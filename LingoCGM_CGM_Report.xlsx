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Summary" sheetId="2" state="visible" r:id="rId2"/>
    <sheet name="Daily" sheetId="3" state="visible" r:id="rId3"/>
    <sheet name="AGP" sheetId="4" state="visible" r:id="rId4"/>
    <sheet name="Time Blocks" sheetId="5" state="visible" r:id="rId5"/>
    <sheet name="_Calc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0.0"/>
    <numFmt numFmtId="166" formatCode="0.0&quot;  mg/dL&quot;"/>
    <numFmt numFmtId="167" formatCode="YYYY-MM-DD"/>
    <numFmt numFmtId="168" formatCode="0.0&quot;%&quot;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2"/>
    </font>
    <font>
      <name val="Calibri"/>
      <color rgb="007A8FAB"/>
      <sz val="10"/>
    </font>
    <font>
      <name val="Calibri"/>
      <b val="1"/>
      <color rgb="001D5FDB"/>
      <sz val="16"/>
    </font>
    <font>
      <name val="Calibri"/>
      <i val="1"/>
      <color rgb="00334155"/>
      <sz val="12"/>
    </font>
    <font>
      <name val="Calibri"/>
      <color rgb="00334155"/>
      <sz val="11"/>
    </font>
    <font>
      <name val="Calibri"/>
      <color rgb="000E1624"/>
      <sz val="12"/>
    </font>
    <font>
      <name val="Calibri"/>
      <i val="1"/>
      <color rgb="007A8FAB"/>
      <sz val="10"/>
    </font>
    <font>
      <name val="Calibri"/>
      <b val="1"/>
      <color rgb="000E1624"/>
      <sz val="12"/>
    </font>
    <font>
      <name val="Calibri"/>
      <color rgb="00DC2626"/>
      <sz val="12"/>
    </font>
    <font>
      <name val="Calibri"/>
      <b val="1"/>
      <color rgb="001D5FDB"/>
      <sz val="12"/>
    </font>
    <font>
      <name val="Calibri"/>
      <b val="1"/>
      <color rgb="007F1D1D"/>
      <sz val="12"/>
    </font>
    <font>
      <name val="Calibri"/>
      <b val="1"/>
      <color rgb="00DC2626"/>
      <sz val="12"/>
    </font>
    <font>
      <name val="Calibri"/>
      <b val="1"/>
      <color rgb="00059669"/>
      <sz val="12"/>
    </font>
    <font>
      <name val="Calibri"/>
      <b val="1"/>
      <color rgb="00B45309"/>
      <sz val="12"/>
    </font>
    <font>
      <name val="Calibri"/>
      <b val="1"/>
      <color rgb="0078350F"/>
      <sz val="12"/>
    </font>
    <font>
      <name val="Calibri"/>
      <b val="1"/>
      <color rgb="001D5FDB"/>
      <sz val="14"/>
    </font>
    <font>
      <name val="Calibri"/>
      <i val="1"/>
      <color rgb="007A8FAB"/>
      <sz val="9"/>
    </font>
    <font>
      <name val="Calibri"/>
      <b val="1"/>
      <color rgb="00FFFFFF"/>
      <sz val="11"/>
    </font>
    <font>
      <name val="Calibri"/>
      <color rgb="000E1624"/>
      <sz val="11"/>
    </font>
    <font>
      <name val="Calibri"/>
      <b val="1"/>
      <color rgb="001D5FDB"/>
      <sz val="11"/>
    </font>
    <font>
      <name val="Calibri"/>
      <b val="1"/>
      <color rgb="000E1624"/>
      <sz val="11"/>
    </font>
  </fonts>
  <fills count="8">
    <fill>
      <patternFill/>
    </fill>
    <fill>
      <patternFill patternType="gray125"/>
    </fill>
    <fill>
      <patternFill patternType="solid">
        <fgColor rgb="001D5FDB"/>
      </patternFill>
    </fill>
    <fill>
      <patternFill patternType="solid">
        <fgColor rgb="00059669"/>
      </patternFill>
    </fill>
    <fill>
      <patternFill patternType="solid">
        <fgColor rgb="00F0F4F9"/>
      </patternFill>
    </fill>
    <fill>
      <patternFill patternType="solid">
        <fgColor rgb="00EFF4FF"/>
      </patternFill>
    </fill>
    <fill>
      <patternFill patternType="solid">
        <fgColor rgb="00ECFDF5"/>
      </patternFill>
    </fill>
    <fill>
      <patternFill patternType="solid">
        <fgColor rgb="00334155"/>
      </patternFill>
    </fill>
  </fills>
  <borders count="6">
    <border>
      <left/>
      <right/>
      <top/>
      <bottom/>
      <diagonal/>
    </border>
    <border>
      <left style="thin">
        <color rgb="00DDE3ED"/>
      </left>
      <right style="thin">
        <color rgb="00DDE3ED"/>
      </right>
      <top style="thin">
        <color rgb="00DDE3ED"/>
      </top>
      <bottom style="thin">
        <color rgb="00DDE3ED"/>
      </bottom>
    </border>
    <border>
      <left/>
      <right/>
      <top style="thin">
        <color rgb="00DDE3ED"/>
      </top>
      <bottom/>
      <diagonal/>
    </border>
    <border>
      <left/>
      <right style="thin">
        <color rgb="00DDE3ED"/>
      </right>
      <top style="thin">
        <color rgb="00DDE3ED"/>
      </top>
      <bottom/>
      <diagonal/>
    </border>
    <border>
      <left/>
      <right/>
      <top style="thin">
        <color rgb="00DDE3ED"/>
      </top>
      <bottom style="thin">
        <color rgb="00DDE3ED"/>
      </bottom>
      <diagonal/>
    </border>
    <border>
      <left/>
      <right style="thin">
        <color rgb="00DDE3ED"/>
      </right>
      <top style="thin">
        <color rgb="00DDE3ED"/>
      </top>
      <bottom style="thin">
        <color rgb="00DDE3ED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0" fillId="5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1" fontId="10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0" fillId="0" borderId="1" applyAlignment="1" pivotButton="0" quotePrefix="0" xfId="0">
      <alignment horizontal="center" vertical="center"/>
    </xf>
    <xf numFmtId="1" fontId="11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5" fontId="13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5" fontId="14" fillId="4" borderId="1" applyAlignment="1" pivotButton="0" quotePrefix="0" xfId="0">
      <alignment horizontal="center" vertical="center"/>
    </xf>
    <xf numFmtId="165" fontId="15" fillId="4" borderId="1" applyAlignment="1" pivotButton="0" quotePrefix="0" xfId="0">
      <alignment horizontal="center" vertical="center"/>
    </xf>
    <xf numFmtId="165" fontId="16" fillId="4" borderId="1" applyAlignment="1" pivotButton="0" quotePrefix="0" xfId="0">
      <alignment horizontal="center" vertical="center"/>
    </xf>
    <xf numFmtId="165" fontId="17" fillId="4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2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" fontId="21" fillId="0" borderId="1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8" fontId="21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2" fillId="0" borderId="1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/>
    </xf>
    <xf numFmtId="165" fontId="2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Calibri"/>
        <b val="1"/>
        <color rgb="00DC2626"/>
      </font>
      <fill>
        <patternFill patternType="solid">
          <fgColor rgb="00FEF2F2"/>
        </patternFill>
      </fill>
    </dxf>
    <dxf>
      <font>
        <name val="Calibri"/>
        <b val="1"/>
        <color rgb="00B45309"/>
      </font>
      <fill>
        <patternFill patternType="solid">
          <fgColor rgb="00FFFBEB"/>
        </patternFill>
      </fill>
    </dxf>
    <dxf>
      <font>
        <name val="Calibri"/>
        <color rgb="00059669"/>
      </font>
      <fill>
        <patternFill patternType="solid">
          <fgColor rgb="00ECFDF5"/>
        </patternFill>
      </fill>
    </dxf>
    <dxf>
      <font>
        <name val="Calibri"/>
        <b val="1"/>
        <color rgb="00059669"/>
      </font>
      <fill>
        <patternFill patternType="solid">
          <fgColor rgb="00ECFD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</cols>
  <sheetData>
    <row r="1" ht="36" customHeight="1">
      <c r="A1" s="1" t="inlineStr">
        <is>
          <t>LingoCGM — CGM Data Input</t>
        </is>
      </c>
      <c r="C1" s="2" t="inlineStr">
        <is>
          <t>Paste your CGM data below (rows 3–20,002).  Column A = DateTime  |  Column B = Glucose (mg/dL).  All other sheets recalculate automatically.  Maximum 20 000 readings (~70 days at 5-min, ~208 days at 15-min).  Requires Excel 365 / Excel 2021.</t>
        </is>
      </c>
    </row>
    <row r="2" ht="22" customHeight="1">
      <c r="A2" s="3" t="inlineStr">
        <is>
          <t>DateTime</t>
        </is>
      </c>
      <c r="B2" s="4" t="inlineStr">
        <is>
          <t>Glucose (mg/dL)</t>
        </is>
      </c>
      <c r="C2" s="5" t="inlineStr">
        <is>
          <t>← Paste data in columns A &amp; B from row 3 onwards</t>
        </is>
      </c>
      <c r="D2" s="6" t="n"/>
      <c r="E2" s="6" t="n"/>
      <c r="F2" s="7" t="n"/>
    </row>
    <row r="3">
      <c r="A3" s="8" t="n"/>
      <c r="B3" s="9" t="n"/>
    </row>
    <row r="4">
      <c r="A4" s="8" t="n"/>
      <c r="B4" s="9" t="n"/>
    </row>
    <row r="5">
      <c r="A5" s="8" t="n"/>
      <c r="B5" s="9" t="n"/>
    </row>
    <row r="6">
      <c r="A6" s="8" t="n"/>
      <c r="B6" s="9" t="n"/>
    </row>
    <row r="7">
      <c r="A7" s="8" t="n"/>
      <c r="B7" s="9" t="n"/>
    </row>
    <row r="8">
      <c r="A8" s="8" t="n"/>
      <c r="B8" s="9" t="n"/>
    </row>
    <row r="9">
      <c r="A9" s="8" t="n"/>
      <c r="B9" s="9" t="n"/>
    </row>
    <row r="10">
      <c r="A10" s="8" t="n"/>
      <c r="B10" s="9" t="n"/>
    </row>
    <row r="11">
      <c r="A11" s="8" t="n"/>
      <c r="B11" s="9" t="n"/>
    </row>
    <row r="12">
      <c r="A12" s="8" t="n"/>
      <c r="B12" s="9" t="n"/>
    </row>
    <row r="13">
      <c r="A13" s="8" t="n"/>
      <c r="B13" s="9" t="n"/>
    </row>
    <row r="14">
      <c r="A14" s="8" t="n"/>
      <c r="B14" s="9" t="n"/>
    </row>
    <row r="15">
      <c r="A15" s="8" t="n"/>
      <c r="B15" s="9" t="n"/>
    </row>
    <row r="16">
      <c r="A16" s="8" t="n"/>
      <c r="B16" s="9" t="n"/>
    </row>
    <row r="17">
      <c r="A17" s="8" t="n"/>
      <c r="B17" s="9" t="n"/>
    </row>
    <row r="18">
      <c r="A18" s="8" t="n"/>
      <c r="B18" s="9" t="n"/>
    </row>
    <row r="19">
      <c r="A19" s="8" t="n"/>
      <c r="B19" s="9" t="n"/>
    </row>
    <row r="20">
      <c r="A20" s="8" t="n"/>
      <c r="B20" s="9" t="n"/>
    </row>
    <row r="21">
      <c r="A21" s="8" t="n"/>
      <c r="B21" s="9" t="n"/>
    </row>
    <row r="22">
      <c r="A22" s="8" t="n"/>
      <c r="B22" s="9" t="n"/>
    </row>
    <row r="23">
      <c r="A23" s="8" t="n"/>
      <c r="B23" s="9" t="n"/>
    </row>
    <row r="24">
      <c r="A24" s="8" t="n"/>
      <c r="B24" s="9" t="n"/>
    </row>
    <row r="25">
      <c r="A25" s="8" t="n"/>
      <c r="B25" s="9" t="n"/>
    </row>
    <row r="26">
      <c r="A26" s="8" t="n"/>
      <c r="B26" s="9" t="n"/>
    </row>
    <row r="27">
      <c r="A27" s="8" t="n"/>
      <c r="B27" s="9" t="n"/>
    </row>
    <row r="28">
      <c r="A28" s="8" t="n"/>
      <c r="B28" s="9" t="n"/>
    </row>
    <row r="29">
      <c r="A29" s="8" t="n"/>
      <c r="B29" s="9" t="n"/>
    </row>
    <row r="30">
      <c r="A30" s="8" t="n"/>
      <c r="B30" s="9" t="n"/>
    </row>
    <row r="31">
      <c r="A31" s="8" t="n"/>
      <c r="B31" s="9" t="n"/>
    </row>
    <row r="32">
      <c r="A32" s="8" t="n"/>
      <c r="B32" s="9" t="n"/>
    </row>
    <row r="33">
      <c r="A33" s="8" t="n"/>
      <c r="B33" s="9" t="n"/>
    </row>
    <row r="34">
      <c r="A34" s="8" t="n"/>
      <c r="B34" s="9" t="n"/>
    </row>
    <row r="35">
      <c r="A35" s="8" t="n"/>
      <c r="B35" s="9" t="n"/>
    </row>
    <row r="36">
      <c r="A36" s="8" t="n"/>
      <c r="B36" s="9" t="n"/>
    </row>
    <row r="37">
      <c r="A37" s="8" t="n"/>
      <c r="B37" s="9" t="n"/>
    </row>
    <row r="38">
      <c r="A38" s="8" t="n"/>
      <c r="B38" s="9" t="n"/>
    </row>
    <row r="39">
      <c r="A39" s="8" t="n"/>
      <c r="B39" s="9" t="n"/>
    </row>
    <row r="40">
      <c r="A40" s="8" t="n"/>
      <c r="B40" s="9" t="n"/>
    </row>
    <row r="41">
      <c r="A41" s="8" t="n"/>
      <c r="B41" s="9" t="n"/>
    </row>
    <row r="42">
      <c r="A42" s="8" t="n"/>
      <c r="B42" s="9" t="n"/>
    </row>
    <row r="43">
      <c r="A43" s="8" t="n"/>
      <c r="B43" s="9" t="n"/>
    </row>
    <row r="44">
      <c r="A44" s="8" t="n"/>
      <c r="B44" s="9" t="n"/>
    </row>
    <row r="45">
      <c r="A45" s="8" t="n"/>
      <c r="B45" s="9" t="n"/>
    </row>
    <row r="46">
      <c r="A46" s="8" t="n"/>
      <c r="B46" s="9" t="n"/>
    </row>
    <row r="47">
      <c r="A47" s="8" t="n"/>
      <c r="B47" s="9" t="n"/>
    </row>
    <row r="48">
      <c r="A48" s="8" t="n"/>
      <c r="B48" s="9" t="n"/>
    </row>
    <row r="49">
      <c r="A49" s="8" t="n"/>
      <c r="B49" s="9" t="n"/>
    </row>
    <row r="50">
      <c r="A50" s="8" t="n"/>
      <c r="B50" s="9" t="n"/>
    </row>
    <row r="51">
      <c r="A51" s="8" t="n"/>
      <c r="B51" s="9" t="n"/>
    </row>
    <row r="52">
      <c r="A52" s="8" t="n"/>
      <c r="B52" s="9" t="n"/>
    </row>
    <row r="53">
      <c r="A53" s="8" t="n"/>
      <c r="B53" s="9" t="n"/>
    </row>
    <row r="54">
      <c r="A54" s="8" t="n"/>
      <c r="B54" s="9" t="n"/>
    </row>
    <row r="55">
      <c r="A55" s="8" t="n"/>
      <c r="B55" s="9" t="n"/>
    </row>
    <row r="56">
      <c r="A56" s="8" t="n"/>
      <c r="B56" s="9" t="n"/>
    </row>
    <row r="57">
      <c r="A57" s="8" t="n"/>
      <c r="B57" s="9" t="n"/>
    </row>
    <row r="58">
      <c r="A58" s="8" t="n"/>
      <c r="B58" s="9" t="n"/>
    </row>
    <row r="59">
      <c r="A59" s="8" t="n"/>
      <c r="B59" s="9" t="n"/>
    </row>
    <row r="60">
      <c r="A60" s="8" t="n"/>
      <c r="B60" s="9" t="n"/>
    </row>
    <row r="61">
      <c r="A61" s="8" t="n"/>
      <c r="B61" s="9" t="n"/>
    </row>
    <row r="62">
      <c r="A62" s="8" t="n"/>
      <c r="B62" s="9" t="n"/>
    </row>
    <row r="63">
      <c r="A63" s="8" t="n"/>
      <c r="B63" s="9" t="n"/>
    </row>
    <row r="64">
      <c r="A64" s="8" t="n"/>
      <c r="B64" s="9" t="n"/>
    </row>
    <row r="65">
      <c r="A65" s="8" t="n"/>
      <c r="B65" s="9" t="n"/>
    </row>
    <row r="66">
      <c r="A66" s="8" t="n"/>
      <c r="B66" s="9" t="n"/>
    </row>
    <row r="67">
      <c r="A67" s="8" t="n"/>
      <c r="B67" s="9" t="n"/>
    </row>
    <row r="68">
      <c r="A68" s="8" t="n"/>
      <c r="B68" s="9" t="n"/>
    </row>
    <row r="69">
      <c r="A69" s="8" t="n"/>
      <c r="B69" s="9" t="n"/>
    </row>
    <row r="70">
      <c r="A70" s="8" t="n"/>
      <c r="B70" s="9" t="n"/>
    </row>
    <row r="71">
      <c r="A71" s="8" t="n"/>
      <c r="B71" s="9" t="n"/>
    </row>
    <row r="72">
      <c r="A72" s="8" t="n"/>
      <c r="B72" s="9" t="n"/>
    </row>
    <row r="73">
      <c r="A73" s="8" t="n"/>
      <c r="B73" s="9" t="n"/>
    </row>
    <row r="74">
      <c r="A74" s="8" t="n"/>
      <c r="B74" s="9" t="n"/>
    </row>
    <row r="75">
      <c r="A75" s="8" t="n"/>
      <c r="B75" s="9" t="n"/>
    </row>
    <row r="76">
      <c r="A76" s="8" t="n"/>
      <c r="B76" s="9" t="n"/>
    </row>
    <row r="77">
      <c r="A77" s="8" t="n"/>
      <c r="B77" s="9" t="n"/>
    </row>
    <row r="78">
      <c r="A78" s="8" t="n"/>
      <c r="B78" s="9" t="n"/>
    </row>
    <row r="79">
      <c r="A79" s="8" t="n"/>
      <c r="B79" s="9" t="n"/>
    </row>
    <row r="80">
      <c r="A80" s="8" t="n"/>
      <c r="B80" s="9" t="n"/>
    </row>
    <row r="81">
      <c r="A81" s="8" t="n"/>
      <c r="B81" s="9" t="n"/>
    </row>
    <row r="82">
      <c r="A82" s="8" t="n"/>
      <c r="B82" s="9" t="n"/>
    </row>
    <row r="83">
      <c r="A83" s="8" t="n"/>
      <c r="B83" s="9" t="n"/>
    </row>
    <row r="84">
      <c r="A84" s="8" t="n"/>
      <c r="B84" s="9" t="n"/>
    </row>
    <row r="85">
      <c r="A85" s="8" t="n"/>
      <c r="B85" s="9" t="n"/>
    </row>
    <row r="86">
      <c r="A86" s="8" t="n"/>
      <c r="B86" s="9" t="n"/>
    </row>
    <row r="87">
      <c r="A87" s="8" t="n"/>
      <c r="B87" s="9" t="n"/>
    </row>
    <row r="88">
      <c r="A88" s="8" t="n"/>
      <c r="B88" s="9" t="n"/>
    </row>
    <row r="89">
      <c r="A89" s="8" t="n"/>
      <c r="B89" s="9" t="n"/>
    </row>
    <row r="90">
      <c r="A90" s="8" t="n"/>
      <c r="B90" s="9" t="n"/>
    </row>
    <row r="91">
      <c r="A91" s="8" t="n"/>
      <c r="B91" s="9" t="n"/>
    </row>
    <row r="92">
      <c r="A92" s="8" t="n"/>
      <c r="B92" s="9" t="n"/>
    </row>
    <row r="93">
      <c r="A93" s="8" t="n"/>
      <c r="B93" s="9" t="n"/>
    </row>
    <row r="94">
      <c r="A94" s="8" t="n"/>
      <c r="B94" s="9" t="n"/>
    </row>
    <row r="95">
      <c r="A95" s="8" t="n"/>
      <c r="B95" s="9" t="n"/>
    </row>
    <row r="96">
      <c r="A96" s="8" t="n"/>
      <c r="B96" s="9" t="n"/>
    </row>
    <row r="97">
      <c r="A97" s="8" t="n"/>
      <c r="B97" s="9" t="n"/>
    </row>
    <row r="98">
      <c r="A98" s="8" t="n"/>
      <c r="B98" s="9" t="n"/>
    </row>
    <row r="99">
      <c r="A99" s="8" t="n"/>
      <c r="B99" s="9" t="n"/>
    </row>
    <row r="100">
      <c r="A100" s="8" t="n"/>
      <c r="B100" s="9" t="n"/>
    </row>
    <row r="101">
      <c r="A101" s="8" t="n"/>
      <c r="B101" s="9" t="n"/>
    </row>
    <row r="102">
      <c r="A102" s="8" t="n"/>
      <c r="B102" s="9" t="n"/>
    </row>
    <row r="103">
      <c r="A103" s="8" t="n"/>
      <c r="B103" s="9" t="n"/>
    </row>
    <row r="104">
      <c r="A104" s="8" t="n"/>
      <c r="B104" s="9" t="n"/>
    </row>
    <row r="105">
      <c r="A105" s="8" t="n"/>
      <c r="B105" s="9" t="n"/>
    </row>
    <row r="106">
      <c r="A106" s="8" t="n"/>
      <c r="B106" s="9" t="n"/>
    </row>
    <row r="107">
      <c r="A107" s="8" t="n"/>
      <c r="B107" s="9" t="n"/>
    </row>
    <row r="108">
      <c r="A108" s="8" t="n"/>
      <c r="B108" s="9" t="n"/>
    </row>
    <row r="109">
      <c r="A109" s="8" t="n"/>
      <c r="B109" s="9" t="n"/>
    </row>
    <row r="110">
      <c r="A110" s="8" t="n"/>
      <c r="B110" s="9" t="n"/>
    </row>
    <row r="111">
      <c r="A111" s="8" t="n"/>
      <c r="B111" s="9" t="n"/>
    </row>
    <row r="112">
      <c r="A112" s="8" t="n"/>
      <c r="B112" s="9" t="n"/>
    </row>
    <row r="113">
      <c r="A113" s="8" t="n"/>
      <c r="B113" s="9" t="n"/>
    </row>
    <row r="114">
      <c r="A114" s="8" t="n"/>
      <c r="B114" s="9" t="n"/>
    </row>
    <row r="115">
      <c r="A115" s="8" t="n"/>
      <c r="B115" s="9" t="n"/>
    </row>
    <row r="116">
      <c r="A116" s="8" t="n"/>
      <c r="B116" s="9" t="n"/>
    </row>
    <row r="117">
      <c r="A117" s="8" t="n"/>
      <c r="B117" s="9" t="n"/>
    </row>
    <row r="118">
      <c r="A118" s="8" t="n"/>
      <c r="B118" s="9" t="n"/>
    </row>
    <row r="119">
      <c r="A119" s="8" t="n"/>
      <c r="B119" s="9" t="n"/>
    </row>
    <row r="120">
      <c r="A120" s="8" t="n"/>
      <c r="B120" s="9" t="n"/>
    </row>
    <row r="121">
      <c r="A121" s="8" t="n"/>
      <c r="B121" s="9" t="n"/>
    </row>
    <row r="122">
      <c r="A122" s="8" t="n"/>
      <c r="B122" s="9" t="n"/>
    </row>
    <row r="123">
      <c r="A123" s="8" t="n"/>
      <c r="B123" s="9" t="n"/>
    </row>
    <row r="124">
      <c r="A124" s="8" t="n"/>
      <c r="B124" s="9" t="n"/>
    </row>
    <row r="125">
      <c r="A125" s="8" t="n"/>
      <c r="B125" s="9" t="n"/>
    </row>
    <row r="126">
      <c r="A126" s="8" t="n"/>
      <c r="B126" s="9" t="n"/>
    </row>
    <row r="127">
      <c r="A127" s="8" t="n"/>
      <c r="B127" s="9" t="n"/>
    </row>
    <row r="128">
      <c r="A128" s="8" t="n"/>
      <c r="B128" s="9" t="n"/>
    </row>
    <row r="129">
      <c r="A129" s="8" t="n"/>
      <c r="B129" s="9" t="n"/>
    </row>
    <row r="130">
      <c r="A130" s="8" t="n"/>
      <c r="B130" s="9" t="n"/>
    </row>
    <row r="131">
      <c r="A131" s="8" t="n"/>
      <c r="B131" s="9" t="n"/>
    </row>
    <row r="132">
      <c r="A132" s="8" t="n"/>
      <c r="B132" s="9" t="n"/>
    </row>
    <row r="133">
      <c r="A133" s="8" t="n"/>
      <c r="B133" s="9" t="n"/>
    </row>
    <row r="134">
      <c r="A134" s="8" t="n"/>
      <c r="B134" s="9" t="n"/>
    </row>
    <row r="135">
      <c r="A135" s="8" t="n"/>
      <c r="B135" s="9" t="n"/>
    </row>
    <row r="136">
      <c r="A136" s="8" t="n"/>
      <c r="B136" s="9" t="n"/>
    </row>
    <row r="137">
      <c r="A137" s="8" t="n"/>
      <c r="B137" s="9" t="n"/>
    </row>
    <row r="138">
      <c r="A138" s="8" t="n"/>
      <c r="B138" s="9" t="n"/>
    </row>
    <row r="139">
      <c r="A139" s="8" t="n"/>
      <c r="B139" s="9" t="n"/>
    </row>
    <row r="140">
      <c r="A140" s="8" t="n"/>
      <c r="B140" s="9" t="n"/>
    </row>
    <row r="141">
      <c r="A141" s="8" t="n"/>
      <c r="B141" s="9" t="n"/>
    </row>
    <row r="142">
      <c r="A142" s="8" t="n"/>
      <c r="B142" s="9" t="n"/>
    </row>
    <row r="143">
      <c r="A143" s="8" t="n"/>
      <c r="B143" s="9" t="n"/>
    </row>
    <row r="144">
      <c r="A144" s="8" t="n"/>
      <c r="B144" s="9" t="n"/>
    </row>
    <row r="145">
      <c r="A145" s="8" t="n"/>
      <c r="B145" s="9" t="n"/>
    </row>
    <row r="146">
      <c r="A146" s="8" t="n"/>
      <c r="B146" s="9" t="n"/>
    </row>
    <row r="147">
      <c r="A147" s="8" t="n"/>
      <c r="B147" s="9" t="n"/>
    </row>
    <row r="148">
      <c r="A148" s="8" t="n"/>
      <c r="B148" s="9" t="n"/>
    </row>
    <row r="149">
      <c r="A149" s="8" t="n"/>
      <c r="B149" s="9" t="n"/>
    </row>
    <row r="150">
      <c r="A150" s="8" t="n"/>
      <c r="B150" s="9" t="n"/>
    </row>
    <row r="151">
      <c r="A151" s="8" t="n"/>
      <c r="B151" s="9" t="n"/>
    </row>
    <row r="152">
      <c r="A152" s="8" t="n"/>
      <c r="B152" s="9" t="n"/>
    </row>
    <row r="153">
      <c r="A153" s="8" t="n"/>
      <c r="B153" s="9" t="n"/>
    </row>
    <row r="154">
      <c r="A154" s="8" t="n"/>
      <c r="B154" s="9" t="n"/>
    </row>
    <row r="155">
      <c r="A155" s="8" t="n"/>
      <c r="B155" s="9" t="n"/>
    </row>
    <row r="156">
      <c r="A156" s="8" t="n"/>
      <c r="B156" s="9" t="n"/>
    </row>
    <row r="157">
      <c r="A157" s="8" t="n"/>
      <c r="B157" s="9" t="n"/>
    </row>
    <row r="158">
      <c r="A158" s="8" t="n"/>
      <c r="B158" s="9" t="n"/>
    </row>
    <row r="159">
      <c r="A159" s="8" t="n"/>
      <c r="B159" s="9" t="n"/>
    </row>
    <row r="160">
      <c r="A160" s="8" t="n"/>
      <c r="B160" s="9" t="n"/>
    </row>
    <row r="161">
      <c r="A161" s="8" t="n"/>
      <c r="B161" s="9" t="n"/>
    </row>
    <row r="162">
      <c r="A162" s="8" t="n"/>
      <c r="B162" s="9" t="n"/>
    </row>
    <row r="163">
      <c r="A163" s="8" t="n"/>
      <c r="B163" s="9" t="n"/>
    </row>
    <row r="164">
      <c r="A164" s="8" t="n"/>
      <c r="B164" s="9" t="n"/>
    </row>
    <row r="165">
      <c r="A165" s="8" t="n"/>
      <c r="B165" s="9" t="n"/>
    </row>
    <row r="166">
      <c r="A166" s="8" t="n"/>
      <c r="B166" s="9" t="n"/>
    </row>
    <row r="167">
      <c r="A167" s="8" t="n"/>
      <c r="B167" s="9" t="n"/>
    </row>
    <row r="168">
      <c r="A168" s="8" t="n"/>
      <c r="B168" s="9" t="n"/>
    </row>
    <row r="169">
      <c r="A169" s="8" t="n"/>
      <c r="B169" s="9" t="n"/>
    </row>
    <row r="170">
      <c r="A170" s="8" t="n"/>
      <c r="B170" s="9" t="n"/>
    </row>
    <row r="171">
      <c r="A171" s="8" t="n"/>
      <c r="B171" s="9" t="n"/>
    </row>
    <row r="172">
      <c r="A172" s="8" t="n"/>
      <c r="B172" s="9" t="n"/>
    </row>
    <row r="173">
      <c r="A173" s="8" t="n"/>
      <c r="B173" s="9" t="n"/>
    </row>
    <row r="174">
      <c r="A174" s="8" t="n"/>
      <c r="B174" s="9" t="n"/>
    </row>
    <row r="175">
      <c r="A175" s="8" t="n"/>
      <c r="B175" s="9" t="n"/>
    </row>
    <row r="176">
      <c r="A176" s="8" t="n"/>
      <c r="B176" s="9" t="n"/>
    </row>
    <row r="177">
      <c r="A177" s="8" t="n"/>
      <c r="B177" s="9" t="n"/>
    </row>
    <row r="178">
      <c r="A178" s="8" t="n"/>
      <c r="B178" s="9" t="n"/>
    </row>
    <row r="179">
      <c r="A179" s="8" t="n"/>
      <c r="B179" s="9" t="n"/>
    </row>
    <row r="180">
      <c r="A180" s="8" t="n"/>
      <c r="B180" s="9" t="n"/>
    </row>
    <row r="181">
      <c r="A181" s="8" t="n"/>
      <c r="B181" s="9" t="n"/>
    </row>
    <row r="182">
      <c r="A182" s="8" t="n"/>
      <c r="B182" s="9" t="n"/>
    </row>
    <row r="183">
      <c r="A183" s="8" t="n"/>
      <c r="B183" s="9" t="n"/>
    </row>
    <row r="184">
      <c r="A184" s="8" t="n"/>
      <c r="B184" s="9" t="n"/>
    </row>
    <row r="185">
      <c r="A185" s="8" t="n"/>
      <c r="B185" s="9" t="n"/>
    </row>
    <row r="186">
      <c r="A186" s="8" t="n"/>
      <c r="B186" s="9" t="n"/>
    </row>
    <row r="187">
      <c r="A187" s="8" t="n"/>
      <c r="B187" s="9" t="n"/>
    </row>
    <row r="188">
      <c r="A188" s="8" t="n"/>
      <c r="B188" s="9" t="n"/>
    </row>
    <row r="189">
      <c r="A189" s="8" t="n"/>
      <c r="B189" s="9" t="n"/>
    </row>
    <row r="190">
      <c r="A190" s="8" t="n"/>
      <c r="B190" s="9" t="n"/>
    </row>
    <row r="191">
      <c r="A191" s="8" t="n"/>
      <c r="B191" s="9" t="n"/>
    </row>
    <row r="192">
      <c r="A192" s="8" t="n"/>
      <c r="B192" s="9" t="n"/>
    </row>
    <row r="193">
      <c r="A193" s="8" t="n"/>
      <c r="B193" s="9" t="n"/>
    </row>
    <row r="194">
      <c r="A194" s="8" t="n"/>
      <c r="B194" s="9" t="n"/>
    </row>
    <row r="195">
      <c r="A195" s="8" t="n"/>
      <c r="B195" s="9" t="n"/>
    </row>
    <row r="196">
      <c r="A196" s="8" t="n"/>
      <c r="B196" s="9" t="n"/>
    </row>
    <row r="197">
      <c r="A197" s="8" t="n"/>
      <c r="B197" s="9" t="n"/>
    </row>
    <row r="198">
      <c r="A198" s="8" t="n"/>
      <c r="B198" s="9" t="n"/>
    </row>
    <row r="199">
      <c r="A199" s="8" t="n"/>
      <c r="B199" s="9" t="n"/>
    </row>
    <row r="200">
      <c r="A200" s="8" t="n"/>
      <c r="B200" s="9" t="n"/>
    </row>
    <row r="201">
      <c r="A201" s="8" t="n"/>
      <c r="B201" s="9" t="n"/>
    </row>
    <row r="202">
      <c r="A202" s="8" t="n"/>
      <c r="B202" s="9" t="n"/>
    </row>
    <row r="203">
      <c r="A203" s="8" t="n"/>
      <c r="B203" s="9" t="n"/>
    </row>
    <row r="204">
      <c r="A204" s="8" t="n"/>
      <c r="B204" s="9" t="n"/>
    </row>
    <row r="205">
      <c r="A205" s="8" t="n"/>
      <c r="B205" s="9" t="n"/>
    </row>
    <row r="206">
      <c r="A206" s="8" t="n"/>
      <c r="B206" s="9" t="n"/>
    </row>
    <row r="207">
      <c r="A207" s="8" t="n"/>
      <c r="B207" s="9" t="n"/>
    </row>
    <row r="208">
      <c r="A208" s="8" t="n"/>
      <c r="B208" s="9" t="n"/>
    </row>
    <row r="209">
      <c r="A209" s="8" t="n"/>
      <c r="B209" s="9" t="n"/>
    </row>
    <row r="210">
      <c r="A210" s="8" t="n"/>
      <c r="B210" s="9" t="n"/>
    </row>
    <row r="211">
      <c r="A211" s="8" t="n"/>
      <c r="B211" s="9" t="n"/>
    </row>
    <row r="212">
      <c r="A212" s="8" t="n"/>
      <c r="B212" s="9" t="n"/>
    </row>
    <row r="213">
      <c r="A213" s="8" t="n"/>
      <c r="B213" s="9" t="n"/>
    </row>
    <row r="214">
      <c r="A214" s="8" t="n"/>
      <c r="B214" s="9" t="n"/>
    </row>
    <row r="215">
      <c r="A215" s="8" t="n"/>
      <c r="B215" s="9" t="n"/>
    </row>
    <row r="216">
      <c r="A216" s="8" t="n"/>
      <c r="B216" s="9" t="n"/>
    </row>
    <row r="217">
      <c r="A217" s="8" t="n"/>
      <c r="B217" s="9" t="n"/>
    </row>
    <row r="218">
      <c r="A218" s="8" t="n"/>
      <c r="B218" s="9" t="n"/>
    </row>
    <row r="219">
      <c r="A219" s="8" t="n"/>
      <c r="B219" s="9" t="n"/>
    </row>
    <row r="220">
      <c r="A220" s="8" t="n"/>
      <c r="B220" s="9" t="n"/>
    </row>
    <row r="221">
      <c r="A221" s="8" t="n"/>
      <c r="B221" s="9" t="n"/>
    </row>
    <row r="222">
      <c r="A222" s="8" t="n"/>
      <c r="B222" s="9" t="n"/>
    </row>
    <row r="223">
      <c r="A223" s="8" t="n"/>
      <c r="B223" s="9" t="n"/>
    </row>
    <row r="224">
      <c r="A224" s="8" t="n"/>
      <c r="B224" s="9" t="n"/>
    </row>
    <row r="225">
      <c r="A225" s="8" t="n"/>
      <c r="B225" s="9" t="n"/>
    </row>
    <row r="226">
      <c r="A226" s="8" t="n"/>
      <c r="B226" s="9" t="n"/>
    </row>
    <row r="227">
      <c r="A227" s="8" t="n"/>
      <c r="B227" s="9" t="n"/>
    </row>
    <row r="228">
      <c r="A228" s="8" t="n"/>
      <c r="B228" s="9" t="n"/>
    </row>
    <row r="229">
      <c r="A229" s="8" t="n"/>
      <c r="B229" s="9" t="n"/>
    </row>
    <row r="230">
      <c r="A230" s="8" t="n"/>
      <c r="B230" s="9" t="n"/>
    </row>
    <row r="231">
      <c r="A231" s="8" t="n"/>
      <c r="B231" s="9" t="n"/>
    </row>
    <row r="232">
      <c r="A232" s="8" t="n"/>
      <c r="B232" s="9" t="n"/>
    </row>
    <row r="233">
      <c r="A233" s="8" t="n"/>
      <c r="B233" s="9" t="n"/>
    </row>
    <row r="234">
      <c r="A234" s="8" t="n"/>
      <c r="B234" s="9" t="n"/>
    </row>
    <row r="235">
      <c r="A235" s="8" t="n"/>
      <c r="B235" s="9" t="n"/>
    </row>
    <row r="236">
      <c r="A236" s="8" t="n"/>
      <c r="B236" s="9" t="n"/>
    </row>
    <row r="237">
      <c r="A237" s="8" t="n"/>
      <c r="B237" s="9" t="n"/>
    </row>
    <row r="238">
      <c r="A238" s="8" t="n"/>
      <c r="B238" s="9" t="n"/>
    </row>
    <row r="239">
      <c r="A239" s="8" t="n"/>
      <c r="B239" s="9" t="n"/>
    </row>
    <row r="240">
      <c r="A240" s="8" t="n"/>
      <c r="B240" s="9" t="n"/>
    </row>
    <row r="241">
      <c r="A241" s="8" t="n"/>
      <c r="B241" s="9" t="n"/>
    </row>
    <row r="242">
      <c r="A242" s="8" t="n"/>
      <c r="B242" s="9" t="n"/>
    </row>
    <row r="243">
      <c r="A243" s="8" t="n"/>
      <c r="B243" s="9" t="n"/>
    </row>
    <row r="244">
      <c r="A244" s="8" t="n"/>
      <c r="B244" s="9" t="n"/>
    </row>
    <row r="245">
      <c r="A245" s="8" t="n"/>
      <c r="B245" s="9" t="n"/>
    </row>
    <row r="246">
      <c r="A246" s="8" t="n"/>
      <c r="B246" s="9" t="n"/>
    </row>
    <row r="247">
      <c r="A247" s="8" t="n"/>
      <c r="B247" s="9" t="n"/>
    </row>
    <row r="248">
      <c r="A248" s="8" t="n"/>
      <c r="B248" s="9" t="n"/>
    </row>
    <row r="249">
      <c r="A249" s="8" t="n"/>
      <c r="B249" s="9" t="n"/>
    </row>
    <row r="250">
      <c r="A250" s="8" t="n"/>
      <c r="B250" s="9" t="n"/>
    </row>
    <row r="251">
      <c r="A251" s="8" t="n"/>
      <c r="B251" s="9" t="n"/>
    </row>
    <row r="252">
      <c r="A252" s="8" t="n"/>
      <c r="B252" s="9" t="n"/>
    </row>
    <row r="253">
      <c r="A253" s="8" t="n"/>
      <c r="B253" s="9" t="n"/>
    </row>
    <row r="254">
      <c r="A254" s="8" t="n"/>
      <c r="B254" s="9" t="n"/>
    </row>
    <row r="255">
      <c r="A255" s="8" t="n"/>
      <c r="B255" s="9" t="n"/>
    </row>
    <row r="256">
      <c r="A256" s="8" t="n"/>
      <c r="B256" s="9" t="n"/>
    </row>
    <row r="257">
      <c r="A257" s="8" t="n"/>
      <c r="B257" s="9" t="n"/>
    </row>
    <row r="258">
      <c r="A258" s="8" t="n"/>
      <c r="B258" s="9" t="n"/>
    </row>
    <row r="259">
      <c r="A259" s="8" t="n"/>
      <c r="B259" s="9" t="n"/>
    </row>
    <row r="260">
      <c r="A260" s="8" t="n"/>
      <c r="B260" s="9" t="n"/>
    </row>
    <row r="261">
      <c r="A261" s="8" t="n"/>
      <c r="B261" s="9" t="n"/>
    </row>
    <row r="262">
      <c r="A262" s="8" t="n"/>
      <c r="B262" s="9" t="n"/>
    </row>
    <row r="263">
      <c r="A263" s="8" t="n"/>
      <c r="B263" s="9" t="n"/>
    </row>
    <row r="264">
      <c r="A264" s="8" t="n"/>
      <c r="B264" s="9" t="n"/>
    </row>
    <row r="265">
      <c r="A265" s="8" t="n"/>
      <c r="B265" s="9" t="n"/>
    </row>
    <row r="266">
      <c r="A266" s="8" t="n"/>
      <c r="B266" s="9" t="n"/>
    </row>
    <row r="267">
      <c r="A267" s="8" t="n"/>
      <c r="B267" s="9" t="n"/>
    </row>
    <row r="268">
      <c r="A268" s="8" t="n"/>
      <c r="B268" s="9" t="n"/>
    </row>
    <row r="269">
      <c r="A269" s="8" t="n"/>
      <c r="B269" s="9" t="n"/>
    </row>
    <row r="270">
      <c r="A270" s="8" t="n"/>
      <c r="B270" s="9" t="n"/>
    </row>
    <row r="271">
      <c r="A271" s="8" t="n"/>
      <c r="B271" s="9" t="n"/>
    </row>
    <row r="272">
      <c r="A272" s="8" t="n"/>
      <c r="B272" s="9" t="n"/>
    </row>
    <row r="273">
      <c r="A273" s="8" t="n"/>
      <c r="B273" s="9" t="n"/>
    </row>
    <row r="274">
      <c r="A274" s="8" t="n"/>
      <c r="B274" s="9" t="n"/>
    </row>
    <row r="275">
      <c r="A275" s="8" t="n"/>
      <c r="B275" s="9" t="n"/>
    </row>
    <row r="276">
      <c r="A276" s="8" t="n"/>
      <c r="B276" s="9" t="n"/>
    </row>
    <row r="277">
      <c r="A277" s="8" t="n"/>
      <c r="B277" s="9" t="n"/>
    </row>
    <row r="278">
      <c r="A278" s="8" t="n"/>
      <c r="B278" s="9" t="n"/>
    </row>
    <row r="279">
      <c r="A279" s="8" t="n"/>
      <c r="B279" s="9" t="n"/>
    </row>
    <row r="280">
      <c r="A280" s="8" t="n"/>
      <c r="B280" s="9" t="n"/>
    </row>
    <row r="281">
      <c r="A281" s="8" t="n"/>
      <c r="B281" s="9" t="n"/>
    </row>
    <row r="282">
      <c r="A282" s="8" t="n"/>
      <c r="B282" s="9" t="n"/>
    </row>
    <row r="283">
      <c r="A283" s="8" t="n"/>
      <c r="B283" s="9" t="n"/>
    </row>
    <row r="284">
      <c r="A284" s="8" t="n"/>
      <c r="B284" s="9" t="n"/>
    </row>
    <row r="285">
      <c r="A285" s="8" t="n"/>
      <c r="B285" s="9" t="n"/>
    </row>
    <row r="286">
      <c r="A286" s="8" t="n"/>
      <c r="B286" s="9" t="n"/>
    </row>
    <row r="287">
      <c r="A287" s="8" t="n"/>
      <c r="B287" s="9" t="n"/>
    </row>
    <row r="288">
      <c r="A288" s="8" t="n"/>
      <c r="B288" s="9" t="n"/>
    </row>
    <row r="289">
      <c r="A289" s="8" t="n"/>
      <c r="B289" s="9" t="n"/>
    </row>
    <row r="290">
      <c r="A290" s="8" t="n"/>
      <c r="B290" s="9" t="n"/>
    </row>
    <row r="291">
      <c r="A291" s="8" t="n"/>
      <c r="B291" s="9" t="n"/>
    </row>
    <row r="292">
      <c r="A292" s="8" t="n"/>
      <c r="B292" s="9" t="n"/>
    </row>
    <row r="293">
      <c r="A293" s="8" t="n"/>
      <c r="B293" s="9" t="n"/>
    </row>
    <row r="294">
      <c r="A294" s="8" t="n"/>
      <c r="B294" s="9" t="n"/>
    </row>
    <row r="295">
      <c r="A295" s="8" t="n"/>
      <c r="B295" s="9" t="n"/>
    </row>
    <row r="296">
      <c r="A296" s="8" t="n"/>
      <c r="B296" s="9" t="n"/>
    </row>
    <row r="297">
      <c r="A297" s="8" t="n"/>
      <c r="B297" s="9" t="n"/>
    </row>
    <row r="298">
      <c r="A298" s="8" t="n"/>
      <c r="B298" s="9" t="n"/>
    </row>
    <row r="299">
      <c r="A299" s="8" t="n"/>
      <c r="B299" s="9" t="n"/>
    </row>
    <row r="300">
      <c r="A300" s="8" t="n"/>
      <c r="B300" s="9" t="n"/>
    </row>
    <row r="301">
      <c r="A301" s="8" t="n"/>
      <c r="B301" s="9" t="n"/>
    </row>
    <row r="302">
      <c r="A302" s="8" t="n"/>
      <c r="B302" s="9" t="n"/>
    </row>
    <row r="303">
      <c r="A303" s="8" t="n"/>
      <c r="B303" s="9" t="n"/>
    </row>
    <row r="304">
      <c r="A304" s="8" t="n"/>
      <c r="B304" s="9" t="n"/>
    </row>
    <row r="305">
      <c r="A305" s="8" t="n"/>
      <c r="B305" s="9" t="n"/>
    </row>
    <row r="306">
      <c r="A306" s="8" t="n"/>
      <c r="B306" s="9" t="n"/>
    </row>
    <row r="307">
      <c r="A307" s="8" t="n"/>
      <c r="B307" s="9" t="n"/>
    </row>
    <row r="308">
      <c r="A308" s="8" t="n"/>
      <c r="B308" s="9" t="n"/>
    </row>
    <row r="309">
      <c r="A309" s="8" t="n"/>
      <c r="B309" s="9" t="n"/>
    </row>
    <row r="310">
      <c r="A310" s="8" t="n"/>
      <c r="B310" s="9" t="n"/>
    </row>
    <row r="311">
      <c r="A311" s="8" t="n"/>
      <c r="B311" s="9" t="n"/>
    </row>
    <row r="312">
      <c r="A312" s="8" t="n"/>
      <c r="B312" s="9" t="n"/>
    </row>
    <row r="313">
      <c r="A313" s="8" t="n"/>
      <c r="B313" s="9" t="n"/>
    </row>
    <row r="314">
      <c r="A314" s="8" t="n"/>
      <c r="B314" s="9" t="n"/>
    </row>
    <row r="315">
      <c r="A315" s="8" t="n"/>
      <c r="B315" s="9" t="n"/>
    </row>
    <row r="316">
      <c r="A316" s="8" t="n"/>
      <c r="B316" s="9" t="n"/>
    </row>
    <row r="317">
      <c r="A317" s="8" t="n"/>
      <c r="B317" s="9" t="n"/>
    </row>
    <row r="318">
      <c r="A318" s="8" t="n"/>
      <c r="B318" s="9" t="n"/>
    </row>
    <row r="319">
      <c r="A319" s="8" t="n"/>
      <c r="B319" s="9" t="n"/>
    </row>
    <row r="320">
      <c r="A320" s="8" t="n"/>
      <c r="B320" s="9" t="n"/>
    </row>
    <row r="321">
      <c r="A321" s="8" t="n"/>
      <c r="B321" s="9" t="n"/>
    </row>
    <row r="322">
      <c r="A322" s="8" t="n"/>
      <c r="B322" s="9" t="n"/>
    </row>
    <row r="323">
      <c r="A323" s="8" t="n"/>
      <c r="B323" s="9" t="n"/>
    </row>
    <row r="324">
      <c r="A324" s="8" t="n"/>
      <c r="B324" s="9" t="n"/>
    </row>
    <row r="325">
      <c r="A325" s="8" t="n"/>
      <c r="B325" s="9" t="n"/>
    </row>
    <row r="326">
      <c r="A326" s="8" t="n"/>
      <c r="B326" s="9" t="n"/>
    </row>
    <row r="327">
      <c r="A327" s="8" t="n"/>
      <c r="B327" s="9" t="n"/>
    </row>
    <row r="328">
      <c r="A328" s="8" t="n"/>
      <c r="B328" s="9" t="n"/>
    </row>
    <row r="329">
      <c r="A329" s="8" t="n"/>
      <c r="B329" s="9" t="n"/>
    </row>
    <row r="330">
      <c r="A330" s="8" t="n"/>
      <c r="B330" s="9" t="n"/>
    </row>
    <row r="331">
      <c r="A331" s="8" t="n"/>
      <c r="B331" s="9" t="n"/>
    </row>
    <row r="332">
      <c r="A332" s="8" t="n"/>
      <c r="B332" s="9" t="n"/>
    </row>
    <row r="333">
      <c r="A333" s="8" t="n"/>
      <c r="B333" s="9" t="n"/>
    </row>
    <row r="334">
      <c r="A334" s="8" t="n"/>
      <c r="B334" s="9" t="n"/>
    </row>
    <row r="335">
      <c r="A335" s="8" t="n"/>
      <c r="B335" s="9" t="n"/>
    </row>
    <row r="336">
      <c r="A336" s="8" t="n"/>
      <c r="B336" s="9" t="n"/>
    </row>
    <row r="337">
      <c r="A337" s="8" t="n"/>
      <c r="B337" s="9" t="n"/>
    </row>
    <row r="338">
      <c r="A338" s="8" t="n"/>
      <c r="B338" s="9" t="n"/>
    </row>
    <row r="339">
      <c r="A339" s="8" t="n"/>
      <c r="B339" s="9" t="n"/>
    </row>
    <row r="340">
      <c r="A340" s="8" t="n"/>
      <c r="B340" s="9" t="n"/>
    </row>
    <row r="341">
      <c r="A341" s="8" t="n"/>
      <c r="B341" s="9" t="n"/>
    </row>
    <row r="342">
      <c r="A342" s="8" t="n"/>
      <c r="B342" s="9" t="n"/>
    </row>
    <row r="343">
      <c r="A343" s="8" t="n"/>
      <c r="B343" s="9" t="n"/>
    </row>
    <row r="344">
      <c r="A344" s="8" t="n"/>
      <c r="B344" s="9" t="n"/>
    </row>
    <row r="345">
      <c r="A345" s="8" t="n"/>
      <c r="B345" s="9" t="n"/>
    </row>
    <row r="346">
      <c r="A346" s="8" t="n"/>
      <c r="B346" s="9" t="n"/>
    </row>
    <row r="347">
      <c r="A347" s="8" t="n"/>
      <c r="B347" s="9" t="n"/>
    </row>
    <row r="348">
      <c r="A348" s="8" t="n"/>
      <c r="B348" s="9" t="n"/>
    </row>
    <row r="349">
      <c r="A349" s="8" t="n"/>
      <c r="B349" s="9" t="n"/>
    </row>
    <row r="350">
      <c r="A350" s="8" t="n"/>
      <c r="B350" s="9" t="n"/>
    </row>
    <row r="351">
      <c r="A351" s="8" t="n"/>
      <c r="B351" s="9" t="n"/>
    </row>
    <row r="352">
      <c r="A352" s="8" t="n"/>
      <c r="B352" s="9" t="n"/>
    </row>
    <row r="353">
      <c r="A353" s="8" t="n"/>
      <c r="B353" s="9" t="n"/>
    </row>
    <row r="354">
      <c r="A354" s="8" t="n"/>
      <c r="B354" s="9" t="n"/>
    </row>
    <row r="355">
      <c r="A355" s="8" t="n"/>
      <c r="B355" s="9" t="n"/>
    </row>
    <row r="356">
      <c r="A356" s="8" t="n"/>
      <c r="B356" s="9" t="n"/>
    </row>
    <row r="357">
      <c r="A357" s="8" t="n"/>
      <c r="B357" s="9" t="n"/>
    </row>
    <row r="358">
      <c r="A358" s="8" t="n"/>
      <c r="B358" s="9" t="n"/>
    </row>
    <row r="359">
      <c r="A359" s="8" t="n"/>
      <c r="B359" s="9" t="n"/>
    </row>
    <row r="360">
      <c r="A360" s="8" t="n"/>
      <c r="B360" s="9" t="n"/>
    </row>
    <row r="361">
      <c r="A361" s="8" t="n"/>
      <c r="B361" s="9" t="n"/>
    </row>
    <row r="362">
      <c r="A362" s="8" t="n"/>
      <c r="B362" s="9" t="n"/>
    </row>
    <row r="363">
      <c r="A363" s="8" t="n"/>
      <c r="B363" s="9" t="n"/>
    </row>
    <row r="364">
      <c r="A364" s="8" t="n"/>
      <c r="B364" s="9" t="n"/>
    </row>
    <row r="365">
      <c r="A365" s="8" t="n"/>
      <c r="B365" s="9" t="n"/>
    </row>
    <row r="366">
      <c r="A366" s="8" t="n"/>
      <c r="B366" s="9" t="n"/>
    </row>
    <row r="367">
      <c r="A367" s="8" t="n"/>
      <c r="B367" s="9" t="n"/>
    </row>
    <row r="368">
      <c r="A368" s="8" t="n"/>
      <c r="B368" s="9" t="n"/>
    </row>
    <row r="369">
      <c r="A369" s="8" t="n"/>
      <c r="B369" s="9" t="n"/>
    </row>
    <row r="370">
      <c r="A370" s="8" t="n"/>
      <c r="B370" s="9" t="n"/>
    </row>
    <row r="371">
      <c r="A371" s="8" t="n"/>
      <c r="B371" s="9" t="n"/>
    </row>
    <row r="372">
      <c r="A372" s="8" t="n"/>
      <c r="B372" s="9" t="n"/>
    </row>
    <row r="373">
      <c r="A373" s="8" t="n"/>
      <c r="B373" s="9" t="n"/>
    </row>
    <row r="374">
      <c r="A374" s="8" t="n"/>
      <c r="B374" s="9" t="n"/>
    </row>
    <row r="375">
      <c r="A375" s="8" t="n"/>
      <c r="B375" s="9" t="n"/>
    </row>
    <row r="376">
      <c r="A376" s="8" t="n"/>
      <c r="B376" s="9" t="n"/>
    </row>
    <row r="377">
      <c r="A377" s="8" t="n"/>
      <c r="B377" s="9" t="n"/>
    </row>
    <row r="378">
      <c r="A378" s="8" t="n"/>
      <c r="B378" s="9" t="n"/>
    </row>
    <row r="379">
      <c r="A379" s="8" t="n"/>
      <c r="B379" s="9" t="n"/>
    </row>
    <row r="380">
      <c r="A380" s="8" t="n"/>
      <c r="B380" s="9" t="n"/>
    </row>
    <row r="381">
      <c r="A381" s="8" t="n"/>
      <c r="B381" s="9" t="n"/>
    </row>
    <row r="382">
      <c r="A382" s="8" t="n"/>
      <c r="B382" s="9" t="n"/>
    </row>
    <row r="383">
      <c r="A383" s="8" t="n"/>
      <c r="B383" s="9" t="n"/>
    </row>
    <row r="384">
      <c r="A384" s="8" t="n"/>
      <c r="B384" s="9" t="n"/>
    </row>
    <row r="385">
      <c r="A385" s="8" t="n"/>
      <c r="B385" s="9" t="n"/>
    </row>
    <row r="386">
      <c r="A386" s="8" t="n"/>
      <c r="B386" s="9" t="n"/>
    </row>
    <row r="387">
      <c r="A387" s="8" t="n"/>
      <c r="B387" s="9" t="n"/>
    </row>
    <row r="388">
      <c r="A388" s="8" t="n"/>
      <c r="B388" s="9" t="n"/>
    </row>
    <row r="389">
      <c r="A389" s="8" t="n"/>
      <c r="B389" s="9" t="n"/>
    </row>
    <row r="390">
      <c r="A390" s="8" t="n"/>
      <c r="B390" s="9" t="n"/>
    </row>
    <row r="391">
      <c r="A391" s="8" t="n"/>
      <c r="B391" s="9" t="n"/>
    </row>
    <row r="392">
      <c r="A392" s="8" t="n"/>
      <c r="B392" s="9" t="n"/>
    </row>
    <row r="393">
      <c r="A393" s="8" t="n"/>
      <c r="B393" s="9" t="n"/>
    </row>
    <row r="394">
      <c r="A394" s="8" t="n"/>
      <c r="B394" s="9" t="n"/>
    </row>
    <row r="395">
      <c r="A395" s="8" t="n"/>
      <c r="B395" s="9" t="n"/>
    </row>
    <row r="396">
      <c r="A396" s="8" t="n"/>
      <c r="B396" s="9" t="n"/>
    </row>
    <row r="397">
      <c r="A397" s="8" t="n"/>
      <c r="B397" s="9" t="n"/>
    </row>
    <row r="398">
      <c r="A398" s="8" t="n"/>
      <c r="B398" s="9" t="n"/>
    </row>
    <row r="399">
      <c r="A399" s="8" t="n"/>
      <c r="B399" s="9" t="n"/>
    </row>
    <row r="400">
      <c r="A400" s="8" t="n"/>
      <c r="B400" s="9" t="n"/>
    </row>
    <row r="401">
      <c r="A401" s="8" t="n"/>
      <c r="B401" s="9" t="n"/>
    </row>
    <row r="402">
      <c r="A402" s="8" t="n"/>
      <c r="B402" s="9" t="n"/>
    </row>
    <row r="403">
      <c r="A403" s="8" t="n"/>
      <c r="B403" s="9" t="n"/>
    </row>
    <row r="404">
      <c r="A404" s="8" t="n"/>
      <c r="B404" s="9" t="n"/>
    </row>
    <row r="405">
      <c r="A405" s="8" t="n"/>
      <c r="B405" s="9" t="n"/>
    </row>
    <row r="406">
      <c r="A406" s="8" t="n"/>
      <c r="B406" s="9" t="n"/>
    </row>
    <row r="407">
      <c r="A407" s="8" t="n"/>
      <c r="B407" s="9" t="n"/>
    </row>
    <row r="408">
      <c r="A408" s="8" t="n"/>
      <c r="B408" s="9" t="n"/>
    </row>
    <row r="409">
      <c r="A409" s="8" t="n"/>
      <c r="B409" s="9" t="n"/>
    </row>
    <row r="410">
      <c r="A410" s="8" t="n"/>
      <c r="B410" s="9" t="n"/>
    </row>
    <row r="411">
      <c r="A411" s="8" t="n"/>
      <c r="B411" s="9" t="n"/>
    </row>
    <row r="412">
      <c r="A412" s="8" t="n"/>
      <c r="B412" s="9" t="n"/>
    </row>
    <row r="413">
      <c r="A413" s="8" t="n"/>
      <c r="B413" s="9" t="n"/>
    </row>
    <row r="414">
      <c r="A414" s="8" t="n"/>
      <c r="B414" s="9" t="n"/>
    </row>
    <row r="415">
      <c r="A415" s="8" t="n"/>
      <c r="B415" s="9" t="n"/>
    </row>
    <row r="416">
      <c r="A416" s="8" t="n"/>
      <c r="B416" s="9" t="n"/>
    </row>
    <row r="417">
      <c r="A417" s="8" t="n"/>
      <c r="B417" s="9" t="n"/>
    </row>
    <row r="418">
      <c r="A418" s="8" t="n"/>
      <c r="B418" s="9" t="n"/>
    </row>
    <row r="419">
      <c r="A419" s="8" t="n"/>
      <c r="B419" s="9" t="n"/>
    </row>
    <row r="420">
      <c r="A420" s="8" t="n"/>
      <c r="B420" s="9" t="n"/>
    </row>
    <row r="421">
      <c r="A421" s="8" t="n"/>
      <c r="B421" s="9" t="n"/>
    </row>
    <row r="422">
      <c r="A422" s="8" t="n"/>
      <c r="B422" s="9" t="n"/>
    </row>
    <row r="423">
      <c r="A423" s="8" t="n"/>
      <c r="B423" s="9" t="n"/>
    </row>
    <row r="424">
      <c r="A424" s="8" t="n"/>
      <c r="B424" s="9" t="n"/>
    </row>
    <row r="425">
      <c r="A425" s="8" t="n"/>
      <c r="B425" s="9" t="n"/>
    </row>
    <row r="426">
      <c r="A426" s="8" t="n"/>
      <c r="B426" s="9" t="n"/>
    </row>
    <row r="427">
      <c r="A427" s="8" t="n"/>
      <c r="B427" s="9" t="n"/>
    </row>
    <row r="428">
      <c r="A428" s="8" t="n"/>
      <c r="B428" s="9" t="n"/>
    </row>
    <row r="429">
      <c r="A429" s="8" t="n"/>
      <c r="B429" s="9" t="n"/>
    </row>
    <row r="430">
      <c r="A430" s="8" t="n"/>
      <c r="B430" s="9" t="n"/>
    </row>
    <row r="431">
      <c r="A431" s="8" t="n"/>
      <c r="B431" s="9" t="n"/>
    </row>
    <row r="432">
      <c r="A432" s="8" t="n"/>
      <c r="B432" s="9" t="n"/>
    </row>
    <row r="433">
      <c r="A433" s="8" t="n"/>
      <c r="B433" s="9" t="n"/>
    </row>
    <row r="434">
      <c r="A434" s="8" t="n"/>
      <c r="B434" s="9" t="n"/>
    </row>
    <row r="435">
      <c r="A435" s="8" t="n"/>
      <c r="B435" s="9" t="n"/>
    </row>
    <row r="436">
      <c r="A436" s="8" t="n"/>
      <c r="B436" s="9" t="n"/>
    </row>
    <row r="437">
      <c r="A437" s="8" t="n"/>
      <c r="B437" s="9" t="n"/>
    </row>
    <row r="438">
      <c r="A438" s="8" t="n"/>
      <c r="B438" s="9" t="n"/>
    </row>
    <row r="439">
      <c r="A439" s="8" t="n"/>
      <c r="B439" s="9" t="n"/>
    </row>
    <row r="440">
      <c r="A440" s="8" t="n"/>
      <c r="B440" s="9" t="n"/>
    </row>
    <row r="441">
      <c r="A441" s="8" t="n"/>
      <c r="B441" s="9" t="n"/>
    </row>
    <row r="442">
      <c r="A442" s="8" t="n"/>
      <c r="B442" s="9" t="n"/>
    </row>
    <row r="443">
      <c r="A443" s="8" t="n"/>
      <c r="B443" s="9" t="n"/>
    </row>
    <row r="444">
      <c r="A444" s="8" t="n"/>
      <c r="B444" s="9" t="n"/>
    </row>
    <row r="445">
      <c r="A445" s="8" t="n"/>
      <c r="B445" s="9" t="n"/>
    </row>
    <row r="446">
      <c r="A446" s="8" t="n"/>
      <c r="B446" s="9" t="n"/>
    </row>
    <row r="447">
      <c r="A447" s="8" t="n"/>
      <c r="B447" s="9" t="n"/>
    </row>
    <row r="448">
      <c r="A448" s="8" t="n"/>
      <c r="B448" s="9" t="n"/>
    </row>
    <row r="449">
      <c r="A449" s="8" t="n"/>
      <c r="B449" s="9" t="n"/>
    </row>
    <row r="450">
      <c r="A450" s="8" t="n"/>
      <c r="B450" s="9" t="n"/>
    </row>
    <row r="451">
      <c r="A451" s="8" t="n"/>
      <c r="B451" s="9" t="n"/>
    </row>
    <row r="452">
      <c r="A452" s="8" t="n"/>
      <c r="B452" s="9" t="n"/>
    </row>
    <row r="453">
      <c r="A453" s="8" t="n"/>
      <c r="B453" s="9" t="n"/>
    </row>
    <row r="454">
      <c r="A454" s="8" t="n"/>
      <c r="B454" s="9" t="n"/>
    </row>
    <row r="455">
      <c r="A455" s="8" t="n"/>
      <c r="B455" s="9" t="n"/>
    </row>
    <row r="456">
      <c r="A456" s="8" t="n"/>
      <c r="B456" s="9" t="n"/>
    </row>
    <row r="457">
      <c r="A457" s="8" t="n"/>
      <c r="B457" s="9" t="n"/>
    </row>
    <row r="458">
      <c r="A458" s="8" t="n"/>
      <c r="B458" s="9" t="n"/>
    </row>
    <row r="459">
      <c r="A459" s="8" t="n"/>
      <c r="B459" s="9" t="n"/>
    </row>
    <row r="460">
      <c r="A460" s="8" t="n"/>
      <c r="B460" s="9" t="n"/>
    </row>
    <row r="461">
      <c r="A461" s="8" t="n"/>
      <c r="B461" s="9" t="n"/>
    </row>
    <row r="462">
      <c r="A462" s="8" t="n"/>
      <c r="B462" s="9" t="n"/>
    </row>
    <row r="463">
      <c r="A463" s="8" t="n"/>
      <c r="B463" s="9" t="n"/>
    </row>
    <row r="464">
      <c r="A464" s="8" t="n"/>
      <c r="B464" s="9" t="n"/>
    </row>
    <row r="465">
      <c r="A465" s="8" t="n"/>
      <c r="B465" s="9" t="n"/>
    </row>
    <row r="466">
      <c r="A466" s="8" t="n"/>
      <c r="B466" s="9" t="n"/>
    </row>
    <row r="467">
      <c r="A467" s="8" t="n"/>
      <c r="B467" s="9" t="n"/>
    </row>
    <row r="468">
      <c r="A468" s="8" t="n"/>
      <c r="B468" s="9" t="n"/>
    </row>
    <row r="469">
      <c r="A469" s="8" t="n"/>
      <c r="B469" s="9" t="n"/>
    </row>
    <row r="470">
      <c r="A470" s="8" t="n"/>
      <c r="B470" s="9" t="n"/>
    </row>
    <row r="471">
      <c r="A471" s="8" t="n"/>
      <c r="B471" s="9" t="n"/>
    </row>
    <row r="472">
      <c r="A472" s="8" t="n"/>
      <c r="B472" s="9" t="n"/>
    </row>
    <row r="473">
      <c r="A473" s="8" t="n"/>
      <c r="B473" s="9" t="n"/>
    </row>
    <row r="474">
      <c r="A474" s="8" t="n"/>
      <c r="B474" s="9" t="n"/>
    </row>
    <row r="475">
      <c r="A475" s="8" t="n"/>
      <c r="B475" s="9" t="n"/>
    </row>
    <row r="476">
      <c r="A476" s="8" t="n"/>
      <c r="B476" s="9" t="n"/>
    </row>
    <row r="477">
      <c r="A477" s="8" t="n"/>
      <c r="B477" s="9" t="n"/>
    </row>
    <row r="478">
      <c r="A478" s="8" t="n"/>
      <c r="B478" s="9" t="n"/>
    </row>
    <row r="479">
      <c r="A479" s="8" t="n"/>
      <c r="B479" s="9" t="n"/>
    </row>
    <row r="480">
      <c r="A480" s="8" t="n"/>
      <c r="B480" s="9" t="n"/>
    </row>
    <row r="481">
      <c r="A481" s="8" t="n"/>
      <c r="B481" s="9" t="n"/>
    </row>
    <row r="482">
      <c r="A482" s="8" t="n"/>
      <c r="B482" s="9" t="n"/>
    </row>
    <row r="483">
      <c r="A483" s="8" t="n"/>
      <c r="B483" s="9" t="n"/>
    </row>
    <row r="484">
      <c r="A484" s="8" t="n"/>
      <c r="B484" s="9" t="n"/>
    </row>
    <row r="485">
      <c r="A485" s="8" t="n"/>
      <c r="B485" s="9" t="n"/>
    </row>
    <row r="486">
      <c r="A486" s="8" t="n"/>
      <c r="B486" s="9" t="n"/>
    </row>
    <row r="487">
      <c r="A487" s="8" t="n"/>
      <c r="B487" s="9" t="n"/>
    </row>
    <row r="488">
      <c r="A488" s="8" t="n"/>
      <c r="B488" s="9" t="n"/>
    </row>
    <row r="489">
      <c r="A489" s="8" t="n"/>
      <c r="B489" s="9" t="n"/>
    </row>
    <row r="490">
      <c r="A490" s="8" t="n"/>
      <c r="B490" s="9" t="n"/>
    </row>
    <row r="491">
      <c r="A491" s="8" t="n"/>
      <c r="B491" s="9" t="n"/>
    </row>
    <row r="492">
      <c r="A492" s="8" t="n"/>
      <c r="B492" s="9" t="n"/>
    </row>
    <row r="493">
      <c r="A493" s="8" t="n"/>
      <c r="B493" s="9" t="n"/>
    </row>
    <row r="494">
      <c r="A494" s="8" t="n"/>
      <c r="B494" s="9" t="n"/>
    </row>
    <row r="495">
      <c r="A495" s="8" t="n"/>
      <c r="B495" s="9" t="n"/>
    </row>
    <row r="496">
      <c r="A496" s="8" t="n"/>
      <c r="B496" s="9" t="n"/>
    </row>
    <row r="497">
      <c r="A497" s="8" t="n"/>
      <c r="B497" s="9" t="n"/>
    </row>
    <row r="498">
      <c r="A498" s="8" t="n"/>
      <c r="B498" s="9" t="n"/>
    </row>
    <row r="499">
      <c r="A499" s="8" t="n"/>
      <c r="B499" s="9" t="n"/>
    </row>
    <row r="500">
      <c r="A500" s="8" t="n"/>
      <c r="B500" s="9" t="n"/>
    </row>
    <row r="501">
      <c r="A501" s="8" t="n"/>
      <c r="B501" s="9" t="n"/>
    </row>
    <row r="502">
      <c r="A502" s="8" t="n"/>
      <c r="B502" s="9" t="n"/>
    </row>
    <row r="503">
      <c r="A503" s="8" t="n"/>
      <c r="B503" s="9" t="n"/>
    </row>
    <row r="504">
      <c r="A504" s="8" t="n"/>
      <c r="B504" s="9" t="n"/>
    </row>
    <row r="505">
      <c r="A505" s="8" t="n"/>
      <c r="B505" s="9" t="n"/>
    </row>
    <row r="506">
      <c r="A506" s="8" t="n"/>
      <c r="B506" s="9" t="n"/>
    </row>
    <row r="507">
      <c r="A507" s="8" t="n"/>
      <c r="B507" s="9" t="n"/>
    </row>
    <row r="508">
      <c r="A508" s="8" t="n"/>
      <c r="B508" s="9" t="n"/>
    </row>
    <row r="509">
      <c r="A509" s="8" t="n"/>
      <c r="B509" s="9" t="n"/>
    </row>
    <row r="510">
      <c r="A510" s="8" t="n"/>
      <c r="B510" s="9" t="n"/>
    </row>
    <row r="511">
      <c r="A511" s="8" t="n"/>
      <c r="B511" s="9" t="n"/>
    </row>
    <row r="512">
      <c r="A512" s="8" t="n"/>
      <c r="B512" s="9" t="n"/>
    </row>
    <row r="513">
      <c r="A513" s="8" t="n"/>
      <c r="B513" s="9" t="n"/>
    </row>
    <row r="514">
      <c r="A514" s="8" t="n"/>
      <c r="B514" s="9" t="n"/>
    </row>
    <row r="515">
      <c r="A515" s="8" t="n"/>
      <c r="B515" s="9" t="n"/>
    </row>
    <row r="516">
      <c r="A516" s="8" t="n"/>
      <c r="B516" s="9" t="n"/>
    </row>
    <row r="517">
      <c r="A517" s="8" t="n"/>
      <c r="B517" s="9" t="n"/>
    </row>
    <row r="518">
      <c r="A518" s="8" t="n"/>
      <c r="B518" s="9" t="n"/>
    </row>
    <row r="519">
      <c r="A519" s="8" t="n"/>
      <c r="B519" s="9" t="n"/>
    </row>
    <row r="520">
      <c r="A520" s="8" t="n"/>
      <c r="B520" s="9" t="n"/>
    </row>
    <row r="521">
      <c r="A521" s="8" t="n"/>
      <c r="B521" s="9" t="n"/>
    </row>
    <row r="522">
      <c r="A522" s="8" t="n"/>
      <c r="B522" s="9" t="n"/>
    </row>
    <row r="523">
      <c r="A523" s="8" t="n"/>
      <c r="B523" s="9" t="n"/>
    </row>
    <row r="524">
      <c r="A524" s="8" t="n"/>
      <c r="B524" s="9" t="n"/>
    </row>
    <row r="525">
      <c r="A525" s="8" t="n"/>
      <c r="B525" s="9" t="n"/>
    </row>
    <row r="526">
      <c r="A526" s="8" t="n"/>
      <c r="B526" s="9" t="n"/>
    </row>
    <row r="527">
      <c r="A527" s="8" t="n"/>
      <c r="B527" s="9" t="n"/>
    </row>
    <row r="528">
      <c r="A528" s="8" t="n"/>
      <c r="B528" s="9" t="n"/>
    </row>
    <row r="529">
      <c r="A529" s="8" t="n"/>
      <c r="B529" s="9" t="n"/>
    </row>
    <row r="530">
      <c r="A530" s="8" t="n"/>
      <c r="B530" s="9" t="n"/>
    </row>
    <row r="531">
      <c r="A531" s="8" t="n"/>
      <c r="B531" s="9" t="n"/>
    </row>
    <row r="532">
      <c r="A532" s="8" t="n"/>
      <c r="B532" s="9" t="n"/>
    </row>
    <row r="533">
      <c r="A533" s="8" t="n"/>
      <c r="B533" s="9" t="n"/>
    </row>
    <row r="534">
      <c r="A534" s="8" t="n"/>
      <c r="B534" s="9" t="n"/>
    </row>
    <row r="535">
      <c r="A535" s="8" t="n"/>
      <c r="B535" s="9" t="n"/>
    </row>
    <row r="536">
      <c r="A536" s="8" t="n"/>
      <c r="B536" s="9" t="n"/>
    </row>
    <row r="537">
      <c r="A537" s="8" t="n"/>
      <c r="B537" s="9" t="n"/>
    </row>
    <row r="538">
      <c r="A538" s="8" t="n"/>
      <c r="B538" s="9" t="n"/>
    </row>
    <row r="539">
      <c r="A539" s="8" t="n"/>
      <c r="B539" s="9" t="n"/>
    </row>
    <row r="540">
      <c r="A540" s="8" t="n"/>
      <c r="B540" s="9" t="n"/>
    </row>
    <row r="541">
      <c r="A541" s="8" t="n"/>
      <c r="B541" s="9" t="n"/>
    </row>
    <row r="542">
      <c r="A542" s="8" t="n"/>
      <c r="B542" s="9" t="n"/>
    </row>
    <row r="543">
      <c r="A543" s="8" t="n"/>
      <c r="B543" s="9" t="n"/>
    </row>
    <row r="544">
      <c r="A544" s="8" t="n"/>
      <c r="B544" s="9" t="n"/>
    </row>
    <row r="545">
      <c r="A545" s="8" t="n"/>
      <c r="B545" s="9" t="n"/>
    </row>
    <row r="546">
      <c r="A546" s="8" t="n"/>
      <c r="B546" s="9" t="n"/>
    </row>
    <row r="547">
      <c r="A547" s="8" t="n"/>
      <c r="B547" s="9" t="n"/>
    </row>
    <row r="548">
      <c r="A548" s="8" t="n"/>
      <c r="B548" s="9" t="n"/>
    </row>
    <row r="549">
      <c r="A549" s="8" t="n"/>
      <c r="B549" s="9" t="n"/>
    </row>
    <row r="550">
      <c r="A550" s="8" t="n"/>
      <c r="B550" s="9" t="n"/>
    </row>
    <row r="551">
      <c r="A551" s="8" t="n"/>
      <c r="B551" s="9" t="n"/>
    </row>
    <row r="552">
      <c r="A552" s="8" t="n"/>
      <c r="B552" s="9" t="n"/>
    </row>
    <row r="553">
      <c r="A553" s="8" t="n"/>
      <c r="B553" s="9" t="n"/>
    </row>
    <row r="554">
      <c r="A554" s="8" t="n"/>
      <c r="B554" s="9" t="n"/>
    </row>
    <row r="555">
      <c r="A555" s="8" t="n"/>
      <c r="B555" s="9" t="n"/>
    </row>
    <row r="556">
      <c r="A556" s="8" t="n"/>
      <c r="B556" s="9" t="n"/>
    </row>
    <row r="557">
      <c r="A557" s="8" t="n"/>
      <c r="B557" s="9" t="n"/>
    </row>
    <row r="558">
      <c r="A558" s="8" t="n"/>
      <c r="B558" s="9" t="n"/>
    </row>
    <row r="559">
      <c r="A559" s="8" t="n"/>
      <c r="B559" s="9" t="n"/>
    </row>
    <row r="560">
      <c r="A560" s="8" t="n"/>
      <c r="B560" s="9" t="n"/>
    </row>
    <row r="561">
      <c r="A561" s="8" t="n"/>
      <c r="B561" s="9" t="n"/>
    </row>
    <row r="562">
      <c r="A562" s="8" t="n"/>
      <c r="B562" s="9" t="n"/>
    </row>
    <row r="563">
      <c r="A563" s="8" t="n"/>
      <c r="B563" s="9" t="n"/>
    </row>
    <row r="564">
      <c r="A564" s="8" t="n"/>
      <c r="B564" s="9" t="n"/>
    </row>
    <row r="565">
      <c r="A565" s="8" t="n"/>
      <c r="B565" s="9" t="n"/>
    </row>
    <row r="566">
      <c r="A566" s="8" t="n"/>
      <c r="B566" s="9" t="n"/>
    </row>
    <row r="567">
      <c r="A567" s="8" t="n"/>
      <c r="B567" s="9" t="n"/>
    </row>
    <row r="568">
      <c r="A568" s="8" t="n"/>
      <c r="B568" s="9" t="n"/>
    </row>
    <row r="569">
      <c r="A569" s="8" t="n"/>
      <c r="B569" s="9" t="n"/>
    </row>
    <row r="570">
      <c r="A570" s="8" t="n"/>
      <c r="B570" s="9" t="n"/>
    </row>
    <row r="571">
      <c r="A571" s="8" t="n"/>
      <c r="B571" s="9" t="n"/>
    </row>
    <row r="572">
      <c r="A572" s="8" t="n"/>
      <c r="B572" s="9" t="n"/>
    </row>
    <row r="573">
      <c r="A573" s="8" t="n"/>
      <c r="B573" s="9" t="n"/>
    </row>
    <row r="574">
      <c r="A574" s="8" t="n"/>
      <c r="B574" s="9" t="n"/>
    </row>
    <row r="575">
      <c r="A575" s="8" t="n"/>
      <c r="B575" s="9" t="n"/>
    </row>
    <row r="576">
      <c r="A576" s="8" t="n"/>
      <c r="B576" s="9" t="n"/>
    </row>
    <row r="577">
      <c r="A577" s="8" t="n"/>
      <c r="B577" s="9" t="n"/>
    </row>
    <row r="578">
      <c r="A578" s="8" t="n"/>
      <c r="B578" s="9" t="n"/>
    </row>
    <row r="579">
      <c r="A579" s="8" t="n"/>
      <c r="B579" s="9" t="n"/>
    </row>
    <row r="580">
      <c r="A580" s="8" t="n"/>
      <c r="B580" s="9" t="n"/>
    </row>
    <row r="581">
      <c r="A581" s="8" t="n"/>
      <c r="B581" s="9" t="n"/>
    </row>
    <row r="582">
      <c r="A582" s="8" t="n"/>
      <c r="B582" s="9" t="n"/>
    </row>
    <row r="583">
      <c r="A583" s="8" t="n"/>
      <c r="B583" s="9" t="n"/>
    </row>
    <row r="584">
      <c r="A584" s="8" t="n"/>
      <c r="B584" s="9" t="n"/>
    </row>
    <row r="585">
      <c r="A585" s="8" t="n"/>
      <c r="B585" s="9" t="n"/>
    </row>
    <row r="586">
      <c r="A586" s="8" t="n"/>
      <c r="B586" s="9" t="n"/>
    </row>
    <row r="587">
      <c r="A587" s="8" t="n"/>
      <c r="B587" s="9" t="n"/>
    </row>
    <row r="588">
      <c r="A588" s="8" t="n"/>
      <c r="B588" s="9" t="n"/>
    </row>
    <row r="589">
      <c r="A589" s="8" t="n"/>
      <c r="B589" s="9" t="n"/>
    </row>
    <row r="590">
      <c r="A590" s="8" t="n"/>
      <c r="B590" s="9" t="n"/>
    </row>
    <row r="591">
      <c r="A591" s="8" t="n"/>
      <c r="B591" s="9" t="n"/>
    </row>
    <row r="592">
      <c r="A592" s="8" t="n"/>
      <c r="B592" s="9" t="n"/>
    </row>
    <row r="593">
      <c r="A593" s="8" t="n"/>
      <c r="B593" s="9" t="n"/>
    </row>
    <row r="594">
      <c r="A594" s="8" t="n"/>
      <c r="B594" s="9" t="n"/>
    </row>
    <row r="595">
      <c r="A595" s="8" t="n"/>
      <c r="B595" s="9" t="n"/>
    </row>
    <row r="596">
      <c r="A596" s="8" t="n"/>
      <c r="B596" s="9" t="n"/>
    </row>
    <row r="597">
      <c r="A597" s="8" t="n"/>
      <c r="B597" s="9" t="n"/>
    </row>
    <row r="598">
      <c r="A598" s="8" t="n"/>
      <c r="B598" s="9" t="n"/>
    </row>
    <row r="599">
      <c r="A599" s="8" t="n"/>
      <c r="B599" s="9" t="n"/>
    </row>
    <row r="600">
      <c r="A600" s="8" t="n"/>
      <c r="B600" s="9" t="n"/>
    </row>
    <row r="601">
      <c r="A601" s="8" t="n"/>
      <c r="B601" s="9" t="n"/>
    </row>
    <row r="602">
      <c r="A602" s="8" t="n"/>
      <c r="B602" s="9" t="n"/>
    </row>
    <row r="603">
      <c r="A603" s="8" t="n"/>
      <c r="B603" s="9" t="n"/>
    </row>
    <row r="604">
      <c r="A604" s="8" t="n"/>
      <c r="B604" s="9" t="n"/>
    </row>
    <row r="605">
      <c r="A605" s="8" t="n"/>
      <c r="B605" s="9" t="n"/>
    </row>
    <row r="606">
      <c r="A606" s="8" t="n"/>
      <c r="B606" s="9" t="n"/>
    </row>
    <row r="607">
      <c r="A607" s="8" t="n"/>
      <c r="B607" s="9" t="n"/>
    </row>
    <row r="608">
      <c r="A608" s="8" t="n"/>
      <c r="B608" s="9" t="n"/>
    </row>
    <row r="609">
      <c r="A609" s="8" t="n"/>
      <c r="B609" s="9" t="n"/>
    </row>
    <row r="610">
      <c r="A610" s="8" t="n"/>
      <c r="B610" s="9" t="n"/>
    </row>
    <row r="611">
      <c r="A611" s="8" t="n"/>
      <c r="B611" s="9" t="n"/>
    </row>
    <row r="612">
      <c r="A612" s="8" t="n"/>
      <c r="B612" s="9" t="n"/>
    </row>
    <row r="613">
      <c r="A613" s="8" t="n"/>
      <c r="B613" s="9" t="n"/>
    </row>
    <row r="614">
      <c r="A614" s="8" t="n"/>
      <c r="B614" s="9" t="n"/>
    </row>
    <row r="615">
      <c r="A615" s="8" t="n"/>
      <c r="B615" s="9" t="n"/>
    </row>
    <row r="616">
      <c r="A616" s="8" t="n"/>
      <c r="B616" s="9" t="n"/>
    </row>
    <row r="617">
      <c r="A617" s="8" t="n"/>
      <c r="B617" s="9" t="n"/>
    </row>
    <row r="618">
      <c r="A618" s="8" t="n"/>
      <c r="B618" s="9" t="n"/>
    </row>
    <row r="619">
      <c r="A619" s="8" t="n"/>
      <c r="B619" s="9" t="n"/>
    </row>
    <row r="620">
      <c r="A620" s="8" t="n"/>
      <c r="B620" s="9" t="n"/>
    </row>
    <row r="621">
      <c r="A621" s="8" t="n"/>
      <c r="B621" s="9" t="n"/>
    </row>
    <row r="622">
      <c r="A622" s="8" t="n"/>
      <c r="B622" s="9" t="n"/>
    </row>
    <row r="623">
      <c r="A623" s="8" t="n"/>
      <c r="B623" s="9" t="n"/>
    </row>
    <row r="624">
      <c r="A624" s="8" t="n"/>
      <c r="B624" s="9" t="n"/>
    </row>
    <row r="625">
      <c r="A625" s="8" t="n"/>
      <c r="B625" s="9" t="n"/>
    </row>
    <row r="626">
      <c r="A626" s="8" t="n"/>
      <c r="B626" s="9" t="n"/>
    </row>
    <row r="627">
      <c r="A627" s="8" t="n"/>
      <c r="B627" s="9" t="n"/>
    </row>
    <row r="628">
      <c r="A628" s="8" t="n"/>
      <c r="B628" s="9" t="n"/>
    </row>
    <row r="629">
      <c r="A629" s="8" t="n"/>
      <c r="B629" s="9" t="n"/>
    </row>
    <row r="630">
      <c r="A630" s="8" t="n"/>
      <c r="B630" s="9" t="n"/>
    </row>
    <row r="631">
      <c r="A631" s="8" t="n"/>
      <c r="B631" s="9" t="n"/>
    </row>
    <row r="632">
      <c r="A632" s="8" t="n"/>
      <c r="B632" s="9" t="n"/>
    </row>
    <row r="633">
      <c r="A633" s="8" t="n"/>
      <c r="B633" s="9" t="n"/>
    </row>
    <row r="634">
      <c r="A634" s="8" t="n"/>
      <c r="B634" s="9" t="n"/>
    </row>
    <row r="635">
      <c r="A635" s="8" t="n"/>
      <c r="B635" s="9" t="n"/>
    </row>
    <row r="636">
      <c r="A636" s="8" t="n"/>
      <c r="B636" s="9" t="n"/>
    </row>
    <row r="637">
      <c r="A637" s="8" t="n"/>
      <c r="B637" s="9" t="n"/>
    </row>
    <row r="638">
      <c r="A638" s="8" t="n"/>
      <c r="B638" s="9" t="n"/>
    </row>
    <row r="639">
      <c r="A639" s="8" t="n"/>
      <c r="B639" s="9" t="n"/>
    </row>
    <row r="640">
      <c r="A640" s="8" t="n"/>
      <c r="B640" s="9" t="n"/>
    </row>
    <row r="641">
      <c r="A641" s="8" t="n"/>
      <c r="B641" s="9" t="n"/>
    </row>
    <row r="642">
      <c r="A642" s="8" t="n"/>
      <c r="B642" s="9" t="n"/>
    </row>
    <row r="643">
      <c r="A643" s="8" t="n"/>
      <c r="B643" s="9" t="n"/>
    </row>
    <row r="644">
      <c r="A644" s="8" t="n"/>
      <c r="B644" s="9" t="n"/>
    </row>
    <row r="645">
      <c r="A645" s="8" t="n"/>
      <c r="B645" s="9" t="n"/>
    </row>
    <row r="646">
      <c r="A646" s="8" t="n"/>
      <c r="B646" s="9" t="n"/>
    </row>
    <row r="647">
      <c r="A647" s="8" t="n"/>
      <c r="B647" s="9" t="n"/>
    </row>
    <row r="648">
      <c r="A648" s="8" t="n"/>
      <c r="B648" s="9" t="n"/>
    </row>
    <row r="649">
      <c r="A649" s="8" t="n"/>
      <c r="B649" s="9" t="n"/>
    </row>
    <row r="650">
      <c r="A650" s="8" t="n"/>
      <c r="B650" s="9" t="n"/>
    </row>
    <row r="651">
      <c r="A651" s="8" t="n"/>
      <c r="B651" s="9" t="n"/>
    </row>
    <row r="652">
      <c r="A652" s="8" t="n"/>
      <c r="B652" s="9" t="n"/>
    </row>
    <row r="653">
      <c r="A653" s="8" t="n"/>
      <c r="B653" s="9" t="n"/>
    </row>
    <row r="654">
      <c r="A654" s="8" t="n"/>
      <c r="B654" s="9" t="n"/>
    </row>
    <row r="655">
      <c r="A655" s="8" t="n"/>
      <c r="B655" s="9" t="n"/>
    </row>
    <row r="656">
      <c r="A656" s="8" t="n"/>
      <c r="B656" s="9" t="n"/>
    </row>
    <row r="657">
      <c r="A657" s="8" t="n"/>
      <c r="B657" s="9" t="n"/>
    </row>
    <row r="658">
      <c r="A658" s="8" t="n"/>
      <c r="B658" s="9" t="n"/>
    </row>
    <row r="659">
      <c r="A659" s="8" t="n"/>
      <c r="B659" s="9" t="n"/>
    </row>
    <row r="660">
      <c r="A660" s="8" t="n"/>
      <c r="B660" s="9" t="n"/>
    </row>
    <row r="661">
      <c r="A661" s="8" t="n"/>
      <c r="B661" s="9" t="n"/>
    </row>
    <row r="662">
      <c r="A662" s="8" t="n"/>
      <c r="B662" s="9" t="n"/>
    </row>
    <row r="663">
      <c r="A663" s="8" t="n"/>
      <c r="B663" s="9" t="n"/>
    </row>
    <row r="664">
      <c r="A664" s="8" t="n"/>
      <c r="B664" s="9" t="n"/>
    </row>
    <row r="665">
      <c r="A665" s="8" t="n"/>
      <c r="B665" s="9" t="n"/>
    </row>
    <row r="666">
      <c r="A666" s="8" t="n"/>
      <c r="B666" s="9" t="n"/>
    </row>
    <row r="667">
      <c r="A667" s="8" t="n"/>
      <c r="B667" s="9" t="n"/>
    </row>
    <row r="668">
      <c r="A668" s="8" t="n"/>
      <c r="B668" s="9" t="n"/>
    </row>
    <row r="669">
      <c r="A669" s="8" t="n"/>
      <c r="B669" s="9" t="n"/>
    </row>
    <row r="670">
      <c r="A670" s="8" t="n"/>
      <c r="B670" s="9" t="n"/>
    </row>
    <row r="671">
      <c r="A671" s="8" t="n"/>
      <c r="B671" s="9" t="n"/>
    </row>
    <row r="672">
      <c r="A672" s="8" t="n"/>
      <c r="B672" s="9" t="n"/>
    </row>
    <row r="673">
      <c r="A673" s="8" t="n"/>
      <c r="B673" s="9" t="n"/>
    </row>
    <row r="674">
      <c r="A674" s="8" t="n"/>
      <c r="B674" s="9" t="n"/>
    </row>
    <row r="675">
      <c r="A675" s="8" t="n"/>
      <c r="B675" s="9" t="n"/>
    </row>
    <row r="676">
      <c r="A676" s="8" t="n"/>
      <c r="B676" s="9" t="n"/>
    </row>
    <row r="677">
      <c r="A677" s="8" t="n"/>
      <c r="B677" s="9" t="n"/>
    </row>
    <row r="678">
      <c r="A678" s="8" t="n"/>
      <c r="B678" s="9" t="n"/>
    </row>
    <row r="679">
      <c r="A679" s="8" t="n"/>
      <c r="B679" s="9" t="n"/>
    </row>
    <row r="680">
      <c r="A680" s="8" t="n"/>
      <c r="B680" s="9" t="n"/>
    </row>
    <row r="681">
      <c r="A681" s="8" t="n"/>
      <c r="B681" s="9" t="n"/>
    </row>
    <row r="682">
      <c r="A682" s="8" t="n"/>
      <c r="B682" s="9" t="n"/>
    </row>
    <row r="683">
      <c r="A683" s="8" t="n"/>
      <c r="B683" s="9" t="n"/>
    </row>
    <row r="684">
      <c r="A684" s="8" t="n"/>
      <c r="B684" s="9" t="n"/>
    </row>
    <row r="685">
      <c r="A685" s="8" t="n"/>
      <c r="B685" s="9" t="n"/>
    </row>
    <row r="686">
      <c r="A686" s="8" t="n"/>
      <c r="B686" s="9" t="n"/>
    </row>
    <row r="687">
      <c r="A687" s="8" t="n"/>
      <c r="B687" s="9" t="n"/>
    </row>
    <row r="688">
      <c r="A688" s="8" t="n"/>
      <c r="B688" s="9" t="n"/>
    </row>
    <row r="689">
      <c r="A689" s="8" t="n"/>
      <c r="B689" s="9" t="n"/>
    </row>
    <row r="690">
      <c r="A690" s="8" t="n"/>
      <c r="B690" s="9" t="n"/>
    </row>
    <row r="691">
      <c r="A691" s="8" t="n"/>
      <c r="B691" s="9" t="n"/>
    </row>
    <row r="692">
      <c r="A692" s="8" t="n"/>
      <c r="B692" s="9" t="n"/>
    </row>
    <row r="693">
      <c r="A693" s="8" t="n"/>
      <c r="B693" s="9" t="n"/>
    </row>
    <row r="694">
      <c r="A694" s="8" t="n"/>
      <c r="B694" s="9" t="n"/>
    </row>
    <row r="695">
      <c r="A695" s="8" t="n"/>
      <c r="B695" s="9" t="n"/>
    </row>
    <row r="696">
      <c r="A696" s="8" t="n"/>
      <c r="B696" s="9" t="n"/>
    </row>
    <row r="697">
      <c r="A697" s="8" t="n"/>
      <c r="B697" s="9" t="n"/>
    </row>
    <row r="698">
      <c r="A698" s="8" t="n"/>
      <c r="B698" s="9" t="n"/>
    </row>
    <row r="699">
      <c r="A699" s="8" t="n"/>
      <c r="B699" s="9" t="n"/>
    </row>
    <row r="700">
      <c r="A700" s="8" t="n"/>
      <c r="B700" s="9" t="n"/>
    </row>
    <row r="701">
      <c r="A701" s="8" t="n"/>
      <c r="B701" s="9" t="n"/>
    </row>
    <row r="702">
      <c r="A702" s="8" t="n"/>
      <c r="B702" s="9" t="n"/>
    </row>
    <row r="703">
      <c r="A703" s="8" t="n"/>
      <c r="B703" s="9" t="n"/>
    </row>
    <row r="704">
      <c r="A704" s="8" t="n"/>
      <c r="B704" s="9" t="n"/>
    </row>
    <row r="705">
      <c r="A705" s="8" t="n"/>
      <c r="B705" s="9" t="n"/>
    </row>
    <row r="706">
      <c r="A706" s="8" t="n"/>
      <c r="B706" s="9" t="n"/>
    </row>
    <row r="707">
      <c r="A707" s="8" t="n"/>
      <c r="B707" s="9" t="n"/>
    </row>
    <row r="708">
      <c r="A708" s="8" t="n"/>
      <c r="B708" s="9" t="n"/>
    </row>
    <row r="709">
      <c r="A709" s="8" t="n"/>
      <c r="B709" s="9" t="n"/>
    </row>
    <row r="710">
      <c r="A710" s="8" t="n"/>
      <c r="B710" s="9" t="n"/>
    </row>
    <row r="711">
      <c r="A711" s="8" t="n"/>
      <c r="B711" s="9" t="n"/>
    </row>
    <row r="712">
      <c r="A712" s="8" t="n"/>
      <c r="B712" s="9" t="n"/>
    </row>
    <row r="713">
      <c r="A713" s="8" t="n"/>
      <c r="B713" s="9" t="n"/>
    </row>
    <row r="714">
      <c r="A714" s="8" t="n"/>
      <c r="B714" s="9" t="n"/>
    </row>
    <row r="715">
      <c r="A715" s="8" t="n"/>
      <c r="B715" s="9" t="n"/>
    </row>
    <row r="716">
      <c r="A716" s="8" t="n"/>
      <c r="B716" s="9" t="n"/>
    </row>
    <row r="717">
      <c r="A717" s="8" t="n"/>
      <c r="B717" s="9" t="n"/>
    </row>
    <row r="718">
      <c r="A718" s="8" t="n"/>
      <c r="B718" s="9" t="n"/>
    </row>
    <row r="719">
      <c r="A719" s="8" t="n"/>
      <c r="B719" s="9" t="n"/>
    </row>
    <row r="720">
      <c r="A720" s="8" t="n"/>
      <c r="B720" s="9" t="n"/>
    </row>
    <row r="721">
      <c r="A721" s="8" t="n"/>
      <c r="B721" s="9" t="n"/>
    </row>
    <row r="722">
      <c r="A722" s="8" t="n"/>
      <c r="B722" s="9" t="n"/>
    </row>
    <row r="723">
      <c r="A723" s="8" t="n"/>
      <c r="B723" s="9" t="n"/>
    </row>
    <row r="724">
      <c r="A724" s="8" t="n"/>
      <c r="B724" s="9" t="n"/>
    </row>
    <row r="725">
      <c r="A725" s="8" t="n"/>
      <c r="B725" s="9" t="n"/>
    </row>
    <row r="726">
      <c r="A726" s="8" t="n"/>
      <c r="B726" s="9" t="n"/>
    </row>
    <row r="727">
      <c r="A727" s="8" t="n"/>
      <c r="B727" s="9" t="n"/>
    </row>
    <row r="728">
      <c r="A728" s="8" t="n"/>
      <c r="B728" s="9" t="n"/>
    </row>
    <row r="729">
      <c r="A729" s="8" t="n"/>
      <c r="B729" s="9" t="n"/>
    </row>
    <row r="730">
      <c r="A730" s="8" t="n"/>
      <c r="B730" s="9" t="n"/>
    </row>
    <row r="731">
      <c r="A731" s="8" t="n"/>
      <c r="B731" s="9" t="n"/>
    </row>
    <row r="732">
      <c r="A732" s="8" t="n"/>
      <c r="B732" s="9" t="n"/>
    </row>
    <row r="733">
      <c r="A733" s="8" t="n"/>
      <c r="B733" s="9" t="n"/>
    </row>
    <row r="734">
      <c r="A734" s="8" t="n"/>
      <c r="B734" s="9" t="n"/>
    </row>
    <row r="735">
      <c r="A735" s="8" t="n"/>
      <c r="B735" s="9" t="n"/>
    </row>
    <row r="736">
      <c r="A736" s="8" t="n"/>
      <c r="B736" s="9" t="n"/>
    </row>
    <row r="737">
      <c r="A737" s="8" t="n"/>
      <c r="B737" s="9" t="n"/>
    </row>
    <row r="738">
      <c r="A738" s="8" t="n"/>
      <c r="B738" s="9" t="n"/>
    </row>
    <row r="739">
      <c r="A739" s="8" t="n"/>
      <c r="B739" s="9" t="n"/>
    </row>
    <row r="740">
      <c r="A740" s="8" t="n"/>
      <c r="B740" s="9" t="n"/>
    </row>
    <row r="741">
      <c r="A741" s="8" t="n"/>
      <c r="B741" s="9" t="n"/>
    </row>
    <row r="742">
      <c r="A742" s="8" t="n"/>
      <c r="B742" s="9" t="n"/>
    </row>
    <row r="743">
      <c r="A743" s="8" t="n"/>
      <c r="B743" s="9" t="n"/>
    </row>
    <row r="744">
      <c r="A744" s="8" t="n"/>
      <c r="B744" s="9" t="n"/>
    </row>
    <row r="745">
      <c r="A745" s="8" t="n"/>
      <c r="B745" s="9" t="n"/>
    </row>
    <row r="746">
      <c r="A746" s="8" t="n"/>
      <c r="B746" s="9" t="n"/>
    </row>
    <row r="747">
      <c r="A747" s="8" t="n"/>
      <c r="B747" s="9" t="n"/>
    </row>
    <row r="748">
      <c r="A748" s="8" t="n"/>
      <c r="B748" s="9" t="n"/>
    </row>
    <row r="749">
      <c r="A749" s="8" t="n"/>
      <c r="B749" s="9" t="n"/>
    </row>
    <row r="750">
      <c r="A750" s="8" t="n"/>
      <c r="B750" s="9" t="n"/>
    </row>
    <row r="751">
      <c r="A751" s="8" t="n"/>
      <c r="B751" s="9" t="n"/>
    </row>
    <row r="752">
      <c r="A752" s="8" t="n"/>
      <c r="B752" s="9" t="n"/>
    </row>
    <row r="753">
      <c r="A753" s="8" t="n"/>
      <c r="B753" s="9" t="n"/>
    </row>
    <row r="754">
      <c r="A754" s="8" t="n"/>
      <c r="B754" s="9" t="n"/>
    </row>
    <row r="755">
      <c r="A755" s="8" t="n"/>
      <c r="B755" s="9" t="n"/>
    </row>
    <row r="756">
      <c r="A756" s="8" t="n"/>
      <c r="B756" s="9" t="n"/>
    </row>
    <row r="757">
      <c r="A757" s="8" t="n"/>
      <c r="B757" s="9" t="n"/>
    </row>
    <row r="758">
      <c r="A758" s="8" t="n"/>
      <c r="B758" s="9" t="n"/>
    </row>
    <row r="759">
      <c r="A759" s="8" t="n"/>
      <c r="B759" s="9" t="n"/>
    </row>
    <row r="760">
      <c r="A760" s="8" t="n"/>
      <c r="B760" s="9" t="n"/>
    </row>
    <row r="761">
      <c r="A761" s="8" t="n"/>
      <c r="B761" s="9" t="n"/>
    </row>
    <row r="762">
      <c r="A762" s="8" t="n"/>
      <c r="B762" s="9" t="n"/>
    </row>
    <row r="763">
      <c r="A763" s="8" t="n"/>
      <c r="B763" s="9" t="n"/>
    </row>
    <row r="764">
      <c r="A764" s="8" t="n"/>
      <c r="B764" s="9" t="n"/>
    </row>
    <row r="765">
      <c r="A765" s="8" t="n"/>
      <c r="B765" s="9" t="n"/>
    </row>
    <row r="766">
      <c r="A766" s="8" t="n"/>
      <c r="B766" s="9" t="n"/>
    </row>
    <row r="767">
      <c r="A767" s="8" t="n"/>
      <c r="B767" s="9" t="n"/>
    </row>
    <row r="768">
      <c r="A768" s="8" t="n"/>
      <c r="B768" s="9" t="n"/>
    </row>
    <row r="769">
      <c r="A769" s="8" t="n"/>
      <c r="B769" s="9" t="n"/>
    </row>
    <row r="770">
      <c r="A770" s="8" t="n"/>
      <c r="B770" s="9" t="n"/>
    </row>
    <row r="771">
      <c r="A771" s="8" t="n"/>
      <c r="B771" s="9" t="n"/>
    </row>
    <row r="772">
      <c r="A772" s="8" t="n"/>
      <c r="B772" s="9" t="n"/>
    </row>
    <row r="773">
      <c r="A773" s="8" t="n"/>
      <c r="B773" s="9" t="n"/>
    </row>
    <row r="774">
      <c r="A774" s="8" t="n"/>
      <c r="B774" s="9" t="n"/>
    </row>
    <row r="775">
      <c r="A775" s="8" t="n"/>
      <c r="B775" s="9" t="n"/>
    </row>
    <row r="776">
      <c r="A776" s="8" t="n"/>
      <c r="B776" s="9" t="n"/>
    </row>
    <row r="777">
      <c r="A777" s="8" t="n"/>
      <c r="B777" s="9" t="n"/>
    </row>
    <row r="778">
      <c r="A778" s="8" t="n"/>
      <c r="B778" s="9" t="n"/>
    </row>
    <row r="779">
      <c r="A779" s="8" t="n"/>
      <c r="B779" s="9" t="n"/>
    </row>
    <row r="780">
      <c r="A780" s="8" t="n"/>
      <c r="B780" s="9" t="n"/>
    </row>
    <row r="781">
      <c r="A781" s="8" t="n"/>
      <c r="B781" s="9" t="n"/>
    </row>
    <row r="782">
      <c r="A782" s="8" t="n"/>
      <c r="B782" s="9" t="n"/>
    </row>
    <row r="783">
      <c r="A783" s="8" t="n"/>
      <c r="B783" s="9" t="n"/>
    </row>
    <row r="784">
      <c r="A784" s="8" t="n"/>
      <c r="B784" s="9" t="n"/>
    </row>
    <row r="785">
      <c r="A785" s="8" t="n"/>
      <c r="B785" s="9" t="n"/>
    </row>
    <row r="786">
      <c r="A786" s="8" t="n"/>
      <c r="B786" s="9" t="n"/>
    </row>
    <row r="787">
      <c r="A787" s="8" t="n"/>
      <c r="B787" s="9" t="n"/>
    </row>
    <row r="788">
      <c r="A788" s="8" t="n"/>
      <c r="B788" s="9" t="n"/>
    </row>
    <row r="789">
      <c r="A789" s="8" t="n"/>
      <c r="B789" s="9" t="n"/>
    </row>
    <row r="790">
      <c r="A790" s="8" t="n"/>
      <c r="B790" s="9" t="n"/>
    </row>
    <row r="791">
      <c r="A791" s="8" t="n"/>
      <c r="B791" s="9" t="n"/>
    </row>
    <row r="792">
      <c r="A792" s="8" t="n"/>
      <c r="B792" s="9" t="n"/>
    </row>
    <row r="793">
      <c r="A793" s="8" t="n"/>
      <c r="B793" s="9" t="n"/>
    </row>
    <row r="794">
      <c r="A794" s="8" t="n"/>
      <c r="B794" s="9" t="n"/>
    </row>
    <row r="795">
      <c r="A795" s="8" t="n"/>
      <c r="B795" s="9" t="n"/>
    </row>
    <row r="796">
      <c r="A796" s="8" t="n"/>
      <c r="B796" s="9" t="n"/>
    </row>
    <row r="797">
      <c r="A797" s="8" t="n"/>
      <c r="B797" s="9" t="n"/>
    </row>
    <row r="798">
      <c r="A798" s="8" t="n"/>
      <c r="B798" s="9" t="n"/>
    </row>
    <row r="799">
      <c r="A799" s="8" t="n"/>
      <c r="B799" s="9" t="n"/>
    </row>
    <row r="800">
      <c r="A800" s="8" t="n"/>
      <c r="B800" s="9" t="n"/>
    </row>
    <row r="801">
      <c r="A801" s="8" t="n"/>
      <c r="B801" s="9" t="n"/>
    </row>
    <row r="802">
      <c r="A802" s="8" t="n"/>
      <c r="B802" s="9" t="n"/>
    </row>
    <row r="803">
      <c r="A803" s="8" t="n"/>
      <c r="B803" s="9" t="n"/>
    </row>
    <row r="804">
      <c r="A804" s="8" t="n"/>
      <c r="B804" s="9" t="n"/>
    </row>
    <row r="805">
      <c r="A805" s="8" t="n"/>
      <c r="B805" s="9" t="n"/>
    </row>
    <row r="806">
      <c r="A806" s="8" t="n"/>
      <c r="B806" s="9" t="n"/>
    </row>
    <row r="807">
      <c r="A807" s="8" t="n"/>
      <c r="B807" s="9" t="n"/>
    </row>
    <row r="808">
      <c r="A808" s="8" t="n"/>
      <c r="B808" s="9" t="n"/>
    </row>
    <row r="809">
      <c r="A809" s="8" t="n"/>
      <c r="B809" s="9" t="n"/>
    </row>
    <row r="810">
      <c r="A810" s="8" t="n"/>
      <c r="B810" s="9" t="n"/>
    </row>
    <row r="811">
      <c r="A811" s="8" t="n"/>
      <c r="B811" s="9" t="n"/>
    </row>
    <row r="812">
      <c r="A812" s="8" t="n"/>
      <c r="B812" s="9" t="n"/>
    </row>
    <row r="813">
      <c r="A813" s="8" t="n"/>
      <c r="B813" s="9" t="n"/>
    </row>
    <row r="814">
      <c r="A814" s="8" t="n"/>
      <c r="B814" s="9" t="n"/>
    </row>
    <row r="815">
      <c r="A815" s="8" t="n"/>
      <c r="B815" s="9" t="n"/>
    </row>
    <row r="816">
      <c r="A816" s="8" t="n"/>
      <c r="B816" s="9" t="n"/>
    </row>
    <row r="817">
      <c r="A817" s="8" t="n"/>
      <c r="B817" s="9" t="n"/>
    </row>
    <row r="818">
      <c r="A818" s="8" t="n"/>
      <c r="B818" s="9" t="n"/>
    </row>
    <row r="819">
      <c r="A819" s="8" t="n"/>
      <c r="B819" s="9" t="n"/>
    </row>
    <row r="820">
      <c r="A820" s="8" t="n"/>
      <c r="B820" s="9" t="n"/>
    </row>
    <row r="821">
      <c r="A821" s="8" t="n"/>
      <c r="B821" s="9" t="n"/>
    </row>
    <row r="822">
      <c r="A822" s="8" t="n"/>
      <c r="B822" s="9" t="n"/>
    </row>
    <row r="823">
      <c r="A823" s="8" t="n"/>
      <c r="B823" s="9" t="n"/>
    </row>
    <row r="824">
      <c r="A824" s="8" t="n"/>
      <c r="B824" s="9" t="n"/>
    </row>
    <row r="825">
      <c r="A825" s="8" t="n"/>
      <c r="B825" s="9" t="n"/>
    </row>
    <row r="826">
      <c r="A826" s="8" t="n"/>
      <c r="B826" s="9" t="n"/>
    </row>
    <row r="827">
      <c r="A827" s="8" t="n"/>
      <c r="B827" s="9" t="n"/>
    </row>
    <row r="828">
      <c r="A828" s="8" t="n"/>
      <c r="B828" s="9" t="n"/>
    </row>
    <row r="829">
      <c r="A829" s="8" t="n"/>
      <c r="B829" s="9" t="n"/>
    </row>
    <row r="830">
      <c r="A830" s="8" t="n"/>
      <c r="B830" s="9" t="n"/>
    </row>
    <row r="831">
      <c r="A831" s="8" t="n"/>
      <c r="B831" s="9" t="n"/>
    </row>
    <row r="832">
      <c r="A832" s="8" t="n"/>
      <c r="B832" s="9" t="n"/>
    </row>
    <row r="833">
      <c r="A833" s="8" t="n"/>
      <c r="B833" s="9" t="n"/>
    </row>
    <row r="834">
      <c r="A834" s="8" t="n"/>
      <c r="B834" s="9" t="n"/>
    </row>
    <row r="835">
      <c r="A835" s="8" t="n"/>
      <c r="B835" s="9" t="n"/>
    </row>
    <row r="836">
      <c r="A836" s="8" t="n"/>
      <c r="B836" s="9" t="n"/>
    </row>
    <row r="837">
      <c r="A837" s="8" t="n"/>
      <c r="B837" s="9" t="n"/>
    </row>
    <row r="838">
      <c r="A838" s="8" t="n"/>
      <c r="B838" s="9" t="n"/>
    </row>
    <row r="839">
      <c r="A839" s="8" t="n"/>
      <c r="B839" s="9" t="n"/>
    </row>
    <row r="840">
      <c r="A840" s="8" t="n"/>
      <c r="B840" s="9" t="n"/>
    </row>
    <row r="841">
      <c r="A841" s="8" t="n"/>
      <c r="B841" s="9" t="n"/>
    </row>
    <row r="842">
      <c r="A842" s="8" t="n"/>
      <c r="B842" s="9" t="n"/>
    </row>
    <row r="843">
      <c r="A843" s="8" t="n"/>
      <c r="B843" s="9" t="n"/>
    </row>
    <row r="844">
      <c r="A844" s="8" t="n"/>
      <c r="B844" s="9" t="n"/>
    </row>
    <row r="845">
      <c r="A845" s="8" t="n"/>
      <c r="B845" s="9" t="n"/>
    </row>
    <row r="846">
      <c r="A846" s="8" t="n"/>
      <c r="B846" s="9" t="n"/>
    </row>
    <row r="847">
      <c r="A847" s="8" t="n"/>
      <c r="B847" s="9" t="n"/>
    </row>
    <row r="848">
      <c r="A848" s="8" t="n"/>
      <c r="B848" s="9" t="n"/>
    </row>
    <row r="849">
      <c r="A849" s="8" t="n"/>
      <c r="B849" s="9" t="n"/>
    </row>
    <row r="850">
      <c r="A850" s="8" t="n"/>
      <c r="B850" s="9" t="n"/>
    </row>
    <row r="851">
      <c r="A851" s="8" t="n"/>
      <c r="B851" s="9" t="n"/>
    </row>
    <row r="852">
      <c r="A852" s="8" t="n"/>
      <c r="B852" s="9" t="n"/>
    </row>
    <row r="853">
      <c r="A853" s="8" t="n"/>
      <c r="B853" s="9" t="n"/>
    </row>
    <row r="854">
      <c r="A854" s="8" t="n"/>
      <c r="B854" s="9" t="n"/>
    </row>
    <row r="855">
      <c r="A855" s="8" t="n"/>
      <c r="B855" s="9" t="n"/>
    </row>
    <row r="856">
      <c r="A856" s="8" t="n"/>
      <c r="B856" s="9" t="n"/>
    </row>
    <row r="857">
      <c r="A857" s="8" t="n"/>
      <c r="B857" s="9" t="n"/>
    </row>
    <row r="858">
      <c r="A858" s="8" t="n"/>
      <c r="B858" s="9" t="n"/>
    </row>
    <row r="859">
      <c r="A859" s="8" t="n"/>
      <c r="B859" s="9" t="n"/>
    </row>
    <row r="860">
      <c r="A860" s="8" t="n"/>
      <c r="B860" s="9" t="n"/>
    </row>
    <row r="861">
      <c r="A861" s="8" t="n"/>
      <c r="B861" s="9" t="n"/>
    </row>
    <row r="862">
      <c r="A862" s="8" t="n"/>
      <c r="B862" s="9" t="n"/>
    </row>
    <row r="863">
      <c r="A863" s="8" t="n"/>
      <c r="B863" s="9" t="n"/>
    </row>
    <row r="864">
      <c r="A864" s="8" t="n"/>
      <c r="B864" s="9" t="n"/>
    </row>
    <row r="865">
      <c r="A865" s="8" t="n"/>
      <c r="B865" s="9" t="n"/>
    </row>
    <row r="866">
      <c r="A866" s="8" t="n"/>
      <c r="B866" s="9" t="n"/>
    </row>
    <row r="867">
      <c r="A867" s="8" t="n"/>
      <c r="B867" s="9" t="n"/>
    </row>
    <row r="868">
      <c r="A868" s="8" t="n"/>
      <c r="B868" s="9" t="n"/>
    </row>
    <row r="869">
      <c r="A869" s="8" t="n"/>
      <c r="B869" s="9" t="n"/>
    </row>
    <row r="870">
      <c r="A870" s="8" t="n"/>
      <c r="B870" s="9" t="n"/>
    </row>
    <row r="871">
      <c r="A871" s="8" t="n"/>
      <c r="B871" s="9" t="n"/>
    </row>
    <row r="872">
      <c r="A872" s="8" t="n"/>
      <c r="B872" s="9" t="n"/>
    </row>
    <row r="873">
      <c r="A873" s="8" t="n"/>
      <c r="B873" s="9" t="n"/>
    </row>
    <row r="874">
      <c r="A874" s="8" t="n"/>
      <c r="B874" s="9" t="n"/>
    </row>
    <row r="875">
      <c r="A875" s="8" t="n"/>
      <c r="B875" s="9" t="n"/>
    </row>
    <row r="876">
      <c r="A876" s="8" t="n"/>
      <c r="B876" s="9" t="n"/>
    </row>
    <row r="877">
      <c r="A877" s="8" t="n"/>
      <c r="B877" s="9" t="n"/>
    </row>
    <row r="878">
      <c r="A878" s="8" t="n"/>
      <c r="B878" s="9" t="n"/>
    </row>
    <row r="879">
      <c r="A879" s="8" t="n"/>
      <c r="B879" s="9" t="n"/>
    </row>
    <row r="880">
      <c r="A880" s="8" t="n"/>
      <c r="B880" s="9" t="n"/>
    </row>
    <row r="881">
      <c r="A881" s="8" t="n"/>
      <c r="B881" s="9" t="n"/>
    </row>
    <row r="882">
      <c r="A882" s="8" t="n"/>
      <c r="B882" s="9" t="n"/>
    </row>
    <row r="883">
      <c r="A883" s="8" t="n"/>
      <c r="B883" s="9" t="n"/>
    </row>
    <row r="884">
      <c r="A884" s="8" t="n"/>
      <c r="B884" s="9" t="n"/>
    </row>
    <row r="885">
      <c r="A885" s="8" t="n"/>
      <c r="B885" s="9" t="n"/>
    </row>
    <row r="886">
      <c r="A886" s="8" t="n"/>
      <c r="B886" s="9" t="n"/>
    </row>
    <row r="887">
      <c r="A887" s="8" t="n"/>
      <c r="B887" s="9" t="n"/>
    </row>
    <row r="888">
      <c r="A888" s="8" t="n"/>
      <c r="B888" s="9" t="n"/>
    </row>
    <row r="889">
      <c r="A889" s="8" t="n"/>
      <c r="B889" s="9" t="n"/>
    </row>
    <row r="890">
      <c r="A890" s="8" t="n"/>
      <c r="B890" s="9" t="n"/>
    </row>
    <row r="891">
      <c r="A891" s="8" t="n"/>
      <c r="B891" s="9" t="n"/>
    </row>
    <row r="892">
      <c r="A892" s="8" t="n"/>
      <c r="B892" s="9" t="n"/>
    </row>
    <row r="893">
      <c r="A893" s="8" t="n"/>
      <c r="B893" s="9" t="n"/>
    </row>
    <row r="894">
      <c r="A894" s="8" t="n"/>
      <c r="B894" s="9" t="n"/>
    </row>
    <row r="895">
      <c r="A895" s="8" t="n"/>
      <c r="B895" s="9" t="n"/>
    </row>
    <row r="896">
      <c r="A896" s="8" t="n"/>
      <c r="B896" s="9" t="n"/>
    </row>
    <row r="897">
      <c r="A897" s="8" t="n"/>
      <c r="B897" s="9" t="n"/>
    </row>
    <row r="898">
      <c r="A898" s="8" t="n"/>
      <c r="B898" s="9" t="n"/>
    </row>
    <row r="899">
      <c r="A899" s="8" t="n"/>
      <c r="B899" s="9" t="n"/>
    </row>
    <row r="900">
      <c r="A900" s="8" t="n"/>
      <c r="B900" s="9" t="n"/>
    </row>
    <row r="901">
      <c r="A901" s="8" t="n"/>
      <c r="B901" s="9" t="n"/>
    </row>
    <row r="902">
      <c r="A902" s="8" t="n"/>
      <c r="B902" s="9" t="n"/>
    </row>
    <row r="903">
      <c r="A903" s="8" t="n"/>
      <c r="B903" s="9" t="n"/>
    </row>
    <row r="904">
      <c r="A904" s="8" t="n"/>
      <c r="B904" s="9" t="n"/>
    </row>
    <row r="905">
      <c r="A905" s="8" t="n"/>
      <c r="B905" s="9" t="n"/>
    </row>
    <row r="906">
      <c r="A906" s="8" t="n"/>
      <c r="B906" s="9" t="n"/>
    </row>
    <row r="907">
      <c r="A907" s="8" t="n"/>
      <c r="B907" s="9" t="n"/>
    </row>
    <row r="908">
      <c r="A908" s="8" t="n"/>
      <c r="B908" s="9" t="n"/>
    </row>
    <row r="909">
      <c r="A909" s="8" t="n"/>
      <c r="B909" s="9" t="n"/>
    </row>
    <row r="910">
      <c r="A910" s="8" t="n"/>
      <c r="B910" s="9" t="n"/>
    </row>
    <row r="911">
      <c r="A911" s="8" t="n"/>
      <c r="B911" s="9" t="n"/>
    </row>
    <row r="912">
      <c r="A912" s="8" t="n"/>
      <c r="B912" s="9" t="n"/>
    </row>
    <row r="913">
      <c r="A913" s="8" t="n"/>
      <c r="B913" s="9" t="n"/>
    </row>
    <row r="914">
      <c r="A914" s="8" t="n"/>
      <c r="B914" s="9" t="n"/>
    </row>
    <row r="915">
      <c r="A915" s="8" t="n"/>
      <c r="B915" s="9" t="n"/>
    </row>
    <row r="916">
      <c r="A916" s="8" t="n"/>
      <c r="B916" s="9" t="n"/>
    </row>
    <row r="917">
      <c r="A917" s="8" t="n"/>
      <c r="B917" s="9" t="n"/>
    </row>
    <row r="918">
      <c r="A918" s="8" t="n"/>
      <c r="B918" s="9" t="n"/>
    </row>
    <row r="919">
      <c r="A919" s="8" t="n"/>
      <c r="B919" s="9" t="n"/>
    </row>
    <row r="920">
      <c r="A920" s="8" t="n"/>
      <c r="B920" s="9" t="n"/>
    </row>
    <row r="921">
      <c r="A921" s="8" t="n"/>
      <c r="B921" s="9" t="n"/>
    </row>
    <row r="922">
      <c r="A922" s="8" t="n"/>
      <c r="B922" s="9" t="n"/>
    </row>
    <row r="923">
      <c r="A923" s="8" t="n"/>
      <c r="B923" s="9" t="n"/>
    </row>
    <row r="924">
      <c r="A924" s="8" t="n"/>
      <c r="B924" s="9" t="n"/>
    </row>
    <row r="925">
      <c r="A925" s="8" t="n"/>
      <c r="B925" s="9" t="n"/>
    </row>
    <row r="926">
      <c r="A926" s="8" t="n"/>
      <c r="B926" s="9" t="n"/>
    </row>
    <row r="927">
      <c r="A927" s="8" t="n"/>
      <c r="B927" s="9" t="n"/>
    </row>
    <row r="928">
      <c r="A928" s="8" t="n"/>
      <c r="B928" s="9" t="n"/>
    </row>
    <row r="929">
      <c r="A929" s="8" t="n"/>
      <c r="B929" s="9" t="n"/>
    </row>
    <row r="930">
      <c r="A930" s="8" t="n"/>
      <c r="B930" s="9" t="n"/>
    </row>
    <row r="931">
      <c r="A931" s="8" t="n"/>
      <c r="B931" s="9" t="n"/>
    </row>
    <row r="932">
      <c r="A932" s="8" t="n"/>
      <c r="B932" s="9" t="n"/>
    </row>
    <row r="933">
      <c r="A933" s="8" t="n"/>
      <c r="B933" s="9" t="n"/>
    </row>
    <row r="934">
      <c r="A934" s="8" t="n"/>
      <c r="B934" s="9" t="n"/>
    </row>
    <row r="935">
      <c r="A935" s="8" t="n"/>
      <c r="B935" s="9" t="n"/>
    </row>
    <row r="936">
      <c r="A936" s="8" t="n"/>
      <c r="B936" s="9" t="n"/>
    </row>
    <row r="937">
      <c r="A937" s="8" t="n"/>
      <c r="B937" s="9" t="n"/>
    </row>
    <row r="938">
      <c r="A938" s="8" t="n"/>
      <c r="B938" s="9" t="n"/>
    </row>
    <row r="939">
      <c r="A939" s="8" t="n"/>
      <c r="B939" s="9" t="n"/>
    </row>
    <row r="940">
      <c r="A940" s="8" t="n"/>
      <c r="B940" s="9" t="n"/>
    </row>
    <row r="941">
      <c r="A941" s="8" t="n"/>
      <c r="B941" s="9" t="n"/>
    </row>
    <row r="942">
      <c r="A942" s="8" t="n"/>
      <c r="B942" s="9" t="n"/>
    </row>
    <row r="943">
      <c r="A943" s="8" t="n"/>
      <c r="B943" s="9" t="n"/>
    </row>
    <row r="944">
      <c r="A944" s="8" t="n"/>
      <c r="B944" s="9" t="n"/>
    </row>
    <row r="945">
      <c r="A945" s="8" t="n"/>
      <c r="B945" s="9" t="n"/>
    </row>
    <row r="946">
      <c r="A946" s="8" t="n"/>
      <c r="B946" s="9" t="n"/>
    </row>
    <row r="947">
      <c r="A947" s="8" t="n"/>
      <c r="B947" s="9" t="n"/>
    </row>
    <row r="948">
      <c r="A948" s="8" t="n"/>
      <c r="B948" s="9" t="n"/>
    </row>
    <row r="949">
      <c r="A949" s="8" t="n"/>
      <c r="B949" s="9" t="n"/>
    </row>
    <row r="950">
      <c r="A950" s="8" t="n"/>
      <c r="B950" s="9" t="n"/>
    </row>
    <row r="951">
      <c r="A951" s="8" t="n"/>
      <c r="B951" s="9" t="n"/>
    </row>
    <row r="952">
      <c r="A952" s="8" t="n"/>
      <c r="B952" s="9" t="n"/>
    </row>
    <row r="953">
      <c r="A953" s="8" t="n"/>
      <c r="B953" s="9" t="n"/>
    </row>
    <row r="954">
      <c r="A954" s="8" t="n"/>
      <c r="B954" s="9" t="n"/>
    </row>
    <row r="955">
      <c r="A955" s="8" t="n"/>
      <c r="B955" s="9" t="n"/>
    </row>
    <row r="956">
      <c r="A956" s="8" t="n"/>
      <c r="B956" s="9" t="n"/>
    </row>
    <row r="957">
      <c r="A957" s="8" t="n"/>
      <c r="B957" s="9" t="n"/>
    </row>
    <row r="958">
      <c r="A958" s="8" t="n"/>
      <c r="B958" s="9" t="n"/>
    </row>
    <row r="959">
      <c r="A959" s="8" t="n"/>
      <c r="B959" s="9" t="n"/>
    </row>
    <row r="960">
      <c r="A960" s="8" t="n"/>
      <c r="B960" s="9" t="n"/>
    </row>
    <row r="961">
      <c r="A961" s="8" t="n"/>
      <c r="B961" s="9" t="n"/>
    </row>
    <row r="962">
      <c r="A962" s="8" t="n"/>
      <c r="B962" s="9" t="n"/>
    </row>
    <row r="963">
      <c r="A963" s="8" t="n"/>
      <c r="B963" s="9" t="n"/>
    </row>
    <row r="964">
      <c r="A964" s="8" t="n"/>
      <c r="B964" s="9" t="n"/>
    </row>
    <row r="965">
      <c r="A965" s="8" t="n"/>
      <c r="B965" s="9" t="n"/>
    </row>
    <row r="966">
      <c r="A966" s="8" t="n"/>
      <c r="B966" s="9" t="n"/>
    </row>
    <row r="967">
      <c r="A967" s="8" t="n"/>
      <c r="B967" s="9" t="n"/>
    </row>
    <row r="968">
      <c r="A968" s="8" t="n"/>
      <c r="B968" s="9" t="n"/>
    </row>
    <row r="969">
      <c r="A969" s="8" t="n"/>
      <c r="B969" s="9" t="n"/>
    </row>
    <row r="970">
      <c r="A970" s="8" t="n"/>
      <c r="B970" s="9" t="n"/>
    </row>
    <row r="971">
      <c r="A971" s="8" t="n"/>
      <c r="B971" s="9" t="n"/>
    </row>
    <row r="972">
      <c r="A972" s="8" t="n"/>
      <c r="B972" s="9" t="n"/>
    </row>
    <row r="973">
      <c r="A973" s="8" t="n"/>
      <c r="B973" s="9" t="n"/>
    </row>
    <row r="974">
      <c r="A974" s="8" t="n"/>
      <c r="B974" s="9" t="n"/>
    </row>
    <row r="975">
      <c r="A975" s="8" t="n"/>
      <c r="B975" s="9" t="n"/>
    </row>
    <row r="976">
      <c r="A976" s="8" t="n"/>
      <c r="B976" s="9" t="n"/>
    </row>
    <row r="977">
      <c r="A977" s="8" t="n"/>
      <c r="B977" s="9" t="n"/>
    </row>
    <row r="978">
      <c r="A978" s="8" t="n"/>
      <c r="B978" s="9" t="n"/>
    </row>
    <row r="979">
      <c r="A979" s="8" t="n"/>
      <c r="B979" s="9" t="n"/>
    </row>
    <row r="980">
      <c r="A980" s="8" t="n"/>
      <c r="B980" s="9" t="n"/>
    </row>
    <row r="981">
      <c r="A981" s="8" t="n"/>
      <c r="B981" s="9" t="n"/>
    </row>
    <row r="982">
      <c r="A982" s="8" t="n"/>
      <c r="B982" s="9" t="n"/>
    </row>
    <row r="983">
      <c r="A983" s="8" t="n"/>
      <c r="B983" s="9" t="n"/>
    </row>
    <row r="984">
      <c r="A984" s="8" t="n"/>
      <c r="B984" s="9" t="n"/>
    </row>
    <row r="985">
      <c r="A985" s="8" t="n"/>
      <c r="B985" s="9" t="n"/>
    </row>
    <row r="986">
      <c r="A986" s="8" t="n"/>
      <c r="B986" s="9" t="n"/>
    </row>
    <row r="987">
      <c r="A987" s="8" t="n"/>
      <c r="B987" s="9" t="n"/>
    </row>
    <row r="988">
      <c r="A988" s="8" t="n"/>
      <c r="B988" s="9" t="n"/>
    </row>
    <row r="989">
      <c r="A989" s="8" t="n"/>
      <c r="B989" s="9" t="n"/>
    </row>
    <row r="990">
      <c r="A990" s="8" t="n"/>
      <c r="B990" s="9" t="n"/>
    </row>
    <row r="991">
      <c r="A991" s="8" t="n"/>
      <c r="B991" s="9" t="n"/>
    </row>
    <row r="992">
      <c r="A992" s="8" t="n"/>
      <c r="B992" s="9" t="n"/>
    </row>
    <row r="993">
      <c r="A993" s="8" t="n"/>
      <c r="B993" s="9" t="n"/>
    </row>
    <row r="994">
      <c r="A994" s="8" t="n"/>
      <c r="B994" s="9" t="n"/>
    </row>
    <row r="995">
      <c r="A995" s="8" t="n"/>
      <c r="B995" s="9" t="n"/>
    </row>
    <row r="996">
      <c r="A996" s="8" t="n"/>
      <c r="B996" s="9" t="n"/>
    </row>
    <row r="997">
      <c r="A997" s="8" t="n"/>
      <c r="B997" s="9" t="n"/>
    </row>
    <row r="998">
      <c r="A998" s="8" t="n"/>
      <c r="B998" s="9" t="n"/>
    </row>
    <row r="999">
      <c r="A999" s="8" t="n"/>
      <c r="B999" s="9" t="n"/>
    </row>
    <row r="1000">
      <c r="A1000" s="8" t="n"/>
      <c r="B1000" s="9" t="n"/>
    </row>
    <row r="1001">
      <c r="A1001" s="8" t="n"/>
      <c r="B1001" s="9" t="n"/>
    </row>
    <row r="1002">
      <c r="A1002" s="8" t="n"/>
      <c r="B1002" s="9" t="n"/>
    </row>
    <row r="1003">
      <c r="A1003" s="8" t="n"/>
      <c r="B1003" s="9" t="n"/>
    </row>
    <row r="1004">
      <c r="A1004" s="8" t="n"/>
      <c r="B1004" s="9" t="n"/>
    </row>
    <row r="1005">
      <c r="A1005" s="8" t="n"/>
      <c r="B1005" s="9" t="n"/>
    </row>
    <row r="1006">
      <c r="A1006" s="8" t="n"/>
      <c r="B1006" s="9" t="n"/>
    </row>
    <row r="1007">
      <c r="A1007" s="8" t="n"/>
      <c r="B1007" s="9" t="n"/>
    </row>
    <row r="1008">
      <c r="A1008" s="8" t="n"/>
      <c r="B1008" s="9" t="n"/>
    </row>
    <row r="1009">
      <c r="A1009" s="8" t="n"/>
      <c r="B1009" s="9" t="n"/>
    </row>
    <row r="1010">
      <c r="A1010" s="8" t="n"/>
      <c r="B1010" s="9" t="n"/>
    </row>
    <row r="1011">
      <c r="A1011" s="8" t="n"/>
      <c r="B1011" s="9" t="n"/>
    </row>
    <row r="1012">
      <c r="A1012" s="8" t="n"/>
      <c r="B1012" s="9" t="n"/>
    </row>
    <row r="1013">
      <c r="A1013" s="8" t="n"/>
      <c r="B1013" s="9" t="n"/>
    </row>
    <row r="1014">
      <c r="A1014" s="8" t="n"/>
      <c r="B1014" s="9" t="n"/>
    </row>
    <row r="1015">
      <c r="A1015" s="8" t="n"/>
      <c r="B1015" s="9" t="n"/>
    </row>
    <row r="1016">
      <c r="A1016" s="8" t="n"/>
      <c r="B1016" s="9" t="n"/>
    </row>
    <row r="1017">
      <c r="A1017" s="8" t="n"/>
      <c r="B1017" s="9" t="n"/>
    </row>
    <row r="1018">
      <c r="A1018" s="8" t="n"/>
      <c r="B1018" s="9" t="n"/>
    </row>
    <row r="1019">
      <c r="A1019" s="8" t="n"/>
      <c r="B1019" s="9" t="n"/>
    </row>
    <row r="1020">
      <c r="A1020" s="8" t="n"/>
      <c r="B1020" s="9" t="n"/>
    </row>
    <row r="1021">
      <c r="A1021" s="8" t="n"/>
      <c r="B1021" s="9" t="n"/>
    </row>
    <row r="1022">
      <c r="A1022" s="8" t="n"/>
      <c r="B1022" s="9" t="n"/>
    </row>
    <row r="1023">
      <c r="A1023" s="8" t="n"/>
      <c r="B1023" s="9" t="n"/>
    </row>
    <row r="1024">
      <c r="A1024" s="8" t="n"/>
      <c r="B1024" s="9" t="n"/>
    </row>
    <row r="1025">
      <c r="A1025" s="8" t="n"/>
      <c r="B1025" s="9" t="n"/>
    </row>
    <row r="1026">
      <c r="A1026" s="8" t="n"/>
      <c r="B1026" s="9" t="n"/>
    </row>
    <row r="1027">
      <c r="A1027" s="8" t="n"/>
      <c r="B1027" s="9" t="n"/>
    </row>
    <row r="1028">
      <c r="A1028" s="8" t="n"/>
      <c r="B1028" s="9" t="n"/>
    </row>
    <row r="1029">
      <c r="A1029" s="8" t="n"/>
      <c r="B1029" s="9" t="n"/>
    </row>
    <row r="1030">
      <c r="A1030" s="8" t="n"/>
      <c r="B1030" s="9" t="n"/>
    </row>
    <row r="1031">
      <c r="A1031" s="8" t="n"/>
      <c r="B1031" s="9" t="n"/>
    </row>
    <row r="1032">
      <c r="A1032" s="8" t="n"/>
      <c r="B1032" s="9" t="n"/>
    </row>
    <row r="1033">
      <c r="A1033" s="8" t="n"/>
      <c r="B1033" s="9" t="n"/>
    </row>
    <row r="1034">
      <c r="A1034" s="8" t="n"/>
      <c r="B1034" s="9" t="n"/>
    </row>
    <row r="1035">
      <c r="A1035" s="8" t="n"/>
      <c r="B1035" s="9" t="n"/>
    </row>
    <row r="1036">
      <c r="A1036" s="8" t="n"/>
      <c r="B1036" s="9" t="n"/>
    </row>
    <row r="1037">
      <c r="A1037" s="8" t="n"/>
      <c r="B1037" s="9" t="n"/>
    </row>
    <row r="1038">
      <c r="A1038" s="8" t="n"/>
      <c r="B1038" s="9" t="n"/>
    </row>
    <row r="1039">
      <c r="A1039" s="8" t="n"/>
      <c r="B1039" s="9" t="n"/>
    </row>
    <row r="1040">
      <c r="A1040" s="8" t="n"/>
      <c r="B1040" s="9" t="n"/>
    </row>
    <row r="1041">
      <c r="A1041" s="8" t="n"/>
      <c r="B1041" s="9" t="n"/>
    </row>
    <row r="1042">
      <c r="A1042" s="8" t="n"/>
      <c r="B1042" s="9" t="n"/>
    </row>
    <row r="1043">
      <c r="A1043" s="8" t="n"/>
      <c r="B1043" s="9" t="n"/>
    </row>
    <row r="1044">
      <c r="A1044" s="8" t="n"/>
      <c r="B1044" s="9" t="n"/>
    </row>
    <row r="1045">
      <c r="A1045" s="8" t="n"/>
      <c r="B1045" s="9" t="n"/>
    </row>
    <row r="1046">
      <c r="A1046" s="8" t="n"/>
      <c r="B1046" s="9" t="n"/>
    </row>
    <row r="1047">
      <c r="A1047" s="8" t="n"/>
      <c r="B1047" s="9" t="n"/>
    </row>
    <row r="1048">
      <c r="A1048" s="8" t="n"/>
      <c r="B1048" s="9" t="n"/>
    </row>
    <row r="1049">
      <c r="A1049" s="8" t="n"/>
      <c r="B1049" s="9" t="n"/>
    </row>
    <row r="1050">
      <c r="A1050" s="8" t="n"/>
      <c r="B1050" s="9" t="n"/>
    </row>
    <row r="1051">
      <c r="A1051" s="8" t="n"/>
      <c r="B1051" s="9" t="n"/>
    </row>
    <row r="1052">
      <c r="A1052" s="8" t="n"/>
      <c r="B1052" s="9" t="n"/>
    </row>
    <row r="1053">
      <c r="A1053" s="8" t="n"/>
      <c r="B1053" s="9" t="n"/>
    </row>
    <row r="1054">
      <c r="A1054" s="8" t="n"/>
      <c r="B1054" s="9" t="n"/>
    </row>
    <row r="1055">
      <c r="A1055" s="8" t="n"/>
      <c r="B1055" s="9" t="n"/>
    </row>
    <row r="1056">
      <c r="A1056" s="8" t="n"/>
      <c r="B1056" s="9" t="n"/>
    </row>
    <row r="1057">
      <c r="A1057" s="8" t="n"/>
      <c r="B1057" s="9" t="n"/>
    </row>
    <row r="1058">
      <c r="A1058" s="8" t="n"/>
      <c r="B1058" s="9" t="n"/>
    </row>
    <row r="1059">
      <c r="A1059" s="8" t="n"/>
      <c r="B1059" s="9" t="n"/>
    </row>
    <row r="1060">
      <c r="A1060" s="8" t="n"/>
      <c r="B1060" s="9" t="n"/>
    </row>
    <row r="1061">
      <c r="A1061" s="8" t="n"/>
      <c r="B1061" s="9" t="n"/>
    </row>
    <row r="1062">
      <c r="A1062" s="8" t="n"/>
      <c r="B1062" s="9" t="n"/>
    </row>
    <row r="1063">
      <c r="A1063" s="8" t="n"/>
      <c r="B1063" s="9" t="n"/>
    </row>
    <row r="1064">
      <c r="A1064" s="8" t="n"/>
      <c r="B1064" s="9" t="n"/>
    </row>
    <row r="1065">
      <c r="A1065" s="8" t="n"/>
      <c r="B1065" s="9" t="n"/>
    </row>
    <row r="1066">
      <c r="A1066" s="8" t="n"/>
      <c r="B1066" s="9" t="n"/>
    </row>
    <row r="1067">
      <c r="A1067" s="8" t="n"/>
      <c r="B1067" s="9" t="n"/>
    </row>
    <row r="1068">
      <c r="A1068" s="8" t="n"/>
      <c r="B1068" s="9" t="n"/>
    </row>
    <row r="1069">
      <c r="A1069" s="8" t="n"/>
      <c r="B1069" s="9" t="n"/>
    </row>
    <row r="1070">
      <c r="A1070" s="8" t="n"/>
      <c r="B1070" s="9" t="n"/>
    </row>
    <row r="1071">
      <c r="A1071" s="8" t="n"/>
      <c r="B1071" s="9" t="n"/>
    </row>
    <row r="1072">
      <c r="A1072" s="8" t="n"/>
      <c r="B1072" s="9" t="n"/>
    </row>
    <row r="1073">
      <c r="A1073" s="8" t="n"/>
      <c r="B1073" s="9" t="n"/>
    </row>
    <row r="1074">
      <c r="A1074" s="8" t="n"/>
      <c r="B1074" s="9" t="n"/>
    </row>
    <row r="1075">
      <c r="A1075" s="8" t="n"/>
      <c r="B1075" s="9" t="n"/>
    </row>
    <row r="1076">
      <c r="A1076" s="8" t="n"/>
      <c r="B1076" s="9" t="n"/>
    </row>
    <row r="1077">
      <c r="A1077" s="8" t="n"/>
      <c r="B1077" s="9" t="n"/>
    </row>
    <row r="1078">
      <c r="A1078" s="8" t="n"/>
      <c r="B1078" s="9" t="n"/>
    </row>
    <row r="1079">
      <c r="A1079" s="8" t="n"/>
      <c r="B1079" s="9" t="n"/>
    </row>
    <row r="1080">
      <c r="A1080" s="8" t="n"/>
      <c r="B1080" s="9" t="n"/>
    </row>
    <row r="1081">
      <c r="A1081" s="8" t="n"/>
      <c r="B1081" s="9" t="n"/>
    </row>
    <row r="1082">
      <c r="A1082" s="8" t="n"/>
      <c r="B1082" s="9" t="n"/>
    </row>
    <row r="1083">
      <c r="A1083" s="8" t="n"/>
      <c r="B1083" s="9" t="n"/>
    </row>
    <row r="1084">
      <c r="A1084" s="8" t="n"/>
      <c r="B1084" s="9" t="n"/>
    </row>
    <row r="1085">
      <c r="A1085" s="8" t="n"/>
      <c r="B1085" s="9" t="n"/>
    </row>
    <row r="1086">
      <c r="A1086" s="8" t="n"/>
      <c r="B1086" s="9" t="n"/>
    </row>
    <row r="1087">
      <c r="A1087" s="8" t="n"/>
      <c r="B1087" s="9" t="n"/>
    </row>
    <row r="1088">
      <c r="A1088" s="8" t="n"/>
      <c r="B1088" s="9" t="n"/>
    </row>
    <row r="1089">
      <c r="A1089" s="8" t="n"/>
      <c r="B1089" s="9" t="n"/>
    </row>
    <row r="1090">
      <c r="A1090" s="8" t="n"/>
      <c r="B1090" s="9" t="n"/>
    </row>
    <row r="1091">
      <c r="A1091" s="8" t="n"/>
      <c r="B1091" s="9" t="n"/>
    </row>
    <row r="1092">
      <c r="A1092" s="8" t="n"/>
      <c r="B1092" s="9" t="n"/>
    </row>
    <row r="1093">
      <c r="A1093" s="8" t="n"/>
      <c r="B1093" s="9" t="n"/>
    </row>
    <row r="1094">
      <c r="A1094" s="8" t="n"/>
      <c r="B1094" s="9" t="n"/>
    </row>
    <row r="1095">
      <c r="A1095" s="8" t="n"/>
      <c r="B1095" s="9" t="n"/>
    </row>
    <row r="1096">
      <c r="A1096" s="8" t="n"/>
      <c r="B1096" s="9" t="n"/>
    </row>
    <row r="1097">
      <c r="A1097" s="8" t="n"/>
      <c r="B1097" s="9" t="n"/>
    </row>
    <row r="1098">
      <c r="A1098" s="8" t="n"/>
      <c r="B1098" s="9" t="n"/>
    </row>
    <row r="1099">
      <c r="A1099" s="8" t="n"/>
      <c r="B1099" s="9" t="n"/>
    </row>
    <row r="1100">
      <c r="A1100" s="8" t="n"/>
      <c r="B1100" s="9" t="n"/>
    </row>
    <row r="1101">
      <c r="A1101" s="8" t="n"/>
      <c r="B1101" s="9" t="n"/>
    </row>
    <row r="1102">
      <c r="A1102" s="8" t="n"/>
      <c r="B1102" s="9" t="n"/>
    </row>
    <row r="1103">
      <c r="A1103" s="8" t="n"/>
      <c r="B1103" s="9" t="n"/>
    </row>
    <row r="1104">
      <c r="A1104" s="8" t="n"/>
      <c r="B1104" s="9" t="n"/>
    </row>
    <row r="1105">
      <c r="A1105" s="8" t="n"/>
      <c r="B1105" s="9" t="n"/>
    </row>
    <row r="1106">
      <c r="A1106" s="8" t="n"/>
      <c r="B1106" s="9" t="n"/>
    </row>
    <row r="1107">
      <c r="A1107" s="8" t="n"/>
      <c r="B1107" s="9" t="n"/>
    </row>
    <row r="1108">
      <c r="A1108" s="8" t="n"/>
      <c r="B1108" s="9" t="n"/>
    </row>
    <row r="1109">
      <c r="A1109" s="8" t="n"/>
      <c r="B1109" s="9" t="n"/>
    </row>
    <row r="1110">
      <c r="A1110" s="8" t="n"/>
      <c r="B1110" s="9" t="n"/>
    </row>
    <row r="1111">
      <c r="A1111" s="8" t="n"/>
      <c r="B1111" s="9" t="n"/>
    </row>
    <row r="1112">
      <c r="A1112" s="8" t="n"/>
      <c r="B1112" s="9" t="n"/>
    </row>
    <row r="1113">
      <c r="A1113" s="8" t="n"/>
      <c r="B1113" s="9" t="n"/>
    </row>
    <row r="1114">
      <c r="A1114" s="8" t="n"/>
      <c r="B1114" s="9" t="n"/>
    </row>
    <row r="1115">
      <c r="A1115" s="8" t="n"/>
      <c r="B1115" s="9" t="n"/>
    </row>
    <row r="1116">
      <c r="A1116" s="8" t="n"/>
      <c r="B1116" s="9" t="n"/>
    </row>
    <row r="1117">
      <c r="A1117" s="8" t="n"/>
      <c r="B1117" s="9" t="n"/>
    </row>
    <row r="1118">
      <c r="A1118" s="8" t="n"/>
      <c r="B1118" s="9" t="n"/>
    </row>
    <row r="1119">
      <c r="A1119" s="8" t="n"/>
      <c r="B1119" s="9" t="n"/>
    </row>
    <row r="1120">
      <c r="A1120" s="8" t="n"/>
      <c r="B1120" s="9" t="n"/>
    </row>
    <row r="1121">
      <c r="A1121" s="8" t="n"/>
      <c r="B1121" s="9" t="n"/>
    </row>
    <row r="1122">
      <c r="A1122" s="8" t="n"/>
      <c r="B1122" s="9" t="n"/>
    </row>
    <row r="1123">
      <c r="A1123" s="8" t="n"/>
      <c r="B1123" s="9" t="n"/>
    </row>
    <row r="1124">
      <c r="A1124" s="8" t="n"/>
      <c r="B1124" s="9" t="n"/>
    </row>
    <row r="1125">
      <c r="A1125" s="8" t="n"/>
      <c r="B1125" s="9" t="n"/>
    </row>
    <row r="1126">
      <c r="A1126" s="8" t="n"/>
      <c r="B1126" s="9" t="n"/>
    </row>
    <row r="1127">
      <c r="A1127" s="8" t="n"/>
      <c r="B1127" s="9" t="n"/>
    </row>
    <row r="1128">
      <c r="A1128" s="8" t="n"/>
      <c r="B1128" s="9" t="n"/>
    </row>
    <row r="1129">
      <c r="A1129" s="8" t="n"/>
      <c r="B1129" s="9" t="n"/>
    </row>
    <row r="1130">
      <c r="A1130" s="8" t="n"/>
      <c r="B1130" s="9" t="n"/>
    </row>
    <row r="1131">
      <c r="A1131" s="8" t="n"/>
      <c r="B1131" s="9" t="n"/>
    </row>
    <row r="1132">
      <c r="A1132" s="8" t="n"/>
      <c r="B1132" s="9" t="n"/>
    </row>
    <row r="1133">
      <c r="A1133" s="8" t="n"/>
      <c r="B1133" s="9" t="n"/>
    </row>
    <row r="1134">
      <c r="A1134" s="8" t="n"/>
      <c r="B1134" s="9" t="n"/>
    </row>
    <row r="1135">
      <c r="A1135" s="8" t="n"/>
      <c r="B1135" s="9" t="n"/>
    </row>
    <row r="1136">
      <c r="A1136" s="8" t="n"/>
      <c r="B1136" s="9" t="n"/>
    </row>
    <row r="1137">
      <c r="A1137" s="8" t="n"/>
      <c r="B1137" s="9" t="n"/>
    </row>
    <row r="1138">
      <c r="A1138" s="8" t="n"/>
      <c r="B1138" s="9" t="n"/>
    </row>
    <row r="1139">
      <c r="A1139" s="8" t="n"/>
      <c r="B1139" s="9" t="n"/>
    </row>
    <row r="1140">
      <c r="A1140" s="8" t="n"/>
      <c r="B1140" s="9" t="n"/>
    </row>
    <row r="1141">
      <c r="A1141" s="8" t="n"/>
      <c r="B1141" s="9" t="n"/>
    </row>
    <row r="1142">
      <c r="A1142" s="8" t="n"/>
      <c r="B1142" s="9" t="n"/>
    </row>
    <row r="1143">
      <c r="A1143" s="8" t="n"/>
      <c r="B1143" s="9" t="n"/>
    </row>
    <row r="1144">
      <c r="A1144" s="8" t="n"/>
      <c r="B1144" s="9" t="n"/>
    </row>
    <row r="1145">
      <c r="A1145" s="8" t="n"/>
      <c r="B1145" s="9" t="n"/>
    </row>
    <row r="1146">
      <c r="A1146" s="8" t="n"/>
      <c r="B1146" s="9" t="n"/>
    </row>
    <row r="1147">
      <c r="A1147" s="8" t="n"/>
      <c r="B1147" s="9" t="n"/>
    </row>
    <row r="1148">
      <c r="A1148" s="8" t="n"/>
      <c r="B1148" s="9" t="n"/>
    </row>
    <row r="1149">
      <c r="A1149" s="8" t="n"/>
      <c r="B1149" s="9" t="n"/>
    </row>
    <row r="1150">
      <c r="A1150" s="8" t="n"/>
      <c r="B1150" s="9" t="n"/>
    </row>
    <row r="1151">
      <c r="A1151" s="8" t="n"/>
      <c r="B1151" s="9" t="n"/>
    </row>
    <row r="1152">
      <c r="A1152" s="8" t="n"/>
      <c r="B1152" s="9" t="n"/>
    </row>
    <row r="1153">
      <c r="A1153" s="8" t="n"/>
      <c r="B1153" s="9" t="n"/>
    </row>
    <row r="1154">
      <c r="A1154" s="8" t="n"/>
      <c r="B1154" s="9" t="n"/>
    </row>
    <row r="1155">
      <c r="A1155" s="8" t="n"/>
      <c r="B1155" s="9" t="n"/>
    </row>
    <row r="1156">
      <c r="A1156" s="8" t="n"/>
      <c r="B1156" s="9" t="n"/>
    </row>
    <row r="1157">
      <c r="A1157" s="8" t="n"/>
      <c r="B1157" s="9" t="n"/>
    </row>
    <row r="1158">
      <c r="A1158" s="8" t="n"/>
      <c r="B1158" s="9" t="n"/>
    </row>
    <row r="1159">
      <c r="A1159" s="8" t="n"/>
      <c r="B1159" s="9" t="n"/>
    </row>
    <row r="1160">
      <c r="A1160" s="8" t="n"/>
      <c r="B1160" s="9" t="n"/>
    </row>
    <row r="1161">
      <c r="A1161" s="8" t="n"/>
      <c r="B1161" s="9" t="n"/>
    </row>
    <row r="1162">
      <c r="A1162" s="8" t="n"/>
      <c r="B1162" s="9" t="n"/>
    </row>
    <row r="1163">
      <c r="A1163" s="8" t="n"/>
      <c r="B1163" s="9" t="n"/>
    </row>
    <row r="1164">
      <c r="A1164" s="8" t="n"/>
      <c r="B1164" s="9" t="n"/>
    </row>
    <row r="1165">
      <c r="A1165" s="8" t="n"/>
      <c r="B1165" s="9" t="n"/>
    </row>
    <row r="1166">
      <c r="A1166" s="8" t="n"/>
      <c r="B1166" s="9" t="n"/>
    </row>
    <row r="1167">
      <c r="A1167" s="8" t="n"/>
      <c r="B1167" s="9" t="n"/>
    </row>
    <row r="1168">
      <c r="A1168" s="8" t="n"/>
      <c r="B1168" s="9" t="n"/>
    </row>
    <row r="1169">
      <c r="A1169" s="8" t="n"/>
      <c r="B1169" s="9" t="n"/>
    </row>
    <row r="1170">
      <c r="A1170" s="8" t="n"/>
      <c r="B1170" s="9" t="n"/>
    </row>
    <row r="1171">
      <c r="A1171" s="8" t="n"/>
      <c r="B1171" s="9" t="n"/>
    </row>
    <row r="1172">
      <c r="A1172" s="8" t="n"/>
      <c r="B1172" s="9" t="n"/>
    </row>
    <row r="1173">
      <c r="A1173" s="8" t="n"/>
      <c r="B1173" s="9" t="n"/>
    </row>
    <row r="1174">
      <c r="A1174" s="8" t="n"/>
      <c r="B1174" s="9" t="n"/>
    </row>
    <row r="1175">
      <c r="A1175" s="8" t="n"/>
      <c r="B1175" s="9" t="n"/>
    </row>
    <row r="1176">
      <c r="A1176" s="8" t="n"/>
      <c r="B1176" s="9" t="n"/>
    </row>
    <row r="1177">
      <c r="A1177" s="8" t="n"/>
      <c r="B1177" s="9" t="n"/>
    </row>
    <row r="1178">
      <c r="A1178" s="8" t="n"/>
      <c r="B1178" s="9" t="n"/>
    </row>
    <row r="1179">
      <c r="A1179" s="8" t="n"/>
      <c r="B1179" s="9" t="n"/>
    </row>
    <row r="1180">
      <c r="A1180" s="8" t="n"/>
      <c r="B1180" s="9" t="n"/>
    </row>
    <row r="1181">
      <c r="A1181" s="8" t="n"/>
      <c r="B1181" s="9" t="n"/>
    </row>
    <row r="1182">
      <c r="A1182" s="8" t="n"/>
      <c r="B1182" s="9" t="n"/>
    </row>
    <row r="1183">
      <c r="A1183" s="8" t="n"/>
      <c r="B1183" s="9" t="n"/>
    </row>
    <row r="1184">
      <c r="A1184" s="8" t="n"/>
      <c r="B1184" s="9" t="n"/>
    </row>
    <row r="1185">
      <c r="A1185" s="8" t="n"/>
      <c r="B1185" s="9" t="n"/>
    </row>
    <row r="1186">
      <c r="A1186" s="8" t="n"/>
      <c r="B1186" s="9" t="n"/>
    </row>
    <row r="1187">
      <c r="A1187" s="8" t="n"/>
      <c r="B1187" s="9" t="n"/>
    </row>
    <row r="1188">
      <c r="A1188" s="8" t="n"/>
      <c r="B1188" s="9" t="n"/>
    </row>
    <row r="1189">
      <c r="A1189" s="8" t="n"/>
      <c r="B1189" s="9" t="n"/>
    </row>
    <row r="1190">
      <c r="A1190" s="8" t="n"/>
      <c r="B1190" s="9" t="n"/>
    </row>
    <row r="1191">
      <c r="A1191" s="8" t="n"/>
      <c r="B1191" s="9" t="n"/>
    </row>
    <row r="1192">
      <c r="A1192" s="8" t="n"/>
      <c r="B1192" s="9" t="n"/>
    </row>
    <row r="1193">
      <c r="A1193" s="8" t="n"/>
      <c r="B1193" s="9" t="n"/>
    </row>
    <row r="1194">
      <c r="A1194" s="8" t="n"/>
      <c r="B1194" s="9" t="n"/>
    </row>
    <row r="1195">
      <c r="A1195" s="8" t="n"/>
      <c r="B1195" s="9" t="n"/>
    </row>
    <row r="1196">
      <c r="A1196" s="8" t="n"/>
      <c r="B1196" s="9" t="n"/>
    </row>
    <row r="1197">
      <c r="A1197" s="8" t="n"/>
      <c r="B1197" s="9" t="n"/>
    </row>
    <row r="1198">
      <c r="A1198" s="8" t="n"/>
      <c r="B1198" s="9" t="n"/>
    </row>
    <row r="1199">
      <c r="A1199" s="8" t="n"/>
      <c r="B1199" s="9" t="n"/>
    </row>
    <row r="1200">
      <c r="A1200" s="8" t="n"/>
      <c r="B1200" s="9" t="n"/>
    </row>
    <row r="1201">
      <c r="A1201" s="8" t="n"/>
      <c r="B1201" s="9" t="n"/>
    </row>
    <row r="1202">
      <c r="A1202" s="8" t="n"/>
      <c r="B1202" s="9" t="n"/>
    </row>
    <row r="1203">
      <c r="A1203" s="8" t="n"/>
      <c r="B1203" s="9" t="n"/>
    </row>
    <row r="1204">
      <c r="A1204" s="8" t="n"/>
      <c r="B1204" s="9" t="n"/>
    </row>
    <row r="1205">
      <c r="A1205" s="8" t="n"/>
      <c r="B1205" s="9" t="n"/>
    </row>
    <row r="1206">
      <c r="A1206" s="8" t="n"/>
      <c r="B1206" s="9" t="n"/>
    </row>
    <row r="1207">
      <c r="A1207" s="8" t="n"/>
      <c r="B1207" s="9" t="n"/>
    </row>
    <row r="1208">
      <c r="A1208" s="8" t="n"/>
      <c r="B1208" s="9" t="n"/>
    </row>
    <row r="1209">
      <c r="A1209" s="8" t="n"/>
      <c r="B1209" s="9" t="n"/>
    </row>
    <row r="1210">
      <c r="A1210" s="8" t="n"/>
      <c r="B1210" s="9" t="n"/>
    </row>
    <row r="1211">
      <c r="A1211" s="8" t="n"/>
      <c r="B1211" s="9" t="n"/>
    </row>
    <row r="1212">
      <c r="A1212" s="8" t="n"/>
      <c r="B1212" s="9" t="n"/>
    </row>
    <row r="1213">
      <c r="A1213" s="8" t="n"/>
      <c r="B1213" s="9" t="n"/>
    </row>
    <row r="1214">
      <c r="A1214" s="8" t="n"/>
      <c r="B1214" s="9" t="n"/>
    </row>
    <row r="1215">
      <c r="A1215" s="8" t="n"/>
      <c r="B1215" s="9" t="n"/>
    </row>
    <row r="1216">
      <c r="A1216" s="8" t="n"/>
      <c r="B1216" s="9" t="n"/>
    </row>
    <row r="1217">
      <c r="A1217" s="8" t="n"/>
      <c r="B1217" s="9" t="n"/>
    </row>
    <row r="1218">
      <c r="A1218" s="8" t="n"/>
      <c r="B1218" s="9" t="n"/>
    </row>
    <row r="1219">
      <c r="A1219" s="8" t="n"/>
      <c r="B1219" s="9" t="n"/>
    </row>
    <row r="1220">
      <c r="A1220" s="8" t="n"/>
      <c r="B1220" s="9" t="n"/>
    </row>
    <row r="1221">
      <c r="A1221" s="8" t="n"/>
      <c r="B1221" s="9" t="n"/>
    </row>
    <row r="1222">
      <c r="A1222" s="8" t="n"/>
      <c r="B1222" s="9" t="n"/>
    </row>
    <row r="1223">
      <c r="A1223" s="8" t="n"/>
      <c r="B1223" s="9" t="n"/>
    </row>
    <row r="1224">
      <c r="A1224" s="8" t="n"/>
      <c r="B1224" s="9" t="n"/>
    </row>
    <row r="1225">
      <c r="A1225" s="8" t="n"/>
      <c r="B1225" s="9" t="n"/>
    </row>
    <row r="1226">
      <c r="A1226" s="8" t="n"/>
      <c r="B1226" s="9" t="n"/>
    </row>
    <row r="1227">
      <c r="A1227" s="8" t="n"/>
      <c r="B1227" s="9" t="n"/>
    </row>
    <row r="1228">
      <c r="A1228" s="8" t="n"/>
      <c r="B1228" s="9" t="n"/>
    </row>
    <row r="1229">
      <c r="A1229" s="8" t="n"/>
      <c r="B1229" s="9" t="n"/>
    </row>
    <row r="1230">
      <c r="A1230" s="8" t="n"/>
      <c r="B1230" s="9" t="n"/>
    </row>
    <row r="1231">
      <c r="A1231" s="8" t="n"/>
      <c r="B1231" s="9" t="n"/>
    </row>
    <row r="1232">
      <c r="A1232" s="8" t="n"/>
      <c r="B1232" s="9" t="n"/>
    </row>
    <row r="1233">
      <c r="A1233" s="8" t="n"/>
      <c r="B1233" s="9" t="n"/>
    </row>
    <row r="1234">
      <c r="A1234" s="8" t="n"/>
      <c r="B1234" s="9" t="n"/>
    </row>
    <row r="1235">
      <c r="A1235" s="8" t="n"/>
      <c r="B1235" s="9" t="n"/>
    </row>
    <row r="1236">
      <c r="A1236" s="8" t="n"/>
      <c r="B1236" s="9" t="n"/>
    </row>
    <row r="1237">
      <c r="A1237" s="8" t="n"/>
      <c r="B1237" s="9" t="n"/>
    </row>
    <row r="1238">
      <c r="A1238" s="8" t="n"/>
      <c r="B1238" s="9" t="n"/>
    </row>
    <row r="1239">
      <c r="A1239" s="8" t="n"/>
      <c r="B1239" s="9" t="n"/>
    </row>
    <row r="1240">
      <c r="A1240" s="8" t="n"/>
      <c r="B1240" s="9" t="n"/>
    </row>
    <row r="1241">
      <c r="A1241" s="8" t="n"/>
      <c r="B1241" s="9" t="n"/>
    </row>
    <row r="1242">
      <c r="A1242" s="8" t="n"/>
      <c r="B1242" s="9" t="n"/>
    </row>
    <row r="1243">
      <c r="A1243" s="8" t="n"/>
      <c r="B1243" s="9" t="n"/>
    </row>
    <row r="1244">
      <c r="A1244" s="8" t="n"/>
      <c r="B1244" s="9" t="n"/>
    </row>
    <row r="1245">
      <c r="A1245" s="8" t="n"/>
      <c r="B1245" s="9" t="n"/>
    </row>
    <row r="1246">
      <c r="A1246" s="8" t="n"/>
      <c r="B1246" s="9" t="n"/>
    </row>
    <row r="1247">
      <c r="A1247" s="8" t="n"/>
      <c r="B1247" s="9" t="n"/>
    </row>
    <row r="1248">
      <c r="A1248" s="8" t="n"/>
      <c r="B1248" s="9" t="n"/>
    </row>
    <row r="1249">
      <c r="A1249" s="8" t="n"/>
      <c r="B1249" s="9" t="n"/>
    </row>
    <row r="1250">
      <c r="A1250" s="8" t="n"/>
      <c r="B1250" s="9" t="n"/>
    </row>
    <row r="1251">
      <c r="A1251" s="8" t="n"/>
      <c r="B1251" s="9" t="n"/>
    </row>
    <row r="1252">
      <c r="A1252" s="8" t="n"/>
      <c r="B1252" s="9" t="n"/>
    </row>
    <row r="1253">
      <c r="A1253" s="8" t="n"/>
      <c r="B1253" s="9" t="n"/>
    </row>
    <row r="1254">
      <c r="A1254" s="8" t="n"/>
      <c r="B1254" s="9" t="n"/>
    </row>
    <row r="1255">
      <c r="A1255" s="8" t="n"/>
      <c r="B1255" s="9" t="n"/>
    </row>
    <row r="1256">
      <c r="A1256" s="8" t="n"/>
      <c r="B1256" s="9" t="n"/>
    </row>
    <row r="1257">
      <c r="A1257" s="8" t="n"/>
      <c r="B1257" s="9" t="n"/>
    </row>
    <row r="1258">
      <c r="A1258" s="8" t="n"/>
      <c r="B1258" s="9" t="n"/>
    </row>
    <row r="1259">
      <c r="A1259" s="8" t="n"/>
      <c r="B1259" s="9" t="n"/>
    </row>
    <row r="1260">
      <c r="A1260" s="8" t="n"/>
      <c r="B1260" s="9" t="n"/>
    </row>
    <row r="1261">
      <c r="A1261" s="8" t="n"/>
      <c r="B1261" s="9" t="n"/>
    </row>
    <row r="1262">
      <c r="A1262" s="8" t="n"/>
      <c r="B1262" s="9" t="n"/>
    </row>
    <row r="1263">
      <c r="A1263" s="8" t="n"/>
      <c r="B1263" s="9" t="n"/>
    </row>
    <row r="1264">
      <c r="A1264" s="8" t="n"/>
      <c r="B1264" s="9" t="n"/>
    </row>
    <row r="1265">
      <c r="A1265" s="8" t="n"/>
      <c r="B1265" s="9" t="n"/>
    </row>
    <row r="1266">
      <c r="A1266" s="8" t="n"/>
      <c r="B1266" s="9" t="n"/>
    </row>
    <row r="1267">
      <c r="A1267" s="8" t="n"/>
      <c r="B1267" s="9" t="n"/>
    </row>
    <row r="1268">
      <c r="A1268" s="8" t="n"/>
      <c r="B1268" s="9" t="n"/>
    </row>
    <row r="1269">
      <c r="A1269" s="8" t="n"/>
      <c r="B1269" s="9" t="n"/>
    </row>
    <row r="1270">
      <c r="A1270" s="8" t="n"/>
      <c r="B1270" s="9" t="n"/>
    </row>
    <row r="1271">
      <c r="A1271" s="8" t="n"/>
      <c r="B1271" s="9" t="n"/>
    </row>
    <row r="1272">
      <c r="A1272" s="8" t="n"/>
      <c r="B1272" s="9" t="n"/>
    </row>
    <row r="1273">
      <c r="A1273" s="8" t="n"/>
      <c r="B1273" s="9" t="n"/>
    </row>
    <row r="1274">
      <c r="A1274" s="8" t="n"/>
      <c r="B1274" s="9" t="n"/>
    </row>
    <row r="1275">
      <c r="A1275" s="8" t="n"/>
      <c r="B1275" s="9" t="n"/>
    </row>
    <row r="1276">
      <c r="A1276" s="8" t="n"/>
      <c r="B1276" s="9" t="n"/>
    </row>
    <row r="1277">
      <c r="A1277" s="8" t="n"/>
      <c r="B1277" s="9" t="n"/>
    </row>
    <row r="1278">
      <c r="A1278" s="8" t="n"/>
      <c r="B1278" s="9" t="n"/>
    </row>
    <row r="1279">
      <c r="A1279" s="8" t="n"/>
      <c r="B1279" s="9" t="n"/>
    </row>
    <row r="1280">
      <c r="A1280" s="8" t="n"/>
      <c r="B1280" s="9" t="n"/>
    </row>
    <row r="1281">
      <c r="A1281" s="8" t="n"/>
      <c r="B1281" s="9" t="n"/>
    </row>
    <row r="1282">
      <c r="A1282" s="8" t="n"/>
      <c r="B1282" s="9" t="n"/>
    </row>
    <row r="1283">
      <c r="A1283" s="8" t="n"/>
      <c r="B1283" s="9" t="n"/>
    </row>
    <row r="1284">
      <c r="A1284" s="8" t="n"/>
      <c r="B1284" s="9" t="n"/>
    </row>
    <row r="1285">
      <c r="A1285" s="8" t="n"/>
      <c r="B1285" s="9" t="n"/>
    </row>
    <row r="1286">
      <c r="A1286" s="8" t="n"/>
      <c r="B1286" s="9" t="n"/>
    </row>
    <row r="1287">
      <c r="A1287" s="8" t="n"/>
      <c r="B1287" s="9" t="n"/>
    </row>
    <row r="1288">
      <c r="A1288" s="8" t="n"/>
      <c r="B1288" s="9" t="n"/>
    </row>
    <row r="1289">
      <c r="A1289" s="8" t="n"/>
      <c r="B1289" s="9" t="n"/>
    </row>
    <row r="1290">
      <c r="A1290" s="8" t="n"/>
      <c r="B1290" s="9" t="n"/>
    </row>
    <row r="1291">
      <c r="A1291" s="8" t="n"/>
      <c r="B1291" s="9" t="n"/>
    </row>
    <row r="1292">
      <c r="A1292" s="8" t="n"/>
      <c r="B1292" s="9" t="n"/>
    </row>
    <row r="1293">
      <c r="A1293" s="8" t="n"/>
      <c r="B1293" s="9" t="n"/>
    </row>
    <row r="1294">
      <c r="A1294" s="8" t="n"/>
      <c r="B1294" s="9" t="n"/>
    </row>
    <row r="1295">
      <c r="A1295" s="8" t="n"/>
      <c r="B1295" s="9" t="n"/>
    </row>
    <row r="1296">
      <c r="A1296" s="8" t="n"/>
      <c r="B1296" s="9" t="n"/>
    </row>
    <row r="1297">
      <c r="A1297" s="8" t="n"/>
      <c r="B1297" s="9" t="n"/>
    </row>
    <row r="1298">
      <c r="A1298" s="8" t="n"/>
      <c r="B1298" s="9" t="n"/>
    </row>
    <row r="1299">
      <c r="A1299" s="8" t="n"/>
      <c r="B1299" s="9" t="n"/>
    </row>
    <row r="1300">
      <c r="A1300" s="8" t="n"/>
      <c r="B1300" s="9" t="n"/>
    </row>
    <row r="1301">
      <c r="A1301" s="8" t="n"/>
      <c r="B1301" s="9" t="n"/>
    </row>
    <row r="1302">
      <c r="A1302" s="8" t="n"/>
      <c r="B1302" s="9" t="n"/>
    </row>
    <row r="1303">
      <c r="A1303" s="8" t="n"/>
      <c r="B1303" s="9" t="n"/>
    </row>
    <row r="1304">
      <c r="A1304" s="8" t="n"/>
      <c r="B1304" s="9" t="n"/>
    </row>
    <row r="1305">
      <c r="A1305" s="8" t="n"/>
      <c r="B1305" s="9" t="n"/>
    </row>
    <row r="1306">
      <c r="A1306" s="8" t="n"/>
      <c r="B1306" s="9" t="n"/>
    </row>
    <row r="1307">
      <c r="A1307" s="8" t="n"/>
      <c r="B1307" s="9" t="n"/>
    </row>
    <row r="1308">
      <c r="A1308" s="8" t="n"/>
      <c r="B1308" s="9" t="n"/>
    </row>
    <row r="1309">
      <c r="A1309" s="8" t="n"/>
      <c r="B1309" s="9" t="n"/>
    </row>
    <row r="1310">
      <c r="A1310" s="8" t="n"/>
      <c r="B1310" s="9" t="n"/>
    </row>
    <row r="1311">
      <c r="A1311" s="8" t="n"/>
      <c r="B1311" s="9" t="n"/>
    </row>
    <row r="1312">
      <c r="A1312" s="8" t="n"/>
      <c r="B1312" s="9" t="n"/>
    </row>
    <row r="1313">
      <c r="A1313" s="8" t="n"/>
      <c r="B1313" s="9" t="n"/>
    </row>
    <row r="1314">
      <c r="A1314" s="8" t="n"/>
      <c r="B1314" s="9" t="n"/>
    </row>
    <row r="1315">
      <c r="A1315" s="8" t="n"/>
      <c r="B1315" s="9" t="n"/>
    </row>
    <row r="1316">
      <c r="A1316" s="8" t="n"/>
      <c r="B1316" s="9" t="n"/>
    </row>
    <row r="1317">
      <c r="A1317" s="8" t="n"/>
      <c r="B1317" s="9" t="n"/>
    </row>
    <row r="1318">
      <c r="A1318" s="8" t="n"/>
      <c r="B1318" s="9" t="n"/>
    </row>
    <row r="1319">
      <c r="A1319" s="8" t="n"/>
      <c r="B1319" s="9" t="n"/>
    </row>
    <row r="1320">
      <c r="A1320" s="8" t="n"/>
      <c r="B1320" s="9" t="n"/>
    </row>
    <row r="1321">
      <c r="A1321" s="8" t="n"/>
      <c r="B1321" s="9" t="n"/>
    </row>
    <row r="1322">
      <c r="A1322" s="8" t="n"/>
      <c r="B1322" s="9" t="n"/>
    </row>
    <row r="1323">
      <c r="A1323" s="8" t="n"/>
      <c r="B1323" s="9" t="n"/>
    </row>
    <row r="1324">
      <c r="A1324" s="8" t="n"/>
      <c r="B1324" s="9" t="n"/>
    </row>
    <row r="1325">
      <c r="A1325" s="8" t="n"/>
      <c r="B1325" s="9" t="n"/>
    </row>
    <row r="1326">
      <c r="A1326" s="8" t="n"/>
      <c r="B1326" s="9" t="n"/>
    </row>
    <row r="1327">
      <c r="A1327" s="8" t="n"/>
      <c r="B1327" s="9" t="n"/>
    </row>
    <row r="1328">
      <c r="A1328" s="8" t="n"/>
      <c r="B1328" s="9" t="n"/>
    </row>
    <row r="1329">
      <c r="A1329" s="8" t="n"/>
      <c r="B1329" s="9" t="n"/>
    </row>
    <row r="1330">
      <c r="A1330" s="8" t="n"/>
      <c r="B1330" s="9" t="n"/>
    </row>
    <row r="1331">
      <c r="A1331" s="8" t="n"/>
      <c r="B1331" s="9" t="n"/>
    </row>
    <row r="1332">
      <c r="A1332" s="8" t="n"/>
      <c r="B1332" s="9" t="n"/>
    </row>
    <row r="1333">
      <c r="A1333" s="8" t="n"/>
      <c r="B1333" s="9" t="n"/>
    </row>
    <row r="1334">
      <c r="A1334" s="8" t="n"/>
      <c r="B1334" s="9" t="n"/>
    </row>
    <row r="1335">
      <c r="A1335" s="8" t="n"/>
      <c r="B1335" s="9" t="n"/>
    </row>
    <row r="1336">
      <c r="A1336" s="8" t="n"/>
      <c r="B1336" s="9" t="n"/>
    </row>
    <row r="1337">
      <c r="A1337" s="8" t="n"/>
      <c r="B1337" s="9" t="n"/>
    </row>
    <row r="1338">
      <c r="A1338" s="8" t="n"/>
      <c r="B1338" s="9" t="n"/>
    </row>
    <row r="1339">
      <c r="A1339" s="8" t="n"/>
      <c r="B1339" s="9" t="n"/>
    </row>
    <row r="1340">
      <c r="A1340" s="8" t="n"/>
      <c r="B1340" s="9" t="n"/>
    </row>
    <row r="1341">
      <c r="A1341" s="8" t="n"/>
      <c r="B1341" s="9" t="n"/>
    </row>
    <row r="1342">
      <c r="A1342" s="8" t="n"/>
      <c r="B1342" s="9" t="n"/>
    </row>
    <row r="1343">
      <c r="A1343" s="8" t="n"/>
      <c r="B1343" s="9" t="n"/>
    </row>
    <row r="1344">
      <c r="A1344" s="8" t="n"/>
      <c r="B1344" s="9" t="n"/>
    </row>
    <row r="1345">
      <c r="A1345" s="8" t="n"/>
      <c r="B1345" s="9" t="n"/>
    </row>
    <row r="1346">
      <c r="A1346" s="8" t="n"/>
      <c r="B1346" s="9" t="n"/>
    </row>
    <row r="1347">
      <c r="A1347" s="8" t="n"/>
      <c r="B1347" s="9" t="n"/>
    </row>
    <row r="1348">
      <c r="A1348" s="8" t="n"/>
      <c r="B1348" s="9" t="n"/>
    </row>
    <row r="1349">
      <c r="A1349" s="8" t="n"/>
      <c r="B1349" s="9" t="n"/>
    </row>
    <row r="1350">
      <c r="A1350" s="8" t="n"/>
      <c r="B1350" s="9" t="n"/>
    </row>
    <row r="1351">
      <c r="A1351" s="8" t="n"/>
      <c r="B1351" s="9" t="n"/>
    </row>
    <row r="1352">
      <c r="A1352" s="8" t="n"/>
      <c r="B1352" s="9" t="n"/>
    </row>
    <row r="1353">
      <c r="A1353" s="8" t="n"/>
      <c r="B1353" s="9" t="n"/>
    </row>
    <row r="1354">
      <c r="A1354" s="8" t="n"/>
      <c r="B1354" s="9" t="n"/>
    </row>
    <row r="1355">
      <c r="A1355" s="8" t="n"/>
      <c r="B1355" s="9" t="n"/>
    </row>
    <row r="1356">
      <c r="A1356" s="8" t="n"/>
      <c r="B1356" s="9" t="n"/>
    </row>
    <row r="1357">
      <c r="A1357" s="8" t="n"/>
      <c r="B1357" s="9" t="n"/>
    </row>
    <row r="1358">
      <c r="A1358" s="8" t="n"/>
      <c r="B1358" s="9" t="n"/>
    </row>
    <row r="1359">
      <c r="A1359" s="8" t="n"/>
      <c r="B1359" s="9" t="n"/>
    </row>
    <row r="1360">
      <c r="A1360" s="8" t="n"/>
      <c r="B1360" s="9" t="n"/>
    </row>
    <row r="1361">
      <c r="A1361" s="8" t="n"/>
      <c r="B1361" s="9" t="n"/>
    </row>
    <row r="1362">
      <c r="A1362" s="8" t="n"/>
      <c r="B1362" s="9" t="n"/>
    </row>
    <row r="1363">
      <c r="A1363" s="8" t="n"/>
      <c r="B1363" s="9" t="n"/>
    </row>
    <row r="1364">
      <c r="A1364" s="8" t="n"/>
      <c r="B1364" s="9" t="n"/>
    </row>
    <row r="1365">
      <c r="A1365" s="8" t="n"/>
      <c r="B1365" s="9" t="n"/>
    </row>
    <row r="1366">
      <c r="A1366" s="8" t="n"/>
      <c r="B1366" s="9" t="n"/>
    </row>
    <row r="1367">
      <c r="A1367" s="8" t="n"/>
      <c r="B1367" s="9" t="n"/>
    </row>
    <row r="1368">
      <c r="A1368" s="8" t="n"/>
      <c r="B1368" s="9" t="n"/>
    </row>
    <row r="1369">
      <c r="A1369" s="8" t="n"/>
      <c r="B1369" s="9" t="n"/>
    </row>
    <row r="1370">
      <c r="A1370" s="8" t="n"/>
      <c r="B1370" s="9" t="n"/>
    </row>
    <row r="1371">
      <c r="A1371" s="8" t="n"/>
      <c r="B1371" s="9" t="n"/>
    </row>
    <row r="1372">
      <c r="A1372" s="8" t="n"/>
      <c r="B1372" s="9" t="n"/>
    </row>
    <row r="1373">
      <c r="A1373" s="8" t="n"/>
      <c r="B1373" s="9" t="n"/>
    </row>
    <row r="1374">
      <c r="A1374" s="8" t="n"/>
      <c r="B1374" s="9" t="n"/>
    </row>
    <row r="1375">
      <c r="A1375" s="8" t="n"/>
      <c r="B1375" s="9" t="n"/>
    </row>
    <row r="1376">
      <c r="A1376" s="8" t="n"/>
      <c r="B1376" s="9" t="n"/>
    </row>
    <row r="1377">
      <c r="A1377" s="8" t="n"/>
      <c r="B1377" s="9" t="n"/>
    </row>
    <row r="1378">
      <c r="A1378" s="8" t="n"/>
      <c r="B1378" s="9" t="n"/>
    </row>
    <row r="1379">
      <c r="A1379" s="8" t="n"/>
      <c r="B1379" s="9" t="n"/>
    </row>
    <row r="1380">
      <c r="A1380" s="8" t="n"/>
      <c r="B1380" s="9" t="n"/>
    </row>
    <row r="1381">
      <c r="A1381" s="8" t="n"/>
      <c r="B1381" s="9" t="n"/>
    </row>
    <row r="1382">
      <c r="A1382" s="8" t="n"/>
      <c r="B1382" s="9" t="n"/>
    </row>
    <row r="1383">
      <c r="A1383" s="8" t="n"/>
      <c r="B1383" s="9" t="n"/>
    </row>
    <row r="1384">
      <c r="A1384" s="8" t="n"/>
      <c r="B1384" s="9" t="n"/>
    </row>
    <row r="1385">
      <c r="A1385" s="8" t="n"/>
      <c r="B1385" s="9" t="n"/>
    </row>
    <row r="1386">
      <c r="A1386" s="8" t="n"/>
      <c r="B1386" s="9" t="n"/>
    </row>
    <row r="1387">
      <c r="A1387" s="8" t="n"/>
      <c r="B1387" s="9" t="n"/>
    </row>
    <row r="1388">
      <c r="A1388" s="8" t="n"/>
      <c r="B1388" s="9" t="n"/>
    </row>
    <row r="1389">
      <c r="A1389" s="8" t="n"/>
      <c r="B1389" s="9" t="n"/>
    </row>
    <row r="1390">
      <c r="A1390" s="8" t="n"/>
      <c r="B1390" s="9" t="n"/>
    </row>
    <row r="1391">
      <c r="A1391" s="8" t="n"/>
      <c r="B1391" s="9" t="n"/>
    </row>
    <row r="1392">
      <c r="A1392" s="8" t="n"/>
      <c r="B1392" s="9" t="n"/>
    </row>
    <row r="1393">
      <c r="A1393" s="8" t="n"/>
      <c r="B1393" s="9" t="n"/>
    </row>
    <row r="1394">
      <c r="A1394" s="8" t="n"/>
      <c r="B1394" s="9" t="n"/>
    </row>
    <row r="1395">
      <c r="A1395" s="8" t="n"/>
      <c r="B1395" s="9" t="n"/>
    </row>
    <row r="1396">
      <c r="A1396" s="8" t="n"/>
      <c r="B1396" s="9" t="n"/>
    </row>
    <row r="1397">
      <c r="A1397" s="8" t="n"/>
      <c r="B1397" s="9" t="n"/>
    </row>
    <row r="1398">
      <c r="A1398" s="8" t="n"/>
      <c r="B1398" s="9" t="n"/>
    </row>
    <row r="1399">
      <c r="A1399" s="8" t="n"/>
      <c r="B1399" s="9" t="n"/>
    </row>
    <row r="1400">
      <c r="A1400" s="8" t="n"/>
      <c r="B1400" s="9" t="n"/>
    </row>
    <row r="1401">
      <c r="A1401" s="8" t="n"/>
      <c r="B1401" s="9" t="n"/>
    </row>
    <row r="1402">
      <c r="A1402" s="8" t="n"/>
      <c r="B1402" s="9" t="n"/>
    </row>
    <row r="1403">
      <c r="A1403" s="8" t="n"/>
      <c r="B1403" s="9" t="n"/>
    </row>
    <row r="1404">
      <c r="A1404" s="8" t="n"/>
      <c r="B1404" s="9" t="n"/>
    </row>
    <row r="1405">
      <c r="A1405" s="8" t="n"/>
      <c r="B1405" s="9" t="n"/>
    </row>
    <row r="1406">
      <c r="A1406" s="8" t="n"/>
      <c r="B1406" s="9" t="n"/>
    </row>
    <row r="1407">
      <c r="A1407" s="8" t="n"/>
      <c r="B1407" s="9" t="n"/>
    </row>
    <row r="1408">
      <c r="A1408" s="8" t="n"/>
      <c r="B1408" s="9" t="n"/>
    </row>
    <row r="1409">
      <c r="A1409" s="8" t="n"/>
      <c r="B1409" s="9" t="n"/>
    </row>
    <row r="1410">
      <c r="A1410" s="8" t="n"/>
      <c r="B1410" s="9" t="n"/>
    </row>
    <row r="1411">
      <c r="A1411" s="8" t="n"/>
      <c r="B1411" s="9" t="n"/>
    </row>
    <row r="1412">
      <c r="A1412" s="8" t="n"/>
      <c r="B1412" s="9" t="n"/>
    </row>
    <row r="1413">
      <c r="A1413" s="8" t="n"/>
      <c r="B1413" s="9" t="n"/>
    </row>
    <row r="1414">
      <c r="A1414" s="8" t="n"/>
      <c r="B1414" s="9" t="n"/>
    </row>
    <row r="1415">
      <c r="A1415" s="8" t="n"/>
      <c r="B1415" s="9" t="n"/>
    </row>
    <row r="1416">
      <c r="A1416" s="8" t="n"/>
      <c r="B1416" s="9" t="n"/>
    </row>
    <row r="1417">
      <c r="A1417" s="8" t="n"/>
      <c r="B1417" s="9" t="n"/>
    </row>
    <row r="1418">
      <c r="A1418" s="8" t="n"/>
      <c r="B1418" s="9" t="n"/>
    </row>
    <row r="1419">
      <c r="A1419" s="8" t="n"/>
      <c r="B1419" s="9" t="n"/>
    </row>
    <row r="1420">
      <c r="A1420" s="8" t="n"/>
      <c r="B1420" s="9" t="n"/>
    </row>
    <row r="1421">
      <c r="A1421" s="8" t="n"/>
      <c r="B1421" s="9" t="n"/>
    </row>
    <row r="1422">
      <c r="A1422" s="8" t="n"/>
      <c r="B1422" s="9" t="n"/>
    </row>
    <row r="1423">
      <c r="A1423" s="8" t="n"/>
      <c r="B1423" s="9" t="n"/>
    </row>
    <row r="1424">
      <c r="A1424" s="8" t="n"/>
      <c r="B1424" s="9" t="n"/>
    </row>
    <row r="1425">
      <c r="A1425" s="8" t="n"/>
      <c r="B1425" s="9" t="n"/>
    </row>
    <row r="1426">
      <c r="A1426" s="8" t="n"/>
      <c r="B1426" s="9" t="n"/>
    </row>
    <row r="1427">
      <c r="A1427" s="8" t="n"/>
      <c r="B1427" s="9" t="n"/>
    </row>
    <row r="1428">
      <c r="A1428" s="8" t="n"/>
      <c r="B1428" s="9" t="n"/>
    </row>
    <row r="1429">
      <c r="A1429" s="8" t="n"/>
      <c r="B1429" s="9" t="n"/>
    </row>
    <row r="1430">
      <c r="A1430" s="8" t="n"/>
      <c r="B1430" s="9" t="n"/>
    </row>
    <row r="1431">
      <c r="A1431" s="8" t="n"/>
      <c r="B1431" s="9" t="n"/>
    </row>
    <row r="1432">
      <c r="A1432" s="8" t="n"/>
      <c r="B1432" s="9" t="n"/>
    </row>
    <row r="1433">
      <c r="A1433" s="8" t="n"/>
      <c r="B1433" s="9" t="n"/>
    </row>
    <row r="1434">
      <c r="A1434" s="8" t="n"/>
      <c r="B1434" s="9" t="n"/>
    </row>
    <row r="1435">
      <c r="A1435" s="8" t="n"/>
      <c r="B1435" s="9" t="n"/>
    </row>
    <row r="1436">
      <c r="A1436" s="8" t="n"/>
      <c r="B1436" s="9" t="n"/>
    </row>
    <row r="1437">
      <c r="A1437" s="8" t="n"/>
      <c r="B1437" s="9" t="n"/>
    </row>
    <row r="1438">
      <c r="A1438" s="8" t="n"/>
      <c r="B1438" s="9" t="n"/>
    </row>
    <row r="1439">
      <c r="A1439" s="8" t="n"/>
      <c r="B1439" s="9" t="n"/>
    </row>
    <row r="1440">
      <c r="A1440" s="8" t="n"/>
      <c r="B1440" s="9" t="n"/>
    </row>
    <row r="1441">
      <c r="A1441" s="8" t="n"/>
      <c r="B1441" s="9" t="n"/>
    </row>
    <row r="1442">
      <c r="A1442" s="8" t="n"/>
      <c r="B1442" s="9" t="n"/>
    </row>
    <row r="1443">
      <c r="A1443" s="8" t="n"/>
      <c r="B1443" s="9" t="n"/>
    </row>
    <row r="1444">
      <c r="A1444" s="8" t="n"/>
      <c r="B1444" s="9" t="n"/>
    </row>
    <row r="1445">
      <c r="A1445" s="8" t="n"/>
      <c r="B1445" s="9" t="n"/>
    </row>
    <row r="1446">
      <c r="A1446" s="8" t="n"/>
      <c r="B1446" s="9" t="n"/>
    </row>
    <row r="1447">
      <c r="A1447" s="8" t="n"/>
      <c r="B1447" s="9" t="n"/>
    </row>
    <row r="1448">
      <c r="A1448" s="8" t="n"/>
      <c r="B1448" s="9" t="n"/>
    </row>
    <row r="1449">
      <c r="A1449" s="8" t="n"/>
      <c r="B1449" s="9" t="n"/>
    </row>
    <row r="1450">
      <c r="A1450" s="8" t="n"/>
      <c r="B1450" s="9" t="n"/>
    </row>
    <row r="1451">
      <c r="A1451" s="8" t="n"/>
      <c r="B1451" s="9" t="n"/>
    </row>
    <row r="1452">
      <c r="A1452" s="8" t="n"/>
      <c r="B1452" s="9" t="n"/>
    </row>
    <row r="1453">
      <c r="A1453" s="8" t="n"/>
      <c r="B1453" s="9" t="n"/>
    </row>
    <row r="1454">
      <c r="A1454" s="8" t="n"/>
      <c r="B1454" s="9" t="n"/>
    </row>
    <row r="1455">
      <c r="A1455" s="8" t="n"/>
      <c r="B1455" s="9" t="n"/>
    </row>
    <row r="1456">
      <c r="A1456" s="8" t="n"/>
      <c r="B1456" s="9" t="n"/>
    </row>
    <row r="1457">
      <c r="A1457" s="8" t="n"/>
      <c r="B1457" s="9" t="n"/>
    </row>
    <row r="1458">
      <c r="A1458" s="8" t="n"/>
      <c r="B1458" s="9" t="n"/>
    </row>
    <row r="1459">
      <c r="A1459" s="8" t="n"/>
      <c r="B1459" s="9" t="n"/>
    </row>
    <row r="1460">
      <c r="A1460" s="8" t="n"/>
      <c r="B1460" s="9" t="n"/>
    </row>
    <row r="1461">
      <c r="A1461" s="8" t="n"/>
      <c r="B1461" s="9" t="n"/>
    </row>
    <row r="1462">
      <c r="A1462" s="8" t="n"/>
      <c r="B1462" s="9" t="n"/>
    </row>
    <row r="1463">
      <c r="A1463" s="8" t="n"/>
      <c r="B1463" s="9" t="n"/>
    </row>
    <row r="1464">
      <c r="A1464" s="8" t="n"/>
      <c r="B1464" s="9" t="n"/>
    </row>
    <row r="1465">
      <c r="A1465" s="8" t="n"/>
      <c r="B1465" s="9" t="n"/>
    </row>
    <row r="1466">
      <c r="A1466" s="8" t="n"/>
      <c r="B1466" s="9" t="n"/>
    </row>
    <row r="1467">
      <c r="A1467" s="8" t="n"/>
      <c r="B1467" s="9" t="n"/>
    </row>
    <row r="1468">
      <c r="A1468" s="8" t="n"/>
      <c r="B1468" s="9" t="n"/>
    </row>
    <row r="1469">
      <c r="A1469" s="8" t="n"/>
      <c r="B1469" s="9" t="n"/>
    </row>
    <row r="1470">
      <c r="A1470" s="8" t="n"/>
      <c r="B1470" s="9" t="n"/>
    </row>
    <row r="1471">
      <c r="A1471" s="8" t="n"/>
      <c r="B1471" s="9" t="n"/>
    </row>
    <row r="1472">
      <c r="A1472" s="8" t="n"/>
      <c r="B1472" s="9" t="n"/>
    </row>
    <row r="1473">
      <c r="A1473" s="8" t="n"/>
      <c r="B1473" s="9" t="n"/>
    </row>
    <row r="1474">
      <c r="A1474" s="8" t="n"/>
      <c r="B1474" s="9" t="n"/>
    </row>
    <row r="1475">
      <c r="A1475" s="8" t="n"/>
      <c r="B1475" s="9" t="n"/>
    </row>
    <row r="1476">
      <c r="A1476" s="8" t="n"/>
      <c r="B1476" s="9" t="n"/>
    </row>
    <row r="1477">
      <c r="A1477" s="8" t="n"/>
      <c r="B1477" s="9" t="n"/>
    </row>
    <row r="1478">
      <c r="A1478" s="8" t="n"/>
      <c r="B1478" s="9" t="n"/>
    </row>
    <row r="1479">
      <c r="A1479" s="8" t="n"/>
      <c r="B1479" s="9" t="n"/>
    </row>
    <row r="1480">
      <c r="A1480" s="8" t="n"/>
      <c r="B1480" s="9" t="n"/>
    </row>
    <row r="1481">
      <c r="A1481" s="8" t="n"/>
      <c r="B1481" s="9" t="n"/>
    </row>
    <row r="1482">
      <c r="A1482" s="8" t="n"/>
      <c r="B1482" s="9" t="n"/>
    </row>
    <row r="1483">
      <c r="A1483" s="8" t="n"/>
      <c r="B1483" s="9" t="n"/>
    </row>
    <row r="1484">
      <c r="A1484" s="8" t="n"/>
      <c r="B1484" s="9" t="n"/>
    </row>
    <row r="1485">
      <c r="A1485" s="8" t="n"/>
      <c r="B1485" s="9" t="n"/>
    </row>
    <row r="1486">
      <c r="A1486" s="8" t="n"/>
      <c r="B1486" s="9" t="n"/>
    </row>
    <row r="1487">
      <c r="A1487" s="8" t="n"/>
      <c r="B1487" s="9" t="n"/>
    </row>
    <row r="1488">
      <c r="A1488" s="8" t="n"/>
      <c r="B1488" s="9" t="n"/>
    </row>
    <row r="1489">
      <c r="A1489" s="8" t="n"/>
      <c r="B1489" s="9" t="n"/>
    </row>
    <row r="1490">
      <c r="A1490" s="8" t="n"/>
      <c r="B1490" s="9" t="n"/>
    </row>
    <row r="1491">
      <c r="A1491" s="8" t="n"/>
      <c r="B1491" s="9" t="n"/>
    </row>
    <row r="1492">
      <c r="A1492" s="8" t="n"/>
      <c r="B1492" s="9" t="n"/>
    </row>
    <row r="1493">
      <c r="A1493" s="8" t="n"/>
      <c r="B1493" s="9" t="n"/>
    </row>
    <row r="1494">
      <c r="A1494" s="8" t="n"/>
      <c r="B1494" s="9" t="n"/>
    </row>
    <row r="1495">
      <c r="A1495" s="8" t="n"/>
      <c r="B1495" s="9" t="n"/>
    </row>
    <row r="1496">
      <c r="A1496" s="8" t="n"/>
      <c r="B1496" s="9" t="n"/>
    </row>
    <row r="1497">
      <c r="A1497" s="8" t="n"/>
      <c r="B1497" s="9" t="n"/>
    </row>
    <row r="1498">
      <c r="A1498" s="8" t="n"/>
      <c r="B1498" s="9" t="n"/>
    </row>
    <row r="1499">
      <c r="A1499" s="8" t="n"/>
      <c r="B1499" s="9" t="n"/>
    </row>
    <row r="1500">
      <c r="A1500" s="8" t="n"/>
      <c r="B1500" s="9" t="n"/>
    </row>
    <row r="1501">
      <c r="A1501" s="8" t="n"/>
      <c r="B1501" s="9" t="n"/>
    </row>
    <row r="1502">
      <c r="A1502" s="8" t="n"/>
      <c r="B1502" s="9" t="n"/>
    </row>
    <row r="1503">
      <c r="A1503" s="8" t="n"/>
      <c r="B1503" s="9" t="n"/>
    </row>
    <row r="1504">
      <c r="A1504" s="8" t="n"/>
      <c r="B1504" s="9" t="n"/>
    </row>
    <row r="1505">
      <c r="A1505" s="8" t="n"/>
      <c r="B1505" s="9" t="n"/>
    </row>
    <row r="1506">
      <c r="A1506" s="8" t="n"/>
      <c r="B1506" s="9" t="n"/>
    </row>
    <row r="1507">
      <c r="A1507" s="8" t="n"/>
      <c r="B1507" s="9" t="n"/>
    </row>
    <row r="1508">
      <c r="A1508" s="8" t="n"/>
      <c r="B1508" s="9" t="n"/>
    </row>
    <row r="1509">
      <c r="A1509" s="8" t="n"/>
      <c r="B1509" s="9" t="n"/>
    </row>
    <row r="1510">
      <c r="A1510" s="8" t="n"/>
      <c r="B1510" s="9" t="n"/>
    </row>
    <row r="1511">
      <c r="A1511" s="8" t="n"/>
      <c r="B1511" s="9" t="n"/>
    </row>
    <row r="1512">
      <c r="A1512" s="8" t="n"/>
      <c r="B1512" s="9" t="n"/>
    </row>
    <row r="1513">
      <c r="A1513" s="8" t="n"/>
      <c r="B1513" s="9" t="n"/>
    </row>
    <row r="1514">
      <c r="A1514" s="8" t="n"/>
      <c r="B1514" s="9" t="n"/>
    </row>
    <row r="1515">
      <c r="A1515" s="8" t="n"/>
      <c r="B1515" s="9" t="n"/>
    </row>
    <row r="1516">
      <c r="A1516" s="8" t="n"/>
      <c r="B1516" s="9" t="n"/>
    </row>
    <row r="1517">
      <c r="A1517" s="8" t="n"/>
      <c r="B1517" s="9" t="n"/>
    </row>
    <row r="1518">
      <c r="A1518" s="8" t="n"/>
      <c r="B1518" s="9" t="n"/>
    </row>
    <row r="1519">
      <c r="A1519" s="8" t="n"/>
      <c r="B1519" s="9" t="n"/>
    </row>
    <row r="1520">
      <c r="A1520" s="8" t="n"/>
      <c r="B1520" s="9" t="n"/>
    </row>
    <row r="1521">
      <c r="A1521" s="8" t="n"/>
      <c r="B1521" s="9" t="n"/>
    </row>
    <row r="1522">
      <c r="A1522" s="8" t="n"/>
      <c r="B1522" s="9" t="n"/>
    </row>
    <row r="1523">
      <c r="A1523" s="8" t="n"/>
      <c r="B1523" s="9" t="n"/>
    </row>
    <row r="1524">
      <c r="A1524" s="8" t="n"/>
      <c r="B1524" s="9" t="n"/>
    </row>
    <row r="1525">
      <c r="A1525" s="8" t="n"/>
      <c r="B1525" s="9" t="n"/>
    </row>
    <row r="1526">
      <c r="A1526" s="8" t="n"/>
      <c r="B1526" s="9" t="n"/>
    </row>
    <row r="1527">
      <c r="A1527" s="8" t="n"/>
      <c r="B1527" s="9" t="n"/>
    </row>
    <row r="1528">
      <c r="A1528" s="8" t="n"/>
      <c r="B1528" s="9" t="n"/>
    </row>
    <row r="1529">
      <c r="A1529" s="8" t="n"/>
      <c r="B1529" s="9" t="n"/>
    </row>
    <row r="1530">
      <c r="A1530" s="8" t="n"/>
      <c r="B1530" s="9" t="n"/>
    </row>
    <row r="1531">
      <c r="A1531" s="8" t="n"/>
      <c r="B1531" s="9" t="n"/>
    </row>
    <row r="1532">
      <c r="A1532" s="8" t="n"/>
      <c r="B1532" s="9" t="n"/>
    </row>
    <row r="1533">
      <c r="A1533" s="8" t="n"/>
      <c r="B1533" s="9" t="n"/>
    </row>
    <row r="1534">
      <c r="A1534" s="8" t="n"/>
      <c r="B1534" s="9" t="n"/>
    </row>
    <row r="1535">
      <c r="A1535" s="8" t="n"/>
      <c r="B1535" s="9" t="n"/>
    </row>
    <row r="1536">
      <c r="A1536" s="8" t="n"/>
      <c r="B1536" s="9" t="n"/>
    </row>
    <row r="1537">
      <c r="A1537" s="8" t="n"/>
      <c r="B1537" s="9" t="n"/>
    </row>
    <row r="1538">
      <c r="A1538" s="8" t="n"/>
      <c r="B1538" s="9" t="n"/>
    </row>
    <row r="1539">
      <c r="A1539" s="8" t="n"/>
      <c r="B1539" s="9" t="n"/>
    </row>
    <row r="1540">
      <c r="A1540" s="8" t="n"/>
      <c r="B1540" s="9" t="n"/>
    </row>
    <row r="1541">
      <c r="A1541" s="8" t="n"/>
      <c r="B1541" s="9" t="n"/>
    </row>
    <row r="1542">
      <c r="A1542" s="8" t="n"/>
      <c r="B1542" s="9" t="n"/>
    </row>
    <row r="1543">
      <c r="A1543" s="8" t="n"/>
      <c r="B1543" s="9" t="n"/>
    </row>
    <row r="1544">
      <c r="A1544" s="8" t="n"/>
      <c r="B1544" s="9" t="n"/>
    </row>
    <row r="1545">
      <c r="A1545" s="8" t="n"/>
      <c r="B1545" s="9" t="n"/>
    </row>
    <row r="1546">
      <c r="A1546" s="8" t="n"/>
      <c r="B1546" s="9" t="n"/>
    </row>
    <row r="1547">
      <c r="A1547" s="8" t="n"/>
      <c r="B1547" s="9" t="n"/>
    </row>
    <row r="1548">
      <c r="A1548" s="8" t="n"/>
      <c r="B1548" s="9" t="n"/>
    </row>
    <row r="1549">
      <c r="A1549" s="8" t="n"/>
      <c r="B1549" s="9" t="n"/>
    </row>
    <row r="1550">
      <c r="A1550" s="8" t="n"/>
      <c r="B1550" s="9" t="n"/>
    </row>
    <row r="1551">
      <c r="A1551" s="8" t="n"/>
      <c r="B1551" s="9" t="n"/>
    </row>
    <row r="1552">
      <c r="A1552" s="8" t="n"/>
      <c r="B1552" s="9" t="n"/>
    </row>
    <row r="1553">
      <c r="A1553" s="8" t="n"/>
      <c r="B1553" s="9" t="n"/>
    </row>
    <row r="1554">
      <c r="A1554" s="8" t="n"/>
      <c r="B1554" s="9" t="n"/>
    </row>
    <row r="1555">
      <c r="A1555" s="8" t="n"/>
      <c r="B1555" s="9" t="n"/>
    </row>
    <row r="1556">
      <c r="A1556" s="8" t="n"/>
      <c r="B1556" s="9" t="n"/>
    </row>
    <row r="1557">
      <c r="A1557" s="8" t="n"/>
      <c r="B1557" s="9" t="n"/>
    </row>
    <row r="1558">
      <c r="A1558" s="8" t="n"/>
      <c r="B1558" s="9" t="n"/>
    </row>
    <row r="1559">
      <c r="A1559" s="8" t="n"/>
      <c r="B1559" s="9" t="n"/>
    </row>
    <row r="1560">
      <c r="A1560" s="8" t="n"/>
      <c r="B1560" s="9" t="n"/>
    </row>
    <row r="1561">
      <c r="A1561" s="8" t="n"/>
      <c r="B1561" s="9" t="n"/>
    </row>
    <row r="1562">
      <c r="A1562" s="8" t="n"/>
      <c r="B1562" s="9" t="n"/>
    </row>
    <row r="1563">
      <c r="A1563" s="8" t="n"/>
      <c r="B1563" s="9" t="n"/>
    </row>
    <row r="1564">
      <c r="A1564" s="8" t="n"/>
      <c r="B1564" s="9" t="n"/>
    </row>
    <row r="1565">
      <c r="A1565" s="8" t="n"/>
      <c r="B1565" s="9" t="n"/>
    </row>
    <row r="1566">
      <c r="A1566" s="8" t="n"/>
      <c r="B1566" s="9" t="n"/>
    </row>
    <row r="1567">
      <c r="A1567" s="8" t="n"/>
      <c r="B1567" s="9" t="n"/>
    </row>
    <row r="1568">
      <c r="A1568" s="8" t="n"/>
      <c r="B1568" s="9" t="n"/>
    </row>
    <row r="1569">
      <c r="A1569" s="8" t="n"/>
      <c r="B1569" s="9" t="n"/>
    </row>
    <row r="1570">
      <c r="A1570" s="8" t="n"/>
      <c r="B1570" s="9" t="n"/>
    </row>
    <row r="1571">
      <c r="A1571" s="8" t="n"/>
      <c r="B1571" s="9" t="n"/>
    </row>
    <row r="1572">
      <c r="A1572" s="8" t="n"/>
      <c r="B1572" s="9" t="n"/>
    </row>
    <row r="1573">
      <c r="A1573" s="8" t="n"/>
      <c r="B1573" s="9" t="n"/>
    </row>
    <row r="1574">
      <c r="A1574" s="8" t="n"/>
      <c r="B1574" s="9" t="n"/>
    </row>
    <row r="1575">
      <c r="A1575" s="8" t="n"/>
      <c r="B1575" s="9" t="n"/>
    </row>
    <row r="1576">
      <c r="A1576" s="8" t="n"/>
      <c r="B1576" s="9" t="n"/>
    </row>
    <row r="1577">
      <c r="A1577" s="8" t="n"/>
      <c r="B1577" s="9" t="n"/>
    </row>
    <row r="1578">
      <c r="A1578" s="8" t="n"/>
      <c r="B1578" s="9" t="n"/>
    </row>
    <row r="1579">
      <c r="A1579" s="8" t="n"/>
      <c r="B1579" s="9" t="n"/>
    </row>
    <row r="1580">
      <c r="A1580" s="8" t="n"/>
      <c r="B1580" s="9" t="n"/>
    </row>
    <row r="1581">
      <c r="A1581" s="8" t="n"/>
      <c r="B1581" s="9" t="n"/>
    </row>
    <row r="1582">
      <c r="A1582" s="8" t="n"/>
      <c r="B1582" s="9" t="n"/>
    </row>
    <row r="1583">
      <c r="A1583" s="8" t="n"/>
      <c r="B1583" s="9" t="n"/>
    </row>
    <row r="1584">
      <c r="A1584" s="8" t="n"/>
      <c r="B1584" s="9" t="n"/>
    </row>
    <row r="1585">
      <c r="A1585" s="8" t="n"/>
      <c r="B1585" s="9" t="n"/>
    </row>
    <row r="1586">
      <c r="A1586" s="8" t="n"/>
      <c r="B1586" s="9" t="n"/>
    </row>
    <row r="1587">
      <c r="A1587" s="8" t="n"/>
      <c r="B1587" s="9" t="n"/>
    </row>
    <row r="1588">
      <c r="A1588" s="8" t="n"/>
      <c r="B1588" s="9" t="n"/>
    </row>
    <row r="1589">
      <c r="A1589" s="8" t="n"/>
      <c r="B1589" s="9" t="n"/>
    </row>
    <row r="1590">
      <c r="A1590" s="8" t="n"/>
      <c r="B1590" s="9" t="n"/>
    </row>
    <row r="1591">
      <c r="A1591" s="8" t="n"/>
      <c r="B1591" s="9" t="n"/>
    </row>
    <row r="1592">
      <c r="A1592" s="8" t="n"/>
      <c r="B1592" s="9" t="n"/>
    </row>
    <row r="1593">
      <c r="A1593" s="8" t="n"/>
      <c r="B1593" s="9" t="n"/>
    </row>
    <row r="1594">
      <c r="A1594" s="8" t="n"/>
      <c r="B1594" s="9" t="n"/>
    </row>
    <row r="1595">
      <c r="A1595" s="8" t="n"/>
      <c r="B1595" s="9" t="n"/>
    </row>
    <row r="1596">
      <c r="A1596" s="8" t="n"/>
      <c r="B1596" s="9" t="n"/>
    </row>
    <row r="1597">
      <c r="A1597" s="8" t="n"/>
      <c r="B1597" s="9" t="n"/>
    </row>
    <row r="1598">
      <c r="A1598" s="8" t="n"/>
      <c r="B1598" s="9" t="n"/>
    </row>
    <row r="1599">
      <c r="A1599" s="8" t="n"/>
      <c r="B1599" s="9" t="n"/>
    </row>
    <row r="1600">
      <c r="A1600" s="8" t="n"/>
      <c r="B1600" s="9" t="n"/>
    </row>
    <row r="1601">
      <c r="A1601" s="8" t="n"/>
      <c r="B1601" s="9" t="n"/>
    </row>
    <row r="1602">
      <c r="A1602" s="8" t="n"/>
      <c r="B1602" s="9" t="n"/>
    </row>
    <row r="1603">
      <c r="A1603" s="8" t="n"/>
      <c r="B1603" s="9" t="n"/>
    </row>
    <row r="1604">
      <c r="A1604" s="8" t="n"/>
      <c r="B1604" s="9" t="n"/>
    </row>
    <row r="1605">
      <c r="A1605" s="8" t="n"/>
      <c r="B1605" s="9" t="n"/>
    </row>
    <row r="1606">
      <c r="A1606" s="8" t="n"/>
      <c r="B1606" s="9" t="n"/>
    </row>
    <row r="1607">
      <c r="A1607" s="8" t="n"/>
      <c r="B1607" s="9" t="n"/>
    </row>
    <row r="1608">
      <c r="A1608" s="8" t="n"/>
      <c r="B1608" s="9" t="n"/>
    </row>
    <row r="1609">
      <c r="A1609" s="8" t="n"/>
      <c r="B1609" s="9" t="n"/>
    </row>
    <row r="1610">
      <c r="A1610" s="8" t="n"/>
      <c r="B1610" s="9" t="n"/>
    </row>
    <row r="1611">
      <c r="A1611" s="8" t="n"/>
      <c r="B1611" s="9" t="n"/>
    </row>
    <row r="1612">
      <c r="A1612" s="8" t="n"/>
      <c r="B1612" s="9" t="n"/>
    </row>
    <row r="1613">
      <c r="A1613" s="8" t="n"/>
      <c r="B1613" s="9" t="n"/>
    </row>
    <row r="1614">
      <c r="A1614" s="8" t="n"/>
      <c r="B1614" s="9" t="n"/>
    </row>
    <row r="1615">
      <c r="A1615" s="8" t="n"/>
      <c r="B1615" s="9" t="n"/>
    </row>
    <row r="1616">
      <c r="A1616" s="8" t="n"/>
      <c r="B1616" s="9" t="n"/>
    </row>
    <row r="1617">
      <c r="A1617" s="8" t="n"/>
      <c r="B1617" s="9" t="n"/>
    </row>
    <row r="1618">
      <c r="A1618" s="8" t="n"/>
      <c r="B1618" s="9" t="n"/>
    </row>
    <row r="1619">
      <c r="A1619" s="8" t="n"/>
      <c r="B1619" s="9" t="n"/>
    </row>
    <row r="1620">
      <c r="A1620" s="8" t="n"/>
      <c r="B1620" s="9" t="n"/>
    </row>
    <row r="1621">
      <c r="A1621" s="8" t="n"/>
      <c r="B1621" s="9" t="n"/>
    </row>
    <row r="1622">
      <c r="A1622" s="8" t="n"/>
      <c r="B1622" s="9" t="n"/>
    </row>
    <row r="1623">
      <c r="A1623" s="8" t="n"/>
      <c r="B1623" s="9" t="n"/>
    </row>
    <row r="1624">
      <c r="A1624" s="8" t="n"/>
      <c r="B1624" s="9" t="n"/>
    </row>
    <row r="1625">
      <c r="A1625" s="8" t="n"/>
      <c r="B1625" s="9" t="n"/>
    </row>
    <row r="1626">
      <c r="A1626" s="8" t="n"/>
      <c r="B1626" s="9" t="n"/>
    </row>
    <row r="1627">
      <c r="A1627" s="8" t="n"/>
      <c r="B1627" s="9" t="n"/>
    </row>
    <row r="1628">
      <c r="A1628" s="8" t="n"/>
      <c r="B1628" s="9" t="n"/>
    </row>
    <row r="1629">
      <c r="A1629" s="8" t="n"/>
      <c r="B1629" s="9" t="n"/>
    </row>
    <row r="1630">
      <c r="A1630" s="8" t="n"/>
      <c r="B1630" s="9" t="n"/>
    </row>
    <row r="1631">
      <c r="A1631" s="8" t="n"/>
      <c r="B1631" s="9" t="n"/>
    </row>
    <row r="1632">
      <c r="A1632" s="8" t="n"/>
      <c r="B1632" s="9" t="n"/>
    </row>
    <row r="1633">
      <c r="A1633" s="8" t="n"/>
      <c r="B1633" s="9" t="n"/>
    </row>
    <row r="1634">
      <c r="A1634" s="8" t="n"/>
      <c r="B1634" s="9" t="n"/>
    </row>
    <row r="1635">
      <c r="A1635" s="8" t="n"/>
      <c r="B1635" s="9" t="n"/>
    </row>
    <row r="1636">
      <c r="A1636" s="8" t="n"/>
      <c r="B1636" s="9" t="n"/>
    </row>
    <row r="1637">
      <c r="A1637" s="8" t="n"/>
      <c r="B1637" s="9" t="n"/>
    </row>
    <row r="1638">
      <c r="A1638" s="8" t="n"/>
      <c r="B1638" s="9" t="n"/>
    </row>
    <row r="1639">
      <c r="A1639" s="8" t="n"/>
      <c r="B1639" s="9" t="n"/>
    </row>
    <row r="1640">
      <c r="A1640" s="8" t="n"/>
      <c r="B1640" s="9" t="n"/>
    </row>
    <row r="1641">
      <c r="A1641" s="8" t="n"/>
      <c r="B1641" s="9" t="n"/>
    </row>
    <row r="1642">
      <c r="A1642" s="8" t="n"/>
      <c r="B1642" s="9" t="n"/>
    </row>
    <row r="1643">
      <c r="A1643" s="8" t="n"/>
      <c r="B1643" s="9" t="n"/>
    </row>
    <row r="1644">
      <c r="A1644" s="8" t="n"/>
      <c r="B1644" s="9" t="n"/>
    </row>
    <row r="1645">
      <c r="A1645" s="8" t="n"/>
      <c r="B1645" s="9" t="n"/>
    </row>
    <row r="1646">
      <c r="A1646" s="8" t="n"/>
      <c r="B1646" s="9" t="n"/>
    </row>
    <row r="1647">
      <c r="A1647" s="8" t="n"/>
      <c r="B1647" s="9" t="n"/>
    </row>
    <row r="1648">
      <c r="A1648" s="8" t="n"/>
      <c r="B1648" s="9" t="n"/>
    </row>
    <row r="1649">
      <c r="A1649" s="8" t="n"/>
      <c r="B1649" s="9" t="n"/>
    </row>
    <row r="1650">
      <c r="A1650" s="8" t="n"/>
      <c r="B1650" s="9" t="n"/>
    </row>
    <row r="1651">
      <c r="A1651" s="8" t="n"/>
      <c r="B1651" s="9" t="n"/>
    </row>
    <row r="1652">
      <c r="A1652" s="8" t="n"/>
      <c r="B1652" s="9" t="n"/>
    </row>
    <row r="1653">
      <c r="A1653" s="8" t="n"/>
      <c r="B1653" s="9" t="n"/>
    </row>
    <row r="1654">
      <c r="A1654" s="8" t="n"/>
      <c r="B1654" s="9" t="n"/>
    </row>
    <row r="1655">
      <c r="A1655" s="8" t="n"/>
      <c r="B1655" s="9" t="n"/>
    </row>
    <row r="1656">
      <c r="A1656" s="8" t="n"/>
      <c r="B1656" s="9" t="n"/>
    </row>
    <row r="1657">
      <c r="A1657" s="8" t="n"/>
      <c r="B1657" s="9" t="n"/>
    </row>
    <row r="1658">
      <c r="A1658" s="8" t="n"/>
      <c r="B1658" s="9" t="n"/>
    </row>
    <row r="1659">
      <c r="A1659" s="8" t="n"/>
      <c r="B1659" s="9" t="n"/>
    </row>
    <row r="1660">
      <c r="A1660" s="8" t="n"/>
      <c r="B1660" s="9" t="n"/>
    </row>
    <row r="1661">
      <c r="A1661" s="8" t="n"/>
      <c r="B1661" s="9" t="n"/>
    </row>
    <row r="1662">
      <c r="A1662" s="8" t="n"/>
      <c r="B1662" s="9" t="n"/>
    </row>
    <row r="1663">
      <c r="A1663" s="8" t="n"/>
      <c r="B1663" s="9" t="n"/>
    </row>
    <row r="1664">
      <c r="A1664" s="8" t="n"/>
      <c r="B1664" s="9" t="n"/>
    </row>
    <row r="1665">
      <c r="A1665" s="8" t="n"/>
      <c r="B1665" s="9" t="n"/>
    </row>
    <row r="1666">
      <c r="A1666" s="8" t="n"/>
      <c r="B1666" s="9" t="n"/>
    </row>
    <row r="1667">
      <c r="A1667" s="8" t="n"/>
      <c r="B1667" s="9" t="n"/>
    </row>
    <row r="1668">
      <c r="A1668" s="8" t="n"/>
      <c r="B1668" s="9" t="n"/>
    </row>
    <row r="1669">
      <c r="A1669" s="8" t="n"/>
      <c r="B1669" s="9" t="n"/>
    </row>
    <row r="1670">
      <c r="A1670" s="8" t="n"/>
      <c r="B1670" s="9" t="n"/>
    </row>
    <row r="1671">
      <c r="A1671" s="8" t="n"/>
      <c r="B1671" s="9" t="n"/>
    </row>
    <row r="1672">
      <c r="A1672" s="8" t="n"/>
      <c r="B1672" s="9" t="n"/>
    </row>
    <row r="1673">
      <c r="A1673" s="8" t="n"/>
      <c r="B1673" s="9" t="n"/>
    </row>
    <row r="1674">
      <c r="A1674" s="8" t="n"/>
      <c r="B1674" s="9" t="n"/>
    </row>
    <row r="1675">
      <c r="A1675" s="8" t="n"/>
      <c r="B1675" s="9" t="n"/>
    </row>
    <row r="1676">
      <c r="A1676" s="8" t="n"/>
      <c r="B1676" s="9" t="n"/>
    </row>
    <row r="1677">
      <c r="A1677" s="8" t="n"/>
      <c r="B1677" s="9" t="n"/>
    </row>
    <row r="1678">
      <c r="A1678" s="8" t="n"/>
      <c r="B1678" s="9" t="n"/>
    </row>
    <row r="1679">
      <c r="A1679" s="8" t="n"/>
      <c r="B1679" s="9" t="n"/>
    </row>
    <row r="1680">
      <c r="A1680" s="8" t="n"/>
      <c r="B1680" s="9" t="n"/>
    </row>
    <row r="1681">
      <c r="A1681" s="8" t="n"/>
      <c r="B1681" s="9" t="n"/>
    </row>
    <row r="1682">
      <c r="A1682" s="8" t="n"/>
      <c r="B1682" s="9" t="n"/>
    </row>
    <row r="1683">
      <c r="A1683" s="8" t="n"/>
      <c r="B1683" s="9" t="n"/>
    </row>
    <row r="1684">
      <c r="A1684" s="8" t="n"/>
      <c r="B1684" s="9" t="n"/>
    </row>
    <row r="1685">
      <c r="A1685" s="8" t="n"/>
      <c r="B1685" s="9" t="n"/>
    </row>
    <row r="1686">
      <c r="A1686" s="8" t="n"/>
      <c r="B1686" s="9" t="n"/>
    </row>
    <row r="1687">
      <c r="A1687" s="8" t="n"/>
      <c r="B1687" s="9" t="n"/>
    </row>
    <row r="1688">
      <c r="A1688" s="8" t="n"/>
      <c r="B1688" s="9" t="n"/>
    </row>
    <row r="1689">
      <c r="A1689" s="8" t="n"/>
      <c r="B1689" s="9" t="n"/>
    </row>
    <row r="1690">
      <c r="A1690" s="8" t="n"/>
      <c r="B1690" s="9" t="n"/>
    </row>
    <row r="1691">
      <c r="A1691" s="8" t="n"/>
      <c r="B1691" s="9" t="n"/>
    </row>
    <row r="1692">
      <c r="A1692" s="8" t="n"/>
      <c r="B1692" s="9" t="n"/>
    </row>
    <row r="1693">
      <c r="A1693" s="8" t="n"/>
      <c r="B1693" s="9" t="n"/>
    </row>
    <row r="1694">
      <c r="A1694" s="8" t="n"/>
      <c r="B1694" s="9" t="n"/>
    </row>
    <row r="1695">
      <c r="A1695" s="8" t="n"/>
      <c r="B1695" s="9" t="n"/>
    </row>
    <row r="1696">
      <c r="A1696" s="8" t="n"/>
      <c r="B1696" s="9" t="n"/>
    </row>
    <row r="1697">
      <c r="A1697" s="8" t="n"/>
      <c r="B1697" s="9" t="n"/>
    </row>
    <row r="1698">
      <c r="A1698" s="8" t="n"/>
      <c r="B1698" s="9" t="n"/>
    </row>
    <row r="1699">
      <c r="A1699" s="8" t="n"/>
      <c r="B1699" s="9" t="n"/>
    </row>
    <row r="1700">
      <c r="A1700" s="8" t="n"/>
      <c r="B1700" s="9" t="n"/>
    </row>
    <row r="1701">
      <c r="A1701" s="8" t="n"/>
      <c r="B1701" s="9" t="n"/>
    </row>
    <row r="1702">
      <c r="A1702" s="8" t="n"/>
      <c r="B1702" s="9" t="n"/>
    </row>
    <row r="1703">
      <c r="A1703" s="8" t="n"/>
      <c r="B1703" s="9" t="n"/>
    </row>
    <row r="1704">
      <c r="A1704" s="8" t="n"/>
      <c r="B1704" s="9" t="n"/>
    </row>
    <row r="1705">
      <c r="A1705" s="8" t="n"/>
      <c r="B1705" s="9" t="n"/>
    </row>
    <row r="1706">
      <c r="A1706" s="8" t="n"/>
      <c r="B1706" s="9" t="n"/>
    </row>
    <row r="1707">
      <c r="A1707" s="8" t="n"/>
      <c r="B1707" s="9" t="n"/>
    </row>
    <row r="1708">
      <c r="A1708" s="8" t="n"/>
      <c r="B1708" s="9" t="n"/>
    </row>
    <row r="1709">
      <c r="A1709" s="8" t="n"/>
      <c r="B1709" s="9" t="n"/>
    </row>
    <row r="1710">
      <c r="A1710" s="8" t="n"/>
      <c r="B1710" s="9" t="n"/>
    </row>
    <row r="1711">
      <c r="A1711" s="8" t="n"/>
      <c r="B1711" s="9" t="n"/>
    </row>
    <row r="1712">
      <c r="A1712" s="8" t="n"/>
      <c r="B1712" s="9" t="n"/>
    </row>
    <row r="1713">
      <c r="A1713" s="8" t="n"/>
      <c r="B1713" s="9" t="n"/>
    </row>
    <row r="1714">
      <c r="A1714" s="8" t="n"/>
      <c r="B1714" s="9" t="n"/>
    </row>
    <row r="1715">
      <c r="A1715" s="8" t="n"/>
      <c r="B1715" s="9" t="n"/>
    </row>
    <row r="1716">
      <c r="A1716" s="8" t="n"/>
      <c r="B1716" s="9" t="n"/>
    </row>
    <row r="1717">
      <c r="A1717" s="8" t="n"/>
      <c r="B1717" s="9" t="n"/>
    </row>
    <row r="1718">
      <c r="A1718" s="8" t="n"/>
      <c r="B1718" s="9" t="n"/>
    </row>
    <row r="1719">
      <c r="A1719" s="8" t="n"/>
      <c r="B1719" s="9" t="n"/>
    </row>
    <row r="1720">
      <c r="A1720" s="8" t="n"/>
      <c r="B1720" s="9" t="n"/>
    </row>
    <row r="1721">
      <c r="A1721" s="8" t="n"/>
      <c r="B1721" s="9" t="n"/>
    </row>
    <row r="1722">
      <c r="A1722" s="8" t="n"/>
      <c r="B1722" s="9" t="n"/>
    </row>
    <row r="1723">
      <c r="A1723" s="8" t="n"/>
      <c r="B1723" s="9" t="n"/>
    </row>
    <row r="1724">
      <c r="A1724" s="8" t="n"/>
      <c r="B1724" s="9" t="n"/>
    </row>
    <row r="1725">
      <c r="A1725" s="8" t="n"/>
      <c r="B1725" s="9" t="n"/>
    </row>
    <row r="1726">
      <c r="A1726" s="8" t="n"/>
      <c r="B1726" s="9" t="n"/>
    </row>
    <row r="1727">
      <c r="A1727" s="8" t="n"/>
      <c r="B1727" s="9" t="n"/>
    </row>
    <row r="1728">
      <c r="A1728" s="8" t="n"/>
      <c r="B1728" s="9" t="n"/>
    </row>
    <row r="1729">
      <c r="A1729" s="8" t="n"/>
      <c r="B1729" s="9" t="n"/>
    </row>
    <row r="1730">
      <c r="A1730" s="8" t="n"/>
      <c r="B1730" s="9" t="n"/>
    </row>
    <row r="1731">
      <c r="A1731" s="8" t="n"/>
      <c r="B1731" s="9" t="n"/>
    </row>
    <row r="1732">
      <c r="A1732" s="8" t="n"/>
      <c r="B1732" s="9" t="n"/>
    </row>
    <row r="1733">
      <c r="A1733" s="8" t="n"/>
      <c r="B1733" s="9" t="n"/>
    </row>
    <row r="1734">
      <c r="A1734" s="8" t="n"/>
      <c r="B1734" s="9" t="n"/>
    </row>
    <row r="1735">
      <c r="A1735" s="8" t="n"/>
      <c r="B1735" s="9" t="n"/>
    </row>
    <row r="1736">
      <c r="A1736" s="8" t="n"/>
      <c r="B1736" s="9" t="n"/>
    </row>
    <row r="1737">
      <c r="A1737" s="8" t="n"/>
      <c r="B1737" s="9" t="n"/>
    </row>
    <row r="1738">
      <c r="A1738" s="8" t="n"/>
      <c r="B1738" s="9" t="n"/>
    </row>
    <row r="1739">
      <c r="A1739" s="8" t="n"/>
      <c r="B1739" s="9" t="n"/>
    </row>
    <row r="1740">
      <c r="A1740" s="8" t="n"/>
      <c r="B1740" s="9" t="n"/>
    </row>
    <row r="1741">
      <c r="A1741" s="8" t="n"/>
      <c r="B1741" s="9" t="n"/>
    </row>
    <row r="1742">
      <c r="A1742" s="8" t="n"/>
      <c r="B1742" s="9" t="n"/>
    </row>
    <row r="1743">
      <c r="A1743" s="8" t="n"/>
      <c r="B1743" s="9" t="n"/>
    </row>
    <row r="1744">
      <c r="A1744" s="8" t="n"/>
      <c r="B1744" s="9" t="n"/>
    </row>
    <row r="1745">
      <c r="A1745" s="8" t="n"/>
      <c r="B1745" s="9" t="n"/>
    </row>
    <row r="1746">
      <c r="A1746" s="8" t="n"/>
      <c r="B1746" s="9" t="n"/>
    </row>
    <row r="1747">
      <c r="A1747" s="8" t="n"/>
      <c r="B1747" s="9" t="n"/>
    </row>
    <row r="1748">
      <c r="A1748" s="8" t="n"/>
      <c r="B1748" s="9" t="n"/>
    </row>
    <row r="1749">
      <c r="A1749" s="8" t="n"/>
      <c r="B1749" s="9" t="n"/>
    </row>
    <row r="1750">
      <c r="A1750" s="8" t="n"/>
      <c r="B1750" s="9" t="n"/>
    </row>
    <row r="1751">
      <c r="A1751" s="8" t="n"/>
      <c r="B1751" s="9" t="n"/>
    </row>
    <row r="1752">
      <c r="A1752" s="8" t="n"/>
      <c r="B1752" s="9" t="n"/>
    </row>
    <row r="1753">
      <c r="A1753" s="8" t="n"/>
      <c r="B1753" s="9" t="n"/>
    </row>
    <row r="1754">
      <c r="A1754" s="8" t="n"/>
      <c r="B1754" s="9" t="n"/>
    </row>
    <row r="1755">
      <c r="A1755" s="8" t="n"/>
      <c r="B1755" s="9" t="n"/>
    </row>
    <row r="1756">
      <c r="A1756" s="8" t="n"/>
      <c r="B1756" s="9" t="n"/>
    </row>
    <row r="1757">
      <c r="A1757" s="8" t="n"/>
      <c r="B1757" s="9" t="n"/>
    </row>
    <row r="1758">
      <c r="A1758" s="8" t="n"/>
      <c r="B1758" s="9" t="n"/>
    </row>
    <row r="1759">
      <c r="A1759" s="8" t="n"/>
      <c r="B1759" s="9" t="n"/>
    </row>
    <row r="1760">
      <c r="A1760" s="8" t="n"/>
      <c r="B1760" s="9" t="n"/>
    </row>
    <row r="1761">
      <c r="A1761" s="8" t="n"/>
      <c r="B1761" s="9" t="n"/>
    </row>
    <row r="1762">
      <c r="A1762" s="8" t="n"/>
      <c r="B1762" s="9" t="n"/>
    </row>
    <row r="1763">
      <c r="A1763" s="8" t="n"/>
      <c r="B1763" s="9" t="n"/>
    </row>
    <row r="1764">
      <c r="A1764" s="8" t="n"/>
      <c r="B1764" s="9" t="n"/>
    </row>
    <row r="1765">
      <c r="A1765" s="8" t="n"/>
      <c r="B1765" s="9" t="n"/>
    </row>
    <row r="1766">
      <c r="A1766" s="8" t="n"/>
      <c r="B1766" s="9" t="n"/>
    </row>
    <row r="1767">
      <c r="A1767" s="8" t="n"/>
      <c r="B1767" s="9" t="n"/>
    </row>
    <row r="1768">
      <c r="A1768" s="8" t="n"/>
      <c r="B1768" s="9" t="n"/>
    </row>
    <row r="1769">
      <c r="A1769" s="8" t="n"/>
      <c r="B1769" s="9" t="n"/>
    </row>
    <row r="1770">
      <c r="A1770" s="8" t="n"/>
      <c r="B1770" s="9" t="n"/>
    </row>
    <row r="1771">
      <c r="A1771" s="8" t="n"/>
      <c r="B1771" s="9" t="n"/>
    </row>
    <row r="1772">
      <c r="A1772" s="8" t="n"/>
      <c r="B1772" s="9" t="n"/>
    </row>
    <row r="1773">
      <c r="A1773" s="8" t="n"/>
      <c r="B1773" s="9" t="n"/>
    </row>
    <row r="1774">
      <c r="A1774" s="8" t="n"/>
      <c r="B1774" s="9" t="n"/>
    </row>
    <row r="1775">
      <c r="A1775" s="8" t="n"/>
      <c r="B1775" s="9" t="n"/>
    </row>
    <row r="1776">
      <c r="A1776" s="8" t="n"/>
      <c r="B1776" s="9" t="n"/>
    </row>
    <row r="1777">
      <c r="A1777" s="8" t="n"/>
      <c r="B1777" s="9" t="n"/>
    </row>
    <row r="1778">
      <c r="A1778" s="8" t="n"/>
      <c r="B1778" s="9" t="n"/>
    </row>
    <row r="1779">
      <c r="A1779" s="8" t="n"/>
      <c r="B1779" s="9" t="n"/>
    </row>
    <row r="1780">
      <c r="A1780" s="8" t="n"/>
      <c r="B1780" s="9" t="n"/>
    </row>
    <row r="1781">
      <c r="A1781" s="8" t="n"/>
      <c r="B1781" s="9" t="n"/>
    </row>
    <row r="1782">
      <c r="A1782" s="8" t="n"/>
      <c r="B1782" s="9" t="n"/>
    </row>
    <row r="1783">
      <c r="A1783" s="8" t="n"/>
      <c r="B1783" s="9" t="n"/>
    </row>
    <row r="1784">
      <c r="A1784" s="8" t="n"/>
      <c r="B1784" s="9" t="n"/>
    </row>
    <row r="1785">
      <c r="A1785" s="8" t="n"/>
      <c r="B1785" s="9" t="n"/>
    </row>
    <row r="1786">
      <c r="A1786" s="8" t="n"/>
      <c r="B1786" s="9" t="n"/>
    </row>
    <row r="1787">
      <c r="A1787" s="8" t="n"/>
      <c r="B1787" s="9" t="n"/>
    </row>
    <row r="1788">
      <c r="A1788" s="8" t="n"/>
      <c r="B1788" s="9" t="n"/>
    </row>
    <row r="1789">
      <c r="A1789" s="8" t="n"/>
      <c r="B1789" s="9" t="n"/>
    </row>
    <row r="1790">
      <c r="A1790" s="8" t="n"/>
      <c r="B1790" s="9" t="n"/>
    </row>
    <row r="1791">
      <c r="A1791" s="8" t="n"/>
      <c r="B1791" s="9" t="n"/>
    </row>
    <row r="1792">
      <c r="A1792" s="8" t="n"/>
      <c r="B1792" s="9" t="n"/>
    </row>
    <row r="1793">
      <c r="A1793" s="8" t="n"/>
      <c r="B1793" s="9" t="n"/>
    </row>
    <row r="1794">
      <c r="A1794" s="8" t="n"/>
      <c r="B1794" s="9" t="n"/>
    </row>
    <row r="1795">
      <c r="A1795" s="8" t="n"/>
      <c r="B1795" s="9" t="n"/>
    </row>
    <row r="1796">
      <c r="A1796" s="8" t="n"/>
      <c r="B1796" s="9" t="n"/>
    </row>
    <row r="1797">
      <c r="A1797" s="8" t="n"/>
      <c r="B1797" s="9" t="n"/>
    </row>
    <row r="1798">
      <c r="A1798" s="8" t="n"/>
      <c r="B1798" s="9" t="n"/>
    </row>
    <row r="1799">
      <c r="A1799" s="8" t="n"/>
      <c r="B1799" s="9" t="n"/>
    </row>
    <row r="1800">
      <c r="A1800" s="8" t="n"/>
      <c r="B1800" s="9" t="n"/>
    </row>
    <row r="1801">
      <c r="A1801" s="8" t="n"/>
      <c r="B1801" s="9" t="n"/>
    </row>
    <row r="1802">
      <c r="A1802" s="8" t="n"/>
      <c r="B1802" s="9" t="n"/>
    </row>
    <row r="1803">
      <c r="A1803" s="8" t="n"/>
      <c r="B1803" s="9" t="n"/>
    </row>
    <row r="1804">
      <c r="A1804" s="8" t="n"/>
      <c r="B1804" s="9" t="n"/>
    </row>
    <row r="1805">
      <c r="A1805" s="8" t="n"/>
      <c r="B1805" s="9" t="n"/>
    </row>
    <row r="1806">
      <c r="A1806" s="8" t="n"/>
      <c r="B1806" s="9" t="n"/>
    </row>
    <row r="1807">
      <c r="A1807" s="8" t="n"/>
      <c r="B1807" s="9" t="n"/>
    </row>
    <row r="1808">
      <c r="A1808" s="8" t="n"/>
      <c r="B1808" s="9" t="n"/>
    </row>
    <row r="1809">
      <c r="A1809" s="8" t="n"/>
      <c r="B1809" s="9" t="n"/>
    </row>
    <row r="1810">
      <c r="A1810" s="8" t="n"/>
      <c r="B1810" s="9" t="n"/>
    </row>
    <row r="1811">
      <c r="A1811" s="8" t="n"/>
      <c r="B1811" s="9" t="n"/>
    </row>
    <row r="1812">
      <c r="A1812" s="8" t="n"/>
      <c r="B1812" s="9" t="n"/>
    </row>
    <row r="1813">
      <c r="A1813" s="8" t="n"/>
      <c r="B1813" s="9" t="n"/>
    </row>
    <row r="1814">
      <c r="A1814" s="8" t="n"/>
      <c r="B1814" s="9" t="n"/>
    </row>
    <row r="1815">
      <c r="A1815" s="8" t="n"/>
      <c r="B1815" s="9" t="n"/>
    </row>
    <row r="1816">
      <c r="A1816" s="8" t="n"/>
      <c r="B1816" s="9" t="n"/>
    </row>
    <row r="1817">
      <c r="A1817" s="8" t="n"/>
      <c r="B1817" s="9" t="n"/>
    </row>
    <row r="1818">
      <c r="A1818" s="8" t="n"/>
      <c r="B1818" s="9" t="n"/>
    </row>
    <row r="1819">
      <c r="A1819" s="8" t="n"/>
      <c r="B1819" s="9" t="n"/>
    </row>
    <row r="1820">
      <c r="A1820" s="8" t="n"/>
      <c r="B1820" s="9" t="n"/>
    </row>
    <row r="1821">
      <c r="A1821" s="8" t="n"/>
      <c r="B1821" s="9" t="n"/>
    </row>
    <row r="1822">
      <c r="A1822" s="8" t="n"/>
      <c r="B1822" s="9" t="n"/>
    </row>
    <row r="1823">
      <c r="A1823" s="8" t="n"/>
      <c r="B1823" s="9" t="n"/>
    </row>
    <row r="1824">
      <c r="A1824" s="8" t="n"/>
      <c r="B1824" s="9" t="n"/>
    </row>
    <row r="1825">
      <c r="A1825" s="8" t="n"/>
      <c r="B1825" s="9" t="n"/>
    </row>
    <row r="1826">
      <c r="A1826" s="8" t="n"/>
      <c r="B1826" s="9" t="n"/>
    </row>
    <row r="1827">
      <c r="A1827" s="8" t="n"/>
      <c r="B1827" s="9" t="n"/>
    </row>
    <row r="1828">
      <c r="A1828" s="8" t="n"/>
      <c r="B1828" s="9" t="n"/>
    </row>
    <row r="1829">
      <c r="A1829" s="8" t="n"/>
      <c r="B1829" s="9" t="n"/>
    </row>
    <row r="1830">
      <c r="A1830" s="8" t="n"/>
      <c r="B1830" s="9" t="n"/>
    </row>
    <row r="1831">
      <c r="A1831" s="8" t="n"/>
      <c r="B1831" s="9" t="n"/>
    </row>
    <row r="1832">
      <c r="A1832" s="8" t="n"/>
      <c r="B1832" s="9" t="n"/>
    </row>
    <row r="1833">
      <c r="A1833" s="8" t="n"/>
      <c r="B1833" s="9" t="n"/>
    </row>
    <row r="1834">
      <c r="A1834" s="8" t="n"/>
      <c r="B1834" s="9" t="n"/>
    </row>
    <row r="1835">
      <c r="A1835" s="8" t="n"/>
      <c r="B1835" s="9" t="n"/>
    </row>
    <row r="1836">
      <c r="A1836" s="8" t="n"/>
      <c r="B1836" s="9" t="n"/>
    </row>
    <row r="1837">
      <c r="A1837" s="8" t="n"/>
      <c r="B1837" s="9" t="n"/>
    </row>
    <row r="1838">
      <c r="A1838" s="8" t="n"/>
      <c r="B1838" s="9" t="n"/>
    </row>
    <row r="1839">
      <c r="A1839" s="8" t="n"/>
      <c r="B1839" s="9" t="n"/>
    </row>
    <row r="1840">
      <c r="A1840" s="8" t="n"/>
      <c r="B1840" s="9" t="n"/>
    </row>
    <row r="1841">
      <c r="A1841" s="8" t="n"/>
      <c r="B1841" s="9" t="n"/>
    </row>
    <row r="1842">
      <c r="A1842" s="8" t="n"/>
      <c r="B1842" s="9" t="n"/>
    </row>
    <row r="1843">
      <c r="A1843" s="8" t="n"/>
      <c r="B1843" s="9" t="n"/>
    </row>
    <row r="1844">
      <c r="A1844" s="8" t="n"/>
      <c r="B1844" s="9" t="n"/>
    </row>
    <row r="1845">
      <c r="A1845" s="8" t="n"/>
      <c r="B1845" s="9" t="n"/>
    </row>
    <row r="1846">
      <c r="A1846" s="8" t="n"/>
      <c r="B1846" s="9" t="n"/>
    </row>
    <row r="1847">
      <c r="A1847" s="8" t="n"/>
      <c r="B1847" s="9" t="n"/>
    </row>
    <row r="1848">
      <c r="A1848" s="8" t="n"/>
      <c r="B1848" s="9" t="n"/>
    </row>
    <row r="1849">
      <c r="A1849" s="8" t="n"/>
      <c r="B1849" s="9" t="n"/>
    </row>
    <row r="1850">
      <c r="A1850" s="8" t="n"/>
      <c r="B1850" s="9" t="n"/>
    </row>
    <row r="1851">
      <c r="A1851" s="8" t="n"/>
      <c r="B1851" s="9" t="n"/>
    </row>
    <row r="1852">
      <c r="A1852" s="8" t="n"/>
      <c r="B1852" s="9" t="n"/>
    </row>
    <row r="1853">
      <c r="A1853" s="8" t="n"/>
      <c r="B1853" s="9" t="n"/>
    </row>
    <row r="1854">
      <c r="A1854" s="8" t="n"/>
      <c r="B1854" s="9" t="n"/>
    </row>
    <row r="1855">
      <c r="A1855" s="8" t="n"/>
      <c r="B1855" s="9" t="n"/>
    </row>
    <row r="1856">
      <c r="A1856" s="8" t="n"/>
      <c r="B1856" s="9" t="n"/>
    </row>
    <row r="1857">
      <c r="A1857" s="8" t="n"/>
      <c r="B1857" s="9" t="n"/>
    </row>
    <row r="1858">
      <c r="A1858" s="8" t="n"/>
      <c r="B1858" s="9" t="n"/>
    </row>
    <row r="1859">
      <c r="A1859" s="8" t="n"/>
      <c r="B1859" s="9" t="n"/>
    </row>
    <row r="1860">
      <c r="A1860" s="8" t="n"/>
      <c r="B1860" s="9" t="n"/>
    </row>
    <row r="1861">
      <c r="A1861" s="8" t="n"/>
      <c r="B1861" s="9" t="n"/>
    </row>
    <row r="1862">
      <c r="A1862" s="8" t="n"/>
      <c r="B1862" s="9" t="n"/>
    </row>
    <row r="1863">
      <c r="A1863" s="8" t="n"/>
      <c r="B1863" s="9" t="n"/>
    </row>
    <row r="1864">
      <c r="A1864" s="8" t="n"/>
      <c r="B1864" s="9" t="n"/>
    </row>
    <row r="1865">
      <c r="A1865" s="8" t="n"/>
      <c r="B1865" s="9" t="n"/>
    </row>
    <row r="1866">
      <c r="A1866" s="8" t="n"/>
      <c r="B1866" s="9" t="n"/>
    </row>
    <row r="1867">
      <c r="A1867" s="8" t="n"/>
      <c r="B1867" s="9" t="n"/>
    </row>
    <row r="1868">
      <c r="A1868" s="8" t="n"/>
      <c r="B1868" s="9" t="n"/>
    </row>
    <row r="1869">
      <c r="A1869" s="8" t="n"/>
      <c r="B1869" s="9" t="n"/>
    </row>
    <row r="1870">
      <c r="A1870" s="8" t="n"/>
      <c r="B1870" s="9" t="n"/>
    </row>
    <row r="1871">
      <c r="A1871" s="8" t="n"/>
      <c r="B1871" s="9" t="n"/>
    </row>
    <row r="1872">
      <c r="A1872" s="8" t="n"/>
      <c r="B1872" s="9" t="n"/>
    </row>
    <row r="1873">
      <c r="A1873" s="8" t="n"/>
      <c r="B1873" s="9" t="n"/>
    </row>
    <row r="1874">
      <c r="A1874" s="8" t="n"/>
      <c r="B1874" s="9" t="n"/>
    </row>
    <row r="1875">
      <c r="A1875" s="8" t="n"/>
      <c r="B1875" s="9" t="n"/>
    </row>
    <row r="1876">
      <c r="A1876" s="8" t="n"/>
      <c r="B1876" s="9" t="n"/>
    </row>
    <row r="1877">
      <c r="A1877" s="8" t="n"/>
      <c r="B1877" s="9" t="n"/>
    </row>
    <row r="1878">
      <c r="A1878" s="8" t="n"/>
      <c r="B1878" s="9" t="n"/>
    </row>
    <row r="1879">
      <c r="A1879" s="8" t="n"/>
      <c r="B1879" s="9" t="n"/>
    </row>
    <row r="1880">
      <c r="A1880" s="8" t="n"/>
      <c r="B1880" s="9" t="n"/>
    </row>
    <row r="1881">
      <c r="A1881" s="8" t="n"/>
      <c r="B1881" s="9" t="n"/>
    </row>
    <row r="1882">
      <c r="A1882" s="8" t="n"/>
      <c r="B1882" s="9" t="n"/>
    </row>
    <row r="1883">
      <c r="A1883" s="8" t="n"/>
      <c r="B1883" s="9" t="n"/>
    </row>
    <row r="1884">
      <c r="A1884" s="8" t="n"/>
      <c r="B1884" s="9" t="n"/>
    </row>
    <row r="1885">
      <c r="A1885" s="8" t="n"/>
      <c r="B1885" s="9" t="n"/>
    </row>
    <row r="1886">
      <c r="A1886" s="8" t="n"/>
      <c r="B1886" s="9" t="n"/>
    </row>
    <row r="1887">
      <c r="A1887" s="8" t="n"/>
      <c r="B1887" s="9" t="n"/>
    </row>
    <row r="1888">
      <c r="A1888" s="8" t="n"/>
      <c r="B1888" s="9" t="n"/>
    </row>
    <row r="1889">
      <c r="A1889" s="8" t="n"/>
      <c r="B1889" s="9" t="n"/>
    </row>
    <row r="1890">
      <c r="A1890" s="8" t="n"/>
      <c r="B1890" s="9" t="n"/>
    </row>
    <row r="1891">
      <c r="A1891" s="8" t="n"/>
      <c r="B1891" s="9" t="n"/>
    </row>
    <row r="1892">
      <c r="A1892" s="8" t="n"/>
      <c r="B1892" s="9" t="n"/>
    </row>
    <row r="1893">
      <c r="A1893" s="8" t="n"/>
      <c r="B1893" s="9" t="n"/>
    </row>
    <row r="1894">
      <c r="A1894" s="8" t="n"/>
      <c r="B1894" s="9" t="n"/>
    </row>
    <row r="1895">
      <c r="A1895" s="8" t="n"/>
      <c r="B1895" s="9" t="n"/>
    </row>
    <row r="1896">
      <c r="A1896" s="8" t="n"/>
      <c r="B1896" s="9" t="n"/>
    </row>
    <row r="1897">
      <c r="A1897" s="8" t="n"/>
      <c r="B1897" s="9" t="n"/>
    </row>
    <row r="1898">
      <c r="A1898" s="8" t="n"/>
      <c r="B1898" s="9" t="n"/>
    </row>
    <row r="1899">
      <c r="A1899" s="8" t="n"/>
      <c r="B1899" s="9" t="n"/>
    </row>
    <row r="1900">
      <c r="A1900" s="8" t="n"/>
      <c r="B1900" s="9" t="n"/>
    </row>
    <row r="1901">
      <c r="A1901" s="8" t="n"/>
      <c r="B1901" s="9" t="n"/>
    </row>
    <row r="1902">
      <c r="A1902" s="8" t="n"/>
      <c r="B1902" s="9" t="n"/>
    </row>
    <row r="1903">
      <c r="A1903" s="8" t="n"/>
      <c r="B1903" s="9" t="n"/>
    </row>
    <row r="1904">
      <c r="A1904" s="8" t="n"/>
      <c r="B1904" s="9" t="n"/>
    </row>
    <row r="1905">
      <c r="A1905" s="8" t="n"/>
      <c r="B1905" s="9" t="n"/>
    </row>
    <row r="1906">
      <c r="A1906" s="8" t="n"/>
      <c r="B1906" s="9" t="n"/>
    </row>
    <row r="1907">
      <c r="A1907" s="8" t="n"/>
      <c r="B1907" s="9" t="n"/>
    </row>
    <row r="1908">
      <c r="A1908" s="8" t="n"/>
      <c r="B1908" s="9" t="n"/>
    </row>
    <row r="1909">
      <c r="A1909" s="8" t="n"/>
      <c r="B1909" s="9" t="n"/>
    </row>
    <row r="1910">
      <c r="A1910" s="8" t="n"/>
      <c r="B1910" s="9" t="n"/>
    </row>
    <row r="1911">
      <c r="A1911" s="8" t="n"/>
      <c r="B1911" s="9" t="n"/>
    </row>
    <row r="1912">
      <c r="A1912" s="8" t="n"/>
      <c r="B1912" s="9" t="n"/>
    </row>
    <row r="1913">
      <c r="A1913" s="8" t="n"/>
      <c r="B1913" s="9" t="n"/>
    </row>
    <row r="1914">
      <c r="A1914" s="8" t="n"/>
      <c r="B1914" s="9" t="n"/>
    </row>
    <row r="1915">
      <c r="A1915" s="8" t="n"/>
      <c r="B1915" s="9" t="n"/>
    </row>
    <row r="1916">
      <c r="A1916" s="8" t="n"/>
      <c r="B1916" s="9" t="n"/>
    </row>
    <row r="1917">
      <c r="A1917" s="8" t="n"/>
      <c r="B1917" s="9" t="n"/>
    </row>
    <row r="1918">
      <c r="A1918" s="8" t="n"/>
      <c r="B1918" s="9" t="n"/>
    </row>
    <row r="1919">
      <c r="A1919" s="8" t="n"/>
      <c r="B1919" s="9" t="n"/>
    </row>
    <row r="1920">
      <c r="A1920" s="8" t="n"/>
      <c r="B1920" s="9" t="n"/>
    </row>
    <row r="1921">
      <c r="A1921" s="8" t="n"/>
      <c r="B1921" s="9" t="n"/>
    </row>
    <row r="1922">
      <c r="A1922" s="8" t="n"/>
      <c r="B1922" s="9" t="n"/>
    </row>
    <row r="1923">
      <c r="A1923" s="8" t="n"/>
      <c r="B1923" s="9" t="n"/>
    </row>
    <row r="1924">
      <c r="A1924" s="8" t="n"/>
      <c r="B1924" s="9" t="n"/>
    </row>
    <row r="1925">
      <c r="A1925" s="8" t="n"/>
      <c r="B1925" s="9" t="n"/>
    </row>
    <row r="1926">
      <c r="A1926" s="8" t="n"/>
      <c r="B1926" s="9" t="n"/>
    </row>
    <row r="1927">
      <c r="A1927" s="8" t="n"/>
      <c r="B1927" s="9" t="n"/>
    </row>
    <row r="1928">
      <c r="A1928" s="8" t="n"/>
      <c r="B1928" s="9" t="n"/>
    </row>
    <row r="1929">
      <c r="A1929" s="8" t="n"/>
      <c r="B1929" s="9" t="n"/>
    </row>
    <row r="1930">
      <c r="A1930" s="8" t="n"/>
      <c r="B1930" s="9" t="n"/>
    </row>
    <row r="1931">
      <c r="A1931" s="8" t="n"/>
      <c r="B1931" s="9" t="n"/>
    </row>
    <row r="1932">
      <c r="A1932" s="8" t="n"/>
      <c r="B1932" s="9" t="n"/>
    </row>
    <row r="1933">
      <c r="A1933" s="8" t="n"/>
      <c r="B1933" s="9" t="n"/>
    </row>
    <row r="1934">
      <c r="A1934" s="8" t="n"/>
      <c r="B1934" s="9" t="n"/>
    </row>
    <row r="1935">
      <c r="A1935" s="8" t="n"/>
      <c r="B1935" s="9" t="n"/>
    </row>
    <row r="1936">
      <c r="A1936" s="8" t="n"/>
      <c r="B1936" s="9" t="n"/>
    </row>
    <row r="1937">
      <c r="A1937" s="8" t="n"/>
      <c r="B1937" s="9" t="n"/>
    </row>
    <row r="1938">
      <c r="A1938" s="8" t="n"/>
      <c r="B1938" s="9" t="n"/>
    </row>
    <row r="1939">
      <c r="A1939" s="8" t="n"/>
      <c r="B1939" s="9" t="n"/>
    </row>
    <row r="1940">
      <c r="A1940" s="8" t="n"/>
      <c r="B1940" s="9" t="n"/>
    </row>
    <row r="1941">
      <c r="A1941" s="8" t="n"/>
      <c r="B1941" s="9" t="n"/>
    </row>
    <row r="1942">
      <c r="A1942" s="8" t="n"/>
      <c r="B1942" s="9" t="n"/>
    </row>
    <row r="1943">
      <c r="A1943" s="8" t="n"/>
      <c r="B1943" s="9" t="n"/>
    </row>
    <row r="1944">
      <c r="A1944" s="8" t="n"/>
      <c r="B1944" s="9" t="n"/>
    </row>
    <row r="1945">
      <c r="A1945" s="8" t="n"/>
      <c r="B1945" s="9" t="n"/>
    </row>
    <row r="1946">
      <c r="A1946" s="8" t="n"/>
      <c r="B1946" s="9" t="n"/>
    </row>
    <row r="1947">
      <c r="A1947" s="8" t="n"/>
      <c r="B1947" s="9" t="n"/>
    </row>
    <row r="1948">
      <c r="A1948" s="8" t="n"/>
      <c r="B1948" s="9" t="n"/>
    </row>
    <row r="1949">
      <c r="A1949" s="8" t="n"/>
      <c r="B1949" s="9" t="n"/>
    </row>
    <row r="1950">
      <c r="A1950" s="8" t="n"/>
      <c r="B1950" s="9" t="n"/>
    </row>
    <row r="1951">
      <c r="A1951" s="8" t="n"/>
      <c r="B1951" s="9" t="n"/>
    </row>
    <row r="1952">
      <c r="A1952" s="8" t="n"/>
      <c r="B1952" s="9" t="n"/>
    </row>
    <row r="1953">
      <c r="A1953" s="8" t="n"/>
      <c r="B1953" s="9" t="n"/>
    </row>
    <row r="1954">
      <c r="A1954" s="8" t="n"/>
      <c r="B1954" s="9" t="n"/>
    </row>
    <row r="1955">
      <c r="A1955" s="8" t="n"/>
      <c r="B1955" s="9" t="n"/>
    </row>
    <row r="1956">
      <c r="A1956" s="8" t="n"/>
      <c r="B1956" s="9" t="n"/>
    </row>
    <row r="1957">
      <c r="A1957" s="8" t="n"/>
      <c r="B1957" s="9" t="n"/>
    </row>
    <row r="1958">
      <c r="A1958" s="8" t="n"/>
      <c r="B1958" s="9" t="n"/>
    </row>
    <row r="1959">
      <c r="A1959" s="8" t="n"/>
      <c r="B1959" s="9" t="n"/>
    </row>
    <row r="1960">
      <c r="A1960" s="8" t="n"/>
      <c r="B1960" s="9" t="n"/>
    </row>
    <row r="1961">
      <c r="A1961" s="8" t="n"/>
      <c r="B1961" s="9" t="n"/>
    </row>
    <row r="1962">
      <c r="A1962" s="8" t="n"/>
      <c r="B1962" s="9" t="n"/>
    </row>
    <row r="1963">
      <c r="A1963" s="8" t="n"/>
      <c r="B1963" s="9" t="n"/>
    </row>
    <row r="1964">
      <c r="A1964" s="8" t="n"/>
      <c r="B1964" s="9" t="n"/>
    </row>
    <row r="1965">
      <c r="A1965" s="8" t="n"/>
      <c r="B1965" s="9" t="n"/>
    </row>
    <row r="1966">
      <c r="A1966" s="8" t="n"/>
      <c r="B1966" s="9" t="n"/>
    </row>
    <row r="1967">
      <c r="A1967" s="8" t="n"/>
      <c r="B1967" s="9" t="n"/>
    </row>
    <row r="1968">
      <c r="A1968" s="8" t="n"/>
      <c r="B1968" s="9" t="n"/>
    </row>
    <row r="1969">
      <c r="A1969" s="8" t="n"/>
      <c r="B1969" s="9" t="n"/>
    </row>
    <row r="1970">
      <c r="A1970" s="8" t="n"/>
      <c r="B1970" s="9" t="n"/>
    </row>
    <row r="1971">
      <c r="A1971" s="8" t="n"/>
      <c r="B1971" s="9" t="n"/>
    </row>
    <row r="1972">
      <c r="A1972" s="8" t="n"/>
      <c r="B1972" s="9" t="n"/>
    </row>
    <row r="1973">
      <c r="A1973" s="8" t="n"/>
      <c r="B1973" s="9" t="n"/>
    </row>
    <row r="1974">
      <c r="A1974" s="8" t="n"/>
      <c r="B1974" s="9" t="n"/>
    </row>
    <row r="1975">
      <c r="A1975" s="8" t="n"/>
      <c r="B1975" s="9" t="n"/>
    </row>
    <row r="1976">
      <c r="A1976" s="8" t="n"/>
      <c r="B1976" s="9" t="n"/>
    </row>
    <row r="1977">
      <c r="A1977" s="8" t="n"/>
      <c r="B1977" s="9" t="n"/>
    </row>
    <row r="1978">
      <c r="A1978" s="8" t="n"/>
      <c r="B1978" s="9" t="n"/>
    </row>
    <row r="1979">
      <c r="A1979" s="8" t="n"/>
      <c r="B1979" s="9" t="n"/>
    </row>
    <row r="1980">
      <c r="A1980" s="8" t="n"/>
      <c r="B1980" s="9" t="n"/>
    </row>
    <row r="1981">
      <c r="A1981" s="8" t="n"/>
      <c r="B1981" s="9" t="n"/>
    </row>
    <row r="1982">
      <c r="A1982" s="8" t="n"/>
      <c r="B1982" s="9" t="n"/>
    </row>
    <row r="1983">
      <c r="A1983" s="8" t="n"/>
      <c r="B1983" s="9" t="n"/>
    </row>
    <row r="1984">
      <c r="A1984" s="8" t="n"/>
      <c r="B1984" s="9" t="n"/>
    </row>
    <row r="1985">
      <c r="A1985" s="8" t="n"/>
      <c r="B1985" s="9" t="n"/>
    </row>
    <row r="1986">
      <c r="A1986" s="8" t="n"/>
      <c r="B1986" s="9" t="n"/>
    </row>
    <row r="1987">
      <c r="A1987" s="8" t="n"/>
      <c r="B1987" s="9" t="n"/>
    </row>
    <row r="1988">
      <c r="A1988" s="8" t="n"/>
      <c r="B1988" s="9" t="n"/>
    </row>
    <row r="1989">
      <c r="A1989" s="8" t="n"/>
      <c r="B1989" s="9" t="n"/>
    </row>
    <row r="1990">
      <c r="A1990" s="8" t="n"/>
      <c r="B1990" s="9" t="n"/>
    </row>
    <row r="1991">
      <c r="A1991" s="8" t="n"/>
      <c r="B1991" s="9" t="n"/>
    </row>
    <row r="1992">
      <c r="A1992" s="8" t="n"/>
      <c r="B1992" s="9" t="n"/>
    </row>
    <row r="1993">
      <c r="A1993" s="8" t="n"/>
      <c r="B1993" s="9" t="n"/>
    </row>
    <row r="1994">
      <c r="A1994" s="8" t="n"/>
      <c r="B1994" s="9" t="n"/>
    </row>
    <row r="1995">
      <c r="A1995" s="8" t="n"/>
      <c r="B1995" s="9" t="n"/>
    </row>
    <row r="1996">
      <c r="A1996" s="8" t="n"/>
      <c r="B1996" s="9" t="n"/>
    </row>
    <row r="1997">
      <c r="A1997" s="8" t="n"/>
      <c r="B1997" s="9" t="n"/>
    </row>
    <row r="1998">
      <c r="A1998" s="8" t="n"/>
      <c r="B1998" s="9" t="n"/>
    </row>
    <row r="1999">
      <c r="A1999" s="8" t="n"/>
      <c r="B1999" s="9" t="n"/>
    </row>
    <row r="2000">
      <c r="A2000" s="8" t="n"/>
      <c r="B2000" s="9" t="n"/>
    </row>
    <row r="2001">
      <c r="A2001" s="8" t="n"/>
      <c r="B2001" s="9" t="n"/>
    </row>
    <row r="2002">
      <c r="A2002" s="8" t="n"/>
      <c r="B2002" s="9" t="n"/>
    </row>
    <row r="2003">
      <c r="A2003" s="8" t="n"/>
      <c r="B2003" s="9" t="n"/>
    </row>
    <row r="2004">
      <c r="A2004" s="8" t="n"/>
      <c r="B2004" s="9" t="n"/>
    </row>
    <row r="2005">
      <c r="A2005" s="8" t="n"/>
      <c r="B2005" s="9" t="n"/>
    </row>
    <row r="2006">
      <c r="A2006" s="8" t="n"/>
      <c r="B2006" s="9" t="n"/>
    </row>
    <row r="2007">
      <c r="A2007" s="8" t="n"/>
      <c r="B2007" s="9" t="n"/>
    </row>
    <row r="2008">
      <c r="A2008" s="8" t="n"/>
      <c r="B2008" s="9" t="n"/>
    </row>
    <row r="2009">
      <c r="A2009" s="8" t="n"/>
      <c r="B2009" s="9" t="n"/>
    </row>
    <row r="2010">
      <c r="A2010" s="8" t="n"/>
      <c r="B2010" s="9" t="n"/>
    </row>
    <row r="2011">
      <c r="A2011" s="8" t="n"/>
      <c r="B2011" s="9" t="n"/>
    </row>
    <row r="2012">
      <c r="A2012" s="8" t="n"/>
      <c r="B2012" s="9" t="n"/>
    </row>
    <row r="2013">
      <c r="A2013" s="8" t="n"/>
      <c r="B2013" s="9" t="n"/>
    </row>
    <row r="2014">
      <c r="A2014" s="8" t="n"/>
      <c r="B2014" s="9" t="n"/>
    </row>
    <row r="2015">
      <c r="A2015" s="8" t="n"/>
      <c r="B2015" s="9" t="n"/>
    </row>
    <row r="2016">
      <c r="A2016" s="8" t="n"/>
      <c r="B2016" s="9" t="n"/>
    </row>
    <row r="2017">
      <c r="A2017" s="8" t="n"/>
      <c r="B2017" s="9" t="n"/>
    </row>
    <row r="2018">
      <c r="A2018" s="8" t="n"/>
      <c r="B2018" s="9" t="n"/>
    </row>
    <row r="2019">
      <c r="A2019" s="8" t="n"/>
      <c r="B2019" s="9" t="n"/>
    </row>
    <row r="2020">
      <c r="A2020" s="8" t="n"/>
      <c r="B2020" s="9" t="n"/>
    </row>
    <row r="2021">
      <c r="A2021" s="8" t="n"/>
      <c r="B2021" s="9" t="n"/>
    </row>
    <row r="2022">
      <c r="A2022" s="8" t="n"/>
      <c r="B2022" s="9" t="n"/>
    </row>
    <row r="2023">
      <c r="A2023" s="8" t="n"/>
      <c r="B2023" s="9" t="n"/>
    </row>
    <row r="2024">
      <c r="A2024" s="8" t="n"/>
      <c r="B2024" s="9" t="n"/>
    </row>
    <row r="2025">
      <c r="A2025" s="8" t="n"/>
      <c r="B2025" s="9" t="n"/>
    </row>
    <row r="2026">
      <c r="A2026" s="8" t="n"/>
      <c r="B2026" s="9" t="n"/>
    </row>
    <row r="2027">
      <c r="A2027" s="8" t="n"/>
      <c r="B2027" s="9" t="n"/>
    </row>
    <row r="2028">
      <c r="A2028" s="8" t="n"/>
      <c r="B2028" s="9" t="n"/>
    </row>
    <row r="2029">
      <c r="A2029" s="8" t="n"/>
      <c r="B2029" s="9" t="n"/>
    </row>
    <row r="2030">
      <c r="A2030" s="8" t="n"/>
      <c r="B2030" s="9" t="n"/>
    </row>
    <row r="2031">
      <c r="A2031" s="8" t="n"/>
      <c r="B2031" s="9" t="n"/>
    </row>
    <row r="2032">
      <c r="A2032" s="8" t="n"/>
      <c r="B2032" s="9" t="n"/>
    </row>
    <row r="2033">
      <c r="A2033" s="8" t="n"/>
      <c r="B2033" s="9" t="n"/>
    </row>
    <row r="2034">
      <c r="A2034" s="8" t="n"/>
      <c r="B2034" s="9" t="n"/>
    </row>
    <row r="2035">
      <c r="A2035" s="8" t="n"/>
      <c r="B2035" s="9" t="n"/>
    </row>
    <row r="2036">
      <c r="A2036" s="8" t="n"/>
      <c r="B2036" s="9" t="n"/>
    </row>
    <row r="2037">
      <c r="A2037" s="8" t="n"/>
      <c r="B2037" s="9" t="n"/>
    </row>
    <row r="2038">
      <c r="A2038" s="8" t="n"/>
      <c r="B2038" s="9" t="n"/>
    </row>
    <row r="2039">
      <c r="A2039" s="8" t="n"/>
      <c r="B2039" s="9" t="n"/>
    </row>
    <row r="2040">
      <c r="A2040" s="8" t="n"/>
      <c r="B2040" s="9" t="n"/>
    </row>
    <row r="2041">
      <c r="A2041" s="8" t="n"/>
      <c r="B2041" s="9" t="n"/>
    </row>
    <row r="2042">
      <c r="A2042" s="8" t="n"/>
      <c r="B2042" s="9" t="n"/>
    </row>
    <row r="2043">
      <c r="A2043" s="8" t="n"/>
      <c r="B2043" s="9" t="n"/>
    </row>
    <row r="2044">
      <c r="A2044" s="8" t="n"/>
      <c r="B2044" s="9" t="n"/>
    </row>
    <row r="2045">
      <c r="A2045" s="8" t="n"/>
      <c r="B2045" s="9" t="n"/>
    </row>
    <row r="2046">
      <c r="A2046" s="8" t="n"/>
      <c r="B2046" s="9" t="n"/>
    </row>
    <row r="2047">
      <c r="A2047" s="8" t="n"/>
      <c r="B2047" s="9" t="n"/>
    </row>
    <row r="2048">
      <c r="A2048" s="8" t="n"/>
      <c r="B2048" s="9" t="n"/>
    </row>
    <row r="2049">
      <c r="A2049" s="8" t="n"/>
      <c r="B2049" s="9" t="n"/>
    </row>
    <row r="2050">
      <c r="A2050" s="8" t="n"/>
      <c r="B2050" s="9" t="n"/>
    </row>
    <row r="2051">
      <c r="A2051" s="8" t="n"/>
      <c r="B2051" s="9" t="n"/>
    </row>
    <row r="2052">
      <c r="A2052" s="8" t="n"/>
      <c r="B2052" s="9" t="n"/>
    </row>
    <row r="2053">
      <c r="A2053" s="8" t="n"/>
      <c r="B2053" s="9" t="n"/>
    </row>
    <row r="2054">
      <c r="A2054" s="8" t="n"/>
      <c r="B2054" s="9" t="n"/>
    </row>
    <row r="2055">
      <c r="A2055" s="8" t="n"/>
      <c r="B2055" s="9" t="n"/>
    </row>
    <row r="2056">
      <c r="A2056" s="8" t="n"/>
      <c r="B2056" s="9" t="n"/>
    </row>
    <row r="2057">
      <c r="A2057" s="8" t="n"/>
      <c r="B2057" s="9" t="n"/>
    </row>
    <row r="2058">
      <c r="A2058" s="8" t="n"/>
      <c r="B2058" s="9" t="n"/>
    </row>
    <row r="2059">
      <c r="A2059" s="8" t="n"/>
      <c r="B2059" s="9" t="n"/>
    </row>
    <row r="2060">
      <c r="A2060" s="8" t="n"/>
      <c r="B2060" s="9" t="n"/>
    </row>
    <row r="2061">
      <c r="A2061" s="8" t="n"/>
      <c r="B2061" s="9" t="n"/>
    </row>
    <row r="2062">
      <c r="A2062" s="8" t="n"/>
      <c r="B2062" s="9" t="n"/>
    </row>
    <row r="2063">
      <c r="A2063" s="8" t="n"/>
      <c r="B2063" s="9" t="n"/>
    </row>
    <row r="2064">
      <c r="A2064" s="8" t="n"/>
      <c r="B2064" s="9" t="n"/>
    </row>
    <row r="2065">
      <c r="A2065" s="8" t="n"/>
      <c r="B2065" s="9" t="n"/>
    </row>
    <row r="2066">
      <c r="A2066" s="8" t="n"/>
      <c r="B2066" s="9" t="n"/>
    </row>
    <row r="2067">
      <c r="A2067" s="8" t="n"/>
      <c r="B2067" s="9" t="n"/>
    </row>
    <row r="2068">
      <c r="A2068" s="8" t="n"/>
      <c r="B2068" s="9" t="n"/>
    </row>
    <row r="2069">
      <c r="A2069" s="8" t="n"/>
      <c r="B2069" s="9" t="n"/>
    </row>
    <row r="2070">
      <c r="A2070" s="8" t="n"/>
      <c r="B2070" s="9" t="n"/>
    </row>
    <row r="2071">
      <c r="A2071" s="8" t="n"/>
      <c r="B2071" s="9" t="n"/>
    </row>
    <row r="2072">
      <c r="A2072" s="8" t="n"/>
      <c r="B2072" s="9" t="n"/>
    </row>
    <row r="2073">
      <c r="A2073" s="8" t="n"/>
      <c r="B2073" s="9" t="n"/>
    </row>
    <row r="2074">
      <c r="A2074" s="8" t="n"/>
      <c r="B2074" s="9" t="n"/>
    </row>
    <row r="2075">
      <c r="A2075" s="8" t="n"/>
      <c r="B2075" s="9" t="n"/>
    </row>
    <row r="2076">
      <c r="A2076" s="8" t="n"/>
      <c r="B2076" s="9" t="n"/>
    </row>
    <row r="2077">
      <c r="A2077" s="8" t="n"/>
      <c r="B2077" s="9" t="n"/>
    </row>
    <row r="2078">
      <c r="A2078" s="8" t="n"/>
      <c r="B2078" s="9" t="n"/>
    </row>
    <row r="2079">
      <c r="A2079" s="8" t="n"/>
      <c r="B2079" s="9" t="n"/>
    </row>
    <row r="2080">
      <c r="A2080" s="8" t="n"/>
      <c r="B2080" s="9" t="n"/>
    </row>
    <row r="2081">
      <c r="A2081" s="8" t="n"/>
      <c r="B2081" s="9" t="n"/>
    </row>
    <row r="2082">
      <c r="A2082" s="8" t="n"/>
      <c r="B2082" s="9" t="n"/>
    </row>
    <row r="2083">
      <c r="A2083" s="8" t="n"/>
      <c r="B2083" s="9" t="n"/>
    </row>
    <row r="2084">
      <c r="A2084" s="8" t="n"/>
      <c r="B2084" s="9" t="n"/>
    </row>
    <row r="2085">
      <c r="A2085" s="8" t="n"/>
      <c r="B2085" s="9" t="n"/>
    </row>
    <row r="2086">
      <c r="A2086" s="8" t="n"/>
      <c r="B2086" s="9" t="n"/>
    </row>
    <row r="2087">
      <c r="A2087" s="8" t="n"/>
      <c r="B2087" s="9" t="n"/>
    </row>
    <row r="2088">
      <c r="A2088" s="8" t="n"/>
      <c r="B2088" s="9" t="n"/>
    </row>
    <row r="2089">
      <c r="A2089" s="8" t="n"/>
      <c r="B2089" s="9" t="n"/>
    </row>
    <row r="2090">
      <c r="A2090" s="8" t="n"/>
      <c r="B2090" s="9" t="n"/>
    </row>
    <row r="2091">
      <c r="A2091" s="8" t="n"/>
      <c r="B2091" s="9" t="n"/>
    </row>
    <row r="2092">
      <c r="A2092" s="8" t="n"/>
      <c r="B2092" s="9" t="n"/>
    </row>
    <row r="2093">
      <c r="A2093" s="8" t="n"/>
      <c r="B2093" s="9" t="n"/>
    </row>
    <row r="2094">
      <c r="A2094" s="8" t="n"/>
      <c r="B2094" s="9" t="n"/>
    </row>
    <row r="2095">
      <c r="A2095" s="8" t="n"/>
      <c r="B2095" s="9" t="n"/>
    </row>
    <row r="2096">
      <c r="A2096" s="8" t="n"/>
      <c r="B2096" s="9" t="n"/>
    </row>
    <row r="2097">
      <c r="A2097" s="8" t="n"/>
      <c r="B2097" s="9" t="n"/>
    </row>
    <row r="2098">
      <c r="A2098" s="8" t="n"/>
      <c r="B2098" s="9" t="n"/>
    </row>
    <row r="2099">
      <c r="A2099" s="8" t="n"/>
      <c r="B2099" s="9" t="n"/>
    </row>
    <row r="2100">
      <c r="A2100" s="8" t="n"/>
      <c r="B2100" s="9" t="n"/>
    </row>
    <row r="2101">
      <c r="A2101" s="8" t="n"/>
      <c r="B2101" s="9" t="n"/>
    </row>
    <row r="2102">
      <c r="A2102" s="8" t="n"/>
      <c r="B2102" s="9" t="n"/>
    </row>
    <row r="2103">
      <c r="A2103" s="8" t="n"/>
      <c r="B2103" s="9" t="n"/>
    </row>
    <row r="2104">
      <c r="A2104" s="8" t="n"/>
      <c r="B2104" s="9" t="n"/>
    </row>
    <row r="2105">
      <c r="A2105" s="8" t="n"/>
      <c r="B2105" s="9" t="n"/>
    </row>
    <row r="2106">
      <c r="A2106" s="8" t="n"/>
      <c r="B2106" s="9" t="n"/>
    </row>
    <row r="2107">
      <c r="A2107" s="8" t="n"/>
      <c r="B2107" s="9" t="n"/>
    </row>
    <row r="2108">
      <c r="A2108" s="8" t="n"/>
      <c r="B2108" s="9" t="n"/>
    </row>
    <row r="2109">
      <c r="A2109" s="8" t="n"/>
      <c r="B2109" s="9" t="n"/>
    </row>
    <row r="2110">
      <c r="A2110" s="8" t="n"/>
      <c r="B2110" s="9" t="n"/>
    </row>
    <row r="2111">
      <c r="A2111" s="8" t="n"/>
      <c r="B2111" s="9" t="n"/>
    </row>
    <row r="2112">
      <c r="A2112" s="8" t="n"/>
      <c r="B2112" s="9" t="n"/>
    </row>
    <row r="2113">
      <c r="A2113" s="8" t="n"/>
      <c r="B2113" s="9" t="n"/>
    </row>
    <row r="2114">
      <c r="A2114" s="8" t="n"/>
      <c r="B2114" s="9" t="n"/>
    </row>
    <row r="2115">
      <c r="A2115" s="8" t="n"/>
      <c r="B2115" s="9" t="n"/>
    </row>
    <row r="2116">
      <c r="A2116" s="8" t="n"/>
      <c r="B2116" s="9" t="n"/>
    </row>
    <row r="2117">
      <c r="A2117" s="8" t="n"/>
      <c r="B2117" s="9" t="n"/>
    </row>
    <row r="2118">
      <c r="A2118" s="8" t="n"/>
      <c r="B2118" s="9" t="n"/>
    </row>
    <row r="2119">
      <c r="A2119" s="8" t="n"/>
      <c r="B2119" s="9" t="n"/>
    </row>
    <row r="2120">
      <c r="A2120" s="8" t="n"/>
      <c r="B2120" s="9" t="n"/>
    </row>
    <row r="2121">
      <c r="A2121" s="8" t="n"/>
      <c r="B2121" s="9" t="n"/>
    </row>
    <row r="2122">
      <c r="A2122" s="8" t="n"/>
      <c r="B2122" s="9" t="n"/>
    </row>
    <row r="2123">
      <c r="A2123" s="8" t="n"/>
      <c r="B2123" s="9" t="n"/>
    </row>
    <row r="2124">
      <c r="A2124" s="8" t="n"/>
      <c r="B2124" s="9" t="n"/>
    </row>
    <row r="2125">
      <c r="A2125" s="8" t="n"/>
      <c r="B2125" s="9" t="n"/>
    </row>
    <row r="2126">
      <c r="A2126" s="8" t="n"/>
      <c r="B2126" s="9" t="n"/>
    </row>
    <row r="2127">
      <c r="A2127" s="8" t="n"/>
      <c r="B2127" s="9" t="n"/>
    </row>
    <row r="2128">
      <c r="A2128" s="8" t="n"/>
      <c r="B2128" s="9" t="n"/>
    </row>
    <row r="2129">
      <c r="A2129" s="8" t="n"/>
      <c r="B2129" s="9" t="n"/>
    </row>
    <row r="2130">
      <c r="A2130" s="8" t="n"/>
      <c r="B2130" s="9" t="n"/>
    </row>
    <row r="2131">
      <c r="A2131" s="8" t="n"/>
      <c r="B2131" s="9" t="n"/>
    </row>
    <row r="2132">
      <c r="A2132" s="8" t="n"/>
      <c r="B2132" s="9" t="n"/>
    </row>
    <row r="2133">
      <c r="A2133" s="8" t="n"/>
      <c r="B2133" s="9" t="n"/>
    </row>
    <row r="2134">
      <c r="A2134" s="8" t="n"/>
      <c r="B2134" s="9" t="n"/>
    </row>
    <row r="2135">
      <c r="A2135" s="8" t="n"/>
      <c r="B2135" s="9" t="n"/>
    </row>
    <row r="2136">
      <c r="A2136" s="8" t="n"/>
      <c r="B2136" s="9" t="n"/>
    </row>
    <row r="2137">
      <c r="A2137" s="8" t="n"/>
      <c r="B2137" s="9" t="n"/>
    </row>
    <row r="2138">
      <c r="A2138" s="8" t="n"/>
      <c r="B2138" s="9" t="n"/>
    </row>
    <row r="2139">
      <c r="A2139" s="8" t="n"/>
      <c r="B2139" s="9" t="n"/>
    </row>
    <row r="2140">
      <c r="A2140" s="8" t="n"/>
      <c r="B2140" s="9" t="n"/>
    </row>
    <row r="2141">
      <c r="A2141" s="8" t="n"/>
      <c r="B2141" s="9" t="n"/>
    </row>
    <row r="2142">
      <c r="A2142" s="8" t="n"/>
      <c r="B2142" s="9" t="n"/>
    </row>
    <row r="2143">
      <c r="A2143" s="8" t="n"/>
      <c r="B2143" s="9" t="n"/>
    </row>
    <row r="2144">
      <c r="A2144" s="8" t="n"/>
      <c r="B2144" s="9" t="n"/>
    </row>
    <row r="2145">
      <c r="A2145" s="8" t="n"/>
      <c r="B2145" s="9" t="n"/>
    </row>
    <row r="2146">
      <c r="A2146" s="8" t="n"/>
      <c r="B2146" s="9" t="n"/>
    </row>
    <row r="2147">
      <c r="A2147" s="8" t="n"/>
      <c r="B2147" s="9" t="n"/>
    </row>
    <row r="2148">
      <c r="A2148" s="8" t="n"/>
      <c r="B2148" s="9" t="n"/>
    </row>
    <row r="2149">
      <c r="A2149" s="8" t="n"/>
      <c r="B2149" s="9" t="n"/>
    </row>
    <row r="2150">
      <c r="A2150" s="8" t="n"/>
      <c r="B2150" s="9" t="n"/>
    </row>
    <row r="2151">
      <c r="A2151" s="8" t="n"/>
      <c r="B2151" s="9" t="n"/>
    </row>
    <row r="2152">
      <c r="A2152" s="8" t="n"/>
      <c r="B2152" s="9" t="n"/>
    </row>
    <row r="2153">
      <c r="A2153" s="8" t="n"/>
      <c r="B2153" s="9" t="n"/>
    </row>
    <row r="2154">
      <c r="A2154" s="8" t="n"/>
      <c r="B2154" s="9" t="n"/>
    </row>
    <row r="2155">
      <c r="A2155" s="8" t="n"/>
      <c r="B2155" s="9" t="n"/>
    </row>
    <row r="2156">
      <c r="A2156" s="8" t="n"/>
      <c r="B2156" s="9" t="n"/>
    </row>
    <row r="2157">
      <c r="A2157" s="8" t="n"/>
      <c r="B2157" s="9" t="n"/>
    </row>
    <row r="2158">
      <c r="A2158" s="8" t="n"/>
      <c r="B2158" s="9" t="n"/>
    </row>
    <row r="2159">
      <c r="A2159" s="8" t="n"/>
      <c r="B2159" s="9" t="n"/>
    </row>
    <row r="2160">
      <c r="A2160" s="8" t="n"/>
      <c r="B2160" s="9" t="n"/>
    </row>
    <row r="2161">
      <c r="A2161" s="8" t="n"/>
      <c r="B2161" s="9" t="n"/>
    </row>
    <row r="2162">
      <c r="A2162" s="8" t="n"/>
      <c r="B2162" s="9" t="n"/>
    </row>
    <row r="2163">
      <c r="A2163" s="8" t="n"/>
      <c r="B2163" s="9" t="n"/>
    </row>
    <row r="2164">
      <c r="A2164" s="8" t="n"/>
      <c r="B2164" s="9" t="n"/>
    </row>
    <row r="2165">
      <c r="A2165" s="8" t="n"/>
      <c r="B2165" s="9" t="n"/>
    </row>
    <row r="2166">
      <c r="A2166" s="8" t="n"/>
      <c r="B2166" s="9" t="n"/>
    </row>
    <row r="2167">
      <c r="A2167" s="8" t="n"/>
      <c r="B2167" s="9" t="n"/>
    </row>
    <row r="2168">
      <c r="A2168" s="8" t="n"/>
      <c r="B2168" s="9" t="n"/>
    </row>
    <row r="2169">
      <c r="A2169" s="8" t="n"/>
      <c r="B2169" s="9" t="n"/>
    </row>
    <row r="2170">
      <c r="A2170" s="8" t="n"/>
      <c r="B2170" s="9" t="n"/>
    </row>
    <row r="2171">
      <c r="A2171" s="8" t="n"/>
      <c r="B2171" s="9" t="n"/>
    </row>
    <row r="2172">
      <c r="A2172" s="8" t="n"/>
      <c r="B2172" s="9" t="n"/>
    </row>
    <row r="2173">
      <c r="A2173" s="8" t="n"/>
      <c r="B2173" s="9" t="n"/>
    </row>
    <row r="2174">
      <c r="A2174" s="8" t="n"/>
      <c r="B2174" s="9" t="n"/>
    </row>
    <row r="2175">
      <c r="A2175" s="8" t="n"/>
      <c r="B2175" s="9" t="n"/>
    </row>
    <row r="2176">
      <c r="A2176" s="8" t="n"/>
      <c r="B2176" s="9" t="n"/>
    </row>
    <row r="2177">
      <c r="A2177" s="8" t="n"/>
      <c r="B2177" s="9" t="n"/>
    </row>
    <row r="2178">
      <c r="A2178" s="8" t="n"/>
      <c r="B2178" s="9" t="n"/>
    </row>
    <row r="2179">
      <c r="A2179" s="8" t="n"/>
      <c r="B2179" s="9" t="n"/>
    </row>
    <row r="2180">
      <c r="A2180" s="8" t="n"/>
      <c r="B2180" s="9" t="n"/>
    </row>
    <row r="2181">
      <c r="A2181" s="8" t="n"/>
      <c r="B2181" s="9" t="n"/>
    </row>
    <row r="2182">
      <c r="A2182" s="8" t="n"/>
      <c r="B2182" s="9" t="n"/>
    </row>
    <row r="2183">
      <c r="A2183" s="8" t="n"/>
      <c r="B2183" s="9" t="n"/>
    </row>
    <row r="2184">
      <c r="A2184" s="8" t="n"/>
      <c r="B2184" s="9" t="n"/>
    </row>
    <row r="2185">
      <c r="A2185" s="8" t="n"/>
      <c r="B2185" s="9" t="n"/>
    </row>
    <row r="2186">
      <c r="A2186" s="8" t="n"/>
      <c r="B2186" s="9" t="n"/>
    </row>
    <row r="2187">
      <c r="A2187" s="8" t="n"/>
      <c r="B2187" s="9" t="n"/>
    </row>
    <row r="2188">
      <c r="A2188" s="8" t="n"/>
      <c r="B2188" s="9" t="n"/>
    </row>
    <row r="2189">
      <c r="A2189" s="8" t="n"/>
      <c r="B2189" s="9" t="n"/>
    </row>
    <row r="2190">
      <c r="A2190" s="8" t="n"/>
      <c r="B2190" s="9" t="n"/>
    </row>
    <row r="2191">
      <c r="A2191" s="8" t="n"/>
      <c r="B2191" s="9" t="n"/>
    </row>
    <row r="2192">
      <c r="A2192" s="8" t="n"/>
      <c r="B2192" s="9" t="n"/>
    </row>
    <row r="2193">
      <c r="A2193" s="8" t="n"/>
      <c r="B2193" s="9" t="n"/>
    </row>
    <row r="2194">
      <c r="A2194" s="8" t="n"/>
      <c r="B2194" s="9" t="n"/>
    </row>
    <row r="2195">
      <c r="A2195" s="8" t="n"/>
      <c r="B2195" s="9" t="n"/>
    </row>
    <row r="2196">
      <c r="A2196" s="8" t="n"/>
      <c r="B2196" s="9" t="n"/>
    </row>
    <row r="2197">
      <c r="A2197" s="8" t="n"/>
      <c r="B2197" s="9" t="n"/>
    </row>
    <row r="2198">
      <c r="A2198" s="8" t="n"/>
      <c r="B2198" s="9" t="n"/>
    </row>
    <row r="2199">
      <c r="A2199" s="8" t="n"/>
      <c r="B2199" s="9" t="n"/>
    </row>
    <row r="2200">
      <c r="A2200" s="8" t="n"/>
      <c r="B2200" s="9" t="n"/>
    </row>
    <row r="2201">
      <c r="A2201" s="8" t="n"/>
      <c r="B2201" s="9" t="n"/>
    </row>
    <row r="2202">
      <c r="A2202" s="8" t="n"/>
      <c r="B2202" s="9" t="n"/>
    </row>
    <row r="2203">
      <c r="A2203" s="8" t="n"/>
      <c r="B2203" s="9" t="n"/>
    </row>
    <row r="2204">
      <c r="A2204" s="8" t="n"/>
      <c r="B2204" s="9" t="n"/>
    </row>
    <row r="2205">
      <c r="A2205" s="8" t="n"/>
      <c r="B2205" s="9" t="n"/>
    </row>
    <row r="2206">
      <c r="A2206" s="8" t="n"/>
      <c r="B2206" s="9" t="n"/>
    </row>
    <row r="2207">
      <c r="A2207" s="8" t="n"/>
      <c r="B2207" s="9" t="n"/>
    </row>
    <row r="2208">
      <c r="A2208" s="8" t="n"/>
      <c r="B2208" s="9" t="n"/>
    </row>
    <row r="2209">
      <c r="A2209" s="8" t="n"/>
      <c r="B2209" s="9" t="n"/>
    </row>
    <row r="2210">
      <c r="A2210" s="8" t="n"/>
      <c r="B2210" s="9" t="n"/>
    </row>
    <row r="2211">
      <c r="A2211" s="8" t="n"/>
      <c r="B2211" s="9" t="n"/>
    </row>
    <row r="2212">
      <c r="A2212" s="8" t="n"/>
      <c r="B2212" s="9" t="n"/>
    </row>
    <row r="2213">
      <c r="A2213" s="8" t="n"/>
      <c r="B2213" s="9" t="n"/>
    </row>
    <row r="2214">
      <c r="A2214" s="8" t="n"/>
      <c r="B2214" s="9" t="n"/>
    </row>
    <row r="2215">
      <c r="A2215" s="8" t="n"/>
      <c r="B2215" s="9" t="n"/>
    </row>
    <row r="2216">
      <c r="A2216" s="8" t="n"/>
      <c r="B2216" s="9" t="n"/>
    </row>
    <row r="2217">
      <c r="A2217" s="8" t="n"/>
      <c r="B2217" s="9" t="n"/>
    </row>
    <row r="2218">
      <c r="A2218" s="8" t="n"/>
      <c r="B2218" s="9" t="n"/>
    </row>
    <row r="2219">
      <c r="A2219" s="8" t="n"/>
      <c r="B2219" s="9" t="n"/>
    </row>
    <row r="2220">
      <c r="A2220" s="8" t="n"/>
      <c r="B2220" s="9" t="n"/>
    </row>
    <row r="2221">
      <c r="A2221" s="8" t="n"/>
      <c r="B2221" s="9" t="n"/>
    </row>
    <row r="2222">
      <c r="A2222" s="8" t="n"/>
      <c r="B2222" s="9" t="n"/>
    </row>
    <row r="2223">
      <c r="A2223" s="8" t="n"/>
      <c r="B2223" s="9" t="n"/>
    </row>
    <row r="2224">
      <c r="A2224" s="8" t="n"/>
      <c r="B2224" s="9" t="n"/>
    </row>
    <row r="2225">
      <c r="A2225" s="8" t="n"/>
      <c r="B2225" s="9" t="n"/>
    </row>
    <row r="2226">
      <c r="A2226" s="8" t="n"/>
      <c r="B2226" s="9" t="n"/>
    </row>
    <row r="2227">
      <c r="A2227" s="8" t="n"/>
      <c r="B2227" s="9" t="n"/>
    </row>
    <row r="2228">
      <c r="A2228" s="8" t="n"/>
      <c r="B2228" s="9" t="n"/>
    </row>
    <row r="2229">
      <c r="A2229" s="8" t="n"/>
      <c r="B2229" s="9" t="n"/>
    </row>
    <row r="2230">
      <c r="A2230" s="8" t="n"/>
      <c r="B2230" s="9" t="n"/>
    </row>
    <row r="2231">
      <c r="A2231" s="8" t="n"/>
      <c r="B2231" s="9" t="n"/>
    </row>
    <row r="2232">
      <c r="A2232" s="8" t="n"/>
      <c r="B2232" s="9" t="n"/>
    </row>
    <row r="2233">
      <c r="A2233" s="8" t="n"/>
      <c r="B2233" s="9" t="n"/>
    </row>
    <row r="2234">
      <c r="A2234" s="8" t="n"/>
      <c r="B2234" s="9" t="n"/>
    </row>
    <row r="2235">
      <c r="A2235" s="8" t="n"/>
      <c r="B2235" s="9" t="n"/>
    </row>
    <row r="2236">
      <c r="A2236" s="8" t="n"/>
      <c r="B2236" s="9" t="n"/>
    </row>
    <row r="2237">
      <c r="A2237" s="8" t="n"/>
      <c r="B2237" s="9" t="n"/>
    </row>
    <row r="2238">
      <c r="A2238" s="8" t="n"/>
      <c r="B2238" s="9" t="n"/>
    </row>
    <row r="2239">
      <c r="A2239" s="8" t="n"/>
      <c r="B2239" s="9" t="n"/>
    </row>
    <row r="2240">
      <c r="A2240" s="8" t="n"/>
      <c r="B2240" s="9" t="n"/>
    </row>
    <row r="2241">
      <c r="A2241" s="8" t="n"/>
      <c r="B2241" s="9" t="n"/>
    </row>
    <row r="2242">
      <c r="A2242" s="8" t="n"/>
      <c r="B2242" s="9" t="n"/>
    </row>
    <row r="2243">
      <c r="A2243" s="8" t="n"/>
      <c r="B2243" s="9" t="n"/>
    </row>
    <row r="2244">
      <c r="A2244" s="8" t="n"/>
      <c r="B2244" s="9" t="n"/>
    </row>
    <row r="2245">
      <c r="A2245" s="8" t="n"/>
      <c r="B2245" s="9" t="n"/>
    </row>
    <row r="2246">
      <c r="A2246" s="8" t="n"/>
      <c r="B2246" s="9" t="n"/>
    </row>
    <row r="2247">
      <c r="A2247" s="8" t="n"/>
      <c r="B2247" s="9" t="n"/>
    </row>
    <row r="2248">
      <c r="A2248" s="8" t="n"/>
      <c r="B2248" s="9" t="n"/>
    </row>
    <row r="2249">
      <c r="A2249" s="8" t="n"/>
      <c r="B2249" s="9" t="n"/>
    </row>
    <row r="2250">
      <c r="A2250" s="8" t="n"/>
      <c r="B2250" s="9" t="n"/>
    </row>
    <row r="2251">
      <c r="A2251" s="8" t="n"/>
      <c r="B2251" s="9" t="n"/>
    </row>
    <row r="2252">
      <c r="A2252" s="8" t="n"/>
      <c r="B2252" s="9" t="n"/>
    </row>
    <row r="2253">
      <c r="A2253" s="8" t="n"/>
      <c r="B2253" s="9" t="n"/>
    </row>
    <row r="2254">
      <c r="A2254" s="8" t="n"/>
      <c r="B2254" s="9" t="n"/>
    </row>
    <row r="2255">
      <c r="A2255" s="8" t="n"/>
      <c r="B2255" s="9" t="n"/>
    </row>
    <row r="2256">
      <c r="A2256" s="8" t="n"/>
      <c r="B2256" s="9" t="n"/>
    </row>
    <row r="2257">
      <c r="A2257" s="8" t="n"/>
      <c r="B2257" s="9" t="n"/>
    </row>
    <row r="2258">
      <c r="A2258" s="8" t="n"/>
      <c r="B2258" s="9" t="n"/>
    </row>
    <row r="2259">
      <c r="A2259" s="8" t="n"/>
      <c r="B2259" s="9" t="n"/>
    </row>
    <row r="2260">
      <c r="A2260" s="8" t="n"/>
      <c r="B2260" s="9" t="n"/>
    </row>
    <row r="2261">
      <c r="A2261" s="8" t="n"/>
      <c r="B2261" s="9" t="n"/>
    </row>
    <row r="2262">
      <c r="A2262" s="8" t="n"/>
      <c r="B2262" s="9" t="n"/>
    </row>
    <row r="2263">
      <c r="A2263" s="8" t="n"/>
      <c r="B2263" s="9" t="n"/>
    </row>
    <row r="2264">
      <c r="A2264" s="8" t="n"/>
      <c r="B2264" s="9" t="n"/>
    </row>
    <row r="2265">
      <c r="A2265" s="8" t="n"/>
      <c r="B2265" s="9" t="n"/>
    </row>
    <row r="2266">
      <c r="A2266" s="8" t="n"/>
      <c r="B2266" s="9" t="n"/>
    </row>
    <row r="2267">
      <c r="A2267" s="8" t="n"/>
      <c r="B2267" s="9" t="n"/>
    </row>
    <row r="2268">
      <c r="A2268" s="8" t="n"/>
      <c r="B2268" s="9" t="n"/>
    </row>
    <row r="2269">
      <c r="A2269" s="8" t="n"/>
      <c r="B2269" s="9" t="n"/>
    </row>
    <row r="2270">
      <c r="A2270" s="8" t="n"/>
      <c r="B2270" s="9" t="n"/>
    </row>
    <row r="2271">
      <c r="A2271" s="8" t="n"/>
      <c r="B2271" s="9" t="n"/>
    </row>
    <row r="2272">
      <c r="A2272" s="8" t="n"/>
      <c r="B2272" s="9" t="n"/>
    </row>
    <row r="2273">
      <c r="A2273" s="8" t="n"/>
      <c r="B2273" s="9" t="n"/>
    </row>
    <row r="2274">
      <c r="A2274" s="8" t="n"/>
      <c r="B2274" s="9" t="n"/>
    </row>
    <row r="2275">
      <c r="A2275" s="8" t="n"/>
      <c r="B2275" s="9" t="n"/>
    </row>
    <row r="2276">
      <c r="A2276" s="8" t="n"/>
      <c r="B2276" s="9" t="n"/>
    </row>
    <row r="2277">
      <c r="A2277" s="8" t="n"/>
      <c r="B2277" s="9" t="n"/>
    </row>
    <row r="2278">
      <c r="A2278" s="8" t="n"/>
      <c r="B2278" s="9" t="n"/>
    </row>
    <row r="2279">
      <c r="A2279" s="8" t="n"/>
      <c r="B2279" s="9" t="n"/>
    </row>
    <row r="2280">
      <c r="A2280" s="8" t="n"/>
      <c r="B2280" s="9" t="n"/>
    </row>
    <row r="2281">
      <c r="A2281" s="8" t="n"/>
      <c r="B2281" s="9" t="n"/>
    </row>
    <row r="2282">
      <c r="A2282" s="8" t="n"/>
      <c r="B2282" s="9" t="n"/>
    </row>
    <row r="2283">
      <c r="A2283" s="8" t="n"/>
      <c r="B2283" s="9" t="n"/>
    </row>
    <row r="2284">
      <c r="A2284" s="8" t="n"/>
      <c r="B2284" s="9" t="n"/>
    </row>
    <row r="2285">
      <c r="A2285" s="8" t="n"/>
      <c r="B2285" s="9" t="n"/>
    </row>
    <row r="2286">
      <c r="A2286" s="8" t="n"/>
      <c r="B2286" s="9" t="n"/>
    </row>
    <row r="2287">
      <c r="A2287" s="8" t="n"/>
      <c r="B2287" s="9" t="n"/>
    </row>
    <row r="2288">
      <c r="A2288" s="8" t="n"/>
      <c r="B2288" s="9" t="n"/>
    </row>
    <row r="2289">
      <c r="A2289" s="8" t="n"/>
      <c r="B2289" s="9" t="n"/>
    </row>
    <row r="2290">
      <c r="A2290" s="8" t="n"/>
      <c r="B2290" s="9" t="n"/>
    </row>
    <row r="2291">
      <c r="A2291" s="8" t="n"/>
      <c r="B2291" s="9" t="n"/>
    </row>
    <row r="2292">
      <c r="A2292" s="8" t="n"/>
      <c r="B2292" s="9" t="n"/>
    </row>
    <row r="2293">
      <c r="A2293" s="8" t="n"/>
      <c r="B2293" s="9" t="n"/>
    </row>
    <row r="2294">
      <c r="A2294" s="8" t="n"/>
      <c r="B2294" s="9" t="n"/>
    </row>
    <row r="2295">
      <c r="A2295" s="8" t="n"/>
      <c r="B2295" s="9" t="n"/>
    </row>
    <row r="2296">
      <c r="A2296" s="8" t="n"/>
      <c r="B2296" s="9" t="n"/>
    </row>
    <row r="2297">
      <c r="A2297" s="8" t="n"/>
      <c r="B2297" s="9" t="n"/>
    </row>
    <row r="2298">
      <c r="A2298" s="8" t="n"/>
      <c r="B2298" s="9" t="n"/>
    </row>
    <row r="2299">
      <c r="A2299" s="8" t="n"/>
      <c r="B2299" s="9" t="n"/>
    </row>
    <row r="2300">
      <c r="A2300" s="8" t="n"/>
      <c r="B2300" s="9" t="n"/>
    </row>
    <row r="2301">
      <c r="A2301" s="8" t="n"/>
      <c r="B2301" s="9" t="n"/>
    </row>
    <row r="2302">
      <c r="A2302" s="8" t="n"/>
      <c r="B2302" s="9" t="n"/>
    </row>
    <row r="2303">
      <c r="A2303" s="8" t="n"/>
      <c r="B2303" s="9" t="n"/>
    </row>
    <row r="2304">
      <c r="A2304" s="8" t="n"/>
      <c r="B2304" s="9" t="n"/>
    </row>
    <row r="2305">
      <c r="A2305" s="8" t="n"/>
      <c r="B2305" s="9" t="n"/>
    </row>
    <row r="2306">
      <c r="A2306" s="8" t="n"/>
      <c r="B2306" s="9" t="n"/>
    </row>
    <row r="2307">
      <c r="A2307" s="8" t="n"/>
      <c r="B2307" s="9" t="n"/>
    </row>
    <row r="2308">
      <c r="A2308" s="8" t="n"/>
      <c r="B2308" s="9" t="n"/>
    </row>
    <row r="2309">
      <c r="A2309" s="8" t="n"/>
      <c r="B2309" s="9" t="n"/>
    </row>
    <row r="2310">
      <c r="A2310" s="8" t="n"/>
      <c r="B2310" s="9" t="n"/>
    </row>
    <row r="2311">
      <c r="A2311" s="8" t="n"/>
      <c r="B2311" s="9" t="n"/>
    </row>
    <row r="2312">
      <c r="A2312" s="8" t="n"/>
      <c r="B2312" s="9" t="n"/>
    </row>
    <row r="2313">
      <c r="A2313" s="8" t="n"/>
      <c r="B2313" s="9" t="n"/>
    </row>
    <row r="2314">
      <c r="A2314" s="8" t="n"/>
      <c r="B2314" s="9" t="n"/>
    </row>
    <row r="2315">
      <c r="A2315" s="8" t="n"/>
      <c r="B2315" s="9" t="n"/>
    </row>
    <row r="2316">
      <c r="A2316" s="8" t="n"/>
      <c r="B2316" s="9" t="n"/>
    </row>
    <row r="2317">
      <c r="A2317" s="8" t="n"/>
      <c r="B2317" s="9" t="n"/>
    </row>
    <row r="2318">
      <c r="A2318" s="8" t="n"/>
      <c r="B2318" s="9" t="n"/>
    </row>
    <row r="2319">
      <c r="A2319" s="8" t="n"/>
      <c r="B2319" s="9" t="n"/>
    </row>
    <row r="2320">
      <c r="A2320" s="8" t="n"/>
      <c r="B2320" s="9" t="n"/>
    </row>
    <row r="2321">
      <c r="A2321" s="8" t="n"/>
      <c r="B2321" s="9" t="n"/>
    </row>
    <row r="2322">
      <c r="A2322" s="8" t="n"/>
      <c r="B2322" s="9" t="n"/>
    </row>
    <row r="2323">
      <c r="A2323" s="8" t="n"/>
      <c r="B2323" s="9" t="n"/>
    </row>
    <row r="2324">
      <c r="A2324" s="8" t="n"/>
      <c r="B2324" s="9" t="n"/>
    </row>
    <row r="2325">
      <c r="A2325" s="8" t="n"/>
      <c r="B2325" s="9" t="n"/>
    </row>
    <row r="2326">
      <c r="A2326" s="8" t="n"/>
      <c r="B2326" s="9" t="n"/>
    </row>
    <row r="2327">
      <c r="A2327" s="8" t="n"/>
      <c r="B2327" s="9" t="n"/>
    </row>
    <row r="2328">
      <c r="A2328" s="8" t="n"/>
      <c r="B2328" s="9" t="n"/>
    </row>
    <row r="2329">
      <c r="A2329" s="8" t="n"/>
      <c r="B2329" s="9" t="n"/>
    </row>
    <row r="2330">
      <c r="A2330" s="8" t="n"/>
      <c r="B2330" s="9" t="n"/>
    </row>
    <row r="2331">
      <c r="A2331" s="8" t="n"/>
      <c r="B2331" s="9" t="n"/>
    </row>
    <row r="2332">
      <c r="A2332" s="8" t="n"/>
      <c r="B2332" s="9" t="n"/>
    </row>
    <row r="2333">
      <c r="A2333" s="8" t="n"/>
      <c r="B2333" s="9" t="n"/>
    </row>
    <row r="2334">
      <c r="A2334" s="8" t="n"/>
      <c r="B2334" s="9" t="n"/>
    </row>
    <row r="2335">
      <c r="A2335" s="8" t="n"/>
      <c r="B2335" s="9" t="n"/>
    </row>
    <row r="2336">
      <c r="A2336" s="8" t="n"/>
      <c r="B2336" s="9" t="n"/>
    </row>
    <row r="2337">
      <c r="A2337" s="8" t="n"/>
      <c r="B2337" s="9" t="n"/>
    </row>
    <row r="2338">
      <c r="A2338" s="8" t="n"/>
      <c r="B2338" s="9" t="n"/>
    </row>
    <row r="2339">
      <c r="A2339" s="8" t="n"/>
      <c r="B2339" s="9" t="n"/>
    </row>
    <row r="2340">
      <c r="A2340" s="8" t="n"/>
      <c r="B2340" s="9" t="n"/>
    </row>
    <row r="2341">
      <c r="A2341" s="8" t="n"/>
      <c r="B2341" s="9" t="n"/>
    </row>
    <row r="2342">
      <c r="A2342" s="8" t="n"/>
      <c r="B2342" s="9" t="n"/>
    </row>
    <row r="2343">
      <c r="A2343" s="8" t="n"/>
      <c r="B2343" s="9" t="n"/>
    </row>
    <row r="2344">
      <c r="A2344" s="8" t="n"/>
      <c r="B2344" s="9" t="n"/>
    </row>
    <row r="2345">
      <c r="A2345" s="8" t="n"/>
      <c r="B2345" s="9" t="n"/>
    </row>
    <row r="2346">
      <c r="A2346" s="8" t="n"/>
      <c r="B2346" s="9" t="n"/>
    </row>
    <row r="2347">
      <c r="A2347" s="8" t="n"/>
      <c r="B2347" s="9" t="n"/>
    </row>
    <row r="2348">
      <c r="A2348" s="8" t="n"/>
      <c r="B2348" s="9" t="n"/>
    </row>
    <row r="2349">
      <c r="A2349" s="8" t="n"/>
      <c r="B2349" s="9" t="n"/>
    </row>
    <row r="2350">
      <c r="A2350" s="8" t="n"/>
      <c r="B2350" s="9" t="n"/>
    </row>
    <row r="2351">
      <c r="A2351" s="8" t="n"/>
      <c r="B2351" s="9" t="n"/>
    </row>
    <row r="2352">
      <c r="A2352" s="8" t="n"/>
      <c r="B2352" s="9" t="n"/>
    </row>
    <row r="2353">
      <c r="A2353" s="8" t="n"/>
      <c r="B2353" s="9" t="n"/>
    </row>
    <row r="2354">
      <c r="A2354" s="8" t="n"/>
      <c r="B2354" s="9" t="n"/>
    </row>
    <row r="2355">
      <c r="A2355" s="8" t="n"/>
      <c r="B2355" s="9" t="n"/>
    </row>
    <row r="2356">
      <c r="A2356" s="8" t="n"/>
      <c r="B2356" s="9" t="n"/>
    </row>
    <row r="2357">
      <c r="A2357" s="8" t="n"/>
      <c r="B2357" s="9" t="n"/>
    </row>
    <row r="2358">
      <c r="A2358" s="8" t="n"/>
      <c r="B2358" s="9" t="n"/>
    </row>
    <row r="2359">
      <c r="A2359" s="8" t="n"/>
      <c r="B2359" s="9" t="n"/>
    </row>
    <row r="2360">
      <c r="A2360" s="8" t="n"/>
      <c r="B2360" s="9" t="n"/>
    </row>
    <row r="2361">
      <c r="A2361" s="8" t="n"/>
      <c r="B2361" s="9" t="n"/>
    </row>
    <row r="2362">
      <c r="A2362" s="8" t="n"/>
      <c r="B2362" s="9" t="n"/>
    </row>
    <row r="2363">
      <c r="A2363" s="8" t="n"/>
      <c r="B2363" s="9" t="n"/>
    </row>
    <row r="2364">
      <c r="A2364" s="8" t="n"/>
      <c r="B2364" s="9" t="n"/>
    </row>
    <row r="2365">
      <c r="A2365" s="8" t="n"/>
      <c r="B2365" s="9" t="n"/>
    </row>
    <row r="2366">
      <c r="A2366" s="8" t="n"/>
      <c r="B2366" s="9" t="n"/>
    </row>
    <row r="2367">
      <c r="A2367" s="8" t="n"/>
      <c r="B2367" s="9" t="n"/>
    </row>
    <row r="2368">
      <c r="A2368" s="8" t="n"/>
      <c r="B2368" s="9" t="n"/>
    </row>
    <row r="2369">
      <c r="A2369" s="8" t="n"/>
      <c r="B2369" s="9" t="n"/>
    </row>
    <row r="2370">
      <c r="A2370" s="8" t="n"/>
      <c r="B2370" s="9" t="n"/>
    </row>
    <row r="2371">
      <c r="A2371" s="8" t="n"/>
      <c r="B2371" s="9" t="n"/>
    </row>
    <row r="2372">
      <c r="A2372" s="8" t="n"/>
      <c r="B2372" s="9" t="n"/>
    </row>
    <row r="2373">
      <c r="A2373" s="8" t="n"/>
      <c r="B2373" s="9" t="n"/>
    </row>
    <row r="2374">
      <c r="A2374" s="8" t="n"/>
      <c r="B2374" s="9" t="n"/>
    </row>
    <row r="2375">
      <c r="A2375" s="8" t="n"/>
      <c r="B2375" s="9" t="n"/>
    </row>
    <row r="2376">
      <c r="A2376" s="8" t="n"/>
      <c r="B2376" s="9" t="n"/>
    </row>
    <row r="2377">
      <c r="A2377" s="8" t="n"/>
      <c r="B2377" s="9" t="n"/>
    </row>
    <row r="2378">
      <c r="A2378" s="8" t="n"/>
      <c r="B2378" s="9" t="n"/>
    </row>
    <row r="2379">
      <c r="A2379" s="8" t="n"/>
      <c r="B2379" s="9" t="n"/>
    </row>
    <row r="2380">
      <c r="A2380" s="8" t="n"/>
      <c r="B2380" s="9" t="n"/>
    </row>
    <row r="2381">
      <c r="A2381" s="8" t="n"/>
      <c r="B2381" s="9" t="n"/>
    </row>
    <row r="2382">
      <c r="A2382" s="8" t="n"/>
      <c r="B2382" s="9" t="n"/>
    </row>
    <row r="2383">
      <c r="A2383" s="8" t="n"/>
      <c r="B2383" s="9" t="n"/>
    </row>
    <row r="2384">
      <c r="A2384" s="8" t="n"/>
      <c r="B2384" s="9" t="n"/>
    </row>
    <row r="2385">
      <c r="A2385" s="8" t="n"/>
      <c r="B2385" s="9" t="n"/>
    </row>
    <row r="2386">
      <c r="A2386" s="8" t="n"/>
      <c r="B2386" s="9" t="n"/>
    </row>
    <row r="2387">
      <c r="A2387" s="8" t="n"/>
      <c r="B2387" s="9" t="n"/>
    </row>
    <row r="2388">
      <c r="A2388" s="8" t="n"/>
      <c r="B2388" s="9" t="n"/>
    </row>
    <row r="2389">
      <c r="A2389" s="8" t="n"/>
      <c r="B2389" s="9" t="n"/>
    </row>
    <row r="2390">
      <c r="A2390" s="8" t="n"/>
      <c r="B2390" s="9" t="n"/>
    </row>
    <row r="2391">
      <c r="A2391" s="8" t="n"/>
      <c r="B2391" s="9" t="n"/>
    </row>
    <row r="2392">
      <c r="A2392" s="8" t="n"/>
      <c r="B2392" s="9" t="n"/>
    </row>
    <row r="2393">
      <c r="A2393" s="8" t="n"/>
      <c r="B2393" s="9" t="n"/>
    </row>
    <row r="2394">
      <c r="A2394" s="8" t="n"/>
      <c r="B2394" s="9" t="n"/>
    </row>
    <row r="2395">
      <c r="A2395" s="8" t="n"/>
      <c r="B2395" s="9" t="n"/>
    </row>
    <row r="2396">
      <c r="A2396" s="8" t="n"/>
      <c r="B2396" s="9" t="n"/>
    </row>
    <row r="2397">
      <c r="A2397" s="8" t="n"/>
      <c r="B2397" s="9" t="n"/>
    </row>
    <row r="2398">
      <c r="A2398" s="8" t="n"/>
      <c r="B2398" s="9" t="n"/>
    </row>
    <row r="2399">
      <c r="A2399" s="8" t="n"/>
      <c r="B2399" s="9" t="n"/>
    </row>
    <row r="2400">
      <c r="A2400" s="8" t="n"/>
      <c r="B2400" s="9" t="n"/>
    </row>
    <row r="2401">
      <c r="A2401" s="8" t="n"/>
      <c r="B2401" s="9" t="n"/>
    </row>
    <row r="2402">
      <c r="A2402" s="8" t="n"/>
      <c r="B2402" s="9" t="n"/>
    </row>
    <row r="2403">
      <c r="A2403" s="8" t="n"/>
      <c r="B2403" s="9" t="n"/>
    </row>
    <row r="2404">
      <c r="A2404" s="8" t="n"/>
      <c r="B2404" s="9" t="n"/>
    </row>
    <row r="2405">
      <c r="A2405" s="8" t="n"/>
      <c r="B2405" s="9" t="n"/>
    </row>
    <row r="2406">
      <c r="A2406" s="8" t="n"/>
      <c r="B2406" s="9" t="n"/>
    </row>
    <row r="2407">
      <c r="A2407" s="8" t="n"/>
      <c r="B2407" s="9" t="n"/>
    </row>
    <row r="2408">
      <c r="A2408" s="8" t="n"/>
      <c r="B2408" s="9" t="n"/>
    </row>
    <row r="2409">
      <c r="A2409" s="8" t="n"/>
      <c r="B2409" s="9" t="n"/>
    </row>
    <row r="2410">
      <c r="A2410" s="8" t="n"/>
      <c r="B2410" s="9" t="n"/>
    </row>
    <row r="2411">
      <c r="A2411" s="8" t="n"/>
      <c r="B2411" s="9" t="n"/>
    </row>
    <row r="2412">
      <c r="A2412" s="8" t="n"/>
      <c r="B2412" s="9" t="n"/>
    </row>
    <row r="2413">
      <c r="A2413" s="8" t="n"/>
      <c r="B2413" s="9" t="n"/>
    </row>
    <row r="2414">
      <c r="A2414" s="8" t="n"/>
      <c r="B2414" s="9" t="n"/>
    </row>
    <row r="2415">
      <c r="A2415" s="8" t="n"/>
      <c r="B2415" s="9" t="n"/>
    </row>
    <row r="2416">
      <c r="A2416" s="8" t="n"/>
      <c r="B2416" s="9" t="n"/>
    </row>
    <row r="2417">
      <c r="A2417" s="8" t="n"/>
      <c r="B2417" s="9" t="n"/>
    </row>
    <row r="2418">
      <c r="A2418" s="8" t="n"/>
      <c r="B2418" s="9" t="n"/>
    </row>
    <row r="2419">
      <c r="A2419" s="8" t="n"/>
      <c r="B2419" s="9" t="n"/>
    </row>
    <row r="2420">
      <c r="A2420" s="8" t="n"/>
      <c r="B2420" s="9" t="n"/>
    </row>
    <row r="2421">
      <c r="A2421" s="8" t="n"/>
      <c r="B2421" s="9" t="n"/>
    </row>
    <row r="2422">
      <c r="A2422" s="8" t="n"/>
      <c r="B2422" s="9" t="n"/>
    </row>
    <row r="2423">
      <c r="A2423" s="8" t="n"/>
      <c r="B2423" s="9" t="n"/>
    </row>
    <row r="2424">
      <c r="A2424" s="8" t="n"/>
      <c r="B2424" s="9" t="n"/>
    </row>
    <row r="2425">
      <c r="A2425" s="8" t="n"/>
      <c r="B2425" s="9" t="n"/>
    </row>
    <row r="2426">
      <c r="A2426" s="8" t="n"/>
      <c r="B2426" s="9" t="n"/>
    </row>
    <row r="2427">
      <c r="A2427" s="8" t="n"/>
      <c r="B2427" s="9" t="n"/>
    </row>
    <row r="2428">
      <c r="A2428" s="8" t="n"/>
      <c r="B2428" s="9" t="n"/>
    </row>
    <row r="2429">
      <c r="A2429" s="8" t="n"/>
      <c r="B2429" s="9" t="n"/>
    </row>
    <row r="2430">
      <c r="A2430" s="8" t="n"/>
      <c r="B2430" s="9" t="n"/>
    </row>
    <row r="2431">
      <c r="A2431" s="8" t="n"/>
      <c r="B2431" s="9" t="n"/>
    </row>
    <row r="2432">
      <c r="A2432" s="8" t="n"/>
      <c r="B2432" s="9" t="n"/>
    </row>
    <row r="2433">
      <c r="A2433" s="8" t="n"/>
      <c r="B2433" s="9" t="n"/>
    </row>
    <row r="2434">
      <c r="A2434" s="8" t="n"/>
      <c r="B2434" s="9" t="n"/>
    </row>
    <row r="2435">
      <c r="A2435" s="8" t="n"/>
      <c r="B2435" s="9" t="n"/>
    </row>
    <row r="2436">
      <c r="A2436" s="8" t="n"/>
      <c r="B2436" s="9" t="n"/>
    </row>
    <row r="2437">
      <c r="A2437" s="8" t="n"/>
      <c r="B2437" s="9" t="n"/>
    </row>
    <row r="2438">
      <c r="A2438" s="8" t="n"/>
      <c r="B2438" s="9" t="n"/>
    </row>
    <row r="2439">
      <c r="A2439" s="8" t="n"/>
      <c r="B2439" s="9" t="n"/>
    </row>
    <row r="2440">
      <c r="A2440" s="8" t="n"/>
      <c r="B2440" s="9" t="n"/>
    </row>
    <row r="2441">
      <c r="A2441" s="8" t="n"/>
      <c r="B2441" s="9" t="n"/>
    </row>
    <row r="2442">
      <c r="A2442" s="8" t="n"/>
      <c r="B2442" s="9" t="n"/>
    </row>
    <row r="2443">
      <c r="A2443" s="8" t="n"/>
      <c r="B2443" s="9" t="n"/>
    </row>
    <row r="2444">
      <c r="A2444" s="8" t="n"/>
      <c r="B2444" s="9" t="n"/>
    </row>
    <row r="2445">
      <c r="A2445" s="8" t="n"/>
      <c r="B2445" s="9" t="n"/>
    </row>
    <row r="2446">
      <c r="A2446" s="8" t="n"/>
      <c r="B2446" s="9" t="n"/>
    </row>
    <row r="2447">
      <c r="A2447" s="8" t="n"/>
      <c r="B2447" s="9" t="n"/>
    </row>
    <row r="2448">
      <c r="A2448" s="8" t="n"/>
      <c r="B2448" s="9" t="n"/>
    </row>
    <row r="2449">
      <c r="A2449" s="8" t="n"/>
      <c r="B2449" s="9" t="n"/>
    </row>
    <row r="2450">
      <c r="A2450" s="8" t="n"/>
      <c r="B2450" s="9" t="n"/>
    </row>
    <row r="2451">
      <c r="A2451" s="8" t="n"/>
      <c r="B2451" s="9" t="n"/>
    </row>
    <row r="2452">
      <c r="A2452" s="8" t="n"/>
      <c r="B2452" s="9" t="n"/>
    </row>
    <row r="2453">
      <c r="A2453" s="8" t="n"/>
      <c r="B2453" s="9" t="n"/>
    </row>
    <row r="2454">
      <c r="A2454" s="8" t="n"/>
      <c r="B2454" s="9" t="n"/>
    </row>
    <row r="2455">
      <c r="A2455" s="8" t="n"/>
      <c r="B2455" s="9" t="n"/>
    </row>
    <row r="2456">
      <c r="A2456" s="8" t="n"/>
      <c r="B2456" s="9" t="n"/>
    </row>
    <row r="2457">
      <c r="A2457" s="8" t="n"/>
      <c r="B2457" s="9" t="n"/>
    </row>
    <row r="2458">
      <c r="A2458" s="8" t="n"/>
      <c r="B2458" s="9" t="n"/>
    </row>
    <row r="2459">
      <c r="A2459" s="8" t="n"/>
      <c r="B2459" s="9" t="n"/>
    </row>
    <row r="2460">
      <c r="A2460" s="8" t="n"/>
      <c r="B2460" s="9" t="n"/>
    </row>
    <row r="2461">
      <c r="A2461" s="8" t="n"/>
      <c r="B2461" s="9" t="n"/>
    </row>
    <row r="2462">
      <c r="A2462" s="8" t="n"/>
      <c r="B2462" s="9" t="n"/>
    </row>
    <row r="2463">
      <c r="A2463" s="8" t="n"/>
      <c r="B2463" s="9" t="n"/>
    </row>
    <row r="2464">
      <c r="A2464" s="8" t="n"/>
      <c r="B2464" s="9" t="n"/>
    </row>
    <row r="2465">
      <c r="A2465" s="8" t="n"/>
      <c r="B2465" s="9" t="n"/>
    </row>
    <row r="2466">
      <c r="A2466" s="8" t="n"/>
      <c r="B2466" s="9" t="n"/>
    </row>
    <row r="2467">
      <c r="A2467" s="8" t="n"/>
      <c r="B2467" s="9" t="n"/>
    </row>
    <row r="2468">
      <c r="A2468" s="8" t="n"/>
      <c r="B2468" s="9" t="n"/>
    </row>
    <row r="2469">
      <c r="A2469" s="8" t="n"/>
      <c r="B2469" s="9" t="n"/>
    </row>
    <row r="2470">
      <c r="A2470" s="8" t="n"/>
      <c r="B2470" s="9" t="n"/>
    </row>
    <row r="2471">
      <c r="A2471" s="8" t="n"/>
      <c r="B2471" s="9" t="n"/>
    </row>
    <row r="2472">
      <c r="A2472" s="8" t="n"/>
      <c r="B2472" s="9" t="n"/>
    </row>
    <row r="2473">
      <c r="A2473" s="8" t="n"/>
      <c r="B2473" s="9" t="n"/>
    </row>
    <row r="2474">
      <c r="A2474" s="8" t="n"/>
      <c r="B2474" s="9" t="n"/>
    </row>
    <row r="2475">
      <c r="A2475" s="8" t="n"/>
      <c r="B2475" s="9" t="n"/>
    </row>
    <row r="2476">
      <c r="A2476" s="8" t="n"/>
      <c r="B2476" s="9" t="n"/>
    </row>
    <row r="2477">
      <c r="A2477" s="8" t="n"/>
      <c r="B2477" s="9" t="n"/>
    </row>
    <row r="2478">
      <c r="A2478" s="8" t="n"/>
      <c r="B2478" s="9" t="n"/>
    </row>
    <row r="2479">
      <c r="A2479" s="8" t="n"/>
      <c r="B2479" s="9" t="n"/>
    </row>
    <row r="2480">
      <c r="A2480" s="8" t="n"/>
      <c r="B2480" s="9" t="n"/>
    </row>
    <row r="2481">
      <c r="A2481" s="8" t="n"/>
      <c r="B2481" s="9" t="n"/>
    </row>
    <row r="2482">
      <c r="A2482" s="8" t="n"/>
      <c r="B2482" s="9" t="n"/>
    </row>
    <row r="2483">
      <c r="A2483" s="8" t="n"/>
      <c r="B2483" s="9" t="n"/>
    </row>
    <row r="2484">
      <c r="A2484" s="8" t="n"/>
      <c r="B2484" s="9" t="n"/>
    </row>
    <row r="2485">
      <c r="A2485" s="8" t="n"/>
      <c r="B2485" s="9" t="n"/>
    </row>
    <row r="2486">
      <c r="A2486" s="8" t="n"/>
      <c r="B2486" s="9" t="n"/>
    </row>
    <row r="2487">
      <c r="A2487" s="8" t="n"/>
      <c r="B2487" s="9" t="n"/>
    </row>
    <row r="2488">
      <c r="A2488" s="8" t="n"/>
      <c r="B2488" s="9" t="n"/>
    </row>
    <row r="2489">
      <c r="A2489" s="8" t="n"/>
      <c r="B2489" s="9" t="n"/>
    </row>
    <row r="2490">
      <c r="A2490" s="8" t="n"/>
      <c r="B2490" s="9" t="n"/>
    </row>
    <row r="2491">
      <c r="A2491" s="8" t="n"/>
      <c r="B2491" s="9" t="n"/>
    </row>
    <row r="2492">
      <c r="A2492" s="8" t="n"/>
      <c r="B2492" s="9" t="n"/>
    </row>
    <row r="2493">
      <c r="A2493" s="8" t="n"/>
      <c r="B2493" s="9" t="n"/>
    </row>
    <row r="2494">
      <c r="A2494" s="8" t="n"/>
      <c r="B2494" s="9" t="n"/>
    </row>
    <row r="2495">
      <c r="A2495" s="8" t="n"/>
      <c r="B2495" s="9" t="n"/>
    </row>
    <row r="2496">
      <c r="A2496" s="8" t="n"/>
      <c r="B2496" s="9" t="n"/>
    </row>
    <row r="2497">
      <c r="A2497" s="8" t="n"/>
      <c r="B2497" s="9" t="n"/>
    </row>
    <row r="2498">
      <c r="A2498" s="8" t="n"/>
      <c r="B2498" s="9" t="n"/>
    </row>
    <row r="2499">
      <c r="A2499" s="8" t="n"/>
      <c r="B2499" s="9" t="n"/>
    </row>
    <row r="2500">
      <c r="A2500" s="8" t="n"/>
      <c r="B2500" s="9" t="n"/>
    </row>
    <row r="2501">
      <c r="A2501" s="8" t="n"/>
      <c r="B2501" s="9" t="n"/>
    </row>
    <row r="2502">
      <c r="A2502" s="8" t="n"/>
      <c r="B2502" s="9" t="n"/>
    </row>
    <row r="2503">
      <c r="A2503" s="8" t="n"/>
      <c r="B2503" s="9" t="n"/>
    </row>
    <row r="2504">
      <c r="A2504" s="8" t="n"/>
      <c r="B2504" s="9" t="n"/>
    </row>
    <row r="2505">
      <c r="A2505" s="8" t="n"/>
      <c r="B2505" s="9" t="n"/>
    </row>
    <row r="2506">
      <c r="A2506" s="8" t="n"/>
      <c r="B2506" s="9" t="n"/>
    </row>
    <row r="2507">
      <c r="A2507" s="8" t="n"/>
      <c r="B2507" s="9" t="n"/>
    </row>
    <row r="2508">
      <c r="A2508" s="8" t="n"/>
      <c r="B2508" s="9" t="n"/>
    </row>
    <row r="2509">
      <c r="A2509" s="8" t="n"/>
      <c r="B2509" s="9" t="n"/>
    </row>
    <row r="2510">
      <c r="A2510" s="8" t="n"/>
      <c r="B2510" s="9" t="n"/>
    </row>
    <row r="2511">
      <c r="A2511" s="8" t="n"/>
      <c r="B2511" s="9" t="n"/>
    </row>
    <row r="2512">
      <c r="A2512" s="8" t="n"/>
      <c r="B2512" s="9" t="n"/>
    </row>
    <row r="2513">
      <c r="A2513" s="8" t="n"/>
      <c r="B2513" s="9" t="n"/>
    </row>
    <row r="2514">
      <c r="A2514" s="8" t="n"/>
      <c r="B2514" s="9" t="n"/>
    </row>
    <row r="2515">
      <c r="A2515" s="8" t="n"/>
      <c r="B2515" s="9" t="n"/>
    </row>
    <row r="2516">
      <c r="A2516" s="8" t="n"/>
      <c r="B2516" s="9" t="n"/>
    </row>
    <row r="2517">
      <c r="A2517" s="8" t="n"/>
      <c r="B2517" s="9" t="n"/>
    </row>
    <row r="2518">
      <c r="A2518" s="8" t="n"/>
      <c r="B2518" s="9" t="n"/>
    </row>
    <row r="2519">
      <c r="A2519" s="8" t="n"/>
      <c r="B2519" s="9" t="n"/>
    </row>
    <row r="2520">
      <c r="A2520" s="8" t="n"/>
      <c r="B2520" s="9" t="n"/>
    </row>
    <row r="2521">
      <c r="A2521" s="8" t="n"/>
      <c r="B2521" s="9" t="n"/>
    </row>
    <row r="2522">
      <c r="A2522" s="8" t="n"/>
      <c r="B2522" s="9" t="n"/>
    </row>
    <row r="2523">
      <c r="A2523" s="8" t="n"/>
      <c r="B2523" s="9" t="n"/>
    </row>
    <row r="2524">
      <c r="A2524" s="8" t="n"/>
      <c r="B2524" s="9" t="n"/>
    </row>
    <row r="2525">
      <c r="A2525" s="8" t="n"/>
      <c r="B2525" s="9" t="n"/>
    </row>
    <row r="2526">
      <c r="A2526" s="8" t="n"/>
      <c r="B2526" s="9" t="n"/>
    </row>
    <row r="2527">
      <c r="A2527" s="8" t="n"/>
      <c r="B2527" s="9" t="n"/>
    </row>
    <row r="2528">
      <c r="A2528" s="8" t="n"/>
      <c r="B2528" s="9" t="n"/>
    </row>
    <row r="2529">
      <c r="A2529" s="8" t="n"/>
      <c r="B2529" s="9" t="n"/>
    </row>
    <row r="2530">
      <c r="A2530" s="8" t="n"/>
      <c r="B2530" s="9" t="n"/>
    </row>
    <row r="2531">
      <c r="A2531" s="8" t="n"/>
      <c r="B2531" s="9" t="n"/>
    </row>
    <row r="2532">
      <c r="A2532" s="8" t="n"/>
      <c r="B2532" s="9" t="n"/>
    </row>
    <row r="2533">
      <c r="A2533" s="8" t="n"/>
      <c r="B2533" s="9" t="n"/>
    </row>
    <row r="2534">
      <c r="A2534" s="8" t="n"/>
      <c r="B2534" s="9" t="n"/>
    </row>
    <row r="2535">
      <c r="A2535" s="8" t="n"/>
      <c r="B2535" s="9" t="n"/>
    </row>
    <row r="2536">
      <c r="A2536" s="8" t="n"/>
      <c r="B2536" s="9" t="n"/>
    </row>
    <row r="2537">
      <c r="A2537" s="8" t="n"/>
      <c r="B2537" s="9" t="n"/>
    </row>
    <row r="2538">
      <c r="A2538" s="8" t="n"/>
      <c r="B2538" s="9" t="n"/>
    </row>
    <row r="2539">
      <c r="A2539" s="8" t="n"/>
      <c r="B2539" s="9" t="n"/>
    </row>
    <row r="2540">
      <c r="A2540" s="8" t="n"/>
      <c r="B2540" s="9" t="n"/>
    </row>
    <row r="2541">
      <c r="A2541" s="8" t="n"/>
      <c r="B2541" s="9" t="n"/>
    </row>
    <row r="2542">
      <c r="A2542" s="8" t="n"/>
      <c r="B2542" s="9" t="n"/>
    </row>
    <row r="2543">
      <c r="A2543" s="8" t="n"/>
      <c r="B2543" s="9" t="n"/>
    </row>
    <row r="2544">
      <c r="A2544" s="8" t="n"/>
      <c r="B2544" s="9" t="n"/>
    </row>
    <row r="2545">
      <c r="A2545" s="8" t="n"/>
      <c r="B2545" s="9" t="n"/>
    </row>
    <row r="2546">
      <c r="A2546" s="8" t="n"/>
      <c r="B2546" s="9" t="n"/>
    </row>
    <row r="2547">
      <c r="A2547" s="8" t="n"/>
      <c r="B2547" s="9" t="n"/>
    </row>
    <row r="2548">
      <c r="A2548" s="8" t="n"/>
      <c r="B2548" s="9" t="n"/>
    </row>
    <row r="2549">
      <c r="A2549" s="8" t="n"/>
      <c r="B2549" s="9" t="n"/>
    </row>
    <row r="2550">
      <c r="A2550" s="8" t="n"/>
      <c r="B2550" s="9" t="n"/>
    </row>
    <row r="2551">
      <c r="A2551" s="8" t="n"/>
      <c r="B2551" s="9" t="n"/>
    </row>
    <row r="2552">
      <c r="A2552" s="8" t="n"/>
      <c r="B2552" s="9" t="n"/>
    </row>
    <row r="2553">
      <c r="A2553" s="8" t="n"/>
      <c r="B2553" s="9" t="n"/>
    </row>
    <row r="2554">
      <c r="A2554" s="8" t="n"/>
      <c r="B2554" s="9" t="n"/>
    </row>
    <row r="2555">
      <c r="A2555" s="8" t="n"/>
      <c r="B2555" s="9" t="n"/>
    </row>
    <row r="2556">
      <c r="A2556" s="8" t="n"/>
      <c r="B2556" s="9" t="n"/>
    </row>
    <row r="2557">
      <c r="A2557" s="8" t="n"/>
      <c r="B2557" s="9" t="n"/>
    </row>
    <row r="2558">
      <c r="A2558" s="8" t="n"/>
      <c r="B2558" s="9" t="n"/>
    </row>
    <row r="2559">
      <c r="A2559" s="8" t="n"/>
      <c r="B2559" s="9" t="n"/>
    </row>
    <row r="2560">
      <c r="A2560" s="8" t="n"/>
      <c r="B2560" s="9" t="n"/>
    </row>
    <row r="2561">
      <c r="A2561" s="8" t="n"/>
      <c r="B2561" s="9" t="n"/>
    </row>
    <row r="2562">
      <c r="A2562" s="8" t="n"/>
      <c r="B2562" s="9" t="n"/>
    </row>
    <row r="2563">
      <c r="A2563" s="8" t="n"/>
      <c r="B2563" s="9" t="n"/>
    </row>
    <row r="2564">
      <c r="A2564" s="8" t="n"/>
      <c r="B2564" s="9" t="n"/>
    </row>
    <row r="2565">
      <c r="A2565" s="8" t="n"/>
      <c r="B2565" s="9" t="n"/>
    </row>
    <row r="2566">
      <c r="A2566" s="8" t="n"/>
      <c r="B2566" s="9" t="n"/>
    </row>
    <row r="2567">
      <c r="A2567" s="8" t="n"/>
      <c r="B2567" s="9" t="n"/>
    </row>
    <row r="2568">
      <c r="A2568" s="8" t="n"/>
      <c r="B2568" s="9" t="n"/>
    </row>
    <row r="2569">
      <c r="A2569" s="8" t="n"/>
      <c r="B2569" s="9" t="n"/>
    </row>
    <row r="2570">
      <c r="A2570" s="8" t="n"/>
      <c r="B2570" s="9" t="n"/>
    </row>
    <row r="2571">
      <c r="A2571" s="8" t="n"/>
      <c r="B2571" s="9" t="n"/>
    </row>
    <row r="2572">
      <c r="A2572" s="8" t="n"/>
      <c r="B2572" s="9" t="n"/>
    </row>
    <row r="2573">
      <c r="A2573" s="8" t="n"/>
      <c r="B2573" s="9" t="n"/>
    </row>
    <row r="2574">
      <c r="A2574" s="8" t="n"/>
      <c r="B2574" s="9" t="n"/>
    </row>
    <row r="2575">
      <c r="A2575" s="8" t="n"/>
      <c r="B2575" s="9" t="n"/>
    </row>
    <row r="2576">
      <c r="A2576" s="8" t="n"/>
      <c r="B2576" s="9" t="n"/>
    </row>
    <row r="2577">
      <c r="A2577" s="8" t="n"/>
      <c r="B2577" s="9" t="n"/>
    </row>
    <row r="2578">
      <c r="A2578" s="8" t="n"/>
      <c r="B2578" s="9" t="n"/>
    </row>
    <row r="2579">
      <c r="A2579" s="8" t="n"/>
      <c r="B2579" s="9" t="n"/>
    </row>
    <row r="2580">
      <c r="A2580" s="8" t="n"/>
      <c r="B2580" s="9" t="n"/>
    </row>
    <row r="2581">
      <c r="A2581" s="8" t="n"/>
      <c r="B2581" s="9" t="n"/>
    </row>
    <row r="2582">
      <c r="A2582" s="8" t="n"/>
      <c r="B2582" s="9" t="n"/>
    </row>
    <row r="2583">
      <c r="A2583" s="8" t="n"/>
      <c r="B2583" s="9" t="n"/>
    </row>
    <row r="2584">
      <c r="A2584" s="8" t="n"/>
      <c r="B2584" s="9" t="n"/>
    </row>
    <row r="2585">
      <c r="A2585" s="8" t="n"/>
      <c r="B2585" s="9" t="n"/>
    </row>
    <row r="2586">
      <c r="A2586" s="8" t="n"/>
      <c r="B2586" s="9" t="n"/>
    </row>
    <row r="2587">
      <c r="A2587" s="8" t="n"/>
      <c r="B2587" s="9" t="n"/>
    </row>
    <row r="2588">
      <c r="A2588" s="8" t="n"/>
      <c r="B2588" s="9" t="n"/>
    </row>
    <row r="2589">
      <c r="A2589" s="8" t="n"/>
      <c r="B2589" s="9" t="n"/>
    </row>
    <row r="2590">
      <c r="A2590" s="8" t="n"/>
      <c r="B2590" s="9" t="n"/>
    </row>
    <row r="2591">
      <c r="A2591" s="8" t="n"/>
      <c r="B2591" s="9" t="n"/>
    </row>
    <row r="2592">
      <c r="A2592" s="8" t="n"/>
      <c r="B2592" s="9" t="n"/>
    </row>
    <row r="2593">
      <c r="A2593" s="8" t="n"/>
      <c r="B2593" s="9" t="n"/>
    </row>
    <row r="2594">
      <c r="A2594" s="8" t="n"/>
      <c r="B2594" s="9" t="n"/>
    </row>
    <row r="2595">
      <c r="A2595" s="8" t="n"/>
      <c r="B2595" s="9" t="n"/>
    </row>
    <row r="2596">
      <c r="A2596" s="8" t="n"/>
      <c r="B2596" s="9" t="n"/>
    </row>
    <row r="2597">
      <c r="A2597" s="8" t="n"/>
      <c r="B2597" s="9" t="n"/>
    </row>
    <row r="2598">
      <c r="A2598" s="8" t="n"/>
      <c r="B2598" s="9" t="n"/>
    </row>
    <row r="2599">
      <c r="A2599" s="8" t="n"/>
      <c r="B2599" s="9" t="n"/>
    </row>
    <row r="2600">
      <c r="A2600" s="8" t="n"/>
      <c r="B2600" s="9" t="n"/>
    </row>
    <row r="2601">
      <c r="A2601" s="8" t="n"/>
      <c r="B2601" s="9" t="n"/>
    </row>
    <row r="2602">
      <c r="A2602" s="8" t="n"/>
      <c r="B2602" s="9" t="n"/>
    </row>
    <row r="2603">
      <c r="A2603" s="8" t="n"/>
      <c r="B2603" s="9" t="n"/>
    </row>
    <row r="2604">
      <c r="A2604" s="8" t="n"/>
      <c r="B2604" s="9" t="n"/>
    </row>
    <row r="2605">
      <c r="A2605" s="8" t="n"/>
      <c r="B2605" s="9" t="n"/>
    </row>
    <row r="2606">
      <c r="A2606" s="8" t="n"/>
      <c r="B2606" s="9" t="n"/>
    </row>
    <row r="2607">
      <c r="A2607" s="8" t="n"/>
      <c r="B2607" s="9" t="n"/>
    </row>
    <row r="2608">
      <c r="A2608" s="8" t="n"/>
      <c r="B2608" s="9" t="n"/>
    </row>
    <row r="2609">
      <c r="A2609" s="8" t="n"/>
      <c r="B2609" s="9" t="n"/>
    </row>
    <row r="2610">
      <c r="A2610" s="8" t="n"/>
      <c r="B2610" s="9" t="n"/>
    </row>
    <row r="2611">
      <c r="A2611" s="8" t="n"/>
      <c r="B2611" s="9" t="n"/>
    </row>
    <row r="2612">
      <c r="A2612" s="8" t="n"/>
      <c r="B2612" s="9" t="n"/>
    </row>
    <row r="2613">
      <c r="A2613" s="8" t="n"/>
      <c r="B2613" s="9" t="n"/>
    </row>
    <row r="2614">
      <c r="A2614" s="8" t="n"/>
      <c r="B2614" s="9" t="n"/>
    </row>
    <row r="2615">
      <c r="A2615" s="8" t="n"/>
      <c r="B2615" s="9" t="n"/>
    </row>
    <row r="2616">
      <c r="A2616" s="8" t="n"/>
      <c r="B2616" s="9" t="n"/>
    </row>
    <row r="2617">
      <c r="A2617" s="8" t="n"/>
      <c r="B2617" s="9" t="n"/>
    </row>
    <row r="2618">
      <c r="A2618" s="8" t="n"/>
      <c r="B2618" s="9" t="n"/>
    </row>
    <row r="2619">
      <c r="A2619" s="8" t="n"/>
      <c r="B2619" s="9" t="n"/>
    </row>
    <row r="2620">
      <c r="A2620" s="8" t="n"/>
      <c r="B2620" s="9" t="n"/>
    </row>
    <row r="2621">
      <c r="A2621" s="8" t="n"/>
      <c r="B2621" s="9" t="n"/>
    </row>
    <row r="2622">
      <c r="A2622" s="8" t="n"/>
      <c r="B2622" s="9" t="n"/>
    </row>
    <row r="2623">
      <c r="A2623" s="8" t="n"/>
      <c r="B2623" s="9" t="n"/>
    </row>
    <row r="2624">
      <c r="A2624" s="8" t="n"/>
      <c r="B2624" s="9" t="n"/>
    </row>
    <row r="2625">
      <c r="A2625" s="8" t="n"/>
      <c r="B2625" s="9" t="n"/>
    </row>
    <row r="2626">
      <c r="A2626" s="8" t="n"/>
      <c r="B2626" s="9" t="n"/>
    </row>
    <row r="2627">
      <c r="A2627" s="8" t="n"/>
      <c r="B2627" s="9" t="n"/>
    </row>
    <row r="2628">
      <c r="A2628" s="8" t="n"/>
      <c r="B2628" s="9" t="n"/>
    </row>
    <row r="2629">
      <c r="A2629" s="8" t="n"/>
      <c r="B2629" s="9" t="n"/>
    </row>
    <row r="2630">
      <c r="A2630" s="8" t="n"/>
      <c r="B2630" s="9" t="n"/>
    </row>
    <row r="2631">
      <c r="A2631" s="8" t="n"/>
      <c r="B2631" s="9" t="n"/>
    </row>
    <row r="2632">
      <c r="A2632" s="8" t="n"/>
      <c r="B2632" s="9" t="n"/>
    </row>
    <row r="2633">
      <c r="A2633" s="8" t="n"/>
      <c r="B2633" s="9" t="n"/>
    </row>
    <row r="2634">
      <c r="A2634" s="8" t="n"/>
      <c r="B2634" s="9" t="n"/>
    </row>
    <row r="2635">
      <c r="A2635" s="8" t="n"/>
      <c r="B2635" s="9" t="n"/>
    </row>
    <row r="2636">
      <c r="A2636" s="8" t="n"/>
      <c r="B2636" s="9" t="n"/>
    </row>
    <row r="2637">
      <c r="A2637" s="8" t="n"/>
      <c r="B2637" s="9" t="n"/>
    </row>
    <row r="2638">
      <c r="A2638" s="8" t="n"/>
      <c r="B2638" s="9" t="n"/>
    </row>
    <row r="2639">
      <c r="A2639" s="8" t="n"/>
      <c r="B2639" s="9" t="n"/>
    </row>
    <row r="2640">
      <c r="A2640" s="8" t="n"/>
      <c r="B2640" s="9" t="n"/>
    </row>
    <row r="2641">
      <c r="A2641" s="8" t="n"/>
      <c r="B2641" s="9" t="n"/>
    </row>
    <row r="2642">
      <c r="A2642" s="8" t="n"/>
      <c r="B2642" s="9" t="n"/>
    </row>
    <row r="2643">
      <c r="A2643" s="8" t="n"/>
      <c r="B2643" s="9" t="n"/>
    </row>
    <row r="2644">
      <c r="A2644" s="8" t="n"/>
      <c r="B2644" s="9" t="n"/>
    </row>
    <row r="2645">
      <c r="A2645" s="8" t="n"/>
      <c r="B2645" s="9" t="n"/>
    </row>
    <row r="2646">
      <c r="A2646" s="8" t="n"/>
      <c r="B2646" s="9" t="n"/>
    </row>
    <row r="2647">
      <c r="A2647" s="8" t="n"/>
      <c r="B2647" s="9" t="n"/>
    </row>
    <row r="2648">
      <c r="A2648" s="8" t="n"/>
      <c r="B2648" s="9" t="n"/>
    </row>
    <row r="2649">
      <c r="A2649" s="8" t="n"/>
      <c r="B2649" s="9" t="n"/>
    </row>
    <row r="2650">
      <c r="A2650" s="8" t="n"/>
      <c r="B2650" s="9" t="n"/>
    </row>
    <row r="2651">
      <c r="A2651" s="8" t="n"/>
      <c r="B2651" s="9" t="n"/>
    </row>
    <row r="2652">
      <c r="A2652" s="8" t="n"/>
      <c r="B2652" s="9" t="n"/>
    </row>
    <row r="2653">
      <c r="A2653" s="8" t="n"/>
      <c r="B2653" s="9" t="n"/>
    </row>
    <row r="2654">
      <c r="A2654" s="8" t="n"/>
      <c r="B2654" s="9" t="n"/>
    </row>
    <row r="2655">
      <c r="A2655" s="8" t="n"/>
      <c r="B2655" s="9" t="n"/>
    </row>
    <row r="2656">
      <c r="A2656" s="8" t="n"/>
      <c r="B2656" s="9" t="n"/>
    </row>
    <row r="2657">
      <c r="A2657" s="8" t="n"/>
      <c r="B2657" s="9" t="n"/>
    </row>
    <row r="2658">
      <c r="A2658" s="8" t="n"/>
      <c r="B2658" s="9" t="n"/>
    </row>
    <row r="2659">
      <c r="A2659" s="8" t="n"/>
      <c r="B2659" s="9" t="n"/>
    </row>
    <row r="2660">
      <c r="A2660" s="8" t="n"/>
      <c r="B2660" s="9" t="n"/>
    </row>
    <row r="2661">
      <c r="A2661" s="8" t="n"/>
      <c r="B2661" s="9" t="n"/>
    </row>
    <row r="2662">
      <c r="A2662" s="8" t="n"/>
      <c r="B2662" s="9" t="n"/>
    </row>
    <row r="2663">
      <c r="A2663" s="8" t="n"/>
      <c r="B2663" s="9" t="n"/>
    </row>
    <row r="2664">
      <c r="A2664" s="8" t="n"/>
      <c r="B2664" s="9" t="n"/>
    </row>
    <row r="2665">
      <c r="A2665" s="8" t="n"/>
      <c r="B2665" s="9" t="n"/>
    </row>
    <row r="2666">
      <c r="A2666" s="8" t="n"/>
      <c r="B2666" s="9" t="n"/>
    </row>
    <row r="2667">
      <c r="A2667" s="8" t="n"/>
      <c r="B2667" s="9" t="n"/>
    </row>
    <row r="2668">
      <c r="A2668" s="8" t="n"/>
      <c r="B2668" s="9" t="n"/>
    </row>
    <row r="2669">
      <c r="A2669" s="8" t="n"/>
      <c r="B2669" s="9" t="n"/>
    </row>
    <row r="2670">
      <c r="A2670" s="8" t="n"/>
      <c r="B2670" s="9" t="n"/>
    </row>
    <row r="2671">
      <c r="A2671" s="8" t="n"/>
      <c r="B2671" s="9" t="n"/>
    </row>
    <row r="2672">
      <c r="A2672" s="8" t="n"/>
      <c r="B2672" s="9" t="n"/>
    </row>
    <row r="2673">
      <c r="A2673" s="8" t="n"/>
      <c r="B2673" s="9" t="n"/>
    </row>
    <row r="2674">
      <c r="A2674" s="8" t="n"/>
      <c r="B2674" s="9" t="n"/>
    </row>
    <row r="2675">
      <c r="A2675" s="8" t="n"/>
      <c r="B2675" s="9" t="n"/>
    </row>
    <row r="2676">
      <c r="A2676" s="8" t="n"/>
      <c r="B2676" s="9" t="n"/>
    </row>
    <row r="2677">
      <c r="A2677" s="8" t="n"/>
      <c r="B2677" s="9" t="n"/>
    </row>
    <row r="2678">
      <c r="A2678" s="8" t="n"/>
      <c r="B2678" s="9" t="n"/>
    </row>
    <row r="2679">
      <c r="A2679" s="8" t="n"/>
      <c r="B2679" s="9" t="n"/>
    </row>
    <row r="2680">
      <c r="A2680" s="8" t="n"/>
      <c r="B2680" s="9" t="n"/>
    </row>
    <row r="2681">
      <c r="A2681" s="8" t="n"/>
      <c r="B2681" s="9" t="n"/>
    </row>
    <row r="2682">
      <c r="A2682" s="8" t="n"/>
      <c r="B2682" s="9" t="n"/>
    </row>
    <row r="2683">
      <c r="A2683" s="8" t="n"/>
      <c r="B2683" s="9" t="n"/>
    </row>
    <row r="2684">
      <c r="A2684" s="8" t="n"/>
      <c r="B2684" s="9" t="n"/>
    </row>
    <row r="2685">
      <c r="A2685" s="8" t="n"/>
      <c r="B2685" s="9" t="n"/>
    </row>
    <row r="2686">
      <c r="A2686" s="8" t="n"/>
      <c r="B2686" s="9" t="n"/>
    </row>
    <row r="2687">
      <c r="A2687" s="8" t="n"/>
      <c r="B2687" s="9" t="n"/>
    </row>
    <row r="2688">
      <c r="A2688" s="8" t="n"/>
      <c r="B2688" s="9" t="n"/>
    </row>
    <row r="2689">
      <c r="A2689" s="8" t="n"/>
      <c r="B2689" s="9" t="n"/>
    </row>
    <row r="2690">
      <c r="A2690" s="8" t="n"/>
      <c r="B2690" s="9" t="n"/>
    </row>
    <row r="2691">
      <c r="A2691" s="8" t="n"/>
      <c r="B2691" s="9" t="n"/>
    </row>
    <row r="2692">
      <c r="A2692" s="8" t="n"/>
      <c r="B2692" s="9" t="n"/>
    </row>
    <row r="2693">
      <c r="A2693" s="8" t="n"/>
      <c r="B2693" s="9" t="n"/>
    </row>
    <row r="2694">
      <c r="A2694" s="8" t="n"/>
      <c r="B2694" s="9" t="n"/>
    </row>
    <row r="2695">
      <c r="A2695" s="8" t="n"/>
      <c r="B2695" s="9" t="n"/>
    </row>
    <row r="2696">
      <c r="A2696" s="8" t="n"/>
      <c r="B2696" s="9" t="n"/>
    </row>
    <row r="2697">
      <c r="A2697" s="8" t="n"/>
      <c r="B2697" s="9" t="n"/>
    </row>
    <row r="2698">
      <c r="A2698" s="8" t="n"/>
      <c r="B2698" s="9" t="n"/>
    </row>
    <row r="2699">
      <c r="A2699" s="8" t="n"/>
      <c r="B2699" s="9" t="n"/>
    </row>
    <row r="2700">
      <c r="A2700" s="8" t="n"/>
      <c r="B2700" s="9" t="n"/>
    </row>
    <row r="2701">
      <c r="A2701" s="8" t="n"/>
      <c r="B2701" s="9" t="n"/>
    </row>
    <row r="2702">
      <c r="A2702" s="8" t="n"/>
      <c r="B2702" s="9" t="n"/>
    </row>
    <row r="2703">
      <c r="A2703" s="8" t="n"/>
      <c r="B2703" s="9" t="n"/>
    </row>
    <row r="2704">
      <c r="A2704" s="8" t="n"/>
      <c r="B2704" s="9" t="n"/>
    </row>
    <row r="2705">
      <c r="A2705" s="8" t="n"/>
      <c r="B2705" s="9" t="n"/>
    </row>
    <row r="2706">
      <c r="A2706" s="8" t="n"/>
      <c r="B2706" s="9" t="n"/>
    </row>
    <row r="2707">
      <c r="A2707" s="8" t="n"/>
      <c r="B2707" s="9" t="n"/>
    </row>
    <row r="2708">
      <c r="A2708" s="8" t="n"/>
      <c r="B2708" s="9" t="n"/>
    </row>
    <row r="2709">
      <c r="A2709" s="8" t="n"/>
      <c r="B2709" s="9" t="n"/>
    </row>
    <row r="2710">
      <c r="A2710" s="8" t="n"/>
      <c r="B2710" s="9" t="n"/>
    </row>
    <row r="2711">
      <c r="A2711" s="8" t="n"/>
      <c r="B2711" s="9" t="n"/>
    </row>
    <row r="2712">
      <c r="A2712" s="8" t="n"/>
      <c r="B2712" s="9" t="n"/>
    </row>
    <row r="2713">
      <c r="A2713" s="8" t="n"/>
      <c r="B2713" s="9" t="n"/>
    </row>
    <row r="2714">
      <c r="A2714" s="8" t="n"/>
      <c r="B2714" s="9" t="n"/>
    </row>
    <row r="2715">
      <c r="A2715" s="8" t="n"/>
      <c r="B2715" s="9" t="n"/>
    </row>
    <row r="2716">
      <c r="A2716" s="8" t="n"/>
      <c r="B2716" s="9" t="n"/>
    </row>
    <row r="2717">
      <c r="A2717" s="8" t="n"/>
      <c r="B2717" s="9" t="n"/>
    </row>
    <row r="2718">
      <c r="A2718" s="8" t="n"/>
      <c r="B2718" s="9" t="n"/>
    </row>
    <row r="2719">
      <c r="A2719" s="8" t="n"/>
      <c r="B2719" s="9" t="n"/>
    </row>
    <row r="2720">
      <c r="A2720" s="8" t="n"/>
      <c r="B2720" s="9" t="n"/>
    </row>
    <row r="2721">
      <c r="A2721" s="8" t="n"/>
      <c r="B2721" s="9" t="n"/>
    </row>
    <row r="2722">
      <c r="A2722" s="8" t="n"/>
      <c r="B2722" s="9" t="n"/>
    </row>
    <row r="2723">
      <c r="A2723" s="8" t="n"/>
      <c r="B2723" s="9" t="n"/>
    </row>
    <row r="2724">
      <c r="A2724" s="8" t="n"/>
      <c r="B2724" s="9" t="n"/>
    </row>
    <row r="2725">
      <c r="A2725" s="8" t="n"/>
      <c r="B2725" s="9" t="n"/>
    </row>
    <row r="2726">
      <c r="A2726" s="8" t="n"/>
      <c r="B2726" s="9" t="n"/>
    </row>
    <row r="2727">
      <c r="A2727" s="8" t="n"/>
      <c r="B2727" s="9" t="n"/>
    </row>
    <row r="2728">
      <c r="A2728" s="8" t="n"/>
      <c r="B2728" s="9" t="n"/>
    </row>
    <row r="2729">
      <c r="A2729" s="8" t="n"/>
      <c r="B2729" s="9" t="n"/>
    </row>
    <row r="2730">
      <c r="A2730" s="8" t="n"/>
      <c r="B2730" s="9" t="n"/>
    </row>
    <row r="2731">
      <c r="A2731" s="8" t="n"/>
      <c r="B2731" s="9" t="n"/>
    </row>
    <row r="2732">
      <c r="A2732" s="8" t="n"/>
      <c r="B2732" s="9" t="n"/>
    </row>
    <row r="2733">
      <c r="A2733" s="8" t="n"/>
      <c r="B2733" s="9" t="n"/>
    </row>
    <row r="2734">
      <c r="A2734" s="8" t="n"/>
      <c r="B2734" s="9" t="n"/>
    </row>
    <row r="2735">
      <c r="A2735" s="8" t="n"/>
      <c r="B2735" s="9" t="n"/>
    </row>
    <row r="2736">
      <c r="A2736" s="8" t="n"/>
      <c r="B2736" s="9" t="n"/>
    </row>
    <row r="2737">
      <c r="A2737" s="8" t="n"/>
      <c r="B2737" s="9" t="n"/>
    </row>
    <row r="2738">
      <c r="A2738" s="8" t="n"/>
      <c r="B2738" s="9" t="n"/>
    </row>
    <row r="2739">
      <c r="A2739" s="8" t="n"/>
      <c r="B2739" s="9" t="n"/>
    </row>
    <row r="2740">
      <c r="A2740" s="8" t="n"/>
      <c r="B2740" s="9" t="n"/>
    </row>
    <row r="2741">
      <c r="A2741" s="8" t="n"/>
      <c r="B2741" s="9" t="n"/>
    </row>
    <row r="2742">
      <c r="A2742" s="8" t="n"/>
      <c r="B2742" s="9" t="n"/>
    </row>
    <row r="2743">
      <c r="A2743" s="8" t="n"/>
      <c r="B2743" s="9" t="n"/>
    </row>
    <row r="2744">
      <c r="A2744" s="8" t="n"/>
      <c r="B2744" s="9" t="n"/>
    </row>
    <row r="2745">
      <c r="A2745" s="8" t="n"/>
      <c r="B2745" s="9" t="n"/>
    </row>
    <row r="2746">
      <c r="A2746" s="8" t="n"/>
      <c r="B2746" s="9" t="n"/>
    </row>
    <row r="2747">
      <c r="A2747" s="8" t="n"/>
      <c r="B2747" s="9" t="n"/>
    </row>
    <row r="2748">
      <c r="A2748" s="8" t="n"/>
      <c r="B2748" s="9" t="n"/>
    </row>
    <row r="2749">
      <c r="A2749" s="8" t="n"/>
      <c r="B2749" s="9" t="n"/>
    </row>
    <row r="2750">
      <c r="A2750" s="8" t="n"/>
      <c r="B2750" s="9" t="n"/>
    </row>
    <row r="2751">
      <c r="A2751" s="8" t="n"/>
      <c r="B2751" s="9" t="n"/>
    </row>
    <row r="2752">
      <c r="A2752" s="8" t="n"/>
      <c r="B2752" s="9" t="n"/>
    </row>
    <row r="2753">
      <c r="A2753" s="8" t="n"/>
      <c r="B2753" s="9" t="n"/>
    </row>
    <row r="2754">
      <c r="A2754" s="8" t="n"/>
      <c r="B2754" s="9" t="n"/>
    </row>
    <row r="2755">
      <c r="A2755" s="8" t="n"/>
      <c r="B2755" s="9" t="n"/>
    </row>
    <row r="2756">
      <c r="A2756" s="8" t="n"/>
      <c r="B2756" s="9" t="n"/>
    </row>
    <row r="2757">
      <c r="A2757" s="8" t="n"/>
      <c r="B2757" s="9" t="n"/>
    </row>
    <row r="2758">
      <c r="A2758" s="8" t="n"/>
      <c r="B2758" s="9" t="n"/>
    </row>
    <row r="2759">
      <c r="A2759" s="8" t="n"/>
      <c r="B2759" s="9" t="n"/>
    </row>
    <row r="2760">
      <c r="A2760" s="8" t="n"/>
      <c r="B2760" s="9" t="n"/>
    </row>
    <row r="2761">
      <c r="A2761" s="8" t="n"/>
      <c r="B2761" s="9" t="n"/>
    </row>
    <row r="2762">
      <c r="A2762" s="8" t="n"/>
      <c r="B2762" s="9" t="n"/>
    </row>
    <row r="2763">
      <c r="A2763" s="8" t="n"/>
      <c r="B2763" s="9" t="n"/>
    </row>
    <row r="2764">
      <c r="A2764" s="8" t="n"/>
      <c r="B2764" s="9" t="n"/>
    </row>
    <row r="2765">
      <c r="A2765" s="8" t="n"/>
      <c r="B2765" s="9" t="n"/>
    </row>
    <row r="2766">
      <c r="A2766" s="8" t="n"/>
      <c r="B2766" s="9" t="n"/>
    </row>
    <row r="2767">
      <c r="A2767" s="8" t="n"/>
      <c r="B2767" s="9" t="n"/>
    </row>
    <row r="2768">
      <c r="A2768" s="8" t="n"/>
      <c r="B2768" s="9" t="n"/>
    </row>
    <row r="2769">
      <c r="A2769" s="8" t="n"/>
      <c r="B2769" s="9" t="n"/>
    </row>
    <row r="2770">
      <c r="A2770" s="8" t="n"/>
      <c r="B2770" s="9" t="n"/>
    </row>
    <row r="2771">
      <c r="A2771" s="8" t="n"/>
      <c r="B2771" s="9" t="n"/>
    </row>
    <row r="2772">
      <c r="A2772" s="8" t="n"/>
      <c r="B2772" s="9" t="n"/>
    </row>
    <row r="2773">
      <c r="A2773" s="8" t="n"/>
      <c r="B2773" s="9" t="n"/>
    </row>
    <row r="2774">
      <c r="A2774" s="8" t="n"/>
      <c r="B2774" s="9" t="n"/>
    </row>
    <row r="2775">
      <c r="A2775" s="8" t="n"/>
      <c r="B2775" s="9" t="n"/>
    </row>
    <row r="2776">
      <c r="A2776" s="8" t="n"/>
      <c r="B2776" s="9" t="n"/>
    </row>
    <row r="2777">
      <c r="A2777" s="8" t="n"/>
      <c r="B2777" s="9" t="n"/>
    </row>
    <row r="2778">
      <c r="A2778" s="8" t="n"/>
      <c r="B2778" s="9" t="n"/>
    </row>
    <row r="2779">
      <c r="A2779" s="8" t="n"/>
      <c r="B2779" s="9" t="n"/>
    </row>
    <row r="2780">
      <c r="A2780" s="8" t="n"/>
      <c r="B2780" s="9" t="n"/>
    </row>
    <row r="2781">
      <c r="A2781" s="8" t="n"/>
      <c r="B2781" s="9" t="n"/>
    </row>
    <row r="2782">
      <c r="A2782" s="8" t="n"/>
      <c r="B2782" s="9" t="n"/>
    </row>
    <row r="2783">
      <c r="A2783" s="8" t="n"/>
      <c r="B2783" s="9" t="n"/>
    </row>
    <row r="2784">
      <c r="A2784" s="8" t="n"/>
      <c r="B2784" s="9" t="n"/>
    </row>
    <row r="2785">
      <c r="A2785" s="8" t="n"/>
      <c r="B2785" s="9" t="n"/>
    </row>
    <row r="2786">
      <c r="A2786" s="8" t="n"/>
      <c r="B2786" s="9" t="n"/>
    </row>
    <row r="2787">
      <c r="A2787" s="8" t="n"/>
      <c r="B2787" s="9" t="n"/>
    </row>
    <row r="2788">
      <c r="A2788" s="8" t="n"/>
      <c r="B2788" s="9" t="n"/>
    </row>
    <row r="2789">
      <c r="A2789" s="8" t="n"/>
      <c r="B2789" s="9" t="n"/>
    </row>
    <row r="2790">
      <c r="A2790" s="8" t="n"/>
      <c r="B2790" s="9" t="n"/>
    </row>
    <row r="2791">
      <c r="A2791" s="8" t="n"/>
      <c r="B2791" s="9" t="n"/>
    </row>
    <row r="2792">
      <c r="A2792" s="8" t="n"/>
      <c r="B2792" s="9" t="n"/>
    </row>
    <row r="2793">
      <c r="A2793" s="8" t="n"/>
      <c r="B2793" s="9" t="n"/>
    </row>
    <row r="2794">
      <c r="A2794" s="8" t="n"/>
      <c r="B2794" s="9" t="n"/>
    </row>
    <row r="2795">
      <c r="A2795" s="8" t="n"/>
      <c r="B2795" s="9" t="n"/>
    </row>
    <row r="2796">
      <c r="A2796" s="8" t="n"/>
      <c r="B2796" s="9" t="n"/>
    </row>
    <row r="2797">
      <c r="A2797" s="8" t="n"/>
      <c r="B2797" s="9" t="n"/>
    </row>
    <row r="2798">
      <c r="A2798" s="8" t="n"/>
      <c r="B2798" s="9" t="n"/>
    </row>
    <row r="2799">
      <c r="A2799" s="8" t="n"/>
      <c r="B2799" s="9" t="n"/>
    </row>
    <row r="2800">
      <c r="A2800" s="8" t="n"/>
      <c r="B2800" s="9" t="n"/>
    </row>
    <row r="2801">
      <c r="A2801" s="8" t="n"/>
      <c r="B2801" s="9" t="n"/>
    </row>
    <row r="2802">
      <c r="A2802" s="8" t="n"/>
      <c r="B2802" s="9" t="n"/>
    </row>
    <row r="2803">
      <c r="A2803" s="8" t="n"/>
      <c r="B2803" s="9" t="n"/>
    </row>
    <row r="2804">
      <c r="A2804" s="8" t="n"/>
      <c r="B2804" s="9" t="n"/>
    </row>
    <row r="2805">
      <c r="A2805" s="8" t="n"/>
      <c r="B2805" s="9" t="n"/>
    </row>
    <row r="2806">
      <c r="A2806" s="8" t="n"/>
      <c r="B2806" s="9" t="n"/>
    </row>
    <row r="2807">
      <c r="A2807" s="8" t="n"/>
      <c r="B2807" s="9" t="n"/>
    </row>
    <row r="2808">
      <c r="A2808" s="8" t="n"/>
      <c r="B2808" s="9" t="n"/>
    </row>
    <row r="2809">
      <c r="A2809" s="8" t="n"/>
      <c r="B2809" s="9" t="n"/>
    </row>
    <row r="2810">
      <c r="A2810" s="8" t="n"/>
      <c r="B2810" s="9" t="n"/>
    </row>
    <row r="2811">
      <c r="A2811" s="8" t="n"/>
      <c r="B2811" s="9" t="n"/>
    </row>
    <row r="2812">
      <c r="A2812" s="8" t="n"/>
      <c r="B2812" s="9" t="n"/>
    </row>
    <row r="2813">
      <c r="A2813" s="8" t="n"/>
      <c r="B2813" s="9" t="n"/>
    </row>
    <row r="2814">
      <c r="A2814" s="8" t="n"/>
      <c r="B2814" s="9" t="n"/>
    </row>
    <row r="2815">
      <c r="A2815" s="8" t="n"/>
      <c r="B2815" s="9" t="n"/>
    </row>
    <row r="2816">
      <c r="A2816" s="8" t="n"/>
      <c r="B2816" s="9" t="n"/>
    </row>
    <row r="2817">
      <c r="A2817" s="8" t="n"/>
      <c r="B2817" s="9" t="n"/>
    </row>
    <row r="2818">
      <c r="A2818" s="8" t="n"/>
      <c r="B2818" s="9" t="n"/>
    </row>
    <row r="2819">
      <c r="A2819" s="8" t="n"/>
      <c r="B2819" s="9" t="n"/>
    </row>
    <row r="2820">
      <c r="A2820" s="8" t="n"/>
      <c r="B2820" s="9" t="n"/>
    </row>
    <row r="2821">
      <c r="A2821" s="8" t="n"/>
      <c r="B2821" s="9" t="n"/>
    </row>
    <row r="2822">
      <c r="A2822" s="8" t="n"/>
      <c r="B2822" s="9" t="n"/>
    </row>
    <row r="2823">
      <c r="A2823" s="8" t="n"/>
      <c r="B2823" s="9" t="n"/>
    </row>
    <row r="2824">
      <c r="A2824" s="8" t="n"/>
      <c r="B2824" s="9" t="n"/>
    </row>
    <row r="2825">
      <c r="A2825" s="8" t="n"/>
      <c r="B2825" s="9" t="n"/>
    </row>
    <row r="2826">
      <c r="A2826" s="8" t="n"/>
      <c r="B2826" s="9" t="n"/>
    </row>
    <row r="2827">
      <c r="A2827" s="8" t="n"/>
      <c r="B2827" s="9" t="n"/>
    </row>
    <row r="2828">
      <c r="A2828" s="8" t="n"/>
      <c r="B2828" s="9" t="n"/>
    </row>
    <row r="2829">
      <c r="A2829" s="8" t="n"/>
      <c r="B2829" s="9" t="n"/>
    </row>
    <row r="2830">
      <c r="A2830" s="8" t="n"/>
      <c r="B2830" s="9" t="n"/>
    </row>
    <row r="2831">
      <c r="A2831" s="8" t="n"/>
      <c r="B2831" s="9" t="n"/>
    </row>
    <row r="2832">
      <c r="A2832" s="8" t="n"/>
      <c r="B2832" s="9" t="n"/>
    </row>
    <row r="2833">
      <c r="A2833" s="8" t="n"/>
      <c r="B2833" s="9" t="n"/>
    </row>
    <row r="2834">
      <c r="A2834" s="8" t="n"/>
      <c r="B2834" s="9" t="n"/>
    </row>
    <row r="2835">
      <c r="A2835" s="8" t="n"/>
      <c r="B2835" s="9" t="n"/>
    </row>
    <row r="2836">
      <c r="A2836" s="8" t="n"/>
      <c r="B2836" s="9" t="n"/>
    </row>
    <row r="2837">
      <c r="A2837" s="8" t="n"/>
      <c r="B2837" s="9" t="n"/>
    </row>
    <row r="2838">
      <c r="A2838" s="8" t="n"/>
      <c r="B2838" s="9" t="n"/>
    </row>
    <row r="2839">
      <c r="A2839" s="8" t="n"/>
      <c r="B2839" s="9" t="n"/>
    </row>
    <row r="2840">
      <c r="A2840" s="8" t="n"/>
      <c r="B2840" s="9" t="n"/>
    </row>
    <row r="2841">
      <c r="A2841" s="8" t="n"/>
      <c r="B2841" s="9" t="n"/>
    </row>
    <row r="2842">
      <c r="A2842" s="8" t="n"/>
      <c r="B2842" s="9" t="n"/>
    </row>
    <row r="2843">
      <c r="A2843" s="8" t="n"/>
      <c r="B2843" s="9" t="n"/>
    </row>
    <row r="2844">
      <c r="A2844" s="8" t="n"/>
      <c r="B2844" s="9" t="n"/>
    </row>
    <row r="2845">
      <c r="A2845" s="8" t="n"/>
      <c r="B2845" s="9" t="n"/>
    </row>
    <row r="2846">
      <c r="A2846" s="8" t="n"/>
      <c r="B2846" s="9" t="n"/>
    </row>
    <row r="2847">
      <c r="A2847" s="8" t="n"/>
      <c r="B2847" s="9" t="n"/>
    </row>
    <row r="2848">
      <c r="A2848" s="8" t="n"/>
      <c r="B2848" s="9" t="n"/>
    </row>
    <row r="2849">
      <c r="A2849" s="8" t="n"/>
      <c r="B2849" s="9" t="n"/>
    </row>
    <row r="2850">
      <c r="A2850" s="8" t="n"/>
      <c r="B2850" s="9" t="n"/>
    </row>
    <row r="2851">
      <c r="A2851" s="8" t="n"/>
      <c r="B2851" s="9" t="n"/>
    </row>
    <row r="2852">
      <c r="A2852" s="8" t="n"/>
      <c r="B2852" s="9" t="n"/>
    </row>
    <row r="2853">
      <c r="A2853" s="8" t="n"/>
      <c r="B2853" s="9" t="n"/>
    </row>
    <row r="2854">
      <c r="A2854" s="8" t="n"/>
      <c r="B2854" s="9" t="n"/>
    </row>
    <row r="2855">
      <c r="A2855" s="8" t="n"/>
      <c r="B2855" s="9" t="n"/>
    </row>
    <row r="2856">
      <c r="A2856" s="8" t="n"/>
      <c r="B2856" s="9" t="n"/>
    </row>
    <row r="2857">
      <c r="A2857" s="8" t="n"/>
      <c r="B2857" s="9" t="n"/>
    </row>
    <row r="2858">
      <c r="A2858" s="8" t="n"/>
      <c r="B2858" s="9" t="n"/>
    </row>
    <row r="2859">
      <c r="A2859" s="8" t="n"/>
      <c r="B2859" s="9" t="n"/>
    </row>
    <row r="2860">
      <c r="A2860" s="8" t="n"/>
      <c r="B2860" s="9" t="n"/>
    </row>
    <row r="2861">
      <c r="A2861" s="8" t="n"/>
      <c r="B2861" s="9" t="n"/>
    </row>
    <row r="2862">
      <c r="A2862" s="8" t="n"/>
      <c r="B2862" s="9" t="n"/>
    </row>
    <row r="2863">
      <c r="A2863" s="8" t="n"/>
      <c r="B2863" s="9" t="n"/>
    </row>
    <row r="2864">
      <c r="A2864" s="8" t="n"/>
      <c r="B2864" s="9" t="n"/>
    </row>
    <row r="2865">
      <c r="A2865" s="8" t="n"/>
      <c r="B2865" s="9" t="n"/>
    </row>
    <row r="2866">
      <c r="A2866" s="8" t="n"/>
      <c r="B2866" s="9" t="n"/>
    </row>
    <row r="2867">
      <c r="A2867" s="8" t="n"/>
      <c r="B2867" s="9" t="n"/>
    </row>
    <row r="2868">
      <c r="A2868" s="8" t="n"/>
      <c r="B2868" s="9" t="n"/>
    </row>
    <row r="2869">
      <c r="A2869" s="8" t="n"/>
      <c r="B2869" s="9" t="n"/>
    </row>
    <row r="2870">
      <c r="A2870" s="8" t="n"/>
      <c r="B2870" s="9" t="n"/>
    </row>
    <row r="2871">
      <c r="A2871" s="8" t="n"/>
      <c r="B2871" s="9" t="n"/>
    </row>
    <row r="2872">
      <c r="A2872" s="8" t="n"/>
      <c r="B2872" s="9" t="n"/>
    </row>
    <row r="2873">
      <c r="A2873" s="8" t="n"/>
      <c r="B2873" s="9" t="n"/>
    </row>
    <row r="2874">
      <c r="A2874" s="8" t="n"/>
      <c r="B2874" s="9" t="n"/>
    </row>
    <row r="2875">
      <c r="A2875" s="8" t="n"/>
      <c r="B2875" s="9" t="n"/>
    </row>
    <row r="2876">
      <c r="A2876" s="8" t="n"/>
      <c r="B2876" s="9" t="n"/>
    </row>
    <row r="2877">
      <c r="A2877" s="8" t="n"/>
      <c r="B2877" s="9" t="n"/>
    </row>
    <row r="2878">
      <c r="A2878" s="8" t="n"/>
      <c r="B2878" s="9" t="n"/>
    </row>
    <row r="2879">
      <c r="A2879" s="8" t="n"/>
      <c r="B2879" s="9" t="n"/>
    </row>
    <row r="2880">
      <c r="A2880" s="8" t="n"/>
      <c r="B2880" s="9" t="n"/>
    </row>
    <row r="2881">
      <c r="A2881" s="8" t="n"/>
      <c r="B2881" s="9" t="n"/>
    </row>
    <row r="2882">
      <c r="A2882" s="8" t="n"/>
      <c r="B2882" s="9" t="n"/>
    </row>
    <row r="2883">
      <c r="A2883" s="8" t="n"/>
      <c r="B2883" s="9" t="n"/>
    </row>
    <row r="2884">
      <c r="A2884" s="8" t="n"/>
      <c r="B2884" s="9" t="n"/>
    </row>
    <row r="2885">
      <c r="A2885" s="8" t="n"/>
      <c r="B2885" s="9" t="n"/>
    </row>
    <row r="2886">
      <c r="A2886" s="8" t="n"/>
      <c r="B2886" s="9" t="n"/>
    </row>
    <row r="2887">
      <c r="A2887" s="8" t="n"/>
      <c r="B2887" s="9" t="n"/>
    </row>
    <row r="2888">
      <c r="A2888" s="8" t="n"/>
      <c r="B2888" s="9" t="n"/>
    </row>
    <row r="2889">
      <c r="A2889" s="8" t="n"/>
      <c r="B2889" s="9" t="n"/>
    </row>
    <row r="2890">
      <c r="A2890" s="8" t="n"/>
      <c r="B2890" s="9" t="n"/>
    </row>
    <row r="2891">
      <c r="A2891" s="8" t="n"/>
      <c r="B2891" s="9" t="n"/>
    </row>
    <row r="2892">
      <c r="A2892" s="8" t="n"/>
      <c r="B2892" s="9" t="n"/>
    </row>
    <row r="2893">
      <c r="A2893" s="8" t="n"/>
      <c r="B2893" s="9" t="n"/>
    </row>
    <row r="2894">
      <c r="A2894" s="8" t="n"/>
      <c r="B2894" s="9" t="n"/>
    </row>
    <row r="2895">
      <c r="A2895" s="8" t="n"/>
      <c r="B2895" s="9" t="n"/>
    </row>
    <row r="2896">
      <c r="A2896" s="8" t="n"/>
      <c r="B2896" s="9" t="n"/>
    </row>
    <row r="2897">
      <c r="A2897" s="8" t="n"/>
      <c r="B2897" s="9" t="n"/>
    </row>
    <row r="2898">
      <c r="A2898" s="8" t="n"/>
      <c r="B2898" s="9" t="n"/>
    </row>
    <row r="2899">
      <c r="A2899" s="8" t="n"/>
      <c r="B2899" s="9" t="n"/>
    </row>
    <row r="2900">
      <c r="A2900" s="8" t="n"/>
      <c r="B2900" s="9" t="n"/>
    </row>
    <row r="2901">
      <c r="A2901" s="8" t="n"/>
      <c r="B2901" s="9" t="n"/>
    </row>
    <row r="2902">
      <c r="A2902" s="8" t="n"/>
      <c r="B2902" s="9" t="n"/>
    </row>
    <row r="2903">
      <c r="A2903" s="8" t="n"/>
      <c r="B2903" s="9" t="n"/>
    </row>
    <row r="2904">
      <c r="A2904" s="8" t="n"/>
      <c r="B2904" s="9" t="n"/>
    </row>
    <row r="2905">
      <c r="A2905" s="8" t="n"/>
      <c r="B2905" s="9" t="n"/>
    </row>
    <row r="2906">
      <c r="A2906" s="8" t="n"/>
      <c r="B2906" s="9" t="n"/>
    </row>
    <row r="2907">
      <c r="A2907" s="8" t="n"/>
      <c r="B2907" s="9" t="n"/>
    </row>
    <row r="2908">
      <c r="A2908" s="8" t="n"/>
      <c r="B2908" s="9" t="n"/>
    </row>
    <row r="2909">
      <c r="A2909" s="8" t="n"/>
      <c r="B2909" s="9" t="n"/>
    </row>
    <row r="2910">
      <c r="A2910" s="8" t="n"/>
      <c r="B2910" s="9" t="n"/>
    </row>
    <row r="2911">
      <c r="A2911" s="8" t="n"/>
      <c r="B2911" s="9" t="n"/>
    </row>
    <row r="2912">
      <c r="A2912" s="8" t="n"/>
      <c r="B2912" s="9" t="n"/>
    </row>
    <row r="2913">
      <c r="A2913" s="8" t="n"/>
      <c r="B2913" s="9" t="n"/>
    </row>
    <row r="2914">
      <c r="A2914" s="8" t="n"/>
      <c r="B2914" s="9" t="n"/>
    </row>
    <row r="2915">
      <c r="A2915" s="8" t="n"/>
      <c r="B2915" s="9" t="n"/>
    </row>
    <row r="2916">
      <c r="A2916" s="8" t="n"/>
      <c r="B2916" s="9" t="n"/>
    </row>
    <row r="2917">
      <c r="A2917" s="8" t="n"/>
      <c r="B2917" s="9" t="n"/>
    </row>
    <row r="2918">
      <c r="A2918" s="8" t="n"/>
      <c r="B2918" s="9" t="n"/>
    </row>
    <row r="2919">
      <c r="A2919" s="8" t="n"/>
      <c r="B2919" s="9" t="n"/>
    </row>
    <row r="2920">
      <c r="A2920" s="8" t="n"/>
      <c r="B2920" s="9" t="n"/>
    </row>
    <row r="2921">
      <c r="A2921" s="8" t="n"/>
      <c r="B2921" s="9" t="n"/>
    </row>
    <row r="2922">
      <c r="A2922" s="8" t="n"/>
      <c r="B2922" s="9" t="n"/>
    </row>
    <row r="2923">
      <c r="A2923" s="8" t="n"/>
      <c r="B2923" s="9" t="n"/>
    </row>
    <row r="2924">
      <c r="A2924" s="8" t="n"/>
      <c r="B2924" s="9" t="n"/>
    </row>
    <row r="2925">
      <c r="A2925" s="8" t="n"/>
      <c r="B2925" s="9" t="n"/>
    </row>
    <row r="2926">
      <c r="A2926" s="8" t="n"/>
      <c r="B2926" s="9" t="n"/>
    </row>
    <row r="2927">
      <c r="A2927" s="8" t="n"/>
      <c r="B2927" s="9" t="n"/>
    </row>
    <row r="2928">
      <c r="A2928" s="8" t="n"/>
      <c r="B2928" s="9" t="n"/>
    </row>
    <row r="2929">
      <c r="A2929" s="8" t="n"/>
      <c r="B2929" s="9" t="n"/>
    </row>
    <row r="2930">
      <c r="A2930" s="8" t="n"/>
      <c r="B2930" s="9" t="n"/>
    </row>
    <row r="2931">
      <c r="A2931" s="8" t="n"/>
      <c r="B2931" s="9" t="n"/>
    </row>
    <row r="2932">
      <c r="A2932" s="8" t="n"/>
      <c r="B2932" s="9" t="n"/>
    </row>
    <row r="2933">
      <c r="A2933" s="8" t="n"/>
      <c r="B2933" s="9" t="n"/>
    </row>
    <row r="2934">
      <c r="A2934" s="8" t="n"/>
      <c r="B2934" s="9" t="n"/>
    </row>
    <row r="2935">
      <c r="A2935" s="8" t="n"/>
      <c r="B2935" s="9" t="n"/>
    </row>
    <row r="2936">
      <c r="A2936" s="8" t="n"/>
      <c r="B2936" s="9" t="n"/>
    </row>
    <row r="2937">
      <c r="A2937" s="8" t="n"/>
      <c r="B2937" s="9" t="n"/>
    </row>
    <row r="2938">
      <c r="A2938" s="8" t="n"/>
      <c r="B2938" s="9" t="n"/>
    </row>
    <row r="2939">
      <c r="A2939" s="8" t="n"/>
      <c r="B2939" s="9" t="n"/>
    </row>
    <row r="2940">
      <c r="A2940" s="8" t="n"/>
      <c r="B2940" s="9" t="n"/>
    </row>
    <row r="2941">
      <c r="A2941" s="8" t="n"/>
      <c r="B2941" s="9" t="n"/>
    </row>
    <row r="2942">
      <c r="A2942" s="8" t="n"/>
      <c r="B2942" s="9" t="n"/>
    </row>
    <row r="2943">
      <c r="A2943" s="8" t="n"/>
      <c r="B2943" s="9" t="n"/>
    </row>
    <row r="2944">
      <c r="A2944" s="8" t="n"/>
      <c r="B2944" s="9" t="n"/>
    </row>
    <row r="2945">
      <c r="A2945" s="8" t="n"/>
      <c r="B2945" s="9" t="n"/>
    </row>
    <row r="2946">
      <c r="A2946" s="8" t="n"/>
      <c r="B2946" s="9" t="n"/>
    </row>
    <row r="2947">
      <c r="A2947" s="8" t="n"/>
      <c r="B2947" s="9" t="n"/>
    </row>
    <row r="2948">
      <c r="A2948" s="8" t="n"/>
      <c r="B2948" s="9" t="n"/>
    </row>
    <row r="2949">
      <c r="A2949" s="8" t="n"/>
      <c r="B2949" s="9" t="n"/>
    </row>
    <row r="2950">
      <c r="A2950" s="8" t="n"/>
      <c r="B2950" s="9" t="n"/>
    </row>
    <row r="2951">
      <c r="A2951" s="8" t="n"/>
      <c r="B2951" s="9" t="n"/>
    </row>
    <row r="2952">
      <c r="A2952" s="8" t="n"/>
      <c r="B2952" s="9" t="n"/>
    </row>
    <row r="2953">
      <c r="A2953" s="8" t="n"/>
      <c r="B2953" s="9" t="n"/>
    </row>
    <row r="2954">
      <c r="A2954" s="8" t="n"/>
      <c r="B2954" s="9" t="n"/>
    </row>
    <row r="2955">
      <c r="A2955" s="8" t="n"/>
      <c r="B2955" s="9" t="n"/>
    </row>
    <row r="2956">
      <c r="A2956" s="8" t="n"/>
      <c r="B2956" s="9" t="n"/>
    </row>
    <row r="2957">
      <c r="A2957" s="8" t="n"/>
      <c r="B2957" s="9" t="n"/>
    </row>
    <row r="2958">
      <c r="A2958" s="8" t="n"/>
      <c r="B2958" s="9" t="n"/>
    </row>
    <row r="2959">
      <c r="A2959" s="8" t="n"/>
      <c r="B2959" s="9" t="n"/>
    </row>
    <row r="2960">
      <c r="A2960" s="8" t="n"/>
      <c r="B2960" s="9" t="n"/>
    </row>
    <row r="2961">
      <c r="A2961" s="8" t="n"/>
      <c r="B2961" s="9" t="n"/>
    </row>
    <row r="2962">
      <c r="A2962" s="8" t="n"/>
      <c r="B2962" s="9" t="n"/>
    </row>
    <row r="2963">
      <c r="A2963" s="8" t="n"/>
      <c r="B2963" s="9" t="n"/>
    </row>
    <row r="2964">
      <c r="A2964" s="8" t="n"/>
      <c r="B2964" s="9" t="n"/>
    </row>
    <row r="2965">
      <c r="A2965" s="8" t="n"/>
      <c r="B2965" s="9" t="n"/>
    </row>
    <row r="2966">
      <c r="A2966" s="8" t="n"/>
      <c r="B2966" s="9" t="n"/>
    </row>
    <row r="2967">
      <c r="A2967" s="8" t="n"/>
      <c r="B2967" s="9" t="n"/>
    </row>
    <row r="2968">
      <c r="A2968" s="8" t="n"/>
      <c r="B2968" s="9" t="n"/>
    </row>
    <row r="2969">
      <c r="A2969" s="8" t="n"/>
      <c r="B2969" s="9" t="n"/>
    </row>
    <row r="2970">
      <c r="A2970" s="8" t="n"/>
      <c r="B2970" s="9" t="n"/>
    </row>
    <row r="2971">
      <c r="A2971" s="8" t="n"/>
      <c r="B2971" s="9" t="n"/>
    </row>
    <row r="2972">
      <c r="A2972" s="8" t="n"/>
      <c r="B2972" s="9" t="n"/>
    </row>
    <row r="2973">
      <c r="A2973" s="8" t="n"/>
      <c r="B2973" s="9" t="n"/>
    </row>
    <row r="2974">
      <c r="A2974" s="8" t="n"/>
      <c r="B2974" s="9" t="n"/>
    </row>
    <row r="2975">
      <c r="A2975" s="8" t="n"/>
      <c r="B2975" s="9" t="n"/>
    </row>
    <row r="2976">
      <c r="A2976" s="8" t="n"/>
      <c r="B2976" s="9" t="n"/>
    </row>
    <row r="2977">
      <c r="A2977" s="8" t="n"/>
      <c r="B2977" s="9" t="n"/>
    </row>
    <row r="2978">
      <c r="A2978" s="8" t="n"/>
      <c r="B2978" s="9" t="n"/>
    </row>
    <row r="2979">
      <c r="A2979" s="8" t="n"/>
      <c r="B2979" s="9" t="n"/>
    </row>
    <row r="2980">
      <c r="A2980" s="8" t="n"/>
      <c r="B2980" s="9" t="n"/>
    </row>
    <row r="2981">
      <c r="A2981" s="8" t="n"/>
      <c r="B2981" s="9" t="n"/>
    </row>
    <row r="2982">
      <c r="A2982" s="8" t="n"/>
      <c r="B2982" s="9" t="n"/>
    </row>
    <row r="2983">
      <c r="A2983" s="8" t="n"/>
      <c r="B2983" s="9" t="n"/>
    </row>
    <row r="2984">
      <c r="A2984" s="8" t="n"/>
      <c r="B2984" s="9" t="n"/>
    </row>
    <row r="2985">
      <c r="A2985" s="8" t="n"/>
      <c r="B2985" s="9" t="n"/>
    </row>
    <row r="2986">
      <c r="A2986" s="8" t="n"/>
      <c r="B2986" s="9" t="n"/>
    </row>
    <row r="2987">
      <c r="A2987" s="8" t="n"/>
      <c r="B2987" s="9" t="n"/>
    </row>
    <row r="2988">
      <c r="A2988" s="8" t="n"/>
      <c r="B2988" s="9" t="n"/>
    </row>
    <row r="2989">
      <c r="A2989" s="8" t="n"/>
      <c r="B2989" s="9" t="n"/>
    </row>
    <row r="2990">
      <c r="A2990" s="8" t="n"/>
      <c r="B2990" s="9" t="n"/>
    </row>
    <row r="2991">
      <c r="A2991" s="8" t="n"/>
      <c r="B2991" s="9" t="n"/>
    </row>
    <row r="2992">
      <c r="A2992" s="8" t="n"/>
      <c r="B2992" s="9" t="n"/>
    </row>
    <row r="2993">
      <c r="A2993" s="8" t="n"/>
      <c r="B2993" s="9" t="n"/>
    </row>
    <row r="2994">
      <c r="A2994" s="8" t="n"/>
      <c r="B2994" s="9" t="n"/>
    </row>
    <row r="2995">
      <c r="A2995" s="8" t="n"/>
      <c r="B2995" s="9" t="n"/>
    </row>
    <row r="2996">
      <c r="A2996" s="8" t="n"/>
      <c r="B2996" s="9" t="n"/>
    </row>
    <row r="2997">
      <c r="A2997" s="8" t="n"/>
      <c r="B2997" s="9" t="n"/>
    </row>
    <row r="2998">
      <c r="A2998" s="8" t="n"/>
      <c r="B2998" s="9" t="n"/>
    </row>
    <row r="2999">
      <c r="A2999" s="8" t="n"/>
      <c r="B2999" s="9" t="n"/>
    </row>
    <row r="3000">
      <c r="A3000" s="8" t="n"/>
      <c r="B3000" s="9" t="n"/>
    </row>
    <row r="3001">
      <c r="A3001" s="8" t="n"/>
      <c r="B3001" s="9" t="n"/>
    </row>
    <row r="3002">
      <c r="A3002" s="8" t="n"/>
      <c r="B3002" s="9" t="n"/>
    </row>
    <row r="3003">
      <c r="A3003" s="8" t="n"/>
      <c r="B3003" s="9" t="n"/>
    </row>
    <row r="3004">
      <c r="A3004" s="8" t="n"/>
      <c r="B3004" s="9" t="n"/>
    </row>
    <row r="3005">
      <c r="A3005" s="8" t="n"/>
      <c r="B3005" s="9" t="n"/>
    </row>
    <row r="3006">
      <c r="A3006" s="8" t="n"/>
      <c r="B3006" s="9" t="n"/>
    </row>
    <row r="3007">
      <c r="A3007" s="8" t="n"/>
      <c r="B3007" s="9" t="n"/>
    </row>
    <row r="3008">
      <c r="A3008" s="8" t="n"/>
      <c r="B3008" s="9" t="n"/>
    </row>
    <row r="3009">
      <c r="A3009" s="8" t="n"/>
      <c r="B3009" s="9" t="n"/>
    </row>
    <row r="3010">
      <c r="A3010" s="8" t="n"/>
      <c r="B3010" s="9" t="n"/>
    </row>
    <row r="3011">
      <c r="A3011" s="8" t="n"/>
      <c r="B3011" s="9" t="n"/>
    </row>
    <row r="3012">
      <c r="A3012" s="8" t="n"/>
      <c r="B3012" s="9" t="n"/>
    </row>
    <row r="3013">
      <c r="A3013" s="8" t="n"/>
      <c r="B3013" s="9" t="n"/>
    </row>
    <row r="3014">
      <c r="A3014" s="8" t="n"/>
      <c r="B3014" s="9" t="n"/>
    </row>
    <row r="3015">
      <c r="A3015" s="8" t="n"/>
      <c r="B3015" s="9" t="n"/>
    </row>
    <row r="3016">
      <c r="A3016" s="8" t="n"/>
      <c r="B3016" s="9" t="n"/>
    </row>
    <row r="3017">
      <c r="A3017" s="8" t="n"/>
      <c r="B3017" s="9" t="n"/>
    </row>
    <row r="3018">
      <c r="A3018" s="8" t="n"/>
      <c r="B3018" s="9" t="n"/>
    </row>
    <row r="3019">
      <c r="A3019" s="8" t="n"/>
      <c r="B3019" s="9" t="n"/>
    </row>
    <row r="3020">
      <c r="A3020" s="8" t="n"/>
      <c r="B3020" s="9" t="n"/>
    </row>
    <row r="3021">
      <c r="A3021" s="8" t="n"/>
      <c r="B3021" s="9" t="n"/>
    </row>
    <row r="3022">
      <c r="A3022" s="8" t="n"/>
      <c r="B3022" s="9" t="n"/>
    </row>
    <row r="3023">
      <c r="A3023" s="8" t="n"/>
      <c r="B3023" s="9" t="n"/>
    </row>
    <row r="3024">
      <c r="A3024" s="8" t="n"/>
      <c r="B3024" s="9" t="n"/>
    </row>
    <row r="3025">
      <c r="A3025" s="8" t="n"/>
      <c r="B3025" s="9" t="n"/>
    </row>
    <row r="3026">
      <c r="A3026" s="8" t="n"/>
      <c r="B3026" s="9" t="n"/>
    </row>
    <row r="3027">
      <c r="A3027" s="8" t="n"/>
      <c r="B3027" s="9" t="n"/>
    </row>
    <row r="3028">
      <c r="A3028" s="8" t="n"/>
      <c r="B3028" s="9" t="n"/>
    </row>
    <row r="3029">
      <c r="A3029" s="8" t="n"/>
      <c r="B3029" s="9" t="n"/>
    </row>
    <row r="3030">
      <c r="A3030" s="8" t="n"/>
      <c r="B3030" s="9" t="n"/>
    </row>
    <row r="3031">
      <c r="A3031" s="8" t="n"/>
      <c r="B3031" s="9" t="n"/>
    </row>
    <row r="3032">
      <c r="A3032" s="8" t="n"/>
      <c r="B3032" s="9" t="n"/>
    </row>
    <row r="3033">
      <c r="A3033" s="8" t="n"/>
      <c r="B3033" s="9" t="n"/>
    </row>
    <row r="3034">
      <c r="A3034" s="8" t="n"/>
      <c r="B3034" s="9" t="n"/>
    </row>
    <row r="3035">
      <c r="A3035" s="8" t="n"/>
      <c r="B3035" s="9" t="n"/>
    </row>
    <row r="3036">
      <c r="A3036" s="8" t="n"/>
      <c r="B3036" s="9" t="n"/>
    </row>
    <row r="3037">
      <c r="A3037" s="8" t="n"/>
      <c r="B3037" s="9" t="n"/>
    </row>
    <row r="3038">
      <c r="A3038" s="8" t="n"/>
      <c r="B3038" s="9" t="n"/>
    </row>
    <row r="3039">
      <c r="A3039" s="8" t="n"/>
      <c r="B3039" s="9" t="n"/>
    </row>
    <row r="3040">
      <c r="A3040" s="8" t="n"/>
      <c r="B3040" s="9" t="n"/>
    </row>
    <row r="3041">
      <c r="A3041" s="8" t="n"/>
      <c r="B3041" s="9" t="n"/>
    </row>
    <row r="3042">
      <c r="A3042" s="8" t="n"/>
      <c r="B3042" s="9" t="n"/>
    </row>
    <row r="3043">
      <c r="A3043" s="8" t="n"/>
      <c r="B3043" s="9" t="n"/>
    </row>
    <row r="3044">
      <c r="A3044" s="8" t="n"/>
      <c r="B3044" s="9" t="n"/>
    </row>
    <row r="3045">
      <c r="A3045" s="8" t="n"/>
      <c r="B3045" s="9" t="n"/>
    </row>
    <row r="3046">
      <c r="A3046" s="8" t="n"/>
      <c r="B3046" s="9" t="n"/>
    </row>
    <row r="3047">
      <c r="A3047" s="8" t="n"/>
      <c r="B3047" s="9" t="n"/>
    </row>
    <row r="3048">
      <c r="A3048" s="8" t="n"/>
      <c r="B3048" s="9" t="n"/>
    </row>
    <row r="3049">
      <c r="A3049" s="8" t="n"/>
      <c r="B3049" s="9" t="n"/>
    </row>
    <row r="3050">
      <c r="A3050" s="8" t="n"/>
      <c r="B3050" s="9" t="n"/>
    </row>
    <row r="3051">
      <c r="A3051" s="8" t="n"/>
      <c r="B3051" s="9" t="n"/>
    </row>
    <row r="3052">
      <c r="A3052" s="8" t="n"/>
      <c r="B3052" s="9" t="n"/>
    </row>
    <row r="3053">
      <c r="A3053" s="8" t="n"/>
      <c r="B3053" s="9" t="n"/>
    </row>
    <row r="3054">
      <c r="A3054" s="8" t="n"/>
      <c r="B3054" s="9" t="n"/>
    </row>
    <row r="3055">
      <c r="A3055" s="8" t="n"/>
      <c r="B3055" s="9" t="n"/>
    </row>
    <row r="3056">
      <c r="A3056" s="8" t="n"/>
      <c r="B3056" s="9" t="n"/>
    </row>
    <row r="3057">
      <c r="A3057" s="8" t="n"/>
      <c r="B3057" s="9" t="n"/>
    </row>
    <row r="3058">
      <c r="A3058" s="8" t="n"/>
      <c r="B3058" s="9" t="n"/>
    </row>
    <row r="3059">
      <c r="A3059" s="8" t="n"/>
      <c r="B3059" s="9" t="n"/>
    </row>
    <row r="3060">
      <c r="A3060" s="8" t="n"/>
      <c r="B3060" s="9" t="n"/>
    </row>
    <row r="3061">
      <c r="A3061" s="8" t="n"/>
      <c r="B3061" s="9" t="n"/>
    </row>
    <row r="3062">
      <c r="A3062" s="8" t="n"/>
      <c r="B3062" s="9" t="n"/>
    </row>
    <row r="3063">
      <c r="A3063" s="8" t="n"/>
      <c r="B3063" s="9" t="n"/>
    </row>
    <row r="3064">
      <c r="A3064" s="8" t="n"/>
      <c r="B3064" s="9" t="n"/>
    </row>
    <row r="3065">
      <c r="A3065" s="8" t="n"/>
      <c r="B3065" s="9" t="n"/>
    </row>
    <row r="3066">
      <c r="A3066" s="8" t="n"/>
      <c r="B3066" s="9" t="n"/>
    </row>
    <row r="3067">
      <c r="A3067" s="8" t="n"/>
      <c r="B3067" s="9" t="n"/>
    </row>
    <row r="3068">
      <c r="A3068" s="8" t="n"/>
      <c r="B3068" s="9" t="n"/>
    </row>
    <row r="3069">
      <c r="A3069" s="8" t="n"/>
      <c r="B3069" s="9" t="n"/>
    </row>
    <row r="3070">
      <c r="A3070" s="8" t="n"/>
      <c r="B3070" s="9" t="n"/>
    </row>
    <row r="3071">
      <c r="A3071" s="8" t="n"/>
      <c r="B3071" s="9" t="n"/>
    </row>
    <row r="3072">
      <c r="A3072" s="8" t="n"/>
      <c r="B3072" s="9" t="n"/>
    </row>
    <row r="3073">
      <c r="A3073" s="8" t="n"/>
      <c r="B3073" s="9" t="n"/>
    </row>
    <row r="3074">
      <c r="A3074" s="8" t="n"/>
      <c r="B3074" s="9" t="n"/>
    </row>
    <row r="3075">
      <c r="A3075" s="8" t="n"/>
      <c r="B3075" s="9" t="n"/>
    </row>
    <row r="3076">
      <c r="A3076" s="8" t="n"/>
      <c r="B3076" s="9" t="n"/>
    </row>
    <row r="3077">
      <c r="A3077" s="8" t="n"/>
      <c r="B3077" s="9" t="n"/>
    </row>
    <row r="3078">
      <c r="A3078" s="8" t="n"/>
      <c r="B3078" s="9" t="n"/>
    </row>
    <row r="3079">
      <c r="A3079" s="8" t="n"/>
      <c r="B3079" s="9" t="n"/>
    </row>
    <row r="3080">
      <c r="A3080" s="8" t="n"/>
      <c r="B3080" s="9" t="n"/>
    </row>
    <row r="3081">
      <c r="A3081" s="8" t="n"/>
      <c r="B3081" s="9" t="n"/>
    </row>
    <row r="3082">
      <c r="A3082" s="8" t="n"/>
      <c r="B3082" s="9" t="n"/>
    </row>
    <row r="3083">
      <c r="A3083" s="8" t="n"/>
      <c r="B3083" s="9" t="n"/>
    </row>
    <row r="3084">
      <c r="A3084" s="8" t="n"/>
      <c r="B3084" s="9" t="n"/>
    </row>
    <row r="3085">
      <c r="A3085" s="8" t="n"/>
      <c r="B3085" s="9" t="n"/>
    </row>
    <row r="3086">
      <c r="A3086" s="8" t="n"/>
      <c r="B3086" s="9" t="n"/>
    </row>
    <row r="3087">
      <c r="A3087" s="8" t="n"/>
      <c r="B3087" s="9" t="n"/>
    </row>
    <row r="3088">
      <c r="A3088" s="8" t="n"/>
      <c r="B3088" s="9" t="n"/>
    </row>
    <row r="3089">
      <c r="A3089" s="8" t="n"/>
      <c r="B3089" s="9" t="n"/>
    </row>
    <row r="3090">
      <c r="A3090" s="8" t="n"/>
      <c r="B3090" s="9" t="n"/>
    </row>
    <row r="3091">
      <c r="A3091" s="8" t="n"/>
      <c r="B3091" s="9" t="n"/>
    </row>
    <row r="3092">
      <c r="A3092" s="8" t="n"/>
      <c r="B3092" s="9" t="n"/>
    </row>
    <row r="3093">
      <c r="A3093" s="8" t="n"/>
      <c r="B3093" s="9" t="n"/>
    </row>
    <row r="3094">
      <c r="A3094" s="8" t="n"/>
      <c r="B3094" s="9" t="n"/>
    </row>
    <row r="3095">
      <c r="A3095" s="8" t="n"/>
      <c r="B3095" s="9" t="n"/>
    </row>
    <row r="3096">
      <c r="A3096" s="8" t="n"/>
      <c r="B3096" s="9" t="n"/>
    </row>
    <row r="3097">
      <c r="A3097" s="8" t="n"/>
      <c r="B3097" s="9" t="n"/>
    </row>
    <row r="3098">
      <c r="A3098" s="8" t="n"/>
      <c r="B3098" s="9" t="n"/>
    </row>
    <row r="3099">
      <c r="A3099" s="8" t="n"/>
      <c r="B3099" s="9" t="n"/>
    </row>
    <row r="3100">
      <c r="A3100" s="8" t="n"/>
      <c r="B3100" s="9" t="n"/>
    </row>
    <row r="3101">
      <c r="A3101" s="8" t="n"/>
      <c r="B3101" s="9" t="n"/>
    </row>
    <row r="3102">
      <c r="A3102" s="8" t="n"/>
      <c r="B3102" s="9" t="n"/>
    </row>
    <row r="3103">
      <c r="A3103" s="8" t="n"/>
      <c r="B3103" s="9" t="n"/>
    </row>
    <row r="3104">
      <c r="A3104" s="8" t="n"/>
      <c r="B3104" s="9" t="n"/>
    </row>
    <row r="3105">
      <c r="A3105" s="8" t="n"/>
      <c r="B3105" s="9" t="n"/>
    </row>
    <row r="3106">
      <c r="A3106" s="8" t="n"/>
      <c r="B3106" s="9" t="n"/>
    </row>
    <row r="3107">
      <c r="A3107" s="8" t="n"/>
      <c r="B3107" s="9" t="n"/>
    </row>
    <row r="3108">
      <c r="A3108" s="8" t="n"/>
      <c r="B3108" s="9" t="n"/>
    </row>
    <row r="3109">
      <c r="A3109" s="8" t="n"/>
      <c r="B3109" s="9" t="n"/>
    </row>
    <row r="3110">
      <c r="A3110" s="8" t="n"/>
      <c r="B3110" s="9" t="n"/>
    </row>
    <row r="3111">
      <c r="A3111" s="8" t="n"/>
      <c r="B3111" s="9" t="n"/>
    </row>
    <row r="3112">
      <c r="A3112" s="8" t="n"/>
      <c r="B3112" s="9" t="n"/>
    </row>
    <row r="3113">
      <c r="A3113" s="8" t="n"/>
      <c r="B3113" s="9" t="n"/>
    </row>
    <row r="3114">
      <c r="A3114" s="8" t="n"/>
      <c r="B3114" s="9" t="n"/>
    </row>
    <row r="3115">
      <c r="A3115" s="8" t="n"/>
      <c r="B3115" s="9" t="n"/>
    </row>
    <row r="3116">
      <c r="A3116" s="8" t="n"/>
      <c r="B3116" s="9" t="n"/>
    </row>
    <row r="3117">
      <c r="A3117" s="8" t="n"/>
      <c r="B3117" s="9" t="n"/>
    </row>
    <row r="3118">
      <c r="A3118" s="8" t="n"/>
      <c r="B3118" s="9" t="n"/>
    </row>
    <row r="3119">
      <c r="A3119" s="8" t="n"/>
      <c r="B3119" s="9" t="n"/>
    </row>
    <row r="3120">
      <c r="A3120" s="8" t="n"/>
      <c r="B3120" s="9" t="n"/>
    </row>
    <row r="3121">
      <c r="A3121" s="8" t="n"/>
      <c r="B3121" s="9" t="n"/>
    </row>
    <row r="3122">
      <c r="A3122" s="8" t="n"/>
      <c r="B3122" s="9" t="n"/>
    </row>
    <row r="3123">
      <c r="A3123" s="8" t="n"/>
      <c r="B3123" s="9" t="n"/>
    </row>
    <row r="3124">
      <c r="A3124" s="8" t="n"/>
      <c r="B3124" s="9" t="n"/>
    </row>
    <row r="3125">
      <c r="A3125" s="8" t="n"/>
      <c r="B3125" s="9" t="n"/>
    </row>
    <row r="3126">
      <c r="A3126" s="8" t="n"/>
      <c r="B3126" s="9" t="n"/>
    </row>
    <row r="3127">
      <c r="A3127" s="8" t="n"/>
      <c r="B3127" s="9" t="n"/>
    </row>
    <row r="3128">
      <c r="A3128" s="8" t="n"/>
      <c r="B3128" s="9" t="n"/>
    </row>
    <row r="3129">
      <c r="A3129" s="8" t="n"/>
      <c r="B3129" s="9" t="n"/>
    </row>
    <row r="3130">
      <c r="A3130" s="8" t="n"/>
      <c r="B3130" s="9" t="n"/>
    </row>
    <row r="3131">
      <c r="A3131" s="8" t="n"/>
      <c r="B3131" s="9" t="n"/>
    </row>
    <row r="3132">
      <c r="A3132" s="8" t="n"/>
      <c r="B3132" s="9" t="n"/>
    </row>
    <row r="3133">
      <c r="A3133" s="8" t="n"/>
      <c r="B3133" s="9" t="n"/>
    </row>
    <row r="3134">
      <c r="A3134" s="8" t="n"/>
      <c r="B3134" s="9" t="n"/>
    </row>
    <row r="3135">
      <c r="A3135" s="8" t="n"/>
      <c r="B3135" s="9" t="n"/>
    </row>
    <row r="3136">
      <c r="A3136" s="8" t="n"/>
      <c r="B3136" s="9" t="n"/>
    </row>
    <row r="3137">
      <c r="A3137" s="8" t="n"/>
      <c r="B3137" s="9" t="n"/>
    </row>
    <row r="3138">
      <c r="A3138" s="8" t="n"/>
      <c r="B3138" s="9" t="n"/>
    </row>
    <row r="3139">
      <c r="A3139" s="8" t="n"/>
      <c r="B3139" s="9" t="n"/>
    </row>
    <row r="3140">
      <c r="A3140" s="8" t="n"/>
      <c r="B3140" s="9" t="n"/>
    </row>
    <row r="3141">
      <c r="A3141" s="8" t="n"/>
      <c r="B3141" s="9" t="n"/>
    </row>
    <row r="3142">
      <c r="A3142" s="8" t="n"/>
      <c r="B3142" s="9" t="n"/>
    </row>
    <row r="3143">
      <c r="A3143" s="8" t="n"/>
      <c r="B3143" s="9" t="n"/>
    </row>
    <row r="3144">
      <c r="A3144" s="8" t="n"/>
      <c r="B3144" s="9" t="n"/>
    </row>
    <row r="3145">
      <c r="A3145" s="8" t="n"/>
      <c r="B3145" s="9" t="n"/>
    </row>
    <row r="3146">
      <c r="A3146" s="8" t="n"/>
      <c r="B3146" s="9" t="n"/>
    </row>
    <row r="3147">
      <c r="A3147" s="8" t="n"/>
      <c r="B3147" s="9" t="n"/>
    </row>
    <row r="3148">
      <c r="A3148" s="8" t="n"/>
      <c r="B3148" s="9" t="n"/>
    </row>
    <row r="3149">
      <c r="A3149" s="8" t="n"/>
      <c r="B3149" s="9" t="n"/>
    </row>
    <row r="3150">
      <c r="A3150" s="8" t="n"/>
      <c r="B3150" s="9" t="n"/>
    </row>
    <row r="3151">
      <c r="A3151" s="8" t="n"/>
      <c r="B3151" s="9" t="n"/>
    </row>
    <row r="3152">
      <c r="A3152" s="8" t="n"/>
      <c r="B3152" s="9" t="n"/>
    </row>
    <row r="3153">
      <c r="A3153" s="8" t="n"/>
      <c r="B3153" s="9" t="n"/>
    </row>
    <row r="3154">
      <c r="A3154" s="8" t="n"/>
      <c r="B3154" s="9" t="n"/>
    </row>
    <row r="3155">
      <c r="A3155" s="8" t="n"/>
      <c r="B3155" s="9" t="n"/>
    </row>
    <row r="3156">
      <c r="A3156" s="8" t="n"/>
      <c r="B3156" s="9" t="n"/>
    </row>
    <row r="3157">
      <c r="A3157" s="8" t="n"/>
      <c r="B3157" s="9" t="n"/>
    </row>
    <row r="3158">
      <c r="A3158" s="8" t="n"/>
      <c r="B3158" s="9" t="n"/>
    </row>
    <row r="3159">
      <c r="A3159" s="8" t="n"/>
      <c r="B3159" s="9" t="n"/>
    </row>
    <row r="3160">
      <c r="A3160" s="8" t="n"/>
      <c r="B3160" s="9" t="n"/>
    </row>
    <row r="3161">
      <c r="A3161" s="8" t="n"/>
      <c r="B3161" s="9" t="n"/>
    </row>
    <row r="3162">
      <c r="A3162" s="8" t="n"/>
      <c r="B3162" s="9" t="n"/>
    </row>
    <row r="3163">
      <c r="A3163" s="8" t="n"/>
      <c r="B3163" s="9" t="n"/>
    </row>
    <row r="3164">
      <c r="A3164" s="8" t="n"/>
      <c r="B3164" s="9" t="n"/>
    </row>
    <row r="3165">
      <c r="A3165" s="8" t="n"/>
      <c r="B3165" s="9" t="n"/>
    </row>
    <row r="3166">
      <c r="A3166" s="8" t="n"/>
      <c r="B3166" s="9" t="n"/>
    </row>
    <row r="3167">
      <c r="A3167" s="8" t="n"/>
      <c r="B3167" s="9" t="n"/>
    </row>
    <row r="3168">
      <c r="A3168" s="8" t="n"/>
      <c r="B3168" s="9" t="n"/>
    </row>
    <row r="3169">
      <c r="A3169" s="8" t="n"/>
      <c r="B3169" s="9" t="n"/>
    </row>
    <row r="3170">
      <c r="A3170" s="8" t="n"/>
      <c r="B3170" s="9" t="n"/>
    </row>
    <row r="3171">
      <c r="A3171" s="8" t="n"/>
      <c r="B3171" s="9" t="n"/>
    </row>
    <row r="3172">
      <c r="A3172" s="8" t="n"/>
      <c r="B3172" s="9" t="n"/>
    </row>
    <row r="3173">
      <c r="A3173" s="8" t="n"/>
      <c r="B3173" s="9" t="n"/>
    </row>
    <row r="3174">
      <c r="A3174" s="8" t="n"/>
      <c r="B3174" s="9" t="n"/>
    </row>
    <row r="3175">
      <c r="A3175" s="8" t="n"/>
      <c r="B3175" s="9" t="n"/>
    </row>
    <row r="3176">
      <c r="A3176" s="8" t="n"/>
      <c r="B3176" s="9" t="n"/>
    </row>
    <row r="3177">
      <c r="A3177" s="8" t="n"/>
      <c r="B3177" s="9" t="n"/>
    </row>
    <row r="3178">
      <c r="A3178" s="8" t="n"/>
      <c r="B3178" s="9" t="n"/>
    </row>
    <row r="3179">
      <c r="A3179" s="8" t="n"/>
      <c r="B3179" s="9" t="n"/>
    </row>
    <row r="3180">
      <c r="A3180" s="8" t="n"/>
      <c r="B3180" s="9" t="n"/>
    </row>
    <row r="3181">
      <c r="A3181" s="8" t="n"/>
      <c r="B3181" s="9" t="n"/>
    </row>
    <row r="3182">
      <c r="A3182" s="8" t="n"/>
      <c r="B3182" s="9" t="n"/>
    </row>
    <row r="3183">
      <c r="A3183" s="8" t="n"/>
      <c r="B3183" s="9" t="n"/>
    </row>
    <row r="3184">
      <c r="A3184" s="8" t="n"/>
      <c r="B3184" s="9" t="n"/>
    </row>
    <row r="3185">
      <c r="A3185" s="8" t="n"/>
      <c r="B3185" s="9" t="n"/>
    </row>
    <row r="3186">
      <c r="A3186" s="8" t="n"/>
      <c r="B3186" s="9" t="n"/>
    </row>
    <row r="3187">
      <c r="A3187" s="8" t="n"/>
      <c r="B3187" s="9" t="n"/>
    </row>
    <row r="3188">
      <c r="A3188" s="8" t="n"/>
      <c r="B3188" s="9" t="n"/>
    </row>
    <row r="3189">
      <c r="A3189" s="8" t="n"/>
      <c r="B3189" s="9" t="n"/>
    </row>
    <row r="3190">
      <c r="A3190" s="8" t="n"/>
      <c r="B3190" s="9" t="n"/>
    </row>
    <row r="3191">
      <c r="A3191" s="8" t="n"/>
      <c r="B3191" s="9" t="n"/>
    </row>
    <row r="3192">
      <c r="A3192" s="8" t="n"/>
      <c r="B3192" s="9" t="n"/>
    </row>
    <row r="3193">
      <c r="A3193" s="8" t="n"/>
      <c r="B3193" s="9" t="n"/>
    </row>
    <row r="3194">
      <c r="A3194" s="8" t="n"/>
      <c r="B3194" s="9" t="n"/>
    </row>
    <row r="3195">
      <c r="A3195" s="8" t="n"/>
      <c r="B3195" s="9" t="n"/>
    </row>
    <row r="3196">
      <c r="A3196" s="8" t="n"/>
      <c r="B3196" s="9" t="n"/>
    </row>
    <row r="3197">
      <c r="A3197" s="8" t="n"/>
      <c r="B3197" s="9" t="n"/>
    </row>
    <row r="3198">
      <c r="A3198" s="8" t="n"/>
      <c r="B3198" s="9" t="n"/>
    </row>
    <row r="3199">
      <c r="A3199" s="8" t="n"/>
      <c r="B3199" s="9" t="n"/>
    </row>
    <row r="3200">
      <c r="A3200" s="8" t="n"/>
      <c r="B3200" s="9" t="n"/>
    </row>
    <row r="3201">
      <c r="A3201" s="8" t="n"/>
      <c r="B3201" s="9" t="n"/>
    </row>
    <row r="3202">
      <c r="A3202" s="8" t="n"/>
      <c r="B3202" s="9" t="n"/>
    </row>
    <row r="3203">
      <c r="A3203" s="8" t="n"/>
      <c r="B3203" s="9" t="n"/>
    </row>
    <row r="3204">
      <c r="A3204" s="8" t="n"/>
      <c r="B3204" s="9" t="n"/>
    </row>
    <row r="3205">
      <c r="A3205" s="8" t="n"/>
      <c r="B3205" s="9" t="n"/>
    </row>
    <row r="3206">
      <c r="A3206" s="8" t="n"/>
      <c r="B3206" s="9" t="n"/>
    </row>
    <row r="3207">
      <c r="A3207" s="8" t="n"/>
      <c r="B3207" s="9" t="n"/>
    </row>
    <row r="3208">
      <c r="A3208" s="8" t="n"/>
      <c r="B3208" s="9" t="n"/>
    </row>
    <row r="3209">
      <c r="A3209" s="8" t="n"/>
      <c r="B3209" s="9" t="n"/>
    </row>
    <row r="3210">
      <c r="A3210" s="8" t="n"/>
      <c r="B3210" s="9" t="n"/>
    </row>
    <row r="3211">
      <c r="A3211" s="8" t="n"/>
      <c r="B3211" s="9" t="n"/>
    </row>
    <row r="3212">
      <c r="A3212" s="8" t="n"/>
      <c r="B3212" s="9" t="n"/>
    </row>
    <row r="3213">
      <c r="A3213" s="8" t="n"/>
      <c r="B3213" s="9" t="n"/>
    </row>
    <row r="3214">
      <c r="A3214" s="8" t="n"/>
      <c r="B3214" s="9" t="n"/>
    </row>
    <row r="3215">
      <c r="A3215" s="8" t="n"/>
      <c r="B3215" s="9" t="n"/>
    </row>
    <row r="3216">
      <c r="A3216" s="8" t="n"/>
      <c r="B3216" s="9" t="n"/>
    </row>
    <row r="3217">
      <c r="A3217" s="8" t="n"/>
      <c r="B3217" s="9" t="n"/>
    </row>
    <row r="3218">
      <c r="A3218" s="8" t="n"/>
      <c r="B3218" s="9" t="n"/>
    </row>
    <row r="3219">
      <c r="A3219" s="8" t="n"/>
      <c r="B3219" s="9" t="n"/>
    </row>
    <row r="3220">
      <c r="A3220" s="8" t="n"/>
      <c r="B3220" s="9" t="n"/>
    </row>
    <row r="3221">
      <c r="A3221" s="8" t="n"/>
      <c r="B3221" s="9" t="n"/>
    </row>
    <row r="3222">
      <c r="A3222" s="8" t="n"/>
      <c r="B3222" s="9" t="n"/>
    </row>
    <row r="3223">
      <c r="A3223" s="8" t="n"/>
      <c r="B3223" s="9" t="n"/>
    </row>
    <row r="3224">
      <c r="A3224" s="8" t="n"/>
      <c r="B3224" s="9" t="n"/>
    </row>
    <row r="3225">
      <c r="A3225" s="8" t="n"/>
      <c r="B3225" s="9" t="n"/>
    </row>
    <row r="3226">
      <c r="A3226" s="8" t="n"/>
      <c r="B3226" s="9" t="n"/>
    </row>
    <row r="3227">
      <c r="A3227" s="8" t="n"/>
      <c r="B3227" s="9" t="n"/>
    </row>
    <row r="3228">
      <c r="A3228" s="8" t="n"/>
      <c r="B3228" s="9" t="n"/>
    </row>
    <row r="3229">
      <c r="A3229" s="8" t="n"/>
      <c r="B3229" s="9" t="n"/>
    </row>
    <row r="3230">
      <c r="A3230" s="8" t="n"/>
      <c r="B3230" s="9" t="n"/>
    </row>
    <row r="3231">
      <c r="A3231" s="8" t="n"/>
      <c r="B3231" s="9" t="n"/>
    </row>
    <row r="3232">
      <c r="A3232" s="8" t="n"/>
      <c r="B3232" s="9" t="n"/>
    </row>
    <row r="3233">
      <c r="A3233" s="8" t="n"/>
      <c r="B3233" s="9" t="n"/>
    </row>
    <row r="3234">
      <c r="A3234" s="8" t="n"/>
      <c r="B3234" s="9" t="n"/>
    </row>
    <row r="3235">
      <c r="A3235" s="8" t="n"/>
      <c r="B3235" s="9" t="n"/>
    </row>
    <row r="3236">
      <c r="A3236" s="8" t="n"/>
      <c r="B3236" s="9" t="n"/>
    </row>
    <row r="3237">
      <c r="A3237" s="8" t="n"/>
      <c r="B3237" s="9" t="n"/>
    </row>
    <row r="3238">
      <c r="A3238" s="8" t="n"/>
      <c r="B3238" s="9" t="n"/>
    </row>
    <row r="3239">
      <c r="A3239" s="8" t="n"/>
      <c r="B3239" s="9" t="n"/>
    </row>
    <row r="3240">
      <c r="A3240" s="8" t="n"/>
      <c r="B3240" s="9" t="n"/>
    </row>
    <row r="3241">
      <c r="A3241" s="8" t="n"/>
      <c r="B3241" s="9" t="n"/>
    </row>
    <row r="3242">
      <c r="A3242" s="8" t="n"/>
      <c r="B3242" s="9" t="n"/>
    </row>
    <row r="3243">
      <c r="A3243" s="8" t="n"/>
      <c r="B3243" s="9" t="n"/>
    </row>
    <row r="3244">
      <c r="A3244" s="8" t="n"/>
      <c r="B3244" s="9" t="n"/>
    </row>
    <row r="3245">
      <c r="A3245" s="8" t="n"/>
      <c r="B3245" s="9" t="n"/>
    </row>
    <row r="3246">
      <c r="A3246" s="8" t="n"/>
      <c r="B3246" s="9" t="n"/>
    </row>
    <row r="3247">
      <c r="A3247" s="8" t="n"/>
      <c r="B3247" s="9" t="n"/>
    </row>
    <row r="3248">
      <c r="A3248" s="8" t="n"/>
      <c r="B3248" s="9" t="n"/>
    </row>
    <row r="3249">
      <c r="A3249" s="8" t="n"/>
      <c r="B3249" s="9" t="n"/>
    </row>
    <row r="3250">
      <c r="A3250" s="8" t="n"/>
      <c r="B3250" s="9" t="n"/>
    </row>
    <row r="3251">
      <c r="A3251" s="8" t="n"/>
      <c r="B3251" s="9" t="n"/>
    </row>
    <row r="3252">
      <c r="A3252" s="8" t="n"/>
      <c r="B3252" s="9" t="n"/>
    </row>
    <row r="3253">
      <c r="A3253" s="8" t="n"/>
      <c r="B3253" s="9" t="n"/>
    </row>
    <row r="3254">
      <c r="A3254" s="8" t="n"/>
      <c r="B3254" s="9" t="n"/>
    </row>
    <row r="3255">
      <c r="A3255" s="8" t="n"/>
      <c r="B3255" s="9" t="n"/>
    </row>
    <row r="3256">
      <c r="A3256" s="8" t="n"/>
      <c r="B3256" s="9" t="n"/>
    </row>
    <row r="3257">
      <c r="A3257" s="8" t="n"/>
      <c r="B3257" s="9" t="n"/>
    </row>
    <row r="3258">
      <c r="A3258" s="8" t="n"/>
      <c r="B3258" s="9" t="n"/>
    </row>
    <row r="3259">
      <c r="A3259" s="8" t="n"/>
      <c r="B3259" s="9" t="n"/>
    </row>
    <row r="3260">
      <c r="A3260" s="8" t="n"/>
      <c r="B3260" s="9" t="n"/>
    </row>
    <row r="3261">
      <c r="A3261" s="8" t="n"/>
      <c r="B3261" s="9" t="n"/>
    </row>
    <row r="3262">
      <c r="A3262" s="8" t="n"/>
      <c r="B3262" s="9" t="n"/>
    </row>
    <row r="3263">
      <c r="A3263" s="8" t="n"/>
      <c r="B3263" s="9" t="n"/>
    </row>
    <row r="3264">
      <c r="A3264" s="8" t="n"/>
      <c r="B3264" s="9" t="n"/>
    </row>
    <row r="3265">
      <c r="A3265" s="8" t="n"/>
      <c r="B3265" s="9" t="n"/>
    </row>
    <row r="3266">
      <c r="A3266" s="8" t="n"/>
      <c r="B3266" s="9" t="n"/>
    </row>
    <row r="3267">
      <c r="A3267" s="8" t="n"/>
      <c r="B3267" s="9" t="n"/>
    </row>
    <row r="3268">
      <c r="A3268" s="8" t="n"/>
      <c r="B3268" s="9" t="n"/>
    </row>
    <row r="3269">
      <c r="A3269" s="8" t="n"/>
      <c r="B3269" s="9" t="n"/>
    </row>
    <row r="3270">
      <c r="A3270" s="8" t="n"/>
      <c r="B3270" s="9" t="n"/>
    </row>
    <row r="3271">
      <c r="A3271" s="8" t="n"/>
      <c r="B3271" s="9" t="n"/>
    </row>
    <row r="3272">
      <c r="A3272" s="8" t="n"/>
      <c r="B3272" s="9" t="n"/>
    </row>
    <row r="3273">
      <c r="A3273" s="8" t="n"/>
      <c r="B3273" s="9" t="n"/>
    </row>
    <row r="3274">
      <c r="A3274" s="8" t="n"/>
      <c r="B3274" s="9" t="n"/>
    </row>
    <row r="3275">
      <c r="A3275" s="8" t="n"/>
      <c r="B3275" s="9" t="n"/>
    </row>
    <row r="3276">
      <c r="A3276" s="8" t="n"/>
      <c r="B3276" s="9" t="n"/>
    </row>
    <row r="3277">
      <c r="A3277" s="8" t="n"/>
      <c r="B3277" s="9" t="n"/>
    </row>
    <row r="3278">
      <c r="A3278" s="8" t="n"/>
      <c r="B3278" s="9" t="n"/>
    </row>
    <row r="3279">
      <c r="A3279" s="8" t="n"/>
      <c r="B3279" s="9" t="n"/>
    </row>
    <row r="3280">
      <c r="A3280" s="8" t="n"/>
      <c r="B3280" s="9" t="n"/>
    </row>
    <row r="3281">
      <c r="A3281" s="8" t="n"/>
      <c r="B3281" s="9" t="n"/>
    </row>
    <row r="3282">
      <c r="A3282" s="8" t="n"/>
      <c r="B3282" s="9" t="n"/>
    </row>
    <row r="3283">
      <c r="A3283" s="8" t="n"/>
      <c r="B3283" s="9" t="n"/>
    </row>
    <row r="3284">
      <c r="A3284" s="8" t="n"/>
      <c r="B3284" s="9" t="n"/>
    </row>
    <row r="3285">
      <c r="A3285" s="8" t="n"/>
      <c r="B3285" s="9" t="n"/>
    </row>
    <row r="3286">
      <c r="A3286" s="8" t="n"/>
      <c r="B3286" s="9" t="n"/>
    </row>
    <row r="3287">
      <c r="A3287" s="8" t="n"/>
      <c r="B3287" s="9" t="n"/>
    </row>
    <row r="3288">
      <c r="A3288" s="8" t="n"/>
      <c r="B3288" s="9" t="n"/>
    </row>
    <row r="3289">
      <c r="A3289" s="8" t="n"/>
      <c r="B3289" s="9" t="n"/>
    </row>
    <row r="3290">
      <c r="A3290" s="8" t="n"/>
      <c r="B3290" s="9" t="n"/>
    </row>
    <row r="3291">
      <c r="A3291" s="8" t="n"/>
      <c r="B3291" s="9" t="n"/>
    </row>
    <row r="3292">
      <c r="A3292" s="8" t="n"/>
      <c r="B3292" s="9" t="n"/>
    </row>
    <row r="3293">
      <c r="A3293" s="8" t="n"/>
      <c r="B3293" s="9" t="n"/>
    </row>
    <row r="3294">
      <c r="A3294" s="8" t="n"/>
      <c r="B3294" s="9" t="n"/>
    </row>
    <row r="3295">
      <c r="A3295" s="8" t="n"/>
      <c r="B3295" s="9" t="n"/>
    </row>
    <row r="3296">
      <c r="A3296" s="8" t="n"/>
      <c r="B3296" s="9" t="n"/>
    </row>
    <row r="3297">
      <c r="A3297" s="8" t="n"/>
      <c r="B3297" s="9" t="n"/>
    </row>
    <row r="3298">
      <c r="A3298" s="8" t="n"/>
      <c r="B3298" s="9" t="n"/>
    </row>
    <row r="3299">
      <c r="A3299" s="8" t="n"/>
      <c r="B3299" s="9" t="n"/>
    </row>
    <row r="3300">
      <c r="A3300" s="8" t="n"/>
      <c r="B3300" s="9" t="n"/>
    </row>
    <row r="3301">
      <c r="A3301" s="8" t="n"/>
      <c r="B3301" s="9" t="n"/>
    </row>
    <row r="3302">
      <c r="A3302" s="8" t="n"/>
      <c r="B3302" s="9" t="n"/>
    </row>
    <row r="3303">
      <c r="A3303" s="8" t="n"/>
      <c r="B3303" s="9" t="n"/>
    </row>
    <row r="3304">
      <c r="A3304" s="8" t="n"/>
      <c r="B3304" s="9" t="n"/>
    </row>
    <row r="3305">
      <c r="A3305" s="8" t="n"/>
      <c r="B3305" s="9" t="n"/>
    </row>
    <row r="3306">
      <c r="A3306" s="8" t="n"/>
      <c r="B3306" s="9" t="n"/>
    </row>
    <row r="3307">
      <c r="A3307" s="8" t="n"/>
      <c r="B3307" s="9" t="n"/>
    </row>
    <row r="3308">
      <c r="A3308" s="8" t="n"/>
      <c r="B3308" s="9" t="n"/>
    </row>
    <row r="3309">
      <c r="A3309" s="8" t="n"/>
      <c r="B3309" s="9" t="n"/>
    </row>
    <row r="3310">
      <c r="A3310" s="8" t="n"/>
      <c r="B3310" s="9" t="n"/>
    </row>
    <row r="3311">
      <c r="A3311" s="8" t="n"/>
      <c r="B3311" s="9" t="n"/>
    </row>
    <row r="3312">
      <c r="A3312" s="8" t="n"/>
      <c r="B3312" s="9" t="n"/>
    </row>
    <row r="3313">
      <c r="A3313" s="8" t="n"/>
      <c r="B3313" s="9" t="n"/>
    </row>
    <row r="3314">
      <c r="A3314" s="8" t="n"/>
      <c r="B3314" s="9" t="n"/>
    </row>
    <row r="3315">
      <c r="A3315" s="8" t="n"/>
      <c r="B3315" s="9" t="n"/>
    </row>
    <row r="3316">
      <c r="A3316" s="8" t="n"/>
      <c r="B3316" s="9" t="n"/>
    </row>
    <row r="3317">
      <c r="A3317" s="8" t="n"/>
      <c r="B3317" s="9" t="n"/>
    </row>
    <row r="3318">
      <c r="A3318" s="8" t="n"/>
      <c r="B3318" s="9" t="n"/>
    </row>
    <row r="3319">
      <c r="A3319" s="8" t="n"/>
      <c r="B3319" s="9" t="n"/>
    </row>
    <row r="3320">
      <c r="A3320" s="8" t="n"/>
      <c r="B3320" s="9" t="n"/>
    </row>
    <row r="3321">
      <c r="A3321" s="8" t="n"/>
      <c r="B3321" s="9" t="n"/>
    </row>
    <row r="3322">
      <c r="A3322" s="8" t="n"/>
      <c r="B3322" s="9" t="n"/>
    </row>
    <row r="3323">
      <c r="A3323" s="8" t="n"/>
      <c r="B3323" s="9" t="n"/>
    </row>
    <row r="3324">
      <c r="A3324" s="8" t="n"/>
      <c r="B3324" s="9" t="n"/>
    </row>
    <row r="3325">
      <c r="A3325" s="8" t="n"/>
      <c r="B3325" s="9" t="n"/>
    </row>
    <row r="3326">
      <c r="A3326" s="8" t="n"/>
      <c r="B3326" s="9" t="n"/>
    </row>
    <row r="3327">
      <c r="A3327" s="8" t="n"/>
      <c r="B3327" s="9" t="n"/>
    </row>
    <row r="3328">
      <c r="A3328" s="8" t="n"/>
      <c r="B3328" s="9" t="n"/>
    </row>
    <row r="3329">
      <c r="A3329" s="8" t="n"/>
      <c r="B3329" s="9" t="n"/>
    </row>
    <row r="3330">
      <c r="A3330" s="8" t="n"/>
      <c r="B3330" s="9" t="n"/>
    </row>
    <row r="3331">
      <c r="A3331" s="8" t="n"/>
      <c r="B3331" s="9" t="n"/>
    </row>
    <row r="3332">
      <c r="A3332" s="8" t="n"/>
      <c r="B3332" s="9" t="n"/>
    </row>
    <row r="3333">
      <c r="A3333" s="8" t="n"/>
      <c r="B3333" s="9" t="n"/>
    </row>
    <row r="3334">
      <c r="A3334" s="8" t="n"/>
      <c r="B3334" s="9" t="n"/>
    </row>
    <row r="3335">
      <c r="A3335" s="8" t="n"/>
      <c r="B3335" s="9" t="n"/>
    </row>
    <row r="3336">
      <c r="A3336" s="8" t="n"/>
      <c r="B3336" s="9" t="n"/>
    </row>
    <row r="3337">
      <c r="A3337" s="8" t="n"/>
      <c r="B3337" s="9" t="n"/>
    </row>
    <row r="3338">
      <c r="A3338" s="8" t="n"/>
      <c r="B3338" s="9" t="n"/>
    </row>
    <row r="3339">
      <c r="A3339" s="8" t="n"/>
      <c r="B3339" s="9" t="n"/>
    </row>
    <row r="3340">
      <c r="A3340" s="8" t="n"/>
      <c r="B3340" s="9" t="n"/>
    </row>
    <row r="3341">
      <c r="A3341" s="8" t="n"/>
      <c r="B3341" s="9" t="n"/>
    </row>
    <row r="3342">
      <c r="A3342" s="8" t="n"/>
      <c r="B3342" s="9" t="n"/>
    </row>
    <row r="3343">
      <c r="A3343" s="8" t="n"/>
      <c r="B3343" s="9" t="n"/>
    </row>
    <row r="3344">
      <c r="A3344" s="8" t="n"/>
      <c r="B3344" s="9" t="n"/>
    </row>
    <row r="3345">
      <c r="A3345" s="8" t="n"/>
      <c r="B3345" s="9" t="n"/>
    </row>
    <row r="3346">
      <c r="A3346" s="8" t="n"/>
      <c r="B3346" s="9" t="n"/>
    </row>
    <row r="3347">
      <c r="A3347" s="8" t="n"/>
      <c r="B3347" s="9" t="n"/>
    </row>
    <row r="3348">
      <c r="A3348" s="8" t="n"/>
      <c r="B3348" s="9" t="n"/>
    </row>
    <row r="3349">
      <c r="A3349" s="8" t="n"/>
      <c r="B3349" s="9" t="n"/>
    </row>
    <row r="3350">
      <c r="A3350" s="8" t="n"/>
      <c r="B3350" s="9" t="n"/>
    </row>
    <row r="3351">
      <c r="A3351" s="8" t="n"/>
      <c r="B3351" s="9" t="n"/>
    </row>
    <row r="3352">
      <c r="A3352" s="8" t="n"/>
      <c r="B3352" s="9" t="n"/>
    </row>
    <row r="3353">
      <c r="A3353" s="8" t="n"/>
      <c r="B3353" s="9" t="n"/>
    </row>
    <row r="3354">
      <c r="A3354" s="8" t="n"/>
      <c r="B3354" s="9" t="n"/>
    </row>
    <row r="3355">
      <c r="A3355" s="8" t="n"/>
      <c r="B3355" s="9" t="n"/>
    </row>
    <row r="3356">
      <c r="A3356" s="8" t="n"/>
      <c r="B3356" s="9" t="n"/>
    </row>
    <row r="3357">
      <c r="A3357" s="8" t="n"/>
      <c r="B3357" s="9" t="n"/>
    </row>
    <row r="3358">
      <c r="A3358" s="8" t="n"/>
      <c r="B3358" s="9" t="n"/>
    </row>
    <row r="3359">
      <c r="A3359" s="8" t="n"/>
      <c r="B3359" s="9" t="n"/>
    </row>
    <row r="3360">
      <c r="A3360" s="8" t="n"/>
      <c r="B3360" s="9" t="n"/>
    </row>
    <row r="3361">
      <c r="A3361" s="8" t="n"/>
      <c r="B3361" s="9" t="n"/>
    </row>
    <row r="3362">
      <c r="A3362" s="8" t="n"/>
      <c r="B3362" s="9" t="n"/>
    </row>
    <row r="3363">
      <c r="A3363" s="8" t="n"/>
      <c r="B3363" s="9" t="n"/>
    </row>
    <row r="3364">
      <c r="A3364" s="8" t="n"/>
      <c r="B3364" s="9" t="n"/>
    </row>
    <row r="3365">
      <c r="A3365" s="8" t="n"/>
      <c r="B3365" s="9" t="n"/>
    </row>
    <row r="3366">
      <c r="A3366" s="8" t="n"/>
      <c r="B3366" s="9" t="n"/>
    </row>
    <row r="3367">
      <c r="A3367" s="8" t="n"/>
      <c r="B3367" s="9" t="n"/>
    </row>
    <row r="3368">
      <c r="A3368" s="8" t="n"/>
      <c r="B3368" s="9" t="n"/>
    </row>
    <row r="3369">
      <c r="A3369" s="8" t="n"/>
      <c r="B3369" s="9" t="n"/>
    </row>
    <row r="3370">
      <c r="A3370" s="8" t="n"/>
      <c r="B3370" s="9" t="n"/>
    </row>
    <row r="3371">
      <c r="A3371" s="8" t="n"/>
      <c r="B3371" s="9" t="n"/>
    </row>
    <row r="3372">
      <c r="A3372" s="8" t="n"/>
      <c r="B3372" s="9" t="n"/>
    </row>
    <row r="3373">
      <c r="A3373" s="8" t="n"/>
      <c r="B3373" s="9" t="n"/>
    </row>
    <row r="3374">
      <c r="A3374" s="8" t="n"/>
      <c r="B3374" s="9" t="n"/>
    </row>
    <row r="3375">
      <c r="A3375" s="8" t="n"/>
      <c r="B3375" s="9" t="n"/>
    </row>
    <row r="3376">
      <c r="A3376" s="8" t="n"/>
      <c r="B3376" s="9" t="n"/>
    </row>
    <row r="3377">
      <c r="A3377" s="8" t="n"/>
      <c r="B3377" s="9" t="n"/>
    </row>
    <row r="3378">
      <c r="A3378" s="8" t="n"/>
      <c r="B3378" s="9" t="n"/>
    </row>
    <row r="3379">
      <c r="A3379" s="8" t="n"/>
      <c r="B3379" s="9" t="n"/>
    </row>
    <row r="3380">
      <c r="A3380" s="8" t="n"/>
      <c r="B3380" s="9" t="n"/>
    </row>
    <row r="3381">
      <c r="A3381" s="8" t="n"/>
      <c r="B3381" s="9" t="n"/>
    </row>
    <row r="3382">
      <c r="A3382" s="8" t="n"/>
      <c r="B3382" s="9" t="n"/>
    </row>
    <row r="3383">
      <c r="A3383" s="8" t="n"/>
      <c r="B3383" s="9" t="n"/>
    </row>
    <row r="3384">
      <c r="A3384" s="8" t="n"/>
      <c r="B3384" s="9" t="n"/>
    </row>
    <row r="3385">
      <c r="A3385" s="8" t="n"/>
      <c r="B3385" s="9" t="n"/>
    </row>
    <row r="3386">
      <c r="A3386" s="8" t="n"/>
      <c r="B3386" s="9" t="n"/>
    </row>
    <row r="3387">
      <c r="A3387" s="8" t="n"/>
      <c r="B3387" s="9" t="n"/>
    </row>
    <row r="3388">
      <c r="A3388" s="8" t="n"/>
      <c r="B3388" s="9" t="n"/>
    </row>
    <row r="3389">
      <c r="A3389" s="8" t="n"/>
      <c r="B3389" s="9" t="n"/>
    </row>
    <row r="3390">
      <c r="A3390" s="8" t="n"/>
      <c r="B3390" s="9" t="n"/>
    </row>
    <row r="3391">
      <c r="A3391" s="8" t="n"/>
      <c r="B3391" s="9" t="n"/>
    </row>
    <row r="3392">
      <c r="A3392" s="8" t="n"/>
      <c r="B3392" s="9" t="n"/>
    </row>
    <row r="3393">
      <c r="A3393" s="8" t="n"/>
      <c r="B3393" s="9" t="n"/>
    </row>
    <row r="3394">
      <c r="A3394" s="8" t="n"/>
      <c r="B3394" s="9" t="n"/>
    </row>
    <row r="3395">
      <c r="A3395" s="8" t="n"/>
      <c r="B3395" s="9" t="n"/>
    </row>
    <row r="3396">
      <c r="A3396" s="8" t="n"/>
      <c r="B3396" s="9" t="n"/>
    </row>
    <row r="3397">
      <c r="A3397" s="8" t="n"/>
      <c r="B3397" s="9" t="n"/>
    </row>
    <row r="3398">
      <c r="A3398" s="8" t="n"/>
      <c r="B3398" s="9" t="n"/>
    </row>
    <row r="3399">
      <c r="A3399" s="8" t="n"/>
      <c r="B3399" s="9" t="n"/>
    </row>
    <row r="3400">
      <c r="A3400" s="8" t="n"/>
      <c r="B3400" s="9" t="n"/>
    </row>
    <row r="3401">
      <c r="A3401" s="8" t="n"/>
      <c r="B3401" s="9" t="n"/>
    </row>
    <row r="3402">
      <c r="A3402" s="8" t="n"/>
      <c r="B3402" s="9" t="n"/>
    </row>
    <row r="3403">
      <c r="A3403" s="8" t="n"/>
      <c r="B3403" s="9" t="n"/>
    </row>
    <row r="3404">
      <c r="A3404" s="8" t="n"/>
      <c r="B3404" s="9" t="n"/>
    </row>
    <row r="3405">
      <c r="A3405" s="8" t="n"/>
      <c r="B3405" s="9" t="n"/>
    </row>
    <row r="3406">
      <c r="A3406" s="8" t="n"/>
      <c r="B3406" s="9" t="n"/>
    </row>
    <row r="3407">
      <c r="A3407" s="8" t="n"/>
      <c r="B3407" s="9" t="n"/>
    </row>
    <row r="3408">
      <c r="A3408" s="8" t="n"/>
      <c r="B3408" s="9" t="n"/>
    </row>
    <row r="3409">
      <c r="A3409" s="8" t="n"/>
      <c r="B3409" s="9" t="n"/>
    </row>
    <row r="3410">
      <c r="A3410" s="8" t="n"/>
      <c r="B3410" s="9" t="n"/>
    </row>
    <row r="3411">
      <c r="A3411" s="8" t="n"/>
      <c r="B3411" s="9" t="n"/>
    </row>
    <row r="3412">
      <c r="A3412" s="8" t="n"/>
      <c r="B3412" s="9" t="n"/>
    </row>
    <row r="3413">
      <c r="A3413" s="8" t="n"/>
      <c r="B3413" s="9" t="n"/>
    </row>
    <row r="3414">
      <c r="A3414" s="8" t="n"/>
      <c r="B3414" s="9" t="n"/>
    </row>
    <row r="3415">
      <c r="A3415" s="8" t="n"/>
      <c r="B3415" s="9" t="n"/>
    </row>
    <row r="3416">
      <c r="A3416" s="8" t="n"/>
      <c r="B3416" s="9" t="n"/>
    </row>
    <row r="3417">
      <c r="A3417" s="8" t="n"/>
      <c r="B3417" s="9" t="n"/>
    </row>
    <row r="3418">
      <c r="A3418" s="8" t="n"/>
      <c r="B3418" s="9" t="n"/>
    </row>
    <row r="3419">
      <c r="A3419" s="8" t="n"/>
      <c r="B3419" s="9" t="n"/>
    </row>
    <row r="3420">
      <c r="A3420" s="8" t="n"/>
      <c r="B3420" s="9" t="n"/>
    </row>
    <row r="3421">
      <c r="A3421" s="8" t="n"/>
      <c r="B3421" s="9" t="n"/>
    </row>
    <row r="3422">
      <c r="A3422" s="8" t="n"/>
      <c r="B3422" s="9" t="n"/>
    </row>
    <row r="3423">
      <c r="A3423" s="8" t="n"/>
      <c r="B3423" s="9" t="n"/>
    </row>
    <row r="3424">
      <c r="A3424" s="8" t="n"/>
      <c r="B3424" s="9" t="n"/>
    </row>
    <row r="3425">
      <c r="A3425" s="8" t="n"/>
      <c r="B3425" s="9" t="n"/>
    </row>
    <row r="3426">
      <c r="A3426" s="8" t="n"/>
      <c r="B3426" s="9" t="n"/>
    </row>
    <row r="3427">
      <c r="A3427" s="8" t="n"/>
      <c r="B3427" s="9" t="n"/>
    </row>
    <row r="3428">
      <c r="A3428" s="8" t="n"/>
      <c r="B3428" s="9" t="n"/>
    </row>
    <row r="3429">
      <c r="A3429" s="8" t="n"/>
      <c r="B3429" s="9" t="n"/>
    </row>
    <row r="3430">
      <c r="A3430" s="8" t="n"/>
      <c r="B3430" s="9" t="n"/>
    </row>
    <row r="3431">
      <c r="A3431" s="8" t="n"/>
      <c r="B3431" s="9" t="n"/>
    </row>
    <row r="3432">
      <c r="A3432" s="8" t="n"/>
      <c r="B3432" s="9" t="n"/>
    </row>
    <row r="3433">
      <c r="A3433" s="8" t="n"/>
      <c r="B3433" s="9" t="n"/>
    </row>
    <row r="3434">
      <c r="A3434" s="8" t="n"/>
      <c r="B3434" s="9" t="n"/>
    </row>
    <row r="3435">
      <c r="A3435" s="8" t="n"/>
      <c r="B3435" s="9" t="n"/>
    </row>
    <row r="3436">
      <c r="A3436" s="8" t="n"/>
      <c r="B3436" s="9" t="n"/>
    </row>
    <row r="3437">
      <c r="A3437" s="8" t="n"/>
      <c r="B3437" s="9" t="n"/>
    </row>
    <row r="3438">
      <c r="A3438" s="8" t="n"/>
      <c r="B3438" s="9" t="n"/>
    </row>
    <row r="3439">
      <c r="A3439" s="8" t="n"/>
      <c r="B3439" s="9" t="n"/>
    </row>
    <row r="3440">
      <c r="A3440" s="8" t="n"/>
      <c r="B3440" s="9" t="n"/>
    </row>
    <row r="3441">
      <c r="A3441" s="8" t="n"/>
      <c r="B3441" s="9" t="n"/>
    </row>
    <row r="3442">
      <c r="A3442" s="8" t="n"/>
      <c r="B3442" s="9" t="n"/>
    </row>
    <row r="3443">
      <c r="A3443" s="8" t="n"/>
      <c r="B3443" s="9" t="n"/>
    </row>
    <row r="3444">
      <c r="A3444" s="8" t="n"/>
      <c r="B3444" s="9" t="n"/>
    </row>
    <row r="3445">
      <c r="A3445" s="8" t="n"/>
      <c r="B3445" s="9" t="n"/>
    </row>
    <row r="3446">
      <c r="A3446" s="8" t="n"/>
      <c r="B3446" s="9" t="n"/>
    </row>
    <row r="3447">
      <c r="A3447" s="8" t="n"/>
      <c r="B3447" s="9" t="n"/>
    </row>
    <row r="3448">
      <c r="A3448" s="8" t="n"/>
      <c r="B3448" s="9" t="n"/>
    </row>
    <row r="3449">
      <c r="A3449" s="8" t="n"/>
      <c r="B3449" s="9" t="n"/>
    </row>
    <row r="3450">
      <c r="A3450" s="8" t="n"/>
      <c r="B3450" s="9" t="n"/>
    </row>
    <row r="3451">
      <c r="A3451" s="8" t="n"/>
      <c r="B3451" s="9" t="n"/>
    </row>
    <row r="3452">
      <c r="A3452" s="8" t="n"/>
      <c r="B3452" s="9" t="n"/>
    </row>
    <row r="3453">
      <c r="A3453" s="8" t="n"/>
      <c r="B3453" s="9" t="n"/>
    </row>
    <row r="3454">
      <c r="A3454" s="8" t="n"/>
      <c r="B3454" s="9" t="n"/>
    </row>
    <row r="3455">
      <c r="A3455" s="8" t="n"/>
      <c r="B3455" s="9" t="n"/>
    </row>
    <row r="3456">
      <c r="A3456" s="8" t="n"/>
      <c r="B3456" s="9" t="n"/>
    </row>
    <row r="3457">
      <c r="A3457" s="8" t="n"/>
      <c r="B3457" s="9" t="n"/>
    </row>
    <row r="3458">
      <c r="A3458" s="8" t="n"/>
      <c r="B3458" s="9" t="n"/>
    </row>
    <row r="3459">
      <c r="A3459" s="8" t="n"/>
      <c r="B3459" s="9" t="n"/>
    </row>
    <row r="3460">
      <c r="A3460" s="8" t="n"/>
      <c r="B3460" s="9" t="n"/>
    </row>
    <row r="3461">
      <c r="A3461" s="8" t="n"/>
      <c r="B3461" s="9" t="n"/>
    </row>
    <row r="3462">
      <c r="A3462" s="8" t="n"/>
      <c r="B3462" s="9" t="n"/>
    </row>
    <row r="3463">
      <c r="A3463" s="8" t="n"/>
      <c r="B3463" s="9" t="n"/>
    </row>
    <row r="3464">
      <c r="A3464" s="8" t="n"/>
      <c r="B3464" s="9" t="n"/>
    </row>
    <row r="3465">
      <c r="A3465" s="8" t="n"/>
      <c r="B3465" s="9" t="n"/>
    </row>
    <row r="3466">
      <c r="A3466" s="8" t="n"/>
      <c r="B3466" s="9" t="n"/>
    </row>
    <row r="3467">
      <c r="A3467" s="8" t="n"/>
      <c r="B3467" s="9" t="n"/>
    </row>
    <row r="3468">
      <c r="A3468" s="8" t="n"/>
      <c r="B3468" s="9" t="n"/>
    </row>
    <row r="3469">
      <c r="A3469" s="8" t="n"/>
      <c r="B3469" s="9" t="n"/>
    </row>
    <row r="3470">
      <c r="A3470" s="8" t="n"/>
      <c r="B3470" s="9" t="n"/>
    </row>
    <row r="3471">
      <c r="A3471" s="8" t="n"/>
      <c r="B3471" s="9" t="n"/>
    </row>
    <row r="3472">
      <c r="A3472" s="8" t="n"/>
      <c r="B3472" s="9" t="n"/>
    </row>
    <row r="3473">
      <c r="A3473" s="8" t="n"/>
      <c r="B3473" s="9" t="n"/>
    </row>
    <row r="3474">
      <c r="A3474" s="8" t="n"/>
      <c r="B3474" s="9" t="n"/>
    </row>
    <row r="3475">
      <c r="A3475" s="8" t="n"/>
      <c r="B3475" s="9" t="n"/>
    </row>
    <row r="3476">
      <c r="A3476" s="8" t="n"/>
      <c r="B3476" s="9" t="n"/>
    </row>
    <row r="3477">
      <c r="A3477" s="8" t="n"/>
      <c r="B3477" s="9" t="n"/>
    </row>
    <row r="3478">
      <c r="A3478" s="8" t="n"/>
      <c r="B3478" s="9" t="n"/>
    </row>
    <row r="3479">
      <c r="A3479" s="8" t="n"/>
      <c r="B3479" s="9" t="n"/>
    </row>
    <row r="3480">
      <c r="A3480" s="8" t="n"/>
      <c r="B3480" s="9" t="n"/>
    </row>
    <row r="3481">
      <c r="A3481" s="8" t="n"/>
      <c r="B3481" s="9" t="n"/>
    </row>
    <row r="3482">
      <c r="A3482" s="8" t="n"/>
      <c r="B3482" s="9" t="n"/>
    </row>
    <row r="3483">
      <c r="A3483" s="8" t="n"/>
      <c r="B3483" s="9" t="n"/>
    </row>
    <row r="3484">
      <c r="A3484" s="8" t="n"/>
      <c r="B3484" s="9" t="n"/>
    </row>
    <row r="3485">
      <c r="A3485" s="8" t="n"/>
      <c r="B3485" s="9" t="n"/>
    </row>
    <row r="3486">
      <c r="A3486" s="8" t="n"/>
      <c r="B3486" s="9" t="n"/>
    </row>
    <row r="3487">
      <c r="A3487" s="8" t="n"/>
      <c r="B3487" s="9" t="n"/>
    </row>
    <row r="3488">
      <c r="A3488" s="8" t="n"/>
      <c r="B3488" s="9" t="n"/>
    </row>
    <row r="3489">
      <c r="A3489" s="8" t="n"/>
      <c r="B3489" s="9" t="n"/>
    </row>
    <row r="3490">
      <c r="A3490" s="8" t="n"/>
      <c r="B3490" s="9" t="n"/>
    </row>
    <row r="3491">
      <c r="A3491" s="8" t="n"/>
      <c r="B3491" s="9" t="n"/>
    </row>
    <row r="3492">
      <c r="A3492" s="8" t="n"/>
      <c r="B3492" s="9" t="n"/>
    </row>
    <row r="3493">
      <c r="A3493" s="8" t="n"/>
      <c r="B3493" s="9" t="n"/>
    </row>
    <row r="3494">
      <c r="A3494" s="8" t="n"/>
      <c r="B3494" s="9" t="n"/>
    </row>
    <row r="3495">
      <c r="A3495" s="8" t="n"/>
      <c r="B3495" s="9" t="n"/>
    </row>
    <row r="3496">
      <c r="A3496" s="8" t="n"/>
      <c r="B3496" s="9" t="n"/>
    </row>
    <row r="3497">
      <c r="A3497" s="8" t="n"/>
      <c r="B3497" s="9" t="n"/>
    </row>
    <row r="3498">
      <c r="A3498" s="8" t="n"/>
      <c r="B3498" s="9" t="n"/>
    </row>
    <row r="3499">
      <c r="A3499" s="8" t="n"/>
      <c r="B3499" s="9" t="n"/>
    </row>
    <row r="3500">
      <c r="A3500" s="8" t="n"/>
      <c r="B3500" s="9" t="n"/>
    </row>
    <row r="3501">
      <c r="A3501" s="8" t="n"/>
      <c r="B3501" s="9" t="n"/>
    </row>
    <row r="3502">
      <c r="A3502" s="8" t="n"/>
      <c r="B3502" s="9" t="n"/>
    </row>
    <row r="3503">
      <c r="A3503" s="8" t="n"/>
      <c r="B3503" s="9" t="n"/>
    </row>
    <row r="3504">
      <c r="A3504" s="8" t="n"/>
      <c r="B3504" s="9" t="n"/>
    </row>
    <row r="3505">
      <c r="A3505" s="8" t="n"/>
      <c r="B3505" s="9" t="n"/>
    </row>
    <row r="3506">
      <c r="A3506" s="8" t="n"/>
      <c r="B3506" s="9" t="n"/>
    </row>
    <row r="3507">
      <c r="A3507" s="8" t="n"/>
      <c r="B3507" s="9" t="n"/>
    </row>
    <row r="3508">
      <c r="A3508" s="8" t="n"/>
      <c r="B3508" s="9" t="n"/>
    </row>
    <row r="3509">
      <c r="A3509" s="8" t="n"/>
      <c r="B3509" s="9" t="n"/>
    </row>
    <row r="3510">
      <c r="A3510" s="8" t="n"/>
      <c r="B3510" s="9" t="n"/>
    </row>
    <row r="3511">
      <c r="A3511" s="8" t="n"/>
      <c r="B3511" s="9" t="n"/>
    </row>
    <row r="3512">
      <c r="A3512" s="8" t="n"/>
      <c r="B3512" s="9" t="n"/>
    </row>
    <row r="3513">
      <c r="A3513" s="8" t="n"/>
      <c r="B3513" s="9" t="n"/>
    </row>
    <row r="3514">
      <c r="A3514" s="8" t="n"/>
      <c r="B3514" s="9" t="n"/>
    </row>
    <row r="3515">
      <c r="A3515" s="8" t="n"/>
      <c r="B3515" s="9" t="n"/>
    </row>
    <row r="3516">
      <c r="A3516" s="8" t="n"/>
      <c r="B3516" s="9" t="n"/>
    </row>
    <row r="3517">
      <c r="A3517" s="8" t="n"/>
      <c r="B3517" s="9" t="n"/>
    </row>
    <row r="3518">
      <c r="A3518" s="8" t="n"/>
      <c r="B3518" s="9" t="n"/>
    </row>
    <row r="3519">
      <c r="A3519" s="8" t="n"/>
      <c r="B3519" s="9" t="n"/>
    </row>
    <row r="3520">
      <c r="A3520" s="8" t="n"/>
      <c r="B3520" s="9" t="n"/>
    </row>
    <row r="3521">
      <c r="A3521" s="8" t="n"/>
      <c r="B3521" s="9" t="n"/>
    </row>
    <row r="3522">
      <c r="A3522" s="8" t="n"/>
      <c r="B3522" s="9" t="n"/>
    </row>
    <row r="3523">
      <c r="A3523" s="8" t="n"/>
      <c r="B3523" s="9" t="n"/>
    </row>
    <row r="3524">
      <c r="A3524" s="8" t="n"/>
      <c r="B3524" s="9" t="n"/>
    </row>
    <row r="3525">
      <c r="A3525" s="8" t="n"/>
      <c r="B3525" s="9" t="n"/>
    </row>
    <row r="3526">
      <c r="A3526" s="8" t="n"/>
      <c r="B3526" s="9" t="n"/>
    </row>
    <row r="3527">
      <c r="A3527" s="8" t="n"/>
      <c r="B3527" s="9" t="n"/>
    </row>
    <row r="3528">
      <c r="A3528" s="8" t="n"/>
      <c r="B3528" s="9" t="n"/>
    </row>
    <row r="3529">
      <c r="A3529" s="8" t="n"/>
      <c r="B3529" s="9" t="n"/>
    </row>
    <row r="3530">
      <c r="A3530" s="8" t="n"/>
      <c r="B3530" s="9" t="n"/>
    </row>
    <row r="3531">
      <c r="A3531" s="8" t="n"/>
      <c r="B3531" s="9" t="n"/>
    </row>
    <row r="3532">
      <c r="A3532" s="8" t="n"/>
      <c r="B3532" s="9" t="n"/>
    </row>
    <row r="3533">
      <c r="A3533" s="8" t="n"/>
      <c r="B3533" s="9" t="n"/>
    </row>
    <row r="3534">
      <c r="A3534" s="8" t="n"/>
      <c r="B3534" s="9" t="n"/>
    </row>
    <row r="3535">
      <c r="A3535" s="8" t="n"/>
      <c r="B3535" s="9" t="n"/>
    </row>
    <row r="3536">
      <c r="A3536" s="8" t="n"/>
      <c r="B3536" s="9" t="n"/>
    </row>
    <row r="3537">
      <c r="A3537" s="8" t="n"/>
      <c r="B3537" s="9" t="n"/>
    </row>
    <row r="3538">
      <c r="A3538" s="8" t="n"/>
      <c r="B3538" s="9" t="n"/>
    </row>
    <row r="3539">
      <c r="A3539" s="8" t="n"/>
      <c r="B3539" s="9" t="n"/>
    </row>
    <row r="3540">
      <c r="A3540" s="8" t="n"/>
      <c r="B3540" s="9" t="n"/>
    </row>
    <row r="3541">
      <c r="A3541" s="8" t="n"/>
      <c r="B3541" s="9" t="n"/>
    </row>
    <row r="3542">
      <c r="A3542" s="8" t="n"/>
      <c r="B3542" s="9" t="n"/>
    </row>
    <row r="3543">
      <c r="A3543" s="8" t="n"/>
      <c r="B3543" s="9" t="n"/>
    </row>
    <row r="3544">
      <c r="A3544" s="8" t="n"/>
      <c r="B3544" s="9" t="n"/>
    </row>
    <row r="3545">
      <c r="A3545" s="8" t="n"/>
      <c r="B3545" s="9" t="n"/>
    </row>
    <row r="3546">
      <c r="A3546" s="8" t="n"/>
      <c r="B3546" s="9" t="n"/>
    </row>
    <row r="3547">
      <c r="A3547" s="8" t="n"/>
      <c r="B3547" s="9" t="n"/>
    </row>
    <row r="3548">
      <c r="A3548" s="8" t="n"/>
      <c r="B3548" s="9" t="n"/>
    </row>
    <row r="3549">
      <c r="A3549" s="8" t="n"/>
      <c r="B3549" s="9" t="n"/>
    </row>
    <row r="3550">
      <c r="A3550" s="8" t="n"/>
      <c r="B3550" s="9" t="n"/>
    </row>
    <row r="3551">
      <c r="A3551" s="8" t="n"/>
      <c r="B3551" s="9" t="n"/>
    </row>
    <row r="3552">
      <c r="A3552" s="8" t="n"/>
      <c r="B3552" s="9" t="n"/>
    </row>
    <row r="3553">
      <c r="A3553" s="8" t="n"/>
      <c r="B3553" s="9" t="n"/>
    </row>
    <row r="3554">
      <c r="A3554" s="8" t="n"/>
      <c r="B3554" s="9" t="n"/>
    </row>
    <row r="3555">
      <c r="A3555" s="8" t="n"/>
      <c r="B3555" s="9" t="n"/>
    </row>
    <row r="3556">
      <c r="A3556" s="8" t="n"/>
      <c r="B3556" s="9" t="n"/>
    </row>
    <row r="3557">
      <c r="A3557" s="8" t="n"/>
      <c r="B3557" s="9" t="n"/>
    </row>
    <row r="3558">
      <c r="A3558" s="8" t="n"/>
      <c r="B3558" s="9" t="n"/>
    </row>
    <row r="3559">
      <c r="A3559" s="8" t="n"/>
      <c r="B3559" s="9" t="n"/>
    </row>
    <row r="3560">
      <c r="A3560" s="8" t="n"/>
      <c r="B3560" s="9" t="n"/>
    </row>
    <row r="3561">
      <c r="A3561" s="8" t="n"/>
      <c r="B3561" s="9" t="n"/>
    </row>
    <row r="3562">
      <c r="A3562" s="8" t="n"/>
      <c r="B3562" s="9" t="n"/>
    </row>
    <row r="3563">
      <c r="A3563" s="8" t="n"/>
      <c r="B3563" s="9" t="n"/>
    </row>
    <row r="3564">
      <c r="A3564" s="8" t="n"/>
      <c r="B3564" s="9" t="n"/>
    </row>
    <row r="3565">
      <c r="A3565" s="8" t="n"/>
      <c r="B3565" s="9" t="n"/>
    </row>
    <row r="3566">
      <c r="A3566" s="8" t="n"/>
      <c r="B3566" s="9" t="n"/>
    </row>
    <row r="3567">
      <c r="A3567" s="8" t="n"/>
      <c r="B3567" s="9" t="n"/>
    </row>
    <row r="3568">
      <c r="A3568" s="8" t="n"/>
      <c r="B3568" s="9" t="n"/>
    </row>
    <row r="3569">
      <c r="A3569" s="8" t="n"/>
      <c r="B3569" s="9" t="n"/>
    </row>
    <row r="3570">
      <c r="A3570" s="8" t="n"/>
      <c r="B3570" s="9" t="n"/>
    </row>
    <row r="3571">
      <c r="A3571" s="8" t="n"/>
      <c r="B3571" s="9" t="n"/>
    </row>
    <row r="3572">
      <c r="A3572" s="8" t="n"/>
      <c r="B3572" s="9" t="n"/>
    </row>
    <row r="3573">
      <c r="A3573" s="8" t="n"/>
      <c r="B3573" s="9" t="n"/>
    </row>
    <row r="3574">
      <c r="A3574" s="8" t="n"/>
      <c r="B3574" s="9" t="n"/>
    </row>
    <row r="3575">
      <c r="A3575" s="8" t="n"/>
      <c r="B3575" s="9" t="n"/>
    </row>
    <row r="3576">
      <c r="A3576" s="8" t="n"/>
      <c r="B3576" s="9" t="n"/>
    </row>
    <row r="3577">
      <c r="A3577" s="8" t="n"/>
      <c r="B3577" s="9" t="n"/>
    </row>
    <row r="3578">
      <c r="A3578" s="8" t="n"/>
      <c r="B3578" s="9" t="n"/>
    </row>
    <row r="3579">
      <c r="A3579" s="8" t="n"/>
      <c r="B3579" s="9" t="n"/>
    </row>
    <row r="3580">
      <c r="A3580" s="8" t="n"/>
      <c r="B3580" s="9" t="n"/>
    </row>
    <row r="3581">
      <c r="A3581" s="8" t="n"/>
      <c r="B3581" s="9" t="n"/>
    </row>
    <row r="3582">
      <c r="A3582" s="8" t="n"/>
      <c r="B3582" s="9" t="n"/>
    </row>
    <row r="3583">
      <c r="A3583" s="8" t="n"/>
      <c r="B3583" s="9" t="n"/>
    </row>
    <row r="3584">
      <c r="A3584" s="8" t="n"/>
      <c r="B3584" s="9" t="n"/>
    </row>
    <row r="3585">
      <c r="A3585" s="8" t="n"/>
      <c r="B3585" s="9" t="n"/>
    </row>
    <row r="3586">
      <c r="A3586" s="8" t="n"/>
      <c r="B3586" s="9" t="n"/>
    </row>
    <row r="3587">
      <c r="A3587" s="8" t="n"/>
      <c r="B3587" s="9" t="n"/>
    </row>
    <row r="3588">
      <c r="A3588" s="8" t="n"/>
      <c r="B3588" s="9" t="n"/>
    </row>
    <row r="3589">
      <c r="A3589" s="8" t="n"/>
      <c r="B3589" s="9" t="n"/>
    </row>
    <row r="3590">
      <c r="A3590" s="8" t="n"/>
      <c r="B3590" s="9" t="n"/>
    </row>
    <row r="3591">
      <c r="A3591" s="8" t="n"/>
      <c r="B3591" s="9" t="n"/>
    </row>
    <row r="3592">
      <c r="A3592" s="8" t="n"/>
      <c r="B3592" s="9" t="n"/>
    </row>
    <row r="3593">
      <c r="A3593" s="8" t="n"/>
      <c r="B3593" s="9" t="n"/>
    </row>
    <row r="3594">
      <c r="A3594" s="8" t="n"/>
      <c r="B3594" s="9" t="n"/>
    </row>
    <row r="3595">
      <c r="A3595" s="8" t="n"/>
      <c r="B3595" s="9" t="n"/>
    </row>
    <row r="3596">
      <c r="A3596" s="8" t="n"/>
      <c r="B3596" s="9" t="n"/>
    </row>
    <row r="3597">
      <c r="A3597" s="8" t="n"/>
      <c r="B3597" s="9" t="n"/>
    </row>
    <row r="3598">
      <c r="A3598" s="8" t="n"/>
      <c r="B3598" s="9" t="n"/>
    </row>
    <row r="3599">
      <c r="A3599" s="8" t="n"/>
      <c r="B3599" s="9" t="n"/>
    </row>
    <row r="3600">
      <c r="A3600" s="8" t="n"/>
      <c r="B3600" s="9" t="n"/>
    </row>
    <row r="3601">
      <c r="A3601" s="8" t="n"/>
      <c r="B3601" s="9" t="n"/>
    </row>
    <row r="3602">
      <c r="A3602" s="8" t="n"/>
      <c r="B3602" s="9" t="n"/>
    </row>
    <row r="3603">
      <c r="A3603" s="8" t="n"/>
      <c r="B3603" s="9" t="n"/>
    </row>
    <row r="3604">
      <c r="A3604" s="8" t="n"/>
      <c r="B3604" s="9" t="n"/>
    </row>
    <row r="3605">
      <c r="A3605" s="8" t="n"/>
      <c r="B3605" s="9" t="n"/>
    </row>
    <row r="3606">
      <c r="A3606" s="8" t="n"/>
      <c r="B3606" s="9" t="n"/>
    </row>
    <row r="3607">
      <c r="A3607" s="8" t="n"/>
      <c r="B3607" s="9" t="n"/>
    </row>
    <row r="3608">
      <c r="A3608" s="8" t="n"/>
      <c r="B3608" s="9" t="n"/>
    </row>
    <row r="3609">
      <c r="A3609" s="8" t="n"/>
      <c r="B3609" s="9" t="n"/>
    </row>
    <row r="3610">
      <c r="A3610" s="8" t="n"/>
      <c r="B3610" s="9" t="n"/>
    </row>
    <row r="3611">
      <c r="A3611" s="8" t="n"/>
      <c r="B3611" s="9" t="n"/>
    </row>
    <row r="3612">
      <c r="A3612" s="8" t="n"/>
      <c r="B3612" s="9" t="n"/>
    </row>
    <row r="3613">
      <c r="A3613" s="8" t="n"/>
      <c r="B3613" s="9" t="n"/>
    </row>
    <row r="3614">
      <c r="A3614" s="8" t="n"/>
      <c r="B3614" s="9" t="n"/>
    </row>
    <row r="3615">
      <c r="A3615" s="8" t="n"/>
      <c r="B3615" s="9" t="n"/>
    </row>
    <row r="3616">
      <c r="A3616" s="8" t="n"/>
      <c r="B3616" s="9" t="n"/>
    </row>
    <row r="3617">
      <c r="A3617" s="8" t="n"/>
      <c r="B3617" s="9" t="n"/>
    </row>
    <row r="3618">
      <c r="A3618" s="8" t="n"/>
      <c r="B3618" s="9" t="n"/>
    </row>
    <row r="3619">
      <c r="A3619" s="8" t="n"/>
      <c r="B3619" s="9" t="n"/>
    </row>
    <row r="3620">
      <c r="A3620" s="8" t="n"/>
      <c r="B3620" s="9" t="n"/>
    </row>
    <row r="3621">
      <c r="A3621" s="8" t="n"/>
      <c r="B3621" s="9" t="n"/>
    </row>
    <row r="3622">
      <c r="A3622" s="8" t="n"/>
      <c r="B3622" s="9" t="n"/>
    </row>
    <row r="3623">
      <c r="A3623" s="8" t="n"/>
      <c r="B3623" s="9" t="n"/>
    </row>
    <row r="3624">
      <c r="A3624" s="8" t="n"/>
      <c r="B3624" s="9" t="n"/>
    </row>
    <row r="3625">
      <c r="A3625" s="8" t="n"/>
      <c r="B3625" s="9" t="n"/>
    </row>
    <row r="3626">
      <c r="A3626" s="8" t="n"/>
      <c r="B3626" s="9" t="n"/>
    </row>
    <row r="3627">
      <c r="A3627" s="8" t="n"/>
      <c r="B3627" s="9" t="n"/>
    </row>
    <row r="3628">
      <c r="A3628" s="8" t="n"/>
      <c r="B3628" s="9" t="n"/>
    </row>
    <row r="3629">
      <c r="A3629" s="8" t="n"/>
      <c r="B3629" s="9" t="n"/>
    </row>
    <row r="3630">
      <c r="A3630" s="8" t="n"/>
      <c r="B3630" s="9" t="n"/>
    </row>
    <row r="3631">
      <c r="A3631" s="8" t="n"/>
      <c r="B3631" s="9" t="n"/>
    </row>
    <row r="3632">
      <c r="A3632" s="8" t="n"/>
      <c r="B3632" s="9" t="n"/>
    </row>
    <row r="3633">
      <c r="A3633" s="8" t="n"/>
      <c r="B3633" s="9" t="n"/>
    </row>
    <row r="3634">
      <c r="A3634" s="8" t="n"/>
      <c r="B3634" s="9" t="n"/>
    </row>
    <row r="3635">
      <c r="A3635" s="8" t="n"/>
      <c r="B3635" s="9" t="n"/>
    </row>
    <row r="3636">
      <c r="A3636" s="8" t="n"/>
      <c r="B3636" s="9" t="n"/>
    </row>
    <row r="3637">
      <c r="A3637" s="8" t="n"/>
      <c r="B3637" s="9" t="n"/>
    </row>
    <row r="3638">
      <c r="A3638" s="8" t="n"/>
      <c r="B3638" s="9" t="n"/>
    </row>
    <row r="3639">
      <c r="A3639" s="8" t="n"/>
      <c r="B3639" s="9" t="n"/>
    </row>
    <row r="3640">
      <c r="A3640" s="8" t="n"/>
      <c r="B3640" s="9" t="n"/>
    </row>
    <row r="3641">
      <c r="A3641" s="8" t="n"/>
      <c r="B3641" s="9" t="n"/>
    </row>
    <row r="3642">
      <c r="A3642" s="8" t="n"/>
      <c r="B3642" s="9" t="n"/>
    </row>
    <row r="3643">
      <c r="A3643" s="8" t="n"/>
      <c r="B3643" s="9" t="n"/>
    </row>
    <row r="3644">
      <c r="A3644" s="8" t="n"/>
      <c r="B3644" s="9" t="n"/>
    </row>
    <row r="3645">
      <c r="A3645" s="8" t="n"/>
      <c r="B3645" s="9" t="n"/>
    </row>
    <row r="3646">
      <c r="A3646" s="8" t="n"/>
      <c r="B3646" s="9" t="n"/>
    </row>
    <row r="3647">
      <c r="A3647" s="8" t="n"/>
      <c r="B3647" s="9" t="n"/>
    </row>
    <row r="3648">
      <c r="A3648" s="8" t="n"/>
      <c r="B3648" s="9" t="n"/>
    </row>
    <row r="3649">
      <c r="A3649" s="8" t="n"/>
      <c r="B3649" s="9" t="n"/>
    </row>
    <row r="3650">
      <c r="A3650" s="8" t="n"/>
      <c r="B3650" s="9" t="n"/>
    </row>
    <row r="3651">
      <c r="A3651" s="8" t="n"/>
      <c r="B3651" s="9" t="n"/>
    </row>
    <row r="3652">
      <c r="A3652" s="8" t="n"/>
      <c r="B3652" s="9" t="n"/>
    </row>
    <row r="3653">
      <c r="A3653" s="8" t="n"/>
      <c r="B3653" s="9" t="n"/>
    </row>
    <row r="3654">
      <c r="A3654" s="8" t="n"/>
      <c r="B3654" s="9" t="n"/>
    </row>
    <row r="3655">
      <c r="A3655" s="8" t="n"/>
      <c r="B3655" s="9" t="n"/>
    </row>
    <row r="3656">
      <c r="A3656" s="8" t="n"/>
      <c r="B3656" s="9" t="n"/>
    </row>
    <row r="3657">
      <c r="A3657" s="8" t="n"/>
      <c r="B3657" s="9" t="n"/>
    </row>
    <row r="3658">
      <c r="A3658" s="8" t="n"/>
      <c r="B3658" s="9" t="n"/>
    </row>
    <row r="3659">
      <c r="A3659" s="8" t="n"/>
      <c r="B3659" s="9" t="n"/>
    </row>
    <row r="3660">
      <c r="A3660" s="8" t="n"/>
      <c r="B3660" s="9" t="n"/>
    </row>
    <row r="3661">
      <c r="A3661" s="8" t="n"/>
      <c r="B3661" s="9" t="n"/>
    </row>
    <row r="3662">
      <c r="A3662" s="8" t="n"/>
      <c r="B3662" s="9" t="n"/>
    </row>
    <row r="3663">
      <c r="A3663" s="8" t="n"/>
      <c r="B3663" s="9" t="n"/>
    </row>
    <row r="3664">
      <c r="A3664" s="8" t="n"/>
      <c r="B3664" s="9" t="n"/>
    </row>
    <row r="3665">
      <c r="A3665" s="8" t="n"/>
      <c r="B3665" s="9" t="n"/>
    </row>
    <row r="3666">
      <c r="A3666" s="8" t="n"/>
      <c r="B3666" s="9" t="n"/>
    </row>
    <row r="3667">
      <c r="A3667" s="8" t="n"/>
      <c r="B3667" s="9" t="n"/>
    </row>
    <row r="3668">
      <c r="A3668" s="8" t="n"/>
      <c r="B3668" s="9" t="n"/>
    </row>
    <row r="3669">
      <c r="A3669" s="8" t="n"/>
      <c r="B3669" s="9" t="n"/>
    </row>
    <row r="3670">
      <c r="A3670" s="8" t="n"/>
      <c r="B3670" s="9" t="n"/>
    </row>
    <row r="3671">
      <c r="A3671" s="8" t="n"/>
      <c r="B3671" s="9" t="n"/>
    </row>
    <row r="3672">
      <c r="A3672" s="8" t="n"/>
      <c r="B3672" s="9" t="n"/>
    </row>
    <row r="3673">
      <c r="A3673" s="8" t="n"/>
      <c r="B3673" s="9" t="n"/>
    </row>
    <row r="3674">
      <c r="A3674" s="8" t="n"/>
      <c r="B3674" s="9" t="n"/>
    </row>
    <row r="3675">
      <c r="A3675" s="8" t="n"/>
      <c r="B3675" s="9" t="n"/>
    </row>
    <row r="3676">
      <c r="A3676" s="8" t="n"/>
      <c r="B3676" s="9" t="n"/>
    </row>
    <row r="3677">
      <c r="A3677" s="8" t="n"/>
      <c r="B3677" s="9" t="n"/>
    </row>
    <row r="3678">
      <c r="A3678" s="8" t="n"/>
      <c r="B3678" s="9" t="n"/>
    </row>
    <row r="3679">
      <c r="A3679" s="8" t="n"/>
      <c r="B3679" s="9" t="n"/>
    </row>
    <row r="3680">
      <c r="A3680" s="8" t="n"/>
      <c r="B3680" s="9" t="n"/>
    </row>
    <row r="3681">
      <c r="A3681" s="8" t="n"/>
      <c r="B3681" s="9" t="n"/>
    </row>
    <row r="3682">
      <c r="A3682" s="8" t="n"/>
      <c r="B3682" s="9" t="n"/>
    </row>
    <row r="3683">
      <c r="A3683" s="8" t="n"/>
      <c r="B3683" s="9" t="n"/>
    </row>
    <row r="3684">
      <c r="A3684" s="8" t="n"/>
      <c r="B3684" s="9" t="n"/>
    </row>
    <row r="3685">
      <c r="A3685" s="8" t="n"/>
      <c r="B3685" s="9" t="n"/>
    </row>
    <row r="3686">
      <c r="A3686" s="8" t="n"/>
      <c r="B3686" s="9" t="n"/>
    </row>
    <row r="3687">
      <c r="A3687" s="8" t="n"/>
      <c r="B3687" s="9" t="n"/>
    </row>
    <row r="3688">
      <c r="A3688" s="8" t="n"/>
      <c r="B3688" s="9" t="n"/>
    </row>
    <row r="3689">
      <c r="A3689" s="8" t="n"/>
      <c r="B3689" s="9" t="n"/>
    </row>
    <row r="3690">
      <c r="A3690" s="8" t="n"/>
      <c r="B3690" s="9" t="n"/>
    </row>
    <row r="3691">
      <c r="A3691" s="8" t="n"/>
      <c r="B3691" s="9" t="n"/>
    </row>
    <row r="3692">
      <c r="A3692" s="8" t="n"/>
      <c r="B3692" s="9" t="n"/>
    </row>
    <row r="3693">
      <c r="A3693" s="8" t="n"/>
      <c r="B3693" s="9" t="n"/>
    </row>
    <row r="3694">
      <c r="A3694" s="8" t="n"/>
      <c r="B3694" s="9" t="n"/>
    </row>
    <row r="3695">
      <c r="A3695" s="8" t="n"/>
      <c r="B3695" s="9" t="n"/>
    </row>
    <row r="3696">
      <c r="A3696" s="8" t="n"/>
      <c r="B3696" s="9" t="n"/>
    </row>
    <row r="3697">
      <c r="A3697" s="8" t="n"/>
      <c r="B3697" s="9" t="n"/>
    </row>
    <row r="3698">
      <c r="A3698" s="8" t="n"/>
      <c r="B3698" s="9" t="n"/>
    </row>
    <row r="3699">
      <c r="A3699" s="8" t="n"/>
      <c r="B3699" s="9" t="n"/>
    </row>
    <row r="3700">
      <c r="A3700" s="8" t="n"/>
      <c r="B3700" s="9" t="n"/>
    </row>
    <row r="3701">
      <c r="A3701" s="8" t="n"/>
      <c r="B3701" s="9" t="n"/>
    </row>
    <row r="3702">
      <c r="A3702" s="8" t="n"/>
      <c r="B3702" s="9" t="n"/>
    </row>
    <row r="3703">
      <c r="A3703" s="8" t="n"/>
      <c r="B3703" s="9" t="n"/>
    </row>
    <row r="3704">
      <c r="A3704" s="8" t="n"/>
      <c r="B3704" s="9" t="n"/>
    </row>
    <row r="3705">
      <c r="A3705" s="8" t="n"/>
      <c r="B3705" s="9" t="n"/>
    </row>
    <row r="3706">
      <c r="A3706" s="8" t="n"/>
      <c r="B3706" s="9" t="n"/>
    </row>
    <row r="3707">
      <c r="A3707" s="8" t="n"/>
      <c r="B3707" s="9" t="n"/>
    </row>
    <row r="3708">
      <c r="A3708" s="8" t="n"/>
      <c r="B3708" s="9" t="n"/>
    </row>
    <row r="3709">
      <c r="A3709" s="8" t="n"/>
      <c r="B3709" s="9" t="n"/>
    </row>
    <row r="3710">
      <c r="A3710" s="8" t="n"/>
      <c r="B3710" s="9" t="n"/>
    </row>
    <row r="3711">
      <c r="A3711" s="8" t="n"/>
      <c r="B3711" s="9" t="n"/>
    </row>
    <row r="3712">
      <c r="A3712" s="8" t="n"/>
      <c r="B3712" s="9" t="n"/>
    </row>
    <row r="3713">
      <c r="A3713" s="8" t="n"/>
      <c r="B3713" s="9" t="n"/>
    </row>
    <row r="3714">
      <c r="A3714" s="8" t="n"/>
      <c r="B3714" s="9" t="n"/>
    </row>
    <row r="3715">
      <c r="A3715" s="8" t="n"/>
      <c r="B3715" s="9" t="n"/>
    </row>
    <row r="3716">
      <c r="A3716" s="8" t="n"/>
      <c r="B3716" s="9" t="n"/>
    </row>
    <row r="3717">
      <c r="A3717" s="8" t="n"/>
      <c r="B3717" s="9" t="n"/>
    </row>
    <row r="3718">
      <c r="A3718" s="8" t="n"/>
      <c r="B3718" s="9" t="n"/>
    </row>
    <row r="3719">
      <c r="A3719" s="8" t="n"/>
      <c r="B3719" s="9" t="n"/>
    </row>
    <row r="3720">
      <c r="A3720" s="8" t="n"/>
      <c r="B3720" s="9" t="n"/>
    </row>
    <row r="3721">
      <c r="A3721" s="8" t="n"/>
      <c r="B3721" s="9" t="n"/>
    </row>
    <row r="3722">
      <c r="A3722" s="8" t="n"/>
      <c r="B3722" s="9" t="n"/>
    </row>
    <row r="3723">
      <c r="A3723" s="8" t="n"/>
      <c r="B3723" s="9" t="n"/>
    </row>
    <row r="3724">
      <c r="A3724" s="8" t="n"/>
      <c r="B3724" s="9" t="n"/>
    </row>
    <row r="3725">
      <c r="A3725" s="8" t="n"/>
      <c r="B3725" s="9" t="n"/>
    </row>
    <row r="3726">
      <c r="A3726" s="8" t="n"/>
      <c r="B3726" s="9" t="n"/>
    </row>
    <row r="3727">
      <c r="A3727" s="8" t="n"/>
      <c r="B3727" s="9" t="n"/>
    </row>
    <row r="3728">
      <c r="A3728" s="8" t="n"/>
      <c r="B3728" s="9" t="n"/>
    </row>
    <row r="3729">
      <c r="A3729" s="8" t="n"/>
      <c r="B3729" s="9" t="n"/>
    </row>
    <row r="3730">
      <c r="A3730" s="8" t="n"/>
      <c r="B3730" s="9" t="n"/>
    </row>
    <row r="3731">
      <c r="A3731" s="8" t="n"/>
      <c r="B3731" s="9" t="n"/>
    </row>
    <row r="3732">
      <c r="A3732" s="8" t="n"/>
      <c r="B3732" s="9" t="n"/>
    </row>
    <row r="3733">
      <c r="A3733" s="8" t="n"/>
      <c r="B3733" s="9" t="n"/>
    </row>
    <row r="3734">
      <c r="A3734" s="8" t="n"/>
      <c r="B3734" s="9" t="n"/>
    </row>
    <row r="3735">
      <c r="A3735" s="8" t="n"/>
      <c r="B3735" s="9" t="n"/>
    </row>
    <row r="3736">
      <c r="A3736" s="8" t="n"/>
      <c r="B3736" s="9" t="n"/>
    </row>
    <row r="3737">
      <c r="A3737" s="8" t="n"/>
      <c r="B3737" s="9" t="n"/>
    </row>
    <row r="3738">
      <c r="A3738" s="8" t="n"/>
      <c r="B3738" s="9" t="n"/>
    </row>
    <row r="3739">
      <c r="A3739" s="8" t="n"/>
      <c r="B3739" s="9" t="n"/>
    </row>
    <row r="3740">
      <c r="A3740" s="8" t="n"/>
      <c r="B3740" s="9" t="n"/>
    </row>
    <row r="3741">
      <c r="A3741" s="8" t="n"/>
      <c r="B3741" s="9" t="n"/>
    </row>
    <row r="3742">
      <c r="A3742" s="8" t="n"/>
      <c r="B3742" s="9" t="n"/>
    </row>
    <row r="3743">
      <c r="A3743" s="8" t="n"/>
      <c r="B3743" s="9" t="n"/>
    </row>
    <row r="3744">
      <c r="A3744" s="8" t="n"/>
      <c r="B3744" s="9" t="n"/>
    </row>
    <row r="3745">
      <c r="A3745" s="8" t="n"/>
      <c r="B3745" s="9" t="n"/>
    </row>
    <row r="3746">
      <c r="A3746" s="8" t="n"/>
      <c r="B3746" s="9" t="n"/>
    </row>
    <row r="3747">
      <c r="A3747" s="8" t="n"/>
      <c r="B3747" s="9" t="n"/>
    </row>
    <row r="3748">
      <c r="A3748" s="8" t="n"/>
      <c r="B3748" s="9" t="n"/>
    </row>
    <row r="3749">
      <c r="A3749" s="8" t="n"/>
      <c r="B3749" s="9" t="n"/>
    </row>
    <row r="3750">
      <c r="A3750" s="8" t="n"/>
      <c r="B3750" s="9" t="n"/>
    </row>
    <row r="3751">
      <c r="A3751" s="8" t="n"/>
      <c r="B3751" s="9" t="n"/>
    </row>
    <row r="3752">
      <c r="A3752" s="8" t="n"/>
      <c r="B3752" s="9" t="n"/>
    </row>
    <row r="3753">
      <c r="A3753" s="8" t="n"/>
      <c r="B3753" s="9" t="n"/>
    </row>
    <row r="3754">
      <c r="A3754" s="8" t="n"/>
      <c r="B3754" s="9" t="n"/>
    </row>
    <row r="3755">
      <c r="A3755" s="8" t="n"/>
      <c r="B3755" s="9" t="n"/>
    </row>
    <row r="3756">
      <c r="A3756" s="8" t="n"/>
      <c r="B3756" s="9" t="n"/>
    </row>
    <row r="3757">
      <c r="A3757" s="8" t="n"/>
      <c r="B3757" s="9" t="n"/>
    </row>
    <row r="3758">
      <c r="A3758" s="8" t="n"/>
      <c r="B3758" s="9" t="n"/>
    </row>
    <row r="3759">
      <c r="A3759" s="8" t="n"/>
      <c r="B3759" s="9" t="n"/>
    </row>
    <row r="3760">
      <c r="A3760" s="8" t="n"/>
      <c r="B3760" s="9" t="n"/>
    </row>
    <row r="3761">
      <c r="A3761" s="8" t="n"/>
      <c r="B3761" s="9" t="n"/>
    </row>
    <row r="3762">
      <c r="A3762" s="8" t="n"/>
      <c r="B3762" s="9" t="n"/>
    </row>
    <row r="3763">
      <c r="A3763" s="8" t="n"/>
      <c r="B3763" s="9" t="n"/>
    </row>
    <row r="3764">
      <c r="A3764" s="8" t="n"/>
      <c r="B3764" s="9" t="n"/>
    </row>
    <row r="3765">
      <c r="A3765" s="8" t="n"/>
      <c r="B3765" s="9" t="n"/>
    </row>
    <row r="3766">
      <c r="A3766" s="8" t="n"/>
      <c r="B3766" s="9" t="n"/>
    </row>
    <row r="3767">
      <c r="A3767" s="8" t="n"/>
      <c r="B3767" s="9" t="n"/>
    </row>
    <row r="3768">
      <c r="A3768" s="8" t="n"/>
      <c r="B3768" s="9" t="n"/>
    </row>
    <row r="3769">
      <c r="A3769" s="8" t="n"/>
      <c r="B3769" s="9" t="n"/>
    </row>
    <row r="3770">
      <c r="A3770" s="8" t="n"/>
      <c r="B3770" s="9" t="n"/>
    </row>
    <row r="3771">
      <c r="A3771" s="8" t="n"/>
      <c r="B3771" s="9" t="n"/>
    </row>
    <row r="3772">
      <c r="A3772" s="8" t="n"/>
      <c r="B3772" s="9" t="n"/>
    </row>
    <row r="3773">
      <c r="A3773" s="8" t="n"/>
      <c r="B3773" s="9" t="n"/>
    </row>
    <row r="3774">
      <c r="A3774" s="8" t="n"/>
      <c r="B3774" s="9" t="n"/>
    </row>
    <row r="3775">
      <c r="A3775" s="8" t="n"/>
      <c r="B3775" s="9" t="n"/>
    </row>
    <row r="3776">
      <c r="A3776" s="8" t="n"/>
      <c r="B3776" s="9" t="n"/>
    </row>
    <row r="3777">
      <c r="A3777" s="8" t="n"/>
      <c r="B3777" s="9" t="n"/>
    </row>
    <row r="3778">
      <c r="A3778" s="8" t="n"/>
      <c r="B3778" s="9" t="n"/>
    </row>
    <row r="3779">
      <c r="A3779" s="8" t="n"/>
      <c r="B3779" s="9" t="n"/>
    </row>
    <row r="3780">
      <c r="A3780" s="8" t="n"/>
      <c r="B3780" s="9" t="n"/>
    </row>
    <row r="3781">
      <c r="A3781" s="8" t="n"/>
      <c r="B3781" s="9" t="n"/>
    </row>
    <row r="3782">
      <c r="A3782" s="8" t="n"/>
      <c r="B3782" s="9" t="n"/>
    </row>
    <row r="3783">
      <c r="A3783" s="8" t="n"/>
      <c r="B3783" s="9" t="n"/>
    </row>
    <row r="3784">
      <c r="A3784" s="8" t="n"/>
      <c r="B3784" s="9" t="n"/>
    </row>
    <row r="3785">
      <c r="A3785" s="8" t="n"/>
      <c r="B3785" s="9" t="n"/>
    </row>
    <row r="3786">
      <c r="A3786" s="8" t="n"/>
      <c r="B3786" s="9" t="n"/>
    </row>
    <row r="3787">
      <c r="A3787" s="8" t="n"/>
      <c r="B3787" s="9" t="n"/>
    </row>
    <row r="3788">
      <c r="A3788" s="8" t="n"/>
      <c r="B3788" s="9" t="n"/>
    </row>
    <row r="3789">
      <c r="A3789" s="8" t="n"/>
      <c r="B3789" s="9" t="n"/>
    </row>
    <row r="3790">
      <c r="A3790" s="8" t="n"/>
      <c r="B3790" s="9" t="n"/>
    </row>
    <row r="3791">
      <c r="A3791" s="8" t="n"/>
      <c r="B3791" s="9" t="n"/>
    </row>
    <row r="3792">
      <c r="A3792" s="8" t="n"/>
      <c r="B3792" s="9" t="n"/>
    </row>
    <row r="3793">
      <c r="A3793" s="8" t="n"/>
      <c r="B3793" s="9" t="n"/>
    </row>
    <row r="3794">
      <c r="A3794" s="8" t="n"/>
      <c r="B3794" s="9" t="n"/>
    </row>
    <row r="3795">
      <c r="A3795" s="8" t="n"/>
      <c r="B3795" s="9" t="n"/>
    </row>
    <row r="3796">
      <c r="A3796" s="8" t="n"/>
      <c r="B3796" s="9" t="n"/>
    </row>
    <row r="3797">
      <c r="A3797" s="8" t="n"/>
      <c r="B3797" s="9" t="n"/>
    </row>
    <row r="3798">
      <c r="A3798" s="8" t="n"/>
      <c r="B3798" s="9" t="n"/>
    </row>
    <row r="3799">
      <c r="A3799" s="8" t="n"/>
      <c r="B3799" s="9" t="n"/>
    </row>
    <row r="3800">
      <c r="A3800" s="8" t="n"/>
      <c r="B3800" s="9" t="n"/>
    </row>
    <row r="3801">
      <c r="A3801" s="8" t="n"/>
      <c r="B3801" s="9" t="n"/>
    </row>
    <row r="3802">
      <c r="A3802" s="8" t="n"/>
      <c r="B3802" s="9" t="n"/>
    </row>
    <row r="3803">
      <c r="A3803" s="8" t="n"/>
      <c r="B3803" s="9" t="n"/>
    </row>
    <row r="3804">
      <c r="A3804" s="8" t="n"/>
      <c r="B3804" s="9" t="n"/>
    </row>
    <row r="3805">
      <c r="A3805" s="8" t="n"/>
      <c r="B3805" s="9" t="n"/>
    </row>
    <row r="3806">
      <c r="A3806" s="8" t="n"/>
      <c r="B3806" s="9" t="n"/>
    </row>
    <row r="3807">
      <c r="A3807" s="8" t="n"/>
      <c r="B3807" s="9" t="n"/>
    </row>
    <row r="3808">
      <c r="A3808" s="8" t="n"/>
      <c r="B3808" s="9" t="n"/>
    </row>
    <row r="3809">
      <c r="A3809" s="8" t="n"/>
      <c r="B3809" s="9" t="n"/>
    </row>
    <row r="3810">
      <c r="A3810" s="8" t="n"/>
      <c r="B3810" s="9" t="n"/>
    </row>
    <row r="3811">
      <c r="A3811" s="8" t="n"/>
      <c r="B3811" s="9" t="n"/>
    </row>
    <row r="3812">
      <c r="A3812" s="8" t="n"/>
      <c r="B3812" s="9" t="n"/>
    </row>
    <row r="3813">
      <c r="A3813" s="8" t="n"/>
      <c r="B3813" s="9" t="n"/>
    </row>
    <row r="3814">
      <c r="A3814" s="8" t="n"/>
      <c r="B3814" s="9" t="n"/>
    </row>
    <row r="3815">
      <c r="A3815" s="8" t="n"/>
      <c r="B3815" s="9" t="n"/>
    </row>
    <row r="3816">
      <c r="A3816" s="8" t="n"/>
      <c r="B3816" s="9" t="n"/>
    </row>
    <row r="3817">
      <c r="A3817" s="8" t="n"/>
      <c r="B3817" s="9" t="n"/>
    </row>
    <row r="3818">
      <c r="A3818" s="8" t="n"/>
      <c r="B3818" s="9" t="n"/>
    </row>
    <row r="3819">
      <c r="A3819" s="8" t="n"/>
      <c r="B3819" s="9" t="n"/>
    </row>
    <row r="3820">
      <c r="A3820" s="8" t="n"/>
      <c r="B3820" s="9" t="n"/>
    </row>
    <row r="3821">
      <c r="A3821" s="8" t="n"/>
      <c r="B3821" s="9" t="n"/>
    </row>
    <row r="3822">
      <c r="A3822" s="8" t="n"/>
      <c r="B3822" s="9" t="n"/>
    </row>
    <row r="3823">
      <c r="A3823" s="8" t="n"/>
      <c r="B3823" s="9" t="n"/>
    </row>
    <row r="3824">
      <c r="A3824" s="8" t="n"/>
      <c r="B3824" s="9" t="n"/>
    </row>
    <row r="3825">
      <c r="A3825" s="8" t="n"/>
      <c r="B3825" s="9" t="n"/>
    </row>
    <row r="3826">
      <c r="A3826" s="8" t="n"/>
      <c r="B3826" s="9" t="n"/>
    </row>
    <row r="3827">
      <c r="A3827" s="8" t="n"/>
      <c r="B3827" s="9" t="n"/>
    </row>
    <row r="3828">
      <c r="A3828" s="8" t="n"/>
      <c r="B3828" s="9" t="n"/>
    </row>
    <row r="3829">
      <c r="A3829" s="8" t="n"/>
      <c r="B3829" s="9" t="n"/>
    </row>
    <row r="3830">
      <c r="A3830" s="8" t="n"/>
      <c r="B3830" s="9" t="n"/>
    </row>
    <row r="3831">
      <c r="A3831" s="8" t="n"/>
      <c r="B3831" s="9" t="n"/>
    </row>
    <row r="3832">
      <c r="A3832" s="8" t="n"/>
      <c r="B3832" s="9" t="n"/>
    </row>
    <row r="3833">
      <c r="A3833" s="8" t="n"/>
      <c r="B3833" s="9" t="n"/>
    </row>
    <row r="3834">
      <c r="A3834" s="8" t="n"/>
      <c r="B3834" s="9" t="n"/>
    </row>
    <row r="3835">
      <c r="A3835" s="8" t="n"/>
      <c r="B3835" s="9" t="n"/>
    </row>
    <row r="3836">
      <c r="A3836" s="8" t="n"/>
      <c r="B3836" s="9" t="n"/>
    </row>
    <row r="3837">
      <c r="A3837" s="8" t="n"/>
      <c r="B3837" s="9" t="n"/>
    </row>
    <row r="3838">
      <c r="A3838" s="8" t="n"/>
      <c r="B3838" s="9" t="n"/>
    </row>
    <row r="3839">
      <c r="A3839" s="8" t="n"/>
      <c r="B3839" s="9" t="n"/>
    </row>
    <row r="3840">
      <c r="A3840" s="8" t="n"/>
      <c r="B3840" s="9" t="n"/>
    </row>
    <row r="3841">
      <c r="A3841" s="8" t="n"/>
      <c r="B3841" s="9" t="n"/>
    </row>
    <row r="3842">
      <c r="A3842" s="8" t="n"/>
      <c r="B3842" s="9" t="n"/>
    </row>
    <row r="3843">
      <c r="A3843" s="8" t="n"/>
      <c r="B3843" s="9" t="n"/>
    </row>
    <row r="3844">
      <c r="A3844" s="8" t="n"/>
      <c r="B3844" s="9" t="n"/>
    </row>
    <row r="3845">
      <c r="A3845" s="8" t="n"/>
      <c r="B3845" s="9" t="n"/>
    </row>
    <row r="3846">
      <c r="A3846" s="8" t="n"/>
      <c r="B3846" s="9" t="n"/>
    </row>
    <row r="3847">
      <c r="A3847" s="8" t="n"/>
      <c r="B3847" s="9" t="n"/>
    </row>
    <row r="3848">
      <c r="A3848" s="8" t="n"/>
      <c r="B3848" s="9" t="n"/>
    </row>
    <row r="3849">
      <c r="A3849" s="8" t="n"/>
      <c r="B3849" s="9" t="n"/>
    </row>
    <row r="3850">
      <c r="A3850" s="8" t="n"/>
      <c r="B3850" s="9" t="n"/>
    </row>
    <row r="3851">
      <c r="A3851" s="8" t="n"/>
      <c r="B3851" s="9" t="n"/>
    </row>
    <row r="3852">
      <c r="A3852" s="8" t="n"/>
      <c r="B3852" s="9" t="n"/>
    </row>
    <row r="3853">
      <c r="A3853" s="8" t="n"/>
      <c r="B3853" s="9" t="n"/>
    </row>
    <row r="3854">
      <c r="A3854" s="8" t="n"/>
      <c r="B3854" s="9" t="n"/>
    </row>
    <row r="3855">
      <c r="A3855" s="8" t="n"/>
      <c r="B3855" s="9" t="n"/>
    </row>
    <row r="3856">
      <c r="A3856" s="8" t="n"/>
      <c r="B3856" s="9" t="n"/>
    </row>
    <row r="3857">
      <c r="A3857" s="8" t="n"/>
      <c r="B3857" s="9" t="n"/>
    </row>
    <row r="3858">
      <c r="A3858" s="8" t="n"/>
      <c r="B3858" s="9" t="n"/>
    </row>
    <row r="3859">
      <c r="A3859" s="8" t="n"/>
      <c r="B3859" s="9" t="n"/>
    </row>
    <row r="3860">
      <c r="A3860" s="8" t="n"/>
      <c r="B3860" s="9" t="n"/>
    </row>
    <row r="3861">
      <c r="A3861" s="8" t="n"/>
      <c r="B3861" s="9" t="n"/>
    </row>
    <row r="3862">
      <c r="A3862" s="8" t="n"/>
      <c r="B3862" s="9" t="n"/>
    </row>
    <row r="3863">
      <c r="A3863" s="8" t="n"/>
      <c r="B3863" s="9" t="n"/>
    </row>
    <row r="3864">
      <c r="A3864" s="8" t="n"/>
      <c r="B3864" s="9" t="n"/>
    </row>
    <row r="3865">
      <c r="A3865" s="8" t="n"/>
      <c r="B3865" s="9" t="n"/>
    </row>
    <row r="3866">
      <c r="A3866" s="8" t="n"/>
      <c r="B3866" s="9" t="n"/>
    </row>
    <row r="3867">
      <c r="A3867" s="8" t="n"/>
      <c r="B3867" s="9" t="n"/>
    </row>
    <row r="3868">
      <c r="A3868" s="8" t="n"/>
      <c r="B3868" s="9" t="n"/>
    </row>
    <row r="3869">
      <c r="A3869" s="8" t="n"/>
      <c r="B3869" s="9" t="n"/>
    </row>
    <row r="3870">
      <c r="A3870" s="8" t="n"/>
      <c r="B3870" s="9" t="n"/>
    </row>
    <row r="3871">
      <c r="A3871" s="8" t="n"/>
      <c r="B3871" s="9" t="n"/>
    </row>
    <row r="3872">
      <c r="A3872" s="8" t="n"/>
      <c r="B3872" s="9" t="n"/>
    </row>
    <row r="3873">
      <c r="A3873" s="8" t="n"/>
      <c r="B3873" s="9" t="n"/>
    </row>
    <row r="3874">
      <c r="A3874" s="8" t="n"/>
      <c r="B3874" s="9" t="n"/>
    </row>
    <row r="3875">
      <c r="A3875" s="8" t="n"/>
      <c r="B3875" s="9" t="n"/>
    </row>
    <row r="3876">
      <c r="A3876" s="8" t="n"/>
      <c r="B3876" s="9" t="n"/>
    </row>
    <row r="3877">
      <c r="A3877" s="8" t="n"/>
      <c r="B3877" s="9" t="n"/>
    </row>
    <row r="3878">
      <c r="A3878" s="8" t="n"/>
      <c r="B3878" s="9" t="n"/>
    </row>
    <row r="3879">
      <c r="A3879" s="8" t="n"/>
      <c r="B3879" s="9" t="n"/>
    </row>
    <row r="3880">
      <c r="A3880" s="8" t="n"/>
      <c r="B3880" s="9" t="n"/>
    </row>
    <row r="3881">
      <c r="A3881" s="8" t="n"/>
      <c r="B3881" s="9" t="n"/>
    </row>
    <row r="3882">
      <c r="A3882" s="8" t="n"/>
      <c r="B3882" s="9" t="n"/>
    </row>
    <row r="3883">
      <c r="A3883" s="8" t="n"/>
      <c r="B3883" s="9" t="n"/>
    </row>
    <row r="3884">
      <c r="A3884" s="8" t="n"/>
      <c r="B3884" s="9" t="n"/>
    </row>
    <row r="3885">
      <c r="A3885" s="8" t="n"/>
      <c r="B3885" s="9" t="n"/>
    </row>
    <row r="3886">
      <c r="A3886" s="8" t="n"/>
      <c r="B3886" s="9" t="n"/>
    </row>
    <row r="3887">
      <c r="A3887" s="8" t="n"/>
      <c r="B3887" s="9" t="n"/>
    </row>
    <row r="3888">
      <c r="A3888" s="8" t="n"/>
      <c r="B3888" s="9" t="n"/>
    </row>
    <row r="3889">
      <c r="A3889" s="8" t="n"/>
      <c r="B3889" s="9" t="n"/>
    </row>
    <row r="3890">
      <c r="A3890" s="8" t="n"/>
      <c r="B3890" s="9" t="n"/>
    </row>
    <row r="3891">
      <c r="A3891" s="8" t="n"/>
      <c r="B3891" s="9" t="n"/>
    </row>
    <row r="3892">
      <c r="A3892" s="8" t="n"/>
      <c r="B3892" s="9" t="n"/>
    </row>
    <row r="3893">
      <c r="A3893" s="8" t="n"/>
      <c r="B3893" s="9" t="n"/>
    </row>
    <row r="3894">
      <c r="A3894" s="8" t="n"/>
      <c r="B3894" s="9" t="n"/>
    </row>
    <row r="3895">
      <c r="A3895" s="8" t="n"/>
      <c r="B3895" s="9" t="n"/>
    </row>
    <row r="3896">
      <c r="A3896" s="8" t="n"/>
      <c r="B3896" s="9" t="n"/>
    </row>
    <row r="3897">
      <c r="A3897" s="8" t="n"/>
      <c r="B3897" s="9" t="n"/>
    </row>
    <row r="3898">
      <c r="A3898" s="8" t="n"/>
      <c r="B3898" s="9" t="n"/>
    </row>
    <row r="3899">
      <c r="A3899" s="8" t="n"/>
      <c r="B3899" s="9" t="n"/>
    </row>
    <row r="3900">
      <c r="A3900" s="8" t="n"/>
      <c r="B3900" s="9" t="n"/>
    </row>
    <row r="3901">
      <c r="A3901" s="8" t="n"/>
      <c r="B3901" s="9" t="n"/>
    </row>
    <row r="3902">
      <c r="A3902" s="8" t="n"/>
      <c r="B3902" s="9" t="n"/>
    </row>
    <row r="3903">
      <c r="A3903" s="8" t="n"/>
      <c r="B3903" s="9" t="n"/>
    </row>
    <row r="3904">
      <c r="A3904" s="8" t="n"/>
      <c r="B3904" s="9" t="n"/>
    </row>
    <row r="3905">
      <c r="A3905" s="8" t="n"/>
      <c r="B3905" s="9" t="n"/>
    </row>
    <row r="3906">
      <c r="A3906" s="8" t="n"/>
      <c r="B3906" s="9" t="n"/>
    </row>
    <row r="3907">
      <c r="A3907" s="8" t="n"/>
      <c r="B3907" s="9" t="n"/>
    </row>
    <row r="3908">
      <c r="A3908" s="8" t="n"/>
      <c r="B3908" s="9" t="n"/>
    </row>
    <row r="3909">
      <c r="A3909" s="8" t="n"/>
      <c r="B3909" s="9" t="n"/>
    </row>
    <row r="3910">
      <c r="A3910" s="8" t="n"/>
      <c r="B3910" s="9" t="n"/>
    </row>
    <row r="3911">
      <c r="A3911" s="8" t="n"/>
      <c r="B3911" s="9" t="n"/>
    </row>
    <row r="3912">
      <c r="A3912" s="8" t="n"/>
      <c r="B3912" s="9" t="n"/>
    </row>
    <row r="3913">
      <c r="A3913" s="8" t="n"/>
      <c r="B3913" s="9" t="n"/>
    </row>
    <row r="3914">
      <c r="A3914" s="8" t="n"/>
      <c r="B3914" s="9" t="n"/>
    </row>
    <row r="3915">
      <c r="A3915" s="8" t="n"/>
      <c r="B3915" s="9" t="n"/>
    </row>
    <row r="3916">
      <c r="A3916" s="8" t="n"/>
      <c r="B3916" s="9" t="n"/>
    </row>
    <row r="3917">
      <c r="A3917" s="8" t="n"/>
      <c r="B3917" s="9" t="n"/>
    </row>
    <row r="3918">
      <c r="A3918" s="8" t="n"/>
      <c r="B3918" s="9" t="n"/>
    </row>
    <row r="3919">
      <c r="A3919" s="8" t="n"/>
      <c r="B3919" s="9" t="n"/>
    </row>
    <row r="3920">
      <c r="A3920" s="8" t="n"/>
      <c r="B3920" s="9" t="n"/>
    </row>
    <row r="3921">
      <c r="A3921" s="8" t="n"/>
      <c r="B3921" s="9" t="n"/>
    </row>
    <row r="3922">
      <c r="A3922" s="8" t="n"/>
      <c r="B3922" s="9" t="n"/>
    </row>
    <row r="3923">
      <c r="A3923" s="8" t="n"/>
      <c r="B3923" s="9" t="n"/>
    </row>
    <row r="3924">
      <c r="A3924" s="8" t="n"/>
      <c r="B3924" s="9" t="n"/>
    </row>
    <row r="3925">
      <c r="A3925" s="8" t="n"/>
      <c r="B3925" s="9" t="n"/>
    </row>
    <row r="3926">
      <c r="A3926" s="8" t="n"/>
      <c r="B3926" s="9" t="n"/>
    </row>
    <row r="3927">
      <c r="A3927" s="8" t="n"/>
      <c r="B3927" s="9" t="n"/>
    </row>
    <row r="3928">
      <c r="A3928" s="8" t="n"/>
      <c r="B3928" s="9" t="n"/>
    </row>
    <row r="3929">
      <c r="A3929" s="8" t="n"/>
      <c r="B3929" s="9" t="n"/>
    </row>
    <row r="3930">
      <c r="A3930" s="8" t="n"/>
      <c r="B3930" s="9" t="n"/>
    </row>
    <row r="3931">
      <c r="A3931" s="8" t="n"/>
      <c r="B3931" s="9" t="n"/>
    </row>
    <row r="3932">
      <c r="A3932" s="8" t="n"/>
      <c r="B3932" s="9" t="n"/>
    </row>
    <row r="3933">
      <c r="A3933" s="8" t="n"/>
      <c r="B3933" s="9" t="n"/>
    </row>
    <row r="3934">
      <c r="A3934" s="8" t="n"/>
      <c r="B3934" s="9" t="n"/>
    </row>
    <row r="3935">
      <c r="A3935" s="8" t="n"/>
      <c r="B3935" s="9" t="n"/>
    </row>
    <row r="3936">
      <c r="A3936" s="8" t="n"/>
      <c r="B3936" s="9" t="n"/>
    </row>
    <row r="3937">
      <c r="A3937" s="8" t="n"/>
      <c r="B3937" s="9" t="n"/>
    </row>
    <row r="3938">
      <c r="A3938" s="8" t="n"/>
      <c r="B3938" s="9" t="n"/>
    </row>
    <row r="3939">
      <c r="A3939" s="8" t="n"/>
      <c r="B3939" s="9" t="n"/>
    </row>
    <row r="3940">
      <c r="A3940" s="8" t="n"/>
      <c r="B3940" s="9" t="n"/>
    </row>
    <row r="3941">
      <c r="A3941" s="8" t="n"/>
      <c r="B3941" s="9" t="n"/>
    </row>
    <row r="3942">
      <c r="A3942" s="8" t="n"/>
      <c r="B3942" s="9" t="n"/>
    </row>
    <row r="3943">
      <c r="A3943" s="8" t="n"/>
      <c r="B3943" s="9" t="n"/>
    </row>
    <row r="3944">
      <c r="A3944" s="8" t="n"/>
      <c r="B3944" s="9" t="n"/>
    </row>
    <row r="3945">
      <c r="A3945" s="8" t="n"/>
      <c r="B3945" s="9" t="n"/>
    </row>
    <row r="3946">
      <c r="A3946" s="8" t="n"/>
      <c r="B3946" s="9" t="n"/>
    </row>
    <row r="3947">
      <c r="A3947" s="8" t="n"/>
      <c r="B3947" s="9" t="n"/>
    </row>
    <row r="3948">
      <c r="A3948" s="8" t="n"/>
      <c r="B3948" s="9" t="n"/>
    </row>
    <row r="3949">
      <c r="A3949" s="8" t="n"/>
      <c r="B3949" s="9" t="n"/>
    </row>
    <row r="3950">
      <c r="A3950" s="8" t="n"/>
      <c r="B3950" s="9" t="n"/>
    </row>
    <row r="3951">
      <c r="A3951" s="8" t="n"/>
      <c r="B3951" s="9" t="n"/>
    </row>
    <row r="3952">
      <c r="A3952" s="8" t="n"/>
      <c r="B3952" s="9" t="n"/>
    </row>
    <row r="3953">
      <c r="A3953" s="8" t="n"/>
      <c r="B3953" s="9" t="n"/>
    </row>
    <row r="3954">
      <c r="A3954" s="8" t="n"/>
      <c r="B3954" s="9" t="n"/>
    </row>
    <row r="3955">
      <c r="A3955" s="8" t="n"/>
      <c r="B3955" s="9" t="n"/>
    </row>
    <row r="3956">
      <c r="A3956" s="8" t="n"/>
      <c r="B3956" s="9" t="n"/>
    </row>
    <row r="3957">
      <c r="A3957" s="8" t="n"/>
      <c r="B3957" s="9" t="n"/>
    </row>
    <row r="3958">
      <c r="A3958" s="8" t="n"/>
      <c r="B3958" s="9" t="n"/>
    </row>
    <row r="3959">
      <c r="A3959" s="8" t="n"/>
      <c r="B3959" s="9" t="n"/>
    </row>
    <row r="3960">
      <c r="A3960" s="8" t="n"/>
      <c r="B3960" s="9" t="n"/>
    </row>
    <row r="3961">
      <c r="A3961" s="8" t="n"/>
      <c r="B3961" s="9" t="n"/>
    </row>
    <row r="3962">
      <c r="A3962" s="8" t="n"/>
      <c r="B3962" s="9" t="n"/>
    </row>
    <row r="3963">
      <c r="A3963" s="8" t="n"/>
      <c r="B3963" s="9" t="n"/>
    </row>
    <row r="3964">
      <c r="A3964" s="8" t="n"/>
      <c r="B3964" s="9" t="n"/>
    </row>
    <row r="3965">
      <c r="A3965" s="8" t="n"/>
      <c r="B3965" s="9" t="n"/>
    </row>
    <row r="3966">
      <c r="A3966" s="8" t="n"/>
      <c r="B3966" s="9" t="n"/>
    </row>
    <row r="3967">
      <c r="A3967" s="8" t="n"/>
      <c r="B3967" s="9" t="n"/>
    </row>
    <row r="3968">
      <c r="A3968" s="8" t="n"/>
      <c r="B3968" s="9" t="n"/>
    </row>
    <row r="3969">
      <c r="A3969" s="8" t="n"/>
      <c r="B3969" s="9" t="n"/>
    </row>
    <row r="3970">
      <c r="A3970" s="8" t="n"/>
      <c r="B3970" s="9" t="n"/>
    </row>
    <row r="3971">
      <c r="A3971" s="8" t="n"/>
      <c r="B3971" s="9" t="n"/>
    </row>
    <row r="3972">
      <c r="A3972" s="8" t="n"/>
      <c r="B3972" s="9" t="n"/>
    </row>
    <row r="3973">
      <c r="A3973" s="8" t="n"/>
      <c r="B3973" s="9" t="n"/>
    </row>
    <row r="3974">
      <c r="A3974" s="8" t="n"/>
      <c r="B3974" s="9" t="n"/>
    </row>
    <row r="3975">
      <c r="A3975" s="8" t="n"/>
      <c r="B3975" s="9" t="n"/>
    </row>
    <row r="3976">
      <c r="A3976" s="8" t="n"/>
      <c r="B3976" s="9" t="n"/>
    </row>
    <row r="3977">
      <c r="A3977" s="8" t="n"/>
      <c r="B3977" s="9" t="n"/>
    </row>
    <row r="3978">
      <c r="A3978" s="8" t="n"/>
      <c r="B3978" s="9" t="n"/>
    </row>
    <row r="3979">
      <c r="A3979" s="8" t="n"/>
      <c r="B3979" s="9" t="n"/>
    </row>
    <row r="3980">
      <c r="A3980" s="8" t="n"/>
      <c r="B3980" s="9" t="n"/>
    </row>
    <row r="3981">
      <c r="A3981" s="8" t="n"/>
      <c r="B3981" s="9" t="n"/>
    </row>
    <row r="3982">
      <c r="A3982" s="8" t="n"/>
      <c r="B3982" s="9" t="n"/>
    </row>
    <row r="3983">
      <c r="A3983" s="8" t="n"/>
      <c r="B3983" s="9" t="n"/>
    </row>
    <row r="3984">
      <c r="A3984" s="8" t="n"/>
      <c r="B3984" s="9" t="n"/>
    </row>
    <row r="3985">
      <c r="A3985" s="8" t="n"/>
      <c r="B3985" s="9" t="n"/>
    </row>
    <row r="3986">
      <c r="A3986" s="8" t="n"/>
      <c r="B3986" s="9" t="n"/>
    </row>
    <row r="3987">
      <c r="A3987" s="8" t="n"/>
      <c r="B3987" s="9" t="n"/>
    </row>
    <row r="3988">
      <c r="A3988" s="8" t="n"/>
      <c r="B3988" s="9" t="n"/>
    </row>
    <row r="3989">
      <c r="A3989" s="8" t="n"/>
      <c r="B3989" s="9" t="n"/>
    </row>
    <row r="3990">
      <c r="A3990" s="8" t="n"/>
      <c r="B3990" s="9" t="n"/>
    </row>
    <row r="3991">
      <c r="A3991" s="8" t="n"/>
      <c r="B3991" s="9" t="n"/>
    </row>
    <row r="3992">
      <c r="A3992" s="8" t="n"/>
      <c r="B3992" s="9" t="n"/>
    </row>
    <row r="3993">
      <c r="A3993" s="8" t="n"/>
      <c r="B3993" s="9" t="n"/>
    </row>
    <row r="3994">
      <c r="A3994" s="8" t="n"/>
      <c r="B3994" s="9" t="n"/>
    </row>
    <row r="3995">
      <c r="A3995" s="8" t="n"/>
      <c r="B3995" s="9" t="n"/>
    </row>
    <row r="3996">
      <c r="A3996" s="8" t="n"/>
      <c r="B3996" s="9" t="n"/>
    </row>
    <row r="3997">
      <c r="A3997" s="8" t="n"/>
      <c r="B3997" s="9" t="n"/>
    </row>
    <row r="3998">
      <c r="A3998" s="8" t="n"/>
      <c r="B3998" s="9" t="n"/>
    </row>
    <row r="3999">
      <c r="A3999" s="8" t="n"/>
      <c r="B3999" s="9" t="n"/>
    </row>
    <row r="4000">
      <c r="A4000" s="8" t="n"/>
      <c r="B4000" s="9" t="n"/>
    </row>
    <row r="4001">
      <c r="A4001" s="8" t="n"/>
      <c r="B4001" s="9" t="n"/>
    </row>
    <row r="4002">
      <c r="A4002" s="8" t="n"/>
      <c r="B4002" s="9" t="n"/>
    </row>
    <row r="4003">
      <c r="A4003" s="8" t="n"/>
      <c r="B4003" s="9" t="n"/>
    </row>
    <row r="4004">
      <c r="A4004" s="8" t="n"/>
      <c r="B4004" s="9" t="n"/>
    </row>
    <row r="4005">
      <c r="A4005" s="8" t="n"/>
      <c r="B4005" s="9" t="n"/>
    </row>
    <row r="4006">
      <c r="A4006" s="8" t="n"/>
      <c r="B4006" s="9" t="n"/>
    </row>
    <row r="4007">
      <c r="A4007" s="8" t="n"/>
      <c r="B4007" s="9" t="n"/>
    </row>
    <row r="4008">
      <c r="A4008" s="8" t="n"/>
      <c r="B4008" s="9" t="n"/>
    </row>
    <row r="4009">
      <c r="A4009" s="8" t="n"/>
      <c r="B4009" s="9" t="n"/>
    </row>
    <row r="4010">
      <c r="A4010" s="8" t="n"/>
      <c r="B4010" s="9" t="n"/>
    </row>
    <row r="4011">
      <c r="A4011" s="8" t="n"/>
      <c r="B4011" s="9" t="n"/>
    </row>
    <row r="4012">
      <c r="A4012" s="8" t="n"/>
      <c r="B4012" s="9" t="n"/>
    </row>
    <row r="4013">
      <c r="A4013" s="8" t="n"/>
      <c r="B4013" s="9" t="n"/>
    </row>
    <row r="4014">
      <c r="A4014" s="8" t="n"/>
      <c r="B4014" s="9" t="n"/>
    </row>
    <row r="4015">
      <c r="A4015" s="8" t="n"/>
      <c r="B4015" s="9" t="n"/>
    </row>
    <row r="4016">
      <c r="A4016" s="8" t="n"/>
      <c r="B4016" s="9" t="n"/>
    </row>
    <row r="4017">
      <c r="A4017" s="8" t="n"/>
      <c r="B4017" s="9" t="n"/>
    </row>
    <row r="4018">
      <c r="A4018" s="8" t="n"/>
      <c r="B4018" s="9" t="n"/>
    </row>
    <row r="4019">
      <c r="A4019" s="8" t="n"/>
      <c r="B4019" s="9" t="n"/>
    </row>
    <row r="4020">
      <c r="A4020" s="8" t="n"/>
      <c r="B4020" s="9" t="n"/>
    </row>
    <row r="4021">
      <c r="A4021" s="8" t="n"/>
      <c r="B4021" s="9" t="n"/>
    </row>
    <row r="4022">
      <c r="A4022" s="8" t="n"/>
      <c r="B4022" s="9" t="n"/>
    </row>
    <row r="4023">
      <c r="A4023" s="8" t="n"/>
      <c r="B4023" s="9" t="n"/>
    </row>
    <row r="4024">
      <c r="A4024" s="8" t="n"/>
      <c r="B4024" s="9" t="n"/>
    </row>
    <row r="4025">
      <c r="A4025" s="8" t="n"/>
      <c r="B4025" s="9" t="n"/>
    </row>
    <row r="4026">
      <c r="A4026" s="8" t="n"/>
      <c r="B4026" s="9" t="n"/>
    </row>
    <row r="4027">
      <c r="A4027" s="8" t="n"/>
      <c r="B4027" s="9" t="n"/>
    </row>
    <row r="4028">
      <c r="A4028" s="8" t="n"/>
      <c r="B4028" s="9" t="n"/>
    </row>
    <row r="4029">
      <c r="A4029" s="8" t="n"/>
      <c r="B4029" s="9" t="n"/>
    </row>
    <row r="4030">
      <c r="A4030" s="8" t="n"/>
      <c r="B4030" s="9" t="n"/>
    </row>
    <row r="4031">
      <c r="A4031" s="8" t="n"/>
      <c r="B4031" s="9" t="n"/>
    </row>
    <row r="4032">
      <c r="A4032" s="8" t="n"/>
      <c r="B4032" s="9" t="n"/>
    </row>
    <row r="4033">
      <c r="A4033" s="8" t="n"/>
      <c r="B4033" s="9" t="n"/>
    </row>
    <row r="4034">
      <c r="A4034" s="8" t="n"/>
      <c r="B4034" s="9" t="n"/>
    </row>
    <row r="4035">
      <c r="A4035" s="8" t="n"/>
      <c r="B4035" s="9" t="n"/>
    </row>
    <row r="4036">
      <c r="A4036" s="8" t="n"/>
      <c r="B4036" s="9" t="n"/>
    </row>
    <row r="4037">
      <c r="A4037" s="8" t="n"/>
      <c r="B4037" s="9" t="n"/>
    </row>
    <row r="4038">
      <c r="A4038" s="8" t="n"/>
      <c r="B4038" s="9" t="n"/>
    </row>
    <row r="4039">
      <c r="A4039" s="8" t="n"/>
      <c r="B4039" s="9" t="n"/>
    </row>
    <row r="4040">
      <c r="A4040" s="8" t="n"/>
      <c r="B4040" s="9" t="n"/>
    </row>
    <row r="4041">
      <c r="A4041" s="8" t="n"/>
      <c r="B4041" s="9" t="n"/>
    </row>
    <row r="4042">
      <c r="A4042" s="8" t="n"/>
      <c r="B4042" s="9" t="n"/>
    </row>
    <row r="4043">
      <c r="A4043" s="8" t="n"/>
      <c r="B4043" s="9" t="n"/>
    </row>
    <row r="4044">
      <c r="A4044" s="8" t="n"/>
      <c r="B4044" s="9" t="n"/>
    </row>
    <row r="4045">
      <c r="A4045" s="8" t="n"/>
      <c r="B4045" s="9" t="n"/>
    </row>
    <row r="4046">
      <c r="A4046" s="8" t="n"/>
      <c r="B4046" s="9" t="n"/>
    </row>
    <row r="4047">
      <c r="A4047" s="8" t="n"/>
      <c r="B4047" s="9" t="n"/>
    </row>
    <row r="4048">
      <c r="A4048" s="8" t="n"/>
      <c r="B4048" s="9" t="n"/>
    </row>
    <row r="4049">
      <c r="A4049" s="8" t="n"/>
      <c r="B4049" s="9" t="n"/>
    </row>
    <row r="4050">
      <c r="A4050" s="8" t="n"/>
      <c r="B4050" s="9" t="n"/>
    </row>
    <row r="4051">
      <c r="A4051" s="8" t="n"/>
      <c r="B4051" s="9" t="n"/>
    </row>
    <row r="4052">
      <c r="A4052" s="8" t="n"/>
      <c r="B4052" s="9" t="n"/>
    </row>
    <row r="4053">
      <c r="A4053" s="8" t="n"/>
      <c r="B4053" s="9" t="n"/>
    </row>
    <row r="4054">
      <c r="A4054" s="8" t="n"/>
      <c r="B4054" s="9" t="n"/>
    </row>
    <row r="4055">
      <c r="A4055" s="8" t="n"/>
      <c r="B4055" s="9" t="n"/>
    </row>
    <row r="4056">
      <c r="A4056" s="8" t="n"/>
      <c r="B4056" s="9" t="n"/>
    </row>
    <row r="4057">
      <c r="A4057" s="8" t="n"/>
      <c r="B4057" s="9" t="n"/>
    </row>
    <row r="4058">
      <c r="A4058" s="8" t="n"/>
      <c r="B4058" s="9" t="n"/>
    </row>
    <row r="4059">
      <c r="A4059" s="8" t="n"/>
      <c r="B4059" s="9" t="n"/>
    </row>
    <row r="4060">
      <c r="A4060" s="8" t="n"/>
      <c r="B4060" s="9" t="n"/>
    </row>
    <row r="4061">
      <c r="A4061" s="8" t="n"/>
      <c r="B4061" s="9" t="n"/>
    </row>
    <row r="4062">
      <c r="A4062" s="8" t="n"/>
      <c r="B4062" s="9" t="n"/>
    </row>
    <row r="4063">
      <c r="A4063" s="8" t="n"/>
      <c r="B4063" s="9" t="n"/>
    </row>
    <row r="4064">
      <c r="A4064" s="8" t="n"/>
      <c r="B4064" s="9" t="n"/>
    </row>
    <row r="4065">
      <c r="A4065" s="8" t="n"/>
      <c r="B4065" s="9" t="n"/>
    </row>
    <row r="4066">
      <c r="A4066" s="8" t="n"/>
      <c r="B4066" s="9" t="n"/>
    </row>
    <row r="4067">
      <c r="A4067" s="8" t="n"/>
      <c r="B4067" s="9" t="n"/>
    </row>
    <row r="4068">
      <c r="A4068" s="8" t="n"/>
      <c r="B4068" s="9" t="n"/>
    </row>
    <row r="4069">
      <c r="A4069" s="8" t="n"/>
      <c r="B4069" s="9" t="n"/>
    </row>
    <row r="4070">
      <c r="A4070" s="8" t="n"/>
      <c r="B4070" s="9" t="n"/>
    </row>
    <row r="4071">
      <c r="A4071" s="8" t="n"/>
      <c r="B4071" s="9" t="n"/>
    </row>
    <row r="4072">
      <c r="A4072" s="8" t="n"/>
      <c r="B4072" s="9" t="n"/>
    </row>
    <row r="4073">
      <c r="A4073" s="8" t="n"/>
      <c r="B4073" s="9" t="n"/>
    </row>
    <row r="4074">
      <c r="A4074" s="8" t="n"/>
      <c r="B4074" s="9" t="n"/>
    </row>
    <row r="4075">
      <c r="A4075" s="8" t="n"/>
      <c r="B4075" s="9" t="n"/>
    </row>
    <row r="4076">
      <c r="A4076" s="8" t="n"/>
      <c r="B4076" s="9" t="n"/>
    </row>
    <row r="4077">
      <c r="A4077" s="8" t="n"/>
      <c r="B4077" s="9" t="n"/>
    </row>
    <row r="4078">
      <c r="A4078" s="8" t="n"/>
      <c r="B4078" s="9" t="n"/>
    </row>
    <row r="4079">
      <c r="A4079" s="8" t="n"/>
      <c r="B4079" s="9" t="n"/>
    </row>
    <row r="4080">
      <c r="A4080" s="8" t="n"/>
      <c r="B4080" s="9" t="n"/>
    </row>
    <row r="4081">
      <c r="A4081" s="8" t="n"/>
      <c r="B4081" s="9" t="n"/>
    </row>
    <row r="4082">
      <c r="A4082" s="8" t="n"/>
      <c r="B4082" s="9" t="n"/>
    </row>
    <row r="4083">
      <c r="A4083" s="8" t="n"/>
      <c r="B4083" s="9" t="n"/>
    </row>
    <row r="4084">
      <c r="A4084" s="8" t="n"/>
      <c r="B4084" s="9" t="n"/>
    </row>
    <row r="4085">
      <c r="A4085" s="8" t="n"/>
      <c r="B4085" s="9" t="n"/>
    </row>
    <row r="4086">
      <c r="A4086" s="8" t="n"/>
      <c r="B4086" s="9" t="n"/>
    </row>
    <row r="4087">
      <c r="A4087" s="8" t="n"/>
      <c r="B4087" s="9" t="n"/>
    </row>
    <row r="4088">
      <c r="A4088" s="8" t="n"/>
      <c r="B4088" s="9" t="n"/>
    </row>
    <row r="4089">
      <c r="A4089" s="8" t="n"/>
      <c r="B4089" s="9" t="n"/>
    </row>
    <row r="4090">
      <c r="A4090" s="8" t="n"/>
      <c r="B4090" s="9" t="n"/>
    </row>
    <row r="4091">
      <c r="A4091" s="8" t="n"/>
      <c r="B4091" s="9" t="n"/>
    </row>
    <row r="4092">
      <c r="A4092" s="8" t="n"/>
      <c r="B4092" s="9" t="n"/>
    </row>
    <row r="4093">
      <c r="A4093" s="8" t="n"/>
      <c r="B4093" s="9" t="n"/>
    </row>
    <row r="4094">
      <c r="A4094" s="8" t="n"/>
      <c r="B4094" s="9" t="n"/>
    </row>
    <row r="4095">
      <c r="A4095" s="8" t="n"/>
      <c r="B4095" s="9" t="n"/>
    </row>
    <row r="4096">
      <c r="A4096" s="8" t="n"/>
      <c r="B4096" s="9" t="n"/>
    </row>
    <row r="4097">
      <c r="A4097" s="8" t="n"/>
      <c r="B4097" s="9" t="n"/>
    </row>
    <row r="4098">
      <c r="A4098" s="8" t="n"/>
      <c r="B4098" s="9" t="n"/>
    </row>
    <row r="4099">
      <c r="A4099" s="8" t="n"/>
      <c r="B4099" s="9" t="n"/>
    </row>
    <row r="4100">
      <c r="A4100" s="8" t="n"/>
      <c r="B4100" s="9" t="n"/>
    </row>
    <row r="4101">
      <c r="A4101" s="8" t="n"/>
      <c r="B4101" s="9" t="n"/>
    </row>
    <row r="4102">
      <c r="A4102" s="8" t="n"/>
      <c r="B4102" s="9" t="n"/>
    </row>
    <row r="4103">
      <c r="A4103" s="8" t="n"/>
      <c r="B4103" s="9" t="n"/>
    </row>
    <row r="4104">
      <c r="A4104" s="8" t="n"/>
      <c r="B4104" s="9" t="n"/>
    </row>
    <row r="4105">
      <c r="A4105" s="8" t="n"/>
      <c r="B4105" s="9" t="n"/>
    </row>
    <row r="4106">
      <c r="A4106" s="8" t="n"/>
      <c r="B4106" s="9" t="n"/>
    </row>
    <row r="4107">
      <c r="A4107" s="8" t="n"/>
      <c r="B4107" s="9" t="n"/>
    </row>
    <row r="4108">
      <c r="A4108" s="8" t="n"/>
      <c r="B4108" s="9" t="n"/>
    </row>
    <row r="4109">
      <c r="A4109" s="8" t="n"/>
      <c r="B4109" s="9" t="n"/>
    </row>
    <row r="4110">
      <c r="A4110" s="8" t="n"/>
      <c r="B4110" s="9" t="n"/>
    </row>
    <row r="4111">
      <c r="A4111" s="8" t="n"/>
      <c r="B4111" s="9" t="n"/>
    </row>
    <row r="4112">
      <c r="A4112" s="8" t="n"/>
      <c r="B4112" s="9" t="n"/>
    </row>
    <row r="4113">
      <c r="A4113" s="8" t="n"/>
      <c r="B4113" s="9" t="n"/>
    </row>
    <row r="4114">
      <c r="A4114" s="8" t="n"/>
      <c r="B4114" s="9" t="n"/>
    </row>
    <row r="4115">
      <c r="A4115" s="8" t="n"/>
      <c r="B4115" s="9" t="n"/>
    </row>
    <row r="4116">
      <c r="A4116" s="8" t="n"/>
      <c r="B4116" s="9" t="n"/>
    </row>
    <row r="4117">
      <c r="A4117" s="8" t="n"/>
      <c r="B4117" s="9" t="n"/>
    </row>
    <row r="4118">
      <c r="A4118" s="8" t="n"/>
      <c r="B4118" s="9" t="n"/>
    </row>
    <row r="4119">
      <c r="A4119" s="8" t="n"/>
      <c r="B4119" s="9" t="n"/>
    </row>
    <row r="4120">
      <c r="A4120" s="8" t="n"/>
      <c r="B4120" s="9" t="n"/>
    </row>
    <row r="4121">
      <c r="A4121" s="8" t="n"/>
      <c r="B4121" s="9" t="n"/>
    </row>
    <row r="4122">
      <c r="A4122" s="8" t="n"/>
      <c r="B4122" s="9" t="n"/>
    </row>
    <row r="4123">
      <c r="A4123" s="8" t="n"/>
      <c r="B4123" s="9" t="n"/>
    </row>
    <row r="4124">
      <c r="A4124" s="8" t="n"/>
      <c r="B4124" s="9" t="n"/>
    </row>
    <row r="4125">
      <c r="A4125" s="8" t="n"/>
      <c r="B4125" s="9" t="n"/>
    </row>
    <row r="4126">
      <c r="A4126" s="8" t="n"/>
      <c r="B4126" s="9" t="n"/>
    </row>
    <row r="4127">
      <c r="A4127" s="8" t="n"/>
      <c r="B4127" s="9" t="n"/>
    </row>
    <row r="4128">
      <c r="A4128" s="8" t="n"/>
      <c r="B4128" s="9" t="n"/>
    </row>
    <row r="4129">
      <c r="A4129" s="8" t="n"/>
      <c r="B4129" s="9" t="n"/>
    </row>
    <row r="4130">
      <c r="A4130" s="8" t="n"/>
      <c r="B4130" s="9" t="n"/>
    </row>
    <row r="4131">
      <c r="A4131" s="8" t="n"/>
      <c r="B4131" s="9" t="n"/>
    </row>
    <row r="4132">
      <c r="A4132" s="8" t="n"/>
      <c r="B4132" s="9" t="n"/>
    </row>
    <row r="4133">
      <c r="A4133" s="8" t="n"/>
      <c r="B4133" s="9" t="n"/>
    </row>
    <row r="4134">
      <c r="A4134" s="8" t="n"/>
      <c r="B4134" s="9" t="n"/>
    </row>
    <row r="4135">
      <c r="A4135" s="8" t="n"/>
      <c r="B4135" s="9" t="n"/>
    </row>
    <row r="4136">
      <c r="A4136" s="8" t="n"/>
      <c r="B4136" s="9" t="n"/>
    </row>
    <row r="4137">
      <c r="A4137" s="8" t="n"/>
      <c r="B4137" s="9" t="n"/>
    </row>
    <row r="4138">
      <c r="A4138" s="8" t="n"/>
      <c r="B4138" s="9" t="n"/>
    </row>
    <row r="4139">
      <c r="A4139" s="8" t="n"/>
      <c r="B4139" s="9" t="n"/>
    </row>
    <row r="4140">
      <c r="A4140" s="8" t="n"/>
      <c r="B4140" s="9" t="n"/>
    </row>
    <row r="4141">
      <c r="A4141" s="8" t="n"/>
      <c r="B4141" s="9" t="n"/>
    </row>
    <row r="4142">
      <c r="A4142" s="8" t="n"/>
      <c r="B4142" s="9" t="n"/>
    </row>
    <row r="4143">
      <c r="A4143" s="8" t="n"/>
      <c r="B4143" s="9" t="n"/>
    </row>
    <row r="4144">
      <c r="A4144" s="8" t="n"/>
      <c r="B4144" s="9" t="n"/>
    </row>
    <row r="4145">
      <c r="A4145" s="8" t="n"/>
      <c r="B4145" s="9" t="n"/>
    </row>
    <row r="4146">
      <c r="A4146" s="8" t="n"/>
      <c r="B4146" s="9" t="n"/>
    </row>
    <row r="4147">
      <c r="A4147" s="8" t="n"/>
      <c r="B4147" s="9" t="n"/>
    </row>
    <row r="4148">
      <c r="A4148" s="8" t="n"/>
      <c r="B4148" s="9" t="n"/>
    </row>
    <row r="4149">
      <c r="A4149" s="8" t="n"/>
      <c r="B4149" s="9" t="n"/>
    </row>
    <row r="4150">
      <c r="A4150" s="8" t="n"/>
      <c r="B4150" s="9" t="n"/>
    </row>
    <row r="4151">
      <c r="A4151" s="8" t="n"/>
      <c r="B4151" s="9" t="n"/>
    </row>
    <row r="4152">
      <c r="A4152" s="8" t="n"/>
      <c r="B4152" s="9" t="n"/>
    </row>
    <row r="4153">
      <c r="A4153" s="8" t="n"/>
      <c r="B4153" s="9" t="n"/>
    </row>
    <row r="4154">
      <c r="A4154" s="8" t="n"/>
      <c r="B4154" s="9" t="n"/>
    </row>
    <row r="4155">
      <c r="A4155" s="8" t="n"/>
      <c r="B4155" s="9" t="n"/>
    </row>
    <row r="4156">
      <c r="A4156" s="8" t="n"/>
      <c r="B4156" s="9" t="n"/>
    </row>
    <row r="4157">
      <c r="A4157" s="8" t="n"/>
      <c r="B4157" s="9" t="n"/>
    </row>
    <row r="4158">
      <c r="A4158" s="8" t="n"/>
      <c r="B4158" s="9" t="n"/>
    </row>
    <row r="4159">
      <c r="A4159" s="8" t="n"/>
      <c r="B4159" s="9" t="n"/>
    </row>
    <row r="4160">
      <c r="A4160" s="8" t="n"/>
      <c r="B4160" s="9" t="n"/>
    </row>
    <row r="4161">
      <c r="A4161" s="8" t="n"/>
      <c r="B4161" s="9" t="n"/>
    </row>
    <row r="4162">
      <c r="A4162" s="8" t="n"/>
      <c r="B4162" s="9" t="n"/>
    </row>
    <row r="4163">
      <c r="A4163" s="8" t="n"/>
      <c r="B4163" s="9" t="n"/>
    </row>
    <row r="4164">
      <c r="A4164" s="8" t="n"/>
      <c r="B4164" s="9" t="n"/>
    </row>
    <row r="4165">
      <c r="A4165" s="8" t="n"/>
      <c r="B4165" s="9" t="n"/>
    </row>
    <row r="4166">
      <c r="A4166" s="8" t="n"/>
      <c r="B4166" s="9" t="n"/>
    </row>
    <row r="4167">
      <c r="A4167" s="8" t="n"/>
      <c r="B4167" s="9" t="n"/>
    </row>
    <row r="4168">
      <c r="A4168" s="8" t="n"/>
      <c r="B4168" s="9" t="n"/>
    </row>
    <row r="4169">
      <c r="A4169" s="8" t="n"/>
      <c r="B4169" s="9" t="n"/>
    </row>
    <row r="4170">
      <c r="A4170" s="8" t="n"/>
      <c r="B4170" s="9" t="n"/>
    </row>
    <row r="4171">
      <c r="A4171" s="8" t="n"/>
      <c r="B4171" s="9" t="n"/>
    </row>
    <row r="4172">
      <c r="A4172" s="8" t="n"/>
      <c r="B4172" s="9" t="n"/>
    </row>
    <row r="4173">
      <c r="A4173" s="8" t="n"/>
      <c r="B4173" s="9" t="n"/>
    </row>
    <row r="4174">
      <c r="A4174" s="8" t="n"/>
      <c r="B4174" s="9" t="n"/>
    </row>
    <row r="4175">
      <c r="A4175" s="8" t="n"/>
      <c r="B4175" s="9" t="n"/>
    </row>
    <row r="4176">
      <c r="A4176" s="8" t="n"/>
      <c r="B4176" s="9" t="n"/>
    </row>
    <row r="4177">
      <c r="A4177" s="8" t="n"/>
      <c r="B4177" s="9" t="n"/>
    </row>
    <row r="4178">
      <c r="A4178" s="8" t="n"/>
      <c r="B4178" s="9" t="n"/>
    </row>
    <row r="4179">
      <c r="A4179" s="8" t="n"/>
      <c r="B4179" s="9" t="n"/>
    </row>
    <row r="4180">
      <c r="A4180" s="8" t="n"/>
      <c r="B4180" s="9" t="n"/>
    </row>
    <row r="4181">
      <c r="A4181" s="8" t="n"/>
      <c r="B4181" s="9" t="n"/>
    </row>
    <row r="4182">
      <c r="A4182" s="8" t="n"/>
      <c r="B4182" s="9" t="n"/>
    </row>
    <row r="4183">
      <c r="A4183" s="8" t="n"/>
      <c r="B4183" s="9" t="n"/>
    </row>
    <row r="4184">
      <c r="A4184" s="8" t="n"/>
      <c r="B4184" s="9" t="n"/>
    </row>
    <row r="4185">
      <c r="A4185" s="8" t="n"/>
      <c r="B4185" s="9" t="n"/>
    </row>
    <row r="4186">
      <c r="A4186" s="8" t="n"/>
      <c r="B4186" s="9" t="n"/>
    </row>
    <row r="4187">
      <c r="A4187" s="8" t="n"/>
      <c r="B4187" s="9" t="n"/>
    </row>
    <row r="4188">
      <c r="A4188" s="8" t="n"/>
      <c r="B4188" s="9" t="n"/>
    </row>
    <row r="4189">
      <c r="A4189" s="8" t="n"/>
      <c r="B4189" s="9" t="n"/>
    </row>
    <row r="4190">
      <c r="A4190" s="8" t="n"/>
      <c r="B4190" s="9" t="n"/>
    </row>
    <row r="4191">
      <c r="A4191" s="8" t="n"/>
      <c r="B4191" s="9" t="n"/>
    </row>
    <row r="4192">
      <c r="A4192" s="8" t="n"/>
      <c r="B4192" s="9" t="n"/>
    </row>
    <row r="4193">
      <c r="A4193" s="8" t="n"/>
      <c r="B4193" s="9" t="n"/>
    </row>
    <row r="4194">
      <c r="A4194" s="8" t="n"/>
      <c r="B4194" s="9" t="n"/>
    </row>
    <row r="4195">
      <c r="A4195" s="8" t="n"/>
      <c r="B4195" s="9" t="n"/>
    </row>
    <row r="4196">
      <c r="A4196" s="8" t="n"/>
      <c r="B4196" s="9" t="n"/>
    </row>
    <row r="4197">
      <c r="A4197" s="8" t="n"/>
      <c r="B4197" s="9" t="n"/>
    </row>
    <row r="4198">
      <c r="A4198" s="8" t="n"/>
      <c r="B4198" s="9" t="n"/>
    </row>
    <row r="4199">
      <c r="A4199" s="8" t="n"/>
      <c r="B4199" s="9" t="n"/>
    </row>
    <row r="4200">
      <c r="A4200" s="8" t="n"/>
      <c r="B4200" s="9" t="n"/>
    </row>
    <row r="4201">
      <c r="A4201" s="8" t="n"/>
      <c r="B4201" s="9" t="n"/>
    </row>
    <row r="4202">
      <c r="A4202" s="8" t="n"/>
      <c r="B4202" s="9" t="n"/>
    </row>
    <row r="4203">
      <c r="A4203" s="8" t="n"/>
      <c r="B4203" s="9" t="n"/>
    </row>
    <row r="4204">
      <c r="A4204" s="8" t="n"/>
      <c r="B4204" s="9" t="n"/>
    </row>
    <row r="4205">
      <c r="A4205" s="8" t="n"/>
      <c r="B4205" s="9" t="n"/>
    </row>
    <row r="4206">
      <c r="A4206" s="8" t="n"/>
      <c r="B4206" s="9" t="n"/>
    </row>
    <row r="4207">
      <c r="A4207" s="8" t="n"/>
      <c r="B4207" s="9" t="n"/>
    </row>
    <row r="4208">
      <c r="A4208" s="8" t="n"/>
      <c r="B4208" s="9" t="n"/>
    </row>
    <row r="4209">
      <c r="A4209" s="8" t="n"/>
      <c r="B4209" s="9" t="n"/>
    </row>
    <row r="4210">
      <c r="A4210" s="8" t="n"/>
      <c r="B4210" s="9" t="n"/>
    </row>
    <row r="4211">
      <c r="A4211" s="8" t="n"/>
      <c r="B4211" s="9" t="n"/>
    </row>
    <row r="4212">
      <c r="A4212" s="8" t="n"/>
      <c r="B4212" s="9" t="n"/>
    </row>
    <row r="4213">
      <c r="A4213" s="8" t="n"/>
      <c r="B4213" s="9" t="n"/>
    </row>
    <row r="4214">
      <c r="A4214" s="8" t="n"/>
      <c r="B4214" s="9" t="n"/>
    </row>
    <row r="4215">
      <c r="A4215" s="8" t="n"/>
      <c r="B4215" s="9" t="n"/>
    </row>
    <row r="4216">
      <c r="A4216" s="8" t="n"/>
      <c r="B4216" s="9" t="n"/>
    </row>
    <row r="4217">
      <c r="A4217" s="8" t="n"/>
      <c r="B4217" s="9" t="n"/>
    </row>
    <row r="4218">
      <c r="A4218" s="8" t="n"/>
      <c r="B4218" s="9" t="n"/>
    </row>
    <row r="4219">
      <c r="A4219" s="8" t="n"/>
      <c r="B4219" s="9" t="n"/>
    </row>
    <row r="4220">
      <c r="A4220" s="8" t="n"/>
      <c r="B4220" s="9" t="n"/>
    </row>
    <row r="4221">
      <c r="A4221" s="8" t="n"/>
      <c r="B4221" s="9" t="n"/>
    </row>
    <row r="4222">
      <c r="A4222" s="8" t="n"/>
      <c r="B4222" s="9" t="n"/>
    </row>
    <row r="4223">
      <c r="A4223" s="8" t="n"/>
      <c r="B4223" s="9" t="n"/>
    </row>
    <row r="4224">
      <c r="A4224" s="8" t="n"/>
      <c r="B4224" s="9" t="n"/>
    </row>
    <row r="4225">
      <c r="A4225" s="8" t="n"/>
      <c r="B4225" s="9" t="n"/>
    </row>
    <row r="4226">
      <c r="A4226" s="8" t="n"/>
      <c r="B4226" s="9" t="n"/>
    </row>
    <row r="4227">
      <c r="A4227" s="8" t="n"/>
      <c r="B4227" s="9" t="n"/>
    </row>
    <row r="4228">
      <c r="A4228" s="8" t="n"/>
      <c r="B4228" s="9" t="n"/>
    </row>
    <row r="4229">
      <c r="A4229" s="8" t="n"/>
      <c r="B4229" s="9" t="n"/>
    </row>
    <row r="4230">
      <c r="A4230" s="8" t="n"/>
      <c r="B4230" s="9" t="n"/>
    </row>
    <row r="4231">
      <c r="A4231" s="8" t="n"/>
      <c r="B4231" s="9" t="n"/>
    </row>
    <row r="4232">
      <c r="A4232" s="8" t="n"/>
      <c r="B4232" s="9" t="n"/>
    </row>
    <row r="4233">
      <c r="A4233" s="8" t="n"/>
      <c r="B4233" s="9" t="n"/>
    </row>
    <row r="4234">
      <c r="A4234" s="8" t="n"/>
      <c r="B4234" s="9" t="n"/>
    </row>
    <row r="4235">
      <c r="A4235" s="8" t="n"/>
      <c r="B4235" s="9" t="n"/>
    </row>
    <row r="4236">
      <c r="A4236" s="8" t="n"/>
      <c r="B4236" s="9" t="n"/>
    </row>
    <row r="4237">
      <c r="A4237" s="8" t="n"/>
      <c r="B4237" s="9" t="n"/>
    </row>
    <row r="4238">
      <c r="A4238" s="8" t="n"/>
      <c r="B4238" s="9" t="n"/>
    </row>
    <row r="4239">
      <c r="A4239" s="8" t="n"/>
      <c r="B4239" s="9" t="n"/>
    </row>
    <row r="4240">
      <c r="A4240" s="8" t="n"/>
      <c r="B4240" s="9" t="n"/>
    </row>
    <row r="4241">
      <c r="A4241" s="8" t="n"/>
      <c r="B4241" s="9" t="n"/>
    </row>
    <row r="4242">
      <c r="A4242" s="8" t="n"/>
      <c r="B4242" s="9" t="n"/>
    </row>
    <row r="4243">
      <c r="A4243" s="8" t="n"/>
      <c r="B4243" s="9" t="n"/>
    </row>
    <row r="4244">
      <c r="A4244" s="8" t="n"/>
      <c r="B4244" s="9" t="n"/>
    </row>
    <row r="4245">
      <c r="A4245" s="8" t="n"/>
      <c r="B4245" s="9" t="n"/>
    </row>
    <row r="4246">
      <c r="A4246" s="8" t="n"/>
      <c r="B4246" s="9" t="n"/>
    </row>
    <row r="4247">
      <c r="A4247" s="8" t="n"/>
      <c r="B4247" s="9" t="n"/>
    </row>
    <row r="4248">
      <c r="A4248" s="8" t="n"/>
      <c r="B4248" s="9" t="n"/>
    </row>
    <row r="4249">
      <c r="A4249" s="8" t="n"/>
      <c r="B4249" s="9" t="n"/>
    </row>
    <row r="4250">
      <c r="A4250" s="8" t="n"/>
      <c r="B4250" s="9" t="n"/>
    </row>
    <row r="4251">
      <c r="A4251" s="8" t="n"/>
      <c r="B4251" s="9" t="n"/>
    </row>
    <row r="4252">
      <c r="A4252" s="8" t="n"/>
      <c r="B4252" s="9" t="n"/>
    </row>
    <row r="4253">
      <c r="A4253" s="8" t="n"/>
      <c r="B4253" s="9" t="n"/>
    </row>
    <row r="4254">
      <c r="A4254" s="8" t="n"/>
      <c r="B4254" s="9" t="n"/>
    </row>
    <row r="4255">
      <c r="A4255" s="8" t="n"/>
      <c r="B4255" s="9" t="n"/>
    </row>
    <row r="4256">
      <c r="A4256" s="8" t="n"/>
      <c r="B4256" s="9" t="n"/>
    </row>
    <row r="4257">
      <c r="A4257" s="8" t="n"/>
      <c r="B4257" s="9" t="n"/>
    </row>
    <row r="4258">
      <c r="A4258" s="8" t="n"/>
      <c r="B4258" s="9" t="n"/>
    </row>
    <row r="4259">
      <c r="A4259" s="8" t="n"/>
      <c r="B4259" s="9" t="n"/>
    </row>
    <row r="4260">
      <c r="A4260" s="8" t="n"/>
      <c r="B4260" s="9" t="n"/>
    </row>
    <row r="4261">
      <c r="A4261" s="8" t="n"/>
      <c r="B4261" s="9" t="n"/>
    </row>
    <row r="4262">
      <c r="A4262" s="8" t="n"/>
      <c r="B4262" s="9" t="n"/>
    </row>
    <row r="4263">
      <c r="A4263" s="8" t="n"/>
      <c r="B4263" s="9" t="n"/>
    </row>
    <row r="4264">
      <c r="A4264" s="8" t="n"/>
      <c r="B4264" s="9" t="n"/>
    </row>
    <row r="4265">
      <c r="A4265" s="8" t="n"/>
      <c r="B4265" s="9" t="n"/>
    </row>
    <row r="4266">
      <c r="A4266" s="8" t="n"/>
      <c r="B4266" s="9" t="n"/>
    </row>
    <row r="4267">
      <c r="A4267" s="8" t="n"/>
      <c r="B4267" s="9" t="n"/>
    </row>
    <row r="4268">
      <c r="A4268" s="8" t="n"/>
      <c r="B4268" s="9" t="n"/>
    </row>
    <row r="4269">
      <c r="A4269" s="8" t="n"/>
      <c r="B4269" s="9" t="n"/>
    </row>
    <row r="4270">
      <c r="A4270" s="8" t="n"/>
      <c r="B4270" s="9" t="n"/>
    </row>
    <row r="4271">
      <c r="A4271" s="8" t="n"/>
      <c r="B4271" s="9" t="n"/>
    </row>
    <row r="4272">
      <c r="A4272" s="8" t="n"/>
      <c r="B4272" s="9" t="n"/>
    </row>
    <row r="4273">
      <c r="A4273" s="8" t="n"/>
      <c r="B4273" s="9" t="n"/>
    </row>
    <row r="4274">
      <c r="A4274" s="8" t="n"/>
      <c r="B4274" s="9" t="n"/>
    </row>
    <row r="4275">
      <c r="A4275" s="8" t="n"/>
      <c r="B4275" s="9" t="n"/>
    </row>
    <row r="4276">
      <c r="A4276" s="8" t="n"/>
      <c r="B4276" s="9" t="n"/>
    </row>
    <row r="4277">
      <c r="A4277" s="8" t="n"/>
      <c r="B4277" s="9" t="n"/>
    </row>
    <row r="4278">
      <c r="A4278" s="8" t="n"/>
      <c r="B4278" s="9" t="n"/>
    </row>
    <row r="4279">
      <c r="A4279" s="8" t="n"/>
      <c r="B4279" s="9" t="n"/>
    </row>
    <row r="4280">
      <c r="A4280" s="8" t="n"/>
      <c r="B4280" s="9" t="n"/>
    </row>
    <row r="4281">
      <c r="A4281" s="8" t="n"/>
      <c r="B4281" s="9" t="n"/>
    </row>
    <row r="4282">
      <c r="A4282" s="8" t="n"/>
      <c r="B4282" s="9" t="n"/>
    </row>
    <row r="4283">
      <c r="A4283" s="8" t="n"/>
      <c r="B4283" s="9" t="n"/>
    </row>
    <row r="4284">
      <c r="A4284" s="8" t="n"/>
      <c r="B4284" s="9" t="n"/>
    </row>
    <row r="4285">
      <c r="A4285" s="8" t="n"/>
      <c r="B4285" s="9" t="n"/>
    </row>
    <row r="4286">
      <c r="A4286" s="8" t="n"/>
      <c r="B4286" s="9" t="n"/>
    </row>
    <row r="4287">
      <c r="A4287" s="8" t="n"/>
      <c r="B4287" s="9" t="n"/>
    </row>
    <row r="4288">
      <c r="A4288" s="8" t="n"/>
      <c r="B4288" s="9" t="n"/>
    </row>
    <row r="4289">
      <c r="A4289" s="8" t="n"/>
      <c r="B4289" s="9" t="n"/>
    </row>
    <row r="4290">
      <c r="A4290" s="8" t="n"/>
      <c r="B4290" s="9" t="n"/>
    </row>
    <row r="4291">
      <c r="A4291" s="8" t="n"/>
      <c r="B4291" s="9" t="n"/>
    </row>
    <row r="4292">
      <c r="A4292" s="8" t="n"/>
      <c r="B4292" s="9" t="n"/>
    </row>
    <row r="4293">
      <c r="A4293" s="8" t="n"/>
      <c r="B4293" s="9" t="n"/>
    </row>
    <row r="4294">
      <c r="A4294" s="8" t="n"/>
      <c r="B4294" s="9" t="n"/>
    </row>
    <row r="4295">
      <c r="A4295" s="8" t="n"/>
      <c r="B4295" s="9" t="n"/>
    </row>
    <row r="4296">
      <c r="A4296" s="8" t="n"/>
      <c r="B4296" s="9" t="n"/>
    </row>
    <row r="4297">
      <c r="A4297" s="8" t="n"/>
      <c r="B4297" s="9" t="n"/>
    </row>
    <row r="4298">
      <c r="A4298" s="8" t="n"/>
      <c r="B4298" s="9" t="n"/>
    </row>
    <row r="4299">
      <c r="A4299" s="8" t="n"/>
      <c r="B4299" s="9" t="n"/>
    </row>
    <row r="4300">
      <c r="A4300" s="8" t="n"/>
      <c r="B4300" s="9" t="n"/>
    </row>
    <row r="4301">
      <c r="A4301" s="8" t="n"/>
      <c r="B4301" s="9" t="n"/>
    </row>
    <row r="4302">
      <c r="A4302" s="8" t="n"/>
      <c r="B4302" s="9" t="n"/>
    </row>
    <row r="4303">
      <c r="A4303" s="8" t="n"/>
      <c r="B4303" s="9" t="n"/>
    </row>
    <row r="4304">
      <c r="A4304" s="8" t="n"/>
      <c r="B4304" s="9" t="n"/>
    </row>
    <row r="4305">
      <c r="A4305" s="8" t="n"/>
      <c r="B4305" s="9" t="n"/>
    </row>
    <row r="4306">
      <c r="A4306" s="8" t="n"/>
      <c r="B4306" s="9" t="n"/>
    </row>
    <row r="4307">
      <c r="A4307" s="8" t="n"/>
      <c r="B4307" s="9" t="n"/>
    </row>
    <row r="4308">
      <c r="A4308" s="8" t="n"/>
      <c r="B4308" s="9" t="n"/>
    </row>
    <row r="4309">
      <c r="A4309" s="8" t="n"/>
      <c r="B4309" s="9" t="n"/>
    </row>
    <row r="4310">
      <c r="A4310" s="8" t="n"/>
      <c r="B4310" s="9" t="n"/>
    </row>
    <row r="4311">
      <c r="A4311" s="8" t="n"/>
      <c r="B4311" s="9" t="n"/>
    </row>
    <row r="4312">
      <c r="A4312" s="8" t="n"/>
      <c r="B4312" s="9" t="n"/>
    </row>
    <row r="4313">
      <c r="A4313" s="8" t="n"/>
      <c r="B4313" s="9" t="n"/>
    </row>
    <row r="4314">
      <c r="A4314" s="8" t="n"/>
      <c r="B4314" s="9" t="n"/>
    </row>
    <row r="4315">
      <c r="A4315" s="8" t="n"/>
      <c r="B4315" s="9" t="n"/>
    </row>
    <row r="4316">
      <c r="A4316" s="8" t="n"/>
      <c r="B4316" s="9" t="n"/>
    </row>
    <row r="4317">
      <c r="A4317" s="8" t="n"/>
      <c r="B4317" s="9" t="n"/>
    </row>
    <row r="4318">
      <c r="A4318" s="8" t="n"/>
      <c r="B4318" s="9" t="n"/>
    </row>
    <row r="4319">
      <c r="A4319" s="8" t="n"/>
      <c r="B4319" s="9" t="n"/>
    </row>
    <row r="4320">
      <c r="A4320" s="8" t="n"/>
      <c r="B4320" s="9" t="n"/>
    </row>
    <row r="4321">
      <c r="A4321" s="8" t="n"/>
      <c r="B4321" s="9" t="n"/>
    </row>
    <row r="4322">
      <c r="A4322" s="8" t="n"/>
      <c r="B4322" s="9" t="n"/>
    </row>
    <row r="4323">
      <c r="A4323" s="8" t="n"/>
      <c r="B4323" s="9" t="n"/>
    </row>
    <row r="4324">
      <c r="A4324" s="8" t="n"/>
      <c r="B4324" s="9" t="n"/>
    </row>
    <row r="4325">
      <c r="A4325" s="8" t="n"/>
      <c r="B4325" s="9" t="n"/>
    </row>
    <row r="4326">
      <c r="A4326" s="8" t="n"/>
      <c r="B4326" s="9" t="n"/>
    </row>
    <row r="4327">
      <c r="A4327" s="8" t="n"/>
      <c r="B4327" s="9" t="n"/>
    </row>
    <row r="4328">
      <c r="A4328" s="8" t="n"/>
      <c r="B4328" s="9" t="n"/>
    </row>
    <row r="4329">
      <c r="A4329" s="8" t="n"/>
      <c r="B4329" s="9" t="n"/>
    </row>
    <row r="4330">
      <c r="A4330" s="8" t="n"/>
      <c r="B4330" s="9" t="n"/>
    </row>
    <row r="4331">
      <c r="A4331" s="8" t="n"/>
      <c r="B4331" s="9" t="n"/>
    </row>
    <row r="4332">
      <c r="A4332" s="8" t="n"/>
      <c r="B4332" s="9" t="n"/>
    </row>
    <row r="4333">
      <c r="A4333" s="8" t="n"/>
      <c r="B4333" s="9" t="n"/>
    </row>
    <row r="4334">
      <c r="A4334" s="8" t="n"/>
      <c r="B4334" s="9" t="n"/>
    </row>
    <row r="4335">
      <c r="A4335" s="8" t="n"/>
      <c r="B4335" s="9" t="n"/>
    </row>
    <row r="4336">
      <c r="A4336" s="8" t="n"/>
      <c r="B4336" s="9" t="n"/>
    </row>
    <row r="4337">
      <c r="A4337" s="8" t="n"/>
      <c r="B4337" s="9" t="n"/>
    </row>
    <row r="4338">
      <c r="A4338" s="8" t="n"/>
      <c r="B4338" s="9" t="n"/>
    </row>
    <row r="4339">
      <c r="A4339" s="8" t="n"/>
      <c r="B4339" s="9" t="n"/>
    </row>
    <row r="4340">
      <c r="A4340" s="8" t="n"/>
      <c r="B4340" s="9" t="n"/>
    </row>
    <row r="4341">
      <c r="A4341" s="8" t="n"/>
      <c r="B4341" s="9" t="n"/>
    </row>
    <row r="4342">
      <c r="A4342" s="8" t="n"/>
      <c r="B4342" s="9" t="n"/>
    </row>
    <row r="4343">
      <c r="A4343" s="8" t="n"/>
      <c r="B4343" s="9" t="n"/>
    </row>
    <row r="4344">
      <c r="A4344" s="8" t="n"/>
      <c r="B4344" s="9" t="n"/>
    </row>
    <row r="4345">
      <c r="A4345" s="8" t="n"/>
      <c r="B4345" s="9" t="n"/>
    </row>
    <row r="4346">
      <c r="A4346" s="8" t="n"/>
      <c r="B4346" s="9" t="n"/>
    </row>
    <row r="4347">
      <c r="A4347" s="8" t="n"/>
      <c r="B4347" s="9" t="n"/>
    </row>
    <row r="4348">
      <c r="A4348" s="8" t="n"/>
      <c r="B4348" s="9" t="n"/>
    </row>
    <row r="4349">
      <c r="A4349" s="8" t="n"/>
      <c r="B4349" s="9" t="n"/>
    </row>
    <row r="4350">
      <c r="A4350" s="8" t="n"/>
      <c r="B4350" s="9" t="n"/>
    </row>
    <row r="4351">
      <c r="A4351" s="8" t="n"/>
      <c r="B4351" s="9" t="n"/>
    </row>
    <row r="4352">
      <c r="A4352" s="8" t="n"/>
      <c r="B4352" s="9" t="n"/>
    </row>
    <row r="4353">
      <c r="A4353" s="8" t="n"/>
      <c r="B4353" s="9" t="n"/>
    </row>
    <row r="4354">
      <c r="A4354" s="8" t="n"/>
      <c r="B4354" s="9" t="n"/>
    </row>
    <row r="4355">
      <c r="A4355" s="8" t="n"/>
      <c r="B4355" s="9" t="n"/>
    </row>
    <row r="4356">
      <c r="A4356" s="8" t="n"/>
      <c r="B4356" s="9" t="n"/>
    </row>
    <row r="4357">
      <c r="A4357" s="8" t="n"/>
      <c r="B4357" s="9" t="n"/>
    </row>
    <row r="4358">
      <c r="A4358" s="8" t="n"/>
      <c r="B4358" s="9" t="n"/>
    </row>
    <row r="4359">
      <c r="A4359" s="8" t="n"/>
      <c r="B4359" s="9" t="n"/>
    </row>
    <row r="4360">
      <c r="A4360" s="8" t="n"/>
      <c r="B4360" s="9" t="n"/>
    </row>
    <row r="4361">
      <c r="A4361" s="8" t="n"/>
      <c r="B4361" s="9" t="n"/>
    </row>
    <row r="4362">
      <c r="A4362" s="8" t="n"/>
      <c r="B4362" s="9" t="n"/>
    </row>
    <row r="4363">
      <c r="A4363" s="8" t="n"/>
      <c r="B4363" s="9" t="n"/>
    </row>
    <row r="4364">
      <c r="A4364" s="8" t="n"/>
      <c r="B4364" s="9" t="n"/>
    </row>
    <row r="4365">
      <c r="A4365" s="8" t="n"/>
      <c r="B4365" s="9" t="n"/>
    </row>
    <row r="4366">
      <c r="A4366" s="8" t="n"/>
      <c r="B4366" s="9" t="n"/>
    </row>
    <row r="4367">
      <c r="A4367" s="8" t="n"/>
      <c r="B4367" s="9" t="n"/>
    </row>
    <row r="4368">
      <c r="A4368" s="8" t="n"/>
      <c r="B4368" s="9" t="n"/>
    </row>
    <row r="4369">
      <c r="A4369" s="8" t="n"/>
      <c r="B4369" s="9" t="n"/>
    </row>
    <row r="4370">
      <c r="A4370" s="8" t="n"/>
      <c r="B4370" s="9" t="n"/>
    </row>
    <row r="4371">
      <c r="A4371" s="8" t="n"/>
      <c r="B4371" s="9" t="n"/>
    </row>
    <row r="4372">
      <c r="A4372" s="8" t="n"/>
      <c r="B4372" s="9" t="n"/>
    </row>
    <row r="4373">
      <c r="A4373" s="8" t="n"/>
      <c r="B4373" s="9" t="n"/>
    </row>
    <row r="4374">
      <c r="A4374" s="8" t="n"/>
      <c r="B4374" s="9" t="n"/>
    </row>
    <row r="4375">
      <c r="A4375" s="8" t="n"/>
      <c r="B4375" s="9" t="n"/>
    </row>
    <row r="4376">
      <c r="A4376" s="8" t="n"/>
      <c r="B4376" s="9" t="n"/>
    </row>
    <row r="4377">
      <c r="A4377" s="8" t="n"/>
      <c r="B4377" s="9" t="n"/>
    </row>
    <row r="4378">
      <c r="A4378" s="8" t="n"/>
      <c r="B4378" s="9" t="n"/>
    </row>
    <row r="4379">
      <c r="A4379" s="8" t="n"/>
      <c r="B4379" s="9" t="n"/>
    </row>
    <row r="4380">
      <c r="A4380" s="8" t="n"/>
      <c r="B4380" s="9" t="n"/>
    </row>
    <row r="4381">
      <c r="A4381" s="8" t="n"/>
      <c r="B4381" s="9" t="n"/>
    </row>
    <row r="4382">
      <c r="A4382" s="8" t="n"/>
      <c r="B4382" s="9" t="n"/>
    </row>
    <row r="4383">
      <c r="A4383" s="8" t="n"/>
      <c r="B4383" s="9" t="n"/>
    </row>
    <row r="4384">
      <c r="A4384" s="8" t="n"/>
      <c r="B4384" s="9" t="n"/>
    </row>
    <row r="4385">
      <c r="A4385" s="8" t="n"/>
      <c r="B4385" s="9" t="n"/>
    </row>
    <row r="4386">
      <c r="A4386" s="8" t="n"/>
      <c r="B4386" s="9" t="n"/>
    </row>
    <row r="4387">
      <c r="A4387" s="8" t="n"/>
      <c r="B4387" s="9" t="n"/>
    </row>
    <row r="4388">
      <c r="A4388" s="8" t="n"/>
      <c r="B4388" s="9" t="n"/>
    </row>
    <row r="4389">
      <c r="A4389" s="8" t="n"/>
      <c r="B4389" s="9" t="n"/>
    </row>
    <row r="4390">
      <c r="A4390" s="8" t="n"/>
      <c r="B4390" s="9" t="n"/>
    </row>
    <row r="4391">
      <c r="A4391" s="8" t="n"/>
      <c r="B4391" s="9" t="n"/>
    </row>
    <row r="4392">
      <c r="A4392" s="8" t="n"/>
      <c r="B4392" s="9" t="n"/>
    </row>
    <row r="4393">
      <c r="A4393" s="8" t="n"/>
      <c r="B4393" s="9" t="n"/>
    </row>
    <row r="4394">
      <c r="A4394" s="8" t="n"/>
      <c r="B4394" s="9" t="n"/>
    </row>
    <row r="4395">
      <c r="A4395" s="8" t="n"/>
      <c r="B4395" s="9" t="n"/>
    </row>
    <row r="4396">
      <c r="A4396" s="8" t="n"/>
      <c r="B4396" s="9" t="n"/>
    </row>
    <row r="4397">
      <c r="A4397" s="8" t="n"/>
      <c r="B4397" s="9" t="n"/>
    </row>
    <row r="4398">
      <c r="A4398" s="8" t="n"/>
      <c r="B4398" s="9" t="n"/>
    </row>
    <row r="4399">
      <c r="A4399" s="8" t="n"/>
      <c r="B4399" s="9" t="n"/>
    </row>
    <row r="4400">
      <c r="A4400" s="8" t="n"/>
      <c r="B4400" s="9" t="n"/>
    </row>
    <row r="4401">
      <c r="A4401" s="8" t="n"/>
      <c r="B4401" s="9" t="n"/>
    </row>
    <row r="4402">
      <c r="A4402" s="8" t="n"/>
      <c r="B4402" s="9" t="n"/>
    </row>
    <row r="4403">
      <c r="A4403" s="8" t="n"/>
      <c r="B4403" s="9" t="n"/>
    </row>
    <row r="4404">
      <c r="A4404" s="8" t="n"/>
      <c r="B4404" s="9" t="n"/>
    </row>
    <row r="4405">
      <c r="A4405" s="8" t="n"/>
      <c r="B4405" s="9" t="n"/>
    </row>
    <row r="4406">
      <c r="A4406" s="8" t="n"/>
      <c r="B4406" s="9" t="n"/>
    </row>
    <row r="4407">
      <c r="A4407" s="8" t="n"/>
      <c r="B4407" s="9" t="n"/>
    </row>
    <row r="4408">
      <c r="A4408" s="8" t="n"/>
      <c r="B4408" s="9" t="n"/>
    </row>
    <row r="4409">
      <c r="A4409" s="8" t="n"/>
      <c r="B4409" s="9" t="n"/>
    </row>
    <row r="4410">
      <c r="A4410" s="8" t="n"/>
      <c r="B4410" s="9" t="n"/>
    </row>
    <row r="4411">
      <c r="A4411" s="8" t="n"/>
      <c r="B4411" s="9" t="n"/>
    </row>
    <row r="4412">
      <c r="A4412" s="8" t="n"/>
      <c r="B4412" s="9" t="n"/>
    </row>
    <row r="4413">
      <c r="A4413" s="8" t="n"/>
      <c r="B4413" s="9" t="n"/>
    </row>
    <row r="4414">
      <c r="A4414" s="8" t="n"/>
      <c r="B4414" s="9" t="n"/>
    </row>
    <row r="4415">
      <c r="A4415" s="8" t="n"/>
      <c r="B4415" s="9" t="n"/>
    </row>
    <row r="4416">
      <c r="A4416" s="8" t="n"/>
      <c r="B4416" s="9" t="n"/>
    </row>
    <row r="4417">
      <c r="A4417" s="8" t="n"/>
      <c r="B4417" s="9" t="n"/>
    </row>
    <row r="4418">
      <c r="A4418" s="8" t="n"/>
      <c r="B4418" s="9" t="n"/>
    </row>
    <row r="4419">
      <c r="A4419" s="8" t="n"/>
      <c r="B4419" s="9" t="n"/>
    </row>
    <row r="4420">
      <c r="A4420" s="8" t="n"/>
      <c r="B4420" s="9" t="n"/>
    </row>
    <row r="4421">
      <c r="A4421" s="8" t="n"/>
      <c r="B4421" s="9" t="n"/>
    </row>
    <row r="4422">
      <c r="A4422" s="8" t="n"/>
      <c r="B4422" s="9" t="n"/>
    </row>
    <row r="4423">
      <c r="A4423" s="8" t="n"/>
      <c r="B4423" s="9" t="n"/>
    </row>
    <row r="4424">
      <c r="A4424" s="8" t="n"/>
      <c r="B4424" s="9" t="n"/>
    </row>
    <row r="4425">
      <c r="A4425" s="8" t="n"/>
      <c r="B4425" s="9" t="n"/>
    </row>
    <row r="4426">
      <c r="A4426" s="8" t="n"/>
      <c r="B4426" s="9" t="n"/>
    </row>
    <row r="4427">
      <c r="A4427" s="8" t="n"/>
      <c r="B4427" s="9" t="n"/>
    </row>
    <row r="4428">
      <c r="A4428" s="8" t="n"/>
      <c r="B4428" s="9" t="n"/>
    </row>
    <row r="4429">
      <c r="A4429" s="8" t="n"/>
      <c r="B4429" s="9" t="n"/>
    </row>
    <row r="4430">
      <c r="A4430" s="8" t="n"/>
      <c r="B4430" s="9" t="n"/>
    </row>
    <row r="4431">
      <c r="A4431" s="8" t="n"/>
      <c r="B4431" s="9" t="n"/>
    </row>
    <row r="4432">
      <c r="A4432" s="8" t="n"/>
      <c r="B4432" s="9" t="n"/>
    </row>
    <row r="4433">
      <c r="A4433" s="8" t="n"/>
      <c r="B4433" s="9" t="n"/>
    </row>
    <row r="4434">
      <c r="A4434" s="8" t="n"/>
      <c r="B4434" s="9" t="n"/>
    </row>
    <row r="4435">
      <c r="A4435" s="8" t="n"/>
      <c r="B4435" s="9" t="n"/>
    </row>
    <row r="4436">
      <c r="A4436" s="8" t="n"/>
      <c r="B4436" s="9" t="n"/>
    </row>
    <row r="4437">
      <c r="A4437" s="8" t="n"/>
      <c r="B4437" s="9" t="n"/>
    </row>
    <row r="4438">
      <c r="A4438" s="8" t="n"/>
      <c r="B4438" s="9" t="n"/>
    </row>
    <row r="4439">
      <c r="A4439" s="8" t="n"/>
      <c r="B4439" s="9" t="n"/>
    </row>
    <row r="4440">
      <c r="A4440" s="8" t="n"/>
      <c r="B4440" s="9" t="n"/>
    </row>
    <row r="4441">
      <c r="A4441" s="8" t="n"/>
      <c r="B4441" s="9" t="n"/>
    </row>
    <row r="4442">
      <c r="A4442" s="8" t="n"/>
      <c r="B4442" s="9" t="n"/>
    </row>
    <row r="4443">
      <c r="A4443" s="8" t="n"/>
      <c r="B4443" s="9" t="n"/>
    </row>
    <row r="4444">
      <c r="A4444" s="8" t="n"/>
      <c r="B4444" s="9" t="n"/>
    </row>
    <row r="4445">
      <c r="A4445" s="8" t="n"/>
      <c r="B4445" s="9" t="n"/>
    </row>
    <row r="4446">
      <c r="A4446" s="8" t="n"/>
      <c r="B4446" s="9" t="n"/>
    </row>
    <row r="4447">
      <c r="A4447" s="8" t="n"/>
      <c r="B4447" s="9" t="n"/>
    </row>
    <row r="4448">
      <c r="A4448" s="8" t="n"/>
      <c r="B4448" s="9" t="n"/>
    </row>
    <row r="4449">
      <c r="A4449" s="8" t="n"/>
      <c r="B4449" s="9" t="n"/>
    </row>
    <row r="4450">
      <c r="A4450" s="8" t="n"/>
      <c r="B4450" s="9" t="n"/>
    </row>
    <row r="4451">
      <c r="A4451" s="8" t="n"/>
      <c r="B4451" s="9" t="n"/>
    </row>
    <row r="4452">
      <c r="A4452" s="8" t="n"/>
      <c r="B4452" s="9" t="n"/>
    </row>
    <row r="4453">
      <c r="A4453" s="8" t="n"/>
      <c r="B4453" s="9" t="n"/>
    </row>
    <row r="4454">
      <c r="A4454" s="8" t="n"/>
      <c r="B4454" s="9" t="n"/>
    </row>
    <row r="4455">
      <c r="A4455" s="8" t="n"/>
      <c r="B4455" s="9" t="n"/>
    </row>
    <row r="4456">
      <c r="A4456" s="8" t="n"/>
      <c r="B4456" s="9" t="n"/>
    </row>
    <row r="4457">
      <c r="A4457" s="8" t="n"/>
      <c r="B4457" s="9" t="n"/>
    </row>
    <row r="4458">
      <c r="A4458" s="8" t="n"/>
      <c r="B4458" s="9" t="n"/>
    </row>
    <row r="4459">
      <c r="A4459" s="8" t="n"/>
      <c r="B4459" s="9" t="n"/>
    </row>
    <row r="4460">
      <c r="A4460" s="8" t="n"/>
      <c r="B4460" s="9" t="n"/>
    </row>
    <row r="4461">
      <c r="A4461" s="8" t="n"/>
      <c r="B4461" s="9" t="n"/>
    </row>
    <row r="4462">
      <c r="A4462" s="8" t="n"/>
      <c r="B4462" s="9" t="n"/>
    </row>
    <row r="4463">
      <c r="A4463" s="8" t="n"/>
      <c r="B4463" s="9" t="n"/>
    </row>
    <row r="4464">
      <c r="A4464" s="8" t="n"/>
      <c r="B4464" s="9" t="n"/>
    </row>
    <row r="4465">
      <c r="A4465" s="8" t="n"/>
      <c r="B4465" s="9" t="n"/>
    </row>
    <row r="4466">
      <c r="A4466" s="8" t="n"/>
      <c r="B4466" s="9" t="n"/>
    </row>
    <row r="4467">
      <c r="A4467" s="8" t="n"/>
      <c r="B4467" s="9" t="n"/>
    </row>
    <row r="4468">
      <c r="A4468" s="8" t="n"/>
      <c r="B4468" s="9" t="n"/>
    </row>
    <row r="4469">
      <c r="A4469" s="8" t="n"/>
      <c r="B4469" s="9" t="n"/>
    </row>
    <row r="4470">
      <c r="A4470" s="8" t="n"/>
      <c r="B4470" s="9" t="n"/>
    </row>
    <row r="4471">
      <c r="A4471" s="8" t="n"/>
      <c r="B4471" s="9" t="n"/>
    </row>
    <row r="4472">
      <c r="A4472" s="8" t="n"/>
      <c r="B4472" s="9" t="n"/>
    </row>
    <row r="4473">
      <c r="A4473" s="8" t="n"/>
      <c r="B4473" s="9" t="n"/>
    </row>
    <row r="4474">
      <c r="A4474" s="8" t="n"/>
      <c r="B4474" s="9" t="n"/>
    </row>
    <row r="4475">
      <c r="A4475" s="8" t="n"/>
      <c r="B4475" s="9" t="n"/>
    </row>
    <row r="4476">
      <c r="A4476" s="8" t="n"/>
      <c r="B4476" s="9" t="n"/>
    </row>
    <row r="4477">
      <c r="A4477" s="8" t="n"/>
      <c r="B4477" s="9" t="n"/>
    </row>
    <row r="4478">
      <c r="A4478" s="8" t="n"/>
      <c r="B4478" s="9" t="n"/>
    </row>
    <row r="4479">
      <c r="A4479" s="8" t="n"/>
      <c r="B4479" s="9" t="n"/>
    </row>
    <row r="4480">
      <c r="A4480" s="8" t="n"/>
      <c r="B4480" s="9" t="n"/>
    </row>
    <row r="4481">
      <c r="A4481" s="8" t="n"/>
      <c r="B4481" s="9" t="n"/>
    </row>
    <row r="4482">
      <c r="A4482" s="8" t="n"/>
      <c r="B4482" s="9" t="n"/>
    </row>
    <row r="4483">
      <c r="A4483" s="8" t="n"/>
      <c r="B4483" s="9" t="n"/>
    </row>
    <row r="4484">
      <c r="A4484" s="8" t="n"/>
      <c r="B4484" s="9" t="n"/>
    </row>
    <row r="4485">
      <c r="A4485" s="8" t="n"/>
      <c r="B4485" s="9" t="n"/>
    </row>
    <row r="4486">
      <c r="A4486" s="8" t="n"/>
      <c r="B4486" s="9" t="n"/>
    </row>
    <row r="4487">
      <c r="A4487" s="8" t="n"/>
      <c r="B4487" s="9" t="n"/>
    </row>
    <row r="4488">
      <c r="A4488" s="8" t="n"/>
      <c r="B4488" s="9" t="n"/>
    </row>
    <row r="4489">
      <c r="A4489" s="8" t="n"/>
      <c r="B4489" s="9" t="n"/>
    </row>
    <row r="4490">
      <c r="A4490" s="8" t="n"/>
      <c r="B4490" s="9" t="n"/>
    </row>
    <row r="4491">
      <c r="A4491" s="8" t="n"/>
      <c r="B4491" s="9" t="n"/>
    </row>
    <row r="4492">
      <c r="A4492" s="8" t="n"/>
      <c r="B4492" s="9" t="n"/>
    </row>
    <row r="4493">
      <c r="A4493" s="8" t="n"/>
      <c r="B4493" s="9" t="n"/>
    </row>
    <row r="4494">
      <c r="A4494" s="8" t="n"/>
      <c r="B4494" s="9" t="n"/>
    </row>
    <row r="4495">
      <c r="A4495" s="8" t="n"/>
      <c r="B4495" s="9" t="n"/>
    </row>
    <row r="4496">
      <c r="A4496" s="8" t="n"/>
      <c r="B4496" s="9" t="n"/>
    </row>
    <row r="4497">
      <c r="A4497" s="8" t="n"/>
      <c r="B4497" s="9" t="n"/>
    </row>
    <row r="4498">
      <c r="A4498" s="8" t="n"/>
      <c r="B4498" s="9" t="n"/>
    </row>
    <row r="4499">
      <c r="A4499" s="8" t="n"/>
      <c r="B4499" s="9" t="n"/>
    </row>
    <row r="4500">
      <c r="A4500" s="8" t="n"/>
      <c r="B4500" s="9" t="n"/>
    </row>
    <row r="4501">
      <c r="A4501" s="8" t="n"/>
      <c r="B4501" s="9" t="n"/>
    </row>
    <row r="4502">
      <c r="A4502" s="8" t="n"/>
      <c r="B4502" s="9" t="n"/>
    </row>
    <row r="4503">
      <c r="A4503" s="8" t="n"/>
      <c r="B4503" s="9" t="n"/>
    </row>
    <row r="4504">
      <c r="A4504" s="8" t="n"/>
      <c r="B4504" s="9" t="n"/>
    </row>
    <row r="4505">
      <c r="A4505" s="8" t="n"/>
      <c r="B4505" s="9" t="n"/>
    </row>
    <row r="4506">
      <c r="A4506" s="8" t="n"/>
      <c r="B4506" s="9" t="n"/>
    </row>
    <row r="4507">
      <c r="A4507" s="8" t="n"/>
      <c r="B4507" s="9" t="n"/>
    </row>
    <row r="4508">
      <c r="A4508" s="8" t="n"/>
      <c r="B4508" s="9" t="n"/>
    </row>
    <row r="4509">
      <c r="A4509" s="8" t="n"/>
      <c r="B4509" s="9" t="n"/>
    </row>
    <row r="4510">
      <c r="A4510" s="8" t="n"/>
      <c r="B4510" s="9" t="n"/>
    </row>
    <row r="4511">
      <c r="A4511" s="8" t="n"/>
      <c r="B4511" s="9" t="n"/>
    </row>
    <row r="4512">
      <c r="A4512" s="8" t="n"/>
      <c r="B4512" s="9" t="n"/>
    </row>
    <row r="4513">
      <c r="A4513" s="8" t="n"/>
      <c r="B4513" s="9" t="n"/>
    </row>
    <row r="4514">
      <c r="A4514" s="8" t="n"/>
      <c r="B4514" s="9" t="n"/>
    </row>
    <row r="4515">
      <c r="A4515" s="8" t="n"/>
      <c r="B4515" s="9" t="n"/>
    </row>
    <row r="4516">
      <c r="A4516" s="8" t="n"/>
      <c r="B4516" s="9" t="n"/>
    </row>
    <row r="4517">
      <c r="A4517" s="8" t="n"/>
      <c r="B4517" s="9" t="n"/>
    </row>
    <row r="4518">
      <c r="A4518" s="8" t="n"/>
      <c r="B4518" s="9" t="n"/>
    </row>
    <row r="4519">
      <c r="A4519" s="8" t="n"/>
      <c r="B4519" s="9" t="n"/>
    </row>
    <row r="4520">
      <c r="A4520" s="8" t="n"/>
      <c r="B4520" s="9" t="n"/>
    </row>
    <row r="4521">
      <c r="A4521" s="8" t="n"/>
      <c r="B4521" s="9" t="n"/>
    </row>
    <row r="4522">
      <c r="A4522" s="8" t="n"/>
      <c r="B4522" s="9" t="n"/>
    </row>
    <row r="4523">
      <c r="A4523" s="8" t="n"/>
      <c r="B4523" s="9" t="n"/>
    </row>
    <row r="4524">
      <c r="A4524" s="8" t="n"/>
      <c r="B4524" s="9" t="n"/>
    </row>
    <row r="4525">
      <c r="A4525" s="8" t="n"/>
      <c r="B4525" s="9" t="n"/>
    </row>
    <row r="4526">
      <c r="A4526" s="8" t="n"/>
      <c r="B4526" s="9" t="n"/>
    </row>
    <row r="4527">
      <c r="A4527" s="8" t="n"/>
      <c r="B4527" s="9" t="n"/>
    </row>
    <row r="4528">
      <c r="A4528" s="8" t="n"/>
      <c r="B4528" s="9" t="n"/>
    </row>
    <row r="4529">
      <c r="A4529" s="8" t="n"/>
      <c r="B4529" s="9" t="n"/>
    </row>
    <row r="4530">
      <c r="A4530" s="8" t="n"/>
      <c r="B4530" s="9" t="n"/>
    </row>
    <row r="4531">
      <c r="A4531" s="8" t="n"/>
      <c r="B4531" s="9" t="n"/>
    </row>
    <row r="4532">
      <c r="A4532" s="8" t="n"/>
      <c r="B4532" s="9" t="n"/>
    </row>
    <row r="4533">
      <c r="A4533" s="8" t="n"/>
      <c r="B4533" s="9" t="n"/>
    </row>
    <row r="4534">
      <c r="A4534" s="8" t="n"/>
      <c r="B4534" s="9" t="n"/>
    </row>
    <row r="4535">
      <c r="A4535" s="8" t="n"/>
      <c r="B4535" s="9" t="n"/>
    </row>
    <row r="4536">
      <c r="A4536" s="8" t="n"/>
      <c r="B4536" s="9" t="n"/>
    </row>
    <row r="4537">
      <c r="A4537" s="8" t="n"/>
      <c r="B4537" s="9" t="n"/>
    </row>
    <row r="4538">
      <c r="A4538" s="8" t="n"/>
      <c r="B4538" s="9" t="n"/>
    </row>
    <row r="4539">
      <c r="A4539" s="8" t="n"/>
      <c r="B4539" s="9" t="n"/>
    </row>
    <row r="4540">
      <c r="A4540" s="8" t="n"/>
      <c r="B4540" s="9" t="n"/>
    </row>
    <row r="4541">
      <c r="A4541" s="8" t="n"/>
      <c r="B4541" s="9" t="n"/>
    </row>
    <row r="4542">
      <c r="A4542" s="8" t="n"/>
      <c r="B4542" s="9" t="n"/>
    </row>
    <row r="4543">
      <c r="A4543" s="8" t="n"/>
      <c r="B4543" s="9" t="n"/>
    </row>
    <row r="4544">
      <c r="A4544" s="8" t="n"/>
      <c r="B4544" s="9" t="n"/>
    </row>
    <row r="4545">
      <c r="A4545" s="8" t="n"/>
      <c r="B4545" s="9" t="n"/>
    </row>
    <row r="4546">
      <c r="A4546" s="8" t="n"/>
      <c r="B4546" s="9" t="n"/>
    </row>
    <row r="4547">
      <c r="A4547" s="8" t="n"/>
      <c r="B4547" s="9" t="n"/>
    </row>
    <row r="4548">
      <c r="A4548" s="8" t="n"/>
      <c r="B4548" s="9" t="n"/>
    </row>
    <row r="4549">
      <c r="A4549" s="8" t="n"/>
      <c r="B4549" s="9" t="n"/>
    </row>
    <row r="4550">
      <c r="A4550" s="8" t="n"/>
      <c r="B4550" s="9" t="n"/>
    </row>
    <row r="4551">
      <c r="A4551" s="8" t="n"/>
      <c r="B4551" s="9" t="n"/>
    </row>
    <row r="4552">
      <c r="A4552" s="8" t="n"/>
      <c r="B4552" s="9" t="n"/>
    </row>
    <row r="4553">
      <c r="A4553" s="8" t="n"/>
      <c r="B4553" s="9" t="n"/>
    </row>
    <row r="4554">
      <c r="A4554" s="8" t="n"/>
      <c r="B4554" s="9" t="n"/>
    </row>
    <row r="4555">
      <c r="A4555" s="8" t="n"/>
      <c r="B4555" s="9" t="n"/>
    </row>
    <row r="4556">
      <c r="A4556" s="8" t="n"/>
      <c r="B4556" s="9" t="n"/>
    </row>
    <row r="4557">
      <c r="A4557" s="8" t="n"/>
      <c r="B4557" s="9" t="n"/>
    </row>
    <row r="4558">
      <c r="A4558" s="8" t="n"/>
      <c r="B4558" s="9" t="n"/>
    </row>
    <row r="4559">
      <c r="A4559" s="8" t="n"/>
      <c r="B4559" s="9" t="n"/>
    </row>
    <row r="4560">
      <c r="A4560" s="8" t="n"/>
      <c r="B4560" s="9" t="n"/>
    </row>
    <row r="4561">
      <c r="A4561" s="8" t="n"/>
      <c r="B4561" s="9" t="n"/>
    </row>
    <row r="4562">
      <c r="A4562" s="8" t="n"/>
      <c r="B4562" s="9" t="n"/>
    </row>
    <row r="4563">
      <c r="A4563" s="8" t="n"/>
      <c r="B4563" s="9" t="n"/>
    </row>
    <row r="4564">
      <c r="A4564" s="8" t="n"/>
      <c r="B4564" s="9" t="n"/>
    </row>
    <row r="4565">
      <c r="A4565" s="8" t="n"/>
      <c r="B4565" s="9" t="n"/>
    </row>
    <row r="4566">
      <c r="A4566" s="8" t="n"/>
      <c r="B4566" s="9" t="n"/>
    </row>
    <row r="4567">
      <c r="A4567" s="8" t="n"/>
      <c r="B4567" s="9" t="n"/>
    </row>
    <row r="4568">
      <c r="A4568" s="8" t="n"/>
      <c r="B4568" s="9" t="n"/>
    </row>
    <row r="4569">
      <c r="A4569" s="8" t="n"/>
      <c r="B4569" s="9" t="n"/>
    </row>
    <row r="4570">
      <c r="A4570" s="8" t="n"/>
      <c r="B4570" s="9" t="n"/>
    </row>
    <row r="4571">
      <c r="A4571" s="8" t="n"/>
      <c r="B4571" s="9" t="n"/>
    </row>
    <row r="4572">
      <c r="A4572" s="8" t="n"/>
      <c r="B4572" s="9" t="n"/>
    </row>
    <row r="4573">
      <c r="A4573" s="8" t="n"/>
      <c r="B4573" s="9" t="n"/>
    </row>
    <row r="4574">
      <c r="A4574" s="8" t="n"/>
      <c r="B4574" s="9" t="n"/>
    </row>
    <row r="4575">
      <c r="A4575" s="8" t="n"/>
      <c r="B4575" s="9" t="n"/>
    </row>
    <row r="4576">
      <c r="A4576" s="8" t="n"/>
      <c r="B4576" s="9" t="n"/>
    </row>
    <row r="4577">
      <c r="A4577" s="8" t="n"/>
      <c r="B4577" s="9" t="n"/>
    </row>
    <row r="4578">
      <c r="A4578" s="8" t="n"/>
      <c r="B4578" s="9" t="n"/>
    </row>
    <row r="4579">
      <c r="A4579" s="8" t="n"/>
      <c r="B4579" s="9" t="n"/>
    </row>
    <row r="4580">
      <c r="A4580" s="8" t="n"/>
      <c r="B4580" s="9" t="n"/>
    </row>
    <row r="4581">
      <c r="A4581" s="8" t="n"/>
      <c r="B4581" s="9" t="n"/>
    </row>
    <row r="4582">
      <c r="A4582" s="8" t="n"/>
      <c r="B4582" s="9" t="n"/>
    </row>
    <row r="4583">
      <c r="A4583" s="8" t="n"/>
      <c r="B4583" s="9" t="n"/>
    </row>
    <row r="4584">
      <c r="A4584" s="8" t="n"/>
      <c r="B4584" s="9" t="n"/>
    </row>
    <row r="4585">
      <c r="A4585" s="8" t="n"/>
      <c r="B4585" s="9" t="n"/>
    </row>
    <row r="4586">
      <c r="A4586" s="8" t="n"/>
      <c r="B4586" s="9" t="n"/>
    </row>
    <row r="4587">
      <c r="A4587" s="8" t="n"/>
      <c r="B4587" s="9" t="n"/>
    </row>
    <row r="4588">
      <c r="A4588" s="8" t="n"/>
      <c r="B4588" s="9" t="n"/>
    </row>
    <row r="4589">
      <c r="A4589" s="8" t="n"/>
      <c r="B4589" s="9" t="n"/>
    </row>
    <row r="4590">
      <c r="A4590" s="8" t="n"/>
      <c r="B4590" s="9" t="n"/>
    </row>
    <row r="4591">
      <c r="A4591" s="8" t="n"/>
      <c r="B4591" s="9" t="n"/>
    </row>
    <row r="4592">
      <c r="A4592" s="8" t="n"/>
      <c r="B4592" s="9" t="n"/>
    </row>
    <row r="4593">
      <c r="A4593" s="8" t="n"/>
      <c r="B4593" s="9" t="n"/>
    </row>
    <row r="4594">
      <c r="A4594" s="8" t="n"/>
      <c r="B4594" s="9" t="n"/>
    </row>
    <row r="4595">
      <c r="A4595" s="8" t="n"/>
      <c r="B4595" s="9" t="n"/>
    </row>
    <row r="4596">
      <c r="A4596" s="8" t="n"/>
      <c r="B4596" s="9" t="n"/>
    </row>
    <row r="4597">
      <c r="A4597" s="8" t="n"/>
      <c r="B4597" s="9" t="n"/>
    </row>
    <row r="4598">
      <c r="A4598" s="8" t="n"/>
      <c r="B4598" s="9" t="n"/>
    </row>
    <row r="4599">
      <c r="A4599" s="8" t="n"/>
      <c r="B4599" s="9" t="n"/>
    </row>
    <row r="4600">
      <c r="A4600" s="8" t="n"/>
      <c r="B4600" s="9" t="n"/>
    </row>
    <row r="4601">
      <c r="A4601" s="8" t="n"/>
      <c r="B4601" s="9" t="n"/>
    </row>
    <row r="4602">
      <c r="A4602" s="8" t="n"/>
      <c r="B4602" s="9" t="n"/>
    </row>
    <row r="4603">
      <c r="A4603" s="8" t="n"/>
      <c r="B4603" s="9" t="n"/>
    </row>
    <row r="4604">
      <c r="A4604" s="8" t="n"/>
      <c r="B4604" s="9" t="n"/>
    </row>
    <row r="4605">
      <c r="A4605" s="8" t="n"/>
      <c r="B4605" s="9" t="n"/>
    </row>
    <row r="4606">
      <c r="A4606" s="8" t="n"/>
      <c r="B4606" s="9" t="n"/>
    </row>
    <row r="4607">
      <c r="A4607" s="8" t="n"/>
      <c r="B4607" s="9" t="n"/>
    </row>
    <row r="4608">
      <c r="A4608" s="8" t="n"/>
      <c r="B4608" s="9" t="n"/>
    </row>
    <row r="4609">
      <c r="A4609" s="8" t="n"/>
      <c r="B4609" s="9" t="n"/>
    </row>
    <row r="4610">
      <c r="A4610" s="8" t="n"/>
      <c r="B4610" s="9" t="n"/>
    </row>
    <row r="4611">
      <c r="A4611" s="8" t="n"/>
      <c r="B4611" s="9" t="n"/>
    </row>
    <row r="4612">
      <c r="A4612" s="8" t="n"/>
      <c r="B4612" s="9" t="n"/>
    </row>
    <row r="4613">
      <c r="A4613" s="8" t="n"/>
      <c r="B4613" s="9" t="n"/>
    </row>
    <row r="4614">
      <c r="A4614" s="8" t="n"/>
      <c r="B4614" s="9" t="n"/>
    </row>
    <row r="4615">
      <c r="A4615" s="8" t="n"/>
      <c r="B4615" s="9" t="n"/>
    </row>
    <row r="4616">
      <c r="A4616" s="8" t="n"/>
      <c r="B4616" s="9" t="n"/>
    </row>
    <row r="4617">
      <c r="A4617" s="8" t="n"/>
      <c r="B4617" s="9" t="n"/>
    </row>
    <row r="4618">
      <c r="A4618" s="8" t="n"/>
      <c r="B4618" s="9" t="n"/>
    </row>
    <row r="4619">
      <c r="A4619" s="8" t="n"/>
      <c r="B4619" s="9" t="n"/>
    </row>
    <row r="4620">
      <c r="A4620" s="8" t="n"/>
      <c r="B4620" s="9" t="n"/>
    </row>
    <row r="4621">
      <c r="A4621" s="8" t="n"/>
      <c r="B4621" s="9" t="n"/>
    </row>
    <row r="4622">
      <c r="A4622" s="8" t="n"/>
      <c r="B4622" s="9" t="n"/>
    </row>
    <row r="4623">
      <c r="A4623" s="8" t="n"/>
      <c r="B4623" s="9" t="n"/>
    </row>
    <row r="4624">
      <c r="A4624" s="8" t="n"/>
      <c r="B4624" s="9" t="n"/>
    </row>
    <row r="4625">
      <c r="A4625" s="8" t="n"/>
      <c r="B4625" s="9" t="n"/>
    </row>
    <row r="4626">
      <c r="A4626" s="8" t="n"/>
      <c r="B4626" s="9" t="n"/>
    </row>
    <row r="4627">
      <c r="A4627" s="8" t="n"/>
      <c r="B4627" s="9" t="n"/>
    </row>
    <row r="4628">
      <c r="A4628" s="8" t="n"/>
      <c r="B4628" s="9" t="n"/>
    </row>
    <row r="4629">
      <c r="A4629" s="8" t="n"/>
      <c r="B4629" s="9" t="n"/>
    </row>
    <row r="4630">
      <c r="A4630" s="8" t="n"/>
      <c r="B4630" s="9" t="n"/>
    </row>
    <row r="4631">
      <c r="A4631" s="8" t="n"/>
      <c r="B4631" s="9" t="n"/>
    </row>
    <row r="4632">
      <c r="A4632" s="8" t="n"/>
      <c r="B4632" s="9" t="n"/>
    </row>
    <row r="4633">
      <c r="A4633" s="8" t="n"/>
      <c r="B4633" s="9" t="n"/>
    </row>
    <row r="4634">
      <c r="A4634" s="8" t="n"/>
      <c r="B4634" s="9" t="n"/>
    </row>
    <row r="4635">
      <c r="A4635" s="8" t="n"/>
      <c r="B4635" s="9" t="n"/>
    </row>
    <row r="4636">
      <c r="A4636" s="8" t="n"/>
      <c r="B4636" s="9" t="n"/>
    </row>
    <row r="4637">
      <c r="A4637" s="8" t="n"/>
      <c r="B4637" s="9" t="n"/>
    </row>
    <row r="4638">
      <c r="A4638" s="8" t="n"/>
      <c r="B4638" s="9" t="n"/>
    </row>
    <row r="4639">
      <c r="A4639" s="8" t="n"/>
      <c r="B4639" s="9" t="n"/>
    </row>
    <row r="4640">
      <c r="A4640" s="8" t="n"/>
      <c r="B4640" s="9" t="n"/>
    </row>
    <row r="4641">
      <c r="A4641" s="8" t="n"/>
      <c r="B4641" s="9" t="n"/>
    </row>
    <row r="4642">
      <c r="A4642" s="8" t="n"/>
      <c r="B4642" s="9" t="n"/>
    </row>
    <row r="4643">
      <c r="A4643" s="8" t="n"/>
      <c r="B4643" s="9" t="n"/>
    </row>
    <row r="4644">
      <c r="A4644" s="8" t="n"/>
      <c r="B4644" s="9" t="n"/>
    </row>
    <row r="4645">
      <c r="A4645" s="8" t="n"/>
      <c r="B4645" s="9" t="n"/>
    </row>
    <row r="4646">
      <c r="A4646" s="8" t="n"/>
      <c r="B4646" s="9" t="n"/>
    </row>
    <row r="4647">
      <c r="A4647" s="8" t="n"/>
      <c r="B4647" s="9" t="n"/>
    </row>
    <row r="4648">
      <c r="A4648" s="8" t="n"/>
      <c r="B4648" s="9" t="n"/>
    </row>
    <row r="4649">
      <c r="A4649" s="8" t="n"/>
      <c r="B4649" s="9" t="n"/>
    </row>
    <row r="4650">
      <c r="A4650" s="8" t="n"/>
      <c r="B4650" s="9" t="n"/>
    </row>
    <row r="4651">
      <c r="A4651" s="8" t="n"/>
      <c r="B4651" s="9" t="n"/>
    </row>
    <row r="4652">
      <c r="A4652" s="8" t="n"/>
      <c r="B4652" s="9" t="n"/>
    </row>
    <row r="4653">
      <c r="A4653" s="8" t="n"/>
      <c r="B4653" s="9" t="n"/>
    </row>
    <row r="4654">
      <c r="A4654" s="8" t="n"/>
      <c r="B4654" s="9" t="n"/>
    </row>
    <row r="4655">
      <c r="A4655" s="8" t="n"/>
      <c r="B4655" s="9" t="n"/>
    </row>
    <row r="4656">
      <c r="A4656" s="8" t="n"/>
      <c r="B4656" s="9" t="n"/>
    </row>
    <row r="4657">
      <c r="A4657" s="8" t="n"/>
      <c r="B4657" s="9" t="n"/>
    </row>
    <row r="4658">
      <c r="A4658" s="8" t="n"/>
      <c r="B4658" s="9" t="n"/>
    </row>
    <row r="4659">
      <c r="A4659" s="8" t="n"/>
      <c r="B4659" s="9" t="n"/>
    </row>
    <row r="4660">
      <c r="A4660" s="8" t="n"/>
      <c r="B4660" s="9" t="n"/>
    </row>
    <row r="4661">
      <c r="A4661" s="8" t="n"/>
      <c r="B4661" s="9" t="n"/>
    </row>
    <row r="4662">
      <c r="A4662" s="8" t="n"/>
      <c r="B4662" s="9" t="n"/>
    </row>
    <row r="4663">
      <c r="A4663" s="8" t="n"/>
      <c r="B4663" s="9" t="n"/>
    </row>
    <row r="4664">
      <c r="A4664" s="8" t="n"/>
      <c r="B4664" s="9" t="n"/>
    </row>
    <row r="4665">
      <c r="A4665" s="8" t="n"/>
      <c r="B4665" s="9" t="n"/>
    </row>
    <row r="4666">
      <c r="A4666" s="8" t="n"/>
      <c r="B4666" s="9" t="n"/>
    </row>
    <row r="4667">
      <c r="A4667" s="8" t="n"/>
      <c r="B4667" s="9" t="n"/>
    </row>
    <row r="4668">
      <c r="A4668" s="8" t="n"/>
      <c r="B4668" s="9" t="n"/>
    </row>
    <row r="4669">
      <c r="A4669" s="8" t="n"/>
      <c r="B4669" s="9" t="n"/>
    </row>
    <row r="4670">
      <c r="A4670" s="8" t="n"/>
      <c r="B4670" s="9" t="n"/>
    </row>
    <row r="4671">
      <c r="A4671" s="8" t="n"/>
      <c r="B4671" s="9" t="n"/>
    </row>
    <row r="4672">
      <c r="A4672" s="8" t="n"/>
      <c r="B4672" s="9" t="n"/>
    </row>
    <row r="4673">
      <c r="A4673" s="8" t="n"/>
      <c r="B4673" s="9" t="n"/>
    </row>
    <row r="4674">
      <c r="A4674" s="8" t="n"/>
      <c r="B4674" s="9" t="n"/>
    </row>
    <row r="4675">
      <c r="A4675" s="8" t="n"/>
      <c r="B4675" s="9" t="n"/>
    </row>
    <row r="4676">
      <c r="A4676" s="8" t="n"/>
      <c r="B4676" s="9" t="n"/>
    </row>
    <row r="4677">
      <c r="A4677" s="8" t="n"/>
      <c r="B4677" s="9" t="n"/>
    </row>
    <row r="4678">
      <c r="A4678" s="8" t="n"/>
      <c r="B4678" s="9" t="n"/>
    </row>
    <row r="4679">
      <c r="A4679" s="8" t="n"/>
      <c r="B4679" s="9" t="n"/>
    </row>
    <row r="4680">
      <c r="A4680" s="8" t="n"/>
      <c r="B4680" s="9" t="n"/>
    </row>
    <row r="4681">
      <c r="A4681" s="8" t="n"/>
      <c r="B4681" s="9" t="n"/>
    </row>
    <row r="4682">
      <c r="A4682" s="8" t="n"/>
      <c r="B4682" s="9" t="n"/>
    </row>
    <row r="4683">
      <c r="A4683" s="8" t="n"/>
      <c r="B4683" s="9" t="n"/>
    </row>
    <row r="4684">
      <c r="A4684" s="8" t="n"/>
      <c r="B4684" s="9" t="n"/>
    </row>
    <row r="4685">
      <c r="A4685" s="8" t="n"/>
      <c r="B4685" s="9" t="n"/>
    </row>
    <row r="4686">
      <c r="A4686" s="8" t="n"/>
      <c r="B4686" s="9" t="n"/>
    </row>
    <row r="4687">
      <c r="A4687" s="8" t="n"/>
      <c r="B4687" s="9" t="n"/>
    </row>
    <row r="4688">
      <c r="A4688" s="8" t="n"/>
      <c r="B4688" s="9" t="n"/>
    </row>
    <row r="4689">
      <c r="A4689" s="8" t="n"/>
      <c r="B4689" s="9" t="n"/>
    </row>
    <row r="4690">
      <c r="A4690" s="8" t="n"/>
      <c r="B4690" s="9" t="n"/>
    </row>
    <row r="4691">
      <c r="A4691" s="8" t="n"/>
      <c r="B4691" s="9" t="n"/>
    </row>
    <row r="4692">
      <c r="A4692" s="8" t="n"/>
      <c r="B4692" s="9" t="n"/>
    </row>
    <row r="4693">
      <c r="A4693" s="8" t="n"/>
      <c r="B4693" s="9" t="n"/>
    </row>
    <row r="4694">
      <c r="A4694" s="8" t="n"/>
      <c r="B4694" s="9" t="n"/>
    </row>
    <row r="4695">
      <c r="A4695" s="8" t="n"/>
      <c r="B4695" s="9" t="n"/>
    </row>
    <row r="4696">
      <c r="A4696" s="8" t="n"/>
      <c r="B4696" s="9" t="n"/>
    </row>
    <row r="4697">
      <c r="A4697" s="8" t="n"/>
      <c r="B4697" s="9" t="n"/>
    </row>
    <row r="4698">
      <c r="A4698" s="8" t="n"/>
      <c r="B4698" s="9" t="n"/>
    </row>
    <row r="4699">
      <c r="A4699" s="8" t="n"/>
      <c r="B4699" s="9" t="n"/>
    </row>
    <row r="4700">
      <c r="A4700" s="8" t="n"/>
      <c r="B4700" s="9" t="n"/>
    </row>
    <row r="4701">
      <c r="A4701" s="8" t="n"/>
      <c r="B4701" s="9" t="n"/>
    </row>
    <row r="4702">
      <c r="A4702" s="8" t="n"/>
      <c r="B4702" s="9" t="n"/>
    </row>
    <row r="4703">
      <c r="A4703" s="8" t="n"/>
      <c r="B4703" s="9" t="n"/>
    </row>
    <row r="4704">
      <c r="A4704" s="8" t="n"/>
      <c r="B4704" s="9" t="n"/>
    </row>
    <row r="4705">
      <c r="A4705" s="8" t="n"/>
      <c r="B4705" s="9" t="n"/>
    </row>
    <row r="4706">
      <c r="A4706" s="8" t="n"/>
      <c r="B4706" s="9" t="n"/>
    </row>
    <row r="4707">
      <c r="A4707" s="8" t="n"/>
      <c r="B4707" s="9" t="n"/>
    </row>
    <row r="4708">
      <c r="A4708" s="8" t="n"/>
      <c r="B4708" s="9" t="n"/>
    </row>
    <row r="4709">
      <c r="A4709" s="8" t="n"/>
      <c r="B4709" s="9" t="n"/>
    </row>
    <row r="4710">
      <c r="A4710" s="8" t="n"/>
      <c r="B4710" s="9" t="n"/>
    </row>
    <row r="4711">
      <c r="A4711" s="8" t="n"/>
      <c r="B4711" s="9" t="n"/>
    </row>
    <row r="4712">
      <c r="A4712" s="8" t="n"/>
      <c r="B4712" s="9" t="n"/>
    </row>
    <row r="4713">
      <c r="A4713" s="8" t="n"/>
      <c r="B4713" s="9" t="n"/>
    </row>
    <row r="4714">
      <c r="A4714" s="8" t="n"/>
      <c r="B4714" s="9" t="n"/>
    </row>
    <row r="4715">
      <c r="A4715" s="8" t="n"/>
      <c r="B4715" s="9" t="n"/>
    </row>
    <row r="4716">
      <c r="A4716" s="8" t="n"/>
      <c r="B4716" s="9" t="n"/>
    </row>
    <row r="4717">
      <c r="A4717" s="8" t="n"/>
      <c r="B4717" s="9" t="n"/>
    </row>
    <row r="4718">
      <c r="A4718" s="8" t="n"/>
      <c r="B4718" s="9" t="n"/>
    </row>
    <row r="4719">
      <c r="A4719" s="8" t="n"/>
      <c r="B4719" s="9" t="n"/>
    </row>
    <row r="4720">
      <c r="A4720" s="8" t="n"/>
      <c r="B4720" s="9" t="n"/>
    </row>
    <row r="4721">
      <c r="A4721" s="8" t="n"/>
      <c r="B4721" s="9" t="n"/>
    </row>
    <row r="4722">
      <c r="A4722" s="8" t="n"/>
      <c r="B4722" s="9" t="n"/>
    </row>
    <row r="4723">
      <c r="A4723" s="8" t="n"/>
      <c r="B4723" s="9" t="n"/>
    </row>
    <row r="4724">
      <c r="A4724" s="8" t="n"/>
      <c r="B4724" s="9" t="n"/>
    </row>
    <row r="4725">
      <c r="A4725" s="8" t="n"/>
      <c r="B4725" s="9" t="n"/>
    </row>
    <row r="4726">
      <c r="A4726" s="8" t="n"/>
      <c r="B4726" s="9" t="n"/>
    </row>
    <row r="4727">
      <c r="A4727" s="8" t="n"/>
      <c r="B4727" s="9" t="n"/>
    </row>
    <row r="4728">
      <c r="A4728" s="8" t="n"/>
      <c r="B4728" s="9" t="n"/>
    </row>
    <row r="4729">
      <c r="A4729" s="8" t="n"/>
      <c r="B4729" s="9" t="n"/>
    </row>
    <row r="4730">
      <c r="A4730" s="8" t="n"/>
      <c r="B4730" s="9" t="n"/>
    </row>
    <row r="4731">
      <c r="A4731" s="8" t="n"/>
      <c r="B4731" s="9" t="n"/>
    </row>
    <row r="4732">
      <c r="A4732" s="8" t="n"/>
      <c r="B4732" s="9" t="n"/>
    </row>
    <row r="4733">
      <c r="A4733" s="8" t="n"/>
      <c r="B4733" s="9" t="n"/>
    </row>
    <row r="4734">
      <c r="A4734" s="8" t="n"/>
      <c r="B4734" s="9" t="n"/>
    </row>
    <row r="4735">
      <c r="A4735" s="8" t="n"/>
      <c r="B4735" s="9" t="n"/>
    </row>
    <row r="4736">
      <c r="A4736" s="8" t="n"/>
      <c r="B4736" s="9" t="n"/>
    </row>
    <row r="4737">
      <c r="A4737" s="8" t="n"/>
      <c r="B4737" s="9" t="n"/>
    </row>
    <row r="4738">
      <c r="A4738" s="8" t="n"/>
      <c r="B4738" s="9" t="n"/>
    </row>
    <row r="4739">
      <c r="A4739" s="8" t="n"/>
      <c r="B4739" s="9" t="n"/>
    </row>
    <row r="4740">
      <c r="A4740" s="8" t="n"/>
      <c r="B4740" s="9" t="n"/>
    </row>
    <row r="4741">
      <c r="A4741" s="8" t="n"/>
      <c r="B4741" s="9" t="n"/>
    </row>
    <row r="4742">
      <c r="A4742" s="8" t="n"/>
      <c r="B4742" s="9" t="n"/>
    </row>
    <row r="4743">
      <c r="A4743" s="8" t="n"/>
      <c r="B4743" s="9" t="n"/>
    </row>
    <row r="4744">
      <c r="A4744" s="8" t="n"/>
      <c r="B4744" s="9" t="n"/>
    </row>
    <row r="4745">
      <c r="A4745" s="8" t="n"/>
      <c r="B4745" s="9" t="n"/>
    </row>
    <row r="4746">
      <c r="A4746" s="8" t="n"/>
      <c r="B4746" s="9" t="n"/>
    </row>
    <row r="4747">
      <c r="A4747" s="8" t="n"/>
      <c r="B4747" s="9" t="n"/>
    </row>
    <row r="4748">
      <c r="A4748" s="8" t="n"/>
      <c r="B4748" s="9" t="n"/>
    </row>
    <row r="4749">
      <c r="A4749" s="8" t="n"/>
      <c r="B4749" s="9" t="n"/>
    </row>
    <row r="4750">
      <c r="A4750" s="8" t="n"/>
      <c r="B4750" s="9" t="n"/>
    </row>
    <row r="4751">
      <c r="A4751" s="8" t="n"/>
      <c r="B4751" s="9" t="n"/>
    </row>
    <row r="4752">
      <c r="A4752" s="8" t="n"/>
      <c r="B4752" s="9" t="n"/>
    </row>
    <row r="4753">
      <c r="A4753" s="8" t="n"/>
      <c r="B4753" s="9" t="n"/>
    </row>
    <row r="4754">
      <c r="A4754" s="8" t="n"/>
      <c r="B4754" s="9" t="n"/>
    </row>
    <row r="4755">
      <c r="A4755" s="8" t="n"/>
      <c r="B4755" s="9" t="n"/>
    </row>
    <row r="4756">
      <c r="A4756" s="8" t="n"/>
      <c r="B4756" s="9" t="n"/>
    </row>
    <row r="4757">
      <c r="A4757" s="8" t="n"/>
      <c r="B4757" s="9" t="n"/>
    </row>
    <row r="4758">
      <c r="A4758" s="8" t="n"/>
      <c r="B4758" s="9" t="n"/>
    </row>
    <row r="4759">
      <c r="A4759" s="8" t="n"/>
      <c r="B4759" s="9" t="n"/>
    </row>
    <row r="4760">
      <c r="A4760" s="8" t="n"/>
      <c r="B4760" s="9" t="n"/>
    </row>
    <row r="4761">
      <c r="A4761" s="8" t="n"/>
      <c r="B4761" s="9" t="n"/>
    </row>
    <row r="4762">
      <c r="A4762" s="8" t="n"/>
      <c r="B4762" s="9" t="n"/>
    </row>
    <row r="4763">
      <c r="A4763" s="8" t="n"/>
      <c r="B4763" s="9" t="n"/>
    </row>
    <row r="4764">
      <c r="A4764" s="8" t="n"/>
      <c r="B4764" s="9" t="n"/>
    </row>
    <row r="4765">
      <c r="A4765" s="8" t="n"/>
      <c r="B4765" s="9" t="n"/>
    </row>
    <row r="4766">
      <c r="A4766" s="8" t="n"/>
      <c r="B4766" s="9" t="n"/>
    </row>
    <row r="4767">
      <c r="A4767" s="8" t="n"/>
      <c r="B4767" s="9" t="n"/>
    </row>
    <row r="4768">
      <c r="A4768" s="8" t="n"/>
      <c r="B4768" s="9" t="n"/>
    </row>
    <row r="4769">
      <c r="A4769" s="8" t="n"/>
      <c r="B4769" s="9" t="n"/>
    </row>
    <row r="4770">
      <c r="A4770" s="8" t="n"/>
      <c r="B4770" s="9" t="n"/>
    </row>
    <row r="4771">
      <c r="A4771" s="8" t="n"/>
      <c r="B4771" s="9" t="n"/>
    </row>
    <row r="4772">
      <c r="A4772" s="8" t="n"/>
      <c r="B4772" s="9" t="n"/>
    </row>
    <row r="4773">
      <c r="A4773" s="8" t="n"/>
      <c r="B4773" s="9" t="n"/>
    </row>
    <row r="4774">
      <c r="A4774" s="8" t="n"/>
      <c r="B4774" s="9" t="n"/>
    </row>
    <row r="4775">
      <c r="A4775" s="8" t="n"/>
      <c r="B4775" s="9" t="n"/>
    </row>
    <row r="4776">
      <c r="A4776" s="8" t="n"/>
      <c r="B4776" s="9" t="n"/>
    </row>
    <row r="4777">
      <c r="A4777" s="8" t="n"/>
      <c r="B4777" s="9" t="n"/>
    </row>
    <row r="4778">
      <c r="A4778" s="8" t="n"/>
      <c r="B4778" s="9" t="n"/>
    </row>
    <row r="4779">
      <c r="A4779" s="8" t="n"/>
      <c r="B4779" s="9" t="n"/>
    </row>
    <row r="4780">
      <c r="A4780" s="8" t="n"/>
      <c r="B4780" s="9" t="n"/>
    </row>
    <row r="4781">
      <c r="A4781" s="8" t="n"/>
      <c r="B4781" s="9" t="n"/>
    </row>
    <row r="4782">
      <c r="A4782" s="8" t="n"/>
      <c r="B4782" s="9" t="n"/>
    </row>
    <row r="4783">
      <c r="A4783" s="8" t="n"/>
      <c r="B4783" s="9" t="n"/>
    </row>
    <row r="4784">
      <c r="A4784" s="8" t="n"/>
      <c r="B4784" s="9" t="n"/>
    </row>
    <row r="4785">
      <c r="A4785" s="8" t="n"/>
      <c r="B4785" s="9" t="n"/>
    </row>
    <row r="4786">
      <c r="A4786" s="8" t="n"/>
      <c r="B4786" s="9" t="n"/>
    </row>
    <row r="4787">
      <c r="A4787" s="8" t="n"/>
      <c r="B4787" s="9" t="n"/>
    </row>
    <row r="4788">
      <c r="A4788" s="8" t="n"/>
      <c r="B4788" s="9" t="n"/>
    </row>
    <row r="4789">
      <c r="A4789" s="8" t="n"/>
      <c r="B4789" s="9" t="n"/>
    </row>
    <row r="4790">
      <c r="A4790" s="8" t="n"/>
      <c r="B4790" s="9" t="n"/>
    </row>
    <row r="4791">
      <c r="A4791" s="8" t="n"/>
      <c r="B4791" s="9" t="n"/>
    </row>
    <row r="4792">
      <c r="A4792" s="8" t="n"/>
      <c r="B4792" s="9" t="n"/>
    </row>
    <row r="4793">
      <c r="A4793" s="8" t="n"/>
      <c r="B4793" s="9" t="n"/>
    </row>
    <row r="4794">
      <c r="A4794" s="8" t="n"/>
      <c r="B4794" s="9" t="n"/>
    </row>
    <row r="4795">
      <c r="A4795" s="8" t="n"/>
      <c r="B4795" s="9" t="n"/>
    </row>
    <row r="4796">
      <c r="A4796" s="8" t="n"/>
      <c r="B4796" s="9" t="n"/>
    </row>
    <row r="4797">
      <c r="A4797" s="8" t="n"/>
      <c r="B4797" s="9" t="n"/>
    </row>
    <row r="4798">
      <c r="A4798" s="8" t="n"/>
      <c r="B4798" s="9" t="n"/>
    </row>
    <row r="4799">
      <c r="A4799" s="8" t="n"/>
      <c r="B4799" s="9" t="n"/>
    </row>
    <row r="4800">
      <c r="A4800" s="8" t="n"/>
      <c r="B4800" s="9" t="n"/>
    </row>
    <row r="4801">
      <c r="A4801" s="8" t="n"/>
      <c r="B4801" s="9" t="n"/>
    </row>
    <row r="4802">
      <c r="A4802" s="8" t="n"/>
      <c r="B4802" s="9" t="n"/>
    </row>
    <row r="4803">
      <c r="A4803" s="8" t="n"/>
      <c r="B4803" s="9" t="n"/>
    </row>
    <row r="4804">
      <c r="A4804" s="8" t="n"/>
      <c r="B4804" s="9" t="n"/>
    </row>
    <row r="4805">
      <c r="A4805" s="8" t="n"/>
      <c r="B4805" s="9" t="n"/>
    </row>
    <row r="4806">
      <c r="A4806" s="8" t="n"/>
      <c r="B4806" s="9" t="n"/>
    </row>
    <row r="4807">
      <c r="A4807" s="8" t="n"/>
      <c r="B4807" s="9" t="n"/>
    </row>
    <row r="4808">
      <c r="A4808" s="8" t="n"/>
      <c r="B4808" s="9" t="n"/>
    </row>
    <row r="4809">
      <c r="A4809" s="8" t="n"/>
      <c r="B4809" s="9" t="n"/>
    </row>
    <row r="4810">
      <c r="A4810" s="8" t="n"/>
      <c r="B4810" s="9" t="n"/>
    </row>
    <row r="4811">
      <c r="A4811" s="8" t="n"/>
      <c r="B4811" s="9" t="n"/>
    </row>
    <row r="4812">
      <c r="A4812" s="8" t="n"/>
      <c r="B4812" s="9" t="n"/>
    </row>
    <row r="4813">
      <c r="A4813" s="8" t="n"/>
      <c r="B4813" s="9" t="n"/>
    </row>
    <row r="4814">
      <c r="A4814" s="8" t="n"/>
      <c r="B4814" s="9" t="n"/>
    </row>
    <row r="4815">
      <c r="A4815" s="8" t="n"/>
      <c r="B4815" s="9" t="n"/>
    </row>
    <row r="4816">
      <c r="A4816" s="8" t="n"/>
      <c r="B4816" s="9" t="n"/>
    </row>
    <row r="4817">
      <c r="A4817" s="8" t="n"/>
      <c r="B4817" s="9" t="n"/>
    </row>
    <row r="4818">
      <c r="A4818" s="8" t="n"/>
      <c r="B4818" s="9" t="n"/>
    </row>
    <row r="4819">
      <c r="A4819" s="8" t="n"/>
      <c r="B4819" s="9" t="n"/>
    </row>
    <row r="4820">
      <c r="A4820" s="8" t="n"/>
      <c r="B4820" s="9" t="n"/>
    </row>
    <row r="4821">
      <c r="A4821" s="8" t="n"/>
      <c r="B4821" s="9" t="n"/>
    </row>
    <row r="4822">
      <c r="A4822" s="8" t="n"/>
      <c r="B4822" s="9" t="n"/>
    </row>
    <row r="4823">
      <c r="A4823" s="8" t="n"/>
      <c r="B4823" s="9" t="n"/>
    </row>
    <row r="4824">
      <c r="A4824" s="8" t="n"/>
      <c r="B4824" s="9" t="n"/>
    </row>
    <row r="4825">
      <c r="A4825" s="8" t="n"/>
      <c r="B4825" s="9" t="n"/>
    </row>
    <row r="4826">
      <c r="A4826" s="8" t="n"/>
      <c r="B4826" s="9" t="n"/>
    </row>
    <row r="4827">
      <c r="A4827" s="8" t="n"/>
      <c r="B4827" s="9" t="n"/>
    </row>
    <row r="4828">
      <c r="A4828" s="8" t="n"/>
      <c r="B4828" s="9" t="n"/>
    </row>
    <row r="4829">
      <c r="A4829" s="8" t="n"/>
      <c r="B4829" s="9" t="n"/>
    </row>
    <row r="4830">
      <c r="A4830" s="8" t="n"/>
      <c r="B4830" s="9" t="n"/>
    </row>
    <row r="4831">
      <c r="A4831" s="8" t="n"/>
      <c r="B4831" s="9" t="n"/>
    </row>
    <row r="4832">
      <c r="A4832" s="8" t="n"/>
      <c r="B4832" s="9" t="n"/>
    </row>
    <row r="4833">
      <c r="A4833" s="8" t="n"/>
      <c r="B4833" s="9" t="n"/>
    </row>
    <row r="4834">
      <c r="A4834" s="8" t="n"/>
      <c r="B4834" s="9" t="n"/>
    </row>
    <row r="4835">
      <c r="A4835" s="8" t="n"/>
      <c r="B4835" s="9" t="n"/>
    </row>
    <row r="4836">
      <c r="A4836" s="8" t="n"/>
      <c r="B4836" s="9" t="n"/>
    </row>
    <row r="4837">
      <c r="A4837" s="8" t="n"/>
      <c r="B4837" s="9" t="n"/>
    </row>
    <row r="4838">
      <c r="A4838" s="8" t="n"/>
      <c r="B4838" s="9" t="n"/>
    </row>
    <row r="4839">
      <c r="A4839" s="8" t="n"/>
      <c r="B4839" s="9" t="n"/>
    </row>
    <row r="4840">
      <c r="A4840" s="8" t="n"/>
      <c r="B4840" s="9" t="n"/>
    </row>
    <row r="4841">
      <c r="A4841" s="8" t="n"/>
      <c r="B4841" s="9" t="n"/>
    </row>
    <row r="4842">
      <c r="A4842" s="8" t="n"/>
      <c r="B4842" s="9" t="n"/>
    </row>
    <row r="4843">
      <c r="A4843" s="8" t="n"/>
      <c r="B4843" s="9" t="n"/>
    </row>
    <row r="4844">
      <c r="A4844" s="8" t="n"/>
      <c r="B4844" s="9" t="n"/>
    </row>
    <row r="4845">
      <c r="A4845" s="8" t="n"/>
      <c r="B4845" s="9" t="n"/>
    </row>
    <row r="4846">
      <c r="A4846" s="8" t="n"/>
      <c r="B4846" s="9" t="n"/>
    </row>
    <row r="4847">
      <c r="A4847" s="8" t="n"/>
      <c r="B4847" s="9" t="n"/>
    </row>
    <row r="4848">
      <c r="A4848" s="8" t="n"/>
      <c r="B4848" s="9" t="n"/>
    </row>
    <row r="4849">
      <c r="A4849" s="8" t="n"/>
      <c r="B4849" s="9" t="n"/>
    </row>
    <row r="4850">
      <c r="A4850" s="8" t="n"/>
      <c r="B4850" s="9" t="n"/>
    </row>
    <row r="4851">
      <c r="A4851" s="8" t="n"/>
      <c r="B4851" s="9" t="n"/>
    </row>
    <row r="4852">
      <c r="A4852" s="8" t="n"/>
      <c r="B4852" s="9" t="n"/>
    </row>
    <row r="4853">
      <c r="A4853" s="8" t="n"/>
      <c r="B4853" s="9" t="n"/>
    </row>
    <row r="4854">
      <c r="A4854" s="8" t="n"/>
      <c r="B4854" s="9" t="n"/>
    </row>
    <row r="4855">
      <c r="A4855" s="8" t="n"/>
      <c r="B4855" s="9" t="n"/>
    </row>
    <row r="4856">
      <c r="A4856" s="8" t="n"/>
      <c r="B4856" s="9" t="n"/>
    </row>
    <row r="4857">
      <c r="A4857" s="8" t="n"/>
      <c r="B4857" s="9" t="n"/>
    </row>
    <row r="4858">
      <c r="A4858" s="8" t="n"/>
      <c r="B4858" s="9" t="n"/>
    </row>
    <row r="4859">
      <c r="A4859" s="8" t="n"/>
      <c r="B4859" s="9" t="n"/>
    </row>
    <row r="4860">
      <c r="A4860" s="8" t="n"/>
      <c r="B4860" s="9" t="n"/>
    </row>
    <row r="4861">
      <c r="A4861" s="8" t="n"/>
      <c r="B4861" s="9" t="n"/>
    </row>
    <row r="4862">
      <c r="A4862" s="8" t="n"/>
      <c r="B4862" s="9" t="n"/>
    </row>
    <row r="4863">
      <c r="A4863" s="8" t="n"/>
      <c r="B4863" s="9" t="n"/>
    </row>
    <row r="4864">
      <c r="A4864" s="8" t="n"/>
      <c r="B4864" s="9" t="n"/>
    </row>
    <row r="4865">
      <c r="A4865" s="8" t="n"/>
      <c r="B4865" s="9" t="n"/>
    </row>
    <row r="4866">
      <c r="A4866" s="8" t="n"/>
      <c r="B4866" s="9" t="n"/>
    </row>
    <row r="4867">
      <c r="A4867" s="8" t="n"/>
      <c r="B4867" s="9" t="n"/>
    </row>
    <row r="4868">
      <c r="A4868" s="8" t="n"/>
      <c r="B4868" s="9" t="n"/>
    </row>
    <row r="4869">
      <c r="A4869" s="8" t="n"/>
      <c r="B4869" s="9" t="n"/>
    </row>
    <row r="4870">
      <c r="A4870" s="8" t="n"/>
      <c r="B4870" s="9" t="n"/>
    </row>
    <row r="4871">
      <c r="A4871" s="8" t="n"/>
      <c r="B4871" s="9" t="n"/>
    </row>
    <row r="4872">
      <c r="A4872" s="8" t="n"/>
      <c r="B4872" s="9" t="n"/>
    </row>
    <row r="4873">
      <c r="A4873" s="8" t="n"/>
      <c r="B4873" s="9" t="n"/>
    </row>
    <row r="4874">
      <c r="A4874" s="8" t="n"/>
      <c r="B4874" s="9" t="n"/>
    </row>
    <row r="4875">
      <c r="A4875" s="8" t="n"/>
      <c r="B4875" s="9" t="n"/>
    </row>
    <row r="4876">
      <c r="A4876" s="8" t="n"/>
      <c r="B4876" s="9" t="n"/>
    </row>
    <row r="4877">
      <c r="A4877" s="8" t="n"/>
      <c r="B4877" s="9" t="n"/>
    </row>
    <row r="4878">
      <c r="A4878" s="8" t="n"/>
      <c r="B4878" s="9" t="n"/>
    </row>
    <row r="4879">
      <c r="A4879" s="8" t="n"/>
      <c r="B4879" s="9" t="n"/>
    </row>
    <row r="4880">
      <c r="A4880" s="8" t="n"/>
      <c r="B4880" s="9" t="n"/>
    </row>
    <row r="4881">
      <c r="A4881" s="8" t="n"/>
      <c r="B4881" s="9" t="n"/>
    </row>
    <row r="4882">
      <c r="A4882" s="8" t="n"/>
      <c r="B4882" s="9" t="n"/>
    </row>
    <row r="4883">
      <c r="A4883" s="8" t="n"/>
      <c r="B4883" s="9" t="n"/>
    </row>
    <row r="4884">
      <c r="A4884" s="8" t="n"/>
      <c r="B4884" s="9" t="n"/>
    </row>
    <row r="4885">
      <c r="A4885" s="8" t="n"/>
      <c r="B4885" s="9" t="n"/>
    </row>
    <row r="4886">
      <c r="A4886" s="8" t="n"/>
      <c r="B4886" s="9" t="n"/>
    </row>
    <row r="4887">
      <c r="A4887" s="8" t="n"/>
      <c r="B4887" s="9" t="n"/>
    </row>
    <row r="4888">
      <c r="A4888" s="8" t="n"/>
      <c r="B4888" s="9" t="n"/>
    </row>
    <row r="4889">
      <c r="A4889" s="8" t="n"/>
      <c r="B4889" s="9" t="n"/>
    </row>
    <row r="4890">
      <c r="A4890" s="8" t="n"/>
      <c r="B4890" s="9" t="n"/>
    </row>
    <row r="4891">
      <c r="A4891" s="8" t="n"/>
      <c r="B4891" s="9" t="n"/>
    </row>
    <row r="4892">
      <c r="A4892" s="8" t="n"/>
      <c r="B4892" s="9" t="n"/>
    </row>
    <row r="4893">
      <c r="A4893" s="8" t="n"/>
      <c r="B4893" s="9" t="n"/>
    </row>
    <row r="4894">
      <c r="A4894" s="8" t="n"/>
      <c r="B4894" s="9" t="n"/>
    </row>
    <row r="4895">
      <c r="A4895" s="8" t="n"/>
      <c r="B4895" s="9" t="n"/>
    </row>
    <row r="4896">
      <c r="A4896" s="8" t="n"/>
      <c r="B4896" s="9" t="n"/>
    </row>
    <row r="4897">
      <c r="A4897" s="8" t="n"/>
      <c r="B4897" s="9" t="n"/>
    </row>
    <row r="4898">
      <c r="A4898" s="8" t="n"/>
      <c r="B4898" s="9" t="n"/>
    </row>
    <row r="4899">
      <c r="A4899" s="8" t="n"/>
      <c r="B4899" s="9" t="n"/>
    </row>
    <row r="4900">
      <c r="A4900" s="8" t="n"/>
      <c r="B4900" s="9" t="n"/>
    </row>
    <row r="4901">
      <c r="A4901" s="8" t="n"/>
      <c r="B4901" s="9" t="n"/>
    </row>
    <row r="4902">
      <c r="A4902" s="8" t="n"/>
      <c r="B4902" s="9" t="n"/>
    </row>
    <row r="4903">
      <c r="A4903" s="8" t="n"/>
      <c r="B4903" s="9" t="n"/>
    </row>
    <row r="4904">
      <c r="A4904" s="8" t="n"/>
      <c r="B4904" s="9" t="n"/>
    </row>
    <row r="4905">
      <c r="A4905" s="8" t="n"/>
      <c r="B4905" s="9" t="n"/>
    </row>
    <row r="4906">
      <c r="A4906" s="8" t="n"/>
      <c r="B4906" s="9" t="n"/>
    </row>
    <row r="4907">
      <c r="A4907" s="8" t="n"/>
      <c r="B4907" s="9" t="n"/>
    </row>
    <row r="4908">
      <c r="A4908" s="8" t="n"/>
      <c r="B4908" s="9" t="n"/>
    </row>
    <row r="4909">
      <c r="A4909" s="8" t="n"/>
      <c r="B4909" s="9" t="n"/>
    </row>
    <row r="4910">
      <c r="A4910" s="8" t="n"/>
      <c r="B4910" s="9" t="n"/>
    </row>
    <row r="4911">
      <c r="A4911" s="8" t="n"/>
      <c r="B4911" s="9" t="n"/>
    </row>
    <row r="4912">
      <c r="A4912" s="8" t="n"/>
      <c r="B4912" s="9" t="n"/>
    </row>
    <row r="4913">
      <c r="A4913" s="8" t="n"/>
      <c r="B4913" s="9" t="n"/>
    </row>
    <row r="4914">
      <c r="A4914" s="8" t="n"/>
      <c r="B4914" s="9" t="n"/>
    </row>
    <row r="4915">
      <c r="A4915" s="8" t="n"/>
      <c r="B4915" s="9" t="n"/>
    </row>
    <row r="4916">
      <c r="A4916" s="8" t="n"/>
      <c r="B4916" s="9" t="n"/>
    </row>
    <row r="4917">
      <c r="A4917" s="8" t="n"/>
      <c r="B4917" s="9" t="n"/>
    </row>
    <row r="4918">
      <c r="A4918" s="8" t="n"/>
      <c r="B4918" s="9" t="n"/>
    </row>
    <row r="4919">
      <c r="A4919" s="8" t="n"/>
      <c r="B4919" s="9" t="n"/>
    </row>
    <row r="4920">
      <c r="A4920" s="8" t="n"/>
      <c r="B4920" s="9" t="n"/>
    </row>
    <row r="4921">
      <c r="A4921" s="8" t="n"/>
      <c r="B4921" s="9" t="n"/>
    </row>
    <row r="4922">
      <c r="A4922" s="8" t="n"/>
      <c r="B4922" s="9" t="n"/>
    </row>
    <row r="4923">
      <c r="A4923" s="8" t="n"/>
      <c r="B4923" s="9" t="n"/>
    </row>
    <row r="4924">
      <c r="A4924" s="8" t="n"/>
      <c r="B4924" s="9" t="n"/>
    </row>
    <row r="4925">
      <c r="A4925" s="8" t="n"/>
      <c r="B4925" s="9" t="n"/>
    </row>
    <row r="4926">
      <c r="A4926" s="8" t="n"/>
      <c r="B4926" s="9" t="n"/>
    </row>
    <row r="4927">
      <c r="A4927" s="8" t="n"/>
      <c r="B4927" s="9" t="n"/>
    </row>
    <row r="4928">
      <c r="A4928" s="8" t="n"/>
      <c r="B4928" s="9" t="n"/>
    </row>
    <row r="4929">
      <c r="A4929" s="8" t="n"/>
      <c r="B4929" s="9" t="n"/>
    </row>
    <row r="4930">
      <c r="A4930" s="8" t="n"/>
      <c r="B4930" s="9" t="n"/>
    </row>
    <row r="4931">
      <c r="A4931" s="8" t="n"/>
      <c r="B4931" s="9" t="n"/>
    </row>
    <row r="4932">
      <c r="A4932" s="8" t="n"/>
      <c r="B4932" s="9" t="n"/>
    </row>
    <row r="4933">
      <c r="A4933" s="8" t="n"/>
      <c r="B4933" s="9" t="n"/>
    </row>
    <row r="4934">
      <c r="A4934" s="8" t="n"/>
      <c r="B4934" s="9" t="n"/>
    </row>
    <row r="4935">
      <c r="A4935" s="8" t="n"/>
      <c r="B4935" s="9" t="n"/>
    </row>
    <row r="4936">
      <c r="A4936" s="8" t="n"/>
      <c r="B4936" s="9" t="n"/>
    </row>
    <row r="4937">
      <c r="A4937" s="8" t="n"/>
      <c r="B4937" s="9" t="n"/>
    </row>
    <row r="4938">
      <c r="A4938" s="8" t="n"/>
      <c r="B4938" s="9" t="n"/>
    </row>
    <row r="4939">
      <c r="A4939" s="8" t="n"/>
      <c r="B4939" s="9" t="n"/>
    </row>
    <row r="4940">
      <c r="A4940" s="8" t="n"/>
      <c r="B4940" s="9" t="n"/>
    </row>
    <row r="4941">
      <c r="A4941" s="8" t="n"/>
      <c r="B4941" s="9" t="n"/>
    </row>
    <row r="4942">
      <c r="A4942" s="8" t="n"/>
      <c r="B4942" s="9" t="n"/>
    </row>
    <row r="4943">
      <c r="A4943" s="8" t="n"/>
      <c r="B4943" s="9" t="n"/>
    </row>
    <row r="4944">
      <c r="A4944" s="8" t="n"/>
      <c r="B4944" s="9" t="n"/>
    </row>
    <row r="4945">
      <c r="A4945" s="8" t="n"/>
      <c r="B4945" s="9" t="n"/>
    </row>
    <row r="4946">
      <c r="A4946" s="8" t="n"/>
      <c r="B4946" s="9" t="n"/>
    </row>
    <row r="4947">
      <c r="A4947" s="8" t="n"/>
      <c r="B4947" s="9" t="n"/>
    </row>
    <row r="4948">
      <c r="A4948" s="8" t="n"/>
      <c r="B4948" s="9" t="n"/>
    </row>
    <row r="4949">
      <c r="A4949" s="8" t="n"/>
      <c r="B4949" s="9" t="n"/>
    </row>
    <row r="4950">
      <c r="A4950" s="8" t="n"/>
      <c r="B4950" s="9" t="n"/>
    </row>
    <row r="4951">
      <c r="A4951" s="8" t="n"/>
      <c r="B4951" s="9" t="n"/>
    </row>
    <row r="4952">
      <c r="A4952" s="8" t="n"/>
      <c r="B4952" s="9" t="n"/>
    </row>
    <row r="4953">
      <c r="A4953" s="8" t="n"/>
      <c r="B4953" s="9" t="n"/>
    </row>
    <row r="4954">
      <c r="A4954" s="8" t="n"/>
      <c r="B4954" s="9" t="n"/>
    </row>
    <row r="4955">
      <c r="A4955" s="8" t="n"/>
      <c r="B4955" s="9" t="n"/>
    </row>
    <row r="4956">
      <c r="A4956" s="8" t="n"/>
      <c r="B4956" s="9" t="n"/>
    </row>
    <row r="4957">
      <c r="A4957" s="8" t="n"/>
      <c r="B4957" s="9" t="n"/>
    </row>
    <row r="4958">
      <c r="A4958" s="8" t="n"/>
      <c r="B4958" s="9" t="n"/>
    </row>
    <row r="4959">
      <c r="A4959" s="8" t="n"/>
      <c r="B4959" s="9" t="n"/>
    </row>
    <row r="4960">
      <c r="A4960" s="8" t="n"/>
      <c r="B4960" s="9" t="n"/>
    </row>
    <row r="4961">
      <c r="A4961" s="8" t="n"/>
      <c r="B4961" s="9" t="n"/>
    </row>
    <row r="4962">
      <c r="A4962" s="8" t="n"/>
      <c r="B4962" s="9" t="n"/>
    </row>
    <row r="4963">
      <c r="A4963" s="8" t="n"/>
      <c r="B4963" s="9" t="n"/>
    </row>
    <row r="4964">
      <c r="A4964" s="8" t="n"/>
      <c r="B4964" s="9" t="n"/>
    </row>
    <row r="4965">
      <c r="A4965" s="8" t="n"/>
      <c r="B4965" s="9" t="n"/>
    </row>
    <row r="4966">
      <c r="A4966" s="8" t="n"/>
      <c r="B4966" s="9" t="n"/>
    </row>
    <row r="4967">
      <c r="A4967" s="8" t="n"/>
      <c r="B4967" s="9" t="n"/>
    </row>
    <row r="4968">
      <c r="A4968" s="8" t="n"/>
      <c r="B4968" s="9" t="n"/>
    </row>
    <row r="4969">
      <c r="A4969" s="8" t="n"/>
      <c r="B4969" s="9" t="n"/>
    </row>
    <row r="4970">
      <c r="A4970" s="8" t="n"/>
      <c r="B4970" s="9" t="n"/>
    </row>
    <row r="4971">
      <c r="A4971" s="8" t="n"/>
      <c r="B4971" s="9" t="n"/>
    </row>
    <row r="4972">
      <c r="A4972" s="8" t="n"/>
      <c r="B4972" s="9" t="n"/>
    </row>
    <row r="4973">
      <c r="A4973" s="8" t="n"/>
      <c r="B4973" s="9" t="n"/>
    </row>
    <row r="4974">
      <c r="A4974" s="8" t="n"/>
      <c r="B4974" s="9" t="n"/>
    </row>
    <row r="4975">
      <c r="A4975" s="8" t="n"/>
      <c r="B4975" s="9" t="n"/>
    </row>
    <row r="4976">
      <c r="A4976" s="8" t="n"/>
      <c r="B4976" s="9" t="n"/>
    </row>
    <row r="4977">
      <c r="A4977" s="8" t="n"/>
      <c r="B4977" s="9" t="n"/>
    </row>
    <row r="4978">
      <c r="A4978" s="8" t="n"/>
      <c r="B4978" s="9" t="n"/>
    </row>
    <row r="4979">
      <c r="A4979" s="8" t="n"/>
      <c r="B4979" s="9" t="n"/>
    </row>
    <row r="4980">
      <c r="A4980" s="8" t="n"/>
      <c r="B4980" s="9" t="n"/>
    </row>
    <row r="4981">
      <c r="A4981" s="8" t="n"/>
      <c r="B4981" s="9" t="n"/>
    </row>
    <row r="4982">
      <c r="A4982" s="8" t="n"/>
      <c r="B4982" s="9" t="n"/>
    </row>
    <row r="4983">
      <c r="A4983" s="8" t="n"/>
      <c r="B4983" s="9" t="n"/>
    </row>
    <row r="4984">
      <c r="A4984" s="8" t="n"/>
      <c r="B4984" s="9" t="n"/>
    </row>
    <row r="4985">
      <c r="A4985" s="8" t="n"/>
      <c r="B4985" s="9" t="n"/>
    </row>
    <row r="4986">
      <c r="A4986" s="8" t="n"/>
      <c r="B4986" s="9" t="n"/>
    </row>
    <row r="4987">
      <c r="A4987" s="8" t="n"/>
      <c r="B4987" s="9" t="n"/>
    </row>
    <row r="4988">
      <c r="A4988" s="8" t="n"/>
      <c r="B4988" s="9" t="n"/>
    </row>
    <row r="4989">
      <c r="A4989" s="8" t="n"/>
      <c r="B4989" s="9" t="n"/>
    </row>
    <row r="4990">
      <c r="A4990" s="8" t="n"/>
      <c r="B4990" s="9" t="n"/>
    </row>
    <row r="4991">
      <c r="A4991" s="8" t="n"/>
      <c r="B4991" s="9" t="n"/>
    </row>
    <row r="4992">
      <c r="A4992" s="8" t="n"/>
      <c r="B4992" s="9" t="n"/>
    </row>
    <row r="4993">
      <c r="A4993" s="8" t="n"/>
      <c r="B4993" s="9" t="n"/>
    </row>
    <row r="4994">
      <c r="A4994" s="8" t="n"/>
      <c r="B4994" s="9" t="n"/>
    </row>
    <row r="4995">
      <c r="A4995" s="8" t="n"/>
      <c r="B4995" s="9" t="n"/>
    </row>
    <row r="4996">
      <c r="A4996" s="8" t="n"/>
      <c r="B4996" s="9" t="n"/>
    </row>
    <row r="4997">
      <c r="A4997" s="8" t="n"/>
      <c r="B4997" s="9" t="n"/>
    </row>
    <row r="4998">
      <c r="A4998" s="8" t="n"/>
      <c r="B4998" s="9" t="n"/>
    </row>
    <row r="4999">
      <c r="A4999" s="8" t="n"/>
      <c r="B4999" s="9" t="n"/>
    </row>
    <row r="5000">
      <c r="A5000" s="8" t="n"/>
      <c r="B5000" s="9" t="n"/>
    </row>
    <row r="5001">
      <c r="A5001" s="8" t="n"/>
      <c r="B5001" s="9" t="n"/>
    </row>
    <row r="5002">
      <c r="A5002" s="8" t="n"/>
      <c r="B5002" s="9" t="n"/>
    </row>
    <row r="5003">
      <c r="A5003" s="8" t="n"/>
      <c r="B5003" s="9" t="n"/>
    </row>
    <row r="5004">
      <c r="A5004" s="8" t="n"/>
      <c r="B5004" s="9" t="n"/>
    </row>
    <row r="5005">
      <c r="A5005" s="8" t="n"/>
      <c r="B5005" s="9" t="n"/>
    </row>
    <row r="5006">
      <c r="A5006" s="8" t="n"/>
      <c r="B5006" s="9" t="n"/>
    </row>
    <row r="5007">
      <c r="A5007" s="8" t="n"/>
      <c r="B5007" s="9" t="n"/>
    </row>
    <row r="5008">
      <c r="A5008" s="8" t="n"/>
      <c r="B5008" s="9" t="n"/>
    </row>
    <row r="5009">
      <c r="A5009" s="8" t="n"/>
      <c r="B5009" s="9" t="n"/>
    </row>
    <row r="5010">
      <c r="A5010" s="8" t="n"/>
      <c r="B5010" s="9" t="n"/>
    </row>
    <row r="5011">
      <c r="A5011" s="8" t="n"/>
      <c r="B5011" s="9" t="n"/>
    </row>
    <row r="5012">
      <c r="A5012" s="8" t="n"/>
      <c r="B5012" s="9" t="n"/>
    </row>
    <row r="5013">
      <c r="A5013" s="8" t="n"/>
      <c r="B5013" s="9" t="n"/>
    </row>
    <row r="5014">
      <c r="A5014" s="8" t="n"/>
      <c r="B5014" s="9" t="n"/>
    </row>
    <row r="5015">
      <c r="A5015" s="8" t="n"/>
      <c r="B5015" s="9" t="n"/>
    </row>
    <row r="5016">
      <c r="A5016" s="8" t="n"/>
      <c r="B5016" s="9" t="n"/>
    </row>
    <row r="5017">
      <c r="A5017" s="8" t="n"/>
      <c r="B5017" s="9" t="n"/>
    </row>
    <row r="5018">
      <c r="A5018" s="8" t="n"/>
      <c r="B5018" s="9" t="n"/>
    </row>
    <row r="5019">
      <c r="A5019" s="8" t="n"/>
      <c r="B5019" s="9" t="n"/>
    </row>
    <row r="5020">
      <c r="A5020" s="8" t="n"/>
      <c r="B5020" s="9" t="n"/>
    </row>
    <row r="5021">
      <c r="A5021" s="8" t="n"/>
      <c r="B5021" s="9" t="n"/>
    </row>
    <row r="5022">
      <c r="A5022" s="8" t="n"/>
      <c r="B5022" s="9" t="n"/>
    </row>
    <row r="5023">
      <c r="A5023" s="8" t="n"/>
      <c r="B5023" s="9" t="n"/>
    </row>
    <row r="5024">
      <c r="A5024" s="8" t="n"/>
      <c r="B5024" s="9" t="n"/>
    </row>
    <row r="5025">
      <c r="A5025" s="8" t="n"/>
      <c r="B5025" s="9" t="n"/>
    </row>
    <row r="5026">
      <c r="A5026" s="8" t="n"/>
      <c r="B5026" s="9" t="n"/>
    </row>
    <row r="5027">
      <c r="A5027" s="8" t="n"/>
      <c r="B5027" s="9" t="n"/>
    </row>
    <row r="5028">
      <c r="A5028" s="8" t="n"/>
      <c r="B5028" s="9" t="n"/>
    </row>
    <row r="5029">
      <c r="A5029" s="8" t="n"/>
      <c r="B5029" s="9" t="n"/>
    </row>
    <row r="5030">
      <c r="A5030" s="8" t="n"/>
      <c r="B5030" s="9" t="n"/>
    </row>
    <row r="5031">
      <c r="A5031" s="8" t="n"/>
      <c r="B5031" s="9" t="n"/>
    </row>
    <row r="5032">
      <c r="A5032" s="8" t="n"/>
      <c r="B5032" s="9" t="n"/>
    </row>
    <row r="5033">
      <c r="A5033" s="8" t="n"/>
      <c r="B5033" s="9" t="n"/>
    </row>
    <row r="5034">
      <c r="A5034" s="8" t="n"/>
      <c r="B5034" s="9" t="n"/>
    </row>
    <row r="5035">
      <c r="A5035" s="8" t="n"/>
      <c r="B5035" s="9" t="n"/>
    </row>
    <row r="5036">
      <c r="A5036" s="8" t="n"/>
      <c r="B5036" s="9" t="n"/>
    </row>
    <row r="5037">
      <c r="A5037" s="8" t="n"/>
      <c r="B5037" s="9" t="n"/>
    </row>
    <row r="5038">
      <c r="A5038" s="8" t="n"/>
      <c r="B5038" s="9" t="n"/>
    </row>
    <row r="5039">
      <c r="A5039" s="8" t="n"/>
      <c r="B5039" s="9" t="n"/>
    </row>
    <row r="5040">
      <c r="A5040" s="8" t="n"/>
      <c r="B5040" s="9" t="n"/>
    </row>
    <row r="5041">
      <c r="A5041" s="8" t="n"/>
      <c r="B5041" s="9" t="n"/>
    </row>
    <row r="5042">
      <c r="A5042" s="8" t="n"/>
      <c r="B5042" s="9" t="n"/>
    </row>
    <row r="5043">
      <c r="A5043" s="8" t="n"/>
      <c r="B5043" s="9" t="n"/>
    </row>
    <row r="5044">
      <c r="A5044" s="8" t="n"/>
      <c r="B5044" s="9" t="n"/>
    </row>
    <row r="5045">
      <c r="A5045" s="8" t="n"/>
      <c r="B5045" s="9" t="n"/>
    </row>
    <row r="5046">
      <c r="A5046" s="8" t="n"/>
      <c r="B5046" s="9" t="n"/>
    </row>
    <row r="5047">
      <c r="A5047" s="8" t="n"/>
      <c r="B5047" s="9" t="n"/>
    </row>
    <row r="5048">
      <c r="A5048" s="8" t="n"/>
      <c r="B5048" s="9" t="n"/>
    </row>
    <row r="5049">
      <c r="A5049" s="8" t="n"/>
      <c r="B5049" s="9" t="n"/>
    </row>
    <row r="5050">
      <c r="A5050" s="8" t="n"/>
      <c r="B5050" s="9" t="n"/>
    </row>
    <row r="5051">
      <c r="A5051" s="8" t="n"/>
      <c r="B5051" s="9" t="n"/>
    </row>
    <row r="5052">
      <c r="A5052" s="8" t="n"/>
      <c r="B5052" s="9" t="n"/>
    </row>
    <row r="5053">
      <c r="A5053" s="8" t="n"/>
      <c r="B5053" s="9" t="n"/>
    </row>
    <row r="5054">
      <c r="A5054" s="8" t="n"/>
      <c r="B5054" s="9" t="n"/>
    </row>
    <row r="5055">
      <c r="A5055" s="8" t="n"/>
      <c r="B5055" s="9" t="n"/>
    </row>
    <row r="5056">
      <c r="A5056" s="8" t="n"/>
      <c r="B5056" s="9" t="n"/>
    </row>
    <row r="5057">
      <c r="A5057" s="8" t="n"/>
      <c r="B5057" s="9" t="n"/>
    </row>
    <row r="5058">
      <c r="A5058" s="8" t="n"/>
      <c r="B5058" s="9" t="n"/>
    </row>
    <row r="5059">
      <c r="A5059" s="8" t="n"/>
      <c r="B5059" s="9" t="n"/>
    </row>
    <row r="5060">
      <c r="A5060" s="8" t="n"/>
      <c r="B5060" s="9" t="n"/>
    </row>
    <row r="5061">
      <c r="A5061" s="8" t="n"/>
      <c r="B5061" s="9" t="n"/>
    </row>
    <row r="5062">
      <c r="A5062" s="8" t="n"/>
      <c r="B5062" s="9" t="n"/>
    </row>
    <row r="5063">
      <c r="A5063" s="8" t="n"/>
      <c r="B5063" s="9" t="n"/>
    </row>
    <row r="5064">
      <c r="A5064" s="8" t="n"/>
      <c r="B5064" s="9" t="n"/>
    </row>
    <row r="5065">
      <c r="A5065" s="8" t="n"/>
      <c r="B5065" s="9" t="n"/>
    </row>
    <row r="5066">
      <c r="A5066" s="8" t="n"/>
      <c r="B5066" s="9" t="n"/>
    </row>
    <row r="5067">
      <c r="A5067" s="8" t="n"/>
      <c r="B5067" s="9" t="n"/>
    </row>
    <row r="5068">
      <c r="A5068" s="8" t="n"/>
      <c r="B5068" s="9" t="n"/>
    </row>
    <row r="5069">
      <c r="A5069" s="8" t="n"/>
      <c r="B5069" s="9" t="n"/>
    </row>
    <row r="5070">
      <c r="A5070" s="8" t="n"/>
      <c r="B5070" s="9" t="n"/>
    </row>
    <row r="5071">
      <c r="A5071" s="8" t="n"/>
      <c r="B5071" s="9" t="n"/>
    </row>
    <row r="5072">
      <c r="A5072" s="8" t="n"/>
      <c r="B5072" s="9" t="n"/>
    </row>
    <row r="5073">
      <c r="A5073" s="8" t="n"/>
      <c r="B5073" s="9" t="n"/>
    </row>
    <row r="5074">
      <c r="A5074" s="8" t="n"/>
      <c r="B5074" s="9" t="n"/>
    </row>
    <row r="5075">
      <c r="A5075" s="8" t="n"/>
      <c r="B5075" s="9" t="n"/>
    </row>
    <row r="5076">
      <c r="A5076" s="8" t="n"/>
      <c r="B5076" s="9" t="n"/>
    </row>
    <row r="5077">
      <c r="A5077" s="8" t="n"/>
      <c r="B5077" s="9" t="n"/>
    </row>
    <row r="5078">
      <c r="A5078" s="8" t="n"/>
      <c r="B5078" s="9" t="n"/>
    </row>
    <row r="5079">
      <c r="A5079" s="8" t="n"/>
      <c r="B5079" s="9" t="n"/>
    </row>
    <row r="5080">
      <c r="A5080" s="8" t="n"/>
      <c r="B5080" s="9" t="n"/>
    </row>
    <row r="5081">
      <c r="A5081" s="8" t="n"/>
      <c r="B5081" s="9" t="n"/>
    </row>
    <row r="5082">
      <c r="A5082" s="8" t="n"/>
      <c r="B5082" s="9" t="n"/>
    </row>
    <row r="5083">
      <c r="A5083" s="8" t="n"/>
      <c r="B5083" s="9" t="n"/>
    </row>
    <row r="5084">
      <c r="A5084" s="8" t="n"/>
      <c r="B5084" s="9" t="n"/>
    </row>
    <row r="5085">
      <c r="A5085" s="8" t="n"/>
      <c r="B5085" s="9" t="n"/>
    </row>
    <row r="5086">
      <c r="A5086" s="8" t="n"/>
      <c r="B5086" s="9" t="n"/>
    </row>
    <row r="5087">
      <c r="A5087" s="8" t="n"/>
      <c r="B5087" s="9" t="n"/>
    </row>
    <row r="5088">
      <c r="A5088" s="8" t="n"/>
      <c r="B5088" s="9" t="n"/>
    </row>
    <row r="5089">
      <c r="A5089" s="8" t="n"/>
      <c r="B5089" s="9" t="n"/>
    </row>
    <row r="5090">
      <c r="A5090" s="8" t="n"/>
      <c r="B5090" s="9" t="n"/>
    </row>
    <row r="5091">
      <c r="A5091" s="8" t="n"/>
      <c r="B5091" s="9" t="n"/>
    </row>
    <row r="5092">
      <c r="A5092" s="8" t="n"/>
      <c r="B5092" s="9" t="n"/>
    </row>
    <row r="5093">
      <c r="A5093" s="8" t="n"/>
      <c r="B5093" s="9" t="n"/>
    </row>
    <row r="5094">
      <c r="A5094" s="8" t="n"/>
      <c r="B5094" s="9" t="n"/>
    </row>
    <row r="5095">
      <c r="A5095" s="8" t="n"/>
      <c r="B5095" s="9" t="n"/>
    </row>
    <row r="5096">
      <c r="A5096" s="8" t="n"/>
      <c r="B5096" s="9" t="n"/>
    </row>
    <row r="5097">
      <c r="A5097" s="8" t="n"/>
      <c r="B5097" s="9" t="n"/>
    </row>
    <row r="5098">
      <c r="A5098" s="8" t="n"/>
      <c r="B5098" s="9" t="n"/>
    </row>
    <row r="5099">
      <c r="A5099" s="8" t="n"/>
      <c r="B5099" s="9" t="n"/>
    </row>
    <row r="5100">
      <c r="A5100" s="8" t="n"/>
      <c r="B5100" s="9" t="n"/>
    </row>
    <row r="5101">
      <c r="A5101" s="8" t="n"/>
      <c r="B5101" s="9" t="n"/>
    </row>
    <row r="5102">
      <c r="A5102" s="8" t="n"/>
      <c r="B5102" s="9" t="n"/>
    </row>
    <row r="5103">
      <c r="A5103" s="8" t="n"/>
      <c r="B5103" s="9" t="n"/>
    </row>
    <row r="5104">
      <c r="A5104" s="8" t="n"/>
      <c r="B5104" s="9" t="n"/>
    </row>
    <row r="5105">
      <c r="A5105" s="8" t="n"/>
      <c r="B5105" s="9" t="n"/>
    </row>
    <row r="5106">
      <c r="A5106" s="8" t="n"/>
      <c r="B5106" s="9" t="n"/>
    </row>
    <row r="5107">
      <c r="A5107" s="8" t="n"/>
      <c r="B5107" s="9" t="n"/>
    </row>
    <row r="5108">
      <c r="A5108" s="8" t="n"/>
      <c r="B5108" s="9" t="n"/>
    </row>
    <row r="5109">
      <c r="A5109" s="8" t="n"/>
      <c r="B5109" s="9" t="n"/>
    </row>
    <row r="5110">
      <c r="A5110" s="8" t="n"/>
      <c r="B5110" s="9" t="n"/>
    </row>
    <row r="5111">
      <c r="A5111" s="8" t="n"/>
      <c r="B5111" s="9" t="n"/>
    </row>
    <row r="5112">
      <c r="A5112" s="8" t="n"/>
      <c r="B5112" s="9" t="n"/>
    </row>
    <row r="5113">
      <c r="A5113" s="8" t="n"/>
      <c r="B5113" s="9" t="n"/>
    </row>
    <row r="5114">
      <c r="A5114" s="8" t="n"/>
      <c r="B5114" s="9" t="n"/>
    </row>
    <row r="5115">
      <c r="A5115" s="8" t="n"/>
      <c r="B5115" s="9" t="n"/>
    </row>
    <row r="5116">
      <c r="A5116" s="8" t="n"/>
      <c r="B5116" s="9" t="n"/>
    </row>
    <row r="5117">
      <c r="A5117" s="8" t="n"/>
      <c r="B5117" s="9" t="n"/>
    </row>
    <row r="5118">
      <c r="A5118" s="8" t="n"/>
      <c r="B5118" s="9" t="n"/>
    </row>
    <row r="5119">
      <c r="A5119" s="8" t="n"/>
      <c r="B5119" s="9" t="n"/>
    </row>
    <row r="5120">
      <c r="A5120" s="8" t="n"/>
      <c r="B5120" s="9" t="n"/>
    </row>
    <row r="5121">
      <c r="A5121" s="8" t="n"/>
      <c r="B5121" s="9" t="n"/>
    </row>
    <row r="5122">
      <c r="A5122" s="8" t="n"/>
      <c r="B5122" s="9" t="n"/>
    </row>
    <row r="5123">
      <c r="A5123" s="8" t="n"/>
      <c r="B5123" s="9" t="n"/>
    </row>
    <row r="5124">
      <c r="A5124" s="8" t="n"/>
      <c r="B5124" s="9" t="n"/>
    </row>
    <row r="5125">
      <c r="A5125" s="8" t="n"/>
      <c r="B5125" s="9" t="n"/>
    </row>
    <row r="5126">
      <c r="A5126" s="8" t="n"/>
      <c r="B5126" s="9" t="n"/>
    </row>
    <row r="5127">
      <c r="A5127" s="8" t="n"/>
      <c r="B5127" s="9" t="n"/>
    </row>
    <row r="5128">
      <c r="A5128" s="8" t="n"/>
      <c r="B5128" s="9" t="n"/>
    </row>
    <row r="5129">
      <c r="A5129" s="8" t="n"/>
      <c r="B5129" s="9" t="n"/>
    </row>
    <row r="5130">
      <c r="A5130" s="8" t="n"/>
      <c r="B5130" s="9" t="n"/>
    </row>
    <row r="5131">
      <c r="A5131" s="8" t="n"/>
      <c r="B5131" s="9" t="n"/>
    </row>
    <row r="5132">
      <c r="A5132" s="8" t="n"/>
      <c r="B5132" s="9" t="n"/>
    </row>
    <row r="5133">
      <c r="A5133" s="8" t="n"/>
      <c r="B5133" s="9" t="n"/>
    </row>
    <row r="5134">
      <c r="A5134" s="8" t="n"/>
      <c r="B5134" s="9" t="n"/>
    </row>
    <row r="5135">
      <c r="A5135" s="8" t="n"/>
      <c r="B5135" s="9" t="n"/>
    </row>
    <row r="5136">
      <c r="A5136" s="8" t="n"/>
      <c r="B5136" s="9" t="n"/>
    </row>
    <row r="5137">
      <c r="A5137" s="8" t="n"/>
      <c r="B5137" s="9" t="n"/>
    </row>
    <row r="5138">
      <c r="A5138" s="8" t="n"/>
      <c r="B5138" s="9" t="n"/>
    </row>
    <row r="5139">
      <c r="A5139" s="8" t="n"/>
      <c r="B5139" s="9" t="n"/>
    </row>
    <row r="5140">
      <c r="A5140" s="8" t="n"/>
      <c r="B5140" s="9" t="n"/>
    </row>
    <row r="5141">
      <c r="A5141" s="8" t="n"/>
      <c r="B5141" s="9" t="n"/>
    </row>
    <row r="5142">
      <c r="A5142" s="8" t="n"/>
      <c r="B5142" s="9" t="n"/>
    </row>
    <row r="5143">
      <c r="A5143" s="8" t="n"/>
      <c r="B5143" s="9" t="n"/>
    </row>
    <row r="5144">
      <c r="A5144" s="8" t="n"/>
      <c r="B5144" s="9" t="n"/>
    </row>
    <row r="5145">
      <c r="A5145" s="8" t="n"/>
      <c r="B5145" s="9" t="n"/>
    </row>
    <row r="5146">
      <c r="A5146" s="8" t="n"/>
      <c r="B5146" s="9" t="n"/>
    </row>
    <row r="5147">
      <c r="A5147" s="8" t="n"/>
      <c r="B5147" s="9" t="n"/>
    </row>
    <row r="5148">
      <c r="A5148" s="8" t="n"/>
      <c r="B5148" s="9" t="n"/>
    </row>
    <row r="5149">
      <c r="A5149" s="8" t="n"/>
      <c r="B5149" s="9" t="n"/>
    </row>
    <row r="5150">
      <c r="A5150" s="8" t="n"/>
      <c r="B5150" s="9" t="n"/>
    </row>
    <row r="5151">
      <c r="A5151" s="8" t="n"/>
      <c r="B5151" s="9" t="n"/>
    </row>
    <row r="5152">
      <c r="A5152" s="8" t="n"/>
      <c r="B5152" s="9" t="n"/>
    </row>
    <row r="5153">
      <c r="A5153" s="8" t="n"/>
      <c r="B5153" s="9" t="n"/>
    </row>
    <row r="5154">
      <c r="A5154" s="8" t="n"/>
      <c r="B5154" s="9" t="n"/>
    </row>
    <row r="5155">
      <c r="A5155" s="8" t="n"/>
      <c r="B5155" s="9" t="n"/>
    </row>
    <row r="5156">
      <c r="A5156" s="8" t="n"/>
      <c r="B5156" s="9" t="n"/>
    </row>
    <row r="5157">
      <c r="A5157" s="8" t="n"/>
      <c r="B5157" s="9" t="n"/>
    </row>
    <row r="5158">
      <c r="A5158" s="8" t="n"/>
      <c r="B5158" s="9" t="n"/>
    </row>
    <row r="5159">
      <c r="A5159" s="8" t="n"/>
      <c r="B5159" s="9" t="n"/>
    </row>
    <row r="5160">
      <c r="A5160" s="8" t="n"/>
      <c r="B5160" s="9" t="n"/>
    </row>
    <row r="5161">
      <c r="A5161" s="8" t="n"/>
      <c r="B5161" s="9" t="n"/>
    </row>
    <row r="5162">
      <c r="A5162" s="8" t="n"/>
      <c r="B5162" s="9" t="n"/>
    </row>
    <row r="5163">
      <c r="A5163" s="8" t="n"/>
      <c r="B5163" s="9" t="n"/>
    </row>
    <row r="5164">
      <c r="A5164" s="8" t="n"/>
      <c r="B5164" s="9" t="n"/>
    </row>
    <row r="5165">
      <c r="A5165" s="8" t="n"/>
      <c r="B5165" s="9" t="n"/>
    </row>
    <row r="5166">
      <c r="A5166" s="8" t="n"/>
      <c r="B5166" s="9" t="n"/>
    </row>
    <row r="5167">
      <c r="A5167" s="8" t="n"/>
      <c r="B5167" s="9" t="n"/>
    </row>
    <row r="5168">
      <c r="A5168" s="8" t="n"/>
      <c r="B5168" s="9" t="n"/>
    </row>
    <row r="5169">
      <c r="A5169" s="8" t="n"/>
      <c r="B5169" s="9" t="n"/>
    </row>
    <row r="5170">
      <c r="A5170" s="8" t="n"/>
      <c r="B5170" s="9" t="n"/>
    </row>
    <row r="5171">
      <c r="A5171" s="8" t="n"/>
      <c r="B5171" s="9" t="n"/>
    </row>
    <row r="5172">
      <c r="A5172" s="8" t="n"/>
      <c r="B5172" s="9" t="n"/>
    </row>
    <row r="5173">
      <c r="A5173" s="8" t="n"/>
      <c r="B5173" s="9" t="n"/>
    </row>
    <row r="5174">
      <c r="A5174" s="8" t="n"/>
      <c r="B5174" s="9" t="n"/>
    </row>
    <row r="5175">
      <c r="A5175" s="8" t="n"/>
      <c r="B5175" s="9" t="n"/>
    </row>
    <row r="5176">
      <c r="A5176" s="8" t="n"/>
      <c r="B5176" s="9" t="n"/>
    </row>
    <row r="5177">
      <c r="A5177" s="8" t="n"/>
      <c r="B5177" s="9" t="n"/>
    </row>
    <row r="5178">
      <c r="A5178" s="8" t="n"/>
      <c r="B5178" s="9" t="n"/>
    </row>
    <row r="5179">
      <c r="A5179" s="8" t="n"/>
      <c r="B5179" s="9" t="n"/>
    </row>
    <row r="5180">
      <c r="A5180" s="8" t="n"/>
      <c r="B5180" s="9" t="n"/>
    </row>
    <row r="5181">
      <c r="A5181" s="8" t="n"/>
      <c r="B5181" s="9" t="n"/>
    </row>
    <row r="5182">
      <c r="A5182" s="8" t="n"/>
      <c r="B5182" s="9" t="n"/>
    </row>
    <row r="5183">
      <c r="A5183" s="8" t="n"/>
      <c r="B5183" s="9" t="n"/>
    </row>
    <row r="5184">
      <c r="A5184" s="8" t="n"/>
      <c r="B5184" s="9" t="n"/>
    </row>
    <row r="5185">
      <c r="A5185" s="8" t="n"/>
      <c r="B5185" s="9" t="n"/>
    </row>
    <row r="5186">
      <c r="A5186" s="8" t="n"/>
      <c r="B5186" s="9" t="n"/>
    </row>
    <row r="5187">
      <c r="A5187" s="8" t="n"/>
      <c r="B5187" s="9" t="n"/>
    </row>
    <row r="5188">
      <c r="A5188" s="8" t="n"/>
      <c r="B5188" s="9" t="n"/>
    </row>
    <row r="5189">
      <c r="A5189" s="8" t="n"/>
      <c r="B5189" s="9" t="n"/>
    </row>
    <row r="5190">
      <c r="A5190" s="8" t="n"/>
      <c r="B5190" s="9" t="n"/>
    </row>
    <row r="5191">
      <c r="A5191" s="8" t="n"/>
      <c r="B5191" s="9" t="n"/>
    </row>
    <row r="5192">
      <c r="A5192" s="8" t="n"/>
      <c r="B5192" s="9" t="n"/>
    </row>
    <row r="5193">
      <c r="A5193" s="8" t="n"/>
      <c r="B5193" s="9" t="n"/>
    </row>
    <row r="5194">
      <c r="A5194" s="8" t="n"/>
      <c r="B5194" s="9" t="n"/>
    </row>
    <row r="5195">
      <c r="A5195" s="8" t="n"/>
      <c r="B5195" s="9" t="n"/>
    </row>
    <row r="5196">
      <c r="A5196" s="8" t="n"/>
      <c r="B5196" s="9" t="n"/>
    </row>
    <row r="5197">
      <c r="A5197" s="8" t="n"/>
      <c r="B5197" s="9" t="n"/>
    </row>
    <row r="5198">
      <c r="A5198" s="8" t="n"/>
      <c r="B5198" s="9" t="n"/>
    </row>
    <row r="5199">
      <c r="A5199" s="8" t="n"/>
      <c r="B5199" s="9" t="n"/>
    </row>
    <row r="5200">
      <c r="A5200" s="8" t="n"/>
      <c r="B5200" s="9" t="n"/>
    </row>
    <row r="5201">
      <c r="A5201" s="8" t="n"/>
      <c r="B5201" s="9" t="n"/>
    </row>
    <row r="5202">
      <c r="A5202" s="8" t="n"/>
      <c r="B5202" s="9" t="n"/>
    </row>
    <row r="5203">
      <c r="A5203" s="8" t="n"/>
      <c r="B5203" s="9" t="n"/>
    </row>
    <row r="5204">
      <c r="A5204" s="8" t="n"/>
      <c r="B5204" s="9" t="n"/>
    </row>
    <row r="5205">
      <c r="A5205" s="8" t="n"/>
      <c r="B5205" s="9" t="n"/>
    </row>
    <row r="5206">
      <c r="A5206" s="8" t="n"/>
      <c r="B5206" s="9" t="n"/>
    </row>
    <row r="5207">
      <c r="A5207" s="8" t="n"/>
      <c r="B5207" s="9" t="n"/>
    </row>
    <row r="5208">
      <c r="A5208" s="8" t="n"/>
      <c r="B5208" s="9" t="n"/>
    </row>
    <row r="5209">
      <c r="A5209" s="8" t="n"/>
      <c r="B5209" s="9" t="n"/>
    </row>
    <row r="5210">
      <c r="A5210" s="8" t="n"/>
      <c r="B5210" s="9" t="n"/>
    </row>
    <row r="5211">
      <c r="A5211" s="8" t="n"/>
      <c r="B5211" s="9" t="n"/>
    </row>
    <row r="5212">
      <c r="A5212" s="8" t="n"/>
      <c r="B5212" s="9" t="n"/>
    </row>
    <row r="5213">
      <c r="A5213" s="8" t="n"/>
      <c r="B5213" s="9" t="n"/>
    </row>
    <row r="5214">
      <c r="A5214" s="8" t="n"/>
      <c r="B5214" s="9" t="n"/>
    </row>
    <row r="5215">
      <c r="A5215" s="8" t="n"/>
      <c r="B5215" s="9" t="n"/>
    </row>
    <row r="5216">
      <c r="A5216" s="8" t="n"/>
      <c r="B5216" s="9" t="n"/>
    </row>
    <row r="5217">
      <c r="A5217" s="8" t="n"/>
      <c r="B5217" s="9" t="n"/>
    </row>
    <row r="5218">
      <c r="A5218" s="8" t="n"/>
      <c r="B5218" s="9" t="n"/>
    </row>
    <row r="5219">
      <c r="A5219" s="8" t="n"/>
      <c r="B5219" s="9" t="n"/>
    </row>
    <row r="5220">
      <c r="A5220" s="8" t="n"/>
      <c r="B5220" s="9" t="n"/>
    </row>
    <row r="5221">
      <c r="A5221" s="8" t="n"/>
      <c r="B5221" s="9" t="n"/>
    </row>
    <row r="5222">
      <c r="A5222" s="8" t="n"/>
      <c r="B5222" s="9" t="n"/>
    </row>
    <row r="5223">
      <c r="A5223" s="8" t="n"/>
      <c r="B5223" s="9" t="n"/>
    </row>
    <row r="5224">
      <c r="A5224" s="8" t="n"/>
      <c r="B5224" s="9" t="n"/>
    </row>
    <row r="5225">
      <c r="A5225" s="8" t="n"/>
      <c r="B5225" s="9" t="n"/>
    </row>
    <row r="5226">
      <c r="A5226" s="8" t="n"/>
      <c r="B5226" s="9" t="n"/>
    </row>
    <row r="5227">
      <c r="A5227" s="8" t="n"/>
      <c r="B5227" s="9" t="n"/>
    </row>
    <row r="5228">
      <c r="A5228" s="8" t="n"/>
      <c r="B5228" s="9" t="n"/>
    </row>
    <row r="5229">
      <c r="A5229" s="8" t="n"/>
      <c r="B5229" s="9" t="n"/>
    </row>
    <row r="5230">
      <c r="A5230" s="8" t="n"/>
      <c r="B5230" s="9" t="n"/>
    </row>
    <row r="5231">
      <c r="A5231" s="8" t="n"/>
      <c r="B5231" s="9" t="n"/>
    </row>
    <row r="5232">
      <c r="A5232" s="8" t="n"/>
      <c r="B5232" s="9" t="n"/>
    </row>
    <row r="5233">
      <c r="A5233" s="8" t="n"/>
      <c r="B5233" s="9" t="n"/>
    </row>
    <row r="5234">
      <c r="A5234" s="8" t="n"/>
      <c r="B5234" s="9" t="n"/>
    </row>
    <row r="5235">
      <c r="A5235" s="8" t="n"/>
      <c r="B5235" s="9" t="n"/>
    </row>
    <row r="5236">
      <c r="A5236" s="8" t="n"/>
      <c r="B5236" s="9" t="n"/>
    </row>
    <row r="5237">
      <c r="A5237" s="8" t="n"/>
      <c r="B5237" s="9" t="n"/>
    </row>
    <row r="5238">
      <c r="A5238" s="8" t="n"/>
      <c r="B5238" s="9" t="n"/>
    </row>
    <row r="5239">
      <c r="A5239" s="8" t="n"/>
      <c r="B5239" s="9" t="n"/>
    </row>
    <row r="5240">
      <c r="A5240" s="8" t="n"/>
      <c r="B5240" s="9" t="n"/>
    </row>
    <row r="5241">
      <c r="A5241" s="8" t="n"/>
      <c r="B5241" s="9" t="n"/>
    </row>
    <row r="5242">
      <c r="A5242" s="8" t="n"/>
      <c r="B5242" s="9" t="n"/>
    </row>
    <row r="5243">
      <c r="A5243" s="8" t="n"/>
      <c r="B5243" s="9" t="n"/>
    </row>
    <row r="5244">
      <c r="A5244" s="8" t="n"/>
      <c r="B5244" s="9" t="n"/>
    </row>
    <row r="5245">
      <c r="A5245" s="8" t="n"/>
      <c r="B5245" s="9" t="n"/>
    </row>
    <row r="5246">
      <c r="A5246" s="8" t="n"/>
      <c r="B5246" s="9" t="n"/>
    </row>
    <row r="5247">
      <c r="A5247" s="8" t="n"/>
      <c r="B5247" s="9" t="n"/>
    </row>
    <row r="5248">
      <c r="A5248" s="8" t="n"/>
      <c r="B5248" s="9" t="n"/>
    </row>
    <row r="5249">
      <c r="A5249" s="8" t="n"/>
      <c r="B5249" s="9" t="n"/>
    </row>
    <row r="5250">
      <c r="A5250" s="8" t="n"/>
      <c r="B5250" s="9" t="n"/>
    </row>
    <row r="5251">
      <c r="A5251" s="8" t="n"/>
      <c r="B5251" s="9" t="n"/>
    </row>
    <row r="5252">
      <c r="A5252" s="8" t="n"/>
      <c r="B5252" s="9" t="n"/>
    </row>
    <row r="5253">
      <c r="A5253" s="8" t="n"/>
      <c r="B5253" s="9" t="n"/>
    </row>
    <row r="5254">
      <c r="A5254" s="8" t="n"/>
      <c r="B5254" s="9" t="n"/>
    </row>
    <row r="5255">
      <c r="A5255" s="8" t="n"/>
      <c r="B5255" s="9" t="n"/>
    </row>
    <row r="5256">
      <c r="A5256" s="8" t="n"/>
      <c r="B5256" s="9" t="n"/>
    </row>
    <row r="5257">
      <c r="A5257" s="8" t="n"/>
      <c r="B5257" s="9" t="n"/>
    </row>
    <row r="5258">
      <c r="A5258" s="8" t="n"/>
      <c r="B5258" s="9" t="n"/>
    </row>
    <row r="5259">
      <c r="A5259" s="8" t="n"/>
      <c r="B5259" s="9" t="n"/>
    </row>
    <row r="5260">
      <c r="A5260" s="8" t="n"/>
      <c r="B5260" s="9" t="n"/>
    </row>
    <row r="5261">
      <c r="A5261" s="8" t="n"/>
      <c r="B5261" s="9" t="n"/>
    </row>
    <row r="5262">
      <c r="A5262" s="8" t="n"/>
      <c r="B5262" s="9" t="n"/>
    </row>
    <row r="5263">
      <c r="A5263" s="8" t="n"/>
      <c r="B5263" s="9" t="n"/>
    </row>
    <row r="5264">
      <c r="A5264" s="8" t="n"/>
      <c r="B5264" s="9" t="n"/>
    </row>
    <row r="5265">
      <c r="A5265" s="8" t="n"/>
      <c r="B5265" s="9" t="n"/>
    </row>
    <row r="5266">
      <c r="A5266" s="8" t="n"/>
      <c r="B5266" s="9" t="n"/>
    </row>
    <row r="5267">
      <c r="A5267" s="8" t="n"/>
      <c r="B5267" s="9" t="n"/>
    </row>
    <row r="5268">
      <c r="A5268" s="8" t="n"/>
      <c r="B5268" s="9" t="n"/>
    </row>
    <row r="5269">
      <c r="A5269" s="8" t="n"/>
      <c r="B5269" s="9" t="n"/>
    </row>
    <row r="5270">
      <c r="A5270" s="8" t="n"/>
      <c r="B5270" s="9" t="n"/>
    </row>
    <row r="5271">
      <c r="A5271" s="8" t="n"/>
      <c r="B5271" s="9" t="n"/>
    </row>
    <row r="5272">
      <c r="A5272" s="8" t="n"/>
      <c r="B5272" s="9" t="n"/>
    </row>
    <row r="5273">
      <c r="A5273" s="8" t="n"/>
      <c r="B5273" s="9" t="n"/>
    </row>
    <row r="5274">
      <c r="A5274" s="8" t="n"/>
      <c r="B5274" s="9" t="n"/>
    </row>
    <row r="5275">
      <c r="A5275" s="8" t="n"/>
      <c r="B5275" s="9" t="n"/>
    </row>
    <row r="5276">
      <c r="A5276" s="8" t="n"/>
      <c r="B5276" s="9" t="n"/>
    </row>
    <row r="5277">
      <c r="A5277" s="8" t="n"/>
      <c r="B5277" s="9" t="n"/>
    </row>
    <row r="5278">
      <c r="A5278" s="8" t="n"/>
      <c r="B5278" s="9" t="n"/>
    </row>
    <row r="5279">
      <c r="A5279" s="8" t="n"/>
      <c r="B5279" s="9" t="n"/>
    </row>
    <row r="5280">
      <c r="A5280" s="8" t="n"/>
      <c r="B5280" s="9" t="n"/>
    </row>
    <row r="5281">
      <c r="A5281" s="8" t="n"/>
      <c r="B5281" s="9" t="n"/>
    </row>
    <row r="5282">
      <c r="A5282" s="8" t="n"/>
      <c r="B5282" s="9" t="n"/>
    </row>
    <row r="5283">
      <c r="A5283" s="8" t="n"/>
      <c r="B5283" s="9" t="n"/>
    </row>
    <row r="5284">
      <c r="A5284" s="8" t="n"/>
      <c r="B5284" s="9" t="n"/>
    </row>
    <row r="5285">
      <c r="A5285" s="8" t="n"/>
      <c r="B5285" s="9" t="n"/>
    </row>
    <row r="5286">
      <c r="A5286" s="8" t="n"/>
      <c r="B5286" s="9" t="n"/>
    </row>
    <row r="5287">
      <c r="A5287" s="8" t="n"/>
      <c r="B5287" s="9" t="n"/>
    </row>
    <row r="5288">
      <c r="A5288" s="8" t="n"/>
      <c r="B5288" s="9" t="n"/>
    </row>
    <row r="5289">
      <c r="A5289" s="8" t="n"/>
      <c r="B5289" s="9" t="n"/>
    </row>
    <row r="5290">
      <c r="A5290" s="8" t="n"/>
      <c r="B5290" s="9" t="n"/>
    </row>
    <row r="5291">
      <c r="A5291" s="8" t="n"/>
      <c r="B5291" s="9" t="n"/>
    </row>
    <row r="5292">
      <c r="A5292" s="8" t="n"/>
      <c r="B5292" s="9" t="n"/>
    </row>
    <row r="5293">
      <c r="A5293" s="8" t="n"/>
      <c r="B5293" s="9" t="n"/>
    </row>
    <row r="5294">
      <c r="A5294" s="8" t="n"/>
      <c r="B5294" s="9" t="n"/>
    </row>
    <row r="5295">
      <c r="A5295" s="8" t="n"/>
      <c r="B5295" s="9" t="n"/>
    </row>
    <row r="5296">
      <c r="A5296" s="8" t="n"/>
      <c r="B5296" s="9" t="n"/>
    </row>
    <row r="5297">
      <c r="A5297" s="8" t="n"/>
      <c r="B5297" s="9" t="n"/>
    </row>
    <row r="5298">
      <c r="A5298" s="8" t="n"/>
      <c r="B5298" s="9" t="n"/>
    </row>
    <row r="5299">
      <c r="A5299" s="8" t="n"/>
      <c r="B5299" s="9" t="n"/>
    </row>
    <row r="5300">
      <c r="A5300" s="8" t="n"/>
      <c r="B5300" s="9" t="n"/>
    </row>
    <row r="5301">
      <c r="A5301" s="8" t="n"/>
      <c r="B5301" s="9" t="n"/>
    </row>
    <row r="5302">
      <c r="A5302" s="8" t="n"/>
      <c r="B5302" s="9" t="n"/>
    </row>
    <row r="5303">
      <c r="A5303" s="8" t="n"/>
      <c r="B5303" s="9" t="n"/>
    </row>
    <row r="5304">
      <c r="A5304" s="8" t="n"/>
      <c r="B5304" s="9" t="n"/>
    </row>
    <row r="5305">
      <c r="A5305" s="8" t="n"/>
      <c r="B5305" s="9" t="n"/>
    </row>
    <row r="5306">
      <c r="A5306" s="8" t="n"/>
      <c r="B5306" s="9" t="n"/>
    </row>
    <row r="5307">
      <c r="A5307" s="8" t="n"/>
      <c r="B5307" s="9" t="n"/>
    </row>
    <row r="5308">
      <c r="A5308" s="8" t="n"/>
      <c r="B5308" s="9" t="n"/>
    </row>
    <row r="5309">
      <c r="A5309" s="8" t="n"/>
      <c r="B5309" s="9" t="n"/>
    </row>
    <row r="5310">
      <c r="A5310" s="8" t="n"/>
      <c r="B5310" s="9" t="n"/>
    </row>
    <row r="5311">
      <c r="A5311" s="8" t="n"/>
      <c r="B5311" s="9" t="n"/>
    </row>
    <row r="5312">
      <c r="A5312" s="8" t="n"/>
      <c r="B5312" s="9" t="n"/>
    </row>
    <row r="5313">
      <c r="A5313" s="8" t="n"/>
      <c r="B5313" s="9" t="n"/>
    </row>
    <row r="5314">
      <c r="A5314" s="8" t="n"/>
      <c r="B5314" s="9" t="n"/>
    </row>
    <row r="5315">
      <c r="A5315" s="8" t="n"/>
      <c r="B5315" s="9" t="n"/>
    </row>
    <row r="5316">
      <c r="A5316" s="8" t="n"/>
      <c r="B5316" s="9" t="n"/>
    </row>
    <row r="5317">
      <c r="A5317" s="8" t="n"/>
      <c r="B5317" s="9" t="n"/>
    </row>
    <row r="5318">
      <c r="A5318" s="8" t="n"/>
      <c r="B5318" s="9" t="n"/>
    </row>
    <row r="5319">
      <c r="A5319" s="8" t="n"/>
      <c r="B5319" s="9" t="n"/>
    </row>
    <row r="5320">
      <c r="A5320" s="8" t="n"/>
      <c r="B5320" s="9" t="n"/>
    </row>
    <row r="5321">
      <c r="A5321" s="8" t="n"/>
      <c r="B5321" s="9" t="n"/>
    </row>
    <row r="5322">
      <c r="A5322" s="8" t="n"/>
      <c r="B5322" s="9" t="n"/>
    </row>
    <row r="5323">
      <c r="A5323" s="8" t="n"/>
      <c r="B5323" s="9" t="n"/>
    </row>
    <row r="5324">
      <c r="A5324" s="8" t="n"/>
      <c r="B5324" s="9" t="n"/>
    </row>
    <row r="5325">
      <c r="A5325" s="8" t="n"/>
      <c r="B5325" s="9" t="n"/>
    </row>
    <row r="5326">
      <c r="A5326" s="8" t="n"/>
      <c r="B5326" s="9" t="n"/>
    </row>
    <row r="5327">
      <c r="A5327" s="8" t="n"/>
      <c r="B5327" s="9" t="n"/>
    </row>
    <row r="5328">
      <c r="A5328" s="8" t="n"/>
      <c r="B5328" s="9" t="n"/>
    </row>
    <row r="5329">
      <c r="A5329" s="8" t="n"/>
      <c r="B5329" s="9" t="n"/>
    </row>
    <row r="5330">
      <c r="A5330" s="8" t="n"/>
      <c r="B5330" s="9" t="n"/>
    </row>
    <row r="5331">
      <c r="A5331" s="8" t="n"/>
      <c r="B5331" s="9" t="n"/>
    </row>
    <row r="5332">
      <c r="A5332" s="8" t="n"/>
      <c r="B5332" s="9" t="n"/>
    </row>
    <row r="5333">
      <c r="A5333" s="8" t="n"/>
      <c r="B5333" s="9" t="n"/>
    </row>
    <row r="5334">
      <c r="A5334" s="8" t="n"/>
      <c r="B5334" s="9" t="n"/>
    </row>
    <row r="5335">
      <c r="A5335" s="8" t="n"/>
      <c r="B5335" s="9" t="n"/>
    </row>
    <row r="5336">
      <c r="A5336" s="8" t="n"/>
      <c r="B5336" s="9" t="n"/>
    </row>
    <row r="5337">
      <c r="A5337" s="8" t="n"/>
      <c r="B5337" s="9" t="n"/>
    </row>
    <row r="5338">
      <c r="A5338" s="8" t="n"/>
      <c r="B5338" s="9" t="n"/>
    </row>
    <row r="5339">
      <c r="A5339" s="8" t="n"/>
      <c r="B5339" s="9" t="n"/>
    </row>
    <row r="5340">
      <c r="A5340" s="8" t="n"/>
      <c r="B5340" s="9" t="n"/>
    </row>
    <row r="5341">
      <c r="A5341" s="8" t="n"/>
      <c r="B5341" s="9" t="n"/>
    </row>
    <row r="5342">
      <c r="A5342" s="8" t="n"/>
      <c r="B5342" s="9" t="n"/>
    </row>
    <row r="5343">
      <c r="A5343" s="8" t="n"/>
      <c r="B5343" s="9" t="n"/>
    </row>
    <row r="5344">
      <c r="A5344" s="8" t="n"/>
      <c r="B5344" s="9" t="n"/>
    </row>
    <row r="5345">
      <c r="A5345" s="8" t="n"/>
      <c r="B5345" s="9" t="n"/>
    </row>
    <row r="5346">
      <c r="A5346" s="8" t="n"/>
      <c r="B5346" s="9" t="n"/>
    </row>
    <row r="5347">
      <c r="A5347" s="8" t="n"/>
      <c r="B5347" s="9" t="n"/>
    </row>
    <row r="5348">
      <c r="A5348" s="8" t="n"/>
      <c r="B5348" s="9" t="n"/>
    </row>
    <row r="5349">
      <c r="A5349" s="8" t="n"/>
      <c r="B5349" s="9" t="n"/>
    </row>
    <row r="5350">
      <c r="A5350" s="8" t="n"/>
      <c r="B5350" s="9" t="n"/>
    </row>
    <row r="5351">
      <c r="A5351" s="8" t="n"/>
      <c r="B5351" s="9" t="n"/>
    </row>
    <row r="5352">
      <c r="A5352" s="8" t="n"/>
      <c r="B5352" s="9" t="n"/>
    </row>
    <row r="5353">
      <c r="A5353" s="8" t="n"/>
      <c r="B5353" s="9" t="n"/>
    </row>
    <row r="5354">
      <c r="A5354" s="8" t="n"/>
      <c r="B5354" s="9" t="n"/>
    </row>
    <row r="5355">
      <c r="A5355" s="8" t="n"/>
      <c r="B5355" s="9" t="n"/>
    </row>
    <row r="5356">
      <c r="A5356" s="8" t="n"/>
      <c r="B5356" s="9" t="n"/>
    </row>
    <row r="5357">
      <c r="A5357" s="8" t="n"/>
      <c r="B5357" s="9" t="n"/>
    </row>
    <row r="5358">
      <c r="A5358" s="8" t="n"/>
      <c r="B5358" s="9" t="n"/>
    </row>
    <row r="5359">
      <c r="A5359" s="8" t="n"/>
      <c r="B5359" s="9" t="n"/>
    </row>
    <row r="5360">
      <c r="A5360" s="8" t="n"/>
      <c r="B5360" s="9" t="n"/>
    </row>
    <row r="5361">
      <c r="A5361" s="8" t="n"/>
      <c r="B5361" s="9" t="n"/>
    </row>
    <row r="5362">
      <c r="A5362" s="8" t="n"/>
      <c r="B5362" s="9" t="n"/>
    </row>
    <row r="5363">
      <c r="A5363" s="8" t="n"/>
      <c r="B5363" s="9" t="n"/>
    </row>
    <row r="5364">
      <c r="A5364" s="8" t="n"/>
      <c r="B5364" s="9" t="n"/>
    </row>
    <row r="5365">
      <c r="A5365" s="8" t="n"/>
      <c r="B5365" s="9" t="n"/>
    </row>
    <row r="5366">
      <c r="A5366" s="8" t="n"/>
      <c r="B5366" s="9" t="n"/>
    </row>
    <row r="5367">
      <c r="A5367" s="8" t="n"/>
      <c r="B5367" s="9" t="n"/>
    </row>
    <row r="5368">
      <c r="A5368" s="8" t="n"/>
      <c r="B5368" s="9" t="n"/>
    </row>
    <row r="5369">
      <c r="A5369" s="8" t="n"/>
      <c r="B5369" s="9" t="n"/>
    </row>
    <row r="5370">
      <c r="A5370" s="8" t="n"/>
      <c r="B5370" s="9" t="n"/>
    </row>
    <row r="5371">
      <c r="A5371" s="8" t="n"/>
      <c r="B5371" s="9" t="n"/>
    </row>
    <row r="5372">
      <c r="A5372" s="8" t="n"/>
      <c r="B5372" s="9" t="n"/>
    </row>
    <row r="5373">
      <c r="A5373" s="8" t="n"/>
      <c r="B5373" s="9" t="n"/>
    </row>
    <row r="5374">
      <c r="A5374" s="8" t="n"/>
      <c r="B5374" s="9" t="n"/>
    </row>
    <row r="5375">
      <c r="A5375" s="8" t="n"/>
      <c r="B5375" s="9" t="n"/>
    </row>
    <row r="5376">
      <c r="A5376" s="8" t="n"/>
      <c r="B5376" s="9" t="n"/>
    </row>
    <row r="5377">
      <c r="A5377" s="8" t="n"/>
      <c r="B5377" s="9" t="n"/>
    </row>
    <row r="5378">
      <c r="A5378" s="8" t="n"/>
      <c r="B5378" s="9" t="n"/>
    </row>
    <row r="5379">
      <c r="A5379" s="8" t="n"/>
      <c r="B5379" s="9" t="n"/>
    </row>
    <row r="5380">
      <c r="A5380" s="8" t="n"/>
      <c r="B5380" s="9" t="n"/>
    </row>
    <row r="5381">
      <c r="A5381" s="8" t="n"/>
      <c r="B5381" s="9" t="n"/>
    </row>
    <row r="5382">
      <c r="A5382" s="8" t="n"/>
      <c r="B5382" s="9" t="n"/>
    </row>
    <row r="5383">
      <c r="A5383" s="8" t="n"/>
      <c r="B5383" s="9" t="n"/>
    </row>
    <row r="5384">
      <c r="A5384" s="8" t="n"/>
      <c r="B5384" s="9" t="n"/>
    </row>
    <row r="5385">
      <c r="A5385" s="8" t="n"/>
      <c r="B5385" s="9" t="n"/>
    </row>
    <row r="5386">
      <c r="A5386" s="8" t="n"/>
      <c r="B5386" s="9" t="n"/>
    </row>
    <row r="5387">
      <c r="A5387" s="8" t="n"/>
      <c r="B5387" s="9" t="n"/>
    </row>
    <row r="5388">
      <c r="A5388" s="8" t="n"/>
      <c r="B5388" s="9" t="n"/>
    </row>
    <row r="5389">
      <c r="A5389" s="8" t="n"/>
      <c r="B5389" s="9" t="n"/>
    </row>
    <row r="5390">
      <c r="A5390" s="8" t="n"/>
      <c r="B5390" s="9" t="n"/>
    </row>
    <row r="5391">
      <c r="A5391" s="8" t="n"/>
      <c r="B5391" s="9" t="n"/>
    </row>
    <row r="5392">
      <c r="A5392" s="8" t="n"/>
      <c r="B5392" s="9" t="n"/>
    </row>
    <row r="5393">
      <c r="A5393" s="8" t="n"/>
      <c r="B5393" s="9" t="n"/>
    </row>
    <row r="5394">
      <c r="A5394" s="8" t="n"/>
      <c r="B5394" s="9" t="n"/>
    </row>
    <row r="5395">
      <c r="A5395" s="8" t="n"/>
      <c r="B5395" s="9" t="n"/>
    </row>
    <row r="5396">
      <c r="A5396" s="8" t="n"/>
      <c r="B5396" s="9" t="n"/>
    </row>
    <row r="5397">
      <c r="A5397" s="8" t="n"/>
      <c r="B5397" s="9" t="n"/>
    </row>
    <row r="5398">
      <c r="A5398" s="8" t="n"/>
      <c r="B5398" s="9" t="n"/>
    </row>
    <row r="5399">
      <c r="A5399" s="8" t="n"/>
      <c r="B5399" s="9" t="n"/>
    </row>
    <row r="5400">
      <c r="A5400" s="8" t="n"/>
      <c r="B5400" s="9" t="n"/>
    </row>
    <row r="5401">
      <c r="A5401" s="8" t="n"/>
      <c r="B5401" s="9" t="n"/>
    </row>
    <row r="5402">
      <c r="A5402" s="8" t="n"/>
      <c r="B5402" s="9" t="n"/>
    </row>
    <row r="5403">
      <c r="A5403" s="8" t="n"/>
      <c r="B5403" s="9" t="n"/>
    </row>
    <row r="5404">
      <c r="A5404" s="8" t="n"/>
      <c r="B5404" s="9" t="n"/>
    </row>
    <row r="5405">
      <c r="A5405" s="8" t="n"/>
      <c r="B5405" s="9" t="n"/>
    </row>
    <row r="5406">
      <c r="A5406" s="8" t="n"/>
      <c r="B5406" s="9" t="n"/>
    </row>
    <row r="5407">
      <c r="A5407" s="8" t="n"/>
      <c r="B5407" s="9" t="n"/>
    </row>
    <row r="5408">
      <c r="A5408" s="8" t="n"/>
      <c r="B5408" s="9" t="n"/>
    </row>
    <row r="5409">
      <c r="A5409" s="8" t="n"/>
      <c r="B5409" s="9" t="n"/>
    </row>
    <row r="5410">
      <c r="A5410" s="8" t="n"/>
      <c r="B5410" s="9" t="n"/>
    </row>
    <row r="5411">
      <c r="A5411" s="8" t="n"/>
      <c r="B5411" s="9" t="n"/>
    </row>
    <row r="5412">
      <c r="A5412" s="8" t="n"/>
      <c r="B5412" s="9" t="n"/>
    </row>
    <row r="5413">
      <c r="A5413" s="8" t="n"/>
      <c r="B5413" s="9" t="n"/>
    </row>
    <row r="5414">
      <c r="A5414" s="8" t="n"/>
      <c r="B5414" s="9" t="n"/>
    </row>
    <row r="5415">
      <c r="A5415" s="8" t="n"/>
      <c r="B5415" s="9" t="n"/>
    </row>
    <row r="5416">
      <c r="A5416" s="8" t="n"/>
      <c r="B5416" s="9" t="n"/>
    </row>
    <row r="5417">
      <c r="A5417" s="8" t="n"/>
      <c r="B5417" s="9" t="n"/>
    </row>
    <row r="5418">
      <c r="A5418" s="8" t="n"/>
      <c r="B5418" s="9" t="n"/>
    </row>
    <row r="5419">
      <c r="A5419" s="8" t="n"/>
      <c r="B5419" s="9" t="n"/>
    </row>
    <row r="5420">
      <c r="A5420" s="8" t="n"/>
      <c r="B5420" s="9" t="n"/>
    </row>
    <row r="5421">
      <c r="A5421" s="8" t="n"/>
      <c r="B5421" s="9" t="n"/>
    </row>
    <row r="5422">
      <c r="A5422" s="8" t="n"/>
      <c r="B5422" s="9" t="n"/>
    </row>
    <row r="5423">
      <c r="A5423" s="8" t="n"/>
      <c r="B5423" s="9" t="n"/>
    </row>
    <row r="5424">
      <c r="A5424" s="8" t="n"/>
      <c r="B5424" s="9" t="n"/>
    </row>
    <row r="5425">
      <c r="A5425" s="8" t="n"/>
      <c r="B5425" s="9" t="n"/>
    </row>
    <row r="5426">
      <c r="A5426" s="8" t="n"/>
      <c r="B5426" s="9" t="n"/>
    </row>
    <row r="5427">
      <c r="A5427" s="8" t="n"/>
      <c r="B5427" s="9" t="n"/>
    </row>
    <row r="5428">
      <c r="A5428" s="8" t="n"/>
      <c r="B5428" s="9" t="n"/>
    </row>
    <row r="5429">
      <c r="A5429" s="8" t="n"/>
      <c r="B5429" s="9" t="n"/>
    </row>
    <row r="5430">
      <c r="A5430" s="8" t="n"/>
      <c r="B5430" s="9" t="n"/>
    </row>
    <row r="5431">
      <c r="A5431" s="8" t="n"/>
      <c r="B5431" s="9" t="n"/>
    </row>
    <row r="5432">
      <c r="A5432" s="8" t="n"/>
      <c r="B5432" s="9" t="n"/>
    </row>
    <row r="5433">
      <c r="A5433" s="8" t="n"/>
      <c r="B5433" s="9" t="n"/>
    </row>
    <row r="5434">
      <c r="A5434" s="8" t="n"/>
      <c r="B5434" s="9" t="n"/>
    </row>
    <row r="5435">
      <c r="A5435" s="8" t="n"/>
      <c r="B5435" s="9" t="n"/>
    </row>
    <row r="5436">
      <c r="A5436" s="8" t="n"/>
      <c r="B5436" s="9" t="n"/>
    </row>
    <row r="5437">
      <c r="A5437" s="8" t="n"/>
      <c r="B5437" s="9" t="n"/>
    </row>
    <row r="5438">
      <c r="A5438" s="8" t="n"/>
      <c r="B5438" s="9" t="n"/>
    </row>
    <row r="5439">
      <c r="A5439" s="8" t="n"/>
      <c r="B5439" s="9" t="n"/>
    </row>
    <row r="5440">
      <c r="A5440" s="8" t="n"/>
      <c r="B5440" s="9" t="n"/>
    </row>
    <row r="5441">
      <c r="A5441" s="8" t="n"/>
      <c r="B5441" s="9" t="n"/>
    </row>
    <row r="5442">
      <c r="A5442" s="8" t="n"/>
      <c r="B5442" s="9" t="n"/>
    </row>
    <row r="5443">
      <c r="A5443" s="8" t="n"/>
      <c r="B5443" s="9" t="n"/>
    </row>
    <row r="5444">
      <c r="A5444" s="8" t="n"/>
      <c r="B5444" s="9" t="n"/>
    </row>
    <row r="5445">
      <c r="A5445" s="8" t="n"/>
      <c r="B5445" s="9" t="n"/>
    </row>
    <row r="5446">
      <c r="A5446" s="8" t="n"/>
      <c r="B5446" s="9" t="n"/>
    </row>
    <row r="5447">
      <c r="A5447" s="8" t="n"/>
      <c r="B5447" s="9" t="n"/>
    </row>
    <row r="5448">
      <c r="A5448" s="8" t="n"/>
      <c r="B5448" s="9" t="n"/>
    </row>
    <row r="5449">
      <c r="A5449" s="8" t="n"/>
      <c r="B5449" s="9" t="n"/>
    </row>
    <row r="5450">
      <c r="A5450" s="8" t="n"/>
      <c r="B5450" s="9" t="n"/>
    </row>
    <row r="5451">
      <c r="A5451" s="8" t="n"/>
      <c r="B5451" s="9" t="n"/>
    </row>
    <row r="5452">
      <c r="A5452" s="8" t="n"/>
      <c r="B5452" s="9" t="n"/>
    </row>
    <row r="5453">
      <c r="A5453" s="8" t="n"/>
      <c r="B5453" s="9" t="n"/>
    </row>
    <row r="5454">
      <c r="A5454" s="8" t="n"/>
      <c r="B5454" s="9" t="n"/>
    </row>
    <row r="5455">
      <c r="A5455" s="8" t="n"/>
      <c r="B5455" s="9" t="n"/>
    </row>
    <row r="5456">
      <c r="A5456" s="8" t="n"/>
      <c r="B5456" s="9" t="n"/>
    </row>
    <row r="5457">
      <c r="A5457" s="8" t="n"/>
      <c r="B5457" s="9" t="n"/>
    </row>
    <row r="5458">
      <c r="A5458" s="8" t="n"/>
      <c r="B5458" s="9" t="n"/>
    </row>
    <row r="5459">
      <c r="A5459" s="8" t="n"/>
      <c r="B5459" s="9" t="n"/>
    </row>
    <row r="5460">
      <c r="A5460" s="8" t="n"/>
      <c r="B5460" s="9" t="n"/>
    </row>
    <row r="5461">
      <c r="A5461" s="8" t="n"/>
      <c r="B5461" s="9" t="n"/>
    </row>
    <row r="5462">
      <c r="A5462" s="8" t="n"/>
      <c r="B5462" s="9" t="n"/>
    </row>
    <row r="5463">
      <c r="A5463" s="8" t="n"/>
      <c r="B5463" s="9" t="n"/>
    </row>
    <row r="5464">
      <c r="A5464" s="8" t="n"/>
      <c r="B5464" s="9" t="n"/>
    </row>
    <row r="5465">
      <c r="A5465" s="8" t="n"/>
      <c r="B5465" s="9" t="n"/>
    </row>
    <row r="5466">
      <c r="A5466" s="8" t="n"/>
      <c r="B5466" s="9" t="n"/>
    </row>
    <row r="5467">
      <c r="A5467" s="8" t="n"/>
      <c r="B5467" s="9" t="n"/>
    </row>
    <row r="5468">
      <c r="A5468" s="8" t="n"/>
      <c r="B5468" s="9" t="n"/>
    </row>
    <row r="5469">
      <c r="A5469" s="8" t="n"/>
      <c r="B5469" s="9" t="n"/>
    </row>
    <row r="5470">
      <c r="A5470" s="8" t="n"/>
      <c r="B5470" s="9" t="n"/>
    </row>
    <row r="5471">
      <c r="A5471" s="8" t="n"/>
      <c r="B5471" s="9" t="n"/>
    </row>
    <row r="5472">
      <c r="A5472" s="8" t="n"/>
      <c r="B5472" s="9" t="n"/>
    </row>
    <row r="5473">
      <c r="A5473" s="8" t="n"/>
      <c r="B5473" s="9" t="n"/>
    </row>
    <row r="5474">
      <c r="A5474" s="8" t="n"/>
      <c r="B5474" s="9" t="n"/>
    </row>
    <row r="5475">
      <c r="A5475" s="8" t="n"/>
      <c r="B5475" s="9" t="n"/>
    </row>
    <row r="5476">
      <c r="A5476" s="8" t="n"/>
      <c r="B5476" s="9" t="n"/>
    </row>
    <row r="5477">
      <c r="A5477" s="8" t="n"/>
      <c r="B5477" s="9" t="n"/>
    </row>
    <row r="5478">
      <c r="A5478" s="8" t="n"/>
      <c r="B5478" s="9" t="n"/>
    </row>
    <row r="5479">
      <c r="A5479" s="8" t="n"/>
      <c r="B5479" s="9" t="n"/>
    </row>
    <row r="5480">
      <c r="A5480" s="8" t="n"/>
      <c r="B5480" s="9" t="n"/>
    </row>
    <row r="5481">
      <c r="A5481" s="8" t="n"/>
      <c r="B5481" s="9" t="n"/>
    </row>
    <row r="5482">
      <c r="A5482" s="8" t="n"/>
      <c r="B5482" s="9" t="n"/>
    </row>
    <row r="5483">
      <c r="A5483" s="8" t="n"/>
      <c r="B5483" s="9" t="n"/>
    </row>
    <row r="5484">
      <c r="A5484" s="8" t="n"/>
      <c r="B5484" s="9" t="n"/>
    </row>
    <row r="5485">
      <c r="A5485" s="8" t="n"/>
      <c r="B5485" s="9" t="n"/>
    </row>
    <row r="5486">
      <c r="A5486" s="8" t="n"/>
      <c r="B5486" s="9" t="n"/>
    </row>
    <row r="5487">
      <c r="A5487" s="8" t="n"/>
      <c r="B5487" s="9" t="n"/>
    </row>
    <row r="5488">
      <c r="A5488" s="8" t="n"/>
      <c r="B5488" s="9" t="n"/>
    </row>
    <row r="5489">
      <c r="A5489" s="8" t="n"/>
      <c r="B5489" s="9" t="n"/>
    </row>
    <row r="5490">
      <c r="A5490" s="8" t="n"/>
      <c r="B5490" s="9" t="n"/>
    </row>
    <row r="5491">
      <c r="A5491" s="8" t="n"/>
      <c r="B5491" s="9" t="n"/>
    </row>
    <row r="5492">
      <c r="A5492" s="8" t="n"/>
      <c r="B5492" s="9" t="n"/>
    </row>
    <row r="5493">
      <c r="A5493" s="8" t="n"/>
      <c r="B5493" s="9" t="n"/>
    </row>
    <row r="5494">
      <c r="A5494" s="8" t="n"/>
      <c r="B5494" s="9" t="n"/>
    </row>
    <row r="5495">
      <c r="A5495" s="8" t="n"/>
      <c r="B5495" s="9" t="n"/>
    </row>
    <row r="5496">
      <c r="A5496" s="8" t="n"/>
      <c r="B5496" s="9" t="n"/>
    </row>
    <row r="5497">
      <c r="A5497" s="8" t="n"/>
      <c r="B5497" s="9" t="n"/>
    </row>
    <row r="5498">
      <c r="A5498" s="8" t="n"/>
      <c r="B5498" s="9" t="n"/>
    </row>
    <row r="5499">
      <c r="A5499" s="8" t="n"/>
      <c r="B5499" s="9" t="n"/>
    </row>
    <row r="5500">
      <c r="A5500" s="8" t="n"/>
      <c r="B5500" s="9" t="n"/>
    </row>
    <row r="5501">
      <c r="A5501" s="8" t="n"/>
      <c r="B5501" s="9" t="n"/>
    </row>
    <row r="5502">
      <c r="A5502" s="8" t="n"/>
      <c r="B5502" s="9" t="n"/>
    </row>
    <row r="5503">
      <c r="A5503" s="8" t="n"/>
      <c r="B5503" s="9" t="n"/>
    </row>
    <row r="5504">
      <c r="A5504" s="8" t="n"/>
      <c r="B5504" s="9" t="n"/>
    </row>
    <row r="5505">
      <c r="A5505" s="8" t="n"/>
      <c r="B5505" s="9" t="n"/>
    </row>
    <row r="5506">
      <c r="A5506" s="8" t="n"/>
      <c r="B5506" s="9" t="n"/>
    </row>
    <row r="5507">
      <c r="A5507" s="8" t="n"/>
      <c r="B5507" s="9" t="n"/>
    </row>
    <row r="5508">
      <c r="A5508" s="8" t="n"/>
      <c r="B5508" s="9" t="n"/>
    </row>
    <row r="5509">
      <c r="A5509" s="8" t="n"/>
      <c r="B5509" s="9" t="n"/>
    </row>
    <row r="5510">
      <c r="A5510" s="8" t="n"/>
      <c r="B5510" s="9" t="n"/>
    </row>
    <row r="5511">
      <c r="A5511" s="8" t="n"/>
      <c r="B5511" s="9" t="n"/>
    </row>
    <row r="5512">
      <c r="A5512" s="8" t="n"/>
      <c r="B5512" s="9" t="n"/>
    </row>
    <row r="5513">
      <c r="A5513" s="8" t="n"/>
      <c r="B5513" s="9" t="n"/>
    </row>
    <row r="5514">
      <c r="A5514" s="8" t="n"/>
      <c r="B5514" s="9" t="n"/>
    </row>
    <row r="5515">
      <c r="A5515" s="8" t="n"/>
      <c r="B5515" s="9" t="n"/>
    </row>
    <row r="5516">
      <c r="A5516" s="8" t="n"/>
      <c r="B5516" s="9" t="n"/>
    </row>
    <row r="5517">
      <c r="A5517" s="8" t="n"/>
      <c r="B5517" s="9" t="n"/>
    </row>
    <row r="5518">
      <c r="A5518" s="8" t="n"/>
      <c r="B5518" s="9" t="n"/>
    </row>
    <row r="5519">
      <c r="A5519" s="8" t="n"/>
      <c r="B5519" s="9" t="n"/>
    </row>
    <row r="5520">
      <c r="A5520" s="8" t="n"/>
      <c r="B5520" s="9" t="n"/>
    </row>
    <row r="5521">
      <c r="A5521" s="8" t="n"/>
      <c r="B5521" s="9" t="n"/>
    </row>
    <row r="5522">
      <c r="A5522" s="8" t="n"/>
      <c r="B5522" s="9" t="n"/>
    </row>
    <row r="5523">
      <c r="A5523" s="8" t="n"/>
      <c r="B5523" s="9" t="n"/>
    </row>
    <row r="5524">
      <c r="A5524" s="8" t="n"/>
      <c r="B5524" s="9" t="n"/>
    </row>
    <row r="5525">
      <c r="A5525" s="8" t="n"/>
      <c r="B5525" s="9" t="n"/>
    </row>
    <row r="5526">
      <c r="A5526" s="8" t="n"/>
      <c r="B5526" s="9" t="n"/>
    </row>
    <row r="5527">
      <c r="A5527" s="8" t="n"/>
      <c r="B5527" s="9" t="n"/>
    </row>
    <row r="5528">
      <c r="A5528" s="8" t="n"/>
      <c r="B5528" s="9" t="n"/>
    </row>
    <row r="5529">
      <c r="A5529" s="8" t="n"/>
      <c r="B5529" s="9" t="n"/>
    </row>
    <row r="5530">
      <c r="A5530" s="8" t="n"/>
      <c r="B5530" s="9" t="n"/>
    </row>
    <row r="5531">
      <c r="A5531" s="8" t="n"/>
      <c r="B5531" s="9" t="n"/>
    </row>
    <row r="5532">
      <c r="A5532" s="8" t="n"/>
      <c r="B5532" s="9" t="n"/>
    </row>
    <row r="5533">
      <c r="A5533" s="8" t="n"/>
      <c r="B5533" s="9" t="n"/>
    </row>
    <row r="5534">
      <c r="A5534" s="8" t="n"/>
      <c r="B5534" s="9" t="n"/>
    </row>
    <row r="5535">
      <c r="A5535" s="8" t="n"/>
      <c r="B5535" s="9" t="n"/>
    </row>
    <row r="5536">
      <c r="A5536" s="8" t="n"/>
      <c r="B5536" s="9" t="n"/>
    </row>
    <row r="5537">
      <c r="A5537" s="8" t="n"/>
      <c r="B5537" s="9" t="n"/>
    </row>
    <row r="5538">
      <c r="A5538" s="8" t="n"/>
      <c r="B5538" s="9" t="n"/>
    </row>
    <row r="5539">
      <c r="A5539" s="8" t="n"/>
      <c r="B5539" s="9" t="n"/>
    </row>
    <row r="5540">
      <c r="A5540" s="8" t="n"/>
      <c r="B5540" s="9" t="n"/>
    </row>
    <row r="5541">
      <c r="A5541" s="8" t="n"/>
      <c r="B5541" s="9" t="n"/>
    </row>
    <row r="5542">
      <c r="A5542" s="8" t="n"/>
      <c r="B5542" s="9" t="n"/>
    </row>
    <row r="5543">
      <c r="A5543" s="8" t="n"/>
      <c r="B5543" s="9" t="n"/>
    </row>
    <row r="5544">
      <c r="A5544" s="8" t="n"/>
      <c r="B5544" s="9" t="n"/>
    </row>
    <row r="5545">
      <c r="A5545" s="8" t="n"/>
      <c r="B5545" s="9" t="n"/>
    </row>
    <row r="5546">
      <c r="A5546" s="8" t="n"/>
      <c r="B5546" s="9" t="n"/>
    </row>
    <row r="5547">
      <c r="A5547" s="8" t="n"/>
      <c r="B5547" s="9" t="n"/>
    </row>
    <row r="5548">
      <c r="A5548" s="8" t="n"/>
      <c r="B5548" s="9" t="n"/>
    </row>
    <row r="5549">
      <c r="A5549" s="8" t="n"/>
      <c r="B5549" s="9" t="n"/>
    </row>
    <row r="5550">
      <c r="A5550" s="8" t="n"/>
      <c r="B5550" s="9" t="n"/>
    </row>
    <row r="5551">
      <c r="A5551" s="8" t="n"/>
      <c r="B5551" s="9" t="n"/>
    </row>
    <row r="5552">
      <c r="A5552" s="8" t="n"/>
      <c r="B5552" s="9" t="n"/>
    </row>
    <row r="5553">
      <c r="A5553" s="8" t="n"/>
      <c r="B5553" s="9" t="n"/>
    </row>
    <row r="5554">
      <c r="A5554" s="8" t="n"/>
      <c r="B5554" s="9" t="n"/>
    </row>
    <row r="5555">
      <c r="A5555" s="8" t="n"/>
      <c r="B5555" s="9" t="n"/>
    </row>
    <row r="5556">
      <c r="A5556" s="8" t="n"/>
      <c r="B5556" s="9" t="n"/>
    </row>
    <row r="5557">
      <c r="A5557" s="8" t="n"/>
      <c r="B5557" s="9" t="n"/>
    </row>
    <row r="5558">
      <c r="A5558" s="8" t="n"/>
      <c r="B5558" s="9" t="n"/>
    </row>
    <row r="5559">
      <c r="A5559" s="8" t="n"/>
      <c r="B5559" s="9" t="n"/>
    </row>
    <row r="5560">
      <c r="A5560" s="8" t="n"/>
      <c r="B5560" s="9" t="n"/>
    </row>
    <row r="5561">
      <c r="A5561" s="8" t="n"/>
      <c r="B5561" s="9" t="n"/>
    </row>
    <row r="5562">
      <c r="A5562" s="8" t="n"/>
      <c r="B5562" s="9" t="n"/>
    </row>
    <row r="5563">
      <c r="A5563" s="8" t="n"/>
      <c r="B5563" s="9" t="n"/>
    </row>
    <row r="5564">
      <c r="A5564" s="8" t="n"/>
      <c r="B5564" s="9" t="n"/>
    </row>
    <row r="5565">
      <c r="A5565" s="8" t="n"/>
      <c r="B5565" s="9" t="n"/>
    </row>
    <row r="5566">
      <c r="A5566" s="8" t="n"/>
      <c r="B5566" s="9" t="n"/>
    </row>
    <row r="5567">
      <c r="A5567" s="8" t="n"/>
      <c r="B5567" s="9" t="n"/>
    </row>
    <row r="5568">
      <c r="A5568" s="8" t="n"/>
      <c r="B5568" s="9" t="n"/>
    </row>
    <row r="5569">
      <c r="A5569" s="8" t="n"/>
      <c r="B5569" s="9" t="n"/>
    </row>
    <row r="5570">
      <c r="A5570" s="8" t="n"/>
      <c r="B5570" s="9" t="n"/>
    </row>
    <row r="5571">
      <c r="A5571" s="8" t="n"/>
      <c r="B5571" s="9" t="n"/>
    </row>
    <row r="5572">
      <c r="A5572" s="8" t="n"/>
      <c r="B5572" s="9" t="n"/>
    </row>
    <row r="5573">
      <c r="A5573" s="8" t="n"/>
      <c r="B5573" s="9" t="n"/>
    </row>
    <row r="5574">
      <c r="A5574" s="8" t="n"/>
      <c r="B5574" s="9" t="n"/>
    </row>
    <row r="5575">
      <c r="A5575" s="8" t="n"/>
      <c r="B5575" s="9" t="n"/>
    </row>
    <row r="5576">
      <c r="A5576" s="8" t="n"/>
      <c r="B5576" s="9" t="n"/>
    </row>
    <row r="5577">
      <c r="A5577" s="8" t="n"/>
      <c r="B5577" s="9" t="n"/>
    </row>
    <row r="5578">
      <c r="A5578" s="8" t="n"/>
      <c r="B5578" s="9" t="n"/>
    </row>
    <row r="5579">
      <c r="A5579" s="8" t="n"/>
      <c r="B5579" s="9" t="n"/>
    </row>
    <row r="5580">
      <c r="A5580" s="8" t="n"/>
      <c r="B5580" s="9" t="n"/>
    </row>
    <row r="5581">
      <c r="A5581" s="8" t="n"/>
      <c r="B5581" s="9" t="n"/>
    </row>
    <row r="5582">
      <c r="A5582" s="8" t="n"/>
      <c r="B5582" s="9" t="n"/>
    </row>
    <row r="5583">
      <c r="A5583" s="8" t="n"/>
      <c r="B5583" s="9" t="n"/>
    </row>
    <row r="5584">
      <c r="A5584" s="8" t="n"/>
      <c r="B5584" s="9" t="n"/>
    </row>
    <row r="5585">
      <c r="A5585" s="8" t="n"/>
      <c r="B5585" s="9" t="n"/>
    </row>
    <row r="5586">
      <c r="A5586" s="8" t="n"/>
      <c r="B5586" s="9" t="n"/>
    </row>
    <row r="5587">
      <c r="A5587" s="8" t="n"/>
      <c r="B5587" s="9" t="n"/>
    </row>
    <row r="5588">
      <c r="A5588" s="8" t="n"/>
      <c r="B5588" s="9" t="n"/>
    </row>
    <row r="5589">
      <c r="A5589" s="8" t="n"/>
      <c r="B5589" s="9" t="n"/>
    </row>
    <row r="5590">
      <c r="A5590" s="8" t="n"/>
      <c r="B5590" s="9" t="n"/>
    </row>
    <row r="5591">
      <c r="A5591" s="8" t="n"/>
      <c r="B5591" s="9" t="n"/>
    </row>
    <row r="5592">
      <c r="A5592" s="8" t="n"/>
      <c r="B5592" s="9" t="n"/>
    </row>
    <row r="5593">
      <c r="A5593" s="8" t="n"/>
      <c r="B5593" s="9" t="n"/>
    </row>
    <row r="5594">
      <c r="A5594" s="8" t="n"/>
      <c r="B5594" s="9" t="n"/>
    </row>
    <row r="5595">
      <c r="A5595" s="8" t="n"/>
      <c r="B5595" s="9" t="n"/>
    </row>
    <row r="5596">
      <c r="A5596" s="8" t="n"/>
      <c r="B5596" s="9" t="n"/>
    </row>
    <row r="5597">
      <c r="A5597" s="8" t="n"/>
      <c r="B5597" s="9" t="n"/>
    </row>
    <row r="5598">
      <c r="A5598" s="8" t="n"/>
      <c r="B5598" s="9" t="n"/>
    </row>
    <row r="5599">
      <c r="A5599" s="8" t="n"/>
      <c r="B5599" s="9" t="n"/>
    </row>
    <row r="5600">
      <c r="A5600" s="8" t="n"/>
      <c r="B5600" s="9" t="n"/>
    </row>
    <row r="5601">
      <c r="A5601" s="8" t="n"/>
      <c r="B5601" s="9" t="n"/>
    </row>
    <row r="5602">
      <c r="A5602" s="8" t="n"/>
      <c r="B5602" s="9" t="n"/>
    </row>
    <row r="5603">
      <c r="A5603" s="8" t="n"/>
      <c r="B5603" s="9" t="n"/>
    </row>
    <row r="5604">
      <c r="A5604" s="8" t="n"/>
      <c r="B5604" s="9" t="n"/>
    </row>
    <row r="5605">
      <c r="A5605" s="8" t="n"/>
      <c r="B5605" s="9" t="n"/>
    </row>
    <row r="5606">
      <c r="A5606" s="8" t="n"/>
      <c r="B5606" s="9" t="n"/>
    </row>
    <row r="5607">
      <c r="A5607" s="8" t="n"/>
      <c r="B5607" s="9" t="n"/>
    </row>
    <row r="5608">
      <c r="A5608" s="8" t="n"/>
      <c r="B5608" s="9" t="n"/>
    </row>
    <row r="5609">
      <c r="A5609" s="8" t="n"/>
      <c r="B5609" s="9" t="n"/>
    </row>
    <row r="5610">
      <c r="A5610" s="8" t="n"/>
      <c r="B5610" s="9" t="n"/>
    </row>
    <row r="5611">
      <c r="A5611" s="8" t="n"/>
      <c r="B5611" s="9" t="n"/>
    </row>
    <row r="5612">
      <c r="A5612" s="8" t="n"/>
      <c r="B5612" s="9" t="n"/>
    </row>
    <row r="5613">
      <c r="A5613" s="8" t="n"/>
      <c r="B5613" s="9" t="n"/>
    </row>
    <row r="5614">
      <c r="A5614" s="8" t="n"/>
      <c r="B5614" s="9" t="n"/>
    </row>
    <row r="5615">
      <c r="A5615" s="8" t="n"/>
      <c r="B5615" s="9" t="n"/>
    </row>
    <row r="5616">
      <c r="A5616" s="8" t="n"/>
      <c r="B5616" s="9" t="n"/>
    </row>
    <row r="5617">
      <c r="A5617" s="8" t="n"/>
      <c r="B5617" s="9" t="n"/>
    </row>
    <row r="5618">
      <c r="A5618" s="8" t="n"/>
      <c r="B5618" s="9" t="n"/>
    </row>
    <row r="5619">
      <c r="A5619" s="8" t="n"/>
      <c r="B5619" s="9" t="n"/>
    </row>
    <row r="5620">
      <c r="A5620" s="8" t="n"/>
      <c r="B5620" s="9" t="n"/>
    </row>
    <row r="5621">
      <c r="A5621" s="8" t="n"/>
      <c r="B5621" s="9" t="n"/>
    </row>
    <row r="5622">
      <c r="A5622" s="8" t="n"/>
      <c r="B5622" s="9" t="n"/>
    </row>
    <row r="5623">
      <c r="A5623" s="8" t="n"/>
      <c r="B5623" s="9" t="n"/>
    </row>
    <row r="5624">
      <c r="A5624" s="8" t="n"/>
      <c r="B5624" s="9" t="n"/>
    </row>
    <row r="5625">
      <c r="A5625" s="8" t="n"/>
      <c r="B5625" s="9" t="n"/>
    </row>
    <row r="5626">
      <c r="A5626" s="8" t="n"/>
      <c r="B5626" s="9" t="n"/>
    </row>
    <row r="5627">
      <c r="A5627" s="8" t="n"/>
      <c r="B5627" s="9" t="n"/>
    </row>
    <row r="5628">
      <c r="A5628" s="8" t="n"/>
      <c r="B5628" s="9" t="n"/>
    </row>
    <row r="5629">
      <c r="A5629" s="8" t="n"/>
      <c r="B5629" s="9" t="n"/>
    </row>
    <row r="5630">
      <c r="A5630" s="8" t="n"/>
      <c r="B5630" s="9" t="n"/>
    </row>
    <row r="5631">
      <c r="A5631" s="8" t="n"/>
      <c r="B5631" s="9" t="n"/>
    </row>
    <row r="5632">
      <c r="A5632" s="8" t="n"/>
      <c r="B5632" s="9" t="n"/>
    </row>
    <row r="5633">
      <c r="A5633" s="8" t="n"/>
      <c r="B5633" s="9" t="n"/>
    </row>
    <row r="5634">
      <c r="A5634" s="8" t="n"/>
      <c r="B5634" s="9" t="n"/>
    </row>
    <row r="5635">
      <c r="A5635" s="8" t="n"/>
      <c r="B5635" s="9" t="n"/>
    </row>
    <row r="5636">
      <c r="A5636" s="8" t="n"/>
      <c r="B5636" s="9" t="n"/>
    </row>
    <row r="5637">
      <c r="A5637" s="8" t="n"/>
      <c r="B5637" s="9" t="n"/>
    </row>
    <row r="5638">
      <c r="A5638" s="8" t="n"/>
      <c r="B5638" s="9" t="n"/>
    </row>
    <row r="5639">
      <c r="A5639" s="8" t="n"/>
      <c r="B5639" s="9" t="n"/>
    </row>
    <row r="5640">
      <c r="A5640" s="8" t="n"/>
      <c r="B5640" s="9" t="n"/>
    </row>
    <row r="5641">
      <c r="A5641" s="8" t="n"/>
      <c r="B5641" s="9" t="n"/>
    </row>
    <row r="5642">
      <c r="A5642" s="8" t="n"/>
      <c r="B5642" s="9" t="n"/>
    </row>
    <row r="5643">
      <c r="A5643" s="8" t="n"/>
      <c r="B5643" s="9" t="n"/>
    </row>
    <row r="5644">
      <c r="A5644" s="8" t="n"/>
      <c r="B5644" s="9" t="n"/>
    </row>
    <row r="5645">
      <c r="A5645" s="8" t="n"/>
      <c r="B5645" s="9" t="n"/>
    </row>
    <row r="5646">
      <c r="A5646" s="8" t="n"/>
      <c r="B5646" s="9" t="n"/>
    </row>
    <row r="5647">
      <c r="A5647" s="8" t="n"/>
      <c r="B5647" s="9" t="n"/>
    </row>
    <row r="5648">
      <c r="A5648" s="8" t="n"/>
      <c r="B5648" s="9" t="n"/>
    </row>
    <row r="5649">
      <c r="A5649" s="8" t="n"/>
      <c r="B5649" s="9" t="n"/>
    </row>
    <row r="5650">
      <c r="A5650" s="8" t="n"/>
      <c r="B5650" s="9" t="n"/>
    </row>
    <row r="5651">
      <c r="A5651" s="8" t="n"/>
      <c r="B5651" s="9" t="n"/>
    </row>
    <row r="5652">
      <c r="A5652" s="8" t="n"/>
      <c r="B5652" s="9" t="n"/>
    </row>
    <row r="5653">
      <c r="A5653" s="8" t="n"/>
      <c r="B5653" s="9" t="n"/>
    </row>
    <row r="5654">
      <c r="A5654" s="8" t="n"/>
      <c r="B5654" s="9" t="n"/>
    </row>
    <row r="5655">
      <c r="A5655" s="8" t="n"/>
      <c r="B5655" s="9" t="n"/>
    </row>
    <row r="5656">
      <c r="A5656" s="8" t="n"/>
      <c r="B5656" s="9" t="n"/>
    </row>
    <row r="5657">
      <c r="A5657" s="8" t="n"/>
      <c r="B5657" s="9" t="n"/>
    </row>
    <row r="5658">
      <c r="A5658" s="8" t="n"/>
      <c r="B5658" s="9" t="n"/>
    </row>
    <row r="5659">
      <c r="A5659" s="8" t="n"/>
      <c r="B5659" s="9" t="n"/>
    </row>
    <row r="5660">
      <c r="A5660" s="8" t="n"/>
      <c r="B5660" s="9" t="n"/>
    </row>
    <row r="5661">
      <c r="A5661" s="8" t="n"/>
      <c r="B5661" s="9" t="n"/>
    </row>
    <row r="5662">
      <c r="A5662" s="8" t="n"/>
      <c r="B5662" s="9" t="n"/>
    </row>
    <row r="5663">
      <c r="A5663" s="8" t="n"/>
      <c r="B5663" s="9" t="n"/>
    </row>
    <row r="5664">
      <c r="A5664" s="8" t="n"/>
      <c r="B5664" s="9" t="n"/>
    </row>
    <row r="5665">
      <c r="A5665" s="8" t="n"/>
      <c r="B5665" s="9" t="n"/>
    </row>
    <row r="5666">
      <c r="A5666" s="8" t="n"/>
      <c r="B5666" s="9" t="n"/>
    </row>
    <row r="5667">
      <c r="A5667" s="8" t="n"/>
      <c r="B5667" s="9" t="n"/>
    </row>
    <row r="5668">
      <c r="A5668" s="8" t="n"/>
      <c r="B5668" s="9" t="n"/>
    </row>
    <row r="5669">
      <c r="A5669" s="8" t="n"/>
      <c r="B5669" s="9" t="n"/>
    </row>
    <row r="5670">
      <c r="A5670" s="8" t="n"/>
      <c r="B5670" s="9" t="n"/>
    </row>
    <row r="5671">
      <c r="A5671" s="8" t="n"/>
      <c r="B5671" s="9" t="n"/>
    </row>
    <row r="5672">
      <c r="A5672" s="8" t="n"/>
      <c r="B5672" s="9" t="n"/>
    </row>
    <row r="5673">
      <c r="A5673" s="8" t="n"/>
      <c r="B5673" s="9" t="n"/>
    </row>
    <row r="5674">
      <c r="A5674" s="8" t="n"/>
      <c r="B5674" s="9" t="n"/>
    </row>
    <row r="5675">
      <c r="A5675" s="8" t="n"/>
      <c r="B5675" s="9" t="n"/>
    </row>
    <row r="5676">
      <c r="A5676" s="8" t="n"/>
      <c r="B5676" s="9" t="n"/>
    </row>
    <row r="5677">
      <c r="A5677" s="8" t="n"/>
      <c r="B5677" s="9" t="n"/>
    </row>
    <row r="5678">
      <c r="A5678" s="8" t="n"/>
      <c r="B5678" s="9" t="n"/>
    </row>
    <row r="5679">
      <c r="A5679" s="8" t="n"/>
      <c r="B5679" s="9" t="n"/>
    </row>
    <row r="5680">
      <c r="A5680" s="8" t="n"/>
      <c r="B5680" s="9" t="n"/>
    </row>
    <row r="5681">
      <c r="A5681" s="8" t="n"/>
      <c r="B5681" s="9" t="n"/>
    </row>
    <row r="5682">
      <c r="A5682" s="8" t="n"/>
      <c r="B5682" s="9" t="n"/>
    </row>
    <row r="5683">
      <c r="A5683" s="8" t="n"/>
      <c r="B5683" s="9" t="n"/>
    </row>
    <row r="5684">
      <c r="A5684" s="8" t="n"/>
      <c r="B5684" s="9" t="n"/>
    </row>
    <row r="5685">
      <c r="A5685" s="8" t="n"/>
      <c r="B5685" s="9" t="n"/>
    </row>
    <row r="5686">
      <c r="A5686" s="8" t="n"/>
      <c r="B5686" s="9" t="n"/>
    </row>
    <row r="5687">
      <c r="A5687" s="8" t="n"/>
      <c r="B5687" s="9" t="n"/>
    </row>
    <row r="5688">
      <c r="A5688" s="8" t="n"/>
      <c r="B5688" s="9" t="n"/>
    </row>
    <row r="5689">
      <c r="A5689" s="8" t="n"/>
      <c r="B5689" s="9" t="n"/>
    </row>
    <row r="5690">
      <c r="A5690" s="8" t="n"/>
      <c r="B5690" s="9" t="n"/>
    </row>
    <row r="5691">
      <c r="A5691" s="8" t="n"/>
      <c r="B5691" s="9" t="n"/>
    </row>
    <row r="5692">
      <c r="A5692" s="8" t="n"/>
      <c r="B5692" s="9" t="n"/>
    </row>
    <row r="5693">
      <c r="A5693" s="8" t="n"/>
      <c r="B5693" s="9" t="n"/>
    </row>
    <row r="5694">
      <c r="A5694" s="8" t="n"/>
      <c r="B5694" s="9" t="n"/>
    </row>
    <row r="5695">
      <c r="A5695" s="8" t="n"/>
      <c r="B5695" s="9" t="n"/>
    </row>
    <row r="5696">
      <c r="A5696" s="8" t="n"/>
      <c r="B5696" s="9" t="n"/>
    </row>
    <row r="5697">
      <c r="A5697" s="8" t="n"/>
      <c r="B5697" s="9" t="n"/>
    </row>
    <row r="5698">
      <c r="A5698" s="8" t="n"/>
      <c r="B5698" s="9" t="n"/>
    </row>
    <row r="5699">
      <c r="A5699" s="8" t="n"/>
      <c r="B5699" s="9" t="n"/>
    </row>
    <row r="5700">
      <c r="A5700" s="8" t="n"/>
      <c r="B5700" s="9" t="n"/>
    </row>
    <row r="5701">
      <c r="A5701" s="8" t="n"/>
      <c r="B5701" s="9" t="n"/>
    </row>
    <row r="5702">
      <c r="A5702" s="8" t="n"/>
      <c r="B5702" s="9" t="n"/>
    </row>
    <row r="5703">
      <c r="A5703" s="8" t="n"/>
      <c r="B5703" s="9" t="n"/>
    </row>
    <row r="5704">
      <c r="A5704" s="8" t="n"/>
      <c r="B5704" s="9" t="n"/>
    </row>
    <row r="5705">
      <c r="A5705" s="8" t="n"/>
      <c r="B5705" s="9" t="n"/>
    </row>
    <row r="5706">
      <c r="A5706" s="8" t="n"/>
      <c r="B5706" s="9" t="n"/>
    </row>
    <row r="5707">
      <c r="A5707" s="8" t="n"/>
      <c r="B5707" s="9" t="n"/>
    </row>
    <row r="5708">
      <c r="A5708" s="8" t="n"/>
      <c r="B5708" s="9" t="n"/>
    </row>
    <row r="5709">
      <c r="A5709" s="8" t="n"/>
      <c r="B5709" s="9" t="n"/>
    </row>
    <row r="5710">
      <c r="A5710" s="8" t="n"/>
      <c r="B5710" s="9" t="n"/>
    </row>
    <row r="5711">
      <c r="A5711" s="8" t="n"/>
      <c r="B5711" s="9" t="n"/>
    </row>
    <row r="5712">
      <c r="A5712" s="8" t="n"/>
      <c r="B5712" s="9" t="n"/>
    </row>
    <row r="5713">
      <c r="A5713" s="8" t="n"/>
      <c r="B5713" s="9" t="n"/>
    </row>
    <row r="5714">
      <c r="A5714" s="8" t="n"/>
      <c r="B5714" s="9" t="n"/>
    </row>
    <row r="5715">
      <c r="A5715" s="8" t="n"/>
      <c r="B5715" s="9" t="n"/>
    </row>
    <row r="5716">
      <c r="A5716" s="8" t="n"/>
      <c r="B5716" s="9" t="n"/>
    </row>
    <row r="5717">
      <c r="A5717" s="8" t="n"/>
      <c r="B5717" s="9" t="n"/>
    </row>
    <row r="5718">
      <c r="A5718" s="8" t="n"/>
      <c r="B5718" s="9" t="n"/>
    </row>
    <row r="5719">
      <c r="A5719" s="8" t="n"/>
      <c r="B5719" s="9" t="n"/>
    </row>
    <row r="5720">
      <c r="A5720" s="8" t="n"/>
      <c r="B5720" s="9" t="n"/>
    </row>
    <row r="5721">
      <c r="A5721" s="8" t="n"/>
      <c r="B5721" s="9" t="n"/>
    </row>
    <row r="5722">
      <c r="A5722" s="8" t="n"/>
      <c r="B5722" s="9" t="n"/>
    </row>
    <row r="5723">
      <c r="A5723" s="8" t="n"/>
      <c r="B5723" s="9" t="n"/>
    </row>
    <row r="5724">
      <c r="A5724" s="8" t="n"/>
      <c r="B5724" s="9" t="n"/>
    </row>
    <row r="5725">
      <c r="A5725" s="8" t="n"/>
      <c r="B5725" s="9" t="n"/>
    </row>
    <row r="5726">
      <c r="A5726" s="8" t="n"/>
      <c r="B5726" s="9" t="n"/>
    </row>
    <row r="5727">
      <c r="A5727" s="8" t="n"/>
      <c r="B5727" s="9" t="n"/>
    </row>
    <row r="5728">
      <c r="A5728" s="8" t="n"/>
      <c r="B5728" s="9" t="n"/>
    </row>
    <row r="5729">
      <c r="A5729" s="8" t="n"/>
      <c r="B5729" s="9" t="n"/>
    </row>
    <row r="5730">
      <c r="A5730" s="8" t="n"/>
      <c r="B5730" s="9" t="n"/>
    </row>
    <row r="5731">
      <c r="A5731" s="8" t="n"/>
      <c r="B5731" s="9" t="n"/>
    </row>
    <row r="5732">
      <c r="A5732" s="8" t="n"/>
      <c r="B5732" s="9" t="n"/>
    </row>
    <row r="5733">
      <c r="A5733" s="8" t="n"/>
      <c r="B5733" s="9" t="n"/>
    </row>
    <row r="5734">
      <c r="A5734" s="8" t="n"/>
      <c r="B5734" s="9" t="n"/>
    </row>
    <row r="5735">
      <c r="A5735" s="8" t="n"/>
      <c r="B5735" s="9" t="n"/>
    </row>
    <row r="5736">
      <c r="A5736" s="8" t="n"/>
      <c r="B5736" s="9" t="n"/>
    </row>
    <row r="5737">
      <c r="A5737" s="8" t="n"/>
      <c r="B5737" s="9" t="n"/>
    </row>
    <row r="5738">
      <c r="A5738" s="8" t="n"/>
      <c r="B5738" s="9" t="n"/>
    </row>
    <row r="5739">
      <c r="A5739" s="8" t="n"/>
      <c r="B5739" s="9" t="n"/>
    </row>
    <row r="5740">
      <c r="A5740" s="8" t="n"/>
      <c r="B5740" s="9" t="n"/>
    </row>
    <row r="5741">
      <c r="A5741" s="8" t="n"/>
      <c r="B5741" s="9" t="n"/>
    </row>
    <row r="5742">
      <c r="A5742" s="8" t="n"/>
      <c r="B5742" s="9" t="n"/>
    </row>
    <row r="5743">
      <c r="A5743" s="8" t="n"/>
      <c r="B5743" s="9" t="n"/>
    </row>
    <row r="5744">
      <c r="A5744" s="8" t="n"/>
      <c r="B5744" s="9" t="n"/>
    </row>
    <row r="5745">
      <c r="A5745" s="8" t="n"/>
      <c r="B5745" s="9" t="n"/>
    </row>
    <row r="5746">
      <c r="A5746" s="8" t="n"/>
      <c r="B5746" s="9" t="n"/>
    </row>
    <row r="5747">
      <c r="A5747" s="8" t="n"/>
      <c r="B5747" s="9" t="n"/>
    </row>
    <row r="5748">
      <c r="A5748" s="8" t="n"/>
      <c r="B5748" s="9" t="n"/>
    </row>
    <row r="5749">
      <c r="A5749" s="8" t="n"/>
      <c r="B5749" s="9" t="n"/>
    </row>
    <row r="5750">
      <c r="A5750" s="8" t="n"/>
      <c r="B5750" s="9" t="n"/>
    </row>
    <row r="5751">
      <c r="A5751" s="8" t="n"/>
      <c r="B5751" s="9" t="n"/>
    </row>
    <row r="5752">
      <c r="A5752" s="8" t="n"/>
      <c r="B5752" s="9" t="n"/>
    </row>
    <row r="5753">
      <c r="A5753" s="8" t="n"/>
      <c r="B5753" s="9" t="n"/>
    </row>
    <row r="5754">
      <c r="A5754" s="8" t="n"/>
      <c r="B5754" s="9" t="n"/>
    </row>
    <row r="5755">
      <c r="A5755" s="8" t="n"/>
      <c r="B5755" s="9" t="n"/>
    </row>
    <row r="5756">
      <c r="A5756" s="8" t="n"/>
      <c r="B5756" s="9" t="n"/>
    </row>
    <row r="5757">
      <c r="A5757" s="8" t="n"/>
      <c r="B5757" s="9" t="n"/>
    </row>
    <row r="5758">
      <c r="A5758" s="8" t="n"/>
      <c r="B5758" s="9" t="n"/>
    </row>
    <row r="5759">
      <c r="A5759" s="8" t="n"/>
      <c r="B5759" s="9" t="n"/>
    </row>
    <row r="5760">
      <c r="A5760" s="8" t="n"/>
      <c r="B5760" s="9" t="n"/>
    </row>
    <row r="5761">
      <c r="A5761" s="8" t="n"/>
      <c r="B5761" s="9" t="n"/>
    </row>
    <row r="5762">
      <c r="A5762" s="8" t="n"/>
      <c r="B5762" s="9" t="n"/>
    </row>
    <row r="5763">
      <c r="A5763" s="8" t="n"/>
      <c r="B5763" s="9" t="n"/>
    </row>
    <row r="5764">
      <c r="A5764" s="8" t="n"/>
      <c r="B5764" s="9" t="n"/>
    </row>
    <row r="5765">
      <c r="A5765" s="8" t="n"/>
      <c r="B5765" s="9" t="n"/>
    </row>
    <row r="5766">
      <c r="A5766" s="8" t="n"/>
      <c r="B5766" s="9" t="n"/>
    </row>
    <row r="5767">
      <c r="A5767" s="8" t="n"/>
      <c r="B5767" s="9" t="n"/>
    </row>
    <row r="5768">
      <c r="A5768" s="8" t="n"/>
      <c r="B5768" s="9" t="n"/>
    </row>
    <row r="5769">
      <c r="A5769" s="8" t="n"/>
      <c r="B5769" s="9" t="n"/>
    </row>
    <row r="5770">
      <c r="A5770" s="8" t="n"/>
      <c r="B5770" s="9" t="n"/>
    </row>
    <row r="5771">
      <c r="A5771" s="8" t="n"/>
      <c r="B5771" s="9" t="n"/>
    </row>
    <row r="5772">
      <c r="A5772" s="8" t="n"/>
      <c r="B5772" s="9" t="n"/>
    </row>
    <row r="5773">
      <c r="A5773" s="8" t="n"/>
      <c r="B5773" s="9" t="n"/>
    </row>
    <row r="5774">
      <c r="A5774" s="8" t="n"/>
      <c r="B5774" s="9" t="n"/>
    </row>
    <row r="5775">
      <c r="A5775" s="8" t="n"/>
      <c r="B5775" s="9" t="n"/>
    </row>
    <row r="5776">
      <c r="A5776" s="8" t="n"/>
      <c r="B5776" s="9" t="n"/>
    </row>
    <row r="5777">
      <c r="A5777" s="8" t="n"/>
      <c r="B5777" s="9" t="n"/>
    </row>
    <row r="5778">
      <c r="A5778" s="8" t="n"/>
      <c r="B5778" s="9" t="n"/>
    </row>
    <row r="5779">
      <c r="A5779" s="8" t="n"/>
      <c r="B5779" s="9" t="n"/>
    </row>
    <row r="5780">
      <c r="A5780" s="8" t="n"/>
      <c r="B5780" s="9" t="n"/>
    </row>
    <row r="5781">
      <c r="A5781" s="8" t="n"/>
      <c r="B5781" s="9" t="n"/>
    </row>
    <row r="5782">
      <c r="A5782" s="8" t="n"/>
      <c r="B5782" s="9" t="n"/>
    </row>
    <row r="5783">
      <c r="A5783" s="8" t="n"/>
      <c r="B5783" s="9" t="n"/>
    </row>
    <row r="5784">
      <c r="A5784" s="8" t="n"/>
      <c r="B5784" s="9" t="n"/>
    </row>
    <row r="5785">
      <c r="A5785" s="8" t="n"/>
      <c r="B5785" s="9" t="n"/>
    </row>
    <row r="5786">
      <c r="A5786" s="8" t="n"/>
      <c r="B5786" s="9" t="n"/>
    </row>
    <row r="5787">
      <c r="A5787" s="8" t="n"/>
      <c r="B5787" s="9" t="n"/>
    </row>
    <row r="5788">
      <c r="A5788" s="8" t="n"/>
      <c r="B5788" s="9" t="n"/>
    </row>
    <row r="5789">
      <c r="A5789" s="8" t="n"/>
      <c r="B5789" s="9" t="n"/>
    </row>
    <row r="5790">
      <c r="A5790" s="8" t="n"/>
      <c r="B5790" s="9" t="n"/>
    </row>
    <row r="5791">
      <c r="A5791" s="8" t="n"/>
      <c r="B5791" s="9" t="n"/>
    </row>
    <row r="5792">
      <c r="A5792" s="8" t="n"/>
      <c r="B5792" s="9" t="n"/>
    </row>
    <row r="5793">
      <c r="A5793" s="8" t="n"/>
      <c r="B5793" s="9" t="n"/>
    </row>
    <row r="5794">
      <c r="A5794" s="8" t="n"/>
      <c r="B5794" s="9" t="n"/>
    </row>
    <row r="5795">
      <c r="A5795" s="8" t="n"/>
      <c r="B5795" s="9" t="n"/>
    </row>
    <row r="5796">
      <c r="A5796" s="8" t="n"/>
      <c r="B5796" s="9" t="n"/>
    </row>
    <row r="5797">
      <c r="A5797" s="8" t="n"/>
      <c r="B5797" s="9" t="n"/>
    </row>
    <row r="5798">
      <c r="A5798" s="8" t="n"/>
      <c r="B5798" s="9" t="n"/>
    </row>
    <row r="5799">
      <c r="A5799" s="8" t="n"/>
      <c r="B5799" s="9" t="n"/>
    </row>
    <row r="5800">
      <c r="A5800" s="8" t="n"/>
      <c r="B5800" s="9" t="n"/>
    </row>
    <row r="5801">
      <c r="A5801" s="8" t="n"/>
      <c r="B5801" s="9" t="n"/>
    </row>
    <row r="5802">
      <c r="A5802" s="8" t="n"/>
      <c r="B5802" s="9" t="n"/>
    </row>
    <row r="5803">
      <c r="A5803" s="8" t="n"/>
      <c r="B5803" s="9" t="n"/>
    </row>
    <row r="5804">
      <c r="A5804" s="8" t="n"/>
      <c r="B5804" s="9" t="n"/>
    </row>
    <row r="5805">
      <c r="A5805" s="8" t="n"/>
      <c r="B5805" s="9" t="n"/>
    </row>
    <row r="5806">
      <c r="A5806" s="8" t="n"/>
      <c r="B5806" s="9" t="n"/>
    </row>
    <row r="5807">
      <c r="A5807" s="8" t="n"/>
      <c r="B5807" s="9" t="n"/>
    </row>
    <row r="5808">
      <c r="A5808" s="8" t="n"/>
      <c r="B5808" s="9" t="n"/>
    </row>
    <row r="5809">
      <c r="A5809" s="8" t="n"/>
      <c r="B5809" s="9" t="n"/>
    </row>
    <row r="5810">
      <c r="A5810" s="8" t="n"/>
      <c r="B5810" s="9" t="n"/>
    </row>
    <row r="5811">
      <c r="A5811" s="8" t="n"/>
      <c r="B5811" s="9" t="n"/>
    </row>
    <row r="5812">
      <c r="A5812" s="8" t="n"/>
      <c r="B5812" s="9" t="n"/>
    </row>
    <row r="5813">
      <c r="A5813" s="8" t="n"/>
      <c r="B5813" s="9" t="n"/>
    </row>
    <row r="5814">
      <c r="A5814" s="8" t="n"/>
      <c r="B5814" s="9" t="n"/>
    </row>
    <row r="5815">
      <c r="A5815" s="8" t="n"/>
      <c r="B5815" s="9" t="n"/>
    </row>
    <row r="5816">
      <c r="A5816" s="8" t="n"/>
      <c r="B5816" s="9" t="n"/>
    </row>
    <row r="5817">
      <c r="A5817" s="8" t="n"/>
      <c r="B5817" s="9" t="n"/>
    </row>
    <row r="5818">
      <c r="A5818" s="8" t="n"/>
      <c r="B5818" s="9" t="n"/>
    </row>
    <row r="5819">
      <c r="A5819" s="8" t="n"/>
      <c r="B5819" s="9" t="n"/>
    </row>
    <row r="5820">
      <c r="A5820" s="8" t="n"/>
      <c r="B5820" s="9" t="n"/>
    </row>
    <row r="5821">
      <c r="A5821" s="8" t="n"/>
      <c r="B5821" s="9" t="n"/>
    </row>
    <row r="5822">
      <c r="A5822" s="8" t="n"/>
      <c r="B5822" s="9" t="n"/>
    </row>
    <row r="5823">
      <c r="A5823" s="8" t="n"/>
      <c r="B5823" s="9" t="n"/>
    </row>
    <row r="5824">
      <c r="A5824" s="8" t="n"/>
      <c r="B5824" s="9" t="n"/>
    </row>
    <row r="5825">
      <c r="A5825" s="8" t="n"/>
      <c r="B5825" s="9" t="n"/>
    </row>
    <row r="5826">
      <c r="A5826" s="8" t="n"/>
      <c r="B5826" s="9" t="n"/>
    </row>
    <row r="5827">
      <c r="A5827" s="8" t="n"/>
      <c r="B5827" s="9" t="n"/>
    </row>
    <row r="5828">
      <c r="A5828" s="8" t="n"/>
      <c r="B5828" s="9" t="n"/>
    </row>
    <row r="5829">
      <c r="A5829" s="8" t="n"/>
      <c r="B5829" s="9" t="n"/>
    </row>
    <row r="5830">
      <c r="A5830" s="8" t="n"/>
      <c r="B5830" s="9" t="n"/>
    </row>
    <row r="5831">
      <c r="A5831" s="8" t="n"/>
      <c r="B5831" s="9" t="n"/>
    </row>
    <row r="5832">
      <c r="A5832" s="8" t="n"/>
      <c r="B5832" s="9" t="n"/>
    </row>
    <row r="5833">
      <c r="A5833" s="8" t="n"/>
      <c r="B5833" s="9" t="n"/>
    </row>
    <row r="5834">
      <c r="A5834" s="8" t="n"/>
      <c r="B5834" s="9" t="n"/>
    </row>
    <row r="5835">
      <c r="A5835" s="8" t="n"/>
      <c r="B5835" s="9" t="n"/>
    </row>
    <row r="5836">
      <c r="A5836" s="8" t="n"/>
      <c r="B5836" s="9" t="n"/>
    </row>
    <row r="5837">
      <c r="A5837" s="8" t="n"/>
      <c r="B5837" s="9" t="n"/>
    </row>
    <row r="5838">
      <c r="A5838" s="8" t="n"/>
      <c r="B5838" s="9" t="n"/>
    </row>
    <row r="5839">
      <c r="A5839" s="8" t="n"/>
      <c r="B5839" s="9" t="n"/>
    </row>
    <row r="5840">
      <c r="A5840" s="8" t="n"/>
      <c r="B5840" s="9" t="n"/>
    </row>
    <row r="5841">
      <c r="A5841" s="8" t="n"/>
      <c r="B5841" s="9" t="n"/>
    </row>
    <row r="5842">
      <c r="A5842" s="8" t="n"/>
      <c r="B5842" s="9" t="n"/>
    </row>
    <row r="5843">
      <c r="A5843" s="8" t="n"/>
      <c r="B5843" s="9" t="n"/>
    </row>
    <row r="5844">
      <c r="A5844" s="8" t="n"/>
      <c r="B5844" s="9" t="n"/>
    </row>
    <row r="5845">
      <c r="A5845" s="8" t="n"/>
      <c r="B5845" s="9" t="n"/>
    </row>
    <row r="5846">
      <c r="A5846" s="8" t="n"/>
      <c r="B5846" s="9" t="n"/>
    </row>
    <row r="5847">
      <c r="A5847" s="8" t="n"/>
      <c r="B5847" s="9" t="n"/>
    </row>
    <row r="5848">
      <c r="A5848" s="8" t="n"/>
      <c r="B5848" s="9" t="n"/>
    </row>
    <row r="5849">
      <c r="A5849" s="8" t="n"/>
      <c r="B5849" s="9" t="n"/>
    </row>
    <row r="5850">
      <c r="A5850" s="8" t="n"/>
      <c r="B5850" s="9" t="n"/>
    </row>
    <row r="5851">
      <c r="A5851" s="8" t="n"/>
      <c r="B5851" s="9" t="n"/>
    </row>
    <row r="5852">
      <c r="A5852" s="8" t="n"/>
      <c r="B5852" s="9" t="n"/>
    </row>
    <row r="5853">
      <c r="A5853" s="8" t="n"/>
      <c r="B5853" s="9" t="n"/>
    </row>
    <row r="5854">
      <c r="A5854" s="8" t="n"/>
      <c r="B5854" s="9" t="n"/>
    </row>
    <row r="5855">
      <c r="A5855" s="8" t="n"/>
      <c r="B5855" s="9" t="n"/>
    </row>
    <row r="5856">
      <c r="A5856" s="8" t="n"/>
      <c r="B5856" s="9" t="n"/>
    </row>
    <row r="5857">
      <c r="A5857" s="8" t="n"/>
      <c r="B5857" s="9" t="n"/>
    </row>
    <row r="5858">
      <c r="A5858" s="8" t="n"/>
      <c r="B5858" s="9" t="n"/>
    </row>
    <row r="5859">
      <c r="A5859" s="8" t="n"/>
      <c r="B5859" s="9" t="n"/>
    </row>
    <row r="5860">
      <c r="A5860" s="8" t="n"/>
      <c r="B5860" s="9" t="n"/>
    </row>
    <row r="5861">
      <c r="A5861" s="8" t="n"/>
      <c r="B5861" s="9" t="n"/>
    </row>
    <row r="5862">
      <c r="A5862" s="8" t="n"/>
      <c r="B5862" s="9" t="n"/>
    </row>
    <row r="5863">
      <c r="A5863" s="8" t="n"/>
      <c r="B5863" s="9" t="n"/>
    </row>
    <row r="5864">
      <c r="A5864" s="8" t="n"/>
      <c r="B5864" s="9" t="n"/>
    </row>
    <row r="5865">
      <c r="A5865" s="8" t="n"/>
      <c r="B5865" s="9" t="n"/>
    </row>
    <row r="5866">
      <c r="A5866" s="8" t="n"/>
      <c r="B5866" s="9" t="n"/>
    </row>
    <row r="5867">
      <c r="A5867" s="8" t="n"/>
      <c r="B5867" s="9" t="n"/>
    </row>
    <row r="5868">
      <c r="A5868" s="8" t="n"/>
      <c r="B5868" s="9" t="n"/>
    </row>
    <row r="5869">
      <c r="A5869" s="8" t="n"/>
      <c r="B5869" s="9" t="n"/>
    </row>
    <row r="5870">
      <c r="A5870" s="8" t="n"/>
      <c r="B5870" s="9" t="n"/>
    </row>
    <row r="5871">
      <c r="A5871" s="8" t="n"/>
      <c r="B5871" s="9" t="n"/>
    </row>
    <row r="5872">
      <c r="A5872" s="8" t="n"/>
      <c r="B5872" s="9" t="n"/>
    </row>
    <row r="5873">
      <c r="A5873" s="8" t="n"/>
      <c r="B5873" s="9" t="n"/>
    </row>
    <row r="5874">
      <c r="A5874" s="8" t="n"/>
      <c r="B5874" s="9" t="n"/>
    </row>
    <row r="5875">
      <c r="A5875" s="8" t="n"/>
      <c r="B5875" s="9" t="n"/>
    </row>
    <row r="5876">
      <c r="A5876" s="8" t="n"/>
      <c r="B5876" s="9" t="n"/>
    </row>
    <row r="5877">
      <c r="A5877" s="8" t="n"/>
      <c r="B5877" s="9" t="n"/>
    </row>
    <row r="5878">
      <c r="A5878" s="8" t="n"/>
      <c r="B5878" s="9" t="n"/>
    </row>
    <row r="5879">
      <c r="A5879" s="8" t="n"/>
      <c r="B5879" s="9" t="n"/>
    </row>
    <row r="5880">
      <c r="A5880" s="8" t="n"/>
      <c r="B5880" s="9" t="n"/>
    </row>
    <row r="5881">
      <c r="A5881" s="8" t="n"/>
      <c r="B5881" s="9" t="n"/>
    </row>
    <row r="5882">
      <c r="A5882" s="8" t="n"/>
      <c r="B5882" s="9" t="n"/>
    </row>
    <row r="5883">
      <c r="A5883" s="8" t="n"/>
      <c r="B5883" s="9" t="n"/>
    </row>
    <row r="5884">
      <c r="A5884" s="8" t="n"/>
      <c r="B5884" s="9" t="n"/>
    </row>
    <row r="5885">
      <c r="A5885" s="8" t="n"/>
      <c r="B5885" s="9" t="n"/>
    </row>
    <row r="5886">
      <c r="A5886" s="8" t="n"/>
      <c r="B5886" s="9" t="n"/>
    </row>
    <row r="5887">
      <c r="A5887" s="8" t="n"/>
      <c r="B5887" s="9" t="n"/>
    </row>
    <row r="5888">
      <c r="A5888" s="8" t="n"/>
      <c r="B5888" s="9" t="n"/>
    </row>
    <row r="5889">
      <c r="A5889" s="8" t="n"/>
      <c r="B5889" s="9" t="n"/>
    </row>
    <row r="5890">
      <c r="A5890" s="8" t="n"/>
      <c r="B5890" s="9" t="n"/>
    </row>
    <row r="5891">
      <c r="A5891" s="8" t="n"/>
      <c r="B5891" s="9" t="n"/>
    </row>
    <row r="5892">
      <c r="A5892" s="8" t="n"/>
      <c r="B5892" s="9" t="n"/>
    </row>
    <row r="5893">
      <c r="A5893" s="8" t="n"/>
      <c r="B5893" s="9" t="n"/>
    </row>
    <row r="5894">
      <c r="A5894" s="8" t="n"/>
      <c r="B5894" s="9" t="n"/>
    </row>
    <row r="5895">
      <c r="A5895" s="8" t="n"/>
      <c r="B5895" s="9" t="n"/>
    </row>
    <row r="5896">
      <c r="A5896" s="8" t="n"/>
      <c r="B5896" s="9" t="n"/>
    </row>
    <row r="5897">
      <c r="A5897" s="8" t="n"/>
      <c r="B5897" s="9" t="n"/>
    </row>
    <row r="5898">
      <c r="A5898" s="8" t="n"/>
      <c r="B5898" s="9" t="n"/>
    </row>
    <row r="5899">
      <c r="A5899" s="8" t="n"/>
      <c r="B5899" s="9" t="n"/>
    </row>
    <row r="5900">
      <c r="A5900" s="8" t="n"/>
      <c r="B5900" s="9" t="n"/>
    </row>
    <row r="5901">
      <c r="A5901" s="8" t="n"/>
      <c r="B5901" s="9" t="n"/>
    </row>
    <row r="5902">
      <c r="A5902" s="8" t="n"/>
      <c r="B5902" s="9" t="n"/>
    </row>
    <row r="5903">
      <c r="A5903" s="8" t="n"/>
      <c r="B5903" s="9" t="n"/>
    </row>
    <row r="5904">
      <c r="A5904" s="8" t="n"/>
      <c r="B5904" s="9" t="n"/>
    </row>
    <row r="5905">
      <c r="A5905" s="8" t="n"/>
      <c r="B5905" s="9" t="n"/>
    </row>
    <row r="5906">
      <c r="A5906" s="8" t="n"/>
      <c r="B5906" s="9" t="n"/>
    </row>
    <row r="5907">
      <c r="A5907" s="8" t="n"/>
      <c r="B5907" s="9" t="n"/>
    </row>
    <row r="5908">
      <c r="A5908" s="8" t="n"/>
      <c r="B5908" s="9" t="n"/>
    </row>
    <row r="5909">
      <c r="A5909" s="8" t="n"/>
      <c r="B5909" s="9" t="n"/>
    </row>
    <row r="5910">
      <c r="A5910" s="8" t="n"/>
      <c r="B5910" s="9" t="n"/>
    </row>
    <row r="5911">
      <c r="A5911" s="8" t="n"/>
      <c r="B5911" s="9" t="n"/>
    </row>
    <row r="5912">
      <c r="A5912" s="8" t="n"/>
      <c r="B5912" s="9" t="n"/>
    </row>
    <row r="5913">
      <c r="A5913" s="8" t="n"/>
      <c r="B5913" s="9" t="n"/>
    </row>
    <row r="5914">
      <c r="A5914" s="8" t="n"/>
      <c r="B5914" s="9" t="n"/>
    </row>
    <row r="5915">
      <c r="A5915" s="8" t="n"/>
      <c r="B5915" s="9" t="n"/>
    </row>
    <row r="5916">
      <c r="A5916" s="8" t="n"/>
      <c r="B5916" s="9" t="n"/>
    </row>
    <row r="5917">
      <c r="A5917" s="8" t="n"/>
      <c r="B5917" s="9" t="n"/>
    </row>
    <row r="5918">
      <c r="A5918" s="8" t="n"/>
      <c r="B5918" s="9" t="n"/>
    </row>
    <row r="5919">
      <c r="A5919" s="8" t="n"/>
      <c r="B5919" s="9" t="n"/>
    </row>
    <row r="5920">
      <c r="A5920" s="8" t="n"/>
      <c r="B5920" s="9" t="n"/>
    </row>
    <row r="5921">
      <c r="A5921" s="8" t="n"/>
      <c r="B5921" s="9" t="n"/>
    </row>
    <row r="5922">
      <c r="A5922" s="8" t="n"/>
      <c r="B5922" s="9" t="n"/>
    </row>
    <row r="5923">
      <c r="A5923" s="8" t="n"/>
      <c r="B5923" s="9" t="n"/>
    </row>
    <row r="5924">
      <c r="A5924" s="8" t="n"/>
      <c r="B5924" s="9" t="n"/>
    </row>
    <row r="5925">
      <c r="A5925" s="8" t="n"/>
      <c r="B5925" s="9" t="n"/>
    </row>
    <row r="5926">
      <c r="A5926" s="8" t="n"/>
      <c r="B5926" s="9" t="n"/>
    </row>
    <row r="5927">
      <c r="A5927" s="8" t="n"/>
      <c r="B5927" s="9" t="n"/>
    </row>
    <row r="5928">
      <c r="A5928" s="8" t="n"/>
      <c r="B5928" s="9" t="n"/>
    </row>
    <row r="5929">
      <c r="A5929" s="8" t="n"/>
      <c r="B5929" s="9" t="n"/>
    </row>
    <row r="5930">
      <c r="A5930" s="8" t="n"/>
      <c r="B5930" s="9" t="n"/>
    </row>
    <row r="5931">
      <c r="A5931" s="8" t="n"/>
      <c r="B5931" s="9" t="n"/>
    </row>
    <row r="5932">
      <c r="A5932" s="8" t="n"/>
      <c r="B5932" s="9" t="n"/>
    </row>
    <row r="5933">
      <c r="A5933" s="8" t="n"/>
      <c r="B5933" s="9" t="n"/>
    </row>
    <row r="5934">
      <c r="A5934" s="8" t="n"/>
      <c r="B5934" s="9" t="n"/>
    </row>
    <row r="5935">
      <c r="A5935" s="8" t="n"/>
      <c r="B5935" s="9" t="n"/>
    </row>
    <row r="5936">
      <c r="A5936" s="8" t="n"/>
      <c r="B5936" s="9" t="n"/>
    </row>
    <row r="5937">
      <c r="A5937" s="8" t="n"/>
      <c r="B5937" s="9" t="n"/>
    </row>
    <row r="5938">
      <c r="A5938" s="8" t="n"/>
      <c r="B5938" s="9" t="n"/>
    </row>
    <row r="5939">
      <c r="A5939" s="8" t="n"/>
      <c r="B5939" s="9" t="n"/>
    </row>
    <row r="5940">
      <c r="A5940" s="8" t="n"/>
      <c r="B5940" s="9" t="n"/>
    </row>
    <row r="5941">
      <c r="A5941" s="8" t="n"/>
      <c r="B5941" s="9" t="n"/>
    </row>
    <row r="5942">
      <c r="A5942" s="8" t="n"/>
      <c r="B5942" s="9" t="n"/>
    </row>
    <row r="5943">
      <c r="A5943" s="8" t="n"/>
      <c r="B5943" s="9" t="n"/>
    </row>
    <row r="5944">
      <c r="A5944" s="8" t="n"/>
      <c r="B5944" s="9" t="n"/>
    </row>
    <row r="5945">
      <c r="A5945" s="8" t="n"/>
      <c r="B5945" s="9" t="n"/>
    </row>
    <row r="5946">
      <c r="A5946" s="8" t="n"/>
      <c r="B5946" s="9" t="n"/>
    </row>
    <row r="5947">
      <c r="A5947" s="8" t="n"/>
      <c r="B5947" s="9" t="n"/>
    </row>
    <row r="5948">
      <c r="A5948" s="8" t="n"/>
      <c r="B5948" s="9" t="n"/>
    </row>
    <row r="5949">
      <c r="A5949" s="8" t="n"/>
      <c r="B5949" s="9" t="n"/>
    </row>
    <row r="5950">
      <c r="A5950" s="8" t="n"/>
      <c r="B5950" s="9" t="n"/>
    </row>
    <row r="5951">
      <c r="A5951" s="8" t="n"/>
      <c r="B5951" s="9" t="n"/>
    </row>
    <row r="5952">
      <c r="A5952" s="8" t="n"/>
      <c r="B5952" s="9" t="n"/>
    </row>
    <row r="5953">
      <c r="A5953" s="8" t="n"/>
      <c r="B5953" s="9" t="n"/>
    </row>
    <row r="5954">
      <c r="A5954" s="8" t="n"/>
      <c r="B5954" s="9" t="n"/>
    </row>
    <row r="5955">
      <c r="A5955" s="8" t="n"/>
      <c r="B5955" s="9" t="n"/>
    </row>
    <row r="5956">
      <c r="A5956" s="8" t="n"/>
      <c r="B5956" s="9" t="n"/>
    </row>
    <row r="5957">
      <c r="A5957" s="8" t="n"/>
      <c r="B5957" s="9" t="n"/>
    </row>
    <row r="5958">
      <c r="A5958" s="8" t="n"/>
      <c r="B5958" s="9" t="n"/>
    </row>
    <row r="5959">
      <c r="A5959" s="8" t="n"/>
      <c r="B5959" s="9" t="n"/>
    </row>
    <row r="5960">
      <c r="A5960" s="8" t="n"/>
      <c r="B5960" s="9" t="n"/>
    </row>
    <row r="5961">
      <c r="A5961" s="8" t="n"/>
      <c r="B5961" s="9" t="n"/>
    </row>
    <row r="5962">
      <c r="A5962" s="8" t="n"/>
      <c r="B5962" s="9" t="n"/>
    </row>
    <row r="5963">
      <c r="A5963" s="8" t="n"/>
      <c r="B5963" s="9" t="n"/>
    </row>
    <row r="5964">
      <c r="A5964" s="8" t="n"/>
      <c r="B5964" s="9" t="n"/>
    </row>
    <row r="5965">
      <c r="A5965" s="8" t="n"/>
      <c r="B5965" s="9" t="n"/>
    </row>
    <row r="5966">
      <c r="A5966" s="8" t="n"/>
      <c r="B5966" s="9" t="n"/>
    </row>
    <row r="5967">
      <c r="A5967" s="8" t="n"/>
      <c r="B5967" s="9" t="n"/>
    </row>
    <row r="5968">
      <c r="A5968" s="8" t="n"/>
      <c r="B5968" s="9" t="n"/>
    </row>
    <row r="5969">
      <c r="A5969" s="8" t="n"/>
      <c r="B5969" s="9" t="n"/>
    </row>
    <row r="5970">
      <c r="A5970" s="8" t="n"/>
      <c r="B5970" s="9" t="n"/>
    </row>
    <row r="5971">
      <c r="A5971" s="8" t="n"/>
      <c r="B5971" s="9" t="n"/>
    </row>
    <row r="5972">
      <c r="A5972" s="8" t="n"/>
      <c r="B5972" s="9" t="n"/>
    </row>
    <row r="5973">
      <c r="A5973" s="8" t="n"/>
      <c r="B5973" s="9" t="n"/>
    </row>
    <row r="5974">
      <c r="A5974" s="8" t="n"/>
      <c r="B5974" s="9" t="n"/>
    </row>
    <row r="5975">
      <c r="A5975" s="8" t="n"/>
      <c r="B5975" s="9" t="n"/>
    </row>
    <row r="5976">
      <c r="A5976" s="8" t="n"/>
      <c r="B5976" s="9" t="n"/>
    </row>
    <row r="5977">
      <c r="A5977" s="8" t="n"/>
      <c r="B5977" s="9" t="n"/>
    </row>
    <row r="5978">
      <c r="A5978" s="8" t="n"/>
      <c r="B5978" s="9" t="n"/>
    </row>
    <row r="5979">
      <c r="A5979" s="8" t="n"/>
      <c r="B5979" s="9" t="n"/>
    </row>
    <row r="5980">
      <c r="A5980" s="8" t="n"/>
      <c r="B5980" s="9" t="n"/>
    </row>
    <row r="5981">
      <c r="A5981" s="8" t="n"/>
      <c r="B5981" s="9" t="n"/>
    </row>
    <row r="5982">
      <c r="A5982" s="8" t="n"/>
      <c r="B5982" s="9" t="n"/>
    </row>
    <row r="5983">
      <c r="A5983" s="8" t="n"/>
      <c r="B5983" s="9" t="n"/>
    </row>
    <row r="5984">
      <c r="A5984" s="8" t="n"/>
      <c r="B5984" s="9" t="n"/>
    </row>
    <row r="5985">
      <c r="A5985" s="8" t="n"/>
      <c r="B5985" s="9" t="n"/>
    </row>
    <row r="5986">
      <c r="A5986" s="8" t="n"/>
      <c r="B5986" s="9" t="n"/>
    </row>
    <row r="5987">
      <c r="A5987" s="8" t="n"/>
      <c r="B5987" s="9" t="n"/>
    </row>
    <row r="5988">
      <c r="A5988" s="8" t="n"/>
      <c r="B5988" s="9" t="n"/>
    </row>
    <row r="5989">
      <c r="A5989" s="8" t="n"/>
      <c r="B5989" s="9" t="n"/>
    </row>
    <row r="5990">
      <c r="A5990" s="8" t="n"/>
      <c r="B5990" s="9" t="n"/>
    </row>
    <row r="5991">
      <c r="A5991" s="8" t="n"/>
      <c r="B5991" s="9" t="n"/>
    </row>
    <row r="5992">
      <c r="A5992" s="8" t="n"/>
      <c r="B5992" s="9" t="n"/>
    </row>
    <row r="5993">
      <c r="A5993" s="8" t="n"/>
      <c r="B5993" s="9" t="n"/>
    </row>
    <row r="5994">
      <c r="A5994" s="8" t="n"/>
      <c r="B5994" s="9" t="n"/>
    </row>
    <row r="5995">
      <c r="A5995" s="8" t="n"/>
      <c r="B5995" s="9" t="n"/>
    </row>
    <row r="5996">
      <c r="A5996" s="8" t="n"/>
      <c r="B5996" s="9" t="n"/>
    </row>
    <row r="5997">
      <c r="A5997" s="8" t="n"/>
      <c r="B5997" s="9" t="n"/>
    </row>
    <row r="5998">
      <c r="A5998" s="8" t="n"/>
      <c r="B5998" s="9" t="n"/>
    </row>
    <row r="5999">
      <c r="A5999" s="8" t="n"/>
      <c r="B5999" s="9" t="n"/>
    </row>
    <row r="6000">
      <c r="A6000" s="8" t="n"/>
      <c r="B6000" s="9" t="n"/>
    </row>
    <row r="6001">
      <c r="A6001" s="8" t="n"/>
      <c r="B6001" s="9" t="n"/>
    </row>
    <row r="6002">
      <c r="A6002" s="8" t="n"/>
      <c r="B6002" s="9" t="n"/>
    </row>
    <row r="6003">
      <c r="A6003" s="8" t="n"/>
      <c r="B6003" s="9" t="n"/>
    </row>
    <row r="6004">
      <c r="A6004" s="8" t="n"/>
      <c r="B6004" s="9" t="n"/>
    </row>
    <row r="6005">
      <c r="A6005" s="8" t="n"/>
      <c r="B6005" s="9" t="n"/>
    </row>
    <row r="6006">
      <c r="A6006" s="8" t="n"/>
      <c r="B6006" s="9" t="n"/>
    </row>
    <row r="6007">
      <c r="A6007" s="8" t="n"/>
      <c r="B6007" s="9" t="n"/>
    </row>
    <row r="6008">
      <c r="A6008" s="8" t="n"/>
      <c r="B6008" s="9" t="n"/>
    </row>
    <row r="6009">
      <c r="A6009" s="8" t="n"/>
      <c r="B6009" s="9" t="n"/>
    </row>
    <row r="6010">
      <c r="A6010" s="8" t="n"/>
      <c r="B6010" s="9" t="n"/>
    </row>
    <row r="6011">
      <c r="A6011" s="8" t="n"/>
      <c r="B6011" s="9" t="n"/>
    </row>
    <row r="6012">
      <c r="A6012" s="8" t="n"/>
      <c r="B6012" s="9" t="n"/>
    </row>
    <row r="6013">
      <c r="A6013" s="8" t="n"/>
      <c r="B6013" s="9" t="n"/>
    </row>
    <row r="6014">
      <c r="A6014" s="8" t="n"/>
      <c r="B6014" s="9" t="n"/>
    </row>
    <row r="6015">
      <c r="A6015" s="8" t="n"/>
      <c r="B6015" s="9" t="n"/>
    </row>
    <row r="6016">
      <c r="A6016" s="8" t="n"/>
      <c r="B6016" s="9" t="n"/>
    </row>
    <row r="6017">
      <c r="A6017" s="8" t="n"/>
      <c r="B6017" s="9" t="n"/>
    </row>
    <row r="6018">
      <c r="A6018" s="8" t="n"/>
      <c r="B6018" s="9" t="n"/>
    </row>
    <row r="6019">
      <c r="A6019" s="8" t="n"/>
      <c r="B6019" s="9" t="n"/>
    </row>
    <row r="6020">
      <c r="A6020" s="8" t="n"/>
      <c r="B6020" s="9" t="n"/>
    </row>
    <row r="6021">
      <c r="A6021" s="8" t="n"/>
      <c r="B6021" s="9" t="n"/>
    </row>
    <row r="6022">
      <c r="A6022" s="8" t="n"/>
      <c r="B6022" s="9" t="n"/>
    </row>
    <row r="6023">
      <c r="A6023" s="8" t="n"/>
      <c r="B6023" s="9" t="n"/>
    </row>
    <row r="6024">
      <c r="A6024" s="8" t="n"/>
      <c r="B6024" s="9" t="n"/>
    </row>
    <row r="6025">
      <c r="A6025" s="8" t="n"/>
      <c r="B6025" s="9" t="n"/>
    </row>
    <row r="6026">
      <c r="A6026" s="8" t="n"/>
      <c r="B6026" s="9" t="n"/>
    </row>
    <row r="6027">
      <c r="A6027" s="8" t="n"/>
      <c r="B6027" s="9" t="n"/>
    </row>
    <row r="6028">
      <c r="A6028" s="8" t="n"/>
      <c r="B6028" s="9" t="n"/>
    </row>
    <row r="6029">
      <c r="A6029" s="8" t="n"/>
      <c r="B6029" s="9" t="n"/>
    </row>
    <row r="6030">
      <c r="A6030" s="8" t="n"/>
      <c r="B6030" s="9" t="n"/>
    </row>
    <row r="6031">
      <c r="A6031" s="8" t="n"/>
      <c r="B6031" s="9" t="n"/>
    </row>
    <row r="6032">
      <c r="A6032" s="8" t="n"/>
      <c r="B6032" s="9" t="n"/>
    </row>
    <row r="6033">
      <c r="A6033" s="8" t="n"/>
      <c r="B6033" s="9" t="n"/>
    </row>
    <row r="6034">
      <c r="A6034" s="8" t="n"/>
      <c r="B6034" s="9" t="n"/>
    </row>
    <row r="6035">
      <c r="A6035" s="8" t="n"/>
      <c r="B6035" s="9" t="n"/>
    </row>
    <row r="6036">
      <c r="A6036" s="8" t="n"/>
      <c r="B6036" s="9" t="n"/>
    </row>
    <row r="6037">
      <c r="A6037" s="8" t="n"/>
      <c r="B6037" s="9" t="n"/>
    </row>
    <row r="6038">
      <c r="A6038" s="8" t="n"/>
      <c r="B6038" s="9" t="n"/>
    </row>
    <row r="6039">
      <c r="A6039" s="8" t="n"/>
      <c r="B6039" s="9" t="n"/>
    </row>
    <row r="6040">
      <c r="A6040" s="8" t="n"/>
      <c r="B6040" s="9" t="n"/>
    </row>
    <row r="6041">
      <c r="A6041" s="8" t="n"/>
      <c r="B6041" s="9" t="n"/>
    </row>
    <row r="6042">
      <c r="A6042" s="8" t="n"/>
      <c r="B6042" s="9" t="n"/>
    </row>
    <row r="6043">
      <c r="A6043" s="8" t="n"/>
      <c r="B6043" s="9" t="n"/>
    </row>
    <row r="6044">
      <c r="A6044" s="8" t="n"/>
      <c r="B6044" s="9" t="n"/>
    </row>
    <row r="6045">
      <c r="A6045" s="8" t="n"/>
      <c r="B6045" s="9" t="n"/>
    </row>
    <row r="6046">
      <c r="A6046" s="8" t="n"/>
      <c r="B6046" s="9" t="n"/>
    </row>
    <row r="6047">
      <c r="A6047" s="8" t="n"/>
      <c r="B6047" s="9" t="n"/>
    </row>
    <row r="6048">
      <c r="A6048" s="8" t="n"/>
      <c r="B6048" s="9" t="n"/>
    </row>
    <row r="6049">
      <c r="A6049" s="8" t="n"/>
      <c r="B6049" s="9" t="n"/>
    </row>
    <row r="6050">
      <c r="A6050" s="8" t="n"/>
      <c r="B6050" s="9" t="n"/>
    </row>
    <row r="6051">
      <c r="A6051" s="8" t="n"/>
      <c r="B6051" s="9" t="n"/>
    </row>
    <row r="6052">
      <c r="A6052" s="8" t="n"/>
      <c r="B6052" s="9" t="n"/>
    </row>
    <row r="6053">
      <c r="A6053" s="8" t="n"/>
      <c r="B6053" s="9" t="n"/>
    </row>
    <row r="6054">
      <c r="A6054" s="8" t="n"/>
      <c r="B6054" s="9" t="n"/>
    </row>
    <row r="6055">
      <c r="A6055" s="8" t="n"/>
      <c r="B6055" s="9" t="n"/>
    </row>
    <row r="6056">
      <c r="A6056" s="8" t="n"/>
      <c r="B6056" s="9" t="n"/>
    </row>
    <row r="6057">
      <c r="A6057" s="8" t="n"/>
      <c r="B6057" s="9" t="n"/>
    </row>
    <row r="6058">
      <c r="A6058" s="8" t="n"/>
      <c r="B6058" s="9" t="n"/>
    </row>
    <row r="6059">
      <c r="A6059" s="8" t="n"/>
      <c r="B6059" s="9" t="n"/>
    </row>
    <row r="6060">
      <c r="A6060" s="8" t="n"/>
      <c r="B6060" s="9" t="n"/>
    </row>
    <row r="6061">
      <c r="A6061" s="8" t="n"/>
      <c r="B6061" s="9" t="n"/>
    </row>
    <row r="6062">
      <c r="A6062" s="8" t="n"/>
      <c r="B6062" s="9" t="n"/>
    </row>
    <row r="6063">
      <c r="A6063" s="8" t="n"/>
      <c r="B6063" s="9" t="n"/>
    </row>
    <row r="6064">
      <c r="A6064" s="8" t="n"/>
      <c r="B6064" s="9" t="n"/>
    </row>
    <row r="6065">
      <c r="A6065" s="8" t="n"/>
      <c r="B6065" s="9" t="n"/>
    </row>
    <row r="6066">
      <c r="A6066" s="8" t="n"/>
      <c r="B6066" s="9" t="n"/>
    </row>
    <row r="6067">
      <c r="A6067" s="8" t="n"/>
      <c r="B6067" s="9" t="n"/>
    </row>
    <row r="6068">
      <c r="A6068" s="8" t="n"/>
      <c r="B6068" s="9" t="n"/>
    </row>
    <row r="6069">
      <c r="A6069" s="8" t="n"/>
      <c r="B6069" s="9" t="n"/>
    </row>
    <row r="6070">
      <c r="A6070" s="8" t="n"/>
      <c r="B6070" s="9" t="n"/>
    </row>
    <row r="6071">
      <c r="A6071" s="8" t="n"/>
      <c r="B6071" s="9" t="n"/>
    </row>
    <row r="6072">
      <c r="A6072" s="8" t="n"/>
      <c r="B6072" s="9" t="n"/>
    </row>
    <row r="6073">
      <c r="A6073" s="8" t="n"/>
      <c r="B6073" s="9" t="n"/>
    </row>
    <row r="6074">
      <c r="A6074" s="8" t="n"/>
      <c r="B6074" s="9" t="n"/>
    </row>
    <row r="6075">
      <c r="A6075" s="8" t="n"/>
      <c r="B6075" s="9" t="n"/>
    </row>
    <row r="6076">
      <c r="A6076" s="8" t="n"/>
      <c r="B6076" s="9" t="n"/>
    </row>
    <row r="6077">
      <c r="A6077" s="8" t="n"/>
      <c r="B6077" s="9" t="n"/>
    </row>
    <row r="6078">
      <c r="A6078" s="8" t="n"/>
      <c r="B6078" s="9" t="n"/>
    </row>
    <row r="6079">
      <c r="A6079" s="8" t="n"/>
      <c r="B6079" s="9" t="n"/>
    </row>
    <row r="6080">
      <c r="A6080" s="8" t="n"/>
      <c r="B6080" s="9" t="n"/>
    </row>
    <row r="6081">
      <c r="A6081" s="8" t="n"/>
      <c r="B6081" s="9" t="n"/>
    </row>
    <row r="6082">
      <c r="A6082" s="8" t="n"/>
      <c r="B6082" s="9" t="n"/>
    </row>
    <row r="6083">
      <c r="A6083" s="8" t="n"/>
      <c r="B6083" s="9" t="n"/>
    </row>
    <row r="6084">
      <c r="A6084" s="8" t="n"/>
      <c r="B6084" s="9" t="n"/>
    </row>
    <row r="6085">
      <c r="A6085" s="8" t="n"/>
      <c r="B6085" s="9" t="n"/>
    </row>
    <row r="6086">
      <c r="A6086" s="8" t="n"/>
      <c r="B6086" s="9" t="n"/>
    </row>
    <row r="6087">
      <c r="A6087" s="8" t="n"/>
      <c r="B6087" s="9" t="n"/>
    </row>
    <row r="6088">
      <c r="A6088" s="8" t="n"/>
      <c r="B6088" s="9" t="n"/>
    </row>
    <row r="6089">
      <c r="A6089" s="8" t="n"/>
      <c r="B6089" s="9" t="n"/>
    </row>
    <row r="6090">
      <c r="A6090" s="8" t="n"/>
      <c r="B6090" s="9" t="n"/>
    </row>
    <row r="6091">
      <c r="A6091" s="8" t="n"/>
      <c r="B6091" s="9" t="n"/>
    </row>
    <row r="6092">
      <c r="A6092" s="8" t="n"/>
      <c r="B6092" s="9" t="n"/>
    </row>
    <row r="6093">
      <c r="A6093" s="8" t="n"/>
      <c r="B6093" s="9" t="n"/>
    </row>
    <row r="6094">
      <c r="A6094" s="8" t="n"/>
      <c r="B6094" s="9" t="n"/>
    </row>
    <row r="6095">
      <c r="A6095" s="8" t="n"/>
      <c r="B6095" s="9" t="n"/>
    </row>
    <row r="6096">
      <c r="A6096" s="8" t="n"/>
      <c r="B6096" s="9" t="n"/>
    </row>
    <row r="6097">
      <c r="A6097" s="8" t="n"/>
      <c r="B6097" s="9" t="n"/>
    </row>
    <row r="6098">
      <c r="A6098" s="8" t="n"/>
      <c r="B6098" s="9" t="n"/>
    </row>
    <row r="6099">
      <c r="A6099" s="8" t="n"/>
      <c r="B6099" s="9" t="n"/>
    </row>
    <row r="6100">
      <c r="A6100" s="8" t="n"/>
      <c r="B6100" s="9" t="n"/>
    </row>
    <row r="6101">
      <c r="A6101" s="8" t="n"/>
      <c r="B6101" s="9" t="n"/>
    </row>
    <row r="6102">
      <c r="A6102" s="8" t="n"/>
      <c r="B6102" s="9" t="n"/>
    </row>
    <row r="6103">
      <c r="A6103" s="8" t="n"/>
      <c r="B6103" s="9" t="n"/>
    </row>
    <row r="6104">
      <c r="A6104" s="8" t="n"/>
      <c r="B6104" s="9" t="n"/>
    </row>
    <row r="6105">
      <c r="A6105" s="8" t="n"/>
      <c r="B6105" s="9" t="n"/>
    </row>
    <row r="6106">
      <c r="A6106" s="8" t="n"/>
      <c r="B6106" s="9" t="n"/>
    </row>
    <row r="6107">
      <c r="A6107" s="8" t="n"/>
      <c r="B6107" s="9" t="n"/>
    </row>
    <row r="6108">
      <c r="A6108" s="8" t="n"/>
      <c r="B6108" s="9" t="n"/>
    </row>
    <row r="6109">
      <c r="A6109" s="8" t="n"/>
      <c r="B6109" s="9" t="n"/>
    </row>
    <row r="6110">
      <c r="A6110" s="8" t="n"/>
      <c r="B6110" s="9" t="n"/>
    </row>
    <row r="6111">
      <c r="A6111" s="8" t="n"/>
      <c r="B6111" s="9" t="n"/>
    </row>
    <row r="6112">
      <c r="A6112" s="8" t="n"/>
      <c r="B6112" s="9" t="n"/>
    </row>
    <row r="6113">
      <c r="A6113" s="8" t="n"/>
      <c r="B6113" s="9" t="n"/>
    </row>
    <row r="6114">
      <c r="A6114" s="8" t="n"/>
      <c r="B6114" s="9" t="n"/>
    </row>
    <row r="6115">
      <c r="A6115" s="8" t="n"/>
      <c r="B6115" s="9" t="n"/>
    </row>
    <row r="6116">
      <c r="A6116" s="8" t="n"/>
      <c r="B6116" s="9" t="n"/>
    </row>
    <row r="6117">
      <c r="A6117" s="8" t="n"/>
      <c r="B6117" s="9" t="n"/>
    </row>
    <row r="6118">
      <c r="A6118" s="8" t="n"/>
      <c r="B6118" s="9" t="n"/>
    </row>
    <row r="6119">
      <c r="A6119" s="8" t="n"/>
      <c r="B6119" s="9" t="n"/>
    </row>
    <row r="6120">
      <c r="A6120" s="8" t="n"/>
      <c r="B6120" s="9" t="n"/>
    </row>
    <row r="6121">
      <c r="A6121" s="8" t="n"/>
      <c r="B6121" s="9" t="n"/>
    </row>
    <row r="6122">
      <c r="A6122" s="8" t="n"/>
      <c r="B6122" s="9" t="n"/>
    </row>
    <row r="6123">
      <c r="A6123" s="8" t="n"/>
      <c r="B6123" s="9" t="n"/>
    </row>
    <row r="6124">
      <c r="A6124" s="8" t="n"/>
      <c r="B6124" s="9" t="n"/>
    </row>
    <row r="6125">
      <c r="A6125" s="8" t="n"/>
      <c r="B6125" s="9" t="n"/>
    </row>
    <row r="6126">
      <c r="A6126" s="8" t="n"/>
      <c r="B6126" s="9" t="n"/>
    </row>
    <row r="6127">
      <c r="A6127" s="8" t="n"/>
      <c r="B6127" s="9" t="n"/>
    </row>
    <row r="6128">
      <c r="A6128" s="8" t="n"/>
      <c r="B6128" s="9" t="n"/>
    </row>
    <row r="6129">
      <c r="A6129" s="8" t="n"/>
      <c r="B6129" s="9" t="n"/>
    </row>
    <row r="6130">
      <c r="A6130" s="8" t="n"/>
      <c r="B6130" s="9" t="n"/>
    </row>
    <row r="6131">
      <c r="A6131" s="8" t="n"/>
      <c r="B6131" s="9" t="n"/>
    </row>
    <row r="6132">
      <c r="A6132" s="8" t="n"/>
      <c r="B6132" s="9" t="n"/>
    </row>
    <row r="6133">
      <c r="A6133" s="8" t="n"/>
      <c r="B6133" s="9" t="n"/>
    </row>
    <row r="6134">
      <c r="A6134" s="8" t="n"/>
      <c r="B6134" s="9" t="n"/>
    </row>
    <row r="6135">
      <c r="A6135" s="8" t="n"/>
      <c r="B6135" s="9" t="n"/>
    </row>
    <row r="6136">
      <c r="A6136" s="8" t="n"/>
      <c r="B6136" s="9" t="n"/>
    </row>
    <row r="6137">
      <c r="A6137" s="8" t="n"/>
      <c r="B6137" s="9" t="n"/>
    </row>
    <row r="6138">
      <c r="A6138" s="8" t="n"/>
      <c r="B6138" s="9" t="n"/>
    </row>
    <row r="6139">
      <c r="A6139" s="8" t="n"/>
      <c r="B6139" s="9" t="n"/>
    </row>
    <row r="6140">
      <c r="A6140" s="8" t="n"/>
      <c r="B6140" s="9" t="n"/>
    </row>
    <row r="6141">
      <c r="A6141" s="8" t="n"/>
      <c r="B6141" s="9" t="n"/>
    </row>
    <row r="6142">
      <c r="A6142" s="8" t="n"/>
      <c r="B6142" s="9" t="n"/>
    </row>
    <row r="6143">
      <c r="A6143" s="8" t="n"/>
      <c r="B6143" s="9" t="n"/>
    </row>
    <row r="6144">
      <c r="A6144" s="8" t="n"/>
      <c r="B6144" s="9" t="n"/>
    </row>
    <row r="6145">
      <c r="A6145" s="8" t="n"/>
      <c r="B6145" s="9" t="n"/>
    </row>
    <row r="6146">
      <c r="A6146" s="8" t="n"/>
      <c r="B6146" s="9" t="n"/>
    </row>
    <row r="6147">
      <c r="A6147" s="8" t="n"/>
      <c r="B6147" s="9" t="n"/>
    </row>
    <row r="6148">
      <c r="A6148" s="8" t="n"/>
      <c r="B6148" s="9" t="n"/>
    </row>
    <row r="6149">
      <c r="A6149" s="8" t="n"/>
      <c r="B6149" s="9" t="n"/>
    </row>
    <row r="6150">
      <c r="A6150" s="8" t="n"/>
      <c r="B6150" s="9" t="n"/>
    </row>
    <row r="6151">
      <c r="A6151" s="8" t="n"/>
      <c r="B6151" s="9" t="n"/>
    </row>
    <row r="6152">
      <c r="A6152" s="8" t="n"/>
      <c r="B6152" s="9" t="n"/>
    </row>
    <row r="6153">
      <c r="A6153" s="8" t="n"/>
      <c r="B6153" s="9" t="n"/>
    </row>
    <row r="6154">
      <c r="A6154" s="8" t="n"/>
      <c r="B6154" s="9" t="n"/>
    </row>
    <row r="6155">
      <c r="A6155" s="8" t="n"/>
      <c r="B6155" s="9" t="n"/>
    </row>
    <row r="6156">
      <c r="A6156" s="8" t="n"/>
      <c r="B6156" s="9" t="n"/>
    </row>
    <row r="6157">
      <c r="A6157" s="8" t="n"/>
      <c r="B6157" s="9" t="n"/>
    </row>
    <row r="6158">
      <c r="A6158" s="8" t="n"/>
      <c r="B6158" s="9" t="n"/>
    </row>
    <row r="6159">
      <c r="A6159" s="8" t="n"/>
      <c r="B6159" s="9" t="n"/>
    </row>
    <row r="6160">
      <c r="A6160" s="8" t="n"/>
      <c r="B6160" s="9" t="n"/>
    </row>
    <row r="6161">
      <c r="A6161" s="8" t="n"/>
      <c r="B6161" s="9" t="n"/>
    </row>
    <row r="6162">
      <c r="A6162" s="8" t="n"/>
      <c r="B6162" s="9" t="n"/>
    </row>
    <row r="6163">
      <c r="A6163" s="8" t="n"/>
      <c r="B6163" s="9" t="n"/>
    </row>
    <row r="6164">
      <c r="A6164" s="8" t="n"/>
      <c r="B6164" s="9" t="n"/>
    </row>
    <row r="6165">
      <c r="A6165" s="8" t="n"/>
      <c r="B6165" s="9" t="n"/>
    </row>
    <row r="6166">
      <c r="A6166" s="8" t="n"/>
      <c r="B6166" s="9" t="n"/>
    </row>
    <row r="6167">
      <c r="A6167" s="8" t="n"/>
      <c r="B6167" s="9" t="n"/>
    </row>
    <row r="6168">
      <c r="A6168" s="8" t="n"/>
      <c r="B6168" s="9" t="n"/>
    </row>
    <row r="6169">
      <c r="A6169" s="8" t="n"/>
      <c r="B6169" s="9" t="n"/>
    </row>
    <row r="6170">
      <c r="A6170" s="8" t="n"/>
      <c r="B6170" s="9" t="n"/>
    </row>
    <row r="6171">
      <c r="A6171" s="8" t="n"/>
      <c r="B6171" s="9" t="n"/>
    </row>
    <row r="6172">
      <c r="A6172" s="8" t="n"/>
      <c r="B6172" s="9" t="n"/>
    </row>
    <row r="6173">
      <c r="A6173" s="8" t="n"/>
      <c r="B6173" s="9" t="n"/>
    </row>
    <row r="6174">
      <c r="A6174" s="8" t="n"/>
      <c r="B6174" s="9" t="n"/>
    </row>
    <row r="6175">
      <c r="A6175" s="8" t="n"/>
      <c r="B6175" s="9" t="n"/>
    </row>
    <row r="6176">
      <c r="A6176" s="8" t="n"/>
      <c r="B6176" s="9" t="n"/>
    </row>
    <row r="6177">
      <c r="A6177" s="8" t="n"/>
      <c r="B6177" s="9" t="n"/>
    </row>
    <row r="6178">
      <c r="A6178" s="8" t="n"/>
      <c r="B6178" s="9" t="n"/>
    </row>
    <row r="6179">
      <c r="A6179" s="8" t="n"/>
      <c r="B6179" s="9" t="n"/>
    </row>
    <row r="6180">
      <c r="A6180" s="8" t="n"/>
      <c r="B6180" s="9" t="n"/>
    </row>
    <row r="6181">
      <c r="A6181" s="8" t="n"/>
      <c r="B6181" s="9" t="n"/>
    </row>
    <row r="6182">
      <c r="A6182" s="8" t="n"/>
      <c r="B6182" s="9" t="n"/>
    </row>
    <row r="6183">
      <c r="A6183" s="8" t="n"/>
      <c r="B6183" s="9" t="n"/>
    </row>
    <row r="6184">
      <c r="A6184" s="8" t="n"/>
      <c r="B6184" s="9" t="n"/>
    </row>
    <row r="6185">
      <c r="A6185" s="8" t="n"/>
      <c r="B6185" s="9" t="n"/>
    </row>
    <row r="6186">
      <c r="A6186" s="8" t="n"/>
      <c r="B6186" s="9" t="n"/>
    </row>
    <row r="6187">
      <c r="A6187" s="8" t="n"/>
      <c r="B6187" s="9" t="n"/>
    </row>
    <row r="6188">
      <c r="A6188" s="8" t="n"/>
      <c r="B6188" s="9" t="n"/>
    </row>
    <row r="6189">
      <c r="A6189" s="8" t="n"/>
      <c r="B6189" s="9" t="n"/>
    </row>
    <row r="6190">
      <c r="A6190" s="8" t="n"/>
      <c r="B6190" s="9" t="n"/>
    </row>
    <row r="6191">
      <c r="A6191" s="8" t="n"/>
      <c r="B6191" s="9" t="n"/>
    </row>
    <row r="6192">
      <c r="A6192" s="8" t="n"/>
      <c r="B6192" s="9" t="n"/>
    </row>
    <row r="6193">
      <c r="A6193" s="8" t="n"/>
      <c r="B6193" s="9" t="n"/>
    </row>
    <row r="6194">
      <c r="A6194" s="8" t="n"/>
      <c r="B6194" s="9" t="n"/>
    </row>
    <row r="6195">
      <c r="A6195" s="8" t="n"/>
      <c r="B6195" s="9" t="n"/>
    </row>
    <row r="6196">
      <c r="A6196" s="8" t="n"/>
      <c r="B6196" s="9" t="n"/>
    </row>
    <row r="6197">
      <c r="A6197" s="8" t="n"/>
      <c r="B6197" s="9" t="n"/>
    </row>
    <row r="6198">
      <c r="A6198" s="8" t="n"/>
      <c r="B6198" s="9" t="n"/>
    </row>
    <row r="6199">
      <c r="A6199" s="8" t="n"/>
      <c r="B6199" s="9" t="n"/>
    </row>
    <row r="6200">
      <c r="A6200" s="8" t="n"/>
      <c r="B6200" s="9" t="n"/>
    </row>
    <row r="6201">
      <c r="A6201" s="8" t="n"/>
      <c r="B6201" s="9" t="n"/>
    </row>
    <row r="6202">
      <c r="A6202" s="8" t="n"/>
      <c r="B6202" s="9" t="n"/>
    </row>
    <row r="6203">
      <c r="A6203" s="8" t="n"/>
      <c r="B6203" s="9" t="n"/>
    </row>
    <row r="6204">
      <c r="A6204" s="8" t="n"/>
      <c r="B6204" s="9" t="n"/>
    </row>
    <row r="6205">
      <c r="A6205" s="8" t="n"/>
      <c r="B6205" s="9" t="n"/>
    </row>
    <row r="6206">
      <c r="A6206" s="8" t="n"/>
      <c r="B6206" s="9" t="n"/>
    </row>
    <row r="6207">
      <c r="A6207" s="8" t="n"/>
      <c r="B6207" s="9" t="n"/>
    </row>
    <row r="6208">
      <c r="A6208" s="8" t="n"/>
      <c r="B6208" s="9" t="n"/>
    </row>
    <row r="6209">
      <c r="A6209" s="8" t="n"/>
      <c r="B6209" s="9" t="n"/>
    </row>
    <row r="6210">
      <c r="A6210" s="8" t="n"/>
      <c r="B6210" s="9" t="n"/>
    </row>
    <row r="6211">
      <c r="A6211" s="8" t="n"/>
      <c r="B6211" s="9" t="n"/>
    </row>
    <row r="6212">
      <c r="A6212" s="8" t="n"/>
      <c r="B6212" s="9" t="n"/>
    </row>
    <row r="6213">
      <c r="A6213" s="8" t="n"/>
      <c r="B6213" s="9" t="n"/>
    </row>
    <row r="6214">
      <c r="A6214" s="8" t="n"/>
      <c r="B6214" s="9" t="n"/>
    </row>
    <row r="6215">
      <c r="A6215" s="8" t="n"/>
      <c r="B6215" s="9" t="n"/>
    </row>
    <row r="6216">
      <c r="A6216" s="8" t="n"/>
      <c r="B6216" s="9" t="n"/>
    </row>
    <row r="6217">
      <c r="A6217" s="8" t="n"/>
      <c r="B6217" s="9" t="n"/>
    </row>
    <row r="6218">
      <c r="A6218" s="8" t="n"/>
      <c r="B6218" s="9" t="n"/>
    </row>
    <row r="6219">
      <c r="A6219" s="8" t="n"/>
      <c r="B6219" s="9" t="n"/>
    </row>
    <row r="6220">
      <c r="A6220" s="8" t="n"/>
      <c r="B6220" s="9" t="n"/>
    </row>
    <row r="6221">
      <c r="A6221" s="8" t="n"/>
      <c r="B6221" s="9" t="n"/>
    </row>
    <row r="6222">
      <c r="A6222" s="8" t="n"/>
      <c r="B6222" s="9" t="n"/>
    </row>
    <row r="6223">
      <c r="A6223" s="8" t="n"/>
      <c r="B6223" s="9" t="n"/>
    </row>
    <row r="6224">
      <c r="A6224" s="8" t="n"/>
      <c r="B6224" s="9" t="n"/>
    </row>
    <row r="6225">
      <c r="A6225" s="8" t="n"/>
      <c r="B6225" s="9" t="n"/>
    </row>
    <row r="6226">
      <c r="A6226" s="8" t="n"/>
      <c r="B6226" s="9" t="n"/>
    </row>
    <row r="6227">
      <c r="A6227" s="8" t="n"/>
      <c r="B6227" s="9" t="n"/>
    </row>
    <row r="6228">
      <c r="A6228" s="8" t="n"/>
      <c r="B6228" s="9" t="n"/>
    </row>
    <row r="6229">
      <c r="A6229" s="8" t="n"/>
      <c r="B6229" s="9" t="n"/>
    </row>
    <row r="6230">
      <c r="A6230" s="8" t="n"/>
      <c r="B6230" s="9" t="n"/>
    </row>
    <row r="6231">
      <c r="A6231" s="8" t="n"/>
      <c r="B6231" s="9" t="n"/>
    </row>
    <row r="6232">
      <c r="A6232" s="8" t="n"/>
      <c r="B6232" s="9" t="n"/>
    </row>
    <row r="6233">
      <c r="A6233" s="8" t="n"/>
      <c r="B6233" s="9" t="n"/>
    </row>
    <row r="6234">
      <c r="A6234" s="8" t="n"/>
      <c r="B6234" s="9" t="n"/>
    </row>
    <row r="6235">
      <c r="A6235" s="8" t="n"/>
      <c r="B6235" s="9" t="n"/>
    </row>
    <row r="6236">
      <c r="A6236" s="8" t="n"/>
      <c r="B6236" s="9" t="n"/>
    </row>
    <row r="6237">
      <c r="A6237" s="8" t="n"/>
      <c r="B6237" s="9" t="n"/>
    </row>
    <row r="6238">
      <c r="A6238" s="8" t="n"/>
      <c r="B6238" s="9" t="n"/>
    </row>
    <row r="6239">
      <c r="A6239" s="8" t="n"/>
      <c r="B6239" s="9" t="n"/>
    </row>
    <row r="6240">
      <c r="A6240" s="8" t="n"/>
      <c r="B6240" s="9" t="n"/>
    </row>
    <row r="6241">
      <c r="A6241" s="8" t="n"/>
      <c r="B6241" s="9" t="n"/>
    </row>
    <row r="6242">
      <c r="A6242" s="8" t="n"/>
      <c r="B6242" s="9" t="n"/>
    </row>
    <row r="6243">
      <c r="A6243" s="8" t="n"/>
      <c r="B6243" s="9" t="n"/>
    </row>
    <row r="6244">
      <c r="A6244" s="8" t="n"/>
      <c r="B6244" s="9" t="n"/>
    </row>
    <row r="6245">
      <c r="A6245" s="8" t="n"/>
      <c r="B6245" s="9" t="n"/>
    </row>
    <row r="6246">
      <c r="A6246" s="8" t="n"/>
      <c r="B6246" s="9" t="n"/>
    </row>
    <row r="6247">
      <c r="A6247" s="8" t="n"/>
      <c r="B6247" s="9" t="n"/>
    </row>
    <row r="6248">
      <c r="A6248" s="8" t="n"/>
      <c r="B6248" s="9" t="n"/>
    </row>
    <row r="6249">
      <c r="A6249" s="8" t="n"/>
      <c r="B6249" s="9" t="n"/>
    </row>
    <row r="6250">
      <c r="A6250" s="8" t="n"/>
      <c r="B6250" s="9" t="n"/>
    </row>
    <row r="6251">
      <c r="A6251" s="8" t="n"/>
      <c r="B6251" s="9" t="n"/>
    </row>
    <row r="6252">
      <c r="A6252" s="8" t="n"/>
      <c r="B6252" s="9" t="n"/>
    </row>
    <row r="6253">
      <c r="A6253" s="8" t="n"/>
      <c r="B6253" s="9" t="n"/>
    </row>
    <row r="6254">
      <c r="A6254" s="8" t="n"/>
      <c r="B6254" s="9" t="n"/>
    </row>
    <row r="6255">
      <c r="A6255" s="8" t="n"/>
      <c r="B6255" s="9" t="n"/>
    </row>
    <row r="6256">
      <c r="A6256" s="8" t="n"/>
      <c r="B6256" s="9" t="n"/>
    </row>
    <row r="6257">
      <c r="A6257" s="8" t="n"/>
      <c r="B6257" s="9" t="n"/>
    </row>
    <row r="6258">
      <c r="A6258" s="8" t="n"/>
      <c r="B6258" s="9" t="n"/>
    </row>
    <row r="6259">
      <c r="A6259" s="8" t="n"/>
      <c r="B6259" s="9" t="n"/>
    </row>
    <row r="6260">
      <c r="A6260" s="8" t="n"/>
      <c r="B6260" s="9" t="n"/>
    </row>
    <row r="6261">
      <c r="A6261" s="8" t="n"/>
      <c r="B6261" s="9" t="n"/>
    </row>
    <row r="6262">
      <c r="A6262" s="8" t="n"/>
      <c r="B6262" s="9" t="n"/>
    </row>
    <row r="6263">
      <c r="A6263" s="8" t="n"/>
      <c r="B6263" s="9" t="n"/>
    </row>
    <row r="6264">
      <c r="A6264" s="8" t="n"/>
      <c r="B6264" s="9" t="n"/>
    </row>
    <row r="6265">
      <c r="A6265" s="8" t="n"/>
      <c r="B6265" s="9" t="n"/>
    </row>
    <row r="6266">
      <c r="A6266" s="8" t="n"/>
      <c r="B6266" s="9" t="n"/>
    </row>
    <row r="6267">
      <c r="A6267" s="8" t="n"/>
      <c r="B6267" s="9" t="n"/>
    </row>
    <row r="6268">
      <c r="A6268" s="8" t="n"/>
      <c r="B6268" s="9" t="n"/>
    </row>
    <row r="6269">
      <c r="A6269" s="8" t="n"/>
      <c r="B6269" s="9" t="n"/>
    </row>
    <row r="6270">
      <c r="A6270" s="8" t="n"/>
      <c r="B6270" s="9" t="n"/>
    </row>
    <row r="6271">
      <c r="A6271" s="8" t="n"/>
      <c r="B6271" s="9" t="n"/>
    </row>
    <row r="6272">
      <c r="A6272" s="8" t="n"/>
      <c r="B6272" s="9" t="n"/>
    </row>
    <row r="6273">
      <c r="A6273" s="8" t="n"/>
      <c r="B6273" s="9" t="n"/>
    </row>
    <row r="6274">
      <c r="A6274" s="8" t="n"/>
      <c r="B6274" s="9" t="n"/>
    </row>
    <row r="6275">
      <c r="A6275" s="8" t="n"/>
      <c r="B6275" s="9" t="n"/>
    </row>
    <row r="6276">
      <c r="A6276" s="8" t="n"/>
      <c r="B6276" s="9" t="n"/>
    </row>
    <row r="6277">
      <c r="A6277" s="8" t="n"/>
      <c r="B6277" s="9" t="n"/>
    </row>
    <row r="6278">
      <c r="A6278" s="8" t="n"/>
      <c r="B6278" s="9" t="n"/>
    </row>
    <row r="6279">
      <c r="A6279" s="8" t="n"/>
      <c r="B6279" s="9" t="n"/>
    </row>
    <row r="6280">
      <c r="A6280" s="8" t="n"/>
      <c r="B6280" s="9" t="n"/>
    </row>
    <row r="6281">
      <c r="A6281" s="8" t="n"/>
      <c r="B6281" s="9" t="n"/>
    </row>
    <row r="6282">
      <c r="A6282" s="8" t="n"/>
      <c r="B6282" s="9" t="n"/>
    </row>
    <row r="6283">
      <c r="A6283" s="8" t="n"/>
      <c r="B6283" s="9" t="n"/>
    </row>
    <row r="6284">
      <c r="A6284" s="8" t="n"/>
      <c r="B6284" s="9" t="n"/>
    </row>
    <row r="6285">
      <c r="A6285" s="8" t="n"/>
      <c r="B6285" s="9" t="n"/>
    </row>
    <row r="6286">
      <c r="A6286" s="8" t="n"/>
      <c r="B6286" s="9" t="n"/>
    </row>
    <row r="6287">
      <c r="A6287" s="8" t="n"/>
      <c r="B6287" s="9" t="n"/>
    </row>
    <row r="6288">
      <c r="A6288" s="8" t="n"/>
      <c r="B6288" s="9" t="n"/>
    </row>
    <row r="6289">
      <c r="A6289" s="8" t="n"/>
      <c r="B6289" s="9" t="n"/>
    </row>
    <row r="6290">
      <c r="A6290" s="8" t="n"/>
      <c r="B6290" s="9" t="n"/>
    </row>
    <row r="6291">
      <c r="A6291" s="8" t="n"/>
      <c r="B6291" s="9" t="n"/>
    </row>
    <row r="6292">
      <c r="A6292" s="8" t="n"/>
      <c r="B6292" s="9" t="n"/>
    </row>
    <row r="6293">
      <c r="A6293" s="8" t="n"/>
      <c r="B6293" s="9" t="n"/>
    </row>
    <row r="6294">
      <c r="A6294" s="8" t="n"/>
      <c r="B6294" s="9" t="n"/>
    </row>
    <row r="6295">
      <c r="A6295" s="8" t="n"/>
      <c r="B6295" s="9" t="n"/>
    </row>
    <row r="6296">
      <c r="A6296" s="8" t="n"/>
      <c r="B6296" s="9" t="n"/>
    </row>
    <row r="6297">
      <c r="A6297" s="8" t="n"/>
      <c r="B6297" s="9" t="n"/>
    </row>
    <row r="6298">
      <c r="A6298" s="8" t="n"/>
      <c r="B6298" s="9" t="n"/>
    </row>
    <row r="6299">
      <c r="A6299" s="8" t="n"/>
      <c r="B6299" s="9" t="n"/>
    </row>
    <row r="6300">
      <c r="A6300" s="8" t="n"/>
      <c r="B6300" s="9" t="n"/>
    </row>
    <row r="6301">
      <c r="A6301" s="8" t="n"/>
      <c r="B6301" s="9" t="n"/>
    </row>
    <row r="6302">
      <c r="A6302" s="8" t="n"/>
      <c r="B6302" s="9" t="n"/>
    </row>
    <row r="6303">
      <c r="A6303" s="8" t="n"/>
      <c r="B6303" s="9" t="n"/>
    </row>
    <row r="6304">
      <c r="A6304" s="8" t="n"/>
      <c r="B6304" s="9" t="n"/>
    </row>
    <row r="6305">
      <c r="A6305" s="8" t="n"/>
      <c r="B6305" s="9" t="n"/>
    </row>
    <row r="6306">
      <c r="A6306" s="8" t="n"/>
      <c r="B6306" s="9" t="n"/>
    </row>
    <row r="6307">
      <c r="A6307" s="8" t="n"/>
      <c r="B6307" s="9" t="n"/>
    </row>
    <row r="6308">
      <c r="A6308" s="8" t="n"/>
      <c r="B6308" s="9" t="n"/>
    </row>
    <row r="6309">
      <c r="A6309" s="8" t="n"/>
      <c r="B6309" s="9" t="n"/>
    </row>
    <row r="6310">
      <c r="A6310" s="8" t="n"/>
      <c r="B6310" s="9" t="n"/>
    </row>
    <row r="6311">
      <c r="A6311" s="8" t="n"/>
      <c r="B6311" s="9" t="n"/>
    </row>
    <row r="6312">
      <c r="A6312" s="8" t="n"/>
      <c r="B6312" s="9" t="n"/>
    </row>
    <row r="6313">
      <c r="A6313" s="8" t="n"/>
      <c r="B6313" s="9" t="n"/>
    </row>
    <row r="6314">
      <c r="A6314" s="8" t="n"/>
      <c r="B6314" s="9" t="n"/>
    </row>
    <row r="6315">
      <c r="A6315" s="8" t="n"/>
      <c r="B6315" s="9" t="n"/>
    </row>
    <row r="6316">
      <c r="A6316" s="8" t="n"/>
      <c r="B6316" s="9" t="n"/>
    </row>
    <row r="6317">
      <c r="A6317" s="8" t="n"/>
      <c r="B6317" s="9" t="n"/>
    </row>
    <row r="6318">
      <c r="A6318" s="8" t="n"/>
      <c r="B6318" s="9" t="n"/>
    </row>
    <row r="6319">
      <c r="A6319" s="8" t="n"/>
      <c r="B6319" s="9" t="n"/>
    </row>
    <row r="6320">
      <c r="A6320" s="8" t="n"/>
      <c r="B6320" s="9" t="n"/>
    </row>
    <row r="6321">
      <c r="A6321" s="8" t="n"/>
      <c r="B6321" s="9" t="n"/>
    </row>
    <row r="6322">
      <c r="A6322" s="8" t="n"/>
      <c r="B6322" s="9" t="n"/>
    </row>
    <row r="6323">
      <c r="A6323" s="8" t="n"/>
      <c r="B6323" s="9" t="n"/>
    </row>
    <row r="6324">
      <c r="A6324" s="8" t="n"/>
      <c r="B6324" s="9" t="n"/>
    </row>
    <row r="6325">
      <c r="A6325" s="8" t="n"/>
      <c r="B6325" s="9" t="n"/>
    </row>
    <row r="6326">
      <c r="A6326" s="8" t="n"/>
      <c r="B6326" s="9" t="n"/>
    </row>
    <row r="6327">
      <c r="A6327" s="8" t="n"/>
      <c r="B6327" s="9" t="n"/>
    </row>
    <row r="6328">
      <c r="A6328" s="8" t="n"/>
      <c r="B6328" s="9" t="n"/>
    </row>
    <row r="6329">
      <c r="A6329" s="8" t="n"/>
      <c r="B6329" s="9" t="n"/>
    </row>
    <row r="6330">
      <c r="A6330" s="8" t="n"/>
      <c r="B6330" s="9" t="n"/>
    </row>
    <row r="6331">
      <c r="A6331" s="8" t="n"/>
      <c r="B6331" s="9" t="n"/>
    </row>
    <row r="6332">
      <c r="A6332" s="8" t="n"/>
      <c r="B6332" s="9" t="n"/>
    </row>
    <row r="6333">
      <c r="A6333" s="8" t="n"/>
      <c r="B6333" s="9" t="n"/>
    </row>
    <row r="6334">
      <c r="A6334" s="8" t="n"/>
      <c r="B6334" s="9" t="n"/>
    </row>
    <row r="6335">
      <c r="A6335" s="8" t="n"/>
      <c r="B6335" s="9" t="n"/>
    </row>
    <row r="6336">
      <c r="A6336" s="8" t="n"/>
      <c r="B6336" s="9" t="n"/>
    </row>
    <row r="6337">
      <c r="A6337" s="8" t="n"/>
      <c r="B6337" s="9" t="n"/>
    </row>
    <row r="6338">
      <c r="A6338" s="8" t="n"/>
      <c r="B6338" s="9" t="n"/>
    </row>
    <row r="6339">
      <c r="A6339" s="8" t="n"/>
      <c r="B6339" s="9" t="n"/>
    </row>
    <row r="6340">
      <c r="A6340" s="8" t="n"/>
      <c r="B6340" s="9" t="n"/>
    </row>
    <row r="6341">
      <c r="A6341" s="8" t="n"/>
      <c r="B6341" s="9" t="n"/>
    </row>
    <row r="6342">
      <c r="A6342" s="8" t="n"/>
      <c r="B6342" s="9" t="n"/>
    </row>
    <row r="6343">
      <c r="A6343" s="8" t="n"/>
      <c r="B6343" s="9" t="n"/>
    </row>
    <row r="6344">
      <c r="A6344" s="8" t="n"/>
      <c r="B6344" s="9" t="n"/>
    </row>
    <row r="6345">
      <c r="A6345" s="8" t="n"/>
      <c r="B6345" s="9" t="n"/>
    </row>
    <row r="6346">
      <c r="A6346" s="8" t="n"/>
      <c r="B6346" s="9" t="n"/>
    </row>
    <row r="6347">
      <c r="A6347" s="8" t="n"/>
      <c r="B6347" s="9" t="n"/>
    </row>
    <row r="6348">
      <c r="A6348" s="8" t="n"/>
      <c r="B6348" s="9" t="n"/>
    </row>
    <row r="6349">
      <c r="A6349" s="8" t="n"/>
      <c r="B6349" s="9" t="n"/>
    </row>
    <row r="6350">
      <c r="A6350" s="8" t="n"/>
      <c r="B6350" s="9" t="n"/>
    </row>
    <row r="6351">
      <c r="A6351" s="8" t="n"/>
      <c r="B6351" s="9" t="n"/>
    </row>
    <row r="6352">
      <c r="A6352" s="8" t="n"/>
      <c r="B6352" s="9" t="n"/>
    </row>
    <row r="6353">
      <c r="A6353" s="8" t="n"/>
      <c r="B6353" s="9" t="n"/>
    </row>
    <row r="6354">
      <c r="A6354" s="8" t="n"/>
      <c r="B6354" s="9" t="n"/>
    </row>
    <row r="6355">
      <c r="A6355" s="8" t="n"/>
      <c r="B6355" s="9" t="n"/>
    </row>
    <row r="6356">
      <c r="A6356" s="8" t="n"/>
      <c r="B6356" s="9" t="n"/>
    </row>
    <row r="6357">
      <c r="A6357" s="8" t="n"/>
      <c r="B6357" s="9" t="n"/>
    </row>
    <row r="6358">
      <c r="A6358" s="8" t="n"/>
      <c r="B6358" s="9" t="n"/>
    </row>
    <row r="6359">
      <c r="A6359" s="8" t="n"/>
      <c r="B6359" s="9" t="n"/>
    </row>
    <row r="6360">
      <c r="A6360" s="8" t="n"/>
      <c r="B6360" s="9" t="n"/>
    </row>
    <row r="6361">
      <c r="A6361" s="8" t="n"/>
      <c r="B6361" s="9" t="n"/>
    </row>
    <row r="6362">
      <c r="A6362" s="8" t="n"/>
      <c r="B6362" s="9" t="n"/>
    </row>
    <row r="6363">
      <c r="A6363" s="8" t="n"/>
      <c r="B6363" s="9" t="n"/>
    </row>
    <row r="6364">
      <c r="A6364" s="8" t="n"/>
      <c r="B6364" s="9" t="n"/>
    </row>
    <row r="6365">
      <c r="A6365" s="8" t="n"/>
      <c r="B6365" s="9" t="n"/>
    </row>
    <row r="6366">
      <c r="A6366" s="8" t="n"/>
      <c r="B6366" s="9" t="n"/>
    </row>
    <row r="6367">
      <c r="A6367" s="8" t="n"/>
      <c r="B6367" s="9" t="n"/>
    </row>
    <row r="6368">
      <c r="A6368" s="8" t="n"/>
      <c r="B6368" s="9" t="n"/>
    </row>
    <row r="6369">
      <c r="A6369" s="8" t="n"/>
      <c r="B6369" s="9" t="n"/>
    </row>
    <row r="6370">
      <c r="A6370" s="8" t="n"/>
      <c r="B6370" s="9" t="n"/>
    </row>
    <row r="6371">
      <c r="A6371" s="8" t="n"/>
      <c r="B6371" s="9" t="n"/>
    </row>
    <row r="6372">
      <c r="A6372" s="8" t="n"/>
      <c r="B6372" s="9" t="n"/>
    </row>
    <row r="6373">
      <c r="A6373" s="8" t="n"/>
      <c r="B6373" s="9" t="n"/>
    </row>
    <row r="6374">
      <c r="A6374" s="8" t="n"/>
      <c r="B6374" s="9" t="n"/>
    </row>
    <row r="6375">
      <c r="A6375" s="8" t="n"/>
      <c r="B6375" s="9" t="n"/>
    </row>
    <row r="6376">
      <c r="A6376" s="8" t="n"/>
      <c r="B6376" s="9" t="n"/>
    </row>
    <row r="6377">
      <c r="A6377" s="8" t="n"/>
      <c r="B6377" s="9" t="n"/>
    </row>
    <row r="6378">
      <c r="A6378" s="8" t="n"/>
      <c r="B6378" s="9" t="n"/>
    </row>
    <row r="6379">
      <c r="A6379" s="8" t="n"/>
      <c r="B6379" s="9" t="n"/>
    </row>
    <row r="6380">
      <c r="A6380" s="8" t="n"/>
      <c r="B6380" s="9" t="n"/>
    </row>
    <row r="6381">
      <c r="A6381" s="8" t="n"/>
      <c r="B6381" s="9" t="n"/>
    </row>
    <row r="6382">
      <c r="A6382" s="8" t="n"/>
      <c r="B6382" s="9" t="n"/>
    </row>
    <row r="6383">
      <c r="A6383" s="8" t="n"/>
      <c r="B6383" s="9" t="n"/>
    </row>
    <row r="6384">
      <c r="A6384" s="8" t="n"/>
      <c r="B6384" s="9" t="n"/>
    </row>
    <row r="6385">
      <c r="A6385" s="8" t="n"/>
      <c r="B6385" s="9" t="n"/>
    </row>
    <row r="6386">
      <c r="A6386" s="8" t="n"/>
      <c r="B6386" s="9" t="n"/>
    </row>
    <row r="6387">
      <c r="A6387" s="8" t="n"/>
      <c r="B6387" s="9" t="n"/>
    </row>
    <row r="6388">
      <c r="A6388" s="8" t="n"/>
      <c r="B6388" s="9" t="n"/>
    </row>
    <row r="6389">
      <c r="A6389" s="8" t="n"/>
      <c r="B6389" s="9" t="n"/>
    </row>
    <row r="6390">
      <c r="A6390" s="8" t="n"/>
      <c r="B6390" s="9" t="n"/>
    </row>
    <row r="6391">
      <c r="A6391" s="8" t="n"/>
      <c r="B6391" s="9" t="n"/>
    </row>
    <row r="6392">
      <c r="A6392" s="8" t="n"/>
      <c r="B6392" s="9" t="n"/>
    </row>
    <row r="6393">
      <c r="A6393" s="8" t="n"/>
      <c r="B6393" s="9" t="n"/>
    </row>
    <row r="6394">
      <c r="A6394" s="8" t="n"/>
      <c r="B6394" s="9" t="n"/>
    </row>
    <row r="6395">
      <c r="A6395" s="8" t="n"/>
      <c r="B6395" s="9" t="n"/>
    </row>
    <row r="6396">
      <c r="A6396" s="8" t="n"/>
      <c r="B6396" s="9" t="n"/>
    </row>
    <row r="6397">
      <c r="A6397" s="8" t="n"/>
      <c r="B6397" s="9" t="n"/>
    </row>
    <row r="6398">
      <c r="A6398" s="8" t="n"/>
      <c r="B6398" s="9" t="n"/>
    </row>
    <row r="6399">
      <c r="A6399" s="8" t="n"/>
      <c r="B6399" s="9" t="n"/>
    </row>
    <row r="6400">
      <c r="A6400" s="8" t="n"/>
      <c r="B6400" s="9" t="n"/>
    </row>
    <row r="6401">
      <c r="A6401" s="8" t="n"/>
      <c r="B6401" s="9" t="n"/>
    </row>
    <row r="6402">
      <c r="A6402" s="8" t="n"/>
      <c r="B6402" s="9" t="n"/>
    </row>
    <row r="6403">
      <c r="A6403" s="8" t="n"/>
      <c r="B6403" s="9" t="n"/>
    </row>
    <row r="6404">
      <c r="A6404" s="8" t="n"/>
      <c r="B6404" s="9" t="n"/>
    </row>
    <row r="6405">
      <c r="A6405" s="8" t="n"/>
      <c r="B6405" s="9" t="n"/>
    </row>
    <row r="6406">
      <c r="A6406" s="8" t="n"/>
      <c r="B6406" s="9" t="n"/>
    </row>
    <row r="6407">
      <c r="A6407" s="8" t="n"/>
      <c r="B6407" s="9" t="n"/>
    </row>
    <row r="6408">
      <c r="A6408" s="8" t="n"/>
      <c r="B6408" s="9" t="n"/>
    </row>
    <row r="6409">
      <c r="A6409" s="8" t="n"/>
      <c r="B6409" s="9" t="n"/>
    </row>
    <row r="6410">
      <c r="A6410" s="8" t="n"/>
      <c r="B6410" s="9" t="n"/>
    </row>
    <row r="6411">
      <c r="A6411" s="8" t="n"/>
      <c r="B6411" s="9" t="n"/>
    </row>
    <row r="6412">
      <c r="A6412" s="8" t="n"/>
      <c r="B6412" s="9" t="n"/>
    </row>
    <row r="6413">
      <c r="A6413" s="8" t="n"/>
      <c r="B6413" s="9" t="n"/>
    </row>
    <row r="6414">
      <c r="A6414" s="8" t="n"/>
      <c r="B6414" s="9" t="n"/>
    </row>
    <row r="6415">
      <c r="A6415" s="8" t="n"/>
      <c r="B6415" s="9" t="n"/>
    </row>
    <row r="6416">
      <c r="A6416" s="8" t="n"/>
      <c r="B6416" s="9" t="n"/>
    </row>
    <row r="6417">
      <c r="A6417" s="8" t="n"/>
      <c r="B6417" s="9" t="n"/>
    </row>
    <row r="6418">
      <c r="A6418" s="8" t="n"/>
      <c r="B6418" s="9" t="n"/>
    </row>
    <row r="6419">
      <c r="A6419" s="8" t="n"/>
      <c r="B6419" s="9" t="n"/>
    </row>
    <row r="6420">
      <c r="A6420" s="8" t="n"/>
      <c r="B6420" s="9" t="n"/>
    </row>
    <row r="6421">
      <c r="A6421" s="8" t="n"/>
      <c r="B6421" s="9" t="n"/>
    </row>
    <row r="6422">
      <c r="A6422" s="8" t="n"/>
      <c r="B6422" s="9" t="n"/>
    </row>
    <row r="6423">
      <c r="A6423" s="8" t="n"/>
      <c r="B6423" s="9" t="n"/>
    </row>
    <row r="6424">
      <c r="A6424" s="8" t="n"/>
      <c r="B6424" s="9" t="n"/>
    </row>
    <row r="6425">
      <c r="A6425" s="8" t="n"/>
      <c r="B6425" s="9" t="n"/>
    </row>
    <row r="6426">
      <c r="A6426" s="8" t="n"/>
      <c r="B6426" s="9" t="n"/>
    </row>
    <row r="6427">
      <c r="A6427" s="8" t="n"/>
      <c r="B6427" s="9" t="n"/>
    </row>
    <row r="6428">
      <c r="A6428" s="8" t="n"/>
      <c r="B6428" s="9" t="n"/>
    </row>
    <row r="6429">
      <c r="A6429" s="8" t="n"/>
      <c r="B6429" s="9" t="n"/>
    </row>
    <row r="6430">
      <c r="A6430" s="8" t="n"/>
      <c r="B6430" s="9" t="n"/>
    </row>
    <row r="6431">
      <c r="A6431" s="8" t="n"/>
      <c r="B6431" s="9" t="n"/>
    </row>
    <row r="6432">
      <c r="A6432" s="8" t="n"/>
      <c r="B6432" s="9" t="n"/>
    </row>
    <row r="6433">
      <c r="A6433" s="8" t="n"/>
      <c r="B6433" s="9" t="n"/>
    </row>
    <row r="6434">
      <c r="A6434" s="8" t="n"/>
      <c r="B6434" s="9" t="n"/>
    </row>
    <row r="6435">
      <c r="A6435" s="8" t="n"/>
      <c r="B6435" s="9" t="n"/>
    </row>
    <row r="6436">
      <c r="A6436" s="8" t="n"/>
      <c r="B6436" s="9" t="n"/>
    </row>
    <row r="6437">
      <c r="A6437" s="8" t="n"/>
      <c r="B6437" s="9" t="n"/>
    </row>
    <row r="6438">
      <c r="A6438" s="8" t="n"/>
      <c r="B6438" s="9" t="n"/>
    </row>
    <row r="6439">
      <c r="A6439" s="8" t="n"/>
      <c r="B6439" s="9" t="n"/>
    </row>
    <row r="6440">
      <c r="A6440" s="8" t="n"/>
      <c r="B6440" s="9" t="n"/>
    </row>
    <row r="6441">
      <c r="A6441" s="8" t="n"/>
      <c r="B6441" s="9" t="n"/>
    </row>
    <row r="6442">
      <c r="A6442" s="8" t="n"/>
      <c r="B6442" s="9" t="n"/>
    </row>
    <row r="6443">
      <c r="A6443" s="8" t="n"/>
      <c r="B6443" s="9" t="n"/>
    </row>
    <row r="6444">
      <c r="A6444" s="8" t="n"/>
      <c r="B6444" s="9" t="n"/>
    </row>
    <row r="6445">
      <c r="A6445" s="8" t="n"/>
      <c r="B6445" s="9" t="n"/>
    </row>
    <row r="6446">
      <c r="A6446" s="8" t="n"/>
      <c r="B6446" s="9" t="n"/>
    </row>
    <row r="6447">
      <c r="A6447" s="8" t="n"/>
      <c r="B6447" s="9" t="n"/>
    </row>
    <row r="6448">
      <c r="A6448" s="8" t="n"/>
      <c r="B6448" s="9" t="n"/>
    </row>
    <row r="6449">
      <c r="A6449" s="8" t="n"/>
      <c r="B6449" s="9" t="n"/>
    </row>
    <row r="6450">
      <c r="A6450" s="8" t="n"/>
      <c r="B6450" s="9" t="n"/>
    </row>
    <row r="6451">
      <c r="A6451" s="8" t="n"/>
      <c r="B6451" s="9" t="n"/>
    </row>
    <row r="6452">
      <c r="A6452" s="8" t="n"/>
      <c r="B6452" s="9" t="n"/>
    </row>
    <row r="6453">
      <c r="A6453" s="8" t="n"/>
      <c r="B6453" s="9" t="n"/>
    </row>
    <row r="6454">
      <c r="A6454" s="8" t="n"/>
      <c r="B6454" s="9" t="n"/>
    </row>
    <row r="6455">
      <c r="A6455" s="8" t="n"/>
      <c r="B6455" s="9" t="n"/>
    </row>
    <row r="6456">
      <c r="A6456" s="8" t="n"/>
      <c r="B6456" s="9" t="n"/>
    </row>
    <row r="6457">
      <c r="A6457" s="8" t="n"/>
      <c r="B6457" s="9" t="n"/>
    </row>
    <row r="6458">
      <c r="A6458" s="8" t="n"/>
      <c r="B6458" s="9" t="n"/>
    </row>
    <row r="6459">
      <c r="A6459" s="8" t="n"/>
      <c r="B6459" s="9" t="n"/>
    </row>
    <row r="6460">
      <c r="A6460" s="8" t="n"/>
      <c r="B6460" s="9" t="n"/>
    </row>
    <row r="6461">
      <c r="A6461" s="8" t="n"/>
      <c r="B6461" s="9" t="n"/>
    </row>
    <row r="6462">
      <c r="A6462" s="8" t="n"/>
      <c r="B6462" s="9" t="n"/>
    </row>
    <row r="6463">
      <c r="A6463" s="8" t="n"/>
      <c r="B6463" s="9" t="n"/>
    </row>
    <row r="6464">
      <c r="A6464" s="8" t="n"/>
      <c r="B6464" s="9" t="n"/>
    </row>
    <row r="6465">
      <c r="A6465" s="8" t="n"/>
      <c r="B6465" s="9" t="n"/>
    </row>
    <row r="6466">
      <c r="A6466" s="8" t="n"/>
      <c r="B6466" s="9" t="n"/>
    </row>
    <row r="6467">
      <c r="A6467" s="8" t="n"/>
      <c r="B6467" s="9" t="n"/>
    </row>
    <row r="6468">
      <c r="A6468" s="8" t="n"/>
      <c r="B6468" s="9" t="n"/>
    </row>
    <row r="6469">
      <c r="A6469" s="8" t="n"/>
      <c r="B6469" s="9" t="n"/>
    </row>
    <row r="6470">
      <c r="A6470" s="8" t="n"/>
      <c r="B6470" s="9" t="n"/>
    </row>
    <row r="6471">
      <c r="A6471" s="8" t="n"/>
      <c r="B6471" s="9" t="n"/>
    </row>
    <row r="6472">
      <c r="A6472" s="8" t="n"/>
      <c r="B6472" s="9" t="n"/>
    </row>
    <row r="6473">
      <c r="A6473" s="8" t="n"/>
      <c r="B6473" s="9" t="n"/>
    </row>
    <row r="6474">
      <c r="A6474" s="8" t="n"/>
      <c r="B6474" s="9" t="n"/>
    </row>
    <row r="6475">
      <c r="A6475" s="8" t="n"/>
      <c r="B6475" s="9" t="n"/>
    </row>
    <row r="6476">
      <c r="A6476" s="8" t="n"/>
      <c r="B6476" s="9" t="n"/>
    </row>
    <row r="6477">
      <c r="A6477" s="8" t="n"/>
      <c r="B6477" s="9" t="n"/>
    </row>
    <row r="6478">
      <c r="A6478" s="8" t="n"/>
      <c r="B6478" s="9" t="n"/>
    </row>
    <row r="6479">
      <c r="A6479" s="8" t="n"/>
      <c r="B6479" s="9" t="n"/>
    </row>
    <row r="6480">
      <c r="A6480" s="8" t="n"/>
      <c r="B6480" s="9" t="n"/>
    </row>
    <row r="6481">
      <c r="A6481" s="8" t="n"/>
      <c r="B6481" s="9" t="n"/>
    </row>
    <row r="6482">
      <c r="A6482" s="8" t="n"/>
      <c r="B6482" s="9" t="n"/>
    </row>
    <row r="6483">
      <c r="A6483" s="8" t="n"/>
      <c r="B6483" s="9" t="n"/>
    </row>
    <row r="6484">
      <c r="A6484" s="8" t="n"/>
      <c r="B6484" s="9" t="n"/>
    </row>
    <row r="6485">
      <c r="A6485" s="8" t="n"/>
      <c r="B6485" s="9" t="n"/>
    </row>
    <row r="6486">
      <c r="A6486" s="8" t="n"/>
      <c r="B6486" s="9" t="n"/>
    </row>
    <row r="6487">
      <c r="A6487" s="8" t="n"/>
      <c r="B6487" s="9" t="n"/>
    </row>
    <row r="6488">
      <c r="A6488" s="8" t="n"/>
      <c r="B6488" s="9" t="n"/>
    </row>
    <row r="6489">
      <c r="A6489" s="8" t="n"/>
      <c r="B6489" s="9" t="n"/>
    </row>
    <row r="6490">
      <c r="A6490" s="8" t="n"/>
      <c r="B6490" s="9" t="n"/>
    </row>
    <row r="6491">
      <c r="A6491" s="8" t="n"/>
      <c r="B6491" s="9" t="n"/>
    </row>
    <row r="6492">
      <c r="A6492" s="8" t="n"/>
      <c r="B6492" s="9" t="n"/>
    </row>
    <row r="6493">
      <c r="A6493" s="8" t="n"/>
      <c r="B6493" s="9" t="n"/>
    </row>
    <row r="6494">
      <c r="A6494" s="8" t="n"/>
      <c r="B6494" s="9" t="n"/>
    </row>
    <row r="6495">
      <c r="A6495" s="8" t="n"/>
      <c r="B6495" s="9" t="n"/>
    </row>
    <row r="6496">
      <c r="A6496" s="8" t="n"/>
      <c r="B6496" s="9" t="n"/>
    </row>
    <row r="6497">
      <c r="A6497" s="8" t="n"/>
      <c r="B6497" s="9" t="n"/>
    </row>
    <row r="6498">
      <c r="A6498" s="8" t="n"/>
      <c r="B6498" s="9" t="n"/>
    </row>
    <row r="6499">
      <c r="A6499" s="8" t="n"/>
      <c r="B6499" s="9" t="n"/>
    </row>
    <row r="6500">
      <c r="A6500" s="8" t="n"/>
      <c r="B6500" s="9" t="n"/>
    </row>
    <row r="6501">
      <c r="A6501" s="8" t="n"/>
      <c r="B6501" s="9" t="n"/>
    </row>
    <row r="6502">
      <c r="A6502" s="8" t="n"/>
      <c r="B6502" s="9" t="n"/>
    </row>
    <row r="6503">
      <c r="A6503" s="8" t="n"/>
      <c r="B6503" s="9" t="n"/>
    </row>
    <row r="6504">
      <c r="A6504" s="8" t="n"/>
      <c r="B6504" s="9" t="n"/>
    </row>
    <row r="6505">
      <c r="A6505" s="8" t="n"/>
      <c r="B6505" s="9" t="n"/>
    </row>
    <row r="6506">
      <c r="A6506" s="8" t="n"/>
      <c r="B6506" s="9" t="n"/>
    </row>
    <row r="6507">
      <c r="A6507" s="8" t="n"/>
      <c r="B6507" s="9" t="n"/>
    </row>
    <row r="6508">
      <c r="A6508" s="8" t="n"/>
      <c r="B6508" s="9" t="n"/>
    </row>
    <row r="6509">
      <c r="A6509" s="8" t="n"/>
      <c r="B6509" s="9" t="n"/>
    </row>
    <row r="6510">
      <c r="A6510" s="8" t="n"/>
      <c r="B6510" s="9" t="n"/>
    </row>
    <row r="6511">
      <c r="A6511" s="8" t="n"/>
      <c r="B6511" s="9" t="n"/>
    </row>
    <row r="6512">
      <c r="A6512" s="8" t="n"/>
      <c r="B6512" s="9" t="n"/>
    </row>
    <row r="6513">
      <c r="A6513" s="8" t="n"/>
      <c r="B6513" s="9" t="n"/>
    </row>
    <row r="6514">
      <c r="A6514" s="8" t="n"/>
      <c r="B6514" s="9" t="n"/>
    </row>
    <row r="6515">
      <c r="A6515" s="8" t="n"/>
      <c r="B6515" s="9" t="n"/>
    </row>
    <row r="6516">
      <c r="A6516" s="8" t="n"/>
      <c r="B6516" s="9" t="n"/>
    </row>
    <row r="6517">
      <c r="A6517" s="8" t="n"/>
      <c r="B6517" s="9" t="n"/>
    </row>
    <row r="6518">
      <c r="A6518" s="8" t="n"/>
      <c r="B6518" s="9" t="n"/>
    </row>
    <row r="6519">
      <c r="A6519" s="8" t="n"/>
      <c r="B6519" s="9" t="n"/>
    </row>
    <row r="6520">
      <c r="A6520" s="8" t="n"/>
      <c r="B6520" s="9" t="n"/>
    </row>
    <row r="6521">
      <c r="A6521" s="8" t="n"/>
      <c r="B6521" s="9" t="n"/>
    </row>
    <row r="6522">
      <c r="A6522" s="8" t="n"/>
      <c r="B6522" s="9" t="n"/>
    </row>
    <row r="6523">
      <c r="A6523" s="8" t="n"/>
      <c r="B6523" s="9" t="n"/>
    </row>
    <row r="6524">
      <c r="A6524" s="8" t="n"/>
      <c r="B6524" s="9" t="n"/>
    </row>
    <row r="6525">
      <c r="A6525" s="8" t="n"/>
      <c r="B6525" s="9" t="n"/>
    </row>
    <row r="6526">
      <c r="A6526" s="8" t="n"/>
      <c r="B6526" s="9" t="n"/>
    </row>
    <row r="6527">
      <c r="A6527" s="8" t="n"/>
      <c r="B6527" s="9" t="n"/>
    </row>
    <row r="6528">
      <c r="A6528" s="8" t="n"/>
      <c r="B6528" s="9" t="n"/>
    </row>
    <row r="6529">
      <c r="A6529" s="8" t="n"/>
      <c r="B6529" s="9" t="n"/>
    </row>
    <row r="6530">
      <c r="A6530" s="8" t="n"/>
      <c r="B6530" s="9" t="n"/>
    </row>
    <row r="6531">
      <c r="A6531" s="8" t="n"/>
      <c r="B6531" s="9" t="n"/>
    </row>
    <row r="6532">
      <c r="A6532" s="8" t="n"/>
      <c r="B6532" s="9" t="n"/>
    </row>
    <row r="6533">
      <c r="A6533" s="8" t="n"/>
      <c r="B6533" s="9" t="n"/>
    </row>
    <row r="6534">
      <c r="A6534" s="8" t="n"/>
      <c r="B6534" s="9" t="n"/>
    </row>
    <row r="6535">
      <c r="A6535" s="8" t="n"/>
      <c r="B6535" s="9" t="n"/>
    </row>
    <row r="6536">
      <c r="A6536" s="8" t="n"/>
      <c r="B6536" s="9" t="n"/>
    </row>
    <row r="6537">
      <c r="A6537" s="8" t="n"/>
      <c r="B6537" s="9" t="n"/>
    </row>
    <row r="6538">
      <c r="A6538" s="8" t="n"/>
      <c r="B6538" s="9" t="n"/>
    </row>
    <row r="6539">
      <c r="A6539" s="8" t="n"/>
      <c r="B6539" s="9" t="n"/>
    </row>
    <row r="6540">
      <c r="A6540" s="8" t="n"/>
      <c r="B6540" s="9" t="n"/>
    </row>
    <row r="6541">
      <c r="A6541" s="8" t="n"/>
      <c r="B6541" s="9" t="n"/>
    </row>
    <row r="6542">
      <c r="A6542" s="8" t="n"/>
      <c r="B6542" s="9" t="n"/>
    </row>
    <row r="6543">
      <c r="A6543" s="8" t="n"/>
      <c r="B6543" s="9" t="n"/>
    </row>
    <row r="6544">
      <c r="A6544" s="8" t="n"/>
      <c r="B6544" s="9" t="n"/>
    </row>
    <row r="6545">
      <c r="A6545" s="8" t="n"/>
      <c r="B6545" s="9" t="n"/>
    </row>
    <row r="6546">
      <c r="A6546" s="8" t="n"/>
      <c r="B6546" s="9" t="n"/>
    </row>
    <row r="6547">
      <c r="A6547" s="8" t="n"/>
      <c r="B6547" s="9" t="n"/>
    </row>
    <row r="6548">
      <c r="A6548" s="8" t="n"/>
      <c r="B6548" s="9" t="n"/>
    </row>
    <row r="6549">
      <c r="A6549" s="8" t="n"/>
      <c r="B6549" s="9" t="n"/>
    </row>
    <row r="6550">
      <c r="A6550" s="8" t="n"/>
      <c r="B6550" s="9" t="n"/>
    </row>
    <row r="6551">
      <c r="A6551" s="8" t="n"/>
      <c r="B6551" s="9" t="n"/>
    </row>
    <row r="6552">
      <c r="A6552" s="8" t="n"/>
      <c r="B6552" s="9" t="n"/>
    </row>
    <row r="6553">
      <c r="A6553" s="8" t="n"/>
      <c r="B6553" s="9" t="n"/>
    </row>
    <row r="6554">
      <c r="A6554" s="8" t="n"/>
      <c r="B6554" s="9" t="n"/>
    </row>
    <row r="6555">
      <c r="A6555" s="8" t="n"/>
      <c r="B6555" s="9" t="n"/>
    </row>
    <row r="6556">
      <c r="A6556" s="8" t="n"/>
      <c r="B6556" s="9" t="n"/>
    </row>
    <row r="6557">
      <c r="A6557" s="8" t="n"/>
      <c r="B6557" s="9" t="n"/>
    </row>
    <row r="6558">
      <c r="A6558" s="8" t="n"/>
      <c r="B6558" s="9" t="n"/>
    </row>
    <row r="6559">
      <c r="A6559" s="8" t="n"/>
      <c r="B6559" s="9" t="n"/>
    </row>
    <row r="6560">
      <c r="A6560" s="8" t="n"/>
      <c r="B6560" s="9" t="n"/>
    </row>
    <row r="6561">
      <c r="A6561" s="8" t="n"/>
      <c r="B6561" s="9" t="n"/>
    </row>
    <row r="6562">
      <c r="A6562" s="8" t="n"/>
      <c r="B6562" s="9" t="n"/>
    </row>
    <row r="6563">
      <c r="A6563" s="8" t="n"/>
      <c r="B6563" s="9" t="n"/>
    </row>
    <row r="6564">
      <c r="A6564" s="8" t="n"/>
      <c r="B6564" s="9" t="n"/>
    </row>
    <row r="6565">
      <c r="A6565" s="8" t="n"/>
      <c r="B6565" s="9" t="n"/>
    </row>
    <row r="6566">
      <c r="A6566" s="8" t="n"/>
      <c r="B6566" s="9" t="n"/>
    </row>
    <row r="6567">
      <c r="A6567" s="8" t="n"/>
      <c r="B6567" s="9" t="n"/>
    </row>
    <row r="6568">
      <c r="A6568" s="8" t="n"/>
      <c r="B6568" s="9" t="n"/>
    </row>
    <row r="6569">
      <c r="A6569" s="8" t="n"/>
      <c r="B6569" s="9" t="n"/>
    </row>
    <row r="6570">
      <c r="A6570" s="8" t="n"/>
      <c r="B6570" s="9" t="n"/>
    </row>
    <row r="6571">
      <c r="A6571" s="8" t="n"/>
      <c r="B6571" s="9" t="n"/>
    </row>
    <row r="6572">
      <c r="A6572" s="8" t="n"/>
      <c r="B6572" s="9" t="n"/>
    </row>
    <row r="6573">
      <c r="A6573" s="8" t="n"/>
      <c r="B6573" s="9" t="n"/>
    </row>
    <row r="6574">
      <c r="A6574" s="8" t="n"/>
      <c r="B6574" s="9" t="n"/>
    </row>
    <row r="6575">
      <c r="A6575" s="8" t="n"/>
      <c r="B6575" s="9" t="n"/>
    </row>
    <row r="6576">
      <c r="A6576" s="8" t="n"/>
      <c r="B6576" s="9" t="n"/>
    </row>
    <row r="6577">
      <c r="A6577" s="8" t="n"/>
      <c r="B6577" s="9" t="n"/>
    </row>
    <row r="6578">
      <c r="A6578" s="8" t="n"/>
      <c r="B6578" s="9" t="n"/>
    </row>
    <row r="6579">
      <c r="A6579" s="8" t="n"/>
      <c r="B6579" s="9" t="n"/>
    </row>
    <row r="6580">
      <c r="A6580" s="8" t="n"/>
      <c r="B6580" s="9" t="n"/>
    </row>
    <row r="6581">
      <c r="A6581" s="8" t="n"/>
      <c r="B6581" s="9" t="n"/>
    </row>
    <row r="6582">
      <c r="A6582" s="8" t="n"/>
      <c r="B6582" s="9" t="n"/>
    </row>
    <row r="6583">
      <c r="A6583" s="8" t="n"/>
      <c r="B6583" s="9" t="n"/>
    </row>
    <row r="6584">
      <c r="A6584" s="8" t="n"/>
      <c r="B6584" s="9" t="n"/>
    </row>
    <row r="6585">
      <c r="A6585" s="8" t="n"/>
      <c r="B6585" s="9" t="n"/>
    </row>
    <row r="6586">
      <c r="A6586" s="8" t="n"/>
      <c r="B6586" s="9" t="n"/>
    </row>
    <row r="6587">
      <c r="A6587" s="8" t="n"/>
      <c r="B6587" s="9" t="n"/>
    </row>
    <row r="6588">
      <c r="A6588" s="8" t="n"/>
      <c r="B6588" s="9" t="n"/>
    </row>
    <row r="6589">
      <c r="A6589" s="8" t="n"/>
      <c r="B6589" s="9" t="n"/>
    </row>
    <row r="6590">
      <c r="A6590" s="8" t="n"/>
      <c r="B6590" s="9" t="n"/>
    </row>
    <row r="6591">
      <c r="A6591" s="8" t="n"/>
      <c r="B6591" s="9" t="n"/>
    </row>
    <row r="6592">
      <c r="A6592" s="8" t="n"/>
      <c r="B6592" s="9" t="n"/>
    </row>
    <row r="6593">
      <c r="A6593" s="8" t="n"/>
      <c r="B6593" s="9" t="n"/>
    </row>
    <row r="6594">
      <c r="A6594" s="8" t="n"/>
      <c r="B6594" s="9" t="n"/>
    </row>
    <row r="6595">
      <c r="A6595" s="8" t="n"/>
      <c r="B6595" s="9" t="n"/>
    </row>
    <row r="6596">
      <c r="A6596" s="8" t="n"/>
      <c r="B6596" s="9" t="n"/>
    </row>
    <row r="6597">
      <c r="A6597" s="8" t="n"/>
      <c r="B6597" s="9" t="n"/>
    </row>
    <row r="6598">
      <c r="A6598" s="8" t="n"/>
      <c r="B6598" s="9" t="n"/>
    </row>
    <row r="6599">
      <c r="A6599" s="8" t="n"/>
      <c r="B6599" s="9" t="n"/>
    </row>
    <row r="6600">
      <c r="A6600" s="8" t="n"/>
      <c r="B6600" s="9" t="n"/>
    </row>
    <row r="6601">
      <c r="A6601" s="8" t="n"/>
      <c r="B6601" s="9" t="n"/>
    </row>
    <row r="6602">
      <c r="A6602" s="8" t="n"/>
      <c r="B6602" s="9" t="n"/>
    </row>
    <row r="6603">
      <c r="A6603" s="8" t="n"/>
      <c r="B6603" s="9" t="n"/>
    </row>
    <row r="6604">
      <c r="A6604" s="8" t="n"/>
      <c r="B6604" s="9" t="n"/>
    </row>
    <row r="6605">
      <c r="A6605" s="8" t="n"/>
      <c r="B6605" s="9" t="n"/>
    </row>
    <row r="6606">
      <c r="A6606" s="8" t="n"/>
      <c r="B6606" s="9" t="n"/>
    </row>
    <row r="6607">
      <c r="A6607" s="8" t="n"/>
      <c r="B6607" s="9" t="n"/>
    </row>
    <row r="6608">
      <c r="A6608" s="8" t="n"/>
      <c r="B6608" s="9" t="n"/>
    </row>
    <row r="6609">
      <c r="A6609" s="8" t="n"/>
      <c r="B6609" s="9" t="n"/>
    </row>
    <row r="6610">
      <c r="A6610" s="8" t="n"/>
      <c r="B6610" s="9" t="n"/>
    </row>
    <row r="6611">
      <c r="A6611" s="8" t="n"/>
      <c r="B6611" s="9" t="n"/>
    </row>
    <row r="6612">
      <c r="A6612" s="8" t="n"/>
      <c r="B6612" s="9" t="n"/>
    </row>
    <row r="6613">
      <c r="A6613" s="8" t="n"/>
      <c r="B6613" s="9" t="n"/>
    </row>
    <row r="6614">
      <c r="A6614" s="8" t="n"/>
      <c r="B6614" s="9" t="n"/>
    </row>
    <row r="6615">
      <c r="A6615" s="8" t="n"/>
      <c r="B6615" s="9" t="n"/>
    </row>
    <row r="6616">
      <c r="A6616" s="8" t="n"/>
      <c r="B6616" s="9" t="n"/>
    </row>
    <row r="6617">
      <c r="A6617" s="8" t="n"/>
      <c r="B6617" s="9" t="n"/>
    </row>
    <row r="6618">
      <c r="A6618" s="8" t="n"/>
      <c r="B6618" s="9" t="n"/>
    </row>
    <row r="6619">
      <c r="A6619" s="8" t="n"/>
      <c r="B6619" s="9" t="n"/>
    </row>
    <row r="6620">
      <c r="A6620" s="8" t="n"/>
      <c r="B6620" s="9" t="n"/>
    </row>
    <row r="6621">
      <c r="A6621" s="8" t="n"/>
      <c r="B6621" s="9" t="n"/>
    </row>
    <row r="6622">
      <c r="A6622" s="8" t="n"/>
      <c r="B6622" s="9" t="n"/>
    </row>
    <row r="6623">
      <c r="A6623" s="8" t="n"/>
      <c r="B6623" s="9" t="n"/>
    </row>
    <row r="6624">
      <c r="A6624" s="8" t="n"/>
      <c r="B6624" s="9" t="n"/>
    </row>
    <row r="6625">
      <c r="A6625" s="8" t="n"/>
      <c r="B6625" s="9" t="n"/>
    </row>
    <row r="6626">
      <c r="A6626" s="8" t="n"/>
      <c r="B6626" s="9" t="n"/>
    </row>
    <row r="6627">
      <c r="A6627" s="8" t="n"/>
      <c r="B6627" s="9" t="n"/>
    </row>
    <row r="6628">
      <c r="A6628" s="8" t="n"/>
      <c r="B6628" s="9" t="n"/>
    </row>
    <row r="6629">
      <c r="A6629" s="8" t="n"/>
      <c r="B6629" s="9" t="n"/>
    </row>
    <row r="6630">
      <c r="A6630" s="8" t="n"/>
      <c r="B6630" s="9" t="n"/>
    </row>
    <row r="6631">
      <c r="A6631" s="8" t="n"/>
      <c r="B6631" s="9" t="n"/>
    </row>
    <row r="6632">
      <c r="A6632" s="8" t="n"/>
      <c r="B6632" s="9" t="n"/>
    </row>
    <row r="6633">
      <c r="A6633" s="8" t="n"/>
      <c r="B6633" s="9" t="n"/>
    </row>
    <row r="6634">
      <c r="A6634" s="8" t="n"/>
      <c r="B6634" s="9" t="n"/>
    </row>
    <row r="6635">
      <c r="A6635" s="8" t="n"/>
      <c r="B6635" s="9" t="n"/>
    </row>
    <row r="6636">
      <c r="A6636" s="8" t="n"/>
      <c r="B6636" s="9" t="n"/>
    </row>
    <row r="6637">
      <c r="A6637" s="8" t="n"/>
      <c r="B6637" s="9" t="n"/>
    </row>
    <row r="6638">
      <c r="A6638" s="8" t="n"/>
      <c r="B6638" s="9" t="n"/>
    </row>
    <row r="6639">
      <c r="A6639" s="8" t="n"/>
      <c r="B6639" s="9" t="n"/>
    </row>
    <row r="6640">
      <c r="A6640" s="8" t="n"/>
      <c r="B6640" s="9" t="n"/>
    </row>
    <row r="6641">
      <c r="A6641" s="8" t="n"/>
      <c r="B6641" s="9" t="n"/>
    </row>
    <row r="6642">
      <c r="A6642" s="8" t="n"/>
      <c r="B6642" s="9" t="n"/>
    </row>
    <row r="6643">
      <c r="A6643" s="8" t="n"/>
      <c r="B6643" s="9" t="n"/>
    </row>
    <row r="6644">
      <c r="A6644" s="8" t="n"/>
      <c r="B6644" s="9" t="n"/>
    </row>
    <row r="6645">
      <c r="A6645" s="8" t="n"/>
      <c r="B6645" s="9" t="n"/>
    </row>
    <row r="6646">
      <c r="A6646" s="8" t="n"/>
      <c r="B6646" s="9" t="n"/>
    </row>
    <row r="6647">
      <c r="A6647" s="8" t="n"/>
      <c r="B6647" s="9" t="n"/>
    </row>
    <row r="6648">
      <c r="A6648" s="8" t="n"/>
      <c r="B6648" s="9" t="n"/>
    </row>
    <row r="6649">
      <c r="A6649" s="8" t="n"/>
      <c r="B6649" s="9" t="n"/>
    </row>
    <row r="6650">
      <c r="A6650" s="8" t="n"/>
      <c r="B6650" s="9" t="n"/>
    </row>
    <row r="6651">
      <c r="A6651" s="8" t="n"/>
      <c r="B6651" s="9" t="n"/>
    </row>
    <row r="6652">
      <c r="A6652" s="8" t="n"/>
      <c r="B6652" s="9" t="n"/>
    </row>
    <row r="6653">
      <c r="A6653" s="8" t="n"/>
      <c r="B6653" s="9" t="n"/>
    </row>
    <row r="6654">
      <c r="A6654" s="8" t="n"/>
      <c r="B6654" s="9" t="n"/>
    </row>
    <row r="6655">
      <c r="A6655" s="8" t="n"/>
      <c r="B6655" s="9" t="n"/>
    </row>
    <row r="6656">
      <c r="A6656" s="8" t="n"/>
      <c r="B6656" s="9" t="n"/>
    </row>
    <row r="6657">
      <c r="A6657" s="8" t="n"/>
      <c r="B6657" s="9" t="n"/>
    </row>
    <row r="6658">
      <c r="A6658" s="8" t="n"/>
      <c r="B6658" s="9" t="n"/>
    </row>
    <row r="6659">
      <c r="A6659" s="8" t="n"/>
      <c r="B6659" s="9" t="n"/>
    </row>
    <row r="6660">
      <c r="A6660" s="8" t="n"/>
      <c r="B6660" s="9" t="n"/>
    </row>
    <row r="6661">
      <c r="A6661" s="8" t="n"/>
      <c r="B6661" s="9" t="n"/>
    </row>
    <row r="6662">
      <c r="A6662" s="8" t="n"/>
      <c r="B6662" s="9" t="n"/>
    </row>
    <row r="6663">
      <c r="A6663" s="8" t="n"/>
      <c r="B6663" s="9" t="n"/>
    </row>
    <row r="6664">
      <c r="A6664" s="8" t="n"/>
      <c r="B6664" s="9" t="n"/>
    </row>
    <row r="6665">
      <c r="A6665" s="8" t="n"/>
      <c r="B6665" s="9" t="n"/>
    </row>
    <row r="6666">
      <c r="A6666" s="8" t="n"/>
      <c r="B6666" s="9" t="n"/>
    </row>
    <row r="6667">
      <c r="A6667" s="8" t="n"/>
      <c r="B6667" s="9" t="n"/>
    </row>
    <row r="6668">
      <c r="A6668" s="8" t="n"/>
      <c r="B6668" s="9" t="n"/>
    </row>
    <row r="6669">
      <c r="A6669" s="8" t="n"/>
      <c r="B6669" s="9" t="n"/>
    </row>
    <row r="6670">
      <c r="A6670" s="8" t="n"/>
      <c r="B6670" s="9" t="n"/>
    </row>
    <row r="6671">
      <c r="A6671" s="8" t="n"/>
      <c r="B6671" s="9" t="n"/>
    </row>
    <row r="6672">
      <c r="A6672" s="8" t="n"/>
      <c r="B6672" s="9" t="n"/>
    </row>
    <row r="6673">
      <c r="A6673" s="8" t="n"/>
      <c r="B6673" s="9" t="n"/>
    </row>
    <row r="6674">
      <c r="A6674" s="8" t="n"/>
      <c r="B6674" s="9" t="n"/>
    </row>
    <row r="6675">
      <c r="A6675" s="8" t="n"/>
      <c r="B6675" s="9" t="n"/>
    </row>
    <row r="6676">
      <c r="A6676" s="8" t="n"/>
      <c r="B6676" s="9" t="n"/>
    </row>
    <row r="6677">
      <c r="A6677" s="8" t="n"/>
      <c r="B6677" s="9" t="n"/>
    </row>
    <row r="6678">
      <c r="A6678" s="8" t="n"/>
      <c r="B6678" s="9" t="n"/>
    </row>
    <row r="6679">
      <c r="A6679" s="8" t="n"/>
      <c r="B6679" s="9" t="n"/>
    </row>
    <row r="6680">
      <c r="A6680" s="8" t="n"/>
      <c r="B6680" s="9" t="n"/>
    </row>
    <row r="6681">
      <c r="A6681" s="8" t="n"/>
      <c r="B6681" s="9" t="n"/>
    </row>
    <row r="6682">
      <c r="A6682" s="8" t="n"/>
      <c r="B6682" s="9" t="n"/>
    </row>
    <row r="6683">
      <c r="A6683" s="8" t="n"/>
      <c r="B6683" s="9" t="n"/>
    </row>
    <row r="6684">
      <c r="A6684" s="8" t="n"/>
      <c r="B6684" s="9" t="n"/>
    </row>
    <row r="6685">
      <c r="A6685" s="8" t="n"/>
      <c r="B6685" s="9" t="n"/>
    </row>
    <row r="6686">
      <c r="A6686" s="8" t="n"/>
      <c r="B6686" s="9" t="n"/>
    </row>
    <row r="6687">
      <c r="A6687" s="8" t="n"/>
      <c r="B6687" s="9" t="n"/>
    </row>
    <row r="6688">
      <c r="A6688" s="8" t="n"/>
      <c r="B6688" s="9" t="n"/>
    </row>
    <row r="6689">
      <c r="A6689" s="8" t="n"/>
      <c r="B6689" s="9" t="n"/>
    </row>
    <row r="6690">
      <c r="A6690" s="8" t="n"/>
      <c r="B6690" s="9" t="n"/>
    </row>
    <row r="6691">
      <c r="A6691" s="8" t="n"/>
      <c r="B6691" s="9" t="n"/>
    </row>
    <row r="6692">
      <c r="A6692" s="8" t="n"/>
      <c r="B6692" s="9" t="n"/>
    </row>
    <row r="6693">
      <c r="A6693" s="8" t="n"/>
      <c r="B6693" s="9" t="n"/>
    </row>
    <row r="6694">
      <c r="A6694" s="8" t="n"/>
      <c r="B6694" s="9" t="n"/>
    </row>
    <row r="6695">
      <c r="A6695" s="8" t="n"/>
      <c r="B6695" s="9" t="n"/>
    </row>
    <row r="6696">
      <c r="A6696" s="8" t="n"/>
      <c r="B6696" s="9" t="n"/>
    </row>
    <row r="6697">
      <c r="A6697" s="8" t="n"/>
      <c r="B6697" s="9" t="n"/>
    </row>
    <row r="6698">
      <c r="A6698" s="8" t="n"/>
      <c r="B6698" s="9" t="n"/>
    </row>
    <row r="6699">
      <c r="A6699" s="8" t="n"/>
      <c r="B6699" s="9" t="n"/>
    </row>
    <row r="6700">
      <c r="A6700" s="8" t="n"/>
      <c r="B6700" s="9" t="n"/>
    </row>
    <row r="6701">
      <c r="A6701" s="8" t="n"/>
      <c r="B6701" s="9" t="n"/>
    </row>
    <row r="6702">
      <c r="A6702" s="8" t="n"/>
      <c r="B6702" s="9" t="n"/>
    </row>
    <row r="6703">
      <c r="A6703" s="8" t="n"/>
      <c r="B6703" s="9" t="n"/>
    </row>
    <row r="6704">
      <c r="A6704" s="8" t="n"/>
      <c r="B6704" s="9" t="n"/>
    </row>
    <row r="6705">
      <c r="A6705" s="8" t="n"/>
      <c r="B6705" s="9" t="n"/>
    </row>
    <row r="6706">
      <c r="A6706" s="8" t="n"/>
      <c r="B6706" s="9" t="n"/>
    </row>
    <row r="6707">
      <c r="A6707" s="8" t="n"/>
      <c r="B6707" s="9" t="n"/>
    </row>
    <row r="6708">
      <c r="A6708" s="8" t="n"/>
      <c r="B6708" s="9" t="n"/>
    </row>
    <row r="6709">
      <c r="A6709" s="8" t="n"/>
      <c r="B6709" s="9" t="n"/>
    </row>
    <row r="6710">
      <c r="A6710" s="8" t="n"/>
      <c r="B6710" s="9" t="n"/>
    </row>
    <row r="6711">
      <c r="A6711" s="8" t="n"/>
      <c r="B6711" s="9" t="n"/>
    </row>
    <row r="6712">
      <c r="A6712" s="8" t="n"/>
      <c r="B6712" s="9" t="n"/>
    </row>
    <row r="6713">
      <c r="A6713" s="8" t="n"/>
      <c r="B6713" s="9" t="n"/>
    </row>
    <row r="6714">
      <c r="A6714" s="8" t="n"/>
      <c r="B6714" s="9" t="n"/>
    </row>
    <row r="6715">
      <c r="A6715" s="8" t="n"/>
      <c r="B6715" s="9" t="n"/>
    </row>
    <row r="6716">
      <c r="A6716" s="8" t="n"/>
      <c r="B6716" s="9" t="n"/>
    </row>
    <row r="6717">
      <c r="A6717" s="8" t="n"/>
      <c r="B6717" s="9" t="n"/>
    </row>
    <row r="6718">
      <c r="A6718" s="8" t="n"/>
      <c r="B6718" s="9" t="n"/>
    </row>
    <row r="6719">
      <c r="A6719" s="8" t="n"/>
      <c r="B6719" s="9" t="n"/>
    </row>
    <row r="6720">
      <c r="A6720" s="8" t="n"/>
      <c r="B6720" s="9" t="n"/>
    </row>
    <row r="6721">
      <c r="A6721" s="8" t="n"/>
      <c r="B6721" s="9" t="n"/>
    </row>
    <row r="6722">
      <c r="A6722" s="8" t="n"/>
      <c r="B6722" s="9" t="n"/>
    </row>
    <row r="6723">
      <c r="A6723" s="8" t="n"/>
      <c r="B6723" s="9" t="n"/>
    </row>
    <row r="6724">
      <c r="A6724" s="8" t="n"/>
      <c r="B6724" s="9" t="n"/>
    </row>
    <row r="6725">
      <c r="A6725" s="8" t="n"/>
      <c r="B6725" s="9" t="n"/>
    </row>
    <row r="6726">
      <c r="A6726" s="8" t="n"/>
      <c r="B6726" s="9" t="n"/>
    </row>
    <row r="6727">
      <c r="A6727" s="8" t="n"/>
      <c r="B6727" s="9" t="n"/>
    </row>
    <row r="6728">
      <c r="A6728" s="8" t="n"/>
      <c r="B6728" s="9" t="n"/>
    </row>
    <row r="6729">
      <c r="A6729" s="8" t="n"/>
      <c r="B6729" s="9" t="n"/>
    </row>
    <row r="6730">
      <c r="A6730" s="8" t="n"/>
      <c r="B6730" s="9" t="n"/>
    </row>
    <row r="6731">
      <c r="A6731" s="8" t="n"/>
      <c r="B6731" s="9" t="n"/>
    </row>
    <row r="6732">
      <c r="A6732" s="8" t="n"/>
      <c r="B6732" s="9" t="n"/>
    </row>
    <row r="6733">
      <c r="A6733" s="8" t="n"/>
      <c r="B6733" s="9" t="n"/>
    </row>
    <row r="6734">
      <c r="A6734" s="8" t="n"/>
      <c r="B6734" s="9" t="n"/>
    </row>
    <row r="6735">
      <c r="A6735" s="8" t="n"/>
      <c r="B6735" s="9" t="n"/>
    </row>
    <row r="6736">
      <c r="A6736" s="8" t="n"/>
      <c r="B6736" s="9" t="n"/>
    </row>
    <row r="6737">
      <c r="A6737" s="8" t="n"/>
      <c r="B6737" s="9" t="n"/>
    </row>
    <row r="6738">
      <c r="A6738" s="8" t="n"/>
      <c r="B6738" s="9" t="n"/>
    </row>
    <row r="6739">
      <c r="A6739" s="8" t="n"/>
      <c r="B6739" s="9" t="n"/>
    </row>
    <row r="6740">
      <c r="A6740" s="8" t="n"/>
      <c r="B6740" s="9" t="n"/>
    </row>
    <row r="6741">
      <c r="A6741" s="8" t="n"/>
      <c r="B6741" s="9" t="n"/>
    </row>
    <row r="6742">
      <c r="A6742" s="8" t="n"/>
      <c r="B6742" s="9" t="n"/>
    </row>
    <row r="6743">
      <c r="A6743" s="8" t="n"/>
      <c r="B6743" s="9" t="n"/>
    </row>
    <row r="6744">
      <c r="A6744" s="8" t="n"/>
      <c r="B6744" s="9" t="n"/>
    </row>
    <row r="6745">
      <c r="A6745" s="8" t="n"/>
      <c r="B6745" s="9" t="n"/>
    </row>
    <row r="6746">
      <c r="A6746" s="8" t="n"/>
      <c r="B6746" s="9" t="n"/>
    </row>
    <row r="6747">
      <c r="A6747" s="8" t="n"/>
      <c r="B6747" s="9" t="n"/>
    </row>
    <row r="6748">
      <c r="A6748" s="8" t="n"/>
      <c r="B6748" s="9" t="n"/>
    </row>
    <row r="6749">
      <c r="A6749" s="8" t="n"/>
      <c r="B6749" s="9" t="n"/>
    </row>
    <row r="6750">
      <c r="A6750" s="8" t="n"/>
      <c r="B6750" s="9" t="n"/>
    </row>
    <row r="6751">
      <c r="A6751" s="8" t="n"/>
      <c r="B6751" s="9" t="n"/>
    </row>
    <row r="6752">
      <c r="A6752" s="8" t="n"/>
      <c r="B6752" s="9" t="n"/>
    </row>
    <row r="6753">
      <c r="A6753" s="8" t="n"/>
      <c r="B6753" s="9" t="n"/>
    </row>
    <row r="6754">
      <c r="A6754" s="8" t="n"/>
      <c r="B6754" s="9" t="n"/>
    </row>
    <row r="6755">
      <c r="A6755" s="8" t="n"/>
      <c r="B6755" s="9" t="n"/>
    </row>
    <row r="6756">
      <c r="A6756" s="8" t="n"/>
      <c r="B6756" s="9" t="n"/>
    </row>
    <row r="6757">
      <c r="A6757" s="8" t="n"/>
      <c r="B6757" s="9" t="n"/>
    </row>
    <row r="6758">
      <c r="A6758" s="8" t="n"/>
      <c r="B6758" s="9" t="n"/>
    </row>
    <row r="6759">
      <c r="A6759" s="8" t="n"/>
      <c r="B6759" s="9" t="n"/>
    </row>
    <row r="6760">
      <c r="A6760" s="8" t="n"/>
      <c r="B6760" s="9" t="n"/>
    </row>
    <row r="6761">
      <c r="A6761" s="8" t="n"/>
      <c r="B6761" s="9" t="n"/>
    </row>
    <row r="6762">
      <c r="A6762" s="8" t="n"/>
      <c r="B6762" s="9" t="n"/>
    </row>
    <row r="6763">
      <c r="A6763" s="8" t="n"/>
      <c r="B6763" s="9" t="n"/>
    </row>
    <row r="6764">
      <c r="A6764" s="8" t="n"/>
      <c r="B6764" s="9" t="n"/>
    </row>
    <row r="6765">
      <c r="A6765" s="8" t="n"/>
      <c r="B6765" s="9" t="n"/>
    </row>
    <row r="6766">
      <c r="A6766" s="8" t="n"/>
      <c r="B6766" s="9" t="n"/>
    </row>
    <row r="6767">
      <c r="A6767" s="8" t="n"/>
      <c r="B6767" s="9" t="n"/>
    </row>
    <row r="6768">
      <c r="A6768" s="8" t="n"/>
      <c r="B6768" s="9" t="n"/>
    </row>
    <row r="6769">
      <c r="A6769" s="8" t="n"/>
      <c r="B6769" s="9" t="n"/>
    </row>
    <row r="6770">
      <c r="A6770" s="8" t="n"/>
      <c r="B6770" s="9" t="n"/>
    </row>
    <row r="6771">
      <c r="A6771" s="8" t="n"/>
      <c r="B6771" s="9" t="n"/>
    </row>
    <row r="6772">
      <c r="A6772" s="8" t="n"/>
      <c r="B6772" s="9" t="n"/>
    </row>
    <row r="6773">
      <c r="A6773" s="8" t="n"/>
      <c r="B6773" s="9" t="n"/>
    </row>
    <row r="6774">
      <c r="A6774" s="8" t="n"/>
      <c r="B6774" s="9" t="n"/>
    </row>
    <row r="6775">
      <c r="A6775" s="8" t="n"/>
      <c r="B6775" s="9" t="n"/>
    </row>
    <row r="6776">
      <c r="A6776" s="8" t="n"/>
      <c r="B6776" s="9" t="n"/>
    </row>
    <row r="6777">
      <c r="A6777" s="8" t="n"/>
      <c r="B6777" s="9" t="n"/>
    </row>
    <row r="6778">
      <c r="A6778" s="8" t="n"/>
      <c r="B6778" s="9" t="n"/>
    </row>
    <row r="6779">
      <c r="A6779" s="8" t="n"/>
      <c r="B6779" s="9" t="n"/>
    </row>
    <row r="6780">
      <c r="A6780" s="8" t="n"/>
      <c r="B6780" s="9" t="n"/>
    </row>
    <row r="6781">
      <c r="A6781" s="8" t="n"/>
      <c r="B6781" s="9" t="n"/>
    </row>
    <row r="6782">
      <c r="A6782" s="8" t="n"/>
      <c r="B6782" s="9" t="n"/>
    </row>
    <row r="6783">
      <c r="A6783" s="8" t="n"/>
      <c r="B6783" s="9" t="n"/>
    </row>
    <row r="6784">
      <c r="A6784" s="8" t="n"/>
      <c r="B6784" s="9" t="n"/>
    </row>
    <row r="6785">
      <c r="A6785" s="8" t="n"/>
      <c r="B6785" s="9" t="n"/>
    </row>
    <row r="6786">
      <c r="A6786" s="8" t="n"/>
      <c r="B6786" s="9" t="n"/>
    </row>
    <row r="6787">
      <c r="A6787" s="8" t="n"/>
      <c r="B6787" s="9" t="n"/>
    </row>
    <row r="6788">
      <c r="A6788" s="8" t="n"/>
      <c r="B6788" s="9" t="n"/>
    </row>
    <row r="6789">
      <c r="A6789" s="8" t="n"/>
      <c r="B6789" s="9" t="n"/>
    </row>
    <row r="6790">
      <c r="A6790" s="8" t="n"/>
      <c r="B6790" s="9" t="n"/>
    </row>
    <row r="6791">
      <c r="A6791" s="8" t="n"/>
      <c r="B6791" s="9" t="n"/>
    </row>
    <row r="6792">
      <c r="A6792" s="8" t="n"/>
      <c r="B6792" s="9" t="n"/>
    </row>
    <row r="6793">
      <c r="A6793" s="8" t="n"/>
      <c r="B6793" s="9" t="n"/>
    </row>
    <row r="6794">
      <c r="A6794" s="8" t="n"/>
      <c r="B6794" s="9" t="n"/>
    </row>
    <row r="6795">
      <c r="A6795" s="8" t="n"/>
      <c r="B6795" s="9" t="n"/>
    </row>
    <row r="6796">
      <c r="A6796" s="8" t="n"/>
      <c r="B6796" s="9" t="n"/>
    </row>
    <row r="6797">
      <c r="A6797" s="8" t="n"/>
      <c r="B6797" s="9" t="n"/>
    </row>
    <row r="6798">
      <c r="A6798" s="8" t="n"/>
      <c r="B6798" s="9" t="n"/>
    </row>
    <row r="6799">
      <c r="A6799" s="8" t="n"/>
      <c r="B6799" s="9" t="n"/>
    </row>
    <row r="6800">
      <c r="A6800" s="8" t="n"/>
      <c r="B6800" s="9" t="n"/>
    </row>
    <row r="6801">
      <c r="A6801" s="8" t="n"/>
      <c r="B6801" s="9" t="n"/>
    </row>
    <row r="6802">
      <c r="A6802" s="8" t="n"/>
      <c r="B6802" s="9" t="n"/>
    </row>
    <row r="6803">
      <c r="A6803" s="8" t="n"/>
      <c r="B6803" s="9" t="n"/>
    </row>
    <row r="6804">
      <c r="A6804" s="8" t="n"/>
      <c r="B6804" s="9" t="n"/>
    </row>
    <row r="6805">
      <c r="A6805" s="8" t="n"/>
      <c r="B6805" s="9" t="n"/>
    </row>
    <row r="6806">
      <c r="A6806" s="8" t="n"/>
      <c r="B6806" s="9" t="n"/>
    </row>
    <row r="6807">
      <c r="A6807" s="8" t="n"/>
      <c r="B6807" s="9" t="n"/>
    </row>
    <row r="6808">
      <c r="A6808" s="8" t="n"/>
      <c r="B6808" s="9" t="n"/>
    </row>
    <row r="6809">
      <c r="A6809" s="8" t="n"/>
      <c r="B6809" s="9" t="n"/>
    </row>
    <row r="6810">
      <c r="A6810" s="8" t="n"/>
      <c r="B6810" s="9" t="n"/>
    </row>
    <row r="6811">
      <c r="A6811" s="8" t="n"/>
      <c r="B6811" s="9" t="n"/>
    </row>
    <row r="6812">
      <c r="A6812" s="8" t="n"/>
      <c r="B6812" s="9" t="n"/>
    </row>
    <row r="6813">
      <c r="A6813" s="8" t="n"/>
      <c r="B6813" s="9" t="n"/>
    </row>
    <row r="6814">
      <c r="A6814" s="8" t="n"/>
      <c r="B6814" s="9" t="n"/>
    </row>
    <row r="6815">
      <c r="A6815" s="8" t="n"/>
      <c r="B6815" s="9" t="n"/>
    </row>
    <row r="6816">
      <c r="A6816" s="8" t="n"/>
      <c r="B6816" s="9" t="n"/>
    </row>
    <row r="6817">
      <c r="A6817" s="8" t="n"/>
      <c r="B6817" s="9" t="n"/>
    </row>
    <row r="6818">
      <c r="A6818" s="8" t="n"/>
      <c r="B6818" s="9" t="n"/>
    </row>
    <row r="6819">
      <c r="A6819" s="8" t="n"/>
      <c r="B6819" s="9" t="n"/>
    </row>
    <row r="6820">
      <c r="A6820" s="8" t="n"/>
      <c r="B6820" s="9" t="n"/>
    </row>
    <row r="6821">
      <c r="A6821" s="8" t="n"/>
      <c r="B6821" s="9" t="n"/>
    </row>
    <row r="6822">
      <c r="A6822" s="8" t="n"/>
      <c r="B6822" s="9" t="n"/>
    </row>
    <row r="6823">
      <c r="A6823" s="8" t="n"/>
      <c r="B6823" s="9" t="n"/>
    </row>
    <row r="6824">
      <c r="A6824" s="8" t="n"/>
      <c r="B6824" s="9" t="n"/>
    </row>
    <row r="6825">
      <c r="A6825" s="8" t="n"/>
      <c r="B6825" s="9" t="n"/>
    </row>
    <row r="6826">
      <c r="A6826" s="8" t="n"/>
      <c r="B6826" s="9" t="n"/>
    </row>
    <row r="6827">
      <c r="A6827" s="8" t="n"/>
      <c r="B6827" s="9" t="n"/>
    </row>
    <row r="6828">
      <c r="A6828" s="8" t="n"/>
      <c r="B6828" s="9" t="n"/>
    </row>
    <row r="6829">
      <c r="A6829" s="8" t="n"/>
      <c r="B6829" s="9" t="n"/>
    </row>
    <row r="6830">
      <c r="A6830" s="8" t="n"/>
      <c r="B6830" s="9" t="n"/>
    </row>
    <row r="6831">
      <c r="A6831" s="8" t="n"/>
      <c r="B6831" s="9" t="n"/>
    </row>
    <row r="6832">
      <c r="A6832" s="8" t="n"/>
      <c r="B6832" s="9" t="n"/>
    </row>
    <row r="6833">
      <c r="A6833" s="8" t="n"/>
      <c r="B6833" s="9" t="n"/>
    </row>
    <row r="6834">
      <c r="A6834" s="8" t="n"/>
      <c r="B6834" s="9" t="n"/>
    </row>
    <row r="6835">
      <c r="A6835" s="8" t="n"/>
      <c r="B6835" s="9" t="n"/>
    </row>
    <row r="6836">
      <c r="A6836" s="8" t="n"/>
      <c r="B6836" s="9" t="n"/>
    </row>
    <row r="6837">
      <c r="A6837" s="8" t="n"/>
      <c r="B6837" s="9" t="n"/>
    </row>
    <row r="6838">
      <c r="A6838" s="8" t="n"/>
      <c r="B6838" s="9" t="n"/>
    </row>
    <row r="6839">
      <c r="A6839" s="8" t="n"/>
      <c r="B6839" s="9" t="n"/>
    </row>
    <row r="6840">
      <c r="A6840" s="8" t="n"/>
      <c r="B6840" s="9" t="n"/>
    </row>
    <row r="6841">
      <c r="A6841" s="8" t="n"/>
      <c r="B6841" s="9" t="n"/>
    </row>
    <row r="6842">
      <c r="A6842" s="8" t="n"/>
      <c r="B6842" s="9" t="n"/>
    </row>
    <row r="6843">
      <c r="A6843" s="8" t="n"/>
      <c r="B6843" s="9" t="n"/>
    </row>
    <row r="6844">
      <c r="A6844" s="8" t="n"/>
      <c r="B6844" s="9" t="n"/>
    </row>
    <row r="6845">
      <c r="A6845" s="8" t="n"/>
      <c r="B6845" s="9" t="n"/>
    </row>
    <row r="6846">
      <c r="A6846" s="8" t="n"/>
      <c r="B6846" s="9" t="n"/>
    </row>
    <row r="6847">
      <c r="A6847" s="8" t="n"/>
      <c r="B6847" s="9" t="n"/>
    </row>
    <row r="6848">
      <c r="A6848" s="8" t="n"/>
      <c r="B6848" s="9" t="n"/>
    </row>
    <row r="6849">
      <c r="A6849" s="8" t="n"/>
      <c r="B6849" s="9" t="n"/>
    </row>
    <row r="6850">
      <c r="A6850" s="8" t="n"/>
      <c r="B6850" s="9" t="n"/>
    </row>
    <row r="6851">
      <c r="A6851" s="8" t="n"/>
      <c r="B6851" s="9" t="n"/>
    </row>
    <row r="6852">
      <c r="A6852" s="8" t="n"/>
      <c r="B6852" s="9" t="n"/>
    </row>
    <row r="6853">
      <c r="A6853" s="8" t="n"/>
      <c r="B6853" s="9" t="n"/>
    </row>
    <row r="6854">
      <c r="A6854" s="8" t="n"/>
      <c r="B6854" s="9" t="n"/>
    </row>
    <row r="6855">
      <c r="A6855" s="8" t="n"/>
      <c r="B6855" s="9" t="n"/>
    </row>
    <row r="6856">
      <c r="A6856" s="8" t="n"/>
      <c r="B6856" s="9" t="n"/>
    </row>
    <row r="6857">
      <c r="A6857" s="8" t="n"/>
      <c r="B6857" s="9" t="n"/>
    </row>
    <row r="6858">
      <c r="A6858" s="8" t="n"/>
      <c r="B6858" s="9" t="n"/>
    </row>
    <row r="6859">
      <c r="A6859" s="8" t="n"/>
      <c r="B6859" s="9" t="n"/>
    </row>
    <row r="6860">
      <c r="A6860" s="8" t="n"/>
      <c r="B6860" s="9" t="n"/>
    </row>
    <row r="6861">
      <c r="A6861" s="8" t="n"/>
      <c r="B6861" s="9" t="n"/>
    </row>
    <row r="6862">
      <c r="A6862" s="8" t="n"/>
      <c r="B6862" s="9" t="n"/>
    </row>
    <row r="6863">
      <c r="A6863" s="8" t="n"/>
      <c r="B6863" s="9" t="n"/>
    </row>
    <row r="6864">
      <c r="A6864" s="8" t="n"/>
      <c r="B6864" s="9" t="n"/>
    </row>
    <row r="6865">
      <c r="A6865" s="8" t="n"/>
      <c r="B6865" s="9" t="n"/>
    </row>
    <row r="6866">
      <c r="A6866" s="8" t="n"/>
      <c r="B6866" s="9" t="n"/>
    </row>
    <row r="6867">
      <c r="A6867" s="8" t="n"/>
      <c r="B6867" s="9" t="n"/>
    </row>
    <row r="6868">
      <c r="A6868" s="8" t="n"/>
      <c r="B6868" s="9" t="n"/>
    </row>
    <row r="6869">
      <c r="A6869" s="8" t="n"/>
      <c r="B6869" s="9" t="n"/>
    </row>
    <row r="6870">
      <c r="A6870" s="8" t="n"/>
      <c r="B6870" s="9" t="n"/>
    </row>
    <row r="6871">
      <c r="A6871" s="8" t="n"/>
      <c r="B6871" s="9" t="n"/>
    </row>
    <row r="6872">
      <c r="A6872" s="8" t="n"/>
      <c r="B6872" s="9" t="n"/>
    </row>
    <row r="6873">
      <c r="A6873" s="8" t="n"/>
      <c r="B6873" s="9" t="n"/>
    </row>
    <row r="6874">
      <c r="A6874" s="8" t="n"/>
      <c r="B6874" s="9" t="n"/>
    </row>
    <row r="6875">
      <c r="A6875" s="8" t="n"/>
      <c r="B6875" s="9" t="n"/>
    </row>
    <row r="6876">
      <c r="A6876" s="8" t="n"/>
      <c r="B6876" s="9" t="n"/>
    </row>
    <row r="6877">
      <c r="A6877" s="8" t="n"/>
      <c r="B6877" s="9" t="n"/>
    </row>
    <row r="6878">
      <c r="A6878" s="8" t="n"/>
      <c r="B6878" s="9" t="n"/>
    </row>
    <row r="6879">
      <c r="A6879" s="8" t="n"/>
      <c r="B6879" s="9" t="n"/>
    </row>
    <row r="6880">
      <c r="A6880" s="8" t="n"/>
      <c r="B6880" s="9" t="n"/>
    </row>
    <row r="6881">
      <c r="A6881" s="8" t="n"/>
      <c r="B6881" s="9" t="n"/>
    </row>
    <row r="6882">
      <c r="A6882" s="8" t="n"/>
      <c r="B6882" s="9" t="n"/>
    </row>
    <row r="6883">
      <c r="A6883" s="8" t="n"/>
      <c r="B6883" s="9" t="n"/>
    </row>
    <row r="6884">
      <c r="A6884" s="8" t="n"/>
      <c r="B6884" s="9" t="n"/>
    </row>
    <row r="6885">
      <c r="A6885" s="8" t="n"/>
      <c r="B6885" s="9" t="n"/>
    </row>
    <row r="6886">
      <c r="A6886" s="8" t="n"/>
      <c r="B6886" s="9" t="n"/>
    </row>
    <row r="6887">
      <c r="A6887" s="8" t="n"/>
      <c r="B6887" s="9" t="n"/>
    </row>
    <row r="6888">
      <c r="A6888" s="8" t="n"/>
      <c r="B6888" s="9" t="n"/>
    </row>
    <row r="6889">
      <c r="A6889" s="8" t="n"/>
      <c r="B6889" s="9" t="n"/>
    </row>
    <row r="6890">
      <c r="A6890" s="8" t="n"/>
      <c r="B6890" s="9" t="n"/>
    </row>
    <row r="6891">
      <c r="A6891" s="8" t="n"/>
      <c r="B6891" s="9" t="n"/>
    </row>
    <row r="6892">
      <c r="A6892" s="8" t="n"/>
      <c r="B6892" s="9" t="n"/>
    </row>
    <row r="6893">
      <c r="A6893" s="8" t="n"/>
      <c r="B6893" s="9" t="n"/>
    </row>
    <row r="6894">
      <c r="A6894" s="8" t="n"/>
      <c r="B6894" s="9" t="n"/>
    </row>
    <row r="6895">
      <c r="A6895" s="8" t="n"/>
      <c r="B6895" s="9" t="n"/>
    </row>
    <row r="6896">
      <c r="A6896" s="8" t="n"/>
      <c r="B6896" s="9" t="n"/>
    </row>
    <row r="6897">
      <c r="A6897" s="8" t="n"/>
      <c r="B6897" s="9" t="n"/>
    </row>
    <row r="6898">
      <c r="A6898" s="8" t="n"/>
      <c r="B6898" s="9" t="n"/>
    </row>
    <row r="6899">
      <c r="A6899" s="8" t="n"/>
      <c r="B6899" s="9" t="n"/>
    </row>
    <row r="6900">
      <c r="A6900" s="8" t="n"/>
      <c r="B6900" s="9" t="n"/>
    </row>
    <row r="6901">
      <c r="A6901" s="8" t="n"/>
      <c r="B6901" s="9" t="n"/>
    </row>
    <row r="6902">
      <c r="A6902" s="8" t="n"/>
      <c r="B6902" s="9" t="n"/>
    </row>
    <row r="6903">
      <c r="A6903" s="8" t="n"/>
      <c r="B6903" s="9" t="n"/>
    </row>
    <row r="6904">
      <c r="A6904" s="8" t="n"/>
      <c r="B6904" s="9" t="n"/>
    </row>
    <row r="6905">
      <c r="A6905" s="8" t="n"/>
      <c r="B6905" s="9" t="n"/>
    </row>
    <row r="6906">
      <c r="A6906" s="8" t="n"/>
      <c r="B6906" s="9" t="n"/>
    </row>
    <row r="6907">
      <c r="A6907" s="8" t="n"/>
      <c r="B6907" s="9" t="n"/>
    </row>
    <row r="6908">
      <c r="A6908" s="8" t="n"/>
      <c r="B6908" s="9" t="n"/>
    </row>
    <row r="6909">
      <c r="A6909" s="8" t="n"/>
      <c r="B6909" s="9" t="n"/>
    </row>
    <row r="6910">
      <c r="A6910" s="8" t="n"/>
      <c r="B6910" s="9" t="n"/>
    </row>
    <row r="6911">
      <c r="A6911" s="8" t="n"/>
      <c r="B6911" s="9" t="n"/>
    </row>
    <row r="6912">
      <c r="A6912" s="8" t="n"/>
      <c r="B6912" s="9" t="n"/>
    </row>
    <row r="6913">
      <c r="A6913" s="8" t="n"/>
      <c r="B6913" s="9" t="n"/>
    </row>
    <row r="6914">
      <c r="A6914" s="8" t="n"/>
      <c r="B6914" s="9" t="n"/>
    </row>
    <row r="6915">
      <c r="A6915" s="8" t="n"/>
      <c r="B6915" s="9" t="n"/>
    </row>
    <row r="6916">
      <c r="A6916" s="8" t="n"/>
      <c r="B6916" s="9" t="n"/>
    </row>
    <row r="6917">
      <c r="A6917" s="8" t="n"/>
      <c r="B6917" s="9" t="n"/>
    </row>
    <row r="6918">
      <c r="A6918" s="8" t="n"/>
      <c r="B6918" s="9" t="n"/>
    </row>
    <row r="6919">
      <c r="A6919" s="8" t="n"/>
      <c r="B6919" s="9" t="n"/>
    </row>
    <row r="6920">
      <c r="A6920" s="8" t="n"/>
      <c r="B6920" s="9" t="n"/>
    </row>
    <row r="6921">
      <c r="A6921" s="8" t="n"/>
      <c r="B6921" s="9" t="n"/>
    </row>
    <row r="6922">
      <c r="A6922" s="8" t="n"/>
      <c r="B6922" s="9" t="n"/>
    </row>
    <row r="6923">
      <c r="A6923" s="8" t="n"/>
      <c r="B6923" s="9" t="n"/>
    </row>
    <row r="6924">
      <c r="A6924" s="8" t="n"/>
      <c r="B6924" s="9" t="n"/>
    </row>
    <row r="6925">
      <c r="A6925" s="8" t="n"/>
      <c r="B6925" s="9" t="n"/>
    </row>
    <row r="6926">
      <c r="A6926" s="8" t="n"/>
      <c r="B6926" s="9" t="n"/>
    </row>
    <row r="6927">
      <c r="A6927" s="8" t="n"/>
      <c r="B6927" s="9" t="n"/>
    </row>
    <row r="6928">
      <c r="A6928" s="8" t="n"/>
      <c r="B6928" s="9" t="n"/>
    </row>
    <row r="6929">
      <c r="A6929" s="8" t="n"/>
      <c r="B6929" s="9" t="n"/>
    </row>
    <row r="6930">
      <c r="A6930" s="8" t="n"/>
      <c r="B6930" s="9" t="n"/>
    </row>
    <row r="6931">
      <c r="A6931" s="8" t="n"/>
      <c r="B6931" s="9" t="n"/>
    </row>
    <row r="6932">
      <c r="A6932" s="8" t="n"/>
      <c r="B6932" s="9" t="n"/>
    </row>
    <row r="6933">
      <c r="A6933" s="8" t="n"/>
      <c r="B6933" s="9" t="n"/>
    </row>
    <row r="6934">
      <c r="A6934" s="8" t="n"/>
      <c r="B6934" s="9" t="n"/>
    </row>
    <row r="6935">
      <c r="A6935" s="8" t="n"/>
      <c r="B6935" s="9" t="n"/>
    </row>
    <row r="6936">
      <c r="A6936" s="8" t="n"/>
      <c r="B6936" s="9" t="n"/>
    </row>
    <row r="6937">
      <c r="A6937" s="8" t="n"/>
      <c r="B6937" s="9" t="n"/>
    </row>
    <row r="6938">
      <c r="A6938" s="8" t="n"/>
      <c r="B6938" s="9" t="n"/>
    </row>
    <row r="6939">
      <c r="A6939" s="8" t="n"/>
      <c r="B6939" s="9" t="n"/>
    </row>
    <row r="6940">
      <c r="A6940" s="8" t="n"/>
      <c r="B6940" s="9" t="n"/>
    </row>
    <row r="6941">
      <c r="A6941" s="8" t="n"/>
      <c r="B6941" s="9" t="n"/>
    </row>
    <row r="6942">
      <c r="A6942" s="8" t="n"/>
      <c r="B6942" s="9" t="n"/>
    </row>
    <row r="6943">
      <c r="A6943" s="8" t="n"/>
      <c r="B6943" s="9" t="n"/>
    </row>
    <row r="6944">
      <c r="A6944" s="8" t="n"/>
      <c r="B6944" s="9" t="n"/>
    </row>
    <row r="6945">
      <c r="A6945" s="8" t="n"/>
      <c r="B6945" s="9" t="n"/>
    </row>
    <row r="6946">
      <c r="A6946" s="8" t="n"/>
      <c r="B6946" s="9" t="n"/>
    </row>
    <row r="6947">
      <c r="A6947" s="8" t="n"/>
      <c r="B6947" s="9" t="n"/>
    </row>
    <row r="6948">
      <c r="A6948" s="8" t="n"/>
      <c r="B6948" s="9" t="n"/>
    </row>
    <row r="6949">
      <c r="A6949" s="8" t="n"/>
      <c r="B6949" s="9" t="n"/>
    </row>
    <row r="6950">
      <c r="A6950" s="8" t="n"/>
      <c r="B6950" s="9" t="n"/>
    </row>
    <row r="6951">
      <c r="A6951" s="8" t="n"/>
      <c r="B6951" s="9" t="n"/>
    </row>
    <row r="6952">
      <c r="A6952" s="8" t="n"/>
      <c r="B6952" s="9" t="n"/>
    </row>
    <row r="6953">
      <c r="A6953" s="8" t="n"/>
      <c r="B6953" s="9" t="n"/>
    </row>
    <row r="6954">
      <c r="A6954" s="8" t="n"/>
      <c r="B6954" s="9" t="n"/>
    </row>
    <row r="6955">
      <c r="A6955" s="8" t="n"/>
      <c r="B6955" s="9" t="n"/>
    </row>
    <row r="6956">
      <c r="A6956" s="8" t="n"/>
      <c r="B6956" s="9" t="n"/>
    </row>
    <row r="6957">
      <c r="A6957" s="8" t="n"/>
      <c r="B6957" s="9" t="n"/>
    </row>
    <row r="6958">
      <c r="A6958" s="8" t="n"/>
      <c r="B6958" s="9" t="n"/>
    </row>
    <row r="6959">
      <c r="A6959" s="8" t="n"/>
      <c r="B6959" s="9" t="n"/>
    </row>
    <row r="6960">
      <c r="A6960" s="8" t="n"/>
      <c r="B6960" s="9" t="n"/>
    </row>
    <row r="6961">
      <c r="A6961" s="8" t="n"/>
      <c r="B6961" s="9" t="n"/>
    </row>
    <row r="6962">
      <c r="A6962" s="8" t="n"/>
      <c r="B6962" s="9" t="n"/>
    </row>
    <row r="6963">
      <c r="A6963" s="8" t="n"/>
      <c r="B6963" s="9" t="n"/>
    </row>
    <row r="6964">
      <c r="A6964" s="8" t="n"/>
      <c r="B6964" s="9" t="n"/>
    </row>
    <row r="6965">
      <c r="A6965" s="8" t="n"/>
      <c r="B6965" s="9" t="n"/>
    </row>
    <row r="6966">
      <c r="A6966" s="8" t="n"/>
      <c r="B6966" s="9" t="n"/>
    </row>
    <row r="6967">
      <c r="A6967" s="8" t="n"/>
      <c r="B6967" s="9" t="n"/>
    </row>
    <row r="6968">
      <c r="A6968" s="8" t="n"/>
      <c r="B6968" s="9" t="n"/>
    </row>
    <row r="6969">
      <c r="A6969" s="8" t="n"/>
      <c r="B6969" s="9" t="n"/>
    </row>
    <row r="6970">
      <c r="A6970" s="8" t="n"/>
      <c r="B6970" s="9" t="n"/>
    </row>
    <row r="6971">
      <c r="A6971" s="8" t="n"/>
      <c r="B6971" s="9" t="n"/>
    </row>
    <row r="6972">
      <c r="A6972" s="8" t="n"/>
      <c r="B6972" s="9" t="n"/>
    </row>
    <row r="6973">
      <c r="A6973" s="8" t="n"/>
      <c r="B6973" s="9" t="n"/>
    </row>
    <row r="6974">
      <c r="A6974" s="8" t="n"/>
      <c r="B6974" s="9" t="n"/>
    </row>
    <row r="6975">
      <c r="A6975" s="8" t="n"/>
      <c r="B6975" s="9" t="n"/>
    </row>
    <row r="6976">
      <c r="A6976" s="8" t="n"/>
      <c r="B6976" s="9" t="n"/>
    </row>
    <row r="6977">
      <c r="A6977" s="8" t="n"/>
      <c r="B6977" s="9" t="n"/>
    </row>
    <row r="6978">
      <c r="A6978" s="8" t="n"/>
      <c r="B6978" s="9" t="n"/>
    </row>
    <row r="6979">
      <c r="A6979" s="8" t="n"/>
      <c r="B6979" s="9" t="n"/>
    </row>
    <row r="6980">
      <c r="A6980" s="8" t="n"/>
      <c r="B6980" s="9" t="n"/>
    </row>
    <row r="6981">
      <c r="A6981" s="8" t="n"/>
      <c r="B6981" s="9" t="n"/>
    </row>
    <row r="6982">
      <c r="A6982" s="8" t="n"/>
      <c r="B6982" s="9" t="n"/>
    </row>
    <row r="6983">
      <c r="A6983" s="8" t="n"/>
      <c r="B6983" s="9" t="n"/>
    </row>
    <row r="6984">
      <c r="A6984" s="8" t="n"/>
      <c r="B6984" s="9" t="n"/>
    </row>
    <row r="6985">
      <c r="A6985" s="8" t="n"/>
      <c r="B6985" s="9" t="n"/>
    </row>
    <row r="6986">
      <c r="A6986" s="8" t="n"/>
      <c r="B6986" s="9" t="n"/>
    </row>
    <row r="6987">
      <c r="A6987" s="8" t="n"/>
      <c r="B6987" s="9" t="n"/>
    </row>
    <row r="6988">
      <c r="A6988" s="8" t="n"/>
      <c r="B6988" s="9" t="n"/>
    </row>
    <row r="6989">
      <c r="A6989" s="8" t="n"/>
      <c r="B6989" s="9" t="n"/>
    </row>
    <row r="6990">
      <c r="A6990" s="8" t="n"/>
      <c r="B6990" s="9" t="n"/>
    </row>
    <row r="6991">
      <c r="A6991" s="8" t="n"/>
      <c r="B6991" s="9" t="n"/>
    </row>
    <row r="6992">
      <c r="A6992" s="8" t="n"/>
      <c r="B6992" s="9" t="n"/>
    </row>
    <row r="6993">
      <c r="A6993" s="8" t="n"/>
      <c r="B6993" s="9" t="n"/>
    </row>
    <row r="6994">
      <c r="A6994" s="8" t="n"/>
      <c r="B6994" s="9" t="n"/>
    </row>
    <row r="6995">
      <c r="A6995" s="8" t="n"/>
      <c r="B6995" s="9" t="n"/>
    </row>
    <row r="6996">
      <c r="A6996" s="8" t="n"/>
      <c r="B6996" s="9" t="n"/>
    </row>
    <row r="6997">
      <c r="A6997" s="8" t="n"/>
      <c r="B6997" s="9" t="n"/>
    </row>
    <row r="6998">
      <c r="A6998" s="8" t="n"/>
      <c r="B6998" s="9" t="n"/>
    </row>
    <row r="6999">
      <c r="A6999" s="8" t="n"/>
      <c r="B6999" s="9" t="n"/>
    </row>
    <row r="7000">
      <c r="A7000" s="8" t="n"/>
      <c r="B7000" s="9" t="n"/>
    </row>
    <row r="7001">
      <c r="A7001" s="8" t="n"/>
      <c r="B7001" s="9" t="n"/>
    </row>
    <row r="7002">
      <c r="A7002" s="8" t="n"/>
      <c r="B7002" s="9" t="n"/>
    </row>
    <row r="7003">
      <c r="A7003" s="8" t="n"/>
      <c r="B7003" s="9" t="n"/>
    </row>
    <row r="7004">
      <c r="A7004" s="8" t="n"/>
      <c r="B7004" s="9" t="n"/>
    </row>
    <row r="7005">
      <c r="A7005" s="8" t="n"/>
      <c r="B7005" s="9" t="n"/>
    </row>
    <row r="7006">
      <c r="A7006" s="8" t="n"/>
      <c r="B7006" s="9" t="n"/>
    </row>
    <row r="7007">
      <c r="A7007" s="8" t="n"/>
      <c r="B7007" s="9" t="n"/>
    </row>
    <row r="7008">
      <c r="A7008" s="8" t="n"/>
      <c r="B7008" s="9" t="n"/>
    </row>
    <row r="7009">
      <c r="A7009" s="8" t="n"/>
      <c r="B7009" s="9" t="n"/>
    </row>
    <row r="7010">
      <c r="A7010" s="8" t="n"/>
      <c r="B7010" s="9" t="n"/>
    </row>
    <row r="7011">
      <c r="A7011" s="8" t="n"/>
      <c r="B7011" s="9" t="n"/>
    </row>
    <row r="7012">
      <c r="A7012" s="8" t="n"/>
      <c r="B7012" s="9" t="n"/>
    </row>
    <row r="7013">
      <c r="A7013" s="8" t="n"/>
      <c r="B7013" s="9" t="n"/>
    </row>
    <row r="7014">
      <c r="A7014" s="8" t="n"/>
      <c r="B7014" s="9" t="n"/>
    </row>
    <row r="7015">
      <c r="A7015" s="8" t="n"/>
      <c r="B7015" s="9" t="n"/>
    </row>
    <row r="7016">
      <c r="A7016" s="8" t="n"/>
      <c r="B7016" s="9" t="n"/>
    </row>
    <row r="7017">
      <c r="A7017" s="8" t="n"/>
      <c r="B7017" s="9" t="n"/>
    </row>
    <row r="7018">
      <c r="A7018" s="8" t="n"/>
      <c r="B7018" s="9" t="n"/>
    </row>
    <row r="7019">
      <c r="A7019" s="8" t="n"/>
      <c r="B7019" s="9" t="n"/>
    </row>
    <row r="7020">
      <c r="A7020" s="8" t="n"/>
      <c r="B7020" s="9" t="n"/>
    </row>
    <row r="7021">
      <c r="A7021" s="8" t="n"/>
      <c r="B7021" s="9" t="n"/>
    </row>
    <row r="7022">
      <c r="A7022" s="8" t="n"/>
      <c r="B7022" s="9" t="n"/>
    </row>
    <row r="7023">
      <c r="A7023" s="8" t="n"/>
      <c r="B7023" s="9" t="n"/>
    </row>
    <row r="7024">
      <c r="A7024" s="8" t="n"/>
      <c r="B7024" s="9" t="n"/>
    </row>
    <row r="7025">
      <c r="A7025" s="8" t="n"/>
      <c r="B7025" s="9" t="n"/>
    </row>
    <row r="7026">
      <c r="A7026" s="8" t="n"/>
      <c r="B7026" s="9" t="n"/>
    </row>
    <row r="7027">
      <c r="A7027" s="8" t="n"/>
      <c r="B7027" s="9" t="n"/>
    </row>
    <row r="7028">
      <c r="A7028" s="8" t="n"/>
      <c r="B7028" s="9" t="n"/>
    </row>
    <row r="7029">
      <c r="A7029" s="8" t="n"/>
      <c r="B7029" s="9" t="n"/>
    </row>
    <row r="7030">
      <c r="A7030" s="8" t="n"/>
      <c r="B7030" s="9" t="n"/>
    </row>
    <row r="7031">
      <c r="A7031" s="8" t="n"/>
      <c r="B7031" s="9" t="n"/>
    </row>
    <row r="7032">
      <c r="A7032" s="8" t="n"/>
      <c r="B7032" s="9" t="n"/>
    </row>
    <row r="7033">
      <c r="A7033" s="8" t="n"/>
      <c r="B7033" s="9" t="n"/>
    </row>
    <row r="7034">
      <c r="A7034" s="8" t="n"/>
      <c r="B7034" s="9" t="n"/>
    </row>
    <row r="7035">
      <c r="A7035" s="8" t="n"/>
      <c r="B7035" s="9" t="n"/>
    </row>
    <row r="7036">
      <c r="A7036" s="8" t="n"/>
      <c r="B7036" s="9" t="n"/>
    </row>
    <row r="7037">
      <c r="A7037" s="8" t="n"/>
      <c r="B7037" s="9" t="n"/>
    </row>
    <row r="7038">
      <c r="A7038" s="8" t="n"/>
      <c r="B7038" s="9" t="n"/>
    </row>
    <row r="7039">
      <c r="A7039" s="8" t="n"/>
      <c r="B7039" s="9" t="n"/>
    </row>
    <row r="7040">
      <c r="A7040" s="8" t="n"/>
      <c r="B7040" s="9" t="n"/>
    </row>
    <row r="7041">
      <c r="A7041" s="8" t="n"/>
      <c r="B7041" s="9" t="n"/>
    </row>
    <row r="7042">
      <c r="A7042" s="8" t="n"/>
      <c r="B7042" s="9" t="n"/>
    </row>
    <row r="7043">
      <c r="A7043" s="8" t="n"/>
      <c r="B7043" s="9" t="n"/>
    </row>
    <row r="7044">
      <c r="A7044" s="8" t="n"/>
      <c r="B7044" s="9" t="n"/>
    </row>
    <row r="7045">
      <c r="A7045" s="8" t="n"/>
      <c r="B7045" s="9" t="n"/>
    </row>
    <row r="7046">
      <c r="A7046" s="8" t="n"/>
      <c r="B7046" s="9" t="n"/>
    </row>
    <row r="7047">
      <c r="A7047" s="8" t="n"/>
      <c r="B7047" s="9" t="n"/>
    </row>
    <row r="7048">
      <c r="A7048" s="8" t="n"/>
      <c r="B7048" s="9" t="n"/>
    </row>
    <row r="7049">
      <c r="A7049" s="8" t="n"/>
      <c r="B7049" s="9" t="n"/>
    </row>
    <row r="7050">
      <c r="A7050" s="8" t="n"/>
      <c r="B7050" s="9" t="n"/>
    </row>
    <row r="7051">
      <c r="A7051" s="8" t="n"/>
      <c r="B7051" s="9" t="n"/>
    </row>
    <row r="7052">
      <c r="A7052" s="8" t="n"/>
      <c r="B7052" s="9" t="n"/>
    </row>
    <row r="7053">
      <c r="A7053" s="8" t="n"/>
      <c r="B7053" s="9" t="n"/>
    </row>
    <row r="7054">
      <c r="A7054" s="8" t="n"/>
      <c r="B7054" s="9" t="n"/>
    </row>
    <row r="7055">
      <c r="A7055" s="8" t="n"/>
      <c r="B7055" s="9" t="n"/>
    </row>
    <row r="7056">
      <c r="A7056" s="8" t="n"/>
      <c r="B7056" s="9" t="n"/>
    </row>
    <row r="7057">
      <c r="A7057" s="8" t="n"/>
      <c r="B7057" s="9" t="n"/>
    </row>
    <row r="7058">
      <c r="A7058" s="8" t="n"/>
      <c r="B7058" s="9" t="n"/>
    </row>
    <row r="7059">
      <c r="A7059" s="8" t="n"/>
      <c r="B7059" s="9" t="n"/>
    </row>
    <row r="7060">
      <c r="A7060" s="8" t="n"/>
      <c r="B7060" s="9" t="n"/>
    </row>
    <row r="7061">
      <c r="A7061" s="8" t="n"/>
      <c r="B7061" s="9" t="n"/>
    </row>
    <row r="7062">
      <c r="A7062" s="8" t="n"/>
      <c r="B7062" s="9" t="n"/>
    </row>
    <row r="7063">
      <c r="A7063" s="8" t="n"/>
      <c r="B7063" s="9" t="n"/>
    </row>
    <row r="7064">
      <c r="A7064" s="8" t="n"/>
      <c r="B7064" s="9" t="n"/>
    </row>
    <row r="7065">
      <c r="A7065" s="8" t="n"/>
      <c r="B7065" s="9" t="n"/>
    </row>
    <row r="7066">
      <c r="A7066" s="8" t="n"/>
      <c r="B7066" s="9" t="n"/>
    </row>
    <row r="7067">
      <c r="A7067" s="8" t="n"/>
      <c r="B7067" s="9" t="n"/>
    </row>
    <row r="7068">
      <c r="A7068" s="8" t="n"/>
      <c r="B7068" s="9" t="n"/>
    </row>
    <row r="7069">
      <c r="A7069" s="8" t="n"/>
      <c r="B7069" s="9" t="n"/>
    </row>
    <row r="7070">
      <c r="A7070" s="8" t="n"/>
      <c r="B7070" s="9" t="n"/>
    </row>
    <row r="7071">
      <c r="A7071" s="8" t="n"/>
      <c r="B7071" s="9" t="n"/>
    </row>
    <row r="7072">
      <c r="A7072" s="8" t="n"/>
      <c r="B7072" s="9" t="n"/>
    </row>
    <row r="7073">
      <c r="A7073" s="8" t="n"/>
      <c r="B7073" s="9" t="n"/>
    </row>
    <row r="7074">
      <c r="A7074" s="8" t="n"/>
      <c r="B7074" s="9" t="n"/>
    </row>
    <row r="7075">
      <c r="A7075" s="8" t="n"/>
      <c r="B7075" s="9" t="n"/>
    </row>
    <row r="7076">
      <c r="A7076" s="8" t="n"/>
      <c r="B7076" s="9" t="n"/>
    </row>
    <row r="7077">
      <c r="A7077" s="8" t="n"/>
      <c r="B7077" s="9" t="n"/>
    </row>
    <row r="7078">
      <c r="A7078" s="8" t="n"/>
      <c r="B7078" s="9" t="n"/>
    </row>
    <row r="7079">
      <c r="A7079" s="8" t="n"/>
      <c r="B7079" s="9" t="n"/>
    </row>
    <row r="7080">
      <c r="A7080" s="8" t="n"/>
      <c r="B7080" s="9" t="n"/>
    </row>
    <row r="7081">
      <c r="A7081" s="8" t="n"/>
      <c r="B7081" s="9" t="n"/>
    </row>
    <row r="7082">
      <c r="A7082" s="8" t="n"/>
      <c r="B7082" s="9" t="n"/>
    </row>
    <row r="7083">
      <c r="A7083" s="8" t="n"/>
      <c r="B7083" s="9" t="n"/>
    </row>
    <row r="7084">
      <c r="A7084" s="8" t="n"/>
      <c r="B7084" s="9" t="n"/>
    </row>
    <row r="7085">
      <c r="A7085" s="8" t="n"/>
      <c r="B7085" s="9" t="n"/>
    </row>
    <row r="7086">
      <c r="A7086" s="8" t="n"/>
      <c r="B7086" s="9" t="n"/>
    </row>
    <row r="7087">
      <c r="A7087" s="8" t="n"/>
      <c r="B7087" s="9" t="n"/>
    </row>
    <row r="7088">
      <c r="A7088" s="8" t="n"/>
      <c r="B7088" s="9" t="n"/>
    </row>
    <row r="7089">
      <c r="A7089" s="8" t="n"/>
      <c r="B7089" s="9" t="n"/>
    </row>
    <row r="7090">
      <c r="A7090" s="8" t="n"/>
      <c r="B7090" s="9" t="n"/>
    </row>
    <row r="7091">
      <c r="A7091" s="8" t="n"/>
      <c r="B7091" s="9" t="n"/>
    </row>
    <row r="7092">
      <c r="A7092" s="8" t="n"/>
      <c r="B7092" s="9" t="n"/>
    </row>
    <row r="7093">
      <c r="A7093" s="8" t="n"/>
      <c r="B7093" s="9" t="n"/>
    </row>
    <row r="7094">
      <c r="A7094" s="8" t="n"/>
      <c r="B7094" s="9" t="n"/>
    </row>
    <row r="7095">
      <c r="A7095" s="8" t="n"/>
      <c r="B7095" s="9" t="n"/>
    </row>
    <row r="7096">
      <c r="A7096" s="8" t="n"/>
      <c r="B7096" s="9" t="n"/>
    </row>
    <row r="7097">
      <c r="A7097" s="8" t="n"/>
      <c r="B7097" s="9" t="n"/>
    </row>
    <row r="7098">
      <c r="A7098" s="8" t="n"/>
      <c r="B7098" s="9" t="n"/>
    </row>
    <row r="7099">
      <c r="A7099" s="8" t="n"/>
      <c r="B7099" s="9" t="n"/>
    </row>
    <row r="7100">
      <c r="A7100" s="8" t="n"/>
      <c r="B7100" s="9" t="n"/>
    </row>
    <row r="7101">
      <c r="A7101" s="8" t="n"/>
      <c r="B7101" s="9" t="n"/>
    </row>
    <row r="7102">
      <c r="A7102" s="8" t="n"/>
      <c r="B7102" s="9" t="n"/>
    </row>
    <row r="7103">
      <c r="A7103" s="8" t="n"/>
      <c r="B7103" s="9" t="n"/>
    </row>
    <row r="7104">
      <c r="A7104" s="8" t="n"/>
      <c r="B7104" s="9" t="n"/>
    </row>
    <row r="7105">
      <c r="A7105" s="8" t="n"/>
      <c r="B7105" s="9" t="n"/>
    </row>
    <row r="7106">
      <c r="A7106" s="8" t="n"/>
      <c r="B7106" s="9" t="n"/>
    </row>
    <row r="7107">
      <c r="A7107" s="8" t="n"/>
      <c r="B7107" s="9" t="n"/>
    </row>
    <row r="7108">
      <c r="A7108" s="8" t="n"/>
      <c r="B7108" s="9" t="n"/>
    </row>
    <row r="7109">
      <c r="A7109" s="8" t="n"/>
      <c r="B7109" s="9" t="n"/>
    </row>
    <row r="7110">
      <c r="A7110" s="8" t="n"/>
      <c r="B7110" s="9" t="n"/>
    </row>
    <row r="7111">
      <c r="A7111" s="8" t="n"/>
      <c r="B7111" s="9" t="n"/>
    </row>
    <row r="7112">
      <c r="A7112" s="8" t="n"/>
      <c r="B7112" s="9" t="n"/>
    </row>
    <row r="7113">
      <c r="A7113" s="8" t="n"/>
      <c r="B7113" s="9" t="n"/>
    </row>
    <row r="7114">
      <c r="A7114" s="8" t="n"/>
      <c r="B7114" s="9" t="n"/>
    </row>
    <row r="7115">
      <c r="A7115" s="8" t="n"/>
      <c r="B7115" s="9" t="n"/>
    </row>
    <row r="7116">
      <c r="A7116" s="8" t="n"/>
      <c r="B7116" s="9" t="n"/>
    </row>
    <row r="7117">
      <c r="A7117" s="8" t="n"/>
      <c r="B7117" s="9" t="n"/>
    </row>
    <row r="7118">
      <c r="A7118" s="8" t="n"/>
      <c r="B7118" s="9" t="n"/>
    </row>
    <row r="7119">
      <c r="A7119" s="8" t="n"/>
      <c r="B7119" s="9" t="n"/>
    </row>
    <row r="7120">
      <c r="A7120" s="8" t="n"/>
      <c r="B7120" s="9" t="n"/>
    </row>
    <row r="7121">
      <c r="A7121" s="8" t="n"/>
      <c r="B7121" s="9" t="n"/>
    </row>
    <row r="7122">
      <c r="A7122" s="8" t="n"/>
      <c r="B7122" s="9" t="n"/>
    </row>
    <row r="7123">
      <c r="A7123" s="8" t="n"/>
      <c r="B7123" s="9" t="n"/>
    </row>
    <row r="7124">
      <c r="A7124" s="8" t="n"/>
      <c r="B7124" s="9" t="n"/>
    </row>
    <row r="7125">
      <c r="A7125" s="8" t="n"/>
      <c r="B7125" s="9" t="n"/>
    </row>
    <row r="7126">
      <c r="A7126" s="8" t="n"/>
      <c r="B7126" s="9" t="n"/>
    </row>
    <row r="7127">
      <c r="A7127" s="8" t="n"/>
      <c r="B7127" s="9" t="n"/>
    </row>
    <row r="7128">
      <c r="A7128" s="8" t="n"/>
      <c r="B7128" s="9" t="n"/>
    </row>
    <row r="7129">
      <c r="A7129" s="8" t="n"/>
      <c r="B7129" s="9" t="n"/>
    </row>
    <row r="7130">
      <c r="A7130" s="8" t="n"/>
      <c r="B7130" s="9" t="n"/>
    </row>
    <row r="7131">
      <c r="A7131" s="8" t="n"/>
      <c r="B7131" s="9" t="n"/>
    </row>
    <row r="7132">
      <c r="A7132" s="8" t="n"/>
      <c r="B7132" s="9" t="n"/>
    </row>
    <row r="7133">
      <c r="A7133" s="8" t="n"/>
      <c r="B7133" s="9" t="n"/>
    </row>
    <row r="7134">
      <c r="A7134" s="8" t="n"/>
      <c r="B7134" s="9" t="n"/>
    </row>
    <row r="7135">
      <c r="A7135" s="8" t="n"/>
      <c r="B7135" s="9" t="n"/>
    </row>
    <row r="7136">
      <c r="A7136" s="8" t="n"/>
      <c r="B7136" s="9" t="n"/>
    </row>
    <row r="7137">
      <c r="A7137" s="8" t="n"/>
      <c r="B7137" s="9" t="n"/>
    </row>
    <row r="7138">
      <c r="A7138" s="8" t="n"/>
      <c r="B7138" s="9" t="n"/>
    </row>
    <row r="7139">
      <c r="A7139" s="8" t="n"/>
      <c r="B7139" s="9" t="n"/>
    </row>
    <row r="7140">
      <c r="A7140" s="8" t="n"/>
      <c r="B7140" s="9" t="n"/>
    </row>
    <row r="7141">
      <c r="A7141" s="8" t="n"/>
      <c r="B7141" s="9" t="n"/>
    </row>
    <row r="7142">
      <c r="A7142" s="8" t="n"/>
      <c r="B7142" s="9" t="n"/>
    </row>
    <row r="7143">
      <c r="A7143" s="8" t="n"/>
      <c r="B7143" s="9" t="n"/>
    </row>
    <row r="7144">
      <c r="A7144" s="8" t="n"/>
      <c r="B7144" s="9" t="n"/>
    </row>
    <row r="7145">
      <c r="A7145" s="8" t="n"/>
      <c r="B7145" s="9" t="n"/>
    </row>
    <row r="7146">
      <c r="A7146" s="8" t="n"/>
      <c r="B7146" s="9" t="n"/>
    </row>
    <row r="7147">
      <c r="A7147" s="8" t="n"/>
      <c r="B7147" s="9" t="n"/>
    </row>
    <row r="7148">
      <c r="A7148" s="8" t="n"/>
      <c r="B7148" s="9" t="n"/>
    </row>
    <row r="7149">
      <c r="A7149" s="8" t="n"/>
      <c r="B7149" s="9" t="n"/>
    </row>
    <row r="7150">
      <c r="A7150" s="8" t="n"/>
      <c r="B7150" s="9" t="n"/>
    </row>
    <row r="7151">
      <c r="A7151" s="8" t="n"/>
      <c r="B7151" s="9" t="n"/>
    </row>
    <row r="7152">
      <c r="A7152" s="8" t="n"/>
      <c r="B7152" s="9" t="n"/>
    </row>
    <row r="7153">
      <c r="A7153" s="8" t="n"/>
      <c r="B7153" s="9" t="n"/>
    </row>
    <row r="7154">
      <c r="A7154" s="8" t="n"/>
      <c r="B7154" s="9" t="n"/>
    </row>
    <row r="7155">
      <c r="A7155" s="8" t="n"/>
      <c r="B7155" s="9" t="n"/>
    </row>
    <row r="7156">
      <c r="A7156" s="8" t="n"/>
      <c r="B7156" s="9" t="n"/>
    </row>
    <row r="7157">
      <c r="A7157" s="8" t="n"/>
      <c r="B7157" s="9" t="n"/>
    </row>
    <row r="7158">
      <c r="A7158" s="8" t="n"/>
      <c r="B7158" s="9" t="n"/>
    </row>
    <row r="7159">
      <c r="A7159" s="8" t="n"/>
      <c r="B7159" s="9" t="n"/>
    </row>
    <row r="7160">
      <c r="A7160" s="8" t="n"/>
      <c r="B7160" s="9" t="n"/>
    </row>
    <row r="7161">
      <c r="A7161" s="8" t="n"/>
      <c r="B7161" s="9" t="n"/>
    </row>
    <row r="7162">
      <c r="A7162" s="8" t="n"/>
      <c r="B7162" s="9" t="n"/>
    </row>
    <row r="7163">
      <c r="A7163" s="8" t="n"/>
      <c r="B7163" s="9" t="n"/>
    </row>
    <row r="7164">
      <c r="A7164" s="8" t="n"/>
      <c r="B7164" s="9" t="n"/>
    </row>
    <row r="7165">
      <c r="A7165" s="8" t="n"/>
      <c r="B7165" s="9" t="n"/>
    </row>
    <row r="7166">
      <c r="A7166" s="8" t="n"/>
      <c r="B7166" s="9" t="n"/>
    </row>
    <row r="7167">
      <c r="A7167" s="8" t="n"/>
      <c r="B7167" s="9" t="n"/>
    </row>
    <row r="7168">
      <c r="A7168" s="8" t="n"/>
      <c r="B7168" s="9" t="n"/>
    </row>
    <row r="7169">
      <c r="A7169" s="8" t="n"/>
      <c r="B7169" s="9" t="n"/>
    </row>
    <row r="7170">
      <c r="A7170" s="8" t="n"/>
      <c r="B7170" s="9" t="n"/>
    </row>
    <row r="7171">
      <c r="A7171" s="8" t="n"/>
      <c r="B7171" s="9" t="n"/>
    </row>
    <row r="7172">
      <c r="A7172" s="8" t="n"/>
      <c r="B7172" s="9" t="n"/>
    </row>
    <row r="7173">
      <c r="A7173" s="8" t="n"/>
      <c r="B7173" s="9" t="n"/>
    </row>
    <row r="7174">
      <c r="A7174" s="8" t="n"/>
      <c r="B7174" s="9" t="n"/>
    </row>
    <row r="7175">
      <c r="A7175" s="8" t="n"/>
      <c r="B7175" s="9" t="n"/>
    </row>
    <row r="7176">
      <c r="A7176" s="8" t="n"/>
      <c r="B7176" s="9" t="n"/>
    </row>
    <row r="7177">
      <c r="A7177" s="8" t="n"/>
      <c r="B7177" s="9" t="n"/>
    </row>
    <row r="7178">
      <c r="A7178" s="8" t="n"/>
      <c r="B7178" s="9" t="n"/>
    </row>
    <row r="7179">
      <c r="A7179" s="8" t="n"/>
      <c r="B7179" s="9" t="n"/>
    </row>
    <row r="7180">
      <c r="A7180" s="8" t="n"/>
      <c r="B7180" s="9" t="n"/>
    </row>
    <row r="7181">
      <c r="A7181" s="8" t="n"/>
      <c r="B7181" s="9" t="n"/>
    </row>
    <row r="7182">
      <c r="A7182" s="8" t="n"/>
      <c r="B7182" s="9" t="n"/>
    </row>
    <row r="7183">
      <c r="A7183" s="8" t="n"/>
      <c r="B7183" s="9" t="n"/>
    </row>
    <row r="7184">
      <c r="A7184" s="8" t="n"/>
      <c r="B7184" s="9" t="n"/>
    </row>
    <row r="7185">
      <c r="A7185" s="8" t="n"/>
      <c r="B7185" s="9" t="n"/>
    </row>
    <row r="7186">
      <c r="A7186" s="8" t="n"/>
      <c r="B7186" s="9" t="n"/>
    </row>
    <row r="7187">
      <c r="A7187" s="8" t="n"/>
      <c r="B7187" s="9" t="n"/>
    </row>
    <row r="7188">
      <c r="A7188" s="8" t="n"/>
      <c r="B7188" s="9" t="n"/>
    </row>
    <row r="7189">
      <c r="A7189" s="8" t="n"/>
      <c r="B7189" s="9" t="n"/>
    </row>
    <row r="7190">
      <c r="A7190" s="8" t="n"/>
      <c r="B7190" s="9" t="n"/>
    </row>
    <row r="7191">
      <c r="A7191" s="8" t="n"/>
      <c r="B7191" s="9" t="n"/>
    </row>
    <row r="7192">
      <c r="A7192" s="8" t="n"/>
      <c r="B7192" s="9" t="n"/>
    </row>
    <row r="7193">
      <c r="A7193" s="8" t="n"/>
      <c r="B7193" s="9" t="n"/>
    </row>
    <row r="7194">
      <c r="A7194" s="8" t="n"/>
      <c r="B7194" s="9" t="n"/>
    </row>
    <row r="7195">
      <c r="A7195" s="8" t="n"/>
      <c r="B7195" s="9" t="n"/>
    </row>
    <row r="7196">
      <c r="A7196" s="8" t="n"/>
      <c r="B7196" s="9" t="n"/>
    </row>
    <row r="7197">
      <c r="A7197" s="8" t="n"/>
      <c r="B7197" s="9" t="n"/>
    </row>
    <row r="7198">
      <c r="A7198" s="8" t="n"/>
      <c r="B7198" s="9" t="n"/>
    </row>
    <row r="7199">
      <c r="A7199" s="8" t="n"/>
      <c r="B7199" s="9" t="n"/>
    </row>
    <row r="7200">
      <c r="A7200" s="8" t="n"/>
      <c r="B7200" s="9" t="n"/>
    </row>
    <row r="7201">
      <c r="A7201" s="8" t="n"/>
      <c r="B7201" s="9" t="n"/>
    </row>
    <row r="7202">
      <c r="A7202" s="8" t="n"/>
      <c r="B7202" s="9" t="n"/>
    </row>
    <row r="7203">
      <c r="A7203" s="8" t="n"/>
      <c r="B7203" s="9" t="n"/>
    </row>
    <row r="7204">
      <c r="A7204" s="8" t="n"/>
      <c r="B7204" s="9" t="n"/>
    </row>
    <row r="7205">
      <c r="A7205" s="8" t="n"/>
      <c r="B7205" s="9" t="n"/>
    </row>
    <row r="7206">
      <c r="A7206" s="8" t="n"/>
      <c r="B7206" s="9" t="n"/>
    </row>
    <row r="7207">
      <c r="A7207" s="8" t="n"/>
      <c r="B7207" s="9" t="n"/>
    </row>
    <row r="7208">
      <c r="A7208" s="8" t="n"/>
      <c r="B7208" s="9" t="n"/>
    </row>
    <row r="7209">
      <c r="A7209" s="8" t="n"/>
      <c r="B7209" s="9" t="n"/>
    </row>
    <row r="7210">
      <c r="A7210" s="8" t="n"/>
      <c r="B7210" s="9" t="n"/>
    </row>
    <row r="7211">
      <c r="A7211" s="8" t="n"/>
      <c r="B7211" s="9" t="n"/>
    </row>
    <row r="7212">
      <c r="A7212" s="8" t="n"/>
      <c r="B7212" s="9" t="n"/>
    </row>
    <row r="7213">
      <c r="A7213" s="8" t="n"/>
      <c r="B7213" s="9" t="n"/>
    </row>
    <row r="7214">
      <c r="A7214" s="8" t="n"/>
      <c r="B7214" s="9" t="n"/>
    </row>
    <row r="7215">
      <c r="A7215" s="8" t="n"/>
      <c r="B7215" s="9" t="n"/>
    </row>
    <row r="7216">
      <c r="A7216" s="8" t="n"/>
      <c r="B7216" s="9" t="n"/>
    </row>
    <row r="7217">
      <c r="A7217" s="8" t="n"/>
      <c r="B7217" s="9" t="n"/>
    </row>
    <row r="7218">
      <c r="A7218" s="8" t="n"/>
      <c r="B7218" s="9" t="n"/>
    </row>
    <row r="7219">
      <c r="A7219" s="8" t="n"/>
      <c r="B7219" s="9" t="n"/>
    </row>
    <row r="7220">
      <c r="A7220" s="8" t="n"/>
      <c r="B7220" s="9" t="n"/>
    </row>
    <row r="7221">
      <c r="A7221" s="8" t="n"/>
      <c r="B7221" s="9" t="n"/>
    </row>
    <row r="7222">
      <c r="A7222" s="8" t="n"/>
      <c r="B7222" s="9" t="n"/>
    </row>
    <row r="7223">
      <c r="A7223" s="8" t="n"/>
      <c r="B7223" s="9" t="n"/>
    </row>
    <row r="7224">
      <c r="A7224" s="8" t="n"/>
      <c r="B7224" s="9" t="n"/>
    </row>
    <row r="7225">
      <c r="A7225" s="8" t="n"/>
      <c r="B7225" s="9" t="n"/>
    </row>
    <row r="7226">
      <c r="A7226" s="8" t="n"/>
      <c r="B7226" s="9" t="n"/>
    </row>
    <row r="7227">
      <c r="A7227" s="8" t="n"/>
      <c r="B7227" s="9" t="n"/>
    </row>
    <row r="7228">
      <c r="A7228" s="8" t="n"/>
      <c r="B7228" s="9" t="n"/>
    </row>
    <row r="7229">
      <c r="A7229" s="8" t="n"/>
      <c r="B7229" s="9" t="n"/>
    </row>
    <row r="7230">
      <c r="A7230" s="8" t="n"/>
      <c r="B7230" s="9" t="n"/>
    </row>
    <row r="7231">
      <c r="A7231" s="8" t="n"/>
      <c r="B7231" s="9" t="n"/>
    </row>
    <row r="7232">
      <c r="A7232" s="8" t="n"/>
      <c r="B7232" s="9" t="n"/>
    </row>
    <row r="7233">
      <c r="A7233" s="8" t="n"/>
      <c r="B7233" s="9" t="n"/>
    </row>
    <row r="7234">
      <c r="A7234" s="8" t="n"/>
      <c r="B7234" s="9" t="n"/>
    </row>
    <row r="7235">
      <c r="A7235" s="8" t="n"/>
      <c r="B7235" s="9" t="n"/>
    </row>
    <row r="7236">
      <c r="A7236" s="8" t="n"/>
      <c r="B7236" s="9" t="n"/>
    </row>
    <row r="7237">
      <c r="A7237" s="8" t="n"/>
      <c r="B7237" s="9" t="n"/>
    </row>
    <row r="7238">
      <c r="A7238" s="8" t="n"/>
      <c r="B7238" s="9" t="n"/>
    </row>
    <row r="7239">
      <c r="A7239" s="8" t="n"/>
      <c r="B7239" s="9" t="n"/>
    </row>
    <row r="7240">
      <c r="A7240" s="8" t="n"/>
      <c r="B7240" s="9" t="n"/>
    </row>
    <row r="7241">
      <c r="A7241" s="8" t="n"/>
      <c r="B7241" s="9" t="n"/>
    </row>
    <row r="7242">
      <c r="A7242" s="8" t="n"/>
      <c r="B7242" s="9" t="n"/>
    </row>
    <row r="7243">
      <c r="A7243" s="8" t="n"/>
      <c r="B7243" s="9" t="n"/>
    </row>
    <row r="7244">
      <c r="A7244" s="8" t="n"/>
      <c r="B7244" s="9" t="n"/>
    </row>
    <row r="7245">
      <c r="A7245" s="8" t="n"/>
      <c r="B7245" s="9" t="n"/>
    </row>
    <row r="7246">
      <c r="A7246" s="8" t="n"/>
      <c r="B7246" s="9" t="n"/>
    </row>
    <row r="7247">
      <c r="A7247" s="8" t="n"/>
      <c r="B7247" s="9" t="n"/>
    </row>
    <row r="7248">
      <c r="A7248" s="8" t="n"/>
      <c r="B7248" s="9" t="n"/>
    </row>
    <row r="7249">
      <c r="A7249" s="8" t="n"/>
      <c r="B7249" s="9" t="n"/>
    </row>
    <row r="7250">
      <c r="A7250" s="8" t="n"/>
      <c r="B7250" s="9" t="n"/>
    </row>
    <row r="7251">
      <c r="A7251" s="8" t="n"/>
      <c r="B7251" s="9" t="n"/>
    </row>
    <row r="7252">
      <c r="A7252" s="8" t="n"/>
      <c r="B7252" s="9" t="n"/>
    </row>
    <row r="7253">
      <c r="A7253" s="8" t="n"/>
      <c r="B7253" s="9" t="n"/>
    </row>
    <row r="7254">
      <c r="A7254" s="8" t="n"/>
      <c r="B7254" s="9" t="n"/>
    </row>
    <row r="7255">
      <c r="A7255" s="8" t="n"/>
      <c r="B7255" s="9" t="n"/>
    </row>
    <row r="7256">
      <c r="A7256" s="8" t="n"/>
      <c r="B7256" s="9" t="n"/>
    </row>
    <row r="7257">
      <c r="A7257" s="8" t="n"/>
      <c r="B7257" s="9" t="n"/>
    </row>
    <row r="7258">
      <c r="A7258" s="8" t="n"/>
      <c r="B7258" s="9" t="n"/>
    </row>
    <row r="7259">
      <c r="A7259" s="8" t="n"/>
      <c r="B7259" s="9" t="n"/>
    </row>
    <row r="7260">
      <c r="A7260" s="8" t="n"/>
      <c r="B7260" s="9" t="n"/>
    </row>
    <row r="7261">
      <c r="A7261" s="8" t="n"/>
      <c r="B7261" s="9" t="n"/>
    </row>
    <row r="7262">
      <c r="A7262" s="8" t="n"/>
      <c r="B7262" s="9" t="n"/>
    </row>
    <row r="7263">
      <c r="A7263" s="8" t="n"/>
      <c r="B7263" s="9" t="n"/>
    </row>
    <row r="7264">
      <c r="A7264" s="8" t="n"/>
      <c r="B7264" s="9" t="n"/>
    </row>
    <row r="7265">
      <c r="A7265" s="8" t="n"/>
      <c r="B7265" s="9" t="n"/>
    </row>
    <row r="7266">
      <c r="A7266" s="8" t="n"/>
      <c r="B7266" s="9" t="n"/>
    </row>
    <row r="7267">
      <c r="A7267" s="8" t="n"/>
      <c r="B7267" s="9" t="n"/>
    </row>
    <row r="7268">
      <c r="A7268" s="8" t="n"/>
      <c r="B7268" s="9" t="n"/>
    </row>
    <row r="7269">
      <c r="A7269" s="8" t="n"/>
      <c r="B7269" s="9" t="n"/>
    </row>
    <row r="7270">
      <c r="A7270" s="8" t="n"/>
      <c r="B7270" s="9" t="n"/>
    </row>
    <row r="7271">
      <c r="A7271" s="8" t="n"/>
      <c r="B7271" s="9" t="n"/>
    </row>
    <row r="7272">
      <c r="A7272" s="8" t="n"/>
      <c r="B7272" s="9" t="n"/>
    </row>
    <row r="7273">
      <c r="A7273" s="8" t="n"/>
      <c r="B7273" s="9" t="n"/>
    </row>
    <row r="7274">
      <c r="A7274" s="8" t="n"/>
      <c r="B7274" s="9" t="n"/>
    </row>
    <row r="7275">
      <c r="A7275" s="8" t="n"/>
      <c r="B7275" s="9" t="n"/>
    </row>
    <row r="7276">
      <c r="A7276" s="8" t="n"/>
      <c r="B7276" s="9" t="n"/>
    </row>
    <row r="7277">
      <c r="A7277" s="8" t="n"/>
      <c r="B7277" s="9" t="n"/>
    </row>
    <row r="7278">
      <c r="A7278" s="8" t="n"/>
      <c r="B7278" s="9" t="n"/>
    </row>
    <row r="7279">
      <c r="A7279" s="8" t="n"/>
      <c r="B7279" s="9" t="n"/>
    </row>
    <row r="7280">
      <c r="A7280" s="8" t="n"/>
      <c r="B7280" s="9" t="n"/>
    </row>
    <row r="7281">
      <c r="A7281" s="8" t="n"/>
      <c r="B7281" s="9" t="n"/>
    </row>
    <row r="7282">
      <c r="A7282" s="8" t="n"/>
      <c r="B7282" s="9" t="n"/>
    </row>
    <row r="7283">
      <c r="A7283" s="8" t="n"/>
      <c r="B7283" s="9" t="n"/>
    </row>
    <row r="7284">
      <c r="A7284" s="8" t="n"/>
      <c r="B7284" s="9" t="n"/>
    </row>
    <row r="7285">
      <c r="A7285" s="8" t="n"/>
      <c r="B7285" s="9" t="n"/>
    </row>
    <row r="7286">
      <c r="A7286" s="8" t="n"/>
      <c r="B7286" s="9" t="n"/>
    </row>
    <row r="7287">
      <c r="A7287" s="8" t="n"/>
      <c r="B7287" s="9" t="n"/>
    </row>
    <row r="7288">
      <c r="A7288" s="8" t="n"/>
      <c r="B7288" s="9" t="n"/>
    </row>
    <row r="7289">
      <c r="A7289" s="8" t="n"/>
      <c r="B7289" s="9" t="n"/>
    </row>
    <row r="7290">
      <c r="A7290" s="8" t="n"/>
      <c r="B7290" s="9" t="n"/>
    </row>
    <row r="7291">
      <c r="A7291" s="8" t="n"/>
      <c r="B7291" s="9" t="n"/>
    </row>
    <row r="7292">
      <c r="A7292" s="8" t="n"/>
      <c r="B7292" s="9" t="n"/>
    </row>
    <row r="7293">
      <c r="A7293" s="8" t="n"/>
      <c r="B7293" s="9" t="n"/>
    </row>
    <row r="7294">
      <c r="A7294" s="8" t="n"/>
      <c r="B7294" s="9" t="n"/>
    </row>
    <row r="7295">
      <c r="A7295" s="8" t="n"/>
      <c r="B7295" s="9" t="n"/>
    </row>
    <row r="7296">
      <c r="A7296" s="8" t="n"/>
      <c r="B7296" s="9" t="n"/>
    </row>
    <row r="7297">
      <c r="A7297" s="8" t="n"/>
      <c r="B7297" s="9" t="n"/>
    </row>
    <row r="7298">
      <c r="A7298" s="8" t="n"/>
      <c r="B7298" s="9" t="n"/>
    </row>
    <row r="7299">
      <c r="A7299" s="8" t="n"/>
      <c r="B7299" s="9" t="n"/>
    </row>
    <row r="7300">
      <c r="A7300" s="8" t="n"/>
      <c r="B7300" s="9" t="n"/>
    </row>
    <row r="7301">
      <c r="A7301" s="8" t="n"/>
      <c r="B7301" s="9" t="n"/>
    </row>
    <row r="7302">
      <c r="A7302" s="8" t="n"/>
      <c r="B7302" s="9" t="n"/>
    </row>
    <row r="7303">
      <c r="A7303" s="8" t="n"/>
      <c r="B7303" s="9" t="n"/>
    </row>
    <row r="7304">
      <c r="A7304" s="8" t="n"/>
      <c r="B7304" s="9" t="n"/>
    </row>
    <row r="7305">
      <c r="A7305" s="8" t="n"/>
      <c r="B7305" s="9" t="n"/>
    </row>
    <row r="7306">
      <c r="A7306" s="8" t="n"/>
      <c r="B7306" s="9" t="n"/>
    </row>
    <row r="7307">
      <c r="A7307" s="8" t="n"/>
      <c r="B7307" s="9" t="n"/>
    </row>
    <row r="7308">
      <c r="A7308" s="8" t="n"/>
      <c r="B7308" s="9" t="n"/>
    </row>
    <row r="7309">
      <c r="A7309" s="8" t="n"/>
      <c r="B7309" s="9" t="n"/>
    </row>
    <row r="7310">
      <c r="A7310" s="8" t="n"/>
      <c r="B7310" s="9" t="n"/>
    </row>
    <row r="7311">
      <c r="A7311" s="8" t="n"/>
      <c r="B7311" s="9" t="n"/>
    </row>
    <row r="7312">
      <c r="A7312" s="8" t="n"/>
      <c r="B7312" s="9" t="n"/>
    </row>
    <row r="7313">
      <c r="A7313" s="8" t="n"/>
      <c r="B7313" s="9" t="n"/>
    </row>
    <row r="7314">
      <c r="A7314" s="8" t="n"/>
      <c r="B7314" s="9" t="n"/>
    </row>
    <row r="7315">
      <c r="A7315" s="8" t="n"/>
      <c r="B7315" s="9" t="n"/>
    </row>
    <row r="7316">
      <c r="A7316" s="8" t="n"/>
      <c r="B7316" s="9" t="n"/>
    </row>
    <row r="7317">
      <c r="A7317" s="8" t="n"/>
      <c r="B7317" s="9" t="n"/>
    </row>
    <row r="7318">
      <c r="A7318" s="8" t="n"/>
      <c r="B7318" s="9" t="n"/>
    </row>
    <row r="7319">
      <c r="A7319" s="8" t="n"/>
      <c r="B7319" s="9" t="n"/>
    </row>
    <row r="7320">
      <c r="A7320" s="8" t="n"/>
      <c r="B7320" s="9" t="n"/>
    </row>
    <row r="7321">
      <c r="A7321" s="8" t="n"/>
      <c r="B7321" s="9" t="n"/>
    </row>
    <row r="7322">
      <c r="A7322" s="8" t="n"/>
      <c r="B7322" s="9" t="n"/>
    </row>
    <row r="7323">
      <c r="A7323" s="8" t="n"/>
      <c r="B7323" s="9" t="n"/>
    </row>
    <row r="7324">
      <c r="A7324" s="8" t="n"/>
      <c r="B7324" s="9" t="n"/>
    </row>
    <row r="7325">
      <c r="A7325" s="8" t="n"/>
      <c r="B7325" s="9" t="n"/>
    </row>
    <row r="7326">
      <c r="A7326" s="8" t="n"/>
      <c r="B7326" s="9" t="n"/>
    </row>
    <row r="7327">
      <c r="A7327" s="8" t="n"/>
      <c r="B7327" s="9" t="n"/>
    </row>
    <row r="7328">
      <c r="A7328" s="8" t="n"/>
      <c r="B7328" s="9" t="n"/>
    </row>
    <row r="7329">
      <c r="A7329" s="8" t="n"/>
      <c r="B7329" s="9" t="n"/>
    </row>
    <row r="7330">
      <c r="A7330" s="8" t="n"/>
      <c r="B7330" s="9" t="n"/>
    </row>
    <row r="7331">
      <c r="A7331" s="8" t="n"/>
      <c r="B7331" s="9" t="n"/>
    </row>
    <row r="7332">
      <c r="A7332" s="8" t="n"/>
      <c r="B7332" s="9" t="n"/>
    </row>
    <row r="7333">
      <c r="A7333" s="8" t="n"/>
      <c r="B7333" s="9" t="n"/>
    </row>
    <row r="7334">
      <c r="A7334" s="8" t="n"/>
      <c r="B7334" s="9" t="n"/>
    </row>
    <row r="7335">
      <c r="A7335" s="8" t="n"/>
      <c r="B7335" s="9" t="n"/>
    </row>
    <row r="7336">
      <c r="A7336" s="8" t="n"/>
      <c r="B7336" s="9" t="n"/>
    </row>
    <row r="7337">
      <c r="A7337" s="8" t="n"/>
      <c r="B7337" s="9" t="n"/>
    </row>
    <row r="7338">
      <c r="A7338" s="8" t="n"/>
      <c r="B7338" s="9" t="n"/>
    </row>
    <row r="7339">
      <c r="A7339" s="8" t="n"/>
      <c r="B7339" s="9" t="n"/>
    </row>
    <row r="7340">
      <c r="A7340" s="8" t="n"/>
      <c r="B7340" s="9" t="n"/>
    </row>
    <row r="7341">
      <c r="A7341" s="8" t="n"/>
      <c r="B7341" s="9" t="n"/>
    </row>
    <row r="7342">
      <c r="A7342" s="8" t="n"/>
      <c r="B7342" s="9" t="n"/>
    </row>
    <row r="7343">
      <c r="A7343" s="8" t="n"/>
      <c r="B7343" s="9" t="n"/>
    </row>
    <row r="7344">
      <c r="A7344" s="8" t="n"/>
      <c r="B7344" s="9" t="n"/>
    </row>
    <row r="7345">
      <c r="A7345" s="8" t="n"/>
      <c r="B7345" s="9" t="n"/>
    </row>
    <row r="7346">
      <c r="A7346" s="8" t="n"/>
      <c r="B7346" s="9" t="n"/>
    </row>
    <row r="7347">
      <c r="A7347" s="8" t="n"/>
      <c r="B7347" s="9" t="n"/>
    </row>
    <row r="7348">
      <c r="A7348" s="8" t="n"/>
      <c r="B7348" s="9" t="n"/>
    </row>
    <row r="7349">
      <c r="A7349" s="8" t="n"/>
      <c r="B7349" s="9" t="n"/>
    </row>
    <row r="7350">
      <c r="A7350" s="8" t="n"/>
      <c r="B7350" s="9" t="n"/>
    </row>
    <row r="7351">
      <c r="A7351" s="8" t="n"/>
      <c r="B7351" s="9" t="n"/>
    </row>
    <row r="7352">
      <c r="A7352" s="8" t="n"/>
      <c r="B7352" s="9" t="n"/>
    </row>
    <row r="7353">
      <c r="A7353" s="8" t="n"/>
      <c r="B7353" s="9" t="n"/>
    </row>
    <row r="7354">
      <c r="A7354" s="8" t="n"/>
      <c r="B7354" s="9" t="n"/>
    </row>
    <row r="7355">
      <c r="A7355" s="8" t="n"/>
      <c r="B7355" s="9" t="n"/>
    </row>
    <row r="7356">
      <c r="A7356" s="8" t="n"/>
      <c r="B7356" s="9" t="n"/>
    </row>
    <row r="7357">
      <c r="A7357" s="8" t="n"/>
      <c r="B7357" s="9" t="n"/>
    </row>
    <row r="7358">
      <c r="A7358" s="8" t="n"/>
      <c r="B7358" s="9" t="n"/>
    </row>
    <row r="7359">
      <c r="A7359" s="8" t="n"/>
      <c r="B7359" s="9" t="n"/>
    </row>
    <row r="7360">
      <c r="A7360" s="8" t="n"/>
      <c r="B7360" s="9" t="n"/>
    </row>
    <row r="7361">
      <c r="A7361" s="8" t="n"/>
      <c r="B7361" s="9" t="n"/>
    </row>
    <row r="7362">
      <c r="A7362" s="8" t="n"/>
      <c r="B7362" s="9" t="n"/>
    </row>
    <row r="7363">
      <c r="A7363" s="8" t="n"/>
      <c r="B7363" s="9" t="n"/>
    </row>
    <row r="7364">
      <c r="A7364" s="8" t="n"/>
      <c r="B7364" s="9" t="n"/>
    </row>
    <row r="7365">
      <c r="A7365" s="8" t="n"/>
      <c r="B7365" s="9" t="n"/>
    </row>
    <row r="7366">
      <c r="A7366" s="8" t="n"/>
      <c r="B7366" s="9" t="n"/>
    </row>
    <row r="7367">
      <c r="A7367" s="8" t="n"/>
      <c r="B7367" s="9" t="n"/>
    </row>
    <row r="7368">
      <c r="A7368" s="8" t="n"/>
      <c r="B7368" s="9" t="n"/>
    </row>
    <row r="7369">
      <c r="A7369" s="8" t="n"/>
      <c r="B7369" s="9" t="n"/>
    </row>
    <row r="7370">
      <c r="A7370" s="8" t="n"/>
      <c r="B7370" s="9" t="n"/>
    </row>
    <row r="7371">
      <c r="A7371" s="8" t="n"/>
      <c r="B7371" s="9" t="n"/>
    </row>
    <row r="7372">
      <c r="A7372" s="8" t="n"/>
      <c r="B7372" s="9" t="n"/>
    </row>
    <row r="7373">
      <c r="A7373" s="8" t="n"/>
      <c r="B7373" s="9" t="n"/>
    </row>
    <row r="7374">
      <c r="A7374" s="8" t="n"/>
      <c r="B7374" s="9" t="n"/>
    </row>
    <row r="7375">
      <c r="A7375" s="8" t="n"/>
      <c r="B7375" s="9" t="n"/>
    </row>
    <row r="7376">
      <c r="A7376" s="8" t="n"/>
      <c r="B7376" s="9" t="n"/>
    </row>
    <row r="7377">
      <c r="A7377" s="8" t="n"/>
      <c r="B7377" s="9" t="n"/>
    </row>
    <row r="7378">
      <c r="A7378" s="8" t="n"/>
      <c r="B7378" s="9" t="n"/>
    </row>
    <row r="7379">
      <c r="A7379" s="8" t="n"/>
      <c r="B7379" s="9" t="n"/>
    </row>
    <row r="7380">
      <c r="A7380" s="8" t="n"/>
      <c r="B7380" s="9" t="n"/>
    </row>
    <row r="7381">
      <c r="A7381" s="8" t="n"/>
      <c r="B7381" s="9" t="n"/>
    </row>
    <row r="7382">
      <c r="A7382" s="8" t="n"/>
      <c r="B7382" s="9" t="n"/>
    </row>
    <row r="7383">
      <c r="A7383" s="8" t="n"/>
      <c r="B7383" s="9" t="n"/>
    </row>
    <row r="7384">
      <c r="A7384" s="8" t="n"/>
      <c r="B7384" s="9" t="n"/>
    </row>
    <row r="7385">
      <c r="A7385" s="8" t="n"/>
      <c r="B7385" s="9" t="n"/>
    </row>
    <row r="7386">
      <c r="A7386" s="8" t="n"/>
      <c r="B7386" s="9" t="n"/>
    </row>
    <row r="7387">
      <c r="A7387" s="8" t="n"/>
      <c r="B7387" s="9" t="n"/>
    </row>
    <row r="7388">
      <c r="A7388" s="8" t="n"/>
      <c r="B7388" s="9" t="n"/>
    </row>
    <row r="7389">
      <c r="A7389" s="8" t="n"/>
      <c r="B7389" s="9" t="n"/>
    </row>
    <row r="7390">
      <c r="A7390" s="8" t="n"/>
      <c r="B7390" s="9" t="n"/>
    </row>
    <row r="7391">
      <c r="A7391" s="8" t="n"/>
      <c r="B7391" s="9" t="n"/>
    </row>
    <row r="7392">
      <c r="A7392" s="8" t="n"/>
      <c r="B7392" s="9" t="n"/>
    </row>
    <row r="7393">
      <c r="A7393" s="8" t="n"/>
      <c r="B7393" s="9" t="n"/>
    </row>
    <row r="7394">
      <c r="A7394" s="8" t="n"/>
      <c r="B7394" s="9" t="n"/>
    </row>
    <row r="7395">
      <c r="A7395" s="8" t="n"/>
      <c r="B7395" s="9" t="n"/>
    </row>
    <row r="7396">
      <c r="A7396" s="8" t="n"/>
      <c r="B7396" s="9" t="n"/>
    </row>
    <row r="7397">
      <c r="A7397" s="8" t="n"/>
      <c r="B7397" s="9" t="n"/>
    </row>
    <row r="7398">
      <c r="A7398" s="8" t="n"/>
      <c r="B7398" s="9" t="n"/>
    </row>
    <row r="7399">
      <c r="A7399" s="8" t="n"/>
      <c r="B7399" s="9" t="n"/>
    </row>
    <row r="7400">
      <c r="A7400" s="8" t="n"/>
      <c r="B7400" s="9" t="n"/>
    </row>
    <row r="7401">
      <c r="A7401" s="8" t="n"/>
      <c r="B7401" s="9" t="n"/>
    </row>
    <row r="7402">
      <c r="A7402" s="8" t="n"/>
      <c r="B7402" s="9" t="n"/>
    </row>
    <row r="7403">
      <c r="A7403" s="8" t="n"/>
      <c r="B7403" s="9" t="n"/>
    </row>
    <row r="7404">
      <c r="A7404" s="8" t="n"/>
      <c r="B7404" s="9" t="n"/>
    </row>
    <row r="7405">
      <c r="A7405" s="8" t="n"/>
      <c r="B7405" s="9" t="n"/>
    </row>
    <row r="7406">
      <c r="A7406" s="8" t="n"/>
      <c r="B7406" s="9" t="n"/>
    </row>
    <row r="7407">
      <c r="A7407" s="8" t="n"/>
      <c r="B7407" s="9" t="n"/>
    </row>
    <row r="7408">
      <c r="A7408" s="8" t="n"/>
      <c r="B7408" s="9" t="n"/>
    </row>
    <row r="7409">
      <c r="A7409" s="8" t="n"/>
      <c r="B7409" s="9" t="n"/>
    </row>
    <row r="7410">
      <c r="A7410" s="8" t="n"/>
      <c r="B7410" s="9" t="n"/>
    </row>
    <row r="7411">
      <c r="A7411" s="8" t="n"/>
      <c r="B7411" s="9" t="n"/>
    </row>
    <row r="7412">
      <c r="A7412" s="8" t="n"/>
      <c r="B7412" s="9" t="n"/>
    </row>
    <row r="7413">
      <c r="A7413" s="8" t="n"/>
      <c r="B7413" s="9" t="n"/>
    </row>
    <row r="7414">
      <c r="A7414" s="8" t="n"/>
      <c r="B7414" s="9" t="n"/>
    </row>
    <row r="7415">
      <c r="A7415" s="8" t="n"/>
      <c r="B7415" s="9" t="n"/>
    </row>
    <row r="7416">
      <c r="A7416" s="8" t="n"/>
      <c r="B7416" s="9" t="n"/>
    </row>
    <row r="7417">
      <c r="A7417" s="8" t="n"/>
      <c r="B7417" s="9" t="n"/>
    </row>
    <row r="7418">
      <c r="A7418" s="8" t="n"/>
      <c r="B7418" s="9" t="n"/>
    </row>
    <row r="7419">
      <c r="A7419" s="8" t="n"/>
      <c r="B7419" s="9" t="n"/>
    </row>
    <row r="7420">
      <c r="A7420" s="8" t="n"/>
      <c r="B7420" s="9" t="n"/>
    </row>
    <row r="7421">
      <c r="A7421" s="8" t="n"/>
      <c r="B7421" s="9" t="n"/>
    </row>
    <row r="7422">
      <c r="A7422" s="8" t="n"/>
      <c r="B7422" s="9" t="n"/>
    </row>
    <row r="7423">
      <c r="A7423" s="8" t="n"/>
      <c r="B7423" s="9" t="n"/>
    </row>
    <row r="7424">
      <c r="A7424" s="8" t="n"/>
      <c r="B7424" s="9" t="n"/>
    </row>
    <row r="7425">
      <c r="A7425" s="8" t="n"/>
      <c r="B7425" s="9" t="n"/>
    </row>
    <row r="7426">
      <c r="A7426" s="8" t="n"/>
      <c r="B7426" s="9" t="n"/>
    </row>
    <row r="7427">
      <c r="A7427" s="8" t="n"/>
      <c r="B7427" s="9" t="n"/>
    </row>
    <row r="7428">
      <c r="A7428" s="8" t="n"/>
      <c r="B7428" s="9" t="n"/>
    </row>
    <row r="7429">
      <c r="A7429" s="8" t="n"/>
      <c r="B7429" s="9" t="n"/>
    </row>
    <row r="7430">
      <c r="A7430" s="8" t="n"/>
      <c r="B7430" s="9" t="n"/>
    </row>
    <row r="7431">
      <c r="A7431" s="8" t="n"/>
      <c r="B7431" s="9" t="n"/>
    </row>
    <row r="7432">
      <c r="A7432" s="8" t="n"/>
      <c r="B7432" s="9" t="n"/>
    </row>
    <row r="7433">
      <c r="A7433" s="8" t="n"/>
      <c r="B7433" s="9" t="n"/>
    </row>
    <row r="7434">
      <c r="A7434" s="8" t="n"/>
      <c r="B7434" s="9" t="n"/>
    </row>
    <row r="7435">
      <c r="A7435" s="8" t="n"/>
      <c r="B7435" s="9" t="n"/>
    </row>
    <row r="7436">
      <c r="A7436" s="8" t="n"/>
      <c r="B7436" s="9" t="n"/>
    </row>
    <row r="7437">
      <c r="A7437" s="8" t="n"/>
      <c r="B7437" s="9" t="n"/>
    </row>
    <row r="7438">
      <c r="A7438" s="8" t="n"/>
      <c r="B7438" s="9" t="n"/>
    </row>
    <row r="7439">
      <c r="A7439" s="8" t="n"/>
      <c r="B7439" s="9" t="n"/>
    </row>
    <row r="7440">
      <c r="A7440" s="8" t="n"/>
      <c r="B7440" s="9" t="n"/>
    </row>
    <row r="7441">
      <c r="A7441" s="8" t="n"/>
      <c r="B7441" s="9" t="n"/>
    </row>
    <row r="7442">
      <c r="A7442" s="8" t="n"/>
      <c r="B7442" s="9" t="n"/>
    </row>
    <row r="7443">
      <c r="A7443" s="8" t="n"/>
      <c r="B7443" s="9" t="n"/>
    </row>
    <row r="7444">
      <c r="A7444" s="8" t="n"/>
      <c r="B7444" s="9" t="n"/>
    </row>
    <row r="7445">
      <c r="A7445" s="8" t="n"/>
      <c r="B7445" s="9" t="n"/>
    </row>
    <row r="7446">
      <c r="A7446" s="8" t="n"/>
      <c r="B7446" s="9" t="n"/>
    </row>
    <row r="7447">
      <c r="A7447" s="8" t="n"/>
      <c r="B7447" s="9" t="n"/>
    </row>
    <row r="7448">
      <c r="A7448" s="8" t="n"/>
      <c r="B7448" s="9" t="n"/>
    </row>
    <row r="7449">
      <c r="A7449" s="8" t="n"/>
      <c r="B7449" s="9" t="n"/>
    </row>
    <row r="7450">
      <c r="A7450" s="8" t="n"/>
      <c r="B7450" s="9" t="n"/>
    </row>
    <row r="7451">
      <c r="A7451" s="8" t="n"/>
      <c r="B7451" s="9" t="n"/>
    </row>
    <row r="7452">
      <c r="A7452" s="8" t="n"/>
      <c r="B7452" s="9" t="n"/>
    </row>
    <row r="7453">
      <c r="A7453" s="8" t="n"/>
      <c r="B7453" s="9" t="n"/>
    </row>
    <row r="7454">
      <c r="A7454" s="8" t="n"/>
      <c r="B7454" s="9" t="n"/>
    </row>
    <row r="7455">
      <c r="A7455" s="8" t="n"/>
      <c r="B7455" s="9" t="n"/>
    </row>
    <row r="7456">
      <c r="A7456" s="8" t="n"/>
      <c r="B7456" s="9" t="n"/>
    </row>
    <row r="7457">
      <c r="A7457" s="8" t="n"/>
      <c r="B7457" s="9" t="n"/>
    </row>
    <row r="7458">
      <c r="A7458" s="8" t="n"/>
      <c r="B7458" s="9" t="n"/>
    </row>
    <row r="7459">
      <c r="A7459" s="8" t="n"/>
      <c r="B7459" s="9" t="n"/>
    </row>
    <row r="7460">
      <c r="A7460" s="8" t="n"/>
      <c r="B7460" s="9" t="n"/>
    </row>
    <row r="7461">
      <c r="A7461" s="8" t="n"/>
      <c r="B7461" s="9" t="n"/>
    </row>
    <row r="7462">
      <c r="A7462" s="8" t="n"/>
      <c r="B7462" s="9" t="n"/>
    </row>
    <row r="7463">
      <c r="A7463" s="8" t="n"/>
      <c r="B7463" s="9" t="n"/>
    </row>
    <row r="7464">
      <c r="A7464" s="8" t="n"/>
      <c r="B7464" s="9" t="n"/>
    </row>
    <row r="7465">
      <c r="A7465" s="8" t="n"/>
      <c r="B7465" s="9" t="n"/>
    </row>
    <row r="7466">
      <c r="A7466" s="8" t="n"/>
      <c r="B7466" s="9" t="n"/>
    </row>
    <row r="7467">
      <c r="A7467" s="8" t="n"/>
      <c r="B7467" s="9" t="n"/>
    </row>
    <row r="7468">
      <c r="A7468" s="8" t="n"/>
      <c r="B7468" s="9" t="n"/>
    </row>
    <row r="7469">
      <c r="A7469" s="8" t="n"/>
      <c r="B7469" s="9" t="n"/>
    </row>
    <row r="7470">
      <c r="A7470" s="8" t="n"/>
      <c r="B7470" s="9" t="n"/>
    </row>
    <row r="7471">
      <c r="A7471" s="8" t="n"/>
      <c r="B7471" s="9" t="n"/>
    </row>
    <row r="7472">
      <c r="A7472" s="8" t="n"/>
      <c r="B7472" s="9" t="n"/>
    </row>
    <row r="7473">
      <c r="A7473" s="8" t="n"/>
      <c r="B7473" s="9" t="n"/>
    </row>
    <row r="7474">
      <c r="A7474" s="8" t="n"/>
      <c r="B7474" s="9" t="n"/>
    </row>
    <row r="7475">
      <c r="A7475" s="8" t="n"/>
      <c r="B7475" s="9" t="n"/>
    </row>
    <row r="7476">
      <c r="A7476" s="8" t="n"/>
      <c r="B7476" s="9" t="n"/>
    </row>
    <row r="7477">
      <c r="A7477" s="8" t="n"/>
      <c r="B7477" s="9" t="n"/>
    </row>
    <row r="7478">
      <c r="A7478" s="8" t="n"/>
      <c r="B7478" s="9" t="n"/>
    </row>
    <row r="7479">
      <c r="A7479" s="8" t="n"/>
      <c r="B7479" s="9" t="n"/>
    </row>
    <row r="7480">
      <c r="A7480" s="8" t="n"/>
      <c r="B7480" s="9" t="n"/>
    </row>
    <row r="7481">
      <c r="A7481" s="8" t="n"/>
      <c r="B7481" s="9" t="n"/>
    </row>
    <row r="7482">
      <c r="A7482" s="8" t="n"/>
      <c r="B7482" s="9" t="n"/>
    </row>
    <row r="7483">
      <c r="A7483" s="8" t="n"/>
      <c r="B7483" s="9" t="n"/>
    </row>
    <row r="7484">
      <c r="A7484" s="8" t="n"/>
      <c r="B7484" s="9" t="n"/>
    </row>
    <row r="7485">
      <c r="A7485" s="8" t="n"/>
      <c r="B7485" s="9" t="n"/>
    </row>
    <row r="7486">
      <c r="A7486" s="8" t="n"/>
      <c r="B7486" s="9" t="n"/>
    </row>
    <row r="7487">
      <c r="A7487" s="8" t="n"/>
      <c r="B7487" s="9" t="n"/>
    </row>
    <row r="7488">
      <c r="A7488" s="8" t="n"/>
      <c r="B7488" s="9" t="n"/>
    </row>
    <row r="7489">
      <c r="A7489" s="8" t="n"/>
      <c r="B7489" s="9" t="n"/>
    </row>
    <row r="7490">
      <c r="A7490" s="8" t="n"/>
      <c r="B7490" s="9" t="n"/>
    </row>
    <row r="7491">
      <c r="A7491" s="8" t="n"/>
      <c r="B7491" s="9" t="n"/>
    </row>
    <row r="7492">
      <c r="A7492" s="8" t="n"/>
      <c r="B7492" s="9" t="n"/>
    </row>
    <row r="7493">
      <c r="A7493" s="8" t="n"/>
      <c r="B7493" s="9" t="n"/>
    </row>
    <row r="7494">
      <c r="A7494" s="8" t="n"/>
      <c r="B7494" s="9" t="n"/>
    </row>
    <row r="7495">
      <c r="A7495" s="8" t="n"/>
      <c r="B7495" s="9" t="n"/>
    </row>
    <row r="7496">
      <c r="A7496" s="8" t="n"/>
      <c r="B7496" s="9" t="n"/>
    </row>
    <row r="7497">
      <c r="A7497" s="8" t="n"/>
      <c r="B7497" s="9" t="n"/>
    </row>
    <row r="7498">
      <c r="A7498" s="8" t="n"/>
      <c r="B7498" s="9" t="n"/>
    </row>
    <row r="7499">
      <c r="A7499" s="8" t="n"/>
      <c r="B7499" s="9" t="n"/>
    </row>
    <row r="7500">
      <c r="A7500" s="8" t="n"/>
      <c r="B7500" s="9" t="n"/>
    </row>
    <row r="7501">
      <c r="A7501" s="8" t="n"/>
      <c r="B7501" s="9" t="n"/>
    </row>
    <row r="7502">
      <c r="A7502" s="8" t="n"/>
      <c r="B7502" s="9" t="n"/>
    </row>
    <row r="7503">
      <c r="A7503" s="8" t="n"/>
      <c r="B7503" s="9" t="n"/>
    </row>
    <row r="7504">
      <c r="A7504" s="8" t="n"/>
      <c r="B7504" s="9" t="n"/>
    </row>
    <row r="7505">
      <c r="A7505" s="8" t="n"/>
      <c r="B7505" s="9" t="n"/>
    </row>
    <row r="7506">
      <c r="A7506" s="8" t="n"/>
      <c r="B7506" s="9" t="n"/>
    </row>
    <row r="7507">
      <c r="A7507" s="8" t="n"/>
      <c r="B7507" s="9" t="n"/>
    </row>
    <row r="7508">
      <c r="A7508" s="8" t="n"/>
      <c r="B7508" s="9" t="n"/>
    </row>
    <row r="7509">
      <c r="A7509" s="8" t="n"/>
      <c r="B7509" s="9" t="n"/>
    </row>
    <row r="7510">
      <c r="A7510" s="8" t="n"/>
      <c r="B7510" s="9" t="n"/>
    </row>
    <row r="7511">
      <c r="A7511" s="8" t="n"/>
      <c r="B7511" s="9" t="n"/>
    </row>
    <row r="7512">
      <c r="A7512" s="8" t="n"/>
      <c r="B7512" s="9" t="n"/>
    </row>
    <row r="7513">
      <c r="A7513" s="8" t="n"/>
      <c r="B7513" s="9" t="n"/>
    </row>
    <row r="7514">
      <c r="A7514" s="8" t="n"/>
      <c r="B7514" s="9" t="n"/>
    </row>
    <row r="7515">
      <c r="A7515" s="8" t="n"/>
      <c r="B7515" s="9" t="n"/>
    </row>
    <row r="7516">
      <c r="A7516" s="8" t="n"/>
      <c r="B7516" s="9" t="n"/>
    </row>
    <row r="7517">
      <c r="A7517" s="8" t="n"/>
      <c r="B7517" s="9" t="n"/>
    </row>
    <row r="7518">
      <c r="A7518" s="8" t="n"/>
      <c r="B7518" s="9" t="n"/>
    </row>
    <row r="7519">
      <c r="A7519" s="8" t="n"/>
      <c r="B7519" s="9" t="n"/>
    </row>
    <row r="7520">
      <c r="A7520" s="8" t="n"/>
      <c r="B7520" s="9" t="n"/>
    </row>
    <row r="7521">
      <c r="A7521" s="8" t="n"/>
      <c r="B7521" s="9" t="n"/>
    </row>
    <row r="7522">
      <c r="A7522" s="8" t="n"/>
      <c r="B7522" s="9" t="n"/>
    </row>
    <row r="7523">
      <c r="A7523" s="8" t="n"/>
      <c r="B7523" s="9" t="n"/>
    </row>
    <row r="7524">
      <c r="A7524" s="8" t="n"/>
      <c r="B7524" s="9" t="n"/>
    </row>
    <row r="7525">
      <c r="A7525" s="8" t="n"/>
      <c r="B7525" s="9" t="n"/>
    </row>
    <row r="7526">
      <c r="A7526" s="8" t="n"/>
      <c r="B7526" s="9" t="n"/>
    </row>
    <row r="7527">
      <c r="A7527" s="8" t="n"/>
      <c r="B7527" s="9" t="n"/>
    </row>
    <row r="7528">
      <c r="A7528" s="8" t="n"/>
      <c r="B7528" s="9" t="n"/>
    </row>
    <row r="7529">
      <c r="A7529" s="8" t="n"/>
      <c r="B7529" s="9" t="n"/>
    </row>
    <row r="7530">
      <c r="A7530" s="8" t="n"/>
      <c r="B7530" s="9" t="n"/>
    </row>
    <row r="7531">
      <c r="A7531" s="8" t="n"/>
      <c r="B7531" s="9" t="n"/>
    </row>
    <row r="7532">
      <c r="A7532" s="8" t="n"/>
      <c r="B7532" s="9" t="n"/>
    </row>
    <row r="7533">
      <c r="A7533" s="8" t="n"/>
      <c r="B7533" s="9" t="n"/>
    </row>
    <row r="7534">
      <c r="A7534" s="8" t="n"/>
      <c r="B7534" s="9" t="n"/>
    </row>
    <row r="7535">
      <c r="A7535" s="8" t="n"/>
      <c r="B7535" s="9" t="n"/>
    </row>
    <row r="7536">
      <c r="A7536" s="8" t="n"/>
      <c r="B7536" s="9" t="n"/>
    </row>
    <row r="7537">
      <c r="A7537" s="8" t="n"/>
      <c r="B7537" s="9" t="n"/>
    </row>
    <row r="7538">
      <c r="A7538" s="8" t="n"/>
      <c r="B7538" s="9" t="n"/>
    </row>
    <row r="7539">
      <c r="A7539" s="8" t="n"/>
      <c r="B7539" s="9" t="n"/>
    </row>
    <row r="7540">
      <c r="A7540" s="8" t="n"/>
      <c r="B7540" s="9" t="n"/>
    </row>
    <row r="7541">
      <c r="A7541" s="8" t="n"/>
      <c r="B7541" s="9" t="n"/>
    </row>
    <row r="7542">
      <c r="A7542" s="8" t="n"/>
      <c r="B7542" s="9" t="n"/>
    </row>
    <row r="7543">
      <c r="A7543" s="8" t="n"/>
      <c r="B7543" s="9" t="n"/>
    </row>
    <row r="7544">
      <c r="A7544" s="8" t="n"/>
      <c r="B7544" s="9" t="n"/>
    </row>
    <row r="7545">
      <c r="A7545" s="8" t="n"/>
      <c r="B7545" s="9" t="n"/>
    </row>
    <row r="7546">
      <c r="A7546" s="8" t="n"/>
      <c r="B7546" s="9" t="n"/>
    </row>
    <row r="7547">
      <c r="A7547" s="8" t="n"/>
      <c r="B7547" s="9" t="n"/>
    </row>
    <row r="7548">
      <c r="A7548" s="8" t="n"/>
      <c r="B7548" s="9" t="n"/>
    </row>
    <row r="7549">
      <c r="A7549" s="8" t="n"/>
      <c r="B7549" s="9" t="n"/>
    </row>
    <row r="7550">
      <c r="A7550" s="8" t="n"/>
      <c r="B7550" s="9" t="n"/>
    </row>
    <row r="7551">
      <c r="A7551" s="8" t="n"/>
      <c r="B7551" s="9" t="n"/>
    </row>
    <row r="7552">
      <c r="A7552" s="8" t="n"/>
      <c r="B7552" s="9" t="n"/>
    </row>
    <row r="7553">
      <c r="A7553" s="8" t="n"/>
      <c r="B7553" s="9" t="n"/>
    </row>
    <row r="7554">
      <c r="A7554" s="8" t="n"/>
      <c r="B7554" s="9" t="n"/>
    </row>
    <row r="7555">
      <c r="A7555" s="8" t="n"/>
      <c r="B7555" s="9" t="n"/>
    </row>
    <row r="7556">
      <c r="A7556" s="8" t="n"/>
      <c r="B7556" s="9" t="n"/>
    </row>
    <row r="7557">
      <c r="A7557" s="8" t="n"/>
      <c r="B7557" s="9" t="n"/>
    </row>
    <row r="7558">
      <c r="A7558" s="8" t="n"/>
      <c r="B7558" s="9" t="n"/>
    </row>
    <row r="7559">
      <c r="A7559" s="8" t="n"/>
      <c r="B7559" s="9" t="n"/>
    </row>
    <row r="7560">
      <c r="A7560" s="8" t="n"/>
      <c r="B7560" s="9" t="n"/>
    </row>
    <row r="7561">
      <c r="A7561" s="8" t="n"/>
      <c r="B7561" s="9" t="n"/>
    </row>
    <row r="7562">
      <c r="A7562" s="8" t="n"/>
      <c r="B7562" s="9" t="n"/>
    </row>
    <row r="7563">
      <c r="A7563" s="8" t="n"/>
      <c r="B7563" s="9" t="n"/>
    </row>
    <row r="7564">
      <c r="A7564" s="8" t="n"/>
      <c r="B7564" s="9" t="n"/>
    </row>
    <row r="7565">
      <c r="A7565" s="8" t="n"/>
      <c r="B7565" s="9" t="n"/>
    </row>
    <row r="7566">
      <c r="A7566" s="8" t="n"/>
      <c r="B7566" s="9" t="n"/>
    </row>
    <row r="7567">
      <c r="A7567" s="8" t="n"/>
      <c r="B7567" s="9" t="n"/>
    </row>
    <row r="7568">
      <c r="A7568" s="8" t="n"/>
      <c r="B7568" s="9" t="n"/>
    </row>
    <row r="7569">
      <c r="A7569" s="8" t="n"/>
      <c r="B7569" s="9" t="n"/>
    </row>
    <row r="7570">
      <c r="A7570" s="8" t="n"/>
      <c r="B7570" s="9" t="n"/>
    </row>
    <row r="7571">
      <c r="A7571" s="8" t="n"/>
      <c r="B7571" s="9" t="n"/>
    </row>
    <row r="7572">
      <c r="A7572" s="8" t="n"/>
      <c r="B7572" s="9" t="n"/>
    </row>
    <row r="7573">
      <c r="A7573" s="8" t="n"/>
      <c r="B7573" s="9" t="n"/>
    </row>
    <row r="7574">
      <c r="A7574" s="8" t="n"/>
      <c r="B7574" s="9" t="n"/>
    </row>
    <row r="7575">
      <c r="A7575" s="8" t="n"/>
      <c r="B7575" s="9" t="n"/>
    </row>
    <row r="7576">
      <c r="A7576" s="8" t="n"/>
      <c r="B7576" s="9" t="n"/>
    </row>
    <row r="7577">
      <c r="A7577" s="8" t="n"/>
      <c r="B7577" s="9" t="n"/>
    </row>
    <row r="7578">
      <c r="A7578" s="8" t="n"/>
      <c r="B7578" s="9" t="n"/>
    </row>
    <row r="7579">
      <c r="A7579" s="8" t="n"/>
      <c r="B7579" s="9" t="n"/>
    </row>
    <row r="7580">
      <c r="A7580" s="8" t="n"/>
      <c r="B7580" s="9" t="n"/>
    </row>
    <row r="7581">
      <c r="A7581" s="8" t="n"/>
      <c r="B7581" s="9" t="n"/>
    </row>
    <row r="7582">
      <c r="A7582" s="8" t="n"/>
      <c r="B7582" s="9" t="n"/>
    </row>
    <row r="7583">
      <c r="A7583" s="8" t="n"/>
      <c r="B7583" s="9" t="n"/>
    </row>
    <row r="7584">
      <c r="A7584" s="8" t="n"/>
      <c r="B7584" s="9" t="n"/>
    </row>
    <row r="7585">
      <c r="A7585" s="8" t="n"/>
      <c r="B7585" s="9" t="n"/>
    </row>
    <row r="7586">
      <c r="A7586" s="8" t="n"/>
      <c r="B7586" s="9" t="n"/>
    </row>
    <row r="7587">
      <c r="A7587" s="8" t="n"/>
      <c r="B7587" s="9" t="n"/>
    </row>
    <row r="7588">
      <c r="A7588" s="8" t="n"/>
      <c r="B7588" s="9" t="n"/>
    </row>
    <row r="7589">
      <c r="A7589" s="8" t="n"/>
      <c r="B7589" s="9" t="n"/>
    </row>
    <row r="7590">
      <c r="A7590" s="8" t="n"/>
      <c r="B7590" s="9" t="n"/>
    </row>
    <row r="7591">
      <c r="A7591" s="8" t="n"/>
      <c r="B7591" s="9" t="n"/>
    </row>
    <row r="7592">
      <c r="A7592" s="8" t="n"/>
      <c r="B7592" s="9" t="n"/>
    </row>
    <row r="7593">
      <c r="A7593" s="8" t="n"/>
      <c r="B7593" s="9" t="n"/>
    </row>
    <row r="7594">
      <c r="A7594" s="8" t="n"/>
      <c r="B7594" s="9" t="n"/>
    </row>
    <row r="7595">
      <c r="A7595" s="8" t="n"/>
      <c r="B7595" s="9" t="n"/>
    </row>
    <row r="7596">
      <c r="A7596" s="8" t="n"/>
      <c r="B7596" s="9" t="n"/>
    </row>
    <row r="7597">
      <c r="A7597" s="8" t="n"/>
      <c r="B7597" s="9" t="n"/>
    </row>
    <row r="7598">
      <c r="A7598" s="8" t="n"/>
      <c r="B7598" s="9" t="n"/>
    </row>
    <row r="7599">
      <c r="A7599" s="8" t="n"/>
      <c r="B7599" s="9" t="n"/>
    </row>
    <row r="7600">
      <c r="A7600" s="8" t="n"/>
      <c r="B7600" s="9" t="n"/>
    </row>
    <row r="7601">
      <c r="A7601" s="8" t="n"/>
      <c r="B7601" s="9" t="n"/>
    </row>
    <row r="7602">
      <c r="A7602" s="8" t="n"/>
      <c r="B7602" s="9" t="n"/>
    </row>
    <row r="7603">
      <c r="A7603" s="8" t="n"/>
      <c r="B7603" s="9" t="n"/>
    </row>
    <row r="7604">
      <c r="A7604" s="8" t="n"/>
      <c r="B7604" s="9" t="n"/>
    </row>
    <row r="7605">
      <c r="A7605" s="8" t="n"/>
      <c r="B7605" s="9" t="n"/>
    </row>
    <row r="7606">
      <c r="A7606" s="8" t="n"/>
      <c r="B7606" s="9" t="n"/>
    </row>
    <row r="7607">
      <c r="A7607" s="8" t="n"/>
      <c r="B7607" s="9" t="n"/>
    </row>
    <row r="7608">
      <c r="A7608" s="8" t="n"/>
      <c r="B7608" s="9" t="n"/>
    </row>
    <row r="7609">
      <c r="A7609" s="8" t="n"/>
      <c r="B7609" s="9" t="n"/>
    </row>
    <row r="7610">
      <c r="A7610" s="8" t="n"/>
      <c r="B7610" s="9" t="n"/>
    </row>
    <row r="7611">
      <c r="A7611" s="8" t="n"/>
      <c r="B7611" s="9" t="n"/>
    </row>
    <row r="7612">
      <c r="A7612" s="8" t="n"/>
      <c r="B7612" s="9" t="n"/>
    </row>
    <row r="7613">
      <c r="A7613" s="8" t="n"/>
      <c r="B7613" s="9" t="n"/>
    </row>
    <row r="7614">
      <c r="A7614" s="8" t="n"/>
      <c r="B7614" s="9" t="n"/>
    </row>
    <row r="7615">
      <c r="A7615" s="8" t="n"/>
      <c r="B7615" s="9" t="n"/>
    </row>
    <row r="7616">
      <c r="A7616" s="8" t="n"/>
      <c r="B7616" s="9" t="n"/>
    </row>
    <row r="7617">
      <c r="A7617" s="8" t="n"/>
      <c r="B7617" s="9" t="n"/>
    </row>
    <row r="7618">
      <c r="A7618" s="8" t="n"/>
      <c r="B7618" s="9" t="n"/>
    </row>
    <row r="7619">
      <c r="A7619" s="8" t="n"/>
      <c r="B7619" s="9" t="n"/>
    </row>
    <row r="7620">
      <c r="A7620" s="8" t="n"/>
      <c r="B7620" s="9" t="n"/>
    </row>
    <row r="7621">
      <c r="A7621" s="8" t="n"/>
      <c r="B7621" s="9" t="n"/>
    </row>
    <row r="7622">
      <c r="A7622" s="8" t="n"/>
      <c r="B7622" s="9" t="n"/>
    </row>
    <row r="7623">
      <c r="A7623" s="8" t="n"/>
      <c r="B7623" s="9" t="n"/>
    </row>
    <row r="7624">
      <c r="A7624" s="8" t="n"/>
      <c r="B7624" s="9" t="n"/>
    </row>
    <row r="7625">
      <c r="A7625" s="8" t="n"/>
      <c r="B7625" s="9" t="n"/>
    </row>
    <row r="7626">
      <c r="A7626" s="8" t="n"/>
      <c r="B7626" s="9" t="n"/>
    </row>
    <row r="7627">
      <c r="A7627" s="8" t="n"/>
      <c r="B7627" s="9" t="n"/>
    </row>
    <row r="7628">
      <c r="A7628" s="8" t="n"/>
      <c r="B7628" s="9" t="n"/>
    </row>
    <row r="7629">
      <c r="A7629" s="8" t="n"/>
      <c r="B7629" s="9" t="n"/>
    </row>
    <row r="7630">
      <c r="A7630" s="8" t="n"/>
      <c r="B7630" s="9" t="n"/>
    </row>
    <row r="7631">
      <c r="A7631" s="8" t="n"/>
      <c r="B7631" s="9" t="n"/>
    </row>
    <row r="7632">
      <c r="A7632" s="8" t="n"/>
      <c r="B7632" s="9" t="n"/>
    </row>
    <row r="7633">
      <c r="A7633" s="8" t="n"/>
      <c r="B7633" s="9" t="n"/>
    </row>
    <row r="7634">
      <c r="A7634" s="8" t="n"/>
      <c r="B7634" s="9" t="n"/>
    </row>
    <row r="7635">
      <c r="A7635" s="8" t="n"/>
      <c r="B7635" s="9" t="n"/>
    </row>
    <row r="7636">
      <c r="A7636" s="8" t="n"/>
      <c r="B7636" s="9" t="n"/>
    </row>
    <row r="7637">
      <c r="A7637" s="8" t="n"/>
      <c r="B7637" s="9" t="n"/>
    </row>
    <row r="7638">
      <c r="A7638" s="8" t="n"/>
      <c r="B7638" s="9" t="n"/>
    </row>
    <row r="7639">
      <c r="A7639" s="8" t="n"/>
      <c r="B7639" s="9" t="n"/>
    </row>
    <row r="7640">
      <c r="A7640" s="8" t="n"/>
      <c r="B7640" s="9" t="n"/>
    </row>
    <row r="7641">
      <c r="A7641" s="8" t="n"/>
      <c r="B7641" s="9" t="n"/>
    </row>
    <row r="7642">
      <c r="A7642" s="8" t="n"/>
      <c r="B7642" s="9" t="n"/>
    </row>
    <row r="7643">
      <c r="A7643" s="8" t="n"/>
      <c r="B7643" s="9" t="n"/>
    </row>
    <row r="7644">
      <c r="A7644" s="8" t="n"/>
      <c r="B7644" s="9" t="n"/>
    </row>
    <row r="7645">
      <c r="A7645" s="8" t="n"/>
      <c r="B7645" s="9" t="n"/>
    </row>
    <row r="7646">
      <c r="A7646" s="8" t="n"/>
      <c r="B7646" s="9" t="n"/>
    </row>
    <row r="7647">
      <c r="A7647" s="8" t="n"/>
      <c r="B7647" s="9" t="n"/>
    </row>
    <row r="7648">
      <c r="A7648" s="8" t="n"/>
      <c r="B7648" s="9" t="n"/>
    </row>
    <row r="7649">
      <c r="A7649" s="8" t="n"/>
      <c r="B7649" s="9" t="n"/>
    </row>
    <row r="7650">
      <c r="A7650" s="8" t="n"/>
      <c r="B7650" s="9" t="n"/>
    </row>
    <row r="7651">
      <c r="A7651" s="8" t="n"/>
      <c r="B7651" s="9" t="n"/>
    </row>
    <row r="7652">
      <c r="A7652" s="8" t="n"/>
      <c r="B7652" s="9" t="n"/>
    </row>
    <row r="7653">
      <c r="A7653" s="8" t="n"/>
      <c r="B7653" s="9" t="n"/>
    </row>
    <row r="7654">
      <c r="A7654" s="8" t="n"/>
      <c r="B7654" s="9" t="n"/>
    </row>
    <row r="7655">
      <c r="A7655" s="8" t="n"/>
      <c r="B7655" s="9" t="n"/>
    </row>
    <row r="7656">
      <c r="A7656" s="8" t="n"/>
      <c r="B7656" s="9" t="n"/>
    </row>
    <row r="7657">
      <c r="A7657" s="8" t="n"/>
      <c r="B7657" s="9" t="n"/>
    </row>
    <row r="7658">
      <c r="A7658" s="8" t="n"/>
      <c r="B7658" s="9" t="n"/>
    </row>
    <row r="7659">
      <c r="A7659" s="8" t="n"/>
      <c r="B7659" s="9" t="n"/>
    </row>
    <row r="7660">
      <c r="A7660" s="8" t="n"/>
      <c r="B7660" s="9" t="n"/>
    </row>
    <row r="7661">
      <c r="A7661" s="8" t="n"/>
      <c r="B7661" s="9" t="n"/>
    </row>
    <row r="7662">
      <c r="A7662" s="8" t="n"/>
      <c r="B7662" s="9" t="n"/>
    </row>
    <row r="7663">
      <c r="A7663" s="8" t="n"/>
      <c r="B7663" s="9" t="n"/>
    </row>
    <row r="7664">
      <c r="A7664" s="8" t="n"/>
      <c r="B7664" s="9" t="n"/>
    </row>
    <row r="7665">
      <c r="A7665" s="8" t="n"/>
      <c r="B7665" s="9" t="n"/>
    </row>
    <row r="7666">
      <c r="A7666" s="8" t="n"/>
      <c r="B7666" s="9" t="n"/>
    </row>
    <row r="7667">
      <c r="A7667" s="8" t="n"/>
      <c r="B7667" s="9" t="n"/>
    </row>
    <row r="7668">
      <c r="A7668" s="8" t="n"/>
      <c r="B7668" s="9" t="n"/>
    </row>
    <row r="7669">
      <c r="A7669" s="8" t="n"/>
      <c r="B7669" s="9" t="n"/>
    </row>
    <row r="7670">
      <c r="A7670" s="8" t="n"/>
      <c r="B7670" s="9" t="n"/>
    </row>
    <row r="7671">
      <c r="A7671" s="8" t="n"/>
      <c r="B7671" s="9" t="n"/>
    </row>
    <row r="7672">
      <c r="A7672" s="8" t="n"/>
      <c r="B7672" s="9" t="n"/>
    </row>
    <row r="7673">
      <c r="A7673" s="8" t="n"/>
      <c r="B7673" s="9" t="n"/>
    </row>
    <row r="7674">
      <c r="A7674" s="8" t="n"/>
      <c r="B7674" s="9" t="n"/>
    </row>
    <row r="7675">
      <c r="A7675" s="8" t="n"/>
      <c r="B7675" s="9" t="n"/>
    </row>
    <row r="7676">
      <c r="A7676" s="8" t="n"/>
      <c r="B7676" s="9" t="n"/>
    </row>
    <row r="7677">
      <c r="A7677" s="8" t="n"/>
      <c r="B7677" s="9" t="n"/>
    </row>
    <row r="7678">
      <c r="A7678" s="8" t="n"/>
      <c r="B7678" s="9" t="n"/>
    </row>
    <row r="7679">
      <c r="A7679" s="8" t="n"/>
      <c r="B7679" s="9" t="n"/>
    </row>
    <row r="7680">
      <c r="A7680" s="8" t="n"/>
      <c r="B7680" s="9" t="n"/>
    </row>
    <row r="7681">
      <c r="A7681" s="8" t="n"/>
      <c r="B7681" s="9" t="n"/>
    </row>
    <row r="7682">
      <c r="A7682" s="8" t="n"/>
      <c r="B7682" s="9" t="n"/>
    </row>
    <row r="7683">
      <c r="A7683" s="8" t="n"/>
      <c r="B7683" s="9" t="n"/>
    </row>
    <row r="7684">
      <c r="A7684" s="8" t="n"/>
      <c r="B7684" s="9" t="n"/>
    </row>
    <row r="7685">
      <c r="A7685" s="8" t="n"/>
      <c r="B7685" s="9" t="n"/>
    </row>
    <row r="7686">
      <c r="A7686" s="8" t="n"/>
      <c r="B7686" s="9" t="n"/>
    </row>
    <row r="7687">
      <c r="A7687" s="8" t="n"/>
      <c r="B7687" s="9" t="n"/>
    </row>
    <row r="7688">
      <c r="A7688" s="8" t="n"/>
      <c r="B7688" s="9" t="n"/>
    </row>
    <row r="7689">
      <c r="A7689" s="8" t="n"/>
      <c r="B7689" s="9" t="n"/>
    </row>
    <row r="7690">
      <c r="A7690" s="8" t="n"/>
      <c r="B7690" s="9" t="n"/>
    </row>
    <row r="7691">
      <c r="A7691" s="8" t="n"/>
      <c r="B7691" s="9" t="n"/>
    </row>
    <row r="7692">
      <c r="A7692" s="8" t="n"/>
      <c r="B7692" s="9" t="n"/>
    </row>
    <row r="7693">
      <c r="A7693" s="8" t="n"/>
      <c r="B7693" s="9" t="n"/>
    </row>
    <row r="7694">
      <c r="A7694" s="8" t="n"/>
      <c r="B7694" s="9" t="n"/>
    </row>
    <row r="7695">
      <c r="A7695" s="8" t="n"/>
      <c r="B7695" s="9" t="n"/>
    </row>
    <row r="7696">
      <c r="A7696" s="8" t="n"/>
      <c r="B7696" s="9" t="n"/>
    </row>
    <row r="7697">
      <c r="A7697" s="8" t="n"/>
      <c r="B7697" s="9" t="n"/>
    </row>
    <row r="7698">
      <c r="A7698" s="8" t="n"/>
      <c r="B7698" s="9" t="n"/>
    </row>
    <row r="7699">
      <c r="A7699" s="8" t="n"/>
      <c r="B7699" s="9" t="n"/>
    </row>
    <row r="7700">
      <c r="A7700" s="8" t="n"/>
      <c r="B7700" s="9" t="n"/>
    </row>
    <row r="7701">
      <c r="A7701" s="8" t="n"/>
      <c r="B7701" s="9" t="n"/>
    </row>
    <row r="7702">
      <c r="A7702" s="8" t="n"/>
      <c r="B7702" s="9" t="n"/>
    </row>
    <row r="7703">
      <c r="A7703" s="8" t="n"/>
      <c r="B7703" s="9" t="n"/>
    </row>
    <row r="7704">
      <c r="A7704" s="8" t="n"/>
      <c r="B7704" s="9" t="n"/>
    </row>
    <row r="7705">
      <c r="A7705" s="8" t="n"/>
      <c r="B7705" s="9" t="n"/>
    </row>
    <row r="7706">
      <c r="A7706" s="8" t="n"/>
      <c r="B7706" s="9" t="n"/>
    </row>
    <row r="7707">
      <c r="A7707" s="8" t="n"/>
      <c r="B7707" s="9" t="n"/>
    </row>
    <row r="7708">
      <c r="A7708" s="8" t="n"/>
      <c r="B7708" s="9" t="n"/>
    </row>
    <row r="7709">
      <c r="A7709" s="8" t="n"/>
      <c r="B7709" s="9" t="n"/>
    </row>
    <row r="7710">
      <c r="A7710" s="8" t="n"/>
      <c r="B7710" s="9" t="n"/>
    </row>
    <row r="7711">
      <c r="A7711" s="8" t="n"/>
      <c r="B7711" s="9" t="n"/>
    </row>
    <row r="7712">
      <c r="A7712" s="8" t="n"/>
      <c r="B7712" s="9" t="n"/>
    </row>
    <row r="7713">
      <c r="A7713" s="8" t="n"/>
      <c r="B7713" s="9" t="n"/>
    </row>
    <row r="7714">
      <c r="A7714" s="8" t="n"/>
      <c r="B7714" s="9" t="n"/>
    </row>
    <row r="7715">
      <c r="A7715" s="8" t="n"/>
      <c r="B7715" s="9" t="n"/>
    </row>
    <row r="7716">
      <c r="A7716" s="8" t="n"/>
      <c r="B7716" s="9" t="n"/>
    </row>
    <row r="7717">
      <c r="A7717" s="8" t="n"/>
      <c r="B7717" s="9" t="n"/>
    </row>
    <row r="7718">
      <c r="A7718" s="8" t="n"/>
      <c r="B7718" s="9" t="n"/>
    </row>
    <row r="7719">
      <c r="A7719" s="8" t="n"/>
      <c r="B7719" s="9" t="n"/>
    </row>
    <row r="7720">
      <c r="A7720" s="8" t="n"/>
      <c r="B7720" s="9" t="n"/>
    </row>
    <row r="7721">
      <c r="A7721" s="8" t="n"/>
      <c r="B7721" s="9" t="n"/>
    </row>
    <row r="7722">
      <c r="A7722" s="8" t="n"/>
      <c r="B7722" s="9" t="n"/>
    </row>
    <row r="7723">
      <c r="A7723" s="8" t="n"/>
      <c r="B7723" s="9" t="n"/>
    </row>
    <row r="7724">
      <c r="A7724" s="8" t="n"/>
      <c r="B7724" s="9" t="n"/>
    </row>
    <row r="7725">
      <c r="A7725" s="8" t="n"/>
      <c r="B7725" s="9" t="n"/>
    </row>
    <row r="7726">
      <c r="A7726" s="8" t="n"/>
      <c r="B7726" s="9" t="n"/>
    </row>
    <row r="7727">
      <c r="A7727" s="8" t="n"/>
      <c r="B7727" s="9" t="n"/>
    </row>
    <row r="7728">
      <c r="A7728" s="8" t="n"/>
      <c r="B7728" s="9" t="n"/>
    </row>
    <row r="7729">
      <c r="A7729" s="8" t="n"/>
      <c r="B7729" s="9" t="n"/>
    </row>
    <row r="7730">
      <c r="A7730" s="8" t="n"/>
      <c r="B7730" s="9" t="n"/>
    </row>
    <row r="7731">
      <c r="A7731" s="8" t="n"/>
      <c r="B7731" s="9" t="n"/>
    </row>
    <row r="7732">
      <c r="A7732" s="8" t="n"/>
      <c r="B7732" s="9" t="n"/>
    </row>
    <row r="7733">
      <c r="A7733" s="8" t="n"/>
      <c r="B7733" s="9" t="n"/>
    </row>
    <row r="7734">
      <c r="A7734" s="8" t="n"/>
      <c r="B7734" s="9" t="n"/>
    </row>
    <row r="7735">
      <c r="A7735" s="8" t="n"/>
      <c r="B7735" s="9" t="n"/>
    </row>
    <row r="7736">
      <c r="A7736" s="8" t="n"/>
      <c r="B7736" s="9" t="n"/>
    </row>
    <row r="7737">
      <c r="A7737" s="8" t="n"/>
      <c r="B7737" s="9" t="n"/>
    </row>
    <row r="7738">
      <c r="A7738" s="8" t="n"/>
      <c r="B7738" s="9" t="n"/>
    </row>
    <row r="7739">
      <c r="A7739" s="8" t="n"/>
      <c r="B7739" s="9" t="n"/>
    </row>
    <row r="7740">
      <c r="A7740" s="8" t="n"/>
      <c r="B7740" s="9" t="n"/>
    </row>
    <row r="7741">
      <c r="A7741" s="8" t="n"/>
      <c r="B7741" s="9" t="n"/>
    </row>
    <row r="7742">
      <c r="A7742" s="8" t="n"/>
      <c r="B7742" s="9" t="n"/>
    </row>
    <row r="7743">
      <c r="A7743" s="8" t="n"/>
      <c r="B7743" s="9" t="n"/>
    </row>
    <row r="7744">
      <c r="A7744" s="8" t="n"/>
      <c r="B7744" s="9" t="n"/>
    </row>
    <row r="7745">
      <c r="A7745" s="8" t="n"/>
      <c r="B7745" s="9" t="n"/>
    </row>
    <row r="7746">
      <c r="A7746" s="8" t="n"/>
      <c r="B7746" s="9" t="n"/>
    </row>
    <row r="7747">
      <c r="A7747" s="8" t="n"/>
      <c r="B7747" s="9" t="n"/>
    </row>
    <row r="7748">
      <c r="A7748" s="8" t="n"/>
      <c r="B7748" s="9" t="n"/>
    </row>
    <row r="7749">
      <c r="A7749" s="8" t="n"/>
      <c r="B7749" s="9" t="n"/>
    </row>
    <row r="7750">
      <c r="A7750" s="8" t="n"/>
      <c r="B7750" s="9" t="n"/>
    </row>
    <row r="7751">
      <c r="A7751" s="8" t="n"/>
      <c r="B7751" s="9" t="n"/>
    </row>
    <row r="7752">
      <c r="A7752" s="8" t="n"/>
      <c r="B7752" s="9" t="n"/>
    </row>
    <row r="7753">
      <c r="A7753" s="8" t="n"/>
      <c r="B7753" s="9" t="n"/>
    </row>
    <row r="7754">
      <c r="A7754" s="8" t="n"/>
      <c r="B7754" s="9" t="n"/>
    </row>
    <row r="7755">
      <c r="A7755" s="8" t="n"/>
      <c r="B7755" s="9" t="n"/>
    </row>
    <row r="7756">
      <c r="A7756" s="8" t="n"/>
      <c r="B7756" s="9" t="n"/>
    </row>
    <row r="7757">
      <c r="A7757" s="8" t="n"/>
      <c r="B7757" s="9" t="n"/>
    </row>
    <row r="7758">
      <c r="A7758" s="8" t="n"/>
      <c r="B7758" s="9" t="n"/>
    </row>
    <row r="7759">
      <c r="A7759" s="8" t="n"/>
      <c r="B7759" s="9" t="n"/>
    </row>
    <row r="7760">
      <c r="A7760" s="8" t="n"/>
      <c r="B7760" s="9" t="n"/>
    </row>
    <row r="7761">
      <c r="A7761" s="8" t="n"/>
      <c r="B7761" s="9" t="n"/>
    </row>
    <row r="7762">
      <c r="A7762" s="8" t="n"/>
      <c r="B7762" s="9" t="n"/>
    </row>
    <row r="7763">
      <c r="A7763" s="8" t="n"/>
      <c r="B7763" s="9" t="n"/>
    </row>
    <row r="7764">
      <c r="A7764" s="8" t="n"/>
      <c r="B7764" s="9" t="n"/>
    </row>
    <row r="7765">
      <c r="A7765" s="8" t="n"/>
      <c r="B7765" s="9" t="n"/>
    </row>
    <row r="7766">
      <c r="A7766" s="8" t="n"/>
      <c r="B7766" s="9" t="n"/>
    </row>
    <row r="7767">
      <c r="A7767" s="8" t="n"/>
      <c r="B7767" s="9" t="n"/>
    </row>
    <row r="7768">
      <c r="A7768" s="8" t="n"/>
      <c r="B7768" s="9" t="n"/>
    </row>
    <row r="7769">
      <c r="A7769" s="8" t="n"/>
      <c r="B7769" s="9" t="n"/>
    </row>
    <row r="7770">
      <c r="A7770" s="8" t="n"/>
      <c r="B7770" s="9" t="n"/>
    </row>
    <row r="7771">
      <c r="A7771" s="8" t="n"/>
      <c r="B7771" s="9" t="n"/>
    </row>
    <row r="7772">
      <c r="A7772" s="8" t="n"/>
      <c r="B7772" s="9" t="n"/>
    </row>
    <row r="7773">
      <c r="A7773" s="8" t="n"/>
      <c r="B7773" s="9" t="n"/>
    </row>
    <row r="7774">
      <c r="A7774" s="8" t="n"/>
      <c r="B7774" s="9" t="n"/>
    </row>
    <row r="7775">
      <c r="A7775" s="8" t="n"/>
      <c r="B7775" s="9" t="n"/>
    </row>
    <row r="7776">
      <c r="A7776" s="8" t="n"/>
      <c r="B7776" s="9" t="n"/>
    </row>
    <row r="7777">
      <c r="A7777" s="8" t="n"/>
      <c r="B7777" s="9" t="n"/>
    </row>
    <row r="7778">
      <c r="A7778" s="8" t="n"/>
      <c r="B7778" s="9" t="n"/>
    </row>
    <row r="7779">
      <c r="A7779" s="8" t="n"/>
      <c r="B7779" s="9" t="n"/>
    </row>
    <row r="7780">
      <c r="A7780" s="8" t="n"/>
      <c r="B7780" s="9" t="n"/>
    </row>
    <row r="7781">
      <c r="A7781" s="8" t="n"/>
      <c r="B7781" s="9" t="n"/>
    </row>
    <row r="7782">
      <c r="A7782" s="8" t="n"/>
      <c r="B7782" s="9" t="n"/>
    </row>
    <row r="7783">
      <c r="A7783" s="8" t="n"/>
      <c r="B7783" s="9" t="n"/>
    </row>
    <row r="7784">
      <c r="A7784" s="8" t="n"/>
      <c r="B7784" s="9" t="n"/>
    </row>
    <row r="7785">
      <c r="A7785" s="8" t="n"/>
      <c r="B7785" s="9" t="n"/>
    </row>
    <row r="7786">
      <c r="A7786" s="8" t="n"/>
      <c r="B7786" s="9" t="n"/>
    </row>
    <row r="7787">
      <c r="A7787" s="8" t="n"/>
      <c r="B7787" s="9" t="n"/>
    </row>
    <row r="7788">
      <c r="A7788" s="8" t="n"/>
      <c r="B7788" s="9" t="n"/>
    </row>
    <row r="7789">
      <c r="A7789" s="8" t="n"/>
      <c r="B7789" s="9" t="n"/>
    </row>
    <row r="7790">
      <c r="A7790" s="8" t="n"/>
      <c r="B7790" s="9" t="n"/>
    </row>
    <row r="7791">
      <c r="A7791" s="8" t="n"/>
      <c r="B7791" s="9" t="n"/>
    </row>
    <row r="7792">
      <c r="A7792" s="8" t="n"/>
      <c r="B7792" s="9" t="n"/>
    </row>
    <row r="7793">
      <c r="A7793" s="8" t="n"/>
      <c r="B7793" s="9" t="n"/>
    </row>
    <row r="7794">
      <c r="A7794" s="8" t="n"/>
      <c r="B7794" s="9" t="n"/>
    </row>
    <row r="7795">
      <c r="A7795" s="8" t="n"/>
      <c r="B7795" s="9" t="n"/>
    </row>
    <row r="7796">
      <c r="A7796" s="8" t="n"/>
      <c r="B7796" s="9" t="n"/>
    </row>
    <row r="7797">
      <c r="A7797" s="8" t="n"/>
      <c r="B7797" s="9" t="n"/>
    </row>
    <row r="7798">
      <c r="A7798" s="8" t="n"/>
      <c r="B7798" s="9" t="n"/>
    </row>
    <row r="7799">
      <c r="A7799" s="8" t="n"/>
      <c r="B7799" s="9" t="n"/>
    </row>
    <row r="7800">
      <c r="A7800" s="8" t="n"/>
      <c r="B7800" s="9" t="n"/>
    </row>
    <row r="7801">
      <c r="A7801" s="8" t="n"/>
      <c r="B7801" s="9" t="n"/>
    </row>
    <row r="7802">
      <c r="A7802" s="8" t="n"/>
      <c r="B7802" s="9" t="n"/>
    </row>
    <row r="7803">
      <c r="A7803" s="8" t="n"/>
      <c r="B7803" s="9" t="n"/>
    </row>
    <row r="7804">
      <c r="A7804" s="8" t="n"/>
      <c r="B7804" s="9" t="n"/>
    </row>
    <row r="7805">
      <c r="A7805" s="8" t="n"/>
      <c r="B7805" s="9" t="n"/>
    </row>
    <row r="7806">
      <c r="A7806" s="8" t="n"/>
      <c r="B7806" s="9" t="n"/>
    </row>
    <row r="7807">
      <c r="A7807" s="8" t="n"/>
      <c r="B7807" s="9" t="n"/>
    </row>
    <row r="7808">
      <c r="A7808" s="8" t="n"/>
      <c r="B7808" s="9" t="n"/>
    </row>
    <row r="7809">
      <c r="A7809" s="8" t="n"/>
      <c r="B7809" s="9" t="n"/>
    </row>
    <row r="7810">
      <c r="A7810" s="8" t="n"/>
      <c r="B7810" s="9" t="n"/>
    </row>
    <row r="7811">
      <c r="A7811" s="8" t="n"/>
      <c r="B7811" s="9" t="n"/>
    </row>
    <row r="7812">
      <c r="A7812" s="8" t="n"/>
      <c r="B7812" s="9" t="n"/>
    </row>
    <row r="7813">
      <c r="A7813" s="8" t="n"/>
      <c r="B7813" s="9" t="n"/>
    </row>
    <row r="7814">
      <c r="A7814" s="8" t="n"/>
      <c r="B7814" s="9" t="n"/>
    </row>
    <row r="7815">
      <c r="A7815" s="8" t="n"/>
      <c r="B7815" s="9" t="n"/>
    </row>
    <row r="7816">
      <c r="A7816" s="8" t="n"/>
      <c r="B7816" s="9" t="n"/>
    </row>
    <row r="7817">
      <c r="A7817" s="8" t="n"/>
      <c r="B7817" s="9" t="n"/>
    </row>
    <row r="7818">
      <c r="A7818" s="8" t="n"/>
      <c r="B7818" s="9" t="n"/>
    </row>
    <row r="7819">
      <c r="A7819" s="8" t="n"/>
      <c r="B7819" s="9" t="n"/>
    </row>
    <row r="7820">
      <c r="A7820" s="8" t="n"/>
      <c r="B7820" s="9" t="n"/>
    </row>
    <row r="7821">
      <c r="A7821" s="8" t="n"/>
      <c r="B7821" s="9" t="n"/>
    </row>
    <row r="7822">
      <c r="A7822" s="8" t="n"/>
      <c r="B7822" s="9" t="n"/>
    </row>
    <row r="7823">
      <c r="A7823" s="8" t="n"/>
      <c r="B7823" s="9" t="n"/>
    </row>
    <row r="7824">
      <c r="A7824" s="8" t="n"/>
      <c r="B7824" s="9" t="n"/>
    </row>
    <row r="7825">
      <c r="A7825" s="8" t="n"/>
      <c r="B7825" s="9" t="n"/>
    </row>
    <row r="7826">
      <c r="A7826" s="8" t="n"/>
      <c r="B7826" s="9" t="n"/>
    </row>
    <row r="7827">
      <c r="A7827" s="8" t="n"/>
      <c r="B7827" s="9" t="n"/>
    </row>
    <row r="7828">
      <c r="A7828" s="8" t="n"/>
      <c r="B7828" s="9" t="n"/>
    </row>
    <row r="7829">
      <c r="A7829" s="8" t="n"/>
      <c r="B7829" s="9" t="n"/>
    </row>
    <row r="7830">
      <c r="A7830" s="8" t="n"/>
      <c r="B7830" s="9" t="n"/>
    </row>
    <row r="7831">
      <c r="A7831" s="8" t="n"/>
      <c r="B7831" s="9" t="n"/>
    </row>
    <row r="7832">
      <c r="A7832" s="8" t="n"/>
      <c r="B7832" s="9" t="n"/>
    </row>
    <row r="7833">
      <c r="A7833" s="8" t="n"/>
      <c r="B7833" s="9" t="n"/>
    </row>
    <row r="7834">
      <c r="A7834" s="8" t="n"/>
      <c r="B7834" s="9" t="n"/>
    </row>
    <row r="7835">
      <c r="A7835" s="8" t="n"/>
      <c r="B7835" s="9" t="n"/>
    </row>
    <row r="7836">
      <c r="A7836" s="8" t="n"/>
      <c r="B7836" s="9" t="n"/>
    </row>
    <row r="7837">
      <c r="A7837" s="8" t="n"/>
      <c r="B7837" s="9" t="n"/>
    </row>
    <row r="7838">
      <c r="A7838" s="8" t="n"/>
      <c r="B7838" s="9" t="n"/>
    </row>
    <row r="7839">
      <c r="A7839" s="8" t="n"/>
      <c r="B7839" s="9" t="n"/>
    </row>
    <row r="7840">
      <c r="A7840" s="8" t="n"/>
      <c r="B7840" s="9" t="n"/>
    </row>
    <row r="7841">
      <c r="A7841" s="8" t="n"/>
      <c r="B7841" s="9" t="n"/>
    </row>
    <row r="7842">
      <c r="A7842" s="8" t="n"/>
      <c r="B7842" s="9" t="n"/>
    </row>
    <row r="7843">
      <c r="A7843" s="8" t="n"/>
      <c r="B7843" s="9" t="n"/>
    </row>
    <row r="7844">
      <c r="A7844" s="8" t="n"/>
      <c r="B7844" s="9" t="n"/>
    </row>
    <row r="7845">
      <c r="A7845" s="8" t="n"/>
      <c r="B7845" s="9" t="n"/>
    </row>
    <row r="7846">
      <c r="A7846" s="8" t="n"/>
      <c r="B7846" s="9" t="n"/>
    </row>
    <row r="7847">
      <c r="A7847" s="8" t="n"/>
      <c r="B7847" s="9" t="n"/>
    </row>
    <row r="7848">
      <c r="A7848" s="8" t="n"/>
      <c r="B7848" s="9" t="n"/>
    </row>
    <row r="7849">
      <c r="A7849" s="8" t="n"/>
      <c r="B7849" s="9" t="n"/>
    </row>
    <row r="7850">
      <c r="A7850" s="8" t="n"/>
      <c r="B7850" s="9" t="n"/>
    </row>
    <row r="7851">
      <c r="A7851" s="8" t="n"/>
      <c r="B7851" s="9" t="n"/>
    </row>
    <row r="7852">
      <c r="A7852" s="8" t="n"/>
      <c r="B7852" s="9" t="n"/>
    </row>
    <row r="7853">
      <c r="A7853" s="8" t="n"/>
      <c r="B7853" s="9" t="n"/>
    </row>
    <row r="7854">
      <c r="A7854" s="8" t="n"/>
      <c r="B7854" s="9" t="n"/>
    </row>
    <row r="7855">
      <c r="A7855" s="8" t="n"/>
      <c r="B7855" s="9" t="n"/>
    </row>
    <row r="7856">
      <c r="A7856" s="8" t="n"/>
      <c r="B7856" s="9" t="n"/>
    </row>
    <row r="7857">
      <c r="A7857" s="8" t="n"/>
      <c r="B7857" s="9" t="n"/>
    </row>
    <row r="7858">
      <c r="A7858" s="8" t="n"/>
      <c r="B7858" s="9" t="n"/>
    </row>
    <row r="7859">
      <c r="A7859" s="8" t="n"/>
      <c r="B7859" s="9" t="n"/>
    </row>
    <row r="7860">
      <c r="A7860" s="8" t="n"/>
      <c r="B7860" s="9" t="n"/>
    </row>
    <row r="7861">
      <c r="A7861" s="8" t="n"/>
      <c r="B7861" s="9" t="n"/>
    </row>
    <row r="7862">
      <c r="A7862" s="8" t="n"/>
      <c r="B7862" s="9" t="n"/>
    </row>
    <row r="7863">
      <c r="A7863" s="8" t="n"/>
      <c r="B7863" s="9" t="n"/>
    </row>
    <row r="7864">
      <c r="A7864" s="8" t="n"/>
      <c r="B7864" s="9" t="n"/>
    </row>
    <row r="7865">
      <c r="A7865" s="8" t="n"/>
      <c r="B7865" s="9" t="n"/>
    </row>
    <row r="7866">
      <c r="A7866" s="8" t="n"/>
      <c r="B7866" s="9" t="n"/>
    </row>
    <row r="7867">
      <c r="A7867" s="8" t="n"/>
      <c r="B7867" s="9" t="n"/>
    </row>
    <row r="7868">
      <c r="A7868" s="8" t="n"/>
      <c r="B7868" s="9" t="n"/>
    </row>
    <row r="7869">
      <c r="A7869" s="8" t="n"/>
      <c r="B7869" s="9" t="n"/>
    </row>
    <row r="7870">
      <c r="A7870" s="8" t="n"/>
      <c r="B7870" s="9" t="n"/>
    </row>
    <row r="7871">
      <c r="A7871" s="8" t="n"/>
      <c r="B7871" s="9" t="n"/>
    </row>
    <row r="7872">
      <c r="A7872" s="8" t="n"/>
      <c r="B7872" s="9" t="n"/>
    </row>
    <row r="7873">
      <c r="A7873" s="8" t="n"/>
      <c r="B7873" s="9" t="n"/>
    </row>
    <row r="7874">
      <c r="A7874" s="8" t="n"/>
      <c r="B7874" s="9" t="n"/>
    </row>
    <row r="7875">
      <c r="A7875" s="8" t="n"/>
      <c r="B7875" s="9" t="n"/>
    </row>
    <row r="7876">
      <c r="A7876" s="8" t="n"/>
      <c r="B7876" s="9" t="n"/>
    </row>
    <row r="7877">
      <c r="A7877" s="8" t="n"/>
      <c r="B7877" s="9" t="n"/>
    </row>
    <row r="7878">
      <c r="A7878" s="8" t="n"/>
      <c r="B7878" s="9" t="n"/>
    </row>
    <row r="7879">
      <c r="A7879" s="8" t="n"/>
      <c r="B7879" s="9" t="n"/>
    </row>
    <row r="7880">
      <c r="A7880" s="8" t="n"/>
      <c r="B7880" s="9" t="n"/>
    </row>
    <row r="7881">
      <c r="A7881" s="8" t="n"/>
      <c r="B7881" s="9" t="n"/>
    </row>
    <row r="7882">
      <c r="A7882" s="8" t="n"/>
      <c r="B7882" s="9" t="n"/>
    </row>
    <row r="7883">
      <c r="A7883" s="8" t="n"/>
      <c r="B7883" s="9" t="n"/>
    </row>
    <row r="7884">
      <c r="A7884" s="8" t="n"/>
      <c r="B7884" s="9" t="n"/>
    </row>
    <row r="7885">
      <c r="A7885" s="8" t="n"/>
      <c r="B7885" s="9" t="n"/>
    </row>
    <row r="7886">
      <c r="A7886" s="8" t="n"/>
      <c r="B7886" s="9" t="n"/>
    </row>
    <row r="7887">
      <c r="A7887" s="8" t="n"/>
      <c r="B7887" s="9" t="n"/>
    </row>
    <row r="7888">
      <c r="A7888" s="8" t="n"/>
      <c r="B7888" s="9" t="n"/>
    </row>
    <row r="7889">
      <c r="A7889" s="8" t="n"/>
      <c r="B7889" s="9" t="n"/>
    </row>
    <row r="7890">
      <c r="A7890" s="8" t="n"/>
      <c r="B7890" s="9" t="n"/>
    </row>
    <row r="7891">
      <c r="A7891" s="8" t="n"/>
      <c r="B7891" s="9" t="n"/>
    </row>
    <row r="7892">
      <c r="A7892" s="8" t="n"/>
      <c r="B7892" s="9" t="n"/>
    </row>
    <row r="7893">
      <c r="A7893" s="8" t="n"/>
      <c r="B7893" s="9" t="n"/>
    </row>
    <row r="7894">
      <c r="A7894" s="8" t="n"/>
      <c r="B7894" s="9" t="n"/>
    </row>
    <row r="7895">
      <c r="A7895" s="8" t="n"/>
      <c r="B7895" s="9" t="n"/>
    </row>
    <row r="7896">
      <c r="A7896" s="8" t="n"/>
      <c r="B7896" s="9" t="n"/>
    </row>
    <row r="7897">
      <c r="A7897" s="8" t="n"/>
      <c r="B7897" s="9" t="n"/>
    </row>
    <row r="7898">
      <c r="A7898" s="8" t="n"/>
      <c r="B7898" s="9" t="n"/>
    </row>
    <row r="7899">
      <c r="A7899" s="8" t="n"/>
      <c r="B7899" s="9" t="n"/>
    </row>
    <row r="7900">
      <c r="A7900" s="8" t="n"/>
      <c r="B7900" s="9" t="n"/>
    </row>
    <row r="7901">
      <c r="A7901" s="8" t="n"/>
      <c r="B7901" s="9" t="n"/>
    </row>
    <row r="7902">
      <c r="A7902" s="8" t="n"/>
      <c r="B7902" s="9" t="n"/>
    </row>
    <row r="7903">
      <c r="A7903" s="8" t="n"/>
      <c r="B7903" s="9" t="n"/>
    </row>
    <row r="7904">
      <c r="A7904" s="8" t="n"/>
      <c r="B7904" s="9" t="n"/>
    </row>
    <row r="7905">
      <c r="A7905" s="8" t="n"/>
      <c r="B7905" s="9" t="n"/>
    </row>
    <row r="7906">
      <c r="A7906" s="8" t="n"/>
      <c r="B7906" s="9" t="n"/>
    </row>
    <row r="7907">
      <c r="A7907" s="8" t="n"/>
      <c r="B7907" s="9" t="n"/>
    </row>
    <row r="7908">
      <c r="A7908" s="8" t="n"/>
      <c r="B7908" s="9" t="n"/>
    </row>
    <row r="7909">
      <c r="A7909" s="8" t="n"/>
      <c r="B7909" s="9" t="n"/>
    </row>
    <row r="7910">
      <c r="A7910" s="8" t="n"/>
      <c r="B7910" s="9" t="n"/>
    </row>
    <row r="7911">
      <c r="A7911" s="8" t="n"/>
      <c r="B7911" s="9" t="n"/>
    </row>
    <row r="7912">
      <c r="A7912" s="8" t="n"/>
      <c r="B7912" s="9" t="n"/>
    </row>
    <row r="7913">
      <c r="A7913" s="8" t="n"/>
      <c r="B7913" s="9" t="n"/>
    </row>
    <row r="7914">
      <c r="A7914" s="8" t="n"/>
      <c r="B7914" s="9" t="n"/>
    </row>
    <row r="7915">
      <c r="A7915" s="8" t="n"/>
      <c r="B7915" s="9" t="n"/>
    </row>
    <row r="7916">
      <c r="A7916" s="8" t="n"/>
      <c r="B7916" s="9" t="n"/>
    </row>
    <row r="7917">
      <c r="A7917" s="8" t="n"/>
      <c r="B7917" s="9" t="n"/>
    </row>
    <row r="7918">
      <c r="A7918" s="8" t="n"/>
      <c r="B7918" s="9" t="n"/>
    </row>
    <row r="7919">
      <c r="A7919" s="8" t="n"/>
      <c r="B7919" s="9" t="n"/>
    </row>
    <row r="7920">
      <c r="A7920" s="8" t="n"/>
      <c r="B7920" s="9" t="n"/>
    </row>
    <row r="7921">
      <c r="A7921" s="8" t="n"/>
      <c r="B7921" s="9" t="n"/>
    </row>
    <row r="7922">
      <c r="A7922" s="8" t="n"/>
      <c r="B7922" s="9" t="n"/>
    </row>
    <row r="7923">
      <c r="A7923" s="8" t="n"/>
      <c r="B7923" s="9" t="n"/>
    </row>
    <row r="7924">
      <c r="A7924" s="8" t="n"/>
      <c r="B7924" s="9" t="n"/>
    </row>
    <row r="7925">
      <c r="A7925" s="8" t="n"/>
      <c r="B7925" s="9" t="n"/>
    </row>
    <row r="7926">
      <c r="A7926" s="8" t="n"/>
      <c r="B7926" s="9" t="n"/>
    </row>
    <row r="7927">
      <c r="A7927" s="8" t="n"/>
      <c r="B7927" s="9" t="n"/>
    </row>
    <row r="7928">
      <c r="A7928" s="8" t="n"/>
      <c r="B7928" s="9" t="n"/>
    </row>
    <row r="7929">
      <c r="A7929" s="8" t="n"/>
      <c r="B7929" s="9" t="n"/>
    </row>
    <row r="7930">
      <c r="A7930" s="8" t="n"/>
      <c r="B7930" s="9" t="n"/>
    </row>
    <row r="7931">
      <c r="A7931" s="8" t="n"/>
      <c r="B7931" s="9" t="n"/>
    </row>
    <row r="7932">
      <c r="A7932" s="8" t="n"/>
      <c r="B7932" s="9" t="n"/>
    </row>
    <row r="7933">
      <c r="A7933" s="8" t="n"/>
      <c r="B7933" s="9" t="n"/>
    </row>
    <row r="7934">
      <c r="A7934" s="8" t="n"/>
      <c r="B7934" s="9" t="n"/>
    </row>
    <row r="7935">
      <c r="A7935" s="8" t="n"/>
      <c r="B7935" s="9" t="n"/>
    </row>
    <row r="7936">
      <c r="A7936" s="8" t="n"/>
      <c r="B7936" s="9" t="n"/>
    </row>
    <row r="7937">
      <c r="A7937" s="8" t="n"/>
      <c r="B7937" s="9" t="n"/>
    </row>
    <row r="7938">
      <c r="A7938" s="8" t="n"/>
      <c r="B7938" s="9" t="n"/>
    </row>
    <row r="7939">
      <c r="A7939" s="8" t="n"/>
      <c r="B7939" s="9" t="n"/>
    </row>
    <row r="7940">
      <c r="A7940" s="8" t="n"/>
      <c r="B7940" s="9" t="n"/>
    </row>
    <row r="7941">
      <c r="A7941" s="8" t="n"/>
      <c r="B7941" s="9" t="n"/>
    </row>
    <row r="7942">
      <c r="A7942" s="8" t="n"/>
      <c r="B7942" s="9" t="n"/>
    </row>
    <row r="7943">
      <c r="A7943" s="8" t="n"/>
      <c r="B7943" s="9" t="n"/>
    </row>
    <row r="7944">
      <c r="A7944" s="8" t="n"/>
      <c r="B7944" s="9" t="n"/>
    </row>
    <row r="7945">
      <c r="A7945" s="8" t="n"/>
      <c r="B7945" s="9" t="n"/>
    </row>
    <row r="7946">
      <c r="A7946" s="8" t="n"/>
      <c r="B7946" s="9" t="n"/>
    </row>
    <row r="7947">
      <c r="A7947" s="8" t="n"/>
      <c r="B7947" s="9" t="n"/>
    </row>
    <row r="7948">
      <c r="A7948" s="8" t="n"/>
      <c r="B7948" s="9" t="n"/>
    </row>
    <row r="7949">
      <c r="A7949" s="8" t="n"/>
      <c r="B7949" s="9" t="n"/>
    </row>
    <row r="7950">
      <c r="A7950" s="8" t="n"/>
      <c r="B7950" s="9" t="n"/>
    </row>
    <row r="7951">
      <c r="A7951" s="8" t="n"/>
      <c r="B7951" s="9" t="n"/>
    </row>
    <row r="7952">
      <c r="A7952" s="8" t="n"/>
      <c r="B7952" s="9" t="n"/>
    </row>
    <row r="7953">
      <c r="A7953" s="8" t="n"/>
      <c r="B7953" s="9" t="n"/>
    </row>
    <row r="7954">
      <c r="A7954" s="8" t="n"/>
      <c r="B7954" s="9" t="n"/>
    </row>
    <row r="7955">
      <c r="A7955" s="8" t="n"/>
      <c r="B7955" s="9" t="n"/>
    </row>
    <row r="7956">
      <c r="A7956" s="8" t="n"/>
      <c r="B7956" s="9" t="n"/>
    </row>
    <row r="7957">
      <c r="A7957" s="8" t="n"/>
      <c r="B7957" s="9" t="n"/>
    </row>
    <row r="7958">
      <c r="A7958" s="8" t="n"/>
      <c r="B7958" s="9" t="n"/>
    </row>
    <row r="7959">
      <c r="A7959" s="8" t="n"/>
      <c r="B7959" s="9" t="n"/>
    </row>
    <row r="7960">
      <c r="A7960" s="8" t="n"/>
      <c r="B7960" s="9" t="n"/>
    </row>
    <row r="7961">
      <c r="A7961" s="8" t="n"/>
      <c r="B7961" s="9" t="n"/>
    </row>
    <row r="7962">
      <c r="A7962" s="8" t="n"/>
      <c r="B7962" s="9" t="n"/>
    </row>
    <row r="7963">
      <c r="A7963" s="8" t="n"/>
      <c r="B7963" s="9" t="n"/>
    </row>
    <row r="7964">
      <c r="A7964" s="8" t="n"/>
      <c r="B7964" s="9" t="n"/>
    </row>
    <row r="7965">
      <c r="A7965" s="8" t="n"/>
      <c r="B7965" s="9" t="n"/>
    </row>
    <row r="7966">
      <c r="A7966" s="8" t="n"/>
      <c r="B7966" s="9" t="n"/>
    </row>
    <row r="7967">
      <c r="A7967" s="8" t="n"/>
      <c r="B7967" s="9" t="n"/>
    </row>
    <row r="7968">
      <c r="A7968" s="8" t="n"/>
      <c r="B7968" s="9" t="n"/>
    </row>
    <row r="7969">
      <c r="A7969" s="8" t="n"/>
      <c r="B7969" s="9" t="n"/>
    </row>
    <row r="7970">
      <c r="A7970" s="8" t="n"/>
      <c r="B7970" s="9" t="n"/>
    </row>
    <row r="7971">
      <c r="A7971" s="8" t="n"/>
      <c r="B7971" s="9" t="n"/>
    </row>
    <row r="7972">
      <c r="A7972" s="8" t="n"/>
      <c r="B7972" s="9" t="n"/>
    </row>
    <row r="7973">
      <c r="A7973" s="8" t="n"/>
      <c r="B7973" s="9" t="n"/>
    </row>
    <row r="7974">
      <c r="A7974" s="8" t="n"/>
      <c r="B7974" s="9" t="n"/>
    </row>
    <row r="7975">
      <c r="A7975" s="8" t="n"/>
      <c r="B7975" s="9" t="n"/>
    </row>
    <row r="7976">
      <c r="A7976" s="8" t="n"/>
      <c r="B7976" s="9" t="n"/>
    </row>
    <row r="7977">
      <c r="A7977" s="8" t="n"/>
      <c r="B7977" s="9" t="n"/>
    </row>
    <row r="7978">
      <c r="A7978" s="8" t="n"/>
      <c r="B7978" s="9" t="n"/>
    </row>
    <row r="7979">
      <c r="A7979" s="8" t="n"/>
      <c r="B7979" s="9" t="n"/>
    </row>
    <row r="7980">
      <c r="A7980" s="8" t="n"/>
      <c r="B7980" s="9" t="n"/>
    </row>
    <row r="7981">
      <c r="A7981" s="8" t="n"/>
      <c r="B7981" s="9" t="n"/>
    </row>
    <row r="7982">
      <c r="A7982" s="8" t="n"/>
      <c r="B7982" s="9" t="n"/>
    </row>
    <row r="7983">
      <c r="A7983" s="8" t="n"/>
      <c r="B7983" s="9" t="n"/>
    </row>
    <row r="7984">
      <c r="A7984" s="8" t="n"/>
      <c r="B7984" s="9" t="n"/>
    </row>
    <row r="7985">
      <c r="A7985" s="8" t="n"/>
      <c r="B7985" s="9" t="n"/>
    </row>
    <row r="7986">
      <c r="A7986" s="8" t="n"/>
      <c r="B7986" s="9" t="n"/>
    </row>
    <row r="7987">
      <c r="A7987" s="8" t="n"/>
      <c r="B7987" s="9" t="n"/>
    </row>
    <row r="7988">
      <c r="A7988" s="8" t="n"/>
      <c r="B7988" s="9" t="n"/>
    </row>
    <row r="7989">
      <c r="A7989" s="8" t="n"/>
      <c r="B7989" s="9" t="n"/>
    </row>
    <row r="7990">
      <c r="A7990" s="8" t="n"/>
      <c r="B7990" s="9" t="n"/>
    </row>
    <row r="7991">
      <c r="A7991" s="8" t="n"/>
      <c r="B7991" s="9" t="n"/>
    </row>
    <row r="7992">
      <c r="A7992" s="8" t="n"/>
      <c r="B7992" s="9" t="n"/>
    </row>
    <row r="7993">
      <c r="A7993" s="8" t="n"/>
      <c r="B7993" s="9" t="n"/>
    </row>
    <row r="7994">
      <c r="A7994" s="8" t="n"/>
      <c r="B7994" s="9" t="n"/>
    </row>
    <row r="7995">
      <c r="A7995" s="8" t="n"/>
      <c r="B7995" s="9" t="n"/>
    </row>
    <row r="7996">
      <c r="A7996" s="8" t="n"/>
      <c r="B7996" s="9" t="n"/>
    </row>
    <row r="7997">
      <c r="A7997" s="8" t="n"/>
      <c r="B7997" s="9" t="n"/>
    </row>
    <row r="7998">
      <c r="A7998" s="8" t="n"/>
      <c r="B7998" s="9" t="n"/>
    </row>
    <row r="7999">
      <c r="A7999" s="8" t="n"/>
      <c r="B7999" s="9" t="n"/>
    </row>
    <row r="8000">
      <c r="A8000" s="8" t="n"/>
      <c r="B8000" s="9" t="n"/>
    </row>
    <row r="8001">
      <c r="A8001" s="8" t="n"/>
      <c r="B8001" s="9" t="n"/>
    </row>
    <row r="8002">
      <c r="A8002" s="8" t="n"/>
      <c r="B8002" s="9" t="n"/>
    </row>
    <row r="8003">
      <c r="A8003" s="8" t="n"/>
      <c r="B8003" s="9" t="n"/>
    </row>
    <row r="8004">
      <c r="A8004" s="8" t="n"/>
      <c r="B8004" s="9" t="n"/>
    </row>
    <row r="8005">
      <c r="A8005" s="8" t="n"/>
      <c r="B8005" s="9" t="n"/>
    </row>
    <row r="8006">
      <c r="A8006" s="8" t="n"/>
      <c r="B8006" s="9" t="n"/>
    </row>
    <row r="8007">
      <c r="A8007" s="8" t="n"/>
      <c r="B8007" s="9" t="n"/>
    </row>
    <row r="8008">
      <c r="A8008" s="8" t="n"/>
      <c r="B8008" s="9" t="n"/>
    </row>
    <row r="8009">
      <c r="A8009" s="8" t="n"/>
      <c r="B8009" s="9" t="n"/>
    </row>
    <row r="8010">
      <c r="A8010" s="8" t="n"/>
      <c r="B8010" s="9" t="n"/>
    </row>
    <row r="8011">
      <c r="A8011" s="8" t="n"/>
      <c r="B8011" s="9" t="n"/>
    </row>
    <row r="8012">
      <c r="A8012" s="8" t="n"/>
      <c r="B8012" s="9" t="n"/>
    </row>
    <row r="8013">
      <c r="A8013" s="8" t="n"/>
      <c r="B8013" s="9" t="n"/>
    </row>
    <row r="8014">
      <c r="A8014" s="8" t="n"/>
      <c r="B8014" s="9" t="n"/>
    </row>
    <row r="8015">
      <c r="A8015" s="8" t="n"/>
      <c r="B8015" s="9" t="n"/>
    </row>
    <row r="8016">
      <c r="A8016" s="8" t="n"/>
      <c r="B8016" s="9" t="n"/>
    </row>
    <row r="8017">
      <c r="A8017" s="8" t="n"/>
      <c r="B8017" s="9" t="n"/>
    </row>
    <row r="8018">
      <c r="A8018" s="8" t="n"/>
      <c r="B8018" s="9" t="n"/>
    </row>
    <row r="8019">
      <c r="A8019" s="8" t="n"/>
      <c r="B8019" s="9" t="n"/>
    </row>
    <row r="8020">
      <c r="A8020" s="8" t="n"/>
      <c r="B8020" s="9" t="n"/>
    </row>
    <row r="8021">
      <c r="A8021" s="8" t="n"/>
      <c r="B8021" s="9" t="n"/>
    </row>
    <row r="8022">
      <c r="A8022" s="8" t="n"/>
      <c r="B8022" s="9" t="n"/>
    </row>
    <row r="8023">
      <c r="A8023" s="8" t="n"/>
      <c r="B8023" s="9" t="n"/>
    </row>
    <row r="8024">
      <c r="A8024" s="8" t="n"/>
      <c r="B8024" s="9" t="n"/>
    </row>
    <row r="8025">
      <c r="A8025" s="8" t="n"/>
      <c r="B8025" s="9" t="n"/>
    </row>
    <row r="8026">
      <c r="A8026" s="8" t="n"/>
      <c r="B8026" s="9" t="n"/>
    </row>
    <row r="8027">
      <c r="A8027" s="8" t="n"/>
      <c r="B8027" s="9" t="n"/>
    </row>
    <row r="8028">
      <c r="A8028" s="8" t="n"/>
      <c r="B8028" s="9" t="n"/>
    </row>
    <row r="8029">
      <c r="A8029" s="8" t="n"/>
      <c r="B8029" s="9" t="n"/>
    </row>
    <row r="8030">
      <c r="A8030" s="8" t="n"/>
      <c r="B8030" s="9" t="n"/>
    </row>
    <row r="8031">
      <c r="A8031" s="8" t="n"/>
      <c r="B8031" s="9" t="n"/>
    </row>
    <row r="8032">
      <c r="A8032" s="8" t="n"/>
      <c r="B8032" s="9" t="n"/>
    </row>
    <row r="8033">
      <c r="A8033" s="8" t="n"/>
      <c r="B8033" s="9" t="n"/>
    </row>
    <row r="8034">
      <c r="A8034" s="8" t="n"/>
      <c r="B8034" s="9" t="n"/>
    </row>
    <row r="8035">
      <c r="A8035" s="8" t="n"/>
      <c r="B8035" s="9" t="n"/>
    </row>
    <row r="8036">
      <c r="A8036" s="8" t="n"/>
      <c r="B8036" s="9" t="n"/>
    </row>
    <row r="8037">
      <c r="A8037" s="8" t="n"/>
      <c r="B8037" s="9" t="n"/>
    </row>
    <row r="8038">
      <c r="A8038" s="8" t="n"/>
      <c r="B8038" s="9" t="n"/>
    </row>
    <row r="8039">
      <c r="A8039" s="8" t="n"/>
      <c r="B8039" s="9" t="n"/>
    </row>
    <row r="8040">
      <c r="A8040" s="8" t="n"/>
      <c r="B8040" s="9" t="n"/>
    </row>
    <row r="8041">
      <c r="A8041" s="8" t="n"/>
      <c r="B8041" s="9" t="n"/>
    </row>
    <row r="8042">
      <c r="A8042" s="8" t="n"/>
      <c r="B8042" s="9" t="n"/>
    </row>
    <row r="8043">
      <c r="A8043" s="8" t="n"/>
      <c r="B8043" s="9" t="n"/>
    </row>
    <row r="8044">
      <c r="A8044" s="8" t="n"/>
      <c r="B8044" s="9" t="n"/>
    </row>
    <row r="8045">
      <c r="A8045" s="8" t="n"/>
      <c r="B8045" s="9" t="n"/>
    </row>
    <row r="8046">
      <c r="A8046" s="8" t="n"/>
      <c r="B8046" s="9" t="n"/>
    </row>
    <row r="8047">
      <c r="A8047" s="8" t="n"/>
      <c r="B8047" s="9" t="n"/>
    </row>
    <row r="8048">
      <c r="A8048" s="8" t="n"/>
      <c r="B8048" s="9" t="n"/>
    </row>
    <row r="8049">
      <c r="A8049" s="8" t="n"/>
      <c r="B8049" s="9" t="n"/>
    </row>
    <row r="8050">
      <c r="A8050" s="8" t="n"/>
      <c r="B8050" s="9" t="n"/>
    </row>
    <row r="8051">
      <c r="A8051" s="8" t="n"/>
      <c r="B8051" s="9" t="n"/>
    </row>
    <row r="8052">
      <c r="A8052" s="8" t="n"/>
      <c r="B8052" s="9" t="n"/>
    </row>
    <row r="8053">
      <c r="A8053" s="8" t="n"/>
      <c r="B8053" s="9" t="n"/>
    </row>
    <row r="8054">
      <c r="A8054" s="8" t="n"/>
      <c r="B8054" s="9" t="n"/>
    </row>
    <row r="8055">
      <c r="A8055" s="8" t="n"/>
      <c r="B8055" s="9" t="n"/>
    </row>
    <row r="8056">
      <c r="A8056" s="8" t="n"/>
      <c r="B8056" s="9" t="n"/>
    </row>
    <row r="8057">
      <c r="A8057" s="8" t="n"/>
      <c r="B8057" s="9" t="n"/>
    </row>
    <row r="8058">
      <c r="A8058" s="8" t="n"/>
      <c r="B8058" s="9" t="n"/>
    </row>
    <row r="8059">
      <c r="A8059" s="8" t="n"/>
      <c r="B8059" s="9" t="n"/>
    </row>
    <row r="8060">
      <c r="A8060" s="8" t="n"/>
      <c r="B8060" s="9" t="n"/>
    </row>
    <row r="8061">
      <c r="A8061" s="8" t="n"/>
      <c r="B8061" s="9" t="n"/>
    </row>
    <row r="8062">
      <c r="A8062" s="8" t="n"/>
      <c r="B8062" s="9" t="n"/>
    </row>
    <row r="8063">
      <c r="A8063" s="8" t="n"/>
      <c r="B8063" s="9" t="n"/>
    </row>
    <row r="8064">
      <c r="A8064" s="8" t="n"/>
      <c r="B8064" s="9" t="n"/>
    </row>
    <row r="8065">
      <c r="A8065" s="8" t="n"/>
      <c r="B8065" s="9" t="n"/>
    </row>
    <row r="8066">
      <c r="A8066" s="8" t="n"/>
      <c r="B8066" s="9" t="n"/>
    </row>
    <row r="8067">
      <c r="A8067" s="8" t="n"/>
      <c r="B8067" s="9" t="n"/>
    </row>
    <row r="8068">
      <c r="A8068" s="8" t="n"/>
      <c r="B8068" s="9" t="n"/>
    </row>
    <row r="8069">
      <c r="A8069" s="8" t="n"/>
      <c r="B8069" s="9" t="n"/>
    </row>
    <row r="8070">
      <c r="A8070" s="8" t="n"/>
      <c r="B8070" s="9" t="n"/>
    </row>
    <row r="8071">
      <c r="A8071" s="8" t="n"/>
      <c r="B8071" s="9" t="n"/>
    </row>
    <row r="8072">
      <c r="A8072" s="8" t="n"/>
      <c r="B8072" s="9" t="n"/>
    </row>
    <row r="8073">
      <c r="A8073" s="8" t="n"/>
      <c r="B8073" s="9" t="n"/>
    </row>
    <row r="8074">
      <c r="A8074" s="8" t="n"/>
      <c r="B8074" s="9" t="n"/>
    </row>
    <row r="8075">
      <c r="A8075" s="8" t="n"/>
      <c r="B8075" s="9" t="n"/>
    </row>
    <row r="8076">
      <c r="A8076" s="8" t="n"/>
      <c r="B8076" s="9" t="n"/>
    </row>
    <row r="8077">
      <c r="A8077" s="8" t="n"/>
      <c r="B8077" s="9" t="n"/>
    </row>
    <row r="8078">
      <c r="A8078" s="8" t="n"/>
      <c r="B8078" s="9" t="n"/>
    </row>
    <row r="8079">
      <c r="A8079" s="8" t="n"/>
      <c r="B8079" s="9" t="n"/>
    </row>
    <row r="8080">
      <c r="A8080" s="8" t="n"/>
      <c r="B8080" s="9" t="n"/>
    </row>
    <row r="8081">
      <c r="A8081" s="8" t="n"/>
      <c r="B8081" s="9" t="n"/>
    </row>
    <row r="8082">
      <c r="A8082" s="8" t="n"/>
      <c r="B8082" s="9" t="n"/>
    </row>
    <row r="8083">
      <c r="A8083" s="8" t="n"/>
      <c r="B8083" s="9" t="n"/>
    </row>
    <row r="8084">
      <c r="A8084" s="8" t="n"/>
      <c r="B8084" s="9" t="n"/>
    </row>
    <row r="8085">
      <c r="A8085" s="8" t="n"/>
      <c r="B8085" s="9" t="n"/>
    </row>
    <row r="8086">
      <c r="A8086" s="8" t="n"/>
      <c r="B8086" s="9" t="n"/>
    </row>
    <row r="8087">
      <c r="A8087" s="8" t="n"/>
      <c r="B8087" s="9" t="n"/>
    </row>
    <row r="8088">
      <c r="A8088" s="8" t="n"/>
      <c r="B8088" s="9" t="n"/>
    </row>
    <row r="8089">
      <c r="A8089" s="8" t="n"/>
      <c r="B8089" s="9" t="n"/>
    </row>
    <row r="8090">
      <c r="A8090" s="8" t="n"/>
      <c r="B8090" s="9" t="n"/>
    </row>
    <row r="8091">
      <c r="A8091" s="8" t="n"/>
      <c r="B8091" s="9" t="n"/>
    </row>
    <row r="8092">
      <c r="A8092" s="8" t="n"/>
      <c r="B8092" s="9" t="n"/>
    </row>
    <row r="8093">
      <c r="A8093" s="8" t="n"/>
      <c r="B8093" s="9" t="n"/>
    </row>
    <row r="8094">
      <c r="A8094" s="8" t="n"/>
      <c r="B8094" s="9" t="n"/>
    </row>
    <row r="8095">
      <c r="A8095" s="8" t="n"/>
      <c r="B8095" s="9" t="n"/>
    </row>
    <row r="8096">
      <c r="A8096" s="8" t="n"/>
      <c r="B8096" s="9" t="n"/>
    </row>
    <row r="8097">
      <c r="A8097" s="8" t="n"/>
      <c r="B8097" s="9" t="n"/>
    </row>
    <row r="8098">
      <c r="A8098" s="8" t="n"/>
      <c r="B8098" s="9" t="n"/>
    </row>
    <row r="8099">
      <c r="A8099" s="8" t="n"/>
      <c r="B8099" s="9" t="n"/>
    </row>
    <row r="8100">
      <c r="A8100" s="8" t="n"/>
      <c r="B8100" s="9" t="n"/>
    </row>
    <row r="8101">
      <c r="A8101" s="8" t="n"/>
      <c r="B8101" s="9" t="n"/>
    </row>
    <row r="8102">
      <c r="A8102" s="8" t="n"/>
      <c r="B8102" s="9" t="n"/>
    </row>
    <row r="8103">
      <c r="A8103" s="8" t="n"/>
      <c r="B8103" s="9" t="n"/>
    </row>
    <row r="8104">
      <c r="A8104" s="8" t="n"/>
      <c r="B8104" s="9" t="n"/>
    </row>
    <row r="8105">
      <c r="A8105" s="8" t="n"/>
      <c r="B8105" s="9" t="n"/>
    </row>
    <row r="8106">
      <c r="A8106" s="8" t="n"/>
      <c r="B8106" s="9" t="n"/>
    </row>
    <row r="8107">
      <c r="A8107" s="8" t="n"/>
      <c r="B8107" s="9" t="n"/>
    </row>
    <row r="8108">
      <c r="A8108" s="8" t="n"/>
      <c r="B8108" s="9" t="n"/>
    </row>
    <row r="8109">
      <c r="A8109" s="8" t="n"/>
      <c r="B8109" s="9" t="n"/>
    </row>
    <row r="8110">
      <c r="A8110" s="8" t="n"/>
      <c r="B8110" s="9" t="n"/>
    </row>
    <row r="8111">
      <c r="A8111" s="8" t="n"/>
      <c r="B8111" s="9" t="n"/>
    </row>
    <row r="8112">
      <c r="A8112" s="8" t="n"/>
      <c r="B8112" s="9" t="n"/>
    </row>
    <row r="8113">
      <c r="A8113" s="8" t="n"/>
      <c r="B8113" s="9" t="n"/>
    </row>
    <row r="8114">
      <c r="A8114" s="8" t="n"/>
      <c r="B8114" s="9" t="n"/>
    </row>
    <row r="8115">
      <c r="A8115" s="8" t="n"/>
      <c r="B8115" s="9" t="n"/>
    </row>
    <row r="8116">
      <c r="A8116" s="8" t="n"/>
      <c r="B8116" s="9" t="n"/>
    </row>
    <row r="8117">
      <c r="A8117" s="8" t="n"/>
      <c r="B8117" s="9" t="n"/>
    </row>
    <row r="8118">
      <c r="A8118" s="8" t="n"/>
      <c r="B8118" s="9" t="n"/>
    </row>
    <row r="8119">
      <c r="A8119" s="8" t="n"/>
      <c r="B8119" s="9" t="n"/>
    </row>
    <row r="8120">
      <c r="A8120" s="8" t="n"/>
      <c r="B8120" s="9" t="n"/>
    </row>
    <row r="8121">
      <c r="A8121" s="8" t="n"/>
      <c r="B8121" s="9" t="n"/>
    </row>
    <row r="8122">
      <c r="A8122" s="8" t="n"/>
      <c r="B8122" s="9" t="n"/>
    </row>
    <row r="8123">
      <c r="A8123" s="8" t="n"/>
      <c r="B8123" s="9" t="n"/>
    </row>
    <row r="8124">
      <c r="A8124" s="8" t="n"/>
      <c r="B8124" s="9" t="n"/>
    </row>
    <row r="8125">
      <c r="A8125" s="8" t="n"/>
      <c r="B8125" s="9" t="n"/>
    </row>
    <row r="8126">
      <c r="A8126" s="8" t="n"/>
      <c r="B8126" s="9" t="n"/>
    </row>
    <row r="8127">
      <c r="A8127" s="8" t="n"/>
      <c r="B8127" s="9" t="n"/>
    </row>
    <row r="8128">
      <c r="A8128" s="8" t="n"/>
      <c r="B8128" s="9" t="n"/>
    </row>
    <row r="8129">
      <c r="A8129" s="8" t="n"/>
      <c r="B8129" s="9" t="n"/>
    </row>
    <row r="8130">
      <c r="A8130" s="8" t="n"/>
      <c r="B8130" s="9" t="n"/>
    </row>
    <row r="8131">
      <c r="A8131" s="8" t="n"/>
      <c r="B8131" s="9" t="n"/>
    </row>
    <row r="8132">
      <c r="A8132" s="8" t="n"/>
      <c r="B8132" s="9" t="n"/>
    </row>
    <row r="8133">
      <c r="A8133" s="8" t="n"/>
      <c r="B8133" s="9" t="n"/>
    </row>
    <row r="8134">
      <c r="A8134" s="8" t="n"/>
      <c r="B8134" s="9" t="n"/>
    </row>
    <row r="8135">
      <c r="A8135" s="8" t="n"/>
      <c r="B8135" s="9" t="n"/>
    </row>
    <row r="8136">
      <c r="A8136" s="8" t="n"/>
      <c r="B8136" s="9" t="n"/>
    </row>
    <row r="8137">
      <c r="A8137" s="8" t="n"/>
      <c r="B8137" s="9" t="n"/>
    </row>
    <row r="8138">
      <c r="A8138" s="8" t="n"/>
      <c r="B8138" s="9" t="n"/>
    </row>
    <row r="8139">
      <c r="A8139" s="8" t="n"/>
      <c r="B8139" s="9" t="n"/>
    </row>
    <row r="8140">
      <c r="A8140" s="8" t="n"/>
      <c r="B8140" s="9" t="n"/>
    </row>
    <row r="8141">
      <c r="A8141" s="8" t="n"/>
      <c r="B8141" s="9" t="n"/>
    </row>
    <row r="8142">
      <c r="A8142" s="8" t="n"/>
      <c r="B8142" s="9" t="n"/>
    </row>
    <row r="8143">
      <c r="A8143" s="8" t="n"/>
      <c r="B8143" s="9" t="n"/>
    </row>
    <row r="8144">
      <c r="A8144" s="8" t="n"/>
      <c r="B8144" s="9" t="n"/>
    </row>
    <row r="8145">
      <c r="A8145" s="8" t="n"/>
      <c r="B8145" s="9" t="n"/>
    </row>
    <row r="8146">
      <c r="A8146" s="8" t="n"/>
      <c r="B8146" s="9" t="n"/>
    </row>
    <row r="8147">
      <c r="A8147" s="8" t="n"/>
      <c r="B8147" s="9" t="n"/>
    </row>
    <row r="8148">
      <c r="A8148" s="8" t="n"/>
      <c r="B8148" s="9" t="n"/>
    </row>
    <row r="8149">
      <c r="A8149" s="8" t="n"/>
      <c r="B8149" s="9" t="n"/>
    </row>
    <row r="8150">
      <c r="A8150" s="8" t="n"/>
      <c r="B8150" s="9" t="n"/>
    </row>
    <row r="8151">
      <c r="A8151" s="8" t="n"/>
      <c r="B8151" s="9" t="n"/>
    </row>
    <row r="8152">
      <c r="A8152" s="8" t="n"/>
      <c r="B8152" s="9" t="n"/>
    </row>
    <row r="8153">
      <c r="A8153" s="8" t="n"/>
      <c r="B8153" s="9" t="n"/>
    </row>
    <row r="8154">
      <c r="A8154" s="8" t="n"/>
      <c r="B8154" s="9" t="n"/>
    </row>
    <row r="8155">
      <c r="A8155" s="8" t="n"/>
      <c r="B8155" s="9" t="n"/>
    </row>
    <row r="8156">
      <c r="A8156" s="8" t="n"/>
      <c r="B8156" s="9" t="n"/>
    </row>
    <row r="8157">
      <c r="A8157" s="8" t="n"/>
      <c r="B8157" s="9" t="n"/>
    </row>
    <row r="8158">
      <c r="A8158" s="8" t="n"/>
      <c r="B8158" s="9" t="n"/>
    </row>
    <row r="8159">
      <c r="A8159" s="8" t="n"/>
      <c r="B8159" s="9" t="n"/>
    </row>
    <row r="8160">
      <c r="A8160" s="8" t="n"/>
      <c r="B8160" s="9" t="n"/>
    </row>
    <row r="8161">
      <c r="A8161" s="8" t="n"/>
      <c r="B8161" s="9" t="n"/>
    </row>
    <row r="8162">
      <c r="A8162" s="8" t="n"/>
      <c r="B8162" s="9" t="n"/>
    </row>
    <row r="8163">
      <c r="A8163" s="8" t="n"/>
      <c r="B8163" s="9" t="n"/>
    </row>
    <row r="8164">
      <c r="A8164" s="8" t="n"/>
      <c r="B8164" s="9" t="n"/>
    </row>
    <row r="8165">
      <c r="A8165" s="8" t="n"/>
      <c r="B8165" s="9" t="n"/>
    </row>
    <row r="8166">
      <c r="A8166" s="8" t="n"/>
      <c r="B8166" s="9" t="n"/>
    </row>
    <row r="8167">
      <c r="A8167" s="8" t="n"/>
      <c r="B8167" s="9" t="n"/>
    </row>
    <row r="8168">
      <c r="A8168" s="8" t="n"/>
      <c r="B8168" s="9" t="n"/>
    </row>
    <row r="8169">
      <c r="A8169" s="8" t="n"/>
      <c r="B8169" s="9" t="n"/>
    </row>
    <row r="8170">
      <c r="A8170" s="8" t="n"/>
      <c r="B8170" s="9" t="n"/>
    </row>
    <row r="8171">
      <c r="A8171" s="8" t="n"/>
      <c r="B8171" s="9" t="n"/>
    </row>
    <row r="8172">
      <c r="A8172" s="8" t="n"/>
      <c r="B8172" s="9" t="n"/>
    </row>
    <row r="8173">
      <c r="A8173" s="8" t="n"/>
      <c r="B8173" s="9" t="n"/>
    </row>
    <row r="8174">
      <c r="A8174" s="8" t="n"/>
      <c r="B8174" s="9" t="n"/>
    </row>
    <row r="8175">
      <c r="A8175" s="8" t="n"/>
      <c r="B8175" s="9" t="n"/>
    </row>
    <row r="8176">
      <c r="A8176" s="8" t="n"/>
      <c r="B8176" s="9" t="n"/>
    </row>
    <row r="8177">
      <c r="A8177" s="8" t="n"/>
      <c r="B8177" s="9" t="n"/>
    </row>
    <row r="8178">
      <c r="A8178" s="8" t="n"/>
      <c r="B8178" s="9" t="n"/>
    </row>
    <row r="8179">
      <c r="A8179" s="8" t="n"/>
      <c r="B8179" s="9" t="n"/>
    </row>
    <row r="8180">
      <c r="A8180" s="8" t="n"/>
      <c r="B8180" s="9" t="n"/>
    </row>
    <row r="8181">
      <c r="A8181" s="8" t="n"/>
      <c r="B8181" s="9" t="n"/>
    </row>
    <row r="8182">
      <c r="A8182" s="8" t="n"/>
      <c r="B8182" s="9" t="n"/>
    </row>
    <row r="8183">
      <c r="A8183" s="8" t="n"/>
      <c r="B8183" s="9" t="n"/>
    </row>
    <row r="8184">
      <c r="A8184" s="8" t="n"/>
      <c r="B8184" s="9" t="n"/>
    </row>
    <row r="8185">
      <c r="A8185" s="8" t="n"/>
      <c r="B8185" s="9" t="n"/>
    </row>
    <row r="8186">
      <c r="A8186" s="8" t="n"/>
      <c r="B8186" s="9" t="n"/>
    </row>
    <row r="8187">
      <c r="A8187" s="8" t="n"/>
      <c r="B8187" s="9" t="n"/>
    </row>
    <row r="8188">
      <c r="A8188" s="8" t="n"/>
      <c r="B8188" s="9" t="n"/>
    </row>
    <row r="8189">
      <c r="A8189" s="8" t="n"/>
      <c r="B8189" s="9" t="n"/>
    </row>
    <row r="8190">
      <c r="A8190" s="8" t="n"/>
      <c r="B8190" s="9" t="n"/>
    </row>
    <row r="8191">
      <c r="A8191" s="8" t="n"/>
      <c r="B8191" s="9" t="n"/>
    </row>
    <row r="8192">
      <c r="A8192" s="8" t="n"/>
      <c r="B8192" s="9" t="n"/>
    </row>
    <row r="8193">
      <c r="A8193" s="8" t="n"/>
      <c r="B8193" s="9" t="n"/>
    </row>
    <row r="8194">
      <c r="A8194" s="8" t="n"/>
      <c r="B8194" s="9" t="n"/>
    </row>
    <row r="8195">
      <c r="A8195" s="8" t="n"/>
      <c r="B8195" s="9" t="n"/>
    </row>
    <row r="8196">
      <c r="A8196" s="8" t="n"/>
      <c r="B8196" s="9" t="n"/>
    </row>
    <row r="8197">
      <c r="A8197" s="8" t="n"/>
      <c r="B8197" s="9" t="n"/>
    </row>
    <row r="8198">
      <c r="A8198" s="8" t="n"/>
      <c r="B8198" s="9" t="n"/>
    </row>
    <row r="8199">
      <c r="A8199" s="8" t="n"/>
      <c r="B8199" s="9" t="n"/>
    </row>
    <row r="8200">
      <c r="A8200" s="8" t="n"/>
      <c r="B8200" s="9" t="n"/>
    </row>
    <row r="8201">
      <c r="A8201" s="8" t="n"/>
      <c r="B8201" s="9" t="n"/>
    </row>
    <row r="8202">
      <c r="A8202" s="8" t="n"/>
      <c r="B8202" s="9" t="n"/>
    </row>
    <row r="8203">
      <c r="A8203" s="8" t="n"/>
      <c r="B8203" s="9" t="n"/>
    </row>
    <row r="8204">
      <c r="A8204" s="8" t="n"/>
      <c r="B8204" s="9" t="n"/>
    </row>
    <row r="8205">
      <c r="A8205" s="8" t="n"/>
      <c r="B8205" s="9" t="n"/>
    </row>
    <row r="8206">
      <c r="A8206" s="8" t="n"/>
      <c r="B8206" s="9" t="n"/>
    </row>
    <row r="8207">
      <c r="A8207" s="8" t="n"/>
      <c r="B8207" s="9" t="n"/>
    </row>
    <row r="8208">
      <c r="A8208" s="8" t="n"/>
      <c r="B8208" s="9" t="n"/>
    </row>
    <row r="8209">
      <c r="A8209" s="8" t="n"/>
      <c r="B8209" s="9" t="n"/>
    </row>
    <row r="8210">
      <c r="A8210" s="8" t="n"/>
      <c r="B8210" s="9" t="n"/>
    </row>
    <row r="8211">
      <c r="A8211" s="8" t="n"/>
      <c r="B8211" s="9" t="n"/>
    </row>
    <row r="8212">
      <c r="A8212" s="8" t="n"/>
      <c r="B8212" s="9" t="n"/>
    </row>
    <row r="8213">
      <c r="A8213" s="8" t="n"/>
      <c r="B8213" s="9" t="n"/>
    </row>
    <row r="8214">
      <c r="A8214" s="8" t="n"/>
      <c r="B8214" s="9" t="n"/>
    </row>
    <row r="8215">
      <c r="A8215" s="8" t="n"/>
      <c r="B8215" s="9" t="n"/>
    </row>
    <row r="8216">
      <c r="A8216" s="8" t="n"/>
      <c r="B8216" s="9" t="n"/>
    </row>
    <row r="8217">
      <c r="A8217" s="8" t="n"/>
      <c r="B8217" s="9" t="n"/>
    </row>
    <row r="8218">
      <c r="A8218" s="8" t="n"/>
      <c r="B8218" s="9" t="n"/>
    </row>
    <row r="8219">
      <c r="A8219" s="8" t="n"/>
      <c r="B8219" s="9" t="n"/>
    </row>
    <row r="8220">
      <c r="A8220" s="8" t="n"/>
      <c r="B8220" s="9" t="n"/>
    </row>
    <row r="8221">
      <c r="A8221" s="8" t="n"/>
      <c r="B8221" s="9" t="n"/>
    </row>
    <row r="8222">
      <c r="A8222" s="8" t="n"/>
      <c r="B8222" s="9" t="n"/>
    </row>
    <row r="8223">
      <c r="A8223" s="8" t="n"/>
      <c r="B8223" s="9" t="n"/>
    </row>
    <row r="8224">
      <c r="A8224" s="8" t="n"/>
      <c r="B8224" s="9" t="n"/>
    </row>
    <row r="8225">
      <c r="A8225" s="8" t="n"/>
      <c r="B8225" s="9" t="n"/>
    </row>
    <row r="8226">
      <c r="A8226" s="8" t="n"/>
      <c r="B8226" s="9" t="n"/>
    </row>
    <row r="8227">
      <c r="A8227" s="8" t="n"/>
      <c r="B8227" s="9" t="n"/>
    </row>
    <row r="8228">
      <c r="A8228" s="8" t="n"/>
      <c r="B8228" s="9" t="n"/>
    </row>
    <row r="8229">
      <c r="A8229" s="8" t="n"/>
      <c r="B8229" s="9" t="n"/>
    </row>
    <row r="8230">
      <c r="A8230" s="8" t="n"/>
      <c r="B8230" s="9" t="n"/>
    </row>
    <row r="8231">
      <c r="A8231" s="8" t="n"/>
      <c r="B8231" s="9" t="n"/>
    </row>
    <row r="8232">
      <c r="A8232" s="8" t="n"/>
      <c r="B8232" s="9" t="n"/>
    </row>
    <row r="8233">
      <c r="A8233" s="8" t="n"/>
      <c r="B8233" s="9" t="n"/>
    </row>
    <row r="8234">
      <c r="A8234" s="8" t="n"/>
      <c r="B8234" s="9" t="n"/>
    </row>
    <row r="8235">
      <c r="A8235" s="8" t="n"/>
      <c r="B8235" s="9" t="n"/>
    </row>
    <row r="8236">
      <c r="A8236" s="8" t="n"/>
      <c r="B8236" s="9" t="n"/>
    </row>
    <row r="8237">
      <c r="A8237" s="8" t="n"/>
      <c r="B8237" s="9" t="n"/>
    </row>
    <row r="8238">
      <c r="A8238" s="8" t="n"/>
      <c r="B8238" s="9" t="n"/>
    </row>
    <row r="8239">
      <c r="A8239" s="8" t="n"/>
      <c r="B8239" s="9" t="n"/>
    </row>
    <row r="8240">
      <c r="A8240" s="8" t="n"/>
      <c r="B8240" s="9" t="n"/>
    </row>
    <row r="8241">
      <c r="A8241" s="8" t="n"/>
      <c r="B8241" s="9" t="n"/>
    </row>
    <row r="8242">
      <c r="A8242" s="8" t="n"/>
      <c r="B8242" s="9" t="n"/>
    </row>
    <row r="8243">
      <c r="A8243" s="8" t="n"/>
      <c r="B8243" s="9" t="n"/>
    </row>
    <row r="8244">
      <c r="A8244" s="8" t="n"/>
      <c r="B8244" s="9" t="n"/>
    </row>
    <row r="8245">
      <c r="A8245" s="8" t="n"/>
      <c r="B8245" s="9" t="n"/>
    </row>
    <row r="8246">
      <c r="A8246" s="8" t="n"/>
      <c r="B8246" s="9" t="n"/>
    </row>
    <row r="8247">
      <c r="A8247" s="8" t="n"/>
      <c r="B8247" s="9" t="n"/>
    </row>
    <row r="8248">
      <c r="A8248" s="8" t="n"/>
      <c r="B8248" s="9" t="n"/>
    </row>
    <row r="8249">
      <c r="A8249" s="8" t="n"/>
      <c r="B8249" s="9" t="n"/>
    </row>
    <row r="8250">
      <c r="A8250" s="8" t="n"/>
      <c r="B8250" s="9" t="n"/>
    </row>
    <row r="8251">
      <c r="A8251" s="8" t="n"/>
      <c r="B8251" s="9" t="n"/>
    </row>
    <row r="8252">
      <c r="A8252" s="8" t="n"/>
      <c r="B8252" s="9" t="n"/>
    </row>
    <row r="8253">
      <c r="A8253" s="8" t="n"/>
      <c r="B8253" s="9" t="n"/>
    </row>
    <row r="8254">
      <c r="A8254" s="8" t="n"/>
      <c r="B8254" s="9" t="n"/>
    </row>
    <row r="8255">
      <c r="A8255" s="8" t="n"/>
      <c r="B8255" s="9" t="n"/>
    </row>
    <row r="8256">
      <c r="A8256" s="8" t="n"/>
      <c r="B8256" s="9" t="n"/>
    </row>
    <row r="8257">
      <c r="A8257" s="8" t="n"/>
      <c r="B8257" s="9" t="n"/>
    </row>
    <row r="8258">
      <c r="A8258" s="8" t="n"/>
      <c r="B8258" s="9" t="n"/>
    </row>
    <row r="8259">
      <c r="A8259" s="8" t="n"/>
      <c r="B8259" s="9" t="n"/>
    </row>
    <row r="8260">
      <c r="A8260" s="8" t="n"/>
      <c r="B8260" s="9" t="n"/>
    </row>
    <row r="8261">
      <c r="A8261" s="8" t="n"/>
      <c r="B8261" s="9" t="n"/>
    </row>
    <row r="8262">
      <c r="A8262" s="8" t="n"/>
      <c r="B8262" s="9" t="n"/>
    </row>
    <row r="8263">
      <c r="A8263" s="8" t="n"/>
      <c r="B8263" s="9" t="n"/>
    </row>
    <row r="8264">
      <c r="A8264" s="8" t="n"/>
      <c r="B8264" s="9" t="n"/>
    </row>
    <row r="8265">
      <c r="A8265" s="8" t="n"/>
      <c r="B8265" s="9" t="n"/>
    </row>
    <row r="8266">
      <c r="A8266" s="8" t="n"/>
      <c r="B8266" s="9" t="n"/>
    </row>
    <row r="8267">
      <c r="A8267" s="8" t="n"/>
      <c r="B8267" s="9" t="n"/>
    </row>
    <row r="8268">
      <c r="A8268" s="8" t="n"/>
      <c r="B8268" s="9" t="n"/>
    </row>
    <row r="8269">
      <c r="A8269" s="8" t="n"/>
      <c r="B8269" s="9" t="n"/>
    </row>
    <row r="8270">
      <c r="A8270" s="8" t="n"/>
      <c r="B8270" s="9" t="n"/>
    </row>
    <row r="8271">
      <c r="A8271" s="8" t="n"/>
      <c r="B8271" s="9" t="n"/>
    </row>
    <row r="8272">
      <c r="A8272" s="8" t="n"/>
      <c r="B8272" s="9" t="n"/>
    </row>
    <row r="8273">
      <c r="A8273" s="8" t="n"/>
      <c r="B8273" s="9" t="n"/>
    </row>
    <row r="8274">
      <c r="A8274" s="8" t="n"/>
      <c r="B8274" s="9" t="n"/>
    </row>
    <row r="8275">
      <c r="A8275" s="8" t="n"/>
      <c r="B8275" s="9" t="n"/>
    </row>
    <row r="8276">
      <c r="A8276" s="8" t="n"/>
      <c r="B8276" s="9" t="n"/>
    </row>
    <row r="8277">
      <c r="A8277" s="8" t="n"/>
      <c r="B8277" s="9" t="n"/>
    </row>
    <row r="8278">
      <c r="A8278" s="8" t="n"/>
      <c r="B8278" s="9" t="n"/>
    </row>
    <row r="8279">
      <c r="A8279" s="8" t="n"/>
      <c r="B8279" s="9" t="n"/>
    </row>
    <row r="8280">
      <c r="A8280" s="8" t="n"/>
      <c r="B8280" s="9" t="n"/>
    </row>
    <row r="8281">
      <c r="A8281" s="8" t="n"/>
      <c r="B8281" s="9" t="n"/>
    </row>
    <row r="8282">
      <c r="A8282" s="8" t="n"/>
      <c r="B8282" s="9" t="n"/>
    </row>
    <row r="8283">
      <c r="A8283" s="8" t="n"/>
      <c r="B8283" s="9" t="n"/>
    </row>
    <row r="8284">
      <c r="A8284" s="8" t="n"/>
      <c r="B8284" s="9" t="n"/>
    </row>
    <row r="8285">
      <c r="A8285" s="8" t="n"/>
      <c r="B8285" s="9" t="n"/>
    </row>
    <row r="8286">
      <c r="A8286" s="8" t="n"/>
      <c r="B8286" s="9" t="n"/>
    </row>
    <row r="8287">
      <c r="A8287" s="8" t="n"/>
      <c r="B8287" s="9" t="n"/>
    </row>
    <row r="8288">
      <c r="A8288" s="8" t="n"/>
      <c r="B8288" s="9" t="n"/>
    </row>
    <row r="8289">
      <c r="A8289" s="8" t="n"/>
      <c r="B8289" s="9" t="n"/>
    </row>
    <row r="8290">
      <c r="A8290" s="8" t="n"/>
      <c r="B8290" s="9" t="n"/>
    </row>
    <row r="8291">
      <c r="A8291" s="8" t="n"/>
      <c r="B8291" s="9" t="n"/>
    </row>
    <row r="8292">
      <c r="A8292" s="8" t="n"/>
      <c r="B8292" s="9" t="n"/>
    </row>
    <row r="8293">
      <c r="A8293" s="8" t="n"/>
      <c r="B8293" s="9" t="n"/>
    </row>
    <row r="8294">
      <c r="A8294" s="8" t="n"/>
      <c r="B8294" s="9" t="n"/>
    </row>
    <row r="8295">
      <c r="A8295" s="8" t="n"/>
      <c r="B8295" s="9" t="n"/>
    </row>
    <row r="8296">
      <c r="A8296" s="8" t="n"/>
      <c r="B8296" s="9" t="n"/>
    </row>
    <row r="8297">
      <c r="A8297" s="8" t="n"/>
      <c r="B8297" s="9" t="n"/>
    </row>
    <row r="8298">
      <c r="A8298" s="8" t="n"/>
      <c r="B8298" s="9" t="n"/>
    </row>
    <row r="8299">
      <c r="A8299" s="8" t="n"/>
      <c r="B8299" s="9" t="n"/>
    </row>
    <row r="8300">
      <c r="A8300" s="8" t="n"/>
      <c r="B8300" s="9" t="n"/>
    </row>
    <row r="8301">
      <c r="A8301" s="8" t="n"/>
      <c r="B8301" s="9" t="n"/>
    </row>
    <row r="8302">
      <c r="A8302" s="8" t="n"/>
      <c r="B8302" s="9" t="n"/>
    </row>
    <row r="8303">
      <c r="A8303" s="8" t="n"/>
      <c r="B8303" s="9" t="n"/>
    </row>
    <row r="8304">
      <c r="A8304" s="8" t="n"/>
      <c r="B8304" s="9" t="n"/>
    </row>
    <row r="8305">
      <c r="A8305" s="8" t="n"/>
      <c r="B8305" s="9" t="n"/>
    </row>
    <row r="8306">
      <c r="A8306" s="8" t="n"/>
      <c r="B8306" s="9" t="n"/>
    </row>
    <row r="8307">
      <c r="A8307" s="8" t="n"/>
      <c r="B8307" s="9" t="n"/>
    </row>
    <row r="8308">
      <c r="A8308" s="8" t="n"/>
      <c r="B8308" s="9" t="n"/>
    </row>
    <row r="8309">
      <c r="A8309" s="8" t="n"/>
      <c r="B8309" s="9" t="n"/>
    </row>
    <row r="8310">
      <c r="A8310" s="8" t="n"/>
      <c r="B8310" s="9" t="n"/>
    </row>
    <row r="8311">
      <c r="A8311" s="8" t="n"/>
      <c r="B8311" s="9" t="n"/>
    </row>
    <row r="8312">
      <c r="A8312" s="8" t="n"/>
      <c r="B8312" s="9" t="n"/>
    </row>
    <row r="8313">
      <c r="A8313" s="8" t="n"/>
      <c r="B8313" s="9" t="n"/>
    </row>
    <row r="8314">
      <c r="A8314" s="8" t="n"/>
      <c r="B8314" s="9" t="n"/>
    </row>
    <row r="8315">
      <c r="A8315" s="8" t="n"/>
      <c r="B8315" s="9" t="n"/>
    </row>
    <row r="8316">
      <c r="A8316" s="8" t="n"/>
      <c r="B8316" s="9" t="n"/>
    </row>
    <row r="8317">
      <c r="A8317" s="8" t="n"/>
      <c r="B8317" s="9" t="n"/>
    </row>
    <row r="8318">
      <c r="A8318" s="8" t="n"/>
      <c r="B8318" s="9" t="n"/>
    </row>
    <row r="8319">
      <c r="A8319" s="8" t="n"/>
      <c r="B8319" s="9" t="n"/>
    </row>
    <row r="8320">
      <c r="A8320" s="8" t="n"/>
      <c r="B8320" s="9" t="n"/>
    </row>
    <row r="8321">
      <c r="A8321" s="8" t="n"/>
      <c r="B8321" s="9" t="n"/>
    </row>
    <row r="8322">
      <c r="A8322" s="8" t="n"/>
      <c r="B8322" s="9" t="n"/>
    </row>
    <row r="8323">
      <c r="A8323" s="8" t="n"/>
      <c r="B8323" s="9" t="n"/>
    </row>
    <row r="8324">
      <c r="A8324" s="8" t="n"/>
      <c r="B8324" s="9" t="n"/>
    </row>
    <row r="8325">
      <c r="A8325" s="8" t="n"/>
      <c r="B8325" s="9" t="n"/>
    </row>
    <row r="8326">
      <c r="A8326" s="8" t="n"/>
      <c r="B8326" s="9" t="n"/>
    </row>
    <row r="8327">
      <c r="A8327" s="8" t="n"/>
      <c r="B8327" s="9" t="n"/>
    </row>
    <row r="8328">
      <c r="A8328" s="8" t="n"/>
      <c r="B8328" s="9" t="n"/>
    </row>
    <row r="8329">
      <c r="A8329" s="8" t="n"/>
      <c r="B8329" s="9" t="n"/>
    </row>
    <row r="8330">
      <c r="A8330" s="8" t="n"/>
      <c r="B8330" s="9" t="n"/>
    </row>
    <row r="8331">
      <c r="A8331" s="8" t="n"/>
      <c r="B8331" s="9" t="n"/>
    </row>
    <row r="8332">
      <c r="A8332" s="8" t="n"/>
      <c r="B8332" s="9" t="n"/>
    </row>
    <row r="8333">
      <c r="A8333" s="8" t="n"/>
      <c r="B8333" s="9" t="n"/>
    </row>
    <row r="8334">
      <c r="A8334" s="8" t="n"/>
      <c r="B8334" s="9" t="n"/>
    </row>
    <row r="8335">
      <c r="A8335" s="8" t="n"/>
      <c r="B8335" s="9" t="n"/>
    </row>
    <row r="8336">
      <c r="A8336" s="8" t="n"/>
      <c r="B8336" s="9" t="n"/>
    </row>
    <row r="8337">
      <c r="A8337" s="8" t="n"/>
      <c r="B8337" s="9" t="n"/>
    </row>
    <row r="8338">
      <c r="A8338" s="8" t="n"/>
      <c r="B8338" s="9" t="n"/>
    </row>
    <row r="8339">
      <c r="A8339" s="8" t="n"/>
      <c r="B8339" s="9" t="n"/>
    </row>
    <row r="8340">
      <c r="A8340" s="8" t="n"/>
      <c r="B8340" s="9" t="n"/>
    </row>
    <row r="8341">
      <c r="A8341" s="8" t="n"/>
      <c r="B8341" s="9" t="n"/>
    </row>
    <row r="8342">
      <c r="A8342" s="8" t="n"/>
      <c r="B8342" s="9" t="n"/>
    </row>
    <row r="8343">
      <c r="A8343" s="8" t="n"/>
      <c r="B8343" s="9" t="n"/>
    </row>
    <row r="8344">
      <c r="A8344" s="8" t="n"/>
      <c r="B8344" s="9" t="n"/>
    </row>
    <row r="8345">
      <c r="A8345" s="8" t="n"/>
      <c r="B8345" s="9" t="n"/>
    </row>
    <row r="8346">
      <c r="A8346" s="8" t="n"/>
      <c r="B8346" s="9" t="n"/>
    </row>
    <row r="8347">
      <c r="A8347" s="8" t="n"/>
      <c r="B8347" s="9" t="n"/>
    </row>
    <row r="8348">
      <c r="A8348" s="8" t="n"/>
      <c r="B8348" s="9" t="n"/>
    </row>
    <row r="8349">
      <c r="A8349" s="8" t="n"/>
      <c r="B8349" s="9" t="n"/>
    </row>
    <row r="8350">
      <c r="A8350" s="8" t="n"/>
      <c r="B8350" s="9" t="n"/>
    </row>
    <row r="8351">
      <c r="A8351" s="8" t="n"/>
      <c r="B8351" s="9" t="n"/>
    </row>
    <row r="8352">
      <c r="A8352" s="8" t="n"/>
      <c r="B8352" s="9" t="n"/>
    </row>
    <row r="8353">
      <c r="A8353" s="8" t="n"/>
      <c r="B8353" s="9" t="n"/>
    </row>
    <row r="8354">
      <c r="A8354" s="8" t="n"/>
      <c r="B8354" s="9" t="n"/>
    </row>
    <row r="8355">
      <c r="A8355" s="8" t="n"/>
      <c r="B8355" s="9" t="n"/>
    </row>
    <row r="8356">
      <c r="A8356" s="8" t="n"/>
      <c r="B8356" s="9" t="n"/>
    </row>
    <row r="8357">
      <c r="A8357" s="8" t="n"/>
      <c r="B8357" s="9" t="n"/>
    </row>
    <row r="8358">
      <c r="A8358" s="8" t="n"/>
      <c r="B8358" s="9" t="n"/>
    </row>
    <row r="8359">
      <c r="A8359" s="8" t="n"/>
      <c r="B8359" s="9" t="n"/>
    </row>
    <row r="8360">
      <c r="A8360" s="8" t="n"/>
      <c r="B8360" s="9" t="n"/>
    </row>
    <row r="8361">
      <c r="A8361" s="8" t="n"/>
      <c r="B8361" s="9" t="n"/>
    </row>
    <row r="8362">
      <c r="A8362" s="8" t="n"/>
      <c r="B8362" s="9" t="n"/>
    </row>
    <row r="8363">
      <c r="A8363" s="8" t="n"/>
      <c r="B8363" s="9" t="n"/>
    </row>
    <row r="8364">
      <c r="A8364" s="8" t="n"/>
      <c r="B8364" s="9" t="n"/>
    </row>
    <row r="8365">
      <c r="A8365" s="8" t="n"/>
      <c r="B8365" s="9" t="n"/>
    </row>
    <row r="8366">
      <c r="A8366" s="8" t="n"/>
      <c r="B8366" s="9" t="n"/>
    </row>
    <row r="8367">
      <c r="A8367" s="8" t="n"/>
      <c r="B8367" s="9" t="n"/>
    </row>
    <row r="8368">
      <c r="A8368" s="8" t="n"/>
      <c r="B8368" s="9" t="n"/>
    </row>
    <row r="8369">
      <c r="A8369" s="8" t="n"/>
      <c r="B8369" s="9" t="n"/>
    </row>
    <row r="8370">
      <c r="A8370" s="8" t="n"/>
      <c r="B8370" s="9" t="n"/>
    </row>
    <row r="8371">
      <c r="A8371" s="8" t="n"/>
      <c r="B8371" s="9" t="n"/>
    </row>
    <row r="8372">
      <c r="A8372" s="8" t="n"/>
      <c r="B8372" s="9" t="n"/>
    </row>
    <row r="8373">
      <c r="A8373" s="8" t="n"/>
      <c r="B8373" s="9" t="n"/>
    </row>
    <row r="8374">
      <c r="A8374" s="8" t="n"/>
      <c r="B8374" s="9" t="n"/>
    </row>
    <row r="8375">
      <c r="A8375" s="8" t="n"/>
      <c r="B8375" s="9" t="n"/>
    </row>
    <row r="8376">
      <c r="A8376" s="8" t="n"/>
      <c r="B8376" s="9" t="n"/>
    </row>
    <row r="8377">
      <c r="A8377" s="8" t="n"/>
      <c r="B8377" s="9" t="n"/>
    </row>
    <row r="8378">
      <c r="A8378" s="8" t="n"/>
      <c r="B8378" s="9" t="n"/>
    </row>
    <row r="8379">
      <c r="A8379" s="8" t="n"/>
      <c r="B8379" s="9" t="n"/>
    </row>
    <row r="8380">
      <c r="A8380" s="8" t="n"/>
      <c r="B8380" s="9" t="n"/>
    </row>
    <row r="8381">
      <c r="A8381" s="8" t="n"/>
      <c r="B8381" s="9" t="n"/>
    </row>
    <row r="8382">
      <c r="A8382" s="8" t="n"/>
      <c r="B8382" s="9" t="n"/>
    </row>
    <row r="8383">
      <c r="A8383" s="8" t="n"/>
      <c r="B8383" s="9" t="n"/>
    </row>
    <row r="8384">
      <c r="A8384" s="8" t="n"/>
      <c r="B8384" s="9" t="n"/>
    </row>
    <row r="8385">
      <c r="A8385" s="8" t="n"/>
      <c r="B8385" s="9" t="n"/>
    </row>
    <row r="8386">
      <c r="A8386" s="8" t="n"/>
      <c r="B8386" s="9" t="n"/>
    </row>
    <row r="8387">
      <c r="A8387" s="8" t="n"/>
      <c r="B8387" s="9" t="n"/>
    </row>
    <row r="8388">
      <c r="A8388" s="8" t="n"/>
      <c r="B8388" s="9" t="n"/>
    </row>
    <row r="8389">
      <c r="A8389" s="8" t="n"/>
      <c r="B8389" s="9" t="n"/>
    </row>
    <row r="8390">
      <c r="A8390" s="8" t="n"/>
      <c r="B8390" s="9" t="n"/>
    </row>
    <row r="8391">
      <c r="A8391" s="8" t="n"/>
      <c r="B8391" s="9" t="n"/>
    </row>
    <row r="8392">
      <c r="A8392" s="8" t="n"/>
      <c r="B8392" s="9" t="n"/>
    </row>
    <row r="8393">
      <c r="A8393" s="8" t="n"/>
      <c r="B8393" s="9" t="n"/>
    </row>
    <row r="8394">
      <c r="A8394" s="8" t="n"/>
      <c r="B8394" s="9" t="n"/>
    </row>
    <row r="8395">
      <c r="A8395" s="8" t="n"/>
      <c r="B8395" s="9" t="n"/>
    </row>
    <row r="8396">
      <c r="A8396" s="8" t="n"/>
      <c r="B8396" s="9" t="n"/>
    </row>
    <row r="8397">
      <c r="A8397" s="8" t="n"/>
      <c r="B8397" s="9" t="n"/>
    </row>
    <row r="8398">
      <c r="A8398" s="8" t="n"/>
      <c r="B8398" s="9" t="n"/>
    </row>
    <row r="8399">
      <c r="A8399" s="8" t="n"/>
      <c r="B8399" s="9" t="n"/>
    </row>
    <row r="8400">
      <c r="A8400" s="8" t="n"/>
      <c r="B8400" s="9" t="n"/>
    </row>
    <row r="8401">
      <c r="A8401" s="8" t="n"/>
      <c r="B8401" s="9" t="n"/>
    </row>
    <row r="8402">
      <c r="A8402" s="8" t="n"/>
      <c r="B8402" s="9" t="n"/>
    </row>
    <row r="8403">
      <c r="A8403" s="8" t="n"/>
      <c r="B8403" s="9" t="n"/>
    </row>
    <row r="8404">
      <c r="A8404" s="8" t="n"/>
      <c r="B8404" s="9" t="n"/>
    </row>
    <row r="8405">
      <c r="A8405" s="8" t="n"/>
      <c r="B8405" s="9" t="n"/>
    </row>
    <row r="8406">
      <c r="A8406" s="8" t="n"/>
      <c r="B8406" s="9" t="n"/>
    </row>
    <row r="8407">
      <c r="A8407" s="8" t="n"/>
      <c r="B8407" s="9" t="n"/>
    </row>
    <row r="8408">
      <c r="A8408" s="8" t="n"/>
      <c r="B8408" s="9" t="n"/>
    </row>
    <row r="8409">
      <c r="A8409" s="8" t="n"/>
      <c r="B8409" s="9" t="n"/>
    </row>
    <row r="8410">
      <c r="A8410" s="8" t="n"/>
      <c r="B8410" s="9" t="n"/>
    </row>
    <row r="8411">
      <c r="A8411" s="8" t="n"/>
      <c r="B8411" s="9" t="n"/>
    </row>
    <row r="8412">
      <c r="A8412" s="8" t="n"/>
      <c r="B8412" s="9" t="n"/>
    </row>
    <row r="8413">
      <c r="A8413" s="8" t="n"/>
      <c r="B8413" s="9" t="n"/>
    </row>
    <row r="8414">
      <c r="A8414" s="8" t="n"/>
      <c r="B8414" s="9" t="n"/>
    </row>
    <row r="8415">
      <c r="A8415" s="8" t="n"/>
      <c r="B8415" s="9" t="n"/>
    </row>
    <row r="8416">
      <c r="A8416" s="8" t="n"/>
      <c r="B8416" s="9" t="n"/>
    </row>
    <row r="8417">
      <c r="A8417" s="8" t="n"/>
      <c r="B8417" s="9" t="n"/>
    </row>
    <row r="8418">
      <c r="A8418" s="8" t="n"/>
      <c r="B8418" s="9" t="n"/>
    </row>
    <row r="8419">
      <c r="A8419" s="8" t="n"/>
      <c r="B8419" s="9" t="n"/>
    </row>
    <row r="8420">
      <c r="A8420" s="8" t="n"/>
      <c r="B8420" s="9" t="n"/>
    </row>
    <row r="8421">
      <c r="A8421" s="8" t="n"/>
      <c r="B8421" s="9" t="n"/>
    </row>
    <row r="8422">
      <c r="A8422" s="8" t="n"/>
      <c r="B8422" s="9" t="n"/>
    </row>
    <row r="8423">
      <c r="A8423" s="8" t="n"/>
      <c r="B8423" s="9" t="n"/>
    </row>
    <row r="8424">
      <c r="A8424" s="8" t="n"/>
      <c r="B8424" s="9" t="n"/>
    </row>
    <row r="8425">
      <c r="A8425" s="8" t="n"/>
      <c r="B8425" s="9" t="n"/>
    </row>
    <row r="8426">
      <c r="A8426" s="8" t="n"/>
      <c r="B8426" s="9" t="n"/>
    </row>
    <row r="8427">
      <c r="A8427" s="8" t="n"/>
      <c r="B8427" s="9" t="n"/>
    </row>
    <row r="8428">
      <c r="A8428" s="8" t="n"/>
      <c r="B8428" s="9" t="n"/>
    </row>
    <row r="8429">
      <c r="A8429" s="8" t="n"/>
      <c r="B8429" s="9" t="n"/>
    </row>
    <row r="8430">
      <c r="A8430" s="8" t="n"/>
      <c r="B8430" s="9" t="n"/>
    </row>
    <row r="8431">
      <c r="A8431" s="8" t="n"/>
      <c r="B8431" s="9" t="n"/>
    </row>
    <row r="8432">
      <c r="A8432" s="8" t="n"/>
      <c r="B8432" s="9" t="n"/>
    </row>
    <row r="8433">
      <c r="A8433" s="8" t="n"/>
      <c r="B8433" s="9" t="n"/>
    </row>
    <row r="8434">
      <c r="A8434" s="8" t="n"/>
      <c r="B8434" s="9" t="n"/>
    </row>
    <row r="8435">
      <c r="A8435" s="8" t="n"/>
      <c r="B8435" s="9" t="n"/>
    </row>
    <row r="8436">
      <c r="A8436" s="8" t="n"/>
      <c r="B8436" s="9" t="n"/>
    </row>
    <row r="8437">
      <c r="A8437" s="8" t="n"/>
      <c r="B8437" s="9" t="n"/>
    </row>
    <row r="8438">
      <c r="A8438" s="8" t="n"/>
      <c r="B8438" s="9" t="n"/>
    </row>
    <row r="8439">
      <c r="A8439" s="8" t="n"/>
      <c r="B8439" s="9" t="n"/>
    </row>
    <row r="8440">
      <c r="A8440" s="8" t="n"/>
      <c r="B8440" s="9" t="n"/>
    </row>
    <row r="8441">
      <c r="A8441" s="8" t="n"/>
      <c r="B8441" s="9" t="n"/>
    </row>
    <row r="8442">
      <c r="A8442" s="8" t="n"/>
      <c r="B8442" s="9" t="n"/>
    </row>
    <row r="8443">
      <c r="A8443" s="8" t="n"/>
      <c r="B8443" s="9" t="n"/>
    </row>
    <row r="8444">
      <c r="A8444" s="8" t="n"/>
      <c r="B8444" s="9" t="n"/>
    </row>
    <row r="8445">
      <c r="A8445" s="8" t="n"/>
      <c r="B8445" s="9" t="n"/>
    </row>
    <row r="8446">
      <c r="A8446" s="8" t="n"/>
      <c r="B8446" s="9" t="n"/>
    </row>
    <row r="8447">
      <c r="A8447" s="8" t="n"/>
      <c r="B8447" s="9" t="n"/>
    </row>
    <row r="8448">
      <c r="A8448" s="8" t="n"/>
      <c r="B8448" s="9" t="n"/>
    </row>
    <row r="8449">
      <c r="A8449" s="8" t="n"/>
      <c r="B8449" s="9" t="n"/>
    </row>
    <row r="8450">
      <c r="A8450" s="8" t="n"/>
      <c r="B8450" s="9" t="n"/>
    </row>
    <row r="8451">
      <c r="A8451" s="8" t="n"/>
      <c r="B8451" s="9" t="n"/>
    </row>
    <row r="8452">
      <c r="A8452" s="8" t="n"/>
      <c r="B8452" s="9" t="n"/>
    </row>
    <row r="8453">
      <c r="A8453" s="8" t="n"/>
      <c r="B8453" s="9" t="n"/>
    </row>
    <row r="8454">
      <c r="A8454" s="8" t="n"/>
      <c r="B8454" s="9" t="n"/>
    </row>
    <row r="8455">
      <c r="A8455" s="8" t="n"/>
      <c r="B8455" s="9" t="n"/>
    </row>
    <row r="8456">
      <c r="A8456" s="8" t="n"/>
      <c r="B8456" s="9" t="n"/>
    </row>
    <row r="8457">
      <c r="A8457" s="8" t="n"/>
      <c r="B8457" s="9" t="n"/>
    </row>
    <row r="8458">
      <c r="A8458" s="8" t="n"/>
      <c r="B8458" s="9" t="n"/>
    </row>
    <row r="8459">
      <c r="A8459" s="8" t="n"/>
      <c r="B8459" s="9" t="n"/>
    </row>
    <row r="8460">
      <c r="A8460" s="8" t="n"/>
      <c r="B8460" s="9" t="n"/>
    </row>
    <row r="8461">
      <c r="A8461" s="8" t="n"/>
      <c r="B8461" s="9" t="n"/>
    </row>
    <row r="8462">
      <c r="A8462" s="8" t="n"/>
      <c r="B8462" s="9" t="n"/>
    </row>
    <row r="8463">
      <c r="A8463" s="8" t="n"/>
      <c r="B8463" s="9" t="n"/>
    </row>
    <row r="8464">
      <c r="A8464" s="8" t="n"/>
      <c r="B8464" s="9" t="n"/>
    </row>
    <row r="8465">
      <c r="A8465" s="8" t="n"/>
      <c r="B8465" s="9" t="n"/>
    </row>
    <row r="8466">
      <c r="A8466" s="8" t="n"/>
      <c r="B8466" s="9" t="n"/>
    </row>
    <row r="8467">
      <c r="A8467" s="8" t="n"/>
      <c r="B8467" s="9" t="n"/>
    </row>
    <row r="8468">
      <c r="A8468" s="8" t="n"/>
      <c r="B8468" s="9" t="n"/>
    </row>
    <row r="8469">
      <c r="A8469" s="8" t="n"/>
      <c r="B8469" s="9" t="n"/>
    </row>
    <row r="8470">
      <c r="A8470" s="8" t="n"/>
      <c r="B8470" s="9" t="n"/>
    </row>
    <row r="8471">
      <c r="A8471" s="8" t="n"/>
      <c r="B8471" s="9" t="n"/>
    </row>
    <row r="8472">
      <c r="A8472" s="8" t="n"/>
      <c r="B8472" s="9" t="n"/>
    </row>
    <row r="8473">
      <c r="A8473" s="8" t="n"/>
      <c r="B8473" s="9" t="n"/>
    </row>
    <row r="8474">
      <c r="A8474" s="8" t="n"/>
      <c r="B8474" s="9" t="n"/>
    </row>
    <row r="8475">
      <c r="A8475" s="8" t="n"/>
      <c r="B8475" s="9" t="n"/>
    </row>
    <row r="8476">
      <c r="A8476" s="8" t="n"/>
      <c r="B8476" s="9" t="n"/>
    </row>
    <row r="8477">
      <c r="A8477" s="8" t="n"/>
      <c r="B8477" s="9" t="n"/>
    </row>
    <row r="8478">
      <c r="A8478" s="8" t="n"/>
      <c r="B8478" s="9" t="n"/>
    </row>
    <row r="8479">
      <c r="A8479" s="8" t="n"/>
      <c r="B8479" s="9" t="n"/>
    </row>
    <row r="8480">
      <c r="A8480" s="8" t="n"/>
      <c r="B8480" s="9" t="n"/>
    </row>
    <row r="8481">
      <c r="A8481" s="8" t="n"/>
      <c r="B8481" s="9" t="n"/>
    </row>
    <row r="8482">
      <c r="A8482" s="8" t="n"/>
      <c r="B8482" s="9" t="n"/>
    </row>
    <row r="8483">
      <c r="A8483" s="8" t="n"/>
      <c r="B8483" s="9" t="n"/>
    </row>
    <row r="8484">
      <c r="A8484" s="8" t="n"/>
      <c r="B8484" s="9" t="n"/>
    </row>
    <row r="8485">
      <c r="A8485" s="8" t="n"/>
      <c r="B8485" s="9" t="n"/>
    </row>
    <row r="8486">
      <c r="A8486" s="8" t="n"/>
      <c r="B8486" s="9" t="n"/>
    </row>
    <row r="8487">
      <c r="A8487" s="8" t="n"/>
      <c r="B8487" s="9" t="n"/>
    </row>
    <row r="8488">
      <c r="A8488" s="8" t="n"/>
      <c r="B8488" s="9" t="n"/>
    </row>
    <row r="8489">
      <c r="A8489" s="8" t="n"/>
      <c r="B8489" s="9" t="n"/>
    </row>
    <row r="8490">
      <c r="A8490" s="8" t="n"/>
      <c r="B8490" s="9" t="n"/>
    </row>
    <row r="8491">
      <c r="A8491" s="8" t="n"/>
      <c r="B8491" s="9" t="n"/>
    </row>
    <row r="8492">
      <c r="A8492" s="8" t="n"/>
      <c r="B8492" s="9" t="n"/>
    </row>
    <row r="8493">
      <c r="A8493" s="8" t="n"/>
      <c r="B8493" s="9" t="n"/>
    </row>
    <row r="8494">
      <c r="A8494" s="8" t="n"/>
      <c r="B8494" s="9" t="n"/>
    </row>
    <row r="8495">
      <c r="A8495" s="8" t="n"/>
      <c r="B8495" s="9" t="n"/>
    </row>
    <row r="8496">
      <c r="A8496" s="8" t="n"/>
      <c r="B8496" s="9" t="n"/>
    </row>
    <row r="8497">
      <c r="A8497" s="8" t="n"/>
      <c r="B8497" s="9" t="n"/>
    </row>
    <row r="8498">
      <c r="A8498" s="8" t="n"/>
      <c r="B8498" s="9" t="n"/>
    </row>
    <row r="8499">
      <c r="A8499" s="8" t="n"/>
      <c r="B8499" s="9" t="n"/>
    </row>
    <row r="8500">
      <c r="A8500" s="8" t="n"/>
      <c r="B8500" s="9" t="n"/>
    </row>
    <row r="8501">
      <c r="A8501" s="8" t="n"/>
      <c r="B8501" s="9" t="n"/>
    </row>
    <row r="8502">
      <c r="A8502" s="8" t="n"/>
      <c r="B8502" s="9" t="n"/>
    </row>
    <row r="8503">
      <c r="A8503" s="8" t="n"/>
      <c r="B8503" s="9" t="n"/>
    </row>
    <row r="8504">
      <c r="A8504" s="8" t="n"/>
      <c r="B8504" s="9" t="n"/>
    </row>
    <row r="8505">
      <c r="A8505" s="8" t="n"/>
      <c r="B8505" s="9" t="n"/>
    </row>
    <row r="8506">
      <c r="A8506" s="8" t="n"/>
      <c r="B8506" s="9" t="n"/>
    </row>
    <row r="8507">
      <c r="A8507" s="8" t="n"/>
      <c r="B8507" s="9" t="n"/>
    </row>
    <row r="8508">
      <c r="A8508" s="8" t="n"/>
      <c r="B8508" s="9" t="n"/>
    </row>
    <row r="8509">
      <c r="A8509" s="8" t="n"/>
      <c r="B8509" s="9" t="n"/>
    </row>
    <row r="8510">
      <c r="A8510" s="8" t="n"/>
      <c r="B8510" s="9" t="n"/>
    </row>
    <row r="8511">
      <c r="A8511" s="8" t="n"/>
      <c r="B8511" s="9" t="n"/>
    </row>
    <row r="8512">
      <c r="A8512" s="8" t="n"/>
      <c r="B8512" s="9" t="n"/>
    </row>
    <row r="8513">
      <c r="A8513" s="8" t="n"/>
      <c r="B8513" s="9" t="n"/>
    </row>
    <row r="8514">
      <c r="A8514" s="8" t="n"/>
      <c r="B8514" s="9" t="n"/>
    </row>
    <row r="8515">
      <c r="A8515" s="8" t="n"/>
      <c r="B8515" s="9" t="n"/>
    </row>
    <row r="8516">
      <c r="A8516" s="8" t="n"/>
      <c r="B8516" s="9" t="n"/>
    </row>
    <row r="8517">
      <c r="A8517" s="8" t="n"/>
      <c r="B8517" s="9" t="n"/>
    </row>
    <row r="8518">
      <c r="A8518" s="8" t="n"/>
      <c r="B8518" s="9" t="n"/>
    </row>
    <row r="8519">
      <c r="A8519" s="8" t="n"/>
      <c r="B8519" s="9" t="n"/>
    </row>
    <row r="8520">
      <c r="A8520" s="8" t="n"/>
      <c r="B8520" s="9" t="n"/>
    </row>
    <row r="8521">
      <c r="A8521" s="8" t="n"/>
      <c r="B8521" s="9" t="n"/>
    </row>
    <row r="8522">
      <c r="A8522" s="8" t="n"/>
      <c r="B8522" s="9" t="n"/>
    </row>
    <row r="8523">
      <c r="A8523" s="8" t="n"/>
      <c r="B8523" s="9" t="n"/>
    </row>
    <row r="8524">
      <c r="A8524" s="8" t="n"/>
      <c r="B8524" s="9" t="n"/>
    </row>
    <row r="8525">
      <c r="A8525" s="8" t="n"/>
      <c r="B8525" s="9" t="n"/>
    </row>
    <row r="8526">
      <c r="A8526" s="8" t="n"/>
      <c r="B8526" s="9" t="n"/>
    </row>
    <row r="8527">
      <c r="A8527" s="8" t="n"/>
      <c r="B8527" s="9" t="n"/>
    </row>
    <row r="8528">
      <c r="A8528" s="8" t="n"/>
      <c r="B8528" s="9" t="n"/>
    </row>
    <row r="8529">
      <c r="A8529" s="8" t="n"/>
      <c r="B8529" s="9" t="n"/>
    </row>
    <row r="8530">
      <c r="A8530" s="8" t="n"/>
      <c r="B8530" s="9" t="n"/>
    </row>
    <row r="8531">
      <c r="A8531" s="8" t="n"/>
      <c r="B8531" s="9" t="n"/>
    </row>
    <row r="8532">
      <c r="A8532" s="8" t="n"/>
      <c r="B8532" s="9" t="n"/>
    </row>
    <row r="8533">
      <c r="A8533" s="8" t="n"/>
      <c r="B8533" s="9" t="n"/>
    </row>
    <row r="8534">
      <c r="A8534" s="8" t="n"/>
      <c r="B8534" s="9" t="n"/>
    </row>
    <row r="8535">
      <c r="A8535" s="8" t="n"/>
      <c r="B8535" s="9" t="n"/>
    </row>
    <row r="8536">
      <c r="A8536" s="8" t="n"/>
      <c r="B8536" s="9" t="n"/>
    </row>
    <row r="8537">
      <c r="A8537" s="8" t="n"/>
      <c r="B8537" s="9" t="n"/>
    </row>
    <row r="8538">
      <c r="A8538" s="8" t="n"/>
      <c r="B8538" s="9" t="n"/>
    </row>
    <row r="8539">
      <c r="A8539" s="8" t="n"/>
      <c r="B8539" s="9" t="n"/>
    </row>
    <row r="8540">
      <c r="A8540" s="8" t="n"/>
      <c r="B8540" s="9" t="n"/>
    </row>
    <row r="8541">
      <c r="A8541" s="8" t="n"/>
      <c r="B8541" s="9" t="n"/>
    </row>
    <row r="8542">
      <c r="A8542" s="8" t="n"/>
      <c r="B8542" s="9" t="n"/>
    </row>
    <row r="8543">
      <c r="A8543" s="8" t="n"/>
      <c r="B8543" s="9" t="n"/>
    </row>
    <row r="8544">
      <c r="A8544" s="8" t="n"/>
      <c r="B8544" s="9" t="n"/>
    </row>
    <row r="8545">
      <c r="A8545" s="8" t="n"/>
      <c r="B8545" s="9" t="n"/>
    </row>
    <row r="8546">
      <c r="A8546" s="8" t="n"/>
      <c r="B8546" s="9" t="n"/>
    </row>
    <row r="8547">
      <c r="A8547" s="8" t="n"/>
      <c r="B8547" s="9" t="n"/>
    </row>
    <row r="8548">
      <c r="A8548" s="8" t="n"/>
      <c r="B8548" s="9" t="n"/>
    </row>
    <row r="8549">
      <c r="A8549" s="8" t="n"/>
      <c r="B8549" s="9" t="n"/>
    </row>
    <row r="8550">
      <c r="A8550" s="8" t="n"/>
      <c r="B8550" s="9" t="n"/>
    </row>
    <row r="8551">
      <c r="A8551" s="8" t="n"/>
      <c r="B8551" s="9" t="n"/>
    </row>
    <row r="8552">
      <c r="A8552" s="8" t="n"/>
      <c r="B8552" s="9" t="n"/>
    </row>
    <row r="8553">
      <c r="A8553" s="8" t="n"/>
      <c r="B8553" s="9" t="n"/>
    </row>
    <row r="8554">
      <c r="A8554" s="8" t="n"/>
      <c r="B8554" s="9" t="n"/>
    </row>
    <row r="8555">
      <c r="A8555" s="8" t="n"/>
      <c r="B8555" s="9" t="n"/>
    </row>
    <row r="8556">
      <c r="A8556" s="8" t="n"/>
      <c r="B8556" s="9" t="n"/>
    </row>
    <row r="8557">
      <c r="A8557" s="8" t="n"/>
      <c r="B8557" s="9" t="n"/>
    </row>
    <row r="8558">
      <c r="A8558" s="8" t="n"/>
      <c r="B8558" s="9" t="n"/>
    </row>
    <row r="8559">
      <c r="A8559" s="8" t="n"/>
      <c r="B8559" s="9" t="n"/>
    </row>
    <row r="8560">
      <c r="A8560" s="8" t="n"/>
      <c r="B8560" s="9" t="n"/>
    </row>
    <row r="8561">
      <c r="A8561" s="8" t="n"/>
      <c r="B8561" s="9" t="n"/>
    </row>
    <row r="8562">
      <c r="A8562" s="8" t="n"/>
      <c r="B8562" s="9" t="n"/>
    </row>
    <row r="8563">
      <c r="A8563" s="8" t="n"/>
      <c r="B8563" s="9" t="n"/>
    </row>
    <row r="8564">
      <c r="A8564" s="8" t="n"/>
      <c r="B8564" s="9" t="n"/>
    </row>
    <row r="8565">
      <c r="A8565" s="8" t="n"/>
      <c r="B8565" s="9" t="n"/>
    </row>
    <row r="8566">
      <c r="A8566" s="8" t="n"/>
      <c r="B8566" s="9" t="n"/>
    </row>
    <row r="8567">
      <c r="A8567" s="8" t="n"/>
      <c r="B8567" s="9" t="n"/>
    </row>
    <row r="8568">
      <c r="A8568" s="8" t="n"/>
      <c r="B8568" s="9" t="n"/>
    </row>
    <row r="8569">
      <c r="A8569" s="8" t="n"/>
      <c r="B8569" s="9" t="n"/>
    </row>
    <row r="8570">
      <c r="A8570" s="8" t="n"/>
      <c r="B8570" s="9" t="n"/>
    </row>
    <row r="8571">
      <c r="A8571" s="8" t="n"/>
      <c r="B8571" s="9" t="n"/>
    </row>
    <row r="8572">
      <c r="A8572" s="8" t="n"/>
      <c r="B8572" s="9" t="n"/>
    </row>
    <row r="8573">
      <c r="A8573" s="8" t="n"/>
      <c r="B8573" s="9" t="n"/>
    </row>
    <row r="8574">
      <c r="A8574" s="8" t="n"/>
      <c r="B8574" s="9" t="n"/>
    </row>
    <row r="8575">
      <c r="A8575" s="8" t="n"/>
      <c r="B8575" s="9" t="n"/>
    </row>
    <row r="8576">
      <c r="A8576" s="8" t="n"/>
      <c r="B8576" s="9" t="n"/>
    </row>
    <row r="8577">
      <c r="A8577" s="8" t="n"/>
      <c r="B8577" s="9" t="n"/>
    </row>
    <row r="8578">
      <c r="A8578" s="8" t="n"/>
      <c r="B8578" s="9" t="n"/>
    </row>
    <row r="8579">
      <c r="A8579" s="8" t="n"/>
      <c r="B8579" s="9" t="n"/>
    </row>
    <row r="8580">
      <c r="A8580" s="8" t="n"/>
      <c r="B8580" s="9" t="n"/>
    </row>
    <row r="8581">
      <c r="A8581" s="8" t="n"/>
      <c r="B8581" s="9" t="n"/>
    </row>
    <row r="8582">
      <c r="A8582" s="8" t="n"/>
      <c r="B8582" s="9" t="n"/>
    </row>
    <row r="8583">
      <c r="A8583" s="8" t="n"/>
      <c r="B8583" s="9" t="n"/>
    </row>
    <row r="8584">
      <c r="A8584" s="8" t="n"/>
      <c r="B8584" s="9" t="n"/>
    </row>
    <row r="8585">
      <c r="A8585" s="8" t="n"/>
      <c r="B8585" s="9" t="n"/>
    </row>
    <row r="8586">
      <c r="A8586" s="8" t="n"/>
      <c r="B8586" s="9" t="n"/>
    </row>
    <row r="8587">
      <c r="A8587" s="8" t="n"/>
      <c r="B8587" s="9" t="n"/>
    </row>
    <row r="8588">
      <c r="A8588" s="8" t="n"/>
      <c r="B8588" s="9" t="n"/>
    </row>
    <row r="8589">
      <c r="A8589" s="8" t="n"/>
      <c r="B8589" s="9" t="n"/>
    </row>
    <row r="8590">
      <c r="A8590" s="8" t="n"/>
      <c r="B8590" s="9" t="n"/>
    </row>
    <row r="8591">
      <c r="A8591" s="8" t="n"/>
      <c r="B8591" s="9" t="n"/>
    </row>
    <row r="8592">
      <c r="A8592" s="8" t="n"/>
      <c r="B8592" s="9" t="n"/>
    </row>
    <row r="8593">
      <c r="A8593" s="8" t="n"/>
      <c r="B8593" s="9" t="n"/>
    </row>
    <row r="8594">
      <c r="A8594" s="8" t="n"/>
      <c r="B8594" s="9" t="n"/>
    </row>
    <row r="8595">
      <c r="A8595" s="8" t="n"/>
      <c r="B8595" s="9" t="n"/>
    </row>
    <row r="8596">
      <c r="A8596" s="8" t="n"/>
      <c r="B8596" s="9" t="n"/>
    </row>
    <row r="8597">
      <c r="A8597" s="8" t="n"/>
      <c r="B8597" s="9" t="n"/>
    </row>
    <row r="8598">
      <c r="A8598" s="8" t="n"/>
      <c r="B8598" s="9" t="n"/>
    </row>
    <row r="8599">
      <c r="A8599" s="8" t="n"/>
      <c r="B8599" s="9" t="n"/>
    </row>
    <row r="8600">
      <c r="A8600" s="8" t="n"/>
      <c r="B8600" s="9" t="n"/>
    </row>
    <row r="8601">
      <c r="A8601" s="8" t="n"/>
      <c r="B8601" s="9" t="n"/>
    </row>
    <row r="8602">
      <c r="A8602" s="8" t="n"/>
      <c r="B8602" s="9" t="n"/>
    </row>
    <row r="8603">
      <c r="A8603" s="8" t="n"/>
      <c r="B8603" s="9" t="n"/>
    </row>
    <row r="8604">
      <c r="A8604" s="8" t="n"/>
      <c r="B8604" s="9" t="n"/>
    </row>
    <row r="8605">
      <c r="A8605" s="8" t="n"/>
      <c r="B8605" s="9" t="n"/>
    </row>
    <row r="8606">
      <c r="A8606" s="8" t="n"/>
      <c r="B8606" s="9" t="n"/>
    </row>
    <row r="8607">
      <c r="A8607" s="8" t="n"/>
      <c r="B8607" s="9" t="n"/>
    </row>
    <row r="8608">
      <c r="A8608" s="8" t="n"/>
      <c r="B8608" s="9" t="n"/>
    </row>
    <row r="8609">
      <c r="A8609" s="8" t="n"/>
      <c r="B8609" s="9" t="n"/>
    </row>
    <row r="8610">
      <c r="A8610" s="8" t="n"/>
      <c r="B8610" s="9" t="n"/>
    </row>
    <row r="8611">
      <c r="A8611" s="8" t="n"/>
      <c r="B8611" s="9" t="n"/>
    </row>
    <row r="8612">
      <c r="A8612" s="8" t="n"/>
      <c r="B8612" s="9" t="n"/>
    </row>
    <row r="8613">
      <c r="A8613" s="8" t="n"/>
      <c r="B8613" s="9" t="n"/>
    </row>
    <row r="8614">
      <c r="A8614" s="8" t="n"/>
      <c r="B8614" s="9" t="n"/>
    </row>
    <row r="8615">
      <c r="A8615" s="8" t="n"/>
      <c r="B8615" s="9" t="n"/>
    </row>
    <row r="8616">
      <c r="A8616" s="8" t="n"/>
      <c r="B8616" s="9" t="n"/>
    </row>
    <row r="8617">
      <c r="A8617" s="8" t="n"/>
      <c r="B8617" s="9" t="n"/>
    </row>
    <row r="8618">
      <c r="A8618" s="8" t="n"/>
      <c r="B8618" s="9" t="n"/>
    </row>
    <row r="8619">
      <c r="A8619" s="8" t="n"/>
      <c r="B8619" s="9" t="n"/>
    </row>
    <row r="8620">
      <c r="A8620" s="8" t="n"/>
      <c r="B8620" s="9" t="n"/>
    </row>
    <row r="8621">
      <c r="A8621" s="8" t="n"/>
      <c r="B8621" s="9" t="n"/>
    </row>
    <row r="8622">
      <c r="A8622" s="8" t="n"/>
      <c r="B8622" s="9" t="n"/>
    </row>
    <row r="8623">
      <c r="A8623" s="8" t="n"/>
      <c r="B8623" s="9" t="n"/>
    </row>
    <row r="8624">
      <c r="A8624" s="8" t="n"/>
      <c r="B8624" s="9" t="n"/>
    </row>
    <row r="8625">
      <c r="A8625" s="8" t="n"/>
      <c r="B8625" s="9" t="n"/>
    </row>
    <row r="8626">
      <c r="A8626" s="8" t="n"/>
      <c r="B8626" s="9" t="n"/>
    </row>
    <row r="8627">
      <c r="A8627" s="8" t="n"/>
      <c r="B8627" s="9" t="n"/>
    </row>
    <row r="8628">
      <c r="A8628" s="8" t="n"/>
      <c r="B8628" s="9" t="n"/>
    </row>
    <row r="8629">
      <c r="A8629" s="8" t="n"/>
      <c r="B8629" s="9" t="n"/>
    </row>
    <row r="8630">
      <c r="A8630" s="8" t="n"/>
      <c r="B8630" s="9" t="n"/>
    </row>
    <row r="8631">
      <c r="A8631" s="8" t="n"/>
      <c r="B8631" s="9" t="n"/>
    </row>
    <row r="8632">
      <c r="A8632" s="8" t="n"/>
      <c r="B8632" s="9" t="n"/>
    </row>
    <row r="8633">
      <c r="A8633" s="8" t="n"/>
      <c r="B8633" s="9" t="n"/>
    </row>
    <row r="8634">
      <c r="A8634" s="8" t="n"/>
      <c r="B8634" s="9" t="n"/>
    </row>
    <row r="8635">
      <c r="A8635" s="8" t="n"/>
      <c r="B8635" s="9" t="n"/>
    </row>
    <row r="8636">
      <c r="A8636" s="8" t="n"/>
      <c r="B8636" s="9" t="n"/>
    </row>
    <row r="8637">
      <c r="A8637" s="8" t="n"/>
      <c r="B8637" s="9" t="n"/>
    </row>
    <row r="8638">
      <c r="A8638" s="8" t="n"/>
      <c r="B8638" s="9" t="n"/>
    </row>
    <row r="8639">
      <c r="A8639" s="8" t="n"/>
      <c r="B8639" s="9" t="n"/>
    </row>
    <row r="8640">
      <c r="A8640" s="8" t="n"/>
      <c r="B8640" s="9" t="n"/>
    </row>
    <row r="8641">
      <c r="A8641" s="8" t="n"/>
      <c r="B8641" s="9" t="n"/>
    </row>
    <row r="8642">
      <c r="A8642" s="8" t="n"/>
      <c r="B8642" s="9" t="n"/>
    </row>
    <row r="8643">
      <c r="A8643" s="8" t="n"/>
      <c r="B8643" s="9" t="n"/>
    </row>
    <row r="8644">
      <c r="A8644" s="8" t="n"/>
      <c r="B8644" s="9" t="n"/>
    </row>
    <row r="8645">
      <c r="A8645" s="8" t="n"/>
      <c r="B8645" s="9" t="n"/>
    </row>
    <row r="8646">
      <c r="A8646" s="8" t="n"/>
      <c r="B8646" s="9" t="n"/>
    </row>
    <row r="8647">
      <c r="A8647" s="8" t="n"/>
      <c r="B8647" s="9" t="n"/>
    </row>
    <row r="8648">
      <c r="A8648" s="8" t="n"/>
      <c r="B8648" s="9" t="n"/>
    </row>
    <row r="8649">
      <c r="A8649" s="8" t="n"/>
      <c r="B8649" s="9" t="n"/>
    </row>
    <row r="8650">
      <c r="A8650" s="8" t="n"/>
      <c r="B8650" s="9" t="n"/>
    </row>
    <row r="8651">
      <c r="A8651" s="8" t="n"/>
      <c r="B8651" s="9" t="n"/>
    </row>
    <row r="8652">
      <c r="A8652" s="8" t="n"/>
      <c r="B8652" s="9" t="n"/>
    </row>
    <row r="8653">
      <c r="A8653" s="8" t="n"/>
      <c r="B8653" s="9" t="n"/>
    </row>
    <row r="8654">
      <c r="A8654" s="8" t="n"/>
      <c r="B8654" s="9" t="n"/>
    </row>
    <row r="8655">
      <c r="A8655" s="8" t="n"/>
      <c r="B8655" s="9" t="n"/>
    </row>
    <row r="8656">
      <c r="A8656" s="8" t="n"/>
      <c r="B8656" s="9" t="n"/>
    </row>
    <row r="8657">
      <c r="A8657" s="8" t="n"/>
      <c r="B8657" s="9" t="n"/>
    </row>
    <row r="8658">
      <c r="A8658" s="8" t="n"/>
      <c r="B8658" s="9" t="n"/>
    </row>
    <row r="8659">
      <c r="A8659" s="8" t="n"/>
      <c r="B8659" s="9" t="n"/>
    </row>
    <row r="8660">
      <c r="A8660" s="8" t="n"/>
      <c r="B8660" s="9" t="n"/>
    </row>
    <row r="8661">
      <c r="A8661" s="8" t="n"/>
      <c r="B8661" s="9" t="n"/>
    </row>
    <row r="8662">
      <c r="A8662" s="8" t="n"/>
      <c r="B8662" s="9" t="n"/>
    </row>
    <row r="8663">
      <c r="A8663" s="8" t="n"/>
      <c r="B8663" s="9" t="n"/>
    </row>
    <row r="8664">
      <c r="A8664" s="8" t="n"/>
      <c r="B8664" s="9" t="n"/>
    </row>
    <row r="8665">
      <c r="A8665" s="8" t="n"/>
      <c r="B8665" s="9" t="n"/>
    </row>
    <row r="8666">
      <c r="A8666" s="8" t="n"/>
      <c r="B8666" s="9" t="n"/>
    </row>
    <row r="8667">
      <c r="A8667" s="8" t="n"/>
      <c r="B8667" s="9" t="n"/>
    </row>
    <row r="8668">
      <c r="A8668" s="8" t="n"/>
      <c r="B8668" s="9" t="n"/>
    </row>
    <row r="8669">
      <c r="A8669" s="8" t="n"/>
      <c r="B8669" s="9" t="n"/>
    </row>
    <row r="8670">
      <c r="A8670" s="8" t="n"/>
      <c r="B8670" s="9" t="n"/>
    </row>
    <row r="8671">
      <c r="A8671" s="8" t="n"/>
      <c r="B8671" s="9" t="n"/>
    </row>
    <row r="8672">
      <c r="A8672" s="8" t="n"/>
      <c r="B8672" s="9" t="n"/>
    </row>
    <row r="8673">
      <c r="A8673" s="8" t="n"/>
      <c r="B8673" s="9" t="n"/>
    </row>
    <row r="8674">
      <c r="A8674" s="8" t="n"/>
      <c r="B8674" s="9" t="n"/>
    </row>
    <row r="8675">
      <c r="A8675" s="8" t="n"/>
      <c r="B8675" s="9" t="n"/>
    </row>
    <row r="8676">
      <c r="A8676" s="8" t="n"/>
      <c r="B8676" s="9" t="n"/>
    </row>
    <row r="8677">
      <c r="A8677" s="8" t="n"/>
      <c r="B8677" s="9" t="n"/>
    </row>
    <row r="8678">
      <c r="A8678" s="8" t="n"/>
      <c r="B8678" s="9" t="n"/>
    </row>
    <row r="8679">
      <c r="A8679" s="8" t="n"/>
      <c r="B8679" s="9" t="n"/>
    </row>
    <row r="8680">
      <c r="A8680" s="8" t="n"/>
      <c r="B8680" s="9" t="n"/>
    </row>
    <row r="8681">
      <c r="A8681" s="8" t="n"/>
      <c r="B8681" s="9" t="n"/>
    </row>
    <row r="8682">
      <c r="A8682" s="8" t="n"/>
      <c r="B8682" s="9" t="n"/>
    </row>
    <row r="8683">
      <c r="A8683" s="8" t="n"/>
      <c r="B8683" s="9" t="n"/>
    </row>
    <row r="8684">
      <c r="A8684" s="8" t="n"/>
      <c r="B8684" s="9" t="n"/>
    </row>
    <row r="8685">
      <c r="A8685" s="8" t="n"/>
      <c r="B8685" s="9" t="n"/>
    </row>
    <row r="8686">
      <c r="A8686" s="8" t="n"/>
      <c r="B8686" s="9" t="n"/>
    </row>
    <row r="8687">
      <c r="A8687" s="8" t="n"/>
      <c r="B8687" s="9" t="n"/>
    </row>
    <row r="8688">
      <c r="A8688" s="8" t="n"/>
      <c r="B8688" s="9" t="n"/>
    </row>
    <row r="8689">
      <c r="A8689" s="8" t="n"/>
      <c r="B8689" s="9" t="n"/>
    </row>
    <row r="8690">
      <c r="A8690" s="8" t="n"/>
      <c r="B8690" s="9" t="n"/>
    </row>
    <row r="8691">
      <c r="A8691" s="8" t="n"/>
      <c r="B8691" s="9" t="n"/>
    </row>
    <row r="8692">
      <c r="A8692" s="8" t="n"/>
      <c r="B8692" s="9" t="n"/>
    </row>
    <row r="8693">
      <c r="A8693" s="8" t="n"/>
      <c r="B8693" s="9" t="n"/>
    </row>
    <row r="8694">
      <c r="A8694" s="8" t="n"/>
      <c r="B8694" s="9" t="n"/>
    </row>
    <row r="8695">
      <c r="A8695" s="8" t="n"/>
      <c r="B8695" s="9" t="n"/>
    </row>
    <row r="8696">
      <c r="A8696" s="8" t="n"/>
      <c r="B8696" s="9" t="n"/>
    </row>
    <row r="8697">
      <c r="A8697" s="8" t="n"/>
      <c r="B8697" s="9" t="n"/>
    </row>
    <row r="8698">
      <c r="A8698" s="8" t="n"/>
      <c r="B8698" s="9" t="n"/>
    </row>
    <row r="8699">
      <c r="A8699" s="8" t="n"/>
      <c r="B8699" s="9" t="n"/>
    </row>
    <row r="8700">
      <c r="A8700" s="8" t="n"/>
      <c r="B8700" s="9" t="n"/>
    </row>
    <row r="8701">
      <c r="A8701" s="8" t="n"/>
      <c r="B8701" s="9" t="n"/>
    </row>
    <row r="8702">
      <c r="A8702" s="8" t="n"/>
      <c r="B8702" s="9" t="n"/>
    </row>
    <row r="8703">
      <c r="A8703" s="8" t="n"/>
      <c r="B8703" s="9" t="n"/>
    </row>
    <row r="8704">
      <c r="A8704" s="8" t="n"/>
      <c r="B8704" s="9" t="n"/>
    </row>
    <row r="8705">
      <c r="A8705" s="8" t="n"/>
      <c r="B8705" s="9" t="n"/>
    </row>
    <row r="8706">
      <c r="A8706" s="8" t="n"/>
      <c r="B8706" s="9" t="n"/>
    </row>
    <row r="8707">
      <c r="A8707" s="8" t="n"/>
      <c r="B8707" s="9" t="n"/>
    </row>
    <row r="8708">
      <c r="A8708" s="8" t="n"/>
      <c r="B8708" s="9" t="n"/>
    </row>
    <row r="8709">
      <c r="A8709" s="8" t="n"/>
      <c r="B8709" s="9" t="n"/>
    </row>
    <row r="8710">
      <c r="A8710" s="8" t="n"/>
      <c r="B8710" s="9" t="n"/>
    </row>
    <row r="8711">
      <c r="A8711" s="8" t="n"/>
      <c r="B8711" s="9" t="n"/>
    </row>
    <row r="8712">
      <c r="A8712" s="8" t="n"/>
      <c r="B8712" s="9" t="n"/>
    </row>
    <row r="8713">
      <c r="A8713" s="8" t="n"/>
      <c r="B8713" s="9" t="n"/>
    </row>
    <row r="8714">
      <c r="A8714" s="8" t="n"/>
      <c r="B8714" s="9" t="n"/>
    </row>
    <row r="8715">
      <c r="A8715" s="8" t="n"/>
      <c r="B8715" s="9" t="n"/>
    </row>
    <row r="8716">
      <c r="A8716" s="8" t="n"/>
      <c r="B8716" s="9" t="n"/>
    </row>
    <row r="8717">
      <c r="A8717" s="8" t="n"/>
      <c r="B8717" s="9" t="n"/>
    </row>
    <row r="8718">
      <c r="A8718" s="8" t="n"/>
      <c r="B8718" s="9" t="n"/>
    </row>
    <row r="8719">
      <c r="A8719" s="8" t="n"/>
      <c r="B8719" s="9" t="n"/>
    </row>
    <row r="8720">
      <c r="A8720" s="8" t="n"/>
      <c r="B8720" s="9" t="n"/>
    </row>
    <row r="8721">
      <c r="A8721" s="8" t="n"/>
      <c r="B8721" s="9" t="n"/>
    </row>
    <row r="8722">
      <c r="A8722" s="8" t="n"/>
      <c r="B8722" s="9" t="n"/>
    </row>
    <row r="8723">
      <c r="A8723" s="8" t="n"/>
      <c r="B8723" s="9" t="n"/>
    </row>
    <row r="8724">
      <c r="A8724" s="8" t="n"/>
      <c r="B8724" s="9" t="n"/>
    </row>
    <row r="8725">
      <c r="A8725" s="8" t="n"/>
      <c r="B8725" s="9" t="n"/>
    </row>
    <row r="8726">
      <c r="A8726" s="8" t="n"/>
      <c r="B8726" s="9" t="n"/>
    </row>
    <row r="8727">
      <c r="A8727" s="8" t="n"/>
      <c r="B8727" s="9" t="n"/>
    </row>
    <row r="8728">
      <c r="A8728" s="8" t="n"/>
      <c r="B8728" s="9" t="n"/>
    </row>
    <row r="8729">
      <c r="A8729" s="8" t="n"/>
      <c r="B8729" s="9" t="n"/>
    </row>
    <row r="8730">
      <c r="A8730" s="8" t="n"/>
      <c r="B8730" s="9" t="n"/>
    </row>
    <row r="8731">
      <c r="A8731" s="8" t="n"/>
      <c r="B8731" s="9" t="n"/>
    </row>
    <row r="8732">
      <c r="A8732" s="8" t="n"/>
      <c r="B8732" s="9" t="n"/>
    </row>
    <row r="8733">
      <c r="A8733" s="8" t="n"/>
      <c r="B8733" s="9" t="n"/>
    </row>
    <row r="8734">
      <c r="A8734" s="8" t="n"/>
      <c r="B8734" s="9" t="n"/>
    </row>
    <row r="8735">
      <c r="A8735" s="8" t="n"/>
      <c r="B8735" s="9" t="n"/>
    </row>
    <row r="8736">
      <c r="A8736" s="8" t="n"/>
      <c r="B8736" s="9" t="n"/>
    </row>
    <row r="8737">
      <c r="A8737" s="8" t="n"/>
      <c r="B8737" s="9" t="n"/>
    </row>
    <row r="8738">
      <c r="A8738" s="8" t="n"/>
      <c r="B8738" s="9" t="n"/>
    </row>
    <row r="8739">
      <c r="A8739" s="8" t="n"/>
      <c r="B8739" s="9" t="n"/>
    </row>
    <row r="8740">
      <c r="A8740" s="8" t="n"/>
      <c r="B8740" s="9" t="n"/>
    </row>
    <row r="8741">
      <c r="A8741" s="8" t="n"/>
      <c r="B8741" s="9" t="n"/>
    </row>
    <row r="8742">
      <c r="A8742" s="8" t="n"/>
      <c r="B8742" s="9" t="n"/>
    </row>
    <row r="8743">
      <c r="A8743" s="8" t="n"/>
      <c r="B8743" s="9" t="n"/>
    </row>
    <row r="8744">
      <c r="A8744" s="8" t="n"/>
      <c r="B8744" s="9" t="n"/>
    </row>
    <row r="8745">
      <c r="A8745" s="8" t="n"/>
      <c r="B8745" s="9" t="n"/>
    </row>
    <row r="8746">
      <c r="A8746" s="8" t="n"/>
      <c r="B8746" s="9" t="n"/>
    </row>
    <row r="8747">
      <c r="A8747" s="8" t="n"/>
      <c r="B8747" s="9" t="n"/>
    </row>
    <row r="8748">
      <c r="A8748" s="8" t="n"/>
      <c r="B8748" s="9" t="n"/>
    </row>
    <row r="8749">
      <c r="A8749" s="8" t="n"/>
      <c r="B8749" s="9" t="n"/>
    </row>
    <row r="8750">
      <c r="A8750" s="8" t="n"/>
      <c r="B8750" s="9" t="n"/>
    </row>
    <row r="8751">
      <c r="A8751" s="8" t="n"/>
      <c r="B8751" s="9" t="n"/>
    </row>
    <row r="8752">
      <c r="A8752" s="8" t="n"/>
      <c r="B8752" s="9" t="n"/>
    </row>
    <row r="8753">
      <c r="A8753" s="8" t="n"/>
      <c r="B8753" s="9" t="n"/>
    </row>
    <row r="8754">
      <c r="A8754" s="8" t="n"/>
      <c r="B8754" s="9" t="n"/>
    </row>
    <row r="8755">
      <c r="A8755" s="8" t="n"/>
      <c r="B8755" s="9" t="n"/>
    </row>
    <row r="8756">
      <c r="A8756" s="8" t="n"/>
      <c r="B8756" s="9" t="n"/>
    </row>
    <row r="8757">
      <c r="A8757" s="8" t="n"/>
      <c r="B8757" s="9" t="n"/>
    </row>
    <row r="8758">
      <c r="A8758" s="8" t="n"/>
      <c r="B8758" s="9" t="n"/>
    </row>
    <row r="8759">
      <c r="A8759" s="8" t="n"/>
      <c r="B8759" s="9" t="n"/>
    </row>
    <row r="8760">
      <c r="A8760" s="8" t="n"/>
      <c r="B8760" s="9" t="n"/>
    </row>
    <row r="8761">
      <c r="A8761" s="8" t="n"/>
      <c r="B8761" s="9" t="n"/>
    </row>
    <row r="8762">
      <c r="A8762" s="8" t="n"/>
      <c r="B8762" s="9" t="n"/>
    </row>
    <row r="8763">
      <c r="A8763" s="8" t="n"/>
      <c r="B8763" s="9" t="n"/>
    </row>
    <row r="8764">
      <c r="A8764" s="8" t="n"/>
      <c r="B8764" s="9" t="n"/>
    </row>
    <row r="8765">
      <c r="A8765" s="8" t="n"/>
      <c r="B8765" s="9" t="n"/>
    </row>
    <row r="8766">
      <c r="A8766" s="8" t="n"/>
      <c r="B8766" s="9" t="n"/>
    </row>
    <row r="8767">
      <c r="A8767" s="8" t="n"/>
      <c r="B8767" s="9" t="n"/>
    </row>
    <row r="8768">
      <c r="A8768" s="8" t="n"/>
      <c r="B8768" s="9" t="n"/>
    </row>
    <row r="8769">
      <c r="A8769" s="8" t="n"/>
      <c r="B8769" s="9" t="n"/>
    </row>
    <row r="8770">
      <c r="A8770" s="8" t="n"/>
      <c r="B8770" s="9" t="n"/>
    </row>
    <row r="8771">
      <c r="A8771" s="8" t="n"/>
      <c r="B8771" s="9" t="n"/>
    </row>
    <row r="8772">
      <c r="A8772" s="8" t="n"/>
      <c r="B8772" s="9" t="n"/>
    </row>
    <row r="8773">
      <c r="A8773" s="8" t="n"/>
      <c r="B8773" s="9" t="n"/>
    </row>
    <row r="8774">
      <c r="A8774" s="8" t="n"/>
      <c r="B8774" s="9" t="n"/>
    </row>
    <row r="8775">
      <c r="A8775" s="8" t="n"/>
      <c r="B8775" s="9" t="n"/>
    </row>
    <row r="8776">
      <c r="A8776" s="8" t="n"/>
      <c r="B8776" s="9" t="n"/>
    </row>
    <row r="8777">
      <c r="A8777" s="8" t="n"/>
      <c r="B8777" s="9" t="n"/>
    </row>
    <row r="8778">
      <c r="A8778" s="8" t="n"/>
      <c r="B8778" s="9" t="n"/>
    </row>
    <row r="8779">
      <c r="A8779" s="8" t="n"/>
      <c r="B8779" s="9" t="n"/>
    </row>
    <row r="8780">
      <c r="A8780" s="8" t="n"/>
      <c r="B8780" s="9" t="n"/>
    </row>
    <row r="8781">
      <c r="A8781" s="8" t="n"/>
      <c r="B8781" s="9" t="n"/>
    </row>
    <row r="8782">
      <c r="A8782" s="8" t="n"/>
      <c r="B8782" s="9" t="n"/>
    </row>
    <row r="8783">
      <c r="A8783" s="8" t="n"/>
      <c r="B8783" s="9" t="n"/>
    </row>
    <row r="8784">
      <c r="A8784" s="8" t="n"/>
      <c r="B8784" s="9" t="n"/>
    </row>
    <row r="8785">
      <c r="A8785" s="8" t="n"/>
      <c r="B8785" s="9" t="n"/>
    </row>
    <row r="8786">
      <c r="A8786" s="8" t="n"/>
      <c r="B8786" s="9" t="n"/>
    </row>
    <row r="8787">
      <c r="A8787" s="8" t="n"/>
      <c r="B8787" s="9" t="n"/>
    </row>
    <row r="8788">
      <c r="A8788" s="8" t="n"/>
      <c r="B8788" s="9" t="n"/>
    </row>
    <row r="8789">
      <c r="A8789" s="8" t="n"/>
      <c r="B8789" s="9" t="n"/>
    </row>
    <row r="8790">
      <c r="A8790" s="8" t="n"/>
      <c r="B8790" s="9" t="n"/>
    </row>
    <row r="8791">
      <c r="A8791" s="8" t="n"/>
      <c r="B8791" s="9" t="n"/>
    </row>
    <row r="8792">
      <c r="A8792" s="8" t="n"/>
      <c r="B8792" s="9" t="n"/>
    </row>
    <row r="8793">
      <c r="A8793" s="8" t="n"/>
      <c r="B8793" s="9" t="n"/>
    </row>
    <row r="8794">
      <c r="A8794" s="8" t="n"/>
      <c r="B8794" s="9" t="n"/>
    </row>
    <row r="8795">
      <c r="A8795" s="8" t="n"/>
      <c r="B8795" s="9" t="n"/>
    </row>
    <row r="8796">
      <c r="A8796" s="8" t="n"/>
      <c r="B8796" s="9" t="n"/>
    </row>
    <row r="8797">
      <c r="A8797" s="8" t="n"/>
      <c r="B8797" s="9" t="n"/>
    </row>
    <row r="8798">
      <c r="A8798" s="8" t="n"/>
      <c r="B8798" s="9" t="n"/>
    </row>
    <row r="8799">
      <c r="A8799" s="8" t="n"/>
      <c r="B8799" s="9" t="n"/>
    </row>
    <row r="8800">
      <c r="A8800" s="8" t="n"/>
      <c r="B8800" s="9" t="n"/>
    </row>
    <row r="8801">
      <c r="A8801" s="8" t="n"/>
      <c r="B8801" s="9" t="n"/>
    </row>
    <row r="8802">
      <c r="A8802" s="8" t="n"/>
      <c r="B8802" s="9" t="n"/>
    </row>
    <row r="8803">
      <c r="A8803" s="8" t="n"/>
      <c r="B8803" s="9" t="n"/>
    </row>
    <row r="8804">
      <c r="A8804" s="8" t="n"/>
      <c r="B8804" s="9" t="n"/>
    </row>
    <row r="8805">
      <c r="A8805" s="8" t="n"/>
      <c r="B8805" s="9" t="n"/>
    </row>
    <row r="8806">
      <c r="A8806" s="8" t="n"/>
      <c r="B8806" s="9" t="n"/>
    </row>
    <row r="8807">
      <c r="A8807" s="8" t="n"/>
      <c r="B8807" s="9" t="n"/>
    </row>
    <row r="8808">
      <c r="A8808" s="8" t="n"/>
      <c r="B8808" s="9" t="n"/>
    </row>
    <row r="8809">
      <c r="A8809" s="8" t="n"/>
      <c r="B8809" s="9" t="n"/>
    </row>
    <row r="8810">
      <c r="A8810" s="8" t="n"/>
      <c r="B8810" s="9" t="n"/>
    </row>
    <row r="8811">
      <c r="A8811" s="8" t="n"/>
      <c r="B8811" s="9" t="n"/>
    </row>
    <row r="8812">
      <c r="A8812" s="8" t="n"/>
      <c r="B8812" s="9" t="n"/>
    </row>
    <row r="8813">
      <c r="A8813" s="8" t="n"/>
      <c r="B8813" s="9" t="n"/>
    </row>
    <row r="8814">
      <c r="A8814" s="8" t="n"/>
      <c r="B8814" s="9" t="n"/>
    </row>
    <row r="8815">
      <c r="A8815" s="8" t="n"/>
      <c r="B8815" s="9" t="n"/>
    </row>
    <row r="8816">
      <c r="A8816" s="8" t="n"/>
      <c r="B8816" s="9" t="n"/>
    </row>
    <row r="8817">
      <c r="A8817" s="8" t="n"/>
      <c r="B8817" s="9" t="n"/>
    </row>
    <row r="8818">
      <c r="A8818" s="8" t="n"/>
      <c r="B8818" s="9" t="n"/>
    </row>
    <row r="8819">
      <c r="A8819" s="8" t="n"/>
      <c r="B8819" s="9" t="n"/>
    </row>
    <row r="8820">
      <c r="A8820" s="8" t="n"/>
      <c r="B8820" s="9" t="n"/>
    </row>
    <row r="8821">
      <c r="A8821" s="8" t="n"/>
      <c r="B8821" s="9" t="n"/>
    </row>
    <row r="8822">
      <c r="A8822" s="8" t="n"/>
      <c r="B8822" s="9" t="n"/>
    </row>
    <row r="8823">
      <c r="A8823" s="8" t="n"/>
      <c r="B8823" s="9" t="n"/>
    </row>
    <row r="8824">
      <c r="A8824" s="8" t="n"/>
      <c r="B8824" s="9" t="n"/>
    </row>
    <row r="8825">
      <c r="A8825" s="8" t="n"/>
      <c r="B8825" s="9" t="n"/>
    </row>
    <row r="8826">
      <c r="A8826" s="8" t="n"/>
      <c r="B8826" s="9" t="n"/>
    </row>
    <row r="8827">
      <c r="A8827" s="8" t="n"/>
      <c r="B8827" s="9" t="n"/>
    </row>
    <row r="8828">
      <c r="A8828" s="8" t="n"/>
      <c r="B8828" s="9" t="n"/>
    </row>
    <row r="8829">
      <c r="A8829" s="8" t="n"/>
      <c r="B8829" s="9" t="n"/>
    </row>
    <row r="8830">
      <c r="A8830" s="8" t="n"/>
      <c r="B8830" s="9" t="n"/>
    </row>
    <row r="8831">
      <c r="A8831" s="8" t="n"/>
      <c r="B8831" s="9" t="n"/>
    </row>
    <row r="8832">
      <c r="A8832" s="8" t="n"/>
      <c r="B8832" s="9" t="n"/>
    </row>
    <row r="8833">
      <c r="A8833" s="8" t="n"/>
      <c r="B8833" s="9" t="n"/>
    </row>
    <row r="8834">
      <c r="A8834" s="8" t="n"/>
      <c r="B8834" s="9" t="n"/>
    </row>
    <row r="8835">
      <c r="A8835" s="8" t="n"/>
      <c r="B8835" s="9" t="n"/>
    </row>
    <row r="8836">
      <c r="A8836" s="8" t="n"/>
      <c r="B8836" s="9" t="n"/>
    </row>
    <row r="8837">
      <c r="A8837" s="8" t="n"/>
      <c r="B8837" s="9" t="n"/>
    </row>
    <row r="8838">
      <c r="A8838" s="8" t="n"/>
      <c r="B8838" s="9" t="n"/>
    </row>
    <row r="8839">
      <c r="A8839" s="8" t="n"/>
      <c r="B8839" s="9" t="n"/>
    </row>
    <row r="8840">
      <c r="A8840" s="8" t="n"/>
      <c r="B8840" s="9" t="n"/>
    </row>
    <row r="8841">
      <c r="A8841" s="8" t="n"/>
      <c r="B8841" s="9" t="n"/>
    </row>
    <row r="8842">
      <c r="A8842" s="8" t="n"/>
      <c r="B8842" s="9" t="n"/>
    </row>
    <row r="8843">
      <c r="A8843" s="8" t="n"/>
      <c r="B8843" s="9" t="n"/>
    </row>
    <row r="8844">
      <c r="A8844" s="8" t="n"/>
      <c r="B8844" s="9" t="n"/>
    </row>
    <row r="8845">
      <c r="A8845" s="8" t="n"/>
      <c r="B8845" s="9" t="n"/>
    </row>
    <row r="8846">
      <c r="A8846" s="8" t="n"/>
      <c r="B8846" s="9" t="n"/>
    </row>
    <row r="8847">
      <c r="A8847" s="8" t="n"/>
      <c r="B8847" s="9" t="n"/>
    </row>
    <row r="8848">
      <c r="A8848" s="8" t="n"/>
      <c r="B8848" s="9" t="n"/>
    </row>
    <row r="8849">
      <c r="A8849" s="8" t="n"/>
      <c r="B8849" s="9" t="n"/>
    </row>
    <row r="8850">
      <c r="A8850" s="8" t="n"/>
      <c r="B8850" s="9" t="n"/>
    </row>
    <row r="8851">
      <c r="A8851" s="8" t="n"/>
      <c r="B8851" s="9" t="n"/>
    </row>
    <row r="8852">
      <c r="A8852" s="8" t="n"/>
      <c r="B8852" s="9" t="n"/>
    </row>
    <row r="8853">
      <c r="A8853" s="8" t="n"/>
      <c r="B8853" s="9" t="n"/>
    </row>
    <row r="8854">
      <c r="A8854" s="8" t="n"/>
      <c r="B8854" s="9" t="n"/>
    </row>
    <row r="8855">
      <c r="A8855" s="8" t="n"/>
      <c r="B8855" s="9" t="n"/>
    </row>
    <row r="8856">
      <c r="A8856" s="8" t="n"/>
      <c r="B8856" s="9" t="n"/>
    </row>
    <row r="8857">
      <c r="A8857" s="8" t="n"/>
      <c r="B8857" s="9" t="n"/>
    </row>
    <row r="8858">
      <c r="A8858" s="8" t="n"/>
      <c r="B8858" s="9" t="n"/>
    </row>
    <row r="8859">
      <c r="A8859" s="8" t="n"/>
      <c r="B8859" s="9" t="n"/>
    </row>
    <row r="8860">
      <c r="A8860" s="8" t="n"/>
      <c r="B8860" s="9" t="n"/>
    </row>
    <row r="8861">
      <c r="A8861" s="8" t="n"/>
      <c r="B8861" s="9" t="n"/>
    </row>
    <row r="8862">
      <c r="A8862" s="8" t="n"/>
      <c r="B8862" s="9" t="n"/>
    </row>
    <row r="8863">
      <c r="A8863" s="8" t="n"/>
      <c r="B8863" s="9" t="n"/>
    </row>
    <row r="8864">
      <c r="A8864" s="8" t="n"/>
      <c r="B8864" s="9" t="n"/>
    </row>
    <row r="8865">
      <c r="A8865" s="8" t="n"/>
      <c r="B8865" s="9" t="n"/>
    </row>
    <row r="8866">
      <c r="A8866" s="8" t="n"/>
      <c r="B8866" s="9" t="n"/>
    </row>
    <row r="8867">
      <c r="A8867" s="8" t="n"/>
      <c r="B8867" s="9" t="n"/>
    </row>
    <row r="8868">
      <c r="A8868" s="8" t="n"/>
      <c r="B8868" s="9" t="n"/>
    </row>
    <row r="8869">
      <c r="A8869" s="8" t="n"/>
      <c r="B8869" s="9" t="n"/>
    </row>
    <row r="8870">
      <c r="A8870" s="8" t="n"/>
      <c r="B8870" s="9" t="n"/>
    </row>
    <row r="8871">
      <c r="A8871" s="8" t="n"/>
      <c r="B8871" s="9" t="n"/>
    </row>
    <row r="8872">
      <c r="A8872" s="8" t="n"/>
      <c r="B8872" s="9" t="n"/>
    </row>
    <row r="8873">
      <c r="A8873" s="8" t="n"/>
      <c r="B8873" s="9" t="n"/>
    </row>
    <row r="8874">
      <c r="A8874" s="8" t="n"/>
      <c r="B8874" s="9" t="n"/>
    </row>
    <row r="8875">
      <c r="A8875" s="8" t="n"/>
      <c r="B8875" s="9" t="n"/>
    </row>
    <row r="8876">
      <c r="A8876" s="8" t="n"/>
      <c r="B8876" s="9" t="n"/>
    </row>
    <row r="8877">
      <c r="A8877" s="8" t="n"/>
      <c r="B8877" s="9" t="n"/>
    </row>
    <row r="8878">
      <c r="A8878" s="8" t="n"/>
      <c r="B8878" s="9" t="n"/>
    </row>
    <row r="8879">
      <c r="A8879" s="8" t="n"/>
      <c r="B8879" s="9" t="n"/>
    </row>
    <row r="8880">
      <c r="A8880" s="8" t="n"/>
      <c r="B8880" s="9" t="n"/>
    </row>
    <row r="8881">
      <c r="A8881" s="8" t="n"/>
      <c r="B8881" s="9" t="n"/>
    </row>
    <row r="8882">
      <c r="A8882" s="8" t="n"/>
      <c r="B8882" s="9" t="n"/>
    </row>
    <row r="8883">
      <c r="A8883" s="8" t="n"/>
      <c r="B8883" s="9" t="n"/>
    </row>
    <row r="8884">
      <c r="A8884" s="8" t="n"/>
      <c r="B8884" s="9" t="n"/>
    </row>
    <row r="8885">
      <c r="A8885" s="8" t="n"/>
      <c r="B8885" s="9" t="n"/>
    </row>
    <row r="8886">
      <c r="A8886" s="8" t="n"/>
      <c r="B8886" s="9" t="n"/>
    </row>
    <row r="8887">
      <c r="A8887" s="8" t="n"/>
      <c r="B8887" s="9" t="n"/>
    </row>
    <row r="8888">
      <c r="A8888" s="8" t="n"/>
      <c r="B8888" s="9" t="n"/>
    </row>
    <row r="8889">
      <c r="A8889" s="8" t="n"/>
      <c r="B8889" s="9" t="n"/>
    </row>
    <row r="8890">
      <c r="A8890" s="8" t="n"/>
      <c r="B8890" s="9" t="n"/>
    </row>
    <row r="8891">
      <c r="A8891" s="8" t="n"/>
      <c r="B8891" s="9" t="n"/>
    </row>
    <row r="8892">
      <c r="A8892" s="8" t="n"/>
      <c r="B8892" s="9" t="n"/>
    </row>
    <row r="8893">
      <c r="A8893" s="8" t="n"/>
      <c r="B8893" s="9" t="n"/>
    </row>
    <row r="8894">
      <c r="A8894" s="8" t="n"/>
      <c r="B8894" s="9" t="n"/>
    </row>
    <row r="8895">
      <c r="A8895" s="8" t="n"/>
      <c r="B8895" s="9" t="n"/>
    </row>
    <row r="8896">
      <c r="A8896" s="8" t="n"/>
      <c r="B8896" s="9" t="n"/>
    </row>
    <row r="8897">
      <c r="A8897" s="8" t="n"/>
      <c r="B8897" s="9" t="n"/>
    </row>
    <row r="8898">
      <c r="A8898" s="8" t="n"/>
      <c r="B8898" s="9" t="n"/>
    </row>
    <row r="8899">
      <c r="A8899" s="8" t="n"/>
      <c r="B8899" s="9" t="n"/>
    </row>
    <row r="8900">
      <c r="A8900" s="8" t="n"/>
      <c r="B8900" s="9" t="n"/>
    </row>
    <row r="8901">
      <c r="A8901" s="8" t="n"/>
      <c r="B8901" s="9" t="n"/>
    </row>
    <row r="8902">
      <c r="A8902" s="8" t="n"/>
      <c r="B8902" s="9" t="n"/>
    </row>
    <row r="8903">
      <c r="A8903" s="8" t="n"/>
      <c r="B8903" s="9" t="n"/>
    </row>
    <row r="8904">
      <c r="A8904" s="8" t="n"/>
      <c r="B8904" s="9" t="n"/>
    </row>
    <row r="8905">
      <c r="A8905" s="8" t="n"/>
      <c r="B8905" s="9" t="n"/>
    </row>
    <row r="8906">
      <c r="A8906" s="8" t="n"/>
      <c r="B8906" s="9" t="n"/>
    </row>
    <row r="8907">
      <c r="A8907" s="8" t="n"/>
      <c r="B8907" s="9" t="n"/>
    </row>
    <row r="8908">
      <c r="A8908" s="8" t="n"/>
      <c r="B8908" s="9" t="n"/>
    </row>
    <row r="8909">
      <c r="A8909" s="8" t="n"/>
      <c r="B8909" s="9" t="n"/>
    </row>
    <row r="8910">
      <c r="A8910" s="8" t="n"/>
      <c r="B8910" s="9" t="n"/>
    </row>
    <row r="8911">
      <c r="A8911" s="8" t="n"/>
      <c r="B8911" s="9" t="n"/>
    </row>
    <row r="8912">
      <c r="A8912" s="8" t="n"/>
      <c r="B8912" s="9" t="n"/>
    </row>
    <row r="8913">
      <c r="A8913" s="8" t="n"/>
      <c r="B8913" s="9" t="n"/>
    </row>
    <row r="8914">
      <c r="A8914" s="8" t="n"/>
      <c r="B8914" s="9" t="n"/>
    </row>
    <row r="8915">
      <c r="A8915" s="8" t="n"/>
      <c r="B8915" s="9" t="n"/>
    </row>
    <row r="8916">
      <c r="A8916" s="8" t="n"/>
      <c r="B8916" s="9" t="n"/>
    </row>
    <row r="8917">
      <c r="A8917" s="8" t="n"/>
      <c r="B8917" s="9" t="n"/>
    </row>
    <row r="8918">
      <c r="A8918" s="8" t="n"/>
      <c r="B8918" s="9" t="n"/>
    </row>
    <row r="8919">
      <c r="A8919" s="8" t="n"/>
      <c r="B8919" s="9" t="n"/>
    </row>
    <row r="8920">
      <c r="A8920" s="8" t="n"/>
      <c r="B8920" s="9" t="n"/>
    </row>
    <row r="8921">
      <c r="A8921" s="8" t="n"/>
      <c r="B8921" s="9" t="n"/>
    </row>
    <row r="8922">
      <c r="A8922" s="8" t="n"/>
      <c r="B8922" s="9" t="n"/>
    </row>
    <row r="8923">
      <c r="A8923" s="8" t="n"/>
      <c r="B8923" s="9" t="n"/>
    </row>
    <row r="8924">
      <c r="A8924" s="8" t="n"/>
      <c r="B8924" s="9" t="n"/>
    </row>
    <row r="8925">
      <c r="A8925" s="8" t="n"/>
      <c r="B8925" s="9" t="n"/>
    </row>
    <row r="8926">
      <c r="A8926" s="8" t="n"/>
      <c r="B8926" s="9" t="n"/>
    </row>
    <row r="8927">
      <c r="A8927" s="8" t="n"/>
      <c r="B8927" s="9" t="n"/>
    </row>
    <row r="8928">
      <c r="A8928" s="8" t="n"/>
      <c r="B8928" s="9" t="n"/>
    </row>
    <row r="8929">
      <c r="A8929" s="8" t="n"/>
      <c r="B8929" s="9" t="n"/>
    </row>
    <row r="8930">
      <c r="A8930" s="8" t="n"/>
      <c r="B8930" s="9" t="n"/>
    </row>
    <row r="8931">
      <c r="A8931" s="8" t="n"/>
      <c r="B8931" s="9" t="n"/>
    </row>
    <row r="8932">
      <c r="A8932" s="8" t="n"/>
      <c r="B8932" s="9" t="n"/>
    </row>
    <row r="8933">
      <c r="A8933" s="8" t="n"/>
      <c r="B8933" s="9" t="n"/>
    </row>
    <row r="8934">
      <c r="A8934" s="8" t="n"/>
      <c r="B8934" s="9" t="n"/>
    </row>
    <row r="8935">
      <c r="A8935" s="8" t="n"/>
      <c r="B8935" s="9" t="n"/>
    </row>
    <row r="8936">
      <c r="A8936" s="8" t="n"/>
      <c r="B8936" s="9" t="n"/>
    </row>
    <row r="8937">
      <c r="A8937" s="8" t="n"/>
      <c r="B8937" s="9" t="n"/>
    </row>
    <row r="8938">
      <c r="A8938" s="8" t="n"/>
      <c r="B8938" s="9" t="n"/>
    </row>
    <row r="8939">
      <c r="A8939" s="8" t="n"/>
      <c r="B8939" s="9" t="n"/>
    </row>
    <row r="8940">
      <c r="A8940" s="8" t="n"/>
      <c r="B8940" s="9" t="n"/>
    </row>
    <row r="8941">
      <c r="A8941" s="8" t="n"/>
      <c r="B8941" s="9" t="n"/>
    </row>
    <row r="8942">
      <c r="A8942" s="8" t="n"/>
      <c r="B8942" s="9" t="n"/>
    </row>
    <row r="8943">
      <c r="A8943" s="8" t="n"/>
      <c r="B8943" s="9" t="n"/>
    </row>
    <row r="8944">
      <c r="A8944" s="8" t="n"/>
      <c r="B8944" s="9" t="n"/>
    </row>
    <row r="8945">
      <c r="A8945" s="8" t="n"/>
      <c r="B8945" s="9" t="n"/>
    </row>
    <row r="8946">
      <c r="A8946" s="8" t="n"/>
      <c r="B8946" s="9" t="n"/>
    </row>
    <row r="8947">
      <c r="A8947" s="8" t="n"/>
      <c r="B8947" s="9" t="n"/>
    </row>
    <row r="8948">
      <c r="A8948" s="8" t="n"/>
      <c r="B8948" s="9" t="n"/>
    </row>
    <row r="8949">
      <c r="A8949" s="8" t="n"/>
      <c r="B8949" s="9" t="n"/>
    </row>
    <row r="8950">
      <c r="A8950" s="8" t="n"/>
      <c r="B8950" s="9" t="n"/>
    </row>
    <row r="8951">
      <c r="A8951" s="8" t="n"/>
      <c r="B8951" s="9" t="n"/>
    </row>
    <row r="8952">
      <c r="A8952" s="8" t="n"/>
      <c r="B8952" s="9" t="n"/>
    </row>
    <row r="8953">
      <c r="A8953" s="8" t="n"/>
      <c r="B8953" s="9" t="n"/>
    </row>
    <row r="8954">
      <c r="A8954" s="8" t="n"/>
      <c r="B8954" s="9" t="n"/>
    </row>
    <row r="8955">
      <c r="A8955" s="8" t="n"/>
      <c r="B8955" s="9" t="n"/>
    </row>
    <row r="8956">
      <c r="A8956" s="8" t="n"/>
      <c r="B8956" s="9" t="n"/>
    </row>
    <row r="8957">
      <c r="A8957" s="8" t="n"/>
      <c r="B8957" s="9" t="n"/>
    </row>
    <row r="8958">
      <c r="A8958" s="8" t="n"/>
      <c r="B8958" s="9" t="n"/>
    </row>
    <row r="8959">
      <c r="A8959" s="8" t="n"/>
      <c r="B8959" s="9" t="n"/>
    </row>
    <row r="8960">
      <c r="A8960" s="8" t="n"/>
      <c r="B8960" s="9" t="n"/>
    </row>
    <row r="8961">
      <c r="A8961" s="8" t="n"/>
      <c r="B8961" s="9" t="n"/>
    </row>
    <row r="8962">
      <c r="A8962" s="8" t="n"/>
      <c r="B8962" s="9" t="n"/>
    </row>
    <row r="8963">
      <c r="A8963" s="8" t="n"/>
      <c r="B8963" s="9" t="n"/>
    </row>
    <row r="8964">
      <c r="A8964" s="8" t="n"/>
      <c r="B8964" s="9" t="n"/>
    </row>
    <row r="8965">
      <c r="A8965" s="8" t="n"/>
      <c r="B8965" s="9" t="n"/>
    </row>
    <row r="8966">
      <c r="A8966" s="8" t="n"/>
      <c r="B8966" s="9" t="n"/>
    </row>
    <row r="8967">
      <c r="A8967" s="8" t="n"/>
      <c r="B8967" s="9" t="n"/>
    </row>
    <row r="8968">
      <c r="A8968" s="8" t="n"/>
      <c r="B8968" s="9" t="n"/>
    </row>
    <row r="8969">
      <c r="A8969" s="8" t="n"/>
      <c r="B8969" s="9" t="n"/>
    </row>
    <row r="8970">
      <c r="A8970" s="8" t="n"/>
      <c r="B8970" s="9" t="n"/>
    </row>
    <row r="8971">
      <c r="A8971" s="8" t="n"/>
      <c r="B8971" s="9" t="n"/>
    </row>
    <row r="8972">
      <c r="A8972" s="8" t="n"/>
      <c r="B8972" s="9" t="n"/>
    </row>
    <row r="8973">
      <c r="A8973" s="8" t="n"/>
      <c r="B8973" s="9" t="n"/>
    </row>
    <row r="8974">
      <c r="A8974" s="8" t="n"/>
      <c r="B8974" s="9" t="n"/>
    </row>
    <row r="8975">
      <c r="A8975" s="8" t="n"/>
      <c r="B8975" s="9" t="n"/>
    </row>
    <row r="8976">
      <c r="A8976" s="8" t="n"/>
      <c r="B8976" s="9" t="n"/>
    </row>
    <row r="8977">
      <c r="A8977" s="8" t="n"/>
      <c r="B8977" s="9" t="n"/>
    </row>
    <row r="8978">
      <c r="A8978" s="8" t="n"/>
      <c r="B8978" s="9" t="n"/>
    </row>
    <row r="8979">
      <c r="A8979" s="8" t="n"/>
      <c r="B8979" s="9" t="n"/>
    </row>
    <row r="8980">
      <c r="A8980" s="8" t="n"/>
      <c r="B8980" s="9" t="n"/>
    </row>
    <row r="8981">
      <c r="A8981" s="8" t="n"/>
      <c r="B8981" s="9" t="n"/>
    </row>
    <row r="8982">
      <c r="A8982" s="8" t="n"/>
      <c r="B8982" s="9" t="n"/>
    </row>
    <row r="8983">
      <c r="A8983" s="8" t="n"/>
      <c r="B8983" s="9" t="n"/>
    </row>
    <row r="8984">
      <c r="A8984" s="8" t="n"/>
      <c r="B8984" s="9" t="n"/>
    </row>
    <row r="8985">
      <c r="A8985" s="8" t="n"/>
      <c r="B8985" s="9" t="n"/>
    </row>
    <row r="8986">
      <c r="A8986" s="8" t="n"/>
      <c r="B8986" s="9" t="n"/>
    </row>
    <row r="8987">
      <c r="A8987" s="8" t="n"/>
      <c r="B8987" s="9" t="n"/>
    </row>
    <row r="8988">
      <c r="A8988" s="8" t="n"/>
      <c r="B8988" s="9" t="n"/>
    </row>
    <row r="8989">
      <c r="A8989" s="8" t="n"/>
      <c r="B8989" s="9" t="n"/>
    </row>
    <row r="8990">
      <c r="A8990" s="8" t="n"/>
      <c r="B8990" s="9" t="n"/>
    </row>
    <row r="8991">
      <c r="A8991" s="8" t="n"/>
      <c r="B8991" s="9" t="n"/>
    </row>
    <row r="8992">
      <c r="A8992" s="8" t="n"/>
      <c r="B8992" s="9" t="n"/>
    </row>
    <row r="8993">
      <c r="A8993" s="8" t="n"/>
      <c r="B8993" s="9" t="n"/>
    </row>
    <row r="8994">
      <c r="A8994" s="8" t="n"/>
      <c r="B8994" s="9" t="n"/>
    </row>
    <row r="8995">
      <c r="A8995" s="8" t="n"/>
      <c r="B8995" s="9" t="n"/>
    </row>
    <row r="8996">
      <c r="A8996" s="8" t="n"/>
      <c r="B8996" s="9" t="n"/>
    </row>
    <row r="8997">
      <c r="A8997" s="8" t="n"/>
      <c r="B8997" s="9" t="n"/>
    </row>
    <row r="8998">
      <c r="A8998" s="8" t="n"/>
      <c r="B8998" s="9" t="n"/>
    </row>
    <row r="8999">
      <c r="A8999" s="8" t="n"/>
      <c r="B8999" s="9" t="n"/>
    </row>
    <row r="9000">
      <c r="A9000" s="8" t="n"/>
      <c r="B9000" s="9" t="n"/>
    </row>
    <row r="9001">
      <c r="A9001" s="8" t="n"/>
      <c r="B9001" s="9" t="n"/>
    </row>
    <row r="9002">
      <c r="A9002" s="8" t="n"/>
      <c r="B9002" s="9" t="n"/>
    </row>
    <row r="9003">
      <c r="A9003" s="8" t="n"/>
      <c r="B9003" s="9" t="n"/>
    </row>
    <row r="9004">
      <c r="A9004" s="8" t="n"/>
      <c r="B9004" s="9" t="n"/>
    </row>
    <row r="9005">
      <c r="A9005" s="8" t="n"/>
      <c r="B9005" s="9" t="n"/>
    </row>
    <row r="9006">
      <c r="A9006" s="8" t="n"/>
      <c r="B9006" s="9" t="n"/>
    </row>
    <row r="9007">
      <c r="A9007" s="8" t="n"/>
      <c r="B9007" s="9" t="n"/>
    </row>
    <row r="9008">
      <c r="A9008" s="8" t="n"/>
      <c r="B9008" s="9" t="n"/>
    </row>
    <row r="9009">
      <c r="A9009" s="8" t="n"/>
      <c r="B9009" s="9" t="n"/>
    </row>
    <row r="9010">
      <c r="A9010" s="8" t="n"/>
      <c r="B9010" s="9" t="n"/>
    </row>
    <row r="9011">
      <c r="A9011" s="8" t="n"/>
      <c r="B9011" s="9" t="n"/>
    </row>
    <row r="9012">
      <c r="A9012" s="8" t="n"/>
      <c r="B9012" s="9" t="n"/>
    </row>
    <row r="9013">
      <c r="A9013" s="8" t="n"/>
      <c r="B9013" s="9" t="n"/>
    </row>
    <row r="9014">
      <c r="A9014" s="8" t="n"/>
      <c r="B9014" s="9" t="n"/>
    </row>
    <row r="9015">
      <c r="A9015" s="8" t="n"/>
      <c r="B9015" s="9" t="n"/>
    </row>
    <row r="9016">
      <c r="A9016" s="8" t="n"/>
      <c r="B9016" s="9" t="n"/>
    </row>
    <row r="9017">
      <c r="A9017" s="8" t="n"/>
      <c r="B9017" s="9" t="n"/>
    </row>
    <row r="9018">
      <c r="A9018" s="8" t="n"/>
      <c r="B9018" s="9" t="n"/>
    </row>
    <row r="9019">
      <c r="A9019" s="8" t="n"/>
      <c r="B9019" s="9" t="n"/>
    </row>
    <row r="9020">
      <c r="A9020" s="8" t="n"/>
      <c r="B9020" s="9" t="n"/>
    </row>
    <row r="9021">
      <c r="A9021" s="8" t="n"/>
      <c r="B9021" s="9" t="n"/>
    </row>
    <row r="9022">
      <c r="A9022" s="8" t="n"/>
      <c r="B9022" s="9" t="n"/>
    </row>
    <row r="9023">
      <c r="A9023" s="8" t="n"/>
      <c r="B9023" s="9" t="n"/>
    </row>
    <row r="9024">
      <c r="A9024" s="8" t="n"/>
      <c r="B9024" s="9" t="n"/>
    </row>
    <row r="9025">
      <c r="A9025" s="8" t="n"/>
      <c r="B9025" s="9" t="n"/>
    </row>
    <row r="9026">
      <c r="A9026" s="8" t="n"/>
      <c r="B9026" s="9" t="n"/>
    </row>
    <row r="9027">
      <c r="A9027" s="8" t="n"/>
      <c r="B9027" s="9" t="n"/>
    </row>
    <row r="9028">
      <c r="A9028" s="8" t="n"/>
      <c r="B9028" s="9" t="n"/>
    </row>
    <row r="9029">
      <c r="A9029" s="8" t="n"/>
      <c r="B9029" s="9" t="n"/>
    </row>
    <row r="9030">
      <c r="A9030" s="8" t="n"/>
      <c r="B9030" s="9" t="n"/>
    </row>
    <row r="9031">
      <c r="A9031" s="8" t="n"/>
      <c r="B9031" s="9" t="n"/>
    </row>
    <row r="9032">
      <c r="A9032" s="8" t="n"/>
      <c r="B9032" s="9" t="n"/>
    </row>
    <row r="9033">
      <c r="A9033" s="8" t="n"/>
      <c r="B9033" s="9" t="n"/>
    </row>
    <row r="9034">
      <c r="A9034" s="8" t="n"/>
      <c r="B9034" s="9" t="n"/>
    </row>
    <row r="9035">
      <c r="A9035" s="8" t="n"/>
      <c r="B9035" s="9" t="n"/>
    </row>
    <row r="9036">
      <c r="A9036" s="8" t="n"/>
      <c r="B9036" s="9" t="n"/>
    </row>
    <row r="9037">
      <c r="A9037" s="8" t="n"/>
      <c r="B9037" s="9" t="n"/>
    </row>
    <row r="9038">
      <c r="A9038" s="8" t="n"/>
      <c r="B9038" s="9" t="n"/>
    </row>
    <row r="9039">
      <c r="A9039" s="8" t="n"/>
      <c r="B9039" s="9" t="n"/>
    </row>
    <row r="9040">
      <c r="A9040" s="8" t="n"/>
      <c r="B9040" s="9" t="n"/>
    </row>
    <row r="9041">
      <c r="A9041" s="8" t="n"/>
      <c r="B9041" s="9" t="n"/>
    </row>
    <row r="9042">
      <c r="A9042" s="8" t="n"/>
      <c r="B9042" s="9" t="n"/>
    </row>
    <row r="9043">
      <c r="A9043" s="8" t="n"/>
      <c r="B9043" s="9" t="n"/>
    </row>
    <row r="9044">
      <c r="A9044" s="8" t="n"/>
      <c r="B9044" s="9" t="n"/>
    </row>
    <row r="9045">
      <c r="A9045" s="8" t="n"/>
      <c r="B9045" s="9" t="n"/>
    </row>
    <row r="9046">
      <c r="A9046" s="8" t="n"/>
      <c r="B9046" s="9" t="n"/>
    </row>
    <row r="9047">
      <c r="A9047" s="8" t="n"/>
      <c r="B9047" s="9" t="n"/>
    </row>
    <row r="9048">
      <c r="A9048" s="8" t="n"/>
      <c r="B9048" s="9" t="n"/>
    </row>
    <row r="9049">
      <c r="A9049" s="8" t="n"/>
      <c r="B9049" s="9" t="n"/>
    </row>
    <row r="9050">
      <c r="A9050" s="8" t="n"/>
      <c r="B9050" s="9" t="n"/>
    </row>
    <row r="9051">
      <c r="A9051" s="8" t="n"/>
      <c r="B9051" s="9" t="n"/>
    </row>
    <row r="9052">
      <c r="A9052" s="8" t="n"/>
      <c r="B9052" s="9" t="n"/>
    </row>
    <row r="9053">
      <c r="A9053" s="8" t="n"/>
      <c r="B9053" s="9" t="n"/>
    </row>
    <row r="9054">
      <c r="A9054" s="8" t="n"/>
      <c r="B9054" s="9" t="n"/>
    </row>
    <row r="9055">
      <c r="A9055" s="8" t="n"/>
      <c r="B9055" s="9" t="n"/>
    </row>
    <row r="9056">
      <c r="A9056" s="8" t="n"/>
      <c r="B9056" s="9" t="n"/>
    </row>
    <row r="9057">
      <c r="A9057" s="8" t="n"/>
      <c r="B9057" s="9" t="n"/>
    </row>
    <row r="9058">
      <c r="A9058" s="8" t="n"/>
      <c r="B9058" s="9" t="n"/>
    </row>
    <row r="9059">
      <c r="A9059" s="8" t="n"/>
      <c r="B9059" s="9" t="n"/>
    </row>
    <row r="9060">
      <c r="A9060" s="8" t="n"/>
      <c r="B9060" s="9" t="n"/>
    </row>
    <row r="9061">
      <c r="A9061" s="8" t="n"/>
      <c r="B9061" s="9" t="n"/>
    </row>
    <row r="9062">
      <c r="A9062" s="8" t="n"/>
      <c r="B9062" s="9" t="n"/>
    </row>
    <row r="9063">
      <c r="A9063" s="8" t="n"/>
      <c r="B9063" s="9" t="n"/>
    </row>
    <row r="9064">
      <c r="A9064" s="8" t="n"/>
      <c r="B9064" s="9" t="n"/>
    </row>
    <row r="9065">
      <c r="A9065" s="8" t="n"/>
      <c r="B9065" s="9" t="n"/>
    </row>
    <row r="9066">
      <c r="A9066" s="8" t="n"/>
      <c r="B9066" s="9" t="n"/>
    </row>
    <row r="9067">
      <c r="A9067" s="8" t="n"/>
      <c r="B9067" s="9" t="n"/>
    </row>
    <row r="9068">
      <c r="A9068" s="8" t="n"/>
      <c r="B9068" s="9" t="n"/>
    </row>
    <row r="9069">
      <c r="A9069" s="8" t="n"/>
      <c r="B9069" s="9" t="n"/>
    </row>
    <row r="9070">
      <c r="A9070" s="8" t="n"/>
      <c r="B9070" s="9" t="n"/>
    </row>
    <row r="9071">
      <c r="A9071" s="8" t="n"/>
      <c r="B9071" s="9" t="n"/>
    </row>
    <row r="9072">
      <c r="A9072" s="8" t="n"/>
      <c r="B9072" s="9" t="n"/>
    </row>
    <row r="9073">
      <c r="A9073" s="8" t="n"/>
      <c r="B9073" s="9" t="n"/>
    </row>
    <row r="9074">
      <c r="A9074" s="8" t="n"/>
      <c r="B9074" s="9" t="n"/>
    </row>
    <row r="9075">
      <c r="A9075" s="8" t="n"/>
      <c r="B9075" s="9" t="n"/>
    </row>
    <row r="9076">
      <c r="A9076" s="8" t="n"/>
      <c r="B9076" s="9" t="n"/>
    </row>
    <row r="9077">
      <c r="A9077" s="8" t="n"/>
      <c r="B9077" s="9" t="n"/>
    </row>
    <row r="9078">
      <c r="A9078" s="8" t="n"/>
      <c r="B9078" s="9" t="n"/>
    </row>
    <row r="9079">
      <c r="A9079" s="8" t="n"/>
      <c r="B9079" s="9" t="n"/>
    </row>
    <row r="9080">
      <c r="A9080" s="8" t="n"/>
      <c r="B9080" s="9" t="n"/>
    </row>
    <row r="9081">
      <c r="A9081" s="8" t="n"/>
      <c r="B9081" s="9" t="n"/>
    </row>
    <row r="9082">
      <c r="A9082" s="8" t="n"/>
      <c r="B9082" s="9" t="n"/>
    </row>
    <row r="9083">
      <c r="A9083" s="8" t="n"/>
      <c r="B9083" s="9" t="n"/>
    </row>
    <row r="9084">
      <c r="A9084" s="8" t="n"/>
      <c r="B9084" s="9" t="n"/>
    </row>
    <row r="9085">
      <c r="A9085" s="8" t="n"/>
      <c r="B9085" s="9" t="n"/>
    </row>
    <row r="9086">
      <c r="A9086" s="8" t="n"/>
      <c r="B9086" s="9" t="n"/>
    </row>
    <row r="9087">
      <c r="A9087" s="8" t="n"/>
      <c r="B9087" s="9" t="n"/>
    </row>
    <row r="9088">
      <c r="A9088" s="8" t="n"/>
      <c r="B9088" s="9" t="n"/>
    </row>
    <row r="9089">
      <c r="A9089" s="8" t="n"/>
      <c r="B9089" s="9" t="n"/>
    </row>
    <row r="9090">
      <c r="A9090" s="8" t="n"/>
      <c r="B9090" s="9" t="n"/>
    </row>
    <row r="9091">
      <c r="A9091" s="8" t="n"/>
      <c r="B9091" s="9" t="n"/>
    </row>
    <row r="9092">
      <c r="A9092" s="8" t="n"/>
      <c r="B9092" s="9" t="n"/>
    </row>
    <row r="9093">
      <c r="A9093" s="8" t="n"/>
      <c r="B9093" s="9" t="n"/>
    </row>
    <row r="9094">
      <c r="A9094" s="8" t="n"/>
      <c r="B9094" s="9" t="n"/>
    </row>
    <row r="9095">
      <c r="A9095" s="8" t="n"/>
      <c r="B9095" s="9" t="n"/>
    </row>
    <row r="9096">
      <c r="A9096" s="8" t="n"/>
      <c r="B9096" s="9" t="n"/>
    </row>
    <row r="9097">
      <c r="A9097" s="8" t="n"/>
      <c r="B9097" s="9" t="n"/>
    </row>
    <row r="9098">
      <c r="A9098" s="8" t="n"/>
      <c r="B9098" s="9" t="n"/>
    </row>
    <row r="9099">
      <c r="A9099" s="8" t="n"/>
      <c r="B9099" s="9" t="n"/>
    </row>
    <row r="9100">
      <c r="A9100" s="8" t="n"/>
      <c r="B9100" s="9" t="n"/>
    </row>
    <row r="9101">
      <c r="A9101" s="8" t="n"/>
      <c r="B9101" s="9" t="n"/>
    </row>
    <row r="9102">
      <c r="A9102" s="8" t="n"/>
      <c r="B9102" s="9" t="n"/>
    </row>
    <row r="9103">
      <c r="A9103" s="8" t="n"/>
      <c r="B9103" s="9" t="n"/>
    </row>
    <row r="9104">
      <c r="A9104" s="8" t="n"/>
      <c r="B9104" s="9" t="n"/>
    </row>
    <row r="9105">
      <c r="A9105" s="8" t="n"/>
      <c r="B9105" s="9" t="n"/>
    </row>
    <row r="9106">
      <c r="A9106" s="8" t="n"/>
      <c r="B9106" s="9" t="n"/>
    </row>
    <row r="9107">
      <c r="A9107" s="8" t="n"/>
      <c r="B9107" s="9" t="n"/>
    </row>
    <row r="9108">
      <c r="A9108" s="8" t="n"/>
      <c r="B9108" s="9" t="n"/>
    </row>
    <row r="9109">
      <c r="A9109" s="8" t="n"/>
      <c r="B9109" s="9" t="n"/>
    </row>
    <row r="9110">
      <c r="A9110" s="8" t="n"/>
      <c r="B9110" s="9" t="n"/>
    </row>
    <row r="9111">
      <c r="A9111" s="8" t="n"/>
      <c r="B9111" s="9" t="n"/>
    </row>
    <row r="9112">
      <c r="A9112" s="8" t="n"/>
      <c r="B9112" s="9" t="n"/>
    </row>
    <row r="9113">
      <c r="A9113" s="8" t="n"/>
      <c r="B9113" s="9" t="n"/>
    </row>
    <row r="9114">
      <c r="A9114" s="8" t="n"/>
      <c r="B9114" s="9" t="n"/>
    </row>
    <row r="9115">
      <c r="A9115" s="8" t="n"/>
      <c r="B9115" s="9" t="n"/>
    </row>
    <row r="9116">
      <c r="A9116" s="8" t="n"/>
      <c r="B9116" s="9" t="n"/>
    </row>
    <row r="9117">
      <c r="A9117" s="8" t="n"/>
      <c r="B9117" s="9" t="n"/>
    </row>
    <row r="9118">
      <c r="A9118" s="8" t="n"/>
      <c r="B9118" s="9" t="n"/>
    </row>
    <row r="9119">
      <c r="A9119" s="8" t="n"/>
      <c r="B9119" s="9" t="n"/>
    </row>
    <row r="9120">
      <c r="A9120" s="8" t="n"/>
      <c r="B9120" s="9" t="n"/>
    </row>
    <row r="9121">
      <c r="A9121" s="8" t="n"/>
      <c r="B9121" s="9" t="n"/>
    </row>
    <row r="9122">
      <c r="A9122" s="8" t="n"/>
      <c r="B9122" s="9" t="n"/>
    </row>
    <row r="9123">
      <c r="A9123" s="8" t="n"/>
      <c r="B9123" s="9" t="n"/>
    </row>
    <row r="9124">
      <c r="A9124" s="8" t="n"/>
      <c r="B9124" s="9" t="n"/>
    </row>
    <row r="9125">
      <c r="A9125" s="8" t="n"/>
      <c r="B9125" s="9" t="n"/>
    </row>
    <row r="9126">
      <c r="A9126" s="8" t="n"/>
      <c r="B9126" s="9" t="n"/>
    </row>
    <row r="9127">
      <c r="A9127" s="8" t="n"/>
      <c r="B9127" s="9" t="n"/>
    </row>
    <row r="9128">
      <c r="A9128" s="8" t="n"/>
      <c r="B9128" s="9" t="n"/>
    </row>
    <row r="9129">
      <c r="A9129" s="8" t="n"/>
      <c r="B9129" s="9" t="n"/>
    </row>
    <row r="9130">
      <c r="A9130" s="8" t="n"/>
      <c r="B9130" s="9" t="n"/>
    </row>
    <row r="9131">
      <c r="A9131" s="8" t="n"/>
      <c r="B9131" s="9" t="n"/>
    </row>
    <row r="9132">
      <c r="A9132" s="8" t="n"/>
      <c r="B9132" s="9" t="n"/>
    </row>
    <row r="9133">
      <c r="A9133" s="8" t="n"/>
      <c r="B9133" s="9" t="n"/>
    </row>
    <row r="9134">
      <c r="A9134" s="8" t="n"/>
      <c r="B9134" s="9" t="n"/>
    </row>
    <row r="9135">
      <c r="A9135" s="8" t="n"/>
      <c r="B9135" s="9" t="n"/>
    </row>
    <row r="9136">
      <c r="A9136" s="8" t="n"/>
      <c r="B9136" s="9" t="n"/>
    </row>
    <row r="9137">
      <c r="A9137" s="8" t="n"/>
      <c r="B9137" s="9" t="n"/>
    </row>
    <row r="9138">
      <c r="A9138" s="8" t="n"/>
      <c r="B9138" s="9" t="n"/>
    </row>
    <row r="9139">
      <c r="A9139" s="8" t="n"/>
      <c r="B9139" s="9" t="n"/>
    </row>
    <row r="9140">
      <c r="A9140" s="8" t="n"/>
      <c r="B9140" s="9" t="n"/>
    </row>
    <row r="9141">
      <c r="A9141" s="8" t="n"/>
      <c r="B9141" s="9" t="n"/>
    </row>
    <row r="9142">
      <c r="A9142" s="8" t="n"/>
      <c r="B9142" s="9" t="n"/>
    </row>
    <row r="9143">
      <c r="A9143" s="8" t="n"/>
      <c r="B9143" s="9" t="n"/>
    </row>
    <row r="9144">
      <c r="A9144" s="8" t="n"/>
      <c r="B9144" s="9" t="n"/>
    </row>
    <row r="9145">
      <c r="A9145" s="8" t="n"/>
      <c r="B9145" s="9" t="n"/>
    </row>
    <row r="9146">
      <c r="A9146" s="8" t="n"/>
      <c r="B9146" s="9" t="n"/>
    </row>
    <row r="9147">
      <c r="A9147" s="8" t="n"/>
      <c r="B9147" s="9" t="n"/>
    </row>
    <row r="9148">
      <c r="A9148" s="8" t="n"/>
      <c r="B9148" s="9" t="n"/>
    </row>
    <row r="9149">
      <c r="A9149" s="8" t="n"/>
      <c r="B9149" s="9" t="n"/>
    </row>
    <row r="9150">
      <c r="A9150" s="8" t="n"/>
      <c r="B9150" s="9" t="n"/>
    </row>
    <row r="9151">
      <c r="A9151" s="8" t="n"/>
      <c r="B9151" s="9" t="n"/>
    </row>
    <row r="9152">
      <c r="A9152" s="8" t="n"/>
      <c r="B9152" s="9" t="n"/>
    </row>
    <row r="9153">
      <c r="A9153" s="8" t="n"/>
      <c r="B9153" s="9" t="n"/>
    </row>
    <row r="9154">
      <c r="A9154" s="8" t="n"/>
      <c r="B9154" s="9" t="n"/>
    </row>
    <row r="9155">
      <c r="A9155" s="8" t="n"/>
      <c r="B9155" s="9" t="n"/>
    </row>
    <row r="9156">
      <c r="A9156" s="8" t="n"/>
      <c r="B9156" s="9" t="n"/>
    </row>
    <row r="9157">
      <c r="A9157" s="8" t="n"/>
      <c r="B9157" s="9" t="n"/>
    </row>
    <row r="9158">
      <c r="A9158" s="8" t="n"/>
      <c r="B9158" s="9" t="n"/>
    </row>
    <row r="9159">
      <c r="A9159" s="8" t="n"/>
      <c r="B9159" s="9" t="n"/>
    </row>
    <row r="9160">
      <c r="A9160" s="8" t="n"/>
      <c r="B9160" s="9" t="n"/>
    </row>
    <row r="9161">
      <c r="A9161" s="8" t="n"/>
      <c r="B9161" s="9" t="n"/>
    </row>
    <row r="9162">
      <c r="A9162" s="8" t="n"/>
      <c r="B9162" s="9" t="n"/>
    </row>
    <row r="9163">
      <c r="A9163" s="8" t="n"/>
      <c r="B9163" s="9" t="n"/>
    </row>
    <row r="9164">
      <c r="A9164" s="8" t="n"/>
      <c r="B9164" s="9" t="n"/>
    </row>
    <row r="9165">
      <c r="A9165" s="8" t="n"/>
      <c r="B9165" s="9" t="n"/>
    </row>
    <row r="9166">
      <c r="A9166" s="8" t="n"/>
      <c r="B9166" s="9" t="n"/>
    </row>
    <row r="9167">
      <c r="A9167" s="8" t="n"/>
      <c r="B9167" s="9" t="n"/>
    </row>
    <row r="9168">
      <c r="A9168" s="8" t="n"/>
      <c r="B9168" s="9" t="n"/>
    </row>
    <row r="9169">
      <c r="A9169" s="8" t="n"/>
      <c r="B9169" s="9" t="n"/>
    </row>
    <row r="9170">
      <c r="A9170" s="8" t="n"/>
      <c r="B9170" s="9" t="n"/>
    </row>
    <row r="9171">
      <c r="A9171" s="8" t="n"/>
      <c r="B9171" s="9" t="n"/>
    </row>
    <row r="9172">
      <c r="A9172" s="8" t="n"/>
      <c r="B9172" s="9" t="n"/>
    </row>
    <row r="9173">
      <c r="A9173" s="8" t="n"/>
      <c r="B9173" s="9" t="n"/>
    </row>
    <row r="9174">
      <c r="A9174" s="8" t="n"/>
      <c r="B9174" s="9" t="n"/>
    </row>
    <row r="9175">
      <c r="A9175" s="8" t="n"/>
      <c r="B9175" s="9" t="n"/>
    </row>
    <row r="9176">
      <c r="A9176" s="8" t="n"/>
      <c r="B9176" s="9" t="n"/>
    </row>
    <row r="9177">
      <c r="A9177" s="8" t="n"/>
      <c r="B9177" s="9" t="n"/>
    </row>
    <row r="9178">
      <c r="A9178" s="8" t="n"/>
      <c r="B9178" s="9" t="n"/>
    </row>
    <row r="9179">
      <c r="A9179" s="8" t="n"/>
      <c r="B9179" s="9" t="n"/>
    </row>
    <row r="9180">
      <c r="A9180" s="8" t="n"/>
      <c r="B9180" s="9" t="n"/>
    </row>
    <row r="9181">
      <c r="A9181" s="8" t="n"/>
      <c r="B9181" s="9" t="n"/>
    </row>
    <row r="9182">
      <c r="A9182" s="8" t="n"/>
      <c r="B9182" s="9" t="n"/>
    </row>
    <row r="9183">
      <c r="A9183" s="8" t="n"/>
      <c r="B9183" s="9" t="n"/>
    </row>
    <row r="9184">
      <c r="A9184" s="8" t="n"/>
      <c r="B9184" s="9" t="n"/>
    </row>
    <row r="9185">
      <c r="A9185" s="8" t="n"/>
      <c r="B9185" s="9" t="n"/>
    </row>
    <row r="9186">
      <c r="A9186" s="8" t="n"/>
      <c r="B9186" s="9" t="n"/>
    </row>
    <row r="9187">
      <c r="A9187" s="8" t="n"/>
      <c r="B9187" s="9" t="n"/>
    </row>
    <row r="9188">
      <c r="A9188" s="8" t="n"/>
      <c r="B9188" s="9" t="n"/>
    </row>
    <row r="9189">
      <c r="A9189" s="8" t="n"/>
      <c r="B9189" s="9" t="n"/>
    </row>
    <row r="9190">
      <c r="A9190" s="8" t="n"/>
      <c r="B9190" s="9" t="n"/>
    </row>
    <row r="9191">
      <c r="A9191" s="8" t="n"/>
      <c r="B9191" s="9" t="n"/>
    </row>
    <row r="9192">
      <c r="A9192" s="8" t="n"/>
      <c r="B9192" s="9" t="n"/>
    </row>
    <row r="9193">
      <c r="A9193" s="8" t="n"/>
      <c r="B9193" s="9" t="n"/>
    </row>
    <row r="9194">
      <c r="A9194" s="8" t="n"/>
      <c r="B9194" s="9" t="n"/>
    </row>
    <row r="9195">
      <c r="A9195" s="8" t="n"/>
      <c r="B9195" s="9" t="n"/>
    </row>
    <row r="9196">
      <c r="A9196" s="8" t="n"/>
      <c r="B9196" s="9" t="n"/>
    </row>
    <row r="9197">
      <c r="A9197" s="8" t="n"/>
      <c r="B9197" s="9" t="n"/>
    </row>
    <row r="9198">
      <c r="A9198" s="8" t="n"/>
      <c r="B9198" s="9" t="n"/>
    </row>
    <row r="9199">
      <c r="A9199" s="8" t="n"/>
      <c r="B9199" s="9" t="n"/>
    </row>
    <row r="9200">
      <c r="A9200" s="8" t="n"/>
      <c r="B9200" s="9" t="n"/>
    </row>
    <row r="9201">
      <c r="A9201" s="8" t="n"/>
      <c r="B9201" s="9" t="n"/>
    </row>
    <row r="9202">
      <c r="A9202" s="8" t="n"/>
      <c r="B9202" s="9" t="n"/>
    </row>
    <row r="9203">
      <c r="A9203" s="8" t="n"/>
      <c r="B9203" s="9" t="n"/>
    </row>
    <row r="9204">
      <c r="A9204" s="8" t="n"/>
      <c r="B9204" s="9" t="n"/>
    </row>
    <row r="9205">
      <c r="A9205" s="8" t="n"/>
      <c r="B9205" s="9" t="n"/>
    </row>
    <row r="9206">
      <c r="A9206" s="8" t="n"/>
      <c r="B9206" s="9" t="n"/>
    </row>
    <row r="9207">
      <c r="A9207" s="8" t="n"/>
      <c r="B9207" s="9" t="n"/>
    </row>
    <row r="9208">
      <c r="A9208" s="8" t="n"/>
      <c r="B9208" s="9" t="n"/>
    </row>
    <row r="9209">
      <c r="A9209" s="8" t="n"/>
      <c r="B9209" s="9" t="n"/>
    </row>
    <row r="9210">
      <c r="A9210" s="8" t="n"/>
      <c r="B9210" s="9" t="n"/>
    </row>
    <row r="9211">
      <c r="A9211" s="8" t="n"/>
      <c r="B9211" s="9" t="n"/>
    </row>
    <row r="9212">
      <c r="A9212" s="8" t="n"/>
      <c r="B9212" s="9" t="n"/>
    </row>
    <row r="9213">
      <c r="A9213" s="8" t="n"/>
      <c r="B9213" s="9" t="n"/>
    </row>
    <row r="9214">
      <c r="A9214" s="8" t="n"/>
      <c r="B9214" s="9" t="n"/>
    </row>
    <row r="9215">
      <c r="A9215" s="8" t="n"/>
      <c r="B9215" s="9" t="n"/>
    </row>
    <row r="9216">
      <c r="A9216" s="8" t="n"/>
      <c r="B9216" s="9" t="n"/>
    </row>
    <row r="9217">
      <c r="A9217" s="8" t="n"/>
      <c r="B9217" s="9" t="n"/>
    </row>
    <row r="9218">
      <c r="A9218" s="8" t="n"/>
      <c r="B9218" s="9" t="n"/>
    </row>
    <row r="9219">
      <c r="A9219" s="8" t="n"/>
      <c r="B9219" s="9" t="n"/>
    </row>
    <row r="9220">
      <c r="A9220" s="8" t="n"/>
      <c r="B9220" s="9" t="n"/>
    </row>
    <row r="9221">
      <c r="A9221" s="8" t="n"/>
      <c r="B9221" s="9" t="n"/>
    </row>
    <row r="9222">
      <c r="A9222" s="8" t="n"/>
      <c r="B9222" s="9" t="n"/>
    </row>
    <row r="9223">
      <c r="A9223" s="8" t="n"/>
      <c r="B9223" s="9" t="n"/>
    </row>
    <row r="9224">
      <c r="A9224" s="8" t="n"/>
      <c r="B9224" s="9" t="n"/>
    </row>
    <row r="9225">
      <c r="A9225" s="8" t="n"/>
      <c r="B9225" s="9" t="n"/>
    </row>
    <row r="9226">
      <c r="A9226" s="8" t="n"/>
      <c r="B9226" s="9" t="n"/>
    </row>
    <row r="9227">
      <c r="A9227" s="8" t="n"/>
      <c r="B9227" s="9" t="n"/>
    </row>
    <row r="9228">
      <c r="A9228" s="8" t="n"/>
      <c r="B9228" s="9" t="n"/>
    </row>
    <row r="9229">
      <c r="A9229" s="8" t="n"/>
      <c r="B9229" s="9" t="n"/>
    </row>
    <row r="9230">
      <c r="A9230" s="8" t="n"/>
      <c r="B9230" s="9" t="n"/>
    </row>
    <row r="9231">
      <c r="A9231" s="8" t="n"/>
      <c r="B9231" s="9" t="n"/>
    </row>
    <row r="9232">
      <c r="A9232" s="8" t="n"/>
      <c r="B9232" s="9" t="n"/>
    </row>
    <row r="9233">
      <c r="A9233" s="8" t="n"/>
      <c r="B9233" s="9" t="n"/>
    </row>
    <row r="9234">
      <c r="A9234" s="8" t="n"/>
      <c r="B9234" s="9" t="n"/>
    </row>
    <row r="9235">
      <c r="A9235" s="8" t="n"/>
      <c r="B9235" s="9" t="n"/>
    </row>
    <row r="9236">
      <c r="A9236" s="8" t="n"/>
      <c r="B9236" s="9" t="n"/>
    </row>
    <row r="9237">
      <c r="A9237" s="8" t="n"/>
      <c r="B9237" s="9" t="n"/>
    </row>
    <row r="9238">
      <c r="A9238" s="8" t="n"/>
      <c r="B9238" s="9" t="n"/>
    </row>
    <row r="9239">
      <c r="A9239" s="8" t="n"/>
      <c r="B9239" s="9" t="n"/>
    </row>
    <row r="9240">
      <c r="A9240" s="8" t="n"/>
      <c r="B9240" s="9" t="n"/>
    </row>
    <row r="9241">
      <c r="A9241" s="8" t="n"/>
      <c r="B9241" s="9" t="n"/>
    </row>
    <row r="9242">
      <c r="A9242" s="8" t="n"/>
      <c r="B9242" s="9" t="n"/>
    </row>
    <row r="9243">
      <c r="A9243" s="8" t="n"/>
      <c r="B9243" s="9" t="n"/>
    </row>
    <row r="9244">
      <c r="A9244" s="8" t="n"/>
      <c r="B9244" s="9" t="n"/>
    </row>
    <row r="9245">
      <c r="A9245" s="8" t="n"/>
      <c r="B9245" s="9" t="n"/>
    </row>
    <row r="9246">
      <c r="A9246" s="8" t="n"/>
      <c r="B9246" s="9" t="n"/>
    </row>
    <row r="9247">
      <c r="A9247" s="8" t="n"/>
      <c r="B9247" s="9" t="n"/>
    </row>
    <row r="9248">
      <c r="A9248" s="8" t="n"/>
      <c r="B9248" s="9" t="n"/>
    </row>
    <row r="9249">
      <c r="A9249" s="8" t="n"/>
      <c r="B9249" s="9" t="n"/>
    </row>
    <row r="9250">
      <c r="A9250" s="8" t="n"/>
      <c r="B9250" s="9" t="n"/>
    </row>
    <row r="9251">
      <c r="A9251" s="8" t="n"/>
      <c r="B9251" s="9" t="n"/>
    </row>
    <row r="9252">
      <c r="A9252" s="8" t="n"/>
      <c r="B9252" s="9" t="n"/>
    </row>
    <row r="9253">
      <c r="A9253" s="8" t="n"/>
      <c r="B9253" s="9" t="n"/>
    </row>
    <row r="9254">
      <c r="A9254" s="8" t="n"/>
      <c r="B9254" s="9" t="n"/>
    </row>
    <row r="9255">
      <c r="A9255" s="8" t="n"/>
      <c r="B9255" s="9" t="n"/>
    </row>
    <row r="9256">
      <c r="A9256" s="8" t="n"/>
      <c r="B9256" s="9" t="n"/>
    </row>
    <row r="9257">
      <c r="A9257" s="8" t="n"/>
      <c r="B9257" s="9" t="n"/>
    </row>
    <row r="9258">
      <c r="A9258" s="8" t="n"/>
      <c r="B9258" s="9" t="n"/>
    </row>
    <row r="9259">
      <c r="A9259" s="8" t="n"/>
      <c r="B9259" s="9" t="n"/>
    </row>
    <row r="9260">
      <c r="A9260" s="8" t="n"/>
      <c r="B9260" s="9" t="n"/>
    </row>
    <row r="9261">
      <c r="A9261" s="8" t="n"/>
      <c r="B9261" s="9" t="n"/>
    </row>
    <row r="9262">
      <c r="A9262" s="8" t="n"/>
      <c r="B9262" s="9" t="n"/>
    </row>
    <row r="9263">
      <c r="A9263" s="8" t="n"/>
      <c r="B9263" s="9" t="n"/>
    </row>
    <row r="9264">
      <c r="A9264" s="8" t="n"/>
      <c r="B9264" s="9" t="n"/>
    </row>
    <row r="9265">
      <c r="A9265" s="8" t="n"/>
      <c r="B9265" s="9" t="n"/>
    </row>
    <row r="9266">
      <c r="A9266" s="8" t="n"/>
      <c r="B9266" s="9" t="n"/>
    </row>
    <row r="9267">
      <c r="A9267" s="8" t="n"/>
      <c r="B9267" s="9" t="n"/>
    </row>
    <row r="9268">
      <c r="A9268" s="8" t="n"/>
      <c r="B9268" s="9" t="n"/>
    </row>
    <row r="9269">
      <c r="A9269" s="8" t="n"/>
      <c r="B9269" s="9" t="n"/>
    </row>
    <row r="9270">
      <c r="A9270" s="8" t="n"/>
      <c r="B9270" s="9" t="n"/>
    </row>
    <row r="9271">
      <c r="A9271" s="8" t="n"/>
      <c r="B9271" s="9" t="n"/>
    </row>
    <row r="9272">
      <c r="A9272" s="8" t="n"/>
      <c r="B9272" s="9" t="n"/>
    </row>
    <row r="9273">
      <c r="A9273" s="8" t="n"/>
      <c r="B9273" s="9" t="n"/>
    </row>
    <row r="9274">
      <c r="A9274" s="8" t="n"/>
      <c r="B9274" s="9" t="n"/>
    </row>
    <row r="9275">
      <c r="A9275" s="8" t="n"/>
      <c r="B9275" s="9" t="n"/>
    </row>
    <row r="9276">
      <c r="A9276" s="8" t="n"/>
      <c r="B9276" s="9" t="n"/>
    </row>
    <row r="9277">
      <c r="A9277" s="8" t="n"/>
      <c r="B9277" s="9" t="n"/>
    </row>
    <row r="9278">
      <c r="A9278" s="8" t="n"/>
      <c r="B9278" s="9" t="n"/>
    </row>
    <row r="9279">
      <c r="A9279" s="8" t="n"/>
      <c r="B9279" s="9" t="n"/>
    </row>
    <row r="9280">
      <c r="A9280" s="8" t="n"/>
      <c r="B9280" s="9" t="n"/>
    </row>
    <row r="9281">
      <c r="A9281" s="8" t="n"/>
      <c r="B9281" s="9" t="n"/>
    </row>
    <row r="9282">
      <c r="A9282" s="8" t="n"/>
      <c r="B9282" s="9" t="n"/>
    </row>
    <row r="9283">
      <c r="A9283" s="8" t="n"/>
      <c r="B9283" s="9" t="n"/>
    </row>
    <row r="9284">
      <c r="A9284" s="8" t="n"/>
      <c r="B9284" s="9" t="n"/>
    </row>
    <row r="9285">
      <c r="A9285" s="8" t="n"/>
      <c r="B9285" s="9" t="n"/>
    </row>
    <row r="9286">
      <c r="A9286" s="8" t="n"/>
      <c r="B9286" s="9" t="n"/>
    </row>
    <row r="9287">
      <c r="A9287" s="8" t="n"/>
      <c r="B9287" s="9" t="n"/>
    </row>
    <row r="9288">
      <c r="A9288" s="8" t="n"/>
      <c r="B9288" s="9" t="n"/>
    </row>
    <row r="9289">
      <c r="A9289" s="8" t="n"/>
      <c r="B9289" s="9" t="n"/>
    </row>
    <row r="9290">
      <c r="A9290" s="8" t="n"/>
      <c r="B9290" s="9" t="n"/>
    </row>
    <row r="9291">
      <c r="A9291" s="8" t="n"/>
      <c r="B9291" s="9" t="n"/>
    </row>
    <row r="9292">
      <c r="A9292" s="8" t="n"/>
      <c r="B9292" s="9" t="n"/>
    </row>
    <row r="9293">
      <c r="A9293" s="8" t="n"/>
      <c r="B9293" s="9" t="n"/>
    </row>
    <row r="9294">
      <c r="A9294" s="8" t="n"/>
      <c r="B9294" s="9" t="n"/>
    </row>
    <row r="9295">
      <c r="A9295" s="8" t="n"/>
      <c r="B9295" s="9" t="n"/>
    </row>
    <row r="9296">
      <c r="A9296" s="8" t="n"/>
      <c r="B9296" s="9" t="n"/>
    </row>
    <row r="9297">
      <c r="A9297" s="8" t="n"/>
      <c r="B9297" s="9" t="n"/>
    </row>
    <row r="9298">
      <c r="A9298" s="8" t="n"/>
      <c r="B9298" s="9" t="n"/>
    </row>
    <row r="9299">
      <c r="A9299" s="8" t="n"/>
      <c r="B9299" s="9" t="n"/>
    </row>
    <row r="9300">
      <c r="A9300" s="8" t="n"/>
      <c r="B9300" s="9" t="n"/>
    </row>
    <row r="9301">
      <c r="A9301" s="8" t="n"/>
      <c r="B9301" s="9" t="n"/>
    </row>
    <row r="9302">
      <c r="A9302" s="8" t="n"/>
      <c r="B9302" s="9" t="n"/>
    </row>
    <row r="9303">
      <c r="A9303" s="8" t="n"/>
      <c r="B9303" s="9" t="n"/>
    </row>
    <row r="9304">
      <c r="A9304" s="8" t="n"/>
      <c r="B9304" s="9" t="n"/>
    </row>
    <row r="9305">
      <c r="A9305" s="8" t="n"/>
      <c r="B9305" s="9" t="n"/>
    </row>
    <row r="9306">
      <c r="A9306" s="8" t="n"/>
      <c r="B9306" s="9" t="n"/>
    </row>
    <row r="9307">
      <c r="A9307" s="8" t="n"/>
      <c r="B9307" s="9" t="n"/>
    </row>
    <row r="9308">
      <c r="A9308" s="8" t="n"/>
      <c r="B9308" s="9" t="n"/>
    </row>
    <row r="9309">
      <c r="A9309" s="8" t="n"/>
      <c r="B9309" s="9" t="n"/>
    </row>
    <row r="9310">
      <c r="A9310" s="8" t="n"/>
      <c r="B9310" s="9" t="n"/>
    </row>
    <row r="9311">
      <c r="A9311" s="8" t="n"/>
      <c r="B9311" s="9" t="n"/>
    </row>
    <row r="9312">
      <c r="A9312" s="8" t="n"/>
      <c r="B9312" s="9" t="n"/>
    </row>
    <row r="9313">
      <c r="A9313" s="8" t="n"/>
      <c r="B9313" s="9" t="n"/>
    </row>
    <row r="9314">
      <c r="A9314" s="8" t="n"/>
      <c r="B9314" s="9" t="n"/>
    </row>
    <row r="9315">
      <c r="A9315" s="8" t="n"/>
      <c r="B9315" s="9" t="n"/>
    </row>
    <row r="9316">
      <c r="A9316" s="8" t="n"/>
      <c r="B9316" s="9" t="n"/>
    </row>
    <row r="9317">
      <c r="A9317" s="8" t="n"/>
      <c r="B9317" s="9" t="n"/>
    </row>
    <row r="9318">
      <c r="A9318" s="8" t="n"/>
      <c r="B9318" s="9" t="n"/>
    </row>
    <row r="9319">
      <c r="A9319" s="8" t="n"/>
      <c r="B9319" s="9" t="n"/>
    </row>
    <row r="9320">
      <c r="A9320" s="8" t="n"/>
      <c r="B9320" s="9" t="n"/>
    </row>
    <row r="9321">
      <c r="A9321" s="8" t="n"/>
      <c r="B9321" s="9" t="n"/>
    </row>
    <row r="9322">
      <c r="A9322" s="8" t="n"/>
      <c r="B9322" s="9" t="n"/>
    </row>
    <row r="9323">
      <c r="A9323" s="8" t="n"/>
      <c r="B9323" s="9" t="n"/>
    </row>
    <row r="9324">
      <c r="A9324" s="8" t="n"/>
      <c r="B9324" s="9" t="n"/>
    </row>
    <row r="9325">
      <c r="A9325" s="8" t="n"/>
      <c r="B9325" s="9" t="n"/>
    </row>
    <row r="9326">
      <c r="A9326" s="8" t="n"/>
      <c r="B9326" s="9" t="n"/>
    </row>
    <row r="9327">
      <c r="A9327" s="8" t="n"/>
      <c r="B9327" s="9" t="n"/>
    </row>
    <row r="9328">
      <c r="A9328" s="8" t="n"/>
      <c r="B9328" s="9" t="n"/>
    </row>
    <row r="9329">
      <c r="A9329" s="8" t="n"/>
      <c r="B9329" s="9" t="n"/>
    </row>
    <row r="9330">
      <c r="A9330" s="8" t="n"/>
      <c r="B9330" s="9" t="n"/>
    </row>
    <row r="9331">
      <c r="A9331" s="8" t="n"/>
      <c r="B9331" s="9" t="n"/>
    </row>
    <row r="9332">
      <c r="A9332" s="8" t="n"/>
      <c r="B9332" s="9" t="n"/>
    </row>
    <row r="9333">
      <c r="A9333" s="8" t="n"/>
      <c r="B9333" s="9" t="n"/>
    </row>
    <row r="9334">
      <c r="A9334" s="8" t="n"/>
      <c r="B9334" s="9" t="n"/>
    </row>
    <row r="9335">
      <c r="A9335" s="8" t="n"/>
      <c r="B9335" s="9" t="n"/>
    </row>
    <row r="9336">
      <c r="A9336" s="8" t="n"/>
      <c r="B9336" s="9" t="n"/>
    </row>
    <row r="9337">
      <c r="A9337" s="8" t="n"/>
      <c r="B9337" s="9" t="n"/>
    </row>
    <row r="9338">
      <c r="A9338" s="8" t="n"/>
      <c r="B9338" s="9" t="n"/>
    </row>
    <row r="9339">
      <c r="A9339" s="8" t="n"/>
      <c r="B9339" s="9" t="n"/>
    </row>
    <row r="9340">
      <c r="A9340" s="8" t="n"/>
      <c r="B9340" s="9" t="n"/>
    </row>
    <row r="9341">
      <c r="A9341" s="8" t="n"/>
      <c r="B9341" s="9" t="n"/>
    </row>
    <row r="9342">
      <c r="A9342" s="8" t="n"/>
      <c r="B9342" s="9" t="n"/>
    </row>
    <row r="9343">
      <c r="A9343" s="8" t="n"/>
      <c r="B9343" s="9" t="n"/>
    </row>
    <row r="9344">
      <c r="A9344" s="8" t="n"/>
      <c r="B9344" s="9" t="n"/>
    </row>
    <row r="9345">
      <c r="A9345" s="8" t="n"/>
      <c r="B9345" s="9" t="n"/>
    </row>
    <row r="9346">
      <c r="A9346" s="8" t="n"/>
      <c r="B9346" s="9" t="n"/>
    </row>
    <row r="9347">
      <c r="A9347" s="8" t="n"/>
      <c r="B9347" s="9" t="n"/>
    </row>
    <row r="9348">
      <c r="A9348" s="8" t="n"/>
      <c r="B9348" s="9" t="n"/>
    </row>
    <row r="9349">
      <c r="A9349" s="8" t="n"/>
      <c r="B9349" s="9" t="n"/>
    </row>
    <row r="9350">
      <c r="A9350" s="8" t="n"/>
      <c r="B9350" s="9" t="n"/>
    </row>
    <row r="9351">
      <c r="A9351" s="8" t="n"/>
      <c r="B9351" s="9" t="n"/>
    </row>
    <row r="9352">
      <c r="A9352" s="8" t="n"/>
      <c r="B9352" s="9" t="n"/>
    </row>
    <row r="9353">
      <c r="A9353" s="8" t="n"/>
      <c r="B9353" s="9" t="n"/>
    </row>
    <row r="9354">
      <c r="A9354" s="8" t="n"/>
      <c r="B9354" s="9" t="n"/>
    </row>
    <row r="9355">
      <c r="A9355" s="8" t="n"/>
      <c r="B9355" s="9" t="n"/>
    </row>
    <row r="9356">
      <c r="A9356" s="8" t="n"/>
      <c r="B9356" s="9" t="n"/>
    </row>
    <row r="9357">
      <c r="A9357" s="8" t="n"/>
      <c r="B9357" s="9" t="n"/>
    </row>
    <row r="9358">
      <c r="A9358" s="8" t="n"/>
      <c r="B9358" s="9" t="n"/>
    </row>
    <row r="9359">
      <c r="A9359" s="8" t="n"/>
      <c r="B9359" s="9" t="n"/>
    </row>
    <row r="9360">
      <c r="A9360" s="8" t="n"/>
      <c r="B9360" s="9" t="n"/>
    </row>
    <row r="9361">
      <c r="A9361" s="8" t="n"/>
      <c r="B9361" s="9" t="n"/>
    </row>
    <row r="9362">
      <c r="A9362" s="8" t="n"/>
      <c r="B9362" s="9" t="n"/>
    </row>
    <row r="9363">
      <c r="A9363" s="8" t="n"/>
      <c r="B9363" s="9" t="n"/>
    </row>
    <row r="9364">
      <c r="A9364" s="8" t="n"/>
      <c r="B9364" s="9" t="n"/>
    </row>
    <row r="9365">
      <c r="A9365" s="8" t="n"/>
      <c r="B9365" s="9" t="n"/>
    </row>
    <row r="9366">
      <c r="A9366" s="8" t="n"/>
      <c r="B9366" s="9" t="n"/>
    </row>
    <row r="9367">
      <c r="A9367" s="8" t="n"/>
      <c r="B9367" s="9" t="n"/>
    </row>
    <row r="9368">
      <c r="A9368" s="8" t="n"/>
      <c r="B9368" s="9" t="n"/>
    </row>
    <row r="9369">
      <c r="A9369" s="8" t="n"/>
      <c r="B9369" s="9" t="n"/>
    </row>
    <row r="9370">
      <c r="A9370" s="8" t="n"/>
      <c r="B9370" s="9" t="n"/>
    </row>
    <row r="9371">
      <c r="A9371" s="8" t="n"/>
      <c r="B9371" s="9" t="n"/>
    </row>
    <row r="9372">
      <c r="A9372" s="8" t="n"/>
      <c r="B9372" s="9" t="n"/>
    </row>
    <row r="9373">
      <c r="A9373" s="8" t="n"/>
      <c r="B9373" s="9" t="n"/>
    </row>
    <row r="9374">
      <c r="A9374" s="8" t="n"/>
      <c r="B9374" s="9" t="n"/>
    </row>
    <row r="9375">
      <c r="A9375" s="8" t="n"/>
      <c r="B9375" s="9" t="n"/>
    </row>
    <row r="9376">
      <c r="A9376" s="8" t="n"/>
      <c r="B9376" s="9" t="n"/>
    </row>
    <row r="9377">
      <c r="A9377" s="8" t="n"/>
      <c r="B9377" s="9" t="n"/>
    </row>
    <row r="9378">
      <c r="A9378" s="8" t="n"/>
      <c r="B9378" s="9" t="n"/>
    </row>
    <row r="9379">
      <c r="A9379" s="8" t="n"/>
      <c r="B9379" s="9" t="n"/>
    </row>
    <row r="9380">
      <c r="A9380" s="8" t="n"/>
      <c r="B9380" s="9" t="n"/>
    </row>
    <row r="9381">
      <c r="A9381" s="8" t="n"/>
      <c r="B9381" s="9" t="n"/>
    </row>
    <row r="9382">
      <c r="A9382" s="8" t="n"/>
      <c r="B9382" s="9" t="n"/>
    </row>
    <row r="9383">
      <c r="A9383" s="8" t="n"/>
      <c r="B9383" s="9" t="n"/>
    </row>
    <row r="9384">
      <c r="A9384" s="8" t="n"/>
      <c r="B9384" s="9" t="n"/>
    </row>
    <row r="9385">
      <c r="A9385" s="8" t="n"/>
      <c r="B9385" s="9" t="n"/>
    </row>
    <row r="9386">
      <c r="A9386" s="8" t="n"/>
      <c r="B9386" s="9" t="n"/>
    </row>
    <row r="9387">
      <c r="A9387" s="8" t="n"/>
      <c r="B9387" s="9" t="n"/>
    </row>
    <row r="9388">
      <c r="A9388" s="8" t="n"/>
      <c r="B9388" s="9" t="n"/>
    </row>
    <row r="9389">
      <c r="A9389" s="8" t="n"/>
      <c r="B9389" s="9" t="n"/>
    </row>
    <row r="9390">
      <c r="A9390" s="8" t="n"/>
      <c r="B9390" s="9" t="n"/>
    </row>
    <row r="9391">
      <c r="A9391" s="8" t="n"/>
      <c r="B9391" s="9" t="n"/>
    </row>
    <row r="9392">
      <c r="A9392" s="8" t="n"/>
      <c r="B9392" s="9" t="n"/>
    </row>
    <row r="9393">
      <c r="A9393" s="8" t="n"/>
      <c r="B9393" s="9" t="n"/>
    </row>
    <row r="9394">
      <c r="A9394" s="8" t="n"/>
      <c r="B9394" s="9" t="n"/>
    </row>
    <row r="9395">
      <c r="A9395" s="8" t="n"/>
      <c r="B9395" s="9" t="n"/>
    </row>
    <row r="9396">
      <c r="A9396" s="8" t="n"/>
      <c r="B9396" s="9" t="n"/>
    </row>
    <row r="9397">
      <c r="A9397" s="8" t="n"/>
      <c r="B9397" s="9" t="n"/>
    </row>
    <row r="9398">
      <c r="A9398" s="8" t="n"/>
      <c r="B9398" s="9" t="n"/>
    </row>
    <row r="9399">
      <c r="A9399" s="8" t="n"/>
      <c r="B9399" s="9" t="n"/>
    </row>
    <row r="9400">
      <c r="A9400" s="8" t="n"/>
      <c r="B9400" s="9" t="n"/>
    </row>
    <row r="9401">
      <c r="A9401" s="8" t="n"/>
      <c r="B9401" s="9" t="n"/>
    </row>
    <row r="9402">
      <c r="A9402" s="8" t="n"/>
      <c r="B9402" s="9" t="n"/>
    </row>
    <row r="9403">
      <c r="A9403" s="8" t="n"/>
      <c r="B9403" s="9" t="n"/>
    </row>
    <row r="9404">
      <c r="A9404" s="8" t="n"/>
      <c r="B9404" s="9" t="n"/>
    </row>
    <row r="9405">
      <c r="A9405" s="8" t="n"/>
      <c r="B9405" s="9" t="n"/>
    </row>
    <row r="9406">
      <c r="A9406" s="8" t="n"/>
      <c r="B9406" s="9" t="n"/>
    </row>
    <row r="9407">
      <c r="A9407" s="8" t="n"/>
      <c r="B9407" s="9" t="n"/>
    </row>
    <row r="9408">
      <c r="A9408" s="8" t="n"/>
      <c r="B9408" s="9" t="n"/>
    </row>
    <row r="9409">
      <c r="A9409" s="8" t="n"/>
      <c r="B9409" s="9" t="n"/>
    </row>
    <row r="9410">
      <c r="A9410" s="8" t="n"/>
      <c r="B9410" s="9" t="n"/>
    </row>
    <row r="9411">
      <c r="A9411" s="8" t="n"/>
      <c r="B9411" s="9" t="n"/>
    </row>
    <row r="9412">
      <c r="A9412" s="8" t="n"/>
      <c r="B9412" s="9" t="n"/>
    </row>
    <row r="9413">
      <c r="A9413" s="8" t="n"/>
      <c r="B9413" s="9" t="n"/>
    </row>
    <row r="9414">
      <c r="A9414" s="8" t="n"/>
      <c r="B9414" s="9" t="n"/>
    </row>
    <row r="9415">
      <c r="A9415" s="8" t="n"/>
      <c r="B9415" s="9" t="n"/>
    </row>
    <row r="9416">
      <c r="A9416" s="8" t="n"/>
      <c r="B9416" s="9" t="n"/>
    </row>
    <row r="9417">
      <c r="A9417" s="8" t="n"/>
      <c r="B9417" s="9" t="n"/>
    </row>
    <row r="9418">
      <c r="A9418" s="8" t="n"/>
      <c r="B9418" s="9" t="n"/>
    </row>
    <row r="9419">
      <c r="A9419" s="8" t="n"/>
      <c r="B9419" s="9" t="n"/>
    </row>
    <row r="9420">
      <c r="A9420" s="8" t="n"/>
      <c r="B9420" s="9" t="n"/>
    </row>
    <row r="9421">
      <c r="A9421" s="8" t="n"/>
      <c r="B9421" s="9" t="n"/>
    </row>
    <row r="9422">
      <c r="A9422" s="8" t="n"/>
      <c r="B9422" s="9" t="n"/>
    </row>
    <row r="9423">
      <c r="A9423" s="8" t="n"/>
      <c r="B9423" s="9" t="n"/>
    </row>
    <row r="9424">
      <c r="A9424" s="8" t="n"/>
      <c r="B9424" s="9" t="n"/>
    </row>
    <row r="9425">
      <c r="A9425" s="8" t="n"/>
      <c r="B9425" s="9" t="n"/>
    </row>
    <row r="9426">
      <c r="A9426" s="8" t="n"/>
      <c r="B9426" s="9" t="n"/>
    </row>
    <row r="9427">
      <c r="A9427" s="8" t="n"/>
      <c r="B9427" s="9" t="n"/>
    </row>
    <row r="9428">
      <c r="A9428" s="8" t="n"/>
      <c r="B9428" s="9" t="n"/>
    </row>
    <row r="9429">
      <c r="A9429" s="8" t="n"/>
      <c r="B9429" s="9" t="n"/>
    </row>
    <row r="9430">
      <c r="A9430" s="8" t="n"/>
      <c r="B9430" s="9" t="n"/>
    </row>
    <row r="9431">
      <c r="A9431" s="8" t="n"/>
      <c r="B9431" s="9" t="n"/>
    </row>
    <row r="9432">
      <c r="A9432" s="8" t="n"/>
      <c r="B9432" s="9" t="n"/>
    </row>
    <row r="9433">
      <c r="A9433" s="8" t="n"/>
      <c r="B9433" s="9" t="n"/>
    </row>
    <row r="9434">
      <c r="A9434" s="8" t="n"/>
      <c r="B9434" s="9" t="n"/>
    </row>
    <row r="9435">
      <c r="A9435" s="8" t="n"/>
      <c r="B9435" s="9" t="n"/>
    </row>
    <row r="9436">
      <c r="A9436" s="8" t="n"/>
      <c r="B9436" s="9" t="n"/>
    </row>
    <row r="9437">
      <c r="A9437" s="8" t="n"/>
      <c r="B9437" s="9" t="n"/>
    </row>
    <row r="9438">
      <c r="A9438" s="8" t="n"/>
      <c r="B9438" s="9" t="n"/>
    </row>
    <row r="9439">
      <c r="A9439" s="8" t="n"/>
      <c r="B9439" s="9" t="n"/>
    </row>
    <row r="9440">
      <c r="A9440" s="8" t="n"/>
      <c r="B9440" s="9" t="n"/>
    </row>
    <row r="9441">
      <c r="A9441" s="8" t="n"/>
      <c r="B9441" s="9" t="n"/>
    </row>
    <row r="9442">
      <c r="A9442" s="8" t="n"/>
      <c r="B9442" s="9" t="n"/>
    </row>
    <row r="9443">
      <c r="A9443" s="8" t="n"/>
      <c r="B9443" s="9" t="n"/>
    </row>
    <row r="9444">
      <c r="A9444" s="8" t="n"/>
      <c r="B9444" s="9" t="n"/>
    </row>
    <row r="9445">
      <c r="A9445" s="8" t="n"/>
      <c r="B9445" s="9" t="n"/>
    </row>
    <row r="9446">
      <c r="A9446" s="8" t="n"/>
      <c r="B9446" s="9" t="n"/>
    </row>
    <row r="9447">
      <c r="A9447" s="8" t="n"/>
      <c r="B9447" s="9" t="n"/>
    </row>
    <row r="9448">
      <c r="A9448" s="8" t="n"/>
      <c r="B9448" s="9" t="n"/>
    </row>
    <row r="9449">
      <c r="A9449" s="8" t="n"/>
      <c r="B9449" s="9" t="n"/>
    </row>
    <row r="9450">
      <c r="A9450" s="8" t="n"/>
      <c r="B9450" s="9" t="n"/>
    </row>
    <row r="9451">
      <c r="A9451" s="8" t="n"/>
      <c r="B9451" s="9" t="n"/>
    </row>
    <row r="9452">
      <c r="A9452" s="8" t="n"/>
      <c r="B9452" s="9" t="n"/>
    </row>
    <row r="9453">
      <c r="A9453" s="8" t="n"/>
      <c r="B9453" s="9" t="n"/>
    </row>
    <row r="9454">
      <c r="A9454" s="8" t="n"/>
      <c r="B9454" s="9" t="n"/>
    </row>
    <row r="9455">
      <c r="A9455" s="8" t="n"/>
      <c r="B9455" s="9" t="n"/>
    </row>
    <row r="9456">
      <c r="A9456" s="8" t="n"/>
      <c r="B9456" s="9" t="n"/>
    </row>
    <row r="9457">
      <c r="A9457" s="8" t="n"/>
      <c r="B9457" s="9" t="n"/>
    </row>
    <row r="9458">
      <c r="A9458" s="8" t="n"/>
      <c r="B9458" s="9" t="n"/>
    </row>
    <row r="9459">
      <c r="A9459" s="8" t="n"/>
      <c r="B9459" s="9" t="n"/>
    </row>
    <row r="9460">
      <c r="A9460" s="8" t="n"/>
      <c r="B9460" s="9" t="n"/>
    </row>
    <row r="9461">
      <c r="A9461" s="8" t="n"/>
      <c r="B9461" s="9" t="n"/>
    </row>
    <row r="9462">
      <c r="A9462" s="8" t="n"/>
      <c r="B9462" s="9" t="n"/>
    </row>
    <row r="9463">
      <c r="A9463" s="8" t="n"/>
      <c r="B9463" s="9" t="n"/>
    </row>
    <row r="9464">
      <c r="A9464" s="8" t="n"/>
      <c r="B9464" s="9" t="n"/>
    </row>
    <row r="9465">
      <c r="A9465" s="8" t="n"/>
      <c r="B9465" s="9" t="n"/>
    </row>
    <row r="9466">
      <c r="A9466" s="8" t="n"/>
      <c r="B9466" s="9" t="n"/>
    </row>
    <row r="9467">
      <c r="A9467" s="8" t="n"/>
      <c r="B9467" s="9" t="n"/>
    </row>
    <row r="9468">
      <c r="A9468" s="8" t="n"/>
      <c r="B9468" s="9" t="n"/>
    </row>
    <row r="9469">
      <c r="A9469" s="8" t="n"/>
      <c r="B9469" s="9" t="n"/>
    </row>
    <row r="9470">
      <c r="A9470" s="8" t="n"/>
      <c r="B9470" s="9" t="n"/>
    </row>
    <row r="9471">
      <c r="A9471" s="8" t="n"/>
      <c r="B9471" s="9" t="n"/>
    </row>
    <row r="9472">
      <c r="A9472" s="8" t="n"/>
      <c r="B9472" s="9" t="n"/>
    </row>
    <row r="9473">
      <c r="A9473" s="8" t="n"/>
      <c r="B9473" s="9" t="n"/>
    </row>
    <row r="9474">
      <c r="A9474" s="8" t="n"/>
      <c r="B9474" s="9" t="n"/>
    </row>
    <row r="9475">
      <c r="A9475" s="8" t="n"/>
      <c r="B9475" s="9" t="n"/>
    </row>
    <row r="9476">
      <c r="A9476" s="8" t="n"/>
      <c r="B9476" s="9" t="n"/>
    </row>
    <row r="9477">
      <c r="A9477" s="8" t="n"/>
      <c r="B9477" s="9" t="n"/>
    </row>
    <row r="9478">
      <c r="A9478" s="8" t="n"/>
      <c r="B9478" s="9" t="n"/>
    </row>
    <row r="9479">
      <c r="A9479" s="8" t="n"/>
      <c r="B9479" s="9" t="n"/>
    </row>
    <row r="9480">
      <c r="A9480" s="8" t="n"/>
      <c r="B9480" s="9" t="n"/>
    </row>
    <row r="9481">
      <c r="A9481" s="8" t="n"/>
      <c r="B9481" s="9" t="n"/>
    </row>
    <row r="9482">
      <c r="A9482" s="8" t="n"/>
      <c r="B9482" s="9" t="n"/>
    </row>
    <row r="9483">
      <c r="A9483" s="8" t="n"/>
      <c r="B9483" s="9" t="n"/>
    </row>
    <row r="9484">
      <c r="A9484" s="8" t="n"/>
      <c r="B9484" s="9" t="n"/>
    </row>
    <row r="9485">
      <c r="A9485" s="8" t="n"/>
      <c r="B9485" s="9" t="n"/>
    </row>
    <row r="9486">
      <c r="A9486" s="8" t="n"/>
      <c r="B9486" s="9" t="n"/>
    </row>
    <row r="9487">
      <c r="A9487" s="8" t="n"/>
      <c r="B9487" s="9" t="n"/>
    </row>
    <row r="9488">
      <c r="A9488" s="8" t="n"/>
      <c r="B9488" s="9" t="n"/>
    </row>
    <row r="9489">
      <c r="A9489" s="8" t="n"/>
      <c r="B9489" s="9" t="n"/>
    </row>
    <row r="9490">
      <c r="A9490" s="8" t="n"/>
      <c r="B9490" s="9" t="n"/>
    </row>
    <row r="9491">
      <c r="A9491" s="8" t="n"/>
      <c r="B9491" s="9" t="n"/>
    </row>
    <row r="9492">
      <c r="A9492" s="8" t="n"/>
      <c r="B9492" s="9" t="n"/>
    </row>
    <row r="9493">
      <c r="A9493" s="8" t="n"/>
      <c r="B9493" s="9" t="n"/>
    </row>
    <row r="9494">
      <c r="A9494" s="8" t="n"/>
      <c r="B9494" s="9" t="n"/>
    </row>
    <row r="9495">
      <c r="A9495" s="8" t="n"/>
      <c r="B9495" s="9" t="n"/>
    </row>
    <row r="9496">
      <c r="A9496" s="8" t="n"/>
      <c r="B9496" s="9" t="n"/>
    </row>
    <row r="9497">
      <c r="A9497" s="8" t="n"/>
      <c r="B9497" s="9" t="n"/>
    </row>
    <row r="9498">
      <c r="A9498" s="8" t="n"/>
      <c r="B9498" s="9" t="n"/>
    </row>
    <row r="9499">
      <c r="A9499" s="8" t="n"/>
      <c r="B9499" s="9" t="n"/>
    </row>
    <row r="9500">
      <c r="A9500" s="8" t="n"/>
      <c r="B9500" s="9" t="n"/>
    </row>
    <row r="9501">
      <c r="A9501" s="8" t="n"/>
      <c r="B9501" s="9" t="n"/>
    </row>
    <row r="9502">
      <c r="A9502" s="8" t="n"/>
      <c r="B9502" s="9" t="n"/>
    </row>
    <row r="9503">
      <c r="A9503" s="8" t="n"/>
      <c r="B9503" s="9" t="n"/>
    </row>
    <row r="9504">
      <c r="A9504" s="8" t="n"/>
      <c r="B9504" s="9" t="n"/>
    </row>
    <row r="9505">
      <c r="A9505" s="8" t="n"/>
      <c r="B9505" s="9" t="n"/>
    </row>
    <row r="9506">
      <c r="A9506" s="8" t="n"/>
      <c r="B9506" s="9" t="n"/>
    </row>
    <row r="9507">
      <c r="A9507" s="8" t="n"/>
      <c r="B9507" s="9" t="n"/>
    </row>
    <row r="9508">
      <c r="A9508" s="8" t="n"/>
      <c r="B9508" s="9" t="n"/>
    </row>
    <row r="9509">
      <c r="A9509" s="8" t="n"/>
      <c r="B9509" s="9" t="n"/>
    </row>
    <row r="9510">
      <c r="A9510" s="8" t="n"/>
      <c r="B9510" s="9" t="n"/>
    </row>
    <row r="9511">
      <c r="A9511" s="8" t="n"/>
      <c r="B9511" s="9" t="n"/>
    </row>
    <row r="9512">
      <c r="A9512" s="8" t="n"/>
      <c r="B9512" s="9" t="n"/>
    </row>
    <row r="9513">
      <c r="A9513" s="8" t="n"/>
      <c r="B9513" s="9" t="n"/>
    </row>
    <row r="9514">
      <c r="A9514" s="8" t="n"/>
      <c r="B9514" s="9" t="n"/>
    </row>
    <row r="9515">
      <c r="A9515" s="8" t="n"/>
      <c r="B9515" s="9" t="n"/>
    </row>
    <row r="9516">
      <c r="A9516" s="8" t="n"/>
      <c r="B9516" s="9" t="n"/>
    </row>
    <row r="9517">
      <c r="A9517" s="8" t="n"/>
      <c r="B9517" s="9" t="n"/>
    </row>
    <row r="9518">
      <c r="A9518" s="8" t="n"/>
      <c r="B9518" s="9" t="n"/>
    </row>
    <row r="9519">
      <c r="A9519" s="8" t="n"/>
      <c r="B9519" s="9" t="n"/>
    </row>
    <row r="9520">
      <c r="A9520" s="8" t="n"/>
      <c r="B9520" s="9" t="n"/>
    </row>
    <row r="9521">
      <c r="A9521" s="8" t="n"/>
      <c r="B9521" s="9" t="n"/>
    </row>
    <row r="9522">
      <c r="A9522" s="8" t="n"/>
      <c r="B9522" s="9" t="n"/>
    </row>
    <row r="9523">
      <c r="A9523" s="8" t="n"/>
      <c r="B9523" s="9" t="n"/>
    </row>
    <row r="9524">
      <c r="A9524" s="8" t="n"/>
      <c r="B9524" s="9" t="n"/>
    </row>
    <row r="9525">
      <c r="A9525" s="8" t="n"/>
      <c r="B9525" s="9" t="n"/>
    </row>
    <row r="9526">
      <c r="A9526" s="8" t="n"/>
      <c r="B9526" s="9" t="n"/>
    </row>
    <row r="9527">
      <c r="A9527" s="8" t="n"/>
      <c r="B9527" s="9" t="n"/>
    </row>
    <row r="9528">
      <c r="A9528" s="8" t="n"/>
      <c r="B9528" s="9" t="n"/>
    </row>
    <row r="9529">
      <c r="A9529" s="8" t="n"/>
      <c r="B9529" s="9" t="n"/>
    </row>
    <row r="9530">
      <c r="A9530" s="8" t="n"/>
      <c r="B9530" s="9" t="n"/>
    </row>
    <row r="9531">
      <c r="A9531" s="8" t="n"/>
      <c r="B9531" s="9" t="n"/>
    </row>
    <row r="9532">
      <c r="A9532" s="8" t="n"/>
      <c r="B9532" s="9" t="n"/>
    </row>
    <row r="9533">
      <c r="A9533" s="8" t="n"/>
      <c r="B9533" s="9" t="n"/>
    </row>
    <row r="9534">
      <c r="A9534" s="8" t="n"/>
      <c r="B9534" s="9" t="n"/>
    </row>
    <row r="9535">
      <c r="A9535" s="8" t="n"/>
      <c r="B9535" s="9" t="n"/>
    </row>
    <row r="9536">
      <c r="A9536" s="8" t="n"/>
      <c r="B9536" s="9" t="n"/>
    </row>
    <row r="9537">
      <c r="A9537" s="8" t="n"/>
      <c r="B9537" s="9" t="n"/>
    </row>
    <row r="9538">
      <c r="A9538" s="8" t="n"/>
      <c r="B9538" s="9" t="n"/>
    </row>
    <row r="9539">
      <c r="A9539" s="8" t="n"/>
      <c r="B9539" s="9" t="n"/>
    </row>
    <row r="9540">
      <c r="A9540" s="8" t="n"/>
      <c r="B9540" s="9" t="n"/>
    </row>
    <row r="9541">
      <c r="A9541" s="8" t="n"/>
      <c r="B9541" s="9" t="n"/>
    </row>
    <row r="9542">
      <c r="A9542" s="8" t="n"/>
      <c r="B9542" s="9" t="n"/>
    </row>
    <row r="9543">
      <c r="A9543" s="8" t="n"/>
      <c r="B9543" s="9" t="n"/>
    </row>
    <row r="9544">
      <c r="A9544" s="8" t="n"/>
      <c r="B9544" s="9" t="n"/>
    </row>
    <row r="9545">
      <c r="A9545" s="8" t="n"/>
      <c r="B9545" s="9" t="n"/>
    </row>
    <row r="9546">
      <c r="A9546" s="8" t="n"/>
      <c r="B9546" s="9" t="n"/>
    </row>
    <row r="9547">
      <c r="A9547" s="8" t="n"/>
      <c r="B9547" s="9" t="n"/>
    </row>
    <row r="9548">
      <c r="A9548" s="8" t="n"/>
      <c r="B9548" s="9" t="n"/>
    </row>
    <row r="9549">
      <c r="A9549" s="8" t="n"/>
      <c r="B9549" s="9" t="n"/>
    </row>
    <row r="9550">
      <c r="A9550" s="8" t="n"/>
      <c r="B9550" s="9" t="n"/>
    </row>
    <row r="9551">
      <c r="A9551" s="8" t="n"/>
      <c r="B9551" s="9" t="n"/>
    </row>
    <row r="9552">
      <c r="A9552" s="8" t="n"/>
      <c r="B9552" s="9" t="n"/>
    </row>
    <row r="9553">
      <c r="A9553" s="8" t="n"/>
      <c r="B9553" s="9" t="n"/>
    </row>
    <row r="9554">
      <c r="A9554" s="8" t="n"/>
      <c r="B9554" s="9" t="n"/>
    </row>
    <row r="9555">
      <c r="A9555" s="8" t="n"/>
      <c r="B9555" s="9" t="n"/>
    </row>
    <row r="9556">
      <c r="A9556" s="8" t="n"/>
      <c r="B9556" s="9" t="n"/>
    </row>
    <row r="9557">
      <c r="A9557" s="8" t="n"/>
      <c r="B9557" s="9" t="n"/>
    </row>
    <row r="9558">
      <c r="A9558" s="8" t="n"/>
      <c r="B9558" s="9" t="n"/>
    </row>
    <row r="9559">
      <c r="A9559" s="8" t="n"/>
      <c r="B9559" s="9" t="n"/>
    </row>
    <row r="9560">
      <c r="A9560" s="8" t="n"/>
      <c r="B9560" s="9" t="n"/>
    </row>
    <row r="9561">
      <c r="A9561" s="8" t="n"/>
      <c r="B9561" s="9" t="n"/>
    </row>
    <row r="9562">
      <c r="A9562" s="8" t="n"/>
      <c r="B9562" s="9" t="n"/>
    </row>
    <row r="9563">
      <c r="A9563" s="8" t="n"/>
      <c r="B9563" s="9" t="n"/>
    </row>
    <row r="9564">
      <c r="A9564" s="8" t="n"/>
      <c r="B9564" s="9" t="n"/>
    </row>
    <row r="9565">
      <c r="A9565" s="8" t="n"/>
      <c r="B9565" s="9" t="n"/>
    </row>
    <row r="9566">
      <c r="A9566" s="8" t="n"/>
      <c r="B9566" s="9" t="n"/>
    </row>
    <row r="9567">
      <c r="A9567" s="8" t="n"/>
      <c r="B9567" s="9" t="n"/>
    </row>
    <row r="9568">
      <c r="A9568" s="8" t="n"/>
      <c r="B9568" s="9" t="n"/>
    </row>
    <row r="9569">
      <c r="A9569" s="8" t="n"/>
      <c r="B9569" s="9" t="n"/>
    </row>
    <row r="9570">
      <c r="A9570" s="8" t="n"/>
      <c r="B9570" s="9" t="n"/>
    </row>
    <row r="9571">
      <c r="A9571" s="8" t="n"/>
      <c r="B9571" s="9" t="n"/>
    </row>
    <row r="9572">
      <c r="A9572" s="8" t="n"/>
      <c r="B9572" s="9" t="n"/>
    </row>
    <row r="9573">
      <c r="A9573" s="8" t="n"/>
      <c r="B9573" s="9" t="n"/>
    </row>
    <row r="9574">
      <c r="A9574" s="8" t="n"/>
      <c r="B9574" s="9" t="n"/>
    </row>
    <row r="9575">
      <c r="A9575" s="8" t="n"/>
      <c r="B9575" s="9" t="n"/>
    </row>
    <row r="9576">
      <c r="A9576" s="8" t="n"/>
      <c r="B9576" s="9" t="n"/>
    </row>
    <row r="9577">
      <c r="A9577" s="8" t="n"/>
      <c r="B9577" s="9" t="n"/>
    </row>
    <row r="9578">
      <c r="A9578" s="8" t="n"/>
      <c r="B9578" s="9" t="n"/>
    </row>
    <row r="9579">
      <c r="A9579" s="8" t="n"/>
      <c r="B9579" s="9" t="n"/>
    </row>
    <row r="9580">
      <c r="A9580" s="8" t="n"/>
      <c r="B9580" s="9" t="n"/>
    </row>
    <row r="9581">
      <c r="A9581" s="8" t="n"/>
      <c r="B9581" s="9" t="n"/>
    </row>
    <row r="9582">
      <c r="A9582" s="8" t="n"/>
      <c r="B9582" s="9" t="n"/>
    </row>
    <row r="9583">
      <c r="A9583" s="8" t="n"/>
      <c r="B9583" s="9" t="n"/>
    </row>
    <row r="9584">
      <c r="A9584" s="8" t="n"/>
      <c r="B9584" s="9" t="n"/>
    </row>
    <row r="9585">
      <c r="A9585" s="8" t="n"/>
      <c r="B9585" s="9" t="n"/>
    </row>
    <row r="9586">
      <c r="A9586" s="8" t="n"/>
      <c r="B9586" s="9" t="n"/>
    </row>
    <row r="9587">
      <c r="A9587" s="8" t="n"/>
      <c r="B9587" s="9" t="n"/>
    </row>
    <row r="9588">
      <c r="A9588" s="8" t="n"/>
      <c r="B9588" s="9" t="n"/>
    </row>
    <row r="9589">
      <c r="A9589" s="8" t="n"/>
      <c r="B9589" s="9" t="n"/>
    </row>
    <row r="9590">
      <c r="A9590" s="8" t="n"/>
      <c r="B9590" s="9" t="n"/>
    </row>
    <row r="9591">
      <c r="A9591" s="8" t="n"/>
      <c r="B9591" s="9" t="n"/>
    </row>
    <row r="9592">
      <c r="A9592" s="8" t="n"/>
      <c r="B9592" s="9" t="n"/>
    </row>
    <row r="9593">
      <c r="A9593" s="8" t="n"/>
      <c r="B9593" s="9" t="n"/>
    </row>
    <row r="9594">
      <c r="A9594" s="8" t="n"/>
      <c r="B9594" s="9" t="n"/>
    </row>
    <row r="9595">
      <c r="A9595" s="8" t="n"/>
      <c r="B9595" s="9" t="n"/>
    </row>
    <row r="9596">
      <c r="A9596" s="8" t="n"/>
      <c r="B9596" s="9" t="n"/>
    </row>
    <row r="9597">
      <c r="A9597" s="8" t="n"/>
      <c r="B9597" s="9" t="n"/>
    </row>
    <row r="9598">
      <c r="A9598" s="8" t="n"/>
      <c r="B9598" s="9" t="n"/>
    </row>
    <row r="9599">
      <c r="A9599" s="8" t="n"/>
      <c r="B9599" s="9" t="n"/>
    </row>
    <row r="9600">
      <c r="A9600" s="8" t="n"/>
      <c r="B9600" s="9" t="n"/>
    </row>
    <row r="9601">
      <c r="A9601" s="8" t="n"/>
      <c r="B9601" s="9" t="n"/>
    </row>
    <row r="9602">
      <c r="A9602" s="8" t="n"/>
      <c r="B9602" s="9" t="n"/>
    </row>
    <row r="9603">
      <c r="A9603" s="8" t="n"/>
      <c r="B9603" s="9" t="n"/>
    </row>
    <row r="9604">
      <c r="A9604" s="8" t="n"/>
      <c r="B9604" s="9" t="n"/>
    </row>
    <row r="9605">
      <c r="A9605" s="8" t="n"/>
      <c r="B9605" s="9" t="n"/>
    </row>
    <row r="9606">
      <c r="A9606" s="8" t="n"/>
      <c r="B9606" s="9" t="n"/>
    </row>
    <row r="9607">
      <c r="A9607" s="8" t="n"/>
      <c r="B9607" s="9" t="n"/>
    </row>
    <row r="9608">
      <c r="A9608" s="8" t="n"/>
      <c r="B9608" s="9" t="n"/>
    </row>
    <row r="9609">
      <c r="A9609" s="8" t="n"/>
      <c r="B9609" s="9" t="n"/>
    </row>
    <row r="9610">
      <c r="A9610" s="8" t="n"/>
      <c r="B9610" s="9" t="n"/>
    </row>
    <row r="9611">
      <c r="A9611" s="8" t="n"/>
      <c r="B9611" s="9" t="n"/>
    </row>
    <row r="9612">
      <c r="A9612" s="8" t="n"/>
      <c r="B9612" s="9" t="n"/>
    </row>
    <row r="9613">
      <c r="A9613" s="8" t="n"/>
      <c r="B9613" s="9" t="n"/>
    </row>
    <row r="9614">
      <c r="A9614" s="8" t="n"/>
      <c r="B9614" s="9" t="n"/>
    </row>
    <row r="9615">
      <c r="A9615" s="8" t="n"/>
      <c r="B9615" s="9" t="n"/>
    </row>
    <row r="9616">
      <c r="A9616" s="8" t="n"/>
      <c r="B9616" s="9" t="n"/>
    </row>
    <row r="9617">
      <c r="A9617" s="8" t="n"/>
      <c r="B9617" s="9" t="n"/>
    </row>
    <row r="9618">
      <c r="A9618" s="8" t="n"/>
      <c r="B9618" s="9" t="n"/>
    </row>
    <row r="9619">
      <c r="A9619" s="8" t="n"/>
      <c r="B9619" s="9" t="n"/>
    </row>
    <row r="9620">
      <c r="A9620" s="8" t="n"/>
      <c r="B9620" s="9" t="n"/>
    </row>
    <row r="9621">
      <c r="A9621" s="8" t="n"/>
      <c r="B9621" s="9" t="n"/>
    </row>
    <row r="9622">
      <c r="A9622" s="8" t="n"/>
      <c r="B9622" s="9" t="n"/>
    </row>
    <row r="9623">
      <c r="A9623" s="8" t="n"/>
      <c r="B9623" s="9" t="n"/>
    </row>
    <row r="9624">
      <c r="A9624" s="8" t="n"/>
      <c r="B9624" s="9" t="n"/>
    </row>
    <row r="9625">
      <c r="A9625" s="8" t="n"/>
      <c r="B9625" s="9" t="n"/>
    </row>
    <row r="9626">
      <c r="A9626" s="8" t="n"/>
      <c r="B9626" s="9" t="n"/>
    </row>
    <row r="9627">
      <c r="A9627" s="8" t="n"/>
      <c r="B9627" s="9" t="n"/>
    </row>
    <row r="9628">
      <c r="A9628" s="8" t="n"/>
      <c r="B9628" s="9" t="n"/>
    </row>
    <row r="9629">
      <c r="A9629" s="8" t="n"/>
      <c r="B9629" s="9" t="n"/>
    </row>
    <row r="9630">
      <c r="A9630" s="8" t="n"/>
      <c r="B9630" s="9" t="n"/>
    </row>
    <row r="9631">
      <c r="A9631" s="8" t="n"/>
      <c r="B9631" s="9" t="n"/>
    </row>
    <row r="9632">
      <c r="A9632" s="8" t="n"/>
      <c r="B9632" s="9" t="n"/>
    </row>
    <row r="9633">
      <c r="A9633" s="8" t="n"/>
      <c r="B9633" s="9" t="n"/>
    </row>
    <row r="9634">
      <c r="A9634" s="8" t="n"/>
      <c r="B9634" s="9" t="n"/>
    </row>
    <row r="9635">
      <c r="A9635" s="8" t="n"/>
      <c r="B9635" s="9" t="n"/>
    </row>
    <row r="9636">
      <c r="A9636" s="8" t="n"/>
      <c r="B9636" s="9" t="n"/>
    </row>
    <row r="9637">
      <c r="A9637" s="8" t="n"/>
      <c r="B9637" s="9" t="n"/>
    </row>
    <row r="9638">
      <c r="A9638" s="8" t="n"/>
      <c r="B9638" s="9" t="n"/>
    </row>
    <row r="9639">
      <c r="A9639" s="8" t="n"/>
      <c r="B9639" s="9" t="n"/>
    </row>
    <row r="9640">
      <c r="A9640" s="8" t="n"/>
      <c r="B9640" s="9" t="n"/>
    </row>
    <row r="9641">
      <c r="A9641" s="8" t="n"/>
      <c r="B9641" s="9" t="n"/>
    </row>
    <row r="9642">
      <c r="A9642" s="8" t="n"/>
      <c r="B9642" s="9" t="n"/>
    </row>
    <row r="9643">
      <c r="A9643" s="8" t="n"/>
      <c r="B9643" s="9" t="n"/>
    </row>
    <row r="9644">
      <c r="A9644" s="8" t="n"/>
      <c r="B9644" s="9" t="n"/>
    </row>
    <row r="9645">
      <c r="A9645" s="8" t="n"/>
      <c r="B9645" s="9" t="n"/>
    </row>
    <row r="9646">
      <c r="A9646" s="8" t="n"/>
      <c r="B9646" s="9" t="n"/>
    </row>
    <row r="9647">
      <c r="A9647" s="8" t="n"/>
      <c r="B9647" s="9" t="n"/>
    </row>
    <row r="9648">
      <c r="A9648" s="8" t="n"/>
      <c r="B9648" s="9" t="n"/>
    </row>
    <row r="9649">
      <c r="A9649" s="8" t="n"/>
      <c r="B9649" s="9" t="n"/>
    </row>
    <row r="9650">
      <c r="A9650" s="8" t="n"/>
      <c r="B9650" s="9" t="n"/>
    </row>
    <row r="9651">
      <c r="A9651" s="8" t="n"/>
      <c r="B9651" s="9" t="n"/>
    </row>
    <row r="9652">
      <c r="A9652" s="8" t="n"/>
      <c r="B9652" s="9" t="n"/>
    </row>
    <row r="9653">
      <c r="A9653" s="8" t="n"/>
      <c r="B9653" s="9" t="n"/>
    </row>
    <row r="9654">
      <c r="A9654" s="8" t="n"/>
      <c r="B9654" s="9" t="n"/>
    </row>
    <row r="9655">
      <c r="A9655" s="8" t="n"/>
      <c r="B9655" s="9" t="n"/>
    </row>
    <row r="9656">
      <c r="A9656" s="8" t="n"/>
      <c r="B9656" s="9" t="n"/>
    </row>
    <row r="9657">
      <c r="A9657" s="8" t="n"/>
      <c r="B9657" s="9" t="n"/>
    </row>
    <row r="9658">
      <c r="A9658" s="8" t="n"/>
      <c r="B9658" s="9" t="n"/>
    </row>
    <row r="9659">
      <c r="A9659" s="8" t="n"/>
      <c r="B9659" s="9" t="n"/>
    </row>
    <row r="9660">
      <c r="A9660" s="8" t="n"/>
      <c r="B9660" s="9" t="n"/>
    </row>
    <row r="9661">
      <c r="A9661" s="8" t="n"/>
      <c r="B9661" s="9" t="n"/>
    </row>
    <row r="9662">
      <c r="A9662" s="8" t="n"/>
      <c r="B9662" s="9" t="n"/>
    </row>
    <row r="9663">
      <c r="A9663" s="8" t="n"/>
      <c r="B9663" s="9" t="n"/>
    </row>
    <row r="9664">
      <c r="A9664" s="8" t="n"/>
      <c r="B9664" s="9" t="n"/>
    </row>
    <row r="9665">
      <c r="A9665" s="8" t="n"/>
      <c r="B9665" s="9" t="n"/>
    </row>
    <row r="9666">
      <c r="A9666" s="8" t="n"/>
      <c r="B9666" s="9" t="n"/>
    </row>
    <row r="9667">
      <c r="A9667" s="8" t="n"/>
      <c r="B9667" s="9" t="n"/>
    </row>
    <row r="9668">
      <c r="A9668" s="8" t="n"/>
      <c r="B9668" s="9" t="n"/>
    </row>
    <row r="9669">
      <c r="A9669" s="8" t="n"/>
      <c r="B9669" s="9" t="n"/>
    </row>
    <row r="9670">
      <c r="A9670" s="8" t="n"/>
      <c r="B9670" s="9" t="n"/>
    </row>
    <row r="9671">
      <c r="A9671" s="8" t="n"/>
      <c r="B9671" s="9" t="n"/>
    </row>
    <row r="9672">
      <c r="A9672" s="8" t="n"/>
      <c r="B9672" s="9" t="n"/>
    </row>
    <row r="9673">
      <c r="A9673" s="8" t="n"/>
      <c r="B9673" s="9" t="n"/>
    </row>
    <row r="9674">
      <c r="A9674" s="8" t="n"/>
      <c r="B9674" s="9" t="n"/>
    </row>
    <row r="9675">
      <c r="A9675" s="8" t="n"/>
      <c r="B9675" s="9" t="n"/>
    </row>
    <row r="9676">
      <c r="A9676" s="8" t="n"/>
      <c r="B9676" s="9" t="n"/>
    </row>
    <row r="9677">
      <c r="A9677" s="8" t="n"/>
      <c r="B9677" s="9" t="n"/>
    </row>
    <row r="9678">
      <c r="A9678" s="8" t="n"/>
      <c r="B9678" s="9" t="n"/>
    </row>
    <row r="9679">
      <c r="A9679" s="8" t="n"/>
      <c r="B9679" s="9" t="n"/>
    </row>
    <row r="9680">
      <c r="A9680" s="8" t="n"/>
      <c r="B9680" s="9" t="n"/>
    </row>
    <row r="9681">
      <c r="A9681" s="8" t="n"/>
      <c r="B9681" s="9" t="n"/>
    </row>
    <row r="9682">
      <c r="A9682" s="8" t="n"/>
      <c r="B9682" s="9" t="n"/>
    </row>
    <row r="9683">
      <c r="A9683" s="8" t="n"/>
      <c r="B9683" s="9" t="n"/>
    </row>
    <row r="9684">
      <c r="A9684" s="8" t="n"/>
      <c r="B9684" s="9" t="n"/>
    </row>
    <row r="9685">
      <c r="A9685" s="8" t="n"/>
      <c r="B9685" s="9" t="n"/>
    </row>
    <row r="9686">
      <c r="A9686" s="8" t="n"/>
      <c r="B9686" s="9" t="n"/>
    </row>
    <row r="9687">
      <c r="A9687" s="8" t="n"/>
      <c r="B9687" s="9" t="n"/>
    </row>
    <row r="9688">
      <c r="A9688" s="8" t="n"/>
      <c r="B9688" s="9" t="n"/>
    </row>
    <row r="9689">
      <c r="A9689" s="8" t="n"/>
      <c r="B9689" s="9" t="n"/>
    </row>
    <row r="9690">
      <c r="A9690" s="8" t="n"/>
      <c r="B9690" s="9" t="n"/>
    </row>
    <row r="9691">
      <c r="A9691" s="8" t="n"/>
      <c r="B9691" s="9" t="n"/>
    </row>
    <row r="9692">
      <c r="A9692" s="8" t="n"/>
      <c r="B9692" s="9" t="n"/>
    </row>
    <row r="9693">
      <c r="A9693" s="8" t="n"/>
      <c r="B9693" s="9" t="n"/>
    </row>
    <row r="9694">
      <c r="A9694" s="8" t="n"/>
      <c r="B9694" s="9" t="n"/>
    </row>
    <row r="9695">
      <c r="A9695" s="8" t="n"/>
      <c r="B9695" s="9" t="n"/>
    </row>
    <row r="9696">
      <c r="A9696" s="8" t="n"/>
      <c r="B9696" s="9" t="n"/>
    </row>
    <row r="9697">
      <c r="A9697" s="8" t="n"/>
      <c r="B9697" s="9" t="n"/>
    </row>
    <row r="9698">
      <c r="A9698" s="8" t="n"/>
      <c r="B9698" s="9" t="n"/>
    </row>
    <row r="9699">
      <c r="A9699" s="8" t="n"/>
      <c r="B9699" s="9" t="n"/>
    </row>
    <row r="9700">
      <c r="A9700" s="8" t="n"/>
      <c r="B9700" s="9" t="n"/>
    </row>
    <row r="9701">
      <c r="A9701" s="8" t="n"/>
      <c r="B9701" s="9" t="n"/>
    </row>
    <row r="9702">
      <c r="A9702" s="8" t="n"/>
      <c r="B9702" s="9" t="n"/>
    </row>
    <row r="9703">
      <c r="A9703" s="8" t="n"/>
      <c r="B9703" s="9" t="n"/>
    </row>
    <row r="9704">
      <c r="A9704" s="8" t="n"/>
      <c r="B9704" s="9" t="n"/>
    </row>
    <row r="9705">
      <c r="A9705" s="8" t="n"/>
      <c r="B9705" s="9" t="n"/>
    </row>
    <row r="9706">
      <c r="A9706" s="8" t="n"/>
      <c r="B9706" s="9" t="n"/>
    </row>
    <row r="9707">
      <c r="A9707" s="8" t="n"/>
      <c r="B9707" s="9" t="n"/>
    </row>
    <row r="9708">
      <c r="A9708" s="8" t="n"/>
      <c r="B9708" s="9" t="n"/>
    </row>
    <row r="9709">
      <c r="A9709" s="8" t="n"/>
      <c r="B9709" s="9" t="n"/>
    </row>
    <row r="9710">
      <c r="A9710" s="8" t="n"/>
      <c r="B9710" s="9" t="n"/>
    </row>
    <row r="9711">
      <c r="A9711" s="8" t="n"/>
      <c r="B9711" s="9" t="n"/>
    </row>
    <row r="9712">
      <c r="A9712" s="8" t="n"/>
      <c r="B9712" s="9" t="n"/>
    </row>
    <row r="9713">
      <c r="A9713" s="8" t="n"/>
      <c r="B9713" s="9" t="n"/>
    </row>
    <row r="9714">
      <c r="A9714" s="8" t="n"/>
      <c r="B9714" s="9" t="n"/>
    </row>
    <row r="9715">
      <c r="A9715" s="8" t="n"/>
      <c r="B9715" s="9" t="n"/>
    </row>
    <row r="9716">
      <c r="A9716" s="8" t="n"/>
      <c r="B9716" s="9" t="n"/>
    </row>
    <row r="9717">
      <c r="A9717" s="8" t="n"/>
      <c r="B9717" s="9" t="n"/>
    </row>
    <row r="9718">
      <c r="A9718" s="8" t="n"/>
      <c r="B9718" s="9" t="n"/>
    </row>
    <row r="9719">
      <c r="A9719" s="8" t="n"/>
      <c r="B9719" s="9" t="n"/>
    </row>
    <row r="9720">
      <c r="A9720" s="8" t="n"/>
      <c r="B9720" s="9" t="n"/>
    </row>
    <row r="9721">
      <c r="A9721" s="8" t="n"/>
      <c r="B9721" s="9" t="n"/>
    </row>
    <row r="9722">
      <c r="A9722" s="8" t="n"/>
      <c r="B9722" s="9" t="n"/>
    </row>
    <row r="9723">
      <c r="A9723" s="8" t="n"/>
      <c r="B9723" s="9" t="n"/>
    </row>
    <row r="9724">
      <c r="A9724" s="8" t="n"/>
      <c r="B9724" s="9" t="n"/>
    </row>
    <row r="9725">
      <c r="A9725" s="8" t="n"/>
      <c r="B9725" s="9" t="n"/>
    </row>
    <row r="9726">
      <c r="A9726" s="8" t="n"/>
      <c r="B9726" s="9" t="n"/>
    </row>
    <row r="9727">
      <c r="A9727" s="8" t="n"/>
      <c r="B9727" s="9" t="n"/>
    </row>
    <row r="9728">
      <c r="A9728" s="8" t="n"/>
      <c r="B9728" s="9" t="n"/>
    </row>
    <row r="9729">
      <c r="A9729" s="8" t="n"/>
      <c r="B9729" s="9" t="n"/>
    </row>
    <row r="9730">
      <c r="A9730" s="8" t="n"/>
      <c r="B9730" s="9" t="n"/>
    </row>
    <row r="9731">
      <c r="A9731" s="8" t="n"/>
      <c r="B9731" s="9" t="n"/>
    </row>
    <row r="9732">
      <c r="A9732" s="8" t="n"/>
      <c r="B9732" s="9" t="n"/>
    </row>
    <row r="9733">
      <c r="A9733" s="8" t="n"/>
      <c r="B9733" s="9" t="n"/>
    </row>
    <row r="9734">
      <c r="A9734" s="8" t="n"/>
      <c r="B9734" s="9" t="n"/>
    </row>
    <row r="9735">
      <c r="A9735" s="8" t="n"/>
      <c r="B9735" s="9" t="n"/>
    </row>
    <row r="9736">
      <c r="A9736" s="8" t="n"/>
      <c r="B9736" s="9" t="n"/>
    </row>
    <row r="9737">
      <c r="A9737" s="8" t="n"/>
      <c r="B9737" s="9" t="n"/>
    </row>
    <row r="9738">
      <c r="A9738" s="8" t="n"/>
      <c r="B9738" s="9" t="n"/>
    </row>
    <row r="9739">
      <c r="A9739" s="8" t="n"/>
      <c r="B9739" s="9" t="n"/>
    </row>
    <row r="9740">
      <c r="A9740" s="8" t="n"/>
      <c r="B9740" s="9" t="n"/>
    </row>
    <row r="9741">
      <c r="A9741" s="8" t="n"/>
      <c r="B9741" s="9" t="n"/>
    </row>
    <row r="9742">
      <c r="A9742" s="8" t="n"/>
      <c r="B9742" s="9" t="n"/>
    </row>
    <row r="9743">
      <c r="A9743" s="8" t="n"/>
      <c r="B9743" s="9" t="n"/>
    </row>
    <row r="9744">
      <c r="A9744" s="8" t="n"/>
      <c r="B9744" s="9" t="n"/>
    </row>
    <row r="9745">
      <c r="A9745" s="8" t="n"/>
      <c r="B9745" s="9" t="n"/>
    </row>
    <row r="9746">
      <c r="A9746" s="8" t="n"/>
      <c r="B9746" s="9" t="n"/>
    </row>
    <row r="9747">
      <c r="A9747" s="8" t="n"/>
      <c r="B9747" s="9" t="n"/>
    </row>
    <row r="9748">
      <c r="A9748" s="8" t="n"/>
      <c r="B9748" s="9" t="n"/>
    </row>
    <row r="9749">
      <c r="A9749" s="8" t="n"/>
      <c r="B9749" s="9" t="n"/>
    </row>
    <row r="9750">
      <c r="A9750" s="8" t="n"/>
      <c r="B9750" s="9" t="n"/>
    </row>
    <row r="9751">
      <c r="A9751" s="8" t="n"/>
      <c r="B9751" s="9" t="n"/>
    </row>
    <row r="9752">
      <c r="A9752" s="8" t="n"/>
      <c r="B9752" s="9" t="n"/>
    </row>
    <row r="9753">
      <c r="A9753" s="8" t="n"/>
      <c r="B9753" s="9" t="n"/>
    </row>
    <row r="9754">
      <c r="A9754" s="8" t="n"/>
      <c r="B9754" s="9" t="n"/>
    </row>
    <row r="9755">
      <c r="A9755" s="8" t="n"/>
      <c r="B9755" s="9" t="n"/>
    </row>
    <row r="9756">
      <c r="A9756" s="8" t="n"/>
      <c r="B9756" s="9" t="n"/>
    </row>
    <row r="9757">
      <c r="A9757" s="8" t="n"/>
      <c r="B9757" s="9" t="n"/>
    </row>
    <row r="9758">
      <c r="A9758" s="8" t="n"/>
      <c r="B9758" s="9" t="n"/>
    </row>
    <row r="9759">
      <c r="A9759" s="8" t="n"/>
      <c r="B9759" s="9" t="n"/>
    </row>
    <row r="9760">
      <c r="A9760" s="8" t="n"/>
      <c r="B9760" s="9" t="n"/>
    </row>
    <row r="9761">
      <c r="A9761" s="8" t="n"/>
      <c r="B9761" s="9" t="n"/>
    </row>
    <row r="9762">
      <c r="A9762" s="8" t="n"/>
      <c r="B9762" s="9" t="n"/>
    </row>
    <row r="9763">
      <c r="A9763" s="8" t="n"/>
      <c r="B9763" s="9" t="n"/>
    </row>
    <row r="9764">
      <c r="A9764" s="8" t="n"/>
      <c r="B9764" s="9" t="n"/>
    </row>
    <row r="9765">
      <c r="A9765" s="8" t="n"/>
      <c r="B9765" s="9" t="n"/>
    </row>
    <row r="9766">
      <c r="A9766" s="8" t="n"/>
      <c r="B9766" s="9" t="n"/>
    </row>
    <row r="9767">
      <c r="A9767" s="8" t="n"/>
      <c r="B9767" s="9" t="n"/>
    </row>
    <row r="9768">
      <c r="A9768" s="8" t="n"/>
      <c r="B9768" s="9" t="n"/>
    </row>
    <row r="9769">
      <c r="A9769" s="8" t="n"/>
      <c r="B9769" s="9" t="n"/>
    </row>
    <row r="9770">
      <c r="A9770" s="8" t="n"/>
      <c r="B9770" s="9" t="n"/>
    </row>
    <row r="9771">
      <c r="A9771" s="8" t="n"/>
      <c r="B9771" s="9" t="n"/>
    </row>
    <row r="9772">
      <c r="A9772" s="8" t="n"/>
      <c r="B9772" s="9" t="n"/>
    </row>
    <row r="9773">
      <c r="A9773" s="8" t="n"/>
      <c r="B9773" s="9" t="n"/>
    </row>
    <row r="9774">
      <c r="A9774" s="8" t="n"/>
      <c r="B9774" s="9" t="n"/>
    </row>
    <row r="9775">
      <c r="A9775" s="8" t="n"/>
      <c r="B9775" s="9" t="n"/>
    </row>
    <row r="9776">
      <c r="A9776" s="8" t="n"/>
      <c r="B9776" s="9" t="n"/>
    </row>
    <row r="9777">
      <c r="A9777" s="8" t="n"/>
      <c r="B9777" s="9" t="n"/>
    </row>
    <row r="9778">
      <c r="A9778" s="8" t="n"/>
      <c r="B9778" s="9" t="n"/>
    </row>
    <row r="9779">
      <c r="A9779" s="8" t="n"/>
      <c r="B9779" s="9" t="n"/>
    </row>
    <row r="9780">
      <c r="A9780" s="8" t="n"/>
      <c r="B9780" s="9" t="n"/>
    </row>
    <row r="9781">
      <c r="A9781" s="8" t="n"/>
      <c r="B9781" s="9" t="n"/>
    </row>
    <row r="9782">
      <c r="A9782" s="8" t="n"/>
      <c r="B9782" s="9" t="n"/>
    </row>
    <row r="9783">
      <c r="A9783" s="8" t="n"/>
      <c r="B9783" s="9" t="n"/>
    </row>
    <row r="9784">
      <c r="A9784" s="8" t="n"/>
      <c r="B9784" s="9" t="n"/>
    </row>
    <row r="9785">
      <c r="A9785" s="8" t="n"/>
      <c r="B9785" s="9" t="n"/>
    </row>
    <row r="9786">
      <c r="A9786" s="8" t="n"/>
      <c r="B9786" s="9" t="n"/>
    </row>
    <row r="9787">
      <c r="A9787" s="8" t="n"/>
      <c r="B9787" s="9" t="n"/>
    </row>
    <row r="9788">
      <c r="A9788" s="8" t="n"/>
      <c r="B9788" s="9" t="n"/>
    </row>
    <row r="9789">
      <c r="A9789" s="8" t="n"/>
      <c r="B9789" s="9" t="n"/>
    </row>
    <row r="9790">
      <c r="A9790" s="8" t="n"/>
      <c r="B9790" s="9" t="n"/>
    </row>
    <row r="9791">
      <c r="A9791" s="8" t="n"/>
      <c r="B9791" s="9" t="n"/>
    </row>
    <row r="9792">
      <c r="A9792" s="8" t="n"/>
      <c r="B9792" s="9" t="n"/>
    </row>
    <row r="9793">
      <c r="A9793" s="8" t="n"/>
      <c r="B9793" s="9" t="n"/>
    </row>
    <row r="9794">
      <c r="A9794" s="8" t="n"/>
      <c r="B9794" s="9" t="n"/>
    </row>
    <row r="9795">
      <c r="A9795" s="8" t="n"/>
      <c r="B9795" s="9" t="n"/>
    </row>
    <row r="9796">
      <c r="A9796" s="8" t="n"/>
      <c r="B9796" s="9" t="n"/>
    </row>
    <row r="9797">
      <c r="A9797" s="8" t="n"/>
      <c r="B9797" s="9" t="n"/>
    </row>
    <row r="9798">
      <c r="A9798" s="8" t="n"/>
      <c r="B9798" s="9" t="n"/>
    </row>
    <row r="9799">
      <c r="A9799" s="8" t="n"/>
      <c r="B9799" s="9" t="n"/>
    </row>
    <row r="9800">
      <c r="A9800" s="8" t="n"/>
      <c r="B9800" s="9" t="n"/>
    </row>
    <row r="9801">
      <c r="A9801" s="8" t="n"/>
      <c r="B9801" s="9" t="n"/>
    </row>
    <row r="9802">
      <c r="A9802" s="8" t="n"/>
      <c r="B9802" s="9" t="n"/>
    </row>
    <row r="9803">
      <c r="A9803" s="8" t="n"/>
      <c r="B9803" s="9" t="n"/>
    </row>
    <row r="9804">
      <c r="A9804" s="8" t="n"/>
      <c r="B9804" s="9" t="n"/>
    </row>
    <row r="9805">
      <c r="A9805" s="8" t="n"/>
      <c r="B9805" s="9" t="n"/>
    </row>
    <row r="9806">
      <c r="A9806" s="8" t="n"/>
      <c r="B9806" s="9" t="n"/>
    </row>
    <row r="9807">
      <c r="A9807" s="8" t="n"/>
      <c r="B9807" s="9" t="n"/>
    </row>
    <row r="9808">
      <c r="A9808" s="8" t="n"/>
      <c r="B9808" s="9" t="n"/>
    </row>
    <row r="9809">
      <c r="A9809" s="8" t="n"/>
      <c r="B9809" s="9" t="n"/>
    </row>
    <row r="9810">
      <c r="A9810" s="8" t="n"/>
      <c r="B9810" s="9" t="n"/>
    </row>
    <row r="9811">
      <c r="A9811" s="8" t="n"/>
      <c r="B9811" s="9" t="n"/>
    </row>
    <row r="9812">
      <c r="A9812" s="8" t="n"/>
      <c r="B9812" s="9" t="n"/>
    </row>
    <row r="9813">
      <c r="A9813" s="8" t="n"/>
      <c r="B9813" s="9" t="n"/>
    </row>
    <row r="9814">
      <c r="A9814" s="8" t="n"/>
      <c r="B9814" s="9" t="n"/>
    </row>
    <row r="9815">
      <c r="A9815" s="8" t="n"/>
      <c r="B9815" s="9" t="n"/>
    </row>
    <row r="9816">
      <c r="A9816" s="8" t="n"/>
      <c r="B9816" s="9" t="n"/>
    </row>
    <row r="9817">
      <c r="A9817" s="8" t="n"/>
      <c r="B9817" s="9" t="n"/>
    </row>
    <row r="9818">
      <c r="A9818" s="8" t="n"/>
      <c r="B9818" s="9" t="n"/>
    </row>
    <row r="9819">
      <c r="A9819" s="8" t="n"/>
      <c r="B9819" s="9" t="n"/>
    </row>
    <row r="9820">
      <c r="A9820" s="8" t="n"/>
      <c r="B9820" s="9" t="n"/>
    </row>
    <row r="9821">
      <c r="A9821" s="8" t="n"/>
      <c r="B9821" s="9" t="n"/>
    </row>
    <row r="9822">
      <c r="A9822" s="8" t="n"/>
      <c r="B9822" s="9" t="n"/>
    </row>
    <row r="9823">
      <c r="A9823" s="8" t="n"/>
      <c r="B9823" s="9" t="n"/>
    </row>
    <row r="9824">
      <c r="A9824" s="8" t="n"/>
      <c r="B9824" s="9" t="n"/>
    </row>
    <row r="9825">
      <c r="A9825" s="8" t="n"/>
      <c r="B9825" s="9" t="n"/>
    </row>
    <row r="9826">
      <c r="A9826" s="8" t="n"/>
      <c r="B9826" s="9" t="n"/>
    </row>
    <row r="9827">
      <c r="A9827" s="8" t="n"/>
      <c r="B9827" s="9" t="n"/>
    </row>
    <row r="9828">
      <c r="A9828" s="8" t="n"/>
      <c r="B9828" s="9" t="n"/>
    </row>
    <row r="9829">
      <c r="A9829" s="8" t="n"/>
      <c r="B9829" s="9" t="n"/>
    </row>
    <row r="9830">
      <c r="A9830" s="8" t="n"/>
      <c r="B9830" s="9" t="n"/>
    </row>
    <row r="9831">
      <c r="A9831" s="8" t="n"/>
      <c r="B9831" s="9" t="n"/>
    </row>
    <row r="9832">
      <c r="A9832" s="8" t="n"/>
      <c r="B9832" s="9" t="n"/>
    </row>
    <row r="9833">
      <c r="A9833" s="8" t="n"/>
      <c r="B9833" s="9" t="n"/>
    </row>
    <row r="9834">
      <c r="A9834" s="8" t="n"/>
      <c r="B9834" s="9" t="n"/>
    </row>
    <row r="9835">
      <c r="A9835" s="8" t="n"/>
      <c r="B9835" s="9" t="n"/>
    </row>
    <row r="9836">
      <c r="A9836" s="8" t="n"/>
      <c r="B9836" s="9" t="n"/>
    </row>
    <row r="9837">
      <c r="A9837" s="8" t="n"/>
      <c r="B9837" s="9" t="n"/>
    </row>
    <row r="9838">
      <c r="A9838" s="8" t="n"/>
      <c r="B9838" s="9" t="n"/>
    </row>
    <row r="9839">
      <c r="A9839" s="8" t="n"/>
      <c r="B9839" s="9" t="n"/>
    </row>
    <row r="9840">
      <c r="A9840" s="8" t="n"/>
      <c r="B9840" s="9" t="n"/>
    </row>
    <row r="9841">
      <c r="A9841" s="8" t="n"/>
      <c r="B9841" s="9" t="n"/>
    </row>
    <row r="9842">
      <c r="A9842" s="8" t="n"/>
      <c r="B9842" s="9" t="n"/>
    </row>
    <row r="9843">
      <c r="A9843" s="8" t="n"/>
      <c r="B9843" s="9" t="n"/>
    </row>
    <row r="9844">
      <c r="A9844" s="8" t="n"/>
      <c r="B9844" s="9" t="n"/>
    </row>
    <row r="9845">
      <c r="A9845" s="8" t="n"/>
      <c r="B9845" s="9" t="n"/>
    </row>
    <row r="9846">
      <c r="A9846" s="8" t="n"/>
      <c r="B9846" s="9" t="n"/>
    </row>
    <row r="9847">
      <c r="A9847" s="8" t="n"/>
      <c r="B9847" s="9" t="n"/>
    </row>
    <row r="9848">
      <c r="A9848" s="8" t="n"/>
      <c r="B9848" s="9" t="n"/>
    </row>
    <row r="9849">
      <c r="A9849" s="8" t="n"/>
      <c r="B9849" s="9" t="n"/>
    </row>
    <row r="9850">
      <c r="A9850" s="8" t="n"/>
      <c r="B9850" s="9" t="n"/>
    </row>
    <row r="9851">
      <c r="A9851" s="8" t="n"/>
      <c r="B9851" s="9" t="n"/>
    </row>
    <row r="9852">
      <c r="A9852" s="8" t="n"/>
      <c r="B9852" s="9" t="n"/>
    </row>
    <row r="9853">
      <c r="A9853" s="8" t="n"/>
      <c r="B9853" s="9" t="n"/>
    </row>
    <row r="9854">
      <c r="A9854" s="8" t="n"/>
      <c r="B9854" s="9" t="n"/>
    </row>
    <row r="9855">
      <c r="A9855" s="8" t="n"/>
      <c r="B9855" s="9" t="n"/>
    </row>
    <row r="9856">
      <c r="A9856" s="8" t="n"/>
      <c r="B9856" s="9" t="n"/>
    </row>
    <row r="9857">
      <c r="A9857" s="8" t="n"/>
      <c r="B9857" s="9" t="n"/>
    </row>
    <row r="9858">
      <c r="A9858" s="8" t="n"/>
      <c r="B9858" s="9" t="n"/>
    </row>
    <row r="9859">
      <c r="A9859" s="8" t="n"/>
      <c r="B9859" s="9" t="n"/>
    </row>
    <row r="9860">
      <c r="A9860" s="8" t="n"/>
      <c r="B9860" s="9" t="n"/>
    </row>
    <row r="9861">
      <c r="A9861" s="8" t="n"/>
      <c r="B9861" s="9" t="n"/>
    </row>
    <row r="9862">
      <c r="A9862" s="8" t="n"/>
      <c r="B9862" s="9" t="n"/>
    </row>
    <row r="9863">
      <c r="A9863" s="8" t="n"/>
      <c r="B9863" s="9" t="n"/>
    </row>
    <row r="9864">
      <c r="A9864" s="8" t="n"/>
      <c r="B9864" s="9" t="n"/>
    </row>
    <row r="9865">
      <c r="A9865" s="8" t="n"/>
      <c r="B9865" s="9" t="n"/>
    </row>
    <row r="9866">
      <c r="A9866" s="8" t="n"/>
      <c r="B9866" s="9" t="n"/>
    </row>
    <row r="9867">
      <c r="A9867" s="8" t="n"/>
      <c r="B9867" s="9" t="n"/>
    </row>
    <row r="9868">
      <c r="A9868" s="8" t="n"/>
      <c r="B9868" s="9" t="n"/>
    </row>
    <row r="9869">
      <c r="A9869" s="8" t="n"/>
      <c r="B9869" s="9" t="n"/>
    </row>
    <row r="9870">
      <c r="A9870" s="8" t="n"/>
      <c r="B9870" s="9" t="n"/>
    </row>
    <row r="9871">
      <c r="A9871" s="8" t="n"/>
      <c r="B9871" s="9" t="n"/>
    </row>
    <row r="9872">
      <c r="A9872" s="8" t="n"/>
      <c r="B9872" s="9" t="n"/>
    </row>
    <row r="9873">
      <c r="A9873" s="8" t="n"/>
      <c r="B9873" s="9" t="n"/>
    </row>
    <row r="9874">
      <c r="A9874" s="8" t="n"/>
      <c r="B9874" s="9" t="n"/>
    </row>
    <row r="9875">
      <c r="A9875" s="8" t="n"/>
      <c r="B9875" s="9" t="n"/>
    </row>
    <row r="9876">
      <c r="A9876" s="8" t="n"/>
      <c r="B9876" s="9" t="n"/>
    </row>
    <row r="9877">
      <c r="A9877" s="8" t="n"/>
      <c r="B9877" s="9" t="n"/>
    </row>
    <row r="9878">
      <c r="A9878" s="8" t="n"/>
      <c r="B9878" s="9" t="n"/>
    </row>
    <row r="9879">
      <c r="A9879" s="8" t="n"/>
      <c r="B9879" s="9" t="n"/>
    </row>
    <row r="9880">
      <c r="A9880" s="8" t="n"/>
      <c r="B9880" s="9" t="n"/>
    </row>
    <row r="9881">
      <c r="A9881" s="8" t="n"/>
      <c r="B9881" s="9" t="n"/>
    </row>
    <row r="9882">
      <c r="A9882" s="8" t="n"/>
      <c r="B9882" s="9" t="n"/>
    </row>
    <row r="9883">
      <c r="A9883" s="8" t="n"/>
      <c r="B9883" s="9" t="n"/>
    </row>
    <row r="9884">
      <c r="A9884" s="8" t="n"/>
      <c r="B9884" s="9" t="n"/>
    </row>
    <row r="9885">
      <c r="A9885" s="8" t="n"/>
      <c r="B9885" s="9" t="n"/>
    </row>
    <row r="9886">
      <c r="A9886" s="8" t="n"/>
      <c r="B9886" s="9" t="n"/>
    </row>
    <row r="9887">
      <c r="A9887" s="8" t="n"/>
      <c r="B9887" s="9" t="n"/>
    </row>
    <row r="9888">
      <c r="A9888" s="8" t="n"/>
      <c r="B9888" s="9" t="n"/>
    </row>
    <row r="9889">
      <c r="A9889" s="8" t="n"/>
      <c r="B9889" s="9" t="n"/>
    </row>
    <row r="9890">
      <c r="A9890" s="8" t="n"/>
      <c r="B9890" s="9" t="n"/>
    </row>
    <row r="9891">
      <c r="A9891" s="8" t="n"/>
      <c r="B9891" s="9" t="n"/>
    </row>
    <row r="9892">
      <c r="A9892" s="8" t="n"/>
      <c r="B9892" s="9" t="n"/>
    </row>
    <row r="9893">
      <c r="A9893" s="8" t="n"/>
      <c r="B9893" s="9" t="n"/>
    </row>
    <row r="9894">
      <c r="A9894" s="8" t="n"/>
      <c r="B9894" s="9" t="n"/>
    </row>
    <row r="9895">
      <c r="A9895" s="8" t="n"/>
      <c r="B9895" s="9" t="n"/>
    </row>
    <row r="9896">
      <c r="A9896" s="8" t="n"/>
      <c r="B9896" s="9" t="n"/>
    </row>
    <row r="9897">
      <c r="A9897" s="8" t="n"/>
      <c r="B9897" s="9" t="n"/>
    </row>
    <row r="9898">
      <c r="A9898" s="8" t="n"/>
      <c r="B9898" s="9" t="n"/>
    </row>
    <row r="9899">
      <c r="A9899" s="8" t="n"/>
      <c r="B9899" s="9" t="n"/>
    </row>
    <row r="9900">
      <c r="A9900" s="8" t="n"/>
      <c r="B9900" s="9" t="n"/>
    </row>
    <row r="9901">
      <c r="A9901" s="8" t="n"/>
      <c r="B9901" s="9" t="n"/>
    </row>
    <row r="9902">
      <c r="A9902" s="8" t="n"/>
      <c r="B9902" s="9" t="n"/>
    </row>
    <row r="9903">
      <c r="A9903" s="8" t="n"/>
      <c r="B9903" s="9" t="n"/>
    </row>
    <row r="9904">
      <c r="A9904" s="8" t="n"/>
      <c r="B9904" s="9" t="n"/>
    </row>
    <row r="9905">
      <c r="A9905" s="8" t="n"/>
      <c r="B9905" s="9" t="n"/>
    </row>
    <row r="9906">
      <c r="A9906" s="8" t="n"/>
      <c r="B9906" s="9" t="n"/>
    </row>
    <row r="9907">
      <c r="A9907" s="8" t="n"/>
      <c r="B9907" s="9" t="n"/>
    </row>
    <row r="9908">
      <c r="A9908" s="8" t="n"/>
      <c r="B9908" s="9" t="n"/>
    </row>
    <row r="9909">
      <c r="A9909" s="8" t="n"/>
      <c r="B9909" s="9" t="n"/>
    </row>
    <row r="9910">
      <c r="A9910" s="8" t="n"/>
      <c r="B9910" s="9" t="n"/>
    </row>
    <row r="9911">
      <c r="A9911" s="8" t="n"/>
      <c r="B9911" s="9" t="n"/>
    </row>
    <row r="9912">
      <c r="A9912" s="8" t="n"/>
      <c r="B9912" s="9" t="n"/>
    </row>
    <row r="9913">
      <c r="A9913" s="8" t="n"/>
      <c r="B9913" s="9" t="n"/>
    </row>
    <row r="9914">
      <c r="A9914" s="8" t="n"/>
      <c r="B9914" s="9" t="n"/>
    </row>
    <row r="9915">
      <c r="A9915" s="8" t="n"/>
      <c r="B9915" s="9" t="n"/>
    </row>
    <row r="9916">
      <c r="A9916" s="8" t="n"/>
      <c r="B9916" s="9" t="n"/>
    </row>
    <row r="9917">
      <c r="A9917" s="8" t="n"/>
      <c r="B9917" s="9" t="n"/>
    </row>
    <row r="9918">
      <c r="A9918" s="8" t="n"/>
      <c r="B9918" s="9" t="n"/>
    </row>
    <row r="9919">
      <c r="A9919" s="8" t="n"/>
      <c r="B9919" s="9" t="n"/>
    </row>
    <row r="9920">
      <c r="A9920" s="8" t="n"/>
      <c r="B9920" s="9" t="n"/>
    </row>
    <row r="9921">
      <c r="A9921" s="8" t="n"/>
      <c r="B9921" s="9" t="n"/>
    </row>
    <row r="9922">
      <c r="A9922" s="8" t="n"/>
      <c r="B9922" s="9" t="n"/>
    </row>
    <row r="9923">
      <c r="A9923" s="8" t="n"/>
      <c r="B9923" s="9" t="n"/>
    </row>
    <row r="9924">
      <c r="A9924" s="8" t="n"/>
      <c r="B9924" s="9" t="n"/>
    </row>
    <row r="9925">
      <c r="A9925" s="8" t="n"/>
      <c r="B9925" s="9" t="n"/>
    </row>
    <row r="9926">
      <c r="A9926" s="8" t="n"/>
      <c r="B9926" s="9" t="n"/>
    </row>
    <row r="9927">
      <c r="A9927" s="8" t="n"/>
      <c r="B9927" s="9" t="n"/>
    </row>
    <row r="9928">
      <c r="A9928" s="8" t="n"/>
      <c r="B9928" s="9" t="n"/>
    </row>
    <row r="9929">
      <c r="A9929" s="8" t="n"/>
      <c r="B9929" s="9" t="n"/>
    </row>
    <row r="9930">
      <c r="A9930" s="8" t="n"/>
      <c r="B9930" s="9" t="n"/>
    </row>
    <row r="9931">
      <c r="A9931" s="8" t="n"/>
      <c r="B9931" s="9" t="n"/>
    </row>
    <row r="9932">
      <c r="A9932" s="8" t="n"/>
      <c r="B9932" s="9" t="n"/>
    </row>
    <row r="9933">
      <c r="A9933" s="8" t="n"/>
      <c r="B9933" s="9" t="n"/>
    </row>
    <row r="9934">
      <c r="A9934" s="8" t="n"/>
      <c r="B9934" s="9" t="n"/>
    </row>
    <row r="9935">
      <c r="A9935" s="8" t="n"/>
      <c r="B9935" s="9" t="n"/>
    </row>
    <row r="9936">
      <c r="A9936" s="8" t="n"/>
      <c r="B9936" s="9" t="n"/>
    </row>
    <row r="9937">
      <c r="A9937" s="8" t="n"/>
      <c r="B9937" s="9" t="n"/>
    </row>
    <row r="9938">
      <c r="A9938" s="8" t="n"/>
      <c r="B9938" s="9" t="n"/>
    </row>
    <row r="9939">
      <c r="A9939" s="8" t="n"/>
      <c r="B9939" s="9" t="n"/>
    </row>
    <row r="9940">
      <c r="A9940" s="8" t="n"/>
      <c r="B9940" s="9" t="n"/>
    </row>
    <row r="9941">
      <c r="A9941" s="8" t="n"/>
      <c r="B9941" s="9" t="n"/>
    </row>
    <row r="9942">
      <c r="A9942" s="8" t="n"/>
      <c r="B9942" s="9" t="n"/>
    </row>
    <row r="9943">
      <c r="A9943" s="8" t="n"/>
      <c r="B9943" s="9" t="n"/>
    </row>
    <row r="9944">
      <c r="A9944" s="8" t="n"/>
      <c r="B9944" s="9" t="n"/>
    </row>
    <row r="9945">
      <c r="A9945" s="8" t="n"/>
      <c r="B9945" s="9" t="n"/>
    </row>
    <row r="9946">
      <c r="A9946" s="8" t="n"/>
      <c r="B9946" s="9" t="n"/>
    </row>
    <row r="9947">
      <c r="A9947" s="8" t="n"/>
      <c r="B9947" s="9" t="n"/>
    </row>
    <row r="9948">
      <c r="A9948" s="8" t="n"/>
      <c r="B9948" s="9" t="n"/>
    </row>
    <row r="9949">
      <c r="A9949" s="8" t="n"/>
      <c r="B9949" s="9" t="n"/>
    </row>
    <row r="9950">
      <c r="A9950" s="8" t="n"/>
      <c r="B9950" s="9" t="n"/>
    </row>
    <row r="9951">
      <c r="A9951" s="8" t="n"/>
      <c r="B9951" s="9" t="n"/>
    </row>
    <row r="9952">
      <c r="A9952" s="8" t="n"/>
      <c r="B9952" s="9" t="n"/>
    </row>
    <row r="9953">
      <c r="A9953" s="8" t="n"/>
      <c r="B9953" s="9" t="n"/>
    </row>
    <row r="9954">
      <c r="A9954" s="8" t="n"/>
      <c r="B9954" s="9" t="n"/>
    </row>
    <row r="9955">
      <c r="A9955" s="8" t="n"/>
      <c r="B9955" s="9" t="n"/>
    </row>
    <row r="9956">
      <c r="A9956" s="8" t="n"/>
      <c r="B9956" s="9" t="n"/>
    </row>
    <row r="9957">
      <c r="A9957" s="8" t="n"/>
      <c r="B9957" s="9" t="n"/>
    </row>
    <row r="9958">
      <c r="A9958" s="8" t="n"/>
      <c r="B9958" s="9" t="n"/>
    </row>
    <row r="9959">
      <c r="A9959" s="8" t="n"/>
      <c r="B9959" s="9" t="n"/>
    </row>
    <row r="9960">
      <c r="A9960" s="8" t="n"/>
      <c r="B9960" s="9" t="n"/>
    </row>
    <row r="9961">
      <c r="A9961" s="8" t="n"/>
      <c r="B9961" s="9" t="n"/>
    </row>
    <row r="9962">
      <c r="A9962" s="8" t="n"/>
      <c r="B9962" s="9" t="n"/>
    </row>
    <row r="9963">
      <c r="A9963" s="8" t="n"/>
      <c r="B9963" s="9" t="n"/>
    </row>
    <row r="9964">
      <c r="A9964" s="8" t="n"/>
      <c r="B9964" s="9" t="n"/>
    </row>
    <row r="9965">
      <c r="A9965" s="8" t="n"/>
      <c r="B9965" s="9" t="n"/>
    </row>
    <row r="9966">
      <c r="A9966" s="8" t="n"/>
      <c r="B9966" s="9" t="n"/>
    </row>
    <row r="9967">
      <c r="A9967" s="8" t="n"/>
      <c r="B9967" s="9" t="n"/>
    </row>
    <row r="9968">
      <c r="A9968" s="8" t="n"/>
      <c r="B9968" s="9" t="n"/>
    </row>
    <row r="9969">
      <c r="A9969" s="8" t="n"/>
      <c r="B9969" s="9" t="n"/>
    </row>
    <row r="9970">
      <c r="A9970" s="8" t="n"/>
      <c r="B9970" s="9" t="n"/>
    </row>
    <row r="9971">
      <c r="A9971" s="8" t="n"/>
      <c r="B9971" s="9" t="n"/>
    </row>
    <row r="9972">
      <c r="A9972" s="8" t="n"/>
      <c r="B9972" s="9" t="n"/>
    </row>
    <row r="9973">
      <c r="A9973" s="8" t="n"/>
      <c r="B9973" s="9" t="n"/>
    </row>
    <row r="9974">
      <c r="A9974" s="8" t="n"/>
      <c r="B9974" s="9" t="n"/>
    </row>
    <row r="9975">
      <c r="A9975" s="8" t="n"/>
      <c r="B9975" s="9" t="n"/>
    </row>
    <row r="9976">
      <c r="A9976" s="8" t="n"/>
      <c r="B9976" s="9" t="n"/>
    </row>
    <row r="9977">
      <c r="A9977" s="8" t="n"/>
      <c r="B9977" s="9" t="n"/>
    </row>
    <row r="9978">
      <c r="A9978" s="8" t="n"/>
      <c r="B9978" s="9" t="n"/>
    </row>
    <row r="9979">
      <c r="A9979" s="8" t="n"/>
      <c r="B9979" s="9" t="n"/>
    </row>
    <row r="9980">
      <c r="A9980" s="8" t="n"/>
      <c r="B9980" s="9" t="n"/>
    </row>
    <row r="9981">
      <c r="A9981" s="8" t="n"/>
      <c r="B9981" s="9" t="n"/>
    </row>
    <row r="9982">
      <c r="A9982" s="8" t="n"/>
      <c r="B9982" s="9" t="n"/>
    </row>
    <row r="9983">
      <c r="A9983" s="8" t="n"/>
      <c r="B9983" s="9" t="n"/>
    </row>
    <row r="9984">
      <c r="A9984" s="8" t="n"/>
      <c r="B9984" s="9" t="n"/>
    </row>
    <row r="9985">
      <c r="A9985" s="8" t="n"/>
      <c r="B9985" s="9" t="n"/>
    </row>
    <row r="9986">
      <c r="A9986" s="8" t="n"/>
      <c r="B9986" s="9" t="n"/>
    </row>
    <row r="9987">
      <c r="A9987" s="8" t="n"/>
      <c r="B9987" s="9" t="n"/>
    </row>
    <row r="9988">
      <c r="A9988" s="8" t="n"/>
      <c r="B9988" s="9" t="n"/>
    </row>
    <row r="9989">
      <c r="A9989" s="8" t="n"/>
      <c r="B9989" s="9" t="n"/>
    </row>
    <row r="9990">
      <c r="A9990" s="8" t="n"/>
      <c r="B9990" s="9" t="n"/>
    </row>
    <row r="9991">
      <c r="A9991" s="8" t="n"/>
      <c r="B9991" s="9" t="n"/>
    </row>
    <row r="9992">
      <c r="A9992" s="8" t="n"/>
      <c r="B9992" s="9" t="n"/>
    </row>
    <row r="9993">
      <c r="A9993" s="8" t="n"/>
      <c r="B9993" s="9" t="n"/>
    </row>
    <row r="9994">
      <c r="A9994" s="8" t="n"/>
      <c r="B9994" s="9" t="n"/>
    </row>
    <row r="9995">
      <c r="A9995" s="8" t="n"/>
      <c r="B9995" s="9" t="n"/>
    </row>
    <row r="9996">
      <c r="A9996" s="8" t="n"/>
      <c r="B9996" s="9" t="n"/>
    </row>
    <row r="9997">
      <c r="A9997" s="8" t="n"/>
      <c r="B9997" s="9" t="n"/>
    </row>
    <row r="9998">
      <c r="A9998" s="8" t="n"/>
      <c r="B9998" s="9" t="n"/>
    </row>
    <row r="9999">
      <c r="A9999" s="8" t="n"/>
      <c r="B9999" s="9" t="n"/>
    </row>
    <row r="10000">
      <c r="A10000" s="8" t="n"/>
      <c r="B10000" s="9" t="n"/>
    </row>
    <row r="10001">
      <c r="A10001" s="8" t="n"/>
      <c r="B10001" s="9" t="n"/>
    </row>
    <row r="10002">
      <c r="A10002" s="8" t="n"/>
      <c r="B10002" s="9" t="n"/>
    </row>
    <row r="10003">
      <c r="A10003" s="8" t="n"/>
      <c r="B10003" s="9" t="n"/>
    </row>
    <row r="10004">
      <c r="A10004" s="8" t="n"/>
      <c r="B10004" s="9" t="n"/>
    </row>
    <row r="10005">
      <c r="A10005" s="8" t="n"/>
      <c r="B10005" s="9" t="n"/>
    </row>
    <row r="10006">
      <c r="A10006" s="8" t="n"/>
      <c r="B10006" s="9" t="n"/>
    </row>
    <row r="10007">
      <c r="A10007" s="8" t="n"/>
      <c r="B10007" s="9" t="n"/>
    </row>
    <row r="10008">
      <c r="A10008" s="8" t="n"/>
      <c r="B10008" s="9" t="n"/>
    </row>
    <row r="10009">
      <c r="A10009" s="8" t="n"/>
      <c r="B10009" s="9" t="n"/>
    </row>
    <row r="10010">
      <c r="A10010" s="8" t="n"/>
      <c r="B10010" s="9" t="n"/>
    </row>
    <row r="10011">
      <c r="A10011" s="8" t="n"/>
      <c r="B10011" s="9" t="n"/>
    </row>
    <row r="10012">
      <c r="A10012" s="8" t="n"/>
      <c r="B10012" s="9" t="n"/>
    </row>
    <row r="10013">
      <c r="A10013" s="8" t="n"/>
      <c r="B10013" s="9" t="n"/>
    </row>
    <row r="10014">
      <c r="A10014" s="8" t="n"/>
      <c r="B10014" s="9" t="n"/>
    </row>
    <row r="10015">
      <c r="A10015" s="8" t="n"/>
      <c r="B10015" s="9" t="n"/>
    </row>
    <row r="10016">
      <c r="A10016" s="8" t="n"/>
      <c r="B10016" s="9" t="n"/>
    </row>
    <row r="10017">
      <c r="A10017" s="8" t="n"/>
      <c r="B10017" s="9" t="n"/>
    </row>
    <row r="10018">
      <c r="A10018" s="8" t="n"/>
      <c r="B10018" s="9" t="n"/>
    </row>
    <row r="10019">
      <c r="A10019" s="8" t="n"/>
      <c r="B10019" s="9" t="n"/>
    </row>
    <row r="10020">
      <c r="A10020" s="8" t="n"/>
      <c r="B10020" s="9" t="n"/>
    </row>
    <row r="10021">
      <c r="A10021" s="8" t="n"/>
      <c r="B10021" s="9" t="n"/>
    </row>
    <row r="10022">
      <c r="A10022" s="8" t="n"/>
      <c r="B10022" s="9" t="n"/>
    </row>
    <row r="10023">
      <c r="A10023" s="8" t="n"/>
      <c r="B10023" s="9" t="n"/>
    </row>
    <row r="10024">
      <c r="A10024" s="8" t="n"/>
      <c r="B10024" s="9" t="n"/>
    </row>
    <row r="10025">
      <c r="A10025" s="8" t="n"/>
      <c r="B10025" s="9" t="n"/>
    </row>
    <row r="10026">
      <c r="A10026" s="8" t="n"/>
      <c r="B10026" s="9" t="n"/>
    </row>
    <row r="10027">
      <c r="A10027" s="8" t="n"/>
      <c r="B10027" s="9" t="n"/>
    </row>
    <row r="10028">
      <c r="A10028" s="8" t="n"/>
      <c r="B10028" s="9" t="n"/>
    </row>
    <row r="10029">
      <c r="A10029" s="8" t="n"/>
      <c r="B10029" s="9" t="n"/>
    </row>
    <row r="10030">
      <c r="A10030" s="8" t="n"/>
      <c r="B10030" s="9" t="n"/>
    </row>
    <row r="10031">
      <c r="A10031" s="8" t="n"/>
      <c r="B10031" s="9" t="n"/>
    </row>
    <row r="10032">
      <c r="A10032" s="8" t="n"/>
      <c r="B10032" s="9" t="n"/>
    </row>
    <row r="10033">
      <c r="A10033" s="8" t="n"/>
      <c r="B10033" s="9" t="n"/>
    </row>
    <row r="10034">
      <c r="A10034" s="8" t="n"/>
      <c r="B10034" s="9" t="n"/>
    </row>
    <row r="10035">
      <c r="A10035" s="8" t="n"/>
      <c r="B10035" s="9" t="n"/>
    </row>
    <row r="10036">
      <c r="A10036" s="8" t="n"/>
      <c r="B10036" s="9" t="n"/>
    </row>
    <row r="10037">
      <c r="A10037" s="8" t="n"/>
      <c r="B10037" s="9" t="n"/>
    </row>
    <row r="10038">
      <c r="A10038" s="8" t="n"/>
      <c r="B10038" s="9" t="n"/>
    </row>
    <row r="10039">
      <c r="A10039" s="8" t="n"/>
      <c r="B10039" s="9" t="n"/>
    </row>
    <row r="10040">
      <c r="A10040" s="8" t="n"/>
      <c r="B10040" s="9" t="n"/>
    </row>
    <row r="10041">
      <c r="A10041" s="8" t="n"/>
      <c r="B10041" s="9" t="n"/>
    </row>
    <row r="10042">
      <c r="A10042" s="8" t="n"/>
      <c r="B10042" s="9" t="n"/>
    </row>
    <row r="10043">
      <c r="A10043" s="8" t="n"/>
      <c r="B10043" s="9" t="n"/>
    </row>
    <row r="10044">
      <c r="A10044" s="8" t="n"/>
      <c r="B10044" s="9" t="n"/>
    </row>
    <row r="10045">
      <c r="A10045" s="8" t="n"/>
      <c r="B10045" s="9" t="n"/>
    </row>
    <row r="10046">
      <c r="A10046" s="8" t="n"/>
      <c r="B10046" s="9" t="n"/>
    </row>
    <row r="10047">
      <c r="A10047" s="8" t="n"/>
      <c r="B10047" s="9" t="n"/>
    </row>
    <row r="10048">
      <c r="A10048" s="8" t="n"/>
      <c r="B10048" s="9" t="n"/>
    </row>
    <row r="10049">
      <c r="A10049" s="8" t="n"/>
      <c r="B10049" s="9" t="n"/>
    </row>
    <row r="10050">
      <c r="A10050" s="8" t="n"/>
      <c r="B10050" s="9" t="n"/>
    </row>
    <row r="10051">
      <c r="A10051" s="8" t="n"/>
      <c r="B10051" s="9" t="n"/>
    </row>
    <row r="10052">
      <c r="A10052" s="8" t="n"/>
      <c r="B10052" s="9" t="n"/>
    </row>
    <row r="10053">
      <c r="A10053" s="8" t="n"/>
      <c r="B10053" s="9" t="n"/>
    </row>
    <row r="10054">
      <c r="A10054" s="8" t="n"/>
      <c r="B10054" s="9" t="n"/>
    </row>
    <row r="10055">
      <c r="A10055" s="8" t="n"/>
      <c r="B10055" s="9" t="n"/>
    </row>
    <row r="10056">
      <c r="A10056" s="8" t="n"/>
      <c r="B10056" s="9" t="n"/>
    </row>
    <row r="10057">
      <c r="A10057" s="8" t="n"/>
      <c r="B10057" s="9" t="n"/>
    </row>
    <row r="10058">
      <c r="A10058" s="8" t="n"/>
      <c r="B10058" s="9" t="n"/>
    </row>
    <row r="10059">
      <c r="A10059" s="8" t="n"/>
      <c r="B10059" s="9" t="n"/>
    </row>
    <row r="10060">
      <c r="A10060" s="8" t="n"/>
      <c r="B10060" s="9" t="n"/>
    </row>
    <row r="10061">
      <c r="A10061" s="8" t="n"/>
      <c r="B10061" s="9" t="n"/>
    </row>
    <row r="10062">
      <c r="A10062" s="8" t="n"/>
      <c r="B10062" s="9" t="n"/>
    </row>
    <row r="10063">
      <c r="A10063" s="8" t="n"/>
      <c r="B10063" s="9" t="n"/>
    </row>
    <row r="10064">
      <c r="A10064" s="8" t="n"/>
      <c r="B10064" s="9" t="n"/>
    </row>
    <row r="10065">
      <c r="A10065" s="8" t="n"/>
      <c r="B10065" s="9" t="n"/>
    </row>
    <row r="10066">
      <c r="A10066" s="8" t="n"/>
      <c r="B10066" s="9" t="n"/>
    </row>
    <row r="10067">
      <c r="A10067" s="8" t="n"/>
      <c r="B10067" s="9" t="n"/>
    </row>
    <row r="10068">
      <c r="A10068" s="8" t="n"/>
      <c r="B10068" s="9" t="n"/>
    </row>
    <row r="10069">
      <c r="A10069" s="8" t="n"/>
      <c r="B10069" s="9" t="n"/>
    </row>
    <row r="10070">
      <c r="A10070" s="8" t="n"/>
      <c r="B10070" s="9" t="n"/>
    </row>
    <row r="10071">
      <c r="A10071" s="8" t="n"/>
      <c r="B10071" s="9" t="n"/>
    </row>
    <row r="10072">
      <c r="A10072" s="8" t="n"/>
      <c r="B10072" s="9" t="n"/>
    </row>
    <row r="10073">
      <c r="A10073" s="8" t="n"/>
      <c r="B10073" s="9" t="n"/>
    </row>
    <row r="10074">
      <c r="A10074" s="8" t="n"/>
      <c r="B10074" s="9" t="n"/>
    </row>
    <row r="10075">
      <c r="A10075" s="8" t="n"/>
      <c r="B10075" s="9" t="n"/>
    </row>
    <row r="10076">
      <c r="A10076" s="8" t="n"/>
      <c r="B10076" s="9" t="n"/>
    </row>
    <row r="10077">
      <c r="A10077" s="8" t="n"/>
      <c r="B10077" s="9" t="n"/>
    </row>
    <row r="10078">
      <c r="A10078" s="8" t="n"/>
      <c r="B10078" s="9" t="n"/>
    </row>
    <row r="10079">
      <c r="A10079" s="8" t="n"/>
      <c r="B10079" s="9" t="n"/>
    </row>
    <row r="10080">
      <c r="A10080" s="8" t="n"/>
      <c r="B10080" s="9" t="n"/>
    </row>
    <row r="10081">
      <c r="A10081" s="8" t="n"/>
      <c r="B10081" s="9" t="n"/>
    </row>
    <row r="10082">
      <c r="A10082" s="8" t="n"/>
      <c r="B10082" s="9" t="n"/>
    </row>
    <row r="10083">
      <c r="A10083" s="8" t="n"/>
      <c r="B10083" s="9" t="n"/>
    </row>
    <row r="10084">
      <c r="A10084" s="8" t="n"/>
      <c r="B10084" s="9" t="n"/>
    </row>
    <row r="10085">
      <c r="A10085" s="8" t="n"/>
      <c r="B10085" s="9" t="n"/>
    </row>
    <row r="10086">
      <c r="A10086" s="8" t="n"/>
      <c r="B10086" s="9" t="n"/>
    </row>
    <row r="10087">
      <c r="A10087" s="8" t="n"/>
      <c r="B10087" s="9" t="n"/>
    </row>
    <row r="10088">
      <c r="A10088" s="8" t="n"/>
      <c r="B10088" s="9" t="n"/>
    </row>
    <row r="10089">
      <c r="A10089" s="8" t="n"/>
      <c r="B10089" s="9" t="n"/>
    </row>
    <row r="10090">
      <c r="A10090" s="8" t="n"/>
      <c r="B10090" s="9" t="n"/>
    </row>
    <row r="10091">
      <c r="A10091" s="8" t="n"/>
      <c r="B10091" s="9" t="n"/>
    </row>
    <row r="10092">
      <c r="A10092" s="8" t="n"/>
      <c r="B10092" s="9" t="n"/>
    </row>
    <row r="10093">
      <c r="A10093" s="8" t="n"/>
      <c r="B10093" s="9" t="n"/>
    </row>
    <row r="10094">
      <c r="A10094" s="8" t="n"/>
      <c r="B10094" s="9" t="n"/>
    </row>
    <row r="10095">
      <c r="A10095" s="8" t="n"/>
      <c r="B10095" s="9" t="n"/>
    </row>
    <row r="10096">
      <c r="A10096" s="8" t="n"/>
      <c r="B10096" s="9" t="n"/>
    </row>
    <row r="10097">
      <c r="A10097" s="8" t="n"/>
      <c r="B10097" s="9" t="n"/>
    </row>
    <row r="10098">
      <c r="A10098" s="8" t="n"/>
      <c r="B10098" s="9" t="n"/>
    </row>
    <row r="10099">
      <c r="A10099" s="8" t="n"/>
      <c r="B10099" s="9" t="n"/>
    </row>
    <row r="10100">
      <c r="A10100" s="8" t="n"/>
      <c r="B10100" s="9" t="n"/>
    </row>
    <row r="10101">
      <c r="A10101" s="8" t="n"/>
      <c r="B10101" s="9" t="n"/>
    </row>
    <row r="10102">
      <c r="A10102" s="8" t="n"/>
      <c r="B10102" s="9" t="n"/>
    </row>
    <row r="10103">
      <c r="A10103" s="8" t="n"/>
      <c r="B10103" s="9" t="n"/>
    </row>
    <row r="10104">
      <c r="A10104" s="8" t="n"/>
      <c r="B10104" s="9" t="n"/>
    </row>
    <row r="10105">
      <c r="A10105" s="8" t="n"/>
      <c r="B10105" s="9" t="n"/>
    </row>
    <row r="10106">
      <c r="A10106" s="8" t="n"/>
      <c r="B10106" s="9" t="n"/>
    </row>
    <row r="10107">
      <c r="A10107" s="8" t="n"/>
      <c r="B10107" s="9" t="n"/>
    </row>
    <row r="10108">
      <c r="A10108" s="8" t="n"/>
      <c r="B10108" s="9" t="n"/>
    </row>
    <row r="10109">
      <c r="A10109" s="8" t="n"/>
      <c r="B10109" s="9" t="n"/>
    </row>
    <row r="10110">
      <c r="A10110" s="8" t="n"/>
      <c r="B10110" s="9" t="n"/>
    </row>
    <row r="10111">
      <c r="A10111" s="8" t="n"/>
      <c r="B10111" s="9" t="n"/>
    </row>
    <row r="10112">
      <c r="A10112" s="8" t="n"/>
      <c r="B10112" s="9" t="n"/>
    </row>
    <row r="10113">
      <c r="A10113" s="8" t="n"/>
      <c r="B10113" s="9" t="n"/>
    </row>
    <row r="10114">
      <c r="A10114" s="8" t="n"/>
      <c r="B10114" s="9" t="n"/>
    </row>
    <row r="10115">
      <c r="A10115" s="8" t="n"/>
      <c r="B10115" s="9" t="n"/>
    </row>
    <row r="10116">
      <c r="A10116" s="8" t="n"/>
      <c r="B10116" s="9" t="n"/>
    </row>
    <row r="10117">
      <c r="A10117" s="8" t="n"/>
      <c r="B10117" s="9" t="n"/>
    </row>
    <row r="10118">
      <c r="A10118" s="8" t="n"/>
      <c r="B10118" s="9" t="n"/>
    </row>
    <row r="10119">
      <c r="A10119" s="8" t="n"/>
      <c r="B10119" s="9" t="n"/>
    </row>
    <row r="10120">
      <c r="A10120" s="8" t="n"/>
      <c r="B10120" s="9" t="n"/>
    </row>
    <row r="10121">
      <c r="A10121" s="8" t="n"/>
      <c r="B10121" s="9" t="n"/>
    </row>
    <row r="10122">
      <c r="A10122" s="8" t="n"/>
      <c r="B10122" s="9" t="n"/>
    </row>
    <row r="10123">
      <c r="A10123" s="8" t="n"/>
      <c r="B10123" s="9" t="n"/>
    </row>
    <row r="10124">
      <c r="A10124" s="8" t="n"/>
      <c r="B10124" s="9" t="n"/>
    </row>
    <row r="10125">
      <c r="A10125" s="8" t="n"/>
      <c r="B10125" s="9" t="n"/>
    </row>
    <row r="10126">
      <c r="A10126" s="8" t="n"/>
      <c r="B10126" s="9" t="n"/>
    </row>
    <row r="10127">
      <c r="A10127" s="8" t="n"/>
      <c r="B10127" s="9" t="n"/>
    </row>
    <row r="10128">
      <c r="A10128" s="8" t="n"/>
      <c r="B10128" s="9" t="n"/>
    </row>
    <row r="10129">
      <c r="A10129" s="8" t="n"/>
      <c r="B10129" s="9" t="n"/>
    </row>
    <row r="10130">
      <c r="A10130" s="8" t="n"/>
      <c r="B10130" s="9" t="n"/>
    </row>
    <row r="10131">
      <c r="A10131" s="8" t="n"/>
      <c r="B10131" s="9" t="n"/>
    </row>
    <row r="10132">
      <c r="A10132" s="8" t="n"/>
      <c r="B10132" s="9" t="n"/>
    </row>
    <row r="10133">
      <c r="A10133" s="8" t="n"/>
      <c r="B10133" s="9" t="n"/>
    </row>
    <row r="10134">
      <c r="A10134" s="8" t="n"/>
      <c r="B10134" s="9" t="n"/>
    </row>
    <row r="10135">
      <c r="A10135" s="8" t="n"/>
      <c r="B10135" s="9" t="n"/>
    </row>
    <row r="10136">
      <c r="A10136" s="8" t="n"/>
      <c r="B10136" s="9" t="n"/>
    </row>
    <row r="10137">
      <c r="A10137" s="8" t="n"/>
      <c r="B10137" s="9" t="n"/>
    </row>
    <row r="10138">
      <c r="A10138" s="8" t="n"/>
      <c r="B10138" s="9" t="n"/>
    </row>
    <row r="10139">
      <c r="A10139" s="8" t="n"/>
      <c r="B10139" s="9" t="n"/>
    </row>
    <row r="10140">
      <c r="A10140" s="8" t="n"/>
      <c r="B10140" s="9" t="n"/>
    </row>
    <row r="10141">
      <c r="A10141" s="8" t="n"/>
      <c r="B10141" s="9" t="n"/>
    </row>
    <row r="10142">
      <c r="A10142" s="8" t="n"/>
      <c r="B10142" s="9" t="n"/>
    </row>
    <row r="10143">
      <c r="A10143" s="8" t="n"/>
      <c r="B10143" s="9" t="n"/>
    </row>
    <row r="10144">
      <c r="A10144" s="8" t="n"/>
      <c r="B10144" s="9" t="n"/>
    </row>
    <row r="10145">
      <c r="A10145" s="8" t="n"/>
      <c r="B10145" s="9" t="n"/>
    </row>
    <row r="10146">
      <c r="A10146" s="8" t="n"/>
      <c r="B10146" s="9" t="n"/>
    </row>
    <row r="10147">
      <c r="A10147" s="8" t="n"/>
      <c r="B10147" s="9" t="n"/>
    </row>
    <row r="10148">
      <c r="A10148" s="8" t="n"/>
      <c r="B10148" s="9" t="n"/>
    </row>
    <row r="10149">
      <c r="A10149" s="8" t="n"/>
      <c r="B10149" s="9" t="n"/>
    </row>
    <row r="10150">
      <c r="A10150" s="8" t="n"/>
      <c r="B10150" s="9" t="n"/>
    </row>
    <row r="10151">
      <c r="A10151" s="8" t="n"/>
      <c r="B10151" s="9" t="n"/>
    </row>
    <row r="10152">
      <c r="A10152" s="8" t="n"/>
      <c r="B10152" s="9" t="n"/>
    </row>
    <row r="10153">
      <c r="A10153" s="8" t="n"/>
      <c r="B10153" s="9" t="n"/>
    </row>
    <row r="10154">
      <c r="A10154" s="8" t="n"/>
      <c r="B10154" s="9" t="n"/>
    </row>
    <row r="10155">
      <c r="A10155" s="8" t="n"/>
      <c r="B10155" s="9" t="n"/>
    </row>
    <row r="10156">
      <c r="A10156" s="8" t="n"/>
      <c r="B10156" s="9" t="n"/>
    </row>
    <row r="10157">
      <c r="A10157" s="8" t="n"/>
      <c r="B10157" s="9" t="n"/>
    </row>
    <row r="10158">
      <c r="A10158" s="8" t="n"/>
      <c r="B10158" s="9" t="n"/>
    </row>
    <row r="10159">
      <c r="A10159" s="8" t="n"/>
      <c r="B10159" s="9" t="n"/>
    </row>
    <row r="10160">
      <c r="A10160" s="8" t="n"/>
      <c r="B10160" s="9" t="n"/>
    </row>
    <row r="10161">
      <c r="A10161" s="8" t="n"/>
      <c r="B10161" s="9" t="n"/>
    </row>
    <row r="10162">
      <c r="A10162" s="8" t="n"/>
      <c r="B10162" s="9" t="n"/>
    </row>
    <row r="10163">
      <c r="A10163" s="8" t="n"/>
      <c r="B10163" s="9" t="n"/>
    </row>
    <row r="10164">
      <c r="A10164" s="8" t="n"/>
      <c r="B10164" s="9" t="n"/>
    </row>
    <row r="10165">
      <c r="A10165" s="8" t="n"/>
      <c r="B10165" s="9" t="n"/>
    </row>
    <row r="10166">
      <c r="A10166" s="8" t="n"/>
      <c r="B10166" s="9" t="n"/>
    </row>
    <row r="10167">
      <c r="A10167" s="8" t="n"/>
      <c r="B10167" s="9" t="n"/>
    </row>
    <row r="10168">
      <c r="A10168" s="8" t="n"/>
      <c r="B10168" s="9" t="n"/>
    </row>
    <row r="10169">
      <c r="A10169" s="8" t="n"/>
      <c r="B10169" s="9" t="n"/>
    </row>
    <row r="10170">
      <c r="A10170" s="8" t="n"/>
      <c r="B10170" s="9" t="n"/>
    </row>
    <row r="10171">
      <c r="A10171" s="8" t="n"/>
      <c r="B10171" s="9" t="n"/>
    </row>
    <row r="10172">
      <c r="A10172" s="8" t="n"/>
      <c r="B10172" s="9" t="n"/>
    </row>
    <row r="10173">
      <c r="A10173" s="8" t="n"/>
      <c r="B10173" s="9" t="n"/>
    </row>
    <row r="10174">
      <c r="A10174" s="8" t="n"/>
      <c r="B10174" s="9" t="n"/>
    </row>
    <row r="10175">
      <c r="A10175" s="8" t="n"/>
      <c r="B10175" s="9" t="n"/>
    </row>
    <row r="10176">
      <c r="A10176" s="8" t="n"/>
      <c r="B10176" s="9" t="n"/>
    </row>
    <row r="10177">
      <c r="A10177" s="8" t="n"/>
      <c r="B10177" s="9" t="n"/>
    </row>
    <row r="10178">
      <c r="A10178" s="8" t="n"/>
      <c r="B10178" s="9" t="n"/>
    </row>
    <row r="10179">
      <c r="A10179" s="8" t="n"/>
      <c r="B10179" s="9" t="n"/>
    </row>
    <row r="10180">
      <c r="A10180" s="8" t="n"/>
      <c r="B10180" s="9" t="n"/>
    </row>
    <row r="10181">
      <c r="A10181" s="8" t="n"/>
      <c r="B10181" s="9" t="n"/>
    </row>
    <row r="10182">
      <c r="A10182" s="8" t="n"/>
      <c r="B10182" s="9" t="n"/>
    </row>
    <row r="10183">
      <c r="A10183" s="8" t="n"/>
      <c r="B10183" s="9" t="n"/>
    </row>
    <row r="10184">
      <c r="A10184" s="8" t="n"/>
      <c r="B10184" s="9" t="n"/>
    </row>
    <row r="10185">
      <c r="A10185" s="8" t="n"/>
      <c r="B10185" s="9" t="n"/>
    </row>
    <row r="10186">
      <c r="A10186" s="8" t="n"/>
      <c r="B10186" s="9" t="n"/>
    </row>
    <row r="10187">
      <c r="A10187" s="8" t="n"/>
      <c r="B10187" s="9" t="n"/>
    </row>
    <row r="10188">
      <c r="A10188" s="8" t="n"/>
      <c r="B10188" s="9" t="n"/>
    </row>
    <row r="10189">
      <c r="A10189" s="8" t="n"/>
      <c r="B10189" s="9" t="n"/>
    </row>
    <row r="10190">
      <c r="A10190" s="8" t="n"/>
      <c r="B10190" s="9" t="n"/>
    </row>
    <row r="10191">
      <c r="A10191" s="8" t="n"/>
      <c r="B10191" s="9" t="n"/>
    </row>
    <row r="10192">
      <c r="A10192" s="8" t="n"/>
      <c r="B10192" s="9" t="n"/>
    </row>
    <row r="10193">
      <c r="A10193" s="8" t="n"/>
      <c r="B10193" s="9" t="n"/>
    </row>
    <row r="10194">
      <c r="A10194" s="8" t="n"/>
      <c r="B10194" s="9" t="n"/>
    </row>
    <row r="10195">
      <c r="A10195" s="8" t="n"/>
      <c r="B10195" s="9" t="n"/>
    </row>
    <row r="10196">
      <c r="A10196" s="8" t="n"/>
      <c r="B10196" s="9" t="n"/>
    </row>
    <row r="10197">
      <c r="A10197" s="8" t="n"/>
      <c r="B10197" s="9" t="n"/>
    </row>
    <row r="10198">
      <c r="A10198" s="8" t="n"/>
      <c r="B10198" s="9" t="n"/>
    </row>
    <row r="10199">
      <c r="A10199" s="8" t="n"/>
      <c r="B10199" s="9" t="n"/>
    </row>
    <row r="10200">
      <c r="A10200" s="8" t="n"/>
      <c r="B10200" s="9" t="n"/>
    </row>
    <row r="10201">
      <c r="A10201" s="8" t="n"/>
      <c r="B10201" s="9" t="n"/>
    </row>
    <row r="10202">
      <c r="A10202" s="8" t="n"/>
      <c r="B10202" s="9" t="n"/>
    </row>
    <row r="10203">
      <c r="A10203" s="8" t="n"/>
      <c r="B10203" s="9" t="n"/>
    </row>
    <row r="10204">
      <c r="A10204" s="8" t="n"/>
      <c r="B10204" s="9" t="n"/>
    </row>
    <row r="10205">
      <c r="A10205" s="8" t="n"/>
      <c r="B10205" s="9" t="n"/>
    </row>
    <row r="10206">
      <c r="A10206" s="8" t="n"/>
      <c r="B10206" s="9" t="n"/>
    </row>
    <row r="10207">
      <c r="A10207" s="8" t="n"/>
      <c r="B10207" s="9" t="n"/>
    </row>
    <row r="10208">
      <c r="A10208" s="8" t="n"/>
      <c r="B10208" s="9" t="n"/>
    </row>
    <row r="10209">
      <c r="A10209" s="8" t="n"/>
      <c r="B10209" s="9" t="n"/>
    </row>
    <row r="10210">
      <c r="A10210" s="8" t="n"/>
      <c r="B10210" s="9" t="n"/>
    </row>
    <row r="10211">
      <c r="A10211" s="8" t="n"/>
      <c r="B10211" s="9" t="n"/>
    </row>
    <row r="10212">
      <c r="A10212" s="8" t="n"/>
      <c r="B10212" s="9" t="n"/>
    </row>
    <row r="10213">
      <c r="A10213" s="8" t="n"/>
      <c r="B10213" s="9" t="n"/>
    </row>
    <row r="10214">
      <c r="A10214" s="8" t="n"/>
      <c r="B10214" s="9" t="n"/>
    </row>
    <row r="10215">
      <c r="A10215" s="8" t="n"/>
      <c r="B10215" s="9" t="n"/>
    </row>
    <row r="10216">
      <c r="A10216" s="8" t="n"/>
      <c r="B10216" s="9" t="n"/>
    </row>
    <row r="10217">
      <c r="A10217" s="8" t="n"/>
      <c r="B10217" s="9" t="n"/>
    </row>
    <row r="10218">
      <c r="A10218" s="8" t="n"/>
      <c r="B10218" s="9" t="n"/>
    </row>
    <row r="10219">
      <c r="A10219" s="8" t="n"/>
      <c r="B10219" s="9" t="n"/>
    </row>
    <row r="10220">
      <c r="A10220" s="8" t="n"/>
      <c r="B10220" s="9" t="n"/>
    </row>
    <row r="10221">
      <c r="A10221" s="8" t="n"/>
      <c r="B10221" s="9" t="n"/>
    </row>
    <row r="10222">
      <c r="A10222" s="8" t="n"/>
      <c r="B10222" s="9" t="n"/>
    </row>
    <row r="10223">
      <c r="A10223" s="8" t="n"/>
      <c r="B10223" s="9" t="n"/>
    </row>
    <row r="10224">
      <c r="A10224" s="8" t="n"/>
      <c r="B10224" s="9" t="n"/>
    </row>
    <row r="10225">
      <c r="A10225" s="8" t="n"/>
      <c r="B10225" s="9" t="n"/>
    </row>
    <row r="10226">
      <c r="A10226" s="8" t="n"/>
      <c r="B10226" s="9" t="n"/>
    </row>
    <row r="10227">
      <c r="A10227" s="8" t="n"/>
      <c r="B10227" s="9" t="n"/>
    </row>
    <row r="10228">
      <c r="A10228" s="8" t="n"/>
      <c r="B10228" s="9" t="n"/>
    </row>
    <row r="10229">
      <c r="A10229" s="8" t="n"/>
      <c r="B10229" s="9" t="n"/>
    </row>
    <row r="10230">
      <c r="A10230" s="8" t="n"/>
      <c r="B10230" s="9" t="n"/>
    </row>
    <row r="10231">
      <c r="A10231" s="8" t="n"/>
      <c r="B10231" s="9" t="n"/>
    </row>
    <row r="10232">
      <c r="A10232" s="8" t="n"/>
      <c r="B10232" s="9" t="n"/>
    </row>
    <row r="10233">
      <c r="A10233" s="8" t="n"/>
      <c r="B10233" s="9" t="n"/>
    </row>
    <row r="10234">
      <c r="A10234" s="8" t="n"/>
      <c r="B10234" s="9" t="n"/>
    </row>
    <row r="10235">
      <c r="A10235" s="8" t="n"/>
      <c r="B10235" s="9" t="n"/>
    </row>
    <row r="10236">
      <c r="A10236" s="8" t="n"/>
      <c r="B10236" s="9" t="n"/>
    </row>
    <row r="10237">
      <c r="A10237" s="8" t="n"/>
      <c r="B10237" s="9" t="n"/>
    </row>
    <row r="10238">
      <c r="A10238" s="8" t="n"/>
      <c r="B10238" s="9" t="n"/>
    </row>
    <row r="10239">
      <c r="A10239" s="8" t="n"/>
      <c r="B10239" s="9" t="n"/>
    </row>
    <row r="10240">
      <c r="A10240" s="8" t="n"/>
      <c r="B10240" s="9" t="n"/>
    </row>
    <row r="10241">
      <c r="A10241" s="8" t="n"/>
      <c r="B10241" s="9" t="n"/>
    </row>
    <row r="10242">
      <c r="A10242" s="8" t="n"/>
      <c r="B10242" s="9" t="n"/>
    </row>
    <row r="10243">
      <c r="A10243" s="8" t="n"/>
      <c r="B10243" s="9" t="n"/>
    </row>
    <row r="10244">
      <c r="A10244" s="8" t="n"/>
      <c r="B10244" s="9" t="n"/>
    </row>
    <row r="10245">
      <c r="A10245" s="8" t="n"/>
      <c r="B10245" s="9" t="n"/>
    </row>
    <row r="10246">
      <c r="A10246" s="8" t="n"/>
      <c r="B10246" s="9" t="n"/>
    </row>
    <row r="10247">
      <c r="A10247" s="8" t="n"/>
      <c r="B10247" s="9" t="n"/>
    </row>
    <row r="10248">
      <c r="A10248" s="8" t="n"/>
      <c r="B10248" s="9" t="n"/>
    </row>
    <row r="10249">
      <c r="A10249" s="8" t="n"/>
      <c r="B10249" s="9" t="n"/>
    </row>
    <row r="10250">
      <c r="A10250" s="8" t="n"/>
      <c r="B10250" s="9" t="n"/>
    </row>
    <row r="10251">
      <c r="A10251" s="8" t="n"/>
      <c r="B10251" s="9" t="n"/>
    </row>
    <row r="10252">
      <c r="A10252" s="8" t="n"/>
      <c r="B10252" s="9" t="n"/>
    </row>
    <row r="10253">
      <c r="A10253" s="8" t="n"/>
      <c r="B10253" s="9" t="n"/>
    </row>
    <row r="10254">
      <c r="A10254" s="8" t="n"/>
      <c r="B10254" s="9" t="n"/>
    </row>
    <row r="10255">
      <c r="A10255" s="8" t="n"/>
      <c r="B10255" s="9" t="n"/>
    </row>
    <row r="10256">
      <c r="A10256" s="8" t="n"/>
      <c r="B10256" s="9" t="n"/>
    </row>
    <row r="10257">
      <c r="A10257" s="8" t="n"/>
      <c r="B10257" s="9" t="n"/>
    </row>
    <row r="10258">
      <c r="A10258" s="8" t="n"/>
      <c r="B10258" s="9" t="n"/>
    </row>
    <row r="10259">
      <c r="A10259" s="8" t="n"/>
      <c r="B10259" s="9" t="n"/>
    </row>
    <row r="10260">
      <c r="A10260" s="8" t="n"/>
      <c r="B10260" s="9" t="n"/>
    </row>
    <row r="10261">
      <c r="A10261" s="8" t="n"/>
      <c r="B10261" s="9" t="n"/>
    </row>
    <row r="10262">
      <c r="A10262" s="8" t="n"/>
      <c r="B10262" s="9" t="n"/>
    </row>
    <row r="10263">
      <c r="A10263" s="8" t="n"/>
      <c r="B10263" s="9" t="n"/>
    </row>
    <row r="10264">
      <c r="A10264" s="8" t="n"/>
      <c r="B10264" s="9" t="n"/>
    </row>
    <row r="10265">
      <c r="A10265" s="8" t="n"/>
      <c r="B10265" s="9" t="n"/>
    </row>
    <row r="10266">
      <c r="A10266" s="8" t="n"/>
      <c r="B10266" s="9" t="n"/>
    </row>
    <row r="10267">
      <c r="A10267" s="8" t="n"/>
      <c r="B10267" s="9" t="n"/>
    </row>
    <row r="10268">
      <c r="A10268" s="8" t="n"/>
      <c r="B10268" s="9" t="n"/>
    </row>
    <row r="10269">
      <c r="A10269" s="8" t="n"/>
      <c r="B10269" s="9" t="n"/>
    </row>
    <row r="10270">
      <c r="A10270" s="8" t="n"/>
      <c r="B10270" s="9" t="n"/>
    </row>
    <row r="10271">
      <c r="A10271" s="8" t="n"/>
      <c r="B10271" s="9" t="n"/>
    </row>
    <row r="10272">
      <c r="A10272" s="8" t="n"/>
      <c r="B10272" s="9" t="n"/>
    </row>
    <row r="10273">
      <c r="A10273" s="8" t="n"/>
      <c r="B10273" s="9" t="n"/>
    </row>
    <row r="10274">
      <c r="A10274" s="8" t="n"/>
      <c r="B10274" s="9" t="n"/>
    </row>
    <row r="10275">
      <c r="A10275" s="8" t="n"/>
      <c r="B10275" s="9" t="n"/>
    </row>
    <row r="10276">
      <c r="A10276" s="8" t="n"/>
      <c r="B10276" s="9" t="n"/>
    </row>
    <row r="10277">
      <c r="A10277" s="8" t="n"/>
      <c r="B10277" s="9" t="n"/>
    </row>
    <row r="10278">
      <c r="A10278" s="8" t="n"/>
      <c r="B10278" s="9" t="n"/>
    </row>
    <row r="10279">
      <c r="A10279" s="8" t="n"/>
      <c r="B10279" s="9" t="n"/>
    </row>
    <row r="10280">
      <c r="A10280" s="8" t="n"/>
      <c r="B10280" s="9" t="n"/>
    </row>
    <row r="10281">
      <c r="A10281" s="8" t="n"/>
      <c r="B10281" s="9" t="n"/>
    </row>
    <row r="10282">
      <c r="A10282" s="8" t="n"/>
      <c r="B10282" s="9" t="n"/>
    </row>
    <row r="10283">
      <c r="A10283" s="8" t="n"/>
      <c r="B10283" s="9" t="n"/>
    </row>
    <row r="10284">
      <c r="A10284" s="8" t="n"/>
      <c r="B10284" s="9" t="n"/>
    </row>
    <row r="10285">
      <c r="A10285" s="8" t="n"/>
      <c r="B10285" s="9" t="n"/>
    </row>
    <row r="10286">
      <c r="A10286" s="8" t="n"/>
      <c r="B10286" s="9" t="n"/>
    </row>
    <row r="10287">
      <c r="A10287" s="8" t="n"/>
      <c r="B10287" s="9" t="n"/>
    </row>
    <row r="10288">
      <c r="A10288" s="8" t="n"/>
      <c r="B10288" s="9" t="n"/>
    </row>
    <row r="10289">
      <c r="A10289" s="8" t="n"/>
      <c r="B10289" s="9" t="n"/>
    </row>
    <row r="10290">
      <c r="A10290" s="8" t="n"/>
      <c r="B10290" s="9" t="n"/>
    </row>
    <row r="10291">
      <c r="A10291" s="8" t="n"/>
      <c r="B10291" s="9" t="n"/>
    </row>
    <row r="10292">
      <c r="A10292" s="8" t="n"/>
      <c r="B10292" s="9" t="n"/>
    </row>
    <row r="10293">
      <c r="A10293" s="8" t="n"/>
      <c r="B10293" s="9" t="n"/>
    </row>
    <row r="10294">
      <c r="A10294" s="8" t="n"/>
      <c r="B10294" s="9" t="n"/>
    </row>
    <row r="10295">
      <c r="A10295" s="8" t="n"/>
      <c r="B10295" s="9" t="n"/>
    </row>
    <row r="10296">
      <c r="A10296" s="8" t="n"/>
      <c r="B10296" s="9" t="n"/>
    </row>
    <row r="10297">
      <c r="A10297" s="8" t="n"/>
      <c r="B10297" s="9" t="n"/>
    </row>
    <row r="10298">
      <c r="A10298" s="8" t="n"/>
      <c r="B10298" s="9" t="n"/>
    </row>
    <row r="10299">
      <c r="A10299" s="8" t="n"/>
      <c r="B10299" s="9" t="n"/>
    </row>
    <row r="10300">
      <c r="A10300" s="8" t="n"/>
      <c r="B10300" s="9" t="n"/>
    </row>
    <row r="10301">
      <c r="A10301" s="8" t="n"/>
      <c r="B10301" s="9" t="n"/>
    </row>
    <row r="10302">
      <c r="A10302" s="8" t="n"/>
      <c r="B10302" s="9" t="n"/>
    </row>
    <row r="10303">
      <c r="A10303" s="8" t="n"/>
      <c r="B10303" s="9" t="n"/>
    </row>
    <row r="10304">
      <c r="A10304" s="8" t="n"/>
      <c r="B10304" s="9" t="n"/>
    </row>
    <row r="10305">
      <c r="A10305" s="8" t="n"/>
      <c r="B10305" s="9" t="n"/>
    </row>
    <row r="10306">
      <c r="A10306" s="8" t="n"/>
      <c r="B10306" s="9" t="n"/>
    </row>
    <row r="10307">
      <c r="A10307" s="8" t="n"/>
      <c r="B10307" s="9" t="n"/>
    </row>
    <row r="10308">
      <c r="A10308" s="8" t="n"/>
      <c r="B10308" s="9" t="n"/>
    </row>
    <row r="10309">
      <c r="A10309" s="8" t="n"/>
      <c r="B10309" s="9" t="n"/>
    </row>
    <row r="10310">
      <c r="A10310" s="8" t="n"/>
      <c r="B10310" s="9" t="n"/>
    </row>
    <row r="10311">
      <c r="A10311" s="8" t="n"/>
      <c r="B10311" s="9" t="n"/>
    </row>
    <row r="10312">
      <c r="A10312" s="8" t="n"/>
      <c r="B10312" s="9" t="n"/>
    </row>
    <row r="10313">
      <c r="A10313" s="8" t="n"/>
      <c r="B10313" s="9" t="n"/>
    </row>
    <row r="10314">
      <c r="A10314" s="8" t="n"/>
      <c r="B10314" s="9" t="n"/>
    </row>
    <row r="10315">
      <c r="A10315" s="8" t="n"/>
      <c r="B10315" s="9" t="n"/>
    </row>
    <row r="10316">
      <c r="A10316" s="8" t="n"/>
      <c r="B10316" s="9" t="n"/>
    </row>
    <row r="10317">
      <c r="A10317" s="8" t="n"/>
      <c r="B10317" s="9" t="n"/>
    </row>
    <row r="10318">
      <c r="A10318" s="8" t="n"/>
      <c r="B10318" s="9" t="n"/>
    </row>
    <row r="10319">
      <c r="A10319" s="8" t="n"/>
      <c r="B10319" s="9" t="n"/>
    </row>
    <row r="10320">
      <c r="A10320" s="8" t="n"/>
      <c r="B10320" s="9" t="n"/>
    </row>
    <row r="10321">
      <c r="A10321" s="8" t="n"/>
      <c r="B10321" s="9" t="n"/>
    </row>
    <row r="10322">
      <c r="A10322" s="8" t="n"/>
      <c r="B10322" s="9" t="n"/>
    </row>
    <row r="10323">
      <c r="A10323" s="8" t="n"/>
      <c r="B10323" s="9" t="n"/>
    </row>
    <row r="10324">
      <c r="A10324" s="8" t="n"/>
      <c r="B10324" s="9" t="n"/>
    </row>
    <row r="10325">
      <c r="A10325" s="8" t="n"/>
      <c r="B10325" s="9" t="n"/>
    </row>
    <row r="10326">
      <c r="A10326" s="8" t="n"/>
      <c r="B10326" s="9" t="n"/>
    </row>
    <row r="10327">
      <c r="A10327" s="8" t="n"/>
      <c r="B10327" s="9" t="n"/>
    </row>
    <row r="10328">
      <c r="A10328" s="8" t="n"/>
      <c r="B10328" s="9" t="n"/>
    </row>
    <row r="10329">
      <c r="A10329" s="8" t="n"/>
      <c r="B10329" s="9" t="n"/>
    </row>
    <row r="10330">
      <c r="A10330" s="8" t="n"/>
      <c r="B10330" s="9" t="n"/>
    </row>
    <row r="10331">
      <c r="A10331" s="8" t="n"/>
      <c r="B10331" s="9" t="n"/>
    </row>
    <row r="10332">
      <c r="A10332" s="8" t="n"/>
      <c r="B10332" s="9" t="n"/>
    </row>
    <row r="10333">
      <c r="A10333" s="8" t="n"/>
      <c r="B10333" s="9" t="n"/>
    </row>
    <row r="10334">
      <c r="A10334" s="8" t="n"/>
      <c r="B10334" s="9" t="n"/>
    </row>
    <row r="10335">
      <c r="A10335" s="8" t="n"/>
      <c r="B10335" s="9" t="n"/>
    </row>
    <row r="10336">
      <c r="A10336" s="8" t="n"/>
      <c r="B10336" s="9" t="n"/>
    </row>
    <row r="10337">
      <c r="A10337" s="8" t="n"/>
      <c r="B10337" s="9" t="n"/>
    </row>
    <row r="10338">
      <c r="A10338" s="8" t="n"/>
      <c r="B10338" s="9" t="n"/>
    </row>
    <row r="10339">
      <c r="A10339" s="8" t="n"/>
      <c r="B10339" s="9" t="n"/>
    </row>
    <row r="10340">
      <c r="A10340" s="8" t="n"/>
      <c r="B10340" s="9" t="n"/>
    </row>
    <row r="10341">
      <c r="A10341" s="8" t="n"/>
      <c r="B10341" s="9" t="n"/>
    </row>
    <row r="10342">
      <c r="A10342" s="8" t="n"/>
      <c r="B10342" s="9" t="n"/>
    </row>
    <row r="10343">
      <c r="A10343" s="8" t="n"/>
      <c r="B10343" s="9" t="n"/>
    </row>
    <row r="10344">
      <c r="A10344" s="8" t="n"/>
      <c r="B10344" s="9" t="n"/>
    </row>
    <row r="10345">
      <c r="A10345" s="8" t="n"/>
      <c r="B10345" s="9" t="n"/>
    </row>
    <row r="10346">
      <c r="A10346" s="8" t="n"/>
      <c r="B10346" s="9" t="n"/>
    </row>
    <row r="10347">
      <c r="A10347" s="8" t="n"/>
      <c r="B10347" s="9" t="n"/>
    </row>
    <row r="10348">
      <c r="A10348" s="8" t="n"/>
      <c r="B10348" s="9" t="n"/>
    </row>
    <row r="10349">
      <c r="A10349" s="8" t="n"/>
      <c r="B10349" s="9" t="n"/>
    </row>
    <row r="10350">
      <c r="A10350" s="8" t="n"/>
      <c r="B10350" s="9" t="n"/>
    </row>
    <row r="10351">
      <c r="A10351" s="8" t="n"/>
      <c r="B10351" s="9" t="n"/>
    </row>
    <row r="10352">
      <c r="A10352" s="8" t="n"/>
      <c r="B10352" s="9" t="n"/>
    </row>
    <row r="10353">
      <c r="A10353" s="8" t="n"/>
      <c r="B10353" s="9" t="n"/>
    </row>
    <row r="10354">
      <c r="A10354" s="8" t="n"/>
      <c r="B10354" s="9" t="n"/>
    </row>
    <row r="10355">
      <c r="A10355" s="8" t="n"/>
      <c r="B10355" s="9" t="n"/>
    </row>
    <row r="10356">
      <c r="A10356" s="8" t="n"/>
      <c r="B10356" s="9" t="n"/>
    </row>
    <row r="10357">
      <c r="A10357" s="8" t="n"/>
      <c r="B10357" s="9" t="n"/>
    </row>
    <row r="10358">
      <c r="A10358" s="8" t="n"/>
      <c r="B10358" s="9" t="n"/>
    </row>
    <row r="10359">
      <c r="A10359" s="8" t="n"/>
      <c r="B10359" s="9" t="n"/>
    </row>
    <row r="10360">
      <c r="A10360" s="8" t="n"/>
      <c r="B10360" s="9" t="n"/>
    </row>
    <row r="10361">
      <c r="A10361" s="8" t="n"/>
      <c r="B10361" s="9" t="n"/>
    </row>
    <row r="10362">
      <c r="A10362" s="8" t="n"/>
      <c r="B10362" s="9" t="n"/>
    </row>
    <row r="10363">
      <c r="A10363" s="8" t="n"/>
      <c r="B10363" s="9" t="n"/>
    </row>
    <row r="10364">
      <c r="A10364" s="8" t="n"/>
      <c r="B10364" s="9" t="n"/>
    </row>
    <row r="10365">
      <c r="A10365" s="8" t="n"/>
      <c r="B10365" s="9" t="n"/>
    </row>
    <row r="10366">
      <c r="A10366" s="8" t="n"/>
      <c r="B10366" s="9" t="n"/>
    </row>
    <row r="10367">
      <c r="A10367" s="8" t="n"/>
      <c r="B10367" s="9" t="n"/>
    </row>
    <row r="10368">
      <c r="A10368" s="8" t="n"/>
      <c r="B10368" s="9" t="n"/>
    </row>
    <row r="10369">
      <c r="A10369" s="8" t="n"/>
      <c r="B10369" s="9" t="n"/>
    </row>
    <row r="10370">
      <c r="A10370" s="8" t="n"/>
      <c r="B10370" s="9" t="n"/>
    </row>
    <row r="10371">
      <c r="A10371" s="8" t="n"/>
      <c r="B10371" s="9" t="n"/>
    </row>
    <row r="10372">
      <c r="A10372" s="8" t="n"/>
      <c r="B10372" s="9" t="n"/>
    </row>
    <row r="10373">
      <c r="A10373" s="8" t="n"/>
      <c r="B10373" s="9" t="n"/>
    </row>
    <row r="10374">
      <c r="A10374" s="8" t="n"/>
      <c r="B10374" s="9" t="n"/>
    </row>
    <row r="10375">
      <c r="A10375" s="8" t="n"/>
      <c r="B10375" s="9" t="n"/>
    </row>
    <row r="10376">
      <c r="A10376" s="8" t="n"/>
      <c r="B10376" s="9" t="n"/>
    </row>
    <row r="10377">
      <c r="A10377" s="8" t="n"/>
      <c r="B10377" s="9" t="n"/>
    </row>
    <row r="10378">
      <c r="A10378" s="8" t="n"/>
      <c r="B10378" s="9" t="n"/>
    </row>
    <row r="10379">
      <c r="A10379" s="8" t="n"/>
      <c r="B10379" s="9" t="n"/>
    </row>
    <row r="10380">
      <c r="A10380" s="8" t="n"/>
      <c r="B10380" s="9" t="n"/>
    </row>
    <row r="10381">
      <c r="A10381" s="8" t="n"/>
      <c r="B10381" s="9" t="n"/>
    </row>
    <row r="10382">
      <c r="A10382" s="8" t="n"/>
      <c r="B10382" s="9" t="n"/>
    </row>
    <row r="10383">
      <c r="A10383" s="8" t="n"/>
      <c r="B10383" s="9" t="n"/>
    </row>
    <row r="10384">
      <c r="A10384" s="8" t="n"/>
      <c r="B10384" s="9" t="n"/>
    </row>
    <row r="10385">
      <c r="A10385" s="8" t="n"/>
      <c r="B10385" s="9" t="n"/>
    </row>
    <row r="10386">
      <c r="A10386" s="8" t="n"/>
      <c r="B10386" s="9" t="n"/>
    </row>
    <row r="10387">
      <c r="A10387" s="8" t="n"/>
      <c r="B10387" s="9" t="n"/>
    </row>
    <row r="10388">
      <c r="A10388" s="8" t="n"/>
      <c r="B10388" s="9" t="n"/>
    </row>
    <row r="10389">
      <c r="A10389" s="8" t="n"/>
      <c r="B10389" s="9" t="n"/>
    </row>
    <row r="10390">
      <c r="A10390" s="8" t="n"/>
      <c r="B10390" s="9" t="n"/>
    </row>
    <row r="10391">
      <c r="A10391" s="8" t="n"/>
      <c r="B10391" s="9" t="n"/>
    </row>
    <row r="10392">
      <c r="A10392" s="8" t="n"/>
      <c r="B10392" s="9" t="n"/>
    </row>
    <row r="10393">
      <c r="A10393" s="8" t="n"/>
      <c r="B10393" s="9" t="n"/>
    </row>
    <row r="10394">
      <c r="A10394" s="8" t="n"/>
      <c r="B10394" s="9" t="n"/>
    </row>
    <row r="10395">
      <c r="A10395" s="8" t="n"/>
      <c r="B10395" s="9" t="n"/>
    </row>
    <row r="10396">
      <c r="A10396" s="8" t="n"/>
      <c r="B10396" s="9" t="n"/>
    </row>
    <row r="10397">
      <c r="A10397" s="8" t="n"/>
      <c r="B10397" s="9" t="n"/>
    </row>
    <row r="10398">
      <c r="A10398" s="8" t="n"/>
      <c r="B10398" s="9" t="n"/>
    </row>
    <row r="10399">
      <c r="A10399" s="8" t="n"/>
      <c r="B10399" s="9" t="n"/>
    </row>
    <row r="10400">
      <c r="A10400" s="8" t="n"/>
      <c r="B10400" s="9" t="n"/>
    </row>
    <row r="10401">
      <c r="A10401" s="8" t="n"/>
      <c r="B10401" s="9" t="n"/>
    </row>
    <row r="10402">
      <c r="A10402" s="8" t="n"/>
      <c r="B10402" s="9" t="n"/>
    </row>
    <row r="10403">
      <c r="A10403" s="8" t="n"/>
      <c r="B10403" s="9" t="n"/>
    </row>
    <row r="10404">
      <c r="A10404" s="8" t="n"/>
      <c r="B10404" s="9" t="n"/>
    </row>
    <row r="10405">
      <c r="A10405" s="8" t="n"/>
      <c r="B10405" s="9" t="n"/>
    </row>
    <row r="10406">
      <c r="A10406" s="8" t="n"/>
      <c r="B10406" s="9" t="n"/>
    </row>
    <row r="10407">
      <c r="A10407" s="8" t="n"/>
      <c r="B10407" s="9" t="n"/>
    </row>
    <row r="10408">
      <c r="A10408" s="8" t="n"/>
      <c r="B10408" s="9" t="n"/>
    </row>
    <row r="10409">
      <c r="A10409" s="8" t="n"/>
      <c r="B10409" s="9" t="n"/>
    </row>
    <row r="10410">
      <c r="A10410" s="8" t="n"/>
      <c r="B10410" s="9" t="n"/>
    </row>
    <row r="10411">
      <c r="A10411" s="8" t="n"/>
      <c r="B10411" s="9" t="n"/>
    </row>
    <row r="10412">
      <c r="A10412" s="8" t="n"/>
      <c r="B10412" s="9" t="n"/>
    </row>
    <row r="10413">
      <c r="A10413" s="8" t="n"/>
      <c r="B10413" s="9" t="n"/>
    </row>
    <row r="10414">
      <c r="A10414" s="8" t="n"/>
      <c r="B10414" s="9" t="n"/>
    </row>
    <row r="10415">
      <c r="A10415" s="8" t="n"/>
      <c r="B10415" s="9" t="n"/>
    </row>
    <row r="10416">
      <c r="A10416" s="8" t="n"/>
      <c r="B10416" s="9" t="n"/>
    </row>
    <row r="10417">
      <c r="A10417" s="8" t="n"/>
      <c r="B10417" s="9" t="n"/>
    </row>
    <row r="10418">
      <c r="A10418" s="8" t="n"/>
      <c r="B10418" s="9" t="n"/>
    </row>
    <row r="10419">
      <c r="A10419" s="8" t="n"/>
      <c r="B10419" s="9" t="n"/>
    </row>
    <row r="10420">
      <c r="A10420" s="8" t="n"/>
      <c r="B10420" s="9" t="n"/>
    </row>
    <row r="10421">
      <c r="A10421" s="8" t="n"/>
      <c r="B10421" s="9" t="n"/>
    </row>
    <row r="10422">
      <c r="A10422" s="8" t="n"/>
      <c r="B10422" s="9" t="n"/>
    </row>
    <row r="10423">
      <c r="A10423" s="8" t="n"/>
      <c r="B10423" s="9" t="n"/>
    </row>
    <row r="10424">
      <c r="A10424" s="8" t="n"/>
      <c r="B10424" s="9" t="n"/>
    </row>
    <row r="10425">
      <c r="A10425" s="8" t="n"/>
      <c r="B10425" s="9" t="n"/>
    </row>
    <row r="10426">
      <c r="A10426" s="8" t="n"/>
      <c r="B10426" s="9" t="n"/>
    </row>
    <row r="10427">
      <c r="A10427" s="8" t="n"/>
      <c r="B10427" s="9" t="n"/>
    </row>
    <row r="10428">
      <c r="A10428" s="8" t="n"/>
      <c r="B10428" s="9" t="n"/>
    </row>
    <row r="10429">
      <c r="A10429" s="8" t="n"/>
      <c r="B10429" s="9" t="n"/>
    </row>
    <row r="10430">
      <c r="A10430" s="8" t="n"/>
      <c r="B10430" s="9" t="n"/>
    </row>
    <row r="10431">
      <c r="A10431" s="8" t="n"/>
      <c r="B10431" s="9" t="n"/>
    </row>
    <row r="10432">
      <c r="A10432" s="8" t="n"/>
      <c r="B10432" s="9" t="n"/>
    </row>
    <row r="10433">
      <c r="A10433" s="8" t="n"/>
      <c r="B10433" s="9" t="n"/>
    </row>
    <row r="10434">
      <c r="A10434" s="8" t="n"/>
      <c r="B10434" s="9" t="n"/>
    </row>
    <row r="10435">
      <c r="A10435" s="8" t="n"/>
      <c r="B10435" s="9" t="n"/>
    </row>
    <row r="10436">
      <c r="A10436" s="8" t="n"/>
      <c r="B10436" s="9" t="n"/>
    </row>
    <row r="10437">
      <c r="A10437" s="8" t="n"/>
      <c r="B10437" s="9" t="n"/>
    </row>
    <row r="10438">
      <c r="A10438" s="8" t="n"/>
      <c r="B10438" s="9" t="n"/>
    </row>
    <row r="10439">
      <c r="A10439" s="8" t="n"/>
      <c r="B10439" s="9" t="n"/>
    </row>
    <row r="10440">
      <c r="A10440" s="8" t="n"/>
      <c r="B10440" s="9" t="n"/>
    </row>
    <row r="10441">
      <c r="A10441" s="8" t="n"/>
      <c r="B10441" s="9" t="n"/>
    </row>
    <row r="10442">
      <c r="A10442" s="8" t="n"/>
      <c r="B10442" s="9" t="n"/>
    </row>
    <row r="10443">
      <c r="A10443" s="8" t="n"/>
      <c r="B10443" s="9" t="n"/>
    </row>
    <row r="10444">
      <c r="A10444" s="8" t="n"/>
      <c r="B10444" s="9" t="n"/>
    </row>
    <row r="10445">
      <c r="A10445" s="8" t="n"/>
      <c r="B10445" s="9" t="n"/>
    </row>
    <row r="10446">
      <c r="A10446" s="8" t="n"/>
      <c r="B10446" s="9" t="n"/>
    </row>
    <row r="10447">
      <c r="A10447" s="8" t="n"/>
      <c r="B10447" s="9" t="n"/>
    </row>
    <row r="10448">
      <c r="A10448" s="8" t="n"/>
      <c r="B10448" s="9" t="n"/>
    </row>
    <row r="10449">
      <c r="A10449" s="8" t="n"/>
      <c r="B10449" s="9" t="n"/>
    </row>
    <row r="10450">
      <c r="A10450" s="8" t="n"/>
      <c r="B10450" s="9" t="n"/>
    </row>
    <row r="10451">
      <c r="A10451" s="8" t="n"/>
      <c r="B10451" s="9" t="n"/>
    </row>
    <row r="10452">
      <c r="A10452" s="8" t="n"/>
      <c r="B10452" s="9" t="n"/>
    </row>
    <row r="10453">
      <c r="A10453" s="8" t="n"/>
      <c r="B10453" s="9" t="n"/>
    </row>
    <row r="10454">
      <c r="A10454" s="8" t="n"/>
      <c r="B10454" s="9" t="n"/>
    </row>
    <row r="10455">
      <c r="A10455" s="8" t="n"/>
      <c r="B10455" s="9" t="n"/>
    </row>
    <row r="10456">
      <c r="A10456" s="8" t="n"/>
      <c r="B10456" s="9" t="n"/>
    </row>
    <row r="10457">
      <c r="A10457" s="8" t="n"/>
      <c r="B10457" s="9" t="n"/>
    </row>
    <row r="10458">
      <c r="A10458" s="8" t="n"/>
      <c r="B10458" s="9" t="n"/>
    </row>
    <row r="10459">
      <c r="A10459" s="8" t="n"/>
      <c r="B10459" s="9" t="n"/>
    </row>
    <row r="10460">
      <c r="A10460" s="8" t="n"/>
      <c r="B10460" s="9" t="n"/>
    </row>
    <row r="10461">
      <c r="A10461" s="8" t="n"/>
      <c r="B10461" s="9" t="n"/>
    </row>
    <row r="10462">
      <c r="A10462" s="8" t="n"/>
      <c r="B10462" s="9" t="n"/>
    </row>
    <row r="10463">
      <c r="A10463" s="8" t="n"/>
      <c r="B10463" s="9" t="n"/>
    </row>
    <row r="10464">
      <c r="A10464" s="8" t="n"/>
      <c r="B10464" s="9" t="n"/>
    </row>
    <row r="10465">
      <c r="A10465" s="8" t="n"/>
      <c r="B10465" s="9" t="n"/>
    </row>
    <row r="10466">
      <c r="A10466" s="8" t="n"/>
      <c r="B10466" s="9" t="n"/>
    </row>
    <row r="10467">
      <c r="A10467" s="8" t="n"/>
      <c r="B10467" s="9" t="n"/>
    </row>
    <row r="10468">
      <c r="A10468" s="8" t="n"/>
      <c r="B10468" s="9" t="n"/>
    </row>
    <row r="10469">
      <c r="A10469" s="8" t="n"/>
      <c r="B10469" s="9" t="n"/>
    </row>
    <row r="10470">
      <c r="A10470" s="8" t="n"/>
      <c r="B10470" s="9" t="n"/>
    </row>
    <row r="10471">
      <c r="A10471" s="8" t="n"/>
      <c r="B10471" s="9" t="n"/>
    </row>
    <row r="10472">
      <c r="A10472" s="8" t="n"/>
      <c r="B10472" s="9" t="n"/>
    </row>
    <row r="10473">
      <c r="A10473" s="8" t="n"/>
      <c r="B10473" s="9" t="n"/>
    </row>
    <row r="10474">
      <c r="A10474" s="8" t="n"/>
      <c r="B10474" s="9" t="n"/>
    </row>
    <row r="10475">
      <c r="A10475" s="8" t="n"/>
      <c r="B10475" s="9" t="n"/>
    </row>
    <row r="10476">
      <c r="A10476" s="8" t="n"/>
      <c r="B10476" s="9" t="n"/>
    </row>
    <row r="10477">
      <c r="A10477" s="8" t="n"/>
      <c r="B10477" s="9" t="n"/>
    </row>
    <row r="10478">
      <c r="A10478" s="8" t="n"/>
      <c r="B10478" s="9" t="n"/>
    </row>
    <row r="10479">
      <c r="A10479" s="8" t="n"/>
      <c r="B10479" s="9" t="n"/>
    </row>
    <row r="10480">
      <c r="A10480" s="8" t="n"/>
      <c r="B10480" s="9" t="n"/>
    </row>
    <row r="10481">
      <c r="A10481" s="8" t="n"/>
      <c r="B10481" s="9" t="n"/>
    </row>
    <row r="10482">
      <c r="A10482" s="8" t="n"/>
      <c r="B10482" s="9" t="n"/>
    </row>
    <row r="10483">
      <c r="A10483" s="8" t="n"/>
      <c r="B10483" s="9" t="n"/>
    </row>
    <row r="10484">
      <c r="A10484" s="8" t="n"/>
      <c r="B10484" s="9" t="n"/>
    </row>
    <row r="10485">
      <c r="A10485" s="8" t="n"/>
      <c r="B10485" s="9" t="n"/>
    </row>
    <row r="10486">
      <c r="A10486" s="8" t="n"/>
      <c r="B10486" s="9" t="n"/>
    </row>
    <row r="10487">
      <c r="A10487" s="8" t="n"/>
      <c r="B10487" s="9" t="n"/>
    </row>
    <row r="10488">
      <c r="A10488" s="8" t="n"/>
      <c r="B10488" s="9" t="n"/>
    </row>
    <row r="10489">
      <c r="A10489" s="8" t="n"/>
      <c r="B10489" s="9" t="n"/>
    </row>
    <row r="10490">
      <c r="A10490" s="8" t="n"/>
      <c r="B10490" s="9" t="n"/>
    </row>
    <row r="10491">
      <c r="A10491" s="8" t="n"/>
      <c r="B10491" s="9" t="n"/>
    </row>
    <row r="10492">
      <c r="A10492" s="8" t="n"/>
      <c r="B10492" s="9" t="n"/>
    </row>
    <row r="10493">
      <c r="A10493" s="8" t="n"/>
      <c r="B10493" s="9" t="n"/>
    </row>
    <row r="10494">
      <c r="A10494" s="8" t="n"/>
      <c r="B10494" s="9" t="n"/>
    </row>
    <row r="10495">
      <c r="A10495" s="8" t="n"/>
      <c r="B10495" s="9" t="n"/>
    </row>
    <row r="10496">
      <c r="A10496" s="8" t="n"/>
      <c r="B10496" s="9" t="n"/>
    </row>
    <row r="10497">
      <c r="A10497" s="8" t="n"/>
      <c r="B10497" s="9" t="n"/>
    </row>
    <row r="10498">
      <c r="A10498" s="8" t="n"/>
      <c r="B10498" s="9" t="n"/>
    </row>
    <row r="10499">
      <c r="A10499" s="8" t="n"/>
      <c r="B10499" s="9" t="n"/>
    </row>
    <row r="10500">
      <c r="A10500" s="8" t="n"/>
      <c r="B10500" s="9" t="n"/>
    </row>
    <row r="10501">
      <c r="A10501" s="8" t="n"/>
      <c r="B10501" s="9" t="n"/>
    </row>
    <row r="10502">
      <c r="A10502" s="8" t="n"/>
      <c r="B10502" s="9" t="n"/>
    </row>
    <row r="10503">
      <c r="A10503" s="8" t="n"/>
      <c r="B10503" s="9" t="n"/>
    </row>
    <row r="10504">
      <c r="A10504" s="8" t="n"/>
      <c r="B10504" s="9" t="n"/>
    </row>
    <row r="10505">
      <c r="A10505" s="8" t="n"/>
      <c r="B10505" s="9" t="n"/>
    </row>
    <row r="10506">
      <c r="A10506" s="8" t="n"/>
      <c r="B10506" s="9" t="n"/>
    </row>
    <row r="10507">
      <c r="A10507" s="8" t="n"/>
      <c r="B10507" s="9" t="n"/>
    </row>
    <row r="10508">
      <c r="A10508" s="8" t="n"/>
      <c r="B10508" s="9" t="n"/>
    </row>
    <row r="10509">
      <c r="A10509" s="8" t="n"/>
      <c r="B10509" s="9" t="n"/>
    </row>
    <row r="10510">
      <c r="A10510" s="8" t="n"/>
      <c r="B10510" s="9" t="n"/>
    </row>
    <row r="10511">
      <c r="A10511" s="8" t="n"/>
      <c r="B10511" s="9" t="n"/>
    </row>
    <row r="10512">
      <c r="A10512" s="8" t="n"/>
      <c r="B10512" s="9" t="n"/>
    </row>
    <row r="10513">
      <c r="A10513" s="8" t="n"/>
      <c r="B10513" s="9" t="n"/>
    </row>
    <row r="10514">
      <c r="A10514" s="8" t="n"/>
      <c r="B10514" s="9" t="n"/>
    </row>
    <row r="10515">
      <c r="A10515" s="8" t="n"/>
      <c r="B10515" s="9" t="n"/>
    </row>
    <row r="10516">
      <c r="A10516" s="8" t="n"/>
      <c r="B10516" s="9" t="n"/>
    </row>
    <row r="10517">
      <c r="A10517" s="8" t="n"/>
      <c r="B10517" s="9" t="n"/>
    </row>
    <row r="10518">
      <c r="A10518" s="8" t="n"/>
      <c r="B10518" s="9" t="n"/>
    </row>
    <row r="10519">
      <c r="A10519" s="8" t="n"/>
      <c r="B10519" s="9" t="n"/>
    </row>
    <row r="10520">
      <c r="A10520" s="8" t="n"/>
      <c r="B10520" s="9" t="n"/>
    </row>
    <row r="10521">
      <c r="A10521" s="8" t="n"/>
      <c r="B10521" s="9" t="n"/>
    </row>
    <row r="10522">
      <c r="A10522" s="8" t="n"/>
      <c r="B10522" s="9" t="n"/>
    </row>
    <row r="10523">
      <c r="A10523" s="8" t="n"/>
      <c r="B10523" s="9" t="n"/>
    </row>
    <row r="10524">
      <c r="A10524" s="8" t="n"/>
      <c r="B10524" s="9" t="n"/>
    </row>
    <row r="10525">
      <c r="A10525" s="8" t="n"/>
      <c r="B10525" s="9" t="n"/>
    </row>
    <row r="10526">
      <c r="A10526" s="8" t="n"/>
      <c r="B10526" s="9" t="n"/>
    </row>
    <row r="10527">
      <c r="A10527" s="8" t="n"/>
      <c r="B10527" s="9" t="n"/>
    </row>
    <row r="10528">
      <c r="A10528" s="8" t="n"/>
      <c r="B10528" s="9" t="n"/>
    </row>
    <row r="10529">
      <c r="A10529" s="8" t="n"/>
      <c r="B10529" s="9" t="n"/>
    </row>
    <row r="10530">
      <c r="A10530" s="8" t="n"/>
      <c r="B10530" s="9" t="n"/>
    </row>
    <row r="10531">
      <c r="A10531" s="8" t="n"/>
      <c r="B10531" s="9" t="n"/>
    </row>
    <row r="10532">
      <c r="A10532" s="8" t="n"/>
      <c r="B10532" s="9" t="n"/>
    </row>
    <row r="10533">
      <c r="A10533" s="8" t="n"/>
      <c r="B10533" s="9" t="n"/>
    </row>
    <row r="10534">
      <c r="A10534" s="8" t="n"/>
      <c r="B10534" s="9" t="n"/>
    </row>
    <row r="10535">
      <c r="A10535" s="8" t="n"/>
      <c r="B10535" s="9" t="n"/>
    </row>
    <row r="10536">
      <c r="A10536" s="8" t="n"/>
      <c r="B10536" s="9" t="n"/>
    </row>
    <row r="10537">
      <c r="A10537" s="8" t="n"/>
      <c r="B10537" s="9" t="n"/>
    </row>
    <row r="10538">
      <c r="A10538" s="8" t="n"/>
      <c r="B10538" s="9" t="n"/>
    </row>
    <row r="10539">
      <c r="A10539" s="8" t="n"/>
      <c r="B10539" s="9" t="n"/>
    </row>
    <row r="10540">
      <c r="A10540" s="8" t="n"/>
      <c r="B10540" s="9" t="n"/>
    </row>
    <row r="10541">
      <c r="A10541" s="8" t="n"/>
      <c r="B10541" s="9" t="n"/>
    </row>
    <row r="10542">
      <c r="A10542" s="8" t="n"/>
      <c r="B10542" s="9" t="n"/>
    </row>
    <row r="10543">
      <c r="A10543" s="8" t="n"/>
      <c r="B10543" s="9" t="n"/>
    </row>
    <row r="10544">
      <c r="A10544" s="8" t="n"/>
      <c r="B10544" s="9" t="n"/>
    </row>
    <row r="10545">
      <c r="A10545" s="8" t="n"/>
      <c r="B10545" s="9" t="n"/>
    </row>
    <row r="10546">
      <c r="A10546" s="8" t="n"/>
      <c r="B10546" s="9" t="n"/>
    </row>
    <row r="10547">
      <c r="A10547" s="8" t="n"/>
      <c r="B10547" s="9" t="n"/>
    </row>
    <row r="10548">
      <c r="A10548" s="8" t="n"/>
      <c r="B10548" s="9" t="n"/>
    </row>
    <row r="10549">
      <c r="A10549" s="8" t="n"/>
      <c r="B10549" s="9" t="n"/>
    </row>
    <row r="10550">
      <c r="A10550" s="8" t="n"/>
      <c r="B10550" s="9" t="n"/>
    </row>
    <row r="10551">
      <c r="A10551" s="8" t="n"/>
      <c r="B10551" s="9" t="n"/>
    </row>
    <row r="10552">
      <c r="A10552" s="8" t="n"/>
      <c r="B10552" s="9" t="n"/>
    </row>
    <row r="10553">
      <c r="A10553" s="8" t="n"/>
      <c r="B10553" s="9" t="n"/>
    </row>
    <row r="10554">
      <c r="A10554" s="8" t="n"/>
      <c r="B10554" s="9" t="n"/>
    </row>
    <row r="10555">
      <c r="A10555" s="8" t="n"/>
      <c r="B10555" s="9" t="n"/>
    </row>
    <row r="10556">
      <c r="A10556" s="8" t="n"/>
      <c r="B10556" s="9" t="n"/>
    </row>
    <row r="10557">
      <c r="A10557" s="8" t="n"/>
      <c r="B10557" s="9" t="n"/>
    </row>
    <row r="10558">
      <c r="A10558" s="8" t="n"/>
      <c r="B10558" s="9" t="n"/>
    </row>
    <row r="10559">
      <c r="A10559" s="8" t="n"/>
      <c r="B10559" s="9" t="n"/>
    </row>
    <row r="10560">
      <c r="A10560" s="8" t="n"/>
      <c r="B10560" s="9" t="n"/>
    </row>
    <row r="10561">
      <c r="A10561" s="8" t="n"/>
      <c r="B10561" s="9" t="n"/>
    </row>
    <row r="10562">
      <c r="A10562" s="8" t="n"/>
      <c r="B10562" s="9" t="n"/>
    </row>
    <row r="10563">
      <c r="A10563" s="8" t="n"/>
      <c r="B10563" s="9" t="n"/>
    </row>
    <row r="10564">
      <c r="A10564" s="8" t="n"/>
      <c r="B10564" s="9" t="n"/>
    </row>
    <row r="10565">
      <c r="A10565" s="8" t="n"/>
      <c r="B10565" s="9" t="n"/>
    </row>
    <row r="10566">
      <c r="A10566" s="8" t="n"/>
      <c r="B10566" s="9" t="n"/>
    </row>
    <row r="10567">
      <c r="A10567" s="8" t="n"/>
      <c r="B10567" s="9" t="n"/>
    </row>
    <row r="10568">
      <c r="A10568" s="8" t="n"/>
      <c r="B10568" s="9" t="n"/>
    </row>
    <row r="10569">
      <c r="A10569" s="8" t="n"/>
      <c r="B10569" s="9" t="n"/>
    </row>
    <row r="10570">
      <c r="A10570" s="8" t="n"/>
      <c r="B10570" s="9" t="n"/>
    </row>
    <row r="10571">
      <c r="A10571" s="8" t="n"/>
      <c r="B10571" s="9" t="n"/>
    </row>
    <row r="10572">
      <c r="A10572" s="8" t="n"/>
      <c r="B10572" s="9" t="n"/>
    </row>
    <row r="10573">
      <c r="A10573" s="8" t="n"/>
      <c r="B10573" s="9" t="n"/>
    </row>
    <row r="10574">
      <c r="A10574" s="8" t="n"/>
      <c r="B10574" s="9" t="n"/>
    </row>
    <row r="10575">
      <c r="A10575" s="8" t="n"/>
      <c r="B10575" s="9" t="n"/>
    </row>
    <row r="10576">
      <c r="A10576" s="8" t="n"/>
      <c r="B10576" s="9" t="n"/>
    </row>
    <row r="10577">
      <c r="A10577" s="8" t="n"/>
      <c r="B10577" s="9" t="n"/>
    </row>
    <row r="10578">
      <c r="A10578" s="8" t="n"/>
      <c r="B10578" s="9" t="n"/>
    </row>
    <row r="10579">
      <c r="A10579" s="8" t="n"/>
      <c r="B10579" s="9" t="n"/>
    </row>
    <row r="10580">
      <c r="A10580" s="8" t="n"/>
      <c r="B10580" s="9" t="n"/>
    </row>
    <row r="10581">
      <c r="A10581" s="8" t="n"/>
      <c r="B10581" s="9" t="n"/>
    </row>
    <row r="10582">
      <c r="A10582" s="8" t="n"/>
      <c r="B10582" s="9" t="n"/>
    </row>
    <row r="10583">
      <c r="A10583" s="8" t="n"/>
      <c r="B10583" s="9" t="n"/>
    </row>
    <row r="10584">
      <c r="A10584" s="8" t="n"/>
      <c r="B10584" s="9" t="n"/>
    </row>
    <row r="10585">
      <c r="A10585" s="8" t="n"/>
      <c r="B10585" s="9" t="n"/>
    </row>
    <row r="10586">
      <c r="A10586" s="8" t="n"/>
      <c r="B10586" s="9" t="n"/>
    </row>
    <row r="10587">
      <c r="A10587" s="8" t="n"/>
      <c r="B10587" s="9" t="n"/>
    </row>
    <row r="10588">
      <c r="A10588" s="8" t="n"/>
      <c r="B10588" s="9" t="n"/>
    </row>
    <row r="10589">
      <c r="A10589" s="8" t="n"/>
      <c r="B10589" s="9" t="n"/>
    </row>
    <row r="10590">
      <c r="A10590" s="8" t="n"/>
      <c r="B10590" s="9" t="n"/>
    </row>
    <row r="10591">
      <c r="A10591" s="8" t="n"/>
      <c r="B10591" s="9" t="n"/>
    </row>
    <row r="10592">
      <c r="A10592" s="8" t="n"/>
      <c r="B10592" s="9" t="n"/>
    </row>
    <row r="10593">
      <c r="A10593" s="8" t="n"/>
      <c r="B10593" s="9" t="n"/>
    </row>
    <row r="10594">
      <c r="A10594" s="8" t="n"/>
      <c r="B10594" s="9" t="n"/>
    </row>
    <row r="10595">
      <c r="A10595" s="8" t="n"/>
      <c r="B10595" s="9" t="n"/>
    </row>
    <row r="10596">
      <c r="A10596" s="8" t="n"/>
      <c r="B10596" s="9" t="n"/>
    </row>
    <row r="10597">
      <c r="A10597" s="8" t="n"/>
      <c r="B10597" s="9" t="n"/>
    </row>
    <row r="10598">
      <c r="A10598" s="8" t="n"/>
      <c r="B10598" s="9" t="n"/>
    </row>
    <row r="10599">
      <c r="A10599" s="8" t="n"/>
      <c r="B10599" s="9" t="n"/>
    </row>
    <row r="10600">
      <c r="A10600" s="8" t="n"/>
      <c r="B10600" s="9" t="n"/>
    </row>
    <row r="10601">
      <c r="A10601" s="8" t="n"/>
      <c r="B10601" s="9" t="n"/>
    </row>
    <row r="10602">
      <c r="A10602" s="8" t="n"/>
      <c r="B10602" s="9" t="n"/>
    </row>
    <row r="10603">
      <c r="A10603" s="8" t="n"/>
      <c r="B10603" s="9" t="n"/>
    </row>
    <row r="10604">
      <c r="A10604" s="8" t="n"/>
      <c r="B10604" s="9" t="n"/>
    </row>
    <row r="10605">
      <c r="A10605" s="8" t="n"/>
      <c r="B10605" s="9" t="n"/>
    </row>
    <row r="10606">
      <c r="A10606" s="8" t="n"/>
      <c r="B10606" s="9" t="n"/>
    </row>
    <row r="10607">
      <c r="A10607" s="8" t="n"/>
      <c r="B10607" s="9" t="n"/>
    </row>
    <row r="10608">
      <c r="A10608" s="8" t="n"/>
      <c r="B10608" s="9" t="n"/>
    </row>
    <row r="10609">
      <c r="A10609" s="8" t="n"/>
      <c r="B10609" s="9" t="n"/>
    </row>
    <row r="10610">
      <c r="A10610" s="8" t="n"/>
      <c r="B10610" s="9" t="n"/>
    </row>
    <row r="10611">
      <c r="A10611" s="8" t="n"/>
      <c r="B10611" s="9" t="n"/>
    </row>
    <row r="10612">
      <c r="A10612" s="8" t="n"/>
      <c r="B10612" s="9" t="n"/>
    </row>
    <row r="10613">
      <c r="A10613" s="8" t="n"/>
      <c r="B10613" s="9" t="n"/>
    </row>
    <row r="10614">
      <c r="A10614" s="8" t="n"/>
      <c r="B10614" s="9" t="n"/>
    </row>
    <row r="10615">
      <c r="A10615" s="8" t="n"/>
      <c r="B10615" s="9" t="n"/>
    </row>
    <row r="10616">
      <c r="A10616" s="8" t="n"/>
      <c r="B10616" s="9" t="n"/>
    </row>
    <row r="10617">
      <c r="A10617" s="8" t="n"/>
      <c r="B10617" s="9" t="n"/>
    </row>
    <row r="10618">
      <c r="A10618" s="8" t="n"/>
      <c r="B10618" s="9" t="n"/>
    </row>
    <row r="10619">
      <c r="A10619" s="8" t="n"/>
      <c r="B10619" s="9" t="n"/>
    </row>
    <row r="10620">
      <c r="A10620" s="8" t="n"/>
      <c r="B10620" s="9" t="n"/>
    </row>
    <row r="10621">
      <c r="A10621" s="8" t="n"/>
      <c r="B10621" s="9" t="n"/>
    </row>
    <row r="10622">
      <c r="A10622" s="8" t="n"/>
      <c r="B10622" s="9" t="n"/>
    </row>
    <row r="10623">
      <c r="A10623" s="8" t="n"/>
      <c r="B10623" s="9" t="n"/>
    </row>
    <row r="10624">
      <c r="A10624" s="8" t="n"/>
      <c r="B10624" s="9" t="n"/>
    </row>
    <row r="10625">
      <c r="A10625" s="8" t="n"/>
      <c r="B10625" s="9" t="n"/>
    </row>
    <row r="10626">
      <c r="A10626" s="8" t="n"/>
      <c r="B10626" s="9" t="n"/>
    </row>
    <row r="10627">
      <c r="A10627" s="8" t="n"/>
      <c r="B10627" s="9" t="n"/>
    </row>
    <row r="10628">
      <c r="A10628" s="8" t="n"/>
      <c r="B10628" s="9" t="n"/>
    </row>
    <row r="10629">
      <c r="A10629" s="8" t="n"/>
      <c r="B10629" s="9" t="n"/>
    </row>
    <row r="10630">
      <c r="A10630" s="8" t="n"/>
      <c r="B10630" s="9" t="n"/>
    </row>
    <row r="10631">
      <c r="A10631" s="8" t="n"/>
      <c r="B10631" s="9" t="n"/>
    </row>
    <row r="10632">
      <c r="A10632" s="8" t="n"/>
      <c r="B10632" s="9" t="n"/>
    </row>
    <row r="10633">
      <c r="A10633" s="8" t="n"/>
      <c r="B10633" s="9" t="n"/>
    </row>
    <row r="10634">
      <c r="A10634" s="8" t="n"/>
      <c r="B10634" s="9" t="n"/>
    </row>
    <row r="10635">
      <c r="A10635" s="8" t="n"/>
      <c r="B10635" s="9" t="n"/>
    </row>
    <row r="10636">
      <c r="A10636" s="8" t="n"/>
      <c r="B10636" s="9" t="n"/>
    </row>
    <row r="10637">
      <c r="A10637" s="8" t="n"/>
      <c r="B10637" s="9" t="n"/>
    </row>
    <row r="10638">
      <c r="A10638" s="8" t="n"/>
      <c r="B10638" s="9" t="n"/>
    </row>
    <row r="10639">
      <c r="A10639" s="8" t="n"/>
      <c r="B10639" s="9" t="n"/>
    </row>
    <row r="10640">
      <c r="A10640" s="8" t="n"/>
      <c r="B10640" s="9" t="n"/>
    </row>
    <row r="10641">
      <c r="A10641" s="8" t="n"/>
      <c r="B10641" s="9" t="n"/>
    </row>
    <row r="10642">
      <c r="A10642" s="8" t="n"/>
      <c r="B10642" s="9" t="n"/>
    </row>
    <row r="10643">
      <c r="A10643" s="8" t="n"/>
      <c r="B10643" s="9" t="n"/>
    </row>
    <row r="10644">
      <c r="A10644" s="8" t="n"/>
      <c r="B10644" s="9" t="n"/>
    </row>
    <row r="10645">
      <c r="A10645" s="8" t="n"/>
      <c r="B10645" s="9" t="n"/>
    </row>
    <row r="10646">
      <c r="A10646" s="8" t="n"/>
      <c r="B10646" s="9" t="n"/>
    </row>
    <row r="10647">
      <c r="A10647" s="8" t="n"/>
      <c r="B10647" s="9" t="n"/>
    </row>
    <row r="10648">
      <c r="A10648" s="8" t="n"/>
      <c r="B10648" s="9" t="n"/>
    </row>
    <row r="10649">
      <c r="A10649" s="8" t="n"/>
      <c r="B10649" s="9" t="n"/>
    </row>
    <row r="10650">
      <c r="A10650" s="8" t="n"/>
      <c r="B10650" s="9" t="n"/>
    </row>
    <row r="10651">
      <c r="A10651" s="8" t="n"/>
      <c r="B10651" s="9" t="n"/>
    </row>
    <row r="10652">
      <c r="A10652" s="8" t="n"/>
      <c r="B10652" s="9" t="n"/>
    </row>
    <row r="10653">
      <c r="A10653" s="8" t="n"/>
      <c r="B10653" s="9" t="n"/>
    </row>
    <row r="10654">
      <c r="A10654" s="8" t="n"/>
      <c r="B10654" s="9" t="n"/>
    </row>
    <row r="10655">
      <c r="A10655" s="8" t="n"/>
      <c r="B10655" s="9" t="n"/>
    </row>
    <row r="10656">
      <c r="A10656" s="8" t="n"/>
      <c r="B10656" s="9" t="n"/>
    </row>
    <row r="10657">
      <c r="A10657" s="8" t="n"/>
      <c r="B10657" s="9" t="n"/>
    </row>
    <row r="10658">
      <c r="A10658" s="8" t="n"/>
      <c r="B10658" s="9" t="n"/>
    </row>
    <row r="10659">
      <c r="A10659" s="8" t="n"/>
      <c r="B10659" s="9" t="n"/>
    </row>
    <row r="10660">
      <c r="A10660" s="8" t="n"/>
      <c r="B10660" s="9" t="n"/>
    </row>
    <row r="10661">
      <c r="A10661" s="8" t="n"/>
      <c r="B10661" s="9" t="n"/>
    </row>
    <row r="10662">
      <c r="A10662" s="8" t="n"/>
      <c r="B10662" s="9" t="n"/>
    </row>
    <row r="10663">
      <c r="A10663" s="8" t="n"/>
      <c r="B10663" s="9" t="n"/>
    </row>
    <row r="10664">
      <c r="A10664" s="8" t="n"/>
      <c r="B10664" s="9" t="n"/>
    </row>
    <row r="10665">
      <c r="A10665" s="8" t="n"/>
      <c r="B10665" s="9" t="n"/>
    </row>
    <row r="10666">
      <c r="A10666" s="8" t="n"/>
      <c r="B10666" s="9" t="n"/>
    </row>
    <row r="10667">
      <c r="A10667" s="8" t="n"/>
      <c r="B10667" s="9" t="n"/>
    </row>
    <row r="10668">
      <c r="A10668" s="8" t="n"/>
      <c r="B10668" s="9" t="n"/>
    </row>
    <row r="10669">
      <c r="A10669" s="8" t="n"/>
      <c r="B10669" s="9" t="n"/>
    </row>
    <row r="10670">
      <c r="A10670" s="8" t="n"/>
      <c r="B10670" s="9" t="n"/>
    </row>
    <row r="10671">
      <c r="A10671" s="8" t="n"/>
      <c r="B10671" s="9" t="n"/>
    </row>
    <row r="10672">
      <c r="A10672" s="8" t="n"/>
      <c r="B10672" s="9" t="n"/>
    </row>
    <row r="10673">
      <c r="A10673" s="8" t="n"/>
      <c r="B10673" s="9" t="n"/>
    </row>
    <row r="10674">
      <c r="A10674" s="8" t="n"/>
      <c r="B10674" s="9" t="n"/>
    </row>
    <row r="10675">
      <c r="A10675" s="8" t="n"/>
      <c r="B10675" s="9" t="n"/>
    </row>
    <row r="10676">
      <c r="A10676" s="8" t="n"/>
      <c r="B10676" s="9" t="n"/>
    </row>
    <row r="10677">
      <c r="A10677" s="8" t="n"/>
      <c r="B10677" s="9" t="n"/>
    </row>
    <row r="10678">
      <c r="A10678" s="8" t="n"/>
      <c r="B10678" s="9" t="n"/>
    </row>
    <row r="10679">
      <c r="A10679" s="8" t="n"/>
      <c r="B10679" s="9" t="n"/>
    </row>
    <row r="10680">
      <c r="A10680" s="8" t="n"/>
      <c r="B10680" s="9" t="n"/>
    </row>
    <row r="10681">
      <c r="A10681" s="8" t="n"/>
      <c r="B10681" s="9" t="n"/>
    </row>
    <row r="10682">
      <c r="A10682" s="8" t="n"/>
      <c r="B10682" s="9" t="n"/>
    </row>
    <row r="10683">
      <c r="A10683" s="8" t="n"/>
      <c r="B10683" s="9" t="n"/>
    </row>
    <row r="10684">
      <c r="A10684" s="8" t="n"/>
      <c r="B10684" s="9" t="n"/>
    </row>
    <row r="10685">
      <c r="A10685" s="8" t="n"/>
      <c r="B10685" s="9" t="n"/>
    </row>
    <row r="10686">
      <c r="A10686" s="8" t="n"/>
      <c r="B10686" s="9" t="n"/>
    </row>
    <row r="10687">
      <c r="A10687" s="8" t="n"/>
      <c r="B10687" s="9" t="n"/>
    </row>
    <row r="10688">
      <c r="A10688" s="8" t="n"/>
      <c r="B10688" s="9" t="n"/>
    </row>
    <row r="10689">
      <c r="A10689" s="8" t="n"/>
      <c r="B10689" s="9" t="n"/>
    </row>
    <row r="10690">
      <c r="A10690" s="8" t="n"/>
      <c r="B10690" s="9" t="n"/>
    </row>
    <row r="10691">
      <c r="A10691" s="8" t="n"/>
      <c r="B10691" s="9" t="n"/>
    </row>
    <row r="10692">
      <c r="A10692" s="8" t="n"/>
      <c r="B10692" s="9" t="n"/>
    </row>
    <row r="10693">
      <c r="A10693" s="8" t="n"/>
      <c r="B10693" s="9" t="n"/>
    </row>
    <row r="10694">
      <c r="A10694" s="8" t="n"/>
      <c r="B10694" s="9" t="n"/>
    </row>
    <row r="10695">
      <c r="A10695" s="8" t="n"/>
      <c r="B10695" s="9" t="n"/>
    </row>
    <row r="10696">
      <c r="A10696" s="8" t="n"/>
      <c r="B10696" s="9" t="n"/>
    </row>
    <row r="10697">
      <c r="A10697" s="8" t="n"/>
      <c r="B10697" s="9" t="n"/>
    </row>
    <row r="10698">
      <c r="A10698" s="8" t="n"/>
      <c r="B10698" s="9" t="n"/>
    </row>
    <row r="10699">
      <c r="A10699" s="8" t="n"/>
      <c r="B10699" s="9" t="n"/>
    </row>
    <row r="10700">
      <c r="A10700" s="8" t="n"/>
      <c r="B10700" s="9" t="n"/>
    </row>
    <row r="10701">
      <c r="A10701" s="8" t="n"/>
      <c r="B10701" s="9" t="n"/>
    </row>
    <row r="10702">
      <c r="A10702" s="8" t="n"/>
      <c r="B10702" s="9" t="n"/>
    </row>
    <row r="10703">
      <c r="A10703" s="8" t="n"/>
      <c r="B10703" s="9" t="n"/>
    </row>
    <row r="10704">
      <c r="A10704" s="8" t="n"/>
      <c r="B10704" s="9" t="n"/>
    </row>
    <row r="10705">
      <c r="A10705" s="8" t="n"/>
      <c r="B10705" s="9" t="n"/>
    </row>
    <row r="10706">
      <c r="A10706" s="8" t="n"/>
      <c r="B10706" s="9" t="n"/>
    </row>
    <row r="10707">
      <c r="A10707" s="8" t="n"/>
      <c r="B10707" s="9" t="n"/>
    </row>
    <row r="10708">
      <c r="A10708" s="8" t="n"/>
      <c r="B10708" s="9" t="n"/>
    </row>
    <row r="10709">
      <c r="A10709" s="8" t="n"/>
      <c r="B10709" s="9" t="n"/>
    </row>
    <row r="10710">
      <c r="A10710" s="8" t="n"/>
      <c r="B10710" s="9" t="n"/>
    </row>
    <row r="10711">
      <c r="A10711" s="8" t="n"/>
      <c r="B10711" s="9" t="n"/>
    </row>
    <row r="10712">
      <c r="A10712" s="8" t="n"/>
      <c r="B10712" s="9" t="n"/>
    </row>
    <row r="10713">
      <c r="A10713" s="8" t="n"/>
      <c r="B10713" s="9" t="n"/>
    </row>
    <row r="10714">
      <c r="A10714" s="8" t="n"/>
      <c r="B10714" s="9" t="n"/>
    </row>
    <row r="10715">
      <c r="A10715" s="8" t="n"/>
      <c r="B10715" s="9" t="n"/>
    </row>
    <row r="10716">
      <c r="A10716" s="8" t="n"/>
      <c r="B10716" s="9" t="n"/>
    </row>
    <row r="10717">
      <c r="A10717" s="8" t="n"/>
      <c r="B10717" s="9" t="n"/>
    </row>
    <row r="10718">
      <c r="A10718" s="8" t="n"/>
      <c r="B10718" s="9" t="n"/>
    </row>
    <row r="10719">
      <c r="A10719" s="8" t="n"/>
      <c r="B10719" s="9" t="n"/>
    </row>
    <row r="10720">
      <c r="A10720" s="8" t="n"/>
      <c r="B10720" s="9" t="n"/>
    </row>
    <row r="10721">
      <c r="A10721" s="8" t="n"/>
      <c r="B10721" s="9" t="n"/>
    </row>
    <row r="10722">
      <c r="A10722" s="8" t="n"/>
      <c r="B10722" s="9" t="n"/>
    </row>
    <row r="10723">
      <c r="A10723" s="8" t="n"/>
      <c r="B10723" s="9" t="n"/>
    </row>
    <row r="10724">
      <c r="A10724" s="8" t="n"/>
      <c r="B10724" s="9" t="n"/>
    </row>
    <row r="10725">
      <c r="A10725" s="8" t="n"/>
      <c r="B10725" s="9" t="n"/>
    </row>
    <row r="10726">
      <c r="A10726" s="8" t="n"/>
      <c r="B10726" s="9" t="n"/>
    </row>
    <row r="10727">
      <c r="A10727" s="8" t="n"/>
      <c r="B10727" s="9" t="n"/>
    </row>
    <row r="10728">
      <c r="A10728" s="8" t="n"/>
      <c r="B10728" s="9" t="n"/>
    </row>
    <row r="10729">
      <c r="A10729" s="8" t="n"/>
      <c r="B10729" s="9" t="n"/>
    </row>
    <row r="10730">
      <c r="A10730" s="8" t="n"/>
      <c r="B10730" s="9" t="n"/>
    </row>
    <row r="10731">
      <c r="A10731" s="8" t="n"/>
      <c r="B10731" s="9" t="n"/>
    </row>
    <row r="10732">
      <c r="A10732" s="8" t="n"/>
      <c r="B10732" s="9" t="n"/>
    </row>
    <row r="10733">
      <c r="A10733" s="8" t="n"/>
      <c r="B10733" s="9" t="n"/>
    </row>
    <row r="10734">
      <c r="A10734" s="8" t="n"/>
      <c r="B10734" s="9" t="n"/>
    </row>
    <row r="10735">
      <c r="A10735" s="8" t="n"/>
      <c r="B10735" s="9" t="n"/>
    </row>
    <row r="10736">
      <c r="A10736" s="8" t="n"/>
      <c r="B10736" s="9" t="n"/>
    </row>
    <row r="10737">
      <c r="A10737" s="8" t="n"/>
      <c r="B10737" s="9" t="n"/>
    </row>
    <row r="10738">
      <c r="A10738" s="8" t="n"/>
      <c r="B10738" s="9" t="n"/>
    </row>
    <row r="10739">
      <c r="A10739" s="8" t="n"/>
      <c r="B10739" s="9" t="n"/>
    </row>
    <row r="10740">
      <c r="A10740" s="8" t="n"/>
      <c r="B10740" s="9" t="n"/>
    </row>
    <row r="10741">
      <c r="A10741" s="8" t="n"/>
      <c r="B10741" s="9" t="n"/>
    </row>
    <row r="10742">
      <c r="A10742" s="8" t="n"/>
      <c r="B10742" s="9" t="n"/>
    </row>
    <row r="10743">
      <c r="A10743" s="8" t="n"/>
      <c r="B10743" s="9" t="n"/>
    </row>
    <row r="10744">
      <c r="A10744" s="8" t="n"/>
      <c r="B10744" s="9" t="n"/>
    </row>
    <row r="10745">
      <c r="A10745" s="8" t="n"/>
      <c r="B10745" s="9" t="n"/>
    </row>
    <row r="10746">
      <c r="A10746" s="8" t="n"/>
      <c r="B10746" s="9" t="n"/>
    </row>
    <row r="10747">
      <c r="A10747" s="8" t="n"/>
      <c r="B10747" s="9" t="n"/>
    </row>
    <row r="10748">
      <c r="A10748" s="8" t="n"/>
      <c r="B10748" s="9" t="n"/>
    </row>
    <row r="10749">
      <c r="A10749" s="8" t="n"/>
      <c r="B10749" s="9" t="n"/>
    </row>
    <row r="10750">
      <c r="A10750" s="8" t="n"/>
      <c r="B10750" s="9" t="n"/>
    </row>
    <row r="10751">
      <c r="A10751" s="8" t="n"/>
      <c r="B10751" s="9" t="n"/>
    </row>
    <row r="10752">
      <c r="A10752" s="8" t="n"/>
      <c r="B10752" s="9" t="n"/>
    </row>
    <row r="10753">
      <c r="A10753" s="8" t="n"/>
      <c r="B10753" s="9" t="n"/>
    </row>
    <row r="10754">
      <c r="A10754" s="8" t="n"/>
      <c r="B10754" s="9" t="n"/>
    </row>
    <row r="10755">
      <c r="A10755" s="8" t="n"/>
      <c r="B10755" s="9" t="n"/>
    </row>
    <row r="10756">
      <c r="A10756" s="8" t="n"/>
      <c r="B10756" s="9" t="n"/>
    </row>
    <row r="10757">
      <c r="A10757" s="8" t="n"/>
      <c r="B10757" s="9" t="n"/>
    </row>
    <row r="10758">
      <c r="A10758" s="8" t="n"/>
      <c r="B10758" s="9" t="n"/>
    </row>
    <row r="10759">
      <c r="A10759" s="8" t="n"/>
      <c r="B10759" s="9" t="n"/>
    </row>
    <row r="10760">
      <c r="A10760" s="8" t="n"/>
      <c r="B10760" s="9" t="n"/>
    </row>
    <row r="10761">
      <c r="A10761" s="8" t="n"/>
      <c r="B10761" s="9" t="n"/>
    </row>
    <row r="10762">
      <c r="A10762" s="8" t="n"/>
      <c r="B10762" s="9" t="n"/>
    </row>
    <row r="10763">
      <c r="A10763" s="8" t="n"/>
      <c r="B10763" s="9" t="n"/>
    </row>
    <row r="10764">
      <c r="A10764" s="8" t="n"/>
      <c r="B10764" s="9" t="n"/>
    </row>
    <row r="10765">
      <c r="A10765" s="8" t="n"/>
      <c r="B10765" s="9" t="n"/>
    </row>
    <row r="10766">
      <c r="A10766" s="8" t="n"/>
      <c r="B10766" s="9" t="n"/>
    </row>
    <row r="10767">
      <c r="A10767" s="8" t="n"/>
      <c r="B10767" s="9" t="n"/>
    </row>
    <row r="10768">
      <c r="A10768" s="8" t="n"/>
      <c r="B10768" s="9" t="n"/>
    </row>
    <row r="10769">
      <c r="A10769" s="8" t="n"/>
      <c r="B10769" s="9" t="n"/>
    </row>
    <row r="10770">
      <c r="A10770" s="8" t="n"/>
      <c r="B10770" s="9" t="n"/>
    </row>
    <row r="10771">
      <c r="A10771" s="8" t="n"/>
      <c r="B10771" s="9" t="n"/>
    </row>
    <row r="10772">
      <c r="A10772" s="8" t="n"/>
      <c r="B10772" s="9" t="n"/>
    </row>
    <row r="10773">
      <c r="A10773" s="8" t="n"/>
      <c r="B10773" s="9" t="n"/>
    </row>
    <row r="10774">
      <c r="A10774" s="8" t="n"/>
      <c r="B10774" s="9" t="n"/>
    </row>
    <row r="10775">
      <c r="A10775" s="8" t="n"/>
      <c r="B10775" s="9" t="n"/>
    </row>
    <row r="10776">
      <c r="A10776" s="8" t="n"/>
      <c r="B10776" s="9" t="n"/>
    </row>
    <row r="10777">
      <c r="A10777" s="8" t="n"/>
      <c r="B10777" s="9" t="n"/>
    </row>
    <row r="10778">
      <c r="A10778" s="8" t="n"/>
      <c r="B10778" s="9" t="n"/>
    </row>
    <row r="10779">
      <c r="A10779" s="8" t="n"/>
      <c r="B10779" s="9" t="n"/>
    </row>
    <row r="10780">
      <c r="A10780" s="8" t="n"/>
      <c r="B10780" s="9" t="n"/>
    </row>
    <row r="10781">
      <c r="A10781" s="8" t="n"/>
      <c r="B10781" s="9" t="n"/>
    </row>
    <row r="10782">
      <c r="A10782" s="8" t="n"/>
      <c r="B10782" s="9" t="n"/>
    </row>
    <row r="10783">
      <c r="A10783" s="8" t="n"/>
      <c r="B10783" s="9" t="n"/>
    </row>
    <row r="10784">
      <c r="A10784" s="8" t="n"/>
      <c r="B10784" s="9" t="n"/>
    </row>
    <row r="10785">
      <c r="A10785" s="8" t="n"/>
      <c r="B10785" s="9" t="n"/>
    </row>
    <row r="10786">
      <c r="A10786" s="8" t="n"/>
      <c r="B10786" s="9" t="n"/>
    </row>
    <row r="10787">
      <c r="A10787" s="8" t="n"/>
      <c r="B10787" s="9" t="n"/>
    </row>
    <row r="10788">
      <c r="A10788" s="8" t="n"/>
      <c r="B10788" s="9" t="n"/>
    </row>
    <row r="10789">
      <c r="A10789" s="8" t="n"/>
      <c r="B10789" s="9" t="n"/>
    </row>
    <row r="10790">
      <c r="A10790" s="8" t="n"/>
      <c r="B10790" s="9" t="n"/>
    </row>
    <row r="10791">
      <c r="A10791" s="8" t="n"/>
      <c r="B10791" s="9" t="n"/>
    </row>
    <row r="10792">
      <c r="A10792" s="8" t="n"/>
      <c r="B10792" s="9" t="n"/>
    </row>
    <row r="10793">
      <c r="A10793" s="8" t="n"/>
      <c r="B10793" s="9" t="n"/>
    </row>
    <row r="10794">
      <c r="A10794" s="8" t="n"/>
      <c r="B10794" s="9" t="n"/>
    </row>
    <row r="10795">
      <c r="A10795" s="8" t="n"/>
      <c r="B10795" s="9" t="n"/>
    </row>
    <row r="10796">
      <c r="A10796" s="8" t="n"/>
      <c r="B10796" s="9" t="n"/>
    </row>
    <row r="10797">
      <c r="A10797" s="8" t="n"/>
      <c r="B10797" s="9" t="n"/>
    </row>
    <row r="10798">
      <c r="A10798" s="8" t="n"/>
      <c r="B10798" s="9" t="n"/>
    </row>
    <row r="10799">
      <c r="A10799" s="8" t="n"/>
      <c r="B10799" s="9" t="n"/>
    </row>
    <row r="10800">
      <c r="A10800" s="8" t="n"/>
      <c r="B10800" s="9" t="n"/>
    </row>
    <row r="10801">
      <c r="A10801" s="8" t="n"/>
      <c r="B10801" s="9" t="n"/>
    </row>
    <row r="10802">
      <c r="A10802" s="8" t="n"/>
      <c r="B10802" s="9" t="n"/>
    </row>
    <row r="10803">
      <c r="A10803" s="8" t="n"/>
      <c r="B10803" s="9" t="n"/>
    </row>
    <row r="10804">
      <c r="A10804" s="8" t="n"/>
      <c r="B10804" s="9" t="n"/>
    </row>
    <row r="10805">
      <c r="A10805" s="8" t="n"/>
      <c r="B10805" s="9" t="n"/>
    </row>
    <row r="10806">
      <c r="A10806" s="8" t="n"/>
      <c r="B10806" s="9" t="n"/>
    </row>
    <row r="10807">
      <c r="A10807" s="8" t="n"/>
      <c r="B10807" s="9" t="n"/>
    </row>
    <row r="10808">
      <c r="A10808" s="8" t="n"/>
      <c r="B10808" s="9" t="n"/>
    </row>
    <row r="10809">
      <c r="A10809" s="8" t="n"/>
      <c r="B10809" s="9" t="n"/>
    </row>
    <row r="10810">
      <c r="A10810" s="8" t="n"/>
      <c r="B10810" s="9" t="n"/>
    </row>
    <row r="10811">
      <c r="A10811" s="8" t="n"/>
      <c r="B10811" s="9" t="n"/>
    </row>
    <row r="10812">
      <c r="A10812" s="8" t="n"/>
      <c r="B10812" s="9" t="n"/>
    </row>
    <row r="10813">
      <c r="A10813" s="8" t="n"/>
      <c r="B10813" s="9" t="n"/>
    </row>
    <row r="10814">
      <c r="A10814" s="8" t="n"/>
      <c r="B10814" s="9" t="n"/>
    </row>
    <row r="10815">
      <c r="A10815" s="8" t="n"/>
      <c r="B10815" s="9" t="n"/>
    </row>
    <row r="10816">
      <c r="A10816" s="8" t="n"/>
      <c r="B10816" s="9" t="n"/>
    </row>
    <row r="10817">
      <c r="A10817" s="8" t="n"/>
      <c r="B10817" s="9" t="n"/>
    </row>
    <row r="10818">
      <c r="A10818" s="8" t="n"/>
      <c r="B10818" s="9" t="n"/>
    </row>
    <row r="10819">
      <c r="A10819" s="8" t="n"/>
      <c r="B10819" s="9" t="n"/>
    </row>
    <row r="10820">
      <c r="A10820" s="8" t="n"/>
      <c r="B10820" s="9" t="n"/>
    </row>
    <row r="10821">
      <c r="A10821" s="8" t="n"/>
      <c r="B10821" s="9" t="n"/>
    </row>
    <row r="10822">
      <c r="A10822" s="8" t="n"/>
      <c r="B10822" s="9" t="n"/>
    </row>
    <row r="10823">
      <c r="A10823" s="8" t="n"/>
      <c r="B10823" s="9" t="n"/>
    </row>
    <row r="10824">
      <c r="A10824" s="8" t="n"/>
      <c r="B10824" s="9" t="n"/>
    </row>
    <row r="10825">
      <c r="A10825" s="8" t="n"/>
      <c r="B10825" s="9" t="n"/>
    </row>
    <row r="10826">
      <c r="A10826" s="8" t="n"/>
      <c r="B10826" s="9" t="n"/>
    </row>
    <row r="10827">
      <c r="A10827" s="8" t="n"/>
      <c r="B10827" s="9" t="n"/>
    </row>
    <row r="10828">
      <c r="A10828" s="8" t="n"/>
      <c r="B10828" s="9" t="n"/>
    </row>
    <row r="10829">
      <c r="A10829" s="8" t="n"/>
      <c r="B10829" s="9" t="n"/>
    </row>
    <row r="10830">
      <c r="A10830" s="8" t="n"/>
      <c r="B10830" s="9" t="n"/>
    </row>
    <row r="10831">
      <c r="A10831" s="8" t="n"/>
      <c r="B10831" s="9" t="n"/>
    </row>
    <row r="10832">
      <c r="A10832" s="8" t="n"/>
      <c r="B10832" s="9" t="n"/>
    </row>
    <row r="10833">
      <c r="A10833" s="8" t="n"/>
      <c r="B10833" s="9" t="n"/>
    </row>
    <row r="10834">
      <c r="A10834" s="8" t="n"/>
      <c r="B10834" s="9" t="n"/>
    </row>
    <row r="10835">
      <c r="A10835" s="8" t="n"/>
      <c r="B10835" s="9" t="n"/>
    </row>
    <row r="10836">
      <c r="A10836" s="8" t="n"/>
      <c r="B10836" s="9" t="n"/>
    </row>
    <row r="10837">
      <c r="A10837" s="8" t="n"/>
      <c r="B10837" s="9" t="n"/>
    </row>
    <row r="10838">
      <c r="A10838" s="8" t="n"/>
      <c r="B10838" s="9" t="n"/>
    </row>
    <row r="10839">
      <c r="A10839" s="8" t="n"/>
      <c r="B10839" s="9" t="n"/>
    </row>
    <row r="10840">
      <c r="A10840" s="8" t="n"/>
      <c r="B10840" s="9" t="n"/>
    </row>
    <row r="10841">
      <c r="A10841" s="8" t="n"/>
      <c r="B10841" s="9" t="n"/>
    </row>
    <row r="10842">
      <c r="A10842" s="8" t="n"/>
      <c r="B10842" s="9" t="n"/>
    </row>
    <row r="10843">
      <c r="A10843" s="8" t="n"/>
      <c r="B10843" s="9" t="n"/>
    </row>
    <row r="10844">
      <c r="A10844" s="8" t="n"/>
      <c r="B10844" s="9" t="n"/>
    </row>
    <row r="10845">
      <c r="A10845" s="8" t="n"/>
      <c r="B10845" s="9" t="n"/>
    </row>
    <row r="10846">
      <c r="A10846" s="8" t="n"/>
      <c r="B10846" s="9" t="n"/>
    </row>
    <row r="10847">
      <c r="A10847" s="8" t="n"/>
      <c r="B10847" s="9" t="n"/>
    </row>
    <row r="10848">
      <c r="A10848" s="8" t="n"/>
      <c r="B10848" s="9" t="n"/>
    </row>
    <row r="10849">
      <c r="A10849" s="8" t="n"/>
      <c r="B10849" s="9" t="n"/>
    </row>
    <row r="10850">
      <c r="A10850" s="8" t="n"/>
      <c r="B10850" s="9" t="n"/>
    </row>
    <row r="10851">
      <c r="A10851" s="8" t="n"/>
      <c r="B10851" s="9" t="n"/>
    </row>
    <row r="10852">
      <c r="A10852" s="8" t="n"/>
      <c r="B10852" s="9" t="n"/>
    </row>
    <row r="10853">
      <c r="A10853" s="8" t="n"/>
      <c r="B10853" s="9" t="n"/>
    </row>
    <row r="10854">
      <c r="A10854" s="8" t="n"/>
      <c r="B10854" s="9" t="n"/>
    </row>
    <row r="10855">
      <c r="A10855" s="8" t="n"/>
      <c r="B10855" s="9" t="n"/>
    </row>
    <row r="10856">
      <c r="A10856" s="8" t="n"/>
      <c r="B10856" s="9" t="n"/>
    </row>
    <row r="10857">
      <c r="A10857" s="8" t="n"/>
      <c r="B10857" s="9" t="n"/>
    </row>
    <row r="10858">
      <c r="A10858" s="8" t="n"/>
      <c r="B10858" s="9" t="n"/>
    </row>
    <row r="10859">
      <c r="A10859" s="8" t="n"/>
      <c r="B10859" s="9" t="n"/>
    </row>
    <row r="10860">
      <c r="A10860" s="8" t="n"/>
      <c r="B10860" s="9" t="n"/>
    </row>
    <row r="10861">
      <c r="A10861" s="8" t="n"/>
      <c r="B10861" s="9" t="n"/>
    </row>
    <row r="10862">
      <c r="A10862" s="8" t="n"/>
      <c r="B10862" s="9" t="n"/>
    </row>
    <row r="10863">
      <c r="A10863" s="8" t="n"/>
      <c r="B10863" s="9" t="n"/>
    </row>
    <row r="10864">
      <c r="A10864" s="8" t="n"/>
      <c r="B10864" s="9" t="n"/>
    </row>
    <row r="10865">
      <c r="A10865" s="8" t="n"/>
      <c r="B10865" s="9" t="n"/>
    </row>
    <row r="10866">
      <c r="A10866" s="8" t="n"/>
      <c r="B10866" s="9" t="n"/>
    </row>
    <row r="10867">
      <c r="A10867" s="8" t="n"/>
      <c r="B10867" s="9" t="n"/>
    </row>
    <row r="10868">
      <c r="A10868" s="8" t="n"/>
      <c r="B10868" s="9" t="n"/>
    </row>
    <row r="10869">
      <c r="A10869" s="8" t="n"/>
      <c r="B10869" s="9" t="n"/>
    </row>
    <row r="10870">
      <c r="A10870" s="8" t="n"/>
      <c r="B10870" s="9" t="n"/>
    </row>
    <row r="10871">
      <c r="A10871" s="8" t="n"/>
      <c r="B10871" s="9" t="n"/>
    </row>
    <row r="10872">
      <c r="A10872" s="8" t="n"/>
      <c r="B10872" s="9" t="n"/>
    </row>
    <row r="10873">
      <c r="A10873" s="8" t="n"/>
      <c r="B10873" s="9" t="n"/>
    </row>
    <row r="10874">
      <c r="A10874" s="8" t="n"/>
      <c r="B10874" s="9" t="n"/>
    </row>
    <row r="10875">
      <c r="A10875" s="8" t="n"/>
      <c r="B10875" s="9" t="n"/>
    </row>
    <row r="10876">
      <c r="A10876" s="8" t="n"/>
      <c r="B10876" s="9" t="n"/>
    </row>
    <row r="10877">
      <c r="A10877" s="8" t="n"/>
      <c r="B10877" s="9" t="n"/>
    </row>
    <row r="10878">
      <c r="A10878" s="8" t="n"/>
      <c r="B10878" s="9" t="n"/>
    </row>
    <row r="10879">
      <c r="A10879" s="8" t="n"/>
      <c r="B10879" s="9" t="n"/>
    </row>
    <row r="10880">
      <c r="A10880" s="8" t="n"/>
      <c r="B10880" s="9" t="n"/>
    </row>
    <row r="10881">
      <c r="A10881" s="8" t="n"/>
      <c r="B10881" s="9" t="n"/>
    </row>
    <row r="10882">
      <c r="A10882" s="8" t="n"/>
      <c r="B10882" s="9" t="n"/>
    </row>
    <row r="10883">
      <c r="A10883" s="8" t="n"/>
      <c r="B10883" s="9" t="n"/>
    </row>
    <row r="10884">
      <c r="A10884" s="8" t="n"/>
      <c r="B10884" s="9" t="n"/>
    </row>
    <row r="10885">
      <c r="A10885" s="8" t="n"/>
      <c r="B10885" s="9" t="n"/>
    </row>
    <row r="10886">
      <c r="A10886" s="8" t="n"/>
      <c r="B10886" s="9" t="n"/>
    </row>
    <row r="10887">
      <c r="A10887" s="8" t="n"/>
      <c r="B10887" s="9" t="n"/>
    </row>
    <row r="10888">
      <c r="A10888" s="8" t="n"/>
      <c r="B10888" s="9" t="n"/>
    </row>
    <row r="10889">
      <c r="A10889" s="8" t="n"/>
      <c r="B10889" s="9" t="n"/>
    </row>
    <row r="10890">
      <c r="A10890" s="8" t="n"/>
      <c r="B10890" s="9" t="n"/>
    </row>
    <row r="10891">
      <c r="A10891" s="8" t="n"/>
      <c r="B10891" s="9" t="n"/>
    </row>
    <row r="10892">
      <c r="A10892" s="8" t="n"/>
      <c r="B10892" s="9" t="n"/>
    </row>
    <row r="10893">
      <c r="A10893" s="8" t="n"/>
      <c r="B10893" s="9" t="n"/>
    </row>
    <row r="10894">
      <c r="A10894" s="8" t="n"/>
      <c r="B10894" s="9" t="n"/>
    </row>
    <row r="10895">
      <c r="A10895" s="8" t="n"/>
      <c r="B10895" s="9" t="n"/>
    </row>
    <row r="10896">
      <c r="A10896" s="8" t="n"/>
      <c r="B10896" s="9" t="n"/>
    </row>
    <row r="10897">
      <c r="A10897" s="8" t="n"/>
      <c r="B10897" s="9" t="n"/>
    </row>
    <row r="10898">
      <c r="A10898" s="8" t="n"/>
      <c r="B10898" s="9" t="n"/>
    </row>
    <row r="10899">
      <c r="A10899" s="8" t="n"/>
      <c r="B10899" s="9" t="n"/>
    </row>
    <row r="10900">
      <c r="A10900" s="8" t="n"/>
      <c r="B10900" s="9" t="n"/>
    </row>
    <row r="10901">
      <c r="A10901" s="8" t="n"/>
      <c r="B10901" s="9" t="n"/>
    </row>
    <row r="10902">
      <c r="A10902" s="8" t="n"/>
      <c r="B10902" s="9" t="n"/>
    </row>
    <row r="10903">
      <c r="A10903" s="8" t="n"/>
      <c r="B10903" s="9" t="n"/>
    </row>
    <row r="10904">
      <c r="A10904" s="8" t="n"/>
      <c r="B10904" s="9" t="n"/>
    </row>
    <row r="10905">
      <c r="A10905" s="8" t="n"/>
      <c r="B10905" s="9" t="n"/>
    </row>
    <row r="10906">
      <c r="A10906" s="8" t="n"/>
      <c r="B10906" s="9" t="n"/>
    </row>
    <row r="10907">
      <c r="A10907" s="8" t="n"/>
      <c r="B10907" s="9" t="n"/>
    </row>
    <row r="10908">
      <c r="A10908" s="8" t="n"/>
      <c r="B10908" s="9" t="n"/>
    </row>
    <row r="10909">
      <c r="A10909" s="8" t="n"/>
      <c r="B10909" s="9" t="n"/>
    </row>
    <row r="10910">
      <c r="A10910" s="8" t="n"/>
      <c r="B10910" s="9" t="n"/>
    </row>
    <row r="10911">
      <c r="A10911" s="8" t="n"/>
      <c r="B10911" s="9" t="n"/>
    </row>
    <row r="10912">
      <c r="A10912" s="8" t="n"/>
      <c r="B10912" s="9" t="n"/>
    </row>
    <row r="10913">
      <c r="A10913" s="8" t="n"/>
      <c r="B10913" s="9" t="n"/>
    </row>
    <row r="10914">
      <c r="A10914" s="8" t="n"/>
      <c r="B10914" s="9" t="n"/>
    </row>
    <row r="10915">
      <c r="A10915" s="8" t="n"/>
      <c r="B10915" s="9" t="n"/>
    </row>
    <row r="10916">
      <c r="A10916" s="8" t="n"/>
      <c r="B10916" s="9" t="n"/>
    </row>
    <row r="10917">
      <c r="A10917" s="8" t="n"/>
      <c r="B10917" s="9" t="n"/>
    </row>
    <row r="10918">
      <c r="A10918" s="8" t="n"/>
      <c r="B10918" s="9" t="n"/>
    </row>
    <row r="10919">
      <c r="A10919" s="8" t="n"/>
      <c r="B10919" s="9" t="n"/>
    </row>
    <row r="10920">
      <c r="A10920" s="8" t="n"/>
      <c r="B10920" s="9" t="n"/>
    </row>
    <row r="10921">
      <c r="A10921" s="8" t="n"/>
      <c r="B10921" s="9" t="n"/>
    </row>
    <row r="10922">
      <c r="A10922" s="8" t="n"/>
      <c r="B10922" s="9" t="n"/>
    </row>
    <row r="10923">
      <c r="A10923" s="8" t="n"/>
      <c r="B10923" s="9" t="n"/>
    </row>
    <row r="10924">
      <c r="A10924" s="8" t="n"/>
      <c r="B10924" s="9" t="n"/>
    </row>
    <row r="10925">
      <c r="A10925" s="8" t="n"/>
      <c r="B10925" s="9" t="n"/>
    </row>
    <row r="10926">
      <c r="A10926" s="8" t="n"/>
      <c r="B10926" s="9" t="n"/>
    </row>
    <row r="10927">
      <c r="A10927" s="8" t="n"/>
      <c r="B10927" s="9" t="n"/>
    </row>
    <row r="10928">
      <c r="A10928" s="8" t="n"/>
      <c r="B10928" s="9" t="n"/>
    </row>
    <row r="10929">
      <c r="A10929" s="8" t="n"/>
      <c r="B10929" s="9" t="n"/>
    </row>
    <row r="10930">
      <c r="A10930" s="8" t="n"/>
      <c r="B10930" s="9" t="n"/>
    </row>
    <row r="10931">
      <c r="A10931" s="8" t="n"/>
      <c r="B10931" s="9" t="n"/>
    </row>
    <row r="10932">
      <c r="A10932" s="8" t="n"/>
      <c r="B10932" s="9" t="n"/>
    </row>
    <row r="10933">
      <c r="A10933" s="8" t="n"/>
      <c r="B10933" s="9" t="n"/>
    </row>
    <row r="10934">
      <c r="A10934" s="8" t="n"/>
      <c r="B10934" s="9" t="n"/>
    </row>
    <row r="10935">
      <c r="A10935" s="8" t="n"/>
      <c r="B10935" s="9" t="n"/>
    </row>
    <row r="10936">
      <c r="A10936" s="8" t="n"/>
      <c r="B10936" s="9" t="n"/>
    </row>
    <row r="10937">
      <c r="A10937" s="8" t="n"/>
      <c r="B10937" s="9" t="n"/>
    </row>
    <row r="10938">
      <c r="A10938" s="8" t="n"/>
      <c r="B10938" s="9" t="n"/>
    </row>
    <row r="10939">
      <c r="A10939" s="8" t="n"/>
      <c r="B10939" s="9" t="n"/>
    </row>
    <row r="10940">
      <c r="A10940" s="8" t="n"/>
      <c r="B10940" s="9" t="n"/>
    </row>
    <row r="10941">
      <c r="A10941" s="8" t="n"/>
      <c r="B10941" s="9" t="n"/>
    </row>
    <row r="10942">
      <c r="A10942" s="8" t="n"/>
      <c r="B10942" s="9" t="n"/>
    </row>
    <row r="10943">
      <c r="A10943" s="8" t="n"/>
      <c r="B10943" s="9" t="n"/>
    </row>
    <row r="10944">
      <c r="A10944" s="8" t="n"/>
      <c r="B10944" s="9" t="n"/>
    </row>
    <row r="10945">
      <c r="A10945" s="8" t="n"/>
      <c r="B10945" s="9" t="n"/>
    </row>
    <row r="10946">
      <c r="A10946" s="8" t="n"/>
      <c r="B10946" s="9" t="n"/>
    </row>
    <row r="10947">
      <c r="A10947" s="8" t="n"/>
      <c r="B10947" s="9" t="n"/>
    </row>
    <row r="10948">
      <c r="A10948" s="8" t="n"/>
      <c r="B10948" s="9" t="n"/>
    </row>
    <row r="10949">
      <c r="A10949" s="8" t="n"/>
      <c r="B10949" s="9" t="n"/>
    </row>
    <row r="10950">
      <c r="A10950" s="8" t="n"/>
      <c r="B10950" s="9" t="n"/>
    </row>
    <row r="10951">
      <c r="A10951" s="8" t="n"/>
      <c r="B10951" s="9" t="n"/>
    </row>
    <row r="10952">
      <c r="A10952" s="8" t="n"/>
      <c r="B10952" s="9" t="n"/>
    </row>
    <row r="10953">
      <c r="A10953" s="8" t="n"/>
      <c r="B10953" s="9" t="n"/>
    </row>
    <row r="10954">
      <c r="A10954" s="8" t="n"/>
      <c r="B10954" s="9" t="n"/>
    </row>
    <row r="10955">
      <c r="A10955" s="8" t="n"/>
      <c r="B10955" s="9" t="n"/>
    </row>
    <row r="10956">
      <c r="A10956" s="8" t="n"/>
      <c r="B10956" s="9" t="n"/>
    </row>
    <row r="10957">
      <c r="A10957" s="8" t="n"/>
      <c r="B10957" s="9" t="n"/>
    </row>
    <row r="10958">
      <c r="A10958" s="8" t="n"/>
      <c r="B10958" s="9" t="n"/>
    </row>
    <row r="10959">
      <c r="A10959" s="8" t="n"/>
      <c r="B10959" s="9" t="n"/>
    </row>
    <row r="10960">
      <c r="A10960" s="8" t="n"/>
      <c r="B10960" s="9" t="n"/>
    </row>
    <row r="10961">
      <c r="A10961" s="8" t="n"/>
      <c r="B10961" s="9" t="n"/>
    </row>
    <row r="10962">
      <c r="A10962" s="8" t="n"/>
      <c r="B10962" s="9" t="n"/>
    </row>
    <row r="10963">
      <c r="A10963" s="8" t="n"/>
      <c r="B10963" s="9" t="n"/>
    </row>
    <row r="10964">
      <c r="A10964" s="8" t="n"/>
      <c r="B10964" s="9" t="n"/>
    </row>
    <row r="10965">
      <c r="A10965" s="8" t="n"/>
      <c r="B10965" s="9" t="n"/>
    </row>
    <row r="10966">
      <c r="A10966" s="8" t="n"/>
      <c r="B10966" s="9" t="n"/>
    </row>
    <row r="10967">
      <c r="A10967" s="8" t="n"/>
      <c r="B10967" s="9" t="n"/>
    </row>
    <row r="10968">
      <c r="A10968" s="8" t="n"/>
      <c r="B10968" s="9" t="n"/>
    </row>
    <row r="10969">
      <c r="A10969" s="8" t="n"/>
      <c r="B10969" s="9" t="n"/>
    </row>
    <row r="10970">
      <c r="A10970" s="8" t="n"/>
      <c r="B10970" s="9" t="n"/>
    </row>
    <row r="10971">
      <c r="A10971" s="8" t="n"/>
      <c r="B10971" s="9" t="n"/>
    </row>
    <row r="10972">
      <c r="A10972" s="8" t="n"/>
      <c r="B10972" s="9" t="n"/>
    </row>
    <row r="10973">
      <c r="A10973" s="8" t="n"/>
      <c r="B10973" s="9" t="n"/>
    </row>
    <row r="10974">
      <c r="A10974" s="8" t="n"/>
      <c r="B10974" s="9" t="n"/>
    </row>
    <row r="10975">
      <c r="A10975" s="8" t="n"/>
      <c r="B10975" s="9" t="n"/>
    </row>
    <row r="10976">
      <c r="A10976" s="8" t="n"/>
      <c r="B10976" s="9" t="n"/>
    </row>
    <row r="10977">
      <c r="A10977" s="8" t="n"/>
      <c r="B10977" s="9" t="n"/>
    </row>
    <row r="10978">
      <c r="A10978" s="8" t="n"/>
      <c r="B10978" s="9" t="n"/>
    </row>
    <row r="10979">
      <c r="A10979" s="8" t="n"/>
      <c r="B10979" s="9" t="n"/>
    </row>
    <row r="10980">
      <c r="A10980" s="8" t="n"/>
      <c r="B10980" s="9" t="n"/>
    </row>
    <row r="10981">
      <c r="A10981" s="8" t="n"/>
      <c r="B10981" s="9" t="n"/>
    </row>
    <row r="10982">
      <c r="A10982" s="8" t="n"/>
      <c r="B10982" s="9" t="n"/>
    </row>
    <row r="10983">
      <c r="A10983" s="8" t="n"/>
      <c r="B10983" s="9" t="n"/>
    </row>
    <row r="10984">
      <c r="A10984" s="8" t="n"/>
      <c r="B10984" s="9" t="n"/>
    </row>
    <row r="10985">
      <c r="A10985" s="8" t="n"/>
      <c r="B10985" s="9" t="n"/>
    </row>
    <row r="10986">
      <c r="A10986" s="8" t="n"/>
      <c r="B10986" s="9" t="n"/>
    </row>
    <row r="10987">
      <c r="A10987" s="8" t="n"/>
      <c r="B10987" s="9" t="n"/>
    </row>
    <row r="10988">
      <c r="A10988" s="8" t="n"/>
      <c r="B10988" s="9" t="n"/>
    </row>
    <row r="10989">
      <c r="A10989" s="8" t="n"/>
      <c r="B10989" s="9" t="n"/>
    </row>
    <row r="10990">
      <c r="A10990" s="8" t="n"/>
      <c r="B10990" s="9" t="n"/>
    </row>
    <row r="10991">
      <c r="A10991" s="8" t="n"/>
      <c r="B10991" s="9" t="n"/>
    </row>
    <row r="10992">
      <c r="A10992" s="8" t="n"/>
      <c r="B10992" s="9" t="n"/>
    </row>
    <row r="10993">
      <c r="A10993" s="8" t="n"/>
      <c r="B10993" s="9" t="n"/>
    </row>
    <row r="10994">
      <c r="A10994" s="8" t="n"/>
      <c r="B10994" s="9" t="n"/>
    </row>
    <row r="10995">
      <c r="A10995" s="8" t="n"/>
      <c r="B10995" s="9" t="n"/>
    </row>
    <row r="10996">
      <c r="A10996" s="8" t="n"/>
      <c r="B10996" s="9" t="n"/>
    </row>
    <row r="10997">
      <c r="A10997" s="8" t="n"/>
      <c r="B10997" s="9" t="n"/>
    </row>
    <row r="10998">
      <c r="A10998" s="8" t="n"/>
      <c r="B10998" s="9" t="n"/>
    </row>
    <row r="10999">
      <c r="A10999" s="8" t="n"/>
      <c r="B10999" s="9" t="n"/>
    </row>
    <row r="11000">
      <c r="A11000" s="8" t="n"/>
      <c r="B11000" s="9" t="n"/>
    </row>
    <row r="11001">
      <c r="A11001" s="8" t="n"/>
      <c r="B11001" s="9" t="n"/>
    </row>
    <row r="11002">
      <c r="A11002" s="8" t="n"/>
      <c r="B11002" s="9" t="n"/>
    </row>
    <row r="11003">
      <c r="A11003" s="8" t="n"/>
      <c r="B11003" s="9" t="n"/>
    </row>
    <row r="11004">
      <c r="A11004" s="8" t="n"/>
      <c r="B11004" s="9" t="n"/>
    </row>
    <row r="11005">
      <c r="A11005" s="8" t="n"/>
      <c r="B11005" s="9" t="n"/>
    </row>
    <row r="11006">
      <c r="A11006" s="8" t="n"/>
      <c r="B11006" s="9" t="n"/>
    </row>
    <row r="11007">
      <c r="A11007" s="8" t="n"/>
      <c r="B11007" s="9" t="n"/>
    </row>
    <row r="11008">
      <c r="A11008" s="8" t="n"/>
      <c r="B11008" s="9" t="n"/>
    </row>
    <row r="11009">
      <c r="A11009" s="8" t="n"/>
      <c r="B11009" s="9" t="n"/>
    </row>
    <row r="11010">
      <c r="A11010" s="8" t="n"/>
      <c r="B11010" s="9" t="n"/>
    </row>
    <row r="11011">
      <c r="A11011" s="8" t="n"/>
      <c r="B11011" s="9" t="n"/>
    </row>
    <row r="11012">
      <c r="A11012" s="8" t="n"/>
      <c r="B11012" s="9" t="n"/>
    </row>
    <row r="11013">
      <c r="A11013" s="8" t="n"/>
      <c r="B11013" s="9" t="n"/>
    </row>
    <row r="11014">
      <c r="A11014" s="8" t="n"/>
      <c r="B11014" s="9" t="n"/>
    </row>
    <row r="11015">
      <c r="A11015" s="8" t="n"/>
      <c r="B11015" s="9" t="n"/>
    </row>
    <row r="11016">
      <c r="A11016" s="8" t="n"/>
      <c r="B11016" s="9" t="n"/>
    </row>
    <row r="11017">
      <c r="A11017" s="8" t="n"/>
      <c r="B11017" s="9" t="n"/>
    </row>
    <row r="11018">
      <c r="A11018" s="8" t="n"/>
      <c r="B11018" s="9" t="n"/>
    </row>
    <row r="11019">
      <c r="A11019" s="8" t="n"/>
      <c r="B11019" s="9" t="n"/>
    </row>
    <row r="11020">
      <c r="A11020" s="8" t="n"/>
      <c r="B11020" s="9" t="n"/>
    </row>
    <row r="11021">
      <c r="A11021" s="8" t="n"/>
      <c r="B11021" s="9" t="n"/>
    </row>
    <row r="11022">
      <c r="A11022" s="8" t="n"/>
      <c r="B11022" s="9" t="n"/>
    </row>
    <row r="11023">
      <c r="A11023" s="8" t="n"/>
      <c r="B11023" s="9" t="n"/>
    </row>
    <row r="11024">
      <c r="A11024" s="8" t="n"/>
      <c r="B11024" s="9" t="n"/>
    </row>
    <row r="11025">
      <c r="A11025" s="8" t="n"/>
      <c r="B11025" s="9" t="n"/>
    </row>
    <row r="11026">
      <c r="A11026" s="8" t="n"/>
      <c r="B11026" s="9" t="n"/>
    </row>
    <row r="11027">
      <c r="A11027" s="8" t="n"/>
      <c r="B11027" s="9" t="n"/>
    </row>
    <row r="11028">
      <c r="A11028" s="8" t="n"/>
      <c r="B11028" s="9" t="n"/>
    </row>
    <row r="11029">
      <c r="A11029" s="8" t="n"/>
      <c r="B11029" s="9" t="n"/>
    </row>
    <row r="11030">
      <c r="A11030" s="8" t="n"/>
      <c r="B11030" s="9" t="n"/>
    </row>
    <row r="11031">
      <c r="A11031" s="8" t="n"/>
      <c r="B11031" s="9" t="n"/>
    </row>
    <row r="11032">
      <c r="A11032" s="8" t="n"/>
      <c r="B11032" s="9" t="n"/>
    </row>
    <row r="11033">
      <c r="A11033" s="8" t="n"/>
      <c r="B11033" s="9" t="n"/>
    </row>
    <row r="11034">
      <c r="A11034" s="8" t="n"/>
      <c r="B11034" s="9" t="n"/>
    </row>
    <row r="11035">
      <c r="A11035" s="8" t="n"/>
      <c r="B11035" s="9" t="n"/>
    </row>
    <row r="11036">
      <c r="A11036" s="8" t="n"/>
      <c r="B11036" s="9" t="n"/>
    </row>
    <row r="11037">
      <c r="A11037" s="8" t="n"/>
      <c r="B11037" s="9" t="n"/>
    </row>
    <row r="11038">
      <c r="A11038" s="8" t="n"/>
      <c r="B11038" s="9" t="n"/>
    </row>
    <row r="11039">
      <c r="A11039" s="8" t="n"/>
      <c r="B11039" s="9" t="n"/>
    </row>
    <row r="11040">
      <c r="A11040" s="8" t="n"/>
      <c r="B11040" s="9" t="n"/>
    </row>
    <row r="11041">
      <c r="A11041" s="8" t="n"/>
      <c r="B11041" s="9" t="n"/>
    </row>
    <row r="11042">
      <c r="A11042" s="8" t="n"/>
      <c r="B11042" s="9" t="n"/>
    </row>
    <row r="11043">
      <c r="A11043" s="8" t="n"/>
      <c r="B11043" s="9" t="n"/>
    </row>
    <row r="11044">
      <c r="A11044" s="8" t="n"/>
      <c r="B11044" s="9" t="n"/>
    </row>
    <row r="11045">
      <c r="A11045" s="8" t="n"/>
      <c r="B11045" s="9" t="n"/>
    </row>
    <row r="11046">
      <c r="A11046" s="8" t="n"/>
      <c r="B11046" s="9" t="n"/>
    </row>
    <row r="11047">
      <c r="A11047" s="8" t="n"/>
      <c r="B11047" s="9" t="n"/>
    </row>
    <row r="11048">
      <c r="A11048" s="8" t="n"/>
      <c r="B11048" s="9" t="n"/>
    </row>
    <row r="11049">
      <c r="A11049" s="8" t="n"/>
      <c r="B11049" s="9" t="n"/>
    </row>
    <row r="11050">
      <c r="A11050" s="8" t="n"/>
      <c r="B11050" s="9" t="n"/>
    </row>
    <row r="11051">
      <c r="A11051" s="8" t="n"/>
      <c r="B11051" s="9" t="n"/>
    </row>
    <row r="11052">
      <c r="A11052" s="8" t="n"/>
      <c r="B11052" s="9" t="n"/>
    </row>
    <row r="11053">
      <c r="A11053" s="8" t="n"/>
      <c r="B11053" s="9" t="n"/>
    </row>
    <row r="11054">
      <c r="A11054" s="8" t="n"/>
      <c r="B11054" s="9" t="n"/>
    </row>
    <row r="11055">
      <c r="A11055" s="8" t="n"/>
      <c r="B11055" s="9" t="n"/>
    </row>
    <row r="11056">
      <c r="A11056" s="8" t="n"/>
      <c r="B11056" s="9" t="n"/>
    </row>
    <row r="11057">
      <c r="A11057" s="8" t="n"/>
      <c r="B11057" s="9" t="n"/>
    </row>
    <row r="11058">
      <c r="A11058" s="8" t="n"/>
      <c r="B11058" s="9" t="n"/>
    </row>
    <row r="11059">
      <c r="A11059" s="8" t="n"/>
      <c r="B11059" s="9" t="n"/>
    </row>
    <row r="11060">
      <c r="A11060" s="8" t="n"/>
      <c r="B11060" s="9" t="n"/>
    </row>
    <row r="11061">
      <c r="A11061" s="8" t="n"/>
      <c r="B11061" s="9" t="n"/>
    </row>
    <row r="11062">
      <c r="A11062" s="8" t="n"/>
      <c r="B11062" s="9" t="n"/>
    </row>
    <row r="11063">
      <c r="A11063" s="8" t="n"/>
      <c r="B11063" s="9" t="n"/>
    </row>
    <row r="11064">
      <c r="A11064" s="8" t="n"/>
      <c r="B11064" s="9" t="n"/>
    </row>
    <row r="11065">
      <c r="A11065" s="8" t="n"/>
      <c r="B11065" s="9" t="n"/>
    </row>
    <row r="11066">
      <c r="A11066" s="8" t="n"/>
      <c r="B11066" s="9" t="n"/>
    </row>
    <row r="11067">
      <c r="A11067" s="8" t="n"/>
      <c r="B11067" s="9" t="n"/>
    </row>
    <row r="11068">
      <c r="A11068" s="8" t="n"/>
      <c r="B11068" s="9" t="n"/>
    </row>
    <row r="11069">
      <c r="A11069" s="8" t="n"/>
      <c r="B11069" s="9" t="n"/>
    </row>
    <row r="11070">
      <c r="A11070" s="8" t="n"/>
      <c r="B11070" s="9" t="n"/>
    </row>
    <row r="11071">
      <c r="A11071" s="8" t="n"/>
      <c r="B11071" s="9" t="n"/>
    </row>
    <row r="11072">
      <c r="A11072" s="8" t="n"/>
      <c r="B11072" s="9" t="n"/>
    </row>
    <row r="11073">
      <c r="A11073" s="8" t="n"/>
      <c r="B11073" s="9" t="n"/>
    </row>
    <row r="11074">
      <c r="A11074" s="8" t="n"/>
      <c r="B11074" s="9" t="n"/>
    </row>
    <row r="11075">
      <c r="A11075" s="8" t="n"/>
      <c r="B11075" s="9" t="n"/>
    </row>
    <row r="11076">
      <c r="A11076" s="8" t="n"/>
      <c r="B11076" s="9" t="n"/>
    </row>
    <row r="11077">
      <c r="A11077" s="8" t="n"/>
      <c r="B11077" s="9" t="n"/>
    </row>
    <row r="11078">
      <c r="A11078" s="8" t="n"/>
      <c r="B11078" s="9" t="n"/>
    </row>
    <row r="11079">
      <c r="A11079" s="8" t="n"/>
      <c r="B11079" s="9" t="n"/>
    </row>
    <row r="11080">
      <c r="A11080" s="8" t="n"/>
      <c r="B11080" s="9" t="n"/>
    </row>
    <row r="11081">
      <c r="A11081" s="8" t="n"/>
      <c r="B11081" s="9" t="n"/>
    </row>
    <row r="11082">
      <c r="A11082" s="8" t="n"/>
      <c r="B11082" s="9" t="n"/>
    </row>
    <row r="11083">
      <c r="A11083" s="8" t="n"/>
      <c r="B11083" s="9" t="n"/>
    </row>
    <row r="11084">
      <c r="A11084" s="8" t="n"/>
      <c r="B11084" s="9" t="n"/>
    </row>
    <row r="11085">
      <c r="A11085" s="8" t="n"/>
      <c r="B11085" s="9" t="n"/>
    </row>
    <row r="11086">
      <c r="A11086" s="8" t="n"/>
      <c r="B11086" s="9" t="n"/>
    </row>
    <row r="11087">
      <c r="A11087" s="8" t="n"/>
      <c r="B11087" s="9" t="n"/>
    </row>
    <row r="11088">
      <c r="A11088" s="8" t="n"/>
      <c r="B11088" s="9" t="n"/>
    </row>
    <row r="11089">
      <c r="A11089" s="8" t="n"/>
      <c r="B11089" s="9" t="n"/>
    </row>
    <row r="11090">
      <c r="A11090" s="8" t="n"/>
      <c r="B11090" s="9" t="n"/>
    </row>
    <row r="11091">
      <c r="A11091" s="8" t="n"/>
      <c r="B11091" s="9" t="n"/>
    </row>
    <row r="11092">
      <c r="A11092" s="8" t="n"/>
      <c r="B11092" s="9" t="n"/>
    </row>
    <row r="11093">
      <c r="A11093" s="8" t="n"/>
      <c r="B11093" s="9" t="n"/>
    </row>
    <row r="11094">
      <c r="A11094" s="8" t="n"/>
      <c r="B11094" s="9" t="n"/>
    </row>
    <row r="11095">
      <c r="A11095" s="8" t="n"/>
      <c r="B11095" s="9" t="n"/>
    </row>
    <row r="11096">
      <c r="A11096" s="8" t="n"/>
      <c r="B11096" s="9" t="n"/>
    </row>
    <row r="11097">
      <c r="A11097" s="8" t="n"/>
      <c r="B11097" s="9" t="n"/>
    </row>
    <row r="11098">
      <c r="A11098" s="8" t="n"/>
      <c r="B11098" s="9" t="n"/>
    </row>
    <row r="11099">
      <c r="A11099" s="8" t="n"/>
      <c r="B11099" s="9" t="n"/>
    </row>
    <row r="11100">
      <c r="A11100" s="8" t="n"/>
      <c r="B11100" s="9" t="n"/>
    </row>
    <row r="11101">
      <c r="A11101" s="8" t="n"/>
      <c r="B11101" s="9" t="n"/>
    </row>
    <row r="11102">
      <c r="A11102" s="8" t="n"/>
      <c r="B11102" s="9" t="n"/>
    </row>
    <row r="11103">
      <c r="A11103" s="8" t="n"/>
      <c r="B11103" s="9" t="n"/>
    </row>
    <row r="11104">
      <c r="A11104" s="8" t="n"/>
      <c r="B11104" s="9" t="n"/>
    </row>
    <row r="11105">
      <c r="A11105" s="8" t="n"/>
      <c r="B11105" s="9" t="n"/>
    </row>
    <row r="11106">
      <c r="A11106" s="8" t="n"/>
      <c r="B11106" s="9" t="n"/>
    </row>
    <row r="11107">
      <c r="A11107" s="8" t="n"/>
      <c r="B11107" s="9" t="n"/>
    </row>
    <row r="11108">
      <c r="A11108" s="8" t="n"/>
      <c r="B11108" s="9" t="n"/>
    </row>
    <row r="11109">
      <c r="A11109" s="8" t="n"/>
      <c r="B11109" s="9" t="n"/>
    </row>
    <row r="11110">
      <c r="A11110" s="8" t="n"/>
      <c r="B11110" s="9" t="n"/>
    </row>
    <row r="11111">
      <c r="A11111" s="8" t="n"/>
      <c r="B11111" s="9" t="n"/>
    </row>
    <row r="11112">
      <c r="A11112" s="8" t="n"/>
      <c r="B11112" s="9" t="n"/>
    </row>
    <row r="11113">
      <c r="A11113" s="8" t="n"/>
      <c r="B11113" s="9" t="n"/>
    </row>
    <row r="11114">
      <c r="A11114" s="8" t="n"/>
      <c r="B11114" s="9" t="n"/>
    </row>
    <row r="11115">
      <c r="A11115" s="8" t="n"/>
      <c r="B11115" s="9" t="n"/>
    </row>
    <row r="11116">
      <c r="A11116" s="8" t="n"/>
      <c r="B11116" s="9" t="n"/>
    </row>
    <row r="11117">
      <c r="A11117" s="8" t="n"/>
      <c r="B11117" s="9" t="n"/>
    </row>
    <row r="11118">
      <c r="A11118" s="8" t="n"/>
      <c r="B11118" s="9" t="n"/>
    </row>
    <row r="11119">
      <c r="A11119" s="8" t="n"/>
      <c r="B11119" s="9" t="n"/>
    </row>
    <row r="11120">
      <c r="A11120" s="8" t="n"/>
      <c r="B11120" s="9" t="n"/>
    </row>
    <row r="11121">
      <c r="A11121" s="8" t="n"/>
      <c r="B11121" s="9" t="n"/>
    </row>
    <row r="11122">
      <c r="A11122" s="8" t="n"/>
      <c r="B11122" s="9" t="n"/>
    </row>
    <row r="11123">
      <c r="A11123" s="8" t="n"/>
      <c r="B11123" s="9" t="n"/>
    </row>
    <row r="11124">
      <c r="A11124" s="8" t="n"/>
      <c r="B11124" s="9" t="n"/>
    </row>
    <row r="11125">
      <c r="A11125" s="8" t="n"/>
      <c r="B11125" s="9" t="n"/>
    </row>
    <row r="11126">
      <c r="A11126" s="8" t="n"/>
      <c r="B11126" s="9" t="n"/>
    </row>
    <row r="11127">
      <c r="A11127" s="8" t="n"/>
      <c r="B11127" s="9" t="n"/>
    </row>
    <row r="11128">
      <c r="A11128" s="8" t="n"/>
      <c r="B11128" s="9" t="n"/>
    </row>
    <row r="11129">
      <c r="A11129" s="8" t="n"/>
      <c r="B11129" s="9" t="n"/>
    </row>
    <row r="11130">
      <c r="A11130" s="8" t="n"/>
      <c r="B11130" s="9" t="n"/>
    </row>
    <row r="11131">
      <c r="A11131" s="8" t="n"/>
      <c r="B11131" s="9" t="n"/>
    </row>
    <row r="11132">
      <c r="A11132" s="8" t="n"/>
      <c r="B11132" s="9" t="n"/>
    </row>
    <row r="11133">
      <c r="A11133" s="8" t="n"/>
      <c r="B11133" s="9" t="n"/>
    </row>
    <row r="11134">
      <c r="A11134" s="8" t="n"/>
      <c r="B11134" s="9" t="n"/>
    </row>
    <row r="11135">
      <c r="A11135" s="8" t="n"/>
      <c r="B11135" s="9" t="n"/>
    </row>
    <row r="11136">
      <c r="A11136" s="8" t="n"/>
      <c r="B11136" s="9" t="n"/>
    </row>
    <row r="11137">
      <c r="A11137" s="8" t="n"/>
      <c r="B11137" s="9" t="n"/>
    </row>
    <row r="11138">
      <c r="A11138" s="8" t="n"/>
      <c r="B11138" s="9" t="n"/>
    </row>
    <row r="11139">
      <c r="A11139" s="8" t="n"/>
      <c r="B11139" s="9" t="n"/>
    </row>
    <row r="11140">
      <c r="A11140" s="8" t="n"/>
      <c r="B11140" s="9" t="n"/>
    </row>
    <row r="11141">
      <c r="A11141" s="8" t="n"/>
      <c r="B11141" s="9" t="n"/>
    </row>
    <row r="11142">
      <c r="A11142" s="8" t="n"/>
      <c r="B11142" s="9" t="n"/>
    </row>
    <row r="11143">
      <c r="A11143" s="8" t="n"/>
      <c r="B11143" s="9" t="n"/>
    </row>
    <row r="11144">
      <c r="A11144" s="8" t="n"/>
      <c r="B11144" s="9" t="n"/>
    </row>
    <row r="11145">
      <c r="A11145" s="8" t="n"/>
      <c r="B11145" s="9" t="n"/>
    </row>
    <row r="11146">
      <c r="A11146" s="8" t="n"/>
      <c r="B11146" s="9" t="n"/>
    </row>
    <row r="11147">
      <c r="A11147" s="8" t="n"/>
      <c r="B11147" s="9" t="n"/>
    </row>
    <row r="11148">
      <c r="A11148" s="8" t="n"/>
      <c r="B11148" s="9" t="n"/>
    </row>
    <row r="11149">
      <c r="A11149" s="8" t="n"/>
      <c r="B11149" s="9" t="n"/>
    </row>
    <row r="11150">
      <c r="A11150" s="8" t="n"/>
      <c r="B11150" s="9" t="n"/>
    </row>
    <row r="11151">
      <c r="A11151" s="8" t="n"/>
      <c r="B11151" s="9" t="n"/>
    </row>
    <row r="11152">
      <c r="A11152" s="8" t="n"/>
      <c r="B11152" s="9" t="n"/>
    </row>
    <row r="11153">
      <c r="A11153" s="8" t="n"/>
      <c r="B11153" s="9" t="n"/>
    </row>
    <row r="11154">
      <c r="A11154" s="8" t="n"/>
      <c r="B11154" s="9" t="n"/>
    </row>
    <row r="11155">
      <c r="A11155" s="8" t="n"/>
      <c r="B11155" s="9" t="n"/>
    </row>
    <row r="11156">
      <c r="A11156" s="8" t="n"/>
      <c r="B11156" s="9" t="n"/>
    </row>
    <row r="11157">
      <c r="A11157" s="8" t="n"/>
      <c r="B11157" s="9" t="n"/>
    </row>
    <row r="11158">
      <c r="A11158" s="8" t="n"/>
      <c r="B11158" s="9" t="n"/>
    </row>
    <row r="11159">
      <c r="A11159" s="8" t="n"/>
      <c r="B11159" s="9" t="n"/>
    </row>
    <row r="11160">
      <c r="A11160" s="8" t="n"/>
      <c r="B11160" s="9" t="n"/>
    </row>
    <row r="11161">
      <c r="A11161" s="8" t="n"/>
      <c r="B11161" s="9" t="n"/>
    </row>
    <row r="11162">
      <c r="A11162" s="8" t="n"/>
      <c r="B11162" s="9" t="n"/>
    </row>
    <row r="11163">
      <c r="A11163" s="8" t="n"/>
      <c r="B11163" s="9" t="n"/>
    </row>
    <row r="11164">
      <c r="A11164" s="8" t="n"/>
      <c r="B11164" s="9" t="n"/>
    </row>
    <row r="11165">
      <c r="A11165" s="8" t="n"/>
      <c r="B11165" s="9" t="n"/>
    </row>
    <row r="11166">
      <c r="A11166" s="8" t="n"/>
      <c r="B11166" s="9" t="n"/>
    </row>
    <row r="11167">
      <c r="A11167" s="8" t="n"/>
      <c r="B11167" s="9" t="n"/>
    </row>
    <row r="11168">
      <c r="A11168" s="8" t="n"/>
      <c r="B11168" s="9" t="n"/>
    </row>
    <row r="11169">
      <c r="A11169" s="8" t="n"/>
      <c r="B11169" s="9" t="n"/>
    </row>
    <row r="11170">
      <c r="A11170" s="8" t="n"/>
      <c r="B11170" s="9" t="n"/>
    </row>
    <row r="11171">
      <c r="A11171" s="8" t="n"/>
      <c r="B11171" s="9" t="n"/>
    </row>
    <row r="11172">
      <c r="A11172" s="8" t="n"/>
      <c r="B11172" s="9" t="n"/>
    </row>
    <row r="11173">
      <c r="A11173" s="8" t="n"/>
      <c r="B11173" s="9" t="n"/>
    </row>
    <row r="11174">
      <c r="A11174" s="8" t="n"/>
      <c r="B11174" s="9" t="n"/>
    </row>
    <row r="11175">
      <c r="A11175" s="8" t="n"/>
      <c r="B11175" s="9" t="n"/>
    </row>
    <row r="11176">
      <c r="A11176" s="8" t="n"/>
      <c r="B11176" s="9" t="n"/>
    </row>
    <row r="11177">
      <c r="A11177" s="8" t="n"/>
      <c r="B11177" s="9" t="n"/>
    </row>
    <row r="11178">
      <c r="A11178" s="8" t="n"/>
      <c r="B11178" s="9" t="n"/>
    </row>
    <row r="11179">
      <c r="A11179" s="8" t="n"/>
      <c r="B11179" s="9" t="n"/>
    </row>
    <row r="11180">
      <c r="A11180" s="8" t="n"/>
      <c r="B11180" s="9" t="n"/>
    </row>
    <row r="11181">
      <c r="A11181" s="8" t="n"/>
      <c r="B11181" s="9" t="n"/>
    </row>
    <row r="11182">
      <c r="A11182" s="8" t="n"/>
      <c r="B11182" s="9" t="n"/>
    </row>
    <row r="11183">
      <c r="A11183" s="8" t="n"/>
      <c r="B11183" s="9" t="n"/>
    </row>
    <row r="11184">
      <c r="A11184" s="8" t="n"/>
      <c r="B11184" s="9" t="n"/>
    </row>
    <row r="11185">
      <c r="A11185" s="8" t="n"/>
      <c r="B11185" s="9" t="n"/>
    </row>
    <row r="11186">
      <c r="A11186" s="8" t="n"/>
      <c r="B11186" s="9" t="n"/>
    </row>
    <row r="11187">
      <c r="A11187" s="8" t="n"/>
      <c r="B11187" s="9" t="n"/>
    </row>
    <row r="11188">
      <c r="A11188" s="8" t="n"/>
      <c r="B11188" s="9" t="n"/>
    </row>
    <row r="11189">
      <c r="A11189" s="8" t="n"/>
      <c r="B11189" s="9" t="n"/>
    </row>
    <row r="11190">
      <c r="A11190" s="8" t="n"/>
      <c r="B11190" s="9" t="n"/>
    </row>
    <row r="11191">
      <c r="A11191" s="8" t="n"/>
      <c r="B11191" s="9" t="n"/>
    </row>
    <row r="11192">
      <c r="A11192" s="8" t="n"/>
      <c r="B11192" s="9" t="n"/>
    </row>
    <row r="11193">
      <c r="A11193" s="8" t="n"/>
      <c r="B11193" s="9" t="n"/>
    </row>
    <row r="11194">
      <c r="A11194" s="8" t="n"/>
      <c r="B11194" s="9" t="n"/>
    </row>
    <row r="11195">
      <c r="A11195" s="8" t="n"/>
      <c r="B11195" s="9" t="n"/>
    </row>
    <row r="11196">
      <c r="A11196" s="8" t="n"/>
      <c r="B11196" s="9" t="n"/>
    </row>
    <row r="11197">
      <c r="A11197" s="8" t="n"/>
      <c r="B11197" s="9" t="n"/>
    </row>
    <row r="11198">
      <c r="A11198" s="8" t="n"/>
      <c r="B11198" s="9" t="n"/>
    </row>
    <row r="11199">
      <c r="A11199" s="8" t="n"/>
      <c r="B11199" s="9" t="n"/>
    </row>
    <row r="11200">
      <c r="A11200" s="8" t="n"/>
      <c r="B11200" s="9" t="n"/>
    </row>
    <row r="11201">
      <c r="A11201" s="8" t="n"/>
      <c r="B11201" s="9" t="n"/>
    </row>
    <row r="11202">
      <c r="A11202" s="8" t="n"/>
      <c r="B11202" s="9" t="n"/>
    </row>
    <row r="11203">
      <c r="A11203" s="8" t="n"/>
      <c r="B11203" s="9" t="n"/>
    </row>
    <row r="11204">
      <c r="A11204" s="8" t="n"/>
      <c r="B11204" s="9" t="n"/>
    </row>
    <row r="11205">
      <c r="A11205" s="8" t="n"/>
      <c r="B11205" s="9" t="n"/>
    </row>
    <row r="11206">
      <c r="A11206" s="8" t="n"/>
      <c r="B11206" s="9" t="n"/>
    </row>
    <row r="11207">
      <c r="A11207" s="8" t="n"/>
      <c r="B11207" s="9" t="n"/>
    </row>
    <row r="11208">
      <c r="A11208" s="8" t="n"/>
      <c r="B11208" s="9" t="n"/>
    </row>
    <row r="11209">
      <c r="A11209" s="8" t="n"/>
      <c r="B11209" s="9" t="n"/>
    </row>
    <row r="11210">
      <c r="A11210" s="8" t="n"/>
      <c r="B11210" s="9" t="n"/>
    </row>
    <row r="11211">
      <c r="A11211" s="8" t="n"/>
      <c r="B11211" s="9" t="n"/>
    </row>
    <row r="11212">
      <c r="A11212" s="8" t="n"/>
      <c r="B11212" s="9" t="n"/>
    </row>
    <row r="11213">
      <c r="A11213" s="8" t="n"/>
      <c r="B11213" s="9" t="n"/>
    </row>
    <row r="11214">
      <c r="A11214" s="8" t="n"/>
      <c r="B11214" s="9" t="n"/>
    </row>
    <row r="11215">
      <c r="A11215" s="8" t="n"/>
      <c r="B11215" s="9" t="n"/>
    </row>
    <row r="11216">
      <c r="A11216" s="8" t="n"/>
      <c r="B11216" s="9" t="n"/>
    </row>
    <row r="11217">
      <c r="A11217" s="8" t="n"/>
      <c r="B11217" s="9" t="n"/>
    </row>
    <row r="11218">
      <c r="A11218" s="8" t="n"/>
      <c r="B11218" s="9" t="n"/>
    </row>
    <row r="11219">
      <c r="A11219" s="8" t="n"/>
      <c r="B11219" s="9" t="n"/>
    </row>
    <row r="11220">
      <c r="A11220" s="8" t="n"/>
      <c r="B11220" s="9" t="n"/>
    </row>
    <row r="11221">
      <c r="A11221" s="8" t="n"/>
      <c r="B11221" s="9" t="n"/>
    </row>
    <row r="11222">
      <c r="A11222" s="8" t="n"/>
      <c r="B11222" s="9" t="n"/>
    </row>
    <row r="11223">
      <c r="A11223" s="8" t="n"/>
      <c r="B11223" s="9" t="n"/>
    </row>
    <row r="11224">
      <c r="A11224" s="8" t="n"/>
      <c r="B11224" s="9" t="n"/>
    </row>
    <row r="11225">
      <c r="A11225" s="8" t="n"/>
      <c r="B11225" s="9" t="n"/>
    </row>
    <row r="11226">
      <c r="A11226" s="8" t="n"/>
      <c r="B11226" s="9" t="n"/>
    </row>
    <row r="11227">
      <c r="A11227" s="8" t="n"/>
      <c r="B11227" s="9" t="n"/>
    </row>
    <row r="11228">
      <c r="A11228" s="8" t="n"/>
      <c r="B11228" s="9" t="n"/>
    </row>
    <row r="11229">
      <c r="A11229" s="8" t="n"/>
      <c r="B11229" s="9" t="n"/>
    </row>
    <row r="11230">
      <c r="A11230" s="8" t="n"/>
      <c r="B11230" s="9" t="n"/>
    </row>
    <row r="11231">
      <c r="A11231" s="8" t="n"/>
      <c r="B11231" s="9" t="n"/>
    </row>
    <row r="11232">
      <c r="A11232" s="8" t="n"/>
      <c r="B11232" s="9" t="n"/>
    </row>
    <row r="11233">
      <c r="A11233" s="8" t="n"/>
      <c r="B11233" s="9" t="n"/>
    </row>
    <row r="11234">
      <c r="A11234" s="8" t="n"/>
      <c r="B11234" s="9" t="n"/>
    </row>
    <row r="11235">
      <c r="A11235" s="8" t="n"/>
      <c r="B11235" s="9" t="n"/>
    </row>
    <row r="11236">
      <c r="A11236" s="8" t="n"/>
      <c r="B11236" s="9" t="n"/>
    </row>
    <row r="11237">
      <c r="A11237" s="8" t="n"/>
      <c r="B11237" s="9" t="n"/>
    </row>
    <row r="11238">
      <c r="A11238" s="8" t="n"/>
      <c r="B11238" s="9" t="n"/>
    </row>
    <row r="11239">
      <c r="A11239" s="8" t="n"/>
      <c r="B11239" s="9" t="n"/>
    </row>
    <row r="11240">
      <c r="A11240" s="8" t="n"/>
      <c r="B11240" s="9" t="n"/>
    </row>
    <row r="11241">
      <c r="A11241" s="8" t="n"/>
      <c r="B11241" s="9" t="n"/>
    </row>
    <row r="11242">
      <c r="A11242" s="8" t="n"/>
      <c r="B11242" s="9" t="n"/>
    </row>
    <row r="11243">
      <c r="A11243" s="8" t="n"/>
      <c r="B11243" s="9" t="n"/>
    </row>
    <row r="11244">
      <c r="A11244" s="8" t="n"/>
      <c r="B11244" s="9" t="n"/>
    </row>
    <row r="11245">
      <c r="A11245" s="8" t="n"/>
      <c r="B11245" s="9" t="n"/>
    </row>
    <row r="11246">
      <c r="A11246" s="8" t="n"/>
      <c r="B11246" s="9" t="n"/>
    </row>
    <row r="11247">
      <c r="A11247" s="8" t="n"/>
      <c r="B11247" s="9" t="n"/>
    </row>
    <row r="11248">
      <c r="A11248" s="8" t="n"/>
      <c r="B11248" s="9" t="n"/>
    </row>
    <row r="11249">
      <c r="A11249" s="8" t="n"/>
      <c r="B11249" s="9" t="n"/>
    </row>
    <row r="11250">
      <c r="A11250" s="8" t="n"/>
      <c r="B11250" s="9" t="n"/>
    </row>
    <row r="11251">
      <c r="A11251" s="8" t="n"/>
      <c r="B11251" s="9" t="n"/>
    </row>
    <row r="11252">
      <c r="A11252" s="8" t="n"/>
      <c r="B11252" s="9" t="n"/>
    </row>
    <row r="11253">
      <c r="A11253" s="8" t="n"/>
      <c r="B11253" s="9" t="n"/>
    </row>
    <row r="11254">
      <c r="A11254" s="8" t="n"/>
      <c r="B11254" s="9" t="n"/>
    </row>
    <row r="11255">
      <c r="A11255" s="8" t="n"/>
      <c r="B11255" s="9" t="n"/>
    </row>
    <row r="11256">
      <c r="A11256" s="8" t="n"/>
      <c r="B11256" s="9" t="n"/>
    </row>
    <row r="11257">
      <c r="A11257" s="8" t="n"/>
      <c r="B11257" s="9" t="n"/>
    </row>
    <row r="11258">
      <c r="A11258" s="8" t="n"/>
      <c r="B11258" s="9" t="n"/>
    </row>
    <row r="11259">
      <c r="A11259" s="8" t="n"/>
      <c r="B11259" s="9" t="n"/>
    </row>
    <row r="11260">
      <c r="A11260" s="8" t="n"/>
      <c r="B11260" s="9" t="n"/>
    </row>
    <row r="11261">
      <c r="A11261" s="8" t="n"/>
      <c r="B11261" s="9" t="n"/>
    </row>
    <row r="11262">
      <c r="A11262" s="8" t="n"/>
      <c r="B11262" s="9" t="n"/>
    </row>
    <row r="11263">
      <c r="A11263" s="8" t="n"/>
      <c r="B11263" s="9" t="n"/>
    </row>
    <row r="11264">
      <c r="A11264" s="8" t="n"/>
      <c r="B11264" s="9" t="n"/>
    </row>
    <row r="11265">
      <c r="A11265" s="8" t="n"/>
      <c r="B11265" s="9" t="n"/>
    </row>
    <row r="11266">
      <c r="A11266" s="8" t="n"/>
      <c r="B11266" s="9" t="n"/>
    </row>
    <row r="11267">
      <c r="A11267" s="8" t="n"/>
      <c r="B11267" s="9" t="n"/>
    </row>
    <row r="11268">
      <c r="A11268" s="8" t="n"/>
      <c r="B11268" s="9" t="n"/>
    </row>
    <row r="11269">
      <c r="A11269" s="8" t="n"/>
      <c r="B11269" s="9" t="n"/>
    </row>
    <row r="11270">
      <c r="A11270" s="8" t="n"/>
      <c r="B11270" s="9" t="n"/>
    </row>
    <row r="11271">
      <c r="A11271" s="8" t="n"/>
      <c r="B11271" s="9" t="n"/>
    </row>
    <row r="11272">
      <c r="A11272" s="8" t="n"/>
      <c r="B11272" s="9" t="n"/>
    </row>
    <row r="11273">
      <c r="A11273" s="8" t="n"/>
      <c r="B11273" s="9" t="n"/>
    </row>
    <row r="11274">
      <c r="A11274" s="8" t="n"/>
      <c r="B11274" s="9" t="n"/>
    </row>
    <row r="11275">
      <c r="A11275" s="8" t="n"/>
      <c r="B11275" s="9" t="n"/>
    </row>
    <row r="11276">
      <c r="A11276" s="8" t="n"/>
      <c r="B11276" s="9" t="n"/>
    </row>
    <row r="11277">
      <c r="A11277" s="8" t="n"/>
      <c r="B11277" s="9" t="n"/>
    </row>
    <row r="11278">
      <c r="A11278" s="8" t="n"/>
      <c r="B11278" s="9" t="n"/>
    </row>
    <row r="11279">
      <c r="A11279" s="8" t="n"/>
      <c r="B11279" s="9" t="n"/>
    </row>
    <row r="11280">
      <c r="A11280" s="8" t="n"/>
      <c r="B11280" s="9" t="n"/>
    </row>
    <row r="11281">
      <c r="A11281" s="8" t="n"/>
      <c r="B11281" s="9" t="n"/>
    </row>
    <row r="11282">
      <c r="A11282" s="8" t="n"/>
      <c r="B11282" s="9" t="n"/>
    </row>
    <row r="11283">
      <c r="A11283" s="8" t="n"/>
      <c r="B11283" s="9" t="n"/>
    </row>
    <row r="11284">
      <c r="A11284" s="8" t="n"/>
      <c r="B11284" s="9" t="n"/>
    </row>
    <row r="11285">
      <c r="A11285" s="8" t="n"/>
      <c r="B11285" s="9" t="n"/>
    </row>
    <row r="11286">
      <c r="A11286" s="8" t="n"/>
      <c r="B11286" s="9" t="n"/>
    </row>
    <row r="11287">
      <c r="A11287" s="8" t="n"/>
      <c r="B11287" s="9" t="n"/>
    </row>
    <row r="11288">
      <c r="A11288" s="8" t="n"/>
      <c r="B11288" s="9" t="n"/>
    </row>
    <row r="11289">
      <c r="A11289" s="8" t="n"/>
      <c r="B11289" s="9" t="n"/>
    </row>
    <row r="11290">
      <c r="A11290" s="8" t="n"/>
      <c r="B11290" s="9" t="n"/>
    </row>
    <row r="11291">
      <c r="A11291" s="8" t="n"/>
      <c r="B11291" s="9" t="n"/>
    </row>
    <row r="11292">
      <c r="A11292" s="8" t="n"/>
      <c r="B11292" s="9" t="n"/>
    </row>
    <row r="11293">
      <c r="A11293" s="8" t="n"/>
      <c r="B11293" s="9" t="n"/>
    </row>
    <row r="11294">
      <c r="A11294" s="8" t="n"/>
      <c r="B11294" s="9" t="n"/>
    </row>
    <row r="11295">
      <c r="A11295" s="8" t="n"/>
      <c r="B11295" s="9" t="n"/>
    </row>
    <row r="11296">
      <c r="A11296" s="8" t="n"/>
      <c r="B11296" s="9" t="n"/>
    </row>
    <row r="11297">
      <c r="A11297" s="8" t="n"/>
      <c r="B11297" s="9" t="n"/>
    </row>
    <row r="11298">
      <c r="A11298" s="8" t="n"/>
      <c r="B11298" s="9" t="n"/>
    </row>
    <row r="11299">
      <c r="A11299" s="8" t="n"/>
      <c r="B11299" s="9" t="n"/>
    </row>
    <row r="11300">
      <c r="A11300" s="8" t="n"/>
      <c r="B11300" s="9" t="n"/>
    </row>
    <row r="11301">
      <c r="A11301" s="8" t="n"/>
      <c r="B11301" s="9" t="n"/>
    </row>
    <row r="11302">
      <c r="A11302" s="8" t="n"/>
      <c r="B11302" s="9" t="n"/>
    </row>
    <row r="11303">
      <c r="A11303" s="8" t="n"/>
      <c r="B11303" s="9" t="n"/>
    </row>
    <row r="11304">
      <c r="A11304" s="8" t="n"/>
      <c r="B11304" s="9" t="n"/>
    </row>
    <row r="11305">
      <c r="A11305" s="8" t="n"/>
      <c r="B11305" s="9" t="n"/>
    </row>
    <row r="11306">
      <c r="A11306" s="8" t="n"/>
      <c r="B11306" s="9" t="n"/>
    </row>
    <row r="11307">
      <c r="A11307" s="8" t="n"/>
      <c r="B11307" s="9" t="n"/>
    </row>
    <row r="11308">
      <c r="A11308" s="8" t="n"/>
      <c r="B11308" s="9" t="n"/>
    </row>
    <row r="11309">
      <c r="A11309" s="8" t="n"/>
      <c r="B11309" s="9" t="n"/>
    </row>
    <row r="11310">
      <c r="A11310" s="8" t="n"/>
      <c r="B11310" s="9" t="n"/>
    </row>
    <row r="11311">
      <c r="A11311" s="8" t="n"/>
      <c r="B11311" s="9" t="n"/>
    </row>
    <row r="11312">
      <c r="A11312" s="8" t="n"/>
      <c r="B11312" s="9" t="n"/>
    </row>
    <row r="11313">
      <c r="A11313" s="8" t="n"/>
      <c r="B11313" s="9" t="n"/>
    </row>
    <row r="11314">
      <c r="A11314" s="8" t="n"/>
      <c r="B11314" s="9" t="n"/>
    </row>
    <row r="11315">
      <c r="A11315" s="8" t="n"/>
      <c r="B11315" s="9" t="n"/>
    </row>
    <row r="11316">
      <c r="A11316" s="8" t="n"/>
      <c r="B11316" s="9" t="n"/>
    </row>
    <row r="11317">
      <c r="A11317" s="8" t="n"/>
      <c r="B11317" s="9" t="n"/>
    </row>
    <row r="11318">
      <c r="A11318" s="8" t="n"/>
      <c r="B11318" s="9" t="n"/>
    </row>
    <row r="11319">
      <c r="A11319" s="8" t="n"/>
      <c r="B11319" s="9" t="n"/>
    </row>
    <row r="11320">
      <c r="A11320" s="8" t="n"/>
      <c r="B11320" s="9" t="n"/>
    </row>
    <row r="11321">
      <c r="A11321" s="8" t="n"/>
      <c r="B11321" s="9" t="n"/>
    </row>
    <row r="11322">
      <c r="A11322" s="8" t="n"/>
      <c r="B11322" s="9" t="n"/>
    </row>
    <row r="11323">
      <c r="A11323" s="8" t="n"/>
      <c r="B11323" s="9" t="n"/>
    </row>
    <row r="11324">
      <c r="A11324" s="8" t="n"/>
      <c r="B11324" s="9" t="n"/>
    </row>
    <row r="11325">
      <c r="A11325" s="8" t="n"/>
      <c r="B11325" s="9" t="n"/>
    </row>
    <row r="11326">
      <c r="A11326" s="8" t="n"/>
      <c r="B11326" s="9" t="n"/>
    </row>
    <row r="11327">
      <c r="A11327" s="8" t="n"/>
      <c r="B11327" s="9" t="n"/>
    </row>
    <row r="11328">
      <c r="A11328" s="8" t="n"/>
      <c r="B11328" s="9" t="n"/>
    </row>
    <row r="11329">
      <c r="A11329" s="8" t="n"/>
      <c r="B11329" s="9" t="n"/>
    </row>
    <row r="11330">
      <c r="A11330" s="8" t="n"/>
      <c r="B11330" s="9" t="n"/>
    </row>
    <row r="11331">
      <c r="A11331" s="8" t="n"/>
      <c r="B11331" s="9" t="n"/>
    </row>
    <row r="11332">
      <c r="A11332" s="8" t="n"/>
      <c r="B11332" s="9" t="n"/>
    </row>
    <row r="11333">
      <c r="A11333" s="8" t="n"/>
      <c r="B11333" s="9" t="n"/>
    </row>
    <row r="11334">
      <c r="A11334" s="8" t="n"/>
      <c r="B11334" s="9" t="n"/>
    </row>
    <row r="11335">
      <c r="A11335" s="8" t="n"/>
      <c r="B11335" s="9" t="n"/>
    </row>
    <row r="11336">
      <c r="A11336" s="8" t="n"/>
      <c r="B11336" s="9" t="n"/>
    </row>
    <row r="11337">
      <c r="A11337" s="8" t="n"/>
      <c r="B11337" s="9" t="n"/>
    </row>
    <row r="11338">
      <c r="A11338" s="8" t="n"/>
      <c r="B11338" s="9" t="n"/>
    </row>
    <row r="11339">
      <c r="A11339" s="8" t="n"/>
      <c r="B11339" s="9" t="n"/>
    </row>
    <row r="11340">
      <c r="A11340" s="8" t="n"/>
      <c r="B11340" s="9" t="n"/>
    </row>
    <row r="11341">
      <c r="A11341" s="8" t="n"/>
      <c r="B11341" s="9" t="n"/>
    </row>
    <row r="11342">
      <c r="A11342" s="8" t="n"/>
      <c r="B11342" s="9" t="n"/>
    </row>
    <row r="11343">
      <c r="A11343" s="8" t="n"/>
      <c r="B11343" s="9" t="n"/>
    </row>
    <row r="11344">
      <c r="A11344" s="8" t="n"/>
      <c r="B11344" s="9" t="n"/>
    </row>
    <row r="11345">
      <c r="A11345" s="8" t="n"/>
      <c r="B11345" s="9" t="n"/>
    </row>
    <row r="11346">
      <c r="A11346" s="8" t="n"/>
      <c r="B11346" s="9" t="n"/>
    </row>
    <row r="11347">
      <c r="A11347" s="8" t="n"/>
      <c r="B11347" s="9" t="n"/>
    </row>
    <row r="11348">
      <c r="A11348" s="8" t="n"/>
      <c r="B11348" s="9" t="n"/>
    </row>
    <row r="11349">
      <c r="A11349" s="8" t="n"/>
      <c r="B11349" s="9" t="n"/>
    </row>
    <row r="11350">
      <c r="A11350" s="8" t="n"/>
      <c r="B11350" s="9" t="n"/>
    </row>
    <row r="11351">
      <c r="A11351" s="8" t="n"/>
      <c r="B11351" s="9" t="n"/>
    </row>
    <row r="11352">
      <c r="A11352" s="8" t="n"/>
      <c r="B11352" s="9" t="n"/>
    </row>
    <row r="11353">
      <c r="A11353" s="8" t="n"/>
      <c r="B11353" s="9" t="n"/>
    </row>
    <row r="11354">
      <c r="A11354" s="8" t="n"/>
      <c r="B11354" s="9" t="n"/>
    </row>
    <row r="11355">
      <c r="A11355" s="8" t="n"/>
      <c r="B11355" s="9" t="n"/>
    </row>
    <row r="11356">
      <c r="A11356" s="8" t="n"/>
      <c r="B11356" s="9" t="n"/>
    </row>
    <row r="11357">
      <c r="A11357" s="8" t="n"/>
      <c r="B11357" s="9" t="n"/>
    </row>
    <row r="11358">
      <c r="A11358" s="8" t="n"/>
      <c r="B11358" s="9" t="n"/>
    </row>
    <row r="11359">
      <c r="A11359" s="8" t="n"/>
      <c r="B11359" s="9" t="n"/>
    </row>
    <row r="11360">
      <c r="A11360" s="8" t="n"/>
      <c r="B11360" s="9" t="n"/>
    </row>
    <row r="11361">
      <c r="A11361" s="8" t="n"/>
      <c r="B11361" s="9" t="n"/>
    </row>
    <row r="11362">
      <c r="A11362" s="8" t="n"/>
      <c r="B11362" s="9" t="n"/>
    </row>
    <row r="11363">
      <c r="A11363" s="8" t="n"/>
      <c r="B11363" s="9" t="n"/>
    </row>
    <row r="11364">
      <c r="A11364" s="8" t="n"/>
      <c r="B11364" s="9" t="n"/>
    </row>
    <row r="11365">
      <c r="A11365" s="8" t="n"/>
      <c r="B11365" s="9" t="n"/>
    </row>
    <row r="11366">
      <c r="A11366" s="8" t="n"/>
      <c r="B11366" s="9" t="n"/>
    </row>
    <row r="11367">
      <c r="A11367" s="8" t="n"/>
      <c r="B11367" s="9" t="n"/>
    </row>
    <row r="11368">
      <c r="A11368" s="8" t="n"/>
      <c r="B11368" s="9" t="n"/>
    </row>
    <row r="11369">
      <c r="A11369" s="8" t="n"/>
      <c r="B11369" s="9" t="n"/>
    </row>
    <row r="11370">
      <c r="A11370" s="8" t="n"/>
      <c r="B11370" s="9" t="n"/>
    </row>
    <row r="11371">
      <c r="A11371" s="8" t="n"/>
      <c r="B11371" s="9" t="n"/>
    </row>
    <row r="11372">
      <c r="A11372" s="8" t="n"/>
      <c r="B11372" s="9" t="n"/>
    </row>
    <row r="11373">
      <c r="A11373" s="8" t="n"/>
      <c r="B11373" s="9" t="n"/>
    </row>
    <row r="11374">
      <c r="A11374" s="8" t="n"/>
      <c r="B11374" s="9" t="n"/>
    </row>
    <row r="11375">
      <c r="A11375" s="8" t="n"/>
      <c r="B11375" s="9" t="n"/>
    </row>
    <row r="11376">
      <c r="A11376" s="8" t="n"/>
      <c r="B11376" s="9" t="n"/>
    </row>
    <row r="11377">
      <c r="A11377" s="8" t="n"/>
      <c r="B11377" s="9" t="n"/>
    </row>
    <row r="11378">
      <c r="A11378" s="8" t="n"/>
      <c r="B11378" s="9" t="n"/>
    </row>
    <row r="11379">
      <c r="A11379" s="8" t="n"/>
      <c r="B11379" s="9" t="n"/>
    </row>
    <row r="11380">
      <c r="A11380" s="8" t="n"/>
      <c r="B11380" s="9" t="n"/>
    </row>
    <row r="11381">
      <c r="A11381" s="8" t="n"/>
      <c r="B11381" s="9" t="n"/>
    </row>
    <row r="11382">
      <c r="A11382" s="8" t="n"/>
      <c r="B11382" s="9" t="n"/>
    </row>
    <row r="11383">
      <c r="A11383" s="8" t="n"/>
      <c r="B11383" s="9" t="n"/>
    </row>
    <row r="11384">
      <c r="A11384" s="8" t="n"/>
      <c r="B11384" s="9" t="n"/>
    </row>
    <row r="11385">
      <c r="A11385" s="8" t="n"/>
      <c r="B11385" s="9" t="n"/>
    </row>
    <row r="11386">
      <c r="A11386" s="8" t="n"/>
      <c r="B11386" s="9" t="n"/>
    </row>
    <row r="11387">
      <c r="A11387" s="8" t="n"/>
      <c r="B11387" s="9" t="n"/>
    </row>
    <row r="11388">
      <c r="A11388" s="8" t="n"/>
      <c r="B11388" s="9" t="n"/>
    </row>
    <row r="11389">
      <c r="A11389" s="8" t="n"/>
      <c r="B11389" s="9" t="n"/>
    </row>
    <row r="11390">
      <c r="A11390" s="8" t="n"/>
      <c r="B11390" s="9" t="n"/>
    </row>
    <row r="11391">
      <c r="A11391" s="8" t="n"/>
      <c r="B11391" s="9" t="n"/>
    </row>
    <row r="11392">
      <c r="A11392" s="8" t="n"/>
      <c r="B11392" s="9" t="n"/>
    </row>
    <row r="11393">
      <c r="A11393" s="8" t="n"/>
      <c r="B11393" s="9" t="n"/>
    </row>
    <row r="11394">
      <c r="A11394" s="8" t="n"/>
      <c r="B11394" s="9" t="n"/>
    </row>
    <row r="11395">
      <c r="A11395" s="8" t="n"/>
      <c r="B11395" s="9" t="n"/>
    </row>
    <row r="11396">
      <c r="A11396" s="8" t="n"/>
      <c r="B11396" s="9" t="n"/>
    </row>
    <row r="11397">
      <c r="A11397" s="8" t="n"/>
      <c r="B11397" s="9" t="n"/>
    </row>
    <row r="11398">
      <c r="A11398" s="8" t="n"/>
      <c r="B11398" s="9" t="n"/>
    </row>
    <row r="11399">
      <c r="A11399" s="8" t="n"/>
      <c r="B11399" s="9" t="n"/>
    </row>
    <row r="11400">
      <c r="A11400" s="8" t="n"/>
      <c r="B11400" s="9" t="n"/>
    </row>
    <row r="11401">
      <c r="A11401" s="8" t="n"/>
      <c r="B11401" s="9" t="n"/>
    </row>
    <row r="11402">
      <c r="A11402" s="8" t="n"/>
      <c r="B11402" s="9" t="n"/>
    </row>
    <row r="11403">
      <c r="A11403" s="8" t="n"/>
      <c r="B11403" s="9" t="n"/>
    </row>
    <row r="11404">
      <c r="A11404" s="8" t="n"/>
      <c r="B11404" s="9" t="n"/>
    </row>
    <row r="11405">
      <c r="A11405" s="8" t="n"/>
      <c r="B11405" s="9" t="n"/>
    </row>
    <row r="11406">
      <c r="A11406" s="8" t="n"/>
      <c r="B11406" s="9" t="n"/>
    </row>
    <row r="11407">
      <c r="A11407" s="8" t="n"/>
      <c r="B11407" s="9" t="n"/>
    </row>
    <row r="11408">
      <c r="A11408" s="8" t="n"/>
      <c r="B11408" s="9" t="n"/>
    </row>
    <row r="11409">
      <c r="A11409" s="8" t="n"/>
      <c r="B11409" s="9" t="n"/>
    </row>
    <row r="11410">
      <c r="A11410" s="8" t="n"/>
      <c r="B11410" s="9" t="n"/>
    </row>
    <row r="11411">
      <c r="A11411" s="8" t="n"/>
      <c r="B11411" s="9" t="n"/>
    </row>
    <row r="11412">
      <c r="A11412" s="8" t="n"/>
      <c r="B11412" s="9" t="n"/>
    </row>
    <row r="11413">
      <c r="A11413" s="8" t="n"/>
      <c r="B11413" s="9" t="n"/>
    </row>
    <row r="11414">
      <c r="A11414" s="8" t="n"/>
      <c r="B11414" s="9" t="n"/>
    </row>
    <row r="11415">
      <c r="A11415" s="8" t="n"/>
      <c r="B11415" s="9" t="n"/>
    </row>
    <row r="11416">
      <c r="A11416" s="8" t="n"/>
      <c r="B11416" s="9" t="n"/>
    </row>
    <row r="11417">
      <c r="A11417" s="8" t="n"/>
      <c r="B11417" s="9" t="n"/>
    </row>
    <row r="11418">
      <c r="A11418" s="8" t="n"/>
      <c r="B11418" s="9" t="n"/>
    </row>
    <row r="11419">
      <c r="A11419" s="8" t="n"/>
      <c r="B11419" s="9" t="n"/>
    </row>
    <row r="11420">
      <c r="A11420" s="8" t="n"/>
      <c r="B11420" s="9" t="n"/>
    </row>
    <row r="11421">
      <c r="A11421" s="8" t="n"/>
      <c r="B11421" s="9" t="n"/>
    </row>
    <row r="11422">
      <c r="A11422" s="8" t="n"/>
      <c r="B11422" s="9" t="n"/>
    </row>
    <row r="11423">
      <c r="A11423" s="8" t="n"/>
      <c r="B11423" s="9" t="n"/>
    </row>
    <row r="11424">
      <c r="A11424" s="8" t="n"/>
      <c r="B11424" s="9" t="n"/>
    </row>
    <row r="11425">
      <c r="A11425" s="8" t="n"/>
      <c r="B11425" s="9" t="n"/>
    </row>
    <row r="11426">
      <c r="A11426" s="8" t="n"/>
      <c r="B11426" s="9" t="n"/>
    </row>
    <row r="11427">
      <c r="A11427" s="8" t="n"/>
      <c r="B11427" s="9" t="n"/>
    </row>
    <row r="11428">
      <c r="A11428" s="8" t="n"/>
      <c r="B11428" s="9" t="n"/>
    </row>
    <row r="11429">
      <c r="A11429" s="8" t="n"/>
      <c r="B11429" s="9" t="n"/>
    </row>
    <row r="11430">
      <c r="A11430" s="8" t="n"/>
      <c r="B11430" s="9" t="n"/>
    </row>
    <row r="11431">
      <c r="A11431" s="8" t="n"/>
      <c r="B11431" s="9" t="n"/>
    </row>
    <row r="11432">
      <c r="A11432" s="8" t="n"/>
      <c r="B11432" s="9" t="n"/>
    </row>
    <row r="11433">
      <c r="A11433" s="8" t="n"/>
      <c r="B11433" s="9" t="n"/>
    </row>
    <row r="11434">
      <c r="A11434" s="8" t="n"/>
      <c r="B11434" s="9" t="n"/>
    </row>
    <row r="11435">
      <c r="A11435" s="8" t="n"/>
      <c r="B11435" s="9" t="n"/>
    </row>
    <row r="11436">
      <c r="A11436" s="8" t="n"/>
      <c r="B11436" s="9" t="n"/>
    </row>
    <row r="11437">
      <c r="A11437" s="8" t="n"/>
      <c r="B11437" s="9" t="n"/>
    </row>
    <row r="11438">
      <c r="A11438" s="8" t="n"/>
      <c r="B11438" s="9" t="n"/>
    </row>
    <row r="11439">
      <c r="A11439" s="8" t="n"/>
      <c r="B11439" s="9" t="n"/>
    </row>
    <row r="11440">
      <c r="A11440" s="8" t="n"/>
      <c r="B11440" s="9" t="n"/>
    </row>
    <row r="11441">
      <c r="A11441" s="8" t="n"/>
      <c r="B11441" s="9" t="n"/>
    </row>
    <row r="11442">
      <c r="A11442" s="8" t="n"/>
      <c r="B11442" s="9" t="n"/>
    </row>
    <row r="11443">
      <c r="A11443" s="8" t="n"/>
      <c r="B11443" s="9" t="n"/>
    </row>
    <row r="11444">
      <c r="A11444" s="8" t="n"/>
      <c r="B11444" s="9" t="n"/>
    </row>
    <row r="11445">
      <c r="A11445" s="8" t="n"/>
      <c r="B11445" s="9" t="n"/>
    </row>
    <row r="11446">
      <c r="A11446" s="8" t="n"/>
      <c r="B11446" s="9" t="n"/>
    </row>
    <row r="11447">
      <c r="A11447" s="8" t="n"/>
      <c r="B11447" s="9" t="n"/>
    </row>
    <row r="11448">
      <c r="A11448" s="8" t="n"/>
      <c r="B11448" s="9" t="n"/>
    </row>
    <row r="11449">
      <c r="A11449" s="8" t="n"/>
      <c r="B11449" s="9" t="n"/>
    </row>
    <row r="11450">
      <c r="A11450" s="8" t="n"/>
      <c r="B11450" s="9" t="n"/>
    </row>
    <row r="11451">
      <c r="A11451" s="8" t="n"/>
      <c r="B11451" s="9" t="n"/>
    </row>
    <row r="11452">
      <c r="A11452" s="8" t="n"/>
      <c r="B11452" s="9" t="n"/>
    </row>
    <row r="11453">
      <c r="A11453" s="8" t="n"/>
      <c r="B11453" s="9" t="n"/>
    </row>
    <row r="11454">
      <c r="A11454" s="8" t="n"/>
      <c r="B11454" s="9" t="n"/>
    </row>
    <row r="11455">
      <c r="A11455" s="8" t="n"/>
      <c r="B11455" s="9" t="n"/>
    </row>
    <row r="11456">
      <c r="A11456" s="8" t="n"/>
      <c r="B11456" s="9" t="n"/>
    </row>
    <row r="11457">
      <c r="A11457" s="8" t="n"/>
      <c r="B11457" s="9" t="n"/>
    </row>
    <row r="11458">
      <c r="A11458" s="8" t="n"/>
      <c r="B11458" s="9" t="n"/>
    </row>
    <row r="11459">
      <c r="A11459" s="8" t="n"/>
      <c r="B11459" s="9" t="n"/>
    </row>
    <row r="11460">
      <c r="A11460" s="8" t="n"/>
      <c r="B11460" s="9" t="n"/>
    </row>
    <row r="11461">
      <c r="A11461" s="8" t="n"/>
      <c r="B11461" s="9" t="n"/>
    </row>
    <row r="11462">
      <c r="A11462" s="8" t="n"/>
      <c r="B11462" s="9" t="n"/>
    </row>
    <row r="11463">
      <c r="A11463" s="8" t="n"/>
      <c r="B11463" s="9" t="n"/>
    </row>
    <row r="11464">
      <c r="A11464" s="8" t="n"/>
      <c r="B11464" s="9" t="n"/>
    </row>
    <row r="11465">
      <c r="A11465" s="8" t="n"/>
      <c r="B11465" s="9" t="n"/>
    </row>
    <row r="11466">
      <c r="A11466" s="8" t="n"/>
      <c r="B11466" s="9" t="n"/>
    </row>
    <row r="11467">
      <c r="A11467" s="8" t="n"/>
      <c r="B11467" s="9" t="n"/>
    </row>
    <row r="11468">
      <c r="A11468" s="8" t="n"/>
      <c r="B11468" s="9" t="n"/>
    </row>
    <row r="11469">
      <c r="A11469" s="8" t="n"/>
      <c r="B11469" s="9" t="n"/>
    </row>
    <row r="11470">
      <c r="A11470" s="8" t="n"/>
      <c r="B11470" s="9" t="n"/>
    </row>
    <row r="11471">
      <c r="A11471" s="8" t="n"/>
      <c r="B11471" s="9" t="n"/>
    </row>
    <row r="11472">
      <c r="A11472" s="8" t="n"/>
      <c r="B11472" s="9" t="n"/>
    </row>
    <row r="11473">
      <c r="A11473" s="8" t="n"/>
      <c r="B11473" s="9" t="n"/>
    </row>
    <row r="11474">
      <c r="A11474" s="8" t="n"/>
      <c r="B11474" s="9" t="n"/>
    </row>
    <row r="11475">
      <c r="A11475" s="8" t="n"/>
      <c r="B11475" s="9" t="n"/>
    </row>
    <row r="11476">
      <c r="A11476" s="8" t="n"/>
      <c r="B11476" s="9" t="n"/>
    </row>
    <row r="11477">
      <c r="A11477" s="8" t="n"/>
      <c r="B11477" s="9" t="n"/>
    </row>
    <row r="11478">
      <c r="A11478" s="8" t="n"/>
      <c r="B11478" s="9" t="n"/>
    </row>
    <row r="11479">
      <c r="A11479" s="8" t="n"/>
      <c r="B11479" s="9" t="n"/>
    </row>
    <row r="11480">
      <c r="A11480" s="8" t="n"/>
      <c r="B11480" s="9" t="n"/>
    </row>
    <row r="11481">
      <c r="A11481" s="8" t="n"/>
      <c r="B11481" s="9" t="n"/>
    </row>
    <row r="11482">
      <c r="A11482" s="8" t="n"/>
      <c r="B11482" s="9" t="n"/>
    </row>
    <row r="11483">
      <c r="A11483" s="8" t="n"/>
      <c r="B11483" s="9" t="n"/>
    </row>
    <row r="11484">
      <c r="A11484" s="8" t="n"/>
      <c r="B11484" s="9" t="n"/>
    </row>
    <row r="11485">
      <c r="A11485" s="8" t="n"/>
      <c r="B11485" s="9" t="n"/>
    </row>
    <row r="11486">
      <c r="A11486" s="8" t="n"/>
      <c r="B11486" s="9" t="n"/>
    </row>
    <row r="11487">
      <c r="A11487" s="8" t="n"/>
      <c r="B11487" s="9" t="n"/>
    </row>
    <row r="11488">
      <c r="A11488" s="8" t="n"/>
      <c r="B11488" s="9" t="n"/>
    </row>
    <row r="11489">
      <c r="A11489" s="8" t="n"/>
      <c r="B11489" s="9" t="n"/>
    </row>
    <row r="11490">
      <c r="A11490" s="8" t="n"/>
      <c r="B11490" s="9" t="n"/>
    </row>
    <row r="11491">
      <c r="A11491" s="8" t="n"/>
      <c r="B11491" s="9" t="n"/>
    </row>
    <row r="11492">
      <c r="A11492" s="8" t="n"/>
      <c r="B11492" s="9" t="n"/>
    </row>
    <row r="11493">
      <c r="A11493" s="8" t="n"/>
      <c r="B11493" s="9" t="n"/>
    </row>
    <row r="11494">
      <c r="A11494" s="8" t="n"/>
      <c r="B11494" s="9" t="n"/>
    </row>
    <row r="11495">
      <c r="A11495" s="8" t="n"/>
      <c r="B11495" s="9" t="n"/>
    </row>
    <row r="11496">
      <c r="A11496" s="8" t="n"/>
      <c r="B11496" s="9" t="n"/>
    </row>
    <row r="11497">
      <c r="A11497" s="8" t="n"/>
      <c r="B11497" s="9" t="n"/>
    </row>
    <row r="11498">
      <c r="A11498" s="8" t="n"/>
      <c r="B11498" s="9" t="n"/>
    </row>
    <row r="11499">
      <c r="A11499" s="8" t="n"/>
      <c r="B11499" s="9" t="n"/>
    </row>
    <row r="11500">
      <c r="A11500" s="8" t="n"/>
      <c r="B11500" s="9" t="n"/>
    </row>
    <row r="11501">
      <c r="A11501" s="8" t="n"/>
      <c r="B11501" s="9" t="n"/>
    </row>
    <row r="11502">
      <c r="A11502" s="8" t="n"/>
      <c r="B11502" s="9" t="n"/>
    </row>
    <row r="11503">
      <c r="A11503" s="8" t="n"/>
      <c r="B11503" s="9" t="n"/>
    </row>
    <row r="11504">
      <c r="A11504" s="8" t="n"/>
      <c r="B11504" s="9" t="n"/>
    </row>
    <row r="11505">
      <c r="A11505" s="8" t="n"/>
      <c r="B11505" s="9" t="n"/>
    </row>
    <row r="11506">
      <c r="A11506" s="8" t="n"/>
      <c r="B11506" s="9" t="n"/>
    </row>
    <row r="11507">
      <c r="A11507" s="8" t="n"/>
      <c r="B11507" s="9" t="n"/>
    </row>
    <row r="11508">
      <c r="A11508" s="8" t="n"/>
      <c r="B11508" s="9" t="n"/>
    </row>
    <row r="11509">
      <c r="A11509" s="8" t="n"/>
      <c r="B11509" s="9" t="n"/>
    </row>
    <row r="11510">
      <c r="A11510" s="8" t="n"/>
      <c r="B11510" s="9" t="n"/>
    </row>
    <row r="11511">
      <c r="A11511" s="8" t="n"/>
      <c r="B11511" s="9" t="n"/>
    </row>
    <row r="11512">
      <c r="A11512" s="8" t="n"/>
      <c r="B11512" s="9" t="n"/>
    </row>
    <row r="11513">
      <c r="A11513" s="8" t="n"/>
      <c r="B11513" s="9" t="n"/>
    </row>
    <row r="11514">
      <c r="A11514" s="8" t="n"/>
      <c r="B11514" s="9" t="n"/>
    </row>
    <row r="11515">
      <c r="A11515" s="8" t="n"/>
      <c r="B11515" s="9" t="n"/>
    </row>
    <row r="11516">
      <c r="A11516" s="8" t="n"/>
      <c r="B11516" s="9" t="n"/>
    </row>
    <row r="11517">
      <c r="A11517" s="8" t="n"/>
      <c r="B11517" s="9" t="n"/>
    </row>
    <row r="11518">
      <c r="A11518" s="8" t="n"/>
      <c r="B11518" s="9" t="n"/>
    </row>
    <row r="11519">
      <c r="A11519" s="8" t="n"/>
      <c r="B11519" s="9" t="n"/>
    </row>
    <row r="11520">
      <c r="A11520" s="8" t="n"/>
      <c r="B11520" s="9" t="n"/>
    </row>
    <row r="11521">
      <c r="A11521" s="8" t="n"/>
      <c r="B11521" s="9" t="n"/>
    </row>
    <row r="11522">
      <c r="A11522" s="8" t="n"/>
      <c r="B11522" s="9" t="n"/>
    </row>
    <row r="11523">
      <c r="A11523" s="8" t="n"/>
      <c r="B11523" s="9" t="n"/>
    </row>
    <row r="11524">
      <c r="A11524" s="8" t="n"/>
      <c r="B11524" s="9" t="n"/>
    </row>
    <row r="11525">
      <c r="A11525" s="8" t="n"/>
      <c r="B11525" s="9" t="n"/>
    </row>
    <row r="11526">
      <c r="A11526" s="8" t="n"/>
      <c r="B11526" s="9" t="n"/>
    </row>
    <row r="11527">
      <c r="A11527" s="8" t="n"/>
      <c r="B11527" s="9" t="n"/>
    </row>
    <row r="11528">
      <c r="A11528" s="8" t="n"/>
      <c r="B11528" s="9" t="n"/>
    </row>
    <row r="11529">
      <c r="A11529" s="8" t="n"/>
      <c r="B11529" s="9" t="n"/>
    </row>
    <row r="11530">
      <c r="A11530" s="8" t="n"/>
      <c r="B11530" s="9" t="n"/>
    </row>
    <row r="11531">
      <c r="A11531" s="8" t="n"/>
      <c r="B11531" s="9" t="n"/>
    </row>
    <row r="11532">
      <c r="A11532" s="8" t="n"/>
      <c r="B11532" s="9" t="n"/>
    </row>
    <row r="11533">
      <c r="A11533" s="8" t="n"/>
      <c r="B11533" s="9" t="n"/>
    </row>
    <row r="11534">
      <c r="A11534" s="8" t="n"/>
      <c r="B11534" s="9" t="n"/>
    </row>
    <row r="11535">
      <c r="A11535" s="8" t="n"/>
      <c r="B11535" s="9" t="n"/>
    </row>
    <row r="11536">
      <c r="A11536" s="8" t="n"/>
      <c r="B11536" s="9" t="n"/>
    </row>
    <row r="11537">
      <c r="A11537" s="8" t="n"/>
      <c r="B11537" s="9" t="n"/>
    </row>
    <row r="11538">
      <c r="A11538" s="8" t="n"/>
      <c r="B11538" s="9" t="n"/>
    </row>
    <row r="11539">
      <c r="A11539" s="8" t="n"/>
      <c r="B11539" s="9" t="n"/>
    </row>
    <row r="11540">
      <c r="A11540" s="8" t="n"/>
      <c r="B11540" s="9" t="n"/>
    </row>
    <row r="11541">
      <c r="A11541" s="8" t="n"/>
      <c r="B11541" s="9" t="n"/>
    </row>
    <row r="11542">
      <c r="A11542" s="8" t="n"/>
      <c r="B11542" s="9" t="n"/>
    </row>
    <row r="11543">
      <c r="A11543" s="8" t="n"/>
      <c r="B11543" s="9" t="n"/>
    </row>
    <row r="11544">
      <c r="A11544" s="8" t="n"/>
      <c r="B11544" s="9" t="n"/>
    </row>
    <row r="11545">
      <c r="A11545" s="8" t="n"/>
      <c r="B11545" s="9" t="n"/>
    </row>
    <row r="11546">
      <c r="A11546" s="8" t="n"/>
      <c r="B11546" s="9" t="n"/>
    </row>
    <row r="11547">
      <c r="A11547" s="8" t="n"/>
      <c r="B11547" s="9" t="n"/>
    </row>
    <row r="11548">
      <c r="A11548" s="8" t="n"/>
      <c r="B11548" s="9" t="n"/>
    </row>
    <row r="11549">
      <c r="A11549" s="8" t="n"/>
      <c r="B11549" s="9" t="n"/>
    </row>
    <row r="11550">
      <c r="A11550" s="8" t="n"/>
      <c r="B11550" s="9" t="n"/>
    </row>
    <row r="11551">
      <c r="A11551" s="8" t="n"/>
      <c r="B11551" s="9" t="n"/>
    </row>
    <row r="11552">
      <c r="A11552" s="8" t="n"/>
      <c r="B11552" s="9" t="n"/>
    </row>
    <row r="11553">
      <c r="A11553" s="8" t="n"/>
      <c r="B11553" s="9" t="n"/>
    </row>
    <row r="11554">
      <c r="A11554" s="8" t="n"/>
      <c r="B11554" s="9" t="n"/>
    </row>
    <row r="11555">
      <c r="A11555" s="8" t="n"/>
      <c r="B11555" s="9" t="n"/>
    </row>
    <row r="11556">
      <c r="A11556" s="8" t="n"/>
      <c r="B11556" s="9" t="n"/>
    </row>
    <row r="11557">
      <c r="A11557" s="8" t="n"/>
      <c r="B11557" s="9" t="n"/>
    </row>
    <row r="11558">
      <c r="A11558" s="8" t="n"/>
      <c r="B11558" s="9" t="n"/>
    </row>
    <row r="11559">
      <c r="A11559" s="8" t="n"/>
      <c r="B11559" s="9" t="n"/>
    </row>
    <row r="11560">
      <c r="A11560" s="8" t="n"/>
      <c r="B11560" s="9" t="n"/>
    </row>
    <row r="11561">
      <c r="A11561" s="8" t="n"/>
      <c r="B11561" s="9" t="n"/>
    </row>
    <row r="11562">
      <c r="A11562" s="8" t="n"/>
      <c r="B11562" s="9" t="n"/>
    </row>
    <row r="11563">
      <c r="A11563" s="8" t="n"/>
      <c r="B11563" s="9" t="n"/>
    </row>
    <row r="11564">
      <c r="A11564" s="8" t="n"/>
      <c r="B11564" s="9" t="n"/>
    </row>
    <row r="11565">
      <c r="A11565" s="8" t="n"/>
      <c r="B11565" s="9" t="n"/>
    </row>
    <row r="11566">
      <c r="A11566" s="8" t="n"/>
      <c r="B11566" s="9" t="n"/>
    </row>
    <row r="11567">
      <c r="A11567" s="8" t="n"/>
      <c r="B11567" s="9" t="n"/>
    </row>
    <row r="11568">
      <c r="A11568" s="8" t="n"/>
      <c r="B11568" s="9" t="n"/>
    </row>
    <row r="11569">
      <c r="A11569" s="8" t="n"/>
      <c r="B11569" s="9" t="n"/>
    </row>
    <row r="11570">
      <c r="A11570" s="8" t="n"/>
      <c r="B11570" s="9" t="n"/>
    </row>
    <row r="11571">
      <c r="A11571" s="8" t="n"/>
      <c r="B11571" s="9" t="n"/>
    </row>
    <row r="11572">
      <c r="A11572" s="8" t="n"/>
      <c r="B11572" s="9" t="n"/>
    </row>
    <row r="11573">
      <c r="A11573" s="8" t="n"/>
      <c r="B11573" s="9" t="n"/>
    </row>
    <row r="11574">
      <c r="A11574" s="8" t="n"/>
      <c r="B11574" s="9" t="n"/>
    </row>
    <row r="11575">
      <c r="A11575" s="8" t="n"/>
      <c r="B11575" s="9" t="n"/>
    </row>
    <row r="11576">
      <c r="A11576" s="8" t="n"/>
      <c r="B11576" s="9" t="n"/>
    </row>
    <row r="11577">
      <c r="A11577" s="8" t="n"/>
      <c r="B11577" s="9" t="n"/>
    </row>
    <row r="11578">
      <c r="A11578" s="8" t="n"/>
      <c r="B11578" s="9" t="n"/>
    </row>
    <row r="11579">
      <c r="A11579" s="8" t="n"/>
      <c r="B11579" s="9" t="n"/>
    </row>
    <row r="11580">
      <c r="A11580" s="8" t="n"/>
      <c r="B11580" s="9" t="n"/>
    </row>
    <row r="11581">
      <c r="A11581" s="8" t="n"/>
      <c r="B11581" s="9" t="n"/>
    </row>
    <row r="11582">
      <c r="A11582" s="8" t="n"/>
      <c r="B11582" s="9" t="n"/>
    </row>
    <row r="11583">
      <c r="A11583" s="8" t="n"/>
      <c r="B11583" s="9" t="n"/>
    </row>
    <row r="11584">
      <c r="A11584" s="8" t="n"/>
      <c r="B11584" s="9" t="n"/>
    </row>
    <row r="11585">
      <c r="A11585" s="8" t="n"/>
      <c r="B11585" s="9" t="n"/>
    </row>
    <row r="11586">
      <c r="A11586" s="8" t="n"/>
      <c r="B11586" s="9" t="n"/>
    </row>
    <row r="11587">
      <c r="A11587" s="8" t="n"/>
      <c r="B11587" s="9" t="n"/>
    </row>
    <row r="11588">
      <c r="A11588" s="8" t="n"/>
      <c r="B11588" s="9" t="n"/>
    </row>
    <row r="11589">
      <c r="A11589" s="8" t="n"/>
      <c r="B11589" s="9" t="n"/>
    </row>
    <row r="11590">
      <c r="A11590" s="8" t="n"/>
      <c r="B11590" s="9" t="n"/>
    </row>
    <row r="11591">
      <c r="A11591" s="8" t="n"/>
      <c r="B11591" s="9" t="n"/>
    </row>
    <row r="11592">
      <c r="A11592" s="8" t="n"/>
      <c r="B11592" s="9" t="n"/>
    </row>
    <row r="11593">
      <c r="A11593" s="8" t="n"/>
      <c r="B11593" s="9" t="n"/>
    </row>
    <row r="11594">
      <c r="A11594" s="8" t="n"/>
      <c r="B11594" s="9" t="n"/>
    </row>
    <row r="11595">
      <c r="A11595" s="8" t="n"/>
      <c r="B11595" s="9" t="n"/>
    </row>
    <row r="11596">
      <c r="A11596" s="8" t="n"/>
      <c r="B11596" s="9" t="n"/>
    </row>
    <row r="11597">
      <c r="A11597" s="8" t="n"/>
      <c r="B11597" s="9" t="n"/>
    </row>
    <row r="11598">
      <c r="A11598" s="8" t="n"/>
      <c r="B11598" s="9" t="n"/>
    </row>
    <row r="11599">
      <c r="A11599" s="8" t="n"/>
      <c r="B11599" s="9" t="n"/>
    </row>
    <row r="11600">
      <c r="A11600" s="8" t="n"/>
      <c r="B11600" s="9" t="n"/>
    </row>
    <row r="11601">
      <c r="A11601" s="8" t="n"/>
      <c r="B11601" s="9" t="n"/>
    </row>
    <row r="11602">
      <c r="A11602" s="8" t="n"/>
      <c r="B11602" s="9" t="n"/>
    </row>
    <row r="11603">
      <c r="A11603" s="8" t="n"/>
      <c r="B11603" s="9" t="n"/>
    </row>
    <row r="11604">
      <c r="A11604" s="8" t="n"/>
      <c r="B11604" s="9" t="n"/>
    </row>
    <row r="11605">
      <c r="A11605" s="8" t="n"/>
      <c r="B11605" s="9" t="n"/>
    </row>
    <row r="11606">
      <c r="A11606" s="8" t="n"/>
      <c r="B11606" s="9" t="n"/>
    </row>
    <row r="11607">
      <c r="A11607" s="8" t="n"/>
      <c r="B11607" s="9" t="n"/>
    </row>
    <row r="11608">
      <c r="A11608" s="8" t="n"/>
      <c r="B11608" s="9" t="n"/>
    </row>
    <row r="11609">
      <c r="A11609" s="8" t="n"/>
      <c r="B11609" s="9" t="n"/>
    </row>
    <row r="11610">
      <c r="A11610" s="8" t="n"/>
      <c r="B11610" s="9" t="n"/>
    </row>
    <row r="11611">
      <c r="A11611" s="8" t="n"/>
      <c r="B11611" s="9" t="n"/>
    </row>
    <row r="11612">
      <c r="A11612" s="8" t="n"/>
      <c r="B11612" s="9" t="n"/>
    </row>
    <row r="11613">
      <c r="A11613" s="8" t="n"/>
      <c r="B11613" s="9" t="n"/>
    </row>
    <row r="11614">
      <c r="A11614" s="8" t="n"/>
      <c r="B11614" s="9" t="n"/>
    </row>
    <row r="11615">
      <c r="A11615" s="8" t="n"/>
      <c r="B11615" s="9" t="n"/>
    </row>
    <row r="11616">
      <c r="A11616" s="8" t="n"/>
      <c r="B11616" s="9" t="n"/>
    </row>
    <row r="11617">
      <c r="A11617" s="8" t="n"/>
      <c r="B11617" s="9" t="n"/>
    </row>
    <row r="11618">
      <c r="A11618" s="8" t="n"/>
      <c r="B11618" s="9" t="n"/>
    </row>
    <row r="11619">
      <c r="A11619" s="8" t="n"/>
      <c r="B11619" s="9" t="n"/>
    </row>
    <row r="11620">
      <c r="A11620" s="8" t="n"/>
      <c r="B11620" s="9" t="n"/>
    </row>
    <row r="11621">
      <c r="A11621" s="8" t="n"/>
      <c r="B11621" s="9" t="n"/>
    </row>
    <row r="11622">
      <c r="A11622" s="8" t="n"/>
      <c r="B11622" s="9" t="n"/>
    </row>
    <row r="11623">
      <c r="A11623" s="8" t="n"/>
      <c r="B11623" s="9" t="n"/>
    </row>
    <row r="11624">
      <c r="A11624" s="8" t="n"/>
      <c r="B11624" s="9" t="n"/>
    </row>
    <row r="11625">
      <c r="A11625" s="8" t="n"/>
      <c r="B11625" s="9" t="n"/>
    </row>
    <row r="11626">
      <c r="A11626" s="8" t="n"/>
      <c r="B11626" s="9" t="n"/>
    </row>
    <row r="11627">
      <c r="A11627" s="8" t="n"/>
      <c r="B11627" s="9" t="n"/>
    </row>
    <row r="11628">
      <c r="A11628" s="8" t="n"/>
      <c r="B11628" s="9" t="n"/>
    </row>
    <row r="11629">
      <c r="A11629" s="8" t="n"/>
      <c r="B11629" s="9" t="n"/>
    </row>
    <row r="11630">
      <c r="A11630" s="8" t="n"/>
      <c r="B11630" s="9" t="n"/>
    </row>
    <row r="11631">
      <c r="A11631" s="8" t="n"/>
      <c r="B11631" s="9" t="n"/>
    </row>
    <row r="11632">
      <c r="A11632" s="8" t="n"/>
      <c r="B11632" s="9" t="n"/>
    </row>
    <row r="11633">
      <c r="A11633" s="8" t="n"/>
      <c r="B11633" s="9" t="n"/>
    </row>
    <row r="11634">
      <c r="A11634" s="8" t="n"/>
      <c r="B11634" s="9" t="n"/>
    </row>
    <row r="11635">
      <c r="A11635" s="8" t="n"/>
      <c r="B11635" s="9" t="n"/>
    </row>
    <row r="11636">
      <c r="A11636" s="8" t="n"/>
      <c r="B11636" s="9" t="n"/>
    </row>
    <row r="11637">
      <c r="A11637" s="8" t="n"/>
      <c r="B11637" s="9" t="n"/>
    </row>
    <row r="11638">
      <c r="A11638" s="8" t="n"/>
      <c r="B11638" s="9" t="n"/>
    </row>
    <row r="11639">
      <c r="A11639" s="8" t="n"/>
      <c r="B11639" s="9" t="n"/>
    </row>
    <row r="11640">
      <c r="A11640" s="8" t="n"/>
      <c r="B11640" s="9" t="n"/>
    </row>
    <row r="11641">
      <c r="A11641" s="8" t="n"/>
      <c r="B11641" s="9" t="n"/>
    </row>
    <row r="11642">
      <c r="A11642" s="8" t="n"/>
      <c r="B11642" s="9" t="n"/>
    </row>
    <row r="11643">
      <c r="A11643" s="8" t="n"/>
      <c r="B11643" s="9" t="n"/>
    </row>
    <row r="11644">
      <c r="A11644" s="8" t="n"/>
      <c r="B11644" s="9" t="n"/>
    </row>
    <row r="11645">
      <c r="A11645" s="8" t="n"/>
      <c r="B11645" s="9" t="n"/>
    </row>
    <row r="11646">
      <c r="A11646" s="8" t="n"/>
      <c r="B11646" s="9" t="n"/>
    </row>
    <row r="11647">
      <c r="A11647" s="8" t="n"/>
      <c r="B11647" s="9" t="n"/>
    </row>
    <row r="11648">
      <c r="A11648" s="8" t="n"/>
      <c r="B11648" s="9" t="n"/>
    </row>
    <row r="11649">
      <c r="A11649" s="8" t="n"/>
      <c r="B11649" s="9" t="n"/>
    </row>
    <row r="11650">
      <c r="A11650" s="8" t="n"/>
      <c r="B11650" s="9" t="n"/>
    </row>
    <row r="11651">
      <c r="A11651" s="8" t="n"/>
      <c r="B11651" s="9" t="n"/>
    </row>
    <row r="11652">
      <c r="A11652" s="8" t="n"/>
      <c r="B11652" s="9" t="n"/>
    </row>
    <row r="11653">
      <c r="A11653" s="8" t="n"/>
      <c r="B11653" s="9" t="n"/>
    </row>
    <row r="11654">
      <c r="A11654" s="8" t="n"/>
      <c r="B11654" s="9" t="n"/>
    </row>
    <row r="11655">
      <c r="A11655" s="8" t="n"/>
      <c r="B11655" s="9" t="n"/>
    </row>
    <row r="11656">
      <c r="A11656" s="8" t="n"/>
      <c r="B11656" s="9" t="n"/>
    </row>
    <row r="11657">
      <c r="A11657" s="8" t="n"/>
      <c r="B11657" s="9" t="n"/>
    </row>
    <row r="11658">
      <c r="A11658" s="8" t="n"/>
      <c r="B11658" s="9" t="n"/>
    </row>
    <row r="11659">
      <c r="A11659" s="8" t="n"/>
      <c r="B11659" s="9" t="n"/>
    </row>
    <row r="11660">
      <c r="A11660" s="8" t="n"/>
      <c r="B11660" s="9" t="n"/>
    </row>
    <row r="11661">
      <c r="A11661" s="8" t="n"/>
      <c r="B11661" s="9" t="n"/>
    </row>
    <row r="11662">
      <c r="A11662" s="8" t="n"/>
      <c r="B11662" s="9" t="n"/>
    </row>
    <row r="11663">
      <c r="A11663" s="8" t="n"/>
      <c r="B11663" s="9" t="n"/>
    </row>
    <row r="11664">
      <c r="A11664" s="8" t="n"/>
      <c r="B11664" s="9" t="n"/>
    </row>
    <row r="11665">
      <c r="A11665" s="8" t="n"/>
      <c r="B11665" s="9" t="n"/>
    </row>
    <row r="11666">
      <c r="A11666" s="8" t="n"/>
      <c r="B11666" s="9" t="n"/>
    </row>
    <row r="11667">
      <c r="A11667" s="8" t="n"/>
      <c r="B11667" s="9" t="n"/>
    </row>
    <row r="11668">
      <c r="A11668" s="8" t="n"/>
      <c r="B11668" s="9" t="n"/>
    </row>
    <row r="11669">
      <c r="A11669" s="8" t="n"/>
      <c r="B11669" s="9" t="n"/>
    </row>
    <row r="11670">
      <c r="A11670" s="8" t="n"/>
      <c r="B11670" s="9" t="n"/>
    </row>
    <row r="11671">
      <c r="A11671" s="8" t="n"/>
      <c r="B11671" s="9" t="n"/>
    </row>
    <row r="11672">
      <c r="A11672" s="8" t="n"/>
      <c r="B11672" s="9" t="n"/>
    </row>
    <row r="11673">
      <c r="A11673" s="8" t="n"/>
      <c r="B11673" s="9" t="n"/>
    </row>
    <row r="11674">
      <c r="A11674" s="8" t="n"/>
      <c r="B11674" s="9" t="n"/>
    </row>
    <row r="11675">
      <c r="A11675" s="8" t="n"/>
      <c r="B11675" s="9" t="n"/>
    </row>
    <row r="11676">
      <c r="A11676" s="8" t="n"/>
      <c r="B11676" s="9" t="n"/>
    </row>
    <row r="11677">
      <c r="A11677" s="8" t="n"/>
      <c r="B11677" s="9" t="n"/>
    </row>
    <row r="11678">
      <c r="A11678" s="8" t="n"/>
      <c r="B11678" s="9" t="n"/>
    </row>
    <row r="11679">
      <c r="A11679" s="8" t="n"/>
      <c r="B11679" s="9" t="n"/>
    </row>
    <row r="11680">
      <c r="A11680" s="8" t="n"/>
      <c r="B11680" s="9" t="n"/>
    </row>
    <row r="11681">
      <c r="A11681" s="8" t="n"/>
      <c r="B11681" s="9" t="n"/>
    </row>
    <row r="11682">
      <c r="A11682" s="8" t="n"/>
      <c r="B11682" s="9" t="n"/>
    </row>
    <row r="11683">
      <c r="A11683" s="8" t="n"/>
      <c r="B11683" s="9" t="n"/>
    </row>
    <row r="11684">
      <c r="A11684" s="8" t="n"/>
      <c r="B11684" s="9" t="n"/>
    </row>
    <row r="11685">
      <c r="A11685" s="8" t="n"/>
      <c r="B11685" s="9" t="n"/>
    </row>
    <row r="11686">
      <c r="A11686" s="8" t="n"/>
      <c r="B11686" s="9" t="n"/>
    </row>
    <row r="11687">
      <c r="A11687" s="8" t="n"/>
      <c r="B11687" s="9" t="n"/>
    </row>
    <row r="11688">
      <c r="A11688" s="8" t="n"/>
      <c r="B11688" s="9" t="n"/>
    </row>
    <row r="11689">
      <c r="A11689" s="8" t="n"/>
      <c r="B11689" s="9" t="n"/>
    </row>
    <row r="11690">
      <c r="A11690" s="8" t="n"/>
      <c r="B11690" s="9" t="n"/>
    </row>
    <row r="11691">
      <c r="A11691" s="8" t="n"/>
      <c r="B11691" s="9" t="n"/>
    </row>
    <row r="11692">
      <c r="A11692" s="8" t="n"/>
      <c r="B11692" s="9" t="n"/>
    </row>
    <row r="11693">
      <c r="A11693" s="8" t="n"/>
      <c r="B11693" s="9" t="n"/>
    </row>
    <row r="11694">
      <c r="A11694" s="8" t="n"/>
      <c r="B11694" s="9" t="n"/>
    </row>
    <row r="11695">
      <c r="A11695" s="8" t="n"/>
      <c r="B11695" s="9" t="n"/>
    </row>
    <row r="11696">
      <c r="A11696" s="8" t="n"/>
      <c r="B11696" s="9" t="n"/>
    </row>
    <row r="11697">
      <c r="A11697" s="8" t="n"/>
      <c r="B11697" s="9" t="n"/>
    </row>
    <row r="11698">
      <c r="A11698" s="8" t="n"/>
      <c r="B11698" s="9" t="n"/>
    </row>
    <row r="11699">
      <c r="A11699" s="8" t="n"/>
      <c r="B11699" s="9" t="n"/>
    </row>
    <row r="11700">
      <c r="A11700" s="8" t="n"/>
      <c r="B11700" s="9" t="n"/>
    </row>
    <row r="11701">
      <c r="A11701" s="8" t="n"/>
      <c r="B11701" s="9" t="n"/>
    </row>
    <row r="11702">
      <c r="A11702" s="8" t="n"/>
      <c r="B11702" s="9" t="n"/>
    </row>
    <row r="11703">
      <c r="A11703" s="8" t="n"/>
      <c r="B11703" s="9" t="n"/>
    </row>
    <row r="11704">
      <c r="A11704" s="8" t="n"/>
      <c r="B11704" s="9" t="n"/>
    </row>
    <row r="11705">
      <c r="A11705" s="8" t="n"/>
      <c r="B11705" s="9" t="n"/>
    </row>
    <row r="11706">
      <c r="A11706" s="8" t="n"/>
      <c r="B11706" s="9" t="n"/>
    </row>
    <row r="11707">
      <c r="A11707" s="8" t="n"/>
      <c r="B11707" s="9" t="n"/>
    </row>
    <row r="11708">
      <c r="A11708" s="8" t="n"/>
      <c r="B11708" s="9" t="n"/>
    </row>
    <row r="11709">
      <c r="A11709" s="8" t="n"/>
      <c r="B11709" s="9" t="n"/>
    </row>
    <row r="11710">
      <c r="A11710" s="8" t="n"/>
      <c r="B11710" s="9" t="n"/>
    </row>
    <row r="11711">
      <c r="A11711" s="8" t="n"/>
      <c r="B11711" s="9" t="n"/>
    </row>
    <row r="11712">
      <c r="A11712" s="8" t="n"/>
      <c r="B11712" s="9" t="n"/>
    </row>
    <row r="11713">
      <c r="A11713" s="8" t="n"/>
      <c r="B11713" s="9" t="n"/>
    </row>
    <row r="11714">
      <c r="A11714" s="8" t="n"/>
      <c r="B11714" s="9" t="n"/>
    </row>
    <row r="11715">
      <c r="A11715" s="8" t="n"/>
      <c r="B11715" s="9" t="n"/>
    </row>
    <row r="11716">
      <c r="A11716" s="8" t="n"/>
      <c r="B11716" s="9" t="n"/>
    </row>
    <row r="11717">
      <c r="A11717" s="8" t="n"/>
      <c r="B11717" s="9" t="n"/>
    </row>
    <row r="11718">
      <c r="A11718" s="8" t="n"/>
      <c r="B11718" s="9" t="n"/>
    </row>
    <row r="11719">
      <c r="A11719" s="8" t="n"/>
      <c r="B11719" s="9" t="n"/>
    </row>
    <row r="11720">
      <c r="A11720" s="8" t="n"/>
      <c r="B11720" s="9" t="n"/>
    </row>
    <row r="11721">
      <c r="A11721" s="8" t="n"/>
      <c r="B11721" s="9" t="n"/>
    </row>
    <row r="11722">
      <c r="A11722" s="8" t="n"/>
      <c r="B11722" s="9" t="n"/>
    </row>
    <row r="11723">
      <c r="A11723" s="8" t="n"/>
      <c r="B11723" s="9" t="n"/>
    </row>
    <row r="11724">
      <c r="A11724" s="8" t="n"/>
      <c r="B11724" s="9" t="n"/>
    </row>
    <row r="11725">
      <c r="A11725" s="8" t="n"/>
      <c r="B11725" s="9" t="n"/>
    </row>
    <row r="11726">
      <c r="A11726" s="8" t="n"/>
      <c r="B11726" s="9" t="n"/>
    </row>
    <row r="11727">
      <c r="A11727" s="8" t="n"/>
      <c r="B11727" s="9" t="n"/>
    </row>
    <row r="11728">
      <c r="A11728" s="8" t="n"/>
      <c r="B11728" s="9" t="n"/>
    </row>
    <row r="11729">
      <c r="A11729" s="8" t="n"/>
      <c r="B11729" s="9" t="n"/>
    </row>
    <row r="11730">
      <c r="A11730" s="8" t="n"/>
      <c r="B11730" s="9" t="n"/>
    </row>
    <row r="11731">
      <c r="A11731" s="8" t="n"/>
      <c r="B11731" s="9" t="n"/>
    </row>
    <row r="11732">
      <c r="A11732" s="8" t="n"/>
      <c r="B11732" s="9" t="n"/>
    </row>
    <row r="11733">
      <c r="A11733" s="8" t="n"/>
      <c r="B11733" s="9" t="n"/>
    </row>
    <row r="11734">
      <c r="A11734" s="8" t="n"/>
      <c r="B11734" s="9" t="n"/>
    </row>
    <row r="11735">
      <c r="A11735" s="8" t="n"/>
      <c r="B11735" s="9" t="n"/>
    </row>
    <row r="11736">
      <c r="A11736" s="8" t="n"/>
      <c r="B11736" s="9" t="n"/>
    </row>
    <row r="11737">
      <c r="A11737" s="8" t="n"/>
      <c r="B11737" s="9" t="n"/>
    </row>
    <row r="11738">
      <c r="A11738" s="8" t="n"/>
      <c r="B11738" s="9" t="n"/>
    </row>
    <row r="11739">
      <c r="A11739" s="8" t="n"/>
      <c r="B11739" s="9" t="n"/>
    </row>
    <row r="11740">
      <c r="A11740" s="8" t="n"/>
      <c r="B11740" s="9" t="n"/>
    </row>
    <row r="11741">
      <c r="A11741" s="8" t="n"/>
      <c r="B11741" s="9" t="n"/>
    </row>
    <row r="11742">
      <c r="A11742" s="8" t="n"/>
      <c r="B11742" s="9" t="n"/>
    </row>
    <row r="11743">
      <c r="A11743" s="8" t="n"/>
      <c r="B11743" s="9" t="n"/>
    </row>
    <row r="11744">
      <c r="A11744" s="8" t="n"/>
      <c r="B11744" s="9" t="n"/>
    </row>
    <row r="11745">
      <c r="A11745" s="8" t="n"/>
      <c r="B11745" s="9" t="n"/>
    </row>
    <row r="11746">
      <c r="A11746" s="8" t="n"/>
      <c r="B11746" s="9" t="n"/>
    </row>
    <row r="11747">
      <c r="A11747" s="8" t="n"/>
      <c r="B11747" s="9" t="n"/>
    </row>
    <row r="11748">
      <c r="A11748" s="8" t="n"/>
      <c r="B11748" s="9" t="n"/>
    </row>
    <row r="11749">
      <c r="A11749" s="8" t="n"/>
      <c r="B11749" s="9" t="n"/>
    </row>
    <row r="11750">
      <c r="A11750" s="8" t="n"/>
      <c r="B11750" s="9" t="n"/>
    </row>
    <row r="11751">
      <c r="A11751" s="8" t="n"/>
      <c r="B11751" s="9" t="n"/>
    </row>
    <row r="11752">
      <c r="A11752" s="8" t="n"/>
      <c r="B11752" s="9" t="n"/>
    </row>
    <row r="11753">
      <c r="A11753" s="8" t="n"/>
      <c r="B11753" s="9" t="n"/>
    </row>
    <row r="11754">
      <c r="A11754" s="8" t="n"/>
      <c r="B11754" s="9" t="n"/>
    </row>
    <row r="11755">
      <c r="A11755" s="8" t="n"/>
      <c r="B11755" s="9" t="n"/>
    </row>
    <row r="11756">
      <c r="A11756" s="8" t="n"/>
      <c r="B11756" s="9" t="n"/>
    </row>
    <row r="11757">
      <c r="A11757" s="8" t="n"/>
      <c r="B11757" s="9" t="n"/>
    </row>
    <row r="11758">
      <c r="A11758" s="8" t="n"/>
      <c r="B11758" s="9" t="n"/>
    </row>
    <row r="11759">
      <c r="A11759" s="8" t="n"/>
      <c r="B11759" s="9" t="n"/>
    </row>
    <row r="11760">
      <c r="A11760" s="8" t="n"/>
      <c r="B11760" s="9" t="n"/>
    </row>
    <row r="11761">
      <c r="A11761" s="8" t="n"/>
      <c r="B11761" s="9" t="n"/>
    </row>
    <row r="11762">
      <c r="A11762" s="8" t="n"/>
      <c r="B11762" s="9" t="n"/>
    </row>
    <row r="11763">
      <c r="A11763" s="8" t="n"/>
      <c r="B11763" s="9" t="n"/>
    </row>
    <row r="11764">
      <c r="A11764" s="8" t="n"/>
      <c r="B11764" s="9" t="n"/>
    </row>
    <row r="11765">
      <c r="A11765" s="8" t="n"/>
      <c r="B11765" s="9" t="n"/>
    </row>
    <row r="11766">
      <c r="A11766" s="8" t="n"/>
      <c r="B11766" s="9" t="n"/>
    </row>
    <row r="11767">
      <c r="A11767" s="8" t="n"/>
      <c r="B11767" s="9" t="n"/>
    </row>
    <row r="11768">
      <c r="A11768" s="8" t="n"/>
      <c r="B11768" s="9" t="n"/>
    </row>
    <row r="11769">
      <c r="A11769" s="8" t="n"/>
      <c r="B11769" s="9" t="n"/>
    </row>
    <row r="11770">
      <c r="A11770" s="8" t="n"/>
      <c r="B11770" s="9" t="n"/>
    </row>
    <row r="11771">
      <c r="A11771" s="8" t="n"/>
      <c r="B11771" s="9" t="n"/>
    </row>
    <row r="11772">
      <c r="A11772" s="8" t="n"/>
      <c r="B11772" s="9" t="n"/>
    </row>
    <row r="11773">
      <c r="A11773" s="8" t="n"/>
      <c r="B11773" s="9" t="n"/>
    </row>
    <row r="11774">
      <c r="A11774" s="8" t="n"/>
      <c r="B11774" s="9" t="n"/>
    </row>
    <row r="11775">
      <c r="A11775" s="8" t="n"/>
      <c r="B11775" s="9" t="n"/>
    </row>
    <row r="11776">
      <c r="A11776" s="8" t="n"/>
      <c r="B11776" s="9" t="n"/>
    </row>
    <row r="11777">
      <c r="A11777" s="8" t="n"/>
      <c r="B11777" s="9" t="n"/>
    </row>
    <row r="11778">
      <c r="A11778" s="8" t="n"/>
      <c r="B11778" s="9" t="n"/>
    </row>
    <row r="11779">
      <c r="A11779" s="8" t="n"/>
      <c r="B11779" s="9" t="n"/>
    </row>
    <row r="11780">
      <c r="A11780" s="8" t="n"/>
      <c r="B11780" s="9" t="n"/>
    </row>
    <row r="11781">
      <c r="A11781" s="8" t="n"/>
      <c r="B11781" s="9" t="n"/>
    </row>
    <row r="11782">
      <c r="A11782" s="8" t="n"/>
      <c r="B11782" s="9" t="n"/>
    </row>
    <row r="11783">
      <c r="A11783" s="8" t="n"/>
      <c r="B11783" s="9" t="n"/>
    </row>
    <row r="11784">
      <c r="A11784" s="8" t="n"/>
      <c r="B11784" s="9" t="n"/>
    </row>
    <row r="11785">
      <c r="A11785" s="8" t="n"/>
      <c r="B11785" s="9" t="n"/>
    </row>
    <row r="11786">
      <c r="A11786" s="8" t="n"/>
      <c r="B11786" s="9" t="n"/>
    </row>
    <row r="11787">
      <c r="A11787" s="8" t="n"/>
      <c r="B11787" s="9" t="n"/>
    </row>
    <row r="11788">
      <c r="A11788" s="8" t="n"/>
      <c r="B11788" s="9" t="n"/>
    </row>
    <row r="11789">
      <c r="A11789" s="8" t="n"/>
      <c r="B11789" s="9" t="n"/>
    </row>
    <row r="11790">
      <c r="A11790" s="8" t="n"/>
      <c r="B11790" s="9" t="n"/>
    </row>
    <row r="11791">
      <c r="A11791" s="8" t="n"/>
      <c r="B11791" s="9" t="n"/>
    </row>
    <row r="11792">
      <c r="A11792" s="8" t="n"/>
      <c r="B11792" s="9" t="n"/>
    </row>
    <row r="11793">
      <c r="A11793" s="8" t="n"/>
      <c r="B11793" s="9" t="n"/>
    </row>
    <row r="11794">
      <c r="A11794" s="8" t="n"/>
      <c r="B11794" s="9" t="n"/>
    </row>
    <row r="11795">
      <c r="A11795" s="8" t="n"/>
      <c r="B11795" s="9" t="n"/>
    </row>
    <row r="11796">
      <c r="A11796" s="8" t="n"/>
      <c r="B11796" s="9" t="n"/>
    </row>
    <row r="11797">
      <c r="A11797" s="8" t="n"/>
      <c r="B11797" s="9" t="n"/>
    </row>
    <row r="11798">
      <c r="A11798" s="8" t="n"/>
      <c r="B11798" s="9" t="n"/>
    </row>
    <row r="11799">
      <c r="A11799" s="8" t="n"/>
      <c r="B11799" s="9" t="n"/>
    </row>
    <row r="11800">
      <c r="A11800" s="8" t="n"/>
      <c r="B11800" s="9" t="n"/>
    </row>
    <row r="11801">
      <c r="A11801" s="8" t="n"/>
      <c r="B11801" s="9" t="n"/>
    </row>
    <row r="11802">
      <c r="A11802" s="8" t="n"/>
      <c r="B11802" s="9" t="n"/>
    </row>
    <row r="11803">
      <c r="A11803" s="8" t="n"/>
      <c r="B11803" s="9" t="n"/>
    </row>
    <row r="11804">
      <c r="A11804" s="8" t="n"/>
      <c r="B11804" s="9" t="n"/>
    </row>
    <row r="11805">
      <c r="A11805" s="8" t="n"/>
      <c r="B11805" s="9" t="n"/>
    </row>
    <row r="11806">
      <c r="A11806" s="8" t="n"/>
      <c r="B11806" s="9" t="n"/>
    </row>
    <row r="11807">
      <c r="A11807" s="8" t="n"/>
      <c r="B11807" s="9" t="n"/>
    </row>
    <row r="11808">
      <c r="A11808" s="8" t="n"/>
      <c r="B11808" s="9" t="n"/>
    </row>
    <row r="11809">
      <c r="A11809" s="8" t="n"/>
      <c r="B11809" s="9" t="n"/>
    </row>
    <row r="11810">
      <c r="A11810" s="8" t="n"/>
      <c r="B11810" s="9" t="n"/>
    </row>
    <row r="11811">
      <c r="A11811" s="8" t="n"/>
      <c r="B11811" s="9" t="n"/>
    </row>
    <row r="11812">
      <c r="A11812" s="8" t="n"/>
      <c r="B11812" s="9" t="n"/>
    </row>
    <row r="11813">
      <c r="A11813" s="8" t="n"/>
      <c r="B11813" s="9" t="n"/>
    </row>
    <row r="11814">
      <c r="A11814" s="8" t="n"/>
      <c r="B11814" s="9" t="n"/>
    </row>
    <row r="11815">
      <c r="A11815" s="8" t="n"/>
      <c r="B11815" s="9" t="n"/>
    </row>
    <row r="11816">
      <c r="A11816" s="8" t="n"/>
      <c r="B11816" s="9" t="n"/>
    </row>
    <row r="11817">
      <c r="A11817" s="8" t="n"/>
      <c r="B11817" s="9" t="n"/>
    </row>
    <row r="11818">
      <c r="A11818" s="8" t="n"/>
      <c r="B11818" s="9" t="n"/>
    </row>
    <row r="11819">
      <c r="A11819" s="8" t="n"/>
      <c r="B11819" s="9" t="n"/>
    </row>
    <row r="11820">
      <c r="A11820" s="8" t="n"/>
      <c r="B11820" s="9" t="n"/>
    </row>
    <row r="11821">
      <c r="A11821" s="8" t="n"/>
      <c r="B11821" s="9" t="n"/>
    </row>
    <row r="11822">
      <c r="A11822" s="8" t="n"/>
      <c r="B11822" s="9" t="n"/>
    </row>
    <row r="11823">
      <c r="A11823" s="8" t="n"/>
      <c r="B11823" s="9" t="n"/>
    </row>
    <row r="11824">
      <c r="A11824" s="8" t="n"/>
      <c r="B11824" s="9" t="n"/>
    </row>
    <row r="11825">
      <c r="A11825" s="8" t="n"/>
      <c r="B11825" s="9" t="n"/>
    </row>
    <row r="11826">
      <c r="A11826" s="8" t="n"/>
      <c r="B11826" s="9" t="n"/>
    </row>
    <row r="11827">
      <c r="A11827" s="8" t="n"/>
      <c r="B11827" s="9" t="n"/>
    </row>
    <row r="11828">
      <c r="A11828" s="8" t="n"/>
      <c r="B11828" s="9" t="n"/>
    </row>
    <row r="11829">
      <c r="A11829" s="8" t="n"/>
      <c r="B11829" s="9" t="n"/>
    </row>
    <row r="11830">
      <c r="A11830" s="8" t="n"/>
      <c r="B11830" s="9" t="n"/>
    </row>
    <row r="11831">
      <c r="A11831" s="8" t="n"/>
      <c r="B11831" s="9" t="n"/>
    </row>
    <row r="11832">
      <c r="A11832" s="8" t="n"/>
      <c r="B11832" s="9" t="n"/>
    </row>
    <row r="11833">
      <c r="A11833" s="8" t="n"/>
      <c r="B11833" s="9" t="n"/>
    </row>
    <row r="11834">
      <c r="A11834" s="8" t="n"/>
      <c r="B11834" s="9" t="n"/>
    </row>
    <row r="11835">
      <c r="A11835" s="8" t="n"/>
      <c r="B11835" s="9" t="n"/>
    </row>
    <row r="11836">
      <c r="A11836" s="8" t="n"/>
      <c r="B11836" s="9" t="n"/>
    </row>
    <row r="11837">
      <c r="A11837" s="8" t="n"/>
      <c r="B11837" s="9" t="n"/>
    </row>
    <row r="11838">
      <c r="A11838" s="8" t="n"/>
      <c r="B11838" s="9" t="n"/>
    </row>
    <row r="11839">
      <c r="A11839" s="8" t="n"/>
      <c r="B11839" s="9" t="n"/>
    </row>
    <row r="11840">
      <c r="A11840" s="8" t="n"/>
      <c r="B11840" s="9" t="n"/>
    </row>
    <row r="11841">
      <c r="A11841" s="8" t="n"/>
      <c r="B11841" s="9" t="n"/>
    </row>
    <row r="11842">
      <c r="A11842" s="8" t="n"/>
      <c r="B11842" s="9" t="n"/>
    </row>
    <row r="11843">
      <c r="A11843" s="8" t="n"/>
      <c r="B11843" s="9" t="n"/>
    </row>
    <row r="11844">
      <c r="A11844" s="8" t="n"/>
      <c r="B11844" s="9" t="n"/>
    </row>
    <row r="11845">
      <c r="A11845" s="8" t="n"/>
      <c r="B11845" s="9" t="n"/>
    </row>
    <row r="11846">
      <c r="A11846" s="8" t="n"/>
      <c r="B11846" s="9" t="n"/>
    </row>
    <row r="11847">
      <c r="A11847" s="8" t="n"/>
      <c r="B11847" s="9" t="n"/>
    </row>
    <row r="11848">
      <c r="A11848" s="8" t="n"/>
      <c r="B11848" s="9" t="n"/>
    </row>
    <row r="11849">
      <c r="A11849" s="8" t="n"/>
      <c r="B11849" s="9" t="n"/>
    </row>
    <row r="11850">
      <c r="A11850" s="8" t="n"/>
      <c r="B11850" s="9" t="n"/>
    </row>
    <row r="11851">
      <c r="A11851" s="8" t="n"/>
      <c r="B11851" s="9" t="n"/>
    </row>
    <row r="11852">
      <c r="A11852" s="8" t="n"/>
      <c r="B11852" s="9" t="n"/>
    </row>
    <row r="11853">
      <c r="A11853" s="8" t="n"/>
      <c r="B11853" s="9" t="n"/>
    </row>
    <row r="11854">
      <c r="A11854" s="8" t="n"/>
      <c r="B11854" s="9" t="n"/>
    </row>
    <row r="11855">
      <c r="A11855" s="8" t="n"/>
      <c r="B11855" s="9" t="n"/>
    </row>
    <row r="11856">
      <c r="A11856" s="8" t="n"/>
      <c r="B11856" s="9" t="n"/>
    </row>
    <row r="11857">
      <c r="A11857" s="8" t="n"/>
      <c r="B11857" s="9" t="n"/>
    </row>
    <row r="11858">
      <c r="A11858" s="8" t="n"/>
      <c r="B11858" s="9" t="n"/>
    </row>
    <row r="11859">
      <c r="A11859" s="8" t="n"/>
      <c r="B11859" s="9" t="n"/>
    </row>
    <row r="11860">
      <c r="A11860" s="8" t="n"/>
      <c r="B11860" s="9" t="n"/>
    </row>
    <row r="11861">
      <c r="A11861" s="8" t="n"/>
      <c r="B11861" s="9" t="n"/>
    </row>
    <row r="11862">
      <c r="A11862" s="8" t="n"/>
      <c r="B11862" s="9" t="n"/>
    </row>
    <row r="11863">
      <c r="A11863" s="8" t="n"/>
      <c r="B11863" s="9" t="n"/>
    </row>
    <row r="11864">
      <c r="A11864" s="8" t="n"/>
      <c r="B11864" s="9" t="n"/>
    </row>
    <row r="11865">
      <c r="A11865" s="8" t="n"/>
      <c r="B11865" s="9" t="n"/>
    </row>
    <row r="11866">
      <c r="A11866" s="8" t="n"/>
      <c r="B11866" s="9" t="n"/>
    </row>
    <row r="11867">
      <c r="A11867" s="8" t="n"/>
      <c r="B11867" s="9" t="n"/>
    </row>
    <row r="11868">
      <c r="A11868" s="8" t="n"/>
      <c r="B11868" s="9" t="n"/>
    </row>
    <row r="11869">
      <c r="A11869" s="8" t="n"/>
      <c r="B11869" s="9" t="n"/>
    </row>
    <row r="11870">
      <c r="A11870" s="8" t="n"/>
      <c r="B11870" s="9" t="n"/>
    </row>
    <row r="11871">
      <c r="A11871" s="8" t="n"/>
      <c r="B11871" s="9" t="n"/>
    </row>
    <row r="11872">
      <c r="A11872" s="8" t="n"/>
      <c r="B11872" s="9" t="n"/>
    </row>
    <row r="11873">
      <c r="A11873" s="8" t="n"/>
      <c r="B11873" s="9" t="n"/>
    </row>
    <row r="11874">
      <c r="A11874" s="8" t="n"/>
      <c r="B11874" s="9" t="n"/>
    </row>
    <row r="11875">
      <c r="A11875" s="8" t="n"/>
      <c r="B11875" s="9" t="n"/>
    </row>
    <row r="11876">
      <c r="A11876" s="8" t="n"/>
      <c r="B11876" s="9" t="n"/>
    </row>
    <row r="11877">
      <c r="A11877" s="8" t="n"/>
      <c r="B11877" s="9" t="n"/>
    </row>
    <row r="11878">
      <c r="A11878" s="8" t="n"/>
      <c r="B11878" s="9" t="n"/>
    </row>
    <row r="11879">
      <c r="A11879" s="8" t="n"/>
      <c r="B11879" s="9" t="n"/>
    </row>
    <row r="11880">
      <c r="A11880" s="8" t="n"/>
      <c r="B11880" s="9" t="n"/>
    </row>
    <row r="11881">
      <c r="A11881" s="8" t="n"/>
      <c r="B11881" s="9" t="n"/>
    </row>
    <row r="11882">
      <c r="A11882" s="8" t="n"/>
      <c r="B11882" s="9" t="n"/>
    </row>
    <row r="11883">
      <c r="A11883" s="8" t="n"/>
      <c r="B11883" s="9" t="n"/>
    </row>
    <row r="11884">
      <c r="A11884" s="8" t="n"/>
      <c r="B11884" s="9" t="n"/>
    </row>
    <row r="11885">
      <c r="A11885" s="8" t="n"/>
      <c r="B11885" s="9" t="n"/>
    </row>
    <row r="11886">
      <c r="A11886" s="8" t="n"/>
      <c r="B11886" s="9" t="n"/>
    </row>
    <row r="11887">
      <c r="A11887" s="8" t="n"/>
      <c r="B11887" s="9" t="n"/>
    </row>
    <row r="11888">
      <c r="A11888" s="8" t="n"/>
      <c r="B11888" s="9" t="n"/>
    </row>
    <row r="11889">
      <c r="A11889" s="8" t="n"/>
      <c r="B11889" s="9" t="n"/>
    </row>
    <row r="11890">
      <c r="A11890" s="8" t="n"/>
      <c r="B11890" s="9" t="n"/>
    </row>
    <row r="11891">
      <c r="A11891" s="8" t="n"/>
      <c r="B11891" s="9" t="n"/>
    </row>
    <row r="11892">
      <c r="A11892" s="8" t="n"/>
      <c r="B11892" s="9" t="n"/>
    </row>
    <row r="11893">
      <c r="A11893" s="8" t="n"/>
      <c r="B11893" s="9" t="n"/>
    </row>
    <row r="11894">
      <c r="A11894" s="8" t="n"/>
      <c r="B11894" s="9" t="n"/>
    </row>
    <row r="11895">
      <c r="A11895" s="8" t="n"/>
      <c r="B11895" s="9" t="n"/>
    </row>
    <row r="11896">
      <c r="A11896" s="8" t="n"/>
      <c r="B11896" s="9" t="n"/>
    </row>
    <row r="11897">
      <c r="A11897" s="8" t="n"/>
      <c r="B11897" s="9" t="n"/>
    </row>
    <row r="11898">
      <c r="A11898" s="8" t="n"/>
      <c r="B11898" s="9" t="n"/>
    </row>
    <row r="11899">
      <c r="A11899" s="8" t="n"/>
      <c r="B11899" s="9" t="n"/>
    </row>
    <row r="11900">
      <c r="A11900" s="8" t="n"/>
      <c r="B11900" s="9" t="n"/>
    </row>
    <row r="11901">
      <c r="A11901" s="8" t="n"/>
      <c r="B11901" s="9" t="n"/>
    </row>
    <row r="11902">
      <c r="A11902" s="8" t="n"/>
      <c r="B11902" s="9" t="n"/>
    </row>
    <row r="11903">
      <c r="A11903" s="8" t="n"/>
      <c r="B11903" s="9" t="n"/>
    </row>
    <row r="11904">
      <c r="A11904" s="8" t="n"/>
      <c r="B11904" s="9" t="n"/>
    </row>
    <row r="11905">
      <c r="A11905" s="8" t="n"/>
      <c r="B11905" s="9" t="n"/>
    </row>
    <row r="11906">
      <c r="A11906" s="8" t="n"/>
      <c r="B11906" s="9" t="n"/>
    </row>
    <row r="11907">
      <c r="A11907" s="8" t="n"/>
      <c r="B11907" s="9" t="n"/>
    </row>
    <row r="11908">
      <c r="A11908" s="8" t="n"/>
      <c r="B11908" s="9" t="n"/>
    </row>
    <row r="11909">
      <c r="A11909" s="8" t="n"/>
      <c r="B11909" s="9" t="n"/>
    </row>
    <row r="11910">
      <c r="A11910" s="8" t="n"/>
      <c r="B11910" s="9" t="n"/>
    </row>
    <row r="11911">
      <c r="A11911" s="8" t="n"/>
      <c r="B11911" s="9" t="n"/>
    </row>
    <row r="11912">
      <c r="A11912" s="8" t="n"/>
      <c r="B11912" s="9" t="n"/>
    </row>
    <row r="11913">
      <c r="A11913" s="8" t="n"/>
      <c r="B11913" s="9" t="n"/>
    </row>
    <row r="11914">
      <c r="A11914" s="8" t="n"/>
      <c r="B11914" s="9" t="n"/>
    </row>
    <row r="11915">
      <c r="A11915" s="8" t="n"/>
      <c r="B11915" s="9" t="n"/>
    </row>
    <row r="11916">
      <c r="A11916" s="8" t="n"/>
      <c r="B11916" s="9" t="n"/>
    </row>
    <row r="11917">
      <c r="A11917" s="8" t="n"/>
      <c r="B11917" s="9" t="n"/>
    </row>
    <row r="11918">
      <c r="A11918" s="8" t="n"/>
      <c r="B11918" s="9" t="n"/>
    </row>
    <row r="11919">
      <c r="A11919" s="8" t="n"/>
      <c r="B11919" s="9" t="n"/>
    </row>
    <row r="11920">
      <c r="A11920" s="8" t="n"/>
      <c r="B11920" s="9" t="n"/>
    </row>
    <row r="11921">
      <c r="A11921" s="8" t="n"/>
      <c r="B11921" s="9" t="n"/>
    </row>
    <row r="11922">
      <c r="A11922" s="8" t="n"/>
      <c r="B11922" s="9" t="n"/>
    </row>
    <row r="11923">
      <c r="A11923" s="8" t="n"/>
      <c r="B11923" s="9" t="n"/>
    </row>
    <row r="11924">
      <c r="A11924" s="8" t="n"/>
      <c r="B11924" s="9" t="n"/>
    </row>
    <row r="11925">
      <c r="A11925" s="8" t="n"/>
      <c r="B11925" s="9" t="n"/>
    </row>
    <row r="11926">
      <c r="A11926" s="8" t="n"/>
      <c r="B11926" s="9" t="n"/>
    </row>
    <row r="11927">
      <c r="A11927" s="8" t="n"/>
      <c r="B11927" s="9" t="n"/>
    </row>
    <row r="11928">
      <c r="A11928" s="8" t="n"/>
      <c r="B11928" s="9" t="n"/>
    </row>
    <row r="11929">
      <c r="A11929" s="8" t="n"/>
      <c r="B11929" s="9" t="n"/>
    </row>
    <row r="11930">
      <c r="A11930" s="8" t="n"/>
      <c r="B11930" s="9" t="n"/>
    </row>
    <row r="11931">
      <c r="A11931" s="8" t="n"/>
      <c r="B11931" s="9" t="n"/>
    </row>
    <row r="11932">
      <c r="A11932" s="8" t="n"/>
      <c r="B11932" s="9" t="n"/>
    </row>
    <row r="11933">
      <c r="A11933" s="8" t="n"/>
      <c r="B11933" s="9" t="n"/>
    </row>
    <row r="11934">
      <c r="A11934" s="8" t="n"/>
      <c r="B11934" s="9" t="n"/>
    </row>
    <row r="11935">
      <c r="A11935" s="8" t="n"/>
      <c r="B11935" s="9" t="n"/>
    </row>
    <row r="11936">
      <c r="A11936" s="8" t="n"/>
      <c r="B11936" s="9" t="n"/>
    </row>
    <row r="11937">
      <c r="A11937" s="8" t="n"/>
      <c r="B11937" s="9" t="n"/>
    </row>
    <row r="11938">
      <c r="A11938" s="8" t="n"/>
      <c r="B11938" s="9" t="n"/>
    </row>
    <row r="11939">
      <c r="A11939" s="8" t="n"/>
      <c r="B11939" s="9" t="n"/>
    </row>
    <row r="11940">
      <c r="A11940" s="8" t="n"/>
      <c r="B11940" s="9" t="n"/>
    </row>
    <row r="11941">
      <c r="A11941" s="8" t="n"/>
      <c r="B11941" s="9" t="n"/>
    </row>
    <row r="11942">
      <c r="A11942" s="8" t="n"/>
      <c r="B11942" s="9" t="n"/>
    </row>
    <row r="11943">
      <c r="A11943" s="8" t="n"/>
      <c r="B11943" s="9" t="n"/>
    </row>
    <row r="11944">
      <c r="A11944" s="8" t="n"/>
      <c r="B11944" s="9" t="n"/>
    </row>
    <row r="11945">
      <c r="A11945" s="8" t="n"/>
      <c r="B11945" s="9" t="n"/>
    </row>
    <row r="11946">
      <c r="A11946" s="8" t="n"/>
      <c r="B11946" s="9" t="n"/>
    </row>
    <row r="11947">
      <c r="A11947" s="8" t="n"/>
      <c r="B11947" s="9" t="n"/>
    </row>
    <row r="11948">
      <c r="A11948" s="8" t="n"/>
      <c r="B11948" s="9" t="n"/>
    </row>
    <row r="11949">
      <c r="A11949" s="8" t="n"/>
      <c r="B11949" s="9" t="n"/>
    </row>
    <row r="11950">
      <c r="A11950" s="8" t="n"/>
      <c r="B11950" s="9" t="n"/>
    </row>
    <row r="11951">
      <c r="A11951" s="8" t="n"/>
      <c r="B11951" s="9" t="n"/>
    </row>
    <row r="11952">
      <c r="A11952" s="8" t="n"/>
      <c r="B11952" s="9" t="n"/>
    </row>
    <row r="11953">
      <c r="A11953" s="8" t="n"/>
      <c r="B11953" s="9" t="n"/>
    </row>
    <row r="11954">
      <c r="A11954" s="8" t="n"/>
      <c r="B11954" s="9" t="n"/>
    </row>
    <row r="11955">
      <c r="A11955" s="8" t="n"/>
      <c r="B11955" s="9" t="n"/>
    </row>
    <row r="11956">
      <c r="A11956" s="8" t="n"/>
      <c r="B11956" s="9" t="n"/>
    </row>
    <row r="11957">
      <c r="A11957" s="8" t="n"/>
      <c r="B11957" s="9" t="n"/>
    </row>
    <row r="11958">
      <c r="A11958" s="8" t="n"/>
      <c r="B11958" s="9" t="n"/>
    </row>
    <row r="11959">
      <c r="A11959" s="8" t="n"/>
      <c r="B11959" s="9" t="n"/>
    </row>
    <row r="11960">
      <c r="A11960" s="8" t="n"/>
      <c r="B11960" s="9" t="n"/>
    </row>
    <row r="11961">
      <c r="A11961" s="8" t="n"/>
      <c r="B11961" s="9" t="n"/>
    </row>
    <row r="11962">
      <c r="A11962" s="8" t="n"/>
      <c r="B11962" s="9" t="n"/>
    </row>
    <row r="11963">
      <c r="A11963" s="8" t="n"/>
      <c r="B11963" s="9" t="n"/>
    </row>
    <row r="11964">
      <c r="A11964" s="8" t="n"/>
      <c r="B11964" s="9" t="n"/>
    </row>
    <row r="11965">
      <c r="A11965" s="8" t="n"/>
      <c r="B11965" s="9" t="n"/>
    </row>
    <row r="11966">
      <c r="A11966" s="8" t="n"/>
      <c r="B11966" s="9" t="n"/>
    </row>
    <row r="11967">
      <c r="A11967" s="8" t="n"/>
      <c r="B11967" s="9" t="n"/>
    </row>
    <row r="11968">
      <c r="A11968" s="8" t="n"/>
      <c r="B11968" s="9" t="n"/>
    </row>
    <row r="11969">
      <c r="A11969" s="8" t="n"/>
      <c r="B11969" s="9" t="n"/>
    </row>
    <row r="11970">
      <c r="A11970" s="8" t="n"/>
      <c r="B11970" s="9" t="n"/>
    </row>
    <row r="11971">
      <c r="A11971" s="8" t="n"/>
      <c r="B11971" s="9" t="n"/>
    </row>
    <row r="11972">
      <c r="A11972" s="8" t="n"/>
      <c r="B11972" s="9" t="n"/>
    </row>
    <row r="11973">
      <c r="A11973" s="8" t="n"/>
      <c r="B11973" s="9" t="n"/>
    </row>
    <row r="11974">
      <c r="A11974" s="8" t="n"/>
      <c r="B11974" s="9" t="n"/>
    </row>
    <row r="11975">
      <c r="A11975" s="8" t="n"/>
      <c r="B11975" s="9" t="n"/>
    </row>
    <row r="11976">
      <c r="A11976" s="8" t="n"/>
      <c r="B11976" s="9" t="n"/>
    </row>
    <row r="11977">
      <c r="A11977" s="8" t="n"/>
      <c r="B11977" s="9" t="n"/>
    </row>
    <row r="11978">
      <c r="A11978" s="8" t="n"/>
      <c r="B11978" s="9" t="n"/>
    </row>
    <row r="11979">
      <c r="A11979" s="8" t="n"/>
      <c r="B11979" s="9" t="n"/>
    </row>
    <row r="11980">
      <c r="A11980" s="8" t="n"/>
      <c r="B11980" s="9" t="n"/>
    </row>
    <row r="11981">
      <c r="A11981" s="8" t="n"/>
      <c r="B11981" s="9" t="n"/>
    </row>
    <row r="11982">
      <c r="A11982" s="8" t="n"/>
      <c r="B11982" s="9" t="n"/>
    </row>
    <row r="11983">
      <c r="A11983" s="8" t="n"/>
      <c r="B11983" s="9" t="n"/>
    </row>
    <row r="11984">
      <c r="A11984" s="8" t="n"/>
      <c r="B11984" s="9" t="n"/>
    </row>
    <row r="11985">
      <c r="A11985" s="8" t="n"/>
      <c r="B11985" s="9" t="n"/>
    </row>
    <row r="11986">
      <c r="A11986" s="8" t="n"/>
      <c r="B11986" s="9" t="n"/>
    </row>
    <row r="11987">
      <c r="A11987" s="8" t="n"/>
      <c r="B11987" s="9" t="n"/>
    </row>
    <row r="11988">
      <c r="A11988" s="8" t="n"/>
      <c r="B11988" s="9" t="n"/>
    </row>
    <row r="11989">
      <c r="A11989" s="8" t="n"/>
      <c r="B11989" s="9" t="n"/>
    </row>
    <row r="11990">
      <c r="A11990" s="8" t="n"/>
      <c r="B11990" s="9" t="n"/>
    </row>
    <row r="11991">
      <c r="A11991" s="8" t="n"/>
      <c r="B11991" s="9" t="n"/>
    </row>
    <row r="11992">
      <c r="A11992" s="8" t="n"/>
      <c r="B11992" s="9" t="n"/>
    </row>
    <row r="11993">
      <c r="A11993" s="8" t="n"/>
      <c r="B11993" s="9" t="n"/>
    </row>
    <row r="11994">
      <c r="A11994" s="8" t="n"/>
      <c r="B11994" s="9" t="n"/>
    </row>
    <row r="11995">
      <c r="A11995" s="8" t="n"/>
      <c r="B11995" s="9" t="n"/>
    </row>
    <row r="11996">
      <c r="A11996" s="8" t="n"/>
      <c r="B11996" s="9" t="n"/>
    </row>
    <row r="11997">
      <c r="A11997" s="8" t="n"/>
      <c r="B11997" s="9" t="n"/>
    </row>
    <row r="11998">
      <c r="A11998" s="8" t="n"/>
      <c r="B11998" s="9" t="n"/>
    </row>
    <row r="11999">
      <c r="A11999" s="8" t="n"/>
      <c r="B11999" s="9" t="n"/>
    </row>
    <row r="12000">
      <c r="A12000" s="8" t="n"/>
      <c r="B12000" s="9" t="n"/>
    </row>
    <row r="12001">
      <c r="A12001" s="8" t="n"/>
      <c r="B12001" s="9" t="n"/>
    </row>
    <row r="12002">
      <c r="A12002" s="8" t="n"/>
      <c r="B12002" s="9" t="n"/>
    </row>
    <row r="12003">
      <c r="A12003" s="8" t="n"/>
      <c r="B12003" s="9" t="n"/>
    </row>
    <row r="12004">
      <c r="A12004" s="8" t="n"/>
      <c r="B12004" s="9" t="n"/>
    </row>
    <row r="12005">
      <c r="A12005" s="8" t="n"/>
      <c r="B12005" s="9" t="n"/>
    </row>
    <row r="12006">
      <c r="A12006" s="8" t="n"/>
      <c r="B12006" s="9" t="n"/>
    </row>
    <row r="12007">
      <c r="A12007" s="8" t="n"/>
      <c r="B12007" s="9" t="n"/>
    </row>
    <row r="12008">
      <c r="A12008" s="8" t="n"/>
      <c r="B12008" s="9" t="n"/>
    </row>
    <row r="12009">
      <c r="A12009" s="8" t="n"/>
      <c r="B12009" s="9" t="n"/>
    </row>
    <row r="12010">
      <c r="A12010" s="8" t="n"/>
      <c r="B12010" s="9" t="n"/>
    </row>
    <row r="12011">
      <c r="A12011" s="8" t="n"/>
      <c r="B12011" s="9" t="n"/>
    </row>
    <row r="12012">
      <c r="A12012" s="8" t="n"/>
      <c r="B12012" s="9" t="n"/>
    </row>
    <row r="12013">
      <c r="A12013" s="8" t="n"/>
      <c r="B12013" s="9" t="n"/>
    </row>
    <row r="12014">
      <c r="A12014" s="8" t="n"/>
      <c r="B12014" s="9" t="n"/>
    </row>
    <row r="12015">
      <c r="A12015" s="8" t="n"/>
      <c r="B12015" s="9" t="n"/>
    </row>
    <row r="12016">
      <c r="A12016" s="8" t="n"/>
      <c r="B12016" s="9" t="n"/>
    </row>
    <row r="12017">
      <c r="A12017" s="8" t="n"/>
      <c r="B12017" s="9" t="n"/>
    </row>
    <row r="12018">
      <c r="A12018" s="8" t="n"/>
      <c r="B12018" s="9" t="n"/>
    </row>
    <row r="12019">
      <c r="A12019" s="8" t="n"/>
      <c r="B12019" s="9" t="n"/>
    </row>
    <row r="12020">
      <c r="A12020" s="8" t="n"/>
      <c r="B12020" s="9" t="n"/>
    </row>
    <row r="12021">
      <c r="A12021" s="8" t="n"/>
      <c r="B12021" s="9" t="n"/>
    </row>
    <row r="12022">
      <c r="A12022" s="8" t="n"/>
      <c r="B12022" s="9" t="n"/>
    </row>
    <row r="12023">
      <c r="A12023" s="8" t="n"/>
      <c r="B12023" s="9" t="n"/>
    </row>
    <row r="12024">
      <c r="A12024" s="8" t="n"/>
      <c r="B12024" s="9" t="n"/>
    </row>
    <row r="12025">
      <c r="A12025" s="8" t="n"/>
      <c r="B12025" s="9" t="n"/>
    </row>
    <row r="12026">
      <c r="A12026" s="8" t="n"/>
      <c r="B12026" s="9" t="n"/>
    </row>
    <row r="12027">
      <c r="A12027" s="8" t="n"/>
      <c r="B12027" s="9" t="n"/>
    </row>
    <row r="12028">
      <c r="A12028" s="8" t="n"/>
      <c r="B12028" s="9" t="n"/>
    </row>
    <row r="12029">
      <c r="A12029" s="8" t="n"/>
      <c r="B12029" s="9" t="n"/>
    </row>
    <row r="12030">
      <c r="A12030" s="8" t="n"/>
      <c r="B12030" s="9" t="n"/>
    </row>
    <row r="12031">
      <c r="A12031" s="8" t="n"/>
      <c r="B12031" s="9" t="n"/>
    </row>
    <row r="12032">
      <c r="A12032" s="8" t="n"/>
      <c r="B12032" s="9" t="n"/>
    </row>
    <row r="12033">
      <c r="A12033" s="8" t="n"/>
      <c r="B12033" s="9" t="n"/>
    </row>
    <row r="12034">
      <c r="A12034" s="8" t="n"/>
      <c r="B12034" s="9" t="n"/>
    </row>
    <row r="12035">
      <c r="A12035" s="8" t="n"/>
      <c r="B12035" s="9" t="n"/>
    </row>
    <row r="12036">
      <c r="A12036" s="8" t="n"/>
      <c r="B12036" s="9" t="n"/>
    </row>
    <row r="12037">
      <c r="A12037" s="8" t="n"/>
      <c r="B12037" s="9" t="n"/>
    </row>
    <row r="12038">
      <c r="A12038" s="8" t="n"/>
      <c r="B12038" s="9" t="n"/>
    </row>
    <row r="12039">
      <c r="A12039" s="8" t="n"/>
      <c r="B12039" s="9" t="n"/>
    </row>
    <row r="12040">
      <c r="A12040" s="8" t="n"/>
      <c r="B12040" s="9" t="n"/>
    </row>
    <row r="12041">
      <c r="A12041" s="8" t="n"/>
      <c r="B12041" s="9" t="n"/>
    </row>
    <row r="12042">
      <c r="A12042" s="8" t="n"/>
      <c r="B12042" s="9" t="n"/>
    </row>
    <row r="12043">
      <c r="A12043" s="8" t="n"/>
      <c r="B12043" s="9" t="n"/>
    </row>
    <row r="12044">
      <c r="A12044" s="8" t="n"/>
      <c r="B12044" s="9" t="n"/>
    </row>
    <row r="12045">
      <c r="A12045" s="8" t="n"/>
      <c r="B12045" s="9" t="n"/>
    </row>
    <row r="12046">
      <c r="A12046" s="8" t="n"/>
      <c r="B12046" s="9" t="n"/>
    </row>
    <row r="12047">
      <c r="A12047" s="8" t="n"/>
      <c r="B12047" s="9" t="n"/>
    </row>
    <row r="12048">
      <c r="A12048" s="8" t="n"/>
      <c r="B12048" s="9" t="n"/>
    </row>
    <row r="12049">
      <c r="A12049" s="8" t="n"/>
      <c r="B12049" s="9" t="n"/>
    </row>
    <row r="12050">
      <c r="A12050" s="8" t="n"/>
      <c r="B12050" s="9" t="n"/>
    </row>
    <row r="12051">
      <c r="A12051" s="8" t="n"/>
      <c r="B12051" s="9" t="n"/>
    </row>
    <row r="12052">
      <c r="A12052" s="8" t="n"/>
      <c r="B12052" s="9" t="n"/>
    </row>
    <row r="12053">
      <c r="A12053" s="8" t="n"/>
      <c r="B12053" s="9" t="n"/>
    </row>
    <row r="12054">
      <c r="A12054" s="8" t="n"/>
      <c r="B12054" s="9" t="n"/>
    </row>
    <row r="12055">
      <c r="A12055" s="8" t="n"/>
      <c r="B12055" s="9" t="n"/>
    </row>
    <row r="12056">
      <c r="A12056" s="8" t="n"/>
      <c r="B12056" s="9" t="n"/>
    </row>
    <row r="12057">
      <c r="A12057" s="8" t="n"/>
      <c r="B12057" s="9" t="n"/>
    </row>
    <row r="12058">
      <c r="A12058" s="8" t="n"/>
      <c r="B12058" s="9" t="n"/>
    </row>
    <row r="12059">
      <c r="A12059" s="8" t="n"/>
      <c r="B12059" s="9" t="n"/>
    </row>
    <row r="12060">
      <c r="A12060" s="8" t="n"/>
      <c r="B12060" s="9" t="n"/>
    </row>
    <row r="12061">
      <c r="A12061" s="8" t="n"/>
      <c r="B12061" s="9" t="n"/>
    </row>
    <row r="12062">
      <c r="A12062" s="8" t="n"/>
      <c r="B12062" s="9" t="n"/>
    </row>
    <row r="12063">
      <c r="A12063" s="8" t="n"/>
      <c r="B12063" s="9" t="n"/>
    </row>
    <row r="12064">
      <c r="A12064" s="8" t="n"/>
      <c r="B12064" s="9" t="n"/>
    </row>
    <row r="12065">
      <c r="A12065" s="8" t="n"/>
      <c r="B12065" s="9" t="n"/>
    </row>
    <row r="12066">
      <c r="A12066" s="8" t="n"/>
      <c r="B12066" s="9" t="n"/>
    </row>
    <row r="12067">
      <c r="A12067" s="8" t="n"/>
      <c r="B12067" s="9" t="n"/>
    </row>
    <row r="12068">
      <c r="A12068" s="8" t="n"/>
      <c r="B12068" s="9" t="n"/>
    </row>
    <row r="12069">
      <c r="A12069" s="8" t="n"/>
      <c r="B12069" s="9" t="n"/>
    </row>
    <row r="12070">
      <c r="A12070" s="8" t="n"/>
      <c r="B12070" s="9" t="n"/>
    </row>
    <row r="12071">
      <c r="A12071" s="8" t="n"/>
      <c r="B12071" s="9" t="n"/>
    </row>
    <row r="12072">
      <c r="A12072" s="8" t="n"/>
      <c r="B12072" s="9" t="n"/>
    </row>
    <row r="12073">
      <c r="A12073" s="8" t="n"/>
      <c r="B12073" s="9" t="n"/>
    </row>
    <row r="12074">
      <c r="A12074" s="8" t="n"/>
      <c r="B12074" s="9" t="n"/>
    </row>
    <row r="12075">
      <c r="A12075" s="8" t="n"/>
      <c r="B12075" s="9" t="n"/>
    </row>
    <row r="12076">
      <c r="A12076" s="8" t="n"/>
      <c r="B12076" s="9" t="n"/>
    </row>
    <row r="12077">
      <c r="A12077" s="8" t="n"/>
      <c r="B12077" s="9" t="n"/>
    </row>
    <row r="12078">
      <c r="A12078" s="8" t="n"/>
      <c r="B12078" s="9" t="n"/>
    </row>
    <row r="12079">
      <c r="A12079" s="8" t="n"/>
      <c r="B12079" s="9" t="n"/>
    </row>
    <row r="12080">
      <c r="A12080" s="8" t="n"/>
      <c r="B12080" s="9" t="n"/>
    </row>
    <row r="12081">
      <c r="A12081" s="8" t="n"/>
      <c r="B12081" s="9" t="n"/>
    </row>
    <row r="12082">
      <c r="A12082" s="8" t="n"/>
      <c r="B12082" s="9" t="n"/>
    </row>
    <row r="12083">
      <c r="A12083" s="8" t="n"/>
      <c r="B12083" s="9" t="n"/>
    </row>
    <row r="12084">
      <c r="A12084" s="8" t="n"/>
      <c r="B12084" s="9" t="n"/>
    </row>
    <row r="12085">
      <c r="A12085" s="8" t="n"/>
      <c r="B12085" s="9" t="n"/>
    </row>
    <row r="12086">
      <c r="A12086" s="8" t="n"/>
      <c r="B12086" s="9" t="n"/>
    </row>
    <row r="12087">
      <c r="A12087" s="8" t="n"/>
      <c r="B12087" s="9" t="n"/>
    </row>
    <row r="12088">
      <c r="A12088" s="8" t="n"/>
      <c r="B12088" s="9" t="n"/>
    </row>
    <row r="12089">
      <c r="A12089" s="8" t="n"/>
      <c r="B12089" s="9" t="n"/>
    </row>
    <row r="12090">
      <c r="A12090" s="8" t="n"/>
      <c r="B12090" s="9" t="n"/>
    </row>
    <row r="12091">
      <c r="A12091" s="8" t="n"/>
      <c r="B12091" s="9" t="n"/>
    </row>
    <row r="12092">
      <c r="A12092" s="8" t="n"/>
      <c r="B12092" s="9" t="n"/>
    </row>
    <row r="12093">
      <c r="A12093" s="8" t="n"/>
      <c r="B12093" s="9" t="n"/>
    </row>
    <row r="12094">
      <c r="A12094" s="8" t="n"/>
      <c r="B12094" s="9" t="n"/>
    </row>
    <row r="12095">
      <c r="A12095" s="8" t="n"/>
      <c r="B12095" s="9" t="n"/>
    </row>
    <row r="12096">
      <c r="A12096" s="8" t="n"/>
      <c r="B12096" s="9" t="n"/>
    </row>
    <row r="12097">
      <c r="A12097" s="8" t="n"/>
      <c r="B12097" s="9" t="n"/>
    </row>
    <row r="12098">
      <c r="A12098" s="8" t="n"/>
      <c r="B12098" s="9" t="n"/>
    </row>
    <row r="12099">
      <c r="A12099" s="8" t="n"/>
      <c r="B12099" s="9" t="n"/>
    </row>
    <row r="12100">
      <c r="A12100" s="8" t="n"/>
      <c r="B12100" s="9" t="n"/>
    </row>
    <row r="12101">
      <c r="A12101" s="8" t="n"/>
      <c r="B12101" s="9" t="n"/>
    </row>
    <row r="12102">
      <c r="A12102" s="8" t="n"/>
      <c r="B12102" s="9" t="n"/>
    </row>
    <row r="12103">
      <c r="A12103" s="8" t="n"/>
      <c r="B12103" s="9" t="n"/>
    </row>
    <row r="12104">
      <c r="A12104" s="8" t="n"/>
      <c r="B12104" s="9" t="n"/>
    </row>
    <row r="12105">
      <c r="A12105" s="8" t="n"/>
      <c r="B12105" s="9" t="n"/>
    </row>
    <row r="12106">
      <c r="A12106" s="8" t="n"/>
      <c r="B12106" s="9" t="n"/>
    </row>
    <row r="12107">
      <c r="A12107" s="8" t="n"/>
      <c r="B12107" s="9" t="n"/>
    </row>
    <row r="12108">
      <c r="A12108" s="8" t="n"/>
      <c r="B12108" s="9" t="n"/>
    </row>
    <row r="12109">
      <c r="A12109" s="8" t="n"/>
      <c r="B12109" s="9" t="n"/>
    </row>
    <row r="12110">
      <c r="A12110" s="8" t="n"/>
      <c r="B12110" s="9" t="n"/>
    </row>
    <row r="12111">
      <c r="A12111" s="8" t="n"/>
      <c r="B12111" s="9" t="n"/>
    </row>
    <row r="12112">
      <c r="A12112" s="8" t="n"/>
      <c r="B12112" s="9" t="n"/>
    </row>
    <row r="12113">
      <c r="A12113" s="8" t="n"/>
      <c r="B12113" s="9" t="n"/>
    </row>
    <row r="12114">
      <c r="A12114" s="8" t="n"/>
      <c r="B12114" s="9" t="n"/>
    </row>
    <row r="12115">
      <c r="A12115" s="8" t="n"/>
      <c r="B12115" s="9" t="n"/>
    </row>
    <row r="12116">
      <c r="A12116" s="8" t="n"/>
      <c r="B12116" s="9" t="n"/>
    </row>
    <row r="12117">
      <c r="A12117" s="8" t="n"/>
      <c r="B12117" s="9" t="n"/>
    </row>
    <row r="12118">
      <c r="A12118" s="8" t="n"/>
      <c r="B12118" s="9" t="n"/>
    </row>
    <row r="12119">
      <c r="A12119" s="8" t="n"/>
      <c r="B12119" s="9" t="n"/>
    </row>
    <row r="12120">
      <c r="A12120" s="8" t="n"/>
      <c r="B12120" s="9" t="n"/>
    </row>
    <row r="12121">
      <c r="A12121" s="8" t="n"/>
      <c r="B12121" s="9" t="n"/>
    </row>
    <row r="12122">
      <c r="A12122" s="8" t="n"/>
      <c r="B12122" s="9" t="n"/>
    </row>
    <row r="12123">
      <c r="A12123" s="8" t="n"/>
      <c r="B12123" s="9" t="n"/>
    </row>
    <row r="12124">
      <c r="A12124" s="8" t="n"/>
      <c r="B12124" s="9" t="n"/>
    </row>
    <row r="12125">
      <c r="A12125" s="8" t="n"/>
      <c r="B12125" s="9" t="n"/>
    </row>
    <row r="12126">
      <c r="A12126" s="8" t="n"/>
      <c r="B12126" s="9" t="n"/>
    </row>
    <row r="12127">
      <c r="A12127" s="8" t="n"/>
      <c r="B12127" s="9" t="n"/>
    </row>
    <row r="12128">
      <c r="A12128" s="8" t="n"/>
      <c r="B12128" s="9" t="n"/>
    </row>
    <row r="12129">
      <c r="A12129" s="8" t="n"/>
      <c r="B12129" s="9" t="n"/>
    </row>
    <row r="12130">
      <c r="A12130" s="8" t="n"/>
      <c r="B12130" s="9" t="n"/>
    </row>
    <row r="12131">
      <c r="A12131" s="8" t="n"/>
      <c r="B12131" s="9" t="n"/>
    </row>
    <row r="12132">
      <c r="A12132" s="8" t="n"/>
      <c r="B12132" s="9" t="n"/>
    </row>
    <row r="12133">
      <c r="A12133" s="8" t="n"/>
      <c r="B12133" s="9" t="n"/>
    </row>
    <row r="12134">
      <c r="A12134" s="8" t="n"/>
      <c r="B12134" s="9" t="n"/>
    </row>
    <row r="12135">
      <c r="A12135" s="8" t="n"/>
      <c r="B12135" s="9" t="n"/>
    </row>
    <row r="12136">
      <c r="A12136" s="8" t="n"/>
      <c r="B12136" s="9" t="n"/>
    </row>
    <row r="12137">
      <c r="A12137" s="8" t="n"/>
      <c r="B12137" s="9" t="n"/>
    </row>
    <row r="12138">
      <c r="A12138" s="8" t="n"/>
      <c r="B12138" s="9" t="n"/>
    </row>
    <row r="12139">
      <c r="A12139" s="8" t="n"/>
      <c r="B12139" s="9" t="n"/>
    </row>
    <row r="12140">
      <c r="A12140" s="8" t="n"/>
      <c r="B12140" s="9" t="n"/>
    </row>
    <row r="12141">
      <c r="A12141" s="8" t="n"/>
      <c r="B12141" s="9" t="n"/>
    </row>
    <row r="12142">
      <c r="A12142" s="8" t="n"/>
      <c r="B12142" s="9" t="n"/>
    </row>
    <row r="12143">
      <c r="A12143" s="8" t="n"/>
      <c r="B12143" s="9" t="n"/>
    </row>
    <row r="12144">
      <c r="A12144" s="8" t="n"/>
      <c r="B12144" s="9" t="n"/>
    </row>
    <row r="12145">
      <c r="A12145" s="8" t="n"/>
      <c r="B12145" s="9" t="n"/>
    </row>
    <row r="12146">
      <c r="A12146" s="8" t="n"/>
      <c r="B12146" s="9" t="n"/>
    </row>
    <row r="12147">
      <c r="A12147" s="8" t="n"/>
      <c r="B12147" s="9" t="n"/>
    </row>
    <row r="12148">
      <c r="A12148" s="8" t="n"/>
      <c r="B12148" s="9" t="n"/>
    </row>
    <row r="12149">
      <c r="A12149" s="8" t="n"/>
      <c r="B12149" s="9" t="n"/>
    </row>
    <row r="12150">
      <c r="A12150" s="8" t="n"/>
      <c r="B12150" s="9" t="n"/>
    </row>
    <row r="12151">
      <c r="A12151" s="8" t="n"/>
      <c r="B12151" s="9" t="n"/>
    </row>
    <row r="12152">
      <c r="A12152" s="8" t="n"/>
      <c r="B12152" s="9" t="n"/>
    </row>
    <row r="12153">
      <c r="A12153" s="8" t="n"/>
      <c r="B12153" s="9" t="n"/>
    </row>
    <row r="12154">
      <c r="A12154" s="8" t="n"/>
      <c r="B12154" s="9" t="n"/>
    </row>
    <row r="12155">
      <c r="A12155" s="8" t="n"/>
      <c r="B12155" s="9" t="n"/>
    </row>
    <row r="12156">
      <c r="A12156" s="8" t="n"/>
      <c r="B12156" s="9" t="n"/>
    </row>
    <row r="12157">
      <c r="A12157" s="8" t="n"/>
      <c r="B12157" s="9" t="n"/>
    </row>
    <row r="12158">
      <c r="A12158" s="8" t="n"/>
      <c r="B12158" s="9" t="n"/>
    </row>
    <row r="12159">
      <c r="A12159" s="8" t="n"/>
      <c r="B12159" s="9" t="n"/>
    </row>
    <row r="12160">
      <c r="A12160" s="8" t="n"/>
      <c r="B12160" s="9" t="n"/>
    </row>
    <row r="12161">
      <c r="A12161" s="8" t="n"/>
      <c r="B12161" s="9" t="n"/>
    </row>
    <row r="12162">
      <c r="A12162" s="8" t="n"/>
      <c r="B12162" s="9" t="n"/>
    </row>
    <row r="12163">
      <c r="A12163" s="8" t="n"/>
      <c r="B12163" s="9" t="n"/>
    </row>
    <row r="12164">
      <c r="A12164" s="8" t="n"/>
      <c r="B12164" s="9" t="n"/>
    </row>
    <row r="12165">
      <c r="A12165" s="8" t="n"/>
      <c r="B12165" s="9" t="n"/>
    </row>
    <row r="12166">
      <c r="A12166" s="8" t="n"/>
      <c r="B12166" s="9" t="n"/>
    </row>
    <row r="12167">
      <c r="A12167" s="8" t="n"/>
      <c r="B12167" s="9" t="n"/>
    </row>
    <row r="12168">
      <c r="A12168" s="8" t="n"/>
      <c r="B12168" s="9" t="n"/>
    </row>
    <row r="12169">
      <c r="A12169" s="8" t="n"/>
      <c r="B12169" s="9" t="n"/>
    </row>
    <row r="12170">
      <c r="A12170" s="8" t="n"/>
      <c r="B12170" s="9" t="n"/>
    </row>
    <row r="12171">
      <c r="A12171" s="8" t="n"/>
      <c r="B12171" s="9" t="n"/>
    </row>
    <row r="12172">
      <c r="A12172" s="8" t="n"/>
      <c r="B12172" s="9" t="n"/>
    </row>
    <row r="12173">
      <c r="A12173" s="8" t="n"/>
      <c r="B12173" s="9" t="n"/>
    </row>
    <row r="12174">
      <c r="A12174" s="8" t="n"/>
      <c r="B12174" s="9" t="n"/>
    </row>
    <row r="12175">
      <c r="A12175" s="8" t="n"/>
      <c r="B12175" s="9" t="n"/>
    </row>
    <row r="12176">
      <c r="A12176" s="8" t="n"/>
      <c r="B12176" s="9" t="n"/>
    </row>
    <row r="12177">
      <c r="A12177" s="8" t="n"/>
      <c r="B12177" s="9" t="n"/>
    </row>
    <row r="12178">
      <c r="A12178" s="8" t="n"/>
      <c r="B12178" s="9" t="n"/>
    </row>
    <row r="12179">
      <c r="A12179" s="8" t="n"/>
      <c r="B12179" s="9" t="n"/>
    </row>
    <row r="12180">
      <c r="A12180" s="8" t="n"/>
      <c r="B12180" s="9" t="n"/>
    </row>
    <row r="12181">
      <c r="A12181" s="8" t="n"/>
      <c r="B12181" s="9" t="n"/>
    </row>
    <row r="12182">
      <c r="A12182" s="8" t="n"/>
      <c r="B12182" s="9" t="n"/>
    </row>
    <row r="12183">
      <c r="A12183" s="8" t="n"/>
      <c r="B12183" s="9" t="n"/>
    </row>
    <row r="12184">
      <c r="A12184" s="8" t="n"/>
      <c r="B12184" s="9" t="n"/>
    </row>
    <row r="12185">
      <c r="A12185" s="8" t="n"/>
      <c r="B12185" s="9" t="n"/>
    </row>
    <row r="12186">
      <c r="A12186" s="8" t="n"/>
      <c r="B12186" s="9" t="n"/>
    </row>
    <row r="12187">
      <c r="A12187" s="8" t="n"/>
      <c r="B12187" s="9" t="n"/>
    </row>
    <row r="12188">
      <c r="A12188" s="8" t="n"/>
      <c r="B12188" s="9" t="n"/>
    </row>
    <row r="12189">
      <c r="A12189" s="8" t="n"/>
      <c r="B12189" s="9" t="n"/>
    </row>
    <row r="12190">
      <c r="A12190" s="8" t="n"/>
      <c r="B12190" s="9" t="n"/>
    </row>
    <row r="12191">
      <c r="A12191" s="8" t="n"/>
      <c r="B12191" s="9" t="n"/>
    </row>
    <row r="12192">
      <c r="A12192" s="8" t="n"/>
      <c r="B12192" s="9" t="n"/>
    </row>
    <row r="12193">
      <c r="A12193" s="8" t="n"/>
      <c r="B12193" s="9" t="n"/>
    </row>
    <row r="12194">
      <c r="A12194" s="8" t="n"/>
      <c r="B12194" s="9" t="n"/>
    </row>
    <row r="12195">
      <c r="A12195" s="8" t="n"/>
      <c r="B12195" s="9" t="n"/>
    </row>
    <row r="12196">
      <c r="A12196" s="8" t="n"/>
      <c r="B12196" s="9" t="n"/>
    </row>
    <row r="12197">
      <c r="A12197" s="8" t="n"/>
      <c r="B12197" s="9" t="n"/>
    </row>
    <row r="12198">
      <c r="A12198" s="8" t="n"/>
      <c r="B12198" s="9" t="n"/>
    </row>
    <row r="12199">
      <c r="A12199" s="8" t="n"/>
      <c r="B12199" s="9" t="n"/>
    </row>
    <row r="12200">
      <c r="A12200" s="8" t="n"/>
      <c r="B12200" s="9" t="n"/>
    </row>
    <row r="12201">
      <c r="A12201" s="8" t="n"/>
      <c r="B12201" s="9" t="n"/>
    </row>
    <row r="12202">
      <c r="A12202" s="8" t="n"/>
      <c r="B12202" s="9" t="n"/>
    </row>
    <row r="12203">
      <c r="A12203" s="8" t="n"/>
      <c r="B12203" s="9" t="n"/>
    </row>
    <row r="12204">
      <c r="A12204" s="8" t="n"/>
      <c r="B12204" s="9" t="n"/>
    </row>
    <row r="12205">
      <c r="A12205" s="8" t="n"/>
      <c r="B12205" s="9" t="n"/>
    </row>
    <row r="12206">
      <c r="A12206" s="8" t="n"/>
      <c r="B12206" s="9" t="n"/>
    </row>
    <row r="12207">
      <c r="A12207" s="8" t="n"/>
      <c r="B12207" s="9" t="n"/>
    </row>
    <row r="12208">
      <c r="A12208" s="8" t="n"/>
      <c r="B12208" s="9" t="n"/>
    </row>
    <row r="12209">
      <c r="A12209" s="8" t="n"/>
      <c r="B12209" s="9" t="n"/>
    </row>
    <row r="12210">
      <c r="A12210" s="8" t="n"/>
      <c r="B12210" s="9" t="n"/>
    </row>
    <row r="12211">
      <c r="A12211" s="8" t="n"/>
      <c r="B12211" s="9" t="n"/>
    </row>
    <row r="12212">
      <c r="A12212" s="8" t="n"/>
      <c r="B12212" s="9" t="n"/>
    </row>
    <row r="12213">
      <c r="A12213" s="8" t="n"/>
      <c r="B12213" s="9" t="n"/>
    </row>
    <row r="12214">
      <c r="A12214" s="8" t="n"/>
      <c r="B12214" s="9" t="n"/>
    </row>
    <row r="12215">
      <c r="A12215" s="8" t="n"/>
      <c r="B12215" s="9" t="n"/>
    </row>
    <row r="12216">
      <c r="A12216" s="8" t="n"/>
      <c r="B12216" s="9" t="n"/>
    </row>
    <row r="12217">
      <c r="A12217" s="8" t="n"/>
      <c r="B12217" s="9" t="n"/>
    </row>
    <row r="12218">
      <c r="A12218" s="8" t="n"/>
      <c r="B12218" s="9" t="n"/>
    </row>
    <row r="12219">
      <c r="A12219" s="8" t="n"/>
      <c r="B12219" s="9" t="n"/>
    </row>
    <row r="12220">
      <c r="A12220" s="8" t="n"/>
      <c r="B12220" s="9" t="n"/>
    </row>
    <row r="12221">
      <c r="A12221" s="8" t="n"/>
      <c r="B12221" s="9" t="n"/>
    </row>
    <row r="12222">
      <c r="A12222" s="8" t="n"/>
      <c r="B12222" s="9" t="n"/>
    </row>
    <row r="12223">
      <c r="A12223" s="8" t="n"/>
      <c r="B12223" s="9" t="n"/>
    </row>
    <row r="12224">
      <c r="A12224" s="8" t="n"/>
      <c r="B12224" s="9" t="n"/>
    </row>
    <row r="12225">
      <c r="A12225" s="8" t="n"/>
      <c r="B12225" s="9" t="n"/>
    </row>
    <row r="12226">
      <c r="A12226" s="8" t="n"/>
      <c r="B12226" s="9" t="n"/>
    </row>
    <row r="12227">
      <c r="A12227" s="8" t="n"/>
      <c r="B12227" s="9" t="n"/>
    </row>
    <row r="12228">
      <c r="A12228" s="8" t="n"/>
      <c r="B12228" s="9" t="n"/>
    </row>
    <row r="12229">
      <c r="A12229" s="8" t="n"/>
      <c r="B12229" s="9" t="n"/>
    </row>
    <row r="12230">
      <c r="A12230" s="8" t="n"/>
      <c r="B12230" s="9" t="n"/>
    </row>
    <row r="12231">
      <c r="A12231" s="8" t="n"/>
      <c r="B12231" s="9" t="n"/>
    </row>
    <row r="12232">
      <c r="A12232" s="8" t="n"/>
      <c r="B12232" s="9" t="n"/>
    </row>
    <row r="12233">
      <c r="A12233" s="8" t="n"/>
      <c r="B12233" s="9" t="n"/>
    </row>
    <row r="12234">
      <c r="A12234" s="8" t="n"/>
      <c r="B12234" s="9" t="n"/>
    </row>
    <row r="12235">
      <c r="A12235" s="8" t="n"/>
      <c r="B12235" s="9" t="n"/>
    </row>
    <row r="12236">
      <c r="A12236" s="8" t="n"/>
      <c r="B12236" s="9" t="n"/>
    </row>
    <row r="12237">
      <c r="A12237" s="8" t="n"/>
      <c r="B12237" s="9" t="n"/>
    </row>
    <row r="12238">
      <c r="A12238" s="8" t="n"/>
      <c r="B12238" s="9" t="n"/>
    </row>
    <row r="12239">
      <c r="A12239" s="8" t="n"/>
      <c r="B12239" s="9" t="n"/>
    </row>
    <row r="12240">
      <c r="A12240" s="8" t="n"/>
      <c r="B12240" s="9" t="n"/>
    </row>
    <row r="12241">
      <c r="A12241" s="8" t="n"/>
      <c r="B12241" s="9" t="n"/>
    </row>
    <row r="12242">
      <c r="A12242" s="8" t="n"/>
      <c r="B12242" s="9" t="n"/>
    </row>
    <row r="12243">
      <c r="A12243" s="8" t="n"/>
      <c r="B12243" s="9" t="n"/>
    </row>
    <row r="12244">
      <c r="A12244" s="8" t="n"/>
      <c r="B12244" s="9" t="n"/>
    </row>
    <row r="12245">
      <c r="A12245" s="8" t="n"/>
      <c r="B12245" s="9" t="n"/>
    </row>
    <row r="12246">
      <c r="A12246" s="8" t="n"/>
      <c r="B12246" s="9" t="n"/>
    </row>
    <row r="12247">
      <c r="A12247" s="8" t="n"/>
      <c r="B12247" s="9" t="n"/>
    </row>
    <row r="12248">
      <c r="A12248" s="8" t="n"/>
      <c r="B12248" s="9" t="n"/>
    </row>
    <row r="12249">
      <c r="A12249" s="8" t="n"/>
      <c r="B12249" s="9" t="n"/>
    </row>
    <row r="12250">
      <c r="A12250" s="8" t="n"/>
      <c r="B12250" s="9" t="n"/>
    </row>
    <row r="12251">
      <c r="A12251" s="8" t="n"/>
      <c r="B12251" s="9" t="n"/>
    </row>
    <row r="12252">
      <c r="A12252" s="8" t="n"/>
      <c r="B12252" s="9" t="n"/>
    </row>
    <row r="12253">
      <c r="A12253" s="8" t="n"/>
      <c r="B12253" s="9" t="n"/>
    </row>
    <row r="12254">
      <c r="A12254" s="8" t="n"/>
      <c r="B12254" s="9" t="n"/>
    </row>
    <row r="12255">
      <c r="A12255" s="8" t="n"/>
      <c r="B12255" s="9" t="n"/>
    </row>
    <row r="12256">
      <c r="A12256" s="8" t="n"/>
      <c r="B12256" s="9" t="n"/>
    </row>
    <row r="12257">
      <c r="A12257" s="8" t="n"/>
      <c r="B12257" s="9" t="n"/>
    </row>
    <row r="12258">
      <c r="A12258" s="8" t="n"/>
      <c r="B12258" s="9" t="n"/>
    </row>
    <row r="12259">
      <c r="A12259" s="8" t="n"/>
      <c r="B12259" s="9" t="n"/>
    </row>
    <row r="12260">
      <c r="A12260" s="8" t="n"/>
      <c r="B12260" s="9" t="n"/>
    </row>
    <row r="12261">
      <c r="A12261" s="8" t="n"/>
      <c r="B12261" s="9" t="n"/>
    </row>
    <row r="12262">
      <c r="A12262" s="8" t="n"/>
      <c r="B12262" s="9" t="n"/>
    </row>
    <row r="12263">
      <c r="A12263" s="8" t="n"/>
      <c r="B12263" s="9" t="n"/>
    </row>
    <row r="12264">
      <c r="A12264" s="8" t="n"/>
      <c r="B12264" s="9" t="n"/>
    </row>
    <row r="12265">
      <c r="A12265" s="8" t="n"/>
      <c r="B12265" s="9" t="n"/>
    </row>
    <row r="12266">
      <c r="A12266" s="8" t="n"/>
      <c r="B12266" s="9" t="n"/>
    </row>
    <row r="12267">
      <c r="A12267" s="8" t="n"/>
      <c r="B12267" s="9" t="n"/>
    </row>
    <row r="12268">
      <c r="A12268" s="8" t="n"/>
      <c r="B12268" s="9" t="n"/>
    </row>
    <row r="12269">
      <c r="A12269" s="8" t="n"/>
      <c r="B12269" s="9" t="n"/>
    </row>
    <row r="12270">
      <c r="A12270" s="8" t="n"/>
      <c r="B12270" s="9" t="n"/>
    </row>
    <row r="12271">
      <c r="A12271" s="8" t="n"/>
      <c r="B12271" s="9" t="n"/>
    </row>
    <row r="12272">
      <c r="A12272" s="8" t="n"/>
      <c r="B12272" s="9" t="n"/>
    </row>
    <row r="12273">
      <c r="A12273" s="8" t="n"/>
      <c r="B12273" s="9" t="n"/>
    </row>
    <row r="12274">
      <c r="A12274" s="8" t="n"/>
      <c r="B12274" s="9" t="n"/>
    </row>
    <row r="12275">
      <c r="A12275" s="8" t="n"/>
      <c r="B12275" s="9" t="n"/>
    </row>
    <row r="12276">
      <c r="A12276" s="8" t="n"/>
      <c r="B12276" s="9" t="n"/>
    </row>
    <row r="12277">
      <c r="A12277" s="8" t="n"/>
      <c r="B12277" s="9" t="n"/>
    </row>
    <row r="12278">
      <c r="A12278" s="8" t="n"/>
      <c r="B12278" s="9" t="n"/>
    </row>
    <row r="12279">
      <c r="A12279" s="8" t="n"/>
      <c r="B12279" s="9" t="n"/>
    </row>
    <row r="12280">
      <c r="A12280" s="8" t="n"/>
      <c r="B12280" s="9" t="n"/>
    </row>
    <row r="12281">
      <c r="A12281" s="8" t="n"/>
      <c r="B12281" s="9" t="n"/>
    </row>
    <row r="12282">
      <c r="A12282" s="8" t="n"/>
      <c r="B12282" s="9" t="n"/>
    </row>
    <row r="12283">
      <c r="A12283" s="8" t="n"/>
      <c r="B12283" s="9" t="n"/>
    </row>
    <row r="12284">
      <c r="A12284" s="8" t="n"/>
      <c r="B12284" s="9" t="n"/>
    </row>
    <row r="12285">
      <c r="A12285" s="8" t="n"/>
      <c r="B12285" s="9" t="n"/>
    </row>
    <row r="12286">
      <c r="A12286" s="8" t="n"/>
      <c r="B12286" s="9" t="n"/>
    </row>
    <row r="12287">
      <c r="A12287" s="8" t="n"/>
      <c r="B12287" s="9" t="n"/>
    </row>
    <row r="12288">
      <c r="A12288" s="8" t="n"/>
      <c r="B12288" s="9" t="n"/>
    </row>
    <row r="12289">
      <c r="A12289" s="8" t="n"/>
      <c r="B12289" s="9" t="n"/>
    </row>
    <row r="12290">
      <c r="A12290" s="8" t="n"/>
      <c r="B12290" s="9" t="n"/>
    </row>
    <row r="12291">
      <c r="A12291" s="8" t="n"/>
      <c r="B12291" s="9" t="n"/>
    </row>
    <row r="12292">
      <c r="A12292" s="8" t="n"/>
      <c r="B12292" s="9" t="n"/>
    </row>
    <row r="12293">
      <c r="A12293" s="8" t="n"/>
      <c r="B12293" s="9" t="n"/>
    </row>
    <row r="12294">
      <c r="A12294" s="8" t="n"/>
      <c r="B12294" s="9" t="n"/>
    </row>
    <row r="12295">
      <c r="A12295" s="8" t="n"/>
      <c r="B12295" s="9" t="n"/>
    </row>
    <row r="12296">
      <c r="A12296" s="8" t="n"/>
      <c r="B12296" s="9" t="n"/>
    </row>
    <row r="12297">
      <c r="A12297" s="8" t="n"/>
      <c r="B12297" s="9" t="n"/>
    </row>
    <row r="12298">
      <c r="A12298" s="8" t="n"/>
      <c r="B12298" s="9" t="n"/>
    </row>
    <row r="12299">
      <c r="A12299" s="8" t="n"/>
      <c r="B12299" s="9" t="n"/>
    </row>
    <row r="12300">
      <c r="A12300" s="8" t="n"/>
      <c r="B12300" s="9" t="n"/>
    </row>
    <row r="12301">
      <c r="A12301" s="8" t="n"/>
      <c r="B12301" s="9" t="n"/>
    </row>
    <row r="12302">
      <c r="A12302" s="8" t="n"/>
      <c r="B12302" s="9" t="n"/>
    </row>
    <row r="12303">
      <c r="A12303" s="8" t="n"/>
      <c r="B12303" s="9" t="n"/>
    </row>
    <row r="12304">
      <c r="A12304" s="8" t="n"/>
      <c r="B12304" s="9" t="n"/>
    </row>
    <row r="12305">
      <c r="A12305" s="8" t="n"/>
      <c r="B12305" s="9" t="n"/>
    </row>
    <row r="12306">
      <c r="A12306" s="8" t="n"/>
      <c r="B12306" s="9" t="n"/>
    </row>
    <row r="12307">
      <c r="A12307" s="8" t="n"/>
      <c r="B12307" s="9" t="n"/>
    </row>
    <row r="12308">
      <c r="A12308" s="8" t="n"/>
      <c r="B12308" s="9" t="n"/>
    </row>
    <row r="12309">
      <c r="A12309" s="8" t="n"/>
      <c r="B12309" s="9" t="n"/>
    </row>
    <row r="12310">
      <c r="A12310" s="8" t="n"/>
      <c r="B12310" s="9" t="n"/>
    </row>
    <row r="12311">
      <c r="A12311" s="8" t="n"/>
      <c r="B12311" s="9" t="n"/>
    </row>
    <row r="12312">
      <c r="A12312" s="8" t="n"/>
      <c r="B12312" s="9" t="n"/>
    </row>
    <row r="12313">
      <c r="A12313" s="8" t="n"/>
      <c r="B12313" s="9" t="n"/>
    </row>
    <row r="12314">
      <c r="A12314" s="8" t="n"/>
      <c r="B12314" s="9" t="n"/>
    </row>
    <row r="12315">
      <c r="A12315" s="8" t="n"/>
      <c r="B12315" s="9" t="n"/>
    </row>
    <row r="12316">
      <c r="A12316" s="8" t="n"/>
      <c r="B12316" s="9" t="n"/>
    </row>
    <row r="12317">
      <c r="A12317" s="8" t="n"/>
      <c r="B12317" s="9" t="n"/>
    </row>
    <row r="12318">
      <c r="A12318" s="8" t="n"/>
      <c r="B12318" s="9" t="n"/>
    </row>
    <row r="12319">
      <c r="A12319" s="8" t="n"/>
      <c r="B12319" s="9" t="n"/>
    </row>
    <row r="12320">
      <c r="A12320" s="8" t="n"/>
      <c r="B12320" s="9" t="n"/>
    </row>
    <row r="12321">
      <c r="A12321" s="8" t="n"/>
      <c r="B12321" s="9" t="n"/>
    </row>
    <row r="12322">
      <c r="A12322" s="8" t="n"/>
      <c r="B12322" s="9" t="n"/>
    </row>
    <row r="12323">
      <c r="A12323" s="8" t="n"/>
      <c r="B12323" s="9" t="n"/>
    </row>
    <row r="12324">
      <c r="A12324" s="8" t="n"/>
      <c r="B12324" s="9" t="n"/>
    </row>
    <row r="12325">
      <c r="A12325" s="8" t="n"/>
      <c r="B12325" s="9" t="n"/>
    </row>
    <row r="12326">
      <c r="A12326" s="8" t="n"/>
      <c r="B12326" s="9" t="n"/>
    </row>
    <row r="12327">
      <c r="A12327" s="8" t="n"/>
      <c r="B12327" s="9" t="n"/>
    </row>
    <row r="12328">
      <c r="A12328" s="8" t="n"/>
      <c r="B12328" s="9" t="n"/>
    </row>
    <row r="12329">
      <c r="A12329" s="8" t="n"/>
      <c r="B12329" s="9" t="n"/>
    </row>
    <row r="12330">
      <c r="A12330" s="8" t="n"/>
      <c r="B12330" s="9" t="n"/>
    </row>
    <row r="12331">
      <c r="A12331" s="8" t="n"/>
      <c r="B12331" s="9" t="n"/>
    </row>
    <row r="12332">
      <c r="A12332" s="8" t="n"/>
      <c r="B12332" s="9" t="n"/>
    </row>
    <row r="12333">
      <c r="A12333" s="8" t="n"/>
      <c r="B12333" s="9" t="n"/>
    </row>
    <row r="12334">
      <c r="A12334" s="8" t="n"/>
      <c r="B12334" s="9" t="n"/>
    </row>
    <row r="12335">
      <c r="A12335" s="8" t="n"/>
      <c r="B12335" s="9" t="n"/>
    </row>
    <row r="12336">
      <c r="A12336" s="8" t="n"/>
      <c r="B12336" s="9" t="n"/>
    </row>
    <row r="12337">
      <c r="A12337" s="8" t="n"/>
      <c r="B12337" s="9" t="n"/>
    </row>
    <row r="12338">
      <c r="A12338" s="8" t="n"/>
      <c r="B12338" s="9" t="n"/>
    </row>
    <row r="12339">
      <c r="A12339" s="8" t="n"/>
      <c r="B12339" s="9" t="n"/>
    </row>
    <row r="12340">
      <c r="A12340" s="8" t="n"/>
      <c r="B12340" s="9" t="n"/>
    </row>
    <row r="12341">
      <c r="A12341" s="8" t="n"/>
      <c r="B12341" s="9" t="n"/>
    </row>
    <row r="12342">
      <c r="A12342" s="8" t="n"/>
      <c r="B12342" s="9" t="n"/>
    </row>
    <row r="12343">
      <c r="A12343" s="8" t="n"/>
      <c r="B12343" s="9" t="n"/>
    </row>
    <row r="12344">
      <c r="A12344" s="8" t="n"/>
      <c r="B12344" s="9" t="n"/>
    </row>
    <row r="12345">
      <c r="A12345" s="8" t="n"/>
      <c r="B12345" s="9" t="n"/>
    </row>
    <row r="12346">
      <c r="A12346" s="8" t="n"/>
      <c r="B12346" s="9" t="n"/>
    </row>
    <row r="12347">
      <c r="A12347" s="8" t="n"/>
      <c r="B12347" s="9" t="n"/>
    </row>
    <row r="12348">
      <c r="A12348" s="8" t="n"/>
      <c r="B12348" s="9" t="n"/>
    </row>
    <row r="12349">
      <c r="A12349" s="8" t="n"/>
      <c r="B12349" s="9" t="n"/>
    </row>
    <row r="12350">
      <c r="A12350" s="8" t="n"/>
      <c r="B12350" s="9" t="n"/>
    </row>
    <row r="12351">
      <c r="A12351" s="8" t="n"/>
      <c r="B12351" s="9" t="n"/>
    </row>
    <row r="12352">
      <c r="A12352" s="8" t="n"/>
      <c r="B12352" s="9" t="n"/>
    </row>
    <row r="12353">
      <c r="A12353" s="8" t="n"/>
      <c r="B12353" s="9" t="n"/>
    </row>
    <row r="12354">
      <c r="A12354" s="8" t="n"/>
      <c r="B12354" s="9" t="n"/>
    </row>
    <row r="12355">
      <c r="A12355" s="8" t="n"/>
      <c r="B12355" s="9" t="n"/>
    </row>
    <row r="12356">
      <c r="A12356" s="8" t="n"/>
      <c r="B12356" s="9" t="n"/>
    </row>
    <row r="12357">
      <c r="A12357" s="8" t="n"/>
      <c r="B12357" s="9" t="n"/>
    </row>
    <row r="12358">
      <c r="A12358" s="8" t="n"/>
      <c r="B12358" s="9" t="n"/>
    </row>
    <row r="12359">
      <c r="A12359" s="8" t="n"/>
      <c r="B12359" s="9" t="n"/>
    </row>
    <row r="12360">
      <c r="A12360" s="8" t="n"/>
      <c r="B12360" s="9" t="n"/>
    </row>
    <row r="12361">
      <c r="A12361" s="8" t="n"/>
      <c r="B12361" s="9" t="n"/>
    </row>
    <row r="12362">
      <c r="A12362" s="8" t="n"/>
      <c r="B12362" s="9" t="n"/>
    </row>
    <row r="12363">
      <c r="A12363" s="8" t="n"/>
      <c r="B12363" s="9" t="n"/>
    </row>
    <row r="12364">
      <c r="A12364" s="8" t="n"/>
      <c r="B12364" s="9" t="n"/>
    </row>
    <row r="12365">
      <c r="A12365" s="8" t="n"/>
      <c r="B12365" s="9" t="n"/>
    </row>
    <row r="12366">
      <c r="A12366" s="8" t="n"/>
      <c r="B12366" s="9" t="n"/>
    </row>
    <row r="12367">
      <c r="A12367" s="8" t="n"/>
      <c r="B12367" s="9" t="n"/>
    </row>
    <row r="12368">
      <c r="A12368" s="8" t="n"/>
      <c r="B12368" s="9" t="n"/>
    </row>
    <row r="12369">
      <c r="A12369" s="8" t="n"/>
      <c r="B12369" s="9" t="n"/>
    </row>
    <row r="12370">
      <c r="A12370" s="8" t="n"/>
      <c r="B12370" s="9" t="n"/>
    </row>
    <row r="12371">
      <c r="A12371" s="8" t="n"/>
      <c r="B12371" s="9" t="n"/>
    </row>
    <row r="12372">
      <c r="A12372" s="8" t="n"/>
      <c r="B12372" s="9" t="n"/>
    </row>
    <row r="12373">
      <c r="A12373" s="8" t="n"/>
      <c r="B12373" s="9" t="n"/>
    </row>
    <row r="12374">
      <c r="A12374" s="8" t="n"/>
      <c r="B12374" s="9" t="n"/>
    </row>
    <row r="12375">
      <c r="A12375" s="8" t="n"/>
      <c r="B12375" s="9" t="n"/>
    </row>
    <row r="12376">
      <c r="A12376" s="8" t="n"/>
      <c r="B12376" s="9" t="n"/>
    </row>
    <row r="12377">
      <c r="A12377" s="8" t="n"/>
      <c r="B12377" s="9" t="n"/>
    </row>
    <row r="12378">
      <c r="A12378" s="8" t="n"/>
      <c r="B12378" s="9" t="n"/>
    </row>
    <row r="12379">
      <c r="A12379" s="8" t="n"/>
      <c r="B12379" s="9" t="n"/>
    </row>
    <row r="12380">
      <c r="A12380" s="8" t="n"/>
      <c r="B12380" s="9" t="n"/>
    </row>
    <row r="12381">
      <c r="A12381" s="8" t="n"/>
      <c r="B12381" s="9" t="n"/>
    </row>
    <row r="12382">
      <c r="A12382" s="8" t="n"/>
      <c r="B12382" s="9" t="n"/>
    </row>
    <row r="12383">
      <c r="A12383" s="8" t="n"/>
      <c r="B12383" s="9" t="n"/>
    </row>
    <row r="12384">
      <c r="A12384" s="8" t="n"/>
      <c r="B12384" s="9" t="n"/>
    </row>
    <row r="12385">
      <c r="A12385" s="8" t="n"/>
      <c r="B12385" s="9" t="n"/>
    </row>
    <row r="12386">
      <c r="A12386" s="8" t="n"/>
      <c r="B12386" s="9" t="n"/>
    </row>
    <row r="12387">
      <c r="A12387" s="8" t="n"/>
      <c r="B12387" s="9" t="n"/>
    </row>
    <row r="12388">
      <c r="A12388" s="8" t="n"/>
      <c r="B12388" s="9" t="n"/>
    </row>
    <row r="12389">
      <c r="A12389" s="8" t="n"/>
      <c r="B12389" s="9" t="n"/>
    </row>
    <row r="12390">
      <c r="A12390" s="8" t="n"/>
      <c r="B12390" s="9" t="n"/>
    </row>
    <row r="12391">
      <c r="A12391" s="8" t="n"/>
      <c r="B12391" s="9" t="n"/>
    </row>
    <row r="12392">
      <c r="A12392" s="8" t="n"/>
      <c r="B12392" s="9" t="n"/>
    </row>
    <row r="12393">
      <c r="A12393" s="8" t="n"/>
      <c r="B12393" s="9" t="n"/>
    </row>
    <row r="12394">
      <c r="A12394" s="8" t="n"/>
      <c r="B12394" s="9" t="n"/>
    </row>
    <row r="12395">
      <c r="A12395" s="8" t="n"/>
      <c r="B12395" s="9" t="n"/>
    </row>
    <row r="12396">
      <c r="A12396" s="8" t="n"/>
      <c r="B12396" s="9" t="n"/>
    </row>
    <row r="12397">
      <c r="A12397" s="8" t="n"/>
      <c r="B12397" s="9" t="n"/>
    </row>
    <row r="12398">
      <c r="A12398" s="8" t="n"/>
      <c r="B12398" s="9" t="n"/>
    </row>
    <row r="12399">
      <c r="A12399" s="8" t="n"/>
      <c r="B12399" s="9" t="n"/>
    </row>
    <row r="12400">
      <c r="A12400" s="8" t="n"/>
      <c r="B12400" s="9" t="n"/>
    </row>
    <row r="12401">
      <c r="A12401" s="8" t="n"/>
      <c r="B12401" s="9" t="n"/>
    </row>
    <row r="12402">
      <c r="A12402" s="8" t="n"/>
      <c r="B12402" s="9" t="n"/>
    </row>
    <row r="12403">
      <c r="A12403" s="8" t="n"/>
      <c r="B12403" s="9" t="n"/>
    </row>
    <row r="12404">
      <c r="A12404" s="8" t="n"/>
      <c r="B12404" s="9" t="n"/>
    </row>
    <row r="12405">
      <c r="A12405" s="8" t="n"/>
      <c r="B12405" s="9" t="n"/>
    </row>
    <row r="12406">
      <c r="A12406" s="8" t="n"/>
      <c r="B12406" s="9" t="n"/>
    </row>
    <row r="12407">
      <c r="A12407" s="8" t="n"/>
      <c r="B12407" s="9" t="n"/>
    </row>
    <row r="12408">
      <c r="A12408" s="8" t="n"/>
      <c r="B12408" s="9" t="n"/>
    </row>
    <row r="12409">
      <c r="A12409" s="8" t="n"/>
      <c r="B12409" s="9" t="n"/>
    </row>
    <row r="12410">
      <c r="A12410" s="8" t="n"/>
      <c r="B12410" s="9" t="n"/>
    </row>
    <row r="12411">
      <c r="A12411" s="8" t="n"/>
      <c r="B12411" s="9" t="n"/>
    </row>
    <row r="12412">
      <c r="A12412" s="8" t="n"/>
      <c r="B12412" s="9" t="n"/>
    </row>
    <row r="12413">
      <c r="A12413" s="8" t="n"/>
      <c r="B12413" s="9" t="n"/>
    </row>
    <row r="12414">
      <c r="A12414" s="8" t="n"/>
      <c r="B12414" s="9" t="n"/>
    </row>
    <row r="12415">
      <c r="A12415" s="8" t="n"/>
      <c r="B12415" s="9" t="n"/>
    </row>
    <row r="12416">
      <c r="A12416" s="8" t="n"/>
      <c r="B12416" s="9" t="n"/>
    </row>
    <row r="12417">
      <c r="A12417" s="8" t="n"/>
      <c r="B12417" s="9" t="n"/>
    </row>
    <row r="12418">
      <c r="A12418" s="8" t="n"/>
      <c r="B12418" s="9" t="n"/>
    </row>
    <row r="12419">
      <c r="A12419" s="8" t="n"/>
      <c r="B12419" s="9" t="n"/>
    </row>
    <row r="12420">
      <c r="A12420" s="8" t="n"/>
      <c r="B12420" s="9" t="n"/>
    </row>
    <row r="12421">
      <c r="A12421" s="8" t="n"/>
      <c r="B12421" s="9" t="n"/>
    </row>
    <row r="12422">
      <c r="A12422" s="8" t="n"/>
      <c r="B12422" s="9" t="n"/>
    </row>
    <row r="12423">
      <c r="A12423" s="8" t="n"/>
      <c r="B12423" s="9" t="n"/>
    </row>
    <row r="12424">
      <c r="A12424" s="8" t="n"/>
      <c r="B12424" s="9" t="n"/>
    </row>
    <row r="12425">
      <c r="A12425" s="8" t="n"/>
      <c r="B12425" s="9" t="n"/>
    </row>
    <row r="12426">
      <c r="A12426" s="8" t="n"/>
      <c r="B12426" s="9" t="n"/>
    </row>
    <row r="12427">
      <c r="A12427" s="8" t="n"/>
      <c r="B12427" s="9" t="n"/>
    </row>
    <row r="12428">
      <c r="A12428" s="8" t="n"/>
      <c r="B12428" s="9" t="n"/>
    </row>
    <row r="12429">
      <c r="A12429" s="8" t="n"/>
      <c r="B12429" s="9" t="n"/>
    </row>
    <row r="12430">
      <c r="A12430" s="8" t="n"/>
      <c r="B12430" s="9" t="n"/>
    </row>
    <row r="12431">
      <c r="A12431" s="8" t="n"/>
      <c r="B12431" s="9" t="n"/>
    </row>
    <row r="12432">
      <c r="A12432" s="8" t="n"/>
      <c r="B12432" s="9" t="n"/>
    </row>
    <row r="12433">
      <c r="A12433" s="8" t="n"/>
      <c r="B12433" s="9" t="n"/>
    </row>
    <row r="12434">
      <c r="A12434" s="8" t="n"/>
      <c r="B12434" s="9" t="n"/>
    </row>
    <row r="12435">
      <c r="A12435" s="8" t="n"/>
      <c r="B12435" s="9" t="n"/>
    </row>
    <row r="12436">
      <c r="A12436" s="8" t="n"/>
      <c r="B12436" s="9" t="n"/>
    </row>
    <row r="12437">
      <c r="A12437" s="8" t="n"/>
      <c r="B12437" s="9" t="n"/>
    </row>
    <row r="12438">
      <c r="A12438" s="8" t="n"/>
      <c r="B12438" s="9" t="n"/>
    </row>
    <row r="12439">
      <c r="A12439" s="8" t="n"/>
      <c r="B12439" s="9" t="n"/>
    </row>
    <row r="12440">
      <c r="A12440" s="8" t="n"/>
      <c r="B12440" s="9" t="n"/>
    </row>
    <row r="12441">
      <c r="A12441" s="8" t="n"/>
      <c r="B12441" s="9" t="n"/>
    </row>
    <row r="12442">
      <c r="A12442" s="8" t="n"/>
      <c r="B12442" s="9" t="n"/>
    </row>
    <row r="12443">
      <c r="A12443" s="8" t="n"/>
      <c r="B12443" s="9" t="n"/>
    </row>
    <row r="12444">
      <c r="A12444" s="8" t="n"/>
      <c r="B12444" s="9" t="n"/>
    </row>
    <row r="12445">
      <c r="A12445" s="8" t="n"/>
      <c r="B12445" s="9" t="n"/>
    </row>
    <row r="12446">
      <c r="A12446" s="8" t="n"/>
      <c r="B12446" s="9" t="n"/>
    </row>
    <row r="12447">
      <c r="A12447" s="8" t="n"/>
      <c r="B12447" s="9" t="n"/>
    </row>
    <row r="12448">
      <c r="A12448" s="8" t="n"/>
      <c r="B12448" s="9" t="n"/>
    </row>
    <row r="12449">
      <c r="A12449" s="8" t="n"/>
      <c r="B12449" s="9" t="n"/>
    </row>
    <row r="12450">
      <c r="A12450" s="8" t="n"/>
      <c r="B12450" s="9" t="n"/>
    </row>
    <row r="12451">
      <c r="A12451" s="8" t="n"/>
      <c r="B12451" s="9" t="n"/>
    </row>
    <row r="12452">
      <c r="A12452" s="8" t="n"/>
      <c r="B12452" s="9" t="n"/>
    </row>
    <row r="12453">
      <c r="A12453" s="8" t="n"/>
      <c r="B12453" s="9" t="n"/>
    </row>
    <row r="12454">
      <c r="A12454" s="8" t="n"/>
      <c r="B12454" s="9" t="n"/>
    </row>
    <row r="12455">
      <c r="A12455" s="8" t="n"/>
      <c r="B12455" s="9" t="n"/>
    </row>
    <row r="12456">
      <c r="A12456" s="8" t="n"/>
      <c r="B12456" s="9" t="n"/>
    </row>
    <row r="12457">
      <c r="A12457" s="8" t="n"/>
      <c r="B12457" s="9" t="n"/>
    </row>
    <row r="12458">
      <c r="A12458" s="8" t="n"/>
      <c r="B12458" s="9" t="n"/>
    </row>
    <row r="12459">
      <c r="A12459" s="8" t="n"/>
      <c r="B12459" s="9" t="n"/>
    </row>
    <row r="12460">
      <c r="A12460" s="8" t="n"/>
      <c r="B12460" s="9" t="n"/>
    </row>
    <row r="12461">
      <c r="A12461" s="8" t="n"/>
      <c r="B12461" s="9" t="n"/>
    </row>
    <row r="12462">
      <c r="A12462" s="8" t="n"/>
      <c r="B12462" s="9" t="n"/>
    </row>
    <row r="12463">
      <c r="A12463" s="8" t="n"/>
      <c r="B12463" s="9" t="n"/>
    </row>
    <row r="12464">
      <c r="A12464" s="8" t="n"/>
      <c r="B12464" s="9" t="n"/>
    </row>
    <row r="12465">
      <c r="A12465" s="8" t="n"/>
      <c r="B12465" s="9" t="n"/>
    </row>
    <row r="12466">
      <c r="A12466" s="8" t="n"/>
      <c r="B12466" s="9" t="n"/>
    </row>
    <row r="12467">
      <c r="A12467" s="8" t="n"/>
      <c r="B12467" s="9" t="n"/>
    </row>
    <row r="12468">
      <c r="A12468" s="8" t="n"/>
      <c r="B12468" s="9" t="n"/>
    </row>
    <row r="12469">
      <c r="A12469" s="8" t="n"/>
      <c r="B12469" s="9" t="n"/>
    </row>
    <row r="12470">
      <c r="A12470" s="8" t="n"/>
      <c r="B12470" s="9" t="n"/>
    </row>
    <row r="12471">
      <c r="A12471" s="8" t="n"/>
      <c r="B12471" s="9" t="n"/>
    </row>
    <row r="12472">
      <c r="A12472" s="8" t="n"/>
      <c r="B12472" s="9" t="n"/>
    </row>
    <row r="12473">
      <c r="A12473" s="8" t="n"/>
      <c r="B12473" s="9" t="n"/>
    </row>
    <row r="12474">
      <c r="A12474" s="8" t="n"/>
      <c r="B12474" s="9" t="n"/>
    </row>
    <row r="12475">
      <c r="A12475" s="8" t="n"/>
      <c r="B12475" s="9" t="n"/>
    </row>
    <row r="12476">
      <c r="A12476" s="8" t="n"/>
      <c r="B12476" s="9" t="n"/>
    </row>
    <row r="12477">
      <c r="A12477" s="8" t="n"/>
      <c r="B12477" s="9" t="n"/>
    </row>
    <row r="12478">
      <c r="A12478" s="8" t="n"/>
      <c r="B12478" s="9" t="n"/>
    </row>
    <row r="12479">
      <c r="A12479" s="8" t="n"/>
      <c r="B12479" s="9" t="n"/>
    </row>
    <row r="12480">
      <c r="A12480" s="8" t="n"/>
      <c r="B12480" s="9" t="n"/>
    </row>
    <row r="12481">
      <c r="A12481" s="8" t="n"/>
      <c r="B12481" s="9" t="n"/>
    </row>
    <row r="12482">
      <c r="A12482" s="8" t="n"/>
      <c r="B12482" s="9" t="n"/>
    </row>
    <row r="12483">
      <c r="A12483" s="8" t="n"/>
      <c r="B12483" s="9" t="n"/>
    </row>
    <row r="12484">
      <c r="A12484" s="8" t="n"/>
      <c r="B12484" s="9" t="n"/>
    </row>
    <row r="12485">
      <c r="A12485" s="8" t="n"/>
      <c r="B12485" s="9" t="n"/>
    </row>
    <row r="12486">
      <c r="A12486" s="8" t="n"/>
      <c r="B12486" s="9" t="n"/>
    </row>
    <row r="12487">
      <c r="A12487" s="8" t="n"/>
      <c r="B12487" s="9" t="n"/>
    </row>
    <row r="12488">
      <c r="A12488" s="8" t="n"/>
      <c r="B12488" s="9" t="n"/>
    </row>
    <row r="12489">
      <c r="A12489" s="8" t="n"/>
      <c r="B12489" s="9" t="n"/>
    </row>
    <row r="12490">
      <c r="A12490" s="8" t="n"/>
      <c r="B12490" s="9" t="n"/>
    </row>
    <row r="12491">
      <c r="A12491" s="8" t="n"/>
      <c r="B12491" s="9" t="n"/>
    </row>
    <row r="12492">
      <c r="A12492" s="8" t="n"/>
      <c r="B12492" s="9" t="n"/>
    </row>
    <row r="12493">
      <c r="A12493" s="8" t="n"/>
      <c r="B12493" s="9" t="n"/>
    </row>
    <row r="12494">
      <c r="A12494" s="8" t="n"/>
      <c r="B12494" s="9" t="n"/>
    </row>
    <row r="12495">
      <c r="A12495" s="8" t="n"/>
      <c r="B12495" s="9" t="n"/>
    </row>
    <row r="12496">
      <c r="A12496" s="8" t="n"/>
      <c r="B12496" s="9" t="n"/>
    </row>
    <row r="12497">
      <c r="A12497" s="8" t="n"/>
      <c r="B12497" s="9" t="n"/>
    </row>
    <row r="12498">
      <c r="A12498" s="8" t="n"/>
      <c r="B12498" s="9" t="n"/>
    </row>
    <row r="12499">
      <c r="A12499" s="8" t="n"/>
      <c r="B12499" s="9" t="n"/>
    </row>
    <row r="12500">
      <c r="A12500" s="8" t="n"/>
      <c r="B12500" s="9" t="n"/>
    </row>
    <row r="12501">
      <c r="A12501" s="8" t="n"/>
      <c r="B12501" s="9" t="n"/>
    </row>
    <row r="12502">
      <c r="A12502" s="8" t="n"/>
      <c r="B12502" s="9" t="n"/>
    </row>
    <row r="12503">
      <c r="A12503" s="8" t="n"/>
      <c r="B12503" s="9" t="n"/>
    </row>
    <row r="12504">
      <c r="A12504" s="8" t="n"/>
      <c r="B12504" s="9" t="n"/>
    </row>
    <row r="12505">
      <c r="A12505" s="8" t="n"/>
      <c r="B12505" s="9" t="n"/>
    </row>
    <row r="12506">
      <c r="A12506" s="8" t="n"/>
      <c r="B12506" s="9" t="n"/>
    </row>
    <row r="12507">
      <c r="A12507" s="8" t="n"/>
      <c r="B12507" s="9" t="n"/>
    </row>
    <row r="12508">
      <c r="A12508" s="8" t="n"/>
      <c r="B12508" s="9" t="n"/>
    </row>
    <row r="12509">
      <c r="A12509" s="8" t="n"/>
      <c r="B12509" s="9" t="n"/>
    </row>
    <row r="12510">
      <c r="A12510" s="8" t="n"/>
      <c r="B12510" s="9" t="n"/>
    </row>
    <row r="12511">
      <c r="A12511" s="8" t="n"/>
      <c r="B12511" s="9" t="n"/>
    </row>
    <row r="12512">
      <c r="A12512" s="8" t="n"/>
      <c r="B12512" s="9" t="n"/>
    </row>
    <row r="12513">
      <c r="A12513" s="8" t="n"/>
      <c r="B12513" s="9" t="n"/>
    </row>
    <row r="12514">
      <c r="A12514" s="8" t="n"/>
      <c r="B12514" s="9" t="n"/>
    </row>
    <row r="12515">
      <c r="A12515" s="8" t="n"/>
      <c r="B12515" s="9" t="n"/>
    </row>
    <row r="12516">
      <c r="A12516" s="8" t="n"/>
      <c r="B12516" s="9" t="n"/>
    </row>
    <row r="12517">
      <c r="A12517" s="8" t="n"/>
      <c r="B12517" s="9" t="n"/>
    </row>
    <row r="12518">
      <c r="A12518" s="8" t="n"/>
      <c r="B12518" s="9" t="n"/>
    </row>
    <row r="12519">
      <c r="A12519" s="8" t="n"/>
      <c r="B12519" s="9" t="n"/>
    </row>
    <row r="12520">
      <c r="A12520" s="8" t="n"/>
      <c r="B12520" s="9" t="n"/>
    </row>
    <row r="12521">
      <c r="A12521" s="8" t="n"/>
      <c r="B12521" s="9" t="n"/>
    </row>
    <row r="12522">
      <c r="A12522" s="8" t="n"/>
      <c r="B12522" s="9" t="n"/>
    </row>
    <row r="12523">
      <c r="A12523" s="8" t="n"/>
      <c r="B12523" s="9" t="n"/>
    </row>
    <row r="12524">
      <c r="A12524" s="8" t="n"/>
      <c r="B12524" s="9" t="n"/>
    </row>
    <row r="12525">
      <c r="A12525" s="8" t="n"/>
      <c r="B12525" s="9" t="n"/>
    </row>
    <row r="12526">
      <c r="A12526" s="8" t="n"/>
      <c r="B12526" s="9" t="n"/>
    </row>
    <row r="12527">
      <c r="A12527" s="8" t="n"/>
      <c r="B12527" s="9" t="n"/>
    </row>
    <row r="12528">
      <c r="A12528" s="8" t="n"/>
      <c r="B12528" s="9" t="n"/>
    </row>
    <row r="12529">
      <c r="A12529" s="8" t="n"/>
      <c r="B12529" s="9" t="n"/>
    </row>
    <row r="12530">
      <c r="A12530" s="8" t="n"/>
      <c r="B12530" s="9" t="n"/>
    </row>
    <row r="12531">
      <c r="A12531" s="8" t="n"/>
      <c r="B12531" s="9" t="n"/>
    </row>
    <row r="12532">
      <c r="A12532" s="8" t="n"/>
      <c r="B12532" s="9" t="n"/>
    </row>
    <row r="12533">
      <c r="A12533" s="8" t="n"/>
      <c r="B12533" s="9" t="n"/>
    </row>
    <row r="12534">
      <c r="A12534" s="8" t="n"/>
      <c r="B12534" s="9" t="n"/>
    </row>
    <row r="12535">
      <c r="A12535" s="8" t="n"/>
      <c r="B12535" s="9" t="n"/>
    </row>
    <row r="12536">
      <c r="A12536" s="8" t="n"/>
      <c r="B12536" s="9" t="n"/>
    </row>
    <row r="12537">
      <c r="A12537" s="8" t="n"/>
      <c r="B12537" s="9" t="n"/>
    </row>
    <row r="12538">
      <c r="A12538" s="8" t="n"/>
      <c r="B12538" s="9" t="n"/>
    </row>
    <row r="12539">
      <c r="A12539" s="8" t="n"/>
      <c r="B12539" s="9" t="n"/>
    </row>
    <row r="12540">
      <c r="A12540" s="8" t="n"/>
      <c r="B12540" s="9" t="n"/>
    </row>
    <row r="12541">
      <c r="A12541" s="8" t="n"/>
      <c r="B12541" s="9" t="n"/>
    </row>
    <row r="12542">
      <c r="A12542" s="8" t="n"/>
      <c r="B12542" s="9" t="n"/>
    </row>
    <row r="12543">
      <c r="A12543" s="8" t="n"/>
      <c r="B12543" s="9" t="n"/>
    </row>
    <row r="12544">
      <c r="A12544" s="8" t="n"/>
      <c r="B12544" s="9" t="n"/>
    </row>
    <row r="12545">
      <c r="A12545" s="8" t="n"/>
      <c r="B12545" s="9" t="n"/>
    </row>
    <row r="12546">
      <c r="A12546" s="8" t="n"/>
      <c r="B12546" s="9" t="n"/>
    </row>
    <row r="12547">
      <c r="A12547" s="8" t="n"/>
      <c r="B12547" s="9" t="n"/>
    </row>
    <row r="12548">
      <c r="A12548" s="8" t="n"/>
      <c r="B12548" s="9" t="n"/>
    </row>
    <row r="12549">
      <c r="A12549" s="8" t="n"/>
      <c r="B12549" s="9" t="n"/>
    </row>
    <row r="12550">
      <c r="A12550" s="8" t="n"/>
      <c r="B12550" s="9" t="n"/>
    </row>
    <row r="12551">
      <c r="A12551" s="8" t="n"/>
      <c r="B12551" s="9" t="n"/>
    </row>
    <row r="12552">
      <c r="A12552" s="8" t="n"/>
      <c r="B12552" s="9" t="n"/>
    </row>
    <row r="12553">
      <c r="A12553" s="8" t="n"/>
      <c r="B12553" s="9" t="n"/>
    </row>
    <row r="12554">
      <c r="A12554" s="8" t="n"/>
      <c r="B12554" s="9" t="n"/>
    </row>
    <row r="12555">
      <c r="A12555" s="8" t="n"/>
      <c r="B12555" s="9" t="n"/>
    </row>
    <row r="12556">
      <c r="A12556" s="8" t="n"/>
      <c r="B12556" s="9" t="n"/>
    </row>
    <row r="12557">
      <c r="A12557" s="8" t="n"/>
      <c r="B12557" s="9" t="n"/>
    </row>
    <row r="12558">
      <c r="A12558" s="8" t="n"/>
      <c r="B12558" s="9" t="n"/>
    </row>
    <row r="12559">
      <c r="A12559" s="8" t="n"/>
      <c r="B12559" s="9" t="n"/>
    </row>
    <row r="12560">
      <c r="A12560" s="8" t="n"/>
      <c r="B12560" s="9" t="n"/>
    </row>
    <row r="12561">
      <c r="A12561" s="8" t="n"/>
      <c r="B12561" s="9" t="n"/>
    </row>
    <row r="12562">
      <c r="A12562" s="8" t="n"/>
      <c r="B12562" s="9" t="n"/>
    </row>
    <row r="12563">
      <c r="A12563" s="8" t="n"/>
      <c r="B12563" s="9" t="n"/>
    </row>
    <row r="12564">
      <c r="A12564" s="8" t="n"/>
      <c r="B12564" s="9" t="n"/>
    </row>
    <row r="12565">
      <c r="A12565" s="8" t="n"/>
      <c r="B12565" s="9" t="n"/>
    </row>
    <row r="12566">
      <c r="A12566" s="8" t="n"/>
      <c r="B12566" s="9" t="n"/>
    </row>
    <row r="12567">
      <c r="A12567" s="8" t="n"/>
      <c r="B12567" s="9" t="n"/>
    </row>
    <row r="12568">
      <c r="A12568" s="8" t="n"/>
      <c r="B12568" s="9" t="n"/>
    </row>
    <row r="12569">
      <c r="A12569" s="8" t="n"/>
      <c r="B12569" s="9" t="n"/>
    </row>
    <row r="12570">
      <c r="A12570" s="8" t="n"/>
      <c r="B12570" s="9" t="n"/>
    </row>
    <row r="12571">
      <c r="A12571" s="8" t="n"/>
      <c r="B12571" s="9" t="n"/>
    </row>
    <row r="12572">
      <c r="A12572" s="8" t="n"/>
      <c r="B12572" s="9" t="n"/>
    </row>
    <row r="12573">
      <c r="A12573" s="8" t="n"/>
      <c r="B12573" s="9" t="n"/>
    </row>
    <row r="12574">
      <c r="A12574" s="8" t="n"/>
      <c r="B12574" s="9" t="n"/>
    </row>
    <row r="12575">
      <c r="A12575" s="8" t="n"/>
      <c r="B12575" s="9" t="n"/>
    </row>
    <row r="12576">
      <c r="A12576" s="8" t="n"/>
      <c r="B12576" s="9" t="n"/>
    </row>
    <row r="12577">
      <c r="A12577" s="8" t="n"/>
      <c r="B12577" s="9" t="n"/>
    </row>
    <row r="12578">
      <c r="A12578" s="8" t="n"/>
      <c r="B12578" s="9" t="n"/>
    </row>
    <row r="12579">
      <c r="A12579" s="8" t="n"/>
      <c r="B12579" s="9" t="n"/>
    </row>
    <row r="12580">
      <c r="A12580" s="8" t="n"/>
      <c r="B12580" s="9" t="n"/>
    </row>
    <row r="12581">
      <c r="A12581" s="8" t="n"/>
      <c r="B12581" s="9" t="n"/>
    </row>
    <row r="12582">
      <c r="A12582" s="8" t="n"/>
      <c r="B12582" s="9" t="n"/>
    </row>
    <row r="12583">
      <c r="A12583" s="8" t="n"/>
      <c r="B12583" s="9" t="n"/>
    </row>
    <row r="12584">
      <c r="A12584" s="8" t="n"/>
      <c r="B12584" s="9" t="n"/>
    </row>
    <row r="12585">
      <c r="A12585" s="8" t="n"/>
      <c r="B12585" s="9" t="n"/>
    </row>
    <row r="12586">
      <c r="A12586" s="8" t="n"/>
      <c r="B12586" s="9" t="n"/>
    </row>
    <row r="12587">
      <c r="A12587" s="8" t="n"/>
      <c r="B12587" s="9" t="n"/>
    </row>
    <row r="12588">
      <c r="A12588" s="8" t="n"/>
      <c r="B12588" s="9" t="n"/>
    </row>
    <row r="12589">
      <c r="A12589" s="8" t="n"/>
      <c r="B12589" s="9" t="n"/>
    </row>
    <row r="12590">
      <c r="A12590" s="8" t="n"/>
      <c r="B12590" s="9" t="n"/>
    </row>
    <row r="12591">
      <c r="A12591" s="8" t="n"/>
      <c r="B12591" s="9" t="n"/>
    </row>
    <row r="12592">
      <c r="A12592" s="8" t="n"/>
      <c r="B12592" s="9" t="n"/>
    </row>
    <row r="12593">
      <c r="A12593" s="8" t="n"/>
      <c r="B12593" s="9" t="n"/>
    </row>
    <row r="12594">
      <c r="A12594" s="8" t="n"/>
      <c r="B12594" s="9" t="n"/>
    </row>
    <row r="12595">
      <c r="A12595" s="8" t="n"/>
      <c r="B12595" s="9" t="n"/>
    </row>
    <row r="12596">
      <c r="A12596" s="8" t="n"/>
      <c r="B12596" s="9" t="n"/>
    </row>
    <row r="12597">
      <c r="A12597" s="8" t="n"/>
      <c r="B12597" s="9" t="n"/>
    </row>
    <row r="12598">
      <c r="A12598" s="8" t="n"/>
      <c r="B12598" s="9" t="n"/>
    </row>
    <row r="12599">
      <c r="A12599" s="8" t="n"/>
      <c r="B12599" s="9" t="n"/>
    </row>
    <row r="12600">
      <c r="A12600" s="8" t="n"/>
      <c r="B12600" s="9" t="n"/>
    </row>
    <row r="12601">
      <c r="A12601" s="8" t="n"/>
      <c r="B12601" s="9" t="n"/>
    </row>
    <row r="12602">
      <c r="A12602" s="8" t="n"/>
      <c r="B12602" s="9" t="n"/>
    </row>
    <row r="12603">
      <c r="A12603" s="8" t="n"/>
      <c r="B12603" s="9" t="n"/>
    </row>
    <row r="12604">
      <c r="A12604" s="8" t="n"/>
      <c r="B12604" s="9" t="n"/>
    </row>
    <row r="12605">
      <c r="A12605" s="8" t="n"/>
      <c r="B12605" s="9" t="n"/>
    </row>
    <row r="12606">
      <c r="A12606" s="8" t="n"/>
      <c r="B12606" s="9" t="n"/>
    </row>
    <row r="12607">
      <c r="A12607" s="8" t="n"/>
      <c r="B12607" s="9" t="n"/>
    </row>
    <row r="12608">
      <c r="A12608" s="8" t="n"/>
      <c r="B12608" s="9" t="n"/>
    </row>
    <row r="12609">
      <c r="A12609" s="8" t="n"/>
      <c r="B12609" s="9" t="n"/>
    </row>
    <row r="12610">
      <c r="A12610" s="8" t="n"/>
      <c r="B12610" s="9" t="n"/>
    </row>
    <row r="12611">
      <c r="A12611" s="8" t="n"/>
      <c r="B12611" s="9" t="n"/>
    </row>
    <row r="12612">
      <c r="A12612" s="8" t="n"/>
      <c r="B12612" s="9" t="n"/>
    </row>
    <row r="12613">
      <c r="A12613" s="8" t="n"/>
      <c r="B12613" s="9" t="n"/>
    </row>
    <row r="12614">
      <c r="A12614" s="8" t="n"/>
      <c r="B12614" s="9" t="n"/>
    </row>
    <row r="12615">
      <c r="A12615" s="8" t="n"/>
      <c r="B12615" s="9" t="n"/>
    </row>
    <row r="12616">
      <c r="A12616" s="8" t="n"/>
      <c r="B12616" s="9" t="n"/>
    </row>
    <row r="12617">
      <c r="A12617" s="8" t="n"/>
      <c r="B12617" s="9" t="n"/>
    </row>
    <row r="12618">
      <c r="A12618" s="8" t="n"/>
      <c r="B12618" s="9" t="n"/>
    </row>
    <row r="12619">
      <c r="A12619" s="8" t="n"/>
      <c r="B12619" s="9" t="n"/>
    </row>
    <row r="12620">
      <c r="A12620" s="8" t="n"/>
      <c r="B12620" s="9" t="n"/>
    </row>
    <row r="12621">
      <c r="A12621" s="8" t="n"/>
      <c r="B12621" s="9" t="n"/>
    </row>
    <row r="12622">
      <c r="A12622" s="8" t="n"/>
      <c r="B12622" s="9" t="n"/>
    </row>
    <row r="12623">
      <c r="A12623" s="8" t="n"/>
      <c r="B12623" s="9" t="n"/>
    </row>
    <row r="12624">
      <c r="A12624" s="8" t="n"/>
      <c r="B12624" s="9" t="n"/>
    </row>
    <row r="12625">
      <c r="A12625" s="8" t="n"/>
      <c r="B12625" s="9" t="n"/>
    </row>
    <row r="12626">
      <c r="A12626" s="8" t="n"/>
      <c r="B12626" s="9" t="n"/>
    </row>
    <row r="12627">
      <c r="A12627" s="8" t="n"/>
      <c r="B12627" s="9" t="n"/>
    </row>
    <row r="12628">
      <c r="A12628" s="8" t="n"/>
      <c r="B12628" s="9" t="n"/>
    </row>
    <row r="12629">
      <c r="A12629" s="8" t="n"/>
      <c r="B12629" s="9" t="n"/>
    </row>
    <row r="12630">
      <c r="A12630" s="8" t="n"/>
      <c r="B12630" s="9" t="n"/>
    </row>
    <row r="12631">
      <c r="A12631" s="8" t="n"/>
      <c r="B12631" s="9" t="n"/>
    </row>
    <row r="12632">
      <c r="A12632" s="8" t="n"/>
      <c r="B12632" s="9" t="n"/>
    </row>
    <row r="12633">
      <c r="A12633" s="8" t="n"/>
      <c r="B12633" s="9" t="n"/>
    </row>
    <row r="12634">
      <c r="A12634" s="8" t="n"/>
      <c r="B12634" s="9" t="n"/>
    </row>
    <row r="12635">
      <c r="A12635" s="8" t="n"/>
      <c r="B12635" s="9" t="n"/>
    </row>
    <row r="12636">
      <c r="A12636" s="8" t="n"/>
      <c r="B12636" s="9" t="n"/>
    </row>
    <row r="12637">
      <c r="A12637" s="8" t="n"/>
      <c r="B12637" s="9" t="n"/>
    </row>
    <row r="12638">
      <c r="A12638" s="8" t="n"/>
      <c r="B12638" s="9" t="n"/>
    </row>
    <row r="12639">
      <c r="A12639" s="8" t="n"/>
      <c r="B12639" s="9" t="n"/>
    </row>
    <row r="12640">
      <c r="A12640" s="8" t="n"/>
      <c r="B12640" s="9" t="n"/>
    </row>
    <row r="12641">
      <c r="A12641" s="8" t="n"/>
      <c r="B12641" s="9" t="n"/>
    </row>
    <row r="12642">
      <c r="A12642" s="8" t="n"/>
      <c r="B12642" s="9" t="n"/>
    </row>
    <row r="12643">
      <c r="A12643" s="8" t="n"/>
      <c r="B12643" s="9" t="n"/>
    </row>
    <row r="12644">
      <c r="A12644" s="8" t="n"/>
      <c r="B12644" s="9" t="n"/>
    </row>
    <row r="12645">
      <c r="A12645" s="8" t="n"/>
      <c r="B12645" s="9" t="n"/>
    </row>
    <row r="12646">
      <c r="A12646" s="8" t="n"/>
      <c r="B12646" s="9" t="n"/>
    </row>
    <row r="12647">
      <c r="A12647" s="8" t="n"/>
      <c r="B12647" s="9" t="n"/>
    </row>
    <row r="12648">
      <c r="A12648" s="8" t="n"/>
      <c r="B12648" s="9" t="n"/>
    </row>
    <row r="12649">
      <c r="A12649" s="8" t="n"/>
      <c r="B12649" s="9" t="n"/>
    </row>
    <row r="12650">
      <c r="A12650" s="8" t="n"/>
      <c r="B12650" s="9" t="n"/>
    </row>
    <row r="12651">
      <c r="A12651" s="8" t="n"/>
      <c r="B12651" s="9" t="n"/>
    </row>
    <row r="12652">
      <c r="A12652" s="8" t="n"/>
      <c r="B12652" s="9" t="n"/>
    </row>
    <row r="12653">
      <c r="A12653" s="8" t="n"/>
      <c r="B12653" s="9" t="n"/>
    </row>
    <row r="12654">
      <c r="A12654" s="8" t="n"/>
      <c r="B12654" s="9" t="n"/>
    </row>
    <row r="12655">
      <c r="A12655" s="8" t="n"/>
      <c r="B12655" s="9" t="n"/>
    </row>
    <row r="12656">
      <c r="A12656" s="8" t="n"/>
      <c r="B12656" s="9" t="n"/>
    </row>
    <row r="12657">
      <c r="A12657" s="8" t="n"/>
      <c r="B12657" s="9" t="n"/>
    </row>
    <row r="12658">
      <c r="A12658" s="8" t="n"/>
      <c r="B12658" s="9" t="n"/>
    </row>
    <row r="12659">
      <c r="A12659" s="8" t="n"/>
      <c r="B12659" s="9" t="n"/>
    </row>
    <row r="12660">
      <c r="A12660" s="8" t="n"/>
      <c r="B12660" s="9" t="n"/>
    </row>
    <row r="12661">
      <c r="A12661" s="8" t="n"/>
      <c r="B12661" s="9" t="n"/>
    </row>
    <row r="12662">
      <c r="A12662" s="8" t="n"/>
      <c r="B12662" s="9" t="n"/>
    </row>
    <row r="12663">
      <c r="A12663" s="8" t="n"/>
      <c r="B12663" s="9" t="n"/>
    </row>
    <row r="12664">
      <c r="A12664" s="8" t="n"/>
      <c r="B12664" s="9" t="n"/>
    </row>
    <row r="12665">
      <c r="A12665" s="8" t="n"/>
      <c r="B12665" s="9" t="n"/>
    </row>
    <row r="12666">
      <c r="A12666" s="8" t="n"/>
      <c r="B12666" s="9" t="n"/>
    </row>
    <row r="12667">
      <c r="A12667" s="8" t="n"/>
      <c r="B12667" s="9" t="n"/>
    </row>
    <row r="12668">
      <c r="A12668" s="8" t="n"/>
      <c r="B12668" s="9" t="n"/>
    </row>
    <row r="12669">
      <c r="A12669" s="8" t="n"/>
      <c r="B12669" s="9" t="n"/>
    </row>
    <row r="12670">
      <c r="A12670" s="8" t="n"/>
      <c r="B12670" s="9" t="n"/>
    </row>
    <row r="12671">
      <c r="A12671" s="8" t="n"/>
      <c r="B12671" s="9" t="n"/>
    </row>
    <row r="12672">
      <c r="A12672" s="8" t="n"/>
      <c r="B12672" s="9" t="n"/>
    </row>
    <row r="12673">
      <c r="A12673" s="8" t="n"/>
      <c r="B12673" s="9" t="n"/>
    </row>
    <row r="12674">
      <c r="A12674" s="8" t="n"/>
      <c r="B12674" s="9" t="n"/>
    </row>
    <row r="12675">
      <c r="A12675" s="8" t="n"/>
      <c r="B12675" s="9" t="n"/>
    </row>
    <row r="12676">
      <c r="A12676" s="8" t="n"/>
      <c r="B12676" s="9" t="n"/>
    </row>
    <row r="12677">
      <c r="A12677" s="8" t="n"/>
      <c r="B12677" s="9" t="n"/>
    </row>
    <row r="12678">
      <c r="A12678" s="8" t="n"/>
      <c r="B12678" s="9" t="n"/>
    </row>
    <row r="12679">
      <c r="A12679" s="8" t="n"/>
      <c r="B12679" s="9" t="n"/>
    </row>
    <row r="12680">
      <c r="A12680" s="8" t="n"/>
      <c r="B12680" s="9" t="n"/>
    </row>
    <row r="12681">
      <c r="A12681" s="8" t="n"/>
      <c r="B12681" s="9" t="n"/>
    </row>
    <row r="12682">
      <c r="A12682" s="8" t="n"/>
      <c r="B12682" s="9" t="n"/>
    </row>
    <row r="12683">
      <c r="A12683" s="8" t="n"/>
      <c r="B12683" s="9" t="n"/>
    </row>
    <row r="12684">
      <c r="A12684" s="8" t="n"/>
      <c r="B12684" s="9" t="n"/>
    </row>
    <row r="12685">
      <c r="A12685" s="8" t="n"/>
      <c r="B12685" s="9" t="n"/>
    </row>
    <row r="12686">
      <c r="A12686" s="8" t="n"/>
      <c r="B12686" s="9" t="n"/>
    </row>
    <row r="12687">
      <c r="A12687" s="8" t="n"/>
      <c r="B12687" s="9" t="n"/>
    </row>
    <row r="12688">
      <c r="A12688" s="8" t="n"/>
      <c r="B12688" s="9" t="n"/>
    </row>
    <row r="12689">
      <c r="A12689" s="8" t="n"/>
      <c r="B12689" s="9" t="n"/>
    </row>
    <row r="12690">
      <c r="A12690" s="8" t="n"/>
      <c r="B12690" s="9" t="n"/>
    </row>
    <row r="12691">
      <c r="A12691" s="8" t="n"/>
      <c r="B12691" s="9" t="n"/>
    </row>
    <row r="12692">
      <c r="A12692" s="8" t="n"/>
      <c r="B12692" s="9" t="n"/>
    </row>
    <row r="12693">
      <c r="A12693" s="8" t="n"/>
      <c r="B12693" s="9" t="n"/>
    </row>
    <row r="12694">
      <c r="A12694" s="8" t="n"/>
      <c r="B12694" s="9" t="n"/>
    </row>
    <row r="12695">
      <c r="A12695" s="8" t="n"/>
      <c r="B12695" s="9" t="n"/>
    </row>
    <row r="12696">
      <c r="A12696" s="8" t="n"/>
      <c r="B12696" s="9" t="n"/>
    </row>
    <row r="12697">
      <c r="A12697" s="8" t="n"/>
      <c r="B12697" s="9" t="n"/>
    </row>
    <row r="12698">
      <c r="A12698" s="8" t="n"/>
      <c r="B12698" s="9" t="n"/>
    </row>
    <row r="12699">
      <c r="A12699" s="8" t="n"/>
      <c r="B12699" s="9" t="n"/>
    </row>
    <row r="12700">
      <c r="A12700" s="8" t="n"/>
      <c r="B12700" s="9" t="n"/>
    </row>
    <row r="12701">
      <c r="A12701" s="8" t="n"/>
      <c r="B12701" s="9" t="n"/>
    </row>
    <row r="12702">
      <c r="A12702" s="8" t="n"/>
      <c r="B12702" s="9" t="n"/>
    </row>
    <row r="12703">
      <c r="A12703" s="8" t="n"/>
      <c r="B12703" s="9" t="n"/>
    </row>
    <row r="12704">
      <c r="A12704" s="8" t="n"/>
      <c r="B12704" s="9" t="n"/>
    </row>
    <row r="12705">
      <c r="A12705" s="8" t="n"/>
      <c r="B12705" s="9" t="n"/>
    </row>
    <row r="12706">
      <c r="A12706" s="8" t="n"/>
      <c r="B12706" s="9" t="n"/>
    </row>
    <row r="12707">
      <c r="A12707" s="8" t="n"/>
      <c r="B12707" s="9" t="n"/>
    </row>
    <row r="12708">
      <c r="A12708" s="8" t="n"/>
      <c r="B12708" s="9" t="n"/>
    </row>
    <row r="12709">
      <c r="A12709" s="8" t="n"/>
      <c r="B12709" s="9" t="n"/>
    </row>
    <row r="12710">
      <c r="A12710" s="8" t="n"/>
      <c r="B12710" s="9" t="n"/>
    </row>
    <row r="12711">
      <c r="A12711" s="8" t="n"/>
      <c r="B12711" s="9" t="n"/>
    </row>
    <row r="12712">
      <c r="A12712" s="8" t="n"/>
      <c r="B12712" s="9" t="n"/>
    </row>
    <row r="12713">
      <c r="A12713" s="8" t="n"/>
      <c r="B12713" s="9" t="n"/>
    </row>
    <row r="12714">
      <c r="A12714" s="8" t="n"/>
      <c r="B12714" s="9" t="n"/>
    </row>
    <row r="12715">
      <c r="A12715" s="8" t="n"/>
      <c r="B12715" s="9" t="n"/>
    </row>
    <row r="12716">
      <c r="A12716" s="8" t="n"/>
      <c r="B12716" s="9" t="n"/>
    </row>
    <row r="12717">
      <c r="A12717" s="8" t="n"/>
      <c r="B12717" s="9" t="n"/>
    </row>
    <row r="12718">
      <c r="A12718" s="8" t="n"/>
      <c r="B12718" s="9" t="n"/>
    </row>
    <row r="12719">
      <c r="A12719" s="8" t="n"/>
      <c r="B12719" s="9" t="n"/>
    </row>
    <row r="12720">
      <c r="A12720" s="8" t="n"/>
      <c r="B12720" s="9" t="n"/>
    </row>
    <row r="12721">
      <c r="A12721" s="8" t="n"/>
      <c r="B12721" s="9" t="n"/>
    </row>
    <row r="12722">
      <c r="A12722" s="8" t="n"/>
      <c r="B12722" s="9" t="n"/>
    </row>
    <row r="12723">
      <c r="A12723" s="8" t="n"/>
      <c r="B12723" s="9" t="n"/>
    </row>
    <row r="12724">
      <c r="A12724" s="8" t="n"/>
      <c r="B12724" s="9" t="n"/>
    </row>
    <row r="12725">
      <c r="A12725" s="8" t="n"/>
      <c r="B12725" s="9" t="n"/>
    </row>
    <row r="12726">
      <c r="A12726" s="8" t="n"/>
      <c r="B12726" s="9" t="n"/>
    </row>
    <row r="12727">
      <c r="A12727" s="8" t="n"/>
      <c r="B12727" s="9" t="n"/>
    </row>
    <row r="12728">
      <c r="A12728" s="8" t="n"/>
      <c r="B12728" s="9" t="n"/>
    </row>
    <row r="12729">
      <c r="A12729" s="8" t="n"/>
      <c r="B12729" s="9" t="n"/>
    </row>
    <row r="12730">
      <c r="A12730" s="8" t="n"/>
      <c r="B12730" s="9" t="n"/>
    </row>
    <row r="12731">
      <c r="A12731" s="8" t="n"/>
      <c r="B12731" s="9" t="n"/>
    </row>
    <row r="12732">
      <c r="A12732" s="8" t="n"/>
      <c r="B12732" s="9" t="n"/>
    </row>
    <row r="12733">
      <c r="A12733" s="8" t="n"/>
      <c r="B12733" s="9" t="n"/>
    </row>
    <row r="12734">
      <c r="A12734" s="8" t="n"/>
      <c r="B12734" s="9" t="n"/>
    </row>
    <row r="12735">
      <c r="A12735" s="8" t="n"/>
      <c r="B12735" s="9" t="n"/>
    </row>
    <row r="12736">
      <c r="A12736" s="8" t="n"/>
      <c r="B12736" s="9" t="n"/>
    </row>
    <row r="12737">
      <c r="A12737" s="8" t="n"/>
      <c r="B12737" s="9" t="n"/>
    </row>
    <row r="12738">
      <c r="A12738" s="8" t="n"/>
      <c r="B12738" s="9" t="n"/>
    </row>
    <row r="12739">
      <c r="A12739" s="8" t="n"/>
      <c r="B12739" s="9" t="n"/>
    </row>
    <row r="12740">
      <c r="A12740" s="8" t="n"/>
      <c r="B12740" s="9" t="n"/>
    </row>
    <row r="12741">
      <c r="A12741" s="8" t="n"/>
      <c r="B12741" s="9" t="n"/>
    </row>
    <row r="12742">
      <c r="A12742" s="8" t="n"/>
      <c r="B12742" s="9" t="n"/>
    </row>
    <row r="12743">
      <c r="A12743" s="8" t="n"/>
      <c r="B12743" s="9" t="n"/>
    </row>
    <row r="12744">
      <c r="A12744" s="8" t="n"/>
      <c r="B12744" s="9" t="n"/>
    </row>
    <row r="12745">
      <c r="A12745" s="8" t="n"/>
      <c r="B12745" s="9" t="n"/>
    </row>
    <row r="12746">
      <c r="A12746" s="8" t="n"/>
      <c r="B12746" s="9" t="n"/>
    </row>
    <row r="12747">
      <c r="A12747" s="8" t="n"/>
      <c r="B12747" s="9" t="n"/>
    </row>
    <row r="12748">
      <c r="A12748" s="8" t="n"/>
      <c r="B12748" s="9" t="n"/>
    </row>
    <row r="12749">
      <c r="A12749" s="8" t="n"/>
      <c r="B12749" s="9" t="n"/>
    </row>
    <row r="12750">
      <c r="A12750" s="8" t="n"/>
      <c r="B12750" s="9" t="n"/>
    </row>
    <row r="12751">
      <c r="A12751" s="8" t="n"/>
      <c r="B12751" s="9" t="n"/>
    </row>
    <row r="12752">
      <c r="A12752" s="8" t="n"/>
      <c r="B12752" s="9" t="n"/>
    </row>
    <row r="12753">
      <c r="A12753" s="8" t="n"/>
      <c r="B12753" s="9" t="n"/>
    </row>
    <row r="12754">
      <c r="A12754" s="8" t="n"/>
      <c r="B12754" s="9" t="n"/>
    </row>
    <row r="12755">
      <c r="A12755" s="8" t="n"/>
      <c r="B12755" s="9" t="n"/>
    </row>
    <row r="12756">
      <c r="A12756" s="8" t="n"/>
      <c r="B12756" s="9" t="n"/>
    </row>
    <row r="12757">
      <c r="A12757" s="8" t="n"/>
      <c r="B12757" s="9" t="n"/>
    </row>
    <row r="12758">
      <c r="A12758" s="8" t="n"/>
      <c r="B12758" s="9" t="n"/>
    </row>
    <row r="12759">
      <c r="A12759" s="8" t="n"/>
      <c r="B12759" s="9" t="n"/>
    </row>
    <row r="12760">
      <c r="A12760" s="8" t="n"/>
      <c r="B12760" s="9" t="n"/>
    </row>
    <row r="12761">
      <c r="A12761" s="8" t="n"/>
      <c r="B12761" s="9" t="n"/>
    </row>
    <row r="12762">
      <c r="A12762" s="8" t="n"/>
      <c r="B12762" s="9" t="n"/>
    </row>
    <row r="12763">
      <c r="A12763" s="8" t="n"/>
      <c r="B12763" s="9" t="n"/>
    </row>
    <row r="12764">
      <c r="A12764" s="8" t="n"/>
      <c r="B12764" s="9" t="n"/>
    </row>
    <row r="12765">
      <c r="A12765" s="8" t="n"/>
      <c r="B12765" s="9" t="n"/>
    </row>
    <row r="12766">
      <c r="A12766" s="8" t="n"/>
      <c r="B12766" s="9" t="n"/>
    </row>
    <row r="12767">
      <c r="A12767" s="8" t="n"/>
      <c r="B12767" s="9" t="n"/>
    </row>
    <row r="12768">
      <c r="A12768" s="8" t="n"/>
      <c r="B12768" s="9" t="n"/>
    </row>
    <row r="12769">
      <c r="A12769" s="8" t="n"/>
      <c r="B12769" s="9" t="n"/>
    </row>
    <row r="12770">
      <c r="A12770" s="8" t="n"/>
      <c r="B12770" s="9" t="n"/>
    </row>
    <row r="12771">
      <c r="A12771" s="8" t="n"/>
      <c r="B12771" s="9" t="n"/>
    </row>
    <row r="12772">
      <c r="A12772" s="8" t="n"/>
      <c r="B12772" s="9" t="n"/>
    </row>
    <row r="12773">
      <c r="A12773" s="8" t="n"/>
      <c r="B12773" s="9" t="n"/>
    </row>
    <row r="12774">
      <c r="A12774" s="8" t="n"/>
      <c r="B12774" s="9" t="n"/>
    </row>
    <row r="12775">
      <c r="A12775" s="8" t="n"/>
      <c r="B12775" s="9" t="n"/>
    </row>
    <row r="12776">
      <c r="A12776" s="8" t="n"/>
      <c r="B12776" s="9" t="n"/>
    </row>
    <row r="12777">
      <c r="A12777" s="8" t="n"/>
      <c r="B12777" s="9" t="n"/>
    </row>
    <row r="12778">
      <c r="A12778" s="8" t="n"/>
      <c r="B12778" s="9" t="n"/>
    </row>
    <row r="12779">
      <c r="A12779" s="8" t="n"/>
      <c r="B12779" s="9" t="n"/>
    </row>
    <row r="12780">
      <c r="A12780" s="8" t="n"/>
      <c r="B12780" s="9" t="n"/>
    </row>
    <row r="12781">
      <c r="A12781" s="8" t="n"/>
      <c r="B12781" s="9" t="n"/>
    </row>
    <row r="12782">
      <c r="A12782" s="8" t="n"/>
      <c r="B12782" s="9" t="n"/>
    </row>
    <row r="12783">
      <c r="A12783" s="8" t="n"/>
      <c r="B12783" s="9" t="n"/>
    </row>
    <row r="12784">
      <c r="A12784" s="8" t="n"/>
      <c r="B12784" s="9" t="n"/>
    </row>
    <row r="12785">
      <c r="A12785" s="8" t="n"/>
      <c r="B12785" s="9" t="n"/>
    </row>
    <row r="12786">
      <c r="A12786" s="8" t="n"/>
      <c r="B12786" s="9" t="n"/>
    </row>
    <row r="12787">
      <c r="A12787" s="8" t="n"/>
      <c r="B12787" s="9" t="n"/>
    </row>
    <row r="12788">
      <c r="A12788" s="8" t="n"/>
      <c r="B12788" s="9" t="n"/>
    </row>
    <row r="12789">
      <c r="A12789" s="8" t="n"/>
      <c r="B12789" s="9" t="n"/>
    </row>
    <row r="12790">
      <c r="A12790" s="8" t="n"/>
      <c r="B12790" s="9" t="n"/>
    </row>
    <row r="12791">
      <c r="A12791" s="8" t="n"/>
      <c r="B12791" s="9" t="n"/>
    </row>
    <row r="12792">
      <c r="A12792" s="8" t="n"/>
      <c r="B12792" s="9" t="n"/>
    </row>
    <row r="12793">
      <c r="A12793" s="8" t="n"/>
      <c r="B12793" s="9" t="n"/>
    </row>
    <row r="12794">
      <c r="A12794" s="8" t="n"/>
      <c r="B12794" s="9" t="n"/>
    </row>
    <row r="12795">
      <c r="A12795" s="8" t="n"/>
      <c r="B12795" s="9" t="n"/>
    </row>
    <row r="12796">
      <c r="A12796" s="8" t="n"/>
      <c r="B12796" s="9" t="n"/>
    </row>
    <row r="12797">
      <c r="A12797" s="8" t="n"/>
      <c r="B12797" s="9" t="n"/>
    </row>
    <row r="12798">
      <c r="A12798" s="8" t="n"/>
      <c r="B12798" s="9" t="n"/>
    </row>
    <row r="12799">
      <c r="A12799" s="8" t="n"/>
      <c r="B12799" s="9" t="n"/>
    </row>
    <row r="12800">
      <c r="A12800" s="8" t="n"/>
      <c r="B12800" s="9" t="n"/>
    </row>
    <row r="12801">
      <c r="A12801" s="8" t="n"/>
      <c r="B12801" s="9" t="n"/>
    </row>
    <row r="12802">
      <c r="A12802" s="8" t="n"/>
      <c r="B12802" s="9" t="n"/>
    </row>
    <row r="12803">
      <c r="A12803" s="8" t="n"/>
      <c r="B12803" s="9" t="n"/>
    </row>
    <row r="12804">
      <c r="A12804" s="8" t="n"/>
      <c r="B12804" s="9" t="n"/>
    </row>
    <row r="12805">
      <c r="A12805" s="8" t="n"/>
      <c r="B12805" s="9" t="n"/>
    </row>
    <row r="12806">
      <c r="A12806" s="8" t="n"/>
      <c r="B12806" s="9" t="n"/>
    </row>
    <row r="12807">
      <c r="A12807" s="8" t="n"/>
      <c r="B12807" s="9" t="n"/>
    </row>
    <row r="12808">
      <c r="A12808" s="8" t="n"/>
      <c r="B12808" s="9" t="n"/>
    </row>
    <row r="12809">
      <c r="A12809" s="8" t="n"/>
      <c r="B12809" s="9" t="n"/>
    </row>
    <row r="12810">
      <c r="A12810" s="8" t="n"/>
      <c r="B12810" s="9" t="n"/>
    </row>
    <row r="12811">
      <c r="A12811" s="8" t="n"/>
      <c r="B12811" s="9" t="n"/>
    </row>
    <row r="12812">
      <c r="A12812" s="8" t="n"/>
      <c r="B12812" s="9" t="n"/>
    </row>
    <row r="12813">
      <c r="A12813" s="8" t="n"/>
      <c r="B12813" s="9" t="n"/>
    </row>
    <row r="12814">
      <c r="A12814" s="8" t="n"/>
      <c r="B12814" s="9" t="n"/>
    </row>
    <row r="12815">
      <c r="A12815" s="8" t="n"/>
      <c r="B12815" s="9" t="n"/>
    </row>
    <row r="12816">
      <c r="A12816" s="8" t="n"/>
      <c r="B12816" s="9" t="n"/>
    </row>
    <row r="12817">
      <c r="A12817" s="8" t="n"/>
      <c r="B12817" s="9" t="n"/>
    </row>
    <row r="12818">
      <c r="A12818" s="8" t="n"/>
      <c r="B12818" s="9" t="n"/>
    </row>
    <row r="12819">
      <c r="A12819" s="8" t="n"/>
      <c r="B12819" s="9" t="n"/>
    </row>
    <row r="12820">
      <c r="A12820" s="8" t="n"/>
      <c r="B12820" s="9" t="n"/>
    </row>
    <row r="12821">
      <c r="A12821" s="8" t="n"/>
      <c r="B12821" s="9" t="n"/>
    </row>
    <row r="12822">
      <c r="A12822" s="8" t="n"/>
      <c r="B12822" s="9" t="n"/>
    </row>
    <row r="12823">
      <c r="A12823" s="8" t="n"/>
      <c r="B12823" s="9" t="n"/>
    </row>
    <row r="12824">
      <c r="A12824" s="8" t="n"/>
      <c r="B12824" s="9" t="n"/>
    </row>
    <row r="12825">
      <c r="A12825" s="8" t="n"/>
      <c r="B12825" s="9" t="n"/>
    </row>
    <row r="12826">
      <c r="A12826" s="8" t="n"/>
      <c r="B12826" s="9" t="n"/>
    </row>
    <row r="12827">
      <c r="A12827" s="8" t="n"/>
      <c r="B12827" s="9" t="n"/>
    </row>
    <row r="12828">
      <c r="A12828" s="8" t="n"/>
      <c r="B12828" s="9" t="n"/>
    </row>
    <row r="12829">
      <c r="A12829" s="8" t="n"/>
      <c r="B12829" s="9" t="n"/>
    </row>
    <row r="12830">
      <c r="A12830" s="8" t="n"/>
      <c r="B12830" s="9" t="n"/>
    </row>
    <row r="12831">
      <c r="A12831" s="8" t="n"/>
      <c r="B12831" s="9" t="n"/>
    </row>
    <row r="12832">
      <c r="A12832" s="8" t="n"/>
      <c r="B12832" s="9" t="n"/>
    </row>
    <row r="12833">
      <c r="A12833" s="8" t="n"/>
      <c r="B12833" s="9" t="n"/>
    </row>
    <row r="12834">
      <c r="A12834" s="8" t="n"/>
      <c r="B12834" s="9" t="n"/>
    </row>
    <row r="12835">
      <c r="A12835" s="8" t="n"/>
      <c r="B12835" s="9" t="n"/>
    </row>
    <row r="12836">
      <c r="A12836" s="8" t="n"/>
      <c r="B12836" s="9" t="n"/>
    </row>
    <row r="12837">
      <c r="A12837" s="8" t="n"/>
      <c r="B12837" s="9" t="n"/>
    </row>
    <row r="12838">
      <c r="A12838" s="8" t="n"/>
      <c r="B12838" s="9" t="n"/>
    </row>
    <row r="12839">
      <c r="A12839" s="8" t="n"/>
      <c r="B12839" s="9" t="n"/>
    </row>
    <row r="12840">
      <c r="A12840" s="8" t="n"/>
      <c r="B12840" s="9" t="n"/>
    </row>
    <row r="12841">
      <c r="A12841" s="8" t="n"/>
      <c r="B12841" s="9" t="n"/>
    </row>
    <row r="12842">
      <c r="A12842" s="8" t="n"/>
      <c r="B12842" s="9" t="n"/>
    </row>
    <row r="12843">
      <c r="A12843" s="8" t="n"/>
      <c r="B12843" s="9" t="n"/>
    </row>
    <row r="12844">
      <c r="A12844" s="8" t="n"/>
      <c r="B12844" s="9" t="n"/>
    </row>
    <row r="12845">
      <c r="A12845" s="8" t="n"/>
      <c r="B12845" s="9" t="n"/>
    </row>
    <row r="12846">
      <c r="A12846" s="8" t="n"/>
      <c r="B12846" s="9" t="n"/>
    </row>
    <row r="12847">
      <c r="A12847" s="8" t="n"/>
      <c r="B12847" s="9" t="n"/>
    </row>
    <row r="12848">
      <c r="A12848" s="8" t="n"/>
      <c r="B12848" s="9" t="n"/>
    </row>
    <row r="12849">
      <c r="A12849" s="8" t="n"/>
      <c r="B12849" s="9" t="n"/>
    </row>
    <row r="12850">
      <c r="A12850" s="8" t="n"/>
      <c r="B12850" s="9" t="n"/>
    </row>
    <row r="12851">
      <c r="A12851" s="8" t="n"/>
      <c r="B12851" s="9" t="n"/>
    </row>
    <row r="12852">
      <c r="A12852" s="8" t="n"/>
      <c r="B12852" s="9" t="n"/>
    </row>
    <row r="12853">
      <c r="A12853" s="8" t="n"/>
      <c r="B12853" s="9" t="n"/>
    </row>
    <row r="12854">
      <c r="A12854" s="8" t="n"/>
      <c r="B12854" s="9" t="n"/>
    </row>
    <row r="12855">
      <c r="A12855" s="8" t="n"/>
      <c r="B12855" s="9" t="n"/>
    </row>
    <row r="12856">
      <c r="A12856" s="8" t="n"/>
      <c r="B12856" s="9" t="n"/>
    </row>
    <row r="12857">
      <c r="A12857" s="8" t="n"/>
      <c r="B12857" s="9" t="n"/>
    </row>
    <row r="12858">
      <c r="A12858" s="8" t="n"/>
      <c r="B12858" s="9" t="n"/>
    </row>
    <row r="12859">
      <c r="A12859" s="8" t="n"/>
      <c r="B12859" s="9" t="n"/>
    </row>
    <row r="12860">
      <c r="A12860" s="8" t="n"/>
      <c r="B12860" s="9" t="n"/>
    </row>
    <row r="12861">
      <c r="A12861" s="8" t="n"/>
      <c r="B12861" s="9" t="n"/>
    </row>
    <row r="12862">
      <c r="A12862" s="8" t="n"/>
      <c r="B12862" s="9" t="n"/>
    </row>
    <row r="12863">
      <c r="A12863" s="8" t="n"/>
      <c r="B12863" s="9" t="n"/>
    </row>
    <row r="12864">
      <c r="A12864" s="8" t="n"/>
      <c r="B12864" s="9" t="n"/>
    </row>
    <row r="12865">
      <c r="A12865" s="8" t="n"/>
      <c r="B12865" s="9" t="n"/>
    </row>
    <row r="12866">
      <c r="A12866" s="8" t="n"/>
      <c r="B12866" s="9" t="n"/>
    </row>
    <row r="12867">
      <c r="A12867" s="8" t="n"/>
      <c r="B12867" s="9" t="n"/>
    </row>
    <row r="12868">
      <c r="A12868" s="8" t="n"/>
      <c r="B12868" s="9" t="n"/>
    </row>
    <row r="12869">
      <c r="A12869" s="8" t="n"/>
      <c r="B12869" s="9" t="n"/>
    </row>
    <row r="12870">
      <c r="A12870" s="8" t="n"/>
      <c r="B12870" s="9" t="n"/>
    </row>
    <row r="12871">
      <c r="A12871" s="8" t="n"/>
      <c r="B12871" s="9" t="n"/>
    </row>
    <row r="12872">
      <c r="A12872" s="8" t="n"/>
      <c r="B12872" s="9" t="n"/>
    </row>
    <row r="12873">
      <c r="A12873" s="8" t="n"/>
      <c r="B12873" s="9" t="n"/>
    </row>
    <row r="12874">
      <c r="A12874" s="8" t="n"/>
      <c r="B12874" s="9" t="n"/>
    </row>
    <row r="12875">
      <c r="A12875" s="8" t="n"/>
      <c r="B12875" s="9" t="n"/>
    </row>
    <row r="12876">
      <c r="A12876" s="8" t="n"/>
      <c r="B12876" s="9" t="n"/>
    </row>
    <row r="12877">
      <c r="A12877" s="8" t="n"/>
      <c r="B12877" s="9" t="n"/>
    </row>
    <row r="12878">
      <c r="A12878" s="8" t="n"/>
      <c r="B12878" s="9" t="n"/>
    </row>
    <row r="12879">
      <c r="A12879" s="8" t="n"/>
      <c r="B12879" s="9" t="n"/>
    </row>
    <row r="12880">
      <c r="A12880" s="8" t="n"/>
      <c r="B12880" s="9" t="n"/>
    </row>
    <row r="12881">
      <c r="A12881" s="8" t="n"/>
      <c r="B12881" s="9" t="n"/>
    </row>
    <row r="12882">
      <c r="A12882" s="8" t="n"/>
      <c r="B12882" s="9" t="n"/>
    </row>
    <row r="12883">
      <c r="A12883" s="8" t="n"/>
      <c r="B12883" s="9" t="n"/>
    </row>
    <row r="12884">
      <c r="A12884" s="8" t="n"/>
      <c r="B12884" s="9" t="n"/>
    </row>
    <row r="12885">
      <c r="A12885" s="8" t="n"/>
      <c r="B12885" s="9" t="n"/>
    </row>
    <row r="12886">
      <c r="A12886" s="8" t="n"/>
      <c r="B12886" s="9" t="n"/>
    </row>
    <row r="12887">
      <c r="A12887" s="8" t="n"/>
      <c r="B12887" s="9" t="n"/>
    </row>
    <row r="12888">
      <c r="A12888" s="8" t="n"/>
      <c r="B12888" s="9" t="n"/>
    </row>
    <row r="12889">
      <c r="A12889" s="8" t="n"/>
      <c r="B12889" s="9" t="n"/>
    </row>
    <row r="12890">
      <c r="A12890" s="8" t="n"/>
      <c r="B12890" s="9" t="n"/>
    </row>
    <row r="12891">
      <c r="A12891" s="8" t="n"/>
      <c r="B12891" s="9" t="n"/>
    </row>
    <row r="12892">
      <c r="A12892" s="8" t="n"/>
      <c r="B12892" s="9" t="n"/>
    </row>
    <row r="12893">
      <c r="A12893" s="8" t="n"/>
      <c r="B12893" s="9" t="n"/>
    </row>
    <row r="12894">
      <c r="A12894" s="8" t="n"/>
      <c r="B12894" s="9" t="n"/>
    </row>
    <row r="12895">
      <c r="A12895" s="8" t="n"/>
      <c r="B12895" s="9" t="n"/>
    </row>
    <row r="12896">
      <c r="A12896" s="8" t="n"/>
      <c r="B12896" s="9" t="n"/>
    </row>
    <row r="12897">
      <c r="A12897" s="8" t="n"/>
      <c r="B12897" s="9" t="n"/>
    </row>
    <row r="12898">
      <c r="A12898" s="8" t="n"/>
      <c r="B12898" s="9" t="n"/>
    </row>
    <row r="12899">
      <c r="A12899" s="8" t="n"/>
      <c r="B12899" s="9" t="n"/>
    </row>
    <row r="12900">
      <c r="A12900" s="8" t="n"/>
      <c r="B12900" s="9" t="n"/>
    </row>
    <row r="12901">
      <c r="A12901" s="8" t="n"/>
      <c r="B12901" s="9" t="n"/>
    </row>
    <row r="12902">
      <c r="A12902" s="8" t="n"/>
      <c r="B12902" s="9" t="n"/>
    </row>
    <row r="12903">
      <c r="A12903" s="8" t="n"/>
      <c r="B12903" s="9" t="n"/>
    </row>
    <row r="12904">
      <c r="A12904" s="8" t="n"/>
      <c r="B12904" s="9" t="n"/>
    </row>
    <row r="12905">
      <c r="A12905" s="8" t="n"/>
      <c r="B12905" s="9" t="n"/>
    </row>
    <row r="12906">
      <c r="A12906" s="8" t="n"/>
      <c r="B12906" s="9" t="n"/>
    </row>
    <row r="12907">
      <c r="A12907" s="8" t="n"/>
      <c r="B12907" s="9" t="n"/>
    </row>
    <row r="12908">
      <c r="A12908" s="8" t="n"/>
      <c r="B12908" s="9" t="n"/>
    </row>
    <row r="12909">
      <c r="A12909" s="8" t="n"/>
      <c r="B12909" s="9" t="n"/>
    </row>
    <row r="12910">
      <c r="A12910" s="8" t="n"/>
      <c r="B12910" s="9" t="n"/>
    </row>
    <row r="12911">
      <c r="A12911" s="8" t="n"/>
      <c r="B12911" s="9" t="n"/>
    </row>
    <row r="12912">
      <c r="A12912" s="8" t="n"/>
      <c r="B12912" s="9" t="n"/>
    </row>
    <row r="12913">
      <c r="A12913" s="8" t="n"/>
      <c r="B12913" s="9" t="n"/>
    </row>
    <row r="12914">
      <c r="A12914" s="8" t="n"/>
      <c r="B12914" s="9" t="n"/>
    </row>
    <row r="12915">
      <c r="A12915" s="8" t="n"/>
      <c r="B12915" s="9" t="n"/>
    </row>
    <row r="12916">
      <c r="A12916" s="8" t="n"/>
      <c r="B12916" s="9" t="n"/>
    </row>
    <row r="12917">
      <c r="A12917" s="8" t="n"/>
      <c r="B12917" s="9" t="n"/>
    </row>
    <row r="12918">
      <c r="A12918" s="8" t="n"/>
      <c r="B12918" s="9" t="n"/>
    </row>
    <row r="12919">
      <c r="A12919" s="8" t="n"/>
      <c r="B12919" s="9" t="n"/>
    </row>
    <row r="12920">
      <c r="A12920" s="8" t="n"/>
      <c r="B12920" s="9" t="n"/>
    </row>
    <row r="12921">
      <c r="A12921" s="8" t="n"/>
      <c r="B12921" s="9" t="n"/>
    </row>
    <row r="12922">
      <c r="A12922" s="8" t="n"/>
      <c r="B12922" s="9" t="n"/>
    </row>
    <row r="12923">
      <c r="A12923" s="8" t="n"/>
      <c r="B12923" s="9" t="n"/>
    </row>
    <row r="12924">
      <c r="A12924" s="8" t="n"/>
      <c r="B12924" s="9" t="n"/>
    </row>
    <row r="12925">
      <c r="A12925" s="8" t="n"/>
      <c r="B12925" s="9" t="n"/>
    </row>
    <row r="12926">
      <c r="A12926" s="8" t="n"/>
      <c r="B12926" s="9" t="n"/>
    </row>
    <row r="12927">
      <c r="A12927" s="8" t="n"/>
      <c r="B12927" s="9" t="n"/>
    </row>
    <row r="12928">
      <c r="A12928" s="8" t="n"/>
      <c r="B12928" s="9" t="n"/>
    </row>
    <row r="12929">
      <c r="A12929" s="8" t="n"/>
      <c r="B12929" s="9" t="n"/>
    </row>
    <row r="12930">
      <c r="A12930" s="8" t="n"/>
      <c r="B12930" s="9" t="n"/>
    </row>
    <row r="12931">
      <c r="A12931" s="8" t="n"/>
      <c r="B12931" s="9" t="n"/>
    </row>
    <row r="12932">
      <c r="A12932" s="8" t="n"/>
      <c r="B12932" s="9" t="n"/>
    </row>
    <row r="12933">
      <c r="A12933" s="8" t="n"/>
      <c r="B12933" s="9" t="n"/>
    </row>
    <row r="12934">
      <c r="A12934" s="8" t="n"/>
      <c r="B12934" s="9" t="n"/>
    </row>
    <row r="12935">
      <c r="A12935" s="8" t="n"/>
      <c r="B12935" s="9" t="n"/>
    </row>
    <row r="12936">
      <c r="A12936" s="8" t="n"/>
      <c r="B12936" s="9" t="n"/>
    </row>
    <row r="12937">
      <c r="A12937" s="8" t="n"/>
      <c r="B12937" s="9" t="n"/>
    </row>
    <row r="12938">
      <c r="A12938" s="8" t="n"/>
      <c r="B12938" s="9" t="n"/>
    </row>
    <row r="12939">
      <c r="A12939" s="8" t="n"/>
      <c r="B12939" s="9" t="n"/>
    </row>
    <row r="12940">
      <c r="A12940" s="8" t="n"/>
      <c r="B12940" s="9" t="n"/>
    </row>
    <row r="12941">
      <c r="A12941" s="8" t="n"/>
      <c r="B12941" s="9" t="n"/>
    </row>
    <row r="12942">
      <c r="A12942" s="8" t="n"/>
      <c r="B12942" s="9" t="n"/>
    </row>
    <row r="12943">
      <c r="A12943" s="8" t="n"/>
      <c r="B12943" s="9" t="n"/>
    </row>
    <row r="12944">
      <c r="A12944" s="8" t="n"/>
      <c r="B12944" s="9" t="n"/>
    </row>
    <row r="12945">
      <c r="A12945" s="8" t="n"/>
      <c r="B12945" s="9" t="n"/>
    </row>
    <row r="12946">
      <c r="A12946" s="8" t="n"/>
      <c r="B12946" s="9" t="n"/>
    </row>
    <row r="12947">
      <c r="A12947" s="8" t="n"/>
      <c r="B12947" s="9" t="n"/>
    </row>
    <row r="12948">
      <c r="A12948" s="8" t="n"/>
      <c r="B12948" s="9" t="n"/>
    </row>
    <row r="12949">
      <c r="A12949" s="8" t="n"/>
      <c r="B12949" s="9" t="n"/>
    </row>
    <row r="12950">
      <c r="A12950" s="8" t="n"/>
      <c r="B12950" s="9" t="n"/>
    </row>
    <row r="12951">
      <c r="A12951" s="8" t="n"/>
      <c r="B12951" s="9" t="n"/>
    </row>
    <row r="12952">
      <c r="A12952" s="8" t="n"/>
      <c r="B12952" s="9" t="n"/>
    </row>
    <row r="12953">
      <c r="A12953" s="8" t="n"/>
      <c r="B12953" s="9" t="n"/>
    </row>
    <row r="12954">
      <c r="A12954" s="8" t="n"/>
      <c r="B12954" s="9" t="n"/>
    </row>
    <row r="12955">
      <c r="A12955" s="8" t="n"/>
      <c r="B12955" s="9" t="n"/>
    </row>
    <row r="12956">
      <c r="A12956" s="8" t="n"/>
      <c r="B12956" s="9" t="n"/>
    </row>
    <row r="12957">
      <c r="A12957" s="8" t="n"/>
      <c r="B12957" s="9" t="n"/>
    </row>
    <row r="12958">
      <c r="A12958" s="8" t="n"/>
      <c r="B12958" s="9" t="n"/>
    </row>
    <row r="12959">
      <c r="A12959" s="8" t="n"/>
      <c r="B12959" s="9" t="n"/>
    </row>
    <row r="12960">
      <c r="A12960" s="8" t="n"/>
      <c r="B12960" s="9" t="n"/>
    </row>
    <row r="12961">
      <c r="A12961" s="8" t="n"/>
      <c r="B12961" s="9" t="n"/>
    </row>
    <row r="12962">
      <c r="A12962" s="8" t="n"/>
      <c r="B12962" s="9" t="n"/>
    </row>
    <row r="12963">
      <c r="A12963" s="8" t="n"/>
      <c r="B12963" s="9" t="n"/>
    </row>
    <row r="12964">
      <c r="A12964" s="8" t="n"/>
      <c r="B12964" s="9" t="n"/>
    </row>
    <row r="12965">
      <c r="A12965" s="8" t="n"/>
      <c r="B12965" s="9" t="n"/>
    </row>
    <row r="12966">
      <c r="A12966" s="8" t="n"/>
      <c r="B12966" s="9" t="n"/>
    </row>
    <row r="12967">
      <c r="A12967" s="8" t="n"/>
      <c r="B12967" s="9" t="n"/>
    </row>
    <row r="12968">
      <c r="A12968" s="8" t="n"/>
      <c r="B12968" s="9" t="n"/>
    </row>
    <row r="12969">
      <c r="A12969" s="8" t="n"/>
      <c r="B12969" s="9" t="n"/>
    </row>
    <row r="12970">
      <c r="A12970" s="8" t="n"/>
      <c r="B12970" s="9" t="n"/>
    </row>
    <row r="12971">
      <c r="A12971" s="8" t="n"/>
      <c r="B12971" s="9" t="n"/>
    </row>
    <row r="12972">
      <c r="A12972" s="8" t="n"/>
      <c r="B12972" s="9" t="n"/>
    </row>
    <row r="12973">
      <c r="A12973" s="8" t="n"/>
      <c r="B12973" s="9" t="n"/>
    </row>
    <row r="12974">
      <c r="A12974" s="8" t="n"/>
      <c r="B12974" s="9" t="n"/>
    </row>
    <row r="12975">
      <c r="A12975" s="8" t="n"/>
      <c r="B12975" s="9" t="n"/>
    </row>
    <row r="12976">
      <c r="A12976" s="8" t="n"/>
      <c r="B12976" s="9" t="n"/>
    </row>
    <row r="12977">
      <c r="A12977" s="8" t="n"/>
      <c r="B12977" s="9" t="n"/>
    </row>
    <row r="12978">
      <c r="A12978" s="8" t="n"/>
      <c r="B12978" s="9" t="n"/>
    </row>
    <row r="12979">
      <c r="A12979" s="8" t="n"/>
      <c r="B12979" s="9" t="n"/>
    </row>
    <row r="12980">
      <c r="A12980" s="8" t="n"/>
      <c r="B12980" s="9" t="n"/>
    </row>
    <row r="12981">
      <c r="A12981" s="8" t="n"/>
      <c r="B12981" s="9" t="n"/>
    </row>
    <row r="12982">
      <c r="A12982" s="8" t="n"/>
      <c r="B12982" s="9" t="n"/>
    </row>
    <row r="12983">
      <c r="A12983" s="8" t="n"/>
      <c r="B12983" s="9" t="n"/>
    </row>
    <row r="12984">
      <c r="A12984" s="8" t="n"/>
      <c r="B12984" s="9" t="n"/>
    </row>
    <row r="12985">
      <c r="A12985" s="8" t="n"/>
      <c r="B12985" s="9" t="n"/>
    </row>
    <row r="12986">
      <c r="A12986" s="8" t="n"/>
      <c r="B12986" s="9" t="n"/>
    </row>
    <row r="12987">
      <c r="A12987" s="8" t="n"/>
      <c r="B12987" s="9" t="n"/>
    </row>
    <row r="12988">
      <c r="A12988" s="8" t="n"/>
      <c r="B12988" s="9" t="n"/>
    </row>
    <row r="12989">
      <c r="A12989" s="8" t="n"/>
      <c r="B12989" s="9" t="n"/>
    </row>
    <row r="12990">
      <c r="A12990" s="8" t="n"/>
      <c r="B12990" s="9" t="n"/>
    </row>
    <row r="12991">
      <c r="A12991" s="8" t="n"/>
      <c r="B12991" s="9" t="n"/>
    </row>
    <row r="12992">
      <c r="A12992" s="8" t="n"/>
      <c r="B12992" s="9" t="n"/>
    </row>
    <row r="12993">
      <c r="A12993" s="8" t="n"/>
      <c r="B12993" s="9" t="n"/>
    </row>
    <row r="12994">
      <c r="A12994" s="8" t="n"/>
      <c r="B12994" s="9" t="n"/>
    </row>
    <row r="12995">
      <c r="A12995" s="8" t="n"/>
      <c r="B12995" s="9" t="n"/>
    </row>
    <row r="12996">
      <c r="A12996" s="8" t="n"/>
      <c r="B12996" s="9" t="n"/>
    </row>
    <row r="12997">
      <c r="A12997" s="8" t="n"/>
      <c r="B12997" s="9" t="n"/>
    </row>
    <row r="12998">
      <c r="A12998" s="8" t="n"/>
      <c r="B12998" s="9" t="n"/>
    </row>
    <row r="12999">
      <c r="A12999" s="8" t="n"/>
      <c r="B12999" s="9" t="n"/>
    </row>
    <row r="13000">
      <c r="A13000" s="8" t="n"/>
      <c r="B13000" s="9" t="n"/>
    </row>
    <row r="13001">
      <c r="A13001" s="8" t="n"/>
      <c r="B13001" s="9" t="n"/>
    </row>
    <row r="13002">
      <c r="A13002" s="8" t="n"/>
      <c r="B13002" s="9" t="n"/>
    </row>
    <row r="13003">
      <c r="A13003" s="8" t="n"/>
      <c r="B13003" s="9" t="n"/>
    </row>
    <row r="13004">
      <c r="A13004" s="8" t="n"/>
      <c r="B13004" s="9" t="n"/>
    </row>
    <row r="13005">
      <c r="A13005" s="8" t="n"/>
      <c r="B13005" s="9" t="n"/>
    </row>
    <row r="13006">
      <c r="A13006" s="8" t="n"/>
      <c r="B13006" s="9" t="n"/>
    </row>
    <row r="13007">
      <c r="A13007" s="8" t="n"/>
      <c r="B13007" s="9" t="n"/>
    </row>
    <row r="13008">
      <c r="A13008" s="8" t="n"/>
      <c r="B13008" s="9" t="n"/>
    </row>
    <row r="13009">
      <c r="A13009" s="8" t="n"/>
      <c r="B13009" s="9" t="n"/>
    </row>
    <row r="13010">
      <c r="A13010" s="8" t="n"/>
      <c r="B13010" s="9" t="n"/>
    </row>
    <row r="13011">
      <c r="A13011" s="8" t="n"/>
      <c r="B13011" s="9" t="n"/>
    </row>
    <row r="13012">
      <c r="A13012" s="8" t="n"/>
      <c r="B13012" s="9" t="n"/>
    </row>
    <row r="13013">
      <c r="A13013" s="8" t="n"/>
      <c r="B13013" s="9" t="n"/>
    </row>
    <row r="13014">
      <c r="A13014" s="8" t="n"/>
      <c r="B13014" s="9" t="n"/>
    </row>
    <row r="13015">
      <c r="A13015" s="8" t="n"/>
      <c r="B13015" s="9" t="n"/>
    </row>
    <row r="13016">
      <c r="A13016" s="8" t="n"/>
      <c r="B13016" s="9" t="n"/>
    </row>
    <row r="13017">
      <c r="A13017" s="8" t="n"/>
      <c r="B13017" s="9" t="n"/>
    </row>
    <row r="13018">
      <c r="A13018" s="8" t="n"/>
      <c r="B13018" s="9" t="n"/>
    </row>
    <row r="13019">
      <c r="A13019" s="8" t="n"/>
      <c r="B13019" s="9" t="n"/>
    </row>
    <row r="13020">
      <c r="A13020" s="8" t="n"/>
      <c r="B13020" s="9" t="n"/>
    </row>
    <row r="13021">
      <c r="A13021" s="8" t="n"/>
      <c r="B13021" s="9" t="n"/>
    </row>
    <row r="13022">
      <c r="A13022" s="8" t="n"/>
      <c r="B13022" s="9" t="n"/>
    </row>
    <row r="13023">
      <c r="A13023" s="8" t="n"/>
      <c r="B13023" s="9" t="n"/>
    </row>
    <row r="13024">
      <c r="A13024" s="8" t="n"/>
      <c r="B13024" s="9" t="n"/>
    </row>
    <row r="13025">
      <c r="A13025" s="8" t="n"/>
      <c r="B13025" s="9" t="n"/>
    </row>
    <row r="13026">
      <c r="A13026" s="8" t="n"/>
      <c r="B13026" s="9" t="n"/>
    </row>
    <row r="13027">
      <c r="A13027" s="8" t="n"/>
      <c r="B13027" s="9" t="n"/>
    </row>
    <row r="13028">
      <c r="A13028" s="8" t="n"/>
      <c r="B13028" s="9" t="n"/>
    </row>
    <row r="13029">
      <c r="A13029" s="8" t="n"/>
      <c r="B13029" s="9" t="n"/>
    </row>
    <row r="13030">
      <c r="A13030" s="8" t="n"/>
      <c r="B13030" s="9" t="n"/>
    </row>
    <row r="13031">
      <c r="A13031" s="8" t="n"/>
      <c r="B13031" s="9" t="n"/>
    </row>
    <row r="13032">
      <c r="A13032" s="8" t="n"/>
      <c r="B13032" s="9" t="n"/>
    </row>
    <row r="13033">
      <c r="A13033" s="8" t="n"/>
      <c r="B13033" s="9" t="n"/>
    </row>
    <row r="13034">
      <c r="A13034" s="8" t="n"/>
      <c r="B13034" s="9" t="n"/>
    </row>
    <row r="13035">
      <c r="A13035" s="8" t="n"/>
      <c r="B13035" s="9" t="n"/>
    </row>
    <row r="13036">
      <c r="A13036" s="8" t="n"/>
      <c r="B13036" s="9" t="n"/>
    </row>
    <row r="13037">
      <c r="A13037" s="8" t="n"/>
      <c r="B13037" s="9" t="n"/>
    </row>
    <row r="13038">
      <c r="A13038" s="8" t="n"/>
      <c r="B13038" s="9" t="n"/>
    </row>
    <row r="13039">
      <c r="A13039" s="8" t="n"/>
      <c r="B13039" s="9" t="n"/>
    </row>
    <row r="13040">
      <c r="A13040" s="8" t="n"/>
      <c r="B13040" s="9" t="n"/>
    </row>
    <row r="13041">
      <c r="A13041" s="8" t="n"/>
      <c r="B13041" s="9" t="n"/>
    </row>
    <row r="13042">
      <c r="A13042" s="8" t="n"/>
      <c r="B13042" s="9" t="n"/>
    </row>
    <row r="13043">
      <c r="A13043" s="8" t="n"/>
      <c r="B13043" s="9" t="n"/>
    </row>
    <row r="13044">
      <c r="A13044" s="8" t="n"/>
      <c r="B13044" s="9" t="n"/>
    </row>
    <row r="13045">
      <c r="A13045" s="8" t="n"/>
      <c r="B13045" s="9" t="n"/>
    </row>
    <row r="13046">
      <c r="A13046" s="8" t="n"/>
      <c r="B13046" s="9" t="n"/>
    </row>
    <row r="13047">
      <c r="A13047" s="8" t="n"/>
      <c r="B13047" s="9" t="n"/>
    </row>
    <row r="13048">
      <c r="A13048" s="8" t="n"/>
      <c r="B13048" s="9" t="n"/>
    </row>
    <row r="13049">
      <c r="A13049" s="8" t="n"/>
      <c r="B13049" s="9" t="n"/>
    </row>
    <row r="13050">
      <c r="A13050" s="8" t="n"/>
      <c r="B13050" s="9" t="n"/>
    </row>
    <row r="13051">
      <c r="A13051" s="8" t="n"/>
      <c r="B13051" s="9" t="n"/>
    </row>
    <row r="13052">
      <c r="A13052" s="8" t="n"/>
      <c r="B13052" s="9" t="n"/>
    </row>
    <row r="13053">
      <c r="A13053" s="8" t="n"/>
      <c r="B13053" s="9" t="n"/>
    </row>
    <row r="13054">
      <c r="A13054" s="8" t="n"/>
      <c r="B13054" s="9" t="n"/>
    </row>
    <row r="13055">
      <c r="A13055" s="8" t="n"/>
      <c r="B13055" s="9" t="n"/>
    </row>
    <row r="13056">
      <c r="A13056" s="8" t="n"/>
      <c r="B13056" s="9" t="n"/>
    </row>
    <row r="13057">
      <c r="A13057" s="8" t="n"/>
      <c r="B13057" s="9" t="n"/>
    </row>
    <row r="13058">
      <c r="A13058" s="8" t="n"/>
      <c r="B13058" s="9" t="n"/>
    </row>
    <row r="13059">
      <c r="A13059" s="8" t="n"/>
      <c r="B13059" s="9" t="n"/>
    </row>
    <row r="13060">
      <c r="A13060" s="8" t="n"/>
      <c r="B13060" s="9" t="n"/>
    </row>
    <row r="13061">
      <c r="A13061" s="8" t="n"/>
      <c r="B13061" s="9" t="n"/>
    </row>
    <row r="13062">
      <c r="A13062" s="8" t="n"/>
      <c r="B13062" s="9" t="n"/>
    </row>
    <row r="13063">
      <c r="A13063" s="8" t="n"/>
      <c r="B13063" s="9" t="n"/>
    </row>
    <row r="13064">
      <c r="A13064" s="8" t="n"/>
      <c r="B13064" s="9" t="n"/>
    </row>
    <row r="13065">
      <c r="A13065" s="8" t="n"/>
      <c r="B13065" s="9" t="n"/>
    </row>
    <row r="13066">
      <c r="A13066" s="8" t="n"/>
      <c r="B13066" s="9" t="n"/>
    </row>
    <row r="13067">
      <c r="A13067" s="8" t="n"/>
      <c r="B13067" s="9" t="n"/>
    </row>
    <row r="13068">
      <c r="A13068" s="8" t="n"/>
      <c r="B13068" s="9" t="n"/>
    </row>
    <row r="13069">
      <c r="A13069" s="8" t="n"/>
      <c r="B13069" s="9" t="n"/>
    </row>
    <row r="13070">
      <c r="A13070" s="8" t="n"/>
      <c r="B13070" s="9" t="n"/>
    </row>
    <row r="13071">
      <c r="A13071" s="8" t="n"/>
      <c r="B13071" s="9" t="n"/>
    </row>
    <row r="13072">
      <c r="A13072" s="8" t="n"/>
      <c r="B13072" s="9" t="n"/>
    </row>
    <row r="13073">
      <c r="A13073" s="8" t="n"/>
      <c r="B13073" s="9" t="n"/>
    </row>
    <row r="13074">
      <c r="A13074" s="8" t="n"/>
      <c r="B13074" s="9" t="n"/>
    </row>
    <row r="13075">
      <c r="A13075" s="8" t="n"/>
      <c r="B13075" s="9" t="n"/>
    </row>
    <row r="13076">
      <c r="A13076" s="8" t="n"/>
      <c r="B13076" s="9" t="n"/>
    </row>
    <row r="13077">
      <c r="A13077" s="8" t="n"/>
      <c r="B13077" s="9" t="n"/>
    </row>
    <row r="13078">
      <c r="A13078" s="8" t="n"/>
      <c r="B13078" s="9" t="n"/>
    </row>
    <row r="13079">
      <c r="A13079" s="8" t="n"/>
      <c r="B13079" s="9" t="n"/>
    </row>
    <row r="13080">
      <c r="A13080" s="8" t="n"/>
      <c r="B13080" s="9" t="n"/>
    </row>
    <row r="13081">
      <c r="A13081" s="8" t="n"/>
      <c r="B13081" s="9" t="n"/>
    </row>
    <row r="13082">
      <c r="A13082" s="8" t="n"/>
      <c r="B13082" s="9" t="n"/>
    </row>
    <row r="13083">
      <c r="A13083" s="8" t="n"/>
      <c r="B13083" s="9" t="n"/>
    </row>
    <row r="13084">
      <c r="A13084" s="8" t="n"/>
      <c r="B13084" s="9" t="n"/>
    </row>
    <row r="13085">
      <c r="A13085" s="8" t="n"/>
      <c r="B13085" s="9" t="n"/>
    </row>
    <row r="13086">
      <c r="A13086" s="8" t="n"/>
      <c r="B13086" s="9" t="n"/>
    </row>
    <row r="13087">
      <c r="A13087" s="8" t="n"/>
      <c r="B13087" s="9" t="n"/>
    </row>
    <row r="13088">
      <c r="A13088" s="8" t="n"/>
      <c r="B13088" s="9" t="n"/>
    </row>
    <row r="13089">
      <c r="A13089" s="8" t="n"/>
      <c r="B13089" s="9" t="n"/>
    </row>
    <row r="13090">
      <c r="A13090" s="8" t="n"/>
      <c r="B13090" s="9" t="n"/>
    </row>
    <row r="13091">
      <c r="A13091" s="8" t="n"/>
      <c r="B13091" s="9" t="n"/>
    </row>
    <row r="13092">
      <c r="A13092" s="8" t="n"/>
      <c r="B13092" s="9" t="n"/>
    </row>
    <row r="13093">
      <c r="A13093" s="8" t="n"/>
      <c r="B13093" s="9" t="n"/>
    </row>
    <row r="13094">
      <c r="A13094" s="8" t="n"/>
      <c r="B13094" s="9" t="n"/>
    </row>
    <row r="13095">
      <c r="A13095" s="8" t="n"/>
      <c r="B13095" s="9" t="n"/>
    </row>
    <row r="13096">
      <c r="A13096" s="8" t="n"/>
      <c r="B13096" s="9" t="n"/>
    </row>
    <row r="13097">
      <c r="A13097" s="8" t="n"/>
      <c r="B13097" s="9" t="n"/>
    </row>
    <row r="13098">
      <c r="A13098" s="8" t="n"/>
      <c r="B13098" s="9" t="n"/>
    </row>
    <row r="13099">
      <c r="A13099" s="8" t="n"/>
      <c r="B13099" s="9" t="n"/>
    </row>
    <row r="13100">
      <c r="A13100" s="8" t="n"/>
      <c r="B13100" s="9" t="n"/>
    </row>
    <row r="13101">
      <c r="A13101" s="8" t="n"/>
      <c r="B13101" s="9" t="n"/>
    </row>
    <row r="13102">
      <c r="A13102" s="8" t="n"/>
      <c r="B13102" s="9" t="n"/>
    </row>
    <row r="13103">
      <c r="A13103" s="8" t="n"/>
      <c r="B13103" s="9" t="n"/>
    </row>
    <row r="13104">
      <c r="A13104" s="8" t="n"/>
      <c r="B13104" s="9" t="n"/>
    </row>
    <row r="13105">
      <c r="A13105" s="8" t="n"/>
      <c r="B13105" s="9" t="n"/>
    </row>
    <row r="13106">
      <c r="A13106" s="8" t="n"/>
      <c r="B13106" s="9" t="n"/>
    </row>
    <row r="13107">
      <c r="A13107" s="8" t="n"/>
      <c r="B13107" s="9" t="n"/>
    </row>
    <row r="13108">
      <c r="A13108" s="8" t="n"/>
      <c r="B13108" s="9" t="n"/>
    </row>
    <row r="13109">
      <c r="A13109" s="8" t="n"/>
      <c r="B13109" s="9" t="n"/>
    </row>
    <row r="13110">
      <c r="A13110" s="8" t="n"/>
      <c r="B13110" s="9" t="n"/>
    </row>
    <row r="13111">
      <c r="A13111" s="8" t="n"/>
      <c r="B13111" s="9" t="n"/>
    </row>
    <row r="13112">
      <c r="A13112" s="8" t="n"/>
      <c r="B13112" s="9" t="n"/>
    </row>
    <row r="13113">
      <c r="A13113" s="8" t="n"/>
      <c r="B13113" s="9" t="n"/>
    </row>
    <row r="13114">
      <c r="A13114" s="8" t="n"/>
      <c r="B13114" s="9" t="n"/>
    </row>
    <row r="13115">
      <c r="A13115" s="8" t="n"/>
      <c r="B13115" s="9" t="n"/>
    </row>
    <row r="13116">
      <c r="A13116" s="8" t="n"/>
      <c r="B13116" s="9" t="n"/>
    </row>
    <row r="13117">
      <c r="A13117" s="8" t="n"/>
      <c r="B13117" s="9" t="n"/>
    </row>
    <row r="13118">
      <c r="A13118" s="8" t="n"/>
      <c r="B13118" s="9" t="n"/>
    </row>
    <row r="13119">
      <c r="A13119" s="8" t="n"/>
      <c r="B13119" s="9" t="n"/>
    </row>
    <row r="13120">
      <c r="A13120" s="8" t="n"/>
      <c r="B13120" s="9" t="n"/>
    </row>
    <row r="13121">
      <c r="A13121" s="8" t="n"/>
      <c r="B13121" s="9" t="n"/>
    </row>
    <row r="13122">
      <c r="A13122" s="8" t="n"/>
      <c r="B13122" s="9" t="n"/>
    </row>
    <row r="13123">
      <c r="A13123" s="8" t="n"/>
      <c r="B13123" s="9" t="n"/>
    </row>
    <row r="13124">
      <c r="A13124" s="8" t="n"/>
      <c r="B13124" s="9" t="n"/>
    </row>
    <row r="13125">
      <c r="A13125" s="8" t="n"/>
      <c r="B13125" s="9" t="n"/>
    </row>
    <row r="13126">
      <c r="A13126" s="8" t="n"/>
      <c r="B13126" s="9" t="n"/>
    </row>
    <row r="13127">
      <c r="A13127" s="8" t="n"/>
      <c r="B13127" s="9" t="n"/>
    </row>
    <row r="13128">
      <c r="A13128" s="8" t="n"/>
      <c r="B13128" s="9" t="n"/>
    </row>
    <row r="13129">
      <c r="A13129" s="8" t="n"/>
      <c r="B13129" s="9" t="n"/>
    </row>
    <row r="13130">
      <c r="A13130" s="8" t="n"/>
      <c r="B13130" s="9" t="n"/>
    </row>
    <row r="13131">
      <c r="A13131" s="8" t="n"/>
      <c r="B13131" s="9" t="n"/>
    </row>
    <row r="13132">
      <c r="A13132" s="8" t="n"/>
      <c r="B13132" s="9" t="n"/>
    </row>
    <row r="13133">
      <c r="A13133" s="8" t="n"/>
      <c r="B13133" s="9" t="n"/>
    </row>
    <row r="13134">
      <c r="A13134" s="8" t="n"/>
      <c r="B13134" s="9" t="n"/>
    </row>
    <row r="13135">
      <c r="A13135" s="8" t="n"/>
      <c r="B13135" s="9" t="n"/>
    </row>
    <row r="13136">
      <c r="A13136" s="8" t="n"/>
      <c r="B13136" s="9" t="n"/>
    </row>
    <row r="13137">
      <c r="A13137" s="8" t="n"/>
      <c r="B13137" s="9" t="n"/>
    </row>
    <row r="13138">
      <c r="A13138" s="8" t="n"/>
      <c r="B13138" s="9" t="n"/>
    </row>
    <row r="13139">
      <c r="A13139" s="8" t="n"/>
      <c r="B13139" s="9" t="n"/>
    </row>
    <row r="13140">
      <c r="A13140" s="8" t="n"/>
      <c r="B13140" s="9" t="n"/>
    </row>
    <row r="13141">
      <c r="A13141" s="8" t="n"/>
      <c r="B13141" s="9" t="n"/>
    </row>
    <row r="13142">
      <c r="A13142" s="8" t="n"/>
      <c r="B13142" s="9" t="n"/>
    </row>
    <row r="13143">
      <c r="A13143" s="8" t="n"/>
      <c r="B13143" s="9" t="n"/>
    </row>
    <row r="13144">
      <c r="A13144" s="8" t="n"/>
      <c r="B13144" s="9" t="n"/>
    </row>
    <row r="13145">
      <c r="A13145" s="8" t="n"/>
      <c r="B13145" s="9" t="n"/>
    </row>
    <row r="13146">
      <c r="A13146" s="8" t="n"/>
      <c r="B13146" s="9" t="n"/>
    </row>
    <row r="13147">
      <c r="A13147" s="8" t="n"/>
      <c r="B13147" s="9" t="n"/>
    </row>
    <row r="13148">
      <c r="A13148" s="8" t="n"/>
      <c r="B13148" s="9" t="n"/>
    </row>
    <row r="13149">
      <c r="A13149" s="8" t="n"/>
      <c r="B13149" s="9" t="n"/>
    </row>
    <row r="13150">
      <c r="A13150" s="8" t="n"/>
      <c r="B13150" s="9" t="n"/>
    </row>
    <row r="13151">
      <c r="A13151" s="8" t="n"/>
      <c r="B13151" s="9" t="n"/>
    </row>
    <row r="13152">
      <c r="A13152" s="8" t="n"/>
      <c r="B13152" s="9" t="n"/>
    </row>
    <row r="13153">
      <c r="A13153" s="8" t="n"/>
      <c r="B13153" s="9" t="n"/>
    </row>
    <row r="13154">
      <c r="A13154" s="8" t="n"/>
      <c r="B13154" s="9" t="n"/>
    </row>
    <row r="13155">
      <c r="A13155" s="8" t="n"/>
      <c r="B13155" s="9" t="n"/>
    </row>
    <row r="13156">
      <c r="A13156" s="8" t="n"/>
      <c r="B13156" s="9" t="n"/>
    </row>
    <row r="13157">
      <c r="A13157" s="8" t="n"/>
      <c r="B13157" s="9" t="n"/>
    </row>
    <row r="13158">
      <c r="A13158" s="8" t="n"/>
      <c r="B13158" s="9" t="n"/>
    </row>
    <row r="13159">
      <c r="A13159" s="8" t="n"/>
      <c r="B13159" s="9" t="n"/>
    </row>
    <row r="13160">
      <c r="A13160" s="8" t="n"/>
      <c r="B13160" s="9" t="n"/>
    </row>
    <row r="13161">
      <c r="A13161" s="8" t="n"/>
      <c r="B13161" s="9" t="n"/>
    </row>
    <row r="13162">
      <c r="A13162" s="8" t="n"/>
      <c r="B13162" s="9" t="n"/>
    </row>
    <row r="13163">
      <c r="A13163" s="8" t="n"/>
      <c r="B13163" s="9" t="n"/>
    </row>
    <row r="13164">
      <c r="A13164" s="8" t="n"/>
      <c r="B13164" s="9" t="n"/>
    </row>
    <row r="13165">
      <c r="A13165" s="8" t="n"/>
      <c r="B13165" s="9" t="n"/>
    </row>
    <row r="13166">
      <c r="A13166" s="8" t="n"/>
      <c r="B13166" s="9" t="n"/>
    </row>
    <row r="13167">
      <c r="A13167" s="8" t="n"/>
      <c r="B13167" s="9" t="n"/>
    </row>
    <row r="13168">
      <c r="A13168" s="8" t="n"/>
      <c r="B13168" s="9" t="n"/>
    </row>
    <row r="13169">
      <c r="A13169" s="8" t="n"/>
      <c r="B13169" s="9" t="n"/>
    </row>
    <row r="13170">
      <c r="A13170" s="8" t="n"/>
      <c r="B13170" s="9" t="n"/>
    </row>
    <row r="13171">
      <c r="A13171" s="8" t="n"/>
      <c r="B13171" s="9" t="n"/>
    </row>
    <row r="13172">
      <c r="A13172" s="8" t="n"/>
      <c r="B13172" s="9" t="n"/>
    </row>
    <row r="13173">
      <c r="A13173" s="8" t="n"/>
      <c r="B13173" s="9" t="n"/>
    </row>
    <row r="13174">
      <c r="A13174" s="8" t="n"/>
      <c r="B13174" s="9" t="n"/>
    </row>
    <row r="13175">
      <c r="A13175" s="8" t="n"/>
      <c r="B13175" s="9" t="n"/>
    </row>
    <row r="13176">
      <c r="A13176" s="8" t="n"/>
      <c r="B13176" s="9" t="n"/>
    </row>
    <row r="13177">
      <c r="A13177" s="8" t="n"/>
      <c r="B13177" s="9" t="n"/>
    </row>
    <row r="13178">
      <c r="A13178" s="8" t="n"/>
      <c r="B13178" s="9" t="n"/>
    </row>
    <row r="13179">
      <c r="A13179" s="8" t="n"/>
      <c r="B13179" s="9" t="n"/>
    </row>
    <row r="13180">
      <c r="A13180" s="8" t="n"/>
      <c r="B13180" s="9" t="n"/>
    </row>
    <row r="13181">
      <c r="A13181" s="8" t="n"/>
      <c r="B13181" s="9" t="n"/>
    </row>
    <row r="13182">
      <c r="A13182" s="8" t="n"/>
      <c r="B13182" s="9" t="n"/>
    </row>
    <row r="13183">
      <c r="A13183" s="8" t="n"/>
      <c r="B13183" s="9" t="n"/>
    </row>
    <row r="13184">
      <c r="A13184" s="8" t="n"/>
      <c r="B13184" s="9" t="n"/>
    </row>
    <row r="13185">
      <c r="A13185" s="8" t="n"/>
      <c r="B13185" s="9" t="n"/>
    </row>
    <row r="13186">
      <c r="A13186" s="8" t="n"/>
      <c r="B13186" s="9" t="n"/>
    </row>
    <row r="13187">
      <c r="A13187" s="8" t="n"/>
      <c r="B13187" s="9" t="n"/>
    </row>
    <row r="13188">
      <c r="A13188" s="8" t="n"/>
      <c r="B13188" s="9" t="n"/>
    </row>
    <row r="13189">
      <c r="A13189" s="8" t="n"/>
      <c r="B13189" s="9" t="n"/>
    </row>
    <row r="13190">
      <c r="A13190" s="8" t="n"/>
      <c r="B13190" s="9" t="n"/>
    </row>
    <row r="13191">
      <c r="A13191" s="8" t="n"/>
      <c r="B13191" s="9" t="n"/>
    </row>
    <row r="13192">
      <c r="A13192" s="8" t="n"/>
      <c r="B13192" s="9" t="n"/>
    </row>
    <row r="13193">
      <c r="A13193" s="8" t="n"/>
      <c r="B13193" s="9" t="n"/>
    </row>
    <row r="13194">
      <c r="A13194" s="8" t="n"/>
      <c r="B13194" s="9" t="n"/>
    </row>
    <row r="13195">
      <c r="A13195" s="8" t="n"/>
      <c r="B13195" s="9" t="n"/>
    </row>
    <row r="13196">
      <c r="A13196" s="8" t="n"/>
      <c r="B13196" s="9" t="n"/>
    </row>
    <row r="13197">
      <c r="A13197" s="8" t="n"/>
      <c r="B13197" s="9" t="n"/>
    </row>
    <row r="13198">
      <c r="A13198" s="8" t="n"/>
      <c r="B13198" s="9" t="n"/>
    </row>
    <row r="13199">
      <c r="A13199" s="8" t="n"/>
      <c r="B13199" s="9" t="n"/>
    </row>
    <row r="13200">
      <c r="A13200" s="8" t="n"/>
      <c r="B13200" s="9" t="n"/>
    </row>
    <row r="13201">
      <c r="A13201" s="8" t="n"/>
      <c r="B13201" s="9" t="n"/>
    </row>
    <row r="13202">
      <c r="A13202" s="8" t="n"/>
      <c r="B13202" s="9" t="n"/>
    </row>
    <row r="13203">
      <c r="A13203" s="8" t="n"/>
      <c r="B13203" s="9" t="n"/>
    </row>
    <row r="13204">
      <c r="A13204" s="8" t="n"/>
      <c r="B13204" s="9" t="n"/>
    </row>
    <row r="13205">
      <c r="A13205" s="8" t="n"/>
      <c r="B13205" s="9" t="n"/>
    </row>
    <row r="13206">
      <c r="A13206" s="8" t="n"/>
      <c r="B13206" s="9" t="n"/>
    </row>
    <row r="13207">
      <c r="A13207" s="8" t="n"/>
      <c r="B13207" s="9" t="n"/>
    </row>
    <row r="13208">
      <c r="A13208" s="8" t="n"/>
      <c r="B13208" s="9" t="n"/>
    </row>
    <row r="13209">
      <c r="A13209" s="8" t="n"/>
      <c r="B13209" s="9" t="n"/>
    </row>
    <row r="13210">
      <c r="A13210" s="8" t="n"/>
      <c r="B13210" s="9" t="n"/>
    </row>
    <row r="13211">
      <c r="A13211" s="8" t="n"/>
      <c r="B13211" s="9" t="n"/>
    </row>
    <row r="13212">
      <c r="A13212" s="8" t="n"/>
      <c r="B13212" s="9" t="n"/>
    </row>
    <row r="13213">
      <c r="A13213" s="8" t="n"/>
      <c r="B13213" s="9" t="n"/>
    </row>
    <row r="13214">
      <c r="A13214" s="8" t="n"/>
      <c r="B13214" s="9" t="n"/>
    </row>
    <row r="13215">
      <c r="A13215" s="8" t="n"/>
      <c r="B13215" s="9" t="n"/>
    </row>
    <row r="13216">
      <c r="A13216" s="8" t="n"/>
      <c r="B13216" s="9" t="n"/>
    </row>
    <row r="13217">
      <c r="A13217" s="8" t="n"/>
      <c r="B13217" s="9" t="n"/>
    </row>
    <row r="13218">
      <c r="A13218" s="8" t="n"/>
      <c r="B13218" s="9" t="n"/>
    </row>
    <row r="13219">
      <c r="A13219" s="8" t="n"/>
      <c r="B13219" s="9" t="n"/>
    </row>
    <row r="13220">
      <c r="A13220" s="8" t="n"/>
      <c r="B13220" s="9" t="n"/>
    </row>
    <row r="13221">
      <c r="A13221" s="8" t="n"/>
      <c r="B13221" s="9" t="n"/>
    </row>
    <row r="13222">
      <c r="A13222" s="8" t="n"/>
      <c r="B13222" s="9" t="n"/>
    </row>
    <row r="13223">
      <c r="A13223" s="8" t="n"/>
      <c r="B13223" s="9" t="n"/>
    </row>
    <row r="13224">
      <c r="A13224" s="8" t="n"/>
      <c r="B13224" s="9" t="n"/>
    </row>
    <row r="13225">
      <c r="A13225" s="8" t="n"/>
      <c r="B13225" s="9" t="n"/>
    </row>
    <row r="13226">
      <c r="A13226" s="8" t="n"/>
      <c r="B13226" s="9" t="n"/>
    </row>
    <row r="13227">
      <c r="A13227" s="8" t="n"/>
      <c r="B13227" s="9" t="n"/>
    </row>
    <row r="13228">
      <c r="A13228" s="8" t="n"/>
      <c r="B13228" s="9" t="n"/>
    </row>
    <row r="13229">
      <c r="A13229" s="8" t="n"/>
      <c r="B13229" s="9" t="n"/>
    </row>
    <row r="13230">
      <c r="A13230" s="8" t="n"/>
      <c r="B13230" s="9" t="n"/>
    </row>
    <row r="13231">
      <c r="A13231" s="8" t="n"/>
      <c r="B13231" s="9" t="n"/>
    </row>
    <row r="13232">
      <c r="A13232" s="8" t="n"/>
      <c r="B13232" s="9" t="n"/>
    </row>
    <row r="13233">
      <c r="A13233" s="8" t="n"/>
      <c r="B13233" s="9" t="n"/>
    </row>
    <row r="13234">
      <c r="A13234" s="8" t="n"/>
      <c r="B13234" s="9" t="n"/>
    </row>
    <row r="13235">
      <c r="A13235" s="8" t="n"/>
      <c r="B13235" s="9" t="n"/>
    </row>
    <row r="13236">
      <c r="A13236" s="8" t="n"/>
      <c r="B13236" s="9" t="n"/>
    </row>
    <row r="13237">
      <c r="A13237" s="8" t="n"/>
      <c r="B13237" s="9" t="n"/>
    </row>
    <row r="13238">
      <c r="A13238" s="8" t="n"/>
      <c r="B13238" s="9" t="n"/>
    </row>
    <row r="13239">
      <c r="A13239" s="8" t="n"/>
      <c r="B13239" s="9" t="n"/>
    </row>
    <row r="13240">
      <c r="A13240" s="8" t="n"/>
      <c r="B13240" s="9" t="n"/>
    </row>
    <row r="13241">
      <c r="A13241" s="8" t="n"/>
      <c r="B13241" s="9" t="n"/>
    </row>
    <row r="13242">
      <c r="A13242" s="8" t="n"/>
      <c r="B13242" s="9" t="n"/>
    </row>
    <row r="13243">
      <c r="A13243" s="8" t="n"/>
      <c r="B13243" s="9" t="n"/>
    </row>
    <row r="13244">
      <c r="A13244" s="8" t="n"/>
      <c r="B13244" s="9" t="n"/>
    </row>
    <row r="13245">
      <c r="A13245" s="8" t="n"/>
      <c r="B13245" s="9" t="n"/>
    </row>
    <row r="13246">
      <c r="A13246" s="8" t="n"/>
      <c r="B13246" s="9" t="n"/>
    </row>
    <row r="13247">
      <c r="A13247" s="8" t="n"/>
      <c r="B13247" s="9" t="n"/>
    </row>
    <row r="13248">
      <c r="A13248" s="8" t="n"/>
      <c r="B13248" s="9" t="n"/>
    </row>
    <row r="13249">
      <c r="A13249" s="8" t="n"/>
      <c r="B13249" s="9" t="n"/>
    </row>
    <row r="13250">
      <c r="A13250" s="8" t="n"/>
      <c r="B13250" s="9" t="n"/>
    </row>
    <row r="13251">
      <c r="A13251" s="8" t="n"/>
      <c r="B13251" s="9" t="n"/>
    </row>
    <row r="13252">
      <c r="A13252" s="8" t="n"/>
      <c r="B13252" s="9" t="n"/>
    </row>
    <row r="13253">
      <c r="A13253" s="8" t="n"/>
      <c r="B13253" s="9" t="n"/>
    </row>
    <row r="13254">
      <c r="A13254" s="8" t="n"/>
      <c r="B13254" s="9" t="n"/>
    </row>
    <row r="13255">
      <c r="A13255" s="8" t="n"/>
      <c r="B13255" s="9" t="n"/>
    </row>
    <row r="13256">
      <c r="A13256" s="8" t="n"/>
      <c r="B13256" s="9" t="n"/>
    </row>
    <row r="13257">
      <c r="A13257" s="8" t="n"/>
      <c r="B13257" s="9" t="n"/>
    </row>
    <row r="13258">
      <c r="A13258" s="8" t="n"/>
      <c r="B13258" s="9" t="n"/>
    </row>
    <row r="13259">
      <c r="A13259" s="8" t="n"/>
      <c r="B13259" s="9" t="n"/>
    </row>
    <row r="13260">
      <c r="A13260" s="8" t="n"/>
      <c r="B13260" s="9" t="n"/>
    </row>
    <row r="13261">
      <c r="A13261" s="8" t="n"/>
      <c r="B13261" s="9" t="n"/>
    </row>
    <row r="13262">
      <c r="A13262" s="8" t="n"/>
      <c r="B13262" s="9" t="n"/>
    </row>
    <row r="13263">
      <c r="A13263" s="8" t="n"/>
      <c r="B13263" s="9" t="n"/>
    </row>
    <row r="13264">
      <c r="A13264" s="8" t="n"/>
      <c r="B13264" s="9" t="n"/>
    </row>
    <row r="13265">
      <c r="A13265" s="8" t="n"/>
      <c r="B13265" s="9" t="n"/>
    </row>
    <row r="13266">
      <c r="A13266" s="8" t="n"/>
      <c r="B13266" s="9" t="n"/>
    </row>
    <row r="13267">
      <c r="A13267" s="8" t="n"/>
      <c r="B13267" s="9" t="n"/>
    </row>
    <row r="13268">
      <c r="A13268" s="8" t="n"/>
      <c r="B13268" s="9" t="n"/>
    </row>
    <row r="13269">
      <c r="A13269" s="8" t="n"/>
      <c r="B13269" s="9" t="n"/>
    </row>
    <row r="13270">
      <c r="A13270" s="8" t="n"/>
      <c r="B13270" s="9" t="n"/>
    </row>
    <row r="13271">
      <c r="A13271" s="8" t="n"/>
      <c r="B13271" s="9" t="n"/>
    </row>
    <row r="13272">
      <c r="A13272" s="8" t="n"/>
      <c r="B13272" s="9" t="n"/>
    </row>
    <row r="13273">
      <c r="A13273" s="8" t="n"/>
      <c r="B13273" s="9" t="n"/>
    </row>
    <row r="13274">
      <c r="A13274" s="8" t="n"/>
      <c r="B13274" s="9" t="n"/>
    </row>
    <row r="13275">
      <c r="A13275" s="8" t="n"/>
      <c r="B13275" s="9" t="n"/>
    </row>
    <row r="13276">
      <c r="A13276" s="8" t="n"/>
      <c r="B13276" s="9" t="n"/>
    </row>
    <row r="13277">
      <c r="A13277" s="8" t="n"/>
      <c r="B13277" s="9" t="n"/>
    </row>
    <row r="13278">
      <c r="A13278" s="8" t="n"/>
      <c r="B13278" s="9" t="n"/>
    </row>
    <row r="13279">
      <c r="A13279" s="8" t="n"/>
      <c r="B13279" s="9" t="n"/>
    </row>
    <row r="13280">
      <c r="A13280" s="8" t="n"/>
      <c r="B13280" s="9" t="n"/>
    </row>
    <row r="13281">
      <c r="A13281" s="8" t="n"/>
      <c r="B13281" s="9" t="n"/>
    </row>
    <row r="13282">
      <c r="A13282" s="8" t="n"/>
      <c r="B13282" s="9" t="n"/>
    </row>
    <row r="13283">
      <c r="A13283" s="8" t="n"/>
      <c r="B13283" s="9" t="n"/>
    </row>
    <row r="13284">
      <c r="A13284" s="8" t="n"/>
      <c r="B13284" s="9" t="n"/>
    </row>
    <row r="13285">
      <c r="A13285" s="8" t="n"/>
      <c r="B13285" s="9" t="n"/>
    </row>
    <row r="13286">
      <c r="A13286" s="8" t="n"/>
      <c r="B13286" s="9" t="n"/>
    </row>
    <row r="13287">
      <c r="A13287" s="8" t="n"/>
      <c r="B13287" s="9" t="n"/>
    </row>
    <row r="13288">
      <c r="A13288" s="8" t="n"/>
      <c r="B13288" s="9" t="n"/>
    </row>
    <row r="13289">
      <c r="A13289" s="8" t="n"/>
      <c r="B13289" s="9" t="n"/>
    </row>
    <row r="13290">
      <c r="A13290" s="8" t="n"/>
      <c r="B13290" s="9" t="n"/>
    </row>
    <row r="13291">
      <c r="A13291" s="8" t="n"/>
      <c r="B13291" s="9" t="n"/>
    </row>
    <row r="13292">
      <c r="A13292" s="8" t="n"/>
      <c r="B13292" s="9" t="n"/>
    </row>
    <row r="13293">
      <c r="A13293" s="8" t="n"/>
      <c r="B13293" s="9" t="n"/>
    </row>
    <row r="13294">
      <c r="A13294" s="8" t="n"/>
      <c r="B13294" s="9" t="n"/>
    </row>
    <row r="13295">
      <c r="A13295" s="8" t="n"/>
      <c r="B13295" s="9" t="n"/>
    </row>
    <row r="13296">
      <c r="A13296" s="8" t="n"/>
      <c r="B13296" s="9" t="n"/>
    </row>
    <row r="13297">
      <c r="A13297" s="8" t="n"/>
      <c r="B13297" s="9" t="n"/>
    </row>
    <row r="13298">
      <c r="A13298" s="8" t="n"/>
      <c r="B13298" s="9" t="n"/>
    </row>
    <row r="13299">
      <c r="A13299" s="8" t="n"/>
      <c r="B13299" s="9" t="n"/>
    </row>
    <row r="13300">
      <c r="A13300" s="8" t="n"/>
      <c r="B13300" s="9" t="n"/>
    </row>
    <row r="13301">
      <c r="A13301" s="8" t="n"/>
      <c r="B13301" s="9" t="n"/>
    </row>
    <row r="13302">
      <c r="A13302" s="8" t="n"/>
      <c r="B13302" s="9" t="n"/>
    </row>
    <row r="13303">
      <c r="A13303" s="8" t="n"/>
      <c r="B13303" s="9" t="n"/>
    </row>
    <row r="13304">
      <c r="A13304" s="8" t="n"/>
      <c r="B13304" s="9" t="n"/>
    </row>
    <row r="13305">
      <c r="A13305" s="8" t="n"/>
      <c r="B13305" s="9" t="n"/>
    </row>
    <row r="13306">
      <c r="A13306" s="8" t="n"/>
      <c r="B13306" s="9" t="n"/>
    </row>
    <row r="13307">
      <c r="A13307" s="8" t="n"/>
      <c r="B13307" s="9" t="n"/>
    </row>
    <row r="13308">
      <c r="A13308" s="8" t="n"/>
      <c r="B13308" s="9" t="n"/>
    </row>
    <row r="13309">
      <c r="A13309" s="8" t="n"/>
      <c r="B13309" s="9" t="n"/>
    </row>
    <row r="13310">
      <c r="A13310" s="8" t="n"/>
      <c r="B13310" s="9" t="n"/>
    </row>
    <row r="13311">
      <c r="A13311" s="8" t="n"/>
      <c r="B13311" s="9" t="n"/>
    </row>
    <row r="13312">
      <c r="A13312" s="8" t="n"/>
      <c r="B13312" s="9" t="n"/>
    </row>
    <row r="13313">
      <c r="A13313" s="8" t="n"/>
      <c r="B13313" s="9" t="n"/>
    </row>
    <row r="13314">
      <c r="A13314" s="8" t="n"/>
      <c r="B13314" s="9" t="n"/>
    </row>
    <row r="13315">
      <c r="A13315" s="8" t="n"/>
      <c r="B13315" s="9" t="n"/>
    </row>
    <row r="13316">
      <c r="A13316" s="8" t="n"/>
      <c r="B13316" s="9" t="n"/>
    </row>
    <row r="13317">
      <c r="A13317" s="8" t="n"/>
      <c r="B13317" s="9" t="n"/>
    </row>
    <row r="13318">
      <c r="A13318" s="8" t="n"/>
      <c r="B13318" s="9" t="n"/>
    </row>
    <row r="13319">
      <c r="A13319" s="8" t="n"/>
      <c r="B13319" s="9" t="n"/>
    </row>
    <row r="13320">
      <c r="A13320" s="8" t="n"/>
      <c r="B13320" s="9" t="n"/>
    </row>
    <row r="13321">
      <c r="A13321" s="8" t="n"/>
      <c r="B13321" s="9" t="n"/>
    </row>
    <row r="13322">
      <c r="A13322" s="8" t="n"/>
      <c r="B13322" s="9" t="n"/>
    </row>
    <row r="13323">
      <c r="A13323" s="8" t="n"/>
      <c r="B13323" s="9" t="n"/>
    </row>
    <row r="13324">
      <c r="A13324" s="8" t="n"/>
      <c r="B13324" s="9" t="n"/>
    </row>
    <row r="13325">
      <c r="A13325" s="8" t="n"/>
      <c r="B13325" s="9" t="n"/>
    </row>
    <row r="13326">
      <c r="A13326" s="8" t="n"/>
      <c r="B13326" s="9" t="n"/>
    </row>
    <row r="13327">
      <c r="A13327" s="8" t="n"/>
      <c r="B13327" s="9" t="n"/>
    </row>
    <row r="13328">
      <c r="A13328" s="8" t="n"/>
      <c r="B13328" s="9" t="n"/>
    </row>
    <row r="13329">
      <c r="A13329" s="8" t="n"/>
      <c r="B13329" s="9" t="n"/>
    </row>
    <row r="13330">
      <c r="A13330" s="8" t="n"/>
      <c r="B13330" s="9" t="n"/>
    </row>
    <row r="13331">
      <c r="A13331" s="8" t="n"/>
      <c r="B13331" s="9" t="n"/>
    </row>
    <row r="13332">
      <c r="A13332" s="8" t="n"/>
      <c r="B13332" s="9" t="n"/>
    </row>
    <row r="13333">
      <c r="A13333" s="8" t="n"/>
      <c r="B13333" s="9" t="n"/>
    </row>
    <row r="13334">
      <c r="A13334" s="8" t="n"/>
      <c r="B13334" s="9" t="n"/>
    </row>
    <row r="13335">
      <c r="A13335" s="8" t="n"/>
      <c r="B13335" s="9" t="n"/>
    </row>
    <row r="13336">
      <c r="A13336" s="8" t="n"/>
      <c r="B13336" s="9" t="n"/>
    </row>
    <row r="13337">
      <c r="A13337" s="8" t="n"/>
      <c r="B13337" s="9" t="n"/>
    </row>
    <row r="13338">
      <c r="A13338" s="8" t="n"/>
      <c r="B13338" s="9" t="n"/>
    </row>
    <row r="13339">
      <c r="A13339" s="8" t="n"/>
      <c r="B13339" s="9" t="n"/>
    </row>
    <row r="13340">
      <c r="A13340" s="8" t="n"/>
      <c r="B13340" s="9" t="n"/>
    </row>
    <row r="13341">
      <c r="A13341" s="8" t="n"/>
      <c r="B13341" s="9" t="n"/>
    </row>
    <row r="13342">
      <c r="A13342" s="8" t="n"/>
      <c r="B13342" s="9" t="n"/>
    </row>
    <row r="13343">
      <c r="A13343" s="8" t="n"/>
      <c r="B13343" s="9" t="n"/>
    </row>
    <row r="13344">
      <c r="A13344" s="8" t="n"/>
      <c r="B13344" s="9" t="n"/>
    </row>
    <row r="13345">
      <c r="A13345" s="8" t="n"/>
      <c r="B13345" s="9" t="n"/>
    </row>
    <row r="13346">
      <c r="A13346" s="8" t="n"/>
      <c r="B13346" s="9" t="n"/>
    </row>
    <row r="13347">
      <c r="A13347" s="8" t="n"/>
      <c r="B13347" s="9" t="n"/>
    </row>
    <row r="13348">
      <c r="A13348" s="8" t="n"/>
      <c r="B13348" s="9" t="n"/>
    </row>
    <row r="13349">
      <c r="A13349" s="8" t="n"/>
      <c r="B13349" s="9" t="n"/>
    </row>
    <row r="13350">
      <c r="A13350" s="8" t="n"/>
      <c r="B13350" s="9" t="n"/>
    </row>
    <row r="13351">
      <c r="A13351" s="8" t="n"/>
      <c r="B13351" s="9" t="n"/>
    </row>
    <row r="13352">
      <c r="A13352" s="8" t="n"/>
      <c r="B13352" s="9" t="n"/>
    </row>
    <row r="13353">
      <c r="A13353" s="8" t="n"/>
      <c r="B13353" s="9" t="n"/>
    </row>
    <row r="13354">
      <c r="A13354" s="8" t="n"/>
      <c r="B13354" s="9" t="n"/>
    </row>
    <row r="13355">
      <c r="A13355" s="8" t="n"/>
      <c r="B13355" s="9" t="n"/>
    </row>
    <row r="13356">
      <c r="A13356" s="8" t="n"/>
      <c r="B13356" s="9" t="n"/>
    </row>
    <row r="13357">
      <c r="A13357" s="8" t="n"/>
      <c r="B13357" s="9" t="n"/>
    </row>
    <row r="13358">
      <c r="A13358" s="8" t="n"/>
      <c r="B13358" s="9" t="n"/>
    </row>
    <row r="13359">
      <c r="A13359" s="8" t="n"/>
      <c r="B13359" s="9" t="n"/>
    </row>
    <row r="13360">
      <c r="A13360" s="8" t="n"/>
      <c r="B13360" s="9" t="n"/>
    </row>
    <row r="13361">
      <c r="A13361" s="8" t="n"/>
      <c r="B13361" s="9" t="n"/>
    </row>
    <row r="13362">
      <c r="A13362" s="8" t="n"/>
      <c r="B13362" s="9" t="n"/>
    </row>
    <row r="13363">
      <c r="A13363" s="8" t="n"/>
      <c r="B13363" s="9" t="n"/>
    </row>
    <row r="13364">
      <c r="A13364" s="8" t="n"/>
      <c r="B13364" s="9" t="n"/>
    </row>
    <row r="13365">
      <c r="A13365" s="8" t="n"/>
      <c r="B13365" s="9" t="n"/>
    </row>
    <row r="13366">
      <c r="A13366" s="8" t="n"/>
      <c r="B13366" s="9" t="n"/>
    </row>
    <row r="13367">
      <c r="A13367" s="8" t="n"/>
      <c r="B13367" s="9" t="n"/>
    </row>
    <row r="13368">
      <c r="A13368" s="8" t="n"/>
      <c r="B13368" s="9" t="n"/>
    </row>
    <row r="13369">
      <c r="A13369" s="8" t="n"/>
      <c r="B13369" s="9" t="n"/>
    </row>
    <row r="13370">
      <c r="A13370" s="8" t="n"/>
      <c r="B13370" s="9" t="n"/>
    </row>
    <row r="13371">
      <c r="A13371" s="8" t="n"/>
      <c r="B13371" s="9" t="n"/>
    </row>
    <row r="13372">
      <c r="A13372" s="8" t="n"/>
      <c r="B13372" s="9" t="n"/>
    </row>
    <row r="13373">
      <c r="A13373" s="8" t="n"/>
      <c r="B13373" s="9" t="n"/>
    </row>
    <row r="13374">
      <c r="A13374" s="8" t="n"/>
      <c r="B13374" s="9" t="n"/>
    </row>
    <row r="13375">
      <c r="A13375" s="8" t="n"/>
      <c r="B13375" s="9" t="n"/>
    </row>
    <row r="13376">
      <c r="A13376" s="8" t="n"/>
      <c r="B13376" s="9" t="n"/>
    </row>
    <row r="13377">
      <c r="A13377" s="8" t="n"/>
      <c r="B13377" s="9" t="n"/>
    </row>
    <row r="13378">
      <c r="A13378" s="8" t="n"/>
      <c r="B13378" s="9" t="n"/>
    </row>
    <row r="13379">
      <c r="A13379" s="8" t="n"/>
      <c r="B13379" s="9" t="n"/>
    </row>
    <row r="13380">
      <c r="A13380" s="8" t="n"/>
      <c r="B13380" s="9" t="n"/>
    </row>
    <row r="13381">
      <c r="A13381" s="8" t="n"/>
      <c r="B13381" s="9" t="n"/>
    </row>
    <row r="13382">
      <c r="A13382" s="8" t="n"/>
      <c r="B13382" s="9" t="n"/>
    </row>
    <row r="13383">
      <c r="A13383" s="8" t="n"/>
      <c r="B13383" s="9" t="n"/>
    </row>
    <row r="13384">
      <c r="A13384" s="8" t="n"/>
      <c r="B13384" s="9" t="n"/>
    </row>
    <row r="13385">
      <c r="A13385" s="8" t="n"/>
      <c r="B13385" s="9" t="n"/>
    </row>
    <row r="13386">
      <c r="A13386" s="8" t="n"/>
      <c r="B13386" s="9" t="n"/>
    </row>
    <row r="13387">
      <c r="A13387" s="8" t="n"/>
      <c r="B13387" s="9" t="n"/>
    </row>
    <row r="13388">
      <c r="A13388" s="8" t="n"/>
      <c r="B13388" s="9" t="n"/>
    </row>
    <row r="13389">
      <c r="A13389" s="8" t="n"/>
      <c r="B13389" s="9" t="n"/>
    </row>
    <row r="13390">
      <c r="A13390" s="8" t="n"/>
      <c r="B13390" s="9" t="n"/>
    </row>
    <row r="13391">
      <c r="A13391" s="8" t="n"/>
      <c r="B13391" s="9" t="n"/>
    </row>
    <row r="13392">
      <c r="A13392" s="8" t="n"/>
      <c r="B13392" s="9" t="n"/>
    </row>
    <row r="13393">
      <c r="A13393" s="8" t="n"/>
      <c r="B13393" s="9" t="n"/>
    </row>
    <row r="13394">
      <c r="A13394" s="8" t="n"/>
      <c r="B13394" s="9" t="n"/>
    </row>
    <row r="13395">
      <c r="A13395" s="8" t="n"/>
      <c r="B13395" s="9" t="n"/>
    </row>
    <row r="13396">
      <c r="A13396" s="8" t="n"/>
      <c r="B13396" s="9" t="n"/>
    </row>
    <row r="13397">
      <c r="A13397" s="8" t="n"/>
      <c r="B13397" s="9" t="n"/>
    </row>
    <row r="13398">
      <c r="A13398" s="8" t="n"/>
      <c r="B13398" s="9" t="n"/>
    </row>
    <row r="13399">
      <c r="A13399" s="8" t="n"/>
      <c r="B13399" s="9" t="n"/>
    </row>
    <row r="13400">
      <c r="A13400" s="8" t="n"/>
      <c r="B13400" s="9" t="n"/>
    </row>
    <row r="13401">
      <c r="A13401" s="8" t="n"/>
      <c r="B13401" s="9" t="n"/>
    </row>
    <row r="13402">
      <c r="A13402" s="8" t="n"/>
      <c r="B13402" s="9" t="n"/>
    </row>
    <row r="13403">
      <c r="A13403" s="8" t="n"/>
      <c r="B13403" s="9" t="n"/>
    </row>
    <row r="13404">
      <c r="A13404" s="8" t="n"/>
      <c r="B13404" s="9" t="n"/>
    </row>
    <row r="13405">
      <c r="A13405" s="8" t="n"/>
      <c r="B13405" s="9" t="n"/>
    </row>
    <row r="13406">
      <c r="A13406" s="8" t="n"/>
      <c r="B13406" s="9" t="n"/>
    </row>
    <row r="13407">
      <c r="A13407" s="8" t="n"/>
      <c r="B13407" s="9" t="n"/>
    </row>
    <row r="13408">
      <c r="A13408" s="8" t="n"/>
      <c r="B13408" s="9" t="n"/>
    </row>
    <row r="13409">
      <c r="A13409" s="8" t="n"/>
      <c r="B13409" s="9" t="n"/>
    </row>
    <row r="13410">
      <c r="A13410" s="8" t="n"/>
      <c r="B13410" s="9" t="n"/>
    </row>
    <row r="13411">
      <c r="A13411" s="8" t="n"/>
      <c r="B13411" s="9" t="n"/>
    </row>
    <row r="13412">
      <c r="A13412" s="8" t="n"/>
      <c r="B13412" s="9" t="n"/>
    </row>
    <row r="13413">
      <c r="A13413" s="8" t="n"/>
      <c r="B13413" s="9" t="n"/>
    </row>
    <row r="13414">
      <c r="A13414" s="8" t="n"/>
      <c r="B13414" s="9" t="n"/>
    </row>
    <row r="13415">
      <c r="A13415" s="8" t="n"/>
      <c r="B13415" s="9" t="n"/>
    </row>
    <row r="13416">
      <c r="A13416" s="8" t="n"/>
      <c r="B13416" s="9" t="n"/>
    </row>
    <row r="13417">
      <c r="A13417" s="8" t="n"/>
      <c r="B13417" s="9" t="n"/>
    </row>
    <row r="13418">
      <c r="A13418" s="8" t="n"/>
      <c r="B13418" s="9" t="n"/>
    </row>
    <row r="13419">
      <c r="A13419" s="8" t="n"/>
      <c r="B13419" s="9" t="n"/>
    </row>
    <row r="13420">
      <c r="A13420" s="8" t="n"/>
      <c r="B13420" s="9" t="n"/>
    </row>
    <row r="13421">
      <c r="A13421" s="8" t="n"/>
      <c r="B13421" s="9" t="n"/>
    </row>
    <row r="13422">
      <c r="A13422" s="8" t="n"/>
      <c r="B13422" s="9" t="n"/>
    </row>
    <row r="13423">
      <c r="A13423" s="8" t="n"/>
      <c r="B13423" s="9" t="n"/>
    </row>
    <row r="13424">
      <c r="A13424" s="8" t="n"/>
      <c r="B13424" s="9" t="n"/>
    </row>
    <row r="13425">
      <c r="A13425" s="8" t="n"/>
      <c r="B13425" s="9" t="n"/>
    </row>
    <row r="13426">
      <c r="A13426" s="8" t="n"/>
      <c r="B13426" s="9" t="n"/>
    </row>
    <row r="13427">
      <c r="A13427" s="8" t="n"/>
      <c r="B13427" s="9" t="n"/>
    </row>
    <row r="13428">
      <c r="A13428" s="8" t="n"/>
      <c r="B13428" s="9" t="n"/>
    </row>
    <row r="13429">
      <c r="A13429" s="8" t="n"/>
      <c r="B13429" s="9" t="n"/>
    </row>
    <row r="13430">
      <c r="A13430" s="8" t="n"/>
      <c r="B13430" s="9" t="n"/>
    </row>
    <row r="13431">
      <c r="A13431" s="8" t="n"/>
      <c r="B13431" s="9" t="n"/>
    </row>
    <row r="13432">
      <c r="A13432" s="8" t="n"/>
      <c r="B13432" s="9" t="n"/>
    </row>
    <row r="13433">
      <c r="A13433" s="8" t="n"/>
      <c r="B13433" s="9" t="n"/>
    </row>
    <row r="13434">
      <c r="A13434" s="8" t="n"/>
      <c r="B13434" s="9" t="n"/>
    </row>
    <row r="13435">
      <c r="A13435" s="8" t="n"/>
      <c r="B13435" s="9" t="n"/>
    </row>
    <row r="13436">
      <c r="A13436" s="8" t="n"/>
      <c r="B13436" s="9" t="n"/>
    </row>
    <row r="13437">
      <c r="A13437" s="8" t="n"/>
      <c r="B13437" s="9" t="n"/>
    </row>
    <row r="13438">
      <c r="A13438" s="8" t="n"/>
      <c r="B13438" s="9" t="n"/>
    </row>
    <row r="13439">
      <c r="A13439" s="8" t="n"/>
      <c r="B13439" s="9" t="n"/>
    </row>
    <row r="13440">
      <c r="A13440" s="8" t="n"/>
      <c r="B13440" s="9" t="n"/>
    </row>
    <row r="13441">
      <c r="A13441" s="8" t="n"/>
      <c r="B13441" s="9" t="n"/>
    </row>
    <row r="13442">
      <c r="A13442" s="8" t="n"/>
      <c r="B13442" s="9" t="n"/>
    </row>
    <row r="13443">
      <c r="A13443" s="8" t="n"/>
      <c r="B13443" s="9" t="n"/>
    </row>
    <row r="13444">
      <c r="A13444" s="8" t="n"/>
      <c r="B13444" s="9" t="n"/>
    </row>
    <row r="13445">
      <c r="A13445" s="8" t="n"/>
      <c r="B13445" s="9" t="n"/>
    </row>
    <row r="13446">
      <c r="A13446" s="8" t="n"/>
      <c r="B13446" s="9" t="n"/>
    </row>
    <row r="13447">
      <c r="A13447" s="8" t="n"/>
      <c r="B13447" s="9" t="n"/>
    </row>
    <row r="13448">
      <c r="A13448" s="8" t="n"/>
      <c r="B13448" s="9" t="n"/>
    </row>
    <row r="13449">
      <c r="A13449" s="8" t="n"/>
      <c r="B13449" s="9" t="n"/>
    </row>
    <row r="13450">
      <c r="A13450" s="8" t="n"/>
      <c r="B13450" s="9" t="n"/>
    </row>
    <row r="13451">
      <c r="A13451" s="8" t="n"/>
      <c r="B13451" s="9" t="n"/>
    </row>
    <row r="13452">
      <c r="A13452" s="8" t="n"/>
      <c r="B13452" s="9" t="n"/>
    </row>
    <row r="13453">
      <c r="A13453" s="8" t="n"/>
      <c r="B13453" s="9" t="n"/>
    </row>
    <row r="13454">
      <c r="A13454" s="8" t="n"/>
      <c r="B13454" s="9" t="n"/>
    </row>
    <row r="13455">
      <c r="A13455" s="8" t="n"/>
      <c r="B13455" s="9" t="n"/>
    </row>
    <row r="13456">
      <c r="A13456" s="8" t="n"/>
      <c r="B13456" s="9" t="n"/>
    </row>
    <row r="13457">
      <c r="A13457" s="8" t="n"/>
      <c r="B13457" s="9" t="n"/>
    </row>
    <row r="13458">
      <c r="A13458" s="8" t="n"/>
      <c r="B13458" s="9" t="n"/>
    </row>
    <row r="13459">
      <c r="A13459" s="8" t="n"/>
      <c r="B13459" s="9" t="n"/>
    </row>
    <row r="13460">
      <c r="A13460" s="8" t="n"/>
      <c r="B13460" s="9" t="n"/>
    </row>
    <row r="13461">
      <c r="A13461" s="8" t="n"/>
      <c r="B13461" s="9" t="n"/>
    </row>
    <row r="13462">
      <c r="A13462" s="8" t="n"/>
      <c r="B13462" s="9" t="n"/>
    </row>
    <row r="13463">
      <c r="A13463" s="8" t="n"/>
      <c r="B13463" s="9" t="n"/>
    </row>
    <row r="13464">
      <c r="A13464" s="8" t="n"/>
      <c r="B13464" s="9" t="n"/>
    </row>
    <row r="13465">
      <c r="A13465" s="8" t="n"/>
      <c r="B13465" s="9" t="n"/>
    </row>
    <row r="13466">
      <c r="A13466" s="8" t="n"/>
      <c r="B13466" s="9" t="n"/>
    </row>
    <row r="13467">
      <c r="A13467" s="8" t="n"/>
      <c r="B13467" s="9" t="n"/>
    </row>
    <row r="13468">
      <c r="A13468" s="8" t="n"/>
      <c r="B13468" s="9" t="n"/>
    </row>
    <row r="13469">
      <c r="A13469" s="8" t="n"/>
      <c r="B13469" s="9" t="n"/>
    </row>
    <row r="13470">
      <c r="A13470" s="8" t="n"/>
      <c r="B13470" s="9" t="n"/>
    </row>
    <row r="13471">
      <c r="A13471" s="8" t="n"/>
      <c r="B13471" s="9" t="n"/>
    </row>
    <row r="13472">
      <c r="A13472" s="8" t="n"/>
      <c r="B13472" s="9" t="n"/>
    </row>
    <row r="13473">
      <c r="A13473" s="8" t="n"/>
      <c r="B13473" s="9" t="n"/>
    </row>
    <row r="13474">
      <c r="A13474" s="8" t="n"/>
      <c r="B13474" s="9" t="n"/>
    </row>
    <row r="13475">
      <c r="A13475" s="8" t="n"/>
      <c r="B13475" s="9" t="n"/>
    </row>
    <row r="13476">
      <c r="A13476" s="8" t="n"/>
      <c r="B13476" s="9" t="n"/>
    </row>
    <row r="13477">
      <c r="A13477" s="8" t="n"/>
      <c r="B13477" s="9" t="n"/>
    </row>
    <row r="13478">
      <c r="A13478" s="8" t="n"/>
      <c r="B13478" s="9" t="n"/>
    </row>
    <row r="13479">
      <c r="A13479" s="8" t="n"/>
      <c r="B13479" s="9" t="n"/>
    </row>
    <row r="13480">
      <c r="A13480" s="8" t="n"/>
      <c r="B13480" s="9" t="n"/>
    </row>
    <row r="13481">
      <c r="A13481" s="8" t="n"/>
      <c r="B13481" s="9" t="n"/>
    </row>
    <row r="13482">
      <c r="A13482" s="8" t="n"/>
      <c r="B13482" s="9" t="n"/>
    </row>
    <row r="13483">
      <c r="A13483" s="8" t="n"/>
      <c r="B13483" s="9" t="n"/>
    </row>
    <row r="13484">
      <c r="A13484" s="8" t="n"/>
      <c r="B13484" s="9" t="n"/>
    </row>
    <row r="13485">
      <c r="A13485" s="8" t="n"/>
      <c r="B13485" s="9" t="n"/>
    </row>
    <row r="13486">
      <c r="A13486" s="8" t="n"/>
      <c r="B13486" s="9" t="n"/>
    </row>
    <row r="13487">
      <c r="A13487" s="8" t="n"/>
      <c r="B13487" s="9" t="n"/>
    </row>
    <row r="13488">
      <c r="A13488" s="8" t="n"/>
      <c r="B13488" s="9" t="n"/>
    </row>
    <row r="13489">
      <c r="A13489" s="8" t="n"/>
      <c r="B13489" s="9" t="n"/>
    </row>
    <row r="13490">
      <c r="A13490" s="8" t="n"/>
      <c r="B13490" s="9" t="n"/>
    </row>
    <row r="13491">
      <c r="A13491" s="8" t="n"/>
      <c r="B13491" s="9" t="n"/>
    </row>
    <row r="13492">
      <c r="A13492" s="8" t="n"/>
      <c r="B13492" s="9" t="n"/>
    </row>
    <row r="13493">
      <c r="A13493" s="8" t="n"/>
      <c r="B13493" s="9" t="n"/>
    </row>
    <row r="13494">
      <c r="A13494" s="8" t="n"/>
      <c r="B13494" s="9" t="n"/>
    </row>
    <row r="13495">
      <c r="A13495" s="8" t="n"/>
      <c r="B13495" s="9" t="n"/>
    </row>
    <row r="13496">
      <c r="A13496" s="8" t="n"/>
      <c r="B13496" s="9" t="n"/>
    </row>
    <row r="13497">
      <c r="A13497" s="8" t="n"/>
      <c r="B13497" s="9" t="n"/>
    </row>
    <row r="13498">
      <c r="A13498" s="8" t="n"/>
      <c r="B13498" s="9" t="n"/>
    </row>
    <row r="13499">
      <c r="A13499" s="8" t="n"/>
      <c r="B13499" s="9" t="n"/>
    </row>
    <row r="13500">
      <c r="A13500" s="8" t="n"/>
      <c r="B13500" s="9" t="n"/>
    </row>
    <row r="13501">
      <c r="A13501" s="8" t="n"/>
      <c r="B13501" s="9" t="n"/>
    </row>
    <row r="13502">
      <c r="A13502" s="8" t="n"/>
      <c r="B13502" s="9" t="n"/>
    </row>
    <row r="13503">
      <c r="A13503" s="8" t="n"/>
      <c r="B13503" s="9" t="n"/>
    </row>
    <row r="13504">
      <c r="A13504" s="8" t="n"/>
      <c r="B13504" s="9" t="n"/>
    </row>
    <row r="13505">
      <c r="A13505" s="8" t="n"/>
      <c r="B13505" s="9" t="n"/>
    </row>
    <row r="13506">
      <c r="A13506" s="8" t="n"/>
      <c r="B13506" s="9" t="n"/>
    </row>
    <row r="13507">
      <c r="A13507" s="8" t="n"/>
      <c r="B13507" s="9" t="n"/>
    </row>
    <row r="13508">
      <c r="A13508" s="8" t="n"/>
      <c r="B13508" s="9" t="n"/>
    </row>
    <row r="13509">
      <c r="A13509" s="8" t="n"/>
      <c r="B13509" s="9" t="n"/>
    </row>
    <row r="13510">
      <c r="A13510" s="8" t="n"/>
      <c r="B13510" s="9" t="n"/>
    </row>
    <row r="13511">
      <c r="A13511" s="8" t="n"/>
      <c r="B13511" s="9" t="n"/>
    </row>
    <row r="13512">
      <c r="A13512" s="8" t="n"/>
      <c r="B13512" s="9" t="n"/>
    </row>
    <row r="13513">
      <c r="A13513" s="8" t="n"/>
      <c r="B13513" s="9" t="n"/>
    </row>
    <row r="13514">
      <c r="A13514" s="8" t="n"/>
      <c r="B13514" s="9" t="n"/>
    </row>
    <row r="13515">
      <c r="A13515" s="8" t="n"/>
      <c r="B13515" s="9" t="n"/>
    </row>
    <row r="13516">
      <c r="A13516" s="8" t="n"/>
      <c r="B13516" s="9" t="n"/>
    </row>
    <row r="13517">
      <c r="A13517" s="8" t="n"/>
      <c r="B13517" s="9" t="n"/>
    </row>
    <row r="13518">
      <c r="A13518" s="8" t="n"/>
      <c r="B13518" s="9" t="n"/>
    </row>
    <row r="13519">
      <c r="A13519" s="8" t="n"/>
      <c r="B13519" s="9" t="n"/>
    </row>
    <row r="13520">
      <c r="A13520" s="8" t="n"/>
      <c r="B13520" s="9" t="n"/>
    </row>
    <row r="13521">
      <c r="A13521" s="8" t="n"/>
      <c r="B13521" s="9" t="n"/>
    </row>
    <row r="13522">
      <c r="A13522" s="8" t="n"/>
      <c r="B13522" s="9" t="n"/>
    </row>
    <row r="13523">
      <c r="A13523" s="8" t="n"/>
      <c r="B13523" s="9" t="n"/>
    </row>
    <row r="13524">
      <c r="A13524" s="8" t="n"/>
      <c r="B13524" s="9" t="n"/>
    </row>
    <row r="13525">
      <c r="A13525" s="8" t="n"/>
      <c r="B13525" s="9" t="n"/>
    </row>
    <row r="13526">
      <c r="A13526" s="8" t="n"/>
      <c r="B13526" s="9" t="n"/>
    </row>
    <row r="13527">
      <c r="A13527" s="8" t="n"/>
      <c r="B13527" s="9" t="n"/>
    </row>
    <row r="13528">
      <c r="A13528" s="8" t="n"/>
      <c r="B13528" s="9" t="n"/>
    </row>
    <row r="13529">
      <c r="A13529" s="8" t="n"/>
      <c r="B13529" s="9" t="n"/>
    </row>
    <row r="13530">
      <c r="A13530" s="8" t="n"/>
      <c r="B13530" s="9" t="n"/>
    </row>
    <row r="13531">
      <c r="A13531" s="8" t="n"/>
      <c r="B13531" s="9" t="n"/>
    </row>
    <row r="13532">
      <c r="A13532" s="8" t="n"/>
      <c r="B13532" s="9" t="n"/>
    </row>
    <row r="13533">
      <c r="A13533" s="8" t="n"/>
      <c r="B13533" s="9" t="n"/>
    </row>
    <row r="13534">
      <c r="A13534" s="8" t="n"/>
      <c r="B13534" s="9" t="n"/>
    </row>
    <row r="13535">
      <c r="A13535" s="8" t="n"/>
      <c r="B13535" s="9" t="n"/>
    </row>
    <row r="13536">
      <c r="A13536" s="8" t="n"/>
      <c r="B13536" s="9" t="n"/>
    </row>
    <row r="13537">
      <c r="A13537" s="8" t="n"/>
      <c r="B13537" s="9" t="n"/>
    </row>
    <row r="13538">
      <c r="A13538" s="8" t="n"/>
      <c r="B13538" s="9" t="n"/>
    </row>
    <row r="13539">
      <c r="A13539" s="8" t="n"/>
      <c r="B13539" s="9" t="n"/>
    </row>
    <row r="13540">
      <c r="A13540" s="8" t="n"/>
      <c r="B13540" s="9" t="n"/>
    </row>
    <row r="13541">
      <c r="A13541" s="8" t="n"/>
      <c r="B13541" s="9" t="n"/>
    </row>
    <row r="13542">
      <c r="A13542" s="8" t="n"/>
      <c r="B13542" s="9" t="n"/>
    </row>
    <row r="13543">
      <c r="A13543" s="8" t="n"/>
      <c r="B13543" s="9" t="n"/>
    </row>
    <row r="13544">
      <c r="A13544" s="8" t="n"/>
      <c r="B13544" s="9" t="n"/>
    </row>
    <row r="13545">
      <c r="A13545" s="8" t="n"/>
      <c r="B13545" s="9" t="n"/>
    </row>
    <row r="13546">
      <c r="A13546" s="8" t="n"/>
      <c r="B13546" s="9" t="n"/>
    </row>
    <row r="13547">
      <c r="A13547" s="8" t="n"/>
      <c r="B13547" s="9" t="n"/>
    </row>
    <row r="13548">
      <c r="A13548" s="8" t="n"/>
      <c r="B13548" s="9" t="n"/>
    </row>
    <row r="13549">
      <c r="A13549" s="8" t="n"/>
      <c r="B13549" s="9" t="n"/>
    </row>
    <row r="13550">
      <c r="A13550" s="8" t="n"/>
      <c r="B13550" s="9" t="n"/>
    </row>
    <row r="13551">
      <c r="A13551" s="8" t="n"/>
      <c r="B13551" s="9" t="n"/>
    </row>
    <row r="13552">
      <c r="A13552" s="8" t="n"/>
      <c r="B13552" s="9" t="n"/>
    </row>
    <row r="13553">
      <c r="A13553" s="8" t="n"/>
      <c r="B13553" s="9" t="n"/>
    </row>
    <row r="13554">
      <c r="A13554" s="8" t="n"/>
      <c r="B13554" s="9" t="n"/>
    </row>
    <row r="13555">
      <c r="A13555" s="8" t="n"/>
      <c r="B13555" s="9" t="n"/>
    </row>
    <row r="13556">
      <c r="A13556" s="8" t="n"/>
      <c r="B13556" s="9" t="n"/>
    </row>
    <row r="13557">
      <c r="A13557" s="8" t="n"/>
      <c r="B13557" s="9" t="n"/>
    </row>
    <row r="13558">
      <c r="A13558" s="8" t="n"/>
      <c r="B13558" s="9" t="n"/>
    </row>
    <row r="13559">
      <c r="A13559" s="8" t="n"/>
      <c r="B13559" s="9" t="n"/>
    </row>
    <row r="13560">
      <c r="A13560" s="8" t="n"/>
      <c r="B13560" s="9" t="n"/>
    </row>
    <row r="13561">
      <c r="A13561" s="8" t="n"/>
      <c r="B13561" s="9" t="n"/>
    </row>
    <row r="13562">
      <c r="A13562" s="8" t="n"/>
      <c r="B13562" s="9" t="n"/>
    </row>
    <row r="13563">
      <c r="A13563" s="8" t="n"/>
      <c r="B13563" s="9" t="n"/>
    </row>
    <row r="13564">
      <c r="A13564" s="8" t="n"/>
      <c r="B13564" s="9" t="n"/>
    </row>
    <row r="13565">
      <c r="A13565" s="8" t="n"/>
      <c r="B13565" s="9" t="n"/>
    </row>
    <row r="13566">
      <c r="A13566" s="8" t="n"/>
      <c r="B13566" s="9" t="n"/>
    </row>
    <row r="13567">
      <c r="A13567" s="8" t="n"/>
      <c r="B13567" s="9" t="n"/>
    </row>
    <row r="13568">
      <c r="A13568" s="8" t="n"/>
      <c r="B13568" s="9" t="n"/>
    </row>
    <row r="13569">
      <c r="A13569" s="8" t="n"/>
      <c r="B13569" s="9" t="n"/>
    </row>
    <row r="13570">
      <c r="A13570" s="8" t="n"/>
      <c r="B13570" s="9" t="n"/>
    </row>
    <row r="13571">
      <c r="A13571" s="8" t="n"/>
      <c r="B13571" s="9" t="n"/>
    </row>
    <row r="13572">
      <c r="A13572" s="8" t="n"/>
      <c r="B13572" s="9" t="n"/>
    </row>
    <row r="13573">
      <c r="A13573" s="8" t="n"/>
      <c r="B13573" s="9" t="n"/>
    </row>
    <row r="13574">
      <c r="A13574" s="8" t="n"/>
      <c r="B13574" s="9" t="n"/>
    </row>
    <row r="13575">
      <c r="A13575" s="8" t="n"/>
      <c r="B13575" s="9" t="n"/>
    </row>
    <row r="13576">
      <c r="A13576" s="8" t="n"/>
      <c r="B13576" s="9" t="n"/>
    </row>
    <row r="13577">
      <c r="A13577" s="8" t="n"/>
      <c r="B13577" s="9" t="n"/>
    </row>
    <row r="13578">
      <c r="A13578" s="8" t="n"/>
      <c r="B13578" s="9" t="n"/>
    </row>
    <row r="13579">
      <c r="A13579" s="8" t="n"/>
      <c r="B13579" s="9" t="n"/>
    </row>
    <row r="13580">
      <c r="A13580" s="8" t="n"/>
      <c r="B13580" s="9" t="n"/>
    </row>
    <row r="13581">
      <c r="A13581" s="8" t="n"/>
      <c r="B13581" s="9" t="n"/>
    </row>
    <row r="13582">
      <c r="A13582" s="8" t="n"/>
      <c r="B13582" s="9" t="n"/>
    </row>
    <row r="13583">
      <c r="A13583" s="8" t="n"/>
      <c r="B13583" s="9" t="n"/>
    </row>
    <row r="13584">
      <c r="A13584" s="8" t="n"/>
      <c r="B13584" s="9" t="n"/>
    </row>
    <row r="13585">
      <c r="A13585" s="8" t="n"/>
      <c r="B13585" s="9" t="n"/>
    </row>
    <row r="13586">
      <c r="A13586" s="8" t="n"/>
      <c r="B13586" s="9" t="n"/>
    </row>
    <row r="13587">
      <c r="A13587" s="8" t="n"/>
      <c r="B13587" s="9" t="n"/>
    </row>
    <row r="13588">
      <c r="A13588" s="8" t="n"/>
      <c r="B13588" s="9" t="n"/>
    </row>
    <row r="13589">
      <c r="A13589" s="8" t="n"/>
      <c r="B13589" s="9" t="n"/>
    </row>
    <row r="13590">
      <c r="A13590" s="8" t="n"/>
      <c r="B13590" s="9" t="n"/>
    </row>
    <row r="13591">
      <c r="A13591" s="8" t="n"/>
      <c r="B13591" s="9" t="n"/>
    </row>
    <row r="13592">
      <c r="A13592" s="8" t="n"/>
      <c r="B13592" s="9" t="n"/>
    </row>
    <row r="13593">
      <c r="A13593" s="8" t="n"/>
      <c r="B13593" s="9" t="n"/>
    </row>
    <row r="13594">
      <c r="A13594" s="8" t="n"/>
      <c r="B13594" s="9" t="n"/>
    </row>
    <row r="13595">
      <c r="A13595" s="8" t="n"/>
      <c r="B13595" s="9" t="n"/>
    </row>
    <row r="13596">
      <c r="A13596" s="8" t="n"/>
      <c r="B13596" s="9" t="n"/>
    </row>
    <row r="13597">
      <c r="A13597" s="8" t="n"/>
      <c r="B13597" s="9" t="n"/>
    </row>
    <row r="13598">
      <c r="A13598" s="8" t="n"/>
      <c r="B13598" s="9" t="n"/>
    </row>
    <row r="13599">
      <c r="A13599" s="8" t="n"/>
      <c r="B13599" s="9" t="n"/>
    </row>
    <row r="13600">
      <c r="A13600" s="8" t="n"/>
      <c r="B13600" s="9" t="n"/>
    </row>
    <row r="13601">
      <c r="A13601" s="8" t="n"/>
      <c r="B13601" s="9" t="n"/>
    </row>
    <row r="13602">
      <c r="A13602" s="8" t="n"/>
      <c r="B13602" s="9" t="n"/>
    </row>
    <row r="13603">
      <c r="A13603" s="8" t="n"/>
      <c r="B13603" s="9" t="n"/>
    </row>
    <row r="13604">
      <c r="A13604" s="8" t="n"/>
      <c r="B13604" s="9" t="n"/>
    </row>
    <row r="13605">
      <c r="A13605" s="8" t="n"/>
      <c r="B13605" s="9" t="n"/>
    </row>
    <row r="13606">
      <c r="A13606" s="8" t="n"/>
      <c r="B13606" s="9" t="n"/>
    </row>
    <row r="13607">
      <c r="A13607" s="8" t="n"/>
      <c r="B13607" s="9" t="n"/>
    </row>
    <row r="13608">
      <c r="A13608" s="8" t="n"/>
      <c r="B13608" s="9" t="n"/>
    </row>
    <row r="13609">
      <c r="A13609" s="8" t="n"/>
      <c r="B13609" s="9" t="n"/>
    </row>
    <row r="13610">
      <c r="A13610" s="8" t="n"/>
      <c r="B13610" s="9" t="n"/>
    </row>
    <row r="13611">
      <c r="A13611" s="8" t="n"/>
      <c r="B13611" s="9" t="n"/>
    </row>
    <row r="13612">
      <c r="A13612" s="8" t="n"/>
      <c r="B13612" s="9" t="n"/>
    </row>
    <row r="13613">
      <c r="A13613" s="8" t="n"/>
      <c r="B13613" s="9" t="n"/>
    </row>
    <row r="13614">
      <c r="A13614" s="8" t="n"/>
      <c r="B13614" s="9" t="n"/>
    </row>
    <row r="13615">
      <c r="A13615" s="8" t="n"/>
      <c r="B13615" s="9" t="n"/>
    </row>
    <row r="13616">
      <c r="A13616" s="8" t="n"/>
      <c r="B13616" s="9" t="n"/>
    </row>
    <row r="13617">
      <c r="A13617" s="8" t="n"/>
      <c r="B13617" s="9" t="n"/>
    </row>
    <row r="13618">
      <c r="A13618" s="8" t="n"/>
      <c r="B13618" s="9" t="n"/>
    </row>
    <row r="13619">
      <c r="A13619" s="8" t="n"/>
      <c r="B13619" s="9" t="n"/>
    </row>
    <row r="13620">
      <c r="A13620" s="8" t="n"/>
      <c r="B13620" s="9" t="n"/>
    </row>
    <row r="13621">
      <c r="A13621" s="8" t="n"/>
      <c r="B13621" s="9" t="n"/>
    </row>
    <row r="13622">
      <c r="A13622" s="8" t="n"/>
      <c r="B13622" s="9" t="n"/>
    </row>
    <row r="13623">
      <c r="A13623" s="8" t="n"/>
      <c r="B13623" s="9" t="n"/>
    </row>
    <row r="13624">
      <c r="A13624" s="8" t="n"/>
      <c r="B13624" s="9" t="n"/>
    </row>
    <row r="13625">
      <c r="A13625" s="8" t="n"/>
      <c r="B13625" s="9" t="n"/>
    </row>
    <row r="13626">
      <c r="A13626" s="8" t="n"/>
      <c r="B13626" s="9" t="n"/>
    </row>
    <row r="13627">
      <c r="A13627" s="8" t="n"/>
      <c r="B13627" s="9" t="n"/>
    </row>
    <row r="13628">
      <c r="A13628" s="8" t="n"/>
      <c r="B13628" s="9" t="n"/>
    </row>
    <row r="13629">
      <c r="A13629" s="8" t="n"/>
      <c r="B13629" s="9" t="n"/>
    </row>
    <row r="13630">
      <c r="A13630" s="8" t="n"/>
      <c r="B13630" s="9" t="n"/>
    </row>
    <row r="13631">
      <c r="A13631" s="8" t="n"/>
      <c r="B13631" s="9" t="n"/>
    </row>
    <row r="13632">
      <c r="A13632" s="8" t="n"/>
      <c r="B13632" s="9" t="n"/>
    </row>
    <row r="13633">
      <c r="A13633" s="8" t="n"/>
      <c r="B13633" s="9" t="n"/>
    </row>
    <row r="13634">
      <c r="A13634" s="8" t="n"/>
      <c r="B13634" s="9" t="n"/>
    </row>
    <row r="13635">
      <c r="A13635" s="8" t="n"/>
      <c r="B13635" s="9" t="n"/>
    </row>
    <row r="13636">
      <c r="A13636" s="8" t="n"/>
      <c r="B13636" s="9" t="n"/>
    </row>
    <row r="13637">
      <c r="A13637" s="8" t="n"/>
      <c r="B13637" s="9" t="n"/>
    </row>
    <row r="13638">
      <c r="A13638" s="8" t="n"/>
      <c r="B13638" s="9" t="n"/>
    </row>
    <row r="13639">
      <c r="A13639" s="8" t="n"/>
      <c r="B13639" s="9" t="n"/>
    </row>
    <row r="13640">
      <c r="A13640" s="8" t="n"/>
      <c r="B13640" s="9" t="n"/>
    </row>
    <row r="13641">
      <c r="A13641" s="8" t="n"/>
      <c r="B13641" s="9" t="n"/>
    </row>
    <row r="13642">
      <c r="A13642" s="8" t="n"/>
      <c r="B13642" s="9" t="n"/>
    </row>
    <row r="13643">
      <c r="A13643" s="8" t="n"/>
      <c r="B13643" s="9" t="n"/>
    </row>
    <row r="13644">
      <c r="A13644" s="8" t="n"/>
      <c r="B13644" s="9" t="n"/>
    </row>
    <row r="13645">
      <c r="A13645" s="8" t="n"/>
      <c r="B13645" s="9" t="n"/>
    </row>
    <row r="13646">
      <c r="A13646" s="8" t="n"/>
      <c r="B13646" s="9" t="n"/>
    </row>
    <row r="13647">
      <c r="A13647" s="8" t="n"/>
      <c r="B13647" s="9" t="n"/>
    </row>
    <row r="13648">
      <c r="A13648" s="8" t="n"/>
      <c r="B13648" s="9" t="n"/>
    </row>
    <row r="13649">
      <c r="A13649" s="8" t="n"/>
      <c r="B13649" s="9" t="n"/>
    </row>
    <row r="13650">
      <c r="A13650" s="8" t="n"/>
      <c r="B13650" s="9" t="n"/>
    </row>
    <row r="13651">
      <c r="A13651" s="8" t="n"/>
      <c r="B13651" s="9" t="n"/>
    </row>
    <row r="13652">
      <c r="A13652" s="8" t="n"/>
      <c r="B13652" s="9" t="n"/>
    </row>
    <row r="13653">
      <c r="A13653" s="8" t="n"/>
      <c r="B13653" s="9" t="n"/>
    </row>
    <row r="13654">
      <c r="A13654" s="8" t="n"/>
      <c r="B13654" s="9" t="n"/>
    </row>
    <row r="13655">
      <c r="A13655" s="8" t="n"/>
      <c r="B13655" s="9" t="n"/>
    </row>
    <row r="13656">
      <c r="A13656" s="8" t="n"/>
      <c r="B13656" s="9" t="n"/>
    </row>
    <row r="13657">
      <c r="A13657" s="8" t="n"/>
      <c r="B13657" s="9" t="n"/>
    </row>
    <row r="13658">
      <c r="A13658" s="8" t="n"/>
      <c r="B13658" s="9" t="n"/>
    </row>
    <row r="13659">
      <c r="A13659" s="8" t="n"/>
      <c r="B13659" s="9" t="n"/>
    </row>
    <row r="13660">
      <c r="A13660" s="8" t="n"/>
      <c r="B13660" s="9" t="n"/>
    </row>
    <row r="13661">
      <c r="A13661" s="8" t="n"/>
      <c r="B13661" s="9" t="n"/>
    </row>
    <row r="13662">
      <c r="A13662" s="8" t="n"/>
      <c r="B13662" s="9" t="n"/>
    </row>
    <row r="13663">
      <c r="A13663" s="8" t="n"/>
      <c r="B13663" s="9" t="n"/>
    </row>
    <row r="13664">
      <c r="A13664" s="8" t="n"/>
      <c r="B13664" s="9" t="n"/>
    </row>
    <row r="13665">
      <c r="A13665" s="8" t="n"/>
      <c r="B13665" s="9" t="n"/>
    </row>
    <row r="13666">
      <c r="A13666" s="8" t="n"/>
      <c r="B13666" s="9" t="n"/>
    </row>
    <row r="13667">
      <c r="A13667" s="8" t="n"/>
      <c r="B13667" s="9" t="n"/>
    </row>
    <row r="13668">
      <c r="A13668" s="8" t="n"/>
      <c r="B13668" s="9" t="n"/>
    </row>
    <row r="13669">
      <c r="A13669" s="8" t="n"/>
      <c r="B13669" s="9" t="n"/>
    </row>
    <row r="13670">
      <c r="A13670" s="8" t="n"/>
      <c r="B13670" s="9" t="n"/>
    </row>
    <row r="13671">
      <c r="A13671" s="8" t="n"/>
      <c r="B13671" s="9" t="n"/>
    </row>
    <row r="13672">
      <c r="A13672" s="8" t="n"/>
      <c r="B13672" s="9" t="n"/>
    </row>
    <row r="13673">
      <c r="A13673" s="8" t="n"/>
      <c r="B13673" s="9" t="n"/>
    </row>
    <row r="13674">
      <c r="A13674" s="8" t="n"/>
      <c r="B13674" s="9" t="n"/>
    </row>
    <row r="13675">
      <c r="A13675" s="8" t="n"/>
      <c r="B13675" s="9" t="n"/>
    </row>
    <row r="13676">
      <c r="A13676" s="8" t="n"/>
      <c r="B13676" s="9" t="n"/>
    </row>
    <row r="13677">
      <c r="A13677" s="8" t="n"/>
      <c r="B13677" s="9" t="n"/>
    </row>
    <row r="13678">
      <c r="A13678" s="8" t="n"/>
      <c r="B13678" s="9" t="n"/>
    </row>
    <row r="13679">
      <c r="A13679" s="8" t="n"/>
      <c r="B13679" s="9" t="n"/>
    </row>
    <row r="13680">
      <c r="A13680" s="8" t="n"/>
      <c r="B13680" s="9" t="n"/>
    </row>
    <row r="13681">
      <c r="A13681" s="8" t="n"/>
      <c r="B13681" s="9" t="n"/>
    </row>
    <row r="13682">
      <c r="A13682" s="8" t="n"/>
      <c r="B13682" s="9" t="n"/>
    </row>
    <row r="13683">
      <c r="A13683" s="8" t="n"/>
      <c r="B13683" s="9" t="n"/>
    </row>
    <row r="13684">
      <c r="A13684" s="8" t="n"/>
      <c r="B13684" s="9" t="n"/>
    </row>
    <row r="13685">
      <c r="A13685" s="8" t="n"/>
      <c r="B13685" s="9" t="n"/>
    </row>
    <row r="13686">
      <c r="A13686" s="8" t="n"/>
      <c r="B13686" s="9" t="n"/>
    </row>
    <row r="13687">
      <c r="A13687" s="8" t="n"/>
      <c r="B13687" s="9" t="n"/>
    </row>
    <row r="13688">
      <c r="A13688" s="8" t="n"/>
      <c r="B13688" s="9" t="n"/>
    </row>
    <row r="13689">
      <c r="A13689" s="8" t="n"/>
      <c r="B13689" s="9" t="n"/>
    </row>
    <row r="13690">
      <c r="A13690" s="8" t="n"/>
      <c r="B13690" s="9" t="n"/>
    </row>
    <row r="13691">
      <c r="A13691" s="8" t="n"/>
      <c r="B13691" s="9" t="n"/>
    </row>
    <row r="13692">
      <c r="A13692" s="8" t="n"/>
      <c r="B13692" s="9" t="n"/>
    </row>
    <row r="13693">
      <c r="A13693" s="8" t="n"/>
      <c r="B13693" s="9" t="n"/>
    </row>
    <row r="13694">
      <c r="A13694" s="8" t="n"/>
      <c r="B13694" s="9" t="n"/>
    </row>
    <row r="13695">
      <c r="A13695" s="8" t="n"/>
      <c r="B13695" s="9" t="n"/>
    </row>
    <row r="13696">
      <c r="A13696" s="8" t="n"/>
      <c r="B13696" s="9" t="n"/>
    </row>
    <row r="13697">
      <c r="A13697" s="8" t="n"/>
      <c r="B13697" s="9" t="n"/>
    </row>
    <row r="13698">
      <c r="A13698" s="8" t="n"/>
      <c r="B13698" s="9" t="n"/>
    </row>
    <row r="13699">
      <c r="A13699" s="8" t="n"/>
      <c r="B13699" s="9" t="n"/>
    </row>
    <row r="13700">
      <c r="A13700" s="8" t="n"/>
      <c r="B13700" s="9" t="n"/>
    </row>
    <row r="13701">
      <c r="A13701" s="8" t="n"/>
      <c r="B13701" s="9" t="n"/>
    </row>
    <row r="13702">
      <c r="A13702" s="8" t="n"/>
      <c r="B13702" s="9" t="n"/>
    </row>
    <row r="13703">
      <c r="A13703" s="8" t="n"/>
      <c r="B13703" s="9" t="n"/>
    </row>
    <row r="13704">
      <c r="A13704" s="8" t="n"/>
      <c r="B13704" s="9" t="n"/>
    </row>
    <row r="13705">
      <c r="A13705" s="8" t="n"/>
      <c r="B13705" s="9" t="n"/>
    </row>
    <row r="13706">
      <c r="A13706" s="8" t="n"/>
      <c r="B13706" s="9" t="n"/>
    </row>
    <row r="13707">
      <c r="A13707" s="8" t="n"/>
      <c r="B13707" s="9" t="n"/>
    </row>
    <row r="13708">
      <c r="A13708" s="8" t="n"/>
      <c r="B13708" s="9" t="n"/>
    </row>
    <row r="13709">
      <c r="A13709" s="8" t="n"/>
      <c r="B13709" s="9" t="n"/>
    </row>
    <row r="13710">
      <c r="A13710" s="8" t="n"/>
      <c r="B13710" s="9" t="n"/>
    </row>
    <row r="13711">
      <c r="A13711" s="8" t="n"/>
      <c r="B13711" s="9" t="n"/>
    </row>
    <row r="13712">
      <c r="A13712" s="8" t="n"/>
      <c r="B13712" s="9" t="n"/>
    </row>
    <row r="13713">
      <c r="A13713" s="8" t="n"/>
      <c r="B13713" s="9" t="n"/>
    </row>
    <row r="13714">
      <c r="A13714" s="8" t="n"/>
      <c r="B13714" s="9" t="n"/>
    </row>
    <row r="13715">
      <c r="A13715" s="8" t="n"/>
      <c r="B13715" s="9" t="n"/>
    </row>
    <row r="13716">
      <c r="A13716" s="8" t="n"/>
      <c r="B13716" s="9" t="n"/>
    </row>
    <row r="13717">
      <c r="A13717" s="8" t="n"/>
      <c r="B13717" s="9" t="n"/>
    </row>
    <row r="13718">
      <c r="A13718" s="8" t="n"/>
      <c r="B13718" s="9" t="n"/>
    </row>
    <row r="13719">
      <c r="A13719" s="8" t="n"/>
      <c r="B13719" s="9" t="n"/>
    </row>
    <row r="13720">
      <c r="A13720" s="8" t="n"/>
      <c r="B13720" s="9" t="n"/>
    </row>
    <row r="13721">
      <c r="A13721" s="8" t="n"/>
      <c r="B13721" s="9" t="n"/>
    </row>
    <row r="13722">
      <c r="A13722" s="8" t="n"/>
      <c r="B13722" s="9" t="n"/>
    </row>
    <row r="13723">
      <c r="A13723" s="8" t="n"/>
      <c r="B13723" s="9" t="n"/>
    </row>
    <row r="13724">
      <c r="A13724" s="8" t="n"/>
      <c r="B13724" s="9" t="n"/>
    </row>
    <row r="13725">
      <c r="A13725" s="8" t="n"/>
      <c r="B13725" s="9" t="n"/>
    </row>
    <row r="13726">
      <c r="A13726" s="8" t="n"/>
      <c r="B13726" s="9" t="n"/>
    </row>
    <row r="13727">
      <c r="A13727" s="8" t="n"/>
      <c r="B13727" s="9" t="n"/>
    </row>
    <row r="13728">
      <c r="A13728" s="8" t="n"/>
      <c r="B13728" s="9" t="n"/>
    </row>
    <row r="13729">
      <c r="A13729" s="8" t="n"/>
      <c r="B13729" s="9" t="n"/>
    </row>
    <row r="13730">
      <c r="A13730" s="8" t="n"/>
      <c r="B13730" s="9" t="n"/>
    </row>
    <row r="13731">
      <c r="A13731" s="8" t="n"/>
      <c r="B13731" s="9" t="n"/>
    </row>
    <row r="13732">
      <c r="A13732" s="8" t="n"/>
      <c r="B13732" s="9" t="n"/>
    </row>
    <row r="13733">
      <c r="A13733" s="8" t="n"/>
      <c r="B13733" s="9" t="n"/>
    </row>
    <row r="13734">
      <c r="A13734" s="8" t="n"/>
      <c r="B13734" s="9" t="n"/>
    </row>
    <row r="13735">
      <c r="A13735" s="8" t="n"/>
      <c r="B13735" s="9" t="n"/>
    </row>
    <row r="13736">
      <c r="A13736" s="8" t="n"/>
      <c r="B13736" s="9" t="n"/>
    </row>
    <row r="13737">
      <c r="A13737" s="8" t="n"/>
      <c r="B13737" s="9" t="n"/>
    </row>
    <row r="13738">
      <c r="A13738" s="8" t="n"/>
      <c r="B13738" s="9" t="n"/>
    </row>
    <row r="13739">
      <c r="A13739" s="8" t="n"/>
      <c r="B13739" s="9" t="n"/>
    </row>
    <row r="13740">
      <c r="A13740" s="8" t="n"/>
      <c r="B13740" s="9" t="n"/>
    </row>
    <row r="13741">
      <c r="A13741" s="8" t="n"/>
      <c r="B13741" s="9" t="n"/>
    </row>
    <row r="13742">
      <c r="A13742" s="8" t="n"/>
      <c r="B13742" s="9" t="n"/>
    </row>
    <row r="13743">
      <c r="A13743" s="8" t="n"/>
      <c r="B13743" s="9" t="n"/>
    </row>
    <row r="13744">
      <c r="A13744" s="8" t="n"/>
      <c r="B13744" s="9" t="n"/>
    </row>
    <row r="13745">
      <c r="A13745" s="8" t="n"/>
      <c r="B13745" s="9" t="n"/>
    </row>
    <row r="13746">
      <c r="A13746" s="8" t="n"/>
      <c r="B13746" s="9" t="n"/>
    </row>
    <row r="13747">
      <c r="A13747" s="8" t="n"/>
      <c r="B13747" s="9" t="n"/>
    </row>
    <row r="13748">
      <c r="A13748" s="8" t="n"/>
      <c r="B13748" s="9" t="n"/>
    </row>
    <row r="13749">
      <c r="A13749" s="8" t="n"/>
      <c r="B13749" s="9" t="n"/>
    </row>
    <row r="13750">
      <c r="A13750" s="8" t="n"/>
      <c r="B13750" s="9" t="n"/>
    </row>
    <row r="13751">
      <c r="A13751" s="8" t="n"/>
      <c r="B13751" s="9" t="n"/>
    </row>
    <row r="13752">
      <c r="A13752" s="8" t="n"/>
      <c r="B13752" s="9" t="n"/>
    </row>
    <row r="13753">
      <c r="A13753" s="8" t="n"/>
      <c r="B13753" s="9" t="n"/>
    </row>
    <row r="13754">
      <c r="A13754" s="8" t="n"/>
      <c r="B13754" s="9" t="n"/>
    </row>
    <row r="13755">
      <c r="A13755" s="8" t="n"/>
      <c r="B13755" s="9" t="n"/>
    </row>
    <row r="13756">
      <c r="A13756" s="8" t="n"/>
      <c r="B13756" s="9" t="n"/>
    </row>
    <row r="13757">
      <c r="A13757" s="8" t="n"/>
      <c r="B13757" s="9" t="n"/>
    </row>
    <row r="13758">
      <c r="A13758" s="8" t="n"/>
      <c r="B13758" s="9" t="n"/>
    </row>
    <row r="13759">
      <c r="A13759" s="8" t="n"/>
      <c r="B13759" s="9" t="n"/>
    </row>
    <row r="13760">
      <c r="A13760" s="8" t="n"/>
      <c r="B13760" s="9" t="n"/>
    </row>
    <row r="13761">
      <c r="A13761" s="8" t="n"/>
      <c r="B13761" s="9" t="n"/>
    </row>
    <row r="13762">
      <c r="A13762" s="8" t="n"/>
      <c r="B13762" s="9" t="n"/>
    </row>
    <row r="13763">
      <c r="A13763" s="8" t="n"/>
      <c r="B13763" s="9" t="n"/>
    </row>
    <row r="13764">
      <c r="A13764" s="8" t="n"/>
      <c r="B13764" s="9" t="n"/>
    </row>
    <row r="13765">
      <c r="A13765" s="8" t="n"/>
      <c r="B13765" s="9" t="n"/>
    </row>
    <row r="13766">
      <c r="A13766" s="8" t="n"/>
      <c r="B13766" s="9" t="n"/>
    </row>
    <row r="13767">
      <c r="A13767" s="8" t="n"/>
      <c r="B13767" s="9" t="n"/>
    </row>
    <row r="13768">
      <c r="A13768" s="8" t="n"/>
      <c r="B13768" s="9" t="n"/>
    </row>
    <row r="13769">
      <c r="A13769" s="8" t="n"/>
      <c r="B13769" s="9" t="n"/>
    </row>
    <row r="13770">
      <c r="A13770" s="8" t="n"/>
      <c r="B13770" s="9" t="n"/>
    </row>
    <row r="13771">
      <c r="A13771" s="8" t="n"/>
      <c r="B13771" s="9" t="n"/>
    </row>
    <row r="13772">
      <c r="A13772" s="8" t="n"/>
      <c r="B13772" s="9" t="n"/>
    </row>
    <row r="13773">
      <c r="A13773" s="8" t="n"/>
      <c r="B13773" s="9" t="n"/>
    </row>
    <row r="13774">
      <c r="A13774" s="8" t="n"/>
      <c r="B13774" s="9" t="n"/>
    </row>
    <row r="13775">
      <c r="A13775" s="8" t="n"/>
      <c r="B13775" s="9" t="n"/>
    </row>
    <row r="13776">
      <c r="A13776" s="8" t="n"/>
      <c r="B13776" s="9" t="n"/>
    </row>
    <row r="13777">
      <c r="A13777" s="8" t="n"/>
      <c r="B13777" s="9" t="n"/>
    </row>
    <row r="13778">
      <c r="A13778" s="8" t="n"/>
      <c r="B13778" s="9" t="n"/>
    </row>
    <row r="13779">
      <c r="A13779" s="8" t="n"/>
      <c r="B13779" s="9" t="n"/>
    </row>
    <row r="13780">
      <c r="A13780" s="8" t="n"/>
      <c r="B13780" s="9" t="n"/>
    </row>
    <row r="13781">
      <c r="A13781" s="8" t="n"/>
      <c r="B13781" s="9" t="n"/>
    </row>
    <row r="13782">
      <c r="A13782" s="8" t="n"/>
      <c r="B13782" s="9" t="n"/>
    </row>
    <row r="13783">
      <c r="A13783" s="8" t="n"/>
      <c r="B13783" s="9" t="n"/>
    </row>
    <row r="13784">
      <c r="A13784" s="8" t="n"/>
      <c r="B13784" s="9" t="n"/>
    </row>
    <row r="13785">
      <c r="A13785" s="8" t="n"/>
      <c r="B13785" s="9" t="n"/>
    </row>
    <row r="13786">
      <c r="A13786" s="8" t="n"/>
      <c r="B13786" s="9" t="n"/>
    </row>
    <row r="13787">
      <c r="A13787" s="8" t="n"/>
      <c r="B13787" s="9" t="n"/>
    </row>
    <row r="13788">
      <c r="A13788" s="8" t="n"/>
      <c r="B13788" s="9" t="n"/>
    </row>
    <row r="13789">
      <c r="A13789" s="8" t="n"/>
      <c r="B13789" s="9" t="n"/>
    </row>
    <row r="13790">
      <c r="A13790" s="8" t="n"/>
      <c r="B13790" s="9" t="n"/>
    </row>
    <row r="13791">
      <c r="A13791" s="8" t="n"/>
      <c r="B13791" s="9" t="n"/>
    </row>
    <row r="13792">
      <c r="A13792" s="8" t="n"/>
      <c r="B13792" s="9" t="n"/>
    </row>
    <row r="13793">
      <c r="A13793" s="8" t="n"/>
      <c r="B13793" s="9" t="n"/>
    </row>
    <row r="13794">
      <c r="A13794" s="8" t="n"/>
      <c r="B13794" s="9" t="n"/>
    </row>
    <row r="13795">
      <c r="A13795" s="8" t="n"/>
      <c r="B13795" s="9" t="n"/>
    </row>
    <row r="13796">
      <c r="A13796" s="8" t="n"/>
      <c r="B13796" s="9" t="n"/>
    </row>
    <row r="13797">
      <c r="A13797" s="8" t="n"/>
      <c r="B13797" s="9" t="n"/>
    </row>
    <row r="13798">
      <c r="A13798" s="8" t="n"/>
      <c r="B13798" s="9" t="n"/>
    </row>
    <row r="13799">
      <c r="A13799" s="8" t="n"/>
      <c r="B13799" s="9" t="n"/>
    </row>
    <row r="13800">
      <c r="A13800" s="8" t="n"/>
      <c r="B13800" s="9" t="n"/>
    </row>
    <row r="13801">
      <c r="A13801" s="8" t="n"/>
      <c r="B13801" s="9" t="n"/>
    </row>
    <row r="13802">
      <c r="A13802" s="8" t="n"/>
      <c r="B13802" s="9" t="n"/>
    </row>
    <row r="13803">
      <c r="A13803" s="8" t="n"/>
      <c r="B13803" s="9" t="n"/>
    </row>
    <row r="13804">
      <c r="A13804" s="8" t="n"/>
      <c r="B13804" s="9" t="n"/>
    </row>
    <row r="13805">
      <c r="A13805" s="8" t="n"/>
      <c r="B13805" s="9" t="n"/>
    </row>
    <row r="13806">
      <c r="A13806" s="8" t="n"/>
      <c r="B13806" s="9" t="n"/>
    </row>
    <row r="13807">
      <c r="A13807" s="8" t="n"/>
      <c r="B13807" s="9" t="n"/>
    </row>
    <row r="13808">
      <c r="A13808" s="8" t="n"/>
      <c r="B13808" s="9" t="n"/>
    </row>
    <row r="13809">
      <c r="A13809" s="8" t="n"/>
      <c r="B13809" s="9" t="n"/>
    </row>
    <row r="13810">
      <c r="A13810" s="8" t="n"/>
      <c r="B13810" s="9" t="n"/>
    </row>
    <row r="13811">
      <c r="A13811" s="8" t="n"/>
      <c r="B13811" s="9" t="n"/>
    </row>
    <row r="13812">
      <c r="A13812" s="8" t="n"/>
      <c r="B13812" s="9" t="n"/>
    </row>
    <row r="13813">
      <c r="A13813" s="8" t="n"/>
      <c r="B13813" s="9" t="n"/>
    </row>
    <row r="13814">
      <c r="A13814" s="8" t="n"/>
      <c r="B13814" s="9" t="n"/>
    </row>
    <row r="13815">
      <c r="A13815" s="8" t="n"/>
      <c r="B13815" s="9" t="n"/>
    </row>
    <row r="13816">
      <c r="A13816" s="8" t="n"/>
      <c r="B13816" s="9" t="n"/>
    </row>
    <row r="13817">
      <c r="A13817" s="8" t="n"/>
      <c r="B13817" s="9" t="n"/>
    </row>
    <row r="13818">
      <c r="A13818" s="8" t="n"/>
      <c r="B13818" s="9" t="n"/>
    </row>
    <row r="13819">
      <c r="A13819" s="8" t="n"/>
      <c r="B13819" s="9" t="n"/>
    </row>
    <row r="13820">
      <c r="A13820" s="8" t="n"/>
      <c r="B13820" s="9" t="n"/>
    </row>
    <row r="13821">
      <c r="A13821" s="8" t="n"/>
      <c r="B13821" s="9" t="n"/>
    </row>
    <row r="13822">
      <c r="A13822" s="8" t="n"/>
      <c r="B13822" s="9" t="n"/>
    </row>
    <row r="13823">
      <c r="A13823" s="8" t="n"/>
      <c r="B13823" s="9" t="n"/>
    </row>
    <row r="13824">
      <c r="A13824" s="8" t="n"/>
      <c r="B13824" s="9" t="n"/>
    </row>
    <row r="13825">
      <c r="A13825" s="8" t="n"/>
      <c r="B13825" s="9" t="n"/>
    </row>
    <row r="13826">
      <c r="A13826" s="8" t="n"/>
      <c r="B13826" s="9" t="n"/>
    </row>
    <row r="13827">
      <c r="A13827" s="8" t="n"/>
      <c r="B13827" s="9" t="n"/>
    </row>
    <row r="13828">
      <c r="A13828" s="8" t="n"/>
      <c r="B13828" s="9" t="n"/>
    </row>
    <row r="13829">
      <c r="A13829" s="8" t="n"/>
      <c r="B13829" s="9" t="n"/>
    </row>
    <row r="13830">
      <c r="A13830" s="8" t="n"/>
      <c r="B13830" s="9" t="n"/>
    </row>
    <row r="13831">
      <c r="A13831" s="8" t="n"/>
      <c r="B13831" s="9" t="n"/>
    </row>
    <row r="13832">
      <c r="A13832" s="8" t="n"/>
      <c r="B13832" s="9" t="n"/>
    </row>
    <row r="13833">
      <c r="A13833" s="8" t="n"/>
      <c r="B13833" s="9" t="n"/>
    </row>
    <row r="13834">
      <c r="A13834" s="8" t="n"/>
      <c r="B13834" s="9" t="n"/>
    </row>
    <row r="13835">
      <c r="A13835" s="8" t="n"/>
      <c r="B13835" s="9" t="n"/>
    </row>
    <row r="13836">
      <c r="A13836" s="8" t="n"/>
      <c r="B13836" s="9" t="n"/>
    </row>
    <row r="13837">
      <c r="A13837" s="8" t="n"/>
      <c r="B13837" s="9" t="n"/>
    </row>
    <row r="13838">
      <c r="A13838" s="8" t="n"/>
      <c r="B13838" s="9" t="n"/>
    </row>
    <row r="13839">
      <c r="A13839" s="8" t="n"/>
      <c r="B13839" s="9" t="n"/>
    </row>
    <row r="13840">
      <c r="A13840" s="8" t="n"/>
      <c r="B13840" s="9" t="n"/>
    </row>
    <row r="13841">
      <c r="A13841" s="8" t="n"/>
      <c r="B13841" s="9" t="n"/>
    </row>
    <row r="13842">
      <c r="A13842" s="8" t="n"/>
      <c r="B13842" s="9" t="n"/>
    </row>
    <row r="13843">
      <c r="A13843" s="8" t="n"/>
      <c r="B13843" s="9" t="n"/>
    </row>
    <row r="13844">
      <c r="A13844" s="8" t="n"/>
      <c r="B13844" s="9" t="n"/>
    </row>
    <row r="13845">
      <c r="A13845" s="8" t="n"/>
      <c r="B13845" s="9" t="n"/>
    </row>
    <row r="13846">
      <c r="A13846" s="8" t="n"/>
      <c r="B13846" s="9" t="n"/>
    </row>
    <row r="13847">
      <c r="A13847" s="8" t="n"/>
      <c r="B13847" s="9" t="n"/>
    </row>
    <row r="13848">
      <c r="A13848" s="8" t="n"/>
      <c r="B13848" s="9" t="n"/>
    </row>
    <row r="13849">
      <c r="A13849" s="8" t="n"/>
      <c r="B13849" s="9" t="n"/>
    </row>
    <row r="13850">
      <c r="A13850" s="8" t="n"/>
      <c r="B13850" s="9" t="n"/>
    </row>
    <row r="13851">
      <c r="A13851" s="8" t="n"/>
      <c r="B13851" s="9" t="n"/>
    </row>
    <row r="13852">
      <c r="A13852" s="8" t="n"/>
      <c r="B13852" s="9" t="n"/>
    </row>
    <row r="13853">
      <c r="A13853" s="8" t="n"/>
      <c r="B13853" s="9" t="n"/>
    </row>
    <row r="13854">
      <c r="A13854" s="8" t="n"/>
      <c r="B13854" s="9" t="n"/>
    </row>
    <row r="13855">
      <c r="A13855" s="8" t="n"/>
      <c r="B13855" s="9" t="n"/>
    </row>
    <row r="13856">
      <c r="A13856" s="8" t="n"/>
      <c r="B13856" s="9" t="n"/>
    </row>
    <row r="13857">
      <c r="A13857" s="8" t="n"/>
      <c r="B13857" s="9" t="n"/>
    </row>
    <row r="13858">
      <c r="A13858" s="8" t="n"/>
      <c r="B13858" s="9" t="n"/>
    </row>
    <row r="13859">
      <c r="A13859" s="8" t="n"/>
      <c r="B13859" s="9" t="n"/>
    </row>
    <row r="13860">
      <c r="A13860" s="8" t="n"/>
      <c r="B13860" s="9" t="n"/>
    </row>
    <row r="13861">
      <c r="A13861" s="8" t="n"/>
      <c r="B13861" s="9" t="n"/>
    </row>
    <row r="13862">
      <c r="A13862" s="8" t="n"/>
      <c r="B13862" s="9" t="n"/>
    </row>
    <row r="13863">
      <c r="A13863" s="8" t="n"/>
      <c r="B13863" s="9" t="n"/>
    </row>
    <row r="13864">
      <c r="A13864" s="8" t="n"/>
      <c r="B13864" s="9" t="n"/>
    </row>
    <row r="13865">
      <c r="A13865" s="8" t="n"/>
      <c r="B13865" s="9" t="n"/>
    </row>
    <row r="13866">
      <c r="A13866" s="8" t="n"/>
      <c r="B13866" s="9" t="n"/>
    </row>
    <row r="13867">
      <c r="A13867" s="8" t="n"/>
      <c r="B13867" s="9" t="n"/>
    </row>
    <row r="13868">
      <c r="A13868" s="8" t="n"/>
      <c r="B13868" s="9" t="n"/>
    </row>
    <row r="13869">
      <c r="A13869" s="8" t="n"/>
      <c r="B13869" s="9" t="n"/>
    </row>
    <row r="13870">
      <c r="A13870" s="8" t="n"/>
      <c r="B13870" s="9" t="n"/>
    </row>
    <row r="13871">
      <c r="A13871" s="8" t="n"/>
      <c r="B13871" s="9" t="n"/>
    </row>
    <row r="13872">
      <c r="A13872" s="8" t="n"/>
      <c r="B13872" s="9" t="n"/>
    </row>
    <row r="13873">
      <c r="A13873" s="8" t="n"/>
      <c r="B13873" s="9" t="n"/>
    </row>
    <row r="13874">
      <c r="A13874" s="8" t="n"/>
      <c r="B13874" s="9" t="n"/>
    </row>
    <row r="13875">
      <c r="A13875" s="8" t="n"/>
      <c r="B13875" s="9" t="n"/>
    </row>
    <row r="13876">
      <c r="A13876" s="8" t="n"/>
      <c r="B13876" s="9" t="n"/>
    </row>
    <row r="13877">
      <c r="A13877" s="8" t="n"/>
      <c r="B13877" s="9" t="n"/>
    </row>
    <row r="13878">
      <c r="A13878" s="8" t="n"/>
      <c r="B13878" s="9" t="n"/>
    </row>
    <row r="13879">
      <c r="A13879" s="8" t="n"/>
      <c r="B13879" s="9" t="n"/>
    </row>
    <row r="13880">
      <c r="A13880" s="8" t="n"/>
      <c r="B13880" s="9" t="n"/>
    </row>
    <row r="13881">
      <c r="A13881" s="8" t="n"/>
      <c r="B13881" s="9" t="n"/>
    </row>
    <row r="13882">
      <c r="A13882" s="8" t="n"/>
      <c r="B13882" s="9" t="n"/>
    </row>
    <row r="13883">
      <c r="A13883" s="8" t="n"/>
      <c r="B13883" s="9" t="n"/>
    </row>
    <row r="13884">
      <c r="A13884" s="8" t="n"/>
      <c r="B13884" s="9" t="n"/>
    </row>
    <row r="13885">
      <c r="A13885" s="8" t="n"/>
      <c r="B13885" s="9" t="n"/>
    </row>
    <row r="13886">
      <c r="A13886" s="8" t="n"/>
      <c r="B13886" s="9" t="n"/>
    </row>
    <row r="13887">
      <c r="A13887" s="8" t="n"/>
      <c r="B13887" s="9" t="n"/>
    </row>
    <row r="13888">
      <c r="A13888" s="8" t="n"/>
      <c r="B13888" s="9" t="n"/>
    </row>
    <row r="13889">
      <c r="A13889" s="8" t="n"/>
      <c r="B13889" s="9" t="n"/>
    </row>
    <row r="13890">
      <c r="A13890" s="8" t="n"/>
      <c r="B13890" s="9" t="n"/>
    </row>
    <row r="13891">
      <c r="A13891" s="8" t="n"/>
      <c r="B13891" s="9" t="n"/>
    </row>
    <row r="13892">
      <c r="A13892" s="8" t="n"/>
      <c r="B13892" s="9" t="n"/>
    </row>
    <row r="13893">
      <c r="A13893" s="8" t="n"/>
      <c r="B13893" s="9" t="n"/>
    </row>
    <row r="13894">
      <c r="A13894" s="8" t="n"/>
      <c r="B13894" s="9" t="n"/>
    </row>
    <row r="13895">
      <c r="A13895" s="8" t="n"/>
      <c r="B13895" s="9" t="n"/>
    </row>
    <row r="13896">
      <c r="A13896" s="8" t="n"/>
      <c r="B13896" s="9" t="n"/>
    </row>
    <row r="13897">
      <c r="A13897" s="8" t="n"/>
      <c r="B13897" s="9" t="n"/>
    </row>
    <row r="13898">
      <c r="A13898" s="8" t="n"/>
      <c r="B13898" s="9" t="n"/>
    </row>
    <row r="13899">
      <c r="A13899" s="8" t="n"/>
      <c r="B13899" s="9" t="n"/>
    </row>
    <row r="13900">
      <c r="A13900" s="8" t="n"/>
      <c r="B13900" s="9" t="n"/>
    </row>
    <row r="13901">
      <c r="A13901" s="8" t="n"/>
      <c r="B13901" s="9" t="n"/>
    </row>
    <row r="13902">
      <c r="A13902" s="8" t="n"/>
      <c r="B13902" s="9" t="n"/>
    </row>
    <row r="13903">
      <c r="A13903" s="8" t="n"/>
      <c r="B13903" s="9" t="n"/>
    </row>
    <row r="13904">
      <c r="A13904" s="8" t="n"/>
      <c r="B13904" s="9" t="n"/>
    </row>
    <row r="13905">
      <c r="A13905" s="8" t="n"/>
      <c r="B13905" s="9" t="n"/>
    </row>
    <row r="13906">
      <c r="A13906" s="8" t="n"/>
      <c r="B13906" s="9" t="n"/>
    </row>
    <row r="13907">
      <c r="A13907" s="8" t="n"/>
      <c r="B13907" s="9" t="n"/>
    </row>
    <row r="13908">
      <c r="A13908" s="8" t="n"/>
      <c r="B13908" s="9" t="n"/>
    </row>
    <row r="13909">
      <c r="A13909" s="8" t="n"/>
      <c r="B13909" s="9" t="n"/>
    </row>
    <row r="13910">
      <c r="A13910" s="8" t="n"/>
      <c r="B13910" s="9" t="n"/>
    </row>
    <row r="13911">
      <c r="A13911" s="8" t="n"/>
      <c r="B13911" s="9" t="n"/>
    </row>
    <row r="13912">
      <c r="A13912" s="8" t="n"/>
      <c r="B13912" s="9" t="n"/>
    </row>
    <row r="13913">
      <c r="A13913" s="8" t="n"/>
      <c r="B13913" s="9" t="n"/>
    </row>
    <row r="13914">
      <c r="A13914" s="8" t="n"/>
      <c r="B13914" s="9" t="n"/>
    </row>
    <row r="13915">
      <c r="A13915" s="8" t="n"/>
      <c r="B13915" s="9" t="n"/>
    </row>
    <row r="13916">
      <c r="A13916" s="8" t="n"/>
      <c r="B13916" s="9" t="n"/>
    </row>
    <row r="13917">
      <c r="A13917" s="8" t="n"/>
      <c r="B13917" s="9" t="n"/>
    </row>
    <row r="13918">
      <c r="A13918" s="8" t="n"/>
      <c r="B13918" s="9" t="n"/>
    </row>
    <row r="13919">
      <c r="A13919" s="8" t="n"/>
      <c r="B13919" s="9" t="n"/>
    </row>
    <row r="13920">
      <c r="A13920" s="8" t="n"/>
      <c r="B13920" s="9" t="n"/>
    </row>
    <row r="13921">
      <c r="A13921" s="8" t="n"/>
      <c r="B13921" s="9" t="n"/>
    </row>
    <row r="13922">
      <c r="A13922" s="8" t="n"/>
      <c r="B13922" s="9" t="n"/>
    </row>
    <row r="13923">
      <c r="A13923" s="8" t="n"/>
      <c r="B13923" s="9" t="n"/>
    </row>
    <row r="13924">
      <c r="A13924" s="8" t="n"/>
      <c r="B13924" s="9" t="n"/>
    </row>
    <row r="13925">
      <c r="A13925" s="8" t="n"/>
      <c r="B13925" s="9" t="n"/>
    </row>
    <row r="13926">
      <c r="A13926" s="8" t="n"/>
      <c r="B13926" s="9" t="n"/>
    </row>
    <row r="13927">
      <c r="A13927" s="8" t="n"/>
      <c r="B13927" s="9" t="n"/>
    </row>
    <row r="13928">
      <c r="A13928" s="8" t="n"/>
      <c r="B13928" s="9" t="n"/>
    </row>
    <row r="13929">
      <c r="A13929" s="8" t="n"/>
      <c r="B13929" s="9" t="n"/>
    </row>
    <row r="13930">
      <c r="A13930" s="8" t="n"/>
      <c r="B13930" s="9" t="n"/>
    </row>
    <row r="13931">
      <c r="A13931" s="8" t="n"/>
      <c r="B13931" s="9" t="n"/>
    </row>
    <row r="13932">
      <c r="A13932" s="8" t="n"/>
      <c r="B13932" s="9" t="n"/>
    </row>
    <row r="13933">
      <c r="A13933" s="8" t="n"/>
      <c r="B13933" s="9" t="n"/>
    </row>
    <row r="13934">
      <c r="A13934" s="8" t="n"/>
      <c r="B13934" s="9" t="n"/>
    </row>
    <row r="13935">
      <c r="A13935" s="8" t="n"/>
      <c r="B13935" s="9" t="n"/>
    </row>
    <row r="13936">
      <c r="A13936" s="8" t="n"/>
      <c r="B13936" s="9" t="n"/>
    </row>
    <row r="13937">
      <c r="A13937" s="8" t="n"/>
      <c r="B13937" s="9" t="n"/>
    </row>
    <row r="13938">
      <c r="A13938" s="8" t="n"/>
      <c r="B13938" s="9" t="n"/>
    </row>
    <row r="13939">
      <c r="A13939" s="8" t="n"/>
      <c r="B13939" s="9" t="n"/>
    </row>
    <row r="13940">
      <c r="A13940" s="8" t="n"/>
      <c r="B13940" s="9" t="n"/>
    </row>
    <row r="13941">
      <c r="A13941" s="8" t="n"/>
      <c r="B13941" s="9" t="n"/>
    </row>
    <row r="13942">
      <c r="A13942" s="8" t="n"/>
      <c r="B13942" s="9" t="n"/>
    </row>
    <row r="13943">
      <c r="A13943" s="8" t="n"/>
      <c r="B13943" s="9" t="n"/>
    </row>
    <row r="13944">
      <c r="A13944" s="8" t="n"/>
      <c r="B13944" s="9" t="n"/>
    </row>
    <row r="13945">
      <c r="A13945" s="8" t="n"/>
      <c r="B13945" s="9" t="n"/>
    </row>
    <row r="13946">
      <c r="A13946" s="8" t="n"/>
      <c r="B13946" s="9" t="n"/>
    </row>
    <row r="13947">
      <c r="A13947" s="8" t="n"/>
      <c r="B13947" s="9" t="n"/>
    </row>
    <row r="13948">
      <c r="A13948" s="8" t="n"/>
      <c r="B13948" s="9" t="n"/>
    </row>
    <row r="13949">
      <c r="A13949" s="8" t="n"/>
      <c r="B13949" s="9" t="n"/>
    </row>
    <row r="13950">
      <c r="A13950" s="8" t="n"/>
      <c r="B13950" s="9" t="n"/>
    </row>
    <row r="13951">
      <c r="A13951" s="8" t="n"/>
      <c r="B13951" s="9" t="n"/>
    </row>
    <row r="13952">
      <c r="A13952" s="8" t="n"/>
      <c r="B13952" s="9" t="n"/>
    </row>
    <row r="13953">
      <c r="A13953" s="8" t="n"/>
      <c r="B13953" s="9" t="n"/>
    </row>
    <row r="13954">
      <c r="A13954" s="8" t="n"/>
      <c r="B13954" s="9" t="n"/>
    </row>
    <row r="13955">
      <c r="A13955" s="8" t="n"/>
      <c r="B13955" s="9" t="n"/>
    </row>
    <row r="13956">
      <c r="A13956" s="8" t="n"/>
      <c r="B13956" s="9" t="n"/>
    </row>
    <row r="13957">
      <c r="A13957" s="8" t="n"/>
      <c r="B13957" s="9" t="n"/>
    </row>
    <row r="13958">
      <c r="A13958" s="8" t="n"/>
      <c r="B13958" s="9" t="n"/>
    </row>
    <row r="13959">
      <c r="A13959" s="8" t="n"/>
      <c r="B13959" s="9" t="n"/>
    </row>
    <row r="13960">
      <c r="A13960" s="8" t="n"/>
      <c r="B13960" s="9" t="n"/>
    </row>
    <row r="13961">
      <c r="A13961" s="8" t="n"/>
      <c r="B13961" s="9" t="n"/>
    </row>
    <row r="13962">
      <c r="A13962" s="8" t="n"/>
      <c r="B13962" s="9" t="n"/>
    </row>
    <row r="13963">
      <c r="A13963" s="8" t="n"/>
      <c r="B13963" s="9" t="n"/>
    </row>
    <row r="13964">
      <c r="A13964" s="8" t="n"/>
      <c r="B13964" s="9" t="n"/>
    </row>
    <row r="13965">
      <c r="A13965" s="8" t="n"/>
      <c r="B13965" s="9" t="n"/>
    </row>
    <row r="13966">
      <c r="A13966" s="8" t="n"/>
      <c r="B13966" s="9" t="n"/>
    </row>
    <row r="13967">
      <c r="A13967" s="8" t="n"/>
      <c r="B13967" s="9" t="n"/>
    </row>
    <row r="13968">
      <c r="A13968" s="8" t="n"/>
      <c r="B13968" s="9" t="n"/>
    </row>
    <row r="13969">
      <c r="A13969" s="8" t="n"/>
      <c r="B13969" s="9" t="n"/>
    </row>
    <row r="13970">
      <c r="A13970" s="8" t="n"/>
      <c r="B13970" s="9" t="n"/>
    </row>
    <row r="13971">
      <c r="A13971" s="8" t="n"/>
      <c r="B13971" s="9" t="n"/>
    </row>
    <row r="13972">
      <c r="A13972" s="8" t="n"/>
      <c r="B13972" s="9" t="n"/>
    </row>
    <row r="13973">
      <c r="A13973" s="8" t="n"/>
      <c r="B13973" s="9" t="n"/>
    </row>
    <row r="13974">
      <c r="A13974" s="8" t="n"/>
      <c r="B13974" s="9" t="n"/>
    </row>
    <row r="13975">
      <c r="A13975" s="8" t="n"/>
      <c r="B13975" s="9" t="n"/>
    </row>
    <row r="13976">
      <c r="A13976" s="8" t="n"/>
      <c r="B13976" s="9" t="n"/>
    </row>
    <row r="13977">
      <c r="A13977" s="8" t="n"/>
      <c r="B13977" s="9" t="n"/>
    </row>
    <row r="13978">
      <c r="A13978" s="8" t="n"/>
      <c r="B13978" s="9" t="n"/>
    </row>
    <row r="13979">
      <c r="A13979" s="8" t="n"/>
      <c r="B13979" s="9" t="n"/>
    </row>
    <row r="13980">
      <c r="A13980" s="8" t="n"/>
      <c r="B13980" s="9" t="n"/>
    </row>
    <row r="13981">
      <c r="A13981" s="8" t="n"/>
      <c r="B13981" s="9" t="n"/>
    </row>
    <row r="13982">
      <c r="A13982" s="8" t="n"/>
      <c r="B13982" s="9" t="n"/>
    </row>
    <row r="13983">
      <c r="A13983" s="8" t="n"/>
      <c r="B13983" s="9" t="n"/>
    </row>
    <row r="13984">
      <c r="A13984" s="8" t="n"/>
      <c r="B13984" s="9" t="n"/>
    </row>
    <row r="13985">
      <c r="A13985" s="8" t="n"/>
      <c r="B13985" s="9" t="n"/>
    </row>
    <row r="13986">
      <c r="A13986" s="8" t="n"/>
      <c r="B13986" s="9" t="n"/>
    </row>
    <row r="13987">
      <c r="A13987" s="8" t="n"/>
      <c r="B13987" s="9" t="n"/>
    </row>
    <row r="13988">
      <c r="A13988" s="8" t="n"/>
      <c r="B13988" s="9" t="n"/>
    </row>
    <row r="13989">
      <c r="A13989" s="8" t="n"/>
      <c r="B13989" s="9" t="n"/>
    </row>
    <row r="13990">
      <c r="A13990" s="8" t="n"/>
      <c r="B13990" s="9" t="n"/>
    </row>
    <row r="13991">
      <c r="A13991" s="8" t="n"/>
      <c r="B13991" s="9" t="n"/>
    </row>
    <row r="13992">
      <c r="A13992" s="8" t="n"/>
      <c r="B13992" s="9" t="n"/>
    </row>
    <row r="13993">
      <c r="A13993" s="8" t="n"/>
      <c r="B13993" s="9" t="n"/>
    </row>
    <row r="13994">
      <c r="A13994" s="8" t="n"/>
      <c r="B13994" s="9" t="n"/>
    </row>
    <row r="13995">
      <c r="A13995" s="8" t="n"/>
      <c r="B13995" s="9" t="n"/>
    </row>
    <row r="13996">
      <c r="A13996" s="8" t="n"/>
      <c r="B13996" s="9" t="n"/>
    </row>
    <row r="13997">
      <c r="A13997" s="8" t="n"/>
      <c r="B13997" s="9" t="n"/>
    </row>
    <row r="13998">
      <c r="A13998" s="8" t="n"/>
      <c r="B13998" s="9" t="n"/>
    </row>
    <row r="13999">
      <c r="A13999" s="8" t="n"/>
      <c r="B13999" s="9" t="n"/>
    </row>
    <row r="14000">
      <c r="A14000" s="8" t="n"/>
      <c r="B14000" s="9" t="n"/>
    </row>
    <row r="14001">
      <c r="A14001" s="8" t="n"/>
      <c r="B14001" s="9" t="n"/>
    </row>
    <row r="14002">
      <c r="A14002" s="8" t="n"/>
      <c r="B14002" s="9" t="n"/>
    </row>
    <row r="14003">
      <c r="A14003" s="8" t="n"/>
      <c r="B14003" s="9" t="n"/>
    </row>
    <row r="14004">
      <c r="A14004" s="8" t="n"/>
      <c r="B14004" s="9" t="n"/>
    </row>
    <row r="14005">
      <c r="A14005" s="8" t="n"/>
      <c r="B14005" s="9" t="n"/>
    </row>
    <row r="14006">
      <c r="A14006" s="8" t="n"/>
      <c r="B14006" s="9" t="n"/>
    </row>
    <row r="14007">
      <c r="A14007" s="8" t="n"/>
      <c r="B14007" s="9" t="n"/>
    </row>
    <row r="14008">
      <c r="A14008" s="8" t="n"/>
      <c r="B14008" s="9" t="n"/>
    </row>
    <row r="14009">
      <c r="A14009" s="8" t="n"/>
      <c r="B14009" s="9" t="n"/>
    </row>
    <row r="14010">
      <c r="A14010" s="8" t="n"/>
      <c r="B14010" s="9" t="n"/>
    </row>
    <row r="14011">
      <c r="A14011" s="8" t="n"/>
      <c r="B14011" s="9" t="n"/>
    </row>
    <row r="14012">
      <c r="A14012" s="8" t="n"/>
      <c r="B14012" s="9" t="n"/>
    </row>
    <row r="14013">
      <c r="A14013" s="8" t="n"/>
      <c r="B14013" s="9" t="n"/>
    </row>
    <row r="14014">
      <c r="A14014" s="8" t="n"/>
      <c r="B14014" s="9" t="n"/>
    </row>
    <row r="14015">
      <c r="A14015" s="8" t="n"/>
      <c r="B14015" s="9" t="n"/>
    </row>
    <row r="14016">
      <c r="A14016" s="8" t="n"/>
      <c r="B14016" s="9" t="n"/>
    </row>
    <row r="14017">
      <c r="A14017" s="8" t="n"/>
      <c r="B14017" s="9" t="n"/>
    </row>
    <row r="14018">
      <c r="A14018" s="8" t="n"/>
      <c r="B14018" s="9" t="n"/>
    </row>
    <row r="14019">
      <c r="A14019" s="8" t="n"/>
      <c r="B14019" s="9" t="n"/>
    </row>
    <row r="14020">
      <c r="A14020" s="8" t="n"/>
      <c r="B14020" s="9" t="n"/>
    </row>
    <row r="14021">
      <c r="A14021" s="8" t="n"/>
      <c r="B14021" s="9" t="n"/>
    </row>
    <row r="14022">
      <c r="A14022" s="8" t="n"/>
      <c r="B14022" s="9" t="n"/>
    </row>
    <row r="14023">
      <c r="A14023" s="8" t="n"/>
      <c r="B14023" s="9" t="n"/>
    </row>
    <row r="14024">
      <c r="A14024" s="8" t="n"/>
      <c r="B14024" s="9" t="n"/>
    </row>
    <row r="14025">
      <c r="A14025" s="8" t="n"/>
      <c r="B14025" s="9" t="n"/>
    </row>
    <row r="14026">
      <c r="A14026" s="8" t="n"/>
      <c r="B14026" s="9" t="n"/>
    </row>
    <row r="14027">
      <c r="A14027" s="8" t="n"/>
      <c r="B14027" s="9" t="n"/>
    </row>
    <row r="14028">
      <c r="A14028" s="8" t="n"/>
      <c r="B14028" s="9" t="n"/>
    </row>
    <row r="14029">
      <c r="A14029" s="8" t="n"/>
      <c r="B14029" s="9" t="n"/>
    </row>
    <row r="14030">
      <c r="A14030" s="8" t="n"/>
      <c r="B14030" s="9" t="n"/>
    </row>
    <row r="14031">
      <c r="A14031" s="8" t="n"/>
      <c r="B14031" s="9" t="n"/>
    </row>
    <row r="14032">
      <c r="A14032" s="8" t="n"/>
      <c r="B14032" s="9" t="n"/>
    </row>
    <row r="14033">
      <c r="A14033" s="8" t="n"/>
      <c r="B14033" s="9" t="n"/>
    </row>
    <row r="14034">
      <c r="A14034" s="8" t="n"/>
      <c r="B14034" s="9" t="n"/>
    </row>
    <row r="14035">
      <c r="A14035" s="8" t="n"/>
      <c r="B14035" s="9" t="n"/>
    </row>
    <row r="14036">
      <c r="A14036" s="8" t="n"/>
      <c r="B14036" s="9" t="n"/>
    </row>
    <row r="14037">
      <c r="A14037" s="8" t="n"/>
      <c r="B14037" s="9" t="n"/>
    </row>
    <row r="14038">
      <c r="A14038" s="8" t="n"/>
      <c r="B14038" s="9" t="n"/>
    </row>
    <row r="14039">
      <c r="A14039" s="8" t="n"/>
      <c r="B14039" s="9" t="n"/>
    </row>
    <row r="14040">
      <c r="A14040" s="8" t="n"/>
      <c r="B14040" s="9" t="n"/>
    </row>
    <row r="14041">
      <c r="A14041" s="8" t="n"/>
      <c r="B14041" s="9" t="n"/>
    </row>
    <row r="14042">
      <c r="A14042" s="8" t="n"/>
      <c r="B14042" s="9" t="n"/>
    </row>
    <row r="14043">
      <c r="A14043" s="8" t="n"/>
      <c r="B14043" s="9" t="n"/>
    </row>
    <row r="14044">
      <c r="A14044" s="8" t="n"/>
      <c r="B14044" s="9" t="n"/>
    </row>
    <row r="14045">
      <c r="A14045" s="8" t="n"/>
      <c r="B14045" s="9" t="n"/>
    </row>
    <row r="14046">
      <c r="A14046" s="8" t="n"/>
      <c r="B14046" s="9" t="n"/>
    </row>
    <row r="14047">
      <c r="A14047" s="8" t="n"/>
      <c r="B14047" s="9" t="n"/>
    </row>
    <row r="14048">
      <c r="A14048" s="8" t="n"/>
      <c r="B14048" s="9" t="n"/>
    </row>
    <row r="14049">
      <c r="A14049" s="8" t="n"/>
      <c r="B14049" s="9" t="n"/>
    </row>
    <row r="14050">
      <c r="A14050" s="8" t="n"/>
      <c r="B14050" s="9" t="n"/>
    </row>
    <row r="14051">
      <c r="A14051" s="8" t="n"/>
      <c r="B14051" s="9" t="n"/>
    </row>
    <row r="14052">
      <c r="A14052" s="8" t="n"/>
      <c r="B14052" s="9" t="n"/>
    </row>
    <row r="14053">
      <c r="A14053" s="8" t="n"/>
      <c r="B14053" s="9" t="n"/>
    </row>
    <row r="14054">
      <c r="A14054" s="8" t="n"/>
      <c r="B14054" s="9" t="n"/>
    </row>
    <row r="14055">
      <c r="A14055" s="8" t="n"/>
      <c r="B14055" s="9" t="n"/>
    </row>
    <row r="14056">
      <c r="A14056" s="8" t="n"/>
      <c r="B14056" s="9" t="n"/>
    </row>
    <row r="14057">
      <c r="A14057" s="8" t="n"/>
      <c r="B14057" s="9" t="n"/>
    </row>
    <row r="14058">
      <c r="A14058" s="8" t="n"/>
      <c r="B14058" s="9" t="n"/>
    </row>
    <row r="14059">
      <c r="A14059" s="8" t="n"/>
      <c r="B14059" s="9" t="n"/>
    </row>
    <row r="14060">
      <c r="A14060" s="8" t="n"/>
      <c r="B14060" s="9" t="n"/>
    </row>
    <row r="14061">
      <c r="A14061" s="8" t="n"/>
      <c r="B14061" s="9" t="n"/>
    </row>
    <row r="14062">
      <c r="A14062" s="8" t="n"/>
      <c r="B14062" s="9" t="n"/>
    </row>
    <row r="14063">
      <c r="A14063" s="8" t="n"/>
      <c r="B14063" s="9" t="n"/>
    </row>
    <row r="14064">
      <c r="A14064" s="8" t="n"/>
      <c r="B14064" s="9" t="n"/>
    </row>
    <row r="14065">
      <c r="A14065" s="8" t="n"/>
      <c r="B14065" s="9" t="n"/>
    </row>
    <row r="14066">
      <c r="A14066" s="8" t="n"/>
      <c r="B14066" s="9" t="n"/>
    </row>
    <row r="14067">
      <c r="A14067" s="8" t="n"/>
      <c r="B14067" s="9" t="n"/>
    </row>
    <row r="14068">
      <c r="A14068" s="8" t="n"/>
      <c r="B14068" s="9" t="n"/>
    </row>
    <row r="14069">
      <c r="A14069" s="8" t="n"/>
      <c r="B14069" s="9" t="n"/>
    </row>
    <row r="14070">
      <c r="A14070" s="8" t="n"/>
      <c r="B14070" s="9" t="n"/>
    </row>
    <row r="14071">
      <c r="A14071" s="8" t="n"/>
      <c r="B14071" s="9" t="n"/>
    </row>
    <row r="14072">
      <c r="A14072" s="8" t="n"/>
      <c r="B14072" s="9" t="n"/>
    </row>
    <row r="14073">
      <c r="A14073" s="8" t="n"/>
      <c r="B14073" s="9" t="n"/>
    </row>
    <row r="14074">
      <c r="A14074" s="8" t="n"/>
      <c r="B14074" s="9" t="n"/>
    </row>
    <row r="14075">
      <c r="A14075" s="8" t="n"/>
      <c r="B14075" s="9" t="n"/>
    </row>
    <row r="14076">
      <c r="A14076" s="8" t="n"/>
      <c r="B14076" s="9" t="n"/>
    </row>
    <row r="14077">
      <c r="A14077" s="8" t="n"/>
      <c r="B14077" s="9" t="n"/>
    </row>
    <row r="14078">
      <c r="A14078" s="8" t="n"/>
      <c r="B14078" s="9" t="n"/>
    </row>
    <row r="14079">
      <c r="A14079" s="8" t="n"/>
      <c r="B14079" s="9" t="n"/>
    </row>
    <row r="14080">
      <c r="A14080" s="8" t="n"/>
      <c r="B14080" s="9" t="n"/>
    </row>
    <row r="14081">
      <c r="A14081" s="8" t="n"/>
      <c r="B14081" s="9" t="n"/>
    </row>
    <row r="14082">
      <c r="A14082" s="8" t="n"/>
      <c r="B14082" s="9" t="n"/>
    </row>
    <row r="14083">
      <c r="A14083" s="8" t="n"/>
      <c r="B14083" s="9" t="n"/>
    </row>
    <row r="14084">
      <c r="A14084" s="8" t="n"/>
      <c r="B14084" s="9" t="n"/>
    </row>
    <row r="14085">
      <c r="A14085" s="8" t="n"/>
      <c r="B14085" s="9" t="n"/>
    </row>
    <row r="14086">
      <c r="A14086" s="8" t="n"/>
      <c r="B14086" s="9" t="n"/>
    </row>
    <row r="14087">
      <c r="A14087" s="8" t="n"/>
      <c r="B14087" s="9" t="n"/>
    </row>
    <row r="14088">
      <c r="A14088" s="8" t="n"/>
      <c r="B14088" s="9" t="n"/>
    </row>
    <row r="14089">
      <c r="A14089" s="8" t="n"/>
      <c r="B14089" s="9" t="n"/>
    </row>
    <row r="14090">
      <c r="A14090" s="8" t="n"/>
      <c r="B14090" s="9" t="n"/>
    </row>
    <row r="14091">
      <c r="A14091" s="8" t="n"/>
      <c r="B14091" s="9" t="n"/>
    </row>
    <row r="14092">
      <c r="A14092" s="8" t="n"/>
      <c r="B14092" s="9" t="n"/>
    </row>
    <row r="14093">
      <c r="A14093" s="8" t="n"/>
      <c r="B14093" s="9" t="n"/>
    </row>
    <row r="14094">
      <c r="A14094" s="8" t="n"/>
      <c r="B14094" s="9" t="n"/>
    </row>
    <row r="14095">
      <c r="A14095" s="8" t="n"/>
      <c r="B14095" s="9" t="n"/>
    </row>
    <row r="14096">
      <c r="A14096" s="8" t="n"/>
      <c r="B14096" s="9" t="n"/>
    </row>
    <row r="14097">
      <c r="A14097" s="8" t="n"/>
      <c r="B14097" s="9" t="n"/>
    </row>
    <row r="14098">
      <c r="A14098" s="8" t="n"/>
      <c r="B14098" s="9" t="n"/>
    </row>
    <row r="14099">
      <c r="A14099" s="8" t="n"/>
      <c r="B14099" s="9" t="n"/>
    </row>
    <row r="14100">
      <c r="A14100" s="8" t="n"/>
      <c r="B14100" s="9" t="n"/>
    </row>
    <row r="14101">
      <c r="A14101" s="8" t="n"/>
      <c r="B14101" s="9" t="n"/>
    </row>
    <row r="14102">
      <c r="A14102" s="8" t="n"/>
      <c r="B14102" s="9" t="n"/>
    </row>
    <row r="14103">
      <c r="A14103" s="8" t="n"/>
      <c r="B14103" s="9" t="n"/>
    </row>
    <row r="14104">
      <c r="A14104" s="8" t="n"/>
      <c r="B14104" s="9" t="n"/>
    </row>
    <row r="14105">
      <c r="A14105" s="8" t="n"/>
      <c r="B14105" s="9" t="n"/>
    </row>
    <row r="14106">
      <c r="A14106" s="8" t="n"/>
      <c r="B14106" s="9" t="n"/>
    </row>
    <row r="14107">
      <c r="A14107" s="8" t="n"/>
      <c r="B14107" s="9" t="n"/>
    </row>
    <row r="14108">
      <c r="A14108" s="8" t="n"/>
      <c r="B14108" s="9" t="n"/>
    </row>
    <row r="14109">
      <c r="A14109" s="8" t="n"/>
      <c r="B14109" s="9" t="n"/>
    </row>
    <row r="14110">
      <c r="A14110" s="8" t="n"/>
      <c r="B14110" s="9" t="n"/>
    </row>
    <row r="14111">
      <c r="A14111" s="8" t="n"/>
      <c r="B14111" s="9" t="n"/>
    </row>
    <row r="14112">
      <c r="A14112" s="8" t="n"/>
      <c r="B14112" s="9" t="n"/>
    </row>
    <row r="14113">
      <c r="A14113" s="8" t="n"/>
      <c r="B14113" s="9" t="n"/>
    </row>
    <row r="14114">
      <c r="A14114" s="8" t="n"/>
      <c r="B14114" s="9" t="n"/>
    </row>
    <row r="14115">
      <c r="A14115" s="8" t="n"/>
      <c r="B14115" s="9" t="n"/>
    </row>
    <row r="14116">
      <c r="A14116" s="8" t="n"/>
      <c r="B14116" s="9" t="n"/>
    </row>
    <row r="14117">
      <c r="A14117" s="8" t="n"/>
      <c r="B14117" s="9" t="n"/>
    </row>
    <row r="14118">
      <c r="A14118" s="8" t="n"/>
      <c r="B14118" s="9" t="n"/>
    </row>
    <row r="14119">
      <c r="A14119" s="8" t="n"/>
      <c r="B14119" s="9" t="n"/>
    </row>
    <row r="14120">
      <c r="A14120" s="8" t="n"/>
      <c r="B14120" s="9" t="n"/>
    </row>
    <row r="14121">
      <c r="A14121" s="8" t="n"/>
      <c r="B14121" s="9" t="n"/>
    </row>
    <row r="14122">
      <c r="A14122" s="8" t="n"/>
      <c r="B14122" s="9" t="n"/>
    </row>
    <row r="14123">
      <c r="A14123" s="8" t="n"/>
      <c r="B14123" s="9" t="n"/>
    </row>
    <row r="14124">
      <c r="A14124" s="8" t="n"/>
      <c r="B14124" s="9" t="n"/>
    </row>
    <row r="14125">
      <c r="A14125" s="8" t="n"/>
      <c r="B14125" s="9" t="n"/>
    </row>
    <row r="14126">
      <c r="A14126" s="8" t="n"/>
      <c r="B14126" s="9" t="n"/>
    </row>
    <row r="14127">
      <c r="A14127" s="8" t="n"/>
      <c r="B14127" s="9" t="n"/>
    </row>
    <row r="14128">
      <c r="A14128" s="8" t="n"/>
      <c r="B14128" s="9" t="n"/>
    </row>
    <row r="14129">
      <c r="A14129" s="8" t="n"/>
      <c r="B14129" s="9" t="n"/>
    </row>
    <row r="14130">
      <c r="A14130" s="8" t="n"/>
      <c r="B14130" s="9" t="n"/>
    </row>
    <row r="14131">
      <c r="A14131" s="8" t="n"/>
      <c r="B14131" s="9" t="n"/>
    </row>
    <row r="14132">
      <c r="A14132" s="8" t="n"/>
      <c r="B14132" s="9" t="n"/>
    </row>
    <row r="14133">
      <c r="A14133" s="8" t="n"/>
      <c r="B14133" s="9" t="n"/>
    </row>
    <row r="14134">
      <c r="A14134" s="8" t="n"/>
      <c r="B14134" s="9" t="n"/>
    </row>
    <row r="14135">
      <c r="A14135" s="8" t="n"/>
      <c r="B14135" s="9" t="n"/>
    </row>
    <row r="14136">
      <c r="A14136" s="8" t="n"/>
      <c r="B14136" s="9" t="n"/>
    </row>
    <row r="14137">
      <c r="A14137" s="8" t="n"/>
      <c r="B14137" s="9" t="n"/>
    </row>
    <row r="14138">
      <c r="A14138" s="8" t="n"/>
      <c r="B14138" s="9" t="n"/>
    </row>
    <row r="14139">
      <c r="A14139" s="8" t="n"/>
      <c r="B14139" s="9" t="n"/>
    </row>
    <row r="14140">
      <c r="A14140" s="8" t="n"/>
      <c r="B14140" s="9" t="n"/>
    </row>
    <row r="14141">
      <c r="A14141" s="8" t="n"/>
      <c r="B14141" s="9" t="n"/>
    </row>
    <row r="14142">
      <c r="A14142" s="8" t="n"/>
      <c r="B14142" s="9" t="n"/>
    </row>
    <row r="14143">
      <c r="A14143" s="8" t="n"/>
      <c r="B14143" s="9" t="n"/>
    </row>
    <row r="14144">
      <c r="A14144" s="8" t="n"/>
      <c r="B14144" s="9" t="n"/>
    </row>
    <row r="14145">
      <c r="A14145" s="8" t="n"/>
      <c r="B14145" s="9" t="n"/>
    </row>
    <row r="14146">
      <c r="A14146" s="8" t="n"/>
      <c r="B14146" s="9" t="n"/>
    </row>
    <row r="14147">
      <c r="A14147" s="8" t="n"/>
      <c r="B14147" s="9" t="n"/>
    </row>
    <row r="14148">
      <c r="A14148" s="8" t="n"/>
      <c r="B14148" s="9" t="n"/>
    </row>
    <row r="14149">
      <c r="A14149" s="8" t="n"/>
      <c r="B14149" s="9" t="n"/>
    </row>
    <row r="14150">
      <c r="A14150" s="8" t="n"/>
      <c r="B14150" s="9" t="n"/>
    </row>
    <row r="14151">
      <c r="A14151" s="8" t="n"/>
      <c r="B14151" s="9" t="n"/>
    </row>
    <row r="14152">
      <c r="A14152" s="8" t="n"/>
      <c r="B14152" s="9" t="n"/>
    </row>
    <row r="14153">
      <c r="A14153" s="8" t="n"/>
      <c r="B14153" s="9" t="n"/>
    </row>
    <row r="14154">
      <c r="A14154" s="8" t="n"/>
      <c r="B14154" s="9" t="n"/>
    </row>
    <row r="14155">
      <c r="A14155" s="8" t="n"/>
      <c r="B14155" s="9" t="n"/>
    </row>
    <row r="14156">
      <c r="A14156" s="8" t="n"/>
      <c r="B14156" s="9" t="n"/>
    </row>
    <row r="14157">
      <c r="A14157" s="8" t="n"/>
      <c r="B14157" s="9" t="n"/>
    </row>
    <row r="14158">
      <c r="A14158" s="8" t="n"/>
      <c r="B14158" s="9" t="n"/>
    </row>
    <row r="14159">
      <c r="A14159" s="8" t="n"/>
      <c r="B14159" s="9" t="n"/>
    </row>
    <row r="14160">
      <c r="A14160" s="8" t="n"/>
      <c r="B14160" s="9" t="n"/>
    </row>
    <row r="14161">
      <c r="A14161" s="8" t="n"/>
      <c r="B14161" s="9" t="n"/>
    </row>
    <row r="14162">
      <c r="A14162" s="8" t="n"/>
      <c r="B14162" s="9" t="n"/>
    </row>
    <row r="14163">
      <c r="A14163" s="8" t="n"/>
      <c r="B14163" s="9" t="n"/>
    </row>
    <row r="14164">
      <c r="A14164" s="8" t="n"/>
      <c r="B14164" s="9" t="n"/>
    </row>
    <row r="14165">
      <c r="A14165" s="8" t="n"/>
      <c r="B14165" s="9" t="n"/>
    </row>
    <row r="14166">
      <c r="A14166" s="8" t="n"/>
      <c r="B14166" s="9" t="n"/>
    </row>
    <row r="14167">
      <c r="A14167" s="8" t="n"/>
      <c r="B14167" s="9" t="n"/>
    </row>
    <row r="14168">
      <c r="A14168" s="8" t="n"/>
      <c r="B14168" s="9" t="n"/>
    </row>
    <row r="14169">
      <c r="A14169" s="8" t="n"/>
      <c r="B14169" s="9" t="n"/>
    </row>
    <row r="14170">
      <c r="A14170" s="8" t="n"/>
      <c r="B14170" s="9" t="n"/>
    </row>
    <row r="14171">
      <c r="A14171" s="8" t="n"/>
      <c r="B14171" s="9" t="n"/>
    </row>
    <row r="14172">
      <c r="A14172" s="8" t="n"/>
      <c r="B14172" s="9" t="n"/>
    </row>
    <row r="14173">
      <c r="A14173" s="8" t="n"/>
      <c r="B14173" s="9" t="n"/>
    </row>
    <row r="14174">
      <c r="A14174" s="8" t="n"/>
      <c r="B14174" s="9" t="n"/>
    </row>
    <row r="14175">
      <c r="A14175" s="8" t="n"/>
      <c r="B14175" s="9" t="n"/>
    </row>
    <row r="14176">
      <c r="A14176" s="8" t="n"/>
      <c r="B14176" s="9" t="n"/>
    </row>
    <row r="14177">
      <c r="A14177" s="8" t="n"/>
      <c r="B14177" s="9" t="n"/>
    </row>
    <row r="14178">
      <c r="A14178" s="8" t="n"/>
      <c r="B14178" s="9" t="n"/>
    </row>
    <row r="14179">
      <c r="A14179" s="8" t="n"/>
      <c r="B14179" s="9" t="n"/>
    </row>
    <row r="14180">
      <c r="A14180" s="8" t="n"/>
      <c r="B14180" s="9" t="n"/>
    </row>
    <row r="14181">
      <c r="A14181" s="8" t="n"/>
      <c r="B14181" s="9" t="n"/>
    </row>
    <row r="14182">
      <c r="A14182" s="8" t="n"/>
      <c r="B14182" s="9" t="n"/>
    </row>
    <row r="14183">
      <c r="A14183" s="8" t="n"/>
      <c r="B14183" s="9" t="n"/>
    </row>
    <row r="14184">
      <c r="A14184" s="8" t="n"/>
      <c r="B14184" s="9" t="n"/>
    </row>
    <row r="14185">
      <c r="A14185" s="8" t="n"/>
      <c r="B14185" s="9" t="n"/>
    </row>
    <row r="14186">
      <c r="A14186" s="8" t="n"/>
      <c r="B14186" s="9" t="n"/>
    </row>
    <row r="14187">
      <c r="A14187" s="8" t="n"/>
      <c r="B14187" s="9" t="n"/>
    </row>
    <row r="14188">
      <c r="A14188" s="8" t="n"/>
      <c r="B14188" s="9" t="n"/>
    </row>
    <row r="14189">
      <c r="A14189" s="8" t="n"/>
      <c r="B14189" s="9" t="n"/>
    </row>
    <row r="14190">
      <c r="A14190" s="8" t="n"/>
      <c r="B14190" s="9" t="n"/>
    </row>
    <row r="14191">
      <c r="A14191" s="8" t="n"/>
      <c r="B14191" s="9" t="n"/>
    </row>
    <row r="14192">
      <c r="A14192" s="8" t="n"/>
      <c r="B14192" s="9" t="n"/>
    </row>
    <row r="14193">
      <c r="A14193" s="8" t="n"/>
      <c r="B14193" s="9" t="n"/>
    </row>
    <row r="14194">
      <c r="A14194" s="8" t="n"/>
      <c r="B14194" s="9" t="n"/>
    </row>
    <row r="14195">
      <c r="A14195" s="8" t="n"/>
      <c r="B14195" s="9" t="n"/>
    </row>
    <row r="14196">
      <c r="A14196" s="8" t="n"/>
      <c r="B14196" s="9" t="n"/>
    </row>
    <row r="14197">
      <c r="A14197" s="8" t="n"/>
      <c r="B14197" s="9" t="n"/>
    </row>
    <row r="14198">
      <c r="A14198" s="8" t="n"/>
      <c r="B14198" s="9" t="n"/>
    </row>
    <row r="14199">
      <c r="A14199" s="8" t="n"/>
      <c r="B14199" s="9" t="n"/>
    </row>
    <row r="14200">
      <c r="A14200" s="8" t="n"/>
      <c r="B14200" s="9" t="n"/>
    </row>
    <row r="14201">
      <c r="A14201" s="8" t="n"/>
      <c r="B14201" s="9" t="n"/>
    </row>
    <row r="14202">
      <c r="A14202" s="8" t="n"/>
      <c r="B14202" s="9" t="n"/>
    </row>
    <row r="14203">
      <c r="A14203" s="8" t="n"/>
      <c r="B14203" s="9" t="n"/>
    </row>
    <row r="14204">
      <c r="A14204" s="8" t="n"/>
      <c r="B14204" s="9" t="n"/>
    </row>
    <row r="14205">
      <c r="A14205" s="8" t="n"/>
      <c r="B14205" s="9" t="n"/>
    </row>
    <row r="14206">
      <c r="A14206" s="8" t="n"/>
      <c r="B14206" s="9" t="n"/>
    </row>
    <row r="14207">
      <c r="A14207" s="8" t="n"/>
      <c r="B14207" s="9" t="n"/>
    </row>
    <row r="14208">
      <c r="A14208" s="8" t="n"/>
      <c r="B14208" s="9" t="n"/>
    </row>
    <row r="14209">
      <c r="A14209" s="8" t="n"/>
      <c r="B14209" s="9" t="n"/>
    </row>
    <row r="14210">
      <c r="A14210" s="8" t="n"/>
      <c r="B14210" s="9" t="n"/>
    </row>
    <row r="14211">
      <c r="A14211" s="8" t="n"/>
      <c r="B14211" s="9" t="n"/>
    </row>
    <row r="14212">
      <c r="A14212" s="8" t="n"/>
      <c r="B14212" s="9" t="n"/>
    </row>
    <row r="14213">
      <c r="A14213" s="8" t="n"/>
      <c r="B14213" s="9" t="n"/>
    </row>
    <row r="14214">
      <c r="A14214" s="8" t="n"/>
      <c r="B14214" s="9" t="n"/>
    </row>
    <row r="14215">
      <c r="A14215" s="8" t="n"/>
      <c r="B14215" s="9" t="n"/>
    </row>
    <row r="14216">
      <c r="A14216" s="8" t="n"/>
      <c r="B14216" s="9" t="n"/>
    </row>
    <row r="14217">
      <c r="A14217" s="8" t="n"/>
      <c r="B14217" s="9" t="n"/>
    </row>
    <row r="14218">
      <c r="A14218" s="8" t="n"/>
      <c r="B14218" s="9" t="n"/>
    </row>
    <row r="14219">
      <c r="A14219" s="8" t="n"/>
      <c r="B14219" s="9" t="n"/>
    </row>
    <row r="14220">
      <c r="A14220" s="8" t="n"/>
      <c r="B14220" s="9" t="n"/>
    </row>
    <row r="14221">
      <c r="A14221" s="8" t="n"/>
      <c r="B14221" s="9" t="n"/>
    </row>
    <row r="14222">
      <c r="A14222" s="8" t="n"/>
      <c r="B14222" s="9" t="n"/>
    </row>
    <row r="14223">
      <c r="A14223" s="8" t="n"/>
      <c r="B14223" s="9" t="n"/>
    </row>
    <row r="14224">
      <c r="A14224" s="8" t="n"/>
      <c r="B14224" s="9" t="n"/>
    </row>
    <row r="14225">
      <c r="A14225" s="8" t="n"/>
      <c r="B14225" s="9" t="n"/>
    </row>
    <row r="14226">
      <c r="A14226" s="8" t="n"/>
      <c r="B14226" s="9" t="n"/>
    </row>
    <row r="14227">
      <c r="A14227" s="8" t="n"/>
      <c r="B14227" s="9" t="n"/>
    </row>
    <row r="14228">
      <c r="A14228" s="8" t="n"/>
      <c r="B14228" s="9" t="n"/>
    </row>
    <row r="14229">
      <c r="A14229" s="8" t="n"/>
      <c r="B14229" s="9" t="n"/>
    </row>
    <row r="14230">
      <c r="A14230" s="8" t="n"/>
      <c r="B14230" s="9" t="n"/>
    </row>
    <row r="14231">
      <c r="A14231" s="8" t="n"/>
      <c r="B14231" s="9" t="n"/>
    </row>
    <row r="14232">
      <c r="A14232" s="8" t="n"/>
      <c r="B14232" s="9" t="n"/>
    </row>
    <row r="14233">
      <c r="A14233" s="8" t="n"/>
      <c r="B14233" s="9" t="n"/>
    </row>
    <row r="14234">
      <c r="A14234" s="8" t="n"/>
      <c r="B14234" s="9" t="n"/>
    </row>
    <row r="14235">
      <c r="A14235" s="8" t="n"/>
      <c r="B14235" s="9" t="n"/>
    </row>
    <row r="14236">
      <c r="A14236" s="8" t="n"/>
      <c r="B14236" s="9" t="n"/>
    </row>
    <row r="14237">
      <c r="A14237" s="8" t="n"/>
      <c r="B14237" s="9" t="n"/>
    </row>
    <row r="14238">
      <c r="A14238" s="8" t="n"/>
      <c r="B14238" s="9" t="n"/>
    </row>
    <row r="14239">
      <c r="A14239" s="8" t="n"/>
      <c r="B14239" s="9" t="n"/>
    </row>
    <row r="14240">
      <c r="A14240" s="8" t="n"/>
      <c r="B14240" s="9" t="n"/>
    </row>
    <row r="14241">
      <c r="A14241" s="8" t="n"/>
      <c r="B14241" s="9" t="n"/>
    </row>
    <row r="14242">
      <c r="A14242" s="8" t="n"/>
      <c r="B14242" s="9" t="n"/>
    </row>
    <row r="14243">
      <c r="A14243" s="8" t="n"/>
      <c r="B14243" s="9" t="n"/>
    </row>
    <row r="14244">
      <c r="A14244" s="8" t="n"/>
      <c r="B14244" s="9" t="n"/>
    </row>
    <row r="14245">
      <c r="A14245" s="8" t="n"/>
      <c r="B14245" s="9" t="n"/>
    </row>
    <row r="14246">
      <c r="A14246" s="8" t="n"/>
      <c r="B14246" s="9" t="n"/>
    </row>
    <row r="14247">
      <c r="A14247" s="8" t="n"/>
      <c r="B14247" s="9" t="n"/>
    </row>
    <row r="14248">
      <c r="A14248" s="8" t="n"/>
      <c r="B14248" s="9" t="n"/>
    </row>
    <row r="14249">
      <c r="A14249" s="8" t="n"/>
      <c r="B14249" s="9" t="n"/>
    </row>
    <row r="14250">
      <c r="A14250" s="8" t="n"/>
      <c r="B14250" s="9" t="n"/>
    </row>
    <row r="14251">
      <c r="A14251" s="8" t="n"/>
      <c r="B14251" s="9" t="n"/>
    </row>
    <row r="14252">
      <c r="A14252" s="8" t="n"/>
      <c r="B14252" s="9" t="n"/>
    </row>
    <row r="14253">
      <c r="A14253" s="8" t="n"/>
      <c r="B14253" s="9" t="n"/>
    </row>
    <row r="14254">
      <c r="A14254" s="8" t="n"/>
      <c r="B14254" s="9" t="n"/>
    </row>
    <row r="14255">
      <c r="A14255" s="8" t="n"/>
      <c r="B14255" s="9" t="n"/>
    </row>
    <row r="14256">
      <c r="A14256" s="8" t="n"/>
      <c r="B14256" s="9" t="n"/>
    </row>
    <row r="14257">
      <c r="A14257" s="8" t="n"/>
      <c r="B14257" s="9" t="n"/>
    </row>
    <row r="14258">
      <c r="A14258" s="8" t="n"/>
      <c r="B14258" s="9" t="n"/>
    </row>
    <row r="14259">
      <c r="A14259" s="8" t="n"/>
      <c r="B14259" s="9" t="n"/>
    </row>
    <row r="14260">
      <c r="A14260" s="8" t="n"/>
      <c r="B14260" s="9" t="n"/>
    </row>
    <row r="14261">
      <c r="A14261" s="8" t="n"/>
      <c r="B14261" s="9" t="n"/>
    </row>
    <row r="14262">
      <c r="A14262" s="8" t="n"/>
      <c r="B14262" s="9" t="n"/>
    </row>
    <row r="14263">
      <c r="A14263" s="8" t="n"/>
      <c r="B14263" s="9" t="n"/>
    </row>
    <row r="14264">
      <c r="A14264" s="8" t="n"/>
      <c r="B14264" s="9" t="n"/>
    </row>
    <row r="14265">
      <c r="A14265" s="8" t="n"/>
      <c r="B14265" s="9" t="n"/>
    </row>
    <row r="14266">
      <c r="A14266" s="8" t="n"/>
      <c r="B14266" s="9" t="n"/>
    </row>
    <row r="14267">
      <c r="A14267" s="8" t="n"/>
      <c r="B14267" s="9" t="n"/>
    </row>
    <row r="14268">
      <c r="A14268" s="8" t="n"/>
      <c r="B14268" s="9" t="n"/>
    </row>
    <row r="14269">
      <c r="A14269" s="8" t="n"/>
      <c r="B14269" s="9" t="n"/>
    </row>
    <row r="14270">
      <c r="A14270" s="8" t="n"/>
      <c r="B14270" s="9" t="n"/>
    </row>
    <row r="14271">
      <c r="A14271" s="8" t="n"/>
      <c r="B14271" s="9" t="n"/>
    </row>
    <row r="14272">
      <c r="A14272" s="8" t="n"/>
      <c r="B14272" s="9" t="n"/>
    </row>
    <row r="14273">
      <c r="A14273" s="8" t="n"/>
      <c r="B14273" s="9" t="n"/>
    </row>
    <row r="14274">
      <c r="A14274" s="8" t="n"/>
      <c r="B14274" s="9" t="n"/>
    </row>
    <row r="14275">
      <c r="A14275" s="8" t="n"/>
      <c r="B14275" s="9" t="n"/>
    </row>
    <row r="14276">
      <c r="A14276" s="8" t="n"/>
      <c r="B14276" s="9" t="n"/>
    </row>
    <row r="14277">
      <c r="A14277" s="8" t="n"/>
      <c r="B14277" s="9" t="n"/>
    </row>
    <row r="14278">
      <c r="A14278" s="8" t="n"/>
      <c r="B14278" s="9" t="n"/>
    </row>
    <row r="14279">
      <c r="A14279" s="8" t="n"/>
      <c r="B14279" s="9" t="n"/>
    </row>
    <row r="14280">
      <c r="A14280" s="8" t="n"/>
      <c r="B14280" s="9" t="n"/>
    </row>
    <row r="14281">
      <c r="A14281" s="8" t="n"/>
      <c r="B14281" s="9" t="n"/>
    </row>
    <row r="14282">
      <c r="A14282" s="8" t="n"/>
      <c r="B14282" s="9" t="n"/>
    </row>
    <row r="14283">
      <c r="A14283" s="8" t="n"/>
      <c r="B14283" s="9" t="n"/>
    </row>
    <row r="14284">
      <c r="A14284" s="8" t="n"/>
      <c r="B14284" s="9" t="n"/>
    </row>
    <row r="14285">
      <c r="A14285" s="8" t="n"/>
      <c r="B14285" s="9" t="n"/>
    </row>
    <row r="14286">
      <c r="A14286" s="8" t="n"/>
      <c r="B14286" s="9" t="n"/>
    </row>
    <row r="14287">
      <c r="A14287" s="8" t="n"/>
      <c r="B14287" s="9" t="n"/>
    </row>
    <row r="14288">
      <c r="A14288" s="8" t="n"/>
      <c r="B14288" s="9" t="n"/>
    </row>
    <row r="14289">
      <c r="A14289" s="8" t="n"/>
      <c r="B14289" s="9" t="n"/>
    </row>
    <row r="14290">
      <c r="A14290" s="8" t="n"/>
      <c r="B14290" s="9" t="n"/>
    </row>
    <row r="14291">
      <c r="A14291" s="8" t="n"/>
      <c r="B14291" s="9" t="n"/>
    </row>
    <row r="14292">
      <c r="A14292" s="8" t="n"/>
      <c r="B14292" s="9" t="n"/>
    </row>
    <row r="14293">
      <c r="A14293" s="8" t="n"/>
      <c r="B14293" s="9" t="n"/>
    </row>
    <row r="14294">
      <c r="A14294" s="8" t="n"/>
      <c r="B14294" s="9" t="n"/>
    </row>
    <row r="14295">
      <c r="A14295" s="8" t="n"/>
      <c r="B14295" s="9" t="n"/>
    </row>
    <row r="14296">
      <c r="A14296" s="8" t="n"/>
      <c r="B14296" s="9" t="n"/>
    </row>
    <row r="14297">
      <c r="A14297" s="8" t="n"/>
      <c r="B14297" s="9" t="n"/>
    </row>
    <row r="14298">
      <c r="A14298" s="8" t="n"/>
      <c r="B14298" s="9" t="n"/>
    </row>
    <row r="14299">
      <c r="A14299" s="8" t="n"/>
      <c r="B14299" s="9" t="n"/>
    </row>
    <row r="14300">
      <c r="A14300" s="8" t="n"/>
      <c r="B14300" s="9" t="n"/>
    </row>
    <row r="14301">
      <c r="A14301" s="8" t="n"/>
      <c r="B14301" s="9" t="n"/>
    </row>
    <row r="14302">
      <c r="A14302" s="8" t="n"/>
      <c r="B14302" s="9" t="n"/>
    </row>
    <row r="14303">
      <c r="A14303" s="8" t="n"/>
      <c r="B14303" s="9" t="n"/>
    </row>
    <row r="14304">
      <c r="A14304" s="8" t="n"/>
      <c r="B14304" s="9" t="n"/>
    </row>
    <row r="14305">
      <c r="A14305" s="8" t="n"/>
      <c r="B14305" s="9" t="n"/>
    </row>
    <row r="14306">
      <c r="A14306" s="8" t="n"/>
      <c r="B14306" s="9" t="n"/>
    </row>
    <row r="14307">
      <c r="A14307" s="8" t="n"/>
      <c r="B14307" s="9" t="n"/>
    </row>
    <row r="14308">
      <c r="A14308" s="8" t="n"/>
      <c r="B14308" s="9" t="n"/>
    </row>
    <row r="14309">
      <c r="A14309" s="8" t="n"/>
      <c r="B14309" s="9" t="n"/>
    </row>
    <row r="14310">
      <c r="A14310" s="8" t="n"/>
      <c r="B14310" s="9" t="n"/>
    </row>
    <row r="14311">
      <c r="A14311" s="8" t="n"/>
      <c r="B14311" s="9" t="n"/>
    </row>
    <row r="14312">
      <c r="A14312" s="8" t="n"/>
      <c r="B14312" s="9" t="n"/>
    </row>
    <row r="14313">
      <c r="A14313" s="8" t="n"/>
      <c r="B14313" s="9" t="n"/>
    </row>
    <row r="14314">
      <c r="A14314" s="8" t="n"/>
      <c r="B14314" s="9" t="n"/>
    </row>
    <row r="14315">
      <c r="A14315" s="8" t="n"/>
      <c r="B14315" s="9" t="n"/>
    </row>
    <row r="14316">
      <c r="A14316" s="8" t="n"/>
      <c r="B14316" s="9" t="n"/>
    </row>
    <row r="14317">
      <c r="A14317" s="8" t="n"/>
      <c r="B14317" s="9" t="n"/>
    </row>
    <row r="14318">
      <c r="A14318" s="8" t="n"/>
      <c r="B14318" s="9" t="n"/>
    </row>
    <row r="14319">
      <c r="A14319" s="8" t="n"/>
      <c r="B14319" s="9" t="n"/>
    </row>
    <row r="14320">
      <c r="A14320" s="8" t="n"/>
      <c r="B14320" s="9" t="n"/>
    </row>
    <row r="14321">
      <c r="A14321" s="8" t="n"/>
      <c r="B14321" s="9" t="n"/>
    </row>
    <row r="14322">
      <c r="A14322" s="8" t="n"/>
      <c r="B14322" s="9" t="n"/>
    </row>
    <row r="14323">
      <c r="A14323" s="8" t="n"/>
      <c r="B14323" s="9" t="n"/>
    </row>
    <row r="14324">
      <c r="A14324" s="8" t="n"/>
      <c r="B14324" s="9" t="n"/>
    </row>
    <row r="14325">
      <c r="A14325" s="8" t="n"/>
      <c r="B14325" s="9" t="n"/>
    </row>
    <row r="14326">
      <c r="A14326" s="8" t="n"/>
      <c r="B14326" s="9" t="n"/>
    </row>
    <row r="14327">
      <c r="A14327" s="8" t="n"/>
      <c r="B14327" s="9" t="n"/>
    </row>
    <row r="14328">
      <c r="A14328" s="8" t="n"/>
      <c r="B14328" s="9" t="n"/>
    </row>
    <row r="14329">
      <c r="A14329" s="8" t="n"/>
      <c r="B14329" s="9" t="n"/>
    </row>
    <row r="14330">
      <c r="A14330" s="8" t="n"/>
      <c r="B14330" s="9" t="n"/>
    </row>
    <row r="14331">
      <c r="A14331" s="8" t="n"/>
      <c r="B14331" s="9" t="n"/>
    </row>
    <row r="14332">
      <c r="A14332" s="8" t="n"/>
      <c r="B14332" s="9" t="n"/>
    </row>
    <row r="14333">
      <c r="A14333" s="8" t="n"/>
      <c r="B14333" s="9" t="n"/>
    </row>
    <row r="14334">
      <c r="A14334" s="8" t="n"/>
      <c r="B14334" s="9" t="n"/>
    </row>
    <row r="14335">
      <c r="A14335" s="8" t="n"/>
      <c r="B14335" s="9" t="n"/>
    </row>
    <row r="14336">
      <c r="A14336" s="8" t="n"/>
      <c r="B14336" s="9" t="n"/>
    </row>
    <row r="14337">
      <c r="A14337" s="8" t="n"/>
      <c r="B14337" s="9" t="n"/>
    </row>
    <row r="14338">
      <c r="A14338" s="8" t="n"/>
      <c r="B14338" s="9" t="n"/>
    </row>
    <row r="14339">
      <c r="A14339" s="8" t="n"/>
      <c r="B14339" s="9" t="n"/>
    </row>
    <row r="14340">
      <c r="A14340" s="8" t="n"/>
      <c r="B14340" s="9" t="n"/>
    </row>
    <row r="14341">
      <c r="A14341" s="8" t="n"/>
      <c r="B14341" s="9" t="n"/>
    </row>
    <row r="14342">
      <c r="A14342" s="8" t="n"/>
      <c r="B14342" s="9" t="n"/>
    </row>
    <row r="14343">
      <c r="A14343" s="8" t="n"/>
      <c r="B14343" s="9" t="n"/>
    </row>
    <row r="14344">
      <c r="A14344" s="8" t="n"/>
      <c r="B14344" s="9" t="n"/>
    </row>
    <row r="14345">
      <c r="A14345" s="8" t="n"/>
      <c r="B14345" s="9" t="n"/>
    </row>
    <row r="14346">
      <c r="A14346" s="8" t="n"/>
      <c r="B14346" s="9" t="n"/>
    </row>
    <row r="14347">
      <c r="A14347" s="8" t="n"/>
      <c r="B14347" s="9" t="n"/>
    </row>
    <row r="14348">
      <c r="A14348" s="8" t="n"/>
      <c r="B14348" s="9" t="n"/>
    </row>
    <row r="14349">
      <c r="A14349" s="8" t="n"/>
      <c r="B14349" s="9" t="n"/>
    </row>
    <row r="14350">
      <c r="A14350" s="8" t="n"/>
      <c r="B14350" s="9" t="n"/>
    </row>
    <row r="14351">
      <c r="A14351" s="8" t="n"/>
      <c r="B14351" s="9" t="n"/>
    </row>
    <row r="14352">
      <c r="A14352" s="8" t="n"/>
      <c r="B14352" s="9" t="n"/>
    </row>
    <row r="14353">
      <c r="A14353" s="8" t="n"/>
      <c r="B14353" s="9" t="n"/>
    </row>
    <row r="14354">
      <c r="A14354" s="8" t="n"/>
      <c r="B14354" s="9" t="n"/>
    </row>
    <row r="14355">
      <c r="A14355" s="8" t="n"/>
      <c r="B14355" s="9" t="n"/>
    </row>
    <row r="14356">
      <c r="A14356" s="8" t="n"/>
      <c r="B14356" s="9" t="n"/>
    </row>
    <row r="14357">
      <c r="A14357" s="8" t="n"/>
      <c r="B14357" s="9" t="n"/>
    </row>
    <row r="14358">
      <c r="A14358" s="8" t="n"/>
      <c r="B14358" s="9" t="n"/>
    </row>
    <row r="14359">
      <c r="A14359" s="8" t="n"/>
      <c r="B14359" s="9" t="n"/>
    </row>
    <row r="14360">
      <c r="A14360" s="8" t="n"/>
      <c r="B14360" s="9" t="n"/>
    </row>
    <row r="14361">
      <c r="A14361" s="8" t="n"/>
      <c r="B14361" s="9" t="n"/>
    </row>
    <row r="14362">
      <c r="A14362" s="8" t="n"/>
      <c r="B14362" s="9" t="n"/>
    </row>
    <row r="14363">
      <c r="A14363" s="8" t="n"/>
      <c r="B14363" s="9" t="n"/>
    </row>
    <row r="14364">
      <c r="A14364" s="8" t="n"/>
      <c r="B14364" s="9" t="n"/>
    </row>
    <row r="14365">
      <c r="A14365" s="8" t="n"/>
      <c r="B14365" s="9" t="n"/>
    </row>
    <row r="14366">
      <c r="A14366" s="8" t="n"/>
      <c r="B14366" s="9" t="n"/>
    </row>
    <row r="14367">
      <c r="A14367" s="8" t="n"/>
      <c r="B14367" s="9" t="n"/>
    </row>
    <row r="14368">
      <c r="A14368" s="8" t="n"/>
      <c r="B14368" s="9" t="n"/>
    </row>
    <row r="14369">
      <c r="A14369" s="8" t="n"/>
      <c r="B14369" s="9" t="n"/>
    </row>
    <row r="14370">
      <c r="A14370" s="8" t="n"/>
      <c r="B14370" s="9" t="n"/>
    </row>
    <row r="14371">
      <c r="A14371" s="8" t="n"/>
      <c r="B14371" s="9" t="n"/>
    </row>
    <row r="14372">
      <c r="A14372" s="8" t="n"/>
      <c r="B14372" s="9" t="n"/>
    </row>
    <row r="14373">
      <c r="A14373" s="8" t="n"/>
      <c r="B14373" s="9" t="n"/>
    </row>
    <row r="14374">
      <c r="A14374" s="8" t="n"/>
      <c r="B14374" s="9" t="n"/>
    </row>
    <row r="14375">
      <c r="A14375" s="8" t="n"/>
      <c r="B14375" s="9" t="n"/>
    </row>
    <row r="14376">
      <c r="A14376" s="8" t="n"/>
      <c r="B14376" s="9" t="n"/>
    </row>
    <row r="14377">
      <c r="A14377" s="8" t="n"/>
      <c r="B14377" s="9" t="n"/>
    </row>
    <row r="14378">
      <c r="A14378" s="8" t="n"/>
      <c r="B14378" s="9" t="n"/>
    </row>
    <row r="14379">
      <c r="A14379" s="8" t="n"/>
      <c r="B14379" s="9" t="n"/>
    </row>
    <row r="14380">
      <c r="A14380" s="8" t="n"/>
      <c r="B14380" s="9" t="n"/>
    </row>
    <row r="14381">
      <c r="A14381" s="8" t="n"/>
      <c r="B14381" s="9" t="n"/>
    </row>
    <row r="14382">
      <c r="A14382" s="8" t="n"/>
      <c r="B14382" s="9" t="n"/>
    </row>
    <row r="14383">
      <c r="A14383" s="8" t="n"/>
      <c r="B14383" s="9" t="n"/>
    </row>
    <row r="14384">
      <c r="A14384" s="8" t="n"/>
      <c r="B14384" s="9" t="n"/>
    </row>
    <row r="14385">
      <c r="A14385" s="8" t="n"/>
      <c r="B14385" s="9" t="n"/>
    </row>
    <row r="14386">
      <c r="A14386" s="8" t="n"/>
      <c r="B14386" s="9" t="n"/>
    </row>
    <row r="14387">
      <c r="A14387" s="8" t="n"/>
      <c r="B14387" s="9" t="n"/>
    </row>
    <row r="14388">
      <c r="A14388" s="8" t="n"/>
      <c r="B14388" s="9" t="n"/>
    </row>
    <row r="14389">
      <c r="A14389" s="8" t="n"/>
      <c r="B14389" s="9" t="n"/>
    </row>
    <row r="14390">
      <c r="A14390" s="8" t="n"/>
      <c r="B14390" s="9" t="n"/>
    </row>
    <row r="14391">
      <c r="A14391" s="8" t="n"/>
      <c r="B14391" s="9" t="n"/>
    </row>
    <row r="14392">
      <c r="A14392" s="8" t="n"/>
      <c r="B14392" s="9" t="n"/>
    </row>
    <row r="14393">
      <c r="A14393" s="8" t="n"/>
      <c r="B14393" s="9" t="n"/>
    </row>
    <row r="14394">
      <c r="A14394" s="8" t="n"/>
      <c r="B14394" s="9" t="n"/>
    </row>
    <row r="14395">
      <c r="A14395" s="8" t="n"/>
      <c r="B14395" s="9" t="n"/>
    </row>
    <row r="14396">
      <c r="A14396" s="8" t="n"/>
      <c r="B14396" s="9" t="n"/>
    </row>
    <row r="14397">
      <c r="A14397" s="8" t="n"/>
      <c r="B14397" s="9" t="n"/>
    </row>
    <row r="14398">
      <c r="A14398" s="8" t="n"/>
      <c r="B14398" s="9" t="n"/>
    </row>
    <row r="14399">
      <c r="A14399" s="8" t="n"/>
      <c r="B14399" s="9" t="n"/>
    </row>
    <row r="14400">
      <c r="A14400" s="8" t="n"/>
      <c r="B14400" s="9" t="n"/>
    </row>
    <row r="14401">
      <c r="A14401" s="8" t="n"/>
      <c r="B14401" s="9" t="n"/>
    </row>
    <row r="14402">
      <c r="A14402" s="8" t="n"/>
      <c r="B14402" s="9" t="n"/>
    </row>
    <row r="14403">
      <c r="A14403" s="8" t="n"/>
      <c r="B14403" s="9" t="n"/>
    </row>
    <row r="14404">
      <c r="A14404" s="8" t="n"/>
      <c r="B14404" s="9" t="n"/>
    </row>
    <row r="14405">
      <c r="A14405" s="8" t="n"/>
      <c r="B14405" s="9" t="n"/>
    </row>
    <row r="14406">
      <c r="A14406" s="8" t="n"/>
      <c r="B14406" s="9" t="n"/>
    </row>
    <row r="14407">
      <c r="A14407" s="8" t="n"/>
      <c r="B14407" s="9" t="n"/>
    </row>
    <row r="14408">
      <c r="A14408" s="8" t="n"/>
      <c r="B14408" s="9" t="n"/>
    </row>
    <row r="14409">
      <c r="A14409" s="8" t="n"/>
      <c r="B14409" s="9" t="n"/>
    </row>
    <row r="14410">
      <c r="A14410" s="8" t="n"/>
      <c r="B14410" s="9" t="n"/>
    </row>
    <row r="14411">
      <c r="A14411" s="8" t="n"/>
      <c r="B14411" s="9" t="n"/>
    </row>
    <row r="14412">
      <c r="A14412" s="8" t="n"/>
      <c r="B14412" s="9" t="n"/>
    </row>
    <row r="14413">
      <c r="A14413" s="8" t="n"/>
      <c r="B14413" s="9" t="n"/>
    </row>
    <row r="14414">
      <c r="A14414" s="8" t="n"/>
      <c r="B14414" s="9" t="n"/>
    </row>
    <row r="14415">
      <c r="A14415" s="8" t="n"/>
      <c r="B14415" s="9" t="n"/>
    </row>
    <row r="14416">
      <c r="A14416" s="8" t="n"/>
      <c r="B14416" s="9" t="n"/>
    </row>
    <row r="14417">
      <c r="A14417" s="8" t="n"/>
      <c r="B14417" s="9" t="n"/>
    </row>
    <row r="14418">
      <c r="A14418" s="8" t="n"/>
      <c r="B14418" s="9" t="n"/>
    </row>
    <row r="14419">
      <c r="A14419" s="8" t="n"/>
      <c r="B14419" s="9" t="n"/>
    </row>
    <row r="14420">
      <c r="A14420" s="8" t="n"/>
      <c r="B14420" s="9" t="n"/>
    </row>
    <row r="14421">
      <c r="A14421" s="8" t="n"/>
      <c r="B14421" s="9" t="n"/>
    </row>
    <row r="14422">
      <c r="A14422" s="8" t="n"/>
      <c r="B14422" s="9" t="n"/>
    </row>
    <row r="14423">
      <c r="A14423" s="8" t="n"/>
      <c r="B14423" s="9" t="n"/>
    </row>
    <row r="14424">
      <c r="A14424" s="8" t="n"/>
      <c r="B14424" s="9" t="n"/>
    </row>
    <row r="14425">
      <c r="A14425" s="8" t="n"/>
      <c r="B14425" s="9" t="n"/>
    </row>
    <row r="14426">
      <c r="A14426" s="8" t="n"/>
      <c r="B14426" s="9" t="n"/>
    </row>
    <row r="14427">
      <c r="A14427" s="8" t="n"/>
      <c r="B14427" s="9" t="n"/>
    </row>
    <row r="14428">
      <c r="A14428" s="8" t="n"/>
      <c r="B14428" s="9" t="n"/>
    </row>
    <row r="14429">
      <c r="A14429" s="8" t="n"/>
      <c r="B14429" s="9" t="n"/>
    </row>
    <row r="14430">
      <c r="A14430" s="8" t="n"/>
      <c r="B14430" s="9" t="n"/>
    </row>
    <row r="14431">
      <c r="A14431" s="8" t="n"/>
      <c r="B14431" s="9" t="n"/>
    </row>
    <row r="14432">
      <c r="A14432" s="8" t="n"/>
      <c r="B14432" s="9" t="n"/>
    </row>
    <row r="14433">
      <c r="A14433" s="8" t="n"/>
      <c r="B14433" s="9" t="n"/>
    </row>
    <row r="14434">
      <c r="A14434" s="8" t="n"/>
      <c r="B14434" s="9" t="n"/>
    </row>
    <row r="14435">
      <c r="A14435" s="8" t="n"/>
      <c r="B14435" s="9" t="n"/>
    </row>
    <row r="14436">
      <c r="A14436" s="8" t="n"/>
      <c r="B14436" s="9" t="n"/>
    </row>
    <row r="14437">
      <c r="A14437" s="8" t="n"/>
      <c r="B14437" s="9" t="n"/>
    </row>
    <row r="14438">
      <c r="A14438" s="8" t="n"/>
      <c r="B14438" s="9" t="n"/>
    </row>
    <row r="14439">
      <c r="A14439" s="8" t="n"/>
      <c r="B14439" s="9" t="n"/>
    </row>
    <row r="14440">
      <c r="A14440" s="8" t="n"/>
      <c r="B14440" s="9" t="n"/>
    </row>
    <row r="14441">
      <c r="A14441" s="8" t="n"/>
      <c r="B14441" s="9" t="n"/>
    </row>
    <row r="14442">
      <c r="A14442" s="8" t="n"/>
      <c r="B14442" s="9" t="n"/>
    </row>
    <row r="14443">
      <c r="A14443" s="8" t="n"/>
      <c r="B14443" s="9" t="n"/>
    </row>
    <row r="14444">
      <c r="A14444" s="8" t="n"/>
      <c r="B14444" s="9" t="n"/>
    </row>
    <row r="14445">
      <c r="A14445" s="8" t="n"/>
      <c r="B14445" s="9" t="n"/>
    </row>
    <row r="14446">
      <c r="A14446" s="8" t="n"/>
      <c r="B14446" s="9" t="n"/>
    </row>
    <row r="14447">
      <c r="A14447" s="8" t="n"/>
      <c r="B14447" s="9" t="n"/>
    </row>
    <row r="14448">
      <c r="A14448" s="8" t="n"/>
      <c r="B14448" s="9" t="n"/>
    </row>
    <row r="14449">
      <c r="A14449" s="8" t="n"/>
      <c r="B14449" s="9" t="n"/>
    </row>
    <row r="14450">
      <c r="A14450" s="8" t="n"/>
      <c r="B14450" s="9" t="n"/>
    </row>
    <row r="14451">
      <c r="A14451" s="8" t="n"/>
      <c r="B14451" s="9" t="n"/>
    </row>
    <row r="14452">
      <c r="A14452" s="8" t="n"/>
      <c r="B14452" s="9" t="n"/>
    </row>
    <row r="14453">
      <c r="A14453" s="8" t="n"/>
      <c r="B14453" s="9" t="n"/>
    </row>
    <row r="14454">
      <c r="A14454" s="8" t="n"/>
      <c r="B14454" s="9" t="n"/>
    </row>
    <row r="14455">
      <c r="A14455" s="8" t="n"/>
      <c r="B14455" s="9" t="n"/>
    </row>
    <row r="14456">
      <c r="A14456" s="8" t="n"/>
      <c r="B14456" s="9" t="n"/>
    </row>
    <row r="14457">
      <c r="A14457" s="8" t="n"/>
      <c r="B14457" s="9" t="n"/>
    </row>
    <row r="14458">
      <c r="A14458" s="8" t="n"/>
      <c r="B14458" s="9" t="n"/>
    </row>
    <row r="14459">
      <c r="A14459" s="8" t="n"/>
      <c r="B14459" s="9" t="n"/>
    </row>
    <row r="14460">
      <c r="A14460" s="8" t="n"/>
      <c r="B14460" s="9" t="n"/>
    </row>
    <row r="14461">
      <c r="A14461" s="8" t="n"/>
      <c r="B14461" s="9" t="n"/>
    </row>
    <row r="14462">
      <c r="A14462" s="8" t="n"/>
      <c r="B14462" s="9" t="n"/>
    </row>
    <row r="14463">
      <c r="A14463" s="8" t="n"/>
      <c r="B14463" s="9" t="n"/>
    </row>
    <row r="14464">
      <c r="A14464" s="8" t="n"/>
      <c r="B14464" s="9" t="n"/>
    </row>
    <row r="14465">
      <c r="A14465" s="8" t="n"/>
      <c r="B14465" s="9" t="n"/>
    </row>
    <row r="14466">
      <c r="A14466" s="8" t="n"/>
      <c r="B14466" s="9" t="n"/>
    </row>
    <row r="14467">
      <c r="A14467" s="8" t="n"/>
      <c r="B14467" s="9" t="n"/>
    </row>
    <row r="14468">
      <c r="A14468" s="8" t="n"/>
      <c r="B14468" s="9" t="n"/>
    </row>
    <row r="14469">
      <c r="A14469" s="8" t="n"/>
      <c r="B14469" s="9" t="n"/>
    </row>
    <row r="14470">
      <c r="A14470" s="8" t="n"/>
      <c r="B14470" s="9" t="n"/>
    </row>
    <row r="14471">
      <c r="A14471" s="8" t="n"/>
      <c r="B14471" s="9" t="n"/>
    </row>
    <row r="14472">
      <c r="A14472" s="8" t="n"/>
      <c r="B14472" s="9" t="n"/>
    </row>
    <row r="14473">
      <c r="A14473" s="8" t="n"/>
      <c r="B14473" s="9" t="n"/>
    </row>
    <row r="14474">
      <c r="A14474" s="8" t="n"/>
      <c r="B14474" s="9" t="n"/>
    </row>
    <row r="14475">
      <c r="A14475" s="8" t="n"/>
      <c r="B14475" s="9" t="n"/>
    </row>
    <row r="14476">
      <c r="A14476" s="8" t="n"/>
      <c r="B14476" s="9" t="n"/>
    </row>
    <row r="14477">
      <c r="A14477" s="8" t="n"/>
      <c r="B14477" s="9" t="n"/>
    </row>
    <row r="14478">
      <c r="A14478" s="8" t="n"/>
      <c r="B14478" s="9" t="n"/>
    </row>
    <row r="14479">
      <c r="A14479" s="8" t="n"/>
      <c r="B14479" s="9" t="n"/>
    </row>
    <row r="14480">
      <c r="A14480" s="8" t="n"/>
      <c r="B14480" s="9" t="n"/>
    </row>
    <row r="14481">
      <c r="A14481" s="8" t="n"/>
      <c r="B14481" s="9" t="n"/>
    </row>
    <row r="14482">
      <c r="A14482" s="8" t="n"/>
      <c r="B14482" s="9" t="n"/>
    </row>
    <row r="14483">
      <c r="A14483" s="8" t="n"/>
      <c r="B14483" s="9" t="n"/>
    </row>
    <row r="14484">
      <c r="A14484" s="8" t="n"/>
      <c r="B14484" s="9" t="n"/>
    </row>
    <row r="14485">
      <c r="A14485" s="8" t="n"/>
      <c r="B14485" s="9" t="n"/>
    </row>
    <row r="14486">
      <c r="A14486" s="8" t="n"/>
      <c r="B14486" s="9" t="n"/>
    </row>
    <row r="14487">
      <c r="A14487" s="8" t="n"/>
      <c r="B14487" s="9" t="n"/>
    </row>
    <row r="14488">
      <c r="A14488" s="8" t="n"/>
      <c r="B14488" s="9" t="n"/>
    </row>
    <row r="14489">
      <c r="A14489" s="8" t="n"/>
      <c r="B14489" s="9" t="n"/>
    </row>
    <row r="14490">
      <c r="A14490" s="8" t="n"/>
      <c r="B14490" s="9" t="n"/>
    </row>
    <row r="14491">
      <c r="A14491" s="8" t="n"/>
      <c r="B14491" s="9" t="n"/>
    </row>
    <row r="14492">
      <c r="A14492" s="8" t="n"/>
      <c r="B14492" s="9" t="n"/>
    </row>
    <row r="14493">
      <c r="A14493" s="8" t="n"/>
      <c r="B14493" s="9" t="n"/>
    </row>
    <row r="14494">
      <c r="A14494" s="8" t="n"/>
      <c r="B14494" s="9" t="n"/>
    </row>
    <row r="14495">
      <c r="A14495" s="8" t="n"/>
      <c r="B14495" s="9" t="n"/>
    </row>
    <row r="14496">
      <c r="A14496" s="8" t="n"/>
      <c r="B14496" s="9" t="n"/>
    </row>
    <row r="14497">
      <c r="A14497" s="8" t="n"/>
      <c r="B14497" s="9" t="n"/>
    </row>
    <row r="14498">
      <c r="A14498" s="8" t="n"/>
      <c r="B14498" s="9" t="n"/>
    </row>
    <row r="14499">
      <c r="A14499" s="8" t="n"/>
      <c r="B14499" s="9" t="n"/>
    </row>
    <row r="14500">
      <c r="A14500" s="8" t="n"/>
      <c r="B14500" s="9" t="n"/>
    </row>
    <row r="14501">
      <c r="A14501" s="8" t="n"/>
      <c r="B14501" s="9" t="n"/>
    </row>
    <row r="14502">
      <c r="A14502" s="8" t="n"/>
      <c r="B14502" s="9" t="n"/>
    </row>
    <row r="14503">
      <c r="A14503" s="8" t="n"/>
      <c r="B14503" s="9" t="n"/>
    </row>
    <row r="14504">
      <c r="A14504" s="8" t="n"/>
      <c r="B14504" s="9" t="n"/>
    </row>
    <row r="14505">
      <c r="A14505" s="8" t="n"/>
      <c r="B14505" s="9" t="n"/>
    </row>
    <row r="14506">
      <c r="A14506" s="8" t="n"/>
      <c r="B14506" s="9" t="n"/>
    </row>
    <row r="14507">
      <c r="A14507" s="8" t="n"/>
      <c r="B14507" s="9" t="n"/>
    </row>
    <row r="14508">
      <c r="A14508" s="8" t="n"/>
      <c r="B14508" s="9" t="n"/>
    </row>
    <row r="14509">
      <c r="A14509" s="8" t="n"/>
      <c r="B14509" s="9" t="n"/>
    </row>
    <row r="14510">
      <c r="A14510" s="8" t="n"/>
      <c r="B14510" s="9" t="n"/>
    </row>
    <row r="14511">
      <c r="A14511" s="8" t="n"/>
      <c r="B14511" s="9" t="n"/>
    </row>
    <row r="14512">
      <c r="A14512" s="8" t="n"/>
      <c r="B14512" s="9" t="n"/>
    </row>
    <row r="14513">
      <c r="A14513" s="8" t="n"/>
      <c r="B14513" s="9" t="n"/>
    </row>
    <row r="14514">
      <c r="A14514" s="8" t="n"/>
      <c r="B14514" s="9" t="n"/>
    </row>
    <row r="14515">
      <c r="A14515" s="8" t="n"/>
      <c r="B14515" s="9" t="n"/>
    </row>
    <row r="14516">
      <c r="A14516" s="8" t="n"/>
      <c r="B14516" s="9" t="n"/>
    </row>
    <row r="14517">
      <c r="A14517" s="8" t="n"/>
      <c r="B14517" s="9" t="n"/>
    </row>
    <row r="14518">
      <c r="A14518" s="8" t="n"/>
      <c r="B14518" s="9" t="n"/>
    </row>
    <row r="14519">
      <c r="A14519" s="8" t="n"/>
      <c r="B14519" s="9" t="n"/>
    </row>
    <row r="14520">
      <c r="A14520" s="8" t="n"/>
      <c r="B14520" s="9" t="n"/>
    </row>
    <row r="14521">
      <c r="A14521" s="8" t="n"/>
      <c r="B14521" s="9" t="n"/>
    </row>
    <row r="14522">
      <c r="A14522" s="8" t="n"/>
      <c r="B14522" s="9" t="n"/>
    </row>
    <row r="14523">
      <c r="A14523" s="8" t="n"/>
      <c r="B14523" s="9" t="n"/>
    </row>
    <row r="14524">
      <c r="A14524" s="8" t="n"/>
      <c r="B14524" s="9" t="n"/>
    </row>
    <row r="14525">
      <c r="A14525" s="8" t="n"/>
      <c r="B14525" s="9" t="n"/>
    </row>
    <row r="14526">
      <c r="A14526" s="8" t="n"/>
      <c r="B14526" s="9" t="n"/>
    </row>
    <row r="14527">
      <c r="A14527" s="8" t="n"/>
      <c r="B14527" s="9" t="n"/>
    </row>
    <row r="14528">
      <c r="A14528" s="8" t="n"/>
      <c r="B14528" s="9" t="n"/>
    </row>
    <row r="14529">
      <c r="A14529" s="8" t="n"/>
      <c r="B14529" s="9" t="n"/>
    </row>
    <row r="14530">
      <c r="A14530" s="8" t="n"/>
      <c r="B14530" s="9" t="n"/>
    </row>
    <row r="14531">
      <c r="A14531" s="8" t="n"/>
      <c r="B14531" s="9" t="n"/>
    </row>
    <row r="14532">
      <c r="A14532" s="8" t="n"/>
      <c r="B14532" s="9" t="n"/>
    </row>
    <row r="14533">
      <c r="A14533" s="8" t="n"/>
      <c r="B14533" s="9" t="n"/>
    </row>
    <row r="14534">
      <c r="A14534" s="8" t="n"/>
      <c r="B14534" s="9" t="n"/>
    </row>
    <row r="14535">
      <c r="A14535" s="8" t="n"/>
      <c r="B14535" s="9" t="n"/>
    </row>
    <row r="14536">
      <c r="A14536" s="8" t="n"/>
      <c r="B14536" s="9" t="n"/>
    </row>
    <row r="14537">
      <c r="A14537" s="8" t="n"/>
      <c r="B14537" s="9" t="n"/>
    </row>
    <row r="14538">
      <c r="A14538" s="8" t="n"/>
      <c r="B14538" s="9" t="n"/>
    </row>
    <row r="14539">
      <c r="A14539" s="8" t="n"/>
      <c r="B14539" s="9" t="n"/>
    </row>
    <row r="14540">
      <c r="A14540" s="8" t="n"/>
      <c r="B14540" s="9" t="n"/>
    </row>
    <row r="14541">
      <c r="A14541" s="8" t="n"/>
      <c r="B14541" s="9" t="n"/>
    </row>
    <row r="14542">
      <c r="A14542" s="8" t="n"/>
      <c r="B14542" s="9" t="n"/>
    </row>
    <row r="14543">
      <c r="A14543" s="8" t="n"/>
      <c r="B14543" s="9" t="n"/>
    </row>
    <row r="14544">
      <c r="A14544" s="8" t="n"/>
      <c r="B14544" s="9" t="n"/>
    </row>
    <row r="14545">
      <c r="A14545" s="8" t="n"/>
      <c r="B14545" s="9" t="n"/>
    </row>
    <row r="14546">
      <c r="A14546" s="8" t="n"/>
      <c r="B14546" s="9" t="n"/>
    </row>
    <row r="14547">
      <c r="A14547" s="8" t="n"/>
      <c r="B14547" s="9" t="n"/>
    </row>
    <row r="14548">
      <c r="A14548" s="8" t="n"/>
      <c r="B14548" s="9" t="n"/>
    </row>
    <row r="14549">
      <c r="A14549" s="8" t="n"/>
      <c r="B14549" s="9" t="n"/>
    </row>
    <row r="14550">
      <c r="A14550" s="8" t="n"/>
      <c r="B14550" s="9" t="n"/>
    </row>
    <row r="14551">
      <c r="A14551" s="8" t="n"/>
      <c r="B14551" s="9" t="n"/>
    </row>
    <row r="14552">
      <c r="A14552" s="8" t="n"/>
      <c r="B14552" s="9" t="n"/>
    </row>
    <row r="14553">
      <c r="A14553" s="8" t="n"/>
      <c r="B14553" s="9" t="n"/>
    </row>
    <row r="14554">
      <c r="A14554" s="8" t="n"/>
      <c r="B14554" s="9" t="n"/>
    </row>
    <row r="14555">
      <c r="A14555" s="8" t="n"/>
      <c r="B14555" s="9" t="n"/>
    </row>
    <row r="14556">
      <c r="A14556" s="8" t="n"/>
      <c r="B14556" s="9" t="n"/>
    </row>
    <row r="14557">
      <c r="A14557" s="8" t="n"/>
      <c r="B14557" s="9" t="n"/>
    </row>
    <row r="14558">
      <c r="A14558" s="8" t="n"/>
      <c r="B14558" s="9" t="n"/>
    </row>
    <row r="14559">
      <c r="A14559" s="8" t="n"/>
      <c r="B14559" s="9" t="n"/>
    </row>
    <row r="14560">
      <c r="A14560" s="8" t="n"/>
      <c r="B14560" s="9" t="n"/>
    </row>
    <row r="14561">
      <c r="A14561" s="8" t="n"/>
      <c r="B14561" s="9" t="n"/>
    </row>
    <row r="14562">
      <c r="A14562" s="8" t="n"/>
      <c r="B14562" s="9" t="n"/>
    </row>
    <row r="14563">
      <c r="A14563" s="8" t="n"/>
      <c r="B14563" s="9" t="n"/>
    </row>
    <row r="14564">
      <c r="A14564" s="8" t="n"/>
      <c r="B14564" s="9" t="n"/>
    </row>
    <row r="14565">
      <c r="A14565" s="8" t="n"/>
      <c r="B14565" s="9" t="n"/>
    </row>
    <row r="14566">
      <c r="A14566" s="8" t="n"/>
      <c r="B14566" s="9" t="n"/>
    </row>
    <row r="14567">
      <c r="A14567" s="8" t="n"/>
      <c r="B14567" s="9" t="n"/>
    </row>
    <row r="14568">
      <c r="A14568" s="8" t="n"/>
      <c r="B14568" s="9" t="n"/>
    </row>
    <row r="14569">
      <c r="A14569" s="8" t="n"/>
      <c r="B14569" s="9" t="n"/>
    </row>
    <row r="14570">
      <c r="A14570" s="8" t="n"/>
      <c r="B14570" s="9" t="n"/>
    </row>
    <row r="14571">
      <c r="A14571" s="8" t="n"/>
      <c r="B14571" s="9" t="n"/>
    </row>
    <row r="14572">
      <c r="A14572" s="8" t="n"/>
      <c r="B14572" s="9" t="n"/>
    </row>
    <row r="14573">
      <c r="A14573" s="8" t="n"/>
      <c r="B14573" s="9" t="n"/>
    </row>
    <row r="14574">
      <c r="A14574" s="8" t="n"/>
      <c r="B14574" s="9" t="n"/>
    </row>
    <row r="14575">
      <c r="A14575" s="8" t="n"/>
      <c r="B14575" s="9" t="n"/>
    </row>
    <row r="14576">
      <c r="A14576" s="8" t="n"/>
      <c r="B14576" s="9" t="n"/>
    </row>
    <row r="14577">
      <c r="A14577" s="8" t="n"/>
      <c r="B14577" s="9" t="n"/>
    </row>
    <row r="14578">
      <c r="A14578" s="8" t="n"/>
      <c r="B14578" s="9" t="n"/>
    </row>
    <row r="14579">
      <c r="A14579" s="8" t="n"/>
      <c r="B14579" s="9" t="n"/>
    </row>
    <row r="14580">
      <c r="A14580" s="8" t="n"/>
      <c r="B14580" s="9" t="n"/>
    </row>
    <row r="14581">
      <c r="A14581" s="8" t="n"/>
      <c r="B14581" s="9" t="n"/>
    </row>
    <row r="14582">
      <c r="A14582" s="8" t="n"/>
      <c r="B14582" s="9" t="n"/>
    </row>
    <row r="14583">
      <c r="A14583" s="8" t="n"/>
      <c r="B14583" s="9" t="n"/>
    </row>
    <row r="14584">
      <c r="A14584" s="8" t="n"/>
      <c r="B14584" s="9" t="n"/>
    </row>
    <row r="14585">
      <c r="A14585" s="8" t="n"/>
      <c r="B14585" s="9" t="n"/>
    </row>
    <row r="14586">
      <c r="A14586" s="8" t="n"/>
      <c r="B14586" s="9" t="n"/>
    </row>
    <row r="14587">
      <c r="A14587" s="8" t="n"/>
      <c r="B14587" s="9" t="n"/>
    </row>
    <row r="14588">
      <c r="A14588" s="8" t="n"/>
      <c r="B14588" s="9" t="n"/>
    </row>
    <row r="14589">
      <c r="A14589" s="8" t="n"/>
      <c r="B14589" s="9" t="n"/>
    </row>
    <row r="14590">
      <c r="A14590" s="8" t="n"/>
      <c r="B14590" s="9" t="n"/>
    </row>
    <row r="14591">
      <c r="A14591" s="8" t="n"/>
      <c r="B14591" s="9" t="n"/>
    </row>
    <row r="14592">
      <c r="A14592" s="8" t="n"/>
      <c r="B14592" s="9" t="n"/>
    </row>
    <row r="14593">
      <c r="A14593" s="8" t="n"/>
      <c r="B14593" s="9" t="n"/>
    </row>
    <row r="14594">
      <c r="A14594" s="8" t="n"/>
      <c r="B14594" s="9" t="n"/>
    </row>
    <row r="14595">
      <c r="A14595" s="8" t="n"/>
      <c r="B14595" s="9" t="n"/>
    </row>
    <row r="14596">
      <c r="A14596" s="8" t="n"/>
      <c r="B14596" s="9" t="n"/>
    </row>
    <row r="14597">
      <c r="A14597" s="8" t="n"/>
      <c r="B14597" s="9" t="n"/>
    </row>
    <row r="14598">
      <c r="A14598" s="8" t="n"/>
      <c r="B14598" s="9" t="n"/>
    </row>
    <row r="14599">
      <c r="A14599" s="8" t="n"/>
      <c r="B14599" s="9" t="n"/>
    </row>
    <row r="14600">
      <c r="A14600" s="8" t="n"/>
      <c r="B14600" s="9" t="n"/>
    </row>
    <row r="14601">
      <c r="A14601" s="8" t="n"/>
      <c r="B14601" s="9" t="n"/>
    </row>
    <row r="14602">
      <c r="A14602" s="8" t="n"/>
      <c r="B14602" s="9" t="n"/>
    </row>
    <row r="14603">
      <c r="A14603" s="8" t="n"/>
      <c r="B14603" s="9" t="n"/>
    </row>
    <row r="14604">
      <c r="A14604" s="8" t="n"/>
      <c r="B14604" s="9" t="n"/>
    </row>
    <row r="14605">
      <c r="A14605" s="8" t="n"/>
      <c r="B14605" s="9" t="n"/>
    </row>
    <row r="14606">
      <c r="A14606" s="8" t="n"/>
      <c r="B14606" s="9" t="n"/>
    </row>
    <row r="14607">
      <c r="A14607" s="8" t="n"/>
      <c r="B14607" s="9" t="n"/>
    </row>
    <row r="14608">
      <c r="A14608" s="8" t="n"/>
      <c r="B14608" s="9" t="n"/>
    </row>
    <row r="14609">
      <c r="A14609" s="8" t="n"/>
      <c r="B14609" s="9" t="n"/>
    </row>
    <row r="14610">
      <c r="A14610" s="8" t="n"/>
      <c r="B14610" s="9" t="n"/>
    </row>
    <row r="14611">
      <c r="A14611" s="8" t="n"/>
      <c r="B14611" s="9" t="n"/>
    </row>
    <row r="14612">
      <c r="A14612" s="8" t="n"/>
      <c r="B14612" s="9" t="n"/>
    </row>
    <row r="14613">
      <c r="A14613" s="8" t="n"/>
      <c r="B14613" s="9" t="n"/>
    </row>
    <row r="14614">
      <c r="A14614" s="8" t="n"/>
      <c r="B14614" s="9" t="n"/>
    </row>
    <row r="14615">
      <c r="A14615" s="8" t="n"/>
      <c r="B14615" s="9" t="n"/>
    </row>
    <row r="14616">
      <c r="A14616" s="8" t="n"/>
      <c r="B14616" s="9" t="n"/>
    </row>
    <row r="14617">
      <c r="A14617" s="8" t="n"/>
      <c r="B14617" s="9" t="n"/>
    </row>
    <row r="14618">
      <c r="A14618" s="8" t="n"/>
      <c r="B14618" s="9" t="n"/>
    </row>
    <row r="14619">
      <c r="A14619" s="8" t="n"/>
      <c r="B14619" s="9" t="n"/>
    </row>
    <row r="14620">
      <c r="A14620" s="8" t="n"/>
      <c r="B14620" s="9" t="n"/>
    </row>
    <row r="14621">
      <c r="A14621" s="8" t="n"/>
      <c r="B14621" s="9" t="n"/>
    </row>
    <row r="14622">
      <c r="A14622" s="8" t="n"/>
      <c r="B14622" s="9" t="n"/>
    </row>
    <row r="14623">
      <c r="A14623" s="8" t="n"/>
      <c r="B14623" s="9" t="n"/>
    </row>
    <row r="14624">
      <c r="A14624" s="8" t="n"/>
      <c r="B14624" s="9" t="n"/>
    </row>
    <row r="14625">
      <c r="A14625" s="8" t="n"/>
      <c r="B14625" s="9" t="n"/>
    </row>
    <row r="14626">
      <c r="A14626" s="8" t="n"/>
      <c r="B14626" s="9" t="n"/>
    </row>
    <row r="14627">
      <c r="A14627" s="8" t="n"/>
      <c r="B14627" s="9" t="n"/>
    </row>
    <row r="14628">
      <c r="A14628" s="8" t="n"/>
      <c r="B14628" s="9" t="n"/>
    </row>
    <row r="14629">
      <c r="A14629" s="8" t="n"/>
      <c r="B14629" s="9" t="n"/>
    </row>
    <row r="14630">
      <c r="A14630" s="8" t="n"/>
      <c r="B14630" s="9" t="n"/>
    </row>
    <row r="14631">
      <c r="A14631" s="8" t="n"/>
      <c r="B14631" s="9" t="n"/>
    </row>
    <row r="14632">
      <c r="A14632" s="8" t="n"/>
      <c r="B14632" s="9" t="n"/>
    </row>
    <row r="14633">
      <c r="A14633" s="8" t="n"/>
      <c r="B14633" s="9" t="n"/>
    </row>
    <row r="14634">
      <c r="A14634" s="8" t="n"/>
      <c r="B14634" s="9" t="n"/>
    </row>
    <row r="14635">
      <c r="A14635" s="8" t="n"/>
      <c r="B14635" s="9" t="n"/>
    </row>
    <row r="14636">
      <c r="A14636" s="8" t="n"/>
      <c r="B14636" s="9" t="n"/>
    </row>
    <row r="14637">
      <c r="A14637" s="8" t="n"/>
      <c r="B14637" s="9" t="n"/>
    </row>
    <row r="14638">
      <c r="A14638" s="8" t="n"/>
      <c r="B14638" s="9" t="n"/>
    </row>
    <row r="14639">
      <c r="A14639" s="8" t="n"/>
      <c r="B14639" s="9" t="n"/>
    </row>
    <row r="14640">
      <c r="A14640" s="8" t="n"/>
      <c r="B14640" s="9" t="n"/>
    </row>
    <row r="14641">
      <c r="A14641" s="8" t="n"/>
      <c r="B14641" s="9" t="n"/>
    </row>
    <row r="14642">
      <c r="A14642" s="8" t="n"/>
      <c r="B14642" s="9" t="n"/>
    </row>
    <row r="14643">
      <c r="A14643" s="8" t="n"/>
      <c r="B14643" s="9" t="n"/>
    </row>
    <row r="14644">
      <c r="A14644" s="8" t="n"/>
      <c r="B14644" s="9" t="n"/>
    </row>
    <row r="14645">
      <c r="A14645" s="8" t="n"/>
      <c r="B14645" s="9" t="n"/>
    </row>
    <row r="14646">
      <c r="A14646" s="8" t="n"/>
      <c r="B14646" s="9" t="n"/>
    </row>
    <row r="14647">
      <c r="A14647" s="8" t="n"/>
      <c r="B14647" s="9" t="n"/>
    </row>
    <row r="14648">
      <c r="A14648" s="8" t="n"/>
      <c r="B14648" s="9" t="n"/>
    </row>
    <row r="14649">
      <c r="A14649" s="8" t="n"/>
      <c r="B14649" s="9" t="n"/>
    </row>
    <row r="14650">
      <c r="A14650" s="8" t="n"/>
      <c r="B14650" s="9" t="n"/>
    </row>
    <row r="14651">
      <c r="A14651" s="8" t="n"/>
      <c r="B14651" s="9" t="n"/>
    </row>
    <row r="14652">
      <c r="A14652" s="8" t="n"/>
      <c r="B14652" s="9" t="n"/>
    </row>
    <row r="14653">
      <c r="A14653" s="8" t="n"/>
      <c r="B14653" s="9" t="n"/>
    </row>
    <row r="14654">
      <c r="A14654" s="8" t="n"/>
      <c r="B14654" s="9" t="n"/>
    </row>
    <row r="14655">
      <c r="A14655" s="8" t="n"/>
      <c r="B14655" s="9" t="n"/>
    </row>
    <row r="14656">
      <c r="A14656" s="8" t="n"/>
      <c r="B14656" s="9" t="n"/>
    </row>
    <row r="14657">
      <c r="A14657" s="8" t="n"/>
      <c r="B14657" s="9" t="n"/>
    </row>
    <row r="14658">
      <c r="A14658" s="8" t="n"/>
      <c r="B14658" s="9" t="n"/>
    </row>
    <row r="14659">
      <c r="A14659" s="8" t="n"/>
      <c r="B14659" s="9" t="n"/>
    </row>
    <row r="14660">
      <c r="A14660" s="8" t="n"/>
      <c r="B14660" s="9" t="n"/>
    </row>
    <row r="14661">
      <c r="A14661" s="8" t="n"/>
      <c r="B14661" s="9" t="n"/>
    </row>
    <row r="14662">
      <c r="A14662" s="8" t="n"/>
      <c r="B14662" s="9" t="n"/>
    </row>
    <row r="14663">
      <c r="A14663" s="8" t="n"/>
      <c r="B14663" s="9" t="n"/>
    </row>
    <row r="14664">
      <c r="A14664" s="8" t="n"/>
      <c r="B14664" s="9" t="n"/>
    </row>
    <row r="14665">
      <c r="A14665" s="8" t="n"/>
      <c r="B14665" s="9" t="n"/>
    </row>
    <row r="14666">
      <c r="A14666" s="8" t="n"/>
      <c r="B14666" s="9" t="n"/>
    </row>
    <row r="14667">
      <c r="A14667" s="8" t="n"/>
      <c r="B14667" s="9" t="n"/>
    </row>
    <row r="14668">
      <c r="A14668" s="8" t="n"/>
      <c r="B14668" s="9" t="n"/>
    </row>
    <row r="14669">
      <c r="A14669" s="8" t="n"/>
      <c r="B14669" s="9" t="n"/>
    </row>
    <row r="14670">
      <c r="A14670" s="8" t="n"/>
      <c r="B14670" s="9" t="n"/>
    </row>
    <row r="14671">
      <c r="A14671" s="8" t="n"/>
      <c r="B14671" s="9" t="n"/>
    </row>
    <row r="14672">
      <c r="A14672" s="8" t="n"/>
      <c r="B14672" s="9" t="n"/>
    </row>
    <row r="14673">
      <c r="A14673" s="8" t="n"/>
      <c r="B14673" s="9" t="n"/>
    </row>
    <row r="14674">
      <c r="A14674" s="8" t="n"/>
      <c r="B14674" s="9" t="n"/>
    </row>
    <row r="14675">
      <c r="A14675" s="8" t="n"/>
      <c r="B14675" s="9" t="n"/>
    </row>
    <row r="14676">
      <c r="A14676" s="8" t="n"/>
      <c r="B14676" s="9" t="n"/>
    </row>
    <row r="14677">
      <c r="A14677" s="8" t="n"/>
      <c r="B14677" s="9" t="n"/>
    </row>
    <row r="14678">
      <c r="A14678" s="8" t="n"/>
      <c r="B14678" s="9" t="n"/>
    </row>
    <row r="14679">
      <c r="A14679" s="8" t="n"/>
      <c r="B14679" s="9" t="n"/>
    </row>
    <row r="14680">
      <c r="A14680" s="8" t="n"/>
      <c r="B14680" s="9" t="n"/>
    </row>
    <row r="14681">
      <c r="A14681" s="8" t="n"/>
      <c r="B14681" s="9" t="n"/>
    </row>
    <row r="14682">
      <c r="A14682" s="8" t="n"/>
      <c r="B14682" s="9" t="n"/>
    </row>
    <row r="14683">
      <c r="A14683" s="8" t="n"/>
      <c r="B14683" s="9" t="n"/>
    </row>
    <row r="14684">
      <c r="A14684" s="8" t="n"/>
      <c r="B14684" s="9" t="n"/>
    </row>
    <row r="14685">
      <c r="A14685" s="8" t="n"/>
      <c r="B14685" s="9" t="n"/>
    </row>
    <row r="14686">
      <c r="A14686" s="8" t="n"/>
      <c r="B14686" s="9" t="n"/>
    </row>
    <row r="14687">
      <c r="A14687" s="8" t="n"/>
      <c r="B14687" s="9" t="n"/>
    </row>
    <row r="14688">
      <c r="A14688" s="8" t="n"/>
      <c r="B14688" s="9" t="n"/>
    </row>
    <row r="14689">
      <c r="A14689" s="8" t="n"/>
      <c r="B14689" s="9" t="n"/>
    </row>
    <row r="14690">
      <c r="A14690" s="8" t="n"/>
      <c r="B14690" s="9" t="n"/>
    </row>
    <row r="14691">
      <c r="A14691" s="8" t="n"/>
      <c r="B14691" s="9" t="n"/>
    </row>
    <row r="14692">
      <c r="A14692" s="8" t="n"/>
      <c r="B14692" s="9" t="n"/>
    </row>
    <row r="14693">
      <c r="A14693" s="8" t="n"/>
      <c r="B14693" s="9" t="n"/>
    </row>
    <row r="14694">
      <c r="A14694" s="8" t="n"/>
      <c r="B14694" s="9" t="n"/>
    </row>
    <row r="14695">
      <c r="A14695" s="8" t="n"/>
      <c r="B14695" s="9" t="n"/>
    </row>
    <row r="14696">
      <c r="A14696" s="8" t="n"/>
      <c r="B14696" s="9" t="n"/>
    </row>
    <row r="14697">
      <c r="A14697" s="8" t="n"/>
      <c r="B14697" s="9" t="n"/>
    </row>
    <row r="14698">
      <c r="A14698" s="8" t="n"/>
      <c r="B14698" s="9" t="n"/>
    </row>
    <row r="14699">
      <c r="A14699" s="8" t="n"/>
      <c r="B14699" s="9" t="n"/>
    </row>
    <row r="14700">
      <c r="A14700" s="8" t="n"/>
      <c r="B14700" s="9" t="n"/>
    </row>
    <row r="14701">
      <c r="A14701" s="8" t="n"/>
      <c r="B14701" s="9" t="n"/>
    </row>
    <row r="14702">
      <c r="A14702" s="8" t="n"/>
      <c r="B14702" s="9" t="n"/>
    </row>
    <row r="14703">
      <c r="A14703" s="8" t="n"/>
      <c r="B14703" s="9" t="n"/>
    </row>
    <row r="14704">
      <c r="A14704" s="8" t="n"/>
      <c r="B14704" s="9" t="n"/>
    </row>
    <row r="14705">
      <c r="A14705" s="8" t="n"/>
      <c r="B14705" s="9" t="n"/>
    </row>
    <row r="14706">
      <c r="A14706" s="8" t="n"/>
      <c r="B14706" s="9" t="n"/>
    </row>
    <row r="14707">
      <c r="A14707" s="8" t="n"/>
      <c r="B14707" s="9" t="n"/>
    </row>
    <row r="14708">
      <c r="A14708" s="8" t="n"/>
      <c r="B14708" s="9" t="n"/>
    </row>
    <row r="14709">
      <c r="A14709" s="8" t="n"/>
      <c r="B14709" s="9" t="n"/>
    </row>
    <row r="14710">
      <c r="A14710" s="8" t="n"/>
      <c r="B14710" s="9" t="n"/>
    </row>
    <row r="14711">
      <c r="A14711" s="8" t="n"/>
      <c r="B14711" s="9" t="n"/>
    </row>
    <row r="14712">
      <c r="A14712" s="8" t="n"/>
      <c r="B14712" s="9" t="n"/>
    </row>
    <row r="14713">
      <c r="A14713" s="8" t="n"/>
      <c r="B14713" s="9" t="n"/>
    </row>
    <row r="14714">
      <c r="A14714" s="8" t="n"/>
      <c r="B14714" s="9" t="n"/>
    </row>
    <row r="14715">
      <c r="A14715" s="8" t="n"/>
      <c r="B14715" s="9" t="n"/>
    </row>
    <row r="14716">
      <c r="A14716" s="8" t="n"/>
      <c r="B14716" s="9" t="n"/>
    </row>
    <row r="14717">
      <c r="A14717" s="8" t="n"/>
      <c r="B14717" s="9" t="n"/>
    </row>
    <row r="14718">
      <c r="A14718" s="8" t="n"/>
      <c r="B14718" s="9" t="n"/>
    </row>
    <row r="14719">
      <c r="A14719" s="8" t="n"/>
      <c r="B14719" s="9" t="n"/>
    </row>
    <row r="14720">
      <c r="A14720" s="8" t="n"/>
      <c r="B14720" s="9" t="n"/>
    </row>
    <row r="14721">
      <c r="A14721" s="8" t="n"/>
      <c r="B14721" s="9" t="n"/>
    </row>
    <row r="14722">
      <c r="A14722" s="8" t="n"/>
      <c r="B14722" s="9" t="n"/>
    </row>
    <row r="14723">
      <c r="A14723" s="8" t="n"/>
      <c r="B14723" s="9" t="n"/>
    </row>
    <row r="14724">
      <c r="A14724" s="8" t="n"/>
      <c r="B14724" s="9" t="n"/>
    </row>
    <row r="14725">
      <c r="A14725" s="8" t="n"/>
      <c r="B14725" s="9" t="n"/>
    </row>
    <row r="14726">
      <c r="A14726" s="8" t="n"/>
      <c r="B14726" s="9" t="n"/>
    </row>
    <row r="14727">
      <c r="A14727" s="8" t="n"/>
      <c r="B14727" s="9" t="n"/>
    </row>
    <row r="14728">
      <c r="A14728" s="8" t="n"/>
      <c r="B14728" s="9" t="n"/>
    </row>
    <row r="14729">
      <c r="A14729" s="8" t="n"/>
      <c r="B14729" s="9" t="n"/>
    </row>
    <row r="14730">
      <c r="A14730" s="8" t="n"/>
      <c r="B14730" s="9" t="n"/>
    </row>
    <row r="14731">
      <c r="A14731" s="8" t="n"/>
      <c r="B14731" s="9" t="n"/>
    </row>
    <row r="14732">
      <c r="A14732" s="8" t="n"/>
      <c r="B14732" s="9" t="n"/>
    </row>
    <row r="14733">
      <c r="A14733" s="8" t="n"/>
      <c r="B14733" s="9" t="n"/>
    </row>
    <row r="14734">
      <c r="A14734" s="8" t="n"/>
      <c r="B14734" s="9" t="n"/>
    </row>
    <row r="14735">
      <c r="A14735" s="8" t="n"/>
      <c r="B14735" s="9" t="n"/>
    </row>
    <row r="14736">
      <c r="A14736" s="8" t="n"/>
      <c r="B14736" s="9" t="n"/>
    </row>
    <row r="14737">
      <c r="A14737" s="8" t="n"/>
      <c r="B14737" s="9" t="n"/>
    </row>
    <row r="14738">
      <c r="A14738" s="8" t="n"/>
      <c r="B14738" s="9" t="n"/>
    </row>
    <row r="14739">
      <c r="A14739" s="8" t="n"/>
      <c r="B14739" s="9" t="n"/>
    </row>
    <row r="14740">
      <c r="A14740" s="8" t="n"/>
      <c r="B14740" s="9" t="n"/>
    </row>
    <row r="14741">
      <c r="A14741" s="8" t="n"/>
      <c r="B14741" s="9" t="n"/>
    </row>
    <row r="14742">
      <c r="A14742" s="8" t="n"/>
      <c r="B14742" s="9" t="n"/>
    </row>
    <row r="14743">
      <c r="A14743" s="8" t="n"/>
      <c r="B14743" s="9" t="n"/>
    </row>
    <row r="14744">
      <c r="A14744" s="8" t="n"/>
      <c r="B14744" s="9" t="n"/>
    </row>
    <row r="14745">
      <c r="A14745" s="8" t="n"/>
      <c r="B14745" s="9" t="n"/>
    </row>
    <row r="14746">
      <c r="A14746" s="8" t="n"/>
      <c r="B14746" s="9" t="n"/>
    </row>
    <row r="14747">
      <c r="A14747" s="8" t="n"/>
      <c r="B14747" s="9" t="n"/>
    </row>
    <row r="14748">
      <c r="A14748" s="8" t="n"/>
      <c r="B14748" s="9" t="n"/>
    </row>
    <row r="14749">
      <c r="A14749" s="8" t="n"/>
      <c r="B14749" s="9" t="n"/>
    </row>
    <row r="14750">
      <c r="A14750" s="8" t="n"/>
      <c r="B14750" s="9" t="n"/>
    </row>
    <row r="14751">
      <c r="A14751" s="8" t="n"/>
      <c r="B14751" s="9" t="n"/>
    </row>
    <row r="14752">
      <c r="A14752" s="8" t="n"/>
      <c r="B14752" s="9" t="n"/>
    </row>
    <row r="14753">
      <c r="A14753" s="8" t="n"/>
      <c r="B14753" s="9" t="n"/>
    </row>
    <row r="14754">
      <c r="A14754" s="8" t="n"/>
      <c r="B14754" s="9" t="n"/>
    </row>
    <row r="14755">
      <c r="A14755" s="8" t="n"/>
      <c r="B14755" s="9" t="n"/>
    </row>
    <row r="14756">
      <c r="A14756" s="8" t="n"/>
      <c r="B14756" s="9" t="n"/>
    </row>
    <row r="14757">
      <c r="A14757" s="8" t="n"/>
      <c r="B14757" s="9" t="n"/>
    </row>
    <row r="14758">
      <c r="A14758" s="8" t="n"/>
      <c r="B14758" s="9" t="n"/>
    </row>
    <row r="14759">
      <c r="A14759" s="8" t="n"/>
      <c r="B14759" s="9" t="n"/>
    </row>
    <row r="14760">
      <c r="A14760" s="8" t="n"/>
      <c r="B14760" s="9" t="n"/>
    </row>
    <row r="14761">
      <c r="A14761" s="8" t="n"/>
      <c r="B14761" s="9" t="n"/>
    </row>
    <row r="14762">
      <c r="A14762" s="8" t="n"/>
      <c r="B14762" s="9" t="n"/>
    </row>
    <row r="14763">
      <c r="A14763" s="8" t="n"/>
      <c r="B14763" s="9" t="n"/>
    </row>
    <row r="14764">
      <c r="A14764" s="8" t="n"/>
      <c r="B14764" s="9" t="n"/>
    </row>
    <row r="14765">
      <c r="A14765" s="8" t="n"/>
      <c r="B14765" s="9" t="n"/>
    </row>
    <row r="14766">
      <c r="A14766" s="8" t="n"/>
      <c r="B14766" s="9" t="n"/>
    </row>
    <row r="14767">
      <c r="A14767" s="8" t="n"/>
      <c r="B14767" s="9" t="n"/>
    </row>
    <row r="14768">
      <c r="A14768" s="8" t="n"/>
      <c r="B14768" s="9" t="n"/>
    </row>
    <row r="14769">
      <c r="A14769" s="8" t="n"/>
      <c r="B14769" s="9" t="n"/>
    </row>
    <row r="14770">
      <c r="A14770" s="8" t="n"/>
      <c r="B14770" s="9" t="n"/>
    </row>
    <row r="14771">
      <c r="A14771" s="8" t="n"/>
      <c r="B14771" s="9" t="n"/>
    </row>
    <row r="14772">
      <c r="A14772" s="8" t="n"/>
      <c r="B14772" s="9" t="n"/>
    </row>
    <row r="14773">
      <c r="A14773" s="8" t="n"/>
      <c r="B14773" s="9" t="n"/>
    </row>
    <row r="14774">
      <c r="A14774" s="8" t="n"/>
      <c r="B14774" s="9" t="n"/>
    </row>
    <row r="14775">
      <c r="A14775" s="8" t="n"/>
      <c r="B14775" s="9" t="n"/>
    </row>
    <row r="14776">
      <c r="A14776" s="8" t="n"/>
      <c r="B14776" s="9" t="n"/>
    </row>
    <row r="14777">
      <c r="A14777" s="8" t="n"/>
      <c r="B14777" s="9" t="n"/>
    </row>
    <row r="14778">
      <c r="A14778" s="8" t="n"/>
      <c r="B14778" s="9" t="n"/>
    </row>
    <row r="14779">
      <c r="A14779" s="8" t="n"/>
      <c r="B14779" s="9" t="n"/>
    </row>
    <row r="14780">
      <c r="A14780" s="8" t="n"/>
      <c r="B14780" s="9" t="n"/>
    </row>
    <row r="14781">
      <c r="A14781" s="8" t="n"/>
      <c r="B14781" s="9" t="n"/>
    </row>
    <row r="14782">
      <c r="A14782" s="8" t="n"/>
      <c r="B14782" s="9" t="n"/>
    </row>
    <row r="14783">
      <c r="A14783" s="8" t="n"/>
      <c r="B14783" s="9" t="n"/>
    </row>
    <row r="14784">
      <c r="A14784" s="8" t="n"/>
      <c r="B14784" s="9" t="n"/>
    </row>
    <row r="14785">
      <c r="A14785" s="8" t="n"/>
      <c r="B14785" s="9" t="n"/>
    </row>
    <row r="14786">
      <c r="A14786" s="8" t="n"/>
      <c r="B14786" s="9" t="n"/>
    </row>
    <row r="14787">
      <c r="A14787" s="8" t="n"/>
      <c r="B14787" s="9" t="n"/>
    </row>
    <row r="14788">
      <c r="A14788" s="8" t="n"/>
      <c r="B14788" s="9" t="n"/>
    </row>
    <row r="14789">
      <c r="A14789" s="8" t="n"/>
      <c r="B14789" s="9" t="n"/>
    </row>
    <row r="14790">
      <c r="A14790" s="8" t="n"/>
      <c r="B14790" s="9" t="n"/>
    </row>
    <row r="14791">
      <c r="A14791" s="8" t="n"/>
      <c r="B14791" s="9" t="n"/>
    </row>
    <row r="14792">
      <c r="A14792" s="8" t="n"/>
      <c r="B14792" s="9" t="n"/>
    </row>
    <row r="14793">
      <c r="A14793" s="8" t="n"/>
      <c r="B14793" s="9" t="n"/>
    </row>
    <row r="14794">
      <c r="A14794" s="8" t="n"/>
      <c r="B14794" s="9" t="n"/>
    </row>
    <row r="14795">
      <c r="A14795" s="8" t="n"/>
      <c r="B14795" s="9" t="n"/>
    </row>
    <row r="14796">
      <c r="A14796" s="8" t="n"/>
      <c r="B14796" s="9" t="n"/>
    </row>
    <row r="14797">
      <c r="A14797" s="8" t="n"/>
      <c r="B14797" s="9" t="n"/>
    </row>
    <row r="14798">
      <c r="A14798" s="8" t="n"/>
      <c r="B14798" s="9" t="n"/>
    </row>
    <row r="14799">
      <c r="A14799" s="8" t="n"/>
      <c r="B14799" s="9" t="n"/>
    </row>
    <row r="14800">
      <c r="A14800" s="8" t="n"/>
      <c r="B14800" s="9" t="n"/>
    </row>
    <row r="14801">
      <c r="A14801" s="8" t="n"/>
      <c r="B14801" s="9" t="n"/>
    </row>
    <row r="14802">
      <c r="A14802" s="8" t="n"/>
      <c r="B14802" s="9" t="n"/>
    </row>
    <row r="14803">
      <c r="A14803" s="8" t="n"/>
      <c r="B14803" s="9" t="n"/>
    </row>
    <row r="14804">
      <c r="A14804" s="8" t="n"/>
      <c r="B14804" s="9" t="n"/>
    </row>
    <row r="14805">
      <c r="A14805" s="8" t="n"/>
      <c r="B14805" s="9" t="n"/>
    </row>
    <row r="14806">
      <c r="A14806" s="8" t="n"/>
      <c r="B14806" s="9" t="n"/>
    </row>
    <row r="14807">
      <c r="A14807" s="8" t="n"/>
      <c r="B14807" s="9" t="n"/>
    </row>
    <row r="14808">
      <c r="A14808" s="8" t="n"/>
      <c r="B14808" s="9" t="n"/>
    </row>
    <row r="14809">
      <c r="A14809" s="8" t="n"/>
      <c r="B14809" s="9" t="n"/>
    </row>
    <row r="14810">
      <c r="A14810" s="8" t="n"/>
      <c r="B14810" s="9" t="n"/>
    </row>
    <row r="14811">
      <c r="A14811" s="8" t="n"/>
      <c r="B14811" s="9" t="n"/>
    </row>
    <row r="14812">
      <c r="A14812" s="8" t="n"/>
      <c r="B14812" s="9" t="n"/>
    </row>
    <row r="14813">
      <c r="A14813" s="8" t="n"/>
      <c r="B14813" s="9" t="n"/>
    </row>
    <row r="14814">
      <c r="A14814" s="8" t="n"/>
      <c r="B14814" s="9" t="n"/>
    </row>
    <row r="14815">
      <c r="A14815" s="8" t="n"/>
      <c r="B14815" s="9" t="n"/>
    </row>
    <row r="14816">
      <c r="A14816" s="8" t="n"/>
      <c r="B14816" s="9" t="n"/>
    </row>
    <row r="14817">
      <c r="A14817" s="8" t="n"/>
      <c r="B14817" s="9" t="n"/>
    </row>
    <row r="14818">
      <c r="A14818" s="8" t="n"/>
      <c r="B14818" s="9" t="n"/>
    </row>
    <row r="14819">
      <c r="A14819" s="8" t="n"/>
      <c r="B14819" s="9" t="n"/>
    </row>
    <row r="14820">
      <c r="A14820" s="8" t="n"/>
      <c r="B14820" s="9" t="n"/>
    </row>
    <row r="14821">
      <c r="A14821" s="8" t="n"/>
      <c r="B14821" s="9" t="n"/>
    </row>
    <row r="14822">
      <c r="A14822" s="8" t="n"/>
      <c r="B14822" s="9" t="n"/>
    </row>
    <row r="14823">
      <c r="A14823" s="8" t="n"/>
      <c r="B14823" s="9" t="n"/>
    </row>
    <row r="14824">
      <c r="A14824" s="8" t="n"/>
      <c r="B14824" s="9" t="n"/>
    </row>
    <row r="14825">
      <c r="A14825" s="8" t="n"/>
      <c r="B14825" s="9" t="n"/>
    </row>
    <row r="14826">
      <c r="A14826" s="8" t="n"/>
      <c r="B14826" s="9" t="n"/>
    </row>
    <row r="14827">
      <c r="A14827" s="8" t="n"/>
      <c r="B14827" s="9" t="n"/>
    </row>
    <row r="14828">
      <c r="A14828" s="8" t="n"/>
      <c r="B14828" s="9" t="n"/>
    </row>
    <row r="14829">
      <c r="A14829" s="8" t="n"/>
      <c r="B14829" s="9" t="n"/>
    </row>
    <row r="14830">
      <c r="A14830" s="8" t="n"/>
      <c r="B14830" s="9" t="n"/>
    </row>
    <row r="14831">
      <c r="A14831" s="8" t="n"/>
      <c r="B14831" s="9" t="n"/>
    </row>
    <row r="14832">
      <c r="A14832" s="8" t="n"/>
      <c r="B14832" s="9" t="n"/>
    </row>
    <row r="14833">
      <c r="A14833" s="8" t="n"/>
      <c r="B14833" s="9" t="n"/>
    </row>
    <row r="14834">
      <c r="A14834" s="8" t="n"/>
      <c r="B14834" s="9" t="n"/>
    </row>
    <row r="14835">
      <c r="A14835" s="8" t="n"/>
      <c r="B14835" s="9" t="n"/>
    </row>
    <row r="14836">
      <c r="A14836" s="8" t="n"/>
      <c r="B14836" s="9" t="n"/>
    </row>
    <row r="14837">
      <c r="A14837" s="8" t="n"/>
      <c r="B14837" s="9" t="n"/>
    </row>
    <row r="14838">
      <c r="A14838" s="8" t="n"/>
      <c r="B14838" s="9" t="n"/>
    </row>
    <row r="14839">
      <c r="A14839" s="8" t="n"/>
      <c r="B14839" s="9" t="n"/>
    </row>
    <row r="14840">
      <c r="A14840" s="8" t="n"/>
      <c r="B14840" s="9" t="n"/>
    </row>
    <row r="14841">
      <c r="A14841" s="8" t="n"/>
      <c r="B14841" s="9" t="n"/>
    </row>
    <row r="14842">
      <c r="A14842" s="8" t="n"/>
      <c r="B14842" s="9" t="n"/>
    </row>
    <row r="14843">
      <c r="A14843" s="8" t="n"/>
      <c r="B14843" s="9" t="n"/>
    </row>
    <row r="14844">
      <c r="A14844" s="8" t="n"/>
      <c r="B14844" s="9" t="n"/>
    </row>
    <row r="14845">
      <c r="A14845" s="8" t="n"/>
      <c r="B14845" s="9" t="n"/>
    </row>
    <row r="14846">
      <c r="A14846" s="8" t="n"/>
      <c r="B14846" s="9" t="n"/>
    </row>
    <row r="14847">
      <c r="A14847" s="8" t="n"/>
      <c r="B14847" s="9" t="n"/>
    </row>
    <row r="14848">
      <c r="A14848" s="8" t="n"/>
      <c r="B14848" s="9" t="n"/>
    </row>
    <row r="14849">
      <c r="A14849" s="8" t="n"/>
      <c r="B14849" s="9" t="n"/>
    </row>
    <row r="14850">
      <c r="A14850" s="8" t="n"/>
      <c r="B14850" s="9" t="n"/>
    </row>
    <row r="14851">
      <c r="A14851" s="8" t="n"/>
      <c r="B14851" s="9" t="n"/>
    </row>
    <row r="14852">
      <c r="A14852" s="8" t="n"/>
      <c r="B14852" s="9" t="n"/>
    </row>
    <row r="14853">
      <c r="A14853" s="8" t="n"/>
      <c r="B14853" s="9" t="n"/>
    </row>
    <row r="14854">
      <c r="A14854" s="8" t="n"/>
      <c r="B14854" s="9" t="n"/>
    </row>
    <row r="14855">
      <c r="A14855" s="8" t="n"/>
      <c r="B14855" s="9" t="n"/>
    </row>
    <row r="14856">
      <c r="A14856" s="8" t="n"/>
      <c r="B14856" s="9" t="n"/>
    </row>
    <row r="14857">
      <c r="A14857" s="8" t="n"/>
      <c r="B14857" s="9" t="n"/>
    </row>
    <row r="14858">
      <c r="A14858" s="8" t="n"/>
      <c r="B14858" s="9" t="n"/>
    </row>
    <row r="14859">
      <c r="A14859" s="8" t="n"/>
      <c r="B14859" s="9" t="n"/>
    </row>
    <row r="14860">
      <c r="A14860" s="8" t="n"/>
      <c r="B14860" s="9" t="n"/>
    </row>
    <row r="14861">
      <c r="A14861" s="8" t="n"/>
      <c r="B14861" s="9" t="n"/>
    </row>
    <row r="14862">
      <c r="A14862" s="8" t="n"/>
      <c r="B14862" s="9" t="n"/>
    </row>
    <row r="14863">
      <c r="A14863" s="8" t="n"/>
      <c r="B14863" s="9" t="n"/>
    </row>
    <row r="14864">
      <c r="A14864" s="8" t="n"/>
      <c r="B14864" s="9" t="n"/>
    </row>
    <row r="14865">
      <c r="A14865" s="8" t="n"/>
      <c r="B14865" s="9" t="n"/>
    </row>
    <row r="14866">
      <c r="A14866" s="8" t="n"/>
      <c r="B14866" s="9" t="n"/>
    </row>
    <row r="14867">
      <c r="A14867" s="8" t="n"/>
      <c r="B14867" s="9" t="n"/>
    </row>
    <row r="14868">
      <c r="A14868" s="8" t="n"/>
      <c r="B14868" s="9" t="n"/>
    </row>
    <row r="14869">
      <c r="A14869" s="8" t="n"/>
      <c r="B14869" s="9" t="n"/>
    </row>
    <row r="14870">
      <c r="A14870" s="8" t="n"/>
      <c r="B14870" s="9" t="n"/>
    </row>
    <row r="14871">
      <c r="A14871" s="8" t="n"/>
      <c r="B14871" s="9" t="n"/>
    </row>
    <row r="14872">
      <c r="A14872" s="8" t="n"/>
      <c r="B14872" s="9" t="n"/>
    </row>
    <row r="14873">
      <c r="A14873" s="8" t="n"/>
      <c r="B14873" s="9" t="n"/>
    </row>
    <row r="14874">
      <c r="A14874" s="8" t="n"/>
      <c r="B14874" s="9" t="n"/>
    </row>
    <row r="14875">
      <c r="A14875" s="8" t="n"/>
      <c r="B14875" s="9" t="n"/>
    </row>
    <row r="14876">
      <c r="A14876" s="8" t="n"/>
      <c r="B14876" s="9" t="n"/>
    </row>
    <row r="14877">
      <c r="A14877" s="8" t="n"/>
      <c r="B14877" s="9" t="n"/>
    </row>
    <row r="14878">
      <c r="A14878" s="8" t="n"/>
      <c r="B14878" s="9" t="n"/>
    </row>
    <row r="14879">
      <c r="A14879" s="8" t="n"/>
      <c r="B14879" s="9" t="n"/>
    </row>
    <row r="14880">
      <c r="A14880" s="8" t="n"/>
      <c r="B14880" s="9" t="n"/>
    </row>
    <row r="14881">
      <c r="A14881" s="8" t="n"/>
      <c r="B14881" s="9" t="n"/>
    </row>
    <row r="14882">
      <c r="A14882" s="8" t="n"/>
      <c r="B14882" s="9" t="n"/>
    </row>
    <row r="14883">
      <c r="A14883" s="8" t="n"/>
      <c r="B14883" s="9" t="n"/>
    </row>
    <row r="14884">
      <c r="A14884" s="8" t="n"/>
      <c r="B14884" s="9" t="n"/>
    </row>
    <row r="14885">
      <c r="A14885" s="8" t="n"/>
      <c r="B14885" s="9" t="n"/>
    </row>
    <row r="14886">
      <c r="A14886" s="8" t="n"/>
      <c r="B14886" s="9" t="n"/>
    </row>
    <row r="14887">
      <c r="A14887" s="8" t="n"/>
      <c r="B14887" s="9" t="n"/>
    </row>
    <row r="14888">
      <c r="A14888" s="8" t="n"/>
      <c r="B14888" s="9" t="n"/>
    </row>
    <row r="14889">
      <c r="A14889" s="8" t="n"/>
      <c r="B14889" s="9" t="n"/>
    </row>
    <row r="14890">
      <c r="A14890" s="8" t="n"/>
      <c r="B14890" s="9" t="n"/>
    </row>
    <row r="14891">
      <c r="A14891" s="8" t="n"/>
      <c r="B14891" s="9" t="n"/>
    </row>
    <row r="14892">
      <c r="A14892" s="8" t="n"/>
      <c r="B14892" s="9" t="n"/>
    </row>
    <row r="14893">
      <c r="A14893" s="8" t="n"/>
      <c r="B14893" s="9" t="n"/>
    </row>
    <row r="14894">
      <c r="A14894" s="8" t="n"/>
      <c r="B14894" s="9" t="n"/>
    </row>
    <row r="14895">
      <c r="A14895" s="8" t="n"/>
      <c r="B14895" s="9" t="n"/>
    </row>
    <row r="14896">
      <c r="A14896" s="8" t="n"/>
      <c r="B14896" s="9" t="n"/>
    </row>
    <row r="14897">
      <c r="A14897" s="8" t="n"/>
      <c r="B14897" s="9" t="n"/>
    </row>
    <row r="14898">
      <c r="A14898" s="8" t="n"/>
      <c r="B14898" s="9" t="n"/>
    </row>
    <row r="14899">
      <c r="A14899" s="8" t="n"/>
      <c r="B14899" s="9" t="n"/>
    </row>
    <row r="14900">
      <c r="A14900" s="8" t="n"/>
      <c r="B14900" s="9" t="n"/>
    </row>
    <row r="14901">
      <c r="A14901" s="8" t="n"/>
      <c r="B14901" s="9" t="n"/>
    </row>
    <row r="14902">
      <c r="A14902" s="8" t="n"/>
      <c r="B14902" s="9" t="n"/>
    </row>
    <row r="14903">
      <c r="A14903" s="8" t="n"/>
      <c r="B14903" s="9" t="n"/>
    </row>
    <row r="14904">
      <c r="A14904" s="8" t="n"/>
      <c r="B14904" s="9" t="n"/>
    </row>
    <row r="14905">
      <c r="A14905" s="8" t="n"/>
      <c r="B14905" s="9" t="n"/>
    </row>
    <row r="14906">
      <c r="A14906" s="8" t="n"/>
      <c r="B14906" s="9" t="n"/>
    </row>
    <row r="14907">
      <c r="A14907" s="8" t="n"/>
      <c r="B14907" s="9" t="n"/>
    </row>
    <row r="14908">
      <c r="A14908" s="8" t="n"/>
      <c r="B14908" s="9" t="n"/>
    </row>
    <row r="14909">
      <c r="A14909" s="8" t="n"/>
      <c r="B14909" s="9" t="n"/>
    </row>
    <row r="14910">
      <c r="A14910" s="8" t="n"/>
      <c r="B14910" s="9" t="n"/>
    </row>
    <row r="14911">
      <c r="A14911" s="8" t="n"/>
      <c r="B14911" s="9" t="n"/>
    </row>
    <row r="14912">
      <c r="A14912" s="8" t="n"/>
      <c r="B14912" s="9" t="n"/>
    </row>
    <row r="14913">
      <c r="A14913" s="8" t="n"/>
      <c r="B14913" s="9" t="n"/>
    </row>
    <row r="14914">
      <c r="A14914" s="8" t="n"/>
      <c r="B14914" s="9" t="n"/>
    </row>
    <row r="14915">
      <c r="A14915" s="8" t="n"/>
      <c r="B14915" s="9" t="n"/>
    </row>
    <row r="14916">
      <c r="A14916" s="8" t="n"/>
      <c r="B14916" s="9" t="n"/>
    </row>
    <row r="14917">
      <c r="A14917" s="8" t="n"/>
      <c r="B14917" s="9" t="n"/>
    </row>
    <row r="14918">
      <c r="A14918" s="8" t="n"/>
      <c r="B14918" s="9" t="n"/>
    </row>
    <row r="14919">
      <c r="A14919" s="8" t="n"/>
      <c r="B14919" s="9" t="n"/>
    </row>
    <row r="14920">
      <c r="A14920" s="8" t="n"/>
      <c r="B14920" s="9" t="n"/>
    </row>
    <row r="14921">
      <c r="A14921" s="8" t="n"/>
      <c r="B14921" s="9" t="n"/>
    </row>
    <row r="14922">
      <c r="A14922" s="8" t="n"/>
      <c r="B14922" s="9" t="n"/>
    </row>
    <row r="14923">
      <c r="A14923" s="8" t="n"/>
      <c r="B14923" s="9" t="n"/>
    </row>
    <row r="14924">
      <c r="A14924" s="8" t="n"/>
      <c r="B14924" s="9" t="n"/>
    </row>
    <row r="14925">
      <c r="A14925" s="8" t="n"/>
      <c r="B14925" s="9" t="n"/>
    </row>
    <row r="14926">
      <c r="A14926" s="8" t="n"/>
      <c r="B14926" s="9" t="n"/>
    </row>
    <row r="14927">
      <c r="A14927" s="8" t="n"/>
      <c r="B14927" s="9" t="n"/>
    </row>
    <row r="14928">
      <c r="A14928" s="8" t="n"/>
      <c r="B14928" s="9" t="n"/>
    </row>
    <row r="14929">
      <c r="A14929" s="8" t="n"/>
      <c r="B14929" s="9" t="n"/>
    </row>
    <row r="14930">
      <c r="A14930" s="8" t="n"/>
      <c r="B14930" s="9" t="n"/>
    </row>
    <row r="14931">
      <c r="A14931" s="8" t="n"/>
      <c r="B14931" s="9" t="n"/>
    </row>
    <row r="14932">
      <c r="A14932" s="8" t="n"/>
      <c r="B14932" s="9" t="n"/>
    </row>
    <row r="14933">
      <c r="A14933" s="8" t="n"/>
      <c r="B14933" s="9" t="n"/>
    </row>
    <row r="14934">
      <c r="A14934" s="8" t="n"/>
      <c r="B14934" s="9" t="n"/>
    </row>
    <row r="14935">
      <c r="A14935" s="8" t="n"/>
      <c r="B14935" s="9" t="n"/>
    </row>
    <row r="14936">
      <c r="A14936" s="8" t="n"/>
      <c r="B14936" s="9" t="n"/>
    </row>
    <row r="14937">
      <c r="A14937" s="8" t="n"/>
      <c r="B14937" s="9" t="n"/>
    </row>
    <row r="14938">
      <c r="A14938" s="8" t="n"/>
      <c r="B14938" s="9" t="n"/>
    </row>
    <row r="14939">
      <c r="A14939" s="8" t="n"/>
      <c r="B14939" s="9" t="n"/>
    </row>
    <row r="14940">
      <c r="A14940" s="8" t="n"/>
      <c r="B14940" s="9" t="n"/>
    </row>
    <row r="14941">
      <c r="A14941" s="8" t="n"/>
      <c r="B14941" s="9" t="n"/>
    </row>
    <row r="14942">
      <c r="A14942" s="8" t="n"/>
      <c r="B14942" s="9" t="n"/>
    </row>
    <row r="14943">
      <c r="A14943" s="8" t="n"/>
      <c r="B14943" s="9" t="n"/>
    </row>
    <row r="14944">
      <c r="A14944" s="8" t="n"/>
      <c r="B14944" s="9" t="n"/>
    </row>
    <row r="14945">
      <c r="A14945" s="8" t="n"/>
      <c r="B14945" s="9" t="n"/>
    </row>
    <row r="14946">
      <c r="A14946" s="8" t="n"/>
      <c r="B14946" s="9" t="n"/>
    </row>
    <row r="14947">
      <c r="A14947" s="8" t="n"/>
      <c r="B14947" s="9" t="n"/>
    </row>
    <row r="14948">
      <c r="A14948" s="8" t="n"/>
      <c r="B14948" s="9" t="n"/>
    </row>
    <row r="14949">
      <c r="A14949" s="8" t="n"/>
      <c r="B14949" s="9" t="n"/>
    </row>
    <row r="14950">
      <c r="A14950" s="8" t="n"/>
      <c r="B14950" s="9" t="n"/>
    </row>
    <row r="14951">
      <c r="A14951" s="8" t="n"/>
      <c r="B14951" s="9" t="n"/>
    </row>
    <row r="14952">
      <c r="A14952" s="8" t="n"/>
      <c r="B14952" s="9" t="n"/>
    </row>
    <row r="14953">
      <c r="A14953" s="8" t="n"/>
      <c r="B14953" s="9" t="n"/>
    </row>
    <row r="14954">
      <c r="A14954" s="8" t="n"/>
      <c r="B14954" s="9" t="n"/>
    </row>
    <row r="14955">
      <c r="A14955" s="8" t="n"/>
      <c r="B14955" s="9" t="n"/>
    </row>
    <row r="14956">
      <c r="A14956" s="8" t="n"/>
      <c r="B14956" s="9" t="n"/>
    </row>
    <row r="14957">
      <c r="A14957" s="8" t="n"/>
      <c r="B14957" s="9" t="n"/>
    </row>
    <row r="14958">
      <c r="A14958" s="8" t="n"/>
      <c r="B14958" s="9" t="n"/>
    </row>
    <row r="14959">
      <c r="A14959" s="8" t="n"/>
      <c r="B14959" s="9" t="n"/>
    </row>
    <row r="14960">
      <c r="A14960" s="8" t="n"/>
      <c r="B14960" s="9" t="n"/>
    </row>
    <row r="14961">
      <c r="A14961" s="8" t="n"/>
      <c r="B14961" s="9" t="n"/>
    </row>
    <row r="14962">
      <c r="A14962" s="8" t="n"/>
      <c r="B14962" s="9" t="n"/>
    </row>
    <row r="14963">
      <c r="A14963" s="8" t="n"/>
      <c r="B14963" s="9" t="n"/>
    </row>
    <row r="14964">
      <c r="A14964" s="8" t="n"/>
      <c r="B14964" s="9" t="n"/>
    </row>
    <row r="14965">
      <c r="A14965" s="8" t="n"/>
      <c r="B14965" s="9" t="n"/>
    </row>
    <row r="14966">
      <c r="A14966" s="8" t="n"/>
      <c r="B14966" s="9" t="n"/>
    </row>
    <row r="14967">
      <c r="A14967" s="8" t="n"/>
      <c r="B14967" s="9" t="n"/>
    </row>
    <row r="14968">
      <c r="A14968" s="8" t="n"/>
      <c r="B14968" s="9" t="n"/>
    </row>
    <row r="14969">
      <c r="A14969" s="8" t="n"/>
      <c r="B14969" s="9" t="n"/>
    </row>
    <row r="14970">
      <c r="A14970" s="8" t="n"/>
      <c r="B14970" s="9" t="n"/>
    </row>
    <row r="14971">
      <c r="A14971" s="8" t="n"/>
      <c r="B14971" s="9" t="n"/>
    </row>
    <row r="14972">
      <c r="A14972" s="8" t="n"/>
      <c r="B14972" s="9" t="n"/>
    </row>
    <row r="14973">
      <c r="A14973" s="8" t="n"/>
      <c r="B14973" s="9" t="n"/>
    </row>
    <row r="14974">
      <c r="A14974" s="8" t="n"/>
      <c r="B14974" s="9" t="n"/>
    </row>
    <row r="14975">
      <c r="A14975" s="8" t="n"/>
      <c r="B14975" s="9" t="n"/>
    </row>
    <row r="14976">
      <c r="A14976" s="8" t="n"/>
      <c r="B14976" s="9" t="n"/>
    </row>
    <row r="14977">
      <c r="A14977" s="8" t="n"/>
      <c r="B14977" s="9" t="n"/>
    </row>
    <row r="14978">
      <c r="A14978" s="8" t="n"/>
      <c r="B14978" s="9" t="n"/>
    </row>
    <row r="14979">
      <c r="A14979" s="8" t="n"/>
      <c r="B14979" s="9" t="n"/>
    </row>
    <row r="14980">
      <c r="A14980" s="8" t="n"/>
      <c r="B14980" s="9" t="n"/>
    </row>
    <row r="14981">
      <c r="A14981" s="8" t="n"/>
      <c r="B14981" s="9" t="n"/>
    </row>
    <row r="14982">
      <c r="A14982" s="8" t="n"/>
      <c r="B14982" s="9" t="n"/>
    </row>
    <row r="14983">
      <c r="A14983" s="8" t="n"/>
      <c r="B14983" s="9" t="n"/>
    </row>
    <row r="14984">
      <c r="A14984" s="8" t="n"/>
      <c r="B14984" s="9" t="n"/>
    </row>
    <row r="14985">
      <c r="A14985" s="8" t="n"/>
      <c r="B14985" s="9" t="n"/>
    </row>
    <row r="14986">
      <c r="A14986" s="8" t="n"/>
      <c r="B14986" s="9" t="n"/>
    </row>
    <row r="14987">
      <c r="A14987" s="8" t="n"/>
      <c r="B14987" s="9" t="n"/>
    </row>
    <row r="14988">
      <c r="A14988" s="8" t="n"/>
      <c r="B14988" s="9" t="n"/>
    </row>
    <row r="14989">
      <c r="A14989" s="8" t="n"/>
      <c r="B14989" s="9" t="n"/>
    </row>
    <row r="14990">
      <c r="A14990" s="8" t="n"/>
      <c r="B14990" s="9" t="n"/>
    </row>
    <row r="14991">
      <c r="A14991" s="8" t="n"/>
      <c r="B14991" s="9" t="n"/>
    </row>
    <row r="14992">
      <c r="A14992" s="8" t="n"/>
      <c r="B14992" s="9" t="n"/>
    </row>
    <row r="14993">
      <c r="A14993" s="8" t="n"/>
      <c r="B14993" s="9" t="n"/>
    </row>
    <row r="14994">
      <c r="A14994" s="8" t="n"/>
      <c r="B14994" s="9" t="n"/>
    </row>
    <row r="14995">
      <c r="A14995" s="8" t="n"/>
      <c r="B14995" s="9" t="n"/>
    </row>
    <row r="14996">
      <c r="A14996" s="8" t="n"/>
      <c r="B14996" s="9" t="n"/>
    </row>
    <row r="14997">
      <c r="A14997" s="8" t="n"/>
      <c r="B14997" s="9" t="n"/>
    </row>
    <row r="14998">
      <c r="A14998" s="8" t="n"/>
      <c r="B14998" s="9" t="n"/>
    </row>
    <row r="14999">
      <c r="A14999" s="8" t="n"/>
      <c r="B14999" s="9" t="n"/>
    </row>
    <row r="15000">
      <c r="A15000" s="8" t="n"/>
      <c r="B15000" s="9" t="n"/>
    </row>
    <row r="15001">
      <c r="A15001" s="8" t="n"/>
      <c r="B15001" s="9" t="n"/>
    </row>
    <row r="15002">
      <c r="A15002" s="8" t="n"/>
      <c r="B15002" s="9" t="n"/>
    </row>
    <row r="15003">
      <c r="A15003" s="8" t="n"/>
      <c r="B15003" s="9" t="n"/>
    </row>
    <row r="15004">
      <c r="A15004" s="8" t="n"/>
      <c r="B15004" s="9" t="n"/>
    </row>
    <row r="15005">
      <c r="A15005" s="8" t="n"/>
      <c r="B15005" s="9" t="n"/>
    </row>
    <row r="15006">
      <c r="A15006" s="8" t="n"/>
      <c r="B15006" s="9" t="n"/>
    </row>
    <row r="15007">
      <c r="A15007" s="8" t="n"/>
      <c r="B15007" s="9" t="n"/>
    </row>
    <row r="15008">
      <c r="A15008" s="8" t="n"/>
      <c r="B15008" s="9" t="n"/>
    </row>
    <row r="15009">
      <c r="A15009" s="8" t="n"/>
      <c r="B15009" s="9" t="n"/>
    </row>
    <row r="15010">
      <c r="A15010" s="8" t="n"/>
      <c r="B15010" s="9" t="n"/>
    </row>
    <row r="15011">
      <c r="A15011" s="8" t="n"/>
      <c r="B15011" s="9" t="n"/>
    </row>
    <row r="15012">
      <c r="A15012" s="8" t="n"/>
      <c r="B15012" s="9" t="n"/>
    </row>
    <row r="15013">
      <c r="A15013" s="8" t="n"/>
      <c r="B15013" s="9" t="n"/>
    </row>
    <row r="15014">
      <c r="A15014" s="8" t="n"/>
      <c r="B15014" s="9" t="n"/>
    </row>
    <row r="15015">
      <c r="A15015" s="8" t="n"/>
      <c r="B15015" s="9" t="n"/>
    </row>
    <row r="15016">
      <c r="A15016" s="8" t="n"/>
      <c r="B15016" s="9" t="n"/>
    </row>
    <row r="15017">
      <c r="A15017" s="8" t="n"/>
      <c r="B15017" s="9" t="n"/>
    </row>
    <row r="15018">
      <c r="A15018" s="8" t="n"/>
      <c r="B15018" s="9" t="n"/>
    </row>
    <row r="15019">
      <c r="A15019" s="8" t="n"/>
      <c r="B15019" s="9" t="n"/>
    </row>
    <row r="15020">
      <c r="A15020" s="8" t="n"/>
      <c r="B15020" s="9" t="n"/>
    </row>
    <row r="15021">
      <c r="A15021" s="8" t="n"/>
      <c r="B15021" s="9" t="n"/>
    </row>
    <row r="15022">
      <c r="A15022" s="8" t="n"/>
      <c r="B15022" s="9" t="n"/>
    </row>
    <row r="15023">
      <c r="A15023" s="8" t="n"/>
      <c r="B15023" s="9" t="n"/>
    </row>
    <row r="15024">
      <c r="A15024" s="8" t="n"/>
      <c r="B15024" s="9" t="n"/>
    </row>
    <row r="15025">
      <c r="A15025" s="8" t="n"/>
      <c r="B15025" s="9" t="n"/>
    </row>
    <row r="15026">
      <c r="A15026" s="8" t="n"/>
      <c r="B15026" s="9" t="n"/>
    </row>
    <row r="15027">
      <c r="A15027" s="8" t="n"/>
      <c r="B15027" s="9" t="n"/>
    </row>
    <row r="15028">
      <c r="A15028" s="8" t="n"/>
      <c r="B15028" s="9" t="n"/>
    </row>
    <row r="15029">
      <c r="A15029" s="8" t="n"/>
      <c r="B15029" s="9" t="n"/>
    </row>
    <row r="15030">
      <c r="A15030" s="8" t="n"/>
      <c r="B15030" s="9" t="n"/>
    </row>
    <row r="15031">
      <c r="A15031" s="8" t="n"/>
      <c r="B15031" s="9" t="n"/>
    </row>
    <row r="15032">
      <c r="A15032" s="8" t="n"/>
      <c r="B15032" s="9" t="n"/>
    </row>
    <row r="15033">
      <c r="A15033" s="8" t="n"/>
      <c r="B15033" s="9" t="n"/>
    </row>
    <row r="15034">
      <c r="A15034" s="8" t="n"/>
      <c r="B15034" s="9" t="n"/>
    </row>
    <row r="15035">
      <c r="A15035" s="8" t="n"/>
      <c r="B15035" s="9" t="n"/>
    </row>
    <row r="15036">
      <c r="A15036" s="8" t="n"/>
      <c r="B15036" s="9" t="n"/>
    </row>
    <row r="15037">
      <c r="A15037" s="8" t="n"/>
      <c r="B15037" s="9" t="n"/>
    </row>
    <row r="15038">
      <c r="A15038" s="8" t="n"/>
      <c r="B15038" s="9" t="n"/>
    </row>
    <row r="15039">
      <c r="A15039" s="8" t="n"/>
      <c r="B15039" s="9" t="n"/>
    </row>
    <row r="15040">
      <c r="A15040" s="8" t="n"/>
      <c r="B15040" s="9" t="n"/>
    </row>
    <row r="15041">
      <c r="A15041" s="8" t="n"/>
      <c r="B15041" s="9" t="n"/>
    </row>
    <row r="15042">
      <c r="A15042" s="8" t="n"/>
      <c r="B15042" s="9" t="n"/>
    </row>
    <row r="15043">
      <c r="A15043" s="8" t="n"/>
      <c r="B15043" s="9" t="n"/>
    </row>
    <row r="15044">
      <c r="A15044" s="8" t="n"/>
      <c r="B15044" s="9" t="n"/>
    </row>
    <row r="15045">
      <c r="A15045" s="8" t="n"/>
      <c r="B15045" s="9" t="n"/>
    </row>
    <row r="15046">
      <c r="A15046" s="8" t="n"/>
      <c r="B15046" s="9" t="n"/>
    </row>
    <row r="15047">
      <c r="A15047" s="8" t="n"/>
      <c r="B15047" s="9" t="n"/>
    </row>
    <row r="15048">
      <c r="A15048" s="8" t="n"/>
      <c r="B15048" s="9" t="n"/>
    </row>
    <row r="15049">
      <c r="A15049" s="8" t="n"/>
      <c r="B15049" s="9" t="n"/>
    </row>
    <row r="15050">
      <c r="A15050" s="8" t="n"/>
      <c r="B15050" s="9" t="n"/>
    </row>
    <row r="15051">
      <c r="A15051" s="8" t="n"/>
      <c r="B15051" s="9" t="n"/>
    </row>
    <row r="15052">
      <c r="A15052" s="8" t="n"/>
      <c r="B15052" s="9" t="n"/>
    </row>
    <row r="15053">
      <c r="A15053" s="8" t="n"/>
      <c r="B15053" s="9" t="n"/>
    </row>
    <row r="15054">
      <c r="A15054" s="8" t="n"/>
      <c r="B15054" s="9" t="n"/>
    </row>
    <row r="15055">
      <c r="A15055" s="8" t="n"/>
      <c r="B15055" s="9" t="n"/>
    </row>
    <row r="15056">
      <c r="A15056" s="8" t="n"/>
      <c r="B15056" s="9" t="n"/>
    </row>
    <row r="15057">
      <c r="A15057" s="8" t="n"/>
      <c r="B15057" s="9" t="n"/>
    </row>
    <row r="15058">
      <c r="A15058" s="8" t="n"/>
      <c r="B15058" s="9" t="n"/>
    </row>
    <row r="15059">
      <c r="A15059" s="8" t="n"/>
      <c r="B15059" s="9" t="n"/>
    </row>
    <row r="15060">
      <c r="A15060" s="8" t="n"/>
      <c r="B15060" s="9" t="n"/>
    </row>
    <row r="15061">
      <c r="A15061" s="8" t="n"/>
      <c r="B15061" s="9" t="n"/>
    </row>
    <row r="15062">
      <c r="A15062" s="8" t="n"/>
      <c r="B15062" s="9" t="n"/>
    </row>
    <row r="15063">
      <c r="A15063" s="8" t="n"/>
      <c r="B15063" s="9" t="n"/>
    </row>
    <row r="15064">
      <c r="A15064" s="8" t="n"/>
      <c r="B15064" s="9" t="n"/>
    </row>
    <row r="15065">
      <c r="A15065" s="8" t="n"/>
      <c r="B15065" s="9" t="n"/>
    </row>
    <row r="15066">
      <c r="A15066" s="8" t="n"/>
      <c r="B15066" s="9" t="n"/>
    </row>
    <row r="15067">
      <c r="A15067" s="8" t="n"/>
      <c r="B15067" s="9" t="n"/>
    </row>
    <row r="15068">
      <c r="A15068" s="8" t="n"/>
      <c r="B15068" s="9" t="n"/>
    </row>
    <row r="15069">
      <c r="A15069" s="8" t="n"/>
      <c r="B15069" s="9" t="n"/>
    </row>
    <row r="15070">
      <c r="A15070" s="8" t="n"/>
      <c r="B15070" s="9" t="n"/>
    </row>
    <row r="15071">
      <c r="A15071" s="8" t="n"/>
      <c r="B15071" s="9" t="n"/>
    </row>
    <row r="15072">
      <c r="A15072" s="8" t="n"/>
      <c r="B15072" s="9" t="n"/>
    </row>
    <row r="15073">
      <c r="A15073" s="8" t="n"/>
      <c r="B15073" s="9" t="n"/>
    </row>
    <row r="15074">
      <c r="A15074" s="8" t="n"/>
      <c r="B15074" s="9" t="n"/>
    </row>
    <row r="15075">
      <c r="A15075" s="8" t="n"/>
      <c r="B15075" s="9" t="n"/>
    </row>
    <row r="15076">
      <c r="A15076" s="8" t="n"/>
      <c r="B15076" s="9" t="n"/>
    </row>
    <row r="15077">
      <c r="A15077" s="8" t="n"/>
      <c r="B15077" s="9" t="n"/>
    </row>
    <row r="15078">
      <c r="A15078" s="8" t="n"/>
      <c r="B15078" s="9" t="n"/>
    </row>
    <row r="15079">
      <c r="A15079" s="8" t="n"/>
      <c r="B15079" s="9" t="n"/>
    </row>
    <row r="15080">
      <c r="A15080" s="8" t="n"/>
      <c r="B15080" s="9" t="n"/>
    </row>
    <row r="15081">
      <c r="A15081" s="8" t="n"/>
      <c r="B15081" s="9" t="n"/>
    </row>
    <row r="15082">
      <c r="A15082" s="8" t="n"/>
      <c r="B15082" s="9" t="n"/>
    </row>
    <row r="15083">
      <c r="A15083" s="8" t="n"/>
      <c r="B15083" s="9" t="n"/>
    </row>
    <row r="15084">
      <c r="A15084" s="8" t="n"/>
      <c r="B15084" s="9" t="n"/>
    </row>
    <row r="15085">
      <c r="A15085" s="8" t="n"/>
      <c r="B15085" s="9" t="n"/>
    </row>
    <row r="15086">
      <c r="A15086" s="8" t="n"/>
      <c r="B15086" s="9" t="n"/>
    </row>
    <row r="15087">
      <c r="A15087" s="8" t="n"/>
      <c r="B15087" s="9" t="n"/>
    </row>
    <row r="15088">
      <c r="A15088" s="8" t="n"/>
      <c r="B15088" s="9" t="n"/>
    </row>
    <row r="15089">
      <c r="A15089" s="8" t="n"/>
      <c r="B15089" s="9" t="n"/>
    </row>
    <row r="15090">
      <c r="A15090" s="8" t="n"/>
      <c r="B15090" s="9" t="n"/>
    </row>
    <row r="15091">
      <c r="A15091" s="8" t="n"/>
      <c r="B15091" s="9" t="n"/>
    </row>
    <row r="15092">
      <c r="A15092" s="8" t="n"/>
      <c r="B15092" s="9" t="n"/>
    </row>
    <row r="15093">
      <c r="A15093" s="8" t="n"/>
      <c r="B15093" s="9" t="n"/>
    </row>
    <row r="15094">
      <c r="A15094" s="8" t="n"/>
      <c r="B15094" s="9" t="n"/>
    </row>
    <row r="15095">
      <c r="A15095" s="8" t="n"/>
      <c r="B15095" s="9" t="n"/>
    </row>
    <row r="15096">
      <c r="A15096" s="8" t="n"/>
      <c r="B15096" s="9" t="n"/>
    </row>
    <row r="15097">
      <c r="A15097" s="8" t="n"/>
      <c r="B15097" s="9" t="n"/>
    </row>
    <row r="15098">
      <c r="A15098" s="8" t="n"/>
      <c r="B15098" s="9" t="n"/>
    </row>
    <row r="15099">
      <c r="A15099" s="8" t="n"/>
      <c r="B15099" s="9" t="n"/>
    </row>
    <row r="15100">
      <c r="A15100" s="8" t="n"/>
      <c r="B15100" s="9" t="n"/>
    </row>
    <row r="15101">
      <c r="A15101" s="8" t="n"/>
      <c r="B15101" s="9" t="n"/>
    </row>
    <row r="15102">
      <c r="A15102" s="8" t="n"/>
      <c r="B15102" s="9" t="n"/>
    </row>
    <row r="15103">
      <c r="A15103" s="8" t="n"/>
      <c r="B15103" s="9" t="n"/>
    </row>
    <row r="15104">
      <c r="A15104" s="8" t="n"/>
      <c r="B15104" s="9" t="n"/>
    </row>
    <row r="15105">
      <c r="A15105" s="8" t="n"/>
      <c r="B15105" s="9" t="n"/>
    </row>
    <row r="15106">
      <c r="A15106" s="8" t="n"/>
      <c r="B15106" s="9" t="n"/>
    </row>
    <row r="15107">
      <c r="A15107" s="8" t="n"/>
      <c r="B15107" s="9" t="n"/>
    </row>
    <row r="15108">
      <c r="A15108" s="8" t="n"/>
      <c r="B15108" s="9" t="n"/>
    </row>
    <row r="15109">
      <c r="A15109" s="8" t="n"/>
      <c r="B15109" s="9" t="n"/>
    </row>
    <row r="15110">
      <c r="A15110" s="8" t="n"/>
      <c r="B15110" s="9" t="n"/>
    </row>
    <row r="15111">
      <c r="A15111" s="8" t="n"/>
      <c r="B15111" s="9" t="n"/>
    </row>
    <row r="15112">
      <c r="A15112" s="8" t="n"/>
      <c r="B15112" s="9" t="n"/>
    </row>
    <row r="15113">
      <c r="A15113" s="8" t="n"/>
      <c r="B15113" s="9" t="n"/>
    </row>
    <row r="15114">
      <c r="A15114" s="8" t="n"/>
      <c r="B15114" s="9" t="n"/>
    </row>
    <row r="15115">
      <c r="A15115" s="8" t="n"/>
      <c r="B15115" s="9" t="n"/>
    </row>
    <row r="15116">
      <c r="A15116" s="8" t="n"/>
      <c r="B15116" s="9" t="n"/>
    </row>
    <row r="15117">
      <c r="A15117" s="8" t="n"/>
      <c r="B15117" s="9" t="n"/>
    </row>
    <row r="15118">
      <c r="A15118" s="8" t="n"/>
      <c r="B15118" s="9" t="n"/>
    </row>
    <row r="15119">
      <c r="A15119" s="8" t="n"/>
      <c r="B15119" s="9" t="n"/>
    </row>
    <row r="15120">
      <c r="A15120" s="8" t="n"/>
      <c r="B15120" s="9" t="n"/>
    </row>
    <row r="15121">
      <c r="A15121" s="8" t="n"/>
      <c r="B15121" s="9" t="n"/>
    </row>
    <row r="15122">
      <c r="A15122" s="8" t="n"/>
      <c r="B15122" s="9" t="n"/>
    </row>
    <row r="15123">
      <c r="A15123" s="8" t="n"/>
      <c r="B15123" s="9" t="n"/>
    </row>
    <row r="15124">
      <c r="A15124" s="8" t="n"/>
      <c r="B15124" s="9" t="n"/>
    </row>
    <row r="15125">
      <c r="A15125" s="8" t="n"/>
      <c r="B15125" s="9" t="n"/>
    </row>
    <row r="15126">
      <c r="A15126" s="8" t="n"/>
      <c r="B15126" s="9" t="n"/>
    </row>
    <row r="15127">
      <c r="A15127" s="8" t="n"/>
      <c r="B15127" s="9" t="n"/>
    </row>
    <row r="15128">
      <c r="A15128" s="8" t="n"/>
      <c r="B15128" s="9" t="n"/>
    </row>
    <row r="15129">
      <c r="A15129" s="8" t="n"/>
      <c r="B15129" s="9" t="n"/>
    </row>
    <row r="15130">
      <c r="A15130" s="8" t="n"/>
      <c r="B15130" s="9" t="n"/>
    </row>
    <row r="15131">
      <c r="A15131" s="8" t="n"/>
      <c r="B15131" s="9" t="n"/>
    </row>
    <row r="15132">
      <c r="A15132" s="8" t="n"/>
      <c r="B15132" s="9" t="n"/>
    </row>
    <row r="15133">
      <c r="A15133" s="8" t="n"/>
      <c r="B15133" s="9" t="n"/>
    </row>
    <row r="15134">
      <c r="A15134" s="8" t="n"/>
      <c r="B15134" s="9" t="n"/>
    </row>
    <row r="15135">
      <c r="A15135" s="8" t="n"/>
      <c r="B15135" s="9" t="n"/>
    </row>
    <row r="15136">
      <c r="A15136" s="8" t="n"/>
      <c r="B15136" s="9" t="n"/>
    </row>
    <row r="15137">
      <c r="A15137" s="8" t="n"/>
      <c r="B15137" s="9" t="n"/>
    </row>
    <row r="15138">
      <c r="A15138" s="8" t="n"/>
      <c r="B15138" s="9" t="n"/>
    </row>
    <row r="15139">
      <c r="A15139" s="8" t="n"/>
      <c r="B15139" s="9" t="n"/>
    </row>
    <row r="15140">
      <c r="A15140" s="8" t="n"/>
      <c r="B15140" s="9" t="n"/>
    </row>
    <row r="15141">
      <c r="A15141" s="8" t="n"/>
      <c r="B15141" s="9" t="n"/>
    </row>
    <row r="15142">
      <c r="A15142" s="8" t="n"/>
      <c r="B15142" s="9" t="n"/>
    </row>
    <row r="15143">
      <c r="A15143" s="8" t="n"/>
      <c r="B15143" s="9" t="n"/>
    </row>
    <row r="15144">
      <c r="A15144" s="8" t="n"/>
      <c r="B15144" s="9" t="n"/>
    </row>
    <row r="15145">
      <c r="A15145" s="8" t="n"/>
      <c r="B15145" s="9" t="n"/>
    </row>
    <row r="15146">
      <c r="A15146" s="8" t="n"/>
      <c r="B15146" s="9" t="n"/>
    </row>
    <row r="15147">
      <c r="A15147" s="8" t="n"/>
      <c r="B15147" s="9" t="n"/>
    </row>
    <row r="15148">
      <c r="A15148" s="8" t="n"/>
      <c r="B15148" s="9" t="n"/>
    </row>
    <row r="15149">
      <c r="A15149" s="8" t="n"/>
      <c r="B15149" s="9" t="n"/>
    </row>
    <row r="15150">
      <c r="A15150" s="8" t="n"/>
      <c r="B15150" s="9" t="n"/>
    </row>
    <row r="15151">
      <c r="A15151" s="8" t="n"/>
      <c r="B15151" s="9" t="n"/>
    </row>
    <row r="15152">
      <c r="A15152" s="8" t="n"/>
      <c r="B15152" s="9" t="n"/>
    </row>
    <row r="15153">
      <c r="A15153" s="8" t="n"/>
      <c r="B15153" s="9" t="n"/>
    </row>
    <row r="15154">
      <c r="A15154" s="8" t="n"/>
      <c r="B15154" s="9" t="n"/>
    </row>
    <row r="15155">
      <c r="A15155" s="8" t="n"/>
      <c r="B15155" s="9" t="n"/>
    </row>
    <row r="15156">
      <c r="A15156" s="8" t="n"/>
      <c r="B15156" s="9" t="n"/>
    </row>
    <row r="15157">
      <c r="A15157" s="8" t="n"/>
      <c r="B15157" s="9" t="n"/>
    </row>
    <row r="15158">
      <c r="A15158" s="8" t="n"/>
      <c r="B15158" s="9" t="n"/>
    </row>
    <row r="15159">
      <c r="A15159" s="8" t="n"/>
      <c r="B15159" s="9" t="n"/>
    </row>
    <row r="15160">
      <c r="A15160" s="8" t="n"/>
      <c r="B15160" s="9" t="n"/>
    </row>
    <row r="15161">
      <c r="A15161" s="8" t="n"/>
      <c r="B15161" s="9" t="n"/>
    </row>
    <row r="15162">
      <c r="A15162" s="8" t="n"/>
      <c r="B15162" s="9" t="n"/>
    </row>
    <row r="15163">
      <c r="A15163" s="8" t="n"/>
      <c r="B15163" s="9" t="n"/>
    </row>
    <row r="15164">
      <c r="A15164" s="8" t="n"/>
      <c r="B15164" s="9" t="n"/>
    </row>
    <row r="15165">
      <c r="A15165" s="8" t="n"/>
      <c r="B15165" s="9" t="n"/>
    </row>
    <row r="15166">
      <c r="A15166" s="8" t="n"/>
      <c r="B15166" s="9" t="n"/>
    </row>
    <row r="15167">
      <c r="A15167" s="8" t="n"/>
      <c r="B15167" s="9" t="n"/>
    </row>
    <row r="15168">
      <c r="A15168" s="8" t="n"/>
      <c r="B15168" s="9" t="n"/>
    </row>
    <row r="15169">
      <c r="A15169" s="8" t="n"/>
      <c r="B15169" s="9" t="n"/>
    </row>
    <row r="15170">
      <c r="A15170" s="8" t="n"/>
      <c r="B15170" s="9" t="n"/>
    </row>
    <row r="15171">
      <c r="A15171" s="8" t="n"/>
      <c r="B15171" s="9" t="n"/>
    </row>
    <row r="15172">
      <c r="A15172" s="8" t="n"/>
      <c r="B15172" s="9" t="n"/>
    </row>
    <row r="15173">
      <c r="A15173" s="8" t="n"/>
      <c r="B15173" s="9" t="n"/>
    </row>
    <row r="15174">
      <c r="A15174" s="8" t="n"/>
      <c r="B15174" s="9" t="n"/>
    </row>
    <row r="15175">
      <c r="A15175" s="8" t="n"/>
      <c r="B15175" s="9" t="n"/>
    </row>
    <row r="15176">
      <c r="A15176" s="8" t="n"/>
      <c r="B15176" s="9" t="n"/>
    </row>
    <row r="15177">
      <c r="A15177" s="8" t="n"/>
      <c r="B15177" s="9" t="n"/>
    </row>
    <row r="15178">
      <c r="A15178" s="8" t="n"/>
      <c r="B15178" s="9" t="n"/>
    </row>
    <row r="15179">
      <c r="A15179" s="8" t="n"/>
      <c r="B15179" s="9" t="n"/>
    </row>
    <row r="15180">
      <c r="A15180" s="8" t="n"/>
      <c r="B15180" s="9" t="n"/>
    </row>
    <row r="15181">
      <c r="A15181" s="8" t="n"/>
      <c r="B15181" s="9" t="n"/>
    </row>
    <row r="15182">
      <c r="A15182" s="8" t="n"/>
      <c r="B15182" s="9" t="n"/>
    </row>
    <row r="15183">
      <c r="A15183" s="8" t="n"/>
      <c r="B15183" s="9" t="n"/>
    </row>
    <row r="15184">
      <c r="A15184" s="8" t="n"/>
      <c r="B15184" s="9" t="n"/>
    </row>
    <row r="15185">
      <c r="A15185" s="8" t="n"/>
      <c r="B15185" s="9" t="n"/>
    </row>
    <row r="15186">
      <c r="A15186" s="8" t="n"/>
      <c r="B15186" s="9" t="n"/>
    </row>
    <row r="15187">
      <c r="A15187" s="8" t="n"/>
      <c r="B15187" s="9" t="n"/>
    </row>
    <row r="15188">
      <c r="A15188" s="8" t="n"/>
      <c r="B15188" s="9" t="n"/>
    </row>
    <row r="15189">
      <c r="A15189" s="8" t="n"/>
      <c r="B15189" s="9" t="n"/>
    </row>
    <row r="15190">
      <c r="A15190" s="8" t="n"/>
      <c r="B15190" s="9" t="n"/>
    </row>
    <row r="15191">
      <c r="A15191" s="8" t="n"/>
      <c r="B15191" s="9" t="n"/>
    </row>
    <row r="15192">
      <c r="A15192" s="8" t="n"/>
      <c r="B15192" s="9" t="n"/>
    </row>
    <row r="15193">
      <c r="A15193" s="8" t="n"/>
      <c r="B15193" s="9" t="n"/>
    </row>
    <row r="15194">
      <c r="A15194" s="8" t="n"/>
      <c r="B15194" s="9" t="n"/>
    </row>
    <row r="15195">
      <c r="A15195" s="8" t="n"/>
      <c r="B15195" s="9" t="n"/>
    </row>
    <row r="15196">
      <c r="A15196" s="8" t="n"/>
      <c r="B15196" s="9" t="n"/>
    </row>
    <row r="15197">
      <c r="A15197" s="8" t="n"/>
      <c r="B15197" s="9" t="n"/>
    </row>
    <row r="15198">
      <c r="A15198" s="8" t="n"/>
      <c r="B15198" s="9" t="n"/>
    </row>
    <row r="15199">
      <c r="A15199" s="8" t="n"/>
      <c r="B15199" s="9" t="n"/>
    </row>
    <row r="15200">
      <c r="A15200" s="8" t="n"/>
      <c r="B15200" s="9" t="n"/>
    </row>
    <row r="15201">
      <c r="A15201" s="8" t="n"/>
      <c r="B15201" s="9" t="n"/>
    </row>
    <row r="15202">
      <c r="A15202" s="8" t="n"/>
      <c r="B15202" s="9" t="n"/>
    </row>
    <row r="15203">
      <c r="A15203" s="8" t="n"/>
      <c r="B15203" s="9" t="n"/>
    </row>
    <row r="15204">
      <c r="A15204" s="8" t="n"/>
      <c r="B15204" s="9" t="n"/>
    </row>
    <row r="15205">
      <c r="A15205" s="8" t="n"/>
      <c r="B15205" s="9" t="n"/>
    </row>
    <row r="15206">
      <c r="A15206" s="8" t="n"/>
      <c r="B15206" s="9" t="n"/>
    </row>
    <row r="15207">
      <c r="A15207" s="8" t="n"/>
      <c r="B15207" s="9" t="n"/>
    </row>
    <row r="15208">
      <c r="A15208" s="8" t="n"/>
      <c r="B15208" s="9" t="n"/>
    </row>
    <row r="15209">
      <c r="A15209" s="8" t="n"/>
      <c r="B15209" s="9" t="n"/>
    </row>
    <row r="15210">
      <c r="A15210" s="8" t="n"/>
      <c r="B15210" s="9" t="n"/>
    </row>
    <row r="15211">
      <c r="A15211" s="8" t="n"/>
      <c r="B15211" s="9" t="n"/>
    </row>
    <row r="15212">
      <c r="A15212" s="8" t="n"/>
      <c r="B15212" s="9" t="n"/>
    </row>
    <row r="15213">
      <c r="A15213" s="8" t="n"/>
      <c r="B15213" s="9" t="n"/>
    </row>
    <row r="15214">
      <c r="A15214" s="8" t="n"/>
      <c r="B15214" s="9" t="n"/>
    </row>
    <row r="15215">
      <c r="A15215" s="8" t="n"/>
      <c r="B15215" s="9" t="n"/>
    </row>
    <row r="15216">
      <c r="A15216" s="8" t="n"/>
      <c r="B15216" s="9" t="n"/>
    </row>
    <row r="15217">
      <c r="A15217" s="8" t="n"/>
      <c r="B15217" s="9" t="n"/>
    </row>
    <row r="15218">
      <c r="A15218" s="8" t="n"/>
      <c r="B15218" s="9" t="n"/>
    </row>
    <row r="15219">
      <c r="A15219" s="8" t="n"/>
      <c r="B15219" s="9" t="n"/>
    </row>
    <row r="15220">
      <c r="A15220" s="8" t="n"/>
      <c r="B15220" s="9" t="n"/>
    </row>
    <row r="15221">
      <c r="A15221" s="8" t="n"/>
      <c r="B15221" s="9" t="n"/>
    </row>
    <row r="15222">
      <c r="A15222" s="8" t="n"/>
      <c r="B15222" s="9" t="n"/>
    </row>
    <row r="15223">
      <c r="A15223" s="8" t="n"/>
      <c r="B15223" s="9" t="n"/>
    </row>
    <row r="15224">
      <c r="A15224" s="8" t="n"/>
      <c r="B15224" s="9" t="n"/>
    </row>
    <row r="15225">
      <c r="A15225" s="8" t="n"/>
      <c r="B15225" s="9" t="n"/>
    </row>
    <row r="15226">
      <c r="A15226" s="8" t="n"/>
      <c r="B15226" s="9" t="n"/>
    </row>
    <row r="15227">
      <c r="A15227" s="8" t="n"/>
      <c r="B15227" s="9" t="n"/>
    </row>
    <row r="15228">
      <c r="A15228" s="8" t="n"/>
      <c r="B15228" s="9" t="n"/>
    </row>
    <row r="15229">
      <c r="A15229" s="8" t="n"/>
      <c r="B15229" s="9" t="n"/>
    </row>
    <row r="15230">
      <c r="A15230" s="8" t="n"/>
      <c r="B15230" s="9" t="n"/>
    </row>
    <row r="15231">
      <c r="A15231" s="8" t="n"/>
      <c r="B15231" s="9" t="n"/>
    </row>
    <row r="15232">
      <c r="A15232" s="8" t="n"/>
      <c r="B15232" s="9" t="n"/>
    </row>
    <row r="15233">
      <c r="A15233" s="8" t="n"/>
      <c r="B15233" s="9" t="n"/>
    </row>
    <row r="15234">
      <c r="A15234" s="8" t="n"/>
      <c r="B15234" s="9" t="n"/>
    </row>
    <row r="15235">
      <c r="A15235" s="8" t="n"/>
      <c r="B15235" s="9" t="n"/>
    </row>
    <row r="15236">
      <c r="A15236" s="8" t="n"/>
      <c r="B15236" s="9" t="n"/>
    </row>
    <row r="15237">
      <c r="A15237" s="8" t="n"/>
      <c r="B15237" s="9" t="n"/>
    </row>
    <row r="15238">
      <c r="A15238" s="8" t="n"/>
      <c r="B15238" s="9" t="n"/>
    </row>
    <row r="15239">
      <c r="A15239" s="8" t="n"/>
      <c r="B15239" s="9" t="n"/>
    </row>
    <row r="15240">
      <c r="A15240" s="8" t="n"/>
      <c r="B15240" s="9" t="n"/>
    </row>
    <row r="15241">
      <c r="A15241" s="8" t="n"/>
      <c r="B15241" s="9" t="n"/>
    </row>
    <row r="15242">
      <c r="A15242" s="8" t="n"/>
      <c r="B15242" s="9" t="n"/>
    </row>
    <row r="15243">
      <c r="A15243" s="8" t="n"/>
      <c r="B15243" s="9" t="n"/>
    </row>
    <row r="15244">
      <c r="A15244" s="8" t="n"/>
      <c r="B15244" s="9" t="n"/>
    </row>
    <row r="15245">
      <c r="A15245" s="8" t="n"/>
      <c r="B15245" s="9" t="n"/>
    </row>
    <row r="15246">
      <c r="A15246" s="8" t="n"/>
      <c r="B15246" s="9" t="n"/>
    </row>
    <row r="15247">
      <c r="A15247" s="8" t="n"/>
      <c r="B15247" s="9" t="n"/>
    </row>
    <row r="15248">
      <c r="A15248" s="8" t="n"/>
      <c r="B15248" s="9" t="n"/>
    </row>
    <row r="15249">
      <c r="A15249" s="8" t="n"/>
      <c r="B15249" s="9" t="n"/>
    </row>
    <row r="15250">
      <c r="A15250" s="8" t="n"/>
      <c r="B15250" s="9" t="n"/>
    </row>
    <row r="15251">
      <c r="A15251" s="8" t="n"/>
      <c r="B15251" s="9" t="n"/>
    </row>
    <row r="15252">
      <c r="A15252" s="8" t="n"/>
      <c r="B15252" s="9" t="n"/>
    </row>
    <row r="15253">
      <c r="A15253" s="8" t="n"/>
      <c r="B15253" s="9" t="n"/>
    </row>
    <row r="15254">
      <c r="A15254" s="8" t="n"/>
      <c r="B15254" s="9" t="n"/>
    </row>
    <row r="15255">
      <c r="A15255" s="8" t="n"/>
      <c r="B15255" s="9" t="n"/>
    </row>
    <row r="15256">
      <c r="A15256" s="8" t="n"/>
      <c r="B15256" s="9" t="n"/>
    </row>
    <row r="15257">
      <c r="A15257" s="8" t="n"/>
      <c r="B15257" s="9" t="n"/>
    </row>
    <row r="15258">
      <c r="A15258" s="8" t="n"/>
      <c r="B15258" s="9" t="n"/>
    </row>
    <row r="15259">
      <c r="A15259" s="8" t="n"/>
      <c r="B15259" s="9" t="n"/>
    </row>
    <row r="15260">
      <c r="A15260" s="8" t="n"/>
      <c r="B15260" s="9" t="n"/>
    </row>
    <row r="15261">
      <c r="A15261" s="8" t="n"/>
      <c r="B15261" s="9" t="n"/>
    </row>
    <row r="15262">
      <c r="A15262" s="8" t="n"/>
      <c r="B15262" s="9" t="n"/>
    </row>
    <row r="15263">
      <c r="A15263" s="8" t="n"/>
      <c r="B15263" s="9" t="n"/>
    </row>
    <row r="15264">
      <c r="A15264" s="8" t="n"/>
      <c r="B15264" s="9" t="n"/>
    </row>
    <row r="15265">
      <c r="A15265" s="8" t="n"/>
      <c r="B15265" s="9" t="n"/>
    </row>
    <row r="15266">
      <c r="A15266" s="8" t="n"/>
      <c r="B15266" s="9" t="n"/>
    </row>
    <row r="15267">
      <c r="A15267" s="8" t="n"/>
      <c r="B15267" s="9" t="n"/>
    </row>
    <row r="15268">
      <c r="A15268" s="8" t="n"/>
      <c r="B15268" s="9" t="n"/>
    </row>
    <row r="15269">
      <c r="A15269" s="8" t="n"/>
      <c r="B15269" s="9" t="n"/>
    </row>
    <row r="15270">
      <c r="A15270" s="8" t="n"/>
      <c r="B15270" s="9" t="n"/>
    </row>
    <row r="15271">
      <c r="A15271" s="8" t="n"/>
      <c r="B15271" s="9" t="n"/>
    </row>
    <row r="15272">
      <c r="A15272" s="8" t="n"/>
      <c r="B15272" s="9" t="n"/>
    </row>
    <row r="15273">
      <c r="A15273" s="8" t="n"/>
      <c r="B15273" s="9" t="n"/>
    </row>
    <row r="15274">
      <c r="A15274" s="8" t="n"/>
      <c r="B15274" s="9" t="n"/>
    </row>
    <row r="15275">
      <c r="A15275" s="8" t="n"/>
      <c r="B15275" s="9" t="n"/>
    </row>
    <row r="15276">
      <c r="A15276" s="8" t="n"/>
      <c r="B15276" s="9" t="n"/>
    </row>
    <row r="15277">
      <c r="A15277" s="8" t="n"/>
      <c r="B15277" s="9" t="n"/>
    </row>
    <row r="15278">
      <c r="A15278" s="8" t="n"/>
      <c r="B15278" s="9" t="n"/>
    </row>
    <row r="15279">
      <c r="A15279" s="8" t="n"/>
      <c r="B15279" s="9" t="n"/>
    </row>
    <row r="15280">
      <c r="A15280" s="8" t="n"/>
      <c r="B15280" s="9" t="n"/>
    </row>
    <row r="15281">
      <c r="A15281" s="8" t="n"/>
      <c r="B15281" s="9" t="n"/>
    </row>
    <row r="15282">
      <c r="A15282" s="8" t="n"/>
      <c r="B15282" s="9" t="n"/>
    </row>
    <row r="15283">
      <c r="A15283" s="8" t="n"/>
      <c r="B15283" s="9" t="n"/>
    </row>
    <row r="15284">
      <c r="A15284" s="8" t="n"/>
      <c r="B15284" s="9" t="n"/>
    </row>
    <row r="15285">
      <c r="A15285" s="8" t="n"/>
      <c r="B15285" s="9" t="n"/>
    </row>
    <row r="15286">
      <c r="A15286" s="8" t="n"/>
      <c r="B15286" s="9" t="n"/>
    </row>
    <row r="15287">
      <c r="A15287" s="8" t="n"/>
      <c r="B15287" s="9" t="n"/>
    </row>
    <row r="15288">
      <c r="A15288" s="8" t="n"/>
      <c r="B15288" s="9" t="n"/>
    </row>
    <row r="15289">
      <c r="A15289" s="8" t="n"/>
      <c r="B15289" s="9" t="n"/>
    </row>
    <row r="15290">
      <c r="A15290" s="8" t="n"/>
      <c r="B15290" s="9" t="n"/>
    </row>
    <row r="15291">
      <c r="A15291" s="8" t="n"/>
      <c r="B15291" s="9" t="n"/>
    </row>
    <row r="15292">
      <c r="A15292" s="8" t="n"/>
      <c r="B15292" s="9" t="n"/>
    </row>
    <row r="15293">
      <c r="A15293" s="8" t="n"/>
      <c r="B15293" s="9" t="n"/>
    </row>
    <row r="15294">
      <c r="A15294" s="8" t="n"/>
      <c r="B15294" s="9" t="n"/>
    </row>
    <row r="15295">
      <c r="A15295" s="8" t="n"/>
      <c r="B15295" s="9" t="n"/>
    </row>
    <row r="15296">
      <c r="A15296" s="8" t="n"/>
      <c r="B15296" s="9" t="n"/>
    </row>
    <row r="15297">
      <c r="A15297" s="8" t="n"/>
      <c r="B15297" s="9" t="n"/>
    </row>
    <row r="15298">
      <c r="A15298" s="8" t="n"/>
      <c r="B15298" s="9" t="n"/>
    </row>
    <row r="15299">
      <c r="A15299" s="8" t="n"/>
      <c r="B15299" s="9" t="n"/>
    </row>
    <row r="15300">
      <c r="A15300" s="8" t="n"/>
      <c r="B15300" s="9" t="n"/>
    </row>
    <row r="15301">
      <c r="A15301" s="8" t="n"/>
      <c r="B15301" s="9" t="n"/>
    </row>
    <row r="15302">
      <c r="A15302" s="8" t="n"/>
      <c r="B15302" s="9" t="n"/>
    </row>
    <row r="15303">
      <c r="A15303" s="8" t="n"/>
      <c r="B15303" s="9" t="n"/>
    </row>
    <row r="15304">
      <c r="A15304" s="8" t="n"/>
      <c r="B15304" s="9" t="n"/>
    </row>
    <row r="15305">
      <c r="A15305" s="8" t="n"/>
      <c r="B15305" s="9" t="n"/>
    </row>
    <row r="15306">
      <c r="A15306" s="8" t="n"/>
      <c r="B15306" s="9" t="n"/>
    </row>
    <row r="15307">
      <c r="A15307" s="8" t="n"/>
      <c r="B15307" s="9" t="n"/>
    </row>
    <row r="15308">
      <c r="A15308" s="8" t="n"/>
      <c r="B15308" s="9" t="n"/>
    </row>
    <row r="15309">
      <c r="A15309" s="8" t="n"/>
      <c r="B15309" s="9" t="n"/>
    </row>
    <row r="15310">
      <c r="A15310" s="8" t="n"/>
      <c r="B15310" s="9" t="n"/>
    </row>
    <row r="15311">
      <c r="A15311" s="8" t="n"/>
      <c r="B15311" s="9" t="n"/>
    </row>
    <row r="15312">
      <c r="A15312" s="8" t="n"/>
      <c r="B15312" s="9" t="n"/>
    </row>
    <row r="15313">
      <c r="A15313" s="8" t="n"/>
      <c r="B15313" s="9" t="n"/>
    </row>
    <row r="15314">
      <c r="A15314" s="8" t="n"/>
      <c r="B15314" s="9" t="n"/>
    </row>
    <row r="15315">
      <c r="A15315" s="8" t="n"/>
      <c r="B15315" s="9" t="n"/>
    </row>
    <row r="15316">
      <c r="A15316" s="8" t="n"/>
      <c r="B15316" s="9" t="n"/>
    </row>
    <row r="15317">
      <c r="A15317" s="8" t="n"/>
      <c r="B15317" s="9" t="n"/>
    </row>
    <row r="15318">
      <c r="A15318" s="8" t="n"/>
      <c r="B15318" s="9" t="n"/>
    </row>
    <row r="15319">
      <c r="A15319" s="8" t="n"/>
      <c r="B15319" s="9" t="n"/>
    </row>
    <row r="15320">
      <c r="A15320" s="8" t="n"/>
      <c r="B15320" s="9" t="n"/>
    </row>
    <row r="15321">
      <c r="A15321" s="8" t="n"/>
      <c r="B15321" s="9" t="n"/>
    </row>
    <row r="15322">
      <c r="A15322" s="8" t="n"/>
      <c r="B15322" s="9" t="n"/>
    </row>
    <row r="15323">
      <c r="A15323" s="8" t="n"/>
      <c r="B15323" s="9" t="n"/>
    </row>
    <row r="15324">
      <c r="A15324" s="8" t="n"/>
      <c r="B15324" s="9" t="n"/>
    </row>
    <row r="15325">
      <c r="A15325" s="8" t="n"/>
      <c r="B15325" s="9" t="n"/>
    </row>
    <row r="15326">
      <c r="A15326" s="8" t="n"/>
      <c r="B15326" s="9" t="n"/>
    </row>
    <row r="15327">
      <c r="A15327" s="8" t="n"/>
      <c r="B15327" s="9" t="n"/>
    </row>
    <row r="15328">
      <c r="A15328" s="8" t="n"/>
      <c r="B15328" s="9" t="n"/>
    </row>
    <row r="15329">
      <c r="A15329" s="8" t="n"/>
      <c r="B15329" s="9" t="n"/>
    </row>
    <row r="15330">
      <c r="A15330" s="8" t="n"/>
      <c r="B15330" s="9" t="n"/>
    </row>
    <row r="15331">
      <c r="A15331" s="8" t="n"/>
      <c r="B15331" s="9" t="n"/>
    </row>
    <row r="15332">
      <c r="A15332" s="8" t="n"/>
      <c r="B15332" s="9" t="n"/>
    </row>
    <row r="15333">
      <c r="A15333" s="8" t="n"/>
      <c r="B15333" s="9" t="n"/>
    </row>
    <row r="15334">
      <c r="A15334" s="8" t="n"/>
      <c r="B15334" s="9" t="n"/>
    </row>
    <row r="15335">
      <c r="A15335" s="8" t="n"/>
      <c r="B15335" s="9" t="n"/>
    </row>
    <row r="15336">
      <c r="A15336" s="8" t="n"/>
      <c r="B15336" s="9" t="n"/>
    </row>
    <row r="15337">
      <c r="A15337" s="8" t="n"/>
      <c r="B15337" s="9" t="n"/>
    </row>
    <row r="15338">
      <c r="A15338" s="8" t="n"/>
      <c r="B15338" s="9" t="n"/>
    </row>
    <row r="15339">
      <c r="A15339" s="8" t="n"/>
      <c r="B15339" s="9" t="n"/>
    </row>
    <row r="15340">
      <c r="A15340" s="8" t="n"/>
      <c r="B15340" s="9" t="n"/>
    </row>
    <row r="15341">
      <c r="A15341" s="8" t="n"/>
      <c r="B15341" s="9" t="n"/>
    </row>
    <row r="15342">
      <c r="A15342" s="8" t="n"/>
      <c r="B15342" s="9" t="n"/>
    </row>
    <row r="15343">
      <c r="A15343" s="8" t="n"/>
      <c r="B15343" s="9" t="n"/>
    </row>
    <row r="15344">
      <c r="A15344" s="8" t="n"/>
      <c r="B15344" s="9" t="n"/>
    </row>
    <row r="15345">
      <c r="A15345" s="8" t="n"/>
      <c r="B15345" s="9" t="n"/>
    </row>
    <row r="15346">
      <c r="A15346" s="8" t="n"/>
      <c r="B15346" s="9" t="n"/>
    </row>
    <row r="15347">
      <c r="A15347" s="8" t="n"/>
      <c r="B15347" s="9" t="n"/>
    </row>
    <row r="15348">
      <c r="A15348" s="8" t="n"/>
      <c r="B15348" s="9" t="n"/>
    </row>
    <row r="15349">
      <c r="A15349" s="8" t="n"/>
      <c r="B15349" s="9" t="n"/>
    </row>
    <row r="15350">
      <c r="A15350" s="8" t="n"/>
      <c r="B15350" s="9" t="n"/>
    </row>
    <row r="15351">
      <c r="A15351" s="8" t="n"/>
      <c r="B15351" s="9" t="n"/>
    </row>
    <row r="15352">
      <c r="A15352" s="8" t="n"/>
      <c r="B15352" s="9" t="n"/>
    </row>
    <row r="15353">
      <c r="A15353" s="8" t="n"/>
      <c r="B15353" s="9" t="n"/>
    </row>
    <row r="15354">
      <c r="A15354" s="8" t="n"/>
      <c r="B15354" s="9" t="n"/>
    </row>
    <row r="15355">
      <c r="A15355" s="8" t="n"/>
      <c r="B15355" s="9" t="n"/>
    </row>
    <row r="15356">
      <c r="A15356" s="8" t="n"/>
      <c r="B15356" s="9" t="n"/>
    </row>
    <row r="15357">
      <c r="A15357" s="8" t="n"/>
      <c r="B15357" s="9" t="n"/>
    </row>
    <row r="15358">
      <c r="A15358" s="8" t="n"/>
      <c r="B15358" s="9" t="n"/>
    </row>
    <row r="15359">
      <c r="A15359" s="8" t="n"/>
      <c r="B15359" s="9" t="n"/>
    </row>
    <row r="15360">
      <c r="A15360" s="8" t="n"/>
      <c r="B15360" s="9" t="n"/>
    </row>
    <row r="15361">
      <c r="A15361" s="8" t="n"/>
      <c r="B15361" s="9" t="n"/>
    </row>
    <row r="15362">
      <c r="A15362" s="8" t="n"/>
      <c r="B15362" s="9" t="n"/>
    </row>
    <row r="15363">
      <c r="A15363" s="8" t="n"/>
      <c r="B15363" s="9" t="n"/>
    </row>
    <row r="15364">
      <c r="A15364" s="8" t="n"/>
      <c r="B15364" s="9" t="n"/>
    </row>
    <row r="15365">
      <c r="A15365" s="8" t="n"/>
      <c r="B15365" s="9" t="n"/>
    </row>
    <row r="15366">
      <c r="A15366" s="8" t="n"/>
      <c r="B15366" s="9" t="n"/>
    </row>
    <row r="15367">
      <c r="A15367" s="8" t="n"/>
      <c r="B15367" s="9" t="n"/>
    </row>
    <row r="15368">
      <c r="A15368" s="8" t="n"/>
      <c r="B15368" s="9" t="n"/>
    </row>
    <row r="15369">
      <c r="A15369" s="8" t="n"/>
      <c r="B15369" s="9" t="n"/>
    </row>
    <row r="15370">
      <c r="A15370" s="8" t="n"/>
      <c r="B15370" s="9" t="n"/>
    </row>
    <row r="15371">
      <c r="A15371" s="8" t="n"/>
      <c r="B15371" s="9" t="n"/>
    </row>
    <row r="15372">
      <c r="A15372" s="8" t="n"/>
      <c r="B15372" s="9" t="n"/>
    </row>
    <row r="15373">
      <c r="A15373" s="8" t="n"/>
      <c r="B15373" s="9" t="n"/>
    </row>
    <row r="15374">
      <c r="A15374" s="8" t="n"/>
      <c r="B15374" s="9" t="n"/>
    </row>
    <row r="15375">
      <c r="A15375" s="8" t="n"/>
      <c r="B15375" s="9" t="n"/>
    </row>
    <row r="15376">
      <c r="A15376" s="8" t="n"/>
      <c r="B15376" s="9" t="n"/>
    </row>
    <row r="15377">
      <c r="A15377" s="8" t="n"/>
      <c r="B15377" s="9" t="n"/>
    </row>
    <row r="15378">
      <c r="A15378" s="8" t="n"/>
      <c r="B15378" s="9" t="n"/>
    </row>
    <row r="15379">
      <c r="A15379" s="8" t="n"/>
      <c r="B15379" s="9" t="n"/>
    </row>
    <row r="15380">
      <c r="A15380" s="8" t="n"/>
      <c r="B15380" s="9" t="n"/>
    </row>
    <row r="15381">
      <c r="A15381" s="8" t="n"/>
      <c r="B15381" s="9" t="n"/>
    </row>
    <row r="15382">
      <c r="A15382" s="8" t="n"/>
      <c r="B15382" s="9" t="n"/>
    </row>
    <row r="15383">
      <c r="A15383" s="8" t="n"/>
      <c r="B15383" s="9" t="n"/>
    </row>
    <row r="15384">
      <c r="A15384" s="8" t="n"/>
      <c r="B15384" s="9" t="n"/>
    </row>
    <row r="15385">
      <c r="A15385" s="8" t="n"/>
      <c r="B15385" s="9" t="n"/>
    </row>
    <row r="15386">
      <c r="A15386" s="8" t="n"/>
      <c r="B15386" s="9" t="n"/>
    </row>
    <row r="15387">
      <c r="A15387" s="8" t="n"/>
      <c r="B15387" s="9" t="n"/>
    </row>
    <row r="15388">
      <c r="A15388" s="8" t="n"/>
      <c r="B15388" s="9" t="n"/>
    </row>
    <row r="15389">
      <c r="A15389" s="8" t="n"/>
      <c r="B15389" s="9" t="n"/>
    </row>
    <row r="15390">
      <c r="A15390" s="8" t="n"/>
      <c r="B15390" s="9" t="n"/>
    </row>
    <row r="15391">
      <c r="A15391" s="8" t="n"/>
      <c r="B15391" s="9" t="n"/>
    </row>
    <row r="15392">
      <c r="A15392" s="8" t="n"/>
      <c r="B15392" s="9" t="n"/>
    </row>
    <row r="15393">
      <c r="A15393" s="8" t="n"/>
      <c r="B15393" s="9" t="n"/>
    </row>
    <row r="15394">
      <c r="A15394" s="8" t="n"/>
      <c r="B15394" s="9" t="n"/>
    </row>
    <row r="15395">
      <c r="A15395" s="8" t="n"/>
      <c r="B15395" s="9" t="n"/>
    </row>
    <row r="15396">
      <c r="A15396" s="8" t="n"/>
      <c r="B15396" s="9" t="n"/>
    </row>
    <row r="15397">
      <c r="A15397" s="8" t="n"/>
      <c r="B15397" s="9" t="n"/>
    </row>
    <row r="15398">
      <c r="A15398" s="8" t="n"/>
      <c r="B15398" s="9" t="n"/>
    </row>
    <row r="15399">
      <c r="A15399" s="8" t="n"/>
      <c r="B15399" s="9" t="n"/>
    </row>
    <row r="15400">
      <c r="A15400" s="8" t="n"/>
      <c r="B15400" s="9" t="n"/>
    </row>
    <row r="15401">
      <c r="A15401" s="8" t="n"/>
      <c r="B15401" s="9" t="n"/>
    </row>
    <row r="15402">
      <c r="A15402" s="8" t="n"/>
      <c r="B15402" s="9" t="n"/>
    </row>
    <row r="15403">
      <c r="A15403" s="8" t="n"/>
      <c r="B15403" s="9" t="n"/>
    </row>
    <row r="15404">
      <c r="A15404" s="8" t="n"/>
      <c r="B15404" s="9" t="n"/>
    </row>
    <row r="15405">
      <c r="A15405" s="8" t="n"/>
      <c r="B15405" s="9" t="n"/>
    </row>
    <row r="15406">
      <c r="A15406" s="8" t="n"/>
      <c r="B15406" s="9" t="n"/>
    </row>
    <row r="15407">
      <c r="A15407" s="8" t="n"/>
      <c r="B15407" s="9" t="n"/>
    </row>
    <row r="15408">
      <c r="A15408" s="8" t="n"/>
      <c r="B15408" s="9" t="n"/>
    </row>
    <row r="15409">
      <c r="A15409" s="8" t="n"/>
      <c r="B15409" s="9" t="n"/>
    </row>
    <row r="15410">
      <c r="A15410" s="8" t="n"/>
      <c r="B15410" s="9" t="n"/>
    </row>
    <row r="15411">
      <c r="A15411" s="8" t="n"/>
      <c r="B15411" s="9" t="n"/>
    </row>
    <row r="15412">
      <c r="A15412" s="8" t="n"/>
      <c r="B15412" s="9" t="n"/>
    </row>
    <row r="15413">
      <c r="A15413" s="8" t="n"/>
      <c r="B15413" s="9" t="n"/>
    </row>
    <row r="15414">
      <c r="A15414" s="8" t="n"/>
      <c r="B15414" s="9" t="n"/>
    </row>
    <row r="15415">
      <c r="A15415" s="8" t="n"/>
      <c r="B15415" s="9" t="n"/>
    </row>
    <row r="15416">
      <c r="A15416" s="8" t="n"/>
      <c r="B15416" s="9" t="n"/>
    </row>
    <row r="15417">
      <c r="A15417" s="8" t="n"/>
      <c r="B15417" s="9" t="n"/>
    </row>
    <row r="15418">
      <c r="A15418" s="8" t="n"/>
      <c r="B15418" s="9" t="n"/>
    </row>
    <row r="15419">
      <c r="A15419" s="8" t="n"/>
      <c r="B15419" s="9" t="n"/>
    </row>
    <row r="15420">
      <c r="A15420" s="8" t="n"/>
      <c r="B15420" s="9" t="n"/>
    </row>
    <row r="15421">
      <c r="A15421" s="8" t="n"/>
      <c r="B15421" s="9" t="n"/>
    </row>
    <row r="15422">
      <c r="A15422" s="8" t="n"/>
      <c r="B15422" s="9" t="n"/>
    </row>
    <row r="15423">
      <c r="A15423" s="8" t="n"/>
      <c r="B15423" s="9" t="n"/>
    </row>
    <row r="15424">
      <c r="A15424" s="8" t="n"/>
      <c r="B15424" s="9" t="n"/>
    </row>
    <row r="15425">
      <c r="A15425" s="8" t="n"/>
      <c r="B15425" s="9" t="n"/>
    </row>
    <row r="15426">
      <c r="A15426" s="8" t="n"/>
      <c r="B15426" s="9" t="n"/>
    </row>
    <row r="15427">
      <c r="A15427" s="8" t="n"/>
      <c r="B15427" s="9" t="n"/>
    </row>
    <row r="15428">
      <c r="A15428" s="8" t="n"/>
      <c r="B15428" s="9" t="n"/>
    </row>
    <row r="15429">
      <c r="A15429" s="8" t="n"/>
      <c r="B15429" s="9" t="n"/>
    </row>
    <row r="15430">
      <c r="A15430" s="8" t="n"/>
      <c r="B15430" s="9" t="n"/>
    </row>
    <row r="15431">
      <c r="A15431" s="8" t="n"/>
      <c r="B15431" s="9" t="n"/>
    </row>
    <row r="15432">
      <c r="A15432" s="8" t="n"/>
      <c r="B15432" s="9" t="n"/>
    </row>
    <row r="15433">
      <c r="A15433" s="8" t="n"/>
      <c r="B15433" s="9" t="n"/>
    </row>
    <row r="15434">
      <c r="A15434" s="8" t="n"/>
      <c r="B15434" s="9" t="n"/>
    </row>
    <row r="15435">
      <c r="A15435" s="8" t="n"/>
      <c r="B15435" s="9" t="n"/>
    </row>
    <row r="15436">
      <c r="A15436" s="8" t="n"/>
      <c r="B15436" s="9" t="n"/>
    </row>
    <row r="15437">
      <c r="A15437" s="8" t="n"/>
      <c r="B15437" s="9" t="n"/>
    </row>
    <row r="15438">
      <c r="A15438" s="8" t="n"/>
      <c r="B15438" s="9" t="n"/>
    </row>
    <row r="15439">
      <c r="A15439" s="8" t="n"/>
      <c r="B15439" s="9" t="n"/>
    </row>
    <row r="15440">
      <c r="A15440" s="8" t="n"/>
      <c r="B15440" s="9" t="n"/>
    </row>
    <row r="15441">
      <c r="A15441" s="8" t="n"/>
      <c r="B15441" s="9" t="n"/>
    </row>
    <row r="15442">
      <c r="A15442" s="8" t="n"/>
      <c r="B15442" s="9" t="n"/>
    </row>
    <row r="15443">
      <c r="A15443" s="8" t="n"/>
      <c r="B15443" s="9" t="n"/>
    </row>
    <row r="15444">
      <c r="A15444" s="8" t="n"/>
      <c r="B15444" s="9" t="n"/>
    </row>
    <row r="15445">
      <c r="A15445" s="8" t="n"/>
      <c r="B15445" s="9" t="n"/>
    </row>
    <row r="15446">
      <c r="A15446" s="8" t="n"/>
      <c r="B15446" s="9" t="n"/>
    </row>
    <row r="15447">
      <c r="A15447" s="8" t="n"/>
      <c r="B15447" s="9" t="n"/>
    </row>
    <row r="15448">
      <c r="A15448" s="8" t="n"/>
      <c r="B15448" s="9" t="n"/>
    </row>
    <row r="15449">
      <c r="A15449" s="8" t="n"/>
      <c r="B15449" s="9" t="n"/>
    </row>
    <row r="15450">
      <c r="A15450" s="8" t="n"/>
      <c r="B15450" s="9" t="n"/>
    </row>
    <row r="15451">
      <c r="A15451" s="8" t="n"/>
      <c r="B15451" s="9" t="n"/>
    </row>
    <row r="15452">
      <c r="A15452" s="8" t="n"/>
      <c r="B15452" s="9" t="n"/>
    </row>
    <row r="15453">
      <c r="A15453" s="8" t="n"/>
      <c r="B15453" s="9" t="n"/>
    </row>
    <row r="15454">
      <c r="A15454" s="8" t="n"/>
      <c r="B15454" s="9" t="n"/>
    </row>
    <row r="15455">
      <c r="A15455" s="8" t="n"/>
      <c r="B15455" s="9" t="n"/>
    </row>
    <row r="15456">
      <c r="A15456" s="8" t="n"/>
      <c r="B15456" s="9" t="n"/>
    </row>
    <row r="15457">
      <c r="A15457" s="8" t="n"/>
      <c r="B15457" s="9" t="n"/>
    </row>
    <row r="15458">
      <c r="A15458" s="8" t="n"/>
      <c r="B15458" s="9" t="n"/>
    </row>
    <row r="15459">
      <c r="A15459" s="8" t="n"/>
      <c r="B15459" s="9" t="n"/>
    </row>
    <row r="15460">
      <c r="A15460" s="8" t="n"/>
      <c r="B15460" s="9" t="n"/>
    </row>
    <row r="15461">
      <c r="A15461" s="8" t="n"/>
      <c r="B15461" s="9" t="n"/>
    </row>
    <row r="15462">
      <c r="A15462" s="8" t="n"/>
      <c r="B15462" s="9" t="n"/>
    </row>
    <row r="15463">
      <c r="A15463" s="8" t="n"/>
      <c r="B15463" s="9" t="n"/>
    </row>
    <row r="15464">
      <c r="A15464" s="8" t="n"/>
      <c r="B15464" s="9" t="n"/>
    </row>
    <row r="15465">
      <c r="A15465" s="8" t="n"/>
      <c r="B15465" s="9" t="n"/>
    </row>
    <row r="15466">
      <c r="A15466" s="8" t="n"/>
      <c r="B15466" s="9" t="n"/>
    </row>
    <row r="15467">
      <c r="A15467" s="8" t="n"/>
      <c r="B15467" s="9" t="n"/>
    </row>
    <row r="15468">
      <c r="A15468" s="8" t="n"/>
      <c r="B15468" s="9" t="n"/>
    </row>
    <row r="15469">
      <c r="A15469" s="8" t="n"/>
      <c r="B15469" s="9" t="n"/>
    </row>
    <row r="15470">
      <c r="A15470" s="8" t="n"/>
      <c r="B15470" s="9" t="n"/>
    </row>
    <row r="15471">
      <c r="A15471" s="8" t="n"/>
      <c r="B15471" s="9" t="n"/>
    </row>
    <row r="15472">
      <c r="A15472" s="8" t="n"/>
      <c r="B15472" s="9" t="n"/>
    </row>
    <row r="15473">
      <c r="A15473" s="8" t="n"/>
      <c r="B15473" s="9" t="n"/>
    </row>
    <row r="15474">
      <c r="A15474" s="8" t="n"/>
      <c r="B15474" s="9" t="n"/>
    </row>
    <row r="15475">
      <c r="A15475" s="8" t="n"/>
      <c r="B15475" s="9" t="n"/>
    </row>
    <row r="15476">
      <c r="A15476" s="8" t="n"/>
      <c r="B15476" s="9" t="n"/>
    </row>
    <row r="15477">
      <c r="A15477" s="8" t="n"/>
      <c r="B15477" s="9" t="n"/>
    </row>
    <row r="15478">
      <c r="A15478" s="8" t="n"/>
      <c r="B15478" s="9" t="n"/>
    </row>
    <row r="15479">
      <c r="A15479" s="8" t="n"/>
      <c r="B15479" s="9" t="n"/>
    </row>
    <row r="15480">
      <c r="A15480" s="8" t="n"/>
      <c r="B15480" s="9" t="n"/>
    </row>
    <row r="15481">
      <c r="A15481" s="8" t="n"/>
      <c r="B15481" s="9" t="n"/>
    </row>
    <row r="15482">
      <c r="A15482" s="8" t="n"/>
      <c r="B15482" s="9" t="n"/>
    </row>
    <row r="15483">
      <c r="A15483" s="8" t="n"/>
      <c r="B15483" s="9" t="n"/>
    </row>
    <row r="15484">
      <c r="A15484" s="8" t="n"/>
      <c r="B15484" s="9" t="n"/>
    </row>
    <row r="15485">
      <c r="A15485" s="8" t="n"/>
      <c r="B15485" s="9" t="n"/>
    </row>
    <row r="15486">
      <c r="A15486" s="8" t="n"/>
      <c r="B15486" s="9" t="n"/>
    </row>
    <row r="15487">
      <c r="A15487" s="8" t="n"/>
      <c r="B15487" s="9" t="n"/>
    </row>
    <row r="15488">
      <c r="A15488" s="8" t="n"/>
      <c r="B15488" s="9" t="n"/>
    </row>
    <row r="15489">
      <c r="A15489" s="8" t="n"/>
      <c r="B15489" s="9" t="n"/>
    </row>
    <row r="15490">
      <c r="A15490" s="8" t="n"/>
      <c r="B15490" s="9" t="n"/>
    </row>
    <row r="15491">
      <c r="A15491" s="8" t="n"/>
      <c r="B15491" s="9" t="n"/>
    </row>
    <row r="15492">
      <c r="A15492" s="8" t="n"/>
      <c r="B15492" s="9" t="n"/>
    </row>
    <row r="15493">
      <c r="A15493" s="8" t="n"/>
      <c r="B15493" s="9" t="n"/>
    </row>
    <row r="15494">
      <c r="A15494" s="8" t="n"/>
      <c r="B15494" s="9" t="n"/>
    </row>
    <row r="15495">
      <c r="A15495" s="8" t="n"/>
      <c r="B15495" s="9" t="n"/>
    </row>
    <row r="15496">
      <c r="A15496" s="8" t="n"/>
      <c r="B15496" s="9" t="n"/>
    </row>
    <row r="15497">
      <c r="A15497" s="8" t="n"/>
      <c r="B15497" s="9" t="n"/>
    </row>
    <row r="15498">
      <c r="A15498" s="8" t="n"/>
      <c r="B15498" s="9" t="n"/>
    </row>
    <row r="15499">
      <c r="A15499" s="8" t="n"/>
      <c r="B15499" s="9" t="n"/>
    </row>
    <row r="15500">
      <c r="A15500" s="8" t="n"/>
      <c r="B15500" s="9" t="n"/>
    </row>
    <row r="15501">
      <c r="A15501" s="8" t="n"/>
      <c r="B15501" s="9" t="n"/>
    </row>
    <row r="15502">
      <c r="A15502" s="8" t="n"/>
      <c r="B15502" s="9" t="n"/>
    </row>
    <row r="15503">
      <c r="A15503" s="8" t="n"/>
      <c r="B15503" s="9" t="n"/>
    </row>
    <row r="15504">
      <c r="A15504" s="8" t="n"/>
      <c r="B15504" s="9" t="n"/>
    </row>
    <row r="15505">
      <c r="A15505" s="8" t="n"/>
      <c r="B15505" s="9" t="n"/>
    </row>
    <row r="15506">
      <c r="A15506" s="8" t="n"/>
      <c r="B15506" s="9" t="n"/>
    </row>
    <row r="15507">
      <c r="A15507" s="8" t="n"/>
      <c r="B15507" s="9" t="n"/>
    </row>
    <row r="15508">
      <c r="A15508" s="8" t="n"/>
      <c r="B15508" s="9" t="n"/>
    </row>
    <row r="15509">
      <c r="A15509" s="8" t="n"/>
      <c r="B15509" s="9" t="n"/>
    </row>
    <row r="15510">
      <c r="A15510" s="8" t="n"/>
      <c r="B15510" s="9" t="n"/>
    </row>
    <row r="15511">
      <c r="A15511" s="8" t="n"/>
      <c r="B15511" s="9" t="n"/>
    </row>
    <row r="15512">
      <c r="A15512" s="8" t="n"/>
      <c r="B15512" s="9" t="n"/>
    </row>
    <row r="15513">
      <c r="A15513" s="8" t="n"/>
      <c r="B15513" s="9" t="n"/>
    </row>
    <row r="15514">
      <c r="A15514" s="8" t="n"/>
      <c r="B15514" s="9" t="n"/>
    </row>
    <row r="15515">
      <c r="A15515" s="8" t="n"/>
      <c r="B15515" s="9" t="n"/>
    </row>
    <row r="15516">
      <c r="A15516" s="8" t="n"/>
      <c r="B15516" s="9" t="n"/>
    </row>
    <row r="15517">
      <c r="A15517" s="8" t="n"/>
      <c r="B15517" s="9" t="n"/>
    </row>
    <row r="15518">
      <c r="A15518" s="8" t="n"/>
      <c r="B15518" s="9" t="n"/>
    </row>
    <row r="15519">
      <c r="A15519" s="8" t="n"/>
      <c r="B15519" s="9" t="n"/>
    </row>
    <row r="15520">
      <c r="A15520" s="8" t="n"/>
      <c r="B15520" s="9" t="n"/>
    </row>
    <row r="15521">
      <c r="A15521" s="8" t="n"/>
      <c r="B15521" s="9" t="n"/>
    </row>
    <row r="15522">
      <c r="A15522" s="8" t="n"/>
      <c r="B15522" s="9" t="n"/>
    </row>
    <row r="15523">
      <c r="A15523" s="8" t="n"/>
      <c r="B15523" s="9" t="n"/>
    </row>
    <row r="15524">
      <c r="A15524" s="8" t="n"/>
      <c r="B15524" s="9" t="n"/>
    </row>
    <row r="15525">
      <c r="A15525" s="8" t="n"/>
      <c r="B15525" s="9" t="n"/>
    </row>
    <row r="15526">
      <c r="A15526" s="8" t="n"/>
      <c r="B15526" s="9" t="n"/>
    </row>
    <row r="15527">
      <c r="A15527" s="8" t="n"/>
      <c r="B15527" s="9" t="n"/>
    </row>
    <row r="15528">
      <c r="A15528" s="8" t="n"/>
      <c r="B15528" s="9" t="n"/>
    </row>
    <row r="15529">
      <c r="A15529" s="8" t="n"/>
      <c r="B15529" s="9" t="n"/>
    </row>
    <row r="15530">
      <c r="A15530" s="8" t="n"/>
      <c r="B15530" s="9" t="n"/>
    </row>
    <row r="15531">
      <c r="A15531" s="8" t="n"/>
      <c r="B15531" s="9" t="n"/>
    </row>
    <row r="15532">
      <c r="A15532" s="8" t="n"/>
      <c r="B15532" s="9" t="n"/>
    </row>
    <row r="15533">
      <c r="A15533" s="8" t="n"/>
      <c r="B15533" s="9" t="n"/>
    </row>
    <row r="15534">
      <c r="A15534" s="8" t="n"/>
      <c r="B15534" s="9" t="n"/>
    </row>
    <row r="15535">
      <c r="A15535" s="8" t="n"/>
      <c r="B15535" s="9" t="n"/>
    </row>
    <row r="15536">
      <c r="A15536" s="8" t="n"/>
      <c r="B15536" s="9" t="n"/>
    </row>
    <row r="15537">
      <c r="A15537" s="8" t="n"/>
      <c r="B15537" s="9" t="n"/>
    </row>
    <row r="15538">
      <c r="A15538" s="8" t="n"/>
      <c r="B15538" s="9" t="n"/>
    </row>
    <row r="15539">
      <c r="A15539" s="8" t="n"/>
      <c r="B15539" s="9" t="n"/>
    </row>
    <row r="15540">
      <c r="A15540" s="8" t="n"/>
      <c r="B15540" s="9" t="n"/>
    </row>
    <row r="15541">
      <c r="A15541" s="8" t="n"/>
      <c r="B15541" s="9" t="n"/>
    </row>
    <row r="15542">
      <c r="A15542" s="8" t="n"/>
      <c r="B15542" s="9" t="n"/>
    </row>
    <row r="15543">
      <c r="A15543" s="8" t="n"/>
      <c r="B15543" s="9" t="n"/>
    </row>
    <row r="15544">
      <c r="A15544" s="8" t="n"/>
      <c r="B15544" s="9" t="n"/>
    </row>
    <row r="15545">
      <c r="A15545" s="8" t="n"/>
      <c r="B15545" s="9" t="n"/>
    </row>
    <row r="15546">
      <c r="A15546" s="8" t="n"/>
      <c r="B15546" s="9" t="n"/>
    </row>
    <row r="15547">
      <c r="A15547" s="8" t="n"/>
      <c r="B15547" s="9" t="n"/>
    </row>
    <row r="15548">
      <c r="A15548" s="8" t="n"/>
      <c r="B15548" s="9" t="n"/>
    </row>
    <row r="15549">
      <c r="A15549" s="8" t="n"/>
      <c r="B15549" s="9" t="n"/>
    </row>
    <row r="15550">
      <c r="A15550" s="8" t="n"/>
      <c r="B15550" s="9" t="n"/>
    </row>
    <row r="15551">
      <c r="A15551" s="8" t="n"/>
      <c r="B15551" s="9" t="n"/>
    </row>
    <row r="15552">
      <c r="A15552" s="8" t="n"/>
      <c r="B15552" s="9" t="n"/>
    </row>
    <row r="15553">
      <c r="A15553" s="8" t="n"/>
      <c r="B15553" s="9" t="n"/>
    </row>
    <row r="15554">
      <c r="A15554" s="8" t="n"/>
      <c r="B15554" s="9" t="n"/>
    </row>
    <row r="15555">
      <c r="A15555" s="8" t="n"/>
      <c r="B15555" s="9" t="n"/>
    </row>
    <row r="15556">
      <c r="A15556" s="8" t="n"/>
      <c r="B15556" s="9" t="n"/>
    </row>
    <row r="15557">
      <c r="A15557" s="8" t="n"/>
      <c r="B15557" s="9" t="n"/>
    </row>
    <row r="15558">
      <c r="A15558" s="8" t="n"/>
      <c r="B15558" s="9" t="n"/>
    </row>
    <row r="15559">
      <c r="A15559" s="8" t="n"/>
      <c r="B15559" s="9" t="n"/>
    </row>
    <row r="15560">
      <c r="A15560" s="8" t="n"/>
      <c r="B15560" s="9" t="n"/>
    </row>
    <row r="15561">
      <c r="A15561" s="8" t="n"/>
      <c r="B15561" s="9" t="n"/>
    </row>
    <row r="15562">
      <c r="A15562" s="8" t="n"/>
      <c r="B15562" s="9" t="n"/>
    </row>
    <row r="15563">
      <c r="A15563" s="8" t="n"/>
      <c r="B15563" s="9" t="n"/>
    </row>
    <row r="15564">
      <c r="A15564" s="8" t="n"/>
      <c r="B15564" s="9" t="n"/>
    </row>
    <row r="15565">
      <c r="A15565" s="8" t="n"/>
      <c r="B15565" s="9" t="n"/>
    </row>
    <row r="15566">
      <c r="A15566" s="8" t="n"/>
      <c r="B15566" s="9" t="n"/>
    </row>
    <row r="15567">
      <c r="A15567" s="8" t="n"/>
      <c r="B15567" s="9" t="n"/>
    </row>
    <row r="15568">
      <c r="A15568" s="8" t="n"/>
      <c r="B15568" s="9" t="n"/>
    </row>
    <row r="15569">
      <c r="A15569" s="8" t="n"/>
      <c r="B15569" s="9" t="n"/>
    </row>
    <row r="15570">
      <c r="A15570" s="8" t="n"/>
      <c r="B15570" s="9" t="n"/>
    </row>
    <row r="15571">
      <c r="A15571" s="8" t="n"/>
      <c r="B15571" s="9" t="n"/>
    </row>
    <row r="15572">
      <c r="A15572" s="8" t="n"/>
      <c r="B15572" s="9" t="n"/>
    </row>
    <row r="15573">
      <c r="A15573" s="8" t="n"/>
      <c r="B15573" s="9" t="n"/>
    </row>
    <row r="15574">
      <c r="A15574" s="8" t="n"/>
      <c r="B15574" s="9" t="n"/>
    </row>
    <row r="15575">
      <c r="A15575" s="8" t="n"/>
      <c r="B15575" s="9" t="n"/>
    </row>
    <row r="15576">
      <c r="A15576" s="8" t="n"/>
      <c r="B15576" s="9" t="n"/>
    </row>
    <row r="15577">
      <c r="A15577" s="8" t="n"/>
      <c r="B15577" s="9" t="n"/>
    </row>
    <row r="15578">
      <c r="A15578" s="8" t="n"/>
      <c r="B15578" s="9" t="n"/>
    </row>
    <row r="15579">
      <c r="A15579" s="8" t="n"/>
      <c r="B15579" s="9" t="n"/>
    </row>
    <row r="15580">
      <c r="A15580" s="8" t="n"/>
      <c r="B15580" s="9" t="n"/>
    </row>
    <row r="15581">
      <c r="A15581" s="8" t="n"/>
      <c r="B15581" s="9" t="n"/>
    </row>
    <row r="15582">
      <c r="A15582" s="8" t="n"/>
      <c r="B15582" s="9" t="n"/>
    </row>
    <row r="15583">
      <c r="A15583" s="8" t="n"/>
      <c r="B15583" s="9" t="n"/>
    </row>
    <row r="15584">
      <c r="A15584" s="8" t="n"/>
      <c r="B15584" s="9" t="n"/>
    </row>
    <row r="15585">
      <c r="A15585" s="8" t="n"/>
      <c r="B15585" s="9" t="n"/>
    </row>
    <row r="15586">
      <c r="A15586" s="8" t="n"/>
      <c r="B15586" s="9" t="n"/>
    </row>
    <row r="15587">
      <c r="A15587" s="8" t="n"/>
      <c r="B15587" s="9" t="n"/>
    </row>
    <row r="15588">
      <c r="A15588" s="8" t="n"/>
      <c r="B15588" s="9" t="n"/>
    </row>
    <row r="15589">
      <c r="A15589" s="8" t="n"/>
      <c r="B15589" s="9" t="n"/>
    </row>
    <row r="15590">
      <c r="A15590" s="8" t="n"/>
      <c r="B15590" s="9" t="n"/>
    </row>
    <row r="15591">
      <c r="A15591" s="8" t="n"/>
      <c r="B15591" s="9" t="n"/>
    </row>
    <row r="15592">
      <c r="A15592" s="8" t="n"/>
      <c r="B15592" s="9" t="n"/>
    </row>
    <row r="15593">
      <c r="A15593" s="8" t="n"/>
      <c r="B15593" s="9" t="n"/>
    </row>
    <row r="15594">
      <c r="A15594" s="8" t="n"/>
      <c r="B15594" s="9" t="n"/>
    </row>
    <row r="15595">
      <c r="A15595" s="8" t="n"/>
      <c r="B15595" s="9" t="n"/>
    </row>
    <row r="15596">
      <c r="A15596" s="8" t="n"/>
      <c r="B15596" s="9" t="n"/>
    </row>
    <row r="15597">
      <c r="A15597" s="8" t="n"/>
      <c r="B15597" s="9" t="n"/>
    </row>
    <row r="15598">
      <c r="A15598" s="8" t="n"/>
      <c r="B15598" s="9" t="n"/>
    </row>
    <row r="15599">
      <c r="A15599" s="8" t="n"/>
      <c r="B15599" s="9" t="n"/>
    </row>
    <row r="15600">
      <c r="A15600" s="8" t="n"/>
      <c r="B15600" s="9" t="n"/>
    </row>
    <row r="15601">
      <c r="A15601" s="8" t="n"/>
      <c r="B15601" s="9" t="n"/>
    </row>
    <row r="15602">
      <c r="A15602" s="8" t="n"/>
      <c r="B15602" s="9" t="n"/>
    </row>
    <row r="15603">
      <c r="A15603" s="8" t="n"/>
      <c r="B15603" s="9" t="n"/>
    </row>
    <row r="15604">
      <c r="A15604" s="8" t="n"/>
      <c r="B15604" s="9" t="n"/>
    </row>
    <row r="15605">
      <c r="A15605" s="8" t="n"/>
      <c r="B15605" s="9" t="n"/>
    </row>
    <row r="15606">
      <c r="A15606" s="8" t="n"/>
      <c r="B15606" s="9" t="n"/>
    </row>
    <row r="15607">
      <c r="A15607" s="8" t="n"/>
      <c r="B15607" s="9" t="n"/>
    </row>
    <row r="15608">
      <c r="A15608" s="8" t="n"/>
      <c r="B15608" s="9" t="n"/>
    </row>
    <row r="15609">
      <c r="A15609" s="8" t="n"/>
      <c r="B15609" s="9" t="n"/>
    </row>
    <row r="15610">
      <c r="A15610" s="8" t="n"/>
      <c r="B15610" s="9" t="n"/>
    </row>
    <row r="15611">
      <c r="A15611" s="8" t="n"/>
      <c r="B15611" s="9" t="n"/>
    </row>
    <row r="15612">
      <c r="A15612" s="8" t="n"/>
      <c r="B15612" s="9" t="n"/>
    </row>
    <row r="15613">
      <c r="A15613" s="8" t="n"/>
      <c r="B15613" s="9" t="n"/>
    </row>
    <row r="15614">
      <c r="A15614" s="8" t="n"/>
      <c r="B15614" s="9" t="n"/>
    </row>
    <row r="15615">
      <c r="A15615" s="8" t="n"/>
      <c r="B15615" s="9" t="n"/>
    </row>
    <row r="15616">
      <c r="A15616" s="8" t="n"/>
      <c r="B15616" s="9" t="n"/>
    </row>
    <row r="15617">
      <c r="A15617" s="8" t="n"/>
      <c r="B15617" s="9" t="n"/>
    </row>
    <row r="15618">
      <c r="A15618" s="8" t="n"/>
      <c r="B15618" s="9" t="n"/>
    </row>
    <row r="15619">
      <c r="A15619" s="8" t="n"/>
      <c r="B15619" s="9" t="n"/>
    </row>
    <row r="15620">
      <c r="A15620" s="8" t="n"/>
      <c r="B15620" s="9" t="n"/>
    </row>
    <row r="15621">
      <c r="A15621" s="8" t="n"/>
      <c r="B15621" s="9" t="n"/>
    </row>
    <row r="15622">
      <c r="A15622" s="8" t="n"/>
      <c r="B15622" s="9" t="n"/>
    </row>
    <row r="15623">
      <c r="A15623" s="8" t="n"/>
      <c r="B15623" s="9" t="n"/>
    </row>
    <row r="15624">
      <c r="A15624" s="8" t="n"/>
      <c r="B15624" s="9" t="n"/>
    </row>
    <row r="15625">
      <c r="A15625" s="8" t="n"/>
      <c r="B15625" s="9" t="n"/>
    </row>
    <row r="15626">
      <c r="A15626" s="8" t="n"/>
      <c r="B15626" s="9" t="n"/>
    </row>
    <row r="15627">
      <c r="A15627" s="8" t="n"/>
      <c r="B15627" s="9" t="n"/>
    </row>
    <row r="15628">
      <c r="A15628" s="8" t="n"/>
      <c r="B15628" s="9" t="n"/>
    </row>
    <row r="15629">
      <c r="A15629" s="8" t="n"/>
      <c r="B15629" s="9" t="n"/>
    </row>
    <row r="15630">
      <c r="A15630" s="8" t="n"/>
      <c r="B15630" s="9" t="n"/>
    </row>
    <row r="15631">
      <c r="A15631" s="8" t="n"/>
      <c r="B15631" s="9" t="n"/>
    </row>
    <row r="15632">
      <c r="A15632" s="8" t="n"/>
      <c r="B15632" s="9" t="n"/>
    </row>
    <row r="15633">
      <c r="A15633" s="8" t="n"/>
      <c r="B15633" s="9" t="n"/>
    </row>
    <row r="15634">
      <c r="A15634" s="8" t="n"/>
      <c r="B15634" s="9" t="n"/>
    </row>
    <row r="15635">
      <c r="A15635" s="8" t="n"/>
      <c r="B15635" s="9" t="n"/>
    </row>
    <row r="15636">
      <c r="A15636" s="8" t="n"/>
      <c r="B15636" s="9" t="n"/>
    </row>
    <row r="15637">
      <c r="A15637" s="8" t="n"/>
      <c r="B15637" s="9" t="n"/>
    </row>
    <row r="15638">
      <c r="A15638" s="8" t="n"/>
      <c r="B15638" s="9" t="n"/>
    </row>
    <row r="15639">
      <c r="A15639" s="8" t="n"/>
      <c r="B15639" s="9" t="n"/>
    </row>
    <row r="15640">
      <c r="A15640" s="8" t="n"/>
      <c r="B15640" s="9" t="n"/>
    </row>
    <row r="15641">
      <c r="A15641" s="8" t="n"/>
      <c r="B15641" s="9" t="n"/>
    </row>
    <row r="15642">
      <c r="A15642" s="8" t="n"/>
      <c r="B15642" s="9" t="n"/>
    </row>
    <row r="15643">
      <c r="A15643" s="8" t="n"/>
      <c r="B15643" s="9" t="n"/>
    </row>
    <row r="15644">
      <c r="A15644" s="8" t="n"/>
      <c r="B15644" s="9" t="n"/>
    </row>
    <row r="15645">
      <c r="A15645" s="8" t="n"/>
      <c r="B15645" s="9" t="n"/>
    </row>
    <row r="15646">
      <c r="A15646" s="8" t="n"/>
      <c r="B15646" s="9" t="n"/>
    </row>
    <row r="15647">
      <c r="A15647" s="8" t="n"/>
      <c r="B15647" s="9" t="n"/>
    </row>
    <row r="15648">
      <c r="A15648" s="8" t="n"/>
      <c r="B15648" s="9" t="n"/>
    </row>
    <row r="15649">
      <c r="A15649" s="8" t="n"/>
      <c r="B15649" s="9" t="n"/>
    </row>
    <row r="15650">
      <c r="A15650" s="8" t="n"/>
      <c r="B15650" s="9" t="n"/>
    </row>
    <row r="15651">
      <c r="A15651" s="8" t="n"/>
      <c r="B15651" s="9" t="n"/>
    </row>
    <row r="15652">
      <c r="A15652" s="8" t="n"/>
      <c r="B15652" s="9" t="n"/>
    </row>
    <row r="15653">
      <c r="A15653" s="8" t="n"/>
      <c r="B15653" s="9" t="n"/>
    </row>
    <row r="15654">
      <c r="A15654" s="8" t="n"/>
      <c r="B15654" s="9" t="n"/>
    </row>
    <row r="15655">
      <c r="A15655" s="8" t="n"/>
      <c r="B15655" s="9" t="n"/>
    </row>
    <row r="15656">
      <c r="A15656" s="8" t="n"/>
      <c r="B15656" s="9" t="n"/>
    </row>
    <row r="15657">
      <c r="A15657" s="8" t="n"/>
      <c r="B15657" s="9" t="n"/>
    </row>
    <row r="15658">
      <c r="A15658" s="8" t="n"/>
      <c r="B15658" s="9" t="n"/>
    </row>
    <row r="15659">
      <c r="A15659" s="8" t="n"/>
      <c r="B15659" s="9" t="n"/>
    </row>
    <row r="15660">
      <c r="A15660" s="8" t="n"/>
      <c r="B15660" s="9" t="n"/>
    </row>
    <row r="15661">
      <c r="A15661" s="8" t="n"/>
      <c r="B15661" s="9" t="n"/>
    </row>
    <row r="15662">
      <c r="A15662" s="8" t="n"/>
      <c r="B15662" s="9" t="n"/>
    </row>
    <row r="15663">
      <c r="A15663" s="8" t="n"/>
      <c r="B15663" s="9" t="n"/>
    </row>
    <row r="15664">
      <c r="A15664" s="8" t="n"/>
      <c r="B15664" s="9" t="n"/>
    </row>
    <row r="15665">
      <c r="A15665" s="8" t="n"/>
      <c r="B15665" s="9" t="n"/>
    </row>
    <row r="15666">
      <c r="A15666" s="8" t="n"/>
      <c r="B15666" s="9" t="n"/>
    </row>
    <row r="15667">
      <c r="A15667" s="8" t="n"/>
      <c r="B15667" s="9" t="n"/>
    </row>
    <row r="15668">
      <c r="A15668" s="8" t="n"/>
      <c r="B15668" s="9" t="n"/>
    </row>
    <row r="15669">
      <c r="A15669" s="8" t="n"/>
      <c r="B15669" s="9" t="n"/>
    </row>
    <row r="15670">
      <c r="A15670" s="8" t="n"/>
      <c r="B15670" s="9" t="n"/>
    </row>
    <row r="15671">
      <c r="A15671" s="8" t="n"/>
      <c r="B15671" s="9" t="n"/>
    </row>
    <row r="15672">
      <c r="A15672" s="8" t="n"/>
      <c r="B15672" s="9" t="n"/>
    </row>
    <row r="15673">
      <c r="A15673" s="8" t="n"/>
      <c r="B15673" s="9" t="n"/>
    </row>
    <row r="15674">
      <c r="A15674" s="8" t="n"/>
      <c r="B15674" s="9" t="n"/>
    </row>
    <row r="15675">
      <c r="A15675" s="8" t="n"/>
      <c r="B15675" s="9" t="n"/>
    </row>
    <row r="15676">
      <c r="A15676" s="8" t="n"/>
      <c r="B15676" s="9" t="n"/>
    </row>
    <row r="15677">
      <c r="A15677" s="8" t="n"/>
      <c r="B15677" s="9" t="n"/>
    </row>
    <row r="15678">
      <c r="A15678" s="8" t="n"/>
      <c r="B15678" s="9" t="n"/>
    </row>
    <row r="15679">
      <c r="A15679" s="8" t="n"/>
      <c r="B15679" s="9" t="n"/>
    </row>
    <row r="15680">
      <c r="A15680" s="8" t="n"/>
      <c r="B15680" s="9" t="n"/>
    </row>
    <row r="15681">
      <c r="A15681" s="8" t="n"/>
      <c r="B15681" s="9" t="n"/>
    </row>
    <row r="15682">
      <c r="A15682" s="8" t="n"/>
      <c r="B15682" s="9" t="n"/>
    </row>
    <row r="15683">
      <c r="A15683" s="8" t="n"/>
      <c r="B15683" s="9" t="n"/>
    </row>
    <row r="15684">
      <c r="A15684" s="8" t="n"/>
      <c r="B15684" s="9" t="n"/>
    </row>
    <row r="15685">
      <c r="A15685" s="8" t="n"/>
      <c r="B15685" s="9" t="n"/>
    </row>
    <row r="15686">
      <c r="A15686" s="8" t="n"/>
      <c r="B15686" s="9" t="n"/>
    </row>
    <row r="15687">
      <c r="A15687" s="8" t="n"/>
      <c r="B15687" s="9" t="n"/>
    </row>
    <row r="15688">
      <c r="A15688" s="8" t="n"/>
      <c r="B15688" s="9" t="n"/>
    </row>
    <row r="15689">
      <c r="A15689" s="8" t="n"/>
      <c r="B15689" s="9" t="n"/>
    </row>
    <row r="15690">
      <c r="A15690" s="8" t="n"/>
      <c r="B15690" s="9" t="n"/>
    </row>
    <row r="15691">
      <c r="A15691" s="8" t="n"/>
      <c r="B15691" s="9" t="n"/>
    </row>
    <row r="15692">
      <c r="A15692" s="8" t="n"/>
      <c r="B15692" s="9" t="n"/>
    </row>
    <row r="15693">
      <c r="A15693" s="8" t="n"/>
      <c r="B15693" s="9" t="n"/>
    </row>
    <row r="15694">
      <c r="A15694" s="8" t="n"/>
      <c r="B15694" s="9" t="n"/>
    </row>
    <row r="15695">
      <c r="A15695" s="8" t="n"/>
      <c r="B15695" s="9" t="n"/>
    </row>
    <row r="15696">
      <c r="A15696" s="8" t="n"/>
      <c r="B15696" s="9" t="n"/>
    </row>
    <row r="15697">
      <c r="A15697" s="8" t="n"/>
      <c r="B15697" s="9" t="n"/>
    </row>
    <row r="15698">
      <c r="A15698" s="8" t="n"/>
      <c r="B15698" s="9" t="n"/>
    </row>
    <row r="15699">
      <c r="A15699" s="8" t="n"/>
      <c r="B15699" s="9" t="n"/>
    </row>
    <row r="15700">
      <c r="A15700" s="8" t="n"/>
      <c r="B15700" s="9" t="n"/>
    </row>
    <row r="15701">
      <c r="A15701" s="8" t="n"/>
      <c r="B15701" s="9" t="n"/>
    </row>
    <row r="15702">
      <c r="A15702" s="8" t="n"/>
      <c r="B15702" s="9" t="n"/>
    </row>
    <row r="15703">
      <c r="A15703" s="8" t="n"/>
      <c r="B15703" s="9" t="n"/>
    </row>
    <row r="15704">
      <c r="A15704" s="8" t="n"/>
      <c r="B15704" s="9" t="n"/>
    </row>
    <row r="15705">
      <c r="A15705" s="8" t="n"/>
      <c r="B15705" s="9" t="n"/>
    </row>
    <row r="15706">
      <c r="A15706" s="8" t="n"/>
      <c r="B15706" s="9" t="n"/>
    </row>
    <row r="15707">
      <c r="A15707" s="8" t="n"/>
      <c r="B15707" s="9" t="n"/>
    </row>
    <row r="15708">
      <c r="A15708" s="8" t="n"/>
      <c r="B15708" s="9" t="n"/>
    </row>
    <row r="15709">
      <c r="A15709" s="8" t="n"/>
      <c r="B15709" s="9" t="n"/>
    </row>
    <row r="15710">
      <c r="A15710" s="8" t="n"/>
      <c r="B15710" s="9" t="n"/>
    </row>
    <row r="15711">
      <c r="A15711" s="8" t="n"/>
      <c r="B15711" s="9" t="n"/>
    </row>
    <row r="15712">
      <c r="A15712" s="8" t="n"/>
      <c r="B15712" s="9" t="n"/>
    </row>
    <row r="15713">
      <c r="A15713" s="8" t="n"/>
      <c r="B15713" s="9" t="n"/>
    </row>
    <row r="15714">
      <c r="A15714" s="8" t="n"/>
      <c r="B15714" s="9" t="n"/>
    </row>
    <row r="15715">
      <c r="A15715" s="8" t="n"/>
      <c r="B15715" s="9" t="n"/>
    </row>
    <row r="15716">
      <c r="A15716" s="8" t="n"/>
      <c r="B15716" s="9" t="n"/>
    </row>
    <row r="15717">
      <c r="A15717" s="8" t="n"/>
      <c r="B15717" s="9" t="n"/>
    </row>
    <row r="15718">
      <c r="A15718" s="8" t="n"/>
      <c r="B15718" s="9" t="n"/>
    </row>
    <row r="15719">
      <c r="A15719" s="8" t="n"/>
      <c r="B15719" s="9" t="n"/>
    </row>
    <row r="15720">
      <c r="A15720" s="8" t="n"/>
      <c r="B15720" s="9" t="n"/>
    </row>
    <row r="15721">
      <c r="A15721" s="8" t="n"/>
      <c r="B15721" s="9" t="n"/>
    </row>
    <row r="15722">
      <c r="A15722" s="8" t="n"/>
      <c r="B15722" s="9" t="n"/>
    </row>
    <row r="15723">
      <c r="A15723" s="8" t="n"/>
      <c r="B15723" s="9" t="n"/>
    </row>
    <row r="15724">
      <c r="A15724" s="8" t="n"/>
      <c r="B15724" s="9" t="n"/>
    </row>
    <row r="15725">
      <c r="A15725" s="8" t="n"/>
      <c r="B15725" s="9" t="n"/>
    </row>
    <row r="15726">
      <c r="A15726" s="8" t="n"/>
      <c r="B15726" s="9" t="n"/>
    </row>
    <row r="15727">
      <c r="A15727" s="8" t="n"/>
      <c r="B15727" s="9" t="n"/>
    </row>
    <row r="15728">
      <c r="A15728" s="8" t="n"/>
      <c r="B15728" s="9" t="n"/>
    </row>
    <row r="15729">
      <c r="A15729" s="8" t="n"/>
      <c r="B15729" s="9" t="n"/>
    </row>
    <row r="15730">
      <c r="A15730" s="8" t="n"/>
      <c r="B15730" s="9" t="n"/>
    </row>
    <row r="15731">
      <c r="A15731" s="8" t="n"/>
      <c r="B15731" s="9" t="n"/>
    </row>
    <row r="15732">
      <c r="A15732" s="8" t="n"/>
      <c r="B15732" s="9" t="n"/>
    </row>
    <row r="15733">
      <c r="A15733" s="8" t="n"/>
      <c r="B15733" s="9" t="n"/>
    </row>
    <row r="15734">
      <c r="A15734" s="8" t="n"/>
      <c r="B15734" s="9" t="n"/>
    </row>
    <row r="15735">
      <c r="A15735" s="8" t="n"/>
      <c r="B15735" s="9" t="n"/>
    </row>
    <row r="15736">
      <c r="A15736" s="8" t="n"/>
      <c r="B15736" s="9" t="n"/>
    </row>
    <row r="15737">
      <c r="A15737" s="8" t="n"/>
      <c r="B15737" s="9" t="n"/>
    </row>
    <row r="15738">
      <c r="A15738" s="8" t="n"/>
      <c r="B15738" s="9" t="n"/>
    </row>
    <row r="15739">
      <c r="A15739" s="8" t="n"/>
      <c r="B15739" s="9" t="n"/>
    </row>
    <row r="15740">
      <c r="A15740" s="8" t="n"/>
      <c r="B15740" s="9" t="n"/>
    </row>
    <row r="15741">
      <c r="A15741" s="8" t="n"/>
      <c r="B15741" s="9" t="n"/>
    </row>
    <row r="15742">
      <c r="A15742" s="8" t="n"/>
      <c r="B15742" s="9" t="n"/>
    </row>
    <row r="15743">
      <c r="A15743" s="8" t="n"/>
      <c r="B15743" s="9" t="n"/>
    </row>
    <row r="15744">
      <c r="A15744" s="8" t="n"/>
      <c r="B15744" s="9" t="n"/>
    </row>
    <row r="15745">
      <c r="A15745" s="8" t="n"/>
      <c r="B15745" s="9" t="n"/>
    </row>
    <row r="15746">
      <c r="A15746" s="8" t="n"/>
      <c r="B15746" s="9" t="n"/>
    </row>
    <row r="15747">
      <c r="A15747" s="8" t="n"/>
      <c r="B15747" s="9" t="n"/>
    </row>
    <row r="15748">
      <c r="A15748" s="8" t="n"/>
      <c r="B15748" s="9" t="n"/>
    </row>
    <row r="15749">
      <c r="A15749" s="8" t="n"/>
      <c r="B15749" s="9" t="n"/>
    </row>
    <row r="15750">
      <c r="A15750" s="8" t="n"/>
      <c r="B15750" s="9" t="n"/>
    </row>
    <row r="15751">
      <c r="A15751" s="8" t="n"/>
      <c r="B15751" s="9" t="n"/>
    </row>
    <row r="15752">
      <c r="A15752" s="8" t="n"/>
      <c r="B15752" s="9" t="n"/>
    </row>
    <row r="15753">
      <c r="A15753" s="8" t="n"/>
      <c r="B15753" s="9" t="n"/>
    </row>
    <row r="15754">
      <c r="A15754" s="8" t="n"/>
      <c r="B15754" s="9" t="n"/>
    </row>
    <row r="15755">
      <c r="A15755" s="8" t="n"/>
      <c r="B15755" s="9" t="n"/>
    </row>
    <row r="15756">
      <c r="A15756" s="8" t="n"/>
      <c r="B15756" s="9" t="n"/>
    </row>
    <row r="15757">
      <c r="A15757" s="8" t="n"/>
      <c r="B15757" s="9" t="n"/>
    </row>
    <row r="15758">
      <c r="A15758" s="8" t="n"/>
      <c r="B15758" s="9" t="n"/>
    </row>
    <row r="15759">
      <c r="A15759" s="8" t="n"/>
      <c r="B15759" s="9" t="n"/>
    </row>
    <row r="15760">
      <c r="A15760" s="8" t="n"/>
      <c r="B15760" s="9" t="n"/>
    </row>
    <row r="15761">
      <c r="A15761" s="8" t="n"/>
      <c r="B15761" s="9" t="n"/>
    </row>
    <row r="15762">
      <c r="A15762" s="8" t="n"/>
      <c r="B15762" s="9" t="n"/>
    </row>
    <row r="15763">
      <c r="A15763" s="8" t="n"/>
      <c r="B15763" s="9" t="n"/>
    </row>
    <row r="15764">
      <c r="A15764" s="8" t="n"/>
      <c r="B15764" s="9" t="n"/>
    </row>
    <row r="15765">
      <c r="A15765" s="8" t="n"/>
      <c r="B15765" s="9" t="n"/>
    </row>
    <row r="15766">
      <c r="A15766" s="8" t="n"/>
      <c r="B15766" s="9" t="n"/>
    </row>
    <row r="15767">
      <c r="A15767" s="8" t="n"/>
      <c r="B15767" s="9" t="n"/>
    </row>
    <row r="15768">
      <c r="A15768" s="8" t="n"/>
      <c r="B15768" s="9" t="n"/>
    </row>
    <row r="15769">
      <c r="A15769" s="8" t="n"/>
      <c r="B15769" s="9" t="n"/>
    </row>
    <row r="15770">
      <c r="A15770" s="8" t="n"/>
      <c r="B15770" s="9" t="n"/>
    </row>
    <row r="15771">
      <c r="A15771" s="8" t="n"/>
      <c r="B15771" s="9" t="n"/>
    </row>
    <row r="15772">
      <c r="A15772" s="8" t="n"/>
      <c r="B15772" s="9" t="n"/>
    </row>
    <row r="15773">
      <c r="A15773" s="8" t="n"/>
      <c r="B15773" s="9" t="n"/>
    </row>
    <row r="15774">
      <c r="A15774" s="8" t="n"/>
      <c r="B15774" s="9" t="n"/>
    </row>
    <row r="15775">
      <c r="A15775" s="8" t="n"/>
      <c r="B15775" s="9" t="n"/>
    </row>
    <row r="15776">
      <c r="A15776" s="8" t="n"/>
      <c r="B15776" s="9" t="n"/>
    </row>
    <row r="15777">
      <c r="A15777" s="8" t="n"/>
      <c r="B15777" s="9" t="n"/>
    </row>
    <row r="15778">
      <c r="A15778" s="8" t="n"/>
      <c r="B15778" s="9" t="n"/>
    </row>
    <row r="15779">
      <c r="A15779" s="8" t="n"/>
      <c r="B15779" s="9" t="n"/>
    </row>
    <row r="15780">
      <c r="A15780" s="8" t="n"/>
      <c r="B15780" s="9" t="n"/>
    </row>
    <row r="15781">
      <c r="A15781" s="8" t="n"/>
      <c r="B15781" s="9" t="n"/>
    </row>
    <row r="15782">
      <c r="A15782" s="8" t="n"/>
      <c r="B15782" s="9" t="n"/>
    </row>
    <row r="15783">
      <c r="A15783" s="8" t="n"/>
      <c r="B15783" s="9" t="n"/>
    </row>
    <row r="15784">
      <c r="A15784" s="8" t="n"/>
      <c r="B15784" s="9" t="n"/>
    </row>
    <row r="15785">
      <c r="A15785" s="8" t="n"/>
      <c r="B15785" s="9" t="n"/>
    </row>
    <row r="15786">
      <c r="A15786" s="8" t="n"/>
      <c r="B15786" s="9" t="n"/>
    </row>
    <row r="15787">
      <c r="A15787" s="8" t="n"/>
      <c r="B15787" s="9" t="n"/>
    </row>
    <row r="15788">
      <c r="A15788" s="8" t="n"/>
      <c r="B15788" s="9" t="n"/>
    </row>
    <row r="15789">
      <c r="A15789" s="8" t="n"/>
      <c r="B15789" s="9" t="n"/>
    </row>
    <row r="15790">
      <c r="A15790" s="8" t="n"/>
      <c r="B15790" s="9" t="n"/>
    </row>
    <row r="15791">
      <c r="A15791" s="8" t="n"/>
      <c r="B15791" s="9" t="n"/>
    </row>
    <row r="15792">
      <c r="A15792" s="8" t="n"/>
      <c r="B15792" s="9" t="n"/>
    </row>
    <row r="15793">
      <c r="A15793" s="8" t="n"/>
      <c r="B15793" s="9" t="n"/>
    </row>
    <row r="15794">
      <c r="A15794" s="8" t="n"/>
      <c r="B15794" s="9" t="n"/>
    </row>
    <row r="15795">
      <c r="A15795" s="8" t="n"/>
      <c r="B15795" s="9" t="n"/>
    </row>
    <row r="15796">
      <c r="A15796" s="8" t="n"/>
      <c r="B15796" s="9" t="n"/>
    </row>
    <row r="15797">
      <c r="A15797" s="8" t="n"/>
      <c r="B15797" s="9" t="n"/>
    </row>
    <row r="15798">
      <c r="A15798" s="8" t="n"/>
      <c r="B15798" s="9" t="n"/>
    </row>
    <row r="15799">
      <c r="A15799" s="8" t="n"/>
      <c r="B15799" s="9" t="n"/>
    </row>
    <row r="15800">
      <c r="A15800" s="8" t="n"/>
      <c r="B15800" s="9" t="n"/>
    </row>
    <row r="15801">
      <c r="A15801" s="8" t="n"/>
      <c r="B15801" s="9" t="n"/>
    </row>
    <row r="15802">
      <c r="A15802" s="8" t="n"/>
      <c r="B15802" s="9" t="n"/>
    </row>
    <row r="15803">
      <c r="A15803" s="8" t="n"/>
      <c r="B15803" s="9" t="n"/>
    </row>
    <row r="15804">
      <c r="A15804" s="8" t="n"/>
      <c r="B15804" s="9" t="n"/>
    </row>
    <row r="15805">
      <c r="A15805" s="8" t="n"/>
      <c r="B15805" s="9" t="n"/>
    </row>
    <row r="15806">
      <c r="A15806" s="8" t="n"/>
      <c r="B15806" s="9" t="n"/>
    </row>
    <row r="15807">
      <c r="A15807" s="8" t="n"/>
      <c r="B15807" s="9" t="n"/>
    </row>
    <row r="15808">
      <c r="A15808" s="8" t="n"/>
      <c r="B15808" s="9" t="n"/>
    </row>
    <row r="15809">
      <c r="A15809" s="8" t="n"/>
      <c r="B15809" s="9" t="n"/>
    </row>
    <row r="15810">
      <c r="A15810" s="8" t="n"/>
      <c r="B15810" s="9" t="n"/>
    </row>
    <row r="15811">
      <c r="A15811" s="8" t="n"/>
      <c r="B15811" s="9" t="n"/>
    </row>
    <row r="15812">
      <c r="A15812" s="8" t="n"/>
      <c r="B15812" s="9" t="n"/>
    </row>
    <row r="15813">
      <c r="A15813" s="8" t="n"/>
      <c r="B15813" s="9" t="n"/>
    </row>
    <row r="15814">
      <c r="A15814" s="8" t="n"/>
      <c r="B15814" s="9" t="n"/>
    </row>
    <row r="15815">
      <c r="A15815" s="8" t="n"/>
      <c r="B15815" s="9" t="n"/>
    </row>
    <row r="15816">
      <c r="A15816" s="8" t="n"/>
      <c r="B15816" s="9" t="n"/>
    </row>
    <row r="15817">
      <c r="A15817" s="8" t="n"/>
      <c r="B15817" s="9" t="n"/>
    </row>
    <row r="15818">
      <c r="A15818" s="8" t="n"/>
      <c r="B15818" s="9" t="n"/>
    </row>
    <row r="15819">
      <c r="A15819" s="8" t="n"/>
      <c r="B15819" s="9" t="n"/>
    </row>
    <row r="15820">
      <c r="A15820" s="8" t="n"/>
      <c r="B15820" s="9" t="n"/>
    </row>
    <row r="15821">
      <c r="A15821" s="8" t="n"/>
      <c r="B15821" s="9" t="n"/>
    </row>
    <row r="15822">
      <c r="A15822" s="8" t="n"/>
      <c r="B15822" s="9" t="n"/>
    </row>
    <row r="15823">
      <c r="A15823" s="8" t="n"/>
      <c r="B15823" s="9" t="n"/>
    </row>
    <row r="15824">
      <c r="A15824" s="8" t="n"/>
      <c r="B15824" s="9" t="n"/>
    </row>
    <row r="15825">
      <c r="A15825" s="8" t="n"/>
      <c r="B15825" s="9" t="n"/>
    </row>
    <row r="15826">
      <c r="A15826" s="8" t="n"/>
      <c r="B15826" s="9" t="n"/>
    </row>
    <row r="15827">
      <c r="A15827" s="8" t="n"/>
      <c r="B15827" s="9" t="n"/>
    </row>
    <row r="15828">
      <c r="A15828" s="8" t="n"/>
      <c r="B15828" s="9" t="n"/>
    </row>
    <row r="15829">
      <c r="A15829" s="8" t="n"/>
      <c r="B15829" s="9" t="n"/>
    </row>
    <row r="15830">
      <c r="A15830" s="8" t="n"/>
      <c r="B15830" s="9" t="n"/>
    </row>
    <row r="15831">
      <c r="A15831" s="8" t="n"/>
      <c r="B15831" s="9" t="n"/>
    </row>
    <row r="15832">
      <c r="A15832" s="8" t="n"/>
      <c r="B15832" s="9" t="n"/>
    </row>
    <row r="15833">
      <c r="A15833" s="8" t="n"/>
      <c r="B15833" s="9" t="n"/>
    </row>
    <row r="15834">
      <c r="A15834" s="8" t="n"/>
      <c r="B15834" s="9" t="n"/>
    </row>
    <row r="15835">
      <c r="A15835" s="8" t="n"/>
      <c r="B15835" s="9" t="n"/>
    </row>
    <row r="15836">
      <c r="A15836" s="8" t="n"/>
      <c r="B15836" s="9" t="n"/>
    </row>
    <row r="15837">
      <c r="A15837" s="8" t="n"/>
      <c r="B15837" s="9" t="n"/>
    </row>
    <row r="15838">
      <c r="A15838" s="8" t="n"/>
      <c r="B15838" s="9" t="n"/>
    </row>
    <row r="15839">
      <c r="A15839" s="8" t="n"/>
      <c r="B15839" s="9" t="n"/>
    </row>
    <row r="15840">
      <c r="A15840" s="8" t="n"/>
      <c r="B15840" s="9" t="n"/>
    </row>
    <row r="15841">
      <c r="A15841" s="8" t="n"/>
      <c r="B15841" s="9" t="n"/>
    </row>
    <row r="15842">
      <c r="A15842" s="8" t="n"/>
      <c r="B15842" s="9" t="n"/>
    </row>
    <row r="15843">
      <c r="A15843" s="8" t="n"/>
      <c r="B15843" s="9" t="n"/>
    </row>
    <row r="15844">
      <c r="A15844" s="8" t="n"/>
      <c r="B15844" s="9" t="n"/>
    </row>
    <row r="15845">
      <c r="A15845" s="8" t="n"/>
      <c r="B15845" s="9" t="n"/>
    </row>
    <row r="15846">
      <c r="A15846" s="8" t="n"/>
      <c r="B15846" s="9" t="n"/>
    </row>
    <row r="15847">
      <c r="A15847" s="8" t="n"/>
      <c r="B15847" s="9" t="n"/>
    </row>
    <row r="15848">
      <c r="A15848" s="8" t="n"/>
      <c r="B15848" s="9" t="n"/>
    </row>
    <row r="15849">
      <c r="A15849" s="8" t="n"/>
      <c r="B15849" s="9" t="n"/>
    </row>
    <row r="15850">
      <c r="A15850" s="8" t="n"/>
      <c r="B15850" s="9" t="n"/>
    </row>
    <row r="15851">
      <c r="A15851" s="8" t="n"/>
      <c r="B15851" s="9" t="n"/>
    </row>
    <row r="15852">
      <c r="A15852" s="8" t="n"/>
      <c r="B15852" s="9" t="n"/>
    </row>
    <row r="15853">
      <c r="A15853" s="8" t="n"/>
      <c r="B15853" s="9" t="n"/>
    </row>
    <row r="15854">
      <c r="A15854" s="8" t="n"/>
      <c r="B15854" s="9" t="n"/>
    </row>
    <row r="15855">
      <c r="A15855" s="8" t="n"/>
      <c r="B15855" s="9" t="n"/>
    </row>
    <row r="15856">
      <c r="A15856" s="8" t="n"/>
      <c r="B15856" s="9" t="n"/>
    </row>
    <row r="15857">
      <c r="A15857" s="8" t="n"/>
      <c r="B15857" s="9" t="n"/>
    </row>
    <row r="15858">
      <c r="A15858" s="8" t="n"/>
      <c r="B15858" s="9" t="n"/>
    </row>
    <row r="15859">
      <c r="A15859" s="8" t="n"/>
      <c r="B15859" s="9" t="n"/>
    </row>
    <row r="15860">
      <c r="A15860" s="8" t="n"/>
      <c r="B15860" s="9" t="n"/>
    </row>
    <row r="15861">
      <c r="A15861" s="8" t="n"/>
      <c r="B15861" s="9" t="n"/>
    </row>
    <row r="15862">
      <c r="A15862" s="8" t="n"/>
      <c r="B15862" s="9" t="n"/>
    </row>
    <row r="15863">
      <c r="A15863" s="8" t="n"/>
      <c r="B15863" s="9" t="n"/>
    </row>
    <row r="15864">
      <c r="A15864" s="8" t="n"/>
      <c r="B15864" s="9" t="n"/>
    </row>
    <row r="15865">
      <c r="A15865" s="8" t="n"/>
      <c r="B15865" s="9" t="n"/>
    </row>
    <row r="15866">
      <c r="A15866" s="8" t="n"/>
      <c r="B15866" s="9" t="n"/>
    </row>
    <row r="15867">
      <c r="A15867" s="8" t="n"/>
      <c r="B15867" s="9" t="n"/>
    </row>
    <row r="15868">
      <c r="A15868" s="8" t="n"/>
      <c r="B15868" s="9" t="n"/>
    </row>
    <row r="15869">
      <c r="A15869" s="8" t="n"/>
      <c r="B15869" s="9" t="n"/>
    </row>
    <row r="15870">
      <c r="A15870" s="8" t="n"/>
      <c r="B15870" s="9" t="n"/>
    </row>
    <row r="15871">
      <c r="A15871" s="8" t="n"/>
      <c r="B15871" s="9" t="n"/>
    </row>
    <row r="15872">
      <c r="A15872" s="8" t="n"/>
      <c r="B15872" s="9" t="n"/>
    </row>
    <row r="15873">
      <c r="A15873" s="8" t="n"/>
      <c r="B15873" s="9" t="n"/>
    </row>
    <row r="15874">
      <c r="A15874" s="8" t="n"/>
      <c r="B15874" s="9" t="n"/>
    </row>
    <row r="15875">
      <c r="A15875" s="8" t="n"/>
      <c r="B15875" s="9" t="n"/>
    </row>
    <row r="15876">
      <c r="A15876" s="8" t="n"/>
      <c r="B15876" s="9" t="n"/>
    </row>
    <row r="15877">
      <c r="A15877" s="8" t="n"/>
      <c r="B15877" s="9" t="n"/>
    </row>
    <row r="15878">
      <c r="A15878" s="8" t="n"/>
      <c r="B15878" s="9" t="n"/>
    </row>
    <row r="15879">
      <c r="A15879" s="8" t="n"/>
      <c r="B15879" s="9" t="n"/>
    </row>
    <row r="15880">
      <c r="A15880" s="8" t="n"/>
      <c r="B15880" s="9" t="n"/>
    </row>
    <row r="15881">
      <c r="A15881" s="8" t="n"/>
      <c r="B15881" s="9" t="n"/>
    </row>
    <row r="15882">
      <c r="A15882" s="8" t="n"/>
      <c r="B15882" s="9" t="n"/>
    </row>
    <row r="15883">
      <c r="A15883" s="8" t="n"/>
      <c r="B15883" s="9" t="n"/>
    </row>
    <row r="15884">
      <c r="A15884" s="8" t="n"/>
      <c r="B15884" s="9" t="n"/>
    </row>
    <row r="15885">
      <c r="A15885" s="8" t="n"/>
      <c r="B15885" s="9" t="n"/>
    </row>
    <row r="15886">
      <c r="A15886" s="8" t="n"/>
      <c r="B15886" s="9" t="n"/>
    </row>
    <row r="15887">
      <c r="A15887" s="8" t="n"/>
      <c r="B15887" s="9" t="n"/>
    </row>
    <row r="15888">
      <c r="A15888" s="8" t="n"/>
      <c r="B15888" s="9" t="n"/>
    </row>
    <row r="15889">
      <c r="A15889" s="8" t="n"/>
      <c r="B15889" s="9" t="n"/>
    </row>
    <row r="15890">
      <c r="A15890" s="8" t="n"/>
      <c r="B15890" s="9" t="n"/>
    </row>
    <row r="15891">
      <c r="A15891" s="8" t="n"/>
      <c r="B15891" s="9" t="n"/>
    </row>
    <row r="15892">
      <c r="A15892" s="8" t="n"/>
      <c r="B15892" s="9" t="n"/>
    </row>
    <row r="15893">
      <c r="A15893" s="8" t="n"/>
      <c r="B15893" s="9" t="n"/>
    </row>
    <row r="15894">
      <c r="A15894" s="8" t="n"/>
      <c r="B15894" s="9" t="n"/>
    </row>
    <row r="15895">
      <c r="A15895" s="8" t="n"/>
      <c r="B15895" s="9" t="n"/>
    </row>
    <row r="15896">
      <c r="A15896" s="8" t="n"/>
      <c r="B15896" s="9" t="n"/>
    </row>
    <row r="15897">
      <c r="A15897" s="8" t="n"/>
      <c r="B15897" s="9" t="n"/>
    </row>
    <row r="15898">
      <c r="A15898" s="8" t="n"/>
      <c r="B15898" s="9" t="n"/>
    </row>
    <row r="15899">
      <c r="A15899" s="8" t="n"/>
      <c r="B15899" s="9" t="n"/>
    </row>
    <row r="15900">
      <c r="A15900" s="8" t="n"/>
      <c r="B15900" s="9" t="n"/>
    </row>
    <row r="15901">
      <c r="A15901" s="8" t="n"/>
      <c r="B15901" s="9" t="n"/>
    </row>
    <row r="15902">
      <c r="A15902" s="8" t="n"/>
      <c r="B15902" s="9" t="n"/>
    </row>
    <row r="15903">
      <c r="A15903" s="8" t="n"/>
      <c r="B15903" s="9" t="n"/>
    </row>
    <row r="15904">
      <c r="A15904" s="8" t="n"/>
      <c r="B15904" s="9" t="n"/>
    </row>
    <row r="15905">
      <c r="A15905" s="8" t="n"/>
      <c r="B15905" s="9" t="n"/>
    </row>
    <row r="15906">
      <c r="A15906" s="8" t="n"/>
      <c r="B15906" s="9" t="n"/>
    </row>
    <row r="15907">
      <c r="A15907" s="8" t="n"/>
      <c r="B15907" s="9" t="n"/>
    </row>
    <row r="15908">
      <c r="A15908" s="8" t="n"/>
      <c r="B15908" s="9" t="n"/>
    </row>
    <row r="15909">
      <c r="A15909" s="8" t="n"/>
      <c r="B15909" s="9" t="n"/>
    </row>
    <row r="15910">
      <c r="A15910" s="8" t="n"/>
      <c r="B15910" s="9" t="n"/>
    </row>
    <row r="15911">
      <c r="A15911" s="8" t="n"/>
      <c r="B15911" s="9" t="n"/>
    </row>
    <row r="15912">
      <c r="A15912" s="8" t="n"/>
      <c r="B15912" s="9" t="n"/>
    </row>
    <row r="15913">
      <c r="A15913" s="8" t="n"/>
      <c r="B15913" s="9" t="n"/>
    </row>
    <row r="15914">
      <c r="A15914" s="8" t="n"/>
      <c r="B15914" s="9" t="n"/>
    </row>
    <row r="15915">
      <c r="A15915" s="8" t="n"/>
      <c r="B15915" s="9" t="n"/>
    </row>
    <row r="15916">
      <c r="A15916" s="8" t="n"/>
      <c r="B15916" s="9" t="n"/>
    </row>
    <row r="15917">
      <c r="A15917" s="8" t="n"/>
      <c r="B15917" s="9" t="n"/>
    </row>
    <row r="15918">
      <c r="A15918" s="8" t="n"/>
      <c r="B15918" s="9" t="n"/>
    </row>
    <row r="15919">
      <c r="A15919" s="8" t="n"/>
      <c r="B15919" s="9" t="n"/>
    </row>
    <row r="15920">
      <c r="A15920" s="8" t="n"/>
      <c r="B15920" s="9" t="n"/>
    </row>
    <row r="15921">
      <c r="A15921" s="8" t="n"/>
      <c r="B15921" s="9" t="n"/>
    </row>
    <row r="15922">
      <c r="A15922" s="8" t="n"/>
      <c r="B15922" s="9" t="n"/>
    </row>
    <row r="15923">
      <c r="A15923" s="8" t="n"/>
      <c r="B15923" s="9" t="n"/>
    </row>
    <row r="15924">
      <c r="A15924" s="8" t="n"/>
      <c r="B15924" s="9" t="n"/>
    </row>
    <row r="15925">
      <c r="A15925" s="8" t="n"/>
      <c r="B15925" s="9" t="n"/>
    </row>
    <row r="15926">
      <c r="A15926" s="8" t="n"/>
      <c r="B15926" s="9" t="n"/>
    </row>
    <row r="15927">
      <c r="A15927" s="8" t="n"/>
      <c r="B15927" s="9" t="n"/>
    </row>
    <row r="15928">
      <c r="A15928" s="8" t="n"/>
      <c r="B15928" s="9" t="n"/>
    </row>
    <row r="15929">
      <c r="A15929" s="8" t="n"/>
      <c r="B15929" s="9" t="n"/>
    </row>
    <row r="15930">
      <c r="A15930" s="8" t="n"/>
      <c r="B15930" s="9" t="n"/>
    </row>
    <row r="15931">
      <c r="A15931" s="8" t="n"/>
      <c r="B15931" s="9" t="n"/>
    </row>
    <row r="15932">
      <c r="A15932" s="8" t="n"/>
      <c r="B15932" s="9" t="n"/>
    </row>
    <row r="15933">
      <c r="A15933" s="8" t="n"/>
      <c r="B15933" s="9" t="n"/>
    </row>
    <row r="15934">
      <c r="A15934" s="8" t="n"/>
      <c r="B15934" s="9" t="n"/>
    </row>
    <row r="15935">
      <c r="A15935" s="8" t="n"/>
      <c r="B15935" s="9" t="n"/>
    </row>
    <row r="15936">
      <c r="A15936" s="8" t="n"/>
      <c r="B15936" s="9" t="n"/>
    </row>
    <row r="15937">
      <c r="A15937" s="8" t="n"/>
      <c r="B15937" s="9" t="n"/>
    </row>
    <row r="15938">
      <c r="A15938" s="8" t="n"/>
      <c r="B15938" s="9" t="n"/>
    </row>
    <row r="15939">
      <c r="A15939" s="8" t="n"/>
      <c r="B15939" s="9" t="n"/>
    </row>
    <row r="15940">
      <c r="A15940" s="8" t="n"/>
      <c r="B15940" s="9" t="n"/>
    </row>
    <row r="15941">
      <c r="A15941" s="8" t="n"/>
      <c r="B15941" s="9" t="n"/>
    </row>
    <row r="15942">
      <c r="A15942" s="8" t="n"/>
      <c r="B15942" s="9" t="n"/>
    </row>
    <row r="15943">
      <c r="A15943" s="8" t="n"/>
      <c r="B15943" s="9" t="n"/>
    </row>
    <row r="15944">
      <c r="A15944" s="8" t="n"/>
      <c r="B15944" s="9" t="n"/>
    </row>
    <row r="15945">
      <c r="A15945" s="8" t="n"/>
      <c r="B15945" s="9" t="n"/>
    </row>
    <row r="15946">
      <c r="A15946" s="8" t="n"/>
      <c r="B15946" s="9" t="n"/>
    </row>
    <row r="15947">
      <c r="A15947" s="8" t="n"/>
      <c r="B15947" s="9" t="n"/>
    </row>
    <row r="15948">
      <c r="A15948" s="8" t="n"/>
      <c r="B15948" s="9" t="n"/>
    </row>
    <row r="15949">
      <c r="A15949" s="8" t="n"/>
      <c r="B15949" s="9" t="n"/>
    </row>
    <row r="15950">
      <c r="A15950" s="8" t="n"/>
      <c r="B15950" s="9" t="n"/>
    </row>
    <row r="15951">
      <c r="A15951" s="8" t="n"/>
      <c r="B15951" s="9" t="n"/>
    </row>
    <row r="15952">
      <c r="A15952" s="8" t="n"/>
      <c r="B15952" s="9" t="n"/>
    </row>
    <row r="15953">
      <c r="A15953" s="8" t="n"/>
      <c r="B15953" s="9" t="n"/>
    </row>
    <row r="15954">
      <c r="A15954" s="8" t="n"/>
      <c r="B15954" s="9" t="n"/>
    </row>
    <row r="15955">
      <c r="A15955" s="8" t="n"/>
      <c r="B15955" s="9" t="n"/>
    </row>
    <row r="15956">
      <c r="A15956" s="8" t="n"/>
      <c r="B15956" s="9" t="n"/>
    </row>
    <row r="15957">
      <c r="A15957" s="8" t="n"/>
      <c r="B15957" s="9" t="n"/>
    </row>
    <row r="15958">
      <c r="A15958" s="8" t="n"/>
      <c r="B15958" s="9" t="n"/>
    </row>
    <row r="15959">
      <c r="A15959" s="8" t="n"/>
      <c r="B15959" s="9" t="n"/>
    </row>
    <row r="15960">
      <c r="A15960" s="8" t="n"/>
      <c r="B15960" s="9" t="n"/>
    </row>
    <row r="15961">
      <c r="A15961" s="8" t="n"/>
      <c r="B15961" s="9" t="n"/>
    </row>
    <row r="15962">
      <c r="A15962" s="8" t="n"/>
      <c r="B15962" s="9" t="n"/>
    </row>
    <row r="15963">
      <c r="A15963" s="8" t="n"/>
      <c r="B15963" s="9" t="n"/>
    </row>
    <row r="15964">
      <c r="A15964" s="8" t="n"/>
      <c r="B15964" s="9" t="n"/>
    </row>
    <row r="15965">
      <c r="A15965" s="8" t="n"/>
      <c r="B15965" s="9" t="n"/>
    </row>
    <row r="15966">
      <c r="A15966" s="8" t="n"/>
      <c r="B15966" s="9" t="n"/>
    </row>
    <row r="15967">
      <c r="A15967" s="8" t="n"/>
      <c r="B15967" s="9" t="n"/>
    </row>
    <row r="15968">
      <c r="A15968" s="8" t="n"/>
      <c r="B15968" s="9" t="n"/>
    </row>
    <row r="15969">
      <c r="A15969" s="8" t="n"/>
      <c r="B15969" s="9" t="n"/>
    </row>
    <row r="15970">
      <c r="A15970" s="8" t="n"/>
      <c r="B15970" s="9" t="n"/>
    </row>
    <row r="15971">
      <c r="A15971" s="8" t="n"/>
      <c r="B15971" s="9" t="n"/>
    </row>
    <row r="15972">
      <c r="A15972" s="8" t="n"/>
      <c r="B15972" s="9" t="n"/>
    </row>
    <row r="15973">
      <c r="A15973" s="8" t="n"/>
      <c r="B15973" s="9" t="n"/>
    </row>
    <row r="15974">
      <c r="A15974" s="8" t="n"/>
      <c r="B15974" s="9" t="n"/>
    </row>
    <row r="15975">
      <c r="A15975" s="8" t="n"/>
      <c r="B15975" s="9" t="n"/>
    </row>
    <row r="15976">
      <c r="A15976" s="8" t="n"/>
      <c r="B15976" s="9" t="n"/>
    </row>
    <row r="15977">
      <c r="A15977" s="8" t="n"/>
      <c r="B15977" s="9" t="n"/>
    </row>
    <row r="15978">
      <c r="A15978" s="8" t="n"/>
      <c r="B15978" s="9" t="n"/>
    </row>
    <row r="15979">
      <c r="A15979" s="8" t="n"/>
      <c r="B15979" s="9" t="n"/>
    </row>
    <row r="15980">
      <c r="A15980" s="8" t="n"/>
      <c r="B15980" s="9" t="n"/>
    </row>
    <row r="15981">
      <c r="A15981" s="8" t="n"/>
      <c r="B15981" s="9" t="n"/>
    </row>
    <row r="15982">
      <c r="A15982" s="8" t="n"/>
      <c r="B15982" s="9" t="n"/>
    </row>
    <row r="15983">
      <c r="A15983" s="8" t="n"/>
      <c r="B15983" s="9" t="n"/>
    </row>
    <row r="15984">
      <c r="A15984" s="8" t="n"/>
      <c r="B15984" s="9" t="n"/>
    </row>
    <row r="15985">
      <c r="A15985" s="8" t="n"/>
      <c r="B15985" s="9" t="n"/>
    </row>
    <row r="15986">
      <c r="A15986" s="8" t="n"/>
      <c r="B15986" s="9" t="n"/>
    </row>
    <row r="15987">
      <c r="A15987" s="8" t="n"/>
      <c r="B15987" s="9" t="n"/>
    </row>
    <row r="15988">
      <c r="A15988" s="8" t="n"/>
      <c r="B15988" s="9" t="n"/>
    </row>
    <row r="15989">
      <c r="A15989" s="8" t="n"/>
      <c r="B15989" s="9" t="n"/>
    </row>
    <row r="15990">
      <c r="A15990" s="8" t="n"/>
      <c r="B15990" s="9" t="n"/>
    </row>
    <row r="15991">
      <c r="A15991" s="8" t="n"/>
      <c r="B15991" s="9" t="n"/>
    </row>
    <row r="15992">
      <c r="A15992" s="8" t="n"/>
      <c r="B15992" s="9" t="n"/>
    </row>
    <row r="15993">
      <c r="A15993" s="8" t="n"/>
      <c r="B15993" s="9" t="n"/>
    </row>
    <row r="15994">
      <c r="A15994" s="8" t="n"/>
      <c r="B15994" s="9" t="n"/>
    </row>
    <row r="15995">
      <c r="A15995" s="8" t="n"/>
      <c r="B15995" s="9" t="n"/>
    </row>
    <row r="15996">
      <c r="A15996" s="8" t="n"/>
      <c r="B15996" s="9" t="n"/>
    </row>
    <row r="15997">
      <c r="A15997" s="8" t="n"/>
      <c r="B15997" s="9" t="n"/>
    </row>
    <row r="15998">
      <c r="A15998" s="8" t="n"/>
      <c r="B15998" s="9" t="n"/>
    </row>
    <row r="15999">
      <c r="A15999" s="8" t="n"/>
      <c r="B15999" s="9" t="n"/>
    </row>
    <row r="16000">
      <c r="A16000" s="8" t="n"/>
      <c r="B16000" s="9" t="n"/>
    </row>
    <row r="16001">
      <c r="A16001" s="8" t="n"/>
      <c r="B16001" s="9" t="n"/>
    </row>
    <row r="16002">
      <c r="A16002" s="8" t="n"/>
      <c r="B16002" s="9" t="n"/>
    </row>
    <row r="16003">
      <c r="A16003" s="8" t="n"/>
      <c r="B16003" s="9" t="n"/>
    </row>
    <row r="16004">
      <c r="A16004" s="8" t="n"/>
      <c r="B16004" s="9" t="n"/>
    </row>
    <row r="16005">
      <c r="A16005" s="8" t="n"/>
      <c r="B16005" s="9" t="n"/>
    </row>
    <row r="16006">
      <c r="A16006" s="8" t="n"/>
      <c r="B16006" s="9" t="n"/>
    </row>
    <row r="16007">
      <c r="A16007" s="8" t="n"/>
      <c r="B16007" s="9" t="n"/>
    </row>
    <row r="16008">
      <c r="A16008" s="8" t="n"/>
      <c r="B16008" s="9" t="n"/>
    </row>
    <row r="16009">
      <c r="A16009" s="8" t="n"/>
      <c r="B16009" s="9" t="n"/>
    </row>
    <row r="16010">
      <c r="A16010" s="8" t="n"/>
      <c r="B16010" s="9" t="n"/>
    </row>
    <row r="16011">
      <c r="A16011" s="8" t="n"/>
      <c r="B16011" s="9" t="n"/>
    </row>
    <row r="16012">
      <c r="A16012" s="8" t="n"/>
      <c r="B16012" s="9" t="n"/>
    </row>
    <row r="16013">
      <c r="A16013" s="8" t="n"/>
      <c r="B16013" s="9" t="n"/>
    </row>
    <row r="16014">
      <c r="A16014" s="8" t="n"/>
      <c r="B16014" s="9" t="n"/>
    </row>
    <row r="16015">
      <c r="A16015" s="8" t="n"/>
      <c r="B16015" s="9" t="n"/>
    </row>
    <row r="16016">
      <c r="A16016" s="8" t="n"/>
      <c r="B16016" s="9" t="n"/>
    </row>
    <row r="16017">
      <c r="A16017" s="8" t="n"/>
      <c r="B16017" s="9" t="n"/>
    </row>
    <row r="16018">
      <c r="A16018" s="8" t="n"/>
      <c r="B16018" s="9" t="n"/>
    </row>
    <row r="16019">
      <c r="A16019" s="8" t="n"/>
      <c r="B16019" s="9" t="n"/>
    </row>
    <row r="16020">
      <c r="A16020" s="8" t="n"/>
      <c r="B16020" s="9" t="n"/>
    </row>
    <row r="16021">
      <c r="A16021" s="8" t="n"/>
      <c r="B16021" s="9" t="n"/>
    </row>
    <row r="16022">
      <c r="A16022" s="8" t="n"/>
      <c r="B16022" s="9" t="n"/>
    </row>
    <row r="16023">
      <c r="A16023" s="8" t="n"/>
      <c r="B16023" s="9" t="n"/>
    </row>
    <row r="16024">
      <c r="A16024" s="8" t="n"/>
      <c r="B16024" s="9" t="n"/>
    </row>
    <row r="16025">
      <c r="A16025" s="8" t="n"/>
      <c r="B16025" s="9" t="n"/>
    </row>
    <row r="16026">
      <c r="A16026" s="8" t="n"/>
      <c r="B16026" s="9" t="n"/>
    </row>
    <row r="16027">
      <c r="A16027" s="8" t="n"/>
      <c r="B16027" s="9" t="n"/>
    </row>
    <row r="16028">
      <c r="A16028" s="8" t="n"/>
      <c r="B16028" s="9" t="n"/>
    </row>
    <row r="16029">
      <c r="A16029" s="8" t="n"/>
      <c r="B16029" s="9" t="n"/>
    </row>
    <row r="16030">
      <c r="A16030" s="8" t="n"/>
      <c r="B16030" s="9" t="n"/>
    </row>
    <row r="16031">
      <c r="A16031" s="8" t="n"/>
      <c r="B16031" s="9" t="n"/>
    </row>
    <row r="16032">
      <c r="A16032" s="8" t="n"/>
      <c r="B16032" s="9" t="n"/>
    </row>
    <row r="16033">
      <c r="A16033" s="8" t="n"/>
      <c r="B16033" s="9" t="n"/>
    </row>
    <row r="16034">
      <c r="A16034" s="8" t="n"/>
      <c r="B16034" s="9" t="n"/>
    </row>
    <row r="16035">
      <c r="A16035" s="8" t="n"/>
      <c r="B16035" s="9" t="n"/>
    </row>
    <row r="16036">
      <c r="A16036" s="8" t="n"/>
      <c r="B16036" s="9" t="n"/>
    </row>
    <row r="16037">
      <c r="A16037" s="8" t="n"/>
      <c r="B16037" s="9" t="n"/>
    </row>
    <row r="16038">
      <c r="A16038" s="8" t="n"/>
      <c r="B16038" s="9" t="n"/>
    </row>
    <row r="16039">
      <c r="A16039" s="8" t="n"/>
      <c r="B16039" s="9" t="n"/>
    </row>
    <row r="16040">
      <c r="A16040" s="8" t="n"/>
      <c r="B16040" s="9" t="n"/>
    </row>
    <row r="16041">
      <c r="A16041" s="8" t="n"/>
      <c r="B16041" s="9" t="n"/>
    </row>
    <row r="16042">
      <c r="A16042" s="8" t="n"/>
      <c r="B16042" s="9" t="n"/>
    </row>
    <row r="16043">
      <c r="A16043" s="8" t="n"/>
      <c r="B16043" s="9" t="n"/>
    </row>
    <row r="16044">
      <c r="A16044" s="8" t="n"/>
      <c r="B16044" s="9" t="n"/>
    </row>
    <row r="16045">
      <c r="A16045" s="8" t="n"/>
      <c r="B16045" s="9" t="n"/>
    </row>
    <row r="16046">
      <c r="A16046" s="8" t="n"/>
      <c r="B16046" s="9" t="n"/>
    </row>
    <row r="16047">
      <c r="A16047" s="8" t="n"/>
      <c r="B16047" s="9" t="n"/>
    </row>
    <row r="16048">
      <c r="A16048" s="8" t="n"/>
      <c r="B16048" s="9" t="n"/>
    </row>
    <row r="16049">
      <c r="A16049" s="8" t="n"/>
      <c r="B16049" s="9" t="n"/>
    </row>
    <row r="16050">
      <c r="A16050" s="8" t="n"/>
      <c r="B16050" s="9" t="n"/>
    </row>
    <row r="16051">
      <c r="A16051" s="8" t="n"/>
      <c r="B16051" s="9" t="n"/>
    </row>
    <row r="16052">
      <c r="A16052" s="8" t="n"/>
      <c r="B16052" s="9" t="n"/>
    </row>
    <row r="16053">
      <c r="A16053" s="8" t="n"/>
      <c r="B16053" s="9" t="n"/>
    </row>
    <row r="16054">
      <c r="A16054" s="8" t="n"/>
      <c r="B16054" s="9" t="n"/>
    </row>
    <row r="16055">
      <c r="A16055" s="8" t="n"/>
      <c r="B16055" s="9" t="n"/>
    </row>
    <row r="16056">
      <c r="A16056" s="8" t="n"/>
      <c r="B16056" s="9" t="n"/>
    </row>
    <row r="16057">
      <c r="A16057" s="8" t="n"/>
      <c r="B16057" s="9" t="n"/>
    </row>
    <row r="16058">
      <c r="A16058" s="8" t="n"/>
      <c r="B16058" s="9" t="n"/>
    </row>
    <row r="16059">
      <c r="A16059" s="8" t="n"/>
      <c r="B16059" s="9" t="n"/>
    </row>
    <row r="16060">
      <c r="A16060" s="8" t="n"/>
      <c r="B16060" s="9" t="n"/>
    </row>
    <row r="16061">
      <c r="A16061" s="8" t="n"/>
      <c r="B16061" s="9" t="n"/>
    </row>
    <row r="16062">
      <c r="A16062" s="8" t="n"/>
      <c r="B16062" s="9" t="n"/>
    </row>
    <row r="16063">
      <c r="A16063" s="8" t="n"/>
      <c r="B16063" s="9" t="n"/>
    </row>
    <row r="16064">
      <c r="A16064" s="8" t="n"/>
      <c r="B16064" s="9" t="n"/>
    </row>
    <row r="16065">
      <c r="A16065" s="8" t="n"/>
      <c r="B16065" s="9" t="n"/>
    </row>
    <row r="16066">
      <c r="A16066" s="8" t="n"/>
      <c r="B16066" s="9" t="n"/>
    </row>
    <row r="16067">
      <c r="A16067" s="8" t="n"/>
      <c r="B16067" s="9" t="n"/>
    </row>
    <row r="16068">
      <c r="A16068" s="8" t="n"/>
      <c r="B16068" s="9" t="n"/>
    </row>
    <row r="16069">
      <c r="A16069" s="8" t="n"/>
      <c r="B16069" s="9" t="n"/>
    </row>
    <row r="16070">
      <c r="A16070" s="8" t="n"/>
      <c r="B16070" s="9" t="n"/>
    </row>
    <row r="16071">
      <c r="A16071" s="8" t="n"/>
      <c r="B16071" s="9" t="n"/>
    </row>
    <row r="16072">
      <c r="A16072" s="8" t="n"/>
      <c r="B16072" s="9" t="n"/>
    </row>
    <row r="16073">
      <c r="A16073" s="8" t="n"/>
      <c r="B16073" s="9" t="n"/>
    </row>
    <row r="16074">
      <c r="A16074" s="8" t="n"/>
      <c r="B16074" s="9" t="n"/>
    </row>
    <row r="16075">
      <c r="A16075" s="8" t="n"/>
      <c r="B16075" s="9" t="n"/>
    </row>
    <row r="16076">
      <c r="A16076" s="8" t="n"/>
      <c r="B16076" s="9" t="n"/>
    </row>
    <row r="16077">
      <c r="A16077" s="8" t="n"/>
      <c r="B16077" s="9" t="n"/>
    </row>
    <row r="16078">
      <c r="A16078" s="8" t="n"/>
      <c r="B16078" s="9" t="n"/>
    </row>
    <row r="16079">
      <c r="A16079" s="8" t="n"/>
      <c r="B16079" s="9" t="n"/>
    </row>
    <row r="16080">
      <c r="A16080" s="8" t="n"/>
      <c r="B16080" s="9" t="n"/>
    </row>
    <row r="16081">
      <c r="A16081" s="8" t="n"/>
      <c r="B16081" s="9" t="n"/>
    </row>
    <row r="16082">
      <c r="A16082" s="8" t="n"/>
      <c r="B16082" s="9" t="n"/>
    </row>
    <row r="16083">
      <c r="A16083" s="8" t="n"/>
      <c r="B16083" s="9" t="n"/>
    </row>
    <row r="16084">
      <c r="A16084" s="8" t="n"/>
      <c r="B16084" s="9" t="n"/>
    </row>
    <row r="16085">
      <c r="A16085" s="8" t="n"/>
      <c r="B16085" s="9" t="n"/>
    </row>
    <row r="16086">
      <c r="A16086" s="8" t="n"/>
      <c r="B16086" s="9" t="n"/>
    </row>
    <row r="16087">
      <c r="A16087" s="8" t="n"/>
      <c r="B16087" s="9" t="n"/>
    </row>
    <row r="16088">
      <c r="A16088" s="8" t="n"/>
      <c r="B16088" s="9" t="n"/>
    </row>
    <row r="16089">
      <c r="A16089" s="8" t="n"/>
      <c r="B16089" s="9" t="n"/>
    </row>
    <row r="16090">
      <c r="A16090" s="8" t="n"/>
      <c r="B16090" s="9" t="n"/>
    </row>
    <row r="16091">
      <c r="A16091" s="8" t="n"/>
      <c r="B16091" s="9" t="n"/>
    </row>
    <row r="16092">
      <c r="A16092" s="8" t="n"/>
      <c r="B16092" s="9" t="n"/>
    </row>
    <row r="16093">
      <c r="A16093" s="8" t="n"/>
      <c r="B16093" s="9" t="n"/>
    </row>
    <row r="16094">
      <c r="A16094" s="8" t="n"/>
      <c r="B16094" s="9" t="n"/>
    </row>
    <row r="16095">
      <c r="A16095" s="8" t="n"/>
      <c r="B16095" s="9" t="n"/>
    </row>
    <row r="16096">
      <c r="A16096" s="8" t="n"/>
      <c r="B16096" s="9" t="n"/>
    </row>
    <row r="16097">
      <c r="A16097" s="8" t="n"/>
      <c r="B16097" s="9" t="n"/>
    </row>
    <row r="16098">
      <c r="A16098" s="8" t="n"/>
      <c r="B16098" s="9" t="n"/>
    </row>
    <row r="16099">
      <c r="A16099" s="8" t="n"/>
      <c r="B16099" s="9" t="n"/>
    </row>
    <row r="16100">
      <c r="A16100" s="8" t="n"/>
      <c r="B16100" s="9" t="n"/>
    </row>
    <row r="16101">
      <c r="A16101" s="8" t="n"/>
      <c r="B16101" s="9" t="n"/>
    </row>
    <row r="16102">
      <c r="A16102" s="8" t="n"/>
      <c r="B16102" s="9" t="n"/>
    </row>
    <row r="16103">
      <c r="A16103" s="8" t="n"/>
      <c r="B16103" s="9" t="n"/>
    </row>
    <row r="16104">
      <c r="A16104" s="8" t="n"/>
      <c r="B16104" s="9" t="n"/>
    </row>
    <row r="16105">
      <c r="A16105" s="8" t="n"/>
      <c r="B16105" s="9" t="n"/>
    </row>
    <row r="16106">
      <c r="A16106" s="8" t="n"/>
      <c r="B16106" s="9" t="n"/>
    </row>
    <row r="16107">
      <c r="A16107" s="8" t="n"/>
      <c r="B16107" s="9" t="n"/>
    </row>
    <row r="16108">
      <c r="A16108" s="8" t="n"/>
      <c r="B16108" s="9" t="n"/>
    </row>
    <row r="16109">
      <c r="A16109" s="8" t="n"/>
      <c r="B16109" s="9" t="n"/>
    </row>
    <row r="16110">
      <c r="A16110" s="8" t="n"/>
      <c r="B16110" s="9" t="n"/>
    </row>
    <row r="16111">
      <c r="A16111" s="8" t="n"/>
      <c r="B16111" s="9" t="n"/>
    </row>
    <row r="16112">
      <c r="A16112" s="8" t="n"/>
      <c r="B16112" s="9" t="n"/>
    </row>
    <row r="16113">
      <c r="A16113" s="8" t="n"/>
      <c r="B16113" s="9" t="n"/>
    </row>
    <row r="16114">
      <c r="A16114" s="8" t="n"/>
      <c r="B16114" s="9" t="n"/>
    </row>
    <row r="16115">
      <c r="A16115" s="8" t="n"/>
      <c r="B16115" s="9" t="n"/>
    </row>
    <row r="16116">
      <c r="A16116" s="8" t="n"/>
      <c r="B16116" s="9" t="n"/>
    </row>
    <row r="16117">
      <c r="A16117" s="8" t="n"/>
      <c r="B16117" s="9" t="n"/>
    </row>
    <row r="16118">
      <c r="A16118" s="8" t="n"/>
      <c r="B16118" s="9" t="n"/>
    </row>
    <row r="16119">
      <c r="A16119" s="8" t="n"/>
      <c r="B16119" s="9" t="n"/>
    </row>
    <row r="16120">
      <c r="A16120" s="8" t="n"/>
      <c r="B16120" s="9" t="n"/>
    </row>
    <row r="16121">
      <c r="A16121" s="8" t="n"/>
      <c r="B16121" s="9" t="n"/>
    </row>
    <row r="16122">
      <c r="A16122" s="8" t="n"/>
      <c r="B16122" s="9" t="n"/>
    </row>
    <row r="16123">
      <c r="A16123" s="8" t="n"/>
      <c r="B16123" s="9" t="n"/>
    </row>
    <row r="16124">
      <c r="A16124" s="8" t="n"/>
      <c r="B16124" s="9" t="n"/>
    </row>
    <row r="16125">
      <c r="A16125" s="8" t="n"/>
      <c r="B16125" s="9" t="n"/>
    </row>
    <row r="16126">
      <c r="A16126" s="8" t="n"/>
      <c r="B16126" s="9" t="n"/>
    </row>
    <row r="16127">
      <c r="A16127" s="8" t="n"/>
      <c r="B16127" s="9" t="n"/>
    </row>
    <row r="16128">
      <c r="A16128" s="8" t="n"/>
      <c r="B16128" s="9" t="n"/>
    </row>
    <row r="16129">
      <c r="A16129" s="8" t="n"/>
      <c r="B16129" s="9" t="n"/>
    </row>
    <row r="16130">
      <c r="A16130" s="8" t="n"/>
      <c r="B16130" s="9" t="n"/>
    </row>
    <row r="16131">
      <c r="A16131" s="8" t="n"/>
      <c r="B16131" s="9" t="n"/>
    </row>
    <row r="16132">
      <c r="A16132" s="8" t="n"/>
      <c r="B16132" s="9" t="n"/>
    </row>
    <row r="16133">
      <c r="A16133" s="8" t="n"/>
      <c r="B16133" s="9" t="n"/>
    </row>
    <row r="16134">
      <c r="A16134" s="8" t="n"/>
      <c r="B16134" s="9" t="n"/>
    </row>
    <row r="16135">
      <c r="A16135" s="8" t="n"/>
      <c r="B16135" s="9" t="n"/>
    </row>
    <row r="16136">
      <c r="A16136" s="8" t="n"/>
      <c r="B16136" s="9" t="n"/>
    </row>
    <row r="16137">
      <c r="A16137" s="8" t="n"/>
      <c r="B16137" s="9" t="n"/>
    </row>
    <row r="16138">
      <c r="A16138" s="8" t="n"/>
      <c r="B16138" s="9" t="n"/>
    </row>
    <row r="16139">
      <c r="A16139" s="8" t="n"/>
      <c r="B16139" s="9" t="n"/>
    </row>
    <row r="16140">
      <c r="A16140" s="8" t="n"/>
      <c r="B16140" s="9" t="n"/>
    </row>
    <row r="16141">
      <c r="A16141" s="8" t="n"/>
      <c r="B16141" s="9" t="n"/>
    </row>
    <row r="16142">
      <c r="A16142" s="8" t="n"/>
      <c r="B16142" s="9" t="n"/>
    </row>
    <row r="16143">
      <c r="A16143" s="8" t="n"/>
      <c r="B16143" s="9" t="n"/>
    </row>
    <row r="16144">
      <c r="A16144" s="8" t="n"/>
      <c r="B16144" s="9" t="n"/>
    </row>
    <row r="16145">
      <c r="A16145" s="8" t="n"/>
      <c r="B16145" s="9" t="n"/>
    </row>
    <row r="16146">
      <c r="A16146" s="8" t="n"/>
      <c r="B16146" s="9" t="n"/>
    </row>
    <row r="16147">
      <c r="A16147" s="8" t="n"/>
      <c r="B16147" s="9" t="n"/>
    </row>
    <row r="16148">
      <c r="A16148" s="8" t="n"/>
      <c r="B16148" s="9" t="n"/>
    </row>
    <row r="16149">
      <c r="A16149" s="8" t="n"/>
      <c r="B16149" s="9" t="n"/>
    </row>
    <row r="16150">
      <c r="A16150" s="8" t="n"/>
      <c r="B16150" s="9" t="n"/>
    </row>
    <row r="16151">
      <c r="A16151" s="8" t="n"/>
      <c r="B16151" s="9" t="n"/>
    </row>
    <row r="16152">
      <c r="A16152" s="8" t="n"/>
      <c r="B16152" s="9" t="n"/>
    </row>
    <row r="16153">
      <c r="A16153" s="8" t="n"/>
      <c r="B16153" s="9" t="n"/>
    </row>
    <row r="16154">
      <c r="A16154" s="8" t="n"/>
      <c r="B16154" s="9" t="n"/>
    </row>
    <row r="16155">
      <c r="A16155" s="8" t="n"/>
      <c r="B16155" s="9" t="n"/>
    </row>
    <row r="16156">
      <c r="A16156" s="8" t="n"/>
      <c r="B16156" s="9" t="n"/>
    </row>
    <row r="16157">
      <c r="A16157" s="8" t="n"/>
      <c r="B16157" s="9" t="n"/>
    </row>
    <row r="16158">
      <c r="A16158" s="8" t="n"/>
      <c r="B16158" s="9" t="n"/>
    </row>
    <row r="16159">
      <c r="A16159" s="8" t="n"/>
      <c r="B16159" s="9" t="n"/>
    </row>
    <row r="16160">
      <c r="A16160" s="8" t="n"/>
      <c r="B16160" s="9" t="n"/>
    </row>
    <row r="16161">
      <c r="A16161" s="8" t="n"/>
      <c r="B16161" s="9" t="n"/>
    </row>
    <row r="16162">
      <c r="A16162" s="8" t="n"/>
      <c r="B16162" s="9" t="n"/>
    </row>
    <row r="16163">
      <c r="A16163" s="8" t="n"/>
      <c r="B16163" s="9" t="n"/>
    </row>
    <row r="16164">
      <c r="A16164" s="8" t="n"/>
      <c r="B16164" s="9" t="n"/>
    </row>
    <row r="16165">
      <c r="A16165" s="8" t="n"/>
      <c r="B16165" s="9" t="n"/>
    </row>
    <row r="16166">
      <c r="A16166" s="8" t="n"/>
      <c r="B16166" s="9" t="n"/>
    </row>
    <row r="16167">
      <c r="A16167" s="8" t="n"/>
      <c r="B16167" s="9" t="n"/>
    </row>
    <row r="16168">
      <c r="A16168" s="8" t="n"/>
      <c r="B16168" s="9" t="n"/>
    </row>
    <row r="16169">
      <c r="A16169" s="8" t="n"/>
      <c r="B16169" s="9" t="n"/>
    </row>
    <row r="16170">
      <c r="A16170" s="8" t="n"/>
      <c r="B16170" s="9" t="n"/>
    </row>
    <row r="16171">
      <c r="A16171" s="8" t="n"/>
      <c r="B16171" s="9" t="n"/>
    </row>
    <row r="16172">
      <c r="A16172" s="8" t="n"/>
      <c r="B16172" s="9" t="n"/>
    </row>
    <row r="16173">
      <c r="A16173" s="8" t="n"/>
      <c r="B16173" s="9" t="n"/>
    </row>
    <row r="16174">
      <c r="A16174" s="8" t="n"/>
      <c r="B16174" s="9" t="n"/>
    </row>
    <row r="16175">
      <c r="A16175" s="8" t="n"/>
      <c r="B16175" s="9" t="n"/>
    </row>
    <row r="16176">
      <c r="A16176" s="8" t="n"/>
      <c r="B16176" s="9" t="n"/>
    </row>
    <row r="16177">
      <c r="A16177" s="8" t="n"/>
      <c r="B16177" s="9" t="n"/>
    </row>
    <row r="16178">
      <c r="A16178" s="8" t="n"/>
      <c r="B16178" s="9" t="n"/>
    </row>
    <row r="16179">
      <c r="A16179" s="8" t="n"/>
      <c r="B16179" s="9" t="n"/>
    </row>
    <row r="16180">
      <c r="A16180" s="8" t="n"/>
      <c r="B16180" s="9" t="n"/>
    </row>
    <row r="16181">
      <c r="A16181" s="8" t="n"/>
      <c r="B16181" s="9" t="n"/>
    </row>
    <row r="16182">
      <c r="A16182" s="8" t="n"/>
      <c r="B16182" s="9" t="n"/>
    </row>
    <row r="16183">
      <c r="A16183" s="8" t="n"/>
      <c r="B16183" s="9" t="n"/>
    </row>
    <row r="16184">
      <c r="A16184" s="8" t="n"/>
      <c r="B16184" s="9" t="n"/>
    </row>
    <row r="16185">
      <c r="A16185" s="8" t="n"/>
      <c r="B16185" s="9" t="n"/>
    </row>
    <row r="16186">
      <c r="A16186" s="8" t="n"/>
      <c r="B16186" s="9" t="n"/>
    </row>
    <row r="16187">
      <c r="A16187" s="8" t="n"/>
      <c r="B16187" s="9" t="n"/>
    </row>
    <row r="16188">
      <c r="A16188" s="8" t="n"/>
      <c r="B16188" s="9" t="n"/>
    </row>
    <row r="16189">
      <c r="A16189" s="8" t="n"/>
      <c r="B16189" s="9" t="n"/>
    </row>
    <row r="16190">
      <c r="A16190" s="8" t="n"/>
      <c r="B16190" s="9" t="n"/>
    </row>
    <row r="16191">
      <c r="A16191" s="8" t="n"/>
      <c r="B16191" s="9" t="n"/>
    </row>
    <row r="16192">
      <c r="A16192" s="8" t="n"/>
      <c r="B16192" s="9" t="n"/>
    </row>
    <row r="16193">
      <c r="A16193" s="8" t="n"/>
      <c r="B16193" s="9" t="n"/>
    </row>
    <row r="16194">
      <c r="A16194" s="8" t="n"/>
      <c r="B16194" s="9" t="n"/>
    </row>
    <row r="16195">
      <c r="A16195" s="8" t="n"/>
      <c r="B16195" s="9" t="n"/>
    </row>
    <row r="16196">
      <c r="A16196" s="8" t="n"/>
      <c r="B16196" s="9" t="n"/>
    </row>
    <row r="16197">
      <c r="A16197" s="8" t="n"/>
      <c r="B16197" s="9" t="n"/>
    </row>
    <row r="16198">
      <c r="A16198" s="8" t="n"/>
      <c r="B16198" s="9" t="n"/>
    </row>
    <row r="16199">
      <c r="A16199" s="8" t="n"/>
      <c r="B16199" s="9" t="n"/>
    </row>
    <row r="16200">
      <c r="A16200" s="8" t="n"/>
      <c r="B16200" s="9" t="n"/>
    </row>
    <row r="16201">
      <c r="A16201" s="8" t="n"/>
      <c r="B16201" s="9" t="n"/>
    </row>
    <row r="16202">
      <c r="A16202" s="8" t="n"/>
      <c r="B16202" s="9" t="n"/>
    </row>
    <row r="16203">
      <c r="A16203" s="8" t="n"/>
      <c r="B16203" s="9" t="n"/>
    </row>
    <row r="16204">
      <c r="A16204" s="8" t="n"/>
      <c r="B16204" s="9" t="n"/>
    </row>
    <row r="16205">
      <c r="A16205" s="8" t="n"/>
      <c r="B16205" s="9" t="n"/>
    </row>
    <row r="16206">
      <c r="A16206" s="8" t="n"/>
      <c r="B16206" s="9" t="n"/>
    </row>
    <row r="16207">
      <c r="A16207" s="8" t="n"/>
      <c r="B16207" s="9" t="n"/>
    </row>
    <row r="16208">
      <c r="A16208" s="8" t="n"/>
      <c r="B16208" s="9" t="n"/>
    </row>
    <row r="16209">
      <c r="A16209" s="8" t="n"/>
      <c r="B16209" s="9" t="n"/>
    </row>
    <row r="16210">
      <c r="A16210" s="8" t="n"/>
      <c r="B16210" s="9" t="n"/>
    </row>
    <row r="16211">
      <c r="A16211" s="8" t="n"/>
      <c r="B16211" s="9" t="n"/>
    </row>
    <row r="16212">
      <c r="A16212" s="8" t="n"/>
      <c r="B16212" s="9" t="n"/>
    </row>
    <row r="16213">
      <c r="A16213" s="8" t="n"/>
      <c r="B16213" s="9" t="n"/>
    </row>
    <row r="16214">
      <c r="A16214" s="8" t="n"/>
      <c r="B16214" s="9" t="n"/>
    </row>
    <row r="16215">
      <c r="A16215" s="8" t="n"/>
      <c r="B16215" s="9" t="n"/>
    </row>
    <row r="16216">
      <c r="A16216" s="8" t="n"/>
      <c r="B16216" s="9" t="n"/>
    </row>
    <row r="16217">
      <c r="A16217" s="8" t="n"/>
      <c r="B16217" s="9" t="n"/>
    </row>
    <row r="16218">
      <c r="A16218" s="8" t="n"/>
      <c r="B16218" s="9" t="n"/>
    </row>
    <row r="16219">
      <c r="A16219" s="8" t="n"/>
      <c r="B16219" s="9" t="n"/>
    </row>
    <row r="16220">
      <c r="A16220" s="8" t="n"/>
      <c r="B16220" s="9" t="n"/>
    </row>
    <row r="16221">
      <c r="A16221" s="8" t="n"/>
      <c r="B16221" s="9" t="n"/>
    </row>
    <row r="16222">
      <c r="A16222" s="8" t="n"/>
      <c r="B16222" s="9" t="n"/>
    </row>
    <row r="16223">
      <c r="A16223" s="8" t="n"/>
      <c r="B16223" s="9" t="n"/>
    </row>
    <row r="16224">
      <c r="A16224" s="8" t="n"/>
      <c r="B16224" s="9" t="n"/>
    </row>
    <row r="16225">
      <c r="A16225" s="8" t="n"/>
      <c r="B16225" s="9" t="n"/>
    </row>
    <row r="16226">
      <c r="A16226" s="8" t="n"/>
      <c r="B16226" s="9" t="n"/>
    </row>
    <row r="16227">
      <c r="A16227" s="8" t="n"/>
      <c r="B16227" s="9" t="n"/>
    </row>
    <row r="16228">
      <c r="A16228" s="8" t="n"/>
      <c r="B16228" s="9" t="n"/>
    </row>
    <row r="16229">
      <c r="A16229" s="8" t="n"/>
      <c r="B16229" s="9" t="n"/>
    </row>
    <row r="16230">
      <c r="A16230" s="8" t="n"/>
      <c r="B16230" s="9" t="n"/>
    </row>
    <row r="16231">
      <c r="A16231" s="8" t="n"/>
      <c r="B16231" s="9" t="n"/>
    </row>
    <row r="16232">
      <c r="A16232" s="8" t="n"/>
      <c r="B16232" s="9" t="n"/>
    </row>
    <row r="16233">
      <c r="A16233" s="8" t="n"/>
      <c r="B16233" s="9" t="n"/>
    </row>
    <row r="16234">
      <c r="A16234" s="8" t="n"/>
      <c r="B16234" s="9" t="n"/>
    </row>
    <row r="16235">
      <c r="A16235" s="8" t="n"/>
      <c r="B16235" s="9" t="n"/>
    </row>
    <row r="16236">
      <c r="A16236" s="8" t="n"/>
      <c r="B16236" s="9" t="n"/>
    </row>
    <row r="16237">
      <c r="A16237" s="8" t="n"/>
      <c r="B16237" s="9" t="n"/>
    </row>
    <row r="16238">
      <c r="A16238" s="8" t="n"/>
      <c r="B16238" s="9" t="n"/>
    </row>
    <row r="16239">
      <c r="A16239" s="8" t="n"/>
      <c r="B16239" s="9" t="n"/>
    </row>
    <row r="16240">
      <c r="A16240" s="8" t="n"/>
      <c r="B16240" s="9" t="n"/>
    </row>
    <row r="16241">
      <c r="A16241" s="8" t="n"/>
      <c r="B16241" s="9" t="n"/>
    </row>
    <row r="16242">
      <c r="A16242" s="8" t="n"/>
      <c r="B16242" s="9" t="n"/>
    </row>
    <row r="16243">
      <c r="A16243" s="8" t="n"/>
      <c r="B16243" s="9" t="n"/>
    </row>
    <row r="16244">
      <c r="A16244" s="8" t="n"/>
      <c r="B16244" s="9" t="n"/>
    </row>
    <row r="16245">
      <c r="A16245" s="8" t="n"/>
      <c r="B16245" s="9" t="n"/>
    </row>
    <row r="16246">
      <c r="A16246" s="8" t="n"/>
      <c r="B16246" s="9" t="n"/>
    </row>
    <row r="16247">
      <c r="A16247" s="8" t="n"/>
      <c r="B16247" s="9" t="n"/>
    </row>
    <row r="16248">
      <c r="A16248" s="8" t="n"/>
      <c r="B16248" s="9" t="n"/>
    </row>
    <row r="16249">
      <c r="A16249" s="8" t="n"/>
      <c r="B16249" s="9" t="n"/>
    </row>
    <row r="16250">
      <c r="A16250" s="8" t="n"/>
      <c r="B16250" s="9" t="n"/>
    </row>
    <row r="16251">
      <c r="A16251" s="8" t="n"/>
      <c r="B16251" s="9" t="n"/>
    </row>
    <row r="16252">
      <c r="A16252" s="8" t="n"/>
      <c r="B16252" s="9" t="n"/>
    </row>
    <row r="16253">
      <c r="A16253" s="8" t="n"/>
      <c r="B16253" s="9" t="n"/>
    </row>
    <row r="16254">
      <c r="A16254" s="8" t="n"/>
      <c r="B16254" s="9" t="n"/>
    </row>
    <row r="16255">
      <c r="A16255" s="8" t="n"/>
      <c r="B16255" s="9" t="n"/>
    </row>
    <row r="16256">
      <c r="A16256" s="8" t="n"/>
      <c r="B16256" s="9" t="n"/>
    </row>
    <row r="16257">
      <c r="A16257" s="8" t="n"/>
      <c r="B16257" s="9" t="n"/>
    </row>
    <row r="16258">
      <c r="A16258" s="8" t="n"/>
      <c r="B16258" s="9" t="n"/>
    </row>
    <row r="16259">
      <c r="A16259" s="8" t="n"/>
      <c r="B16259" s="9" t="n"/>
    </row>
    <row r="16260">
      <c r="A16260" s="8" t="n"/>
      <c r="B16260" s="9" t="n"/>
    </row>
    <row r="16261">
      <c r="A16261" s="8" t="n"/>
      <c r="B16261" s="9" t="n"/>
    </row>
    <row r="16262">
      <c r="A16262" s="8" t="n"/>
      <c r="B16262" s="9" t="n"/>
    </row>
    <row r="16263">
      <c r="A16263" s="8" t="n"/>
      <c r="B16263" s="9" t="n"/>
    </row>
    <row r="16264">
      <c r="A16264" s="8" t="n"/>
      <c r="B16264" s="9" t="n"/>
    </row>
    <row r="16265">
      <c r="A16265" s="8" t="n"/>
      <c r="B16265" s="9" t="n"/>
    </row>
    <row r="16266">
      <c r="A16266" s="8" t="n"/>
      <c r="B16266" s="9" t="n"/>
    </row>
    <row r="16267">
      <c r="A16267" s="8" t="n"/>
      <c r="B16267" s="9" t="n"/>
    </row>
    <row r="16268">
      <c r="A16268" s="8" t="n"/>
      <c r="B16268" s="9" t="n"/>
    </row>
    <row r="16269">
      <c r="A16269" s="8" t="n"/>
      <c r="B16269" s="9" t="n"/>
    </row>
    <row r="16270">
      <c r="A16270" s="8" t="n"/>
      <c r="B16270" s="9" t="n"/>
    </row>
    <row r="16271">
      <c r="A16271" s="8" t="n"/>
      <c r="B16271" s="9" t="n"/>
    </row>
    <row r="16272">
      <c r="A16272" s="8" t="n"/>
      <c r="B16272" s="9" t="n"/>
    </row>
    <row r="16273">
      <c r="A16273" s="8" t="n"/>
      <c r="B16273" s="9" t="n"/>
    </row>
    <row r="16274">
      <c r="A16274" s="8" t="n"/>
      <c r="B16274" s="9" t="n"/>
    </row>
    <row r="16275">
      <c r="A16275" s="8" t="n"/>
      <c r="B16275" s="9" t="n"/>
    </row>
    <row r="16276">
      <c r="A16276" s="8" t="n"/>
      <c r="B16276" s="9" t="n"/>
    </row>
    <row r="16277">
      <c r="A16277" s="8" t="n"/>
      <c r="B16277" s="9" t="n"/>
    </row>
    <row r="16278">
      <c r="A16278" s="8" t="n"/>
      <c r="B16278" s="9" t="n"/>
    </row>
    <row r="16279">
      <c r="A16279" s="8" t="n"/>
      <c r="B16279" s="9" t="n"/>
    </row>
    <row r="16280">
      <c r="A16280" s="8" t="n"/>
      <c r="B16280" s="9" t="n"/>
    </row>
    <row r="16281">
      <c r="A16281" s="8" t="n"/>
      <c r="B16281" s="9" t="n"/>
    </row>
    <row r="16282">
      <c r="A16282" s="8" t="n"/>
      <c r="B16282" s="9" t="n"/>
    </row>
    <row r="16283">
      <c r="A16283" s="8" t="n"/>
      <c r="B16283" s="9" t="n"/>
    </row>
    <row r="16284">
      <c r="A16284" s="8" t="n"/>
      <c r="B16284" s="9" t="n"/>
    </row>
    <row r="16285">
      <c r="A16285" s="8" t="n"/>
      <c r="B16285" s="9" t="n"/>
    </row>
    <row r="16286">
      <c r="A16286" s="8" t="n"/>
      <c r="B16286" s="9" t="n"/>
    </row>
    <row r="16287">
      <c r="A16287" s="8" t="n"/>
      <c r="B16287" s="9" t="n"/>
    </row>
    <row r="16288">
      <c r="A16288" s="8" t="n"/>
      <c r="B16288" s="9" t="n"/>
    </row>
    <row r="16289">
      <c r="A16289" s="8" t="n"/>
      <c r="B16289" s="9" t="n"/>
    </row>
    <row r="16290">
      <c r="A16290" s="8" t="n"/>
      <c r="B16290" s="9" t="n"/>
    </row>
    <row r="16291">
      <c r="A16291" s="8" t="n"/>
      <c r="B16291" s="9" t="n"/>
    </row>
    <row r="16292">
      <c r="A16292" s="8" t="n"/>
      <c r="B16292" s="9" t="n"/>
    </row>
    <row r="16293">
      <c r="A16293" s="8" t="n"/>
      <c r="B16293" s="9" t="n"/>
    </row>
    <row r="16294">
      <c r="A16294" s="8" t="n"/>
      <c r="B16294" s="9" t="n"/>
    </row>
    <row r="16295">
      <c r="A16295" s="8" t="n"/>
      <c r="B16295" s="9" t="n"/>
    </row>
    <row r="16296">
      <c r="A16296" s="8" t="n"/>
      <c r="B16296" s="9" t="n"/>
    </row>
    <row r="16297">
      <c r="A16297" s="8" t="n"/>
      <c r="B16297" s="9" t="n"/>
    </row>
    <row r="16298">
      <c r="A16298" s="8" t="n"/>
      <c r="B16298" s="9" t="n"/>
    </row>
    <row r="16299">
      <c r="A16299" s="8" t="n"/>
      <c r="B16299" s="9" t="n"/>
    </row>
    <row r="16300">
      <c r="A16300" s="8" t="n"/>
      <c r="B16300" s="9" t="n"/>
    </row>
    <row r="16301">
      <c r="A16301" s="8" t="n"/>
      <c r="B16301" s="9" t="n"/>
    </row>
    <row r="16302">
      <c r="A16302" s="8" t="n"/>
      <c r="B16302" s="9" t="n"/>
    </row>
    <row r="16303">
      <c r="A16303" s="8" t="n"/>
      <c r="B16303" s="9" t="n"/>
    </row>
    <row r="16304">
      <c r="A16304" s="8" t="n"/>
      <c r="B16304" s="9" t="n"/>
    </row>
    <row r="16305">
      <c r="A16305" s="8" t="n"/>
      <c r="B16305" s="9" t="n"/>
    </row>
    <row r="16306">
      <c r="A16306" s="8" t="n"/>
      <c r="B16306" s="9" t="n"/>
    </row>
    <row r="16307">
      <c r="A16307" s="8" t="n"/>
      <c r="B16307" s="9" t="n"/>
    </row>
    <row r="16308">
      <c r="A16308" s="8" t="n"/>
      <c r="B16308" s="9" t="n"/>
    </row>
    <row r="16309">
      <c r="A16309" s="8" t="n"/>
      <c r="B16309" s="9" t="n"/>
    </row>
    <row r="16310">
      <c r="A16310" s="8" t="n"/>
      <c r="B16310" s="9" t="n"/>
    </row>
    <row r="16311">
      <c r="A16311" s="8" t="n"/>
      <c r="B16311" s="9" t="n"/>
    </row>
    <row r="16312">
      <c r="A16312" s="8" t="n"/>
      <c r="B16312" s="9" t="n"/>
    </row>
    <row r="16313">
      <c r="A16313" s="8" t="n"/>
      <c r="B16313" s="9" t="n"/>
    </row>
    <row r="16314">
      <c r="A16314" s="8" t="n"/>
      <c r="B16314" s="9" t="n"/>
    </row>
    <row r="16315">
      <c r="A16315" s="8" t="n"/>
      <c r="B16315" s="9" t="n"/>
    </row>
    <row r="16316">
      <c r="A16316" s="8" t="n"/>
      <c r="B16316" s="9" t="n"/>
    </row>
    <row r="16317">
      <c r="A16317" s="8" t="n"/>
      <c r="B16317" s="9" t="n"/>
    </row>
    <row r="16318">
      <c r="A16318" s="8" t="n"/>
      <c r="B16318" s="9" t="n"/>
    </row>
    <row r="16319">
      <c r="A16319" s="8" t="n"/>
      <c r="B16319" s="9" t="n"/>
    </row>
    <row r="16320">
      <c r="A16320" s="8" t="n"/>
      <c r="B16320" s="9" t="n"/>
    </row>
    <row r="16321">
      <c r="A16321" s="8" t="n"/>
      <c r="B16321" s="9" t="n"/>
    </row>
    <row r="16322">
      <c r="A16322" s="8" t="n"/>
      <c r="B16322" s="9" t="n"/>
    </row>
    <row r="16323">
      <c r="A16323" s="8" t="n"/>
      <c r="B16323" s="9" t="n"/>
    </row>
    <row r="16324">
      <c r="A16324" s="8" t="n"/>
      <c r="B16324" s="9" t="n"/>
    </row>
    <row r="16325">
      <c r="A16325" s="8" t="n"/>
      <c r="B16325" s="9" t="n"/>
    </row>
    <row r="16326">
      <c r="A16326" s="8" t="n"/>
      <c r="B16326" s="9" t="n"/>
    </row>
    <row r="16327">
      <c r="A16327" s="8" t="n"/>
      <c r="B16327" s="9" t="n"/>
    </row>
    <row r="16328">
      <c r="A16328" s="8" t="n"/>
      <c r="B16328" s="9" t="n"/>
    </row>
    <row r="16329">
      <c r="A16329" s="8" t="n"/>
      <c r="B16329" s="9" t="n"/>
    </row>
    <row r="16330">
      <c r="A16330" s="8" t="n"/>
      <c r="B16330" s="9" t="n"/>
    </row>
    <row r="16331">
      <c r="A16331" s="8" t="n"/>
      <c r="B16331" s="9" t="n"/>
    </row>
    <row r="16332">
      <c r="A16332" s="8" t="n"/>
      <c r="B16332" s="9" t="n"/>
    </row>
    <row r="16333">
      <c r="A16333" s="8" t="n"/>
      <c r="B16333" s="9" t="n"/>
    </row>
    <row r="16334">
      <c r="A16334" s="8" t="n"/>
      <c r="B16334" s="9" t="n"/>
    </row>
    <row r="16335">
      <c r="A16335" s="8" t="n"/>
      <c r="B16335" s="9" t="n"/>
    </row>
    <row r="16336">
      <c r="A16336" s="8" t="n"/>
      <c r="B16336" s="9" t="n"/>
    </row>
    <row r="16337">
      <c r="A16337" s="8" t="n"/>
      <c r="B16337" s="9" t="n"/>
    </row>
    <row r="16338">
      <c r="A16338" s="8" t="n"/>
      <c r="B16338" s="9" t="n"/>
    </row>
    <row r="16339">
      <c r="A16339" s="8" t="n"/>
      <c r="B16339" s="9" t="n"/>
    </row>
    <row r="16340">
      <c r="A16340" s="8" t="n"/>
      <c r="B16340" s="9" t="n"/>
    </row>
    <row r="16341">
      <c r="A16341" s="8" t="n"/>
      <c r="B16341" s="9" t="n"/>
    </row>
    <row r="16342">
      <c r="A16342" s="8" t="n"/>
      <c r="B16342" s="9" t="n"/>
    </row>
    <row r="16343">
      <c r="A16343" s="8" t="n"/>
      <c r="B16343" s="9" t="n"/>
    </row>
    <row r="16344">
      <c r="A16344" s="8" t="n"/>
      <c r="B16344" s="9" t="n"/>
    </row>
    <row r="16345">
      <c r="A16345" s="8" t="n"/>
      <c r="B16345" s="9" t="n"/>
    </row>
    <row r="16346">
      <c r="A16346" s="8" t="n"/>
      <c r="B16346" s="9" t="n"/>
    </row>
    <row r="16347">
      <c r="A16347" s="8" t="n"/>
      <c r="B16347" s="9" t="n"/>
    </row>
    <row r="16348">
      <c r="A16348" s="8" t="n"/>
      <c r="B16348" s="9" t="n"/>
    </row>
    <row r="16349">
      <c r="A16349" s="8" t="n"/>
      <c r="B16349" s="9" t="n"/>
    </row>
    <row r="16350">
      <c r="A16350" s="8" t="n"/>
      <c r="B16350" s="9" t="n"/>
    </row>
    <row r="16351">
      <c r="A16351" s="8" t="n"/>
      <c r="B16351" s="9" t="n"/>
    </row>
    <row r="16352">
      <c r="A16352" s="8" t="n"/>
      <c r="B16352" s="9" t="n"/>
    </row>
    <row r="16353">
      <c r="A16353" s="8" t="n"/>
      <c r="B16353" s="9" t="n"/>
    </row>
    <row r="16354">
      <c r="A16354" s="8" t="n"/>
      <c r="B16354" s="9" t="n"/>
    </row>
    <row r="16355">
      <c r="A16355" s="8" t="n"/>
      <c r="B16355" s="9" t="n"/>
    </row>
    <row r="16356">
      <c r="A16356" s="8" t="n"/>
      <c r="B16356" s="9" t="n"/>
    </row>
    <row r="16357">
      <c r="A16357" s="8" t="n"/>
      <c r="B16357" s="9" t="n"/>
    </row>
    <row r="16358">
      <c r="A16358" s="8" t="n"/>
      <c r="B16358" s="9" t="n"/>
    </row>
    <row r="16359">
      <c r="A16359" s="8" t="n"/>
      <c r="B16359" s="9" t="n"/>
    </row>
    <row r="16360">
      <c r="A16360" s="8" t="n"/>
      <c r="B16360" s="9" t="n"/>
    </row>
    <row r="16361">
      <c r="A16361" s="8" t="n"/>
      <c r="B16361" s="9" t="n"/>
    </row>
    <row r="16362">
      <c r="A16362" s="8" t="n"/>
      <c r="B16362" s="9" t="n"/>
    </row>
    <row r="16363">
      <c r="A16363" s="8" t="n"/>
      <c r="B16363" s="9" t="n"/>
    </row>
    <row r="16364">
      <c r="A16364" s="8" t="n"/>
      <c r="B16364" s="9" t="n"/>
    </row>
    <row r="16365">
      <c r="A16365" s="8" t="n"/>
      <c r="B16365" s="9" t="n"/>
    </row>
    <row r="16366">
      <c r="A16366" s="8" t="n"/>
      <c r="B16366" s="9" t="n"/>
    </row>
    <row r="16367">
      <c r="A16367" s="8" t="n"/>
      <c r="B16367" s="9" t="n"/>
    </row>
    <row r="16368">
      <c r="A16368" s="8" t="n"/>
      <c r="B16368" s="9" t="n"/>
    </row>
    <row r="16369">
      <c r="A16369" s="8" t="n"/>
      <c r="B16369" s="9" t="n"/>
    </row>
    <row r="16370">
      <c r="A16370" s="8" t="n"/>
      <c r="B16370" s="9" t="n"/>
    </row>
    <row r="16371">
      <c r="A16371" s="8" t="n"/>
      <c r="B16371" s="9" t="n"/>
    </row>
    <row r="16372">
      <c r="A16372" s="8" t="n"/>
      <c r="B16372" s="9" t="n"/>
    </row>
    <row r="16373">
      <c r="A16373" s="8" t="n"/>
      <c r="B16373" s="9" t="n"/>
    </row>
    <row r="16374">
      <c r="A16374" s="8" t="n"/>
      <c r="B16374" s="9" t="n"/>
    </row>
    <row r="16375">
      <c r="A16375" s="8" t="n"/>
      <c r="B16375" s="9" t="n"/>
    </row>
    <row r="16376">
      <c r="A16376" s="8" t="n"/>
      <c r="B16376" s="9" t="n"/>
    </row>
    <row r="16377">
      <c r="A16377" s="8" t="n"/>
      <c r="B16377" s="9" t="n"/>
    </row>
    <row r="16378">
      <c r="A16378" s="8" t="n"/>
      <c r="B16378" s="9" t="n"/>
    </row>
    <row r="16379">
      <c r="A16379" s="8" t="n"/>
      <c r="B16379" s="9" t="n"/>
    </row>
    <row r="16380">
      <c r="A16380" s="8" t="n"/>
      <c r="B16380" s="9" t="n"/>
    </row>
    <row r="16381">
      <c r="A16381" s="8" t="n"/>
      <c r="B16381" s="9" t="n"/>
    </row>
    <row r="16382">
      <c r="A16382" s="8" t="n"/>
      <c r="B16382" s="9" t="n"/>
    </row>
    <row r="16383">
      <c r="A16383" s="8" t="n"/>
      <c r="B16383" s="9" t="n"/>
    </row>
    <row r="16384">
      <c r="A16384" s="8" t="n"/>
      <c r="B16384" s="9" t="n"/>
    </row>
    <row r="16385">
      <c r="A16385" s="8" t="n"/>
      <c r="B16385" s="9" t="n"/>
    </row>
    <row r="16386">
      <c r="A16386" s="8" t="n"/>
      <c r="B16386" s="9" t="n"/>
    </row>
    <row r="16387">
      <c r="A16387" s="8" t="n"/>
      <c r="B16387" s="9" t="n"/>
    </row>
    <row r="16388">
      <c r="A16388" s="8" t="n"/>
      <c r="B16388" s="9" t="n"/>
    </row>
    <row r="16389">
      <c r="A16389" s="8" t="n"/>
      <c r="B16389" s="9" t="n"/>
    </row>
    <row r="16390">
      <c r="A16390" s="8" t="n"/>
      <c r="B16390" s="9" t="n"/>
    </row>
    <row r="16391">
      <c r="A16391" s="8" t="n"/>
      <c r="B16391" s="9" t="n"/>
    </row>
    <row r="16392">
      <c r="A16392" s="8" t="n"/>
      <c r="B16392" s="9" t="n"/>
    </row>
    <row r="16393">
      <c r="A16393" s="8" t="n"/>
      <c r="B16393" s="9" t="n"/>
    </row>
    <row r="16394">
      <c r="A16394" s="8" t="n"/>
      <c r="B16394" s="9" t="n"/>
    </row>
    <row r="16395">
      <c r="A16395" s="8" t="n"/>
      <c r="B16395" s="9" t="n"/>
    </row>
    <row r="16396">
      <c r="A16396" s="8" t="n"/>
      <c r="B16396" s="9" t="n"/>
    </row>
    <row r="16397">
      <c r="A16397" s="8" t="n"/>
      <c r="B16397" s="9" t="n"/>
    </row>
    <row r="16398">
      <c r="A16398" s="8" t="n"/>
      <c r="B16398" s="9" t="n"/>
    </row>
    <row r="16399">
      <c r="A16399" s="8" t="n"/>
      <c r="B16399" s="9" t="n"/>
    </row>
    <row r="16400">
      <c r="A16400" s="8" t="n"/>
      <c r="B16400" s="9" t="n"/>
    </row>
    <row r="16401">
      <c r="A16401" s="8" t="n"/>
      <c r="B16401" s="9" t="n"/>
    </row>
    <row r="16402">
      <c r="A16402" s="8" t="n"/>
      <c r="B16402" s="9" t="n"/>
    </row>
    <row r="16403">
      <c r="A16403" s="8" t="n"/>
      <c r="B16403" s="9" t="n"/>
    </row>
    <row r="16404">
      <c r="A16404" s="8" t="n"/>
      <c r="B16404" s="9" t="n"/>
    </row>
    <row r="16405">
      <c r="A16405" s="8" t="n"/>
      <c r="B16405" s="9" t="n"/>
    </row>
    <row r="16406">
      <c r="A16406" s="8" t="n"/>
      <c r="B16406" s="9" t="n"/>
    </row>
    <row r="16407">
      <c r="A16407" s="8" t="n"/>
      <c r="B16407" s="9" t="n"/>
    </row>
    <row r="16408">
      <c r="A16408" s="8" t="n"/>
      <c r="B16408" s="9" t="n"/>
    </row>
    <row r="16409">
      <c r="A16409" s="8" t="n"/>
      <c r="B16409" s="9" t="n"/>
    </row>
    <row r="16410">
      <c r="A16410" s="8" t="n"/>
      <c r="B16410" s="9" t="n"/>
    </row>
    <row r="16411">
      <c r="A16411" s="8" t="n"/>
      <c r="B16411" s="9" t="n"/>
    </row>
    <row r="16412">
      <c r="A16412" s="8" t="n"/>
      <c r="B16412" s="9" t="n"/>
    </row>
    <row r="16413">
      <c r="A16413" s="8" t="n"/>
      <c r="B16413" s="9" t="n"/>
    </row>
    <row r="16414">
      <c r="A16414" s="8" t="n"/>
      <c r="B16414" s="9" t="n"/>
    </row>
    <row r="16415">
      <c r="A16415" s="8" t="n"/>
      <c r="B16415" s="9" t="n"/>
    </row>
    <row r="16416">
      <c r="A16416" s="8" t="n"/>
      <c r="B16416" s="9" t="n"/>
    </row>
    <row r="16417">
      <c r="A16417" s="8" t="n"/>
      <c r="B16417" s="9" t="n"/>
    </row>
    <row r="16418">
      <c r="A16418" s="8" t="n"/>
      <c r="B16418" s="9" t="n"/>
    </row>
    <row r="16419">
      <c r="A16419" s="8" t="n"/>
      <c r="B16419" s="9" t="n"/>
    </row>
    <row r="16420">
      <c r="A16420" s="8" t="n"/>
      <c r="B16420" s="9" t="n"/>
    </row>
    <row r="16421">
      <c r="A16421" s="8" t="n"/>
      <c r="B16421" s="9" t="n"/>
    </row>
    <row r="16422">
      <c r="A16422" s="8" t="n"/>
      <c r="B16422" s="9" t="n"/>
    </row>
    <row r="16423">
      <c r="A16423" s="8" t="n"/>
      <c r="B16423" s="9" t="n"/>
    </row>
    <row r="16424">
      <c r="A16424" s="8" t="n"/>
      <c r="B16424" s="9" t="n"/>
    </row>
    <row r="16425">
      <c r="A16425" s="8" t="n"/>
      <c r="B16425" s="9" t="n"/>
    </row>
    <row r="16426">
      <c r="A16426" s="8" t="n"/>
      <c r="B16426" s="9" t="n"/>
    </row>
    <row r="16427">
      <c r="A16427" s="8" t="n"/>
      <c r="B16427" s="9" t="n"/>
    </row>
    <row r="16428">
      <c r="A16428" s="8" t="n"/>
      <c r="B16428" s="9" t="n"/>
    </row>
    <row r="16429">
      <c r="A16429" s="8" t="n"/>
      <c r="B16429" s="9" t="n"/>
    </row>
    <row r="16430">
      <c r="A16430" s="8" t="n"/>
      <c r="B16430" s="9" t="n"/>
    </row>
    <row r="16431">
      <c r="A16431" s="8" t="n"/>
      <c r="B16431" s="9" t="n"/>
    </row>
    <row r="16432">
      <c r="A16432" s="8" t="n"/>
      <c r="B16432" s="9" t="n"/>
    </row>
    <row r="16433">
      <c r="A16433" s="8" t="n"/>
      <c r="B16433" s="9" t="n"/>
    </row>
    <row r="16434">
      <c r="A16434" s="8" t="n"/>
      <c r="B16434" s="9" t="n"/>
    </row>
    <row r="16435">
      <c r="A16435" s="8" t="n"/>
      <c r="B16435" s="9" t="n"/>
    </row>
    <row r="16436">
      <c r="A16436" s="8" t="n"/>
      <c r="B16436" s="9" t="n"/>
    </row>
    <row r="16437">
      <c r="A16437" s="8" t="n"/>
      <c r="B16437" s="9" t="n"/>
    </row>
    <row r="16438">
      <c r="A16438" s="8" t="n"/>
      <c r="B16438" s="9" t="n"/>
    </row>
    <row r="16439">
      <c r="A16439" s="8" t="n"/>
      <c r="B16439" s="9" t="n"/>
    </row>
    <row r="16440">
      <c r="A16440" s="8" t="n"/>
      <c r="B16440" s="9" t="n"/>
    </row>
    <row r="16441">
      <c r="A16441" s="8" t="n"/>
      <c r="B16441" s="9" t="n"/>
    </row>
    <row r="16442">
      <c r="A16442" s="8" t="n"/>
      <c r="B16442" s="9" t="n"/>
    </row>
    <row r="16443">
      <c r="A16443" s="8" t="n"/>
      <c r="B16443" s="9" t="n"/>
    </row>
    <row r="16444">
      <c r="A16444" s="8" t="n"/>
      <c r="B16444" s="9" t="n"/>
    </row>
    <row r="16445">
      <c r="A16445" s="8" t="n"/>
      <c r="B16445" s="9" t="n"/>
    </row>
    <row r="16446">
      <c r="A16446" s="8" t="n"/>
      <c r="B16446" s="9" t="n"/>
    </row>
    <row r="16447">
      <c r="A16447" s="8" t="n"/>
      <c r="B16447" s="9" t="n"/>
    </row>
    <row r="16448">
      <c r="A16448" s="8" t="n"/>
      <c r="B16448" s="9" t="n"/>
    </row>
    <row r="16449">
      <c r="A16449" s="8" t="n"/>
      <c r="B16449" s="9" t="n"/>
    </row>
    <row r="16450">
      <c r="A16450" s="8" t="n"/>
      <c r="B16450" s="9" t="n"/>
    </row>
    <row r="16451">
      <c r="A16451" s="8" t="n"/>
      <c r="B16451" s="9" t="n"/>
    </row>
    <row r="16452">
      <c r="A16452" s="8" t="n"/>
      <c r="B16452" s="9" t="n"/>
    </row>
    <row r="16453">
      <c r="A16453" s="8" t="n"/>
      <c r="B16453" s="9" t="n"/>
    </row>
    <row r="16454">
      <c r="A16454" s="8" t="n"/>
      <c r="B16454" s="9" t="n"/>
    </row>
    <row r="16455">
      <c r="A16455" s="8" t="n"/>
      <c r="B16455" s="9" t="n"/>
    </row>
    <row r="16456">
      <c r="A16456" s="8" t="n"/>
      <c r="B16456" s="9" t="n"/>
    </row>
    <row r="16457">
      <c r="A16457" s="8" t="n"/>
      <c r="B16457" s="9" t="n"/>
    </row>
    <row r="16458">
      <c r="A16458" s="8" t="n"/>
      <c r="B16458" s="9" t="n"/>
    </row>
    <row r="16459">
      <c r="A16459" s="8" t="n"/>
      <c r="B16459" s="9" t="n"/>
    </row>
    <row r="16460">
      <c r="A16460" s="8" t="n"/>
      <c r="B16460" s="9" t="n"/>
    </row>
    <row r="16461">
      <c r="A16461" s="8" t="n"/>
      <c r="B16461" s="9" t="n"/>
    </row>
    <row r="16462">
      <c r="A16462" s="8" t="n"/>
      <c r="B16462" s="9" t="n"/>
    </row>
    <row r="16463">
      <c r="A16463" s="8" t="n"/>
      <c r="B16463" s="9" t="n"/>
    </row>
    <row r="16464">
      <c r="A16464" s="8" t="n"/>
      <c r="B16464" s="9" t="n"/>
    </row>
    <row r="16465">
      <c r="A16465" s="8" t="n"/>
      <c r="B16465" s="9" t="n"/>
    </row>
    <row r="16466">
      <c r="A16466" s="8" t="n"/>
      <c r="B16466" s="9" t="n"/>
    </row>
    <row r="16467">
      <c r="A16467" s="8" t="n"/>
      <c r="B16467" s="9" t="n"/>
    </row>
    <row r="16468">
      <c r="A16468" s="8" t="n"/>
      <c r="B16468" s="9" t="n"/>
    </row>
    <row r="16469">
      <c r="A16469" s="8" t="n"/>
      <c r="B16469" s="9" t="n"/>
    </row>
    <row r="16470">
      <c r="A16470" s="8" t="n"/>
      <c r="B16470" s="9" t="n"/>
    </row>
    <row r="16471">
      <c r="A16471" s="8" t="n"/>
      <c r="B16471" s="9" t="n"/>
    </row>
    <row r="16472">
      <c r="A16472" s="8" t="n"/>
      <c r="B16472" s="9" t="n"/>
    </row>
    <row r="16473">
      <c r="A16473" s="8" t="n"/>
      <c r="B16473" s="9" t="n"/>
    </row>
    <row r="16474">
      <c r="A16474" s="8" t="n"/>
      <c r="B16474" s="9" t="n"/>
    </row>
    <row r="16475">
      <c r="A16475" s="8" t="n"/>
      <c r="B16475" s="9" t="n"/>
    </row>
    <row r="16476">
      <c r="A16476" s="8" t="n"/>
      <c r="B16476" s="9" t="n"/>
    </row>
    <row r="16477">
      <c r="A16477" s="8" t="n"/>
      <c r="B16477" s="9" t="n"/>
    </row>
    <row r="16478">
      <c r="A16478" s="8" t="n"/>
      <c r="B16478" s="9" t="n"/>
    </row>
    <row r="16479">
      <c r="A16479" s="8" t="n"/>
      <c r="B16479" s="9" t="n"/>
    </row>
    <row r="16480">
      <c r="A16480" s="8" t="n"/>
      <c r="B16480" s="9" t="n"/>
    </row>
    <row r="16481">
      <c r="A16481" s="8" t="n"/>
      <c r="B16481" s="9" t="n"/>
    </row>
    <row r="16482">
      <c r="A16482" s="8" t="n"/>
      <c r="B16482" s="9" t="n"/>
    </row>
    <row r="16483">
      <c r="A16483" s="8" t="n"/>
      <c r="B16483" s="9" t="n"/>
    </row>
    <row r="16484">
      <c r="A16484" s="8" t="n"/>
      <c r="B16484" s="9" t="n"/>
    </row>
    <row r="16485">
      <c r="A16485" s="8" t="n"/>
      <c r="B16485" s="9" t="n"/>
    </row>
    <row r="16486">
      <c r="A16486" s="8" t="n"/>
      <c r="B16486" s="9" t="n"/>
    </row>
    <row r="16487">
      <c r="A16487" s="8" t="n"/>
      <c r="B16487" s="9" t="n"/>
    </row>
    <row r="16488">
      <c r="A16488" s="8" t="n"/>
      <c r="B16488" s="9" t="n"/>
    </row>
    <row r="16489">
      <c r="A16489" s="8" t="n"/>
      <c r="B16489" s="9" t="n"/>
    </row>
    <row r="16490">
      <c r="A16490" s="8" t="n"/>
      <c r="B16490" s="9" t="n"/>
    </row>
    <row r="16491">
      <c r="A16491" s="8" t="n"/>
      <c r="B16491" s="9" t="n"/>
    </row>
    <row r="16492">
      <c r="A16492" s="8" t="n"/>
      <c r="B16492" s="9" t="n"/>
    </row>
    <row r="16493">
      <c r="A16493" s="8" t="n"/>
      <c r="B16493" s="9" t="n"/>
    </row>
    <row r="16494">
      <c r="A16494" s="8" t="n"/>
      <c r="B16494" s="9" t="n"/>
    </row>
    <row r="16495">
      <c r="A16495" s="8" t="n"/>
      <c r="B16495" s="9" t="n"/>
    </row>
    <row r="16496">
      <c r="A16496" s="8" t="n"/>
      <c r="B16496" s="9" t="n"/>
    </row>
    <row r="16497">
      <c r="A16497" s="8" t="n"/>
      <c r="B16497" s="9" t="n"/>
    </row>
    <row r="16498">
      <c r="A16498" s="8" t="n"/>
      <c r="B16498" s="9" t="n"/>
    </row>
    <row r="16499">
      <c r="A16499" s="8" t="n"/>
      <c r="B16499" s="9" t="n"/>
    </row>
    <row r="16500">
      <c r="A16500" s="8" t="n"/>
      <c r="B16500" s="9" t="n"/>
    </row>
    <row r="16501">
      <c r="A16501" s="8" t="n"/>
      <c r="B16501" s="9" t="n"/>
    </row>
    <row r="16502">
      <c r="A16502" s="8" t="n"/>
      <c r="B16502" s="9" t="n"/>
    </row>
    <row r="16503">
      <c r="A16503" s="8" t="n"/>
      <c r="B16503" s="9" t="n"/>
    </row>
    <row r="16504">
      <c r="A16504" s="8" t="n"/>
      <c r="B16504" s="9" t="n"/>
    </row>
    <row r="16505">
      <c r="A16505" s="8" t="n"/>
      <c r="B16505" s="9" t="n"/>
    </row>
    <row r="16506">
      <c r="A16506" s="8" t="n"/>
      <c r="B16506" s="9" t="n"/>
    </row>
    <row r="16507">
      <c r="A16507" s="8" t="n"/>
      <c r="B16507" s="9" t="n"/>
    </row>
    <row r="16508">
      <c r="A16508" s="8" t="n"/>
      <c r="B16508" s="9" t="n"/>
    </row>
    <row r="16509">
      <c r="A16509" s="8" t="n"/>
      <c r="B16509" s="9" t="n"/>
    </row>
    <row r="16510">
      <c r="A16510" s="8" t="n"/>
      <c r="B16510" s="9" t="n"/>
    </row>
    <row r="16511">
      <c r="A16511" s="8" t="n"/>
      <c r="B16511" s="9" t="n"/>
    </row>
    <row r="16512">
      <c r="A16512" s="8" t="n"/>
      <c r="B16512" s="9" t="n"/>
    </row>
    <row r="16513">
      <c r="A16513" s="8" t="n"/>
      <c r="B16513" s="9" t="n"/>
    </row>
    <row r="16514">
      <c r="A16514" s="8" t="n"/>
      <c r="B16514" s="9" t="n"/>
    </row>
    <row r="16515">
      <c r="A16515" s="8" t="n"/>
      <c r="B16515" s="9" t="n"/>
    </row>
    <row r="16516">
      <c r="A16516" s="8" t="n"/>
      <c r="B16516" s="9" t="n"/>
    </row>
    <row r="16517">
      <c r="A16517" s="8" t="n"/>
      <c r="B16517" s="9" t="n"/>
    </row>
    <row r="16518">
      <c r="A16518" s="8" t="n"/>
      <c r="B16518" s="9" t="n"/>
    </row>
    <row r="16519">
      <c r="A16519" s="8" t="n"/>
      <c r="B16519" s="9" t="n"/>
    </row>
    <row r="16520">
      <c r="A16520" s="8" t="n"/>
      <c r="B16520" s="9" t="n"/>
    </row>
    <row r="16521">
      <c r="A16521" s="8" t="n"/>
      <c r="B16521" s="9" t="n"/>
    </row>
    <row r="16522">
      <c r="A16522" s="8" t="n"/>
      <c r="B16522" s="9" t="n"/>
    </row>
    <row r="16523">
      <c r="A16523" s="8" t="n"/>
      <c r="B16523" s="9" t="n"/>
    </row>
    <row r="16524">
      <c r="A16524" s="8" t="n"/>
      <c r="B16524" s="9" t="n"/>
    </row>
    <row r="16525">
      <c r="A16525" s="8" t="n"/>
      <c r="B16525" s="9" t="n"/>
    </row>
    <row r="16526">
      <c r="A16526" s="8" t="n"/>
      <c r="B16526" s="9" t="n"/>
    </row>
    <row r="16527">
      <c r="A16527" s="8" t="n"/>
      <c r="B16527" s="9" t="n"/>
    </row>
    <row r="16528">
      <c r="A16528" s="8" t="n"/>
      <c r="B16528" s="9" t="n"/>
    </row>
    <row r="16529">
      <c r="A16529" s="8" t="n"/>
      <c r="B16529" s="9" t="n"/>
    </row>
    <row r="16530">
      <c r="A16530" s="8" t="n"/>
      <c r="B16530" s="9" t="n"/>
    </row>
    <row r="16531">
      <c r="A16531" s="8" t="n"/>
      <c r="B16531" s="9" t="n"/>
    </row>
    <row r="16532">
      <c r="A16532" s="8" t="n"/>
      <c r="B16532" s="9" t="n"/>
    </row>
    <row r="16533">
      <c r="A16533" s="8" t="n"/>
      <c r="B16533" s="9" t="n"/>
    </row>
    <row r="16534">
      <c r="A16534" s="8" t="n"/>
      <c r="B16534" s="9" t="n"/>
    </row>
    <row r="16535">
      <c r="A16535" s="8" t="n"/>
      <c r="B16535" s="9" t="n"/>
    </row>
    <row r="16536">
      <c r="A16536" s="8" t="n"/>
      <c r="B16536" s="9" t="n"/>
    </row>
    <row r="16537">
      <c r="A16537" s="8" t="n"/>
      <c r="B16537" s="9" t="n"/>
    </row>
    <row r="16538">
      <c r="A16538" s="8" t="n"/>
      <c r="B16538" s="9" t="n"/>
    </row>
    <row r="16539">
      <c r="A16539" s="8" t="n"/>
      <c r="B16539" s="9" t="n"/>
    </row>
    <row r="16540">
      <c r="A16540" s="8" t="n"/>
      <c r="B16540" s="9" t="n"/>
    </row>
    <row r="16541">
      <c r="A16541" s="8" t="n"/>
      <c r="B16541" s="9" t="n"/>
    </row>
    <row r="16542">
      <c r="A16542" s="8" t="n"/>
      <c r="B16542" s="9" t="n"/>
    </row>
    <row r="16543">
      <c r="A16543" s="8" t="n"/>
      <c r="B16543" s="9" t="n"/>
    </row>
    <row r="16544">
      <c r="A16544" s="8" t="n"/>
      <c r="B16544" s="9" t="n"/>
    </row>
    <row r="16545">
      <c r="A16545" s="8" t="n"/>
      <c r="B16545" s="9" t="n"/>
    </row>
    <row r="16546">
      <c r="A16546" s="8" t="n"/>
      <c r="B16546" s="9" t="n"/>
    </row>
    <row r="16547">
      <c r="A16547" s="8" t="n"/>
      <c r="B16547" s="9" t="n"/>
    </row>
    <row r="16548">
      <c r="A16548" s="8" t="n"/>
      <c r="B16548" s="9" t="n"/>
    </row>
    <row r="16549">
      <c r="A16549" s="8" t="n"/>
      <c r="B16549" s="9" t="n"/>
    </row>
    <row r="16550">
      <c r="A16550" s="8" t="n"/>
      <c r="B16550" s="9" t="n"/>
    </row>
    <row r="16551">
      <c r="A16551" s="8" t="n"/>
      <c r="B16551" s="9" t="n"/>
    </row>
    <row r="16552">
      <c r="A16552" s="8" t="n"/>
      <c r="B16552" s="9" t="n"/>
    </row>
    <row r="16553">
      <c r="A16553" s="8" t="n"/>
      <c r="B16553" s="9" t="n"/>
    </row>
    <row r="16554">
      <c r="A16554" s="8" t="n"/>
      <c r="B16554" s="9" t="n"/>
    </row>
    <row r="16555">
      <c r="A16555" s="8" t="n"/>
      <c r="B16555" s="9" t="n"/>
    </row>
    <row r="16556">
      <c r="A16556" s="8" t="n"/>
      <c r="B16556" s="9" t="n"/>
    </row>
    <row r="16557">
      <c r="A16557" s="8" t="n"/>
      <c r="B16557" s="9" t="n"/>
    </row>
    <row r="16558">
      <c r="A16558" s="8" t="n"/>
      <c r="B16558" s="9" t="n"/>
    </row>
    <row r="16559">
      <c r="A16559" s="8" t="n"/>
      <c r="B16559" s="9" t="n"/>
    </row>
    <row r="16560">
      <c r="A16560" s="8" t="n"/>
      <c r="B16560" s="9" t="n"/>
    </row>
    <row r="16561">
      <c r="A16561" s="8" t="n"/>
      <c r="B16561" s="9" t="n"/>
    </row>
    <row r="16562">
      <c r="A16562" s="8" t="n"/>
      <c r="B16562" s="9" t="n"/>
    </row>
    <row r="16563">
      <c r="A16563" s="8" t="n"/>
      <c r="B16563" s="9" t="n"/>
    </row>
    <row r="16564">
      <c r="A16564" s="8" t="n"/>
      <c r="B16564" s="9" t="n"/>
    </row>
    <row r="16565">
      <c r="A16565" s="8" t="n"/>
      <c r="B16565" s="9" t="n"/>
    </row>
    <row r="16566">
      <c r="A16566" s="8" t="n"/>
      <c r="B16566" s="9" t="n"/>
    </row>
    <row r="16567">
      <c r="A16567" s="8" t="n"/>
      <c r="B16567" s="9" t="n"/>
    </row>
    <row r="16568">
      <c r="A16568" s="8" t="n"/>
      <c r="B16568" s="9" t="n"/>
    </row>
    <row r="16569">
      <c r="A16569" s="8" t="n"/>
      <c r="B16569" s="9" t="n"/>
    </row>
    <row r="16570">
      <c r="A16570" s="8" t="n"/>
      <c r="B16570" s="9" t="n"/>
    </row>
    <row r="16571">
      <c r="A16571" s="8" t="n"/>
      <c r="B16571" s="9" t="n"/>
    </row>
    <row r="16572">
      <c r="A16572" s="8" t="n"/>
      <c r="B16572" s="9" t="n"/>
    </row>
    <row r="16573">
      <c r="A16573" s="8" t="n"/>
      <c r="B16573" s="9" t="n"/>
    </row>
    <row r="16574">
      <c r="A16574" s="8" t="n"/>
      <c r="B16574" s="9" t="n"/>
    </row>
    <row r="16575">
      <c r="A16575" s="8" t="n"/>
      <c r="B16575" s="9" t="n"/>
    </row>
    <row r="16576">
      <c r="A16576" s="8" t="n"/>
      <c r="B16576" s="9" t="n"/>
    </row>
    <row r="16577">
      <c r="A16577" s="8" t="n"/>
      <c r="B16577" s="9" t="n"/>
    </row>
    <row r="16578">
      <c r="A16578" s="8" t="n"/>
      <c r="B16578" s="9" t="n"/>
    </row>
    <row r="16579">
      <c r="A16579" s="8" t="n"/>
      <c r="B16579" s="9" t="n"/>
    </row>
    <row r="16580">
      <c r="A16580" s="8" t="n"/>
      <c r="B16580" s="9" t="n"/>
    </row>
    <row r="16581">
      <c r="A16581" s="8" t="n"/>
      <c r="B16581" s="9" t="n"/>
    </row>
    <row r="16582">
      <c r="A16582" s="8" t="n"/>
      <c r="B16582" s="9" t="n"/>
    </row>
    <row r="16583">
      <c r="A16583" s="8" t="n"/>
      <c r="B16583" s="9" t="n"/>
    </row>
    <row r="16584">
      <c r="A16584" s="8" t="n"/>
      <c r="B16584" s="9" t="n"/>
    </row>
    <row r="16585">
      <c r="A16585" s="8" t="n"/>
      <c r="B16585" s="9" t="n"/>
    </row>
    <row r="16586">
      <c r="A16586" s="8" t="n"/>
      <c r="B16586" s="9" t="n"/>
    </row>
    <row r="16587">
      <c r="A16587" s="8" t="n"/>
      <c r="B16587" s="9" t="n"/>
    </row>
    <row r="16588">
      <c r="A16588" s="8" t="n"/>
      <c r="B16588" s="9" t="n"/>
    </row>
    <row r="16589">
      <c r="A16589" s="8" t="n"/>
      <c r="B16589" s="9" t="n"/>
    </row>
    <row r="16590">
      <c r="A16590" s="8" t="n"/>
      <c r="B16590" s="9" t="n"/>
    </row>
    <row r="16591">
      <c r="A16591" s="8" t="n"/>
      <c r="B16591" s="9" t="n"/>
    </row>
    <row r="16592">
      <c r="A16592" s="8" t="n"/>
      <c r="B16592" s="9" t="n"/>
    </row>
    <row r="16593">
      <c r="A16593" s="8" t="n"/>
      <c r="B16593" s="9" t="n"/>
    </row>
    <row r="16594">
      <c r="A16594" s="8" t="n"/>
      <c r="B16594" s="9" t="n"/>
    </row>
    <row r="16595">
      <c r="A16595" s="8" t="n"/>
      <c r="B16595" s="9" t="n"/>
    </row>
    <row r="16596">
      <c r="A16596" s="8" t="n"/>
      <c r="B16596" s="9" t="n"/>
    </row>
    <row r="16597">
      <c r="A16597" s="8" t="n"/>
      <c r="B16597" s="9" t="n"/>
    </row>
    <row r="16598">
      <c r="A16598" s="8" t="n"/>
      <c r="B16598" s="9" t="n"/>
    </row>
    <row r="16599">
      <c r="A16599" s="8" t="n"/>
      <c r="B16599" s="9" t="n"/>
    </row>
    <row r="16600">
      <c r="A16600" s="8" t="n"/>
      <c r="B16600" s="9" t="n"/>
    </row>
    <row r="16601">
      <c r="A16601" s="8" t="n"/>
      <c r="B16601" s="9" t="n"/>
    </row>
    <row r="16602">
      <c r="A16602" s="8" t="n"/>
      <c r="B16602" s="9" t="n"/>
    </row>
    <row r="16603">
      <c r="A16603" s="8" t="n"/>
      <c r="B16603" s="9" t="n"/>
    </row>
    <row r="16604">
      <c r="A16604" s="8" t="n"/>
      <c r="B16604" s="9" t="n"/>
    </row>
    <row r="16605">
      <c r="A16605" s="8" t="n"/>
      <c r="B16605" s="9" t="n"/>
    </row>
    <row r="16606">
      <c r="A16606" s="8" t="n"/>
      <c r="B16606" s="9" t="n"/>
    </row>
    <row r="16607">
      <c r="A16607" s="8" t="n"/>
      <c r="B16607" s="9" t="n"/>
    </row>
    <row r="16608">
      <c r="A16608" s="8" t="n"/>
      <c r="B16608" s="9" t="n"/>
    </row>
    <row r="16609">
      <c r="A16609" s="8" t="n"/>
      <c r="B16609" s="9" t="n"/>
    </row>
    <row r="16610">
      <c r="A16610" s="8" t="n"/>
      <c r="B16610" s="9" t="n"/>
    </row>
    <row r="16611">
      <c r="A16611" s="8" t="n"/>
      <c r="B16611" s="9" t="n"/>
    </row>
    <row r="16612">
      <c r="A16612" s="8" t="n"/>
      <c r="B16612" s="9" t="n"/>
    </row>
    <row r="16613">
      <c r="A16613" s="8" t="n"/>
      <c r="B16613" s="9" t="n"/>
    </row>
    <row r="16614">
      <c r="A16614" s="8" t="n"/>
      <c r="B16614" s="9" t="n"/>
    </row>
    <row r="16615">
      <c r="A16615" s="8" t="n"/>
      <c r="B16615" s="9" t="n"/>
    </row>
    <row r="16616">
      <c r="A16616" s="8" t="n"/>
      <c r="B16616" s="9" t="n"/>
    </row>
    <row r="16617">
      <c r="A16617" s="8" t="n"/>
      <c r="B16617" s="9" t="n"/>
    </row>
    <row r="16618">
      <c r="A16618" s="8" t="n"/>
      <c r="B16618" s="9" t="n"/>
    </row>
    <row r="16619">
      <c r="A16619" s="8" t="n"/>
      <c r="B16619" s="9" t="n"/>
    </row>
    <row r="16620">
      <c r="A16620" s="8" t="n"/>
      <c r="B16620" s="9" t="n"/>
    </row>
    <row r="16621">
      <c r="A16621" s="8" t="n"/>
      <c r="B16621" s="9" t="n"/>
    </row>
    <row r="16622">
      <c r="A16622" s="8" t="n"/>
      <c r="B16622" s="9" t="n"/>
    </row>
    <row r="16623">
      <c r="A16623" s="8" t="n"/>
      <c r="B16623" s="9" t="n"/>
    </row>
    <row r="16624">
      <c r="A16624" s="8" t="n"/>
      <c r="B16624" s="9" t="n"/>
    </row>
    <row r="16625">
      <c r="A16625" s="8" t="n"/>
      <c r="B16625" s="9" t="n"/>
    </row>
    <row r="16626">
      <c r="A16626" s="8" t="n"/>
      <c r="B16626" s="9" t="n"/>
    </row>
    <row r="16627">
      <c r="A16627" s="8" t="n"/>
      <c r="B16627" s="9" t="n"/>
    </row>
    <row r="16628">
      <c r="A16628" s="8" t="n"/>
      <c r="B16628" s="9" t="n"/>
    </row>
    <row r="16629">
      <c r="A16629" s="8" t="n"/>
      <c r="B16629" s="9" t="n"/>
    </row>
    <row r="16630">
      <c r="A16630" s="8" t="n"/>
      <c r="B16630" s="9" t="n"/>
    </row>
    <row r="16631">
      <c r="A16631" s="8" t="n"/>
      <c r="B16631" s="9" t="n"/>
    </row>
    <row r="16632">
      <c r="A16632" s="8" t="n"/>
      <c r="B16632" s="9" t="n"/>
    </row>
    <row r="16633">
      <c r="A16633" s="8" t="n"/>
      <c r="B16633" s="9" t="n"/>
    </row>
    <row r="16634">
      <c r="A16634" s="8" t="n"/>
      <c r="B16634" s="9" t="n"/>
    </row>
    <row r="16635">
      <c r="A16635" s="8" t="n"/>
      <c r="B16635" s="9" t="n"/>
    </row>
    <row r="16636">
      <c r="A16636" s="8" t="n"/>
      <c r="B16636" s="9" t="n"/>
    </row>
    <row r="16637">
      <c r="A16637" s="8" t="n"/>
      <c r="B16637" s="9" t="n"/>
    </row>
    <row r="16638">
      <c r="A16638" s="8" t="n"/>
      <c r="B16638" s="9" t="n"/>
    </row>
    <row r="16639">
      <c r="A16639" s="8" t="n"/>
      <c r="B16639" s="9" t="n"/>
    </row>
    <row r="16640">
      <c r="A16640" s="8" t="n"/>
      <c r="B16640" s="9" t="n"/>
    </row>
    <row r="16641">
      <c r="A16641" s="8" t="n"/>
      <c r="B16641" s="9" t="n"/>
    </row>
    <row r="16642">
      <c r="A16642" s="8" t="n"/>
      <c r="B16642" s="9" t="n"/>
    </row>
    <row r="16643">
      <c r="A16643" s="8" t="n"/>
      <c r="B16643" s="9" t="n"/>
    </row>
    <row r="16644">
      <c r="A16644" s="8" t="n"/>
      <c r="B16644" s="9" t="n"/>
    </row>
    <row r="16645">
      <c r="A16645" s="8" t="n"/>
      <c r="B16645" s="9" t="n"/>
    </row>
    <row r="16646">
      <c r="A16646" s="8" t="n"/>
      <c r="B16646" s="9" t="n"/>
    </row>
    <row r="16647">
      <c r="A16647" s="8" t="n"/>
      <c r="B16647" s="9" t="n"/>
    </row>
    <row r="16648">
      <c r="A16648" s="8" t="n"/>
      <c r="B16648" s="9" t="n"/>
    </row>
    <row r="16649">
      <c r="A16649" s="8" t="n"/>
      <c r="B16649" s="9" t="n"/>
    </row>
    <row r="16650">
      <c r="A16650" s="8" t="n"/>
      <c r="B16650" s="9" t="n"/>
    </row>
    <row r="16651">
      <c r="A16651" s="8" t="n"/>
      <c r="B16651" s="9" t="n"/>
    </row>
    <row r="16652">
      <c r="A16652" s="8" t="n"/>
      <c r="B16652" s="9" t="n"/>
    </row>
    <row r="16653">
      <c r="A16653" s="8" t="n"/>
      <c r="B16653" s="9" t="n"/>
    </row>
    <row r="16654">
      <c r="A16654" s="8" t="n"/>
      <c r="B16654" s="9" t="n"/>
    </row>
    <row r="16655">
      <c r="A16655" s="8" t="n"/>
      <c r="B16655" s="9" t="n"/>
    </row>
    <row r="16656">
      <c r="A16656" s="8" t="n"/>
      <c r="B16656" s="9" t="n"/>
    </row>
    <row r="16657">
      <c r="A16657" s="8" t="n"/>
      <c r="B16657" s="9" t="n"/>
    </row>
    <row r="16658">
      <c r="A16658" s="8" t="n"/>
      <c r="B16658" s="9" t="n"/>
    </row>
    <row r="16659">
      <c r="A16659" s="8" t="n"/>
      <c r="B16659" s="9" t="n"/>
    </row>
    <row r="16660">
      <c r="A16660" s="8" t="n"/>
      <c r="B16660" s="9" t="n"/>
    </row>
    <row r="16661">
      <c r="A16661" s="8" t="n"/>
      <c r="B16661" s="9" t="n"/>
    </row>
    <row r="16662">
      <c r="A16662" s="8" t="n"/>
      <c r="B16662" s="9" t="n"/>
    </row>
    <row r="16663">
      <c r="A16663" s="8" t="n"/>
      <c r="B16663" s="9" t="n"/>
    </row>
    <row r="16664">
      <c r="A16664" s="8" t="n"/>
      <c r="B16664" s="9" t="n"/>
    </row>
    <row r="16665">
      <c r="A16665" s="8" t="n"/>
      <c r="B16665" s="9" t="n"/>
    </row>
    <row r="16666">
      <c r="A16666" s="8" t="n"/>
      <c r="B16666" s="9" t="n"/>
    </row>
    <row r="16667">
      <c r="A16667" s="8" t="n"/>
      <c r="B16667" s="9" t="n"/>
    </row>
    <row r="16668">
      <c r="A16668" s="8" t="n"/>
      <c r="B16668" s="9" t="n"/>
    </row>
    <row r="16669">
      <c r="A16669" s="8" t="n"/>
      <c r="B16669" s="9" t="n"/>
    </row>
    <row r="16670">
      <c r="A16670" s="8" t="n"/>
      <c r="B16670" s="9" t="n"/>
    </row>
    <row r="16671">
      <c r="A16671" s="8" t="n"/>
      <c r="B16671" s="9" t="n"/>
    </row>
    <row r="16672">
      <c r="A16672" s="8" t="n"/>
      <c r="B16672" s="9" t="n"/>
    </row>
    <row r="16673">
      <c r="A16673" s="8" t="n"/>
      <c r="B16673" s="9" t="n"/>
    </row>
    <row r="16674">
      <c r="A16674" s="8" t="n"/>
      <c r="B16674" s="9" t="n"/>
    </row>
    <row r="16675">
      <c r="A16675" s="8" t="n"/>
      <c r="B16675" s="9" t="n"/>
    </row>
    <row r="16676">
      <c r="A16676" s="8" t="n"/>
      <c r="B16676" s="9" t="n"/>
    </row>
    <row r="16677">
      <c r="A16677" s="8" t="n"/>
      <c r="B16677" s="9" t="n"/>
    </row>
    <row r="16678">
      <c r="A16678" s="8" t="n"/>
      <c r="B16678" s="9" t="n"/>
    </row>
    <row r="16679">
      <c r="A16679" s="8" t="n"/>
      <c r="B16679" s="9" t="n"/>
    </row>
    <row r="16680">
      <c r="A16680" s="8" t="n"/>
      <c r="B16680" s="9" t="n"/>
    </row>
    <row r="16681">
      <c r="A16681" s="8" t="n"/>
      <c r="B16681" s="9" t="n"/>
    </row>
    <row r="16682">
      <c r="A16682" s="8" t="n"/>
      <c r="B16682" s="9" t="n"/>
    </row>
    <row r="16683">
      <c r="A16683" s="8" t="n"/>
      <c r="B16683" s="9" t="n"/>
    </row>
    <row r="16684">
      <c r="A16684" s="8" t="n"/>
      <c r="B16684" s="9" t="n"/>
    </row>
    <row r="16685">
      <c r="A16685" s="8" t="n"/>
      <c r="B16685" s="9" t="n"/>
    </row>
    <row r="16686">
      <c r="A16686" s="8" t="n"/>
      <c r="B16686" s="9" t="n"/>
    </row>
    <row r="16687">
      <c r="A16687" s="8" t="n"/>
      <c r="B16687" s="9" t="n"/>
    </row>
    <row r="16688">
      <c r="A16688" s="8" t="n"/>
      <c r="B16688" s="9" t="n"/>
    </row>
    <row r="16689">
      <c r="A16689" s="8" t="n"/>
      <c r="B16689" s="9" t="n"/>
    </row>
    <row r="16690">
      <c r="A16690" s="8" t="n"/>
      <c r="B16690" s="9" t="n"/>
    </row>
    <row r="16691">
      <c r="A16691" s="8" t="n"/>
      <c r="B16691" s="9" t="n"/>
    </row>
    <row r="16692">
      <c r="A16692" s="8" t="n"/>
      <c r="B16692" s="9" t="n"/>
    </row>
    <row r="16693">
      <c r="A16693" s="8" t="n"/>
      <c r="B16693" s="9" t="n"/>
    </row>
    <row r="16694">
      <c r="A16694" s="8" t="n"/>
      <c r="B16694" s="9" t="n"/>
    </row>
    <row r="16695">
      <c r="A16695" s="8" t="n"/>
      <c r="B16695" s="9" t="n"/>
    </row>
    <row r="16696">
      <c r="A16696" s="8" t="n"/>
      <c r="B16696" s="9" t="n"/>
    </row>
    <row r="16697">
      <c r="A16697" s="8" t="n"/>
      <c r="B16697" s="9" t="n"/>
    </row>
    <row r="16698">
      <c r="A16698" s="8" t="n"/>
      <c r="B16698" s="9" t="n"/>
    </row>
    <row r="16699">
      <c r="A16699" s="8" t="n"/>
      <c r="B16699" s="9" t="n"/>
    </row>
    <row r="16700">
      <c r="A16700" s="8" t="n"/>
      <c r="B16700" s="9" t="n"/>
    </row>
    <row r="16701">
      <c r="A16701" s="8" t="n"/>
      <c r="B16701" s="9" t="n"/>
    </row>
    <row r="16702">
      <c r="A16702" s="8" t="n"/>
      <c r="B16702" s="9" t="n"/>
    </row>
    <row r="16703">
      <c r="A16703" s="8" t="n"/>
      <c r="B16703" s="9" t="n"/>
    </row>
    <row r="16704">
      <c r="A16704" s="8" t="n"/>
      <c r="B16704" s="9" t="n"/>
    </row>
    <row r="16705">
      <c r="A16705" s="8" t="n"/>
      <c r="B16705" s="9" t="n"/>
    </row>
    <row r="16706">
      <c r="A16706" s="8" t="n"/>
      <c r="B16706" s="9" t="n"/>
    </row>
    <row r="16707">
      <c r="A16707" s="8" t="n"/>
      <c r="B16707" s="9" t="n"/>
    </row>
    <row r="16708">
      <c r="A16708" s="8" t="n"/>
      <c r="B16708" s="9" t="n"/>
    </row>
    <row r="16709">
      <c r="A16709" s="8" t="n"/>
      <c r="B16709" s="9" t="n"/>
    </row>
    <row r="16710">
      <c r="A16710" s="8" t="n"/>
      <c r="B16710" s="9" t="n"/>
    </row>
    <row r="16711">
      <c r="A16711" s="8" t="n"/>
      <c r="B16711" s="9" t="n"/>
    </row>
    <row r="16712">
      <c r="A16712" s="8" t="n"/>
      <c r="B16712" s="9" t="n"/>
    </row>
    <row r="16713">
      <c r="A16713" s="8" t="n"/>
      <c r="B16713" s="9" t="n"/>
    </row>
    <row r="16714">
      <c r="A16714" s="8" t="n"/>
      <c r="B16714" s="9" t="n"/>
    </row>
    <row r="16715">
      <c r="A16715" s="8" t="n"/>
      <c r="B16715" s="9" t="n"/>
    </row>
    <row r="16716">
      <c r="A16716" s="8" t="n"/>
      <c r="B16716" s="9" t="n"/>
    </row>
    <row r="16717">
      <c r="A16717" s="8" t="n"/>
      <c r="B16717" s="9" t="n"/>
    </row>
    <row r="16718">
      <c r="A16718" s="8" t="n"/>
      <c r="B16718" s="9" t="n"/>
    </row>
    <row r="16719">
      <c r="A16719" s="8" t="n"/>
      <c r="B16719" s="9" t="n"/>
    </row>
    <row r="16720">
      <c r="A16720" s="8" t="n"/>
      <c r="B16720" s="9" t="n"/>
    </row>
    <row r="16721">
      <c r="A16721" s="8" t="n"/>
      <c r="B16721" s="9" t="n"/>
    </row>
    <row r="16722">
      <c r="A16722" s="8" t="n"/>
      <c r="B16722" s="9" t="n"/>
    </row>
    <row r="16723">
      <c r="A16723" s="8" t="n"/>
      <c r="B16723" s="9" t="n"/>
    </row>
    <row r="16724">
      <c r="A16724" s="8" t="n"/>
      <c r="B16724" s="9" t="n"/>
    </row>
    <row r="16725">
      <c r="A16725" s="8" t="n"/>
      <c r="B16725" s="9" t="n"/>
    </row>
    <row r="16726">
      <c r="A16726" s="8" t="n"/>
      <c r="B16726" s="9" t="n"/>
    </row>
    <row r="16727">
      <c r="A16727" s="8" t="n"/>
      <c r="B16727" s="9" t="n"/>
    </row>
    <row r="16728">
      <c r="A16728" s="8" t="n"/>
      <c r="B16728" s="9" t="n"/>
    </row>
    <row r="16729">
      <c r="A16729" s="8" t="n"/>
      <c r="B16729" s="9" t="n"/>
    </row>
    <row r="16730">
      <c r="A16730" s="8" t="n"/>
      <c r="B16730" s="9" t="n"/>
    </row>
    <row r="16731">
      <c r="A16731" s="8" t="n"/>
      <c r="B16731" s="9" t="n"/>
    </row>
    <row r="16732">
      <c r="A16732" s="8" t="n"/>
      <c r="B16732" s="9" t="n"/>
    </row>
    <row r="16733">
      <c r="A16733" s="8" t="n"/>
      <c r="B16733" s="9" t="n"/>
    </row>
    <row r="16734">
      <c r="A16734" s="8" t="n"/>
      <c r="B16734" s="9" t="n"/>
    </row>
    <row r="16735">
      <c r="A16735" s="8" t="n"/>
      <c r="B16735" s="9" t="n"/>
    </row>
    <row r="16736">
      <c r="A16736" s="8" t="n"/>
      <c r="B16736" s="9" t="n"/>
    </row>
    <row r="16737">
      <c r="A16737" s="8" t="n"/>
      <c r="B16737" s="9" t="n"/>
    </row>
    <row r="16738">
      <c r="A16738" s="8" t="n"/>
      <c r="B16738" s="9" t="n"/>
    </row>
    <row r="16739">
      <c r="A16739" s="8" t="n"/>
      <c r="B16739" s="9" t="n"/>
    </row>
    <row r="16740">
      <c r="A16740" s="8" t="n"/>
      <c r="B16740" s="9" t="n"/>
    </row>
    <row r="16741">
      <c r="A16741" s="8" t="n"/>
      <c r="B16741" s="9" t="n"/>
    </row>
    <row r="16742">
      <c r="A16742" s="8" t="n"/>
      <c r="B16742" s="9" t="n"/>
    </row>
    <row r="16743">
      <c r="A16743" s="8" t="n"/>
      <c r="B16743" s="9" t="n"/>
    </row>
    <row r="16744">
      <c r="A16744" s="8" t="n"/>
      <c r="B16744" s="9" t="n"/>
    </row>
    <row r="16745">
      <c r="A16745" s="8" t="n"/>
      <c r="B16745" s="9" t="n"/>
    </row>
    <row r="16746">
      <c r="A16746" s="8" t="n"/>
      <c r="B16746" s="9" t="n"/>
    </row>
    <row r="16747">
      <c r="A16747" s="8" t="n"/>
      <c r="B16747" s="9" t="n"/>
    </row>
    <row r="16748">
      <c r="A16748" s="8" t="n"/>
      <c r="B16748" s="9" t="n"/>
    </row>
    <row r="16749">
      <c r="A16749" s="8" t="n"/>
      <c r="B16749" s="9" t="n"/>
    </row>
    <row r="16750">
      <c r="A16750" s="8" t="n"/>
      <c r="B16750" s="9" t="n"/>
    </row>
    <row r="16751">
      <c r="A16751" s="8" t="n"/>
      <c r="B16751" s="9" t="n"/>
    </row>
    <row r="16752">
      <c r="A16752" s="8" t="n"/>
      <c r="B16752" s="9" t="n"/>
    </row>
    <row r="16753">
      <c r="A16753" s="8" t="n"/>
      <c r="B16753" s="9" t="n"/>
    </row>
    <row r="16754">
      <c r="A16754" s="8" t="n"/>
      <c r="B16754" s="9" t="n"/>
    </row>
    <row r="16755">
      <c r="A16755" s="8" t="n"/>
      <c r="B16755" s="9" t="n"/>
    </row>
    <row r="16756">
      <c r="A16756" s="8" t="n"/>
      <c r="B16756" s="9" t="n"/>
    </row>
    <row r="16757">
      <c r="A16757" s="8" t="n"/>
      <c r="B16757" s="9" t="n"/>
    </row>
    <row r="16758">
      <c r="A16758" s="8" t="n"/>
      <c r="B16758" s="9" t="n"/>
    </row>
    <row r="16759">
      <c r="A16759" s="8" t="n"/>
      <c r="B16759" s="9" t="n"/>
    </row>
    <row r="16760">
      <c r="A16760" s="8" t="n"/>
      <c r="B16760" s="9" t="n"/>
    </row>
    <row r="16761">
      <c r="A16761" s="8" t="n"/>
      <c r="B16761" s="9" t="n"/>
    </row>
    <row r="16762">
      <c r="A16762" s="8" t="n"/>
      <c r="B16762" s="9" t="n"/>
    </row>
    <row r="16763">
      <c r="A16763" s="8" t="n"/>
      <c r="B16763" s="9" t="n"/>
    </row>
    <row r="16764">
      <c r="A16764" s="8" t="n"/>
      <c r="B16764" s="9" t="n"/>
    </row>
    <row r="16765">
      <c r="A16765" s="8" t="n"/>
      <c r="B16765" s="9" t="n"/>
    </row>
    <row r="16766">
      <c r="A16766" s="8" t="n"/>
      <c r="B16766" s="9" t="n"/>
    </row>
    <row r="16767">
      <c r="A16767" s="8" t="n"/>
      <c r="B16767" s="9" t="n"/>
    </row>
    <row r="16768">
      <c r="A16768" s="8" t="n"/>
      <c r="B16768" s="9" t="n"/>
    </row>
    <row r="16769">
      <c r="A16769" s="8" t="n"/>
      <c r="B16769" s="9" t="n"/>
    </row>
    <row r="16770">
      <c r="A16770" s="8" t="n"/>
      <c r="B16770" s="9" t="n"/>
    </row>
    <row r="16771">
      <c r="A16771" s="8" t="n"/>
      <c r="B16771" s="9" t="n"/>
    </row>
    <row r="16772">
      <c r="A16772" s="8" t="n"/>
      <c r="B16772" s="9" t="n"/>
    </row>
    <row r="16773">
      <c r="A16773" s="8" t="n"/>
      <c r="B16773" s="9" t="n"/>
    </row>
    <row r="16774">
      <c r="A16774" s="8" t="n"/>
      <c r="B16774" s="9" t="n"/>
    </row>
    <row r="16775">
      <c r="A16775" s="8" t="n"/>
      <c r="B16775" s="9" t="n"/>
    </row>
    <row r="16776">
      <c r="A16776" s="8" t="n"/>
      <c r="B16776" s="9" t="n"/>
    </row>
    <row r="16777">
      <c r="A16777" s="8" t="n"/>
      <c r="B16777" s="9" t="n"/>
    </row>
    <row r="16778">
      <c r="A16778" s="8" t="n"/>
      <c r="B16778" s="9" t="n"/>
    </row>
    <row r="16779">
      <c r="A16779" s="8" t="n"/>
      <c r="B16779" s="9" t="n"/>
    </row>
    <row r="16780">
      <c r="A16780" s="8" t="n"/>
      <c r="B16780" s="9" t="n"/>
    </row>
    <row r="16781">
      <c r="A16781" s="8" t="n"/>
      <c r="B16781" s="9" t="n"/>
    </row>
    <row r="16782">
      <c r="A16782" s="8" t="n"/>
      <c r="B16782" s="9" t="n"/>
    </row>
    <row r="16783">
      <c r="A16783" s="8" t="n"/>
      <c r="B16783" s="9" t="n"/>
    </row>
    <row r="16784">
      <c r="A16784" s="8" t="n"/>
      <c r="B16784" s="9" t="n"/>
    </row>
    <row r="16785">
      <c r="A16785" s="8" t="n"/>
      <c r="B16785" s="9" t="n"/>
    </row>
    <row r="16786">
      <c r="A16786" s="8" t="n"/>
      <c r="B16786" s="9" t="n"/>
    </row>
    <row r="16787">
      <c r="A16787" s="8" t="n"/>
      <c r="B16787" s="9" t="n"/>
    </row>
    <row r="16788">
      <c r="A16788" s="8" t="n"/>
      <c r="B16788" s="9" t="n"/>
    </row>
    <row r="16789">
      <c r="A16789" s="8" t="n"/>
      <c r="B16789" s="9" t="n"/>
    </row>
    <row r="16790">
      <c r="A16790" s="8" t="n"/>
      <c r="B16790" s="9" t="n"/>
    </row>
    <row r="16791">
      <c r="A16791" s="8" t="n"/>
      <c r="B16791" s="9" t="n"/>
    </row>
    <row r="16792">
      <c r="A16792" s="8" t="n"/>
      <c r="B16792" s="9" t="n"/>
    </row>
    <row r="16793">
      <c r="A16793" s="8" t="n"/>
      <c r="B16793" s="9" t="n"/>
    </row>
    <row r="16794">
      <c r="A16794" s="8" t="n"/>
      <c r="B16794" s="9" t="n"/>
    </row>
    <row r="16795">
      <c r="A16795" s="8" t="n"/>
      <c r="B16795" s="9" t="n"/>
    </row>
    <row r="16796">
      <c r="A16796" s="8" t="n"/>
      <c r="B16796" s="9" t="n"/>
    </row>
    <row r="16797">
      <c r="A16797" s="8" t="n"/>
      <c r="B16797" s="9" t="n"/>
    </row>
    <row r="16798">
      <c r="A16798" s="8" t="n"/>
      <c r="B16798" s="9" t="n"/>
    </row>
    <row r="16799">
      <c r="A16799" s="8" t="n"/>
      <c r="B16799" s="9" t="n"/>
    </row>
    <row r="16800">
      <c r="A16800" s="8" t="n"/>
      <c r="B16800" s="9" t="n"/>
    </row>
    <row r="16801">
      <c r="A16801" s="8" t="n"/>
      <c r="B16801" s="9" t="n"/>
    </row>
    <row r="16802">
      <c r="A16802" s="8" t="n"/>
      <c r="B16802" s="9" t="n"/>
    </row>
    <row r="16803">
      <c r="A16803" s="8" t="n"/>
      <c r="B16803" s="9" t="n"/>
    </row>
    <row r="16804">
      <c r="A16804" s="8" t="n"/>
      <c r="B16804" s="9" t="n"/>
    </row>
    <row r="16805">
      <c r="A16805" s="8" t="n"/>
      <c r="B16805" s="9" t="n"/>
    </row>
    <row r="16806">
      <c r="A16806" s="8" t="n"/>
      <c r="B16806" s="9" t="n"/>
    </row>
    <row r="16807">
      <c r="A16807" s="8" t="n"/>
      <c r="B16807" s="9" t="n"/>
    </row>
    <row r="16808">
      <c r="A16808" s="8" t="n"/>
      <c r="B16808" s="9" t="n"/>
    </row>
    <row r="16809">
      <c r="A16809" s="8" t="n"/>
      <c r="B16809" s="9" t="n"/>
    </row>
    <row r="16810">
      <c r="A16810" s="8" t="n"/>
      <c r="B16810" s="9" t="n"/>
    </row>
    <row r="16811">
      <c r="A16811" s="8" t="n"/>
      <c r="B16811" s="9" t="n"/>
    </row>
    <row r="16812">
      <c r="A16812" s="8" t="n"/>
      <c r="B16812" s="9" t="n"/>
    </row>
    <row r="16813">
      <c r="A16813" s="8" t="n"/>
      <c r="B16813" s="9" t="n"/>
    </row>
    <row r="16814">
      <c r="A16814" s="8" t="n"/>
      <c r="B16814" s="9" t="n"/>
    </row>
    <row r="16815">
      <c r="A16815" s="8" t="n"/>
      <c r="B16815" s="9" t="n"/>
    </row>
    <row r="16816">
      <c r="A16816" s="8" t="n"/>
      <c r="B16816" s="9" t="n"/>
    </row>
    <row r="16817">
      <c r="A16817" s="8" t="n"/>
      <c r="B16817" s="9" t="n"/>
    </row>
    <row r="16818">
      <c r="A16818" s="8" t="n"/>
      <c r="B16818" s="9" t="n"/>
    </row>
    <row r="16819">
      <c r="A16819" s="8" t="n"/>
      <c r="B16819" s="9" t="n"/>
    </row>
    <row r="16820">
      <c r="A16820" s="8" t="n"/>
      <c r="B16820" s="9" t="n"/>
    </row>
    <row r="16821">
      <c r="A16821" s="8" t="n"/>
      <c r="B16821" s="9" t="n"/>
    </row>
    <row r="16822">
      <c r="A16822" s="8" t="n"/>
      <c r="B16822" s="9" t="n"/>
    </row>
    <row r="16823">
      <c r="A16823" s="8" t="n"/>
      <c r="B16823" s="9" t="n"/>
    </row>
    <row r="16824">
      <c r="A16824" s="8" t="n"/>
      <c r="B16824" s="9" t="n"/>
    </row>
    <row r="16825">
      <c r="A16825" s="8" t="n"/>
      <c r="B16825" s="9" t="n"/>
    </row>
    <row r="16826">
      <c r="A16826" s="8" t="n"/>
      <c r="B16826" s="9" t="n"/>
    </row>
    <row r="16827">
      <c r="A16827" s="8" t="n"/>
      <c r="B16827" s="9" t="n"/>
    </row>
    <row r="16828">
      <c r="A16828" s="8" t="n"/>
      <c r="B16828" s="9" t="n"/>
    </row>
    <row r="16829">
      <c r="A16829" s="8" t="n"/>
      <c r="B16829" s="9" t="n"/>
    </row>
    <row r="16830">
      <c r="A16830" s="8" t="n"/>
      <c r="B16830" s="9" t="n"/>
    </row>
    <row r="16831">
      <c r="A16831" s="8" t="n"/>
      <c r="B16831" s="9" t="n"/>
    </row>
    <row r="16832">
      <c r="A16832" s="8" t="n"/>
      <c r="B16832" s="9" t="n"/>
    </row>
    <row r="16833">
      <c r="A16833" s="8" t="n"/>
      <c r="B16833" s="9" t="n"/>
    </row>
    <row r="16834">
      <c r="A16834" s="8" t="n"/>
      <c r="B16834" s="9" t="n"/>
    </row>
    <row r="16835">
      <c r="A16835" s="8" t="n"/>
      <c r="B16835" s="9" t="n"/>
    </row>
    <row r="16836">
      <c r="A16836" s="8" t="n"/>
      <c r="B16836" s="9" t="n"/>
    </row>
    <row r="16837">
      <c r="A16837" s="8" t="n"/>
      <c r="B16837" s="9" t="n"/>
    </row>
    <row r="16838">
      <c r="A16838" s="8" t="n"/>
      <c r="B16838" s="9" t="n"/>
    </row>
    <row r="16839">
      <c r="A16839" s="8" t="n"/>
      <c r="B16839" s="9" t="n"/>
    </row>
    <row r="16840">
      <c r="A16840" s="8" t="n"/>
      <c r="B16840" s="9" t="n"/>
    </row>
    <row r="16841">
      <c r="A16841" s="8" t="n"/>
      <c r="B16841" s="9" t="n"/>
    </row>
    <row r="16842">
      <c r="A16842" s="8" t="n"/>
      <c r="B16842" s="9" t="n"/>
    </row>
    <row r="16843">
      <c r="A16843" s="8" t="n"/>
      <c r="B16843" s="9" t="n"/>
    </row>
    <row r="16844">
      <c r="A16844" s="8" t="n"/>
      <c r="B16844" s="9" t="n"/>
    </row>
    <row r="16845">
      <c r="A16845" s="8" t="n"/>
      <c r="B16845" s="9" t="n"/>
    </row>
    <row r="16846">
      <c r="A16846" s="8" t="n"/>
      <c r="B16846" s="9" t="n"/>
    </row>
    <row r="16847">
      <c r="A16847" s="8" t="n"/>
      <c r="B16847" s="9" t="n"/>
    </row>
    <row r="16848">
      <c r="A16848" s="8" t="n"/>
      <c r="B16848" s="9" t="n"/>
    </row>
    <row r="16849">
      <c r="A16849" s="8" t="n"/>
      <c r="B16849" s="9" t="n"/>
    </row>
    <row r="16850">
      <c r="A16850" s="8" t="n"/>
      <c r="B16850" s="9" t="n"/>
    </row>
    <row r="16851">
      <c r="A16851" s="8" t="n"/>
      <c r="B16851" s="9" t="n"/>
    </row>
    <row r="16852">
      <c r="A16852" s="8" t="n"/>
      <c r="B16852" s="9" t="n"/>
    </row>
    <row r="16853">
      <c r="A16853" s="8" t="n"/>
      <c r="B16853" s="9" t="n"/>
    </row>
    <row r="16854">
      <c r="A16854" s="8" t="n"/>
      <c r="B16854" s="9" t="n"/>
    </row>
    <row r="16855">
      <c r="A16855" s="8" t="n"/>
      <c r="B16855" s="9" t="n"/>
    </row>
    <row r="16856">
      <c r="A16856" s="8" t="n"/>
      <c r="B16856" s="9" t="n"/>
    </row>
    <row r="16857">
      <c r="A16857" s="8" t="n"/>
      <c r="B16857" s="9" t="n"/>
    </row>
    <row r="16858">
      <c r="A16858" s="8" t="n"/>
      <c r="B16858" s="9" t="n"/>
    </row>
    <row r="16859">
      <c r="A16859" s="8" t="n"/>
      <c r="B16859" s="9" t="n"/>
    </row>
    <row r="16860">
      <c r="A16860" s="8" t="n"/>
      <c r="B16860" s="9" t="n"/>
    </row>
    <row r="16861">
      <c r="A16861" s="8" t="n"/>
      <c r="B16861" s="9" t="n"/>
    </row>
    <row r="16862">
      <c r="A16862" s="8" t="n"/>
      <c r="B16862" s="9" t="n"/>
    </row>
    <row r="16863">
      <c r="A16863" s="8" t="n"/>
      <c r="B16863" s="9" t="n"/>
    </row>
    <row r="16864">
      <c r="A16864" s="8" t="n"/>
      <c r="B16864" s="9" t="n"/>
    </row>
    <row r="16865">
      <c r="A16865" s="8" t="n"/>
      <c r="B16865" s="9" t="n"/>
    </row>
    <row r="16866">
      <c r="A16866" s="8" t="n"/>
      <c r="B16866" s="9" t="n"/>
    </row>
    <row r="16867">
      <c r="A16867" s="8" t="n"/>
      <c r="B16867" s="9" t="n"/>
    </row>
    <row r="16868">
      <c r="A16868" s="8" t="n"/>
      <c r="B16868" s="9" t="n"/>
    </row>
    <row r="16869">
      <c r="A16869" s="8" t="n"/>
      <c r="B16869" s="9" t="n"/>
    </row>
    <row r="16870">
      <c r="A16870" s="8" t="n"/>
      <c r="B16870" s="9" t="n"/>
    </row>
    <row r="16871">
      <c r="A16871" s="8" t="n"/>
      <c r="B16871" s="9" t="n"/>
    </row>
    <row r="16872">
      <c r="A16872" s="8" t="n"/>
      <c r="B16872" s="9" t="n"/>
    </row>
    <row r="16873">
      <c r="A16873" s="8" t="n"/>
      <c r="B16873" s="9" t="n"/>
    </row>
    <row r="16874">
      <c r="A16874" s="8" t="n"/>
      <c r="B16874" s="9" t="n"/>
    </row>
    <row r="16875">
      <c r="A16875" s="8" t="n"/>
      <c r="B16875" s="9" t="n"/>
    </row>
    <row r="16876">
      <c r="A16876" s="8" t="n"/>
      <c r="B16876" s="9" t="n"/>
    </row>
    <row r="16877">
      <c r="A16877" s="8" t="n"/>
      <c r="B16877" s="9" t="n"/>
    </row>
    <row r="16878">
      <c r="A16878" s="8" t="n"/>
      <c r="B16878" s="9" t="n"/>
    </row>
    <row r="16879">
      <c r="A16879" s="8" t="n"/>
      <c r="B16879" s="9" t="n"/>
    </row>
    <row r="16880">
      <c r="A16880" s="8" t="n"/>
      <c r="B16880" s="9" t="n"/>
    </row>
    <row r="16881">
      <c r="A16881" s="8" t="n"/>
      <c r="B16881" s="9" t="n"/>
    </row>
    <row r="16882">
      <c r="A16882" s="8" t="n"/>
      <c r="B16882" s="9" t="n"/>
    </row>
    <row r="16883">
      <c r="A16883" s="8" t="n"/>
      <c r="B16883" s="9" t="n"/>
    </row>
    <row r="16884">
      <c r="A16884" s="8" t="n"/>
      <c r="B16884" s="9" t="n"/>
    </row>
    <row r="16885">
      <c r="A16885" s="8" t="n"/>
      <c r="B16885" s="9" t="n"/>
    </row>
    <row r="16886">
      <c r="A16886" s="8" t="n"/>
      <c r="B16886" s="9" t="n"/>
    </row>
    <row r="16887">
      <c r="A16887" s="8" t="n"/>
      <c r="B16887" s="9" t="n"/>
    </row>
    <row r="16888">
      <c r="A16888" s="8" t="n"/>
      <c r="B16888" s="9" t="n"/>
    </row>
    <row r="16889">
      <c r="A16889" s="8" t="n"/>
      <c r="B16889" s="9" t="n"/>
    </row>
    <row r="16890">
      <c r="A16890" s="8" t="n"/>
      <c r="B16890" s="9" t="n"/>
    </row>
    <row r="16891">
      <c r="A16891" s="8" t="n"/>
      <c r="B16891" s="9" t="n"/>
    </row>
    <row r="16892">
      <c r="A16892" s="8" t="n"/>
      <c r="B16892" s="9" t="n"/>
    </row>
    <row r="16893">
      <c r="A16893" s="8" t="n"/>
      <c r="B16893" s="9" t="n"/>
    </row>
    <row r="16894">
      <c r="A16894" s="8" t="n"/>
      <c r="B16894" s="9" t="n"/>
    </row>
    <row r="16895">
      <c r="A16895" s="8" t="n"/>
      <c r="B16895" s="9" t="n"/>
    </row>
    <row r="16896">
      <c r="A16896" s="8" t="n"/>
      <c r="B16896" s="9" t="n"/>
    </row>
    <row r="16897">
      <c r="A16897" s="8" t="n"/>
      <c r="B16897" s="9" t="n"/>
    </row>
    <row r="16898">
      <c r="A16898" s="8" t="n"/>
      <c r="B16898" s="9" t="n"/>
    </row>
    <row r="16899">
      <c r="A16899" s="8" t="n"/>
      <c r="B16899" s="9" t="n"/>
    </row>
    <row r="16900">
      <c r="A16900" s="8" t="n"/>
      <c r="B16900" s="9" t="n"/>
    </row>
    <row r="16901">
      <c r="A16901" s="8" t="n"/>
      <c r="B16901" s="9" t="n"/>
    </row>
    <row r="16902">
      <c r="A16902" s="8" t="n"/>
      <c r="B16902" s="9" t="n"/>
    </row>
    <row r="16903">
      <c r="A16903" s="8" t="n"/>
      <c r="B16903" s="9" t="n"/>
    </row>
    <row r="16904">
      <c r="A16904" s="8" t="n"/>
      <c r="B16904" s="9" t="n"/>
    </row>
    <row r="16905">
      <c r="A16905" s="8" t="n"/>
      <c r="B16905" s="9" t="n"/>
    </row>
    <row r="16906">
      <c r="A16906" s="8" t="n"/>
      <c r="B16906" s="9" t="n"/>
    </row>
    <row r="16907">
      <c r="A16907" s="8" t="n"/>
      <c r="B16907" s="9" t="n"/>
    </row>
    <row r="16908">
      <c r="A16908" s="8" t="n"/>
      <c r="B16908" s="9" t="n"/>
    </row>
    <row r="16909">
      <c r="A16909" s="8" t="n"/>
      <c r="B16909" s="9" t="n"/>
    </row>
    <row r="16910">
      <c r="A16910" s="8" t="n"/>
      <c r="B16910" s="9" t="n"/>
    </row>
    <row r="16911">
      <c r="A16911" s="8" t="n"/>
      <c r="B16911" s="9" t="n"/>
    </row>
    <row r="16912">
      <c r="A16912" s="8" t="n"/>
      <c r="B16912" s="9" t="n"/>
    </row>
    <row r="16913">
      <c r="A16913" s="8" t="n"/>
      <c r="B16913" s="9" t="n"/>
    </row>
    <row r="16914">
      <c r="A16914" s="8" t="n"/>
      <c r="B16914" s="9" t="n"/>
    </row>
    <row r="16915">
      <c r="A16915" s="8" t="n"/>
      <c r="B16915" s="9" t="n"/>
    </row>
    <row r="16916">
      <c r="A16916" s="8" t="n"/>
      <c r="B16916" s="9" t="n"/>
    </row>
    <row r="16917">
      <c r="A16917" s="8" t="n"/>
      <c r="B16917" s="9" t="n"/>
    </row>
    <row r="16918">
      <c r="A16918" s="8" t="n"/>
      <c r="B16918" s="9" t="n"/>
    </row>
    <row r="16919">
      <c r="A16919" s="8" t="n"/>
      <c r="B16919" s="9" t="n"/>
    </row>
    <row r="16920">
      <c r="A16920" s="8" t="n"/>
      <c r="B16920" s="9" t="n"/>
    </row>
    <row r="16921">
      <c r="A16921" s="8" t="n"/>
      <c r="B16921" s="9" t="n"/>
    </row>
    <row r="16922">
      <c r="A16922" s="8" t="n"/>
      <c r="B16922" s="9" t="n"/>
    </row>
    <row r="16923">
      <c r="A16923" s="8" t="n"/>
      <c r="B16923" s="9" t="n"/>
    </row>
    <row r="16924">
      <c r="A16924" s="8" t="n"/>
      <c r="B16924" s="9" t="n"/>
    </row>
    <row r="16925">
      <c r="A16925" s="8" t="n"/>
      <c r="B16925" s="9" t="n"/>
    </row>
    <row r="16926">
      <c r="A16926" s="8" t="n"/>
      <c r="B16926" s="9" t="n"/>
    </row>
    <row r="16927">
      <c r="A16927" s="8" t="n"/>
      <c r="B16927" s="9" t="n"/>
    </row>
    <row r="16928">
      <c r="A16928" s="8" t="n"/>
      <c r="B16928" s="9" t="n"/>
    </row>
    <row r="16929">
      <c r="A16929" s="8" t="n"/>
      <c r="B16929" s="9" t="n"/>
    </row>
    <row r="16930">
      <c r="A16930" s="8" t="n"/>
      <c r="B16930" s="9" t="n"/>
    </row>
    <row r="16931">
      <c r="A16931" s="8" t="n"/>
      <c r="B16931" s="9" t="n"/>
    </row>
    <row r="16932">
      <c r="A16932" s="8" t="n"/>
      <c r="B16932" s="9" t="n"/>
    </row>
    <row r="16933">
      <c r="A16933" s="8" t="n"/>
      <c r="B16933" s="9" t="n"/>
    </row>
    <row r="16934">
      <c r="A16934" s="8" t="n"/>
      <c r="B16934" s="9" t="n"/>
    </row>
    <row r="16935">
      <c r="A16935" s="8" t="n"/>
      <c r="B16935" s="9" t="n"/>
    </row>
    <row r="16936">
      <c r="A16936" s="8" t="n"/>
      <c r="B16936" s="9" t="n"/>
    </row>
    <row r="16937">
      <c r="A16937" s="8" t="n"/>
      <c r="B16937" s="9" t="n"/>
    </row>
    <row r="16938">
      <c r="A16938" s="8" t="n"/>
      <c r="B16938" s="9" t="n"/>
    </row>
    <row r="16939">
      <c r="A16939" s="8" t="n"/>
      <c r="B16939" s="9" t="n"/>
    </row>
    <row r="16940">
      <c r="A16940" s="8" t="n"/>
      <c r="B16940" s="9" t="n"/>
    </row>
    <row r="16941">
      <c r="A16941" s="8" t="n"/>
      <c r="B16941" s="9" t="n"/>
    </row>
    <row r="16942">
      <c r="A16942" s="8" t="n"/>
      <c r="B16942" s="9" t="n"/>
    </row>
    <row r="16943">
      <c r="A16943" s="8" t="n"/>
      <c r="B16943" s="9" t="n"/>
    </row>
    <row r="16944">
      <c r="A16944" s="8" t="n"/>
      <c r="B16944" s="9" t="n"/>
    </row>
    <row r="16945">
      <c r="A16945" s="8" t="n"/>
      <c r="B16945" s="9" t="n"/>
    </row>
    <row r="16946">
      <c r="A16946" s="8" t="n"/>
      <c r="B16946" s="9" t="n"/>
    </row>
    <row r="16947">
      <c r="A16947" s="8" t="n"/>
      <c r="B16947" s="9" t="n"/>
    </row>
    <row r="16948">
      <c r="A16948" s="8" t="n"/>
      <c r="B16948" s="9" t="n"/>
    </row>
    <row r="16949">
      <c r="A16949" s="8" t="n"/>
      <c r="B16949" s="9" t="n"/>
    </row>
    <row r="16950">
      <c r="A16950" s="8" t="n"/>
      <c r="B16950" s="9" t="n"/>
    </row>
    <row r="16951">
      <c r="A16951" s="8" t="n"/>
      <c r="B16951" s="9" t="n"/>
    </row>
    <row r="16952">
      <c r="A16952" s="8" t="n"/>
      <c r="B16952" s="9" t="n"/>
    </row>
    <row r="16953">
      <c r="A16953" s="8" t="n"/>
      <c r="B16953" s="9" t="n"/>
    </row>
    <row r="16954">
      <c r="A16954" s="8" t="n"/>
      <c r="B16954" s="9" t="n"/>
    </row>
    <row r="16955">
      <c r="A16955" s="8" t="n"/>
      <c r="B16955" s="9" t="n"/>
    </row>
    <row r="16956">
      <c r="A16956" s="8" t="n"/>
      <c r="B16956" s="9" t="n"/>
    </row>
    <row r="16957">
      <c r="A16957" s="8" t="n"/>
      <c r="B16957" s="9" t="n"/>
    </row>
    <row r="16958">
      <c r="A16958" s="8" t="n"/>
      <c r="B16958" s="9" t="n"/>
    </row>
    <row r="16959">
      <c r="A16959" s="8" t="n"/>
      <c r="B16959" s="9" t="n"/>
    </row>
    <row r="16960">
      <c r="A16960" s="8" t="n"/>
      <c r="B16960" s="9" t="n"/>
    </row>
    <row r="16961">
      <c r="A16961" s="8" t="n"/>
      <c r="B16961" s="9" t="n"/>
    </row>
    <row r="16962">
      <c r="A16962" s="8" t="n"/>
      <c r="B16962" s="9" t="n"/>
    </row>
    <row r="16963">
      <c r="A16963" s="8" t="n"/>
      <c r="B16963" s="9" t="n"/>
    </row>
    <row r="16964">
      <c r="A16964" s="8" t="n"/>
      <c r="B16964" s="9" t="n"/>
    </row>
    <row r="16965">
      <c r="A16965" s="8" t="n"/>
      <c r="B16965" s="9" t="n"/>
    </row>
    <row r="16966">
      <c r="A16966" s="8" t="n"/>
      <c r="B16966" s="9" t="n"/>
    </row>
    <row r="16967">
      <c r="A16967" s="8" t="n"/>
      <c r="B16967" s="9" t="n"/>
    </row>
    <row r="16968">
      <c r="A16968" s="8" t="n"/>
      <c r="B16968" s="9" t="n"/>
    </row>
    <row r="16969">
      <c r="A16969" s="8" t="n"/>
      <c r="B16969" s="9" t="n"/>
    </row>
    <row r="16970">
      <c r="A16970" s="8" t="n"/>
      <c r="B16970" s="9" t="n"/>
    </row>
    <row r="16971">
      <c r="A16971" s="8" t="n"/>
      <c r="B16971" s="9" t="n"/>
    </row>
    <row r="16972">
      <c r="A16972" s="8" t="n"/>
      <c r="B16972" s="9" t="n"/>
    </row>
    <row r="16973">
      <c r="A16973" s="8" t="n"/>
      <c r="B16973" s="9" t="n"/>
    </row>
    <row r="16974">
      <c r="A16974" s="8" t="n"/>
      <c r="B16974" s="9" t="n"/>
    </row>
    <row r="16975">
      <c r="A16975" s="8" t="n"/>
      <c r="B16975" s="9" t="n"/>
    </row>
    <row r="16976">
      <c r="A16976" s="8" t="n"/>
      <c r="B16976" s="9" t="n"/>
    </row>
    <row r="16977">
      <c r="A16977" s="8" t="n"/>
      <c r="B16977" s="9" t="n"/>
    </row>
    <row r="16978">
      <c r="A16978" s="8" t="n"/>
      <c r="B16978" s="9" t="n"/>
    </row>
    <row r="16979">
      <c r="A16979" s="8" t="n"/>
      <c r="B16979" s="9" t="n"/>
    </row>
    <row r="16980">
      <c r="A16980" s="8" t="n"/>
      <c r="B16980" s="9" t="n"/>
    </row>
    <row r="16981">
      <c r="A16981" s="8" t="n"/>
      <c r="B16981" s="9" t="n"/>
    </row>
    <row r="16982">
      <c r="A16982" s="8" t="n"/>
      <c r="B16982" s="9" t="n"/>
    </row>
    <row r="16983">
      <c r="A16983" s="8" t="n"/>
      <c r="B16983" s="9" t="n"/>
    </row>
    <row r="16984">
      <c r="A16984" s="8" t="n"/>
      <c r="B16984" s="9" t="n"/>
    </row>
    <row r="16985">
      <c r="A16985" s="8" t="n"/>
      <c r="B16985" s="9" t="n"/>
    </row>
    <row r="16986">
      <c r="A16986" s="8" t="n"/>
      <c r="B16986" s="9" t="n"/>
    </row>
    <row r="16987">
      <c r="A16987" s="8" t="n"/>
      <c r="B16987" s="9" t="n"/>
    </row>
    <row r="16988">
      <c r="A16988" s="8" t="n"/>
      <c r="B16988" s="9" t="n"/>
    </row>
    <row r="16989">
      <c r="A16989" s="8" t="n"/>
      <c r="B16989" s="9" t="n"/>
    </row>
    <row r="16990">
      <c r="A16990" s="8" t="n"/>
      <c r="B16990" s="9" t="n"/>
    </row>
    <row r="16991">
      <c r="A16991" s="8" t="n"/>
      <c r="B16991" s="9" t="n"/>
    </row>
    <row r="16992">
      <c r="A16992" s="8" t="n"/>
      <c r="B16992" s="9" t="n"/>
    </row>
    <row r="16993">
      <c r="A16993" s="8" t="n"/>
      <c r="B16993" s="9" t="n"/>
    </row>
    <row r="16994">
      <c r="A16994" s="8" t="n"/>
      <c r="B16994" s="9" t="n"/>
    </row>
    <row r="16995">
      <c r="A16995" s="8" t="n"/>
      <c r="B16995" s="9" t="n"/>
    </row>
    <row r="16996">
      <c r="A16996" s="8" t="n"/>
      <c r="B16996" s="9" t="n"/>
    </row>
    <row r="16997">
      <c r="A16997" s="8" t="n"/>
      <c r="B16997" s="9" t="n"/>
    </row>
    <row r="16998">
      <c r="A16998" s="8" t="n"/>
      <c r="B16998" s="9" t="n"/>
    </row>
    <row r="16999">
      <c r="A16999" s="8" t="n"/>
      <c r="B16999" s="9" t="n"/>
    </row>
    <row r="17000">
      <c r="A17000" s="8" t="n"/>
      <c r="B17000" s="9" t="n"/>
    </row>
    <row r="17001">
      <c r="A17001" s="8" t="n"/>
      <c r="B17001" s="9" t="n"/>
    </row>
    <row r="17002">
      <c r="A17002" s="8" t="n"/>
      <c r="B17002" s="9" t="n"/>
    </row>
    <row r="17003">
      <c r="A17003" s="8" t="n"/>
      <c r="B17003" s="9" t="n"/>
    </row>
    <row r="17004">
      <c r="A17004" s="8" t="n"/>
      <c r="B17004" s="9" t="n"/>
    </row>
    <row r="17005">
      <c r="A17005" s="8" t="n"/>
      <c r="B17005" s="9" t="n"/>
    </row>
    <row r="17006">
      <c r="A17006" s="8" t="n"/>
      <c r="B17006" s="9" t="n"/>
    </row>
    <row r="17007">
      <c r="A17007" s="8" t="n"/>
      <c r="B17007" s="9" t="n"/>
    </row>
    <row r="17008">
      <c r="A17008" s="8" t="n"/>
      <c r="B17008" s="9" t="n"/>
    </row>
    <row r="17009">
      <c r="A17009" s="8" t="n"/>
      <c r="B17009" s="9" t="n"/>
    </row>
    <row r="17010">
      <c r="A17010" s="8" t="n"/>
      <c r="B17010" s="9" t="n"/>
    </row>
    <row r="17011">
      <c r="A17011" s="8" t="n"/>
      <c r="B17011" s="9" t="n"/>
    </row>
    <row r="17012">
      <c r="A17012" s="8" t="n"/>
      <c r="B17012" s="9" t="n"/>
    </row>
    <row r="17013">
      <c r="A17013" s="8" t="n"/>
      <c r="B17013" s="9" t="n"/>
    </row>
    <row r="17014">
      <c r="A17014" s="8" t="n"/>
      <c r="B17014" s="9" t="n"/>
    </row>
    <row r="17015">
      <c r="A17015" s="8" t="n"/>
      <c r="B17015" s="9" t="n"/>
    </row>
    <row r="17016">
      <c r="A17016" s="8" t="n"/>
      <c r="B17016" s="9" t="n"/>
    </row>
    <row r="17017">
      <c r="A17017" s="8" t="n"/>
      <c r="B17017" s="9" t="n"/>
    </row>
    <row r="17018">
      <c r="A17018" s="8" t="n"/>
      <c r="B17018" s="9" t="n"/>
    </row>
    <row r="17019">
      <c r="A17019" s="8" t="n"/>
      <c r="B17019" s="9" t="n"/>
    </row>
    <row r="17020">
      <c r="A17020" s="8" t="n"/>
      <c r="B17020" s="9" t="n"/>
    </row>
    <row r="17021">
      <c r="A17021" s="8" t="n"/>
      <c r="B17021" s="9" t="n"/>
    </row>
    <row r="17022">
      <c r="A17022" s="8" t="n"/>
      <c r="B17022" s="9" t="n"/>
    </row>
    <row r="17023">
      <c r="A17023" s="8" t="n"/>
      <c r="B17023" s="9" t="n"/>
    </row>
    <row r="17024">
      <c r="A17024" s="8" t="n"/>
      <c r="B17024" s="9" t="n"/>
    </row>
    <row r="17025">
      <c r="A17025" s="8" t="n"/>
      <c r="B17025" s="9" t="n"/>
    </row>
    <row r="17026">
      <c r="A17026" s="8" t="n"/>
      <c r="B17026" s="9" t="n"/>
    </row>
    <row r="17027">
      <c r="A17027" s="8" t="n"/>
      <c r="B17027" s="9" t="n"/>
    </row>
    <row r="17028">
      <c r="A17028" s="8" t="n"/>
      <c r="B17028" s="9" t="n"/>
    </row>
    <row r="17029">
      <c r="A17029" s="8" t="n"/>
      <c r="B17029" s="9" t="n"/>
    </row>
    <row r="17030">
      <c r="A17030" s="8" t="n"/>
      <c r="B17030" s="9" t="n"/>
    </row>
    <row r="17031">
      <c r="A17031" s="8" t="n"/>
      <c r="B17031" s="9" t="n"/>
    </row>
    <row r="17032">
      <c r="A17032" s="8" t="n"/>
      <c r="B17032" s="9" t="n"/>
    </row>
    <row r="17033">
      <c r="A17033" s="8" t="n"/>
      <c r="B17033" s="9" t="n"/>
    </row>
    <row r="17034">
      <c r="A17034" s="8" t="n"/>
      <c r="B17034" s="9" t="n"/>
    </row>
    <row r="17035">
      <c r="A17035" s="8" t="n"/>
      <c r="B17035" s="9" t="n"/>
    </row>
    <row r="17036">
      <c r="A17036" s="8" t="n"/>
      <c r="B17036" s="9" t="n"/>
    </row>
    <row r="17037">
      <c r="A17037" s="8" t="n"/>
      <c r="B17037" s="9" t="n"/>
    </row>
    <row r="17038">
      <c r="A17038" s="8" t="n"/>
      <c r="B17038" s="9" t="n"/>
    </row>
    <row r="17039">
      <c r="A17039" s="8" t="n"/>
      <c r="B17039" s="9" t="n"/>
    </row>
    <row r="17040">
      <c r="A17040" s="8" t="n"/>
      <c r="B17040" s="9" t="n"/>
    </row>
    <row r="17041">
      <c r="A17041" s="8" t="n"/>
      <c r="B17041" s="9" t="n"/>
    </row>
    <row r="17042">
      <c r="A17042" s="8" t="n"/>
      <c r="B17042" s="9" t="n"/>
    </row>
    <row r="17043">
      <c r="A17043" s="8" t="n"/>
      <c r="B17043" s="9" t="n"/>
    </row>
    <row r="17044">
      <c r="A17044" s="8" t="n"/>
      <c r="B17044" s="9" t="n"/>
    </row>
    <row r="17045">
      <c r="A17045" s="8" t="n"/>
      <c r="B17045" s="9" t="n"/>
    </row>
    <row r="17046">
      <c r="A17046" s="8" t="n"/>
      <c r="B17046" s="9" t="n"/>
    </row>
    <row r="17047">
      <c r="A17047" s="8" t="n"/>
      <c r="B17047" s="9" t="n"/>
    </row>
    <row r="17048">
      <c r="A17048" s="8" t="n"/>
      <c r="B17048" s="9" t="n"/>
    </row>
    <row r="17049">
      <c r="A17049" s="8" t="n"/>
      <c r="B17049" s="9" t="n"/>
    </row>
    <row r="17050">
      <c r="A17050" s="8" t="n"/>
      <c r="B17050" s="9" t="n"/>
    </row>
    <row r="17051">
      <c r="A17051" s="8" t="n"/>
      <c r="B17051" s="9" t="n"/>
    </row>
    <row r="17052">
      <c r="A17052" s="8" t="n"/>
      <c r="B17052" s="9" t="n"/>
    </row>
    <row r="17053">
      <c r="A17053" s="8" t="n"/>
      <c r="B17053" s="9" t="n"/>
    </row>
    <row r="17054">
      <c r="A17054" s="8" t="n"/>
      <c r="B17054" s="9" t="n"/>
    </row>
    <row r="17055">
      <c r="A17055" s="8" t="n"/>
      <c r="B17055" s="9" t="n"/>
    </row>
    <row r="17056">
      <c r="A17056" s="8" t="n"/>
      <c r="B17056" s="9" t="n"/>
    </row>
    <row r="17057">
      <c r="A17057" s="8" t="n"/>
      <c r="B17057" s="9" t="n"/>
    </row>
    <row r="17058">
      <c r="A17058" s="8" t="n"/>
      <c r="B17058" s="9" t="n"/>
    </row>
    <row r="17059">
      <c r="A17059" s="8" t="n"/>
      <c r="B17059" s="9" t="n"/>
    </row>
    <row r="17060">
      <c r="A17060" s="8" t="n"/>
      <c r="B17060" s="9" t="n"/>
    </row>
    <row r="17061">
      <c r="A17061" s="8" t="n"/>
      <c r="B17061" s="9" t="n"/>
    </row>
    <row r="17062">
      <c r="A17062" s="8" t="n"/>
      <c r="B17062" s="9" t="n"/>
    </row>
    <row r="17063">
      <c r="A17063" s="8" t="n"/>
      <c r="B17063" s="9" t="n"/>
    </row>
    <row r="17064">
      <c r="A17064" s="8" t="n"/>
      <c r="B17064" s="9" t="n"/>
    </row>
    <row r="17065">
      <c r="A17065" s="8" t="n"/>
      <c r="B17065" s="9" t="n"/>
    </row>
    <row r="17066">
      <c r="A17066" s="8" t="n"/>
      <c r="B17066" s="9" t="n"/>
    </row>
    <row r="17067">
      <c r="A17067" s="8" t="n"/>
      <c r="B17067" s="9" t="n"/>
    </row>
    <row r="17068">
      <c r="A17068" s="8" t="n"/>
      <c r="B17068" s="9" t="n"/>
    </row>
    <row r="17069">
      <c r="A17069" s="8" t="n"/>
      <c r="B17069" s="9" t="n"/>
    </row>
    <row r="17070">
      <c r="A17070" s="8" t="n"/>
      <c r="B17070" s="9" t="n"/>
    </row>
    <row r="17071">
      <c r="A17071" s="8" t="n"/>
      <c r="B17071" s="9" t="n"/>
    </row>
    <row r="17072">
      <c r="A17072" s="8" t="n"/>
      <c r="B17072" s="9" t="n"/>
    </row>
    <row r="17073">
      <c r="A17073" s="8" t="n"/>
      <c r="B17073" s="9" t="n"/>
    </row>
    <row r="17074">
      <c r="A17074" s="8" t="n"/>
      <c r="B17074" s="9" t="n"/>
    </row>
    <row r="17075">
      <c r="A17075" s="8" t="n"/>
      <c r="B17075" s="9" t="n"/>
    </row>
    <row r="17076">
      <c r="A17076" s="8" t="n"/>
      <c r="B17076" s="9" t="n"/>
    </row>
    <row r="17077">
      <c r="A17077" s="8" t="n"/>
      <c r="B17077" s="9" t="n"/>
    </row>
    <row r="17078">
      <c r="A17078" s="8" t="n"/>
      <c r="B17078" s="9" t="n"/>
    </row>
    <row r="17079">
      <c r="A17079" s="8" t="n"/>
      <c r="B17079" s="9" t="n"/>
    </row>
    <row r="17080">
      <c r="A17080" s="8" t="n"/>
      <c r="B17080" s="9" t="n"/>
    </row>
    <row r="17081">
      <c r="A17081" s="8" t="n"/>
      <c r="B17081" s="9" t="n"/>
    </row>
    <row r="17082">
      <c r="A17082" s="8" t="n"/>
      <c r="B17082" s="9" t="n"/>
    </row>
    <row r="17083">
      <c r="A17083" s="8" t="n"/>
      <c r="B17083" s="9" t="n"/>
    </row>
    <row r="17084">
      <c r="A17084" s="8" t="n"/>
      <c r="B17084" s="9" t="n"/>
    </row>
    <row r="17085">
      <c r="A17085" s="8" t="n"/>
      <c r="B17085" s="9" t="n"/>
    </row>
    <row r="17086">
      <c r="A17086" s="8" t="n"/>
      <c r="B17086" s="9" t="n"/>
    </row>
    <row r="17087">
      <c r="A17087" s="8" t="n"/>
      <c r="B17087" s="9" t="n"/>
    </row>
    <row r="17088">
      <c r="A17088" s="8" t="n"/>
      <c r="B17088" s="9" t="n"/>
    </row>
    <row r="17089">
      <c r="A17089" s="8" t="n"/>
      <c r="B17089" s="9" t="n"/>
    </row>
    <row r="17090">
      <c r="A17090" s="8" t="n"/>
      <c r="B17090" s="9" t="n"/>
    </row>
    <row r="17091">
      <c r="A17091" s="8" t="n"/>
      <c r="B17091" s="9" t="n"/>
    </row>
    <row r="17092">
      <c r="A17092" s="8" t="n"/>
      <c r="B17092" s="9" t="n"/>
    </row>
    <row r="17093">
      <c r="A17093" s="8" t="n"/>
      <c r="B17093" s="9" t="n"/>
    </row>
    <row r="17094">
      <c r="A17094" s="8" t="n"/>
      <c r="B17094" s="9" t="n"/>
    </row>
    <row r="17095">
      <c r="A17095" s="8" t="n"/>
      <c r="B17095" s="9" t="n"/>
    </row>
    <row r="17096">
      <c r="A17096" s="8" t="n"/>
      <c r="B17096" s="9" t="n"/>
    </row>
    <row r="17097">
      <c r="A17097" s="8" t="n"/>
      <c r="B17097" s="9" t="n"/>
    </row>
    <row r="17098">
      <c r="A17098" s="8" t="n"/>
      <c r="B17098" s="9" t="n"/>
    </row>
    <row r="17099">
      <c r="A17099" s="8" t="n"/>
      <c r="B17099" s="9" t="n"/>
    </row>
    <row r="17100">
      <c r="A17100" s="8" t="n"/>
      <c r="B17100" s="9" t="n"/>
    </row>
    <row r="17101">
      <c r="A17101" s="8" t="n"/>
      <c r="B17101" s="9" t="n"/>
    </row>
    <row r="17102">
      <c r="A17102" s="8" t="n"/>
      <c r="B17102" s="9" t="n"/>
    </row>
    <row r="17103">
      <c r="A17103" s="8" t="n"/>
      <c r="B17103" s="9" t="n"/>
    </row>
    <row r="17104">
      <c r="A17104" s="8" t="n"/>
      <c r="B17104" s="9" t="n"/>
    </row>
    <row r="17105">
      <c r="A17105" s="8" t="n"/>
      <c r="B17105" s="9" t="n"/>
    </row>
    <row r="17106">
      <c r="A17106" s="8" t="n"/>
      <c r="B17106" s="9" t="n"/>
    </row>
    <row r="17107">
      <c r="A17107" s="8" t="n"/>
      <c r="B17107" s="9" t="n"/>
    </row>
    <row r="17108">
      <c r="A17108" s="8" t="n"/>
      <c r="B17108" s="9" t="n"/>
    </row>
    <row r="17109">
      <c r="A17109" s="8" t="n"/>
      <c r="B17109" s="9" t="n"/>
    </row>
    <row r="17110">
      <c r="A17110" s="8" t="n"/>
      <c r="B17110" s="9" t="n"/>
    </row>
    <row r="17111">
      <c r="A17111" s="8" t="n"/>
      <c r="B17111" s="9" t="n"/>
    </row>
    <row r="17112">
      <c r="A17112" s="8" t="n"/>
      <c r="B17112" s="9" t="n"/>
    </row>
    <row r="17113">
      <c r="A17113" s="8" t="n"/>
      <c r="B17113" s="9" t="n"/>
    </row>
    <row r="17114">
      <c r="A17114" s="8" t="n"/>
      <c r="B17114" s="9" t="n"/>
    </row>
    <row r="17115">
      <c r="A17115" s="8" t="n"/>
      <c r="B17115" s="9" t="n"/>
    </row>
    <row r="17116">
      <c r="A17116" s="8" t="n"/>
      <c r="B17116" s="9" t="n"/>
    </row>
    <row r="17117">
      <c r="A17117" s="8" t="n"/>
      <c r="B17117" s="9" t="n"/>
    </row>
    <row r="17118">
      <c r="A17118" s="8" t="n"/>
      <c r="B17118" s="9" t="n"/>
    </row>
    <row r="17119">
      <c r="A17119" s="8" t="n"/>
      <c r="B17119" s="9" t="n"/>
    </row>
    <row r="17120">
      <c r="A17120" s="8" t="n"/>
      <c r="B17120" s="9" t="n"/>
    </row>
    <row r="17121">
      <c r="A17121" s="8" t="n"/>
      <c r="B17121" s="9" t="n"/>
    </row>
    <row r="17122">
      <c r="A17122" s="8" t="n"/>
      <c r="B17122" s="9" t="n"/>
    </row>
    <row r="17123">
      <c r="A17123" s="8" t="n"/>
      <c r="B17123" s="9" t="n"/>
    </row>
    <row r="17124">
      <c r="A17124" s="8" t="n"/>
      <c r="B17124" s="9" t="n"/>
    </row>
    <row r="17125">
      <c r="A17125" s="8" t="n"/>
      <c r="B17125" s="9" t="n"/>
    </row>
    <row r="17126">
      <c r="A17126" s="8" t="n"/>
      <c r="B17126" s="9" t="n"/>
    </row>
    <row r="17127">
      <c r="A17127" s="8" t="n"/>
      <c r="B17127" s="9" t="n"/>
    </row>
    <row r="17128">
      <c r="A17128" s="8" t="n"/>
      <c r="B17128" s="9" t="n"/>
    </row>
    <row r="17129">
      <c r="A17129" s="8" t="n"/>
      <c r="B17129" s="9" t="n"/>
    </row>
    <row r="17130">
      <c r="A17130" s="8" t="n"/>
      <c r="B17130" s="9" t="n"/>
    </row>
    <row r="17131">
      <c r="A17131" s="8" t="n"/>
      <c r="B17131" s="9" t="n"/>
    </row>
    <row r="17132">
      <c r="A17132" s="8" t="n"/>
      <c r="B17132" s="9" t="n"/>
    </row>
    <row r="17133">
      <c r="A17133" s="8" t="n"/>
      <c r="B17133" s="9" t="n"/>
    </row>
    <row r="17134">
      <c r="A17134" s="8" t="n"/>
      <c r="B17134" s="9" t="n"/>
    </row>
    <row r="17135">
      <c r="A17135" s="8" t="n"/>
      <c r="B17135" s="9" t="n"/>
    </row>
    <row r="17136">
      <c r="A17136" s="8" t="n"/>
      <c r="B17136" s="9" t="n"/>
    </row>
    <row r="17137">
      <c r="A17137" s="8" t="n"/>
      <c r="B17137" s="9" t="n"/>
    </row>
    <row r="17138">
      <c r="A17138" s="8" t="n"/>
      <c r="B17138" s="9" t="n"/>
    </row>
    <row r="17139">
      <c r="A17139" s="8" t="n"/>
      <c r="B17139" s="9" t="n"/>
    </row>
    <row r="17140">
      <c r="A17140" s="8" t="n"/>
      <c r="B17140" s="9" t="n"/>
    </row>
    <row r="17141">
      <c r="A17141" s="8" t="n"/>
      <c r="B17141" s="9" t="n"/>
    </row>
    <row r="17142">
      <c r="A17142" s="8" t="n"/>
      <c r="B17142" s="9" t="n"/>
    </row>
    <row r="17143">
      <c r="A17143" s="8" t="n"/>
      <c r="B17143" s="9" t="n"/>
    </row>
    <row r="17144">
      <c r="A17144" s="8" t="n"/>
      <c r="B17144" s="9" t="n"/>
    </row>
    <row r="17145">
      <c r="A17145" s="8" t="n"/>
      <c r="B17145" s="9" t="n"/>
    </row>
    <row r="17146">
      <c r="A17146" s="8" t="n"/>
      <c r="B17146" s="9" t="n"/>
    </row>
    <row r="17147">
      <c r="A17147" s="8" t="n"/>
      <c r="B17147" s="9" t="n"/>
    </row>
    <row r="17148">
      <c r="A17148" s="8" t="n"/>
      <c r="B17148" s="9" t="n"/>
    </row>
    <row r="17149">
      <c r="A17149" s="8" t="n"/>
      <c r="B17149" s="9" t="n"/>
    </row>
    <row r="17150">
      <c r="A17150" s="8" t="n"/>
      <c r="B17150" s="9" t="n"/>
    </row>
    <row r="17151">
      <c r="A17151" s="8" t="n"/>
      <c r="B17151" s="9" t="n"/>
    </row>
    <row r="17152">
      <c r="A17152" s="8" t="n"/>
      <c r="B17152" s="9" t="n"/>
    </row>
    <row r="17153">
      <c r="A17153" s="8" t="n"/>
      <c r="B17153" s="9" t="n"/>
    </row>
    <row r="17154">
      <c r="A17154" s="8" t="n"/>
      <c r="B17154" s="9" t="n"/>
    </row>
    <row r="17155">
      <c r="A17155" s="8" t="n"/>
      <c r="B17155" s="9" t="n"/>
    </row>
    <row r="17156">
      <c r="A17156" s="8" t="n"/>
      <c r="B17156" s="9" t="n"/>
    </row>
    <row r="17157">
      <c r="A17157" s="8" t="n"/>
      <c r="B17157" s="9" t="n"/>
    </row>
    <row r="17158">
      <c r="A17158" s="8" t="n"/>
      <c r="B17158" s="9" t="n"/>
    </row>
    <row r="17159">
      <c r="A17159" s="8" t="n"/>
      <c r="B17159" s="9" t="n"/>
    </row>
    <row r="17160">
      <c r="A17160" s="8" t="n"/>
      <c r="B17160" s="9" t="n"/>
    </row>
    <row r="17161">
      <c r="A17161" s="8" t="n"/>
      <c r="B17161" s="9" t="n"/>
    </row>
    <row r="17162">
      <c r="A17162" s="8" t="n"/>
      <c r="B17162" s="9" t="n"/>
    </row>
    <row r="17163">
      <c r="A17163" s="8" t="n"/>
      <c r="B17163" s="9" t="n"/>
    </row>
    <row r="17164">
      <c r="A17164" s="8" t="n"/>
      <c r="B17164" s="9" t="n"/>
    </row>
    <row r="17165">
      <c r="A17165" s="8" t="n"/>
      <c r="B17165" s="9" t="n"/>
    </row>
    <row r="17166">
      <c r="A17166" s="8" t="n"/>
      <c r="B17166" s="9" t="n"/>
    </row>
    <row r="17167">
      <c r="A17167" s="8" t="n"/>
      <c r="B17167" s="9" t="n"/>
    </row>
    <row r="17168">
      <c r="A17168" s="8" t="n"/>
      <c r="B17168" s="9" t="n"/>
    </row>
    <row r="17169">
      <c r="A17169" s="8" t="n"/>
      <c r="B17169" s="9" t="n"/>
    </row>
    <row r="17170">
      <c r="A17170" s="8" t="n"/>
      <c r="B17170" s="9" t="n"/>
    </row>
    <row r="17171">
      <c r="A17171" s="8" t="n"/>
      <c r="B17171" s="9" t="n"/>
    </row>
    <row r="17172">
      <c r="A17172" s="8" t="n"/>
      <c r="B17172" s="9" t="n"/>
    </row>
    <row r="17173">
      <c r="A17173" s="8" t="n"/>
      <c r="B17173" s="9" t="n"/>
    </row>
    <row r="17174">
      <c r="A17174" s="8" t="n"/>
      <c r="B17174" s="9" t="n"/>
    </row>
    <row r="17175">
      <c r="A17175" s="8" t="n"/>
      <c r="B17175" s="9" t="n"/>
    </row>
    <row r="17176">
      <c r="A17176" s="8" t="n"/>
      <c r="B17176" s="9" t="n"/>
    </row>
    <row r="17177">
      <c r="A17177" s="8" t="n"/>
      <c r="B17177" s="9" t="n"/>
    </row>
    <row r="17178">
      <c r="A17178" s="8" t="n"/>
      <c r="B17178" s="9" t="n"/>
    </row>
    <row r="17179">
      <c r="A17179" s="8" t="n"/>
      <c r="B17179" s="9" t="n"/>
    </row>
    <row r="17180">
      <c r="A17180" s="8" t="n"/>
      <c r="B17180" s="9" t="n"/>
    </row>
    <row r="17181">
      <c r="A17181" s="8" t="n"/>
      <c r="B17181" s="9" t="n"/>
    </row>
    <row r="17182">
      <c r="A17182" s="8" t="n"/>
      <c r="B17182" s="9" t="n"/>
    </row>
    <row r="17183">
      <c r="A17183" s="8" t="n"/>
      <c r="B17183" s="9" t="n"/>
    </row>
    <row r="17184">
      <c r="A17184" s="8" t="n"/>
      <c r="B17184" s="9" t="n"/>
    </row>
    <row r="17185">
      <c r="A17185" s="8" t="n"/>
      <c r="B17185" s="9" t="n"/>
    </row>
    <row r="17186">
      <c r="A17186" s="8" t="n"/>
      <c r="B17186" s="9" t="n"/>
    </row>
    <row r="17187">
      <c r="A17187" s="8" t="n"/>
      <c r="B17187" s="9" t="n"/>
    </row>
    <row r="17188">
      <c r="A17188" s="8" t="n"/>
      <c r="B17188" s="9" t="n"/>
    </row>
    <row r="17189">
      <c r="A17189" s="8" t="n"/>
      <c r="B17189" s="9" t="n"/>
    </row>
    <row r="17190">
      <c r="A17190" s="8" t="n"/>
      <c r="B17190" s="9" t="n"/>
    </row>
    <row r="17191">
      <c r="A17191" s="8" t="n"/>
      <c r="B17191" s="9" t="n"/>
    </row>
    <row r="17192">
      <c r="A17192" s="8" t="n"/>
      <c r="B17192" s="9" t="n"/>
    </row>
    <row r="17193">
      <c r="A17193" s="8" t="n"/>
      <c r="B17193" s="9" t="n"/>
    </row>
    <row r="17194">
      <c r="A17194" s="8" t="n"/>
      <c r="B17194" s="9" t="n"/>
    </row>
    <row r="17195">
      <c r="A17195" s="8" t="n"/>
      <c r="B17195" s="9" t="n"/>
    </row>
    <row r="17196">
      <c r="A17196" s="8" t="n"/>
      <c r="B17196" s="9" t="n"/>
    </row>
    <row r="17197">
      <c r="A17197" s="8" t="n"/>
      <c r="B17197" s="9" t="n"/>
    </row>
    <row r="17198">
      <c r="A17198" s="8" t="n"/>
      <c r="B17198" s="9" t="n"/>
    </row>
    <row r="17199">
      <c r="A17199" s="8" t="n"/>
      <c r="B17199" s="9" t="n"/>
    </row>
    <row r="17200">
      <c r="A17200" s="8" t="n"/>
      <c r="B17200" s="9" t="n"/>
    </row>
    <row r="17201">
      <c r="A17201" s="8" t="n"/>
      <c r="B17201" s="9" t="n"/>
    </row>
    <row r="17202">
      <c r="A17202" s="8" t="n"/>
      <c r="B17202" s="9" t="n"/>
    </row>
    <row r="17203">
      <c r="A17203" s="8" t="n"/>
      <c r="B17203" s="9" t="n"/>
    </row>
    <row r="17204">
      <c r="A17204" s="8" t="n"/>
      <c r="B17204" s="9" t="n"/>
    </row>
    <row r="17205">
      <c r="A17205" s="8" t="n"/>
      <c r="B17205" s="9" t="n"/>
    </row>
    <row r="17206">
      <c r="A17206" s="8" t="n"/>
      <c r="B17206" s="9" t="n"/>
    </row>
    <row r="17207">
      <c r="A17207" s="8" t="n"/>
      <c r="B17207" s="9" t="n"/>
    </row>
    <row r="17208">
      <c r="A17208" s="8" t="n"/>
      <c r="B17208" s="9" t="n"/>
    </row>
    <row r="17209">
      <c r="A17209" s="8" t="n"/>
      <c r="B17209" s="9" t="n"/>
    </row>
    <row r="17210">
      <c r="A17210" s="8" t="n"/>
      <c r="B17210" s="9" t="n"/>
    </row>
    <row r="17211">
      <c r="A17211" s="8" t="n"/>
      <c r="B17211" s="9" t="n"/>
    </row>
    <row r="17212">
      <c r="A17212" s="8" t="n"/>
      <c r="B17212" s="9" t="n"/>
    </row>
    <row r="17213">
      <c r="A17213" s="8" t="n"/>
      <c r="B17213" s="9" t="n"/>
    </row>
    <row r="17214">
      <c r="A17214" s="8" t="n"/>
      <c r="B17214" s="9" t="n"/>
    </row>
    <row r="17215">
      <c r="A17215" s="8" t="n"/>
      <c r="B17215" s="9" t="n"/>
    </row>
    <row r="17216">
      <c r="A17216" s="8" t="n"/>
      <c r="B17216" s="9" t="n"/>
    </row>
    <row r="17217">
      <c r="A17217" s="8" t="n"/>
      <c r="B17217" s="9" t="n"/>
    </row>
    <row r="17218">
      <c r="A17218" s="8" t="n"/>
      <c r="B17218" s="9" t="n"/>
    </row>
    <row r="17219">
      <c r="A17219" s="8" t="n"/>
      <c r="B17219" s="9" t="n"/>
    </row>
    <row r="17220">
      <c r="A17220" s="8" t="n"/>
      <c r="B17220" s="9" t="n"/>
    </row>
    <row r="17221">
      <c r="A17221" s="8" t="n"/>
      <c r="B17221" s="9" t="n"/>
    </row>
    <row r="17222">
      <c r="A17222" s="8" t="n"/>
      <c r="B17222" s="9" t="n"/>
    </row>
    <row r="17223">
      <c r="A17223" s="8" t="n"/>
      <c r="B17223" s="9" t="n"/>
    </row>
    <row r="17224">
      <c r="A17224" s="8" t="n"/>
      <c r="B17224" s="9" t="n"/>
    </row>
    <row r="17225">
      <c r="A17225" s="8" t="n"/>
      <c r="B17225" s="9" t="n"/>
    </row>
    <row r="17226">
      <c r="A17226" s="8" t="n"/>
      <c r="B17226" s="9" t="n"/>
    </row>
    <row r="17227">
      <c r="A17227" s="8" t="n"/>
      <c r="B17227" s="9" t="n"/>
    </row>
    <row r="17228">
      <c r="A17228" s="8" t="n"/>
      <c r="B17228" s="9" t="n"/>
    </row>
    <row r="17229">
      <c r="A17229" s="8" t="n"/>
      <c r="B17229" s="9" t="n"/>
    </row>
    <row r="17230">
      <c r="A17230" s="8" t="n"/>
      <c r="B17230" s="9" t="n"/>
    </row>
    <row r="17231">
      <c r="A17231" s="8" t="n"/>
      <c r="B17231" s="9" t="n"/>
    </row>
    <row r="17232">
      <c r="A17232" s="8" t="n"/>
      <c r="B17232" s="9" t="n"/>
    </row>
    <row r="17233">
      <c r="A17233" s="8" t="n"/>
      <c r="B17233" s="9" t="n"/>
    </row>
    <row r="17234">
      <c r="A17234" s="8" t="n"/>
      <c r="B17234" s="9" t="n"/>
    </row>
    <row r="17235">
      <c r="A17235" s="8" t="n"/>
      <c r="B17235" s="9" t="n"/>
    </row>
    <row r="17236">
      <c r="A17236" s="8" t="n"/>
      <c r="B17236" s="9" t="n"/>
    </row>
    <row r="17237">
      <c r="A17237" s="8" t="n"/>
      <c r="B17237" s="9" t="n"/>
    </row>
    <row r="17238">
      <c r="A17238" s="8" t="n"/>
      <c r="B17238" s="9" t="n"/>
    </row>
    <row r="17239">
      <c r="A17239" s="8" t="n"/>
      <c r="B17239" s="9" t="n"/>
    </row>
    <row r="17240">
      <c r="A17240" s="8" t="n"/>
      <c r="B17240" s="9" t="n"/>
    </row>
    <row r="17241">
      <c r="A17241" s="8" t="n"/>
      <c r="B17241" s="9" t="n"/>
    </row>
    <row r="17242">
      <c r="A17242" s="8" t="n"/>
      <c r="B17242" s="9" t="n"/>
    </row>
    <row r="17243">
      <c r="A17243" s="8" t="n"/>
      <c r="B17243" s="9" t="n"/>
    </row>
    <row r="17244">
      <c r="A17244" s="8" t="n"/>
      <c r="B17244" s="9" t="n"/>
    </row>
    <row r="17245">
      <c r="A17245" s="8" t="n"/>
      <c r="B17245" s="9" t="n"/>
    </row>
    <row r="17246">
      <c r="A17246" s="8" t="n"/>
      <c r="B17246" s="9" t="n"/>
    </row>
    <row r="17247">
      <c r="A17247" s="8" t="n"/>
      <c r="B17247" s="9" t="n"/>
    </row>
    <row r="17248">
      <c r="A17248" s="8" t="n"/>
      <c r="B17248" s="9" t="n"/>
    </row>
    <row r="17249">
      <c r="A17249" s="8" t="n"/>
      <c r="B17249" s="9" t="n"/>
    </row>
    <row r="17250">
      <c r="A17250" s="8" t="n"/>
      <c r="B17250" s="9" t="n"/>
    </row>
    <row r="17251">
      <c r="A17251" s="8" t="n"/>
      <c r="B17251" s="9" t="n"/>
    </row>
    <row r="17252">
      <c r="A17252" s="8" t="n"/>
      <c r="B17252" s="9" t="n"/>
    </row>
    <row r="17253">
      <c r="A17253" s="8" t="n"/>
      <c r="B17253" s="9" t="n"/>
    </row>
    <row r="17254">
      <c r="A17254" s="8" t="n"/>
      <c r="B17254" s="9" t="n"/>
    </row>
    <row r="17255">
      <c r="A17255" s="8" t="n"/>
      <c r="B17255" s="9" t="n"/>
    </row>
    <row r="17256">
      <c r="A17256" s="8" t="n"/>
      <c r="B17256" s="9" t="n"/>
    </row>
    <row r="17257">
      <c r="A17257" s="8" t="n"/>
      <c r="B17257" s="9" t="n"/>
    </row>
    <row r="17258">
      <c r="A17258" s="8" t="n"/>
      <c r="B17258" s="9" t="n"/>
    </row>
    <row r="17259">
      <c r="A17259" s="8" t="n"/>
      <c r="B17259" s="9" t="n"/>
    </row>
    <row r="17260">
      <c r="A17260" s="8" t="n"/>
      <c r="B17260" s="9" t="n"/>
    </row>
    <row r="17261">
      <c r="A17261" s="8" t="n"/>
      <c r="B17261" s="9" t="n"/>
    </row>
    <row r="17262">
      <c r="A17262" s="8" t="n"/>
      <c r="B17262" s="9" t="n"/>
    </row>
    <row r="17263">
      <c r="A17263" s="8" t="n"/>
      <c r="B17263" s="9" t="n"/>
    </row>
    <row r="17264">
      <c r="A17264" s="8" t="n"/>
      <c r="B17264" s="9" t="n"/>
    </row>
    <row r="17265">
      <c r="A17265" s="8" t="n"/>
      <c r="B17265" s="9" t="n"/>
    </row>
    <row r="17266">
      <c r="A17266" s="8" t="n"/>
      <c r="B17266" s="9" t="n"/>
    </row>
    <row r="17267">
      <c r="A17267" s="8" t="n"/>
      <c r="B17267" s="9" t="n"/>
    </row>
    <row r="17268">
      <c r="A17268" s="8" t="n"/>
      <c r="B17268" s="9" t="n"/>
    </row>
    <row r="17269">
      <c r="A17269" s="8" t="n"/>
      <c r="B17269" s="9" t="n"/>
    </row>
    <row r="17270">
      <c r="A17270" s="8" t="n"/>
      <c r="B17270" s="9" t="n"/>
    </row>
    <row r="17271">
      <c r="A17271" s="8" t="n"/>
      <c r="B17271" s="9" t="n"/>
    </row>
    <row r="17272">
      <c r="A17272" s="8" t="n"/>
      <c r="B17272" s="9" t="n"/>
    </row>
    <row r="17273">
      <c r="A17273" s="8" t="n"/>
      <c r="B17273" s="9" t="n"/>
    </row>
    <row r="17274">
      <c r="A17274" s="8" t="n"/>
      <c r="B17274" s="9" t="n"/>
    </row>
    <row r="17275">
      <c r="A17275" s="8" t="n"/>
      <c r="B17275" s="9" t="n"/>
    </row>
    <row r="17276">
      <c r="A17276" s="8" t="n"/>
      <c r="B17276" s="9" t="n"/>
    </row>
    <row r="17277">
      <c r="A17277" s="8" t="n"/>
      <c r="B17277" s="9" t="n"/>
    </row>
    <row r="17278">
      <c r="A17278" s="8" t="n"/>
      <c r="B17278" s="9" t="n"/>
    </row>
    <row r="17279">
      <c r="A17279" s="8" t="n"/>
      <c r="B17279" s="9" t="n"/>
    </row>
    <row r="17280">
      <c r="A17280" s="8" t="n"/>
      <c r="B17280" s="9" t="n"/>
    </row>
    <row r="17281">
      <c r="A17281" s="8" t="n"/>
      <c r="B17281" s="9" t="n"/>
    </row>
    <row r="17282">
      <c r="A17282" s="8" t="n"/>
      <c r="B17282" s="9" t="n"/>
    </row>
    <row r="17283">
      <c r="A17283" s="8" t="n"/>
      <c r="B17283" s="9" t="n"/>
    </row>
    <row r="17284">
      <c r="A17284" s="8" t="n"/>
      <c r="B17284" s="9" t="n"/>
    </row>
    <row r="17285">
      <c r="A17285" s="8" t="n"/>
      <c r="B17285" s="9" t="n"/>
    </row>
    <row r="17286">
      <c r="A17286" s="8" t="n"/>
      <c r="B17286" s="9" t="n"/>
    </row>
    <row r="17287">
      <c r="A17287" s="8" t="n"/>
      <c r="B17287" s="9" t="n"/>
    </row>
    <row r="17288">
      <c r="A17288" s="8" t="n"/>
      <c r="B17288" s="9" t="n"/>
    </row>
    <row r="17289">
      <c r="A17289" s="8" t="n"/>
      <c r="B17289" s="9" t="n"/>
    </row>
    <row r="17290">
      <c r="A17290" s="8" t="n"/>
      <c r="B17290" s="9" t="n"/>
    </row>
    <row r="17291">
      <c r="A17291" s="8" t="n"/>
      <c r="B17291" s="9" t="n"/>
    </row>
    <row r="17292">
      <c r="A17292" s="8" t="n"/>
      <c r="B17292" s="9" t="n"/>
    </row>
    <row r="17293">
      <c r="A17293" s="8" t="n"/>
      <c r="B17293" s="9" t="n"/>
    </row>
    <row r="17294">
      <c r="A17294" s="8" t="n"/>
      <c r="B17294" s="9" t="n"/>
    </row>
    <row r="17295">
      <c r="A17295" s="8" t="n"/>
      <c r="B17295" s="9" t="n"/>
    </row>
    <row r="17296">
      <c r="A17296" s="8" t="n"/>
      <c r="B17296" s="9" t="n"/>
    </row>
    <row r="17297">
      <c r="A17297" s="8" t="n"/>
      <c r="B17297" s="9" t="n"/>
    </row>
    <row r="17298">
      <c r="A17298" s="8" t="n"/>
      <c r="B17298" s="9" t="n"/>
    </row>
    <row r="17299">
      <c r="A17299" s="8" t="n"/>
      <c r="B17299" s="9" t="n"/>
    </row>
    <row r="17300">
      <c r="A17300" s="8" t="n"/>
      <c r="B17300" s="9" t="n"/>
    </row>
    <row r="17301">
      <c r="A17301" s="8" t="n"/>
      <c r="B17301" s="9" t="n"/>
    </row>
    <row r="17302">
      <c r="A17302" s="8" t="n"/>
      <c r="B17302" s="9" t="n"/>
    </row>
    <row r="17303">
      <c r="A17303" s="8" t="n"/>
      <c r="B17303" s="9" t="n"/>
    </row>
    <row r="17304">
      <c r="A17304" s="8" t="n"/>
      <c r="B17304" s="9" t="n"/>
    </row>
    <row r="17305">
      <c r="A17305" s="8" t="n"/>
      <c r="B17305" s="9" t="n"/>
    </row>
    <row r="17306">
      <c r="A17306" s="8" t="n"/>
      <c r="B17306" s="9" t="n"/>
    </row>
    <row r="17307">
      <c r="A17307" s="8" t="n"/>
      <c r="B17307" s="9" t="n"/>
    </row>
    <row r="17308">
      <c r="A17308" s="8" t="n"/>
      <c r="B17308" s="9" t="n"/>
    </row>
    <row r="17309">
      <c r="A17309" s="8" t="n"/>
      <c r="B17309" s="9" t="n"/>
    </row>
    <row r="17310">
      <c r="A17310" s="8" t="n"/>
      <c r="B17310" s="9" t="n"/>
    </row>
    <row r="17311">
      <c r="A17311" s="8" t="n"/>
      <c r="B17311" s="9" t="n"/>
    </row>
    <row r="17312">
      <c r="A17312" s="8" t="n"/>
      <c r="B17312" s="9" t="n"/>
    </row>
    <row r="17313">
      <c r="A17313" s="8" t="n"/>
      <c r="B17313" s="9" t="n"/>
    </row>
    <row r="17314">
      <c r="A17314" s="8" t="n"/>
      <c r="B17314" s="9" t="n"/>
    </row>
    <row r="17315">
      <c r="A17315" s="8" t="n"/>
      <c r="B17315" s="9" t="n"/>
    </row>
    <row r="17316">
      <c r="A17316" s="8" t="n"/>
      <c r="B17316" s="9" t="n"/>
    </row>
    <row r="17317">
      <c r="A17317" s="8" t="n"/>
      <c r="B17317" s="9" t="n"/>
    </row>
    <row r="17318">
      <c r="A17318" s="8" t="n"/>
      <c r="B17318" s="9" t="n"/>
    </row>
    <row r="17319">
      <c r="A17319" s="8" t="n"/>
      <c r="B17319" s="9" t="n"/>
    </row>
    <row r="17320">
      <c r="A17320" s="8" t="n"/>
      <c r="B17320" s="9" t="n"/>
    </row>
    <row r="17321">
      <c r="A17321" s="8" t="n"/>
      <c r="B17321" s="9" t="n"/>
    </row>
    <row r="17322">
      <c r="A17322" s="8" t="n"/>
      <c r="B17322" s="9" t="n"/>
    </row>
    <row r="17323">
      <c r="A17323" s="8" t="n"/>
      <c r="B17323" s="9" t="n"/>
    </row>
    <row r="17324">
      <c r="A17324" s="8" t="n"/>
      <c r="B17324" s="9" t="n"/>
    </row>
    <row r="17325">
      <c r="A17325" s="8" t="n"/>
      <c r="B17325" s="9" t="n"/>
    </row>
    <row r="17326">
      <c r="A17326" s="8" t="n"/>
      <c r="B17326" s="9" t="n"/>
    </row>
    <row r="17327">
      <c r="A17327" s="8" t="n"/>
      <c r="B17327" s="9" t="n"/>
    </row>
    <row r="17328">
      <c r="A17328" s="8" t="n"/>
      <c r="B17328" s="9" t="n"/>
    </row>
    <row r="17329">
      <c r="A17329" s="8" t="n"/>
      <c r="B17329" s="9" t="n"/>
    </row>
    <row r="17330">
      <c r="A17330" s="8" t="n"/>
      <c r="B17330" s="9" t="n"/>
    </row>
    <row r="17331">
      <c r="A17331" s="8" t="n"/>
      <c r="B17331" s="9" t="n"/>
    </row>
    <row r="17332">
      <c r="A17332" s="8" t="n"/>
      <c r="B17332" s="9" t="n"/>
    </row>
    <row r="17333">
      <c r="A17333" s="8" t="n"/>
      <c r="B17333" s="9" t="n"/>
    </row>
    <row r="17334">
      <c r="A17334" s="8" t="n"/>
      <c r="B17334" s="9" t="n"/>
    </row>
    <row r="17335">
      <c r="A17335" s="8" t="n"/>
      <c r="B17335" s="9" t="n"/>
    </row>
    <row r="17336">
      <c r="A17336" s="8" t="n"/>
      <c r="B17336" s="9" t="n"/>
    </row>
    <row r="17337">
      <c r="A17337" s="8" t="n"/>
      <c r="B17337" s="9" t="n"/>
    </row>
    <row r="17338">
      <c r="A17338" s="8" t="n"/>
      <c r="B17338" s="9" t="n"/>
    </row>
    <row r="17339">
      <c r="A17339" s="8" t="n"/>
      <c r="B17339" s="9" t="n"/>
    </row>
    <row r="17340">
      <c r="A17340" s="8" t="n"/>
      <c r="B17340" s="9" t="n"/>
    </row>
    <row r="17341">
      <c r="A17341" s="8" t="n"/>
      <c r="B17341" s="9" t="n"/>
    </row>
    <row r="17342">
      <c r="A17342" s="8" t="n"/>
      <c r="B17342" s="9" t="n"/>
    </row>
    <row r="17343">
      <c r="A17343" s="8" t="n"/>
      <c r="B17343" s="9" t="n"/>
    </row>
    <row r="17344">
      <c r="A17344" s="8" t="n"/>
      <c r="B17344" s="9" t="n"/>
    </row>
    <row r="17345">
      <c r="A17345" s="8" t="n"/>
      <c r="B17345" s="9" t="n"/>
    </row>
    <row r="17346">
      <c r="A17346" s="8" t="n"/>
      <c r="B17346" s="9" t="n"/>
    </row>
    <row r="17347">
      <c r="A17347" s="8" t="n"/>
      <c r="B17347" s="9" t="n"/>
    </row>
    <row r="17348">
      <c r="A17348" s="8" t="n"/>
      <c r="B17348" s="9" t="n"/>
    </row>
    <row r="17349">
      <c r="A17349" s="8" t="n"/>
      <c r="B17349" s="9" t="n"/>
    </row>
    <row r="17350">
      <c r="A17350" s="8" t="n"/>
      <c r="B17350" s="9" t="n"/>
    </row>
    <row r="17351">
      <c r="A17351" s="8" t="n"/>
      <c r="B17351" s="9" t="n"/>
    </row>
    <row r="17352">
      <c r="A17352" s="8" t="n"/>
      <c r="B17352" s="9" t="n"/>
    </row>
    <row r="17353">
      <c r="A17353" s="8" t="n"/>
      <c r="B17353" s="9" t="n"/>
    </row>
    <row r="17354">
      <c r="A17354" s="8" t="n"/>
      <c r="B17354" s="9" t="n"/>
    </row>
    <row r="17355">
      <c r="A17355" s="8" t="n"/>
      <c r="B17355" s="9" t="n"/>
    </row>
    <row r="17356">
      <c r="A17356" s="8" t="n"/>
      <c r="B17356" s="9" t="n"/>
    </row>
    <row r="17357">
      <c r="A17357" s="8" t="n"/>
      <c r="B17357" s="9" t="n"/>
    </row>
    <row r="17358">
      <c r="A17358" s="8" t="n"/>
      <c r="B17358" s="9" t="n"/>
    </row>
    <row r="17359">
      <c r="A17359" s="8" t="n"/>
      <c r="B17359" s="9" t="n"/>
    </row>
    <row r="17360">
      <c r="A17360" s="8" t="n"/>
      <c r="B17360" s="9" t="n"/>
    </row>
    <row r="17361">
      <c r="A17361" s="8" t="n"/>
      <c r="B17361" s="9" t="n"/>
    </row>
    <row r="17362">
      <c r="A17362" s="8" t="n"/>
      <c r="B17362" s="9" t="n"/>
    </row>
    <row r="17363">
      <c r="A17363" s="8" t="n"/>
      <c r="B17363" s="9" t="n"/>
    </row>
    <row r="17364">
      <c r="A17364" s="8" t="n"/>
      <c r="B17364" s="9" t="n"/>
    </row>
    <row r="17365">
      <c r="A17365" s="8" t="n"/>
      <c r="B17365" s="9" t="n"/>
    </row>
    <row r="17366">
      <c r="A17366" s="8" t="n"/>
      <c r="B17366" s="9" t="n"/>
    </row>
    <row r="17367">
      <c r="A17367" s="8" t="n"/>
      <c r="B17367" s="9" t="n"/>
    </row>
    <row r="17368">
      <c r="A17368" s="8" t="n"/>
      <c r="B17368" s="9" t="n"/>
    </row>
    <row r="17369">
      <c r="A17369" s="8" t="n"/>
      <c r="B17369" s="9" t="n"/>
    </row>
    <row r="17370">
      <c r="A17370" s="8" t="n"/>
      <c r="B17370" s="9" t="n"/>
    </row>
    <row r="17371">
      <c r="A17371" s="8" t="n"/>
      <c r="B17371" s="9" t="n"/>
    </row>
    <row r="17372">
      <c r="A17372" s="8" t="n"/>
      <c r="B17372" s="9" t="n"/>
    </row>
    <row r="17373">
      <c r="A17373" s="8" t="n"/>
      <c r="B17373" s="9" t="n"/>
    </row>
    <row r="17374">
      <c r="A17374" s="8" t="n"/>
      <c r="B17374" s="9" t="n"/>
    </row>
    <row r="17375">
      <c r="A17375" s="8" t="n"/>
      <c r="B17375" s="9" t="n"/>
    </row>
    <row r="17376">
      <c r="A17376" s="8" t="n"/>
      <c r="B17376" s="9" t="n"/>
    </row>
    <row r="17377">
      <c r="A17377" s="8" t="n"/>
      <c r="B17377" s="9" t="n"/>
    </row>
    <row r="17378">
      <c r="A17378" s="8" t="n"/>
      <c r="B17378" s="9" t="n"/>
    </row>
    <row r="17379">
      <c r="A17379" s="8" t="n"/>
      <c r="B17379" s="9" t="n"/>
    </row>
    <row r="17380">
      <c r="A17380" s="8" t="n"/>
      <c r="B17380" s="9" t="n"/>
    </row>
    <row r="17381">
      <c r="A17381" s="8" t="n"/>
      <c r="B17381" s="9" t="n"/>
    </row>
    <row r="17382">
      <c r="A17382" s="8" t="n"/>
      <c r="B17382" s="9" t="n"/>
    </row>
    <row r="17383">
      <c r="A17383" s="8" t="n"/>
      <c r="B17383" s="9" t="n"/>
    </row>
    <row r="17384">
      <c r="A17384" s="8" t="n"/>
      <c r="B17384" s="9" t="n"/>
    </row>
    <row r="17385">
      <c r="A17385" s="8" t="n"/>
      <c r="B17385" s="9" t="n"/>
    </row>
    <row r="17386">
      <c r="A17386" s="8" t="n"/>
      <c r="B17386" s="9" t="n"/>
    </row>
    <row r="17387">
      <c r="A17387" s="8" t="n"/>
      <c r="B17387" s="9" t="n"/>
    </row>
    <row r="17388">
      <c r="A17388" s="8" t="n"/>
      <c r="B17388" s="9" t="n"/>
    </row>
    <row r="17389">
      <c r="A17389" s="8" t="n"/>
      <c r="B17389" s="9" t="n"/>
    </row>
    <row r="17390">
      <c r="A17390" s="8" t="n"/>
      <c r="B17390" s="9" t="n"/>
    </row>
    <row r="17391">
      <c r="A17391" s="8" t="n"/>
      <c r="B17391" s="9" t="n"/>
    </row>
    <row r="17392">
      <c r="A17392" s="8" t="n"/>
      <c r="B17392" s="9" t="n"/>
    </row>
    <row r="17393">
      <c r="A17393" s="8" t="n"/>
      <c r="B17393" s="9" t="n"/>
    </row>
    <row r="17394">
      <c r="A17394" s="8" t="n"/>
      <c r="B17394" s="9" t="n"/>
    </row>
    <row r="17395">
      <c r="A17395" s="8" t="n"/>
      <c r="B17395" s="9" t="n"/>
    </row>
    <row r="17396">
      <c r="A17396" s="8" t="n"/>
      <c r="B17396" s="9" t="n"/>
    </row>
    <row r="17397">
      <c r="A17397" s="8" t="n"/>
      <c r="B17397" s="9" t="n"/>
    </row>
    <row r="17398">
      <c r="A17398" s="8" t="n"/>
      <c r="B17398" s="9" t="n"/>
    </row>
    <row r="17399">
      <c r="A17399" s="8" t="n"/>
      <c r="B17399" s="9" t="n"/>
    </row>
    <row r="17400">
      <c r="A17400" s="8" t="n"/>
      <c r="B17400" s="9" t="n"/>
    </row>
    <row r="17401">
      <c r="A17401" s="8" t="n"/>
      <c r="B17401" s="9" t="n"/>
    </row>
    <row r="17402">
      <c r="A17402" s="8" t="n"/>
      <c r="B17402" s="9" t="n"/>
    </row>
    <row r="17403">
      <c r="A17403" s="8" t="n"/>
      <c r="B17403" s="9" t="n"/>
    </row>
    <row r="17404">
      <c r="A17404" s="8" t="n"/>
      <c r="B17404" s="9" t="n"/>
    </row>
    <row r="17405">
      <c r="A17405" s="8" t="n"/>
      <c r="B17405" s="9" t="n"/>
    </row>
    <row r="17406">
      <c r="A17406" s="8" t="n"/>
      <c r="B17406" s="9" t="n"/>
    </row>
    <row r="17407">
      <c r="A17407" s="8" t="n"/>
      <c r="B17407" s="9" t="n"/>
    </row>
    <row r="17408">
      <c r="A17408" s="8" t="n"/>
      <c r="B17408" s="9" t="n"/>
    </row>
    <row r="17409">
      <c r="A17409" s="8" t="n"/>
      <c r="B17409" s="9" t="n"/>
    </row>
    <row r="17410">
      <c r="A17410" s="8" t="n"/>
      <c r="B17410" s="9" t="n"/>
    </row>
    <row r="17411">
      <c r="A17411" s="8" t="n"/>
      <c r="B17411" s="9" t="n"/>
    </row>
    <row r="17412">
      <c r="A17412" s="8" t="n"/>
      <c r="B17412" s="9" t="n"/>
    </row>
    <row r="17413">
      <c r="A17413" s="8" t="n"/>
      <c r="B17413" s="9" t="n"/>
    </row>
    <row r="17414">
      <c r="A17414" s="8" t="n"/>
      <c r="B17414" s="9" t="n"/>
    </row>
    <row r="17415">
      <c r="A17415" s="8" t="n"/>
      <c r="B17415" s="9" t="n"/>
    </row>
    <row r="17416">
      <c r="A17416" s="8" t="n"/>
      <c r="B17416" s="9" t="n"/>
    </row>
    <row r="17417">
      <c r="A17417" s="8" t="n"/>
      <c r="B17417" s="9" t="n"/>
    </row>
    <row r="17418">
      <c r="A17418" s="8" t="n"/>
      <c r="B17418" s="9" t="n"/>
    </row>
    <row r="17419">
      <c r="A17419" s="8" t="n"/>
      <c r="B17419" s="9" t="n"/>
    </row>
    <row r="17420">
      <c r="A17420" s="8" t="n"/>
      <c r="B17420" s="9" t="n"/>
    </row>
    <row r="17421">
      <c r="A17421" s="8" t="n"/>
      <c r="B17421" s="9" t="n"/>
    </row>
    <row r="17422">
      <c r="A17422" s="8" t="n"/>
      <c r="B17422" s="9" t="n"/>
    </row>
    <row r="17423">
      <c r="A17423" s="8" t="n"/>
      <c r="B17423" s="9" t="n"/>
    </row>
    <row r="17424">
      <c r="A17424" s="8" t="n"/>
      <c r="B17424" s="9" t="n"/>
    </row>
    <row r="17425">
      <c r="A17425" s="8" t="n"/>
      <c r="B17425" s="9" t="n"/>
    </row>
    <row r="17426">
      <c r="A17426" s="8" t="n"/>
      <c r="B17426" s="9" t="n"/>
    </row>
    <row r="17427">
      <c r="A17427" s="8" t="n"/>
      <c r="B17427" s="9" t="n"/>
    </row>
    <row r="17428">
      <c r="A17428" s="8" t="n"/>
      <c r="B17428" s="9" t="n"/>
    </row>
    <row r="17429">
      <c r="A17429" s="8" t="n"/>
      <c r="B17429" s="9" t="n"/>
    </row>
    <row r="17430">
      <c r="A17430" s="8" t="n"/>
      <c r="B17430" s="9" t="n"/>
    </row>
    <row r="17431">
      <c r="A17431" s="8" t="n"/>
      <c r="B17431" s="9" t="n"/>
    </row>
    <row r="17432">
      <c r="A17432" s="8" t="n"/>
      <c r="B17432" s="9" t="n"/>
    </row>
    <row r="17433">
      <c r="A17433" s="8" t="n"/>
      <c r="B17433" s="9" t="n"/>
    </row>
    <row r="17434">
      <c r="A17434" s="8" t="n"/>
      <c r="B17434" s="9" t="n"/>
    </row>
    <row r="17435">
      <c r="A17435" s="8" t="n"/>
      <c r="B17435" s="9" t="n"/>
    </row>
    <row r="17436">
      <c r="A17436" s="8" t="n"/>
      <c r="B17436" s="9" t="n"/>
    </row>
    <row r="17437">
      <c r="A17437" s="8" t="n"/>
      <c r="B17437" s="9" t="n"/>
    </row>
    <row r="17438">
      <c r="A17438" s="8" t="n"/>
      <c r="B17438" s="9" t="n"/>
    </row>
    <row r="17439">
      <c r="A17439" s="8" t="n"/>
      <c r="B17439" s="9" t="n"/>
    </row>
    <row r="17440">
      <c r="A17440" s="8" t="n"/>
      <c r="B17440" s="9" t="n"/>
    </row>
    <row r="17441">
      <c r="A17441" s="8" t="n"/>
      <c r="B17441" s="9" t="n"/>
    </row>
    <row r="17442">
      <c r="A17442" s="8" t="n"/>
      <c r="B17442" s="9" t="n"/>
    </row>
    <row r="17443">
      <c r="A17443" s="8" t="n"/>
      <c r="B17443" s="9" t="n"/>
    </row>
    <row r="17444">
      <c r="A17444" s="8" t="n"/>
      <c r="B17444" s="9" t="n"/>
    </row>
    <row r="17445">
      <c r="A17445" s="8" t="n"/>
      <c r="B17445" s="9" t="n"/>
    </row>
    <row r="17446">
      <c r="A17446" s="8" t="n"/>
      <c r="B17446" s="9" t="n"/>
    </row>
    <row r="17447">
      <c r="A17447" s="8" t="n"/>
      <c r="B17447" s="9" t="n"/>
    </row>
    <row r="17448">
      <c r="A17448" s="8" t="n"/>
      <c r="B17448" s="9" t="n"/>
    </row>
    <row r="17449">
      <c r="A17449" s="8" t="n"/>
      <c r="B17449" s="9" t="n"/>
    </row>
    <row r="17450">
      <c r="A17450" s="8" t="n"/>
      <c r="B17450" s="9" t="n"/>
    </row>
    <row r="17451">
      <c r="A17451" s="8" t="n"/>
      <c r="B17451" s="9" t="n"/>
    </row>
    <row r="17452">
      <c r="A17452" s="8" t="n"/>
      <c r="B17452" s="9" t="n"/>
    </row>
    <row r="17453">
      <c r="A17453" s="8" t="n"/>
      <c r="B17453" s="9" t="n"/>
    </row>
    <row r="17454">
      <c r="A17454" s="8" t="n"/>
      <c r="B17454" s="9" t="n"/>
    </row>
    <row r="17455">
      <c r="A17455" s="8" t="n"/>
      <c r="B17455" s="9" t="n"/>
    </row>
    <row r="17456">
      <c r="A17456" s="8" t="n"/>
      <c r="B17456" s="9" t="n"/>
    </row>
    <row r="17457">
      <c r="A17457" s="8" t="n"/>
      <c r="B17457" s="9" t="n"/>
    </row>
    <row r="17458">
      <c r="A17458" s="8" t="n"/>
      <c r="B17458" s="9" t="n"/>
    </row>
    <row r="17459">
      <c r="A17459" s="8" t="n"/>
      <c r="B17459" s="9" t="n"/>
    </row>
    <row r="17460">
      <c r="A17460" s="8" t="n"/>
      <c r="B17460" s="9" t="n"/>
    </row>
    <row r="17461">
      <c r="A17461" s="8" t="n"/>
      <c r="B17461" s="9" t="n"/>
    </row>
    <row r="17462">
      <c r="A17462" s="8" t="n"/>
      <c r="B17462" s="9" t="n"/>
    </row>
    <row r="17463">
      <c r="A17463" s="8" t="n"/>
      <c r="B17463" s="9" t="n"/>
    </row>
    <row r="17464">
      <c r="A17464" s="8" t="n"/>
      <c r="B17464" s="9" t="n"/>
    </row>
    <row r="17465">
      <c r="A17465" s="8" t="n"/>
      <c r="B17465" s="9" t="n"/>
    </row>
    <row r="17466">
      <c r="A17466" s="8" t="n"/>
      <c r="B17466" s="9" t="n"/>
    </row>
    <row r="17467">
      <c r="A17467" s="8" t="n"/>
      <c r="B17467" s="9" t="n"/>
    </row>
    <row r="17468">
      <c r="A17468" s="8" t="n"/>
      <c r="B17468" s="9" t="n"/>
    </row>
    <row r="17469">
      <c r="A17469" s="8" t="n"/>
      <c r="B17469" s="9" t="n"/>
    </row>
    <row r="17470">
      <c r="A17470" s="8" t="n"/>
      <c r="B17470" s="9" t="n"/>
    </row>
    <row r="17471">
      <c r="A17471" s="8" t="n"/>
      <c r="B17471" s="9" t="n"/>
    </row>
    <row r="17472">
      <c r="A17472" s="8" t="n"/>
      <c r="B17472" s="9" t="n"/>
    </row>
    <row r="17473">
      <c r="A17473" s="8" t="n"/>
      <c r="B17473" s="9" t="n"/>
    </row>
    <row r="17474">
      <c r="A17474" s="8" t="n"/>
      <c r="B17474" s="9" t="n"/>
    </row>
    <row r="17475">
      <c r="A17475" s="8" t="n"/>
      <c r="B17475" s="9" t="n"/>
    </row>
    <row r="17476">
      <c r="A17476" s="8" t="n"/>
      <c r="B17476" s="9" t="n"/>
    </row>
    <row r="17477">
      <c r="A17477" s="8" t="n"/>
      <c r="B17477" s="9" t="n"/>
    </row>
    <row r="17478">
      <c r="A17478" s="8" t="n"/>
      <c r="B17478" s="9" t="n"/>
    </row>
    <row r="17479">
      <c r="A17479" s="8" t="n"/>
      <c r="B17479" s="9" t="n"/>
    </row>
    <row r="17480">
      <c r="A17480" s="8" t="n"/>
      <c r="B17480" s="9" t="n"/>
    </row>
    <row r="17481">
      <c r="A17481" s="8" t="n"/>
      <c r="B17481" s="9" t="n"/>
    </row>
    <row r="17482">
      <c r="A17482" s="8" t="n"/>
      <c r="B17482" s="9" t="n"/>
    </row>
    <row r="17483">
      <c r="A17483" s="8" t="n"/>
      <c r="B17483" s="9" t="n"/>
    </row>
    <row r="17484">
      <c r="A17484" s="8" t="n"/>
      <c r="B17484" s="9" t="n"/>
    </row>
    <row r="17485">
      <c r="A17485" s="8" t="n"/>
      <c r="B17485" s="9" t="n"/>
    </row>
    <row r="17486">
      <c r="A17486" s="8" t="n"/>
      <c r="B17486" s="9" t="n"/>
    </row>
    <row r="17487">
      <c r="A17487" s="8" t="n"/>
      <c r="B17487" s="9" t="n"/>
    </row>
    <row r="17488">
      <c r="A17488" s="8" t="n"/>
      <c r="B17488" s="9" t="n"/>
    </row>
    <row r="17489">
      <c r="A17489" s="8" t="n"/>
      <c r="B17489" s="9" t="n"/>
    </row>
    <row r="17490">
      <c r="A17490" s="8" t="n"/>
      <c r="B17490" s="9" t="n"/>
    </row>
    <row r="17491">
      <c r="A17491" s="8" t="n"/>
      <c r="B17491" s="9" t="n"/>
    </row>
    <row r="17492">
      <c r="A17492" s="8" t="n"/>
      <c r="B17492" s="9" t="n"/>
    </row>
    <row r="17493">
      <c r="A17493" s="8" t="n"/>
      <c r="B17493" s="9" t="n"/>
    </row>
    <row r="17494">
      <c r="A17494" s="8" t="n"/>
      <c r="B17494" s="9" t="n"/>
    </row>
    <row r="17495">
      <c r="A17495" s="8" t="n"/>
      <c r="B17495" s="9" t="n"/>
    </row>
    <row r="17496">
      <c r="A17496" s="8" t="n"/>
      <c r="B17496" s="9" t="n"/>
    </row>
    <row r="17497">
      <c r="A17497" s="8" t="n"/>
      <c r="B17497" s="9" t="n"/>
    </row>
    <row r="17498">
      <c r="A17498" s="8" t="n"/>
      <c r="B17498" s="9" t="n"/>
    </row>
    <row r="17499">
      <c r="A17499" s="8" t="n"/>
      <c r="B17499" s="9" t="n"/>
    </row>
    <row r="17500">
      <c r="A17500" s="8" t="n"/>
      <c r="B17500" s="9" t="n"/>
    </row>
    <row r="17501">
      <c r="A17501" s="8" t="n"/>
      <c r="B17501" s="9" t="n"/>
    </row>
    <row r="17502">
      <c r="A17502" s="8" t="n"/>
      <c r="B17502" s="9" t="n"/>
    </row>
    <row r="17503">
      <c r="A17503" s="8" t="n"/>
      <c r="B17503" s="9" t="n"/>
    </row>
    <row r="17504">
      <c r="A17504" s="8" t="n"/>
      <c r="B17504" s="9" t="n"/>
    </row>
    <row r="17505">
      <c r="A17505" s="8" t="n"/>
      <c r="B17505" s="9" t="n"/>
    </row>
    <row r="17506">
      <c r="A17506" s="8" t="n"/>
      <c r="B17506" s="9" t="n"/>
    </row>
    <row r="17507">
      <c r="A17507" s="8" t="n"/>
      <c r="B17507" s="9" t="n"/>
    </row>
    <row r="17508">
      <c r="A17508" s="8" t="n"/>
      <c r="B17508" s="9" t="n"/>
    </row>
    <row r="17509">
      <c r="A17509" s="8" t="n"/>
      <c r="B17509" s="9" t="n"/>
    </row>
    <row r="17510">
      <c r="A17510" s="8" t="n"/>
      <c r="B17510" s="9" t="n"/>
    </row>
    <row r="17511">
      <c r="A17511" s="8" t="n"/>
      <c r="B17511" s="9" t="n"/>
    </row>
    <row r="17512">
      <c r="A17512" s="8" t="n"/>
      <c r="B17512" s="9" t="n"/>
    </row>
    <row r="17513">
      <c r="A17513" s="8" t="n"/>
      <c r="B17513" s="9" t="n"/>
    </row>
    <row r="17514">
      <c r="A17514" s="8" t="n"/>
      <c r="B17514" s="9" t="n"/>
    </row>
    <row r="17515">
      <c r="A17515" s="8" t="n"/>
      <c r="B17515" s="9" t="n"/>
    </row>
    <row r="17516">
      <c r="A17516" s="8" t="n"/>
      <c r="B17516" s="9" t="n"/>
    </row>
    <row r="17517">
      <c r="A17517" s="8" t="n"/>
      <c r="B17517" s="9" t="n"/>
    </row>
    <row r="17518">
      <c r="A17518" s="8" t="n"/>
      <c r="B17518" s="9" t="n"/>
    </row>
    <row r="17519">
      <c r="A17519" s="8" t="n"/>
      <c r="B17519" s="9" t="n"/>
    </row>
    <row r="17520">
      <c r="A17520" s="8" t="n"/>
      <c r="B17520" s="9" t="n"/>
    </row>
    <row r="17521">
      <c r="A17521" s="8" t="n"/>
      <c r="B17521" s="9" t="n"/>
    </row>
    <row r="17522">
      <c r="A17522" s="8" t="n"/>
      <c r="B17522" s="9" t="n"/>
    </row>
    <row r="17523">
      <c r="A17523" s="8" t="n"/>
      <c r="B17523" s="9" t="n"/>
    </row>
    <row r="17524">
      <c r="A17524" s="8" t="n"/>
      <c r="B17524" s="9" t="n"/>
    </row>
    <row r="17525">
      <c r="A17525" s="8" t="n"/>
      <c r="B17525" s="9" t="n"/>
    </row>
    <row r="17526">
      <c r="A17526" s="8" t="n"/>
      <c r="B17526" s="9" t="n"/>
    </row>
    <row r="17527">
      <c r="A17527" s="8" t="n"/>
      <c r="B17527" s="9" t="n"/>
    </row>
    <row r="17528">
      <c r="A17528" s="8" t="n"/>
      <c r="B17528" s="9" t="n"/>
    </row>
    <row r="17529">
      <c r="A17529" s="8" t="n"/>
      <c r="B17529" s="9" t="n"/>
    </row>
    <row r="17530">
      <c r="A17530" s="8" t="n"/>
      <c r="B17530" s="9" t="n"/>
    </row>
    <row r="17531">
      <c r="A17531" s="8" t="n"/>
      <c r="B17531" s="9" t="n"/>
    </row>
    <row r="17532">
      <c r="A17532" s="8" t="n"/>
      <c r="B17532" s="9" t="n"/>
    </row>
    <row r="17533">
      <c r="A17533" s="8" t="n"/>
      <c r="B17533" s="9" t="n"/>
    </row>
    <row r="17534">
      <c r="A17534" s="8" t="n"/>
      <c r="B17534" s="9" t="n"/>
    </row>
    <row r="17535">
      <c r="A17535" s="8" t="n"/>
      <c r="B17535" s="9" t="n"/>
    </row>
    <row r="17536">
      <c r="A17536" s="8" t="n"/>
      <c r="B17536" s="9" t="n"/>
    </row>
    <row r="17537">
      <c r="A17537" s="8" t="n"/>
      <c r="B17537" s="9" t="n"/>
    </row>
    <row r="17538">
      <c r="A17538" s="8" t="n"/>
      <c r="B17538" s="9" t="n"/>
    </row>
    <row r="17539">
      <c r="A17539" s="8" t="n"/>
      <c r="B17539" s="9" t="n"/>
    </row>
    <row r="17540">
      <c r="A17540" s="8" t="n"/>
      <c r="B17540" s="9" t="n"/>
    </row>
    <row r="17541">
      <c r="A17541" s="8" t="n"/>
      <c r="B17541" s="9" t="n"/>
    </row>
    <row r="17542">
      <c r="A17542" s="8" t="n"/>
      <c r="B17542" s="9" t="n"/>
    </row>
    <row r="17543">
      <c r="A17543" s="8" t="n"/>
      <c r="B17543" s="9" t="n"/>
    </row>
    <row r="17544">
      <c r="A17544" s="8" t="n"/>
      <c r="B17544" s="9" t="n"/>
    </row>
    <row r="17545">
      <c r="A17545" s="8" t="n"/>
      <c r="B17545" s="9" t="n"/>
    </row>
    <row r="17546">
      <c r="A17546" s="8" t="n"/>
      <c r="B17546" s="9" t="n"/>
    </row>
    <row r="17547">
      <c r="A17547" s="8" t="n"/>
      <c r="B17547" s="9" t="n"/>
    </row>
    <row r="17548">
      <c r="A17548" s="8" t="n"/>
      <c r="B17548" s="9" t="n"/>
    </row>
    <row r="17549">
      <c r="A17549" s="8" t="n"/>
      <c r="B17549" s="9" t="n"/>
    </row>
    <row r="17550">
      <c r="A17550" s="8" t="n"/>
      <c r="B17550" s="9" t="n"/>
    </row>
    <row r="17551">
      <c r="A17551" s="8" t="n"/>
      <c r="B17551" s="9" t="n"/>
    </row>
    <row r="17552">
      <c r="A17552" s="8" t="n"/>
      <c r="B17552" s="9" t="n"/>
    </row>
    <row r="17553">
      <c r="A17553" s="8" t="n"/>
      <c r="B17553" s="9" t="n"/>
    </row>
    <row r="17554">
      <c r="A17554" s="8" t="n"/>
      <c r="B17554" s="9" t="n"/>
    </row>
    <row r="17555">
      <c r="A17555" s="8" t="n"/>
      <c r="B17555" s="9" t="n"/>
    </row>
    <row r="17556">
      <c r="A17556" s="8" t="n"/>
      <c r="B17556" s="9" t="n"/>
    </row>
    <row r="17557">
      <c r="A17557" s="8" t="n"/>
      <c r="B17557" s="9" t="n"/>
    </row>
    <row r="17558">
      <c r="A17558" s="8" t="n"/>
      <c r="B17558" s="9" t="n"/>
    </row>
    <row r="17559">
      <c r="A17559" s="8" t="n"/>
      <c r="B17559" s="9" t="n"/>
    </row>
    <row r="17560">
      <c r="A17560" s="8" t="n"/>
      <c r="B17560" s="9" t="n"/>
    </row>
    <row r="17561">
      <c r="A17561" s="8" t="n"/>
      <c r="B17561" s="9" t="n"/>
    </row>
    <row r="17562">
      <c r="A17562" s="8" t="n"/>
      <c r="B17562" s="9" t="n"/>
    </row>
    <row r="17563">
      <c r="A17563" s="8" t="n"/>
      <c r="B17563" s="9" t="n"/>
    </row>
    <row r="17564">
      <c r="A17564" s="8" t="n"/>
      <c r="B17564" s="9" t="n"/>
    </row>
    <row r="17565">
      <c r="A17565" s="8" t="n"/>
      <c r="B17565" s="9" t="n"/>
    </row>
    <row r="17566">
      <c r="A17566" s="8" t="n"/>
      <c r="B17566" s="9" t="n"/>
    </row>
    <row r="17567">
      <c r="A17567" s="8" t="n"/>
      <c r="B17567" s="9" t="n"/>
    </row>
    <row r="17568">
      <c r="A17568" s="8" t="n"/>
      <c r="B17568" s="9" t="n"/>
    </row>
    <row r="17569">
      <c r="A17569" s="8" t="n"/>
      <c r="B17569" s="9" t="n"/>
    </row>
    <row r="17570">
      <c r="A17570" s="8" t="n"/>
      <c r="B17570" s="9" t="n"/>
    </row>
    <row r="17571">
      <c r="A17571" s="8" t="n"/>
      <c r="B17571" s="9" t="n"/>
    </row>
    <row r="17572">
      <c r="A17572" s="8" t="n"/>
      <c r="B17572" s="9" t="n"/>
    </row>
    <row r="17573">
      <c r="A17573" s="8" t="n"/>
      <c r="B17573" s="9" t="n"/>
    </row>
    <row r="17574">
      <c r="A17574" s="8" t="n"/>
      <c r="B17574" s="9" t="n"/>
    </row>
    <row r="17575">
      <c r="A17575" s="8" t="n"/>
      <c r="B17575" s="9" t="n"/>
    </row>
    <row r="17576">
      <c r="A17576" s="8" t="n"/>
      <c r="B17576" s="9" t="n"/>
    </row>
    <row r="17577">
      <c r="A17577" s="8" t="n"/>
      <c r="B17577" s="9" t="n"/>
    </row>
    <row r="17578">
      <c r="A17578" s="8" t="n"/>
      <c r="B17578" s="9" t="n"/>
    </row>
    <row r="17579">
      <c r="A17579" s="8" t="n"/>
      <c r="B17579" s="9" t="n"/>
    </row>
    <row r="17580">
      <c r="A17580" s="8" t="n"/>
      <c r="B17580" s="9" t="n"/>
    </row>
    <row r="17581">
      <c r="A17581" s="8" t="n"/>
      <c r="B17581" s="9" t="n"/>
    </row>
    <row r="17582">
      <c r="A17582" s="8" t="n"/>
      <c r="B17582" s="9" t="n"/>
    </row>
    <row r="17583">
      <c r="A17583" s="8" t="n"/>
      <c r="B17583" s="9" t="n"/>
    </row>
    <row r="17584">
      <c r="A17584" s="8" t="n"/>
      <c r="B17584" s="9" t="n"/>
    </row>
    <row r="17585">
      <c r="A17585" s="8" t="n"/>
      <c r="B17585" s="9" t="n"/>
    </row>
    <row r="17586">
      <c r="A17586" s="8" t="n"/>
      <c r="B17586" s="9" t="n"/>
    </row>
    <row r="17587">
      <c r="A17587" s="8" t="n"/>
      <c r="B17587" s="9" t="n"/>
    </row>
    <row r="17588">
      <c r="A17588" s="8" t="n"/>
      <c r="B17588" s="9" t="n"/>
    </row>
    <row r="17589">
      <c r="A17589" s="8" t="n"/>
      <c r="B17589" s="9" t="n"/>
    </row>
    <row r="17590">
      <c r="A17590" s="8" t="n"/>
      <c r="B17590" s="9" t="n"/>
    </row>
    <row r="17591">
      <c r="A17591" s="8" t="n"/>
      <c r="B17591" s="9" t="n"/>
    </row>
    <row r="17592">
      <c r="A17592" s="8" t="n"/>
      <c r="B17592" s="9" t="n"/>
    </row>
    <row r="17593">
      <c r="A17593" s="8" t="n"/>
      <c r="B17593" s="9" t="n"/>
    </row>
    <row r="17594">
      <c r="A17594" s="8" t="n"/>
      <c r="B17594" s="9" t="n"/>
    </row>
    <row r="17595">
      <c r="A17595" s="8" t="n"/>
      <c r="B17595" s="9" t="n"/>
    </row>
    <row r="17596">
      <c r="A17596" s="8" t="n"/>
      <c r="B17596" s="9" t="n"/>
    </row>
    <row r="17597">
      <c r="A17597" s="8" t="n"/>
      <c r="B17597" s="9" t="n"/>
    </row>
    <row r="17598">
      <c r="A17598" s="8" t="n"/>
      <c r="B17598" s="9" t="n"/>
    </row>
    <row r="17599">
      <c r="A17599" s="8" t="n"/>
      <c r="B17599" s="9" t="n"/>
    </row>
    <row r="17600">
      <c r="A17600" s="8" t="n"/>
      <c r="B17600" s="9" t="n"/>
    </row>
    <row r="17601">
      <c r="A17601" s="8" t="n"/>
      <c r="B17601" s="9" t="n"/>
    </row>
    <row r="17602">
      <c r="A17602" s="8" t="n"/>
      <c r="B17602" s="9" t="n"/>
    </row>
    <row r="17603">
      <c r="A17603" s="8" t="n"/>
      <c r="B17603" s="9" t="n"/>
    </row>
    <row r="17604">
      <c r="A17604" s="8" t="n"/>
      <c r="B17604" s="9" t="n"/>
    </row>
    <row r="17605">
      <c r="A17605" s="8" t="n"/>
      <c r="B17605" s="9" t="n"/>
    </row>
    <row r="17606">
      <c r="A17606" s="8" t="n"/>
      <c r="B17606" s="9" t="n"/>
    </row>
    <row r="17607">
      <c r="A17607" s="8" t="n"/>
      <c r="B17607" s="9" t="n"/>
    </row>
    <row r="17608">
      <c r="A17608" s="8" t="n"/>
      <c r="B17608" s="9" t="n"/>
    </row>
    <row r="17609">
      <c r="A17609" s="8" t="n"/>
      <c r="B17609" s="9" t="n"/>
    </row>
    <row r="17610">
      <c r="A17610" s="8" t="n"/>
      <c r="B17610" s="9" t="n"/>
    </row>
    <row r="17611">
      <c r="A17611" s="8" t="n"/>
      <c r="B17611" s="9" t="n"/>
    </row>
    <row r="17612">
      <c r="A17612" s="8" t="n"/>
      <c r="B17612" s="9" t="n"/>
    </row>
    <row r="17613">
      <c r="A17613" s="8" t="n"/>
      <c r="B17613" s="9" t="n"/>
    </row>
    <row r="17614">
      <c r="A17614" s="8" t="n"/>
      <c r="B17614" s="9" t="n"/>
    </row>
    <row r="17615">
      <c r="A17615" s="8" t="n"/>
      <c r="B17615" s="9" t="n"/>
    </row>
    <row r="17616">
      <c r="A17616" s="8" t="n"/>
      <c r="B17616" s="9" t="n"/>
    </row>
    <row r="17617">
      <c r="A17617" s="8" t="n"/>
      <c r="B17617" s="9" t="n"/>
    </row>
    <row r="17618">
      <c r="A17618" s="8" t="n"/>
      <c r="B17618" s="9" t="n"/>
    </row>
    <row r="17619">
      <c r="A17619" s="8" t="n"/>
      <c r="B17619" s="9" t="n"/>
    </row>
    <row r="17620">
      <c r="A17620" s="8" t="n"/>
      <c r="B17620" s="9" t="n"/>
    </row>
    <row r="17621">
      <c r="A17621" s="8" t="n"/>
      <c r="B17621" s="9" t="n"/>
    </row>
    <row r="17622">
      <c r="A17622" s="8" t="n"/>
      <c r="B17622" s="9" t="n"/>
    </row>
    <row r="17623">
      <c r="A17623" s="8" t="n"/>
      <c r="B17623" s="9" t="n"/>
    </row>
    <row r="17624">
      <c r="A17624" s="8" t="n"/>
      <c r="B17624" s="9" t="n"/>
    </row>
    <row r="17625">
      <c r="A17625" s="8" t="n"/>
      <c r="B17625" s="9" t="n"/>
    </row>
    <row r="17626">
      <c r="A17626" s="8" t="n"/>
      <c r="B17626" s="9" t="n"/>
    </row>
    <row r="17627">
      <c r="A17627" s="8" t="n"/>
      <c r="B17627" s="9" t="n"/>
    </row>
    <row r="17628">
      <c r="A17628" s="8" t="n"/>
      <c r="B17628" s="9" t="n"/>
    </row>
    <row r="17629">
      <c r="A17629" s="8" t="n"/>
      <c r="B17629" s="9" t="n"/>
    </row>
    <row r="17630">
      <c r="A17630" s="8" t="n"/>
      <c r="B17630" s="9" t="n"/>
    </row>
    <row r="17631">
      <c r="A17631" s="8" t="n"/>
      <c r="B17631" s="9" t="n"/>
    </row>
    <row r="17632">
      <c r="A17632" s="8" t="n"/>
      <c r="B17632" s="9" t="n"/>
    </row>
    <row r="17633">
      <c r="A17633" s="8" t="n"/>
      <c r="B17633" s="9" t="n"/>
    </row>
    <row r="17634">
      <c r="A17634" s="8" t="n"/>
      <c r="B17634" s="9" t="n"/>
    </row>
    <row r="17635">
      <c r="A17635" s="8" t="n"/>
      <c r="B17635" s="9" t="n"/>
    </row>
    <row r="17636">
      <c r="A17636" s="8" t="n"/>
      <c r="B17636" s="9" t="n"/>
    </row>
    <row r="17637">
      <c r="A17637" s="8" t="n"/>
      <c r="B17637" s="9" t="n"/>
    </row>
    <row r="17638">
      <c r="A17638" s="8" t="n"/>
      <c r="B17638" s="9" t="n"/>
    </row>
    <row r="17639">
      <c r="A17639" s="8" t="n"/>
      <c r="B17639" s="9" t="n"/>
    </row>
    <row r="17640">
      <c r="A17640" s="8" t="n"/>
      <c r="B17640" s="9" t="n"/>
    </row>
    <row r="17641">
      <c r="A17641" s="8" t="n"/>
      <c r="B17641" s="9" t="n"/>
    </row>
    <row r="17642">
      <c r="A17642" s="8" t="n"/>
      <c r="B17642" s="9" t="n"/>
    </row>
    <row r="17643">
      <c r="A17643" s="8" t="n"/>
      <c r="B17643" s="9" t="n"/>
    </row>
    <row r="17644">
      <c r="A17644" s="8" t="n"/>
      <c r="B17644" s="9" t="n"/>
    </row>
    <row r="17645">
      <c r="A17645" s="8" t="n"/>
      <c r="B17645" s="9" t="n"/>
    </row>
    <row r="17646">
      <c r="A17646" s="8" t="n"/>
      <c r="B17646" s="9" t="n"/>
    </row>
    <row r="17647">
      <c r="A17647" s="8" t="n"/>
      <c r="B17647" s="9" t="n"/>
    </row>
    <row r="17648">
      <c r="A17648" s="8" t="n"/>
      <c r="B17648" s="9" t="n"/>
    </row>
    <row r="17649">
      <c r="A17649" s="8" t="n"/>
      <c r="B17649" s="9" t="n"/>
    </row>
    <row r="17650">
      <c r="A17650" s="8" t="n"/>
      <c r="B17650" s="9" t="n"/>
    </row>
    <row r="17651">
      <c r="A17651" s="8" t="n"/>
      <c r="B17651" s="9" t="n"/>
    </row>
    <row r="17652">
      <c r="A17652" s="8" t="n"/>
      <c r="B17652" s="9" t="n"/>
    </row>
    <row r="17653">
      <c r="A17653" s="8" t="n"/>
      <c r="B17653" s="9" t="n"/>
    </row>
    <row r="17654">
      <c r="A17654" s="8" t="n"/>
      <c r="B17654" s="9" t="n"/>
    </row>
    <row r="17655">
      <c r="A17655" s="8" t="n"/>
      <c r="B17655" s="9" t="n"/>
    </row>
    <row r="17656">
      <c r="A17656" s="8" t="n"/>
      <c r="B17656" s="9" t="n"/>
    </row>
    <row r="17657">
      <c r="A17657" s="8" t="n"/>
      <c r="B17657" s="9" t="n"/>
    </row>
    <row r="17658">
      <c r="A17658" s="8" t="n"/>
      <c r="B17658" s="9" t="n"/>
    </row>
    <row r="17659">
      <c r="A17659" s="8" t="n"/>
      <c r="B17659" s="9" t="n"/>
    </row>
    <row r="17660">
      <c r="A17660" s="8" t="n"/>
      <c r="B17660" s="9" t="n"/>
    </row>
    <row r="17661">
      <c r="A17661" s="8" t="n"/>
      <c r="B17661" s="9" t="n"/>
    </row>
    <row r="17662">
      <c r="A17662" s="8" t="n"/>
      <c r="B17662" s="9" t="n"/>
    </row>
    <row r="17663">
      <c r="A17663" s="8" t="n"/>
      <c r="B17663" s="9" t="n"/>
    </row>
    <row r="17664">
      <c r="A17664" s="8" t="n"/>
      <c r="B17664" s="9" t="n"/>
    </row>
    <row r="17665">
      <c r="A17665" s="8" t="n"/>
      <c r="B17665" s="9" t="n"/>
    </row>
    <row r="17666">
      <c r="A17666" s="8" t="n"/>
      <c r="B17666" s="9" t="n"/>
    </row>
    <row r="17667">
      <c r="A17667" s="8" t="n"/>
      <c r="B17667" s="9" t="n"/>
    </row>
    <row r="17668">
      <c r="A17668" s="8" t="n"/>
      <c r="B17668" s="9" t="n"/>
    </row>
    <row r="17669">
      <c r="A17669" s="8" t="n"/>
      <c r="B17669" s="9" t="n"/>
    </row>
    <row r="17670">
      <c r="A17670" s="8" t="n"/>
      <c r="B17670" s="9" t="n"/>
    </row>
    <row r="17671">
      <c r="A17671" s="8" t="n"/>
      <c r="B17671" s="9" t="n"/>
    </row>
    <row r="17672">
      <c r="A17672" s="8" t="n"/>
      <c r="B17672" s="9" t="n"/>
    </row>
    <row r="17673">
      <c r="A17673" s="8" t="n"/>
      <c r="B17673" s="9" t="n"/>
    </row>
    <row r="17674">
      <c r="A17674" s="8" t="n"/>
      <c r="B17674" s="9" t="n"/>
    </row>
    <row r="17675">
      <c r="A17675" s="8" t="n"/>
      <c r="B17675" s="9" t="n"/>
    </row>
    <row r="17676">
      <c r="A17676" s="8" t="n"/>
      <c r="B17676" s="9" t="n"/>
    </row>
    <row r="17677">
      <c r="A17677" s="8" t="n"/>
      <c r="B17677" s="9" t="n"/>
    </row>
    <row r="17678">
      <c r="A17678" s="8" t="n"/>
      <c r="B17678" s="9" t="n"/>
    </row>
    <row r="17679">
      <c r="A17679" s="8" t="n"/>
      <c r="B17679" s="9" t="n"/>
    </row>
    <row r="17680">
      <c r="A17680" s="8" t="n"/>
      <c r="B17680" s="9" t="n"/>
    </row>
    <row r="17681">
      <c r="A17681" s="8" t="n"/>
      <c r="B17681" s="9" t="n"/>
    </row>
    <row r="17682">
      <c r="A17682" s="8" t="n"/>
      <c r="B17682" s="9" t="n"/>
    </row>
    <row r="17683">
      <c r="A17683" s="8" t="n"/>
      <c r="B17683" s="9" t="n"/>
    </row>
    <row r="17684">
      <c r="A17684" s="8" t="n"/>
      <c r="B17684" s="9" t="n"/>
    </row>
    <row r="17685">
      <c r="A17685" s="8" t="n"/>
      <c r="B17685" s="9" t="n"/>
    </row>
    <row r="17686">
      <c r="A17686" s="8" t="n"/>
      <c r="B17686" s="9" t="n"/>
    </row>
    <row r="17687">
      <c r="A17687" s="8" t="n"/>
      <c r="B17687" s="9" t="n"/>
    </row>
    <row r="17688">
      <c r="A17688" s="8" t="n"/>
      <c r="B17688" s="9" t="n"/>
    </row>
    <row r="17689">
      <c r="A17689" s="8" t="n"/>
      <c r="B17689" s="9" t="n"/>
    </row>
    <row r="17690">
      <c r="A17690" s="8" t="n"/>
      <c r="B17690" s="9" t="n"/>
    </row>
    <row r="17691">
      <c r="A17691" s="8" t="n"/>
      <c r="B17691" s="9" t="n"/>
    </row>
    <row r="17692">
      <c r="A17692" s="8" t="n"/>
      <c r="B17692" s="9" t="n"/>
    </row>
    <row r="17693">
      <c r="A17693" s="8" t="n"/>
      <c r="B17693" s="9" t="n"/>
    </row>
    <row r="17694">
      <c r="A17694" s="8" t="n"/>
      <c r="B17694" s="9" t="n"/>
    </row>
    <row r="17695">
      <c r="A17695" s="8" t="n"/>
      <c r="B17695" s="9" t="n"/>
    </row>
    <row r="17696">
      <c r="A17696" s="8" t="n"/>
      <c r="B17696" s="9" t="n"/>
    </row>
    <row r="17697">
      <c r="A17697" s="8" t="n"/>
      <c r="B17697" s="9" t="n"/>
    </row>
    <row r="17698">
      <c r="A17698" s="8" t="n"/>
      <c r="B17698" s="9" t="n"/>
    </row>
    <row r="17699">
      <c r="A17699" s="8" t="n"/>
      <c r="B17699" s="9" t="n"/>
    </row>
    <row r="17700">
      <c r="A17700" s="8" t="n"/>
      <c r="B17700" s="9" t="n"/>
    </row>
    <row r="17701">
      <c r="A17701" s="8" t="n"/>
      <c r="B17701" s="9" t="n"/>
    </row>
    <row r="17702">
      <c r="A17702" s="8" t="n"/>
      <c r="B17702" s="9" t="n"/>
    </row>
    <row r="17703">
      <c r="A17703" s="8" t="n"/>
      <c r="B17703" s="9" t="n"/>
    </row>
    <row r="17704">
      <c r="A17704" s="8" t="n"/>
      <c r="B17704" s="9" t="n"/>
    </row>
    <row r="17705">
      <c r="A17705" s="8" t="n"/>
      <c r="B17705" s="9" t="n"/>
    </row>
    <row r="17706">
      <c r="A17706" s="8" t="n"/>
      <c r="B17706" s="9" t="n"/>
    </row>
    <row r="17707">
      <c r="A17707" s="8" t="n"/>
      <c r="B17707" s="9" t="n"/>
    </row>
    <row r="17708">
      <c r="A17708" s="8" t="n"/>
      <c r="B17708" s="9" t="n"/>
    </row>
    <row r="17709">
      <c r="A17709" s="8" t="n"/>
      <c r="B17709" s="9" t="n"/>
    </row>
    <row r="17710">
      <c r="A17710" s="8" t="n"/>
      <c r="B17710" s="9" t="n"/>
    </row>
    <row r="17711">
      <c r="A17711" s="8" t="n"/>
      <c r="B17711" s="9" t="n"/>
    </row>
    <row r="17712">
      <c r="A17712" s="8" t="n"/>
      <c r="B17712" s="9" t="n"/>
    </row>
    <row r="17713">
      <c r="A17713" s="8" t="n"/>
      <c r="B17713" s="9" t="n"/>
    </row>
    <row r="17714">
      <c r="A17714" s="8" t="n"/>
      <c r="B17714" s="9" t="n"/>
    </row>
    <row r="17715">
      <c r="A17715" s="8" t="n"/>
      <c r="B17715" s="9" t="n"/>
    </row>
    <row r="17716">
      <c r="A17716" s="8" t="n"/>
      <c r="B17716" s="9" t="n"/>
    </row>
    <row r="17717">
      <c r="A17717" s="8" t="n"/>
      <c r="B17717" s="9" t="n"/>
    </row>
    <row r="17718">
      <c r="A17718" s="8" t="n"/>
      <c r="B17718" s="9" t="n"/>
    </row>
    <row r="17719">
      <c r="A17719" s="8" t="n"/>
      <c r="B17719" s="9" t="n"/>
    </row>
    <row r="17720">
      <c r="A17720" s="8" t="n"/>
      <c r="B17720" s="9" t="n"/>
    </row>
    <row r="17721">
      <c r="A17721" s="8" t="n"/>
      <c r="B17721" s="9" t="n"/>
    </row>
    <row r="17722">
      <c r="A17722" s="8" t="n"/>
      <c r="B17722" s="9" t="n"/>
    </row>
    <row r="17723">
      <c r="A17723" s="8" t="n"/>
      <c r="B17723" s="9" t="n"/>
    </row>
    <row r="17724">
      <c r="A17724" s="8" t="n"/>
      <c r="B17724" s="9" t="n"/>
    </row>
    <row r="17725">
      <c r="A17725" s="8" t="n"/>
      <c r="B17725" s="9" t="n"/>
    </row>
    <row r="17726">
      <c r="A17726" s="8" t="n"/>
      <c r="B17726" s="9" t="n"/>
    </row>
    <row r="17727">
      <c r="A17727" s="8" t="n"/>
      <c r="B17727" s="9" t="n"/>
    </row>
    <row r="17728">
      <c r="A17728" s="8" t="n"/>
      <c r="B17728" s="9" t="n"/>
    </row>
    <row r="17729">
      <c r="A17729" s="8" t="n"/>
      <c r="B17729" s="9" t="n"/>
    </row>
    <row r="17730">
      <c r="A17730" s="8" t="n"/>
      <c r="B17730" s="9" t="n"/>
    </row>
    <row r="17731">
      <c r="A17731" s="8" t="n"/>
      <c r="B17731" s="9" t="n"/>
    </row>
    <row r="17732">
      <c r="A17732" s="8" t="n"/>
      <c r="B17732" s="9" t="n"/>
    </row>
    <row r="17733">
      <c r="A17733" s="8" t="n"/>
      <c r="B17733" s="9" t="n"/>
    </row>
    <row r="17734">
      <c r="A17734" s="8" t="n"/>
      <c r="B17734" s="9" t="n"/>
    </row>
    <row r="17735">
      <c r="A17735" s="8" t="n"/>
      <c r="B17735" s="9" t="n"/>
    </row>
    <row r="17736">
      <c r="A17736" s="8" t="n"/>
      <c r="B17736" s="9" t="n"/>
    </row>
    <row r="17737">
      <c r="A17737" s="8" t="n"/>
      <c r="B17737" s="9" t="n"/>
    </row>
    <row r="17738">
      <c r="A17738" s="8" t="n"/>
      <c r="B17738" s="9" t="n"/>
    </row>
    <row r="17739">
      <c r="A17739" s="8" t="n"/>
      <c r="B17739" s="9" t="n"/>
    </row>
    <row r="17740">
      <c r="A17740" s="8" t="n"/>
      <c r="B17740" s="9" t="n"/>
    </row>
    <row r="17741">
      <c r="A17741" s="8" t="n"/>
      <c r="B17741" s="9" t="n"/>
    </row>
    <row r="17742">
      <c r="A17742" s="8" t="n"/>
      <c r="B17742" s="9" t="n"/>
    </row>
    <row r="17743">
      <c r="A17743" s="8" t="n"/>
      <c r="B17743" s="9" t="n"/>
    </row>
    <row r="17744">
      <c r="A17744" s="8" t="n"/>
      <c r="B17744" s="9" t="n"/>
    </row>
    <row r="17745">
      <c r="A17745" s="8" t="n"/>
      <c r="B17745" s="9" t="n"/>
    </row>
    <row r="17746">
      <c r="A17746" s="8" t="n"/>
      <c r="B17746" s="9" t="n"/>
    </row>
    <row r="17747">
      <c r="A17747" s="8" t="n"/>
      <c r="B17747" s="9" t="n"/>
    </row>
    <row r="17748">
      <c r="A17748" s="8" t="n"/>
      <c r="B17748" s="9" t="n"/>
    </row>
    <row r="17749">
      <c r="A17749" s="8" t="n"/>
      <c r="B17749" s="9" t="n"/>
    </row>
    <row r="17750">
      <c r="A17750" s="8" t="n"/>
      <c r="B17750" s="9" t="n"/>
    </row>
    <row r="17751">
      <c r="A17751" s="8" t="n"/>
      <c r="B17751" s="9" t="n"/>
    </row>
    <row r="17752">
      <c r="A17752" s="8" t="n"/>
      <c r="B17752" s="9" t="n"/>
    </row>
    <row r="17753">
      <c r="A17753" s="8" t="n"/>
      <c r="B17753" s="9" t="n"/>
    </row>
    <row r="17754">
      <c r="A17754" s="8" t="n"/>
      <c r="B17754" s="9" t="n"/>
    </row>
    <row r="17755">
      <c r="A17755" s="8" t="n"/>
      <c r="B17755" s="9" t="n"/>
    </row>
    <row r="17756">
      <c r="A17756" s="8" t="n"/>
      <c r="B17756" s="9" t="n"/>
    </row>
    <row r="17757">
      <c r="A17757" s="8" t="n"/>
      <c r="B17757" s="9" t="n"/>
    </row>
    <row r="17758">
      <c r="A17758" s="8" t="n"/>
      <c r="B17758" s="9" t="n"/>
    </row>
    <row r="17759">
      <c r="A17759" s="8" t="n"/>
      <c r="B17759" s="9" t="n"/>
    </row>
    <row r="17760">
      <c r="A17760" s="8" t="n"/>
      <c r="B17760" s="9" t="n"/>
    </row>
    <row r="17761">
      <c r="A17761" s="8" t="n"/>
      <c r="B17761" s="9" t="n"/>
    </row>
    <row r="17762">
      <c r="A17762" s="8" t="n"/>
      <c r="B17762" s="9" t="n"/>
    </row>
    <row r="17763">
      <c r="A17763" s="8" t="n"/>
      <c r="B17763" s="9" t="n"/>
    </row>
    <row r="17764">
      <c r="A17764" s="8" t="n"/>
      <c r="B17764" s="9" t="n"/>
    </row>
    <row r="17765">
      <c r="A17765" s="8" t="n"/>
      <c r="B17765" s="9" t="n"/>
    </row>
    <row r="17766">
      <c r="A17766" s="8" t="n"/>
      <c r="B17766" s="9" t="n"/>
    </row>
    <row r="17767">
      <c r="A17767" s="8" t="n"/>
      <c r="B17767" s="9" t="n"/>
    </row>
    <row r="17768">
      <c r="A17768" s="8" t="n"/>
      <c r="B17768" s="9" t="n"/>
    </row>
    <row r="17769">
      <c r="A17769" s="8" t="n"/>
      <c r="B17769" s="9" t="n"/>
    </row>
    <row r="17770">
      <c r="A17770" s="8" t="n"/>
      <c r="B17770" s="9" t="n"/>
    </row>
    <row r="17771">
      <c r="A17771" s="8" t="n"/>
      <c r="B17771" s="9" t="n"/>
    </row>
    <row r="17772">
      <c r="A17772" s="8" t="n"/>
      <c r="B17772" s="9" t="n"/>
    </row>
    <row r="17773">
      <c r="A17773" s="8" t="n"/>
      <c r="B17773" s="9" t="n"/>
    </row>
    <row r="17774">
      <c r="A17774" s="8" t="n"/>
      <c r="B17774" s="9" t="n"/>
    </row>
    <row r="17775">
      <c r="A17775" s="8" t="n"/>
      <c r="B17775" s="9" t="n"/>
    </row>
    <row r="17776">
      <c r="A17776" s="8" t="n"/>
      <c r="B17776" s="9" t="n"/>
    </row>
    <row r="17777">
      <c r="A17777" s="8" t="n"/>
      <c r="B17777" s="9" t="n"/>
    </row>
    <row r="17778">
      <c r="A17778" s="8" t="n"/>
      <c r="B17778" s="9" t="n"/>
    </row>
    <row r="17779">
      <c r="A17779" s="8" t="n"/>
      <c r="B17779" s="9" t="n"/>
    </row>
    <row r="17780">
      <c r="A17780" s="8" t="n"/>
      <c r="B17780" s="9" t="n"/>
    </row>
    <row r="17781">
      <c r="A17781" s="8" t="n"/>
      <c r="B17781" s="9" t="n"/>
    </row>
    <row r="17782">
      <c r="A17782" s="8" t="n"/>
      <c r="B17782" s="9" t="n"/>
    </row>
    <row r="17783">
      <c r="A17783" s="8" t="n"/>
      <c r="B17783" s="9" t="n"/>
    </row>
    <row r="17784">
      <c r="A17784" s="8" t="n"/>
      <c r="B17784" s="9" t="n"/>
    </row>
    <row r="17785">
      <c r="A17785" s="8" t="n"/>
      <c r="B17785" s="9" t="n"/>
    </row>
    <row r="17786">
      <c r="A17786" s="8" t="n"/>
      <c r="B17786" s="9" t="n"/>
    </row>
    <row r="17787">
      <c r="A17787" s="8" t="n"/>
      <c r="B17787" s="9" t="n"/>
    </row>
    <row r="17788">
      <c r="A17788" s="8" t="n"/>
      <c r="B17788" s="9" t="n"/>
    </row>
    <row r="17789">
      <c r="A17789" s="8" t="n"/>
      <c r="B17789" s="9" t="n"/>
    </row>
    <row r="17790">
      <c r="A17790" s="8" t="n"/>
      <c r="B17790" s="9" t="n"/>
    </row>
    <row r="17791">
      <c r="A17791" s="8" t="n"/>
      <c r="B17791" s="9" t="n"/>
    </row>
    <row r="17792">
      <c r="A17792" s="8" t="n"/>
      <c r="B17792" s="9" t="n"/>
    </row>
    <row r="17793">
      <c r="A17793" s="8" t="n"/>
      <c r="B17793" s="9" t="n"/>
    </row>
    <row r="17794">
      <c r="A17794" s="8" t="n"/>
      <c r="B17794" s="9" t="n"/>
    </row>
    <row r="17795">
      <c r="A17795" s="8" t="n"/>
      <c r="B17795" s="9" t="n"/>
    </row>
    <row r="17796">
      <c r="A17796" s="8" t="n"/>
      <c r="B17796" s="9" t="n"/>
    </row>
    <row r="17797">
      <c r="A17797" s="8" t="n"/>
      <c r="B17797" s="9" t="n"/>
    </row>
    <row r="17798">
      <c r="A17798" s="8" t="n"/>
      <c r="B17798" s="9" t="n"/>
    </row>
    <row r="17799">
      <c r="A17799" s="8" t="n"/>
      <c r="B17799" s="9" t="n"/>
    </row>
    <row r="17800">
      <c r="A17800" s="8" t="n"/>
      <c r="B17800" s="9" t="n"/>
    </row>
    <row r="17801">
      <c r="A17801" s="8" t="n"/>
      <c r="B17801" s="9" t="n"/>
    </row>
    <row r="17802">
      <c r="A17802" s="8" t="n"/>
      <c r="B17802" s="9" t="n"/>
    </row>
    <row r="17803">
      <c r="A17803" s="8" t="n"/>
      <c r="B17803" s="9" t="n"/>
    </row>
    <row r="17804">
      <c r="A17804" s="8" t="n"/>
      <c r="B17804" s="9" t="n"/>
    </row>
    <row r="17805">
      <c r="A17805" s="8" t="n"/>
      <c r="B17805" s="9" t="n"/>
    </row>
    <row r="17806">
      <c r="A17806" s="8" t="n"/>
      <c r="B17806" s="9" t="n"/>
    </row>
    <row r="17807">
      <c r="A17807" s="8" t="n"/>
      <c r="B17807" s="9" t="n"/>
    </row>
    <row r="17808">
      <c r="A17808" s="8" t="n"/>
      <c r="B17808" s="9" t="n"/>
    </row>
    <row r="17809">
      <c r="A17809" s="8" t="n"/>
      <c r="B17809" s="9" t="n"/>
    </row>
    <row r="17810">
      <c r="A17810" s="8" t="n"/>
      <c r="B17810" s="9" t="n"/>
    </row>
    <row r="17811">
      <c r="A17811" s="8" t="n"/>
      <c r="B17811" s="9" t="n"/>
    </row>
    <row r="17812">
      <c r="A17812" s="8" t="n"/>
      <c r="B17812" s="9" t="n"/>
    </row>
    <row r="17813">
      <c r="A17813" s="8" t="n"/>
      <c r="B17813" s="9" t="n"/>
    </row>
    <row r="17814">
      <c r="A17814" s="8" t="n"/>
      <c r="B17814" s="9" t="n"/>
    </row>
    <row r="17815">
      <c r="A17815" s="8" t="n"/>
      <c r="B17815" s="9" t="n"/>
    </row>
    <row r="17816">
      <c r="A17816" s="8" t="n"/>
      <c r="B17816" s="9" t="n"/>
    </row>
    <row r="17817">
      <c r="A17817" s="8" t="n"/>
      <c r="B17817" s="9" t="n"/>
    </row>
    <row r="17818">
      <c r="A17818" s="8" t="n"/>
      <c r="B17818" s="9" t="n"/>
    </row>
    <row r="17819">
      <c r="A17819" s="8" t="n"/>
      <c r="B17819" s="9" t="n"/>
    </row>
    <row r="17820">
      <c r="A17820" s="8" t="n"/>
      <c r="B17820" s="9" t="n"/>
    </row>
    <row r="17821">
      <c r="A17821" s="8" t="n"/>
      <c r="B17821" s="9" t="n"/>
    </row>
    <row r="17822">
      <c r="A17822" s="8" t="n"/>
      <c r="B17822" s="9" t="n"/>
    </row>
    <row r="17823">
      <c r="A17823" s="8" t="n"/>
      <c r="B17823" s="9" t="n"/>
    </row>
    <row r="17824">
      <c r="A17824" s="8" t="n"/>
      <c r="B17824" s="9" t="n"/>
    </row>
    <row r="17825">
      <c r="A17825" s="8" t="n"/>
      <c r="B17825" s="9" t="n"/>
    </row>
    <row r="17826">
      <c r="A17826" s="8" t="n"/>
      <c r="B17826" s="9" t="n"/>
    </row>
    <row r="17827">
      <c r="A17827" s="8" t="n"/>
      <c r="B17827" s="9" t="n"/>
    </row>
    <row r="17828">
      <c r="A17828" s="8" t="n"/>
      <c r="B17828" s="9" t="n"/>
    </row>
    <row r="17829">
      <c r="A17829" s="8" t="n"/>
      <c r="B17829" s="9" t="n"/>
    </row>
    <row r="17830">
      <c r="A17830" s="8" t="n"/>
      <c r="B17830" s="9" t="n"/>
    </row>
    <row r="17831">
      <c r="A17831" s="8" t="n"/>
      <c r="B17831" s="9" t="n"/>
    </row>
    <row r="17832">
      <c r="A17832" s="8" t="n"/>
      <c r="B17832" s="9" t="n"/>
    </row>
    <row r="17833">
      <c r="A17833" s="8" t="n"/>
      <c r="B17833" s="9" t="n"/>
    </row>
    <row r="17834">
      <c r="A17834" s="8" t="n"/>
      <c r="B17834" s="9" t="n"/>
    </row>
    <row r="17835">
      <c r="A17835" s="8" t="n"/>
      <c r="B17835" s="9" t="n"/>
    </row>
    <row r="17836">
      <c r="A17836" s="8" t="n"/>
      <c r="B17836" s="9" t="n"/>
    </row>
    <row r="17837">
      <c r="A17837" s="8" t="n"/>
      <c r="B17837" s="9" t="n"/>
    </row>
    <row r="17838">
      <c r="A17838" s="8" t="n"/>
      <c r="B17838" s="9" t="n"/>
    </row>
    <row r="17839">
      <c r="A17839" s="8" t="n"/>
      <c r="B17839" s="9" t="n"/>
    </row>
    <row r="17840">
      <c r="A17840" s="8" t="n"/>
      <c r="B17840" s="9" t="n"/>
    </row>
    <row r="17841">
      <c r="A17841" s="8" t="n"/>
      <c r="B17841" s="9" t="n"/>
    </row>
    <row r="17842">
      <c r="A17842" s="8" t="n"/>
      <c r="B17842" s="9" t="n"/>
    </row>
    <row r="17843">
      <c r="A17843" s="8" t="n"/>
      <c r="B17843" s="9" t="n"/>
    </row>
    <row r="17844">
      <c r="A17844" s="8" t="n"/>
      <c r="B17844" s="9" t="n"/>
    </row>
    <row r="17845">
      <c r="A17845" s="8" t="n"/>
      <c r="B17845" s="9" t="n"/>
    </row>
    <row r="17846">
      <c r="A17846" s="8" t="n"/>
      <c r="B17846" s="9" t="n"/>
    </row>
    <row r="17847">
      <c r="A17847" s="8" t="n"/>
      <c r="B17847" s="9" t="n"/>
    </row>
    <row r="17848">
      <c r="A17848" s="8" t="n"/>
      <c r="B17848" s="9" t="n"/>
    </row>
    <row r="17849">
      <c r="A17849" s="8" t="n"/>
      <c r="B17849" s="9" t="n"/>
    </row>
    <row r="17850">
      <c r="A17850" s="8" t="n"/>
      <c r="B17850" s="9" t="n"/>
    </row>
    <row r="17851">
      <c r="A17851" s="8" t="n"/>
      <c r="B17851" s="9" t="n"/>
    </row>
    <row r="17852">
      <c r="A17852" s="8" t="n"/>
      <c r="B17852" s="9" t="n"/>
    </row>
    <row r="17853">
      <c r="A17853" s="8" t="n"/>
      <c r="B17853" s="9" t="n"/>
    </row>
    <row r="17854">
      <c r="A17854" s="8" t="n"/>
      <c r="B17854" s="9" t="n"/>
    </row>
    <row r="17855">
      <c r="A17855" s="8" t="n"/>
      <c r="B17855" s="9" t="n"/>
    </row>
    <row r="17856">
      <c r="A17856" s="8" t="n"/>
      <c r="B17856" s="9" t="n"/>
    </row>
    <row r="17857">
      <c r="A17857" s="8" t="n"/>
      <c r="B17857" s="9" t="n"/>
    </row>
    <row r="17858">
      <c r="A17858" s="8" t="n"/>
      <c r="B17858" s="9" t="n"/>
    </row>
    <row r="17859">
      <c r="A17859" s="8" t="n"/>
      <c r="B17859" s="9" t="n"/>
    </row>
    <row r="17860">
      <c r="A17860" s="8" t="n"/>
      <c r="B17860" s="9" t="n"/>
    </row>
    <row r="17861">
      <c r="A17861" s="8" t="n"/>
      <c r="B17861" s="9" t="n"/>
    </row>
    <row r="17862">
      <c r="A17862" s="8" t="n"/>
      <c r="B17862" s="9" t="n"/>
    </row>
    <row r="17863">
      <c r="A17863" s="8" t="n"/>
      <c r="B17863" s="9" t="n"/>
    </row>
    <row r="17864">
      <c r="A17864" s="8" t="n"/>
      <c r="B17864" s="9" t="n"/>
    </row>
    <row r="17865">
      <c r="A17865" s="8" t="n"/>
      <c r="B17865" s="9" t="n"/>
    </row>
    <row r="17866">
      <c r="A17866" s="8" t="n"/>
      <c r="B17866" s="9" t="n"/>
    </row>
    <row r="17867">
      <c r="A17867" s="8" t="n"/>
      <c r="B17867" s="9" t="n"/>
    </row>
    <row r="17868">
      <c r="A17868" s="8" t="n"/>
      <c r="B17868" s="9" t="n"/>
    </row>
    <row r="17869">
      <c r="A17869" s="8" t="n"/>
      <c r="B17869" s="9" t="n"/>
    </row>
    <row r="17870">
      <c r="A17870" s="8" t="n"/>
      <c r="B17870" s="9" t="n"/>
    </row>
    <row r="17871">
      <c r="A17871" s="8" t="n"/>
      <c r="B17871" s="9" t="n"/>
    </row>
    <row r="17872">
      <c r="A17872" s="8" t="n"/>
      <c r="B17872" s="9" t="n"/>
    </row>
    <row r="17873">
      <c r="A17873" s="8" t="n"/>
      <c r="B17873" s="9" t="n"/>
    </row>
    <row r="17874">
      <c r="A17874" s="8" t="n"/>
      <c r="B17874" s="9" t="n"/>
    </row>
    <row r="17875">
      <c r="A17875" s="8" t="n"/>
      <c r="B17875" s="9" t="n"/>
    </row>
    <row r="17876">
      <c r="A17876" s="8" t="n"/>
      <c r="B17876" s="9" t="n"/>
    </row>
    <row r="17877">
      <c r="A17877" s="8" t="n"/>
      <c r="B17877" s="9" t="n"/>
    </row>
    <row r="17878">
      <c r="A17878" s="8" t="n"/>
      <c r="B17878" s="9" t="n"/>
    </row>
    <row r="17879">
      <c r="A17879" s="8" t="n"/>
      <c r="B17879" s="9" t="n"/>
    </row>
    <row r="17880">
      <c r="A17880" s="8" t="n"/>
      <c r="B17880" s="9" t="n"/>
    </row>
    <row r="17881">
      <c r="A17881" s="8" t="n"/>
      <c r="B17881" s="9" t="n"/>
    </row>
    <row r="17882">
      <c r="A17882" s="8" t="n"/>
      <c r="B17882" s="9" t="n"/>
    </row>
    <row r="17883">
      <c r="A17883" s="8" t="n"/>
      <c r="B17883" s="9" t="n"/>
    </row>
    <row r="17884">
      <c r="A17884" s="8" t="n"/>
      <c r="B17884" s="9" t="n"/>
    </row>
    <row r="17885">
      <c r="A17885" s="8" t="n"/>
      <c r="B17885" s="9" t="n"/>
    </row>
    <row r="17886">
      <c r="A17886" s="8" t="n"/>
      <c r="B17886" s="9" t="n"/>
    </row>
    <row r="17887">
      <c r="A17887" s="8" t="n"/>
      <c r="B17887" s="9" t="n"/>
    </row>
    <row r="17888">
      <c r="A17888" s="8" t="n"/>
      <c r="B17888" s="9" t="n"/>
    </row>
    <row r="17889">
      <c r="A17889" s="8" t="n"/>
      <c r="B17889" s="9" t="n"/>
    </row>
    <row r="17890">
      <c r="A17890" s="8" t="n"/>
      <c r="B17890" s="9" t="n"/>
    </row>
    <row r="17891">
      <c r="A17891" s="8" t="n"/>
      <c r="B17891" s="9" t="n"/>
    </row>
    <row r="17892">
      <c r="A17892" s="8" t="n"/>
      <c r="B17892" s="9" t="n"/>
    </row>
    <row r="17893">
      <c r="A17893" s="8" t="n"/>
      <c r="B17893" s="9" t="n"/>
    </row>
    <row r="17894">
      <c r="A17894" s="8" t="n"/>
      <c r="B17894" s="9" t="n"/>
    </row>
    <row r="17895">
      <c r="A17895" s="8" t="n"/>
      <c r="B17895" s="9" t="n"/>
    </row>
    <row r="17896">
      <c r="A17896" s="8" t="n"/>
      <c r="B17896" s="9" t="n"/>
    </row>
    <row r="17897">
      <c r="A17897" s="8" t="n"/>
      <c r="B17897" s="9" t="n"/>
    </row>
    <row r="17898">
      <c r="A17898" s="8" t="n"/>
      <c r="B17898" s="9" t="n"/>
    </row>
    <row r="17899">
      <c r="A17899" s="8" t="n"/>
      <c r="B17899" s="9" t="n"/>
    </row>
    <row r="17900">
      <c r="A17900" s="8" t="n"/>
      <c r="B17900" s="9" t="n"/>
    </row>
    <row r="17901">
      <c r="A17901" s="8" t="n"/>
      <c r="B17901" s="9" t="n"/>
    </row>
    <row r="17902">
      <c r="A17902" s="8" t="n"/>
      <c r="B17902" s="9" t="n"/>
    </row>
    <row r="17903">
      <c r="A17903" s="8" t="n"/>
      <c r="B17903" s="9" t="n"/>
    </row>
    <row r="17904">
      <c r="A17904" s="8" t="n"/>
      <c r="B17904" s="9" t="n"/>
    </row>
    <row r="17905">
      <c r="A17905" s="8" t="n"/>
      <c r="B17905" s="9" t="n"/>
    </row>
    <row r="17906">
      <c r="A17906" s="8" t="n"/>
      <c r="B17906" s="9" t="n"/>
    </row>
    <row r="17907">
      <c r="A17907" s="8" t="n"/>
      <c r="B17907" s="9" t="n"/>
    </row>
    <row r="17908">
      <c r="A17908" s="8" t="n"/>
      <c r="B17908" s="9" t="n"/>
    </row>
    <row r="17909">
      <c r="A17909" s="8" t="n"/>
      <c r="B17909" s="9" t="n"/>
    </row>
    <row r="17910">
      <c r="A17910" s="8" t="n"/>
      <c r="B17910" s="9" t="n"/>
    </row>
    <row r="17911">
      <c r="A17911" s="8" t="n"/>
      <c r="B17911" s="9" t="n"/>
    </row>
    <row r="17912">
      <c r="A17912" s="8" t="n"/>
      <c r="B17912" s="9" t="n"/>
    </row>
    <row r="17913">
      <c r="A17913" s="8" t="n"/>
      <c r="B17913" s="9" t="n"/>
    </row>
    <row r="17914">
      <c r="A17914" s="8" t="n"/>
      <c r="B17914" s="9" t="n"/>
    </row>
    <row r="17915">
      <c r="A17915" s="8" t="n"/>
      <c r="B17915" s="9" t="n"/>
    </row>
    <row r="17916">
      <c r="A17916" s="8" t="n"/>
      <c r="B17916" s="9" t="n"/>
    </row>
    <row r="17917">
      <c r="A17917" s="8" t="n"/>
      <c r="B17917" s="9" t="n"/>
    </row>
    <row r="17918">
      <c r="A17918" s="8" t="n"/>
      <c r="B17918" s="9" t="n"/>
    </row>
    <row r="17919">
      <c r="A17919" s="8" t="n"/>
      <c r="B17919" s="9" t="n"/>
    </row>
    <row r="17920">
      <c r="A17920" s="8" t="n"/>
      <c r="B17920" s="9" t="n"/>
    </row>
    <row r="17921">
      <c r="A17921" s="8" t="n"/>
      <c r="B17921" s="9" t="n"/>
    </row>
    <row r="17922">
      <c r="A17922" s="8" t="n"/>
      <c r="B17922" s="9" t="n"/>
    </row>
    <row r="17923">
      <c r="A17923" s="8" t="n"/>
      <c r="B17923" s="9" t="n"/>
    </row>
    <row r="17924">
      <c r="A17924" s="8" t="n"/>
      <c r="B17924" s="9" t="n"/>
    </row>
    <row r="17925">
      <c r="A17925" s="8" t="n"/>
      <c r="B17925" s="9" t="n"/>
    </row>
    <row r="17926">
      <c r="A17926" s="8" t="n"/>
      <c r="B17926" s="9" t="n"/>
    </row>
    <row r="17927">
      <c r="A17927" s="8" t="n"/>
      <c r="B17927" s="9" t="n"/>
    </row>
    <row r="17928">
      <c r="A17928" s="8" t="n"/>
      <c r="B17928" s="9" t="n"/>
    </row>
    <row r="17929">
      <c r="A17929" s="8" t="n"/>
      <c r="B17929" s="9" t="n"/>
    </row>
    <row r="17930">
      <c r="A17930" s="8" t="n"/>
      <c r="B17930" s="9" t="n"/>
    </row>
    <row r="17931">
      <c r="A17931" s="8" t="n"/>
      <c r="B17931" s="9" t="n"/>
    </row>
    <row r="17932">
      <c r="A17932" s="8" t="n"/>
      <c r="B17932" s="9" t="n"/>
    </row>
    <row r="17933">
      <c r="A17933" s="8" t="n"/>
      <c r="B17933" s="9" t="n"/>
    </row>
    <row r="17934">
      <c r="A17934" s="8" t="n"/>
      <c r="B17934" s="9" t="n"/>
    </row>
    <row r="17935">
      <c r="A17935" s="8" t="n"/>
      <c r="B17935" s="9" t="n"/>
    </row>
    <row r="17936">
      <c r="A17936" s="8" t="n"/>
      <c r="B17936" s="9" t="n"/>
    </row>
    <row r="17937">
      <c r="A17937" s="8" t="n"/>
      <c r="B17937" s="9" t="n"/>
    </row>
    <row r="17938">
      <c r="A17938" s="8" t="n"/>
      <c r="B17938" s="9" t="n"/>
    </row>
    <row r="17939">
      <c r="A17939" s="8" t="n"/>
      <c r="B17939" s="9" t="n"/>
    </row>
    <row r="17940">
      <c r="A17940" s="8" t="n"/>
      <c r="B17940" s="9" t="n"/>
    </row>
    <row r="17941">
      <c r="A17941" s="8" t="n"/>
      <c r="B17941" s="9" t="n"/>
    </row>
    <row r="17942">
      <c r="A17942" s="8" t="n"/>
      <c r="B17942" s="9" t="n"/>
    </row>
    <row r="17943">
      <c r="A17943" s="8" t="n"/>
      <c r="B17943" s="9" t="n"/>
    </row>
    <row r="17944">
      <c r="A17944" s="8" t="n"/>
      <c r="B17944" s="9" t="n"/>
    </row>
    <row r="17945">
      <c r="A17945" s="8" t="n"/>
      <c r="B17945" s="9" t="n"/>
    </row>
    <row r="17946">
      <c r="A17946" s="8" t="n"/>
      <c r="B17946" s="9" t="n"/>
    </row>
    <row r="17947">
      <c r="A17947" s="8" t="n"/>
      <c r="B17947" s="9" t="n"/>
    </row>
    <row r="17948">
      <c r="A17948" s="8" t="n"/>
      <c r="B17948" s="9" t="n"/>
    </row>
    <row r="17949">
      <c r="A17949" s="8" t="n"/>
      <c r="B17949" s="9" t="n"/>
    </row>
    <row r="17950">
      <c r="A17950" s="8" t="n"/>
      <c r="B17950" s="9" t="n"/>
    </row>
    <row r="17951">
      <c r="A17951" s="8" t="n"/>
      <c r="B17951" s="9" t="n"/>
    </row>
    <row r="17952">
      <c r="A17952" s="8" t="n"/>
      <c r="B17952" s="9" t="n"/>
    </row>
    <row r="17953">
      <c r="A17953" s="8" t="n"/>
      <c r="B17953" s="9" t="n"/>
    </row>
    <row r="17954">
      <c r="A17954" s="8" t="n"/>
      <c r="B17954" s="9" t="n"/>
    </row>
    <row r="17955">
      <c r="A17955" s="8" t="n"/>
      <c r="B17955" s="9" t="n"/>
    </row>
    <row r="17956">
      <c r="A17956" s="8" t="n"/>
      <c r="B17956" s="9" t="n"/>
    </row>
    <row r="17957">
      <c r="A17957" s="8" t="n"/>
      <c r="B17957" s="9" t="n"/>
    </row>
    <row r="17958">
      <c r="A17958" s="8" t="n"/>
      <c r="B17958" s="9" t="n"/>
    </row>
    <row r="17959">
      <c r="A17959" s="8" t="n"/>
      <c r="B17959" s="9" t="n"/>
    </row>
    <row r="17960">
      <c r="A17960" s="8" t="n"/>
      <c r="B17960" s="9" t="n"/>
    </row>
    <row r="17961">
      <c r="A17961" s="8" t="n"/>
      <c r="B17961" s="9" t="n"/>
    </row>
    <row r="17962">
      <c r="A17962" s="8" t="n"/>
      <c r="B17962" s="9" t="n"/>
    </row>
    <row r="17963">
      <c r="A17963" s="8" t="n"/>
      <c r="B17963" s="9" t="n"/>
    </row>
    <row r="17964">
      <c r="A17964" s="8" t="n"/>
      <c r="B17964" s="9" t="n"/>
    </row>
    <row r="17965">
      <c r="A17965" s="8" t="n"/>
      <c r="B17965" s="9" t="n"/>
    </row>
    <row r="17966">
      <c r="A17966" s="8" t="n"/>
      <c r="B17966" s="9" t="n"/>
    </row>
    <row r="17967">
      <c r="A17967" s="8" t="n"/>
      <c r="B17967" s="9" t="n"/>
    </row>
    <row r="17968">
      <c r="A17968" s="8" t="n"/>
      <c r="B17968" s="9" t="n"/>
    </row>
    <row r="17969">
      <c r="A17969" s="8" t="n"/>
      <c r="B17969" s="9" t="n"/>
    </row>
    <row r="17970">
      <c r="A17970" s="8" t="n"/>
      <c r="B17970" s="9" t="n"/>
    </row>
    <row r="17971">
      <c r="A17971" s="8" t="n"/>
      <c r="B17971" s="9" t="n"/>
    </row>
    <row r="17972">
      <c r="A17972" s="8" t="n"/>
      <c r="B17972" s="9" t="n"/>
    </row>
    <row r="17973">
      <c r="A17973" s="8" t="n"/>
      <c r="B17973" s="9" t="n"/>
    </row>
    <row r="17974">
      <c r="A17974" s="8" t="n"/>
      <c r="B17974" s="9" t="n"/>
    </row>
    <row r="17975">
      <c r="A17975" s="8" t="n"/>
      <c r="B17975" s="9" t="n"/>
    </row>
    <row r="17976">
      <c r="A17976" s="8" t="n"/>
      <c r="B17976" s="9" t="n"/>
    </row>
    <row r="17977">
      <c r="A17977" s="8" t="n"/>
      <c r="B17977" s="9" t="n"/>
    </row>
    <row r="17978">
      <c r="A17978" s="8" t="n"/>
      <c r="B17978" s="9" t="n"/>
    </row>
    <row r="17979">
      <c r="A17979" s="8" t="n"/>
      <c r="B17979" s="9" t="n"/>
    </row>
    <row r="17980">
      <c r="A17980" s="8" t="n"/>
      <c r="B17980" s="9" t="n"/>
    </row>
    <row r="17981">
      <c r="A17981" s="8" t="n"/>
      <c r="B17981" s="9" t="n"/>
    </row>
    <row r="17982">
      <c r="A17982" s="8" t="n"/>
      <c r="B17982" s="9" t="n"/>
    </row>
    <row r="17983">
      <c r="A17983" s="8" t="n"/>
      <c r="B17983" s="9" t="n"/>
    </row>
    <row r="17984">
      <c r="A17984" s="8" t="n"/>
      <c r="B17984" s="9" t="n"/>
    </row>
    <row r="17985">
      <c r="A17985" s="8" t="n"/>
      <c r="B17985" s="9" t="n"/>
    </row>
    <row r="17986">
      <c r="A17986" s="8" t="n"/>
      <c r="B17986" s="9" t="n"/>
    </row>
    <row r="17987">
      <c r="A17987" s="8" t="n"/>
      <c r="B17987" s="9" t="n"/>
    </row>
    <row r="17988">
      <c r="A17988" s="8" t="n"/>
      <c r="B17988" s="9" t="n"/>
    </row>
    <row r="17989">
      <c r="A17989" s="8" t="n"/>
      <c r="B17989" s="9" t="n"/>
    </row>
    <row r="17990">
      <c r="A17990" s="8" t="n"/>
      <c r="B17990" s="9" t="n"/>
    </row>
    <row r="17991">
      <c r="A17991" s="8" t="n"/>
      <c r="B17991" s="9" t="n"/>
    </row>
    <row r="17992">
      <c r="A17992" s="8" t="n"/>
      <c r="B17992" s="9" t="n"/>
    </row>
    <row r="17993">
      <c r="A17993" s="8" t="n"/>
      <c r="B17993" s="9" t="n"/>
    </row>
    <row r="17994">
      <c r="A17994" s="8" t="n"/>
      <c r="B17994" s="9" t="n"/>
    </row>
    <row r="17995">
      <c r="A17995" s="8" t="n"/>
      <c r="B17995" s="9" t="n"/>
    </row>
    <row r="17996">
      <c r="A17996" s="8" t="n"/>
      <c r="B17996" s="9" t="n"/>
    </row>
    <row r="17997">
      <c r="A17997" s="8" t="n"/>
      <c r="B17997" s="9" t="n"/>
    </row>
    <row r="17998">
      <c r="A17998" s="8" t="n"/>
      <c r="B17998" s="9" t="n"/>
    </row>
    <row r="17999">
      <c r="A17999" s="8" t="n"/>
      <c r="B17999" s="9" t="n"/>
    </row>
    <row r="18000">
      <c r="A18000" s="8" t="n"/>
      <c r="B18000" s="9" t="n"/>
    </row>
    <row r="18001">
      <c r="A18001" s="8" t="n"/>
      <c r="B18001" s="9" t="n"/>
    </row>
    <row r="18002">
      <c r="A18002" s="8" t="n"/>
      <c r="B18002" s="9" t="n"/>
    </row>
    <row r="18003">
      <c r="A18003" s="8" t="n"/>
      <c r="B18003" s="9" t="n"/>
    </row>
    <row r="18004">
      <c r="A18004" s="8" t="n"/>
      <c r="B18004" s="9" t="n"/>
    </row>
    <row r="18005">
      <c r="A18005" s="8" t="n"/>
      <c r="B18005" s="9" t="n"/>
    </row>
    <row r="18006">
      <c r="A18006" s="8" t="n"/>
      <c r="B18006" s="9" t="n"/>
    </row>
    <row r="18007">
      <c r="A18007" s="8" t="n"/>
      <c r="B18007" s="9" t="n"/>
    </row>
    <row r="18008">
      <c r="A18008" s="8" t="n"/>
      <c r="B18008" s="9" t="n"/>
    </row>
    <row r="18009">
      <c r="A18009" s="8" t="n"/>
      <c r="B18009" s="9" t="n"/>
    </row>
    <row r="18010">
      <c r="A18010" s="8" t="n"/>
      <c r="B18010" s="9" t="n"/>
    </row>
    <row r="18011">
      <c r="A18011" s="8" t="n"/>
      <c r="B18011" s="9" t="n"/>
    </row>
    <row r="18012">
      <c r="A18012" s="8" t="n"/>
      <c r="B18012" s="9" t="n"/>
    </row>
    <row r="18013">
      <c r="A18013" s="8" t="n"/>
      <c r="B18013" s="9" t="n"/>
    </row>
    <row r="18014">
      <c r="A18014" s="8" t="n"/>
      <c r="B18014" s="9" t="n"/>
    </row>
    <row r="18015">
      <c r="A18015" s="8" t="n"/>
      <c r="B18015" s="9" t="n"/>
    </row>
    <row r="18016">
      <c r="A18016" s="8" t="n"/>
      <c r="B18016" s="9" t="n"/>
    </row>
    <row r="18017">
      <c r="A18017" s="8" t="n"/>
      <c r="B18017" s="9" t="n"/>
    </row>
    <row r="18018">
      <c r="A18018" s="8" t="n"/>
      <c r="B18018" s="9" t="n"/>
    </row>
    <row r="18019">
      <c r="A18019" s="8" t="n"/>
      <c r="B18019" s="9" t="n"/>
    </row>
    <row r="18020">
      <c r="A18020" s="8" t="n"/>
      <c r="B18020" s="9" t="n"/>
    </row>
    <row r="18021">
      <c r="A18021" s="8" t="n"/>
      <c r="B18021" s="9" t="n"/>
    </row>
    <row r="18022">
      <c r="A18022" s="8" t="n"/>
      <c r="B18022" s="9" t="n"/>
    </row>
    <row r="18023">
      <c r="A18023" s="8" t="n"/>
      <c r="B18023" s="9" t="n"/>
    </row>
    <row r="18024">
      <c r="A18024" s="8" t="n"/>
      <c r="B18024" s="9" t="n"/>
    </row>
    <row r="18025">
      <c r="A18025" s="8" t="n"/>
      <c r="B18025" s="9" t="n"/>
    </row>
    <row r="18026">
      <c r="A18026" s="8" t="n"/>
      <c r="B18026" s="9" t="n"/>
    </row>
    <row r="18027">
      <c r="A18027" s="8" t="n"/>
      <c r="B18027" s="9" t="n"/>
    </row>
    <row r="18028">
      <c r="A18028" s="8" t="n"/>
      <c r="B18028" s="9" t="n"/>
    </row>
    <row r="18029">
      <c r="A18029" s="8" t="n"/>
      <c r="B18029" s="9" t="n"/>
    </row>
    <row r="18030">
      <c r="A18030" s="8" t="n"/>
      <c r="B18030" s="9" t="n"/>
    </row>
    <row r="18031">
      <c r="A18031" s="8" t="n"/>
      <c r="B18031" s="9" t="n"/>
    </row>
    <row r="18032">
      <c r="A18032" s="8" t="n"/>
      <c r="B18032" s="9" t="n"/>
    </row>
    <row r="18033">
      <c r="A18033" s="8" t="n"/>
      <c r="B18033" s="9" t="n"/>
    </row>
    <row r="18034">
      <c r="A18034" s="8" t="n"/>
      <c r="B18034" s="9" t="n"/>
    </row>
    <row r="18035">
      <c r="A18035" s="8" t="n"/>
      <c r="B18035" s="9" t="n"/>
    </row>
    <row r="18036">
      <c r="A18036" s="8" t="n"/>
      <c r="B18036" s="9" t="n"/>
    </row>
    <row r="18037">
      <c r="A18037" s="8" t="n"/>
      <c r="B18037" s="9" t="n"/>
    </row>
    <row r="18038">
      <c r="A18038" s="8" t="n"/>
      <c r="B18038" s="9" t="n"/>
    </row>
    <row r="18039">
      <c r="A18039" s="8" t="n"/>
      <c r="B18039" s="9" t="n"/>
    </row>
    <row r="18040">
      <c r="A18040" s="8" t="n"/>
      <c r="B18040" s="9" t="n"/>
    </row>
    <row r="18041">
      <c r="A18041" s="8" t="n"/>
      <c r="B18041" s="9" t="n"/>
    </row>
    <row r="18042">
      <c r="A18042" s="8" t="n"/>
      <c r="B18042" s="9" t="n"/>
    </row>
    <row r="18043">
      <c r="A18043" s="8" t="n"/>
      <c r="B18043" s="9" t="n"/>
    </row>
    <row r="18044">
      <c r="A18044" s="8" t="n"/>
      <c r="B18044" s="9" t="n"/>
    </row>
    <row r="18045">
      <c r="A18045" s="8" t="n"/>
      <c r="B18045" s="9" t="n"/>
    </row>
    <row r="18046">
      <c r="A18046" s="8" t="n"/>
      <c r="B18046" s="9" t="n"/>
    </row>
    <row r="18047">
      <c r="A18047" s="8" t="n"/>
      <c r="B18047" s="9" t="n"/>
    </row>
    <row r="18048">
      <c r="A18048" s="8" t="n"/>
      <c r="B18048" s="9" t="n"/>
    </row>
    <row r="18049">
      <c r="A18049" s="8" t="n"/>
      <c r="B18049" s="9" t="n"/>
    </row>
    <row r="18050">
      <c r="A18050" s="8" t="n"/>
      <c r="B18050" s="9" t="n"/>
    </row>
    <row r="18051">
      <c r="A18051" s="8" t="n"/>
      <c r="B18051" s="9" t="n"/>
    </row>
    <row r="18052">
      <c r="A18052" s="8" t="n"/>
      <c r="B18052" s="9" t="n"/>
    </row>
    <row r="18053">
      <c r="A18053" s="8" t="n"/>
      <c r="B18053" s="9" t="n"/>
    </row>
    <row r="18054">
      <c r="A18054" s="8" t="n"/>
      <c r="B18054" s="9" t="n"/>
    </row>
    <row r="18055">
      <c r="A18055" s="8" t="n"/>
      <c r="B18055" s="9" t="n"/>
    </row>
    <row r="18056">
      <c r="A18056" s="8" t="n"/>
      <c r="B18056" s="9" t="n"/>
    </row>
    <row r="18057">
      <c r="A18057" s="8" t="n"/>
      <c r="B18057" s="9" t="n"/>
    </row>
    <row r="18058">
      <c r="A18058" s="8" t="n"/>
      <c r="B18058" s="9" t="n"/>
    </row>
    <row r="18059">
      <c r="A18059" s="8" t="n"/>
      <c r="B18059" s="9" t="n"/>
    </row>
    <row r="18060">
      <c r="A18060" s="8" t="n"/>
      <c r="B18060" s="9" t="n"/>
    </row>
    <row r="18061">
      <c r="A18061" s="8" t="n"/>
      <c r="B18061" s="9" t="n"/>
    </row>
    <row r="18062">
      <c r="A18062" s="8" t="n"/>
      <c r="B18062" s="9" t="n"/>
    </row>
    <row r="18063">
      <c r="A18063" s="8" t="n"/>
      <c r="B18063" s="9" t="n"/>
    </row>
    <row r="18064">
      <c r="A18064" s="8" t="n"/>
      <c r="B18064" s="9" t="n"/>
    </row>
    <row r="18065">
      <c r="A18065" s="8" t="n"/>
      <c r="B18065" s="9" t="n"/>
    </row>
    <row r="18066">
      <c r="A18066" s="8" t="n"/>
      <c r="B18066" s="9" t="n"/>
    </row>
    <row r="18067">
      <c r="A18067" s="8" t="n"/>
      <c r="B18067" s="9" t="n"/>
    </row>
    <row r="18068">
      <c r="A18068" s="8" t="n"/>
      <c r="B18068" s="9" t="n"/>
    </row>
    <row r="18069">
      <c r="A18069" s="8" t="n"/>
      <c r="B18069" s="9" t="n"/>
    </row>
    <row r="18070">
      <c r="A18070" s="8" t="n"/>
      <c r="B18070" s="9" t="n"/>
    </row>
    <row r="18071">
      <c r="A18071" s="8" t="n"/>
      <c r="B18071" s="9" t="n"/>
    </row>
    <row r="18072">
      <c r="A18072" s="8" t="n"/>
      <c r="B18072" s="9" t="n"/>
    </row>
    <row r="18073">
      <c r="A18073" s="8" t="n"/>
      <c r="B18073" s="9" t="n"/>
    </row>
    <row r="18074">
      <c r="A18074" s="8" t="n"/>
      <c r="B18074" s="9" t="n"/>
    </row>
    <row r="18075">
      <c r="A18075" s="8" t="n"/>
      <c r="B18075" s="9" t="n"/>
    </row>
    <row r="18076">
      <c r="A18076" s="8" t="n"/>
      <c r="B18076" s="9" t="n"/>
    </row>
    <row r="18077">
      <c r="A18077" s="8" t="n"/>
      <c r="B18077" s="9" t="n"/>
    </row>
    <row r="18078">
      <c r="A18078" s="8" t="n"/>
      <c r="B18078" s="9" t="n"/>
    </row>
    <row r="18079">
      <c r="A18079" s="8" t="n"/>
      <c r="B18079" s="9" t="n"/>
    </row>
    <row r="18080">
      <c r="A18080" s="8" t="n"/>
      <c r="B18080" s="9" t="n"/>
    </row>
    <row r="18081">
      <c r="A18081" s="8" t="n"/>
      <c r="B18081" s="9" t="n"/>
    </row>
    <row r="18082">
      <c r="A18082" s="8" t="n"/>
      <c r="B18082" s="9" t="n"/>
    </row>
    <row r="18083">
      <c r="A18083" s="8" t="n"/>
      <c r="B18083" s="9" t="n"/>
    </row>
    <row r="18084">
      <c r="A18084" s="8" t="n"/>
      <c r="B18084" s="9" t="n"/>
    </row>
    <row r="18085">
      <c r="A18085" s="8" t="n"/>
      <c r="B18085" s="9" t="n"/>
    </row>
    <row r="18086">
      <c r="A18086" s="8" t="n"/>
      <c r="B18086" s="9" t="n"/>
    </row>
    <row r="18087">
      <c r="A18087" s="8" t="n"/>
      <c r="B18087" s="9" t="n"/>
    </row>
    <row r="18088">
      <c r="A18088" s="8" t="n"/>
      <c r="B18088" s="9" t="n"/>
    </row>
    <row r="18089">
      <c r="A18089" s="8" t="n"/>
      <c r="B18089" s="9" t="n"/>
    </row>
    <row r="18090">
      <c r="A18090" s="8" t="n"/>
      <c r="B18090" s="9" t="n"/>
    </row>
    <row r="18091">
      <c r="A18091" s="8" t="n"/>
      <c r="B18091" s="9" t="n"/>
    </row>
    <row r="18092">
      <c r="A18092" s="8" t="n"/>
      <c r="B18092" s="9" t="n"/>
    </row>
    <row r="18093">
      <c r="A18093" s="8" t="n"/>
      <c r="B18093" s="9" t="n"/>
    </row>
    <row r="18094">
      <c r="A18094" s="8" t="n"/>
      <c r="B18094" s="9" t="n"/>
    </row>
    <row r="18095">
      <c r="A18095" s="8" t="n"/>
      <c r="B18095" s="9" t="n"/>
    </row>
    <row r="18096">
      <c r="A18096" s="8" t="n"/>
      <c r="B18096" s="9" t="n"/>
    </row>
    <row r="18097">
      <c r="A18097" s="8" t="n"/>
      <c r="B18097" s="9" t="n"/>
    </row>
    <row r="18098">
      <c r="A18098" s="8" t="n"/>
      <c r="B18098" s="9" t="n"/>
    </row>
    <row r="18099">
      <c r="A18099" s="8" t="n"/>
      <c r="B18099" s="9" t="n"/>
    </row>
    <row r="18100">
      <c r="A18100" s="8" t="n"/>
      <c r="B18100" s="9" t="n"/>
    </row>
    <row r="18101">
      <c r="A18101" s="8" t="n"/>
      <c r="B18101" s="9" t="n"/>
    </row>
    <row r="18102">
      <c r="A18102" s="8" t="n"/>
      <c r="B18102" s="9" t="n"/>
    </row>
    <row r="18103">
      <c r="A18103" s="8" t="n"/>
      <c r="B18103" s="9" t="n"/>
    </row>
    <row r="18104">
      <c r="A18104" s="8" t="n"/>
      <c r="B18104" s="9" t="n"/>
    </row>
    <row r="18105">
      <c r="A18105" s="8" t="n"/>
      <c r="B18105" s="9" t="n"/>
    </row>
    <row r="18106">
      <c r="A18106" s="8" t="n"/>
      <c r="B18106" s="9" t="n"/>
    </row>
    <row r="18107">
      <c r="A18107" s="8" t="n"/>
      <c r="B18107" s="9" t="n"/>
    </row>
    <row r="18108">
      <c r="A18108" s="8" t="n"/>
      <c r="B18108" s="9" t="n"/>
    </row>
    <row r="18109">
      <c r="A18109" s="8" t="n"/>
      <c r="B18109" s="9" t="n"/>
    </row>
    <row r="18110">
      <c r="A18110" s="8" t="n"/>
      <c r="B18110" s="9" t="n"/>
    </row>
    <row r="18111">
      <c r="A18111" s="8" t="n"/>
      <c r="B18111" s="9" t="n"/>
    </row>
    <row r="18112">
      <c r="A18112" s="8" t="n"/>
      <c r="B18112" s="9" t="n"/>
    </row>
    <row r="18113">
      <c r="A18113" s="8" t="n"/>
      <c r="B18113" s="9" t="n"/>
    </row>
    <row r="18114">
      <c r="A18114" s="8" t="n"/>
      <c r="B18114" s="9" t="n"/>
    </row>
    <row r="18115">
      <c r="A18115" s="8" t="n"/>
      <c r="B18115" s="9" t="n"/>
    </row>
    <row r="18116">
      <c r="A18116" s="8" t="n"/>
      <c r="B18116" s="9" t="n"/>
    </row>
    <row r="18117">
      <c r="A18117" s="8" t="n"/>
      <c r="B18117" s="9" t="n"/>
    </row>
    <row r="18118">
      <c r="A18118" s="8" t="n"/>
      <c r="B18118" s="9" t="n"/>
    </row>
    <row r="18119">
      <c r="A18119" s="8" t="n"/>
      <c r="B18119" s="9" t="n"/>
    </row>
    <row r="18120">
      <c r="A18120" s="8" t="n"/>
      <c r="B18120" s="9" t="n"/>
    </row>
    <row r="18121">
      <c r="A18121" s="8" t="n"/>
      <c r="B18121" s="9" t="n"/>
    </row>
    <row r="18122">
      <c r="A18122" s="8" t="n"/>
      <c r="B18122" s="9" t="n"/>
    </row>
    <row r="18123">
      <c r="A18123" s="8" t="n"/>
      <c r="B18123" s="9" t="n"/>
    </row>
    <row r="18124">
      <c r="A18124" s="8" t="n"/>
      <c r="B18124" s="9" t="n"/>
    </row>
    <row r="18125">
      <c r="A18125" s="8" t="n"/>
      <c r="B18125" s="9" t="n"/>
    </row>
    <row r="18126">
      <c r="A18126" s="8" t="n"/>
      <c r="B18126" s="9" t="n"/>
    </row>
    <row r="18127">
      <c r="A18127" s="8" t="n"/>
      <c r="B18127" s="9" t="n"/>
    </row>
    <row r="18128">
      <c r="A18128" s="8" t="n"/>
      <c r="B18128" s="9" t="n"/>
    </row>
    <row r="18129">
      <c r="A18129" s="8" t="n"/>
      <c r="B18129" s="9" t="n"/>
    </row>
    <row r="18130">
      <c r="A18130" s="8" t="n"/>
      <c r="B18130" s="9" t="n"/>
    </row>
    <row r="18131">
      <c r="A18131" s="8" t="n"/>
      <c r="B18131" s="9" t="n"/>
    </row>
    <row r="18132">
      <c r="A18132" s="8" t="n"/>
      <c r="B18132" s="9" t="n"/>
    </row>
    <row r="18133">
      <c r="A18133" s="8" t="n"/>
      <c r="B18133" s="9" t="n"/>
    </row>
    <row r="18134">
      <c r="A18134" s="8" t="n"/>
      <c r="B18134" s="9" t="n"/>
    </row>
    <row r="18135">
      <c r="A18135" s="8" t="n"/>
      <c r="B18135" s="9" t="n"/>
    </row>
    <row r="18136">
      <c r="A18136" s="8" t="n"/>
      <c r="B18136" s="9" t="n"/>
    </row>
    <row r="18137">
      <c r="A18137" s="8" t="n"/>
      <c r="B18137" s="9" t="n"/>
    </row>
    <row r="18138">
      <c r="A18138" s="8" t="n"/>
      <c r="B18138" s="9" t="n"/>
    </row>
    <row r="18139">
      <c r="A18139" s="8" t="n"/>
      <c r="B18139" s="9" t="n"/>
    </row>
    <row r="18140">
      <c r="A18140" s="8" t="n"/>
      <c r="B18140" s="9" t="n"/>
    </row>
    <row r="18141">
      <c r="A18141" s="8" t="n"/>
      <c r="B18141" s="9" t="n"/>
    </row>
    <row r="18142">
      <c r="A18142" s="8" t="n"/>
      <c r="B18142" s="9" t="n"/>
    </row>
    <row r="18143">
      <c r="A18143" s="8" t="n"/>
      <c r="B18143" s="9" t="n"/>
    </row>
    <row r="18144">
      <c r="A18144" s="8" t="n"/>
      <c r="B18144" s="9" t="n"/>
    </row>
    <row r="18145">
      <c r="A18145" s="8" t="n"/>
      <c r="B18145" s="9" t="n"/>
    </row>
    <row r="18146">
      <c r="A18146" s="8" t="n"/>
      <c r="B18146" s="9" t="n"/>
    </row>
    <row r="18147">
      <c r="A18147" s="8" t="n"/>
      <c r="B18147" s="9" t="n"/>
    </row>
    <row r="18148">
      <c r="A18148" s="8" t="n"/>
      <c r="B18148" s="9" t="n"/>
    </row>
    <row r="18149">
      <c r="A18149" s="8" t="n"/>
      <c r="B18149" s="9" t="n"/>
    </row>
    <row r="18150">
      <c r="A18150" s="8" t="n"/>
      <c r="B18150" s="9" t="n"/>
    </row>
    <row r="18151">
      <c r="A18151" s="8" t="n"/>
      <c r="B18151" s="9" t="n"/>
    </row>
    <row r="18152">
      <c r="A18152" s="8" t="n"/>
      <c r="B18152" s="9" t="n"/>
    </row>
    <row r="18153">
      <c r="A18153" s="8" t="n"/>
      <c r="B18153" s="9" t="n"/>
    </row>
    <row r="18154">
      <c r="A18154" s="8" t="n"/>
      <c r="B18154" s="9" t="n"/>
    </row>
    <row r="18155">
      <c r="A18155" s="8" t="n"/>
      <c r="B18155" s="9" t="n"/>
    </row>
    <row r="18156">
      <c r="A18156" s="8" t="n"/>
      <c r="B18156" s="9" t="n"/>
    </row>
    <row r="18157">
      <c r="A18157" s="8" t="n"/>
      <c r="B18157" s="9" t="n"/>
    </row>
    <row r="18158">
      <c r="A18158" s="8" t="n"/>
      <c r="B18158" s="9" t="n"/>
    </row>
    <row r="18159">
      <c r="A18159" s="8" t="n"/>
      <c r="B18159" s="9" t="n"/>
    </row>
    <row r="18160">
      <c r="A18160" s="8" t="n"/>
      <c r="B18160" s="9" t="n"/>
    </row>
    <row r="18161">
      <c r="A18161" s="8" t="n"/>
      <c r="B18161" s="9" t="n"/>
    </row>
    <row r="18162">
      <c r="A18162" s="8" t="n"/>
      <c r="B18162" s="9" t="n"/>
    </row>
    <row r="18163">
      <c r="A18163" s="8" t="n"/>
      <c r="B18163" s="9" t="n"/>
    </row>
    <row r="18164">
      <c r="A18164" s="8" t="n"/>
      <c r="B18164" s="9" t="n"/>
    </row>
    <row r="18165">
      <c r="A18165" s="8" t="n"/>
      <c r="B18165" s="9" t="n"/>
    </row>
    <row r="18166">
      <c r="A18166" s="8" t="n"/>
      <c r="B18166" s="9" t="n"/>
    </row>
    <row r="18167">
      <c r="A18167" s="8" t="n"/>
      <c r="B18167" s="9" t="n"/>
    </row>
    <row r="18168">
      <c r="A18168" s="8" t="n"/>
      <c r="B18168" s="9" t="n"/>
    </row>
    <row r="18169">
      <c r="A18169" s="8" t="n"/>
      <c r="B18169" s="9" t="n"/>
    </row>
    <row r="18170">
      <c r="A18170" s="8" t="n"/>
      <c r="B18170" s="9" t="n"/>
    </row>
    <row r="18171">
      <c r="A18171" s="8" t="n"/>
      <c r="B18171" s="9" t="n"/>
    </row>
    <row r="18172">
      <c r="A18172" s="8" t="n"/>
      <c r="B18172" s="9" t="n"/>
    </row>
    <row r="18173">
      <c r="A18173" s="8" t="n"/>
      <c r="B18173" s="9" t="n"/>
    </row>
    <row r="18174">
      <c r="A18174" s="8" t="n"/>
      <c r="B18174" s="9" t="n"/>
    </row>
    <row r="18175">
      <c r="A18175" s="8" t="n"/>
      <c r="B18175" s="9" t="n"/>
    </row>
    <row r="18176">
      <c r="A18176" s="8" t="n"/>
      <c r="B18176" s="9" t="n"/>
    </row>
    <row r="18177">
      <c r="A18177" s="8" t="n"/>
      <c r="B18177" s="9" t="n"/>
    </row>
    <row r="18178">
      <c r="A18178" s="8" t="n"/>
      <c r="B18178" s="9" t="n"/>
    </row>
    <row r="18179">
      <c r="A18179" s="8" t="n"/>
      <c r="B18179" s="9" t="n"/>
    </row>
    <row r="18180">
      <c r="A18180" s="8" t="n"/>
      <c r="B18180" s="9" t="n"/>
    </row>
    <row r="18181">
      <c r="A18181" s="8" t="n"/>
      <c r="B18181" s="9" t="n"/>
    </row>
    <row r="18182">
      <c r="A18182" s="8" t="n"/>
      <c r="B18182" s="9" t="n"/>
    </row>
    <row r="18183">
      <c r="A18183" s="8" t="n"/>
      <c r="B18183" s="9" t="n"/>
    </row>
    <row r="18184">
      <c r="A18184" s="8" t="n"/>
      <c r="B18184" s="9" t="n"/>
    </row>
    <row r="18185">
      <c r="A18185" s="8" t="n"/>
      <c r="B18185" s="9" t="n"/>
    </row>
    <row r="18186">
      <c r="A18186" s="8" t="n"/>
      <c r="B18186" s="9" t="n"/>
    </row>
    <row r="18187">
      <c r="A18187" s="8" t="n"/>
      <c r="B18187" s="9" t="n"/>
    </row>
    <row r="18188">
      <c r="A18188" s="8" t="n"/>
      <c r="B18188" s="9" t="n"/>
    </row>
    <row r="18189">
      <c r="A18189" s="8" t="n"/>
      <c r="B18189" s="9" t="n"/>
    </row>
    <row r="18190">
      <c r="A18190" s="8" t="n"/>
      <c r="B18190" s="9" t="n"/>
    </row>
    <row r="18191">
      <c r="A18191" s="8" t="n"/>
      <c r="B18191" s="9" t="n"/>
    </row>
    <row r="18192">
      <c r="A18192" s="8" t="n"/>
      <c r="B18192" s="9" t="n"/>
    </row>
    <row r="18193">
      <c r="A18193" s="8" t="n"/>
      <c r="B18193" s="9" t="n"/>
    </row>
    <row r="18194">
      <c r="A18194" s="8" t="n"/>
      <c r="B18194" s="9" t="n"/>
    </row>
    <row r="18195">
      <c r="A18195" s="8" t="n"/>
      <c r="B18195" s="9" t="n"/>
    </row>
    <row r="18196">
      <c r="A18196" s="8" t="n"/>
      <c r="B18196" s="9" t="n"/>
    </row>
    <row r="18197">
      <c r="A18197" s="8" t="n"/>
      <c r="B18197" s="9" t="n"/>
    </row>
    <row r="18198">
      <c r="A18198" s="8" t="n"/>
      <c r="B18198" s="9" t="n"/>
    </row>
    <row r="18199">
      <c r="A18199" s="8" t="n"/>
      <c r="B18199" s="9" t="n"/>
    </row>
    <row r="18200">
      <c r="A18200" s="8" t="n"/>
      <c r="B18200" s="9" t="n"/>
    </row>
    <row r="18201">
      <c r="A18201" s="8" t="n"/>
      <c r="B18201" s="9" t="n"/>
    </row>
    <row r="18202">
      <c r="A18202" s="8" t="n"/>
      <c r="B18202" s="9" t="n"/>
    </row>
    <row r="18203">
      <c r="A18203" s="8" t="n"/>
      <c r="B18203" s="9" t="n"/>
    </row>
    <row r="18204">
      <c r="A18204" s="8" t="n"/>
      <c r="B18204" s="9" t="n"/>
    </row>
    <row r="18205">
      <c r="A18205" s="8" t="n"/>
      <c r="B18205" s="9" t="n"/>
    </row>
    <row r="18206">
      <c r="A18206" s="8" t="n"/>
      <c r="B18206" s="9" t="n"/>
    </row>
    <row r="18207">
      <c r="A18207" s="8" t="n"/>
      <c r="B18207" s="9" t="n"/>
    </row>
    <row r="18208">
      <c r="A18208" s="8" t="n"/>
      <c r="B18208" s="9" t="n"/>
    </row>
    <row r="18209">
      <c r="A18209" s="8" t="n"/>
      <c r="B18209" s="9" t="n"/>
    </row>
    <row r="18210">
      <c r="A18210" s="8" t="n"/>
      <c r="B18210" s="9" t="n"/>
    </row>
    <row r="18211">
      <c r="A18211" s="8" t="n"/>
      <c r="B18211" s="9" t="n"/>
    </row>
    <row r="18212">
      <c r="A18212" s="8" t="n"/>
      <c r="B18212" s="9" t="n"/>
    </row>
    <row r="18213">
      <c r="A18213" s="8" t="n"/>
      <c r="B18213" s="9" t="n"/>
    </row>
    <row r="18214">
      <c r="A18214" s="8" t="n"/>
      <c r="B18214" s="9" t="n"/>
    </row>
    <row r="18215">
      <c r="A18215" s="8" t="n"/>
      <c r="B18215" s="9" t="n"/>
    </row>
    <row r="18216">
      <c r="A18216" s="8" t="n"/>
      <c r="B18216" s="9" t="n"/>
    </row>
    <row r="18217">
      <c r="A18217" s="8" t="n"/>
      <c r="B18217" s="9" t="n"/>
    </row>
    <row r="18218">
      <c r="A18218" s="8" t="n"/>
      <c r="B18218" s="9" t="n"/>
    </row>
    <row r="18219">
      <c r="A18219" s="8" t="n"/>
      <c r="B18219" s="9" t="n"/>
    </row>
    <row r="18220">
      <c r="A18220" s="8" t="n"/>
      <c r="B18220" s="9" t="n"/>
    </row>
    <row r="18221">
      <c r="A18221" s="8" t="n"/>
      <c r="B18221" s="9" t="n"/>
    </row>
    <row r="18222">
      <c r="A18222" s="8" t="n"/>
      <c r="B18222" s="9" t="n"/>
    </row>
    <row r="18223">
      <c r="A18223" s="8" t="n"/>
      <c r="B18223" s="9" t="n"/>
    </row>
    <row r="18224">
      <c r="A18224" s="8" t="n"/>
      <c r="B18224" s="9" t="n"/>
    </row>
    <row r="18225">
      <c r="A18225" s="8" t="n"/>
      <c r="B18225" s="9" t="n"/>
    </row>
    <row r="18226">
      <c r="A18226" s="8" t="n"/>
      <c r="B18226" s="9" t="n"/>
    </row>
    <row r="18227">
      <c r="A18227" s="8" t="n"/>
      <c r="B18227" s="9" t="n"/>
    </row>
    <row r="18228">
      <c r="A18228" s="8" t="n"/>
      <c r="B18228" s="9" t="n"/>
    </row>
    <row r="18229">
      <c r="A18229" s="8" t="n"/>
      <c r="B18229" s="9" t="n"/>
    </row>
    <row r="18230">
      <c r="A18230" s="8" t="n"/>
      <c r="B18230" s="9" t="n"/>
    </row>
    <row r="18231">
      <c r="A18231" s="8" t="n"/>
      <c r="B18231" s="9" t="n"/>
    </row>
    <row r="18232">
      <c r="A18232" s="8" t="n"/>
      <c r="B18232" s="9" t="n"/>
    </row>
    <row r="18233">
      <c r="A18233" s="8" t="n"/>
      <c r="B18233" s="9" t="n"/>
    </row>
    <row r="18234">
      <c r="A18234" s="8" t="n"/>
      <c r="B18234" s="9" t="n"/>
    </row>
    <row r="18235">
      <c r="A18235" s="8" t="n"/>
      <c r="B18235" s="9" t="n"/>
    </row>
    <row r="18236">
      <c r="A18236" s="8" t="n"/>
      <c r="B18236" s="9" t="n"/>
    </row>
    <row r="18237">
      <c r="A18237" s="8" t="n"/>
      <c r="B18237" s="9" t="n"/>
    </row>
    <row r="18238">
      <c r="A18238" s="8" t="n"/>
      <c r="B18238" s="9" t="n"/>
    </row>
    <row r="18239">
      <c r="A18239" s="8" t="n"/>
      <c r="B18239" s="9" t="n"/>
    </row>
    <row r="18240">
      <c r="A18240" s="8" t="n"/>
      <c r="B18240" s="9" t="n"/>
    </row>
    <row r="18241">
      <c r="A18241" s="8" t="n"/>
      <c r="B18241" s="9" t="n"/>
    </row>
    <row r="18242">
      <c r="A18242" s="8" t="n"/>
      <c r="B18242" s="9" t="n"/>
    </row>
    <row r="18243">
      <c r="A18243" s="8" t="n"/>
      <c r="B18243" s="9" t="n"/>
    </row>
    <row r="18244">
      <c r="A18244" s="8" t="n"/>
      <c r="B18244" s="9" t="n"/>
    </row>
    <row r="18245">
      <c r="A18245" s="8" t="n"/>
      <c r="B18245" s="9" t="n"/>
    </row>
    <row r="18246">
      <c r="A18246" s="8" t="n"/>
      <c r="B18246" s="9" t="n"/>
    </row>
    <row r="18247">
      <c r="A18247" s="8" t="n"/>
      <c r="B18247" s="9" t="n"/>
    </row>
    <row r="18248">
      <c r="A18248" s="8" t="n"/>
      <c r="B18248" s="9" t="n"/>
    </row>
    <row r="18249">
      <c r="A18249" s="8" t="n"/>
      <c r="B18249" s="9" t="n"/>
    </row>
    <row r="18250">
      <c r="A18250" s="8" t="n"/>
      <c r="B18250" s="9" t="n"/>
    </row>
    <row r="18251">
      <c r="A18251" s="8" t="n"/>
      <c r="B18251" s="9" t="n"/>
    </row>
    <row r="18252">
      <c r="A18252" s="8" t="n"/>
      <c r="B18252" s="9" t="n"/>
    </row>
    <row r="18253">
      <c r="A18253" s="8" t="n"/>
      <c r="B18253" s="9" t="n"/>
    </row>
    <row r="18254">
      <c r="A18254" s="8" t="n"/>
      <c r="B18254" s="9" t="n"/>
    </row>
    <row r="18255">
      <c r="A18255" s="8" t="n"/>
      <c r="B18255" s="9" t="n"/>
    </row>
    <row r="18256">
      <c r="A18256" s="8" t="n"/>
      <c r="B18256" s="9" t="n"/>
    </row>
    <row r="18257">
      <c r="A18257" s="8" t="n"/>
      <c r="B18257" s="9" t="n"/>
    </row>
    <row r="18258">
      <c r="A18258" s="8" t="n"/>
      <c r="B18258" s="9" t="n"/>
    </row>
    <row r="18259">
      <c r="A18259" s="8" t="n"/>
      <c r="B18259" s="9" t="n"/>
    </row>
    <row r="18260">
      <c r="A18260" s="8" t="n"/>
      <c r="B18260" s="9" t="n"/>
    </row>
    <row r="18261">
      <c r="A18261" s="8" t="n"/>
      <c r="B18261" s="9" t="n"/>
    </row>
    <row r="18262">
      <c r="A18262" s="8" t="n"/>
      <c r="B18262" s="9" t="n"/>
    </row>
    <row r="18263">
      <c r="A18263" s="8" t="n"/>
      <c r="B18263" s="9" t="n"/>
    </row>
    <row r="18264">
      <c r="A18264" s="8" t="n"/>
      <c r="B18264" s="9" t="n"/>
    </row>
    <row r="18265">
      <c r="A18265" s="8" t="n"/>
      <c r="B18265" s="9" t="n"/>
    </row>
    <row r="18266">
      <c r="A18266" s="8" t="n"/>
      <c r="B18266" s="9" t="n"/>
    </row>
    <row r="18267">
      <c r="A18267" s="8" t="n"/>
      <c r="B18267" s="9" t="n"/>
    </row>
    <row r="18268">
      <c r="A18268" s="8" t="n"/>
      <c r="B18268" s="9" t="n"/>
    </row>
    <row r="18269">
      <c r="A18269" s="8" t="n"/>
      <c r="B18269" s="9" t="n"/>
    </row>
    <row r="18270">
      <c r="A18270" s="8" t="n"/>
      <c r="B18270" s="9" t="n"/>
    </row>
    <row r="18271">
      <c r="A18271" s="8" t="n"/>
      <c r="B18271" s="9" t="n"/>
    </row>
    <row r="18272">
      <c r="A18272" s="8" t="n"/>
      <c r="B18272" s="9" t="n"/>
    </row>
    <row r="18273">
      <c r="A18273" s="8" t="n"/>
      <c r="B18273" s="9" t="n"/>
    </row>
    <row r="18274">
      <c r="A18274" s="8" t="n"/>
      <c r="B18274" s="9" t="n"/>
    </row>
    <row r="18275">
      <c r="A18275" s="8" t="n"/>
      <c r="B18275" s="9" t="n"/>
    </row>
    <row r="18276">
      <c r="A18276" s="8" t="n"/>
      <c r="B18276" s="9" t="n"/>
    </row>
    <row r="18277">
      <c r="A18277" s="8" t="n"/>
      <c r="B18277" s="9" t="n"/>
    </row>
    <row r="18278">
      <c r="A18278" s="8" t="n"/>
      <c r="B18278" s="9" t="n"/>
    </row>
    <row r="18279">
      <c r="A18279" s="8" t="n"/>
      <c r="B18279" s="9" t="n"/>
    </row>
    <row r="18280">
      <c r="A18280" s="8" t="n"/>
      <c r="B18280" s="9" t="n"/>
    </row>
    <row r="18281">
      <c r="A18281" s="8" t="n"/>
      <c r="B18281" s="9" t="n"/>
    </row>
    <row r="18282">
      <c r="A18282" s="8" t="n"/>
      <c r="B18282" s="9" t="n"/>
    </row>
    <row r="18283">
      <c r="A18283" s="8" t="n"/>
      <c r="B18283" s="9" t="n"/>
    </row>
    <row r="18284">
      <c r="A18284" s="8" t="n"/>
      <c r="B18284" s="9" t="n"/>
    </row>
    <row r="18285">
      <c r="A18285" s="8" t="n"/>
      <c r="B18285" s="9" t="n"/>
    </row>
    <row r="18286">
      <c r="A18286" s="8" t="n"/>
      <c r="B18286" s="9" t="n"/>
    </row>
    <row r="18287">
      <c r="A18287" s="8" t="n"/>
      <c r="B18287" s="9" t="n"/>
    </row>
    <row r="18288">
      <c r="A18288" s="8" t="n"/>
      <c r="B18288" s="9" t="n"/>
    </row>
    <row r="18289">
      <c r="A18289" s="8" t="n"/>
      <c r="B18289" s="9" t="n"/>
    </row>
    <row r="18290">
      <c r="A18290" s="8" t="n"/>
      <c r="B18290" s="9" t="n"/>
    </row>
    <row r="18291">
      <c r="A18291" s="8" t="n"/>
      <c r="B18291" s="9" t="n"/>
    </row>
    <row r="18292">
      <c r="A18292" s="8" t="n"/>
      <c r="B18292" s="9" t="n"/>
    </row>
    <row r="18293">
      <c r="A18293" s="8" t="n"/>
      <c r="B18293" s="9" t="n"/>
    </row>
    <row r="18294">
      <c r="A18294" s="8" t="n"/>
      <c r="B18294" s="9" t="n"/>
    </row>
    <row r="18295">
      <c r="A18295" s="8" t="n"/>
      <c r="B18295" s="9" t="n"/>
    </row>
    <row r="18296">
      <c r="A18296" s="8" t="n"/>
      <c r="B18296" s="9" t="n"/>
    </row>
    <row r="18297">
      <c r="A18297" s="8" t="n"/>
      <c r="B18297" s="9" t="n"/>
    </row>
    <row r="18298">
      <c r="A18298" s="8" t="n"/>
      <c r="B18298" s="9" t="n"/>
    </row>
    <row r="18299">
      <c r="A18299" s="8" t="n"/>
      <c r="B18299" s="9" t="n"/>
    </row>
    <row r="18300">
      <c r="A18300" s="8" t="n"/>
      <c r="B18300" s="9" t="n"/>
    </row>
    <row r="18301">
      <c r="A18301" s="8" t="n"/>
      <c r="B18301" s="9" t="n"/>
    </row>
    <row r="18302">
      <c r="A18302" s="8" t="n"/>
      <c r="B18302" s="9" t="n"/>
    </row>
    <row r="18303">
      <c r="A18303" s="8" t="n"/>
      <c r="B18303" s="9" t="n"/>
    </row>
    <row r="18304">
      <c r="A18304" s="8" t="n"/>
      <c r="B18304" s="9" t="n"/>
    </row>
    <row r="18305">
      <c r="A18305" s="8" t="n"/>
      <c r="B18305" s="9" t="n"/>
    </row>
    <row r="18306">
      <c r="A18306" s="8" t="n"/>
      <c r="B18306" s="9" t="n"/>
    </row>
    <row r="18307">
      <c r="A18307" s="8" t="n"/>
      <c r="B18307" s="9" t="n"/>
    </row>
    <row r="18308">
      <c r="A18308" s="8" t="n"/>
      <c r="B18308" s="9" t="n"/>
    </row>
    <row r="18309">
      <c r="A18309" s="8" t="n"/>
      <c r="B18309" s="9" t="n"/>
    </row>
    <row r="18310">
      <c r="A18310" s="8" t="n"/>
      <c r="B18310" s="9" t="n"/>
    </row>
    <row r="18311">
      <c r="A18311" s="8" t="n"/>
      <c r="B18311" s="9" t="n"/>
    </row>
    <row r="18312">
      <c r="A18312" s="8" t="n"/>
      <c r="B18312" s="9" t="n"/>
    </row>
    <row r="18313">
      <c r="A18313" s="8" t="n"/>
      <c r="B18313" s="9" t="n"/>
    </row>
    <row r="18314">
      <c r="A18314" s="8" t="n"/>
      <c r="B18314" s="9" t="n"/>
    </row>
    <row r="18315">
      <c r="A18315" s="8" t="n"/>
      <c r="B18315" s="9" t="n"/>
    </row>
    <row r="18316">
      <c r="A18316" s="8" t="n"/>
      <c r="B18316" s="9" t="n"/>
    </row>
    <row r="18317">
      <c r="A18317" s="8" t="n"/>
      <c r="B18317" s="9" t="n"/>
    </row>
    <row r="18318">
      <c r="A18318" s="8" t="n"/>
      <c r="B18318" s="9" t="n"/>
    </row>
    <row r="18319">
      <c r="A18319" s="8" t="n"/>
      <c r="B18319" s="9" t="n"/>
    </row>
    <row r="18320">
      <c r="A18320" s="8" t="n"/>
      <c r="B18320" s="9" t="n"/>
    </row>
    <row r="18321">
      <c r="A18321" s="8" t="n"/>
      <c r="B18321" s="9" t="n"/>
    </row>
    <row r="18322">
      <c r="A18322" s="8" t="n"/>
      <c r="B18322" s="9" t="n"/>
    </row>
    <row r="18323">
      <c r="A18323" s="8" t="n"/>
      <c r="B18323" s="9" t="n"/>
    </row>
    <row r="18324">
      <c r="A18324" s="8" t="n"/>
      <c r="B18324" s="9" t="n"/>
    </row>
    <row r="18325">
      <c r="A18325" s="8" t="n"/>
      <c r="B18325" s="9" t="n"/>
    </row>
    <row r="18326">
      <c r="A18326" s="8" t="n"/>
      <c r="B18326" s="9" t="n"/>
    </row>
    <row r="18327">
      <c r="A18327" s="8" t="n"/>
      <c r="B18327" s="9" t="n"/>
    </row>
    <row r="18328">
      <c r="A18328" s="8" t="n"/>
      <c r="B18328" s="9" t="n"/>
    </row>
    <row r="18329">
      <c r="A18329" s="8" t="n"/>
      <c r="B18329" s="9" t="n"/>
    </row>
    <row r="18330">
      <c r="A18330" s="8" t="n"/>
      <c r="B18330" s="9" t="n"/>
    </row>
    <row r="18331">
      <c r="A18331" s="8" t="n"/>
      <c r="B18331" s="9" t="n"/>
    </row>
    <row r="18332">
      <c r="A18332" s="8" t="n"/>
      <c r="B18332" s="9" t="n"/>
    </row>
    <row r="18333">
      <c r="A18333" s="8" t="n"/>
      <c r="B18333" s="9" t="n"/>
    </row>
    <row r="18334">
      <c r="A18334" s="8" t="n"/>
      <c r="B18334" s="9" t="n"/>
    </row>
    <row r="18335">
      <c r="A18335" s="8" t="n"/>
      <c r="B18335" s="9" t="n"/>
    </row>
    <row r="18336">
      <c r="A18336" s="8" t="n"/>
      <c r="B18336" s="9" t="n"/>
    </row>
    <row r="18337">
      <c r="A18337" s="8" t="n"/>
      <c r="B18337" s="9" t="n"/>
    </row>
    <row r="18338">
      <c r="A18338" s="8" t="n"/>
      <c r="B18338" s="9" t="n"/>
    </row>
    <row r="18339">
      <c r="A18339" s="8" t="n"/>
      <c r="B18339" s="9" t="n"/>
    </row>
    <row r="18340">
      <c r="A18340" s="8" t="n"/>
      <c r="B18340" s="9" t="n"/>
    </row>
    <row r="18341">
      <c r="A18341" s="8" t="n"/>
      <c r="B18341" s="9" t="n"/>
    </row>
    <row r="18342">
      <c r="A18342" s="8" t="n"/>
      <c r="B18342" s="9" t="n"/>
    </row>
    <row r="18343">
      <c r="A18343" s="8" t="n"/>
      <c r="B18343" s="9" t="n"/>
    </row>
    <row r="18344">
      <c r="A18344" s="8" t="n"/>
      <c r="B18344" s="9" t="n"/>
    </row>
    <row r="18345">
      <c r="A18345" s="8" t="n"/>
      <c r="B18345" s="9" t="n"/>
    </row>
    <row r="18346">
      <c r="A18346" s="8" t="n"/>
      <c r="B18346" s="9" t="n"/>
    </row>
    <row r="18347">
      <c r="A18347" s="8" t="n"/>
      <c r="B18347" s="9" t="n"/>
    </row>
    <row r="18348">
      <c r="A18348" s="8" t="n"/>
      <c r="B18348" s="9" t="n"/>
    </row>
    <row r="18349">
      <c r="A18349" s="8" t="n"/>
      <c r="B18349" s="9" t="n"/>
    </row>
    <row r="18350">
      <c r="A18350" s="8" t="n"/>
      <c r="B18350" s="9" t="n"/>
    </row>
    <row r="18351">
      <c r="A18351" s="8" t="n"/>
      <c r="B18351" s="9" t="n"/>
    </row>
    <row r="18352">
      <c r="A18352" s="8" t="n"/>
      <c r="B18352" s="9" t="n"/>
    </row>
    <row r="18353">
      <c r="A18353" s="8" t="n"/>
      <c r="B18353" s="9" t="n"/>
    </row>
    <row r="18354">
      <c r="A18354" s="8" t="n"/>
      <c r="B18354" s="9" t="n"/>
    </row>
    <row r="18355">
      <c r="A18355" s="8" t="n"/>
      <c r="B18355" s="9" t="n"/>
    </row>
    <row r="18356">
      <c r="A18356" s="8" t="n"/>
      <c r="B18356" s="9" t="n"/>
    </row>
    <row r="18357">
      <c r="A18357" s="8" t="n"/>
      <c r="B18357" s="9" t="n"/>
    </row>
    <row r="18358">
      <c r="A18358" s="8" t="n"/>
      <c r="B18358" s="9" t="n"/>
    </row>
    <row r="18359">
      <c r="A18359" s="8" t="n"/>
      <c r="B18359" s="9" t="n"/>
    </row>
    <row r="18360">
      <c r="A18360" s="8" t="n"/>
      <c r="B18360" s="9" t="n"/>
    </row>
    <row r="18361">
      <c r="A18361" s="8" t="n"/>
      <c r="B18361" s="9" t="n"/>
    </row>
    <row r="18362">
      <c r="A18362" s="8" t="n"/>
      <c r="B18362" s="9" t="n"/>
    </row>
    <row r="18363">
      <c r="A18363" s="8" t="n"/>
      <c r="B18363" s="9" t="n"/>
    </row>
    <row r="18364">
      <c r="A18364" s="8" t="n"/>
      <c r="B18364" s="9" t="n"/>
    </row>
    <row r="18365">
      <c r="A18365" s="8" t="n"/>
      <c r="B18365" s="9" t="n"/>
    </row>
    <row r="18366">
      <c r="A18366" s="8" t="n"/>
      <c r="B18366" s="9" t="n"/>
    </row>
    <row r="18367">
      <c r="A18367" s="8" t="n"/>
      <c r="B18367" s="9" t="n"/>
    </row>
    <row r="18368">
      <c r="A18368" s="8" t="n"/>
      <c r="B18368" s="9" t="n"/>
    </row>
    <row r="18369">
      <c r="A18369" s="8" t="n"/>
      <c r="B18369" s="9" t="n"/>
    </row>
    <row r="18370">
      <c r="A18370" s="8" t="n"/>
      <c r="B18370" s="9" t="n"/>
    </row>
    <row r="18371">
      <c r="A18371" s="8" t="n"/>
      <c r="B18371" s="9" t="n"/>
    </row>
    <row r="18372">
      <c r="A18372" s="8" t="n"/>
      <c r="B18372" s="9" t="n"/>
    </row>
    <row r="18373">
      <c r="A18373" s="8" t="n"/>
      <c r="B18373" s="9" t="n"/>
    </row>
    <row r="18374">
      <c r="A18374" s="8" t="n"/>
      <c r="B18374" s="9" t="n"/>
    </row>
    <row r="18375">
      <c r="A18375" s="8" t="n"/>
      <c r="B18375" s="9" t="n"/>
    </row>
    <row r="18376">
      <c r="A18376" s="8" t="n"/>
      <c r="B18376" s="9" t="n"/>
    </row>
    <row r="18377">
      <c r="A18377" s="8" t="n"/>
      <c r="B18377" s="9" t="n"/>
    </row>
    <row r="18378">
      <c r="A18378" s="8" t="n"/>
      <c r="B18378" s="9" t="n"/>
    </row>
    <row r="18379">
      <c r="A18379" s="8" t="n"/>
      <c r="B18379" s="9" t="n"/>
    </row>
    <row r="18380">
      <c r="A18380" s="8" t="n"/>
      <c r="B18380" s="9" t="n"/>
    </row>
    <row r="18381">
      <c r="A18381" s="8" t="n"/>
      <c r="B18381" s="9" t="n"/>
    </row>
    <row r="18382">
      <c r="A18382" s="8" t="n"/>
      <c r="B18382" s="9" t="n"/>
    </row>
    <row r="18383">
      <c r="A18383" s="8" t="n"/>
      <c r="B18383" s="9" t="n"/>
    </row>
    <row r="18384">
      <c r="A18384" s="8" t="n"/>
      <c r="B18384" s="9" t="n"/>
    </row>
    <row r="18385">
      <c r="A18385" s="8" t="n"/>
      <c r="B18385" s="9" t="n"/>
    </row>
    <row r="18386">
      <c r="A18386" s="8" t="n"/>
      <c r="B18386" s="9" t="n"/>
    </row>
    <row r="18387">
      <c r="A18387" s="8" t="n"/>
      <c r="B18387" s="9" t="n"/>
    </row>
    <row r="18388">
      <c r="A18388" s="8" t="n"/>
      <c r="B18388" s="9" t="n"/>
    </row>
    <row r="18389">
      <c r="A18389" s="8" t="n"/>
      <c r="B18389" s="9" t="n"/>
    </row>
    <row r="18390">
      <c r="A18390" s="8" t="n"/>
      <c r="B18390" s="9" t="n"/>
    </row>
    <row r="18391">
      <c r="A18391" s="8" t="n"/>
      <c r="B18391" s="9" t="n"/>
    </row>
    <row r="18392">
      <c r="A18392" s="8" t="n"/>
      <c r="B18392" s="9" t="n"/>
    </row>
    <row r="18393">
      <c r="A18393" s="8" t="n"/>
      <c r="B18393" s="9" t="n"/>
    </row>
    <row r="18394">
      <c r="A18394" s="8" t="n"/>
      <c r="B18394" s="9" t="n"/>
    </row>
    <row r="18395">
      <c r="A18395" s="8" t="n"/>
      <c r="B18395" s="9" t="n"/>
    </row>
    <row r="18396">
      <c r="A18396" s="8" t="n"/>
      <c r="B18396" s="9" t="n"/>
    </row>
    <row r="18397">
      <c r="A18397" s="8" t="n"/>
      <c r="B18397" s="9" t="n"/>
    </row>
    <row r="18398">
      <c r="A18398" s="8" t="n"/>
      <c r="B18398" s="9" t="n"/>
    </row>
    <row r="18399">
      <c r="A18399" s="8" t="n"/>
      <c r="B18399" s="9" t="n"/>
    </row>
    <row r="18400">
      <c r="A18400" s="8" t="n"/>
      <c r="B18400" s="9" t="n"/>
    </row>
    <row r="18401">
      <c r="A18401" s="8" t="n"/>
      <c r="B18401" s="9" t="n"/>
    </row>
    <row r="18402">
      <c r="A18402" s="8" t="n"/>
      <c r="B18402" s="9" t="n"/>
    </row>
    <row r="18403">
      <c r="A18403" s="8" t="n"/>
      <c r="B18403" s="9" t="n"/>
    </row>
    <row r="18404">
      <c r="A18404" s="8" t="n"/>
      <c r="B18404" s="9" t="n"/>
    </row>
    <row r="18405">
      <c r="A18405" s="8" t="n"/>
      <c r="B18405" s="9" t="n"/>
    </row>
    <row r="18406">
      <c r="A18406" s="8" t="n"/>
      <c r="B18406" s="9" t="n"/>
    </row>
    <row r="18407">
      <c r="A18407" s="8" t="n"/>
      <c r="B18407" s="9" t="n"/>
    </row>
    <row r="18408">
      <c r="A18408" s="8" t="n"/>
      <c r="B18408" s="9" t="n"/>
    </row>
    <row r="18409">
      <c r="A18409" s="8" t="n"/>
      <c r="B18409" s="9" t="n"/>
    </row>
    <row r="18410">
      <c r="A18410" s="8" t="n"/>
      <c r="B18410" s="9" t="n"/>
    </row>
    <row r="18411">
      <c r="A18411" s="8" t="n"/>
      <c r="B18411" s="9" t="n"/>
    </row>
    <row r="18412">
      <c r="A18412" s="8" t="n"/>
      <c r="B18412" s="9" t="n"/>
    </row>
    <row r="18413">
      <c r="A18413" s="8" t="n"/>
      <c r="B18413" s="9" t="n"/>
    </row>
    <row r="18414">
      <c r="A18414" s="8" t="n"/>
      <c r="B18414" s="9" t="n"/>
    </row>
    <row r="18415">
      <c r="A18415" s="8" t="n"/>
      <c r="B18415" s="9" t="n"/>
    </row>
    <row r="18416">
      <c r="A18416" s="8" t="n"/>
      <c r="B18416" s="9" t="n"/>
    </row>
    <row r="18417">
      <c r="A18417" s="8" t="n"/>
      <c r="B18417" s="9" t="n"/>
    </row>
    <row r="18418">
      <c r="A18418" s="8" t="n"/>
      <c r="B18418" s="9" t="n"/>
    </row>
    <row r="18419">
      <c r="A18419" s="8" t="n"/>
      <c r="B18419" s="9" t="n"/>
    </row>
    <row r="18420">
      <c r="A18420" s="8" t="n"/>
      <c r="B18420" s="9" t="n"/>
    </row>
    <row r="18421">
      <c r="A18421" s="8" t="n"/>
      <c r="B18421" s="9" t="n"/>
    </row>
    <row r="18422">
      <c r="A18422" s="8" t="n"/>
      <c r="B18422" s="9" t="n"/>
    </row>
    <row r="18423">
      <c r="A18423" s="8" t="n"/>
      <c r="B18423" s="9" t="n"/>
    </row>
    <row r="18424">
      <c r="A18424" s="8" t="n"/>
      <c r="B18424" s="9" t="n"/>
    </row>
    <row r="18425">
      <c r="A18425" s="8" t="n"/>
      <c r="B18425" s="9" t="n"/>
    </row>
    <row r="18426">
      <c r="A18426" s="8" t="n"/>
      <c r="B18426" s="9" t="n"/>
    </row>
    <row r="18427">
      <c r="A18427" s="8" t="n"/>
      <c r="B18427" s="9" t="n"/>
    </row>
    <row r="18428">
      <c r="A18428" s="8" t="n"/>
      <c r="B18428" s="9" t="n"/>
    </row>
    <row r="18429">
      <c r="A18429" s="8" t="n"/>
      <c r="B18429" s="9" t="n"/>
    </row>
    <row r="18430">
      <c r="A18430" s="8" t="n"/>
      <c r="B18430" s="9" t="n"/>
    </row>
    <row r="18431">
      <c r="A18431" s="8" t="n"/>
      <c r="B18431" s="9" t="n"/>
    </row>
    <row r="18432">
      <c r="A18432" s="8" t="n"/>
      <c r="B18432" s="9" t="n"/>
    </row>
    <row r="18433">
      <c r="A18433" s="8" t="n"/>
      <c r="B18433" s="9" t="n"/>
    </row>
    <row r="18434">
      <c r="A18434" s="8" t="n"/>
      <c r="B18434" s="9" t="n"/>
    </row>
    <row r="18435">
      <c r="A18435" s="8" t="n"/>
      <c r="B18435" s="9" t="n"/>
    </row>
    <row r="18436">
      <c r="A18436" s="8" t="n"/>
      <c r="B18436" s="9" t="n"/>
    </row>
    <row r="18437">
      <c r="A18437" s="8" t="n"/>
      <c r="B18437" s="9" t="n"/>
    </row>
    <row r="18438">
      <c r="A18438" s="8" t="n"/>
      <c r="B18438" s="9" t="n"/>
    </row>
    <row r="18439">
      <c r="A18439" s="8" t="n"/>
      <c r="B18439" s="9" t="n"/>
    </row>
    <row r="18440">
      <c r="A18440" s="8" t="n"/>
      <c r="B18440" s="9" t="n"/>
    </row>
    <row r="18441">
      <c r="A18441" s="8" t="n"/>
      <c r="B18441" s="9" t="n"/>
    </row>
    <row r="18442">
      <c r="A18442" s="8" t="n"/>
      <c r="B18442" s="9" t="n"/>
    </row>
    <row r="18443">
      <c r="A18443" s="8" t="n"/>
      <c r="B18443" s="9" t="n"/>
    </row>
    <row r="18444">
      <c r="A18444" s="8" t="n"/>
      <c r="B18444" s="9" t="n"/>
    </row>
    <row r="18445">
      <c r="A18445" s="8" t="n"/>
      <c r="B18445" s="9" t="n"/>
    </row>
    <row r="18446">
      <c r="A18446" s="8" t="n"/>
      <c r="B18446" s="9" t="n"/>
    </row>
    <row r="18447">
      <c r="A18447" s="8" t="n"/>
      <c r="B18447" s="9" t="n"/>
    </row>
    <row r="18448">
      <c r="A18448" s="8" t="n"/>
      <c r="B18448" s="9" t="n"/>
    </row>
    <row r="18449">
      <c r="A18449" s="8" t="n"/>
      <c r="B18449" s="9" t="n"/>
    </row>
    <row r="18450">
      <c r="A18450" s="8" t="n"/>
      <c r="B18450" s="9" t="n"/>
    </row>
    <row r="18451">
      <c r="A18451" s="8" t="n"/>
      <c r="B18451" s="9" t="n"/>
    </row>
    <row r="18452">
      <c r="A18452" s="8" t="n"/>
      <c r="B18452" s="9" t="n"/>
    </row>
    <row r="18453">
      <c r="A18453" s="8" t="n"/>
      <c r="B18453" s="9" t="n"/>
    </row>
    <row r="18454">
      <c r="A18454" s="8" t="n"/>
      <c r="B18454" s="9" t="n"/>
    </row>
    <row r="18455">
      <c r="A18455" s="8" t="n"/>
      <c r="B18455" s="9" t="n"/>
    </row>
    <row r="18456">
      <c r="A18456" s="8" t="n"/>
      <c r="B18456" s="9" t="n"/>
    </row>
    <row r="18457">
      <c r="A18457" s="8" t="n"/>
      <c r="B18457" s="9" t="n"/>
    </row>
    <row r="18458">
      <c r="A18458" s="8" t="n"/>
      <c r="B18458" s="9" t="n"/>
    </row>
    <row r="18459">
      <c r="A18459" s="8" t="n"/>
      <c r="B18459" s="9" t="n"/>
    </row>
    <row r="18460">
      <c r="A18460" s="8" t="n"/>
      <c r="B18460" s="9" t="n"/>
    </row>
    <row r="18461">
      <c r="A18461" s="8" t="n"/>
      <c r="B18461" s="9" t="n"/>
    </row>
    <row r="18462">
      <c r="A18462" s="8" t="n"/>
      <c r="B18462" s="9" t="n"/>
    </row>
    <row r="18463">
      <c r="A18463" s="8" t="n"/>
      <c r="B18463" s="9" t="n"/>
    </row>
    <row r="18464">
      <c r="A18464" s="8" t="n"/>
      <c r="B18464" s="9" t="n"/>
    </row>
    <row r="18465">
      <c r="A18465" s="8" t="n"/>
      <c r="B18465" s="9" t="n"/>
    </row>
    <row r="18466">
      <c r="A18466" s="8" t="n"/>
      <c r="B18466" s="9" t="n"/>
    </row>
    <row r="18467">
      <c r="A18467" s="8" t="n"/>
      <c r="B18467" s="9" t="n"/>
    </row>
    <row r="18468">
      <c r="A18468" s="8" t="n"/>
      <c r="B18468" s="9" t="n"/>
    </row>
    <row r="18469">
      <c r="A18469" s="8" t="n"/>
      <c r="B18469" s="9" t="n"/>
    </row>
    <row r="18470">
      <c r="A18470" s="8" t="n"/>
      <c r="B18470" s="9" t="n"/>
    </row>
    <row r="18471">
      <c r="A18471" s="8" t="n"/>
      <c r="B18471" s="9" t="n"/>
    </row>
    <row r="18472">
      <c r="A18472" s="8" t="n"/>
      <c r="B18472" s="9" t="n"/>
    </row>
    <row r="18473">
      <c r="A18473" s="8" t="n"/>
      <c r="B18473" s="9" t="n"/>
    </row>
    <row r="18474">
      <c r="A18474" s="8" t="n"/>
      <c r="B18474" s="9" t="n"/>
    </row>
    <row r="18475">
      <c r="A18475" s="8" t="n"/>
      <c r="B18475" s="9" t="n"/>
    </row>
    <row r="18476">
      <c r="A18476" s="8" t="n"/>
      <c r="B18476" s="9" t="n"/>
    </row>
    <row r="18477">
      <c r="A18477" s="8" t="n"/>
      <c r="B18477" s="9" t="n"/>
    </row>
    <row r="18478">
      <c r="A18478" s="8" t="n"/>
      <c r="B18478" s="9" t="n"/>
    </row>
    <row r="18479">
      <c r="A18479" s="8" t="n"/>
      <c r="B18479" s="9" t="n"/>
    </row>
    <row r="18480">
      <c r="A18480" s="8" t="n"/>
      <c r="B18480" s="9" t="n"/>
    </row>
    <row r="18481">
      <c r="A18481" s="8" t="n"/>
      <c r="B18481" s="9" t="n"/>
    </row>
    <row r="18482">
      <c r="A18482" s="8" t="n"/>
      <c r="B18482" s="9" t="n"/>
    </row>
    <row r="18483">
      <c r="A18483" s="8" t="n"/>
      <c r="B18483" s="9" t="n"/>
    </row>
    <row r="18484">
      <c r="A18484" s="8" t="n"/>
      <c r="B18484" s="9" t="n"/>
    </row>
    <row r="18485">
      <c r="A18485" s="8" t="n"/>
      <c r="B18485" s="9" t="n"/>
    </row>
    <row r="18486">
      <c r="A18486" s="8" t="n"/>
      <c r="B18486" s="9" t="n"/>
    </row>
    <row r="18487">
      <c r="A18487" s="8" t="n"/>
      <c r="B18487" s="9" t="n"/>
    </row>
    <row r="18488">
      <c r="A18488" s="8" t="n"/>
      <c r="B18488" s="9" t="n"/>
    </row>
    <row r="18489">
      <c r="A18489" s="8" t="n"/>
      <c r="B18489" s="9" t="n"/>
    </row>
    <row r="18490">
      <c r="A18490" s="8" t="n"/>
      <c r="B18490" s="9" t="n"/>
    </row>
    <row r="18491">
      <c r="A18491" s="8" t="n"/>
      <c r="B18491" s="9" t="n"/>
    </row>
    <row r="18492">
      <c r="A18492" s="8" t="n"/>
      <c r="B18492" s="9" t="n"/>
    </row>
    <row r="18493">
      <c r="A18493" s="8" t="n"/>
      <c r="B18493" s="9" t="n"/>
    </row>
    <row r="18494">
      <c r="A18494" s="8" t="n"/>
      <c r="B18494" s="9" t="n"/>
    </row>
    <row r="18495">
      <c r="A18495" s="8" t="n"/>
      <c r="B18495" s="9" t="n"/>
    </row>
    <row r="18496">
      <c r="A18496" s="8" t="n"/>
      <c r="B18496" s="9" t="n"/>
    </row>
    <row r="18497">
      <c r="A18497" s="8" t="n"/>
      <c r="B18497" s="9" t="n"/>
    </row>
    <row r="18498">
      <c r="A18498" s="8" t="n"/>
      <c r="B18498" s="9" t="n"/>
    </row>
    <row r="18499">
      <c r="A18499" s="8" t="n"/>
      <c r="B18499" s="9" t="n"/>
    </row>
    <row r="18500">
      <c r="A18500" s="8" t="n"/>
      <c r="B18500" s="9" t="n"/>
    </row>
    <row r="18501">
      <c r="A18501" s="8" t="n"/>
      <c r="B18501" s="9" t="n"/>
    </row>
    <row r="18502">
      <c r="A18502" s="8" t="n"/>
      <c r="B18502" s="9" t="n"/>
    </row>
    <row r="18503">
      <c r="A18503" s="8" t="n"/>
      <c r="B18503" s="9" t="n"/>
    </row>
    <row r="18504">
      <c r="A18504" s="8" t="n"/>
      <c r="B18504" s="9" t="n"/>
    </row>
    <row r="18505">
      <c r="A18505" s="8" t="n"/>
      <c r="B18505" s="9" t="n"/>
    </row>
    <row r="18506">
      <c r="A18506" s="8" t="n"/>
      <c r="B18506" s="9" t="n"/>
    </row>
    <row r="18507">
      <c r="A18507" s="8" t="n"/>
      <c r="B18507" s="9" t="n"/>
    </row>
    <row r="18508">
      <c r="A18508" s="8" t="n"/>
      <c r="B18508" s="9" t="n"/>
    </row>
    <row r="18509">
      <c r="A18509" s="8" t="n"/>
      <c r="B18509" s="9" t="n"/>
    </row>
    <row r="18510">
      <c r="A18510" s="8" t="n"/>
      <c r="B18510" s="9" t="n"/>
    </row>
    <row r="18511">
      <c r="A18511" s="8" t="n"/>
      <c r="B18511" s="9" t="n"/>
    </row>
    <row r="18512">
      <c r="A18512" s="8" t="n"/>
      <c r="B18512" s="9" t="n"/>
    </row>
    <row r="18513">
      <c r="A18513" s="8" t="n"/>
      <c r="B18513" s="9" t="n"/>
    </row>
    <row r="18514">
      <c r="A18514" s="8" t="n"/>
      <c r="B18514" s="9" t="n"/>
    </row>
    <row r="18515">
      <c r="A18515" s="8" t="n"/>
      <c r="B18515" s="9" t="n"/>
    </row>
    <row r="18516">
      <c r="A18516" s="8" t="n"/>
      <c r="B18516" s="9" t="n"/>
    </row>
    <row r="18517">
      <c r="A18517" s="8" t="n"/>
      <c r="B18517" s="9" t="n"/>
    </row>
    <row r="18518">
      <c r="A18518" s="8" t="n"/>
      <c r="B18518" s="9" t="n"/>
    </row>
    <row r="18519">
      <c r="A18519" s="8" t="n"/>
      <c r="B18519" s="9" t="n"/>
    </row>
    <row r="18520">
      <c r="A18520" s="8" t="n"/>
      <c r="B18520" s="9" t="n"/>
    </row>
    <row r="18521">
      <c r="A18521" s="8" t="n"/>
      <c r="B18521" s="9" t="n"/>
    </row>
    <row r="18522">
      <c r="A18522" s="8" t="n"/>
      <c r="B18522" s="9" t="n"/>
    </row>
    <row r="18523">
      <c r="A18523" s="8" t="n"/>
      <c r="B18523" s="9" t="n"/>
    </row>
    <row r="18524">
      <c r="A18524" s="8" t="n"/>
      <c r="B18524" s="9" t="n"/>
    </row>
    <row r="18525">
      <c r="A18525" s="8" t="n"/>
      <c r="B18525" s="9" t="n"/>
    </row>
    <row r="18526">
      <c r="A18526" s="8" t="n"/>
      <c r="B18526" s="9" t="n"/>
    </row>
    <row r="18527">
      <c r="A18527" s="8" t="n"/>
      <c r="B18527" s="9" t="n"/>
    </row>
    <row r="18528">
      <c r="A18528" s="8" t="n"/>
      <c r="B18528" s="9" t="n"/>
    </row>
    <row r="18529">
      <c r="A18529" s="8" t="n"/>
      <c r="B18529" s="9" t="n"/>
    </row>
    <row r="18530">
      <c r="A18530" s="8" t="n"/>
      <c r="B18530" s="9" t="n"/>
    </row>
    <row r="18531">
      <c r="A18531" s="8" t="n"/>
      <c r="B18531" s="9" t="n"/>
    </row>
    <row r="18532">
      <c r="A18532" s="8" t="n"/>
      <c r="B18532" s="9" t="n"/>
    </row>
    <row r="18533">
      <c r="A18533" s="8" t="n"/>
      <c r="B18533" s="9" t="n"/>
    </row>
    <row r="18534">
      <c r="A18534" s="8" t="n"/>
      <c r="B18534" s="9" t="n"/>
    </row>
    <row r="18535">
      <c r="A18535" s="8" t="n"/>
      <c r="B18535" s="9" t="n"/>
    </row>
    <row r="18536">
      <c r="A18536" s="8" t="n"/>
      <c r="B18536" s="9" t="n"/>
    </row>
    <row r="18537">
      <c r="A18537" s="8" t="n"/>
      <c r="B18537" s="9" t="n"/>
    </row>
    <row r="18538">
      <c r="A18538" s="8" t="n"/>
      <c r="B18538" s="9" t="n"/>
    </row>
    <row r="18539">
      <c r="A18539" s="8" t="n"/>
      <c r="B18539" s="9" t="n"/>
    </row>
    <row r="18540">
      <c r="A18540" s="8" t="n"/>
      <c r="B18540" s="9" t="n"/>
    </row>
    <row r="18541">
      <c r="A18541" s="8" t="n"/>
      <c r="B18541" s="9" t="n"/>
    </row>
    <row r="18542">
      <c r="A18542" s="8" t="n"/>
      <c r="B18542" s="9" t="n"/>
    </row>
    <row r="18543">
      <c r="A18543" s="8" t="n"/>
      <c r="B18543" s="9" t="n"/>
    </row>
    <row r="18544">
      <c r="A18544" s="8" t="n"/>
      <c r="B18544" s="9" t="n"/>
    </row>
    <row r="18545">
      <c r="A18545" s="8" t="n"/>
      <c r="B18545" s="9" t="n"/>
    </row>
    <row r="18546">
      <c r="A18546" s="8" t="n"/>
      <c r="B18546" s="9" t="n"/>
    </row>
    <row r="18547">
      <c r="A18547" s="8" t="n"/>
      <c r="B18547" s="9" t="n"/>
    </row>
    <row r="18548">
      <c r="A18548" s="8" t="n"/>
      <c r="B18548" s="9" t="n"/>
    </row>
    <row r="18549">
      <c r="A18549" s="8" t="n"/>
      <c r="B18549" s="9" t="n"/>
    </row>
    <row r="18550">
      <c r="A18550" s="8" t="n"/>
      <c r="B18550" s="9" t="n"/>
    </row>
    <row r="18551">
      <c r="A18551" s="8" t="n"/>
      <c r="B18551" s="9" t="n"/>
    </row>
    <row r="18552">
      <c r="A18552" s="8" t="n"/>
      <c r="B18552" s="9" t="n"/>
    </row>
    <row r="18553">
      <c r="A18553" s="8" t="n"/>
      <c r="B18553" s="9" t="n"/>
    </row>
    <row r="18554">
      <c r="A18554" s="8" t="n"/>
      <c r="B18554" s="9" t="n"/>
    </row>
    <row r="18555">
      <c r="A18555" s="8" t="n"/>
      <c r="B18555" s="9" t="n"/>
    </row>
    <row r="18556">
      <c r="A18556" s="8" t="n"/>
      <c r="B18556" s="9" t="n"/>
    </row>
    <row r="18557">
      <c r="A18557" s="8" t="n"/>
      <c r="B18557" s="9" t="n"/>
    </row>
    <row r="18558">
      <c r="A18558" s="8" t="n"/>
      <c r="B18558" s="9" t="n"/>
    </row>
    <row r="18559">
      <c r="A18559" s="8" t="n"/>
      <c r="B18559" s="9" t="n"/>
    </row>
    <row r="18560">
      <c r="A18560" s="8" t="n"/>
      <c r="B18560" s="9" t="n"/>
    </row>
    <row r="18561">
      <c r="A18561" s="8" t="n"/>
      <c r="B18561" s="9" t="n"/>
    </row>
    <row r="18562">
      <c r="A18562" s="8" t="n"/>
      <c r="B18562" s="9" t="n"/>
    </row>
    <row r="18563">
      <c r="A18563" s="8" t="n"/>
      <c r="B18563" s="9" t="n"/>
    </row>
    <row r="18564">
      <c r="A18564" s="8" t="n"/>
      <c r="B18564" s="9" t="n"/>
    </row>
    <row r="18565">
      <c r="A18565" s="8" t="n"/>
      <c r="B18565" s="9" t="n"/>
    </row>
    <row r="18566">
      <c r="A18566" s="8" t="n"/>
      <c r="B18566" s="9" t="n"/>
    </row>
    <row r="18567">
      <c r="A18567" s="8" t="n"/>
      <c r="B18567" s="9" t="n"/>
    </row>
    <row r="18568">
      <c r="A18568" s="8" t="n"/>
      <c r="B18568" s="9" t="n"/>
    </row>
    <row r="18569">
      <c r="A18569" s="8" t="n"/>
      <c r="B18569" s="9" t="n"/>
    </row>
    <row r="18570">
      <c r="A18570" s="8" t="n"/>
      <c r="B18570" s="9" t="n"/>
    </row>
    <row r="18571">
      <c r="A18571" s="8" t="n"/>
      <c r="B18571" s="9" t="n"/>
    </row>
    <row r="18572">
      <c r="A18572" s="8" t="n"/>
      <c r="B18572" s="9" t="n"/>
    </row>
    <row r="18573">
      <c r="A18573" s="8" t="n"/>
      <c r="B18573" s="9" t="n"/>
    </row>
    <row r="18574">
      <c r="A18574" s="8" t="n"/>
      <c r="B18574" s="9" t="n"/>
    </row>
    <row r="18575">
      <c r="A18575" s="8" t="n"/>
      <c r="B18575" s="9" t="n"/>
    </row>
    <row r="18576">
      <c r="A18576" s="8" t="n"/>
      <c r="B18576" s="9" t="n"/>
    </row>
    <row r="18577">
      <c r="A18577" s="8" t="n"/>
      <c r="B18577" s="9" t="n"/>
    </row>
    <row r="18578">
      <c r="A18578" s="8" t="n"/>
      <c r="B18578" s="9" t="n"/>
    </row>
    <row r="18579">
      <c r="A18579" s="8" t="n"/>
      <c r="B18579" s="9" t="n"/>
    </row>
    <row r="18580">
      <c r="A18580" s="8" t="n"/>
      <c r="B18580" s="9" t="n"/>
    </row>
    <row r="18581">
      <c r="A18581" s="8" t="n"/>
      <c r="B18581" s="9" t="n"/>
    </row>
    <row r="18582">
      <c r="A18582" s="8" t="n"/>
      <c r="B18582" s="9" t="n"/>
    </row>
    <row r="18583">
      <c r="A18583" s="8" t="n"/>
      <c r="B18583" s="9" t="n"/>
    </row>
    <row r="18584">
      <c r="A18584" s="8" t="n"/>
      <c r="B18584" s="9" t="n"/>
    </row>
    <row r="18585">
      <c r="A18585" s="8" t="n"/>
      <c r="B18585" s="9" t="n"/>
    </row>
    <row r="18586">
      <c r="A18586" s="8" t="n"/>
      <c r="B18586" s="9" t="n"/>
    </row>
    <row r="18587">
      <c r="A18587" s="8" t="n"/>
      <c r="B18587" s="9" t="n"/>
    </row>
    <row r="18588">
      <c r="A18588" s="8" t="n"/>
      <c r="B18588" s="9" t="n"/>
    </row>
    <row r="18589">
      <c r="A18589" s="8" t="n"/>
      <c r="B18589" s="9" t="n"/>
    </row>
    <row r="18590">
      <c r="A18590" s="8" t="n"/>
      <c r="B18590" s="9" t="n"/>
    </row>
    <row r="18591">
      <c r="A18591" s="8" t="n"/>
      <c r="B18591" s="9" t="n"/>
    </row>
    <row r="18592">
      <c r="A18592" s="8" t="n"/>
      <c r="B18592" s="9" t="n"/>
    </row>
    <row r="18593">
      <c r="A18593" s="8" t="n"/>
      <c r="B18593" s="9" t="n"/>
    </row>
    <row r="18594">
      <c r="A18594" s="8" t="n"/>
      <c r="B18594" s="9" t="n"/>
    </row>
    <row r="18595">
      <c r="A18595" s="8" t="n"/>
      <c r="B18595" s="9" t="n"/>
    </row>
    <row r="18596">
      <c r="A18596" s="8" t="n"/>
      <c r="B18596" s="9" t="n"/>
    </row>
    <row r="18597">
      <c r="A18597" s="8" t="n"/>
      <c r="B18597" s="9" t="n"/>
    </row>
    <row r="18598">
      <c r="A18598" s="8" t="n"/>
      <c r="B18598" s="9" t="n"/>
    </row>
    <row r="18599">
      <c r="A18599" s="8" t="n"/>
      <c r="B18599" s="9" t="n"/>
    </row>
    <row r="18600">
      <c r="A18600" s="8" t="n"/>
      <c r="B18600" s="9" t="n"/>
    </row>
    <row r="18601">
      <c r="A18601" s="8" t="n"/>
      <c r="B18601" s="9" t="n"/>
    </row>
    <row r="18602">
      <c r="A18602" s="8" t="n"/>
      <c r="B18602" s="9" t="n"/>
    </row>
    <row r="18603">
      <c r="A18603" s="8" t="n"/>
      <c r="B18603" s="9" t="n"/>
    </row>
    <row r="18604">
      <c r="A18604" s="8" t="n"/>
      <c r="B18604" s="9" t="n"/>
    </row>
    <row r="18605">
      <c r="A18605" s="8" t="n"/>
      <c r="B18605" s="9" t="n"/>
    </row>
    <row r="18606">
      <c r="A18606" s="8" t="n"/>
      <c r="B18606" s="9" t="n"/>
    </row>
    <row r="18607">
      <c r="A18607" s="8" t="n"/>
      <c r="B18607" s="9" t="n"/>
    </row>
    <row r="18608">
      <c r="A18608" s="8" t="n"/>
      <c r="B18608" s="9" t="n"/>
    </row>
    <row r="18609">
      <c r="A18609" s="8" t="n"/>
      <c r="B18609" s="9" t="n"/>
    </row>
    <row r="18610">
      <c r="A18610" s="8" t="n"/>
      <c r="B18610" s="9" t="n"/>
    </row>
    <row r="18611">
      <c r="A18611" s="8" t="n"/>
      <c r="B18611" s="9" t="n"/>
    </row>
    <row r="18612">
      <c r="A18612" s="8" t="n"/>
      <c r="B18612" s="9" t="n"/>
    </row>
    <row r="18613">
      <c r="A18613" s="8" t="n"/>
      <c r="B18613" s="9" t="n"/>
    </row>
    <row r="18614">
      <c r="A18614" s="8" t="n"/>
      <c r="B18614" s="9" t="n"/>
    </row>
    <row r="18615">
      <c r="A18615" s="8" t="n"/>
      <c r="B18615" s="9" t="n"/>
    </row>
    <row r="18616">
      <c r="A18616" s="8" t="n"/>
      <c r="B18616" s="9" t="n"/>
    </row>
    <row r="18617">
      <c r="A18617" s="8" t="n"/>
      <c r="B18617" s="9" t="n"/>
    </row>
    <row r="18618">
      <c r="A18618" s="8" t="n"/>
      <c r="B18618" s="9" t="n"/>
    </row>
    <row r="18619">
      <c r="A18619" s="8" t="n"/>
      <c r="B18619" s="9" t="n"/>
    </row>
    <row r="18620">
      <c r="A18620" s="8" t="n"/>
      <c r="B18620" s="9" t="n"/>
    </row>
    <row r="18621">
      <c r="A18621" s="8" t="n"/>
      <c r="B18621" s="9" t="n"/>
    </row>
    <row r="18622">
      <c r="A18622" s="8" t="n"/>
      <c r="B18622" s="9" t="n"/>
    </row>
    <row r="18623">
      <c r="A18623" s="8" t="n"/>
      <c r="B18623" s="9" t="n"/>
    </row>
    <row r="18624">
      <c r="A18624" s="8" t="n"/>
      <c r="B18624" s="9" t="n"/>
    </row>
    <row r="18625">
      <c r="A18625" s="8" t="n"/>
      <c r="B18625" s="9" t="n"/>
    </row>
    <row r="18626">
      <c r="A18626" s="8" t="n"/>
      <c r="B18626" s="9" t="n"/>
    </row>
    <row r="18627">
      <c r="A18627" s="8" t="n"/>
      <c r="B18627" s="9" t="n"/>
    </row>
    <row r="18628">
      <c r="A18628" s="8" t="n"/>
      <c r="B18628" s="9" t="n"/>
    </row>
    <row r="18629">
      <c r="A18629" s="8" t="n"/>
      <c r="B18629" s="9" t="n"/>
    </row>
    <row r="18630">
      <c r="A18630" s="8" t="n"/>
      <c r="B18630" s="9" t="n"/>
    </row>
    <row r="18631">
      <c r="A18631" s="8" t="n"/>
      <c r="B18631" s="9" t="n"/>
    </row>
    <row r="18632">
      <c r="A18632" s="8" t="n"/>
      <c r="B18632" s="9" t="n"/>
    </row>
    <row r="18633">
      <c r="A18633" s="8" t="n"/>
      <c r="B18633" s="9" t="n"/>
    </row>
    <row r="18634">
      <c r="A18634" s="8" t="n"/>
      <c r="B18634" s="9" t="n"/>
    </row>
    <row r="18635">
      <c r="A18635" s="8" t="n"/>
      <c r="B18635" s="9" t="n"/>
    </row>
    <row r="18636">
      <c r="A18636" s="8" t="n"/>
      <c r="B18636" s="9" t="n"/>
    </row>
    <row r="18637">
      <c r="A18637" s="8" t="n"/>
      <c r="B18637" s="9" t="n"/>
    </row>
    <row r="18638">
      <c r="A18638" s="8" t="n"/>
      <c r="B18638" s="9" t="n"/>
    </row>
    <row r="18639">
      <c r="A18639" s="8" t="n"/>
      <c r="B18639" s="9" t="n"/>
    </row>
    <row r="18640">
      <c r="A18640" s="8" t="n"/>
      <c r="B18640" s="9" t="n"/>
    </row>
    <row r="18641">
      <c r="A18641" s="8" t="n"/>
      <c r="B18641" s="9" t="n"/>
    </row>
    <row r="18642">
      <c r="A18642" s="8" t="n"/>
      <c r="B18642" s="9" t="n"/>
    </row>
    <row r="18643">
      <c r="A18643" s="8" t="n"/>
      <c r="B18643" s="9" t="n"/>
    </row>
    <row r="18644">
      <c r="A18644" s="8" t="n"/>
      <c r="B18644" s="9" t="n"/>
    </row>
    <row r="18645">
      <c r="A18645" s="8" t="n"/>
      <c r="B18645" s="9" t="n"/>
    </row>
    <row r="18646">
      <c r="A18646" s="8" t="n"/>
      <c r="B18646" s="9" t="n"/>
    </row>
    <row r="18647">
      <c r="A18647" s="8" t="n"/>
      <c r="B18647" s="9" t="n"/>
    </row>
    <row r="18648">
      <c r="A18648" s="8" t="n"/>
      <c r="B18648" s="9" t="n"/>
    </row>
    <row r="18649">
      <c r="A18649" s="8" t="n"/>
      <c r="B18649" s="9" t="n"/>
    </row>
    <row r="18650">
      <c r="A18650" s="8" t="n"/>
      <c r="B18650" s="9" t="n"/>
    </row>
    <row r="18651">
      <c r="A18651" s="8" t="n"/>
      <c r="B18651" s="9" t="n"/>
    </row>
    <row r="18652">
      <c r="A18652" s="8" t="n"/>
      <c r="B18652" s="9" t="n"/>
    </row>
    <row r="18653">
      <c r="A18653" s="8" t="n"/>
      <c r="B18653" s="9" t="n"/>
    </row>
    <row r="18654">
      <c r="A18654" s="8" t="n"/>
      <c r="B18654" s="9" t="n"/>
    </row>
    <row r="18655">
      <c r="A18655" s="8" t="n"/>
      <c r="B18655" s="9" t="n"/>
    </row>
    <row r="18656">
      <c r="A18656" s="8" t="n"/>
      <c r="B18656" s="9" t="n"/>
    </row>
    <row r="18657">
      <c r="A18657" s="8" t="n"/>
      <c r="B18657" s="9" t="n"/>
    </row>
    <row r="18658">
      <c r="A18658" s="8" t="n"/>
      <c r="B18658" s="9" t="n"/>
    </row>
    <row r="18659">
      <c r="A18659" s="8" t="n"/>
      <c r="B18659" s="9" t="n"/>
    </row>
    <row r="18660">
      <c r="A18660" s="8" t="n"/>
      <c r="B18660" s="9" t="n"/>
    </row>
    <row r="18661">
      <c r="A18661" s="8" t="n"/>
      <c r="B18661" s="9" t="n"/>
    </row>
    <row r="18662">
      <c r="A18662" s="8" t="n"/>
      <c r="B18662" s="9" t="n"/>
    </row>
    <row r="18663">
      <c r="A18663" s="8" t="n"/>
      <c r="B18663" s="9" t="n"/>
    </row>
    <row r="18664">
      <c r="A18664" s="8" t="n"/>
      <c r="B18664" s="9" t="n"/>
    </row>
    <row r="18665">
      <c r="A18665" s="8" t="n"/>
      <c r="B18665" s="9" t="n"/>
    </row>
    <row r="18666">
      <c r="A18666" s="8" t="n"/>
      <c r="B18666" s="9" t="n"/>
    </row>
    <row r="18667">
      <c r="A18667" s="8" t="n"/>
      <c r="B18667" s="9" t="n"/>
    </row>
    <row r="18668">
      <c r="A18668" s="8" t="n"/>
      <c r="B18668" s="9" t="n"/>
    </row>
    <row r="18669">
      <c r="A18669" s="8" t="n"/>
      <c r="B18669" s="9" t="n"/>
    </row>
    <row r="18670">
      <c r="A18670" s="8" t="n"/>
      <c r="B18670" s="9" t="n"/>
    </row>
    <row r="18671">
      <c r="A18671" s="8" t="n"/>
      <c r="B18671" s="9" t="n"/>
    </row>
    <row r="18672">
      <c r="A18672" s="8" t="n"/>
      <c r="B18672" s="9" t="n"/>
    </row>
    <row r="18673">
      <c r="A18673" s="8" t="n"/>
      <c r="B18673" s="9" t="n"/>
    </row>
    <row r="18674">
      <c r="A18674" s="8" t="n"/>
      <c r="B18674" s="9" t="n"/>
    </row>
    <row r="18675">
      <c r="A18675" s="8" t="n"/>
      <c r="B18675" s="9" t="n"/>
    </row>
    <row r="18676">
      <c r="A18676" s="8" t="n"/>
      <c r="B18676" s="9" t="n"/>
    </row>
    <row r="18677">
      <c r="A18677" s="8" t="n"/>
      <c r="B18677" s="9" t="n"/>
    </row>
    <row r="18678">
      <c r="A18678" s="8" t="n"/>
      <c r="B18678" s="9" t="n"/>
    </row>
    <row r="18679">
      <c r="A18679" s="8" t="n"/>
      <c r="B18679" s="9" t="n"/>
    </row>
    <row r="18680">
      <c r="A18680" s="8" t="n"/>
      <c r="B18680" s="9" t="n"/>
    </row>
    <row r="18681">
      <c r="A18681" s="8" t="n"/>
      <c r="B18681" s="9" t="n"/>
    </row>
    <row r="18682">
      <c r="A18682" s="8" t="n"/>
      <c r="B18682" s="9" t="n"/>
    </row>
    <row r="18683">
      <c r="A18683" s="8" t="n"/>
      <c r="B18683" s="9" t="n"/>
    </row>
    <row r="18684">
      <c r="A18684" s="8" t="n"/>
      <c r="B18684" s="9" t="n"/>
    </row>
    <row r="18685">
      <c r="A18685" s="8" t="n"/>
      <c r="B18685" s="9" t="n"/>
    </row>
    <row r="18686">
      <c r="A18686" s="8" t="n"/>
      <c r="B18686" s="9" t="n"/>
    </row>
    <row r="18687">
      <c r="A18687" s="8" t="n"/>
      <c r="B18687" s="9" t="n"/>
    </row>
    <row r="18688">
      <c r="A18688" s="8" t="n"/>
      <c r="B18688" s="9" t="n"/>
    </row>
    <row r="18689">
      <c r="A18689" s="8" t="n"/>
      <c r="B18689" s="9" t="n"/>
    </row>
    <row r="18690">
      <c r="A18690" s="8" t="n"/>
      <c r="B18690" s="9" t="n"/>
    </row>
    <row r="18691">
      <c r="A18691" s="8" t="n"/>
      <c r="B18691" s="9" t="n"/>
    </row>
    <row r="18692">
      <c r="A18692" s="8" t="n"/>
      <c r="B18692" s="9" t="n"/>
    </row>
    <row r="18693">
      <c r="A18693" s="8" t="n"/>
      <c r="B18693" s="9" t="n"/>
    </row>
    <row r="18694">
      <c r="A18694" s="8" t="n"/>
      <c r="B18694" s="9" t="n"/>
    </row>
    <row r="18695">
      <c r="A18695" s="8" t="n"/>
      <c r="B18695" s="9" t="n"/>
    </row>
    <row r="18696">
      <c r="A18696" s="8" t="n"/>
      <c r="B18696" s="9" t="n"/>
    </row>
    <row r="18697">
      <c r="A18697" s="8" t="n"/>
      <c r="B18697" s="9" t="n"/>
    </row>
    <row r="18698">
      <c r="A18698" s="8" t="n"/>
      <c r="B18698" s="9" t="n"/>
    </row>
    <row r="18699">
      <c r="A18699" s="8" t="n"/>
      <c r="B18699" s="9" t="n"/>
    </row>
    <row r="18700">
      <c r="A18700" s="8" t="n"/>
      <c r="B18700" s="9" t="n"/>
    </row>
    <row r="18701">
      <c r="A18701" s="8" t="n"/>
      <c r="B18701" s="9" t="n"/>
    </row>
    <row r="18702">
      <c r="A18702" s="8" t="n"/>
      <c r="B18702" s="9" t="n"/>
    </row>
    <row r="18703">
      <c r="A18703" s="8" t="n"/>
      <c r="B18703" s="9" t="n"/>
    </row>
    <row r="18704">
      <c r="A18704" s="8" t="n"/>
      <c r="B18704" s="9" t="n"/>
    </row>
    <row r="18705">
      <c r="A18705" s="8" t="n"/>
      <c r="B18705" s="9" t="n"/>
    </row>
    <row r="18706">
      <c r="A18706" s="8" t="n"/>
      <c r="B18706" s="9" t="n"/>
    </row>
    <row r="18707">
      <c r="A18707" s="8" t="n"/>
      <c r="B18707" s="9" t="n"/>
    </row>
    <row r="18708">
      <c r="A18708" s="8" t="n"/>
      <c r="B18708" s="9" t="n"/>
    </row>
    <row r="18709">
      <c r="A18709" s="8" t="n"/>
      <c r="B18709" s="9" t="n"/>
    </row>
    <row r="18710">
      <c r="A18710" s="8" t="n"/>
      <c r="B18710" s="9" t="n"/>
    </row>
    <row r="18711">
      <c r="A18711" s="8" t="n"/>
      <c r="B18711" s="9" t="n"/>
    </row>
    <row r="18712">
      <c r="A18712" s="8" t="n"/>
      <c r="B18712" s="9" t="n"/>
    </row>
    <row r="18713">
      <c r="A18713" s="8" t="n"/>
      <c r="B18713" s="9" t="n"/>
    </row>
    <row r="18714">
      <c r="A18714" s="8" t="n"/>
      <c r="B18714" s="9" t="n"/>
    </row>
    <row r="18715">
      <c r="A18715" s="8" t="n"/>
      <c r="B18715" s="9" t="n"/>
    </row>
    <row r="18716">
      <c r="A18716" s="8" t="n"/>
      <c r="B18716" s="9" t="n"/>
    </row>
    <row r="18717">
      <c r="A18717" s="8" t="n"/>
      <c r="B18717" s="9" t="n"/>
    </row>
    <row r="18718">
      <c r="A18718" s="8" t="n"/>
      <c r="B18718" s="9" t="n"/>
    </row>
    <row r="18719">
      <c r="A18719" s="8" t="n"/>
      <c r="B18719" s="9" t="n"/>
    </row>
    <row r="18720">
      <c r="A18720" s="8" t="n"/>
      <c r="B18720" s="9" t="n"/>
    </row>
    <row r="18721">
      <c r="A18721" s="8" t="n"/>
      <c r="B18721" s="9" t="n"/>
    </row>
    <row r="18722">
      <c r="A18722" s="8" t="n"/>
      <c r="B18722" s="9" t="n"/>
    </row>
    <row r="18723">
      <c r="A18723" s="8" t="n"/>
      <c r="B18723" s="9" t="n"/>
    </row>
    <row r="18724">
      <c r="A18724" s="8" t="n"/>
      <c r="B18724" s="9" t="n"/>
    </row>
    <row r="18725">
      <c r="A18725" s="8" t="n"/>
      <c r="B18725" s="9" t="n"/>
    </row>
    <row r="18726">
      <c r="A18726" s="8" t="n"/>
      <c r="B18726" s="9" t="n"/>
    </row>
    <row r="18727">
      <c r="A18727" s="8" t="n"/>
      <c r="B18727" s="9" t="n"/>
    </row>
    <row r="18728">
      <c r="A18728" s="8" t="n"/>
      <c r="B18728" s="9" t="n"/>
    </row>
    <row r="18729">
      <c r="A18729" s="8" t="n"/>
      <c r="B18729" s="9" t="n"/>
    </row>
    <row r="18730">
      <c r="A18730" s="8" t="n"/>
      <c r="B18730" s="9" t="n"/>
    </row>
    <row r="18731">
      <c r="A18731" s="8" t="n"/>
      <c r="B18731" s="9" t="n"/>
    </row>
    <row r="18732">
      <c r="A18732" s="8" t="n"/>
      <c r="B18732" s="9" t="n"/>
    </row>
    <row r="18733">
      <c r="A18733" s="8" t="n"/>
      <c r="B18733" s="9" t="n"/>
    </row>
    <row r="18734">
      <c r="A18734" s="8" t="n"/>
      <c r="B18734" s="9" t="n"/>
    </row>
    <row r="18735">
      <c r="A18735" s="8" t="n"/>
      <c r="B18735" s="9" t="n"/>
    </row>
    <row r="18736">
      <c r="A18736" s="8" t="n"/>
      <c r="B18736" s="9" t="n"/>
    </row>
    <row r="18737">
      <c r="A18737" s="8" t="n"/>
      <c r="B18737" s="9" t="n"/>
    </row>
    <row r="18738">
      <c r="A18738" s="8" t="n"/>
      <c r="B18738" s="9" t="n"/>
    </row>
    <row r="18739">
      <c r="A18739" s="8" t="n"/>
      <c r="B18739" s="9" t="n"/>
    </row>
    <row r="18740">
      <c r="A18740" s="8" t="n"/>
      <c r="B18740" s="9" t="n"/>
    </row>
    <row r="18741">
      <c r="A18741" s="8" t="n"/>
      <c r="B18741" s="9" t="n"/>
    </row>
    <row r="18742">
      <c r="A18742" s="8" t="n"/>
      <c r="B18742" s="9" t="n"/>
    </row>
    <row r="18743">
      <c r="A18743" s="8" t="n"/>
      <c r="B18743" s="9" t="n"/>
    </row>
    <row r="18744">
      <c r="A18744" s="8" t="n"/>
      <c r="B18744" s="9" t="n"/>
    </row>
    <row r="18745">
      <c r="A18745" s="8" t="n"/>
      <c r="B18745" s="9" t="n"/>
    </row>
    <row r="18746">
      <c r="A18746" s="8" t="n"/>
      <c r="B18746" s="9" t="n"/>
    </row>
    <row r="18747">
      <c r="A18747" s="8" t="n"/>
      <c r="B18747" s="9" t="n"/>
    </row>
    <row r="18748">
      <c r="A18748" s="8" t="n"/>
      <c r="B18748" s="9" t="n"/>
    </row>
    <row r="18749">
      <c r="A18749" s="8" t="n"/>
      <c r="B18749" s="9" t="n"/>
    </row>
    <row r="18750">
      <c r="A18750" s="8" t="n"/>
      <c r="B18750" s="9" t="n"/>
    </row>
    <row r="18751">
      <c r="A18751" s="8" t="n"/>
      <c r="B18751" s="9" t="n"/>
    </row>
    <row r="18752">
      <c r="A18752" s="8" t="n"/>
      <c r="B18752" s="9" t="n"/>
    </row>
    <row r="18753">
      <c r="A18753" s="8" t="n"/>
      <c r="B18753" s="9" t="n"/>
    </row>
    <row r="18754">
      <c r="A18754" s="8" t="n"/>
      <c r="B18754" s="9" t="n"/>
    </row>
    <row r="18755">
      <c r="A18755" s="8" t="n"/>
      <c r="B18755" s="9" t="n"/>
    </row>
    <row r="18756">
      <c r="A18756" s="8" t="n"/>
      <c r="B18756" s="9" t="n"/>
    </row>
    <row r="18757">
      <c r="A18757" s="8" t="n"/>
      <c r="B18757" s="9" t="n"/>
    </row>
    <row r="18758">
      <c r="A18758" s="8" t="n"/>
      <c r="B18758" s="9" t="n"/>
    </row>
    <row r="18759">
      <c r="A18759" s="8" t="n"/>
      <c r="B18759" s="9" t="n"/>
    </row>
    <row r="18760">
      <c r="A18760" s="8" t="n"/>
      <c r="B18760" s="9" t="n"/>
    </row>
    <row r="18761">
      <c r="A18761" s="8" t="n"/>
      <c r="B18761" s="9" t="n"/>
    </row>
    <row r="18762">
      <c r="A18762" s="8" t="n"/>
      <c r="B18762" s="9" t="n"/>
    </row>
    <row r="18763">
      <c r="A18763" s="8" t="n"/>
      <c r="B18763" s="9" t="n"/>
    </row>
    <row r="18764">
      <c r="A18764" s="8" t="n"/>
      <c r="B18764" s="9" t="n"/>
    </row>
    <row r="18765">
      <c r="A18765" s="8" t="n"/>
      <c r="B18765" s="9" t="n"/>
    </row>
    <row r="18766">
      <c r="A18766" s="8" t="n"/>
      <c r="B18766" s="9" t="n"/>
    </row>
    <row r="18767">
      <c r="A18767" s="8" t="n"/>
      <c r="B18767" s="9" t="n"/>
    </row>
    <row r="18768">
      <c r="A18768" s="8" t="n"/>
      <c r="B18768" s="9" t="n"/>
    </row>
    <row r="18769">
      <c r="A18769" s="8" t="n"/>
      <c r="B18769" s="9" t="n"/>
    </row>
    <row r="18770">
      <c r="A18770" s="8" t="n"/>
      <c r="B18770" s="9" t="n"/>
    </row>
    <row r="18771">
      <c r="A18771" s="8" t="n"/>
      <c r="B18771" s="9" t="n"/>
    </row>
    <row r="18772">
      <c r="A18772" s="8" t="n"/>
      <c r="B18772" s="9" t="n"/>
    </row>
    <row r="18773">
      <c r="A18773" s="8" t="n"/>
      <c r="B18773" s="9" t="n"/>
    </row>
    <row r="18774">
      <c r="A18774" s="8" t="n"/>
      <c r="B18774" s="9" t="n"/>
    </row>
    <row r="18775">
      <c r="A18775" s="8" t="n"/>
      <c r="B18775" s="9" t="n"/>
    </row>
    <row r="18776">
      <c r="A18776" s="8" t="n"/>
      <c r="B18776" s="9" t="n"/>
    </row>
    <row r="18777">
      <c r="A18777" s="8" t="n"/>
      <c r="B18777" s="9" t="n"/>
    </row>
    <row r="18778">
      <c r="A18778" s="8" t="n"/>
      <c r="B18778" s="9" t="n"/>
    </row>
    <row r="18779">
      <c r="A18779" s="8" t="n"/>
      <c r="B18779" s="9" t="n"/>
    </row>
    <row r="18780">
      <c r="A18780" s="8" t="n"/>
      <c r="B18780" s="9" t="n"/>
    </row>
    <row r="18781">
      <c r="A18781" s="8" t="n"/>
      <c r="B18781" s="9" t="n"/>
    </row>
    <row r="18782">
      <c r="A18782" s="8" t="n"/>
      <c r="B18782" s="9" t="n"/>
    </row>
    <row r="18783">
      <c r="A18783" s="8" t="n"/>
      <c r="B18783" s="9" t="n"/>
    </row>
    <row r="18784">
      <c r="A18784" s="8" t="n"/>
      <c r="B18784" s="9" t="n"/>
    </row>
    <row r="18785">
      <c r="A18785" s="8" t="n"/>
      <c r="B18785" s="9" t="n"/>
    </row>
    <row r="18786">
      <c r="A18786" s="8" t="n"/>
      <c r="B18786" s="9" t="n"/>
    </row>
    <row r="18787">
      <c r="A18787" s="8" t="n"/>
      <c r="B18787" s="9" t="n"/>
    </row>
    <row r="18788">
      <c r="A18788" s="8" t="n"/>
      <c r="B18788" s="9" t="n"/>
    </row>
    <row r="18789">
      <c r="A18789" s="8" t="n"/>
      <c r="B18789" s="9" t="n"/>
    </row>
    <row r="18790">
      <c r="A18790" s="8" t="n"/>
      <c r="B18790" s="9" t="n"/>
    </row>
    <row r="18791">
      <c r="A18791" s="8" t="n"/>
      <c r="B18791" s="9" t="n"/>
    </row>
    <row r="18792">
      <c r="A18792" s="8" t="n"/>
      <c r="B18792" s="9" t="n"/>
    </row>
    <row r="18793">
      <c r="A18793" s="8" t="n"/>
      <c r="B18793" s="9" t="n"/>
    </row>
    <row r="18794">
      <c r="A18794" s="8" t="n"/>
      <c r="B18794" s="9" t="n"/>
    </row>
    <row r="18795">
      <c r="A18795" s="8" t="n"/>
      <c r="B18795" s="9" t="n"/>
    </row>
    <row r="18796">
      <c r="A18796" s="8" t="n"/>
      <c r="B18796" s="9" t="n"/>
    </row>
    <row r="18797">
      <c r="A18797" s="8" t="n"/>
      <c r="B18797" s="9" t="n"/>
    </row>
    <row r="18798">
      <c r="A18798" s="8" t="n"/>
      <c r="B18798" s="9" t="n"/>
    </row>
    <row r="18799">
      <c r="A18799" s="8" t="n"/>
      <c r="B18799" s="9" t="n"/>
    </row>
    <row r="18800">
      <c r="A18800" s="8" t="n"/>
      <c r="B18800" s="9" t="n"/>
    </row>
    <row r="18801">
      <c r="A18801" s="8" t="n"/>
      <c r="B18801" s="9" t="n"/>
    </row>
    <row r="18802">
      <c r="A18802" s="8" t="n"/>
      <c r="B18802" s="9" t="n"/>
    </row>
    <row r="18803">
      <c r="A18803" s="8" t="n"/>
      <c r="B18803" s="9" t="n"/>
    </row>
    <row r="18804">
      <c r="A18804" s="8" t="n"/>
      <c r="B18804" s="9" t="n"/>
    </row>
    <row r="18805">
      <c r="A18805" s="8" t="n"/>
      <c r="B18805" s="9" t="n"/>
    </row>
    <row r="18806">
      <c r="A18806" s="8" t="n"/>
      <c r="B18806" s="9" t="n"/>
    </row>
    <row r="18807">
      <c r="A18807" s="8" t="n"/>
      <c r="B18807" s="9" t="n"/>
    </row>
    <row r="18808">
      <c r="A18808" s="8" t="n"/>
      <c r="B18808" s="9" t="n"/>
    </row>
    <row r="18809">
      <c r="A18809" s="8" t="n"/>
      <c r="B18809" s="9" t="n"/>
    </row>
    <row r="18810">
      <c r="A18810" s="8" t="n"/>
      <c r="B18810" s="9" t="n"/>
    </row>
    <row r="18811">
      <c r="A18811" s="8" t="n"/>
      <c r="B18811" s="9" t="n"/>
    </row>
    <row r="18812">
      <c r="A18812" s="8" t="n"/>
      <c r="B18812" s="9" t="n"/>
    </row>
    <row r="18813">
      <c r="A18813" s="8" t="n"/>
      <c r="B18813" s="9" t="n"/>
    </row>
    <row r="18814">
      <c r="A18814" s="8" t="n"/>
      <c r="B18814" s="9" t="n"/>
    </row>
    <row r="18815">
      <c r="A18815" s="8" t="n"/>
      <c r="B18815" s="9" t="n"/>
    </row>
    <row r="18816">
      <c r="A18816" s="8" t="n"/>
      <c r="B18816" s="9" t="n"/>
    </row>
    <row r="18817">
      <c r="A18817" s="8" t="n"/>
      <c r="B18817" s="9" t="n"/>
    </row>
    <row r="18818">
      <c r="A18818" s="8" t="n"/>
      <c r="B18818" s="9" t="n"/>
    </row>
    <row r="18819">
      <c r="A18819" s="8" t="n"/>
      <c r="B18819" s="9" t="n"/>
    </row>
    <row r="18820">
      <c r="A18820" s="8" t="n"/>
      <c r="B18820" s="9" t="n"/>
    </row>
    <row r="18821">
      <c r="A18821" s="8" t="n"/>
      <c r="B18821" s="9" t="n"/>
    </row>
    <row r="18822">
      <c r="A18822" s="8" t="n"/>
      <c r="B18822" s="9" t="n"/>
    </row>
    <row r="18823">
      <c r="A18823" s="8" t="n"/>
      <c r="B18823" s="9" t="n"/>
    </row>
    <row r="18824">
      <c r="A18824" s="8" t="n"/>
      <c r="B18824" s="9" t="n"/>
    </row>
    <row r="18825">
      <c r="A18825" s="8" t="n"/>
      <c r="B18825" s="9" t="n"/>
    </row>
    <row r="18826">
      <c r="A18826" s="8" t="n"/>
      <c r="B18826" s="9" t="n"/>
    </row>
    <row r="18827">
      <c r="A18827" s="8" t="n"/>
      <c r="B18827" s="9" t="n"/>
    </row>
    <row r="18828">
      <c r="A18828" s="8" t="n"/>
      <c r="B18828" s="9" t="n"/>
    </row>
    <row r="18829">
      <c r="A18829" s="8" t="n"/>
      <c r="B18829" s="9" t="n"/>
    </row>
    <row r="18830">
      <c r="A18830" s="8" t="n"/>
      <c r="B18830" s="9" t="n"/>
    </row>
    <row r="18831">
      <c r="A18831" s="8" t="n"/>
      <c r="B18831" s="9" t="n"/>
    </row>
    <row r="18832">
      <c r="A18832" s="8" t="n"/>
      <c r="B18832" s="9" t="n"/>
    </row>
    <row r="18833">
      <c r="A18833" s="8" t="n"/>
      <c r="B18833" s="9" t="n"/>
    </row>
    <row r="18834">
      <c r="A18834" s="8" t="n"/>
      <c r="B18834" s="9" t="n"/>
    </row>
    <row r="18835">
      <c r="A18835" s="8" t="n"/>
      <c r="B18835" s="9" t="n"/>
    </row>
    <row r="18836">
      <c r="A18836" s="8" t="n"/>
      <c r="B18836" s="9" t="n"/>
    </row>
    <row r="18837">
      <c r="A18837" s="8" t="n"/>
      <c r="B18837" s="9" t="n"/>
    </row>
    <row r="18838">
      <c r="A18838" s="8" t="n"/>
      <c r="B18838" s="9" t="n"/>
    </row>
    <row r="18839">
      <c r="A18839" s="8" t="n"/>
      <c r="B18839" s="9" t="n"/>
    </row>
    <row r="18840">
      <c r="A18840" s="8" t="n"/>
      <c r="B18840" s="9" t="n"/>
    </row>
    <row r="18841">
      <c r="A18841" s="8" t="n"/>
      <c r="B18841" s="9" t="n"/>
    </row>
    <row r="18842">
      <c r="A18842" s="8" t="n"/>
      <c r="B18842" s="9" t="n"/>
    </row>
    <row r="18843">
      <c r="A18843" s="8" t="n"/>
      <c r="B18843" s="9" t="n"/>
    </row>
    <row r="18844">
      <c r="A18844" s="8" t="n"/>
      <c r="B18844" s="9" t="n"/>
    </row>
    <row r="18845">
      <c r="A18845" s="8" t="n"/>
      <c r="B18845" s="9" t="n"/>
    </row>
    <row r="18846">
      <c r="A18846" s="8" t="n"/>
      <c r="B18846" s="9" t="n"/>
    </row>
    <row r="18847">
      <c r="A18847" s="8" t="n"/>
      <c r="B18847" s="9" t="n"/>
    </row>
    <row r="18848">
      <c r="A18848" s="8" t="n"/>
      <c r="B18848" s="9" t="n"/>
    </row>
    <row r="18849">
      <c r="A18849" s="8" t="n"/>
      <c r="B18849" s="9" t="n"/>
    </row>
    <row r="18850">
      <c r="A18850" s="8" t="n"/>
      <c r="B18850" s="9" t="n"/>
    </row>
    <row r="18851">
      <c r="A18851" s="8" t="n"/>
      <c r="B18851" s="9" t="n"/>
    </row>
    <row r="18852">
      <c r="A18852" s="8" t="n"/>
      <c r="B18852" s="9" t="n"/>
    </row>
    <row r="18853">
      <c r="A18853" s="8" t="n"/>
      <c r="B18853" s="9" t="n"/>
    </row>
    <row r="18854">
      <c r="A18854" s="8" t="n"/>
      <c r="B18854" s="9" t="n"/>
    </row>
    <row r="18855">
      <c r="A18855" s="8" t="n"/>
      <c r="B18855" s="9" t="n"/>
    </row>
    <row r="18856">
      <c r="A18856" s="8" t="n"/>
      <c r="B18856" s="9" t="n"/>
    </row>
    <row r="18857">
      <c r="A18857" s="8" t="n"/>
      <c r="B18857" s="9" t="n"/>
    </row>
    <row r="18858">
      <c r="A18858" s="8" t="n"/>
      <c r="B18858" s="9" t="n"/>
    </row>
    <row r="18859">
      <c r="A18859" s="8" t="n"/>
      <c r="B18859" s="9" t="n"/>
    </row>
    <row r="18860">
      <c r="A18860" s="8" t="n"/>
      <c r="B18860" s="9" t="n"/>
    </row>
    <row r="18861">
      <c r="A18861" s="8" t="n"/>
      <c r="B18861" s="9" t="n"/>
    </row>
    <row r="18862">
      <c r="A18862" s="8" t="n"/>
      <c r="B18862" s="9" t="n"/>
    </row>
    <row r="18863">
      <c r="A18863" s="8" t="n"/>
      <c r="B18863" s="9" t="n"/>
    </row>
    <row r="18864">
      <c r="A18864" s="8" t="n"/>
      <c r="B18864" s="9" t="n"/>
    </row>
    <row r="18865">
      <c r="A18865" s="8" t="n"/>
      <c r="B18865" s="9" t="n"/>
    </row>
    <row r="18866">
      <c r="A18866" s="8" t="n"/>
      <c r="B18866" s="9" t="n"/>
    </row>
    <row r="18867">
      <c r="A18867" s="8" t="n"/>
      <c r="B18867" s="9" t="n"/>
    </row>
    <row r="18868">
      <c r="A18868" s="8" t="n"/>
      <c r="B18868" s="9" t="n"/>
    </row>
    <row r="18869">
      <c r="A18869" s="8" t="n"/>
      <c r="B18869" s="9" t="n"/>
    </row>
    <row r="18870">
      <c r="A18870" s="8" t="n"/>
      <c r="B18870" s="9" t="n"/>
    </row>
    <row r="18871">
      <c r="A18871" s="8" t="n"/>
      <c r="B18871" s="9" t="n"/>
    </row>
    <row r="18872">
      <c r="A18872" s="8" t="n"/>
      <c r="B18872" s="9" t="n"/>
    </row>
    <row r="18873">
      <c r="A18873" s="8" t="n"/>
      <c r="B18873" s="9" t="n"/>
    </row>
    <row r="18874">
      <c r="A18874" s="8" t="n"/>
      <c r="B18874" s="9" t="n"/>
    </row>
    <row r="18875">
      <c r="A18875" s="8" t="n"/>
      <c r="B18875" s="9" t="n"/>
    </row>
    <row r="18876">
      <c r="A18876" s="8" t="n"/>
      <c r="B18876" s="9" t="n"/>
    </row>
    <row r="18877">
      <c r="A18877" s="8" t="n"/>
      <c r="B18877" s="9" t="n"/>
    </row>
    <row r="18878">
      <c r="A18878" s="8" t="n"/>
      <c r="B18878" s="9" t="n"/>
    </row>
    <row r="18879">
      <c r="A18879" s="8" t="n"/>
      <c r="B18879" s="9" t="n"/>
    </row>
    <row r="18880">
      <c r="A18880" s="8" t="n"/>
      <c r="B18880" s="9" t="n"/>
    </row>
    <row r="18881">
      <c r="A18881" s="8" t="n"/>
      <c r="B18881" s="9" t="n"/>
    </row>
    <row r="18882">
      <c r="A18882" s="8" t="n"/>
      <c r="B18882" s="9" t="n"/>
    </row>
    <row r="18883">
      <c r="A18883" s="8" t="n"/>
      <c r="B18883" s="9" t="n"/>
    </row>
    <row r="18884">
      <c r="A18884" s="8" t="n"/>
      <c r="B18884" s="9" t="n"/>
    </row>
    <row r="18885">
      <c r="A18885" s="8" t="n"/>
      <c r="B18885" s="9" t="n"/>
    </row>
    <row r="18886">
      <c r="A18886" s="8" t="n"/>
      <c r="B18886" s="9" t="n"/>
    </row>
    <row r="18887">
      <c r="A18887" s="8" t="n"/>
      <c r="B18887" s="9" t="n"/>
    </row>
    <row r="18888">
      <c r="A18888" s="8" t="n"/>
      <c r="B18888" s="9" t="n"/>
    </row>
    <row r="18889">
      <c r="A18889" s="8" t="n"/>
      <c r="B18889" s="9" t="n"/>
    </row>
    <row r="18890">
      <c r="A18890" s="8" t="n"/>
      <c r="B18890" s="9" t="n"/>
    </row>
    <row r="18891">
      <c r="A18891" s="8" t="n"/>
      <c r="B18891" s="9" t="n"/>
    </row>
    <row r="18892">
      <c r="A18892" s="8" t="n"/>
      <c r="B18892" s="9" t="n"/>
    </row>
    <row r="18893">
      <c r="A18893" s="8" t="n"/>
      <c r="B18893" s="9" t="n"/>
    </row>
    <row r="18894">
      <c r="A18894" s="8" t="n"/>
      <c r="B18894" s="9" t="n"/>
    </row>
    <row r="18895">
      <c r="A18895" s="8" t="n"/>
      <c r="B18895" s="9" t="n"/>
    </row>
    <row r="18896">
      <c r="A18896" s="8" t="n"/>
      <c r="B18896" s="9" t="n"/>
    </row>
    <row r="18897">
      <c r="A18897" s="8" t="n"/>
      <c r="B18897" s="9" t="n"/>
    </row>
    <row r="18898">
      <c r="A18898" s="8" t="n"/>
      <c r="B18898" s="9" t="n"/>
    </row>
    <row r="18899">
      <c r="A18899" s="8" t="n"/>
      <c r="B18899" s="9" t="n"/>
    </row>
    <row r="18900">
      <c r="A18900" s="8" t="n"/>
      <c r="B18900" s="9" t="n"/>
    </row>
    <row r="18901">
      <c r="A18901" s="8" t="n"/>
      <c r="B18901" s="9" t="n"/>
    </row>
    <row r="18902">
      <c r="A18902" s="8" t="n"/>
      <c r="B18902" s="9" t="n"/>
    </row>
    <row r="18903">
      <c r="A18903" s="8" t="n"/>
      <c r="B18903" s="9" t="n"/>
    </row>
    <row r="18904">
      <c r="A18904" s="8" t="n"/>
      <c r="B18904" s="9" t="n"/>
    </row>
    <row r="18905">
      <c r="A18905" s="8" t="n"/>
      <c r="B18905" s="9" t="n"/>
    </row>
    <row r="18906">
      <c r="A18906" s="8" t="n"/>
      <c r="B18906" s="9" t="n"/>
    </row>
    <row r="18907">
      <c r="A18907" s="8" t="n"/>
      <c r="B18907" s="9" t="n"/>
    </row>
    <row r="18908">
      <c r="A18908" s="8" t="n"/>
      <c r="B18908" s="9" t="n"/>
    </row>
    <row r="18909">
      <c r="A18909" s="8" t="n"/>
      <c r="B18909" s="9" t="n"/>
    </row>
    <row r="18910">
      <c r="A18910" s="8" t="n"/>
      <c r="B18910" s="9" t="n"/>
    </row>
    <row r="18911">
      <c r="A18911" s="8" t="n"/>
      <c r="B18911" s="9" t="n"/>
    </row>
    <row r="18912">
      <c r="A18912" s="8" t="n"/>
      <c r="B18912" s="9" t="n"/>
    </row>
    <row r="18913">
      <c r="A18913" s="8" t="n"/>
      <c r="B18913" s="9" t="n"/>
    </row>
    <row r="18914">
      <c r="A18914" s="8" t="n"/>
      <c r="B18914" s="9" t="n"/>
    </row>
    <row r="18915">
      <c r="A18915" s="8" t="n"/>
      <c r="B18915" s="9" t="n"/>
    </row>
    <row r="18916">
      <c r="A18916" s="8" t="n"/>
      <c r="B18916" s="9" t="n"/>
    </row>
    <row r="18917">
      <c r="A18917" s="8" t="n"/>
      <c r="B18917" s="9" t="n"/>
    </row>
    <row r="18918">
      <c r="A18918" s="8" t="n"/>
      <c r="B18918" s="9" t="n"/>
    </row>
    <row r="18919">
      <c r="A18919" s="8" t="n"/>
      <c r="B18919" s="9" t="n"/>
    </row>
    <row r="18920">
      <c r="A18920" s="8" t="n"/>
      <c r="B18920" s="9" t="n"/>
    </row>
    <row r="18921">
      <c r="A18921" s="8" t="n"/>
      <c r="B18921" s="9" t="n"/>
    </row>
    <row r="18922">
      <c r="A18922" s="8" t="n"/>
      <c r="B18922" s="9" t="n"/>
    </row>
    <row r="18923">
      <c r="A18923" s="8" t="n"/>
      <c r="B18923" s="9" t="n"/>
    </row>
    <row r="18924">
      <c r="A18924" s="8" t="n"/>
      <c r="B18924" s="9" t="n"/>
    </row>
    <row r="18925">
      <c r="A18925" s="8" t="n"/>
      <c r="B18925" s="9" t="n"/>
    </row>
    <row r="18926">
      <c r="A18926" s="8" t="n"/>
      <c r="B18926" s="9" t="n"/>
    </row>
    <row r="18927">
      <c r="A18927" s="8" t="n"/>
      <c r="B18927" s="9" t="n"/>
    </row>
    <row r="18928">
      <c r="A18928" s="8" t="n"/>
      <c r="B18928" s="9" t="n"/>
    </row>
    <row r="18929">
      <c r="A18929" s="8" t="n"/>
      <c r="B18929" s="9" t="n"/>
    </row>
    <row r="18930">
      <c r="A18930" s="8" t="n"/>
      <c r="B18930" s="9" t="n"/>
    </row>
    <row r="18931">
      <c r="A18931" s="8" t="n"/>
      <c r="B18931" s="9" t="n"/>
    </row>
    <row r="18932">
      <c r="A18932" s="8" t="n"/>
      <c r="B18932" s="9" t="n"/>
    </row>
    <row r="18933">
      <c r="A18933" s="8" t="n"/>
      <c r="B18933" s="9" t="n"/>
    </row>
    <row r="18934">
      <c r="A18934" s="8" t="n"/>
      <c r="B18934" s="9" t="n"/>
    </row>
    <row r="18935">
      <c r="A18935" s="8" t="n"/>
      <c r="B18935" s="9" t="n"/>
    </row>
    <row r="18936">
      <c r="A18936" s="8" t="n"/>
      <c r="B18936" s="9" t="n"/>
    </row>
    <row r="18937">
      <c r="A18937" s="8" t="n"/>
      <c r="B18937" s="9" t="n"/>
    </row>
    <row r="18938">
      <c r="A18938" s="8" t="n"/>
      <c r="B18938" s="9" t="n"/>
    </row>
    <row r="18939">
      <c r="A18939" s="8" t="n"/>
      <c r="B18939" s="9" t="n"/>
    </row>
    <row r="18940">
      <c r="A18940" s="8" t="n"/>
      <c r="B18940" s="9" t="n"/>
    </row>
    <row r="18941">
      <c r="A18941" s="8" t="n"/>
      <c r="B18941" s="9" t="n"/>
    </row>
    <row r="18942">
      <c r="A18942" s="8" t="n"/>
      <c r="B18942" s="9" t="n"/>
    </row>
    <row r="18943">
      <c r="A18943" s="8" t="n"/>
      <c r="B18943" s="9" t="n"/>
    </row>
    <row r="18944">
      <c r="A18944" s="8" t="n"/>
      <c r="B18944" s="9" t="n"/>
    </row>
    <row r="18945">
      <c r="A18945" s="8" t="n"/>
      <c r="B18945" s="9" t="n"/>
    </row>
    <row r="18946">
      <c r="A18946" s="8" t="n"/>
      <c r="B18946" s="9" t="n"/>
    </row>
    <row r="18947">
      <c r="A18947" s="8" t="n"/>
      <c r="B18947" s="9" t="n"/>
    </row>
    <row r="18948">
      <c r="A18948" s="8" t="n"/>
      <c r="B18948" s="9" t="n"/>
    </row>
    <row r="18949">
      <c r="A18949" s="8" t="n"/>
      <c r="B18949" s="9" t="n"/>
    </row>
    <row r="18950">
      <c r="A18950" s="8" t="n"/>
      <c r="B18950" s="9" t="n"/>
    </row>
    <row r="18951">
      <c r="A18951" s="8" t="n"/>
      <c r="B18951" s="9" t="n"/>
    </row>
    <row r="18952">
      <c r="A18952" s="8" t="n"/>
      <c r="B18952" s="9" t="n"/>
    </row>
    <row r="18953">
      <c r="A18953" s="8" t="n"/>
      <c r="B18953" s="9" t="n"/>
    </row>
    <row r="18954">
      <c r="A18954" s="8" t="n"/>
      <c r="B18954" s="9" t="n"/>
    </row>
    <row r="18955">
      <c r="A18955" s="8" t="n"/>
      <c r="B18955" s="9" t="n"/>
    </row>
    <row r="18956">
      <c r="A18956" s="8" t="n"/>
      <c r="B18956" s="9" t="n"/>
    </row>
    <row r="18957">
      <c r="A18957" s="8" t="n"/>
      <c r="B18957" s="9" t="n"/>
    </row>
    <row r="18958">
      <c r="A18958" s="8" t="n"/>
      <c r="B18958" s="9" t="n"/>
    </row>
    <row r="18959">
      <c r="A18959" s="8" t="n"/>
      <c r="B18959" s="9" t="n"/>
    </row>
    <row r="18960">
      <c r="A18960" s="8" t="n"/>
      <c r="B18960" s="9" t="n"/>
    </row>
    <row r="18961">
      <c r="A18961" s="8" t="n"/>
      <c r="B18961" s="9" t="n"/>
    </row>
    <row r="18962">
      <c r="A18962" s="8" t="n"/>
      <c r="B18962" s="9" t="n"/>
    </row>
    <row r="18963">
      <c r="A18963" s="8" t="n"/>
      <c r="B18963" s="9" t="n"/>
    </row>
    <row r="18964">
      <c r="A18964" s="8" t="n"/>
      <c r="B18964" s="9" t="n"/>
    </row>
    <row r="18965">
      <c r="A18965" s="8" t="n"/>
      <c r="B18965" s="9" t="n"/>
    </row>
    <row r="18966">
      <c r="A18966" s="8" t="n"/>
      <c r="B18966" s="9" t="n"/>
    </row>
    <row r="18967">
      <c r="A18967" s="8" t="n"/>
      <c r="B18967" s="9" t="n"/>
    </row>
    <row r="18968">
      <c r="A18968" s="8" t="n"/>
      <c r="B18968" s="9" t="n"/>
    </row>
    <row r="18969">
      <c r="A18969" s="8" t="n"/>
      <c r="B18969" s="9" t="n"/>
    </row>
    <row r="18970">
      <c r="A18970" s="8" t="n"/>
      <c r="B18970" s="9" t="n"/>
    </row>
    <row r="18971">
      <c r="A18971" s="8" t="n"/>
      <c r="B18971" s="9" t="n"/>
    </row>
    <row r="18972">
      <c r="A18972" s="8" t="n"/>
      <c r="B18972" s="9" t="n"/>
    </row>
    <row r="18973">
      <c r="A18973" s="8" t="n"/>
      <c r="B18973" s="9" t="n"/>
    </row>
    <row r="18974">
      <c r="A18974" s="8" t="n"/>
      <c r="B18974" s="9" t="n"/>
    </row>
    <row r="18975">
      <c r="A18975" s="8" t="n"/>
      <c r="B18975" s="9" t="n"/>
    </row>
    <row r="18976">
      <c r="A18976" s="8" t="n"/>
      <c r="B18976" s="9" t="n"/>
    </row>
    <row r="18977">
      <c r="A18977" s="8" t="n"/>
      <c r="B18977" s="9" t="n"/>
    </row>
    <row r="18978">
      <c r="A18978" s="8" t="n"/>
      <c r="B18978" s="9" t="n"/>
    </row>
    <row r="18979">
      <c r="A18979" s="8" t="n"/>
      <c r="B18979" s="9" t="n"/>
    </row>
    <row r="18980">
      <c r="A18980" s="8" t="n"/>
      <c r="B18980" s="9" t="n"/>
    </row>
    <row r="18981">
      <c r="A18981" s="8" t="n"/>
      <c r="B18981" s="9" t="n"/>
    </row>
    <row r="18982">
      <c r="A18982" s="8" t="n"/>
      <c r="B18982" s="9" t="n"/>
    </row>
    <row r="18983">
      <c r="A18983" s="8" t="n"/>
      <c r="B18983" s="9" t="n"/>
    </row>
    <row r="18984">
      <c r="A18984" s="8" t="n"/>
      <c r="B18984" s="9" t="n"/>
    </row>
    <row r="18985">
      <c r="A18985" s="8" t="n"/>
      <c r="B18985" s="9" t="n"/>
    </row>
    <row r="18986">
      <c r="A18986" s="8" t="n"/>
      <c r="B18986" s="9" t="n"/>
    </row>
    <row r="18987">
      <c r="A18987" s="8" t="n"/>
      <c r="B18987" s="9" t="n"/>
    </row>
    <row r="18988">
      <c r="A18988" s="8" t="n"/>
      <c r="B18988" s="9" t="n"/>
    </row>
    <row r="18989">
      <c r="A18989" s="8" t="n"/>
      <c r="B18989" s="9" t="n"/>
    </row>
    <row r="18990">
      <c r="A18990" s="8" t="n"/>
      <c r="B18990" s="9" t="n"/>
    </row>
    <row r="18991">
      <c r="A18991" s="8" t="n"/>
      <c r="B18991" s="9" t="n"/>
    </row>
    <row r="18992">
      <c r="A18992" s="8" t="n"/>
      <c r="B18992" s="9" t="n"/>
    </row>
    <row r="18993">
      <c r="A18993" s="8" t="n"/>
      <c r="B18993" s="9" t="n"/>
    </row>
    <row r="18994">
      <c r="A18994" s="8" t="n"/>
      <c r="B18994" s="9" t="n"/>
    </row>
    <row r="18995">
      <c r="A18995" s="8" t="n"/>
      <c r="B18995" s="9" t="n"/>
    </row>
    <row r="18996">
      <c r="A18996" s="8" t="n"/>
      <c r="B18996" s="9" t="n"/>
    </row>
    <row r="18997">
      <c r="A18997" s="8" t="n"/>
      <c r="B18997" s="9" t="n"/>
    </row>
    <row r="18998">
      <c r="A18998" s="8" t="n"/>
      <c r="B18998" s="9" t="n"/>
    </row>
    <row r="18999">
      <c r="A18999" s="8" t="n"/>
      <c r="B18999" s="9" t="n"/>
    </row>
    <row r="19000">
      <c r="A19000" s="8" t="n"/>
      <c r="B19000" s="9" t="n"/>
    </row>
    <row r="19001">
      <c r="A19001" s="8" t="n"/>
      <c r="B19001" s="9" t="n"/>
    </row>
    <row r="19002">
      <c r="A19002" s="8" t="n"/>
      <c r="B19002" s="9" t="n"/>
    </row>
    <row r="19003">
      <c r="A19003" s="8" t="n"/>
      <c r="B19003" s="9" t="n"/>
    </row>
    <row r="19004">
      <c r="A19004" s="8" t="n"/>
      <c r="B19004" s="9" t="n"/>
    </row>
    <row r="19005">
      <c r="A19005" s="8" t="n"/>
      <c r="B19005" s="9" t="n"/>
    </row>
    <row r="19006">
      <c r="A19006" s="8" t="n"/>
      <c r="B19006" s="9" t="n"/>
    </row>
    <row r="19007">
      <c r="A19007" s="8" t="n"/>
      <c r="B19007" s="9" t="n"/>
    </row>
    <row r="19008">
      <c r="A19008" s="8" t="n"/>
      <c r="B19008" s="9" t="n"/>
    </row>
    <row r="19009">
      <c r="A19009" s="8" t="n"/>
      <c r="B19009" s="9" t="n"/>
    </row>
    <row r="19010">
      <c r="A19010" s="8" t="n"/>
      <c r="B19010" s="9" t="n"/>
    </row>
    <row r="19011">
      <c r="A19011" s="8" t="n"/>
      <c r="B19011" s="9" t="n"/>
    </row>
    <row r="19012">
      <c r="A19012" s="8" t="n"/>
      <c r="B19012" s="9" t="n"/>
    </row>
    <row r="19013">
      <c r="A19013" s="8" t="n"/>
      <c r="B19013" s="9" t="n"/>
    </row>
    <row r="19014">
      <c r="A19014" s="8" t="n"/>
      <c r="B19014" s="9" t="n"/>
    </row>
    <row r="19015">
      <c r="A19015" s="8" t="n"/>
      <c r="B19015" s="9" t="n"/>
    </row>
    <row r="19016">
      <c r="A19016" s="8" t="n"/>
      <c r="B19016" s="9" t="n"/>
    </row>
    <row r="19017">
      <c r="A19017" s="8" t="n"/>
      <c r="B19017" s="9" t="n"/>
    </row>
    <row r="19018">
      <c r="A19018" s="8" t="n"/>
      <c r="B19018" s="9" t="n"/>
    </row>
    <row r="19019">
      <c r="A19019" s="8" t="n"/>
      <c r="B19019" s="9" t="n"/>
    </row>
    <row r="19020">
      <c r="A19020" s="8" t="n"/>
      <c r="B19020" s="9" t="n"/>
    </row>
    <row r="19021">
      <c r="A19021" s="8" t="n"/>
      <c r="B19021" s="9" t="n"/>
    </row>
    <row r="19022">
      <c r="A19022" s="8" t="n"/>
      <c r="B19022" s="9" t="n"/>
    </row>
    <row r="19023">
      <c r="A19023" s="8" t="n"/>
      <c r="B19023" s="9" t="n"/>
    </row>
    <row r="19024">
      <c r="A19024" s="8" t="n"/>
      <c r="B19024" s="9" t="n"/>
    </row>
    <row r="19025">
      <c r="A19025" s="8" t="n"/>
      <c r="B19025" s="9" t="n"/>
    </row>
    <row r="19026">
      <c r="A19026" s="8" t="n"/>
      <c r="B19026" s="9" t="n"/>
    </row>
    <row r="19027">
      <c r="A19027" s="8" t="n"/>
      <c r="B19027" s="9" t="n"/>
    </row>
    <row r="19028">
      <c r="A19028" s="8" t="n"/>
      <c r="B19028" s="9" t="n"/>
    </row>
    <row r="19029">
      <c r="A19029" s="8" t="n"/>
      <c r="B19029" s="9" t="n"/>
    </row>
    <row r="19030">
      <c r="A19030" s="8" t="n"/>
      <c r="B19030" s="9" t="n"/>
    </row>
    <row r="19031">
      <c r="A19031" s="8" t="n"/>
      <c r="B19031" s="9" t="n"/>
    </row>
    <row r="19032">
      <c r="A19032" s="8" t="n"/>
      <c r="B19032" s="9" t="n"/>
    </row>
    <row r="19033">
      <c r="A19033" s="8" t="n"/>
      <c r="B19033" s="9" t="n"/>
    </row>
    <row r="19034">
      <c r="A19034" s="8" t="n"/>
      <c r="B19034" s="9" t="n"/>
    </row>
    <row r="19035">
      <c r="A19035" s="8" t="n"/>
      <c r="B19035" s="9" t="n"/>
    </row>
    <row r="19036">
      <c r="A19036" s="8" t="n"/>
      <c r="B19036" s="9" t="n"/>
    </row>
    <row r="19037">
      <c r="A19037" s="8" t="n"/>
      <c r="B19037" s="9" t="n"/>
    </row>
    <row r="19038">
      <c r="A19038" s="8" t="n"/>
      <c r="B19038" s="9" t="n"/>
    </row>
    <row r="19039">
      <c r="A19039" s="8" t="n"/>
      <c r="B19039" s="9" t="n"/>
    </row>
    <row r="19040">
      <c r="A19040" s="8" t="n"/>
      <c r="B19040" s="9" t="n"/>
    </row>
    <row r="19041">
      <c r="A19041" s="8" t="n"/>
      <c r="B19041" s="9" t="n"/>
    </row>
    <row r="19042">
      <c r="A19042" s="8" t="n"/>
      <c r="B19042" s="9" t="n"/>
    </row>
    <row r="19043">
      <c r="A19043" s="8" t="n"/>
      <c r="B19043" s="9" t="n"/>
    </row>
    <row r="19044">
      <c r="A19044" s="8" t="n"/>
      <c r="B19044" s="9" t="n"/>
    </row>
    <row r="19045">
      <c r="A19045" s="8" t="n"/>
      <c r="B19045" s="9" t="n"/>
    </row>
    <row r="19046">
      <c r="A19046" s="8" t="n"/>
      <c r="B19046" s="9" t="n"/>
    </row>
    <row r="19047">
      <c r="A19047" s="8" t="n"/>
      <c r="B19047" s="9" t="n"/>
    </row>
    <row r="19048">
      <c r="A19048" s="8" t="n"/>
      <c r="B19048" s="9" t="n"/>
    </row>
    <row r="19049">
      <c r="A19049" s="8" t="n"/>
      <c r="B19049" s="9" t="n"/>
    </row>
    <row r="19050">
      <c r="A19050" s="8" t="n"/>
      <c r="B19050" s="9" t="n"/>
    </row>
    <row r="19051">
      <c r="A19051" s="8" t="n"/>
      <c r="B19051" s="9" t="n"/>
    </row>
    <row r="19052">
      <c r="A19052" s="8" t="n"/>
      <c r="B19052" s="9" t="n"/>
    </row>
    <row r="19053">
      <c r="A19053" s="8" t="n"/>
      <c r="B19053" s="9" t="n"/>
    </row>
    <row r="19054">
      <c r="A19054" s="8" t="n"/>
      <c r="B19054" s="9" t="n"/>
    </row>
    <row r="19055">
      <c r="A19055" s="8" t="n"/>
      <c r="B19055" s="9" t="n"/>
    </row>
    <row r="19056">
      <c r="A19056" s="8" t="n"/>
      <c r="B19056" s="9" t="n"/>
    </row>
    <row r="19057">
      <c r="A19057" s="8" t="n"/>
      <c r="B19057" s="9" t="n"/>
    </row>
    <row r="19058">
      <c r="A19058" s="8" t="n"/>
      <c r="B19058" s="9" t="n"/>
    </row>
    <row r="19059">
      <c r="A19059" s="8" t="n"/>
      <c r="B19059" s="9" t="n"/>
    </row>
    <row r="19060">
      <c r="A19060" s="8" t="n"/>
      <c r="B19060" s="9" t="n"/>
    </row>
    <row r="19061">
      <c r="A19061" s="8" t="n"/>
      <c r="B19061" s="9" t="n"/>
    </row>
    <row r="19062">
      <c r="A19062" s="8" t="n"/>
      <c r="B19062" s="9" t="n"/>
    </row>
    <row r="19063">
      <c r="A19063" s="8" t="n"/>
      <c r="B19063" s="9" t="n"/>
    </row>
    <row r="19064">
      <c r="A19064" s="8" t="n"/>
      <c r="B19064" s="9" t="n"/>
    </row>
    <row r="19065">
      <c r="A19065" s="8" t="n"/>
      <c r="B19065" s="9" t="n"/>
    </row>
    <row r="19066">
      <c r="A19066" s="8" t="n"/>
      <c r="B19066" s="9" t="n"/>
    </row>
    <row r="19067">
      <c r="A19067" s="8" t="n"/>
      <c r="B19067" s="9" t="n"/>
    </row>
    <row r="19068">
      <c r="A19068" s="8" t="n"/>
      <c r="B19068" s="9" t="n"/>
    </row>
    <row r="19069">
      <c r="A19069" s="8" t="n"/>
      <c r="B19069" s="9" t="n"/>
    </row>
    <row r="19070">
      <c r="A19070" s="8" t="n"/>
      <c r="B19070" s="9" t="n"/>
    </row>
    <row r="19071">
      <c r="A19071" s="8" t="n"/>
      <c r="B19071" s="9" t="n"/>
    </row>
    <row r="19072">
      <c r="A19072" s="8" t="n"/>
      <c r="B19072" s="9" t="n"/>
    </row>
    <row r="19073">
      <c r="A19073" s="8" t="n"/>
      <c r="B19073" s="9" t="n"/>
    </row>
    <row r="19074">
      <c r="A19074" s="8" t="n"/>
      <c r="B19074" s="9" t="n"/>
    </row>
    <row r="19075">
      <c r="A19075" s="8" t="n"/>
      <c r="B19075" s="9" t="n"/>
    </row>
    <row r="19076">
      <c r="A19076" s="8" t="n"/>
      <c r="B19076" s="9" t="n"/>
    </row>
    <row r="19077">
      <c r="A19077" s="8" t="n"/>
      <c r="B19077" s="9" t="n"/>
    </row>
    <row r="19078">
      <c r="A19078" s="8" t="n"/>
      <c r="B19078" s="9" t="n"/>
    </row>
    <row r="19079">
      <c r="A19079" s="8" t="n"/>
      <c r="B19079" s="9" t="n"/>
    </row>
    <row r="19080">
      <c r="A19080" s="8" t="n"/>
      <c r="B19080" s="9" t="n"/>
    </row>
    <row r="19081">
      <c r="A19081" s="8" t="n"/>
      <c r="B19081" s="9" t="n"/>
    </row>
    <row r="19082">
      <c r="A19082" s="8" t="n"/>
      <c r="B19082" s="9" t="n"/>
    </row>
    <row r="19083">
      <c r="A19083" s="8" t="n"/>
      <c r="B19083" s="9" t="n"/>
    </row>
    <row r="19084">
      <c r="A19084" s="8" t="n"/>
      <c r="B19084" s="9" t="n"/>
    </row>
    <row r="19085">
      <c r="A19085" s="8" t="n"/>
      <c r="B19085" s="9" t="n"/>
    </row>
    <row r="19086">
      <c r="A19086" s="8" t="n"/>
      <c r="B19086" s="9" t="n"/>
    </row>
    <row r="19087">
      <c r="A19087" s="8" t="n"/>
      <c r="B19087" s="9" t="n"/>
    </row>
    <row r="19088">
      <c r="A19088" s="8" t="n"/>
      <c r="B19088" s="9" t="n"/>
    </row>
    <row r="19089">
      <c r="A19089" s="8" t="n"/>
      <c r="B19089" s="9" t="n"/>
    </row>
    <row r="19090">
      <c r="A19090" s="8" t="n"/>
      <c r="B19090" s="9" t="n"/>
    </row>
    <row r="19091">
      <c r="A19091" s="8" t="n"/>
      <c r="B19091" s="9" t="n"/>
    </row>
    <row r="19092">
      <c r="A19092" s="8" t="n"/>
      <c r="B19092" s="9" t="n"/>
    </row>
    <row r="19093">
      <c r="A19093" s="8" t="n"/>
      <c r="B19093" s="9" t="n"/>
    </row>
    <row r="19094">
      <c r="A19094" s="8" t="n"/>
      <c r="B19094" s="9" t="n"/>
    </row>
    <row r="19095">
      <c r="A19095" s="8" t="n"/>
      <c r="B19095" s="9" t="n"/>
    </row>
    <row r="19096">
      <c r="A19096" s="8" t="n"/>
      <c r="B19096" s="9" t="n"/>
    </row>
    <row r="19097">
      <c r="A19097" s="8" t="n"/>
      <c r="B19097" s="9" t="n"/>
    </row>
    <row r="19098">
      <c r="A19098" s="8" t="n"/>
      <c r="B19098" s="9" t="n"/>
    </row>
    <row r="19099">
      <c r="A19099" s="8" t="n"/>
      <c r="B19099" s="9" t="n"/>
    </row>
    <row r="19100">
      <c r="A19100" s="8" t="n"/>
      <c r="B19100" s="9" t="n"/>
    </row>
    <row r="19101">
      <c r="A19101" s="8" t="n"/>
      <c r="B19101" s="9" t="n"/>
    </row>
    <row r="19102">
      <c r="A19102" s="8" t="n"/>
      <c r="B19102" s="9" t="n"/>
    </row>
    <row r="19103">
      <c r="A19103" s="8" t="n"/>
      <c r="B19103" s="9" t="n"/>
    </row>
    <row r="19104">
      <c r="A19104" s="8" t="n"/>
      <c r="B19104" s="9" t="n"/>
    </row>
    <row r="19105">
      <c r="A19105" s="8" t="n"/>
      <c r="B19105" s="9" t="n"/>
    </row>
    <row r="19106">
      <c r="A19106" s="8" t="n"/>
      <c r="B19106" s="9" t="n"/>
    </row>
    <row r="19107">
      <c r="A19107" s="8" t="n"/>
      <c r="B19107" s="9" t="n"/>
    </row>
    <row r="19108">
      <c r="A19108" s="8" t="n"/>
      <c r="B19108" s="9" t="n"/>
    </row>
    <row r="19109">
      <c r="A19109" s="8" t="n"/>
      <c r="B19109" s="9" t="n"/>
    </row>
    <row r="19110">
      <c r="A19110" s="8" t="n"/>
      <c r="B19110" s="9" t="n"/>
    </row>
    <row r="19111">
      <c r="A19111" s="8" t="n"/>
      <c r="B19111" s="9" t="n"/>
    </row>
    <row r="19112">
      <c r="A19112" s="8" t="n"/>
      <c r="B19112" s="9" t="n"/>
    </row>
    <row r="19113">
      <c r="A19113" s="8" t="n"/>
      <c r="B19113" s="9" t="n"/>
    </row>
    <row r="19114">
      <c r="A19114" s="8" t="n"/>
      <c r="B19114" s="9" t="n"/>
    </row>
    <row r="19115">
      <c r="A19115" s="8" t="n"/>
      <c r="B19115" s="9" t="n"/>
    </row>
    <row r="19116">
      <c r="A19116" s="8" t="n"/>
      <c r="B19116" s="9" t="n"/>
    </row>
    <row r="19117">
      <c r="A19117" s="8" t="n"/>
      <c r="B19117" s="9" t="n"/>
    </row>
    <row r="19118">
      <c r="A19118" s="8" t="n"/>
      <c r="B19118" s="9" t="n"/>
    </row>
    <row r="19119">
      <c r="A19119" s="8" t="n"/>
      <c r="B19119" s="9" t="n"/>
    </row>
    <row r="19120">
      <c r="A19120" s="8" t="n"/>
      <c r="B19120" s="9" t="n"/>
    </row>
    <row r="19121">
      <c r="A19121" s="8" t="n"/>
      <c r="B19121" s="9" t="n"/>
    </row>
    <row r="19122">
      <c r="A19122" s="8" t="n"/>
      <c r="B19122" s="9" t="n"/>
    </row>
    <row r="19123">
      <c r="A19123" s="8" t="n"/>
      <c r="B19123" s="9" t="n"/>
    </row>
    <row r="19124">
      <c r="A19124" s="8" t="n"/>
      <c r="B19124" s="9" t="n"/>
    </row>
    <row r="19125">
      <c r="A19125" s="8" t="n"/>
      <c r="B19125" s="9" t="n"/>
    </row>
    <row r="19126">
      <c r="A19126" s="8" t="n"/>
      <c r="B19126" s="9" t="n"/>
    </row>
    <row r="19127">
      <c r="A19127" s="8" t="n"/>
      <c r="B19127" s="9" t="n"/>
    </row>
    <row r="19128">
      <c r="A19128" s="8" t="n"/>
      <c r="B19128" s="9" t="n"/>
    </row>
    <row r="19129">
      <c r="A19129" s="8" t="n"/>
      <c r="B19129" s="9" t="n"/>
    </row>
    <row r="19130">
      <c r="A19130" s="8" t="n"/>
      <c r="B19130" s="9" t="n"/>
    </row>
    <row r="19131">
      <c r="A19131" s="8" t="n"/>
      <c r="B19131" s="9" t="n"/>
    </row>
    <row r="19132">
      <c r="A19132" s="8" t="n"/>
      <c r="B19132" s="9" t="n"/>
    </row>
    <row r="19133">
      <c r="A19133" s="8" t="n"/>
      <c r="B19133" s="9" t="n"/>
    </row>
    <row r="19134">
      <c r="A19134" s="8" t="n"/>
      <c r="B19134" s="9" t="n"/>
    </row>
    <row r="19135">
      <c r="A19135" s="8" t="n"/>
      <c r="B19135" s="9" t="n"/>
    </row>
    <row r="19136">
      <c r="A19136" s="8" t="n"/>
      <c r="B19136" s="9" t="n"/>
    </row>
    <row r="19137">
      <c r="A19137" s="8" t="n"/>
      <c r="B19137" s="9" t="n"/>
    </row>
    <row r="19138">
      <c r="A19138" s="8" t="n"/>
      <c r="B19138" s="9" t="n"/>
    </row>
    <row r="19139">
      <c r="A19139" s="8" t="n"/>
      <c r="B19139" s="9" t="n"/>
    </row>
    <row r="19140">
      <c r="A19140" s="8" t="n"/>
      <c r="B19140" s="9" t="n"/>
    </row>
    <row r="19141">
      <c r="A19141" s="8" t="n"/>
      <c r="B19141" s="9" t="n"/>
    </row>
    <row r="19142">
      <c r="A19142" s="8" t="n"/>
      <c r="B19142" s="9" t="n"/>
    </row>
    <row r="19143">
      <c r="A19143" s="8" t="n"/>
      <c r="B19143" s="9" t="n"/>
    </row>
    <row r="19144">
      <c r="A19144" s="8" t="n"/>
      <c r="B19144" s="9" t="n"/>
    </row>
    <row r="19145">
      <c r="A19145" s="8" t="n"/>
      <c r="B19145" s="9" t="n"/>
    </row>
    <row r="19146">
      <c r="A19146" s="8" t="n"/>
      <c r="B19146" s="9" t="n"/>
    </row>
    <row r="19147">
      <c r="A19147" s="8" t="n"/>
      <c r="B19147" s="9" t="n"/>
    </row>
    <row r="19148">
      <c r="A19148" s="8" t="n"/>
      <c r="B19148" s="9" t="n"/>
    </row>
    <row r="19149">
      <c r="A19149" s="8" t="n"/>
      <c r="B19149" s="9" t="n"/>
    </row>
    <row r="19150">
      <c r="A19150" s="8" t="n"/>
      <c r="B19150" s="9" t="n"/>
    </row>
    <row r="19151">
      <c r="A19151" s="8" t="n"/>
      <c r="B19151" s="9" t="n"/>
    </row>
    <row r="19152">
      <c r="A19152" s="8" t="n"/>
      <c r="B19152" s="9" t="n"/>
    </row>
    <row r="19153">
      <c r="A19153" s="8" t="n"/>
      <c r="B19153" s="9" t="n"/>
    </row>
    <row r="19154">
      <c r="A19154" s="8" t="n"/>
      <c r="B19154" s="9" t="n"/>
    </row>
    <row r="19155">
      <c r="A19155" s="8" t="n"/>
      <c r="B19155" s="9" t="n"/>
    </row>
    <row r="19156">
      <c r="A19156" s="8" t="n"/>
      <c r="B19156" s="9" t="n"/>
    </row>
    <row r="19157">
      <c r="A19157" s="8" t="n"/>
      <c r="B19157" s="9" t="n"/>
    </row>
    <row r="19158">
      <c r="A19158" s="8" t="n"/>
      <c r="B19158" s="9" t="n"/>
    </row>
    <row r="19159">
      <c r="A19159" s="8" t="n"/>
      <c r="B19159" s="9" t="n"/>
    </row>
    <row r="19160">
      <c r="A19160" s="8" t="n"/>
      <c r="B19160" s="9" t="n"/>
    </row>
    <row r="19161">
      <c r="A19161" s="8" t="n"/>
      <c r="B19161" s="9" t="n"/>
    </row>
    <row r="19162">
      <c r="A19162" s="8" t="n"/>
      <c r="B19162" s="9" t="n"/>
    </row>
    <row r="19163">
      <c r="A19163" s="8" t="n"/>
      <c r="B19163" s="9" t="n"/>
    </row>
    <row r="19164">
      <c r="A19164" s="8" t="n"/>
      <c r="B19164" s="9" t="n"/>
    </row>
    <row r="19165">
      <c r="A19165" s="8" t="n"/>
      <c r="B19165" s="9" t="n"/>
    </row>
    <row r="19166">
      <c r="A19166" s="8" t="n"/>
      <c r="B19166" s="9" t="n"/>
    </row>
    <row r="19167">
      <c r="A19167" s="8" t="n"/>
      <c r="B19167" s="9" t="n"/>
    </row>
    <row r="19168">
      <c r="A19168" s="8" t="n"/>
      <c r="B19168" s="9" t="n"/>
    </row>
    <row r="19169">
      <c r="A19169" s="8" t="n"/>
      <c r="B19169" s="9" t="n"/>
    </row>
    <row r="19170">
      <c r="A19170" s="8" t="n"/>
      <c r="B19170" s="9" t="n"/>
    </row>
    <row r="19171">
      <c r="A19171" s="8" t="n"/>
      <c r="B19171" s="9" t="n"/>
    </row>
    <row r="19172">
      <c r="A19172" s="8" t="n"/>
      <c r="B19172" s="9" t="n"/>
    </row>
    <row r="19173">
      <c r="A19173" s="8" t="n"/>
      <c r="B19173" s="9" t="n"/>
    </row>
    <row r="19174">
      <c r="A19174" s="8" t="n"/>
      <c r="B19174" s="9" t="n"/>
    </row>
    <row r="19175">
      <c r="A19175" s="8" t="n"/>
      <c r="B19175" s="9" t="n"/>
    </row>
    <row r="19176">
      <c r="A19176" s="8" t="n"/>
      <c r="B19176" s="9" t="n"/>
    </row>
    <row r="19177">
      <c r="A19177" s="8" t="n"/>
      <c r="B19177" s="9" t="n"/>
    </row>
    <row r="19178">
      <c r="A19178" s="8" t="n"/>
      <c r="B19178" s="9" t="n"/>
    </row>
    <row r="19179">
      <c r="A19179" s="8" t="n"/>
      <c r="B19179" s="9" t="n"/>
    </row>
    <row r="19180">
      <c r="A19180" s="8" t="n"/>
      <c r="B19180" s="9" t="n"/>
    </row>
    <row r="19181">
      <c r="A19181" s="8" t="n"/>
      <c r="B19181" s="9" t="n"/>
    </row>
    <row r="19182">
      <c r="A19182" s="8" t="n"/>
      <c r="B19182" s="9" t="n"/>
    </row>
    <row r="19183">
      <c r="A19183" s="8" t="n"/>
      <c r="B19183" s="9" t="n"/>
    </row>
    <row r="19184">
      <c r="A19184" s="8" t="n"/>
      <c r="B19184" s="9" t="n"/>
    </row>
    <row r="19185">
      <c r="A19185" s="8" t="n"/>
      <c r="B19185" s="9" t="n"/>
    </row>
    <row r="19186">
      <c r="A19186" s="8" t="n"/>
      <c r="B19186" s="9" t="n"/>
    </row>
    <row r="19187">
      <c r="A19187" s="8" t="n"/>
      <c r="B19187" s="9" t="n"/>
    </row>
    <row r="19188">
      <c r="A19188" s="8" t="n"/>
      <c r="B19188" s="9" t="n"/>
    </row>
    <row r="19189">
      <c r="A19189" s="8" t="n"/>
      <c r="B19189" s="9" t="n"/>
    </row>
    <row r="19190">
      <c r="A19190" s="8" t="n"/>
      <c r="B19190" s="9" t="n"/>
    </row>
    <row r="19191">
      <c r="A19191" s="8" t="n"/>
      <c r="B19191" s="9" t="n"/>
    </row>
    <row r="19192">
      <c r="A19192" s="8" t="n"/>
      <c r="B19192" s="9" t="n"/>
    </row>
    <row r="19193">
      <c r="A19193" s="8" t="n"/>
      <c r="B19193" s="9" t="n"/>
    </row>
    <row r="19194">
      <c r="A19194" s="8" t="n"/>
      <c r="B19194" s="9" t="n"/>
    </row>
    <row r="19195">
      <c r="A19195" s="8" t="n"/>
      <c r="B19195" s="9" t="n"/>
    </row>
    <row r="19196">
      <c r="A19196" s="8" t="n"/>
      <c r="B19196" s="9" t="n"/>
    </row>
    <row r="19197">
      <c r="A19197" s="8" t="n"/>
      <c r="B19197" s="9" t="n"/>
    </row>
    <row r="19198">
      <c r="A19198" s="8" t="n"/>
      <c r="B19198" s="9" t="n"/>
    </row>
    <row r="19199">
      <c r="A19199" s="8" t="n"/>
      <c r="B19199" s="9" t="n"/>
    </row>
    <row r="19200">
      <c r="A19200" s="8" t="n"/>
      <c r="B19200" s="9" t="n"/>
    </row>
    <row r="19201">
      <c r="A19201" s="8" t="n"/>
      <c r="B19201" s="9" t="n"/>
    </row>
    <row r="19202">
      <c r="A19202" s="8" t="n"/>
      <c r="B19202" s="9" t="n"/>
    </row>
    <row r="19203">
      <c r="A19203" s="8" t="n"/>
      <c r="B19203" s="9" t="n"/>
    </row>
    <row r="19204">
      <c r="A19204" s="8" t="n"/>
      <c r="B19204" s="9" t="n"/>
    </row>
    <row r="19205">
      <c r="A19205" s="8" t="n"/>
      <c r="B19205" s="9" t="n"/>
    </row>
    <row r="19206">
      <c r="A19206" s="8" t="n"/>
      <c r="B19206" s="9" t="n"/>
    </row>
    <row r="19207">
      <c r="A19207" s="8" t="n"/>
      <c r="B19207" s="9" t="n"/>
    </row>
    <row r="19208">
      <c r="A19208" s="8" t="n"/>
      <c r="B19208" s="9" t="n"/>
    </row>
    <row r="19209">
      <c r="A19209" s="8" t="n"/>
      <c r="B19209" s="9" t="n"/>
    </row>
    <row r="19210">
      <c r="A19210" s="8" t="n"/>
      <c r="B19210" s="9" t="n"/>
    </row>
    <row r="19211">
      <c r="A19211" s="8" t="n"/>
      <c r="B19211" s="9" t="n"/>
    </row>
    <row r="19212">
      <c r="A19212" s="8" t="n"/>
      <c r="B19212" s="9" t="n"/>
    </row>
    <row r="19213">
      <c r="A19213" s="8" t="n"/>
      <c r="B19213" s="9" t="n"/>
    </row>
    <row r="19214">
      <c r="A19214" s="8" t="n"/>
      <c r="B19214" s="9" t="n"/>
    </row>
    <row r="19215">
      <c r="A19215" s="8" t="n"/>
      <c r="B19215" s="9" t="n"/>
    </row>
    <row r="19216">
      <c r="A19216" s="8" t="n"/>
      <c r="B19216" s="9" t="n"/>
    </row>
    <row r="19217">
      <c r="A19217" s="8" t="n"/>
      <c r="B19217" s="9" t="n"/>
    </row>
    <row r="19218">
      <c r="A19218" s="8" t="n"/>
      <c r="B19218" s="9" t="n"/>
    </row>
    <row r="19219">
      <c r="A19219" s="8" t="n"/>
      <c r="B19219" s="9" t="n"/>
    </row>
    <row r="19220">
      <c r="A19220" s="8" t="n"/>
      <c r="B19220" s="9" t="n"/>
    </row>
    <row r="19221">
      <c r="A19221" s="8" t="n"/>
      <c r="B19221" s="9" t="n"/>
    </row>
    <row r="19222">
      <c r="A19222" s="8" t="n"/>
      <c r="B19222" s="9" t="n"/>
    </row>
    <row r="19223">
      <c r="A19223" s="8" t="n"/>
      <c r="B19223" s="9" t="n"/>
    </row>
    <row r="19224">
      <c r="A19224" s="8" t="n"/>
      <c r="B19224" s="9" t="n"/>
    </row>
    <row r="19225">
      <c r="A19225" s="8" t="n"/>
      <c r="B19225" s="9" t="n"/>
    </row>
    <row r="19226">
      <c r="A19226" s="8" t="n"/>
      <c r="B19226" s="9" t="n"/>
    </row>
    <row r="19227">
      <c r="A19227" s="8" t="n"/>
      <c r="B19227" s="9" t="n"/>
    </row>
    <row r="19228">
      <c r="A19228" s="8" t="n"/>
      <c r="B19228" s="9" t="n"/>
    </row>
    <row r="19229">
      <c r="A19229" s="8" t="n"/>
      <c r="B19229" s="9" t="n"/>
    </row>
    <row r="19230">
      <c r="A19230" s="8" t="n"/>
      <c r="B19230" s="9" t="n"/>
    </row>
    <row r="19231">
      <c r="A19231" s="8" t="n"/>
      <c r="B19231" s="9" t="n"/>
    </row>
    <row r="19232">
      <c r="A19232" s="8" t="n"/>
      <c r="B19232" s="9" t="n"/>
    </row>
    <row r="19233">
      <c r="A19233" s="8" t="n"/>
      <c r="B19233" s="9" t="n"/>
    </row>
    <row r="19234">
      <c r="A19234" s="8" t="n"/>
      <c r="B19234" s="9" t="n"/>
    </row>
    <row r="19235">
      <c r="A19235" s="8" t="n"/>
      <c r="B19235" s="9" t="n"/>
    </row>
    <row r="19236">
      <c r="A19236" s="8" t="n"/>
      <c r="B19236" s="9" t="n"/>
    </row>
    <row r="19237">
      <c r="A19237" s="8" t="n"/>
      <c r="B19237" s="9" t="n"/>
    </row>
    <row r="19238">
      <c r="A19238" s="8" t="n"/>
      <c r="B19238" s="9" t="n"/>
    </row>
    <row r="19239">
      <c r="A19239" s="8" t="n"/>
      <c r="B19239" s="9" t="n"/>
    </row>
    <row r="19240">
      <c r="A19240" s="8" t="n"/>
      <c r="B19240" s="9" t="n"/>
    </row>
    <row r="19241">
      <c r="A19241" s="8" t="n"/>
      <c r="B19241" s="9" t="n"/>
    </row>
    <row r="19242">
      <c r="A19242" s="8" t="n"/>
      <c r="B19242" s="9" t="n"/>
    </row>
    <row r="19243">
      <c r="A19243" s="8" t="n"/>
      <c r="B19243" s="9" t="n"/>
    </row>
    <row r="19244">
      <c r="A19244" s="8" t="n"/>
      <c r="B19244" s="9" t="n"/>
    </row>
    <row r="19245">
      <c r="A19245" s="8" t="n"/>
      <c r="B19245" s="9" t="n"/>
    </row>
    <row r="19246">
      <c r="A19246" s="8" t="n"/>
      <c r="B19246" s="9" t="n"/>
    </row>
    <row r="19247">
      <c r="A19247" s="8" t="n"/>
      <c r="B19247" s="9" t="n"/>
    </row>
    <row r="19248">
      <c r="A19248" s="8" t="n"/>
      <c r="B19248" s="9" t="n"/>
    </row>
    <row r="19249">
      <c r="A19249" s="8" t="n"/>
      <c r="B19249" s="9" t="n"/>
    </row>
    <row r="19250">
      <c r="A19250" s="8" t="n"/>
      <c r="B19250" s="9" t="n"/>
    </row>
    <row r="19251">
      <c r="A19251" s="8" t="n"/>
      <c r="B19251" s="9" t="n"/>
    </row>
    <row r="19252">
      <c r="A19252" s="8" t="n"/>
      <c r="B19252" s="9" t="n"/>
    </row>
    <row r="19253">
      <c r="A19253" s="8" t="n"/>
      <c r="B19253" s="9" t="n"/>
    </row>
    <row r="19254">
      <c r="A19254" s="8" t="n"/>
      <c r="B19254" s="9" t="n"/>
    </row>
    <row r="19255">
      <c r="A19255" s="8" t="n"/>
      <c r="B19255" s="9" t="n"/>
    </row>
    <row r="19256">
      <c r="A19256" s="8" t="n"/>
      <c r="B19256" s="9" t="n"/>
    </row>
    <row r="19257">
      <c r="A19257" s="8" t="n"/>
      <c r="B19257" s="9" t="n"/>
    </row>
    <row r="19258">
      <c r="A19258" s="8" t="n"/>
      <c r="B19258" s="9" t="n"/>
    </row>
    <row r="19259">
      <c r="A19259" s="8" t="n"/>
      <c r="B19259" s="9" t="n"/>
    </row>
    <row r="19260">
      <c r="A19260" s="8" t="n"/>
      <c r="B19260" s="9" t="n"/>
    </row>
    <row r="19261">
      <c r="A19261" s="8" t="n"/>
      <c r="B19261" s="9" t="n"/>
    </row>
    <row r="19262">
      <c r="A19262" s="8" t="n"/>
      <c r="B19262" s="9" t="n"/>
    </row>
    <row r="19263">
      <c r="A19263" s="8" t="n"/>
      <c r="B19263" s="9" t="n"/>
    </row>
    <row r="19264">
      <c r="A19264" s="8" t="n"/>
      <c r="B19264" s="9" t="n"/>
    </row>
    <row r="19265">
      <c r="A19265" s="8" t="n"/>
      <c r="B19265" s="9" t="n"/>
    </row>
    <row r="19266">
      <c r="A19266" s="8" t="n"/>
      <c r="B19266" s="9" t="n"/>
    </row>
    <row r="19267">
      <c r="A19267" s="8" t="n"/>
      <c r="B19267" s="9" t="n"/>
    </row>
    <row r="19268">
      <c r="A19268" s="8" t="n"/>
      <c r="B19268" s="9" t="n"/>
    </row>
    <row r="19269">
      <c r="A19269" s="8" t="n"/>
      <c r="B19269" s="9" t="n"/>
    </row>
    <row r="19270">
      <c r="A19270" s="8" t="n"/>
      <c r="B19270" s="9" t="n"/>
    </row>
    <row r="19271">
      <c r="A19271" s="8" t="n"/>
      <c r="B19271" s="9" t="n"/>
    </row>
    <row r="19272">
      <c r="A19272" s="8" t="n"/>
      <c r="B19272" s="9" t="n"/>
    </row>
    <row r="19273">
      <c r="A19273" s="8" t="n"/>
      <c r="B19273" s="9" t="n"/>
    </row>
    <row r="19274">
      <c r="A19274" s="8" t="n"/>
      <c r="B19274" s="9" t="n"/>
    </row>
    <row r="19275">
      <c r="A19275" s="8" t="n"/>
      <c r="B19275" s="9" t="n"/>
    </row>
    <row r="19276">
      <c r="A19276" s="8" t="n"/>
      <c r="B19276" s="9" t="n"/>
    </row>
    <row r="19277">
      <c r="A19277" s="8" t="n"/>
      <c r="B19277" s="9" t="n"/>
    </row>
    <row r="19278">
      <c r="A19278" s="8" t="n"/>
      <c r="B19278" s="9" t="n"/>
    </row>
    <row r="19279">
      <c r="A19279" s="8" t="n"/>
      <c r="B19279" s="9" t="n"/>
    </row>
    <row r="19280">
      <c r="A19280" s="8" t="n"/>
      <c r="B19280" s="9" t="n"/>
    </row>
    <row r="19281">
      <c r="A19281" s="8" t="n"/>
      <c r="B19281" s="9" t="n"/>
    </row>
    <row r="19282">
      <c r="A19282" s="8" t="n"/>
      <c r="B19282" s="9" t="n"/>
    </row>
    <row r="19283">
      <c r="A19283" s="8" t="n"/>
      <c r="B19283" s="9" t="n"/>
    </row>
    <row r="19284">
      <c r="A19284" s="8" t="n"/>
      <c r="B19284" s="9" t="n"/>
    </row>
    <row r="19285">
      <c r="A19285" s="8" t="n"/>
      <c r="B19285" s="9" t="n"/>
    </row>
    <row r="19286">
      <c r="A19286" s="8" t="n"/>
      <c r="B19286" s="9" t="n"/>
    </row>
    <row r="19287">
      <c r="A19287" s="8" t="n"/>
      <c r="B19287" s="9" t="n"/>
    </row>
    <row r="19288">
      <c r="A19288" s="8" t="n"/>
      <c r="B19288" s="9" t="n"/>
    </row>
    <row r="19289">
      <c r="A19289" s="8" t="n"/>
      <c r="B19289" s="9" t="n"/>
    </row>
    <row r="19290">
      <c r="A19290" s="8" t="n"/>
      <c r="B19290" s="9" t="n"/>
    </row>
    <row r="19291">
      <c r="A19291" s="8" t="n"/>
      <c r="B19291" s="9" t="n"/>
    </row>
    <row r="19292">
      <c r="A19292" s="8" t="n"/>
      <c r="B19292" s="9" t="n"/>
    </row>
    <row r="19293">
      <c r="A19293" s="8" t="n"/>
      <c r="B19293" s="9" t="n"/>
    </row>
    <row r="19294">
      <c r="A19294" s="8" t="n"/>
      <c r="B19294" s="9" t="n"/>
    </row>
    <row r="19295">
      <c r="A19295" s="8" t="n"/>
      <c r="B19295" s="9" t="n"/>
    </row>
    <row r="19296">
      <c r="A19296" s="8" t="n"/>
      <c r="B19296" s="9" t="n"/>
    </row>
    <row r="19297">
      <c r="A19297" s="8" t="n"/>
      <c r="B19297" s="9" t="n"/>
    </row>
    <row r="19298">
      <c r="A19298" s="8" t="n"/>
      <c r="B19298" s="9" t="n"/>
    </row>
    <row r="19299">
      <c r="A19299" s="8" t="n"/>
      <c r="B19299" s="9" t="n"/>
    </row>
    <row r="19300">
      <c r="A19300" s="8" t="n"/>
      <c r="B19300" s="9" t="n"/>
    </row>
    <row r="19301">
      <c r="A19301" s="8" t="n"/>
      <c r="B19301" s="9" t="n"/>
    </row>
    <row r="19302">
      <c r="A19302" s="8" t="n"/>
      <c r="B19302" s="9" t="n"/>
    </row>
    <row r="19303">
      <c r="A19303" s="8" t="n"/>
      <c r="B19303" s="9" t="n"/>
    </row>
    <row r="19304">
      <c r="A19304" s="8" t="n"/>
      <c r="B19304" s="9" t="n"/>
    </row>
    <row r="19305">
      <c r="A19305" s="8" t="n"/>
      <c r="B19305" s="9" t="n"/>
    </row>
    <row r="19306">
      <c r="A19306" s="8" t="n"/>
      <c r="B19306" s="9" t="n"/>
    </row>
    <row r="19307">
      <c r="A19307" s="8" t="n"/>
      <c r="B19307" s="9" t="n"/>
    </row>
    <row r="19308">
      <c r="A19308" s="8" t="n"/>
      <c r="B19308" s="9" t="n"/>
    </row>
    <row r="19309">
      <c r="A19309" s="8" t="n"/>
      <c r="B19309" s="9" t="n"/>
    </row>
    <row r="19310">
      <c r="A19310" s="8" t="n"/>
      <c r="B19310" s="9" t="n"/>
    </row>
    <row r="19311">
      <c r="A19311" s="8" t="n"/>
      <c r="B19311" s="9" t="n"/>
    </row>
    <row r="19312">
      <c r="A19312" s="8" t="n"/>
      <c r="B19312" s="9" t="n"/>
    </row>
    <row r="19313">
      <c r="A19313" s="8" t="n"/>
      <c r="B19313" s="9" t="n"/>
    </row>
    <row r="19314">
      <c r="A19314" s="8" t="n"/>
      <c r="B19314" s="9" t="n"/>
    </row>
    <row r="19315">
      <c r="A19315" s="8" t="n"/>
      <c r="B19315" s="9" t="n"/>
    </row>
    <row r="19316">
      <c r="A19316" s="8" t="n"/>
      <c r="B19316" s="9" t="n"/>
    </row>
    <row r="19317">
      <c r="A19317" s="8" t="n"/>
      <c r="B19317" s="9" t="n"/>
    </row>
    <row r="19318">
      <c r="A19318" s="8" t="n"/>
      <c r="B19318" s="9" t="n"/>
    </row>
    <row r="19319">
      <c r="A19319" s="8" t="n"/>
      <c r="B19319" s="9" t="n"/>
    </row>
    <row r="19320">
      <c r="A19320" s="8" t="n"/>
      <c r="B19320" s="9" t="n"/>
    </row>
    <row r="19321">
      <c r="A19321" s="8" t="n"/>
      <c r="B19321" s="9" t="n"/>
    </row>
    <row r="19322">
      <c r="A19322" s="8" t="n"/>
      <c r="B19322" s="9" t="n"/>
    </row>
    <row r="19323">
      <c r="A19323" s="8" t="n"/>
      <c r="B19323" s="9" t="n"/>
    </row>
    <row r="19324">
      <c r="A19324" s="8" t="n"/>
      <c r="B19324" s="9" t="n"/>
    </row>
    <row r="19325">
      <c r="A19325" s="8" t="n"/>
      <c r="B19325" s="9" t="n"/>
    </row>
    <row r="19326">
      <c r="A19326" s="8" t="n"/>
      <c r="B19326" s="9" t="n"/>
    </row>
    <row r="19327">
      <c r="A19327" s="8" t="n"/>
      <c r="B19327" s="9" t="n"/>
    </row>
    <row r="19328">
      <c r="A19328" s="8" t="n"/>
      <c r="B19328" s="9" t="n"/>
    </row>
    <row r="19329">
      <c r="A19329" s="8" t="n"/>
      <c r="B19329" s="9" t="n"/>
    </row>
    <row r="19330">
      <c r="A19330" s="8" t="n"/>
      <c r="B19330" s="9" t="n"/>
    </row>
    <row r="19331">
      <c r="A19331" s="8" t="n"/>
      <c r="B19331" s="9" t="n"/>
    </row>
    <row r="19332">
      <c r="A19332" s="8" t="n"/>
      <c r="B19332" s="9" t="n"/>
    </row>
    <row r="19333">
      <c r="A19333" s="8" t="n"/>
      <c r="B19333" s="9" t="n"/>
    </row>
    <row r="19334">
      <c r="A19334" s="8" t="n"/>
      <c r="B19334" s="9" t="n"/>
    </row>
    <row r="19335">
      <c r="A19335" s="8" t="n"/>
      <c r="B19335" s="9" t="n"/>
    </row>
    <row r="19336">
      <c r="A19336" s="8" t="n"/>
      <c r="B19336" s="9" t="n"/>
    </row>
    <row r="19337">
      <c r="A19337" s="8" t="n"/>
      <c r="B19337" s="9" t="n"/>
    </row>
    <row r="19338">
      <c r="A19338" s="8" t="n"/>
      <c r="B19338" s="9" t="n"/>
    </row>
    <row r="19339">
      <c r="A19339" s="8" t="n"/>
      <c r="B19339" s="9" t="n"/>
    </row>
    <row r="19340">
      <c r="A19340" s="8" t="n"/>
      <c r="B19340" s="9" t="n"/>
    </row>
    <row r="19341">
      <c r="A19341" s="8" t="n"/>
      <c r="B19341" s="9" t="n"/>
    </row>
    <row r="19342">
      <c r="A19342" s="8" t="n"/>
      <c r="B19342" s="9" t="n"/>
    </row>
    <row r="19343">
      <c r="A19343" s="8" t="n"/>
      <c r="B19343" s="9" t="n"/>
    </row>
    <row r="19344">
      <c r="A19344" s="8" t="n"/>
      <c r="B19344" s="9" t="n"/>
    </row>
    <row r="19345">
      <c r="A19345" s="8" t="n"/>
      <c r="B19345" s="9" t="n"/>
    </row>
    <row r="19346">
      <c r="A19346" s="8" t="n"/>
      <c r="B19346" s="9" t="n"/>
    </row>
    <row r="19347">
      <c r="A19347" s="8" t="n"/>
      <c r="B19347" s="9" t="n"/>
    </row>
    <row r="19348">
      <c r="A19348" s="8" t="n"/>
      <c r="B19348" s="9" t="n"/>
    </row>
    <row r="19349">
      <c r="A19349" s="8" t="n"/>
      <c r="B19349" s="9" t="n"/>
    </row>
    <row r="19350">
      <c r="A19350" s="8" t="n"/>
      <c r="B19350" s="9" t="n"/>
    </row>
    <row r="19351">
      <c r="A19351" s="8" t="n"/>
      <c r="B19351" s="9" t="n"/>
    </row>
    <row r="19352">
      <c r="A19352" s="8" t="n"/>
      <c r="B19352" s="9" t="n"/>
    </row>
    <row r="19353">
      <c r="A19353" s="8" t="n"/>
      <c r="B19353" s="9" t="n"/>
    </row>
    <row r="19354">
      <c r="A19354" s="8" t="n"/>
      <c r="B19354" s="9" t="n"/>
    </row>
    <row r="19355">
      <c r="A19355" s="8" t="n"/>
      <c r="B19355" s="9" t="n"/>
    </row>
    <row r="19356">
      <c r="A19356" s="8" t="n"/>
      <c r="B19356" s="9" t="n"/>
    </row>
    <row r="19357">
      <c r="A19357" s="8" t="n"/>
      <c r="B19357" s="9" t="n"/>
    </row>
    <row r="19358">
      <c r="A19358" s="8" t="n"/>
      <c r="B19358" s="9" t="n"/>
    </row>
    <row r="19359">
      <c r="A19359" s="8" t="n"/>
      <c r="B19359" s="9" t="n"/>
    </row>
    <row r="19360">
      <c r="A19360" s="8" t="n"/>
      <c r="B19360" s="9" t="n"/>
    </row>
    <row r="19361">
      <c r="A19361" s="8" t="n"/>
      <c r="B19361" s="9" t="n"/>
    </row>
    <row r="19362">
      <c r="A19362" s="8" t="n"/>
      <c r="B19362" s="9" t="n"/>
    </row>
    <row r="19363">
      <c r="A19363" s="8" t="n"/>
      <c r="B19363" s="9" t="n"/>
    </row>
    <row r="19364">
      <c r="A19364" s="8" t="n"/>
      <c r="B19364" s="9" t="n"/>
    </row>
    <row r="19365">
      <c r="A19365" s="8" t="n"/>
      <c r="B19365" s="9" t="n"/>
    </row>
    <row r="19366">
      <c r="A19366" s="8" t="n"/>
      <c r="B19366" s="9" t="n"/>
    </row>
    <row r="19367">
      <c r="A19367" s="8" t="n"/>
      <c r="B19367" s="9" t="n"/>
    </row>
    <row r="19368">
      <c r="A19368" s="8" t="n"/>
      <c r="B19368" s="9" t="n"/>
    </row>
    <row r="19369">
      <c r="A19369" s="8" t="n"/>
      <c r="B19369" s="9" t="n"/>
    </row>
    <row r="19370">
      <c r="A19370" s="8" t="n"/>
      <c r="B19370" s="9" t="n"/>
    </row>
    <row r="19371">
      <c r="A19371" s="8" t="n"/>
      <c r="B19371" s="9" t="n"/>
    </row>
    <row r="19372">
      <c r="A19372" s="8" t="n"/>
      <c r="B19372" s="9" t="n"/>
    </row>
    <row r="19373">
      <c r="A19373" s="8" t="n"/>
      <c r="B19373" s="9" t="n"/>
    </row>
    <row r="19374">
      <c r="A19374" s="8" t="n"/>
      <c r="B19374" s="9" t="n"/>
    </row>
    <row r="19375">
      <c r="A19375" s="8" t="n"/>
      <c r="B19375" s="9" t="n"/>
    </row>
    <row r="19376">
      <c r="A19376" s="8" t="n"/>
      <c r="B19376" s="9" t="n"/>
    </row>
    <row r="19377">
      <c r="A19377" s="8" t="n"/>
      <c r="B19377" s="9" t="n"/>
    </row>
    <row r="19378">
      <c r="A19378" s="8" t="n"/>
      <c r="B19378" s="9" t="n"/>
    </row>
    <row r="19379">
      <c r="A19379" s="8" t="n"/>
      <c r="B19379" s="9" t="n"/>
    </row>
    <row r="19380">
      <c r="A19380" s="8" t="n"/>
      <c r="B19380" s="9" t="n"/>
    </row>
    <row r="19381">
      <c r="A19381" s="8" t="n"/>
      <c r="B19381" s="9" t="n"/>
    </row>
    <row r="19382">
      <c r="A19382" s="8" t="n"/>
      <c r="B19382" s="9" t="n"/>
    </row>
    <row r="19383">
      <c r="A19383" s="8" t="n"/>
      <c r="B19383" s="9" t="n"/>
    </row>
    <row r="19384">
      <c r="A19384" s="8" t="n"/>
      <c r="B19384" s="9" t="n"/>
    </row>
    <row r="19385">
      <c r="A19385" s="8" t="n"/>
      <c r="B19385" s="9" t="n"/>
    </row>
    <row r="19386">
      <c r="A19386" s="8" t="n"/>
      <c r="B19386" s="9" t="n"/>
    </row>
    <row r="19387">
      <c r="A19387" s="8" t="n"/>
      <c r="B19387" s="9" t="n"/>
    </row>
    <row r="19388">
      <c r="A19388" s="8" t="n"/>
      <c r="B19388" s="9" t="n"/>
    </row>
    <row r="19389">
      <c r="A19389" s="8" t="n"/>
      <c r="B19389" s="9" t="n"/>
    </row>
    <row r="19390">
      <c r="A19390" s="8" t="n"/>
      <c r="B19390" s="9" t="n"/>
    </row>
    <row r="19391">
      <c r="A19391" s="8" t="n"/>
      <c r="B19391" s="9" t="n"/>
    </row>
    <row r="19392">
      <c r="A19392" s="8" t="n"/>
      <c r="B19392" s="9" t="n"/>
    </row>
    <row r="19393">
      <c r="A19393" s="8" t="n"/>
      <c r="B19393" s="9" t="n"/>
    </row>
    <row r="19394">
      <c r="A19394" s="8" t="n"/>
      <c r="B19394" s="9" t="n"/>
    </row>
    <row r="19395">
      <c r="A19395" s="8" t="n"/>
      <c r="B19395" s="9" t="n"/>
    </row>
    <row r="19396">
      <c r="A19396" s="8" t="n"/>
      <c r="B19396" s="9" t="n"/>
    </row>
    <row r="19397">
      <c r="A19397" s="8" t="n"/>
      <c r="B19397" s="9" t="n"/>
    </row>
    <row r="19398">
      <c r="A19398" s="8" t="n"/>
      <c r="B19398" s="9" t="n"/>
    </row>
    <row r="19399">
      <c r="A19399" s="8" t="n"/>
      <c r="B19399" s="9" t="n"/>
    </row>
    <row r="19400">
      <c r="A19400" s="8" t="n"/>
      <c r="B19400" s="9" t="n"/>
    </row>
    <row r="19401">
      <c r="A19401" s="8" t="n"/>
      <c r="B19401" s="9" t="n"/>
    </row>
    <row r="19402">
      <c r="A19402" s="8" t="n"/>
      <c r="B19402" s="9" t="n"/>
    </row>
    <row r="19403">
      <c r="A19403" s="8" t="n"/>
      <c r="B19403" s="9" t="n"/>
    </row>
    <row r="19404">
      <c r="A19404" s="8" t="n"/>
      <c r="B19404" s="9" t="n"/>
    </row>
    <row r="19405">
      <c r="A19405" s="8" t="n"/>
      <c r="B19405" s="9" t="n"/>
    </row>
    <row r="19406">
      <c r="A19406" s="8" t="n"/>
      <c r="B19406" s="9" t="n"/>
    </row>
    <row r="19407">
      <c r="A19407" s="8" t="n"/>
      <c r="B19407" s="9" t="n"/>
    </row>
    <row r="19408">
      <c r="A19408" s="8" t="n"/>
      <c r="B19408" s="9" t="n"/>
    </row>
    <row r="19409">
      <c r="A19409" s="8" t="n"/>
      <c r="B19409" s="9" t="n"/>
    </row>
    <row r="19410">
      <c r="A19410" s="8" t="n"/>
      <c r="B19410" s="9" t="n"/>
    </row>
    <row r="19411">
      <c r="A19411" s="8" t="n"/>
      <c r="B19411" s="9" t="n"/>
    </row>
    <row r="19412">
      <c r="A19412" s="8" t="n"/>
      <c r="B19412" s="9" t="n"/>
    </row>
    <row r="19413">
      <c r="A19413" s="8" t="n"/>
      <c r="B19413" s="9" t="n"/>
    </row>
    <row r="19414">
      <c r="A19414" s="8" t="n"/>
      <c r="B19414" s="9" t="n"/>
    </row>
    <row r="19415">
      <c r="A19415" s="8" t="n"/>
      <c r="B19415" s="9" t="n"/>
    </row>
    <row r="19416">
      <c r="A19416" s="8" t="n"/>
      <c r="B19416" s="9" t="n"/>
    </row>
    <row r="19417">
      <c r="A19417" s="8" t="n"/>
      <c r="B19417" s="9" t="n"/>
    </row>
    <row r="19418">
      <c r="A19418" s="8" t="n"/>
      <c r="B19418" s="9" t="n"/>
    </row>
    <row r="19419">
      <c r="A19419" s="8" t="n"/>
      <c r="B19419" s="9" t="n"/>
    </row>
    <row r="19420">
      <c r="A19420" s="8" t="n"/>
      <c r="B19420" s="9" t="n"/>
    </row>
    <row r="19421">
      <c r="A19421" s="8" t="n"/>
      <c r="B19421" s="9" t="n"/>
    </row>
    <row r="19422">
      <c r="A19422" s="8" t="n"/>
      <c r="B19422" s="9" t="n"/>
    </row>
    <row r="19423">
      <c r="A19423" s="8" t="n"/>
      <c r="B19423" s="9" t="n"/>
    </row>
    <row r="19424">
      <c r="A19424" s="8" t="n"/>
      <c r="B19424" s="9" t="n"/>
    </row>
    <row r="19425">
      <c r="A19425" s="8" t="n"/>
      <c r="B19425" s="9" t="n"/>
    </row>
    <row r="19426">
      <c r="A19426" s="8" t="n"/>
      <c r="B19426" s="9" t="n"/>
    </row>
    <row r="19427">
      <c r="A19427" s="8" t="n"/>
      <c r="B19427" s="9" t="n"/>
    </row>
    <row r="19428">
      <c r="A19428" s="8" t="n"/>
      <c r="B19428" s="9" t="n"/>
    </row>
    <row r="19429">
      <c r="A19429" s="8" t="n"/>
      <c r="B19429" s="9" t="n"/>
    </row>
    <row r="19430">
      <c r="A19430" s="8" t="n"/>
      <c r="B19430" s="9" t="n"/>
    </row>
    <row r="19431">
      <c r="A19431" s="8" t="n"/>
      <c r="B19431" s="9" t="n"/>
    </row>
    <row r="19432">
      <c r="A19432" s="8" t="n"/>
      <c r="B19432" s="9" t="n"/>
    </row>
    <row r="19433">
      <c r="A19433" s="8" t="n"/>
      <c r="B19433" s="9" t="n"/>
    </row>
    <row r="19434">
      <c r="A19434" s="8" t="n"/>
      <c r="B19434" s="9" t="n"/>
    </row>
    <row r="19435">
      <c r="A19435" s="8" t="n"/>
      <c r="B19435" s="9" t="n"/>
    </row>
    <row r="19436">
      <c r="A19436" s="8" t="n"/>
      <c r="B19436" s="9" t="n"/>
    </row>
    <row r="19437">
      <c r="A19437" s="8" t="n"/>
      <c r="B19437" s="9" t="n"/>
    </row>
    <row r="19438">
      <c r="A19438" s="8" t="n"/>
      <c r="B19438" s="9" t="n"/>
    </row>
    <row r="19439">
      <c r="A19439" s="8" t="n"/>
      <c r="B19439" s="9" t="n"/>
    </row>
    <row r="19440">
      <c r="A19440" s="8" t="n"/>
      <c r="B19440" s="9" t="n"/>
    </row>
    <row r="19441">
      <c r="A19441" s="8" t="n"/>
      <c r="B19441" s="9" t="n"/>
    </row>
    <row r="19442">
      <c r="A19442" s="8" t="n"/>
      <c r="B19442" s="9" t="n"/>
    </row>
    <row r="19443">
      <c r="A19443" s="8" t="n"/>
      <c r="B19443" s="9" t="n"/>
    </row>
    <row r="19444">
      <c r="A19444" s="8" t="n"/>
      <c r="B19444" s="9" t="n"/>
    </row>
    <row r="19445">
      <c r="A19445" s="8" t="n"/>
      <c r="B19445" s="9" t="n"/>
    </row>
    <row r="19446">
      <c r="A19446" s="8" t="n"/>
      <c r="B19446" s="9" t="n"/>
    </row>
    <row r="19447">
      <c r="A19447" s="8" t="n"/>
      <c r="B19447" s="9" t="n"/>
    </row>
    <row r="19448">
      <c r="A19448" s="8" t="n"/>
      <c r="B19448" s="9" t="n"/>
    </row>
    <row r="19449">
      <c r="A19449" s="8" t="n"/>
      <c r="B19449" s="9" t="n"/>
    </row>
    <row r="19450">
      <c r="A19450" s="8" t="n"/>
      <c r="B19450" s="9" t="n"/>
    </row>
    <row r="19451">
      <c r="A19451" s="8" t="n"/>
      <c r="B19451" s="9" t="n"/>
    </row>
    <row r="19452">
      <c r="A19452" s="8" t="n"/>
      <c r="B19452" s="9" t="n"/>
    </row>
    <row r="19453">
      <c r="A19453" s="8" t="n"/>
      <c r="B19453" s="9" t="n"/>
    </row>
    <row r="19454">
      <c r="A19454" s="8" t="n"/>
      <c r="B19454" s="9" t="n"/>
    </row>
    <row r="19455">
      <c r="A19455" s="8" t="n"/>
      <c r="B19455" s="9" t="n"/>
    </row>
    <row r="19456">
      <c r="A19456" s="8" t="n"/>
      <c r="B19456" s="9" t="n"/>
    </row>
    <row r="19457">
      <c r="A19457" s="8" t="n"/>
      <c r="B19457" s="9" t="n"/>
    </row>
    <row r="19458">
      <c r="A19458" s="8" t="n"/>
      <c r="B19458" s="9" t="n"/>
    </row>
    <row r="19459">
      <c r="A19459" s="8" t="n"/>
      <c r="B19459" s="9" t="n"/>
    </row>
    <row r="19460">
      <c r="A19460" s="8" t="n"/>
      <c r="B19460" s="9" t="n"/>
    </row>
    <row r="19461">
      <c r="A19461" s="8" t="n"/>
      <c r="B19461" s="9" t="n"/>
    </row>
    <row r="19462">
      <c r="A19462" s="8" t="n"/>
      <c r="B19462" s="9" t="n"/>
    </row>
    <row r="19463">
      <c r="A19463" s="8" t="n"/>
      <c r="B19463" s="9" t="n"/>
    </row>
    <row r="19464">
      <c r="A19464" s="8" t="n"/>
      <c r="B19464" s="9" t="n"/>
    </row>
    <row r="19465">
      <c r="A19465" s="8" t="n"/>
      <c r="B19465" s="9" t="n"/>
    </row>
    <row r="19466">
      <c r="A19466" s="8" t="n"/>
      <c r="B19466" s="9" t="n"/>
    </row>
    <row r="19467">
      <c r="A19467" s="8" t="n"/>
      <c r="B19467" s="9" t="n"/>
    </row>
    <row r="19468">
      <c r="A19468" s="8" t="n"/>
      <c r="B19468" s="9" t="n"/>
    </row>
    <row r="19469">
      <c r="A19469" s="8" t="n"/>
      <c r="B19469" s="9" t="n"/>
    </row>
    <row r="19470">
      <c r="A19470" s="8" t="n"/>
      <c r="B19470" s="9" t="n"/>
    </row>
    <row r="19471">
      <c r="A19471" s="8" t="n"/>
      <c r="B19471" s="9" t="n"/>
    </row>
    <row r="19472">
      <c r="A19472" s="8" t="n"/>
      <c r="B19472" s="9" t="n"/>
    </row>
    <row r="19473">
      <c r="A19473" s="8" t="n"/>
      <c r="B19473" s="9" t="n"/>
    </row>
    <row r="19474">
      <c r="A19474" s="8" t="n"/>
      <c r="B19474" s="9" t="n"/>
    </row>
    <row r="19475">
      <c r="A19475" s="8" t="n"/>
      <c r="B19475" s="9" t="n"/>
    </row>
    <row r="19476">
      <c r="A19476" s="8" t="n"/>
      <c r="B19476" s="9" t="n"/>
    </row>
    <row r="19477">
      <c r="A19477" s="8" t="n"/>
      <c r="B19477" s="9" t="n"/>
    </row>
    <row r="19478">
      <c r="A19478" s="8" t="n"/>
      <c r="B19478" s="9" t="n"/>
    </row>
    <row r="19479">
      <c r="A19479" s="8" t="n"/>
      <c r="B19479" s="9" t="n"/>
    </row>
    <row r="19480">
      <c r="A19480" s="8" t="n"/>
      <c r="B19480" s="9" t="n"/>
    </row>
    <row r="19481">
      <c r="A19481" s="8" t="n"/>
      <c r="B19481" s="9" t="n"/>
    </row>
    <row r="19482">
      <c r="A19482" s="8" t="n"/>
      <c r="B19482" s="9" t="n"/>
    </row>
    <row r="19483">
      <c r="A19483" s="8" t="n"/>
      <c r="B19483" s="9" t="n"/>
    </row>
    <row r="19484">
      <c r="A19484" s="8" t="n"/>
      <c r="B19484" s="9" t="n"/>
    </row>
    <row r="19485">
      <c r="A19485" s="8" t="n"/>
      <c r="B19485" s="9" t="n"/>
    </row>
    <row r="19486">
      <c r="A19486" s="8" t="n"/>
      <c r="B19486" s="9" t="n"/>
    </row>
    <row r="19487">
      <c r="A19487" s="8" t="n"/>
      <c r="B19487" s="9" t="n"/>
    </row>
    <row r="19488">
      <c r="A19488" s="8" t="n"/>
      <c r="B19488" s="9" t="n"/>
    </row>
    <row r="19489">
      <c r="A19489" s="8" t="n"/>
      <c r="B19489" s="9" t="n"/>
    </row>
    <row r="19490">
      <c r="A19490" s="8" t="n"/>
      <c r="B19490" s="9" t="n"/>
    </row>
    <row r="19491">
      <c r="A19491" s="8" t="n"/>
      <c r="B19491" s="9" t="n"/>
    </row>
    <row r="19492">
      <c r="A19492" s="8" t="n"/>
      <c r="B19492" s="9" t="n"/>
    </row>
    <row r="19493">
      <c r="A19493" s="8" t="n"/>
      <c r="B19493" s="9" t="n"/>
    </row>
    <row r="19494">
      <c r="A19494" s="8" t="n"/>
      <c r="B19494" s="9" t="n"/>
    </row>
    <row r="19495">
      <c r="A19495" s="8" t="n"/>
      <c r="B19495" s="9" t="n"/>
    </row>
    <row r="19496">
      <c r="A19496" s="8" t="n"/>
      <c r="B19496" s="9" t="n"/>
    </row>
    <row r="19497">
      <c r="A19497" s="8" t="n"/>
      <c r="B19497" s="9" t="n"/>
    </row>
    <row r="19498">
      <c r="A19498" s="8" t="n"/>
      <c r="B19498" s="9" t="n"/>
    </row>
    <row r="19499">
      <c r="A19499" s="8" t="n"/>
      <c r="B19499" s="9" t="n"/>
    </row>
    <row r="19500">
      <c r="A19500" s="8" t="n"/>
      <c r="B19500" s="9" t="n"/>
    </row>
    <row r="19501">
      <c r="A19501" s="8" t="n"/>
      <c r="B19501" s="9" t="n"/>
    </row>
    <row r="19502">
      <c r="A19502" s="8" t="n"/>
      <c r="B19502" s="9" t="n"/>
    </row>
    <row r="19503">
      <c r="A19503" s="8" t="n"/>
      <c r="B19503" s="9" t="n"/>
    </row>
    <row r="19504">
      <c r="A19504" s="8" t="n"/>
      <c r="B19504" s="9" t="n"/>
    </row>
    <row r="19505">
      <c r="A19505" s="8" t="n"/>
      <c r="B19505" s="9" t="n"/>
    </row>
    <row r="19506">
      <c r="A19506" s="8" t="n"/>
      <c r="B19506" s="9" t="n"/>
    </row>
    <row r="19507">
      <c r="A19507" s="8" t="n"/>
      <c r="B19507" s="9" t="n"/>
    </row>
    <row r="19508">
      <c r="A19508" s="8" t="n"/>
      <c r="B19508" s="9" t="n"/>
    </row>
    <row r="19509">
      <c r="A19509" s="8" t="n"/>
      <c r="B19509" s="9" t="n"/>
    </row>
    <row r="19510">
      <c r="A19510" s="8" t="n"/>
      <c r="B19510" s="9" t="n"/>
    </row>
    <row r="19511">
      <c r="A19511" s="8" t="n"/>
      <c r="B19511" s="9" t="n"/>
    </row>
    <row r="19512">
      <c r="A19512" s="8" t="n"/>
      <c r="B19512" s="9" t="n"/>
    </row>
    <row r="19513">
      <c r="A19513" s="8" t="n"/>
      <c r="B19513" s="9" t="n"/>
    </row>
    <row r="19514">
      <c r="A19514" s="8" t="n"/>
      <c r="B19514" s="9" t="n"/>
    </row>
    <row r="19515">
      <c r="A19515" s="8" t="n"/>
      <c r="B19515" s="9" t="n"/>
    </row>
    <row r="19516">
      <c r="A19516" s="8" t="n"/>
      <c r="B19516" s="9" t="n"/>
    </row>
    <row r="19517">
      <c r="A19517" s="8" t="n"/>
      <c r="B19517" s="9" t="n"/>
    </row>
    <row r="19518">
      <c r="A19518" s="8" t="n"/>
      <c r="B19518" s="9" t="n"/>
    </row>
    <row r="19519">
      <c r="A19519" s="8" t="n"/>
      <c r="B19519" s="9" t="n"/>
    </row>
    <row r="19520">
      <c r="A19520" s="8" t="n"/>
      <c r="B19520" s="9" t="n"/>
    </row>
    <row r="19521">
      <c r="A19521" s="8" t="n"/>
      <c r="B19521" s="9" t="n"/>
    </row>
    <row r="19522">
      <c r="A19522" s="8" t="n"/>
      <c r="B19522" s="9" t="n"/>
    </row>
    <row r="19523">
      <c r="A19523" s="8" t="n"/>
      <c r="B19523" s="9" t="n"/>
    </row>
    <row r="19524">
      <c r="A19524" s="8" t="n"/>
      <c r="B19524" s="9" t="n"/>
    </row>
    <row r="19525">
      <c r="A19525" s="8" t="n"/>
      <c r="B19525" s="9" t="n"/>
    </row>
    <row r="19526">
      <c r="A19526" s="8" t="n"/>
      <c r="B19526" s="9" t="n"/>
    </row>
    <row r="19527">
      <c r="A19527" s="8" t="n"/>
      <c r="B19527" s="9" t="n"/>
    </row>
    <row r="19528">
      <c r="A19528" s="8" t="n"/>
      <c r="B19528" s="9" t="n"/>
    </row>
    <row r="19529">
      <c r="A19529" s="8" t="n"/>
      <c r="B19529" s="9" t="n"/>
    </row>
    <row r="19530">
      <c r="A19530" s="8" t="n"/>
      <c r="B19530" s="9" t="n"/>
    </row>
    <row r="19531">
      <c r="A19531" s="8" t="n"/>
      <c r="B19531" s="9" t="n"/>
    </row>
    <row r="19532">
      <c r="A19532" s="8" t="n"/>
      <c r="B19532" s="9" t="n"/>
    </row>
    <row r="19533">
      <c r="A19533" s="8" t="n"/>
      <c r="B19533" s="9" t="n"/>
    </row>
    <row r="19534">
      <c r="A19534" s="8" t="n"/>
      <c r="B19534" s="9" t="n"/>
    </row>
    <row r="19535">
      <c r="A19535" s="8" t="n"/>
      <c r="B19535" s="9" t="n"/>
    </row>
    <row r="19536">
      <c r="A19536" s="8" t="n"/>
      <c r="B19536" s="9" t="n"/>
    </row>
    <row r="19537">
      <c r="A19537" s="8" t="n"/>
      <c r="B19537" s="9" t="n"/>
    </row>
    <row r="19538">
      <c r="A19538" s="8" t="n"/>
      <c r="B19538" s="9" t="n"/>
    </row>
    <row r="19539">
      <c r="A19539" s="8" t="n"/>
      <c r="B19539" s="9" t="n"/>
    </row>
    <row r="19540">
      <c r="A19540" s="8" t="n"/>
      <c r="B19540" s="9" t="n"/>
    </row>
    <row r="19541">
      <c r="A19541" s="8" t="n"/>
      <c r="B19541" s="9" t="n"/>
    </row>
    <row r="19542">
      <c r="A19542" s="8" t="n"/>
      <c r="B19542" s="9" t="n"/>
    </row>
    <row r="19543">
      <c r="A19543" s="8" t="n"/>
      <c r="B19543" s="9" t="n"/>
    </row>
    <row r="19544">
      <c r="A19544" s="8" t="n"/>
      <c r="B19544" s="9" t="n"/>
    </row>
    <row r="19545">
      <c r="A19545" s="8" t="n"/>
      <c r="B19545" s="9" t="n"/>
    </row>
    <row r="19546">
      <c r="A19546" s="8" t="n"/>
      <c r="B19546" s="9" t="n"/>
    </row>
    <row r="19547">
      <c r="A19547" s="8" t="n"/>
      <c r="B19547" s="9" t="n"/>
    </row>
    <row r="19548">
      <c r="A19548" s="8" t="n"/>
      <c r="B19548" s="9" t="n"/>
    </row>
    <row r="19549">
      <c r="A19549" s="8" t="n"/>
      <c r="B19549" s="9" t="n"/>
    </row>
    <row r="19550">
      <c r="A19550" s="8" t="n"/>
      <c r="B19550" s="9" t="n"/>
    </row>
    <row r="19551">
      <c r="A19551" s="8" t="n"/>
      <c r="B19551" s="9" t="n"/>
    </row>
    <row r="19552">
      <c r="A19552" s="8" t="n"/>
      <c r="B19552" s="9" t="n"/>
    </row>
    <row r="19553">
      <c r="A19553" s="8" t="n"/>
      <c r="B19553" s="9" t="n"/>
    </row>
    <row r="19554">
      <c r="A19554" s="8" t="n"/>
      <c r="B19554" s="9" t="n"/>
    </row>
    <row r="19555">
      <c r="A19555" s="8" t="n"/>
      <c r="B19555" s="9" t="n"/>
    </row>
    <row r="19556">
      <c r="A19556" s="8" t="n"/>
      <c r="B19556" s="9" t="n"/>
    </row>
    <row r="19557">
      <c r="A19557" s="8" t="n"/>
      <c r="B19557" s="9" t="n"/>
    </row>
    <row r="19558">
      <c r="A19558" s="8" t="n"/>
      <c r="B19558" s="9" t="n"/>
    </row>
    <row r="19559">
      <c r="A19559" s="8" t="n"/>
      <c r="B19559" s="9" t="n"/>
    </row>
    <row r="19560">
      <c r="A19560" s="8" t="n"/>
      <c r="B19560" s="9" t="n"/>
    </row>
    <row r="19561">
      <c r="A19561" s="8" t="n"/>
      <c r="B19561" s="9" t="n"/>
    </row>
    <row r="19562">
      <c r="A19562" s="8" t="n"/>
      <c r="B19562" s="9" t="n"/>
    </row>
    <row r="19563">
      <c r="A19563" s="8" t="n"/>
      <c r="B19563" s="9" t="n"/>
    </row>
    <row r="19564">
      <c r="A19564" s="8" t="n"/>
      <c r="B19564" s="9" t="n"/>
    </row>
    <row r="19565">
      <c r="A19565" s="8" t="n"/>
      <c r="B19565" s="9" t="n"/>
    </row>
    <row r="19566">
      <c r="A19566" s="8" t="n"/>
      <c r="B19566" s="9" t="n"/>
    </row>
    <row r="19567">
      <c r="A19567" s="8" t="n"/>
      <c r="B19567" s="9" t="n"/>
    </row>
    <row r="19568">
      <c r="A19568" s="8" t="n"/>
      <c r="B19568" s="9" t="n"/>
    </row>
    <row r="19569">
      <c r="A19569" s="8" t="n"/>
      <c r="B19569" s="9" t="n"/>
    </row>
    <row r="19570">
      <c r="A19570" s="8" t="n"/>
      <c r="B19570" s="9" t="n"/>
    </row>
    <row r="19571">
      <c r="A19571" s="8" t="n"/>
      <c r="B19571" s="9" t="n"/>
    </row>
    <row r="19572">
      <c r="A19572" s="8" t="n"/>
      <c r="B19572" s="9" t="n"/>
    </row>
    <row r="19573">
      <c r="A19573" s="8" t="n"/>
      <c r="B19573" s="9" t="n"/>
    </row>
    <row r="19574">
      <c r="A19574" s="8" t="n"/>
      <c r="B19574" s="9" t="n"/>
    </row>
    <row r="19575">
      <c r="A19575" s="8" t="n"/>
      <c r="B19575" s="9" t="n"/>
    </row>
    <row r="19576">
      <c r="A19576" s="8" t="n"/>
      <c r="B19576" s="9" t="n"/>
    </row>
    <row r="19577">
      <c r="A19577" s="8" t="n"/>
      <c r="B19577" s="9" t="n"/>
    </row>
    <row r="19578">
      <c r="A19578" s="8" t="n"/>
      <c r="B19578" s="9" t="n"/>
    </row>
    <row r="19579">
      <c r="A19579" s="8" t="n"/>
      <c r="B19579" s="9" t="n"/>
    </row>
    <row r="19580">
      <c r="A19580" s="8" t="n"/>
      <c r="B19580" s="9" t="n"/>
    </row>
    <row r="19581">
      <c r="A19581" s="8" t="n"/>
      <c r="B19581" s="9" t="n"/>
    </row>
    <row r="19582">
      <c r="A19582" s="8" t="n"/>
      <c r="B19582" s="9" t="n"/>
    </row>
    <row r="19583">
      <c r="A19583" s="8" t="n"/>
      <c r="B19583" s="9" t="n"/>
    </row>
    <row r="19584">
      <c r="A19584" s="8" t="n"/>
      <c r="B19584" s="9" t="n"/>
    </row>
    <row r="19585">
      <c r="A19585" s="8" t="n"/>
      <c r="B19585" s="9" t="n"/>
    </row>
    <row r="19586">
      <c r="A19586" s="8" t="n"/>
      <c r="B19586" s="9" t="n"/>
    </row>
    <row r="19587">
      <c r="A19587" s="8" t="n"/>
      <c r="B19587" s="9" t="n"/>
    </row>
    <row r="19588">
      <c r="A19588" s="8" t="n"/>
      <c r="B19588" s="9" t="n"/>
    </row>
    <row r="19589">
      <c r="A19589" s="8" t="n"/>
      <c r="B19589" s="9" t="n"/>
    </row>
    <row r="19590">
      <c r="A19590" s="8" t="n"/>
      <c r="B19590" s="9" t="n"/>
    </row>
    <row r="19591">
      <c r="A19591" s="8" t="n"/>
      <c r="B19591" s="9" t="n"/>
    </row>
    <row r="19592">
      <c r="A19592" s="8" t="n"/>
      <c r="B19592" s="9" t="n"/>
    </row>
    <row r="19593">
      <c r="A19593" s="8" t="n"/>
      <c r="B19593" s="9" t="n"/>
    </row>
    <row r="19594">
      <c r="A19594" s="8" t="n"/>
      <c r="B19594" s="9" t="n"/>
    </row>
    <row r="19595">
      <c r="A19595" s="8" t="n"/>
      <c r="B19595" s="9" t="n"/>
    </row>
    <row r="19596">
      <c r="A19596" s="8" t="n"/>
      <c r="B19596" s="9" t="n"/>
    </row>
    <row r="19597">
      <c r="A19597" s="8" t="n"/>
      <c r="B19597" s="9" t="n"/>
    </row>
    <row r="19598">
      <c r="A19598" s="8" t="n"/>
      <c r="B19598" s="9" t="n"/>
    </row>
    <row r="19599">
      <c r="A19599" s="8" t="n"/>
      <c r="B19599" s="9" t="n"/>
    </row>
    <row r="19600">
      <c r="A19600" s="8" t="n"/>
      <c r="B19600" s="9" t="n"/>
    </row>
    <row r="19601">
      <c r="A19601" s="8" t="n"/>
      <c r="B19601" s="9" t="n"/>
    </row>
    <row r="19602">
      <c r="A19602" s="8" t="n"/>
      <c r="B19602" s="9" t="n"/>
    </row>
    <row r="19603">
      <c r="A19603" s="8" t="n"/>
      <c r="B19603" s="9" t="n"/>
    </row>
    <row r="19604">
      <c r="A19604" s="8" t="n"/>
      <c r="B19604" s="9" t="n"/>
    </row>
    <row r="19605">
      <c r="A19605" s="8" t="n"/>
      <c r="B19605" s="9" t="n"/>
    </row>
    <row r="19606">
      <c r="A19606" s="8" t="n"/>
      <c r="B19606" s="9" t="n"/>
    </row>
    <row r="19607">
      <c r="A19607" s="8" t="n"/>
      <c r="B19607" s="9" t="n"/>
    </row>
    <row r="19608">
      <c r="A19608" s="8" t="n"/>
      <c r="B19608" s="9" t="n"/>
    </row>
    <row r="19609">
      <c r="A19609" s="8" t="n"/>
      <c r="B19609" s="9" t="n"/>
    </row>
    <row r="19610">
      <c r="A19610" s="8" t="n"/>
      <c r="B19610" s="9" t="n"/>
    </row>
    <row r="19611">
      <c r="A19611" s="8" t="n"/>
      <c r="B19611" s="9" t="n"/>
    </row>
    <row r="19612">
      <c r="A19612" s="8" t="n"/>
      <c r="B19612" s="9" t="n"/>
    </row>
    <row r="19613">
      <c r="A19613" s="8" t="n"/>
      <c r="B19613" s="9" t="n"/>
    </row>
    <row r="19614">
      <c r="A19614" s="8" t="n"/>
      <c r="B19614" s="9" t="n"/>
    </row>
    <row r="19615">
      <c r="A19615" s="8" t="n"/>
      <c r="B19615" s="9" t="n"/>
    </row>
    <row r="19616">
      <c r="A19616" s="8" t="n"/>
      <c r="B19616" s="9" t="n"/>
    </row>
    <row r="19617">
      <c r="A19617" s="8" t="n"/>
      <c r="B19617" s="9" t="n"/>
    </row>
    <row r="19618">
      <c r="A19618" s="8" t="n"/>
      <c r="B19618" s="9" t="n"/>
    </row>
    <row r="19619">
      <c r="A19619" s="8" t="n"/>
      <c r="B19619" s="9" t="n"/>
    </row>
    <row r="19620">
      <c r="A19620" s="8" t="n"/>
      <c r="B19620" s="9" t="n"/>
    </row>
    <row r="19621">
      <c r="A19621" s="8" t="n"/>
      <c r="B19621" s="9" t="n"/>
    </row>
    <row r="19622">
      <c r="A19622" s="8" t="n"/>
      <c r="B19622" s="9" t="n"/>
    </row>
    <row r="19623">
      <c r="A19623" s="8" t="n"/>
      <c r="B19623" s="9" t="n"/>
    </row>
    <row r="19624">
      <c r="A19624" s="8" t="n"/>
      <c r="B19624" s="9" t="n"/>
    </row>
    <row r="19625">
      <c r="A19625" s="8" t="n"/>
      <c r="B19625" s="9" t="n"/>
    </row>
    <row r="19626">
      <c r="A19626" s="8" t="n"/>
      <c r="B19626" s="9" t="n"/>
    </row>
    <row r="19627">
      <c r="A19627" s="8" t="n"/>
      <c r="B19627" s="9" t="n"/>
    </row>
    <row r="19628">
      <c r="A19628" s="8" t="n"/>
      <c r="B19628" s="9" t="n"/>
    </row>
    <row r="19629">
      <c r="A19629" s="8" t="n"/>
      <c r="B19629" s="9" t="n"/>
    </row>
    <row r="19630">
      <c r="A19630" s="8" t="n"/>
      <c r="B19630" s="9" t="n"/>
    </row>
    <row r="19631">
      <c r="A19631" s="8" t="n"/>
      <c r="B19631" s="9" t="n"/>
    </row>
    <row r="19632">
      <c r="A19632" s="8" t="n"/>
      <c r="B19632" s="9" t="n"/>
    </row>
    <row r="19633">
      <c r="A19633" s="8" t="n"/>
      <c r="B19633" s="9" t="n"/>
    </row>
    <row r="19634">
      <c r="A19634" s="8" t="n"/>
      <c r="B19634" s="9" t="n"/>
    </row>
    <row r="19635">
      <c r="A19635" s="8" t="n"/>
      <c r="B19635" s="9" t="n"/>
    </row>
    <row r="19636">
      <c r="A19636" s="8" t="n"/>
      <c r="B19636" s="9" t="n"/>
    </row>
    <row r="19637">
      <c r="A19637" s="8" t="n"/>
      <c r="B19637" s="9" t="n"/>
    </row>
    <row r="19638">
      <c r="A19638" s="8" t="n"/>
      <c r="B19638" s="9" t="n"/>
    </row>
    <row r="19639">
      <c r="A19639" s="8" t="n"/>
      <c r="B19639" s="9" t="n"/>
    </row>
    <row r="19640">
      <c r="A19640" s="8" t="n"/>
      <c r="B19640" s="9" t="n"/>
    </row>
    <row r="19641">
      <c r="A19641" s="8" t="n"/>
      <c r="B19641" s="9" t="n"/>
    </row>
    <row r="19642">
      <c r="A19642" s="8" t="n"/>
      <c r="B19642" s="9" t="n"/>
    </row>
    <row r="19643">
      <c r="A19643" s="8" t="n"/>
      <c r="B19643" s="9" t="n"/>
    </row>
    <row r="19644">
      <c r="A19644" s="8" t="n"/>
      <c r="B19644" s="9" t="n"/>
    </row>
    <row r="19645">
      <c r="A19645" s="8" t="n"/>
      <c r="B19645" s="9" t="n"/>
    </row>
    <row r="19646">
      <c r="A19646" s="8" t="n"/>
      <c r="B19646" s="9" t="n"/>
    </row>
    <row r="19647">
      <c r="A19647" s="8" t="n"/>
      <c r="B19647" s="9" t="n"/>
    </row>
    <row r="19648">
      <c r="A19648" s="8" t="n"/>
      <c r="B19648" s="9" t="n"/>
    </row>
    <row r="19649">
      <c r="A19649" s="8" t="n"/>
      <c r="B19649" s="9" t="n"/>
    </row>
    <row r="19650">
      <c r="A19650" s="8" t="n"/>
      <c r="B19650" s="9" t="n"/>
    </row>
    <row r="19651">
      <c r="A19651" s="8" t="n"/>
      <c r="B19651" s="9" t="n"/>
    </row>
    <row r="19652">
      <c r="A19652" s="8" t="n"/>
      <c r="B19652" s="9" t="n"/>
    </row>
    <row r="19653">
      <c r="A19653" s="8" t="n"/>
      <c r="B19653" s="9" t="n"/>
    </row>
    <row r="19654">
      <c r="A19654" s="8" t="n"/>
      <c r="B19654" s="9" t="n"/>
    </row>
    <row r="19655">
      <c r="A19655" s="8" t="n"/>
      <c r="B19655" s="9" t="n"/>
    </row>
    <row r="19656">
      <c r="A19656" s="8" t="n"/>
      <c r="B19656" s="9" t="n"/>
    </row>
    <row r="19657">
      <c r="A19657" s="8" t="n"/>
      <c r="B19657" s="9" t="n"/>
    </row>
    <row r="19658">
      <c r="A19658" s="8" t="n"/>
      <c r="B19658" s="9" t="n"/>
    </row>
    <row r="19659">
      <c r="A19659" s="8" t="n"/>
      <c r="B19659" s="9" t="n"/>
    </row>
    <row r="19660">
      <c r="A19660" s="8" t="n"/>
      <c r="B19660" s="9" t="n"/>
    </row>
    <row r="19661">
      <c r="A19661" s="8" t="n"/>
      <c r="B19661" s="9" t="n"/>
    </row>
    <row r="19662">
      <c r="A19662" s="8" t="n"/>
      <c r="B19662" s="9" t="n"/>
    </row>
    <row r="19663">
      <c r="A19663" s="8" t="n"/>
      <c r="B19663" s="9" t="n"/>
    </row>
    <row r="19664">
      <c r="A19664" s="8" t="n"/>
      <c r="B19664" s="9" t="n"/>
    </row>
    <row r="19665">
      <c r="A19665" s="8" t="n"/>
      <c r="B19665" s="9" t="n"/>
    </row>
    <row r="19666">
      <c r="A19666" s="8" t="n"/>
      <c r="B19666" s="9" t="n"/>
    </row>
    <row r="19667">
      <c r="A19667" s="8" t="n"/>
      <c r="B19667" s="9" t="n"/>
    </row>
    <row r="19668">
      <c r="A19668" s="8" t="n"/>
      <c r="B19668" s="9" t="n"/>
    </row>
    <row r="19669">
      <c r="A19669" s="8" t="n"/>
      <c r="B19669" s="9" t="n"/>
    </row>
    <row r="19670">
      <c r="A19670" s="8" t="n"/>
      <c r="B19670" s="9" t="n"/>
    </row>
    <row r="19671">
      <c r="A19671" s="8" t="n"/>
      <c r="B19671" s="9" t="n"/>
    </row>
    <row r="19672">
      <c r="A19672" s="8" t="n"/>
      <c r="B19672" s="9" t="n"/>
    </row>
    <row r="19673">
      <c r="A19673" s="8" t="n"/>
      <c r="B19673" s="9" t="n"/>
    </row>
    <row r="19674">
      <c r="A19674" s="8" t="n"/>
      <c r="B19674" s="9" t="n"/>
    </row>
    <row r="19675">
      <c r="A19675" s="8" t="n"/>
      <c r="B19675" s="9" t="n"/>
    </row>
    <row r="19676">
      <c r="A19676" s="8" t="n"/>
      <c r="B19676" s="9" t="n"/>
    </row>
    <row r="19677">
      <c r="A19677" s="8" t="n"/>
      <c r="B19677" s="9" t="n"/>
    </row>
    <row r="19678">
      <c r="A19678" s="8" t="n"/>
      <c r="B19678" s="9" t="n"/>
    </row>
    <row r="19679">
      <c r="A19679" s="8" t="n"/>
      <c r="B19679" s="9" t="n"/>
    </row>
    <row r="19680">
      <c r="A19680" s="8" t="n"/>
      <c r="B19680" s="9" t="n"/>
    </row>
    <row r="19681">
      <c r="A19681" s="8" t="n"/>
      <c r="B19681" s="9" t="n"/>
    </row>
    <row r="19682">
      <c r="A19682" s="8" t="n"/>
      <c r="B19682" s="9" t="n"/>
    </row>
    <row r="19683">
      <c r="A19683" s="8" t="n"/>
      <c r="B19683" s="9" t="n"/>
    </row>
    <row r="19684">
      <c r="A19684" s="8" t="n"/>
      <c r="B19684" s="9" t="n"/>
    </row>
    <row r="19685">
      <c r="A19685" s="8" t="n"/>
      <c r="B19685" s="9" t="n"/>
    </row>
    <row r="19686">
      <c r="A19686" s="8" t="n"/>
      <c r="B19686" s="9" t="n"/>
    </row>
    <row r="19687">
      <c r="A19687" s="8" t="n"/>
      <c r="B19687" s="9" t="n"/>
    </row>
    <row r="19688">
      <c r="A19688" s="8" t="n"/>
      <c r="B19688" s="9" t="n"/>
    </row>
    <row r="19689">
      <c r="A19689" s="8" t="n"/>
      <c r="B19689" s="9" t="n"/>
    </row>
    <row r="19690">
      <c r="A19690" s="8" t="n"/>
      <c r="B19690" s="9" t="n"/>
    </row>
    <row r="19691">
      <c r="A19691" s="8" t="n"/>
      <c r="B19691" s="9" t="n"/>
    </row>
    <row r="19692">
      <c r="A19692" s="8" t="n"/>
      <c r="B19692" s="9" t="n"/>
    </row>
    <row r="19693">
      <c r="A19693" s="8" t="n"/>
      <c r="B19693" s="9" t="n"/>
    </row>
    <row r="19694">
      <c r="A19694" s="8" t="n"/>
      <c r="B19694" s="9" t="n"/>
    </row>
    <row r="19695">
      <c r="A19695" s="8" t="n"/>
      <c r="B19695" s="9" t="n"/>
    </row>
    <row r="19696">
      <c r="A19696" s="8" t="n"/>
      <c r="B19696" s="9" t="n"/>
    </row>
    <row r="19697">
      <c r="A19697" s="8" t="n"/>
      <c r="B19697" s="9" t="n"/>
    </row>
    <row r="19698">
      <c r="A19698" s="8" t="n"/>
      <c r="B19698" s="9" t="n"/>
    </row>
    <row r="19699">
      <c r="A19699" s="8" t="n"/>
      <c r="B19699" s="9" t="n"/>
    </row>
    <row r="19700">
      <c r="A19700" s="8" t="n"/>
      <c r="B19700" s="9" t="n"/>
    </row>
    <row r="19701">
      <c r="A19701" s="8" t="n"/>
      <c r="B19701" s="9" t="n"/>
    </row>
    <row r="19702">
      <c r="A19702" s="8" t="n"/>
      <c r="B19702" s="9" t="n"/>
    </row>
    <row r="19703">
      <c r="A19703" s="8" t="n"/>
      <c r="B19703" s="9" t="n"/>
    </row>
    <row r="19704">
      <c r="A19704" s="8" t="n"/>
      <c r="B19704" s="9" t="n"/>
    </row>
    <row r="19705">
      <c r="A19705" s="8" t="n"/>
      <c r="B19705" s="9" t="n"/>
    </row>
    <row r="19706">
      <c r="A19706" s="8" t="n"/>
      <c r="B19706" s="9" t="n"/>
    </row>
    <row r="19707">
      <c r="A19707" s="8" t="n"/>
      <c r="B19707" s="9" t="n"/>
    </row>
    <row r="19708">
      <c r="A19708" s="8" t="n"/>
      <c r="B19708" s="9" t="n"/>
    </row>
    <row r="19709">
      <c r="A19709" s="8" t="n"/>
      <c r="B19709" s="9" t="n"/>
    </row>
    <row r="19710">
      <c r="A19710" s="8" t="n"/>
      <c r="B19710" s="9" t="n"/>
    </row>
    <row r="19711">
      <c r="A19711" s="8" t="n"/>
      <c r="B19711" s="9" t="n"/>
    </row>
    <row r="19712">
      <c r="A19712" s="8" t="n"/>
      <c r="B19712" s="9" t="n"/>
    </row>
    <row r="19713">
      <c r="A19713" s="8" t="n"/>
      <c r="B19713" s="9" t="n"/>
    </row>
    <row r="19714">
      <c r="A19714" s="8" t="n"/>
      <c r="B19714" s="9" t="n"/>
    </row>
    <row r="19715">
      <c r="A19715" s="8" t="n"/>
      <c r="B19715" s="9" t="n"/>
    </row>
    <row r="19716">
      <c r="A19716" s="8" t="n"/>
      <c r="B19716" s="9" t="n"/>
    </row>
    <row r="19717">
      <c r="A19717" s="8" t="n"/>
      <c r="B19717" s="9" t="n"/>
    </row>
    <row r="19718">
      <c r="A19718" s="8" t="n"/>
      <c r="B19718" s="9" t="n"/>
    </row>
    <row r="19719">
      <c r="A19719" s="8" t="n"/>
      <c r="B19719" s="9" t="n"/>
    </row>
    <row r="19720">
      <c r="A19720" s="8" t="n"/>
      <c r="B19720" s="9" t="n"/>
    </row>
    <row r="19721">
      <c r="A19721" s="8" t="n"/>
      <c r="B19721" s="9" t="n"/>
    </row>
    <row r="19722">
      <c r="A19722" s="8" t="n"/>
      <c r="B19722" s="9" t="n"/>
    </row>
    <row r="19723">
      <c r="A19723" s="8" t="n"/>
      <c r="B19723" s="9" t="n"/>
    </row>
    <row r="19724">
      <c r="A19724" s="8" t="n"/>
      <c r="B19724" s="9" t="n"/>
    </row>
    <row r="19725">
      <c r="A19725" s="8" t="n"/>
      <c r="B19725" s="9" t="n"/>
    </row>
    <row r="19726">
      <c r="A19726" s="8" t="n"/>
      <c r="B19726" s="9" t="n"/>
    </row>
    <row r="19727">
      <c r="A19727" s="8" t="n"/>
      <c r="B19727" s="9" t="n"/>
    </row>
    <row r="19728">
      <c r="A19728" s="8" t="n"/>
      <c r="B19728" s="9" t="n"/>
    </row>
    <row r="19729">
      <c r="A19729" s="8" t="n"/>
      <c r="B19729" s="9" t="n"/>
    </row>
    <row r="19730">
      <c r="A19730" s="8" t="n"/>
      <c r="B19730" s="9" t="n"/>
    </row>
    <row r="19731">
      <c r="A19731" s="8" t="n"/>
      <c r="B19731" s="9" t="n"/>
    </row>
    <row r="19732">
      <c r="A19732" s="8" t="n"/>
      <c r="B19732" s="9" t="n"/>
    </row>
    <row r="19733">
      <c r="A19733" s="8" t="n"/>
      <c r="B19733" s="9" t="n"/>
    </row>
    <row r="19734">
      <c r="A19734" s="8" t="n"/>
      <c r="B19734" s="9" t="n"/>
    </row>
    <row r="19735">
      <c r="A19735" s="8" t="n"/>
      <c r="B19735" s="9" t="n"/>
    </row>
    <row r="19736">
      <c r="A19736" s="8" t="n"/>
      <c r="B19736" s="9" t="n"/>
    </row>
    <row r="19737">
      <c r="A19737" s="8" t="n"/>
      <c r="B19737" s="9" t="n"/>
    </row>
    <row r="19738">
      <c r="A19738" s="8" t="n"/>
      <c r="B19738" s="9" t="n"/>
    </row>
    <row r="19739">
      <c r="A19739" s="8" t="n"/>
      <c r="B19739" s="9" t="n"/>
    </row>
    <row r="19740">
      <c r="A19740" s="8" t="n"/>
      <c r="B19740" s="9" t="n"/>
    </row>
    <row r="19741">
      <c r="A19741" s="8" t="n"/>
      <c r="B19741" s="9" t="n"/>
    </row>
    <row r="19742">
      <c r="A19742" s="8" t="n"/>
      <c r="B19742" s="9" t="n"/>
    </row>
    <row r="19743">
      <c r="A19743" s="8" t="n"/>
      <c r="B19743" s="9" t="n"/>
    </row>
    <row r="19744">
      <c r="A19744" s="8" t="n"/>
      <c r="B19744" s="9" t="n"/>
    </row>
    <row r="19745">
      <c r="A19745" s="8" t="n"/>
      <c r="B19745" s="9" t="n"/>
    </row>
    <row r="19746">
      <c r="A19746" s="8" t="n"/>
      <c r="B19746" s="9" t="n"/>
    </row>
    <row r="19747">
      <c r="A19747" s="8" t="n"/>
      <c r="B19747" s="9" t="n"/>
    </row>
    <row r="19748">
      <c r="A19748" s="8" t="n"/>
      <c r="B19748" s="9" t="n"/>
    </row>
    <row r="19749">
      <c r="A19749" s="8" t="n"/>
      <c r="B19749" s="9" t="n"/>
    </row>
    <row r="19750">
      <c r="A19750" s="8" t="n"/>
      <c r="B19750" s="9" t="n"/>
    </row>
    <row r="19751">
      <c r="A19751" s="8" t="n"/>
      <c r="B19751" s="9" t="n"/>
    </row>
    <row r="19752">
      <c r="A19752" s="8" t="n"/>
      <c r="B19752" s="9" t="n"/>
    </row>
    <row r="19753">
      <c r="A19753" s="8" t="n"/>
      <c r="B19753" s="9" t="n"/>
    </row>
    <row r="19754">
      <c r="A19754" s="8" t="n"/>
      <c r="B19754" s="9" t="n"/>
    </row>
    <row r="19755">
      <c r="A19755" s="8" t="n"/>
      <c r="B19755" s="9" t="n"/>
    </row>
    <row r="19756">
      <c r="A19756" s="8" t="n"/>
      <c r="B19756" s="9" t="n"/>
    </row>
    <row r="19757">
      <c r="A19757" s="8" t="n"/>
      <c r="B19757" s="9" t="n"/>
    </row>
    <row r="19758">
      <c r="A19758" s="8" t="n"/>
      <c r="B19758" s="9" t="n"/>
    </row>
    <row r="19759">
      <c r="A19759" s="8" t="n"/>
      <c r="B19759" s="9" t="n"/>
    </row>
    <row r="19760">
      <c r="A19760" s="8" t="n"/>
      <c r="B19760" s="9" t="n"/>
    </row>
    <row r="19761">
      <c r="A19761" s="8" t="n"/>
      <c r="B19761" s="9" t="n"/>
    </row>
    <row r="19762">
      <c r="A19762" s="8" t="n"/>
      <c r="B19762" s="9" t="n"/>
    </row>
    <row r="19763">
      <c r="A19763" s="8" t="n"/>
      <c r="B19763" s="9" t="n"/>
    </row>
    <row r="19764">
      <c r="A19764" s="8" t="n"/>
      <c r="B19764" s="9" t="n"/>
    </row>
    <row r="19765">
      <c r="A19765" s="8" t="n"/>
      <c r="B19765" s="9" t="n"/>
    </row>
    <row r="19766">
      <c r="A19766" s="8" t="n"/>
      <c r="B19766" s="9" t="n"/>
    </row>
    <row r="19767">
      <c r="A19767" s="8" t="n"/>
      <c r="B19767" s="9" t="n"/>
    </row>
    <row r="19768">
      <c r="A19768" s="8" t="n"/>
      <c r="B19768" s="9" t="n"/>
    </row>
    <row r="19769">
      <c r="A19769" s="8" t="n"/>
      <c r="B19769" s="9" t="n"/>
    </row>
    <row r="19770">
      <c r="A19770" s="8" t="n"/>
      <c r="B19770" s="9" t="n"/>
    </row>
    <row r="19771">
      <c r="A19771" s="8" t="n"/>
      <c r="B19771" s="9" t="n"/>
    </row>
    <row r="19772">
      <c r="A19772" s="8" t="n"/>
      <c r="B19772" s="9" t="n"/>
    </row>
    <row r="19773">
      <c r="A19773" s="8" t="n"/>
      <c r="B19773" s="9" t="n"/>
    </row>
    <row r="19774">
      <c r="A19774" s="8" t="n"/>
      <c r="B19774" s="9" t="n"/>
    </row>
    <row r="19775">
      <c r="A19775" s="8" t="n"/>
      <c r="B19775" s="9" t="n"/>
    </row>
    <row r="19776">
      <c r="A19776" s="8" t="n"/>
      <c r="B19776" s="9" t="n"/>
    </row>
    <row r="19777">
      <c r="A19777" s="8" t="n"/>
      <c r="B19777" s="9" t="n"/>
    </row>
    <row r="19778">
      <c r="A19778" s="8" t="n"/>
      <c r="B19778" s="9" t="n"/>
    </row>
    <row r="19779">
      <c r="A19779" s="8" t="n"/>
      <c r="B19779" s="9" t="n"/>
    </row>
    <row r="19780">
      <c r="A19780" s="8" t="n"/>
      <c r="B19780" s="9" t="n"/>
    </row>
    <row r="19781">
      <c r="A19781" s="8" t="n"/>
      <c r="B19781" s="9" t="n"/>
    </row>
    <row r="19782">
      <c r="A19782" s="8" t="n"/>
      <c r="B19782" s="9" t="n"/>
    </row>
    <row r="19783">
      <c r="A19783" s="8" t="n"/>
      <c r="B19783" s="9" t="n"/>
    </row>
    <row r="19784">
      <c r="A19784" s="8" t="n"/>
      <c r="B19784" s="9" t="n"/>
    </row>
    <row r="19785">
      <c r="A19785" s="8" t="n"/>
      <c r="B19785" s="9" t="n"/>
    </row>
    <row r="19786">
      <c r="A19786" s="8" t="n"/>
      <c r="B19786" s="9" t="n"/>
    </row>
    <row r="19787">
      <c r="A19787" s="8" t="n"/>
      <c r="B19787" s="9" t="n"/>
    </row>
    <row r="19788">
      <c r="A19788" s="8" t="n"/>
      <c r="B19788" s="9" t="n"/>
    </row>
    <row r="19789">
      <c r="A19789" s="8" t="n"/>
      <c r="B19789" s="9" t="n"/>
    </row>
    <row r="19790">
      <c r="A19790" s="8" t="n"/>
      <c r="B19790" s="9" t="n"/>
    </row>
    <row r="19791">
      <c r="A19791" s="8" t="n"/>
      <c r="B19791" s="9" t="n"/>
    </row>
    <row r="19792">
      <c r="A19792" s="8" t="n"/>
      <c r="B19792" s="9" t="n"/>
    </row>
    <row r="19793">
      <c r="A19793" s="8" t="n"/>
      <c r="B19793" s="9" t="n"/>
    </row>
    <row r="19794">
      <c r="A19794" s="8" t="n"/>
      <c r="B19794" s="9" t="n"/>
    </row>
    <row r="19795">
      <c r="A19795" s="8" t="n"/>
      <c r="B19795" s="9" t="n"/>
    </row>
    <row r="19796">
      <c r="A19796" s="8" t="n"/>
      <c r="B19796" s="9" t="n"/>
    </row>
    <row r="19797">
      <c r="A19797" s="8" t="n"/>
      <c r="B19797" s="9" t="n"/>
    </row>
    <row r="19798">
      <c r="A19798" s="8" t="n"/>
      <c r="B19798" s="9" t="n"/>
    </row>
    <row r="19799">
      <c r="A19799" s="8" t="n"/>
      <c r="B19799" s="9" t="n"/>
    </row>
    <row r="19800">
      <c r="A19800" s="8" t="n"/>
      <c r="B19800" s="9" t="n"/>
    </row>
    <row r="19801">
      <c r="A19801" s="8" t="n"/>
      <c r="B19801" s="9" t="n"/>
    </row>
    <row r="19802">
      <c r="A19802" s="8" t="n"/>
      <c r="B19802" s="9" t="n"/>
    </row>
    <row r="19803">
      <c r="A19803" s="8" t="n"/>
      <c r="B19803" s="9" t="n"/>
    </row>
    <row r="19804">
      <c r="A19804" s="8" t="n"/>
      <c r="B19804" s="9" t="n"/>
    </row>
    <row r="19805">
      <c r="A19805" s="8" t="n"/>
      <c r="B19805" s="9" t="n"/>
    </row>
    <row r="19806">
      <c r="A19806" s="8" t="n"/>
      <c r="B19806" s="9" t="n"/>
    </row>
    <row r="19807">
      <c r="A19807" s="8" t="n"/>
      <c r="B19807" s="9" t="n"/>
    </row>
    <row r="19808">
      <c r="A19808" s="8" t="n"/>
      <c r="B19808" s="9" t="n"/>
    </row>
    <row r="19809">
      <c r="A19809" s="8" t="n"/>
      <c r="B19809" s="9" t="n"/>
    </row>
    <row r="19810">
      <c r="A19810" s="8" t="n"/>
      <c r="B19810" s="9" t="n"/>
    </row>
    <row r="19811">
      <c r="A19811" s="8" t="n"/>
      <c r="B19811" s="9" t="n"/>
    </row>
    <row r="19812">
      <c r="A19812" s="8" t="n"/>
      <c r="B19812" s="9" t="n"/>
    </row>
    <row r="19813">
      <c r="A19813" s="8" t="n"/>
      <c r="B19813" s="9" t="n"/>
    </row>
    <row r="19814">
      <c r="A19814" s="8" t="n"/>
      <c r="B19814" s="9" t="n"/>
    </row>
    <row r="19815">
      <c r="A19815" s="8" t="n"/>
      <c r="B19815" s="9" t="n"/>
    </row>
    <row r="19816">
      <c r="A19816" s="8" t="n"/>
      <c r="B19816" s="9" t="n"/>
    </row>
    <row r="19817">
      <c r="A19817" s="8" t="n"/>
      <c r="B19817" s="9" t="n"/>
    </row>
    <row r="19818">
      <c r="A19818" s="8" t="n"/>
      <c r="B19818" s="9" t="n"/>
    </row>
    <row r="19819">
      <c r="A19819" s="8" t="n"/>
      <c r="B19819" s="9" t="n"/>
    </row>
    <row r="19820">
      <c r="A19820" s="8" t="n"/>
      <c r="B19820" s="9" t="n"/>
    </row>
    <row r="19821">
      <c r="A19821" s="8" t="n"/>
      <c r="B19821" s="9" t="n"/>
    </row>
    <row r="19822">
      <c r="A19822" s="8" t="n"/>
      <c r="B19822" s="9" t="n"/>
    </row>
    <row r="19823">
      <c r="A19823" s="8" t="n"/>
      <c r="B19823" s="9" t="n"/>
    </row>
    <row r="19824">
      <c r="A19824" s="8" t="n"/>
      <c r="B19824" s="9" t="n"/>
    </row>
    <row r="19825">
      <c r="A19825" s="8" t="n"/>
      <c r="B19825" s="9" t="n"/>
    </row>
    <row r="19826">
      <c r="A19826" s="8" t="n"/>
      <c r="B19826" s="9" t="n"/>
    </row>
    <row r="19827">
      <c r="A19827" s="8" t="n"/>
      <c r="B19827" s="9" t="n"/>
    </row>
    <row r="19828">
      <c r="A19828" s="8" t="n"/>
      <c r="B19828" s="9" t="n"/>
    </row>
    <row r="19829">
      <c r="A19829" s="8" t="n"/>
      <c r="B19829" s="9" t="n"/>
    </row>
    <row r="19830">
      <c r="A19830" s="8" t="n"/>
      <c r="B19830" s="9" t="n"/>
    </row>
    <row r="19831">
      <c r="A19831" s="8" t="n"/>
      <c r="B19831" s="9" t="n"/>
    </row>
    <row r="19832">
      <c r="A19832" s="8" t="n"/>
      <c r="B19832" s="9" t="n"/>
    </row>
    <row r="19833">
      <c r="A19833" s="8" t="n"/>
      <c r="B19833" s="9" t="n"/>
    </row>
    <row r="19834">
      <c r="A19834" s="8" t="n"/>
      <c r="B19834" s="9" t="n"/>
    </row>
    <row r="19835">
      <c r="A19835" s="8" t="n"/>
      <c r="B19835" s="9" t="n"/>
    </row>
    <row r="19836">
      <c r="A19836" s="8" t="n"/>
      <c r="B19836" s="9" t="n"/>
    </row>
    <row r="19837">
      <c r="A19837" s="8" t="n"/>
      <c r="B19837" s="9" t="n"/>
    </row>
    <row r="19838">
      <c r="A19838" s="8" t="n"/>
      <c r="B19838" s="9" t="n"/>
    </row>
    <row r="19839">
      <c r="A19839" s="8" t="n"/>
      <c r="B19839" s="9" t="n"/>
    </row>
    <row r="19840">
      <c r="A19840" s="8" t="n"/>
      <c r="B19840" s="9" t="n"/>
    </row>
    <row r="19841">
      <c r="A19841" s="8" t="n"/>
      <c r="B19841" s="9" t="n"/>
    </row>
    <row r="19842">
      <c r="A19842" s="8" t="n"/>
      <c r="B19842" s="9" t="n"/>
    </row>
    <row r="19843">
      <c r="A19843" s="8" t="n"/>
      <c r="B19843" s="9" t="n"/>
    </row>
    <row r="19844">
      <c r="A19844" s="8" t="n"/>
      <c r="B19844" s="9" t="n"/>
    </row>
    <row r="19845">
      <c r="A19845" s="8" t="n"/>
      <c r="B19845" s="9" t="n"/>
    </row>
    <row r="19846">
      <c r="A19846" s="8" t="n"/>
      <c r="B19846" s="9" t="n"/>
    </row>
    <row r="19847">
      <c r="A19847" s="8" t="n"/>
      <c r="B19847" s="9" t="n"/>
    </row>
    <row r="19848">
      <c r="A19848" s="8" t="n"/>
      <c r="B19848" s="9" t="n"/>
    </row>
    <row r="19849">
      <c r="A19849" s="8" t="n"/>
      <c r="B19849" s="9" t="n"/>
    </row>
    <row r="19850">
      <c r="A19850" s="8" t="n"/>
      <c r="B19850" s="9" t="n"/>
    </row>
    <row r="19851">
      <c r="A19851" s="8" t="n"/>
      <c r="B19851" s="9" t="n"/>
    </row>
    <row r="19852">
      <c r="A19852" s="8" t="n"/>
      <c r="B19852" s="9" t="n"/>
    </row>
    <row r="19853">
      <c r="A19853" s="8" t="n"/>
      <c r="B19853" s="9" t="n"/>
    </row>
    <row r="19854">
      <c r="A19854" s="8" t="n"/>
      <c r="B19854" s="9" t="n"/>
    </row>
    <row r="19855">
      <c r="A19855" s="8" t="n"/>
      <c r="B19855" s="9" t="n"/>
    </row>
    <row r="19856">
      <c r="A19856" s="8" t="n"/>
      <c r="B19856" s="9" t="n"/>
    </row>
    <row r="19857">
      <c r="A19857" s="8" t="n"/>
      <c r="B19857" s="9" t="n"/>
    </row>
    <row r="19858">
      <c r="A19858" s="8" t="n"/>
      <c r="B19858" s="9" t="n"/>
    </row>
    <row r="19859">
      <c r="A19859" s="8" t="n"/>
      <c r="B19859" s="9" t="n"/>
    </row>
    <row r="19860">
      <c r="A19860" s="8" t="n"/>
      <c r="B19860" s="9" t="n"/>
    </row>
    <row r="19861">
      <c r="A19861" s="8" t="n"/>
      <c r="B19861" s="9" t="n"/>
    </row>
    <row r="19862">
      <c r="A19862" s="8" t="n"/>
      <c r="B19862" s="9" t="n"/>
    </row>
    <row r="19863">
      <c r="A19863" s="8" t="n"/>
      <c r="B19863" s="9" t="n"/>
    </row>
    <row r="19864">
      <c r="A19864" s="8" t="n"/>
      <c r="B19864" s="9" t="n"/>
    </row>
    <row r="19865">
      <c r="A19865" s="8" t="n"/>
      <c r="B19865" s="9" t="n"/>
    </row>
    <row r="19866">
      <c r="A19866" s="8" t="n"/>
      <c r="B19866" s="9" t="n"/>
    </row>
    <row r="19867">
      <c r="A19867" s="8" t="n"/>
      <c r="B19867" s="9" t="n"/>
    </row>
    <row r="19868">
      <c r="A19868" s="8" t="n"/>
      <c r="B19868" s="9" t="n"/>
    </row>
    <row r="19869">
      <c r="A19869" s="8" t="n"/>
      <c r="B19869" s="9" t="n"/>
    </row>
    <row r="19870">
      <c r="A19870" s="8" t="n"/>
      <c r="B19870" s="9" t="n"/>
    </row>
    <row r="19871">
      <c r="A19871" s="8" t="n"/>
      <c r="B19871" s="9" t="n"/>
    </row>
    <row r="19872">
      <c r="A19872" s="8" t="n"/>
      <c r="B19872" s="9" t="n"/>
    </row>
    <row r="19873">
      <c r="A19873" s="8" t="n"/>
      <c r="B19873" s="9" t="n"/>
    </row>
    <row r="19874">
      <c r="A19874" s="8" t="n"/>
      <c r="B19874" s="9" t="n"/>
    </row>
    <row r="19875">
      <c r="A19875" s="8" t="n"/>
      <c r="B19875" s="9" t="n"/>
    </row>
    <row r="19876">
      <c r="A19876" s="8" t="n"/>
      <c r="B19876" s="9" t="n"/>
    </row>
    <row r="19877">
      <c r="A19877" s="8" t="n"/>
      <c r="B19877" s="9" t="n"/>
    </row>
    <row r="19878">
      <c r="A19878" s="8" t="n"/>
      <c r="B19878" s="9" t="n"/>
    </row>
    <row r="19879">
      <c r="A19879" s="8" t="n"/>
      <c r="B19879" s="9" t="n"/>
    </row>
    <row r="19880">
      <c r="A19880" s="8" t="n"/>
      <c r="B19880" s="9" t="n"/>
    </row>
    <row r="19881">
      <c r="A19881" s="8" t="n"/>
      <c r="B19881" s="9" t="n"/>
    </row>
    <row r="19882">
      <c r="A19882" s="8" t="n"/>
      <c r="B19882" s="9" t="n"/>
    </row>
    <row r="19883">
      <c r="A19883" s="8" t="n"/>
      <c r="B19883" s="9" t="n"/>
    </row>
    <row r="19884">
      <c r="A19884" s="8" t="n"/>
      <c r="B19884" s="9" t="n"/>
    </row>
    <row r="19885">
      <c r="A19885" s="8" t="n"/>
      <c r="B19885" s="9" t="n"/>
    </row>
    <row r="19886">
      <c r="A19886" s="8" t="n"/>
      <c r="B19886" s="9" t="n"/>
    </row>
    <row r="19887">
      <c r="A19887" s="8" t="n"/>
      <c r="B19887" s="9" t="n"/>
    </row>
    <row r="19888">
      <c r="A19888" s="8" t="n"/>
      <c r="B19888" s="9" t="n"/>
    </row>
    <row r="19889">
      <c r="A19889" s="8" t="n"/>
      <c r="B19889" s="9" t="n"/>
    </row>
    <row r="19890">
      <c r="A19890" s="8" t="n"/>
      <c r="B19890" s="9" t="n"/>
    </row>
    <row r="19891">
      <c r="A19891" s="8" t="n"/>
      <c r="B19891" s="9" t="n"/>
    </row>
    <row r="19892">
      <c r="A19892" s="8" t="n"/>
      <c r="B19892" s="9" t="n"/>
    </row>
    <row r="19893">
      <c r="A19893" s="8" t="n"/>
      <c r="B19893" s="9" t="n"/>
    </row>
    <row r="19894">
      <c r="A19894" s="8" t="n"/>
      <c r="B19894" s="9" t="n"/>
    </row>
    <row r="19895">
      <c r="A19895" s="8" t="n"/>
      <c r="B19895" s="9" t="n"/>
    </row>
    <row r="19896">
      <c r="A19896" s="8" t="n"/>
      <c r="B19896" s="9" t="n"/>
    </row>
    <row r="19897">
      <c r="A19897" s="8" t="n"/>
      <c r="B19897" s="9" t="n"/>
    </row>
    <row r="19898">
      <c r="A19898" s="8" t="n"/>
      <c r="B19898" s="9" t="n"/>
    </row>
    <row r="19899">
      <c r="A19899" s="8" t="n"/>
      <c r="B19899" s="9" t="n"/>
    </row>
    <row r="19900">
      <c r="A19900" s="8" t="n"/>
      <c r="B19900" s="9" t="n"/>
    </row>
    <row r="19901">
      <c r="A19901" s="8" t="n"/>
      <c r="B19901" s="9" t="n"/>
    </row>
    <row r="19902">
      <c r="A19902" s="8" t="n"/>
      <c r="B19902" s="9" t="n"/>
    </row>
    <row r="19903">
      <c r="A19903" s="8" t="n"/>
      <c r="B19903" s="9" t="n"/>
    </row>
    <row r="19904">
      <c r="A19904" s="8" t="n"/>
      <c r="B19904" s="9" t="n"/>
    </row>
    <row r="19905">
      <c r="A19905" s="8" t="n"/>
      <c r="B19905" s="9" t="n"/>
    </row>
    <row r="19906">
      <c r="A19906" s="8" t="n"/>
      <c r="B19906" s="9" t="n"/>
    </row>
    <row r="19907">
      <c r="A19907" s="8" t="n"/>
      <c r="B19907" s="9" t="n"/>
    </row>
    <row r="19908">
      <c r="A19908" s="8" t="n"/>
      <c r="B19908" s="9" t="n"/>
    </row>
    <row r="19909">
      <c r="A19909" s="8" t="n"/>
      <c r="B19909" s="9" t="n"/>
    </row>
    <row r="19910">
      <c r="A19910" s="8" t="n"/>
      <c r="B19910" s="9" t="n"/>
    </row>
    <row r="19911">
      <c r="A19911" s="8" t="n"/>
      <c r="B19911" s="9" t="n"/>
    </row>
    <row r="19912">
      <c r="A19912" s="8" t="n"/>
      <c r="B19912" s="9" t="n"/>
    </row>
    <row r="19913">
      <c r="A19913" s="8" t="n"/>
      <c r="B19913" s="9" t="n"/>
    </row>
    <row r="19914">
      <c r="A19914" s="8" t="n"/>
      <c r="B19914" s="9" t="n"/>
    </row>
    <row r="19915">
      <c r="A19915" s="8" t="n"/>
      <c r="B19915" s="9" t="n"/>
    </row>
    <row r="19916">
      <c r="A19916" s="8" t="n"/>
      <c r="B19916" s="9" t="n"/>
    </row>
    <row r="19917">
      <c r="A19917" s="8" t="n"/>
      <c r="B19917" s="9" t="n"/>
    </row>
    <row r="19918">
      <c r="A19918" s="8" t="n"/>
      <c r="B19918" s="9" t="n"/>
    </row>
    <row r="19919">
      <c r="A19919" s="8" t="n"/>
      <c r="B19919" s="9" t="n"/>
    </row>
    <row r="19920">
      <c r="A19920" s="8" t="n"/>
      <c r="B19920" s="9" t="n"/>
    </row>
    <row r="19921">
      <c r="A19921" s="8" t="n"/>
      <c r="B19921" s="9" t="n"/>
    </row>
    <row r="19922">
      <c r="A19922" s="8" t="n"/>
      <c r="B19922" s="9" t="n"/>
    </row>
    <row r="19923">
      <c r="A19923" s="8" t="n"/>
      <c r="B19923" s="9" t="n"/>
    </row>
    <row r="19924">
      <c r="A19924" s="8" t="n"/>
      <c r="B19924" s="9" t="n"/>
    </row>
    <row r="19925">
      <c r="A19925" s="8" t="n"/>
      <c r="B19925" s="9" t="n"/>
    </row>
    <row r="19926">
      <c r="A19926" s="8" t="n"/>
      <c r="B19926" s="9" t="n"/>
    </row>
    <row r="19927">
      <c r="A19927" s="8" t="n"/>
      <c r="B19927" s="9" t="n"/>
    </row>
    <row r="19928">
      <c r="A19928" s="8" t="n"/>
      <c r="B19928" s="9" t="n"/>
    </row>
    <row r="19929">
      <c r="A19929" s="8" t="n"/>
      <c r="B19929" s="9" t="n"/>
    </row>
    <row r="19930">
      <c r="A19930" s="8" t="n"/>
      <c r="B19930" s="9" t="n"/>
    </row>
    <row r="19931">
      <c r="A19931" s="8" t="n"/>
      <c r="B19931" s="9" t="n"/>
    </row>
    <row r="19932">
      <c r="A19932" s="8" t="n"/>
      <c r="B19932" s="9" t="n"/>
    </row>
    <row r="19933">
      <c r="A19933" s="8" t="n"/>
      <c r="B19933" s="9" t="n"/>
    </row>
    <row r="19934">
      <c r="A19934" s="8" t="n"/>
      <c r="B19934" s="9" t="n"/>
    </row>
    <row r="19935">
      <c r="A19935" s="8" t="n"/>
      <c r="B19935" s="9" t="n"/>
    </row>
    <row r="19936">
      <c r="A19936" s="8" t="n"/>
      <c r="B19936" s="9" t="n"/>
    </row>
    <row r="19937">
      <c r="A19937" s="8" t="n"/>
      <c r="B19937" s="9" t="n"/>
    </row>
    <row r="19938">
      <c r="A19938" s="8" t="n"/>
      <c r="B19938" s="9" t="n"/>
    </row>
    <row r="19939">
      <c r="A19939" s="8" t="n"/>
      <c r="B19939" s="9" t="n"/>
    </row>
    <row r="19940">
      <c r="A19940" s="8" t="n"/>
      <c r="B19940" s="9" t="n"/>
    </row>
    <row r="19941">
      <c r="A19941" s="8" t="n"/>
      <c r="B19941" s="9" t="n"/>
    </row>
    <row r="19942">
      <c r="A19942" s="8" t="n"/>
      <c r="B19942" s="9" t="n"/>
    </row>
    <row r="19943">
      <c r="A19943" s="8" t="n"/>
      <c r="B19943" s="9" t="n"/>
    </row>
    <row r="19944">
      <c r="A19944" s="8" t="n"/>
      <c r="B19944" s="9" t="n"/>
    </row>
    <row r="19945">
      <c r="A19945" s="8" t="n"/>
      <c r="B19945" s="9" t="n"/>
    </row>
    <row r="19946">
      <c r="A19946" s="8" t="n"/>
      <c r="B19946" s="9" t="n"/>
    </row>
    <row r="19947">
      <c r="A19947" s="8" t="n"/>
      <c r="B19947" s="9" t="n"/>
    </row>
    <row r="19948">
      <c r="A19948" s="8" t="n"/>
      <c r="B19948" s="9" t="n"/>
    </row>
    <row r="19949">
      <c r="A19949" s="8" t="n"/>
      <c r="B19949" s="9" t="n"/>
    </row>
    <row r="19950">
      <c r="A19950" s="8" t="n"/>
      <c r="B19950" s="9" t="n"/>
    </row>
    <row r="19951">
      <c r="A19951" s="8" t="n"/>
      <c r="B19951" s="9" t="n"/>
    </row>
    <row r="19952">
      <c r="A19952" s="8" t="n"/>
      <c r="B19952" s="9" t="n"/>
    </row>
    <row r="19953">
      <c r="A19953" s="8" t="n"/>
      <c r="B19953" s="9" t="n"/>
    </row>
    <row r="19954">
      <c r="A19954" s="8" t="n"/>
      <c r="B19954" s="9" t="n"/>
    </row>
    <row r="19955">
      <c r="A19955" s="8" t="n"/>
      <c r="B19955" s="9" t="n"/>
    </row>
    <row r="19956">
      <c r="A19956" s="8" t="n"/>
      <c r="B19956" s="9" t="n"/>
    </row>
    <row r="19957">
      <c r="A19957" s="8" t="n"/>
      <c r="B19957" s="9" t="n"/>
    </row>
    <row r="19958">
      <c r="A19958" s="8" t="n"/>
      <c r="B19958" s="9" t="n"/>
    </row>
    <row r="19959">
      <c r="A19959" s="8" t="n"/>
      <c r="B19959" s="9" t="n"/>
    </row>
    <row r="19960">
      <c r="A19960" s="8" t="n"/>
      <c r="B19960" s="9" t="n"/>
    </row>
    <row r="19961">
      <c r="A19961" s="8" t="n"/>
      <c r="B19961" s="9" t="n"/>
    </row>
    <row r="19962">
      <c r="A19962" s="8" t="n"/>
      <c r="B19962" s="9" t="n"/>
    </row>
    <row r="19963">
      <c r="A19963" s="8" t="n"/>
      <c r="B19963" s="9" t="n"/>
    </row>
    <row r="19964">
      <c r="A19964" s="8" t="n"/>
      <c r="B19964" s="9" t="n"/>
    </row>
    <row r="19965">
      <c r="A19965" s="8" t="n"/>
      <c r="B19965" s="9" t="n"/>
    </row>
    <row r="19966">
      <c r="A19966" s="8" t="n"/>
      <c r="B19966" s="9" t="n"/>
    </row>
    <row r="19967">
      <c r="A19967" s="8" t="n"/>
      <c r="B19967" s="9" t="n"/>
    </row>
    <row r="19968">
      <c r="A19968" s="8" t="n"/>
      <c r="B19968" s="9" t="n"/>
    </row>
    <row r="19969">
      <c r="A19969" s="8" t="n"/>
      <c r="B19969" s="9" t="n"/>
    </row>
    <row r="19970">
      <c r="A19970" s="8" t="n"/>
      <c r="B19970" s="9" t="n"/>
    </row>
    <row r="19971">
      <c r="A19971" s="8" t="n"/>
      <c r="B19971" s="9" t="n"/>
    </row>
    <row r="19972">
      <c r="A19972" s="8" t="n"/>
      <c r="B19972" s="9" t="n"/>
    </row>
    <row r="19973">
      <c r="A19973" s="8" t="n"/>
      <c r="B19973" s="9" t="n"/>
    </row>
    <row r="19974">
      <c r="A19974" s="8" t="n"/>
      <c r="B19974" s="9" t="n"/>
    </row>
    <row r="19975">
      <c r="A19975" s="8" t="n"/>
      <c r="B19975" s="9" t="n"/>
    </row>
    <row r="19976">
      <c r="A19976" s="8" t="n"/>
      <c r="B19976" s="9" t="n"/>
    </row>
    <row r="19977">
      <c r="A19977" s="8" t="n"/>
      <c r="B19977" s="9" t="n"/>
    </row>
    <row r="19978">
      <c r="A19978" s="8" t="n"/>
      <c r="B19978" s="9" t="n"/>
    </row>
    <row r="19979">
      <c r="A19979" s="8" t="n"/>
      <c r="B19979" s="9" t="n"/>
    </row>
    <row r="19980">
      <c r="A19980" s="8" t="n"/>
      <c r="B19980" s="9" t="n"/>
    </row>
    <row r="19981">
      <c r="A19981" s="8" t="n"/>
      <c r="B19981" s="9" t="n"/>
    </row>
    <row r="19982">
      <c r="A19982" s="8" t="n"/>
      <c r="B19982" s="9" t="n"/>
    </row>
    <row r="19983">
      <c r="A19983" s="8" t="n"/>
      <c r="B19983" s="9" t="n"/>
    </row>
    <row r="19984">
      <c r="A19984" s="8" t="n"/>
      <c r="B19984" s="9" t="n"/>
    </row>
    <row r="19985">
      <c r="A19985" s="8" t="n"/>
      <c r="B19985" s="9" t="n"/>
    </row>
    <row r="19986">
      <c r="A19986" s="8" t="n"/>
      <c r="B19986" s="9" t="n"/>
    </row>
    <row r="19987">
      <c r="A19987" s="8" t="n"/>
      <c r="B19987" s="9" t="n"/>
    </row>
    <row r="19988">
      <c r="A19988" s="8" t="n"/>
      <c r="B19988" s="9" t="n"/>
    </row>
    <row r="19989">
      <c r="A19989" s="8" t="n"/>
      <c r="B19989" s="9" t="n"/>
    </row>
    <row r="19990">
      <c r="A19990" s="8" t="n"/>
      <c r="B19990" s="9" t="n"/>
    </row>
    <row r="19991">
      <c r="A19991" s="8" t="n"/>
      <c r="B19991" s="9" t="n"/>
    </row>
    <row r="19992">
      <c r="A19992" s="8" t="n"/>
      <c r="B19992" s="9" t="n"/>
    </row>
    <row r="19993">
      <c r="A19993" s="8" t="n"/>
      <c r="B19993" s="9" t="n"/>
    </row>
    <row r="19994">
      <c r="A19994" s="8" t="n"/>
      <c r="B19994" s="9" t="n"/>
    </row>
    <row r="19995">
      <c r="A19995" s="8" t="n"/>
      <c r="B19995" s="9" t="n"/>
    </row>
    <row r="19996">
      <c r="A19996" s="8" t="n"/>
      <c r="B19996" s="9" t="n"/>
    </row>
    <row r="19997">
      <c r="A19997" s="8" t="n"/>
      <c r="B19997" s="9" t="n"/>
    </row>
    <row r="19998">
      <c r="A19998" s="8" t="n"/>
      <c r="B19998" s="9" t="n"/>
    </row>
    <row r="19999">
      <c r="A19999" s="8" t="n"/>
      <c r="B19999" s="9" t="n"/>
    </row>
    <row r="20000">
      <c r="A20000" s="8" t="n"/>
      <c r="B20000" s="9" t="n"/>
    </row>
    <row r="20001">
      <c r="A20001" s="8" t="n"/>
      <c r="B20001" s="9" t="n"/>
    </row>
    <row r="20002">
      <c r="A20002" s="8" t="n"/>
      <c r="B20002" s="9" t="n"/>
    </row>
  </sheetData>
  <mergeCells count="3">
    <mergeCell ref="C2:F2"/>
    <mergeCell ref="C1:F1"/>
    <mergeCell ref="A1:B1"/>
  </mergeCells>
  <conditionalFormatting sqref="B3:B20002">
    <cfRule type="cellIs" priority="1" operator="lessThan" dxfId="0">
      <formula>70</formula>
    </cfRule>
    <cfRule type="cellIs" priority="2" operator="greaterThan" dxfId="1">
      <formula>180</formula>
    </cfRule>
    <cfRule type="expression" priority="3" dxfId="2">
      <formula>AND(B3&gt;=70,B3&lt;=180)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46" customWidth="1" min="4" max="4"/>
  </cols>
  <sheetData>
    <row r="1" ht="32" customHeight="1">
      <c r="A1" s="10" t="inlineStr">
        <is>
          <t>LingoCGM — CGM Summary Report</t>
        </is>
      </c>
    </row>
    <row r="2" ht="18" customHeight="1">
      <c r="A2" s="11" t="inlineStr">
        <is>
          <t>Edit the subject name here →</t>
        </is>
      </c>
    </row>
    <row r="4" ht="22" customHeight="1">
      <c r="A4" s="12" t="inlineStr">
        <is>
          <t>OVERVIEW</t>
        </is>
      </c>
      <c r="B4" s="6" t="n"/>
      <c r="C4" s="6" t="n"/>
      <c r="D4" s="7" t="n"/>
    </row>
    <row r="5" ht="20" customHeight="1">
      <c r="A5" s="13" t="inlineStr">
        <is>
          <t>Subject / File</t>
        </is>
      </c>
      <c r="B5" s="14" t="inlineStr">
        <is>
          <t>← enter name in cell B2</t>
        </is>
      </c>
      <c r="C5" s="15" t="inlineStr"/>
      <c r="D5" s="16" t="inlineStr">
        <is>
          <t>Edit B2 above</t>
        </is>
      </c>
    </row>
    <row r="6" ht="20" customHeight="1">
      <c r="A6" s="13" t="inlineStr">
        <is>
          <t>Total Readings</t>
        </is>
      </c>
      <c r="B6" s="17">
        <f>COUNT(_Calc!$B$3:$B$20002)</f>
        <v/>
      </c>
      <c r="C6" s="15" t="inlineStr">
        <is>
          <t>readings</t>
        </is>
      </c>
      <c r="D6" s="16" t="inlineStr"/>
    </row>
    <row r="7" ht="20" customHeight="1">
      <c r="A7" s="13" t="inlineStr">
        <is>
          <t>Days of Data</t>
        </is>
      </c>
      <c r="B7" s="18">
        <f>IFERROR(SUMPRODUCT((1/COUNTIFS(_Calc!$C$3:$C$20002,_Calc!$C$3:$C$20002,_Calc!$B$3:$B$20002,"&lt;&gt;"))*(_Calc!$B$3:$B$20002&lt;&gt;""),""),"—")</f>
        <v/>
      </c>
      <c r="C7" s="15" t="inlineStr">
        <is>
          <t>days</t>
        </is>
      </c>
      <c r="D7" s="16" t="inlineStr">
        <is>
          <t>Unique calendar days with ≥1 valid reading</t>
        </is>
      </c>
    </row>
    <row r="8" ht="20" customHeight="1">
      <c r="A8" s="13" t="inlineStr">
        <is>
          <t>Date Range (start)</t>
        </is>
      </c>
      <c r="B8" s="19">
        <f>IFERROR(TEXT(MIN(_Calc!$C$3:$C$20002),"YYYY-MM-DD"),"—")</f>
        <v/>
      </c>
      <c r="C8" s="15" t="inlineStr"/>
      <c r="D8" s="16" t="inlineStr">
        <is>
          <t>Earliest date in dataset</t>
        </is>
      </c>
    </row>
    <row r="9" ht="20" customHeight="1">
      <c r="A9" s="13" t="inlineStr">
        <is>
          <t>Date Range (end)</t>
        </is>
      </c>
      <c r="B9" s="19">
        <f>IFERROR(TEXT(MAX(_Calc!$C$3:$C$20002),"YYYY-MM-DD"),"—")</f>
        <v/>
      </c>
      <c r="C9" s="15" t="inlineStr"/>
      <c r="D9" s="16" t="inlineStr">
        <is>
          <t>Latest date in dataset</t>
        </is>
      </c>
    </row>
    <row r="10">
      <c r="A10" s="20" t="n"/>
      <c r="B10" s="20" t="n"/>
      <c r="C10" s="20" t="n"/>
      <c r="D10" s="20" t="n"/>
    </row>
    <row r="11" ht="22" customHeight="1">
      <c r="A11" s="12" t="inlineStr">
        <is>
          <t>BASIC STATISTICS</t>
        </is>
      </c>
      <c r="B11" s="6" t="n"/>
      <c r="C11" s="6" t="n"/>
      <c r="D11" s="7" t="n"/>
    </row>
    <row r="12" ht="20" customHeight="1">
      <c r="A12" s="13" t="inlineStr">
        <is>
          <t>Average Glucose</t>
        </is>
      </c>
      <c r="B12" s="21">
        <f>IFERROR(AVERAGE(_Calc!$B$3:$B$20002),"—")</f>
        <v/>
      </c>
      <c r="C12" s="15" t="inlineStr">
        <is>
          <t>mg/dL</t>
        </is>
      </c>
      <c r="D12" s="16" t="inlineStr">
        <is>
          <t>Mean of all valid readings</t>
        </is>
      </c>
    </row>
    <row r="13" ht="20" customHeight="1">
      <c r="A13" s="13" t="inlineStr">
        <is>
          <t>Minimum Glucose</t>
        </is>
      </c>
      <c r="B13" s="14">
        <f>IFERROR(MIN(_Calc!$B$3:$B$20002),"—")</f>
        <v/>
      </c>
      <c r="C13" s="15" t="inlineStr">
        <is>
          <t>mg/dL</t>
        </is>
      </c>
      <c r="D13" s="16" t="inlineStr">
        <is>
          <t>Lowest single reading</t>
        </is>
      </c>
    </row>
    <row r="14" ht="20" customHeight="1">
      <c r="A14" s="13" t="inlineStr">
        <is>
          <t>Maximum Glucose</t>
        </is>
      </c>
      <c r="B14" s="14">
        <f>IFERROR(MAX(_Calc!$B$3:$B$20002),"—")</f>
        <v/>
      </c>
      <c r="C14" s="15" t="inlineStr">
        <is>
          <t>mg/dL</t>
        </is>
      </c>
      <c r="D14" s="16" t="inlineStr">
        <is>
          <t>Highest single reading</t>
        </is>
      </c>
    </row>
    <row r="15" ht="20" customHeight="1">
      <c r="A15" s="13" t="inlineStr">
        <is>
          <t>Hypo Events (&lt;70 mg/dL)</t>
        </is>
      </c>
      <c r="B15" s="22">
        <f>IFERROR(COUNTIF(_Calc!$B$3:$B$20002,"&lt;70"),"—")</f>
        <v/>
      </c>
      <c r="C15" s="15" t="inlineStr">
        <is>
          <t>readings</t>
        </is>
      </c>
      <c r="D15" s="16" t="inlineStr">
        <is>
          <t>Total readings below 70 mg/dL (ADA hypoglycaemia threshold)</t>
        </is>
      </c>
    </row>
    <row r="16">
      <c r="A16" s="20" t="n"/>
      <c r="B16" s="20" t="n"/>
      <c r="C16" s="20" t="n"/>
      <c r="D16" s="20" t="n"/>
    </row>
    <row r="17" ht="22" customHeight="1">
      <c r="A17" s="12" t="inlineStr">
        <is>
          <t>GLYCEMIC VARIABILITY</t>
        </is>
      </c>
      <c r="B17" s="6" t="n"/>
      <c r="C17" s="6" t="n"/>
      <c r="D17" s="7" t="n"/>
    </row>
    <row r="18" ht="20" customHeight="1">
      <c r="A18" s="13" t="inlineStr">
        <is>
          <t>Standard Deviation (SD)</t>
        </is>
      </c>
      <c r="B18" s="14">
        <f>IFERROR(STDEV.P(_Calc!$B$3:$B$20002),"—")</f>
        <v/>
      </c>
      <c r="C18" s="15" t="inlineStr">
        <is>
          <t>mg/dL</t>
        </is>
      </c>
      <c r="D18" s="16" t="inlineStr">
        <is>
          <t>Population SD — how spread glucose values are</t>
        </is>
      </c>
    </row>
    <row r="19" ht="20" customHeight="1">
      <c r="A19" s="13" t="inlineStr">
        <is>
          <t>Coefficient of Variation (CV)</t>
        </is>
      </c>
      <c r="B19" s="14">
        <f>IFERROR(STDEV.P(_Calc!$B$3:$B$20002)/AVERAGE(_Calc!$B$3:$B$20002)*100,"—")</f>
        <v/>
      </c>
      <c r="C19" s="15" t="inlineStr">
        <is>
          <t>%</t>
        </is>
      </c>
      <c r="D19" s="16" t="inlineStr">
        <is>
          <t>CV = SD ÷ Mean × 100.  Target: &lt;36% (stable).  36–50%: moderate.  &gt;50%: high variability</t>
        </is>
      </c>
    </row>
    <row r="20" ht="20" customHeight="1">
      <c r="A20" s="13" t="inlineStr">
        <is>
          <t>MAGE</t>
        </is>
      </c>
      <c r="B20" s="19" t="inlineStr">
        <is>
          <t>— (see note)</t>
        </is>
      </c>
      <c r="C20" s="15" t="inlineStr"/>
      <c r="D20" s="16" t="inlineStr">
        <is>
          <t>Mean Amplitude of Glycemic Excursions cannot be calculated with Excel formulas. Use the Python script (cgm_to_xls.py) to obtain MAGE.</t>
        </is>
      </c>
    </row>
    <row r="21">
      <c r="A21" s="20" t="n"/>
      <c r="B21" s="20" t="n"/>
      <c r="C21" s="20" t="n"/>
      <c r="D21" s="20" t="n"/>
    </row>
    <row r="22" ht="22" customHeight="1">
      <c r="A22" s="12" t="inlineStr">
        <is>
          <t>ESTIMATED HbA1c</t>
        </is>
      </c>
      <c r="B22" s="6" t="n"/>
      <c r="C22" s="6" t="n"/>
      <c r="D22" s="7" t="n"/>
    </row>
    <row r="23" ht="20" customHeight="1">
      <c r="A23" s="13" t="inlineStr">
        <is>
          <t>GMI — Glucose Management Indicator</t>
        </is>
      </c>
      <c r="B23" s="23">
        <f>IFERROR(3.31+0.02392*AVERAGE(_Calc!$B$3:$B$20002),"—")</f>
        <v/>
      </c>
      <c r="C23" s="15" t="inlineStr">
        <is>
          <t>%</t>
        </is>
      </c>
      <c r="D23" s="16" t="inlineStr">
        <is>
          <t>ADA/EASD formula: 3.31 + 0.02392 × mean glucose (mg/dL).  ≥7.0%: Diabetic  5.7–6.9%: Pre-diabetic  &lt;5.7%: Normal</t>
        </is>
      </c>
    </row>
    <row r="24" ht="20" customHeight="1">
      <c r="A24" s="13" t="inlineStr">
        <is>
          <t>eA1c (legacy)</t>
        </is>
      </c>
      <c r="B24" s="14">
        <f>IFERROR((AVERAGE(_Calc!$B$3:$B$20002)+46.7)/28.7,"—")</f>
        <v/>
      </c>
      <c r="C24" s="15" t="inlineStr">
        <is>
          <t>%</t>
        </is>
      </c>
      <c r="D24" s="16" t="inlineStr">
        <is>
          <t>Legacy estimate: (avg + 46.7) / 28.7.  GMI is preferred for CGM data.</t>
        </is>
      </c>
    </row>
    <row r="25">
      <c r="A25" s="20" t="n"/>
      <c r="B25" s="20" t="n"/>
      <c r="C25" s="20" t="n"/>
      <c r="D25" s="20" t="n"/>
    </row>
    <row r="26" ht="22" customHeight="1">
      <c r="A26" s="12" t="inlineStr">
        <is>
          <t>5-TIER TIME IN RANGE  (ADA/EASD Consensus Targets — T2D)</t>
        </is>
      </c>
      <c r="B26" s="6" t="n"/>
      <c r="C26" s="6" t="n"/>
      <c r="D26" s="7" t="n"/>
    </row>
    <row r="27" ht="20" customHeight="1">
      <c r="A27" s="24" t="inlineStr">
        <is>
          <t>TBR Level 2  (&lt;54 mg/dL)</t>
        </is>
      </c>
      <c r="B27" s="25">
        <f>IFERROR(COUNTIF(_Calc!$B$3:$B$20002,"&lt;54")/COUNT(_Calc!$B$3:$B$20002)*100,0)</f>
        <v/>
      </c>
      <c r="C27" s="15" t="inlineStr">
        <is>
          <t>%</t>
        </is>
      </c>
      <c r="D27" s="26" t="inlineStr">
        <is>
          <t>Target &lt;1%</t>
        </is>
      </c>
    </row>
    <row r="28" ht="20" customHeight="1">
      <c r="A28" s="24" t="inlineStr">
        <is>
          <t>TBR Level 1  (54–69 mg/dL)</t>
        </is>
      </c>
      <c r="B28" s="27">
        <f>IFERROR(COUNTIFS(_Calc!$B$3:$B$20002,"&gt;="&amp;54,_Calc!$B$3:$B$20002,"&lt;"&amp;70)/COUNT(_Calc!$B$3:$B$20002)*100,0)</f>
        <v/>
      </c>
      <c r="C28" s="15" t="inlineStr">
        <is>
          <t>%</t>
        </is>
      </c>
      <c r="D28" s="26" t="inlineStr">
        <is>
          <t>Target &lt;4%</t>
        </is>
      </c>
    </row>
    <row r="29" ht="20" customHeight="1">
      <c r="A29" s="24" t="inlineStr">
        <is>
          <t>TIR  (70–180 mg/dL)</t>
        </is>
      </c>
      <c r="B29" s="28">
        <f>IFERROR(COUNTIFS(_Calc!$B$3:$B$20002,"&gt;="&amp;70,_Calc!$B$3:$B$20002,"&lt;="&amp;180)/COUNT(_Calc!$B$3:$B$20002)*100,0)</f>
        <v/>
      </c>
      <c r="C29" s="15" t="inlineStr">
        <is>
          <t>%</t>
        </is>
      </c>
      <c r="D29" s="26" t="inlineStr">
        <is>
          <t>Target &gt;70%</t>
        </is>
      </c>
    </row>
    <row r="30" ht="20" customHeight="1">
      <c r="A30" s="24" t="inlineStr">
        <is>
          <t>TAR Level 1  (181–250 mg/dL)</t>
        </is>
      </c>
      <c r="B30" s="29">
        <f>IFERROR(COUNTIFS(_Calc!$B$3:$B$20002,"&gt;"&amp;180,_Calc!$B$3:$B$20002,"&lt;="&amp;250)/COUNT(_Calc!$B$3:$B$20002)*100,0)</f>
        <v/>
      </c>
      <c r="C30" s="15" t="inlineStr">
        <is>
          <t>%</t>
        </is>
      </c>
      <c r="D30" s="26" t="inlineStr">
        <is>
          <t>Target &lt;25%</t>
        </is>
      </c>
    </row>
    <row r="31" ht="20" customHeight="1">
      <c r="A31" s="24" t="inlineStr">
        <is>
          <t>TAR Level 2  (&gt;250 mg/dL)</t>
        </is>
      </c>
      <c r="B31" s="30">
        <f>IFERROR(COUNTIF(_Calc!$B$3:$B$20002,"&gt;250")/COUNT(_Calc!$B$3:$B$20002)*100,0)</f>
        <v/>
      </c>
      <c r="C31" s="15" t="inlineStr">
        <is>
          <t>%</t>
        </is>
      </c>
      <c r="D31" s="26" t="inlineStr">
        <is>
          <t>Target &lt;5%</t>
        </is>
      </c>
    </row>
    <row r="32">
      <c r="A32" s="20" t="n"/>
      <c r="B32" s="20" t="n"/>
      <c r="C32" s="20" t="n"/>
      <c r="D32" s="20" t="n"/>
    </row>
    <row r="33" ht="22" customHeight="1">
      <c r="A33" s="12" t="inlineStr">
        <is>
          <t>TIME-OF-DAY AVERAGES</t>
        </is>
      </c>
      <c r="B33" s="6" t="n"/>
      <c r="C33" s="6" t="n"/>
      <c r="D33" s="7" t="n"/>
    </row>
    <row r="34" ht="20" customHeight="1">
      <c r="A34" s="13" t="inlineStr">
        <is>
          <t>Fasting Average (6–10 AM)</t>
        </is>
      </c>
      <c r="B34" s="31">
        <f>IFERROR(AVERAGEIFS(_Calc!$B$3:$B$20002,_Calc!$D$3:$D$20002,"&gt;="&amp;6,_Calc!$D$3:$D$20002,"&lt;"&amp;10),"—")</f>
        <v/>
      </c>
      <c r="C34" s="15" t="inlineStr">
        <is>
          <t>mg/dL</t>
        </is>
      </c>
      <c r="D34" s="16" t="inlineStr">
        <is>
          <t>Readings between 06:00–09:59. Key metformin efficacy marker.</t>
        </is>
      </c>
    </row>
    <row r="35" ht="20" customHeight="1">
      <c r="A35" s="13" t="inlineStr">
        <is>
          <t>Nocturnal Average (0–4 AM)</t>
        </is>
      </c>
      <c r="B35" s="14">
        <f>IFERROR(AVERAGEIFS(_Calc!$B$3:$B$20002,_Calc!$D$3:$D$20002,"&gt;="&amp;0,_Calc!$D$3:$D$20002,"&lt;"&amp;4),"—")</f>
        <v/>
      </c>
      <c r="C35" s="15" t="inlineStr">
        <is>
          <t>mg/dL</t>
        </is>
      </c>
      <c r="D35" s="16" t="inlineStr">
        <is>
          <t>Readings between 00:00–03:59. Elevated values suggest hepatic insulin resistance.</t>
        </is>
      </c>
    </row>
    <row r="36">
      <c r="A36" s="20" t="n"/>
      <c r="B36" s="20" t="n"/>
      <c r="C36" s="20" t="n"/>
      <c r="D36" s="20" t="n"/>
    </row>
    <row r="37" ht="22" customHeight="1">
      <c r="A37" s="32" t="inlineStr">
        <is>
          <t>SIMPLIFIED TIR  (3-tier)</t>
        </is>
      </c>
      <c r="B37" s="6" t="n"/>
      <c r="C37" s="6" t="n"/>
      <c r="D37" s="7" t="n"/>
    </row>
    <row r="38" ht="20" customHeight="1">
      <c r="A38" s="13" t="inlineStr">
        <is>
          <t>TBR Total  (&lt;70 mg/dL)</t>
        </is>
      </c>
      <c r="B38" s="33">
        <f>IFERROR(COUNTIF(_Calc!$B$3:$B$20002,"&lt;70")/COUNT(_Calc!$B$3:$B$20002)*100,0)</f>
        <v/>
      </c>
      <c r="C38" s="15" t="inlineStr">
        <is>
          <t>%</t>
        </is>
      </c>
      <c r="D38" s="16" t="inlineStr">
        <is>
          <t>All readings below target range. ADA target &lt;4%.</t>
        </is>
      </c>
    </row>
    <row r="39" ht="20" customHeight="1">
      <c r="A39" s="13" t="inlineStr">
        <is>
          <t>TIR  (70–180 mg/dL)</t>
        </is>
      </c>
      <c r="B39" s="34">
        <f>IFERROR(COUNTIFS(_Calc!$B$3:$B$20002,"&gt;="&amp;70,_Calc!$B$3:$B$20002,"&lt;="&amp;180)/COUNT(_Calc!$B$3:$B$20002)*100,0)</f>
        <v/>
      </c>
      <c r="C39" s="15" t="inlineStr">
        <is>
          <t>%</t>
        </is>
      </c>
      <c r="D39" s="16" t="inlineStr">
        <is>
          <t>Readings within target range. ADA target &gt;70%.</t>
        </is>
      </c>
    </row>
    <row r="40" ht="20" customHeight="1">
      <c r="A40" s="13" t="inlineStr">
        <is>
          <t>TAR Total  (&gt;180 mg/dL)</t>
        </is>
      </c>
      <c r="B40" s="35">
        <f>IFERROR(COUNTIF(_Calc!$B$3:$B$20002,"&gt;180")/COUNT(_Calc!$B$3:$B$20002)*100,0)</f>
        <v/>
      </c>
      <c r="C40" s="15" t="inlineStr">
        <is>
          <t>%</t>
        </is>
      </c>
      <c r="D40" s="16" t="inlineStr">
        <is>
          <t>All readings above target range. ADA target &lt;25%.</t>
        </is>
      </c>
    </row>
  </sheetData>
  <mergeCells count="9">
    <mergeCell ref="A1:D1"/>
    <mergeCell ref="A17:D17"/>
    <mergeCell ref="A37:D37"/>
    <mergeCell ref="A22:D22"/>
    <mergeCell ref="A4:D4"/>
    <mergeCell ref="A26:D26"/>
    <mergeCell ref="A2:D2"/>
    <mergeCell ref="A11:D11"/>
    <mergeCell ref="A33:D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28" customHeight="1">
      <c r="A1" s="36" t="inlineStr">
        <is>
          <t>Daily Glucose Breakdown</t>
        </is>
      </c>
    </row>
    <row r="2" ht="16" customHeight="1">
      <c r="A2" s="37" t="inlineStr">
        <is>
          <t>Dates are auto-populated from your data (Excel 365 / 2021 required for UNIQUE/FILTER functions). Per-day metrics recalculate automatically.</t>
        </is>
      </c>
    </row>
    <row r="3" ht="22" customHeight="1">
      <c r="A3" s="38" t="inlineStr">
        <is>
          <t>Date</t>
        </is>
      </c>
      <c r="B3" s="38" t="inlineStr">
        <is>
          <t>Readings</t>
        </is>
      </c>
      <c r="C3" s="38" t="inlineStr">
        <is>
          <t>Avg Glucose</t>
        </is>
      </c>
      <c r="D3" s="38" t="inlineStr">
        <is>
          <t>TIR % (70–180)</t>
        </is>
      </c>
      <c r="E3" s="38" t="inlineStr">
        <is>
          <t>TBR % (&lt;70)</t>
        </is>
      </c>
      <c r="F3" s="38" t="inlineStr">
        <is>
          <t>TAR % (&gt;180)</t>
        </is>
      </c>
      <c r="G3" s="38" t="inlineStr">
        <is>
          <t>Status</t>
        </is>
      </c>
    </row>
    <row r="4">
      <c r="A4" s="39">
        <f>IFERROR(SORT(UNIQUE(FILTER(_Calc!$C$3:$C$20002,_Calc!$C$3:$C$20002&lt;&gt;""))),"No data — paste CGM data in the INPUT sheet")</f>
        <v/>
      </c>
      <c r="B4" s="40">
        <f>IFERROR(IF(A4="","",COUNTIFS(_Calc!$C$3:$C$20002,A4,_Calc!$B$3:$B$20002,"&lt;&gt;")),"")</f>
        <v/>
      </c>
      <c r="C4" s="41">
        <f>IFERROR(IF(A4="","",AVERAGEIFS(_Calc!$B$3:$B$20002,_Calc!$C$3:$C$20002,A4)),"")</f>
        <v/>
      </c>
      <c r="D4" s="42">
        <f>IFERROR(IF(A4="","",COUNTIFS(_Calc!$B$3:$B$20002,"&gt;="&amp;70,_Calc!$B$3:$B$20002,"&lt;="&amp;180,_Calc!$C$3:$C$20002,A4)/COUNTIFS(_Calc!$C$3:$C$20002,A4,_Calc!$B$3:$B$20002,"&lt;&gt;")*100),"")</f>
        <v/>
      </c>
      <c r="E4" s="42">
        <f>IFERROR(IF(A4="","",COUNTIFS(_Calc!$B$3:$B$20002,"&lt;70",_Calc!$C$3:$C$20002,A4)/COUNTIFS(_Calc!$C$3:$C$20002,A4,_Calc!$B$3:$B$20002,"&lt;&gt;")*100),"")</f>
        <v/>
      </c>
      <c r="F4" s="42">
        <f>IFERROR(IF(A4="","",COUNTIFS(_Calc!$B$3:$B$20002,"&gt;180",_Calc!$C$3:$C$20002,A4)/COUNTIFS(_Calc!$C$3:$C$20002,A4,_Calc!$B$3:$B$20002,"&lt;&gt;")*100),"")</f>
        <v/>
      </c>
      <c r="G4" s="43">
        <f>IFERROR(IF(A4="","",IF(D4&gt;=70,"✓ Good",IF(E4&gt;4,"Low glucose","High glucose"))),"")</f>
        <v/>
      </c>
    </row>
    <row r="5">
      <c r="B5" s="40">
        <f>IFERROR(IF(A5="","",COUNTIFS(_Calc!$C$3:$C$20002,A5,_Calc!$B$3:$B$20002,"&lt;&gt;")),"")</f>
        <v/>
      </c>
      <c r="C5" s="41">
        <f>IFERROR(IF(A5="","",AVERAGEIFS(_Calc!$B$3:$B$20002,_Calc!$C$3:$C$20002,A5)),"")</f>
        <v/>
      </c>
      <c r="D5" s="42">
        <f>IFERROR(IF(A5="","",COUNTIFS(_Calc!$B$3:$B$20002,"&gt;="&amp;70,_Calc!$B$3:$B$20002,"&lt;="&amp;180,_Calc!$C$3:$C$20002,A5)/COUNTIFS(_Calc!$C$3:$C$20002,A5,_Calc!$B$3:$B$20002,"&lt;&gt;")*100),"")</f>
        <v/>
      </c>
      <c r="E5" s="42">
        <f>IFERROR(IF(A5="","",COUNTIFS(_Calc!$B$3:$B$20002,"&lt;70",_Calc!$C$3:$C$20002,A5)/COUNTIFS(_Calc!$C$3:$C$20002,A5,_Calc!$B$3:$B$20002,"&lt;&gt;")*100),"")</f>
        <v/>
      </c>
      <c r="F5" s="42">
        <f>IFERROR(IF(A5="","",COUNTIFS(_Calc!$B$3:$B$20002,"&gt;180",_Calc!$C$3:$C$20002,A5)/COUNTIFS(_Calc!$C$3:$C$20002,A5,_Calc!$B$3:$B$20002,"&lt;&gt;")*100),"")</f>
        <v/>
      </c>
      <c r="G5" s="43">
        <f>IFERROR(IF(A5="","",IF(D5&gt;=70,"✓ Good",IF(E5&gt;4,"Low glucose","High glucose"))),"")</f>
        <v/>
      </c>
    </row>
    <row r="6">
      <c r="B6" s="40">
        <f>IFERROR(IF(A6="","",COUNTIFS(_Calc!$C$3:$C$20002,A6,_Calc!$B$3:$B$20002,"&lt;&gt;")),"")</f>
        <v/>
      </c>
      <c r="C6" s="41">
        <f>IFERROR(IF(A6="","",AVERAGEIFS(_Calc!$B$3:$B$20002,_Calc!$C$3:$C$20002,A6)),"")</f>
        <v/>
      </c>
      <c r="D6" s="42">
        <f>IFERROR(IF(A6="","",COUNTIFS(_Calc!$B$3:$B$20002,"&gt;="&amp;70,_Calc!$B$3:$B$20002,"&lt;="&amp;180,_Calc!$C$3:$C$20002,A6)/COUNTIFS(_Calc!$C$3:$C$20002,A6,_Calc!$B$3:$B$20002,"&lt;&gt;")*100),"")</f>
        <v/>
      </c>
      <c r="E6" s="42">
        <f>IFERROR(IF(A6="","",COUNTIFS(_Calc!$B$3:$B$20002,"&lt;70",_Calc!$C$3:$C$20002,A6)/COUNTIFS(_Calc!$C$3:$C$20002,A6,_Calc!$B$3:$B$20002,"&lt;&gt;")*100),"")</f>
        <v/>
      </c>
      <c r="F6" s="42">
        <f>IFERROR(IF(A6="","",COUNTIFS(_Calc!$B$3:$B$20002,"&gt;180",_Calc!$C$3:$C$20002,A6)/COUNTIFS(_Calc!$C$3:$C$20002,A6,_Calc!$B$3:$B$20002,"&lt;&gt;")*100),"")</f>
        <v/>
      </c>
      <c r="G6" s="43">
        <f>IFERROR(IF(A6="","",IF(D6&gt;=70,"✓ Good",IF(E6&gt;4,"Low glucose","High glucose"))),"")</f>
        <v/>
      </c>
    </row>
    <row r="7">
      <c r="B7" s="40">
        <f>IFERROR(IF(A7="","",COUNTIFS(_Calc!$C$3:$C$20002,A7,_Calc!$B$3:$B$20002,"&lt;&gt;")),"")</f>
        <v/>
      </c>
      <c r="C7" s="41">
        <f>IFERROR(IF(A7="","",AVERAGEIFS(_Calc!$B$3:$B$20002,_Calc!$C$3:$C$20002,A7)),"")</f>
        <v/>
      </c>
      <c r="D7" s="42">
        <f>IFERROR(IF(A7="","",COUNTIFS(_Calc!$B$3:$B$20002,"&gt;="&amp;70,_Calc!$B$3:$B$20002,"&lt;="&amp;180,_Calc!$C$3:$C$20002,A7)/COUNTIFS(_Calc!$C$3:$C$20002,A7,_Calc!$B$3:$B$20002,"&lt;&gt;")*100),"")</f>
        <v/>
      </c>
      <c r="E7" s="42">
        <f>IFERROR(IF(A7="","",COUNTIFS(_Calc!$B$3:$B$20002,"&lt;70",_Calc!$C$3:$C$20002,A7)/COUNTIFS(_Calc!$C$3:$C$20002,A7,_Calc!$B$3:$B$20002,"&lt;&gt;")*100),"")</f>
        <v/>
      </c>
      <c r="F7" s="42">
        <f>IFERROR(IF(A7="","",COUNTIFS(_Calc!$B$3:$B$20002,"&gt;180",_Calc!$C$3:$C$20002,A7)/COUNTIFS(_Calc!$C$3:$C$20002,A7,_Calc!$B$3:$B$20002,"&lt;&gt;")*100),"")</f>
        <v/>
      </c>
      <c r="G7" s="43">
        <f>IFERROR(IF(A7="","",IF(D7&gt;=70,"✓ Good",IF(E7&gt;4,"Low glucose","High glucose"))),"")</f>
        <v/>
      </c>
    </row>
    <row r="8">
      <c r="B8" s="40">
        <f>IFERROR(IF(A8="","",COUNTIFS(_Calc!$C$3:$C$20002,A8,_Calc!$B$3:$B$20002,"&lt;&gt;")),"")</f>
        <v/>
      </c>
      <c r="C8" s="41">
        <f>IFERROR(IF(A8="","",AVERAGEIFS(_Calc!$B$3:$B$20002,_Calc!$C$3:$C$20002,A8)),"")</f>
        <v/>
      </c>
      <c r="D8" s="42">
        <f>IFERROR(IF(A8="","",COUNTIFS(_Calc!$B$3:$B$20002,"&gt;="&amp;70,_Calc!$B$3:$B$20002,"&lt;="&amp;180,_Calc!$C$3:$C$20002,A8)/COUNTIFS(_Calc!$C$3:$C$20002,A8,_Calc!$B$3:$B$20002,"&lt;&gt;")*100),"")</f>
        <v/>
      </c>
      <c r="E8" s="42">
        <f>IFERROR(IF(A8="","",COUNTIFS(_Calc!$B$3:$B$20002,"&lt;70",_Calc!$C$3:$C$20002,A8)/COUNTIFS(_Calc!$C$3:$C$20002,A8,_Calc!$B$3:$B$20002,"&lt;&gt;")*100),"")</f>
        <v/>
      </c>
      <c r="F8" s="42">
        <f>IFERROR(IF(A8="","",COUNTIFS(_Calc!$B$3:$B$20002,"&gt;180",_Calc!$C$3:$C$20002,A8)/COUNTIFS(_Calc!$C$3:$C$20002,A8,_Calc!$B$3:$B$20002,"&lt;&gt;")*100),"")</f>
        <v/>
      </c>
      <c r="G8" s="43">
        <f>IFERROR(IF(A8="","",IF(D8&gt;=70,"✓ Good",IF(E8&gt;4,"Low glucose","High glucose"))),"")</f>
        <v/>
      </c>
    </row>
    <row r="9">
      <c r="B9" s="40">
        <f>IFERROR(IF(A9="","",COUNTIFS(_Calc!$C$3:$C$20002,A9,_Calc!$B$3:$B$20002,"&lt;&gt;")),"")</f>
        <v/>
      </c>
      <c r="C9" s="41">
        <f>IFERROR(IF(A9="","",AVERAGEIFS(_Calc!$B$3:$B$20002,_Calc!$C$3:$C$20002,A9)),"")</f>
        <v/>
      </c>
      <c r="D9" s="42">
        <f>IFERROR(IF(A9="","",COUNTIFS(_Calc!$B$3:$B$20002,"&gt;="&amp;70,_Calc!$B$3:$B$20002,"&lt;="&amp;180,_Calc!$C$3:$C$20002,A9)/COUNTIFS(_Calc!$C$3:$C$20002,A9,_Calc!$B$3:$B$20002,"&lt;&gt;")*100),"")</f>
        <v/>
      </c>
      <c r="E9" s="42">
        <f>IFERROR(IF(A9="","",COUNTIFS(_Calc!$B$3:$B$20002,"&lt;70",_Calc!$C$3:$C$20002,A9)/COUNTIFS(_Calc!$C$3:$C$20002,A9,_Calc!$B$3:$B$20002,"&lt;&gt;")*100),"")</f>
        <v/>
      </c>
      <c r="F9" s="42">
        <f>IFERROR(IF(A9="","",COUNTIFS(_Calc!$B$3:$B$20002,"&gt;180",_Calc!$C$3:$C$20002,A9)/COUNTIFS(_Calc!$C$3:$C$20002,A9,_Calc!$B$3:$B$20002,"&lt;&gt;")*100),"")</f>
        <v/>
      </c>
      <c r="G9" s="43">
        <f>IFERROR(IF(A9="","",IF(D9&gt;=70,"✓ Good",IF(E9&gt;4,"Low glucose","High glucose"))),"")</f>
        <v/>
      </c>
    </row>
    <row r="10">
      <c r="B10" s="40">
        <f>IFERROR(IF(A10="","",COUNTIFS(_Calc!$C$3:$C$20002,A10,_Calc!$B$3:$B$20002,"&lt;&gt;")),"")</f>
        <v/>
      </c>
      <c r="C10" s="41">
        <f>IFERROR(IF(A10="","",AVERAGEIFS(_Calc!$B$3:$B$20002,_Calc!$C$3:$C$20002,A10)),"")</f>
        <v/>
      </c>
      <c r="D10" s="42">
        <f>IFERROR(IF(A10="","",COUNTIFS(_Calc!$B$3:$B$20002,"&gt;="&amp;70,_Calc!$B$3:$B$20002,"&lt;="&amp;180,_Calc!$C$3:$C$20002,A10)/COUNTIFS(_Calc!$C$3:$C$20002,A10,_Calc!$B$3:$B$20002,"&lt;&gt;")*100),"")</f>
        <v/>
      </c>
      <c r="E10" s="42">
        <f>IFERROR(IF(A10="","",COUNTIFS(_Calc!$B$3:$B$20002,"&lt;70",_Calc!$C$3:$C$20002,A10)/COUNTIFS(_Calc!$C$3:$C$20002,A10,_Calc!$B$3:$B$20002,"&lt;&gt;")*100),"")</f>
        <v/>
      </c>
      <c r="F10" s="42">
        <f>IFERROR(IF(A10="","",COUNTIFS(_Calc!$B$3:$B$20002,"&gt;180",_Calc!$C$3:$C$20002,A10)/COUNTIFS(_Calc!$C$3:$C$20002,A10,_Calc!$B$3:$B$20002,"&lt;&gt;")*100),"")</f>
        <v/>
      </c>
      <c r="G10" s="43">
        <f>IFERROR(IF(A10="","",IF(D10&gt;=70,"✓ Good",IF(E10&gt;4,"Low glucose","High glucose"))),"")</f>
        <v/>
      </c>
    </row>
    <row r="11">
      <c r="B11" s="40">
        <f>IFERROR(IF(A11="","",COUNTIFS(_Calc!$C$3:$C$20002,A11,_Calc!$B$3:$B$20002,"&lt;&gt;")),"")</f>
        <v/>
      </c>
      <c r="C11" s="41">
        <f>IFERROR(IF(A11="","",AVERAGEIFS(_Calc!$B$3:$B$20002,_Calc!$C$3:$C$20002,A11)),"")</f>
        <v/>
      </c>
      <c r="D11" s="42">
        <f>IFERROR(IF(A11="","",COUNTIFS(_Calc!$B$3:$B$20002,"&gt;="&amp;70,_Calc!$B$3:$B$20002,"&lt;="&amp;180,_Calc!$C$3:$C$20002,A11)/COUNTIFS(_Calc!$C$3:$C$20002,A11,_Calc!$B$3:$B$20002,"&lt;&gt;")*100),"")</f>
        <v/>
      </c>
      <c r="E11" s="42">
        <f>IFERROR(IF(A11="","",COUNTIFS(_Calc!$B$3:$B$20002,"&lt;70",_Calc!$C$3:$C$20002,A11)/COUNTIFS(_Calc!$C$3:$C$20002,A11,_Calc!$B$3:$B$20002,"&lt;&gt;")*100),"")</f>
        <v/>
      </c>
      <c r="F11" s="42">
        <f>IFERROR(IF(A11="","",COUNTIFS(_Calc!$B$3:$B$20002,"&gt;180",_Calc!$C$3:$C$20002,A11)/COUNTIFS(_Calc!$C$3:$C$20002,A11,_Calc!$B$3:$B$20002,"&lt;&gt;")*100),"")</f>
        <v/>
      </c>
      <c r="G11" s="43">
        <f>IFERROR(IF(A11="","",IF(D11&gt;=70,"✓ Good",IF(E11&gt;4,"Low glucose","High glucose"))),"")</f>
        <v/>
      </c>
    </row>
    <row r="12">
      <c r="B12" s="40">
        <f>IFERROR(IF(A12="","",COUNTIFS(_Calc!$C$3:$C$20002,A12,_Calc!$B$3:$B$20002,"&lt;&gt;")),"")</f>
        <v/>
      </c>
      <c r="C12" s="41">
        <f>IFERROR(IF(A12="","",AVERAGEIFS(_Calc!$B$3:$B$20002,_Calc!$C$3:$C$20002,A12)),"")</f>
        <v/>
      </c>
      <c r="D12" s="42">
        <f>IFERROR(IF(A12="","",COUNTIFS(_Calc!$B$3:$B$20002,"&gt;="&amp;70,_Calc!$B$3:$B$20002,"&lt;="&amp;180,_Calc!$C$3:$C$20002,A12)/COUNTIFS(_Calc!$C$3:$C$20002,A12,_Calc!$B$3:$B$20002,"&lt;&gt;")*100),"")</f>
        <v/>
      </c>
      <c r="E12" s="42">
        <f>IFERROR(IF(A12="","",COUNTIFS(_Calc!$B$3:$B$20002,"&lt;70",_Calc!$C$3:$C$20002,A12)/COUNTIFS(_Calc!$C$3:$C$20002,A12,_Calc!$B$3:$B$20002,"&lt;&gt;")*100),"")</f>
        <v/>
      </c>
      <c r="F12" s="42">
        <f>IFERROR(IF(A12="","",COUNTIFS(_Calc!$B$3:$B$20002,"&gt;180",_Calc!$C$3:$C$20002,A12)/COUNTIFS(_Calc!$C$3:$C$20002,A12,_Calc!$B$3:$B$20002,"&lt;&gt;")*100),"")</f>
        <v/>
      </c>
      <c r="G12" s="43">
        <f>IFERROR(IF(A12="","",IF(D12&gt;=70,"✓ Good",IF(E12&gt;4,"Low glucose","High glucose"))),"")</f>
        <v/>
      </c>
    </row>
    <row r="13">
      <c r="B13" s="40">
        <f>IFERROR(IF(A13="","",COUNTIFS(_Calc!$C$3:$C$20002,A13,_Calc!$B$3:$B$20002,"&lt;&gt;")),"")</f>
        <v/>
      </c>
      <c r="C13" s="41">
        <f>IFERROR(IF(A13="","",AVERAGEIFS(_Calc!$B$3:$B$20002,_Calc!$C$3:$C$20002,A13)),"")</f>
        <v/>
      </c>
      <c r="D13" s="42">
        <f>IFERROR(IF(A13="","",COUNTIFS(_Calc!$B$3:$B$20002,"&gt;="&amp;70,_Calc!$B$3:$B$20002,"&lt;="&amp;180,_Calc!$C$3:$C$20002,A13)/COUNTIFS(_Calc!$C$3:$C$20002,A13,_Calc!$B$3:$B$20002,"&lt;&gt;")*100),"")</f>
        <v/>
      </c>
      <c r="E13" s="42">
        <f>IFERROR(IF(A13="","",COUNTIFS(_Calc!$B$3:$B$20002,"&lt;70",_Calc!$C$3:$C$20002,A13)/COUNTIFS(_Calc!$C$3:$C$20002,A13,_Calc!$B$3:$B$20002,"&lt;&gt;")*100),"")</f>
        <v/>
      </c>
      <c r="F13" s="42">
        <f>IFERROR(IF(A13="","",COUNTIFS(_Calc!$B$3:$B$20002,"&gt;180",_Calc!$C$3:$C$20002,A13)/COUNTIFS(_Calc!$C$3:$C$20002,A13,_Calc!$B$3:$B$20002,"&lt;&gt;")*100),"")</f>
        <v/>
      </c>
      <c r="G13" s="43">
        <f>IFERROR(IF(A13="","",IF(D13&gt;=70,"✓ Good",IF(E13&gt;4,"Low glucose","High glucose"))),"")</f>
        <v/>
      </c>
    </row>
    <row r="14">
      <c r="B14" s="40">
        <f>IFERROR(IF(A14="","",COUNTIFS(_Calc!$C$3:$C$20002,A14,_Calc!$B$3:$B$20002,"&lt;&gt;")),"")</f>
        <v/>
      </c>
      <c r="C14" s="41">
        <f>IFERROR(IF(A14="","",AVERAGEIFS(_Calc!$B$3:$B$20002,_Calc!$C$3:$C$20002,A14)),"")</f>
        <v/>
      </c>
      <c r="D14" s="42">
        <f>IFERROR(IF(A14="","",COUNTIFS(_Calc!$B$3:$B$20002,"&gt;="&amp;70,_Calc!$B$3:$B$20002,"&lt;="&amp;180,_Calc!$C$3:$C$20002,A14)/COUNTIFS(_Calc!$C$3:$C$20002,A14,_Calc!$B$3:$B$20002,"&lt;&gt;")*100),"")</f>
        <v/>
      </c>
      <c r="E14" s="42">
        <f>IFERROR(IF(A14="","",COUNTIFS(_Calc!$B$3:$B$20002,"&lt;70",_Calc!$C$3:$C$20002,A14)/COUNTIFS(_Calc!$C$3:$C$20002,A14,_Calc!$B$3:$B$20002,"&lt;&gt;")*100),"")</f>
        <v/>
      </c>
      <c r="F14" s="42">
        <f>IFERROR(IF(A14="","",COUNTIFS(_Calc!$B$3:$B$20002,"&gt;180",_Calc!$C$3:$C$20002,A14)/COUNTIFS(_Calc!$C$3:$C$20002,A14,_Calc!$B$3:$B$20002,"&lt;&gt;")*100),"")</f>
        <v/>
      </c>
      <c r="G14" s="43">
        <f>IFERROR(IF(A14="","",IF(D14&gt;=70,"✓ Good",IF(E14&gt;4,"Low glucose","High glucose"))),"")</f>
        <v/>
      </c>
    </row>
    <row r="15">
      <c r="B15" s="40">
        <f>IFERROR(IF(A15="","",COUNTIFS(_Calc!$C$3:$C$20002,A15,_Calc!$B$3:$B$20002,"&lt;&gt;")),"")</f>
        <v/>
      </c>
      <c r="C15" s="41">
        <f>IFERROR(IF(A15="","",AVERAGEIFS(_Calc!$B$3:$B$20002,_Calc!$C$3:$C$20002,A15)),"")</f>
        <v/>
      </c>
      <c r="D15" s="42">
        <f>IFERROR(IF(A15="","",COUNTIFS(_Calc!$B$3:$B$20002,"&gt;="&amp;70,_Calc!$B$3:$B$20002,"&lt;="&amp;180,_Calc!$C$3:$C$20002,A15)/COUNTIFS(_Calc!$C$3:$C$20002,A15,_Calc!$B$3:$B$20002,"&lt;&gt;")*100),"")</f>
        <v/>
      </c>
      <c r="E15" s="42">
        <f>IFERROR(IF(A15="","",COUNTIFS(_Calc!$B$3:$B$20002,"&lt;70",_Calc!$C$3:$C$20002,A15)/COUNTIFS(_Calc!$C$3:$C$20002,A15,_Calc!$B$3:$B$20002,"&lt;&gt;")*100),"")</f>
        <v/>
      </c>
      <c r="F15" s="42">
        <f>IFERROR(IF(A15="","",COUNTIFS(_Calc!$B$3:$B$20002,"&gt;180",_Calc!$C$3:$C$20002,A15)/COUNTIFS(_Calc!$C$3:$C$20002,A15,_Calc!$B$3:$B$20002,"&lt;&gt;")*100),"")</f>
        <v/>
      </c>
      <c r="G15" s="43">
        <f>IFERROR(IF(A15="","",IF(D15&gt;=70,"✓ Good",IF(E15&gt;4,"Low glucose","High glucose"))),"")</f>
        <v/>
      </c>
    </row>
    <row r="16">
      <c r="B16" s="40">
        <f>IFERROR(IF(A16="","",COUNTIFS(_Calc!$C$3:$C$20002,A16,_Calc!$B$3:$B$20002,"&lt;&gt;")),"")</f>
        <v/>
      </c>
      <c r="C16" s="41">
        <f>IFERROR(IF(A16="","",AVERAGEIFS(_Calc!$B$3:$B$20002,_Calc!$C$3:$C$20002,A16)),"")</f>
        <v/>
      </c>
      <c r="D16" s="42">
        <f>IFERROR(IF(A16="","",COUNTIFS(_Calc!$B$3:$B$20002,"&gt;="&amp;70,_Calc!$B$3:$B$20002,"&lt;="&amp;180,_Calc!$C$3:$C$20002,A16)/COUNTIFS(_Calc!$C$3:$C$20002,A16,_Calc!$B$3:$B$20002,"&lt;&gt;")*100),"")</f>
        <v/>
      </c>
      <c r="E16" s="42">
        <f>IFERROR(IF(A16="","",COUNTIFS(_Calc!$B$3:$B$20002,"&lt;70",_Calc!$C$3:$C$20002,A16)/COUNTIFS(_Calc!$C$3:$C$20002,A16,_Calc!$B$3:$B$20002,"&lt;&gt;")*100),"")</f>
        <v/>
      </c>
      <c r="F16" s="42">
        <f>IFERROR(IF(A16="","",COUNTIFS(_Calc!$B$3:$B$20002,"&gt;180",_Calc!$C$3:$C$20002,A16)/COUNTIFS(_Calc!$C$3:$C$20002,A16,_Calc!$B$3:$B$20002,"&lt;&gt;")*100),"")</f>
        <v/>
      </c>
      <c r="G16" s="43">
        <f>IFERROR(IF(A16="","",IF(D16&gt;=70,"✓ Good",IF(E16&gt;4,"Low glucose","High glucose"))),"")</f>
        <v/>
      </c>
    </row>
    <row r="17">
      <c r="B17" s="40">
        <f>IFERROR(IF(A17="","",COUNTIFS(_Calc!$C$3:$C$20002,A17,_Calc!$B$3:$B$20002,"&lt;&gt;")),"")</f>
        <v/>
      </c>
      <c r="C17" s="41">
        <f>IFERROR(IF(A17="","",AVERAGEIFS(_Calc!$B$3:$B$20002,_Calc!$C$3:$C$20002,A17)),"")</f>
        <v/>
      </c>
      <c r="D17" s="42">
        <f>IFERROR(IF(A17="","",COUNTIFS(_Calc!$B$3:$B$20002,"&gt;="&amp;70,_Calc!$B$3:$B$20002,"&lt;="&amp;180,_Calc!$C$3:$C$20002,A17)/COUNTIFS(_Calc!$C$3:$C$20002,A17,_Calc!$B$3:$B$20002,"&lt;&gt;")*100),"")</f>
        <v/>
      </c>
      <c r="E17" s="42">
        <f>IFERROR(IF(A17="","",COUNTIFS(_Calc!$B$3:$B$20002,"&lt;70",_Calc!$C$3:$C$20002,A17)/COUNTIFS(_Calc!$C$3:$C$20002,A17,_Calc!$B$3:$B$20002,"&lt;&gt;")*100),"")</f>
        <v/>
      </c>
      <c r="F17" s="42">
        <f>IFERROR(IF(A17="","",COUNTIFS(_Calc!$B$3:$B$20002,"&gt;180",_Calc!$C$3:$C$20002,A17)/COUNTIFS(_Calc!$C$3:$C$20002,A17,_Calc!$B$3:$B$20002,"&lt;&gt;")*100),"")</f>
        <v/>
      </c>
      <c r="G17" s="43">
        <f>IFERROR(IF(A17="","",IF(D17&gt;=70,"✓ Good",IF(E17&gt;4,"Low glucose","High glucose"))),"")</f>
        <v/>
      </c>
    </row>
    <row r="18">
      <c r="B18" s="40">
        <f>IFERROR(IF(A18="","",COUNTIFS(_Calc!$C$3:$C$20002,A18,_Calc!$B$3:$B$20002,"&lt;&gt;")),"")</f>
        <v/>
      </c>
      <c r="C18" s="41">
        <f>IFERROR(IF(A18="","",AVERAGEIFS(_Calc!$B$3:$B$20002,_Calc!$C$3:$C$20002,A18)),"")</f>
        <v/>
      </c>
      <c r="D18" s="42">
        <f>IFERROR(IF(A18="","",COUNTIFS(_Calc!$B$3:$B$20002,"&gt;="&amp;70,_Calc!$B$3:$B$20002,"&lt;="&amp;180,_Calc!$C$3:$C$20002,A18)/COUNTIFS(_Calc!$C$3:$C$20002,A18,_Calc!$B$3:$B$20002,"&lt;&gt;")*100),"")</f>
        <v/>
      </c>
      <c r="E18" s="42">
        <f>IFERROR(IF(A18="","",COUNTIFS(_Calc!$B$3:$B$20002,"&lt;70",_Calc!$C$3:$C$20002,A18)/COUNTIFS(_Calc!$C$3:$C$20002,A18,_Calc!$B$3:$B$20002,"&lt;&gt;")*100),"")</f>
        <v/>
      </c>
      <c r="F18" s="42">
        <f>IFERROR(IF(A18="","",COUNTIFS(_Calc!$B$3:$B$20002,"&gt;180",_Calc!$C$3:$C$20002,A18)/COUNTIFS(_Calc!$C$3:$C$20002,A18,_Calc!$B$3:$B$20002,"&lt;&gt;")*100),"")</f>
        <v/>
      </c>
      <c r="G18" s="43">
        <f>IFERROR(IF(A18="","",IF(D18&gt;=70,"✓ Good",IF(E18&gt;4,"Low glucose","High glucose"))),"")</f>
        <v/>
      </c>
    </row>
    <row r="19">
      <c r="B19" s="40">
        <f>IFERROR(IF(A19="","",COUNTIFS(_Calc!$C$3:$C$20002,A19,_Calc!$B$3:$B$20002,"&lt;&gt;")),"")</f>
        <v/>
      </c>
      <c r="C19" s="41">
        <f>IFERROR(IF(A19="","",AVERAGEIFS(_Calc!$B$3:$B$20002,_Calc!$C$3:$C$20002,A19)),"")</f>
        <v/>
      </c>
      <c r="D19" s="42">
        <f>IFERROR(IF(A19="","",COUNTIFS(_Calc!$B$3:$B$20002,"&gt;="&amp;70,_Calc!$B$3:$B$20002,"&lt;="&amp;180,_Calc!$C$3:$C$20002,A19)/COUNTIFS(_Calc!$C$3:$C$20002,A19,_Calc!$B$3:$B$20002,"&lt;&gt;")*100),"")</f>
        <v/>
      </c>
      <c r="E19" s="42">
        <f>IFERROR(IF(A19="","",COUNTIFS(_Calc!$B$3:$B$20002,"&lt;70",_Calc!$C$3:$C$20002,A19)/COUNTIFS(_Calc!$C$3:$C$20002,A19,_Calc!$B$3:$B$20002,"&lt;&gt;")*100),"")</f>
        <v/>
      </c>
      <c r="F19" s="42">
        <f>IFERROR(IF(A19="","",COUNTIFS(_Calc!$B$3:$B$20002,"&gt;180",_Calc!$C$3:$C$20002,A19)/COUNTIFS(_Calc!$C$3:$C$20002,A19,_Calc!$B$3:$B$20002,"&lt;&gt;")*100),"")</f>
        <v/>
      </c>
      <c r="G19" s="43">
        <f>IFERROR(IF(A19="","",IF(D19&gt;=70,"✓ Good",IF(E19&gt;4,"Low glucose","High glucose"))),"")</f>
        <v/>
      </c>
    </row>
    <row r="20">
      <c r="B20" s="40">
        <f>IFERROR(IF(A20="","",COUNTIFS(_Calc!$C$3:$C$20002,A20,_Calc!$B$3:$B$20002,"&lt;&gt;")),"")</f>
        <v/>
      </c>
      <c r="C20" s="41">
        <f>IFERROR(IF(A20="","",AVERAGEIFS(_Calc!$B$3:$B$20002,_Calc!$C$3:$C$20002,A20)),"")</f>
        <v/>
      </c>
      <c r="D20" s="42">
        <f>IFERROR(IF(A20="","",COUNTIFS(_Calc!$B$3:$B$20002,"&gt;="&amp;70,_Calc!$B$3:$B$20002,"&lt;="&amp;180,_Calc!$C$3:$C$20002,A20)/COUNTIFS(_Calc!$C$3:$C$20002,A20,_Calc!$B$3:$B$20002,"&lt;&gt;")*100),"")</f>
        <v/>
      </c>
      <c r="E20" s="42">
        <f>IFERROR(IF(A20="","",COUNTIFS(_Calc!$B$3:$B$20002,"&lt;70",_Calc!$C$3:$C$20002,A20)/COUNTIFS(_Calc!$C$3:$C$20002,A20,_Calc!$B$3:$B$20002,"&lt;&gt;")*100),"")</f>
        <v/>
      </c>
      <c r="F20" s="42">
        <f>IFERROR(IF(A20="","",COUNTIFS(_Calc!$B$3:$B$20002,"&gt;180",_Calc!$C$3:$C$20002,A20)/COUNTIFS(_Calc!$C$3:$C$20002,A20,_Calc!$B$3:$B$20002,"&lt;&gt;")*100),"")</f>
        <v/>
      </c>
      <c r="G20" s="43">
        <f>IFERROR(IF(A20="","",IF(D20&gt;=70,"✓ Good",IF(E20&gt;4,"Low glucose","High glucose"))),"")</f>
        <v/>
      </c>
    </row>
    <row r="21">
      <c r="B21" s="40">
        <f>IFERROR(IF(A21="","",COUNTIFS(_Calc!$C$3:$C$20002,A21,_Calc!$B$3:$B$20002,"&lt;&gt;")),"")</f>
        <v/>
      </c>
      <c r="C21" s="41">
        <f>IFERROR(IF(A21="","",AVERAGEIFS(_Calc!$B$3:$B$20002,_Calc!$C$3:$C$20002,A21)),"")</f>
        <v/>
      </c>
      <c r="D21" s="42">
        <f>IFERROR(IF(A21="","",COUNTIFS(_Calc!$B$3:$B$20002,"&gt;="&amp;70,_Calc!$B$3:$B$20002,"&lt;="&amp;180,_Calc!$C$3:$C$20002,A21)/COUNTIFS(_Calc!$C$3:$C$20002,A21,_Calc!$B$3:$B$20002,"&lt;&gt;")*100),"")</f>
        <v/>
      </c>
      <c r="E21" s="42">
        <f>IFERROR(IF(A21="","",COUNTIFS(_Calc!$B$3:$B$20002,"&lt;70",_Calc!$C$3:$C$20002,A21)/COUNTIFS(_Calc!$C$3:$C$20002,A21,_Calc!$B$3:$B$20002,"&lt;&gt;")*100),"")</f>
        <v/>
      </c>
      <c r="F21" s="42">
        <f>IFERROR(IF(A21="","",COUNTIFS(_Calc!$B$3:$B$20002,"&gt;180",_Calc!$C$3:$C$20002,A21)/COUNTIFS(_Calc!$C$3:$C$20002,A21,_Calc!$B$3:$B$20002,"&lt;&gt;")*100),"")</f>
        <v/>
      </c>
      <c r="G21" s="43">
        <f>IFERROR(IF(A21="","",IF(D21&gt;=70,"✓ Good",IF(E21&gt;4,"Low glucose","High glucose"))),"")</f>
        <v/>
      </c>
    </row>
    <row r="22">
      <c r="B22" s="40">
        <f>IFERROR(IF(A22="","",COUNTIFS(_Calc!$C$3:$C$20002,A22,_Calc!$B$3:$B$20002,"&lt;&gt;")),"")</f>
        <v/>
      </c>
      <c r="C22" s="41">
        <f>IFERROR(IF(A22="","",AVERAGEIFS(_Calc!$B$3:$B$20002,_Calc!$C$3:$C$20002,A22)),"")</f>
        <v/>
      </c>
      <c r="D22" s="42">
        <f>IFERROR(IF(A22="","",COUNTIFS(_Calc!$B$3:$B$20002,"&gt;="&amp;70,_Calc!$B$3:$B$20002,"&lt;="&amp;180,_Calc!$C$3:$C$20002,A22)/COUNTIFS(_Calc!$C$3:$C$20002,A22,_Calc!$B$3:$B$20002,"&lt;&gt;")*100),"")</f>
        <v/>
      </c>
      <c r="E22" s="42">
        <f>IFERROR(IF(A22="","",COUNTIFS(_Calc!$B$3:$B$20002,"&lt;70",_Calc!$C$3:$C$20002,A22)/COUNTIFS(_Calc!$C$3:$C$20002,A22,_Calc!$B$3:$B$20002,"&lt;&gt;")*100),"")</f>
        <v/>
      </c>
      <c r="F22" s="42">
        <f>IFERROR(IF(A22="","",COUNTIFS(_Calc!$B$3:$B$20002,"&gt;180",_Calc!$C$3:$C$20002,A22)/COUNTIFS(_Calc!$C$3:$C$20002,A22,_Calc!$B$3:$B$20002,"&lt;&gt;")*100),"")</f>
        <v/>
      </c>
      <c r="G22" s="43">
        <f>IFERROR(IF(A22="","",IF(D22&gt;=70,"✓ Good",IF(E22&gt;4,"Low glucose","High glucose"))),"")</f>
        <v/>
      </c>
    </row>
    <row r="23">
      <c r="B23" s="40">
        <f>IFERROR(IF(A23="","",COUNTIFS(_Calc!$C$3:$C$20002,A23,_Calc!$B$3:$B$20002,"&lt;&gt;")),"")</f>
        <v/>
      </c>
      <c r="C23" s="41">
        <f>IFERROR(IF(A23="","",AVERAGEIFS(_Calc!$B$3:$B$20002,_Calc!$C$3:$C$20002,A23)),"")</f>
        <v/>
      </c>
      <c r="D23" s="42">
        <f>IFERROR(IF(A23="","",COUNTIFS(_Calc!$B$3:$B$20002,"&gt;="&amp;70,_Calc!$B$3:$B$20002,"&lt;="&amp;180,_Calc!$C$3:$C$20002,A23)/COUNTIFS(_Calc!$C$3:$C$20002,A23,_Calc!$B$3:$B$20002,"&lt;&gt;")*100),"")</f>
        <v/>
      </c>
      <c r="E23" s="42">
        <f>IFERROR(IF(A23="","",COUNTIFS(_Calc!$B$3:$B$20002,"&lt;70",_Calc!$C$3:$C$20002,A23)/COUNTIFS(_Calc!$C$3:$C$20002,A23,_Calc!$B$3:$B$20002,"&lt;&gt;")*100),"")</f>
        <v/>
      </c>
      <c r="F23" s="42">
        <f>IFERROR(IF(A23="","",COUNTIFS(_Calc!$B$3:$B$20002,"&gt;180",_Calc!$C$3:$C$20002,A23)/COUNTIFS(_Calc!$C$3:$C$20002,A23,_Calc!$B$3:$B$20002,"&lt;&gt;")*100),"")</f>
        <v/>
      </c>
      <c r="G23" s="43">
        <f>IFERROR(IF(A23="","",IF(D23&gt;=70,"✓ Good",IF(E23&gt;4,"Low glucose","High glucose"))),"")</f>
        <v/>
      </c>
    </row>
    <row r="24">
      <c r="B24" s="40">
        <f>IFERROR(IF(A24="","",COUNTIFS(_Calc!$C$3:$C$20002,A24,_Calc!$B$3:$B$20002,"&lt;&gt;")),"")</f>
        <v/>
      </c>
      <c r="C24" s="41">
        <f>IFERROR(IF(A24="","",AVERAGEIFS(_Calc!$B$3:$B$20002,_Calc!$C$3:$C$20002,A24)),"")</f>
        <v/>
      </c>
      <c r="D24" s="42">
        <f>IFERROR(IF(A24="","",COUNTIFS(_Calc!$B$3:$B$20002,"&gt;="&amp;70,_Calc!$B$3:$B$20002,"&lt;="&amp;180,_Calc!$C$3:$C$20002,A24)/COUNTIFS(_Calc!$C$3:$C$20002,A24,_Calc!$B$3:$B$20002,"&lt;&gt;")*100),"")</f>
        <v/>
      </c>
      <c r="E24" s="42">
        <f>IFERROR(IF(A24="","",COUNTIFS(_Calc!$B$3:$B$20002,"&lt;70",_Calc!$C$3:$C$20002,A24)/COUNTIFS(_Calc!$C$3:$C$20002,A24,_Calc!$B$3:$B$20002,"&lt;&gt;")*100),"")</f>
        <v/>
      </c>
      <c r="F24" s="42">
        <f>IFERROR(IF(A24="","",COUNTIFS(_Calc!$B$3:$B$20002,"&gt;180",_Calc!$C$3:$C$20002,A24)/COUNTIFS(_Calc!$C$3:$C$20002,A24,_Calc!$B$3:$B$20002,"&lt;&gt;")*100),"")</f>
        <v/>
      </c>
      <c r="G24" s="43">
        <f>IFERROR(IF(A24="","",IF(D24&gt;=70,"✓ Good",IF(E24&gt;4,"Low glucose","High glucose"))),"")</f>
        <v/>
      </c>
    </row>
    <row r="25">
      <c r="B25" s="40">
        <f>IFERROR(IF(A25="","",COUNTIFS(_Calc!$C$3:$C$20002,A25,_Calc!$B$3:$B$20002,"&lt;&gt;")),"")</f>
        <v/>
      </c>
      <c r="C25" s="41">
        <f>IFERROR(IF(A25="","",AVERAGEIFS(_Calc!$B$3:$B$20002,_Calc!$C$3:$C$20002,A25)),"")</f>
        <v/>
      </c>
      <c r="D25" s="42">
        <f>IFERROR(IF(A25="","",COUNTIFS(_Calc!$B$3:$B$20002,"&gt;="&amp;70,_Calc!$B$3:$B$20002,"&lt;="&amp;180,_Calc!$C$3:$C$20002,A25)/COUNTIFS(_Calc!$C$3:$C$20002,A25,_Calc!$B$3:$B$20002,"&lt;&gt;")*100),"")</f>
        <v/>
      </c>
      <c r="E25" s="42">
        <f>IFERROR(IF(A25="","",COUNTIFS(_Calc!$B$3:$B$20002,"&lt;70",_Calc!$C$3:$C$20002,A25)/COUNTIFS(_Calc!$C$3:$C$20002,A25,_Calc!$B$3:$B$20002,"&lt;&gt;")*100),"")</f>
        <v/>
      </c>
      <c r="F25" s="42">
        <f>IFERROR(IF(A25="","",COUNTIFS(_Calc!$B$3:$B$20002,"&gt;180",_Calc!$C$3:$C$20002,A25)/COUNTIFS(_Calc!$C$3:$C$20002,A25,_Calc!$B$3:$B$20002,"&lt;&gt;")*100),"")</f>
        <v/>
      </c>
      <c r="G25" s="43">
        <f>IFERROR(IF(A25="","",IF(D25&gt;=70,"✓ Good",IF(E25&gt;4,"Low glucose","High glucose"))),"")</f>
        <v/>
      </c>
    </row>
    <row r="26">
      <c r="B26" s="40">
        <f>IFERROR(IF(A26="","",COUNTIFS(_Calc!$C$3:$C$20002,A26,_Calc!$B$3:$B$20002,"&lt;&gt;")),"")</f>
        <v/>
      </c>
      <c r="C26" s="41">
        <f>IFERROR(IF(A26="","",AVERAGEIFS(_Calc!$B$3:$B$20002,_Calc!$C$3:$C$20002,A26)),"")</f>
        <v/>
      </c>
      <c r="D26" s="42">
        <f>IFERROR(IF(A26="","",COUNTIFS(_Calc!$B$3:$B$20002,"&gt;="&amp;70,_Calc!$B$3:$B$20002,"&lt;="&amp;180,_Calc!$C$3:$C$20002,A26)/COUNTIFS(_Calc!$C$3:$C$20002,A26,_Calc!$B$3:$B$20002,"&lt;&gt;")*100),"")</f>
        <v/>
      </c>
      <c r="E26" s="42">
        <f>IFERROR(IF(A26="","",COUNTIFS(_Calc!$B$3:$B$20002,"&lt;70",_Calc!$C$3:$C$20002,A26)/COUNTIFS(_Calc!$C$3:$C$20002,A26,_Calc!$B$3:$B$20002,"&lt;&gt;")*100),"")</f>
        <v/>
      </c>
      <c r="F26" s="42">
        <f>IFERROR(IF(A26="","",COUNTIFS(_Calc!$B$3:$B$20002,"&gt;180",_Calc!$C$3:$C$20002,A26)/COUNTIFS(_Calc!$C$3:$C$20002,A26,_Calc!$B$3:$B$20002,"&lt;&gt;")*100),"")</f>
        <v/>
      </c>
      <c r="G26" s="43">
        <f>IFERROR(IF(A26="","",IF(D26&gt;=70,"✓ Good",IF(E26&gt;4,"Low glucose","High glucose"))),"")</f>
        <v/>
      </c>
    </row>
    <row r="27">
      <c r="B27" s="40">
        <f>IFERROR(IF(A27="","",COUNTIFS(_Calc!$C$3:$C$20002,A27,_Calc!$B$3:$B$20002,"&lt;&gt;")),"")</f>
        <v/>
      </c>
      <c r="C27" s="41">
        <f>IFERROR(IF(A27="","",AVERAGEIFS(_Calc!$B$3:$B$20002,_Calc!$C$3:$C$20002,A27)),"")</f>
        <v/>
      </c>
      <c r="D27" s="42">
        <f>IFERROR(IF(A27="","",COUNTIFS(_Calc!$B$3:$B$20002,"&gt;="&amp;70,_Calc!$B$3:$B$20002,"&lt;="&amp;180,_Calc!$C$3:$C$20002,A27)/COUNTIFS(_Calc!$C$3:$C$20002,A27,_Calc!$B$3:$B$20002,"&lt;&gt;")*100),"")</f>
        <v/>
      </c>
      <c r="E27" s="42">
        <f>IFERROR(IF(A27="","",COUNTIFS(_Calc!$B$3:$B$20002,"&lt;70",_Calc!$C$3:$C$20002,A27)/COUNTIFS(_Calc!$C$3:$C$20002,A27,_Calc!$B$3:$B$20002,"&lt;&gt;")*100),"")</f>
        <v/>
      </c>
      <c r="F27" s="42">
        <f>IFERROR(IF(A27="","",COUNTIFS(_Calc!$B$3:$B$20002,"&gt;180",_Calc!$C$3:$C$20002,A27)/COUNTIFS(_Calc!$C$3:$C$20002,A27,_Calc!$B$3:$B$20002,"&lt;&gt;")*100),"")</f>
        <v/>
      </c>
      <c r="G27" s="43">
        <f>IFERROR(IF(A27="","",IF(D27&gt;=70,"✓ Good",IF(E27&gt;4,"Low glucose","High glucose"))),"")</f>
        <v/>
      </c>
    </row>
    <row r="28">
      <c r="B28" s="40">
        <f>IFERROR(IF(A28="","",COUNTIFS(_Calc!$C$3:$C$20002,A28,_Calc!$B$3:$B$20002,"&lt;&gt;")),"")</f>
        <v/>
      </c>
      <c r="C28" s="41">
        <f>IFERROR(IF(A28="","",AVERAGEIFS(_Calc!$B$3:$B$20002,_Calc!$C$3:$C$20002,A28)),"")</f>
        <v/>
      </c>
      <c r="D28" s="42">
        <f>IFERROR(IF(A28="","",COUNTIFS(_Calc!$B$3:$B$20002,"&gt;="&amp;70,_Calc!$B$3:$B$20002,"&lt;="&amp;180,_Calc!$C$3:$C$20002,A28)/COUNTIFS(_Calc!$C$3:$C$20002,A28,_Calc!$B$3:$B$20002,"&lt;&gt;")*100),"")</f>
        <v/>
      </c>
      <c r="E28" s="42">
        <f>IFERROR(IF(A28="","",COUNTIFS(_Calc!$B$3:$B$20002,"&lt;70",_Calc!$C$3:$C$20002,A28)/COUNTIFS(_Calc!$C$3:$C$20002,A28,_Calc!$B$3:$B$20002,"&lt;&gt;")*100),"")</f>
        <v/>
      </c>
      <c r="F28" s="42">
        <f>IFERROR(IF(A28="","",COUNTIFS(_Calc!$B$3:$B$20002,"&gt;180",_Calc!$C$3:$C$20002,A28)/COUNTIFS(_Calc!$C$3:$C$20002,A28,_Calc!$B$3:$B$20002,"&lt;&gt;")*100),"")</f>
        <v/>
      </c>
      <c r="G28" s="43">
        <f>IFERROR(IF(A28="","",IF(D28&gt;=70,"✓ Good",IF(E28&gt;4,"Low glucose","High glucose"))),"")</f>
        <v/>
      </c>
    </row>
    <row r="29">
      <c r="B29" s="40">
        <f>IFERROR(IF(A29="","",COUNTIFS(_Calc!$C$3:$C$20002,A29,_Calc!$B$3:$B$20002,"&lt;&gt;")),"")</f>
        <v/>
      </c>
      <c r="C29" s="41">
        <f>IFERROR(IF(A29="","",AVERAGEIFS(_Calc!$B$3:$B$20002,_Calc!$C$3:$C$20002,A29)),"")</f>
        <v/>
      </c>
      <c r="D29" s="42">
        <f>IFERROR(IF(A29="","",COUNTIFS(_Calc!$B$3:$B$20002,"&gt;="&amp;70,_Calc!$B$3:$B$20002,"&lt;="&amp;180,_Calc!$C$3:$C$20002,A29)/COUNTIFS(_Calc!$C$3:$C$20002,A29,_Calc!$B$3:$B$20002,"&lt;&gt;")*100),"")</f>
        <v/>
      </c>
      <c r="E29" s="42">
        <f>IFERROR(IF(A29="","",COUNTIFS(_Calc!$B$3:$B$20002,"&lt;70",_Calc!$C$3:$C$20002,A29)/COUNTIFS(_Calc!$C$3:$C$20002,A29,_Calc!$B$3:$B$20002,"&lt;&gt;")*100),"")</f>
        <v/>
      </c>
      <c r="F29" s="42">
        <f>IFERROR(IF(A29="","",COUNTIFS(_Calc!$B$3:$B$20002,"&gt;180",_Calc!$C$3:$C$20002,A29)/COUNTIFS(_Calc!$C$3:$C$20002,A29,_Calc!$B$3:$B$20002,"&lt;&gt;")*100),"")</f>
        <v/>
      </c>
      <c r="G29" s="43">
        <f>IFERROR(IF(A29="","",IF(D29&gt;=70,"✓ Good",IF(E29&gt;4,"Low glucose","High glucose"))),"")</f>
        <v/>
      </c>
    </row>
    <row r="30">
      <c r="B30" s="40">
        <f>IFERROR(IF(A30="","",COUNTIFS(_Calc!$C$3:$C$20002,A30,_Calc!$B$3:$B$20002,"&lt;&gt;")),"")</f>
        <v/>
      </c>
      <c r="C30" s="41">
        <f>IFERROR(IF(A30="","",AVERAGEIFS(_Calc!$B$3:$B$20002,_Calc!$C$3:$C$20002,A30)),"")</f>
        <v/>
      </c>
      <c r="D30" s="42">
        <f>IFERROR(IF(A30="","",COUNTIFS(_Calc!$B$3:$B$20002,"&gt;="&amp;70,_Calc!$B$3:$B$20002,"&lt;="&amp;180,_Calc!$C$3:$C$20002,A30)/COUNTIFS(_Calc!$C$3:$C$20002,A30,_Calc!$B$3:$B$20002,"&lt;&gt;")*100),"")</f>
        <v/>
      </c>
      <c r="E30" s="42">
        <f>IFERROR(IF(A30="","",COUNTIFS(_Calc!$B$3:$B$20002,"&lt;70",_Calc!$C$3:$C$20002,A30)/COUNTIFS(_Calc!$C$3:$C$20002,A30,_Calc!$B$3:$B$20002,"&lt;&gt;")*100),"")</f>
        <v/>
      </c>
      <c r="F30" s="42">
        <f>IFERROR(IF(A30="","",COUNTIFS(_Calc!$B$3:$B$20002,"&gt;180",_Calc!$C$3:$C$20002,A30)/COUNTIFS(_Calc!$C$3:$C$20002,A30,_Calc!$B$3:$B$20002,"&lt;&gt;")*100),"")</f>
        <v/>
      </c>
      <c r="G30" s="43">
        <f>IFERROR(IF(A30="","",IF(D30&gt;=70,"✓ Good",IF(E30&gt;4,"Low glucose","High glucose"))),"")</f>
        <v/>
      </c>
    </row>
    <row r="31">
      <c r="B31" s="40">
        <f>IFERROR(IF(A31="","",COUNTIFS(_Calc!$C$3:$C$20002,A31,_Calc!$B$3:$B$20002,"&lt;&gt;")),"")</f>
        <v/>
      </c>
      <c r="C31" s="41">
        <f>IFERROR(IF(A31="","",AVERAGEIFS(_Calc!$B$3:$B$20002,_Calc!$C$3:$C$20002,A31)),"")</f>
        <v/>
      </c>
      <c r="D31" s="42">
        <f>IFERROR(IF(A31="","",COUNTIFS(_Calc!$B$3:$B$20002,"&gt;="&amp;70,_Calc!$B$3:$B$20002,"&lt;="&amp;180,_Calc!$C$3:$C$20002,A31)/COUNTIFS(_Calc!$C$3:$C$20002,A31,_Calc!$B$3:$B$20002,"&lt;&gt;")*100),"")</f>
        <v/>
      </c>
      <c r="E31" s="42">
        <f>IFERROR(IF(A31="","",COUNTIFS(_Calc!$B$3:$B$20002,"&lt;70",_Calc!$C$3:$C$20002,A31)/COUNTIFS(_Calc!$C$3:$C$20002,A31,_Calc!$B$3:$B$20002,"&lt;&gt;")*100),"")</f>
        <v/>
      </c>
      <c r="F31" s="42">
        <f>IFERROR(IF(A31="","",COUNTIFS(_Calc!$B$3:$B$20002,"&gt;180",_Calc!$C$3:$C$20002,A31)/COUNTIFS(_Calc!$C$3:$C$20002,A31,_Calc!$B$3:$B$20002,"&lt;&gt;")*100),"")</f>
        <v/>
      </c>
      <c r="G31" s="43">
        <f>IFERROR(IF(A31="","",IF(D31&gt;=70,"✓ Good",IF(E31&gt;4,"Low glucose","High glucose"))),"")</f>
        <v/>
      </c>
    </row>
    <row r="32">
      <c r="B32" s="40">
        <f>IFERROR(IF(A32="","",COUNTIFS(_Calc!$C$3:$C$20002,A32,_Calc!$B$3:$B$20002,"&lt;&gt;")),"")</f>
        <v/>
      </c>
      <c r="C32" s="41">
        <f>IFERROR(IF(A32="","",AVERAGEIFS(_Calc!$B$3:$B$20002,_Calc!$C$3:$C$20002,A32)),"")</f>
        <v/>
      </c>
      <c r="D32" s="42">
        <f>IFERROR(IF(A32="","",COUNTIFS(_Calc!$B$3:$B$20002,"&gt;="&amp;70,_Calc!$B$3:$B$20002,"&lt;="&amp;180,_Calc!$C$3:$C$20002,A32)/COUNTIFS(_Calc!$C$3:$C$20002,A32,_Calc!$B$3:$B$20002,"&lt;&gt;")*100),"")</f>
        <v/>
      </c>
      <c r="E32" s="42">
        <f>IFERROR(IF(A32="","",COUNTIFS(_Calc!$B$3:$B$20002,"&lt;70",_Calc!$C$3:$C$20002,A32)/COUNTIFS(_Calc!$C$3:$C$20002,A32,_Calc!$B$3:$B$20002,"&lt;&gt;")*100),"")</f>
        <v/>
      </c>
      <c r="F32" s="42">
        <f>IFERROR(IF(A32="","",COUNTIFS(_Calc!$B$3:$B$20002,"&gt;180",_Calc!$C$3:$C$20002,A32)/COUNTIFS(_Calc!$C$3:$C$20002,A32,_Calc!$B$3:$B$20002,"&lt;&gt;")*100),"")</f>
        <v/>
      </c>
      <c r="G32" s="43">
        <f>IFERROR(IF(A32="","",IF(D32&gt;=70,"✓ Good",IF(E32&gt;4,"Low glucose","High glucose"))),"")</f>
        <v/>
      </c>
    </row>
    <row r="33">
      <c r="B33" s="40">
        <f>IFERROR(IF(A33="","",COUNTIFS(_Calc!$C$3:$C$20002,A33,_Calc!$B$3:$B$20002,"&lt;&gt;")),"")</f>
        <v/>
      </c>
      <c r="C33" s="41">
        <f>IFERROR(IF(A33="","",AVERAGEIFS(_Calc!$B$3:$B$20002,_Calc!$C$3:$C$20002,A33)),"")</f>
        <v/>
      </c>
      <c r="D33" s="42">
        <f>IFERROR(IF(A33="","",COUNTIFS(_Calc!$B$3:$B$20002,"&gt;="&amp;70,_Calc!$B$3:$B$20002,"&lt;="&amp;180,_Calc!$C$3:$C$20002,A33)/COUNTIFS(_Calc!$C$3:$C$20002,A33,_Calc!$B$3:$B$20002,"&lt;&gt;")*100),"")</f>
        <v/>
      </c>
      <c r="E33" s="42">
        <f>IFERROR(IF(A33="","",COUNTIFS(_Calc!$B$3:$B$20002,"&lt;70",_Calc!$C$3:$C$20002,A33)/COUNTIFS(_Calc!$C$3:$C$20002,A33,_Calc!$B$3:$B$20002,"&lt;&gt;")*100),"")</f>
        <v/>
      </c>
      <c r="F33" s="42">
        <f>IFERROR(IF(A33="","",COUNTIFS(_Calc!$B$3:$B$20002,"&gt;180",_Calc!$C$3:$C$20002,A33)/COUNTIFS(_Calc!$C$3:$C$20002,A33,_Calc!$B$3:$B$20002,"&lt;&gt;")*100),"")</f>
        <v/>
      </c>
      <c r="G33" s="43">
        <f>IFERROR(IF(A33="","",IF(D33&gt;=70,"✓ Good",IF(E33&gt;4,"Low glucose","High glucose"))),"")</f>
        <v/>
      </c>
    </row>
    <row r="34">
      <c r="B34" s="40">
        <f>IFERROR(IF(A34="","",COUNTIFS(_Calc!$C$3:$C$20002,A34,_Calc!$B$3:$B$20002,"&lt;&gt;")),"")</f>
        <v/>
      </c>
      <c r="C34" s="41">
        <f>IFERROR(IF(A34="","",AVERAGEIFS(_Calc!$B$3:$B$20002,_Calc!$C$3:$C$20002,A34)),"")</f>
        <v/>
      </c>
      <c r="D34" s="42">
        <f>IFERROR(IF(A34="","",COUNTIFS(_Calc!$B$3:$B$20002,"&gt;="&amp;70,_Calc!$B$3:$B$20002,"&lt;="&amp;180,_Calc!$C$3:$C$20002,A34)/COUNTIFS(_Calc!$C$3:$C$20002,A34,_Calc!$B$3:$B$20002,"&lt;&gt;")*100),"")</f>
        <v/>
      </c>
      <c r="E34" s="42">
        <f>IFERROR(IF(A34="","",COUNTIFS(_Calc!$B$3:$B$20002,"&lt;70",_Calc!$C$3:$C$20002,A34)/COUNTIFS(_Calc!$C$3:$C$20002,A34,_Calc!$B$3:$B$20002,"&lt;&gt;")*100),"")</f>
        <v/>
      </c>
      <c r="F34" s="42">
        <f>IFERROR(IF(A34="","",COUNTIFS(_Calc!$B$3:$B$20002,"&gt;180",_Calc!$C$3:$C$20002,A34)/COUNTIFS(_Calc!$C$3:$C$20002,A34,_Calc!$B$3:$B$20002,"&lt;&gt;")*100),"")</f>
        <v/>
      </c>
      <c r="G34" s="43">
        <f>IFERROR(IF(A34="","",IF(D34&gt;=70,"✓ Good",IF(E34&gt;4,"Low glucose","High glucose"))),"")</f>
        <v/>
      </c>
    </row>
    <row r="35">
      <c r="B35" s="40">
        <f>IFERROR(IF(A35="","",COUNTIFS(_Calc!$C$3:$C$20002,A35,_Calc!$B$3:$B$20002,"&lt;&gt;")),"")</f>
        <v/>
      </c>
      <c r="C35" s="41">
        <f>IFERROR(IF(A35="","",AVERAGEIFS(_Calc!$B$3:$B$20002,_Calc!$C$3:$C$20002,A35)),"")</f>
        <v/>
      </c>
      <c r="D35" s="42">
        <f>IFERROR(IF(A35="","",COUNTIFS(_Calc!$B$3:$B$20002,"&gt;="&amp;70,_Calc!$B$3:$B$20002,"&lt;="&amp;180,_Calc!$C$3:$C$20002,A35)/COUNTIFS(_Calc!$C$3:$C$20002,A35,_Calc!$B$3:$B$20002,"&lt;&gt;")*100),"")</f>
        <v/>
      </c>
      <c r="E35" s="42">
        <f>IFERROR(IF(A35="","",COUNTIFS(_Calc!$B$3:$B$20002,"&lt;70",_Calc!$C$3:$C$20002,A35)/COUNTIFS(_Calc!$C$3:$C$20002,A35,_Calc!$B$3:$B$20002,"&lt;&gt;")*100),"")</f>
        <v/>
      </c>
      <c r="F35" s="42">
        <f>IFERROR(IF(A35="","",COUNTIFS(_Calc!$B$3:$B$20002,"&gt;180",_Calc!$C$3:$C$20002,A35)/COUNTIFS(_Calc!$C$3:$C$20002,A35,_Calc!$B$3:$B$20002,"&lt;&gt;")*100),"")</f>
        <v/>
      </c>
      <c r="G35" s="43">
        <f>IFERROR(IF(A35="","",IF(D35&gt;=70,"✓ Good",IF(E35&gt;4,"Low glucose","High glucose"))),"")</f>
        <v/>
      </c>
    </row>
    <row r="36">
      <c r="B36" s="40">
        <f>IFERROR(IF(A36="","",COUNTIFS(_Calc!$C$3:$C$20002,A36,_Calc!$B$3:$B$20002,"&lt;&gt;")),"")</f>
        <v/>
      </c>
      <c r="C36" s="41">
        <f>IFERROR(IF(A36="","",AVERAGEIFS(_Calc!$B$3:$B$20002,_Calc!$C$3:$C$20002,A36)),"")</f>
        <v/>
      </c>
      <c r="D36" s="42">
        <f>IFERROR(IF(A36="","",COUNTIFS(_Calc!$B$3:$B$20002,"&gt;="&amp;70,_Calc!$B$3:$B$20002,"&lt;="&amp;180,_Calc!$C$3:$C$20002,A36)/COUNTIFS(_Calc!$C$3:$C$20002,A36,_Calc!$B$3:$B$20002,"&lt;&gt;")*100),"")</f>
        <v/>
      </c>
      <c r="E36" s="42">
        <f>IFERROR(IF(A36="","",COUNTIFS(_Calc!$B$3:$B$20002,"&lt;70",_Calc!$C$3:$C$20002,A36)/COUNTIFS(_Calc!$C$3:$C$20002,A36,_Calc!$B$3:$B$20002,"&lt;&gt;")*100),"")</f>
        <v/>
      </c>
      <c r="F36" s="42">
        <f>IFERROR(IF(A36="","",COUNTIFS(_Calc!$B$3:$B$20002,"&gt;180",_Calc!$C$3:$C$20002,A36)/COUNTIFS(_Calc!$C$3:$C$20002,A36,_Calc!$B$3:$B$20002,"&lt;&gt;")*100),"")</f>
        <v/>
      </c>
      <c r="G36" s="43">
        <f>IFERROR(IF(A36="","",IF(D36&gt;=70,"✓ Good",IF(E36&gt;4,"Low glucose","High glucose"))),"")</f>
        <v/>
      </c>
    </row>
    <row r="37">
      <c r="B37" s="40">
        <f>IFERROR(IF(A37="","",COUNTIFS(_Calc!$C$3:$C$20002,A37,_Calc!$B$3:$B$20002,"&lt;&gt;")),"")</f>
        <v/>
      </c>
      <c r="C37" s="41">
        <f>IFERROR(IF(A37="","",AVERAGEIFS(_Calc!$B$3:$B$20002,_Calc!$C$3:$C$20002,A37)),"")</f>
        <v/>
      </c>
      <c r="D37" s="42">
        <f>IFERROR(IF(A37="","",COUNTIFS(_Calc!$B$3:$B$20002,"&gt;="&amp;70,_Calc!$B$3:$B$20002,"&lt;="&amp;180,_Calc!$C$3:$C$20002,A37)/COUNTIFS(_Calc!$C$3:$C$20002,A37,_Calc!$B$3:$B$20002,"&lt;&gt;")*100),"")</f>
        <v/>
      </c>
      <c r="E37" s="42">
        <f>IFERROR(IF(A37="","",COUNTIFS(_Calc!$B$3:$B$20002,"&lt;70",_Calc!$C$3:$C$20002,A37)/COUNTIFS(_Calc!$C$3:$C$20002,A37,_Calc!$B$3:$B$20002,"&lt;&gt;")*100),"")</f>
        <v/>
      </c>
      <c r="F37" s="42">
        <f>IFERROR(IF(A37="","",COUNTIFS(_Calc!$B$3:$B$20002,"&gt;180",_Calc!$C$3:$C$20002,A37)/COUNTIFS(_Calc!$C$3:$C$20002,A37,_Calc!$B$3:$B$20002,"&lt;&gt;")*100),"")</f>
        <v/>
      </c>
      <c r="G37" s="43">
        <f>IFERROR(IF(A37="","",IF(D37&gt;=70,"✓ Good",IF(E37&gt;4,"Low glucose","High glucose"))),"")</f>
        <v/>
      </c>
    </row>
    <row r="38">
      <c r="B38" s="40">
        <f>IFERROR(IF(A38="","",COUNTIFS(_Calc!$C$3:$C$20002,A38,_Calc!$B$3:$B$20002,"&lt;&gt;")),"")</f>
        <v/>
      </c>
      <c r="C38" s="41">
        <f>IFERROR(IF(A38="","",AVERAGEIFS(_Calc!$B$3:$B$20002,_Calc!$C$3:$C$20002,A38)),"")</f>
        <v/>
      </c>
      <c r="D38" s="42">
        <f>IFERROR(IF(A38="","",COUNTIFS(_Calc!$B$3:$B$20002,"&gt;="&amp;70,_Calc!$B$3:$B$20002,"&lt;="&amp;180,_Calc!$C$3:$C$20002,A38)/COUNTIFS(_Calc!$C$3:$C$20002,A38,_Calc!$B$3:$B$20002,"&lt;&gt;")*100),"")</f>
        <v/>
      </c>
      <c r="E38" s="42">
        <f>IFERROR(IF(A38="","",COUNTIFS(_Calc!$B$3:$B$20002,"&lt;70",_Calc!$C$3:$C$20002,A38)/COUNTIFS(_Calc!$C$3:$C$20002,A38,_Calc!$B$3:$B$20002,"&lt;&gt;")*100),"")</f>
        <v/>
      </c>
      <c r="F38" s="42">
        <f>IFERROR(IF(A38="","",COUNTIFS(_Calc!$B$3:$B$20002,"&gt;180",_Calc!$C$3:$C$20002,A38)/COUNTIFS(_Calc!$C$3:$C$20002,A38,_Calc!$B$3:$B$20002,"&lt;&gt;")*100),"")</f>
        <v/>
      </c>
      <c r="G38" s="43">
        <f>IFERROR(IF(A38="","",IF(D38&gt;=70,"✓ Good",IF(E38&gt;4,"Low glucose","High glucose"))),"")</f>
        <v/>
      </c>
    </row>
    <row r="39">
      <c r="B39" s="40">
        <f>IFERROR(IF(A39="","",COUNTIFS(_Calc!$C$3:$C$20002,A39,_Calc!$B$3:$B$20002,"&lt;&gt;")),"")</f>
        <v/>
      </c>
      <c r="C39" s="41">
        <f>IFERROR(IF(A39="","",AVERAGEIFS(_Calc!$B$3:$B$20002,_Calc!$C$3:$C$20002,A39)),"")</f>
        <v/>
      </c>
      <c r="D39" s="42">
        <f>IFERROR(IF(A39="","",COUNTIFS(_Calc!$B$3:$B$20002,"&gt;="&amp;70,_Calc!$B$3:$B$20002,"&lt;="&amp;180,_Calc!$C$3:$C$20002,A39)/COUNTIFS(_Calc!$C$3:$C$20002,A39,_Calc!$B$3:$B$20002,"&lt;&gt;")*100),"")</f>
        <v/>
      </c>
      <c r="E39" s="42">
        <f>IFERROR(IF(A39="","",COUNTIFS(_Calc!$B$3:$B$20002,"&lt;70",_Calc!$C$3:$C$20002,A39)/COUNTIFS(_Calc!$C$3:$C$20002,A39,_Calc!$B$3:$B$20002,"&lt;&gt;")*100),"")</f>
        <v/>
      </c>
      <c r="F39" s="42">
        <f>IFERROR(IF(A39="","",COUNTIFS(_Calc!$B$3:$B$20002,"&gt;180",_Calc!$C$3:$C$20002,A39)/COUNTIFS(_Calc!$C$3:$C$20002,A39,_Calc!$B$3:$B$20002,"&lt;&gt;")*100),"")</f>
        <v/>
      </c>
      <c r="G39" s="43">
        <f>IFERROR(IF(A39="","",IF(D39&gt;=70,"✓ Good",IF(E39&gt;4,"Low glucose","High glucose"))),"")</f>
        <v/>
      </c>
    </row>
    <row r="40">
      <c r="B40" s="40">
        <f>IFERROR(IF(A40="","",COUNTIFS(_Calc!$C$3:$C$20002,A40,_Calc!$B$3:$B$20002,"&lt;&gt;")),"")</f>
        <v/>
      </c>
      <c r="C40" s="41">
        <f>IFERROR(IF(A40="","",AVERAGEIFS(_Calc!$B$3:$B$20002,_Calc!$C$3:$C$20002,A40)),"")</f>
        <v/>
      </c>
      <c r="D40" s="42">
        <f>IFERROR(IF(A40="","",COUNTIFS(_Calc!$B$3:$B$20002,"&gt;="&amp;70,_Calc!$B$3:$B$20002,"&lt;="&amp;180,_Calc!$C$3:$C$20002,A40)/COUNTIFS(_Calc!$C$3:$C$20002,A40,_Calc!$B$3:$B$20002,"&lt;&gt;")*100),"")</f>
        <v/>
      </c>
      <c r="E40" s="42">
        <f>IFERROR(IF(A40="","",COUNTIFS(_Calc!$B$3:$B$20002,"&lt;70",_Calc!$C$3:$C$20002,A40)/COUNTIFS(_Calc!$C$3:$C$20002,A40,_Calc!$B$3:$B$20002,"&lt;&gt;")*100),"")</f>
        <v/>
      </c>
      <c r="F40" s="42">
        <f>IFERROR(IF(A40="","",COUNTIFS(_Calc!$B$3:$B$20002,"&gt;180",_Calc!$C$3:$C$20002,A40)/COUNTIFS(_Calc!$C$3:$C$20002,A40,_Calc!$B$3:$B$20002,"&lt;&gt;")*100),"")</f>
        <v/>
      </c>
      <c r="G40" s="43">
        <f>IFERROR(IF(A40="","",IF(D40&gt;=70,"✓ Good",IF(E40&gt;4,"Low glucose","High glucose"))),"")</f>
        <v/>
      </c>
    </row>
    <row r="41">
      <c r="B41" s="40">
        <f>IFERROR(IF(A41="","",COUNTIFS(_Calc!$C$3:$C$20002,A41,_Calc!$B$3:$B$20002,"&lt;&gt;")),"")</f>
        <v/>
      </c>
      <c r="C41" s="41">
        <f>IFERROR(IF(A41="","",AVERAGEIFS(_Calc!$B$3:$B$20002,_Calc!$C$3:$C$20002,A41)),"")</f>
        <v/>
      </c>
      <c r="D41" s="42">
        <f>IFERROR(IF(A41="","",COUNTIFS(_Calc!$B$3:$B$20002,"&gt;="&amp;70,_Calc!$B$3:$B$20002,"&lt;="&amp;180,_Calc!$C$3:$C$20002,A41)/COUNTIFS(_Calc!$C$3:$C$20002,A41,_Calc!$B$3:$B$20002,"&lt;&gt;")*100),"")</f>
        <v/>
      </c>
      <c r="E41" s="42">
        <f>IFERROR(IF(A41="","",COUNTIFS(_Calc!$B$3:$B$20002,"&lt;70",_Calc!$C$3:$C$20002,A41)/COUNTIFS(_Calc!$C$3:$C$20002,A41,_Calc!$B$3:$B$20002,"&lt;&gt;")*100),"")</f>
        <v/>
      </c>
      <c r="F41" s="42">
        <f>IFERROR(IF(A41="","",COUNTIFS(_Calc!$B$3:$B$20002,"&gt;180",_Calc!$C$3:$C$20002,A41)/COUNTIFS(_Calc!$C$3:$C$20002,A41,_Calc!$B$3:$B$20002,"&lt;&gt;")*100),"")</f>
        <v/>
      </c>
      <c r="G41" s="43">
        <f>IFERROR(IF(A41="","",IF(D41&gt;=70,"✓ Good",IF(E41&gt;4,"Low glucose","High glucose"))),"")</f>
        <v/>
      </c>
    </row>
    <row r="42">
      <c r="B42" s="40">
        <f>IFERROR(IF(A42="","",COUNTIFS(_Calc!$C$3:$C$20002,A42,_Calc!$B$3:$B$20002,"&lt;&gt;")),"")</f>
        <v/>
      </c>
      <c r="C42" s="41">
        <f>IFERROR(IF(A42="","",AVERAGEIFS(_Calc!$B$3:$B$20002,_Calc!$C$3:$C$20002,A42)),"")</f>
        <v/>
      </c>
      <c r="D42" s="42">
        <f>IFERROR(IF(A42="","",COUNTIFS(_Calc!$B$3:$B$20002,"&gt;="&amp;70,_Calc!$B$3:$B$20002,"&lt;="&amp;180,_Calc!$C$3:$C$20002,A42)/COUNTIFS(_Calc!$C$3:$C$20002,A42,_Calc!$B$3:$B$20002,"&lt;&gt;")*100),"")</f>
        <v/>
      </c>
      <c r="E42" s="42">
        <f>IFERROR(IF(A42="","",COUNTIFS(_Calc!$B$3:$B$20002,"&lt;70",_Calc!$C$3:$C$20002,A42)/COUNTIFS(_Calc!$C$3:$C$20002,A42,_Calc!$B$3:$B$20002,"&lt;&gt;")*100),"")</f>
        <v/>
      </c>
      <c r="F42" s="42">
        <f>IFERROR(IF(A42="","",COUNTIFS(_Calc!$B$3:$B$20002,"&gt;180",_Calc!$C$3:$C$20002,A42)/COUNTIFS(_Calc!$C$3:$C$20002,A42,_Calc!$B$3:$B$20002,"&lt;&gt;")*100),"")</f>
        <v/>
      </c>
      <c r="G42" s="43">
        <f>IFERROR(IF(A42="","",IF(D42&gt;=70,"✓ Good",IF(E42&gt;4,"Low glucose","High glucose"))),"")</f>
        <v/>
      </c>
    </row>
    <row r="43">
      <c r="B43" s="40">
        <f>IFERROR(IF(A43="","",COUNTIFS(_Calc!$C$3:$C$20002,A43,_Calc!$B$3:$B$20002,"&lt;&gt;")),"")</f>
        <v/>
      </c>
      <c r="C43" s="41">
        <f>IFERROR(IF(A43="","",AVERAGEIFS(_Calc!$B$3:$B$20002,_Calc!$C$3:$C$20002,A43)),"")</f>
        <v/>
      </c>
      <c r="D43" s="42">
        <f>IFERROR(IF(A43="","",COUNTIFS(_Calc!$B$3:$B$20002,"&gt;="&amp;70,_Calc!$B$3:$B$20002,"&lt;="&amp;180,_Calc!$C$3:$C$20002,A43)/COUNTIFS(_Calc!$C$3:$C$20002,A43,_Calc!$B$3:$B$20002,"&lt;&gt;")*100),"")</f>
        <v/>
      </c>
      <c r="E43" s="42">
        <f>IFERROR(IF(A43="","",COUNTIFS(_Calc!$B$3:$B$20002,"&lt;70",_Calc!$C$3:$C$20002,A43)/COUNTIFS(_Calc!$C$3:$C$20002,A43,_Calc!$B$3:$B$20002,"&lt;&gt;")*100),"")</f>
        <v/>
      </c>
      <c r="F43" s="42">
        <f>IFERROR(IF(A43="","",COUNTIFS(_Calc!$B$3:$B$20002,"&gt;180",_Calc!$C$3:$C$20002,A43)/COUNTIFS(_Calc!$C$3:$C$20002,A43,_Calc!$B$3:$B$20002,"&lt;&gt;")*100),"")</f>
        <v/>
      </c>
      <c r="G43" s="43">
        <f>IFERROR(IF(A43="","",IF(D43&gt;=70,"✓ Good",IF(E43&gt;4,"Low glucose","High glucose"))),"")</f>
        <v/>
      </c>
    </row>
    <row r="44">
      <c r="B44" s="40">
        <f>IFERROR(IF(A44="","",COUNTIFS(_Calc!$C$3:$C$20002,A44,_Calc!$B$3:$B$20002,"&lt;&gt;")),"")</f>
        <v/>
      </c>
      <c r="C44" s="41">
        <f>IFERROR(IF(A44="","",AVERAGEIFS(_Calc!$B$3:$B$20002,_Calc!$C$3:$C$20002,A44)),"")</f>
        <v/>
      </c>
      <c r="D44" s="42">
        <f>IFERROR(IF(A44="","",COUNTIFS(_Calc!$B$3:$B$20002,"&gt;="&amp;70,_Calc!$B$3:$B$20002,"&lt;="&amp;180,_Calc!$C$3:$C$20002,A44)/COUNTIFS(_Calc!$C$3:$C$20002,A44,_Calc!$B$3:$B$20002,"&lt;&gt;")*100),"")</f>
        <v/>
      </c>
      <c r="E44" s="42">
        <f>IFERROR(IF(A44="","",COUNTIFS(_Calc!$B$3:$B$20002,"&lt;70",_Calc!$C$3:$C$20002,A44)/COUNTIFS(_Calc!$C$3:$C$20002,A44,_Calc!$B$3:$B$20002,"&lt;&gt;")*100),"")</f>
        <v/>
      </c>
      <c r="F44" s="42">
        <f>IFERROR(IF(A44="","",COUNTIFS(_Calc!$B$3:$B$20002,"&gt;180",_Calc!$C$3:$C$20002,A44)/COUNTIFS(_Calc!$C$3:$C$20002,A44,_Calc!$B$3:$B$20002,"&lt;&gt;")*100),"")</f>
        <v/>
      </c>
      <c r="G44" s="43">
        <f>IFERROR(IF(A44="","",IF(D44&gt;=70,"✓ Good",IF(E44&gt;4,"Low glucose","High glucose"))),"")</f>
        <v/>
      </c>
    </row>
    <row r="45">
      <c r="B45" s="40">
        <f>IFERROR(IF(A45="","",COUNTIFS(_Calc!$C$3:$C$20002,A45,_Calc!$B$3:$B$20002,"&lt;&gt;")),"")</f>
        <v/>
      </c>
      <c r="C45" s="41">
        <f>IFERROR(IF(A45="","",AVERAGEIFS(_Calc!$B$3:$B$20002,_Calc!$C$3:$C$20002,A45)),"")</f>
        <v/>
      </c>
      <c r="D45" s="42">
        <f>IFERROR(IF(A45="","",COUNTIFS(_Calc!$B$3:$B$20002,"&gt;="&amp;70,_Calc!$B$3:$B$20002,"&lt;="&amp;180,_Calc!$C$3:$C$20002,A45)/COUNTIFS(_Calc!$C$3:$C$20002,A45,_Calc!$B$3:$B$20002,"&lt;&gt;")*100),"")</f>
        <v/>
      </c>
      <c r="E45" s="42">
        <f>IFERROR(IF(A45="","",COUNTIFS(_Calc!$B$3:$B$20002,"&lt;70",_Calc!$C$3:$C$20002,A45)/COUNTIFS(_Calc!$C$3:$C$20002,A45,_Calc!$B$3:$B$20002,"&lt;&gt;")*100),"")</f>
        <v/>
      </c>
      <c r="F45" s="42">
        <f>IFERROR(IF(A45="","",COUNTIFS(_Calc!$B$3:$B$20002,"&gt;180",_Calc!$C$3:$C$20002,A45)/COUNTIFS(_Calc!$C$3:$C$20002,A45,_Calc!$B$3:$B$20002,"&lt;&gt;")*100),"")</f>
        <v/>
      </c>
      <c r="G45" s="43">
        <f>IFERROR(IF(A45="","",IF(D45&gt;=70,"✓ Good",IF(E45&gt;4,"Low glucose","High glucose"))),"")</f>
        <v/>
      </c>
    </row>
    <row r="46">
      <c r="B46" s="40">
        <f>IFERROR(IF(A46="","",COUNTIFS(_Calc!$C$3:$C$20002,A46,_Calc!$B$3:$B$20002,"&lt;&gt;")),"")</f>
        <v/>
      </c>
      <c r="C46" s="41">
        <f>IFERROR(IF(A46="","",AVERAGEIFS(_Calc!$B$3:$B$20002,_Calc!$C$3:$C$20002,A46)),"")</f>
        <v/>
      </c>
      <c r="D46" s="42">
        <f>IFERROR(IF(A46="","",COUNTIFS(_Calc!$B$3:$B$20002,"&gt;="&amp;70,_Calc!$B$3:$B$20002,"&lt;="&amp;180,_Calc!$C$3:$C$20002,A46)/COUNTIFS(_Calc!$C$3:$C$20002,A46,_Calc!$B$3:$B$20002,"&lt;&gt;")*100),"")</f>
        <v/>
      </c>
      <c r="E46" s="42">
        <f>IFERROR(IF(A46="","",COUNTIFS(_Calc!$B$3:$B$20002,"&lt;70",_Calc!$C$3:$C$20002,A46)/COUNTIFS(_Calc!$C$3:$C$20002,A46,_Calc!$B$3:$B$20002,"&lt;&gt;")*100),"")</f>
        <v/>
      </c>
      <c r="F46" s="42">
        <f>IFERROR(IF(A46="","",COUNTIFS(_Calc!$B$3:$B$20002,"&gt;180",_Calc!$C$3:$C$20002,A46)/COUNTIFS(_Calc!$C$3:$C$20002,A46,_Calc!$B$3:$B$20002,"&lt;&gt;")*100),"")</f>
        <v/>
      </c>
      <c r="G46" s="43">
        <f>IFERROR(IF(A46="","",IF(D46&gt;=70,"✓ Good",IF(E46&gt;4,"Low glucose","High glucose"))),"")</f>
        <v/>
      </c>
    </row>
    <row r="47">
      <c r="B47" s="40">
        <f>IFERROR(IF(A47="","",COUNTIFS(_Calc!$C$3:$C$20002,A47,_Calc!$B$3:$B$20002,"&lt;&gt;")),"")</f>
        <v/>
      </c>
      <c r="C47" s="41">
        <f>IFERROR(IF(A47="","",AVERAGEIFS(_Calc!$B$3:$B$20002,_Calc!$C$3:$C$20002,A47)),"")</f>
        <v/>
      </c>
      <c r="D47" s="42">
        <f>IFERROR(IF(A47="","",COUNTIFS(_Calc!$B$3:$B$20002,"&gt;="&amp;70,_Calc!$B$3:$B$20002,"&lt;="&amp;180,_Calc!$C$3:$C$20002,A47)/COUNTIFS(_Calc!$C$3:$C$20002,A47,_Calc!$B$3:$B$20002,"&lt;&gt;")*100),"")</f>
        <v/>
      </c>
      <c r="E47" s="42">
        <f>IFERROR(IF(A47="","",COUNTIFS(_Calc!$B$3:$B$20002,"&lt;70",_Calc!$C$3:$C$20002,A47)/COUNTIFS(_Calc!$C$3:$C$20002,A47,_Calc!$B$3:$B$20002,"&lt;&gt;")*100),"")</f>
        <v/>
      </c>
      <c r="F47" s="42">
        <f>IFERROR(IF(A47="","",COUNTIFS(_Calc!$B$3:$B$20002,"&gt;180",_Calc!$C$3:$C$20002,A47)/COUNTIFS(_Calc!$C$3:$C$20002,A47,_Calc!$B$3:$B$20002,"&lt;&gt;")*100),"")</f>
        <v/>
      </c>
      <c r="G47" s="43">
        <f>IFERROR(IF(A47="","",IF(D47&gt;=70,"✓ Good",IF(E47&gt;4,"Low glucose","High glucose"))),"")</f>
        <v/>
      </c>
    </row>
    <row r="48">
      <c r="B48" s="40">
        <f>IFERROR(IF(A48="","",COUNTIFS(_Calc!$C$3:$C$20002,A48,_Calc!$B$3:$B$20002,"&lt;&gt;")),"")</f>
        <v/>
      </c>
      <c r="C48" s="41">
        <f>IFERROR(IF(A48="","",AVERAGEIFS(_Calc!$B$3:$B$20002,_Calc!$C$3:$C$20002,A48)),"")</f>
        <v/>
      </c>
      <c r="D48" s="42">
        <f>IFERROR(IF(A48="","",COUNTIFS(_Calc!$B$3:$B$20002,"&gt;="&amp;70,_Calc!$B$3:$B$20002,"&lt;="&amp;180,_Calc!$C$3:$C$20002,A48)/COUNTIFS(_Calc!$C$3:$C$20002,A48,_Calc!$B$3:$B$20002,"&lt;&gt;")*100),"")</f>
        <v/>
      </c>
      <c r="E48" s="42">
        <f>IFERROR(IF(A48="","",COUNTIFS(_Calc!$B$3:$B$20002,"&lt;70",_Calc!$C$3:$C$20002,A48)/COUNTIFS(_Calc!$C$3:$C$20002,A48,_Calc!$B$3:$B$20002,"&lt;&gt;")*100),"")</f>
        <v/>
      </c>
      <c r="F48" s="42">
        <f>IFERROR(IF(A48="","",COUNTIFS(_Calc!$B$3:$B$20002,"&gt;180",_Calc!$C$3:$C$20002,A48)/COUNTIFS(_Calc!$C$3:$C$20002,A48,_Calc!$B$3:$B$20002,"&lt;&gt;")*100),"")</f>
        <v/>
      </c>
      <c r="G48" s="43">
        <f>IFERROR(IF(A48="","",IF(D48&gt;=70,"✓ Good",IF(E48&gt;4,"Low glucose","High glucose"))),"")</f>
        <v/>
      </c>
    </row>
    <row r="49">
      <c r="B49" s="40">
        <f>IFERROR(IF(A49="","",COUNTIFS(_Calc!$C$3:$C$20002,A49,_Calc!$B$3:$B$20002,"&lt;&gt;")),"")</f>
        <v/>
      </c>
      <c r="C49" s="41">
        <f>IFERROR(IF(A49="","",AVERAGEIFS(_Calc!$B$3:$B$20002,_Calc!$C$3:$C$20002,A49)),"")</f>
        <v/>
      </c>
      <c r="D49" s="42">
        <f>IFERROR(IF(A49="","",COUNTIFS(_Calc!$B$3:$B$20002,"&gt;="&amp;70,_Calc!$B$3:$B$20002,"&lt;="&amp;180,_Calc!$C$3:$C$20002,A49)/COUNTIFS(_Calc!$C$3:$C$20002,A49,_Calc!$B$3:$B$20002,"&lt;&gt;")*100),"")</f>
        <v/>
      </c>
      <c r="E49" s="42">
        <f>IFERROR(IF(A49="","",COUNTIFS(_Calc!$B$3:$B$20002,"&lt;70",_Calc!$C$3:$C$20002,A49)/COUNTIFS(_Calc!$C$3:$C$20002,A49,_Calc!$B$3:$B$20002,"&lt;&gt;")*100),"")</f>
        <v/>
      </c>
      <c r="F49" s="42">
        <f>IFERROR(IF(A49="","",COUNTIFS(_Calc!$B$3:$B$20002,"&gt;180",_Calc!$C$3:$C$20002,A49)/COUNTIFS(_Calc!$C$3:$C$20002,A49,_Calc!$B$3:$B$20002,"&lt;&gt;")*100),"")</f>
        <v/>
      </c>
      <c r="G49" s="43">
        <f>IFERROR(IF(A49="","",IF(D49&gt;=70,"✓ Good",IF(E49&gt;4,"Low glucose","High glucose"))),"")</f>
        <v/>
      </c>
    </row>
    <row r="50">
      <c r="B50" s="40">
        <f>IFERROR(IF(A50="","",COUNTIFS(_Calc!$C$3:$C$20002,A50,_Calc!$B$3:$B$20002,"&lt;&gt;")),"")</f>
        <v/>
      </c>
      <c r="C50" s="41">
        <f>IFERROR(IF(A50="","",AVERAGEIFS(_Calc!$B$3:$B$20002,_Calc!$C$3:$C$20002,A50)),"")</f>
        <v/>
      </c>
      <c r="D50" s="42">
        <f>IFERROR(IF(A50="","",COUNTIFS(_Calc!$B$3:$B$20002,"&gt;="&amp;70,_Calc!$B$3:$B$20002,"&lt;="&amp;180,_Calc!$C$3:$C$20002,A50)/COUNTIFS(_Calc!$C$3:$C$20002,A50,_Calc!$B$3:$B$20002,"&lt;&gt;")*100),"")</f>
        <v/>
      </c>
      <c r="E50" s="42">
        <f>IFERROR(IF(A50="","",COUNTIFS(_Calc!$B$3:$B$20002,"&lt;70",_Calc!$C$3:$C$20002,A50)/COUNTIFS(_Calc!$C$3:$C$20002,A50,_Calc!$B$3:$B$20002,"&lt;&gt;")*100),"")</f>
        <v/>
      </c>
      <c r="F50" s="42">
        <f>IFERROR(IF(A50="","",COUNTIFS(_Calc!$B$3:$B$20002,"&gt;180",_Calc!$C$3:$C$20002,A50)/COUNTIFS(_Calc!$C$3:$C$20002,A50,_Calc!$B$3:$B$20002,"&lt;&gt;")*100),"")</f>
        <v/>
      </c>
      <c r="G50" s="43">
        <f>IFERROR(IF(A50="","",IF(D50&gt;=70,"✓ Good",IF(E50&gt;4,"Low glucose","High glucose"))),"")</f>
        <v/>
      </c>
    </row>
    <row r="51">
      <c r="B51" s="40">
        <f>IFERROR(IF(A51="","",COUNTIFS(_Calc!$C$3:$C$20002,A51,_Calc!$B$3:$B$20002,"&lt;&gt;")),"")</f>
        <v/>
      </c>
      <c r="C51" s="41">
        <f>IFERROR(IF(A51="","",AVERAGEIFS(_Calc!$B$3:$B$20002,_Calc!$C$3:$C$20002,A51)),"")</f>
        <v/>
      </c>
      <c r="D51" s="42">
        <f>IFERROR(IF(A51="","",COUNTIFS(_Calc!$B$3:$B$20002,"&gt;="&amp;70,_Calc!$B$3:$B$20002,"&lt;="&amp;180,_Calc!$C$3:$C$20002,A51)/COUNTIFS(_Calc!$C$3:$C$20002,A51,_Calc!$B$3:$B$20002,"&lt;&gt;")*100),"")</f>
        <v/>
      </c>
      <c r="E51" s="42">
        <f>IFERROR(IF(A51="","",COUNTIFS(_Calc!$B$3:$B$20002,"&lt;70",_Calc!$C$3:$C$20002,A51)/COUNTIFS(_Calc!$C$3:$C$20002,A51,_Calc!$B$3:$B$20002,"&lt;&gt;")*100),"")</f>
        <v/>
      </c>
      <c r="F51" s="42">
        <f>IFERROR(IF(A51="","",COUNTIFS(_Calc!$B$3:$B$20002,"&gt;180",_Calc!$C$3:$C$20002,A51)/COUNTIFS(_Calc!$C$3:$C$20002,A51,_Calc!$B$3:$B$20002,"&lt;&gt;")*100),"")</f>
        <v/>
      </c>
      <c r="G51" s="43">
        <f>IFERROR(IF(A51="","",IF(D51&gt;=70,"✓ Good",IF(E51&gt;4,"Low glucose","High glucose"))),"")</f>
        <v/>
      </c>
    </row>
    <row r="52">
      <c r="B52" s="40">
        <f>IFERROR(IF(A52="","",COUNTIFS(_Calc!$C$3:$C$20002,A52,_Calc!$B$3:$B$20002,"&lt;&gt;")),"")</f>
        <v/>
      </c>
      <c r="C52" s="41">
        <f>IFERROR(IF(A52="","",AVERAGEIFS(_Calc!$B$3:$B$20002,_Calc!$C$3:$C$20002,A52)),"")</f>
        <v/>
      </c>
      <c r="D52" s="42">
        <f>IFERROR(IF(A52="","",COUNTIFS(_Calc!$B$3:$B$20002,"&gt;="&amp;70,_Calc!$B$3:$B$20002,"&lt;="&amp;180,_Calc!$C$3:$C$20002,A52)/COUNTIFS(_Calc!$C$3:$C$20002,A52,_Calc!$B$3:$B$20002,"&lt;&gt;")*100),"")</f>
        <v/>
      </c>
      <c r="E52" s="42">
        <f>IFERROR(IF(A52="","",COUNTIFS(_Calc!$B$3:$B$20002,"&lt;70",_Calc!$C$3:$C$20002,A52)/COUNTIFS(_Calc!$C$3:$C$20002,A52,_Calc!$B$3:$B$20002,"&lt;&gt;")*100),"")</f>
        <v/>
      </c>
      <c r="F52" s="42">
        <f>IFERROR(IF(A52="","",COUNTIFS(_Calc!$B$3:$B$20002,"&gt;180",_Calc!$C$3:$C$20002,A52)/COUNTIFS(_Calc!$C$3:$C$20002,A52,_Calc!$B$3:$B$20002,"&lt;&gt;")*100),"")</f>
        <v/>
      </c>
      <c r="G52" s="43">
        <f>IFERROR(IF(A52="","",IF(D52&gt;=70,"✓ Good",IF(E52&gt;4,"Low glucose","High glucose"))),"")</f>
        <v/>
      </c>
    </row>
    <row r="53">
      <c r="B53" s="40">
        <f>IFERROR(IF(A53="","",COUNTIFS(_Calc!$C$3:$C$20002,A53,_Calc!$B$3:$B$20002,"&lt;&gt;")),"")</f>
        <v/>
      </c>
      <c r="C53" s="41">
        <f>IFERROR(IF(A53="","",AVERAGEIFS(_Calc!$B$3:$B$20002,_Calc!$C$3:$C$20002,A53)),"")</f>
        <v/>
      </c>
      <c r="D53" s="42">
        <f>IFERROR(IF(A53="","",COUNTIFS(_Calc!$B$3:$B$20002,"&gt;="&amp;70,_Calc!$B$3:$B$20002,"&lt;="&amp;180,_Calc!$C$3:$C$20002,A53)/COUNTIFS(_Calc!$C$3:$C$20002,A53,_Calc!$B$3:$B$20002,"&lt;&gt;")*100),"")</f>
        <v/>
      </c>
      <c r="E53" s="42">
        <f>IFERROR(IF(A53="","",COUNTIFS(_Calc!$B$3:$B$20002,"&lt;70",_Calc!$C$3:$C$20002,A53)/COUNTIFS(_Calc!$C$3:$C$20002,A53,_Calc!$B$3:$B$20002,"&lt;&gt;")*100),"")</f>
        <v/>
      </c>
      <c r="F53" s="42">
        <f>IFERROR(IF(A53="","",COUNTIFS(_Calc!$B$3:$B$20002,"&gt;180",_Calc!$C$3:$C$20002,A53)/COUNTIFS(_Calc!$C$3:$C$20002,A53,_Calc!$B$3:$B$20002,"&lt;&gt;")*100),"")</f>
        <v/>
      </c>
      <c r="G53" s="43">
        <f>IFERROR(IF(A53="","",IF(D53&gt;=70,"✓ Good",IF(E53&gt;4,"Low glucose","High glucose"))),"")</f>
        <v/>
      </c>
    </row>
    <row r="54">
      <c r="B54" s="40">
        <f>IFERROR(IF(A54="","",COUNTIFS(_Calc!$C$3:$C$20002,A54,_Calc!$B$3:$B$20002,"&lt;&gt;")),"")</f>
        <v/>
      </c>
      <c r="C54" s="41">
        <f>IFERROR(IF(A54="","",AVERAGEIFS(_Calc!$B$3:$B$20002,_Calc!$C$3:$C$20002,A54)),"")</f>
        <v/>
      </c>
      <c r="D54" s="42">
        <f>IFERROR(IF(A54="","",COUNTIFS(_Calc!$B$3:$B$20002,"&gt;="&amp;70,_Calc!$B$3:$B$20002,"&lt;="&amp;180,_Calc!$C$3:$C$20002,A54)/COUNTIFS(_Calc!$C$3:$C$20002,A54,_Calc!$B$3:$B$20002,"&lt;&gt;")*100),"")</f>
        <v/>
      </c>
      <c r="E54" s="42">
        <f>IFERROR(IF(A54="","",COUNTIFS(_Calc!$B$3:$B$20002,"&lt;70",_Calc!$C$3:$C$20002,A54)/COUNTIFS(_Calc!$C$3:$C$20002,A54,_Calc!$B$3:$B$20002,"&lt;&gt;")*100),"")</f>
        <v/>
      </c>
      <c r="F54" s="42">
        <f>IFERROR(IF(A54="","",COUNTIFS(_Calc!$B$3:$B$20002,"&gt;180",_Calc!$C$3:$C$20002,A54)/COUNTIFS(_Calc!$C$3:$C$20002,A54,_Calc!$B$3:$B$20002,"&lt;&gt;")*100),"")</f>
        <v/>
      </c>
      <c r="G54" s="43">
        <f>IFERROR(IF(A54="","",IF(D54&gt;=70,"✓ Good",IF(E54&gt;4,"Low glucose","High glucose"))),"")</f>
        <v/>
      </c>
    </row>
    <row r="55">
      <c r="B55" s="40">
        <f>IFERROR(IF(A55="","",COUNTIFS(_Calc!$C$3:$C$20002,A55,_Calc!$B$3:$B$20002,"&lt;&gt;")),"")</f>
        <v/>
      </c>
      <c r="C55" s="41">
        <f>IFERROR(IF(A55="","",AVERAGEIFS(_Calc!$B$3:$B$20002,_Calc!$C$3:$C$20002,A55)),"")</f>
        <v/>
      </c>
      <c r="D55" s="42">
        <f>IFERROR(IF(A55="","",COUNTIFS(_Calc!$B$3:$B$20002,"&gt;="&amp;70,_Calc!$B$3:$B$20002,"&lt;="&amp;180,_Calc!$C$3:$C$20002,A55)/COUNTIFS(_Calc!$C$3:$C$20002,A55,_Calc!$B$3:$B$20002,"&lt;&gt;")*100),"")</f>
        <v/>
      </c>
      <c r="E55" s="42">
        <f>IFERROR(IF(A55="","",COUNTIFS(_Calc!$B$3:$B$20002,"&lt;70",_Calc!$C$3:$C$20002,A55)/COUNTIFS(_Calc!$C$3:$C$20002,A55,_Calc!$B$3:$B$20002,"&lt;&gt;")*100),"")</f>
        <v/>
      </c>
      <c r="F55" s="42">
        <f>IFERROR(IF(A55="","",COUNTIFS(_Calc!$B$3:$B$20002,"&gt;180",_Calc!$C$3:$C$20002,A55)/COUNTIFS(_Calc!$C$3:$C$20002,A55,_Calc!$B$3:$B$20002,"&lt;&gt;")*100),"")</f>
        <v/>
      </c>
      <c r="G55" s="43">
        <f>IFERROR(IF(A55="","",IF(D55&gt;=70,"✓ Good",IF(E55&gt;4,"Low glucose","High glucose"))),"")</f>
        <v/>
      </c>
    </row>
    <row r="56">
      <c r="B56" s="40">
        <f>IFERROR(IF(A56="","",COUNTIFS(_Calc!$C$3:$C$20002,A56,_Calc!$B$3:$B$20002,"&lt;&gt;")),"")</f>
        <v/>
      </c>
      <c r="C56" s="41">
        <f>IFERROR(IF(A56="","",AVERAGEIFS(_Calc!$B$3:$B$20002,_Calc!$C$3:$C$20002,A56)),"")</f>
        <v/>
      </c>
      <c r="D56" s="42">
        <f>IFERROR(IF(A56="","",COUNTIFS(_Calc!$B$3:$B$20002,"&gt;="&amp;70,_Calc!$B$3:$B$20002,"&lt;="&amp;180,_Calc!$C$3:$C$20002,A56)/COUNTIFS(_Calc!$C$3:$C$20002,A56,_Calc!$B$3:$B$20002,"&lt;&gt;")*100),"")</f>
        <v/>
      </c>
      <c r="E56" s="42">
        <f>IFERROR(IF(A56="","",COUNTIFS(_Calc!$B$3:$B$20002,"&lt;70",_Calc!$C$3:$C$20002,A56)/COUNTIFS(_Calc!$C$3:$C$20002,A56,_Calc!$B$3:$B$20002,"&lt;&gt;")*100),"")</f>
        <v/>
      </c>
      <c r="F56" s="42">
        <f>IFERROR(IF(A56="","",COUNTIFS(_Calc!$B$3:$B$20002,"&gt;180",_Calc!$C$3:$C$20002,A56)/COUNTIFS(_Calc!$C$3:$C$20002,A56,_Calc!$B$3:$B$20002,"&lt;&gt;")*100),"")</f>
        <v/>
      </c>
      <c r="G56" s="43">
        <f>IFERROR(IF(A56="","",IF(D56&gt;=70,"✓ Good",IF(E56&gt;4,"Low glucose","High glucose"))),"")</f>
        <v/>
      </c>
    </row>
    <row r="57">
      <c r="B57" s="40">
        <f>IFERROR(IF(A57="","",COUNTIFS(_Calc!$C$3:$C$20002,A57,_Calc!$B$3:$B$20002,"&lt;&gt;")),"")</f>
        <v/>
      </c>
      <c r="C57" s="41">
        <f>IFERROR(IF(A57="","",AVERAGEIFS(_Calc!$B$3:$B$20002,_Calc!$C$3:$C$20002,A57)),"")</f>
        <v/>
      </c>
      <c r="D57" s="42">
        <f>IFERROR(IF(A57="","",COUNTIFS(_Calc!$B$3:$B$20002,"&gt;="&amp;70,_Calc!$B$3:$B$20002,"&lt;="&amp;180,_Calc!$C$3:$C$20002,A57)/COUNTIFS(_Calc!$C$3:$C$20002,A57,_Calc!$B$3:$B$20002,"&lt;&gt;")*100),"")</f>
        <v/>
      </c>
      <c r="E57" s="42">
        <f>IFERROR(IF(A57="","",COUNTIFS(_Calc!$B$3:$B$20002,"&lt;70",_Calc!$C$3:$C$20002,A57)/COUNTIFS(_Calc!$C$3:$C$20002,A57,_Calc!$B$3:$B$20002,"&lt;&gt;")*100),"")</f>
        <v/>
      </c>
      <c r="F57" s="42">
        <f>IFERROR(IF(A57="","",COUNTIFS(_Calc!$B$3:$B$20002,"&gt;180",_Calc!$C$3:$C$20002,A57)/COUNTIFS(_Calc!$C$3:$C$20002,A57,_Calc!$B$3:$B$20002,"&lt;&gt;")*100),"")</f>
        <v/>
      </c>
      <c r="G57" s="43">
        <f>IFERROR(IF(A57="","",IF(D57&gt;=70,"✓ Good",IF(E57&gt;4,"Low glucose","High glucose"))),"")</f>
        <v/>
      </c>
    </row>
    <row r="58">
      <c r="B58" s="40">
        <f>IFERROR(IF(A58="","",COUNTIFS(_Calc!$C$3:$C$20002,A58,_Calc!$B$3:$B$20002,"&lt;&gt;")),"")</f>
        <v/>
      </c>
      <c r="C58" s="41">
        <f>IFERROR(IF(A58="","",AVERAGEIFS(_Calc!$B$3:$B$20002,_Calc!$C$3:$C$20002,A58)),"")</f>
        <v/>
      </c>
      <c r="D58" s="42">
        <f>IFERROR(IF(A58="","",COUNTIFS(_Calc!$B$3:$B$20002,"&gt;="&amp;70,_Calc!$B$3:$B$20002,"&lt;="&amp;180,_Calc!$C$3:$C$20002,A58)/COUNTIFS(_Calc!$C$3:$C$20002,A58,_Calc!$B$3:$B$20002,"&lt;&gt;")*100),"")</f>
        <v/>
      </c>
      <c r="E58" s="42">
        <f>IFERROR(IF(A58="","",COUNTIFS(_Calc!$B$3:$B$20002,"&lt;70",_Calc!$C$3:$C$20002,A58)/COUNTIFS(_Calc!$C$3:$C$20002,A58,_Calc!$B$3:$B$20002,"&lt;&gt;")*100),"")</f>
        <v/>
      </c>
      <c r="F58" s="42">
        <f>IFERROR(IF(A58="","",COUNTIFS(_Calc!$B$3:$B$20002,"&gt;180",_Calc!$C$3:$C$20002,A58)/COUNTIFS(_Calc!$C$3:$C$20002,A58,_Calc!$B$3:$B$20002,"&lt;&gt;")*100),"")</f>
        <v/>
      </c>
      <c r="G58" s="43">
        <f>IFERROR(IF(A58="","",IF(D58&gt;=70,"✓ Good",IF(E58&gt;4,"Low glucose","High glucose"))),"")</f>
        <v/>
      </c>
    </row>
    <row r="59">
      <c r="B59" s="40">
        <f>IFERROR(IF(A59="","",COUNTIFS(_Calc!$C$3:$C$20002,A59,_Calc!$B$3:$B$20002,"&lt;&gt;")),"")</f>
        <v/>
      </c>
      <c r="C59" s="41">
        <f>IFERROR(IF(A59="","",AVERAGEIFS(_Calc!$B$3:$B$20002,_Calc!$C$3:$C$20002,A59)),"")</f>
        <v/>
      </c>
      <c r="D59" s="42">
        <f>IFERROR(IF(A59="","",COUNTIFS(_Calc!$B$3:$B$20002,"&gt;="&amp;70,_Calc!$B$3:$B$20002,"&lt;="&amp;180,_Calc!$C$3:$C$20002,A59)/COUNTIFS(_Calc!$C$3:$C$20002,A59,_Calc!$B$3:$B$20002,"&lt;&gt;")*100),"")</f>
        <v/>
      </c>
      <c r="E59" s="42">
        <f>IFERROR(IF(A59="","",COUNTIFS(_Calc!$B$3:$B$20002,"&lt;70",_Calc!$C$3:$C$20002,A59)/COUNTIFS(_Calc!$C$3:$C$20002,A59,_Calc!$B$3:$B$20002,"&lt;&gt;")*100),"")</f>
        <v/>
      </c>
      <c r="F59" s="42">
        <f>IFERROR(IF(A59="","",COUNTIFS(_Calc!$B$3:$B$20002,"&gt;180",_Calc!$C$3:$C$20002,A59)/COUNTIFS(_Calc!$C$3:$C$20002,A59,_Calc!$B$3:$B$20002,"&lt;&gt;")*100),"")</f>
        <v/>
      </c>
      <c r="G59" s="43">
        <f>IFERROR(IF(A59="","",IF(D59&gt;=70,"✓ Good",IF(E59&gt;4,"Low glucose","High glucose"))),"")</f>
        <v/>
      </c>
    </row>
    <row r="60">
      <c r="B60" s="40">
        <f>IFERROR(IF(A60="","",COUNTIFS(_Calc!$C$3:$C$20002,A60,_Calc!$B$3:$B$20002,"&lt;&gt;")),"")</f>
        <v/>
      </c>
      <c r="C60" s="41">
        <f>IFERROR(IF(A60="","",AVERAGEIFS(_Calc!$B$3:$B$20002,_Calc!$C$3:$C$20002,A60)),"")</f>
        <v/>
      </c>
      <c r="D60" s="42">
        <f>IFERROR(IF(A60="","",COUNTIFS(_Calc!$B$3:$B$20002,"&gt;="&amp;70,_Calc!$B$3:$B$20002,"&lt;="&amp;180,_Calc!$C$3:$C$20002,A60)/COUNTIFS(_Calc!$C$3:$C$20002,A60,_Calc!$B$3:$B$20002,"&lt;&gt;")*100),"")</f>
        <v/>
      </c>
      <c r="E60" s="42">
        <f>IFERROR(IF(A60="","",COUNTIFS(_Calc!$B$3:$B$20002,"&lt;70",_Calc!$C$3:$C$20002,A60)/COUNTIFS(_Calc!$C$3:$C$20002,A60,_Calc!$B$3:$B$20002,"&lt;&gt;")*100),"")</f>
        <v/>
      </c>
      <c r="F60" s="42">
        <f>IFERROR(IF(A60="","",COUNTIFS(_Calc!$B$3:$B$20002,"&gt;180",_Calc!$C$3:$C$20002,A60)/COUNTIFS(_Calc!$C$3:$C$20002,A60,_Calc!$B$3:$B$20002,"&lt;&gt;")*100),"")</f>
        <v/>
      </c>
      <c r="G60" s="43">
        <f>IFERROR(IF(A60="","",IF(D60&gt;=70,"✓ Good",IF(E60&gt;4,"Low glucose","High glucose"))),"")</f>
        <v/>
      </c>
    </row>
    <row r="61">
      <c r="B61" s="40">
        <f>IFERROR(IF(A61="","",COUNTIFS(_Calc!$C$3:$C$20002,A61,_Calc!$B$3:$B$20002,"&lt;&gt;")),"")</f>
        <v/>
      </c>
      <c r="C61" s="41">
        <f>IFERROR(IF(A61="","",AVERAGEIFS(_Calc!$B$3:$B$20002,_Calc!$C$3:$C$20002,A61)),"")</f>
        <v/>
      </c>
      <c r="D61" s="42">
        <f>IFERROR(IF(A61="","",COUNTIFS(_Calc!$B$3:$B$20002,"&gt;="&amp;70,_Calc!$B$3:$B$20002,"&lt;="&amp;180,_Calc!$C$3:$C$20002,A61)/COUNTIFS(_Calc!$C$3:$C$20002,A61,_Calc!$B$3:$B$20002,"&lt;&gt;")*100),"")</f>
        <v/>
      </c>
      <c r="E61" s="42">
        <f>IFERROR(IF(A61="","",COUNTIFS(_Calc!$B$3:$B$20002,"&lt;70",_Calc!$C$3:$C$20002,A61)/COUNTIFS(_Calc!$C$3:$C$20002,A61,_Calc!$B$3:$B$20002,"&lt;&gt;")*100),"")</f>
        <v/>
      </c>
      <c r="F61" s="42">
        <f>IFERROR(IF(A61="","",COUNTIFS(_Calc!$B$3:$B$20002,"&gt;180",_Calc!$C$3:$C$20002,A61)/COUNTIFS(_Calc!$C$3:$C$20002,A61,_Calc!$B$3:$B$20002,"&lt;&gt;")*100),"")</f>
        <v/>
      </c>
      <c r="G61" s="43">
        <f>IFERROR(IF(A61="","",IF(D61&gt;=70,"✓ Good",IF(E61&gt;4,"Low glucose","High glucose"))),"")</f>
        <v/>
      </c>
    </row>
    <row r="62">
      <c r="B62" s="40">
        <f>IFERROR(IF(A62="","",COUNTIFS(_Calc!$C$3:$C$20002,A62,_Calc!$B$3:$B$20002,"&lt;&gt;")),"")</f>
        <v/>
      </c>
      <c r="C62" s="41">
        <f>IFERROR(IF(A62="","",AVERAGEIFS(_Calc!$B$3:$B$20002,_Calc!$C$3:$C$20002,A62)),"")</f>
        <v/>
      </c>
      <c r="D62" s="42">
        <f>IFERROR(IF(A62="","",COUNTIFS(_Calc!$B$3:$B$20002,"&gt;="&amp;70,_Calc!$B$3:$B$20002,"&lt;="&amp;180,_Calc!$C$3:$C$20002,A62)/COUNTIFS(_Calc!$C$3:$C$20002,A62,_Calc!$B$3:$B$20002,"&lt;&gt;")*100),"")</f>
        <v/>
      </c>
      <c r="E62" s="42">
        <f>IFERROR(IF(A62="","",COUNTIFS(_Calc!$B$3:$B$20002,"&lt;70",_Calc!$C$3:$C$20002,A62)/COUNTIFS(_Calc!$C$3:$C$20002,A62,_Calc!$B$3:$B$20002,"&lt;&gt;")*100),"")</f>
        <v/>
      </c>
      <c r="F62" s="42">
        <f>IFERROR(IF(A62="","",COUNTIFS(_Calc!$B$3:$B$20002,"&gt;180",_Calc!$C$3:$C$20002,A62)/COUNTIFS(_Calc!$C$3:$C$20002,A62,_Calc!$B$3:$B$20002,"&lt;&gt;")*100),"")</f>
        <v/>
      </c>
      <c r="G62" s="43">
        <f>IFERROR(IF(A62="","",IF(D62&gt;=70,"✓ Good",IF(E62&gt;4,"Low glucose","High glucose"))),"")</f>
        <v/>
      </c>
    </row>
    <row r="63">
      <c r="B63" s="40">
        <f>IFERROR(IF(A63="","",COUNTIFS(_Calc!$C$3:$C$20002,A63,_Calc!$B$3:$B$20002,"&lt;&gt;")),"")</f>
        <v/>
      </c>
      <c r="C63" s="41">
        <f>IFERROR(IF(A63="","",AVERAGEIFS(_Calc!$B$3:$B$20002,_Calc!$C$3:$C$20002,A63)),"")</f>
        <v/>
      </c>
      <c r="D63" s="42">
        <f>IFERROR(IF(A63="","",COUNTIFS(_Calc!$B$3:$B$20002,"&gt;="&amp;70,_Calc!$B$3:$B$20002,"&lt;="&amp;180,_Calc!$C$3:$C$20002,A63)/COUNTIFS(_Calc!$C$3:$C$20002,A63,_Calc!$B$3:$B$20002,"&lt;&gt;")*100),"")</f>
        <v/>
      </c>
      <c r="E63" s="42">
        <f>IFERROR(IF(A63="","",COUNTIFS(_Calc!$B$3:$B$20002,"&lt;70",_Calc!$C$3:$C$20002,A63)/COUNTIFS(_Calc!$C$3:$C$20002,A63,_Calc!$B$3:$B$20002,"&lt;&gt;")*100),"")</f>
        <v/>
      </c>
      <c r="F63" s="42">
        <f>IFERROR(IF(A63="","",COUNTIFS(_Calc!$B$3:$B$20002,"&gt;180",_Calc!$C$3:$C$20002,A63)/COUNTIFS(_Calc!$C$3:$C$20002,A63,_Calc!$B$3:$B$20002,"&lt;&gt;")*100),"")</f>
        <v/>
      </c>
      <c r="G63" s="43">
        <f>IFERROR(IF(A63="","",IF(D63&gt;=70,"✓ Good",IF(E63&gt;4,"Low glucose","High glucose"))),"")</f>
        <v/>
      </c>
    </row>
    <row r="64">
      <c r="B64" s="40">
        <f>IFERROR(IF(A64="","",COUNTIFS(_Calc!$C$3:$C$20002,A64,_Calc!$B$3:$B$20002,"&lt;&gt;")),"")</f>
        <v/>
      </c>
      <c r="C64" s="41">
        <f>IFERROR(IF(A64="","",AVERAGEIFS(_Calc!$B$3:$B$20002,_Calc!$C$3:$C$20002,A64)),"")</f>
        <v/>
      </c>
      <c r="D64" s="42">
        <f>IFERROR(IF(A64="","",COUNTIFS(_Calc!$B$3:$B$20002,"&gt;="&amp;70,_Calc!$B$3:$B$20002,"&lt;="&amp;180,_Calc!$C$3:$C$20002,A64)/COUNTIFS(_Calc!$C$3:$C$20002,A64,_Calc!$B$3:$B$20002,"&lt;&gt;")*100),"")</f>
        <v/>
      </c>
      <c r="E64" s="42">
        <f>IFERROR(IF(A64="","",COUNTIFS(_Calc!$B$3:$B$20002,"&lt;70",_Calc!$C$3:$C$20002,A64)/COUNTIFS(_Calc!$C$3:$C$20002,A64,_Calc!$B$3:$B$20002,"&lt;&gt;")*100),"")</f>
        <v/>
      </c>
      <c r="F64" s="42">
        <f>IFERROR(IF(A64="","",COUNTIFS(_Calc!$B$3:$B$20002,"&gt;180",_Calc!$C$3:$C$20002,A64)/COUNTIFS(_Calc!$C$3:$C$20002,A64,_Calc!$B$3:$B$20002,"&lt;&gt;")*100),"")</f>
        <v/>
      </c>
      <c r="G64" s="43">
        <f>IFERROR(IF(A64="","",IF(D64&gt;=70,"✓ Good",IF(E64&gt;4,"Low glucose","High glucose"))),"")</f>
        <v/>
      </c>
    </row>
    <row r="65">
      <c r="B65" s="40">
        <f>IFERROR(IF(A65="","",COUNTIFS(_Calc!$C$3:$C$20002,A65,_Calc!$B$3:$B$20002,"&lt;&gt;")),"")</f>
        <v/>
      </c>
      <c r="C65" s="41">
        <f>IFERROR(IF(A65="","",AVERAGEIFS(_Calc!$B$3:$B$20002,_Calc!$C$3:$C$20002,A65)),"")</f>
        <v/>
      </c>
      <c r="D65" s="42">
        <f>IFERROR(IF(A65="","",COUNTIFS(_Calc!$B$3:$B$20002,"&gt;="&amp;70,_Calc!$B$3:$B$20002,"&lt;="&amp;180,_Calc!$C$3:$C$20002,A65)/COUNTIFS(_Calc!$C$3:$C$20002,A65,_Calc!$B$3:$B$20002,"&lt;&gt;")*100),"")</f>
        <v/>
      </c>
      <c r="E65" s="42">
        <f>IFERROR(IF(A65="","",COUNTIFS(_Calc!$B$3:$B$20002,"&lt;70",_Calc!$C$3:$C$20002,A65)/COUNTIFS(_Calc!$C$3:$C$20002,A65,_Calc!$B$3:$B$20002,"&lt;&gt;")*100),"")</f>
        <v/>
      </c>
      <c r="F65" s="42">
        <f>IFERROR(IF(A65="","",COUNTIFS(_Calc!$B$3:$B$20002,"&gt;180",_Calc!$C$3:$C$20002,A65)/COUNTIFS(_Calc!$C$3:$C$20002,A65,_Calc!$B$3:$B$20002,"&lt;&gt;")*100),"")</f>
        <v/>
      </c>
      <c r="G65" s="43">
        <f>IFERROR(IF(A65="","",IF(D65&gt;=70,"✓ Good",IF(E65&gt;4,"Low glucose","High glucose"))),"")</f>
        <v/>
      </c>
    </row>
    <row r="66">
      <c r="B66" s="40">
        <f>IFERROR(IF(A66="","",COUNTIFS(_Calc!$C$3:$C$20002,A66,_Calc!$B$3:$B$20002,"&lt;&gt;")),"")</f>
        <v/>
      </c>
      <c r="C66" s="41">
        <f>IFERROR(IF(A66="","",AVERAGEIFS(_Calc!$B$3:$B$20002,_Calc!$C$3:$C$20002,A66)),"")</f>
        <v/>
      </c>
      <c r="D66" s="42">
        <f>IFERROR(IF(A66="","",COUNTIFS(_Calc!$B$3:$B$20002,"&gt;="&amp;70,_Calc!$B$3:$B$20002,"&lt;="&amp;180,_Calc!$C$3:$C$20002,A66)/COUNTIFS(_Calc!$C$3:$C$20002,A66,_Calc!$B$3:$B$20002,"&lt;&gt;")*100),"")</f>
        <v/>
      </c>
      <c r="E66" s="42">
        <f>IFERROR(IF(A66="","",COUNTIFS(_Calc!$B$3:$B$20002,"&lt;70",_Calc!$C$3:$C$20002,A66)/COUNTIFS(_Calc!$C$3:$C$20002,A66,_Calc!$B$3:$B$20002,"&lt;&gt;")*100),"")</f>
        <v/>
      </c>
      <c r="F66" s="42">
        <f>IFERROR(IF(A66="","",COUNTIFS(_Calc!$B$3:$B$20002,"&gt;180",_Calc!$C$3:$C$20002,A66)/COUNTIFS(_Calc!$C$3:$C$20002,A66,_Calc!$B$3:$B$20002,"&lt;&gt;")*100),"")</f>
        <v/>
      </c>
      <c r="G66" s="43">
        <f>IFERROR(IF(A66="","",IF(D66&gt;=70,"✓ Good",IF(E66&gt;4,"Low glucose","High glucose"))),"")</f>
        <v/>
      </c>
    </row>
    <row r="67">
      <c r="B67" s="40">
        <f>IFERROR(IF(A67="","",COUNTIFS(_Calc!$C$3:$C$20002,A67,_Calc!$B$3:$B$20002,"&lt;&gt;")),"")</f>
        <v/>
      </c>
      <c r="C67" s="41">
        <f>IFERROR(IF(A67="","",AVERAGEIFS(_Calc!$B$3:$B$20002,_Calc!$C$3:$C$20002,A67)),"")</f>
        <v/>
      </c>
      <c r="D67" s="42">
        <f>IFERROR(IF(A67="","",COUNTIFS(_Calc!$B$3:$B$20002,"&gt;="&amp;70,_Calc!$B$3:$B$20002,"&lt;="&amp;180,_Calc!$C$3:$C$20002,A67)/COUNTIFS(_Calc!$C$3:$C$20002,A67,_Calc!$B$3:$B$20002,"&lt;&gt;")*100),"")</f>
        <v/>
      </c>
      <c r="E67" s="42">
        <f>IFERROR(IF(A67="","",COUNTIFS(_Calc!$B$3:$B$20002,"&lt;70",_Calc!$C$3:$C$20002,A67)/COUNTIFS(_Calc!$C$3:$C$20002,A67,_Calc!$B$3:$B$20002,"&lt;&gt;")*100),"")</f>
        <v/>
      </c>
      <c r="F67" s="42">
        <f>IFERROR(IF(A67="","",COUNTIFS(_Calc!$B$3:$B$20002,"&gt;180",_Calc!$C$3:$C$20002,A67)/COUNTIFS(_Calc!$C$3:$C$20002,A67,_Calc!$B$3:$B$20002,"&lt;&gt;")*100),"")</f>
        <v/>
      </c>
      <c r="G67" s="43">
        <f>IFERROR(IF(A67="","",IF(D67&gt;=70,"✓ Good",IF(E67&gt;4,"Low glucose","High glucose"))),"")</f>
        <v/>
      </c>
    </row>
    <row r="68">
      <c r="B68" s="40">
        <f>IFERROR(IF(A68="","",COUNTIFS(_Calc!$C$3:$C$20002,A68,_Calc!$B$3:$B$20002,"&lt;&gt;")),"")</f>
        <v/>
      </c>
      <c r="C68" s="41">
        <f>IFERROR(IF(A68="","",AVERAGEIFS(_Calc!$B$3:$B$20002,_Calc!$C$3:$C$20002,A68)),"")</f>
        <v/>
      </c>
      <c r="D68" s="42">
        <f>IFERROR(IF(A68="","",COUNTIFS(_Calc!$B$3:$B$20002,"&gt;="&amp;70,_Calc!$B$3:$B$20002,"&lt;="&amp;180,_Calc!$C$3:$C$20002,A68)/COUNTIFS(_Calc!$C$3:$C$20002,A68,_Calc!$B$3:$B$20002,"&lt;&gt;")*100),"")</f>
        <v/>
      </c>
      <c r="E68" s="42">
        <f>IFERROR(IF(A68="","",COUNTIFS(_Calc!$B$3:$B$20002,"&lt;70",_Calc!$C$3:$C$20002,A68)/COUNTIFS(_Calc!$C$3:$C$20002,A68,_Calc!$B$3:$B$20002,"&lt;&gt;")*100),"")</f>
        <v/>
      </c>
      <c r="F68" s="42">
        <f>IFERROR(IF(A68="","",COUNTIFS(_Calc!$B$3:$B$20002,"&gt;180",_Calc!$C$3:$C$20002,A68)/COUNTIFS(_Calc!$C$3:$C$20002,A68,_Calc!$B$3:$B$20002,"&lt;&gt;")*100),"")</f>
        <v/>
      </c>
      <c r="G68" s="43">
        <f>IFERROR(IF(A68="","",IF(D68&gt;=70,"✓ Good",IF(E68&gt;4,"Low glucose","High glucose"))),"")</f>
        <v/>
      </c>
    </row>
    <row r="69">
      <c r="B69" s="40">
        <f>IFERROR(IF(A69="","",COUNTIFS(_Calc!$C$3:$C$20002,A69,_Calc!$B$3:$B$20002,"&lt;&gt;")),"")</f>
        <v/>
      </c>
      <c r="C69" s="41">
        <f>IFERROR(IF(A69="","",AVERAGEIFS(_Calc!$B$3:$B$20002,_Calc!$C$3:$C$20002,A69)),"")</f>
        <v/>
      </c>
      <c r="D69" s="42">
        <f>IFERROR(IF(A69="","",COUNTIFS(_Calc!$B$3:$B$20002,"&gt;="&amp;70,_Calc!$B$3:$B$20002,"&lt;="&amp;180,_Calc!$C$3:$C$20002,A69)/COUNTIFS(_Calc!$C$3:$C$20002,A69,_Calc!$B$3:$B$20002,"&lt;&gt;")*100),"")</f>
        <v/>
      </c>
      <c r="E69" s="42">
        <f>IFERROR(IF(A69="","",COUNTIFS(_Calc!$B$3:$B$20002,"&lt;70",_Calc!$C$3:$C$20002,A69)/COUNTIFS(_Calc!$C$3:$C$20002,A69,_Calc!$B$3:$B$20002,"&lt;&gt;")*100),"")</f>
        <v/>
      </c>
      <c r="F69" s="42">
        <f>IFERROR(IF(A69="","",COUNTIFS(_Calc!$B$3:$B$20002,"&gt;180",_Calc!$C$3:$C$20002,A69)/COUNTIFS(_Calc!$C$3:$C$20002,A69,_Calc!$B$3:$B$20002,"&lt;&gt;")*100),"")</f>
        <v/>
      </c>
      <c r="G69" s="43">
        <f>IFERROR(IF(A69="","",IF(D69&gt;=70,"✓ Good",IF(E69&gt;4,"Low glucose","High glucose"))),"")</f>
        <v/>
      </c>
    </row>
    <row r="70">
      <c r="B70" s="40">
        <f>IFERROR(IF(A70="","",COUNTIFS(_Calc!$C$3:$C$20002,A70,_Calc!$B$3:$B$20002,"&lt;&gt;")),"")</f>
        <v/>
      </c>
      <c r="C70" s="41">
        <f>IFERROR(IF(A70="","",AVERAGEIFS(_Calc!$B$3:$B$20002,_Calc!$C$3:$C$20002,A70)),"")</f>
        <v/>
      </c>
      <c r="D70" s="42">
        <f>IFERROR(IF(A70="","",COUNTIFS(_Calc!$B$3:$B$20002,"&gt;="&amp;70,_Calc!$B$3:$B$20002,"&lt;="&amp;180,_Calc!$C$3:$C$20002,A70)/COUNTIFS(_Calc!$C$3:$C$20002,A70,_Calc!$B$3:$B$20002,"&lt;&gt;")*100),"")</f>
        <v/>
      </c>
      <c r="E70" s="42">
        <f>IFERROR(IF(A70="","",COUNTIFS(_Calc!$B$3:$B$20002,"&lt;70",_Calc!$C$3:$C$20002,A70)/COUNTIFS(_Calc!$C$3:$C$20002,A70,_Calc!$B$3:$B$20002,"&lt;&gt;")*100),"")</f>
        <v/>
      </c>
      <c r="F70" s="42">
        <f>IFERROR(IF(A70="","",COUNTIFS(_Calc!$B$3:$B$20002,"&gt;180",_Calc!$C$3:$C$20002,A70)/COUNTIFS(_Calc!$C$3:$C$20002,A70,_Calc!$B$3:$B$20002,"&lt;&gt;")*100),"")</f>
        <v/>
      </c>
      <c r="G70" s="43">
        <f>IFERROR(IF(A70="","",IF(D70&gt;=70,"✓ Good",IF(E70&gt;4,"Low glucose","High glucose"))),"")</f>
        <v/>
      </c>
    </row>
    <row r="71">
      <c r="B71" s="40">
        <f>IFERROR(IF(A71="","",COUNTIFS(_Calc!$C$3:$C$20002,A71,_Calc!$B$3:$B$20002,"&lt;&gt;")),"")</f>
        <v/>
      </c>
      <c r="C71" s="41">
        <f>IFERROR(IF(A71="","",AVERAGEIFS(_Calc!$B$3:$B$20002,_Calc!$C$3:$C$20002,A71)),"")</f>
        <v/>
      </c>
      <c r="D71" s="42">
        <f>IFERROR(IF(A71="","",COUNTIFS(_Calc!$B$3:$B$20002,"&gt;="&amp;70,_Calc!$B$3:$B$20002,"&lt;="&amp;180,_Calc!$C$3:$C$20002,A71)/COUNTIFS(_Calc!$C$3:$C$20002,A71,_Calc!$B$3:$B$20002,"&lt;&gt;")*100),"")</f>
        <v/>
      </c>
      <c r="E71" s="42">
        <f>IFERROR(IF(A71="","",COUNTIFS(_Calc!$B$3:$B$20002,"&lt;70",_Calc!$C$3:$C$20002,A71)/COUNTIFS(_Calc!$C$3:$C$20002,A71,_Calc!$B$3:$B$20002,"&lt;&gt;")*100),"")</f>
        <v/>
      </c>
      <c r="F71" s="42">
        <f>IFERROR(IF(A71="","",COUNTIFS(_Calc!$B$3:$B$20002,"&gt;180",_Calc!$C$3:$C$20002,A71)/COUNTIFS(_Calc!$C$3:$C$20002,A71,_Calc!$B$3:$B$20002,"&lt;&gt;")*100),"")</f>
        <v/>
      </c>
      <c r="G71" s="43">
        <f>IFERROR(IF(A71="","",IF(D71&gt;=70,"✓ Good",IF(E71&gt;4,"Low glucose","High glucose"))),"")</f>
        <v/>
      </c>
    </row>
    <row r="72">
      <c r="B72" s="40">
        <f>IFERROR(IF(A72="","",COUNTIFS(_Calc!$C$3:$C$20002,A72,_Calc!$B$3:$B$20002,"&lt;&gt;")),"")</f>
        <v/>
      </c>
      <c r="C72" s="41">
        <f>IFERROR(IF(A72="","",AVERAGEIFS(_Calc!$B$3:$B$20002,_Calc!$C$3:$C$20002,A72)),"")</f>
        <v/>
      </c>
      <c r="D72" s="42">
        <f>IFERROR(IF(A72="","",COUNTIFS(_Calc!$B$3:$B$20002,"&gt;="&amp;70,_Calc!$B$3:$B$20002,"&lt;="&amp;180,_Calc!$C$3:$C$20002,A72)/COUNTIFS(_Calc!$C$3:$C$20002,A72,_Calc!$B$3:$B$20002,"&lt;&gt;")*100),"")</f>
        <v/>
      </c>
      <c r="E72" s="42">
        <f>IFERROR(IF(A72="","",COUNTIFS(_Calc!$B$3:$B$20002,"&lt;70",_Calc!$C$3:$C$20002,A72)/COUNTIFS(_Calc!$C$3:$C$20002,A72,_Calc!$B$3:$B$20002,"&lt;&gt;")*100),"")</f>
        <v/>
      </c>
      <c r="F72" s="42">
        <f>IFERROR(IF(A72="","",COUNTIFS(_Calc!$B$3:$B$20002,"&gt;180",_Calc!$C$3:$C$20002,A72)/COUNTIFS(_Calc!$C$3:$C$20002,A72,_Calc!$B$3:$B$20002,"&lt;&gt;")*100),"")</f>
        <v/>
      </c>
      <c r="G72" s="43">
        <f>IFERROR(IF(A72="","",IF(D72&gt;=70,"✓ Good",IF(E72&gt;4,"Low glucose","High glucose"))),"")</f>
        <v/>
      </c>
    </row>
    <row r="73">
      <c r="B73" s="40">
        <f>IFERROR(IF(A73="","",COUNTIFS(_Calc!$C$3:$C$20002,A73,_Calc!$B$3:$B$20002,"&lt;&gt;")),"")</f>
        <v/>
      </c>
      <c r="C73" s="41">
        <f>IFERROR(IF(A73="","",AVERAGEIFS(_Calc!$B$3:$B$20002,_Calc!$C$3:$C$20002,A73)),"")</f>
        <v/>
      </c>
      <c r="D73" s="42">
        <f>IFERROR(IF(A73="","",COUNTIFS(_Calc!$B$3:$B$20002,"&gt;="&amp;70,_Calc!$B$3:$B$20002,"&lt;="&amp;180,_Calc!$C$3:$C$20002,A73)/COUNTIFS(_Calc!$C$3:$C$20002,A73,_Calc!$B$3:$B$20002,"&lt;&gt;")*100),"")</f>
        <v/>
      </c>
      <c r="E73" s="42">
        <f>IFERROR(IF(A73="","",COUNTIFS(_Calc!$B$3:$B$20002,"&lt;70",_Calc!$C$3:$C$20002,A73)/COUNTIFS(_Calc!$C$3:$C$20002,A73,_Calc!$B$3:$B$20002,"&lt;&gt;")*100),"")</f>
        <v/>
      </c>
      <c r="F73" s="42">
        <f>IFERROR(IF(A73="","",COUNTIFS(_Calc!$B$3:$B$20002,"&gt;180",_Calc!$C$3:$C$20002,A73)/COUNTIFS(_Calc!$C$3:$C$20002,A73,_Calc!$B$3:$B$20002,"&lt;&gt;")*100),"")</f>
        <v/>
      </c>
      <c r="G73" s="43">
        <f>IFERROR(IF(A73="","",IF(D73&gt;=70,"✓ Good",IF(E73&gt;4,"Low glucose","High glucose"))),"")</f>
        <v/>
      </c>
    </row>
    <row r="74">
      <c r="B74" s="40">
        <f>IFERROR(IF(A74="","",COUNTIFS(_Calc!$C$3:$C$20002,A74,_Calc!$B$3:$B$20002,"&lt;&gt;")),"")</f>
        <v/>
      </c>
      <c r="C74" s="41">
        <f>IFERROR(IF(A74="","",AVERAGEIFS(_Calc!$B$3:$B$20002,_Calc!$C$3:$C$20002,A74)),"")</f>
        <v/>
      </c>
      <c r="D74" s="42">
        <f>IFERROR(IF(A74="","",COUNTIFS(_Calc!$B$3:$B$20002,"&gt;="&amp;70,_Calc!$B$3:$B$20002,"&lt;="&amp;180,_Calc!$C$3:$C$20002,A74)/COUNTIFS(_Calc!$C$3:$C$20002,A74,_Calc!$B$3:$B$20002,"&lt;&gt;")*100),"")</f>
        <v/>
      </c>
      <c r="E74" s="42">
        <f>IFERROR(IF(A74="","",COUNTIFS(_Calc!$B$3:$B$20002,"&lt;70",_Calc!$C$3:$C$20002,A74)/COUNTIFS(_Calc!$C$3:$C$20002,A74,_Calc!$B$3:$B$20002,"&lt;&gt;")*100),"")</f>
        <v/>
      </c>
      <c r="F74" s="42">
        <f>IFERROR(IF(A74="","",COUNTIFS(_Calc!$B$3:$B$20002,"&gt;180",_Calc!$C$3:$C$20002,A74)/COUNTIFS(_Calc!$C$3:$C$20002,A74,_Calc!$B$3:$B$20002,"&lt;&gt;")*100),"")</f>
        <v/>
      </c>
      <c r="G74" s="43">
        <f>IFERROR(IF(A74="","",IF(D74&gt;=70,"✓ Good",IF(E74&gt;4,"Low glucose","High glucose"))),"")</f>
        <v/>
      </c>
    </row>
    <row r="75">
      <c r="B75" s="40">
        <f>IFERROR(IF(A75="","",COUNTIFS(_Calc!$C$3:$C$20002,A75,_Calc!$B$3:$B$20002,"&lt;&gt;")),"")</f>
        <v/>
      </c>
      <c r="C75" s="41">
        <f>IFERROR(IF(A75="","",AVERAGEIFS(_Calc!$B$3:$B$20002,_Calc!$C$3:$C$20002,A75)),"")</f>
        <v/>
      </c>
      <c r="D75" s="42">
        <f>IFERROR(IF(A75="","",COUNTIFS(_Calc!$B$3:$B$20002,"&gt;="&amp;70,_Calc!$B$3:$B$20002,"&lt;="&amp;180,_Calc!$C$3:$C$20002,A75)/COUNTIFS(_Calc!$C$3:$C$20002,A75,_Calc!$B$3:$B$20002,"&lt;&gt;")*100),"")</f>
        <v/>
      </c>
      <c r="E75" s="42">
        <f>IFERROR(IF(A75="","",COUNTIFS(_Calc!$B$3:$B$20002,"&lt;70",_Calc!$C$3:$C$20002,A75)/COUNTIFS(_Calc!$C$3:$C$20002,A75,_Calc!$B$3:$B$20002,"&lt;&gt;")*100),"")</f>
        <v/>
      </c>
      <c r="F75" s="42">
        <f>IFERROR(IF(A75="","",COUNTIFS(_Calc!$B$3:$B$20002,"&gt;180",_Calc!$C$3:$C$20002,A75)/COUNTIFS(_Calc!$C$3:$C$20002,A75,_Calc!$B$3:$B$20002,"&lt;&gt;")*100),"")</f>
        <v/>
      </c>
      <c r="G75" s="43">
        <f>IFERROR(IF(A75="","",IF(D75&gt;=70,"✓ Good",IF(E75&gt;4,"Low glucose","High glucose"))),"")</f>
        <v/>
      </c>
    </row>
    <row r="76">
      <c r="B76" s="40">
        <f>IFERROR(IF(A76="","",COUNTIFS(_Calc!$C$3:$C$20002,A76,_Calc!$B$3:$B$20002,"&lt;&gt;")),"")</f>
        <v/>
      </c>
      <c r="C76" s="41">
        <f>IFERROR(IF(A76="","",AVERAGEIFS(_Calc!$B$3:$B$20002,_Calc!$C$3:$C$20002,A76)),"")</f>
        <v/>
      </c>
      <c r="D76" s="42">
        <f>IFERROR(IF(A76="","",COUNTIFS(_Calc!$B$3:$B$20002,"&gt;="&amp;70,_Calc!$B$3:$B$20002,"&lt;="&amp;180,_Calc!$C$3:$C$20002,A76)/COUNTIFS(_Calc!$C$3:$C$20002,A76,_Calc!$B$3:$B$20002,"&lt;&gt;")*100),"")</f>
        <v/>
      </c>
      <c r="E76" s="42">
        <f>IFERROR(IF(A76="","",COUNTIFS(_Calc!$B$3:$B$20002,"&lt;70",_Calc!$C$3:$C$20002,A76)/COUNTIFS(_Calc!$C$3:$C$20002,A76,_Calc!$B$3:$B$20002,"&lt;&gt;")*100),"")</f>
        <v/>
      </c>
      <c r="F76" s="42">
        <f>IFERROR(IF(A76="","",COUNTIFS(_Calc!$B$3:$B$20002,"&gt;180",_Calc!$C$3:$C$20002,A76)/COUNTIFS(_Calc!$C$3:$C$20002,A76,_Calc!$B$3:$B$20002,"&lt;&gt;")*100),"")</f>
        <v/>
      </c>
      <c r="G76" s="43">
        <f>IFERROR(IF(A76="","",IF(D76&gt;=70,"✓ Good",IF(E76&gt;4,"Low glucose","High glucose"))),"")</f>
        <v/>
      </c>
    </row>
    <row r="77">
      <c r="B77" s="40">
        <f>IFERROR(IF(A77="","",COUNTIFS(_Calc!$C$3:$C$20002,A77,_Calc!$B$3:$B$20002,"&lt;&gt;")),"")</f>
        <v/>
      </c>
      <c r="C77" s="41">
        <f>IFERROR(IF(A77="","",AVERAGEIFS(_Calc!$B$3:$B$20002,_Calc!$C$3:$C$20002,A77)),"")</f>
        <v/>
      </c>
      <c r="D77" s="42">
        <f>IFERROR(IF(A77="","",COUNTIFS(_Calc!$B$3:$B$20002,"&gt;="&amp;70,_Calc!$B$3:$B$20002,"&lt;="&amp;180,_Calc!$C$3:$C$20002,A77)/COUNTIFS(_Calc!$C$3:$C$20002,A77,_Calc!$B$3:$B$20002,"&lt;&gt;")*100),"")</f>
        <v/>
      </c>
      <c r="E77" s="42">
        <f>IFERROR(IF(A77="","",COUNTIFS(_Calc!$B$3:$B$20002,"&lt;70",_Calc!$C$3:$C$20002,A77)/COUNTIFS(_Calc!$C$3:$C$20002,A77,_Calc!$B$3:$B$20002,"&lt;&gt;")*100),"")</f>
        <v/>
      </c>
      <c r="F77" s="42">
        <f>IFERROR(IF(A77="","",COUNTIFS(_Calc!$B$3:$B$20002,"&gt;180",_Calc!$C$3:$C$20002,A77)/COUNTIFS(_Calc!$C$3:$C$20002,A77,_Calc!$B$3:$B$20002,"&lt;&gt;")*100),"")</f>
        <v/>
      </c>
      <c r="G77" s="43">
        <f>IFERROR(IF(A77="","",IF(D77&gt;=70,"✓ Good",IF(E77&gt;4,"Low glucose","High glucose"))),"")</f>
        <v/>
      </c>
    </row>
    <row r="78">
      <c r="B78" s="40">
        <f>IFERROR(IF(A78="","",COUNTIFS(_Calc!$C$3:$C$20002,A78,_Calc!$B$3:$B$20002,"&lt;&gt;")),"")</f>
        <v/>
      </c>
      <c r="C78" s="41">
        <f>IFERROR(IF(A78="","",AVERAGEIFS(_Calc!$B$3:$B$20002,_Calc!$C$3:$C$20002,A78)),"")</f>
        <v/>
      </c>
      <c r="D78" s="42">
        <f>IFERROR(IF(A78="","",COUNTIFS(_Calc!$B$3:$B$20002,"&gt;="&amp;70,_Calc!$B$3:$B$20002,"&lt;="&amp;180,_Calc!$C$3:$C$20002,A78)/COUNTIFS(_Calc!$C$3:$C$20002,A78,_Calc!$B$3:$B$20002,"&lt;&gt;")*100),"")</f>
        <v/>
      </c>
      <c r="E78" s="42">
        <f>IFERROR(IF(A78="","",COUNTIFS(_Calc!$B$3:$B$20002,"&lt;70",_Calc!$C$3:$C$20002,A78)/COUNTIFS(_Calc!$C$3:$C$20002,A78,_Calc!$B$3:$B$20002,"&lt;&gt;")*100),"")</f>
        <v/>
      </c>
      <c r="F78" s="42">
        <f>IFERROR(IF(A78="","",COUNTIFS(_Calc!$B$3:$B$20002,"&gt;180",_Calc!$C$3:$C$20002,A78)/COUNTIFS(_Calc!$C$3:$C$20002,A78,_Calc!$B$3:$B$20002,"&lt;&gt;")*100),"")</f>
        <v/>
      </c>
      <c r="G78" s="43">
        <f>IFERROR(IF(A78="","",IF(D78&gt;=70,"✓ Good",IF(E78&gt;4,"Low glucose","High glucose"))),"")</f>
        <v/>
      </c>
    </row>
    <row r="79">
      <c r="B79" s="40">
        <f>IFERROR(IF(A79="","",COUNTIFS(_Calc!$C$3:$C$20002,A79,_Calc!$B$3:$B$20002,"&lt;&gt;")),"")</f>
        <v/>
      </c>
      <c r="C79" s="41">
        <f>IFERROR(IF(A79="","",AVERAGEIFS(_Calc!$B$3:$B$20002,_Calc!$C$3:$C$20002,A79)),"")</f>
        <v/>
      </c>
      <c r="D79" s="42">
        <f>IFERROR(IF(A79="","",COUNTIFS(_Calc!$B$3:$B$20002,"&gt;="&amp;70,_Calc!$B$3:$B$20002,"&lt;="&amp;180,_Calc!$C$3:$C$20002,A79)/COUNTIFS(_Calc!$C$3:$C$20002,A79,_Calc!$B$3:$B$20002,"&lt;&gt;")*100),"")</f>
        <v/>
      </c>
      <c r="E79" s="42">
        <f>IFERROR(IF(A79="","",COUNTIFS(_Calc!$B$3:$B$20002,"&lt;70",_Calc!$C$3:$C$20002,A79)/COUNTIFS(_Calc!$C$3:$C$20002,A79,_Calc!$B$3:$B$20002,"&lt;&gt;")*100),"")</f>
        <v/>
      </c>
      <c r="F79" s="42">
        <f>IFERROR(IF(A79="","",COUNTIFS(_Calc!$B$3:$B$20002,"&gt;180",_Calc!$C$3:$C$20002,A79)/COUNTIFS(_Calc!$C$3:$C$20002,A79,_Calc!$B$3:$B$20002,"&lt;&gt;")*100),"")</f>
        <v/>
      </c>
      <c r="G79" s="43">
        <f>IFERROR(IF(A79="","",IF(D79&gt;=70,"✓ Good",IF(E79&gt;4,"Low glucose","High glucose"))),"")</f>
        <v/>
      </c>
    </row>
    <row r="80">
      <c r="B80" s="40">
        <f>IFERROR(IF(A80="","",COUNTIFS(_Calc!$C$3:$C$20002,A80,_Calc!$B$3:$B$20002,"&lt;&gt;")),"")</f>
        <v/>
      </c>
      <c r="C80" s="41">
        <f>IFERROR(IF(A80="","",AVERAGEIFS(_Calc!$B$3:$B$20002,_Calc!$C$3:$C$20002,A80)),"")</f>
        <v/>
      </c>
      <c r="D80" s="42">
        <f>IFERROR(IF(A80="","",COUNTIFS(_Calc!$B$3:$B$20002,"&gt;="&amp;70,_Calc!$B$3:$B$20002,"&lt;="&amp;180,_Calc!$C$3:$C$20002,A80)/COUNTIFS(_Calc!$C$3:$C$20002,A80,_Calc!$B$3:$B$20002,"&lt;&gt;")*100),"")</f>
        <v/>
      </c>
      <c r="E80" s="42">
        <f>IFERROR(IF(A80="","",COUNTIFS(_Calc!$B$3:$B$20002,"&lt;70",_Calc!$C$3:$C$20002,A80)/COUNTIFS(_Calc!$C$3:$C$20002,A80,_Calc!$B$3:$B$20002,"&lt;&gt;")*100),"")</f>
        <v/>
      </c>
      <c r="F80" s="42">
        <f>IFERROR(IF(A80="","",COUNTIFS(_Calc!$B$3:$B$20002,"&gt;180",_Calc!$C$3:$C$20002,A80)/COUNTIFS(_Calc!$C$3:$C$20002,A80,_Calc!$B$3:$B$20002,"&lt;&gt;")*100),"")</f>
        <v/>
      </c>
      <c r="G80" s="43">
        <f>IFERROR(IF(A80="","",IF(D80&gt;=70,"✓ Good",IF(E80&gt;4,"Low glucose","High glucose"))),"")</f>
        <v/>
      </c>
    </row>
    <row r="81">
      <c r="B81" s="40">
        <f>IFERROR(IF(A81="","",COUNTIFS(_Calc!$C$3:$C$20002,A81,_Calc!$B$3:$B$20002,"&lt;&gt;")),"")</f>
        <v/>
      </c>
      <c r="C81" s="41">
        <f>IFERROR(IF(A81="","",AVERAGEIFS(_Calc!$B$3:$B$20002,_Calc!$C$3:$C$20002,A81)),"")</f>
        <v/>
      </c>
      <c r="D81" s="42">
        <f>IFERROR(IF(A81="","",COUNTIFS(_Calc!$B$3:$B$20002,"&gt;="&amp;70,_Calc!$B$3:$B$20002,"&lt;="&amp;180,_Calc!$C$3:$C$20002,A81)/COUNTIFS(_Calc!$C$3:$C$20002,A81,_Calc!$B$3:$B$20002,"&lt;&gt;")*100),"")</f>
        <v/>
      </c>
      <c r="E81" s="42">
        <f>IFERROR(IF(A81="","",COUNTIFS(_Calc!$B$3:$B$20002,"&lt;70",_Calc!$C$3:$C$20002,A81)/COUNTIFS(_Calc!$C$3:$C$20002,A81,_Calc!$B$3:$B$20002,"&lt;&gt;")*100),"")</f>
        <v/>
      </c>
      <c r="F81" s="42">
        <f>IFERROR(IF(A81="","",COUNTIFS(_Calc!$B$3:$B$20002,"&gt;180",_Calc!$C$3:$C$20002,A81)/COUNTIFS(_Calc!$C$3:$C$20002,A81,_Calc!$B$3:$B$20002,"&lt;&gt;")*100),"")</f>
        <v/>
      </c>
      <c r="G81" s="43">
        <f>IFERROR(IF(A81="","",IF(D81&gt;=70,"✓ Good",IF(E81&gt;4,"Low glucose","High glucose"))),"")</f>
        <v/>
      </c>
    </row>
    <row r="82">
      <c r="B82" s="40">
        <f>IFERROR(IF(A82="","",COUNTIFS(_Calc!$C$3:$C$20002,A82,_Calc!$B$3:$B$20002,"&lt;&gt;")),"")</f>
        <v/>
      </c>
      <c r="C82" s="41">
        <f>IFERROR(IF(A82="","",AVERAGEIFS(_Calc!$B$3:$B$20002,_Calc!$C$3:$C$20002,A82)),"")</f>
        <v/>
      </c>
      <c r="D82" s="42">
        <f>IFERROR(IF(A82="","",COUNTIFS(_Calc!$B$3:$B$20002,"&gt;="&amp;70,_Calc!$B$3:$B$20002,"&lt;="&amp;180,_Calc!$C$3:$C$20002,A82)/COUNTIFS(_Calc!$C$3:$C$20002,A82,_Calc!$B$3:$B$20002,"&lt;&gt;")*100),"")</f>
        <v/>
      </c>
      <c r="E82" s="42">
        <f>IFERROR(IF(A82="","",COUNTIFS(_Calc!$B$3:$B$20002,"&lt;70",_Calc!$C$3:$C$20002,A82)/COUNTIFS(_Calc!$C$3:$C$20002,A82,_Calc!$B$3:$B$20002,"&lt;&gt;")*100),"")</f>
        <v/>
      </c>
      <c r="F82" s="42">
        <f>IFERROR(IF(A82="","",COUNTIFS(_Calc!$B$3:$B$20002,"&gt;180",_Calc!$C$3:$C$20002,A82)/COUNTIFS(_Calc!$C$3:$C$20002,A82,_Calc!$B$3:$B$20002,"&lt;&gt;")*100),"")</f>
        <v/>
      </c>
      <c r="G82" s="43">
        <f>IFERROR(IF(A82="","",IF(D82&gt;=70,"✓ Good",IF(E82&gt;4,"Low glucose","High glucose"))),"")</f>
        <v/>
      </c>
    </row>
    <row r="83">
      <c r="B83" s="40">
        <f>IFERROR(IF(A83="","",COUNTIFS(_Calc!$C$3:$C$20002,A83,_Calc!$B$3:$B$20002,"&lt;&gt;")),"")</f>
        <v/>
      </c>
      <c r="C83" s="41">
        <f>IFERROR(IF(A83="","",AVERAGEIFS(_Calc!$B$3:$B$20002,_Calc!$C$3:$C$20002,A83)),"")</f>
        <v/>
      </c>
      <c r="D83" s="42">
        <f>IFERROR(IF(A83="","",COUNTIFS(_Calc!$B$3:$B$20002,"&gt;="&amp;70,_Calc!$B$3:$B$20002,"&lt;="&amp;180,_Calc!$C$3:$C$20002,A83)/COUNTIFS(_Calc!$C$3:$C$20002,A83,_Calc!$B$3:$B$20002,"&lt;&gt;")*100),"")</f>
        <v/>
      </c>
      <c r="E83" s="42">
        <f>IFERROR(IF(A83="","",COUNTIFS(_Calc!$B$3:$B$20002,"&lt;70",_Calc!$C$3:$C$20002,A83)/COUNTIFS(_Calc!$C$3:$C$20002,A83,_Calc!$B$3:$B$20002,"&lt;&gt;")*100),"")</f>
        <v/>
      </c>
      <c r="F83" s="42">
        <f>IFERROR(IF(A83="","",COUNTIFS(_Calc!$B$3:$B$20002,"&gt;180",_Calc!$C$3:$C$20002,A83)/COUNTIFS(_Calc!$C$3:$C$20002,A83,_Calc!$B$3:$B$20002,"&lt;&gt;")*100),"")</f>
        <v/>
      </c>
      <c r="G83" s="43">
        <f>IFERROR(IF(A83="","",IF(D83&gt;=70,"✓ Good",IF(E83&gt;4,"Low glucose","High glucose"))),"")</f>
        <v/>
      </c>
    </row>
    <row r="84">
      <c r="B84" s="40">
        <f>IFERROR(IF(A84="","",COUNTIFS(_Calc!$C$3:$C$20002,A84,_Calc!$B$3:$B$20002,"&lt;&gt;")),"")</f>
        <v/>
      </c>
      <c r="C84" s="41">
        <f>IFERROR(IF(A84="","",AVERAGEIFS(_Calc!$B$3:$B$20002,_Calc!$C$3:$C$20002,A84)),"")</f>
        <v/>
      </c>
      <c r="D84" s="42">
        <f>IFERROR(IF(A84="","",COUNTIFS(_Calc!$B$3:$B$20002,"&gt;="&amp;70,_Calc!$B$3:$B$20002,"&lt;="&amp;180,_Calc!$C$3:$C$20002,A84)/COUNTIFS(_Calc!$C$3:$C$20002,A84,_Calc!$B$3:$B$20002,"&lt;&gt;")*100),"")</f>
        <v/>
      </c>
      <c r="E84" s="42">
        <f>IFERROR(IF(A84="","",COUNTIFS(_Calc!$B$3:$B$20002,"&lt;70",_Calc!$C$3:$C$20002,A84)/COUNTIFS(_Calc!$C$3:$C$20002,A84,_Calc!$B$3:$B$20002,"&lt;&gt;")*100),"")</f>
        <v/>
      </c>
      <c r="F84" s="42">
        <f>IFERROR(IF(A84="","",COUNTIFS(_Calc!$B$3:$B$20002,"&gt;180",_Calc!$C$3:$C$20002,A84)/COUNTIFS(_Calc!$C$3:$C$20002,A84,_Calc!$B$3:$B$20002,"&lt;&gt;")*100),"")</f>
        <v/>
      </c>
      <c r="G84" s="43">
        <f>IFERROR(IF(A84="","",IF(D84&gt;=70,"✓ Good",IF(E84&gt;4,"Low glucose","High glucose"))),"")</f>
        <v/>
      </c>
    </row>
    <row r="85">
      <c r="B85" s="40">
        <f>IFERROR(IF(A85="","",COUNTIFS(_Calc!$C$3:$C$20002,A85,_Calc!$B$3:$B$20002,"&lt;&gt;")),"")</f>
        <v/>
      </c>
      <c r="C85" s="41">
        <f>IFERROR(IF(A85="","",AVERAGEIFS(_Calc!$B$3:$B$20002,_Calc!$C$3:$C$20002,A85)),"")</f>
        <v/>
      </c>
      <c r="D85" s="42">
        <f>IFERROR(IF(A85="","",COUNTIFS(_Calc!$B$3:$B$20002,"&gt;="&amp;70,_Calc!$B$3:$B$20002,"&lt;="&amp;180,_Calc!$C$3:$C$20002,A85)/COUNTIFS(_Calc!$C$3:$C$20002,A85,_Calc!$B$3:$B$20002,"&lt;&gt;")*100),"")</f>
        <v/>
      </c>
      <c r="E85" s="42">
        <f>IFERROR(IF(A85="","",COUNTIFS(_Calc!$B$3:$B$20002,"&lt;70",_Calc!$C$3:$C$20002,A85)/COUNTIFS(_Calc!$C$3:$C$20002,A85,_Calc!$B$3:$B$20002,"&lt;&gt;")*100),"")</f>
        <v/>
      </c>
      <c r="F85" s="42">
        <f>IFERROR(IF(A85="","",COUNTIFS(_Calc!$B$3:$B$20002,"&gt;180",_Calc!$C$3:$C$20002,A85)/COUNTIFS(_Calc!$C$3:$C$20002,A85,_Calc!$B$3:$B$20002,"&lt;&gt;")*100),"")</f>
        <v/>
      </c>
      <c r="G85" s="43">
        <f>IFERROR(IF(A85="","",IF(D85&gt;=70,"✓ Good",IF(E85&gt;4,"Low glucose","High glucose"))),"")</f>
        <v/>
      </c>
    </row>
    <row r="86">
      <c r="B86" s="40">
        <f>IFERROR(IF(A86="","",COUNTIFS(_Calc!$C$3:$C$20002,A86,_Calc!$B$3:$B$20002,"&lt;&gt;")),"")</f>
        <v/>
      </c>
      <c r="C86" s="41">
        <f>IFERROR(IF(A86="","",AVERAGEIFS(_Calc!$B$3:$B$20002,_Calc!$C$3:$C$20002,A86)),"")</f>
        <v/>
      </c>
      <c r="D86" s="42">
        <f>IFERROR(IF(A86="","",COUNTIFS(_Calc!$B$3:$B$20002,"&gt;="&amp;70,_Calc!$B$3:$B$20002,"&lt;="&amp;180,_Calc!$C$3:$C$20002,A86)/COUNTIFS(_Calc!$C$3:$C$20002,A86,_Calc!$B$3:$B$20002,"&lt;&gt;")*100),"")</f>
        <v/>
      </c>
      <c r="E86" s="42">
        <f>IFERROR(IF(A86="","",COUNTIFS(_Calc!$B$3:$B$20002,"&lt;70",_Calc!$C$3:$C$20002,A86)/COUNTIFS(_Calc!$C$3:$C$20002,A86,_Calc!$B$3:$B$20002,"&lt;&gt;")*100),"")</f>
        <v/>
      </c>
      <c r="F86" s="42">
        <f>IFERROR(IF(A86="","",COUNTIFS(_Calc!$B$3:$B$20002,"&gt;180",_Calc!$C$3:$C$20002,A86)/COUNTIFS(_Calc!$C$3:$C$20002,A86,_Calc!$B$3:$B$20002,"&lt;&gt;")*100),"")</f>
        <v/>
      </c>
      <c r="G86" s="43">
        <f>IFERROR(IF(A86="","",IF(D86&gt;=70,"✓ Good",IF(E86&gt;4,"Low glucose","High glucose"))),"")</f>
        <v/>
      </c>
    </row>
    <row r="87">
      <c r="B87" s="40">
        <f>IFERROR(IF(A87="","",COUNTIFS(_Calc!$C$3:$C$20002,A87,_Calc!$B$3:$B$20002,"&lt;&gt;")),"")</f>
        <v/>
      </c>
      <c r="C87" s="41">
        <f>IFERROR(IF(A87="","",AVERAGEIFS(_Calc!$B$3:$B$20002,_Calc!$C$3:$C$20002,A87)),"")</f>
        <v/>
      </c>
      <c r="D87" s="42">
        <f>IFERROR(IF(A87="","",COUNTIFS(_Calc!$B$3:$B$20002,"&gt;="&amp;70,_Calc!$B$3:$B$20002,"&lt;="&amp;180,_Calc!$C$3:$C$20002,A87)/COUNTIFS(_Calc!$C$3:$C$20002,A87,_Calc!$B$3:$B$20002,"&lt;&gt;")*100),"")</f>
        <v/>
      </c>
      <c r="E87" s="42">
        <f>IFERROR(IF(A87="","",COUNTIFS(_Calc!$B$3:$B$20002,"&lt;70",_Calc!$C$3:$C$20002,A87)/COUNTIFS(_Calc!$C$3:$C$20002,A87,_Calc!$B$3:$B$20002,"&lt;&gt;")*100),"")</f>
        <v/>
      </c>
      <c r="F87" s="42">
        <f>IFERROR(IF(A87="","",COUNTIFS(_Calc!$B$3:$B$20002,"&gt;180",_Calc!$C$3:$C$20002,A87)/COUNTIFS(_Calc!$C$3:$C$20002,A87,_Calc!$B$3:$B$20002,"&lt;&gt;")*100),"")</f>
        <v/>
      </c>
      <c r="G87" s="43">
        <f>IFERROR(IF(A87="","",IF(D87&gt;=70,"✓ Good",IF(E87&gt;4,"Low glucose","High glucose"))),"")</f>
        <v/>
      </c>
    </row>
    <row r="88">
      <c r="B88" s="40">
        <f>IFERROR(IF(A88="","",COUNTIFS(_Calc!$C$3:$C$20002,A88,_Calc!$B$3:$B$20002,"&lt;&gt;")),"")</f>
        <v/>
      </c>
      <c r="C88" s="41">
        <f>IFERROR(IF(A88="","",AVERAGEIFS(_Calc!$B$3:$B$20002,_Calc!$C$3:$C$20002,A88)),"")</f>
        <v/>
      </c>
      <c r="D88" s="42">
        <f>IFERROR(IF(A88="","",COUNTIFS(_Calc!$B$3:$B$20002,"&gt;="&amp;70,_Calc!$B$3:$B$20002,"&lt;="&amp;180,_Calc!$C$3:$C$20002,A88)/COUNTIFS(_Calc!$C$3:$C$20002,A88,_Calc!$B$3:$B$20002,"&lt;&gt;")*100),"")</f>
        <v/>
      </c>
      <c r="E88" s="42">
        <f>IFERROR(IF(A88="","",COUNTIFS(_Calc!$B$3:$B$20002,"&lt;70",_Calc!$C$3:$C$20002,A88)/COUNTIFS(_Calc!$C$3:$C$20002,A88,_Calc!$B$3:$B$20002,"&lt;&gt;")*100),"")</f>
        <v/>
      </c>
      <c r="F88" s="42">
        <f>IFERROR(IF(A88="","",COUNTIFS(_Calc!$B$3:$B$20002,"&gt;180",_Calc!$C$3:$C$20002,A88)/COUNTIFS(_Calc!$C$3:$C$20002,A88,_Calc!$B$3:$B$20002,"&lt;&gt;")*100),"")</f>
        <v/>
      </c>
      <c r="G88" s="43">
        <f>IFERROR(IF(A88="","",IF(D88&gt;=70,"✓ Good",IF(E88&gt;4,"Low glucose","High glucose"))),"")</f>
        <v/>
      </c>
    </row>
    <row r="89">
      <c r="B89" s="40">
        <f>IFERROR(IF(A89="","",COUNTIFS(_Calc!$C$3:$C$20002,A89,_Calc!$B$3:$B$20002,"&lt;&gt;")),"")</f>
        <v/>
      </c>
      <c r="C89" s="41">
        <f>IFERROR(IF(A89="","",AVERAGEIFS(_Calc!$B$3:$B$20002,_Calc!$C$3:$C$20002,A89)),"")</f>
        <v/>
      </c>
      <c r="D89" s="42">
        <f>IFERROR(IF(A89="","",COUNTIFS(_Calc!$B$3:$B$20002,"&gt;="&amp;70,_Calc!$B$3:$B$20002,"&lt;="&amp;180,_Calc!$C$3:$C$20002,A89)/COUNTIFS(_Calc!$C$3:$C$20002,A89,_Calc!$B$3:$B$20002,"&lt;&gt;")*100),"")</f>
        <v/>
      </c>
      <c r="E89" s="42">
        <f>IFERROR(IF(A89="","",COUNTIFS(_Calc!$B$3:$B$20002,"&lt;70",_Calc!$C$3:$C$20002,A89)/COUNTIFS(_Calc!$C$3:$C$20002,A89,_Calc!$B$3:$B$20002,"&lt;&gt;")*100),"")</f>
        <v/>
      </c>
      <c r="F89" s="42">
        <f>IFERROR(IF(A89="","",COUNTIFS(_Calc!$B$3:$B$20002,"&gt;180",_Calc!$C$3:$C$20002,A89)/COUNTIFS(_Calc!$C$3:$C$20002,A89,_Calc!$B$3:$B$20002,"&lt;&gt;")*100),"")</f>
        <v/>
      </c>
      <c r="G89" s="43">
        <f>IFERROR(IF(A89="","",IF(D89&gt;=70,"✓ Good",IF(E89&gt;4,"Low glucose","High glucose"))),"")</f>
        <v/>
      </c>
    </row>
    <row r="90">
      <c r="B90" s="40">
        <f>IFERROR(IF(A90="","",COUNTIFS(_Calc!$C$3:$C$20002,A90,_Calc!$B$3:$B$20002,"&lt;&gt;")),"")</f>
        <v/>
      </c>
      <c r="C90" s="41">
        <f>IFERROR(IF(A90="","",AVERAGEIFS(_Calc!$B$3:$B$20002,_Calc!$C$3:$C$20002,A90)),"")</f>
        <v/>
      </c>
      <c r="D90" s="42">
        <f>IFERROR(IF(A90="","",COUNTIFS(_Calc!$B$3:$B$20002,"&gt;="&amp;70,_Calc!$B$3:$B$20002,"&lt;="&amp;180,_Calc!$C$3:$C$20002,A90)/COUNTIFS(_Calc!$C$3:$C$20002,A90,_Calc!$B$3:$B$20002,"&lt;&gt;")*100),"")</f>
        <v/>
      </c>
      <c r="E90" s="42">
        <f>IFERROR(IF(A90="","",COUNTIFS(_Calc!$B$3:$B$20002,"&lt;70",_Calc!$C$3:$C$20002,A90)/COUNTIFS(_Calc!$C$3:$C$20002,A90,_Calc!$B$3:$B$20002,"&lt;&gt;")*100),"")</f>
        <v/>
      </c>
      <c r="F90" s="42">
        <f>IFERROR(IF(A90="","",COUNTIFS(_Calc!$B$3:$B$20002,"&gt;180",_Calc!$C$3:$C$20002,A90)/COUNTIFS(_Calc!$C$3:$C$20002,A90,_Calc!$B$3:$B$20002,"&lt;&gt;")*100),"")</f>
        <v/>
      </c>
      <c r="G90" s="43">
        <f>IFERROR(IF(A90="","",IF(D90&gt;=70,"✓ Good",IF(E90&gt;4,"Low glucose","High glucose"))),"")</f>
        <v/>
      </c>
    </row>
    <row r="91">
      <c r="B91" s="40">
        <f>IFERROR(IF(A91="","",COUNTIFS(_Calc!$C$3:$C$20002,A91,_Calc!$B$3:$B$20002,"&lt;&gt;")),"")</f>
        <v/>
      </c>
      <c r="C91" s="41">
        <f>IFERROR(IF(A91="","",AVERAGEIFS(_Calc!$B$3:$B$20002,_Calc!$C$3:$C$20002,A91)),"")</f>
        <v/>
      </c>
      <c r="D91" s="42">
        <f>IFERROR(IF(A91="","",COUNTIFS(_Calc!$B$3:$B$20002,"&gt;="&amp;70,_Calc!$B$3:$B$20002,"&lt;="&amp;180,_Calc!$C$3:$C$20002,A91)/COUNTIFS(_Calc!$C$3:$C$20002,A91,_Calc!$B$3:$B$20002,"&lt;&gt;")*100),"")</f>
        <v/>
      </c>
      <c r="E91" s="42">
        <f>IFERROR(IF(A91="","",COUNTIFS(_Calc!$B$3:$B$20002,"&lt;70",_Calc!$C$3:$C$20002,A91)/COUNTIFS(_Calc!$C$3:$C$20002,A91,_Calc!$B$3:$B$20002,"&lt;&gt;")*100),"")</f>
        <v/>
      </c>
      <c r="F91" s="42">
        <f>IFERROR(IF(A91="","",COUNTIFS(_Calc!$B$3:$B$20002,"&gt;180",_Calc!$C$3:$C$20002,A91)/COUNTIFS(_Calc!$C$3:$C$20002,A91,_Calc!$B$3:$B$20002,"&lt;&gt;")*100),"")</f>
        <v/>
      </c>
      <c r="G91" s="43">
        <f>IFERROR(IF(A91="","",IF(D91&gt;=70,"✓ Good",IF(E91&gt;4,"Low glucose","High glucose"))),"")</f>
        <v/>
      </c>
    </row>
    <row r="92">
      <c r="B92" s="40">
        <f>IFERROR(IF(A92="","",COUNTIFS(_Calc!$C$3:$C$20002,A92,_Calc!$B$3:$B$20002,"&lt;&gt;")),"")</f>
        <v/>
      </c>
      <c r="C92" s="41">
        <f>IFERROR(IF(A92="","",AVERAGEIFS(_Calc!$B$3:$B$20002,_Calc!$C$3:$C$20002,A92)),"")</f>
        <v/>
      </c>
      <c r="D92" s="42">
        <f>IFERROR(IF(A92="","",COUNTIFS(_Calc!$B$3:$B$20002,"&gt;="&amp;70,_Calc!$B$3:$B$20002,"&lt;="&amp;180,_Calc!$C$3:$C$20002,A92)/COUNTIFS(_Calc!$C$3:$C$20002,A92,_Calc!$B$3:$B$20002,"&lt;&gt;")*100),"")</f>
        <v/>
      </c>
      <c r="E92" s="42">
        <f>IFERROR(IF(A92="","",COUNTIFS(_Calc!$B$3:$B$20002,"&lt;70",_Calc!$C$3:$C$20002,A92)/COUNTIFS(_Calc!$C$3:$C$20002,A92,_Calc!$B$3:$B$20002,"&lt;&gt;")*100),"")</f>
        <v/>
      </c>
      <c r="F92" s="42">
        <f>IFERROR(IF(A92="","",COUNTIFS(_Calc!$B$3:$B$20002,"&gt;180",_Calc!$C$3:$C$20002,A92)/COUNTIFS(_Calc!$C$3:$C$20002,A92,_Calc!$B$3:$B$20002,"&lt;&gt;")*100),"")</f>
        <v/>
      </c>
      <c r="G92" s="43">
        <f>IFERROR(IF(A92="","",IF(D92&gt;=70,"✓ Good",IF(E92&gt;4,"Low glucose","High glucose"))),"")</f>
        <v/>
      </c>
    </row>
    <row r="93">
      <c r="B93" s="40">
        <f>IFERROR(IF(A93="","",COUNTIFS(_Calc!$C$3:$C$20002,A93,_Calc!$B$3:$B$20002,"&lt;&gt;")),"")</f>
        <v/>
      </c>
      <c r="C93" s="41">
        <f>IFERROR(IF(A93="","",AVERAGEIFS(_Calc!$B$3:$B$20002,_Calc!$C$3:$C$20002,A93)),"")</f>
        <v/>
      </c>
      <c r="D93" s="42">
        <f>IFERROR(IF(A93="","",COUNTIFS(_Calc!$B$3:$B$20002,"&gt;="&amp;70,_Calc!$B$3:$B$20002,"&lt;="&amp;180,_Calc!$C$3:$C$20002,A93)/COUNTIFS(_Calc!$C$3:$C$20002,A93,_Calc!$B$3:$B$20002,"&lt;&gt;")*100),"")</f>
        <v/>
      </c>
      <c r="E93" s="42">
        <f>IFERROR(IF(A93="","",COUNTIFS(_Calc!$B$3:$B$20002,"&lt;70",_Calc!$C$3:$C$20002,A93)/COUNTIFS(_Calc!$C$3:$C$20002,A93,_Calc!$B$3:$B$20002,"&lt;&gt;")*100),"")</f>
        <v/>
      </c>
      <c r="F93" s="42">
        <f>IFERROR(IF(A93="","",COUNTIFS(_Calc!$B$3:$B$20002,"&gt;180",_Calc!$C$3:$C$20002,A93)/COUNTIFS(_Calc!$C$3:$C$20002,A93,_Calc!$B$3:$B$20002,"&lt;&gt;")*100),"")</f>
        <v/>
      </c>
      <c r="G93" s="43">
        <f>IFERROR(IF(A93="","",IF(D93&gt;=70,"✓ Good",IF(E93&gt;4,"Low glucose","High glucose"))),"")</f>
        <v/>
      </c>
    </row>
    <row r="94">
      <c r="B94" s="40">
        <f>IFERROR(IF(A94="","",COUNTIFS(_Calc!$C$3:$C$20002,A94,_Calc!$B$3:$B$20002,"&lt;&gt;")),"")</f>
        <v/>
      </c>
      <c r="C94" s="41">
        <f>IFERROR(IF(A94="","",AVERAGEIFS(_Calc!$B$3:$B$20002,_Calc!$C$3:$C$20002,A94)),"")</f>
        <v/>
      </c>
      <c r="D94" s="42">
        <f>IFERROR(IF(A94="","",COUNTIFS(_Calc!$B$3:$B$20002,"&gt;="&amp;70,_Calc!$B$3:$B$20002,"&lt;="&amp;180,_Calc!$C$3:$C$20002,A94)/COUNTIFS(_Calc!$C$3:$C$20002,A94,_Calc!$B$3:$B$20002,"&lt;&gt;")*100),"")</f>
        <v/>
      </c>
      <c r="E94" s="42">
        <f>IFERROR(IF(A94="","",COUNTIFS(_Calc!$B$3:$B$20002,"&lt;70",_Calc!$C$3:$C$20002,A94)/COUNTIFS(_Calc!$C$3:$C$20002,A94,_Calc!$B$3:$B$20002,"&lt;&gt;")*100),"")</f>
        <v/>
      </c>
      <c r="F94" s="42">
        <f>IFERROR(IF(A94="","",COUNTIFS(_Calc!$B$3:$B$20002,"&gt;180",_Calc!$C$3:$C$20002,A94)/COUNTIFS(_Calc!$C$3:$C$20002,A94,_Calc!$B$3:$B$20002,"&lt;&gt;")*100),"")</f>
        <v/>
      </c>
      <c r="G94" s="43">
        <f>IFERROR(IF(A94="","",IF(D94&gt;=70,"✓ Good",IF(E94&gt;4,"Low glucose","High glucose"))),"")</f>
        <v/>
      </c>
    </row>
    <row r="95">
      <c r="B95" s="40">
        <f>IFERROR(IF(A95="","",COUNTIFS(_Calc!$C$3:$C$20002,A95,_Calc!$B$3:$B$20002,"&lt;&gt;")),"")</f>
        <v/>
      </c>
      <c r="C95" s="41">
        <f>IFERROR(IF(A95="","",AVERAGEIFS(_Calc!$B$3:$B$20002,_Calc!$C$3:$C$20002,A95)),"")</f>
        <v/>
      </c>
      <c r="D95" s="42">
        <f>IFERROR(IF(A95="","",COUNTIFS(_Calc!$B$3:$B$20002,"&gt;="&amp;70,_Calc!$B$3:$B$20002,"&lt;="&amp;180,_Calc!$C$3:$C$20002,A95)/COUNTIFS(_Calc!$C$3:$C$20002,A95,_Calc!$B$3:$B$20002,"&lt;&gt;")*100),"")</f>
        <v/>
      </c>
      <c r="E95" s="42">
        <f>IFERROR(IF(A95="","",COUNTIFS(_Calc!$B$3:$B$20002,"&lt;70",_Calc!$C$3:$C$20002,A95)/COUNTIFS(_Calc!$C$3:$C$20002,A95,_Calc!$B$3:$B$20002,"&lt;&gt;")*100),"")</f>
        <v/>
      </c>
      <c r="F95" s="42">
        <f>IFERROR(IF(A95="","",COUNTIFS(_Calc!$B$3:$B$20002,"&gt;180",_Calc!$C$3:$C$20002,A95)/COUNTIFS(_Calc!$C$3:$C$20002,A95,_Calc!$B$3:$B$20002,"&lt;&gt;")*100),"")</f>
        <v/>
      </c>
      <c r="G95" s="43">
        <f>IFERROR(IF(A95="","",IF(D95&gt;=70,"✓ Good",IF(E95&gt;4,"Low glucose","High glucose"))),"")</f>
        <v/>
      </c>
    </row>
    <row r="96">
      <c r="B96" s="40">
        <f>IFERROR(IF(A96="","",COUNTIFS(_Calc!$C$3:$C$20002,A96,_Calc!$B$3:$B$20002,"&lt;&gt;")),"")</f>
        <v/>
      </c>
      <c r="C96" s="41">
        <f>IFERROR(IF(A96="","",AVERAGEIFS(_Calc!$B$3:$B$20002,_Calc!$C$3:$C$20002,A96)),"")</f>
        <v/>
      </c>
      <c r="D96" s="42">
        <f>IFERROR(IF(A96="","",COUNTIFS(_Calc!$B$3:$B$20002,"&gt;="&amp;70,_Calc!$B$3:$B$20002,"&lt;="&amp;180,_Calc!$C$3:$C$20002,A96)/COUNTIFS(_Calc!$C$3:$C$20002,A96,_Calc!$B$3:$B$20002,"&lt;&gt;")*100),"")</f>
        <v/>
      </c>
      <c r="E96" s="42">
        <f>IFERROR(IF(A96="","",COUNTIFS(_Calc!$B$3:$B$20002,"&lt;70",_Calc!$C$3:$C$20002,A96)/COUNTIFS(_Calc!$C$3:$C$20002,A96,_Calc!$B$3:$B$20002,"&lt;&gt;")*100),"")</f>
        <v/>
      </c>
      <c r="F96" s="42">
        <f>IFERROR(IF(A96="","",COUNTIFS(_Calc!$B$3:$B$20002,"&gt;180",_Calc!$C$3:$C$20002,A96)/COUNTIFS(_Calc!$C$3:$C$20002,A96,_Calc!$B$3:$B$20002,"&lt;&gt;")*100),"")</f>
        <v/>
      </c>
      <c r="G96" s="43">
        <f>IFERROR(IF(A96="","",IF(D96&gt;=70,"✓ Good",IF(E96&gt;4,"Low glucose","High glucose"))),"")</f>
        <v/>
      </c>
    </row>
    <row r="97">
      <c r="B97" s="40">
        <f>IFERROR(IF(A97="","",COUNTIFS(_Calc!$C$3:$C$20002,A97,_Calc!$B$3:$B$20002,"&lt;&gt;")),"")</f>
        <v/>
      </c>
      <c r="C97" s="41">
        <f>IFERROR(IF(A97="","",AVERAGEIFS(_Calc!$B$3:$B$20002,_Calc!$C$3:$C$20002,A97)),"")</f>
        <v/>
      </c>
      <c r="D97" s="42">
        <f>IFERROR(IF(A97="","",COUNTIFS(_Calc!$B$3:$B$20002,"&gt;="&amp;70,_Calc!$B$3:$B$20002,"&lt;="&amp;180,_Calc!$C$3:$C$20002,A97)/COUNTIFS(_Calc!$C$3:$C$20002,A97,_Calc!$B$3:$B$20002,"&lt;&gt;")*100),"")</f>
        <v/>
      </c>
      <c r="E97" s="42">
        <f>IFERROR(IF(A97="","",COUNTIFS(_Calc!$B$3:$B$20002,"&lt;70",_Calc!$C$3:$C$20002,A97)/COUNTIFS(_Calc!$C$3:$C$20002,A97,_Calc!$B$3:$B$20002,"&lt;&gt;")*100),"")</f>
        <v/>
      </c>
      <c r="F97" s="42">
        <f>IFERROR(IF(A97="","",COUNTIFS(_Calc!$B$3:$B$20002,"&gt;180",_Calc!$C$3:$C$20002,A97)/COUNTIFS(_Calc!$C$3:$C$20002,A97,_Calc!$B$3:$B$20002,"&lt;&gt;")*100),"")</f>
        <v/>
      </c>
      <c r="G97" s="43">
        <f>IFERROR(IF(A97="","",IF(D97&gt;=70,"✓ Good",IF(E97&gt;4,"Low glucose","High glucose"))),"")</f>
        <v/>
      </c>
    </row>
    <row r="98">
      <c r="B98" s="40">
        <f>IFERROR(IF(A98="","",COUNTIFS(_Calc!$C$3:$C$20002,A98,_Calc!$B$3:$B$20002,"&lt;&gt;")),"")</f>
        <v/>
      </c>
      <c r="C98" s="41">
        <f>IFERROR(IF(A98="","",AVERAGEIFS(_Calc!$B$3:$B$20002,_Calc!$C$3:$C$20002,A98)),"")</f>
        <v/>
      </c>
      <c r="D98" s="42">
        <f>IFERROR(IF(A98="","",COUNTIFS(_Calc!$B$3:$B$20002,"&gt;="&amp;70,_Calc!$B$3:$B$20002,"&lt;="&amp;180,_Calc!$C$3:$C$20002,A98)/COUNTIFS(_Calc!$C$3:$C$20002,A98,_Calc!$B$3:$B$20002,"&lt;&gt;")*100),"")</f>
        <v/>
      </c>
      <c r="E98" s="42">
        <f>IFERROR(IF(A98="","",COUNTIFS(_Calc!$B$3:$B$20002,"&lt;70",_Calc!$C$3:$C$20002,A98)/COUNTIFS(_Calc!$C$3:$C$20002,A98,_Calc!$B$3:$B$20002,"&lt;&gt;")*100),"")</f>
        <v/>
      </c>
      <c r="F98" s="42">
        <f>IFERROR(IF(A98="","",COUNTIFS(_Calc!$B$3:$B$20002,"&gt;180",_Calc!$C$3:$C$20002,A98)/COUNTIFS(_Calc!$C$3:$C$20002,A98,_Calc!$B$3:$B$20002,"&lt;&gt;")*100),"")</f>
        <v/>
      </c>
      <c r="G98" s="43">
        <f>IFERROR(IF(A98="","",IF(D98&gt;=70,"✓ Good",IF(E98&gt;4,"Low glucose","High glucose"))),"")</f>
        <v/>
      </c>
    </row>
    <row r="99">
      <c r="B99" s="40">
        <f>IFERROR(IF(A99="","",COUNTIFS(_Calc!$C$3:$C$20002,A99,_Calc!$B$3:$B$20002,"&lt;&gt;")),"")</f>
        <v/>
      </c>
      <c r="C99" s="41">
        <f>IFERROR(IF(A99="","",AVERAGEIFS(_Calc!$B$3:$B$20002,_Calc!$C$3:$C$20002,A99)),"")</f>
        <v/>
      </c>
      <c r="D99" s="42">
        <f>IFERROR(IF(A99="","",COUNTIFS(_Calc!$B$3:$B$20002,"&gt;="&amp;70,_Calc!$B$3:$B$20002,"&lt;="&amp;180,_Calc!$C$3:$C$20002,A99)/COUNTIFS(_Calc!$C$3:$C$20002,A99,_Calc!$B$3:$B$20002,"&lt;&gt;")*100),"")</f>
        <v/>
      </c>
      <c r="E99" s="42">
        <f>IFERROR(IF(A99="","",COUNTIFS(_Calc!$B$3:$B$20002,"&lt;70",_Calc!$C$3:$C$20002,A99)/COUNTIFS(_Calc!$C$3:$C$20002,A99,_Calc!$B$3:$B$20002,"&lt;&gt;")*100),"")</f>
        <v/>
      </c>
      <c r="F99" s="42">
        <f>IFERROR(IF(A99="","",COUNTIFS(_Calc!$B$3:$B$20002,"&gt;180",_Calc!$C$3:$C$20002,A99)/COUNTIFS(_Calc!$C$3:$C$20002,A99,_Calc!$B$3:$B$20002,"&lt;&gt;")*100),"")</f>
        <v/>
      </c>
      <c r="G99" s="43">
        <f>IFERROR(IF(A99="","",IF(D99&gt;=70,"✓ Good",IF(E99&gt;4,"Low glucose","High glucose"))),"")</f>
        <v/>
      </c>
    </row>
    <row r="100">
      <c r="B100" s="40">
        <f>IFERROR(IF(A100="","",COUNTIFS(_Calc!$C$3:$C$20002,A100,_Calc!$B$3:$B$20002,"&lt;&gt;")),"")</f>
        <v/>
      </c>
      <c r="C100" s="41">
        <f>IFERROR(IF(A100="","",AVERAGEIFS(_Calc!$B$3:$B$20002,_Calc!$C$3:$C$20002,A100)),"")</f>
        <v/>
      </c>
      <c r="D100" s="42">
        <f>IFERROR(IF(A100="","",COUNTIFS(_Calc!$B$3:$B$20002,"&gt;="&amp;70,_Calc!$B$3:$B$20002,"&lt;="&amp;180,_Calc!$C$3:$C$20002,A100)/COUNTIFS(_Calc!$C$3:$C$20002,A100,_Calc!$B$3:$B$20002,"&lt;&gt;")*100),"")</f>
        <v/>
      </c>
      <c r="E100" s="42">
        <f>IFERROR(IF(A100="","",COUNTIFS(_Calc!$B$3:$B$20002,"&lt;70",_Calc!$C$3:$C$20002,A100)/COUNTIFS(_Calc!$C$3:$C$20002,A100,_Calc!$B$3:$B$20002,"&lt;&gt;")*100),"")</f>
        <v/>
      </c>
      <c r="F100" s="42">
        <f>IFERROR(IF(A100="","",COUNTIFS(_Calc!$B$3:$B$20002,"&gt;180",_Calc!$C$3:$C$20002,A100)/COUNTIFS(_Calc!$C$3:$C$20002,A100,_Calc!$B$3:$B$20002,"&lt;&gt;")*100),"")</f>
        <v/>
      </c>
      <c r="G100" s="43">
        <f>IFERROR(IF(A100="","",IF(D100&gt;=70,"✓ Good",IF(E100&gt;4,"Low glucose","High glucose"))),"")</f>
        <v/>
      </c>
    </row>
    <row r="101">
      <c r="B101" s="40">
        <f>IFERROR(IF(A101="","",COUNTIFS(_Calc!$C$3:$C$20002,A101,_Calc!$B$3:$B$20002,"&lt;&gt;")),"")</f>
        <v/>
      </c>
      <c r="C101" s="41">
        <f>IFERROR(IF(A101="","",AVERAGEIFS(_Calc!$B$3:$B$20002,_Calc!$C$3:$C$20002,A101)),"")</f>
        <v/>
      </c>
      <c r="D101" s="42">
        <f>IFERROR(IF(A101="","",COUNTIFS(_Calc!$B$3:$B$20002,"&gt;="&amp;70,_Calc!$B$3:$B$20002,"&lt;="&amp;180,_Calc!$C$3:$C$20002,A101)/COUNTIFS(_Calc!$C$3:$C$20002,A101,_Calc!$B$3:$B$20002,"&lt;&gt;")*100),"")</f>
        <v/>
      </c>
      <c r="E101" s="42">
        <f>IFERROR(IF(A101="","",COUNTIFS(_Calc!$B$3:$B$20002,"&lt;70",_Calc!$C$3:$C$20002,A101)/COUNTIFS(_Calc!$C$3:$C$20002,A101,_Calc!$B$3:$B$20002,"&lt;&gt;")*100),"")</f>
        <v/>
      </c>
      <c r="F101" s="42">
        <f>IFERROR(IF(A101="","",COUNTIFS(_Calc!$B$3:$B$20002,"&gt;180",_Calc!$C$3:$C$20002,A101)/COUNTIFS(_Calc!$C$3:$C$20002,A101,_Calc!$B$3:$B$20002,"&lt;&gt;")*100),"")</f>
        <v/>
      </c>
      <c r="G101" s="43">
        <f>IFERROR(IF(A101="","",IF(D101&gt;=70,"✓ Good",IF(E101&gt;4,"Low glucose","High glucose"))),"")</f>
        <v/>
      </c>
    </row>
    <row r="102">
      <c r="B102" s="40">
        <f>IFERROR(IF(A102="","",COUNTIFS(_Calc!$C$3:$C$20002,A102,_Calc!$B$3:$B$20002,"&lt;&gt;")),"")</f>
        <v/>
      </c>
      <c r="C102" s="41">
        <f>IFERROR(IF(A102="","",AVERAGEIFS(_Calc!$B$3:$B$20002,_Calc!$C$3:$C$20002,A102)),"")</f>
        <v/>
      </c>
      <c r="D102" s="42">
        <f>IFERROR(IF(A102="","",COUNTIFS(_Calc!$B$3:$B$20002,"&gt;="&amp;70,_Calc!$B$3:$B$20002,"&lt;="&amp;180,_Calc!$C$3:$C$20002,A102)/COUNTIFS(_Calc!$C$3:$C$20002,A102,_Calc!$B$3:$B$20002,"&lt;&gt;")*100),"")</f>
        <v/>
      </c>
      <c r="E102" s="42">
        <f>IFERROR(IF(A102="","",COUNTIFS(_Calc!$B$3:$B$20002,"&lt;70",_Calc!$C$3:$C$20002,A102)/COUNTIFS(_Calc!$C$3:$C$20002,A102,_Calc!$B$3:$B$20002,"&lt;&gt;")*100),"")</f>
        <v/>
      </c>
      <c r="F102" s="42">
        <f>IFERROR(IF(A102="","",COUNTIFS(_Calc!$B$3:$B$20002,"&gt;180",_Calc!$C$3:$C$20002,A102)/COUNTIFS(_Calc!$C$3:$C$20002,A102,_Calc!$B$3:$B$20002,"&lt;&gt;")*100),"")</f>
        <v/>
      </c>
      <c r="G102" s="43">
        <f>IFERROR(IF(A102="","",IF(D102&gt;=70,"✓ Good",IF(E102&gt;4,"Low glucose","High glucose"))),"")</f>
        <v/>
      </c>
    </row>
    <row r="103">
      <c r="B103" s="40">
        <f>IFERROR(IF(A103="","",COUNTIFS(_Calc!$C$3:$C$20002,A103,_Calc!$B$3:$B$20002,"&lt;&gt;")),"")</f>
        <v/>
      </c>
      <c r="C103" s="41">
        <f>IFERROR(IF(A103="","",AVERAGEIFS(_Calc!$B$3:$B$20002,_Calc!$C$3:$C$20002,A103)),"")</f>
        <v/>
      </c>
      <c r="D103" s="42">
        <f>IFERROR(IF(A103="","",COUNTIFS(_Calc!$B$3:$B$20002,"&gt;="&amp;70,_Calc!$B$3:$B$20002,"&lt;="&amp;180,_Calc!$C$3:$C$20002,A103)/COUNTIFS(_Calc!$C$3:$C$20002,A103,_Calc!$B$3:$B$20002,"&lt;&gt;")*100),"")</f>
        <v/>
      </c>
      <c r="E103" s="42">
        <f>IFERROR(IF(A103="","",COUNTIFS(_Calc!$B$3:$B$20002,"&lt;70",_Calc!$C$3:$C$20002,A103)/COUNTIFS(_Calc!$C$3:$C$20002,A103,_Calc!$B$3:$B$20002,"&lt;&gt;")*100),"")</f>
        <v/>
      </c>
      <c r="F103" s="42">
        <f>IFERROR(IF(A103="","",COUNTIFS(_Calc!$B$3:$B$20002,"&gt;180",_Calc!$C$3:$C$20002,A103)/COUNTIFS(_Calc!$C$3:$C$20002,A103,_Calc!$B$3:$B$20002,"&lt;&gt;")*100),"")</f>
        <v/>
      </c>
      <c r="G103" s="43">
        <f>IFERROR(IF(A103="","",IF(D103&gt;=70,"✓ Good",IF(E103&gt;4,"Low glucose","High glucose"))),"")</f>
        <v/>
      </c>
    </row>
    <row r="104">
      <c r="B104" s="40">
        <f>IFERROR(IF(A104="","",COUNTIFS(_Calc!$C$3:$C$20002,A104,_Calc!$B$3:$B$20002,"&lt;&gt;")),"")</f>
        <v/>
      </c>
      <c r="C104" s="41">
        <f>IFERROR(IF(A104="","",AVERAGEIFS(_Calc!$B$3:$B$20002,_Calc!$C$3:$C$20002,A104)),"")</f>
        <v/>
      </c>
      <c r="D104" s="42">
        <f>IFERROR(IF(A104="","",COUNTIFS(_Calc!$B$3:$B$20002,"&gt;="&amp;70,_Calc!$B$3:$B$20002,"&lt;="&amp;180,_Calc!$C$3:$C$20002,A104)/COUNTIFS(_Calc!$C$3:$C$20002,A104,_Calc!$B$3:$B$20002,"&lt;&gt;")*100),"")</f>
        <v/>
      </c>
      <c r="E104" s="42">
        <f>IFERROR(IF(A104="","",COUNTIFS(_Calc!$B$3:$B$20002,"&lt;70",_Calc!$C$3:$C$20002,A104)/COUNTIFS(_Calc!$C$3:$C$20002,A104,_Calc!$B$3:$B$20002,"&lt;&gt;")*100),"")</f>
        <v/>
      </c>
      <c r="F104" s="42">
        <f>IFERROR(IF(A104="","",COUNTIFS(_Calc!$B$3:$B$20002,"&gt;180",_Calc!$C$3:$C$20002,A104)/COUNTIFS(_Calc!$C$3:$C$20002,A104,_Calc!$B$3:$B$20002,"&lt;&gt;")*100),"")</f>
        <v/>
      </c>
      <c r="G104" s="43">
        <f>IFERROR(IF(A104="","",IF(D104&gt;=70,"✓ Good",IF(E104&gt;4,"Low glucose","High glucose"))),"")</f>
        <v/>
      </c>
    </row>
    <row r="105">
      <c r="B105" s="40">
        <f>IFERROR(IF(A105="","",COUNTIFS(_Calc!$C$3:$C$20002,A105,_Calc!$B$3:$B$20002,"&lt;&gt;")),"")</f>
        <v/>
      </c>
      <c r="C105" s="41">
        <f>IFERROR(IF(A105="","",AVERAGEIFS(_Calc!$B$3:$B$20002,_Calc!$C$3:$C$20002,A105)),"")</f>
        <v/>
      </c>
      <c r="D105" s="42">
        <f>IFERROR(IF(A105="","",COUNTIFS(_Calc!$B$3:$B$20002,"&gt;="&amp;70,_Calc!$B$3:$B$20002,"&lt;="&amp;180,_Calc!$C$3:$C$20002,A105)/COUNTIFS(_Calc!$C$3:$C$20002,A105,_Calc!$B$3:$B$20002,"&lt;&gt;")*100),"")</f>
        <v/>
      </c>
      <c r="E105" s="42">
        <f>IFERROR(IF(A105="","",COUNTIFS(_Calc!$B$3:$B$20002,"&lt;70",_Calc!$C$3:$C$20002,A105)/COUNTIFS(_Calc!$C$3:$C$20002,A105,_Calc!$B$3:$B$20002,"&lt;&gt;")*100),"")</f>
        <v/>
      </c>
      <c r="F105" s="42">
        <f>IFERROR(IF(A105="","",COUNTIFS(_Calc!$B$3:$B$20002,"&gt;180",_Calc!$C$3:$C$20002,A105)/COUNTIFS(_Calc!$C$3:$C$20002,A105,_Calc!$B$3:$B$20002,"&lt;&gt;")*100),"")</f>
        <v/>
      </c>
      <c r="G105" s="43">
        <f>IFERROR(IF(A105="","",IF(D105&gt;=70,"✓ Good",IF(E105&gt;4,"Low glucose","High glucose"))),"")</f>
        <v/>
      </c>
    </row>
    <row r="106">
      <c r="B106" s="40">
        <f>IFERROR(IF(A106="","",COUNTIFS(_Calc!$C$3:$C$20002,A106,_Calc!$B$3:$B$20002,"&lt;&gt;")),"")</f>
        <v/>
      </c>
      <c r="C106" s="41">
        <f>IFERROR(IF(A106="","",AVERAGEIFS(_Calc!$B$3:$B$20002,_Calc!$C$3:$C$20002,A106)),"")</f>
        <v/>
      </c>
      <c r="D106" s="42">
        <f>IFERROR(IF(A106="","",COUNTIFS(_Calc!$B$3:$B$20002,"&gt;="&amp;70,_Calc!$B$3:$B$20002,"&lt;="&amp;180,_Calc!$C$3:$C$20002,A106)/COUNTIFS(_Calc!$C$3:$C$20002,A106,_Calc!$B$3:$B$20002,"&lt;&gt;")*100),"")</f>
        <v/>
      </c>
      <c r="E106" s="42">
        <f>IFERROR(IF(A106="","",COUNTIFS(_Calc!$B$3:$B$20002,"&lt;70",_Calc!$C$3:$C$20002,A106)/COUNTIFS(_Calc!$C$3:$C$20002,A106,_Calc!$B$3:$B$20002,"&lt;&gt;")*100),"")</f>
        <v/>
      </c>
      <c r="F106" s="42">
        <f>IFERROR(IF(A106="","",COUNTIFS(_Calc!$B$3:$B$20002,"&gt;180",_Calc!$C$3:$C$20002,A106)/COUNTIFS(_Calc!$C$3:$C$20002,A106,_Calc!$B$3:$B$20002,"&lt;&gt;")*100),"")</f>
        <v/>
      </c>
      <c r="G106" s="43">
        <f>IFERROR(IF(A106="","",IF(D106&gt;=70,"✓ Good",IF(E106&gt;4,"Low glucose","High glucose"))),"")</f>
        <v/>
      </c>
    </row>
    <row r="107">
      <c r="B107" s="40">
        <f>IFERROR(IF(A107="","",COUNTIFS(_Calc!$C$3:$C$20002,A107,_Calc!$B$3:$B$20002,"&lt;&gt;")),"")</f>
        <v/>
      </c>
      <c r="C107" s="41">
        <f>IFERROR(IF(A107="","",AVERAGEIFS(_Calc!$B$3:$B$20002,_Calc!$C$3:$C$20002,A107)),"")</f>
        <v/>
      </c>
      <c r="D107" s="42">
        <f>IFERROR(IF(A107="","",COUNTIFS(_Calc!$B$3:$B$20002,"&gt;="&amp;70,_Calc!$B$3:$B$20002,"&lt;="&amp;180,_Calc!$C$3:$C$20002,A107)/COUNTIFS(_Calc!$C$3:$C$20002,A107,_Calc!$B$3:$B$20002,"&lt;&gt;")*100),"")</f>
        <v/>
      </c>
      <c r="E107" s="42">
        <f>IFERROR(IF(A107="","",COUNTIFS(_Calc!$B$3:$B$20002,"&lt;70",_Calc!$C$3:$C$20002,A107)/COUNTIFS(_Calc!$C$3:$C$20002,A107,_Calc!$B$3:$B$20002,"&lt;&gt;")*100),"")</f>
        <v/>
      </c>
      <c r="F107" s="42">
        <f>IFERROR(IF(A107="","",COUNTIFS(_Calc!$B$3:$B$20002,"&gt;180",_Calc!$C$3:$C$20002,A107)/COUNTIFS(_Calc!$C$3:$C$20002,A107,_Calc!$B$3:$B$20002,"&lt;&gt;")*100),"")</f>
        <v/>
      </c>
      <c r="G107" s="43">
        <f>IFERROR(IF(A107="","",IF(D107&gt;=70,"✓ Good",IF(E107&gt;4,"Low glucose","High glucose"))),"")</f>
        <v/>
      </c>
    </row>
    <row r="108">
      <c r="B108" s="40">
        <f>IFERROR(IF(A108="","",COUNTIFS(_Calc!$C$3:$C$20002,A108,_Calc!$B$3:$B$20002,"&lt;&gt;")),"")</f>
        <v/>
      </c>
      <c r="C108" s="41">
        <f>IFERROR(IF(A108="","",AVERAGEIFS(_Calc!$B$3:$B$20002,_Calc!$C$3:$C$20002,A108)),"")</f>
        <v/>
      </c>
      <c r="D108" s="42">
        <f>IFERROR(IF(A108="","",COUNTIFS(_Calc!$B$3:$B$20002,"&gt;="&amp;70,_Calc!$B$3:$B$20002,"&lt;="&amp;180,_Calc!$C$3:$C$20002,A108)/COUNTIFS(_Calc!$C$3:$C$20002,A108,_Calc!$B$3:$B$20002,"&lt;&gt;")*100),"")</f>
        <v/>
      </c>
      <c r="E108" s="42">
        <f>IFERROR(IF(A108="","",COUNTIFS(_Calc!$B$3:$B$20002,"&lt;70",_Calc!$C$3:$C$20002,A108)/COUNTIFS(_Calc!$C$3:$C$20002,A108,_Calc!$B$3:$B$20002,"&lt;&gt;")*100),"")</f>
        <v/>
      </c>
      <c r="F108" s="42">
        <f>IFERROR(IF(A108="","",COUNTIFS(_Calc!$B$3:$B$20002,"&gt;180",_Calc!$C$3:$C$20002,A108)/COUNTIFS(_Calc!$C$3:$C$20002,A108,_Calc!$B$3:$B$20002,"&lt;&gt;")*100),"")</f>
        <v/>
      </c>
      <c r="G108" s="43">
        <f>IFERROR(IF(A108="","",IF(D108&gt;=70,"✓ Good",IF(E108&gt;4,"Low glucose","High glucose"))),"")</f>
        <v/>
      </c>
    </row>
    <row r="109">
      <c r="B109" s="40">
        <f>IFERROR(IF(A109="","",COUNTIFS(_Calc!$C$3:$C$20002,A109,_Calc!$B$3:$B$20002,"&lt;&gt;")),"")</f>
        <v/>
      </c>
      <c r="C109" s="41">
        <f>IFERROR(IF(A109="","",AVERAGEIFS(_Calc!$B$3:$B$20002,_Calc!$C$3:$C$20002,A109)),"")</f>
        <v/>
      </c>
      <c r="D109" s="42">
        <f>IFERROR(IF(A109="","",COUNTIFS(_Calc!$B$3:$B$20002,"&gt;="&amp;70,_Calc!$B$3:$B$20002,"&lt;="&amp;180,_Calc!$C$3:$C$20002,A109)/COUNTIFS(_Calc!$C$3:$C$20002,A109,_Calc!$B$3:$B$20002,"&lt;&gt;")*100),"")</f>
        <v/>
      </c>
      <c r="E109" s="42">
        <f>IFERROR(IF(A109="","",COUNTIFS(_Calc!$B$3:$B$20002,"&lt;70",_Calc!$C$3:$C$20002,A109)/COUNTIFS(_Calc!$C$3:$C$20002,A109,_Calc!$B$3:$B$20002,"&lt;&gt;")*100),"")</f>
        <v/>
      </c>
      <c r="F109" s="42">
        <f>IFERROR(IF(A109="","",COUNTIFS(_Calc!$B$3:$B$20002,"&gt;180",_Calc!$C$3:$C$20002,A109)/COUNTIFS(_Calc!$C$3:$C$20002,A109,_Calc!$B$3:$B$20002,"&lt;&gt;")*100),"")</f>
        <v/>
      </c>
      <c r="G109" s="43">
        <f>IFERROR(IF(A109="","",IF(D109&gt;=70,"✓ Good",IF(E109&gt;4,"Low glucose","High glucose"))),"")</f>
        <v/>
      </c>
    </row>
    <row r="110">
      <c r="B110" s="40">
        <f>IFERROR(IF(A110="","",COUNTIFS(_Calc!$C$3:$C$20002,A110,_Calc!$B$3:$B$20002,"&lt;&gt;")),"")</f>
        <v/>
      </c>
      <c r="C110" s="41">
        <f>IFERROR(IF(A110="","",AVERAGEIFS(_Calc!$B$3:$B$20002,_Calc!$C$3:$C$20002,A110)),"")</f>
        <v/>
      </c>
      <c r="D110" s="42">
        <f>IFERROR(IF(A110="","",COUNTIFS(_Calc!$B$3:$B$20002,"&gt;="&amp;70,_Calc!$B$3:$B$20002,"&lt;="&amp;180,_Calc!$C$3:$C$20002,A110)/COUNTIFS(_Calc!$C$3:$C$20002,A110,_Calc!$B$3:$B$20002,"&lt;&gt;")*100),"")</f>
        <v/>
      </c>
      <c r="E110" s="42">
        <f>IFERROR(IF(A110="","",COUNTIFS(_Calc!$B$3:$B$20002,"&lt;70",_Calc!$C$3:$C$20002,A110)/COUNTIFS(_Calc!$C$3:$C$20002,A110,_Calc!$B$3:$B$20002,"&lt;&gt;")*100),"")</f>
        <v/>
      </c>
      <c r="F110" s="42">
        <f>IFERROR(IF(A110="","",COUNTIFS(_Calc!$B$3:$B$20002,"&gt;180",_Calc!$C$3:$C$20002,A110)/COUNTIFS(_Calc!$C$3:$C$20002,A110,_Calc!$B$3:$B$20002,"&lt;&gt;")*100),"")</f>
        <v/>
      </c>
      <c r="G110" s="43">
        <f>IFERROR(IF(A110="","",IF(D110&gt;=70,"✓ Good",IF(E110&gt;4,"Low glucose","High glucose"))),"")</f>
        <v/>
      </c>
    </row>
    <row r="111">
      <c r="B111" s="40">
        <f>IFERROR(IF(A111="","",COUNTIFS(_Calc!$C$3:$C$20002,A111,_Calc!$B$3:$B$20002,"&lt;&gt;")),"")</f>
        <v/>
      </c>
      <c r="C111" s="41">
        <f>IFERROR(IF(A111="","",AVERAGEIFS(_Calc!$B$3:$B$20002,_Calc!$C$3:$C$20002,A111)),"")</f>
        <v/>
      </c>
      <c r="D111" s="42">
        <f>IFERROR(IF(A111="","",COUNTIFS(_Calc!$B$3:$B$20002,"&gt;="&amp;70,_Calc!$B$3:$B$20002,"&lt;="&amp;180,_Calc!$C$3:$C$20002,A111)/COUNTIFS(_Calc!$C$3:$C$20002,A111,_Calc!$B$3:$B$20002,"&lt;&gt;")*100),"")</f>
        <v/>
      </c>
      <c r="E111" s="42">
        <f>IFERROR(IF(A111="","",COUNTIFS(_Calc!$B$3:$B$20002,"&lt;70",_Calc!$C$3:$C$20002,A111)/COUNTIFS(_Calc!$C$3:$C$20002,A111,_Calc!$B$3:$B$20002,"&lt;&gt;")*100),"")</f>
        <v/>
      </c>
      <c r="F111" s="42">
        <f>IFERROR(IF(A111="","",COUNTIFS(_Calc!$B$3:$B$20002,"&gt;180",_Calc!$C$3:$C$20002,A111)/COUNTIFS(_Calc!$C$3:$C$20002,A111,_Calc!$B$3:$B$20002,"&lt;&gt;")*100),"")</f>
        <v/>
      </c>
      <c r="G111" s="43">
        <f>IFERROR(IF(A111="","",IF(D111&gt;=70,"✓ Good",IF(E111&gt;4,"Low glucose","High glucose"))),"")</f>
        <v/>
      </c>
    </row>
    <row r="112">
      <c r="B112" s="40">
        <f>IFERROR(IF(A112="","",COUNTIFS(_Calc!$C$3:$C$20002,A112,_Calc!$B$3:$B$20002,"&lt;&gt;")),"")</f>
        <v/>
      </c>
      <c r="C112" s="41">
        <f>IFERROR(IF(A112="","",AVERAGEIFS(_Calc!$B$3:$B$20002,_Calc!$C$3:$C$20002,A112)),"")</f>
        <v/>
      </c>
      <c r="D112" s="42">
        <f>IFERROR(IF(A112="","",COUNTIFS(_Calc!$B$3:$B$20002,"&gt;="&amp;70,_Calc!$B$3:$B$20002,"&lt;="&amp;180,_Calc!$C$3:$C$20002,A112)/COUNTIFS(_Calc!$C$3:$C$20002,A112,_Calc!$B$3:$B$20002,"&lt;&gt;")*100),"")</f>
        <v/>
      </c>
      <c r="E112" s="42">
        <f>IFERROR(IF(A112="","",COUNTIFS(_Calc!$B$3:$B$20002,"&lt;70",_Calc!$C$3:$C$20002,A112)/COUNTIFS(_Calc!$C$3:$C$20002,A112,_Calc!$B$3:$B$20002,"&lt;&gt;")*100),"")</f>
        <v/>
      </c>
      <c r="F112" s="42">
        <f>IFERROR(IF(A112="","",COUNTIFS(_Calc!$B$3:$B$20002,"&gt;180",_Calc!$C$3:$C$20002,A112)/COUNTIFS(_Calc!$C$3:$C$20002,A112,_Calc!$B$3:$B$20002,"&lt;&gt;")*100),"")</f>
        <v/>
      </c>
      <c r="G112" s="43">
        <f>IFERROR(IF(A112="","",IF(D112&gt;=70,"✓ Good",IF(E112&gt;4,"Low glucose","High glucose"))),"")</f>
        <v/>
      </c>
    </row>
    <row r="113">
      <c r="B113" s="40">
        <f>IFERROR(IF(A113="","",COUNTIFS(_Calc!$C$3:$C$20002,A113,_Calc!$B$3:$B$20002,"&lt;&gt;")),"")</f>
        <v/>
      </c>
      <c r="C113" s="41">
        <f>IFERROR(IF(A113="","",AVERAGEIFS(_Calc!$B$3:$B$20002,_Calc!$C$3:$C$20002,A113)),"")</f>
        <v/>
      </c>
      <c r="D113" s="42">
        <f>IFERROR(IF(A113="","",COUNTIFS(_Calc!$B$3:$B$20002,"&gt;="&amp;70,_Calc!$B$3:$B$20002,"&lt;="&amp;180,_Calc!$C$3:$C$20002,A113)/COUNTIFS(_Calc!$C$3:$C$20002,A113,_Calc!$B$3:$B$20002,"&lt;&gt;")*100),"")</f>
        <v/>
      </c>
      <c r="E113" s="42">
        <f>IFERROR(IF(A113="","",COUNTIFS(_Calc!$B$3:$B$20002,"&lt;70",_Calc!$C$3:$C$20002,A113)/COUNTIFS(_Calc!$C$3:$C$20002,A113,_Calc!$B$3:$B$20002,"&lt;&gt;")*100),"")</f>
        <v/>
      </c>
      <c r="F113" s="42">
        <f>IFERROR(IF(A113="","",COUNTIFS(_Calc!$B$3:$B$20002,"&gt;180",_Calc!$C$3:$C$20002,A113)/COUNTIFS(_Calc!$C$3:$C$20002,A113,_Calc!$B$3:$B$20002,"&lt;&gt;")*100),"")</f>
        <v/>
      </c>
      <c r="G113" s="43">
        <f>IFERROR(IF(A113="","",IF(D113&gt;=70,"✓ Good",IF(E113&gt;4,"Low glucose","High glucose"))),"")</f>
        <v/>
      </c>
    </row>
    <row r="114">
      <c r="B114" s="40">
        <f>IFERROR(IF(A114="","",COUNTIFS(_Calc!$C$3:$C$20002,A114,_Calc!$B$3:$B$20002,"&lt;&gt;")),"")</f>
        <v/>
      </c>
      <c r="C114" s="41">
        <f>IFERROR(IF(A114="","",AVERAGEIFS(_Calc!$B$3:$B$20002,_Calc!$C$3:$C$20002,A114)),"")</f>
        <v/>
      </c>
      <c r="D114" s="42">
        <f>IFERROR(IF(A114="","",COUNTIFS(_Calc!$B$3:$B$20002,"&gt;="&amp;70,_Calc!$B$3:$B$20002,"&lt;="&amp;180,_Calc!$C$3:$C$20002,A114)/COUNTIFS(_Calc!$C$3:$C$20002,A114,_Calc!$B$3:$B$20002,"&lt;&gt;")*100),"")</f>
        <v/>
      </c>
      <c r="E114" s="42">
        <f>IFERROR(IF(A114="","",COUNTIFS(_Calc!$B$3:$B$20002,"&lt;70",_Calc!$C$3:$C$20002,A114)/COUNTIFS(_Calc!$C$3:$C$20002,A114,_Calc!$B$3:$B$20002,"&lt;&gt;")*100),"")</f>
        <v/>
      </c>
      <c r="F114" s="42">
        <f>IFERROR(IF(A114="","",COUNTIFS(_Calc!$B$3:$B$20002,"&gt;180",_Calc!$C$3:$C$20002,A114)/COUNTIFS(_Calc!$C$3:$C$20002,A114,_Calc!$B$3:$B$20002,"&lt;&gt;")*100),"")</f>
        <v/>
      </c>
      <c r="G114" s="43">
        <f>IFERROR(IF(A114="","",IF(D114&gt;=70,"✓ Good",IF(E114&gt;4,"Low glucose","High glucose"))),"")</f>
        <v/>
      </c>
    </row>
    <row r="115">
      <c r="B115" s="40">
        <f>IFERROR(IF(A115="","",COUNTIFS(_Calc!$C$3:$C$20002,A115,_Calc!$B$3:$B$20002,"&lt;&gt;")),"")</f>
        <v/>
      </c>
      <c r="C115" s="41">
        <f>IFERROR(IF(A115="","",AVERAGEIFS(_Calc!$B$3:$B$20002,_Calc!$C$3:$C$20002,A115)),"")</f>
        <v/>
      </c>
      <c r="D115" s="42">
        <f>IFERROR(IF(A115="","",COUNTIFS(_Calc!$B$3:$B$20002,"&gt;="&amp;70,_Calc!$B$3:$B$20002,"&lt;="&amp;180,_Calc!$C$3:$C$20002,A115)/COUNTIFS(_Calc!$C$3:$C$20002,A115,_Calc!$B$3:$B$20002,"&lt;&gt;")*100),"")</f>
        <v/>
      </c>
      <c r="E115" s="42">
        <f>IFERROR(IF(A115="","",COUNTIFS(_Calc!$B$3:$B$20002,"&lt;70",_Calc!$C$3:$C$20002,A115)/COUNTIFS(_Calc!$C$3:$C$20002,A115,_Calc!$B$3:$B$20002,"&lt;&gt;")*100),"")</f>
        <v/>
      </c>
      <c r="F115" s="42">
        <f>IFERROR(IF(A115="","",COUNTIFS(_Calc!$B$3:$B$20002,"&gt;180",_Calc!$C$3:$C$20002,A115)/COUNTIFS(_Calc!$C$3:$C$20002,A115,_Calc!$B$3:$B$20002,"&lt;&gt;")*100),"")</f>
        <v/>
      </c>
      <c r="G115" s="43">
        <f>IFERROR(IF(A115="","",IF(D115&gt;=70,"✓ Good",IF(E115&gt;4,"Low glucose","High glucose"))),"")</f>
        <v/>
      </c>
    </row>
    <row r="116">
      <c r="B116" s="40">
        <f>IFERROR(IF(A116="","",COUNTIFS(_Calc!$C$3:$C$20002,A116,_Calc!$B$3:$B$20002,"&lt;&gt;")),"")</f>
        <v/>
      </c>
      <c r="C116" s="41">
        <f>IFERROR(IF(A116="","",AVERAGEIFS(_Calc!$B$3:$B$20002,_Calc!$C$3:$C$20002,A116)),"")</f>
        <v/>
      </c>
      <c r="D116" s="42">
        <f>IFERROR(IF(A116="","",COUNTIFS(_Calc!$B$3:$B$20002,"&gt;="&amp;70,_Calc!$B$3:$B$20002,"&lt;="&amp;180,_Calc!$C$3:$C$20002,A116)/COUNTIFS(_Calc!$C$3:$C$20002,A116,_Calc!$B$3:$B$20002,"&lt;&gt;")*100),"")</f>
        <v/>
      </c>
      <c r="E116" s="42">
        <f>IFERROR(IF(A116="","",COUNTIFS(_Calc!$B$3:$B$20002,"&lt;70",_Calc!$C$3:$C$20002,A116)/COUNTIFS(_Calc!$C$3:$C$20002,A116,_Calc!$B$3:$B$20002,"&lt;&gt;")*100),"")</f>
        <v/>
      </c>
      <c r="F116" s="42">
        <f>IFERROR(IF(A116="","",COUNTIFS(_Calc!$B$3:$B$20002,"&gt;180",_Calc!$C$3:$C$20002,A116)/COUNTIFS(_Calc!$C$3:$C$20002,A116,_Calc!$B$3:$B$20002,"&lt;&gt;")*100),"")</f>
        <v/>
      </c>
      <c r="G116" s="43">
        <f>IFERROR(IF(A116="","",IF(D116&gt;=70,"✓ Good",IF(E116&gt;4,"Low glucose","High glucose"))),"")</f>
        <v/>
      </c>
    </row>
    <row r="117">
      <c r="B117" s="40">
        <f>IFERROR(IF(A117="","",COUNTIFS(_Calc!$C$3:$C$20002,A117,_Calc!$B$3:$B$20002,"&lt;&gt;")),"")</f>
        <v/>
      </c>
      <c r="C117" s="41">
        <f>IFERROR(IF(A117="","",AVERAGEIFS(_Calc!$B$3:$B$20002,_Calc!$C$3:$C$20002,A117)),"")</f>
        <v/>
      </c>
      <c r="D117" s="42">
        <f>IFERROR(IF(A117="","",COUNTIFS(_Calc!$B$3:$B$20002,"&gt;="&amp;70,_Calc!$B$3:$B$20002,"&lt;="&amp;180,_Calc!$C$3:$C$20002,A117)/COUNTIFS(_Calc!$C$3:$C$20002,A117,_Calc!$B$3:$B$20002,"&lt;&gt;")*100),"")</f>
        <v/>
      </c>
      <c r="E117" s="42">
        <f>IFERROR(IF(A117="","",COUNTIFS(_Calc!$B$3:$B$20002,"&lt;70",_Calc!$C$3:$C$20002,A117)/COUNTIFS(_Calc!$C$3:$C$20002,A117,_Calc!$B$3:$B$20002,"&lt;&gt;")*100),"")</f>
        <v/>
      </c>
      <c r="F117" s="42">
        <f>IFERROR(IF(A117="","",COUNTIFS(_Calc!$B$3:$B$20002,"&gt;180",_Calc!$C$3:$C$20002,A117)/COUNTIFS(_Calc!$C$3:$C$20002,A117,_Calc!$B$3:$B$20002,"&lt;&gt;")*100),"")</f>
        <v/>
      </c>
      <c r="G117" s="43">
        <f>IFERROR(IF(A117="","",IF(D117&gt;=70,"✓ Good",IF(E117&gt;4,"Low glucose","High glucose"))),"")</f>
        <v/>
      </c>
    </row>
    <row r="118">
      <c r="B118" s="40">
        <f>IFERROR(IF(A118="","",COUNTIFS(_Calc!$C$3:$C$20002,A118,_Calc!$B$3:$B$20002,"&lt;&gt;")),"")</f>
        <v/>
      </c>
      <c r="C118" s="41">
        <f>IFERROR(IF(A118="","",AVERAGEIFS(_Calc!$B$3:$B$20002,_Calc!$C$3:$C$20002,A118)),"")</f>
        <v/>
      </c>
      <c r="D118" s="42">
        <f>IFERROR(IF(A118="","",COUNTIFS(_Calc!$B$3:$B$20002,"&gt;="&amp;70,_Calc!$B$3:$B$20002,"&lt;="&amp;180,_Calc!$C$3:$C$20002,A118)/COUNTIFS(_Calc!$C$3:$C$20002,A118,_Calc!$B$3:$B$20002,"&lt;&gt;")*100),"")</f>
        <v/>
      </c>
      <c r="E118" s="42">
        <f>IFERROR(IF(A118="","",COUNTIFS(_Calc!$B$3:$B$20002,"&lt;70",_Calc!$C$3:$C$20002,A118)/COUNTIFS(_Calc!$C$3:$C$20002,A118,_Calc!$B$3:$B$20002,"&lt;&gt;")*100),"")</f>
        <v/>
      </c>
      <c r="F118" s="42">
        <f>IFERROR(IF(A118="","",COUNTIFS(_Calc!$B$3:$B$20002,"&gt;180",_Calc!$C$3:$C$20002,A118)/COUNTIFS(_Calc!$C$3:$C$20002,A118,_Calc!$B$3:$B$20002,"&lt;&gt;")*100),"")</f>
        <v/>
      </c>
      <c r="G118" s="43">
        <f>IFERROR(IF(A118="","",IF(D118&gt;=70,"✓ Good",IF(E118&gt;4,"Low glucose","High glucose"))),"")</f>
        <v/>
      </c>
    </row>
    <row r="119">
      <c r="B119" s="40">
        <f>IFERROR(IF(A119="","",COUNTIFS(_Calc!$C$3:$C$20002,A119,_Calc!$B$3:$B$20002,"&lt;&gt;")),"")</f>
        <v/>
      </c>
      <c r="C119" s="41">
        <f>IFERROR(IF(A119="","",AVERAGEIFS(_Calc!$B$3:$B$20002,_Calc!$C$3:$C$20002,A119)),"")</f>
        <v/>
      </c>
      <c r="D119" s="42">
        <f>IFERROR(IF(A119="","",COUNTIFS(_Calc!$B$3:$B$20002,"&gt;="&amp;70,_Calc!$B$3:$B$20002,"&lt;="&amp;180,_Calc!$C$3:$C$20002,A119)/COUNTIFS(_Calc!$C$3:$C$20002,A119,_Calc!$B$3:$B$20002,"&lt;&gt;")*100),"")</f>
        <v/>
      </c>
      <c r="E119" s="42">
        <f>IFERROR(IF(A119="","",COUNTIFS(_Calc!$B$3:$B$20002,"&lt;70",_Calc!$C$3:$C$20002,A119)/COUNTIFS(_Calc!$C$3:$C$20002,A119,_Calc!$B$3:$B$20002,"&lt;&gt;")*100),"")</f>
        <v/>
      </c>
      <c r="F119" s="42">
        <f>IFERROR(IF(A119="","",COUNTIFS(_Calc!$B$3:$B$20002,"&gt;180",_Calc!$C$3:$C$20002,A119)/COUNTIFS(_Calc!$C$3:$C$20002,A119,_Calc!$B$3:$B$20002,"&lt;&gt;")*100),"")</f>
        <v/>
      </c>
      <c r="G119" s="43">
        <f>IFERROR(IF(A119="","",IF(D119&gt;=70,"✓ Good",IF(E119&gt;4,"Low glucose","High glucose"))),"")</f>
        <v/>
      </c>
    </row>
    <row r="120">
      <c r="B120" s="40">
        <f>IFERROR(IF(A120="","",COUNTIFS(_Calc!$C$3:$C$20002,A120,_Calc!$B$3:$B$20002,"&lt;&gt;")),"")</f>
        <v/>
      </c>
      <c r="C120" s="41">
        <f>IFERROR(IF(A120="","",AVERAGEIFS(_Calc!$B$3:$B$20002,_Calc!$C$3:$C$20002,A120)),"")</f>
        <v/>
      </c>
      <c r="D120" s="42">
        <f>IFERROR(IF(A120="","",COUNTIFS(_Calc!$B$3:$B$20002,"&gt;="&amp;70,_Calc!$B$3:$B$20002,"&lt;="&amp;180,_Calc!$C$3:$C$20002,A120)/COUNTIFS(_Calc!$C$3:$C$20002,A120,_Calc!$B$3:$B$20002,"&lt;&gt;")*100),"")</f>
        <v/>
      </c>
      <c r="E120" s="42">
        <f>IFERROR(IF(A120="","",COUNTIFS(_Calc!$B$3:$B$20002,"&lt;70",_Calc!$C$3:$C$20002,A120)/COUNTIFS(_Calc!$C$3:$C$20002,A120,_Calc!$B$3:$B$20002,"&lt;&gt;")*100),"")</f>
        <v/>
      </c>
      <c r="F120" s="42">
        <f>IFERROR(IF(A120="","",COUNTIFS(_Calc!$B$3:$B$20002,"&gt;180",_Calc!$C$3:$C$20002,A120)/COUNTIFS(_Calc!$C$3:$C$20002,A120,_Calc!$B$3:$B$20002,"&lt;&gt;")*100),"")</f>
        <v/>
      </c>
      <c r="G120" s="43">
        <f>IFERROR(IF(A120="","",IF(D120&gt;=70,"✓ Good",IF(E120&gt;4,"Low glucose","High glucose"))),"")</f>
        <v/>
      </c>
    </row>
    <row r="121">
      <c r="B121" s="40">
        <f>IFERROR(IF(A121="","",COUNTIFS(_Calc!$C$3:$C$20002,A121,_Calc!$B$3:$B$20002,"&lt;&gt;")),"")</f>
        <v/>
      </c>
      <c r="C121" s="41">
        <f>IFERROR(IF(A121="","",AVERAGEIFS(_Calc!$B$3:$B$20002,_Calc!$C$3:$C$20002,A121)),"")</f>
        <v/>
      </c>
      <c r="D121" s="42">
        <f>IFERROR(IF(A121="","",COUNTIFS(_Calc!$B$3:$B$20002,"&gt;="&amp;70,_Calc!$B$3:$B$20002,"&lt;="&amp;180,_Calc!$C$3:$C$20002,A121)/COUNTIFS(_Calc!$C$3:$C$20002,A121,_Calc!$B$3:$B$20002,"&lt;&gt;")*100),"")</f>
        <v/>
      </c>
      <c r="E121" s="42">
        <f>IFERROR(IF(A121="","",COUNTIFS(_Calc!$B$3:$B$20002,"&lt;70",_Calc!$C$3:$C$20002,A121)/COUNTIFS(_Calc!$C$3:$C$20002,A121,_Calc!$B$3:$B$20002,"&lt;&gt;")*100),"")</f>
        <v/>
      </c>
      <c r="F121" s="42">
        <f>IFERROR(IF(A121="","",COUNTIFS(_Calc!$B$3:$B$20002,"&gt;180",_Calc!$C$3:$C$20002,A121)/COUNTIFS(_Calc!$C$3:$C$20002,A121,_Calc!$B$3:$B$20002,"&lt;&gt;")*100),"")</f>
        <v/>
      </c>
      <c r="G121" s="43">
        <f>IFERROR(IF(A121="","",IF(D121&gt;=70,"✓ Good",IF(E121&gt;4,"Low glucose","High glucose"))),"")</f>
        <v/>
      </c>
    </row>
    <row r="122">
      <c r="B122" s="40">
        <f>IFERROR(IF(A122="","",COUNTIFS(_Calc!$C$3:$C$20002,A122,_Calc!$B$3:$B$20002,"&lt;&gt;")),"")</f>
        <v/>
      </c>
      <c r="C122" s="41">
        <f>IFERROR(IF(A122="","",AVERAGEIFS(_Calc!$B$3:$B$20002,_Calc!$C$3:$C$20002,A122)),"")</f>
        <v/>
      </c>
      <c r="D122" s="42">
        <f>IFERROR(IF(A122="","",COUNTIFS(_Calc!$B$3:$B$20002,"&gt;="&amp;70,_Calc!$B$3:$B$20002,"&lt;="&amp;180,_Calc!$C$3:$C$20002,A122)/COUNTIFS(_Calc!$C$3:$C$20002,A122,_Calc!$B$3:$B$20002,"&lt;&gt;")*100),"")</f>
        <v/>
      </c>
      <c r="E122" s="42">
        <f>IFERROR(IF(A122="","",COUNTIFS(_Calc!$B$3:$B$20002,"&lt;70",_Calc!$C$3:$C$20002,A122)/COUNTIFS(_Calc!$C$3:$C$20002,A122,_Calc!$B$3:$B$20002,"&lt;&gt;")*100),"")</f>
        <v/>
      </c>
      <c r="F122" s="42">
        <f>IFERROR(IF(A122="","",COUNTIFS(_Calc!$B$3:$B$20002,"&gt;180",_Calc!$C$3:$C$20002,A122)/COUNTIFS(_Calc!$C$3:$C$20002,A122,_Calc!$B$3:$B$20002,"&lt;&gt;")*100),"")</f>
        <v/>
      </c>
      <c r="G122" s="43">
        <f>IFERROR(IF(A122="","",IF(D122&gt;=70,"✓ Good",IF(E122&gt;4,"Low glucose","High glucose"))),"")</f>
        <v/>
      </c>
    </row>
    <row r="123">
      <c r="B123" s="40">
        <f>IFERROR(IF(A123="","",COUNTIFS(_Calc!$C$3:$C$20002,A123,_Calc!$B$3:$B$20002,"&lt;&gt;")),"")</f>
        <v/>
      </c>
      <c r="C123" s="41">
        <f>IFERROR(IF(A123="","",AVERAGEIFS(_Calc!$B$3:$B$20002,_Calc!$C$3:$C$20002,A123)),"")</f>
        <v/>
      </c>
      <c r="D123" s="42">
        <f>IFERROR(IF(A123="","",COUNTIFS(_Calc!$B$3:$B$20002,"&gt;="&amp;70,_Calc!$B$3:$B$20002,"&lt;="&amp;180,_Calc!$C$3:$C$20002,A123)/COUNTIFS(_Calc!$C$3:$C$20002,A123,_Calc!$B$3:$B$20002,"&lt;&gt;")*100),"")</f>
        <v/>
      </c>
      <c r="E123" s="42">
        <f>IFERROR(IF(A123="","",COUNTIFS(_Calc!$B$3:$B$20002,"&lt;70",_Calc!$C$3:$C$20002,A123)/COUNTIFS(_Calc!$C$3:$C$20002,A123,_Calc!$B$3:$B$20002,"&lt;&gt;")*100),"")</f>
        <v/>
      </c>
      <c r="F123" s="42">
        <f>IFERROR(IF(A123="","",COUNTIFS(_Calc!$B$3:$B$20002,"&gt;180",_Calc!$C$3:$C$20002,A123)/COUNTIFS(_Calc!$C$3:$C$20002,A123,_Calc!$B$3:$B$20002,"&lt;&gt;")*100),"")</f>
        <v/>
      </c>
      <c r="G123" s="43">
        <f>IFERROR(IF(A123="","",IF(D123&gt;=70,"✓ Good",IF(E123&gt;4,"Low glucose","High glucose"))),"")</f>
        <v/>
      </c>
    </row>
    <row r="124">
      <c r="B124" s="40">
        <f>IFERROR(IF(A124="","",COUNTIFS(_Calc!$C$3:$C$20002,A124,_Calc!$B$3:$B$20002,"&lt;&gt;")),"")</f>
        <v/>
      </c>
      <c r="C124" s="41">
        <f>IFERROR(IF(A124="","",AVERAGEIFS(_Calc!$B$3:$B$20002,_Calc!$C$3:$C$20002,A124)),"")</f>
        <v/>
      </c>
      <c r="D124" s="42">
        <f>IFERROR(IF(A124="","",COUNTIFS(_Calc!$B$3:$B$20002,"&gt;="&amp;70,_Calc!$B$3:$B$20002,"&lt;="&amp;180,_Calc!$C$3:$C$20002,A124)/COUNTIFS(_Calc!$C$3:$C$20002,A124,_Calc!$B$3:$B$20002,"&lt;&gt;")*100),"")</f>
        <v/>
      </c>
      <c r="E124" s="42">
        <f>IFERROR(IF(A124="","",COUNTIFS(_Calc!$B$3:$B$20002,"&lt;70",_Calc!$C$3:$C$20002,A124)/COUNTIFS(_Calc!$C$3:$C$20002,A124,_Calc!$B$3:$B$20002,"&lt;&gt;")*100),"")</f>
        <v/>
      </c>
      <c r="F124" s="42">
        <f>IFERROR(IF(A124="","",COUNTIFS(_Calc!$B$3:$B$20002,"&gt;180",_Calc!$C$3:$C$20002,A124)/COUNTIFS(_Calc!$C$3:$C$20002,A124,_Calc!$B$3:$B$20002,"&lt;&gt;")*100),"")</f>
        <v/>
      </c>
      <c r="G124" s="43">
        <f>IFERROR(IF(A124="","",IF(D124&gt;=70,"✓ Good",IF(E124&gt;4,"Low glucose","High glucose"))),"")</f>
        <v/>
      </c>
    </row>
    <row r="125">
      <c r="B125" s="40">
        <f>IFERROR(IF(A125="","",COUNTIFS(_Calc!$C$3:$C$20002,A125,_Calc!$B$3:$B$20002,"&lt;&gt;")),"")</f>
        <v/>
      </c>
      <c r="C125" s="41">
        <f>IFERROR(IF(A125="","",AVERAGEIFS(_Calc!$B$3:$B$20002,_Calc!$C$3:$C$20002,A125)),"")</f>
        <v/>
      </c>
      <c r="D125" s="42">
        <f>IFERROR(IF(A125="","",COUNTIFS(_Calc!$B$3:$B$20002,"&gt;="&amp;70,_Calc!$B$3:$B$20002,"&lt;="&amp;180,_Calc!$C$3:$C$20002,A125)/COUNTIFS(_Calc!$C$3:$C$20002,A125,_Calc!$B$3:$B$20002,"&lt;&gt;")*100),"")</f>
        <v/>
      </c>
      <c r="E125" s="42">
        <f>IFERROR(IF(A125="","",COUNTIFS(_Calc!$B$3:$B$20002,"&lt;70",_Calc!$C$3:$C$20002,A125)/COUNTIFS(_Calc!$C$3:$C$20002,A125,_Calc!$B$3:$B$20002,"&lt;&gt;")*100),"")</f>
        <v/>
      </c>
      <c r="F125" s="42">
        <f>IFERROR(IF(A125="","",COUNTIFS(_Calc!$B$3:$B$20002,"&gt;180",_Calc!$C$3:$C$20002,A125)/COUNTIFS(_Calc!$C$3:$C$20002,A125,_Calc!$B$3:$B$20002,"&lt;&gt;")*100),"")</f>
        <v/>
      </c>
      <c r="G125" s="43">
        <f>IFERROR(IF(A125="","",IF(D125&gt;=70,"✓ Good",IF(E125&gt;4,"Low glucose","High glucose"))),"")</f>
        <v/>
      </c>
    </row>
    <row r="126">
      <c r="B126" s="40">
        <f>IFERROR(IF(A126="","",COUNTIFS(_Calc!$C$3:$C$20002,A126,_Calc!$B$3:$B$20002,"&lt;&gt;")),"")</f>
        <v/>
      </c>
      <c r="C126" s="41">
        <f>IFERROR(IF(A126="","",AVERAGEIFS(_Calc!$B$3:$B$20002,_Calc!$C$3:$C$20002,A126)),"")</f>
        <v/>
      </c>
      <c r="D126" s="42">
        <f>IFERROR(IF(A126="","",COUNTIFS(_Calc!$B$3:$B$20002,"&gt;="&amp;70,_Calc!$B$3:$B$20002,"&lt;="&amp;180,_Calc!$C$3:$C$20002,A126)/COUNTIFS(_Calc!$C$3:$C$20002,A126,_Calc!$B$3:$B$20002,"&lt;&gt;")*100),"")</f>
        <v/>
      </c>
      <c r="E126" s="42">
        <f>IFERROR(IF(A126="","",COUNTIFS(_Calc!$B$3:$B$20002,"&lt;70",_Calc!$C$3:$C$20002,A126)/COUNTIFS(_Calc!$C$3:$C$20002,A126,_Calc!$B$3:$B$20002,"&lt;&gt;")*100),"")</f>
        <v/>
      </c>
      <c r="F126" s="42">
        <f>IFERROR(IF(A126="","",COUNTIFS(_Calc!$B$3:$B$20002,"&gt;180",_Calc!$C$3:$C$20002,A126)/COUNTIFS(_Calc!$C$3:$C$20002,A126,_Calc!$B$3:$B$20002,"&lt;&gt;")*100),"")</f>
        <v/>
      </c>
      <c r="G126" s="43">
        <f>IFERROR(IF(A126="","",IF(D126&gt;=70,"✓ Good",IF(E126&gt;4,"Low glucose","High glucose"))),"")</f>
        <v/>
      </c>
    </row>
    <row r="127">
      <c r="B127" s="40">
        <f>IFERROR(IF(A127="","",COUNTIFS(_Calc!$C$3:$C$20002,A127,_Calc!$B$3:$B$20002,"&lt;&gt;")),"")</f>
        <v/>
      </c>
      <c r="C127" s="41">
        <f>IFERROR(IF(A127="","",AVERAGEIFS(_Calc!$B$3:$B$20002,_Calc!$C$3:$C$20002,A127)),"")</f>
        <v/>
      </c>
      <c r="D127" s="42">
        <f>IFERROR(IF(A127="","",COUNTIFS(_Calc!$B$3:$B$20002,"&gt;="&amp;70,_Calc!$B$3:$B$20002,"&lt;="&amp;180,_Calc!$C$3:$C$20002,A127)/COUNTIFS(_Calc!$C$3:$C$20002,A127,_Calc!$B$3:$B$20002,"&lt;&gt;")*100),"")</f>
        <v/>
      </c>
      <c r="E127" s="42">
        <f>IFERROR(IF(A127="","",COUNTIFS(_Calc!$B$3:$B$20002,"&lt;70",_Calc!$C$3:$C$20002,A127)/COUNTIFS(_Calc!$C$3:$C$20002,A127,_Calc!$B$3:$B$20002,"&lt;&gt;")*100),"")</f>
        <v/>
      </c>
      <c r="F127" s="42">
        <f>IFERROR(IF(A127="","",COUNTIFS(_Calc!$B$3:$B$20002,"&gt;180",_Calc!$C$3:$C$20002,A127)/COUNTIFS(_Calc!$C$3:$C$20002,A127,_Calc!$B$3:$B$20002,"&lt;&gt;")*100),"")</f>
        <v/>
      </c>
      <c r="G127" s="43">
        <f>IFERROR(IF(A127="","",IF(D127&gt;=70,"✓ Good",IF(E127&gt;4,"Low glucose","High glucose"))),"")</f>
        <v/>
      </c>
    </row>
    <row r="128">
      <c r="B128" s="40">
        <f>IFERROR(IF(A128="","",COUNTIFS(_Calc!$C$3:$C$20002,A128,_Calc!$B$3:$B$20002,"&lt;&gt;")),"")</f>
        <v/>
      </c>
      <c r="C128" s="41">
        <f>IFERROR(IF(A128="","",AVERAGEIFS(_Calc!$B$3:$B$20002,_Calc!$C$3:$C$20002,A128)),"")</f>
        <v/>
      </c>
      <c r="D128" s="42">
        <f>IFERROR(IF(A128="","",COUNTIFS(_Calc!$B$3:$B$20002,"&gt;="&amp;70,_Calc!$B$3:$B$20002,"&lt;="&amp;180,_Calc!$C$3:$C$20002,A128)/COUNTIFS(_Calc!$C$3:$C$20002,A128,_Calc!$B$3:$B$20002,"&lt;&gt;")*100),"")</f>
        <v/>
      </c>
      <c r="E128" s="42">
        <f>IFERROR(IF(A128="","",COUNTIFS(_Calc!$B$3:$B$20002,"&lt;70",_Calc!$C$3:$C$20002,A128)/COUNTIFS(_Calc!$C$3:$C$20002,A128,_Calc!$B$3:$B$20002,"&lt;&gt;")*100),"")</f>
        <v/>
      </c>
      <c r="F128" s="42">
        <f>IFERROR(IF(A128="","",COUNTIFS(_Calc!$B$3:$B$20002,"&gt;180",_Calc!$C$3:$C$20002,A128)/COUNTIFS(_Calc!$C$3:$C$20002,A128,_Calc!$B$3:$B$20002,"&lt;&gt;")*100),"")</f>
        <v/>
      </c>
      <c r="G128" s="43">
        <f>IFERROR(IF(A128="","",IF(D128&gt;=70,"✓ Good",IF(E128&gt;4,"Low glucose","High glucose"))),"")</f>
        <v/>
      </c>
    </row>
    <row r="129">
      <c r="B129" s="40">
        <f>IFERROR(IF(A129="","",COUNTIFS(_Calc!$C$3:$C$20002,A129,_Calc!$B$3:$B$20002,"&lt;&gt;")),"")</f>
        <v/>
      </c>
      <c r="C129" s="41">
        <f>IFERROR(IF(A129="","",AVERAGEIFS(_Calc!$B$3:$B$20002,_Calc!$C$3:$C$20002,A129)),"")</f>
        <v/>
      </c>
      <c r="D129" s="42">
        <f>IFERROR(IF(A129="","",COUNTIFS(_Calc!$B$3:$B$20002,"&gt;="&amp;70,_Calc!$B$3:$B$20002,"&lt;="&amp;180,_Calc!$C$3:$C$20002,A129)/COUNTIFS(_Calc!$C$3:$C$20002,A129,_Calc!$B$3:$B$20002,"&lt;&gt;")*100),"")</f>
        <v/>
      </c>
      <c r="E129" s="42">
        <f>IFERROR(IF(A129="","",COUNTIFS(_Calc!$B$3:$B$20002,"&lt;70",_Calc!$C$3:$C$20002,A129)/COUNTIFS(_Calc!$C$3:$C$20002,A129,_Calc!$B$3:$B$20002,"&lt;&gt;")*100),"")</f>
        <v/>
      </c>
      <c r="F129" s="42">
        <f>IFERROR(IF(A129="","",COUNTIFS(_Calc!$B$3:$B$20002,"&gt;180",_Calc!$C$3:$C$20002,A129)/COUNTIFS(_Calc!$C$3:$C$20002,A129,_Calc!$B$3:$B$20002,"&lt;&gt;")*100),"")</f>
        <v/>
      </c>
      <c r="G129" s="43">
        <f>IFERROR(IF(A129="","",IF(D129&gt;=70,"✓ Good",IF(E129&gt;4,"Low glucose","High glucose"))),"")</f>
        <v/>
      </c>
    </row>
    <row r="130">
      <c r="B130" s="40">
        <f>IFERROR(IF(A130="","",COUNTIFS(_Calc!$C$3:$C$20002,A130,_Calc!$B$3:$B$20002,"&lt;&gt;")),"")</f>
        <v/>
      </c>
      <c r="C130" s="41">
        <f>IFERROR(IF(A130="","",AVERAGEIFS(_Calc!$B$3:$B$20002,_Calc!$C$3:$C$20002,A130)),"")</f>
        <v/>
      </c>
      <c r="D130" s="42">
        <f>IFERROR(IF(A130="","",COUNTIFS(_Calc!$B$3:$B$20002,"&gt;="&amp;70,_Calc!$B$3:$B$20002,"&lt;="&amp;180,_Calc!$C$3:$C$20002,A130)/COUNTIFS(_Calc!$C$3:$C$20002,A130,_Calc!$B$3:$B$20002,"&lt;&gt;")*100),"")</f>
        <v/>
      </c>
      <c r="E130" s="42">
        <f>IFERROR(IF(A130="","",COUNTIFS(_Calc!$B$3:$B$20002,"&lt;70",_Calc!$C$3:$C$20002,A130)/COUNTIFS(_Calc!$C$3:$C$20002,A130,_Calc!$B$3:$B$20002,"&lt;&gt;")*100),"")</f>
        <v/>
      </c>
      <c r="F130" s="42">
        <f>IFERROR(IF(A130="","",COUNTIFS(_Calc!$B$3:$B$20002,"&gt;180",_Calc!$C$3:$C$20002,A130)/COUNTIFS(_Calc!$C$3:$C$20002,A130,_Calc!$B$3:$B$20002,"&lt;&gt;")*100),"")</f>
        <v/>
      </c>
      <c r="G130" s="43">
        <f>IFERROR(IF(A130="","",IF(D130&gt;=70,"✓ Good",IF(E130&gt;4,"Low glucose","High glucose"))),"")</f>
        <v/>
      </c>
    </row>
    <row r="131">
      <c r="B131" s="40">
        <f>IFERROR(IF(A131="","",COUNTIFS(_Calc!$C$3:$C$20002,A131,_Calc!$B$3:$B$20002,"&lt;&gt;")),"")</f>
        <v/>
      </c>
      <c r="C131" s="41">
        <f>IFERROR(IF(A131="","",AVERAGEIFS(_Calc!$B$3:$B$20002,_Calc!$C$3:$C$20002,A131)),"")</f>
        <v/>
      </c>
      <c r="D131" s="42">
        <f>IFERROR(IF(A131="","",COUNTIFS(_Calc!$B$3:$B$20002,"&gt;="&amp;70,_Calc!$B$3:$B$20002,"&lt;="&amp;180,_Calc!$C$3:$C$20002,A131)/COUNTIFS(_Calc!$C$3:$C$20002,A131,_Calc!$B$3:$B$20002,"&lt;&gt;")*100),"")</f>
        <v/>
      </c>
      <c r="E131" s="42">
        <f>IFERROR(IF(A131="","",COUNTIFS(_Calc!$B$3:$B$20002,"&lt;70",_Calc!$C$3:$C$20002,A131)/COUNTIFS(_Calc!$C$3:$C$20002,A131,_Calc!$B$3:$B$20002,"&lt;&gt;")*100),"")</f>
        <v/>
      </c>
      <c r="F131" s="42">
        <f>IFERROR(IF(A131="","",COUNTIFS(_Calc!$B$3:$B$20002,"&gt;180",_Calc!$C$3:$C$20002,A131)/COUNTIFS(_Calc!$C$3:$C$20002,A131,_Calc!$B$3:$B$20002,"&lt;&gt;")*100),"")</f>
        <v/>
      </c>
      <c r="G131" s="43">
        <f>IFERROR(IF(A131="","",IF(D131&gt;=70,"✓ Good",IF(E131&gt;4,"Low glucose","High glucose"))),"")</f>
        <v/>
      </c>
    </row>
    <row r="132">
      <c r="B132" s="40">
        <f>IFERROR(IF(A132="","",COUNTIFS(_Calc!$C$3:$C$20002,A132,_Calc!$B$3:$B$20002,"&lt;&gt;")),"")</f>
        <v/>
      </c>
      <c r="C132" s="41">
        <f>IFERROR(IF(A132="","",AVERAGEIFS(_Calc!$B$3:$B$20002,_Calc!$C$3:$C$20002,A132)),"")</f>
        <v/>
      </c>
      <c r="D132" s="42">
        <f>IFERROR(IF(A132="","",COUNTIFS(_Calc!$B$3:$B$20002,"&gt;="&amp;70,_Calc!$B$3:$B$20002,"&lt;="&amp;180,_Calc!$C$3:$C$20002,A132)/COUNTIFS(_Calc!$C$3:$C$20002,A132,_Calc!$B$3:$B$20002,"&lt;&gt;")*100),"")</f>
        <v/>
      </c>
      <c r="E132" s="42">
        <f>IFERROR(IF(A132="","",COUNTIFS(_Calc!$B$3:$B$20002,"&lt;70",_Calc!$C$3:$C$20002,A132)/COUNTIFS(_Calc!$C$3:$C$20002,A132,_Calc!$B$3:$B$20002,"&lt;&gt;")*100),"")</f>
        <v/>
      </c>
      <c r="F132" s="42">
        <f>IFERROR(IF(A132="","",COUNTIFS(_Calc!$B$3:$B$20002,"&gt;180",_Calc!$C$3:$C$20002,A132)/COUNTIFS(_Calc!$C$3:$C$20002,A132,_Calc!$B$3:$B$20002,"&lt;&gt;")*100),"")</f>
        <v/>
      </c>
      <c r="G132" s="43">
        <f>IFERROR(IF(A132="","",IF(D132&gt;=70,"✓ Good",IF(E132&gt;4,"Low glucose","High glucose"))),"")</f>
        <v/>
      </c>
    </row>
    <row r="133">
      <c r="B133" s="40">
        <f>IFERROR(IF(A133="","",COUNTIFS(_Calc!$C$3:$C$20002,A133,_Calc!$B$3:$B$20002,"&lt;&gt;")),"")</f>
        <v/>
      </c>
      <c r="C133" s="41">
        <f>IFERROR(IF(A133="","",AVERAGEIFS(_Calc!$B$3:$B$20002,_Calc!$C$3:$C$20002,A133)),"")</f>
        <v/>
      </c>
      <c r="D133" s="42">
        <f>IFERROR(IF(A133="","",COUNTIFS(_Calc!$B$3:$B$20002,"&gt;="&amp;70,_Calc!$B$3:$B$20002,"&lt;="&amp;180,_Calc!$C$3:$C$20002,A133)/COUNTIFS(_Calc!$C$3:$C$20002,A133,_Calc!$B$3:$B$20002,"&lt;&gt;")*100),"")</f>
        <v/>
      </c>
      <c r="E133" s="42">
        <f>IFERROR(IF(A133="","",COUNTIFS(_Calc!$B$3:$B$20002,"&lt;70",_Calc!$C$3:$C$20002,A133)/COUNTIFS(_Calc!$C$3:$C$20002,A133,_Calc!$B$3:$B$20002,"&lt;&gt;")*100),"")</f>
        <v/>
      </c>
      <c r="F133" s="42">
        <f>IFERROR(IF(A133="","",COUNTIFS(_Calc!$B$3:$B$20002,"&gt;180",_Calc!$C$3:$C$20002,A133)/COUNTIFS(_Calc!$C$3:$C$20002,A133,_Calc!$B$3:$B$20002,"&lt;&gt;")*100),"")</f>
        <v/>
      </c>
      <c r="G133" s="43">
        <f>IFERROR(IF(A133="","",IF(D133&gt;=70,"✓ Good",IF(E133&gt;4,"Low glucose","High glucose"))),"")</f>
        <v/>
      </c>
    </row>
    <row r="134">
      <c r="B134" s="40">
        <f>IFERROR(IF(A134="","",COUNTIFS(_Calc!$C$3:$C$20002,A134,_Calc!$B$3:$B$20002,"&lt;&gt;")),"")</f>
        <v/>
      </c>
      <c r="C134" s="41">
        <f>IFERROR(IF(A134="","",AVERAGEIFS(_Calc!$B$3:$B$20002,_Calc!$C$3:$C$20002,A134)),"")</f>
        <v/>
      </c>
      <c r="D134" s="42">
        <f>IFERROR(IF(A134="","",COUNTIFS(_Calc!$B$3:$B$20002,"&gt;="&amp;70,_Calc!$B$3:$B$20002,"&lt;="&amp;180,_Calc!$C$3:$C$20002,A134)/COUNTIFS(_Calc!$C$3:$C$20002,A134,_Calc!$B$3:$B$20002,"&lt;&gt;")*100),"")</f>
        <v/>
      </c>
      <c r="E134" s="42">
        <f>IFERROR(IF(A134="","",COUNTIFS(_Calc!$B$3:$B$20002,"&lt;70",_Calc!$C$3:$C$20002,A134)/COUNTIFS(_Calc!$C$3:$C$20002,A134,_Calc!$B$3:$B$20002,"&lt;&gt;")*100),"")</f>
        <v/>
      </c>
      <c r="F134" s="42">
        <f>IFERROR(IF(A134="","",COUNTIFS(_Calc!$B$3:$B$20002,"&gt;180",_Calc!$C$3:$C$20002,A134)/COUNTIFS(_Calc!$C$3:$C$20002,A134,_Calc!$B$3:$B$20002,"&lt;&gt;")*100),"")</f>
        <v/>
      </c>
      <c r="G134" s="43">
        <f>IFERROR(IF(A134="","",IF(D134&gt;=70,"✓ Good",IF(E134&gt;4,"Low glucose","High glucose"))),"")</f>
        <v/>
      </c>
    </row>
    <row r="135">
      <c r="B135" s="40">
        <f>IFERROR(IF(A135="","",COUNTIFS(_Calc!$C$3:$C$20002,A135,_Calc!$B$3:$B$20002,"&lt;&gt;")),"")</f>
        <v/>
      </c>
      <c r="C135" s="41">
        <f>IFERROR(IF(A135="","",AVERAGEIFS(_Calc!$B$3:$B$20002,_Calc!$C$3:$C$20002,A135)),"")</f>
        <v/>
      </c>
      <c r="D135" s="42">
        <f>IFERROR(IF(A135="","",COUNTIFS(_Calc!$B$3:$B$20002,"&gt;="&amp;70,_Calc!$B$3:$B$20002,"&lt;="&amp;180,_Calc!$C$3:$C$20002,A135)/COUNTIFS(_Calc!$C$3:$C$20002,A135,_Calc!$B$3:$B$20002,"&lt;&gt;")*100),"")</f>
        <v/>
      </c>
      <c r="E135" s="42">
        <f>IFERROR(IF(A135="","",COUNTIFS(_Calc!$B$3:$B$20002,"&lt;70",_Calc!$C$3:$C$20002,A135)/COUNTIFS(_Calc!$C$3:$C$20002,A135,_Calc!$B$3:$B$20002,"&lt;&gt;")*100),"")</f>
        <v/>
      </c>
      <c r="F135" s="42">
        <f>IFERROR(IF(A135="","",COUNTIFS(_Calc!$B$3:$B$20002,"&gt;180",_Calc!$C$3:$C$20002,A135)/COUNTIFS(_Calc!$C$3:$C$20002,A135,_Calc!$B$3:$B$20002,"&lt;&gt;")*100),"")</f>
        <v/>
      </c>
      <c r="G135" s="43">
        <f>IFERROR(IF(A135="","",IF(D135&gt;=70,"✓ Good",IF(E135&gt;4,"Low glucose","High glucose"))),"")</f>
        <v/>
      </c>
    </row>
    <row r="136">
      <c r="B136" s="40">
        <f>IFERROR(IF(A136="","",COUNTIFS(_Calc!$C$3:$C$20002,A136,_Calc!$B$3:$B$20002,"&lt;&gt;")),"")</f>
        <v/>
      </c>
      <c r="C136" s="41">
        <f>IFERROR(IF(A136="","",AVERAGEIFS(_Calc!$B$3:$B$20002,_Calc!$C$3:$C$20002,A136)),"")</f>
        <v/>
      </c>
      <c r="D136" s="42">
        <f>IFERROR(IF(A136="","",COUNTIFS(_Calc!$B$3:$B$20002,"&gt;="&amp;70,_Calc!$B$3:$B$20002,"&lt;="&amp;180,_Calc!$C$3:$C$20002,A136)/COUNTIFS(_Calc!$C$3:$C$20002,A136,_Calc!$B$3:$B$20002,"&lt;&gt;")*100),"")</f>
        <v/>
      </c>
      <c r="E136" s="42">
        <f>IFERROR(IF(A136="","",COUNTIFS(_Calc!$B$3:$B$20002,"&lt;70",_Calc!$C$3:$C$20002,A136)/COUNTIFS(_Calc!$C$3:$C$20002,A136,_Calc!$B$3:$B$20002,"&lt;&gt;")*100),"")</f>
        <v/>
      </c>
      <c r="F136" s="42">
        <f>IFERROR(IF(A136="","",COUNTIFS(_Calc!$B$3:$B$20002,"&gt;180",_Calc!$C$3:$C$20002,A136)/COUNTIFS(_Calc!$C$3:$C$20002,A136,_Calc!$B$3:$B$20002,"&lt;&gt;")*100),"")</f>
        <v/>
      </c>
      <c r="G136" s="43">
        <f>IFERROR(IF(A136="","",IF(D136&gt;=70,"✓ Good",IF(E136&gt;4,"Low glucose","High glucose"))),"")</f>
        <v/>
      </c>
    </row>
    <row r="137">
      <c r="B137" s="40">
        <f>IFERROR(IF(A137="","",COUNTIFS(_Calc!$C$3:$C$20002,A137,_Calc!$B$3:$B$20002,"&lt;&gt;")),"")</f>
        <v/>
      </c>
      <c r="C137" s="41">
        <f>IFERROR(IF(A137="","",AVERAGEIFS(_Calc!$B$3:$B$20002,_Calc!$C$3:$C$20002,A137)),"")</f>
        <v/>
      </c>
      <c r="D137" s="42">
        <f>IFERROR(IF(A137="","",COUNTIFS(_Calc!$B$3:$B$20002,"&gt;="&amp;70,_Calc!$B$3:$B$20002,"&lt;="&amp;180,_Calc!$C$3:$C$20002,A137)/COUNTIFS(_Calc!$C$3:$C$20002,A137,_Calc!$B$3:$B$20002,"&lt;&gt;")*100),"")</f>
        <v/>
      </c>
      <c r="E137" s="42">
        <f>IFERROR(IF(A137="","",COUNTIFS(_Calc!$B$3:$B$20002,"&lt;70",_Calc!$C$3:$C$20002,A137)/COUNTIFS(_Calc!$C$3:$C$20002,A137,_Calc!$B$3:$B$20002,"&lt;&gt;")*100),"")</f>
        <v/>
      </c>
      <c r="F137" s="42">
        <f>IFERROR(IF(A137="","",COUNTIFS(_Calc!$B$3:$B$20002,"&gt;180",_Calc!$C$3:$C$20002,A137)/COUNTIFS(_Calc!$C$3:$C$20002,A137,_Calc!$B$3:$B$20002,"&lt;&gt;")*100),"")</f>
        <v/>
      </c>
      <c r="G137" s="43">
        <f>IFERROR(IF(A137="","",IF(D137&gt;=70,"✓ Good",IF(E137&gt;4,"Low glucose","High glucose"))),"")</f>
        <v/>
      </c>
    </row>
    <row r="138">
      <c r="B138" s="40">
        <f>IFERROR(IF(A138="","",COUNTIFS(_Calc!$C$3:$C$20002,A138,_Calc!$B$3:$B$20002,"&lt;&gt;")),"")</f>
        <v/>
      </c>
      <c r="C138" s="41">
        <f>IFERROR(IF(A138="","",AVERAGEIFS(_Calc!$B$3:$B$20002,_Calc!$C$3:$C$20002,A138)),"")</f>
        <v/>
      </c>
      <c r="D138" s="42">
        <f>IFERROR(IF(A138="","",COUNTIFS(_Calc!$B$3:$B$20002,"&gt;="&amp;70,_Calc!$B$3:$B$20002,"&lt;="&amp;180,_Calc!$C$3:$C$20002,A138)/COUNTIFS(_Calc!$C$3:$C$20002,A138,_Calc!$B$3:$B$20002,"&lt;&gt;")*100),"")</f>
        <v/>
      </c>
      <c r="E138" s="42">
        <f>IFERROR(IF(A138="","",COUNTIFS(_Calc!$B$3:$B$20002,"&lt;70",_Calc!$C$3:$C$20002,A138)/COUNTIFS(_Calc!$C$3:$C$20002,A138,_Calc!$B$3:$B$20002,"&lt;&gt;")*100),"")</f>
        <v/>
      </c>
      <c r="F138" s="42">
        <f>IFERROR(IF(A138="","",COUNTIFS(_Calc!$B$3:$B$20002,"&gt;180",_Calc!$C$3:$C$20002,A138)/COUNTIFS(_Calc!$C$3:$C$20002,A138,_Calc!$B$3:$B$20002,"&lt;&gt;")*100),"")</f>
        <v/>
      </c>
      <c r="G138" s="43">
        <f>IFERROR(IF(A138="","",IF(D138&gt;=70,"✓ Good",IF(E138&gt;4,"Low glucose","High glucose"))),"")</f>
        <v/>
      </c>
    </row>
    <row r="139">
      <c r="B139" s="40">
        <f>IFERROR(IF(A139="","",COUNTIFS(_Calc!$C$3:$C$20002,A139,_Calc!$B$3:$B$20002,"&lt;&gt;")),"")</f>
        <v/>
      </c>
      <c r="C139" s="41">
        <f>IFERROR(IF(A139="","",AVERAGEIFS(_Calc!$B$3:$B$20002,_Calc!$C$3:$C$20002,A139)),"")</f>
        <v/>
      </c>
      <c r="D139" s="42">
        <f>IFERROR(IF(A139="","",COUNTIFS(_Calc!$B$3:$B$20002,"&gt;="&amp;70,_Calc!$B$3:$B$20002,"&lt;="&amp;180,_Calc!$C$3:$C$20002,A139)/COUNTIFS(_Calc!$C$3:$C$20002,A139,_Calc!$B$3:$B$20002,"&lt;&gt;")*100),"")</f>
        <v/>
      </c>
      <c r="E139" s="42">
        <f>IFERROR(IF(A139="","",COUNTIFS(_Calc!$B$3:$B$20002,"&lt;70",_Calc!$C$3:$C$20002,A139)/COUNTIFS(_Calc!$C$3:$C$20002,A139,_Calc!$B$3:$B$20002,"&lt;&gt;")*100),"")</f>
        <v/>
      </c>
      <c r="F139" s="42">
        <f>IFERROR(IF(A139="","",COUNTIFS(_Calc!$B$3:$B$20002,"&gt;180",_Calc!$C$3:$C$20002,A139)/COUNTIFS(_Calc!$C$3:$C$20002,A139,_Calc!$B$3:$B$20002,"&lt;&gt;")*100),"")</f>
        <v/>
      </c>
      <c r="G139" s="43">
        <f>IFERROR(IF(A139="","",IF(D139&gt;=70,"✓ Good",IF(E139&gt;4,"Low glucose","High glucose"))),"")</f>
        <v/>
      </c>
    </row>
    <row r="140">
      <c r="B140" s="40">
        <f>IFERROR(IF(A140="","",COUNTIFS(_Calc!$C$3:$C$20002,A140,_Calc!$B$3:$B$20002,"&lt;&gt;")),"")</f>
        <v/>
      </c>
      <c r="C140" s="41">
        <f>IFERROR(IF(A140="","",AVERAGEIFS(_Calc!$B$3:$B$20002,_Calc!$C$3:$C$20002,A140)),"")</f>
        <v/>
      </c>
      <c r="D140" s="42">
        <f>IFERROR(IF(A140="","",COUNTIFS(_Calc!$B$3:$B$20002,"&gt;="&amp;70,_Calc!$B$3:$B$20002,"&lt;="&amp;180,_Calc!$C$3:$C$20002,A140)/COUNTIFS(_Calc!$C$3:$C$20002,A140,_Calc!$B$3:$B$20002,"&lt;&gt;")*100),"")</f>
        <v/>
      </c>
      <c r="E140" s="42">
        <f>IFERROR(IF(A140="","",COUNTIFS(_Calc!$B$3:$B$20002,"&lt;70",_Calc!$C$3:$C$20002,A140)/COUNTIFS(_Calc!$C$3:$C$20002,A140,_Calc!$B$3:$B$20002,"&lt;&gt;")*100),"")</f>
        <v/>
      </c>
      <c r="F140" s="42">
        <f>IFERROR(IF(A140="","",COUNTIFS(_Calc!$B$3:$B$20002,"&gt;180",_Calc!$C$3:$C$20002,A140)/COUNTIFS(_Calc!$C$3:$C$20002,A140,_Calc!$B$3:$B$20002,"&lt;&gt;")*100),"")</f>
        <v/>
      </c>
      <c r="G140" s="43">
        <f>IFERROR(IF(A140="","",IF(D140&gt;=70,"✓ Good",IF(E140&gt;4,"Low glucose","High glucose"))),"")</f>
        <v/>
      </c>
    </row>
    <row r="141">
      <c r="B141" s="40">
        <f>IFERROR(IF(A141="","",COUNTIFS(_Calc!$C$3:$C$20002,A141,_Calc!$B$3:$B$20002,"&lt;&gt;")),"")</f>
        <v/>
      </c>
      <c r="C141" s="41">
        <f>IFERROR(IF(A141="","",AVERAGEIFS(_Calc!$B$3:$B$20002,_Calc!$C$3:$C$20002,A141)),"")</f>
        <v/>
      </c>
      <c r="D141" s="42">
        <f>IFERROR(IF(A141="","",COUNTIFS(_Calc!$B$3:$B$20002,"&gt;="&amp;70,_Calc!$B$3:$B$20002,"&lt;="&amp;180,_Calc!$C$3:$C$20002,A141)/COUNTIFS(_Calc!$C$3:$C$20002,A141,_Calc!$B$3:$B$20002,"&lt;&gt;")*100),"")</f>
        <v/>
      </c>
      <c r="E141" s="42">
        <f>IFERROR(IF(A141="","",COUNTIFS(_Calc!$B$3:$B$20002,"&lt;70",_Calc!$C$3:$C$20002,A141)/COUNTIFS(_Calc!$C$3:$C$20002,A141,_Calc!$B$3:$B$20002,"&lt;&gt;")*100),"")</f>
        <v/>
      </c>
      <c r="F141" s="42">
        <f>IFERROR(IF(A141="","",COUNTIFS(_Calc!$B$3:$B$20002,"&gt;180",_Calc!$C$3:$C$20002,A141)/COUNTIFS(_Calc!$C$3:$C$20002,A141,_Calc!$B$3:$B$20002,"&lt;&gt;")*100),"")</f>
        <v/>
      </c>
      <c r="G141" s="43">
        <f>IFERROR(IF(A141="","",IF(D141&gt;=70,"✓ Good",IF(E141&gt;4,"Low glucose","High glucose"))),"")</f>
        <v/>
      </c>
    </row>
    <row r="142">
      <c r="B142" s="40">
        <f>IFERROR(IF(A142="","",COUNTIFS(_Calc!$C$3:$C$20002,A142,_Calc!$B$3:$B$20002,"&lt;&gt;")),"")</f>
        <v/>
      </c>
      <c r="C142" s="41">
        <f>IFERROR(IF(A142="","",AVERAGEIFS(_Calc!$B$3:$B$20002,_Calc!$C$3:$C$20002,A142)),"")</f>
        <v/>
      </c>
      <c r="D142" s="42">
        <f>IFERROR(IF(A142="","",COUNTIFS(_Calc!$B$3:$B$20002,"&gt;="&amp;70,_Calc!$B$3:$B$20002,"&lt;="&amp;180,_Calc!$C$3:$C$20002,A142)/COUNTIFS(_Calc!$C$3:$C$20002,A142,_Calc!$B$3:$B$20002,"&lt;&gt;")*100),"")</f>
        <v/>
      </c>
      <c r="E142" s="42">
        <f>IFERROR(IF(A142="","",COUNTIFS(_Calc!$B$3:$B$20002,"&lt;70",_Calc!$C$3:$C$20002,A142)/COUNTIFS(_Calc!$C$3:$C$20002,A142,_Calc!$B$3:$B$20002,"&lt;&gt;")*100),"")</f>
        <v/>
      </c>
      <c r="F142" s="42">
        <f>IFERROR(IF(A142="","",COUNTIFS(_Calc!$B$3:$B$20002,"&gt;180",_Calc!$C$3:$C$20002,A142)/COUNTIFS(_Calc!$C$3:$C$20002,A142,_Calc!$B$3:$B$20002,"&lt;&gt;")*100),"")</f>
        <v/>
      </c>
      <c r="G142" s="43">
        <f>IFERROR(IF(A142="","",IF(D142&gt;=70,"✓ Good",IF(E142&gt;4,"Low glucose","High glucose"))),"")</f>
        <v/>
      </c>
    </row>
    <row r="143">
      <c r="B143" s="40">
        <f>IFERROR(IF(A143="","",COUNTIFS(_Calc!$C$3:$C$20002,A143,_Calc!$B$3:$B$20002,"&lt;&gt;")),"")</f>
        <v/>
      </c>
      <c r="C143" s="41">
        <f>IFERROR(IF(A143="","",AVERAGEIFS(_Calc!$B$3:$B$20002,_Calc!$C$3:$C$20002,A143)),"")</f>
        <v/>
      </c>
      <c r="D143" s="42">
        <f>IFERROR(IF(A143="","",COUNTIFS(_Calc!$B$3:$B$20002,"&gt;="&amp;70,_Calc!$B$3:$B$20002,"&lt;="&amp;180,_Calc!$C$3:$C$20002,A143)/COUNTIFS(_Calc!$C$3:$C$20002,A143,_Calc!$B$3:$B$20002,"&lt;&gt;")*100),"")</f>
        <v/>
      </c>
      <c r="E143" s="42">
        <f>IFERROR(IF(A143="","",COUNTIFS(_Calc!$B$3:$B$20002,"&lt;70",_Calc!$C$3:$C$20002,A143)/COUNTIFS(_Calc!$C$3:$C$20002,A143,_Calc!$B$3:$B$20002,"&lt;&gt;")*100),"")</f>
        <v/>
      </c>
      <c r="F143" s="42">
        <f>IFERROR(IF(A143="","",COUNTIFS(_Calc!$B$3:$B$20002,"&gt;180",_Calc!$C$3:$C$20002,A143)/COUNTIFS(_Calc!$C$3:$C$20002,A143,_Calc!$B$3:$B$20002,"&lt;&gt;")*100),"")</f>
        <v/>
      </c>
      <c r="G143" s="43">
        <f>IFERROR(IF(A143="","",IF(D143&gt;=70,"✓ Good",IF(E143&gt;4,"Low glucose","High glucose"))),"")</f>
        <v/>
      </c>
    </row>
    <row r="144">
      <c r="B144" s="40">
        <f>IFERROR(IF(A144="","",COUNTIFS(_Calc!$C$3:$C$20002,A144,_Calc!$B$3:$B$20002,"&lt;&gt;")),"")</f>
        <v/>
      </c>
      <c r="C144" s="41">
        <f>IFERROR(IF(A144="","",AVERAGEIFS(_Calc!$B$3:$B$20002,_Calc!$C$3:$C$20002,A144)),"")</f>
        <v/>
      </c>
      <c r="D144" s="42">
        <f>IFERROR(IF(A144="","",COUNTIFS(_Calc!$B$3:$B$20002,"&gt;="&amp;70,_Calc!$B$3:$B$20002,"&lt;="&amp;180,_Calc!$C$3:$C$20002,A144)/COUNTIFS(_Calc!$C$3:$C$20002,A144,_Calc!$B$3:$B$20002,"&lt;&gt;")*100),"")</f>
        <v/>
      </c>
      <c r="E144" s="42">
        <f>IFERROR(IF(A144="","",COUNTIFS(_Calc!$B$3:$B$20002,"&lt;70",_Calc!$C$3:$C$20002,A144)/COUNTIFS(_Calc!$C$3:$C$20002,A144,_Calc!$B$3:$B$20002,"&lt;&gt;")*100),"")</f>
        <v/>
      </c>
      <c r="F144" s="42">
        <f>IFERROR(IF(A144="","",COUNTIFS(_Calc!$B$3:$B$20002,"&gt;180",_Calc!$C$3:$C$20002,A144)/COUNTIFS(_Calc!$C$3:$C$20002,A144,_Calc!$B$3:$B$20002,"&lt;&gt;")*100),"")</f>
        <v/>
      </c>
      <c r="G144" s="43">
        <f>IFERROR(IF(A144="","",IF(D144&gt;=70,"✓ Good",IF(E144&gt;4,"Low glucose","High glucose"))),"")</f>
        <v/>
      </c>
    </row>
    <row r="145">
      <c r="B145" s="40">
        <f>IFERROR(IF(A145="","",COUNTIFS(_Calc!$C$3:$C$20002,A145,_Calc!$B$3:$B$20002,"&lt;&gt;")),"")</f>
        <v/>
      </c>
      <c r="C145" s="41">
        <f>IFERROR(IF(A145="","",AVERAGEIFS(_Calc!$B$3:$B$20002,_Calc!$C$3:$C$20002,A145)),"")</f>
        <v/>
      </c>
      <c r="D145" s="42">
        <f>IFERROR(IF(A145="","",COUNTIFS(_Calc!$B$3:$B$20002,"&gt;="&amp;70,_Calc!$B$3:$B$20002,"&lt;="&amp;180,_Calc!$C$3:$C$20002,A145)/COUNTIFS(_Calc!$C$3:$C$20002,A145,_Calc!$B$3:$B$20002,"&lt;&gt;")*100),"")</f>
        <v/>
      </c>
      <c r="E145" s="42">
        <f>IFERROR(IF(A145="","",COUNTIFS(_Calc!$B$3:$B$20002,"&lt;70",_Calc!$C$3:$C$20002,A145)/COUNTIFS(_Calc!$C$3:$C$20002,A145,_Calc!$B$3:$B$20002,"&lt;&gt;")*100),"")</f>
        <v/>
      </c>
      <c r="F145" s="42">
        <f>IFERROR(IF(A145="","",COUNTIFS(_Calc!$B$3:$B$20002,"&gt;180",_Calc!$C$3:$C$20002,A145)/COUNTIFS(_Calc!$C$3:$C$20002,A145,_Calc!$B$3:$B$20002,"&lt;&gt;")*100),"")</f>
        <v/>
      </c>
      <c r="G145" s="43">
        <f>IFERROR(IF(A145="","",IF(D145&gt;=70,"✓ Good",IF(E145&gt;4,"Low glucose","High glucose"))),"")</f>
        <v/>
      </c>
    </row>
    <row r="146">
      <c r="B146" s="40">
        <f>IFERROR(IF(A146="","",COUNTIFS(_Calc!$C$3:$C$20002,A146,_Calc!$B$3:$B$20002,"&lt;&gt;")),"")</f>
        <v/>
      </c>
      <c r="C146" s="41">
        <f>IFERROR(IF(A146="","",AVERAGEIFS(_Calc!$B$3:$B$20002,_Calc!$C$3:$C$20002,A146)),"")</f>
        <v/>
      </c>
      <c r="D146" s="42">
        <f>IFERROR(IF(A146="","",COUNTIFS(_Calc!$B$3:$B$20002,"&gt;="&amp;70,_Calc!$B$3:$B$20002,"&lt;="&amp;180,_Calc!$C$3:$C$20002,A146)/COUNTIFS(_Calc!$C$3:$C$20002,A146,_Calc!$B$3:$B$20002,"&lt;&gt;")*100),"")</f>
        <v/>
      </c>
      <c r="E146" s="42">
        <f>IFERROR(IF(A146="","",COUNTIFS(_Calc!$B$3:$B$20002,"&lt;70",_Calc!$C$3:$C$20002,A146)/COUNTIFS(_Calc!$C$3:$C$20002,A146,_Calc!$B$3:$B$20002,"&lt;&gt;")*100),"")</f>
        <v/>
      </c>
      <c r="F146" s="42">
        <f>IFERROR(IF(A146="","",COUNTIFS(_Calc!$B$3:$B$20002,"&gt;180",_Calc!$C$3:$C$20002,A146)/COUNTIFS(_Calc!$C$3:$C$20002,A146,_Calc!$B$3:$B$20002,"&lt;&gt;")*100),"")</f>
        <v/>
      </c>
      <c r="G146" s="43">
        <f>IFERROR(IF(A146="","",IF(D146&gt;=70,"✓ Good",IF(E146&gt;4,"Low glucose","High glucose"))),"")</f>
        <v/>
      </c>
    </row>
    <row r="147">
      <c r="B147" s="40">
        <f>IFERROR(IF(A147="","",COUNTIFS(_Calc!$C$3:$C$20002,A147,_Calc!$B$3:$B$20002,"&lt;&gt;")),"")</f>
        <v/>
      </c>
      <c r="C147" s="41">
        <f>IFERROR(IF(A147="","",AVERAGEIFS(_Calc!$B$3:$B$20002,_Calc!$C$3:$C$20002,A147)),"")</f>
        <v/>
      </c>
      <c r="D147" s="42">
        <f>IFERROR(IF(A147="","",COUNTIFS(_Calc!$B$3:$B$20002,"&gt;="&amp;70,_Calc!$B$3:$B$20002,"&lt;="&amp;180,_Calc!$C$3:$C$20002,A147)/COUNTIFS(_Calc!$C$3:$C$20002,A147,_Calc!$B$3:$B$20002,"&lt;&gt;")*100),"")</f>
        <v/>
      </c>
      <c r="E147" s="42">
        <f>IFERROR(IF(A147="","",COUNTIFS(_Calc!$B$3:$B$20002,"&lt;70",_Calc!$C$3:$C$20002,A147)/COUNTIFS(_Calc!$C$3:$C$20002,A147,_Calc!$B$3:$B$20002,"&lt;&gt;")*100),"")</f>
        <v/>
      </c>
      <c r="F147" s="42">
        <f>IFERROR(IF(A147="","",COUNTIFS(_Calc!$B$3:$B$20002,"&gt;180",_Calc!$C$3:$C$20002,A147)/COUNTIFS(_Calc!$C$3:$C$20002,A147,_Calc!$B$3:$B$20002,"&lt;&gt;")*100),"")</f>
        <v/>
      </c>
      <c r="G147" s="43">
        <f>IFERROR(IF(A147="","",IF(D147&gt;=70,"✓ Good",IF(E147&gt;4,"Low glucose","High glucose"))),"")</f>
        <v/>
      </c>
    </row>
    <row r="148">
      <c r="B148" s="40">
        <f>IFERROR(IF(A148="","",COUNTIFS(_Calc!$C$3:$C$20002,A148,_Calc!$B$3:$B$20002,"&lt;&gt;")),"")</f>
        <v/>
      </c>
      <c r="C148" s="41">
        <f>IFERROR(IF(A148="","",AVERAGEIFS(_Calc!$B$3:$B$20002,_Calc!$C$3:$C$20002,A148)),"")</f>
        <v/>
      </c>
      <c r="D148" s="42">
        <f>IFERROR(IF(A148="","",COUNTIFS(_Calc!$B$3:$B$20002,"&gt;="&amp;70,_Calc!$B$3:$B$20002,"&lt;="&amp;180,_Calc!$C$3:$C$20002,A148)/COUNTIFS(_Calc!$C$3:$C$20002,A148,_Calc!$B$3:$B$20002,"&lt;&gt;")*100),"")</f>
        <v/>
      </c>
      <c r="E148" s="42">
        <f>IFERROR(IF(A148="","",COUNTIFS(_Calc!$B$3:$B$20002,"&lt;70",_Calc!$C$3:$C$20002,A148)/COUNTIFS(_Calc!$C$3:$C$20002,A148,_Calc!$B$3:$B$20002,"&lt;&gt;")*100),"")</f>
        <v/>
      </c>
      <c r="F148" s="42">
        <f>IFERROR(IF(A148="","",COUNTIFS(_Calc!$B$3:$B$20002,"&gt;180",_Calc!$C$3:$C$20002,A148)/COUNTIFS(_Calc!$C$3:$C$20002,A148,_Calc!$B$3:$B$20002,"&lt;&gt;")*100),"")</f>
        <v/>
      </c>
      <c r="G148" s="43">
        <f>IFERROR(IF(A148="","",IF(D148&gt;=70,"✓ Good",IF(E148&gt;4,"Low glucose","High glucose"))),"")</f>
        <v/>
      </c>
    </row>
    <row r="149">
      <c r="B149" s="40">
        <f>IFERROR(IF(A149="","",COUNTIFS(_Calc!$C$3:$C$20002,A149,_Calc!$B$3:$B$20002,"&lt;&gt;")),"")</f>
        <v/>
      </c>
      <c r="C149" s="41">
        <f>IFERROR(IF(A149="","",AVERAGEIFS(_Calc!$B$3:$B$20002,_Calc!$C$3:$C$20002,A149)),"")</f>
        <v/>
      </c>
      <c r="D149" s="42">
        <f>IFERROR(IF(A149="","",COUNTIFS(_Calc!$B$3:$B$20002,"&gt;="&amp;70,_Calc!$B$3:$B$20002,"&lt;="&amp;180,_Calc!$C$3:$C$20002,A149)/COUNTIFS(_Calc!$C$3:$C$20002,A149,_Calc!$B$3:$B$20002,"&lt;&gt;")*100),"")</f>
        <v/>
      </c>
      <c r="E149" s="42">
        <f>IFERROR(IF(A149="","",COUNTIFS(_Calc!$B$3:$B$20002,"&lt;70",_Calc!$C$3:$C$20002,A149)/COUNTIFS(_Calc!$C$3:$C$20002,A149,_Calc!$B$3:$B$20002,"&lt;&gt;")*100),"")</f>
        <v/>
      </c>
      <c r="F149" s="42">
        <f>IFERROR(IF(A149="","",COUNTIFS(_Calc!$B$3:$B$20002,"&gt;180",_Calc!$C$3:$C$20002,A149)/COUNTIFS(_Calc!$C$3:$C$20002,A149,_Calc!$B$3:$B$20002,"&lt;&gt;")*100),"")</f>
        <v/>
      </c>
      <c r="G149" s="43">
        <f>IFERROR(IF(A149="","",IF(D149&gt;=70,"✓ Good",IF(E149&gt;4,"Low glucose","High glucose"))),"")</f>
        <v/>
      </c>
    </row>
    <row r="150">
      <c r="B150" s="40">
        <f>IFERROR(IF(A150="","",COUNTIFS(_Calc!$C$3:$C$20002,A150,_Calc!$B$3:$B$20002,"&lt;&gt;")),"")</f>
        <v/>
      </c>
      <c r="C150" s="41">
        <f>IFERROR(IF(A150="","",AVERAGEIFS(_Calc!$B$3:$B$20002,_Calc!$C$3:$C$20002,A150)),"")</f>
        <v/>
      </c>
      <c r="D150" s="42">
        <f>IFERROR(IF(A150="","",COUNTIFS(_Calc!$B$3:$B$20002,"&gt;="&amp;70,_Calc!$B$3:$B$20002,"&lt;="&amp;180,_Calc!$C$3:$C$20002,A150)/COUNTIFS(_Calc!$C$3:$C$20002,A150,_Calc!$B$3:$B$20002,"&lt;&gt;")*100),"")</f>
        <v/>
      </c>
      <c r="E150" s="42">
        <f>IFERROR(IF(A150="","",COUNTIFS(_Calc!$B$3:$B$20002,"&lt;70",_Calc!$C$3:$C$20002,A150)/COUNTIFS(_Calc!$C$3:$C$20002,A150,_Calc!$B$3:$B$20002,"&lt;&gt;")*100),"")</f>
        <v/>
      </c>
      <c r="F150" s="42">
        <f>IFERROR(IF(A150="","",COUNTIFS(_Calc!$B$3:$B$20002,"&gt;180",_Calc!$C$3:$C$20002,A150)/COUNTIFS(_Calc!$C$3:$C$20002,A150,_Calc!$B$3:$B$20002,"&lt;&gt;")*100),"")</f>
        <v/>
      </c>
      <c r="G150" s="43">
        <f>IFERROR(IF(A150="","",IF(D150&gt;=70,"✓ Good",IF(E150&gt;4,"Low glucose","High glucose"))),"")</f>
        <v/>
      </c>
    </row>
    <row r="151">
      <c r="B151" s="40">
        <f>IFERROR(IF(A151="","",COUNTIFS(_Calc!$C$3:$C$20002,A151,_Calc!$B$3:$B$20002,"&lt;&gt;")),"")</f>
        <v/>
      </c>
      <c r="C151" s="41">
        <f>IFERROR(IF(A151="","",AVERAGEIFS(_Calc!$B$3:$B$20002,_Calc!$C$3:$C$20002,A151)),"")</f>
        <v/>
      </c>
      <c r="D151" s="42">
        <f>IFERROR(IF(A151="","",COUNTIFS(_Calc!$B$3:$B$20002,"&gt;="&amp;70,_Calc!$B$3:$B$20002,"&lt;="&amp;180,_Calc!$C$3:$C$20002,A151)/COUNTIFS(_Calc!$C$3:$C$20002,A151,_Calc!$B$3:$B$20002,"&lt;&gt;")*100),"")</f>
        <v/>
      </c>
      <c r="E151" s="42">
        <f>IFERROR(IF(A151="","",COUNTIFS(_Calc!$B$3:$B$20002,"&lt;70",_Calc!$C$3:$C$20002,A151)/COUNTIFS(_Calc!$C$3:$C$20002,A151,_Calc!$B$3:$B$20002,"&lt;&gt;")*100),"")</f>
        <v/>
      </c>
      <c r="F151" s="42">
        <f>IFERROR(IF(A151="","",COUNTIFS(_Calc!$B$3:$B$20002,"&gt;180",_Calc!$C$3:$C$20002,A151)/COUNTIFS(_Calc!$C$3:$C$20002,A151,_Calc!$B$3:$B$20002,"&lt;&gt;")*100),"")</f>
        <v/>
      </c>
      <c r="G151" s="43">
        <f>IFERROR(IF(A151="","",IF(D151&gt;=70,"✓ Good",IF(E151&gt;4,"Low glucose","High glucose"))),"")</f>
        <v/>
      </c>
    </row>
    <row r="152">
      <c r="B152" s="40">
        <f>IFERROR(IF(A152="","",COUNTIFS(_Calc!$C$3:$C$20002,A152,_Calc!$B$3:$B$20002,"&lt;&gt;")),"")</f>
        <v/>
      </c>
      <c r="C152" s="41">
        <f>IFERROR(IF(A152="","",AVERAGEIFS(_Calc!$B$3:$B$20002,_Calc!$C$3:$C$20002,A152)),"")</f>
        <v/>
      </c>
      <c r="D152" s="42">
        <f>IFERROR(IF(A152="","",COUNTIFS(_Calc!$B$3:$B$20002,"&gt;="&amp;70,_Calc!$B$3:$B$20002,"&lt;="&amp;180,_Calc!$C$3:$C$20002,A152)/COUNTIFS(_Calc!$C$3:$C$20002,A152,_Calc!$B$3:$B$20002,"&lt;&gt;")*100),"")</f>
        <v/>
      </c>
      <c r="E152" s="42">
        <f>IFERROR(IF(A152="","",COUNTIFS(_Calc!$B$3:$B$20002,"&lt;70",_Calc!$C$3:$C$20002,A152)/COUNTIFS(_Calc!$C$3:$C$20002,A152,_Calc!$B$3:$B$20002,"&lt;&gt;")*100),"")</f>
        <v/>
      </c>
      <c r="F152" s="42">
        <f>IFERROR(IF(A152="","",COUNTIFS(_Calc!$B$3:$B$20002,"&gt;180",_Calc!$C$3:$C$20002,A152)/COUNTIFS(_Calc!$C$3:$C$20002,A152,_Calc!$B$3:$B$20002,"&lt;&gt;")*100),"")</f>
        <v/>
      </c>
      <c r="G152" s="43">
        <f>IFERROR(IF(A152="","",IF(D152&gt;=70,"✓ Good",IF(E152&gt;4,"Low glucose","High glucose"))),"")</f>
        <v/>
      </c>
    </row>
    <row r="153">
      <c r="B153" s="40">
        <f>IFERROR(IF(A153="","",COUNTIFS(_Calc!$C$3:$C$20002,A153,_Calc!$B$3:$B$20002,"&lt;&gt;")),"")</f>
        <v/>
      </c>
      <c r="C153" s="41">
        <f>IFERROR(IF(A153="","",AVERAGEIFS(_Calc!$B$3:$B$20002,_Calc!$C$3:$C$20002,A153)),"")</f>
        <v/>
      </c>
      <c r="D153" s="42">
        <f>IFERROR(IF(A153="","",COUNTIFS(_Calc!$B$3:$B$20002,"&gt;="&amp;70,_Calc!$B$3:$B$20002,"&lt;="&amp;180,_Calc!$C$3:$C$20002,A153)/COUNTIFS(_Calc!$C$3:$C$20002,A153,_Calc!$B$3:$B$20002,"&lt;&gt;")*100),"")</f>
        <v/>
      </c>
      <c r="E153" s="42">
        <f>IFERROR(IF(A153="","",COUNTIFS(_Calc!$B$3:$B$20002,"&lt;70",_Calc!$C$3:$C$20002,A153)/COUNTIFS(_Calc!$C$3:$C$20002,A153,_Calc!$B$3:$B$20002,"&lt;&gt;")*100),"")</f>
        <v/>
      </c>
      <c r="F153" s="42">
        <f>IFERROR(IF(A153="","",COUNTIFS(_Calc!$B$3:$B$20002,"&gt;180",_Calc!$C$3:$C$20002,A153)/COUNTIFS(_Calc!$C$3:$C$20002,A153,_Calc!$B$3:$B$20002,"&lt;&gt;")*100),"")</f>
        <v/>
      </c>
      <c r="G153" s="43">
        <f>IFERROR(IF(A153="","",IF(D153&gt;=70,"✓ Good",IF(E153&gt;4,"Low glucose","High glucose"))),"")</f>
        <v/>
      </c>
    </row>
    <row r="154">
      <c r="B154" s="40">
        <f>IFERROR(IF(A154="","",COUNTIFS(_Calc!$C$3:$C$20002,A154,_Calc!$B$3:$B$20002,"&lt;&gt;")),"")</f>
        <v/>
      </c>
      <c r="C154" s="41">
        <f>IFERROR(IF(A154="","",AVERAGEIFS(_Calc!$B$3:$B$20002,_Calc!$C$3:$C$20002,A154)),"")</f>
        <v/>
      </c>
      <c r="D154" s="42">
        <f>IFERROR(IF(A154="","",COUNTIFS(_Calc!$B$3:$B$20002,"&gt;="&amp;70,_Calc!$B$3:$B$20002,"&lt;="&amp;180,_Calc!$C$3:$C$20002,A154)/COUNTIFS(_Calc!$C$3:$C$20002,A154,_Calc!$B$3:$B$20002,"&lt;&gt;")*100),"")</f>
        <v/>
      </c>
      <c r="E154" s="42">
        <f>IFERROR(IF(A154="","",COUNTIFS(_Calc!$B$3:$B$20002,"&lt;70",_Calc!$C$3:$C$20002,A154)/COUNTIFS(_Calc!$C$3:$C$20002,A154,_Calc!$B$3:$B$20002,"&lt;&gt;")*100),"")</f>
        <v/>
      </c>
      <c r="F154" s="42">
        <f>IFERROR(IF(A154="","",COUNTIFS(_Calc!$B$3:$B$20002,"&gt;180",_Calc!$C$3:$C$20002,A154)/COUNTIFS(_Calc!$C$3:$C$20002,A154,_Calc!$B$3:$B$20002,"&lt;&gt;")*100),"")</f>
        <v/>
      </c>
      <c r="G154" s="43">
        <f>IFERROR(IF(A154="","",IF(D154&gt;=70,"✓ Good",IF(E154&gt;4,"Low glucose","High glucose"))),"")</f>
        <v/>
      </c>
    </row>
    <row r="155">
      <c r="B155" s="40">
        <f>IFERROR(IF(A155="","",COUNTIFS(_Calc!$C$3:$C$20002,A155,_Calc!$B$3:$B$20002,"&lt;&gt;")),"")</f>
        <v/>
      </c>
      <c r="C155" s="41">
        <f>IFERROR(IF(A155="","",AVERAGEIFS(_Calc!$B$3:$B$20002,_Calc!$C$3:$C$20002,A155)),"")</f>
        <v/>
      </c>
      <c r="D155" s="42">
        <f>IFERROR(IF(A155="","",COUNTIFS(_Calc!$B$3:$B$20002,"&gt;="&amp;70,_Calc!$B$3:$B$20002,"&lt;="&amp;180,_Calc!$C$3:$C$20002,A155)/COUNTIFS(_Calc!$C$3:$C$20002,A155,_Calc!$B$3:$B$20002,"&lt;&gt;")*100),"")</f>
        <v/>
      </c>
      <c r="E155" s="42">
        <f>IFERROR(IF(A155="","",COUNTIFS(_Calc!$B$3:$B$20002,"&lt;70",_Calc!$C$3:$C$20002,A155)/COUNTIFS(_Calc!$C$3:$C$20002,A155,_Calc!$B$3:$B$20002,"&lt;&gt;")*100),"")</f>
        <v/>
      </c>
      <c r="F155" s="42">
        <f>IFERROR(IF(A155="","",COUNTIFS(_Calc!$B$3:$B$20002,"&gt;180",_Calc!$C$3:$C$20002,A155)/COUNTIFS(_Calc!$C$3:$C$20002,A155,_Calc!$B$3:$B$20002,"&lt;&gt;")*100),"")</f>
        <v/>
      </c>
      <c r="G155" s="43">
        <f>IFERROR(IF(A155="","",IF(D155&gt;=70,"✓ Good",IF(E155&gt;4,"Low glucose","High glucose"))),"")</f>
        <v/>
      </c>
    </row>
    <row r="156">
      <c r="B156" s="40">
        <f>IFERROR(IF(A156="","",COUNTIFS(_Calc!$C$3:$C$20002,A156,_Calc!$B$3:$B$20002,"&lt;&gt;")),"")</f>
        <v/>
      </c>
      <c r="C156" s="41">
        <f>IFERROR(IF(A156="","",AVERAGEIFS(_Calc!$B$3:$B$20002,_Calc!$C$3:$C$20002,A156)),"")</f>
        <v/>
      </c>
      <c r="D156" s="42">
        <f>IFERROR(IF(A156="","",COUNTIFS(_Calc!$B$3:$B$20002,"&gt;="&amp;70,_Calc!$B$3:$B$20002,"&lt;="&amp;180,_Calc!$C$3:$C$20002,A156)/COUNTIFS(_Calc!$C$3:$C$20002,A156,_Calc!$B$3:$B$20002,"&lt;&gt;")*100),"")</f>
        <v/>
      </c>
      <c r="E156" s="42">
        <f>IFERROR(IF(A156="","",COUNTIFS(_Calc!$B$3:$B$20002,"&lt;70",_Calc!$C$3:$C$20002,A156)/COUNTIFS(_Calc!$C$3:$C$20002,A156,_Calc!$B$3:$B$20002,"&lt;&gt;")*100),"")</f>
        <v/>
      </c>
      <c r="F156" s="42">
        <f>IFERROR(IF(A156="","",COUNTIFS(_Calc!$B$3:$B$20002,"&gt;180",_Calc!$C$3:$C$20002,A156)/COUNTIFS(_Calc!$C$3:$C$20002,A156,_Calc!$B$3:$B$20002,"&lt;&gt;")*100),"")</f>
        <v/>
      </c>
      <c r="G156" s="43">
        <f>IFERROR(IF(A156="","",IF(D156&gt;=70,"✓ Good",IF(E156&gt;4,"Low glucose","High glucose"))),"")</f>
        <v/>
      </c>
    </row>
    <row r="157">
      <c r="B157" s="40">
        <f>IFERROR(IF(A157="","",COUNTIFS(_Calc!$C$3:$C$20002,A157,_Calc!$B$3:$B$20002,"&lt;&gt;")),"")</f>
        <v/>
      </c>
      <c r="C157" s="41">
        <f>IFERROR(IF(A157="","",AVERAGEIFS(_Calc!$B$3:$B$20002,_Calc!$C$3:$C$20002,A157)),"")</f>
        <v/>
      </c>
      <c r="D157" s="42">
        <f>IFERROR(IF(A157="","",COUNTIFS(_Calc!$B$3:$B$20002,"&gt;="&amp;70,_Calc!$B$3:$B$20002,"&lt;="&amp;180,_Calc!$C$3:$C$20002,A157)/COUNTIFS(_Calc!$C$3:$C$20002,A157,_Calc!$B$3:$B$20002,"&lt;&gt;")*100),"")</f>
        <v/>
      </c>
      <c r="E157" s="42">
        <f>IFERROR(IF(A157="","",COUNTIFS(_Calc!$B$3:$B$20002,"&lt;70",_Calc!$C$3:$C$20002,A157)/COUNTIFS(_Calc!$C$3:$C$20002,A157,_Calc!$B$3:$B$20002,"&lt;&gt;")*100),"")</f>
        <v/>
      </c>
      <c r="F157" s="42">
        <f>IFERROR(IF(A157="","",COUNTIFS(_Calc!$B$3:$B$20002,"&gt;180",_Calc!$C$3:$C$20002,A157)/COUNTIFS(_Calc!$C$3:$C$20002,A157,_Calc!$B$3:$B$20002,"&lt;&gt;")*100),"")</f>
        <v/>
      </c>
      <c r="G157" s="43">
        <f>IFERROR(IF(A157="","",IF(D157&gt;=70,"✓ Good",IF(E157&gt;4,"Low glucose","High glucose"))),"")</f>
        <v/>
      </c>
    </row>
    <row r="158">
      <c r="B158" s="40">
        <f>IFERROR(IF(A158="","",COUNTIFS(_Calc!$C$3:$C$20002,A158,_Calc!$B$3:$B$20002,"&lt;&gt;")),"")</f>
        <v/>
      </c>
      <c r="C158" s="41">
        <f>IFERROR(IF(A158="","",AVERAGEIFS(_Calc!$B$3:$B$20002,_Calc!$C$3:$C$20002,A158)),"")</f>
        <v/>
      </c>
      <c r="D158" s="42">
        <f>IFERROR(IF(A158="","",COUNTIFS(_Calc!$B$3:$B$20002,"&gt;="&amp;70,_Calc!$B$3:$B$20002,"&lt;="&amp;180,_Calc!$C$3:$C$20002,A158)/COUNTIFS(_Calc!$C$3:$C$20002,A158,_Calc!$B$3:$B$20002,"&lt;&gt;")*100),"")</f>
        <v/>
      </c>
      <c r="E158" s="42">
        <f>IFERROR(IF(A158="","",COUNTIFS(_Calc!$B$3:$B$20002,"&lt;70",_Calc!$C$3:$C$20002,A158)/COUNTIFS(_Calc!$C$3:$C$20002,A158,_Calc!$B$3:$B$20002,"&lt;&gt;")*100),"")</f>
        <v/>
      </c>
      <c r="F158" s="42">
        <f>IFERROR(IF(A158="","",COUNTIFS(_Calc!$B$3:$B$20002,"&gt;180",_Calc!$C$3:$C$20002,A158)/COUNTIFS(_Calc!$C$3:$C$20002,A158,_Calc!$B$3:$B$20002,"&lt;&gt;")*100),"")</f>
        <v/>
      </c>
      <c r="G158" s="43">
        <f>IFERROR(IF(A158="","",IF(D158&gt;=70,"✓ Good",IF(E158&gt;4,"Low glucose","High glucose"))),"")</f>
        <v/>
      </c>
    </row>
    <row r="159">
      <c r="B159" s="40">
        <f>IFERROR(IF(A159="","",COUNTIFS(_Calc!$C$3:$C$20002,A159,_Calc!$B$3:$B$20002,"&lt;&gt;")),"")</f>
        <v/>
      </c>
      <c r="C159" s="41">
        <f>IFERROR(IF(A159="","",AVERAGEIFS(_Calc!$B$3:$B$20002,_Calc!$C$3:$C$20002,A159)),"")</f>
        <v/>
      </c>
      <c r="D159" s="42">
        <f>IFERROR(IF(A159="","",COUNTIFS(_Calc!$B$3:$B$20002,"&gt;="&amp;70,_Calc!$B$3:$B$20002,"&lt;="&amp;180,_Calc!$C$3:$C$20002,A159)/COUNTIFS(_Calc!$C$3:$C$20002,A159,_Calc!$B$3:$B$20002,"&lt;&gt;")*100),"")</f>
        <v/>
      </c>
      <c r="E159" s="42">
        <f>IFERROR(IF(A159="","",COUNTIFS(_Calc!$B$3:$B$20002,"&lt;70",_Calc!$C$3:$C$20002,A159)/COUNTIFS(_Calc!$C$3:$C$20002,A159,_Calc!$B$3:$B$20002,"&lt;&gt;")*100),"")</f>
        <v/>
      </c>
      <c r="F159" s="42">
        <f>IFERROR(IF(A159="","",COUNTIFS(_Calc!$B$3:$B$20002,"&gt;180",_Calc!$C$3:$C$20002,A159)/COUNTIFS(_Calc!$C$3:$C$20002,A159,_Calc!$B$3:$B$20002,"&lt;&gt;")*100),"")</f>
        <v/>
      </c>
      <c r="G159" s="43">
        <f>IFERROR(IF(A159="","",IF(D159&gt;=70,"✓ Good",IF(E159&gt;4,"Low glucose","High glucose"))),"")</f>
        <v/>
      </c>
    </row>
    <row r="160">
      <c r="B160" s="40">
        <f>IFERROR(IF(A160="","",COUNTIFS(_Calc!$C$3:$C$20002,A160,_Calc!$B$3:$B$20002,"&lt;&gt;")),"")</f>
        <v/>
      </c>
      <c r="C160" s="41">
        <f>IFERROR(IF(A160="","",AVERAGEIFS(_Calc!$B$3:$B$20002,_Calc!$C$3:$C$20002,A160)),"")</f>
        <v/>
      </c>
      <c r="D160" s="42">
        <f>IFERROR(IF(A160="","",COUNTIFS(_Calc!$B$3:$B$20002,"&gt;="&amp;70,_Calc!$B$3:$B$20002,"&lt;="&amp;180,_Calc!$C$3:$C$20002,A160)/COUNTIFS(_Calc!$C$3:$C$20002,A160,_Calc!$B$3:$B$20002,"&lt;&gt;")*100),"")</f>
        <v/>
      </c>
      <c r="E160" s="42">
        <f>IFERROR(IF(A160="","",COUNTIFS(_Calc!$B$3:$B$20002,"&lt;70",_Calc!$C$3:$C$20002,A160)/COUNTIFS(_Calc!$C$3:$C$20002,A160,_Calc!$B$3:$B$20002,"&lt;&gt;")*100),"")</f>
        <v/>
      </c>
      <c r="F160" s="42">
        <f>IFERROR(IF(A160="","",COUNTIFS(_Calc!$B$3:$B$20002,"&gt;180",_Calc!$C$3:$C$20002,A160)/COUNTIFS(_Calc!$C$3:$C$20002,A160,_Calc!$B$3:$B$20002,"&lt;&gt;")*100),"")</f>
        <v/>
      </c>
      <c r="G160" s="43">
        <f>IFERROR(IF(A160="","",IF(D160&gt;=70,"✓ Good",IF(E160&gt;4,"Low glucose","High glucose"))),"")</f>
        <v/>
      </c>
    </row>
    <row r="161">
      <c r="B161" s="40">
        <f>IFERROR(IF(A161="","",COUNTIFS(_Calc!$C$3:$C$20002,A161,_Calc!$B$3:$B$20002,"&lt;&gt;")),"")</f>
        <v/>
      </c>
      <c r="C161" s="41">
        <f>IFERROR(IF(A161="","",AVERAGEIFS(_Calc!$B$3:$B$20002,_Calc!$C$3:$C$20002,A161)),"")</f>
        <v/>
      </c>
      <c r="D161" s="42">
        <f>IFERROR(IF(A161="","",COUNTIFS(_Calc!$B$3:$B$20002,"&gt;="&amp;70,_Calc!$B$3:$B$20002,"&lt;="&amp;180,_Calc!$C$3:$C$20002,A161)/COUNTIFS(_Calc!$C$3:$C$20002,A161,_Calc!$B$3:$B$20002,"&lt;&gt;")*100),"")</f>
        <v/>
      </c>
      <c r="E161" s="42">
        <f>IFERROR(IF(A161="","",COUNTIFS(_Calc!$B$3:$B$20002,"&lt;70",_Calc!$C$3:$C$20002,A161)/COUNTIFS(_Calc!$C$3:$C$20002,A161,_Calc!$B$3:$B$20002,"&lt;&gt;")*100),"")</f>
        <v/>
      </c>
      <c r="F161" s="42">
        <f>IFERROR(IF(A161="","",COUNTIFS(_Calc!$B$3:$B$20002,"&gt;180",_Calc!$C$3:$C$20002,A161)/COUNTIFS(_Calc!$C$3:$C$20002,A161,_Calc!$B$3:$B$20002,"&lt;&gt;")*100),"")</f>
        <v/>
      </c>
      <c r="G161" s="43">
        <f>IFERROR(IF(A161="","",IF(D161&gt;=70,"✓ Good",IF(E161&gt;4,"Low glucose","High glucose"))),"")</f>
        <v/>
      </c>
    </row>
    <row r="162">
      <c r="B162" s="40">
        <f>IFERROR(IF(A162="","",COUNTIFS(_Calc!$C$3:$C$20002,A162,_Calc!$B$3:$B$20002,"&lt;&gt;")),"")</f>
        <v/>
      </c>
      <c r="C162" s="41">
        <f>IFERROR(IF(A162="","",AVERAGEIFS(_Calc!$B$3:$B$20002,_Calc!$C$3:$C$20002,A162)),"")</f>
        <v/>
      </c>
      <c r="D162" s="42">
        <f>IFERROR(IF(A162="","",COUNTIFS(_Calc!$B$3:$B$20002,"&gt;="&amp;70,_Calc!$B$3:$B$20002,"&lt;="&amp;180,_Calc!$C$3:$C$20002,A162)/COUNTIFS(_Calc!$C$3:$C$20002,A162,_Calc!$B$3:$B$20002,"&lt;&gt;")*100),"")</f>
        <v/>
      </c>
      <c r="E162" s="42">
        <f>IFERROR(IF(A162="","",COUNTIFS(_Calc!$B$3:$B$20002,"&lt;70",_Calc!$C$3:$C$20002,A162)/COUNTIFS(_Calc!$C$3:$C$20002,A162,_Calc!$B$3:$B$20002,"&lt;&gt;")*100),"")</f>
        <v/>
      </c>
      <c r="F162" s="42">
        <f>IFERROR(IF(A162="","",COUNTIFS(_Calc!$B$3:$B$20002,"&gt;180",_Calc!$C$3:$C$20002,A162)/COUNTIFS(_Calc!$C$3:$C$20002,A162,_Calc!$B$3:$B$20002,"&lt;&gt;")*100),"")</f>
        <v/>
      </c>
      <c r="G162" s="43">
        <f>IFERROR(IF(A162="","",IF(D162&gt;=70,"✓ Good",IF(E162&gt;4,"Low glucose","High glucose"))),"")</f>
        <v/>
      </c>
    </row>
    <row r="163">
      <c r="B163" s="40">
        <f>IFERROR(IF(A163="","",COUNTIFS(_Calc!$C$3:$C$20002,A163,_Calc!$B$3:$B$20002,"&lt;&gt;")),"")</f>
        <v/>
      </c>
      <c r="C163" s="41">
        <f>IFERROR(IF(A163="","",AVERAGEIFS(_Calc!$B$3:$B$20002,_Calc!$C$3:$C$20002,A163)),"")</f>
        <v/>
      </c>
      <c r="D163" s="42">
        <f>IFERROR(IF(A163="","",COUNTIFS(_Calc!$B$3:$B$20002,"&gt;="&amp;70,_Calc!$B$3:$B$20002,"&lt;="&amp;180,_Calc!$C$3:$C$20002,A163)/COUNTIFS(_Calc!$C$3:$C$20002,A163,_Calc!$B$3:$B$20002,"&lt;&gt;")*100),"")</f>
        <v/>
      </c>
      <c r="E163" s="42">
        <f>IFERROR(IF(A163="","",COUNTIFS(_Calc!$B$3:$B$20002,"&lt;70",_Calc!$C$3:$C$20002,A163)/COUNTIFS(_Calc!$C$3:$C$20002,A163,_Calc!$B$3:$B$20002,"&lt;&gt;")*100),"")</f>
        <v/>
      </c>
      <c r="F163" s="42">
        <f>IFERROR(IF(A163="","",COUNTIFS(_Calc!$B$3:$B$20002,"&gt;180",_Calc!$C$3:$C$20002,A163)/COUNTIFS(_Calc!$C$3:$C$20002,A163,_Calc!$B$3:$B$20002,"&lt;&gt;")*100),"")</f>
        <v/>
      </c>
      <c r="G163" s="43">
        <f>IFERROR(IF(A163="","",IF(D163&gt;=70,"✓ Good",IF(E163&gt;4,"Low glucose","High glucose"))),"")</f>
        <v/>
      </c>
    </row>
    <row r="164">
      <c r="B164" s="40">
        <f>IFERROR(IF(A164="","",COUNTIFS(_Calc!$C$3:$C$20002,A164,_Calc!$B$3:$B$20002,"&lt;&gt;")),"")</f>
        <v/>
      </c>
      <c r="C164" s="41">
        <f>IFERROR(IF(A164="","",AVERAGEIFS(_Calc!$B$3:$B$20002,_Calc!$C$3:$C$20002,A164)),"")</f>
        <v/>
      </c>
      <c r="D164" s="42">
        <f>IFERROR(IF(A164="","",COUNTIFS(_Calc!$B$3:$B$20002,"&gt;="&amp;70,_Calc!$B$3:$B$20002,"&lt;="&amp;180,_Calc!$C$3:$C$20002,A164)/COUNTIFS(_Calc!$C$3:$C$20002,A164,_Calc!$B$3:$B$20002,"&lt;&gt;")*100),"")</f>
        <v/>
      </c>
      <c r="E164" s="42">
        <f>IFERROR(IF(A164="","",COUNTIFS(_Calc!$B$3:$B$20002,"&lt;70",_Calc!$C$3:$C$20002,A164)/COUNTIFS(_Calc!$C$3:$C$20002,A164,_Calc!$B$3:$B$20002,"&lt;&gt;")*100),"")</f>
        <v/>
      </c>
      <c r="F164" s="42">
        <f>IFERROR(IF(A164="","",COUNTIFS(_Calc!$B$3:$B$20002,"&gt;180",_Calc!$C$3:$C$20002,A164)/COUNTIFS(_Calc!$C$3:$C$20002,A164,_Calc!$B$3:$B$20002,"&lt;&gt;")*100),"")</f>
        <v/>
      </c>
      <c r="G164" s="43">
        <f>IFERROR(IF(A164="","",IF(D164&gt;=70,"✓ Good",IF(E164&gt;4,"Low glucose","High glucose"))),"")</f>
        <v/>
      </c>
    </row>
    <row r="165">
      <c r="B165" s="40">
        <f>IFERROR(IF(A165="","",COUNTIFS(_Calc!$C$3:$C$20002,A165,_Calc!$B$3:$B$20002,"&lt;&gt;")),"")</f>
        <v/>
      </c>
      <c r="C165" s="41">
        <f>IFERROR(IF(A165="","",AVERAGEIFS(_Calc!$B$3:$B$20002,_Calc!$C$3:$C$20002,A165)),"")</f>
        <v/>
      </c>
      <c r="D165" s="42">
        <f>IFERROR(IF(A165="","",COUNTIFS(_Calc!$B$3:$B$20002,"&gt;="&amp;70,_Calc!$B$3:$B$20002,"&lt;="&amp;180,_Calc!$C$3:$C$20002,A165)/COUNTIFS(_Calc!$C$3:$C$20002,A165,_Calc!$B$3:$B$20002,"&lt;&gt;")*100),"")</f>
        <v/>
      </c>
      <c r="E165" s="42">
        <f>IFERROR(IF(A165="","",COUNTIFS(_Calc!$B$3:$B$20002,"&lt;70",_Calc!$C$3:$C$20002,A165)/COUNTIFS(_Calc!$C$3:$C$20002,A165,_Calc!$B$3:$B$20002,"&lt;&gt;")*100),"")</f>
        <v/>
      </c>
      <c r="F165" s="42">
        <f>IFERROR(IF(A165="","",COUNTIFS(_Calc!$B$3:$B$20002,"&gt;180",_Calc!$C$3:$C$20002,A165)/COUNTIFS(_Calc!$C$3:$C$20002,A165,_Calc!$B$3:$B$20002,"&lt;&gt;")*100),"")</f>
        <v/>
      </c>
      <c r="G165" s="43">
        <f>IFERROR(IF(A165="","",IF(D165&gt;=70,"✓ Good",IF(E165&gt;4,"Low glucose","High glucose"))),"")</f>
        <v/>
      </c>
    </row>
    <row r="166">
      <c r="B166" s="40">
        <f>IFERROR(IF(A166="","",COUNTIFS(_Calc!$C$3:$C$20002,A166,_Calc!$B$3:$B$20002,"&lt;&gt;")),"")</f>
        <v/>
      </c>
      <c r="C166" s="41">
        <f>IFERROR(IF(A166="","",AVERAGEIFS(_Calc!$B$3:$B$20002,_Calc!$C$3:$C$20002,A166)),"")</f>
        <v/>
      </c>
      <c r="D166" s="42">
        <f>IFERROR(IF(A166="","",COUNTIFS(_Calc!$B$3:$B$20002,"&gt;="&amp;70,_Calc!$B$3:$B$20002,"&lt;="&amp;180,_Calc!$C$3:$C$20002,A166)/COUNTIFS(_Calc!$C$3:$C$20002,A166,_Calc!$B$3:$B$20002,"&lt;&gt;")*100),"")</f>
        <v/>
      </c>
      <c r="E166" s="42">
        <f>IFERROR(IF(A166="","",COUNTIFS(_Calc!$B$3:$B$20002,"&lt;70",_Calc!$C$3:$C$20002,A166)/COUNTIFS(_Calc!$C$3:$C$20002,A166,_Calc!$B$3:$B$20002,"&lt;&gt;")*100),"")</f>
        <v/>
      </c>
      <c r="F166" s="42">
        <f>IFERROR(IF(A166="","",COUNTIFS(_Calc!$B$3:$B$20002,"&gt;180",_Calc!$C$3:$C$20002,A166)/COUNTIFS(_Calc!$C$3:$C$20002,A166,_Calc!$B$3:$B$20002,"&lt;&gt;")*100),"")</f>
        <v/>
      </c>
      <c r="G166" s="43">
        <f>IFERROR(IF(A166="","",IF(D166&gt;=70,"✓ Good",IF(E166&gt;4,"Low glucose","High glucose"))),"")</f>
        <v/>
      </c>
    </row>
    <row r="167">
      <c r="B167" s="40">
        <f>IFERROR(IF(A167="","",COUNTIFS(_Calc!$C$3:$C$20002,A167,_Calc!$B$3:$B$20002,"&lt;&gt;")),"")</f>
        <v/>
      </c>
      <c r="C167" s="41">
        <f>IFERROR(IF(A167="","",AVERAGEIFS(_Calc!$B$3:$B$20002,_Calc!$C$3:$C$20002,A167)),"")</f>
        <v/>
      </c>
      <c r="D167" s="42">
        <f>IFERROR(IF(A167="","",COUNTIFS(_Calc!$B$3:$B$20002,"&gt;="&amp;70,_Calc!$B$3:$B$20002,"&lt;="&amp;180,_Calc!$C$3:$C$20002,A167)/COUNTIFS(_Calc!$C$3:$C$20002,A167,_Calc!$B$3:$B$20002,"&lt;&gt;")*100),"")</f>
        <v/>
      </c>
      <c r="E167" s="42">
        <f>IFERROR(IF(A167="","",COUNTIFS(_Calc!$B$3:$B$20002,"&lt;70",_Calc!$C$3:$C$20002,A167)/COUNTIFS(_Calc!$C$3:$C$20002,A167,_Calc!$B$3:$B$20002,"&lt;&gt;")*100),"")</f>
        <v/>
      </c>
      <c r="F167" s="42">
        <f>IFERROR(IF(A167="","",COUNTIFS(_Calc!$B$3:$B$20002,"&gt;180",_Calc!$C$3:$C$20002,A167)/COUNTIFS(_Calc!$C$3:$C$20002,A167,_Calc!$B$3:$B$20002,"&lt;&gt;")*100),"")</f>
        <v/>
      </c>
      <c r="G167" s="43">
        <f>IFERROR(IF(A167="","",IF(D167&gt;=70,"✓ Good",IF(E167&gt;4,"Low glucose","High glucose"))),"")</f>
        <v/>
      </c>
    </row>
    <row r="168">
      <c r="B168" s="40">
        <f>IFERROR(IF(A168="","",COUNTIFS(_Calc!$C$3:$C$20002,A168,_Calc!$B$3:$B$20002,"&lt;&gt;")),"")</f>
        <v/>
      </c>
      <c r="C168" s="41">
        <f>IFERROR(IF(A168="","",AVERAGEIFS(_Calc!$B$3:$B$20002,_Calc!$C$3:$C$20002,A168)),"")</f>
        <v/>
      </c>
      <c r="D168" s="42">
        <f>IFERROR(IF(A168="","",COUNTIFS(_Calc!$B$3:$B$20002,"&gt;="&amp;70,_Calc!$B$3:$B$20002,"&lt;="&amp;180,_Calc!$C$3:$C$20002,A168)/COUNTIFS(_Calc!$C$3:$C$20002,A168,_Calc!$B$3:$B$20002,"&lt;&gt;")*100),"")</f>
        <v/>
      </c>
      <c r="E168" s="42">
        <f>IFERROR(IF(A168="","",COUNTIFS(_Calc!$B$3:$B$20002,"&lt;70",_Calc!$C$3:$C$20002,A168)/COUNTIFS(_Calc!$C$3:$C$20002,A168,_Calc!$B$3:$B$20002,"&lt;&gt;")*100),"")</f>
        <v/>
      </c>
      <c r="F168" s="42">
        <f>IFERROR(IF(A168="","",COUNTIFS(_Calc!$B$3:$B$20002,"&gt;180",_Calc!$C$3:$C$20002,A168)/COUNTIFS(_Calc!$C$3:$C$20002,A168,_Calc!$B$3:$B$20002,"&lt;&gt;")*100),"")</f>
        <v/>
      </c>
      <c r="G168" s="43">
        <f>IFERROR(IF(A168="","",IF(D168&gt;=70,"✓ Good",IF(E168&gt;4,"Low glucose","High glucose"))),"")</f>
        <v/>
      </c>
    </row>
    <row r="169">
      <c r="B169" s="40">
        <f>IFERROR(IF(A169="","",COUNTIFS(_Calc!$C$3:$C$20002,A169,_Calc!$B$3:$B$20002,"&lt;&gt;")),"")</f>
        <v/>
      </c>
      <c r="C169" s="41">
        <f>IFERROR(IF(A169="","",AVERAGEIFS(_Calc!$B$3:$B$20002,_Calc!$C$3:$C$20002,A169)),"")</f>
        <v/>
      </c>
      <c r="D169" s="42">
        <f>IFERROR(IF(A169="","",COUNTIFS(_Calc!$B$3:$B$20002,"&gt;="&amp;70,_Calc!$B$3:$B$20002,"&lt;="&amp;180,_Calc!$C$3:$C$20002,A169)/COUNTIFS(_Calc!$C$3:$C$20002,A169,_Calc!$B$3:$B$20002,"&lt;&gt;")*100),"")</f>
        <v/>
      </c>
      <c r="E169" s="42">
        <f>IFERROR(IF(A169="","",COUNTIFS(_Calc!$B$3:$B$20002,"&lt;70",_Calc!$C$3:$C$20002,A169)/COUNTIFS(_Calc!$C$3:$C$20002,A169,_Calc!$B$3:$B$20002,"&lt;&gt;")*100),"")</f>
        <v/>
      </c>
      <c r="F169" s="42">
        <f>IFERROR(IF(A169="","",COUNTIFS(_Calc!$B$3:$B$20002,"&gt;180",_Calc!$C$3:$C$20002,A169)/COUNTIFS(_Calc!$C$3:$C$20002,A169,_Calc!$B$3:$B$20002,"&lt;&gt;")*100),"")</f>
        <v/>
      </c>
      <c r="G169" s="43">
        <f>IFERROR(IF(A169="","",IF(D169&gt;=70,"✓ Good",IF(E169&gt;4,"Low glucose","High glucose"))),"")</f>
        <v/>
      </c>
    </row>
    <row r="170">
      <c r="B170" s="40">
        <f>IFERROR(IF(A170="","",COUNTIFS(_Calc!$C$3:$C$20002,A170,_Calc!$B$3:$B$20002,"&lt;&gt;")),"")</f>
        <v/>
      </c>
      <c r="C170" s="41">
        <f>IFERROR(IF(A170="","",AVERAGEIFS(_Calc!$B$3:$B$20002,_Calc!$C$3:$C$20002,A170)),"")</f>
        <v/>
      </c>
      <c r="D170" s="42">
        <f>IFERROR(IF(A170="","",COUNTIFS(_Calc!$B$3:$B$20002,"&gt;="&amp;70,_Calc!$B$3:$B$20002,"&lt;="&amp;180,_Calc!$C$3:$C$20002,A170)/COUNTIFS(_Calc!$C$3:$C$20002,A170,_Calc!$B$3:$B$20002,"&lt;&gt;")*100),"")</f>
        <v/>
      </c>
      <c r="E170" s="42">
        <f>IFERROR(IF(A170="","",COUNTIFS(_Calc!$B$3:$B$20002,"&lt;70",_Calc!$C$3:$C$20002,A170)/COUNTIFS(_Calc!$C$3:$C$20002,A170,_Calc!$B$3:$B$20002,"&lt;&gt;")*100),"")</f>
        <v/>
      </c>
      <c r="F170" s="42">
        <f>IFERROR(IF(A170="","",COUNTIFS(_Calc!$B$3:$B$20002,"&gt;180",_Calc!$C$3:$C$20002,A170)/COUNTIFS(_Calc!$C$3:$C$20002,A170,_Calc!$B$3:$B$20002,"&lt;&gt;")*100),"")</f>
        <v/>
      </c>
      <c r="G170" s="43">
        <f>IFERROR(IF(A170="","",IF(D170&gt;=70,"✓ Good",IF(E170&gt;4,"Low glucose","High glucose"))),"")</f>
        <v/>
      </c>
    </row>
    <row r="171">
      <c r="B171" s="40">
        <f>IFERROR(IF(A171="","",COUNTIFS(_Calc!$C$3:$C$20002,A171,_Calc!$B$3:$B$20002,"&lt;&gt;")),"")</f>
        <v/>
      </c>
      <c r="C171" s="41">
        <f>IFERROR(IF(A171="","",AVERAGEIFS(_Calc!$B$3:$B$20002,_Calc!$C$3:$C$20002,A171)),"")</f>
        <v/>
      </c>
      <c r="D171" s="42">
        <f>IFERROR(IF(A171="","",COUNTIFS(_Calc!$B$3:$B$20002,"&gt;="&amp;70,_Calc!$B$3:$B$20002,"&lt;="&amp;180,_Calc!$C$3:$C$20002,A171)/COUNTIFS(_Calc!$C$3:$C$20002,A171,_Calc!$B$3:$B$20002,"&lt;&gt;")*100),"")</f>
        <v/>
      </c>
      <c r="E171" s="42">
        <f>IFERROR(IF(A171="","",COUNTIFS(_Calc!$B$3:$B$20002,"&lt;70",_Calc!$C$3:$C$20002,A171)/COUNTIFS(_Calc!$C$3:$C$20002,A171,_Calc!$B$3:$B$20002,"&lt;&gt;")*100),"")</f>
        <v/>
      </c>
      <c r="F171" s="42">
        <f>IFERROR(IF(A171="","",COUNTIFS(_Calc!$B$3:$B$20002,"&gt;180",_Calc!$C$3:$C$20002,A171)/COUNTIFS(_Calc!$C$3:$C$20002,A171,_Calc!$B$3:$B$20002,"&lt;&gt;")*100),"")</f>
        <v/>
      </c>
      <c r="G171" s="43">
        <f>IFERROR(IF(A171="","",IF(D171&gt;=70,"✓ Good",IF(E171&gt;4,"Low glucose","High glucose"))),"")</f>
        <v/>
      </c>
    </row>
    <row r="172">
      <c r="B172" s="40">
        <f>IFERROR(IF(A172="","",COUNTIFS(_Calc!$C$3:$C$20002,A172,_Calc!$B$3:$B$20002,"&lt;&gt;")),"")</f>
        <v/>
      </c>
      <c r="C172" s="41">
        <f>IFERROR(IF(A172="","",AVERAGEIFS(_Calc!$B$3:$B$20002,_Calc!$C$3:$C$20002,A172)),"")</f>
        <v/>
      </c>
      <c r="D172" s="42">
        <f>IFERROR(IF(A172="","",COUNTIFS(_Calc!$B$3:$B$20002,"&gt;="&amp;70,_Calc!$B$3:$B$20002,"&lt;="&amp;180,_Calc!$C$3:$C$20002,A172)/COUNTIFS(_Calc!$C$3:$C$20002,A172,_Calc!$B$3:$B$20002,"&lt;&gt;")*100),"")</f>
        <v/>
      </c>
      <c r="E172" s="42">
        <f>IFERROR(IF(A172="","",COUNTIFS(_Calc!$B$3:$B$20002,"&lt;70",_Calc!$C$3:$C$20002,A172)/COUNTIFS(_Calc!$C$3:$C$20002,A172,_Calc!$B$3:$B$20002,"&lt;&gt;")*100),"")</f>
        <v/>
      </c>
      <c r="F172" s="42">
        <f>IFERROR(IF(A172="","",COUNTIFS(_Calc!$B$3:$B$20002,"&gt;180",_Calc!$C$3:$C$20002,A172)/COUNTIFS(_Calc!$C$3:$C$20002,A172,_Calc!$B$3:$B$20002,"&lt;&gt;")*100),"")</f>
        <v/>
      </c>
      <c r="G172" s="43">
        <f>IFERROR(IF(A172="","",IF(D172&gt;=70,"✓ Good",IF(E172&gt;4,"Low glucose","High glucose"))),"")</f>
        <v/>
      </c>
    </row>
    <row r="173">
      <c r="B173" s="40">
        <f>IFERROR(IF(A173="","",COUNTIFS(_Calc!$C$3:$C$20002,A173,_Calc!$B$3:$B$20002,"&lt;&gt;")),"")</f>
        <v/>
      </c>
      <c r="C173" s="41">
        <f>IFERROR(IF(A173="","",AVERAGEIFS(_Calc!$B$3:$B$20002,_Calc!$C$3:$C$20002,A173)),"")</f>
        <v/>
      </c>
      <c r="D173" s="42">
        <f>IFERROR(IF(A173="","",COUNTIFS(_Calc!$B$3:$B$20002,"&gt;="&amp;70,_Calc!$B$3:$B$20002,"&lt;="&amp;180,_Calc!$C$3:$C$20002,A173)/COUNTIFS(_Calc!$C$3:$C$20002,A173,_Calc!$B$3:$B$20002,"&lt;&gt;")*100),"")</f>
        <v/>
      </c>
      <c r="E173" s="42">
        <f>IFERROR(IF(A173="","",COUNTIFS(_Calc!$B$3:$B$20002,"&lt;70",_Calc!$C$3:$C$20002,A173)/COUNTIFS(_Calc!$C$3:$C$20002,A173,_Calc!$B$3:$B$20002,"&lt;&gt;")*100),"")</f>
        <v/>
      </c>
      <c r="F173" s="42">
        <f>IFERROR(IF(A173="","",COUNTIFS(_Calc!$B$3:$B$20002,"&gt;180",_Calc!$C$3:$C$20002,A173)/COUNTIFS(_Calc!$C$3:$C$20002,A173,_Calc!$B$3:$B$20002,"&lt;&gt;")*100),"")</f>
        <v/>
      </c>
      <c r="G173" s="43">
        <f>IFERROR(IF(A173="","",IF(D173&gt;=70,"✓ Good",IF(E173&gt;4,"Low glucose","High glucose"))),"")</f>
        <v/>
      </c>
    </row>
    <row r="174">
      <c r="B174" s="40">
        <f>IFERROR(IF(A174="","",COUNTIFS(_Calc!$C$3:$C$20002,A174,_Calc!$B$3:$B$20002,"&lt;&gt;")),"")</f>
        <v/>
      </c>
      <c r="C174" s="41">
        <f>IFERROR(IF(A174="","",AVERAGEIFS(_Calc!$B$3:$B$20002,_Calc!$C$3:$C$20002,A174)),"")</f>
        <v/>
      </c>
      <c r="D174" s="42">
        <f>IFERROR(IF(A174="","",COUNTIFS(_Calc!$B$3:$B$20002,"&gt;="&amp;70,_Calc!$B$3:$B$20002,"&lt;="&amp;180,_Calc!$C$3:$C$20002,A174)/COUNTIFS(_Calc!$C$3:$C$20002,A174,_Calc!$B$3:$B$20002,"&lt;&gt;")*100),"")</f>
        <v/>
      </c>
      <c r="E174" s="42">
        <f>IFERROR(IF(A174="","",COUNTIFS(_Calc!$B$3:$B$20002,"&lt;70",_Calc!$C$3:$C$20002,A174)/COUNTIFS(_Calc!$C$3:$C$20002,A174,_Calc!$B$3:$B$20002,"&lt;&gt;")*100),"")</f>
        <v/>
      </c>
      <c r="F174" s="42">
        <f>IFERROR(IF(A174="","",COUNTIFS(_Calc!$B$3:$B$20002,"&gt;180",_Calc!$C$3:$C$20002,A174)/COUNTIFS(_Calc!$C$3:$C$20002,A174,_Calc!$B$3:$B$20002,"&lt;&gt;")*100),"")</f>
        <v/>
      </c>
      <c r="G174" s="43">
        <f>IFERROR(IF(A174="","",IF(D174&gt;=70,"✓ Good",IF(E174&gt;4,"Low glucose","High glucose"))),"")</f>
        <v/>
      </c>
    </row>
    <row r="175">
      <c r="B175" s="40">
        <f>IFERROR(IF(A175="","",COUNTIFS(_Calc!$C$3:$C$20002,A175,_Calc!$B$3:$B$20002,"&lt;&gt;")),"")</f>
        <v/>
      </c>
      <c r="C175" s="41">
        <f>IFERROR(IF(A175="","",AVERAGEIFS(_Calc!$B$3:$B$20002,_Calc!$C$3:$C$20002,A175)),"")</f>
        <v/>
      </c>
      <c r="D175" s="42">
        <f>IFERROR(IF(A175="","",COUNTIFS(_Calc!$B$3:$B$20002,"&gt;="&amp;70,_Calc!$B$3:$B$20002,"&lt;="&amp;180,_Calc!$C$3:$C$20002,A175)/COUNTIFS(_Calc!$C$3:$C$20002,A175,_Calc!$B$3:$B$20002,"&lt;&gt;")*100),"")</f>
        <v/>
      </c>
      <c r="E175" s="42">
        <f>IFERROR(IF(A175="","",COUNTIFS(_Calc!$B$3:$B$20002,"&lt;70",_Calc!$C$3:$C$20002,A175)/COUNTIFS(_Calc!$C$3:$C$20002,A175,_Calc!$B$3:$B$20002,"&lt;&gt;")*100),"")</f>
        <v/>
      </c>
      <c r="F175" s="42">
        <f>IFERROR(IF(A175="","",COUNTIFS(_Calc!$B$3:$B$20002,"&gt;180",_Calc!$C$3:$C$20002,A175)/COUNTIFS(_Calc!$C$3:$C$20002,A175,_Calc!$B$3:$B$20002,"&lt;&gt;")*100),"")</f>
        <v/>
      </c>
      <c r="G175" s="43">
        <f>IFERROR(IF(A175="","",IF(D175&gt;=70,"✓ Good",IF(E175&gt;4,"Low glucose","High glucose"))),"")</f>
        <v/>
      </c>
    </row>
    <row r="176">
      <c r="B176" s="40">
        <f>IFERROR(IF(A176="","",COUNTIFS(_Calc!$C$3:$C$20002,A176,_Calc!$B$3:$B$20002,"&lt;&gt;")),"")</f>
        <v/>
      </c>
      <c r="C176" s="41">
        <f>IFERROR(IF(A176="","",AVERAGEIFS(_Calc!$B$3:$B$20002,_Calc!$C$3:$C$20002,A176)),"")</f>
        <v/>
      </c>
      <c r="D176" s="42">
        <f>IFERROR(IF(A176="","",COUNTIFS(_Calc!$B$3:$B$20002,"&gt;="&amp;70,_Calc!$B$3:$B$20002,"&lt;="&amp;180,_Calc!$C$3:$C$20002,A176)/COUNTIFS(_Calc!$C$3:$C$20002,A176,_Calc!$B$3:$B$20002,"&lt;&gt;")*100),"")</f>
        <v/>
      </c>
      <c r="E176" s="42">
        <f>IFERROR(IF(A176="","",COUNTIFS(_Calc!$B$3:$B$20002,"&lt;70",_Calc!$C$3:$C$20002,A176)/COUNTIFS(_Calc!$C$3:$C$20002,A176,_Calc!$B$3:$B$20002,"&lt;&gt;")*100),"")</f>
        <v/>
      </c>
      <c r="F176" s="42">
        <f>IFERROR(IF(A176="","",COUNTIFS(_Calc!$B$3:$B$20002,"&gt;180",_Calc!$C$3:$C$20002,A176)/COUNTIFS(_Calc!$C$3:$C$20002,A176,_Calc!$B$3:$B$20002,"&lt;&gt;")*100),"")</f>
        <v/>
      </c>
      <c r="G176" s="43">
        <f>IFERROR(IF(A176="","",IF(D176&gt;=70,"✓ Good",IF(E176&gt;4,"Low glucose","High glucose"))),"")</f>
        <v/>
      </c>
    </row>
    <row r="177">
      <c r="B177" s="40">
        <f>IFERROR(IF(A177="","",COUNTIFS(_Calc!$C$3:$C$20002,A177,_Calc!$B$3:$B$20002,"&lt;&gt;")),"")</f>
        <v/>
      </c>
      <c r="C177" s="41">
        <f>IFERROR(IF(A177="","",AVERAGEIFS(_Calc!$B$3:$B$20002,_Calc!$C$3:$C$20002,A177)),"")</f>
        <v/>
      </c>
      <c r="D177" s="42">
        <f>IFERROR(IF(A177="","",COUNTIFS(_Calc!$B$3:$B$20002,"&gt;="&amp;70,_Calc!$B$3:$B$20002,"&lt;="&amp;180,_Calc!$C$3:$C$20002,A177)/COUNTIFS(_Calc!$C$3:$C$20002,A177,_Calc!$B$3:$B$20002,"&lt;&gt;")*100),"")</f>
        <v/>
      </c>
      <c r="E177" s="42">
        <f>IFERROR(IF(A177="","",COUNTIFS(_Calc!$B$3:$B$20002,"&lt;70",_Calc!$C$3:$C$20002,A177)/COUNTIFS(_Calc!$C$3:$C$20002,A177,_Calc!$B$3:$B$20002,"&lt;&gt;")*100),"")</f>
        <v/>
      </c>
      <c r="F177" s="42">
        <f>IFERROR(IF(A177="","",COUNTIFS(_Calc!$B$3:$B$20002,"&gt;180",_Calc!$C$3:$C$20002,A177)/COUNTIFS(_Calc!$C$3:$C$20002,A177,_Calc!$B$3:$B$20002,"&lt;&gt;")*100),"")</f>
        <v/>
      </c>
      <c r="G177" s="43">
        <f>IFERROR(IF(A177="","",IF(D177&gt;=70,"✓ Good",IF(E177&gt;4,"Low glucose","High glucose"))),"")</f>
        <v/>
      </c>
    </row>
    <row r="178">
      <c r="B178" s="40">
        <f>IFERROR(IF(A178="","",COUNTIFS(_Calc!$C$3:$C$20002,A178,_Calc!$B$3:$B$20002,"&lt;&gt;")),"")</f>
        <v/>
      </c>
      <c r="C178" s="41">
        <f>IFERROR(IF(A178="","",AVERAGEIFS(_Calc!$B$3:$B$20002,_Calc!$C$3:$C$20002,A178)),"")</f>
        <v/>
      </c>
      <c r="D178" s="42">
        <f>IFERROR(IF(A178="","",COUNTIFS(_Calc!$B$3:$B$20002,"&gt;="&amp;70,_Calc!$B$3:$B$20002,"&lt;="&amp;180,_Calc!$C$3:$C$20002,A178)/COUNTIFS(_Calc!$C$3:$C$20002,A178,_Calc!$B$3:$B$20002,"&lt;&gt;")*100),"")</f>
        <v/>
      </c>
      <c r="E178" s="42">
        <f>IFERROR(IF(A178="","",COUNTIFS(_Calc!$B$3:$B$20002,"&lt;70",_Calc!$C$3:$C$20002,A178)/COUNTIFS(_Calc!$C$3:$C$20002,A178,_Calc!$B$3:$B$20002,"&lt;&gt;")*100),"")</f>
        <v/>
      </c>
      <c r="F178" s="42">
        <f>IFERROR(IF(A178="","",COUNTIFS(_Calc!$B$3:$B$20002,"&gt;180",_Calc!$C$3:$C$20002,A178)/COUNTIFS(_Calc!$C$3:$C$20002,A178,_Calc!$B$3:$B$20002,"&lt;&gt;")*100),"")</f>
        <v/>
      </c>
      <c r="G178" s="43">
        <f>IFERROR(IF(A178="","",IF(D178&gt;=70,"✓ Good",IF(E178&gt;4,"Low glucose","High glucose"))),"")</f>
        <v/>
      </c>
    </row>
    <row r="179">
      <c r="B179" s="40">
        <f>IFERROR(IF(A179="","",COUNTIFS(_Calc!$C$3:$C$20002,A179,_Calc!$B$3:$B$20002,"&lt;&gt;")),"")</f>
        <v/>
      </c>
      <c r="C179" s="41">
        <f>IFERROR(IF(A179="","",AVERAGEIFS(_Calc!$B$3:$B$20002,_Calc!$C$3:$C$20002,A179)),"")</f>
        <v/>
      </c>
      <c r="D179" s="42">
        <f>IFERROR(IF(A179="","",COUNTIFS(_Calc!$B$3:$B$20002,"&gt;="&amp;70,_Calc!$B$3:$B$20002,"&lt;="&amp;180,_Calc!$C$3:$C$20002,A179)/COUNTIFS(_Calc!$C$3:$C$20002,A179,_Calc!$B$3:$B$20002,"&lt;&gt;")*100),"")</f>
        <v/>
      </c>
      <c r="E179" s="42">
        <f>IFERROR(IF(A179="","",COUNTIFS(_Calc!$B$3:$B$20002,"&lt;70",_Calc!$C$3:$C$20002,A179)/COUNTIFS(_Calc!$C$3:$C$20002,A179,_Calc!$B$3:$B$20002,"&lt;&gt;")*100),"")</f>
        <v/>
      </c>
      <c r="F179" s="42">
        <f>IFERROR(IF(A179="","",COUNTIFS(_Calc!$B$3:$B$20002,"&gt;180",_Calc!$C$3:$C$20002,A179)/COUNTIFS(_Calc!$C$3:$C$20002,A179,_Calc!$B$3:$B$20002,"&lt;&gt;")*100),"")</f>
        <v/>
      </c>
      <c r="G179" s="43">
        <f>IFERROR(IF(A179="","",IF(D179&gt;=70,"✓ Good",IF(E179&gt;4,"Low glucose","High glucose"))),"")</f>
        <v/>
      </c>
    </row>
    <row r="180">
      <c r="B180" s="40">
        <f>IFERROR(IF(A180="","",COUNTIFS(_Calc!$C$3:$C$20002,A180,_Calc!$B$3:$B$20002,"&lt;&gt;")),"")</f>
        <v/>
      </c>
      <c r="C180" s="41">
        <f>IFERROR(IF(A180="","",AVERAGEIFS(_Calc!$B$3:$B$20002,_Calc!$C$3:$C$20002,A180)),"")</f>
        <v/>
      </c>
      <c r="D180" s="42">
        <f>IFERROR(IF(A180="","",COUNTIFS(_Calc!$B$3:$B$20002,"&gt;="&amp;70,_Calc!$B$3:$B$20002,"&lt;="&amp;180,_Calc!$C$3:$C$20002,A180)/COUNTIFS(_Calc!$C$3:$C$20002,A180,_Calc!$B$3:$B$20002,"&lt;&gt;")*100),"")</f>
        <v/>
      </c>
      <c r="E180" s="42">
        <f>IFERROR(IF(A180="","",COUNTIFS(_Calc!$B$3:$B$20002,"&lt;70",_Calc!$C$3:$C$20002,A180)/COUNTIFS(_Calc!$C$3:$C$20002,A180,_Calc!$B$3:$B$20002,"&lt;&gt;")*100),"")</f>
        <v/>
      </c>
      <c r="F180" s="42">
        <f>IFERROR(IF(A180="","",COUNTIFS(_Calc!$B$3:$B$20002,"&gt;180",_Calc!$C$3:$C$20002,A180)/COUNTIFS(_Calc!$C$3:$C$20002,A180,_Calc!$B$3:$B$20002,"&lt;&gt;")*100),"")</f>
        <v/>
      </c>
      <c r="G180" s="43">
        <f>IFERROR(IF(A180="","",IF(D180&gt;=70,"✓ Good",IF(E180&gt;4,"Low glucose","High glucose"))),"")</f>
        <v/>
      </c>
    </row>
    <row r="181">
      <c r="B181" s="40">
        <f>IFERROR(IF(A181="","",COUNTIFS(_Calc!$C$3:$C$20002,A181,_Calc!$B$3:$B$20002,"&lt;&gt;")),"")</f>
        <v/>
      </c>
      <c r="C181" s="41">
        <f>IFERROR(IF(A181="","",AVERAGEIFS(_Calc!$B$3:$B$20002,_Calc!$C$3:$C$20002,A181)),"")</f>
        <v/>
      </c>
      <c r="D181" s="42">
        <f>IFERROR(IF(A181="","",COUNTIFS(_Calc!$B$3:$B$20002,"&gt;="&amp;70,_Calc!$B$3:$B$20002,"&lt;="&amp;180,_Calc!$C$3:$C$20002,A181)/COUNTIFS(_Calc!$C$3:$C$20002,A181,_Calc!$B$3:$B$20002,"&lt;&gt;")*100),"")</f>
        <v/>
      </c>
      <c r="E181" s="42">
        <f>IFERROR(IF(A181="","",COUNTIFS(_Calc!$B$3:$B$20002,"&lt;70",_Calc!$C$3:$C$20002,A181)/COUNTIFS(_Calc!$C$3:$C$20002,A181,_Calc!$B$3:$B$20002,"&lt;&gt;")*100),"")</f>
        <v/>
      </c>
      <c r="F181" s="42">
        <f>IFERROR(IF(A181="","",COUNTIFS(_Calc!$B$3:$B$20002,"&gt;180",_Calc!$C$3:$C$20002,A181)/COUNTIFS(_Calc!$C$3:$C$20002,A181,_Calc!$B$3:$B$20002,"&lt;&gt;")*100),"")</f>
        <v/>
      </c>
      <c r="G181" s="43">
        <f>IFERROR(IF(A181="","",IF(D181&gt;=70,"✓ Good",IF(E181&gt;4,"Low glucose","High glucose"))),"")</f>
        <v/>
      </c>
    </row>
    <row r="182">
      <c r="B182" s="40">
        <f>IFERROR(IF(A182="","",COUNTIFS(_Calc!$C$3:$C$20002,A182,_Calc!$B$3:$B$20002,"&lt;&gt;")),"")</f>
        <v/>
      </c>
      <c r="C182" s="41">
        <f>IFERROR(IF(A182="","",AVERAGEIFS(_Calc!$B$3:$B$20002,_Calc!$C$3:$C$20002,A182)),"")</f>
        <v/>
      </c>
      <c r="D182" s="42">
        <f>IFERROR(IF(A182="","",COUNTIFS(_Calc!$B$3:$B$20002,"&gt;="&amp;70,_Calc!$B$3:$B$20002,"&lt;="&amp;180,_Calc!$C$3:$C$20002,A182)/COUNTIFS(_Calc!$C$3:$C$20002,A182,_Calc!$B$3:$B$20002,"&lt;&gt;")*100),"")</f>
        <v/>
      </c>
      <c r="E182" s="42">
        <f>IFERROR(IF(A182="","",COUNTIFS(_Calc!$B$3:$B$20002,"&lt;70",_Calc!$C$3:$C$20002,A182)/COUNTIFS(_Calc!$C$3:$C$20002,A182,_Calc!$B$3:$B$20002,"&lt;&gt;")*100),"")</f>
        <v/>
      </c>
      <c r="F182" s="42">
        <f>IFERROR(IF(A182="","",COUNTIFS(_Calc!$B$3:$B$20002,"&gt;180",_Calc!$C$3:$C$20002,A182)/COUNTIFS(_Calc!$C$3:$C$20002,A182,_Calc!$B$3:$B$20002,"&lt;&gt;")*100),"")</f>
        <v/>
      </c>
      <c r="G182" s="43">
        <f>IFERROR(IF(A182="","",IF(D182&gt;=70,"✓ Good",IF(E182&gt;4,"Low glucose","High glucose"))),"")</f>
        <v/>
      </c>
    </row>
    <row r="183">
      <c r="B183" s="40">
        <f>IFERROR(IF(A183="","",COUNTIFS(_Calc!$C$3:$C$20002,A183,_Calc!$B$3:$B$20002,"&lt;&gt;")),"")</f>
        <v/>
      </c>
      <c r="C183" s="41">
        <f>IFERROR(IF(A183="","",AVERAGEIFS(_Calc!$B$3:$B$20002,_Calc!$C$3:$C$20002,A183)),"")</f>
        <v/>
      </c>
      <c r="D183" s="42">
        <f>IFERROR(IF(A183="","",COUNTIFS(_Calc!$B$3:$B$20002,"&gt;="&amp;70,_Calc!$B$3:$B$20002,"&lt;="&amp;180,_Calc!$C$3:$C$20002,A183)/COUNTIFS(_Calc!$C$3:$C$20002,A183,_Calc!$B$3:$B$20002,"&lt;&gt;")*100),"")</f>
        <v/>
      </c>
      <c r="E183" s="42">
        <f>IFERROR(IF(A183="","",COUNTIFS(_Calc!$B$3:$B$20002,"&lt;70",_Calc!$C$3:$C$20002,A183)/COUNTIFS(_Calc!$C$3:$C$20002,A183,_Calc!$B$3:$B$20002,"&lt;&gt;")*100),"")</f>
        <v/>
      </c>
      <c r="F183" s="42">
        <f>IFERROR(IF(A183="","",COUNTIFS(_Calc!$B$3:$B$20002,"&gt;180",_Calc!$C$3:$C$20002,A183)/COUNTIFS(_Calc!$C$3:$C$20002,A183,_Calc!$B$3:$B$20002,"&lt;&gt;")*100),"")</f>
        <v/>
      </c>
      <c r="G183" s="43">
        <f>IFERROR(IF(A183="","",IF(D183&gt;=70,"✓ Good",IF(E183&gt;4,"Low glucose","High glucose"))),"")</f>
        <v/>
      </c>
    </row>
    <row r="184">
      <c r="B184" s="40">
        <f>IFERROR(IF(A184="","",COUNTIFS(_Calc!$C$3:$C$20002,A184,_Calc!$B$3:$B$20002,"&lt;&gt;")),"")</f>
        <v/>
      </c>
      <c r="C184" s="41">
        <f>IFERROR(IF(A184="","",AVERAGEIFS(_Calc!$B$3:$B$20002,_Calc!$C$3:$C$20002,A184)),"")</f>
        <v/>
      </c>
      <c r="D184" s="42">
        <f>IFERROR(IF(A184="","",COUNTIFS(_Calc!$B$3:$B$20002,"&gt;="&amp;70,_Calc!$B$3:$B$20002,"&lt;="&amp;180,_Calc!$C$3:$C$20002,A184)/COUNTIFS(_Calc!$C$3:$C$20002,A184,_Calc!$B$3:$B$20002,"&lt;&gt;")*100),"")</f>
        <v/>
      </c>
      <c r="E184" s="42">
        <f>IFERROR(IF(A184="","",COUNTIFS(_Calc!$B$3:$B$20002,"&lt;70",_Calc!$C$3:$C$20002,A184)/COUNTIFS(_Calc!$C$3:$C$20002,A184,_Calc!$B$3:$B$20002,"&lt;&gt;")*100),"")</f>
        <v/>
      </c>
      <c r="F184" s="42">
        <f>IFERROR(IF(A184="","",COUNTIFS(_Calc!$B$3:$B$20002,"&gt;180",_Calc!$C$3:$C$20002,A184)/COUNTIFS(_Calc!$C$3:$C$20002,A184,_Calc!$B$3:$B$20002,"&lt;&gt;")*100),"")</f>
        <v/>
      </c>
      <c r="G184" s="43">
        <f>IFERROR(IF(A184="","",IF(D184&gt;=70,"✓ Good",IF(E184&gt;4,"Low glucose","High glucose"))),"")</f>
        <v/>
      </c>
    </row>
    <row r="185">
      <c r="B185" s="40">
        <f>IFERROR(IF(A185="","",COUNTIFS(_Calc!$C$3:$C$20002,A185,_Calc!$B$3:$B$20002,"&lt;&gt;")),"")</f>
        <v/>
      </c>
      <c r="C185" s="41">
        <f>IFERROR(IF(A185="","",AVERAGEIFS(_Calc!$B$3:$B$20002,_Calc!$C$3:$C$20002,A185)),"")</f>
        <v/>
      </c>
      <c r="D185" s="42">
        <f>IFERROR(IF(A185="","",COUNTIFS(_Calc!$B$3:$B$20002,"&gt;="&amp;70,_Calc!$B$3:$B$20002,"&lt;="&amp;180,_Calc!$C$3:$C$20002,A185)/COUNTIFS(_Calc!$C$3:$C$20002,A185,_Calc!$B$3:$B$20002,"&lt;&gt;")*100),"")</f>
        <v/>
      </c>
      <c r="E185" s="42">
        <f>IFERROR(IF(A185="","",COUNTIFS(_Calc!$B$3:$B$20002,"&lt;70",_Calc!$C$3:$C$20002,A185)/COUNTIFS(_Calc!$C$3:$C$20002,A185,_Calc!$B$3:$B$20002,"&lt;&gt;")*100),"")</f>
        <v/>
      </c>
      <c r="F185" s="42">
        <f>IFERROR(IF(A185="","",COUNTIFS(_Calc!$B$3:$B$20002,"&gt;180",_Calc!$C$3:$C$20002,A185)/COUNTIFS(_Calc!$C$3:$C$20002,A185,_Calc!$B$3:$B$20002,"&lt;&gt;")*100),"")</f>
        <v/>
      </c>
      <c r="G185" s="43">
        <f>IFERROR(IF(A185="","",IF(D185&gt;=70,"✓ Good",IF(E185&gt;4,"Low glucose","High glucose"))),"")</f>
        <v/>
      </c>
    </row>
    <row r="186">
      <c r="B186" s="40">
        <f>IFERROR(IF(A186="","",COUNTIFS(_Calc!$C$3:$C$20002,A186,_Calc!$B$3:$B$20002,"&lt;&gt;")),"")</f>
        <v/>
      </c>
      <c r="C186" s="41">
        <f>IFERROR(IF(A186="","",AVERAGEIFS(_Calc!$B$3:$B$20002,_Calc!$C$3:$C$20002,A186)),"")</f>
        <v/>
      </c>
      <c r="D186" s="42">
        <f>IFERROR(IF(A186="","",COUNTIFS(_Calc!$B$3:$B$20002,"&gt;="&amp;70,_Calc!$B$3:$B$20002,"&lt;="&amp;180,_Calc!$C$3:$C$20002,A186)/COUNTIFS(_Calc!$C$3:$C$20002,A186,_Calc!$B$3:$B$20002,"&lt;&gt;")*100),"")</f>
        <v/>
      </c>
      <c r="E186" s="42">
        <f>IFERROR(IF(A186="","",COUNTIFS(_Calc!$B$3:$B$20002,"&lt;70",_Calc!$C$3:$C$20002,A186)/COUNTIFS(_Calc!$C$3:$C$20002,A186,_Calc!$B$3:$B$20002,"&lt;&gt;")*100),"")</f>
        <v/>
      </c>
      <c r="F186" s="42">
        <f>IFERROR(IF(A186="","",COUNTIFS(_Calc!$B$3:$B$20002,"&gt;180",_Calc!$C$3:$C$20002,A186)/COUNTIFS(_Calc!$C$3:$C$20002,A186,_Calc!$B$3:$B$20002,"&lt;&gt;")*100),"")</f>
        <v/>
      </c>
      <c r="G186" s="43">
        <f>IFERROR(IF(A186="","",IF(D186&gt;=70,"✓ Good",IF(E186&gt;4,"Low glucose","High glucose"))),"")</f>
        <v/>
      </c>
    </row>
    <row r="187">
      <c r="B187" s="40">
        <f>IFERROR(IF(A187="","",COUNTIFS(_Calc!$C$3:$C$20002,A187,_Calc!$B$3:$B$20002,"&lt;&gt;")),"")</f>
        <v/>
      </c>
      <c r="C187" s="41">
        <f>IFERROR(IF(A187="","",AVERAGEIFS(_Calc!$B$3:$B$20002,_Calc!$C$3:$C$20002,A187)),"")</f>
        <v/>
      </c>
      <c r="D187" s="42">
        <f>IFERROR(IF(A187="","",COUNTIFS(_Calc!$B$3:$B$20002,"&gt;="&amp;70,_Calc!$B$3:$B$20002,"&lt;="&amp;180,_Calc!$C$3:$C$20002,A187)/COUNTIFS(_Calc!$C$3:$C$20002,A187,_Calc!$B$3:$B$20002,"&lt;&gt;")*100),"")</f>
        <v/>
      </c>
      <c r="E187" s="42">
        <f>IFERROR(IF(A187="","",COUNTIFS(_Calc!$B$3:$B$20002,"&lt;70",_Calc!$C$3:$C$20002,A187)/COUNTIFS(_Calc!$C$3:$C$20002,A187,_Calc!$B$3:$B$20002,"&lt;&gt;")*100),"")</f>
        <v/>
      </c>
      <c r="F187" s="42">
        <f>IFERROR(IF(A187="","",COUNTIFS(_Calc!$B$3:$B$20002,"&gt;180",_Calc!$C$3:$C$20002,A187)/COUNTIFS(_Calc!$C$3:$C$20002,A187,_Calc!$B$3:$B$20002,"&lt;&gt;")*100),"")</f>
        <v/>
      </c>
      <c r="G187" s="43">
        <f>IFERROR(IF(A187="","",IF(D187&gt;=70,"✓ Good",IF(E187&gt;4,"Low glucose","High glucose"))),"")</f>
        <v/>
      </c>
    </row>
    <row r="188">
      <c r="B188" s="40">
        <f>IFERROR(IF(A188="","",COUNTIFS(_Calc!$C$3:$C$20002,A188,_Calc!$B$3:$B$20002,"&lt;&gt;")),"")</f>
        <v/>
      </c>
      <c r="C188" s="41">
        <f>IFERROR(IF(A188="","",AVERAGEIFS(_Calc!$B$3:$B$20002,_Calc!$C$3:$C$20002,A188)),"")</f>
        <v/>
      </c>
      <c r="D188" s="42">
        <f>IFERROR(IF(A188="","",COUNTIFS(_Calc!$B$3:$B$20002,"&gt;="&amp;70,_Calc!$B$3:$B$20002,"&lt;="&amp;180,_Calc!$C$3:$C$20002,A188)/COUNTIFS(_Calc!$C$3:$C$20002,A188,_Calc!$B$3:$B$20002,"&lt;&gt;")*100),"")</f>
        <v/>
      </c>
      <c r="E188" s="42">
        <f>IFERROR(IF(A188="","",COUNTIFS(_Calc!$B$3:$B$20002,"&lt;70",_Calc!$C$3:$C$20002,A188)/COUNTIFS(_Calc!$C$3:$C$20002,A188,_Calc!$B$3:$B$20002,"&lt;&gt;")*100),"")</f>
        <v/>
      </c>
      <c r="F188" s="42">
        <f>IFERROR(IF(A188="","",COUNTIFS(_Calc!$B$3:$B$20002,"&gt;180",_Calc!$C$3:$C$20002,A188)/COUNTIFS(_Calc!$C$3:$C$20002,A188,_Calc!$B$3:$B$20002,"&lt;&gt;")*100),"")</f>
        <v/>
      </c>
      <c r="G188" s="43">
        <f>IFERROR(IF(A188="","",IF(D188&gt;=70,"✓ Good",IF(E188&gt;4,"Low glucose","High glucose"))),"")</f>
        <v/>
      </c>
    </row>
    <row r="189">
      <c r="B189" s="40">
        <f>IFERROR(IF(A189="","",COUNTIFS(_Calc!$C$3:$C$20002,A189,_Calc!$B$3:$B$20002,"&lt;&gt;")),"")</f>
        <v/>
      </c>
      <c r="C189" s="41">
        <f>IFERROR(IF(A189="","",AVERAGEIFS(_Calc!$B$3:$B$20002,_Calc!$C$3:$C$20002,A189)),"")</f>
        <v/>
      </c>
      <c r="D189" s="42">
        <f>IFERROR(IF(A189="","",COUNTIFS(_Calc!$B$3:$B$20002,"&gt;="&amp;70,_Calc!$B$3:$B$20002,"&lt;="&amp;180,_Calc!$C$3:$C$20002,A189)/COUNTIFS(_Calc!$C$3:$C$20002,A189,_Calc!$B$3:$B$20002,"&lt;&gt;")*100),"")</f>
        <v/>
      </c>
      <c r="E189" s="42">
        <f>IFERROR(IF(A189="","",COUNTIFS(_Calc!$B$3:$B$20002,"&lt;70",_Calc!$C$3:$C$20002,A189)/COUNTIFS(_Calc!$C$3:$C$20002,A189,_Calc!$B$3:$B$20002,"&lt;&gt;")*100),"")</f>
        <v/>
      </c>
      <c r="F189" s="42">
        <f>IFERROR(IF(A189="","",COUNTIFS(_Calc!$B$3:$B$20002,"&gt;180",_Calc!$C$3:$C$20002,A189)/COUNTIFS(_Calc!$C$3:$C$20002,A189,_Calc!$B$3:$B$20002,"&lt;&gt;")*100),"")</f>
        <v/>
      </c>
      <c r="G189" s="43">
        <f>IFERROR(IF(A189="","",IF(D189&gt;=70,"✓ Good",IF(E189&gt;4,"Low glucose","High glucose"))),"")</f>
        <v/>
      </c>
    </row>
    <row r="190">
      <c r="B190" s="40">
        <f>IFERROR(IF(A190="","",COUNTIFS(_Calc!$C$3:$C$20002,A190,_Calc!$B$3:$B$20002,"&lt;&gt;")),"")</f>
        <v/>
      </c>
      <c r="C190" s="41">
        <f>IFERROR(IF(A190="","",AVERAGEIFS(_Calc!$B$3:$B$20002,_Calc!$C$3:$C$20002,A190)),"")</f>
        <v/>
      </c>
      <c r="D190" s="42">
        <f>IFERROR(IF(A190="","",COUNTIFS(_Calc!$B$3:$B$20002,"&gt;="&amp;70,_Calc!$B$3:$B$20002,"&lt;="&amp;180,_Calc!$C$3:$C$20002,A190)/COUNTIFS(_Calc!$C$3:$C$20002,A190,_Calc!$B$3:$B$20002,"&lt;&gt;")*100),"")</f>
        <v/>
      </c>
      <c r="E190" s="42">
        <f>IFERROR(IF(A190="","",COUNTIFS(_Calc!$B$3:$B$20002,"&lt;70",_Calc!$C$3:$C$20002,A190)/COUNTIFS(_Calc!$C$3:$C$20002,A190,_Calc!$B$3:$B$20002,"&lt;&gt;")*100),"")</f>
        <v/>
      </c>
      <c r="F190" s="42">
        <f>IFERROR(IF(A190="","",COUNTIFS(_Calc!$B$3:$B$20002,"&gt;180",_Calc!$C$3:$C$20002,A190)/COUNTIFS(_Calc!$C$3:$C$20002,A190,_Calc!$B$3:$B$20002,"&lt;&gt;")*100),"")</f>
        <v/>
      </c>
      <c r="G190" s="43">
        <f>IFERROR(IF(A190="","",IF(D190&gt;=70,"✓ Good",IF(E190&gt;4,"Low glucose","High glucose"))),"")</f>
        <v/>
      </c>
    </row>
    <row r="191">
      <c r="B191" s="40">
        <f>IFERROR(IF(A191="","",COUNTIFS(_Calc!$C$3:$C$20002,A191,_Calc!$B$3:$B$20002,"&lt;&gt;")),"")</f>
        <v/>
      </c>
      <c r="C191" s="41">
        <f>IFERROR(IF(A191="","",AVERAGEIFS(_Calc!$B$3:$B$20002,_Calc!$C$3:$C$20002,A191)),"")</f>
        <v/>
      </c>
      <c r="D191" s="42">
        <f>IFERROR(IF(A191="","",COUNTIFS(_Calc!$B$3:$B$20002,"&gt;="&amp;70,_Calc!$B$3:$B$20002,"&lt;="&amp;180,_Calc!$C$3:$C$20002,A191)/COUNTIFS(_Calc!$C$3:$C$20002,A191,_Calc!$B$3:$B$20002,"&lt;&gt;")*100),"")</f>
        <v/>
      </c>
      <c r="E191" s="42">
        <f>IFERROR(IF(A191="","",COUNTIFS(_Calc!$B$3:$B$20002,"&lt;70",_Calc!$C$3:$C$20002,A191)/COUNTIFS(_Calc!$C$3:$C$20002,A191,_Calc!$B$3:$B$20002,"&lt;&gt;")*100),"")</f>
        <v/>
      </c>
      <c r="F191" s="42">
        <f>IFERROR(IF(A191="","",COUNTIFS(_Calc!$B$3:$B$20002,"&gt;180",_Calc!$C$3:$C$20002,A191)/COUNTIFS(_Calc!$C$3:$C$20002,A191,_Calc!$B$3:$B$20002,"&lt;&gt;")*100),"")</f>
        <v/>
      </c>
      <c r="G191" s="43">
        <f>IFERROR(IF(A191="","",IF(D191&gt;=70,"✓ Good",IF(E191&gt;4,"Low glucose","High glucose"))),"")</f>
        <v/>
      </c>
    </row>
    <row r="192">
      <c r="B192" s="40">
        <f>IFERROR(IF(A192="","",COUNTIFS(_Calc!$C$3:$C$20002,A192,_Calc!$B$3:$B$20002,"&lt;&gt;")),"")</f>
        <v/>
      </c>
      <c r="C192" s="41">
        <f>IFERROR(IF(A192="","",AVERAGEIFS(_Calc!$B$3:$B$20002,_Calc!$C$3:$C$20002,A192)),"")</f>
        <v/>
      </c>
      <c r="D192" s="42">
        <f>IFERROR(IF(A192="","",COUNTIFS(_Calc!$B$3:$B$20002,"&gt;="&amp;70,_Calc!$B$3:$B$20002,"&lt;="&amp;180,_Calc!$C$3:$C$20002,A192)/COUNTIFS(_Calc!$C$3:$C$20002,A192,_Calc!$B$3:$B$20002,"&lt;&gt;")*100),"")</f>
        <v/>
      </c>
      <c r="E192" s="42">
        <f>IFERROR(IF(A192="","",COUNTIFS(_Calc!$B$3:$B$20002,"&lt;70",_Calc!$C$3:$C$20002,A192)/COUNTIFS(_Calc!$C$3:$C$20002,A192,_Calc!$B$3:$B$20002,"&lt;&gt;")*100),"")</f>
        <v/>
      </c>
      <c r="F192" s="42">
        <f>IFERROR(IF(A192="","",COUNTIFS(_Calc!$B$3:$B$20002,"&gt;180",_Calc!$C$3:$C$20002,A192)/COUNTIFS(_Calc!$C$3:$C$20002,A192,_Calc!$B$3:$B$20002,"&lt;&gt;")*100),"")</f>
        <v/>
      </c>
      <c r="G192" s="43">
        <f>IFERROR(IF(A192="","",IF(D192&gt;=70,"✓ Good",IF(E192&gt;4,"Low glucose","High glucose"))),"")</f>
        <v/>
      </c>
    </row>
    <row r="193">
      <c r="B193" s="40">
        <f>IFERROR(IF(A193="","",COUNTIFS(_Calc!$C$3:$C$20002,A193,_Calc!$B$3:$B$20002,"&lt;&gt;")),"")</f>
        <v/>
      </c>
      <c r="C193" s="41">
        <f>IFERROR(IF(A193="","",AVERAGEIFS(_Calc!$B$3:$B$20002,_Calc!$C$3:$C$20002,A193)),"")</f>
        <v/>
      </c>
      <c r="D193" s="42">
        <f>IFERROR(IF(A193="","",COUNTIFS(_Calc!$B$3:$B$20002,"&gt;="&amp;70,_Calc!$B$3:$B$20002,"&lt;="&amp;180,_Calc!$C$3:$C$20002,A193)/COUNTIFS(_Calc!$C$3:$C$20002,A193,_Calc!$B$3:$B$20002,"&lt;&gt;")*100),"")</f>
        <v/>
      </c>
      <c r="E193" s="42">
        <f>IFERROR(IF(A193="","",COUNTIFS(_Calc!$B$3:$B$20002,"&lt;70",_Calc!$C$3:$C$20002,A193)/COUNTIFS(_Calc!$C$3:$C$20002,A193,_Calc!$B$3:$B$20002,"&lt;&gt;")*100),"")</f>
        <v/>
      </c>
      <c r="F193" s="42">
        <f>IFERROR(IF(A193="","",COUNTIFS(_Calc!$B$3:$B$20002,"&gt;180",_Calc!$C$3:$C$20002,A193)/COUNTIFS(_Calc!$C$3:$C$20002,A193,_Calc!$B$3:$B$20002,"&lt;&gt;")*100),"")</f>
        <v/>
      </c>
      <c r="G193" s="43">
        <f>IFERROR(IF(A193="","",IF(D193&gt;=70,"✓ Good",IF(E193&gt;4,"Low glucose","High glucose"))),"")</f>
        <v/>
      </c>
    </row>
    <row r="194">
      <c r="B194" s="40">
        <f>IFERROR(IF(A194="","",COUNTIFS(_Calc!$C$3:$C$20002,A194,_Calc!$B$3:$B$20002,"&lt;&gt;")),"")</f>
        <v/>
      </c>
      <c r="C194" s="41">
        <f>IFERROR(IF(A194="","",AVERAGEIFS(_Calc!$B$3:$B$20002,_Calc!$C$3:$C$20002,A194)),"")</f>
        <v/>
      </c>
      <c r="D194" s="42">
        <f>IFERROR(IF(A194="","",COUNTIFS(_Calc!$B$3:$B$20002,"&gt;="&amp;70,_Calc!$B$3:$B$20002,"&lt;="&amp;180,_Calc!$C$3:$C$20002,A194)/COUNTIFS(_Calc!$C$3:$C$20002,A194,_Calc!$B$3:$B$20002,"&lt;&gt;")*100),"")</f>
        <v/>
      </c>
      <c r="E194" s="42">
        <f>IFERROR(IF(A194="","",COUNTIFS(_Calc!$B$3:$B$20002,"&lt;70",_Calc!$C$3:$C$20002,A194)/COUNTIFS(_Calc!$C$3:$C$20002,A194,_Calc!$B$3:$B$20002,"&lt;&gt;")*100),"")</f>
        <v/>
      </c>
      <c r="F194" s="42">
        <f>IFERROR(IF(A194="","",COUNTIFS(_Calc!$B$3:$B$20002,"&gt;180",_Calc!$C$3:$C$20002,A194)/COUNTIFS(_Calc!$C$3:$C$20002,A194,_Calc!$B$3:$B$20002,"&lt;&gt;")*100),"")</f>
        <v/>
      </c>
      <c r="G194" s="43">
        <f>IFERROR(IF(A194="","",IF(D194&gt;=70,"✓ Good",IF(E194&gt;4,"Low glucose","High glucose"))),"")</f>
        <v/>
      </c>
    </row>
    <row r="195">
      <c r="B195" s="40">
        <f>IFERROR(IF(A195="","",COUNTIFS(_Calc!$C$3:$C$20002,A195,_Calc!$B$3:$B$20002,"&lt;&gt;")),"")</f>
        <v/>
      </c>
      <c r="C195" s="41">
        <f>IFERROR(IF(A195="","",AVERAGEIFS(_Calc!$B$3:$B$20002,_Calc!$C$3:$C$20002,A195)),"")</f>
        <v/>
      </c>
      <c r="D195" s="42">
        <f>IFERROR(IF(A195="","",COUNTIFS(_Calc!$B$3:$B$20002,"&gt;="&amp;70,_Calc!$B$3:$B$20002,"&lt;="&amp;180,_Calc!$C$3:$C$20002,A195)/COUNTIFS(_Calc!$C$3:$C$20002,A195,_Calc!$B$3:$B$20002,"&lt;&gt;")*100),"")</f>
        <v/>
      </c>
      <c r="E195" s="42">
        <f>IFERROR(IF(A195="","",COUNTIFS(_Calc!$B$3:$B$20002,"&lt;70",_Calc!$C$3:$C$20002,A195)/COUNTIFS(_Calc!$C$3:$C$20002,A195,_Calc!$B$3:$B$20002,"&lt;&gt;")*100),"")</f>
        <v/>
      </c>
      <c r="F195" s="42">
        <f>IFERROR(IF(A195="","",COUNTIFS(_Calc!$B$3:$B$20002,"&gt;180",_Calc!$C$3:$C$20002,A195)/COUNTIFS(_Calc!$C$3:$C$20002,A195,_Calc!$B$3:$B$20002,"&lt;&gt;")*100),"")</f>
        <v/>
      </c>
      <c r="G195" s="43">
        <f>IFERROR(IF(A195="","",IF(D195&gt;=70,"✓ Good",IF(E195&gt;4,"Low glucose","High glucose"))),"")</f>
        <v/>
      </c>
    </row>
    <row r="196">
      <c r="B196" s="40">
        <f>IFERROR(IF(A196="","",COUNTIFS(_Calc!$C$3:$C$20002,A196,_Calc!$B$3:$B$20002,"&lt;&gt;")),"")</f>
        <v/>
      </c>
      <c r="C196" s="41">
        <f>IFERROR(IF(A196="","",AVERAGEIFS(_Calc!$B$3:$B$20002,_Calc!$C$3:$C$20002,A196)),"")</f>
        <v/>
      </c>
      <c r="D196" s="42">
        <f>IFERROR(IF(A196="","",COUNTIFS(_Calc!$B$3:$B$20002,"&gt;="&amp;70,_Calc!$B$3:$B$20002,"&lt;="&amp;180,_Calc!$C$3:$C$20002,A196)/COUNTIFS(_Calc!$C$3:$C$20002,A196,_Calc!$B$3:$B$20002,"&lt;&gt;")*100),"")</f>
        <v/>
      </c>
      <c r="E196" s="42">
        <f>IFERROR(IF(A196="","",COUNTIFS(_Calc!$B$3:$B$20002,"&lt;70",_Calc!$C$3:$C$20002,A196)/COUNTIFS(_Calc!$C$3:$C$20002,A196,_Calc!$B$3:$B$20002,"&lt;&gt;")*100),"")</f>
        <v/>
      </c>
      <c r="F196" s="42">
        <f>IFERROR(IF(A196="","",COUNTIFS(_Calc!$B$3:$B$20002,"&gt;180",_Calc!$C$3:$C$20002,A196)/COUNTIFS(_Calc!$C$3:$C$20002,A196,_Calc!$B$3:$B$20002,"&lt;&gt;")*100),"")</f>
        <v/>
      </c>
      <c r="G196" s="43">
        <f>IFERROR(IF(A196="","",IF(D196&gt;=70,"✓ Good",IF(E196&gt;4,"Low glucose","High glucose"))),"")</f>
        <v/>
      </c>
    </row>
    <row r="197">
      <c r="B197" s="40">
        <f>IFERROR(IF(A197="","",COUNTIFS(_Calc!$C$3:$C$20002,A197,_Calc!$B$3:$B$20002,"&lt;&gt;")),"")</f>
        <v/>
      </c>
      <c r="C197" s="41">
        <f>IFERROR(IF(A197="","",AVERAGEIFS(_Calc!$B$3:$B$20002,_Calc!$C$3:$C$20002,A197)),"")</f>
        <v/>
      </c>
      <c r="D197" s="42">
        <f>IFERROR(IF(A197="","",COUNTIFS(_Calc!$B$3:$B$20002,"&gt;="&amp;70,_Calc!$B$3:$B$20002,"&lt;="&amp;180,_Calc!$C$3:$C$20002,A197)/COUNTIFS(_Calc!$C$3:$C$20002,A197,_Calc!$B$3:$B$20002,"&lt;&gt;")*100),"")</f>
        <v/>
      </c>
      <c r="E197" s="42">
        <f>IFERROR(IF(A197="","",COUNTIFS(_Calc!$B$3:$B$20002,"&lt;70",_Calc!$C$3:$C$20002,A197)/COUNTIFS(_Calc!$C$3:$C$20002,A197,_Calc!$B$3:$B$20002,"&lt;&gt;")*100),"")</f>
        <v/>
      </c>
      <c r="F197" s="42">
        <f>IFERROR(IF(A197="","",COUNTIFS(_Calc!$B$3:$B$20002,"&gt;180",_Calc!$C$3:$C$20002,A197)/COUNTIFS(_Calc!$C$3:$C$20002,A197,_Calc!$B$3:$B$20002,"&lt;&gt;")*100),"")</f>
        <v/>
      </c>
      <c r="G197" s="43">
        <f>IFERROR(IF(A197="","",IF(D197&gt;=70,"✓ Good",IF(E197&gt;4,"Low glucose","High glucose"))),"")</f>
        <v/>
      </c>
    </row>
    <row r="198">
      <c r="B198" s="40">
        <f>IFERROR(IF(A198="","",COUNTIFS(_Calc!$C$3:$C$20002,A198,_Calc!$B$3:$B$20002,"&lt;&gt;")),"")</f>
        <v/>
      </c>
      <c r="C198" s="41">
        <f>IFERROR(IF(A198="","",AVERAGEIFS(_Calc!$B$3:$B$20002,_Calc!$C$3:$C$20002,A198)),"")</f>
        <v/>
      </c>
      <c r="D198" s="42">
        <f>IFERROR(IF(A198="","",COUNTIFS(_Calc!$B$3:$B$20002,"&gt;="&amp;70,_Calc!$B$3:$B$20002,"&lt;="&amp;180,_Calc!$C$3:$C$20002,A198)/COUNTIFS(_Calc!$C$3:$C$20002,A198,_Calc!$B$3:$B$20002,"&lt;&gt;")*100),"")</f>
        <v/>
      </c>
      <c r="E198" s="42">
        <f>IFERROR(IF(A198="","",COUNTIFS(_Calc!$B$3:$B$20002,"&lt;70",_Calc!$C$3:$C$20002,A198)/COUNTIFS(_Calc!$C$3:$C$20002,A198,_Calc!$B$3:$B$20002,"&lt;&gt;")*100),"")</f>
        <v/>
      </c>
      <c r="F198" s="42">
        <f>IFERROR(IF(A198="","",COUNTIFS(_Calc!$B$3:$B$20002,"&gt;180",_Calc!$C$3:$C$20002,A198)/COUNTIFS(_Calc!$C$3:$C$20002,A198,_Calc!$B$3:$B$20002,"&lt;&gt;")*100),"")</f>
        <v/>
      </c>
      <c r="G198" s="43">
        <f>IFERROR(IF(A198="","",IF(D198&gt;=70,"✓ Good",IF(E198&gt;4,"Low glucose","High glucose"))),"")</f>
        <v/>
      </c>
    </row>
    <row r="199">
      <c r="B199" s="40">
        <f>IFERROR(IF(A199="","",COUNTIFS(_Calc!$C$3:$C$20002,A199,_Calc!$B$3:$B$20002,"&lt;&gt;")),"")</f>
        <v/>
      </c>
      <c r="C199" s="41">
        <f>IFERROR(IF(A199="","",AVERAGEIFS(_Calc!$B$3:$B$20002,_Calc!$C$3:$C$20002,A199)),"")</f>
        <v/>
      </c>
      <c r="D199" s="42">
        <f>IFERROR(IF(A199="","",COUNTIFS(_Calc!$B$3:$B$20002,"&gt;="&amp;70,_Calc!$B$3:$B$20002,"&lt;="&amp;180,_Calc!$C$3:$C$20002,A199)/COUNTIFS(_Calc!$C$3:$C$20002,A199,_Calc!$B$3:$B$20002,"&lt;&gt;")*100),"")</f>
        <v/>
      </c>
      <c r="E199" s="42">
        <f>IFERROR(IF(A199="","",COUNTIFS(_Calc!$B$3:$B$20002,"&lt;70",_Calc!$C$3:$C$20002,A199)/COUNTIFS(_Calc!$C$3:$C$20002,A199,_Calc!$B$3:$B$20002,"&lt;&gt;")*100),"")</f>
        <v/>
      </c>
      <c r="F199" s="42">
        <f>IFERROR(IF(A199="","",COUNTIFS(_Calc!$B$3:$B$20002,"&gt;180",_Calc!$C$3:$C$20002,A199)/COUNTIFS(_Calc!$C$3:$C$20002,A199,_Calc!$B$3:$B$20002,"&lt;&gt;")*100),"")</f>
        <v/>
      </c>
      <c r="G199" s="43">
        <f>IFERROR(IF(A199="","",IF(D199&gt;=70,"✓ Good",IF(E199&gt;4,"Low glucose","High glucose"))),"")</f>
        <v/>
      </c>
    </row>
    <row r="200">
      <c r="B200" s="40">
        <f>IFERROR(IF(A200="","",COUNTIFS(_Calc!$C$3:$C$20002,A200,_Calc!$B$3:$B$20002,"&lt;&gt;")),"")</f>
        <v/>
      </c>
      <c r="C200" s="41">
        <f>IFERROR(IF(A200="","",AVERAGEIFS(_Calc!$B$3:$B$20002,_Calc!$C$3:$C$20002,A200)),"")</f>
        <v/>
      </c>
      <c r="D200" s="42">
        <f>IFERROR(IF(A200="","",COUNTIFS(_Calc!$B$3:$B$20002,"&gt;="&amp;70,_Calc!$B$3:$B$20002,"&lt;="&amp;180,_Calc!$C$3:$C$20002,A200)/COUNTIFS(_Calc!$C$3:$C$20002,A200,_Calc!$B$3:$B$20002,"&lt;&gt;")*100),"")</f>
        <v/>
      </c>
      <c r="E200" s="42">
        <f>IFERROR(IF(A200="","",COUNTIFS(_Calc!$B$3:$B$20002,"&lt;70",_Calc!$C$3:$C$20002,A200)/COUNTIFS(_Calc!$C$3:$C$20002,A200,_Calc!$B$3:$B$20002,"&lt;&gt;")*100),"")</f>
        <v/>
      </c>
      <c r="F200" s="42">
        <f>IFERROR(IF(A200="","",COUNTIFS(_Calc!$B$3:$B$20002,"&gt;180",_Calc!$C$3:$C$20002,A200)/COUNTIFS(_Calc!$C$3:$C$20002,A200,_Calc!$B$3:$B$20002,"&lt;&gt;")*100),"")</f>
        <v/>
      </c>
      <c r="G200" s="43">
        <f>IFERROR(IF(A200="","",IF(D200&gt;=70,"✓ Good",IF(E200&gt;4,"Low glucose","High glucose"))),"")</f>
        <v/>
      </c>
    </row>
    <row r="201">
      <c r="B201" s="40">
        <f>IFERROR(IF(A201="","",COUNTIFS(_Calc!$C$3:$C$20002,A201,_Calc!$B$3:$B$20002,"&lt;&gt;")),"")</f>
        <v/>
      </c>
      <c r="C201" s="41">
        <f>IFERROR(IF(A201="","",AVERAGEIFS(_Calc!$B$3:$B$20002,_Calc!$C$3:$C$20002,A201)),"")</f>
        <v/>
      </c>
      <c r="D201" s="42">
        <f>IFERROR(IF(A201="","",COUNTIFS(_Calc!$B$3:$B$20002,"&gt;="&amp;70,_Calc!$B$3:$B$20002,"&lt;="&amp;180,_Calc!$C$3:$C$20002,A201)/COUNTIFS(_Calc!$C$3:$C$20002,A201,_Calc!$B$3:$B$20002,"&lt;&gt;")*100),"")</f>
        <v/>
      </c>
      <c r="E201" s="42">
        <f>IFERROR(IF(A201="","",COUNTIFS(_Calc!$B$3:$B$20002,"&lt;70",_Calc!$C$3:$C$20002,A201)/COUNTIFS(_Calc!$C$3:$C$20002,A201,_Calc!$B$3:$B$20002,"&lt;&gt;")*100),"")</f>
        <v/>
      </c>
      <c r="F201" s="42">
        <f>IFERROR(IF(A201="","",COUNTIFS(_Calc!$B$3:$B$20002,"&gt;180",_Calc!$C$3:$C$20002,A201)/COUNTIFS(_Calc!$C$3:$C$20002,A201,_Calc!$B$3:$B$20002,"&lt;&gt;")*100),"")</f>
        <v/>
      </c>
      <c r="G201" s="43">
        <f>IFERROR(IF(A201="","",IF(D201&gt;=70,"✓ Good",IF(E201&gt;4,"Low glucose","High glucose"))),"")</f>
        <v/>
      </c>
    </row>
    <row r="202">
      <c r="B202" s="40">
        <f>IFERROR(IF(A202="","",COUNTIFS(_Calc!$C$3:$C$20002,A202,_Calc!$B$3:$B$20002,"&lt;&gt;")),"")</f>
        <v/>
      </c>
      <c r="C202" s="41">
        <f>IFERROR(IF(A202="","",AVERAGEIFS(_Calc!$B$3:$B$20002,_Calc!$C$3:$C$20002,A202)),"")</f>
        <v/>
      </c>
      <c r="D202" s="42">
        <f>IFERROR(IF(A202="","",COUNTIFS(_Calc!$B$3:$B$20002,"&gt;="&amp;70,_Calc!$B$3:$B$20002,"&lt;="&amp;180,_Calc!$C$3:$C$20002,A202)/COUNTIFS(_Calc!$C$3:$C$20002,A202,_Calc!$B$3:$B$20002,"&lt;&gt;")*100),"")</f>
        <v/>
      </c>
      <c r="E202" s="42">
        <f>IFERROR(IF(A202="","",COUNTIFS(_Calc!$B$3:$B$20002,"&lt;70",_Calc!$C$3:$C$20002,A202)/COUNTIFS(_Calc!$C$3:$C$20002,A202,_Calc!$B$3:$B$20002,"&lt;&gt;")*100),"")</f>
        <v/>
      </c>
      <c r="F202" s="42">
        <f>IFERROR(IF(A202="","",COUNTIFS(_Calc!$B$3:$B$20002,"&gt;180",_Calc!$C$3:$C$20002,A202)/COUNTIFS(_Calc!$C$3:$C$20002,A202,_Calc!$B$3:$B$20002,"&lt;&gt;")*100),"")</f>
        <v/>
      </c>
      <c r="G202" s="43">
        <f>IFERROR(IF(A202="","",IF(D202&gt;=70,"✓ Good",IF(E202&gt;4,"Low glucose","High glucose"))),"")</f>
        <v/>
      </c>
    </row>
    <row r="203">
      <c r="B203" s="40">
        <f>IFERROR(IF(A203="","",COUNTIFS(_Calc!$C$3:$C$20002,A203,_Calc!$B$3:$B$20002,"&lt;&gt;")),"")</f>
        <v/>
      </c>
      <c r="C203" s="41">
        <f>IFERROR(IF(A203="","",AVERAGEIFS(_Calc!$B$3:$B$20002,_Calc!$C$3:$C$20002,A203)),"")</f>
        <v/>
      </c>
      <c r="D203" s="42">
        <f>IFERROR(IF(A203="","",COUNTIFS(_Calc!$B$3:$B$20002,"&gt;="&amp;70,_Calc!$B$3:$B$20002,"&lt;="&amp;180,_Calc!$C$3:$C$20002,A203)/COUNTIFS(_Calc!$C$3:$C$20002,A203,_Calc!$B$3:$B$20002,"&lt;&gt;")*100),"")</f>
        <v/>
      </c>
      <c r="E203" s="42">
        <f>IFERROR(IF(A203="","",COUNTIFS(_Calc!$B$3:$B$20002,"&lt;70",_Calc!$C$3:$C$20002,A203)/COUNTIFS(_Calc!$C$3:$C$20002,A203,_Calc!$B$3:$B$20002,"&lt;&gt;")*100),"")</f>
        <v/>
      </c>
      <c r="F203" s="42">
        <f>IFERROR(IF(A203="","",COUNTIFS(_Calc!$B$3:$B$20002,"&gt;180",_Calc!$C$3:$C$20002,A203)/COUNTIFS(_Calc!$C$3:$C$20002,A203,_Calc!$B$3:$B$20002,"&lt;&gt;")*100),"")</f>
        <v/>
      </c>
      <c r="G203" s="43">
        <f>IFERROR(IF(A203="","",IF(D203&gt;=70,"✓ Good",IF(E203&gt;4,"Low glucose","High glucose"))),"")</f>
        <v/>
      </c>
    </row>
    <row r="204">
      <c r="B204" s="40">
        <f>IFERROR(IF(A204="","",COUNTIFS(_Calc!$C$3:$C$20002,A204,_Calc!$B$3:$B$20002,"&lt;&gt;")),"")</f>
        <v/>
      </c>
      <c r="C204" s="41">
        <f>IFERROR(IF(A204="","",AVERAGEIFS(_Calc!$B$3:$B$20002,_Calc!$C$3:$C$20002,A204)),"")</f>
        <v/>
      </c>
      <c r="D204" s="42">
        <f>IFERROR(IF(A204="","",COUNTIFS(_Calc!$B$3:$B$20002,"&gt;="&amp;70,_Calc!$B$3:$B$20002,"&lt;="&amp;180,_Calc!$C$3:$C$20002,A204)/COUNTIFS(_Calc!$C$3:$C$20002,A204,_Calc!$B$3:$B$20002,"&lt;&gt;")*100),"")</f>
        <v/>
      </c>
      <c r="E204" s="42">
        <f>IFERROR(IF(A204="","",COUNTIFS(_Calc!$B$3:$B$20002,"&lt;70",_Calc!$C$3:$C$20002,A204)/COUNTIFS(_Calc!$C$3:$C$20002,A204,_Calc!$B$3:$B$20002,"&lt;&gt;")*100),"")</f>
        <v/>
      </c>
      <c r="F204" s="42">
        <f>IFERROR(IF(A204="","",COUNTIFS(_Calc!$B$3:$B$20002,"&gt;180",_Calc!$C$3:$C$20002,A204)/COUNTIFS(_Calc!$C$3:$C$20002,A204,_Calc!$B$3:$B$20002,"&lt;&gt;")*100),"")</f>
        <v/>
      </c>
      <c r="G204" s="43">
        <f>IFERROR(IF(A204="","",IF(D204&gt;=70,"✓ Good",IF(E204&gt;4,"Low glucose","High glucose"))),"")</f>
        <v/>
      </c>
    </row>
    <row r="205">
      <c r="B205" s="40">
        <f>IFERROR(IF(A205="","",COUNTIFS(_Calc!$C$3:$C$20002,A205,_Calc!$B$3:$B$20002,"&lt;&gt;")),"")</f>
        <v/>
      </c>
      <c r="C205" s="41">
        <f>IFERROR(IF(A205="","",AVERAGEIFS(_Calc!$B$3:$B$20002,_Calc!$C$3:$C$20002,A205)),"")</f>
        <v/>
      </c>
      <c r="D205" s="42">
        <f>IFERROR(IF(A205="","",COUNTIFS(_Calc!$B$3:$B$20002,"&gt;="&amp;70,_Calc!$B$3:$B$20002,"&lt;="&amp;180,_Calc!$C$3:$C$20002,A205)/COUNTIFS(_Calc!$C$3:$C$20002,A205,_Calc!$B$3:$B$20002,"&lt;&gt;")*100),"")</f>
        <v/>
      </c>
      <c r="E205" s="42">
        <f>IFERROR(IF(A205="","",COUNTIFS(_Calc!$B$3:$B$20002,"&lt;70",_Calc!$C$3:$C$20002,A205)/COUNTIFS(_Calc!$C$3:$C$20002,A205,_Calc!$B$3:$B$20002,"&lt;&gt;")*100),"")</f>
        <v/>
      </c>
      <c r="F205" s="42">
        <f>IFERROR(IF(A205="","",COUNTIFS(_Calc!$B$3:$B$20002,"&gt;180",_Calc!$C$3:$C$20002,A205)/COUNTIFS(_Calc!$C$3:$C$20002,A205,_Calc!$B$3:$B$20002,"&lt;&gt;")*100),"")</f>
        <v/>
      </c>
      <c r="G205" s="43">
        <f>IFERROR(IF(A205="","",IF(D205&gt;=70,"✓ Good",IF(E205&gt;4,"Low glucose","High glucose"))),"")</f>
        <v/>
      </c>
    </row>
    <row r="206">
      <c r="B206" s="40">
        <f>IFERROR(IF(A206="","",COUNTIFS(_Calc!$C$3:$C$20002,A206,_Calc!$B$3:$B$20002,"&lt;&gt;")),"")</f>
        <v/>
      </c>
      <c r="C206" s="41">
        <f>IFERROR(IF(A206="","",AVERAGEIFS(_Calc!$B$3:$B$20002,_Calc!$C$3:$C$20002,A206)),"")</f>
        <v/>
      </c>
      <c r="D206" s="42">
        <f>IFERROR(IF(A206="","",COUNTIFS(_Calc!$B$3:$B$20002,"&gt;="&amp;70,_Calc!$B$3:$B$20002,"&lt;="&amp;180,_Calc!$C$3:$C$20002,A206)/COUNTIFS(_Calc!$C$3:$C$20002,A206,_Calc!$B$3:$B$20002,"&lt;&gt;")*100),"")</f>
        <v/>
      </c>
      <c r="E206" s="42">
        <f>IFERROR(IF(A206="","",COUNTIFS(_Calc!$B$3:$B$20002,"&lt;70",_Calc!$C$3:$C$20002,A206)/COUNTIFS(_Calc!$C$3:$C$20002,A206,_Calc!$B$3:$B$20002,"&lt;&gt;")*100),"")</f>
        <v/>
      </c>
      <c r="F206" s="42">
        <f>IFERROR(IF(A206="","",COUNTIFS(_Calc!$B$3:$B$20002,"&gt;180",_Calc!$C$3:$C$20002,A206)/COUNTIFS(_Calc!$C$3:$C$20002,A206,_Calc!$B$3:$B$20002,"&lt;&gt;")*100),"")</f>
        <v/>
      </c>
      <c r="G206" s="43">
        <f>IFERROR(IF(A206="","",IF(D206&gt;=70,"✓ Good",IF(E206&gt;4,"Low glucose","High glucose"))),"")</f>
        <v/>
      </c>
    </row>
    <row r="207">
      <c r="B207" s="40">
        <f>IFERROR(IF(A207="","",COUNTIFS(_Calc!$C$3:$C$20002,A207,_Calc!$B$3:$B$20002,"&lt;&gt;")),"")</f>
        <v/>
      </c>
      <c r="C207" s="41">
        <f>IFERROR(IF(A207="","",AVERAGEIFS(_Calc!$B$3:$B$20002,_Calc!$C$3:$C$20002,A207)),"")</f>
        <v/>
      </c>
      <c r="D207" s="42">
        <f>IFERROR(IF(A207="","",COUNTIFS(_Calc!$B$3:$B$20002,"&gt;="&amp;70,_Calc!$B$3:$B$20002,"&lt;="&amp;180,_Calc!$C$3:$C$20002,A207)/COUNTIFS(_Calc!$C$3:$C$20002,A207,_Calc!$B$3:$B$20002,"&lt;&gt;")*100),"")</f>
        <v/>
      </c>
      <c r="E207" s="42">
        <f>IFERROR(IF(A207="","",COUNTIFS(_Calc!$B$3:$B$20002,"&lt;70",_Calc!$C$3:$C$20002,A207)/COUNTIFS(_Calc!$C$3:$C$20002,A207,_Calc!$B$3:$B$20002,"&lt;&gt;")*100),"")</f>
        <v/>
      </c>
      <c r="F207" s="42">
        <f>IFERROR(IF(A207="","",COUNTIFS(_Calc!$B$3:$B$20002,"&gt;180",_Calc!$C$3:$C$20002,A207)/COUNTIFS(_Calc!$C$3:$C$20002,A207,_Calc!$B$3:$B$20002,"&lt;&gt;")*100),"")</f>
        <v/>
      </c>
      <c r="G207" s="43">
        <f>IFERROR(IF(A207="","",IF(D207&gt;=70,"✓ Good",IF(E207&gt;4,"Low glucose","High glucose"))),"")</f>
        <v/>
      </c>
    </row>
    <row r="208">
      <c r="B208" s="40">
        <f>IFERROR(IF(A208="","",COUNTIFS(_Calc!$C$3:$C$20002,A208,_Calc!$B$3:$B$20002,"&lt;&gt;")),"")</f>
        <v/>
      </c>
      <c r="C208" s="41">
        <f>IFERROR(IF(A208="","",AVERAGEIFS(_Calc!$B$3:$B$20002,_Calc!$C$3:$C$20002,A208)),"")</f>
        <v/>
      </c>
      <c r="D208" s="42">
        <f>IFERROR(IF(A208="","",COUNTIFS(_Calc!$B$3:$B$20002,"&gt;="&amp;70,_Calc!$B$3:$B$20002,"&lt;="&amp;180,_Calc!$C$3:$C$20002,A208)/COUNTIFS(_Calc!$C$3:$C$20002,A208,_Calc!$B$3:$B$20002,"&lt;&gt;")*100),"")</f>
        <v/>
      </c>
      <c r="E208" s="42">
        <f>IFERROR(IF(A208="","",COUNTIFS(_Calc!$B$3:$B$20002,"&lt;70",_Calc!$C$3:$C$20002,A208)/COUNTIFS(_Calc!$C$3:$C$20002,A208,_Calc!$B$3:$B$20002,"&lt;&gt;")*100),"")</f>
        <v/>
      </c>
      <c r="F208" s="42">
        <f>IFERROR(IF(A208="","",COUNTIFS(_Calc!$B$3:$B$20002,"&gt;180",_Calc!$C$3:$C$20002,A208)/COUNTIFS(_Calc!$C$3:$C$20002,A208,_Calc!$B$3:$B$20002,"&lt;&gt;")*100),"")</f>
        <v/>
      </c>
      <c r="G208" s="43">
        <f>IFERROR(IF(A208="","",IF(D208&gt;=70,"✓ Good",IF(E208&gt;4,"Low glucose","High glucose"))),"")</f>
        <v/>
      </c>
    </row>
    <row r="209">
      <c r="B209" s="40">
        <f>IFERROR(IF(A209="","",COUNTIFS(_Calc!$C$3:$C$20002,A209,_Calc!$B$3:$B$20002,"&lt;&gt;")),"")</f>
        <v/>
      </c>
      <c r="C209" s="41">
        <f>IFERROR(IF(A209="","",AVERAGEIFS(_Calc!$B$3:$B$20002,_Calc!$C$3:$C$20002,A209)),"")</f>
        <v/>
      </c>
      <c r="D209" s="42">
        <f>IFERROR(IF(A209="","",COUNTIFS(_Calc!$B$3:$B$20002,"&gt;="&amp;70,_Calc!$B$3:$B$20002,"&lt;="&amp;180,_Calc!$C$3:$C$20002,A209)/COUNTIFS(_Calc!$C$3:$C$20002,A209,_Calc!$B$3:$B$20002,"&lt;&gt;")*100),"")</f>
        <v/>
      </c>
      <c r="E209" s="42">
        <f>IFERROR(IF(A209="","",COUNTIFS(_Calc!$B$3:$B$20002,"&lt;70",_Calc!$C$3:$C$20002,A209)/COUNTIFS(_Calc!$C$3:$C$20002,A209,_Calc!$B$3:$B$20002,"&lt;&gt;")*100),"")</f>
        <v/>
      </c>
      <c r="F209" s="42">
        <f>IFERROR(IF(A209="","",COUNTIFS(_Calc!$B$3:$B$20002,"&gt;180",_Calc!$C$3:$C$20002,A209)/COUNTIFS(_Calc!$C$3:$C$20002,A209,_Calc!$B$3:$B$20002,"&lt;&gt;")*100),"")</f>
        <v/>
      </c>
      <c r="G209" s="43">
        <f>IFERROR(IF(A209="","",IF(D209&gt;=70,"✓ Good",IF(E209&gt;4,"Low glucose","High glucose"))),"")</f>
        <v/>
      </c>
    </row>
    <row r="210">
      <c r="B210" s="40">
        <f>IFERROR(IF(A210="","",COUNTIFS(_Calc!$C$3:$C$20002,A210,_Calc!$B$3:$B$20002,"&lt;&gt;")),"")</f>
        <v/>
      </c>
      <c r="C210" s="41">
        <f>IFERROR(IF(A210="","",AVERAGEIFS(_Calc!$B$3:$B$20002,_Calc!$C$3:$C$20002,A210)),"")</f>
        <v/>
      </c>
      <c r="D210" s="42">
        <f>IFERROR(IF(A210="","",COUNTIFS(_Calc!$B$3:$B$20002,"&gt;="&amp;70,_Calc!$B$3:$B$20002,"&lt;="&amp;180,_Calc!$C$3:$C$20002,A210)/COUNTIFS(_Calc!$C$3:$C$20002,A210,_Calc!$B$3:$B$20002,"&lt;&gt;")*100),"")</f>
        <v/>
      </c>
      <c r="E210" s="42">
        <f>IFERROR(IF(A210="","",COUNTIFS(_Calc!$B$3:$B$20002,"&lt;70",_Calc!$C$3:$C$20002,A210)/COUNTIFS(_Calc!$C$3:$C$20002,A210,_Calc!$B$3:$B$20002,"&lt;&gt;")*100),"")</f>
        <v/>
      </c>
      <c r="F210" s="42">
        <f>IFERROR(IF(A210="","",COUNTIFS(_Calc!$B$3:$B$20002,"&gt;180",_Calc!$C$3:$C$20002,A210)/COUNTIFS(_Calc!$C$3:$C$20002,A210,_Calc!$B$3:$B$20002,"&lt;&gt;")*100),"")</f>
        <v/>
      </c>
      <c r="G210" s="43">
        <f>IFERROR(IF(A210="","",IF(D210&gt;=70,"✓ Good",IF(E210&gt;4,"Low glucose","High glucose"))),"")</f>
        <v/>
      </c>
    </row>
    <row r="211">
      <c r="B211" s="40">
        <f>IFERROR(IF(A211="","",COUNTIFS(_Calc!$C$3:$C$20002,A211,_Calc!$B$3:$B$20002,"&lt;&gt;")),"")</f>
        <v/>
      </c>
      <c r="C211" s="41">
        <f>IFERROR(IF(A211="","",AVERAGEIFS(_Calc!$B$3:$B$20002,_Calc!$C$3:$C$20002,A211)),"")</f>
        <v/>
      </c>
      <c r="D211" s="42">
        <f>IFERROR(IF(A211="","",COUNTIFS(_Calc!$B$3:$B$20002,"&gt;="&amp;70,_Calc!$B$3:$B$20002,"&lt;="&amp;180,_Calc!$C$3:$C$20002,A211)/COUNTIFS(_Calc!$C$3:$C$20002,A211,_Calc!$B$3:$B$20002,"&lt;&gt;")*100),"")</f>
        <v/>
      </c>
      <c r="E211" s="42">
        <f>IFERROR(IF(A211="","",COUNTIFS(_Calc!$B$3:$B$20002,"&lt;70",_Calc!$C$3:$C$20002,A211)/COUNTIFS(_Calc!$C$3:$C$20002,A211,_Calc!$B$3:$B$20002,"&lt;&gt;")*100),"")</f>
        <v/>
      </c>
      <c r="F211" s="42">
        <f>IFERROR(IF(A211="","",COUNTIFS(_Calc!$B$3:$B$20002,"&gt;180",_Calc!$C$3:$C$20002,A211)/COUNTIFS(_Calc!$C$3:$C$20002,A211,_Calc!$B$3:$B$20002,"&lt;&gt;")*100),"")</f>
        <v/>
      </c>
      <c r="G211" s="43">
        <f>IFERROR(IF(A211="","",IF(D211&gt;=70,"✓ Good",IF(E211&gt;4,"Low glucose","High glucose"))),"")</f>
        <v/>
      </c>
    </row>
    <row r="212">
      <c r="B212" s="40">
        <f>IFERROR(IF(A212="","",COUNTIFS(_Calc!$C$3:$C$20002,A212,_Calc!$B$3:$B$20002,"&lt;&gt;")),"")</f>
        <v/>
      </c>
      <c r="C212" s="41">
        <f>IFERROR(IF(A212="","",AVERAGEIFS(_Calc!$B$3:$B$20002,_Calc!$C$3:$C$20002,A212)),"")</f>
        <v/>
      </c>
      <c r="D212" s="42">
        <f>IFERROR(IF(A212="","",COUNTIFS(_Calc!$B$3:$B$20002,"&gt;="&amp;70,_Calc!$B$3:$B$20002,"&lt;="&amp;180,_Calc!$C$3:$C$20002,A212)/COUNTIFS(_Calc!$C$3:$C$20002,A212,_Calc!$B$3:$B$20002,"&lt;&gt;")*100),"")</f>
        <v/>
      </c>
      <c r="E212" s="42">
        <f>IFERROR(IF(A212="","",COUNTIFS(_Calc!$B$3:$B$20002,"&lt;70",_Calc!$C$3:$C$20002,A212)/COUNTIFS(_Calc!$C$3:$C$20002,A212,_Calc!$B$3:$B$20002,"&lt;&gt;")*100),"")</f>
        <v/>
      </c>
      <c r="F212" s="42">
        <f>IFERROR(IF(A212="","",COUNTIFS(_Calc!$B$3:$B$20002,"&gt;180",_Calc!$C$3:$C$20002,A212)/COUNTIFS(_Calc!$C$3:$C$20002,A212,_Calc!$B$3:$B$20002,"&lt;&gt;")*100),"")</f>
        <v/>
      </c>
      <c r="G212" s="43">
        <f>IFERROR(IF(A212="","",IF(D212&gt;=70,"✓ Good",IF(E212&gt;4,"Low glucose","High glucose"))),"")</f>
        <v/>
      </c>
    </row>
    <row r="213">
      <c r="B213" s="40">
        <f>IFERROR(IF(A213="","",COUNTIFS(_Calc!$C$3:$C$20002,A213,_Calc!$B$3:$B$20002,"&lt;&gt;")),"")</f>
        <v/>
      </c>
      <c r="C213" s="41">
        <f>IFERROR(IF(A213="","",AVERAGEIFS(_Calc!$B$3:$B$20002,_Calc!$C$3:$C$20002,A213)),"")</f>
        <v/>
      </c>
      <c r="D213" s="42">
        <f>IFERROR(IF(A213="","",COUNTIFS(_Calc!$B$3:$B$20002,"&gt;="&amp;70,_Calc!$B$3:$B$20002,"&lt;="&amp;180,_Calc!$C$3:$C$20002,A213)/COUNTIFS(_Calc!$C$3:$C$20002,A213,_Calc!$B$3:$B$20002,"&lt;&gt;")*100),"")</f>
        <v/>
      </c>
      <c r="E213" s="42">
        <f>IFERROR(IF(A213="","",COUNTIFS(_Calc!$B$3:$B$20002,"&lt;70",_Calc!$C$3:$C$20002,A213)/COUNTIFS(_Calc!$C$3:$C$20002,A213,_Calc!$B$3:$B$20002,"&lt;&gt;")*100),"")</f>
        <v/>
      </c>
      <c r="F213" s="42">
        <f>IFERROR(IF(A213="","",COUNTIFS(_Calc!$B$3:$B$20002,"&gt;180",_Calc!$C$3:$C$20002,A213)/COUNTIFS(_Calc!$C$3:$C$20002,A213,_Calc!$B$3:$B$20002,"&lt;&gt;")*100),"")</f>
        <v/>
      </c>
      <c r="G213" s="43">
        <f>IFERROR(IF(A213="","",IF(D213&gt;=70,"✓ Good",IF(E213&gt;4,"Low glucose","High glucose"))),"")</f>
        <v/>
      </c>
    </row>
    <row r="214">
      <c r="B214" s="40">
        <f>IFERROR(IF(A214="","",COUNTIFS(_Calc!$C$3:$C$20002,A214,_Calc!$B$3:$B$20002,"&lt;&gt;")),"")</f>
        <v/>
      </c>
      <c r="C214" s="41">
        <f>IFERROR(IF(A214="","",AVERAGEIFS(_Calc!$B$3:$B$20002,_Calc!$C$3:$C$20002,A214)),"")</f>
        <v/>
      </c>
      <c r="D214" s="42">
        <f>IFERROR(IF(A214="","",COUNTIFS(_Calc!$B$3:$B$20002,"&gt;="&amp;70,_Calc!$B$3:$B$20002,"&lt;="&amp;180,_Calc!$C$3:$C$20002,A214)/COUNTIFS(_Calc!$C$3:$C$20002,A214,_Calc!$B$3:$B$20002,"&lt;&gt;")*100),"")</f>
        <v/>
      </c>
      <c r="E214" s="42">
        <f>IFERROR(IF(A214="","",COUNTIFS(_Calc!$B$3:$B$20002,"&lt;70",_Calc!$C$3:$C$20002,A214)/COUNTIFS(_Calc!$C$3:$C$20002,A214,_Calc!$B$3:$B$20002,"&lt;&gt;")*100),"")</f>
        <v/>
      </c>
      <c r="F214" s="42">
        <f>IFERROR(IF(A214="","",COUNTIFS(_Calc!$B$3:$B$20002,"&gt;180",_Calc!$C$3:$C$20002,A214)/COUNTIFS(_Calc!$C$3:$C$20002,A214,_Calc!$B$3:$B$20002,"&lt;&gt;")*100),"")</f>
        <v/>
      </c>
      <c r="G214" s="43">
        <f>IFERROR(IF(A214="","",IF(D214&gt;=70,"✓ Good",IF(E214&gt;4,"Low glucose","High glucose"))),"")</f>
        <v/>
      </c>
    </row>
    <row r="215">
      <c r="B215" s="40">
        <f>IFERROR(IF(A215="","",COUNTIFS(_Calc!$C$3:$C$20002,A215,_Calc!$B$3:$B$20002,"&lt;&gt;")),"")</f>
        <v/>
      </c>
      <c r="C215" s="41">
        <f>IFERROR(IF(A215="","",AVERAGEIFS(_Calc!$B$3:$B$20002,_Calc!$C$3:$C$20002,A215)),"")</f>
        <v/>
      </c>
      <c r="D215" s="42">
        <f>IFERROR(IF(A215="","",COUNTIFS(_Calc!$B$3:$B$20002,"&gt;="&amp;70,_Calc!$B$3:$B$20002,"&lt;="&amp;180,_Calc!$C$3:$C$20002,A215)/COUNTIFS(_Calc!$C$3:$C$20002,A215,_Calc!$B$3:$B$20002,"&lt;&gt;")*100),"")</f>
        <v/>
      </c>
      <c r="E215" s="42">
        <f>IFERROR(IF(A215="","",COUNTIFS(_Calc!$B$3:$B$20002,"&lt;70",_Calc!$C$3:$C$20002,A215)/COUNTIFS(_Calc!$C$3:$C$20002,A215,_Calc!$B$3:$B$20002,"&lt;&gt;")*100),"")</f>
        <v/>
      </c>
      <c r="F215" s="42">
        <f>IFERROR(IF(A215="","",COUNTIFS(_Calc!$B$3:$B$20002,"&gt;180",_Calc!$C$3:$C$20002,A215)/COUNTIFS(_Calc!$C$3:$C$20002,A215,_Calc!$B$3:$B$20002,"&lt;&gt;")*100),"")</f>
        <v/>
      </c>
      <c r="G215" s="43">
        <f>IFERROR(IF(A215="","",IF(D215&gt;=70,"✓ Good",IF(E215&gt;4,"Low glucose","High glucose"))),"")</f>
        <v/>
      </c>
    </row>
    <row r="216">
      <c r="B216" s="40">
        <f>IFERROR(IF(A216="","",COUNTIFS(_Calc!$C$3:$C$20002,A216,_Calc!$B$3:$B$20002,"&lt;&gt;")),"")</f>
        <v/>
      </c>
      <c r="C216" s="41">
        <f>IFERROR(IF(A216="","",AVERAGEIFS(_Calc!$B$3:$B$20002,_Calc!$C$3:$C$20002,A216)),"")</f>
        <v/>
      </c>
      <c r="D216" s="42">
        <f>IFERROR(IF(A216="","",COUNTIFS(_Calc!$B$3:$B$20002,"&gt;="&amp;70,_Calc!$B$3:$B$20002,"&lt;="&amp;180,_Calc!$C$3:$C$20002,A216)/COUNTIFS(_Calc!$C$3:$C$20002,A216,_Calc!$B$3:$B$20002,"&lt;&gt;")*100),"")</f>
        <v/>
      </c>
      <c r="E216" s="42">
        <f>IFERROR(IF(A216="","",COUNTIFS(_Calc!$B$3:$B$20002,"&lt;70",_Calc!$C$3:$C$20002,A216)/COUNTIFS(_Calc!$C$3:$C$20002,A216,_Calc!$B$3:$B$20002,"&lt;&gt;")*100),"")</f>
        <v/>
      </c>
      <c r="F216" s="42">
        <f>IFERROR(IF(A216="","",COUNTIFS(_Calc!$B$3:$B$20002,"&gt;180",_Calc!$C$3:$C$20002,A216)/COUNTIFS(_Calc!$C$3:$C$20002,A216,_Calc!$B$3:$B$20002,"&lt;&gt;")*100),"")</f>
        <v/>
      </c>
      <c r="G216" s="43">
        <f>IFERROR(IF(A216="","",IF(D216&gt;=70,"✓ Good",IF(E216&gt;4,"Low glucose","High glucose"))),"")</f>
        <v/>
      </c>
    </row>
    <row r="217">
      <c r="B217" s="40">
        <f>IFERROR(IF(A217="","",COUNTIFS(_Calc!$C$3:$C$20002,A217,_Calc!$B$3:$B$20002,"&lt;&gt;")),"")</f>
        <v/>
      </c>
      <c r="C217" s="41">
        <f>IFERROR(IF(A217="","",AVERAGEIFS(_Calc!$B$3:$B$20002,_Calc!$C$3:$C$20002,A217)),"")</f>
        <v/>
      </c>
      <c r="D217" s="42">
        <f>IFERROR(IF(A217="","",COUNTIFS(_Calc!$B$3:$B$20002,"&gt;="&amp;70,_Calc!$B$3:$B$20002,"&lt;="&amp;180,_Calc!$C$3:$C$20002,A217)/COUNTIFS(_Calc!$C$3:$C$20002,A217,_Calc!$B$3:$B$20002,"&lt;&gt;")*100),"")</f>
        <v/>
      </c>
      <c r="E217" s="42">
        <f>IFERROR(IF(A217="","",COUNTIFS(_Calc!$B$3:$B$20002,"&lt;70",_Calc!$C$3:$C$20002,A217)/COUNTIFS(_Calc!$C$3:$C$20002,A217,_Calc!$B$3:$B$20002,"&lt;&gt;")*100),"")</f>
        <v/>
      </c>
      <c r="F217" s="42">
        <f>IFERROR(IF(A217="","",COUNTIFS(_Calc!$B$3:$B$20002,"&gt;180",_Calc!$C$3:$C$20002,A217)/COUNTIFS(_Calc!$C$3:$C$20002,A217,_Calc!$B$3:$B$20002,"&lt;&gt;")*100),"")</f>
        <v/>
      </c>
      <c r="G217" s="43">
        <f>IFERROR(IF(A217="","",IF(D217&gt;=70,"✓ Good",IF(E217&gt;4,"Low glucose","High glucose"))),"")</f>
        <v/>
      </c>
    </row>
    <row r="218">
      <c r="B218" s="40">
        <f>IFERROR(IF(A218="","",COUNTIFS(_Calc!$C$3:$C$20002,A218,_Calc!$B$3:$B$20002,"&lt;&gt;")),"")</f>
        <v/>
      </c>
      <c r="C218" s="41">
        <f>IFERROR(IF(A218="","",AVERAGEIFS(_Calc!$B$3:$B$20002,_Calc!$C$3:$C$20002,A218)),"")</f>
        <v/>
      </c>
      <c r="D218" s="42">
        <f>IFERROR(IF(A218="","",COUNTIFS(_Calc!$B$3:$B$20002,"&gt;="&amp;70,_Calc!$B$3:$B$20002,"&lt;="&amp;180,_Calc!$C$3:$C$20002,A218)/COUNTIFS(_Calc!$C$3:$C$20002,A218,_Calc!$B$3:$B$20002,"&lt;&gt;")*100),"")</f>
        <v/>
      </c>
      <c r="E218" s="42">
        <f>IFERROR(IF(A218="","",COUNTIFS(_Calc!$B$3:$B$20002,"&lt;70",_Calc!$C$3:$C$20002,A218)/COUNTIFS(_Calc!$C$3:$C$20002,A218,_Calc!$B$3:$B$20002,"&lt;&gt;")*100),"")</f>
        <v/>
      </c>
      <c r="F218" s="42">
        <f>IFERROR(IF(A218="","",COUNTIFS(_Calc!$B$3:$B$20002,"&gt;180",_Calc!$C$3:$C$20002,A218)/COUNTIFS(_Calc!$C$3:$C$20002,A218,_Calc!$B$3:$B$20002,"&lt;&gt;")*100),"")</f>
        <v/>
      </c>
      <c r="G218" s="43">
        <f>IFERROR(IF(A218="","",IF(D218&gt;=70,"✓ Good",IF(E218&gt;4,"Low glucose","High glucose"))),"")</f>
        <v/>
      </c>
    </row>
    <row r="219">
      <c r="B219" s="40">
        <f>IFERROR(IF(A219="","",COUNTIFS(_Calc!$C$3:$C$20002,A219,_Calc!$B$3:$B$20002,"&lt;&gt;")),"")</f>
        <v/>
      </c>
      <c r="C219" s="41">
        <f>IFERROR(IF(A219="","",AVERAGEIFS(_Calc!$B$3:$B$20002,_Calc!$C$3:$C$20002,A219)),"")</f>
        <v/>
      </c>
      <c r="D219" s="42">
        <f>IFERROR(IF(A219="","",COUNTIFS(_Calc!$B$3:$B$20002,"&gt;="&amp;70,_Calc!$B$3:$B$20002,"&lt;="&amp;180,_Calc!$C$3:$C$20002,A219)/COUNTIFS(_Calc!$C$3:$C$20002,A219,_Calc!$B$3:$B$20002,"&lt;&gt;")*100),"")</f>
        <v/>
      </c>
      <c r="E219" s="42">
        <f>IFERROR(IF(A219="","",COUNTIFS(_Calc!$B$3:$B$20002,"&lt;70",_Calc!$C$3:$C$20002,A219)/COUNTIFS(_Calc!$C$3:$C$20002,A219,_Calc!$B$3:$B$20002,"&lt;&gt;")*100),"")</f>
        <v/>
      </c>
      <c r="F219" s="42">
        <f>IFERROR(IF(A219="","",COUNTIFS(_Calc!$B$3:$B$20002,"&gt;180",_Calc!$C$3:$C$20002,A219)/COUNTIFS(_Calc!$C$3:$C$20002,A219,_Calc!$B$3:$B$20002,"&lt;&gt;")*100),"")</f>
        <v/>
      </c>
      <c r="G219" s="43">
        <f>IFERROR(IF(A219="","",IF(D219&gt;=70,"✓ Good",IF(E219&gt;4,"Low glucose","High glucose"))),"")</f>
        <v/>
      </c>
    </row>
    <row r="220">
      <c r="B220" s="40">
        <f>IFERROR(IF(A220="","",COUNTIFS(_Calc!$C$3:$C$20002,A220,_Calc!$B$3:$B$20002,"&lt;&gt;")),"")</f>
        <v/>
      </c>
      <c r="C220" s="41">
        <f>IFERROR(IF(A220="","",AVERAGEIFS(_Calc!$B$3:$B$20002,_Calc!$C$3:$C$20002,A220)),"")</f>
        <v/>
      </c>
      <c r="D220" s="42">
        <f>IFERROR(IF(A220="","",COUNTIFS(_Calc!$B$3:$B$20002,"&gt;="&amp;70,_Calc!$B$3:$B$20002,"&lt;="&amp;180,_Calc!$C$3:$C$20002,A220)/COUNTIFS(_Calc!$C$3:$C$20002,A220,_Calc!$B$3:$B$20002,"&lt;&gt;")*100),"")</f>
        <v/>
      </c>
      <c r="E220" s="42">
        <f>IFERROR(IF(A220="","",COUNTIFS(_Calc!$B$3:$B$20002,"&lt;70",_Calc!$C$3:$C$20002,A220)/COUNTIFS(_Calc!$C$3:$C$20002,A220,_Calc!$B$3:$B$20002,"&lt;&gt;")*100),"")</f>
        <v/>
      </c>
      <c r="F220" s="42">
        <f>IFERROR(IF(A220="","",COUNTIFS(_Calc!$B$3:$B$20002,"&gt;180",_Calc!$C$3:$C$20002,A220)/COUNTIFS(_Calc!$C$3:$C$20002,A220,_Calc!$B$3:$B$20002,"&lt;&gt;")*100),"")</f>
        <v/>
      </c>
      <c r="G220" s="43">
        <f>IFERROR(IF(A220="","",IF(D220&gt;=70,"✓ Good",IF(E220&gt;4,"Low glucose","High glucose"))),"")</f>
        <v/>
      </c>
    </row>
    <row r="221">
      <c r="B221" s="40">
        <f>IFERROR(IF(A221="","",COUNTIFS(_Calc!$C$3:$C$20002,A221,_Calc!$B$3:$B$20002,"&lt;&gt;")),"")</f>
        <v/>
      </c>
      <c r="C221" s="41">
        <f>IFERROR(IF(A221="","",AVERAGEIFS(_Calc!$B$3:$B$20002,_Calc!$C$3:$C$20002,A221)),"")</f>
        <v/>
      </c>
      <c r="D221" s="42">
        <f>IFERROR(IF(A221="","",COUNTIFS(_Calc!$B$3:$B$20002,"&gt;="&amp;70,_Calc!$B$3:$B$20002,"&lt;="&amp;180,_Calc!$C$3:$C$20002,A221)/COUNTIFS(_Calc!$C$3:$C$20002,A221,_Calc!$B$3:$B$20002,"&lt;&gt;")*100),"")</f>
        <v/>
      </c>
      <c r="E221" s="42">
        <f>IFERROR(IF(A221="","",COUNTIFS(_Calc!$B$3:$B$20002,"&lt;70",_Calc!$C$3:$C$20002,A221)/COUNTIFS(_Calc!$C$3:$C$20002,A221,_Calc!$B$3:$B$20002,"&lt;&gt;")*100),"")</f>
        <v/>
      </c>
      <c r="F221" s="42">
        <f>IFERROR(IF(A221="","",COUNTIFS(_Calc!$B$3:$B$20002,"&gt;180",_Calc!$C$3:$C$20002,A221)/COUNTIFS(_Calc!$C$3:$C$20002,A221,_Calc!$B$3:$B$20002,"&lt;&gt;")*100),"")</f>
        <v/>
      </c>
      <c r="G221" s="43">
        <f>IFERROR(IF(A221="","",IF(D221&gt;=70,"✓ Good",IF(E221&gt;4,"Low glucose","High glucose"))),"")</f>
        <v/>
      </c>
    </row>
    <row r="222">
      <c r="B222" s="40">
        <f>IFERROR(IF(A222="","",COUNTIFS(_Calc!$C$3:$C$20002,A222,_Calc!$B$3:$B$20002,"&lt;&gt;")),"")</f>
        <v/>
      </c>
      <c r="C222" s="41">
        <f>IFERROR(IF(A222="","",AVERAGEIFS(_Calc!$B$3:$B$20002,_Calc!$C$3:$C$20002,A222)),"")</f>
        <v/>
      </c>
      <c r="D222" s="42">
        <f>IFERROR(IF(A222="","",COUNTIFS(_Calc!$B$3:$B$20002,"&gt;="&amp;70,_Calc!$B$3:$B$20002,"&lt;="&amp;180,_Calc!$C$3:$C$20002,A222)/COUNTIFS(_Calc!$C$3:$C$20002,A222,_Calc!$B$3:$B$20002,"&lt;&gt;")*100),"")</f>
        <v/>
      </c>
      <c r="E222" s="42">
        <f>IFERROR(IF(A222="","",COUNTIFS(_Calc!$B$3:$B$20002,"&lt;70",_Calc!$C$3:$C$20002,A222)/COUNTIFS(_Calc!$C$3:$C$20002,A222,_Calc!$B$3:$B$20002,"&lt;&gt;")*100),"")</f>
        <v/>
      </c>
      <c r="F222" s="42">
        <f>IFERROR(IF(A222="","",COUNTIFS(_Calc!$B$3:$B$20002,"&gt;180",_Calc!$C$3:$C$20002,A222)/COUNTIFS(_Calc!$C$3:$C$20002,A222,_Calc!$B$3:$B$20002,"&lt;&gt;")*100),"")</f>
        <v/>
      </c>
      <c r="G222" s="43">
        <f>IFERROR(IF(A222="","",IF(D222&gt;=70,"✓ Good",IF(E222&gt;4,"Low glucose","High glucose"))),"")</f>
        <v/>
      </c>
    </row>
    <row r="223">
      <c r="B223" s="40">
        <f>IFERROR(IF(A223="","",COUNTIFS(_Calc!$C$3:$C$20002,A223,_Calc!$B$3:$B$20002,"&lt;&gt;")),"")</f>
        <v/>
      </c>
      <c r="C223" s="41">
        <f>IFERROR(IF(A223="","",AVERAGEIFS(_Calc!$B$3:$B$20002,_Calc!$C$3:$C$20002,A223)),"")</f>
        <v/>
      </c>
      <c r="D223" s="42">
        <f>IFERROR(IF(A223="","",COUNTIFS(_Calc!$B$3:$B$20002,"&gt;="&amp;70,_Calc!$B$3:$B$20002,"&lt;="&amp;180,_Calc!$C$3:$C$20002,A223)/COUNTIFS(_Calc!$C$3:$C$20002,A223,_Calc!$B$3:$B$20002,"&lt;&gt;")*100),"")</f>
        <v/>
      </c>
      <c r="E223" s="42">
        <f>IFERROR(IF(A223="","",COUNTIFS(_Calc!$B$3:$B$20002,"&lt;70",_Calc!$C$3:$C$20002,A223)/COUNTIFS(_Calc!$C$3:$C$20002,A223,_Calc!$B$3:$B$20002,"&lt;&gt;")*100),"")</f>
        <v/>
      </c>
      <c r="F223" s="42">
        <f>IFERROR(IF(A223="","",COUNTIFS(_Calc!$B$3:$B$20002,"&gt;180",_Calc!$C$3:$C$20002,A223)/COUNTIFS(_Calc!$C$3:$C$20002,A223,_Calc!$B$3:$B$20002,"&lt;&gt;")*100),"")</f>
        <v/>
      </c>
      <c r="G223" s="43">
        <f>IFERROR(IF(A223="","",IF(D223&gt;=70,"✓ Good",IF(E223&gt;4,"Low glucose","High glucose"))),"")</f>
        <v/>
      </c>
    </row>
    <row r="224">
      <c r="B224" s="40">
        <f>IFERROR(IF(A224="","",COUNTIFS(_Calc!$C$3:$C$20002,A224,_Calc!$B$3:$B$20002,"&lt;&gt;")),"")</f>
        <v/>
      </c>
      <c r="C224" s="41">
        <f>IFERROR(IF(A224="","",AVERAGEIFS(_Calc!$B$3:$B$20002,_Calc!$C$3:$C$20002,A224)),"")</f>
        <v/>
      </c>
      <c r="D224" s="42">
        <f>IFERROR(IF(A224="","",COUNTIFS(_Calc!$B$3:$B$20002,"&gt;="&amp;70,_Calc!$B$3:$B$20002,"&lt;="&amp;180,_Calc!$C$3:$C$20002,A224)/COUNTIFS(_Calc!$C$3:$C$20002,A224,_Calc!$B$3:$B$20002,"&lt;&gt;")*100),"")</f>
        <v/>
      </c>
      <c r="E224" s="42">
        <f>IFERROR(IF(A224="","",COUNTIFS(_Calc!$B$3:$B$20002,"&lt;70",_Calc!$C$3:$C$20002,A224)/COUNTIFS(_Calc!$C$3:$C$20002,A224,_Calc!$B$3:$B$20002,"&lt;&gt;")*100),"")</f>
        <v/>
      </c>
      <c r="F224" s="42">
        <f>IFERROR(IF(A224="","",COUNTIFS(_Calc!$B$3:$B$20002,"&gt;180",_Calc!$C$3:$C$20002,A224)/COUNTIFS(_Calc!$C$3:$C$20002,A224,_Calc!$B$3:$B$20002,"&lt;&gt;")*100),"")</f>
        <v/>
      </c>
      <c r="G224" s="43">
        <f>IFERROR(IF(A224="","",IF(D224&gt;=70,"✓ Good",IF(E224&gt;4,"Low glucose","High glucose"))),"")</f>
        <v/>
      </c>
    </row>
    <row r="225">
      <c r="B225" s="40">
        <f>IFERROR(IF(A225="","",COUNTIFS(_Calc!$C$3:$C$20002,A225,_Calc!$B$3:$B$20002,"&lt;&gt;")),"")</f>
        <v/>
      </c>
      <c r="C225" s="41">
        <f>IFERROR(IF(A225="","",AVERAGEIFS(_Calc!$B$3:$B$20002,_Calc!$C$3:$C$20002,A225)),"")</f>
        <v/>
      </c>
      <c r="D225" s="42">
        <f>IFERROR(IF(A225="","",COUNTIFS(_Calc!$B$3:$B$20002,"&gt;="&amp;70,_Calc!$B$3:$B$20002,"&lt;="&amp;180,_Calc!$C$3:$C$20002,A225)/COUNTIFS(_Calc!$C$3:$C$20002,A225,_Calc!$B$3:$B$20002,"&lt;&gt;")*100),"")</f>
        <v/>
      </c>
      <c r="E225" s="42">
        <f>IFERROR(IF(A225="","",COUNTIFS(_Calc!$B$3:$B$20002,"&lt;70",_Calc!$C$3:$C$20002,A225)/COUNTIFS(_Calc!$C$3:$C$20002,A225,_Calc!$B$3:$B$20002,"&lt;&gt;")*100),"")</f>
        <v/>
      </c>
      <c r="F225" s="42">
        <f>IFERROR(IF(A225="","",COUNTIFS(_Calc!$B$3:$B$20002,"&gt;180",_Calc!$C$3:$C$20002,A225)/COUNTIFS(_Calc!$C$3:$C$20002,A225,_Calc!$B$3:$B$20002,"&lt;&gt;")*100),"")</f>
        <v/>
      </c>
      <c r="G225" s="43">
        <f>IFERROR(IF(A225="","",IF(D225&gt;=70,"✓ Good",IF(E225&gt;4,"Low glucose","High glucose"))),"")</f>
        <v/>
      </c>
    </row>
    <row r="226">
      <c r="B226" s="40">
        <f>IFERROR(IF(A226="","",COUNTIFS(_Calc!$C$3:$C$20002,A226,_Calc!$B$3:$B$20002,"&lt;&gt;")),"")</f>
        <v/>
      </c>
      <c r="C226" s="41">
        <f>IFERROR(IF(A226="","",AVERAGEIFS(_Calc!$B$3:$B$20002,_Calc!$C$3:$C$20002,A226)),"")</f>
        <v/>
      </c>
      <c r="D226" s="42">
        <f>IFERROR(IF(A226="","",COUNTIFS(_Calc!$B$3:$B$20002,"&gt;="&amp;70,_Calc!$B$3:$B$20002,"&lt;="&amp;180,_Calc!$C$3:$C$20002,A226)/COUNTIFS(_Calc!$C$3:$C$20002,A226,_Calc!$B$3:$B$20002,"&lt;&gt;")*100),"")</f>
        <v/>
      </c>
      <c r="E226" s="42">
        <f>IFERROR(IF(A226="","",COUNTIFS(_Calc!$B$3:$B$20002,"&lt;70",_Calc!$C$3:$C$20002,A226)/COUNTIFS(_Calc!$C$3:$C$20002,A226,_Calc!$B$3:$B$20002,"&lt;&gt;")*100),"")</f>
        <v/>
      </c>
      <c r="F226" s="42">
        <f>IFERROR(IF(A226="","",COUNTIFS(_Calc!$B$3:$B$20002,"&gt;180",_Calc!$C$3:$C$20002,A226)/COUNTIFS(_Calc!$C$3:$C$20002,A226,_Calc!$B$3:$B$20002,"&lt;&gt;")*100),"")</f>
        <v/>
      </c>
      <c r="G226" s="43">
        <f>IFERROR(IF(A226="","",IF(D226&gt;=70,"✓ Good",IF(E226&gt;4,"Low glucose","High glucose"))),"")</f>
        <v/>
      </c>
    </row>
    <row r="227">
      <c r="B227" s="40">
        <f>IFERROR(IF(A227="","",COUNTIFS(_Calc!$C$3:$C$20002,A227,_Calc!$B$3:$B$20002,"&lt;&gt;")),"")</f>
        <v/>
      </c>
      <c r="C227" s="41">
        <f>IFERROR(IF(A227="","",AVERAGEIFS(_Calc!$B$3:$B$20002,_Calc!$C$3:$C$20002,A227)),"")</f>
        <v/>
      </c>
      <c r="D227" s="42">
        <f>IFERROR(IF(A227="","",COUNTIFS(_Calc!$B$3:$B$20002,"&gt;="&amp;70,_Calc!$B$3:$B$20002,"&lt;="&amp;180,_Calc!$C$3:$C$20002,A227)/COUNTIFS(_Calc!$C$3:$C$20002,A227,_Calc!$B$3:$B$20002,"&lt;&gt;")*100),"")</f>
        <v/>
      </c>
      <c r="E227" s="42">
        <f>IFERROR(IF(A227="","",COUNTIFS(_Calc!$B$3:$B$20002,"&lt;70",_Calc!$C$3:$C$20002,A227)/COUNTIFS(_Calc!$C$3:$C$20002,A227,_Calc!$B$3:$B$20002,"&lt;&gt;")*100),"")</f>
        <v/>
      </c>
      <c r="F227" s="42">
        <f>IFERROR(IF(A227="","",COUNTIFS(_Calc!$B$3:$B$20002,"&gt;180",_Calc!$C$3:$C$20002,A227)/COUNTIFS(_Calc!$C$3:$C$20002,A227,_Calc!$B$3:$B$20002,"&lt;&gt;")*100),"")</f>
        <v/>
      </c>
      <c r="G227" s="43">
        <f>IFERROR(IF(A227="","",IF(D227&gt;=70,"✓ Good",IF(E227&gt;4,"Low glucose","High glucose"))),"")</f>
        <v/>
      </c>
    </row>
    <row r="228">
      <c r="B228" s="40">
        <f>IFERROR(IF(A228="","",COUNTIFS(_Calc!$C$3:$C$20002,A228,_Calc!$B$3:$B$20002,"&lt;&gt;")),"")</f>
        <v/>
      </c>
      <c r="C228" s="41">
        <f>IFERROR(IF(A228="","",AVERAGEIFS(_Calc!$B$3:$B$20002,_Calc!$C$3:$C$20002,A228)),"")</f>
        <v/>
      </c>
      <c r="D228" s="42">
        <f>IFERROR(IF(A228="","",COUNTIFS(_Calc!$B$3:$B$20002,"&gt;="&amp;70,_Calc!$B$3:$B$20002,"&lt;="&amp;180,_Calc!$C$3:$C$20002,A228)/COUNTIFS(_Calc!$C$3:$C$20002,A228,_Calc!$B$3:$B$20002,"&lt;&gt;")*100),"")</f>
        <v/>
      </c>
      <c r="E228" s="42">
        <f>IFERROR(IF(A228="","",COUNTIFS(_Calc!$B$3:$B$20002,"&lt;70",_Calc!$C$3:$C$20002,A228)/COUNTIFS(_Calc!$C$3:$C$20002,A228,_Calc!$B$3:$B$20002,"&lt;&gt;")*100),"")</f>
        <v/>
      </c>
      <c r="F228" s="42">
        <f>IFERROR(IF(A228="","",COUNTIFS(_Calc!$B$3:$B$20002,"&gt;180",_Calc!$C$3:$C$20002,A228)/COUNTIFS(_Calc!$C$3:$C$20002,A228,_Calc!$B$3:$B$20002,"&lt;&gt;")*100),"")</f>
        <v/>
      </c>
      <c r="G228" s="43">
        <f>IFERROR(IF(A228="","",IF(D228&gt;=70,"✓ Good",IF(E228&gt;4,"Low glucose","High glucose"))),"")</f>
        <v/>
      </c>
    </row>
    <row r="229">
      <c r="B229" s="40">
        <f>IFERROR(IF(A229="","",COUNTIFS(_Calc!$C$3:$C$20002,A229,_Calc!$B$3:$B$20002,"&lt;&gt;")),"")</f>
        <v/>
      </c>
      <c r="C229" s="41">
        <f>IFERROR(IF(A229="","",AVERAGEIFS(_Calc!$B$3:$B$20002,_Calc!$C$3:$C$20002,A229)),"")</f>
        <v/>
      </c>
      <c r="D229" s="42">
        <f>IFERROR(IF(A229="","",COUNTIFS(_Calc!$B$3:$B$20002,"&gt;="&amp;70,_Calc!$B$3:$B$20002,"&lt;="&amp;180,_Calc!$C$3:$C$20002,A229)/COUNTIFS(_Calc!$C$3:$C$20002,A229,_Calc!$B$3:$B$20002,"&lt;&gt;")*100),"")</f>
        <v/>
      </c>
      <c r="E229" s="42">
        <f>IFERROR(IF(A229="","",COUNTIFS(_Calc!$B$3:$B$20002,"&lt;70",_Calc!$C$3:$C$20002,A229)/COUNTIFS(_Calc!$C$3:$C$20002,A229,_Calc!$B$3:$B$20002,"&lt;&gt;")*100),"")</f>
        <v/>
      </c>
      <c r="F229" s="42">
        <f>IFERROR(IF(A229="","",COUNTIFS(_Calc!$B$3:$B$20002,"&gt;180",_Calc!$C$3:$C$20002,A229)/COUNTIFS(_Calc!$C$3:$C$20002,A229,_Calc!$B$3:$B$20002,"&lt;&gt;")*100),"")</f>
        <v/>
      </c>
      <c r="G229" s="43">
        <f>IFERROR(IF(A229="","",IF(D229&gt;=70,"✓ Good",IF(E229&gt;4,"Low glucose","High glucose"))),"")</f>
        <v/>
      </c>
    </row>
    <row r="230">
      <c r="B230" s="40">
        <f>IFERROR(IF(A230="","",COUNTIFS(_Calc!$C$3:$C$20002,A230,_Calc!$B$3:$B$20002,"&lt;&gt;")),"")</f>
        <v/>
      </c>
      <c r="C230" s="41">
        <f>IFERROR(IF(A230="","",AVERAGEIFS(_Calc!$B$3:$B$20002,_Calc!$C$3:$C$20002,A230)),"")</f>
        <v/>
      </c>
      <c r="D230" s="42">
        <f>IFERROR(IF(A230="","",COUNTIFS(_Calc!$B$3:$B$20002,"&gt;="&amp;70,_Calc!$B$3:$B$20002,"&lt;="&amp;180,_Calc!$C$3:$C$20002,A230)/COUNTIFS(_Calc!$C$3:$C$20002,A230,_Calc!$B$3:$B$20002,"&lt;&gt;")*100),"")</f>
        <v/>
      </c>
      <c r="E230" s="42">
        <f>IFERROR(IF(A230="","",COUNTIFS(_Calc!$B$3:$B$20002,"&lt;70",_Calc!$C$3:$C$20002,A230)/COUNTIFS(_Calc!$C$3:$C$20002,A230,_Calc!$B$3:$B$20002,"&lt;&gt;")*100),"")</f>
        <v/>
      </c>
      <c r="F230" s="42">
        <f>IFERROR(IF(A230="","",COUNTIFS(_Calc!$B$3:$B$20002,"&gt;180",_Calc!$C$3:$C$20002,A230)/COUNTIFS(_Calc!$C$3:$C$20002,A230,_Calc!$B$3:$B$20002,"&lt;&gt;")*100),"")</f>
        <v/>
      </c>
      <c r="G230" s="43">
        <f>IFERROR(IF(A230="","",IF(D230&gt;=70,"✓ Good",IF(E230&gt;4,"Low glucose","High glucose"))),"")</f>
        <v/>
      </c>
    </row>
    <row r="231">
      <c r="B231" s="40">
        <f>IFERROR(IF(A231="","",COUNTIFS(_Calc!$C$3:$C$20002,A231,_Calc!$B$3:$B$20002,"&lt;&gt;")),"")</f>
        <v/>
      </c>
      <c r="C231" s="41">
        <f>IFERROR(IF(A231="","",AVERAGEIFS(_Calc!$B$3:$B$20002,_Calc!$C$3:$C$20002,A231)),"")</f>
        <v/>
      </c>
      <c r="D231" s="42">
        <f>IFERROR(IF(A231="","",COUNTIFS(_Calc!$B$3:$B$20002,"&gt;="&amp;70,_Calc!$B$3:$B$20002,"&lt;="&amp;180,_Calc!$C$3:$C$20002,A231)/COUNTIFS(_Calc!$C$3:$C$20002,A231,_Calc!$B$3:$B$20002,"&lt;&gt;")*100),"")</f>
        <v/>
      </c>
      <c r="E231" s="42">
        <f>IFERROR(IF(A231="","",COUNTIFS(_Calc!$B$3:$B$20002,"&lt;70",_Calc!$C$3:$C$20002,A231)/COUNTIFS(_Calc!$C$3:$C$20002,A231,_Calc!$B$3:$B$20002,"&lt;&gt;")*100),"")</f>
        <v/>
      </c>
      <c r="F231" s="42">
        <f>IFERROR(IF(A231="","",COUNTIFS(_Calc!$B$3:$B$20002,"&gt;180",_Calc!$C$3:$C$20002,A231)/COUNTIFS(_Calc!$C$3:$C$20002,A231,_Calc!$B$3:$B$20002,"&lt;&gt;")*100),"")</f>
        <v/>
      </c>
      <c r="G231" s="43">
        <f>IFERROR(IF(A231="","",IF(D231&gt;=70,"✓ Good",IF(E231&gt;4,"Low glucose","High glucose"))),"")</f>
        <v/>
      </c>
    </row>
    <row r="232">
      <c r="B232" s="40">
        <f>IFERROR(IF(A232="","",COUNTIFS(_Calc!$C$3:$C$20002,A232,_Calc!$B$3:$B$20002,"&lt;&gt;")),"")</f>
        <v/>
      </c>
      <c r="C232" s="41">
        <f>IFERROR(IF(A232="","",AVERAGEIFS(_Calc!$B$3:$B$20002,_Calc!$C$3:$C$20002,A232)),"")</f>
        <v/>
      </c>
      <c r="D232" s="42">
        <f>IFERROR(IF(A232="","",COUNTIFS(_Calc!$B$3:$B$20002,"&gt;="&amp;70,_Calc!$B$3:$B$20002,"&lt;="&amp;180,_Calc!$C$3:$C$20002,A232)/COUNTIFS(_Calc!$C$3:$C$20002,A232,_Calc!$B$3:$B$20002,"&lt;&gt;")*100),"")</f>
        <v/>
      </c>
      <c r="E232" s="42">
        <f>IFERROR(IF(A232="","",COUNTIFS(_Calc!$B$3:$B$20002,"&lt;70",_Calc!$C$3:$C$20002,A232)/COUNTIFS(_Calc!$C$3:$C$20002,A232,_Calc!$B$3:$B$20002,"&lt;&gt;")*100),"")</f>
        <v/>
      </c>
      <c r="F232" s="42">
        <f>IFERROR(IF(A232="","",COUNTIFS(_Calc!$B$3:$B$20002,"&gt;180",_Calc!$C$3:$C$20002,A232)/COUNTIFS(_Calc!$C$3:$C$20002,A232,_Calc!$B$3:$B$20002,"&lt;&gt;")*100),"")</f>
        <v/>
      </c>
      <c r="G232" s="43">
        <f>IFERROR(IF(A232="","",IF(D232&gt;=70,"✓ Good",IF(E232&gt;4,"Low glucose","High glucose"))),"")</f>
        <v/>
      </c>
    </row>
    <row r="233">
      <c r="B233" s="40">
        <f>IFERROR(IF(A233="","",COUNTIFS(_Calc!$C$3:$C$20002,A233,_Calc!$B$3:$B$20002,"&lt;&gt;")),"")</f>
        <v/>
      </c>
      <c r="C233" s="41">
        <f>IFERROR(IF(A233="","",AVERAGEIFS(_Calc!$B$3:$B$20002,_Calc!$C$3:$C$20002,A233)),"")</f>
        <v/>
      </c>
      <c r="D233" s="42">
        <f>IFERROR(IF(A233="","",COUNTIFS(_Calc!$B$3:$B$20002,"&gt;="&amp;70,_Calc!$B$3:$B$20002,"&lt;="&amp;180,_Calc!$C$3:$C$20002,A233)/COUNTIFS(_Calc!$C$3:$C$20002,A233,_Calc!$B$3:$B$20002,"&lt;&gt;")*100),"")</f>
        <v/>
      </c>
      <c r="E233" s="42">
        <f>IFERROR(IF(A233="","",COUNTIFS(_Calc!$B$3:$B$20002,"&lt;70",_Calc!$C$3:$C$20002,A233)/COUNTIFS(_Calc!$C$3:$C$20002,A233,_Calc!$B$3:$B$20002,"&lt;&gt;")*100),"")</f>
        <v/>
      </c>
      <c r="F233" s="42">
        <f>IFERROR(IF(A233="","",COUNTIFS(_Calc!$B$3:$B$20002,"&gt;180",_Calc!$C$3:$C$20002,A233)/COUNTIFS(_Calc!$C$3:$C$20002,A233,_Calc!$B$3:$B$20002,"&lt;&gt;")*100),"")</f>
        <v/>
      </c>
      <c r="G233" s="43">
        <f>IFERROR(IF(A233="","",IF(D233&gt;=70,"✓ Good",IF(E233&gt;4,"Low glucose","High glucose"))),"")</f>
        <v/>
      </c>
    </row>
    <row r="234">
      <c r="B234" s="40">
        <f>IFERROR(IF(A234="","",COUNTIFS(_Calc!$C$3:$C$20002,A234,_Calc!$B$3:$B$20002,"&lt;&gt;")),"")</f>
        <v/>
      </c>
      <c r="C234" s="41">
        <f>IFERROR(IF(A234="","",AVERAGEIFS(_Calc!$B$3:$B$20002,_Calc!$C$3:$C$20002,A234)),"")</f>
        <v/>
      </c>
      <c r="D234" s="42">
        <f>IFERROR(IF(A234="","",COUNTIFS(_Calc!$B$3:$B$20002,"&gt;="&amp;70,_Calc!$B$3:$B$20002,"&lt;="&amp;180,_Calc!$C$3:$C$20002,A234)/COUNTIFS(_Calc!$C$3:$C$20002,A234,_Calc!$B$3:$B$20002,"&lt;&gt;")*100),"")</f>
        <v/>
      </c>
      <c r="E234" s="42">
        <f>IFERROR(IF(A234="","",COUNTIFS(_Calc!$B$3:$B$20002,"&lt;70",_Calc!$C$3:$C$20002,A234)/COUNTIFS(_Calc!$C$3:$C$20002,A234,_Calc!$B$3:$B$20002,"&lt;&gt;")*100),"")</f>
        <v/>
      </c>
      <c r="F234" s="42">
        <f>IFERROR(IF(A234="","",COUNTIFS(_Calc!$B$3:$B$20002,"&gt;180",_Calc!$C$3:$C$20002,A234)/COUNTIFS(_Calc!$C$3:$C$20002,A234,_Calc!$B$3:$B$20002,"&lt;&gt;")*100),"")</f>
        <v/>
      </c>
      <c r="G234" s="43">
        <f>IFERROR(IF(A234="","",IF(D234&gt;=70,"✓ Good",IF(E234&gt;4,"Low glucose","High glucose"))),"")</f>
        <v/>
      </c>
    </row>
    <row r="235">
      <c r="B235" s="40">
        <f>IFERROR(IF(A235="","",COUNTIFS(_Calc!$C$3:$C$20002,A235,_Calc!$B$3:$B$20002,"&lt;&gt;")),"")</f>
        <v/>
      </c>
      <c r="C235" s="41">
        <f>IFERROR(IF(A235="","",AVERAGEIFS(_Calc!$B$3:$B$20002,_Calc!$C$3:$C$20002,A235)),"")</f>
        <v/>
      </c>
      <c r="D235" s="42">
        <f>IFERROR(IF(A235="","",COUNTIFS(_Calc!$B$3:$B$20002,"&gt;="&amp;70,_Calc!$B$3:$B$20002,"&lt;="&amp;180,_Calc!$C$3:$C$20002,A235)/COUNTIFS(_Calc!$C$3:$C$20002,A235,_Calc!$B$3:$B$20002,"&lt;&gt;")*100),"")</f>
        <v/>
      </c>
      <c r="E235" s="42">
        <f>IFERROR(IF(A235="","",COUNTIFS(_Calc!$B$3:$B$20002,"&lt;70",_Calc!$C$3:$C$20002,A235)/COUNTIFS(_Calc!$C$3:$C$20002,A235,_Calc!$B$3:$B$20002,"&lt;&gt;")*100),"")</f>
        <v/>
      </c>
      <c r="F235" s="42">
        <f>IFERROR(IF(A235="","",COUNTIFS(_Calc!$B$3:$B$20002,"&gt;180",_Calc!$C$3:$C$20002,A235)/COUNTIFS(_Calc!$C$3:$C$20002,A235,_Calc!$B$3:$B$20002,"&lt;&gt;")*100),"")</f>
        <v/>
      </c>
      <c r="G235" s="43">
        <f>IFERROR(IF(A235="","",IF(D235&gt;=70,"✓ Good",IF(E235&gt;4,"Low glucose","High glucose"))),"")</f>
        <v/>
      </c>
    </row>
    <row r="236">
      <c r="B236" s="40">
        <f>IFERROR(IF(A236="","",COUNTIFS(_Calc!$C$3:$C$20002,A236,_Calc!$B$3:$B$20002,"&lt;&gt;")),"")</f>
        <v/>
      </c>
      <c r="C236" s="41">
        <f>IFERROR(IF(A236="","",AVERAGEIFS(_Calc!$B$3:$B$20002,_Calc!$C$3:$C$20002,A236)),"")</f>
        <v/>
      </c>
      <c r="D236" s="42">
        <f>IFERROR(IF(A236="","",COUNTIFS(_Calc!$B$3:$B$20002,"&gt;="&amp;70,_Calc!$B$3:$B$20002,"&lt;="&amp;180,_Calc!$C$3:$C$20002,A236)/COUNTIFS(_Calc!$C$3:$C$20002,A236,_Calc!$B$3:$B$20002,"&lt;&gt;")*100),"")</f>
        <v/>
      </c>
      <c r="E236" s="42">
        <f>IFERROR(IF(A236="","",COUNTIFS(_Calc!$B$3:$B$20002,"&lt;70",_Calc!$C$3:$C$20002,A236)/COUNTIFS(_Calc!$C$3:$C$20002,A236,_Calc!$B$3:$B$20002,"&lt;&gt;")*100),"")</f>
        <v/>
      </c>
      <c r="F236" s="42">
        <f>IFERROR(IF(A236="","",COUNTIFS(_Calc!$B$3:$B$20002,"&gt;180",_Calc!$C$3:$C$20002,A236)/COUNTIFS(_Calc!$C$3:$C$20002,A236,_Calc!$B$3:$B$20002,"&lt;&gt;")*100),"")</f>
        <v/>
      </c>
      <c r="G236" s="43">
        <f>IFERROR(IF(A236="","",IF(D236&gt;=70,"✓ Good",IF(E236&gt;4,"Low glucose","High glucose"))),"")</f>
        <v/>
      </c>
    </row>
    <row r="237">
      <c r="B237" s="40">
        <f>IFERROR(IF(A237="","",COUNTIFS(_Calc!$C$3:$C$20002,A237,_Calc!$B$3:$B$20002,"&lt;&gt;")),"")</f>
        <v/>
      </c>
      <c r="C237" s="41">
        <f>IFERROR(IF(A237="","",AVERAGEIFS(_Calc!$B$3:$B$20002,_Calc!$C$3:$C$20002,A237)),"")</f>
        <v/>
      </c>
      <c r="D237" s="42">
        <f>IFERROR(IF(A237="","",COUNTIFS(_Calc!$B$3:$B$20002,"&gt;="&amp;70,_Calc!$B$3:$B$20002,"&lt;="&amp;180,_Calc!$C$3:$C$20002,A237)/COUNTIFS(_Calc!$C$3:$C$20002,A237,_Calc!$B$3:$B$20002,"&lt;&gt;")*100),"")</f>
        <v/>
      </c>
      <c r="E237" s="42">
        <f>IFERROR(IF(A237="","",COUNTIFS(_Calc!$B$3:$B$20002,"&lt;70",_Calc!$C$3:$C$20002,A237)/COUNTIFS(_Calc!$C$3:$C$20002,A237,_Calc!$B$3:$B$20002,"&lt;&gt;")*100),"")</f>
        <v/>
      </c>
      <c r="F237" s="42">
        <f>IFERROR(IF(A237="","",COUNTIFS(_Calc!$B$3:$B$20002,"&gt;180",_Calc!$C$3:$C$20002,A237)/COUNTIFS(_Calc!$C$3:$C$20002,A237,_Calc!$B$3:$B$20002,"&lt;&gt;")*100),"")</f>
        <v/>
      </c>
      <c r="G237" s="43">
        <f>IFERROR(IF(A237="","",IF(D237&gt;=70,"✓ Good",IF(E237&gt;4,"Low glucose","High glucose"))),"")</f>
        <v/>
      </c>
    </row>
    <row r="238">
      <c r="B238" s="40">
        <f>IFERROR(IF(A238="","",COUNTIFS(_Calc!$C$3:$C$20002,A238,_Calc!$B$3:$B$20002,"&lt;&gt;")),"")</f>
        <v/>
      </c>
      <c r="C238" s="41">
        <f>IFERROR(IF(A238="","",AVERAGEIFS(_Calc!$B$3:$B$20002,_Calc!$C$3:$C$20002,A238)),"")</f>
        <v/>
      </c>
      <c r="D238" s="42">
        <f>IFERROR(IF(A238="","",COUNTIFS(_Calc!$B$3:$B$20002,"&gt;="&amp;70,_Calc!$B$3:$B$20002,"&lt;="&amp;180,_Calc!$C$3:$C$20002,A238)/COUNTIFS(_Calc!$C$3:$C$20002,A238,_Calc!$B$3:$B$20002,"&lt;&gt;")*100),"")</f>
        <v/>
      </c>
      <c r="E238" s="42">
        <f>IFERROR(IF(A238="","",COUNTIFS(_Calc!$B$3:$B$20002,"&lt;70",_Calc!$C$3:$C$20002,A238)/COUNTIFS(_Calc!$C$3:$C$20002,A238,_Calc!$B$3:$B$20002,"&lt;&gt;")*100),"")</f>
        <v/>
      </c>
      <c r="F238" s="42">
        <f>IFERROR(IF(A238="","",COUNTIFS(_Calc!$B$3:$B$20002,"&gt;180",_Calc!$C$3:$C$20002,A238)/COUNTIFS(_Calc!$C$3:$C$20002,A238,_Calc!$B$3:$B$20002,"&lt;&gt;")*100),"")</f>
        <v/>
      </c>
      <c r="G238" s="43">
        <f>IFERROR(IF(A238="","",IF(D238&gt;=70,"✓ Good",IF(E238&gt;4,"Low glucose","High glucose"))),"")</f>
        <v/>
      </c>
    </row>
    <row r="239">
      <c r="B239" s="40">
        <f>IFERROR(IF(A239="","",COUNTIFS(_Calc!$C$3:$C$20002,A239,_Calc!$B$3:$B$20002,"&lt;&gt;")),"")</f>
        <v/>
      </c>
      <c r="C239" s="41">
        <f>IFERROR(IF(A239="","",AVERAGEIFS(_Calc!$B$3:$B$20002,_Calc!$C$3:$C$20002,A239)),"")</f>
        <v/>
      </c>
      <c r="D239" s="42">
        <f>IFERROR(IF(A239="","",COUNTIFS(_Calc!$B$3:$B$20002,"&gt;="&amp;70,_Calc!$B$3:$B$20002,"&lt;="&amp;180,_Calc!$C$3:$C$20002,A239)/COUNTIFS(_Calc!$C$3:$C$20002,A239,_Calc!$B$3:$B$20002,"&lt;&gt;")*100),"")</f>
        <v/>
      </c>
      <c r="E239" s="42">
        <f>IFERROR(IF(A239="","",COUNTIFS(_Calc!$B$3:$B$20002,"&lt;70",_Calc!$C$3:$C$20002,A239)/COUNTIFS(_Calc!$C$3:$C$20002,A239,_Calc!$B$3:$B$20002,"&lt;&gt;")*100),"")</f>
        <v/>
      </c>
      <c r="F239" s="42">
        <f>IFERROR(IF(A239="","",COUNTIFS(_Calc!$B$3:$B$20002,"&gt;180",_Calc!$C$3:$C$20002,A239)/COUNTIFS(_Calc!$C$3:$C$20002,A239,_Calc!$B$3:$B$20002,"&lt;&gt;")*100),"")</f>
        <v/>
      </c>
      <c r="G239" s="43">
        <f>IFERROR(IF(A239="","",IF(D239&gt;=70,"✓ Good",IF(E239&gt;4,"Low glucose","High glucose"))),"")</f>
        <v/>
      </c>
    </row>
    <row r="240">
      <c r="B240" s="40">
        <f>IFERROR(IF(A240="","",COUNTIFS(_Calc!$C$3:$C$20002,A240,_Calc!$B$3:$B$20002,"&lt;&gt;")),"")</f>
        <v/>
      </c>
      <c r="C240" s="41">
        <f>IFERROR(IF(A240="","",AVERAGEIFS(_Calc!$B$3:$B$20002,_Calc!$C$3:$C$20002,A240)),"")</f>
        <v/>
      </c>
      <c r="D240" s="42">
        <f>IFERROR(IF(A240="","",COUNTIFS(_Calc!$B$3:$B$20002,"&gt;="&amp;70,_Calc!$B$3:$B$20002,"&lt;="&amp;180,_Calc!$C$3:$C$20002,A240)/COUNTIFS(_Calc!$C$3:$C$20002,A240,_Calc!$B$3:$B$20002,"&lt;&gt;")*100),"")</f>
        <v/>
      </c>
      <c r="E240" s="42">
        <f>IFERROR(IF(A240="","",COUNTIFS(_Calc!$B$3:$B$20002,"&lt;70",_Calc!$C$3:$C$20002,A240)/COUNTIFS(_Calc!$C$3:$C$20002,A240,_Calc!$B$3:$B$20002,"&lt;&gt;")*100),"")</f>
        <v/>
      </c>
      <c r="F240" s="42">
        <f>IFERROR(IF(A240="","",COUNTIFS(_Calc!$B$3:$B$20002,"&gt;180",_Calc!$C$3:$C$20002,A240)/COUNTIFS(_Calc!$C$3:$C$20002,A240,_Calc!$B$3:$B$20002,"&lt;&gt;")*100),"")</f>
        <v/>
      </c>
      <c r="G240" s="43">
        <f>IFERROR(IF(A240="","",IF(D240&gt;=70,"✓ Good",IF(E240&gt;4,"Low glucose","High glucose"))),"")</f>
        <v/>
      </c>
    </row>
    <row r="241">
      <c r="B241" s="40">
        <f>IFERROR(IF(A241="","",COUNTIFS(_Calc!$C$3:$C$20002,A241,_Calc!$B$3:$B$20002,"&lt;&gt;")),"")</f>
        <v/>
      </c>
      <c r="C241" s="41">
        <f>IFERROR(IF(A241="","",AVERAGEIFS(_Calc!$B$3:$B$20002,_Calc!$C$3:$C$20002,A241)),"")</f>
        <v/>
      </c>
      <c r="D241" s="42">
        <f>IFERROR(IF(A241="","",COUNTIFS(_Calc!$B$3:$B$20002,"&gt;="&amp;70,_Calc!$B$3:$B$20002,"&lt;="&amp;180,_Calc!$C$3:$C$20002,A241)/COUNTIFS(_Calc!$C$3:$C$20002,A241,_Calc!$B$3:$B$20002,"&lt;&gt;")*100),"")</f>
        <v/>
      </c>
      <c r="E241" s="42">
        <f>IFERROR(IF(A241="","",COUNTIFS(_Calc!$B$3:$B$20002,"&lt;70",_Calc!$C$3:$C$20002,A241)/COUNTIFS(_Calc!$C$3:$C$20002,A241,_Calc!$B$3:$B$20002,"&lt;&gt;")*100),"")</f>
        <v/>
      </c>
      <c r="F241" s="42">
        <f>IFERROR(IF(A241="","",COUNTIFS(_Calc!$B$3:$B$20002,"&gt;180",_Calc!$C$3:$C$20002,A241)/COUNTIFS(_Calc!$C$3:$C$20002,A241,_Calc!$B$3:$B$20002,"&lt;&gt;")*100),"")</f>
        <v/>
      </c>
      <c r="G241" s="43">
        <f>IFERROR(IF(A241="","",IF(D241&gt;=70,"✓ Good",IF(E241&gt;4,"Low glucose","High glucose"))),"")</f>
        <v/>
      </c>
    </row>
    <row r="242">
      <c r="B242" s="40">
        <f>IFERROR(IF(A242="","",COUNTIFS(_Calc!$C$3:$C$20002,A242,_Calc!$B$3:$B$20002,"&lt;&gt;")),"")</f>
        <v/>
      </c>
      <c r="C242" s="41">
        <f>IFERROR(IF(A242="","",AVERAGEIFS(_Calc!$B$3:$B$20002,_Calc!$C$3:$C$20002,A242)),"")</f>
        <v/>
      </c>
      <c r="D242" s="42">
        <f>IFERROR(IF(A242="","",COUNTIFS(_Calc!$B$3:$B$20002,"&gt;="&amp;70,_Calc!$B$3:$B$20002,"&lt;="&amp;180,_Calc!$C$3:$C$20002,A242)/COUNTIFS(_Calc!$C$3:$C$20002,A242,_Calc!$B$3:$B$20002,"&lt;&gt;")*100),"")</f>
        <v/>
      </c>
      <c r="E242" s="42">
        <f>IFERROR(IF(A242="","",COUNTIFS(_Calc!$B$3:$B$20002,"&lt;70",_Calc!$C$3:$C$20002,A242)/COUNTIFS(_Calc!$C$3:$C$20002,A242,_Calc!$B$3:$B$20002,"&lt;&gt;")*100),"")</f>
        <v/>
      </c>
      <c r="F242" s="42">
        <f>IFERROR(IF(A242="","",COUNTIFS(_Calc!$B$3:$B$20002,"&gt;180",_Calc!$C$3:$C$20002,A242)/COUNTIFS(_Calc!$C$3:$C$20002,A242,_Calc!$B$3:$B$20002,"&lt;&gt;")*100),"")</f>
        <v/>
      </c>
      <c r="G242" s="43">
        <f>IFERROR(IF(A242="","",IF(D242&gt;=70,"✓ Good",IF(E242&gt;4,"Low glucose","High glucose"))),"")</f>
        <v/>
      </c>
    </row>
    <row r="243">
      <c r="B243" s="40">
        <f>IFERROR(IF(A243="","",COUNTIFS(_Calc!$C$3:$C$20002,A243,_Calc!$B$3:$B$20002,"&lt;&gt;")),"")</f>
        <v/>
      </c>
      <c r="C243" s="41">
        <f>IFERROR(IF(A243="","",AVERAGEIFS(_Calc!$B$3:$B$20002,_Calc!$C$3:$C$20002,A243)),"")</f>
        <v/>
      </c>
      <c r="D243" s="42">
        <f>IFERROR(IF(A243="","",COUNTIFS(_Calc!$B$3:$B$20002,"&gt;="&amp;70,_Calc!$B$3:$B$20002,"&lt;="&amp;180,_Calc!$C$3:$C$20002,A243)/COUNTIFS(_Calc!$C$3:$C$20002,A243,_Calc!$B$3:$B$20002,"&lt;&gt;")*100),"")</f>
        <v/>
      </c>
      <c r="E243" s="42">
        <f>IFERROR(IF(A243="","",COUNTIFS(_Calc!$B$3:$B$20002,"&lt;70",_Calc!$C$3:$C$20002,A243)/COUNTIFS(_Calc!$C$3:$C$20002,A243,_Calc!$B$3:$B$20002,"&lt;&gt;")*100),"")</f>
        <v/>
      </c>
      <c r="F243" s="42">
        <f>IFERROR(IF(A243="","",COUNTIFS(_Calc!$B$3:$B$20002,"&gt;180",_Calc!$C$3:$C$20002,A243)/COUNTIFS(_Calc!$C$3:$C$20002,A243,_Calc!$B$3:$B$20002,"&lt;&gt;")*100),"")</f>
        <v/>
      </c>
      <c r="G243" s="43">
        <f>IFERROR(IF(A243="","",IF(D243&gt;=70,"✓ Good",IF(E243&gt;4,"Low glucose","High glucose"))),"")</f>
        <v/>
      </c>
    </row>
    <row r="244">
      <c r="B244" s="40">
        <f>IFERROR(IF(A244="","",COUNTIFS(_Calc!$C$3:$C$20002,A244,_Calc!$B$3:$B$20002,"&lt;&gt;")),"")</f>
        <v/>
      </c>
      <c r="C244" s="41">
        <f>IFERROR(IF(A244="","",AVERAGEIFS(_Calc!$B$3:$B$20002,_Calc!$C$3:$C$20002,A244)),"")</f>
        <v/>
      </c>
      <c r="D244" s="42">
        <f>IFERROR(IF(A244="","",COUNTIFS(_Calc!$B$3:$B$20002,"&gt;="&amp;70,_Calc!$B$3:$B$20002,"&lt;="&amp;180,_Calc!$C$3:$C$20002,A244)/COUNTIFS(_Calc!$C$3:$C$20002,A244,_Calc!$B$3:$B$20002,"&lt;&gt;")*100),"")</f>
        <v/>
      </c>
      <c r="E244" s="42">
        <f>IFERROR(IF(A244="","",COUNTIFS(_Calc!$B$3:$B$20002,"&lt;70",_Calc!$C$3:$C$20002,A244)/COUNTIFS(_Calc!$C$3:$C$20002,A244,_Calc!$B$3:$B$20002,"&lt;&gt;")*100),"")</f>
        <v/>
      </c>
      <c r="F244" s="42">
        <f>IFERROR(IF(A244="","",COUNTIFS(_Calc!$B$3:$B$20002,"&gt;180",_Calc!$C$3:$C$20002,A244)/COUNTIFS(_Calc!$C$3:$C$20002,A244,_Calc!$B$3:$B$20002,"&lt;&gt;")*100),"")</f>
        <v/>
      </c>
      <c r="G244" s="43">
        <f>IFERROR(IF(A244="","",IF(D244&gt;=70,"✓ Good",IF(E244&gt;4,"Low glucose","High glucose"))),"")</f>
        <v/>
      </c>
    </row>
    <row r="245">
      <c r="B245" s="40">
        <f>IFERROR(IF(A245="","",COUNTIFS(_Calc!$C$3:$C$20002,A245,_Calc!$B$3:$B$20002,"&lt;&gt;")),"")</f>
        <v/>
      </c>
      <c r="C245" s="41">
        <f>IFERROR(IF(A245="","",AVERAGEIFS(_Calc!$B$3:$B$20002,_Calc!$C$3:$C$20002,A245)),"")</f>
        <v/>
      </c>
      <c r="D245" s="42">
        <f>IFERROR(IF(A245="","",COUNTIFS(_Calc!$B$3:$B$20002,"&gt;="&amp;70,_Calc!$B$3:$B$20002,"&lt;="&amp;180,_Calc!$C$3:$C$20002,A245)/COUNTIFS(_Calc!$C$3:$C$20002,A245,_Calc!$B$3:$B$20002,"&lt;&gt;")*100),"")</f>
        <v/>
      </c>
      <c r="E245" s="42">
        <f>IFERROR(IF(A245="","",COUNTIFS(_Calc!$B$3:$B$20002,"&lt;70",_Calc!$C$3:$C$20002,A245)/COUNTIFS(_Calc!$C$3:$C$20002,A245,_Calc!$B$3:$B$20002,"&lt;&gt;")*100),"")</f>
        <v/>
      </c>
      <c r="F245" s="42">
        <f>IFERROR(IF(A245="","",COUNTIFS(_Calc!$B$3:$B$20002,"&gt;180",_Calc!$C$3:$C$20002,A245)/COUNTIFS(_Calc!$C$3:$C$20002,A245,_Calc!$B$3:$B$20002,"&lt;&gt;")*100),"")</f>
        <v/>
      </c>
      <c r="G245" s="43">
        <f>IFERROR(IF(A245="","",IF(D245&gt;=70,"✓ Good",IF(E245&gt;4,"Low glucose","High glucose"))),"")</f>
        <v/>
      </c>
    </row>
    <row r="246">
      <c r="B246" s="40">
        <f>IFERROR(IF(A246="","",COUNTIFS(_Calc!$C$3:$C$20002,A246,_Calc!$B$3:$B$20002,"&lt;&gt;")),"")</f>
        <v/>
      </c>
      <c r="C246" s="41">
        <f>IFERROR(IF(A246="","",AVERAGEIFS(_Calc!$B$3:$B$20002,_Calc!$C$3:$C$20002,A246)),"")</f>
        <v/>
      </c>
      <c r="D246" s="42">
        <f>IFERROR(IF(A246="","",COUNTIFS(_Calc!$B$3:$B$20002,"&gt;="&amp;70,_Calc!$B$3:$B$20002,"&lt;="&amp;180,_Calc!$C$3:$C$20002,A246)/COUNTIFS(_Calc!$C$3:$C$20002,A246,_Calc!$B$3:$B$20002,"&lt;&gt;")*100),"")</f>
        <v/>
      </c>
      <c r="E246" s="42">
        <f>IFERROR(IF(A246="","",COUNTIFS(_Calc!$B$3:$B$20002,"&lt;70",_Calc!$C$3:$C$20002,A246)/COUNTIFS(_Calc!$C$3:$C$20002,A246,_Calc!$B$3:$B$20002,"&lt;&gt;")*100),"")</f>
        <v/>
      </c>
      <c r="F246" s="42">
        <f>IFERROR(IF(A246="","",COUNTIFS(_Calc!$B$3:$B$20002,"&gt;180",_Calc!$C$3:$C$20002,A246)/COUNTIFS(_Calc!$C$3:$C$20002,A246,_Calc!$B$3:$B$20002,"&lt;&gt;")*100),"")</f>
        <v/>
      </c>
      <c r="G246" s="43">
        <f>IFERROR(IF(A246="","",IF(D246&gt;=70,"✓ Good",IF(E246&gt;4,"Low glucose","High glucose"))),"")</f>
        <v/>
      </c>
    </row>
    <row r="247">
      <c r="B247" s="40">
        <f>IFERROR(IF(A247="","",COUNTIFS(_Calc!$C$3:$C$20002,A247,_Calc!$B$3:$B$20002,"&lt;&gt;")),"")</f>
        <v/>
      </c>
      <c r="C247" s="41">
        <f>IFERROR(IF(A247="","",AVERAGEIFS(_Calc!$B$3:$B$20002,_Calc!$C$3:$C$20002,A247)),"")</f>
        <v/>
      </c>
      <c r="D247" s="42">
        <f>IFERROR(IF(A247="","",COUNTIFS(_Calc!$B$3:$B$20002,"&gt;="&amp;70,_Calc!$B$3:$B$20002,"&lt;="&amp;180,_Calc!$C$3:$C$20002,A247)/COUNTIFS(_Calc!$C$3:$C$20002,A247,_Calc!$B$3:$B$20002,"&lt;&gt;")*100),"")</f>
        <v/>
      </c>
      <c r="E247" s="42">
        <f>IFERROR(IF(A247="","",COUNTIFS(_Calc!$B$3:$B$20002,"&lt;70",_Calc!$C$3:$C$20002,A247)/COUNTIFS(_Calc!$C$3:$C$20002,A247,_Calc!$B$3:$B$20002,"&lt;&gt;")*100),"")</f>
        <v/>
      </c>
      <c r="F247" s="42">
        <f>IFERROR(IF(A247="","",COUNTIFS(_Calc!$B$3:$B$20002,"&gt;180",_Calc!$C$3:$C$20002,A247)/COUNTIFS(_Calc!$C$3:$C$20002,A247,_Calc!$B$3:$B$20002,"&lt;&gt;")*100),"")</f>
        <v/>
      </c>
      <c r="G247" s="43">
        <f>IFERROR(IF(A247="","",IF(D247&gt;=70,"✓ Good",IF(E247&gt;4,"Low glucose","High glucose"))),"")</f>
        <v/>
      </c>
    </row>
    <row r="248">
      <c r="B248" s="40">
        <f>IFERROR(IF(A248="","",COUNTIFS(_Calc!$C$3:$C$20002,A248,_Calc!$B$3:$B$20002,"&lt;&gt;")),"")</f>
        <v/>
      </c>
      <c r="C248" s="41">
        <f>IFERROR(IF(A248="","",AVERAGEIFS(_Calc!$B$3:$B$20002,_Calc!$C$3:$C$20002,A248)),"")</f>
        <v/>
      </c>
      <c r="D248" s="42">
        <f>IFERROR(IF(A248="","",COUNTIFS(_Calc!$B$3:$B$20002,"&gt;="&amp;70,_Calc!$B$3:$B$20002,"&lt;="&amp;180,_Calc!$C$3:$C$20002,A248)/COUNTIFS(_Calc!$C$3:$C$20002,A248,_Calc!$B$3:$B$20002,"&lt;&gt;")*100),"")</f>
        <v/>
      </c>
      <c r="E248" s="42">
        <f>IFERROR(IF(A248="","",COUNTIFS(_Calc!$B$3:$B$20002,"&lt;70",_Calc!$C$3:$C$20002,A248)/COUNTIFS(_Calc!$C$3:$C$20002,A248,_Calc!$B$3:$B$20002,"&lt;&gt;")*100),"")</f>
        <v/>
      </c>
      <c r="F248" s="42">
        <f>IFERROR(IF(A248="","",COUNTIFS(_Calc!$B$3:$B$20002,"&gt;180",_Calc!$C$3:$C$20002,A248)/COUNTIFS(_Calc!$C$3:$C$20002,A248,_Calc!$B$3:$B$20002,"&lt;&gt;")*100),"")</f>
        <v/>
      </c>
      <c r="G248" s="43">
        <f>IFERROR(IF(A248="","",IF(D248&gt;=70,"✓ Good",IF(E248&gt;4,"Low glucose","High glucose"))),"")</f>
        <v/>
      </c>
    </row>
    <row r="249">
      <c r="B249" s="40">
        <f>IFERROR(IF(A249="","",COUNTIFS(_Calc!$C$3:$C$20002,A249,_Calc!$B$3:$B$20002,"&lt;&gt;")),"")</f>
        <v/>
      </c>
      <c r="C249" s="41">
        <f>IFERROR(IF(A249="","",AVERAGEIFS(_Calc!$B$3:$B$20002,_Calc!$C$3:$C$20002,A249)),"")</f>
        <v/>
      </c>
      <c r="D249" s="42">
        <f>IFERROR(IF(A249="","",COUNTIFS(_Calc!$B$3:$B$20002,"&gt;="&amp;70,_Calc!$B$3:$B$20002,"&lt;="&amp;180,_Calc!$C$3:$C$20002,A249)/COUNTIFS(_Calc!$C$3:$C$20002,A249,_Calc!$B$3:$B$20002,"&lt;&gt;")*100),"")</f>
        <v/>
      </c>
      <c r="E249" s="42">
        <f>IFERROR(IF(A249="","",COUNTIFS(_Calc!$B$3:$B$20002,"&lt;70",_Calc!$C$3:$C$20002,A249)/COUNTIFS(_Calc!$C$3:$C$20002,A249,_Calc!$B$3:$B$20002,"&lt;&gt;")*100),"")</f>
        <v/>
      </c>
      <c r="F249" s="42">
        <f>IFERROR(IF(A249="","",COUNTIFS(_Calc!$B$3:$B$20002,"&gt;180",_Calc!$C$3:$C$20002,A249)/COUNTIFS(_Calc!$C$3:$C$20002,A249,_Calc!$B$3:$B$20002,"&lt;&gt;")*100),"")</f>
        <v/>
      </c>
      <c r="G249" s="43">
        <f>IFERROR(IF(A249="","",IF(D249&gt;=70,"✓ Good",IF(E249&gt;4,"Low glucose","High glucose"))),"")</f>
        <v/>
      </c>
    </row>
    <row r="250">
      <c r="B250" s="40">
        <f>IFERROR(IF(A250="","",COUNTIFS(_Calc!$C$3:$C$20002,A250,_Calc!$B$3:$B$20002,"&lt;&gt;")),"")</f>
        <v/>
      </c>
      <c r="C250" s="41">
        <f>IFERROR(IF(A250="","",AVERAGEIFS(_Calc!$B$3:$B$20002,_Calc!$C$3:$C$20002,A250)),"")</f>
        <v/>
      </c>
      <c r="D250" s="42">
        <f>IFERROR(IF(A250="","",COUNTIFS(_Calc!$B$3:$B$20002,"&gt;="&amp;70,_Calc!$B$3:$B$20002,"&lt;="&amp;180,_Calc!$C$3:$C$20002,A250)/COUNTIFS(_Calc!$C$3:$C$20002,A250,_Calc!$B$3:$B$20002,"&lt;&gt;")*100),"")</f>
        <v/>
      </c>
      <c r="E250" s="42">
        <f>IFERROR(IF(A250="","",COUNTIFS(_Calc!$B$3:$B$20002,"&lt;70",_Calc!$C$3:$C$20002,A250)/COUNTIFS(_Calc!$C$3:$C$20002,A250,_Calc!$B$3:$B$20002,"&lt;&gt;")*100),"")</f>
        <v/>
      </c>
      <c r="F250" s="42">
        <f>IFERROR(IF(A250="","",COUNTIFS(_Calc!$B$3:$B$20002,"&gt;180",_Calc!$C$3:$C$20002,A250)/COUNTIFS(_Calc!$C$3:$C$20002,A250,_Calc!$B$3:$B$20002,"&lt;&gt;")*100),"")</f>
        <v/>
      </c>
      <c r="G250" s="43">
        <f>IFERROR(IF(A250="","",IF(D250&gt;=70,"✓ Good",IF(E250&gt;4,"Low glucose","High glucose"))),"")</f>
        <v/>
      </c>
    </row>
    <row r="251">
      <c r="B251" s="40">
        <f>IFERROR(IF(A251="","",COUNTIFS(_Calc!$C$3:$C$20002,A251,_Calc!$B$3:$B$20002,"&lt;&gt;")),"")</f>
        <v/>
      </c>
      <c r="C251" s="41">
        <f>IFERROR(IF(A251="","",AVERAGEIFS(_Calc!$B$3:$B$20002,_Calc!$C$3:$C$20002,A251)),"")</f>
        <v/>
      </c>
      <c r="D251" s="42">
        <f>IFERROR(IF(A251="","",COUNTIFS(_Calc!$B$3:$B$20002,"&gt;="&amp;70,_Calc!$B$3:$B$20002,"&lt;="&amp;180,_Calc!$C$3:$C$20002,A251)/COUNTIFS(_Calc!$C$3:$C$20002,A251,_Calc!$B$3:$B$20002,"&lt;&gt;")*100),"")</f>
        <v/>
      </c>
      <c r="E251" s="42">
        <f>IFERROR(IF(A251="","",COUNTIFS(_Calc!$B$3:$B$20002,"&lt;70",_Calc!$C$3:$C$20002,A251)/COUNTIFS(_Calc!$C$3:$C$20002,A251,_Calc!$B$3:$B$20002,"&lt;&gt;")*100),"")</f>
        <v/>
      </c>
      <c r="F251" s="42">
        <f>IFERROR(IF(A251="","",COUNTIFS(_Calc!$B$3:$B$20002,"&gt;180",_Calc!$C$3:$C$20002,A251)/COUNTIFS(_Calc!$C$3:$C$20002,A251,_Calc!$B$3:$B$20002,"&lt;&gt;")*100),"")</f>
        <v/>
      </c>
      <c r="G251" s="43">
        <f>IFERROR(IF(A251="","",IF(D251&gt;=70,"✓ Good",IF(E251&gt;4,"Low glucose","High glucose"))),"")</f>
        <v/>
      </c>
    </row>
    <row r="252">
      <c r="B252" s="40">
        <f>IFERROR(IF(A252="","",COUNTIFS(_Calc!$C$3:$C$20002,A252,_Calc!$B$3:$B$20002,"&lt;&gt;")),"")</f>
        <v/>
      </c>
      <c r="C252" s="41">
        <f>IFERROR(IF(A252="","",AVERAGEIFS(_Calc!$B$3:$B$20002,_Calc!$C$3:$C$20002,A252)),"")</f>
        <v/>
      </c>
      <c r="D252" s="42">
        <f>IFERROR(IF(A252="","",COUNTIFS(_Calc!$B$3:$B$20002,"&gt;="&amp;70,_Calc!$B$3:$B$20002,"&lt;="&amp;180,_Calc!$C$3:$C$20002,A252)/COUNTIFS(_Calc!$C$3:$C$20002,A252,_Calc!$B$3:$B$20002,"&lt;&gt;")*100),"")</f>
        <v/>
      </c>
      <c r="E252" s="42">
        <f>IFERROR(IF(A252="","",COUNTIFS(_Calc!$B$3:$B$20002,"&lt;70",_Calc!$C$3:$C$20002,A252)/COUNTIFS(_Calc!$C$3:$C$20002,A252,_Calc!$B$3:$B$20002,"&lt;&gt;")*100),"")</f>
        <v/>
      </c>
      <c r="F252" s="42">
        <f>IFERROR(IF(A252="","",COUNTIFS(_Calc!$B$3:$B$20002,"&gt;180",_Calc!$C$3:$C$20002,A252)/COUNTIFS(_Calc!$C$3:$C$20002,A252,_Calc!$B$3:$B$20002,"&lt;&gt;")*100),"")</f>
        <v/>
      </c>
      <c r="G252" s="43">
        <f>IFERROR(IF(A252="","",IF(D252&gt;=70,"✓ Good",IF(E252&gt;4,"Low glucose","High glucose"))),"")</f>
        <v/>
      </c>
    </row>
    <row r="253">
      <c r="B253" s="40">
        <f>IFERROR(IF(A253="","",COUNTIFS(_Calc!$C$3:$C$20002,A253,_Calc!$B$3:$B$20002,"&lt;&gt;")),"")</f>
        <v/>
      </c>
      <c r="C253" s="41">
        <f>IFERROR(IF(A253="","",AVERAGEIFS(_Calc!$B$3:$B$20002,_Calc!$C$3:$C$20002,A253)),"")</f>
        <v/>
      </c>
      <c r="D253" s="42">
        <f>IFERROR(IF(A253="","",COUNTIFS(_Calc!$B$3:$B$20002,"&gt;="&amp;70,_Calc!$B$3:$B$20002,"&lt;="&amp;180,_Calc!$C$3:$C$20002,A253)/COUNTIFS(_Calc!$C$3:$C$20002,A253,_Calc!$B$3:$B$20002,"&lt;&gt;")*100),"")</f>
        <v/>
      </c>
      <c r="E253" s="42">
        <f>IFERROR(IF(A253="","",COUNTIFS(_Calc!$B$3:$B$20002,"&lt;70",_Calc!$C$3:$C$20002,A253)/COUNTIFS(_Calc!$C$3:$C$20002,A253,_Calc!$B$3:$B$20002,"&lt;&gt;")*100),"")</f>
        <v/>
      </c>
      <c r="F253" s="42">
        <f>IFERROR(IF(A253="","",COUNTIFS(_Calc!$B$3:$B$20002,"&gt;180",_Calc!$C$3:$C$20002,A253)/COUNTIFS(_Calc!$C$3:$C$20002,A253,_Calc!$B$3:$B$20002,"&lt;&gt;")*100),"")</f>
        <v/>
      </c>
      <c r="G253" s="43">
        <f>IFERROR(IF(A253="","",IF(D253&gt;=70,"✓ Good",IF(E253&gt;4,"Low glucose","High glucose"))),"")</f>
        <v/>
      </c>
    </row>
    <row r="254">
      <c r="B254" s="40">
        <f>IFERROR(IF(A254="","",COUNTIFS(_Calc!$C$3:$C$20002,A254,_Calc!$B$3:$B$20002,"&lt;&gt;")),"")</f>
        <v/>
      </c>
      <c r="C254" s="41">
        <f>IFERROR(IF(A254="","",AVERAGEIFS(_Calc!$B$3:$B$20002,_Calc!$C$3:$C$20002,A254)),"")</f>
        <v/>
      </c>
      <c r="D254" s="42">
        <f>IFERROR(IF(A254="","",COUNTIFS(_Calc!$B$3:$B$20002,"&gt;="&amp;70,_Calc!$B$3:$B$20002,"&lt;="&amp;180,_Calc!$C$3:$C$20002,A254)/COUNTIFS(_Calc!$C$3:$C$20002,A254,_Calc!$B$3:$B$20002,"&lt;&gt;")*100),"")</f>
        <v/>
      </c>
      <c r="E254" s="42">
        <f>IFERROR(IF(A254="","",COUNTIFS(_Calc!$B$3:$B$20002,"&lt;70",_Calc!$C$3:$C$20002,A254)/COUNTIFS(_Calc!$C$3:$C$20002,A254,_Calc!$B$3:$B$20002,"&lt;&gt;")*100),"")</f>
        <v/>
      </c>
      <c r="F254" s="42">
        <f>IFERROR(IF(A254="","",COUNTIFS(_Calc!$B$3:$B$20002,"&gt;180",_Calc!$C$3:$C$20002,A254)/COUNTIFS(_Calc!$C$3:$C$20002,A254,_Calc!$B$3:$B$20002,"&lt;&gt;")*100),"")</f>
        <v/>
      </c>
      <c r="G254" s="43">
        <f>IFERROR(IF(A254="","",IF(D254&gt;=70,"✓ Good",IF(E254&gt;4,"Low glucose","High glucose"))),"")</f>
        <v/>
      </c>
    </row>
    <row r="255">
      <c r="B255" s="40">
        <f>IFERROR(IF(A255="","",COUNTIFS(_Calc!$C$3:$C$20002,A255,_Calc!$B$3:$B$20002,"&lt;&gt;")),"")</f>
        <v/>
      </c>
      <c r="C255" s="41">
        <f>IFERROR(IF(A255="","",AVERAGEIFS(_Calc!$B$3:$B$20002,_Calc!$C$3:$C$20002,A255)),"")</f>
        <v/>
      </c>
      <c r="D255" s="42">
        <f>IFERROR(IF(A255="","",COUNTIFS(_Calc!$B$3:$B$20002,"&gt;="&amp;70,_Calc!$B$3:$B$20002,"&lt;="&amp;180,_Calc!$C$3:$C$20002,A255)/COUNTIFS(_Calc!$C$3:$C$20002,A255,_Calc!$B$3:$B$20002,"&lt;&gt;")*100),"")</f>
        <v/>
      </c>
      <c r="E255" s="42">
        <f>IFERROR(IF(A255="","",COUNTIFS(_Calc!$B$3:$B$20002,"&lt;70",_Calc!$C$3:$C$20002,A255)/COUNTIFS(_Calc!$C$3:$C$20002,A255,_Calc!$B$3:$B$20002,"&lt;&gt;")*100),"")</f>
        <v/>
      </c>
      <c r="F255" s="42">
        <f>IFERROR(IF(A255="","",COUNTIFS(_Calc!$B$3:$B$20002,"&gt;180",_Calc!$C$3:$C$20002,A255)/COUNTIFS(_Calc!$C$3:$C$20002,A255,_Calc!$B$3:$B$20002,"&lt;&gt;")*100),"")</f>
        <v/>
      </c>
      <c r="G255" s="43">
        <f>IFERROR(IF(A255="","",IF(D255&gt;=70,"✓ Good",IF(E255&gt;4,"Low glucose","High glucose"))),"")</f>
        <v/>
      </c>
    </row>
    <row r="256">
      <c r="B256" s="40">
        <f>IFERROR(IF(A256="","",COUNTIFS(_Calc!$C$3:$C$20002,A256,_Calc!$B$3:$B$20002,"&lt;&gt;")),"")</f>
        <v/>
      </c>
      <c r="C256" s="41">
        <f>IFERROR(IF(A256="","",AVERAGEIFS(_Calc!$B$3:$B$20002,_Calc!$C$3:$C$20002,A256)),"")</f>
        <v/>
      </c>
      <c r="D256" s="42">
        <f>IFERROR(IF(A256="","",COUNTIFS(_Calc!$B$3:$B$20002,"&gt;="&amp;70,_Calc!$B$3:$B$20002,"&lt;="&amp;180,_Calc!$C$3:$C$20002,A256)/COUNTIFS(_Calc!$C$3:$C$20002,A256,_Calc!$B$3:$B$20002,"&lt;&gt;")*100),"")</f>
        <v/>
      </c>
      <c r="E256" s="42">
        <f>IFERROR(IF(A256="","",COUNTIFS(_Calc!$B$3:$B$20002,"&lt;70",_Calc!$C$3:$C$20002,A256)/COUNTIFS(_Calc!$C$3:$C$20002,A256,_Calc!$B$3:$B$20002,"&lt;&gt;")*100),"")</f>
        <v/>
      </c>
      <c r="F256" s="42">
        <f>IFERROR(IF(A256="","",COUNTIFS(_Calc!$B$3:$B$20002,"&gt;180",_Calc!$C$3:$C$20002,A256)/COUNTIFS(_Calc!$C$3:$C$20002,A256,_Calc!$B$3:$B$20002,"&lt;&gt;")*100),"")</f>
        <v/>
      </c>
      <c r="G256" s="43">
        <f>IFERROR(IF(A256="","",IF(D256&gt;=70,"✓ Good",IF(E256&gt;4,"Low glucose","High glucose"))),"")</f>
        <v/>
      </c>
    </row>
    <row r="257">
      <c r="B257" s="40">
        <f>IFERROR(IF(A257="","",COUNTIFS(_Calc!$C$3:$C$20002,A257,_Calc!$B$3:$B$20002,"&lt;&gt;")),"")</f>
        <v/>
      </c>
      <c r="C257" s="41">
        <f>IFERROR(IF(A257="","",AVERAGEIFS(_Calc!$B$3:$B$20002,_Calc!$C$3:$C$20002,A257)),"")</f>
        <v/>
      </c>
      <c r="D257" s="42">
        <f>IFERROR(IF(A257="","",COUNTIFS(_Calc!$B$3:$B$20002,"&gt;="&amp;70,_Calc!$B$3:$B$20002,"&lt;="&amp;180,_Calc!$C$3:$C$20002,A257)/COUNTIFS(_Calc!$C$3:$C$20002,A257,_Calc!$B$3:$B$20002,"&lt;&gt;")*100),"")</f>
        <v/>
      </c>
      <c r="E257" s="42">
        <f>IFERROR(IF(A257="","",COUNTIFS(_Calc!$B$3:$B$20002,"&lt;70",_Calc!$C$3:$C$20002,A257)/COUNTIFS(_Calc!$C$3:$C$20002,A257,_Calc!$B$3:$B$20002,"&lt;&gt;")*100),"")</f>
        <v/>
      </c>
      <c r="F257" s="42">
        <f>IFERROR(IF(A257="","",COUNTIFS(_Calc!$B$3:$B$20002,"&gt;180",_Calc!$C$3:$C$20002,A257)/COUNTIFS(_Calc!$C$3:$C$20002,A257,_Calc!$B$3:$B$20002,"&lt;&gt;")*100),"")</f>
        <v/>
      </c>
      <c r="G257" s="43">
        <f>IFERROR(IF(A257="","",IF(D257&gt;=70,"✓ Good",IF(E257&gt;4,"Low glucose","High glucose"))),"")</f>
        <v/>
      </c>
    </row>
    <row r="258">
      <c r="B258" s="40">
        <f>IFERROR(IF(A258="","",COUNTIFS(_Calc!$C$3:$C$20002,A258,_Calc!$B$3:$B$20002,"&lt;&gt;")),"")</f>
        <v/>
      </c>
      <c r="C258" s="41">
        <f>IFERROR(IF(A258="","",AVERAGEIFS(_Calc!$B$3:$B$20002,_Calc!$C$3:$C$20002,A258)),"")</f>
        <v/>
      </c>
      <c r="D258" s="42">
        <f>IFERROR(IF(A258="","",COUNTIFS(_Calc!$B$3:$B$20002,"&gt;="&amp;70,_Calc!$B$3:$B$20002,"&lt;="&amp;180,_Calc!$C$3:$C$20002,A258)/COUNTIFS(_Calc!$C$3:$C$20002,A258,_Calc!$B$3:$B$20002,"&lt;&gt;")*100),"")</f>
        <v/>
      </c>
      <c r="E258" s="42">
        <f>IFERROR(IF(A258="","",COUNTIFS(_Calc!$B$3:$B$20002,"&lt;70",_Calc!$C$3:$C$20002,A258)/COUNTIFS(_Calc!$C$3:$C$20002,A258,_Calc!$B$3:$B$20002,"&lt;&gt;")*100),"")</f>
        <v/>
      </c>
      <c r="F258" s="42">
        <f>IFERROR(IF(A258="","",COUNTIFS(_Calc!$B$3:$B$20002,"&gt;180",_Calc!$C$3:$C$20002,A258)/COUNTIFS(_Calc!$C$3:$C$20002,A258,_Calc!$B$3:$B$20002,"&lt;&gt;")*100),"")</f>
        <v/>
      </c>
      <c r="G258" s="43">
        <f>IFERROR(IF(A258="","",IF(D258&gt;=70,"✓ Good",IF(E258&gt;4,"Low glucose","High glucose"))),"")</f>
        <v/>
      </c>
    </row>
    <row r="259">
      <c r="B259" s="40">
        <f>IFERROR(IF(A259="","",COUNTIFS(_Calc!$C$3:$C$20002,A259,_Calc!$B$3:$B$20002,"&lt;&gt;")),"")</f>
        <v/>
      </c>
      <c r="C259" s="41">
        <f>IFERROR(IF(A259="","",AVERAGEIFS(_Calc!$B$3:$B$20002,_Calc!$C$3:$C$20002,A259)),"")</f>
        <v/>
      </c>
      <c r="D259" s="42">
        <f>IFERROR(IF(A259="","",COUNTIFS(_Calc!$B$3:$B$20002,"&gt;="&amp;70,_Calc!$B$3:$B$20002,"&lt;="&amp;180,_Calc!$C$3:$C$20002,A259)/COUNTIFS(_Calc!$C$3:$C$20002,A259,_Calc!$B$3:$B$20002,"&lt;&gt;")*100),"")</f>
        <v/>
      </c>
      <c r="E259" s="42">
        <f>IFERROR(IF(A259="","",COUNTIFS(_Calc!$B$3:$B$20002,"&lt;70",_Calc!$C$3:$C$20002,A259)/COUNTIFS(_Calc!$C$3:$C$20002,A259,_Calc!$B$3:$B$20002,"&lt;&gt;")*100),"")</f>
        <v/>
      </c>
      <c r="F259" s="42">
        <f>IFERROR(IF(A259="","",COUNTIFS(_Calc!$B$3:$B$20002,"&gt;180",_Calc!$C$3:$C$20002,A259)/COUNTIFS(_Calc!$C$3:$C$20002,A259,_Calc!$B$3:$B$20002,"&lt;&gt;")*100),"")</f>
        <v/>
      </c>
      <c r="G259" s="43">
        <f>IFERROR(IF(A259="","",IF(D259&gt;=70,"✓ Good",IF(E259&gt;4,"Low glucose","High glucose"))),"")</f>
        <v/>
      </c>
    </row>
    <row r="260">
      <c r="B260" s="40">
        <f>IFERROR(IF(A260="","",COUNTIFS(_Calc!$C$3:$C$20002,A260,_Calc!$B$3:$B$20002,"&lt;&gt;")),"")</f>
        <v/>
      </c>
      <c r="C260" s="41">
        <f>IFERROR(IF(A260="","",AVERAGEIFS(_Calc!$B$3:$B$20002,_Calc!$C$3:$C$20002,A260)),"")</f>
        <v/>
      </c>
      <c r="D260" s="42">
        <f>IFERROR(IF(A260="","",COUNTIFS(_Calc!$B$3:$B$20002,"&gt;="&amp;70,_Calc!$B$3:$B$20002,"&lt;="&amp;180,_Calc!$C$3:$C$20002,A260)/COUNTIFS(_Calc!$C$3:$C$20002,A260,_Calc!$B$3:$B$20002,"&lt;&gt;")*100),"")</f>
        <v/>
      </c>
      <c r="E260" s="42">
        <f>IFERROR(IF(A260="","",COUNTIFS(_Calc!$B$3:$B$20002,"&lt;70",_Calc!$C$3:$C$20002,A260)/COUNTIFS(_Calc!$C$3:$C$20002,A260,_Calc!$B$3:$B$20002,"&lt;&gt;")*100),"")</f>
        <v/>
      </c>
      <c r="F260" s="42">
        <f>IFERROR(IF(A260="","",COUNTIFS(_Calc!$B$3:$B$20002,"&gt;180",_Calc!$C$3:$C$20002,A260)/COUNTIFS(_Calc!$C$3:$C$20002,A260,_Calc!$B$3:$B$20002,"&lt;&gt;")*100),"")</f>
        <v/>
      </c>
      <c r="G260" s="43">
        <f>IFERROR(IF(A260="","",IF(D260&gt;=70,"✓ Good",IF(E260&gt;4,"Low glucose","High glucose"))),"")</f>
        <v/>
      </c>
    </row>
    <row r="261">
      <c r="B261" s="40">
        <f>IFERROR(IF(A261="","",COUNTIFS(_Calc!$C$3:$C$20002,A261,_Calc!$B$3:$B$20002,"&lt;&gt;")),"")</f>
        <v/>
      </c>
      <c r="C261" s="41">
        <f>IFERROR(IF(A261="","",AVERAGEIFS(_Calc!$B$3:$B$20002,_Calc!$C$3:$C$20002,A261)),"")</f>
        <v/>
      </c>
      <c r="D261" s="42">
        <f>IFERROR(IF(A261="","",COUNTIFS(_Calc!$B$3:$B$20002,"&gt;="&amp;70,_Calc!$B$3:$B$20002,"&lt;="&amp;180,_Calc!$C$3:$C$20002,A261)/COUNTIFS(_Calc!$C$3:$C$20002,A261,_Calc!$B$3:$B$20002,"&lt;&gt;")*100),"")</f>
        <v/>
      </c>
      <c r="E261" s="42">
        <f>IFERROR(IF(A261="","",COUNTIFS(_Calc!$B$3:$B$20002,"&lt;70",_Calc!$C$3:$C$20002,A261)/COUNTIFS(_Calc!$C$3:$C$20002,A261,_Calc!$B$3:$B$20002,"&lt;&gt;")*100),"")</f>
        <v/>
      </c>
      <c r="F261" s="42">
        <f>IFERROR(IF(A261="","",COUNTIFS(_Calc!$B$3:$B$20002,"&gt;180",_Calc!$C$3:$C$20002,A261)/COUNTIFS(_Calc!$C$3:$C$20002,A261,_Calc!$B$3:$B$20002,"&lt;&gt;")*100),"")</f>
        <v/>
      </c>
      <c r="G261" s="43">
        <f>IFERROR(IF(A261="","",IF(D261&gt;=70,"✓ Good",IF(E261&gt;4,"Low glucose","High glucose"))),"")</f>
        <v/>
      </c>
    </row>
    <row r="262">
      <c r="B262" s="40">
        <f>IFERROR(IF(A262="","",COUNTIFS(_Calc!$C$3:$C$20002,A262,_Calc!$B$3:$B$20002,"&lt;&gt;")),"")</f>
        <v/>
      </c>
      <c r="C262" s="41">
        <f>IFERROR(IF(A262="","",AVERAGEIFS(_Calc!$B$3:$B$20002,_Calc!$C$3:$C$20002,A262)),"")</f>
        <v/>
      </c>
      <c r="D262" s="42">
        <f>IFERROR(IF(A262="","",COUNTIFS(_Calc!$B$3:$B$20002,"&gt;="&amp;70,_Calc!$B$3:$B$20002,"&lt;="&amp;180,_Calc!$C$3:$C$20002,A262)/COUNTIFS(_Calc!$C$3:$C$20002,A262,_Calc!$B$3:$B$20002,"&lt;&gt;")*100),"")</f>
        <v/>
      </c>
      <c r="E262" s="42">
        <f>IFERROR(IF(A262="","",COUNTIFS(_Calc!$B$3:$B$20002,"&lt;70",_Calc!$C$3:$C$20002,A262)/COUNTIFS(_Calc!$C$3:$C$20002,A262,_Calc!$B$3:$B$20002,"&lt;&gt;")*100),"")</f>
        <v/>
      </c>
      <c r="F262" s="42">
        <f>IFERROR(IF(A262="","",COUNTIFS(_Calc!$B$3:$B$20002,"&gt;180",_Calc!$C$3:$C$20002,A262)/COUNTIFS(_Calc!$C$3:$C$20002,A262,_Calc!$B$3:$B$20002,"&lt;&gt;")*100),"")</f>
        <v/>
      </c>
      <c r="G262" s="43">
        <f>IFERROR(IF(A262="","",IF(D262&gt;=70,"✓ Good",IF(E262&gt;4,"Low glucose","High glucose"))),"")</f>
        <v/>
      </c>
    </row>
    <row r="263">
      <c r="B263" s="40">
        <f>IFERROR(IF(A263="","",COUNTIFS(_Calc!$C$3:$C$20002,A263,_Calc!$B$3:$B$20002,"&lt;&gt;")),"")</f>
        <v/>
      </c>
      <c r="C263" s="41">
        <f>IFERROR(IF(A263="","",AVERAGEIFS(_Calc!$B$3:$B$20002,_Calc!$C$3:$C$20002,A263)),"")</f>
        <v/>
      </c>
      <c r="D263" s="42">
        <f>IFERROR(IF(A263="","",COUNTIFS(_Calc!$B$3:$B$20002,"&gt;="&amp;70,_Calc!$B$3:$B$20002,"&lt;="&amp;180,_Calc!$C$3:$C$20002,A263)/COUNTIFS(_Calc!$C$3:$C$20002,A263,_Calc!$B$3:$B$20002,"&lt;&gt;")*100),"")</f>
        <v/>
      </c>
      <c r="E263" s="42">
        <f>IFERROR(IF(A263="","",COUNTIFS(_Calc!$B$3:$B$20002,"&lt;70",_Calc!$C$3:$C$20002,A263)/COUNTIFS(_Calc!$C$3:$C$20002,A263,_Calc!$B$3:$B$20002,"&lt;&gt;")*100),"")</f>
        <v/>
      </c>
      <c r="F263" s="42">
        <f>IFERROR(IF(A263="","",COUNTIFS(_Calc!$B$3:$B$20002,"&gt;180",_Calc!$C$3:$C$20002,A263)/COUNTIFS(_Calc!$C$3:$C$20002,A263,_Calc!$B$3:$B$20002,"&lt;&gt;")*100),"")</f>
        <v/>
      </c>
      <c r="G263" s="43">
        <f>IFERROR(IF(A263="","",IF(D263&gt;=70,"✓ Good",IF(E263&gt;4,"Low glucose","High glucose"))),"")</f>
        <v/>
      </c>
    </row>
    <row r="264">
      <c r="B264" s="40">
        <f>IFERROR(IF(A264="","",COUNTIFS(_Calc!$C$3:$C$20002,A264,_Calc!$B$3:$B$20002,"&lt;&gt;")),"")</f>
        <v/>
      </c>
      <c r="C264" s="41">
        <f>IFERROR(IF(A264="","",AVERAGEIFS(_Calc!$B$3:$B$20002,_Calc!$C$3:$C$20002,A264)),"")</f>
        <v/>
      </c>
      <c r="D264" s="42">
        <f>IFERROR(IF(A264="","",COUNTIFS(_Calc!$B$3:$B$20002,"&gt;="&amp;70,_Calc!$B$3:$B$20002,"&lt;="&amp;180,_Calc!$C$3:$C$20002,A264)/COUNTIFS(_Calc!$C$3:$C$20002,A264,_Calc!$B$3:$B$20002,"&lt;&gt;")*100),"")</f>
        <v/>
      </c>
      <c r="E264" s="42">
        <f>IFERROR(IF(A264="","",COUNTIFS(_Calc!$B$3:$B$20002,"&lt;70",_Calc!$C$3:$C$20002,A264)/COUNTIFS(_Calc!$C$3:$C$20002,A264,_Calc!$B$3:$B$20002,"&lt;&gt;")*100),"")</f>
        <v/>
      </c>
      <c r="F264" s="42">
        <f>IFERROR(IF(A264="","",COUNTIFS(_Calc!$B$3:$B$20002,"&gt;180",_Calc!$C$3:$C$20002,A264)/COUNTIFS(_Calc!$C$3:$C$20002,A264,_Calc!$B$3:$B$20002,"&lt;&gt;")*100),"")</f>
        <v/>
      </c>
      <c r="G264" s="43">
        <f>IFERROR(IF(A264="","",IF(D264&gt;=70,"✓ Good",IF(E264&gt;4,"Low glucose","High glucose"))),"")</f>
        <v/>
      </c>
    </row>
    <row r="265">
      <c r="B265" s="40">
        <f>IFERROR(IF(A265="","",COUNTIFS(_Calc!$C$3:$C$20002,A265,_Calc!$B$3:$B$20002,"&lt;&gt;")),"")</f>
        <v/>
      </c>
      <c r="C265" s="41">
        <f>IFERROR(IF(A265="","",AVERAGEIFS(_Calc!$B$3:$B$20002,_Calc!$C$3:$C$20002,A265)),"")</f>
        <v/>
      </c>
      <c r="D265" s="42">
        <f>IFERROR(IF(A265="","",COUNTIFS(_Calc!$B$3:$B$20002,"&gt;="&amp;70,_Calc!$B$3:$B$20002,"&lt;="&amp;180,_Calc!$C$3:$C$20002,A265)/COUNTIFS(_Calc!$C$3:$C$20002,A265,_Calc!$B$3:$B$20002,"&lt;&gt;")*100),"")</f>
        <v/>
      </c>
      <c r="E265" s="42">
        <f>IFERROR(IF(A265="","",COUNTIFS(_Calc!$B$3:$B$20002,"&lt;70",_Calc!$C$3:$C$20002,A265)/COUNTIFS(_Calc!$C$3:$C$20002,A265,_Calc!$B$3:$B$20002,"&lt;&gt;")*100),"")</f>
        <v/>
      </c>
      <c r="F265" s="42">
        <f>IFERROR(IF(A265="","",COUNTIFS(_Calc!$B$3:$B$20002,"&gt;180",_Calc!$C$3:$C$20002,A265)/COUNTIFS(_Calc!$C$3:$C$20002,A265,_Calc!$B$3:$B$20002,"&lt;&gt;")*100),"")</f>
        <v/>
      </c>
      <c r="G265" s="43">
        <f>IFERROR(IF(A265="","",IF(D265&gt;=70,"✓ Good",IF(E265&gt;4,"Low glucose","High glucose"))),"")</f>
        <v/>
      </c>
    </row>
    <row r="266">
      <c r="B266" s="40">
        <f>IFERROR(IF(A266="","",COUNTIFS(_Calc!$C$3:$C$20002,A266,_Calc!$B$3:$B$20002,"&lt;&gt;")),"")</f>
        <v/>
      </c>
      <c r="C266" s="41">
        <f>IFERROR(IF(A266="","",AVERAGEIFS(_Calc!$B$3:$B$20002,_Calc!$C$3:$C$20002,A266)),"")</f>
        <v/>
      </c>
      <c r="D266" s="42">
        <f>IFERROR(IF(A266="","",COUNTIFS(_Calc!$B$3:$B$20002,"&gt;="&amp;70,_Calc!$B$3:$B$20002,"&lt;="&amp;180,_Calc!$C$3:$C$20002,A266)/COUNTIFS(_Calc!$C$3:$C$20002,A266,_Calc!$B$3:$B$20002,"&lt;&gt;")*100),"")</f>
        <v/>
      </c>
      <c r="E266" s="42">
        <f>IFERROR(IF(A266="","",COUNTIFS(_Calc!$B$3:$B$20002,"&lt;70",_Calc!$C$3:$C$20002,A266)/COUNTIFS(_Calc!$C$3:$C$20002,A266,_Calc!$B$3:$B$20002,"&lt;&gt;")*100),"")</f>
        <v/>
      </c>
      <c r="F266" s="42">
        <f>IFERROR(IF(A266="","",COUNTIFS(_Calc!$B$3:$B$20002,"&gt;180",_Calc!$C$3:$C$20002,A266)/COUNTIFS(_Calc!$C$3:$C$20002,A266,_Calc!$B$3:$B$20002,"&lt;&gt;")*100),"")</f>
        <v/>
      </c>
      <c r="G266" s="43">
        <f>IFERROR(IF(A266="","",IF(D266&gt;=70,"✓ Good",IF(E266&gt;4,"Low glucose","High glucose"))),"")</f>
        <v/>
      </c>
    </row>
    <row r="267">
      <c r="B267" s="40">
        <f>IFERROR(IF(A267="","",COUNTIFS(_Calc!$C$3:$C$20002,A267,_Calc!$B$3:$B$20002,"&lt;&gt;")),"")</f>
        <v/>
      </c>
      <c r="C267" s="41">
        <f>IFERROR(IF(A267="","",AVERAGEIFS(_Calc!$B$3:$B$20002,_Calc!$C$3:$C$20002,A267)),"")</f>
        <v/>
      </c>
      <c r="D267" s="42">
        <f>IFERROR(IF(A267="","",COUNTIFS(_Calc!$B$3:$B$20002,"&gt;="&amp;70,_Calc!$B$3:$B$20002,"&lt;="&amp;180,_Calc!$C$3:$C$20002,A267)/COUNTIFS(_Calc!$C$3:$C$20002,A267,_Calc!$B$3:$B$20002,"&lt;&gt;")*100),"")</f>
        <v/>
      </c>
      <c r="E267" s="42">
        <f>IFERROR(IF(A267="","",COUNTIFS(_Calc!$B$3:$B$20002,"&lt;70",_Calc!$C$3:$C$20002,A267)/COUNTIFS(_Calc!$C$3:$C$20002,A267,_Calc!$B$3:$B$20002,"&lt;&gt;")*100),"")</f>
        <v/>
      </c>
      <c r="F267" s="42">
        <f>IFERROR(IF(A267="","",COUNTIFS(_Calc!$B$3:$B$20002,"&gt;180",_Calc!$C$3:$C$20002,A267)/COUNTIFS(_Calc!$C$3:$C$20002,A267,_Calc!$B$3:$B$20002,"&lt;&gt;")*100),"")</f>
        <v/>
      </c>
      <c r="G267" s="43">
        <f>IFERROR(IF(A267="","",IF(D267&gt;=70,"✓ Good",IF(E267&gt;4,"Low glucose","High glucose"))),"")</f>
        <v/>
      </c>
    </row>
    <row r="268">
      <c r="B268" s="40">
        <f>IFERROR(IF(A268="","",COUNTIFS(_Calc!$C$3:$C$20002,A268,_Calc!$B$3:$B$20002,"&lt;&gt;")),"")</f>
        <v/>
      </c>
      <c r="C268" s="41">
        <f>IFERROR(IF(A268="","",AVERAGEIFS(_Calc!$B$3:$B$20002,_Calc!$C$3:$C$20002,A268)),"")</f>
        <v/>
      </c>
      <c r="D268" s="42">
        <f>IFERROR(IF(A268="","",COUNTIFS(_Calc!$B$3:$B$20002,"&gt;="&amp;70,_Calc!$B$3:$B$20002,"&lt;="&amp;180,_Calc!$C$3:$C$20002,A268)/COUNTIFS(_Calc!$C$3:$C$20002,A268,_Calc!$B$3:$B$20002,"&lt;&gt;")*100),"")</f>
        <v/>
      </c>
      <c r="E268" s="42">
        <f>IFERROR(IF(A268="","",COUNTIFS(_Calc!$B$3:$B$20002,"&lt;70",_Calc!$C$3:$C$20002,A268)/COUNTIFS(_Calc!$C$3:$C$20002,A268,_Calc!$B$3:$B$20002,"&lt;&gt;")*100),"")</f>
        <v/>
      </c>
      <c r="F268" s="42">
        <f>IFERROR(IF(A268="","",COUNTIFS(_Calc!$B$3:$B$20002,"&gt;180",_Calc!$C$3:$C$20002,A268)/COUNTIFS(_Calc!$C$3:$C$20002,A268,_Calc!$B$3:$B$20002,"&lt;&gt;")*100),"")</f>
        <v/>
      </c>
      <c r="G268" s="43">
        <f>IFERROR(IF(A268="","",IF(D268&gt;=70,"✓ Good",IF(E268&gt;4,"Low glucose","High glucose"))),"")</f>
        <v/>
      </c>
    </row>
    <row r="269">
      <c r="B269" s="40">
        <f>IFERROR(IF(A269="","",COUNTIFS(_Calc!$C$3:$C$20002,A269,_Calc!$B$3:$B$20002,"&lt;&gt;")),"")</f>
        <v/>
      </c>
      <c r="C269" s="41">
        <f>IFERROR(IF(A269="","",AVERAGEIFS(_Calc!$B$3:$B$20002,_Calc!$C$3:$C$20002,A269)),"")</f>
        <v/>
      </c>
      <c r="D269" s="42">
        <f>IFERROR(IF(A269="","",COUNTIFS(_Calc!$B$3:$B$20002,"&gt;="&amp;70,_Calc!$B$3:$B$20002,"&lt;="&amp;180,_Calc!$C$3:$C$20002,A269)/COUNTIFS(_Calc!$C$3:$C$20002,A269,_Calc!$B$3:$B$20002,"&lt;&gt;")*100),"")</f>
        <v/>
      </c>
      <c r="E269" s="42">
        <f>IFERROR(IF(A269="","",COUNTIFS(_Calc!$B$3:$B$20002,"&lt;70",_Calc!$C$3:$C$20002,A269)/COUNTIFS(_Calc!$C$3:$C$20002,A269,_Calc!$B$3:$B$20002,"&lt;&gt;")*100),"")</f>
        <v/>
      </c>
      <c r="F269" s="42">
        <f>IFERROR(IF(A269="","",COUNTIFS(_Calc!$B$3:$B$20002,"&gt;180",_Calc!$C$3:$C$20002,A269)/COUNTIFS(_Calc!$C$3:$C$20002,A269,_Calc!$B$3:$B$20002,"&lt;&gt;")*100),"")</f>
        <v/>
      </c>
      <c r="G269" s="43">
        <f>IFERROR(IF(A269="","",IF(D269&gt;=70,"✓ Good",IF(E269&gt;4,"Low glucose","High glucose"))),"")</f>
        <v/>
      </c>
    </row>
    <row r="270">
      <c r="B270" s="40">
        <f>IFERROR(IF(A270="","",COUNTIFS(_Calc!$C$3:$C$20002,A270,_Calc!$B$3:$B$20002,"&lt;&gt;")),"")</f>
        <v/>
      </c>
      <c r="C270" s="41">
        <f>IFERROR(IF(A270="","",AVERAGEIFS(_Calc!$B$3:$B$20002,_Calc!$C$3:$C$20002,A270)),"")</f>
        <v/>
      </c>
      <c r="D270" s="42">
        <f>IFERROR(IF(A270="","",COUNTIFS(_Calc!$B$3:$B$20002,"&gt;="&amp;70,_Calc!$B$3:$B$20002,"&lt;="&amp;180,_Calc!$C$3:$C$20002,A270)/COUNTIFS(_Calc!$C$3:$C$20002,A270,_Calc!$B$3:$B$20002,"&lt;&gt;")*100),"")</f>
        <v/>
      </c>
      <c r="E270" s="42">
        <f>IFERROR(IF(A270="","",COUNTIFS(_Calc!$B$3:$B$20002,"&lt;70",_Calc!$C$3:$C$20002,A270)/COUNTIFS(_Calc!$C$3:$C$20002,A270,_Calc!$B$3:$B$20002,"&lt;&gt;")*100),"")</f>
        <v/>
      </c>
      <c r="F270" s="42">
        <f>IFERROR(IF(A270="","",COUNTIFS(_Calc!$B$3:$B$20002,"&gt;180",_Calc!$C$3:$C$20002,A270)/COUNTIFS(_Calc!$C$3:$C$20002,A270,_Calc!$B$3:$B$20002,"&lt;&gt;")*100),"")</f>
        <v/>
      </c>
      <c r="G270" s="43">
        <f>IFERROR(IF(A270="","",IF(D270&gt;=70,"✓ Good",IF(E270&gt;4,"Low glucose","High glucose"))),"")</f>
        <v/>
      </c>
    </row>
    <row r="271">
      <c r="B271" s="40">
        <f>IFERROR(IF(A271="","",COUNTIFS(_Calc!$C$3:$C$20002,A271,_Calc!$B$3:$B$20002,"&lt;&gt;")),"")</f>
        <v/>
      </c>
      <c r="C271" s="41">
        <f>IFERROR(IF(A271="","",AVERAGEIFS(_Calc!$B$3:$B$20002,_Calc!$C$3:$C$20002,A271)),"")</f>
        <v/>
      </c>
      <c r="D271" s="42">
        <f>IFERROR(IF(A271="","",COUNTIFS(_Calc!$B$3:$B$20002,"&gt;="&amp;70,_Calc!$B$3:$B$20002,"&lt;="&amp;180,_Calc!$C$3:$C$20002,A271)/COUNTIFS(_Calc!$C$3:$C$20002,A271,_Calc!$B$3:$B$20002,"&lt;&gt;")*100),"")</f>
        <v/>
      </c>
      <c r="E271" s="42">
        <f>IFERROR(IF(A271="","",COUNTIFS(_Calc!$B$3:$B$20002,"&lt;70",_Calc!$C$3:$C$20002,A271)/COUNTIFS(_Calc!$C$3:$C$20002,A271,_Calc!$B$3:$B$20002,"&lt;&gt;")*100),"")</f>
        <v/>
      </c>
      <c r="F271" s="42">
        <f>IFERROR(IF(A271="","",COUNTIFS(_Calc!$B$3:$B$20002,"&gt;180",_Calc!$C$3:$C$20002,A271)/COUNTIFS(_Calc!$C$3:$C$20002,A271,_Calc!$B$3:$B$20002,"&lt;&gt;")*100),"")</f>
        <v/>
      </c>
      <c r="G271" s="43">
        <f>IFERROR(IF(A271="","",IF(D271&gt;=70,"✓ Good",IF(E271&gt;4,"Low glucose","High glucose"))),"")</f>
        <v/>
      </c>
    </row>
    <row r="272">
      <c r="B272" s="40">
        <f>IFERROR(IF(A272="","",COUNTIFS(_Calc!$C$3:$C$20002,A272,_Calc!$B$3:$B$20002,"&lt;&gt;")),"")</f>
        <v/>
      </c>
      <c r="C272" s="41">
        <f>IFERROR(IF(A272="","",AVERAGEIFS(_Calc!$B$3:$B$20002,_Calc!$C$3:$C$20002,A272)),"")</f>
        <v/>
      </c>
      <c r="D272" s="42">
        <f>IFERROR(IF(A272="","",COUNTIFS(_Calc!$B$3:$B$20002,"&gt;="&amp;70,_Calc!$B$3:$B$20002,"&lt;="&amp;180,_Calc!$C$3:$C$20002,A272)/COUNTIFS(_Calc!$C$3:$C$20002,A272,_Calc!$B$3:$B$20002,"&lt;&gt;")*100),"")</f>
        <v/>
      </c>
      <c r="E272" s="42">
        <f>IFERROR(IF(A272="","",COUNTIFS(_Calc!$B$3:$B$20002,"&lt;70",_Calc!$C$3:$C$20002,A272)/COUNTIFS(_Calc!$C$3:$C$20002,A272,_Calc!$B$3:$B$20002,"&lt;&gt;")*100),"")</f>
        <v/>
      </c>
      <c r="F272" s="42">
        <f>IFERROR(IF(A272="","",COUNTIFS(_Calc!$B$3:$B$20002,"&gt;180",_Calc!$C$3:$C$20002,A272)/COUNTIFS(_Calc!$C$3:$C$20002,A272,_Calc!$B$3:$B$20002,"&lt;&gt;")*100),"")</f>
        <v/>
      </c>
      <c r="G272" s="43">
        <f>IFERROR(IF(A272="","",IF(D272&gt;=70,"✓ Good",IF(E272&gt;4,"Low glucose","High glucose"))),"")</f>
        <v/>
      </c>
    </row>
    <row r="273">
      <c r="B273" s="40">
        <f>IFERROR(IF(A273="","",COUNTIFS(_Calc!$C$3:$C$20002,A273,_Calc!$B$3:$B$20002,"&lt;&gt;")),"")</f>
        <v/>
      </c>
      <c r="C273" s="41">
        <f>IFERROR(IF(A273="","",AVERAGEIFS(_Calc!$B$3:$B$20002,_Calc!$C$3:$C$20002,A273)),"")</f>
        <v/>
      </c>
      <c r="D273" s="42">
        <f>IFERROR(IF(A273="","",COUNTIFS(_Calc!$B$3:$B$20002,"&gt;="&amp;70,_Calc!$B$3:$B$20002,"&lt;="&amp;180,_Calc!$C$3:$C$20002,A273)/COUNTIFS(_Calc!$C$3:$C$20002,A273,_Calc!$B$3:$B$20002,"&lt;&gt;")*100),"")</f>
        <v/>
      </c>
      <c r="E273" s="42">
        <f>IFERROR(IF(A273="","",COUNTIFS(_Calc!$B$3:$B$20002,"&lt;70",_Calc!$C$3:$C$20002,A273)/COUNTIFS(_Calc!$C$3:$C$20002,A273,_Calc!$B$3:$B$20002,"&lt;&gt;")*100),"")</f>
        <v/>
      </c>
      <c r="F273" s="42">
        <f>IFERROR(IF(A273="","",COUNTIFS(_Calc!$B$3:$B$20002,"&gt;180",_Calc!$C$3:$C$20002,A273)/COUNTIFS(_Calc!$C$3:$C$20002,A273,_Calc!$B$3:$B$20002,"&lt;&gt;")*100),"")</f>
        <v/>
      </c>
      <c r="G273" s="43">
        <f>IFERROR(IF(A273="","",IF(D273&gt;=70,"✓ Good",IF(E273&gt;4,"Low glucose","High glucose"))),"")</f>
        <v/>
      </c>
    </row>
    <row r="274">
      <c r="B274" s="40">
        <f>IFERROR(IF(A274="","",COUNTIFS(_Calc!$C$3:$C$20002,A274,_Calc!$B$3:$B$20002,"&lt;&gt;")),"")</f>
        <v/>
      </c>
      <c r="C274" s="41">
        <f>IFERROR(IF(A274="","",AVERAGEIFS(_Calc!$B$3:$B$20002,_Calc!$C$3:$C$20002,A274)),"")</f>
        <v/>
      </c>
      <c r="D274" s="42">
        <f>IFERROR(IF(A274="","",COUNTIFS(_Calc!$B$3:$B$20002,"&gt;="&amp;70,_Calc!$B$3:$B$20002,"&lt;="&amp;180,_Calc!$C$3:$C$20002,A274)/COUNTIFS(_Calc!$C$3:$C$20002,A274,_Calc!$B$3:$B$20002,"&lt;&gt;")*100),"")</f>
        <v/>
      </c>
      <c r="E274" s="42">
        <f>IFERROR(IF(A274="","",COUNTIFS(_Calc!$B$3:$B$20002,"&lt;70",_Calc!$C$3:$C$20002,A274)/COUNTIFS(_Calc!$C$3:$C$20002,A274,_Calc!$B$3:$B$20002,"&lt;&gt;")*100),"")</f>
        <v/>
      </c>
      <c r="F274" s="42">
        <f>IFERROR(IF(A274="","",COUNTIFS(_Calc!$B$3:$B$20002,"&gt;180",_Calc!$C$3:$C$20002,A274)/COUNTIFS(_Calc!$C$3:$C$20002,A274,_Calc!$B$3:$B$20002,"&lt;&gt;")*100),"")</f>
        <v/>
      </c>
      <c r="G274" s="43">
        <f>IFERROR(IF(A274="","",IF(D274&gt;=70,"✓ Good",IF(E274&gt;4,"Low glucose","High glucose"))),"")</f>
        <v/>
      </c>
    </row>
    <row r="275">
      <c r="B275" s="40">
        <f>IFERROR(IF(A275="","",COUNTIFS(_Calc!$C$3:$C$20002,A275,_Calc!$B$3:$B$20002,"&lt;&gt;")),"")</f>
        <v/>
      </c>
      <c r="C275" s="41">
        <f>IFERROR(IF(A275="","",AVERAGEIFS(_Calc!$B$3:$B$20002,_Calc!$C$3:$C$20002,A275)),"")</f>
        <v/>
      </c>
      <c r="D275" s="42">
        <f>IFERROR(IF(A275="","",COUNTIFS(_Calc!$B$3:$B$20002,"&gt;="&amp;70,_Calc!$B$3:$B$20002,"&lt;="&amp;180,_Calc!$C$3:$C$20002,A275)/COUNTIFS(_Calc!$C$3:$C$20002,A275,_Calc!$B$3:$B$20002,"&lt;&gt;")*100),"")</f>
        <v/>
      </c>
      <c r="E275" s="42">
        <f>IFERROR(IF(A275="","",COUNTIFS(_Calc!$B$3:$B$20002,"&lt;70",_Calc!$C$3:$C$20002,A275)/COUNTIFS(_Calc!$C$3:$C$20002,A275,_Calc!$B$3:$B$20002,"&lt;&gt;")*100),"")</f>
        <v/>
      </c>
      <c r="F275" s="42">
        <f>IFERROR(IF(A275="","",COUNTIFS(_Calc!$B$3:$B$20002,"&gt;180",_Calc!$C$3:$C$20002,A275)/COUNTIFS(_Calc!$C$3:$C$20002,A275,_Calc!$B$3:$B$20002,"&lt;&gt;")*100),"")</f>
        <v/>
      </c>
      <c r="G275" s="43">
        <f>IFERROR(IF(A275="","",IF(D275&gt;=70,"✓ Good",IF(E275&gt;4,"Low glucose","High glucose"))),"")</f>
        <v/>
      </c>
    </row>
    <row r="276">
      <c r="B276" s="40">
        <f>IFERROR(IF(A276="","",COUNTIFS(_Calc!$C$3:$C$20002,A276,_Calc!$B$3:$B$20002,"&lt;&gt;")),"")</f>
        <v/>
      </c>
      <c r="C276" s="41">
        <f>IFERROR(IF(A276="","",AVERAGEIFS(_Calc!$B$3:$B$20002,_Calc!$C$3:$C$20002,A276)),"")</f>
        <v/>
      </c>
      <c r="D276" s="42">
        <f>IFERROR(IF(A276="","",COUNTIFS(_Calc!$B$3:$B$20002,"&gt;="&amp;70,_Calc!$B$3:$B$20002,"&lt;="&amp;180,_Calc!$C$3:$C$20002,A276)/COUNTIFS(_Calc!$C$3:$C$20002,A276,_Calc!$B$3:$B$20002,"&lt;&gt;")*100),"")</f>
        <v/>
      </c>
      <c r="E276" s="42">
        <f>IFERROR(IF(A276="","",COUNTIFS(_Calc!$B$3:$B$20002,"&lt;70",_Calc!$C$3:$C$20002,A276)/COUNTIFS(_Calc!$C$3:$C$20002,A276,_Calc!$B$3:$B$20002,"&lt;&gt;")*100),"")</f>
        <v/>
      </c>
      <c r="F276" s="42">
        <f>IFERROR(IF(A276="","",COUNTIFS(_Calc!$B$3:$B$20002,"&gt;180",_Calc!$C$3:$C$20002,A276)/COUNTIFS(_Calc!$C$3:$C$20002,A276,_Calc!$B$3:$B$20002,"&lt;&gt;")*100),"")</f>
        <v/>
      </c>
      <c r="G276" s="43">
        <f>IFERROR(IF(A276="","",IF(D276&gt;=70,"✓ Good",IF(E276&gt;4,"Low glucose","High glucose"))),"")</f>
        <v/>
      </c>
    </row>
    <row r="277">
      <c r="B277" s="40">
        <f>IFERROR(IF(A277="","",COUNTIFS(_Calc!$C$3:$C$20002,A277,_Calc!$B$3:$B$20002,"&lt;&gt;")),"")</f>
        <v/>
      </c>
      <c r="C277" s="41">
        <f>IFERROR(IF(A277="","",AVERAGEIFS(_Calc!$B$3:$B$20002,_Calc!$C$3:$C$20002,A277)),"")</f>
        <v/>
      </c>
      <c r="D277" s="42">
        <f>IFERROR(IF(A277="","",COUNTIFS(_Calc!$B$3:$B$20002,"&gt;="&amp;70,_Calc!$B$3:$B$20002,"&lt;="&amp;180,_Calc!$C$3:$C$20002,A277)/COUNTIFS(_Calc!$C$3:$C$20002,A277,_Calc!$B$3:$B$20002,"&lt;&gt;")*100),"")</f>
        <v/>
      </c>
      <c r="E277" s="42">
        <f>IFERROR(IF(A277="","",COUNTIFS(_Calc!$B$3:$B$20002,"&lt;70",_Calc!$C$3:$C$20002,A277)/COUNTIFS(_Calc!$C$3:$C$20002,A277,_Calc!$B$3:$B$20002,"&lt;&gt;")*100),"")</f>
        <v/>
      </c>
      <c r="F277" s="42">
        <f>IFERROR(IF(A277="","",COUNTIFS(_Calc!$B$3:$B$20002,"&gt;180",_Calc!$C$3:$C$20002,A277)/COUNTIFS(_Calc!$C$3:$C$20002,A277,_Calc!$B$3:$B$20002,"&lt;&gt;")*100),"")</f>
        <v/>
      </c>
      <c r="G277" s="43">
        <f>IFERROR(IF(A277="","",IF(D277&gt;=70,"✓ Good",IF(E277&gt;4,"Low glucose","High glucose"))),"")</f>
        <v/>
      </c>
    </row>
    <row r="278">
      <c r="B278" s="40">
        <f>IFERROR(IF(A278="","",COUNTIFS(_Calc!$C$3:$C$20002,A278,_Calc!$B$3:$B$20002,"&lt;&gt;")),"")</f>
        <v/>
      </c>
      <c r="C278" s="41">
        <f>IFERROR(IF(A278="","",AVERAGEIFS(_Calc!$B$3:$B$20002,_Calc!$C$3:$C$20002,A278)),"")</f>
        <v/>
      </c>
      <c r="D278" s="42">
        <f>IFERROR(IF(A278="","",COUNTIFS(_Calc!$B$3:$B$20002,"&gt;="&amp;70,_Calc!$B$3:$B$20002,"&lt;="&amp;180,_Calc!$C$3:$C$20002,A278)/COUNTIFS(_Calc!$C$3:$C$20002,A278,_Calc!$B$3:$B$20002,"&lt;&gt;")*100),"")</f>
        <v/>
      </c>
      <c r="E278" s="42">
        <f>IFERROR(IF(A278="","",COUNTIFS(_Calc!$B$3:$B$20002,"&lt;70",_Calc!$C$3:$C$20002,A278)/COUNTIFS(_Calc!$C$3:$C$20002,A278,_Calc!$B$3:$B$20002,"&lt;&gt;")*100),"")</f>
        <v/>
      </c>
      <c r="F278" s="42">
        <f>IFERROR(IF(A278="","",COUNTIFS(_Calc!$B$3:$B$20002,"&gt;180",_Calc!$C$3:$C$20002,A278)/COUNTIFS(_Calc!$C$3:$C$20002,A278,_Calc!$B$3:$B$20002,"&lt;&gt;")*100),"")</f>
        <v/>
      </c>
      <c r="G278" s="43">
        <f>IFERROR(IF(A278="","",IF(D278&gt;=70,"✓ Good",IF(E278&gt;4,"Low glucose","High glucose"))),"")</f>
        <v/>
      </c>
    </row>
    <row r="279">
      <c r="B279" s="40">
        <f>IFERROR(IF(A279="","",COUNTIFS(_Calc!$C$3:$C$20002,A279,_Calc!$B$3:$B$20002,"&lt;&gt;")),"")</f>
        <v/>
      </c>
      <c r="C279" s="41">
        <f>IFERROR(IF(A279="","",AVERAGEIFS(_Calc!$B$3:$B$20002,_Calc!$C$3:$C$20002,A279)),"")</f>
        <v/>
      </c>
      <c r="D279" s="42">
        <f>IFERROR(IF(A279="","",COUNTIFS(_Calc!$B$3:$B$20002,"&gt;="&amp;70,_Calc!$B$3:$B$20002,"&lt;="&amp;180,_Calc!$C$3:$C$20002,A279)/COUNTIFS(_Calc!$C$3:$C$20002,A279,_Calc!$B$3:$B$20002,"&lt;&gt;")*100),"")</f>
        <v/>
      </c>
      <c r="E279" s="42">
        <f>IFERROR(IF(A279="","",COUNTIFS(_Calc!$B$3:$B$20002,"&lt;70",_Calc!$C$3:$C$20002,A279)/COUNTIFS(_Calc!$C$3:$C$20002,A279,_Calc!$B$3:$B$20002,"&lt;&gt;")*100),"")</f>
        <v/>
      </c>
      <c r="F279" s="42">
        <f>IFERROR(IF(A279="","",COUNTIFS(_Calc!$B$3:$B$20002,"&gt;180",_Calc!$C$3:$C$20002,A279)/COUNTIFS(_Calc!$C$3:$C$20002,A279,_Calc!$B$3:$B$20002,"&lt;&gt;")*100),"")</f>
        <v/>
      </c>
      <c r="G279" s="43">
        <f>IFERROR(IF(A279="","",IF(D279&gt;=70,"✓ Good",IF(E279&gt;4,"Low glucose","High glucose"))),"")</f>
        <v/>
      </c>
    </row>
    <row r="280">
      <c r="B280" s="40">
        <f>IFERROR(IF(A280="","",COUNTIFS(_Calc!$C$3:$C$20002,A280,_Calc!$B$3:$B$20002,"&lt;&gt;")),"")</f>
        <v/>
      </c>
      <c r="C280" s="41">
        <f>IFERROR(IF(A280="","",AVERAGEIFS(_Calc!$B$3:$B$20002,_Calc!$C$3:$C$20002,A280)),"")</f>
        <v/>
      </c>
      <c r="D280" s="42">
        <f>IFERROR(IF(A280="","",COUNTIFS(_Calc!$B$3:$B$20002,"&gt;="&amp;70,_Calc!$B$3:$B$20002,"&lt;="&amp;180,_Calc!$C$3:$C$20002,A280)/COUNTIFS(_Calc!$C$3:$C$20002,A280,_Calc!$B$3:$B$20002,"&lt;&gt;")*100),"")</f>
        <v/>
      </c>
      <c r="E280" s="42">
        <f>IFERROR(IF(A280="","",COUNTIFS(_Calc!$B$3:$B$20002,"&lt;70",_Calc!$C$3:$C$20002,A280)/COUNTIFS(_Calc!$C$3:$C$20002,A280,_Calc!$B$3:$B$20002,"&lt;&gt;")*100),"")</f>
        <v/>
      </c>
      <c r="F280" s="42">
        <f>IFERROR(IF(A280="","",COUNTIFS(_Calc!$B$3:$B$20002,"&gt;180",_Calc!$C$3:$C$20002,A280)/COUNTIFS(_Calc!$C$3:$C$20002,A280,_Calc!$B$3:$B$20002,"&lt;&gt;")*100),"")</f>
        <v/>
      </c>
      <c r="G280" s="43">
        <f>IFERROR(IF(A280="","",IF(D280&gt;=70,"✓ Good",IF(E280&gt;4,"Low glucose","High glucose"))),"")</f>
        <v/>
      </c>
    </row>
    <row r="281">
      <c r="B281" s="40">
        <f>IFERROR(IF(A281="","",COUNTIFS(_Calc!$C$3:$C$20002,A281,_Calc!$B$3:$B$20002,"&lt;&gt;")),"")</f>
        <v/>
      </c>
      <c r="C281" s="41">
        <f>IFERROR(IF(A281="","",AVERAGEIFS(_Calc!$B$3:$B$20002,_Calc!$C$3:$C$20002,A281)),"")</f>
        <v/>
      </c>
      <c r="D281" s="42">
        <f>IFERROR(IF(A281="","",COUNTIFS(_Calc!$B$3:$B$20002,"&gt;="&amp;70,_Calc!$B$3:$B$20002,"&lt;="&amp;180,_Calc!$C$3:$C$20002,A281)/COUNTIFS(_Calc!$C$3:$C$20002,A281,_Calc!$B$3:$B$20002,"&lt;&gt;")*100),"")</f>
        <v/>
      </c>
      <c r="E281" s="42">
        <f>IFERROR(IF(A281="","",COUNTIFS(_Calc!$B$3:$B$20002,"&lt;70",_Calc!$C$3:$C$20002,A281)/COUNTIFS(_Calc!$C$3:$C$20002,A281,_Calc!$B$3:$B$20002,"&lt;&gt;")*100),"")</f>
        <v/>
      </c>
      <c r="F281" s="42">
        <f>IFERROR(IF(A281="","",COUNTIFS(_Calc!$B$3:$B$20002,"&gt;180",_Calc!$C$3:$C$20002,A281)/COUNTIFS(_Calc!$C$3:$C$20002,A281,_Calc!$B$3:$B$20002,"&lt;&gt;")*100),"")</f>
        <v/>
      </c>
      <c r="G281" s="43">
        <f>IFERROR(IF(A281="","",IF(D281&gt;=70,"✓ Good",IF(E281&gt;4,"Low glucose","High glucose"))),"")</f>
        <v/>
      </c>
    </row>
    <row r="282">
      <c r="B282" s="40">
        <f>IFERROR(IF(A282="","",COUNTIFS(_Calc!$C$3:$C$20002,A282,_Calc!$B$3:$B$20002,"&lt;&gt;")),"")</f>
        <v/>
      </c>
      <c r="C282" s="41">
        <f>IFERROR(IF(A282="","",AVERAGEIFS(_Calc!$B$3:$B$20002,_Calc!$C$3:$C$20002,A282)),"")</f>
        <v/>
      </c>
      <c r="D282" s="42">
        <f>IFERROR(IF(A282="","",COUNTIFS(_Calc!$B$3:$B$20002,"&gt;="&amp;70,_Calc!$B$3:$B$20002,"&lt;="&amp;180,_Calc!$C$3:$C$20002,A282)/COUNTIFS(_Calc!$C$3:$C$20002,A282,_Calc!$B$3:$B$20002,"&lt;&gt;")*100),"")</f>
        <v/>
      </c>
      <c r="E282" s="42">
        <f>IFERROR(IF(A282="","",COUNTIFS(_Calc!$B$3:$B$20002,"&lt;70",_Calc!$C$3:$C$20002,A282)/COUNTIFS(_Calc!$C$3:$C$20002,A282,_Calc!$B$3:$B$20002,"&lt;&gt;")*100),"")</f>
        <v/>
      </c>
      <c r="F282" s="42">
        <f>IFERROR(IF(A282="","",COUNTIFS(_Calc!$B$3:$B$20002,"&gt;180",_Calc!$C$3:$C$20002,A282)/COUNTIFS(_Calc!$C$3:$C$20002,A282,_Calc!$B$3:$B$20002,"&lt;&gt;")*100),"")</f>
        <v/>
      </c>
      <c r="G282" s="43">
        <f>IFERROR(IF(A282="","",IF(D282&gt;=70,"✓ Good",IF(E282&gt;4,"Low glucose","High glucose"))),"")</f>
        <v/>
      </c>
    </row>
    <row r="283">
      <c r="B283" s="40">
        <f>IFERROR(IF(A283="","",COUNTIFS(_Calc!$C$3:$C$20002,A283,_Calc!$B$3:$B$20002,"&lt;&gt;")),"")</f>
        <v/>
      </c>
      <c r="C283" s="41">
        <f>IFERROR(IF(A283="","",AVERAGEIFS(_Calc!$B$3:$B$20002,_Calc!$C$3:$C$20002,A283)),"")</f>
        <v/>
      </c>
      <c r="D283" s="42">
        <f>IFERROR(IF(A283="","",COUNTIFS(_Calc!$B$3:$B$20002,"&gt;="&amp;70,_Calc!$B$3:$B$20002,"&lt;="&amp;180,_Calc!$C$3:$C$20002,A283)/COUNTIFS(_Calc!$C$3:$C$20002,A283,_Calc!$B$3:$B$20002,"&lt;&gt;")*100),"")</f>
        <v/>
      </c>
      <c r="E283" s="42">
        <f>IFERROR(IF(A283="","",COUNTIFS(_Calc!$B$3:$B$20002,"&lt;70",_Calc!$C$3:$C$20002,A283)/COUNTIFS(_Calc!$C$3:$C$20002,A283,_Calc!$B$3:$B$20002,"&lt;&gt;")*100),"")</f>
        <v/>
      </c>
      <c r="F283" s="42">
        <f>IFERROR(IF(A283="","",COUNTIFS(_Calc!$B$3:$B$20002,"&gt;180",_Calc!$C$3:$C$20002,A283)/COUNTIFS(_Calc!$C$3:$C$20002,A283,_Calc!$B$3:$B$20002,"&lt;&gt;")*100),"")</f>
        <v/>
      </c>
      <c r="G283" s="43">
        <f>IFERROR(IF(A283="","",IF(D283&gt;=70,"✓ Good",IF(E283&gt;4,"Low glucose","High glucose"))),"")</f>
        <v/>
      </c>
    </row>
    <row r="284">
      <c r="B284" s="40">
        <f>IFERROR(IF(A284="","",COUNTIFS(_Calc!$C$3:$C$20002,A284,_Calc!$B$3:$B$20002,"&lt;&gt;")),"")</f>
        <v/>
      </c>
      <c r="C284" s="41">
        <f>IFERROR(IF(A284="","",AVERAGEIFS(_Calc!$B$3:$B$20002,_Calc!$C$3:$C$20002,A284)),"")</f>
        <v/>
      </c>
      <c r="D284" s="42">
        <f>IFERROR(IF(A284="","",COUNTIFS(_Calc!$B$3:$B$20002,"&gt;="&amp;70,_Calc!$B$3:$B$20002,"&lt;="&amp;180,_Calc!$C$3:$C$20002,A284)/COUNTIFS(_Calc!$C$3:$C$20002,A284,_Calc!$B$3:$B$20002,"&lt;&gt;")*100),"")</f>
        <v/>
      </c>
      <c r="E284" s="42">
        <f>IFERROR(IF(A284="","",COUNTIFS(_Calc!$B$3:$B$20002,"&lt;70",_Calc!$C$3:$C$20002,A284)/COUNTIFS(_Calc!$C$3:$C$20002,A284,_Calc!$B$3:$B$20002,"&lt;&gt;")*100),"")</f>
        <v/>
      </c>
      <c r="F284" s="42">
        <f>IFERROR(IF(A284="","",COUNTIFS(_Calc!$B$3:$B$20002,"&gt;180",_Calc!$C$3:$C$20002,A284)/COUNTIFS(_Calc!$C$3:$C$20002,A284,_Calc!$B$3:$B$20002,"&lt;&gt;")*100),"")</f>
        <v/>
      </c>
      <c r="G284" s="43">
        <f>IFERROR(IF(A284="","",IF(D284&gt;=70,"✓ Good",IF(E284&gt;4,"Low glucose","High glucose"))),"")</f>
        <v/>
      </c>
    </row>
    <row r="285">
      <c r="B285" s="40">
        <f>IFERROR(IF(A285="","",COUNTIFS(_Calc!$C$3:$C$20002,A285,_Calc!$B$3:$B$20002,"&lt;&gt;")),"")</f>
        <v/>
      </c>
      <c r="C285" s="41">
        <f>IFERROR(IF(A285="","",AVERAGEIFS(_Calc!$B$3:$B$20002,_Calc!$C$3:$C$20002,A285)),"")</f>
        <v/>
      </c>
      <c r="D285" s="42">
        <f>IFERROR(IF(A285="","",COUNTIFS(_Calc!$B$3:$B$20002,"&gt;="&amp;70,_Calc!$B$3:$B$20002,"&lt;="&amp;180,_Calc!$C$3:$C$20002,A285)/COUNTIFS(_Calc!$C$3:$C$20002,A285,_Calc!$B$3:$B$20002,"&lt;&gt;")*100),"")</f>
        <v/>
      </c>
      <c r="E285" s="42">
        <f>IFERROR(IF(A285="","",COUNTIFS(_Calc!$B$3:$B$20002,"&lt;70",_Calc!$C$3:$C$20002,A285)/COUNTIFS(_Calc!$C$3:$C$20002,A285,_Calc!$B$3:$B$20002,"&lt;&gt;")*100),"")</f>
        <v/>
      </c>
      <c r="F285" s="42">
        <f>IFERROR(IF(A285="","",COUNTIFS(_Calc!$B$3:$B$20002,"&gt;180",_Calc!$C$3:$C$20002,A285)/COUNTIFS(_Calc!$C$3:$C$20002,A285,_Calc!$B$3:$B$20002,"&lt;&gt;")*100),"")</f>
        <v/>
      </c>
      <c r="G285" s="43">
        <f>IFERROR(IF(A285="","",IF(D285&gt;=70,"✓ Good",IF(E285&gt;4,"Low glucose","High glucose"))),"")</f>
        <v/>
      </c>
    </row>
    <row r="286">
      <c r="B286" s="40">
        <f>IFERROR(IF(A286="","",COUNTIFS(_Calc!$C$3:$C$20002,A286,_Calc!$B$3:$B$20002,"&lt;&gt;")),"")</f>
        <v/>
      </c>
      <c r="C286" s="41">
        <f>IFERROR(IF(A286="","",AVERAGEIFS(_Calc!$B$3:$B$20002,_Calc!$C$3:$C$20002,A286)),"")</f>
        <v/>
      </c>
      <c r="D286" s="42">
        <f>IFERROR(IF(A286="","",COUNTIFS(_Calc!$B$3:$B$20002,"&gt;="&amp;70,_Calc!$B$3:$B$20002,"&lt;="&amp;180,_Calc!$C$3:$C$20002,A286)/COUNTIFS(_Calc!$C$3:$C$20002,A286,_Calc!$B$3:$B$20002,"&lt;&gt;")*100),"")</f>
        <v/>
      </c>
      <c r="E286" s="42">
        <f>IFERROR(IF(A286="","",COUNTIFS(_Calc!$B$3:$B$20002,"&lt;70",_Calc!$C$3:$C$20002,A286)/COUNTIFS(_Calc!$C$3:$C$20002,A286,_Calc!$B$3:$B$20002,"&lt;&gt;")*100),"")</f>
        <v/>
      </c>
      <c r="F286" s="42">
        <f>IFERROR(IF(A286="","",COUNTIFS(_Calc!$B$3:$B$20002,"&gt;180",_Calc!$C$3:$C$20002,A286)/COUNTIFS(_Calc!$C$3:$C$20002,A286,_Calc!$B$3:$B$20002,"&lt;&gt;")*100),"")</f>
        <v/>
      </c>
      <c r="G286" s="43">
        <f>IFERROR(IF(A286="","",IF(D286&gt;=70,"✓ Good",IF(E286&gt;4,"Low glucose","High glucose"))),"")</f>
        <v/>
      </c>
    </row>
    <row r="287">
      <c r="B287" s="40">
        <f>IFERROR(IF(A287="","",COUNTIFS(_Calc!$C$3:$C$20002,A287,_Calc!$B$3:$B$20002,"&lt;&gt;")),"")</f>
        <v/>
      </c>
      <c r="C287" s="41">
        <f>IFERROR(IF(A287="","",AVERAGEIFS(_Calc!$B$3:$B$20002,_Calc!$C$3:$C$20002,A287)),"")</f>
        <v/>
      </c>
      <c r="D287" s="42">
        <f>IFERROR(IF(A287="","",COUNTIFS(_Calc!$B$3:$B$20002,"&gt;="&amp;70,_Calc!$B$3:$B$20002,"&lt;="&amp;180,_Calc!$C$3:$C$20002,A287)/COUNTIFS(_Calc!$C$3:$C$20002,A287,_Calc!$B$3:$B$20002,"&lt;&gt;")*100),"")</f>
        <v/>
      </c>
      <c r="E287" s="42">
        <f>IFERROR(IF(A287="","",COUNTIFS(_Calc!$B$3:$B$20002,"&lt;70",_Calc!$C$3:$C$20002,A287)/COUNTIFS(_Calc!$C$3:$C$20002,A287,_Calc!$B$3:$B$20002,"&lt;&gt;")*100),"")</f>
        <v/>
      </c>
      <c r="F287" s="42">
        <f>IFERROR(IF(A287="","",COUNTIFS(_Calc!$B$3:$B$20002,"&gt;180",_Calc!$C$3:$C$20002,A287)/COUNTIFS(_Calc!$C$3:$C$20002,A287,_Calc!$B$3:$B$20002,"&lt;&gt;")*100),"")</f>
        <v/>
      </c>
      <c r="G287" s="43">
        <f>IFERROR(IF(A287="","",IF(D287&gt;=70,"✓ Good",IF(E287&gt;4,"Low glucose","High glucose"))),"")</f>
        <v/>
      </c>
    </row>
    <row r="288">
      <c r="B288" s="40">
        <f>IFERROR(IF(A288="","",COUNTIFS(_Calc!$C$3:$C$20002,A288,_Calc!$B$3:$B$20002,"&lt;&gt;")),"")</f>
        <v/>
      </c>
      <c r="C288" s="41">
        <f>IFERROR(IF(A288="","",AVERAGEIFS(_Calc!$B$3:$B$20002,_Calc!$C$3:$C$20002,A288)),"")</f>
        <v/>
      </c>
      <c r="D288" s="42">
        <f>IFERROR(IF(A288="","",COUNTIFS(_Calc!$B$3:$B$20002,"&gt;="&amp;70,_Calc!$B$3:$B$20002,"&lt;="&amp;180,_Calc!$C$3:$C$20002,A288)/COUNTIFS(_Calc!$C$3:$C$20002,A288,_Calc!$B$3:$B$20002,"&lt;&gt;")*100),"")</f>
        <v/>
      </c>
      <c r="E288" s="42">
        <f>IFERROR(IF(A288="","",COUNTIFS(_Calc!$B$3:$B$20002,"&lt;70",_Calc!$C$3:$C$20002,A288)/COUNTIFS(_Calc!$C$3:$C$20002,A288,_Calc!$B$3:$B$20002,"&lt;&gt;")*100),"")</f>
        <v/>
      </c>
      <c r="F288" s="42">
        <f>IFERROR(IF(A288="","",COUNTIFS(_Calc!$B$3:$B$20002,"&gt;180",_Calc!$C$3:$C$20002,A288)/COUNTIFS(_Calc!$C$3:$C$20002,A288,_Calc!$B$3:$B$20002,"&lt;&gt;")*100),"")</f>
        <v/>
      </c>
      <c r="G288" s="43">
        <f>IFERROR(IF(A288="","",IF(D288&gt;=70,"✓ Good",IF(E288&gt;4,"Low glucose","High glucose"))),"")</f>
        <v/>
      </c>
    </row>
    <row r="289">
      <c r="B289" s="40">
        <f>IFERROR(IF(A289="","",COUNTIFS(_Calc!$C$3:$C$20002,A289,_Calc!$B$3:$B$20002,"&lt;&gt;")),"")</f>
        <v/>
      </c>
      <c r="C289" s="41">
        <f>IFERROR(IF(A289="","",AVERAGEIFS(_Calc!$B$3:$B$20002,_Calc!$C$3:$C$20002,A289)),"")</f>
        <v/>
      </c>
      <c r="D289" s="42">
        <f>IFERROR(IF(A289="","",COUNTIFS(_Calc!$B$3:$B$20002,"&gt;="&amp;70,_Calc!$B$3:$B$20002,"&lt;="&amp;180,_Calc!$C$3:$C$20002,A289)/COUNTIFS(_Calc!$C$3:$C$20002,A289,_Calc!$B$3:$B$20002,"&lt;&gt;")*100),"")</f>
        <v/>
      </c>
      <c r="E289" s="42">
        <f>IFERROR(IF(A289="","",COUNTIFS(_Calc!$B$3:$B$20002,"&lt;70",_Calc!$C$3:$C$20002,A289)/COUNTIFS(_Calc!$C$3:$C$20002,A289,_Calc!$B$3:$B$20002,"&lt;&gt;")*100),"")</f>
        <v/>
      </c>
      <c r="F289" s="42">
        <f>IFERROR(IF(A289="","",COUNTIFS(_Calc!$B$3:$B$20002,"&gt;180",_Calc!$C$3:$C$20002,A289)/COUNTIFS(_Calc!$C$3:$C$20002,A289,_Calc!$B$3:$B$20002,"&lt;&gt;")*100),"")</f>
        <v/>
      </c>
      <c r="G289" s="43">
        <f>IFERROR(IF(A289="","",IF(D289&gt;=70,"✓ Good",IF(E289&gt;4,"Low glucose","High glucose"))),"")</f>
        <v/>
      </c>
    </row>
    <row r="290">
      <c r="B290" s="40">
        <f>IFERROR(IF(A290="","",COUNTIFS(_Calc!$C$3:$C$20002,A290,_Calc!$B$3:$B$20002,"&lt;&gt;")),"")</f>
        <v/>
      </c>
      <c r="C290" s="41">
        <f>IFERROR(IF(A290="","",AVERAGEIFS(_Calc!$B$3:$B$20002,_Calc!$C$3:$C$20002,A290)),"")</f>
        <v/>
      </c>
      <c r="D290" s="42">
        <f>IFERROR(IF(A290="","",COUNTIFS(_Calc!$B$3:$B$20002,"&gt;="&amp;70,_Calc!$B$3:$B$20002,"&lt;="&amp;180,_Calc!$C$3:$C$20002,A290)/COUNTIFS(_Calc!$C$3:$C$20002,A290,_Calc!$B$3:$B$20002,"&lt;&gt;")*100),"")</f>
        <v/>
      </c>
      <c r="E290" s="42">
        <f>IFERROR(IF(A290="","",COUNTIFS(_Calc!$B$3:$B$20002,"&lt;70",_Calc!$C$3:$C$20002,A290)/COUNTIFS(_Calc!$C$3:$C$20002,A290,_Calc!$B$3:$B$20002,"&lt;&gt;")*100),"")</f>
        <v/>
      </c>
      <c r="F290" s="42">
        <f>IFERROR(IF(A290="","",COUNTIFS(_Calc!$B$3:$B$20002,"&gt;180",_Calc!$C$3:$C$20002,A290)/COUNTIFS(_Calc!$C$3:$C$20002,A290,_Calc!$B$3:$B$20002,"&lt;&gt;")*100),"")</f>
        <v/>
      </c>
      <c r="G290" s="43">
        <f>IFERROR(IF(A290="","",IF(D290&gt;=70,"✓ Good",IF(E290&gt;4,"Low glucose","High glucose"))),"")</f>
        <v/>
      </c>
    </row>
    <row r="291">
      <c r="B291" s="40">
        <f>IFERROR(IF(A291="","",COUNTIFS(_Calc!$C$3:$C$20002,A291,_Calc!$B$3:$B$20002,"&lt;&gt;")),"")</f>
        <v/>
      </c>
      <c r="C291" s="41">
        <f>IFERROR(IF(A291="","",AVERAGEIFS(_Calc!$B$3:$B$20002,_Calc!$C$3:$C$20002,A291)),"")</f>
        <v/>
      </c>
      <c r="D291" s="42">
        <f>IFERROR(IF(A291="","",COUNTIFS(_Calc!$B$3:$B$20002,"&gt;="&amp;70,_Calc!$B$3:$B$20002,"&lt;="&amp;180,_Calc!$C$3:$C$20002,A291)/COUNTIFS(_Calc!$C$3:$C$20002,A291,_Calc!$B$3:$B$20002,"&lt;&gt;")*100),"")</f>
        <v/>
      </c>
      <c r="E291" s="42">
        <f>IFERROR(IF(A291="","",COUNTIFS(_Calc!$B$3:$B$20002,"&lt;70",_Calc!$C$3:$C$20002,A291)/COUNTIFS(_Calc!$C$3:$C$20002,A291,_Calc!$B$3:$B$20002,"&lt;&gt;")*100),"")</f>
        <v/>
      </c>
      <c r="F291" s="42">
        <f>IFERROR(IF(A291="","",COUNTIFS(_Calc!$B$3:$B$20002,"&gt;180",_Calc!$C$3:$C$20002,A291)/COUNTIFS(_Calc!$C$3:$C$20002,A291,_Calc!$B$3:$B$20002,"&lt;&gt;")*100),"")</f>
        <v/>
      </c>
      <c r="G291" s="43">
        <f>IFERROR(IF(A291="","",IF(D291&gt;=70,"✓ Good",IF(E291&gt;4,"Low glucose","High glucose"))),"")</f>
        <v/>
      </c>
    </row>
    <row r="292">
      <c r="B292" s="40">
        <f>IFERROR(IF(A292="","",COUNTIFS(_Calc!$C$3:$C$20002,A292,_Calc!$B$3:$B$20002,"&lt;&gt;")),"")</f>
        <v/>
      </c>
      <c r="C292" s="41">
        <f>IFERROR(IF(A292="","",AVERAGEIFS(_Calc!$B$3:$B$20002,_Calc!$C$3:$C$20002,A292)),"")</f>
        <v/>
      </c>
      <c r="D292" s="42">
        <f>IFERROR(IF(A292="","",COUNTIFS(_Calc!$B$3:$B$20002,"&gt;="&amp;70,_Calc!$B$3:$B$20002,"&lt;="&amp;180,_Calc!$C$3:$C$20002,A292)/COUNTIFS(_Calc!$C$3:$C$20002,A292,_Calc!$B$3:$B$20002,"&lt;&gt;")*100),"")</f>
        <v/>
      </c>
      <c r="E292" s="42">
        <f>IFERROR(IF(A292="","",COUNTIFS(_Calc!$B$3:$B$20002,"&lt;70",_Calc!$C$3:$C$20002,A292)/COUNTIFS(_Calc!$C$3:$C$20002,A292,_Calc!$B$3:$B$20002,"&lt;&gt;")*100),"")</f>
        <v/>
      </c>
      <c r="F292" s="42">
        <f>IFERROR(IF(A292="","",COUNTIFS(_Calc!$B$3:$B$20002,"&gt;180",_Calc!$C$3:$C$20002,A292)/COUNTIFS(_Calc!$C$3:$C$20002,A292,_Calc!$B$3:$B$20002,"&lt;&gt;")*100),"")</f>
        <v/>
      </c>
      <c r="G292" s="43">
        <f>IFERROR(IF(A292="","",IF(D292&gt;=70,"✓ Good",IF(E292&gt;4,"Low glucose","High glucose"))),"")</f>
        <v/>
      </c>
    </row>
    <row r="293">
      <c r="B293" s="40">
        <f>IFERROR(IF(A293="","",COUNTIFS(_Calc!$C$3:$C$20002,A293,_Calc!$B$3:$B$20002,"&lt;&gt;")),"")</f>
        <v/>
      </c>
      <c r="C293" s="41">
        <f>IFERROR(IF(A293="","",AVERAGEIFS(_Calc!$B$3:$B$20002,_Calc!$C$3:$C$20002,A293)),"")</f>
        <v/>
      </c>
      <c r="D293" s="42">
        <f>IFERROR(IF(A293="","",COUNTIFS(_Calc!$B$3:$B$20002,"&gt;="&amp;70,_Calc!$B$3:$B$20002,"&lt;="&amp;180,_Calc!$C$3:$C$20002,A293)/COUNTIFS(_Calc!$C$3:$C$20002,A293,_Calc!$B$3:$B$20002,"&lt;&gt;")*100),"")</f>
        <v/>
      </c>
      <c r="E293" s="42">
        <f>IFERROR(IF(A293="","",COUNTIFS(_Calc!$B$3:$B$20002,"&lt;70",_Calc!$C$3:$C$20002,A293)/COUNTIFS(_Calc!$C$3:$C$20002,A293,_Calc!$B$3:$B$20002,"&lt;&gt;")*100),"")</f>
        <v/>
      </c>
      <c r="F293" s="42">
        <f>IFERROR(IF(A293="","",COUNTIFS(_Calc!$B$3:$B$20002,"&gt;180",_Calc!$C$3:$C$20002,A293)/COUNTIFS(_Calc!$C$3:$C$20002,A293,_Calc!$B$3:$B$20002,"&lt;&gt;")*100),"")</f>
        <v/>
      </c>
      <c r="G293" s="43">
        <f>IFERROR(IF(A293="","",IF(D293&gt;=70,"✓ Good",IF(E293&gt;4,"Low glucose","High glucose"))),"")</f>
        <v/>
      </c>
    </row>
    <row r="294">
      <c r="B294" s="40">
        <f>IFERROR(IF(A294="","",COUNTIFS(_Calc!$C$3:$C$20002,A294,_Calc!$B$3:$B$20002,"&lt;&gt;")),"")</f>
        <v/>
      </c>
      <c r="C294" s="41">
        <f>IFERROR(IF(A294="","",AVERAGEIFS(_Calc!$B$3:$B$20002,_Calc!$C$3:$C$20002,A294)),"")</f>
        <v/>
      </c>
      <c r="D294" s="42">
        <f>IFERROR(IF(A294="","",COUNTIFS(_Calc!$B$3:$B$20002,"&gt;="&amp;70,_Calc!$B$3:$B$20002,"&lt;="&amp;180,_Calc!$C$3:$C$20002,A294)/COUNTIFS(_Calc!$C$3:$C$20002,A294,_Calc!$B$3:$B$20002,"&lt;&gt;")*100),"")</f>
        <v/>
      </c>
      <c r="E294" s="42">
        <f>IFERROR(IF(A294="","",COUNTIFS(_Calc!$B$3:$B$20002,"&lt;70",_Calc!$C$3:$C$20002,A294)/COUNTIFS(_Calc!$C$3:$C$20002,A294,_Calc!$B$3:$B$20002,"&lt;&gt;")*100),"")</f>
        <v/>
      </c>
      <c r="F294" s="42">
        <f>IFERROR(IF(A294="","",COUNTIFS(_Calc!$B$3:$B$20002,"&gt;180",_Calc!$C$3:$C$20002,A294)/COUNTIFS(_Calc!$C$3:$C$20002,A294,_Calc!$B$3:$B$20002,"&lt;&gt;")*100),"")</f>
        <v/>
      </c>
      <c r="G294" s="43">
        <f>IFERROR(IF(A294="","",IF(D294&gt;=70,"✓ Good",IF(E294&gt;4,"Low glucose","High glucose"))),"")</f>
        <v/>
      </c>
    </row>
    <row r="295">
      <c r="B295" s="40">
        <f>IFERROR(IF(A295="","",COUNTIFS(_Calc!$C$3:$C$20002,A295,_Calc!$B$3:$B$20002,"&lt;&gt;")),"")</f>
        <v/>
      </c>
      <c r="C295" s="41">
        <f>IFERROR(IF(A295="","",AVERAGEIFS(_Calc!$B$3:$B$20002,_Calc!$C$3:$C$20002,A295)),"")</f>
        <v/>
      </c>
      <c r="D295" s="42">
        <f>IFERROR(IF(A295="","",COUNTIFS(_Calc!$B$3:$B$20002,"&gt;="&amp;70,_Calc!$B$3:$B$20002,"&lt;="&amp;180,_Calc!$C$3:$C$20002,A295)/COUNTIFS(_Calc!$C$3:$C$20002,A295,_Calc!$B$3:$B$20002,"&lt;&gt;")*100),"")</f>
        <v/>
      </c>
      <c r="E295" s="42">
        <f>IFERROR(IF(A295="","",COUNTIFS(_Calc!$B$3:$B$20002,"&lt;70",_Calc!$C$3:$C$20002,A295)/COUNTIFS(_Calc!$C$3:$C$20002,A295,_Calc!$B$3:$B$20002,"&lt;&gt;")*100),"")</f>
        <v/>
      </c>
      <c r="F295" s="42">
        <f>IFERROR(IF(A295="","",COUNTIFS(_Calc!$B$3:$B$20002,"&gt;180",_Calc!$C$3:$C$20002,A295)/COUNTIFS(_Calc!$C$3:$C$20002,A295,_Calc!$B$3:$B$20002,"&lt;&gt;")*100),"")</f>
        <v/>
      </c>
      <c r="G295" s="43">
        <f>IFERROR(IF(A295="","",IF(D295&gt;=70,"✓ Good",IF(E295&gt;4,"Low glucose","High glucose"))),"")</f>
        <v/>
      </c>
    </row>
    <row r="296">
      <c r="B296" s="40">
        <f>IFERROR(IF(A296="","",COUNTIFS(_Calc!$C$3:$C$20002,A296,_Calc!$B$3:$B$20002,"&lt;&gt;")),"")</f>
        <v/>
      </c>
      <c r="C296" s="41">
        <f>IFERROR(IF(A296="","",AVERAGEIFS(_Calc!$B$3:$B$20002,_Calc!$C$3:$C$20002,A296)),"")</f>
        <v/>
      </c>
      <c r="D296" s="42">
        <f>IFERROR(IF(A296="","",COUNTIFS(_Calc!$B$3:$B$20002,"&gt;="&amp;70,_Calc!$B$3:$B$20002,"&lt;="&amp;180,_Calc!$C$3:$C$20002,A296)/COUNTIFS(_Calc!$C$3:$C$20002,A296,_Calc!$B$3:$B$20002,"&lt;&gt;")*100),"")</f>
        <v/>
      </c>
      <c r="E296" s="42">
        <f>IFERROR(IF(A296="","",COUNTIFS(_Calc!$B$3:$B$20002,"&lt;70",_Calc!$C$3:$C$20002,A296)/COUNTIFS(_Calc!$C$3:$C$20002,A296,_Calc!$B$3:$B$20002,"&lt;&gt;")*100),"")</f>
        <v/>
      </c>
      <c r="F296" s="42">
        <f>IFERROR(IF(A296="","",COUNTIFS(_Calc!$B$3:$B$20002,"&gt;180",_Calc!$C$3:$C$20002,A296)/COUNTIFS(_Calc!$C$3:$C$20002,A296,_Calc!$B$3:$B$20002,"&lt;&gt;")*100),"")</f>
        <v/>
      </c>
      <c r="G296" s="43">
        <f>IFERROR(IF(A296="","",IF(D296&gt;=70,"✓ Good",IF(E296&gt;4,"Low glucose","High glucose"))),"")</f>
        <v/>
      </c>
    </row>
    <row r="297">
      <c r="B297" s="40">
        <f>IFERROR(IF(A297="","",COUNTIFS(_Calc!$C$3:$C$20002,A297,_Calc!$B$3:$B$20002,"&lt;&gt;")),"")</f>
        <v/>
      </c>
      <c r="C297" s="41">
        <f>IFERROR(IF(A297="","",AVERAGEIFS(_Calc!$B$3:$B$20002,_Calc!$C$3:$C$20002,A297)),"")</f>
        <v/>
      </c>
      <c r="D297" s="42">
        <f>IFERROR(IF(A297="","",COUNTIFS(_Calc!$B$3:$B$20002,"&gt;="&amp;70,_Calc!$B$3:$B$20002,"&lt;="&amp;180,_Calc!$C$3:$C$20002,A297)/COUNTIFS(_Calc!$C$3:$C$20002,A297,_Calc!$B$3:$B$20002,"&lt;&gt;")*100),"")</f>
        <v/>
      </c>
      <c r="E297" s="42">
        <f>IFERROR(IF(A297="","",COUNTIFS(_Calc!$B$3:$B$20002,"&lt;70",_Calc!$C$3:$C$20002,A297)/COUNTIFS(_Calc!$C$3:$C$20002,A297,_Calc!$B$3:$B$20002,"&lt;&gt;")*100),"")</f>
        <v/>
      </c>
      <c r="F297" s="42">
        <f>IFERROR(IF(A297="","",COUNTIFS(_Calc!$B$3:$B$20002,"&gt;180",_Calc!$C$3:$C$20002,A297)/COUNTIFS(_Calc!$C$3:$C$20002,A297,_Calc!$B$3:$B$20002,"&lt;&gt;")*100),"")</f>
        <v/>
      </c>
      <c r="G297" s="43">
        <f>IFERROR(IF(A297="","",IF(D297&gt;=70,"✓ Good",IF(E297&gt;4,"Low glucose","High glucose"))),"")</f>
        <v/>
      </c>
    </row>
    <row r="298">
      <c r="B298" s="40">
        <f>IFERROR(IF(A298="","",COUNTIFS(_Calc!$C$3:$C$20002,A298,_Calc!$B$3:$B$20002,"&lt;&gt;")),"")</f>
        <v/>
      </c>
      <c r="C298" s="41">
        <f>IFERROR(IF(A298="","",AVERAGEIFS(_Calc!$B$3:$B$20002,_Calc!$C$3:$C$20002,A298)),"")</f>
        <v/>
      </c>
      <c r="D298" s="42">
        <f>IFERROR(IF(A298="","",COUNTIFS(_Calc!$B$3:$B$20002,"&gt;="&amp;70,_Calc!$B$3:$B$20002,"&lt;="&amp;180,_Calc!$C$3:$C$20002,A298)/COUNTIFS(_Calc!$C$3:$C$20002,A298,_Calc!$B$3:$B$20002,"&lt;&gt;")*100),"")</f>
        <v/>
      </c>
      <c r="E298" s="42">
        <f>IFERROR(IF(A298="","",COUNTIFS(_Calc!$B$3:$B$20002,"&lt;70",_Calc!$C$3:$C$20002,A298)/COUNTIFS(_Calc!$C$3:$C$20002,A298,_Calc!$B$3:$B$20002,"&lt;&gt;")*100),"")</f>
        <v/>
      </c>
      <c r="F298" s="42">
        <f>IFERROR(IF(A298="","",COUNTIFS(_Calc!$B$3:$B$20002,"&gt;180",_Calc!$C$3:$C$20002,A298)/COUNTIFS(_Calc!$C$3:$C$20002,A298,_Calc!$B$3:$B$20002,"&lt;&gt;")*100),"")</f>
        <v/>
      </c>
      <c r="G298" s="43">
        <f>IFERROR(IF(A298="","",IF(D298&gt;=70,"✓ Good",IF(E298&gt;4,"Low glucose","High glucose"))),"")</f>
        <v/>
      </c>
    </row>
    <row r="299">
      <c r="B299" s="40">
        <f>IFERROR(IF(A299="","",COUNTIFS(_Calc!$C$3:$C$20002,A299,_Calc!$B$3:$B$20002,"&lt;&gt;")),"")</f>
        <v/>
      </c>
      <c r="C299" s="41">
        <f>IFERROR(IF(A299="","",AVERAGEIFS(_Calc!$B$3:$B$20002,_Calc!$C$3:$C$20002,A299)),"")</f>
        <v/>
      </c>
      <c r="D299" s="42">
        <f>IFERROR(IF(A299="","",COUNTIFS(_Calc!$B$3:$B$20002,"&gt;="&amp;70,_Calc!$B$3:$B$20002,"&lt;="&amp;180,_Calc!$C$3:$C$20002,A299)/COUNTIFS(_Calc!$C$3:$C$20002,A299,_Calc!$B$3:$B$20002,"&lt;&gt;")*100),"")</f>
        <v/>
      </c>
      <c r="E299" s="42">
        <f>IFERROR(IF(A299="","",COUNTIFS(_Calc!$B$3:$B$20002,"&lt;70",_Calc!$C$3:$C$20002,A299)/COUNTIFS(_Calc!$C$3:$C$20002,A299,_Calc!$B$3:$B$20002,"&lt;&gt;")*100),"")</f>
        <v/>
      </c>
      <c r="F299" s="42">
        <f>IFERROR(IF(A299="","",COUNTIFS(_Calc!$B$3:$B$20002,"&gt;180",_Calc!$C$3:$C$20002,A299)/COUNTIFS(_Calc!$C$3:$C$20002,A299,_Calc!$B$3:$B$20002,"&lt;&gt;")*100),"")</f>
        <v/>
      </c>
      <c r="G299" s="43">
        <f>IFERROR(IF(A299="","",IF(D299&gt;=70,"✓ Good",IF(E299&gt;4,"Low glucose","High glucose"))),"")</f>
        <v/>
      </c>
    </row>
    <row r="300">
      <c r="B300" s="40">
        <f>IFERROR(IF(A300="","",COUNTIFS(_Calc!$C$3:$C$20002,A300,_Calc!$B$3:$B$20002,"&lt;&gt;")),"")</f>
        <v/>
      </c>
      <c r="C300" s="41">
        <f>IFERROR(IF(A300="","",AVERAGEIFS(_Calc!$B$3:$B$20002,_Calc!$C$3:$C$20002,A300)),"")</f>
        <v/>
      </c>
      <c r="D300" s="42">
        <f>IFERROR(IF(A300="","",COUNTIFS(_Calc!$B$3:$B$20002,"&gt;="&amp;70,_Calc!$B$3:$B$20002,"&lt;="&amp;180,_Calc!$C$3:$C$20002,A300)/COUNTIFS(_Calc!$C$3:$C$20002,A300,_Calc!$B$3:$B$20002,"&lt;&gt;")*100),"")</f>
        <v/>
      </c>
      <c r="E300" s="42">
        <f>IFERROR(IF(A300="","",COUNTIFS(_Calc!$B$3:$B$20002,"&lt;70",_Calc!$C$3:$C$20002,A300)/COUNTIFS(_Calc!$C$3:$C$20002,A300,_Calc!$B$3:$B$20002,"&lt;&gt;")*100),"")</f>
        <v/>
      </c>
      <c r="F300" s="42">
        <f>IFERROR(IF(A300="","",COUNTIFS(_Calc!$B$3:$B$20002,"&gt;180",_Calc!$C$3:$C$20002,A300)/COUNTIFS(_Calc!$C$3:$C$20002,A300,_Calc!$B$3:$B$20002,"&lt;&gt;")*100),"")</f>
        <v/>
      </c>
      <c r="G300" s="43">
        <f>IFERROR(IF(A300="","",IF(D300&gt;=70,"✓ Good",IF(E300&gt;4,"Low glucose","High glucose"))),"")</f>
        <v/>
      </c>
    </row>
    <row r="301">
      <c r="B301" s="40">
        <f>IFERROR(IF(A301="","",COUNTIFS(_Calc!$C$3:$C$20002,A301,_Calc!$B$3:$B$20002,"&lt;&gt;")),"")</f>
        <v/>
      </c>
      <c r="C301" s="41">
        <f>IFERROR(IF(A301="","",AVERAGEIFS(_Calc!$B$3:$B$20002,_Calc!$C$3:$C$20002,A301)),"")</f>
        <v/>
      </c>
      <c r="D301" s="42">
        <f>IFERROR(IF(A301="","",COUNTIFS(_Calc!$B$3:$B$20002,"&gt;="&amp;70,_Calc!$B$3:$B$20002,"&lt;="&amp;180,_Calc!$C$3:$C$20002,A301)/COUNTIFS(_Calc!$C$3:$C$20002,A301,_Calc!$B$3:$B$20002,"&lt;&gt;")*100),"")</f>
        <v/>
      </c>
      <c r="E301" s="42">
        <f>IFERROR(IF(A301="","",COUNTIFS(_Calc!$B$3:$B$20002,"&lt;70",_Calc!$C$3:$C$20002,A301)/COUNTIFS(_Calc!$C$3:$C$20002,A301,_Calc!$B$3:$B$20002,"&lt;&gt;")*100),"")</f>
        <v/>
      </c>
      <c r="F301" s="42">
        <f>IFERROR(IF(A301="","",COUNTIFS(_Calc!$B$3:$B$20002,"&gt;180",_Calc!$C$3:$C$20002,A301)/COUNTIFS(_Calc!$C$3:$C$20002,A301,_Calc!$B$3:$B$20002,"&lt;&gt;")*100),"")</f>
        <v/>
      </c>
      <c r="G301" s="43">
        <f>IFERROR(IF(A301="","",IF(D301&gt;=70,"✓ Good",IF(E301&gt;4,"Low glucose","High glucose"))),"")</f>
        <v/>
      </c>
    </row>
    <row r="302">
      <c r="B302" s="40">
        <f>IFERROR(IF(A302="","",COUNTIFS(_Calc!$C$3:$C$20002,A302,_Calc!$B$3:$B$20002,"&lt;&gt;")),"")</f>
        <v/>
      </c>
      <c r="C302" s="41">
        <f>IFERROR(IF(A302="","",AVERAGEIFS(_Calc!$B$3:$B$20002,_Calc!$C$3:$C$20002,A302)),"")</f>
        <v/>
      </c>
      <c r="D302" s="42">
        <f>IFERROR(IF(A302="","",COUNTIFS(_Calc!$B$3:$B$20002,"&gt;="&amp;70,_Calc!$B$3:$B$20002,"&lt;="&amp;180,_Calc!$C$3:$C$20002,A302)/COUNTIFS(_Calc!$C$3:$C$20002,A302,_Calc!$B$3:$B$20002,"&lt;&gt;")*100),"")</f>
        <v/>
      </c>
      <c r="E302" s="42">
        <f>IFERROR(IF(A302="","",COUNTIFS(_Calc!$B$3:$B$20002,"&lt;70",_Calc!$C$3:$C$20002,A302)/COUNTIFS(_Calc!$C$3:$C$20002,A302,_Calc!$B$3:$B$20002,"&lt;&gt;")*100),"")</f>
        <v/>
      </c>
      <c r="F302" s="42">
        <f>IFERROR(IF(A302="","",COUNTIFS(_Calc!$B$3:$B$20002,"&gt;180",_Calc!$C$3:$C$20002,A302)/COUNTIFS(_Calc!$C$3:$C$20002,A302,_Calc!$B$3:$B$20002,"&lt;&gt;")*100),"")</f>
        <v/>
      </c>
      <c r="G302" s="43">
        <f>IFERROR(IF(A302="","",IF(D302&gt;=70,"✓ Good",IF(E302&gt;4,"Low glucose","High glucose"))),"")</f>
        <v/>
      </c>
    </row>
    <row r="303">
      <c r="B303" s="40">
        <f>IFERROR(IF(A303="","",COUNTIFS(_Calc!$C$3:$C$20002,A303,_Calc!$B$3:$B$20002,"&lt;&gt;")),"")</f>
        <v/>
      </c>
      <c r="C303" s="41">
        <f>IFERROR(IF(A303="","",AVERAGEIFS(_Calc!$B$3:$B$20002,_Calc!$C$3:$C$20002,A303)),"")</f>
        <v/>
      </c>
      <c r="D303" s="42">
        <f>IFERROR(IF(A303="","",COUNTIFS(_Calc!$B$3:$B$20002,"&gt;="&amp;70,_Calc!$B$3:$B$20002,"&lt;="&amp;180,_Calc!$C$3:$C$20002,A303)/COUNTIFS(_Calc!$C$3:$C$20002,A303,_Calc!$B$3:$B$20002,"&lt;&gt;")*100),"")</f>
        <v/>
      </c>
      <c r="E303" s="42">
        <f>IFERROR(IF(A303="","",COUNTIFS(_Calc!$B$3:$B$20002,"&lt;70",_Calc!$C$3:$C$20002,A303)/COUNTIFS(_Calc!$C$3:$C$20002,A303,_Calc!$B$3:$B$20002,"&lt;&gt;")*100),"")</f>
        <v/>
      </c>
      <c r="F303" s="42">
        <f>IFERROR(IF(A303="","",COUNTIFS(_Calc!$B$3:$B$20002,"&gt;180",_Calc!$C$3:$C$20002,A303)/COUNTIFS(_Calc!$C$3:$C$20002,A303,_Calc!$B$3:$B$20002,"&lt;&gt;")*100),"")</f>
        <v/>
      </c>
      <c r="G303" s="43">
        <f>IFERROR(IF(A303="","",IF(D303&gt;=70,"✓ Good",IF(E303&gt;4,"Low glucose","High glucose"))),"")</f>
        <v/>
      </c>
    </row>
    <row r="304">
      <c r="B304" s="40">
        <f>IFERROR(IF(A304="","",COUNTIFS(_Calc!$C$3:$C$20002,A304,_Calc!$B$3:$B$20002,"&lt;&gt;")),"")</f>
        <v/>
      </c>
      <c r="C304" s="41">
        <f>IFERROR(IF(A304="","",AVERAGEIFS(_Calc!$B$3:$B$20002,_Calc!$C$3:$C$20002,A304)),"")</f>
        <v/>
      </c>
      <c r="D304" s="42">
        <f>IFERROR(IF(A304="","",COUNTIFS(_Calc!$B$3:$B$20002,"&gt;="&amp;70,_Calc!$B$3:$B$20002,"&lt;="&amp;180,_Calc!$C$3:$C$20002,A304)/COUNTIFS(_Calc!$C$3:$C$20002,A304,_Calc!$B$3:$B$20002,"&lt;&gt;")*100),"")</f>
        <v/>
      </c>
      <c r="E304" s="42">
        <f>IFERROR(IF(A304="","",COUNTIFS(_Calc!$B$3:$B$20002,"&lt;70",_Calc!$C$3:$C$20002,A304)/COUNTIFS(_Calc!$C$3:$C$20002,A304,_Calc!$B$3:$B$20002,"&lt;&gt;")*100),"")</f>
        <v/>
      </c>
      <c r="F304" s="42">
        <f>IFERROR(IF(A304="","",COUNTIFS(_Calc!$B$3:$B$20002,"&gt;180",_Calc!$C$3:$C$20002,A304)/COUNTIFS(_Calc!$C$3:$C$20002,A304,_Calc!$B$3:$B$20002,"&lt;&gt;")*100),"")</f>
        <v/>
      </c>
      <c r="G304" s="43">
        <f>IFERROR(IF(A304="","",IF(D304&gt;=70,"✓ Good",IF(E304&gt;4,"Low glucose","High glucose"))),"")</f>
        <v/>
      </c>
    </row>
    <row r="305">
      <c r="B305" s="40">
        <f>IFERROR(IF(A305="","",COUNTIFS(_Calc!$C$3:$C$20002,A305,_Calc!$B$3:$B$20002,"&lt;&gt;")),"")</f>
        <v/>
      </c>
      <c r="C305" s="41">
        <f>IFERROR(IF(A305="","",AVERAGEIFS(_Calc!$B$3:$B$20002,_Calc!$C$3:$C$20002,A305)),"")</f>
        <v/>
      </c>
      <c r="D305" s="42">
        <f>IFERROR(IF(A305="","",COUNTIFS(_Calc!$B$3:$B$20002,"&gt;="&amp;70,_Calc!$B$3:$B$20002,"&lt;="&amp;180,_Calc!$C$3:$C$20002,A305)/COUNTIFS(_Calc!$C$3:$C$20002,A305,_Calc!$B$3:$B$20002,"&lt;&gt;")*100),"")</f>
        <v/>
      </c>
      <c r="E305" s="42">
        <f>IFERROR(IF(A305="","",COUNTIFS(_Calc!$B$3:$B$20002,"&lt;70",_Calc!$C$3:$C$20002,A305)/COUNTIFS(_Calc!$C$3:$C$20002,A305,_Calc!$B$3:$B$20002,"&lt;&gt;")*100),"")</f>
        <v/>
      </c>
      <c r="F305" s="42">
        <f>IFERROR(IF(A305="","",COUNTIFS(_Calc!$B$3:$B$20002,"&gt;180",_Calc!$C$3:$C$20002,A305)/COUNTIFS(_Calc!$C$3:$C$20002,A305,_Calc!$B$3:$B$20002,"&lt;&gt;")*100),"")</f>
        <v/>
      </c>
      <c r="G305" s="43">
        <f>IFERROR(IF(A305="","",IF(D305&gt;=70,"✓ Good",IF(E305&gt;4,"Low glucose","High glucose"))),"")</f>
        <v/>
      </c>
    </row>
    <row r="306">
      <c r="B306" s="40">
        <f>IFERROR(IF(A306="","",COUNTIFS(_Calc!$C$3:$C$20002,A306,_Calc!$B$3:$B$20002,"&lt;&gt;")),"")</f>
        <v/>
      </c>
      <c r="C306" s="41">
        <f>IFERROR(IF(A306="","",AVERAGEIFS(_Calc!$B$3:$B$20002,_Calc!$C$3:$C$20002,A306)),"")</f>
        <v/>
      </c>
      <c r="D306" s="42">
        <f>IFERROR(IF(A306="","",COUNTIFS(_Calc!$B$3:$B$20002,"&gt;="&amp;70,_Calc!$B$3:$B$20002,"&lt;="&amp;180,_Calc!$C$3:$C$20002,A306)/COUNTIFS(_Calc!$C$3:$C$20002,A306,_Calc!$B$3:$B$20002,"&lt;&gt;")*100),"")</f>
        <v/>
      </c>
      <c r="E306" s="42">
        <f>IFERROR(IF(A306="","",COUNTIFS(_Calc!$B$3:$B$20002,"&lt;70",_Calc!$C$3:$C$20002,A306)/COUNTIFS(_Calc!$C$3:$C$20002,A306,_Calc!$B$3:$B$20002,"&lt;&gt;")*100),"")</f>
        <v/>
      </c>
      <c r="F306" s="42">
        <f>IFERROR(IF(A306="","",COUNTIFS(_Calc!$B$3:$B$20002,"&gt;180",_Calc!$C$3:$C$20002,A306)/COUNTIFS(_Calc!$C$3:$C$20002,A306,_Calc!$B$3:$B$20002,"&lt;&gt;")*100),"")</f>
        <v/>
      </c>
      <c r="G306" s="43">
        <f>IFERROR(IF(A306="","",IF(D306&gt;=70,"✓ Good",IF(E306&gt;4,"Low glucose","High glucose"))),"")</f>
        <v/>
      </c>
    </row>
    <row r="307">
      <c r="B307" s="40">
        <f>IFERROR(IF(A307="","",COUNTIFS(_Calc!$C$3:$C$20002,A307,_Calc!$B$3:$B$20002,"&lt;&gt;")),"")</f>
        <v/>
      </c>
      <c r="C307" s="41">
        <f>IFERROR(IF(A307="","",AVERAGEIFS(_Calc!$B$3:$B$20002,_Calc!$C$3:$C$20002,A307)),"")</f>
        <v/>
      </c>
      <c r="D307" s="42">
        <f>IFERROR(IF(A307="","",COUNTIFS(_Calc!$B$3:$B$20002,"&gt;="&amp;70,_Calc!$B$3:$B$20002,"&lt;="&amp;180,_Calc!$C$3:$C$20002,A307)/COUNTIFS(_Calc!$C$3:$C$20002,A307,_Calc!$B$3:$B$20002,"&lt;&gt;")*100),"")</f>
        <v/>
      </c>
      <c r="E307" s="42">
        <f>IFERROR(IF(A307="","",COUNTIFS(_Calc!$B$3:$B$20002,"&lt;70",_Calc!$C$3:$C$20002,A307)/COUNTIFS(_Calc!$C$3:$C$20002,A307,_Calc!$B$3:$B$20002,"&lt;&gt;")*100),"")</f>
        <v/>
      </c>
      <c r="F307" s="42">
        <f>IFERROR(IF(A307="","",COUNTIFS(_Calc!$B$3:$B$20002,"&gt;180",_Calc!$C$3:$C$20002,A307)/COUNTIFS(_Calc!$C$3:$C$20002,A307,_Calc!$B$3:$B$20002,"&lt;&gt;")*100),"")</f>
        <v/>
      </c>
      <c r="G307" s="43">
        <f>IFERROR(IF(A307="","",IF(D307&gt;=70,"✓ Good",IF(E307&gt;4,"Low glucose","High glucose"))),"")</f>
        <v/>
      </c>
    </row>
    <row r="308">
      <c r="B308" s="40">
        <f>IFERROR(IF(A308="","",COUNTIFS(_Calc!$C$3:$C$20002,A308,_Calc!$B$3:$B$20002,"&lt;&gt;")),"")</f>
        <v/>
      </c>
      <c r="C308" s="41">
        <f>IFERROR(IF(A308="","",AVERAGEIFS(_Calc!$B$3:$B$20002,_Calc!$C$3:$C$20002,A308)),"")</f>
        <v/>
      </c>
      <c r="D308" s="42">
        <f>IFERROR(IF(A308="","",COUNTIFS(_Calc!$B$3:$B$20002,"&gt;="&amp;70,_Calc!$B$3:$B$20002,"&lt;="&amp;180,_Calc!$C$3:$C$20002,A308)/COUNTIFS(_Calc!$C$3:$C$20002,A308,_Calc!$B$3:$B$20002,"&lt;&gt;")*100),"")</f>
        <v/>
      </c>
      <c r="E308" s="42">
        <f>IFERROR(IF(A308="","",COUNTIFS(_Calc!$B$3:$B$20002,"&lt;70",_Calc!$C$3:$C$20002,A308)/COUNTIFS(_Calc!$C$3:$C$20002,A308,_Calc!$B$3:$B$20002,"&lt;&gt;")*100),"")</f>
        <v/>
      </c>
      <c r="F308" s="42">
        <f>IFERROR(IF(A308="","",COUNTIFS(_Calc!$B$3:$B$20002,"&gt;180",_Calc!$C$3:$C$20002,A308)/COUNTIFS(_Calc!$C$3:$C$20002,A308,_Calc!$B$3:$B$20002,"&lt;&gt;")*100),"")</f>
        <v/>
      </c>
      <c r="G308" s="43">
        <f>IFERROR(IF(A308="","",IF(D308&gt;=70,"✓ Good",IF(E308&gt;4,"Low glucose","High glucose"))),"")</f>
        <v/>
      </c>
    </row>
    <row r="309">
      <c r="B309" s="40">
        <f>IFERROR(IF(A309="","",COUNTIFS(_Calc!$C$3:$C$20002,A309,_Calc!$B$3:$B$20002,"&lt;&gt;")),"")</f>
        <v/>
      </c>
      <c r="C309" s="41">
        <f>IFERROR(IF(A309="","",AVERAGEIFS(_Calc!$B$3:$B$20002,_Calc!$C$3:$C$20002,A309)),"")</f>
        <v/>
      </c>
      <c r="D309" s="42">
        <f>IFERROR(IF(A309="","",COUNTIFS(_Calc!$B$3:$B$20002,"&gt;="&amp;70,_Calc!$B$3:$B$20002,"&lt;="&amp;180,_Calc!$C$3:$C$20002,A309)/COUNTIFS(_Calc!$C$3:$C$20002,A309,_Calc!$B$3:$B$20002,"&lt;&gt;")*100),"")</f>
        <v/>
      </c>
      <c r="E309" s="42">
        <f>IFERROR(IF(A309="","",COUNTIFS(_Calc!$B$3:$B$20002,"&lt;70",_Calc!$C$3:$C$20002,A309)/COUNTIFS(_Calc!$C$3:$C$20002,A309,_Calc!$B$3:$B$20002,"&lt;&gt;")*100),"")</f>
        <v/>
      </c>
      <c r="F309" s="42">
        <f>IFERROR(IF(A309="","",COUNTIFS(_Calc!$B$3:$B$20002,"&gt;180",_Calc!$C$3:$C$20002,A309)/COUNTIFS(_Calc!$C$3:$C$20002,A309,_Calc!$B$3:$B$20002,"&lt;&gt;")*100),"")</f>
        <v/>
      </c>
      <c r="G309" s="43">
        <f>IFERROR(IF(A309="","",IF(D309&gt;=70,"✓ Good",IF(E309&gt;4,"Low glucose","High glucose"))),"")</f>
        <v/>
      </c>
    </row>
    <row r="310">
      <c r="B310" s="40">
        <f>IFERROR(IF(A310="","",COUNTIFS(_Calc!$C$3:$C$20002,A310,_Calc!$B$3:$B$20002,"&lt;&gt;")),"")</f>
        <v/>
      </c>
      <c r="C310" s="41">
        <f>IFERROR(IF(A310="","",AVERAGEIFS(_Calc!$B$3:$B$20002,_Calc!$C$3:$C$20002,A310)),"")</f>
        <v/>
      </c>
      <c r="D310" s="42">
        <f>IFERROR(IF(A310="","",COUNTIFS(_Calc!$B$3:$B$20002,"&gt;="&amp;70,_Calc!$B$3:$B$20002,"&lt;="&amp;180,_Calc!$C$3:$C$20002,A310)/COUNTIFS(_Calc!$C$3:$C$20002,A310,_Calc!$B$3:$B$20002,"&lt;&gt;")*100),"")</f>
        <v/>
      </c>
      <c r="E310" s="42">
        <f>IFERROR(IF(A310="","",COUNTIFS(_Calc!$B$3:$B$20002,"&lt;70",_Calc!$C$3:$C$20002,A310)/COUNTIFS(_Calc!$C$3:$C$20002,A310,_Calc!$B$3:$B$20002,"&lt;&gt;")*100),"")</f>
        <v/>
      </c>
      <c r="F310" s="42">
        <f>IFERROR(IF(A310="","",COUNTIFS(_Calc!$B$3:$B$20002,"&gt;180",_Calc!$C$3:$C$20002,A310)/COUNTIFS(_Calc!$C$3:$C$20002,A310,_Calc!$B$3:$B$20002,"&lt;&gt;")*100),"")</f>
        <v/>
      </c>
      <c r="G310" s="43">
        <f>IFERROR(IF(A310="","",IF(D310&gt;=70,"✓ Good",IF(E310&gt;4,"Low glucose","High glucose"))),"")</f>
        <v/>
      </c>
    </row>
    <row r="311">
      <c r="B311" s="40">
        <f>IFERROR(IF(A311="","",COUNTIFS(_Calc!$C$3:$C$20002,A311,_Calc!$B$3:$B$20002,"&lt;&gt;")),"")</f>
        <v/>
      </c>
      <c r="C311" s="41">
        <f>IFERROR(IF(A311="","",AVERAGEIFS(_Calc!$B$3:$B$20002,_Calc!$C$3:$C$20002,A311)),"")</f>
        <v/>
      </c>
      <c r="D311" s="42">
        <f>IFERROR(IF(A311="","",COUNTIFS(_Calc!$B$3:$B$20002,"&gt;="&amp;70,_Calc!$B$3:$B$20002,"&lt;="&amp;180,_Calc!$C$3:$C$20002,A311)/COUNTIFS(_Calc!$C$3:$C$20002,A311,_Calc!$B$3:$B$20002,"&lt;&gt;")*100),"")</f>
        <v/>
      </c>
      <c r="E311" s="42">
        <f>IFERROR(IF(A311="","",COUNTIFS(_Calc!$B$3:$B$20002,"&lt;70",_Calc!$C$3:$C$20002,A311)/COUNTIFS(_Calc!$C$3:$C$20002,A311,_Calc!$B$3:$B$20002,"&lt;&gt;")*100),"")</f>
        <v/>
      </c>
      <c r="F311" s="42">
        <f>IFERROR(IF(A311="","",COUNTIFS(_Calc!$B$3:$B$20002,"&gt;180",_Calc!$C$3:$C$20002,A311)/COUNTIFS(_Calc!$C$3:$C$20002,A311,_Calc!$B$3:$B$20002,"&lt;&gt;")*100),"")</f>
        <v/>
      </c>
      <c r="G311" s="43">
        <f>IFERROR(IF(A311="","",IF(D311&gt;=70,"✓ Good",IF(E311&gt;4,"Low glucose","High glucose"))),"")</f>
        <v/>
      </c>
    </row>
    <row r="312">
      <c r="B312" s="40">
        <f>IFERROR(IF(A312="","",COUNTIFS(_Calc!$C$3:$C$20002,A312,_Calc!$B$3:$B$20002,"&lt;&gt;")),"")</f>
        <v/>
      </c>
      <c r="C312" s="41">
        <f>IFERROR(IF(A312="","",AVERAGEIFS(_Calc!$B$3:$B$20002,_Calc!$C$3:$C$20002,A312)),"")</f>
        <v/>
      </c>
      <c r="D312" s="42">
        <f>IFERROR(IF(A312="","",COUNTIFS(_Calc!$B$3:$B$20002,"&gt;="&amp;70,_Calc!$B$3:$B$20002,"&lt;="&amp;180,_Calc!$C$3:$C$20002,A312)/COUNTIFS(_Calc!$C$3:$C$20002,A312,_Calc!$B$3:$B$20002,"&lt;&gt;")*100),"")</f>
        <v/>
      </c>
      <c r="E312" s="42">
        <f>IFERROR(IF(A312="","",COUNTIFS(_Calc!$B$3:$B$20002,"&lt;70",_Calc!$C$3:$C$20002,A312)/COUNTIFS(_Calc!$C$3:$C$20002,A312,_Calc!$B$3:$B$20002,"&lt;&gt;")*100),"")</f>
        <v/>
      </c>
      <c r="F312" s="42">
        <f>IFERROR(IF(A312="","",COUNTIFS(_Calc!$B$3:$B$20002,"&gt;180",_Calc!$C$3:$C$20002,A312)/COUNTIFS(_Calc!$C$3:$C$20002,A312,_Calc!$B$3:$B$20002,"&lt;&gt;")*100),"")</f>
        <v/>
      </c>
      <c r="G312" s="43">
        <f>IFERROR(IF(A312="","",IF(D312&gt;=70,"✓ Good",IF(E312&gt;4,"Low glucose","High glucose"))),"")</f>
        <v/>
      </c>
    </row>
    <row r="313">
      <c r="B313" s="40">
        <f>IFERROR(IF(A313="","",COUNTIFS(_Calc!$C$3:$C$20002,A313,_Calc!$B$3:$B$20002,"&lt;&gt;")),"")</f>
        <v/>
      </c>
      <c r="C313" s="41">
        <f>IFERROR(IF(A313="","",AVERAGEIFS(_Calc!$B$3:$B$20002,_Calc!$C$3:$C$20002,A313)),"")</f>
        <v/>
      </c>
      <c r="D313" s="42">
        <f>IFERROR(IF(A313="","",COUNTIFS(_Calc!$B$3:$B$20002,"&gt;="&amp;70,_Calc!$B$3:$B$20002,"&lt;="&amp;180,_Calc!$C$3:$C$20002,A313)/COUNTIFS(_Calc!$C$3:$C$20002,A313,_Calc!$B$3:$B$20002,"&lt;&gt;")*100),"")</f>
        <v/>
      </c>
      <c r="E313" s="42">
        <f>IFERROR(IF(A313="","",COUNTIFS(_Calc!$B$3:$B$20002,"&lt;70",_Calc!$C$3:$C$20002,A313)/COUNTIFS(_Calc!$C$3:$C$20002,A313,_Calc!$B$3:$B$20002,"&lt;&gt;")*100),"")</f>
        <v/>
      </c>
      <c r="F313" s="42">
        <f>IFERROR(IF(A313="","",COUNTIFS(_Calc!$B$3:$B$20002,"&gt;180",_Calc!$C$3:$C$20002,A313)/COUNTIFS(_Calc!$C$3:$C$20002,A313,_Calc!$B$3:$B$20002,"&lt;&gt;")*100),"")</f>
        <v/>
      </c>
      <c r="G313" s="43">
        <f>IFERROR(IF(A313="","",IF(D313&gt;=70,"✓ Good",IF(E313&gt;4,"Low glucose","High glucose"))),"")</f>
        <v/>
      </c>
    </row>
    <row r="314">
      <c r="B314" s="40">
        <f>IFERROR(IF(A314="","",COUNTIFS(_Calc!$C$3:$C$20002,A314,_Calc!$B$3:$B$20002,"&lt;&gt;")),"")</f>
        <v/>
      </c>
      <c r="C314" s="41">
        <f>IFERROR(IF(A314="","",AVERAGEIFS(_Calc!$B$3:$B$20002,_Calc!$C$3:$C$20002,A314)),"")</f>
        <v/>
      </c>
      <c r="D314" s="42">
        <f>IFERROR(IF(A314="","",COUNTIFS(_Calc!$B$3:$B$20002,"&gt;="&amp;70,_Calc!$B$3:$B$20002,"&lt;="&amp;180,_Calc!$C$3:$C$20002,A314)/COUNTIFS(_Calc!$C$3:$C$20002,A314,_Calc!$B$3:$B$20002,"&lt;&gt;")*100),"")</f>
        <v/>
      </c>
      <c r="E314" s="42">
        <f>IFERROR(IF(A314="","",COUNTIFS(_Calc!$B$3:$B$20002,"&lt;70",_Calc!$C$3:$C$20002,A314)/COUNTIFS(_Calc!$C$3:$C$20002,A314,_Calc!$B$3:$B$20002,"&lt;&gt;")*100),"")</f>
        <v/>
      </c>
      <c r="F314" s="42">
        <f>IFERROR(IF(A314="","",COUNTIFS(_Calc!$B$3:$B$20002,"&gt;180",_Calc!$C$3:$C$20002,A314)/COUNTIFS(_Calc!$C$3:$C$20002,A314,_Calc!$B$3:$B$20002,"&lt;&gt;")*100),"")</f>
        <v/>
      </c>
      <c r="G314" s="43">
        <f>IFERROR(IF(A314="","",IF(D314&gt;=70,"✓ Good",IF(E314&gt;4,"Low glucose","High glucose"))),"")</f>
        <v/>
      </c>
    </row>
    <row r="315">
      <c r="B315" s="40">
        <f>IFERROR(IF(A315="","",COUNTIFS(_Calc!$C$3:$C$20002,A315,_Calc!$B$3:$B$20002,"&lt;&gt;")),"")</f>
        <v/>
      </c>
      <c r="C315" s="41">
        <f>IFERROR(IF(A315="","",AVERAGEIFS(_Calc!$B$3:$B$20002,_Calc!$C$3:$C$20002,A315)),"")</f>
        <v/>
      </c>
      <c r="D315" s="42">
        <f>IFERROR(IF(A315="","",COUNTIFS(_Calc!$B$3:$B$20002,"&gt;="&amp;70,_Calc!$B$3:$B$20002,"&lt;="&amp;180,_Calc!$C$3:$C$20002,A315)/COUNTIFS(_Calc!$C$3:$C$20002,A315,_Calc!$B$3:$B$20002,"&lt;&gt;")*100),"")</f>
        <v/>
      </c>
      <c r="E315" s="42">
        <f>IFERROR(IF(A315="","",COUNTIFS(_Calc!$B$3:$B$20002,"&lt;70",_Calc!$C$3:$C$20002,A315)/COUNTIFS(_Calc!$C$3:$C$20002,A315,_Calc!$B$3:$B$20002,"&lt;&gt;")*100),"")</f>
        <v/>
      </c>
      <c r="F315" s="42">
        <f>IFERROR(IF(A315="","",COUNTIFS(_Calc!$B$3:$B$20002,"&gt;180",_Calc!$C$3:$C$20002,A315)/COUNTIFS(_Calc!$C$3:$C$20002,A315,_Calc!$B$3:$B$20002,"&lt;&gt;")*100),"")</f>
        <v/>
      </c>
      <c r="G315" s="43">
        <f>IFERROR(IF(A315="","",IF(D315&gt;=70,"✓ Good",IF(E315&gt;4,"Low glucose","High glucose"))),"")</f>
        <v/>
      </c>
    </row>
    <row r="316">
      <c r="B316" s="40">
        <f>IFERROR(IF(A316="","",COUNTIFS(_Calc!$C$3:$C$20002,A316,_Calc!$B$3:$B$20002,"&lt;&gt;")),"")</f>
        <v/>
      </c>
      <c r="C316" s="41">
        <f>IFERROR(IF(A316="","",AVERAGEIFS(_Calc!$B$3:$B$20002,_Calc!$C$3:$C$20002,A316)),"")</f>
        <v/>
      </c>
      <c r="D316" s="42">
        <f>IFERROR(IF(A316="","",COUNTIFS(_Calc!$B$3:$B$20002,"&gt;="&amp;70,_Calc!$B$3:$B$20002,"&lt;="&amp;180,_Calc!$C$3:$C$20002,A316)/COUNTIFS(_Calc!$C$3:$C$20002,A316,_Calc!$B$3:$B$20002,"&lt;&gt;")*100),"")</f>
        <v/>
      </c>
      <c r="E316" s="42">
        <f>IFERROR(IF(A316="","",COUNTIFS(_Calc!$B$3:$B$20002,"&lt;70",_Calc!$C$3:$C$20002,A316)/COUNTIFS(_Calc!$C$3:$C$20002,A316,_Calc!$B$3:$B$20002,"&lt;&gt;")*100),"")</f>
        <v/>
      </c>
      <c r="F316" s="42">
        <f>IFERROR(IF(A316="","",COUNTIFS(_Calc!$B$3:$B$20002,"&gt;180",_Calc!$C$3:$C$20002,A316)/COUNTIFS(_Calc!$C$3:$C$20002,A316,_Calc!$B$3:$B$20002,"&lt;&gt;")*100),"")</f>
        <v/>
      </c>
      <c r="G316" s="43">
        <f>IFERROR(IF(A316="","",IF(D316&gt;=70,"✓ Good",IF(E316&gt;4,"Low glucose","High glucose"))),"")</f>
        <v/>
      </c>
    </row>
    <row r="317">
      <c r="B317" s="40">
        <f>IFERROR(IF(A317="","",COUNTIFS(_Calc!$C$3:$C$20002,A317,_Calc!$B$3:$B$20002,"&lt;&gt;")),"")</f>
        <v/>
      </c>
      <c r="C317" s="41">
        <f>IFERROR(IF(A317="","",AVERAGEIFS(_Calc!$B$3:$B$20002,_Calc!$C$3:$C$20002,A317)),"")</f>
        <v/>
      </c>
      <c r="D317" s="42">
        <f>IFERROR(IF(A317="","",COUNTIFS(_Calc!$B$3:$B$20002,"&gt;="&amp;70,_Calc!$B$3:$B$20002,"&lt;="&amp;180,_Calc!$C$3:$C$20002,A317)/COUNTIFS(_Calc!$C$3:$C$20002,A317,_Calc!$B$3:$B$20002,"&lt;&gt;")*100),"")</f>
        <v/>
      </c>
      <c r="E317" s="42">
        <f>IFERROR(IF(A317="","",COUNTIFS(_Calc!$B$3:$B$20002,"&lt;70",_Calc!$C$3:$C$20002,A317)/COUNTIFS(_Calc!$C$3:$C$20002,A317,_Calc!$B$3:$B$20002,"&lt;&gt;")*100),"")</f>
        <v/>
      </c>
      <c r="F317" s="42">
        <f>IFERROR(IF(A317="","",COUNTIFS(_Calc!$B$3:$B$20002,"&gt;180",_Calc!$C$3:$C$20002,A317)/COUNTIFS(_Calc!$C$3:$C$20002,A317,_Calc!$B$3:$B$20002,"&lt;&gt;")*100),"")</f>
        <v/>
      </c>
      <c r="G317" s="43">
        <f>IFERROR(IF(A317="","",IF(D317&gt;=70,"✓ Good",IF(E317&gt;4,"Low glucose","High glucose"))),"")</f>
        <v/>
      </c>
    </row>
    <row r="318">
      <c r="B318" s="40">
        <f>IFERROR(IF(A318="","",COUNTIFS(_Calc!$C$3:$C$20002,A318,_Calc!$B$3:$B$20002,"&lt;&gt;")),"")</f>
        <v/>
      </c>
      <c r="C318" s="41">
        <f>IFERROR(IF(A318="","",AVERAGEIFS(_Calc!$B$3:$B$20002,_Calc!$C$3:$C$20002,A318)),"")</f>
        <v/>
      </c>
      <c r="D318" s="42">
        <f>IFERROR(IF(A318="","",COUNTIFS(_Calc!$B$3:$B$20002,"&gt;="&amp;70,_Calc!$B$3:$B$20002,"&lt;="&amp;180,_Calc!$C$3:$C$20002,A318)/COUNTIFS(_Calc!$C$3:$C$20002,A318,_Calc!$B$3:$B$20002,"&lt;&gt;")*100),"")</f>
        <v/>
      </c>
      <c r="E318" s="42">
        <f>IFERROR(IF(A318="","",COUNTIFS(_Calc!$B$3:$B$20002,"&lt;70",_Calc!$C$3:$C$20002,A318)/COUNTIFS(_Calc!$C$3:$C$20002,A318,_Calc!$B$3:$B$20002,"&lt;&gt;")*100),"")</f>
        <v/>
      </c>
      <c r="F318" s="42">
        <f>IFERROR(IF(A318="","",COUNTIFS(_Calc!$B$3:$B$20002,"&gt;180",_Calc!$C$3:$C$20002,A318)/COUNTIFS(_Calc!$C$3:$C$20002,A318,_Calc!$B$3:$B$20002,"&lt;&gt;")*100),"")</f>
        <v/>
      </c>
      <c r="G318" s="43">
        <f>IFERROR(IF(A318="","",IF(D318&gt;=70,"✓ Good",IF(E318&gt;4,"Low glucose","High glucose"))),"")</f>
        <v/>
      </c>
    </row>
    <row r="319">
      <c r="B319" s="40">
        <f>IFERROR(IF(A319="","",COUNTIFS(_Calc!$C$3:$C$20002,A319,_Calc!$B$3:$B$20002,"&lt;&gt;")),"")</f>
        <v/>
      </c>
      <c r="C319" s="41">
        <f>IFERROR(IF(A319="","",AVERAGEIFS(_Calc!$B$3:$B$20002,_Calc!$C$3:$C$20002,A319)),"")</f>
        <v/>
      </c>
      <c r="D319" s="42">
        <f>IFERROR(IF(A319="","",COUNTIFS(_Calc!$B$3:$B$20002,"&gt;="&amp;70,_Calc!$B$3:$B$20002,"&lt;="&amp;180,_Calc!$C$3:$C$20002,A319)/COUNTIFS(_Calc!$C$3:$C$20002,A319,_Calc!$B$3:$B$20002,"&lt;&gt;")*100),"")</f>
        <v/>
      </c>
      <c r="E319" s="42">
        <f>IFERROR(IF(A319="","",COUNTIFS(_Calc!$B$3:$B$20002,"&lt;70",_Calc!$C$3:$C$20002,A319)/COUNTIFS(_Calc!$C$3:$C$20002,A319,_Calc!$B$3:$B$20002,"&lt;&gt;")*100),"")</f>
        <v/>
      </c>
      <c r="F319" s="42">
        <f>IFERROR(IF(A319="","",COUNTIFS(_Calc!$B$3:$B$20002,"&gt;180",_Calc!$C$3:$C$20002,A319)/COUNTIFS(_Calc!$C$3:$C$20002,A319,_Calc!$B$3:$B$20002,"&lt;&gt;")*100),"")</f>
        <v/>
      </c>
      <c r="G319" s="43">
        <f>IFERROR(IF(A319="","",IF(D319&gt;=70,"✓ Good",IF(E319&gt;4,"Low glucose","High glucose"))),"")</f>
        <v/>
      </c>
    </row>
    <row r="320">
      <c r="B320" s="40">
        <f>IFERROR(IF(A320="","",COUNTIFS(_Calc!$C$3:$C$20002,A320,_Calc!$B$3:$B$20002,"&lt;&gt;")),"")</f>
        <v/>
      </c>
      <c r="C320" s="41">
        <f>IFERROR(IF(A320="","",AVERAGEIFS(_Calc!$B$3:$B$20002,_Calc!$C$3:$C$20002,A320)),"")</f>
        <v/>
      </c>
      <c r="D320" s="42">
        <f>IFERROR(IF(A320="","",COUNTIFS(_Calc!$B$3:$B$20002,"&gt;="&amp;70,_Calc!$B$3:$B$20002,"&lt;="&amp;180,_Calc!$C$3:$C$20002,A320)/COUNTIFS(_Calc!$C$3:$C$20002,A320,_Calc!$B$3:$B$20002,"&lt;&gt;")*100),"")</f>
        <v/>
      </c>
      <c r="E320" s="42">
        <f>IFERROR(IF(A320="","",COUNTIFS(_Calc!$B$3:$B$20002,"&lt;70",_Calc!$C$3:$C$20002,A320)/COUNTIFS(_Calc!$C$3:$C$20002,A320,_Calc!$B$3:$B$20002,"&lt;&gt;")*100),"")</f>
        <v/>
      </c>
      <c r="F320" s="42">
        <f>IFERROR(IF(A320="","",COUNTIFS(_Calc!$B$3:$B$20002,"&gt;180",_Calc!$C$3:$C$20002,A320)/COUNTIFS(_Calc!$C$3:$C$20002,A320,_Calc!$B$3:$B$20002,"&lt;&gt;")*100),"")</f>
        <v/>
      </c>
      <c r="G320" s="43">
        <f>IFERROR(IF(A320="","",IF(D320&gt;=70,"✓ Good",IF(E320&gt;4,"Low glucose","High glucose"))),"")</f>
        <v/>
      </c>
    </row>
    <row r="321">
      <c r="B321" s="40">
        <f>IFERROR(IF(A321="","",COUNTIFS(_Calc!$C$3:$C$20002,A321,_Calc!$B$3:$B$20002,"&lt;&gt;")),"")</f>
        <v/>
      </c>
      <c r="C321" s="41">
        <f>IFERROR(IF(A321="","",AVERAGEIFS(_Calc!$B$3:$B$20002,_Calc!$C$3:$C$20002,A321)),"")</f>
        <v/>
      </c>
      <c r="D321" s="42">
        <f>IFERROR(IF(A321="","",COUNTIFS(_Calc!$B$3:$B$20002,"&gt;="&amp;70,_Calc!$B$3:$B$20002,"&lt;="&amp;180,_Calc!$C$3:$C$20002,A321)/COUNTIFS(_Calc!$C$3:$C$20002,A321,_Calc!$B$3:$B$20002,"&lt;&gt;")*100),"")</f>
        <v/>
      </c>
      <c r="E321" s="42">
        <f>IFERROR(IF(A321="","",COUNTIFS(_Calc!$B$3:$B$20002,"&lt;70",_Calc!$C$3:$C$20002,A321)/COUNTIFS(_Calc!$C$3:$C$20002,A321,_Calc!$B$3:$B$20002,"&lt;&gt;")*100),"")</f>
        <v/>
      </c>
      <c r="F321" s="42">
        <f>IFERROR(IF(A321="","",COUNTIFS(_Calc!$B$3:$B$20002,"&gt;180",_Calc!$C$3:$C$20002,A321)/COUNTIFS(_Calc!$C$3:$C$20002,A321,_Calc!$B$3:$B$20002,"&lt;&gt;")*100),"")</f>
        <v/>
      </c>
      <c r="G321" s="43">
        <f>IFERROR(IF(A321="","",IF(D321&gt;=70,"✓ Good",IF(E321&gt;4,"Low glucose","High glucose"))),"")</f>
        <v/>
      </c>
    </row>
    <row r="322">
      <c r="B322" s="40">
        <f>IFERROR(IF(A322="","",COUNTIFS(_Calc!$C$3:$C$20002,A322,_Calc!$B$3:$B$20002,"&lt;&gt;")),"")</f>
        <v/>
      </c>
      <c r="C322" s="41">
        <f>IFERROR(IF(A322="","",AVERAGEIFS(_Calc!$B$3:$B$20002,_Calc!$C$3:$C$20002,A322)),"")</f>
        <v/>
      </c>
      <c r="D322" s="42">
        <f>IFERROR(IF(A322="","",COUNTIFS(_Calc!$B$3:$B$20002,"&gt;="&amp;70,_Calc!$B$3:$B$20002,"&lt;="&amp;180,_Calc!$C$3:$C$20002,A322)/COUNTIFS(_Calc!$C$3:$C$20002,A322,_Calc!$B$3:$B$20002,"&lt;&gt;")*100),"")</f>
        <v/>
      </c>
      <c r="E322" s="42">
        <f>IFERROR(IF(A322="","",COUNTIFS(_Calc!$B$3:$B$20002,"&lt;70",_Calc!$C$3:$C$20002,A322)/COUNTIFS(_Calc!$C$3:$C$20002,A322,_Calc!$B$3:$B$20002,"&lt;&gt;")*100),"")</f>
        <v/>
      </c>
      <c r="F322" s="42">
        <f>IFERROR(IF(A322="","",COUNTIFS(_Calc!$B$3:$B$20002,"&gt;180",_Calc!$C$3:$C$20002,A322)/COUNTIFS(_Calc!$C$3:$C$20002,A322,_Calc!$B$3:$B$20002,"&lt;&gt;")*100),"")</f>
        <v/>
      </c>
      <c r="G322" s="43">
        <f>IFERROR(IF(A322="","",IF(D322&gt;=70,"✓ Good",IF(E322&gt;4,"Low glucose","High glucose"))),"")</f>
        <v/>
      </c>
    </row>
    <row r="323">
      <c r="B323" s="40">
        <f>IFERROR(IF(A323="","",COUNTIFS(_Calc!$C$3:$C$20002,A323,_Calc!$B$3:$B$20002,"&lt;&gt;")),"")</f>
        <v/>
      </c>
      <c r="C323" s="41">
        <f>IFERROR(IF(A323="","",AVERAGEIFS(_Calc!$B$3:$B$20002,_Calc!$C$3:$C$20002,A323)),"")</f>
        <v/>
      </c>
      <c r="D323" s="42">
        <f>IFERROR(IF(A323="","",COUNTIFS(_Calc!$B$3:$B$20002,"&gt;="&amp;70,_Calc!$B$3:$B$20002,"&lt;="&amp;180,_Calc!$C$3:$C$20002,A323)/COUNTIFS(_Calc!$C$3:$C$20002,A323,_Calc!$B$3:$B$20002,"&lt;&gt;")*100),"")</f>
        <v/>
      </c>
      <c r="E323" s="42">
        <f>IFERROR(IF(A323="","",COUNTIFS(_Calc!$B$3:$B$20002,"&lt;70",_Calc!$C$3:$C$20002,A323)/COUNTIFS(_Calc!$C$3:$C$20002,A323,_Calc!$B$3:$B$20002,"&lt;&gt;")*100),"")</f>
        <v/>
      </c>
      <c r="F323" s="42">
        <f>IFERROR(IF(A323="","",COUNTIFS(_Calc!$B$3:$B$20002,"&gt;180",_Calc!$C$3:$C$20002,A323)/COUNTIFS(_Calc!$C$3:$C$20002,A323,_Calc!$B$3:$B$20002,"&lt;&gt;")*100),"")</f>
        <v/>
      </c>
      <c r="G323" s="43">
        <f>IFERROR(IF(A323="","",IF(D323&gt;=70,"✓ Good",IF(E323&gt;4,"Low glucose","High glucose"))),"")</f>
        <v/>
      </c>
    </row>
    <row r="324">
      <c r="B324" s="40">
        <f>IFERROR(IF(A324="","",COUNTIFS(_Calc!$C$3:$C$20002,A324,_Calc!$B$3:$B$20002,"&lt;&gt;")),"")</f>
        <v/>
      </c>
      <c r="C324" s="41">
        <f>IFERROR(IF(A324="","",AVERAGEIFS(_Calc!$B$3:$B$20002,_Calc!$C$3:$C$20002,A324)),"")</f>
        <v/>
      </c>
      <c r="D324" s="42">
        <f>IFERROR(IF(A324="","",COUNTIFS(_Calc!$B$3:$B$20002,"&gt;="&amp;70,_Calc!$B$3:$B$20002,"&lt;="&amp;180,_Calc!$C$3:$C$20002,A324)/COUNTIFS(_Calc!$C$3:$C$20002,A324,_Calc!$B$3:$B$20002,"&lt;&gt;")*100),"")</f>
        <v/>
      </c>
      <c r="E324" s="42">
        <f>IFERROR(IF(A324="","",COUNTIFS(_Calc!$B$3:$B$20002,"&lt;70",_Calc!$C$3:$C$20002,A324)/COUNTIFS(_Calc!$C$3:$C$20002,A324,_Calc!$B$3:$B$20002,"&lt;&gt;")*100),"")</f>
        <v/>
      </c>
      <c r="F324" s="42">
        <f>IFERROR(IF(A324="","",COUNTIFS(_Calc!$B$3:$B$20002,"&gt;180",_Calc!$C$3:$C$20002,A324)/COUNTIFS(_Calc!$C$3:$C$20002,A324,_Calc!$B$3:$B$20002,"&lt;&gt;")*100),"")</f>
        <v/>
      </c>
      <c r="G324" s="43">
        <f>IFERROR(IF(A324="","",IF(D324&gt;=70,"✓ Good",IF(E324&gt;4,"Low glucose","High glucose"))),"")</f>
        <v/>
      </c>
    </row>
    <row r="325">
      <c r="B325" s="40">
        <f>IFERROR(IF(A325="","",COUNTIFS(_Calc!$C$3:$C$20002,A325,_Calc!$B$3:$B$20002,"&lt;&gt;")),"")</f>
        <v/>
      </c>
      <c r="C325" s="41">
        <f>IFERROR(IF(A325="","",AVERAGEIFS(_Calc!$B$3:$B$20002,_Calc!$C$3:$C$20002,A325)),"")</f>
        <v/>
      </c>
      <c r="D325" s="42">
        <f>IFERROR(IF(A325="","",COUNTIFS(_Calc!$B$3:$B$20002,"&gt;="&amp;70,_Calc!$B$3:$B$20002,"&lt;="&amp;180,_Calc!$C$3:$C$20002,A325)/COUNTIFS(_Calc!$C$3:$C$20002,A325,_Calc!$B$3:$B$20002,"&lt;&gt;")*100),"")</f>
        <v/>
      </c>
      <c r="E325" s="42">
        <f>IFERROR(IF(A325="","",COUNTIFS(_Calc!$B$3:$B$20002,"&lt;70",_Calc!$C$3:$C$20002,A325)/COUNTIFS(_Calc!$C$3:$C$20002,A325,_Calc!$B$3:$B$20002,"&lt;&gt;")*100),"")</f>
        <v/>
      </c>
      <c r="F325" s="42">
        <f>IFERROR(IF(A325="","",COUNTIFS(_Calc!$B$3:$B$20002,"&gt;180",_Calc!$C$3:$C$20002,A325)/COUNTIFS(_Calc!$C$3:$C$20002,A325,_Calc!$B$3:$B$20002,"&lt;&gt;")*100),"")</f>
        <v/>
      </c>
      <c r="G325" s="43">
        <f>IFERROR(IF(A325="","",IF(D325&gt;=70,"✓ Good",IF(E325&gt;4,"Low glucose","High glucose"))),"")</f>
        <v/>
      </c>
    </row>
    <row r="326">
      <c r="B326" s="40">
        <f>IFERROR(IF(A326="","",COUNTIFS(_Calc!$C$3:$C$20002,A326,_Calc!$B$3:$B$20002,"&lt;&gt;")),"")</f>
        <v/>
      </c>
      <c r="C326" s="41">
        <f>IFERROR(IF(A326="","",AVERAGEIFS(_Calc!$B$3:$B$20002,_Calc!$C$3:$C$20002,A326)),"")</f>
        <v/>
      </c>
      <c r="D326" s="42">
        <f>IFERROR(IF(A326="","",COUNTIFS(_Calc!$B$3:$B$20002,"&gt;="&amp;70,_Calc!$B$3:$B$20002,"&lt;="&amp;180,_Calc!$C$3:$C$20002,A326)/COUNTIFS(_Calc!$C$3:$C$20002,A326,_Calc!$B$3:$B$20002,"&lt;&gt;")*100),"")</f>
        <v/>
      </c>
      <c r="E326" s="42">
        <f>IFERROR(IF(A326="","",COUNTIFS(_Calc!$B$3:$B$20002,"&lt;70",_Calc!$C$3:$C$20002,A326)/COUNTIFS(_Calc!$C$3:$C$20002,A326,_Calc!$B$3:$B$20002,"&lt;&gt;")*100),"")</f>
        <v/>
      </c>
      <c r="F326" s="42">
        <f>IFERROR(IF(A326="","",COUNTIFS(_Calc!$B$3:$B$20002,"&gt;180",_Calc!$C$3:$C$20002,A326)/COUNTIFS(_Calc!$C$3:$C$20002,A326,_Calc!$B$3:$B$20002,"&lt;&gt;")*100),"")</f>
        <v/>
      </c>
      <c r="G326" s="43">
        <f>IFERROR(IF(A326="","",IF(D326&gt;=70,"✓ Good",IF(E326&gt;4,"Low glucose","High glucose"))),"")</f>
        <v/>
      </c>
    </row>
    <row r="327">
      <c r="B327" s="40">
        <f>IFERROR(IF(A327="","",COUNTIFS(_Calc!$C$3:$C$20002,A327,_Calc!$B$3:$B$20002,"&lt;&gt;")),"")</f>
        <v/>
      </c>
      <c r="C327" s="41">
        <f>IFERROR(IF(A327="","",AVERAGEIFS(_Calc!$B$3:$B$20002,_Calc!$C$3:$C$20002,A327)),"")</f>
        <v/>
      </c>
      <c r="D327" s="42">
        <f>IFERROR(IF(A327="","",COUNTIFS(_Calc!$B$3:$B$20002,"&gt;="&amp;70,_Calc!$B$3:$B$20002,"&lt;="&amp;180,_Calc!$C$3:$C$20002,A327)/COUNTIFS(_Calc!$C$3:$C$20002,A327,_Calc!$B$3:$B$20002,"&lt;&gt;")*100),"")</f>
        <v/>
      </c>
      <c r="E327" s="42">
        <f>IFERROR(IF(A327="","",COUNTIFS(_Calc!$B$3:$B$20002,"&lt;70",_Calc!$C$3:$C$20002,A327)/COUNTIFS(_Calc!$C$3:$C$20002,A327,_Calc!$B$3:$B$20002,"&lt;&gt;")*100),"")</f>
        <v/>
      </c>
      <c r="F327" s="42">
        <f>IFERROR(IF(A327="","",COUNTIFS(_Calc!$B$3:$B$20002,"&gt;180",_Calc!$C$3:$C$20002,A327)/COUNTIFS(_Calc!$C$3:$C$20002,A327,_Calc!$B$3:$B$20002,"&lt;&gt;")*100),"")</f>
        <v/>
      </c>
      <c r="G327" s="43">
        <f>IFERROR(IF(A327="","",IF(D327&gt;=70,"✓ Good",IF(E327&gt;4,"Low glucose","High glucose"))),"")</f>
        <v/>
      </c>
    </row>
    <row r="328">
      <c r="B328" s="40">
        <f>IFERROR(IF(A328="","",COUNTIFS(_Calc!$C$3:$C$20002,A328,_Calc!$B$3:$B$20002,"&lt;&gt;")),"")</f>
        <v/>
      </c>
      <c r="C328" s="41">
        <f>IFERROR(IF(A328="","",AVERAGEIFS(_Calc!$B$3:$B$20002,_Calc!$C$3:$C$20002,A328)),"")</f>
        <v/>
      </c>
      <c r="D328" s="42">
        <f>IFERROR(IF(A328="","",COUNTIFS(_Calc!$B$3:$B$20002,"&gt;="&amp;70,_Calc!$B$3:$B$20002,"&lt;="&amp;180,_Calc!$C$3:$C$20002,A328)/COUNTIFS(_Calc!$C$3:$C$20002,A328,_Calc!$B$3:$B$20002,"&lt;&gt;")*100),"")</f>
        <v/>
      </c>
      <c r="E328" s="42">
        <f>IFERROR(IF(A328="","",COUNTIFS(_Calc!$B$3:$B$20002,"&lt;70",_Calc!$C$3:$C$20002,A328)/COUNTIFS(_Calc!$C$3:$C$20002,A328,_Calc!$B$3:$B$20002,"&lt;&gt;")*100),"")</f>
        <v/>
      </c>
      <c r="F328" s="42">
        <f>IFERROR(IF(A328="","",COUNTIFS(_Calc!$B$3:$B$20002,"&gt;180",_Calc!$C$3:$C$20002,A328)/COUNTIFS(_Calc!$C$3:$C$20002,A328,_Calc!$B$3:$B$20002,"&lt;&gt;")*100),"")</f>
        <v/>
      </c>
      <c r="G328" s="43">
        <f>IFERROR(IF(A328="","",IF(D328&gt;=70,"✓ Good",IF(E328&gt;4,"Low glucose","High glucose"))),"")</f>
        <v/>
      </c>
    </row>
    <row r="329">
      <c r="B329" s="40">
        <f>IFERROR(IF(A329="","",COUNTIFS(_Calc!$C$3:$C$20002,A329,_Calc!$B$3:$B$20002,"&lt;&gt;")),"")</f>
        <v/>
      </c>
      <c r="C329" s="41">
        <f>IFERROR(IF(A329="","",AVERAGEIFS(_Calc!$B$3:$B$20002,_Calc!$C$3:$C$20002,A329)),"")</f>
        <v/>
      </c>
      <c r="D329" s="42">
        <f>IFERROR(IF(A329="","",COUNTIFS(_Calc!$B$3:$B$20002,"&gt;="&amp;70,_Calc!$B$3:$B$20002,"&lt;="&amp;180,_Calc!$C$3:$C$20002,A329)/COUNTIFS(_Calc!$C$3:$C$20002,A329,_Calc!$B$3:$B$20002,"&lt;&gt;")*100),"")</f>
        <v/>
      </c>
      <c r="E329" s="42">
        <f>IFERROR(IF(A329="","",COUNTIFS(_Calc!$B$3:$B$20002,"&lt;70",_Calc!$C$3:$C$20002,A329)/COUNTIFS(_Calc!$C$3:$C$20002,A329,_Calc!$B$3:$B$20002,"&lt;&gt;")*100),"")</f>
        <v/>
      </c>
      <c r="F329" s="42">
        <f>IFERROR(IF(A329="","",COUNTIFS(_Calc!$B$3:$B$20002,"&gt;180",_Calc!$C$3:$C$20002,A329)/COUNTIFS(_Calc!$C$3:$C$20002,A329,_Calc!$B$3:$B$20002,"&lt;&gt;")*100),"")</f>
        <v/>
      </c>
      <c r="G329" s="43">
        <f>IFERROR(IF(A329="","",IF(D329&gt;=70,"✓ Good",IF(E329&gt;4,"Low glucose","High glucose"))),"")</f>
        <v/>
      </c>
    </row>
    <row r="330">
      <c r="B330" s="40">
        <f>IFERROR(IF(A330="","",COUNTIFS(_Calc!$C$3:$C$20002,A330,_Calc!$B$3:$B$20002,"&lt;&gt;")),"")</f>
        <v/>
      </c>
      <c r="C330" s="41">
        <f>IFERROR(IF(A330="","",AVERAGEIFS(_Calc!$B$3:$B$20002,_Calc!$C$3:$C$20002,A330)),"")</f>
        <v/>
      </c>
      <c r="D330" s="42">
        <f>IFERROR(IF(A330="","",COUNTIFS(_Calc!$B$3:$B$20002,"&gt;="&amp;70,_Calc!$B$3:$B$20002,"&lt;="&amp;180,_Calc!$C$3:$C$20002,A330)/COUNTIFS(_Calc!$C$3:$C$20002,A330,_Calc!$B$3:$B$20002,"&lt;&gt;")*100),"")</f>
        <v/>
      </c>
      <c r="E330" s="42">
        <f>IFERROR(IF(A330="","",COUNTIFS(_Calc!$B$3:$B$20002,"&lt;70",_Calc!$C$3:$C$20002,A330)/COUNTIFS(_Calc!$C$3:$C$20002,A330,_Calc!$B$3:$B$20002,"&lt;&gt;")*100),"")</f>
        <v/>
      </c>
      <c r="F330" s="42">
        <f>IFERROR(IF(A330="","",COUNTIFS(_Calc!$B$3:$B$20002,"&gt;180",_Calc!$C$3:$C$20002,A330)/COUNTIFS(_Calc!$C$3:$C$20002,A330,_Calc!$B$3:$B$20002,"&lt;&gt;")*100),"")</f>
        <v/>
      </c>
      <c r="G330" s="43">
        <f>IFERROR(IF(A330="","",IF(D330&gt;=70,"✓ Good",IF(E330&gt;4,"Low glucose","High glucose"))),"")</f>
        <v/>
      </c>
    </row>
    <row r="331">
      <c r="B331" s="40">
        <f>IFERROR(IF(A331="","",COUNTIFS(_Calc!$C$3:$C$20002,A331,_Calc!$B$3:$B$20002,"&lt;&gt;")),"")</f>
        <v/>
      </c>
      <c r="C331" s="41">
        <f>IFERROR(IF(A331="","",AVERAGEIFS(_Calc!$B$3:$B$20002,_Calc!$C$3:$C$20002,A331)),"")</f>
        <v/>
      </c>
      <c r="D331" s="42">
        <f>IFERROR(IF(A331="","",COUNTIFS(_Calc!$B$3:$B$20002,"&gt;="&amp;70,_Calc!$B$3:$B$20002,"&lt;="&amp;180,_Calc!$C$3:$C$20002,A331)/COUNTIFS(_Calc!$C$3:$C$20002,A331,_Calc!$B$3:$B$20002,"&lt;&gt;")*100),"")</f>
        <v/>
      </c>
      <c r="E331" s="42">
        <f>IFERROR(IF(A331="","",COUNTIFS(_Calc!$B$3:$B$20002,"&lt;70",_Calc!$C$3:$C$20002,A331)/COUNTIFS(_Calc!$C$3:$C$20002,A331,_Calc!$B$3:$B$20002,"&lt;&gt;")*100),"")</f>
        <v/>
      </c>
      <c r="F331" s="42">
        <f>IFERROR(IF(A331="","",COUNTIFS(_Calc!$B$3:$B$20002,"&gt;180",_Calc!$C$3:$C$20002,A331)/COUNTIFS(_Calc!$C$3:$C$20002,A331,_Calc!$B$3:$B$20002,"&lt;&gt;")*100),"")</f>
        <v/>
      </c>
      <c r="G331" s="43">
        <f>IFERROR(IF(A331="","",IF(D331&gt;=70,"✓ Good",IF(E331&gt;4,"Low glucose","High glucose"))),"")</f>
        <v/>
      </c>
    </row>
    <row r="332">
      <c r="B332" s="40">
        <f>IFERROR(IF(A332="","",COUNTIFS(_Calc!$C$3:$C$20002,A332,_Calc!$B$3:$B$20002,"&lt;&gt;")),"")</f>
        <v/>
      </c>
      <c r="C332" s="41">
        <f>IFERROR(IF(A332="","",AVERAGEIFS(_Calc!$B$3:$B$20002,_Calc!$C$3:$C$20002,A332)),"")</f>
        <v/>
      </c>
      <c r="D332" s="42">
        <f>IFERROR(IF(A332="","",COUNTIFS(_Calc!$B$3:$B$20002,"&gt;="&amp;70,_Calc!$B$3:$B$20002,"&lt;="&amp;180,_Calc!$C$3:$C$20002,A332)/COUNTIFS(_Calc!$C$3:$C$20002,A332,_Calc!$B$3:$B$20002,"&lt;&gt;")*100),"")</f>
        <v/>
      </c>
      <c r="E332" s="42">
        <f>IFERROR(IF(A332="","",COUNTIFS(_Calc!$B$3:$B$20002,"&lt;70",_Calc!$C$3:$C$20002,A332)/COUNTIFS(_Calc!$C$3:$C$20002,A332,_Calc!$B$3:$B$20002,"&lt;&gt;")*100),"")</f>
        <v/>
      </c>
      <c r="F332" s="42">
        <f>IFERROR(IF(A332="","",COUNTIFS(_Calc!$B$3:$B$20002,"&gt;180",_Calc!$C$3:$C$20002,A332)/COUNTIFS(_Calc!$C$3:$C$20002,A332,_Calc!$B$3:$B$20002,"&lt;&gt;")*100),"")</f>
        <v/>
      </c>
      <c r="G332" s="43">
        <f>IFERROR(IF(A332="","",IF(D332&gt;=70,"✓ Good",IF(E332&gt;4,"Low glucose","High glucose"))),"")</f>
        <v/>
      </c>
    </row>
    <row r="333">
      <c r="B333" s="40">
        <f>IFERROR(IF(A333="","",COUNTIFS(_Calc!$C$3:$C$20002,A333,_Calc!$B$3:$B$20002,"&lt;&gt;")),"")</f>
        <v/>
      </c>
      <c r="C333" s="41">
        <f>IFERROR(IF(A333="","",AVERAGEIFS(_Calc!$B$3:$B$20002,_Calc!$C$3:$C$20002,A333)),"")</f>
        <v/>
      </c>
      <c r="D333" s="42">
        <f>IFERROR(IF(A333="","",COUNTIFS(_Calc!$B$3:$B$20002,"&gt;="&amp;70,_Calc!$B$3:$B$20002,"&lt;="&amp;180,_Calc!$C$3:$C$20002,A333)/COUNTIFS(_Calc!$C$3:$C$20002,A333,_Calc!$B$3:$B$20002,"&lt;&gt;")*100),"")</f>
        <v/>
      </c>
      <c r="E333" s="42">
        <f>IFERROR(IF(A333="","",COUNTIFS(_Calc!$B$3:$B$20002,"&lt;70",_Calc!$C$3:$C$20002,A333)/COUNTIFS(_Calc!$C$3:$C$20002,A333,_Calc!$B$3:$B$20002,"&lt;&gt;")*100),"")</f>
        <v/>
      </c>
      <c r="F333" s="42">
        <f>IFERROR(IF(A333="","",COUNTIFS(_Calc!$B$3:$B$20002,"&gt;180",_Calc!$C$3:$C$20002,A333)/COUNTIFS(_Calc!$C$3:$C$20002,A333,_Calc!$B$3:$B$20002,"&lt;&gt;")*100),"")</f>
        <v/>
      </c>
      <c r="G333" s="43">
        <f>IFERROR(IF(A333="","",IF(D333&gt;=70,"✓ Good",IF(E333&gt;4,"Low glucose","High glucose"))),"")</f>
        <v/>
      </c>
    </row>
    <row r="334">
      <c r="B334" s="40">
        <f>IFERROR(IF(A334="","",COUNTIFS(_Calc!$C$3:$C$20002,A334,_Calc!$B$3:$B$20002,"&lt;&gt;")),"")</f>
        <v/>
      </c>
      <c r="C334" s="41">
        <f>IFERROR(IF(A334="","",AVERAGEIFS(_Calc!$B$3:$B$20002,_Calc!$C$3:$C$20002,A334)),"")</f>
        <v/>
      </c>
      <c r="D334" s="42">
        <f>IFERROR(IF(A334="","",COUNTIFS(_Calc!$B$3:$B$20002,"&gt;="&amp;70,_Calc!$B$3:$B$20002,"&lt;="&amp;180,_Calc!$C$3:$C$20002,A334)/COUNTIFS(_Calc!$C$3:$C$20002,A334,_Calc!$B$3:$B$20002,"&lt;&gt;")*100),"")</f>
        <v/>
      </c>
      <c r="E334" s="42">
        <f>IFERROR(IF(A334="","",COUNTIFS(_Calc!$B$3:$B$20002,"&lt;70",_Calc!$C$3:$C$20002,A334)/COUNTIFS(_Calc!$C$3:$C$20002,A334,_Calc!$B$3:$B$20002,"&lt;&gt;")*100),"")</f>
        <v/>
      </c>
      <c r="F334" s="42">
        <f>IFERROR(IF(A334="","",COUNTIFS(_Calc!$B$3:$B$20002,"&gt;180",_Calc!$C$3:$C$20002,A334)/COUNTIFS(_Calc!$C$3:$C$20002,A334,_Calc!$B$3:$B$20002,"&lt;&gt;")*100),"")</f>
        <v/>
      </c>
      <c r="G334" s="43">
        <f>IFERROR(IF(A334="","",IF(D334&gt;=70,"✓ Good",IF(E334&gt;4,"Low glucose","High glucose"))),"")</f>
        <v/>
      </c>
    </row>
    <row r="335">
      <c r="B335" s="40">
        <f>IFERROR(IF(A335="","",COUNTIFS(_Calc!$C$3:$C$20002,A335,_Calc!$B$3:$B$20002,"&lt;&gt;")),"")</f>
        <v/>
      </c>
      <c r="C335" s="41">
        <f>IFERROR(IF(A335="","",AVERAGEIFS(_Calc!$B$3:$B$20002,_Calc!$C$3:$C$20002,A335)),"")</f>
        <v/>
      </c>
      <c r="D335" s="42">
        <f>IFERROR(IF(A335="","",COUNTIFS(_Calc!$B$3:$B$20002,"&gt;="&amp;70,_Calc!$B$3:$B$20002,"&lt;="&amp;180,_Calc!$C$3:$C$20002,A335)/COUNTIFS(_Calc!$C$3:$C$20002,A335,_Calc!$B$3:$B$20002,"&lt;&gt;")*100),"")</f>
        <v/>
      </c>
      <c r="E335" s="42">
        <f>IFERROR(IF(A335="","",COUNTIFS(_Calc!$B$3:$B$20002,"&lt;70",_Calc!$C$3:$C$20002,A335)/COUNTIFS(_Calc!$C$3:$C$20002,A335,_Calc!$B$3:$B$20002,"&lt;&gt;")*100),"")</f>
        <v/>
      </c>
      <c r="F335" s="42">
        <f>IFERROR(IF(A335="","",COUNTIFS(_Calc!$B$3:$B$20002,"&gt;180",_Calc!$C$3:$C$20002,A335)/COUNTIFS(_Calc!$C$3:$C$20002,A335,_Calc!$B$3:$B$20002,"&lt;&gt;")*100),"")</f>
        <v/>
      </c>
      <c r="G335" s="43">
        <f>IFERROR(IF(A335="","",IF(D335&gt;=70,"✓ Good",IF(E335&gt;4,"Low glucose","High glucose"))),"")</f>
        <v/>
      </c>
    </row>
    <row r="336">
      <c r="B336" s="40">
        <f>IFERROR(IF(A336="","",COUNTIFS(_Calc!$C$3:$C$20002,A336,_Calc!$B$3:$B$20002,"&lt;&gt;")),"")</f>
        <v/>
      </c>
      <c r="C336" s="41">
        <f>IFERROR(IF(A336="","",AVERAGEIFS(_Calc!$B$3:$B$20002,_Calc!$C$3:$C$20002,A336)),"")</f>
        <v/>
      </c>
      <c r="D336" s="42">
        <f>IFERROR(IF(A336="","",COUNTIFS(_Calc!$B$3:$B$20002,"&gt;="&amp;70,_Calc!$B$3:$B$20002,"&lt;="&amp;180,_Calc!$C$3:$C$20002,A336)/COUNTIFS(_Calc!$C$3:$C$20002,A336,_Calc!$B$3:$B$20002,"&lt;&gt;")*100),"")</f>
        <v/>
      </c>
      <c r="E336" s="42">
        <f>IFERROR(IF(A336="","",COUNTIFS(_Calc!$B$3:$B$20002,"&lt;70",_Calc!$C$3:$C$20002,A336)/COUNTIFS(_Calc!$C$3:$C$20002,A336,_Calc!$B$3:$B$20002,"&lt;&gt;")*100),"")</f>
        <v/>
      </c>
      <c r="F336" s="42">
        <f>IFERROR(IF(A336="","",COUNTIFS(_Calc!$B$3:$B$20002,"&gt;180",_Calc!$C$3:$C$20002,A336)/COUNTIFS(_Calc!$C$3:$C$20002,A336,_Calc!$B$3:$B$20002,"&lt;&gt;")*100),"")</f>
        <v/>
      </c>
      <c r="G336" s="43">
        <f>IFERROR(IF(A336="","",IF(D336&gt;=70,"✓ Good",IF(E336&gt;4,"Low glucose","High glucose"))),"")</f>
        <v/>
      </c>
    </row>
    <row r="337">
      <c r="B337" s="40">
        <f>IFERROR(IF(A337="","",COUNTIFS(_Calc!$C$3:$C$20002,A337,_Calc!$B$3:$B$20002,"&lt;&gt;")),"")</f>
        <v/>
      </c>
      <c r="C337" s="41">
        <f>IFERROR(IF(A337="","",AVERAGEIFS(_Calc!$B$3:$B$20002,_Calc!$C$3:$C$20002,A337)),"")</f>
        <v/>
      </c>
      <c r="D337" s="42">
        <f>IFERROR(IF(A337="","",COUNTIFS(_Calc!$B$3:$B$20002,"&gt;="&amp;70,_Calc!$B$3:$B$20002,"&lt;="&amp;180,_Calc!$C$3:$C$20002,A337)/COUNTIFS(_Calc!$C$3:$C$20002,A337,_Calc!$B$3:$B$20002,"&lt;&gt;")*100),"")</f>
        <v/>
      </c>
      <c r="E337" s="42">
        <f>IFERROR(IF(A337="","",COUNTIFS(_Calc!$B$3:$B$20002,"&lt;70",_Calc!$C$3:$C$20002,A337)/COUNTIFS(_Calc!$C$3:$C$20002,A337,_Calc!$B$3:$B$20002,"&lt;&gt;")*100),"")</f>
        <v/>
      </c>
      <c r="F337" s="42">
        <f>IFERROR(IF(A337="","",COUNTIFS(_Calc!$B$3:$B$20002,"&gt;180",_Calc!$C$3:$C$20002,A337)/COUNTIFS(_Calc!$C$3:$C$20002,A337,_Calc!$B$3:$B$20002,"&lt;&gt;")*100),"")</f>
        <v/>
      </c>
      <c r="G337" s="43">
        <f>IFERROR(IF(A337="","",IF(D337&gt;=70,"✓ Good",IF(E337&gt;4,"Low glucose","High glucose"))),"")</f>
        <v/>
      </c>
    </row>
    <row r="338">
      <c r="B338" s="40">
        <f>IFERROR(IF(A338="","",COUNTIFS(_Calc!$C$3:$C$20002,A338,_Calc!$B$3:$B$20002,"&lt;&gt;")),"")</f>
        <v/>
      </c>
      <c r="C338" s="41">
        <f>IFERROR(IF(A338="","",AVERAGEIFS(_Calc!$B$3:$B$20002,_Calc!$C$3:$C$20002,A338)),"")</f>
        <v/>
      </c>
      <c r="D338" s="42">
        <f>IFERROR(IF(A338="","",COUNTIFS(_Calc!$B$3:$B$20002,"&gt;="&amp;70,_Calc!$B$3:$B$20002,"&lt;="&amp;180,_Calc!$C$3:$C$20002,A338)/COUNTIFS(_Calc!$C$3:$C$20002,A338,_Calc!$B$3:$B$20002,"&lt;&gt;")*100),"")</f>
        <v/>
      </c>
      <c r="E338" s="42">
        <f>IFERROR(IF(A338="","",COUNTIFS(_Calc!$B$3:$B$20002,"&lt;70",_Calc!$C$3:$C$20002,A338)/COUNTIFS(_Calc!$C$3:$C$20002,A338,_Calc!$B$3:$B$20002,"&lt;&gt;")*100),"")</f>
        <v/>
      </c>
      <c r="F338" s="42">
        <f>IFERROR(IF(A338="","",COUNTIFS(_Calc!$B$3:$B$20002,"&gt;180",_Calc!$C$3:$C$20002,A338)/COUNTIFS(_Calc!$C$3:$C$20002,A338,_Calc!$B$3:$B$20002,"&lt;&gt;")*100),"")</f>
        <v/>
      </c>
      <c r="G338" s="43">
        <f>IFERROR(IF(A338="","",IF(D338&gt;=70,"✓ Good",IF(E338&gt;4,"Low glucose","High glucose"))),"")</f>
        <v/>
      </c>
    </row>
    <row r="339">
      <c r="B339" s="40">
        <f>IFERROR(IF(A339="","",COUNTIFS(_Calc!$C$3:$C$20002,A339,_Calc!$B$3:$B$20002,"&lt;&gt;")),"")</f>
        <v/>
      </c>
      <c r="C339" s="41">
        <f>IFERROR(IF(A339="","",AVERAGEIFS(_Calc!$B$3:$B$20002,_Calc!$C$3:$C$20002,A339)),"")</f>
        <v/>
      </c>
      <c r="D339" s="42">
        <f>IFERROR(IF(A339="","",COUNTIFS(_Calc!$B$3:$B$20002,"&gt;="&amp;70,_Calc!$B$3:$B$20002,"&lt;="&amp;180,_Calc!$C$3:$C$20002,A339)/COUNTIFS(_Calc!$C$3:$C$20002,A339,_Calc!$B$3:$B$20002,"&lt;&gt;")*100),"")</f>
        <v/>
      </c>
      <c r="E339" s="42">
        <f>IFERROR(IF(A339="","",COUNTIFS(_Calc!$B$3:$B$20002,"&lt;70",_Calc!$C$3:$C$20002,A339)/COUNTIFS(_Calc!$C$3:$C$20002,A339,_Calc!$B$3:$B$20002,"&lt;&gt;")*100),"")</f>
        <v/>
      </c>
      <c r="F339" s="42">
        <f>IFERROR(IF(A339="","",COUNTIFS(_Calc!$B$3:$B$20002,"&gt;180",_Calc!$C$3:$C$20002,A339)/COUNTIFS(_Calc!$C$3:$C$20002,A339,_Calc!$B$3:$B$20002,"&lt;&gt;")*100),"")</f>
        <v/>
      </c>
      <c r="G339" s="43">
        <f>IFERROR(IF(A339="","",IF(D339&gt;=70,"✓ Good",IF(E339&gt;4,"Low glucose","High glucose"))),"")</f>
        <v/>
      </c>
    </row>
    <row r="340">
      <c r="B340" s="40">
        <f>IFERROR(IF(A340="","",COUNTIFS(_Calc!$C$3:$C$20002,A340,_Calc!$B$3:$B$20002,"&lt;&gt;")),"")</f>
        <v/>
      </c>
      <c r="C340" s="41">
        <f>IFERROR(IF(A340="","",AVERAGEIFS(_Calc!$B$3:$B$20002,_Calc!$C$3:$C$20002,A340)),"")</f>
        <v/>
      </c>
      <c r="D340" s="42">
        <f>IFERROR(IF(A340="","",COUNTIFS(_Calc!$B$3:$B$20002,"&gt;="&amp;70,_Calc!$B$3:$B$20002,"&lt;="&amp;180,_Calc!$C$3:$C$20002,A340)/COUNTIFS(_Calc!$C$3:$C$20002,A340,_Calc!$B$3:$B$20002,"&lt;&gt;")*100),"")</f>
        <v/>
      </c>
      <c r="E340" s="42">
        <f>IFERROR(IF(A340="","",COUNTIFS(_Calc!$B$3:$B$20002,"&lt;70",_Calc!$C$3:$C$20002,A340)/COUNTIFS(_Calc!$C$3:$C$20002,A340,_Calc!$B$3:$B$20002,"&lt;&gt;")*100),"")</f>
        <v/>
      </c>
      <c r="F340" s="42">
        <f>IFERROR(IF(A340="","",COUNTIFS(_Calc!$B$3:$B$20002,"&gt;180",_Calc!$C$3:$C$20002,A340)/COUNTIFS(_Calc!$C$3:$C$20002,A340,_Calc!$B$3:$B$20002,"&lt;&gt;")*100),"")</f>
        <v/>
      </c>
      <c r="G340" s="43">
        <f>IFERROR(IF(A340="","",IF(D340&gt;=70,"✓ Good",IF(E340&gt;4,"Low glucose","High glucose"))),"")</f>
        <v/>
      </c>
    </row>
    <row r="341">
      <c r="B341" s="40">
        <f>IFERROR(IF(A341="","",COUNTIFS(_Calc!$C$3:$C$20002,A341,_Calc!$B$3:$B$20002,"&lt;&gt;")),"")</f>
        <v/>
      </c>
      <c r="C341" s="41">
        <f>IFERROR(IF(A341="","",AVERAGEIFS(_Calc!$B$3:$B$20002,_Calc!$C$3:$C$20002,A341)),"")</f>
        <v/>
      </c>
      <c r="D341" s="42">
        <f>IFERROR(IF(A341="","",COUNTIFS(_Calc!$B$3:$B$20002,"&gt;="&amp;70,_Calc!$B$3:$B$20002,"&lt;="&amp;180,_Calc!$C$3:$C$20002,A341)/COUNTIFS(_Calc!$C$3:$C$20002,A341,_Calc!$B$3:$B$20002,"&lt;&gt;")*100),"")</f>
        <v/>
      </c>
      <c r="E341" s="42">
        <f>IFERROR(IF(A341="","",COUNTIFS(_Calc!$B$3:$B$20002,"&lt;70",_Calc!$C$3:$C$20002,A341)/COUNTIFS(_Calc!$C$3:$C$20002,A341,_Calc!$B$3:$B$20002,"&lt;&gt;")*100),"")</f>
        <v/>
      </c>
      <c r="F341" s="42">
        <f>IFERROR(IF(A341="","",COUNTIFS(_Calc!$B$3:$B$20002,"&gt;180",_Calc!$C$3:$C$20002,A341)/COUNTIFS(_Calc!$C$3:$C$20002,A341,_Calc!$B$3:$B$20002,"&lt;&gt;")*100),"")</f>
        <v/>
      </c>
      <c r="G341" s="43">
        <f>IFERROR(IF(A341="","",IF(D341&gt;=70,"✓ Good",IF(E341&gt;4,"Low glucose","High glucose"))),"")</f>
        <v/>
      </c>
    </row>
    <row r="342">
      <c r="B342" s="40">
        <f>IFERROR(IF(A342="","",COUNTIFS(_Calc!$C$3:$C$20002,A342,_Calc!$B$3:$B$20002,"&lt;&gt;")),"")</f>
        <v/>
      </c>
      <c r="C342" s="41">
        <f>IFERROR(IF(A342="","",AVERAGEIFS(_Calc!$B$3:$B$20002,_Calc!$C$3:$C$20002,A342)),"")</f>
        <v/>
      </c>
      <c r="D342" s="42">
        <f>IFERROR(IF(A342="","",COUNTIFS(_Calc!$B$3:$B$20002,"&gt;="&amp;70,_Calc!$B$3:$B$20002,"&lt;="&amp;180,_Calc!$C$3:$C$20002,A342)/COUNTIFS(_Calc!$C$3:$C$20002,A342,_Calc!$B$3:$B$20002,"&lt;&gt;")*100),"")</f>
        <v/>
      </c>
      <c r="E342" s="42">
        <f>IFERROR(IF(A342="","",COUNTIFS(_Calc!$B$3:$B$20002,"&lt;70",_Calc!$C$3:$C$20002,A342)/COUNTIFS(_Calc!$C$3:$C$20002,A342,_Calc!$B$3:$B$20002,"&lt;&gt;")*100),"")</f>
        <v/>
      </c>
      <c r="F342" s="42">
        <f>IFERROR(IF(A342="","",COUNTIFS(_Calc!$B$3:$B$20002,"&gt;180",_Calc!$C$3:$C$20002,A342)/COUNTIFS(_Calc!$C$3:$C$20002,A342,_Calc!$B$3:$B$20002,"&lt;&gt;")*100),"")</f>
        <v/>
      </c>
      <c r="G342" s="43">
        <f>IFERROR(IF(A342="","",IF(D342&gt;=70,"✓ Good",IF(E342&gt;4,"Low glucose","High glucose"))),"")</f>
        <v/>
      </c>
    </row>
    <row r="343">
      <c r="B343" s="40">
        <f>IFERROR(IF(A343="","",COUNTIFS(_Calc!$C$3:$C$20002,A343,_Calc!$B$3:$B$20002,"&lt;&gt;")),"")</f>
        <v/>
      </c>
      <c r="C343" s="41">
        <f>IFERROR(IF(A343="","",AVERAGEIFS(_Calc!$B$3:$B$20002,_Calc!$C$3:$C$20002,A343)),"")</f>
        <v/>
      </c>
      <c r="D343" s="42">
        <f>IFERROR(IF(A343="","",COUNTIFS(_Calc!$B$3:$B$20002,"&gt;="&amp;70,_Calc!$B$3:$B$20002,"&lt;="&amp;180,_Calc!$C$3:$C$20002,A343)/COUNTIFS(_Calc!$C$3:$C$20002,A343,_Calc!$B$3:$B$20002,"&lt;&gt;")*100),"")</f>
        <v/>
      </c>
      <c r="E343" s="42">
        <f>IFERROR(IF(A343="","",COUNTIFS(_Calc!$B$3:$B$20002,"&lt;70",_Calc!$C$3:$C$20002,A343)/COUNTIFS(_Calc!$C$3:$C$20002,A343,_Calc!$B$3:$B$20002,"&lt;&gt;")*100),"")</f>
        <v/>
      </c>
      <c r="F343" s="42">
        <f>IFERROR(IF(A343="","",COUNTIFS(_Calc!$B$3:$B$20002,"&gt;180",_Calc!$C$3:$C$20002,A343)/COUNTIFS(_Calc!$C$3:$C$20002,A343,_Calc!$B$3:$B$20002,"&lt;&gt;")*100),"")</f>
        <v/>
      </c>
      <c r="G343" s="43">
        <f>IFERROR(IF(A343="","",IF(D343&gt;=70,"✓ Good",IF(E343&gt;4,"Low glucose","High glucose"))),"")</f>
        <v/>
      </c>
    </row>
    <row r="344">
      <c r="B344" s="40">
        <f>IFERROR(IF(A344="","",COUNTIFS(_Calc!$C$3:$C$20002,A344,_Calc!$B$3:$B$20002,"&lt;&gt;")),"")</f>
        <v/>
      </c>
      <c r="C344" s="41">
        <f>IFERROR(IF(A344="","",AVERAGEIFS(_Calc!$B$3:$B$20002,_Calc!$C$3:$C$20002,A344)),"")</f>
        <v/>
      </c>
      <c r="D344" s="42">
        <f>IFERROR(IF(A344="","",COUNTIFS(_Calc!$B$3:$B$20002,"&gt;="&amp;70,_Calc!$B$3:$B$20002,"&lt;="&amp;180,_Calc!$C$3:$C$20002,A344)/COUNTIFS(_Calc!$C$3:$C$20002,A344,_Calc!$B$3:$B$20002,"&lt;&gt;")*100),"")</f>
        <v/>
      </c>
      <c r="E344" s="42">
        <f>IFERROR(IF(A344="","",COUNTIFS(_Calc!$B$3:$B$20002,"&lt;70",_Calc!$C$3:$C$20002,A344)/COUNTIFS(_Calc!$C$3:$C$20002,A344,_Calc!$B$3:$B$20002,"&lt;&gt;")*100),"")</f>
        <v/>
      </c>
      <c r="F344" s="42">
        <f>IFERROR(IF(A344="","",COUNTIFS(_Calc!$B$3:$B$20002,"&gt;180",_Calc!$C$3:$C$20002,A344)/COUNTIFS(_Calc!$C$3:$C$20002,A344,_Calc!$B$3:$B$20002,"&lt;&gt;")*100),"")</f>
        <v/>
      </c>
      <c r="G344" s="43">
        <f>IFERROR(IF(A344="","",IF(D344&gt;=70,"✓ Good",IF(E344&gt;4,"Low glucose","High glucose"))),"")</f>
        <v/>
      </c>
    </row>
    <row r="345">
      <c r="B345" s="40">
        <f>IFERROR(IF(A345="","",COUNTIFS(_Calc!$C$3:$C$20002,A345,_Calc!$B$3:$B$20002,"&lt;&gt;")),"")</f>
        <v/>
      </c>
      <c r="C345" s="41">
        <f>IFERROR(IF(A345="","",AVERAGEIFS(_Calc!$B$3:$B$20002,_Calc!$C$3:$C$20002,A345)),"")</f>
        <v/>
      </c>
      <c r="D345" s="42">
        <f>IFERROR(IF(A345="","",COUNTIFS(_Calc!$B$3:$B$20002,"&gt;="&amp;70,_Calc!$B$3:$B$20002,"&lt;="&amp;180,_Calc!$C$3:$C$20002,A345)/COUNTIFS(_Calc!$C$3:$C$20002,A345,_Calc!$B$3:$B$20002,"&lt;&gt;")*100),"")</f>
        <v/>
      </c>
      <c r="E345" s="42">
        <f>IFERROR(IF(A345="","",COUNTIFS(_Calc!$B$3:$B$20002,"&lt;70",_Calc!$C$3:$C$20002,A345)/COUNTIFS(_Calc!$C$3:$C$20002,A345,_Calc!$B$3:$B$20002,"&lt;&gt;")*100),"")</f>
        <v/>
      </c>
      <c r="F345" s="42">
        <f>IFERROR(IF(A345="","",COUNTIFS(_Calc!$B$3:$B$20002,"&gt;180",_Calc!$C$3:$C$20002,A345)/COUNTIFS(_Calc!$C$3:$C$20002,A345,_Calc!$B$3:$B$20002,"&lt;&gt;")*100),"")</f>
        <v/>
      </c>
      <c r="G345" s="43">
        <f>IFERROR(IF(A345="","",IF(D345&gt;=70,"✓ Good",IF(E345&gt;4,"Low glucose","High glucose"))),"")</f>
        <v/>
      </c>
    </row>
    <row r="346">
      <c r="B346" s="40">
        <f>IFERROR(IF(A346="","",COUNTIFS(_Calc!$C$3:$C$20002,A346,_Calc!$B$3:$B$20002,"&lt;&gt;")),"")</f>
        <v/>
      </c>
      <c r="C346" s="41">
        <f>IFERROR(IF(A346="","",AVERAGEIFS(_Calc!$B$3:$B$20002,_Calc!$C$3:$C$20002,A346)),"")</f>
        <v/>
      </c>
      <c r="D346" s="42">
        <f>IFERROR(IF(A346="","",COUNTIFS(_Calc!$B$3:$B$20002,"&gt;="&amp;70,_Calc!$B$3:$B$20002,"&lt;="&amp;180,_Calc!$C$3:$C$20002,A346)/COUNTIFS(_Calc!$C$3:$C$20002,A346,_Calc!$B$3:$B$20002,"&lt;&gt;")*100),"")</f>
        <v/>
      </c>
      <c r="E346" s="42">
        <f>IFERROR(IF(A346="","",COUNTIFS(_Calc!$B$3:$B$20002,"&lt;70",_Calc!$C$3:$C$20002,A346)/COUNTIFS(_Calc!$C$3:$C$20002,A346,_Calc!$B$3:$B$20002,"&lt;&gt;")*100),"")</f>
        <v/>
      </c>
      <c r="F346" s="42">
        <f>IFERROR(IF(A346="","",COUNTIFS(_Calc!$B$3:$B$20002,"&gt;180",_Calc!$C$3:$C$20002,A346)/COUNTIFS(_Calc!$C$3:$C$20002,A346,_Calc!$B$3:$B$20002,"&lt;&gt;")*100),"")</f>
        <v/>
      </c>
      <c r="G346" s="43">
        <f>IFERROR(IF(A346="","",IF(D346&gt;=70,"✓ Good",IF(E346&gt;4,"Low glucose","High glucose"))),"")</f>
        <v/>
      </c>
    </row>
    <row r="347">
      <c r="B347" s="40">
        <f>IFERROR(IF(A347="","",COUNTIFS(_Calc!$C$3:$C$20002,A347,_Calc!$B$3:$B$20002,"&lt;&gt;")),"")</f>
        <v/>
      </c>
      <c r="C347" s="41">
        <f>IFERROR(IF(A347="","",AVERAGEIFS(_Calc!$B$3:$B$20002,_Calc!$C$3:$C$20002,A347)),"")</f>
        <v/>
      </c>
      <c r="D347" s="42">
        <f>IFERROR(IF(A347="","",COUNTIFS(_Calc!$B$3:$B$20002,"&gt;="&amp;70,_Calc!$B$3:$B$20002,"&lt;="&amp;180,_Calc!$C$3:$C$20002,A347)/COUNTIFS(_Calc!$C$3:$C$20002,A347,_Calc!$B$3:$B$20002,"&lt;&gt;")*100),"")</f>
        <v/>
      </c>
      <c r="E347" s="42">
        <f>IFERROR(IF(A347="","",COUNTIFS(_Calc!$B$3:$B$20002,"&lt;70",_Calc!$C$3:$C$20002,A347)/COUNTIFS(_Calc!$C$3:$C$20002,A347,_Calc!$B$3:$B$20002,"&lt;&gt;")*100),"")</f>
        <v/>
      </c>
      <c r="F347" s="42">
        <f>IFERROR(IF(A347="","",COUNTIFS(_Calc!$B$3:$B$20002,"&gt;180",_Calc!$C$3:$C$20002,A347)/COUNTIFS(_Calc!$C$3:$C$20002,A347,_Calc!$B$3:$B$20002,"&lt;&gt;")*100),"")</f>
        <v/>
      </c>
      <c r="G347" s="43">
        <f>IFERROR(IF(A347="","",IF(D347&gt;=70,"✓ Good",IF(E347&gt;4,"Low glucose","High glucose"))),"")</f>
        <v/>
      </c>
    </row>
    <row r="348">
      <c r="B348" s="40">
        <f>IFERROR(IF(A348="","",COUNTIFS(_Calc!$C$3:$C$20002,A348,_Calc!$B$3:$B$20002,"&lt;&gt;")),"")</f>
        <v/>
      </c>
      <c r="C348" s="41">
        <f>IFERROR(IF(A348="","",AVERAGEIFS(_Calc!$B$3:$B$20002,_Calc!$C$3:$C$20002,A348)),"")</f>
        <v/>
      </c>
      <c r="D348" s="42">
        <f>IFERROR(IF(A348="","",COUNTIFS(_Calc!$B$3:$B$20002,"&gt;="&amp;70,_Calc!$B$3:$B$20002,"&lt;="&amp;180,_Calc!$C$3:$C$20002,A348)/COUNTIFS(_Calc!$C$3:$C$20002,A348,_Calc!$B$3:$B$20002,"&lt;&gt;")*100),"")</f>
        <v/>
      </c>
      <c r="E348" s="42">
        <f>IFERROR(IF(A348="","",COUNTIFS(_Calc!$B$3:$B$20002,"&lt;70",_Calc!$C$3:$C$20002,A348)/COUNTIFS(_Calc!$C$3:$C$20002,A348,_Calc!$B$3:$B$20002,"&lt;&gt;")*100),"")</f>
        <v/>
      </c>
      <c r="F348" s="42">
        <f>IFERROR(IF(A348="","",COUNTIFS(_Calc!$B$3:$B$20002,"&gt;180",_Calc!$C$3:$C$20002,A348)/COUNTIFS(_Calc!$C$3:$C$20002,A348,_Calc!$B$3:$B$20002,"&lt;&gt;")*100),"")</f>
        <v/>
      </c>
      <c r="G348" s="43">
        <f>IFERROR(IF(A348="","",IF(D348&gt;=70,"✓ Good",IF(E348&gt;4,"Low glucose","High glucose"))),"")</f>
        <v/>
      </c>
    </row>
    <row r="349">
      <c r="B349" s="40">
        <f>IFERROR(IF(A349="","",COUNTIFS(_Calc!$C$3:$C$20002,A349,_Calc!$B$3:$B$20002,"&lt;&gt;")),"")</f>
        <v/>
      </c>
      <c r="C349" s="41">
        <f>IFERROR(IF(A349="","",AVERAGEIFS(_Calc!$B$3:$B$20002,_Calc!$C$3:$C$20002,A349)),"")</f>
        <v/>
      </c>
      <c r="D349" s="42">
        <f>IFERROR(IF(A349="","",COUNTIFS(_Calc!$B$3:$B$20002,"&gt;="&amp;70,_Calc!$B$3:$B$20002,"&lt;="&amp;180,_Calc!$C$3:$C$20002,A349)/COUNTIFS(_Calc!$C$3:$C$20002,A349,_Calc!$B$3:$B$20002,"&lt;&gt;")*100),"")</f>
        <v/>
      </c>
      <c r="E349" s="42">
        <f>IFERROR(IF(A349="","",COUNTIFS(_Calc!$B$3:$B$20002,"&lt;70",_Calc!$C$3:$C$20002,A349)/COUNTIFS(_Calc!$C$3:$C$20002,A349,_Calc!$B$3:$B$20002,"&lt;&gt;")*100),"")</f>
        <v/>
      </c>
      <c r="F349" s="42">
        <f>IFERROR(IF(A349="","",COUNTIFS(_Calc!$B$3:$B$20002,"&gt;180",_Calc!$C$3:$C$20002,A349)/COUNTIFS(_Calc!$C$3:$C$20002,A349,_Calc!$B$3:$B$20002,"&lt;&gt;")*100),"")</f>
        <v/>
      </c>
      <c r="G349" s="43">
        <f>IFERROR(IF(A349="","",IF(D349&gt;=70,"✓ Good",IF(E349&gt;4,"Low glucose","High glucose"))),"")</f>
        <v/>
      </c>
    </row>
    <row r="350">
      <c r="B350" s="40">
        <f>IFERROR(IF(A350="","",COUNTIFS(_Calc!$C$3:$C$20002,A350,_Calc!$B$3:$B$20002,"&lt;&gt;")),"")</f>
        <v/>
      </c>
      <c r="C350" s="41">
        <f>IFERROR(IF(A350="","",AVERAGEIFS(_Calc!$B$3:$B$20002,_Calc!$C$3:$C$20002,A350)),"")</f>
        <v/>
      </c>
      <c r="D350" s="42">
        <f>IFERROR(IF(A350="","",COUNTIFS(_Calc!$B$3:$B$20002,"&gt;="&amp;70,_Calc!$B$3:$B$20002,"&lt;="&amp;180,_Calc!$C$3:$C$20002,A350)/COUNTIFS(_Calc!$C$3:$C$20002,A350,_Calc!$B$3:$B$20002,"&lt;&gt;")*100),"")</f>
        <v/>
      </c>
      <c r="E350" s="42">
        <f>IFERROR(IF(A350="","",COUNTIFS(_Calc!$B$3:$B$20002,"&lt;70",_Calc!$C$3:$C$20002,A350)/COUNTIFS(_Calc!$C$3:$C$20002,A350,_Calc!$B$3:$B$20002,"&lt;&gt;")*100),"")</f>
        <v/>
      </c>
      <c r="F350" s="42">
        <f>IFERROR(IF(A350="","",COUNTIFS(_Calc!$B$3:$B$20002,"&gt;180",_Calc!$C$3:$C$20002,A350)/COUNTIFS(_Calc!$C$3:$C$20002,A350,_Calc!$B$3:$B$20002,"&lt;&gt;")*100),"")</f>
        <v/>
      </c>
      <c r="G350" s="43">
        <f>IFERROR(IF(A350="","",IF(D350&gt;=70,"✓ Good",IF(E350&gt;4,"Low glucose","High glucose"))),"")</f>
        <v/>
      </c>
    </row>
    <row r="351">
      <c r="B351" s="40">
        <f>IFERROR(IF(A351="","",COUNTIFS(_Calc!$C$3:$C$20002,A351,_Calc!$B$3:$B$20002,"&lt;&gt;")),"")</f>
        <v/>
      </c>
      <c r="C351" s="41">
        <f>IFERROR(IF(A351="","",AVERAGEIFS(_Calc!$B$3:$B$20002,_Calc!$C$3:$C$20002,A351)),"")</f>
        <v/>
      </c>
      <c r="D351" s="42">
        <f>IFERROR(IF(A351="","",COUNTIFS(_Calc!$B$3:$B$20002,"&gt;="&amp;70,_Calc!$B$3:$B$20002,"&lt;="&amp;180,_Calc!$C$3:$C$20002,A351)/COUNTIFS(_Calc!$C$3:$C$20002,A351,_Calc!$B$3:$B$20002,"&lt;&gt;")*100),"")</f>
        <v/>
      </c>
      <c r="E351" s="42">
        <f>IFERROR(IF(A351="","",COUNTIFS(_Calc!$B$3:$B$20002,"&lt;70",_Calc!$C$3:$C$20002,A351)/COUNTIFS(_Calc!$C$3:$C$20002,A351,_Calc!$B$3:$B$20002,"&lt;&gt;")*100),"")</f>
        <v/>
      </c>
      <c r="F351" s="42">
        <f>IFERROR(IF(A351="","",COUNTIFS(_Calc!$B$3:$B$20002,"&gt;180",_Calc!$C$3:$C$20002,A351)/COUNTIFS(_Calc!$C$3:$C$20002,A351,_Calc!$B$3:$B$20002,"&lt;&gt;")*100),"")</f>
        <v/>
      </c>
      <c r="G351" s="43">
        <f>IFERROR(IF(A351="","",IF(D351&gt;=70,"✓ Good",IF(E351&gt;4,"Low glucose","High glucose"))),"")</f>
        <v/>
      </c>
    </row>
    <row r="352">
      <c r="B352" s="40">
        <f>IFERROR(IF(A352="","",COUNTIFS(_Calc!$C$3:$C$20002,A352,_Calc!$B$3:$B$20002,"&lt;&gt;")),"")</f>
        <v/>
      </c>
      <c r="C352" s="41">
        <f>IFERROR(IF(A352="","",AVERAGEIFS(_Calc!$B$3:$B$20002,_Calc!$C$3:$C$20002,A352)),"")</f>
        <v/>
      </c>
      <c r="D352" s="42">
        <f>IFERROR(IF(A352="","",COUNTIFS(_Calc!$B$3:$B$20002,"&gt;="&amp;70,_Calc!$B$3:$B$20002,"&lt;="&amp;180,_Calc!$C$3:$C$20002,A352)/COUNTIFS(_Calc!$C$3:$C$20002,A352,_Calc!$B$3:$B$20002,"&lt;&gt;")*100),"")</f>
        <v/>
      </c>
      <c r="E352" s="42">
        <f>IFERROR(IF(A352="","",COUNTIFS(_Calc!$B$3:$B$20002,"&lt;70",_Calc!$C$3:$C$20002,A352)/COUNTIFS(_Calc!$C$3:$C$20002,A352,_Calc!$B$3:$B$20002,"&lt;&gt;")*100),"")</f>
        <v/>
      </c>
      <c r="F352" s="42">
        <f>IFERROR(IF(A352="","",COUNTIFS(_Calc!$B$3:$B$20002,"&gt;180",_Calc!$C$3:$C$20002,A352)/COUNTIFS(_Calc!$C$3:$C$20002,A352,_Calc!$B$3:$B$20002,"&lt;&gt;")*100),"")</f>
        <v/>
      </c>
      <c r="G352" s="43">
        <f>IFERROR(IF(A352="","",IF(D352&gt;=70,"✓ Good",IF(E352&gt;4,"Low glucose","High glucose"))),"")</f>
        <v/>
      </c>
    </row>
    <row r="353">
      <c r="B353" s="40">
        <f>IFERROR(IF(A353="","",COUNTIFS(_Calc!$C$3:$C$20002,A353,_Calc!$B$3:$B$20002,"&lt;&gt;")),"")</f>
        <v/>
      </c>
      <c r="C353" s="41">
        <f>IFERROR(IF(A353="","",AVERAGEIFS(_Calc!$B$3:$B$20002,_Calc!$C$3:$C$20002,A353)),"")</f>
        <v/>
      </c>
      <c r="D353" s="42">
        <f>IFERROR(IF(A353="","",COUNTIFS(_Calc!$B$3:$B$20002,"&gt;="&amp;70,_Calc!$B$3:$B$20002,"&lt;="&amp;180,_Calc!$C$3:$C$20002,A353)/COUNTIFS(_Calc!$C$3:$C$20002,A353,_Calc!$B$3:$B$20002,"&lt;&gt;")*100),"")</f>
        <v/>
      </c>
      <c r="E353" s="42">
        <f>IFERROR(IF(A353="","",COUNTIFS(_Calc!$B$3:$B$20002,"&lt;70",_Calc!$C$3:$C$20002,A353)/COUNTIFS(_Calc!$C$3:$C$20002,A353,_Calc!$B$3:$B$20002,"&lt;&gt;")*100),"")</f>
        <v/>
      </c>
      <c r="F353" s="42">
        <f>IFERROR(IF(A353="","",COUNTIFS(_Calc!$B$3:$B$20002,"&gt;180",_Calc!$C$3:$C$20002,A353)/COUNTIFS(_Calc!$C$3:$C$20002,A353,_Calc!$B$3:$B$20002,"&lt;&gt;")*100),"")</f>
        <v/>
      </c>
      <c r="G353" s="43">
        <f>IFERROR(IF(A353="","",IF(D353&gt;=70,"✓ Good",IF(E353&gt;4,"Low glucose","High glucose"))),"")</f>
        <v/>
      </c>
    </row>
    <row r="354">
      <c r="B354" s="40">
        <f>IFERROR(IF(A354="","",COUNTIFS(_Calc!$C$3:$C$20002,A354,_Calc!$B$3:$B$20002,"&lt;&gt;")),"")</f>
        <v/>
      </c>
      <c r="C354" s="41">
        <f>IFERROR(IF(A354="","",AVERAGEIFS(_Calc!$B$3:$B$20002,_Calc!$C$3:$C$20002,A354)),"")</f>
        <v/>
      </c>
      <c r="D354" s="42">
        <f>IFERROR(IF(A354="","",COUNTIFS(_Calc!$B$3:$B$20002,"&gt;="&amp;70,_Calc!$B$3:$B$20002,"&lt;="&amp;180,_Calc!$C$3:$C$20002,A354)/COUNTIFS(_Calc!$C$3:$C$20002,A354,_Calc!$B$3:$B$20002,"&lt;&gt;")*100),"")</f>
        <v/>
      </c>
      <c r="E354" s="42">
        <f>IFERROR(IF(A354="","",COUNTIFS(_Calc!$B$3:$B$20002,"&lt;70",_Calc!$C$3:$C$20002,A354)/COUNTIFS(_Calc!$C$3:$C$20002,A354,_Calc!$B$3:$B$20002,"&lt;&gt;")*100),"")</f>
        <v/>
      </c>
      <c r="F354" s="42">
        <f>IFERROR(IF(A354="","",COUNTIFS(_Calc!$B$3:$B$20002,"&gt;180",_Calc!$C$3:$C$20002,A354)/COUNTIFS(_Calc!$C$3:$C$20002,A354,_Calc!$B$3:$B$20002,"&lt;&gt;")*100),"")</f>
        <v/>
      </c>
      <c r="G354" s="43">
        <f>IFERROR(IF(A354="","",IF(D354&gt;=70,"✓ Good",IF(E354&gt;4,"Low glucose","High glucose"))),"")</f>
        <v/>
      </c>
    </row>
    <row r="355">
      <c r="B355" s="40">
        <f>IFERROR(IF(A355="","",COUNTIFS(_Calc!$C$3:$C$20002,A355,_Calc!$B$3:$B$20002,"&lt;&gt;")),"")</f>
        <v/>
      </c>
      <c r="C355" s="41">
        <f>IFERROR(IF(A355="","",AVERAGEIFS(_Calc!$B$3:$B$20002,_Calc!$C$3:$C$20002,A355)),"")</f>
        <v/>
      </c>
      <c r="D355" s="42">
        <f>IFERROR(IF(A355="","",COUNTIFS(_Calc!$B$3:$B$20002,"&gt;="&amp;70,_Calc!$B$3:$B$20002,"&lt;="&amp;180,_Calc!$C$3:$C$20002,A355)/COUNTIFS(_Calc!$C$3:$C$20002,A355,_Calc!$B$3:$B$20002,"&lt;&gt;")*100),"")</f>
        <v/>
      </c>
      <c r="E355" s="42">
        <f>IFERROR(IF(A355="","",COUNTIFS(_Calc!$B$3:$B$20002,"&lt;70",_Calc!$C$3:$C$20002,A355)/COUNTIFS(_Calc!$C$3:$C$20002,A355,_Calc!$B$3:$B$20002,"&lt;&gt;")*100),"")</f>
        <v/>
      </c>
      <c r="F355" s="42">
        <f>IFERROR(IF(A355="","",COUNTIFS(_Calc!$B$3:$B$20002,"&gt;180",_Calc!$C$3:$C$20002,A355)/COUNTIFS(_Calc!$C$3:$C$20002,A355,_Calc!$B$3:$B$20002,"&lt;&gt;")*100),"")</f>
        <v/>
      </c>
      <c r="G355" s="43">
        <f>IFERROR(IF(A355="","",IF(D355&gt;=70,"✓ Good",IF(E355&gt;4,"Low glucose","High glucose"))),"")</f>
        <v/>
      </c>
    </row>
    <row r="356">
      <c r="B356" s="40">
        <f>IFERROR(IF(A356="","",COUNTIFS(_Calc!$C$3:$C$20002,A356,_Calc!$B$3:$B$20002,"&lt;&gt;")),"")</f>
        <v/>
      </c>
      <c r="C356" s="41">
        <f>IFERROR(IF(A356="","",AVERAGEIFS(_Calc!$B$3:$B$20002,_Calc!$C$3:$C$20002,A356)),"")</f>
        <v/>
      </c>
      <c r="D356" s="42">
        <f>IFERROR(IF(A356="","",COUNTIFS(_Calc!$B$3:$B$20002,"&gt;="&amp;70,_Calc!$B$3:$B$20002,"&lt;="&amp;180,_Calc!$C$3:$C$20002,A356)/COUNTIFS(_Calc!$C$3:$C$20002,A356,_Calc!$B$3:$B$20002,"&lt;&gt;")*100),"")</f>
        <v/>
      </c>
      <c r="E356" s="42">
        <f>IFERROR(IF(A356="","",COUNTIFS(_Calc!$B$3:$B$20002,"&lt;70",_Calc!$C$3:$C$20002,A356)/COUNTIFS(_Calc!$C$3:$C$20002,A356,_Calc!$B$3:$B$20002,"&lt;&gt;")*100),"")</f>
        <v/>
      </c>
      <c r="F356" s="42">
        <f>IFERROR(IF(A356="","",COUNTIFS(_Calc!$B$3:$B$20002,"&gt;180",_Calc!$C$3:$C$20002,A356)/COUNTIFS(_Calc!$C$3:$C$20002,A356,_Calc!$B$3:$B$20002,"&lt;&gt;")*100),"")</f>
        <v/>
      </c>
      <c r="G356" s="43">
        <f>IFERROR(IF(A356="","",IF(D356&gt;=70,"✓ Good",IF(E356&gt;4,"Low glucose","High glucose"))),"")</f>
        <v/>
      </c>
    </row>
    <row r="357">
      <c r="B357" s="40">
        <f>IFERROR(IF(A357="","",COUNTIFS(_Calc!$C$3:$C$20002,A357,_Calc!$B$3:$B$20002,"&lt;&gt;")),"")</f>
        <v/>
      </c>
      <c r="C357" s="41">
        <f>IFERROR(IF(A357="","",AVERAGEIFS(_Calc!$B$3:$B$20002,_Calc!$C$3:$C$20002,A357)),"")</f>
        <v/>
      </c>
      <c r="D357" s="42">
        <f>IFERROR(IF(A357="","",COUNTIFS(_Calc!$B$3:$B$20002,"&gt;="&amp;70,_Calc!$B$3:$B$20002,"&lt;="&amp;180,_Calc!$C$3:$C$20002,A357)/COUNTIFS(_Calc!$C$3:$C$20002,A357,_Calc!$B$3:$B$20002,"&lt;&gt;")*100),"")</f>
        <v/>
      </c>
      <c r="E357" s="42">
        <f>IFERROR(IF(A357="","",COUNTIFS(_Calc!$B$3:$B$20002,"&lt;70",_Calc!$C$3:$C$20002,A357)/COUNTIFS(_Calc!$C$3:$C$20002,A357,_Calc!$B$3:$B$20002,"&lt;&gt;")*100),"")</f>
        <v/>
      </c>
      <c r="F357" s="42">
        <f>IFERROR(IF(A357="","",COUNTIFS(_Calc!$B$3:$B$20002,"&gt;180",_Calc!$C$3:$C$20002,A357)/COUNTIFS(_Calc!$C$3:$C$20002,A357,_Calc!$B$3:$B$20002,"&lt;&gt;")*100),"")</f>
        <v/>
      </c>
      <c r="G357" s="43">
        <f>IFERROR(IF(A357="","",IF(D357&gt;=70,"✓ Good",IF(E357&gt;4,"Low glucose","High glucose"))),"")</f>
        <v/>
      </c>
    </row>
    <row r="358">
      <c r="B358" s="40">
        <f>IFERROR(IF(A358="","",COUNTIFS(_Calc!$C$3:$C$20002,A358,_Calc!$B$3:$B$20002,"&lt;&gt;")),"")</f>
        <v/>
      </c>
      <c r="C358" s="41">
        <f>IFERROR(IF(A358="","",AVERAGEIFS(_Calc!$B$3:$B$20002,_Calc!$C$3:$C$20002,A358)),"")</f>
        <v/>
      </c>
      <c r="D358" s="42">
        <f>IFERROR(IF(A358="","",COUNTIFS(_Calc!$B$3:$B$20002,"&gt;="&amp;70,_Calc!$B$3:$B$20002,"&lt;="&amp;180,_Calc!$C$3:$C$20002,A358)/COUNTIFS(_Calc!$C$3:$C$20002,A358,_Calc!$B$3:$B$20002,"&lt;&gt;")*100),"")</f>
        <v/>
      </c>
      <c r="E358" s="42">
        <f>IFERROR(IF(A358="","",COUNTIFS(_Calc!$B$3:$B$20002,"&lt;70",_Calc!$C$3:$C$20002,A358)/COUNTIFS(_Calc!$C$3:$C$20002,A358,_Calc!$B$3:$B$20002,"&lt;&gt;")*100),"")</f>
        <v/>
      </c>
      <c r="F358" s="42">
        <f>IFERROR(IF(A358="","",COUNTIFS(_Calc!$B$3:$B$20002,"&gt;180",_Calc!$C$3:$C$20002,A358)/COUNTIFS(_Calc!$C$3:$C$20002,A358,_Calc!$B$3:$B$20002,"&lt;&gt;")*100),"")</f>
        <v/>
      </c>
      <c r="G358" s="43">
        <f>IFERROR(IF(A358="","",IF(D358&gt;=70,"✓ Good",IF(E358&gt;4,"Low glucose","High glucose"))),"")</f>
        <v/>
      </c>
    </row>
    <row r="359">
      <c r="B359" s="40">
        <f>IFERROR(IF(A359="","",COUNTIFS(_Calc!$C$3:$C$20002,A359,_Calc!$B$3:$B$20002,"&lt;&gt;")),"")</f>
        <v/>
      </c>
      <c r="C359" s="41">
        <f>IFERROR(IF(A359="","",AVERAGEIFS(_Calc!$B$3:$B$20002,_Calc!$C$3:$C$20002,A359)),"")</f>
        <v/>
      </c>
      <c r="D359" s="42">
        <f>IFERROR(IF(A359="","",COUNTIFS(_Calc!$B$3:$B$20002,"&gt;="&amp;70,_Calc!$B$3:$B$20002,"&lt;="&amp;180,_Calc!$C$3:$C$20002,A359)/COUNTIFS(_Calc!$C$3:$C$20002,A359,_Calc!$B$3:$B$20002,"&lt;&gt;")*100),"")</f>
        <v/>
      </c>
      <c r="E359" s="42">
        <f>IFERROR(IF(A359="","",COUNTIFS(_Calc!$B$3:$B$20002,"&lt;70",_Calc!$C$3:$C$20002,A359)/COUNTIFS(_Calc!$C$3:$C$20002,A359,_Calc!$B$3:$B$20002,"&lt;&gt;")*100),"")</f>
        <v/>
      </c>
      <c r="F359" s="42">
        <f>IFERROR(IF(A359="","",COUNTIFS(_Calc!$B$3:$B$20002,"&gt;180",_Calc!$C$3:$C$20002,A359)/COUNTIFS(_Calc!$C$3:$C$20002,A359,_Calc!$B$3:$B$20002,"&lt;&gt;")*100),"")</f>
        <v/>
      </c>
      <c r="G359" s="43">
        <f>IFERROR(IF(A359="","",IF(D359&gt;=70,"✓ Good",IF(E359&gt;4,"Low glucose","High glucose"))),"")</f>
        <v/>
      </c>
    </row>
    <row r="360">
      <c r="B360" s="40">
        <f>IFERROR(IF(A360="","",COUNTIFS(_Calc!$C$3:$C$20002,A360,_Calc!$B$3:$B$20002,"&lt;&gt;")),"")</f>
        <v/>
      </c>
      <c r="C360" s="41">
        <f>IFERROR(IF(A360="","",AVERAGEIFS(_Calc!$B$3:$B$20002,_Calc!$C$3:$C$20002,A360)),"")</f>
        <v/>
      </c>
      <c r="D360" s="42">
        <f>IFERROR(IF(A360="","",COUNTIFS(_Calc!$B$3:$B$20002,"&gt;="&amp;70,_Calc!$B$3:$B$20002,"&lt;="&amp;180,_Calc!$C$3:$C$20002,A360)/COUNTIFS(_Calc!$C$3:$C$20002,A360,_Calc!$B$3:$B$20002,"&lt;&gt;")*100),"")</f>
        <v/>
      </c>
      <c r="E360" s="42">
        <f>IFERROR(IF(A360="","",COUNTIFS(_Calc!$B$3:$B$20002,"&lt;70",_Calc!$C$3:$C$20002,A360)/COUNTIFS(_Calc!$C$3:$C$20002,A360,_Calc!$B$3:$B$20002,"&lt;&gt;")*100),"")</f>
        <v/>
      </c>
      <c r="F360" s="42">
        <f>IFERROR(IF(A360="","",COUNTIFS(_Calc!$B$3:$B$20002,"&gt;180",_Calc!$C$3:$C$20002,A360)/COUNTIFS(_Calc!$C$3:$C$20002,A360,_Calc!$B$3:$B$20002,"&lt;&gt;")*100),"")</f>
        <v/>
      </c>
      <c r="G360" s="43">
        <f>IFERROR(IF(A360="","",IF(D360&gt;=70,"✓ Good",IF(E360&gt;4,"Low glucose","High glucose"))),"")</f>
        <v/>
      </c>
    </row>
    <row r="361">
      <c r="B361" s="40">
        <f>IFERROR(IF(A361="","",COUNTIFS(_Calc!$C$3:$C$20002,A361,_Calc!$B$3:$B$20002,"&lt;&gt;")),"")</f>
        <v/>
      </c>
      <c r="C361" s="41">
        <f>IFERROR(IF(A361="","",AVERAGEIFS(_Calc!$B$3:$B$20002,_Calc!$C$3:$C$20002,A361)),"")</f>
        <v/>
      </c>
      <c r="D361" s="42">
        <f>IFERROR(IF(A361="","",COUNTIFS(_Calc!$B$3:$B$20002,"&gt;="&amp;70,_Calc!$B$3:$B$20002,"&lt;="&amp;180,_Calc!$C$3:$C$20002,A361)/COUNTIFS(_Calc!$C$3:$C$20002,A361,_Calc!$B$3:$B$20002,"&lt;&gt;")*100),"")</f>
        <v/>
      </c>
      <c r="E361" s="42">
        <f>IFERROR(IF(A361="","",COUNTIFS(_Calc!$B$3:$B$20002,"&lt;70",_Calc!$C$3:$C$20002,A361)/COUNTIFS(_Calc!$C$3:$C$20002,A361,_Calc!$B$3:$B$20002,"&lt;&gt;")*100),"")</f>
        <v/>
      </c>
      <c r="F361" s="42">
        <f>IFERROR(IF(A361="","",COUNTIFS(_Calc!$B$3:$B$20002,"&gt;180",_Calc!$C$3:$C$20002,A361)/COUNTIFS(_Calc!$C$3:$C$20002,A361,_Calc!$B$3:$B$20002,"&lt;&gt;")*100),"")</f>
        <v/>
      </c>
      <c r="G361" s="43">
        <f>IFERROR(IF(A361="","",IF(D361&gt;=70,"✓ Good",IF(E361&gt;4,"Low glucose","High glucose"))),"")</f>
        <v/>
      </c>
    </row>
    <row r="362">
      <c r="B362" s="40">
        <f>IFERROR(IF(A362="","",COUNTIFS(_Calc!$C$3:$C$20002,A362,_Calc!$B$3:$B$20002,"&lt;&gt;")),"")</f>
        <v/>
      </c>
      <c r="C362" s="41">
        <f>IFERROR(IF(A362="","",AVERAGEIFS(_Calc!$B$3:$B$20002,_Calc!$C$3:$C$20002,A362)),"")</f>
        <v/>
      </c>
      <c r="D362" s="42">
        <f>IFERROR(IF(A362="","",COUNTIFS(_Calc!$B$3:$B$20002,"&gt;="&amp;70,_Calc!$B$3:$B$20002,"&lt;="&amp;180,_Calc!$C$3:$C$20002,A362)/COUNTIFS(_Calc!$C$3:$C$20002,A362,_Calc!$B$3:$B$20002,"&lt;&gt;")*100),"")</f>
        <v/>
      </c>
      <c r="E362" s="42">
        <f>IFERROR(IF(A362="","",COUNTIFS(_Calc!$B$3:$B$20002,"&lt;70",_Calc!$C$3:$C$20002,A362)/COUNTIFS(_Calc!$C$3:$C$20002,A362,_Calc!$B$3:$B$20002,"&lt;&gt;")*100),"")</f>
        <v/>
      </c>
      <c r="F362" s="42">
        <f>IFERROR(IF(A362="","",COUNTIFS(_Calc!$B$3:$B$20002,"&gt;180",_Calc!$C$3:$C$20002,A362)/COUNTIFS(_Calc!$C$3:$C$20002,A362,_Calc!$B$3:$B$20002,"&lt;&gt;")*100),"")</f>
        <v/>
      </c>
      <c r="G362" s="43">
        <f>IFERROR(IF(A362="","",IF(D362&gt;=70,"✓ Good",IF(E362&gt;4,"Low glucose","High glucose"))),"")</f>
        <v/>
      </c>
    </row>
    <row r="363">
      <c r="B363" s="40">
        <f>IFERROR(IF(A363="","",COUNTIFS(_Calc!$C$3:$C$20002,A363,_Calc!$B$3:$B$20002,"&lt;&gt;")),"")</f>
        <v/>
      </c>
      <c r="C363" s="41">
        <f>IFERROR(IF(A363="","",AVERAGEIFS(_Calc!$B$3:$B$20002,_Calc!$C$3:$C$20002,A363)),"")</f>
        <v/>
      </c>
      <c r="D363" s="42">
        <f>IFERROR(IF(A363="","",COUNTIFS(_Calc!$B$3:$B$20002,"&gt;="&amp;70,_Calc!$B$3:$B$20002,"&lt;="&amp;180,_Calc!$C$3:$C$20002,A363)/COUNTIFS(_Calc!$C$3:$C$20002,A363,_Calc!$B$3:$B$20002,"&lt;&gt;")*100),"")</f>
        <v/>
      </c>
      <c r="E363" s="42">
        <f>IFERROR(IF(A363="","",COUNTIFS(_Calc!$B$3:$B$20002,"&lt;70",_Calc!$C$3:$C$20002,A363)/COUNTIFS(_Calc!$C$3:$C$20002,A363,_Calc!$B$3:$B$20002,"&lt;&gt;")*100),"")</f>
        <v/>
      </c>
      <c r="F363" s="42">
        <f>IFERROR(IF(A363="","",COUNTIFS(_Calc!$B$3:$B$20002,"&gt;180",_Calc!$C$3:$C$20002,A363)/COUNTIFS(_Calc!$C$3:$C$20002,A363,_Calc!$B$3:$B$20002,"&lt;&gt;")*100),"")</f>
        <v/>
      </c>
      <c r="G363" s="43">
        <f>IFERROR(IF(A363="","",IF(D363&gt;=70,"✓ Good",IF(E363&gt;4,"Low glucose","High glucose"))),"")</f>
        <v/>
      </c>
    </row>
    <row r="364">
      <c r="B364" s="40">
        <f>IFERROR(IF(A364="","",COUNTIFS(_Calc!$C$3:$C$20002,A364,_Calc!$B$3:$B$20002,"&lt;&gt;")),"")</f>
        <v/>
      </c>
      <c r="C364" s="41">
        <f>IFERROR(IF(A364="","",AVERAGEIFS(_Calc!$B$3:$B$20002,_Calc!$C$3:$C$20002,A364)),"")</f>
        <v/>
      </c>
      <c r="D364" s="42">
        <f>IFERROR(IF(A364="","",COUNTIFS(_Calc!$B$3:$B$20002,"&gt;="&amp;70,_Calc!$B$3:$B$20002,"&lt;="&amp;180,_Calc!$C$3:$C$20002,A364)/COUNTIFS(_Calc!$C$3:$C$20002,A364,_Calc!$B$3:$B$20002,"&lt;&gt;")*100),"")</f>
        <v/>
      </c>
      <c r="E364" s="42">
        <f>IFERROR(IF(A364="","",COUNTIFS(_Calc!$B$3:$B$20002,"&lt;70",_Calc!$C$3:$C$20002,A364)/COUNTIFS(_Calc!$C$3:$C$20002,A364,_Calc!$B$3:$B$20002,"&lt;&gt;")*100),"")</f>
        <v/>
      </c>
      <c r="F364" s="42">
        <f>IFERROR(IF(A364="","",COUNTIFS(_Calc!$B$3:$B$20002,"&gt;180",_Calc!$C$3:$C$20002,A364)/COUNTIFS(_Calc!$C$3:$C$20002,A364,_Calc!$B$3:$B$20002,"&lt;&gt;")*100),"")</f>
        <v/>
      </c>
      <c r="G364" s="43">
        <f>IFERROR(IF(A364="","",IF(D364&gt;=70,"✓ Good",IF(E364&gt;4,"Low glucose","High glucose"))),"")</f>
        <v/>
      </c>
    </row>
    <row r="365">
      <c r="B365" s="40">
        <f>IFERROR(IF(A365="","",COUNTIFS(_Calc!$C$3:$C$20002,A365,_Calc!$B$3:$B$20002,"&lt;&gt;")),"")</f>
        <v/>
      </c>
      <c r="C365" s="41">
        <f>IFERROR(IF(A365="","",AVERAGEIFS(_Calc!$B$3:$B$20002,_Calc!$C$3:$C$20002,A365)),"")</f>
        <v/>
      </c>
      <c r="D365" s="42">
        <f>IFERROR(IF(A365="","",COUNTIFS(_Calc!$B$3:$B$20002,"&gt;="&amp;70,_Calc!$B$3:$B$20002,"&lt;="&amp;180,_Calc!$C$3:$C$20002,A365)/COUNTIFS(_Calc!$C$3:$C$20002,A365,_Calc!$B$3:$B$20002,"&lt;&gt;")*100),"")</f>
        <v/>
      </c>
      <c r="E365" s="42">
        <f>IFERROR(IF(A365="","",COUNTIFS(_Calc!$B$3:$B$20002,"&lt;70",_Calc!$C$3:$C$20002,A365)/COUNTIFS(_Calc!$C$3:$C$20002,A365,_Calc!$B$3:$B$20002,"&lt;&gt;")*100),"")</f>
        <v/>
      </c>
      <c r="F365" s="42">
        <f>IFERROR(IF(A365="","",COUNTIFS(_Calc!$B$3:$B$20002,"&gt;180",_Calc!$C$3:$C$20002,A365)/COUNTIFS(_Calc!$C$3:$C$20002,A365,_Calc!$B$3:$B$20002,"&lt;&gt;")*100),"")</f>
        <v/>
      </c>
      <c r="G365" s="43">
        <f>IFERROR(IF(A365="","",IF(D365&gt;=70,"✓ Good",IF(E365&gt;4,"Low glucose","High glucose"))),"")</f>
        <v/>
      </c>
    </row>
    <row r="366">
      <c r="B366" s="40">
        <f>IFERROR(IF(A366="","",COUNTIFS(_Calc!$C$3:$C$20002,A366,_Calc!$B$3:$B$20002,"&lt;&gt;")),"")</f>
        <v/>
      </c>
      <c r="C366" s="41">
        <f>IFERROR(IF(A366="","",AVERAGEIFS(_Calc!$B$3:$B$20002,_Calc!$C$3:$C$20002,A366)),"")</f>
        <v/>
      </c>
      <c r="D366" s="42">
        <f>IFERROR(IF(A366="","",COUNTIFS(_Calc!$B$3:$B$20002,"&gt;="&amp;70,_Calc!$B$3:$B$20002,"&lt;="&amp;180,_Calc!$C$3:$C$20002,A366)/COUNTIFS(_Calc!$C$3:$C$20002,A366,_Calc!$B$3:$B$20002,"&lt;&gt;")*100),"")</f>
        <v/>
      </c>
      <c r="E366" s="42">
        <f>IFERROR(IF(A366="","",COUNTIFS(_Calc!$B$3:$B$20002,"&lt;70",_Calc!$C$3:$C$20002,A366)/COUNTIFS(_Calc!$C$3:$C$20002,A366,_Calc!$B$3:$B$20002,"&lt;&gt;")*100),"")</f>
        <v/>
      </c>
      <c r="F366" s="42">
        <f>IFERROR(IF(A366="","",COUNTIFS(_Calc!$B$3:$B$20002,"&gt;180",_Calc!$C$3:$C$20002,A366)/COUNTIFS(_Calc!$C$3:$C$20002,A366,_Calc!$B$3:$B$20002,"&lt;&gt;")*100),"")</f>
        <v/>
      </c>
      <c r="G366" s="43">
        <f>IFERROR(IF(A366="","",IF(D366&gt;=70,"✓ Good",IF(E366&gt;4,"Low glucose","High glucose"))),"")</f>
        <v/>
      </c>
    </row>
    <row r="367">
      <c r="B367" s="40">
        <f>IFERROR(IF(A367="","",COUNTIFS(_Calc!$C$3:$C$20002,A367,_Calc!$B$3:$B$20002,"&lt;&gt;")),"")</f>
        <v/>
      </c>
      <c r="C367" s="41">
        <f>IFERROR(IF(A367="","",AVERAGEIFS(_Calc!$B$3:$B$20002,_Calc!$C$3:$C$20002,A367)),"")</f>
        <v/>
      </c>
      <c r="D367" s="42">
        <f>IFERROR(IF(A367="","",COUNTIFS(_Calc!$B$3:$B$20002,"&gt;="&amp;70,_Calc!$B$3:$B$20002,"&lt;="&amp;180,_Calc!$C$3:$C$20002,A367)/COUNTIFS(_Calc!$C$3:$C$20002,A367,_Calc!$B$3:$B$20002,"&lt;&gt;")*100),"")</f>
        <v/>
      </c>
      <c r="E367" s="42">
        <f>IFERROR(IF(A367="","",COUNTIFS(_Calc!$B$3:$B$20002,"&lt;70",_Calc!$C$3:$C$20002,A367)/COUNTIFS(_Calc!$C$3:$C$20002,A367,_Calc!$B$3:$B$20002,"&lt;&gt;")*100),"")</f>
        <v/>
      </c>
      <c r="F367" s="42">
        <f>IFERROR(IF(A367="","",COUNTIFS(_Calc!$B$3:$B$20002,"&gt;180",_Calc!$C$3:$C$20002,A367)/COUNTIFS(_Calc!$C$3:$C$20002,A367,_Calc!$B$3:$B$20002,"&lt;&gt;")*100),"")</f>
        <v/>
      </c>
      <c r="G367" s="43">
        <f>IFERROR(IF(A367="","",IF(D367&gt;=70,"✓ Good",IF(E367&gt;4,"Low glucose","High glucose"))),"")</f>
        <v/>
      </c>
    </row>
    <row r="368">
      <c r="B368" s="40">
        <f>IFERROR(IF(A368="","",COUNTIFS(_Calc!$C$3:$C$20002,A368,_Calc!$B$3:$B$20002,"&lt;&gt;")),"")</f>
        <v/>
      </c>
      <c r="C368" s="41">
        <f>IFERROR(IF(A368="","",AVERAGEIFS(_Calc!$B$3:$B$20002,_Calc!$C$3:$C$20002,A368)),"")</f>
        <v/>
      </c>
      <c r="D368" s="42">
        <f>IFERROR(IF(A368="","",COUNTIFS(_Calc!$B$3:$B$20002,"&gt;="&amp;70,_Calc!$B$3:$B$20002,"&lt;="&amp;180,_Calc!$C$3:$C$20002,A368)/COUNTIFS(_Calc!$C$3:$C$20002,A368,_Calc!$B$3:$B$20002,"&lt;&gt;")*100),"")</f>
        <v/>
      </c>
      <c r="E368" s="42">
        <f>IFERROR(IF(A368="","",COUNTIFS(_Calc!$B$3:$B$20002,"&lt;70",_Calc!$C$3:$C$20002,A368)/COUNTIFS(_Calc!$C$3:$C$20002,A368,_Calc!$B$3:$B$20002,"&lt;&gt;")*100),"")</f>
        <v/>
      </c>
      <c r="F368" s="42">
        <f>IFERROR(IF(A368="","",COUNTIFS(_Calc!$B$3:$B$20002,"&gt;180",_Calc!$C$3:$C$20002,A368)/COUNTIFS(_Calc!$C$3:$C$20002,A368,_Calc!$B$3:$B$20002,"&lt;&gt;")*100),"")</f>
        <v/>
      </c>
      <c r="G368" s="43">
        <f>IFERROR(IF(A368="","",IF(D368&gt;=70,"✓ Good",IF(E368&gt;4,"Low glucose","High glucose"))),"")</f>
        <v/>
      </c>
    </row>
    <row r="369">
      <c r="B369" s="40">
        <f>IFERROR(IF(A369="","",COUNTIFS(_Calc!$C$3:$C$20002,A369,_Calc!$B$3:$B$20002,"&lt;&gt;")),"")</f>
        <v/>
      </c>
      <c r="C369" s="41">
        <f>IFERROR(IF(A369="","",AVERAGEIFS(_Calc!$B$3:$B$20002,_Calc!$C$3:$C$20002,A369)),"")</f>
        <v/>
      </c>
      <c r="D369" s="42">
        <f>IFERROR(IF(A369="","",COUNTIFS(_Calc!$B$3:$B$20002,"&gt;="&amp;70,_Calc!$B$3:$B$20002,"&lt;="&amp;180,_Calc!$C$3:$C$20002,A369)/COUNTIFS(_Calc!$C$3:$C$20002,A369,_Calc!$B$3:$B$20002,"&lt;&gt;")*100),"")</f>
        <v/>
      </c>
      <c r="E369" s="42">
        <f>IFERROR(IF(A369="","",COUNTIFS(_Calc!$B$3:$B$20002,"&lt;70",_Calc!$C$3:$C$20002,A369)/COUNTIFS(_Calc!$C$3:$C$20002,A369,_Calc!$B$3:$B$20002,"&lt;&gt;")*100),"")</f>
        <v/>
      </c>
      <c r="F369" s="42">
        <f>IFERROR(IF(A369="","",COUNTIFS(_Calc!$B$3:$B$20002,"&gt;180",_Calc!$C$3:$C$20002,A369)/COUNTIFS(_Calc!$C$3:$C$20002,A369,_Calc!$B$3:$B$20002,"&lt;&gt;")*100),"")</f>
        <v/>
      </c>
      <c r="G369" s="43">
        <f>IFERROR(IF(A369="","",IF(D369&gt;=70,"✓ Good",IF(E369&gt;4,"Low glucose","High glucose"))),"")</f>
        <v/>
      </c>
    </row>
  </sheetData>
  <mergeCells count="2">
    <mergeCell ref="A2:G2"/>
    <mergeCell ref="A1:G1"/>
  </mergeCells>
  <conditionalFormatting sqref="D4:D369">
    <cfRule type="cellIs" priority="1" operator="greaterThanOrEqual" dxfId="3">
      <formula>70</formula>
    </cfRule>
    <cfRule type="cellIs" priority="2" operator="lessThan" dxfId="0">
      <formula>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36" t="inlineStr">
        <is>
          <t>Ambulatory Glucose Profile (AGP) — Hourly Percentiles</t>
        </is>
      </c>
    </row>
    <row r="2" ht="16" customHeight="1">
      <c r="A2" s="44" t="inlineStr">
        <is>
          <t>Median glucose and interquartile range (25th–75th pct) by hour of day. Target range 70–180 mg/dL shown for reference. Requires Excel 365.</t>
        </is>
      </c>
    </row>
    <row r="3" ht="22" customHeight="1">
      <c r="A3" s="38" t="inlineStr">
        <is>
          <t>Hour</t>
        </is>
      </c>
      <c r="B3" s="38" t="inlineStr">
        <is>
          <t>Readings</t>
        </is>
      </c>
      <c r="C3" s="38" t="inlineStr">
        <is>
          <t>10th pct</t>
        </is>
      </c>
      <c r="D3" s="38" t="inlineStr">
        <is>
          <t>25th pct (IQR low)</t>
        </is>
      </c>
      <c r="E3" s="38" t="inlineStr">
        <is>
          <t>Median (50th)</t>
        </is>
      </c>
      <c r="F3" s="38" t="inlineStr">
        <is>
          <t>75th pct (IQR high)</t>
        </is>
      </c>
      <c r="G3" s="38" t="inlineStr">
        <is>
          <t>90th pct</t>
        </is>
      </c>
      <c r="H3" s="38" t="inlineStr">
        <is>
          <t>Zone</t>
        </is>
      </c>
    </row>
    <row r="4">
      <c r="A4" s="45" t="inlineStr">
        <is>
          <t>00:00</t>
        </is>
      </c>
      <c r="B4" s="40">
        <f>IFERROR(COUNTIF(_Calc!$D$3:$D$20002,0),0)</f>
        <v/>
      </c>
      <c r="C4" s="41">
        <f>IFERROR(PERCENTILE(FILTER(_Calc!$B$3:$B$20002,_Calc!$D$3:$D$20002=0),0.1),"—")</f>
        <v/>
      </c>
      <c r="D4" s="41">
        <f>IFERROR(PERCENTILE(FILTER(_Calc!$B$3:$B$20002,_Calc!$D$3:$D$20002=0),0.25),"—")</f>
        <v/>
      </c>
      <c r="E4" s="46">
        <f>IFERROR(PERCENTILE(FILTER(_Calc!$B$3:$B$20002,_Calc!$D$3:$D$20002=0),0.5),"—")</f>
        <v/>
      </c>
      <c r="F4" s="41">
        <f>IFERROR(PERCENTILE(FILTER(_Calc!$B$3:$B$20002,_Calc!$D$3:$D$20002=0),0.75),"—")</f>
        <v/>
      </c>
      <c r="G4" s="41">
        <f>IFERROR(PERCENTILE(FILTER(_Calc!$B$3:$B$20002,_Calc!$D$3:$D$20002=0),0.9),"—")</f>
        <v/>
      </c>
      <c r="H4" s="43">
        <f>IFERROR(IF(IFERROR(PERCENTILE(FILTER(_Calc!$B$3:$B$20002,_Calc!$D$3:$D$20002=0),0.5),"—")="","—",IF(IFERROR(PERCENTILE(FILTER(_Calc!$B$3:$B$20002,_Calc!$D$3:$D$20002=0),0.5),"—")&lt;70,"Low",IF(IFERROR(PERCENTILE(FILTER(_Calc!$B$3:$B$20002,_Calc!$D$3:$D$20002=0),0.5),"—")&gt;180,"High","In Range"))),"—")</f>
        <v/>
      </c>
    </row>
    <row r="5">
      <c r="A5" s="45" t="inlineStr">
        <is>
          <t>01:00</t>
        </is>
      </c>
      <c r="B5" s="40">
        <f>IFERROR(COUNTIF(_Calc!$D$3:$D$20002,1),0)</f>
        <v/>
      </c>
      <c r="C5" s="41">
        <f>IFERROR(PERCENTILE(FILTER(_Calc!$B$3:$B$20002,_Calc!$D$3:$D$20002=1),0.1),"—")</f>
        <v/>
      </c>
      <c r="D5" s="41">
        <f>IFERROR(PERCENTILE(FILTER(_Calc!$B$3:$B$20002,_Calc!$D$3:$D$20002=1),0.25),"—")</f>
        <v/>
      </c>
      <c r="E5" s="46">
        <f>IFERROR(PERCENTILE(FILTER(_Calc!$B$3:$B$20002,_Calc!$D$3:$D$20002=1),0.5),"—")</f>
        <v/>
      </c>
      <c r="F5" s="41">
        <f>IFERROR(PERCENTILE(FILTER(_Calc!$B$3:$B$20002,_Calc!$D$3:$D$20002=1),0.75),"—")</f>
        <v/>
      </c>
      <c r="G5" s="41">
        <f>IFERROR(PERCENTILE(FILTER(_Calc!$B$3:$B$20002,_Calc!$D$3:$D$20002=1),0.9),"—")</f>
        <v/>
      </c>
      <c r="H5" s="43">
        <f>IFERROR(IF(IFERROR(PERCENTILE(FILTER(_Calc!$B$3:$B$20002,_Calc!$D$3:$D$20002=1),0.5),"—")="","—",IF(IFERROR(PERCENTILE(FILTER(_Calc!$B$3:$B$20002,_Calc!$D$3:$D$20002=1),0.5),"—")&lt;70,"Low",IF(IFERROR(PERCENTILE(FILTER(_Calc!$B$3:$B$20002,_Calc!$D$3:$D$20002=1),0.5),"—")&gt;180,"High","In Range"))),"—")</f>
        <v/>
      </c>
    </row>
    <row r="6">
      <c r="A6" s="45" t="inlineStr">
        <is>
          <t>02:00</t>
        </is>
      </c>
      <c r="B6" s="40">
        <f>IFERROR(COUNTIF(_Calc!$D$3:$D$20002,2),0)</f>
        <v/>
      </c>
      <c r="C6" s="41">
        <f>IFERROR(PERCENTILE(FILTER(_Calc!$B$3:$B$20002,_Calc!$D$3:$D$20002=2),0.1),"—")</f>
        <v/>
      </c>
      <c r="D6" s="41">
        <f>IFERROR(PERCENTILE(FILTER(_Calc!$B$3:$B$20002,_Calc!$D$3:$D$20002=2),0.25),"—")</f>
        <v/>
      </c>
      <c r="E6" s="46">
        <f>IFERROR(PERCENTILE(FILTER(_Calc!$B$3:$B$20002,_Calc!$D$3:$D$20002=2),0.5),"—")</f>
        <v/>
      </c>
      <c r="F6" s="41">
        <f>IFERROR(PERCENTILE(FILTER(_Calc!$B$3:$B$20002,_Calc!$D$3:$D$20002=2),0.75),"—")</f>
        <v/>
      </c>
      <c r="G6" s="41">
        <f>IFERROR(PERCENTILE(FILTER(_Calc!$B$3:$B$20002,_Calc!$D$3:$D$20002=2),0.9),"—")</f>
        <v/>
      </c>
      <c r="H6" s="43">
        <f>IFERROR(IF(IFERROR(PERCENTILE(FILTER(_Calc!$B$3:$B$20002,_Calc!$D$3:$D$20002=2),0.5),"—")="","—",IF(IFERROR(PERCENTILE(FILTER(_Calc!$B$3:$B$20002,_Calc!$D$3:$D$20002=2),0.5),"—")&lt;70,"Low",IF(IFERROR(PERCENTILE(FILTER(_Calc!$B$3:$B$20002,_Calc!$D$3:$D$20002=2),0.5),"—")&gt;180,"High","In Range"))),"—")</f>
        <v/>
      </c>
    </row>
    <row r="7">
      <c r="A7" s="45" t="inlineStr">
        <is>
          <t>03:00</t>
        </is>
      </c>
      <c r="B7" s="40">
        <f>IFERROR(COUNTIF(_Calc!$D$3:$D$20002,3),0)</f>
        <v/>
      </c>
      <c r="C7" s="41">
        <f>IFERROR(PERCENTILE(FILTER(_Calc!$B$3:$B$20002,_Calc!$D$3:$D$20002=3),0.1),"—")</f>
        <v/>
      </c>
      <c r="D7" s="41">
        <f>IFERROR(PERCENTILE(FILTER(_Calc!$B$3:$B$20002,_Calc!$D$3:$D$20002=3),0.25),"—")</f>
        <v/>
      </c>
      <c r="E7" s="46">
        <f>IFERROR(PERCENTILE(FILTER(_Calc!$B$3:$B$20002,_Calc!$D$3:$D$20002=3),0.5),"—")</f>
        <v/>
      </c>
      <c r="F7" s="41">
        <f>IFERROR(PERCENTILE(FILTER(_Calc!$B$3:$B$20002,_Calc!$D$3:$D$20002=3),0.75),"—")</f>
        <v/>
      </c>
      <c r="G7" s="41">
        <f>IFERROR(PERCENTILE(FILTER(_Calc!$B$3:$B$20002,_Calc!$D$3:$D$20002=3),0.9),"—")</f>
        <v/>
      </c>
      <c r="H7" s="43">
        <f>IFERROR(IF(IFERROR(PERCENTILE(FILTER(_Calc!$B$3:$B$20002,_Calc!$D$3:$D$20002=3),0.5),"—")="","—",IF(IFERROR(PERCENTILE(FILTER(_Calc!$B$3:$B$20002,_Calc!$D$3:$D$20002=3),0.5),"—")&lt;70,"Low",IF(IFERROR(PERCENTILE(FILTER(_Calc!$B$3:$B$20002,_Calc!$D$3:$D$20002=3),0.5),"—")&gt;180,"High","In Range"))),"—")</f>
        <v/>
      </c>
    </row>
    <row r="8">
      <c r="A8" s="45" t="inlineStr">
        <is>
          <t>04:00</t>
        </is>
      </c>
      <c r="B8" s="40">
        <f>IFERROR(COUNTIF(_Calc!$D$3:$D$20002,4),0)</f>
        <v/>
      </c>
      <c r="C8" s="41">
        <f>IFERROR(PERCENTILE(FILTER(_Calc!$B$3:$B$20002,_Calc!$D$3:$D$20002=4),0.1),"—")</f>
        <v/>
      </c>
      <c r="D8" s="41">
        <f>IFERROR(PERCENTILE(FILTER(_Calc!$B$3:$B$20002,_Calc!$D$3:$D$20002=4),0.25),"—")</f>
        <v/>
      </c>
      <c r="E8" s="46">
        <f>IFERROR(PERCENTILE(FILTER(_Calc!$B$3:$B$20002,_Calc!$D$3:$D$20002=4),0.5),"—")</f>
        <v/>
      </c>
      <c r="F8" s="41">
        <f>IFERROR(PERCENTILE(FILTER(_Calc!$B$3:$B$20002,_Calc!$D$3:$D$20002=4),0.75),"—")</f>
        <v/>
      </c>
      <c r="G8" s="41">
        <f>IFERROR(PERCENTILE(FILTER(_Calc!$B$3:$B$20002,_Calc!$D$3:$D$20002=4),0.9),"—")</f>
        <v/>
      </c>
      <c r="H8" s="43">
        <f>IFERROR(IF(IFERROR(PERCENTILE(FILTER(_Calc!$B$3:$B$20002,_Calc!$D$3:$D$20002=4),0.5),"—")="","—",IF(IFERROR(PERCENTILE(FILTER(_Calc!$B$3:$B$20002,_Calc!$D$3:$D$20002=4),0.5),"—")&lt;70,"Low",IF(IFERROR(PERCENTILE(FILTER(_Calc!$B$3:$B$20002,_Calc!$D$3:$D$20002=4),0.5),"—")&gt;180,"High","In Range"))),"—")</f>
        <v/>
      </c>
    </row>
    <row r="9">
      <c r="A9" s="45" t="inlineStr">
        <is>
          <t>05:00</t>
        </is>
      </c>
      <c r="B9" s="40">
        <f>IFERROR(COUNTIF(_Calc!$D$3:$D$20002,5),0)</f>
        <v/>
      </c>
      <c r="C9" s="41">
        <f>IFERROR(PERCENTILE(FILTER(_Calc!$B$3:$B$20002,_Calc!$D$3:$D$20002=5),0.1),"—")</f>
        <v/>
      </c>
      <c r="D9" s="41">
        <f>IFERROR(PERCENTILE(FILTER(_Calc!$B$3:$B$20002,_Calc!$D$3:$D$20002=5),0.25),"—")</f>
        <v/>
      </c>
      <c r="E9" s="46">
        <f>IFERROR(PERCENTILE(FILTER(_Calc!$B$3:$B$20002,_Calc!$D$3:$D$20002=5),0.5),"—")</f>
        <v/>
      </c>
      <c r="F9" s="41">
        <f>IFERROR(PERCENTILE(FILTER(_Calc!$B$3:$B$20002,_Calc!$D$3:$D$20002=5),0.75),"—")</f>
        <v/>
      </c>
      <c r="G9" s="41">
        <f>IFERROR(PERCENTILE(FILTER(_Calc!$B$3:$B$20002,_Calc!$D$3:$D$20002=5),0.9),"—")</f>
        <v/>
      </c>
      <c r="H9" s="43">
        <f>IFERROR(IF(IFERROR(PERCENTILE(FILTER(_Calc!$B$3:$B$20002,_Calc!$D$3:$D$20002=5),0.5),"—")="","—",IF(IFERROR(PERCENTILE(FILTER(_Calc!$B$3:$B$20002,_Calc!$D$3:$D$20002=5),0.5),"—")&lt;70,"Low",IF(IFERROR(PERCENTILE(FILTER(_Calc!$B$3:$B$20002,_Calc!$D$3:$D$20002=5),0.5),"—")&gt;180,"High","In Range"))),"—")</f>
        <v/>
      </c>
    </row>
    <row r="10">
      <c r="A10" s="45" t="inlineStr">
        <is>
          <t>06:00</t>
        </is>
      </c>
      <c r="B10" s="40">
        <f>IFERROR(COUNTIF(_Calc!$D$3:$D$20002,6),0)</f>
        <v/>
      </c>
      <c r="C10" s="41">
        <f>IFERROR(PERCENTILE(FILTER(_Calc!$B$3:$B$20002,_Calc!$D$3:$D$20002=6),0.1),"—")</f>
        <v/>
      </c>
      <c r="D10" s="41">
        <f>IFERROR(PERCENTILE(FILTER(_Calc!$B$3:$B$20002,_Calc!$D$3:$D$20002=6),0.25),"—")</f>
        <v/>
      </c>
      <c r="E10" s="46">
        <f>IFERROR(PERCENTILE(FILTER(_Calc!$B$3:$B$20002,_Calc!$D$3:$D$20002=6),0.5),"—")</f>
        <v/>
      </c>
      <c r="F10" s="41">
        <f>IFERROR(PERCENTILE(FILTER(_Calc!$B$3:$B$20002,_Calc!$D$3:$D$20002=6),0.75),"—")</f>
        <v/>
      </c>
      <c r="G10" s="41">
        <f>IFERROR(PERCENTILE(FILTER(_Calc!$B$3:$B$20002,_Calc!$D$3:$D$20002=6),0.9),"—")</f>
        <v/>
      </c>
      <c r="H10" s="43">
        <f>IFERROR(IF(IFERROR(PERCENTILE(FILTER(_Calc!$B$3:$B$20002,_Calc!$D$3:$D$20002=6),0.5),"—")="","—",IF(IFERROR(PERCENTILE(FILTER(_Calc!$B$3:$B$20002,_Calc!$D$3:$D$20002=6),0.5),"—")&lt;70,"Low",IF(IFERROR(PERCENTILE(FILTER(_Calc!$B$3:$B$20002,_Calc!$D$3:$D$20002=6),0.5),"—")&gt;180,"High","In Range"))),"—")</f>
        <v/>
      </c>
    </row>
    <row r="11">
      <c r="A11" s="45" t="inlineStr">
        <is>
          <t>07:00</t>
        </is>
      </c>
      <c r="B11" s="40">
        <f>IFERROR(COUNTIF(_Calc!$D$3:$D$20002,7),0)</f>
        <v/>
      </c>
      <c r="C11" s="41">
        <f>IFERROR(PERCENTILE(FILTER(_Calc!$B$3:$B$20002,_Calc!$D$3:$D$20002=7),0.1),"—")</f>
        <v/>
      </c>
      <c r="D11" s="41">
        <f>IFERROR(PERCENTILE(FILTER(_Calc!$B$3:$B$20002,_Calc!$D$3:$D$20002=7),0.25),"—")</f>
        <v/>
      </c>
      <c r="E11" s="46">
        <f>IFERROR(PERCENTILE(FILTER(_Calc!$B$3:$B$20002,_Calc!$D$3:$D$20002=7),0.5),"—")</f>
        <v/>
      </c>
      <c r="F11" s="41">
        <f>IFERROR(PERCENTILE(FILTER(_Calc!$B$3:$B$20002,_Calc!$D$3:$D$20002=7),0.75),"—")</f>
        <v/>
      </c>
      <c r="G11" s="41">
        <f>IFERROR(PERCENTILE(FILTER(_Calc!$B$3:$B$20002,_Calc!$D$3:$D$20002=7),0.9),"—")</f>
        <v/>
      </c>
      <c r="H11" s="43">
        <f>IFERROR(IF(IFERROR(PERCENTILE(FILTER(_Calc!$B$3:$B$20002,_Calc!$D$3:$D$20002=7),0.5),"—")="","—",IF(IFERROR(PERCENTILE(FILTER(_Calc!$B$3:$B$20002,_Calc!$D$3:$D$20002=7),0.5),"—")&lt;70,"Low",IF(IFERROR(PERCENTILE(FILTER(_Calc!$B$3:$B$20002,_Calc!$D$3:$D$20002=7),0.5),"—")&gt;180,"High","In Range"))),"—")</f>
        <v/>
      </c>
    </row>
    <row r="12">
      <c r="A12" s="45" t="inlineStr">
        <is>
          <t>08:00</t>
        </is>
      </c>
      <c r="B12" s="40">
        <f>IFERROR(COUNTIF(_Calc!$D$3:$D$20002,8),0)</f>
        <v/>
      </c>
      <c r="C12" s="41">
        <f>IFERROR(PERCENTILE(FILTER(_Calc!$B$3:$B$20002,_Calc!$D$3:$D$20002=8),0.1),"—")</f>
        <v/>
      </c>
      <c r="D12" s="41">
        <f>IFERROR(PERCENTILE(FILTER(_Calc!$B$3:$B$20002,_Calc!$D$3:$D$20002=8),0.25),"—")</f>
        <v/>
      </c>
      <c r="E12" s="46">
        <f>IFERROR(PERCENTILE(FILTER(_Calc!$B$3:$B$20002,_Calc!$D$3:$D$20002=8),0.5),"—")</f>
        <v/>
      </c>
      <c r="F12" s="41">
        <f>IFERROR(PERCENTILE(FILTER(_Calc!$B$3:$B$20002,_Calc!$D$3:$D$20002=8),0.75),"—")</f>
        <v/>
      </c>
      <c r="G12" s="41">
        <f>IFERROR(PERCENTILE(FILTER(_Calc!$B$3:$B$20002,_Calc!$D$3:$D$20002=8),0.9),"—")</f>
        <v/>
      </c>
      <c r="H12" s="43">
        <f>IFERROR(IF(IFERROR(PERCENTILE(FILTER(_Calc!$B$3:$B$20002,_Calc!$D$3:$D$20002=8),0.5),"—")="","—",IF(IFERROR(PERCENTILE(FILTER(_Calc!$B$3:$B$20002,_Calc!$D$3:$D$20002=8),0.5),"—")&lt;70,"Low",IF(IFERROR(PERCENTILE(FILTER(_Calc!$B$3:$B$20002,_Calc!$D$3:$D$20002=8),0.5),"—")&gt;180,"High","In Range"))),"—")</f>
        <v/>
      </c>
    </row>
    <row r="13">
      <c r="A13" s="45" t="inlineStr">
        <is>
          <t>09:00</t>
        </is>
      </c>
      <c r="B13" s="40">
        <f>IFERROR(COUNTIF(_Calc!$D$3:$D$20002,9),0)</f>
        <v/>
      </c>
      <c r="C13" s="41">
        <f>IFERROR(PERCENTILE(FILTER(_Calc!$B$3:$B$20002,_Calc!$D$3:$D$20002=9),0.1),"—")</f>
        <v/>
      </c>
      <c r="D13" s="41">
        <f>IFERROR(PERCENTILE(FILTER(_Calc!$B$3:$B$20002,_Calc!$D$3:$D$20002=9),0.25),"—")</f>
        <v/>
      </c>
      <c r="E13" s="46">
        <f>IFERROR(PERCENTILE(FILTER(_Calc!$B$3:$B$20002,_Calc!$D$3:$D$20002=9),0.5),"—")</f>
        <v/>
      </c>
      <c r="F13" s="41">
        <f>IFERROR(PERCENTILE(FILTER(_Calc!$B$3:$B$20002,_Calc!$D$3:$D$20002=9),0.75),"—")</f>
        <v/>
      </c>
      <c r="G13" s="41">
        <f>IFERROR(PERCENTILE(FILTER(_Calc!$B$3:$B$20002,_Calc!$D$3:$D$20002=9),0.9),"—")</f>
        <v/>
      </c>
      <c r="H13" s="43">
        <f>IFERROR(IF(IFERROR(PERCENTILE(FILTER(_Calc!$B$3:$B$20002,_Calc!$D$3:$D$20002=9),0.5),"—")="","—",IF(IFERROR(PERCENTILE(FILTER(_Calc!$B$3:$B$20002,_Calc!$D$3:$D$20002=9),0.5),"—")&lt;70,"Low",IF(IFERROR(PERCENTILE(FILTER(_Calc!$B$3:$B$20002,_Calc!$D$3:$D$20002=9),0.5),"—")&gt;180,"High","In Range"))),"—")</f>
        <v/>
      </c>
    </row>
    <row r="14">
      <c r="A14" s="45" t="inlineStr">
        <is>
          <t>10:00</t>
        </is>
      </c>
      <c r="B14" s="40">
        <f>IFERROR(COUNTIF(_Calc!$D$3:$D$20002,10),0)</f>
        <v/>
      </c>
      <c r="C14" s="41">
        <f>IFERROR(PERCENTILE(FILTER(_Calc!$B$3:$B$20002,_Calc!$D$3:$D$20002=10),0.1),"—")</f>
        <v/>
      </c>
      <c r="D14" s="41">
        <f>IFERROR(PERCENTILE(FILTER(_Calc!$B$3:$B$20002,_Calc!$D$3:$D$20002=10),0.25),"—")</f>
        <v/>
      </c>
      <c r="E14" s="46">
        <f>IFERROR(PERCENTILE(FILTER(_Calc!$B$3:$B$20002,_Calc!$D$3:$D$20002=10),0.5),"—")</f>
        <v/>
      </c>
      <c r="F14" s="41">
        <f>IFERROR(PERCENTILE(FILTER(_Calc!$B$3:$B$20002,_Calc!$D$3:$D$20002=10),0.75),"—")</f>
        <v/>
      </c>
      <c r="G14" s="41">
        <f>IFERROR(PERCENTILE(FILTER(_Calc!$B$3:$B$20002,_Calc!$D$3:$D$20002=10),0.9),"—")</f>
        <v/>
      </c>
      <c r="H14" s="43">
        <f>IFERROR(IF(IFERROR(PERCENTILE(FILTER(_Calc!$B$3:$B$20002,_Calc!$D$3:$D$20002=10),0.5),"—")="","—",IF(IFERROR(PERCENTILE(FILTER(_Calc!$B$3:$B$20002,_Calc!$D$3:$D$20002=10),0.5),"—")&lt;70,"Low",IF(IFERROR(PERCENTILE(FILTER(_Calc!$B$3:$B$20002,_Calc!$D$3:$D$20002=10),0.5),"—")&gt;180,"High","In Range"))),"—")</f>
        <v/>
      </c>
    </row>
    <row r="15">
      <c r="A15" s="45" t="inlineStr">
        <is>
          <t>11:00</t>
        </is>
      </c>
      <c r="B15" s="40">
        <f>IFERROR(COUNTIF(_Calc!$D$3:$D$20002,11),0)</f>
        <v/>
      </c>
      <c r="C15" s="41">
        <f>IFERROR(PERCENTILE(FILTER(_Calc!$B$3:$B$20002,_Calc!$D$3:$D$20002=11),0.1),"—")</f>
        <v/>
      </c>
      <c r="D15" s="41">
        <f>IFERROR(PERCENTILE(FILTER(_Calc!$B$3:$B$20002,_Calc!$D$3:$D$20002=11),0.25),"—")</f>
        <v/>
      </c>
      <c r="E15" s="46">
        <f>IFERROR(PERCENTILE(FILTER(_Calc!$B$3:$B$20002,_Calc!$D$3:$D$20002=11),0.5),"—")</f>
        <v/>
      </c>
      <c r="F15" s="41">
        <f>IFERROR(PERCENTILE(FILTER(_Calc!$B$3:$B$20002,_Calc!$D$3:$D$20002=11),0.75),"—")</f>
        <v/>
      </c>
      <c r="G15" s="41">
        <f>IFERROR(PERCENTILE(FILTER(_Calc!$B$3:$B$20002,_Calc!$D$3:$D$20002=11),0.9),"—")</f>
        <v/>
      </c>
      <c r="H15" s="43">
        <f>IFERROR(IF(IFERROR(PERCENTILE(FILTER(_Calc!$B$3:$B$20002,_Calc!$D$3:$D$20002=11),0.5),"—")="","—",IF(IFERROR(PERCENTILE(FILTER(_Calc!$B$3:$B$20002,_Calc!$D$3:$D$20002=11),0.5),"—")&lt;70,"Low",IF(IFERROR(PERCENTILE(FILTER(_Calc!$B$3:$B$20002,_Calc!$D$3:$D$20002=11),0.5),"—")&gt;180,"High","In Range"))),"—")</f>
        <v/>
      </c>
    </row>
    <row r="16">
      <c r="A16" s="45" t="inlineStr">
        <is>
          <t>12:00</t>
        </is>
      </c>
      <c r="B16" s="40">
        <f>IFERROR(COUNTIF(_Calc!$D$3:$D$20002,12),0)</f>
        <v/>
      </c>
      <c r="C16" s="41">
        <f>IFERROR(PERCENTILE(FILTER(_Calc!$B$3:$B$20002,_Calc!$D$3:$D$20002=12),0.1),"—")</f>
        <v/>
      </c>
      <c r="D16" s="41">
        <f>IFERROR(PERCENTILE(FILTER(_Calc!$B$3:$B$20002,_Calc!$D$3:$D$20002=12),0.25),"—")</f>
        <v/>
      </c>
      <c r="E16" s="46">
        <f>IFERROR(PERCENTILE(FILTER(_Calc!$B$3:$B$20002,_Calc!$D$3:$D$20002=12),0.5),"—")</f>
        <v/>
      </c>
      <c r="F16" s="41">
        <f>IFERROR(PERCENTILE(FILTER(_Calc!$B$3:$B$20002,_Calc!$D$3:$D$20002=12),0.75),"—")</f>
        <v/>
      </c>
      <c r="G16" s="41">
        <f>IFERROR(PERCENTILE(FILTER(_Calc!$B$3:$B$20002,_Calc!$D$3:$D$20002=12),0.9),"—")</f>
        <v/>
      </c>
      <c r="H16" s="43">
        <f>IFERROR(IF(IFERROR(PERCENTILE(FILTER(_Calc!$B$3:$B$20002,_Calc!$D$3:$D$20002=12),0.5),"—")="","—",IF(IFERROR(PERCENTILE(FILTER(_Calc!$B$3:$B$20002,_Calc!$D$3:$D$20002=12),0.5),"—")&lt;70,"Low",IF(IFERROR(PERCENTILE(FILTER(_Calc!$B$3:$B$20002,_Calc!$D$3:$D$20002=12),0.5),"—")&gt;180,"High","In Range"))),"—")</f>
        <v/>
      </c>
    </row>
    <row r="17">
      <c r="A17" s="45" t="inlineStr">
        <is>
          <t>13:00</t>
        </is>
      </c>
      <c r="B17" s="40">
        <f>IFERROR(COUNTIF(_Calc!$D$3:$D$20002,13),0)</f>
        <v/>
      </c>
      <c r="C17" s="41">
        <f>IFERROR(PERCENTILE(FILTER(_Calc!$B$3:$B$20002,_Calc!$D$3:$D$20002=13),0.1),"—")</f>
        <v/>
      </c>
      <c r="D17" s="41">
        <f>IFERROR(PERCENTILE(FILTER(_Calc!$B$3:$B$20002,_Calc!$D$3:$D$20002=13),0.25),"—")</f>
        <v/>
      </c>
      <c r="E17" s="46">
        <f>IFERROR(PERCENTILE(FILTER(_Calc!$B$3:$B$20002,_Calc!$D$3:$D$20002=13),0.5),"—")</f>
        <v/>
      </c>
      <c r="F17" s="41">
        <f>IFERROR(PERCENTILE(FILTER(_Calc!$B$3:$B$20002,_Calc!$D$3:$D$20002=13),0.75),"—")</f>
        <v/>
      </c>
      <c r="G17" s="41">
        <f>IFERROR(PERCENTILE(FILTER(_Calc!$B$3:$B$20002,_Calc!$D$3:$D$20002=13),0.9),"—")</f>
        <v/>
      </c>
      <c r="H17" s="43">
        <f>IFERROR(IF(IFERROR(PERCENTILE(FILTER(_Calc!$B$3:$B$20002,_Calc!$D$3:$D$20002=13),0.5),"—")="","—",IF(IFERROR(PERCENTILE(FILTER(_Calc!$B$3:$B$20002,_Calc!$D$3:$D$20002=13),0.5),"—")&lt;70,"Low",IF(IFERROR(PERCENTILE(FILTER(_Calc!$B$3:$B$20002,_Calc!$D$3:$D$20002=13),0.5),"—")&gt;180,"High","In Range"))),"—")</f>
        <v/>
      </c>
    </row>
    <row r="18">
      <c r="A18" s="45" t="inlineStr">
        <is>
          <t>14:00</t>
        </is>
      </c>
      <c r="B18" s="40">
        <f>IFERROR(COUNTIF(_Calc!$D$3:$D$20002,14),0)</f>
        <v/>
      </c>
      <c r="C18" s="41">
        <f>IFERROR(PERCENTILE(FILTER(_Calc!$B$3:$B$20002,_Calc!$D$3:$D$20002=14),0.1),"—")</f>
        <v/>
      </c>
      <c r="D18" s="41">
        <f>IFERROR(PERCENTILE(FILTER(_Calc!$B$3:$B$20002,_Calc!$D$3:$D$20002=14),0.25),"—")</f>
        <v/>
      </c>
      <c r="E18" s="46">
        <f>IFERROR(PERCENTILE(FILTER(_Calc!$B$3:$B$20002,_Calc!$D$3:$D$20002=14),0.5),"—")</f>
        <v/>
      </c>
      <c r="F18" s="41">
        <f>IFERROR(PERCENTILE(FILTER(_Calc!$B$3:$B$20002,_Calc!$D$3:$D$20002=14),0.75),"—")</f>
        <v/>
      </c>
      <c r="G18" s="41">
        <f>IFERROR(PERCENTILE(FILTER(_Calc!$B$3:$B$20002,_Calc!$D$3:$D$20002=14),0.9),"—")</f>
        <v/>
      </c>
      <c r="H18" s="43">
        <f>IFERROR(IF(IFERROR(PERCENTILE(FILTER(_Calc!$B$3:$B$20002,_Calc!$D$3:$D$20002=14),0.5),"—")="","—",IF(IFERROR(PERCENTILE(FILTER(_Calc!$B$3:$B$20002,_Calc!$D$3:$D$20002=14),0.5),"—")&lt;70,"Low",IF(IFERROR(PERCENTILE(FILTER(_Calc!$B$3:$B$20002,_Calc!$D$3:$D$20002=14),0.5),"—")&gt;180,"High","In Range"))),"—")</f>
        <v/>
      </c>
    </row>
    <row r="19">
      <c r="A19" s="45" t="inlineStr">
        <is>
          <t>15:00</t>
        </is>
      </c>
      <c r="B19" s="40">
        <f>IFERROR(COUNTIF(_Calc!$D$3:$D$20002,15),0)</f>
        <v/>
      </c>
      <c r="C19" s="41">
        <f>IFERROR(PERCENTILE(FILTER(_Calc!$B$3:$B$20002,_Calc!$D$3:$D$20002=15),0.1),"—")</f>
        <v/>
      </c>
      <c r="D19" s="41">
        <f>IFERROR(PERCENTILE(FILTER(_Calc!$B$3:$B$20002,_Calc!$D$3:$D$20002=15),0.25),"—")</f>
        <v/>
      </c>
      <c r="E19" s="46">
        <f>IFERROR(PERCENTILE(FILTER(_Calc!$B$3:$B$20002,_Calc!$D$3:$D$20002=15),0.5),"—")</f>
        <v/>
      </c>
      <c r="F19" s="41">
        <f>IFERROR(PERCENTILE(FILTER(_Calc!$B$3:$B$20002,_Calc!$D$3:$D$20002=15),0.75),"—")</f>
        <v/>
      </c>
      <c r="G19" s="41">
        <f>IFERROR(PERCENTILE(FILTER(_Calc!$B$3:$B$20002,_Calc!$D$3:$D$20002=15),0.9),"—")</f>
        <v/>
      </c>
      <c r="H19" s="43">
        <f>IFERROR(IF(IFERROR(PERCENTILE(FILTER(_Calc!$B$3:$B$20002,_Calc!$D$3:$D$20002=15),0.5),"—")="","—",IF(IFERROR(PERCENTILE(FILTER(_Calc!$B$3:$B$20002,_Calc!$D$3:$D$20002=15),0.5),"—")&lt;70,"Low",IF(IFERROR(PERCENTILE(FILTER(_Calc!$B$3:$B$20002,_Calc!$D$3:$D$20002=15),0.5),"—")&gt;180,"High","In Range"))),"—")</f>
        <v/>
      </c>
    </row>
    <row r="20">
      <c r="A20" s="45" t="inlineStr">
        <is>
          <t>16:00</t>
        </is>
      </c>
      <c r="B20" s="40">
        <f>IFERROR(COUNTIF(_Calc!$D$3:$D$20002,16),0)</f>
        <v/>
      </c>
      <c r="C20" s="41">
        <f>IFERROR(PERCENTILE(FILTER(_Calc!$B$3:$B$20002,_Calc!$D$3:$D$20002=16),0.1),"—")</f>
        <v/>
      </c>
      <c r="D20" s="41">
        <f>IFERROR(PERCENTILE(FILTER(_Calc!$B$3:$B$20002,_Calc!$D$3:$D$20002=16),0.25),"—")</f>
        <v/>
      </c>
      <c r="E20" s="46">
        <f>IFERROR(PERCENTILE(FILTER(_Calc!$B$3:$B$20002,_Calc!$D$3:$D$20002=16),0.5),"—")</f>
        <v/>
      </c>
      <c r="F20" s="41">
        <f>IFERROR(PERCENTILE(FILTER(_Calc!$B$3:$B$20002,_Calc!$D$3:$D$20002=16),0.75),"—")</f>
        <v/>
      </c>
      <c r="G20" s="41">
        <f>IFERROR(PERCENTILE(FILTER(_Calc!$B$3:$B$20002,_Calc!$D$3:$D$20002=16),0.9),"—")</f>
        <v/>
      </c>
      <c r="H20" s="43">
        <f>IFERROR(IF(IFERROR(PERCENTILE(FILTER(_Calc!$B$3:$B$20002,_Calc!$D$3:$D$20002=16),0.5),"—")="","—",IF(IFERROR(PERCENTILE(FILTER(_Calc!$B$3:$B$20002,_Calc!$D$3:$D$20002=16),0.5),"—")&lt;70,"Low",IF(IFERROR(PERCENTILE(FILTER(_Calc!$B$3:$B$20002,_Calc!$D$3:$D$20002=16),0.5),"—")&gt;180,"High","In Range"))),"—")</f>
        <v/>
      </c>
    </row>
    <row r="21">
      <c r="A21" s="45" t="inlineStr">
        <is>
          <t>17:00</t>
        </is>
      </c>
      <c r="B21" s="40">
        <f>IFERROR(COUNTIF(_Calc!$D$3:$D$20002,17),0)</f>
        <v/>
      </c>
      <c r="C21" s="41">
        <f>IFERROR(PERCENTILE(FILTER(_Calc!$B$3:$B$20002,_Calc!$D$3:$D$20002=17),0.1),"—")</f>
        <v/>
      </c>
      <c r="D21" s="41">
        <f>IFERROR(PERCENTILE(FILTER(_Calc!$B$3:$B$20002,_Calc!$D$3:$D$20002=17),0.25),"—")</f>
        <v/>
      </c>
      <c r="E21" s="46">
        <f>IFERROR(PERCENTILE(FILTER(_Calc!$B$3:$B$20002,_Calc!$D$3:$D$20002=17),0.5),"—")</f>
        <v/>
      </c>
      <c r="F21" s="41">
        <f>IFERROR(PERCENTILE(FILTER(_Calc!$B$3:$B$20002,_Calc!$D$3:$D$20002=17),0.75),"—")</f>
        <v/>
      </c>
      <c r="G21" s="41">
        <f>IFERROR(PERCENTILE(FILTER(_Calc!$B$3:$B$20002,_Calc!$D$3:$D$20002=17),0.9),"—")</f>
        <v/>
      </c>
      <c r="H21" s="43">
        <f>IFERROR(IF(IFERROR(PERCENTILE(FILTER(_Calc!$B$3:$B$20002,_Calc!$D$3:$D$20002=17),0.5),"—")="","—",IF(IFERROR(PERCENTILE(FILTER(_Calc!$B$3:$B$20002,_Calc!$D$3:$D$20002=17),0.5),"—")&lt;70,"Low",IF(IFERROR(PERCENTILE(FILTER(_Calc!$B$3:$B$20002,_Calc!$D$3:$D$20002=17),0.5),"—")&gt;180,"High","In Range"))),"—")</f>
        <v/>
      </c>
    </row>
    <row r="22">
      <c r="A22" s="45" t="inlineStr">
        <is>
          <t>18:00</t>
        </is>
      </c>
      <c r="B22" s="40">
        <f>IFERROR(COUNTIF(_Calc!$D$3:$D$20002,18),0)</f>
        <v/>
      </c>
      <c r="C22" s="41">
        <f>IFERROR(PERCENTILE(FILTER(_Calc!$B$3:$B$20002,_Calc!$D$3:$D$20002=18),0.1),"—")</f>
        <v/>
      </c>
      <c r="D22" s="41">
        <f>IFERROR(PERCENTILE(FILTER(_Calc!$B$3:$B$20002,_Calc!$D$3:$D$20002=18),0.25),"—")</f>
        <v/>
      </c>
      <c r="E22" s="46">
        <f>IFERROR(PERCENTILE(FILTER(_Calc!$B$3:$B$20002,_Calc!$D$3:$D$20002=18),0.5),"—")</f>
        <v/>
      </c>
      <c r="F22" s="41">
        <f>IFERROR(PERCENTILE(FILTER(_Calc!$B$3:$B$20002,_Calc!$D$3:$D$20002=18),0.75),"—")</f>
        <v/>
      </c>
      <c r="G22" s="41">
        <f>IFERROR(PERCENTILE(FILTER(_Calc!$B$3:$B$20002,_Calc!$D$3:$D$20002=18),0.9),"—")</f>
        <v/>
      </c>
      <c r="H22" s="43">
        <f>IFERROR(IF(IFERROR(PERCENTILE(FILTER(_Calc!$B$3:$B$20002,_Calc!$D$3:$D$20002=18),0.5),"—")="","—",IF(IFERROR(PERCENTILE(FILTER(_Calc!$B$3:$B$20002,_Calc!$D$3:$D$20002=18),0.5),"—")&lt;70,"Low",IF(IFERROR(PERCENTILE(FILTER(_Calc!$B$3:$B$20002,_Calc!$D$3:$D$20002=18),0.5),"—")&gt;180,"High","In Range"))),"—")</f>
        <v/>
      </c>
    </row>
    <row r="23">
      <c r="A23" s="45" t="inlineStr">
        <is>
          <t>19:00</t>
        </is>
      </c>
      <c r="B23" s="40">
        <f>IFERROR(COUNTIF(_Calc!$D$3:$D$20002,19),0)</f>
        <v/>
      </c>
      <c r="C23" s="41">
        <f>IFERROR(PERCENTILE(FILTER(_Calc!$B$3:$B$20002,_Calc!$D$3:$D$20002=19),0.1),"—")</f>
        <v/>
      </c>
      <c r="D23" s="41">
        <f>IFERROR(PERCENTILE(FILTER(_Calc!$B$3:$B$20002,_Calc!$D$3:$D$20002=19),0.25),"—")</f>
        <v/>
      </c>
      <c r="E23" s="46">
        <f>IFERROR(PERCENTILE(FILTER(_Calc!$B$3:$B$20002,_Calc!$D$3:$D$20002=19),0.5),"—")</f>
        <v/>
      </c>
      <c r="F23" s="41">
        <f>IFERROR(PERCENTILE(FILTER(_Calc!$B$3:$B$20002,_Calc!$D$3:$D$20002=19),0.75),"—")</f>
        <v/>
      </c>
      <c r="G23" s="41">
        <f>IFERROR(PERCENTILE(FILTER(_Calc!$B$3:$B$20002,_Calc!$D$3:$D$20002=19),0.9),"—")</f>
        <v/>
      </c>
      <c r="H23" s="43">
        <f>IFERROR(IF(IFERROR(PERCENTILE(FILTER(_Calc!$B$3:$B$20002,_Calc!$D$3:$D$20002=19),0.5),"—")="","—",IF(IFERROR(PERCENTILE(FILTER(_Calc!$B$3:$B$20002,_Calc!$D$3:$D$20002=19),0.5),"—")&lt;70,"Low",IF(IFERROR(PERCENTILE(FILTER(_Calc!$B$3:$B$20002,_Calc!$D$3:$D$20002=19),0.5),"—")&gt;180,"High","In Range"))),"—")</f>
        <v/>
      </c>
    </row>
    <row r="24">
      <c r="A24" s="45" t="inlineStr">
        <is>
          <t>20:00</t>
        </is>
      </c>
      <c r="B24" s="40">
        <f>IFERROR(COUNTIF(_Calc!$D$3:$D$20002,20),0)</f>
        <v/>
      </c>
      <c r="C24" s="41">
        <f>IFERROR(PERCENTILE(FILTER(_Calc!$B$3:$B$20002,_Calc!$D$3:$D$20002=20),0.1),"—")</f>
        <v/>
      </c>
      <c r="D24" s="41">
        <f>IFERROR(PERCENTILE(FILTER(_Calc!$B$3:$B$20002,_Calc!$D$3:$D$20002=20),0.25),"—")</f>
        <v/>
      </c>
      <c r="E24" s="46">
        <f>IFERROR(PERCENTILE(FILTER(_Calc!$B$3:$B$20002,_Calc!$D$3:$D$20002=20),0.5),"—")</f>
        <v/>
      </c>
      <c r="F24" s="41">
        <f>IFERROR(PERCENTILE(FILTER(_Calc!$B$3:$B$20002,_Calc!$D$3:$D$20002=20),0.75),"—")</f>
        <v/>
      </c>
      <c r="G24" s="41">
        <f>IFERROR(PERCENTILE(FILTER(_Calc!$B$3:$B$20002,_Calc!$D$3:$D$20002=20),0.9),"—")</f>
        <v/>
      </c>
      <c r="H24" s="43">
        <f>IFERROR(IF(IFERROR(PERCENTILE(FILTER(_Calc!$B$3:$B$20002,_Calc!$D$3:$D$20002=20),0.5),"—")="","—",IF(IFERROR(PERCENTILE(FILTER(_Calc!$B$3:$B$20002,_Calc!$D$3:$D$20002=20),0.5),"—")&lt;70,"Low",IF(IFERROR(PERCENTILE(FILTER(_Calc!$B$3:$B$20002,_Calc!$D$3:$D$20002=20),0.5),"—")&gt;180,"High","In Range"))),"—")</f>
        <v/>
      </c>
    </row>
    <row r="25">
      <c r="A25" s="45" t="inlineStr">
        <is>
          <t>21:00</t>
        </is>
      </c>
      <c r="B25" s="40">
        <f>IFERROR(COUNTIF(_Calc!$D$3:$D$20002,21),0)</f>
        <v/>
      </c>
      <c r="C25" s="41">
        <f>IFERROR(PERCENTILE(FILTER(_Calc!$B$3:$B$20002,_Calc!$D$3:$D$20002=21),0.1),"—")</f>
        <v/>
      </c>
      <c r="D25" s="41">
        <f>IFERROR(PERCENTILE(FILTER(_Calc!$B$3:$B$20002,_Calc!$D$3:$D$20002=21),0.25),"—")</f>
        <v/>
      </c>
      <c r="E25" s="46">
        <f>IFERROR(PERCENTILE(FILTER(_Calc!$B$3:$B$20002,_Calc!$D$3:$D$20002=21),0.5),"—")</f>
        <v/>
      </c>
      <c r="F25" s="41">
        <f>IFERROR(PERCENTILE(FILTER(_Calc!$B$3:$B$20002,_Calc!$D$3:$D$20002=21),0.75),"—")</f>
        <v/>
      </c>
      <c r="G25" s="41">
        <f>IFERROR(PERCENTILE(FILTER(_Calc!$B$3:$B$20002,_Calc!$D$3:$D$20002=21),0.9),"—")</f>
        <v/>
      </c>
      <c r="H25" s="43">
        <f>IFERROR(IF(IFERROR(PERCENTILE(FILTER(_Calc!$B$3:$B$20002,_Calc!$D$3:$D$20002=21),0.5),"—")="","—",IF(IFERROR(PERCENTILE(FILTER(_Calc!$B$3:$B$20002,_Calc!$D$3:$D$20002=21),0.5),"—")&lt;70,"Low",IF(IFERROR(PERCENTILE(FILTER(_Calc!$B$3:$B$20002,_Calc!$D$3:$D$20002=21),0.5),"—")&gt;180,"High","In Range"))),"—")</f>
        <v/>
      </c>
    </row>
    <row r="26">
      <c r="A26" s="45" t="inlineStr">
        <is>
          <t>22:00</t>
        </is>
      </c>
      <c r="B26" s="40">
        <f>IFERROR(COUNTIF(_Calc!$D$3:$D$20002,22),0)</f>
        <v/>
      </c>
      <c r="C26" s="41">
        <f>IFERROR(PERCENTILE(FILTER(_Calc!$B$3:$B$20002,_Calc!$D$3:$D$20002=22),0.1),"—")</f>
        <v/>
      </c>
      <c r="D26" s="41">
        <f>IFERROR(PERCENTILE(FILTER(_Calc!$B$3:$B$20002,_Calc!$D$3:$D$20002=22),0.25),"—")</f>
        <v/>
      </c>
      <c r="E26" s="46">
        <f>IFERROR(PERCENTILE(FILTER(_Calc!$B$3:$B$20002,_Calc!$D$3:$D$20002=22),0.5),"—")</f>
        <v/>
      </c>
      <c r="F26" s="41">
        <f>IFERROR(PERCENTILE(FILTER(_Calc!$B$3:$B$20002,_Calc!$D$3:$D$20002=22),0.75),"—")</f>
        <v/>
      </c>
      <c r="G26" s="41">
        <f>IFERROR(PERCENTILE(FILTER(_Calc!$B$3:$B$20002,_Calc!$D$3:$D$20002=22),0.9),"—")</f>
        <v/>
      </c>
      <c r="H26" s="43">
        <f>IFERROR(IF(IFERROR(PERCENTILE(FILTER(_Calc!$B$3:$B$20002,_Calc!$D$3:$D$20002=22),0.5),"—")="","—",IF(IFERROR(PERCENTILE(FILTER(_Calc!$B$3:$B$20002,_Calc!$D$3:$D$20002=22),0.5),"—")&lt;70,"Low",IF(IFERROR(PERCENTILE(FILTER(_Calc!$B$3:$B$20002,_Calc!$D$3:$D$20002=22),0.5),"—")&gt;180,"High","In Range"))),"—")</f>
        <v/>
      </c>
    </row>
    <row r="27">
      <c r="A27" s="45" t="inlineStr">
        <is>
          <t>23:00</t>
        </is>
      </c>
      <c r="B27" s="40">
        <f>IFERROR(COUNTIF(_Calc!$D$3:$D$20002,23),0)</f>
        <v/>
      </c>
      <c r="C27" s="41">
        <f>IFERROR(PERCENTILE(FILTER(_Calc!$B$3:$B$20002,_Calc!$D$3:$D$20002=23),0.1),"—")</f>
        <v/>
      </c>
      <c r="D27" s="41">
        <f>IFERROR(PERCENTILE(FILTER(_Calc!$B$3:$B$20002,_Calc!$D$3:$D$20002=23),0.25),"—")</f>
        <v/>
      </c>
      <c r="E27" s="46">
        <f>IFERROR(PERCENTILE(FILTER(_Calc!$B$3:$B$20002,_Calc!$D$3:$D$20002=23),0.5),"—")</f>
        <v/>
      </c>
      <c r="F27" s="41">
        <f>IFERROR(PERCENTILE(FILTER(_Calc!$B$3:$B$20002,_Calc!$D$3:$D$20002=23),0.75),"—")</f>
        <v/>
      </c>
      <c r="G27" s="41">
        <f>IFERROR(PERCENTILE(FILTER(_Calc!$B$3:$B$20002,_Calc!$D$3:$D$20002=23),0.9),"—")</f>
        <v/>
      </c>
      <c r="H27" s="43">
        <f>IFERROR(IF(IFERROR(PERCENTILE(FILTER(_Calc!$B$3:$B$20002,_Calc!$D$3:$D$20002=23),0.5),"—")="","—",IF(IFERROR(PERCENTILE(FILTER(_Calc!$B$3:$B$20002,_Calc!$D$3:$D$20002=23),0.5),"—")&lt;70,"Low",IF(IFERROR(PERCENTILE(FILTER(_Calc!$B$3:$B$20002,_Calc!$D$3:$D$20002=23),0.5),"—")&gt;180,"High","In Range"))),"—")</f>
        <v/>
      </c>
    </row>
    <row r="28">
      <c r="A28" s="44" t="inlineStr">
        <is>
          <t>Reference: Target range 70–180 mg/dL  |  IQR band = 25th–75th percentile  |  Solid line = median</t>
        </is>
      </c>
    </row>
  </sheetData>
  <mergeCells count="3">
    <mergeCell ref="A28:H28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4" customWidth="1" min="4" max="4"/>
    <col width="44" customWidth="1" min="5" max="5"/>
  </cols>
  <sheetData>
    <row r="1" ht="28" customHeight="1">
      <c r="A1" s="36" t="inlineStr">
        <is>
          <t>Average Glucose by 3-Hour Time Block</t>
        </is>
      </c>
    </row>
    <row r="2" ht="16" customHeight="1">
      <c r="A2" s="44" t="inlineStr">
        <is>
          <t>Average glucose per 3-hour window — identifies postprandial hyperglycaemia patterns and dawn phenomenon.</t>
        </is>
      </c>
    </row>
    <row r="3" ht="22" customHeight="1">
      <c r="A3" s="38" t="inlineStr">
        <is>
          <t>Time Window</t>
        </is>
      </c>
      <c r="B3" s="38" t="inlineStr">
        <is>
          <t>Readings</t>
        </is>
      </c>
      <c r="C3" s="38" t="inlineStr">
        <is>
          <t>Avg Glucose (mg/dL)</t>
        </is>
      </c>
      <c r="D3" s="38" t="inlineStr">
        <is>
          <t>Zone</t>
        </is>
      </c>
      <c r="E3" s="38" t="inlineStr">
        <is>
          <t>Clinical Relevance</t>
        </is>
      </c>
    </row>
    <row r="4">
      <c r="A4" s="47" t="inlineStr">
        <is>
          <t>12–3 AM</t>
        </is>
      </c>
      <c r="B4" s="40">
        <f>IFERROR(COUNTIFS(_Calc!$D$3:$D$20002,"&gt;="&amp;0,_Calc!$D$3:$D$20002,"&lt;"&amp;3),0)</f>
        <v/>
      </c>
      <c r="C4" s="48">
        <f>IFERROR(AVERAGEIFS(_Calc!$B$3:$B$20002,_Calc!$D$3:$D$20002,"&gt;="&amp;0,_Calc!$D$3:$D$20002,"&lt;"&amp;3),"—")</f>
        <v/>
      </c>
      <c r="D4" s="43">
        <f>IFERROR(IF(IFERROR(AVERAGEIFS(_Calc!$B$3:$B$20002,_Calc!$D$3:$D$20002,"&gt;="&amp;0,_Calc!$D$3:$D$20002,"&lt;"&amp;3),"—")="","—",IF(IFERROR(AVERAGEIFS(_Calc!$B$3:$B$20002,_Calc!$D$3:$D$20002,"&gt;="&amp;0,_Calc!$D$3:$D$20002,"&lt;"&amp;3),"—")&lt;70,"Low",IF(IFERROR(AVERAGEIFS(_Calc!$B$3:$B$20002,_Calc!$D$3:$D$20002,"&gt;="&amp;0,_Calc!$D$3:$D$20002,"&lt;"&amp;3),"—")&gt;180,"High","In Range"))),"—")</f>
        <v/>
      </c>
      <c r="E4" s="26" t="inlineStr">
        <is>
          <t>Overnight baseline — hepatic glucose output</t>
        </is>
      </c>
    </row>
    <row r="5">
      <c r="A5" s="47" t="inlineStr">
        <is>
          <t>3–6 AM</t>
        </is>
      </c>
      <c r="B5" s="40">
        <f>IFERROR(COUNTIFS(_Calc!$D$3:$D$20002,"&gt;="&amp;3,_Calc!$D$3:$D$20002,"&lt;"&amp;6),0)</f>
        <v/>
      </c>
      <c r="C5" s="48">
        <f>IFERROR(AVERAGEIFS(_Calc!$B$3:$B$20002,_Calc!$D$3:$D$20002,"&gt;="&amp;3,_Calc!$D$3:$D$20002,"&lt;"&amp;6),"—")</f>
        <v/>
      </c>
      <c r="D5" s="43">
        <f>IFERROR(IF(IFERROR(AVERAGEIFS(_Calc!$B$3:$B$20002,_Calc!$D$3:$D$20002,"&gt;="&amp;3,_Calc!$D$3:$D$20002,"&lt;"&amp;6),"—")="","—",IF(IFERROR(AVERAGEIFS(_Calc!$B$3:$B$20002,_Calc!$D$3:$D$20002,"&gt;="&amp;3,_Calc!$D$3:$D$20002,"&lt;"&amp;6),"—")&lt;70,"Low",IF(IFERROR(AVERAGEIFS(_Calc!$B$3:$B$20002,_Calc!$D$3:$D$20002,"&gt;="&amp;3,_Calc!$D$3:$D$20002,"&lt;"&amp;6),"—")&gt;180,"High","In Range"))),"—")</f>
        <v/>
      </c>
      <c r="E5" s="26" t="inlineStr">
        <is>
          <t>Dawn phenomenon window — early-morning glucose rise</t>
        </is>
      </c>
    </row>
    <row r="6">
      <c r="A6" s="47" t="inlineStr">
        <is>
          <t>6–9 AM</t>
        </is>
      </c>
      <c r="B6" s="40">
        <f>IFERROR(COUNTIFS(_Calc!$D$3:$D$20002,"&gt;="&amp;6,_Calc!$D$3:$D$20002,"&lt;"&amp;9),0)</f>
        <v/>
      </c>
      <c r="C6" s="48">
        <f>IFERROR(AVERAGEIFS(_Calc!$B$3:$B$20002,_Calc!$D$3:$D$20002,"&gt;="&amp;6,_Calc!$D$3:$D$20002,"&lt;"&amp;9),"—")</f>
        <v/>
      </c>
      <c r="D6" s="43">
        <f>IFERROR(IF(IFERROR(AVERAGEIFS(_Calc!$B$3:$B$20002,_Calc!$D$3:$D$20002,"&gt;="&amp;6,_Calc!$D$3:$D$20002,"&lt;"&amp;9),"—")="","—",IF(IFERROR(AVERAGEIFS(_Calc!$B$3:$B$20002,_Calc!$D$3:$D$20002,"&gt;="&amp;6,_Calc!$D$3:$D$20002,"&lt;"&amp;9),"—")&lt;70,"Low",IF(IFERROR(AVERAGEIFS(_Calc!$B$3:$B$20002,_Calc!$D$3:$D$20002,"&gt;="&amp;6,_Calc!$D$3:$D$20002,"&lt;"&amp;9),"—")&gt;180,"High","In Range"))),"—")</f>
        <v/>
      </c>
      <c r="E6" s="26" t="inlineStr">
        <is>
          <t>Fasting / pre-breakfast — key metformin efficacy marker</t>
        </is>
      </c>
    </row>
    <row r="7">
      <c r="A7" s="47" t="inlineStr">
        <is>
          <t>9–12 PM</t>
        </is>
      </c>
      <c r="B7" s="40">
        <f>IFERROR(COUNTIFS(_Calc!$D$3:$D$20002,"&gt;="&amp;9,_Calc!$D$3:$D$20002,"&lt;"&amp;12),0)</f>
        <v/>
      </c>
      <c r="C7" s="48">
        <f>IFERROR(AVERAGEIFS(_Calc!$B$3:$B$20002,_Calc!$D$3:$D$20002,"&gt;="&amp;9,_Calc!$D$3:$D$20002,"&lt;"&amp;12),"—")</f>
        <v/>
      </c>
      <c r="D7" s="43">
        <f>IFERROR(IF(IFERROR(AVERAGEIFS(_Calc!$B$3:$B$20002,_Calc!$D$3:$D$20002,"&gt;="&amp;9,_Calc!$D$3:$D$20002,"&lt;"&amp;12),"—")="","—",IF(IFERROR(AVERAGEIFS(_Calc!$B$3:$B$20002,_Calc!$D$3:$D$20002,"&gt;="&amp;9,_Calc!$D$3:$D$20002,"&lt;"&amp;12),"—")&lt;70,"Low",IF(IFERROR(AVERAGEIFS(_Calc!$B$3:$B$20002,_Calc!$D$3:$D$20002,"&gt;="&amp;9,_Calc!$D$3:$D$20002,"&lt;"&amp;12),"—")&gt;180,"High","In Range"))),"—")</f>
        <v/>
      </c>
      <c r="E7" s="26" t="inlineStr">
        <is>
          <t>Post-breakfast — postprandial excursion</t>
        </is>
      </c>
    </row>
    <row r="8">
      <c r="A8" s="47" t="inlineStr">
        <is>
          <t>12–3 PM</t>
        </is>
      </c>
      <c r="B8" s="40">
        <f>IFERROR(COUNTIFS(_Calc!$D$3:$D$20002,"&gt;="&amp;12,_Calc!$D$3:$D$20002,"&lt;"&amp;15),0)</f>
        <v/>
      </c>
      <c r="C8" s="48">
        <f>IFERROR(AVERAGEIFS(_Calc!$B$3:$B$20002,_Calc!$D$3:$D$20002,"&gt;="&amp;12,_Calc!$D$3:$D$20002,"&lt;"&amp;15),"—")</f>
        <v/>
      </c>
      <c r="D8" s="43">
        <f>IFERROR(IF(IFERROR(AVERAGEIFS(_Calc!$B$3:$B$20002,_Calc!$D$3:$D$20002,"&gt;="&amp;12,_Calc!$D$3:$D$20002,"&lt;"&amp;15),"—")="","—",IF(IFERROR(AVERAGEIFS(_Calc!$B$3:$B$20002,_Calc!$D$3:$D$20002,"&gt;="&amp;12,_Calc!$D$3:$D$20002,"&lt;"&amp;15),"—")&lt;70,"Low",IF(IFERROR(AVERAGEIFS(_Calc!$B$3:$B$20002,_Calc!$D$3:$D$20002,"&gt;="&amp;12,_Calc!$D$3:$D$20002,"&lt;"&amp;15),"—")&gt;180,"High","In Range"))),"—")</f>
        <v/>
      </c>
      <c r="E8" s="26" t="inlineStr">
        <is>
          <t>Lunch / midday postprandial</t>
        </is>
      </c>
    </row>
    <row r="9">
      <c r="A9" s="47" t="inlineStr">
        <is>
          <t>3–6 PM</t>
        </is>
      </c>
      <c r="B9" s="40">
        <f>IFERROR(COUNTIFS(_Calc!$D$3:$D$20002,"&gt;="&amp;15,_Calc!$D$3:$D$20002,"&lt;"&amp;18),0)</f>
        <v/>
      </c>
      <c r="C9" s="48">
        <f>IFERROR(AVERAGEIFS(_Calc!$B$3:$B$20002,_Calc!$D$3:$D$20002,"&gt;="&amp;15,_Calc!$D$3:$D$20002,"&lt;"&amp;18),"—")</f>
        <v/>
      </c>
      <c r="D9" s="43">
        <f>IFERROR(IF(IFERROR(AVERAGEIFS(_Calc!$B$3:$B$20002,_Calc!$D$3:$D$20002,"&gt;="&amp;15,_Calc!$D$3:$D$20002,"&lt;"&amp;18),"—")="","—",IF(IFERROR(AVERAGEIFS(_Calc!$B$3:$B$20002,_Calc!$D$3:$D$20002,"&gt;="&amp;15,_Calc!$D$3:$D$20002,"&lt;"&amp;18),"—")&lt;70,"Low",IF(IFERROR(AVERAGEIFS(_Calc!$B$3:$B$20002,_Calc!$D$3:$D$20002,"&gt;="&amp;15,_Calc!$D$3:$D$20002,"&lt;"&amp;18),"—")&gt;180,"High","In Range"))),"—")</f>
        <v/>
      </c>
      <c r="E9" s="26" t="inlineStr">
        <is>
          <t>Afternoon — late postprandial / activity</t>
        </is>
      </c>
    </row>
    <row r="10">
      <c r="A10" s="47" t="inlineStr">
        <is>
          <t>6–9 PM</t>
        </is>
      </c>
      <c r="B10" s="40">
        <f>IFERROR(COUNTIFS(_Calc!$D$3:$D$20002,"&gt;="&amp;18,_Calc!$D$3:$D$20002,"&lt;"&amp;21),0)</f>
        <v/>
      </c>
      <c r="C10" s="48">
        <f>IFERROR(AVERAGEIFS(_Calc!$B$3:$B$20002,_Calc!$D$3:$D$20002,"&gt;="&amp;18,_Calc!$D$3:$D$20002,"&lt;"&amp;21),"—")</f>
        <v/>
      </c>
      <c r="D10" s="43">
        <f>IFERROR(IF(IFERROR(AVERAGEIFS(_Calc!$B$3:$B$20002,_Calc!$D$3:$D$20002,"&gt;="&amp;18,_Calc!$D$3:$D$20002,"&lt;"&amp;21),"—")="","—",IF(IFERROR(AVERAGEIFS(_Calc!$B$3:$B$20002,_Calc!$D$3:$D$20002,"&gt;="&amp;18,_Calc!$D$3:$D$20002,"&lt;"&amp;21),"—")&lt;70,"Low",IF(IFERROR(AVERAGEIFS(_Calc!$B$3:$B$20002,_Calc!$D$3:$D$20002,"&gt;="&amp;18,_Calc!$D$3:$D$20002,"&lt;"&amp;21),"—")&gt;180,"High","In Range"))),"—")</f>
        <v/>
      </c>
      <c r="E10" s="26" t="inlineStr">
        <is>
          <t>Dinner / evening postprandial</t>
        </is>
      </c>
    </row>
    <row r="11">
      <c r="A11" s="47" t="inlineStr">
        <is>
          <t>9–12 AM</t>
        </is>
      </c>
      <c r="B11" s="40">
        <f>IFERROR(COUNTIFS(_Calc!$D$3:$D$20002,"&gt;="&amp;21,_Calc!$D$3:$D$20002,"&lt;"&amp;24),0)</f>
        <v/>
      </c>
      <c r="C11" s="48">
        <f>IFERROR(AVERAGEIFS(_Calc!$B$3:$B$20002,_Calc!$D$3:$D$20002,"&gt;="&amp;21,_Calc!$D$3:$D$20002,"&lt;"&amp;24),"—")</f>
        <v/>
      </c>
      <c r="D11" s="43">
        <f>IFERROR(IF(IFERROR(AVERAGEIFS(_Calc!$B$3:$B$20002,_Calc!$D$3:$D$20002,"&gt;="&amp;21,_Calc!$D$3:$D$20002,"&lt;"&amp;24),"—")="","—",IF(IFERROR(AVERAGEIFS(_Calc!$B$3:$B$20002,_Calc!$D$3:$D$20002,"&gt;="&amp;21,_Calc!$D$3:$D$20002,"&lt;"&amp;24),"—")&lt;70,"Low",IF(IFERROR(AVERAGEIFS(_Calc!$B$3:$B$20002,_Calc!$D$3:$D$20002,"&gt;="&amp;21,_Calc!$D$3:$D$20002,"&lt;"&amp;24),"—")&gt;180,"High","In Range"))),"—")</f>
        <v/>
      </c>
      <c r="E11" s="26" t="inlineStr">
        <is>
          <t>Evening / pre-sleep</t>
        </is>
      </c>
    </row>
  </sheetData>
  <mergeCells count="2">
    <mergeCell ref="A2:E2"/>
    <mergeCell ref="A1:E1"/>
  </mergeCells>
  <conditionalFormatting sqref="C4:C11">
    <cfRule type="cellIs" priority="1" operator="greaterThan" dxfId="1">
      <formula>180</formula>
    </cfRule>
    <cfRule type="cellIs" priority="2" operator="lessThan" dxfId="0">
      <formula>70</formula>
    </cfRule>
    <cfRule type="cellIs" priority="3" operator="between" dxfId="3">
      <formula>70</formula>
      <formula>180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00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8" customWidth="1" min="4" max="4"/>
  </cols>
  <sheetData>
    <row r="1">
      <c r="A1" t="inlineStr">
        <is>
          <t>DateTime</t>
        </is>
      </c>
      <c r="B1" t="inlineStr">
        <is>
          <t>Glucose_Valid</t>
        </is>
      </c>
      <c r="C1" t="inlineStr">
        <is>
          <t>Date_Serial</t>
        </is>
      </c>
      <c r="D1" t="inlineStr">
        <is>
          <t>Hour</t>
        </is>
      </c>
    </row>
    <row r="3">
      <c r="A3">
        <f>Input!A3</f>
        <v/>
      </c>
      <c r="B3">
        <f>IF(ISNUMBER(Input!B3),IF(AND(Input!B3&gt;=20,Input!B3&lt;=700),Input!B3,""),"")</f>
        <v/>
      </c>
      <c r="C3">
        <f>IF(B3="","",INT(A3))</f>
        <v/>
      </c>
      <c r="D3">
        <f>IF(B3="","",HOUR(A3))</f>
        <v/>
      </c>
    </row>
    <row r="4">
      <c r="A4">
        <f>Input!A4</f>
        <v/>
      </c>
      <c r="B4">
        <f>IF(ISNUMBER(Input!B4),IF(AND(Input!B4&gt;=20,Input!B4&lt;=700),Input!B4,""),"")</f>
        <v/>
      </c>
      <c r="C4">
        <f>IF(B4="","",INT(A4))</f>
        <v/>
      </c>
      <c r="D4">
        <f>IF(B4="","",HOUR(A4))</f>
        <v/>
      </c>
    </row>
    <row r="5">
      <c r="A5">
        <f>Input!A5</f>
        <v/>
      </c>
      <c r="B5">
        <f>IF(ISNUMBER(Input!B5),IF(AND(Input!B5&gt;=20,Input!B5&lt;=700),Input!B5,""),"")</f>
        <v/>
      </c>
      <c r="C5">
        <f>IF(B5="","",INT(A5))</f>
        <v/>
      </c>
      <c r="D5">
        <f>IF(B5="","",HOUR(A5))</f>
        <v/>
      </c>
    </row>
    <row r="6">
      <c r="A6">
        <f>Input!A6</f>
        <v/>
      </c>
      <c r="B6">
        <f>IF(ISNUMBER(Input!B6),IF(AND(Input!B6&gt;=20,Input!B6&lt;=700),Input!B6,""),"")</f>
        <v/>
      </c>
      <c r="C6">
        <f>IF(B6="","",INT(A6))</f>
        <v/>
      </c>
      <c r="D6">
        <f>IF(B6="","",HOUR(A6))</f>
        <v/>
      </c>
    </row>
    <row r="7">
      <c r="A7">
        <f>Input!A7</f>
        <v/>
      </c>
      <c r="B7">
        <f>IF(ISNUMBER(Input!B7),IF(AND(Input!B7&gt;=20,Input!B7&lt;=700),Input!B7,""),"")</f>
        <v/>
      </c>
      <c r="C7">
        <f>IF(B7="","",INT(A7))</f>
        <v/>
      </c>
      <c r="D7">
        <f>IF(B7="","",HOUR(A7))</f>
        <v/>
      </c>
    </row>
    <row r="8">
      <c r="A8">
        <f>Input!A8</f>
        <v/>
      </c>
      <c r="B8">
        <f>IF(ISNUMBER(Input!B8),IF(AND(Input!B8&gt;=20,Input!B8&lt;=700),Input!B8,""),"")</f>
        <v/>
      </c>
      <c r="C8">
        <f>IF(B8="","",INT(A8))</f>
        <v/>
      </c>
      <c r="D8">
        <f>IF(B8="","",HOUR(A8))</f>
        <v/>
      </c>
    </row>
    <row r="9">
      <c r="A9">
        <f>Input!A9</f>
        <v/>
      </c>
      <c r="B9">
        <f>IF(ISNUMBER(Input!B9),IF(AND(Input!B9&gt;=20,Input!B9&lt;=700),Input!B9,""),"")</f>
        <v/>
      </c>
      <c r="C9">
        <f>IF(B9="","",INT(A9))</f>
        <v/>
      </c>
      <c r="D9">
        <f>IF(B9="","",HOUR(A9))</f>
        <v/>
      </c>
    </row>
    <row r="10">
      <c r="A10">
        <f>Input!A10</f>
        <v/>
      </c>
      <c r="B10">
        <f>IF(ISNUMBER(Input!B10),IF(AND(Input!B10&gt;=20,Input!B10&lt;=700),Input!B10,""),"")</f>
        <v/>
      </c>
      <c r="C10">
        <f>IF(B10="","",INT(A10))</f>
        <v/>
      </c>
      <c r="D10">
        <f>IF(B10="","",HOUR(A10))</f>
        <v/>
      </c>
    </row>
    <row r="11">
      <c r="A11">
        <f>Input!A11</f>
        <v/>
      </c>
      <c r="B11">
        <f>IF(ISNUMBER(Input!B11),IF(AND(Input!B11&gt;=20,Input!B11&lt;=700),Input!B11,""),"")</f>
        <v/>
      </c>
      <c r="C11">
        <f>IF(B11="","",INT(A11))</f>
        <v/>
      </c>
      <c r="D11">
        <f>IF(B11="","",HOUR(A11))</f>
        <v/>
      </c>
    </row>
    <row r="12">
      <c r="A12">
        <f>Input!A12</f>
        <v/>
      </c>
      <c r="B12">
        <f>IF(ISNUMBER(Input!B12),IF(AND(Input!B12&gt;=20,Input!B12&lt;=700),Input!B12,""),"")</f>
        <v/>
      </c>
      <c r="C12">
        <f>IF(B12="","",INT(A12))</f>
        <v/>
      </c>
      <c r="D12">
        <f>IF(B12="","",HOUR(A12))</f>
        <v/>
      </c>
    </row>
    <row r="13">
      <c r="A13">
        <f>Input!A13</f>
        <v/>
      </c>
      <c r="B13">
        <f>IF(ISNUMBER(Input!B13),IF(AND(Input!B13&gt;=20,Input!B13&lt;=700),Input!B13,""),"")</f>
        <v/>
      </c>
      <c r="C13">
        <f>IF(B13="","",INT(A13))</f>
        <v/>
      </c>
      <c r="D13">
        <f>IF(B13="","",HOUR(A13))</f>
        <v/>
      </c>
    </row>
    <row r="14">
      <c r="A14">
        <f>Input!A14</f>
        <v/>
      </c>
      <c r="B14">
        <f>IF(ISNUMBER(Input!B14),IF(AND(Input!B14&gt;=20,Input!B14&lt;=700),Input!B14,""),"")</f>
        <v/>
      </c>
      <c r="C14">
        <f>IF(B14="","",INT(A14))</f>
        <v/>
      </c>
      <c r="D14">
        <f>IF(B14="","",HOUR(A14))</f>
        <v/>
      </c>
    </row>
    <row r="15">
      <c r="A15">
        <f>Input!A15</f>
        <v/>
      </c>
      <c r="B15">
        <f>IF(ISNUMBER(Input!B15),IF(AND(Input!B15&gt;=20,Input!B15&lt;=700),Input!B15,""),"")</f>
        <v/>
      </c>
      <c r="C15">
        <f>IF(B15="","",INT(A15))</f>
        <v/>
      </c>
      <c r="D15">
        <f>IF(B15="","",HOUR(A15))</f>
        <v/>
      </c>
    </row>
    <row r="16">
      <c r="A16">
        <f>Input!A16</f>
        <v/>
      </c>
      <c r="B16">
        <f>IF(ISNUMBER(Input!B16),IF(AND(Input!B16&gt;=20,Input!B16&lt;=700),Input!B16,""),"")</f>
        <v/>
      </c>
      <c r="C16">
        <f>IF(B16="","",INT(A16))</f>
        <v/>
      </c>
      <c r="D16">
        <f>IF(B16="","",HOUR(A16))</f>
        <v/>
      </c>
    </row>
    <row r="17">
      <c r="A17">
        <f>Input!A17</f>
        <v/>
      </c>
      <c r="B17">
        <f>IF(ISNUMBER(Input!B17),IF(AND(Input!B17&gt;=20,Input!B17&lt;=700),Input!B17,""),"")</f>
        <v/>
      </c>
      <c r="C17">
        <f>IF(B17="","",INT(A17))</f>
        <v/>
      </c>
      <c r="D17">
        <f>IF(B17="","",HOUR(A17))</f>
        <v/>
      </c>
    </row>
    <row r="18">
      <c r="A18">
        <f>Input!A18</f>
        <v/>
      </c>
      <c r="B18">
        <f>IF(ISNUMBER(Input!B18),IF(AND(Input!B18&gt;=20,Input!B18&lt;=700),Input!B18,""),"")</f>
        <v/>
      </c>
      <c r="C18">
        <f>IF(B18="","",INT(A18))</f>
        <v/>
      </c>
      <c r="D18">
        <f>IF(B18="","",HOUR(A18))</f>
        <v/>
      </c>
    </row>
    <row r="19">
      <c r="A19">
        <f>Input!A19</f>
        <v/>
      </c>
      <c r="B19">
        <f>IF(ISNUMBER(Input!B19),IF(AND(Input!B19&gt;=20,Input!B19&lt;=700),Input!B19,""),"")</f>
        <v/>
      </c>
      <c r="C19">
        <f>IF(B19="","",INT(A19))</f>
        <v/>
      </c>
      <c r="D19">
        <f>IF(B19="","",HOUR(A19))</f>
        <v/>
      </c>
    </row>
    <row r="20">
      <c r="A20">
        <f>Input!A20</f>
        <v/>
      </c>
      <c r="B20">
        <f>IF(ISNUMBER(Input!B20),IF(AND(Input!B20&gt;=20,Input!B20&lt;=700),Input!B20,""),"")</f>
        <v/>
      </c>
      <c r="C20">
        <f>IF(B20="","",INT(A20))</f>
        <v/>
      </c>
      <c r="D20">
        <f>IF(B20="","",HOUR(A20))</f>
        <v/>
      </c>
    </row>
    <row r="21">
      <c r="A21">
        <f>Input!A21</f>
        <v/>
      </c>
      <c r="B21">
        <f>IF(ISNUMBER(Input!B21),IF(AND(Input!B21&gt;=20,Input!B21&lt;=700),Input!B21,""),"")</f>
        <v/>
      </c>
      <c r="C21">
        <f>IF(B21="","",INT(A21))</f>
        <v/>
      </c>
      <c r="D21">
        <f>IF(B21="","",HOUR(A21))</f>
        <v/>
      </c>
    </row>
    <row r="22">
      <c r="A22">
        <f>Input!A22</f>
        <v/>
      </c>
      <c r="B22">
        <f>IF(ISNUMBER(Input!B22),IF(AND(Input!B22&gt;=20,Input!B22&lt;=700),Input!B22,""),"")</f>
        <v/>
      </c>
      <c r="C22">
        <f>IF(B22="","",INT(A22))</f>
        <v/>
      </c>
      <c r="D22">
        <f>IF(B22="","",HOUR(A22))</f>
        <v/>
      </c>
    </row>
    <row r="23">
      <c r="A23">
        <f>Input!A23</f>
        <v/>
      </c>
      <c r="B23">
        <f>IF(ISNUMBER(Input!B23),IF(AND(Input!B23&gt;=20,Input!B23&lt;=700),Input!B23,""),"")</f>
        <v/>
      </c>
      <c r="C23">
        <f>IF(B23="","",INT(A23))</f>
        <v/>
      </c>
      <c r="D23">
        <f>IF(B23="","",HOUR(A23))</f>
        <v/>
      </c>
    </row>
    <row r="24">
      <c r="A24">
        <f>Input!A24</f>
        <v/>
      </c>
      <c r="B24">
        <f>IF(ISNUMBER(Input!B24),IF(AND(Input!B24&gt;=20,Input!B24&lt;=700),Input!B24,""),"")</f>
        <v/>
      </c>
      <c r="C24">
        <f>IF(B24="","",INT(A24))</f>
        <v/>
      </c>
      <c r="D24">
        <f>IF(B24="","",HOUR(A24))</f>
        <v/>
      </c>
    </row>
    <row r="25">
      <c r="A25">
        <f>Input!A25</f>
        <v/>
      </c>
      <c r="B25">
        <f>IF(ISNUMBER(Input!B25),IF(AND(Input!B25&gt;=20,Input!B25&lt;=700),Input!B25,""),"")</f>
        <v/>
      </c>
      <c r="C25">
        <f>IF(B25="","",INT(A25))</f>
        <v/>
      </c>
      <c r="D25">
        <f>IF(B25="","",HOUR(A25))</f>
        <v/>
      </c>
    </row>
    <row r="26">
      <c r="A26">
        <f>Input!A26</f>
        <v/>
      </c>
      <c r="B26">
        <f>IF(ISNUMBER(Input!B26),IF(AND(Input!B26&gt;=20,Input!B26&lt;=700),Input!B26,""),"")</f>
        <v/>
      </c>
      <c r="C26">
        <f>IF(B26="","",INT(A26))</f>
        <v/>
      </c>
      <c r="D26">
        <f>IF(B26="","",HOUR(A26))</f>
        <v/>
      </c>
    </row>
    <row r="27">
      <c r="A27">
        <f>Input!A27</f>
        <v/>
      </c>
      <c r="B27">
        <f>IF(ISNUMBER(Input!B27),IF(AND(Input!B27&gt;=20,Input!B27&lt;=700),Input!B27,""),"")</f>
        <v/>
      </c>
      <c r="C27">
        <f>IF(B27="","",INT(A27))</f>
        <v/>
      </c>
      <c r="D27">
        <f>IF(B27="","",HOUR(A27))</f>
        <v/>
      </c>
    </row>
    <row r="28">
      <c r="A28">
        <f>Input!A28</f>
        <v/>
      </c>
      <c r="B28">
        <f>IF(ISNUMBER(Input!B28),IF(AND(Input!B28&gt;=20,Input!B28&lt;=700),Input!B28,""),"")</f>
        <v/>
      </c>
      <c r="C28">
        <f>IF(B28="","",INT(A28))</f>
        <v/>
      </c>
      <c r="D28">
        <f>IF(B28="","",HOUR(A28))</f>
        <v/>
      </c>
    </row>
    <row r="29">
      <c r="A29">
        <f>Input!A29</f>
        <v/>
      </c>
      <c r="B29">
        <f>IF(ISNUMBER(Input!B29),IF(AND(Input!B29&gt;=20,Input!B29&lt;=700),Input!B29,""),"")</f>
        <v/>
      </c>
      <c r="C29">
        <f>IF(B29="","",INT(A29))</f>
        <v/>
      </c>
      <c r="D29">
        <f>IF(B29="","",HOUR(A29))</f>
        <v/>
      </c>
    </row>
    <row r="30">
      <c r="A30">
        <f>Input!A30</f>
        <v/>
      </c>
      <c r="B30">
        <f>IF(ISNUMBER(Input!B30),IF(AND(Input!B30&gt;=20,Input!B30&lt;=700),Input!B30,""),"")</f>
        <v/>
      </c>
      <c r="C30">
        <f>IF(B30="","",INT(A30))</f>
        <v/>
      </c>
      <c r="D30">
        <f>IF(B30="","",HOUR(A30))</f>
        <v/>
      </c>
    </row>
    <row r="31">
      <c r="A31">
        <f>Input!A31</f>
        <v/>
      </c>
      <c r="B31">
        <f>IF(ISNUMBER(Input!B31),IF(AND(Input!B31&gt;=20,Input!B31&lt;=700),Input!B31,""),"")</f>
        <v/>
      </c>
      <c r="C31">
        <f>IF(B31="","",INT(A31))</f>
        <v/>
      </c>
      <c r="D31">
        <f>IF(B31="","",HOUR(A31))</f>
        <v/>
      </c>
    </row>
    <row r="32">
      <c r="A32">
        <f>Input!A32</f>
        <v/>
      </c>
      <c r="B32">
        <f>IF(ISNUMBER(Input!B32),IF(AND(Input!B32&gt;=20,Input!B32&lt;=700),Input!B32,""),"")</f>
        <v/>
      </c>
      <c r="C32">
        <f>IF(B32="","",INT(A32))</f>
        <v/>
      </c>
      <c r="D32">
        <f>IF(B32="","",HOUR(A32))</f>
        <v/>
      </c>
    </row>
    <row r="33">
      <c r="A33">
        <f>Input!A33</f>
        <v/>
      </c>
      <c r="B33">
        <f>IF(ISNUMBER(Input!B33),IF(AND(Input!B33&gt;=20,Input!B33&lt;=700),Input!B33,""),"")</f>
        <v/>
      </c>
      <c r="C33">
        <f>IF(B33="","",INT(A33))</f>
        <v/>
      </c>
      <c r="D33">
        <f>IF(B33="","",HOUR(A33))</f>
        <v/>
      </c>
    </row>
    <row r="34">
      <c r="A34">
        <f>Input!A34</f>
        <v/>
      </c>
      <c r="B34">
        <f>IF(ISNUMBER(Input!B34),IF(AND(Input!B34&gt;=20,Input!B34&lt;=700),Input!B34,""),"")</f>
        <v/>
      </c>
      <c r="C34">
        <f>IF(B34="","",INT(A34))</f>
        <v/>
      </c>
      <c r="D34">
        <f>IF(B34="","",HOUR(A34))</f>
        <v/>
      </c>
    </row>
    <row r="35">
      <c r="A35">
        <f>Input!A35</f>
        <v/>
      </c>
      <c r="B35">
        <f>IF(ISNUMBER(Input!B35),IF(AND(Input!B35&gt;=20,Input!B35&lt;=700),Input!B35,""),"")</f>
        <v/>
      </c>
      <c r="C35">
        <f>IF(B35="","",INT(A35))</f>
        <v/>
      </c>
      <c r="D35">
        <f>IF(B35="","",HOUR(A35))</f>
        <v/>
      </c>
    </row>
    <row r="36">
      <c r="A36">
        <f>Input!A36</f>
        <v/>
      </c>
      <c r="B36">
        <f>IF(ISNUMBER(Input!B36),IF(AND(Input!B36&gt;=20,Input!B36&lt;=700),Input!B36,""),"")</f>
        <v/>
      </c>
      <c r="C36">
        <f>IF(B36="","",INT(A36))</f>
        <v/>
      </c>
      <c r="D36">
        <f>IF(B36="","",HOUR(A36))</f>
        <v/>
      </c>
    </row>
    <row r="37">
      <c r="A37">
        <f>Input!A37</f>
        <v/>
      </c>
      <c r="B37">
        <f>IF(ISNUMBER(Input!B37),IF(AND(Input!B37&gt;=20,Input!B37&lt;=700),Input!B37,""),"")</f>
        <v/>
      </c>
      <c r="C37">
        <f>IF(B37="","",INT(A37))</f>
        <v/>
      </c>
      <c r="D37">
        <f>IF(B37="","",HOUR(A37))</f>
        <v/>
      </c>
    </row>
    <row r="38">
      <c r="A38">
        <f>Input!A38</f>
        <v/>
      </c>
      <c r="B38">
        <f>IF(ISNUMBER(Input!B38),IF(AND(Input!B38&gt;=20,Input!B38&lt;=700),Input!B38,""),"")</f>
        <v/>
      </c>
      <c r="C38">
        <f>IF(B38="","",INT(A38))</f>
        <v/>
      </c>
      <c r="D38">
        <f>IF(B38="","",HOUR(A38))</f>
        <v/>
      </c>
    </row>
    <row r="39">
      <c r="A39">
        <f>Input!A39</f>
        <v/>
      </c>
      <c r="B39">
        <f>IF(ISNUMBER(Input!B39),IF(AND(Input!B39&gt;=20,Input!B39&lt;=700),Input!B39,""),"")</f>
        <v/>
      </c>
      <c r="C39">
        <f>IF(B39="","",INT(A39))</f>
        <v/>
      </c>
      <c r="D39">
        <f>IF(B39="","",HOUR(A39))</f>
        <v/>
      </c>
    </row>
    <row r="40">
      <c r="A40">
        <f>Input!A40</f>
        <v/>
      </c>
      <c r="B40">
        <f>IF(ISNUMBER(Input!B40),IF(AND(Input!B40&gt;=20,Input!B40&lt;=700),Input!B40,""),"")</f>
        <v/>
      </c>
      <c r="C40">
        <f>IF(B40="","",INT(A40))</f>
        <v/>
      </c>
      <c r="D40">
        <f>IF(B40="","",HOUR(A40))</f>
        <v/>
      </c>
    </row>
    <row r="41">
      <c r="A41">
        <f>Input!A41</f>
        <v/>
      </c>
      <c r="B41">
        <f>IF(ISNUMBER(Input!B41),IF(AND(Input!B41&gt;=20,Input!B41&lt;=700),Input!B41,""),"")</f>
        <v/>
      </c>
      <c r="C41">
        <f>IF(B41="","",INT(A41))</f>
        <v/>
      </c>
      <c r="D41">
        <f>IF(B41="","",HOUR(A41))</f>
        <v/>
      </c>
    </row>
    <row r="42">
      <c r="A42">
        <f>Input!A42</f>
        <v/>
      </c>
      <c r="B42">
        <f>IF(ISNUMBER(Input!B42),IF(AND(Input!B42&gt;=20,Input!B42&lt;=700),Input!B42,""),"")</f>
        <v/>
      </c>
      <c r="C42">
        <f>IF(B42="","",INT(A42))</f>
        <v/>
      </c>
      <c r="D42">
        <f>IF(B42="","",HOUR(A42))</f>
        <v/>
      </c>
    </row>
    <row r="43">
      <c r="A43">
        <f>Input!A43</f>
        <v/>
      </c>
      <c r="B43">
        <f>IF(ISNUMBER(Input!B43),IF(AND(Input!B43&gt;=20,Input!B43&lt;=700),Input!B43,""),"")</f>
        <v/>
      </c>
      <c r="C43">
        <f>IF(B43="","",INT(A43))</f>
        <v/>
      </c>
      <c r="D43">
        <f>IF(B43="","",HOUR(A43))</f>
        <v/>
      </c>
    </row>
    <row r="44">
      <c r="A44">
        <f>Input!A44</f>
        <v/>
      </c>
      <c r="B44">
        <f>IF(ISNUMBER(Input!B44),IF(AND(Input!B44&gt;=20,Input!B44&lt;=700),Input!B44,""),"")</f>
        <v/>
      </c>
      <c r="C44">
        <f>IF(B44="","",INT(A44))</f>
        <v/>
      </c>
      <c r="D44">
        <f>IF(B44="","",HOUR(A44))</f>
        <v/>
      </c>
    </row>
    <row r="45">
      <c r="A45">
        <f>Input!A45</f>
        <v/>
      </c>
      <c r="B45">
        <f>IF(ISNUMBER(Input!B45),IF(AND(Input!B45&gt;=20,Input!B45&lt;=700),Input!B45,""),"")</f>
        <v/>
      </c>
      <c r="C45">
        <f>IF(B45="","",INT(A45))</f>
        <v/>
      </c>
      <c r="D45">
        <f>IF(B45="","",HOUR(A45))</f>
        <v/>
      </c>
    </row>
    <row r="46">
      <c r="A46">
        <f>Input!A46</f>
        <v/>
      </c>
      <c r="B46">
        <f>IF(ISNUMBER(Input!B46),IF(AND(Input!B46&gt;=20,Input!B46&lt;=700),Input!B46,""),"")</f>
        <v/>
      </c>
      <c r="C46">
        <f>IF(B46="","",INT(A46))</f>
        <v/>
      </c>
      <c r="D46">
        <f>IF(B46="","",HOUR(A46))</f>
        <v/>
      </c>
    </row>
    <row r="47">
      <c r="A47">
        <f>Input!A47</f>
        <v/>
      </c>
      <c r="B47">
        <f>IF(ISNUMBER(Input!B47),IF(AND(Input!B47&gt;=20,Input!B47&lt;=700),Input!B47,""),"")</f>
        <v/>
      </c>
      <c r="C47">
        <f>IF(B47="","",INT(A47))</f>
        <v/>
      </c>
      <c r="D47">
        <f>IF(B47="","",HOUR(A47))</f>
        <v/>
      </c>
    </row>
    <row r="48">
      <c r="A48">
        <f>Input!A48</f>
        <v/>
      </c>
      <c r="B48">
        <f>IF(ISNUMBER(Input!B48),IF(AND(Input!B48&gt;=20,Input!B48&lt;=700),Input!B48,""),"")</f>
        <v/>
      </c>
      <c r="C48">
        <f>IF(B48="","",INT(A48))</f>
        <v/>
      </c>
      <c r="D48">
        <f>IF(B48="","",HOUR(A48))</f>
        <v/>
      </c>
    </row>
    <row r="49">
      <c r="A49">
        <f>Input!A49</f>
        <v/>
      </c>
      <c r="B49">
        <f>IF(ISNUMBER(Input!B49),IF(AND(Input!B49&gt;=20,Input!B49&lt;=700),Input!B49,""),"")</f>
        <v/>
      </c>
      <c r="C49">
        <f>IF(B49="","",INT(A49))</f>
        <v/>
      </c>
      <c r="D49">
        <f>IF(B49="","",HOUR(A49))</f>
        <v/>
      </c>
    </row>
    <row r="50">
      <c r="A50">
        <f>Input!A50</f>
        <v/>
      </c>
      <c r="B50">
        <f>IF(ISNUMBER(Input!B50),IF(AND(Input!B50&gt;=20,Input!B50&lt;=700),Input!B50,""),"")</f>
        <v/>
      </c>
      <c r="C50">
        <f>IF(B50="","",INT(A50))</f>
        <v/>
      </c>
      <c r="D50">
        <f>IF(B50="","",HOUR(A50))</f>
        <v/>
      </c>
    </row>
    <row r="51">
      <c r="A51">
        <f>Input!A51</f>
        <v/>
      </c>
      <c r="B51">
        <f>IF(ISNUMBER(Input!B51),IF(AND(Input!B51&gt;=20,Input!B51&lt;=700),Input!B51,""),"")</f>
        <v/>
      </c>
      <c r="C51">
        <f>IF(B51="","",INT(A51))</f>
        <v/>
      </c>
      <c r="D51">
        <f>IF(B51="","",HOUR(A51))</f>
        <v/>
      </c>
    </row>
    <row r="52">
      <c r="A52">
        <f>Input!A52</f>
        <v/>
      </c>
      <c r="B52">
        <f>IF(ISNUMBER(Input!B52),IF(AND(Input!B52&gt;=20,Input!B52&lt;=700),Input!B52,""),"")</f>
        <v/>
      </c>
      <c r="C52">
        <f>IF(B52="","",INT(A52))</f>
        <v/>
      </c>
      <c r="D52">
        <f>IF(B52="","",HOUR(A52))</f>
        <v/>
      </c>
    </row>
    <row r="53">
      <c r="A53">
        <f>Input!A53</f>
        <v/>
      </c>
      <c r="B53">
        <f>IF(ISNUMBER(Input!B53),IF(AND(Input!B53&gt;=20,Input!B53&lt;=700),Input!B53,""),"")</f>
        <v/>
      </c>
      <c r="C53">
        <f>IF(B53="","",INT(A53))</f>
        <v/>
      </c>
      <c r="D53">
        <f>IF(B53="","",HOUR(A53))</f>
        <v/>
      </c>
    </row>
    <row r="54">
      <c r="A54">
        <f>Input!A54</f>
        <v/>
      </c>
      <c r="B54">
        <f>IF(ISNUMBER(Input!B54),IF(AND(Input!B54&gt;=20,Input!B54&lt;=700),Input!B54,""),"")</f>
        <v/>
      </c>
      <c r="C54">
        <f>IF(B54="","",INT(A54))</f>
        <v/>
      </c>
      <c r="D54">
        <f>IF(B54="","",HOUR(A54))</f>
        <v/>
      </c>
    </row>
    <row r="55">
      <c r="A55">
        <f>Input!A55</f>
        <v/>
      </c>
      <c r="B55">
        <f>IF(ISNUMBER(Input!B55),IF(AND(Input!B55&gt;=20,Input!B55&lt;=700),Input!B55,""),"")</f>
        <v/>
      </c>
      <c r="C55">
        <f>IF(B55="","",INT(A55))</f>
        <v/>
      </c>
      <c r="D55">
        <f>IF(B55="","",HOUR(A55))</f>
        <v/>
      </c>
    </row>
    <row r="56">
      <c r="A56">
        <f>Input!A56</f>
        <v/>
      </c>
      <c r="B56">
        <f>IF(ISNUMBER(Input!B56),IF(AND(Input!B56&gt;=20,Input!B56&lt;=700),Input!B56,""),"")</f>
        <v/>
      </c>
      <c r="C56">
        <f>IF(B56="","",INT(A56))</f>
        <v/>
      </c>
      <c r="D56">
        <f>IF(B56="","",HOUR(A56))</f>
        <v/>
      </c>
    </row>
    <row r="57">
      <c r="A57">
        <f>Input!A57</f>
        <v/>
      </c>
      <c r="B57">
        <f>IF(ISNUMBER(Input!B57),IF(AND(Input!B57&gt;=20,Input!B57&lt;=700),Input!B57,""),"")</f>
        <v/>
      </c>
      <c r="C57">
        <f>IF(B57="","",INT(A57))</f>
        <v/>
      </c>
      <c r="D57">
        <f>IF(B57="","",HOUR(A57))</f>
        <v/>
      </c>
    </row>
    <row r="58">
      <c r="A58">
        <f>Input!A58</f>
        <v/>
      </c>
      <c r="B58">
        <f>IF(ISNUMBER(Input!B58),IF(AND(Input!B58&gt;=20,Input!B58&lt;=700),Input!B58,""),"")</f>
        <v/>
      </c>
      <c r="C58">
        <f>IF(B58="","",INT(A58))</f>
        <v/>
      </c>
      <c r="D58">
        <f>IF(B58="","",HOUR(A58))</f>
        <v/>
      </c>
    </row>
    <row r="59">
      <c r="A59">
        <f>Input!A59</f>
        <v/>
      </c>
      <c r="B59">
        <f>IF(ISNUMBER(Input!B59),IF(AND(Input!B59&gt;=20,Input!B59&lt;=700),Input!B59,""),"")</f>
        <v/>
      </c>
      <c r="C59">
        <f>IF(B59="","",INT(A59))</f>
        <v/>
      </c>
      <c r="D59">
        <f>IF(B59="","",HOUR(A59))</f>
        <v/>
      </c>
    </row>
    <row r="60">
      <c r="A60">
        <f>Input!A60</f>
        <v/>
      </c>
      <c r="B60">
        <f>IF(ISNUMBER(Input!B60),IF(AND(Input!B60&gt;=20,Input!B60&lt;=700),Input!B60,""),"")</f>
        <v/>
      </c>
      <c r="C60">
        <f>IF(B60="","",INT(A60))</f>
        <v/>
      </c>
      <c r="D60">
        <f>IF(B60="","",HOUR(A60))</f>
        <v/>
      </c>
    </row>
    <row r="61">
      <c r="A61">
        <f>Input!A61</f>
        <v/>
      </c>
      <c r="B61">
        <f>IF(ISNUMBER(Input!B61),IF(AND(Input!B61&gt;=20,Input!B61&lt;=700),Input!B61,""),"")</f>
        <v/>
      </c>
      <c r="C61">
        <f>IF(B61="","",INT(A61))</f>
        <v/>
      </c>
      <c r="D61">
        <f>IF(B61="","",HOUR(A61))</f>
        <v/>
      </c>
    </row>
    <row r="62">
      <c r="A62">
        <f>Input!A62</f>
        <v/>
      </c>
      <c r="B62">
        <f>IF(ISNUMBER(Input!B62),IF(AND(Input!B62&gt;=20,Input!B62&lt;=700),Input!B62,""),"")</f>
        <v/>
      </c>
      <c r="C62">
        <f>IF(B62="","",INT(A62))</f>
        <v/>
      </c>
      <c r="D62">
        <f>IF(B62="","",HOUR(A62))</f>
        <v/>
      </c>
    </row>
    <row r="63">
      <c r="A63">
        <f>Input!A63</f>
        <v/>
      </c>
      <c r="B63">
        <f>IF(ISNUMBER(Input!B63),IF(AND(Input!B63&gt;=20,Input!B63&lt;=700),Input!B63,""),"")</f>
        <v/>
      </c>
      <c r="C63">
        <f>IF(B63="","",INT(A63))</f>
        <v/>
      </c>
      <c r="D63">
        <f>IF(B63="","",HOUR(A63))</f>
        <v/>
      </c>
    </row>
    <row r="64">
      <c r="A64">
        <f>Input!A64</f>
        <v/>
      </c>
      <c r="B64">
        <f>IF(ISNUMBER(Input!B64),IF(AND(Input!B64&gt;=20,Input!B64&lt;=700),Input!B64,""),"")</f>
        <v/>
      </c>
      <c r="C64">
        <f>IF(B64="","",INT(A64))</f>
        <v/>
      </c>
      <c r="D64">
        <f>IF(B64="","",HOUR(A64))</f>
        <v/>
      </c>
    </row>
    <row r="65">
      <c r="A65">
        <f>Input!A65</f>
        <v/>
      </c>
      <c r="B65">
        <f>IF(ISNUMBER(Input!B65),IF(AND(Input!B65&gt;=20,Input!B65&lt;=700),Input!B65,""),"")</f>
        <v/>
      </c>
      <c r="C65">
        <f>IF(B65="","",INT(A65))</f>
        <v/>
      </c>
      <c r="D65">
        <f>IF(B65="","",HOUR(A65))</f>
        <v/>
      </c>
    </row>
    <row r="66">
      <c r="A66">
        <f>Input!A66</f>
        <v/>
      </c>
      <c r="B66">
        <f>IF(ISNUMBER(Input!B66),IF(AND(Input!B66&gt;=20,Input!B66&lt;=700),Input!B66,""),"")</f>
        <v/>
      </c>
      <c r="C66">
        <f>IF(B66="","",INT(A66))</f>
        <v/>
      </c>
      <c r="D66">
        <f>IF(B66="","",HOUR(A66))</f>
        <v/>
      </c>
    </row>
    <row r="67">
      <c r="A67">
        <f>Input!A67</f>
        <v/>
      </c>
      <c r="B67">
        <f>IF(ISNUMBER(Input!B67),IF(AND(Input!B67&gt;=20,Input!B67&lt;=700),Input!B67,""),"")</f>
        <v/>
      </c>
      <c r="C67">
        <f>IF(B67="","",INT(A67))</f>
        <v/>
      </c>
      <c r="D67">
        <f>IF(B67="","",HOUR(A67))</f>
        <v/>
      </c>
    </row>
    <row r="68">
      <c r="A68">
        <f>Input!A68</f>
        <v/>
      </c>
      <c r="B68">
        <f>IF(ISNUMBER(Input!B68),IF(AND(Input!B68&gt;=20,Input!B68&lt;=700),Input!B68,""),"")</f>
        <v/>
      </c>
      <c r="C68">
        <f>IF(B68="","",INT(A68))</f>
        <v/>
      </c>
      <c r="D68">
        <f>IF(B68="","",HOUR(A68))</f>
        <v/>
      </c>
    </row>
    <row r="69">
      <c r="A69">
        <f>Input!A69</f>
        <v/>
      </c>
      <c r="B69">
        <f>IF(ISNUMBER(Input!B69),IF(AND(Input!B69&gt;=20,Input!B69&lt;=700),Input!B69,""),"")</f>
        <v/>
      </c>
      <c r="C69">
        <f>IF(B69="","",INT(A69))</f>
        <v/>
      </c>
      <c r="D69">
        <f>IF(B69="","",HOUR(A69))</f>
        <v/>
      </c>
    </row>
    <row r="70">
      <c r="A70">
        <f>Input!A70</f>
        <v/>
      </c>
      <c r="B70">
        <f>IF(ISNUMBER(Input!B70),IF(AND(Input!B70&gt;=20,Input!B70&lt;=700),Input!B70,""),"")</f>
        <v/>
      </c>
      <c r="C70">
        <f>IF(B70="","",INT(A70))</f>
        <v/>
      </c>
      <c r="D70">
        <f>IF(B70="","",HOUR(A70))</f>
        <v/>
      </c>
    </row>
    <row r="71">
      <c r="A71">
        <f>Input!A71</f>
        <v/>
      </c>
      <c r="B71">
        <f>IF(ISNUMBER(Input!B71),IF(AND(Input!B71&gt;=20,Input!B71&lt;=700),Input!B71,""),"")</f>
        <v/>
      </c>
      <c r="C71">
        <f>IF(B71="","",INT(A71))</f>
        <v/>
      </c>
      <c r="D71">
        <f>IF(B71="","",HOUR(A71))</f>
        <v/>
      </c>
    </row>
    <row r="72">
      <c r="A72">
        <f>Input!A72</f>
        <v/>
      </c>
      <c r="B72">
        <f>IF(ISNUMBER(Input!B72),IF(AND(Input!B72&gt;=20,Input!B72&lt;=700),Input!B72,""),"")</f>
        <v/>
      </c>
      <c r="C72">
        <f>IF(B72="","",INT(A72))</f>
        <v/>
      </c>
      <c r="D72">
        <f>IF(B72="","",HOUR(A72))</f>
        <v/>
      </c>
    </row>
    <row r="73">
      <c r="A73">
        <f>Input!A73</f>
        <v/>
      </c>
      <c r="B73">
        <f>IF(ISNUMBER(Input!B73),IF(AND(Input!B73&gt;=20,Input!B73&lt;=700),Input!B73,""),"")</f>
        <v/>
      </c>
      <c r="C73">
        <f>IF(B73="","",INT(A73))</f>
        <v/>
      </c>
      <c r="D73">
        <f>IF(B73="","",HOUR(A73))</f>
        <v/>
      </c>
    </row>
    <row r="74">
      <c r="A74">
        <f>Input!A74</f>
        <v/>
      </c>
      <c r="B74">
        <f>IF(ISNUMBER(Input!B74),IF(AND(Input!B74&gt;=20,Input!B74&lt;=700),Input!B74,""),"")</f>
        <v/>
      </c>
      <c r="C74">
        <f>IF(B74="","",INT(A74))</f>
        <v/>
      </c>
      <c r="D74">
        <f>IF(B74="","",HOUR(A74))</f>
        <v/>
      </c>
    </row>
    <row r="75">
      <c r="A75">
        <f>Input!A75</f>
        <v/>
      </c>
      <c r="B75">
        <f>IF(ISNUMBER(Input!B75),IF(AND(Input!B75&gt;=20,Input!B75&lt;=700),Input!B75,""),"")</f>
        <v/>
      </c>
      <c r="C75">
        <f>IF(B75="","",INT(A75))</f>
        <v/>
      </c>
      <c r="D75">
        <f>IF(B75="","",HOUR(A75))</f>
        <v/>
      </c>
    </row>
    <row r="76">
      <c r="A76">
        <f>Input!A76</f>
        <v/>
      </c>
      <c r="B76">
        <f>IF(ISNUMBER(Input!B76),IF(AND(Input!B76&gt;=20,Input!B76&lt;=700),Input!B76,""),"")</f>
        <v/>
      </c>
      <c r="C76">
        <f>IF(B76="","",INT(A76))</f>
        <v/>
      </c>
      <c r="D76">
        <f>IF(B76="","",HOUR(A76))</f>
        <v/>
      </c>
    </row>
    <row r="77">
      <c r="A77">
        <f>Input!A77</f>
        <v/>
      </c>
      <c r="B77">
        <f>IF(ISNUMBER(Input!B77),IF(AND(Input!B77&gt;=20,Input!B77&lt;=700),Input!B77,""),"")</f>
        <v/>
      </c>
      <c r="C77">
        <f>IF(B77="","",INT(A77))</f>
        <v/>
      </c>
      <c r="D77">
        <f>IF(B77="","",HOUR(A77))</f>
        <v/>
      </c>
    </row>
    <row r="78">
      <c r="A78">
        <f>Input!A78</f>
        <v/>
      </c>
      <c r="B78">
        <f>IF(ISNUMBER(Input!B78),IF(AND(Input!B78&gt;=20,Input!B78&lt;=700),Input!B78,""),"")</f>
        <v/>
      </c>
      <c r="C78">
        <f>IF(B78="","",INT(A78))</f>
        <v/>
      </c>
      <c r="D78">
        <f>IF(B78="","",HOUR(A78))</f>
        <v/>
      </c>
    </row>
    <row r="79">
      <c r="A79">
        <f>Input!A79</f>
        <v/>
      </c>
      <c r="B79">
        <f>IF(ISNUMBER(Input!B79),IF(AND(Input!B79&gt;=20,Input!B79&lt;=700),Input!B79,""),"")</f>
        <v/>
      </c>
      <c r="C79">
        <f>IF(B79="","",INT(A79))</f>
        <v/>
      </c>
      <c r="D79">
        <f>IF(B79="","",HOUR(A79))</f>
        <v/>
      </c>
    </row>
    <row r="80">
      <c r="A80">
        <f>Input!A80</f>
        <v/>
      </c>
      <c r="B80">
        <f>IF(ISNUMBER(Input!B80),IF(AND(Input!B80&gt;=20,Input!B80&lt;=700),Input!B80,""),"")</f>
        <v/>
      </c>
      <c r="C80">
        <f>IF(B80="","",INT(A80))</f>
        <v/>
      </c>
      <c r="D80">
        <f>IF(B80="","",HOUR(A80))</f>
        <v/>
      </c>
    </row>
    <row r="81">
      <c r="A81">
        <f>Input!A81</f>
        <v/>
      </c>
      <c r="B81">
        <f>IF(ISNUMBER(Input!B81),IF(AND(Input!B81&gt;=20,Input!B81&lt;=700),Input!B81,""),"")</f>
        <v/>
      </c>
      <c r="C81">
        <f>IF(B81="","",INT(A81))</f>
        <v/>
      </c>
      <c r="D81">
        <f>IF(B81="","",HOUR(A81))</f>
        <v/>
      </c>
    </row>
    <row r="82">
      <c r="A82">
        <f>Input!A82</f>
        <v/>
      </c>
      <c r="B82">
        <f>IF(ISNUMBER(Input!B82),IF(AND(Input!B82&gt;=20,Input!B82&lt;=700),Input!B82,""),"")</f>
        <v/>
      </c>
      <c r="C82">
        <f>IF(B82="","",INT(A82))</f>
        <v/>
      </c>
      <c r="D82">
        <f>IF(B82="","",HOUR(A82))</f>
        <v/>
      </c>
    </row>
    <row r="83">
      <c r="A83">
        <f>Input!A83</f>
        <v/>
      </c>
      <c r="B83">
        <f>IF(ISNUMBER(Input!B83),IF(AND(Input!B83&gt;=20,Input!B83&lt;=700),Input!B83,""),"")</f>
        <v/>
      </c>
      <c r="C83">
        <f>IF(B83="","",INT(A83))</f>
        <v/>
      </c>
      <c r="D83">
        <f>IF(B83="","",HOUR(A83))</f>
        <v/>
      </c>
    </row>
    <row r="84">
      <c r="A84">
        <f>Input!A84</f>
        <v/>
      </c>
      <c r="B84">
        <f>IF(ISNUMBER(Input!B84),IF(AND(Input!B84&gt;=20,Input!B84&lt;=700),Input!B84,""),"")</f>
        <v/>
      </c>
      <c r="C84">
        <f>IF(B84="","",INT(A84))</f>
        <v/>
      </c>
      <c r="D84">
        <f>IF(B84="","",HOUR(A84))</f>
        <v/>
      </c>
    </row>
    <row r="85">
      <c r="A85">
        <f>Input!A85</f>
        <v/>
      </c>
      <c r="B85">
        <f>IF(ISNUMBER(Input!B85),IF(AND(Input!B85&gt;=20,Input!B85&lt;=700),Input!B85,""),"")</f>
        <v/>
      </c>
      <c r="C85">
        <f>IF(B85="","",INT(A85))</f>
        <v/>
      </c>
      <c r="D85">
        <f>IF(B85="","",HOUR(A85))</f>
        <v/>
      </c>
    </row>
    <row r="86">
      <c r="A86">
        <f>Input!A86</f>
        <v/>
      </c>
      <c r="B86">
        <f>IF(ISNUMBER(Input!B86),IF(AND(Input!B86&gt;=20,Input!B86&lt;=700),Input!B86,""),"")</f>
        <v/>
      </c>
      <c r="C86">
        <f>IF(B86="","",INT(A86))</f>
        <v/>
      </c>
      <c r="D86">
        <f>IF(B86="","",HOUR(A86))</f>
        <v/>
      </c>
    </row>
    <row r="87">
      <c r="A87">
        <f>Input!A87</f>
        <v/>
      </c>
      <c r="B87">
        <f>IF(ISNUMBER(Input!B87),IF(AND(Input!B87&gt;=20,Input!B87&lt;=700),Input!B87,""),"")</f>
        <v/>
      </c>
      <c r="C87">
        <f>IF(B87="","",INT(A87))</f>
        <v/>
      </c>
      <c r="D87">
        <f>IF(B87="","",HOUR(A87))</f>
        <v/>
      </c>
    </row>
    <row r="88">
      <c r="A88">
        <f>Input!A88</f>
        <v/>
      </c>
      <c r="B88">
        <f>IF(ISNUMBER(Input!B88),IF(AND(Input!B88&gt;=20,Input!B88&lt;=700),Input!B88,""),"")</f>
        <v/>
      </c>
      <c r="C88">
        <f>IF(B88="","",INT(A88))</f>
        <v/>
      </c>
      <c r="D88">
        <f>IF(B88="","",HOUR(A88))</f>
        <v/>
      </c>
    </row>
    <row r="89">
      <c r="A89">
        <f>Input!A89</f>
        <v/>
      </c>
      <c r="B89">
        <f>IF(ISNUMBER(Input!B89),IF(AND(Input!B89&gt;=20,Input!B89&lt;=700),Input!B89,""),"")</f>
        <v/>
      </c>
      <c r="C89">
        <f>IF(B89="","",INT(A89))</f>
        <v/>
      </c>
      <c r="D89">
        <f>IF(B89="","",HOUR(A89))</f>
        <v/>
      </c>
    </row>
    <row r="90">
      <c r="A90">
        <f>Input!A90</f>
        <v/>
      </c>
      <c r="B90">
        <f>IF(ISNUMBER(Input!B90),IF(AND(Input!B90&gt;=20,Input!B90&lt;=700),Input!B90,""),"")</f>
        <v/>
      </c>
      <c r="C90">
        <f>IF(B90="","",INT(A90))</f>
        <v/>
      </c>
      <c r="D90">
        <f>IF(B90="","",HOUR(A90))</f>
        <v/>
      </c>
    </row>
    <row r="91">
      <c r="A91">
        <f>Input!A91</f>
        <v/>
      </c>
      <c r="B91">
        <f>IF(ISNUMBER(Input!B91),IF(AND(Input!B91&gt;=20,Input!B91&lt;=700),Input!B91,""),"")</f>
        <v/>
      </c>
      <c r="C91">
        <f>IF(B91="","",INT(A91))</f>
        <v/>
      </c>
      <c r="D91">
        <f>IF(B91="","",HOUR(A91))</f>
        <v/>
      </c>
    </row>
    <row r="92">
      <c r="A92">
        <f>Input!A92</f>
        <v/>
      </c>
      <c r="B92">
        <f>IF(ISNUMBER(Input!B92),IF(AND(Input!B92&gt;=20,Input!B92&lt;=700),Input!B92,""),"")</f>
        <v/>
      </c>
      <c r="C92">
        <f>IF(B92="","",INT(A92))</f>
        <v/>
      </c>
      <c r="D92">
        <f>IF(B92="","",HOUR(A92))</f>
        <v/>
      </c>
    </row>
    <row r="93">
      <c r="A93">
        <f>Input!A93</f>
        <v/>
      </c>
      <c r="B93">
        <f>IF(ISNUMBER(Input!B93),IF(AND(Input!B93&gt;=20,Input!B93&lt;=700),Input!B93,""),"")</f>
        <v/>
      </c>
      <c r="C93">
        <f>IF(B93="","",INT(A93))</f>
        <v/>
      </c>
      <c r="D93">
        <f>IF(B93="","",HOUR(A93))</f>
        <v/>
      </c>
    </row>
    <row r="94">
      <c r="A94">
        <f>Input!A94</f>
        <v/>
      </c>
      <c r="B94">
        <f>IF(ISNUMBER(Input!B94),IF(AND(Input!B94&gt;=20,Input!B94&lt;=700),Input!B94,""),"")</f>
        <v/>
      </c>
      <c r="C94">
        <f>IF(B94="","",INT(A94))</f>
        <v/>
      </c>
      <c r="D94">
        <f>IF(B94="","",HOUR(A94))</f>
        <v/>
      </c>
    </row>
    <row r="95">
      <c r="A95">
        <f>Input!A95</f>
        <v/>
      </c>
      <c r="B95">
        <f>IF(ISNUMBER(Input!B95),IF(AND(Input!B95&gt;=20,Input!B95&lt;=700),Input!B95,""),"")</f>
        <v/>
      </c>
      <c r="C95">
        <f>IF(B95="","",INT(A95))</f>
        <v/>
      </c>
      <c r="D95">
        <f>IF(B95="","",HOUR(A95))</f>
        <v/>
      </c>
    </row>
    <row r="96">
      <c r="A96">
        <f>Input!A96</f>
        <v/>
      </c>
      <c r="B96">
        <f>IF(ISNUMBER(Input!B96),IF(AND(Input!B96&gt;=20,Input!B96&lt;=700),Input!B96,""),"")</f>
        <v/>
      </c>
      <c r="C96">
        <f>IF(B96="","",INT(A96))</f>
        <v/>
      </c>
      <c r="D96">
        <f>IF(B96="","",HOUR(A96))</f>
        <v/>
      </c>
    </row>
    <row r="97">
      <c r="A97">
        <f>Input!A97</f>
        <v/>
      </c>
      <c r="B97">
        <f>IF(ISNUMBER(Input!B97),IF(AND(Input!B97&gt;=20,Input!B97&lt;=700),Input!B97,""),"")</f>
        <v/>
      </c>
      <c r="C97">
        <f>IF(B97="","",INT(A97))</f>
        <v/>
      </c>
      <c r="D97">
        <f>IF(B97="","",HOUR(A97))</f>
        <v/>
      </c>
    </row>
    <row r="98">
      <c r="A98">
        <f>Input!A98</f>
        <v/>
      </c>
      <c r="B98">
        <f>IF(ISNUMBER(Input!B98),IF(AND(Input!B98&gt;=20,Input!B98&lt;=700),Input!B98,""),"")</f>
        <v/>
      </c>
      <c r="C98">
        <f>IF(B98="","",INT(A98))</f>
        <v/>
      </c>
      <c r="D98">
        <f>IF(B98="","",HOUR(A98))</f>
        <v/>
      </c>
    </row>
    <row r="99">
      <c r="A99">
        <f>Input!A99</f>
        <v/>
      </c>
      <c r="B99">
        <f>IF(ISNUMBER(Input!B99),IF(AND(Input!B99&gt;=20,Input!B99&lt;=700),Input!B99,""),"")</f>
        <v/>
      </c>
      <c r="C99">
        <f>IF(B99="","",INT(A99))</f>
        <v/>
      </c>
      <c r="D99">
        <f>IF(B99="","",HOUR(A99))</f>
        <v/>
      </c>
    </row>
    <row r="100">
      <c r="A100">
        <f>Input!A100</f>
        <v/>
      </c>
      <c r="B100">
        <f>IF(ISNUMBER(Input!B100),IF(AND(Input!B100&gt;=20,Input!B100&lt;=700),Input!B100,""),"")</f>
        <v/>
      </c>
      <c r="C100">
        <f>IF(B100="","",INT(A100))</f>
        <v/>
      </c>
      <c r="D100">
        <f>IF(B100="","",HOUR(A100))</f>
        <v/>
      </c>
    </row>
    <row r="101">
      <c r="A101">
        <f>Input!A101</f>
        <v/>
      </c>
      <c r="B101">
        <f>IF(ISNUMBER(Input!B101),IF(AND(Input!B101&gt;=20,Input!B101&lt;=700),Input!B101,""),"")</f>
        <v/>
      </c>
      <c r="C101">
        <f>IF(B101="","",INT(A101))</f>
        <v/>
      </c>
      <c r="D101">
        <f>IF(B101="","",HOUR(A101))</f>
        <v/>
      </c>
    </row>
    <row r="102">
      <c r="A102">
        <f>Input!A102</f>
        <v/>
      </c>
      <c r="B102">
        <f>IF(ISNUMBER(Input!B102),IF(AND(Input!B102&gt;=20,Input!B102&lt;=700),Input!B102,""),"")</f>
        <v/>
      </c>
      <c r="C102">
        <f>IF(B102="","",INT(A102))</f>
        <v/>
      </c>
      <c r="D102">
        <f>IF(B102="","",HOUR(A102))</f>
        <v/>
      </c>
    </row>
    <row r="103">
      <c r="A103">
        <f>Input!A103</f>
        <v/>
      </c>
      <c r="B103">
        <f>IF(ISNUMBER(Input!B103),IF(AND(Input!B103&gt;=20,Input!B103&lt;=700),Input!B103,""),"")</f>
        <v/>
      </c>
      <c r="C103">
        <f>IF(B103="","",INT(A103))</f>
        <v/>
      </c>
      <c r="D103">
        <f>IF(B103="","",HOUR(A103))</f>
        <v/>
      </c>
    </row>
    <row r="104">
      <c r="A104">
        <f>Input!A104</f>
        <v/>
      </c>
      <c r="B104">
        <f>IF(ISNUMBER(Input!B104),IF(AND(Input!B104&gt;=20,Input!B104&lt;=700),Input!B104,""),"")</f>
        <v/>
      </c>
      <c r="C104">
        <f>IF(B104="","",INT(A104))</f>
        <v/>
      </c>
      <c r="D104">
        <f>IF(B104="","",HOUR(A104))</f>
        <v/>
      </c>
    </row>
    <row r="105">
      <c r="A105">
        <f>Input!A105</f>
        <v/>
      </c>
      <c r="B105">
        <f>IF(ISNUMBER(Input!B105),IF(AND(Input!B105&gt;=20,Input!B105&lt;=700),Input!B105,""),"")</f>
        <v/>
      </c>
      <c r="C105">
        <f>IF(B105="","",INT(A105))</f>
        <v/>
      </c>
      <c r="D105">
        <f>IF(B105="","",HOUR(A105))</f>
        <v/>
      </c>
    </row>
    <row r="106">
      <c r="A106">
        <f>Input!A106</f>
        <v/>
      </c>
      <c r="B106">
        <f>IF(ISNUMBER(Input!B106),IF(AND(Input!B106&gt;=20,Input!B106&lt;=700),Input!B106,""),"")</f>
        <v/>
      </c>
      <c r="C106">
        <f>IF(B106="","",INT(A106))</f>
        <v/>
      </c>
      <c r="D106">
        <f>IF(B106="","",HOUR(A106))</f>
        <v/>
      </c>
    </row>
    <row r="107">
      <c r="A107">
        <f>Input!A107</f>
        <v/>
      </c>
      <c r="B107">
        <f>IF(ISNUMBER(Input!B107),IF(AND(Input!B107&gt;=20,Input!B107&lt;=700),Input!B107,""),"")</f>
        <v/>
      </c>
      <c r="C107">
        <f>IF(B107="","",INT(A107))</f>
        <v/>
      </c>
      <c r="D107">
        <f>IF(B107="","",HOUR(A107))</f>
        <v/>
      </c>
    </row>
    <row r="108">
      <c r="A108">
        <f>Input!A108</f>
        <v/>
      </c>
      <c r="B108">
        <f>IF(ISNUMBER(Input!B108),IF(AND(Input!B108&gt;=20,Input!B108&lt;=700),Input!B108,""),"")</f>
        <v/>
      </c>
      <c r="C108">
        <f>IF(B108="","",INT(A108))</f>
        <v/>
      </c>
      <c r="D108">
        <f>IF(B108="","",HOUR(A108))</f>
        <v/>
      </c>
    </row>
    <row r="109">
      <c r="A109">
        <f>Input!A109</f>
        <v/>
      </c>
      <c r="B109">
        <f>IF(ISNUMBER(Input!B109),IF(AND(Input!B109&gt;=20,Input!B109&lt;=700),Input!B109,""),"")</f>
        <v/>
      </c>
      <c r="C109">
        <f>IF(B109="","",INT(A109))</f>
        <v/>
      </c>
      <c r="D109">
        <f>IF(B109="","",HOUR(A109))</f>
        <v/>
      </c>
    </row>
    <row r="110">
      <c r="A110">
        <f>Input!A110</f>
        <v/>
      </c>
      <c r="B110">
        <f>IF(ISNUMBER(Input!B110),IF(AND(Input!B110&gt;=20,Input!B110&lt;=700),Input!B110,""),"")</f>
        <v/>
      </c>
      <c r="C110">
        <f>IF(B110="","",INT(A110))</f>
        <v/>
      </c>
      <c r="D110">
        <f>IF(B110="","",HOUR(A110))</f>
        <v/>
      </c>
    </row>
    <row r="111">
      <c r="A111">
        <f>Input!A111</f>
        <v/>
      </c>
      <c r="B111">
        <f>IF(ISNUMBER(Input!B111),IF(AND(Input!B111&gt;=20,Input!B111&lt;=700),Input!B111,""),"")</f>
        <v/>
      </c>
      <c r="C111">
        <f>IF(B111="","",INT(A111))</f>
        <v/>
      </c>
      <c r="D111">
        <f>IF(B111="","",HOUR(A111))</f>
        <v/>
      </c>
    </row>
    <row r="112">
      <c r="A112">
        <f>Input!A112</f>
        <v/>
      </c>
      <c r="B112">
        <f>IF(ISNUMBER(Input!B112),IF(AND(Input!B112&gt;=20,Input!B112&lt;=700),Input!B112,""),"")</f>
        <v/>
      </c>
      <c r="C112">
        <f>IF(B112="","",INT(A112))</f>
        <v/>
      </c>
      <c r="D112">
        <f>IF(B112="","",HOUR(A112))</f>
        <v/>
      </c>
    </row>
    <row r="113">
      <c r="A113">
        <f>Input!A113</f>
        <v/>
      </c>
      <c r="B113">
        <f>IF(ISNUMBER(Input!B113),IF(AND(Input!B113&gt;=20,Input!B113&lt;=700),Input!B113,""),"")</f>
        <v/>
      </c>
      <c r="C113">
        <f>IF(B113="","",INT(A113))</f>
        <v/>
      </c>
      <c r="D113">
        <f>IF(B113="","",HOUR(A113))</f>
        <v/>
      </c>
    </row>
    <row r="114">
      <c r="A114">
        <f>Input!A114</f>
        <v/>
      </c>
      <c r="B114">
        <f>IF(ISNUMBER(Input!B114),IF(AND(Input!B114&gt;=20,Input!B114&lt;=700),Input!B114,""),"")</f>
        <v/>
      </c>
      <c r="C114">
        <f>IF(B114="","",INT(A114))</f>
        <v/>
      </c>
      <c r="D114">
        <f>IF(B114="","",HOUR(A114))</f>
        <v/>
      </c>
    </row>
    <row r="115">
      <c r="A115">
        <f>Input!A115</f>
        <v/>
      </c>
      <c r="B115">
        <f>IF(ISNUMBER(Input!B115),IF(AND(Input!B115&gt;=20,Input!B115&lt;=700),Input!B115,""),"")</f>
        <v/>
      </c>
      <c r="C115">
        <f>IF(B115="","",INT(A115))</f>
        <v/>
      </c>
      <c r="D115">
        <f>IF(B115="","",HOUR(A115))</f>
        <v/>
      </c>
    </row>
    <row r="116">
      <c r="A116">
        <f>Input!A116</f>
        <v/>
      </c>
      <c r="B116">
        <f>IF(ISNUMBER(Input!B116),IF(AND(Input!B116&gt;=20,Input!B116&lt;=700),Input!B116,""),"")</f>
        <v/>
      </c>
      <c r="C116">
        <f>IF(B116="","",INT(A116))</f>
        <v/>
      </c>
      <c r="D116">
        <f>IF(B116="","",HOUR(A116))</f>
        <v/>
      </c>
    </row>
    <row r="117">
      <c r="A117">
        <f>Input!A117</f>
        <v/>
      </c>
      <c r="B117">
        <f>IF(ISNUMBER(Input!B117),IF(AND(Input!B117&gt;=20,Input!B117&lt;=700),Input!B117,""),"")</f>
        <v/>
      </c>
      <c r="C117">
        <f>IF(B117="","",INT(A117))</f>
        <v/>
      </c>
      <c r="D117">
        <f>IF(B117="","",HOUR(A117))</f>
        <v/>
      </c>
    </row>
    <row r="118">
      <c r="A118">
        <f>Input!A118</f>
        <v/>
      </c>
      <c r="B118">
        <f>IF(ISNUMBER(Input!B118),IF(AND(Input!B118&gt;=20,Input!B118&lt;=700),Input!B118,""),"")</f>
        <v/>
      </c>
      <c r="C118">
        <f>IF(B118="","",INT(A118))</f>
        <v/>
      </c>
      <c r="D118">
        <f>IF(B118="","",HOUR(A118))</f>
        <v/>
      </c>
    </row>
    <row r="119">
      <c r="A119">
        <f>Input!A119</f>
        <v/>
      </c>
      <c r="B119">
        <f>IF(ISNUMBER(Input!B119),IF(AND(Input!B119&gt;=20,Input!B119&lt;=700),Input!B119,""),"")</f>
        <v/>
      </c>
      <c r="C119">
        <f>IF(B119="","",INT(A119))</f>
        <v/>
      </c>
      <c r="D119">
        <f>IF(B119="","",HOUR(A119))</f>
        <v/>
      </c>
    </row>
    <row r="120">
      <c r="A120">
        <f>Input!A120</f>
        <v/>
      </c>
      <c r="B120">
        <f>IF(ISNUMBER(Input!B120),IF(AND(Input!B120&gt;=20,Input!B120&lt;=700),Input!B120,""),"")</f>
        <v/>
      </c>
      <c r="C120">
        <f>IF(B120="","",INT(A120))</f>
        <v/>
      </c>
      <c r="D120">
        <f>IF(B120="","",HOUR(A120))</f>
        <v/>
      </c>
    </row>
    <row r="121">
      <c r="A121">
        <f>Input!A121</f>
        <v/>
      </c>
      <c r="B121">
        <f>IF(ISNUMBER(Input!B121),IF(AND(Input!B121&gt;=20,Input!B121&lt;=700),Input!B121,""),"")</f>
        <v/>
      </c>
      <c r="C121">
        <f>IF(B121="","",INT(A121))</f>
        <v/>
      </c>
      <c r="D121">
        <f>IF(B121="","",HOUR(A121))</f>
        <v/>
      </c>
    </row>
    <row r="122">
      <c r="A122">
        <f>Input!A122</f>
        <v/>
      </c>
      <c r="B122">
        <f>IF(ISNUMBER(Input!B122),IF(AND(Input!B122&gt;=20,Input!B122&lt;=700),Input!B122,""),"")</f>
        <v/>
      </c>
      <c r="C122">
        <f>IF(B122="","",INT(A122))</f>
        <v/>
      </c>
      <c r="D122">
        <f>IF(B122="","",HOUR(A122))</f>
        <v/>
      </c>
    </row>
    <row r="123">
      <c r="A123">
        <f>Input!A123</f>
        <v/>
      </c>
      <c r="B123">
        <f>IF(ISNUMBER(Input!B123),IF(AND(Input!B123&gt;=20,Input!B123&lt;=700),Input!B123,""),"")</f>
        <v/>
      </c>
      <c r="C123">
        <f>IF(B123="","",INT(A123))</f>
        <v/>
      </c>
      <c r="D123">
        <f>IF(B123="","",HOUR(A123))</f>
        <v/>
      </c>
    </row>
    <row r="124">
      <c r="A124">
        <f>Input!A124</f>
        <v/>
      </c>
      <c r="B124">
        <f>IF(ISNUMBER(Input!B124),IF(AND(Input!B124&gt;=20,Input!B124&lt;=700),Input!B124,""),"")</f>
        <v/>
      </c>
      <c r="C124">
        <f>IF(B124="","",INT(A124))</f>
        <v/>
      </c>
      <c r="D124">
        <f>IF(B124="","",HOUR(A124))</f>
        <v/>
      </c>
    </row>
    <row r="125">
      <c r="A125">
        <f>Input!A125</f>
        <v/>
      </c>
      <c r="B125">
        <f>IF(ISNUMBER(Input!B125),IF(AND(Input!B125&gt;=20,Input!B125&lt;=700),Input!B125,""),"")</f>
        <v/>
      </c>
      <c r="C125">
        <f>IF(B125="","",INT(A125))</f>
        <v/>
      </c>
      <c r="D125">
        <f>IF(B125="","",HOUR(A125))</f>
        <v/>
      </c>
    </row>
    <row r="126">
      <c r="A126">
        <f>Input!A126</f>
        <v/>
      </c>
      <c r="B126">
        <f>IF(ISNUMBER(Input!B126),IF(AND(Input!B126&gt;=20,Input!B126&lt;=700),Input!B126,""),"")</f>
        <v/>
      </c>
      <c r="C126">
        <f>IF(B126="","",INT(A126))</f>
        <v/>
      </c>
      <c r="D126">
        <f>IF(B126="","",HOUR(A126))</f>
        <v/>
      </c>
    </row>
    <row r="127">
      <c r="A127">
        <f>Input!A127</f>
        <v/>
      </c>
      <c r="B127">
        <f>IF(ISNUMBER(Input!B127),IF(AND(Input!B127&gt;=20,Input!B127&lt;=700),Input!B127,""),"")</f>
        <v/>
      </c>
      <c r="C127">
        <f>IF(B127="","",INT(A127))</f>
        <v/>
      </c>
      <c r="D127">
        <f>IF(B127="","",HOUR(A127))</f>
        <v/>
      </c>
    </row>
    <row r="128">
      <c r="A128">
        <f>Input!A128</f>
        <v/>
      </c>
      <c r="B128">
        <f>IF(ISNUMBER(Input!B128),IF(AND(Input!B128&gt;=20,Input!B128&lt;=700),Input!B128,""),"")</f>
        <v/>
      </c>
      <c r="C128">
        <f>IF(B128="","",INT(A128))</f>
        <v/>
      </c>
      <c r="D128">
        <f>IF(B128="","",HOUR(A128))</f>
        <v/>
      </c>
    </row>
    <row r="129">
      <c r="A129">
        <f>Input!A129</f>
        <v/>
      </c>
      <c r="B129">
        <f>IF(ISNUMBER(Input!B129),IF(AND(Input!B129&gt;=20,Input!B129&lt;=700),Input!B129,""),"")</f>
        <v/>
      </c>
      <c r="C129">
        <f>IF(B129="","",INT(A129))</f>
        <v/>
      </c>
      <c r="D129">
        <f>IF(B129="","",HOUR(A129))</f>
        <v/>
      </c>
    </row>
    <row r="130">
      <c r="A130">
        <f>Input!A130</f>
        <v/>
      </c>
      <c r="B130">
        <f>IF(ISNUMBER(Input!B130),IF(AND(Input!B130&gt;=20,Input!B130&lt;=700),Input!B130,""),"")</f>
        <v/>
      </c>
      <c r="C130">
        <f>IF(B130="","",INT(A130))</f>
        <v/>
      </c>
      <c r="D130">
        <f>IF(B130="","",HOUR(A130))</f>
        <v/>
      </c>
    </row>
    <row r="131">
      <c r="A131">
        <f>Input!A131</f>
        <v/>
      </c>
      <c r="B131">
        <f>IF(ISNUMBER(Input!B131),IF(AND(Input!B131&gt;=20,Input!B131&lt;=700),Input!B131,""),"")</f>
        <v/>
      </c>
      <c r="C131">
        <f>IF(B131="","",INT(A131))</f>
        <v/>
      </c>
      <c r="D131">
        <f>IF(B131="","",HOUR(A131))</f>
        <v/>
      </c>
    </row>
    <row r="132">
      <c r="A132">
        <f>Input!A132</f>
        <v/>
      </c>
      <c r="B132">
        <f>IF(ISNUMBER(Input!B132),IF(AND(Input!B132&gt;=20,Input!B132&lt;=700),Input!B132,""),"")</f>
        <v/>
      </c>
      <c r="C132">
        <f>IF(B132="","",INT(A132))</f>
        <v/>
      </c>
      <c r="D132">
        <f>IF(B132="","",HOUR(A132))</f>
        <v/>
      </c>
    </row>
    <row r="133">
      <c r="A133">
        <f>Input!A133</f>
        <v/>
      </c>
      <c r="B133">
        <f>IF(ISNUMBER(Input!B133),IF(AND(Input!B133&gt;=20,Input!B133&lt;=700),Input!B133,""),"")</f>
        <v/>
      </c>
      <c r="C133">
        <f>IF(B133="","",INT(A133))</f>
        <v/>
      </c>
      <c r="D133">
        <f>IF(B133="","",HOUR(A133))</f>
        <v/>
      </c>
    </row>
    <row r="134">
      <c r="A134">
        <f>Input!A134</f>
        <v/>
      </c>
      <c r="B134">
        <f>IF(ISNUMBER(Input!B134),IF(AND(Input!B134&gt;=20,Input!B134&lt;=700),Input!B134,""),"")</f>
        <v/>
      </c>
      <c r="C134">
        <f>IF(B134="","",INT(A134))</f>
        <v/>
      </c>
      <c r="D134">
        <f>IF(B134="","",HOUR(A134))</f>
        <v/>
      </c>
    </row>
    <row r="135">
      <c r="A135">
        <f>Input!A135</f>
        <v/>
      </c>
      <c r="B135">
        <f>IF(ISNUMBER(Input!B135),IF(AND(Input!B135&gt;=20,Input!B135&lt;=700),Input!B135,""),"")</f>
        <v/>
      </c>
      <c r="C135">
        <f>IF(B135="","",INT(A135))</f>
        <v/>
      </c>
      <c r="D135">
        <f>IF(B135="","",HOUR(A135))</f>
        <v/>
      </c>
    </row>
    <row r="136">
      <c r="A136">
        <f>Input!A136</f>
        <v/>
      </c>
      <c r="B136">
        <f>IF(ISNUMBER(Input!B136),IF(AND(Input!B136&gt;=20,Input!B136&lt;=700),Input!B136,""),"")</f>
        <v/>
      </c>
      <c r="C136">
        <f>IF(B136="","",INT(A136))</f>
        <v/>
      </c>
      <c r="D136">
        <f>IF(B136="","",HOUR(A136))</f>
        <v/>
      </c>
    </row>
    <row r="137">
      <c r="A137">
        <f>Input!A137</f>
        <v/>
      </c>
      <c r="B137">
        <f>IF(ISNUMBER(Input!B137),IF(AND(Input!B137&gt;=20,Input!B137&lt;=700),Input!B137,""),"")</f>
        <v/>
      </c>
      <c r="C137">
        <f>IF(B137="","",INT(A137))</f>
        <v/>
      </c>
      <c r="D137">
        <f>IF(B137="","",HOUR(A137))</f>
        <v/>
      </c>
    </row>
    <row r="138">
      <c r="A138">
        <f>Input!A138</f>
        <v/>
      </c>
      <c r="B138">
        <f>IF(ISNUMBER(Input!B138),IF(AND(Input!B138&gt;=20,Input!B138&lt;=700),Input!B138,""),"")</f>
        <v/>
      </c>
      <c r="C138">
        <f>IF(B138="","",INT(A138))</f>
        <v/>
      </c>
      <c r="D138">
        <f>IF(B138="","",HOUR(A138))</f>
        <v/>
      </c>
    </row>
    <row r="139">
      <c r="A139">
        <f>Input!A139</f>
        <v/>
      </c>
      <c r="B139">
        <f>IF(ISNUMBER(Input!B139),IF(AND(Input!B139&gt;=20,Input!B139&lt;=700),Input!B139,""),"")</f>
        <v/>
      </c>
      <c r="C139">
        <f>IF(B139="","",INT(A139))</f>
        <v/>
      </c>
      <c r="D139">
        <f>IF(B139="","",HOUR(A139))</f>
        <v/>
      </c>
    </row>
    <row r="140">
      <c r="A140">
        <f>Input!A140</f>
        <v/>
      </c>
      <c r="B140">
        <f>IF(ISNUMBER(Input!B140),IF(AND(Input!B140&gt;=20,Input!B140&lt;=700),Input!B140,""),"")</f>
        <v/>
      </c>
      <c r="C140">
        <f>IF(B140="","",INT(A140))</f>
        <v/>
      </c>
      <c r="D140">
        <f>IF(B140="","",HOUR(A140))</f>
        <v/>
      </c>
    </row>
    <row r="141">
      <c r="A141">
        <f>Input!A141</f>
        <v/>
      </c>
      <c r="B141">
        <f>IF(ISNUMBER(Input!B141),IF(AND(Input!B141&gt;=20,Input!B141&lt;=700),Input!B141,""),"")</f>
        <v/>
      </c>
      <c r="C141">
        <f>IF(B141="","",INT(A141))</f>
        <v/>
      </c>
      <c r="D141">
        <f>IF(B141="","",HOUR(A141))</f>
        <v/>
      </c>
    </row>
    <row r="142">
      <c r="A142">
        <f>Input!A142</f>
        <v/>
      </c>
      <c r="B142">
        <f>IF(ISNUMBER(Input!B142),IF(AND(Input!B142&gt;=20,Input!B142&lt;=700),Input!B142,""),"")</f>
        <v/>
      </c>
      <c r="C142">
        <f>IF(B142="","",INT(A142))</f>
        <v/>
      </c>
      <c r="D142">
        <f>IF(B142="","",HOUR(A142))</f>
        <v/>
      </c>
    </row>
    <row r="143">
      <c r="A143">
        <f>Input!A143</f>
        <v/>
      </c>
      <c r="B143">
        <f>IF(ISNUMBER(Input!B143),IF(AND(Input!B143&gt;=20,Input!B143&lt;=700),Input!B143,""),"")</f>
        <v/>
      </c>
      <c r="C143">
        <f>IF(B143="","",INT(A143))</f>
        <v/>
      </c>
      <c r="D143">
        <f>IF(B143="","",HOUR(A143))</f>
        <v/>
      </c>
    </row>
    <row r="144">
      <c r="A144">
        <f>Input!A144</f>
        <v/>
      </c>
      <c r="B144">
        <f>IF(ISNUMBER(Input!B144),IF(AND(Input!B144&gt;=20,Input!B144&lt;=700),Input!B144,""),"")</f>
        <v/>
      </c>
      <c r="C144">
        <f>IF(B144="","",INT(A144))</f>
        <v/>
      </c>
      <c r="D144">
        <f>IF(B144="","",HOUR(A144))</f>
        <v/>
      </c>
    </row>
    <row r="145">
      <c r="A145">
        <f>Input!A145</f>
        <v/>
      </c>
      <c r="B145">
        <f>IF(ISNUMBER(Input!B145),IF(AND(Input!B145&gt;=20,Input!B145&lt;=700),Input!B145,""),"")</f>
        <v/>
      </c>
      <c r="C145">
        <f>IF(B145="","",INT(A145))</f>
        <v/>
      </c>
      <c r="D145">
        <f>IF(B145="","",HOUR(A145))</f>
        <v/>
      </c>
    </row>
    <row r="146">
      <c r="A146">
        <f>Input!A146</f>
        <v/>
      </c>
      <c r="B146">
        <f>IF(ISNUMBER(Input!B146),IF(AND(Input!B146&gt;=20,Input!B146&lt;=700),Input!B146,""),"")</f>
        <v/>
      </c>
      <c r="C146">
        <f>IF(B146="","",INT(A146))</f>
        <v/>
      </c>
      <c r="D146">
        <f>IF(B146="","",HOUR(A146))</f>
        <v/>
      </c>
    </row>
    <row r="147">
      <c r="A147">
        <f>Input!A147</f>
        <v/>
      </c>
      <c r="B147">
        <f>IF(ISNUMBER(Input!B147),IF(AND(Input!B147&gt;=20,Input!B147&lt;=700),Input!B147,""),"")</f>
        <v/>
      </c>
      <c r="C147">
        <f>IF(B147="","",INT(A147))</f>
        <v/>
      </c>
      <c r="D147">
        <f>IF(B147="","",HOUR(A147))</f>
        <v/>
      </c>
    </row>
    <row r="148">
      <c r="A148">
        <f>Input!A148</f>
        <v/>
      </c>
      <c r="B148">
        <f>IF(ISNUMBER(Input!B148),IF(AND(Input!B148&gt;=20,Input!B148&lt;=700),Input!B148,""),"")</f>
        <v/>
      </c>
      <c r="C148">
        <f>IF(B148="","",INT(A148))</f>
        <v/>
      </c>
      <c r="D148">
        <f>IF(B148="","",HOUR(A148))</f>
        <v/>
      </c>
    </row>
    <row r="149">
      <c r="A149">
        <f>Input!A149</f>
        <v/>
      </c>
      <c r="B149">
        <f>IF(ISNUMBER(Input!B149),IF(AND(Input!B149&gt;=20,Input!B149&lt;=700),Input!B149,""),"")</f>
        <v/>
      </c>
      <c r="C149">
        <f>IF(B149="","",INT(A149))</f>
        <v/>
      </c>
      <c r="D149">
        <f>IF(B149="","",HOUR(A149))</f>
        <v/>
      </c>
    </row>
    <row r="150">
      <c r="A150">
        <f>Input!A150</f>
        <v/>
      </c>
      <c r="B150">
        <f>IF(ISNUMBER(Input!B150),IF(AND(Input!B150&gt;=20,Input!B150&lt;=700),Input!B150,""),"")</f>
        <v/>
      </c>
      <c r="C150">
        <f>IF(B150="","",INT(A150))</f>
        <v/>
      </c>
      <c r="D150">
        <f>IF(B150="","",HOUR(A150))</f>
        <v/>
      </c>
    </row>
    <row r="151">
      <c r="A151">
        <f>Input!A151</f>
        <v/>
      </c>
      <c r="B151">
        <f>IF(ISNUMBER(Input!B151),IF(AND(Input!B151&gt;=20,Input!B151&lt;=700),Input!B151,""),"")</f>
        <v/>
      </c>
      <c r="C151">
        <f>IF(B151="","",INT(A151))</f>
        <v/>
      </c>
      <c r="D151">
        <f>IF(B151="","",HOUR(A151))</f>
        <v/>
      </c>
    </row>
    <row r="152">
      <c r="A152">
        <f>Input!A152</f>
        <v/>
      </c>
      <c r="B152">
        <f>IF(ISNUMBER(Input!B152),IF(AND(Input!B152&gt;=20,Input!B152&lt;=700),Input!B152,""),"")</f>
        <v/>
      </c>
      <c r="C152">
        <f>IF(B152="","",INT(A152))</f>
        <v/>
      </c>
      <c r="D152">
        <f>IF(B152="","",HOUR(A152))</f>
        <v/>
      </c>
    </row>
    <row r="153">
      <c r="A153">
        <f>Input!A153</f>
        <v/>
      </c>
      <c r="B153">
        <f>IF(ISNUMBER(Input!B153),IF(AND(Input!B153&gt;=20,Input!B153&lt;=700),Input!B153,""),"")</f>
        <v/>
      </c>
      <c r="C153">
        <f>IF(B153="","",INT(A153))</f>
        <v/>
      </c>
      <c r="D153">
        <f>IF(B153="","",HOUR(A153))</f>
        <v/>
      </c>
    </row>
    <row r="154">
      <c r="A154">
        <f>Input!A154</f>
        <v/>
      </c>
      <c r="B154">
        <f>IF(ISNUMBER(Input!B154),IF(AND(Input!B154&gt;=20,Input!B154&lt;=700),Input!B154,""),"")</f>
        <v/>
      </c>
      <c r="C154">
        <f>IF(B154="","",INT(A154))</f>
        <v/>
      </c>
      <c r="D154">
        <f>IF(B154="","",HOUR(A154))</f>
        <v/>
      </c>
    </row>
    <row r="155">
      <c r="A155">
        <f>Input!A155</f>
        <v/>
      </c>
      <c r="B155">
        <f>IF(ISNUMBER(Input!B155),IF(AND(Input!B155&gt;=20,Input!B155&lt;=700),Input!B155,""),"")</f>
        <v/>
      </c>
      <c r="C155">
        <f>IF(B155="","",INT(A155))</f>
        <v/>
      </c>
      <c r="D155">
        <f>IF(B155="","",HOUR(A155))</f>
        <v/>
      </c>
    </row>
    <row r="156">
      <c r="A156">
        <f>Input!A156</f>
        <v/>
      </c>
      <c r="B156">
        <f>IF(ISNUMBER(Input!B156),IF(AND(Input!B156&gt;=20,Input!B156&lt;=700),Input!B156,""),"")</f>
        <v/>
      </c>
      <c r="C156">
        <f>IF(B156="","",INT(A156))</f>
        <v/>
      </c>
      <c r="D156">
        <f>IF(B156="","",HOUR(A156))</f>
        <v/>
      </c>
    </row>
    <row r="157">
      <c r="A157">
        <f>Input!A157</f>
        <v/>
      </c>
      <c r="B157">
        <f>IF(ISNUMBER(Input!B157),IF(AND(Input!B157&gt;=20,Input!B157&lt;=700),Input!B157,""),"")</f>
        <v/>
      </c>
      <c r="C157">
        <f>IF(B157="","",INT(A157))</f>
        <v/>
      </c>
      <c r="D157">
        <f>IF(B157="","",HOUR(A157))</f>
        <v/>
      </c>
    </row>
    <row r="158">
      <c r="A158">
        <f>Input!A158</f>
        <v/>
      </c>
      <c r="B158">
        <f>IF(ISNUMBER(Input!B158),IF(AND(Input!B158&gt;=20,Input!B158&lt;=700),Input!B158,""),"")</f>
        <v/>
      </c>
      <c r="C158">
        <f>IF(B158="","",INT(A158))</f>
        <v/>
      </c>
      <c r="D158">
        <f>IF(B158="","",HOUR(A158))</f>
        <v/>
      </c>
    </row>
    <row r="159">
      <c r="A159">
        <f>Input!A159</f>
        <v/>
      </c>
      <c r="B159">
        <f>IF(ISNUMBER(Input!B159),IF(AND(Input!B159&gt;=20,Input!B159&lt;=700),Input!B159,""),"")</f>
        <v/>
      </c>
      <c r="C159">
        <f>IF(B159="","",INT(A159))</f>
        <v/>
      </c>
      <c r="D159">
        <f>IF(B159="","",HOUR(A159))</f>
        <v/>
      </c>
    </row>
    <row r="160">
      <c r="A160">
        <f>Input!A160</f>
        <v/>
      </c>
      <c r="B160">
        <f>IF(ISNUMBER(Input!B160),IF(AND(Input!B160&gt;=20,Input!B160&lt;=700),Input!B160,""),"")</f>
        <v/>
      </c>
      <c r="C160">
        <f>IF(B160="","",INT(A160))</f>
        <v/>
      </c>
      <c r="D160">
        <f>IF(B160="","",HOUR(A160))</f>
        <v/>
      </c>
    </row>
    <row r="161">
      <c r="A161">
        <f>Input!A161</f>
        <v/>
      </c>
      <c r="B161">
        <f>IF(ISNUMBER(Input!B161),IF(AND(Input!B161&gt;=20,Input!B161&lt;=700),Input!B161,""),"")</f>
        <v/>
      </c>
      <c r="C161">
        <f>IF(B161="","",INT(A161))</f>
        <v/>
      </c>
      <c r="D161">
        <f>IF(B161="","",HOUR(A161))</f>
        <v/>
      </c>
    </row>
    <row r="162">
      <c r="A162">
        <f>Input!A162</f>
        <v/>
      </c>
      <c r="B162">
        <f>IF(ISNUMBER(Input!B162),IF(AND(Input!B162&gt;=20,Input!B162&lt;=700),Input!B162,""),"")</f>
        <v/>
      </c>
      <c r="C162">
        <f>IF(B162="","",INT(A162))</f>
        <v/>
      </c>
      <c r="D162">
        <f>IF(B162="","",HOUR(A162))</f>
        <v/>
      </c>
    </row>
    <row r="163">
      <c r="A163">
        <f>Input!A163</f>
        <v/>
      </c>
      <c r="B163">
        <f>IF(ISNUMBER(Input!B163),IF(AND(Input!B163&gt;=20,Input!B163&lt;=700),Input!B163,""),"")</f>
        <v/>
      </c>
      <c r="C163">
        <f>IF(B163="","",INT(A163))</f>
        <v/>
      </c>
      <c r="D163">
        <f>IF(B163="","",HOUR(A163))</f>
        <v/>
      </c>
    </row>
    <row r="164">
      <c r="A164">
        <f>Input!A164</f>
        <v/>
      </c>
      <c r="B164">
        <f>IF(ISNUMBER(Input!B164),IF(AND(Input!B164&gt;=20,Input!B164&lt;=700),Input!B164,""),"")</f>
        <v/>
      </c>
      <c r="C164">
        <f>IF(B164="","",INT(A164))</f>
        <v/>
      </c>
      <c r="D164">
        <f>IF(B164="","",HOUR(A164))</f>
        <v/>
      </c>
    </row>
    <row r="165">
      <c r="A165">
        <f>Input!A165</f>
        <v/>
      </c>
      <c r="B165">
        <f>IF(ISNUMBER(Input!B165),IF(AND(Input!B165&gt;=20,Input!B165&lt;=700),Input!B165,""),"")</f>
        <v/>
      </c>
      <c r="C165">
        <f>IF(B165="","",INT(A165))</f>
        <v/>
      </c>
      <c r="D165">
        <f>IF(B165="","",HOUR(A165))</f>
        <v/>
      </c>
    </row>
    <row r="166">
      <c r="A166">
        <f>Input!A166</f>
        <v/>
      </c>
      <c r="B166">
        <f>IF(ISNUMBER(Input!B166),IF(AND(Input!B166&gt;=20,Input!B166&lt;=700),Input!B166,""),"")</f>
        <v/>
      </c>
      <c r="C166">
        <f>IF(B166="","",INT(A166))</f>
        <v/>
      </c>
      <c r="D166">
        <f>IF(B166="","",HOUR(A166))</f>
        <v/>
      </c>
    </row>
    <row r="167">
      <c r="A167">
        <f>Input!A167</f>
        <v/>
      </c>
      <c r="B167">
        <f>IF(ISNUMBER(Input!B167),IF(AND(Input!B167&gt;=20,Input!B167&lt;=700),Input!B167,""),"")</f>
        <v/>
      </c>
      <c r="C167">
        <f>IF(B167="","",INT(A167))</f>
        <v/>
      </c>
      <c r="D167">
        <f>IF(B167="","",HOUR(A167))</f>
        <v/>
      </c>
    </row>
    <row r="168">
      <c r="A168">
        <f>Input!A168</f>
        <v/>
      </c>
      <c r="B168">
        <f>IF(ISNUMBER(Input!B168),IF(AND(Input!B168&gt;=20,Input!B168&lt;=700),Input!B168,""),"")</f>
        <v/>
      </c>
      <c r="C168">
        <f>IF(B168="","",INT(A168))</f>
        <v/>
      </c>
      <c r="D168">
        <f>IF(B168="","",HOUR(A168))</f>
        <v/>
      </c>
    </row>
    <row r="169">
      <c r="A169">
        <f>Input!A169</f>
        <v/>
      </c>
      <c r="B169">
        <f>IF(ISNUMBER(Input!B169),IF(AND(Input!B169&gt;=20,Input!B169&lt;=700),Input!B169,""),"")</f>
        <v/>
      </c>
      <c r="C169">
        <f>IF(B169="","",INT(A169))</f>
        <v/>
      </c>
      <c r="D169">
        <f>IF(B169="","",HOUR(A169))</f>
        <v/>
      </c>
    </row>
    <row r="170">
      <c r="A170">
        <f>Input!A170</f>
        <v/>
      </c>
      <c r="B170">
        <f>IF(ISNUMBER(Input!B170),IF(AND(Input!B170&gt;=20,Input!B170&lt;=700),Input!B170,""),"")</f>
        <v/>
      </c>
      <c r="C170">
        <f>IF(B170="","",INT(A170))</f>
        <v/>
      </c>
      <c r="D170">
        <f>IF(B170="","",HOUR(A170))</f>
        <v/>
      </c>
    </row>
    <row r="171">
      <c r="A171">
        <f>Input!A171</f>
        <v/>
      </c>
      <c r="B171">
        <f>IF(ISNUMBER(Input!B171),IF(AND(Input!B171&gt;=20,Input!B171&lt;=700),Input!B171,""),"")</f>
        <v/>
      </c>
      <c r="C171">
        <f>IF(B171="","",INT(A171))</f>
        <v/>
      </c>
      <c r="D171">
        <f>IF(B171="","",HOUR(A171))</f>
        <v/>
      </c>
    </row>
    <row r="172">
      <c r="A172">
        <f>Input!A172</f>
        <v/>
      </c>
      <c r="B172">
        <f>IF(ISNUMBER(Input!B172),IF(AND(Input!B172&gt;=20,Input!B172&lt;=700),Input!B172,""),"")</f>
        <v/>
      </c>
      <c r="C172">
        <f>IF(B172="","",INT(A172))</f>
        <v/>
      </c>
      <c r="D172">
        <f>IF(B172="","",HOUR(A172))</f>
        <v/>
      </c>
    </row>
    <row r="173">
      <c r="A173">
        <f>Input!A173</f>
        <v/>
      </c>
      <c r="B173">
        <f>IF(ISNUMBER(Input!B173),IF(AND(Input!B173&gt;=20,Input!B173&lt;=700),Input!B173,""),"")</f>
        <v/>
      </c>
      <c r="C173">
        <f>IF(B173="","",INT(A173))</f>
        <v/>
      </c>
      <c r="D173">
        <f>IF(B173="","",HOUR(A173))</f>
        <v/>
      </c>
    </row>
    <row r="174">
      <c r="A174">
        <f>Input!A174</f>
        <v/>
      </c>
      <c r="B174">
        <f>IF(ISNUMBER(Input!B174),IF(AND(Input!B174&gt;=20,Input!B174&lt;=700),Input!B174,""),"")</f>
        <v/>
      </c>
      <c r="C174">
        <f>IF(B174="","",INT(A174))</f>
        <v/>
      </c>
      <c r="D174">
        <f>IF(B174="","",HOUR(A174))</f>
        <v/>
      </c>
    </row>
    <row r="175">
      <c r="A175">
        <f>Input!A175</f>
        <v/>
      </c>
      <c r="B175">
        <f>IF(ISNUMBER(Input!B175),IF(AND(Input!B175&gt;=20,Input!B175&lt;=700),Input!B175,""),"")</f>
        <v/>
      </c>
      <c r="C175">
        <f>IF(B175="","",INT(A175))</f>
        <v/>
      </c>
      <c r="D175">
        <f>IF(B175="","",HOUR(A175))</f>
        <v/>
      </c>
    </row>
    <row r="176">
      <c r="A176">
        <f>Input!A176</f>
        <v/>
      </c>
      <c r="B176">
        <f>IF(ISNUMBER(Input!B176),IF(AND(Input!B176&gt;=20,Input!B176&lt;=700),Input!B176,""),"")</f>
        <v/>
      </c>
      <c r="C176">
        <f>IF(B176="","",INT(A176))</f>
        <v/>
      </c>
      <c r="D176">
        <f>IF(B176="","",HOUR(A176))</f>
        <v/>
      </c>
    </row>
    <row r="177">
      <c r="A177">
        <f>Input!A177</f>
        <v/>
      </c>
      <c r="B177">
        <f>IF(ISNUMBER(Input!B177),IF(AND(Input!B177&gt;=20,Input!B177&lt;=700),Input!B177,""),"")</f>
        <v/>
      </c>
      <c r="C177">
        <f>IF(B177="","",INT(A177))</f>
        <v/>
      </c>
      <c r="D177">
        <f>IF(B177="","",HOUR(A177))</f>
        <v/>
      </c>
    </row>
    <row r="178">
      <c r="A178">
        <f>Input!A178</f>
        <v/>
      </c>
      <c r="B178">
        <f>IF(ISNUMBER(Input!B178),IF(AND(Input!B178&gt;=20,Input!B178&lt;=700),Input!B178,""),"")</f>
        <v/>
      </c>
      <c r="C178">
        <f>IF(B178="","",INT(A178))</f>
        <v/>
      </c>
      <c r="D178">
        <f>IF(B178="","",HOUR(A178))</f>
        <v/>
      </c>
    </row>
    <row r="179">
      <c r="A179">
        <f>Input!A179</f>
        <v/>
      </c>
      <c r="B179">
        <f>IF(ISNUMBER(Input!B179),IF(AND(Input!B179&gt;=20,Input!B179&lt;=700),Input!B179,""),"")</f>
        <v/>
      </c>
      <c r="C179">
        <f>IF(B179="","",INT(A179))</f>
        <v/>
      </c>
      <c r="D179">
        <f>IF(B179="","",HOUR(A179))</f>
        <v/>
      </c>
    </row>
    <row r="180">
      <c r="A180">
        <f>Input!A180</f>
        <v/>
      </c>
      <c r="B180">
        <f>IF(ISNUMBER(Input!B180),IF(AND(Input!B180&gt;=20,Input!B180&lt;=700),Input!B180,""),"")</f>
        <v/>
      </c>
      <c r="C180">
        <f>IF(B180="","",INT(A180))</f>
        <v/>
      </c>
      <c r="D180">
        <f>IF(B180="","",HOUR(A180))</f>
        <v/>
      </c>
    </row>
    <row r="181">
      <c r="A181">
        <f>Input!A181</f>
        <v/>
      </c>
      <c r="B181">
        <f>IF(ISNUMBER(Input!B181),IF(AND(Input!B181&gt;=20,Input!B181&lt;=700),Input!B181,""),"")</f>
        <v/>
      </c>
      <c r="C181">
        <f>IF(B181="","",INT(A181))</f>
        <v/>
      </c>
      <c r="D181">
        <f>IF(B181="","",HOUR(A181))</f>
        <v/>
      </c>
    </row>
    <row r="182">
      <c r="A182">
        <f>Input!A182</f>
        <v/>
      </c>
      <c r="B182">
        <f>IF(ISNUMBER(Input!B182),IF(AND(Input!B182&gt;=20,Input!B182&lt;=700),Input!B182,""),"")</f>
        <v/>
      </c>
      <c r="C182">
        <f>IF(B182="","",INT(A182))</f>
        <v/>
      </c>
      <c r="D182">
        <f>IF(B182="","",HOUR(A182))</f>
        <v/>
      </c>
    </row>
    <row r="183">
      <c r="A183">
        <f>Input!A183</f>
        <v/>
      </c>
      <c r="B183">
        <f>IF(ISNUMBER(Input!B183),IF(AND(Input!B183&gt;=20,Input!B183&lt;=700),Input!B183,""),"")</f>
        <v/>
      </c>
      <c r="C183">
        <f>IF(B183="","",INT(A183))</f>
        <v/>
      </c>
      <c r="D183">
        <f>IF(B183="","",HOUR(A183))</f>
        <v/>
      </c>
    </row>
    <row r="184">
      <c r="A184">
        <f>Input!A184</f>
        <v/>
      </c>
      <c r="B184">
        <f>IF(ISNUMBER(Input!B184),IF(AND(Input!B184&gt;=20,Input!B184&lt;=700),Input!B184,""),"")</f>
        <v/>
      </c>
      <c r="C184">
        <f>IF(B184="","",INT(A184))</f>
        <v/>
      </c>
      <c r="D184">
        <f>IF(B184="","",HOUR(A184))</f>
        <v/>
      </c>
    </row>
    <row r="185">
      <c r="A185">
        <f>Input!A185</f>
        <v/>
      </c>
      <c r="B185">
        <f>IF(ISNUMBER(Input!B185),IF(AND(Input!B185&gt;=20,Input!B185&lt;=700),Input!B185,""),"")</f>
        <v/>
      </c>
      <c r="C185">
        <f>IF(B185="","",INT(A185))</f>
        <v/>
      </c>
      <c r="D185">
        <f>IF(B185="","",HOUR(A185))</f>
        <v/>
      </c>
    </row>
    <row r="186">
      <c r="A186">
        <f>Input!A186</f>
        <v/>
      </c>
      <c r="B186">
        <f>IF(ISNUMBER(Input!B186),IF(AND(Input!B186&gt;=20,Input!B186&lt;=700),Input!B186,""),"")</f>
        <v/>
      </c>
      <c r="C186">
        <f>IF(B186="","",INT(A186))</f>
        <v/>
      </c>
      <c r="D186">
        <f>IF(B186="","",HOUR(A186))</f>
        <v/>
      </c>
    </row>
    <row r="187">
      <c r="A187">
        <f>Input!A187</f>
        <v/>
      </c>
      <c r="B187">
        <f>IF(ISNUMBER(Input!B187),IF(AND(Input!B187&gt;=20,Input!B187&lt;=700),Input!B187,""),"")</f>
        <v/>
      </c>
      <c r="C187">
        <f>IF(B187="","",INT(A187))</f>
        <v/>
      </c>
      <c r="D187">
        <f>IF(B187="","",HOUR(A187))</f>
        <v/>
      </c>
    </row>
    <row r="188">
      <c r="A188">
        <f>Input!A188</f>
        <v/>
      </c>
      <c r="B188">
        <f>IF(ISNUMBER(Input!B188),IF(AND(Input!B188&gt;=20,Input!B188&lt;=700),Input!B188,""),"")</f>
        <v/>
      </c>
      <c r="C188">
        <f>IF(B188="","",INT(A188))</f>
        <v/>
      </c>
      <c r="D188">
        <f>IF(B188="","",HOUR(A188))</f>
        <v/>
      </c>
    </row>
    <row r="189">
      <c r="A189">
        <f>Input!A189</f>
        <v/>
      </c>
      <c r="B189">
        <f>IF(ISNUMBER(Input!B189),IF(AND(Input!B189&gt;=20,Input!B189&lt;=700),Input!B189,""),"")</f>
        <v/>
      </c>
      <c r="C189">
        <f>IF(B189="","",INT(A189))</f>
        <v/>
      </c>
      <c r="D189">
        <f>IF(B189="","",HOUR(A189))</f>
        <v/>
      </c>
    </row>
    <row r="190">
      <c r="A190">
        <f>Input!A190</f>
        <v/>
      </c>
      <c r="B190">
        <f>IF(ISNUMBER(Input!B190),IF(AND(Input!B190&gt;=20,Input!B190&lt;=700),Input!B190,""),"")</f>
        <v/>
      </c>
      <c r="C190">
        <f>IF(B190="","",INT(A190))</f>
        <v/>
      </c>
      <c r="D190">
        <f>IF(B190="","",HOUR(A190))</f>
        <v/>
      </c>
    </row>
    <row r="191">
      <c r="A191">
        <f>Input!A191</f>
        <v/>
      </c>
      <c r="B191">
        <f>IF(ISNUMBER(Input!B191),IF(AND(Input!B191&gt;=20,Input!B191&lt;=700),Input!B191,""),"")</f>
        <v/>
      </c>
      <c r="C191">
        <f>IF(B191="","",INT(A191))</f>
        <v/>
      </c>
      <c r="D191">
        <f>IF(B191="","",HOUR(A191))</f>
        <v/>
      </c>
    </row>
    <row r="192">
      <c r="A192">
        <f>Input!A192</f>
        <v/>
      </c>
      <c r="B192">
        <f>IF(ISNUMBER(Input!B192),IF(AND(Input!B192&gt;=20,Input!B192&lt;=700),Input!B192,""),"")</f>
        <v/>
      </c>
      <c r="C192">
        <f>IF(B192="","",INT(A192))</f>
        <v/>
      </c>
      <c r="D192">
        <f>IF(B192="","",HOUR(A192))</f>
        <v/>
      </c>
    </row>
    <row r="193">
      <c r="A193">
        <f>Input!A193</f>
        <v/>
      </c>
      <c r="B193">
        <f>IF(ISNUMBER(Input!B193),IF(AND(Input!B193&gt;=20,Input!B193&lt;=700),Input!B193,""),"")</f>
        <v/>
      </c>
      <c r="C193">
        <f>IF(B193="","",INT(A193))</f>
        <v/>
      </c>
      <c r="D193">
        <f>IF(B193="","",HOUR(A193))</f>
        <v/>
      </c>
    </row>
    <row r="194">
      <c r="A194">
        <f>Input!A194</f>
        <v/>
      </c>
      <c r="B194">
        <f>IF(ISNUMBER(Input!B194),IF(AND(Input!B194&gt;=20,Input!B194&lt;=700),Input!B194,""),"")</f>
        <v/>
      </c>
      <c r="C194">
        <f>IF(B194="","",INT(A194))</f>
        <v/>
      </c>
      <c r="D194">
        <f>IF(B194="","",HOUR(A194))</f>
        <v/>
      </c>
    </row>
    <row r="195">
      <c r="A195">
        <f>Input!A195</f>
        <v/>
      </c>
      <c r="B195">
        <f>IF(ISNUMBER(Input!B195),IF(AND(Input!B195&gt;=20,Input!B195&lt;=700),Input!B195,""),"")</f>
        <v/>
      </c>
      <c r="C195">
        <f>IF(B195="","",INT(A195))</f>
        <v/>
      </c>
      <c r="D195">
        <f>IF(B195="","",HOUR(A195))</f>
        <v/>
      </c>
    </row>
    <row r="196">
      <c r="A196">
        <f>Input!A196</f>
        <v/>
      </c>
      <c r="B196">
        <f>IF(ISNUMBER(Input!B196),IF(AND(Input!B196&gt;=20,Input!B196&lt;=700),Input!B196,""),"")</f>
        <v/>
      </c>
      <c r="C196">
        <f>IF(B196="","",INT(A196))</f>
        <v/>
      </c>
      <c r="D196">
        <f>IF(B196="","",HOUR(A196))</f>
        <v/>
      </c>
    </row>
    <row r="197">
      <c r="A197">
        <f>Input!A197</f>
        <v/>
      </c>
      <c r="B197">
        <f>IF(ISNUMBER(Input!B197),IF(AND(Input!B197&gt;=20,Input!B197&lt;=700),Input!B197,""),"")</f>
        <v/>
      </c>
      <c r="C197">
        <f>IF(B197="","",INT(A197))</f>
        <v/>
      </c>
      <c r="D197">
        <f>IF(B197="","",HOUR(A197))</f>
        <v/>
      </c>
    </row>
    <row r="198">
      <c r="A198">
        <f>Input!A198</f>
        <v/>
      </c>
      <c r="B198">
        <f>IF(ISNUMBER(Input!B198),IF(AND(Input!B198&gt;=20,Input!B198&lt;=700),Input!B198,""),"")</f>
        <v/>
      </c>
      <c r="C198">
        <f>IF(B198="","",INT(A198))</f>
        <v/>
      </c>
      <c r="D198">
        <f>IF(B198="","",HOUR(A198))</f>
        <v/>
      </c>
    </row>
    <row r="199">
      <c r="A199">
        <f>Input!A199</f>
        <v/>
      </c>
      <c r="B199">
        <f>IF(ISNUMBER(Input!B199),IF(AND(Input!B199&gt;=20,Input!B199&lt;=700),Input!B199,""),"")</f>
        <v/>
      </c>
      <c r="C199">
        <f>IF(B199="","",INT(A199))</f>
        <v/>
      </c>
      <c r="D199">
        <f>IF(B199="","",HOUR(A199))</f>
        <v/>
      </c>
    </row>
    <row r="200">
      <c r="A200">
        <f>Input!A200</f>
        <v/>
      </c>
      <c r="B200">
        <f>IF(ISNUMBER(Input!B200),IF(AND(Input!B200&gt;=20,Input!B200&lt;=700),Input!B200,""),"")</f>
        <v/>
      </c>
      <c r="C200">
        <f>IF(B200="","",INT(A200))</f>
        <v/>
      </c>
      <c r="D200">
        <f>IF(B200="","",HOUR(A200))</f>
        <v/>
      </c>
    </row>
    <row r="201">
      <c r="A201">
        <f>Input!A201</f>
        <v/>
      </c>
      <c r="B201">
        <f>IF(ISNUMBER(Input!B201),IF(AND(Input!B201&gt;=20,Input!B201&lt;=700),Input!B201,""),"")</f>
        <v/>
      </c>
      <c r="C201">
        <f>IF(B201="","",INT(A201))</f>
        <v/>
      </c>
      <c r="D201">
        <f>IF(B201="","",HOUR(A201))</f>
        <v/>
      </c>
    </row>
    <row r="202">
      <c r="A202">
        <f>Input!A202</f>
        <v/>
      </c>
      <c r="B202">
        <f>IF(ISNUMBER(Input!B202),IF(AND(Input!B202&gt;=20,Input!B202&lt;=700),Input!B202,""),"")</f>
        <v/>
      </c>
      <c r="C202">
        <f>IF(B202="","",INT(A202))</f>
        <v/>
      </c>
      <c r="D202">
        <f>IF(B202="","",HOUR(A202))</f>
        <v/>
      </c>
    </row>
    <row r="203">
      <c r="A203">
        <f>Input!A203</f>
        <v/>
      </c>
      <c r="B203">
        <f>IF(ISNUMBER(Input!B203),IF(AND(Input!B203&gt;=20,Input!B203&lt;=700),Input!B203,""),"")</f>
        <v/>
      </c>
      <c r="C203">
        <f>IF(B203="","",INT(A203))</f>
        <v/>
      </c>
      <c r="D203">
        <f>IF(B203="","",HOUR(A203))</f>
        <v/>
      </c>
    </row>
    <row r="204">
      <c r="A204">
        <f>Input!A204</f>
        <v/>
      </c>
      <c r="B204">
        <f>IF(ISNUMBER(Input!B204),IF(AND(Input!B204&gt;=20,Input!B204&lt;=700),Input!B204,""),"")</f>
        <v/>
      </c>
      <c r="C204">
        <f>IF(B204="","",INT(A204))</f>
        <v/>
      </c>
      <c r="D204">
        <f>IF(B204="","",HOUR(A204))</f>
        <v/>
      </c>
    </row>
    <row r="205">
      <c r="A205">
        <f>Input!A205</f>
        <v/>
      </c>
      <c r="B205">
        <f>IF(ISNUMBER(Input!B205),IF(AND(Input!B205&gt;=20,Input!B205&lt;=700),Input!B205,""),"")</f>
        <v/>
      </c>
      <c r="C205">
        <f>IF(B205="","",INT(A205))</f>
        <v/>
      </c>
      <c r="D205">
        <f>IF(B205="","",HOUR(A205))</f>
        <v/>
      </c>
    </row>
    <row r="206">
      <c r="A206">
        <f>Input!A206</f>
        <v/>
      </c>
      <c r="B206">
        <f>IF(ISNUMBER(Input!B206),IF(AND(Input!B206&gt;=20,Input!B206&lt;=700),Input!B206,""),"")</f>
        <v/>
      </c>
      <c r="C206">
        <f>IF(B206="","",INT(A206))</f>
        <v/>
      </c>
      <c r="D206">
        <f>IF(B206="","",HOUR(A206))</f>
        <v/>
      </c>
    </row>
    <row r="207">
      <c r="A207">
        <f>Input!A207</f>
        <v/>
      </c>
      <c r="B207">
        <f>IF(ISNUMBER(Input!B207),IF(AND(Input!B207&gt;=20,Input!B207&lt;=700),Input!B207,""),"")</f>
        <v/>
      </c>
      <c r="C207">
        <f>IF(B207="","",INT(A207))</f>
        <v/>
      </c>
      <c r="D207">
        <f>IF(B207="","",HOUR(A207))</f>
        <v/>
      </c>
    </row>
    <row r="208">
      <c r="A208">
        <f>Input!A208</f>
        <v/>
      </c>
      <c r="B208">
        <f>IF(ISNUMBER(Input!B208),IF(AND(Input!B208&gt;=20,Input!B208&lt;=700),Input!B208,""),"")</f>
        <v/>
      </c>
      <c r="C208">
        <f>IF(B208="","",INT(A208))</f>
        <v/>
      </c>
      <c r="D208">
        <f>IF(B208="","",HOUR(A208))</f>
        <v/>
      </c>
    </row>
    <row r="209">
      <c r="A209">
        <f>Input!A209</f>
        <v/>
      </c>
      <c r="B209">
        <f>IF(ISNUMBER(Input!B209),IF(AND(Input!B209&gt;=20,Input!B209&lt;=700),Input!B209,""),"")</f>
        <v/>
      </c>
      <c r="C209">
        <f>IF(B209="","",INT(A209))</f>
        <v/>
      </c>
      <c r="D209">
        <f>IF(B209="","",HOUR(A209))</f>
        <v/>
      </c>
    </row>
    <row r="210">
      <c r="A210">
        <f>Input!A210</f>
        <v/>
      </c>
      <c r="B210">
        <f>IF(ISNUMBER(Input!B210),IF(AND(Input!B210&gt;=20,Input!B210&lt;=700),Input!B210,""),"")</f>
        <v/>
      </c>
      <c r="C210">
        <f>IF(B210="","",INT(A210))</f>
        <v/>
      </c>
      <c r="D210">
        <f>IF(B210="","",HOUR(A210))</f>
        <v/>
      </c>
    </row>
    <row r="211">
      <c r="A211">
        <f>Input!A211</f>
        <v/>
      </c>
      <c r="B211">
        <f>IF(ISNUMBER(Input!B211),IF(AND(Input!B211&gt;=20,Input!B211&lt;=700),Input!B211,""),"")</f>
        <v/>
      </c>
      <c r="C211">
        <f>IF(B211="","",INT(A211))</f>
        <v/>
      </c>
      <c r="D211">
        <f>IF(B211="","",HOUR(A211))</f>
        <v/>
      </c>
    </row>
    <row r="212">
      <c r="A212">
        <f>Input!A212</f>
        <v/>
      </c>
      <c r="B212">
        <f>IF(ISNUMBER(Input!B212),IF(AND(Input!B212&gt;=20,Input!B212&lt;=700),Input!B212,""),"")</f>
        <v/>
      </c>
      <c r="C212">
        <f>IF(B212="","",INT(A212))</f>
        <v/>
      </c>
      <c r="D212">
        <f>IF(B212="","",HOUR(A212))</f>
        <v/>
      </c>
    </row>
    <row r="213">
      <c r="A213">
        <f>Input!A213</f>
        <v/>
      </c>
      <c r="B213">
        <f>IF(ISNUMBER(Input!B213),IF(AND(Input!B213&gt;=20,Input!B213&lt;=700),Input!B213,""),"")</f>
        <v/>
      </c>
      <c r="C213">
        <f>IF(B213="","",INT(A213))</f>
        <v/>
      </c>
      <c r="D213">
        <f>IF(B213="","",HOUR(A213))</f>
        <v/>
      </c>
    </row>
    <row r="214">
      <c r="A214">
        <f>Input!A214</f>
        <v/>
      </c>
      <c r="B214">
        <f>IF(ISNUMBER(Input!B214),IF(AND(Input!B214&gt;=20,Input!B214&lt;=700),Input!B214,""),"")</f>
        <v/>
      </c>
      <c r="C214">
        <f>IF(B214="","",INT(A214))</f>
        <v/>
      </c>
      <c r="D214">
        <f>IF(B214="","",HOUR(A214))</f>
        <v/>
      </c>
    </row>
    <row r="215">
      <c r="A215">
        <f>Input!A215</f>
        <v/>
      </c>
      <c r="B215">
        <f>IF(ISNUMBER(Input!B215),IF(AND(Input!B215&gt;=20,Input!B215&lt;=700),Input!B215,""),"")</f>
        <v/>
      </c>
      <c r="C215">
        <f>IF(B215="","",INT(A215))</f>
        <v/>
      </c>
      <c r="D215">
        <f>IF(B215="","",HOUR(A215))</f>
        <v/>
      </c>
    </row>
    <row r="216">
      <c r="A216">
        <f>Input!A216</f>
        <v/>
      </c>
      <c r="B216">
        <f>IF(ISNUMBER(Input!B216),IF(AND(Input!B216&gt;=20,Input!B216&lt;=700),Input!B216,""),"")</f>
        <v/>
      </c>
      <c r="C216">
        <f>IF(B216="","",INT(A216))</f>
        <v/>
      </c>
      <c r="D216">
        <f>IF(B216="","",HOUR(A216))</f>
        <v/>
      </c>
    </row>
    <row r="217">
      <c r="A217">
        <f>Input!A217</f>
        <v/>
      </c>
      <c r="B217">
        <f>IF(ISNUMBER(Input!B217),IF(AND(Input!B217&gt;=20,Input!B217&lt;=700),Input!B217,""),"")</f>
        <v/>
      </c>
      <c r="C217">
        <f>IF(B217="","",INT(A217))</f>
        <v/>
      </c>
      <c r="D217">
        <f>IF(B217="","",HOUR(A217))</f>
        <v/>
      </c>
    </row>
    <row r="218">
      <c r="A218">
        <f>Input!A218</f>
        <v/>
      </c>
      <c r="B218">
        <f>IF(ISNUMBER(Input!B218),IF(AND(Input!B218&gt;=20,Input!B218&lt;=700),Input!B218,""),"")</f>
        <v/>
      </c>
      <c r="C218">
        <f>IF(B218="","",INT(A218))</f>
        <v/>
      </c>
      <c r="D218">
        <f>IF(B218="","",HOUR(A218))</f>
        <v/>
      </c>
    </row>
    <row r="219">
      <c r="A219">
        <f>Input!A219</f>
        <v/>
      </c>
      <c r="B219">
        <f>IF(ISNUMBER(Input!B219),IF(AND(Input!B219&gt;=20,Input!B219&lt;=700),Input!B219,""),"")</f>
        <v/>
      </c>
      <c r="C219">
        <f>IF(B219="","",INT(A219))</f>
        <v/>
      </c>
      <c r="D219">
        <f>IF(B219="","",HOUR(A219))</f>
        <v/>
      </c>
    </row>
    <row r="220">
      <c r="A220">
        <f>Input!A220</f>
        <v/>
      </c>
      <c r="B220">
        <f>IF(ISNUMBER(Input!B220),IF(AND(Input!B220&gt;=20,Input!B220&lt;=700),Input!B220,""),"")</f>
        <v/>
      </c>
      <c r="C220">
        <f>IF(B220="","",INT(A220))</f>
        <v/>
      </c>
      <c r="D220">
        <f>IF(B220="","",HOUR(A220))</f>
        <v/>
      </c>
    </row>
    <row r="221">
      <c r="A221">
        <f>Input!A221</f>
        <v/>
      </c>
      <c r="B221">
        <f>IF(ISNUMBER(Input!B221),IF(AND(Input!B221&gt;=20,Input!B221&lt;=700),Input!B221,""),"")</f>
        <v/>
      </c>
      <c r="C221">
        <f>IF(B221="","",INT(A221))</f>
        <v/>
      </c>
      <c r="D221">
        <f>IF(B221="","",HOUR(A221))</f>
        <v/>
      </c>
    </row>
    <row r="222">
      <c r="A222">
        <f>Input!A222</f>
        <v/>
      </c>
      <c r="B222">
        <f>IF(ISNUMBER(Input!B222),IF(AND(Input!B222&gt;=20,Input!B222&lt;=700),Input!B222,""),"")</f>
        <v/>
      </c>
      <c r="C222">
        <f>IF(B222="","",INT(A222))</f>
        <v/>
      </c>
      <c r="D222">
        <f>IF(B222="","",HOUR(A222))</f>
        <v/>
      </c>
    </row>
    <row r="223">
      <c r="A223">
        <f>Input!A223</f>
        <v/>
      </c>
      <c r="B223">
        <f>IF(ISNUMBER(Input!B223),IF(AND(Input!B223&gt;=20,Input!B223&lt;=700),Input!B223,""),"")</f>
        <v/>
      </c>
      <c r="C223">
        <f>IF(B223="","",INT(A223))</f>
        <v/>
      </c>
      <c r="D223">
        <f>IF(B223="","",HOUR(A223))</f>
        <v/>
      </c>
    </row>
    <row r="224">
      <c r="A224">
        <f>Input!A224</f>
        <v/>
      </c>
      <c r="B224">
        <f>IF(ISNUMBER(Input!B224),IF(AND(Input!B224&gt;=20,Input!B224&lt;=700),Input!B224,""),"")</f>
        <v/>
      </c>
      <c r="C224">
        <f>IF(B224="","",INT(A224))</f>
        <v/>
      </c>
      <c r="D224">
        <f>IF(B224="","",HOUR(A224))</f>
        <v/>
      </c>
    </row>
    <row r="225">
      <c r="A225">
        <f>Input!A225</f>
        <v/>
      </c>
      <c r="B225">
        <f>IF(ISNUMBER(Input!B225),IF(AND(Input!B225&gt;=20,Input!B225&lt;=700),Input!B225,""),"")</f>
        <v/>
      </c>
      <c r="C225">
        <f>IF(B225="","",INT(A225))</f>
        <v/>
      </c>
      <c r="D225">
        <f>IF(B225="","",HOUR(A225))</f>
        <v/>
      </c>
    </row>
    <row r="226">
      <c r="A226">
        <f>Input!A226</f>
        <v/>
      </c>
      <c r="B226">
        <f>IF(ISNUMBER(Input!B226),IF(AND(Input!B226&gt;=20,Input!B226&lt;=700),Input!B226,""),"")</f>
        <v/>
      </c>
      <c r="C226">
        <f>IF(B226="","",INT(A226))</f>
        <v/>
      </c>
      <c r="D226">
        <f>IF(B226="","",HOUR(A226))</f>
        <v/>
      </c>
    </row>
    <row r="227">
      <c r="A227">
        <f>Input!A227</f>
        <v/>
      </c>
      <c r="B227">
        <f>IF(ISNUMBER(Input!B227),IF(AND(Input!B227&gt;=20,Input!B227&lt;=700),Input!B227,""),"")</f>
        <v/>
      </c>
      <c r="C227">
        <f>IF(B227="","",INT(A227))</f>
        <v/>
      </c>
      <c r="D227">
        <f>IF(B227="","",HOUR(A227))</f>
        <v/>
      </c>
    </row>
    <row r="228">
      <c r="A228">
        <f>Input!A228</f>
        <v/>
      </c>
      <c r="B228">
        <f>IF(ISNUMBER(Input!B228),IF(AND(Input!B228&gt;=20,Input!B228&lt;=700),Input!B228,""),"")</f>
        <v/>
      </c>
      <c r="C228">
        <f>IF(B228="","",INT(A228))</f>
        <v/>
      </c>
      <c r="D228">
        <f>IF(B228="","",HOUR(A228))</f>
        <v/>
      </c>
    </row>
    <row r="229">
      <c r="A229">
        <f>Input!A229</f>
        <v/>
      </c>
      <c r="B229">
        <f>IF(ISNUMBER(Input!B229),IF(AND(Input!B229&gt;=20,Input!B229&lt;=700),Input!B229,""),"")</f>
        <v/>
      </c>
      <c r="C229">
        <f>IF(B229="","",INT(A229))</f>
        <v/>
      </c>
      <c r="D229">
        <f>IF(B229="","",HOUR(A229))</f>
        <v/>
      </c>
    </row>
    <row r="230">
      <c r="A230">
        <f>Input!A230</f>
        <v/>
      </c>
      <c r="B230">
        <f>IF(ISNUMBER(Input!B230),IF(AND(Input!B230&gt;=20,Input!B230&lt;=700),Input!B230,""),"")</f>
        <v/>
      </c>
      <c r="C230">
        <f>IF(B230="","",INT(A230))</f>
        <v/>
      </c>
      <c r="D230">
        <f>IF(B230="","",HOUR(A230))</f>
        <v/>
      </c>
    </row>
    <row r="231">
      <c r="A231">
        <f>Input!A231</f>
        <v/>
      </c>
      <c r="B231">
        <f>IF(ISNUMBER(Input!B231),IF(AND(Input!B231&gt;=20,Input!B231&lt;=700),Input!B231,""),"")</f>
        <v/>
      </c>
      <c r="C231">
        <f>IF(B231="","",INT(A231))</f>
        <v/>
      </c>
      <c r="D231">
        <f>IF(B231="","",HOUR(A231))</f>
        <v/>
      </c>
    </row>
    <row r="232">
      <c r="A232">
        <f>Input!A232</f>
        <v/>
      </c>
      <c r="B232">
        <f>IF(ISNUMBER(Input!B232),IF(AND(Input!B232&gt;=20,Input!B232&lt;=700),Input!B232,""),"")</f>
        <v/>
      </c>
      <c r="C232">
        <f>IF(B232="","",INT(A232))</f>
        <v/>
      </c>
      <c r="D232">
        <f>IF(B232="","",HOUR(A232))</f>
        <v/>
      </c>
    </row>
    <row r="233">
      <c r="A233">
        <f>Input!A233</f>
        <v/>
      </c>
      <c r="B233">
        <f>IF(ISNUMBER(Input!B233),IF(AND(Input!B233&gt;=20,Input!B233&lt;=700),Input!B233,""),"")</f>
        <v/>
      </c>
      <c r="C233">
        <f>IF(B233="","",INT(A233))</f>
        <v/>
      </c>
      <c r="D233">
        <f>IF(B233="","",HOUR(A233))</f>
        <v/>
      </c>
    </row>
    <row r="234">
      <c r="A234">
        <f>Input!A234</f>
        <v/>
      </c>
      <c r="B234">
        <f>IF(ISNUMBER(Input!B234),IF(AND(Input!B234&gt;=20,Input!B234&lt;=700),Input!B234,""),"")</f>
        <v/>
      </c>
      <c r="C234">
        <f>IF(B234="","",INT(A234))</f>
        <v/>
      </c>
      <c r="D234">
        <f>IF(B234="","",HOUR(A234))</f>
        <v/>
      </c>
    </row>
    <row r="235">
      <c r="A235">
        <f>Input!A235</f>
        <v/>
      </c>
      <c r="B235">
        <f>IF(ISNUMBER(Input!B235),IF(AND(Input!B235&gt;=20,Input!B235&lt;=700),Input!B235,""),"")</f>
        <v/>
      </c>
      <c r="C235">
        <f>IF(B235="","",INT(A235))</f>
        <v/>
      </c>
      <c r="D235">
        <f>IF(B235="","",HOUR(A235))</f>
        <v/>
      </c>
    </row>
    <row r="236">
      <c r="A236">
        <f>Input!A236</f>
        <v/>
      </c>
      <c r="B236">
        <f>IF(ISNUMBER(Input!B236),IF(AND(Input!B236&gt;=20,Input!B236&lt;=700),Input!B236,""),"")</f>
        <v/>
      </c>
      <c r="C236">
        <f>IF(B236="","",INT(A236))</f>
        <v/>
      </c>
      <c r="D236">
        <f>IF(B236="","",HOUR(A236))</f>
        <v/>
      </c>
    </row>
    <row r="237">
      <c r="A237">
        <f>Input!A237</f>
        <v/>
      </c>
      <c r="B237">
        <f>IF(ISNUMBER(Input!B237),IF(AND(Input!B237&gt;=20,Input!B237&lt;=700),Input!B237,""),"")</f>
        <v/>
      </c>
      <c r="C237">
        <f>IF(B237="","",INT(A237))</f>
        <v/>
      </c>
      <c r="D237">
        <f>IF(B237="","",HOUR(A237))</f>
        <v/>
      </c>
    </row>
    <row r="238">
      <c r="A238">
        <f>Input!A238</f>
        <v/>
      </c>
      <c r="B238">
        <f>IF(ISNUMBER(Input!B238),IF(AND(Input!B238&gt;=20,Input!B238&lt;=700),Input!B238,""),"")</f>
        <v/>
      </c>
      <c r="C238">
        <f>IF(B238="","",INT(A238))</f>
        <v/>
      </c>
      <c r="D238">
        <f>IF(B238="","",HOUR(A238))</f>
        <v/>
      </c>
    </row>
    <row r="239">
      <c r="A239">
        <f>Input!A239</f>
        <v/>
      </c>
      <c r="B239">
        <f>IF(ISNUMBER(Input!B239),IF(AND(Input!B239&gt;=20,Input!B239&lt;=700),Input!B239,""),"")</f>
        <v/>
      </c>
      <c r="C239">
        <f>IF(B239="","",INT(A239))</f>
        <v/>
      </c>
      <c r="D239">
        <f>IF(B239="","",HOUR(A239))</f>
        <v/>
      </c>
    </row>
    <row r="240">
      <c r="A240">
        <f>Input!A240</f>
        <v/>
      </c>
      <c r="B240">
        <f>IF(ISNUMBER(Input!B240),IF(AND(Input!B240&gt;=20,Input!B240&lt;=700),Input!B240,""),"")</f>
        <v/>
      </c>
      <c r="C240">
        <f>IF(B240="","",INT(A240))</f>
        <v/>
      </c>
      <c r="D240">
        <f>IF(B240="","",HOUR(A240))</f>
        <v/>
      </c>
    </row>
    <row r="241">
      <c r="A241">
        <f>Input!A241</f>
        <v/>
      </c>
      <c r="B241">
        <f>IF(ISNUMBER(Input!B241),IF(AND(Input!B241&gt;=20,Input!B241&lt;=700),Input!B241,""),"")</f>
        <v/>
      </c>
      <c r="C241">
        <f>IF(B241="","",INT(A241))</f>
        <v/>
      </c>
      <c r="D241">
        <f>IF(B241="","",HOUR(A241))</f>
        <v/>
      </c>
    </row>
    <row r="242">
      <c r="A242">
        <f>Input!A242</f>
        <v/>
      </c>
      <c r="B242">
        <f>IF(ISNUMBER(Input!B242),IF(AND(Input!B242&gt;=20,Input!B242&lt;=700),Input!B242,""),"")</f>
        <v/>
      </c>
      <c r="C242">
        <f>IF(B242="","",INT(A242))</f>
        <v/>
      </c>
      <c r="D242">
        <f>IF(B242="","",HOUR(A242))</f>
        <v/>
      </c>
    </row>
    <row r="243">
      <c r="A243">
        <f>Input!A243</f>
        <v/>
      </c>
      <c r="B243">
        <f>IF(ISNUMBER(Input!B243),IF(AND(Input!B243&gt;=20,Input!B243&lt;=700),Input!B243,""),"")</f>
        <v/>
      </c>
      <c r="C243">
        <f>IF(B243="","",INT(A243))</f>
        <v/>
      </c>
      <c r="D243">
        <f>IF(B243="","",HOUR(A243))</f>
        <v/>
      </c>
    </row>
    <row r="244">
      <c r="A244">
        <f>Input!A244</f>
        <v/>
      </c>
      <c r="B244">
        <f>IF(ISNUMBER(Input!B244),IF(AND(Input!B244&gt;=20,Input!B244&lt;=700),Input!B244,""),"")</f>
        <v/>
      </c>
      <c r="C244">
        <f>IF(B244="","",INT(A244))</f>
        <v/>
      </c>
      <c r="D244">
        <f>IF(B244="","",HOUR(A244))</f>
        <v/>
      </c>
    </row>
    <row r="245">
      <c r="A245">
        <f>Input!A245</f>
        <v/>
      </c>
      <c r="B245">
        <f>IF(ISNUMBER(Input!B245),IF(AND(Input!B245&gt;=20,Input!B245&lt;=700),Input!B245,""),"")</f>
        <v/>
      </c>
      <c r="C245">
        <f>IF(B245="","",INT(A245))</f>
        <v/>
      </c>
      <c r="D245">
        <f>IF(B245="","",HOUR(A245))</f>
        <v/>
      </c>
    </row>
    <row r="246">
      <c r="A246">
        <f>Input!A246</f>
        <v/>
      </c>
      <c r="B246">
        <f>IF(ISNUMBER(Input!B246),IF(AND(Input!B246&gt;=20,Input!B246&lt;=700),Input!B246,""),"")</f>
        <v/>
      </c>
      <c r="C246">
        <f>IF(B246="","",INT(A246))</f>
        <v/>
      </c>
      <c r="D246">
        <f>IF(B246="","",HOUR(A246))</f>
        <v/>
      </c>
    </row>
    <row r="247">
      <c r="A247">
        <f>Input!A247</f>
        <v/>
      </c>
      <c r="B247">
        <f>IF(ISNUMBER(Input!B247),IF(AND(Input!B247&gt;=20,Input!B247&lt;=700),Input!B247,""),"")</f>
        <v/>
      </c>
      <c r="C247">
        <f>IF(B247="","",INT(A247))</f>
        <v/>
      </c>
      <c r="D247">
        <f>IF(B247="","",HOUR(A247))</f>
        <v/>
      </c>
    </row>
    <row r="248">
      <c r="A248">
        <f>Input!A248</f>
        <v/>
      </c>
      <c r="B248">
        <f>IF(ISNUMBER(Input!B248),IF(AND(Input!B248&gt;=20,Input!B248&lt;=700),Input!B248,""),"")</f>
        <v/>
      </c>
      <c r="C248">
        <f>IF(B248="","",INT(A248))</f>
        <v/>
      </c>
      <c r="D248">
        <f>IF(B248="","",HOUR(A248))</f>
        <v/>
      </c>
    </row>
    <row r="249">
      <c r="A249">
        <f>Input!A249</f>
        <v/>
      </c>
      <c r="B249">
        <f>IF(ISNUMBER(Input!B249),IF(AND(Input!B249&gt;=20,Input!B249&lt;=700),Input!B249,""),"")</f>
        <v/>
      </c>
      <c r="C249">
        <f>IF(B249="","",INT(A249))</f>
        <v/>
      </c>
      <c r="D249">
        <f>IF(B249="","",HOUR(A249))</f>
        <v/>
      </c>
    </row>
    <row r="250">
      <c r="A250">
        <f>Input!A250</f>
        <v/>
      </c>
      <c r="B250">
        <f>IF(ISNUMBER(Input!B250),IF(AND(Input!B250&gt;=20,Input!B250&lt;=700),Input!B250,""),"")</f>
        <v/>
      </c>
      <c r="C250">
        <f>IF(B250="","",INT(A250))</f>
        <v/>
      </c>
      <c r="D250">
        <f>IF(B250="","",HOUR(A250))</f>
        <v/>
      </c>
    </row>
    <row r="251">
      <c r="A251">
        <f>Input!A251</f>
        <v/>
      </c>
      <c r="B251">
        <f>IF(ISNUMBER(Input!B251),IF(AND(Input!B251&gt;=20,Input!B251&lt;=700),Input!B251,""),"")</f>
        <v/>
      </c>
      <c r="C251">
        <f>IF(B251="","",INT(A251))</f>
        <v/>
      </c>
      <c r="D251">
        <f>IF(B251="","",HOUR(A251))</f>
        <v/>
      </c>
    </row>
    <row r="252">
      <c r="A252">
        <f>Input!A252</f>
        <v/>
      </c>
      <c r="B252">
        <f>IF(ISNUMBER(Input!B252),IF(AND(Input!B252&gt;=20,Input!B252&lt;=700),Input!B252,""),"")</f>
        <v/>
      </c>
      <c r="C252">
        <f>IF(B252="","",INT(A252))</f>
        <v/>
      </c>
      <c r="D252">
        <f>IF(B252="","",HOUR(A252))</f>
        <v/>
      </c>
    </row>
    <row r="253">
      <c r="A253">
        <f>Input!A253</f>
        <v/>
      </c>
      <c r="B253">
        <f>IF(ISNUMBER(Input!B253),IF(AND(Input!B253&gt;=20,Input!B253&lt;=700),Input!B253,""),"")</f>
        <v/>
      </c>
      <c r="C253">
        <f>IF(B253="","",INT(A253))</f>
        <v/>
      </c>
      <c r="D253">
        <f>IF(B253="","",HOUR(A253))</f>
        <v/>
      </c>
    </row>
    <row r="254">
      <c r="A254">
        <f>Input!A254</f>
        <v/>
      </c>
      <c r="B254">
        <f>IF(ISNUMBER(Input!B254),IF(AND(Input!B254&gt;=20,Input!B254&lt;=700),Input!B254,""),"")</f>
        <v/>
      </c>
      <c r="C254">
        <f>IF(B254="","",INT(A254))</f>
        <v/>
      </c>
      <c r="D254">
        <f>IF(B254="","",HOUR(A254))</f>
        <v/>
      </c>
    </row>
    <row r="255">
      <c r="A255">
        <f>Input!A255</f>
        <v/>
      </c>
      <c r="B255">
        <f>IF(ISNUMBER(Input!B255),IF(AND(Input!B255&gt;=20,Input!B255&lt;=700),Input!B255,""),"")</f>
        <v/>
      </c>
      <c r="C255">
        <f>IF(B255="","",INT(A255))</f>
        <v/>
      </c>
      <c r="D255">
        <f>IF(B255="","",HOUR(A255))</f>
        <v/>
      </c>
    </row>
    <row r="256">
      <c r="A256">
        <f>Input!A256</f>
        <v/>
      </c>
      <c r="B256">
        <f>IF(ISNUMBER(Input!B256),IF(AND(Input!B256&gt;=20,Input!B256&lt;=700),Input!B256,""),"")</f>
        <v/>
      </c>
      <c r="C256">
        <f>IF(B256="","",INT(A256))</f>
        <v/>
      </c>
      <c r="D256">
        <f>IF(B256="","",HOUR(A256))</f>
        <v/>
      </c>
    </row>
    <row r="257">
      <c r="A257">
        <f>Input!A257</f>
        <v/>
      </c>
      <c r="B257">
        <f>IF(ISNUMBER(Input!B257),IF(AND(Input!B257&gt;=20,Input!B257&lt;=700),Input!B257,""),"")</f>
        <v/>
      </c>
      <c r="C257">
        <f>IF(B257="","",INT(A257))</f>
        <v/>
      </c>
      <c r="D257">
        <f>IF(B257="","",HOUR(A257))</f>
        <v/>
      </c>
    </row>
    <row r="258">
      <c r="A258">
        <f>Input!A258</f>
        <v/>
      </c>
      <c r="B258">
        <f>IF(ISNUMBER(Input!B258),IF(AND(Input!B258&gt;=20,Input!B258&lt;=700),Input!B258,""),"")</f>
        <v/>
      </c>
      <c r="C258">
        <f>IF(B258="","",INT(A258))</f>
        <v/>
      </c>
      <c r="D258">
        <f>IF(B258="","",HOUR(A258))</f>
        <v/>
      </c>
    </row>
    <row r="259">
      <c r="A259">
        <f>Input!A259</f>
        <v/>
      </c>
      <c r="B259">
        <f>IF(ISNUMBER(Input!B259),IF(AND(Input!B259&gt;=20,Input!B259&lt;=700),Input!B259,""),"")</f>
        <v/>
      </c>
      <c r="C259">
        <f>IF(B259="","",INT(A259))</f>
        <v/>
      </c>
      <c r="D259">
        <f>IF(B259="","",HOUR(A259))</f>
        <v/>
      </c>
    </row>
    <row r="260">
      <c r="A260">
        <f>Input!A260</f>
        <v/>
      </c>
      <c r="B260">
        <f>IF(ISNUMBER(Input!B260),IF(AND(Input!B260&gt;=20,Input!B260&lt;=700),Input!B260,""),"")</f>
        <v/>
      </c>
      <c r="C260">
        <f>IF(B260="","",INT(A260))</f>
        <v/>
      </c>
      <c r="D260">
        <f>IF(B260="","",HOUR(A260))</f>
        <v/>
      </c>
    </row>
    <row r="261">
      <c r="A261">
        <f>Input!A261</f>
        <v/>
      </c>
      <c r="B261">
        <f>IF(ISNUMBER(Input!B261),IF(AND(Input!B261&gt;=20,Input!B261&lt;=700),Input!B261,""),"")</f>
        <v/>
      </c>
      <c r="C261">
        <f>IF(B261="","",INT(A261))</f>
        <v/>
      </c>
      <c r="D261">
        <f>IF(B261="","",HOUR(A261))</f>
        <v/>
      </c>
    </row>
    <row r="262">
      <c r="A262">
        <f>Input!A262</f>
        <v/>
      </c>
      <c r="B262">
        <f>IF(ISNUMBER(Input!B262),IF(AND(Input!B262&gt;=20,Input!B262&lt;=700),Input!B262,""),"")</f>
        <v/>
      </c>
      <c r="C262">
        <f>IF(B262="","",INT(A262))</f>
        <v/>
      </c>
      <c r="D262">
        <f>IF(B262="","",HOUR(A262))</f>
        <v/>
      </c>
    </row>
    <row r="263">
      <c r="A263">
        <f>Input!A263</f>
        <v/>
      </c>
      <c r="B263">
        <f>IF(ISNUMBER(Input!B263),IF(AND(Input!B263&gt;=20,Input!B263&lt;=700),Input!B263,""),"")</f>
        <v/>
      </c>
      <c r="C263">
        <f>IF(B263="","",INT(A263))</f>
        <v/>
      </c>
      <c r="D263">
        <f>IF(B263="","",HOUR(A263))</f>
        <v/>
      </c>
    </row>
    <row r="264">
      <c r="A264">
        <f>Input!A264</f>
        <v/>
      </c>
      <c r="B264">
        <f>IF(ISNUMBER(Input!B264),IF(AND(Input!B264&gt;=20,Input!B264&lt;=700),Input!B264,""),"")</f>
        <v/>
      </c>
      <c r="C264">
        <f>IF(B264="","",INT(A264))</f>
        <v/>
      </c>
      <c r="D264">
        <f>IF(B264="","",HOUR(A264))</f>
        <v/>
      </c>
    </row>
    <row r="265">
      <c r="A265">
        <f>Input!A265</f>
        <v/>
      </c>
      <c r="B265">
        <f>IF(ISNUMBER(Input!B265),IF(AND(Input!B265&gt;=20,Input!B265&lt;=700),Input!B265,""),"")</f>
        <v/>
      </c>
      <c r="C265">
        <f>IF(B265="","",INT(A265))</f>
        <v/>
      </c>
      <c r="D265">
        <f>IF(B265="","",HOUR(A265))</f>
        <v/>
      </c>
    </row>
    <row r="266">
      <c r="A266">
        <f>Input!A266</f>
        <v/>
      </c>
      <c r="B266">
        <f>IF(ISNUMBER(Input!B266),IF(AND(Input!B266&gt;=20,Input!B266&lt;=700),Input!B266,""),"")</f>
        <v/>
      </c>
      <c r="C266">
        <f>IF(B266="","",INT(A266))</f>
        <v/>
      </c>
      <c r="D266">
        <f>IF(B266="","",HOUR(A266))</f>
        <v/>
      </c>
    </row>
    <row r="267">
      <c r="A267">
        <f>Input!A267</f>
        <v/>
      </c>
      <c r="B267">
        <f>IF(ISNUMBER(Input!B267),IF(AND(Input!B267&gt;=20,Input!B267&lt;=700),Input!B267,""),"")</f>
        <v/>
      </c>
      <c r="C267">
        <f>IF(B267="","",INT(A267))</f>
        <v/>
      </c>
      <c r="D267">
        <f>IF(B267="","",HOUR(A267))</f>
        <v/>
      </c>
    </row>
    <row r="268">
      <c r="A268">
        <f>Input!A268</f>
        <v/>
      </c>
      <c r="B268">
        <f>IF(ISNUMBER(Input!B268),IF(AND(Input!B268&gt;=20,Input!B268&lt;=700),Input!B268,""),"")</f>
        <v/>
      </c>
      <c r="C268">
        <f>IF(B268="","",INT(A268))</f>
        <v/>
      </c>
      <c r="D268">
        <f>IF(B268="","",HOUR(A268))</f>
        <v/>
      </c>
    </row>
    <row r="269">
      <c r="A269">
        <f>Input!A269</f>
        <v/>
      </c>
      <c r="B269">
        <f>IF(ISNUMBER(Input!B269),IF(AND(Input!B269&gt;=20,Input!B269&lt;=700),Input!B269,""),"")</f>
        <v/>
      </c>
      <c r="C269">
        <f>IF(B269="","",INT(A269))</f>
        <v/>
      </c>
      <c r="D269">
        <f>IF(B269="","",HOUR(A269))</f>
        <v/>
      </c>
    </row>
    <row r="270">
      <c r="A270">
        <f>Input!A270</f>
        <v/>
      </c>
      <c r="B270">
        <f>IF(ISNUMBER(Input!B270),IF(AND(Input!B270&gt;=20,Input!B270&lt;=700),Input!B270,""),"")</f>
        <v/>
      </c>
      <c r="C270">
        <f>IF(B270="","",INT(A270))</f>
        <v/>
      </c>
      <c r="D270">
        <f>IF(B270="","",HOUR(A270))</f>
        <v/>
      </c>
    </row>
    <row r="271">
      <c r="A271">
        <f>Input!A271</f>
        <v/>
      </c>
      <c r="B271">
        <f>IF(ISNUMBER(Input!B271),IF(AND(Input!B271&gt;=20,Input!B271&lt;=700),Input!B271,""),"")</f>
        <v/>
      </c>
      <c r="C271">
        <f>IF(B271="","",INT(A271))</f>
        <v/>
      </c>
      <c r="D271">
        <f>IF(B271="","",HOUR(A271))</f>
        <v/>
      </c>
    </row>
    <row r="272">
      <c r="A272">
        <f>Input!A272</f>
        <v/>
      </c>
      <c r="B272">
        <f>IF(ISNUMBER(Input!B272),IF(AND(Input!B272&gt;=20,Input!B272&lt;=700),Input!B272,""),"")</f>
        <v/>
      </c>
      <c r="C272">
        <f>IF(B272="","",INT(A272))</f>
        <v/>
      </c>
      <c r="D272">
        <f>IF(B272="","",HOUR(A272))</f>
        <v/>
      </c>
    </row>
    <row r="273">
      <c r="A273">
        <f>Input!A273</f>
        <v/>
      </c>
      <c r="B273">
        <f>IF(ISNUMBER(Input!B273),IF(AND(Input!B273&gt;=20,Input!B273&lt;=700),Input!B273,""),"")</f>
        <v/>
      </c>
      <c r="C273">
        <f>IF(B273="","",INT(A273))</f>
        <v/>
      </c>
      <c r="D273">
        <f>IF(B273="","",HOUR(A273))</f>
        <v/>
      </c>
    </row>
    <row r="274">
      <c r="A274">
        <f>Input!A274</f>
        <v/>
      </c>
      <c r="B274">
        <f>IF(ISNUMBER(Input!B274),IF(AND(Input!B274&gt;=20,Input!B274&lt;=700),Input!B274,""),"")</f>
        <v/>
      </c>
      <c r="C274">
        <f>IF(B274="","",INT(A274))</f>
        <v/>
      </c>
      <c r="D274">
        <f>IF(B274="","",HOUR(A274))</f>
        <v/>
      </c>
    </row>
    <row r="275">
      <c r="A275">
        <f>Input!A275</f>
        <v/>
      </c>
      <c r="B275">
        <f>IF(ISNUMBER(Input!B275),IF(AND(Input!B275&gt;=20,Input!B275&lt;=700),Input!B275,""),"")</f>
        <v/>
      </c>
      <c r="C275">
        <f>IF(B275="","",INT(A275))</f>
        <v/>
      </c>
      <c r="D275">
        <f>IF(B275="","",HOUR(A275))</f>
        <v/>
      </c>
    </row>
    <row r="276">
      <c r="A276">
        <f>Input!A276</f>
        <v/>
      </c>
      <c r="B276">
        <f>IF(ISNUMBER(Input!B276),IF(AND(Input!B276&gt;=20,Input!B276&lt;=700),Input!B276,""),"")</f>
        <v/>
      </c>
      <c r="C276">
        <f>IF(B276="","",INT(A276))</f>
        <v/>
      </c>
      <c r="D276">
        <f>IF(B276="","",HOUR(A276))</f>
        <v/>
      </c>
    </row>
    <row r="277">
      <c r="A277">
        <f>Input!A277</f>
        <v/>
      </c>
      <c r="B277">
        <f>IF(ISNUMBER(Input!B277),IF(AND(Input!B277&gt;=20,Input!B277&lt;=700),Input!B277,""),"")</f>
        <v/>
      </c>
      <c r="C277">
        <f>IF(B277="","",INT(A277))</f>
        <v/>
      </c>
      <c r="D277">
        <f>IF(B277="","",HOUR(A277))</f>
        <v/>
      </c>
    </row>
    <row r="278">
      <c r="A278">
        <f>Input!A278</f>
        <v/>
      </c>
      <c r="B278">
        <f>IF(ISNUMBER(Input!B278),IF(AND(Input!B278&gt;=20,Input!B278&lt;=700),Input!B278,""),"")</f>
        <v/>
      </c>
      <c r="C278">
        <f>IF(B278="","",INT(A278))</f>
        <v/>
      </c>
      <c r="D278">
        <f>IF(B278="","",HOUR(A278))</f>
        <v/>
      </c>
    </row>
    <row r="279">
      <c r="A279">
        <f>Input!A279</f>
        <v/>
      </c>
      <c r="B279">
        <f>IF(ISNUMBER(Input!B279),IF(AND(Input!B279&gt;=20,Input!B279&lt;=700),Input!B279,""),"")</f>
        <v/>
      </c>
      <c r="C279">
        <f>IF(B279="","",INT(A279))</f>
        <v/>
      </c>
      <c r="D279">
        <f>IF(B279="","",HOUR(A279))</f>
        <v/>
      </c>
    </row>
    <row r="280">
      <c r="A280">
        <f>Input!A280</f>
        <v/>
      </c>
      <c r="B280">
        <f>IF(ISNUMBER(Input!B280),IF(AND(Input!B280&gt;=20,Input!B280&lt;=700),Input!B280,""),"")</f>
        <v/>
      </c>
      <c r="C280">
        <f>IF(B280="","",INT(A280))</f>
        <v/>
      </c>
      <c r="D280">
        <f>IF(B280="","",HOUR(A280))</f>
        <v/>
      </c>
    </row>
    <row r="281">
      <c r="A281">
        <f>Input!A281</f>
        <v/>
      </c>
      <c r="B281">
        <f>IF(ISNUMBER(Input!B281),IF(AND(Input!B281&gt;=20,Input!B281&lt;=700),Input!B281,""),"")</f>
        <v/>
      </c>
      <c r="C281">
        <f>IF(B281="","",INT(A281))</f>
        <v/>
      </c>
      <c r="D281">
        <f>IF(B281="","",HOUR(A281))</f>
        <v/>
      </c>
    </row>
    <row r="282">
      <c r="A282">
        <f>Input!A282</f>
        <v/>
      </c>
      <c r="B282">
        <f>IF(ISNUMBER(Input!B282),IF(AND(Input!B282&gt;=20,Input!B282&lt;=700),Input!B282,""),"")</f>
        <v/>
      </c>
      <c r="C282">
        <f>IF(B282="","",INT(A282))</f>
        <v/>
      </c>
      <c r="D282">
        <f>IF(B282="","",HOUR(A282))</f>
        <v/>
      </c>
    </row>
    <row r="283">
      <c r="A283">
        <f>Input!A283</f>
        <v/>
      </c>
      <c r="B283">
        <f>IF(ISNUMBER(Input!B283),IF(AND(Input!B283&gt;=20,Input!B283&lt;=700),Input!B283,""),"")</f>
        <v/>
      </c>
      <c r="C283">
        <f>IF(B283="","",INT(A283))</f>
        <v/>
      </c>
      <c r="D283">
        <f>IF(B283="","",HOUR(A283))</f>
        <v/>
      </c>
    </row>
    <row r="284">
      <c r="A284">
        <f>Input!A284</f>
        <v/>
      </c>
      <c r="B284">
        <f>IF(ISNUMBER(Input!B284),IF(AND(Input!B284&gt;=20,Input!B284&lt;=700),Input!B284,""),"")</f>
        <v/>
      </c>
      <c r="C284">
        <f>IF(B284="","",INT(A284))</f>
        <v/>
      </c>
      <c r="D284">
        <f>IF(B284="","",HOUR(A284))</f>
        <v/>
      </c>
    </row>
    <row r="285">
      <c r="A285">
        <f>Input!A285</f>
        <v/>
      </c>
      <c r="B285">
        <f>IF(ISNUMBER(Input!B285),IF(AND(Input!B285&gt;=20,Input!B285&lt;=700),Input!B285,""),"")</f>
        <v/>
      </c>
      <c r="C285">
        <f>IF(B285="","",INT(A285))</f>
        <v/>
      </c>
      <c r="D285">
        <f>IF(B285="","",HOUR(A285))</f>
        <v/>
      </c>
    </row>
    <row r="286">
      <c r="A286">
        <f>Input!A286</f>
        <v/>
      </c>
      <c r="B286">
        <f>IF(ISNUMBER(Input!B286),IF(AND(Input!B286&gt;=20,Input!B286&lt;=700),Input!B286,""),"")</f>
        <v/>
      </c>
      <c r="C286">
        <f>IF(B286="","",INT(A286))</f>
        <v/>
      </c>
      <c r="D286">
        <f>IF(B286="","",HOUR(A286))</f>
        <v/>
      </c>
    </row>
    <row r="287">
      <c r="A287">
        <f>Input!A287</f>
        <v/>
      </c>
      <c r="B287">
        <f>IF(ISNUMBER(Input!B287),IF(AND(Input!B287&gt;=20,Input!B287&lt;=700),Input!B287,""),"")</f>
        <v/>
      </c>
      <c r="C287">
        <f>IF(B287="","",INT(A287))</f>
        <v/>
      </c>
      <c r="D287">
        <f>IF(B287="","",HOUR(A287))</f>
        <v/>
      </c>
    </row>
    <row r="288">
      <c r="A288">
        <f>Input!A288</f>
        <v/>
      </c>
      <c r="B288">
        <f>IF(ISNUMBER(Input!B288),IF(AND(Input!B288&gt;=20,Input!B288&lt;=700),Input!B288,""),"")</f>
        <v/>
      </c>
      <c r="C288">
        <f>IF(B288="","",INT(A288))</f>
        <v/>
      </c>
      <c r="D288">
        <f>IF(B288="","",HOUR(A288))</f>
        <v/>
      </c>
    </row>
    <row r="289">
      <c r="A289">
        <f>Input!A289</f>
        <v/>
      </c>
      <c r="B289">
        <f>IF(ISNUMBER(Input!B289),IF(AND(Input!B289&gt;=20,Input!B289&lt;=700),Input!B289,""),"")</f>
        <v/>
      </c>
      <c r="C289">
        <f>IF(B289="","",INT(A289))</f>
        <v/>
      </c>
      <c r="D289">
        <f>IF(B289="","",HOUR(A289))</f>
        <v/>
      </c>
    </row>
    <row r="290">
      <c r="A290">
        <f>Input!A290</f>
        <v/>
      </c>
      <c r="B290">
        <f>IF(ISNUMBER(Input!B290),IF(AND(Input!B290&gt;=20,Input!B290&lt;=700),Input!B290,""),"")</f>
        <v/>
      </c>
      <c r="C290">
        <f>IF(B290="","",INT(A290))</f>
        <v/>
      </c>
      <c r="D290">
        <f>IF(B290="","",HOUR(A290))</f>
        <v/>
      </c>
    </row>
    <row r="291">
      <c r="A291">
        <f>Input!A291</f>
        <v/>
      </c>
      <c r="B291">
        <f>IF(ISNUMBER(Input!B291),IF(AND(Input!B291&gt;=20,Input!B291&lt;=700),Input!B291,""),"")</f>
        <v/>
      </c>
      <c r="C291">
        <f>IF(B291="","",INT(A291))</f>
        <v/>
      </c>
      <c r="D291">
        <f>IF(B291="","",HOUR(A291))</f>
        <v/>
      </c>
    </row>
    <row r="292">
      <c r="A292">
        <f>Input!A292</f>
        <v/>
      </c>
      <c r="B292">
        <f>IF(ISNUMBER(Input!B292),IF(AND(Input!B292&gt;=20,Input!B292&lt;=700),Input!B292,""),"")</f>
        <v/>
      </c>
      <c r="C292">
        <f>IF(B292="","",INT(A292))</f>
        <v/>
      </c>
      <c r="D292">
        <f>IF(B292="","",HOUR(A292))</f>
        <v/>
      </c>
    </row>
    <row r="293">
      <c r="A293">
        <f>Input!A293</f>
        <v/>
      </c>
      <c r="B293">
        <f>IF(ISNUMBER(Input!B293),IF(AND(Input!B293&gt;=20,Input!B293&lt;=700),Input!B293,""),"")</f>
        <v/>
      </c>
      <c r="C293">
        <f>IF(B293="","",INT(A293))</f>
        <v/>
      </c>
      <c r="D293">
        <f>IF(B293="","",HOUR(A293))</f>
        <v/>
      </c>
    </row>
    <row r="294">
      <c r="A294">
        <f>Input!A294</f>
        <v/>
      </c>
      <c r="B294">
        <f>IF(ISNUMBER(Input!B294),IF(AND(Input!B294&gt;=20,Input!B294&lt;=700),Input!B294,""),"")</f>
        <v/>
      </c>
      <c r="C294">
        <f>IF(B294="","",INT(A294))</f>
        <v/>
      </c>
      <c r="D294">
        <f>IF(B294="","",HOUR(A294))</f>
        <v/>
      </c>
    </row>
    <row r="295">
      <c r="A295">
        <f>Input!A295</f>
        <v/>
      </c>
      <c r="B295">
        <f>IF(ISNUMBER(Input!B295),IF(AND(Input!B295&gt;=20,Input!B295&lt;=700),Input!B295,""),"")</f>
        <v/>
      </c>
      <c r="C295">
        <f>IF(B295="","",INT(A295))</f>
        <v/>
      </c>
      <c r="D295">
        <f>IF(B295="","",HOUR(A295))</f>
        <v/>
      </c>
    </row>
    <row r="296">
      <c r="A296">
        <f>Input!A296</f>
        <v/>
      </c>
      <c r="B296">
        <f>IF(ISNUMBER(Input!B296),IF(AND(Input!B296&gt;=20,Input!B296&lt;=700),Input!B296,""),"")</f>
        <v/>
      </c>
      <c r="C296">
        <f>IF(B296="","",INT(A296))</f>
        <v/>
      </c>
      <c r="D296">
        <f>IF(B296="","",HOUR(A296))</f>
        <v/>
      </c>
    </row>
    <row r="297">
      <c r="A297">
        <f>Input!A297</f>
        <v/>
      </c>
      <c r="B297">
        <f>IF(ISNUMBER(Input!B297),IF(AND(Input!B297&gt;=20,Input!B297&lt;=700),Input!B297,""),"")</f>
        <v/>
      </c>
      <c r="C297">
        <f>IF(B297="","",INT(A297))</f>
        <v/>
      </c>
      <c r="D297">
        <f>IF(B297="","",HOUR(A297))</f>
        <v/>
      </c>
    </row>
    <row r="298">
      <c r="A298">
        <f>Input!A298</f>
        <v/>
      </c>
      <c r="B298">
        <f>IF(ISNUMBER(Input!B298),IF(AND(Input!B298&gt;=20,Input!B298&lt;=700),Input!B298,""),"")</f>
        <v/>
      </c>
      <c r="C298">
        <f>IF(B298="","",INT(A298))</f>
        <v/>
      </c>
      <c r="D298">
        <f>IF(B298="","",HOUR(A298))</f>
        <v/>
      </c>
    </row>
    <row r="299">
      <c r="A299">
        <f>Input!A299</f>
        <v/>
      </c>
      <c r="B299">
        <f>IF(ISNUMBER(Input!B299),IF(AND(Input!B299&gt;=20,Input!B299&lt;=700),Input!B299,""),"")</f>
        <v/>
      </c>
      <c r="C299">
        <f>IF(B299="","",INT(A299))</f>
        <v/>
      </c>
      <c r="D299">
        <f>IF(B299="","",HOUR(A299))</f>
        <v/>
      </c>
    </row>
    <row r="300">
      <c r="A300">
        <f>Input!A300</f>
        <v/>
      </c>
      <c r="B300">
        <f>IF(ISNUMBER(Input!B300),IF(AND(Input!B300&gt;=20,Input!B300&lt;=700),Input!B300,""),"")</f>
        <v/>
      </c>
      <c r="C300">
        <f>IF(B300="","",INT(A300))</f>
        <v/>
      </c>
      <c r="D300">
        <f>IF(B300="","",HOUR(A300))</f>
        <v/>
      </c>
    </row>
    <row r="301">
      <c r="A301">
        <f>Input!A301</f>
        <v/>
      </c>
      <c r="B301">
        <f>IF(ISNUMBER(Input!B301),IF(AND(Input!B301&gt;=20,Input!B301&lt;=700),Input!B301,""),"")</f>
        <v/>
      </c>
      <c r="C301">
        <f>IF(B301="","",INT(A301))</f>
        <v/>
      </c>
      <c r="D301">
        <f>IF(B301="","",HOUR(A301))</f>
        <v/>
      </c>
    </row>
    <row r="302">
      <c r="A302">
        <f>Input!A302</f>
        <v/>
      </c>
      <c r="B302">
        <f>IF(ISNUMBER(Input!B302),IF(AND(Input!B302&gt;=20,Input!B302&lt;=700),Input!B302,""),"")</f>
        <v/>
      </c>
      <c r="C302">
        <f>IF(B302="","",INT(A302))</f>
        <v/>
      </c>
      <c r="D302">
        <f>IF(B302="","",HOUR(A302))</f>
        <v/>
      </c>
    </row>
    <row r="303">
      <c r="A303">
        <f>Input!A303</f>
        <v/>
      </c>
      <c r="B303">
        <f>IF(ISNUMBER(Input!B303),IF(AND(Input!B303&gt;=20,Input!B303&lt;=700),Input!B303,""),"")</f>
        <v/>
      </c>
      <c r="C303">
        <f>IF(B303="","",INT(A303))</f>
        <v/>
      </c>
      <c r="D303">
        <f>IF(B303="","",HOUR(A303))</f>
        <v/>
      </c>
    </row>
    <row r="304">
      <c r="A304">
        <f>Input!A304</f>
        <v/>
      </c>
      <c r="B304">
        <f>IF(ISNUMBER(Input!B304),IF(AND(Input!B304&gt;=20,Input!B304&lt;=700),Input!B304,""),"")</f>
        <v/>
      </c>
      <c r="C304">
        <f>IF(B304="","",INT(A304))</f>
        <v/>
      </c>
      <c r="D304">
        <f>IF(B304="","",HOUR(A304))</f>
        <v/>
      </c>
    </row>
    <row r="305">
      <c r="A305">
        <f>Input!A305</f>
        <v/>
      </c>
      <c r="B305">
        <f>IF(ISNUMBER(Input!B305),IF(AND(Input!B305&gt;=20,Input!B305&lt;=700),Input!B305,""),"")</f>
        <v/>
      </c>
      <c r="C305">
        <f>IF(B305="","",INT(A305))</f>
        <v/>
      </c>
      <c r="D305">
        <f>IF(B305="","",HOUR(A305))</f>
        <v/>
      </c>
    </row>
    <row r="306">
      <c r="A306">
        <f>Input!A306</f>
        <v/>
      </c>
      <c r="B306">
        <f>IF(ISNUMBER(Input!B306),IF(AND(Input!B306&gt;=20,Input!B306&lt;=700),Input!B306,""),"")</f>
        <v/>
      </c>
      <c r="C306">
        <f>IF(B306="","",INT(A306))</f>
        <v/>
      </c>
      <c r="D306">
        <f>IF(B306="","",HOUR(A306))</f>
        <v/>
      </c>
    </row>
    <row r="307">
      <c r="A307">
        <f>Input!A307</f>
        <v/>
      </c>
      <c r="B307">
        <f>IF(ISNUMBER(Input!B307),IF(AND(Input!B307&gt;=20,Input!B307&lt;=700),Input!B307,""),"")</f>
        <v/>
      </c>
      <c r="C307">
        <f>IF(B307="","",INT(A307))</f>
        <v/>
      </c>
      <c r="D307">
        <f>IF(B307="","",HOUR(A307))</f>
        <v/>
      </c>
    </row>
    <row r="308">
      <c r="A308">
        <f>Input!A308</f>
        <v/>
      </c>
      <c r="B308">
        <f>IF(ISNUMBER(Input!B308),IF(AND(Input!B308&gt;=20,Input!B308&lt;=700),Input!B308,""),"")</f>
        <v/>
      </c>
      <c r="C308">
        <f>IF(B308="","",INT(A308))</f>
        <v/>
      </c>
      <c r="D308">
        <f>IF(B308="","",HOUR(A308))</f>
        <v/>
      </c>
    </row>
    <row r="309">
      <c r="A309">
        <f>Input!A309</f>
        <v/>
      </c>
      <c r="B309">
        <f>IF(ISNUMBER(Input!B309),IF(AND(Input!B309&gt;=20,Input!B309&lt;=700),Input!B309,""),"")</f>
        <v/>
      </c>
      <c r="C309">
        <f>IF(B309="","",INT(A309))</f>
        <v/>
      </c>
      <c r="D309">
        <f>IF(B309="","",HOUR(A309))</f>
        <v/>
      </c>
    </row>
    <row r="310">
      <c r="A310">
        <f>Input!A310</f>
        <v/>
      </c>
      <c r="B310">
        <f>IF(ISNUMBER(Input!B310),IF(AND(Input!B310&gt;=20,Input!B310&lt;=700),Input!B310,""),"")</f>
        <v/>
      </c>
      <c r="C310">
        <f>IF(B310="","",INT(A310))</f>
        <v/>
      </c>
      <c r="D310">
        <f>IF(B310="","",HOUR(A310))</f>
        <v/>
      </c>
    </row>
    <row r="311">
      <c r="A311">
        <f>Input!A311</f>
        <v/>
      </c>
      <c r="B311">
        <f>IF(ISNUMBER(Input!B311),IF(AND(Input!B311&gt;=20,Input!B311&lt;=700),Input!B311,""),"")</f>
        <v/>
      </c>
      <c r="C311">
        <f>IF(B311="","",INT(A311))</f>
        <v/>
      </c>
      <c r="D311">
        <f>IF(B311="","",HOUR(A311))</f>
        <v/>
      </c>
    </row>
    <row r="312">
      <c r="A312">
        <f>Input!A312</f>
        <v/>
      </c>
      <c r="B312">
        <f>IF(ISNUMBER(Input!B312),IF(AND(Input!B312&gt;=20,Input!B312&lt;=700),Input!B312,""),"")</f>
        <v/>
      </c>
      <c r="C312">
        <f>IF(B312="","",INT(A312))</f>
        <v/>
      </c>
      <c r="D312">
        <f>IF(B312="","",HOUR(A312))</f>
        <v/>
      </c>
    </row>
    <row r="313">
      <c r="A313">
        <f>Input!A313</f>
        <v/>
      </c>
      <c r="B313">
        <f>IF(ISNUMBER(Input!B313),IF(AND(Input!B313&gt;=20,Input!B313&lt;=700),Input!B313,""),"")</f>
        <v/>
      </c>
      <c r="C313">
        <f>IF(B313="","",INT(A313))</f>
        <v/>
      </c>
      <c r="D313">
        <f>IF(B313="","",HOUR(A313))</f>
        <v/>
      </c>
    </row>
    <row r="314">
      <c r="A314">
        <f>Input!A314</f>
        <v/>
      </c>
      <c r="B314">
        <f>IF(ISNUMBER(Input!B314),IF(AND(Input!B314&gt;=20,Input!B314&lt;=700),Input!B314,""),"")</f>
        <v/>
      </c>
      <c r="C314">
        <f>IF(B314="","",INT(A314))</f>
        <v/>
      </c>
      <c r="D314">
        <f>IF(B314="","",HOUR(A314))</f>
        <v/>
      </c>
    </row>
    <row r="315">
      <c r="A315">
        <f>Input!A315</f>
        <v/>
      </c>
      <c r="B315">
        <f>IF(ISNUMBER(Input!B315),IF(AND(Input!B315&gt;=20,Input!B315&lt;=700),Input!B315,""),"")</f>
        <v/>
      </c>
      <c r="C315">
        <f>IF(B315="","",INT(A315))</f>
        <v/>
      </c>
      <c r="D315">
        <f>IF(B315="","",HOUR(A315))</f>
        <v/>
      </c>
    </row>
    <row r="316">
      <c r="A316">
        <f>Input!A316</f>
        <v/>
      </c>
      <c r="B316">
        <f>IF(ISNUMBER(Input!B316),IF(AND(Input!B316&gt;=20,Input!B316&lt;=700),Input!B316,""),"")</f>
        <v/>
      </c>
      <c r="C316">
        <f>IF(B316="","",INT(A316))</f>
        <v/>
      </c>
      <c r="D316">
        <f>IF(B316="","",HOUR(A316))</f>
        <v/>
      </c>
    </row>
    <row r="317">
      <c r="A317">
        <f>Input!A317</f>
        <v/>
      </c>
      <c r="B317">
        <f>IF(ISNUMBER(Input!B317),IF(AND(Input!B317&gt;=20,Input!B317&lt;=700),Input!B317,""),"")</f>
        <v/>
      </c>
      <c r="C317">
        <f>IF(B317="","",INT(A317))</f>
        <v/>
      </c>
      <c r="D317">
        <f>IF(B317="","",HOUR(A317))</f>
        <v/>
      </c>
    </row>
    <row r="318">
      <c r="A318">
        <f>Input!A318</f>
        <v/>
      </c>
      <c r="B318">
        <f>IF(ISNUMBER(Input!B318),IF(AND(Input!B318&gt;=20,Input!B318&lt;=700),Input!B318,""),"")</f>
        <v/>
      </c>
      <c r="C318">
        <f>IF(B318="","",INT(A318))</f>
        <v/>
      </c>
      <c r="D318">
        <f>IF(B318="","",HOUR(A318))</f>
        <v/>
      </c>
    </row>
    <row r="319">
      <c r="A319">
        <f>Input!A319</f>
        <v/>
      </c>
      <c r="B319">
        <f>IF(ISNUMBER(Input!B319),IF(AND(Input!B319&gt;=20,Input!B319&lt;=700),Input!B319,""),"")</f>
        <v/>
      </c>
      <c r="C319">
        <f>IF(B319="","",INT(A319))</f>
        <v/>
      </c>
      <c r="D319">
        <f>IF(B319="","",HOUR(A319))</f>
        <v/>
      </c>
    </row>
    <row r="320">
      <c r="A320">
        <f>Input!A320</f>
        <v/>
      </c>
      <c r="B320">
        <f>IF(ISNUMBER(Input!B320),IF(AND(Input!B320&gt;=20,Input!B320&lt;=700),Input!B320,""),"")</f>
        <v/>
      </c>
      <c r="C320">
        <f>IF(B320="","",INT(A320))</f>
        <v/>
      </c>
      <c r="D320">
        <f>IF(B320="","",HOUR(A320))</f>
        <v/>
      </c>
    </row>
    <row r="321">
      <c r="A321">
        <f>Input!A321</f>
        <v/>
      </c>
      <c r="B321">
        <f>IF(ISNUMBER(Input!B321),IF(AND(Input!B321&gt;=20,Input!B321&lt;=700),Input!B321,""),"")</f>
        <v/>
      </c>
      <c r="C321">
        <f>IF(B321="","",INT(A321))</f>
        <v/>
      </c>
      <c r="D321">
        <f>IF(B321="","",HOUR(A321))</f>
        <v/>
      </c>
    </row>
    <row r="322">
      <c r="A322">
        <f>Input!A322</f>
        <v/>
      </c>
      <c r="B322">
        <f>IF(ISNUMBER(Input!B322),IF(AND(Input!B322&gt;=20,Input!B322&lt;=700),Input!B322,""),"")</f>
        <v/>
      </c>
      <c r="C322">
        <f>IF(B322="","",INT(A322))</f>
        <v/>
      </c>
      <c r="D322">
        <f>IF(B322="","",HOUR(A322))</f>
        <v/>
      </c>
    </row>
    <row r="323">
      <c r="A323">
        <f>Input!A323</f>
        <v/>
      </c>
      <c r="B323">
        <f>IF(ISNUMBER(Input!B323),IF(AND(Input!B323&gt;=20,Input!B323&lt;=700),Input!B323,""),"")</f>
        <v/>
      </c>
      <c r="C323">
        <f>IF(B323="","",INT(A323))</f>
        <v/>
      </c>
      <c r="D323">
        <f>IF(B323="","",HOUR(A323))</f>
        <v/>
      </c>
    </row>
    <row r="324">
      <c r="A324">
        <f>Input!A324</f>
        <v/>
      </c>
      <c r="B324">
        <f>IF(ISNUMBER(Input!B324),IF(AND(Input!B324&gt;=20,Input!B324&lt;=700),Input!B324,""),"")</f>
        <v/>
      </c>
      <c r="C324">
        <f>IF(B324="","",INT(A324))</f>
        <v/>
      </c>
      <c r="D324">
        <f>IF(B324="","",HOUR(A324))</f>
        <v/>
      </c>
    </row>
    <row r="325">
      <c r="A325">
        <f>Input!A325</f>
        <v/>
      </c>
      <c r="B325">
        <f>IF(ISNUMBER(Input!B325),IF(AND(Input!B325&gt;=20,Input!B325&lt;=700),Input!B325,""),"")</f>
        <v/>
      </c>
      <c r="C325">
        <f>IF(B325="","",INT(A325))</f>
        <v/>
      </c>
      <c r="D325">
        <f>IF(B325="","",HOUR(A325))</f>
        <v/>
      </c>
    </row>
    <row r="326">
      <c r="A326">
        <f>Input!A326</f>
        <v/>
      </c>
      <c r="B326">
        <f>IF(ISNUMBER(Input!B326),IF(AND(Input!B326&gt;=20,Input!B326&lt;=700),Input!B326,""),"")</f>
        <v/>
      </c>
      <c r="C326">
        <f>IF(B326="","",INT(A326))</f>
        <v/>
      </c>
      <c r="D326">
        <f>IF(B326="","",HOUR(A326))</f>
        <v/>
      </c>
    </row>
    <row r="327">
      <c r="A327">
        <f>Input!A327</f>
        <v/>
      </c>
      <c r="B327">
        <f>IF(ISNUMBER(Input!B327),IF(AND(Input!B327&gt;=20,Input!B327&lt;=700),Input!B327,""),"")</f>
        <v/>
      </c>
      <c r="C327">
        <f>IF(B327="","",INT(A327))</f>
        <v/>
      </c>
      <c r="D327">
        <f>IF(B327="","",HOUR(A327))</f>
        <v/>
      </c>
    </row>
    <row r="328">
      <c r="A328">
        <f>Input!A328</f>
        <v/>
      </c>
      <c r="B328">
        <f>IF(ISNUMBER(Input!B328),IF(AND(Input!B328&gt;=20,Input!B328&lt;=700),Input!B328,""),"")</f>
        <v/>
      </c>
      <c r="C328">
        <f>IF(B328="","",INT(A328))</f>
        <v/>
      </c>
      <c r="D328">
        <f>IF(B328="","",HOUR(A328))</f>
        <v/>
      </c>
    </row>
    <row r="329">
      <c r="A329">
        <f>Input!A329</f>
        <v/>
      </c>
      <c r="B329">
        <f>IF(ISNUMBER(Input!B329),IF(AND(Input!B329&gt;=20,Input!B329&lt;=700),Input!B329,""),"")</f>
        <v/>
      </c>
      <c r="C329">
        <f>IF(B329="","",INT(A329))</f>
        <v/>
      </c>
      <c r="D329">
        <f>IF(B329="","",HOUR(A329))</f>
        <v/>
      </c>
    </row>
    <row r="330">
      <c r="A330">
        <f>Input!A330</f>
        <v/>
      </c>
      <c r="B330">
        <f>IF(ISNUMBER(Input!B330),IF(AND(Input!B330&gt;=20,Input!B330&lt;=700),Input!B330,""),"")</f>
        <v/>
      </c>
      <c r="C330">
        <f>IF(B330="","",INT(A330))</f>
        <v/>
      </c>
      <c r="D330">
        <f>IF(B330="","",HOUR(A330))</f>
        <v/>
      </c>
    </row>
    <row r="331">
      <c r="A331">
        <f>Input!A331</f>
        <v/>
      </c>
      <c r="B331">
        <f>IF(ISNUMBER(Input!B331),IF(AND(Input!B331&gt;=20,Input!B331&lt;=700),Input!B331,""),"")</f>
        <v/>
      </c>
      <c r="C331">
        <f>IF(B331="","",INT(A331))</f>
        <v/>
      </c>
      <c r="D331">
        <f>IF(B331="","",HOUR(A331))</f>
        <v/>
      </c>
    </row>
    <row r="332">
      <c r="A332">
        <f>Input!A332</f>
        <v/>
      </c>
      <c r="B332">
        <f>IF(ISNUMBER(Input!B332),IF(AND(Input!B332&gt;=20,Input!B332&lt;=700),Input!B332,""),"")</f>
        <v/>
      </c>
      <c r="C332">
        <f>IF(B332="","",INT(A332))</f>
        <v/>
      </c>
      <c r="D332">
        <f>IF(B332="","",HOUR(A332))</f>
        <v/>
      </c>
    </row>
    <row r="333">
      <c r="A333">
        <f>Input!A333</f>
        <v/>
      </c>
      <c r="B333">
        <f>IF(ISNUMBER(Input!B333),IF(AND(Input!B333&gt;=20,Input!B333&lt;=700),Input!B333,""),"")</f>
        <v/>
      </c>
      <c r="C333">
        <f>IF(B333="","",INT(A333))</f>
        <v/>
      </c>
      <c r="D333">
        <f>IF(B333="","",HOUR(A333))</f>
        <v/>
      </c>
    </row>
    <row r="334">
      <c r="A334">
        <f>Input!A334</f>
        <v/>
      </c>
      <c r="B334">
        <f>IF(ISNUMBER(Input!B334),IF(AND(Input!B334&gt;=20,Input!B334&lt;=700),Input!B334,""),"")</f>
        <v/>
      </c>
      <c r="C334">
        <f>IF(B334="","",INT(A334))</f>
        <v/>
      </c>
      <c r="D334">
        <f>IF(B334="","",HOUR(A334))</f>
        <v/>
      </c>
    </row>
    <row r="335">
      <c r="A335">
        <f>Input!A335</f>
        <v/>
      </c>
      <c r="B335">
        <f>IF(ISNUMBER(Input!B335),IF(AND(Input!B335&gt;=20,Input!B335&lt;=700),Input!B335,""),"")</f>
        <v/>
      </c>
      <c r="C335">
        <f>IF(B335="","",INT(A335))</f>
        <v/>
      </c>
      <c r="D335">
        <f>IF(B335="","",HOUR(A335))</f>
        <v/>
      </c>
    </row>
    <row r="336">
      <c r="A336">
        <f>Input!A336</f>
        <v/>
      </c>
      <c r="B336">
        <f>IF(ISNUMBER(Input!B336),IF(AND(Input!B336&gt;=20,Input!B336&lt;=700),Input!B336,""),"")</f>
        <v/>
      </c>
      <c r="C336">
        <f>IF(B336="","",INT(A336))</f>
        <v/>
      </c>
      <c r="D336">
        <f>IF(B336="","",HOUR(A336))</f>
        <v/>
      </c>
    </row>
    <row r="337">
      <c r="A337">
        <f>Input!A337</f>
        <v/>
      </c>
      <c r="B337">
        <f>IF(ISNUMBER(Input!B337),IF(AND(Input!B337&gt;=20,Input!B337&lt;=700),Input!B337,""),"")</f>
        <v/>
      </c>
      <c r="C337">
        <f>IF(B337="","",INT(A337))</f>
        <v/>
      </c>
      <c r="D337">
        <f>IF(B337="","",HOUR(A337))</f>
        <v/>
      </c>
    </row>
    <row r="338">
      <c r="A338">
        <f>Input!A338</f>
        <v/>
      </c>
      <c r="B338">
        <f>IF(ISNUMBER(Input!B338),IF(AND(Input!B338&gt;=20,Input!B338&lt;=700),Input!B338,""),"")</f>
        <v/>
      </c>
      <c r="C338">
        <f>IF(B338="","",INT(A338))</f>
        <v/>
      </c>
      <c r="D338">
        <f>IF(B338="","",HOUR(A338))</f>
        <v/>
      </c>
    </row>
    <row r="339">
      <c r="A339">
        <f>Input!A339</f>
        <v/>
      </c>
      <c r="B339">
        <f>IF(ISNUMBER(Input!B339),IF(AND(Input!B339&gt;=20,Input!B339&lt;=700),Input!B339,""),"")</f>
        <v/>
      </c>
      <c r="C339">
        <f>IF(B339="","",INT(A339))</f>
        <v/>
      </c>
      <c r="D339">
        <f>IF(B339="","",HOUR(A339))</f>
        <v/>
      </c>
    </row>
    <row r="340">
      <c r="A340">
        <f>Input!A340</f>
        <v/>
      </c>
      <c r="B340">
        <f>IF(ISNUMBER(Input!B340),IF(AND(Input!B340&gt;=20,Input!B340&lt;=700),Input!B340,""),"")</f>
        <v/>
      </c>
      <c r="C340">
        <f>IF(B340="","",INT(A340))</f>
        <v/>
      </c>
      <c r="D340">
        <f>IF(B340="","",HOUR(A340))</f>
        <v/>
      </c>
    </row>
    <row r="341">
      <c r="A341">
        <f>Input!A341</f>
        <v/>
      </c>
      <c r="B341">
        <f>IF(ISNUMBER(Input!B341),IF(AND(Input!B341&gt;=20,Input!B341&lt;=700),Input!B341,""),"")</f>
        <v/>
      </c>
      <c r="C341">
        <f>IF(B341="","",INT(A341))</f>
        <v/>
      </c>
      <c r="D341">
        <f>IF(B341="","",HOUR(A341))</f>
        <v/>
      </c>
    </row>
    <row r="342">
      <c r="A342">
        <f>Input!A342</f>
        <v/>
      </c>
      <c r="B342">
        <f>IF(ISNUMBER(Input!B342),IF(AND(Input!B342&gt;=20,Input!B342&lt;=700),Input!B342,""),"")</f>
        <v/>
      </c>
      <c r="C342">
        <f>IF(B342="","",INT(A342))</f>
        <v/>
      </c>
      <c r="D342">
        <f>IF(B342="","",HOUR(A342))</f>
        <v/>
      </c>
    </row>
    <row r="343">
      <c r="A343">
        <f>Input!A343</f>
        <v/>
      </c>
      <c r="B343">
        <f>IF(ISNUMBER(Input!B343),IF(AND(Input!B343&gt;=20,Input!B343&lt;=700),Input!B343,""),"")</f>
        <v/>
      </c>
      <c r="C343">
        <f>IF(B343="","",INT(A343))</f>
        <v/>
      </c>
      <c r="D343">
        <f>IF(B343="","",HOUR(A343))</f>
        <v/>
      </c>
    </row>
    <row r="344">
      <c r="A344">
        <f>Input!A344</f>
        <v/>
      </c>
      <c r="B344">
        <f>IF(ISNUMBER(Input!B344),IF(AND(Input!B344&gt;=20,Input!B344&lt;=700),Input!B344,""),"")</f>
        <v/>
      </c>
      <c r="C344">
        <f>IF(B344="","",INT(A344))</f>
        <v/>
      </c>
      <c r="D344">
        <f>IF(B344="","",HOUR(A344))</f>
        <v/>
      </c>
    </row>
    <row r="345">
      <c r="A345">
        <f>Input!A345</f>
        <v/>
      </c>
      <c r="B345">
        <f>IF(ISNUMBER(Input!B345),IF(AND(Input!B345&gt;=20,Input!B345&lt;=700),Input!B345,""),"")</f>
        <v/>
      </c>
      <c r="C345">
        <f>IF(B345="","",INT(A345))</f>
        <v/>
      </c>
      <c r="D345">
        <f>IF(B345="","",HOUR(A345))</f>
        <v/>
      </c>
    </row>
    <row r="346">
      <c r="A346">
        <f>Input!A346</f>
        <v/>
      </c>
      <c r="B346">
        <f>IF(ISNUMBER(Input!B346),IF(AND(Input!B346&gt;=20,Input!B346&lt;=700),Input!B346,""),"")</f>
        <v/>
      </c>
      <c r="C346">
        <f>IF(B346="","",INT(A346))</f>
        <v/>
      </c>
      <c r="D346">
        <f>IF(B346="","",HOUR(A346))</f>
        <v/>
      </c>
    </row>
    <row r="347">
      <c r="A347">
        <f>Input!A347</f>
        <v/>
      </c>
      <c r="B347">
        <f>IF(ISNUMBER(Input!B347),IF(AND(Input!B347&gt;=20,Input!B347&lt;=700),Input!B347,""),"")</f>
        <v/>
      </c>
      <c r="C347">
        <f>IF(B347="","",INT(A347))</f>
        <v/>
      </c>
      <c r="D347">
        <f>IF(B347="","",HOUR(A347))</f>
        <v/>
      </c>
    </row>
    <row r="348">
      <c r="A348">
        <f>Input!A348</f>
        <v/>
      </c>
      <c r="B348">
        <f>IF(ISNUMBER(Input!B348),IF(AND(Input!B348&gt;=20,Input!B348&lt;=700),Input!B348,""),"")</f>
        <v/>
      </c>
      <c r="C348">
        <f>IF(B348="","",INT(A348))</f>
        <v/>
      </c>
      <c r="D348">
        <f>IF(B348="","",HOUR(A348))</f>
        <v/>
      </c>
    </row>
    <row r="349">
      <c r="A349">
        <f>Input!A349</f>
        <v/>
      </c>
      <c r="B349">
        <f>IF(ISNUMBER(Input!B349),IF(AND(Input!B349&gt;=20,Input!B349&lt;=700),Input!B349,""),"")</f>
        <v/>
      </c>
      <c r="C349">
        <f>IF(B349="","",INT(A349))</f>
        <v/>
      </c>
      <c r="D349">
        <f>IF(B349="","",HOUR(A349))</f>
        <v/>
      </c>
    </row>
    <row r="350">
      <c r="A350">
        <f>Input!A350</f>
        <v/>
      </c>
      <c r="B350">
        <f>IF(ISNUMBER(Input!B350),IF(AND(Input!B350&gt;=20,Input!B350&lt;=700),Input!B350,""),"")</f>
        <v/>
      </c>
      <c r="C350">
        <f>IF(B350="","",INT(A350))</f>
        <v/>
      </c>
      <c r="D350">
        <f>IF(B350="","",HOUR(A350))</f>
        <v/>
      </c>
    </row>
    <row r="351">
      <c r="A351">
        <f>Input!A351</f>
        <v/>
      </c>
      <c r="B351">
        <f>IF(ISNUMBER(Input!B351),IF(AND(Input!B351&gt;=20,Input!B351&lt;=700),Input!B351,""),"")</f>
        <v/>
      </c>
      <c r="C351">
        <f>IF(B351="","",INT(A351))</f>
        <v/>
      </c>
      <c r="D351">
        <f>IF(B351="","",HOUR(A351))</f>
        <v/>
      </c>
    </row>
    <row r="352">
      <c r="A352">
        <f>Input!A352</f>
        <v/>
      </c>
      <c r="B352">
        <f>IF(ISNUMBER(Input!B352),IF(AND(Input!B352&gt;=20,Input!B352&lt;=700),Input!B352,""),"")</f>
        <v/>
      </c>
      <c r="C352">
        <f>IF(B352="","",INT(A352))</f>
        <v/>
      </c>
      <c r="D352">
        <f>IF(B352="","",HOUR(A352))</f>
        <v/>
      </c>
    </row>
    <row r="353">
      <c r="A353">
        <f>Input!A353</f>
        <v/>
      </c>
      <c r="B353">
        <f>IF(ISNUMBER(Input!B353),IF(AND(Input!B353&gt;=20,Input!B353&lt;=700),Input!B353,""),"")</f>
        <v/>
      </c>
      <c r="C353">
        <f>IF(B353="","",INT(A353))</f>
        <v/>
      </c>
      <c r="D353">
        <f>IF(B353="","",HOUR(A353))</f>
        <v/>
      </c>
    </row>
    <row r="354">
      <c r="A354">
        <f>Input!A354</f>
        <v/>
      </c>
      <c r="B354">
        <f>IF(ISNUMBER(Input!B354),IF(AND(Input!B354&gt;=20,Input!B354&lt;=700),Input!B354,""),"")</f>
        <v/>
      </c>
      <c r="C354">
        <f>IF(B354="","",INT(A354))</f>
        <v/>
      </c>
      <c r="D354">
        <f>IF(B354="","",HOUR(A354))</f>
        <v/>
      </c>
    </row>
    <row r="355">
      <c r="A355">
        <f>Input!A355</f>
        <v/>
      </c>
      <c r="B355">
        <f>IF(ISNUMBER(Input!B355),IF(AND(Input!B355&gt;=20,Input!B355&lt;=700),Input!B355,""),"")</f>
        <v/>
      </c>
      <c r="C355">
        <f>IF(B355="","",INT(A355))</f>
        <v/>
      </c>
      <c r="D355">
        <f>IF(B355="","",HOUR(A355))</f>
        <v/>
      </c>
    </row>
    <row r="356">
      <c r="A356">
        <f>Input!A356</f>
        <v/>
      </c>
      <c r="B356">
        <f>IF(ISNUMBER(Input!B356),IF(AND(Input!B356&gt;=20,Input!B356&lt;=700),Input!B356,""),"")</f>
        <v/>
      </c>
      <c r="C356">
        <f>IF(B356="","",INT(A356))</f>
        <v/>
      </c>
      <c r="D356">
        <f>IF(B356="","",HOUR(A356))</f>
        <v/>
      </c>
    </row>
    <row r="357">
      <c r="A357">
        <f>Input!A357</f>
        <v/>
      </c>
      <c r="B357">
        <f>IF(ISNUMBER(Input!B357),IF(AND(Input!B357&gt;=20,Input!B357&lt;=700),Input!B357,""),"")</f>
        <v/>
      </c>
      <c r="C357">
        <f>IF(B357="","",INT(A357))</f>
        <v/>
      </c>
      <c r="D357">
        <f>IF(B357="","",HOUR(A357))</f>
        <v/>
      </c>
    </row>
    <row r="358">
      <c r="A358">
        <f>Input!A358</f>
        <v/>
      </c>
      <c r="B358">
        <f>IF(ISNUMBER(Input!B358),IF(AND(Input!B358&gt;=20,Input!B358&lt;=700),Input!B358,""),"")</f>
        <v/>
      </c>
      <c r="C358">
        <f>IF(B358="","",INT(A358))</f>
        <v/>
      </c>
      <c r="D358">
        <f>IF(B358="","",HOUR(A358))</f>
        <v/>
      </c>
    </row>
    <row r="359">
      <c r="A359">
        <f>Input!A359</f>
        <v/>
      </c>
      <c r="B359">
        <f>IF(ISNUMBER(Input!B359),IF(AND(Input!B359&gt;=20,Input!B359&lt;=700),Input!B359,""),"")</f>
        <v/>
      </c>
      <c r="C359">
        <f>IF(B359="","",INT(A359))</f>
        <v/>
      </c>
      <c r="D359">
        <f>IF(B359="","",HOUR(A359))</f>
        <v/>
      </c>
    </row>
    <row r="360">
      <c r="A360">
        <f>Input!A360</f>
        <v/>
      </c>
      <c r="B360">
        <f>IF(ISNUMBER(Input!B360),IF(AND(Input!B360&gt;=20,Input!B360&lt;=700),Input!B360,""),"")</f>
        <v/>
      </c>
      <c r="C360">
        <f>IF(B360="","",INT(A360))</f>
        <v/>
      </c>
      <c r="D360">
        <f>IF(B360="","",HOUR(A360))</f>
        <v/>
      </c>
    </row>
    <row r="361">
      <c r="A361">
        <f>Input!A361</f>
        <v/>
      </c>
      <c r="B361">
        <f>IF(ISNUMBER(Input!B361),IF(AND(Input!B361&gt;=20,Input!B361&lt;=700),Input!B361,""),"")</f>
        <v/>
      </c>
      <c r="C361">
        <f>IF(B361="","",INT(A361))</f>
        <v/>
      </c>
      <c r="D361">
        <f>IF(B361="","",HOUR(A361))</f>
        <v/>
      </c>
    </row>
    <row r="362">
      <c r="A362">
        <f>Input!A362</f>
        <v/>
      </c>
      <c r="B362">
        <f>IF(ISNUMBER(Input!B362),IF(AND(Input!B362&gt;=20,Input!B362&lt;=700),Input!B362,""),"")</f>
        <v/>
      </c>
      <c r="C362">
        <f>IF(B362="","",INT(A362))</f>
        <v/>
      </c>
      <c r="D362">
        <f>IF(B362="","",HOUR(A362))</f>
        <v/>
      </c>
    </row>
    <row r="363">
      <c r="A363">
        <f>Input!A363</f>
        <v/>
      </c>
      <c r="B363">
        <f>IF(ISNUMBER(Input!B363),IF(AND(Input!B363&gt;=20,Input!B363&lt;=700),Input!B363,""),"")</f>
        <v/>
      </c>
      <c r="C363">
        <f>IF(B363="","",INT(A363))</f>
        <v/>
      </c>
      <c r="D363">
        <f>IF(B363="","",HOUR(A363))</f>
        <v/>
      </c>
    </row>
    <row r="364">
      <c r="A364">
        <f>Input!A364</f>
        <v/>
      </c>
      <c r="B364">
        <f>IF(ISNUMBER(Input!B364),IF(AND(Input!B364&gt;=20,Input!B364&lt;=700),Input!B364,""),"")</f>
        <v/>
      </c>
      <c r="C364">
        <f>IF(B364="","",INT(A364))</f>
        <v/>
      </c>
      <c r="D364">
        <f>IF(B364="","",HOUR(A364))</f>
        <v/>
      </c>
    </row>
    <row r="365">
      <c r="A365">
        <f>Input!A365</f>
        <v/>
      </c>
      <c r="B365">
        <f>IF(ISNUMBER(Input!B365),IF(AND(Input!B365&gt;=20,Input!B365&lt;=700),Input!B365,""),"")</f>
        <v/>
      </c>
      <c r="C365">
        <f>IF(B365="","",INT(A365))</f>
        <v/>
      </c>
      <c r="D365">
        <f>IF(B365="","",HOUR(A365))</f>
        <v/>
      </c>
    </row>
    <row r="366">
      <c r="A366">
        <f>Input!A366</f>
        <v/>
      </c>
      <c r="B366">
        <f>IF(ISNUMBER(Input!B366),IF(AND(Input!B366&gt;=20,Input!B366&lt;=700),Input!B366,""),"")</f>
        <v/>
      </c>
      <c r="C366">
        <f>IF(B366="","",INT(A366))</f>
        <v/>
      </c>
      <c r="D366">
        <f>IF(B366="","",HOUR(A366))</f>
        <v/>
      </c>
    </row>
    <row r="367">
      <c r="A367">
        <f>Input!A367</f>
        <v/>
      </c>
      <c r="B367">
        <f>IF(ISNUMBER(Input!B367),IF(AND(Input!B367&gt;=20,Input!B367&lt;=700),Input!B367,""),"")</f>
        <v/>
      </c>
      <c r="C367">
        <f>IF(B367="","",INT(A367))</f>
        <v/>
      </c>
      <c r="D367">
        <f>IF(B367="","",HOUR(A367))</f>
        <v/>
      </c>
    </row>
    <row r="368">
      <c r="A368">
        <f>Input!A368</f>
        <v/>
      </c>
      <c r="B368">
        <f>IF(ISNUMBER(Input!B368),IF(AND(Input!B368&gt;=20,Input!B368&lt;=700),Input!B368,""),"")</f>
        <v/>
      </c>
      <c r="C368">
        <f>IF(B368="","",INT(A368))</f>
        <v/>
      </c>
      <c r="D368">
        <f>IF(B368="","",HOUR(A368))</f>
        <v/>
      </c>
    </row>
    <row r="369">
      <c r="A369">
        <f>Input!A369</f>
        <v/>
      </c>
      <c r="B369">
        <f>IF(ISNUMBER(Input!B369),IF(AND(Input!B369&gt;=20,Input!B369&lt;=700),Input!B369,""),"")</f>
        <v/>
      </c>
      <c r="C369">
        <f>IF(B369="","",INT(A369))</f>
        <v/>
      </c>
      <c r="D369">
        <f>IF(B369="","",HOUR(A369))</f>
        <v/>
      </c>
    </row>
    <row r="370">
      <c r="A370">
        <f>Input!A370</f>
        <v/>
      </c>
      <c r="B370">
        <f>IF(ISNUMBER(Input!B370),IF(AND(Input!B370&gt;=20,Input!B370&lt;=700),Input!B370,""),"")</f>
        <v/>
      </c>
      <c r="C370">
        <f>IF(B370="","",INT(A370))</f>
        <v/>
      </c>
      <c r="D370">
        <f>IF(B370="","",HOUR(A370))</f>
        <v/>
      </c>
    </row>
    <row r="371">
      <c r="A371">
        <f>Input!A371</f>
        <v/>
      </c>
      <c r="B371">
        <f>IF(ISNUMBER(Input!B371),IF(AND(Input!B371&gt;=20,Input!B371&lt;=700),Input!B371,""),"")</f>
        <v/>
      </c>
      <c r="C371">
        <f>IF(B371="","",INT(A371))</f>
        <v/>
      </c>
      <c r="D371">
        <f>IF(B371="","",HOUR(A371))</f>
        <v/>
      </c>
    </row>
    <row r="372">
      <c r="A372">
        <f>Input!A372</f>
        <v/>
      </c>
      <c r="B372">
        <f>IF(ISNUMBER(Input!B372),IF(AND(Input!B372&gt;=20,Input!B372&lt;=700),Input!B372,""),"")</f>
        <v/>
      </c>
      <c r="C372">
        <f>IF(B372="","",INT(A372))</f>
        <v/>
      </c>
      <c r="D372">
        <f>IF(B372="","",HOUR(A372))</f>
        <v/>
      </c>
    </row>
    <row r="373">
      <c r="A373">
        <f>Input!A373</f>
        <v/>
      </c>
      <c r="B373">
        <f>IF(ISNUMBER(Input!B373),IF(AND(Input!B373&gt;=20,Input!B373&lt;=700),Input!B373,""),"")</f>
        <v/>
      </c>
      <c r="C373">
        <f>IF(B373="","",INT(A373))</f>
        <v/>
      </c>
      <c r="D373">
        <f>IF(B373="","",HOUR(A373))</f>
        <v/>
      </c>
    </row>
    <row r="374">
      <c r="A374">
        <f>Input!A374</f>
        <v/>
      </c>
      <c r="B374">
        <f>IF(ISNUMBER(Input!B374),IF(AND(Input!B374&gt;=20,Input!B374&lt;=700),Input!B374,""),"")</f>
        <v/>
      </c>
      <c r="C374">
        <f>IF(B374="","",INT(A374))</f>
        <v/>
      </c>
      <c r="D374">
        <f>IF(B374="","",HOUR(A374))</f>
        <v/>
      </c>
    </row>
    <row r="375">
      <c r="A375">
        <f>Input!A375</f>
        <v/>
      </c>
      <c r="B375">
        <f>IF(ISNUMBER(Input!B375),IF(AND(Input!B375&gt;=20,Input!B375&lt;=700),Input!B375,""),"")</f>
        <v/>
      </c>
      <c r="C375">
        <f>IF(B375="","",INT(A375))</f>
        <v/>
      </c>
      <c r="D375">
        <f>IF(B375="","",HOUR(A375))</f>
        <v/>
      </c>
    </row>
    <row r="376">
      <c r="A376">
        <f>Input!A376</f>
        <v/>
      </c>
      <c r="B376">
        <f>IF(ISNUMBER(Input!B376),IF(AND(Input!B376&gt;=20,Input!B376&lt;=700),Input!B376,""),"")</f>
        <v/>
      </c>
      <c r="C376">
        <f>IF(B376="","",INT(A376))</f>
        <v/>
      </c>
      <c r="D376">
        <f>IF(B376="","",HOUR(A376))</f>
        <v/>
      </c>
    </row>
    <row r="377">
      <c r="A377">
        <f>Input!A377</f>
        <v/>
      </c>
      <c r="B377">
        <f>IF(ISNUMBER(Input!B377),IF(AND(Input!B377&gt;=20,Input!B377&lt;=700),Input!B377,""),"")</f>
        <v/>
      </c>
      <c r="C377">
        <f>IF(B377="","",INT(A377))</f>
        <v/>
      </c>
      <c r="D377">
        <f>IF(B377="","",HOUR(A377))</f>
        <v/>
      </c>
    </row>
    <row r="378">
      <c r="A378">
        <f>Input!A378</f>
        <v/>
      </c>
      <c r="B378">
        <f>IF(ISNUMBER(Input!B378),IF(AND(Input!B378&gt;=20,Input!B378&lt;=700),Input!B378,""),"")</f>
        <v/>
      </c>
      <c r="C378">
        <f>IF(B378="","",INT(A378))</f>
        <v/>
      </c>
      <c r="D378">
        <f>IF(B378="","",HOUR(A378))</f>
        <v/>
      </c>
    </row>
    <row r="379">
      <c r="A379">
        <f>Input!A379</f>
        <v/>
      </c>
      <c r="B379">
        <f>IF(ISNUMBER(Input!B379),IF(AND(Input!B379&gt;=20,Input!B379&lt;=700),Input!B379,""),"")</f>
        <v/>
      </c>
      <c r="C379">
        <f>IF(B379="","",INT(A379))</f>
        <v/>
      </c>
      <c r="D379">
        <f>IF(B379="","",HOUR(A379))</f>
        <v/>
      </c>
    </row>
    <row r="380">
      <c r="A380">
        <f>Input!A380</f>
        <v/>
      </c>
      <c r="B380">
        <f>IF(ISNUMBER(Input!B380),IF(AND(Input!B380&gt;=20,Input!B380&lt;=700),Input!B380,""),"")</f>
        <v/>
      </c>
      <c r="C380">
        <f>IF(B380="","",INT(A380))</f>
        <v/>
      </c>
      <c r="D380">
        <f>IF(B380="","",HOUR(A380))</f>
        <v/>
      </c>
    </row>
    <row r="381">
      <c r="A381">
        <f>Input!A381</f>
        <v/>
      </c>
      <c r="B381">
        <f>IF(ISNUMBER(Input!B381),IF(AND(Input!B381&gt;=20,Input!B381&lt;=700),Input!B381,""),"")</f>
        <v/>
      </c>
      <c r="C381">
        <f>IF(B381="","",INT(A381))</f>
        <v/>
      </c>
      <c r="D381">
        <f>IF(B381="","",HOUR(A381))</f>
        <v/>
      </c>
    </row>
    <row r="382">
      <c r="A382">
        <f>Input!A382</f>
        <v/>
      </c>
      <c r="B382">
        <f>IF(ISNUMBER(Input!B382),IF(AND(Input!B382&gt;=20,Input!B382&lt;=700),Input!B382,""),"")</f>
        <v/>
      </c>
      <c r="C382">
        <f>IF(B382="","",INT(A382))</f>
        <v/>
      </c>
      <c r="D382">
        <f>IF(B382="","",HOUR(A382))</f>
        <v/>
      </c>
    </row>
    <row r="383">
      <c r="A383">
        <f>Input!A383</f>
        <v/>
      </c>
      <c r="B383">
        <f>IF(ISNUMBER(Input!B383),IF(AND(Input!B383&gt;=20,Input!B383&lt;=700),Input!B383,""),"")</f>
        <v/>
      </c>
      <c r="C383">
        <f>IF(B383="","",INT(A383))</f>
        <v/>
      </c>
      <c r="D383">
        <f>IF(B383="","",HOUR(A383))</f>
        <v/>
      </c>
    </row>
    <row r="384">
      <c r="A384">
        <f>Input!A384</f>
        <v/>
      </c>
      <c r="B384">
        <f>IF(ISNUMBER(Input!B384),IF(AND(Input!B384&gt;=20,Input!B384&lt;=700),Input!B384,""),"")</f>
        <v/>
      </c>
      <c r="C384">
        <f>IF(B384="","",INT(A384))</f>
        <v/>
      </c>
      <c r="D384">
        <f>IF(B384="","",HOUR(A384))</f>
        <v/>
      </c>
    </row>
    <row r="385">
      <c r="A385">
        <f>Input!A385</f>
        <v/>
      </c>
      <c r="B385">
        <f>IF(ISNUMBER(Input!B385),IF(AND(Input!B385&gt;=20,Input!B385&lt;=700),Input!B385,""),"")</f>
        <v/>
      </c>
      <c r="C385">
        <f>IF(B385="","",INT(A385))</f>
        <v/>
      </c>
      <c r="D385">
        <f>IF(B385="","",HOUR(A385))</f>
        <v/>
      </c>
    </row>
    <row r="386">
      <c r="A386">
        <f>Input!A386</f>
        <v/>
      </c>
      <c r="B386">
        <f>IF(ISNUMBER(Input!B386),IF(AND(Input!B386&gt;=20,Input!B386&lt;=700),Input!B386,""),"")</f>
        <v/>
      </c>
      <c r="C386">
        <f>IF(B386="","",INT(A386))</f>
        <v/>
      </c>
      <c r="D386">
        <f>IF(B386="","",HOUR(A386))</f>
        <v/>
      </c>
    </row>
    <row r="387">
      <c r="A387">
        <f>Input!A387</f>
        <v/>
      </c>
      <c r="B387">
        <f>IF(ISNUMBER(Input!B387),IF(AND(Input!B387&gt;=20,Input!B387&lt;=700),Input!B387,""),"")</f>
        <v/>
      </c>
      <c r="C387">
        <f>IF(B387="","",INT(A387))</f>
        <v/>
      </c>
      <c r="D387">
        <f>IF(B387="","",HOUR(A387))</f>
        <v/>
      </c>
    </row>
    <row r="388">
      <c r="A388">
        <f>Input!A388</f>
        <v/>
      </c>
      <c r="B388">
        <f>IF(ISNUMBER(Input!B388),IF(AND(Input!B388&gt;=20,Input!B388&lt;=700),Input!B388,""),"")</f>
        <v/>
      </c>
      <c r="C388">
        <f>IF(B388="","",INT(A388))</f>
        <v/>
      </c>
      <c r="D388">
        <f>IF(B388="","",HOUR(A388))</f>
        <v/>
      </c>
    </row>
    <row r="389">
      <c r="A389">
        <f>Input!A389</f>
        <v/>
      </c>
      <c r="B389">
        <f>IF(ISNUMBER(Input!B389),IF(AND(Input!B389&gt;=20,Input!B389&lt;=700),Input!B389,""),"")</f>
        <v/>
      </c>
      <c r="C389">
        <f>IF(B389="","",INT(A389))</f>
        <v/>
      </c>
      <c r="D389">
        <f>IF(B389="","",HOUR(A389))</f>
        <v/>
      </c>
    </row>
    <row r="390">
      <c r="A390">
        <f>Input!A390</f>
        <v/>
      </c>
      <c r="B390">
        <f>IF(ISNUMBER(Input!B390),IF(AND(Input!B390&gt;=20,Input!B390&lt;=700),Input!B390,""),"")</f>
        <v/>
      </c>
      <c r="C390">
        <f>IF(B390="","",INT(A390))</f>
        <v/>
      </c>
      <c r="D390">
        <f>IF(B390="","",HOUR(A390))</f>
        <v/>
      </c>
    </row>
    <row r="391">
      <c r="A391">
        <f>Input!A391</f>
        <v/>
      </c>
      <c r="B391">
        <f>IF(ISNUMBER(Input!B391),IF(AND(Input!B391&gt;=20,Input!B391&lt;=700),Input!B391,""),"")</f>
        <v/>
      </c>
      <c r="C391">
        <f>IF(B391="","",INT(A391))</f>
        <v/>
      </c>
      <c r="D391">
        <f>IF(B391="","",HOUR(A391))</f>
        <v/>
      </c>
    </row>
    <row r="392">
      <c r="A392">
        <f>Input!A392</f>
        <v/>
      </c>
      <c r="B392">
        <f>IF(ISNUMBER(Input!B392),IF(AND(Input!B392&gt;=20,Input!B392&lt;=700),Input!B392,""),"")</f>
        <v/>
      </c>
      <c r="C392">
        <f>IF(B392="","",INT(A392))</f>
        <v/>
      </c>
      <c r="D392">
        <f>IF(B392="","",HOUR(A392))</f>
        <v/>
      </c>
    </row>
    <row r="393">
      <c r="A393">
        <f>Input!A393</f>
        <v/>
      </c>
      <c r="B393">
        <f>IF(ISNUMBER(Input!B393),IF(AND(Input!B393&gt;=20,Input!B393&lt;=700),Input!B393,""),"")</f>
        <v/>
      </c>
      <c r="C393">
        <f>IF(B393="","",INT(A393))</f>
        <v/>
      </c>
      <c r="D393">
        <f>IF(B393="","",HOUR(A393))</f>
        <v/>
      </c>
    </row>
    <row r="394">
      <c r="A394">
        <f>Input!A394</f>
        <v/>
      </c>
      <c r="B394">
        <f>IF(ISNUMBER(Input!B394),IF(AND(Input!B394&gt;=20,Input!B394&lt;=700),Input!B394,""),"")</f>
        <v/>
      </c>
      <c r="C394">
        <f>IF(B394="","",INT(A394))</f>
        <v/>
      </c>
      <c r="D394">
        <f>IF(B394="","",HOUR(A394))</f>
        <v/>
      </c>
    </row>
    <row r="395">
      <c r="A395">
        <f>Input!A395</f>
        <v/>
      </c>
      <c r="B395">
        <f>IF(ISNUMBER(Input!B395),IF(AND(Input!B395&gt;=20,Input!B395&lt;=700),Input!B395,""),"")</f>
        <v/>
      </c>
      <c r="C395">
        <f>IF(B395="","",INT(A395))</f>
        <v/>
      </c>
      <c r="D395">
        <f>IF(B395="","",HOUR(A395))</f>
        <v/>
      </c>
    </row>
    <row r="396">
      <c r="A396">
        <f>Input!A396</f>
        <v/>
      </c>
      <c r="B396">
        <f>IF(ISNUMBER(Input!B396),IF(AND(Input!B396&gt;=20,Input!B396&lt;=700),Input!B396,""),"")</f>
        <v/>
      </c>
      <c r="C396">
        <f>IF(B396="","",INT(A396))</f>
        <v/>
      </c>
      <c r="D396">
        <f>IF(B396="","",HOUR(A396))</f>
        <v/>
      </c>
    </row>
    <row r="397">
      <c r="A397">
        <f>Input!A397</f>
        <v/>
      </c>
      <c r="B397">
        <f>IF(ISNUMBER(Input!B397),IF(AND(Input!B397&gt;=20,Input!B397&lt;=700),Input!B397,""),"")</f>
        <v/>
      </c>
      <c r="C397">
        <f>IF(B397="","",INT(A397))</f>
        <v/>
      </c>
      <c r="D397">
        <f>IF(B397="","",HOUR(A397))</f>
        <v/>
      </c>
    </row>
    <row r="398">
      <c r="A398">
        <f>Input!A398</f>
        <v/>
      </c>
      <c r="B398">
        <f>IF(ISNUMBER(Input!B398),IF(AND(Input!B398&gt;=20,Input!B398&lt;=700),Input!B398,""),"")</f>
        <v/>
      </c>
      <c r="C398">
        <f>IF(B398="","",INT(A398))</f>
        <v/>
      </c>
      <c r="D398">
        <f>IF(B398="","",HOUR(A398))</f>
        <v/>
      </c>
    </row>
    <row r="399">
      <c r="A399">
        <f>Input!A399</f>
        <v/>
      </c>
      <c r="B399">
        <f>IF(ISNUMBER(Input!B399),IF(AND(Input!B399&gt;=20,Input!B399&lt;=700),Input!B399,""),"")</f>
        <v/>
      </c>
      <c r="C399">
        <f>IF(B399="","",INT(A399))</f>
        <v/>
      </c>
      <c r="D399">
        <f>IF(B399="","",HOUR(A399))</f>
        <v/>
      </c>
    </row>
    <row r="400">
      <c r="A400">
        <f>Input!A400</f>
        <v/>
      </c>
      <c r="B400">
        <f>IF(ISNUMBER(Input!B400),IF(AND(Input!B400&gt;=20,Input!B400&lt;=700),Input!B400,""),"")</f>
        <v/>
      </c>
      <c r="C400">
        <f>IF(B400="","",INT(A400))</f>
        <v/>
      </c>
      <c r="D400">
        <f>IF(B400="","",HOUR(A400))</f>
        <v/>
      </c>
    </row>
    <row r="401">
      <c r="A401">
        <f>Input!A401</f>
        <v/>
      </c>
      <c r="B401">
        <f>IF(ISNUMBER(Input!B401),IF(AND(Input!B401&gt;=20,Input!B401&lt;=700),Input!B401,""),"")</f>
        <v/>
      </c>
      <c r="C401">
        <f>IF(B401="","",INT(A401))</f>
        <v/>
      </c>
      <c r="D401">
        <f>IF(B401="","",HOUR(A401))</f>
        <v/>
      </c>
    </row>
    <row r="402">
      <c r="A402">
        <f>Input!A402</f>
        <v/>
      </c>
      <c r="B402">
        <f>IF(ISNUMBER(Input!B402),IF(AND(Input!B402&gt;=20,Input!B402&lt;=700),Input!B402,""),"")</f>
        <v/>
      </c>
      <c r="C402">
        <f>IF(B402="","",INT(A402))</f>
        <v/>
      </c>
      <c r="D402">
        <f>IF(B402="","",HOUR(A402))</f>
        <v/>
      </c>
    </row>
    <row r="403">
      <c r="A403">
        <f>Input!A403</f>
        <v/>
      </c>
      <c r="B403">
        <f>IF(ISNUMBER(Input!B403),IF(AND(Input!B403&gt;=20,Input!B403&lt;=700),Input!B403,""),"")</f>
        <v/>
      </c>
      <c r="C403">
        <f>IF(B403="","",INT(A403))</f>
        <v/>
      </c>
      <c r="D403">
        <f>IF(B403="","",HOUR(A403))</f>
        <v/>
      </c>
    </row>
    <row r="404">
      <c r="A404">
        <f>Input!A404</f>
        <v/>
      </c>
      <c r="B404">
        <f>IF(ISNUMBER(Input!B404),IF(AND(Input!B404&gt;=20,Input!B404&lt;=700),Input!B404,""),"")</f>
        <v/>
      </c>
      <c r="C404">
        <f>IF(B404="","",INT(A404))</f>
        <v/>
      </c>
      <c r="D404">
        <f>IF(B404="","",HOUR(A404))</f>
        <v/>
      </c>
    </row>
    <row r="405">
      <c r="A405">
        <f>Input!A405</f>
        <v/>
      </c>
      <c r="B405">
        <f>IF(ISNUMBER(Input!B405),IF(AND(Input!B405&gt;=20,Input!B405&lt;=700),Input!B405,""),"")</f>
        <v/>
      </c>
      <c r="C405">
        <f>IF(B405="","",INT(A405))</f>
        <v/>
      </c>
      <c r="D405">
        <f>IF(B405="","",HOUR(A405))</f>
        <v/>
      </c>
    </row>
    <row r="406">
      <c r="A406">
        <f>Input!A406</f>
        <v/>
      </c>
      <c r="B406">
        <f>IF(ISNUMBER(Input!B406),IF(AND(Input!B406&gt;=20,Input!B406&lt;=700),Input!B406,""),"")</f>
        <v/>
      </c>
      <c r="C406">
        <f>IF(B406="","",INT(A406))</f>
        <v/>
      </c>
      <c r="D406">
        <f>IF(B406="","",HOUR(A406))</f>
        <v/>
      </c>
    </row>
    <row r="407">
      <c r="A407">
        <f>Input!A407</f>
        <v/>
      </c>
      <c r="B407">
        <f>IF(ISNUMBER(Input!B407),IF(AND(Input!B407&gt;=20,Input!B407&lt;=700),Input!B407,""),"")</f>
        <v/>
      </c>
      <c r="C407">
        <f>IF(B407="","",INT(A407))</f>
        <v/>
      </c>
      <c r="D407">
        <f>IF(B407="","",HOUR(A407))</f>
        <v/>
      </c>
    </row>
    <row r="408">
      <c r="A408">
        <f>Input!A408</f>
        <v/>
      </c>
      <c r="B408">
        <f>IF(ISNUMBER(Input!B408),IF(AND(Input!B408&gt;=20,Input!B408&lt;=700),Input!B408,""),"")</f>
        <v/>
      </c>
      <c r="C408">
        <f>IF(B408="","",INT(A408))</f>
        <v/>
      </c>
      <c r="D408">
        <f>IF(B408="","",HOUR(A408))</f>
        <v/>
      </c>
    </row>
    <row r="409">
      <c r="A409">
        <f>Input!A409</f>
        <v/>
      </c>
      <c r="B409">
        <f>IF(ISNUMBER(Input!B409),IF(AND(Input!B409&gt;=20,Input!B409&lt;=700),Input!B409,""),"")</f>
        <v/>
      </c>
      <c r="C409">
        <f>IF(B409="","",INT(A409))</f>
        <v/>
      </c>
      <c r="D409">
        <f>IF(B409="","",HOUR(A409))</f>
        <v/>
      </c>
    </row>
    <row r="410">
      <c r="A410">
        <f>Input!A410</f>
        <v/>
      </c>
      <c r="B410">
        <f>IF(ISNUMBER(Input!B410),IF(AND(Input!B410&gt;=20,Input!B410&lt;=700),Input!B410,""),"")</f>
        <v/>
      </c>
      <c r="C410">
        <f>IF(B410="","",INT(A410))</f>
        <v/>
      </c>
      <c r="D410">
        <f>IF(B410="","",HOUR(A410))</f>
        <v/>
      </c>
    </row>
    <row r="411">
      <c r="A411">
        <f>Input!A411</f>
        <v/>
      </c>
      <c r="B411">
        <f>IF(ISNUMBER(Input!B411),IF(AND(Input!B411&gt;=20,Input!B411&lt;=700),Input!B411,""),"")</f>
        <v/>
      </c>
      <c r="C411">
        <f>IF(B411="","",INT(A411))</f>
        <v/>
      </c>
      <c r="D411">
        <f>IF(B411="","",HOUR(A411))</f>
        <v/>
      </c>
    </row>
    <row r="412">
      <c r="A412">
        <f>Input!A412</f>
        <v/>
      </c>
      <c r="B412">
        <f>IF(ISNUMBER(Input!B412),IF(AND(Input!B412&gt;=20,Input!B412&lt;=700),Input!B412,""),"")</f>
        <v/>
      </c>
      <c r="C412">
        <f>IF(B412="","",INT(A412))</f>
        <v/>
      </c>
      <c r="D412">
        <f>IF(B412="","",HOUR(A412))</f>
        <v/>
      </c>
    </row>
    <row r="413">
      <c r="A413">
        <f>Input!A413</f>
        <v/>
      </c>
      <c r="B413">
        <f>IF(ISNUMBER(Input!B413),IF(AND(Input!B413&gt;=20,Input!B413&lt;=700),Input!B413,""),"")</f>
        <v/>
      </c>
      <c r="C413">
        <f>IF(B413="","",INT(A413))</f>
        <v/>
      </c>
      <c r="D413">
        <f>IF(B413="","",HOUR(A413))</f>
        <v/>
      </c>
    </row>
    <row r="414">
      <c r="A414">
        <f>Input!A414</f>
        <v/>
      </c>
      <c r="B414">
        <f>IF(ISNUMBER(Input!B414),IF(AND(Input!B414&gt;=20,Input!B414&lt;=700),Input!B414,""),"")</f>
        <v/>
      </c>
      <c r="C414">
        <f>IF(B414="","",INT(A414))</f>
        <v/>
      </c>
      <c r="D414">
        <f>IF(B414="","",HOUR(A414))</f>
        <v/>
      </c>
    </row>
    <row r="415">
      <c r="A415">
        <f>Input!A415</f>
        <v/>
      </c>
      <c r="B415">
        <f>IF(ISNUMBER(Input!B415),IF(AND(Input!B415&gt;=20,Input!B415&lt;=700),Input!B415,""),"")</f>
        <v/>
      </c>
      <c r="C415">
        <f>IF(B415="","",INT(A415))</f>
        <v/>
      </c>
      <c r="D415">
        <f>IF(B415="","",HOUR(A415))</f>
        <v/>
      </c>
    </row>
    <row r="416">
      <c r="A416">
        <f>Input!A416</f>
        <v/>
      </c>
      <c r="B416">
        <f>IF(ISNUMBER(Input!B416),IF(AND(Input!B416&gt;=20,Input!B416&lt;=700),Input!B416,""),"")</f>
        <v/>
      </c>
      <c r="C416">
        <f>IF(B416="","",INT(A416))</f>
        <v/>
      </c>
      <c r="D416">
        <f>IF(B416="","",HOUR(A416))</f>
        <v/>
      </c>
    </row>
    <row r="417">
      <c r="A417">
        <f>Input!A417</f>
        <v/>
      </c>
      <c r="B417">
        <f>IF(ISNUMBER(Input!B417),IF(AND(Input!B417&gt;=20,Input!B417&lt;=700),Input!B417,""),"")</f>
        <v/>
      </c>
      <c r="C417">
        <f>IF(B417="","",INT(A417))</f>
        <v/>
      </c>
      <c r="D417">
        <f>IF(B417="","",HOUR(A417))</f>
        <v/>
      </c>
    </row>
    <row r="418">
      <c r="A418">
        <f>Input!A418</f>
        <v/>
      </c>
      <c r="B418">
        <f>IF(ISNUMBER(Input!B418),IF(AND(Input!B418&gt;=20,Input!B418&lt;=700),Input!B418,""),"")</f>
        <v/>
      </c>
      <c r="C418">
        <f>IF(B418="","",INT(A418))</f>
        <v/>
      </c>
      <c r="D418">
        <f>IF(B418="","",HOUR(A418))</f>
        <v/>
      </c>
    </row>
    <row r="419">
      <c r="A419">
        <f>Input!A419</f>
        <v/>
      </c>
      <c r="B419">
        <f>IF(ISNUMBER(Input!B419),IF(AND(Input!B419&gt;=20,Input!B419&lt;=700),Input!B419,""),"")</f>
        <v/>
      </c>
      <c r="C419">
        <f>IF(B419="","",INT(A419))</f>
        <v/>
      </c>
      <c r="D419">
        <f>IF(B419="","",HOUR(A419))</f>
        <v/>
      </c>
    </row>
    <row r="420">
      <c r="A420">
        <f>Input!A420</f>
        <v/>
      </c>
      <c r="B420">
        <f>IF(ISNUMBER(Input!B420),IF(AND(Input!B420&gt;=20,Input!B420&lt;=700),Input!B420,""),"")</f>
        <v/>
      </c>
      <c r="C420">
        <f>IF(B420="","",INT(A420))</f>
        <v/>
      </c>
      <c r="D420">
        <f>IF(B420="","",HOUR(A420))</f>
        <v/>
      </c>
    </row>
    <row r="421">
      <c r="A421">
        <f>Input!A421</f>
        <v/>
      </c>
      <c r="B421">
        <f>IF(ISNUMBER(Input!B421),IF(AND(Input!B421&gt;=20,Input!B421&lt;=700),Input!B421,""),"")</f>
        <v/>
      </c>
      <c r="C421">
        <f>IF(B421="","",INT(A421))</f>
        <v/>
      </c>
      <c r="D421">
        <f>IF(B421="","",HOUR(A421))</f>
        <v/>
      </c>
    </row>
    <row r="422">
      <c r="A422">
        <f>Input!A422</f>
        <v/>
      </c>
      <c r="B422">
        <f>IF(ISNUMBER(Input!B422),IF(AND(Input!B422&gt;=20,Input!B422&lt;=700),Input!B422,""),"")</f>
        <v/>
      </c>
      <c r="C422">
        <f>IF(B422="","",INT(A422))</f>
        <v/>
      </c>
      <c r="D422">
        <f>IF(B422="","",HOUR(A422))</f>
        <v/>
      </c>
    </row>
    <row r="423">
      <c r="A423">
        <f>Input!A423</f>
        <v/>
      </c>
      <c r="B423">
        <f>IF(ISNUMBER(Input!B423),IF(AND(Input!B423&gt;=20,Input!B423&lt;=700),Input!B423,""),"")</f>
        <v/>
      </c>
      <c r="C423">
        <f>IF(B423="","",INT(A423))</f>
        <v/>
      </c>
      <c r="D423">
        <f>IF(B423="","",HOUR(A423))</f>
        <v/>
      </c>
    </row>
    <row r="424">
      <c r="A424">
        <f>Input!A424</f>
        <v/>
      </c>
      <c r="B424">
        <f>IF(ISNUMBER(Input!B424),IF(AND(Input!B424&gt;=20,Input!B424&lt;=700),Input!B424,""),"")</f>
        <v/>
      </c>
      <c r="C424">
        <f>IF(B424="","",INT(A424))</f>
        <v/>
      </c>
      <c r="D424">
        <f>IF(B424="","",HOUR(A424))</f>
        <v/>
      </c>
    </row>
    <row r="425">
      <c r="A425">
        <f>Input!A425</f>
        <v/>
      </c>
      <c r="B425">
        <f>IF(ISNUMBER(Input!B425),IF(AND(Input!B425&gt;=20,Input!B425&lt;=700),Input!B425,""),"")</f>
        <v/>
      </c>
      <c r="C425">
        <f>IF(B425="","",INT(A425))</f>
        <v/>
      </c>
      <c r="D425">
        <f>IF(B425="","",HOUR(A425))</f>
        <v/>
      </c>
    </row>
    <row r="426">
      <c r="A426">
        <f>Input!A426</f>
        <v/>
      </c>
      <c r="B426">
        <f>IF(ISNUMBER(Input!B426),IF(AND(Input!B426&gt;=20,Input!B426&lt;=700),Input!B426,""),"")</f>
        <v/>
      </c>
      <c r="C426">
        <f>IF(B426="","",INT(A426))</f>
        <v/>
      </c>
      <c r="D426">
        <f>IF(B426="","",HOUR(A426))</f>
        <v/>
      </c>
    </row>
    <row r="427">
      <c r="A427">
        <f>Input!A427</f>
        <v/>
      </c>
      <c r="B427">
        <f>IF(ISNUMBER(Input!B427),IF(AND(Input!B427&gt;=20,Input!B427&lt;=700),Input!B427,""),"")</f>
        <v/>
      </c>
      <c r="C427">
        <f>IF(B427="","",INT(A427))</f>
        <v/>
      </c>
      <c r="D427">
        <f>IF(B427="","",HOUR(A427))</f>
        <v/>
      </c>
    </row>
    <row r="428">
      <c r="A428">
        <f>Input!A428</f>
        <v/>
      </c>
      <c r="B428">
        <f>IF(ISNUMBER(Input!B428),IF(AND(Input!B428&gt;=20,Input!B428&lt;=700),Input!B428,""),"")</f>
        <v/>
      </c>
      <c r="C428">
        <f>IF(B428="","",INT(A428))</f>
        <v/>
      </c>
      <c r="D428">
        <f>IF(B428="","",HOUR(A428))</f>
        <v/>
      </c>
    </row>
    <row r="429">
      <c r="A429">
        <f>Input!A429</f>
        <v/>
      </c>
      <c r="B429">
        <f>IF(ISNUMBER(Input!B429),IF(AND(Input!B429&gt;=20,Input!B429&lt;=700),Input!B429,""),"")</f>
        <v/>
      </c>
      <c r="C429">
        <f>IF(B429="","",INT(A429))</f>
        <v/>
      </c>
      <c r="D429">
        <f>IF(B429="","",HOUR(A429))</f>
        <v/>
      </c>
    </row>
    <row r="430">
      <c r="A430">
        <f>Input!A430</f>
        <v/>
      </c>
      <c r="B430">
        <f>IF(ISNUMBER(Input!B430),IF(AND(Input!B430&gt;=20,Input!B430&lt;=700),Input!B430,""),"")</f>
        <v/>
      </c>
      <c r="C430">
        <f>IF(B430="","",INT(A430))</f>
        <v/>
      </c>
      <c r="D430">
        <f>IF(B430="","",HOUR(A430))</f>
        <v/>
      </c>
    </row>
    <row r="431">
      <c r="A431">
        <f>Input!A431</f>
        <v/>
      </c>
      <c r="B431">
        <f>IF(ISNUMBER(Input!B431),IF(AND(Input!B431&gt;=20,Input!B431&lt;=700),Input!B431,""),"")</f>
        <v/>
      </c>
      <c r="C431">
        <f>IF(B431="","",INT(A431))</f>
        <v/>
      </c>
      <c r="D431">
        <f>IF(B431="","",HOUR(A431))</f>
        <v/>
      </c>
    </row>
    <row r="432">
      <c r="A432">
        <f>Input!A432</f>
        <v/>
      </c>
      <c r="B432">
        <f>IF(ISNUMBER(Input!B432),IF(AND(Input!B432&gt;=20,Input!B432&lt;=700),Input!B432,""),"")</f>
        <v/>
      </c>
      <c r="C432">
        <f>IF(B432="","",INT(A432))</f>
        <v/>
      </c>
      <c r="D432">
        <f>IF(B432="","",HOUR(A432))</f>
        <v/>
      </c>
    </row>
    <row r="433">
      <c r="A433">
        <f>Input!A433</f>
        <v/>
      </c>
      <c r="B433">
        <f>IF(ISNUMBER(Input!B433),IF(AND(Input!B433&gt;=20,Input!B433&lt;=700),Input!B433,""),"")</f>
        <v/>
      </c>
      <c r="C433">
        <f>IF(B433="","",INT(A433))</f>
        <v/>
      </c>
      <c r="D433">
        <f>IF(B433="","",HOUR(A433))</f>
        <v/>
      </c>
    </row>
    <row r="434">
      <c r="A434">
        <f>Input!A434</f>
        <v/>
      </c>
      <c r="B434">
        <f>IF(ISNUMBER(Input!B434),IF(AND(Input!B434&gt;=20,Input!B434&lt;=700),Input!B434,""),"")</f>
        <v/>
      </c>
      <c r="C434">
        <f>IF(B434="","",INT(A434))</f>
        <v/>
      </c>
      <c r="D434">
        <f>IF(B434="","",HOUR(A434))</f>
        <v/>
      </c>
    </row>
    <row r="435">
      <c r="A435">
        <f>Input!A435</f>
        <v/>
      </c>
      <c r="B435">
        <f>IF(ISNUMBER(Input!B435),IF(AND(Input!B435&gt;=20,Input!B435&lt;=700),Input!B435,""),"")</f>
        <v/>
      </c>
      <c r="C435">
        <f>IF(B435="","",INT(A435))</f>
        <v/>
      </c>
      <c r="D435">
        <f>IF(B435="","",HOUR(A435))</f>
        <v/>
      </c>
    </row>
    <row r="436">
      <c r="A436">
        <f>Input!A436</f>
        <v/>
      </c>
      <c r="B436">
        <f>IF(ISNUMBER(Input!B436),IF(AND(Input!B436&gt;=20,Input!B436&lt;=700),Input!B436,""),"")</f>
        <v/>
      </c>
      <c r="C436">
        <f>IF(B436="","",INT(A436))</f>
        <v/>
      </c>
      <c r="D436">
        <f>IF(B436="","",HOUR(A436))</f>
        <v/>
      </c>
    </row>
    <row r="437">
      <c r="A437">
        <f>Input!A437</f>
        <v/>
      </c>
      <c r="B437">
        <f>IF(ISNUMBER(Input!B437),IF(AND(Input!B437&gt;=20,Input!B437&lt;=700),Input!B437,""),"")</f>
        <v/>
      </c>
      <c r="C437">
        <f>IF(B437="","",INT(A437))</f>
        <v/>
      </c>
      <c r="D437">
        <f>IF(B437="","",HOUR(A437))</f>
        <v/>
      </c>
    </row>
    <row r="438">
      <c r="A438">
        <f>Input!A438</f>
        <v/>
      </c>
      <c r="B438">
        <f>IF(ISNUMBER(Input!B438),IF(AND(Input!B438&gt;=20,Input!B438&lt;=700),Input!B438,""),"")</f>
        <v/>
      </c>
      <c r="C438">
        <f>IF(B438="","",INT(A438))</f>
        <v/>
      </c>
      <c r="D438">
        <f>IF(B438="","",HOUR(A438))</f>
        <v/>
      </c>
    </row>
    <row r="439">
      <c r="A439">
        <f>Input!A439</f>
        <v/>
      </c>
      <c r="B439">
        <f>IF(ISNUMBER(Input!B439),IF(AND(Input!B439&gt;=20,Input!B439&lt;=700),Input!B439,""),"")</f>
        <v/>
      </c>
      <c r="C439">
        <f>IF(B439="","",INT(A439))</f>
        <v/>
      </c>
      <c r="D439">
        <f>IF(B439="","",HOUR(A439))</f>
        <v/>
      </c>
    </row>
    <row r="440">
      <c r="A440">
        <f>Input!A440</f>
        <v/>
      </c>
      <c r="B440">
        <f>IF(ISNUMBER(Input!B440),IF(AND(Input!B440&gt;=20,Input!B440&lt;=700),Input!B440,""),"")</f>
        <v/>
      </c>
      <c r="C440">
        <f>IF(B440="","",INT(A440))</f>
        <v/>
      </c>
      <c r="D440">
        <f>IF(B440="","",HOUR(A440))</f>
        <v/>
      </c>
    </row>
    <row r="441">
      <c r="A441">
        <f>Input!A441</f>
        <v/>
      </c>
      <c r="B441">
        <f>IF(ISNUMBER(Input!B441),IF(AND(Input!B441&gt;=20,Input!B441&lt;=700),Input!B441,""),"")</f>
        <v/>
      </c>
      <c r="C441">
        <f>IF(B441="","",INT(A441))</f>
        <v/>
      </c>
      <c r="D441">
        <f>IF(B441="","",HOUR(A441))</f>
        <v/>
      </c>
    </row>
    <row r="442">
      <c r="A442">
        <f>Input!A442</f>
        <v/>
      </c>
      <c r="B442">
        <f>IF(ISNUMBER(Input!B442),IF(AND(Input!B442&gt;=20,Input!B442&lt;=700),Input!B442,""),"")</f>
        <v/>
      </c>
      <c r="C442">
        <f>IF(B442="","",INT(A442))</f>
        <v/>
      </c>
      <c r="D442">
        <f>IF(B442="","",HOUR(A442))</f>
        <v/>
      </c>
    </row>
    <row r="443">
      <c r="A443">
        <f>Input!A443</f>
        <v/>
      </c>
      <c r="B443">
        <f>IF(ISNUMBER(Input!B443),IF(AND(Input!B443&gt;=20,Input!B443&lt;=700),Input!B443,""),"")</f>
        <v/>
      </c>
      <c r="C443">
        <f>IF(B443="","",INT(A443))</f>
        <v/>
      </c>
      <c r="D443">
        <f>IF(B443="","",HOUR(A443))</f>
        <v/>
      </c>
    </row>
    <row r="444">
      <c r="A444">
        <f>Input!A444</f>
        <v/>
      </c>
      <c r="B444">
        <f>IF(ISNUMBER(Input!B444),IF(AND(Input!B444&gt;=20,Input!B444&lt;=700),Input!B444,""),"")</f>
        <v/>
      </c>
      <c r="C444">
        <f>IF(B444="","",INT(A444))</f>
        <v/>
      </c>
      <c r="D444">
        <f>IF(B444="","",HOUR(A444))</f>
        <v/>
      </c>
    </row>
    <row r="445">
      <c r="A445">
        <f>Input!A445</f>
        <v/>
      </c>
      <c r="B445">
        <f>IF(ISNUMBER(Input!B445),IF(AND(Input!B445&gt;=20,Input!B445&lt;=700),Input!B445,""),"")</f>
        <v/>
      </c>
      <c r="C445">
        <f>IF(B445="","",INT(A445))</f>
        <v/>
      </c>
      <c r="D445">
        <f>IF(B445="","",HOUR(A445))</f>
        <v/>
      </c>
    </row>
    <row r="446">
      <c r="A446">
        <f>Input!A446</f>
        <v/>
      </c>
      <c r="B446">
        <f>IF(ISNUMBER(Input!B446),IF(AND(Input!B446&gt;=20,Input!B446&lt;=700),Input!B446,""),"")</f>
        <v/>
      </c>
      <c r="C446">
        <f>IF(B446="","",INT(A446))</f>
        <v/>
      </c>
      <c r="D446">
        <f>IF(B446="","",HOUR(A446))</f>
        <v/>
      </c>
    </row>
    <row r="447">
      <c r="A447">
        <f>Input!A447</f>
        <v/>
      </c>
      <c r="B447">
        <f>IF(ISNUMBER(Input!B447),IF(AND(Input!B447&gt;=20,Input!B447&lt;=700),Input!B447,""),"")</f>
        <v/>
      </c>
      <c r="C447">
        <f>IF(B447="","",INT(A447))</f>
        <v/>
      </c>
      <c r="D447">
        <f>IF(B447="","",HOUR(A447))</f>
        <v/>
      </c>
    </row>
    <row r="448">
      <c r="A448">
        <f>Input!A448</f>
        <v/>
      </c>
      <c r="B448">
        <f>IF(ISNUMBER(Input!B448),IF(AND(Input!B448&gt;=20,Input!B448&lt;=700),Input!B448,""),"")</f>
        <v/>
      </c>
      <c r="C448">
        <f>IF(B448="","",INT(A448))</f>
        <v/>
      </c>
      <c r="D448">
        <f>IF(B448="","",HOUR(A448))</f>
        <v/>
      </c>
    </row>
    <row r="449">
      <c r="A449">
        <f>Input!A449</f>
        <v/>
      </c>
      <c r="B449">
        <f>IF(ISNUMBER(Input!B449),IF(AND(Input!B449&gt;=20,Input!B449&lt;=700),Input!B449,""),"")</f>
        <v/>
      </c>
      <c r="C449">
        <f>IF(B449="","",INT(A449))</f>
        <v/>
      </c>
      <c r="D449">
        <f>IF(B449="","",HOUR(A449))</f>
        <v/>
      </c>
    </row>
    <row r="450">
      <c r="A450">
        <f>Input!A450</f>
        <v/>
      </c>
      <c r="B450">
        <f>IF(ISNUMBER(Input!B450),IF(AND(Input!B450&gt;=20,Input!B450&lt;=700),Input!B450,""),"")</f>
        <v/>
      </c>
      <c r="C450">
        <f>IF(B450="","",INT(A450))</f>
        <v/>
      </c>
      <c r="D450">
        <f>IF(B450="","",HOUR(A450))</f>
        <v/>
      </c>
    </row>
    <row r="451">
      <c r="A451">
        <f>Input!A451</f>
        <v/>
      </c>
      <c r="B451">
        <f>IF(ISNUMBER(Input!B451),IF(AND(Input!B451&gt;=20,Input!B451&lt;=700),Input!B451,""),"")</f>
        <v/>
      </c>
      <c r="C451">
        <f>IF(B451="","",INT(A451))</f>
        <v/>
      </c>
      <c r="D451">
        <f>IF(B451="","",HOUR(A451))</f>
        <v/>
      </c>
    </row>
    <row r="452">
      <c r="A452">
        <f>Input!A452</f>
        <v/>
      </c>
      <c r="B452">
        <f>IF(ISNUMBER(Input!B452),IF(AND(Input!B452&gt;=20,Input!B452&lt;=700),Input!B452,""),"")</f>
        <v/>
      </c>
      <c r="C452">
        <f>IF(B452="","",INT(A452))</f>
        <v/>
      </c>
      <c r="D452">
        <f>IF(B452="","",HOUR(A452))</f>
        <v/>
      </c>
    </row>
    <row r="453">
      <c r="A453">
        <f>Input!A453</f>
        <v/>
      </c>
      <c r="B453">
        <f>IF(ISNUMBER(Input!B453),IF(AND(Input!B453&gt;=20,Input!B453&lt;=700),Input!B453,""),"")</f>
        <v/>
      </c>
      <c r="C453">
        <f>IF(B453="","",INT(A453))</f>
        <v/>
      </c>
      <c r="D453">
        <f>IF(B453="","",HOUR(A453))</f>
        <v/>
      </c>
    </row>
    <row r="454">
      <c r="A454">
        <f>Input!A454</f>
        <v/>
      </c>
      <c r="B454">
        <f>IF(ISNUMBER(Input!B454),IF(AND(Input!B454&gt;=20,Input!B454&lt;=700),Input!B454,""),"")</f>
        <v/>
      </c>
      <c r="C454">
        <f>IF(B454="","",INT(A454))</f>
        <v/>
      </c>
      <c r="D454">
        <f>IF(B454="","",HOUR(A454))</f>
        <v/>
      </c>
    </row>
    <row r="455">
      <c r="A455">
        <f>Input!A455</f>
        <v/>
      </c>
      <c r="B455">
        <f>IF(ISNUMBER(Input!B455),IF(AND(Input!B455&gt;=20,Input!B455&lt;=700),Input!B455,""),"")</f>
        <v/>
      </c>
      <c r="C455">
        <f>IF(B455="","",INT(A455))</f>
        <v/>
      </c>
      <c r="D455">
        <f>IF(B455="","",HOUR(A455))</f>
        <v/>
      </c>
    </row>
    <row r="456">
      <c r="A456">
        <f>Input!A456</f>
        <v/>
      </c>
      <c r="B456">
        <f>IF(ISNUMBER(Input!B456),IF(AND(Input!B456&gt;=20,Input!B456&lt;=700),Input!B456,""),"")</f>
        <v/>
      </c>
      <c r="C456">
        <f>IF(B456="","",INT(A456))</f>
        <v/>
      </c>
      <c r="D456">
        <f>IF(B456="","",HOUR(A456))</f>
        <v/>
      </c>
    </row>
    <row r="457">
      <c r="A457">
        <f>Input!A457</f>
        <v/>
      </c>
      <c r="B457">
        <f>IF(ISNUMBER(Input!B457),IF(AND(Input!B457&gt;=20,Input!B457&lt;=700),Input!B457,""),"")</f>
        <v/>
      </c>
      <c r="C457">
        <f>IF(B457="","",INT(A457))</f>
        <v/>
      </c>
      <c r="D457">
        <f>IF(B457="","",HOUR(A457))</f>
        <v/>
      </c>
    </row>
    <row r="458">
      <c r="A458">
        <f>Input!A458</f>
        <v/>
      </c>
      <c r="B458">
        <f>IF(ISNUMBER(Input!B458),IF(AND(Input!B458&gt;=20,Input!B458&lt;=700),Input!B458,""),"")</f>
        <v/>
      </c>
      <c r="C458">
        <f>IF(B458="","",INT(A458))</f>
        <v/>
      </c>
      <c r="D458">
        <f>IF(B458="","",HOUR(A458))</f>
        <v/>
      </c>
    </row>
    <row r="459">
      <c r="A459">
        <f>Input!A459</f>
        <v/>
      </c>
      <c r="B459">
        <f>IF(ISNUMBER(Input!B459),IF(AND(Input!B459&gt;=20,Input!B459&lt;=700),Input!B459,""),"")</f>
        <v/>
      </c>
      <c r="C459">
        <f>IF(B459="","",INT(A459))</f>
        <v/>
      </c>
      <c r="D459">
        <f>IF(B459="","",HOUR(A459))</f>
        <v/>
      </c>
    </row>
    <row r="460">
      <c r="A460">
        <f>Input!A460</f>
        <v/>
      </c>
      <c r="B460">
        <f>IF(ISNUMBER(Input!B460),IF(AND(Input!B460&gt;=20,Input!B460&lt;=700),Input!B460,""),"")</f>
        <v/>
      </c>
      <c r="C460">
        <f>IF(B460="","",INT(A460))</f>
        <v/>
      </c>
      <c r="D460">
        <f>IF(B460="","",HOUR(A460))</f>
        <v/>
      </c>
    </row>
    <row r="461">
      <c r="A461">
        <f>Input!A461</f>
        <v/>
      </c>
      <c r="B461">
        <f>IF(ISNUMBER(Input!B461),IF(AND(Input!B461&gt;=20,Input!B461&lt;=700),Input!B461,""),"")</f>
        <v/>
      </c>
      <c r="C461">
        <f>IF(B461="","",INT(A461))</f>
        <v/>
      </c>
      <c r="D461">
        <f>IF(B461="","",HOUR(A461))</f>
        <v/>
      </c>
    </row>
    <row r="462">
      <c r="A462">
        <f>Input!A462</f>
        <v/>
      </c>
      <c r="B462">
        <f>IF(ISNUMBER(Input!B462),IF(AND(Input!B462&gt;=20,Input!B462&lt;=700),Input!B462,""),"")</f>
        <v/>
      </c>
      <c r="C462">
        <f>IF(B462="","",INT(A462))</f>
        <v/>
      </c>
      <c r="D462">
        <f>IF(B462="","",HOUR(A462))</f>
        <v/>
      </c>
    </row>
    <row r="463">
      <c r="A463">
        <f>Input!A463</f>
        <v/>
      </c>
      <c r="B463">
        <f>IF(ISNUMBER(Input!B463),IF(AND(Input!B463&gt;=20,Input!B463&lt;=700),Input!B463,""),"")</f>
        <v/>
      </c>
      <c r="C463">
        <f>IF(B463="","",INT(A463))</f>
        <v/>
      </c>
      <c r="D463">
        <f>IF(B463="","",HOUR(A463))</f>
        <v/>
      </c>
    </row>
    <row r="464">
      <c r="A464">
        <f>Input!A464</f>
        <v/>
      </c>
      <c r="B464">
        <f>IF(ISNUMBER(Input!B464),IF(AND(Input!B464&gt;=20,Input!B464&lt;=700),Input!B464,""),"")</f>
        <v/>
      </c>
      <c r="C464">
        <f>IF(B464="","",INT(A464))</f>
        <v/>
      </c>
      <c r="D464">
        <f>IF(B464="","",HOUR(A464))</f>
        <v/>
      </c>
    </row>
    <row r="465">
      <c r="A465">
        <f>Input!A465</f>
        <v/>
      </c>
      <c r="B465">
        <f>IF(ISNUMBER(Input!B465),IF(AND(Input!B465&gt;=20,Input!B465&lt;=700),Input!B465,""),"")</f>
        <v/>
      </c>
      <c r="C465">
        <f>IF(B465="","",INT(A465))</f>
        <v/>
      </c>
      <c r="D465">
        <f>IF(B465="","",HOUR(A465))</f>
        <v/>
      </c>
    </row>
    <row r="466">
      <c r="A466">
        <f>Input!A466</f>
        <v/>
      </c>
      <c r="B466">
        <f>IF(ISNUMBER(Input!B466),IF(AND(Input!B466&gt;=20,Input!B466&lt;=700),Input!B466,""),"")</f>
        <v/>
      </c>
      <c r="C466">
        <f>IF(B466="","",INT(A466))</f>
        <v/>
      </c>
      <c r="D466">
        <f>IF(B466="","",HOUR(A466))</f>
        <v/>
      </c>
    </row>
    <row r="467">
      <c r="A467">
        <f>Input!A467</f>
        <v/>
      </c>
      <c r="B467">
        <f>IF(ISNUMBER(Input!B467),IF(AND(Input!B467&gt;=20,Input!B467&lt;=700),Input!B467,""),"")</f>
        <v/>
      </c>
      <c r="C467">
        <f>IF(B467="","",INT(A467))</f>
        <v/>
      </c>
      <c r="D467">
        <f>IF(B467="","",HOUR(A467))</f>
        <v/>
      </c>
    </row>
    <row r="468">
      <c r="A468">
        <f>Input!A468</f>
        <v/>
      </c>
      <c r="B468">
        <f>IF(ISNUMBER(Input!B468),IF(AND(Input!B468&gt;=20,Input!B468&lt;=700),Input!B468,""),"")</f>
        <v/>
      </c>
      <c r="C468">
        <f>IF(B468="","",INT(A468))</f>
        <v/>
      </c>
      <c r="D468">
        <f>IF(B468="","",HOUR(A468))</f>
        <v/>
      </c>
    </row>
    <row r="469">
      <c r="A469">
        <f>Input!A469</f>
        <v/>
      </c>
      <c r="B469">
        <f>IF(ISNUMBER(Input!B469),IF(AND(Input!B469&gt;=20,Input!B469&lt;=700),Input!B469,""),"")</f>
        <v/>
      </c>
      <c r="C469">
        <f>IF(B469="","",INT(A469))</f>
        <v/>
      </c>
      <c r="D469">
        <f>IF(B469="","",HOUR(A469))</f>
        <v/>
      </c>
    </row>
    <row r="470">
      <c r="A470">
        <f>Input!A470</f>
        <v/>
      </c>
      <c r="B470">
        <f>IF(ISNUMBER(Input!B470),IF(AND(Input!B470&gt;=20,Input!B470&lt;=700),Input!B470,""),"")</f>
        <v/>
      </c>
      <c r="C470">
        <f>IF(B470="","",INT(A470))</f>
        <v/>
      </c>
      <c r="D470">
        <f>IF(B470="","",HOUR(A470))</f>
        <v/>
      </c>
    </row>
    <row r="471">
      <c r="A471">
        <f>Input!A471</f>
        <v/>
      </c>
      <c r="B471">
        <f>IF(ISNUMBER(Input!B471),IF(AND(Input!B471&gt;=20,Input!B471&lt;=700),Input!B471,""),"")</f>
        <v/>
      </c>
      <c r="C471">
        <f>IF(B471="","",INT(A471))</f>
        <v/>
      </c>
      <c r="D471">
        <f>IF(B471="","",HOUR(A471))</f>
        <v/>
      </c>
    </row>
    <row r="472">
      <c r="A472">
        <f>Input!A472</f>
        <v/>
      </c>
      <c r="B472">
        <f>IF(ISNUMBER(Input!B472),IF(AND(Input!B472&gt;=20,Input!B472&lt;=700),Input!B472,""),"")</f>
        <v/>
      </c>
      <c r="C472">
        <f>IF(B472="","",INT(A472))</f>
        <v/>
      </c>
      <c r="D472">
        <f>IF(B472="","",HOUR(A472))</f>
        <v/>
      </c>
    </row>
    <row r="473">
      <c r="A473">
        <f>Input!A473</f>
        <v/>
      </c>
      <c r="B473">
        <f>IF(ISNUMBER(Input!B473),IF(AND(Input!B473&gt;=20,Input!B473&lt;=700),Input!B473,""),"")</f>
        <v/>
      </c>
      <c r="C473">
        <f>IF(B473="","",INT(A473))</f>
        <v/>
      </c>
      <c r="D473">
        <f>IF(B473="","",HOUR(A473))</f>
        <v/>
      </c>
    </row>
    <row r="474">
      <c r="A474">
        <f>Input!A474</f>
        <v/>
      </c>
      <c r="B474">
        <f>IF(ISNUMBER(Input!B474),IF(AND(Input!B474&gt;=20,Input!B474&lt;=700),Input!B474,""),"")</f>
        <v/>
      </c>
      <c r="C474">
        <f>IF(B474="","",INT(A474))</f>
        <v/>
      </c>
      <c r="D474">
        <f>IF(B474="","",HOUR(A474))</f>
        <v/>
      </c>
    </row>
    <row r="475">
      <c r="A475">
        <f>Input!A475</f>
        <v/>
      </c>
      <c r="B475">
        <f>IF(ISNUMBER(Input!B475),IF(AND(Input!B475&gt;=20,Input!B475&lt;=700),Input!B475,""),"")</f>
        <v/>
      </c>
      <c r="C475">
        <f>IF(B475="","",INT(A475))</f>
        <v/>
      </c>
      <c r="D475">
        <f>IF(B475="","",HOUR(A475))</f>
        <v/>
      </c>
    </row>
    <row r="476">
      <c r="A476">
        <f>Input!A476</f>
        <v/>
      </c>
      <c r="B476">
        <f>IF(ISNUMBER(Input!B476),IF(AND(Input!B476&gt;=20,Input!B476&lt;=700),Input!B476,""),"")</f>
        <v/>
      </c>
      <c r="C476">
        <f>IF(B476="","",INT(A476))</f>
        <v/>
      </c>
      <c r="D476">
        <f>IF(B476="","",HOUR(A476))</f>
        <v/>
      </c>
    </row>
    <row r="477">
      <c r="A477">
        <f>Input!A477</f>
        <v/>
      </c>
      <c r="B477">
        <f>IF(ISNUMBER(Input!B477),IF(AND(Input!B477&gt;=20,Input!B477&lt;=700),Input!B477,""),"")</f>
        <v/>
      </c>
      <c r="C477">
        <f>IF(B477="","",INT(A477))</f>
        <v/>
      </c>
      <c r="D477">
        <f>IF(B477="","",HOUR(A477))</f>
        <v/>
      </c>
    </row>
    <row r="478">
      <c r="A478">
        <f>Input!A478</f>
        <v/>
      </c>
      <c r="B478">
        <f>IF(ISNUMBER(Input!B478),IF(AND(Input!B478&gt;=20,Input!B478&lt;=700),Input!B478,""),"")</f>
        <v/>
      </c>
      <c r="C478">
        <f>IF(B478="","",INT(A478))</f>
        <v/>
      </c>
      <c r="D478">
        <f>IF(B478="","",HOUR(A478))</f>
        <v/>
      </c>
    </row>
    <row r="479">
      <c r="A479">
        <f>Input!A479</f>
        <v/>
      </c>
      <c r="B479">
        <f>IF(ISNUMBER(Input!B479),IF(AND(Input!B479&gt;=20,Input!B479&lt;=700),Input!B479,""),"")</f>
        <v/>
      </c>
      <c r="C479">
        <f>IF(B479="","",INT(A479))</f>
        <v/>
      </c>
      <c r="D479">
        <f>IF(B479="","",HOUR(A479))</f>
        <v/>
      </c>
    </row>
    <row r="480">
      <c r="A480">
        <f>Input!A480</f>
        <v/>
      </c>
      <c r="B480">
        <f>IF(ISNUMBER(Input!B480),IF(AND(Input!B480&gt;=20,Input!B480&lt;=700),Input!B480,""),"")</f>
        <v/>
      </c>
      <c r="C480">
        <f>IF(B480="","",INT(A480))</f>
        <v/>
      </c>
      <c r="D480">
        <f>IF(B480="","",HOUR(A480))</f>
        <v/>
      </c>
    </row>
    <row r="481">
      <c r="A481">
        <f>Input!A481</f>
        <v/>
      </c>
      <c r="B481">
        <f>IF(ISNUMBER(Input!B481),IF(AND(Input!B481&gt;=20,Input!B481&lt;=700),Input!B481,""),"")</f>
        <v/>
      </c>
      <c r="C481">
        <f>IF(B481="","",INT(A481))</f>
        <v/>
      </c>
      <c r="D481">
        <f>IF(B481="","",HOUR(A481))</f>
        <v/>
      </c>
    </row>
    <row r="482">
      <c r="A482">
        <f>Input!A482</f>
        <v/>
      </c>
      <c r="B482">
        <f>IF(ISNUMBER(Input!B482),IF(AND(Input!B482&gt;=20,Input!B482&lt;=700),Input!B482,""),"")</f>
        <v/>
      </c>
      <c r="C482">
        <f>IF(B482="","",INT(A482))</f>
        <v/>
      </c>
      <c r="D482">
        <f>IF(B482="","",HOUR(A482))</f>
        <v/>
      </c>
    </row>
    <row r="483">
      <c r="A483">
        <f>Input!A483</f>
        <v/>
      </c>
      <c r="B483">
        <f>IF(ISNUMBER(Input!B483),IF(AND(Input!B483&gt;=20,Input!B483&lt;=700),Input!B483,""),"")</f>
        <v/>
      </c>
      <c r="C483">
        <f>IF(B483="","",INT(A483))</f>
        <v/>
      </c>
      <c r="D483">
        <f>IF(B483="","",HOUR(A483))</f>
        <v/>
      </c>
    </row>
    <row r="484">
      <c r="A484">
        <f>Input!A484</f>
        <v/>
      </c>
      <c r="B484">
        <f>IF(ISNUMBER(Input!B484),IF(AND(Input!B484&gt;=20,Input!B484&lt;=700),Input!B484,""),"")</f>
        <v/>
      </c>
      <c r="C484">
        <f>IF(B484="","",INT(A484))</f>
        <v/>
      </c>
      <c r="D484">
        <f>IF(B484="","",HOUR(A484))</f>
        <v/>
      </c>
    </row>
    <row r="485">
      <c r="A485">
        <f>Input!A485</f>
        <v/>
      </c>
      <c r="B485">
        <f>IF(ISNUMBER(Input!B485),IF(AND(Input!B485&gt;=20,Input!B485&lt;=700),Input!B485,""),"")</f>
        <v/>
      </c>
      <c r="C485">
        <f>IF(B485="","",INT(A485))</f>
        <v/>
      </c>
      <c r="D485">
        <f>IF(B485="","",HOUR(A485))</f>
        <v/>
      </c>
    </row>
    <row r="486">
      <c r="A486">
        <f>Input!A486</f>
        <v/>
      </c>
      <c r="B486">
        <f>IF(ISNUMBER(Input!B486),IF(AND(Input!B486&gt;=20,Input!B486&lt;=700),Input!B486,""),"")</f>
        <v/>
      </c>
      <c r="C486">
        <f>IF(B486="","",INT(A486))</f>
        <v/>
      </c>
      <c r="D486">
        <f>IF(B486="","",HOUR(A486))</f>
        <v/>
      </c>
    </row>
    <row r="487">
      <c r="A487">
        <f>Input!A487</f>
        <v/>
      </c>
      <c r="B487">
        <f>IF(ISNUMBER(Input!B487),IF(AND(Input!B487&gt;=20,Input!B487&lt;=700),Input!B487,""),"")</f>
        <v/>
      </c>
      <c r="C487">
        <f>IF(B487="","",INT(A487))</f>
        <v/>
      </c>
      <c r="D487">
        <f>IF(B487="","",HOUR(A487))</f>
        <v/>
      </c>
    </row>
    <row r="488">
      <c r="A488">
        <f>Input!A488</f>
        <v/>
      </c>
      <c r="B488">
        <f>IF(ISNUMBER(Input!B488),IF(AND(Input!B488&gt;=20,Input!B488&lt;=700),Input!B488,""),"")</f>
        <v/>
      </c>
      <c r="C488">
        <f>IF(B488="","",INT(A488))</f>
        <v/>
      </c>
      <c r="D488">
        <f>IF(B488="","",HOUR(A488))</f>
        <v/>
      </c>
    </row>
    <row r="489">
      <c r="A489">
        <f>Input!A489</f>
        <v/>
      </c>
      <c r="B489">
        <f>IF(ISNUMBER(Input!B489),IF(AND(Input!B489&gt;=20,Input!B489&lt;=700),Input!B489,""),"")</f>
        <v/>
      </c>
      <c r="C489">
        <f>IF(B489="","",INT(A489))</f>
        <v/>
      </c>
      <c r="D489">
        <f>IF(B489="","",HOUR(A489))</f>
        <v/>
      </c>
    </row>
    <row r="490">
      <c r="A490">
        <f>Input!A490</f>
        <v/>
      </c>
      <c r="B490">
        <f>IF(ISNUMBER(Input!B490),IF(AND(Input!B490&gt;=20,Input!B490&lt;=700),Input!B490,""),"")</f>
        <v/>
      </c>
      <c r="C490">
        <f>IF(B490="","",INT(A490))</f>
        <v/>
      </c>
      <c r="D490">
        <f>IF(B490="","",HOUR(A490))</f>
        <v/>
      </c>
    </row>
    <row r="491">
      <c r="A491">
        <f>Input!A491</f>
        <v/>
      </c>
      <c r="B491">
        <f>IF(ISNUMBER(Input!B491),IF(AND(Input!B491&gt;=20,Input!B491&lt;=700),Input!B491,""),"")</f>
        <v/>
      </c>
      <c r="C491">
        <f>IF(B491="","",INT(A491))</f>
        <v/>
      </c>
      <c r="D491">
        <f>IF(B491="","",HOUR(A491))</f>
        <v/>
      </c>
    </row>
    <row r="492">
      <c r="A492">
        <f>Input!A492</f>
        <v/>
      </c>
      <c r="B492">
        <f>IF(ISNUMBER(Input!B492),IF(AND(Input!B492&gt;=20,Input!B492&lt;=700),Input!B492,""),"")</f>
        <v/>
      </c>
      <c r="C492">
        <f>IF(B492="","",INT(A492))</f>
        <v/>
      </c>
      <c r="D492">
        <f>IF(B492="","",HOUR(A492))</f>
        <v/>
      </c>
    </row>
    <row r="493">
      <c r="A493">
        <f>Input!A493</f>
        <v/>
      </c>
      <c r="B493">
        <f>IF(ISNUMBER(Input!B493),IF(AND(Input!B493&gt;=20,Input!B493&lt;=700),Input!B493,""),"")</f>
        <v/>
      </c>
      <c r="C493">
        <f>IF(B493="","",INT(A493))</f>
        <v/>
      </c>
      <c r="D493">
        <f>IF(B493="","",HOUR(A493))</f>
        <v/>
      </c>
    </row>
    <row r="494">
      <c r="A494">
        <f>Input!A494</f>
        <v/>
      </c>
      <c r="B494">
        <f>IF(ISNUMBER(Input!B494),IF(AND(Input!B494&gt;=20,Input!B494&lt;=700),Input!B494,""),"")</f>
        <v/>
      </c>
      <c r="C494">
        <f>IF(B494="","",INT(A494))</f>
        <v/>
      </c>
      <c r="D494">
        <f>IF(B494="","",HOUR(A494))</f>
        <v/>
      </c>
    </row>
    <row r="495">
      <c r="A495">
        <f>Input!A495</f>
        <v/>
      </c>
      <c r="B495">
        <f>IF(ISNUMBER(Input!B495),IF(AND(Input!B495&gt;=20,Input!B495&lt;=700),Input!B495,""),"")</f>
        <v/>
      </c>
      <c r="C495">
        <f>IF(B495="","",INT(A495))</f>
        <v/>
      </c>
      <c r="D495">
        <f>IF(B495="","",HOUR(A495))</f>
        <v/>
      </c>
    </row>
    <row r="496">
      <c r="A496">
        <f>Input!A496</f>
        <v/>
      </c>
      <c r="B496">
        <f>IF(ISNUMBER(Input!B496),IF(AND(Input!B496&gt;=20,Input!B496&lt;=700),Input!B496,""),"")</f>
        <v/>
      </c>
      <c r="C496">
        <f>IF(B496="","",INT(A496))</f>
        <v/>
      </c>
      <c r="D496">
        <f>IF(B496="","",HOUR(A496))</f>
        <v/>
      </c>
    </row>
    <row r="497">
      <c r="A497">
        <f>Input!A497</f>
        <v/>
      </c>
      <c r="B497">
        <f>IF(ISNUMBER(Input!B497),IF(AND(Input!B497&gt;=20,Input!B497&lt;=700),Input!B497,""),"")</f>
        <v/>
      </c>
      <c r="C497">
        <f>IF(B497="","",INT(A497))</f>
        <v/>
      </c>
      <c r="D497">
        <f>IF(B497="","",HOUR(A497))</f>
        <v/>
      </c>
    </row>
    <row r="498">
      <c r="A498">
        <f>Input!A498</f>
        <v/>
      </c>
      <c r="B498">
        <f>IF(ISNUMBER(Input!B498),IF(AND(Input!B498&gt;=20,Input!B498&lt;=700),Input!B498,""),"")</f>
        <v/>
      </c>
      <c r="C498">
        <f>IF(B498="","",INT(A498))</f>
        <v/>
      </c>
      <c r="D498">
        <f>IF(B498="","",HOUR(A498))</f>
        <v/>
      </c>
    </row>
    <row r="499">
      <c r="A499">
        <f>Input!A499</f>
        <v/>
      </c>
      <c r="B499">
        <f>IF(ISNUMBER(Input!B499),IF(AND(Input!B499&gt;=20,Input!B499&lt;=700),Input!B499,""),"")</f>
        <v/>
      </c>
      <c r="C499">
        <f>IF(B499="","",INT(A499))</f>
        <v/>
      </c>
      <c r="D499">
        <f>IF(B499="","",HOUR(A499))</f>
        <v/>
      </c>
    </row>
    <row r="500">
      <c r="A500">
        <f>Input!A500</f>
        <v/>
      </c>
      <c r="B500">
        <f>IF(ISNUMBER(Input!B500),IF(AND(Input!B500&gt;=20,Input!B500&lt;=700),Input!B500,""),"")</f>
        <v/>
      </c>
      <c r="C500">
        <f>IF(B500="","",INT(A500))</f>
        <v/>
      </c>
      <c r="D500">
        <f>IF(B500="","",HOUR(A500))</f>
        <v/>
      </c>
    </row>
    <row r="501">
      <c r="A501">
        <f>Input!A501</f>
        <v/>
      </c>
      <c r="B501">
        <f>IF(ISNUMBER(Input!B501),IF(AND(Input!B501&gt;=20,Input!B501&lt;=700),Input!B501,""),"")</f>
        <v/>
      </c>
      <c r="C501">
        <f>IF(B501="","",INT(A501))</f>
        <v/>
      </c>
      <c r="D501">
        <f>IF(B501="","",HOUR(A501))</f>
        <v/>
      </c>
    </row>
    <row r="502">
      <c r="A502">
        <f>Input!A502</f>
        <v/>
      </c>
      <c r="B502">
        <f>IF(ISNUMBER(Input!B502),IF(AND(Input!B502&gt;=20,Input!B502&lt;=700),Input!B502,""),"")</f>
        <v/>
      </c>
      <c r="C502">
        <f>IF(B502="","",INT(A502))</f>
        <v/>
      </c>
      <c r="D502">
        <f>IF(B502="","",HOUR(A502))</f>
        <v/>
      </c>
    </row>
    <row r="503">
      <c r="A503">
        <f>Input!A503</f>
        <v/>
      </c>
      <c r="B503">
        <f>IF(ISNUMBER(Input!B503),IF(AND(Input!B503&gt;=20,Input!B503&lt;=700),Input!B503,""),"")</f>
        <v/>
      </c>
      <c r="C503">
        <f>IF(B503="","",INT(A503))</f>
        <v/>
      </c>
      <c r="D503">
        <f>IF(B503="","",HOUR(A503))</f>
        <v/>
      </c>
    </row>
    <row r="504">
      <c r="A504">
        <f>Input!A504</f>
        <v/>
      </c>
      <c r="B504">
        <f>IF(ISNUMBER(Input!B504),IF(AND(Input!B504&gt;=20,Input!B504&lt;=700),Input!B504,""),"")</f>
        <v/>
      </c>
      <c r="C504">
        <f>IF(B504="","",INT(A504))</f>
        <v/>
      </c>
      <c r="D504">
        <f>IF(B504="","",HOUR(A504))</f>
        <v/>
      </c>
    </row>
    <row r="505">
      <c r="A505">
        <f>Input!A505</f>
        <v/>
      </c>
      <c r="B505">
        <f>IF(ISNUMBER(Input!B505),IF(AND(Input!B505&gt;=20,Input!B505&lt;=700),Input!B505,""),"")</f>
        <v/>
      </c>
      <c r="C505">
        <f>IF(B505="","",INT(A505))</f>
        <v/>
      </c>
      <c r="D505">
        <f>IF(B505="","",HOUR(A505))</f>
        <v/>
      </c>
    </row>
    <row r="506">
      <c r="A506">
        <f>Input!A506</f>
        <v/>
      </c>
      <c r="B506">
        <f>IF(ISNUMBER(Input!B506),IF(AND(Input!B506&gt;=20,Input!B506&lt;=700),Input!B506,""),"")</f>
        <v/>
      </c>
      <c r="C506">
        <f>IF(B506="","",INT(A506))</f>
        <v/>
      </c>
      <c r="D506">
        <f>IF(B506="","",HOUR(A506))</f>
        <v/>
      </c>
    </row>
    <row r="507">
      <c r="A507">
        <f>Input!A507</f>
        <v/>
      </c>
      <c r="B507">
        <f>IF(ISNUMBER(Input!B507),IF(AND(Input!B507&gt;=20,Input!B507&lt;=700),Input!B507,""),"")</f>
        <v/>
      </c>
      <c r="C507">
        <f>IF(B507="","",INT(A507))</f>
        <v/>
      </c>
      <c r="D507">
        <f>IF(B507="","",HOUR(A507))</f>
        <v/>
      </c>
    </row>
    <row r="508">
      <c r="A508">
        <f>Input!A508</f>
        <v/>
      </c>
      <c r="B508">
        <f>IF(ISNUMBER(Input!B508),IF(AND(Input!B508&gt;=20,Input!B508&lt;=700),Input!B508,""),"")</f>
        <v/>
      </c>
      <c r="C508">
        <f>IF(B508="","",INT(A508))</f>
        <v/>
      </c>
      <c r="D508">
        <f>IF(B508="","",HOUR(A508))</f>
        <v/>
      </c>
    </row>
    <row r="509">
      <c r="A509">
        <f>Input!A509</f>
        <v/>
      </c>
      <c r="B509">
        <f>IF(ISNUMBER(Input!B509),IF(AND(Input!B509&gt;=20,Input!B509&lt;=700),Input!B509,""),"")</f>
        <v/>
      </c>
      <c r="C509">
        <f>IF(B509="","",INT(A509))</f>
        <v/>
      </c>
      <c r="D509">
        <f>IF(B509="","",HOUR(A509))</f>
        <v/>
      </c>
    </row>
    <row r="510">
      <c r="A510">
        <f>Input!A510</f>
        <v/>
      </c>
      <c r="B510">
        <f>IF(ISNUMBER(Input!B510),IF(AND(Input!B510&gt;=20,Input!B510&lt;=700),Input!B510,""),"")</f>
        <v/>
      </c>
      <c r="C510">
        <f>IF(B510="","",INT(A510))</f>
        <v/>
      </c>
      <c r="D510">
        <f>IF(B510="","",HOUR(A510))</f>
        <v/>
      </c>
    </row>
    <row r="511">
      <c r="A511">
        <f>Input!A511</f>
        <v/>
      </c>
      <c r="B511">
        <f>IF(ISNUMBER(Input!B511),IF(AND(Input!B511&gt;=20,Input!B511&lt;=700),Input!B511,""),"")</f>
        <v/>
      </c>
      <c r="C511">
        <f>IF(B511="","",INT(A511))</f>
        <v/>
      </c>
      <c r="D511">
        <f>IF(B511="","",HOUR(A511))</f>
        <v/>
      </c>
    </row>
    <row r="512">
      <c r="A512">
        <f>Input!A512</f>
        <v/>
      </c>
      <c r="B512">
        <f>IF(ISNUMBER(Input!B512),IF(AND(Input!B512&gt;=20,Input!B512&lt;=700),Input!B512,""),"")</f>
        <v/>
      </c>
      <c r="C512">
        <f>IF(B512="","",INT(A512))</f>
        <v/>
      </c>
      <c r="D512">
        <f>IF(B512="","",HOUR(A512))</f>
        <v/>
      </c>
    </row>
    <row r="513">
      <c r="A513">
        <f>Input!A513</f>
        <v/>
      </c>
      <c r="B513">
        <f>IF(ISNUMBER(Input!B513),IF(AND(Input!B513&gt;=20,Input!B513&lt;=700),Input!B513,""),"")</f>
        <v/>
      </c>
      <c r="C513">
        <f>IF(B513="","",INT(A513))</f>
        <v/>
      </c>
      <c r="D513">
        <f>IF(B513="","",HOUR(A513))</f>
        <v/>
      </c>
    </row>
    <row r="514">
      <c r="A514">
        <f>Input!A514</f>
        <v/>
      </c>
      <c r="B514">
        <f>IF(ISNUMBER(Input!B514),IF(AND(Input!B514&gt;=20,Input!B514&lt;=700),Input!B514,""),"")</f>
        <v/>
      </c>
      <c r="C514">
        <f>IF(B514="","",INT(A514))</f>
        <v/>
      </c>
      <c r="D514">
        <f>IF(B514="","",HOUR(A514))</f>
        <v/>
      </c>
    </row>
    <row r="515">
      <c r="A515">
        <f>Input!A515</f>
        <v/>
      </c>
      <c r="B515">
        <f>IF(ISNUMBER(Input!B515),IF(AND(Input!B515&gt;=20,Input!B515&lt;=700),Input!B515,""),"")</f>
        <v/>
      </c>
      <c r="C515">
        <f>IF(B515="","",INT(A515))</f>
        <v/>
      </c>
      <c r="D515">
        <f>IF(B515="","",HOUR(A515))</f>
        <v/>
      </c>
    </row>
    <row r="516">
      <c r="A516">
        <f>Input!A516</f>
        <v/>
      </c>
      <c r="B516">
        <f>IF(ISNUMBER(Input!B516),IF(AND(Input!B516&gt;=20,Input!B516&lt;=700),Input!B516,""),"")</f>
        <v/>
      </c>
      <c r="C516">
        <f>IF(B516="","",INT(A516))</f>
        <v/>
      </c>
      <c r="D516">
        <f>IF(B516="","",HOUR(A516))</f>
        <v/>
      </c>
    </row>
    <row r="517">
      <c r="A517">
        <f>Input!A517</f>
        <v/>
      </c>
      <c r="B517">
        <f>IF(ISNUMBER(Input!B517),IF(AND(Input!B517&gt;=20,Input!B517&lt;=700),Input!B517,""),"")</f>
        <v/>
      </c>
      <c r="C517">
        <f>IF(B517="","",INT(A517))</f>
        <v/>
      </c>
      <c r="D517">
        <f>IF(B517="","",HOUR(A517))</f>
        <v/>
      </c>
    </row>
    <row r="518">
      <c r="A518">
        <f>Input!A518</f>
        <v/>
      </c>
      <c r="B518">
        <f>IF(ISNUMBER(Input!B518),IF(AND(Input!B518&gt;=20,Input!B518&lt;=700),Input!B518,""),"")</f>
        <v/>
      </c>
      <c r="C518">
        <f>IF(B518="","",INT(A518))</f>
        <v/>
      </c>
      <c r="D518">
        <f>IF(B518="","",HOUR(A518))</f>
        <v/>
      </c>
    </row>
    <row r="519">
      <c r="A519">
        <f>Input!A519</f>
        <v/>
      </c>
      <c r="B519">
        <f>IF(ISNUMBER(Input!B519),IF(AND(Input!B519&gt;=20,Input!B519&lt;=700),Input!B519,""),"")</f>
        <v/>
      </c>
      <c r="C519">
        <f>IF(B519="","",INT(A519))</f>
        <v/>
      </c>
      <c r="D519">
        <f>IF(B519="","",HOUR(A519))</f>
        <v/>
      </c>
    </row>
    <row r="520">
      <c r="A520">
        <f>Input!A520</f>
        <v/>
      </c>
      <c r="B520">
        <f>IF(ISNUMBER(Input!B520),IF(AND(Input!B520&gt;=20,Input!B520&lt;=700),Input!B520,""),"")</f>
        <v/>
      </c>
      <c r="C520">
        <f>IF(B520="","",INT(A520))</f>
        <v/>
      </c>
      <c r="D520">
        <f>IF(B520="","",HOUR(A520))</f>
        <v/>
      </c>
    </row>
    <row r="521">
      <c r="A521">
        <f>Input!A521</f>
        <v/>
      </c>
      <c r="B521">
        <f>IF(ISNUMBER(Input!B521),IF(AND(Input!B521&gt;=20,Input!B521&lt;=700),Input!B521,""),"")</f>
        <v/>
      </c>
      <c r="C521">
        <f>IF(B521="","",INT(A521))</f>
        <v/>
      </c>
      <c r="D521">
        <f>IF(B521="","",HOUR(A521))</f>
        <v/>
      </c>
    </row>
    <row r="522">
      <c r="A522">
        <f>Input!A522</f>
        <v/>
      </c>
      <c r="B522">
        <f>IF(ISNUMBER(Input!B522),IF(AND(Input!B522&gt;=20,Input!B522&lt;=700),Input!B522,""),"")</f>
        <v/>
      </c>
      <c r="C522">
        <f>IF(B522="","",INT(A522))</f>
        <v/>
      </c>
      <c r="D522">
        <f>IF(B522="","",HOUR(A522))</f>
        <v/>
      </c>
    </row>
    <row r="523">
      <c r="A523">
        <f>Input!A523</f>
        <v/>
      </c>
      <c r="B523">
        <f>IF(ISNUMBER(Input!B523),IF(AND(Input!B523&gt;=20,Input!B523&lt;=700),Input!B523,""),"")</f>
        <v/>
      </c>
      <c r="C523">
        <f>IF(B523="","",INT(A523))</f>
        <v/>
      </c>
      <c r="D523">
        <f>IF(B523="","",HOUR(A523))</f>
        <v/>
      </c>
    </row>
    <row r="524">
      <c r="A524">
        <f>Input!A524</f>
        <v/>
      </c>
      <c r="B524">
        <f>IF(ISNUMBER(Input!B524),IF(AND(Input!B524&gt;=20,Input!B524&lt;=700),Input!B524,""),"")</f>
        <v/>
      </c>
      <c r="C524">
        <f>IF(B524="","",INT(A524))</f>
        <v/>
      </c>
      <c r="D524">
        <f>IF(B524="","",HOUR(A524))</f>
        <v/>
      </c>
    </row>
    <row r="525">
      <c r="A525">
        <f>Input!A525</f>
        <v/>
      </c>
      <c r="B525">
        <f>IF(ISNUMBER(Input!B525),IF(AND(Input!B525&gt;=20,Input!B525&lt;=700),Input!B525,""),"")</f>
        <v/>
      </c>
      <c r="C525">
        <f>IF(B525="","",INT(A525))</f>
        <v/>
      </c>
      <c r="D525">
        <f>IF(B525="","",HOUR(A525))</f>
        <v/>
      </c>
    </row>
    <row r="526">
      <c r="A526">
        <f>Input!A526</f>
        <v/>
      </c>
      <c r="B526">
        <f>IF(ISNUMBER(Input!B526),IF(AND(Input!B526&gt;=20,Input!B526&lt;=700),Input!B526,""),"")</f>
        <v/>
      </c>
      <c r="C526">
        <f>IF(B526="","",INT(A526))</f>
        <v/>
      </c>
      <c r="D526">
        <f>IF(B526="","",HOUR(A526))</f>
        <v/>
      </c>
    </row>
    <row r="527">
      <c r="A527">
        <f>Input!A527</f>
        <v/>
      </c>
      <c r="B527">
        <f>IF(ISNUMBER(Input!B527),IF(AND(Input!B527&gt;=20,Input!B527&lt;=700),Input!B527,""),"")</f>
        <v/>
      </c>
      <c r="C527">
        <f>IF(B527="","",INT(A527))</f>
        <v/>
      </c>
      <c r="D527">
        <f>IF(B527="","",HOUR(A527))</f>
        <v/>
      </c>
    </row>
    <row r="528">
      <c r="A528">
        <f>Input!A528</f>
        <v/>
      </c>
      <c r="B528">
        <f>IF(ISNUMBER(Input!B528),IF(AND(Input!B528&gt;=20,Input!B528&lt;=700),Input!B528,""),"")</f>
        <v/>
      </c>
      <c r="C528">
        <f>IF(B528="","",INT(A528))</f>
        <v/>
      </c>
      <c r="D528">
        <f>IF(B528="","",HOUR(A528))</f>
        <v/>
      </c>
    </row>
    <row r="529">
      <c r="A529">
        <f>Input!A529</f>
        <v/>
      </c>
      <c r="B529">
        <f>IF(ISNUMBER(Input!B529),IF(AND(Input!B529&gt;=20,Input!B529&lt;=700),Input!B529,""),"")</f>
        <v/>
      </c>
      <c r="C529">
        <f>IF(B529="","",INT(A529))</f>
        <v/>
      </c>
      <c r="D529">
        <f>IF(B529="","",HOUR(A529))</f>
        <v/>
      </c>
    </row>
    <row r="530">
      <c r="A530">
        <f>Input!A530</f>
        <v/>
      </c>
      <c r="B530">
        <f>IF(ISNUMBER(Input!B530),IF(AND(Input!B530&gt;=20,Input!B530&lt;=700),Input!B530,""),"")</f>
        <v/>
      </c>
      <c r="C530">
        <f>IF(B530="","",INT(A530))</f>
        <v/>
      </c>
      <c r="D530">
        <f>IF(B530="","",HOUR(A530))</f>
        <v/>
      </c>
    </row>
    <row r="531">
      <c r="A531">
        <f>Input!A531</f>
        <v/>
      </c>
      <c r="B531">
        <f>IF(ISNUMBER(Input!B531),IF(AND(Input!B531&gt;=20,Input!B531&lt;=700),Input!B531,""),"")</f>
        <v/>
      </c>
      <c r="C531">
        <f>IF(B531="","",INT(A531))</f>
        <v/>
      </c>
      <c r="D531">
        <f>IF(B531="","",HOUR(A531))</f>
        <v/>
      </c>
    </row>
    <row r="532">
      <c r="A532">
        <f>Input!A532</f>
        <v/>
      </c>
      <c r="B532">
        <f>IF(ISNUMBER(Input!B532),IF(AND(Input!B532&gt;=20,Input!B532&lt;=700),Input!B532,""),"")</f>
        <v/>
      </c>
      <c r="C532">
        <f>IF(B532="","",INT(A532))</f>
        <v/>
      </c>
      <c r="D532">
        <f>IF(B532="","",HOUR(A532))</f>
        <v/>
      </c>
    </row>
    <row r="533">
      <c r="A533">
        <f>Input!A533</f>
        <v/>
      </c>
      <c r="B533">
        <f>IF(ISNUMBER(Input!B533),IF(AND(Input!B533&gt;=20,Input!B533&lt;=700),Input!B533,""),"")</f>
        <v/>
      </c>
      <c r="C533">
        <f>IF(B533="","",INT(A533))</f>
        <v/>
      </c>
      <c r="D533">
        <f>IF(B533="","",HOUR(A533))</f>
        <v/>
      </c>
    </row>
    <row r="534">
      <c r="A534">
        <f>Input!A534</f>
        <v/>
      </c>
      <c r="B534">
        <f>IF(ISNUMBER(Input!B534),IF(AND(Input!B534&gt;=20,Input!B534&lt;=700),Input!B534,""),"")</f>
        <v/>
      </c>
      <c r="C534">
        <f>IF(B534="","",INT(A534))</f>
        <v/>
      </c>
      <c r="D534">
        <f>IF(B534="","",HOUR(A534))</f>
        <v/>
      </c>
    </row>
    <row r="535">
      <c r="A535">
        <f>Input!A535</f>
        <v/>
      </c>
      <c r="B535">
        <f>IF(ISNUMBER(Input!B535),IF(AND(Input!B535&gt;=20,Input!B535&lt;=700),Input!B535,""),"")</f>
        <v/>
      </c>
      <c r="C535">
        <f>IF(B535="","",INT(A535))</f>
        <v/>
      </c>
      <c r="D535">
        <f>IF(B535="","",HOUR(A535))</f>
        <v/>
      </c>
    </row>
    <row r="536">
      <c r="A536">
        <f>Input!A536</f>
        <v/>
      </c>
      <c r="B536">
        <f>IF(ISNUMBER(Input!B536),IF(AND(Input!B536&gt;=20,Input!B536&lt;=700),Input!B536,""),"")</f>
        <v/>
      </c>
      <c r="C536">
        <f>IF(B536="","",INT(A536))</f>
        <v/>
      </c>
      <c r="D536">
        <f>IF(B536="","",HOUR(A536))</f>
        <v/>
      </c>
    </row>
    <row r="537">
      <c r="A537">
        <f>Input!A537</f>
        <v/>
      </c>
      <c r="B537">
        <f>IF(ISNUMBER(Input!B537),IF(AND(Input!B537&gt;=20,Input!B537&lt;=700),Input!B537,""),"")</f>
        <v/>
      </c>
      <c r="C537">
        <f>IF(B537="","",INT(A537))</f>
        <v/>
      </c>
      <c r="D537">
        <f>IF(B537="","",HOUR(A537))</f>
        <v/>
      </c>
    </row>
    <row r="538">
      <c r="A538">
        <f>Input!A538</f>
        <v/>
      </c>
      <c r="B538">
        <f>IF(ISNUMBER(Input!B538),IF(AND(Input!B538&gt;=20,Input!B538&lt;=700),Input!B538,""),"")</f>
        <v/>
      </c>
      <c r="C538">
        <f>IF(B538="","",INT(A538))</f>
        <v/>
      </c>
      <c r="D538">
        <f>IF(B538="","",HOUR(A538))</f>
        <v/>
      </c>
    </row>
    <row r="539">
      <c r="A539">
        <f>Input!A539</f>
        <v/>
      </c>
      <c r="B539">
        <f>IF(ISNUMBER(Input!B539),IF(AND(Input!B539&gt;=20,Input!B539&lt;=700),Input!B539,""),"")</f>
        <v/>
      </c>
      <c r="C539">
        <f>IF(B539="","",INT(A539))</f>
        <v/>
      </c>
      <c r="D539">
        <f>IF(B539="","",HOUR(A539))</f>
        <v/>
      </c>
    </row>
    <row r="540">
      <c r="A540">
        <f>Input!A540</f>
        <v/>
      </c>
      <c r="B540">
        <f>IF(ISNUMBER(Input!B540),IF(AND(Input!B540&gt;=20,Input!B540&lt;=700),Input!B540,""),"")</f>
        <v/>
      </c>
      <c r="C540">
        <f>IF(B540="","",INT(A540))</f>
        <v/>
      </c>
      <c r="D540">
        <f>IF(B540="","",HOUR(A540))</f>
        <v/>
      </c>
    </row>
    <row r="541">
      <c r="A541">
        <f>Input!A541</f>
        <v/>
      </c>
      <c r="B541">
        <f>IF(ISNUMBER(Input!B541),IF(AND(Input!B541&gt;=20,Input!B541&lt;=700),Input!B541,""),"")</f>
        <v/>
      </c>
      <c r="C541">
        <f>IF(B541="","",INT(A541))</f>
        <v/>
      </c>
      <c r="D541">
        <f>IF(B541="","",HOUR(A541))</f>
        <v/>
      </c>
    </row>
    <row r="542">
      <c r="A542">
        <f>Input!A542</f>
        <v/>
      </c>
      <c r="B542">
        <f>IF(ISNUMBER(Input!B542),IF(AND(Input!B542&gt;=20,Input!B542&lt;=700),Input!B542,""),"")</f>
        <v/>
      </c>
      <c r="C542">
        <f>IF(B542="","",INT(A542))</f>
        <v/>
      </c>
      <c r="D542">
        <f>IF(B542="","",HOUR(A542))</f>
        <v/>
      </c>
    </row>
    <row r="543">
      <c r="A543">
        <f>Input!A543</f>
        <v/>
      </c>
      <c r="B543">
        <f>IF(ISNUMBER(Input!B543),IF(AND(Input!B543&gt;=20,Input!B543&lt;=700),Input!B543,""),"")</f>
        <v/>
      </c>
      <c r="C543">
        <f>IF(B543="","",INT(A543))</f>
        <v/>
      </c>
      <c r="D543">
        <f>IF(B543="","",HOUR(A543))</f>
        <v/>
      </c>
    </row>
    <row r="544">
      <c r="A544">
        <f>Input!A544</f>
        <v/>
      </c>
      <c r="B544">
        <f>IF(ISNUMBER(Input!B544),IF(AND(Input!B544&gt;=20,Input!B544&lt;=700),Input!B544,""),"")</f>
        <v/>
      </c>
      <c r="C544">
        <f>IF(B544="","",INT(A544))</f>
        <v/>
      </c>
      <c r="D544">
        <f>IF(B544="","",HOUR(A544))</f>
        <v/>
      </c>
    </row>
    <row r="545">
      <c r="A545">
        <f>Input!A545</f>
        <v/>
      </c>
      <c r="B545">
        <f>IF(ISNUMBER(Input!B545),IF(AND(Input!B545&gt;=20,Input!B545&lt;=700),Input!B545,""),"")</f>
        <v/>
      </c>
      <c r="C545">
        <f>IF(B545="","",INT(A545))</f>
        <v/>
      </c>
      <c r="D545">
        <f>IF(B545="","",HOUR(A545))</f>
        <v/>
      </c>
    </row>
    <row r="546">
      <c r="A546">
        <f>Input!A546</f>
        <v/>
      </c>
      <c r="B546">
        <f>IF(ISNUMBER(Input!B546),IF(AND(Input!B546&gt;=20,Input!B546&lt;=700),Input!B546,""),"")</f>
        <v/>
      </c>
      <c r="C546">
        <f>IF(B546="","",INT(A546))</f>
        <v/>
      </c>
      <c r="D546">
        <f>IF(B546="","",HOUR(A546))</f>
        <v/>
      </c>
    </row>
    <row r="547">
      <c r="A547">
        <f>Input!A547</f>
        <v/>
      </c>
      <c r="B547">
        <f>IF(ISNUMBER(Input!B547),IF(AND(Input!B547&gt;=20,Input!B547&lt;=700),Input!B547,""),"")</f>
        <v/>
      </c>
      <c r="C547">
        <f>IF(B547="","",INT(A547))</f>
        <v/>
      </c>
      <c r="D547">
        <f>IF(B547="","",HOUR(A547))</f>
        <v/>
      </c>
    </row>
    <row r="548">
      <c r="A548">
        <f>Input!A548</f>
        <v/>
      </c>
      <c r="B548">
        <f>IF(ISNUMBER(Input!B548),IF(AND(Input!B548&gt;=20,Input!B548&lt;=700),Input!B548,""),"")</f>
        <v/>
      </c>
      <c r="C548">
        <f>IF(B548="","",INT(A548))</f>
        <v/>
      </c>
      <c r="D548">
        <f>IF(B548="","",HOUR(A548))</f>
        <v/>
      </c>
    </row>
    <row r="549">
      <c r="A549">
        <f>Input!A549</f>
        <v/>
      </c>
      <c r="B549">
        <f>IF(ISNUMBER(Input!B549),IF(AND(Input!B549&gt;=20,Input!B549&lt;=700),Input!B549,""),"")</f>
        <v/>
      </c>
      <c r="C549">
        <f>IF(B549="","",INT(A549))</f>
        <v/>
      </c>
      <c r="D549">
        <f>IF(B549="","",HOUR(A549))</f>
        <v/>
      </c>
    </row>
    <row r="550">
      <c r="A550">
        <f>Input!A550</f>
        <v/>
      </c>
      <c r="B550">
        <f>IF(ISNUMBER(Input!B550),IF(AND(Input!B550&gt;=20,Input!B550&lt;=700),Input!B550,""),"")</f>
        <v/>
      </c>
      <c r="C550">
        <f>IF(B550="","",INT(A550))</f>
        <v/>
      </c>
      <c r="D550">
        <f>IF(B550="","",HOUR(A550))</f>
        <v/>
      </c>
    </row>
    <row r="551">
      <c r="A551">
        <f>Input!A551</f>
        <v/>
      </c>
      <c r="B551">
        <f>IF(ISNUMBER(Input!B551),IF(AND(Input!B551&gt;=20,Input!B551&lt;=700),Input!B551,""),"")</f>
        <v/>
      </c>
      <c r="C551">
        <f>IF(B551="","",INT(A551))</f>
        <v/>
      </c>
      <c r="D551">
        <f>IF(B551="","",HOUR(A551))</f>
        <v/>
      </c>
    </row>
    <row r="552">
      <c r="A552">
        <f>Input!A552</f>
        <v/>
      </c>
      <c r="B552">
        <f>IF(ISNUMBER(Input!B552),IF(AND(Input!B552&gt;=20,Input!B552&lt;=700),Input!B552,""),"")</f>
        <v/>
      </c>
      <c r="C552">
        <f>IF(B552="","",INT(A552))</f>
        <v/>
      </c>
      <c r="D552">
        <f>IF(B552="","",HOUR(A552))</f>
        <v/>
      </c>
    </row>
    <row r="553">
      <c r="A553">
        <f>Input!A553</f>
        <v/>
      </c>
      <c r="B553">
        <f>IF(ISNUMBER(Input!B553),IF(AND(Input!B553&gt;=20,Input!B553&lt;=700),Input!B553,""),"")</f>
        <v/>
      </c>
      <c r="C553">
        <f>IF(B553="","",INT(A553))</f>
        <v/>
      </c>
      <c r="D553">
        <f>IF(B553="","",HOUR(A553))</f>
        <v/>
      </c>
    </row>
    <row r="554">
      <c r="A554">
        <f>Input!A554</f>
        <v/>
      </c>
      <c r="B554">
        <f>IF(ISNUMBER(Input!B554),IF(AND(Input!B554&gt;=20,Input!B554&lt;=700),Input!B554,""),"")</f>
        <v/>
      </c>
      <c r="C554">
        <f>IF(B554="","",INT(A554))</f>
        <v/>
      </c>
      <c r="D554">
        <f>IF(B554="","",HOUR(A554))</f>
        <v/>
      </c>
    </row>
    <row r="555">
      <c r="A555">
        <f>Input!A555</f>
        <v/>
      </c>
      <c r="B555">
        <f>IF(ISNUMBER(Input!B555),IF(AND(Input!B555&gt;=20,Input!B555&lt;=700),Input!B555,""),"")</f>
        <v/>
      </c>
      <c r="C555">
        <f>IF(B555="","",INT(A555))</f>
        <v/>
      </c>
      <c r="D555">
        <f>IF(B555="","",HOUR(A555))</f>
        <v/>
      </c>
    </row>
    <row r="556">
      <c r="A556">
        <f>Input!A556</f>
        <v/>
      </c>
      <c r="B556">
        <f>IF(ISNUMBER(Input!B556),IF(AND(Input!B556&gt;=20,Input!B556&lt;=700),Input!B556,""),"")</f>
        <v/>
      </c>
      <c r="C556">
        <f>IF(B556="","",INT(A556))</f>
        <v/>
      </c>
      <c r="D556">
        <f>IF(B556="","",HOUR(A556))</f>
        <v/>
      </c>
    </row>
    <row r="557">
      <c r="A557">
        <f>Input!A557</f>
        <v/>
      </c>
      <c r="B557">
        <f>IF(ISNUMBER(Input!B557),IF(AND(Input!B557&gt;=20,Input!B557&lt;=700),Input!B557,""),"")</f>
        <v/>
      </c>
      <c r="C557">
        <f>IF(B557="","",INT(A557))</f>
        <v/>
      </c>
      <c r="D557">
        <f>IF(B557="","",HOUR(A557))</f>
        <v/>
      </c>
    </row>
    <row r="558">
      <c r="A558">
        <f>Input!A558</f>
        <v/>
      </c>
      <c r="B558">
        <f>IF(ISNUMBER(Input!B558),IF(AND(Input!B558&gt;=20,Input!B558&lt;=700),Input!B558,""),"")</f>
        <v/>
      </c>
      <c r="C558">
        <f>IF(B558="","",INT(A558))</f>
        <v/>
      </c>
      <c r="D558">
        <f>IF(B558="","",HOUR(A558))</f>
        <v/>
      </c>
    </row>
    <row r="559">
      <c r="A559">
        <f>Input!A559</f>
        <v/>
      </c>
      <c r="B559">
        <f>IF(ISNUMBER(Input!B559),IF(AND(Input!B559&gt;=20,Input!B559&lt;=700),Input!B559,""),"")</f>
        <v/>
      </c>
      <c r="C559">
        <f>IF(B559="","",INT(A559))</f>
        <v/>
      </c>
      <c r="D559">
        <f>IF(B559="","",HOUR(A559))</f>
        <v/>
      </c>
    </row>
    <row r="560">
      <c r="A560">
        <f>Input!A560</f>
        <v/>
      </c>
      <c r="B560">
        <f>IF(ISNUMBER(Input!B560),IF(AND(Input!B560&gt;=20,Input!B560&lt;=700),Input!B560,""),"")</f>
        <v/>
      </c>
      <c r="C560">
        <f>IF(B560="","",INT(A560))</f>
        <v/>
      </c>
      <c r="D560">
        <f>IF(B560="","",HOUR(A560))</f>
        <v/>
      </c>
    </row>
    <row r="561">
      <c r="A561">
        <f>Input!A561</f>
        <v/>
      </c>
      <c r="B561">
        <f>IF(ISNUMBER(Input!B561),IF(AND(Input!B561&gt;=20,Input!B561&lt;=700),Input!B561,""),"")</f>
        <v/>
      </c>
      <c r="C561">
        <f>IF(B561="","",INT(A561))</f>
        <v/>
      </c>
      <c r="D561">
        <f>IF(B561="","",HOUR(A561))</f>
        <v/>
      </c>
    </row>
    <row r="562">
      <c r="A562">
        <f>Input!A562</f>
        <v/>
      </c>
      <c r="B562">
        <f>IF(ISNUMBER(Input!B562),IF(AND(Input!B562&gt;=20,Input!B562&lt;=700),Input!B562,""),"")</f>
        <v/>
      </c>
      <c r="C562">
        <f>IF(B562="","",INT(A562))</f>
        <v/>
      </c>
      <c r="D562">
        <f>IF(B562="","",HOUR(A562))</f>
        <v/>
      </c>
    </row>
    <row r="563">
      <c r="A563">
        <f>Input!A563</f>
        <v/>
      </c>
      <c r="B563">
        <f>IF(ISNUMBER(Input!B563),IF(AND(Input!B563&gt;=20,Input!B563&lt;=700),Input!B563,""),"")</f>
        <v/>
      </c>
      <c r="C563">
        <f>IF(B563="","",INT(A563))</f>
        <v/>
      </c>
      <c r="D563">
        <f>IF(B563="","",HOUR(A563))</f>
        <v/>
      </c>
    </row>
    <row r="564">
      <c r="A564">
        <f>Input!A564</f>
        <v/>
      </c>
      <c r="B564">
        <f>IF(ISNUMBER(Input!B564),IF(AND(Input!B564&gt;=20,Input!B564&lt;=700),Input!B564,""),"")</f>
        <v/>
      </c>
      <c r="C564">
        <f>IF(B564="","",INT(A564))</f>
        <v/>
      </c>
      <c r="D564">
        <f>IF(B564="","",HOUR(A564))</f>
        <v/>
      </c>
    </row>
    <row r="565">
      <c r="A565">
        <f>Input!A565</f>
        <v/>
      </c>
      <c r="B565">
        <f>IF(ISNUMBER(Input!B565),IF(AND(Input!B565&gt;=20,Input!B565&lt;=700),Input!B565,""),"")</f>
        <v/>
      </c>
      <c r="C565">
        <f>IF(B565="","",INT(A565))</f>
        <v/>
      </c>
      <c r="D565">
        <f>IF(B565="","",HOUR(A565))</f>
        <v/>
      </c>
    </row>
    <row r="566">
      <c r="A566">
        <f>Input!A566</f>
        <v/>
      </c>
      <c r="B566">
        <f>IF(ISNUMBER(Input!B566),IF(AND(Input!B566&gt;=20,Input!B566&lt;=700),Input!B566,""),"")</f>
        <v/>
      </c>
      <c r="C566">
        <f>IF(B566="","",INT(A566))</f>
        <v/>
      </c>
      <c r="D566">
        <f>IF(B566="","",HOUR(A566))</f>
        <v/>
      </c>
    </row>
    <row r="567">
      <c r="A567">
        <f>Input!A567</f>
        <v/>
      </c>
      <c r="B567">
        <f>IF(ISNUMBER(Input!B567),IF(AND(Input!B567&gt;=20,Input!B567&lt;=700),Input!B567,""),"")</f>
        <v/>
      </c>
      <c r="C567">
        <f>IF(B567="","",INT(A567))</f>
        <v/>
      </c>
      <c r="D567">
        <f>IF(B567="","",HOUR(A567))</f>
        <v/>
      </c>
    </row>
    <row r="568">
      <c r="A568">
        <f>Input!A568</f>
        <v/>
      </c>
      <c r="B568">
        <f>IF(ISNUMBER(Input!B568),IF(AND(Input!B568&gt;=20,Input!B568&lt;=700),Input!B568,""),"")</f>
        <v/>
      </c>
      <c r="C568">
        <f>IF(B568="","",INT(A568))</f>
        <v/>
      </c>
      <c r="D568">
        <f>IF(B568="","",HOUR(A568))</f>
        <v/>
      </c>
    </row>
    <row r="569">
      <c r="A569">
        <f>Input!A569</f>
        <v/>
      </c>
      <c r="B569">
        <f>IF(ISNUMBER(Input!B569),IF(AND(Input!B569&gt;=20,Input!B569&lt;=700),Input!B569,""),"")</f>
        <v/>
      </c>
      <c r="C569">
        <f>IF(B569="","",INT(A569))</f>
        <v/>
      </c>
      <c r="D569">
        <f>IF(B569="","",HOUR(A569))</f>
        <v/>
      </c>
    </row>
    <row r="570">
      <c r="A570">
        <f>Input!A570</f>
        <v/>
      </c>
      <c r="B570">
        <f>IF(ISNUMBER(Input!B570),IF(AND(Input!B570&gt;=20,Input!B570&lt;=700),Input!B570,""),"")</f>
        <v/>
      </c>
      <c r="C570">
        <f>IF(B570="","",INT(A570))</f>
        <v/>
      </c>
      <c r="D570">
        <f>IF(B570="","",HOUR(A570))</f>
        <v/>
      </c>
    </row>
    <row r="571">
      <c r="A571">
        <f>Input!A571</f>
        <v/>
      </c>
      <c r="B571">
        <f>IF(ISNUMBER(Input!B571),IF(AND(Input!B571&gt;=20,Input!B571&lt;=700),Input!B571,""),"")</f>
        <v/>
      </c>
      <c r="C571">
        <f>IF(B571="","",INT(A571))</f>
        <v/>
      </c>
      <c r="D571">
        <f>IF(B571="","",HOUR(A571))</f>
        <v/>
      </c>
    </row>
    <row r="572">
      <c r="A572">
        <f>Input!A572</f>
        <v/>
      </c>
      <c r="B572">
        <f>IF(ISNUMBER(Input!B572),IF(AND(Input!B572&gt;=20,Input!B572&lt;=700),Input!B572,""),"")</f>
        <v/>
      </c>
      <c r="C572">
        <f>IF(B572="","",INT(A572))</f>
        <v/>
      </c>
      <c r="D572">
        <f>IF(B572="","",HOUR(A572))</f>
        <v/>
      </c>
    </row>
    <row r="573">
      <c r="A573">
        <f>Input!A573</f>
        <v/>
      </c>
      <c r="B573">
        <f>IF(ISNUMBER(Input!B573),IF(AND(Input!B573&gt;=20,Input!B573&lt;=700),Input!B573,""),"")</f>
        <v/>
      </c>
      <c r="C573">
        <f>IF(B573="","",INT(A573))</f>
        <v/>
      </c>
      <c r="D573">
        <f>IF(B573="","",HOUR(A573))</f>
        <v/>
      </c>
    </row>
    <row r="574">
      <c r="A574">
        <f>Input!A574</f>
        <v/>
      </c>
      <c r="B574">
        <f>IF(ISNUMBER(Input!B574),IF(AND(Input!B574&gt;=20,Input!B574&lt;=700),Input!B574,""),"")</f>
        <v/>
      </c>
      <c r="C574">
        <f>IF(B574="","",INT(A574))</f>
        <v/>
      </c>
      <c r="D574">
        <f>IF(B574="","",HOUR(A574))</f>
        <v/>
      </c>
    </row>
    <row r="575">
      <c r="A575">
        <f>Input!A575</f>
        <v/>
      </c>
      <c r="B575">
        <f>IF(ISNUMBER(Input!B575),IF(AND(Input!B575&gt;=20,Input!B575&lt;=700),Input!B575,""),"")</f>
        <v/>
      </c>
      <c r="C575">
        <f>IF(B575="","",INT(A575))</f>
        <v/>
      </c>
      <c r="D575">
        <f>IF(B575="","",HOUR(A575))</f>
        <v/>
      </c>
    </row>
    <row r="576">
      <c r="A576">
        <f>Input!A576</f>
        <v/>
      </c>
      <c r="B576">
        <f>IF(ISNUMBER(Input!B576),IF(AND(Input!B576&gt;=20,Input!B576&lt;=700),Input!B576,""),"")</f>
        <v/>
      </c>
      <c r="C576">
        <f>IF(B576="","",INT(A576))</f>
        <v/>
      </c>
      <c r="D576">
        <f>IF(B576="","",HOUR(A576))</f>
        <v/>
      </c>
    </row>
    <row r="577">
      <c r="A577">
        <f>Input!A577</f>
        <v/>
      </c>
      <c r="B577">
        <f>IF(ISNUMBER(Input!B577),IF(AND(Input!B577&gt;=20,Input!B577&lt;=700),Input!B577,""),"")</f>
        <v/>
      </c>
      <c r="C577">
        <f>IF(B577="","",INT(A577))</f>
        <v/>
      </c>
      <c r="D577">
        <f>IF(B577="","",HOUR(A577))</f>
        <v/>
      </c>
    </row>
    <row r="578">
      <c r="A578">
        <f>Input!A578</f>
        <v/>
      </c>
      <c r="B578">
        <f>IF(ISNUMBER(Input!B578),IF(AND(Input!B578&gt;=20,Input!B578&lt;=700),Input!B578,""),"")</f>
        <v/>
      </c>
      <c r="C578">
        <f>IF(B578="","",INT(A578))</f>
        <v/>
      </c>
      <c r="D578">
        <f>IF(B578="","",HOUR(A578))</f>
        <v/>
      </c>
    </row>
    <row r="579">
      <c r="A579">
        <f>Input!A579</f>
        <v/>
      </c>
      <c r="B579">
        <f>IF(ISNUMBER(Input!B579),IF(AND(Input!B579&gt;=20,Input!B579&lt;=700),Input!B579,""),"")</f>
        <v/>
      </c>
      <c r="C579">
        <f>IF(B579="","",INT(A579))</f>
        <v/>
      </c>
      <c r="D579">
        <f>IF(B579="","",HOUR(A579))</f>
        <v/>
      </c>
    </row>
    <row r="580">
      <c r="A580">
        <f>Input!A580</f>
        <v/>
      </c>
      <c r="B580">
        <f>IF(ISNUMBER(Input!B580),IF(AND(Input!B580&gt;=20,Input!B580&lt;=700),Input!B580,""),"")</f>
        <v/>
      </c>
      <c r="C580">
        <f>IF(B580="","",INT(A580))</f>
        <v/>
      </c>
      <c r="D580">
        <f>IF(B580="","",HOUR(A580))</f>
        <v/>
      </c>
    </row>
    <row r="581">
      <c r="A581">
        <f>Input!A581</f>
        <v/>
      </c>
      <c r="B581">
        <f>IF(ISNUMBER(Input!B581),IF(AND(Input!B581&gt;=20,Input!B581&lt;=700),Input!B581,""),"")</f>
        <v/>
      </c>
      <c r="C581">
        <f>IF(B581="","",INT(A581))</f>
        <v/>
      </c>
      <c r="D581">
        <f>IF(B581="","",HOUR(A581))</f>
        <v/>
      </c>
    </row>
    <row r="582">
      <c r="A582">
        <f>Input!A582</f>
        <v/>
      </c>
      <c r="B582">
        <f>IF(ISNUMBER(Input!B582),IF(AND(Input!B582&gt;=20,Input!B582&lt;=700),Input!B582,""),"")</f>
        <v/>
      </c>
      <c r="C582">
        <f>IF(B582="","",INT(A582))</f>
        <v/>
      </c>
      <c r="D582">
        <f>IF(B582="","",HOUR(A582))</f>
        <v/>
      </c>
    </row>
    <row r="583">
      <c r="A583">
        <f>Input!A583</f>
        <v/>
      </c>
      <c r="B583">
        <f>IF(ISNUMBER(Input!B583),IF(AND(Input!B583&gt;=20,Input!B583&lt;=700),Input!B583,""),"")</f>
        <v/>
      </c>
      <c r="C583">
        <f>IF(B583="","",INT(A583))</f>
        <v/>
      </c>
      <c r="D583">
        <f>IF(B583="","",HOUR(A583))</f>
        <v/>
      </c>
    </row>
    <row r="584">
      <c r="A584">
        <f>Input!A584</f>
        <v/>
      </c>
      <c r="B584">
        <f>IF(ISNUMBER(Input!B584),IF(AND(Input!B584&gt;=20,Input!B584&lt;=700),Input!B584,""),"")</f>
        <v/>
      </c>
      <c r="C584">
        <f>IF(B584="","",INT(A584))</f>
        <v/>
      </c>
      <c r="D584">
        <f>IF(B584="","",HOUR(A584))</f>
        <v/>
      </c>
    </row>
    <row r="585">
      <c r="A585">
        <f>Input!A585</f>
        <v/>
      </c>
      <c r="B585">
        <f>IF(ISNUMBER(Input!B585),IF(AND(Input!B585&gt;=20,Input!B585&lt;=700),Input!B585,""),"")</f>
        <v/>
      </c>
      <c r="C585">
        <f>IF(B585="","",INT(A585))</f>
        <v/>
      </c>
      <c r="D585">
        <f>IF(B585="","",HOUR(A585))</f>
        <v/>
      </c>
    </row>
    <row r="586">
      <c r="A586">
        <f>Input!A586</f>
        <v/>
      </c>
      <c r="B586">
        <f>IF(ISNUMBER(Input!B586),IF(AND(Input!B586&gt;=20,Input!B586&lt;=700),Input!B586,""),"")</f>
        <v/>
      </c>
      <c r="C586">
        <f>IF(B586="","",INT(A586))</f>
        <v/>
      </c>
      <c r="D586">
        <f>IF(B586="","",HOUR(A586))</f>
        <v/>
      </c>
    </row>
    <row r="587">
      <c r="A587">
        <f>Input!A587</f>
        <v/>
      </c>
      <c r="B587">
        <f>IF(ISNUMBER(Input!B587),IF(AND(Input!B587&gt;=20,Input!B587&lt;=700),Input!B587,""),"")</f>
        <v/>
      </c>
      <c r="C587">
        <f>IF(B587="","",INT(A587))</f>
        <v/>
      </c>
      <c r="D587">
        <f>IF(B587="","",HOUR(A587))</f>
        <v/>
      </c>
    </row>
    <row r="588">
      <c r="A588">
        <f>Input!A588</f>
        <v/>
      </c>
      <c r="B588">
        <f>IF(ISNUMBER(Input!B588),IF(AND(Input!B588&gt;=20,Input!B588&lt;=700),Input!B588,""),"")</f>
        <v/>
      </c>
      <c r="C588">
        <f>IF(B588="","",INT(A588))</f>
        <v/>
      </c>
      <c r="D588">
        <f>IF(B588="","",HOUR(A588))</f>
        <v/>
      </c>
    </row>
    <row r="589">
      <c r="A589">
        <f>Input!A589</f>
        <v/>
      </c>
      <c r="B589">
        <f>IF(ISNUMBER(Input!B589),IF(AND(Input!B589&gt;=20,Input!B589&lt;=700),Input!B589,""),"")</f>
        <v/>
      </c>
      <c r="C589">
        <f>IF(B589="","",INT(A589))</f>
        <v/>
      </c>
      <c r="D589">
        <f>IF(B589="","",HOUR(A589))</f>
        <v/>
      </c>
    </row>
    <row r="590">
      <c r="A590">
        <f>Input!A590</f>
        <v/>
      </c>
      <c r="B590">
        <f>IF(ISNUMBER(Input!B590),IF(AND(Input!B590&gt;=20,Input!B590&lt;=700),Input!B590,""),"")</f>
        <v/>
      </c>
      <c r="C590">
        <f>IF(B590="","",INT(A590))</f>
        <v/>
      </c>
      <c r="D590">
        <f>IF(B590="","",HOUR(A590))</f>
        <v/>
      </c>
    </row>
    <row r="591">
      <c r="A591">
        <f>Input!A591</f>
        <v/>
      </c>
      <c r="B591">
        <f>IF(ISNUMBER(Input!B591),IF(AND(Input!B591&gt;=20,Input!B591&lt;=700),Input!B591,""),"")</f>
        <v/>
      </c>
      <c r="C591">
        <f>IF(B591="","",INT(A591))</f>
        <v/>
      </c>
      <c r="D591">
        <f>IF(B591="","",HOUR(A591))</f>
        <v/>
      </c>
    </row>
    <row r="592">
      <c r="A592">
        <f>Input!A592</f>
        <v/>
      </c>
      <c r="B592">
        <f>IF(ISNUMBER(Input!B592),IF(AND(Input!B592&gt;=20,Input!B592&lt;=700),Input!B592,""),"")</f>
        <v/>
      </c>
      <c r="C592">
        <f>IF(B592="","",INT(A592))</f>
        <v/>
      </c>
      <c r="D592">
        <f>IF(B592="","",HOUR(A592))</f>
        <v/>
      </c>
    </row>
    <row r="593">
      <c r="A593">
        <f>Input!A593</f>
        <v/>
      </c>
      <c r="B593">
        <f>IF(ISNUMBER(Input!B593),IF(AND(Input!B593&gt;=20,Input!B593&lt;=700),Input!B593,""),"")</f>
        <v/>
      </c>
      <c r="C593">
        <f>IF(B593="","",INT(A593))</f>
        <v/>
      </c>
      <c r="D593">
        <f>IF(B593="","",HOUR(A593))</f>
        <v/>
      </c>
    </row>
    <row r="594">
      <c r="A594">
        <f>Input!A594</f>
        <v/>
      </c>
      <c r="B594">
        <f>IF(ISNUMBER(Input!B594),IF(AND(Input!B594&gt;=20,Input!B594&lt;=700),Input!B594,""),"")</f>
        <v/>
      </c>
      <c r="C594">
        <f>IF(B594="","",INT(A594))</f>
        <v/>
      </c>
      <c r="D594">
        <f>IF(B594="","",HOUR(A594))</f>
        <v/>
      </c>
    </row>
    <row r="595">
      <c r="A595">
        <f>Input!A595</f>
        <v/>
      </c>
      <c r="B595">
        <f>IF(ISNUMBER(Input!B595),IF(AND(Input!B595&gt;=20,Input!B595&lt;=700),Input!B595,""),"")</f>
        <v/>
      </c>
      <c r="C595">
        <f>IF(B595="","",INT(A595))</f>
        <v/>
      </c>
      <c r="D595">
        <f>IF(B595="","",HOUR(A595))</f>
        <v/>
      </c>
    </row>
    <row r="596">
      <c r="A596">
        <f>Input!A596</f>
        <v/>
      </c>
      <c r="B596">
        <f>IF(ISNUMBER(Input!B596),IF(AND(Input!B596&gt;=20,Input!B596&lt;=700),Input!B596,""),"")</f>
        <v/>
      </c>
      <c r="C596">
        <f>IF(B596="","",INT(A596))</f>
        <v/>
      </c>
      <c r="D596">
        <f>IF(B596="","",HOUR(A596))</f>
        <v/>
      </c>
    </row>
    <row r="597">
      <c r="A597">
        <f>Input!A597</f>
        <v/>
      </c>
      <c r="B597">
        <f>IF(ISNUMBER(Input!B597),IF(AND(Input!B597&gt;=20,Input!B597&lt;=700),Input!B597,""),"")</f>
        <v/>
      </c>
      <c r="C597">
        <f>IF(B597="","",INT(A597))</f>
        <v/>
      </c>
      <c r="D597">
        <f>IF(B597="","",HOUR(A597))</f>
        <v/>
      </c>
    </row>
    <row r="598">
      <c r="A598">
        <f>Input!A598</f>
        <v/>
      </c>
      <c r="B598">
        <f>IF(ISNUMBER(Input!B598),IF(AND(Input!B598&gt;=20,Input!B598&lt;=700),Input!B598,""),"")</f>
        <v/>
      </c>
      <c r="C598">
        <f>IF(B598="","",INT(A598))</f>
        <v/>
      </c>
      <c r="D598">
        <f>IF(B598="","",HOUR(A598))</f>
        <v/>
      </c>
    </row>
    <row r="599">
      <c r="A599">
        <f>Input!A599</f>
        <v/>
      </c>
      <c r="B599">
        <f>IF(ISNUMBER(Input!B599),IF(AND(Input!B599&gt;=20,Input!B599&lt;=700),Input!B599,""),"")</f>
        <v/>
      </c>
      <c r="C599">
        <f>IF(B599="","",INT(A599))</f>
        <v/>
      </c>
      <c r="D599">
        <f>IF(B599="","",HOUR(A599))</f>
        <v/>
      </c>
    </row>
    <row r="600">
      <c r="A600">
        <f>Input!A600</f>
        <v/>
      </c>
      <c r="B600">
        <f>IF(ISNUMBER(Input!B600),IF(AND(Input!B600&gt;=20,Input!B600&lt;=700),Input!B600,""),"")</f>
        <v/>
      </c>
      <c r="C600">
        <f>IF(B600="","",INT(A600))</f>
        <v/>
      </c>
      <c r="D600">
        <f>IF(B600="","",HOUR(A600))</f>
        <v/>
      </c>
    </row>
    <row r="601">
      <c r="A601">
        <f>Input!A601</f>
        <v/>
      </c>
      <c r="B601">
        <f>IF(ISNUMBER(Input!B601),IF(AND(Input!B601&gt;=20,Input!B601&lt;=700),Input!B601,""),"")</f>
        <v/>
      </c>
      <c r="C601">
        <f>IF(B601="","",INT(A601))</f>
        <v/>
      </c>
      <c r="D601">
        <f>IF(B601="","",HOUR(A601))</f>
        <v/>
      </c>
    </row>
    <row r="602">
      <c r="A602">
        <f>Input!A602</f>
        <v/>
      </c>
      <c r="B602">
        <f>IF(ISNUMBER(Input!B602),IF(AND(Input!B602&gt;=20,Input!B602&lt;=700),Input!B602,""),"")</f>
        <v/>
      </c>
      <c r="C602">
        <f>IF(B602="","",INT(A602))</f>
        <v/>
      </c>
      <c r="D602">
        <f>IF(B602="","",HOUR(A602))</f>
        <v/>
      </c>
    </row>
    <row r="603">
      <c r="A603">
        <f>Input!A603</f>
        <v/>
      </c>
      <c r="B603">
        <f>IF(ISNUMBER(Input!B603),IF(AND(Input!B603&gt;=20,Input!B603&lt;=700),Input!B603,""),"")</f>
        <v/>
      </c>
      <c r="C603">
        <f>IF(B603="","",INT(A603))</f>
        <v/>
      </c>
      <c r="D603">
        <f>IF(B603="","",HOUR(A603))</f>
        <v/>
      </c>
    </row>
    <row r="604">
      <c r="A604">
        <f>Input!A604</f>
        <v/>
      </c>
      <c r="B604">
        <f>IF(ISNUMBER(Input!B604),IF(AND(Input!B604&gt;=20,Input!B604&lt;=700),Input!B604,""),"")</f>
        <v/>
      </c>
      <c r="C604">
        <f>IF(B604="","",INT(A604))</f>
        <v/>
      </c>
      <c r="D604">
        <f>IF(B604="","",HOUR(A604))</f>
        <v/>
      </c>
    </row>
    <row r="605">
      <c r="A605">
        <f>Input!A605</f>
        <v/>
      </c>
      <c r="B605">
        <f>IF(ISNUMBER(Input!B605),IF(AND(Input!B605&gt;=20,Input!B605&lt;=700),Input!B605,""),"")</f>
        <v/>
      </c>
      <c r="C605">
        <f>IF(B605="","",INT(A605))</f>
        <v/>
      </c>
      <c r="D605">
        <f>IF(B605="","",HOUR(A605))</f>
        <v/>
      </c>
    </row>
    <row r="606">
      <c r="A606">
        <f>Input!A606</f>
        <v/>
      </c>
      <c r="B606">
        <f>IF(ISNUMBER(Input!B606),IF(AND(Input!B606&gt;=20,Input!B606&lt;=700),Input!B606,""),"")</f>
        <v/>
      </c>
      <c r="C606">
        <f>IF(B606="","",INT(A606))</f>
        <v/>
      </c>
      <c r="D606">
        <f>IF(B606="","",HOUR(A606))</f>
        <v/>
      </c>
    </row>
    <row r="607">
      <c r="A607">
        <f>Input!A607</f>
        <v/>
      </c>
      <c r="B607">
        <f>IF(ISNUMBER(Input!B607),IF(AND(Input!B607&gt;=20,Input!B607&lt;=700),Input!B607,""),"")</f>
        <v/>
      </c>
      <c r="C607">
        <f>IF(B607="","",INT(A607))</f>
        <v/>
      </c>
      <c r="D607">
        <f>IF(B607="","",HOUR(A607))</f>
        <v/>
      </c>
    </row>
    <row r="608">
      <c r="A608">
        <f>Input!A608</f>
        <v/>
      </c>
      <c r="B608">
        <f>IF(ISNUMBER(Input!B608),IF(AND(Input!B608&gt;=20,Input!B608&lt;=700),Input!B608,""),"")</f>
        <v/>
      </c>
      <c r="C608">
        <f>IF(B608="","",INT(A608))</f>
        <v/>
      </c>
      <c r="D608">
        <f>IF(B608="","",HOUR(A608))</f>
        <v/>
      </c>
    </row>
    <row r="609">
      <c r="A609">
        <f>Input!A609</f>
        <v/>
      </c>
      <c r="B609">
        <f>IF(ISNUMBER(Input!B609),IF(AND(Input!B609&gt;=20,Input!B609&lt;=700),Input!B609,""),"")</f>
        <v/>
      </c>
      <c r="C609">
        <f>IF(B609="","",INT(A609))</f>
        <v/>
      </c>
      <c r="D609">
        <f>IF(B609="","",HOUR(A609))</f>
        <v/>
      </c>
    </row>
    <row r="610">
      <c r="A610">
        <f>Input!A610</f>
        <v/>
      </c>
      <c r="B610">
        <f>IF(ISNUMBER(Input!B610),IF(AND(Input!B610&gt;=20,Input!B610&lt;=700),Input!B610,""),"")</f>
        <v/>
      </c>
      <c r="C610">
        <f>IF(B610="","",INT(A610))</f>
        <v/>
      </c>
      <c r="D610">
        <f>IF(B610="","",HOUR(A610))</f>
        <v/>
      </c>
    </row>
    <row r="611">
      <c r="A611">
        <f>Input!A611</f>
        <v/>
      </c>
      <c r="B611">
        <f>IF(ISNUMBER(Input!B611),IF(AND(Input!B611&gt;=20,Input!B611&lt;=700),Input!B611,""),"")</f>
        <v/>
      </c>
      <c r="C611">
        <f>IF(B611="","",INT(A611))</f>
        <v/>
      </c>
      <c r="D611">
        <f>IF(B611="","",HOUR(A611))</f>
        <v/>
      </c>
    </row>
    <row r="612">
      <c r="A612">
        <f>Input!A612</f>
        <v/>
      </c>
      <c r="B612">
        <f>IF(ISNUMBER(Input!B612),IF(AND(Input!B612&gt;=20,Input!B612&lt;=700),Input!B612,""),"")</f>
        <v/>
      </c>
      <c r="C612">
        <f>IF(B612="","",INT(A612))</f>
        <v/>
      </c>
      <c r="D612">
        <f>IF(B612="","",HOUR(A612))</f>
        <v/>
      </c>
    </row>
    <row r="613">
      <c r="A613">
        <f>Input!A613</f>
        <v/>
      </c>
      <c r="B613">
        <f>IF(ISNUMBER(Input!B613),IF(AND(Input!B613&gt;=20,Input!B613&lt;=700),Input!B613,""),"")</f>
        <v/>
      </c>
      <c r="C613">
        <f>IF(B613="","",INT(A613))</f>
        <v/>
      </c>
      <c r="D613">
        <f>IF(B613="","",HOUR(A613))</f>
        <v/>
      </c>
    </row>
    <row r="614">
      <c r="A614">
        <f>Input!A614</f>
        <v/>
      </c>
      <c r="B614">
        <f>IF(ISNUMBER(Input!B614),IF(AND(Input!B614&gt;=20,Input!B614&lt;=700),Input!B614,""),"")</f>
        <v/>
      </c>
      <c r="C614">
        <f>IF(B614="","",INT(A614))</f>
        <v/>
      </c>
      <c r="D614">
        <f>IF(B614="","",HOUR(A614))</f>
        <v/>
      </c>
    </row>
    <row r="615">
      <c r="A615">
        <f>Input!A615</f>
        <v/>
      </c>
      <c r="B615">
        <f>IF(ISNUMBER(Input!B615),IF(AND(Input!B615&gt;=20,Input!B615&lt;=700),Input!B615,""),"")</f>
        <v/>
      </c>
      <c r="C615">
        <f>IF(B615="","",INT(A615))</f>
        <v/>
      </c>
      <c r="D615">
        <f>IF(B615="","",HOUR(A615))</f>
        <v/>
      </c>
    </row>
    <row r="616">
      <c r="A616">
        <f>Input!A616</f>
        <v/>
      </c>
      <c r="B616">
        <f>IF(ISNUMBER(Input!B616),IF(AND(Input!B616&gt;=20,Input!B616&lt;=700),Input!B616,""),"")</f>
        <v/>
      </c>
      <c r="C616">
        <f>IF(B616="","",INT(A616))</f>
        <v/>
      </c>
      <c r="D616">
        <f>IF(B616="","",HOUR(A616))</f>
        <v/>
      </c>
    </row>
    <row r="617">
      <c r="A617">
        <f>Input!A617</f>
        <v/>
      </c>
      <c r="B617">
        <f>IF(ISNUMBER(Input!B617),IF(AND(Input!B617&gt;=20,Input!B617&lt;=700),Input!B617,""),"")</f>
        <v/>
      </c>
      <c r="C617">
        <f>IF(B617="","",INT(A617))</f>
        <v/>
      </c>
      <c r="D617">
        <f>IF(B617="","",HOUR(A617))</f>
        <v/>
      </c>
    </row>
    <row r="618">
      <c r="A618">
        <f>Input!A618</f>
        <v/>
      </c>
      <c r="B618">
        <f>IF(ISNUMBER(Input!B618),IF(AND(Input!B618&gt;=20,Input!B618&lt;=700),Input!B618,""),"")</f>
        <v/>
      </c>
      <c r="C618">
        <f>IF(B618="","",INT(A618))</f>
        <v/>
      </c>
      <c r="D618">
        <f>IF(B618="","",HOUR(A618))</f>
        <v/>
      </c>
    </row>
    <row r="619">
      <c r="A619">
        <f>Input!A619</f>
        <v/>
      </c>
      <c r="B619">
        <f>IF(ISNUMBER(Input!B619),IF(AND(Input!B619&gt;=20,Input!B619&lt;=700),Input!B619,""),"")</f>
        <v/>
      </c>
      <c r="C619">
        <f>IF(B619="","",INT(A619))</f>
        <v/>
      </c>
      <c r="D619">
        <f>IF(B619="","",HOUR(A619))</f>
        <v/>
      </c>
    </row>
    <row r="620">
      <c r="A620">
        <f>Input!A620</f>
        <v/>
      </c>
      <c r="B620">
        <f>IF(ISNUMBER(Input!B620),IF(AND(Input!B620&gt;=20,Input!B620&lt;=700),Input!B620,""),"")</f>
        <v/>
      </c>
      <c r="C620">
        <f>IF(B620="","",INT(A620))</f>
        <v/>
      </c>
      <c r="D620">
        <f>IF(B620="","",HOUR(A620))</f>
        <v/>
      </c>
    </row>
    <row r="621">
      <c r="A621">
        <f>Input!A621</f>
        <v/>
      </c>
      <c r="B621">
        <f>IF(ISNUMBER(Input!B621),IF(AND(Input!B621&gt;=20,Input!B621&lt;=700),Input!B621,""),"")</f>
        <v/>
      </c>
      <c r="C621">
        <f>IF(B621="","",INT(A621))</f>
        <v/>
      </c>
      <c r="D621">
        <f>IF(B621="","",HOUR(A621))</f>
        <v/>
      </c>
    </row>
    <row r="622">
      <c r="A622">
        <f>Input!A622</f>
        <v/>
      </c>
      <c r="B622">
        <f>IF(ISNUMBER(Input!B622),IF(AND(Input!B622&gt;=20,Input!B622&lt;=700),Input!B622,""),"")</f>
        <v/>
      </c>
      <c r="C622">
        <f>IF(B622="","",INT(A622))</f>
        <v/>
      </c>
      <c r="D622">
        <f>IF(B622="","",HOUR(A622))</f>
        <v/>
      </c>
    </row>
    <row r="623">
      <c r="A623">
        <f>Input!A623</f>
        <v/>
      </c>
      <c r="B623">
        <f>IF(ISNUMBER(Input!B623),IF(AND(Input!B623&gt;=20,Input!B623&lt;=700),Input!B623,""),"")</f>
        <v/>
      </c>
      <c r="C623">
        <f>IF(B623="","",INT(A623))</f>
        <v/>
      </c>
      <c r="D623">
        <f>IF(B623="","",HOUR(A623))</f>
        <v/>
      </c>
    </row>
    <row r="624">
      <c r="A624">
        <f>Input!A624</f>
        <v/>
      </c>
      <c r="B624">
        <f>IF(ISNUMBER(Input!B624),IF(AND(Input!B624&gt;=20,Input!B624&lt;=700),Input!B624,""),"")</f>
        <v/>
      </c>
      <c r="C624">
        <f>IF(B624="","",INT(A624))</f>
        <v/>
      </c>
      <c r="D624">
        <f>IF(B624="","",HOUR(A624))</f>
        <v/>
      </c>
    </row>
    <row r="625">
      <c r="A625">
        <f>Input!A625</f>
        <v/>
      </c>
      <c r="B625">
        <f>IF(ISNUMBER(Input!B625),IF(AND(Input!B625&gt;=20,Input!B625&lt;=700),Input!B625,""),"")</f>
        <v/>
      </c>
      <c r="C625">
        <f>IF(B625="","",INT(A625))</f>
        <v/>
      </c>
      <c r="D625">
        <f>IF(B625="","",HOUR(A625))</f>
        <v/>
      </c>
    </row>
    <row r="626">
      <c r="A626">
        <f>Input!A626</f>
        <v/>
      </c>
      <c r="B626">
        <f>IF(ISNUMBER(Input!B626),IF(AND(Input!B626&gt;=20,Input!B626&lt;=700),Input!B626,""),"")</f>
        <v/>
      </c>
      <c r="C626">
        <f>IF(B626="","",INT(A626))</f>
        <v/>
      </c>
      <c r="D626">
        <f>IF(B626="","",HOUR(A626))</f>
        <v/>
      </c>
    </row>
    <row r="627">
      <c r="A627">
        <f>Input!A627</f>
        <v/>
      </c>
      <c r="B627">
        <f>IF(ISNUMBER(Input!B627),IF(AND(Input!B627&gt;=20,Input!B627&lt;=700),Input!B627,""),"")</f>
        <v/>
      </c>
      <c r="C627">
        <f>IF(B627="","",INT(A627))</f>
        <v/>
      </c>
      <c r="D627">
        <f>IF(B627="","",HOUR(A627))</f>
        <v/>
      </c>
    </row>
    <row r="628">
      <c r="A628">
        <f>Input!A628</f>
        <v/>
      </c>
      <c r="B628">
        <f>IF(ISNUMBER(Input!B628),IF(AND(Input!B628&gt;=20,Input!B628&lt;=700),Input!B628,""),"")</f>
        <v/>
      </c>
      <c r="C628">
        <f>IF(B628="","",INT(A628))</f>
        <v/>
      </c>
      <c r="D628">
        <f>IF(B628="","",HOUR(A628))</f>
        <v/>
      </c>
    </row>
    <row r="629">
      <c r="A629">
        <f>Input!A629</f>
        <v/>
      </c>
      <c r="B629">
        <f>IF(ISNUMBER(Input!B629),IF(AND(Input!B629&gt;=20,Input!B629&lt;=700),Input!B629,""),"")</f>
        <v/>
      </c>
      <c r="C629">
        <f>IF(B629="","",INT(A629))</f>
        <v/>
      </c>
      <c r="D629">
        <f>IF(B629="","",HOUR(A629))</f>
        <v/>
      </c>
    </row>
    <row r="630">
      <c r="A630">
        <f>Input!A630</f>
        <v/>
      </c>
      <c r="B630">
        <f>IF(ISNUMBER(Input!B630),IF(AND(Input!B630&gt;=20,Input!B630&lt;=700),Input!B630,""),"")</f>
        <v/>
      </c>
      <c r="C630">
        <f>IF(B630="","",INT(A630))</f>
        <v/>
      </c>
      <c r="D630">
        <f>IF(B630="","",HOUR(A630))</f>
        <v/>
      </c>
    </row>
    <row r="631">
      <c r="A631">
        <f>Input!A631</f>
        <v/>
      </c>
      <c r="B631">
        <f>IF(ISNUMBER(Input!B631),IF(AND(Input!B631&gt;=20,Input!B631&lt;=700),Input!B631,""),"")</f>
        <v/>
      </c>
      <c r="C631">
        <f>IF(B631="","",INT(A631))</f>
        <v/>
      </c>
      <c r="D631">
        <f>IF(B631="","",HOUR(A631))</f>
        <v/>
      </c>
    </row>
    <row r="632">
      <c r="A632">
        <f>Input!A632</f>
        <v/>
      </c>
      <c r="B632">
        <f>IF(ISNUMBER(Input!B632),IF(AND(Input!B632&gt;=20,Input!B632&lt;=700),Input!B632,""),"")</f>
        <v/>
      </c>
      <c r="C632">
        <f>IF(B632="","",INT(A632))</f>
        <v/>
      </c>
      <c r="D632">
        <f>IF(B632="","",HOUR(A632))</f>
        <v/>
      </c>
    </row>
    <row r="633">
      <c r="A633">
        <f>Input!A633</f>
        <v/>
      </c>
      <c r="B633">
        <f>IF(ISNUMBER(Input!B633),IF(AND(Input!B633&gt;=20,Input!B633&lt;=700),Input!B633,""),"")</f>
        <v/>
      </c>
      <c r="C633">
        <f>IF(B633="","",INT(A633))</f>
        <v/>
      </c>
      <c r="D633">
        <f>IF(B633="","",HOUR(A633))</f>
        <v/>
      </c>
    </row>
    <row r="634">
      <c r="A634">
        <f>Input!A634</f>
        <v/>
      </c>
      <c r="B634">
        <f>IF(ISNUMBER(Input!B634),IF(AND(Input!B634&gt;=20,Input!B634&lt;=700),Input!B634,""),"")</f>
        <v/>
      </c>
      <c r="C634">
        <f>IF(B634="","",INT(A634))</f>
        <v/>
      </c>
      <c r="D634">
        <f>IF(B634="","",HOUR(A634))</f>
        <v/>
      </c>
    </row>
    <row r="635">
      <c r="A635">
        <f>Input!A635</f>
        <v/>
      </c>
      <c r="B635">
        <f>IF(ISNUMBER(Input!B635),IF(AND(Input!B635&gt;=20,Input!B635&lt;=700),Input!B635,""),"")</f>
        <v/>
      </c>
      <c r="C635">
        <f>IF(B635="","",INT(A635))</f>
        <v/>
      </c>
      <c r="D635">
        <f>IF(B635="","",HOUR(A635))</f>
        <v/>
      </c>
    </row>
    <row r="636">
      <c r="A636">
        <f>Input!A636</f>
        <v/>
      </c>
      <c r="B636">
        <f>IF(ISNUMBER(Input!B636),IF(AND(Input!B636&gt;=20,Input!B636&lt;=700),Input!B636,""),"")</f>
        <v/>
      </c>
      <c r="C636">
        <f>IF(B636="","",INT(A636))</f>
        <v/>
      </c>
      <c r="D636">
        <f>IF(B636="","",HOUR(A636))</f>
        <v/>
      </c>
    </row>
    <row r="637">
      <c r="A637">
        <f>Input!A637</f>
        <v/>
      </c>
      <c r="B637">
        <f>IF(ISNUMBER(Input!B637),IF(AND(Input!B637&gt;=20,Input!B637&lt;=700),Input!B637,""),"")</f>
        <v/>
      </c>
      <c r="C637">
        <f>IF(B637="","",INT(A637))</f>
        <v/>
      </c>
      <c r="D637">
        <f>IF(B637="","",HOUR(A637))</f>
        <v/>
      </c>
    </row>
    <row r="638">
      <c r="A638">
        <f>Input!A638</f>
        <v/>
      </c>
      <c r="B638">
        <f>IF(ISNUMBER(Input!B638),IF(AND(Input!B638&gt;=20,Input!B638&lt;=700),Input!B638,""),"")</f>
        <v/>
      </c>
      <c r="C638">
        <f>IF(B638="","",INT(A638))</f>
        <v/>
      </c>
      <c r="D638">
        <f>IF(B638="","",HOUR(A638))</f>
        <v/>
      </c>
    </row>
    <row r="639">
      <c r="A639">
        <f>Input!A639</f>
        <v/>
      </c>
      <c r="B639">
        <f>IF(ISNUMBER(Input!B639),IF(AND(Input!B639&gt;=20,Input!B639&lt;=700),Input!B639,""),"")</f>
        <v/>
      </c>
      <c r="C639">
        <f>IF(B639="","",INT(A639))</f>
        <v/>
      </c>
      <c r="D639">
        <f>IF(B639="","",HOUR(A639))</f>
        <v/>
      </c>
    </row>
    <row r="640">
      <c r="A640">
        <f>Input!A640</f>
        <v/>
      </c>
      <c r="B640">
        <f>IF(ISNUMBER(Input!B640),IF(AND(Input!B640&gt;=20,Input!B640&lt;=700),Input!B640,""),"")</f>
        <v/>
      </c>
      <c r="C640">
        <f>IF(B640="","",INT(A640))</f>
        <v/>
      </c>
      <c r="D640">
        <f>IF(B640="","",HOUR(A640))</f>
        <v/>
      </c>
    </row>
    <row r="641">
      <c r="A641">
        <f>Input!A641</f>
        <v/>
      </c>
      <c r="B641">
        <f>IF(ISNUMBER(Input!B641),IF(AND(Input!B641&gt;=20,Input!B641&lt;=700),Input!B641,""),"")</f>
        <v/>
      </c>
      <c r="C641">
        <f>IF(B641="","",INT(A641))</f>
        <v/>
      </c>
      <c r="D641">
        <f>IF(B641="","",HOUR(A641))</f>
        <v/>
      </c>
    </row>
    <row r="642">
      <c r="A642">
        <f>Input!A642</f>
        <v/>
      </c>
      <c r="B642">
        <f>IF(ISNUMBER(Input!B642),IF(AND(Input!B642&gt;=20,Input!B642&lt;=700),Input!B642,""),"")</f>
        <v/>
      </c>
      <c r="C642">
        <f>IF(B642="","",INT(A642))</f>
        <v/>
      </c>
      <c r="D642">
        <f>IF(B642="","",HOUR(A642))</f>
        <v/>
      </c>
    </row>
    <row r="643">
      <c r="A643">
        <f>Input!A643</f>
        <v/>
      </c>
      <c r="B643">
        <f>IF(ISNUMBER(Input!B643),IF(AND(Input!B643&gt;=20,Input!B643&lt;=700),Input!B643,""),"")</f>
        <v/>
      </c>
      <c r="C643">
        <f>IF(B643="","",INT(A643))</f>
        <v/>
      </c>
      <c r="D643">
        <f>IF(B643="","",HOUR(A643))</f>
        <v/>
      </c>
    </row>
    <row r="644">
      <c r="A644">
        <f>Input!A644</f>
        <v/>
      </c>
      <c r="B644">
        <f>IF(ISNUMBER(Input!B644),IF(AND(Input!B644&gt;=20,Input!B644&lt;=700),Input!B644,""),"")</f>
        <v/>
      </c>
      <c r="C644">
        <f>IF(B644="","",INT(A644))</f>
        <v/>
      </c>
      <c r="D644">
        <f>IF(B644="","",HOUR(A644))</f>
        <v/>
      </c>
    </row>
    <row r="645">
      <c r="A645">
        <f>Input!A645</f>
        <v/>
      </c>
      <c r="B645">
        <f>IF(ISNUMBER(Input!B645),IF(AND(Input!B645&gt;=20,Input!B645&lt;=700),Input!B645,""),"")</f>
        <v/>
      </c>
      <c r="C645">
        <f>IF(B645="","",INT(A645))</f>
        <v/>
      </c>
      <c r="D645">
        <f>IF(B645="","",HOUR(A645))</f>
        <v/>
      </c>
    </row>
    <row r="646">
      <c r="A646">
        <f>Input!A646</f>
        <v/>
      </c>
      <c r="B646">
        <f>IF(ISNUMBER(Input!B646),IF(AND(Input!B646&gt;=20,Input!B646&lt;=700),Input!B646,""),"")</f>
        <v/>
      </c>
      <c r="C646">
        <f>IF(B646="","",INT(A646))</f>
        <v/>
      </c>
      <c r="D646">
        <f>IF(B646="","",HOUR(A646))</f>
        <v/>
      </c>
    </row>
    <row r="647">
      <c r="A647">
        <f>Input!A647</f>
        <v/>
      </c>
      <c r="B647">
        <f>IF(ISNUMBER(Input!B647),IF(AND(Input!B647&gt;=20,Input!B647&lt;=700),Input!B647,""),"")</f>
        <v/>
      </c>
      <c r="C647">
        <f>IF(B647="","",INT(A647))</f>
        <v/>
      </c>
      <c r="D647">
        <f>IF(B647="","",HOUR(A647))</f>
        <v/>
      </c>
    </row>
    <row r="648">
      <c r="A648">
        <f>Input!A648</f>
        <v/>
      </c>
      <c r="B648">
        <f>IF(ISNUMBER(Input!B648),IF(AND(Input!B648&gt;=20,Input!B648&lt;=700),Input!B648,""),"")</f>
        <v/>
      </c>
      <c r="C648">
        <f>IF(B648="","",INT(A648))</f>
        <v/>
      </c>
      <c r="D648">
        <f>IF(B648="","",HOUR(A648))</f>
        <v/>
      </c>
    </row>
    <row r="649">
      <c r="A649">
        <f>Input!A649</f>
        <v/>
      </c>
      <c r="B649">
        <f>IF(ISNUMBER(Input!B649),IF(AND(Input!B649&gt;=20,Input!B649&lt;=700),Input!B649,""),"")</f>
        <v/>
      </c>
      <c r="C649">
        <f>IF(B649="","",INT(A649))</f>
        <v/>
      </c>
      <c r="D649">
        <f>IF(B649="","",HOUR(A649))</f>
        <v/>
      </c>
    </row>
    <row r="650">
      <c r="A650">
        <f>Input!A650</f>
        <v/>
      </c>
      <c r="B650">
        <f>IF(ISNUMBER(Input!B650),IF(AND(Input!B650&gt;=20,Input!B650&lt;=700),Input!B650,""),"")</f>
        <v/>
      </c>
      <c r="C650">
        <f>IF(B650="","",INT(A650))</f>
        <v/>
      </c>
      <c r="D650">
        <f>IF(B650="","",HOUR(A650))</f>
        <v/>
      </c>
    </row>
    <row r="651">
      <c r="A651">
        <f>Input!A651</f>
        <v/>
      </c>
      <c r="B651">
        <f>IF(ISNUMBER(Input!B651),IF(AND(Input!B651&gt;=20,Input!B651&lt;=700),Input!B651,""),"")</f>
        <v/>
      </c>
      <c r="C651">
        <f>IF(B651="","",INT(A651))</f>
        <v/>
      </c>
      <c r="D651">
        <f>IF(B651="","",HOUR(A651))</f>
        <v/>
      </c>
    </row>
    <row r="652">
      <c r="A652">
        <f>Input!A652</f>
        <v/>
      </c>
      <c r="B652">
        <f>IF(ISNUMBER(Input!B652),IF(AND(Input!B652&gt;=20,Input!B652&lt;=700),Input!B652,""),"")</f>
        <v/>
      </c>
      <c r="C652">
        <f>IF(B652="","",INT(A652))</f>
        <v/>
      </c>
      <c r="D652">
        <f>IF(B652="","",HOUR(A652))</f>
        <v/>
      </c>
    </row>
    <row r="653">
      <c r="A653">
        <f>Input!A653</f>
        <v/>
      </c>
      <c r="B653">
        <f>IF(ISNUMBER(Input!B653),IF(AND(Input!B653&gt;=20,Input!B653&lt;=700),Input!B653,""),"")</f>
        <v/>
      </c>
      <c r="C653">
        <f>IF(B653="","",INT(A653))</f>
        <v/>
      </c>
      <c r="D653">
        <f>IF(B653="","",HOUR(A653))</f>
        <v/>
      </c>
    </row>
    <row r="654">
      <c r="A654">
        <f>Input!A654</f>
        <v/>
      </c>
      <c r="B654">
        <f>IF(ISNUMBER(Input!B654),IF(AND(Input!B654&gt;=20,Input!B654&lt;=700),Input!B654,""),"")</f>
        <v/>
      </c>
      <c r="C654">
        <f>IF(B654="","",INT(A654))</f>
        <v/>
      </c>
      <c r="D654">
        <f>IF(B654="","",HOUR(A654))</f>
        <v/>
      </c>
    </row>
    <row r="655">
      <c r="A655">
        <f>Input!A655</f>
        <v/>
      </c>
      <c r="B655">
        <f>IF(ISNUMBER(Input!B655),IF(AND(Input!B655&gt;=20,Input!B655&lt;=700),Input!B655,""),"")</f>
        <v/>
      </c>
      <c r="C655">
        <f>IF(B655="","",INT(A655))</f>
        <v/>
      </c>
      <c r="D655">
        <f>IF(B655="","",HOUR(A655))</f>
        <v/>
      </c>
    </row>
    <row r="656">
      <c r="A656">
        <f>Input!A656</f>
        <v/>
      </c>
      <c r="B656">
        <f>IF(ISNUMBER(Input!B656),IF(AND(Input!B656&gt;=20,Input!B656&lt;=700),Input!B656,""),"")</f>
        <v/>
      </c>
      <c r="C656">
        <f>IF(B656="","",INT(A656))</f>
        <v/>
      </c>
      <c r="D656">
        <f>IF(B656="","",HOUR(A656))</f>
        <v/>
      </c>
    </row>
    <row r="657">
      <c r="A657">
        <f>Input!A657</f>
        <v/>
      </c>
      <c r="B657">
        <f>IF(ISNUMBER(Input!B657),IF(AND(Input!B657&gt;=20,Input!B657&lt;=700),Input!B657,""),"")</f>
        <v/>
      </c>
      <c r="C657">
        <f>IF(B657="","",INT(A657))</f>
        <v/>
      </c>
      <c r="D657">
        <f>IF(B657="","",HOUR(A657))</f>
        <v/>
      </c>
    </row>
    <row r="658">
      <c r="A658">
        <f>Input!A658</f>
        <v/>
      </c>
      <c r="B658">
        <f>IF(ISNUMBER(Input!B658),IF(AND(Input!B658&gt;=20,Input!B658&lt;=700),Input!B658,""),"")</f>
        <v/>
      </c>
      <c r="C658">
        <f>IF(B658="","",INT(A658))</f>
        <v/>
      </c>
      <c r="D658">
        <f>IF(B658="","",HOUR(A658))</f>
        <v/>
      </c>
    </row>
    <row r="659">
      <c r="A659">
        <f>Input!A659</f>
        <v/>
      </c>
      <c r="B659">
        <f>IF(ISNUMBER(Input!B659),IF(AND(Input!B659&gt;=20,Input!B659&lt;=700),Input!B659,""),"")</f>
        <v/>
      </c>
      <c r="C659">
        <f>IF(B659="","",INT(A659))</f>
        <v/>
      </c>
      <c r="D659">
        <f>IF(B659="","",HOUR(A659))</f>
        <v/>
      </c>
    </row>
    <row r="660">
      <c r="A660">
        <f>Input!A660</f>
        <v/>
      </c>
      <c r="B660">
        <f>IF(ISNUMBER(Input!B660),IF(AND(Input!B660&gt;=20,Input!B660&lt;=700),Input!B660,""),"")</f>
        <v/>
      </c>
      <c r="C660">
        <f>IF(B660="","",INT(A660))</f>
        <v/>
      </c>
      <c r="D660">
        <f>IF(B660="","",HOUR(A660))</f>
        <v/>
      </c>
    </row>
    <row r="661">
      <c r="A661">
        <f>Input!A661</f>
        <v/>
      </c>
      <c r="B661">
        <f>IF(ISNUMBER(Input!B661),IF(AND(Input!B661&gt;=20,Input!B661&lt;=700),Input!B661,""),"")</f>
        <v/>
      </c>
      <c r="C661">
        <f>IF(B661="","",INT(A661))</f>
        <v/>
      </c>
      <c r="D661">
        <f>IF(B661="","",HOUR(A661))</f>
        <v/>
      </c>
    </row>
    <row r="662">
      <c r="A662">
        <f>Input!A662</f>
        <v/>
      </c>
      <c r="B662">
        <f>IF(ISNUMBER(Input!B662),IF(AND(Input!B662&gt;=20,Input!B662&lt;=700),Input!B662,""),"")</f>
        <v/>
      </c>
      <c r="C662">
        <f>IF(B662="","",INT(A662))</f>
        <v/>
      </c>
      <c r="D662">
        <f>IF(B662="","",HOUR(A662))</f>
        <v/>
      </c>
    </row>
    <row r="663">
      <c r="A663">
        <f>Input!A663</f>
        <v/>
      </c>
      <c r="B663">
        <f>IF(ISNUMBER(Input!B663),IF(AND(Input!B663&gt;=20,Input!B663&lt;=700),Input!B663,""),"")</f>
        <v/>
      </c>
      <c r="C663">
        <f>IF(B663="","",INT(A663))</f>
        <v/>
      </c>
      <c r="D663">
        <f>IF(B663="","",HOUR(A663))</f>
        <v/>
      </c>
    </row>
    <row r="664">
      <c r="A664">
        <f>Input!A664</f>
        <v/>
      </c>
      <c r="B664">
        <f>IF(ISNUMBER(Input!B664),IF(AND(Input!B664&gt;=20,Input!B664&lt;=700),Input!B664,""),"")</f>
        <v/>
      </c>
      <c r="C664">
        <f>IF(B664="","",INT(A664))</f>
        <v/>
      </c>
      <c r="D664">
        <f>IF(B664="","",HOUR(A664))</f>
        <v/>
      </c>
    </row>
    <row r="665">
      <c r="A665">
        <f>Input!A665</f>
        <v/>
      </c>
      <c r="B665">
        <f>IF(ISNUMBER(Input!B665),IF(AND(Input!B665&gt;=20,Input!B665&lt;=700),Input!B665,""),"")</f>
        <v/>
      </c>
      <c r="C665">
        <f>IF(B665="","",INT(A665))</f>
        <v/>
      </c>
      <c r="D665">
        <f>IF(B665="","",HOUR(A665))</f>
        <v/>
      </c>
    </row>
    <row r="666">
      <c r="A666">
        <f>Input!A666</f>
        <v/>
      </c>
      <c r="B666">
        <f>IF(ISNUMBER(Input!B666),IF(AND(Input!B666&gt;=20,Input!B666&lt;=700),Input!B666,""),"")</f>
        <v/>
      </c>
      <c r="C666">
        <f>IF(B666="","",INT(A666))</f>
        <v/>
      </c>
      <c r="D666">
        <f>IF(B666="","",HOUR(A666))</f>
        <v/>
      </c>
    </row>
    <row r="667">
      <c r="A667">
        <f>Input!A667</f>
        <v/>
      </c>
      <c r="B667">
        <f>IF(ISNUMBER(Input!B667),IF(AND(Input!B667&gt;=20,Input!B667&lt;=700),Input!B667,""),"")</f>
        <v/>
      </c>
      <c r="C667">
        <f>IF(B667="","",INT(A667))</f>
        <v/>
      </c>
      <c r="D667">
        <f>IF(B667="","",HOUR(A667))</f>
        <v/>
      </c>
    </row>
    <row r="668">
      <c r="A668">
        <f>Input!A668</f>
        <v/>
      </c>
      <c r="B668">
        <f>IF(ISNUMBER(Input!B668),IF(AND(Input!B668&gt;=20,Input!B668&lt;=700),Input!B668,""),"")</f>
        <v/>
      </c>
      <c r="C668">
        <f>IF(B668="","",INT(A668))</f>
        <v/>
      </c>
      <c r="D668">
        <f>IF(B668="","",HOUR(A668))</f>
        <v/>
      </c>
    </row>
    <row r="669">
      <c r="A669">
        <f>Input!A669</f>
        <v/>
      </c>
      <c r="B669">
        <f>IF(ISNUMBER(Input!B669),IF(AND(Input!B669&gt;=20,Input!B669&lt;=700),Input!B669,""),"")</f>
        <v/>
      </c>
      <c r="C669">
        <f>IF(B669="","",INT(A669))</f>
        <v/>
      </c>
      <c r="D669">
        <f>IF(B669="","",HOUR(A669))</f>
        <v/>
      </c>
    </row>
    <row r="670">
      <c r="A670">
        <f>Input!A670</f>
        <v/>
      </c>
      <c r="B670">
        <f>IF(ISNUMBER(Input!B670),IF(AND(Input!B670&gt;=20,Input!B670&lt;=700),Input!B670,""),"")</f>
        <v/>
      </c>
      <c r="C670">
        <f>IF(B670="","",INT(A670))</f>
        <v/>
      </c>
      <c r="D670">
        <f>IF(B670="","",HOUR(A670))</f>
        <v/>
      </c>
    </row>
    <row r="671">
      <c r="A671">
        <f>Input!A671</f>
        <v/>
      </c>
      <c r="B671">
        <f>IF(ISNUMBER(Input!B671),IF(AND(Input!B671&gt;=20,Input!B671&lt;=700),Input!B671,""),"")</f>
        <v/>
      </c>
      <c r="C671">
        <f>IF(B671="","",INT(A671))</f>
        <v/>
      </c>
      <c r="D671">
        <f>IF(B671="","",HOUR(A671))</f>
        <v/>
      </c>
    </row>
    <row r="672">
      <c r="A672">
        <f>Input!A672</f>
        <v/>
      </c>
      <c r="B672">
        <f>IF(ISNUMBER(Input!B672),IF(AND(Input!B672&gt;=20,Input!B672&lt;=700),Input!B672,""),"")</f>
        <v/>
      </c>
      <c r="C672">
        <f>IF(B672="","",INT(A672))</f>
        <v/>
      </c>
      <c r="D672">
        <f>IF(B672="","",HOUR(A672))</f>
        <v/>
      </c>
    </row>
    <row r="673">
      <c r="A673">
        <f>Input!A673</f>
        <v/>
      </c>
      <c r="B673">
        <f>IF(ISNUMBER(Input!B673),IF(AND(Input!B673&gt;=20,Input!B673&lt;=700),Input!B673,""),"")</f>
        <v/>
      </c>
      <c r="C673">
        <f>IF(B673="","",INT(A673))</f>
        <v/>
      </c>
      <c r="D673">
        <f>IF(B673="","",HOUR(A673))</f>
        <v/>
      </c>
    </row>
    <row r="674">
      <c r="A674">
        <f>Input!A674</f>
        <v/>
      </c>
      <c r="B674">
        <f>IF(ISNUMBER(Input!B674),IF(AND(Input!B674&gt;=20,Input!B674&lt;=700),Input!B674,""),"")</f>
        <v/>
      </c>
      <c r="C674">
        <f>IF(B674="","",INT(A674))</f>
        <v/>
      </c>
      <c r="D674">
        <f>IF(B674="","",HOUR(A674))</f>
        <v/>
      </c>
    </row>
    <row r="675">
      <c r="A675">
        <f>Input!A675</f>
        <v/>
      </c>
      <c r="B675">
        <f>IF(ISNUMBER(Input!B675),IF(AND(Input!B675&gt;=20,Input!B675&lt;=700),Input!B675,""),"")</f>
        <v/>
      </c>
      <c r="C675">
        <f>IF(B675="","",INT(A675))</f>
        <v/>
      </c>
      <c r="D675">
        <f>IF(B675="","",HOUR(A675))</f>
        <v/>
      </c>
    </row>
    <row r="676">
      <c r="A676">
        <f>Input!A676</f>
        <v/>
      </c>
      <c r="B676">
        <f>IF(ISNUMBER(Input!B676),IF(AND(Input!B676&gt;=20,Input!B676&lt;=700),Input!B676,""),"")</f>
        <v/>
      </c>
      <c r="C676">
        <f>IF(B676="","",INT(A676))</f>
        <v/>
      </c>
      <c r="D676">
        <f>IF(B676="","",HOUR(A676))</f>
        <v/>
      </c>
    </row>
    <row r="677">
      <c r="A677">
        <f>Input!A677</f>
        <v/>
      </c>
      <c r="B677">
        <f>IF(ISNUMBER(Input!B677),IF(AND(Input!B677&gt;=20,Input!B677&lt;=700),Input!B677,""),"")</f>
        <v/>
      </c>
      <c r="C677">
        <f>IF(B677="","",INT(A677))</f>
        <v/>
      </c>
      <c r="D677">
        <f>IF(B677="","",HOUR(A677))</f>
        <v/>
      </c>
    </row>
    <row r="678">
      <c r="A678">
        <f>Input!A678</f>
        <v/>
      </c>
      <c r="B678">
        <f>IF(ISNUMBER(Input!B678),IF(AND(Input!B678&gt;=20,Input!B678&lt;=700),Input!B678,""),"")</f>
        <v/>
      </c>
      <c r="C678">
        <f>IF(B678="","",INT(A678))</f>
        <v/>
      </c>
      <c r="D678">
        <f>IF(B678="","",HOUR(A678))</f>
        <v/>
      </c>
    </row>
    <row r="679">
      <c r="A679">
        <f>Input!A679</f>
        <v/>
      </c>
      <c r="B679">
        <f>IF(ISNUMBER(Input!B679),IF(AND(Input!B679&gt;=20,Input!B679&lt;=700),Input!B679,""),"")</f>
        <v/>
      </c>
      <c r="C679">
        <f>IF(B679="","",INT(A679))</f>
        <v/>
      </c>
      <c r="D679">
        <f>IF(B679="","",HOUR(A679))</f>
        <v/>
      </c>
    </row>
    <row r="680">
      <c r="A680">
        <f>Input!A680</f>
        <v/>
      </c>
      <c r="B680">
        <f>IF(ISNUMBER(Input!B680),IF(AND(Input!B680&gt;=20,Input!B680&lt;=700),Input!B680,""),"")</f>
        <v/>
      </c>
      <c r="C680">
        <f>IF(B680="","",INT(A680))</f>
        <v/>
      </c>
      <c r="D680">
        <f>IF(B680="","",HOUR(A680))</f>
        <v/>
      </c>
    </row>
    <row r="681">
      <c r="A681">
        <f>Input!A681</f>
        <v/>
      </c>
      <c r="B681">
        <f>IF(ISNUMBER(Input!B681),IF(AND(Input!B681&gt;=20,Input!B681&lt;=700),Input!B681,""),"")</f>
        <v/>
      </c>
      <c r="C681">
        <f>IF(B681="","",INT(A681))</f>
        <v/>
      </c>
      <c r="D681">
        <f>IF(B681="","",HOUR(A681))</f>
        <v/>
      </c>
    </row>
    <row r="682">
      <c r="A682">
        <f>Input!A682</f>
        <v/>
      </c>
      <c r="B682">
        <f>IF(ISNUMBER(Input!B682),IF(AND(Input!B682&gt;=20,Input!B682&lt;=700),Input!B682,""),"")</f>
        <v/>
      </c>
      <c r="C682">
        <f>IF(B682="","",INT(A682))</f>
        <v/>
      </c>
      <c r="D682">
        <f>IF(B682="","",HOUR(A682))</f>
        <v/>
      </c>
    </row>
    <row r="683">
      <c r="A683">
        <f>Input!A683</f>
        <v/>
      </c>
      <c r="B683">
        <f>IF(ISNUMBER(Input!B683),IF(AND(Input!B683&gt;=20,Input!B683&lt;=700),Input!B683,""),"")</f>
        <v/>
      </c>
      <c r="C683">
        <f>IF(B683="","",INT(A683))</f>
        <v/>
      </c>
      <c r="D683">
        <f>IF(B683="","",HOUR(A683))</f>
        <v/>
      </c>
    </row>
    <row r="684">
      <c r="A684">
        <f>Input!A684</f>
        <v/>
      </c>
      <c r="B684">
        <f>IF(ISNUMBER(Input!B684),IF(AND(Input!B684&gt;=20,Input!B684&lt;=700),Input!B684,""),"")</f>
        <v/>
      </c>
      <c r="C684">
        <f>IF(B684="","",INT(A684))</f>
        <v/>
      </c>
      <c r="D684">
        <f>IF(B684="","",HOUR(A684))</f>
        <v/>
      </c>
    </row>
    <row r="685">
      <c r="A685">
        <f>Input!A685</f>
        <v/>
      </c>
      <c r="B685">
        <f>IF(ISNUMBER(Input!B685),IF(AND(Input!B685&gt;=20,Input!B685&lt;=700),Input!B685,""),"")</f>
        <v/>
      </c>
      <c r="C685">
        <f>IF(B685="","",INT(A685))</f>
        <v/>
      </c>
      <c r="D685">
        <f>IF(B685="","",HOUR(A685))</f>
        <v/>
      </c>
    </row>
    <row r="686">
      <c r="A686">
        <f>Input!A686</f>
        <v/>
      </c>
      <c r="B686">
        <f>IF(ISNUMBER(Input!B686),IF(AND(Input!B686&gt;=20,Input!B686&lt;=700),Input!B686,""),"")</f>
        <v/>
      </c>
      <c r="C686">
        <f>IF(B686="","",INT(A686))</f>
        <v/>
      </c>
      <c r="D686">
        <f>IF(B686="","",HOUR(A686))</f>
        <v/>
      </c>
    </row>
    <row r="687">
      <c r="A687">
        <f>Input!A687</f>
        <v/>
      </c>
      <c r="B687">
        <f>IF(ISNUMBER(Input!B687),IF(AND(Input!B687&gt;=20,Input!B687&lt;=700),Input!B687,""),"")</f>
        <v/>
      </c>
      <c r="C687">
        <f>IF(B687="","",INT(A687))</f>
        <v/>
      </c>
      <c r="D687">
        <f>IF(B687="","",HOUR(A687))</f>
        <v/>
      </c>
    </row>
    <row r="688">
      <c r="A688">
        <f>Input!A688</f>
        <v/>
      </c>
      <c r="B688">
        <f>IF(ISNUMBER(Input!B688),IF(AND(Input!B688&gt;=20,Input!B688&lt;=700),Input!B688,""),"")</f>
        <v/>
      </c>
      <c r="C688">
        <f>IF(B688="","",INT(A688))</f>
        <v/>
      </c>
      <c r="D688">
        <f>IF(B688="","",HOUR(A688))</f>
        <v/>
      </c>
    </row>
    <row r="689">
      <c r="A689">
        <f>Input!A689</f>
        <v/>
      </c>
      <c r="B689">
        <f>IF(ISNUMBER(Input!B689),IF(AND(Input!B689&gt;=20,Input!B689&lt;=700),Input!B689,""),"")</f>
        <v/>
      </c>
      <c r="C689">
        <f>IF(B689="","",INT(A689))</f>
        <v/>
      </c>
      <c r="D689">
        <f>IF(B689="","",HOUR(A689))</f>
        <v/>
      </c>
    </row>
    <row r="690">
      <c r="A690">
        <f>Input!A690</f>
        <v/>
      </c>
      <c r="B690">
        <f>IF(ISNUMBER(Input!B690),IF(AND(Input!B690&gt;=20,Input!B690&lt;=700),Input!B690,""),"")</f>
        <v/>
      </c>
      <c r="C690">
        <f>IF(B690="","",INT(A690))</f>
        <v/>
      </c>
      <c r="D690">
        <f>IF(B690="","",HOUR(A690))</f>
        <v/>
      </c>
    </row>
    <row r="691">
      <c r="A691">
        <f>Input!A691</f>
        <v/>
      </c>
      <c r="B691">
        <f>IF(ISNUMBER(Input!B691),IF(AND(Input!B691&gt;=20,Input!B691&lt;=700),Input!B691,""),"")</f>
        <v/>
      </c>
      <c r="C691">
        <f>IF(B691="","",INT(A691))</f>
        <v/>
      </c>
      <c r="D691">
        <f>IF(B691="","",HOUR(A691))</f>
        <v/>
      </c>
    </row>
    <row r="692">
      <c r="A692">
        <f>Input!A692</f>
        <v/>
      </c>
      <c r="B692">
        <f>IF(ISNUMBER(Input!B692),IF(AND(Input!B692&gt;=20,Input!B692&lt;=700),Input!B692,""),"")</f>
        <v/>
      </c>
      <c r="C692">
        <f>IF(B692="","",INT(A692))</f>
        <v/>
      </c>
      <c r="D692">
        <f>IF(B692="","",HOUR(A692))</f>
        <v/>
      </c>
    </row>
    <row r="693">
      <c r="A693">
        <f>Input!A693</f>
        <v/>
      </c>
      <c r="B693">
        <f>IF(ISNUMBER(Input!B693),IF(AND(Input!B693&gt;=20,Input!B693&lt;=700),Input!B693,""),"")</f>
        <v/>
      </c>
      <c r="C693">
        <f>IF(B693="","",INT(A693))</f>
        <v/>
      </c>
      <c r="D693">
        <f>IF(B693="","",HOUR(A693))</f>
        <v/>
      </c>
    </row>
    <row r="694">
      <c r="A694">
        <f>Input!A694</f>
        <v/>
      </c>
      <c r="B694">
        <f>IF(ISNUMBER(Input!B694),IF(AND(Input!B694&gt;=20,Input!B694&lt;=700),Input!B694,""),"")</f>
        <v/>
      </c>
      <c r="C694">
        <f>IF(B694="","",INT(A694))</f>
        <v/>
      </c>
      <c r="D694">
        <f>IF(B694="","",HOUR(A694))</f>
        <v/>
      </c>
    </row>
    <row r="695">
      <c r="A695">
        <f>Input!A695</f>
        <v/>
      </c>
      <c r="B695">
        <f>IF(ISNUMBER(Input!B695),IF(AND(Input!B695&gt;=20,Input!B695&lt;=700),Input!B695,""),"")</f>
        <v/>
      </c>
      <c r="C695">
        <f>IF(B695="","",INT(A695))</f>
        <v/>
      </c>
      <c r="D695">
        <f>IF(B695="","",HOUR(A695))</f>
        <v/>
      </c>
    </row>
    <row r="696">
      <c r="A696">
        <f>Input!A696</f>
        <v/>
      </c>
      <c r="B696">
        <f>IF(ISNUMBER(Input!B696),IF(AND(Input!B696&gt;=20,Input!B696&lt;=700),Input!B696,""),"")</f>
        <v/>
      </c>
      <c r="C696">
        <f>IF(B696="","",INT(A696))</f>
        <v/>
      </c>
      <c r="D696">
        <f>IF(B696="","",HOUR(A696))</f>
        <v/>
      </c>
    </row>
    <row r="697">
      <c r="A697">
        <f>Input!A697</f>
        <v/>
      </c>
      <c r="B697">
        <f>IF(ISNUMBER(Input!B697),IF(AND(Input!B697&gt;=20,Input!B697&lt;=700),Input!B697,""),"")</f>
        <v/>
      </c>
      <c r="C697">
        <f>IF(B697="","",INT(A697))</f>
        <v/>
      </c>
      <c r="D697">
        <f>IF(B697="","",HOUR(A697))</f>
        <v/>
      </c>
    </row>
    <row r="698">
      <c r="A698">
        <f>Input!A698</f>
        <v/>
      </c>
      <c r="B698">
        <f>IF(ISNUMBER(Input!B698),IF(AND(Input!B698&gt;=20,Input!B698&lt;=700),Input!B698,""),"")</f>
        <v/>
      </c>
      <c r="C698">
        <f>IF(B698="","",INT(A698))</f>
        <v/>
      </c>
      <c r="D698">
        <f>IF(B698="","",HOUR(A698))</f>
        <v/>
      </c>
    </row>
    <row r="699">
      <c r="A699">
        <f>Input!A699</f>
        <v/>
      </c>
      <c r="B699">
        <f>IF(ISNUMBER(Input!B699),IF(AND(Input!B699&gt;=20,Input!B699&lt;=700),Input!B699,""),"")</f>
        <v/>
      </c>
      <c r="C699">
        <f>IF(B699="","",INT(A699))</f>
        <v/>
      </c>
      <c r="D699">
        <f>IF(B699="","",HOUR(A699))</f>
        <v/>
      </c>
    </row>
    <row r="700">
      <c r="A700">
        <f>Input!A700</f>
        <v/>
      </c>
      <c r="B700">
        <f>IF(ISNUMBER(Input!B700),IF(AND(Input!B700&gt;=20,Input!B700&lt;=700),Input!B700,""),"")</f>
        <v/>
      </c>
      <c r="C700">
        <f>IF(B700="","",INT(A700))</f>
        <v/>
      </c>
      <c r="D700">
        <f>IF(B700="","",HOUR(A700))</f>
        <v/>
      </c>
    </row>
    <row r="701">
      <c r="A701">
        <f>Input!A701</f>
        <v/>
      </c>
      <c r="B701">
        <f>IF(ISNUMBER(Input!B701),IF(AND(Input!B701&gt;=20,Input!B701&lt;=700),Input!B701,""),"")</f>
        <v/>
      </c>
      <c r="C701">
        <f>IF(B701="","",INT(A701))</f>
        <v/>
      </c>
      <c r="D701">
        <f>IF(B701="","",HOUR(A701))</f>
        <v/>
      </c>
    </row>
    <row r="702">
      <c r="A702">
        <f>Input!A702</f>
        <v/>
      </c>
      <c r="B702">
        <f>IF(ISNUMBER(Input!B702),IF(AND(Input!B702&gt;=20,Input!B702&lt;=700),Input!B702,""),"")</f>
        <v/>
      </c>
      <c r="C702">
        <f>IF(B702="","",INT(A702))</f>
        <v/>
      </c>
      <c r="D702">
        <f>IF(B702="","",HOUR(A702))</f>
        <v/>
      </c>
    </row>
    <row r="703">
      <c r="A703">
        <f>Input!A703</f>
        <v/>
      </c>
      <c r="B703">
        <f>IF(ISNUMBER(Input!B703),IF(AND(Input!B703&gt;=20,Input!B703&lt;=700),Input!B703,""),"")</f>
        <v/>
      </c>
      <c r="C703">
        <f>IF(B703="","",INT(A703))</f>
        <v/>
      </c>
      <c r="D703">
        <f>IF(B703="","",HOUR(A703))</f>
        <v/>
      </c>
    </row>
    <row r="704">
      <c r="A704">
        <f>Input!A704</f>
        <v/>
      </c>
      <c r="B704">
        <f>IF(ISNUMBER(Input!B704),IF(AND(Input!B704&gt;=20,Input!B704&lt;=700),Input!B704,""),"")</f>
        <v/>
      </c>
      <c r="C704">
        <f>IF(B704="","",INT(A704))</f>
        <v/>
      </c>
      <c r="D704">
        <f>IF(B704="","",HOUR(A704))</f>
        <v/>
      </c>
    </row>
    <row r="705">
      <c r="A705">
        <f>Input!A705</f>
        <v/>
      </c>
      <c r="B705">
        <f>IF(ISNUMBER(Input!B705),IF(AND(Input!B705&gt;=20,Input!B705&lt;=700),Input!B705,""),"")</f>
        <v/>
      </c>
      <c r="C705">
        <f>IF(B705="","",INT(A705))</f>
        <v/>
      </c>
      <c r="D705">
        <f>IF(B705="","",HOUR(A705))</f>
        <v/>
      </c>
    </row>
    <row r="706">
      <c r="A706">
        <f>Input!A706</f>
        <v/>
      </c>
      <c r="B706">
        <f>IF(ISNUMBER(Input!B706),IF(AND(Input!B706&gt;=20,Input!B706&lt;=700),Input!B706,""),"")</f>
        <v/>
      </c>
      <c r="C706">
        <f>IF(B706="","",INT(A706))</f>
        <v/>
      </c>
      <c r="D706">
        <f>IF(B706="","",HOUR(A706))</f>
        <v/>
      </c>
    </row>
    <row r="707">
      <c r="A707">
        <f>Input!A707</f>
        <v/>
      </c>
      <c r="B707">
        <f>IF(ISNUMBER(Input!B707),IF(AND(Input!B707&gt;=20,Input!B707&lt;=700),Input!B707,""),"")</f>
        <v/>
      </c>
      <c r="C707">
        <f>IF(B707="","",INT(A707))</f>
        <v/>
      </c>
      <c r="D707">
        <f>IF(B707="","",HOUR(A707))</f>
        <v/>
      </c>
    </row>
    <row r="708">
      <c r="A708">
        <f>Input!A708</f>
        <v/>
      </c>
      <c r="B708">
        <f>IF(ISNUMBER(Input!B708),IF(AND(Input!B708&gt;=20,Input!B708&lt;=700),Input!B708,""),"")</f>
        <v/>
      </c>
      <c r="C708">
        <f>IF(B708="","",INT(A708))</f>
        <v/>
      </c>
      <c r="D708">
        <f>IF(B708="","",HOUR(A708))</f>
        <v/>
      </c>
    </row>
    <row r="709">
      <c r="A709">
        <f>Input!A709</f>
        <v/>
      </c>
      <c r="B709">
        <f>IF(ISNUMBER(Input!B709),IF(AND(Input!B709&gt;=20,Input!B709&lt;=700),Input!B709,""),"")</f>
        <v/>
      </c>
      <c r="C709">
        <f>IF(B709="","",INT(A709))</f>
        <v/>
      </c>
      <c r="D709">
        <f>IF(B709="","",HOUR(A709))</f>
        <v/>
      </c>
    </row>
    <row r="710">
      <c r="A710">
        <f>Input!A710</f>
        <v/>
      </c>
      <c r="B710">
        <f>IF(ISNUMBER(Input!B710),IF(AND(Input!B710&gt;=20,Input!B710&lt;=700),Input!B710,""),"")</f>
        <v/>
      </c>
      <c r="C710">
        <f>IF(B710="","",INT(A710))</f>
        <v/>
      </c>
      <c r="D710">
        <f>IF(B710="","",HOUR(A710))</f>
        <v/>
      </c>
    </row>
    <row r="711">
      <c r="A711">
        <f>Input!A711</f>
        <v/>
      </c>
      <c r="B711">
        <f>IF(ISNUMBER(Input!B711),IF(AND(Input!B711&gt;=20,Input!B711&lt;=700),Input!B711,""),"")</f>
        <v/>
      </c>
      <c r="C711">
        <f>IF(B711="","",INT(A711))</f>
        <v/>
      </c>
      <c r="D711">
        <f>IF(B711="","",HOUR(A711))</f>
        <v/>
      </c>
    </row>
    <row r="712">
      <c r="A712">
        <f>Input!A712</f>
        <v/>
      </c>
      <c r="B712">
        <f>IF(ISNUMBER(Input!B712),IF(AND(Input!B712&gt;=20,Input!B712&lt;=700),Input!B712,""),"")</f>
        <v/>
      </c>
      <c r="C712">
        <f>IF(B712="","",INT(A712))</f>
        <v/>
      </c>
      <c r="D712">
        <f>IF(B712="","",HOUR(A712))</f>
        <v/>
      </c>
    </row>
    <row r="713">
      <c r="A713">
        <f>Input!A713</f>
        <v/>
      </c>
      <c r="B713">
        <f>IF(ISNUMBER(Input!B713),IF(AND(Input!B713&gt;=20,Input!B713&lt;=700),Input!B713,""),"")</f>
        <v/>
      </c>
      <c r="C713">
        <f>IF(B713="","",INT(A713))</f>
        <v/>
      </c>
      <c r="D713">
        <f>IF(B713="","",HOUR(A713))</f>
        <v/>
      </c>
    </row>
    <row r="714">
      <c r="A714">
        <f>Input!A714</f>
        <v/>
      </c>
      <c r="B714">
        <f>IF(ISNUMBER(Input!B714),IF(AND(Input!B714&gt;=20,Input!B714&lt;=700),Input!B714,""),"")</f>
        <v/>
      </c>
      <c r="C714">
        <f>IF(B714="","",INT(A714))</f>
        <v/>
      </c>
      <c r="D714">
        <f>IF(B714="","",HOUR(A714))</f>
        <v/>
      </c>
    </row>
    <row r="715">
      <c r="A715">
        <f>Input!A715</f>
        <v/>
      </c>
      <c r="B715">
        <f>IF(ISNUMBER(Input!B715),IF(AND(Input!B715&gt;=20,Input!B715&lt;=700),Input!B715,""),"")</f>
        <v/>
      </c>
      <c r="C715">
        <f>IF(B715="","",INT(A715))</f>
        <v/>
      </c>
      <c r="D715">
        <f>IF(B715="","",HOUR(A715))</f>
        <v/>
      </c>
    </row>
    <row r="716">
      <c r="A716">
        <f>Input!A716</f>
        <v/>
      </c>
      <c r="B716">
        <f>IF(ISNUMBER(Input!B716),IF(AND(Input!B716&gt;=20,Input!B716&lt;=700),Input!B716,""),"")</f>
        <v/>
      </c>
      <c r="C716">
        <f>IF(B716="","",INT(A716))</f>
        <v/>
      </c>
      <c r="D716">
        <f>IF(B716="","",HOUR(A716))</f>
        <v/>
      </c>
    </row>
    <row r="717">
      <c r="A717">
        <f>Input!A717</f>
        <v/>
      </c>
      <c r="B717">
        <f>IF(ISNUMBER(Input!B717),IF(AND(Input!B717&gt;=20,Input!B717&lt;=700),Input!B717,""),"")</f>
        <v/>
      </c>
      <c r="C717">
        <f>IF(B717="","",INT(A717))</f>
        <v/>
      </c>
      <c r="D717">
        <f>IF(B717="","",HOUR(A717))</f>
        <v/>
      </c>
    </row>
    <row r="718">
      <c r="A718">
        <f>Input!A718</f>
        <v/>
      </c>
      <c r="B718">
        <f>IF(ISNUMBER(Input!B718),IF(AND(Input!B718&gt;=20,Input!B718&lt;=700),Input!B718,""),"")</f>
        <v/>
      </c>
      <c r="C718">
        <f>IF(B718="","",INT(A718))</f>
        <v/>
      </c>
      <c r="D718">
        <f>IF(B718="","",HOUR(A718))</f>
        <v/>
      </c>
    </row>
    <row r="719">
      <c r="A719">
        <f>Input!A719</f>
        <v/>
      </c>
      <c r="B719">
        <f>IF(ISNUMBER(Input!B719),IF(AND(Input!B719&gt;=20,Input!B719&lt;=700),Input!B719,""),"")</f>
        <v/>
      </c>
      <c r="C719">
        <f>IF(B719="","",INT(A719))</f>
        <v/>
      </c>
      <c r="D719">
        <f>IF(B719="","",HOUR(A719))</f>
        <v/>
      </c>
    </row>
    <row r="720">
      <c r="A720">
        <f>Input!A720</f>
        <v/>
      </c>
      <c r="B720">
        <f>IF(ISNUMBER(Input!B720),IF(AND(Input!B720&gt;=20,Input!B720&lt;=700),Input!B720,""),"")</f>
        <v/>
      </c>
      <c r="C720">
        <f>IF(B720="","",INT(A720))</f>
        <v/>
      </c>
      <c r="D720">
        <f>IF(B720="","",HOUR(A720))</f>
        <v/>
      </c>
    </row>
    <row r="721">
      <c r="A721">
        <f>Input!A721</f>
        <v/>
      </c>
      <c r="B721">
        <f>IF(ISNUMBER(Input!B721),IF(AND(Input!B721&gt;=20,Input!B721&lt;=700),Input!B721,""),"")</f>
        <v/>
      </c>
      <c r="C721">
        <f>IF(B721="","",INT(A721))</f>
        <v/>
      </c>
      <c r="D721">
        <f>IF(B721="","",HOUR(A721))</f>
        <v/>
      </c>
    </row>
    <row r="722">
      <c r="A722">
        <f>Input!A722</f>
        <v/>
      </c>
      <c r="B722">
        <f>IF(ISNUMBER(Input!B722),IF(AND(Input!B722&gt;=20,Input!B722&lt;=700),Input!B722,""),"")</f>
        <v/>
      </c>
      <c r="C722">
        <f>IF(B722="","",INT(A722))</f>
        <v/>
      </c>
      <c r="D722">
        <f>IF(B722="","",HOUR(A722))</f>
        <v/>
      </c>
    </row>
    <row r="723">
      <c r="A723">
        <f>Input!A723</f>
        <v/>
      </c>
      <c r="B723">
        <f>IF(ISNUMBER(Input!B723),IF(AND(Input!B723&gt;=20,Input!B723&lt;=700),Input!B723,""),"")</f>
        <v/>
      </c>
      <c r="C723">
        <f>IF(B723="","",INT(A723))</f>
        <v/>
      </c>
      <c r="D723">
        <f>IF(B723="","",HOUR(A723))</f>
        <v/>
      </c>
    </row>
    <row r="724">
      <c r="A724">
        <f>Input!A724</f>
        <v/>
      </c>
      <c r="B724">
        <f>IF(ISNUMBER(Input!B724),IF(AND(Input!B724&gt;=20,Input!B724&lt;=700),Input!B724,""),"")</f>
        <v/>
      </c>
      <c r="C724">
        <f>IF(B724="","",INT(A724))</f>
        <v/>
      </c>
      <c r="D724">
        <f>IF(B724="","",HOUR(A724))</f>
        <v/>
      </c>
    </row>
    <row r="725">
      <c r="A725">
        <f>Input!A725</f>
        <v/>
      </c>
      <c r="B725">
        <f>IF(ISNUMBER(Input!B725),IF(AND(Input!B725&gt;=20,Input!B725&lt;=700),Input!B725,""),"")</f>
        <v/>
      </c>
      <c r="C725">
        <f>IF(B725="","",INT(A725))</f>
        <v/>
      </c>
      <c r="D725">
        <f>IF(B725="","",HOUR(A725))</f>
        <v/>
      </c>
    </row>
    <row r="726">
      <c r="A726">
        <f>Input!A726</f>
        <v/>
      </c>
      <c r="B726">
        <f>IF(ISNUMBER(Input!B726),IF(AND(Input!B726&gt;=20,Input!B726&lt;=700),Input!B726,""),"")</f>
        <v/>
      </c>
      <c r="C726">
        <f>IF(B726="","",INT(A726))</f>
        <v/>
      </c>
      <c r="D726">
        <f>IF(B726="","",HOUR(A726))</f>
        <v/>
      </c>
    </row>
    <row r="727">
      <c r="A727">
        <f>Input!A727</f>
        <v/>
      </c>
      <c r="B727">
        <f>IF(ISNUMBER(Input!B727),IF(AND(Input!B727&gt;=20,Input!B727&lt;=700),Input!B727,""),"")</f>
        <v/>
      </c>
      <c r="C727">
        <f>IF(B727="","",INT(A727))</f>
        <v/>
      </c>
      <c r="D727">
        <f>IF(B727="","",HOUR(A727))</f>
        <v/>
      </c>
    </row>
    <row r="728">
      <c r="A728">
        <f>Input!A728</f>
        <v/>
      </c>
      <c r="B728">
        <f>IF(ISNUMBER(Input!B728),IF(AND(Input!B728&gt;=20,Input!B728&lt;=700),Input!B728,""),"")</f>
        <v/>
      </c>
      <c r="C728">
        <f>IF(B728="","",INT(A728))</f>
        <v/>
      </c>
      <c r="D728">
        <f>IF(B728="","",HOUR(A728))</f>
        <v/>
      </c>
    </row>
    <row r="729">
      <c r="A729">
        <f>Input!A729</f>
        <v/>
      </c>
      <c r="B729">
        <f>IF(ISNUMBER(Input!B729),IF(AND(Input!B729&gt;=20,Input!B729&lt;=700),Input!B729,""),"")</f>
        <v/>
      </c>
      <c r="C729">
        <f>IF(B729="","",INT(A729))</f>
        <v/>
      </c>
      <c r="D729">
        <f>IF(B729="","",HOUR(A729))</f>
        <v/>
      </c>
    </row>
    <row r="730">
      <c r="A730">
        <f>Input!A730</f>
        <v/>
      </c>
      <c r="B730">
        <f>IF(ISNUMBER(Input!B730),IF(AND(Input!B730&gt;=20,Input!B730&lt;=700),Input!B730,""),"")</f>
        <v/>
      </c>
      <c r="C730">
        <f>IF(B730="","",INT(A730))</f>
        <v/>
      </c>
      <c r="D730">
        <f>IF(B730="","",HOUR(A730))</f>
        <v/>
      </c>
    </row>
    <row r="731">
      <c r="A731">
        <f>Input!A731</f>
        <v/>
      </c>
      <c r="B731">
        <f>IF(ISNUMBER(Input!B731),IF(AND(Input!B731&gt;=20,Input!B731&lt;=700),Input!B731,""),"")</f>
        <v/>
      </c>
      <c r="C731">
        <f>IF(B731="","",INT(A731))</f>
        <v/>
      </c>
      <c r="D731">
        <f>IF(B731="","",HOUR(A731))</f>
        <v/>
      </c>
    </row>
    <row r="732">
      <c r="A732">
        <f>Input!A732</f>
        <v/>
      </c>
      <c r="B732">
        <f>IF(ISNUMBER(Input!B732),IF(AND(Input!B732&gt;=20,Input!B732&lt;=700),Input!B732,""),"")</f>
        <v/>
      </c>
      <c r="C732">
        <f>IF(B732="","",INT(A732))</f>
        <v/>
      </c>
      <c r="D732">
        <f>IF(B732="","",HOUR(A732))</f>
        <v/>
      </c>
    </row>
    <row r="733">
      <c r="A733">
        <f>Input!A733</f>
        <v/>
      </c>
      <c r="B733">
        <f>IF(ISNUMBER(Input!B733),IF(AND(Input!B733&gt;=20,Input!B733&lt;=700),Input!B733,""),"")</f>
        <v/>
      </c>
      <c r="C733">
        <f>IF(B733="","",INT(A733))</f>
        <v/>
      </c>
      <c r="D733">
        <f>IF(B733="","",HOUR(A733))</f>
        <v/>
      </c>
    </row>
    <row r="734">
      <c r="A734">
        <f>Input!A734</f>
        <v/>
      </c>
      <c r="B734">
        <f>IF(ISNUMBER(Input!B734),IF(AND(Input!B734&gt;=20,Input!B734&lt;=700),Input!B734,""),"")</f>
        <v/>
      </c>
      <c r="C734">
        <f>IF(B734="","",INT(A734))</f>
        <v/>
      </c>
      <c r="D734">
        <f>IF(B734="","",HOUR(A734))</f>
        <v/>
      </c>
    </row>
    <row r="735">
      <c r="A735">
        <f>Input!A735</f>
        <v/>
      </c>
      <c r="B735">
        <f>IF(ISNUMBER(Input!B735),IF(AND(Input!B735&gt;=20,Input!B735&lt;=700),Input!B735,""),"")</f>
        <v/>
      </c>
      <c r="C735">
        <f>IF(B735="","",INT(A735))</f>
        <v/>
      </c>
      <c r="D735">
        <f>IF(B735="","",HOUR(A735))</f>
        <v/>
      </c>
    </row>
    <row r="736">
      <c r="A736">
        <f>Input!A736</f>
        <v/>
      </c>
      <c r="B736">
        <f>IF(ISNUMBER(Input!B736),IF(AND(Input!B736&gt;=20,Input!B736&lt;=700),Input!B736,""),"")</f>
        <v/>
      </c>
      <c r="C736">
        <f>IF(B736="","",INT(A736))</f>
        <v/>
      </c>
      <c r="D736">
        <f>IF(B736="","",HOUR(A736))</f>
        <v/>
      </c>
    </row>
    <row r="737">
      <c r="A737">
        <f>Input!A737</f>
        <v/>
      </c>
      <c r="B737">
        <f>IF(ISNUMBER(Input!B737),IF(AND(Input!B737&gt;=20,Input!B737&lt;=700),Input!B737,""),"")</f>
        <v/>
      </c>
      <c r="C737">
        <f>IF(B737="","",INT(A737))</f>
        <v/>
      </c>
      <c r="D737">
        <f>IF(B737="","",HOUR(A737))</f>
        <v/>
      </c>
    </row>
    <row r="738">
      <c r="A738">
        <f>Input!A738</f>
        <v/>
      </c>
      <c r="B738">
        <f>IF(ISNUMBER(Input!B738),IF(AND(Input!B738&gt;=20,Input!B738&lt;=700),Input!B738,""),"")</f>
        <v/>
      </c>
      <c r="C738">
        <f>IF(B738="","",INT(A738))</f>
        <v/>
      </c>
      <c r="D738">
        <f>IF(B738="","",HOUR(A738))</f>
        <v/>
      </c>
    </row>
    <row r="739">
      <c r="A739">
        <f>Input!A739</f>
        <v/>
      </c>
      <c r="B739">
        <f>IF(ISNUMBER(Input!B739),IF(AND(Input!B739&gt;=20,Input!B739&lt;=700),Input!B739,""),"")</f>
        <v/>
      </c>
      <c r="C739">
        <f>IF(B739="","",INT(A739))</f>
        <v/>
      </c>
      <c r="D739">
        <f>IF(B739="","",HOUR(A739))</f>
        <v/>
      </c>
    </row>
    <row r="740">
      <c r="A740">
        <f>Input!A740</f>
        <v/>
      </c>
      <c r="B740">
        <f>IF(ISNUMBER(Input!B740),IF(AND(Input!B740&gt;=20,Input!B740&lt;=700),Input!B740,""),"")</f>
        <v/>
      </c>
      <c r="C740">
        <f>IF(B740="","",INT(A740))</f>
        <v/>
      </c>
      <c r="D740">
        <f>IF(B740="","",HOUR(A740))</f>
        <v/>
      </c>
    </row>
    <row r="741">
      <c r="A741">
        <f>Input!A741</f>
        <v/>
      </c>
      <c r="B741">
        <f>IF(ISNUMBER(Input!B741),IF(AND(Input!B741&gt;=20,Input!B741&lt;=700),Input!B741,""),"")</f>
        <v/>
      </c>
      <c r="C741">
        <f>IF(B741="","",INT(A741))</f>
        <v/>
      </c>
      <c r="D741">
        <f>IF(B741="","",HOUR(A741))</f>
        <v/>
      </c>
    </row>
    <row r="742">
      <c r="A742">
        <f>Input!A742</f>
        <v/>
      </c>
      <c r="B742">
        <f>IF(ISNUMBER(Input!B742),IF(AND(Input!B742&gt;=20,Input!B742&lt;=700),Input!B742,""),"")</f>
        <v/>
      </c>
      <c r="C742">
        <f>IF(B742="","",INT(A742))</f>
        <v/>
      </c>
      <c r="D742">
        <f>IF(B742="","",HOUR(A742))</f>
        <v/>
      </c>
    </row>
    <row r="743">
      <c r="A743">
        <f>Input!A743</f>
        <v/>
      </c>
      <c r="B743">
        <f>IF(ISNUMBER(Input!B743),IF(AND(Input!B743&gt;=20,Input!B743&lt;=700),Input!B743,""),"")</f>
        <v/>
      </c>
      <c r="C743">
        <f>IF(B743="","",INT(A743))</f>
        <v/>
      </c>
      <c r="D743">
        <f>IF(B743="","",HOUR(A743))</f>
        <v/>
      </c>
    </row>
    <row r="744">
      <c r="A744">
        <f>Input!A744</f>
        <v/>
      </c>
      <c r="B744">
        <f>IF(ISNUMBER(Input!B744),IF(AND(Input!B744&gt;=20,Input!B744&lt;=700),Input!B744,""),"")</f>
        <v/>
      </c>
      <c r="C744">
        <f>IF(B744="","",INT(A744))</f>
        <v/>
      </c>
      <c r="D744">
        <f>IF(B744="","",HOUR(A744))</f>
        <v/>
      </c>
    </row>
    <row r="745">
      <c r="A745">
        <f>Input!A745</f>
        <v/>
      </c>
      <c r="B745">
        <f>IF(ISNUMBER(Input!B745),IF(AND(Input!B745&gt;=20,Input!B745&lt;=700),Input!B745,""),"")</f>
        <v/>
      </c>
      <c r="C745">
        <f>IF(B745="","",INT(A745))</f>
        <v/>
      </c>
      <c r="D745">
        <f>IF(B745="","",HOUR(A745))</f>
        <v/>
      </c>
    </row>
    <row r="746">
      <c r="A746">
        <f>Input!A746</f>
        <v/>
      </c>
      <c r="B746">
        <f>IF(ISNUMBER(Input!B746),IF(AND(Input!B746&gt;=20,Input!B746&lt;=700),Input!B746,""),"")</f>
        <v/>
      </c>
      <c r="C746">
        <f>IF(B746="","",INT(A746))</f>
        <v/>
      </c>
      <c r="D746">
        <f>IF(B746="","",HOUR(A746))</f>
        <v/>
      </c>
    </row>
    <row r="747">
      <c r="A747">
        <f>Input!A747</f>
        <v/>
      </c>
      <c r="B747">
        <f>IF(ISNUMBER(Input!B747),IF(AND(Input!B747&gt;=20,Input!B747&lt;=700),Input!B747,""),"")</f>
        <v/>
      </c>
      <c r="C747">
        <f>IF(B747="","",INT(A747))</f>
        <v/>
      </c>
      <c r="D747">
        <f>IF(B747="","",HOUR(A747))</f>
        <v/>
      </c>
    </row>
    <row r="748">
      <c r="A748">
        <f>Input!A748</f>
        <v/>
      </c>
      <c r="B748">
        <f>IF(ISNUMBER(Input!B748),IF(AND(Input!B748&gt;=20,Input!B748&lt;=700),Input!B748,""),"")</f>
        <v/>
      </c>
      <c r="C748">
        <f>IF(B748="","",INT(A748))</f>
        <v/>
      </c>
      <c r="D748">
        <f>IF(B748="","",HOUR(A748))</f>
        <v/>
      </c>
    </row>
    <row r="749">
      <c r="A749">
        <f>Input!A749</f>
        <v/>
      </c>
      <c r="B749">
        <f>IF(ISNUMBER(Input!B749),IF(AND(Input!B749&gt;=20,Input!B749&lt;=700),Input!B749,""),"")</f>
        <v/>
      </c>
      <c r="C749">
        <f>IF(B749="","",INT(A749))</f>
        <v/>
      </c>
      <c r="D749">
        <f>IF(B749="","",HOUR(A749))</f>
        <v/>
      </c>
    </row>
    <row r="750">
      <c r="A750">
        <f>Input!A750</f>
        <v/>
      </c>
      <c r="B750">
        <f>IF(ISNUMBER(Input!B750),IF(AND(Input!B750&gt;=20,Input!B750&lt;=700),Input!B750,""),"")</f>
        <v/>
      </c>
      <c r="C750">
        <f>IF(B750="","",INT(A750))</f>
        <v/>
      </c>
      <c r="D750">
        <f>IF(B750="","",HOUR(A750))</f>
        <v/>
      </c>
    </row>
    <row r="751">
      <c r="A751">
        <f>Input!A751</f>
        <v/>
      </c>
      <c r="B751">
        <f>IF(ISNUMBER(Input!B751),IF(AND(Input!B751&gt;=20,Input!B751&lt;=700),Input!B751,""),"")</f>
        <v/>
      </c>
      <c r="C751">
        <f>IF(B751="","",INT(A751))</f>
        <v/>
      </c>
      <c r="D751">
        <f>IF(B751="","",HOUR(A751))</f>
        <v/>
      </c>
    </row>
    <row r="752">
      <c r="A752">
        <f>Input!A752</f>
        <v/>
      </c>
      <c r="B752">
        <f>IF(ISNUMBER(Input!B752),IF(AND(Input!B752&gt;=20,Input!B752&lt;=700),Input!B752,""),"")</f>
        <v/>
      </c>
      <c r="C752">
        <f>IF(B752="","",INT(A752))</f>
        <v/>
      </c>
      <c r="D752">
        <f>IF(B752="","",HOUR(A752))</f>
        <v/>
      </c>
    </row>
    <row r="753">
      <c r="A753">
        <f>Input!A753</f>
        <v/>
      </c>
      <c r="B753">
        <f>IF(ISNUMBER(Input!B753),IF(AND(Input!B753&gt;=20,Input!B753&lt;=700),Input!B753,""),"")</f>
        <v/>
      </c>
      <c r="C753">
        <f>IF(B753="","",INT(A753))</f>
        <v/>
      </c>
      <c r="D753">
        <f>IF(B753="","",HOUR(A753))</f>
        <v/>
      </c>
    </row>
    <row r="754">
      <c r="A754">
        <f>Input!A754</f>
        <v/>
      </c>
      <c r="B754">
        <f>IF(ISNUMBER(Input!B754),IF(AND(Input!B754&gt;=20,Input!B754&lt;=700),Input!B754,""),"")</f>
        <v/>
      </c>
      <c r="C754">
        <f>IF(B754="","",INT(A754))</f>
        <v/>
      </c>
      <c r="D754">
        <f>IF(B754="","",HOUR(A754))</f>
        <v/>
      </c>
    </row>
    <row r="755">
      <c r="A755">
        <f>Input!A755</f>
        <v/>
      </c>
      <c r="B755">
        <f>IF(ISNUMBER(Input!B755),IF(AND(Input!B755&gt;=20,Input!B755&lt;=700),Input!B755,""),"")</f>
        <v/>
      </c>
      <c r="C755">
        <f>IF(B755="","",INT(A755))</f>
        <v/>
      </c>
      <c r="D755">
        <f>IF(B755="","",HOUR(A755))</f>
        <v/>
      </c>
    </row>
    <row r="756">
      <c r="A756">
        <f>Input!A756</f>
        <v/>
      </c>
      <c r="B756">
        <f>IF(ISNUMBER(Input!B756),IF(AND(Input!B756&gt;=20,Input!B756&lt;=700),Input!B756,""),"")</f>
        <v/>
      </c>
      <c r="C756">
        <f>IF(B756="","",INT(A756))</f>
        <v/>
      </c>
      <c r="D756">
        <f>IF(B756="","",HOUR(A756))</f>
        <v/>
      </c>
    </row>
    <row r="757">
      <c r="A757">
        <f>Input!A757</f>
        <v/>
      </c>
      <c r="B757">
        <f>IF(ISNUMBER(Input!B757),IF(AND(Input!B757&gt;=20,Input!B757&lt;=700),Input!B757,""),"")</f>
        <v/>
      </c>
      <c r="C757">
        <f>IF(B757="","",INT(A757))</f>
        <v/>
      </c>
      <c r="D757">
        <f>IF(B757="","",HOUR(A757))</f>
        <v/>
      </c>
    </row>
    <row r="758">
      <c r="A758">
        <f>Input!A758</f>
        <v/>
      </c>
      <c r="B758">
        <f>IF(ISNUMBER(Input!B758),IF(AND(Input!B758&gt;=20,Input!B758&lt;=700),Input!B758,""),"")</f>
        <v/>
      </c>
      <c r="C758">
        <f>IF(B758="","",INT(A758))</f>
        <v/>
      </c>
      <c r="D758">
        <f>IF(B758="","",HOUR(A758))</f>
        <v/>
      </c>
    </row>
    <row r="759">
      <c r="A759">
        <f>Input!A759</f>
        <v/>
      </c>
      <c r="B759">
        <f>IF(ISNUMBER(Input!B759),IF(AND(Input!B759&gt;=20,Input!B759&lt;=700),Input!B759,""),"")</f>
        <v/>
      </c>
      <c r="C759">
        <f>IF(B759="","",INT(A759))</f>
        <v/>
      </c>
      <c r="D759">
        <f>IF(B759="","",HOUR(A759))</f>
        <v/>
      </c>
    </row>
    <row r="760">
      <c r="A760">
        <f>Input!A760</f>
        <v/>
      </c>
      <c r="B760">
        <f>IF(ISNUMBER(Input!B760),IF(AND(Input!B760&gt;=20,Input!B760&lt;=700),Input!B760,""),"")</f>
        <v/>
      </c>
      <c r="C760">
        <f>IF(B760="","",INT(A760))</f>
        <v/>
      </c>
      <c r="D760">
        <f>IF(B760="","",HOUR(A760))</f>
        <v/>
      </c>
    </row>
    <row r="761">
      <c r="A761">
        <f>Input!A761</f>
        <v/>
      </c>
      <c r="B761">
        <f>IF(ISNUMBER(Input!B761),IF(AND(Input!B761&gt;=20,Input!B761&lt;=700),Input!B761,""),"")</f>
        <v/>
      </c>
      <c r="C761">
        <f>IF(B761="","",INT(A761))</f>
        <v/>
      </c>
      <c r="D761">
        <f>IF(B761="","",HOUR(A761))</f>
        <v/>
      </c>
    </row>
    <row r="762">
      <c r="A762">
        <f>Input!A762</f>
        <v/>
      </c>
      <c r="B762">
        <f>IF(ISNUMBER(Input!B762),IF(AND(Input!B762&gt;=20,Input!B762&lt;=700),Input!B762,""),"")</f>
        <v/>
      </c>
      <c r="C762">
        <f>IF(B762="","",INT(A762))</f>
        <v/>
      </c>
      <c r="D762">
        <f>IF(B762="","",HOUR(A762))</f>
        <v/>
      </c>
    </row>
    <row r="763">
      <c r="A763">
        <f>Input!A763</f>
        <v/>
      </c>
      <c r="B763">
        <f>IF(ISNUMBER(Input!B763),IF(AND(Input!B763&gt;=20,Input!B763&lt;=700),Input!B763,""),"")</f>
        <v/>
      </c>
      <c r="C763">
        <f>IF(B763="","",INT(A763))</f>
        <v/>
      </c>
      <c r="D763">
        <f>IF(B763="","",HOUR(A763))</f>
        <v/>
      </c>
    </row>
    <row r="764">
      <c r="A764">
        <f>Input!A764</f>
        <v/>
      </c>
      <c r="B764">
        <f>IF(ISNUMBER(Input!B764),IF(AND(Input!B764&gt;=20,Input!B764&lt;=700),Input!B764,""),"")</f>
        <v/>
      </c>
      <c r="C764">
        <f>IF(B764="","",INT(A764))</f>
        <v/>
      </c>
      <c r="D764">
        <f>IF(B764="","",HOUR(A764))</f>
        <v/>
      </c>
    </row>
    <row r="765">
      <c r="A765">
        <f>Input!A765</f>
        <v/>
      </c>
      <c r="B765">
        <f>IF(ISNUMBER(Input!B765),IF(AND(Input!B765&gt;=20,Input!B765&lt;=700),Input!B765,""),"")</f>
        <v/>
      </c>
      <c r="C765">
        <f>IF(B765="","",INT(A765))</f>
        <v/>
      </c>
      <c r="D765">
        <f>IF(B765="","",HOUR(A765))</f>
        <v/>
      </c>
    </row>
    <row r="766">
      <c r="A766">
        <f>Input!A766</f>
        <v/>
      </c>
      <c r="B766">
        <f>IF(ISNUMBER(Input!B766),IF(AND(Input!B766&gt;=20,Input!B766&lt;=700),Input!B766,""),"")</f>
        <v/>
      </c>
      <c r="C766">
        <f>IF(B766="","",INT(A766))</f>
        <v/>
      </c>
      <c r="D766">
        <f>IF(B766="","",HOUR(A766))</f>
        <v/>
      </c>
    </row>
    <row r="767">
      <c r="A767">
        <f>Input!A767</f>
        <v/>
      </c>
      <c r="B767">
        <f>IF(ISNUMBER(Input!B767),IF(AND(Input!B767&gt;=20,Input!B767&lt;=700),Input!B767,""),"")</f>
        <v/>
      </c>
      <c r="C767">
        <f>IF(B767="","",INT(A767))</f>
        <v/>
      </c>
      <c r="D767">
        <f>IF(B767="","",HOUR(A767))</f>
        <v/>
      </c>
    </row>
    <row r="768">
      <c r="A768">
        <f>Input!A768</f>
        <v/>
      </c>
      <c r="B768">
        <f>IF(ISNUMBER(Input!B768),IF(AND(Input!B768&gt;=20,Input!B768&lt;=700),Input!B768,""),"")</f>
        <v/>
      </c>
      <c r="C768">
        <f>IF(B768="","",INT(A768))</f>
        <v/>
      </c>
      <c r="D768">
        <f>IF(B768="","",HOUR(A768))</f>
        <v/>
      </c>
    </row>
    <row r="769">
      <c r="A769">
        <f>Input!A769</f>
        <v/>
      </c>
      <c r="B769">
        <f>IF(ISNUMBER(Input!B769),IF(AND(Input!B769&gt;=20,Input!B769&lt;=700),Input!B769,""),"")</f>
        <v/>
      </c>
      <c r="C769">
        <f>IF(B769="","",INT(A769))</f>
        <v/>
      </c>
      <c r="D769">
        <f>IF(B769="","",HOUR(A769))</f>
        <v/>
      </c>
    </row>
    <row r="770">
      <c r="A770">
        <f>Input!A770</f>
        <v/>
      </c>
      <c r="B770">
        <f>IF(ISNUMBER(Input!B770),IF(AND(Input!B770&gt;=20,Input!B770&lt;=700),Input!B770,""),"")</f>
        <v/>
      </c>
      <c r="C770">
        <f>IF(B770="","",INT(A770))</f>
        <v/>
      </c>
      <c r="D770">
        <f>IF(B770="","",HOUR(A770))</f>
        <v/>
      </c>
    </row>
    <row r="771">
      <c r="A771">
        <f>Input!A771</f>
        <v/>
      </c>
      <c r="B771">
        <f>IF(ISNUMBER(Input!B771),IF(AND(Input!B771&gt;=20,Input!B771&lt;=700),Input!B771,""),"")</f>
        <v/>
      </c>
      <c r="C771">
        <f>IF(B771="","",INT(A771))</f>
        <v/>
      </c>
      <c r="D771">
        <f>IF(B771="","",HOUR(A771))</f>
        <v/>
      </c>
    </row>
    <row r="772">
      <c r="A772">
        <f>Input!A772</f>
        <v/>
      </c>
      <c r="B772">
        <f>IF(ISNUMBER(Input!B772),IF(AND(Input!B772&gt;=20,Input!B772&lt;=700),Input!B772,""),"")</f>
        <v/>
      </c>
      <c r="C772">
        <f>IF(B772="","",INT(A772))</f>
        <v/>
      </c>
      <c r="D772">
        <f>IF(B772="","",HOUR(A772))</f>
        <v/>
      </c>
    </row>
    <row r="773">
      <c r="A773">
        <f>Input!A773</f>
        <v/>
      </c>
      <c r="B773">
        <f>IF(ISNUMBER(Input!B773),IF(AND(Input!B773&gt;=20,Input!B773&lt;=700),Input!B773,""),"")</f>
        <v/>
      </c>
      <c r="C773">
        <f>IF(B773="","",INT(A773))</f>
        <v/>
      </c>
      <c r="D773">
        <f>IF(B773="","",HOUR(A773))</f>
        <v/>
      </c>
    </row>
    <row r="774">
      <c r="A774">
        <f>Input!A774</f>
        <v/>
      </c>
      <c r="B774">
        <f>IF(ISNUMBER(Input!B774),IF(AND(Input!B774&gt;=20,Input!B774&lt;=700),Input!B774,""),"")</f>
        <v/>
      </c>
      <c r="C774">
        <f>IF(B774="","",INT(A774))</f>
        <v/>
      </c>
      <c r="D774">
        <f>IF(B774="","",HOUR(A774))</f>
        <v/>
      </c>
    </row>
    <row r="775">
      <c r="A775">
        <f>Input!A775</f>
        <v/>
      </c>
      <c r="B775">
        <f>IF(ISNUMBER(Input!B775),IF(AND(Input!B775&gt;=20,Input!B775&lt;=700),Input!B775,""),"")</f>
        <v/>
      </c>
      <c r="C775">
        <f>IF(B775="","",INT(A775))</f>
        <v/>
      </c>
      <c r="D775">
        <f>IF(B775="","",HOUR(A775))</f>
        <v/>
      </c>
    </row>
    <row r="776">
      <c r="A776">
        <f>Input!A776</f>
        <v/>
      </c>
      <c r="B776">
        <f>IF(ISNUMBER(Input!B776),IF(AND(Input!B776&gt;=20,Input!B776&lt;=700),Input!B776,""),"")</f>
        <v/>
      </c>
      <c r="C776">
        <f>IF(B776="","",INT(A776))</f>
        <v/>
      </c>
      <c r="D776">
        <f>IF(B776="","",HOUR(A776))</f>
        <v/>
      </c>
    </row>
    <row r="777">
      <c r="A777">
        <f>Input!A777</f>
        <v/>
      </c>
      <c r="B777">
        <f>IF(ISNUMBER(Input!B777),IF(AND(Input!B777&gt;=20,Input!B777&lt;=700),Input!B777,""),"")</f>
        <v/>
      </c>
      <c r="C777">
        <f>IF(B777="","",INT(A777))</f>
        <v/>
      </c>
      <c r="D777">
        <f>IF(B777="","",HOUR(A777))</f>
        <v/>
      </c>
    </row>
    <row r="778">
      <c r="A778">
        <f>Input!A778</f>
        <v/>
      </c>
      <c r="B778">
        <f>IF(ISNUMBER(Input!B778),IF(AND(Input!B778&gt;=20,Input!B778&lt;=700),Input!B778,""),"")</f>
        <v/>
      </c>
      <c r="C778">
        <f>IF(B778="","",INT(A778))</f>
        <v/>
      </c>
      <c r="D778">
        <f>IF(B778="","",HOUR(A778))</f>
        <v/>
      </c>
    </row>
    <row r="779">
      <c r="A779">
        <f>Input!A779</f>
        <v/>
      </c>
      <c r="B779">
        <f>IF(ISNUMBER(Input!B779),IF(AND(Input!B779&gt;=20,Input!B779&lt;=700),Input!B779,""),"")</f>
        <v/>
      </c>
      <c r="C779">
        <f>IF(B779="","",INT(A779))</f>
        <v/>
      </c>
      <c r="D779">
        <f>IF(B779="","",HOUR(A779))</f>
        <v/>
      </c>
    </row>
    <row r="780">
      <c r="A780">
        <f>Input!A780</f>
        <v/>
      </c>
      <c r="B780">
        <f>IF(ISNUMBER(Input!B780),IF(AND(Input!B780&gt;=20,Input!B780&lt;=700),Input!B780,""),"")</f>
        <v/>
      </c>
      <c r="C780">
        <f>IF(B780="","",INT(A780))</f>
        <v/>
      </c>
      <c r="D780">
        <f>IF(B780="","",HOUR(A780))</f>
        <v/>
      </c>
    </row>
    <row r="781">
      <c r="A781">
        <f>Input!A781</f>
        <v/>
      </c>
      <c r="B781">
        <f>IF(ISNUMBER(Input!B781),IF(AND(Input!B781&gt;=20,Input!B781&lt;=700),Input!B781,""),"")</f>
        <v/>
      </c>
      <c r="C781">
        <f>IF(B781="","",INT(A781))</f>
        <v/>
      </c>
      <c r="D781">
        <f>IF(B781="","",HOUR(A781))</f>
        <v/>
      </c>
    </row>
    <row r="782">
      <c r="A782">
        <f>Input!A782</f>
        <v/>
      </c>
      <c r="B782">
        <f>IF(ISNUMBER(Input!B782),IF(AND(Input!B782&gt;=20,Input!B782&lt;=700),Input!B782,""),"")</f>
        <v/>
      </c>
      <c r="C782">
        <f>IF(B782="","",INT(A782))</f>
        <v/>
      </c>
      <c r="D782">
        <f>IF(B782="","",HOUR(A782))</f>
        <v/>
      </c>
    </row>
    <row r="783">
      <c r="A783">
        <f>Input!A783</f>
        <v/>
      </c>
      <c r="B783">
        <f>IF(ISNUMBER(Input!B783),IF(AND(Input!B783&gt;=20,Input!B783&lt;=700),Input!B783,""),"")</f>
        <v/>
      </c>
      <c r="C783">
        <f>IF(B783="","",INT(A783))</f>
        <v/>
      </c>
      <c r="D783">
        <f>IF(B783="","",HOUR(A783))</f>
        <v/>
      </c>
    </row>
    <row r="784">
      <c r="A784">
        <f>Input!A784</f>
        <v/>
      </c>
      <c r="B784">
        <f>IF(ISNUMBER(Input!B784),IF(AND(Input!B784&gt;=20,Input!B784&lt;=700),Input!B784,""),"")</f>
        <v/>
      </c>
      <c r="C784">
        <f>IF(B784="","",INT(A784))</f>
        <v/>
      </c>
      <c r="D784">
        <f>IF(B784="","",HOUR(A784))</f>
        <v/>
      </c>
    </row>
    <row r="785">
      <c r="A785">
        <f>Input!A785</f>
        <v/>
      </c>
      <c r="B785">
        <f>IF(ISNUMBER(Input!B785),IF(AND(Input!B785&gt;=20,Input!B785&lt;=700),Input!B785,""),"")</f>
        <v/>
      </c>
      <c r="C785">
        <f>IF(B785="","",INT(A785))</f>
        <v/>
      </c>
      <c r="D785">
        <f>IF(B785="","",HOUR(A785))</f>
        <v/>
      </c>
    </row>
    <row r="786">
      <c r="A786">
        <f>Input!A786</f>
        <v/>
      </c>
      <c r="B786">
        <f>IF(ISNUMBER(Input!B786),IF(AND(Input!B786&gt;=20,Input!B786&lt;=700),Input!B786,""),"")</f>
        <v/>
      </c>
      <c r="C786">
        <f>IF(B786="","",INT(A786))</f>
        <v/>
      </c>
      <c r="D786">
        <f>IF(B786="","",HOUR(A786))</f>
        <v/>
      </c>
    </row>
    <row r="787">
      <c r="A787">
        <f>Input!A787</f>
        <v/>
      </c>
      <c r="B787">
        <f>IF(ISNUMBER(Input!B787),IF(AND(Input!B787&gt;=20,Input!B787&lt;=700),Input!B787,""),"")</f>
        <v/>
      </c>
      <c r="C787">
        <f>IF(B787="","",INT(A787))</f>
        <v/>
      </c>
      <c r="D787">
        <f>IF(B787="","",HOUR(A787))</f>
        <v/>
      </c>
    </row>
    <row r="788">
      <c r="A788">
        <f>Input!A788</f>
        <v/>
      </c>
      <c r="B788">
        <f>IF(ISNUMBER(Input!B788),IF(AND(Input!B788&gt;=20,Input!B788&lt;=700),Input!B788,""),"")</f>
        <v/>
      </c>
      <c r="C788">
        <f>IF(B788="","",INT(A788))</f>
        <v/>
      </c>
      <c r="D788">
        <f>IF(B788="","",HOUR(A788))</f>
        <v/>
      </c>
    </row>
    <row r="789">
      <c r="A789">
        <f>Input!A789</f>
        <v/>
      </c>
      <c r="B789">
        <f>IF(ISNUMBER(Input!B789),IF(AND(Input!B789&gt;=20,Input!B789&lt;=700),Input!B789,""),"")</f>
        <v/>
      </c>
      <c r="C789">
        <f>IF(B789="","",INT(A789))</f>
        <v/>
      </c>
      <c r="D789">
        <f>IF(B789="","",HOUR(A789))</f>
        <v/>
      </c>
    </row>
    <row r="790">
      <c r="A790">
        <f>Input!A790</f>
        <v/>
      </c>
      <c r="B790">
        <f>IF(ISNUMBER(Input!B790),IF(AND(Input!B790&gt;=20,Input!B790&lt;=700),Input!B790,""),"")</f>
        <v/>
      </c>
      <c r="C790">
        <f>IF(B790="","",INT(A790))</f>
        <v/>
      </c>
      <c r="D790">
        <f>IF(B790="","",HOUR(A790))</f>
        <v/>
      </c>
    </row>
    <row r="791">
      <c r="A791">
        <f>Input!A791</f>
        <v/>
      </c>
      <c r="B791">
        <f>IF(ISNUMBER(Input!B791),IF(AND(Input!B791&gt;=20,Input!B791&lt;=700),Input!B791,""),"")</f>
        <v/>
      </c>
      <c r="C791">
        <f>IF(B791="","",INT(A791))</f>
        <v/>
      </c>
      <c r="D791">
        <f>IF(B791="","",HOUR(A791))</f>
        <v/>
      </c>
    </row>
    <row r="792">
      <c r="A792">
        <f>Input!A792</f>
        <v/>
      </c>
      <c r="B792">
        <f>IF(ISNUMBER(Input!B792),IF(AND(Input!B792&gt;=20,Input!B792&lt;=700),Input!B792,""),"")</f>
        <v/>
      </c>
      <c r="C792">
        <f>IF(B792="","",INT(A792))</f>
        <v/>
      </c>
      <c r="D792">
        <f>IF(B792="","",HOUR(A792))</f>
        <v/>
      </c>
    </row>
    <row r="793">
      <c r="A793">
        <f>Input!A793</f>
        <v/>
      </c>
      <c r="B793">
        <f>IF(ISNUMBER(Input!B793),IF(AND(Input!B793&gt;=20,Input!B793&lt;=700),Input!B793,""),"")</f>
        <v/>
      </c>
      <c r="C793">
        <f>IF(B793="","",INT(A793))</f>
        <v/>
      </c>
      <c r="D793">
        <f>IF(B793="","",HOUR(A793))</f>
        <v/>
      </c>
    </row>
    <row r="794">
      <c r="A794">
        <f>Input!A794</f>
        <v/>
      </c>
      <c r="B794">
        <f>IF(ISNUMBER(Input!B794),IF(AND(Input!B794&gt;=20,Input!B794&lt;=700),Input!B794,""),"")</f>
        <v/>
      </c>
      <c r="C794">
        <f>IF(B794="","",INT(A794))</f>
        <v/>
      </c>
      <c r="D794">
        <f>IF(B794="","",HOUR(A794))</f>
        <v/>
      </c>
    </row>
    <row r="795">
      <c r="A795">
        <f>Input!A795</f>
        <v/>
      </c>
      <c r="B795">
        <f>IF(ISNUMBER(Input!B795),IF(AND(Input!B795&gt;=20,Input!B795&lt;=700),Input!B795,""),"")</f>
        <v/>
      </c>
      <c r="C795">
        <f>IF(B795="","",INT(A795))</f>
        <v/>
      </c>
      <c r="D795">
        <f>IF(B795="","",HOUR(A795))</f>
        <v/>
      </c>
    </row>
    <row r="796">
      <c r="A796">
        <f>Input!A796</f>
        <v/>
      </c>
      <c r="B796">
        <f>IF(ISNUMBER(Input!B796),IF(AND(Input!B796&gt;=20,Input!B796&lt;=700),Input!B796,""),"")</f>
        <v/>
      </c>
      <c r="C796">
        <f>IF(B796="","",INT(A796))</f>
        <v/>
      </c>
      <c r="D796">
        <f>IF(B796="","",HOUR(A796))</f>
        <v/>
      </c>
    </row>
    <row r="797">
      <c r="A797">
        <f>Input!A797</f>
        <v/>
      </c>
      <c r="B797">
        <f>IF(ISNUMBER(Input!B797),IF(AND(Input!B797&gt;=20,Input!B797&lt;=700),Input!B797,""),"")</f>
        <v/>
      </c>
      <c r="C797">
        <f>IF(B797="","",INT(A797))</f>
        <v/>
      </c>
      <c r="D797">
        <f>IF(B797="","",HOUR(A797))</f>
        <v/>
      </c>
    </row>
    <row r="798">
      <c r="A798">
        <f>Input!A798</f>
        <v/>
      </c>
      <c r="B798">
        <f>IF(ISNUMBER(Input!B798),IF(AND(Input!B798&gt;=20,Input!B798&lt;=700),Input!B798,""),"")</f>
        <v/>
      </c>
      <c r="C798">
        <f>IF(B798="","",INT(A798))</f>
        <v/>
      </c>
      <c r="D798">
        <f>IF(B798="","",HOUR(A798))</f>
        <v/>
      </c>
    </row>
    <row r="799">
      <c r="A799">
        <f>Input!A799</f>
        <v/>
      </c>
      <c r="B799">
        <f>IF(ISNUMBER(Input!B799),IF(AND(Input!B799&gt;=20,Input!B799&lt;=700),Input!B799,""),"")</f>
        <v/>
      </c>
      <c r="C799">
        <f>IF(B799="","",INT(A799))</f>
        <v/>
      </c>
      <c r="D799">
        <f>IF(B799="","",HOUR(A799))</f>
        <v/>
      </c>
    </row>
    <row r="800">
      <c r="A800">
        <f>Input!A800</f>
        <v/>
      </c>
      <c r="B800">
        <f>IF(ISNUMBER(Input!B800),IF(AND(Input!B800&gt;=20,Input!B800&lt;=700),Input!B800,""),"")</f>
        <v/>
      </c>
      <c r="C800">
        <f>IF(B800="","",INT(A800))</f>
        <v/>
      </c>
      <c r="D800">
        <f>IF(B800="","",HOUR(A800))</f>
        <v/>
      </c>
    </row>
    <row r="801">
      <c r="A801">
        <f>Input!A801</f>
        <v/>
      </c>
      <c r="B801">
        <f>IF(ISNUMBER(Input!B801),IF(AND(Input!B801&gt;=20,Input!B801&lt;=700),Input!B801,""),"")</f>
        <v/>
      </c>
      <c r="C801">
        <f>IF(B801="","",INT(A801))</f>
        <v/>
      </c>
      <c r="D801">
        <f>IF(B801="","",HOUR(A801))</f>
        <v/>
      </c>
    </row>
    <row r="802">
      <c r="A802">
        <f>Input!A802</f>
        <v/>
      </c>
      <c r="B802">
        <f>IF(ISNUMBER(Input!B802),IF(AND(Input!B802&gt;=20,Input!B802&lt;=700),Input!B802,""),"")</f>
        <v/>
      </c>
      <c r="C802">
        <f>IF(B802="","",INT(A802))</f>
        <v/>
      </c>
      <c r="D802">
        <f>IF(B802="","",HOUR(A802))</f>
        <v/>
      </c>
    </row>
    <row r="803">
      <c r="A803">
        <f>Input!A803</f>
        <v/>
      </c>
      <c r="B803">
        <f>IF(ISNUMBER(Input!B803),IF(AND(Input!B803&gt;=20,Input!B803&lt;=700),Input!B803,""),"")</f>
        <v/>
      </c>
      <c r="C803">
        <f>IF(B803="","",INT(A803))</f>
        <v/>
      </c>
      <c r="D803">
        <f>IF(B803="","",HOUR(A803))</f>
        <v/>
      </c>
    </row>
    <row r="804">
      <c r="A804">
        <f>Input!A804</f>
        <v/>
      </c>
      <c r="B804">
        <f>IF(ISNUMBER(Input!B804),IF(AND(Input!B804&gt;=20,Input!B804&lt;=700),Input!B804,""),"")</f>
        <v/>
      </c>
      <c r="C804">
        <f>IF(B804="","",INT(A804))</f>
        <v/>
      </c>
      <c r="D804">
        <f>IF(B804="","",HOUR(A804))</f>
        <v/>
      </c>
    </row>
    <row r="805">
      <c r="A805">
        <f>Input!A805</f>
        <v/>
      </c>
      <c r="B805">
        <f>IF(ISNUMBER(Input!B805),IF(AND(Input!B805&gt;=20,Input!B805&lt;=700),Input!B805,""),"")</f>
        <v/>
      </c>
      <c r="C805">
        <f>IF(B805="","",INT(A805))</f>
        <v/>
      </c>
      <c r="D805">
        <f>IF(B805="","",HOUR(A805))</f>
        <v/>
      </c>
    </row>
    <row r="806">
      <c r="A806">
        <f>Input!A806</f>
        <v/>
      </c>
      <c r="B806">
        <f>IF(ISNUMBER(Input!B806),IF(AND(Input!B806&gt;=20,Input!B806&lt;=700),Input!B806,""),"")</f>
        <v/>
      </c>
      <c r="C806">
        <f>IF(B806="","",INT(A806))</f>
        <v/>
      </c>
      <c r="D806">
        <f>IF(B806="","",HOUR(A806))</f>
        <v/>
      </c>
    </row>
    <row r="807">
      <c r="A807">
        <f>Input!A807</f>
        <v/>
      </c>
      <c r="B807">
        <f>IF(ISNUMBER(Input!B807),IF(AND(Input!B807&gt;=20,Input!B807&lt;=700),Input!B807,""),"")</f>
        <v/>
      </c>
      <c r="C807">
        <f>IF(B807="","",INT(A807))</f>
        <v/>
      </c>
      <c r="D807">
        <f>IF(B807="","",HOUR(A807))</f>
        <v/>
      </c>
    </row>
    <row r="808">
      <c r="A808">
        <f>Input!A808</f>
        <v/>
      </c>
      <c r="B808">
        <f>IF(ISNUMBER(Input!B808),IF(AND(Input!B808&gt;=20,Input!B808&lt;=700),Input!B808,""),"")</f>
        <v/>
      </c>
      <c r="C808">
        <f>IF(B808="","",INT(A808))</f>
        <v/>
      </c>
      <c r="D808">
        <f>IF(B808="","",HOUR(A808))</f>
        <v/>
      </c>
    </row>
    <row r="809">
      <c r="A809">
        <f>Input!A809</f>
        <v/>
      </c>
      <c r="B809">
        <f>IF(ISNUMBER(Input!B809),IF(AND(Input!B809&gt;=20,Input!B809&lt;=700),Input!B809,""),"")</f>
        <v/>
      </c>
      <c r="C809">
        <f>IF(B809="","",INT(A809))</f>
        <v/>
      </c>
      <c r="D809">
        <f>IF(B809="","",HOUR(A809))</f>
        <v/>
      </c>
    </row>
    <row r="810">
      <c r="A810">
        <f>Input!A810</f>
        <v/>
      </c>
      <c r="B810">
        <f>IF(ISNUMBER(Input!B810),IF(AND(Input!B810&gt;=20,Input!B810&lt;=700),Input!B810,""),"")</f>
        <v/>
      </c>
      <c r="C810">
        <f>IF(B810="","",INT(A810))</f>
        <v/>
      </c>
      <c r="D810">
        <f>IF(B810="","",HOUR(A810))</f>
        <v/>
      </c>
    </row>
    <row r="811">
      <c r="A811">
        <f>Input!A811</f>
        <v/>
      </c>
      <c r="B811">
        <f>IF(ISNUMBER(Input!B811),IF(AND(Input!B811&gt;=20,Input!B811&lt;=700),Input!B811,""),"")</f>
        <v/>
      </c>
      <c r="C811">
        <f>IF(B811="","",INT(A811))</f>
        <v/>
      </c>
      <c r="D811">
        <f>IF(B811="","",HOUR(A811))</f>
        <v/>
      </c>
    </row>
    <row r="812">
      <c r="A812">
        <f>Input!A812</f>
        <v/>
      </c>
      <c r="B812">
        <f>IF(ISNUMBER(Input!B812),IF(AND(Input!B812&gt;=20,Input!B812&lt;=700),Input!B812,""),"")</f>
        <v/>
      </c>
      <c r="C812">
        <f>IF(B812="","",INT(A812))</f>
        <v/>
      </c>
      <c r="D812">
        <f>IF(B812="","",HOUR(A812))</f>
        <v/>
      </c>
    </row>
    <row r="813">
      <c r="A813">
        <f>Input!A813</f>
        <v/>
      </c>
      <c r="B813">
        <f>IF(ISNUMBER(Input!B813),IF(AND(Input!B813&gt;=20,Input!B813&lt;=700),Input!B813,""),"")</f>
        <v/>
      </c>
      <c r="C813">
        <f>IF(B813="","",INT(A813))</f>
        <v/>
      </c>
      <c r="D813">
        <f>IF(B813="","",HOUR(A813))</f>
        <v/>
      </c>
    </row>
    <row r="814">
      <c r="A814">
        <f>Input!A814</f>
        <v/>
      </c>
      <c r="B814">
        <f>IF(ISNUMBER(Input!B814),IF(AND(Input!B814&gt;=20,Input!B814&lt;=700),Input!B814,""),"")</f>
        <v/>
      </c>
      <c r="C814">
        <f>IF(B814="","",INT(A814))</f>
        <v/>
      </c>
      <c r="D814">
        <f>IF(B814="","",HOUR(A814))</f>
        <v/>
      </c>
    </row>
    <row r="815">
      <c r="A815">
        <f>Input!A815</f>
        <v/>
      </c>
      <c r="B815">
        <f>IF(ISNUMBER(Input!B815),IF(AND(Input!B815&gt;=20,Input!B815&lt;=700),Input!B815,""),"")</f>
        <v/>
      </c>
      <c r="C815">
        <f>IF(B815="","",INT(A815))</f>
        <v/>
      </c>
      <c r="D815">
        <f>IF(B815="","",HOUR(A815))</f>
        <v/>
      </c>
    </row>
    <row r="816">
      <c r="A816">
        <f>Input!A816</f>
        <v/>
      </c>
      <c r="B816">
        <f>IF(ISNUMBER(Input!B816),IF(AND(Input!B816&gt;=20,Input!B816&lt;=700),Input!B816,""),"")</f>
        <v/>
      </c>
      <c r="C816">
        <f>IF(B816="","",INT(A816))</f>
        <v/>
      </c>
      <c r="D816">
        <f>IF(B816="","",HOUR(A816))</f>
        <v/>
      </c>
    </row>
    <row r="817">
      <c r="A817">
        <f>Input!A817</f>
        <v/>
      </c>
      <c r="B817">
        <f>IF(ISNUMBER(Input!B817),IF(AND(Input!B817&gt;=20,Input!B817&lt;=700),Input!B817,""),"")</f>
        <v/>
      </c>
      <c r="C817">
        <f>IF(B817="","",INT(A817))</f>
        <v/>
      </c>
      <c r="D817">
        <f>IF(B817="","",HOUR(A817))</f>
        <v/>
      </c>
    </row>
    <row r="818">
      <c r="A818">
        <f>Input!A818</f>
        <v/>
      </c>
      <c r="B818">
        <f>IF(ISNUMBER(Input!B818),IF(AND(Input!B818&gt;=20,Input!B818&lt;=700),Input!B818,""),"")</f>
        <v/>
      </c>
      <c r="C818">
        <f>IF(B818="","",INT(A818))</f>
        <v/>
      </c>
      <c r="D818">
        <f>IF(B818="","",HOUR(A818))</f>
        <v/>
      </c>
    </row>
    <row r="819">
      <c r="A819">
        <f>Input!A819</f>
        <v/>
      </c>
      <c r="B819">
        <f>IF(ISNUMBER(Input!B819),IF(AND(Input!B819&gt;=20,Input!B819&lt;=700),Input!B819,""),"")</f>
        <v/>
      </c>
      <c r="C819">
        <f>IF(B819="","",INT(A819))</f>
        <v/>
      </c>
      <c r="D819">
        <f>IF(B819="","",HOUR(A819))</f>
        <v/>
      </c>
    </row>
    <row r="820">
      <c r="A820">
        <f>Input!A820</f>
        <v/>
      </c>
      <c r="B820">
        <f>IF(ISNUMBER(Input!B820),IF(AND(Input!B820&gt;=20,Input!B820&lt;=700),Input!B820,""),"")</f>
        <v/>
      </c>
      <c r="C820">
        <f>IF(B820="","",INT(A820))</f>
        <v/>
      </c>
      <c r="D820">
        <f>IF(B820="","",HOUR(A820))</f>
        <v/>
      </c>
    </row>
    <row r="821">
      <c r="A821">
        <f>Input!A821</f>
        <v/>
      </c>
      <c r="B821">
        <f>IF(ISNUMBER(Input!B821),IF(AND(Input!B821&gt;=20,Input!B821&lt;=700),Input!B821,""),"")</f>
        <v/>
      </c>
      <c r="C821">
        <f>IF(B821="","",INT(A821))</f>
        <v/>
      </c>
      <c r="D821">
        <f>IF(B821="","",HOUR(A821))</f>
        <v/>
      </c>
    </row>
    <row r="822">
      <c r="A822">
        <f>Input!A822</f>
        <v/>
      </c>
      <c r="B822">
        <f>IF(ISNUMBER(Input!B822),IF(AND(Input!B822&gt;=20,Input!B822&lt;=700),Input!B822,""),"")</f>
        <v/>
      </c>
      <c r="C822">
        <f>IF(B822="","",INT(A822))</f>
        <v/>
      </c>
      <c r="D822">
        <f>IF(B822="","",HOUR(A822))</f>
        <v/>
      </c>
    </row>
    <row r="823">
      <c r="A823">
        <f>Input!A823</f>
        <v/>
      </c>
      <c r="B823">
        <f>IF(ISNUMBER(Input!B823),IF(AND(Input!B823&gt;=20,Input!B823&lt;=700),Input!B823,""),"")</f>
        <v/>
      </c>
      <c r="C823">
        <f>IF(B823="","",INT(A823))</f>
        <v/>
      </c>
      <c r="D823">
        <f>IF(B823="","",HOUR(A823))</f>
        <v/>
      </c>
    </row>
    <row r="824">
      <c r="A824">
        <f>Input!A824</f>
        <v/>
      </c>
      <c r="B824">
        <f>IF(ISNUMBER(Input!B824),IF(AND(Input!B824&gt;=20,Input!B824&lt;=700),Input!B824,""),"")</f>
        <v/>
      </c>
      <c r="C824">
        <f>IF(B824="","",INT(A824))</f>
        <v/>
      </c>
      <c r="D824">
        <f>IF(B824="","",HOUR(A824))</f>
        <v/>
      </c>
    </row>
    <row r="825">
      <c r="A825">
        <f>Input!A825</f>
        <v/>
      </c>
      <c r="B825">
        <f>IF(ISNUMBER(Input!B825),IF(AND(Input!B825&gt;=20,Input!B825&lt;=700),Input!B825,""),"")</f>
        <v/>
      </c>
      <c r="C825">
        <f>IF(B825="","",INT(A825))</f>
        <v/>
      </c>
      <c r="D825">
        <f>IF(B825="","",HOUR(A825))</f>
        <v/>
      </c>
    </row>
    <row r="826">
      <c r="A826">
        <f>Input!A826</f>
        <v/>
      </c>
      <c r="B826">
        <f>IF(ISNUMBER(Input!B826),IF(AND(Input!B826&gt;=20,Input!B826&lt;=700),Input!B826,""),"")</f>
        <v/>
      </c>
      <c r="C826">
        <f>IF(B826="","",INT(A826))</f>
        <v/>
      </c>
      <c r="D826">
        <f>IF(B826="","",HOUR(A826))</f>
        <v/>
      </c>
    </row>
    <row r="827">
      <c r="A827">
        <f>Input!A827</f>
        <v/>
      </c>
      <c r="B827">
        <f>IF(ISNUMBER(Input!B827),IF(AND(Input!B827&gt;=20,Input!B827&lt;=700),Input!B827,""),"")</f>
        <v/>
      </c>
      <c r="C827">
        <f>IF(B827="","",INT(A827))</f>
        <v/>
      </c>
      <c r="D827">
        <f>IF(B827="","",HOUR(A827))</f>
        <v/>
      </c>
    </row>
    <row r="828">
      <c r="A828">
        <f>Input!A828</f>
        <v/>
      </c>
      <c r="B828">
        <f>IF(ISNUMBER(Input!B828),IF(AND(Input!B828&gt;=20,Input!B828&lt;=700),Input!B828,""),"")</f>
        <v/>
      </c>
      <c r="C828">
        <f>IF(B828="","",INT(A828))</f>
        <v/>
      </c>
      <c r="D828">
        <f>IF(B828="","",HOUR(A828))</f>
        <v/>
      </c>
    </row>
    <row r="829">
      <c r="A829">
        <f>Input!A829</f>
        <v/>
      </c>
      <c r="B829">
        <f>IF(ISNUMBER(Input!B829),IF(AND(Input!B829&gt;=20,Input!B829&lt;=700),Input!B829,""),"")</f>
        <v/>
      </c>
      <c r="C829">
        <f>IF(B829="","",INT(A829))</f>
        <v/>
      </c>
      <c r="D829">
        <f>IF(B829="","",HOUR(A829))</f>
        <v/>
      </c>
    </row>
    <row r="830">
      <c r="A830">
        <f>Input!A830</f>
        <v/>
      </c>
      <c r="B830">
        <f>IF(ISNUMBER(Input!B830),IF(AND(Input!B830&gt;=20,Input!B830&lt;=700),Input!B830,""),"")</f>
        <v/>
      </c>
      <c r="C830">
        <f>IF(B830="","",INT(A830))</f>
        <v/>
      </c>
      <c r="D830">
        <f>IF(B830="","",HOUR(A830))</f>
        <v/>
      </c>
    </row>
    <row r="831">
      <c r="A831">
        <f>Input!A831</f>
        <v/>
      </c>
      <c r="B831">
        <f>IF(ISNUMBER(Input!B831),IF(AND(Input!B831&gt;=20,Input!B831&lt;=700),Input!B831,""),"")</f>
        <v/>
      </c>
      <c r="C831">
        <f>IF(B831="","",INT(A831))</f>
        <v/>
      </c>
      <c r="D831">
        <f>IF(B831="","",HOUR(A831))</f>
        <v/>
      </c>
    </row>
    <row r="832">
      <c r="A832">
        <f>Input!A832</f>
        <v/>
      </c>
      <c r="B832">
        <f>IF(ISNUMBER(Input!B832),IF(AND(Input!B832&gt;=20,Input!B832&lt;=700),Input!B832,""),"")</f>
        <v/>
      </c>
      <c r="C832">
        <f>IF(B832="","",INT(A832))</f>
        <v/>
      </c>
      <c r="D832">
        <f>IF(B832="","",HOUR(A832))</f>
        <v/>
      </c>
    </row>
    <row r="833">
      <c r="A833">
        <f>Input!A833</f>
        <v/>
      </c>
      <c r="B833">
        <f>IF(ISNUMBER(Input!B833),IF(AND(Input!B833&gt;=20,Input!B833&lt;=700),Input!B833,""),"")</f>
        <v/>
      </c>
      <c r="C833">
        <f>IF(B833="","",INT(A833))</f>
        <v/>
      </c>
      <c r="D833">
        <f>IF(B833="","",HOUR(A833))</f>
        <v/>
      </c>
    </row>
    <row r="834">
      <c r="A834">
        <f>Input!A834</f>
        <v/>
      </c>
      <c r="B834">
        <f>IF(ISNUMBER(Input!B834),IF(AND(Input!B834&gt;=20,Input!B834&lt;=700),Input!B834,""),"")</f>
        <v/>
      </c>
      <c r="C834">
        <f>IF(B834="","",INT(A834))</f>
        <v/>
      </c>
      <c r="D834">
        <f>IF(B834="","",HOUR(A834))</f>
        <v/>
      </c>
    </row>
    <row r="835">
      <c r="A835">
        <f>Input!A835</f>
        <v/>
      </c>
      <c r="B835">
        <f>IF(ISNUMBER(Input!B835),IF(AND(Input!B835&gt;=20,Input!B835&lt;=700),Input!B835,""),"")</f>
        <v/>
      </c>
      <c r="C835">
        <f>IF(B835="","",INT(A835))</f>
        <v/>
      </c>
      <c r="D835">
        <f>IF(B835="","",HOUR(A835))</f>
        <v/>
      </c>
    </row>
    <row r="836">
      <c r="A836">
        <f>Input!A836</f>
        <v/>
      </c>
      <c r="B836">
        <f>IF(ISNUMBER(Input!B836),IF(AND(Input!B836&gt;=20,Input!B836&lt;=700),Input!B836,""),"")</f>
        <v/>
      </c>
      <c r="C836">
        <f>IF(B836="","",INT(A836))</f>
        <v/>
      </c>
      <c r="D836">
        <f>IF(B836="","",HOUR(A836))</f>
        <v/>
      </c>
    </row>
    <row r="837">
      <c r="A837">
        <f>Input!A837</f>
        <v/>
      </c>
      <c r="B837">
        <f>IF(ISNUMBER(Input!B837),IF(AND(Input!B837&gt;=20,Input!B837&lt;=700),Input!B837,""),"")</f>
        <v/>
      </c>
      <c r="C837">
        <f>IF(B837="","",INT(A837))</f>
        <v/>
      </c>
      <c r="D837">
        <f>IF(B837="","",HOUR(A837))</f>
        <v/>
      </c>
    </row>
    <row r="838">
      <c r="A838">
        <f>Input!A838</f>
        <v/>
      </c>
      <c r="B838">
        <f>IF(ISNUMBER(Input!B838),IF(AND(Input!B838&gt;=20,Input!B838&lt;=700),Input!B838,""),"")</f>
        <v/>
      </c>
      <c r="C838">
        <f>IF(B838="","",INT(A838))</f>
        <v/>
      </c>
      <c r="D838">
        <f>IF(B838="","",HOUR(A838))</f>
        <v/>
      </c>
    </row>
    <row r="839">
      <c r="A839">
        <f>Input!A839</f>
        <v/>
      </c>
      <c r="B839">
        <f>IF(ISNUMBER(Input!B839),IF(AND(Input!B839&gt;=20,Input!B839&lt;=700),Input!B839,""),"")</f>
        <v/>
      </c>
      <c r="C839">
        <f>IF(B839="","",INT(A839))</f>
        <v/>
      </c>
      <c r="D839">
        <f>IF(B839="","",HOUR(A839))</f>
        <v/>
      </c>
    </row>
    <row r="840">
      <c r="A840">
        <f>Input!A840</f>
        <v/>
      </c>
      <c r="B840">
        <f>IF(ISNUMBER(Input!B840),IF(AND(Input!B840&gt;=20,Input!B840&lt;=700),Input!B840,""),"")</f>
        <v/>
      </c>
      <c r="C840">
        <f>IF(B840="","",INT(A840))</f>
        <v/>
      </c>
      <c r="D840">
        <f>IF(B840="","",HOUR(A840))</f>
        <v/>
      </c>
    </row>
    <row r="841">
      <c r="A841">
        <f>Input!A841</f>
        <v/>
      </c>
      <c r="B841">
        <f>IF(ISNUMBER(Input!B841),IF(AND(Input!B841&gt;=20,Input!B841&lt;=700),Input!B841,""),"")</f>
        <v/>
      </c>
      <c r="C841">
        <f>IF(B841="","",INT(A841))</f>
        <v/>
      </c>
      <c r="D841">
        <f>IF(B841="","",HOUR(A841))</f>
        <v/>
      </c>
    </row>
    <row r="842">
      <c r="A842">
        <f>Input!A842</f>
        <v/>
      </c>
      <c r="B842">
        <f>IF(ISNUMBER(Input!B842),IF(AND(Input!B842&gt;=20,Input!B842&lt;=700),Input!B842,""),"")</f>
        <v/>
      </c>
      <c r="C842">
        <f>IF(B842="","",INT(A842))</f>
        <v/>
      </c>
      <c r="D842">
        <f>IF(B842="","",HOUR(A842))</f>
        <v/>
      </c>
    </row>
    <row r="843">
      <c r="A843">
        <f>Input!A843</f>
        <v/>
      </c>
      <c r="B843">
        <f>IF(ISNUMBER(Input!B843),IF(AND(Input!B843&gt;=20,Input!B843&lt;=700),Input!B843,""),"")</f>
        <v/>
      </c>
      <c r="C843">
        <f>IF(B843="","",INT(A843))</f>
        <v/>
      </c>
      <c r="D843">
        <f>IF(B843="","",HOUR(A843))</f>
        <v/>
      </c>
    </row>
    <row r="844">
      <c r="A844">
        <f>Input!A844</f>
        <v/>
      </c>
      <c r="B844">
        <f>IF(ISNUMBER(Input!B844),IF(AND(Input!B844&gt;=20,Input!B844&lt;=700),Input!B844,""),"")</f>
        <v/>
      </c>
      <c r="C844">
        <f>IF(B844="","",INT(A844))</f>
        <v/>
      </c>
      <c r="D844">
        <f>IF(B844="","",HOUR(A844))</f>
        <v/>
      </c>
    </row>
    <row r="845">
      <c r="A845">
        <f>Input!A845</f>
        <v/>
      </c>
      <c r="B845">
        <f>IF(ISNUMBER(Input!B845),IF(AND(Input!B845&gt;=20,Input!B845&lt;=700),Input!B845,""),"")</f>
        <v/>
      </c>
      <c r="C845">
        <f>IF(B845="","",INT(A845))</f>
        <v/>
      </c>
      <c r="D845">
        <f>IF(B845="","",HOUR(A845))</f>
        <v/>
      </c>
    </row>
    <row r="846">
      <c r="A846">
        <f>Input!A846</f>
        <v/>
      </c>
      <c r="B846">
        <f>IF(ISNUMBER(Input!B846),IF(AND(Input!B846&gt;=20,Input!B846&lt;=700),Input!B846,""),"")</f>
        <v/>
      </c>
      <c r="C846">
        <f>IF(B846="","",INT(A846))</f>
        <v/>
      </c>
      <c r="D846">
        <f>IF(B846="","",HOUR(A846))</f>
        <v/>
      </c>
    </row>
    <row r="847">
      <c r="A847">
        <f>Input!A847</f>
        <v/>
      </c>
      <c r="B847">
        <f>IF(ISNUMBER(Input!B847),IF(AND(Input!B847&gt;=20,Input!B847&lt;=700),Input!B847,""),"")</f>
        <v/>
      </c>
      <c r="C847">
        <f>IF(B847="","",INT(A847))</f>
        <v/>
      </c>
      <c r="D847">
        <f>IF(B847="","",HOUR(A847))</f>
        <v/>
      </c>
    </row>
    <row r="848">
      <c r="A848">
        <f>Input!A848</f>
        <v/>
      </c>
      <c r="B848">
        <f>IF(ISNUMBER(Input!B848),IF(AND(Input!B848&gt;=20,Input!B848&lt;=700),Input!B848,""),"")</f>
        <v/>
      </c>
      <c r="C848">
        <f>IF(B848="","",INT(A848))</f>
        <v/>
      </c>
      <c r="D848">
        <f>IF(B848="","",HOUR(A848))</f>
        <v/>
      </c>
    </row>
    <row r="849">
      <c r="A849">
        <f>Input!A849</f>
        <v/>
      </c>
      <c r="B849">
        <f>IF(ISNUMBER(Input!B849),IF(AND(Input!B849&gt;=20,Input!B849&lt;=700),Input!B849,""),"")</f>
        <v/>
      </c>
      <c r="C849">
        <f>IF(B849="","",INT(A849))</f>
        <v/>
      </c>
      <c r="D849">
        <f>IF(B849="","",HOUR(A849))</f>
        <v/>
      </c>
    </row>
    <row r="850">
      <c r="A850">
        <f>Input!A850</f>
        <v/>
      </c>
      <c r="B850">
        <f>IF(ISNUMBER(Input!B850),IF(AND(Input!B850&gt;=20,Input!B850&lt;=700),Input!B850,""),"")</f>
        <v/>
      </c>
      <c r="C850">
        <f>IF(B850="","",INT(A850))</f>
        <v/>
      </c>
      <c r="D850">
        <f>IF(B850="","",HOUR(A850))</f>
        <v/>
      </c>
    </row>
    <row r="851">
      <c r="A851">
        <f>Input!A851</f>
        <v/>
      </c>
      <c r="B851">
        <f>IF(ISNUMBER(Input!B851),IF(AND(Input!B851&gt;=20,Input!B851&lt;=700),Input!B851,""),"")</f>
        <v/>
      </c>
      <c r="C851">
        <f>IF(B851="","",INT(A851))</f>
        <v/>
      </c>
      <c r="D851">
        <f>IF(B851="","",HOUR(A851))</f>
        <v/>
      </c>
    </row>
    <row r="852">
      <c r="A852">
        <f>Input!A852</f>
        <v/>
      </c>
      <c r="B852">
        <f>IF(ISNUMBER(Input!B852),IF(AND(Input!B852&gt;=20,Input!B852&lt;=700),Input!B852,""),"")</f>
        <v/>
      </c>
      <c r="C852">
        <f>IF(B852="","",INT(A852))</f>
        <v/>
      </c>
      <c r="D852">
        <f>IF(B852="","",HOUR(A852))</f>
        <v/>
      </c>
    </row>
    <row r="853">
      <c r="A853">
        <f>Input!A853</f>
        <v/>
      </c>
      <c r="B853">
        <f>IF(ISNUMBER(Input!B853),IF(AND(Input!B853&gt;=20,Input!B853&lt;=700),Input!B853,""),"")</f>
        <v/>
      </c>
      <c r="C853">
        <f>IF(B853="","",INT(A853))</f>
        <v/>
      </c>
      <c r="D853">
        <f>IF(B853="","",HOUR(A853))</f>
        <v/>
      </c>
    </row>
    <row r="854">
      <c r="A854">
        <f>Input!A854</f>
        <v/>
      </c>
      <c r="B854">
        <f>IF(ISNUMBER(Input!B854),IF(AND(Input!B854&gt;=20,Input!B854&lt;=700),Input!B854,""),"")</f>
        <v/>
      </c>
      <c r="C854">
        <f>IF(B854="","",INT(A854))</f>
        <v/>
      </c>
      <c r="D854">
        <f>IF(B854="","",HOUR(A854))</f>
        <v/>
      </c>
    </row>
    <row r="855">
      <c r="A855">
        <f>Input!A855</f>
        <v/>
      </c>
      <c r="B855">
        <f>IF(ISNUMBER(Input!B855),IF(AND(Input!B855&gt;=20,Input!B855&lt;=700),Input!B855,""),"")</f>
        <v/>
      </c>
      <c r="C855">
        <f>IF(B855="","",INT(A855))</f>
        <v/>
      </c>
      <c r="D855">
        <f>IF(B855="","",HOUR(A855))</f>
        <v/>
      </c>
    </row>
    <row r="856">
      <c r="A856">
        <f>Input!A856</f>
        <v/>
      </c>
      <c r="B856">
        <f>IF(ISNUMBER(Input!B856),IF(AND(Input!B856&gt;=20,Input!B856&lt;=700),Input!B856,""),"")</f>
        <v/>
      </c>
      <c r="C856">
        <f>IF(B856="","",INT(A856))</f>
        <v/>
      </c>
      <c r="D856">
        <f>IF(B856="","",HOUR(A856))</f>
        <v/>
      </c>
    </row>
    <row r="857">
      <c r="A857">
        <f>Input!A857</f>
        <v/>
      </c>
      <c r="B857">
        <f>IF(ISNUMBER(Input!B857),IF(AND(Input!B857&gt;=20,Input!B857&lt;=700),Input!B857,""),"")</f>
        <v/>
      </c>
      <c r="C857">
        <f>IF(B857="","",INT(A857))</f>
        <v/>
      </c>
      <c r="D857">
        <f>IF(B857="","",HOUR(A857))</f>
        <v/>
      </c>
    </row>
    <row r="858">
      <c r="A858">
        <f>Input!A858</f>
        <v/>
      </c>
      <c r="B858">
        <f>IF(ISNUMBER(Input!B858),IF(AND(Input!B858&gt;=20,Input!B858&lt;=700),Input!B858,""),"")</f>
        <v/>
      </c>
      <c r="C858">
        <f>IF(B858="","",INT(A858))</f>
        <v/>
      </c>
      <c r="D858">
        <f>IF(B858="","",HOUR(A858))</f>
        <v/>
      </c>
    </row>
    <row r="859">
      <c r="A859">
        <f>Input!A859</f>
        <v/>
      </c>
      <c r="B859">
        <f>IF(ISNUMBER(Input!B859),IF(AND(Input!B859&gt;=20,Input!B859&lt;=700),Input!B859,""),"")</f>
        <v/>
      </c>
      <c r="C859">
        <f>IF(B859="","",INT(A859))</f>
        <v/>
      </c>
      <c r="D859">
        <f>IF(B859="","",HOUR(A859))</f>
        <v/>
      </c>
    </row>
    <row r="860">
      <c r="A860">
        <f>Input!A860</f>
        <v/>
      </c>
      <c r="B860">
        <f>IF(ISNUMBER(Input!B860),IF(AND(Input!B860&gt;=20,Input!B860&lt;=700),Input!B860,""),"")</f>
        <v/>
      </c>
      <c r="C860">
        <f>IF(B860="","",INT(A860))</f>
        <v/>
      </c>
      <c r="D860">
        <f>IF(B860="","",HOUR(A860))</f>
        <v/>
      </c>
    </row>
    <row r="861">
      <c r="A861">
        <f>Input!A861</f>
        <v/>
      </c>
      <c r="B861">
        <f>IF(ISNUMBER(Input!B861),IF(AND(Input!B861&gt;=20,Input!B861&lt;=700),Input!B861,""),"")</f>
        <v/>
      </c>
      <c r="C861">
        <f>IF(B861="","",INT(A861))</f>
        <v/>
      </c>
      <c r="D861">
        <f>IF(B861="","",HOUR(A861))</f>
        <v/>
      </c>
    </row>
    <row r="862">
      <c r="A862">
        <f>Input!A862</f>
        <v/>
      </c>
      <c r="B862">
        <f>IF(ISNUMBER(Input!B862),IF(AND(Input!B862&gt;=20,Input!B862&lt;=700),Input!B862,""),"")</f>
        <v/>
      </c>
      <c r="C862">
        <f>IF(B862="","",INT(A862))</f>
        <v/>
      </c>
      <c r="D862">
        <f>IF(B862="","",HOUR(A862))</f>
        <v/>
      </c>
    </row>
    <row r="863">
      <c r="A863">
        <f>Input!A863</f>
        <v/>
      </c>
      <c r="B863">
        <f>IF(ISNUMBER(Input!B863),IF(AND(Input!B863&gt;=20,Input!B863&lt;=700),Input!B863,""),"")</f>
        <v/>
      </c>
      <c r="C863">
        <f>IF(B863="","",INT(A863))</f>
        <v/>
      </c>
      <c r="D863">
        <f>IF(B863="","",HOUR(A863))</f>
        <v/>
      </c>
    </row>
    <row r="864">
      <c r="A864">
        <f>Input!A864</f>
        <v/>
      </c>
      <c r="B864">
        <f>IF(ISNUMBER(Input!B864),IF(AND(Input!B864&gt;=20,Input!B864&lt;=700),Input!B864,""),"")</f>
        <v/>
      </c>
      <c r="C864">
        <f>IF(B864="","",INT(A864))</f>
        <v/>
      </c>
      <c r="D864">
        <f>IF(B864="","",HOUR(A864))</f>
        <v/>
      </c>
    </row>
    <row r="865">
      <c r="A865">
        <f>Input!A865</f>
        <v/>
      </c>
      <c r="B865">
        <f>IF(ISNUMBER(Input!B865),IF(AND(Input!B865&gt;=20,Input!B865&lt;=700),Input!B865,""),"")</f>
        <v/>
      </c>
      <c r="C865">
        <f>IF(B865="","",INT(A865))</f>
        <v/>
      </c>
      <c r="D865">
        <f>IF(B865="","",HOUR(A865))</f>
        <v/>
      </c>
    </row>
    <row r="866">
      <c r="A866">
        <f>Input!A866</f>
        <v/>
      </c>
      <c r="B866">
        <f>IF(ISNUMBER(Input!B866),IF(AND(Input!B866&gt;=20,Input!B866&lt;=700),Input!B866,""),"")</f>
        <v/>
      </c>
      <c r="C866">
        <f>IF(B866="","",INT(A866))</f>
        <v/>
      </c>
      <c r="D866">
        <f>IF(B866="","",HOUR(A866))</f>
        <v/>
      </c>
    </row>
    <row r="867">
      <c r="A867">
        <f>Input!A867</f>
        <v/>
      </c>
      <c r="B867">
        <f>IF(ISNUMBER(Input!B867),IF(AND(Input!B867&gt;=20,Input!B867&lt;=700),Input!B867,""),"")</f>
        <v/>
      </c>
      <c r="C867">
        <f>IF(B867="","",INT(A867))</f>
        <v/>
      </c>
      <c r="D867">
        <f>IF(B867="","",HOUR(A867))</f>
        <v/>
      </c>
    </row>
    <row r="868">
      <c r="A868">
        <f>Input!A868</f>
        <v/>
      </c>
      <c r="B868">
        <f>IF(ISNUMBER(Input!B868),IF(AND(Input!B868&gt;=20,Input!B868&lt;=700),Input!B868,""),"")</f>
        <v/>
      </c>
      <c r="C868">
        <f>IF(B868="","",INT(A868))</f>
        <v/>
      </c>
      <c r="D868">
        <f>IF(B868="","",HOUR(A868))</f>
        <v/>
      </c>
    </row>
    <row r="869">
      <c r="A869">
        <f>Input!A869</f>
        <v/>
      </c>
      <c r="B869">
        <f>IF(ISNUMBER(Input!B869),IF(AND(Input!B869&gt;=20,Input!B869&lt;=700),Input!B869,""),"")</f>
        <v/>
      </c>
      <c r="C869">
        <f>IF(B869="","",INT(A869))</f>
        <v/>
      </c>
      <c r="D869">
        <f>IF(B869="","",HOUR(A869))</f>
        <v/>
      </c>
    </row>
    <row r="870">
      <c r="A870">
        <f>Input!A870</f>
        <v/>
      </c>
      <c r="B870">
        <f>IF(ISNUMBER(Input!B870),IF(AND(Input!B870&gt;=20,Input!B870&lt;=700),Input!B870,""),"")</f>
        <v/>
      </c>
      <c r="C870">
        <f>IF(B870="","",INT(A870))</f>
        <v/>
      </c>
      <c r="D870">
        <f>IF(B870="","",HOUR(A870))</f>
        <v/>
      </c>
    </row>
    <row r="871">
      <c r="A871">
        <f>Input!A871</f>
        <v/>
      </c>
      <c r="B871">
        <f>IF(ISNUMBER(Input!B871),IF(AND(Input!B871&gt;=20,Input!B871&lt;=700),Input!B871,""),"")</f>
        <v/>
      </c>
      <c r="C871">
        <f>IF(B871="","",INT(A871))</f>
        <v/>
      </c>
      <c r="D871">
        <f>IF(B871="","",HOUR(A871))</f>
        <v/>
      </c>
    </row>
    <row r="872">
      <c r="A872">
        <f>Input!A872</f>
        <v/>
      </c>
      <c r="B872">
        <f>IF(ISNUMBER(Input!B872),IF(AND(Input!B872&gt;=20,Input!B872&lt;=700),Input!B872,""),"")</f>
        <v/>
      </c>
      <c r="C872">
        <f>IF(B872="","",INT(A872))</f>
        <v/>
      </c>
      <c r="D872">
        <f>IF(B872="","",HOUR(A872))</f>
        <v/>
      </c>
    </row>
    <row r="873">
      <c r="A873">
        <f>Input!A873</f>
        <v/>
      </c>
      <c r="B873">
        <f>IF(ISNUMBER(Input!B873),IF(AND(Input!B873&gt;=20,Input!B873&lt;=700),Input!B873,""),"")</f>
        <v/>
      </c>
      <c r="C873">
        <f>IF(B873="","",INT(A873))</f>
        <v/>
      </c>
      <c r="D873">
        <f>IF(B873="","",HOUR(A873))</f>
        <v/>
      </c>
    </row>
    <row r="874">
      <c r="A874">
        <f>Input!A874</f>
        <v/>
      </c>
      <c r="B874">
        <f>IF(ISNUMBER(Input!B874),IF(AND(Input!B874&gt;=20,Input!B874&lt;=700),Input!B874,""),"")</f>
        <v/>
      </c>
      <c r="C874">
        <f>IF(B874="","",INT(A874))</f>
        <v/>
      </c>
      <c r="D874">
        <f>IF(B874="","",HOUR(A874))</f>
        <v/>
      </c>
    </row>
    <row r="875">
      <c r="A875">
        <f>Input!A875</f>
        <v/>
      </c>
      <c r="B875">
        <f>IF(ISNUMBER(Input!B875),IF(AND(Input!B875&gt;=20,Input!B875&lt;=700),Input!B875,""),"")</f>
        <v/>
      </c>
      <c r="C875">
        <f>IF(B875="","",INT(A875))</f>
        <v/>
      </c>
      <c r="D875">
        <f>IF(B875="","",HOUR(A875))</f>
        <v/>
      </c>
    </row>
    <row r="876">
      <c r="A876">
        <f>Input!A876</f>
        <v/>
      </c>
      <c r="B876">
        <f>IF(ISNUMBER(Input!B876),IF(AND(Input!B876&gt;=20,Input!B876&lt;=700),Input!B876,""),"")</f>
        <v/>
      </c>
      <c r="C876">
        <f>IF(B876="","",INT(A876))</f>
        <v/>
      </c>
      <c r="D876">
        <f>IF(B876="","",HOUR(A876))</f>
        <v/>
      </c>
    </row>
    <row r="877">
      <c r="A877">
        <f>Input!A877</f>
        <v/>
      </c>
      <c r="B877">
        <f>IF(ISNUMBER(Input!B877),IF(AND(Input!B877&gt;=20,Input!B877&lt;=700),Input!B877,""),"")</f>
        <v/>
      </c>
      <c r="C877">
        <f>IF(B877="","",INT(A877))</f>
        <v/>
      </c>
      <c r="D877">
        <f>IF(B877="","",HOUR(A877))</f>
        <v/>
      </c>
    </row>
    <row r="878">
      <c r="A878">
        <f>Input!A878</f>
        <v/>
      </c>
      <c r="B878">
        <f>IF(ISNUMBER(Input!B878),IF(AND(Input!B878&gt;=20,Input!B878&lt;=700),Input!B878,""),"")</f>
        <v/>
      </c>
      <c r="C878">
        <f>IF(B878="","",INT(A878))</f>
        <v/>
      </c>
      <c r="D878">
        <f>IF(B878="","",HOUR(A878))</f>
        <v/>
      </c>
    </row>
    <row r="879">
      <c r="A879">
        <f>Input!A879</f>
        <v/>
      </c>
      <c r="B879">
        <f>IF(ISNUMBER(Input!B879),IF(AND(Input!B879&gt;=20,Input!B879&lt;=700),Input!B879,""),"")</f>
        <v/>
      </c>
      <c r="C879">
        <f>IF(B879="","",INT(A879))</f>
        <v/>
      </c>
      <c r="D879">
        <f>IF(B879="","",HOUR(A879))</f>
        <v/>
      </c>
    </row>
    <row r="880">
      <c r="A880">
        <f>Input!A880</f>
        <v/>
      </c>
      <c r="B880">
        <f>IF(ISNUMBER(Input!B880),IF(AND(Input!B880&gt;=20,Input!B880&lt;=700),Input!B880,""),"")</f>
        <v/>
      </c>
      <c r="C880">
        <f>IF(B880="","",INT(A880))</f>
        <v/>
      </c>
      <c r="D880">
        <f>IF(B880="","",HOUR(A880))</f>
        <v/>
      </c>
    </row>
    <row r="881">
      <c r="A881">
        <f>Input!A881</f>
        <v/>
      </c>
      <c r="B881">
        <f>IF(ISNUMBER(Input!B881),IF(AND(Input!B881&gt;=20,Input!B881&lt;=700),Input!B881,""),"")</f>
        <v/>
      </c>
      <c r="C881">
        <f>IF(B881="","",INT(A881))</f>
        <v/>
      </c>
      <c r="D881">
        <f>IF(B881="","",HOUR(A881))</f>
        <v/>
      </c>
    </row>
    <row r="882">
      <c r="A882">
        <f>Input!A882</f>
        <v/>
      </c>
      <c r="B882">
        <f>IF(ISNUMBER(Input!B882),IF(AND(Input!B882&gt;=20,Input!B882&lt;=700),Input!B882,""),"")</f>
        <v/>
      </c>
      <c r="C882">
        <f>IF(B882="","",INT(A882))</f>
        <v/>
      </c>
      <c r="D882">
        <f>IF(B882="","",HOUR(A882))</f>
        <v/>
      </c>
    </row>
    <row r="883">
      <c r="A883">
        <f>Input!A883</f>
        <v/>
      </c>
      <c r="B883">
        <f>IF(ISNUMBER(Input!B883),IF(AND(Input!B883&gt;=20,Input!B883&lt;=700),Input!B883,""),"")</f>
        <v/>
      </c>
      <c r="C883">
        <f>IF(B883="","",INT(A883))</f>
        <v/>
      </c>
      <c r="D883">
        <f>IF(B883="","",HOUR(A883))</f>
        <v/>
      </c>
    </row>
    <row r="884">
      <c r="A884">
        <f>Input!A884</f>
        <v/>
      </c>
      <c r="B884">
        <f>IF(ISNUMBER(Input!B884),IF(AND(Input!B884&gt;=20,Input!B884&lt;=700),Input!B884,""),"")</f>
        <v/>
      </c>
      <c r="C884">
        <f>IF(B884="","",INT(A884))</f>
        <v/>
      </c>
      <c r="D884">
        <f>IF(B884="","",HOUR(A884))</f>
        <v/>
      </c>
    </row>
    <row r="885">
      <c r="A885">
        <f>Input!A885</f>
        <v/>
      </c>
      <c r="B885">
        <f>IF(ISNUMBER(Input!B885),IF(AND(Input!B885&gt;=20,Input!B885&lt;=700),Input!B885,""),"")</f>
        <v/>
      </c>
      <c r="C885">
        <f>IF(B885="","",INT(A885))</f>
        <v/>
      </c>
      <c r="D885">
        <f>IF(B885="","",HOUR(A885))</f>
        <v/>
      </c>
    </row>
    <row r="886">
      <c r="A886">
        <f>Input!A886</f>
        <v/>
      </c>
      <c r="B886">
        <f>IF(ISNUMBER(Input!B886),IF(AND(Input!B886&gt;=20,Input!B886&lt;=700),Input!B886,""),"")</f>
        <v/>
      </c>
      <c r="C886">
        <f>IF(B886="","",INT(A886))</f>
        <v/>
      </c>
      <c r="D886">
        <f>IF(B886="","",HOUR(A886))</f>
        <v/>
      </c>
    </row>
    <row r="887">
      <c r="A887">
        <f>Input!A887</f>
        <v/>
      </c>
      <c r="B887">
        <f>IF(ISNUMBER(Input!B887),IF(AND(Input!B887&gt;=20,Input!B887&lt;=700),Input!B887,""),"")</f>
        <v/>
      </c>
      <c r="C887">
        <f>IF(B887="","",INT(A887))</f>
        <v/>
      </c>
      <c r="D887">
        <f>IF(B887="","",HOUR(A887))</f>
        <v/>
      </c>
    </row>
    <row r="888">
      <c r="A888">
        <f>Input!A888</f>
        <v/>
      </c>
      <c r="B888">
        <f>IF(ISNUMBER(Input!B888),IF(AND(Input!B888&gt;=20,Input!B888&lt;=700),Input!B888,""),"")</f>
        <v/>
      </c>
      <c r="C888">
        <f>IF(B888="","",INT(A888))</f>
        <v/>
      </c>
      <c r="D888">
        <f>IF(B888="","",HOUR(A888))</f>
        <v/>
      </c>
    </row>
    <row r="889">
      <c r="A889">
        <f>Input!A889</f>
        <v/>
      </c>
      <c r="B889">
        <f>IF(ISNUMBER(Input!B889),IF(AND(Input!B889&gt;=20,Input!B889&lt;=700),Input!B889,""),"")</f>
        <v/>
      </c>
      <c r="C889">
        <f>IF(B889="","",INT(A889))</f>
        <v/>
      </c>
      <c r="D889">
        <f>IF(B889="","",HOUR(A889))</f>
        <v/>
      </c>
    </row>
    <row r="890">
      <c r="A890">
        <f>Input!A890</f>
        <v/>
      </c>
      <c r="B890">
        <f>IF(ISNUMBER(Input!B890),IF(AND(Input!B890&gt;=20,Input!B890&lt;=700),Input!B890,""),"")</f>
        <v/>
      </c>
      <c r="C890">
        <f>IF(B890="","",INT(A890))</f>
        <v/>
      </c>
      <c r="D890">
        <f>IF(B890="","",HOUR(A890))</f>
        <v/>
      </c>
    </row>
    <row r="891">
      <c r="A891">
        <f>Input!A891</f>
        <v/>
      </c>
      <c r="B891">
        <f>IF(ISNUMBER(Input!B891),IF(AND(Input!B891&gt;=20,Input!B891&lt;=700),Input!B891,""),"")</f>
        <v/>
      </c>
      <c r="C891">
        <f>IF(B891="","",INT(A891))</f>
        <v/>
      </c>
      <c r="D891">
        <f>IF(B891="","",HOUR(A891))</f>
        <v/>
      </c>
    </row>
    <row r="892">
      <c r="A892">
        <f>Input!A892</f>
        <v/>
      </c>
      <c r="B892">
        <f>IF(ISNUMBER(Input!B892),IF(AND(Input!B892&gt;=20,Input!B892&lt;=700),Input!B892,""),"")</f>
        <v/>
      </c>
      <c r="C892">
        <f>IF(B892="","",INT(A892))</f>
        <v/>
      </c>
      <c r="D892">
        <f>IF(B892="","",HOUR(A892))</f>
        <v/>
      </c>
    </row>
    <row r="893">
      <c r="A893">
        <f>Input!A893</f>
        <v/>
      </c>
      <c r="B893">
        <f>IF(ISNUMBER(Input!B893),IF(AND(Input!B893&gt;=20,Input!B893&lt;=700),Input!B893,""),"")</f>
        <v/>
      </c>
      <c r="C893">
        <f>IF(B893="","",INT(A893))</f>
        <v/>
      </c>
      <c r="D893">
        <f>IF(B893="","",HOUR(A893))</f>
        <v/>
      </c>
    </row>
    <row r="894">
      <c r="A894">
        <f>Input!A894</f>
        <v/>
      </c>
      <c r="B894">
        <f>IF(ISNUMBER(Input!B894),IF(AND(Input!B894&gt;=20,Input!B894&lt;=700),Input!B894,""),"")</f>
        <v/>
      </c>
      <c r="C894">
        <f>IF(B894="","",INT(A894))</f>
        <v/>
      </c>
      <c r="D894">
        <f>IF(B894="","",HOUR(A894))</f>
        <v/>
      </c>
    </row>
    <row r="895">
      <c r="A895">
        <f>Input!A895</f>
        <v/>
      </c>
      <c r="B895">
        <f>IF(ISNUMBER(Input!B895),IF(AND(Input!B895&gt;=20,Input!B895&lt;=700),Input!B895,""),"")</f>
        <v/>
      </c>
      <c r="C895">
        <f>IF(B895="","",INT(A895))</f>
        <v/>
      </c>
      <c r="D895">
        <f>IF(B895="","",HOUR(A895))</f>
        <v/>
      </c>
    </row>
    <row r="896">
      <c r="A896">
        <f>Input!A896</f>
        <v/>
      </c>
      <c r="B896">
        <f>IF(ISNUMBER(Input!B896),IF(AND(Input!B896&gt;=20,Input!B896&lt;=700),Input!B896,""),"")</f>
        <v/>
      </c>
      <c r="C896">
        <f>IF(B896="","",INT(A896))</f>
        <v/>
      </c>
      <c r="D896">
        <f>IF(B896="","",HOUR(A896))</f>
        <v/>
      </c>
    </row>
    <row r="897">
      <c r="A897">
        <f>Input!A897</f>
        <v/>
      </c>
      <c r="B897">
        <f>IF(ISNUMBER(Input!B897),IF(AND(Input!B897&gt;=20,Input!B897&lt;=700),Input!B897,""),"")</f>
        <v/>
      </c>
      <c r="C897">
        <f>IF(B897="","",INT(A897))</f>
        <v/>
      </c>
      <c r="D897">
        <f>IF(B897="","",HOUR(A897))</f>
        <v/>
      </c>
    </row>
    <row r="898">
      <c r="A898">
        <f>Input!A898</f>
        <v/>
      </c>
      <c r="B898">
        <f>IF(ISNUMBER(Input!B898),IF(AND(Input!B898&gt;=20,Input!B898&lt;=700),Input!B898,""),"")</f>
        <v/>
      </c>
      <c r="C898">
        <f>IF(B898="","",INT(A898))</f>
        <v/>
      </c>
      <c r="D898">
        <f>IF(B898="","",HOUR(A898))</f>
        <v/>
      </c>
    </row>
    <row r="899">
      <c r="A899">
        <f>Input!A899</f>
        <v/>
      </c>
      <c r="B899">
        <f>IF(ISNUMBER(Input!B899),IF(AND(Input!B899&gt;=20,Input!B899&lt;=700),Input!B899,""),"")</f>
        <v/>
      </c>
      <c r="C899">
        <f>IF(B899="","",INT(A899))</f>
        <v/>
      </c>
      <c r="D899">
        <f>IF(B899="","",HOUR(A899))</f>
        <v/>
      </c>
    </row>
    <row r="900">
      <c r="A900">
        <f>Input!A900</f>
        <v/>
      </c>
      <c r="B900">
        <f>IF(ISNUMBER(Input!B900),IF(AND(Input!B900&gt;=20,Input!B900&lt;=700),Input!B900,""),"")</f>
        <v/>
      </c>
      <c r="C900">
        <f>IF(B900="","",INT(A900))</f>
        <v/>
      </c>
      <c r="D900">
        <f>IF(B900="","",HOUR(A900))</f>
        <v/>
      </c>
    </row>
    <row r="901">
      <c r="A901">
        <f>Input!A901</f>
        <v/>
      </c>
      <c r="B901">
        <f>IF(ISNUMBER(Input!B901),IF(AND(Input!B901&gt;=20,Input!B901&lt;=700),Input!B901,""),"")</f>
        <v/>
      </c>
      <c r="C901">
        <f>IF(B901="","",INT(A901))</f>
        <v/>
      </c>
      <c r="D901">
        <f>IF(B901="","",HOUR(A901))</f>
        <v/>
      </c>
    </row>
    <row r="902">
      <c r="A902">
        <f>Input!A902</f>
        <v/>
      </c>
      <c r="B902">
        <f>IF(ISNUMBER(Input!B902),IF(AND(Input!B902&gt;=20,Input!B902&lt;=700),Input!B902,""),"")</f>
        <v/>
      </c>
      <c r="C902">
        <f>IF(B902="","",INT(A902))</f>
        <v/>
      </c>
      <c r="D902">
        <f>IF(B902="","",HOUR(A902))</f>
        <v/>
      </c>
    </row>
    <row r="903">
      <c r="A903">
        <f>Input!A903</f>
        <v/>
      </c>
      <c r="B903">
        <f>IF(ISNUMBER(Input!B903),IF(AND(Input!B903&gt;=20,Input!B903&lt;=700),Input!B903,""),"")</f>
        <v/>
      </c>
      <c r="C903">
        <f>IF(B903="","",INT(A903))</f>
        <v/>
      </c>
      <c r="D903">
        <f>IF(B903="","",HOUR(A903))</f>
        <v/>
      </c>
    </row>
    <row r="904">
      <c r="A904">
        <f>Input!A904</f>
        <v/>
      </c>
      <c r="B904">
        <f>IF(ISNUMBER(Input!B904),IF(AND(Input!B904&gt;=20,Input!B904&lt;=700),Input!B904,""),"")</f>
        <v/>
      </c>
      <c r="C904">
        <f>IF(B904="","",INT(A904))</f>
        <v/>
      </c>
      <c r="D904">
        <f>IF(B904="","",HOUR(A904))</f>
        <v/>
      </c>
    </row>
    <row r="905">
      <c r="A905">
        <f>Input!A905</f>
        <v/>
      </c>
      <c r="B905">
        <f>IF(ISNUMBER(Input!B905),IF(AND(Input!B905&gt;=20,Input!B905&lt;=700),Input!B905,""),"")</f>
        <v/>
      </c>
      <c r="C905">
        <f>IF(B905="","",INT(A905))</f>
        <v/>
      </c>
      <c r="D905">
        <f>IF(B905="","",HOUR(A905))</f>
        <v/>
      </c>
    </row>
    <row r="906">
      <c r="A906">
        <f>Input!A906</f>
        <v/>
      </c>
      <c r="B906">
        <f>IF(ISNUMBER(Input!B906),IF(AND(Input!B906&gt;=20,Input!B906&lt;=700),Input!B906,""),"")</f>
        <v/>
      </c>
      <c r="C906">
        <f>IF(B906="","",INT(A906))</f>
        <v/>
      </c>
      <c r="D906">
        <f>IF(B906="","",HOUR(A906))</f>
        <v/>
      </c>
    </row>
    <row r="907">
      <c r="A907">
        <f>Input!A907</f>
        <v/>
      </c>
      <c r="B907">
        <f>IF(ISNUMBER(Input!B907),IF(AND(Input!B907&gt;=20,Input!B907&lt;=700),Input!B907,""),"")</f>
        <v/>
      </c>
      <c r="C907">
        <f>IF(B907="","",INT(A907))</f>
        <v/>
      </c>
      <c r="D907">
        <f>IF(B907="","",HOUR(A907))</f>
        <v/>
      </c>
    </row>
    <row r="908">
      <c r="A908">
        <f>Input!A908</f>
        <v/>
      </c>
      <c r="B908">
        <f>IF(ISNUMBER(Input!B908),IF(AND(Input!B908&gt;=20,Input!B908&lt;=700),Input!B908,""),"")</f>
        <v/>
      </c>
      <c r="C908">
        <f>IF(B908="","",INT(A908))</f>
        <v/>
      </c>
      <c r="D908">
        <f>IF(B908="","",HOUR(A908))</f>
        <v/>
      </c>
    </row>
    <row r="909">
      <c r="A909">
        <f>Input!A909</f>
        <v/>
      </c>
      <c r="B909">
        <f>IF(ISNUMBER(Input!B909),IF(AND(Input!B909&gt;=20,Input!B909&lt;=700),Input!B909,""),"")</f>
        <v/>
      </c>
      <c r="C909">
        <f>IF(B909="","",INT(A909))</f>
        <v/>
      </c>
      <c r="D909">
        <f>IF(B909="","",HOUR(A909))</f>
        <v/>
      </c>
    </row>
    <row r="910">
      <c r="A910">
        <f>Input!A910</f>
        <v/>
      </c>
      <c r="B910">
        <f>IF(ISNUMBER(Input!B910),IF(AND(Input!B910&gt;=20,Input!B910&lt;=700),Input!B910,""),"")</f>
        <v/>
      </c>
      <c r="C910">
        <f>IF(B910="","",INT(A910))</f>
        <v/>
      </c>
      <c r="D910">
        <f>IF(B910="","",HOUR(A910))</f>
        <v/>
      </c>
    </row>
    <row r="911">
      <c r="A911">
        <f>Input!A911</f>
        <v/>
      </c>
      <c r="B911">
        <f>IF(ISNUMBER(Input!B911),IF(AND(Input!B911&gt;=20,Input!B911&lt;=700),Input!B911,""),"")</f>
        <v/>
      </c>
      <c r="C911">
        <f>IF(B911="","",INT(A911))</f>
        <v/>
      </c>
      <c r="D911">
        <f>IF(B911="","",HOUR(A911))</f>
        <v/>
      </c>
    </row>
    <row r="912">
      <c r="A912">
        <f>Input!A912</f>
        <v/>
      </c>
      <c r="B912">
        <f>IF(ISNUMBER(Input!B912),IF(AND(Input!B912&gt;=20,Input!B912&lt;=700),Input!B912,""),"")</f>
        <v/>
      </c>
      <c r="C912">
        <f>IF(B912="","",INT(A912))</f>
        <v/>
      </c>
      <c r="D912">
        <f>IF(B912="","",HOUR(A912))</f>
        <v/>
      </c>
    </row>
    <row r="913">
      <c r="A913">
        <f>Input!A913</f>
        <v/>
      </c>
      <c r="B913">
        <f>IF(ISNUMBER(Input!B913),IF(AND(Input!B913&gt;=20,Input!B913&lt;=700),Input!B913,""),"")</f>
        <v/>
      </c>
      <c r="C913">
        <f>IF(B913="","",INT(A913))</f>
        <v/>
      </c>
      <c r="D913">
        <f>IF(B913="","",HOUR(A913))</f>
        <v/>
      </c>
    </row>
    <row r="914">
      <c r="A914">
        <f>Input!A914</f>
        <v/>
      </c>
      <c r="B914">
        <f>IF(ISNUMBER(Input!B914),IF(AND(Input!B914&gt;=20,Input!B914&lt;=700),Input!B914,""),"")</f>
        <v/>
      </c>
      <c r="C914">
        <f>IF(B914="","",INT(A914))</f>
        <v/>
      </c>
      <c r="D914">
        <f>IF(B914="","",HOUR(A914))</f>
        <v/>
      </c>
    </row>
    <row r="915">
      <c r="A915">
        <f>Input!A915</f>
        <v/>
      </c>
      <c r="B915">
        <f>IF(ISNUMBER(Input!B915),IF(AND(Input!B915&gt;=20,Input!B915&lt;=700),Input!B915,""),"")</f>
        <v/>
      </c>
      <c r="C915">
        <f>IF(B915="","",INT(A915))</f>
        <v/>
      </c>
      <c r="D915">
        <f>IF(B915="","",HOUR(A915))</f>
        <v/>
      </c>
    </row>
    <row r="916">
      <c r="A916">
        <f>Input!A916</f>
        <v/>
      </c>
      <c r="B916">
        <f>IF(ISNUMBER(Input!B916),IF(AND(Input!B916&gt;=20,Input!B916&lt;=700),Input!B916,""),"")</f>
        <v/>
      </c>
      <c r="C916">
        <f>IF(B916="","",INT(A916))</f>
        <v/>
      </c>
      <c r="D916">
        <f>IF(B916="","",HOUR(A916))</f>
        <v/>
      </c>
    </row>
    <row r="917">
      <c r="A917">
        <f>Input!A917</f>
        <v/>
      </c>
      <c r="B917">
        <f>IF(ISNUMBER(Input!B917),IF(AND(Input!B917&gt;=20,Input!B917&lt;=700),Input!B917,""),"")</f>
        <v/>
      </c>
      <c r="C917">
        <f>IF(B917="","",INT(A917))</f>
        <v/>
      </c>
      <c r="D917">
        <f>IF(B917="","",HOUR(A917))</f>
        <v/>
      </c>
    </row>
    <row r="918">
      <c r="A918">
        <f>Input!A918</f>
        <v/>
      </c>
      <c r="B918">
        <f>IF(ISNUMBER(Input!B918),IF(AND(Input!B918&gt;=20,Input!B918&lt;=700),Input!B918,""),"")</f>
        <v/>
      </c>
      <c r="C918">
        <f>IF(B918="","",INT(A918))</f>
        <v/>
      </c>
      <c r="D918">
        <f>IF(B918="","",HOUR(A918))</f>
        <v/>
      </c>
    </row>
    <row r="919">
      <c r="A919">
        <f>Input!A919</f>
        <v/>
      </c>
      <c r="B919">
        <f>IF(ISNUMBER(Input!B919),IF(AND(Input!B919&gt;=20,Input!B919&lt;=700),Input!B919,""),"")</f>
        <v/>
      </c>
      <c r="C919">
        <f>IF(B919="","",INT(A919))</f>
        <v/>
      </c>
      <c r="D919">
        <f>IF(B919="","",HOUR(A919))</f>
        <v/>
      </c>
    </row>
    <row r="920">
      <c r="A920">
        <f>Input!A920</f>
        <v/>
      </c>
      <c r="B920">
        <f>IF(ISNUMBER(Input!B920),IF(AND(Input!B920&gt;=20,Input!B920&lt;=700),Input!B920,""),"")</f>
        <v/>
      </c>
      <c r="C920">
        <f>IF(B920="","",INT(A920))</f>
        <v/>
      </c>
      <c r="D920">
        <f>IF(B920="","",HOUR(A920))</f>
        <v/>
      </c>
    </row>
    <row r="921">
      <c r="A921">
        <f>Input!A921</f>
        <v/>
      </c>
      <c r="B921">
        <f>IF(ISNUMBER(Input!B921),IF(AND(Input!B921&gt;=20,Input!B921&lt;=700),Input!B921,""),"")</f>
        <v/>
      </c>
      <c r="C921">
        <f>IF(B921="","",INT(A921))</f>
        <v/>
      </c>
      <c r="D921">
        <f>IF(B921="","",HOUR(A921))</f>
        <v/>
      </c>
    </row>
    <row r="922">
      <c r="A922">
        <f>Input!A922</f>
        <v/>
      </c>
      <c r="B922">
        <f>IF(ISNUMBER(Input!B922),IF(AND(Input!B922&gt;=20,Input!B922&lt;=700),Input!B922,""),"")</f>
        <v/>
      </c>
      <c r="C922">
        <f>IF(B922="","",INT(A922))</f>
        <v/>
      </c>
      <c r="D922">
        <f>IF(B922="","",HOUR(A922))</f>
        <v/>
      </c>
    </row>
    <row r="923">
      <c r="A923">
        <f>Input!A923</f>
        <v/>
      </c>
      <c r="B923">
        <f>IF(ISNUMBER(Input!B923),IF(AND(Input!B923&gt;=20,Input!B923&lt;=700),Input!B923,""),"")</f>
        <v/>
      </c>
      <c r="C923">
        <f>IF(B923="","",INT(A923))</f>
        <v/>
      </c>
      <c r="D923">
        <f>IF(B923="","",HOUR(A923))</f>
        <v/>
      </c>
    </row>
    <row r="924">
      <c r="A924">
        <f>Input!A924</f>
        <v/>
      </c>
      <c r="B924">
        <f>IF(ISNUMBER(Input!B924),IF(AND(Input!B924&gt;=20,Input!B924&lt;=700),Input!B924,""),"")</f>
        <v/>
      </c>
      <c r="C924">
        <f>IF(B924="","",INT(A924))</f>
        <v/>
      </c>
      <c r="D924">
        <f>IF(B924="","",HOUR(A924))</f>
        <v/>
      </c>
    </row>
    <row r="925">
      <c r="A925">
        <f>Input!A925</f>
        <v/>
      </c>
      <c r="B925">
        <f>IF(ISNUMBER(Input!B925),IF(AND(Input!B925&gt;=20,Input!B925&lt;=700),Input!B925,""),"")</f>
        <v/>
      </c>
      <c r="C925">
        <f>IF(B925="","",INT(A925))</f>
        <v/>
      </c>
      <c r="D925">
        <f>IF(B925="","",HOUR(A925))</f>
        <v/>
      </c>
    </row>
    <row r="926">
      <c r="A926">
        <f>Input!A926</f>
        <v/>
      </c>
      <c r="B926">
        <f>IF(ISNUMBER(Input!B926),IF(AND(Input!B926&gt;=20,Input!B926&lt;=700),Input!B926,""),"")</f>
        <v/>
      </c>
      <c r="C926">
        <f>IF(B926="","",INT(A926))</f>
        <v/>
      </c>
      <c r="D926">
        <f>IF(B926="","",HOUR(A926))</f>
        <v/>
      </c>
    </row>
    <row r="927">
      <c r="A927">
        <f>Input!A927</f>
        <v/>
      </c>
      <c r="B927">
        <f>IF(ISNUMBER(Input!B927),IF(AND(Input!B927&gt;=20,Input!B927&lt;=700),Input!B927,""),"")</f>
        <v/>
      </c>
      <c r="C927">
        <f>IF(B927="","",INT(A927))</f>
        <v/>
      </c>
      <c r="D927">
        <f>IF(B927="","",HOUR(A927))</f>
        <v/>
      </c>
    </row>
    <row r="928">
      <c r="A928">
        <f>Input!A928</f>
        <v/>
      </c>
      <c r="B928">
        <f>IF(ISNUMBER(Input!B928),IF(AND(Input!B928&gt;=20,Input!B928&lt;=700),Input!B928,""),"")</f>
        <v/>
      </c>
      <c r="C928">
        <f>IF(B928="","",INT(A928))</f>
        <v/>
      </c>
      <c r="D928">
        <f>IF(B928="","",HOUR(A928))</f>
        <v/>
      </c>
    </row>
    <row r="929">
      <c r="A929">
        <f>Input!A929</f>
        <v/>
      </c>
      <c r="B929">
        <f>IF(ISNUMBER(Input!B929),IF(AND(Input!B929&gt;=20,Input!B929&lt;=700),Input!B929,""),"")</f>
        <v/>
      </c>
      <c r="C929">
        <f>IF(B929="","",INT(A929))</f>
        <v/>
      </c>
      <c r="D929">
        <f>IF(B929="","",HOUR(A929))</f>
        <v/>
      </c>
    </row>
    <row r="930">
      <c r="A930">
        <f>Input!A930</f>
        <v/>
      </c>
      <c r="B930">
        <f>IF(ISNUMBER(Input!B930),IF(AND(Input!B930&gt;=20,Input!B930&lt;=700),Input!B930,""),"")</f>
        <v/>
      </c>
      <c r="C930">
        <f>IF(B930="","",INT(A930))</f>
        <v/>
      </c>
      <c r="D930">
        <f>IF(B930="","",HOUR(A930))</f>
        <v/>
      </c>
    </row>
    <row r="931">
      <c r="A931">
        <f>Input!A931</f>
        <v/>
      </c>
      <c r="B931">
        <f>IF(ISNUMBER(Input!B931),IF(AND(Input!B931&gt;=20,Input!B931&lt;=700),Input!B931,""),"")</f>
        <v/>
      </c>
      <c r="C931">
        <f>IF(B931="","",INT(A931))</f>
        <v/>
      </c>
      <c r="D931">
        <f>IF(B931="","",HOUR(A931))</f>
        <v/>
      </c>
    </row>
    <row r="932">
      <c r="A932">
        <f>Input!A932</f>
        <v/>
      </c>
      <c r="B932">
        <f>IF(ISNUMBER(Input!B932),IF(AND(Input!B932&gt;=20,Input!B932&lt;=700),Input!B932,""),"")</f>
        <v/>
      </c>
      <c r="C932">
        <f>IF(B932="","",INT(A932))</f>
        <v/>
      </c>
      <c r="D932">
        <f>IF(B932="","",HOUR(A932))</f>
        <v/>
      </c>
    </row>
    <row r="933">
      <c r="A933">
        <f>Input!A933</f>
        <v/>
      </c>
      <c r="B933">
        <f>IF(ISNUMBER(Input!B933),IF(AND(Input!B933&gt;=20,Input!B933&lt;=700),Input!B933,""),"")</f>
        <v/>
      </c>
      <c r="C933">
        <f>IF(B933="","",INT(A933))</f>
        <v/>
      </c>
      <c r="D933">
        <f>IF(B933="","",HOUR(A933))</f>
        <v/>
      </c>
    </row>
    <row r="934">
      <c r="A934">
        <f>Input!A934</f>
        <v/>
      </c>
      <c r="B934">
        <f>IF(ISNUMBER(Input!B934),IF(AND(Input!B934&gt;=20,Input!B934&lt;=700),Input!B934,""),"")</f>
        <v/>
      </c>
      <c r="C934">
        <f>IF(B934="","",INT(A934))</f>
        <v/>
      </c>
      <c r="D934">
        <f>IF(B934="","",HOUR(A934))</f>
        <v/>
      </c>
    </row>
    <row r="935">
      <c r="A935">
        <f>Input!A935</f>
        <v/>
      </c>
      <c r="B935">
        <f>IF(ISNUMBER(Input!B935),IF(AND(Input!B935&gt;=20,Input!B935&lt;=700),Input!B935,""),"")</f>
        <v/>
      </c>
      <c r="C935">
        <f>IF(B935="","",INT(A935))</f>
        <v/>
      </c>
      <c r="D935">
        <f>IF(B935="","",HOUR(A935))</f>
        <v/>
      </c>
    </row>
    <row r="936">
      <c r="A936">
        <f>Input!A936</f>
        <v/>
      </c>
      <c r="B936">
        <f>IF(ISNUMBER(Input!B936),IF(AND(Input!B936&gt;=20,Input!B936&lt;=700),Input!B936,""),"")</f>
        <v/>
      </c>
      <c r="C936">
        <f>IF(B936="","",INT(A936))</f>
        <v/>
      </c>
      <c r="D936">
        <f>IF(B936="","",HOUR(A936))</f>
        <v/>
      </c>
    </row>
    <row r="937">
      <c r="A937">
        <f>Input!A937</f>
        <v/>
      </c>
      <c r="B937">
        <f>IF(ISNUMBER(Input!B937),IF(AND(Input!B937&gt;=20,Input!B937&lt;=700),Input!B937,""),"")</f>
        <v/>
      </c>
      <c r="C937">
        <f>IF(B937="","",INT(A937))</f>
        <v/>
      </c>
      <c r="D937">
        <f>IF(B937="","",HOUR(A937))</f>
        <v/>
      </c>
    </row>
    <row r="938">
      <c r="A938">
        <f>Input!A938</f>
        <v/>
      </c>
      <c r="B938">
        <f>IF(ISNUMBER(Input!B938),IF(AND(Input!B938&gt;=20,Input!B938&lt;=700),Input!B938,""),"")</f>
        <v/>
      </c>
      <c r="C938">
        <f>IF(B938="","",INT(A938))</f>
        <v/>
      </c>
      <c r="D938">
        <f>IF(B938="","",HOUR(A938))</f>
        <v/>
      </c>
    </row>
    <row r="939">
      <c r="A939">
        <f>Input!A939</f>
        <v/>
      </c>
      <c r="B939">
        <f>IF(ISNUMBER(Input!B939),IF(AND(Input!B939&gt;=20,Input!B939&lt;=700),Input!B939,""),"")</f>
        <v/>
      </c>
      <c r="C939">
        <f>IF(B939="","",INT(A939))</f>
        <v/>
      </c>
      <c r="D939">
        <f>IF(B939="","",HOUR(A939))</f>
        <v/>
      </c>
    </row>
    <row r="940">
      <c r="A940">
        <f>Input!A940</f>
        <v/>
      </c>
      <c r="B940">
        <f>IF(ISNUMBER(Input!B940),IF(AND(Input!B940&gt;=20,Input!B940&lt;=700),Input!B940,""),"")</f>
        <v/>
      </c>
      <c r="C940">
        <f>IF(B940="","",INT(A940))</f>
        <v/>
      </c>
      <c r="D940">
        <f>IF(B940="","",HOUR(A940))</f>
        <v/>
      </c>
    </row>
    <row r="941">
      <c r="A941">
        <f>Input!A941</f>
        <v/>
      </c>
      <c r="B941">
        <f>IF(ISNUMBER(Input!B941),IF(AND(Input!B941&gt;=20,Input!B941&lt;=700),Input!B941,""),"")</f>
        <v/>
      </c>
      <c r="C941">
        <f>IF(B941="","",INT(A941))</f>
        <v/>
      </c>
      <c r="D941">
        <f>IF(B941="","",HOUR(A941))</f>
        <v/>
      </c>
    </row>
    <row r="942">
      <c r="A942">
        <f>Input!A942</f>
        <v/>
      </c>
      <c r="B942">
        <f>IF(ISNUMBER(Input!B942),IF(AND(Input!B942&gt;=20,Input!B942&lt;=700),Input!B942,""),"")</f>
        <v/>
      </c>
      <c r="C942">
        <f>IF(B942="","",INT(A942))</f>
        <v/>
      </c>
      <c r="D942">
        <f>IF(B942="","",HOUR(A942))</f>
        <v/>
      </c>
    </row>
    <row r="943">
      <c r="A943">
        <f>Input!A943</f>
        <v/>
      </c>
      <c r="B943">
        <f>IF(ISNUMBER(Input!B943),IF(AND(Input!B943&gt;=20,Input!B943&lt;=700),Input!B943,""),"")</f>
        <v/>
      </c>
      <c r="C943">
        <f>IF(B943="","",INT(A943))</f>
        <v/>
      </c>
      <c r="D943">
        <f>IF(B943="","",HOUR(A943))</f>
        <v/>
      </c>
    </row>
    <row r="944">
      <c r="A944">
        <f>Input!A944</f>
        <v/>
      </c>
      <c r="B944">
        <f>IF(ISNUMBER(Input!B944),IF(AND(Input!B944&gt;=20,Input!B944&lt;=700),Input!B944,""),"")</f>
        <v/>
      </c>
      <c r="C944">
        <f>IF(B944="","",INT(A944))</f>
        <v/>
      </c>
      <c r="D944">
        <f>IF(B944="","",HOUR(A944))</f>
        <v/>
      </c>
    </row>
    <row r="945">
      <c r="A945">
        <f>Input!A945</f>
        <v/>
      </c>
      <c r="B945">
        <f>IF(ISNUMBER(Input!B945),IF(AND(Input!B945&gt;=20,Input!B945&lt;=700),Input!B945,""),"")</f>
        <v/>
      </c>
      <c r="C945">
        <f>IF(B945="","",INT(A945))</f>
        <v/>
      </c>
      <c r="D945">
        <f>IF(B945="","",HOUR(A945))</f>
        <v/>
      </c>
    </row>
    <row r="946">
      <c r="A946">
        <f>Input!A946</f>
        <v/>
      </c>
      <c r="B946">
        <f>IF(ISNUMBER(Input!B946),IF(AND(Input!B946&gt;=20,Input!B946&lt;=700),Input!B946,""),"")</f>
        <v/>
      </c>
      <c r="C946">
        <f>IF(B946="","",INT(A946))</f>
        <v/>
      </c>
      <c r="D946">
        <f>IF(B946="","",HOUR(A946))</f>
        <v/>
      </c>
    </row>
    <row r="947">
      <c r="A947">
        <f>Input!A947</f>
        <v/>
      </c>
      <c r="B947">
        <f>IF(ISNUMBER(Input!B947),IF(AND(Input!B947&gt;=20,Input!B947&lt;=700),Input!B947,""),"")</f>
        <v/>
      </c>
      <c r="C947">
        <f>IF(B947="","",INT(A947))</f>
        <v/>
      </c>
      <c r="D947">
        <f>IF(B947="","",HOUR(A947))</f>
        <v/>
      </c>
    </row>
    <row r="948">
      <c r="A948">
        <f>Input!A948</f>
        <v/>
      </c>
      <c r="B948">
        <f>IF(ISNUMBER(Input!B948),IF(AND(Input!B948&gt;=20,Input!B948&lt;=700),Input!B948,""),"")</f>
        <v/>
      </c>
      <c r="C948">
        <f>IF(B948="","",INT(A948))</f>
        <v/>
      </c>
      <c r="D948">
        <f>IF(B948="","",HOUR(A948))</f>
        <v/>
      </c>
    </row>
    <row r="949">
      <c r="A949">
        <f>Input!A949</f>
        <v/>
      </c>
      <c r="B949">
        <f>IF(ISNUMBER(Input!B949),IF(AND(Input!B949&gt;=20,Input!B949&lt;=700),Input!B949,""),"")</f>
        <v/>
      </c>
      <c r="C949">
        <f>IF(B949="","",INT(A949))</f>
        <v/>
      </c>
      <c r="D949">
        <f>IF(B949="","",HOUR(A949))</f>
        <v/>
      </c>
    </row>
    <row r="950">
      <c r="A950">
        <f>Input!A950</f>
        <v/>
      </c>
      <c r="B950">
        <f>IF(ISNUMBER(Input!B950),IF(AND(Input!B950&gt;=20,Input!B950&lt;=700),Input!B950,""),"")</f>
        <v/>
      </c>
      <c r="C950">
        <f>IF(B950="","",INT(A950))</f>
        <v/>
      </c>
      <c r="D950">
        <f>IF(B950="","",HOUR(A950))</f>
        <v/>
      </c>
    </row>
    <row r="951">
      <c r="A951">
        <f>Input!A951</f>
        <v/>
      </c>
      <c r="B951">
        <f>IF(ISNUMBER(Input!B951),IF(AND(Input!B951&gt;=20,Input!B951&lt;=700),Input!B951,""),"")</f>
        <v/>
      </c>
      <c r="C951">
        <f>IF(B951="","",INT(A951))</f>
        <v/>
      </c>
      <c r="D951">
        <f>IF(B951="","",HOUR(A951))</f>
        <v/>
      </c>
    </row>
    <row r="952">
      <c r="A952">
        <f>Input!A952</f>
        <v/>
      </c>
      <c r="B952">
        <f>IF(ISNUMBER(Input!B952),IF(AND(Input!B952&gt;=20,Input!B952&lt;=700),Input!B952,""),"")</f>
        <v/>
      </c>
      <c r="C952">
        <f>IF(B952="","",INT(A952))</f>
        <v/>
      </c>
      <c r="D952">
        <f>IF(B952="","",HOUR(A952))</f>
        <v/>
      </c>
    </row>
    <row r="953">
      <c r="A953">
        <f>Input!A953</f>
        <v/>
      </c>
      <c r="B953">
        <f>IF(ISNUMBER(Input!B953),IF(AND(Input!B953&gt;=20,Input!B953&lt;=700),Input!B953,""),"")</f>
        <v/>
      </c>
      <c r="C953">
        <f>IF(B953="","",INT(A953))</f>
        <v/>
      </c>
      <c r="D953">
        <f>IF(B953="","",HOUR(A953))</f>
        <v/>
      </c>
    </row>
    <row r="954">
      <c r="A954">
        <f>Input!A954</f>
        <v/>
      </c>
      <c r="B954">
        <f>IF(ISNUMBER(Input!B954),IF(AND(Input!B954&gt;=20,Input!B954&lt;=700),Input!B954,""),"")</f>
        <v/>
      </c>
      <c r="C954">
        <f>IF(B954="","",INT(A954))</f>
        <v/>
      </c>
      <c r="D954">
        <f>IF(B954="","",HOUR(A954))</f>
        <v/>
      </c>
    </row>
    <row r="955">
      <c r="A955">
        <f>Input!A955</f>
        <v/>
      </c>
      <c r="B955">
        <f>IF(ISNUMBER(Input!B955),IF(AND(Input!B955&gt;=20,Input!B955&lt;=700),Input!B955,""),"")</f>
        <v/>
      </c>
      <c r="C955">
        <f>IF(B955="","",INT(A955))</f>
        <v/>
      </c>
      <c r="D955">
        <f>IF(B955="","",HOUR(A955))</f>
        <v/>
      </c>
    </row>
    <row r="956">
      <c r="A956">
        <f>Input!A956</f>
        <v/>
      </c>
      <c r="B956">
        <f>IF(ISNUMBER(Input!B956),IF(AND(Input!B956&gt;=20,Input!B956&lt;=700),Input!B956,""),"")</f>
        <v/>
      </c>
      <c r="C956">
        <f>IF(B956="","",INT(A956))</f>
        <v/>
      </c>
      <c r="D956">
        <f>IF(B956="","",HOUR(A956))</f>
        <v/>
      </c>
    </row>
    <row r="957">
      <c r="A957">
        <f>Input!A957</f>
        <v/>
      </c>
      <c r="B957">
        <f>IF(ISNUMBER(Input!B957),IF(AND(Input!B957&gt;=20,Input!B957&lt;=700),Input!B957,""),"")</f>
        <v/>
      </c>
      <c r="C957">
        <f>IF(B957="","",INT(A957))</f>
        <v/>
      </c>
      <c r="D957">
        <f>IF(B957="","",HOUR(A957))</f>
        <v/>
      </c>
    </row>
    <row r="958">
      <c r="A958">
        <f>Input!A958</f>
        <v/>
      </c>
      <c r="B958">
        <f>IF(ISNUMBER(Input!B958),IF(AND(Input!B958&gt;=20,Input!B958&lt;=700),Input!B958,""),"")</f>
        <v/>
      </c>
      <c r="C958">
        <f>IF(B958="","",INT(A958))</f>
        <v/>
      </c>
      <c r="D958">
        <f>IF(B958="","",HOUR(A958))</f>
        <v/>
      </c>
    </row>
    <row r="959">
      <c r="A959">
        <f>Input!A959</f>
        <v/>
      </c>
      <c r="B959">
        <f>IF(ISNUMBER(Input!B959),IF(AND(Input!B959&gt;=20,Input!B959&lt;=700),Input!B959,""),"")</f>
        <v/>
      </c>
      <c r="C959">
        <f>IF(B959="","",INT(A959))</f>
        <v/>
      </c>
      <c r="D959">
        <f>IF(B959="","",HOUR(A959))</f>
        <v/>
      </c>
    </row>
    <row r="960">
      <c r="A960">
        <f>Input!A960</f>
        <v/>
      </c>
      <c r="B960">
        <f>IF(ISNUMBER(Input!B960),IF(AND(Input!B960&gt;=20,Input!B960&lt;=700),Input!B960,""),"")</f>
        <v/>
      </c>
      <c r="C960">
        <f>IF(B960="","",INT(A960))</f>
        <v/>
      </c>
      <c r="D960">
        <f>IF(B960="","",HOUR(A960))</f>
        <v/>
      </c>
    </row>
    <row r="961">
      <c r="A961">
        <f>Input!A961</f>
        <v/>
      </c>
      <c r="B961">
        <f>IF(ISNUMBER(Input!B961),IF(AND(Input!B961&gt;=20,Input!B961&lt;=700),Input!B961,""),"")</f>
        <v/>
      </c>
      <c r="C961">
        <f>IF(B961="","",INT(A961))</f>
        <v/>
      </c>
      <c r="D961">
        <f>IF(B961="","",HOUR(A961))</f>
        <v/>
      </c>
    </row>
    <row r="962">
      <c r="A962">
        <f>Input!A962</f>
        <v/>
      </c>
      <c r="B962">
        <f>IF(ISNUMBER(Input!B962),IF(AND(Input!B962&gt;=20,Input!B962&lt;=700),Input!B962,""),"")</f>
        <v/>
      </c>
      <c r="C962">
        <f>IF(B962="","",INT(A962))</f>
        <v/>
      </c>
      <c r="D962">
        <f>IF(B962="","",HOUR(A962))</f>
        <v/>
      </c>
    </row>
    <row r="963">
      <c r="A963">
        <f>Input!A963</f>
        <v/>
      </c>
      <c r="B963">
        <f>IF(ISNUMBER(Input!B963),IF(AND(Input!B963&gt;=20,Input!B963&lt;=700),Input!B963,""),"")</f>
        <v/>
      </c>
      <c r="C963">
        <f>IF(B963="","",INT(A963))</f>
        <v/>
      </c>
      <c r="D963">
        <f>IF(B963="","",HOUR(A963))</f>
        <v/>
      </c>
    </row>
    <row r="964">
      <c r="A964">
        <f>Input!A964</f>
        <v/>
      </c>
      <c r="B964">
        <f>IF(ISNUMBER(Input!B964),IF(AND(Input!B964&gt;=20,Input!B964&lt;=700),Input!B964,""),"")</f>
        <v/>
      </c>
      <c r="C964">
        <f>IF(B964="","",INT(A964))</f>
        <v/>
      </c>
      <c r="D964">
        <f>IF(B964="","",HOUR(A964))</f>
        <v/>
      </c>
    </row>
    <row r="965">
      <c r="A965">
        <f>Input!A965</f>
        <v/>
      </c>
      <c r="B965">
        <f>IF(ISNUMBER(Input!B965),IF(AND(Input!B965&gt;=20,Input!B965&lt;=700),Input!B965,""),"")</f>
        <v/>
      </c>
      <c r="C965">
        <f>IF(B965="","",INT(A965))</f>
        <v/>
      </c>
      <c r="D965">
        <f>IF(B965="","",HOUR(A965))</f>
        <v/>
      </c>
    </row>
    <row r="966">
      <c r="A966">
        <f>Input!A966</f>
        <v/>
      </c>
      <c r="B966">
        <f>IF(ISNUMBER(Input!B966),IF(AND(Input!B966&gt;=20,Input!B966&lt;=700),Input!B966,""),"")</f>
        <v/>
      </c>
      <c r="C966">
        <f>IF(B966="","",INT(A966))</f>
        <v/>
      </c>
      <c r="D966">
        <f>IF(B966="","",HOUR(A966))</f>
        <v/>
      </c>
    </row>
    <row r="967">
      <c r="A967">
        <f>Input!A967</f>
        <v/>
      </c>
      <c r="B967">
        <f>IF(ISNUMBER(Input!B967),IF(AND(Input!B967&gt;=20,Input!B967&lt;=700),Input!B967,""),"")</f>
        <v/>
      </c>
      <c r="C967">
        <f>IF(B967="","",INT(A967))</f>
        <v/>
      </c>
      <c r="D967">
        <f>IF(B967="","",HOUR(A967))</f>
        <v/>
      </c>
    </row>
    <row r="968">
      <c r="A968">
        <f>Input!A968</f>
        <v/>
      </c>
      <c r="B968">
        <f>IF(ISNUMBER(Input!B968),IF(AND(Input!B968&gt;=20,Input!B968&lt;=700),Input!B968,""),"")</f>
        <v/>
      </c>
      <c r="C968">
        <f>IF(B968="","",INT(A968))</f>
        <v/>
      </c>
      <c r="D968">
        <f>IF(B968="","",HOUR(A968))</f>
        <v/>
      </c>
    </row>
    <row r="969">
      <c r="A969">
        <f>Input!A969</f>
        <v/>
      </c>
      <c r="B969">
        <f>IF(ISNUMBER(Input!B969),IF(AND(Input!B969&gt;=20,Input!B969&lt;=700),Input!B969,""),"")</f>
        <v/>
      </c>
      <c r="C969">
        <f>IF(B969="","",INT(A969))</f>
        <v/>
      </c>
      <c r="D969">
        <f>IF(B969="","",HOUR(A969))</f>
        <v/>
      </c>
    </row>
    <row r="970">
      <c r="A970">
        <f>Input!A970</f>
        <v/>
      </c>
      <c r="B970">
        <f>IF(ISNUMBER(Input!B970),IF(AND(Input!B970&gt;=20,Input!B970&lt;=700),Input!B970,""),"")</f>
        <v/>
      </c>
      <c r="C970">
        <f>IF(B970="","",INT(A970))</f>
        <v/>
      </c>
      <c r="D970">
        <f>IF(B970="","",HOUR(A970))</f>
        <v/>
      </c>
    </row>
    <row r="971">
      <c r="A971">
        <f>Input!A971</f>
        <v/>
      </c>
      <c r="B971">
        <f>IF(ISNUMBER(Input!B971),IF(AND(Input!B971&gt;=20,Input!B971&lt;=700),Input!B971,""),"")</f>
        <v/>
      </c>
      <c r="C971">
        <f>IF(B971="","",INT(A971))</f>
        <v/>
      </c>
      <c r="D971">
        <f>IF(B971="","",HOUR(A971))</f>
        <v/>
      </c>
    </row>
    <row r="972">
      <c r="A972">
        <f>Input!A972</f>
        <v/>
      </c>
      <c r="B972">
        <f>IF(ISNUMBER(Input!B972),IF(AND(Input!B972&gt;=20,Input!B972&lt;=700),Input!B972,""),"")</f>
        <v/>
      </c>
      <c r="C972">
        <f>IF(B972="","",INT(A972))</f>
        <v/>
      </c>
      <c r="D972">
        <f>IF(B972="","",HOUR(A972))</f>
        <v/>
      </c>
    </row>
    <row r="973">
      <c r="A973">
        <f>Input!A973</f>
        <v/>
      </c>
      <c r="B973">
        <f>IF(ISNUMBER(Input!B973),IF(AND(Input!B973&gt;=20,Input!B973&lt;=700),Input!B973,""),"")</f>
        <v/>
      </c>
      <c r="C973">
        <f>IF(B973="","",INT(A973))</f>
        <v/>
      </c>
      <c r="D973">
        <f>IF(B973="","",HOUR(A973))</f>
        <v/>
      </c>
    </row>
    <row r="974">
      <c r="A974">
        <f>Input!A974</f>
        <v/>
      </c>
      <c r="B974">
        <f>IF(ISNUMBER(Input!B974),IF(AND(Input!B974&gt;=20,Input!B974&lt;=700),Input!B974,""),"")</f>
        <v/>
      </c>
      <c r="C974">
        <f>IF(B974="","",INT(A974))</f>
        <v/>
      </c>
      <c r="D974">
        <f>IF(B974="","",HOUR(A974))</f>
        <v/>
      </c>
    </row>
    <row r="975">
      <c r="A975">
        <f>Input!A975</f>
        <v/>
      </c>
      <c r="B975">
        <f>IF(ISNUMBER(Input!B975),IF(AND(Input!B975&gt;=20,Input!B975&lt;=700),Input!B975,""),"")</f>
        <v/>
      </c>
      <c r="C975">
        <f>IF(B975="","",INT(A975))</f>
        <v/>
      </c>
      <c r="D975">
        <f>IF(B975="","",HOUR(A975))</f>
        <v/>
      </c>
    </row>
    <row r="976">
      <c r="A976">
        <f>Input!A976</f>
        <v/>
      </c>
      <c r="B976">
        <f>IF(ISNUMBER(Input!B976),IF(AND(Input!B976&gt;=20,Input!B976&lt;=700),Input!B976,""),"")</f>
        <v/>
      </c>
      <c r="C976">
        <f>IF(B976="","",INT(A976))</f>
        <v/>
      </c>
      <c r="D976">
        <f>IF(B976="","",HOUR(A976))</f>
        <v/>
      </c>
    </row>
    <row r="977">
      <c r="A977">
        <f>Input!A977</f>
        <v/>
      </c>
      <c r="B977">
        <f>IF(ISNUMBER(Input!B977),IF(AND(Input!B977&gt;=20,Input!B977&lt;=700),Input!B977,""),"")</f>
        <v/>
      </c>
      <c r="C977">
        <f>IF(B977="","",INT(A977))</f>
        <v/>
      </c>
      <c r="D977">
        <f>IF(B977="","",HOUR(A977))</f>
        <v/>
      </c>
    </row>
    <row r="978">
      <c r="A978">
        <f>Input!A978</f>
        <v/>
      </c>
      <c r="B978">
        <f>IF(ISNUMBER(Input!B978),IF(AND(Input!B978&gt;=20,Input!B978&lt;=700),Input!B978,""),"")</f>
        <v/>
      </c>
      <c r="C978">
        <f>IF(B978="","",INT(A978))</f>
        <v/>
      </c>
      <c r="D978">
        <f>IF(B978="","",HOUR(A978))</f>
        <v/>
      </c>
    </row>
    <row r="979">
      <c r="A979">
        <f>Input!A979</f>
        <v/>
      </c>
      <c r="B979">
        <f>IF(ISNUMBER(Input!B979),IF(AND(Input!B979&gt;=20,Input!B979&lt;=700),Input!B979,""),"")</f>
        <v/>
      </c>
      <c r="C979">
        <f>IF(B979="","",INT(A979))</f>
        <v/>
      </c>
      <c r="D979">
        <f>IF(B979="","",HOUR(A979))</f>
        <v/>
      </c>
    </row>
    <row r="980">
      <c r="A980">
        <f>Input!A980</f>
        <v/>
      </c>
      <c r="B980">
        <f>IF(ISNUMBER(Input!B980),IF(AND(Input!B980&gt;=20,Input!B980&lt;=700),Input!B980,""),"")</f>
        <v/>
      </c>
      <c r="C980">
        <f>IF(B980="","",INT(A980))</f>
        <v/>
      </c>
      <c r="D980">
        <f>IF(B980="","",HOUR(A980))</f>
        <v/>
      </c>
    </row>
    <row r="981">
      <c r="A981">
        <f>Input!A981</f>
        <v/>
      </c>
      <c r="B981">
        <f>IF(ISNUMBER(Input!B981),IF(AND(Input!B981&gt;=20,Input!B981&lt;=700),Input!B981,""),"")</f>
        <v/>
      </c>
      <c r="C981">
        <f>IF(B981="","",INT(A981))</f>
        <v/>
      </c>
      <c r="D981">
        <f>IF(B981="","",HOUR(A981))</f>
        <v/>
      </c>
    </row>
    <row r="982">
      <c r="A982">
        <f>Input!A982</f>
        <v/>
      </c>
      <c r="B982">
        <f>IF(ISNUMBER(Input!B982),IF(AND(Input!B982&gt;=20,Input!B982&lt;=700),Input!B982,""),"")</f>
        <v/>
      </c>
      <c r="C982">
        <f>IF(B982="","",INT(A982))</f>
        <v/>
      </c>
      <c r="D982">
        <f>IF(B982="","",HOUR(A982))</f>
        <v/>
      </c>
    </row>
    <row r="983">
      <c r="A983">
        <f>Input!A983</f>
        <v/>
      </c>
      <c r="B983">
        <f>IF(ISNUMBER(Input!B983),IF(AND(Input!B983&gt;=20,Input!B983&lt;=700),Input!B983,""),"")</f>
        <v/>
      </c>
      <c r="C983">
        <f>IF(B983="","",INT(A983))</f>
        <v/>
      </c>
      <c r="D983">
        <f>IF(B983="","",HOUR(A983))</f>
        <v/>
      </c>
    </row>
    <row r="984">
      <c r="A984">
        <f>Input!A984</f>
        <v/>
      </c>
      <c r="B984">
        <f>IF(ISNUMBER(Input!B984),IF(AND(Input!B984&gt;=20,Input!B984&lt;=700),Input!B984,""),"")</f>
        <v/>
      </c>
      <c r="C984">
        <f>IF(B984="","",INT(A984))</f>
        <v/>
      </c>
      <c r="D984">
        <f>IF(B984="","",HOUR(A984))</f>
        <v/>
      </c>
    </row>
    <row r="985">
      <c r="A985">
        <f>Input!A985</f>
        <v/>
      </c>
      <c r="B985">
        <f>IF(ISNUMBER(Input!B985),IF(AND(Input!B985&gt;=20,Input!B985&lt;=700),Input!B985,""),"")</f>
        <v/>
      </c>
      <c r="C985">
        <f>IF(B985="","",INT(A985))</f>
        <v/>
      </c>
      <c r="D985">
        <f>IF(B985="","",HOUR(A985))</f>
        <v/>
      </c>
    </row>
    <row r="986">
      <c r="A986">
        <f>Input!A986</f>
        <v/>
      </c>
      <c r="B986">
        <f>IF(ISNUMBER(Input!B986),IF(AND(Input!B986&gt;=20,Input!B986&lt;=700),Input!B986,""),"")</f>
        <v/>
      </c>
      <c r="C986">
        <f>IF(B986="","",INT(A986))</f>
        <v/>
      </c>
      <c r="D986">
        <f>IF(B986="","",HOUR(A986))</f>
        <v/>
      </c>
    </row>
    <row r="987">
      <c r="A987">
        <f>Input!A987</f>
        <v/>
      </c>
      <c r="B987">
        <f>IF(ISNUMBER(Input!B987),IF(AND(Input!B987&gt;=20,Input!B987&lt;=700),Input!B987,""),"")</f>
        <v/>
      </c>
      <c r="C987">
        <f>IF(B987="","",INT(A987))</f>
        <v/>
      </c>
      <c r="D987">
        <f>IF(B987="","",HOUR(A987))</f>
        <v/>
      </c>
    </row>
    <row r="988">
      <c r="A988">
        <f>Input!A988</f>
        <v/>
      </c>
      <c r="B988">
        <f>IF(ISNUMBER(Input!B988),IF(AND(Input!B988&gt;=20,Input!B988&lt;=700),Input!B988,""),"")</f>
        <v/>
      </c>
      <c r="C988">
        <f>IF(B988="","",INT(A988))</f>
        <v/>
      </c>
      <c r="D988">
        <f>IF(B988="","",HOUR(A988))</f>
        <v/>
      </c>
    </row>
    <row r="989">
      <c r="A989">
        <f>Input!A989</f>
        <v/>
      </c>
      <c r="B989">
        <f>IF(ISNUMBER(Input!B989),IF(AND(Input!B989&gt;=20,Input!B989&lt;=700),Input!B989,""),"")</f>
        <v/>
      </c>
      <c r="C989">
        <f>IF(B989="","",INT(A989))</f>
        <v/>
      </c>
      <c r="D989">
        <f>IF(B989="","",HOUR(A989))</f>
        <v/>
      </c>
    </row>
    <row r="990">
      <c r="A990">
        <f>Input!A990</f>
        <v/>
      </c>
      <c r="B990">
        <f>IF(ISNUMBER(Input!B990),IF(AND(Input!B990&gt;=20,Input!B990&lt;=700),Input!B990,""),"")</f>
        <v/>
      </c>
      <c r="C990">
        <f>IF(B990="","",INT(A990))</f>
        <v/>
      </c>
      <c r="D990">
        <f>IF(B990="","",HOUR(A990))</f>
        <v/>
      </c>
    </row>
    <row r="991">
      <c r="A991">
        <f>Input!A991</f>
        <v/>
      </c>
      <c r="B991">
        <f>IF(ISNUMBER(Input!B991),IF(AND(Input!B991&gt;=20,Input!B991&lt;=700),Input!B991,""),"")</f>
        <v/>
      </c>
      <c r="C991">
        <f>IF(B991="","",INT(A991))</f>
        <v/>
      </c>
      <c r="D991">
        <f>IF(B991="","",HOUR(A991))</f>
        <v/>
      </c>
    </row>
    <row r="992">
      <c r="A992">
        <f>Input!A992</f>
        <v/>
      </c>
      <c r="B992">
        <f>IF(ISNUMBER(Input!B992),IF(AND(Input!B992&gt;=20,Input!B992&lt;=700),Input!B992,""),"")</f>
        <v/>
      </c>
      <c r="C992">
        <f>IF(B992="","",INT(A992))</f>
        <v/>
      </c>
      <c r="D992">
        <f>IF(B992="","",HOUR(A992))</f>
        <v/>
      </c>
    </row>
    <row r="993">
      <c r="A993">
        <f>Input!A993</f>
        <v/>
      </c>
      <c r="B993">
        <f>IF(ISNUMBER(Input!B993),IF(AND(Input!B993&gt;=20,Input!B993&lt;=700),Input!B993,""),"")</f>
        <v/>
      </c>
      <c r="C993">
        <f>IF(B993="","",INT(A993))</f>
        <v/>
      </c>
      <c r="D993">
        <f>IF(B993="","",HOUR(A993))</f>
        <v/>
      </c>
    </row>
    <row r="994">
      <c r="A994">
        <f>Input!A994</f>
        <v/>
      </c>
      <c r="B994">
        <f>IF(ISNUMBER(Input!B994),IF(AND(Input!B994&gt;=20,Input!B994&lt;=700),Input!B994,""),"")</f>
        <v/>
      </c>
      <c r="C994">
        <f>IF(B994="","",INT(A994))</f>
        <v/>
      </c>
      <c r="D994">
        <f>IF(B994="","",HOUR(A994))</f>
        <v/>
      </c>
    </row>
    <row r="995">
      <c r="A995">
        <f>Input!A995</f>
        <v/>
      </c>
      <c r="B995">
        <f>IF(ISNUMBER(Input!B995),IF(AND(Input!B995&gt;=20,Input!B995&lt;=700),Input!B995,""),"")</f>
        <v/>
      </c>
      <c r="C995">
        <f>IF(B995="","",INT(A995))</f>
        <v/>
      </c>
      <c r="D995">
        <f>IF(B995="","",HOUR(A995))</f>
        <v/>
      </c>
    </row>
    <row r="996">
      <c r="A996">
        <f>Input!A996</f>
        <v/>
      </c>
      <c r="B996">
        <f>IF(ISNUMBER(Input!B996),IF(AND(Input!B996&gt;=20,Input!B996&lt;=700),Input!B996,""),"")</f>
        <v/>
      </c>
      <c r="C996">
        <f>IF(B996="","",INT(A996))</f>
        <v/>
      </c>
      <c r="D996">
        <f>IF(B996="","",HOUR(A996))</f>
        <v/>
      </c>
    </row>
    <row r="997">
      <c r="A997">
        <f>Input!A997</f>
        <v/>
      </c>
      <c r="B997">
        <f>IF(ISNUMBER(Input!B997),IF(AND(Input!B997&gt;=20,Input!B997&lt;=700),Input!B997,""),"")</f>
        <v/>
      </c>
      <c r="C997">
        <f>IF(B997="","",INT(A997))</f>
        <v/>
      </c>
      <c r="D997">
        <f>IF(B997="","",HOUR(A997))</f>
        <v/>
      </c>
    </row>
    <row r="998">
      <c r="A998">
        <f>Input!A998</f>
        <v/>
      </c>
      <c r="B998">
        <f>IF(ISNUMBER(Input!B998),IF(AND(Input!B998&gt;=20,Input!B998&lt;=700),Input!B998,""),"")</f>
        <v/>
      </c>
      <c r="C998">
        <f>IF(B998="","",INT(A998))</f>
        <v/>
      </c>
      <c r="D998">
        <f>IF(B998="","",HOUR(A998))</f>
        <v/>
      </c>
    </row>
    <row r="999">
      <c r="A999">
        <f>Input!A999</f>
        <v/>
      </c>
      <c r="B999">
        <f>IF(ISNUMBER(Input!B999),IF(AND(Input!B999&gt;=20,Input!B999&lt;=700),Input!B999,""),"")</f>
        <v/>
      </c>
      <c r="C999">
        <f>IF(B999="","",INT(A999))</f>
        <v/>
      </c>
      <c r="D999">
        <f>IF(B999="","",HOUR(A999))</f>
        <v/>
      </c>
    </row>
    <row r="1000">
      <c r="A1000">
        <f>Input!A1000</f>
        <v/>
      </c>
      <c r="B1000">
        <f>IF(ISNUMBER(Input!B1000),IF(AND(Input!B1000&gt;=20,Input!B1000&lt;=700),Input!B1000,""),"")</f>
        <v/>
      </c>
      <c r="C1000">
        <f>IF(B1000="","",INT(A1000))</f>
        <v/>
      </c>
      <c r="D1000">
        <f>IF(B1000="","",HOUR(A1000))</f>
        <v/>
      </c>
    </row>
    <row r="1001">
      <c r="A1001">
        <f>Input!A1001</f>
        <v/>
      </c>
      <c r="B1001">
        <f>IF(ISNUMBER(Input!B1001),IF(AND(Input!B1001&gt;=20,Input!B1001&lt;=700),Input!B1001,""),"")</f>
        <v/>
      </c>
      <c r="C1001">
        <f>IF(B1001="","",INT(A1001))</f>
        <v/>
      </c>
      <c r="D1001">
        <f>IF(B1001="","",HOUR(A1001))</f>
        <v/>
      </c>
    </row>
    <row r="1002">
      <c r="A1002">
        <f>Input!A1002</f>
        <v/>
      </c>
      <c r="B1002">
        <f>IF(ISNUMBER(Input!B1002),IF(AND(Input!B1002&gt;=20,Input!B1002&lt;=700),Input!B1002,""),"")</f>
        <v/>
      </c>
      <c r="C1002">
        <f>IF(B1002="","",INT(A1002))</f>
        <v/>
      </c>
      <c r="D1002">
        <f>IF(B1002="","",HOUR(A1002))</f>
        <v/>
      </c>
    </row>
    <row r="1003">
      <c r="A1003">
        <f>Input!A1003</f>
        <v/>
      </c>
      <c r="B1003">
        <f>IF(ISNUMBER(Input!B1003),IF(AND(Input!B1003&gt;=20,Input!B1003&lt;=700),Input!B1003,""),"")</f>
        <v/>
      </c>
      <c r="C1003">
        <f>IF(B1003="","",INT(A1003))</f>
        <v/>
      </c>
      <c r="D1003">
        <f>IF(B1003="","",HOUR(A1003))</f>
        <v/>
      </c>
    </row>
    <row r="1004">
      <c r="A1004">
        <f>Input!A1004</f>
        <v/>
      </c>
      <c r="B1004">
        <f>IF(ISNUMBER(Input!B1004),IF(AND(Input!B1004&gt;=20,Input!B1004&lt;=700),Input!B1004,""),"")</f>
        <v/>
      </c>
      <c r="C1004">
        <f>IF(B1004="","",INT(A1004))</f>
        <v/>
      </c>
      <c r="D1004">
        <f>IF(B1004="","",HOUR(A1004))</f>
        <v/>
      </c>
    </row>
    <row r="1005">
      <c r="A1005">
        <f>Input!A1005</f>
        <v/>
      </c>
      <c r="B1005">
        <f>IF(ISNUMBER(Input!B1005),IF(AND(Input!B1005&gt;=20,Input!B1005&lt;=700),Input!B1005,""),"")</f>
        <v/>
      </c>
      <c r="C1005">
        <f>IF(B1005="","",INT(A1005))</f>
        <v/>
      </c>
      <c r="D1005">
        <f>IF(B1005="","",HOUR(A1005))</f>
        <v/>
      </c>
    </row>
    <row r="1006">
      <c r="A1006">
        <f>Input!A1006</f>
        <v/>
      </c>
      <c r="B1006">
        <f>IF(ISNUMBER(Input!B1006),IF(AND(Input!B1006&gt;=20,Input!B1006&lt;=700),Input!B1006,""),"")</f>
        <v/>
      </c>
      <c r="C1006">
        <f>IF(B1006="","",INT(A1006))</f>
        <v/>
      </c>
      <c r="D1006">
        <f>IF(B1006="","",HOUR(A1006))</f>
        <v/>
      </c>
    </row>
    <row r="1007">
      <c r="A1007">
        <f>Input!A1007</f>
        <v/>
      </c>
      <c r="B1007">
        <f>IF(ISNUMBER(Input!B1007),IF(AND(Input!B1007&gt;=20,Input!B1007&lt;=700),Input!B1007,""),"")</f>
        <v/>
      </c>
      <c r="C1007">
        <f>IF(B1007="","",INT(A1007))</f>
        <v/>
      </c>
      <c r="D1007">
        <f>IF(B1007="","",HOUR(A1007))</f>
        <v/>
      </c>
    </row>
    <row r="1008">
      <c r="A1008">
        <f>Input!A1008</f>
        <v/>
      </c>
      <c r="B1008">
        <f>IF(ISNUMBER(Input!B1008),IF(AND(Input!B1008&gt;=20,Input!B1008&lt;=700),Input!B1008,""),"")</f>
        <v/>
      </c>
      <c r="C1008">
        <f>IF(B1008="","",INT(A1008))</f>
        <v/>
      </c>
      <c r="D1008">
        <f>IF(B1008="","",HOUR(A1008))</f>
        <v/>
      </c>
    </row>
    <row r="1009">
      <c r="A1009">
        <f>Input!A1009</f>
        <v/>
      </c>
      <c r="B1009">
        <f>IF(ISNUMBER(Input!B1009),IF(AND(Input!B1009&gt;=20,Input!B1009&lt;=700),Input!B1009,""),"")</f>
        <v/>
      </c>
      <c r="C1009">
        <f>IF(B1009="","",INT(A1009))</f>
        <v/>
      </c>
      <c r="D1009">
        <f>IF(B1009="","",HOUR(A1009))</f>
        <v/>
      </c>
    </row>
    <row r="1010">
      <c r="A1010">
        <f>Input!A1010</f>
        <v/>
      </c>
      <c r="B1010">
        <f>IF(ISNUMBER(Input!B1010),IF(AND(Input!B1010&gt;=20,Input!B1010&lt;=700),Input!B1010,""),"")</f>
        <v/>
      </c>
      <c r="C1010">
        <f>IF(B1010="","",INT(A1010))</f>
        <v/>
      </c>
      <c r="D1010">
        <f>IF(B1010="","",HOUR(A1010))</f>
        <v/>
      </c>
    </row>
    <row r="1011">
      <c r="A1011">
        <f>Input!A1011</f>
        <v/>
      </c>
      <c r="B1011">
        <f>IF(ISNUMBER(Input!B1011),IF(AND(Input!B1011&gt;=20,Input!B1011&lt;=700),Input!B1011,""),"")</f>
        <v/>
      </c>
      <c r="C1011">
        <f>IF(B1011="","",INT(A1011))</f>
        <v/>
      </c>
      <c r="D1011">
        <f>IF(B1011="","",HOUR(A1011))</f>
        <v/>
      </c>
    </row>
    <row r="1012">
      <c r="A1012">
        <f>Input!A1012</f>
        <v/>
      </c>
      <c r="B1012">
        <f>IF(ISNUMBER(Input!B1012),IF(AND(Input!B1012&gt;=20,Input!B1012&lt;=700),Input!B1012,""),"")</f>
        <v/>
      </c>
      <c r="C1012">
        <f>IF(B1012="","",INT(A1012))</f>
        <v/>
      </c>
      <c r="D1012">
        <f>IF(B1012="","",HOUR(A1012))</f>
        <v/>
      </c>
    </row>
    <row r="1013">
      <c r="A1013">
        <f>Input!A1013</f>
        <v/>
      </c>
      <c r="B1013">
        <f>IF(ISNUMBER(Input!B1013),IF(AND(Input!B1013&gt;=20,Input!B1013&lt;=700),Input!B1013,""),"")</f>
        <v/>
      </c>
      <c r="C1013">
        <f>IF(B1013="","",INT(A1013))</f>
        <v/>
      </c>
      <c r="D1013">
        <f>IF(B1013="","",HOUR(A1013))</f>
        <v/>
      </c>
    </row>
    <row r="1014">
      <c r="A1014">
        <f>Input!A1014</f>
        <v/>
      </c>
      <c r="B1014">
        <f>IF(ISNUMBER(Input!B1014),IF(AND(Input!B1014&gt;=20,Input!B1014&lt;=700),Input!B1014,""),"")</f>
        <v/>
      </c>
      <c r="C1014">
        <f>IF(B1014="","",INT(A1014))</f>
        <v/>
      </c>
      <c r="D1014">
        <f>IF(B1014="","",HOUR(A1014))</f>
        <v/>
      </c>
    </row>
    <row r="1015">
      <c r="A1015">
        <f>Input!A1015</f>
        <v/>
      </c>
      <c r="B1015">
        <f>IF(ISNUMBER(Input!B1015),IF(AND(Input!B1015&gt;=20,Input!B1015&lt;=700),Input!B1015,""),"")</f>
        <v/>
      </c>
      <c r="C1015">
        <f>IF(B1015="","",INT(A1015))</f>
        <v/>
      </c>
      <c r="D1015">
        <f>IF(B1015="","",HOUR(A1015))</f>
        <v/>
      </c>
    </row>
    <row r="1016">
      <c r="A1016">
        <f>Input!A1016</f>
        <v/>
      </c>
      <c r="B1016">
        <f>IF(ISNUMBER(Input!B1016),IF(AND(Input!B1016&gt;=20,Input!B1016&lt;=700),Input!B1016,""),"")</f>
        <v/>
      </c>
      <c r="C1016">
        <f>IF(B1016="","",INT(A1016))</f>
        <v/>
      </c>
      <c r="D1016">
        <f>IF(B1016="","",HOUR(A1016))</f>
        <v/>
      </c>
    </row>
    <row r="1017">
      <c r="A1017">
        <f>Input!A1017</f>
        <v/>
      </c>
      <c r="B1017">
        <f>IF(ISNUMBER(Input!B1017),IF(AND(Input!B1017&gt;=20,Input!B1017&lt;=700),Input!B1017,""),"")</f>
        <v/>
      </c>
      <c r="C1017">
        <f>IF(B1017="","",INT(A1017))</f>
        <v/>
      </c>
      <c r="D1017">
        <f>IF(B1017="","",HOUR(A1017))</f>
        <v/>
      </c>
    </row>
    <row r="1018">
      <c r="A1018">
        <f>Input!A1018</f>
        <v/>
      </c>
      <c r="B1018">
        <f>IF(ISNUMBER(Input!B1018),IF(AND(Input!B1018&gt;=20,Input!B1018&lt;=700),Input!B1018,""),"")</f>
        <v/>
      </c>
      <c r="C1018">
        <f>IF(B1018="","",INT(A1018))</f>
        <v/>
      </c>
      <c r="D1018">
        <f>IF(B1018="","",HOUR(A1018))</f>
        <v/>
      </c>
    </row>
    <row r="1019">
      <c r="A1019">
        <f>Input!A1019</f>
        <v/>
      </c>
      <c r="B1019">
        <f>IF(ISNUMBER(Input!B1019),IF(AND(Input!B1019&gt;=20,Input!B1019&lt;=700),Input!B1019,""),"")</f>
        <v/>
      </c>
      <c r="C1019">
        <f>IF(B1019="","",INT(A1019))</f>
        <v/>
      </c>
      <c r="D1019">
        <f>IF(B1019="","",HOUR(A1019))</f>
        <v/>
      </c>
    </row>
    <row r="1020">
      <c r="A1020">
        <f>Input!A1020</f>
        <v/>
      </c>
      <c r="B1020">
        <f>IF(ISNUMBER(Input!B1020),IF(AND(Input!B1020&gt;=20,Input!B1020&lt;=700),Input!B1020,""),"")</f>
        <v/>
      </c>
      <c r="C1020">
        <f>IF(B1020="","",INT(A1020))</f>
        <v/>
      </c>
      <c r="D1020">
        <f>IF(B1020="","",HOUR(A1020))</f>
        <v/>
      </c>
    </row>
    <row r="1021">
      <c r="A1021">
        <f>Input!A1021</f>
        <v/>
      </c>
      <c r="B1021">
        <f>IF(ISNUMBER(Input!B1021),IF(AND(Input!B1021&gt;=20,Input!B1021&lt;=700),Input!B1021,""),"")</f>
        <v/>
      </c>
      <c r="C1021">
        <f>IF(B1021="","",INT(A1021))</f>
        <v/>
      </c>
      <c r="D1021">
        <f>IF(B1021="","",HOUR(A1021))</f>
        <v/>
      </c>
    </row>
    <row r="1022">
      <c r="A1022">
        <f>Input!A1022</f>
        <v/>
      </c>
      <c r="B1022">
        <f>IF(ISNUMBER(Input!B1022),IF(AND(Input!B1022&gt;=20,Input!B1022&lt;=700),Input!B1022,""),"")</f>
        <v/>
      </c>
      <c r="C1022">
        <f>IF(B1022="","",INT(A1022))</f>
        <v/>
      </c>
      <c r="D1022">
        <f>IF(B1022="","",HOUR(A1022))</f>
        <v/>
      </c>
    </row>
    <row r="1023">
      <c r="A1023">
        <f>Input!A1023</f>
        <v/>
      </c>
      <c r="B1023">
        <f>IF(ISNUMBER(Input!B1023),IF(AND(Input!B1023&gt;=20,Input!B1023&lt;=700),Input!B1023,""),"")</f>
        <v/>
      </c>
      <c r="C1023">
        <f>IF(B1023="","",INT(A1023))</f>
        <v/>
      </c>
      <c r="D1023">
        <f>IF(B1023="","",HOUR(A1023))</f>
        <v/>
      </c>
    </row>
    <row r="1024">
      <c r="A1024">
        <f>Input!A1024</f>
        <v/>
      </c>
      <c r="B1024">
        <f>IF(ISNUMBER(Input!B1024),IF(AND(Input!B1024&gt;=20,Input!B1024&lt;=700),Input!B1024,""),"")</f>
        <v/>
      </c>
      <c r="C1024">
        <f>IF(B1024="","",INT(A1024))</f>
        <v/>
      </c>
      <c r="D1024">
        <f>IF(B1024="","",HOUR(A1024))</f>
        <v/>
      </c>
    </row>
    <row r="1025">
      <c r="A1025">
        <f>Input!A1025</f>
        <v/>
      </c>
      <c r="B1025">
        <f>IF(ISNUMBER(Input!B1025),IF(AND(Input!B1025&gt;=20,Input!B1025&lt;=700),Input!B1025,""),"")</f>
        <v/>
      </c>
      <c r="C1025">
        <f>IF(B1025="","",INT(A1025))</f>
        <v/>
      </c>
      <c r="D1025">
        <f>IF(B1025="","",HOUR(A1025))</f>
        <v/>
      </c>
    </row>
    <row r="1026">
      <c r="A1026">
        <f>Input!A1026</f>
        <v/>
      </c>
      <c r="B1026">
        <f>IF(ISNUMBER(Input!B1026),IF(AND(Input!B1026&gt;=20,Input!B1026&lt;=700),Input!B1026,""),"")</f>
        <v/>
      </c>
      <c r="C1026">
        <f>IF(B1026="","",INT(A1026))</f>
        <v/>
      </c>
      <c r="D1026">
        <f>IF(B1026="","",HOUR(A1026))</f>
        <v/>
      </c>
    </row>
    <row r="1027">
      <c r="A1027">
        <f>Input!A1027</f>
        <v/>
      </c>
      <c r="B1027">
        <f>IF(ISNUMBER(Input!B1027),IF(AND(Input!B1027&gt;=20,Input!B1027&lt;=700),Input!B1027,""),"")</f>
        <v/>
      </c>
      <c r="C1027">
        <f>IF(B1027="","",INT(A1027))</f>
        <v/>
      </c>
      <c r="D1027">
        <f>IF(B1027="","",HOUR(A1027))</f>
        <v/>
      </c>
    </row>
    <row r="1028">
      <c r="A1028">
        <f>Input!A1028</f>
        <v/>
      </c>
      <c r="B1028">
        <f>IF(ISNUMBER(Input!B1028),IF(AND(Input!B1028&gt;=20,Input!B1028&lt;=700),Input!B1028,""),"")</f>
        <v/>
      </c>
      <c r="C1028">
        <f>IF(B1028="","",INT(A1028))</f>
        <v/>
      </c>
      <c r="D1028">
        <f>IF(B1028="","",HOUR(A1028))</f>
        <v/>
      </c>
    </row>
    <row r="1029">
      <c r="A1029">
        <f>Input!A1029</f>
        <v/>
      </c>
      <c r="B1029">
        <f>IF(ISNUMBER(Input!B1029),IF(AND(Input!B1029&gt;=20,Input!B1029&lt;=700),Input!B1029,""),"")</f>
        <v/>
      </c>
      <c r="C1029">
        <f>IF(B1029="","",INT(A1029))</f>
        <v/>
      </c>
      <c r="D1029">
        <f>IF(B1029="","",HOUR(A1029))</f>
        <v/>
      </c>
    </row>
    <row r="1030">
      <c r="A1030">
        <f>Input!A1030</f>
        <v/>
      </c>
      <c r="B1030">
        <f>IF(ISNUMBER(Input!B1030),IF(AND(Input!B1030&gt;=20,Input!B1030&lt;=700),Input!B1030,""),"")</f>
        <v/>
      </c>
      <c r="C1030">
        <f>IF(B1030="","",INT(A1030))</f>
        <v/>
      </c>
      <c r="D1030">
        <f>IF(B1030="","",HOUR(A1030))</f>
        <v/>
      </c>
    </row>
    <row r="1031">
      <c r="A1031">
        <f>Input!A1031</f>
        <v/>
      </c>
      <c r="B1031">
        <f>IF(ISNUMBER(Input!B1031),IF(AND(Input!B1031&gt;=20,Input!B1031&lt;=700),Input!B1031,""),"")</f>
        <v/>
      </c>
      <c r="C1031">
        <f>IF(B1031="","",INT(A1031))</f>
        <v/>
      </c>
      <c r="D1031">
        <f>IF(B1031="","",HOUR(A1031))</f>
        <v/>
      </c>
    </row>
    <row r="1032">
      <c r="A1032">
        <f>Input!A1032</f>
        <v/>
      </c>
      <c r="B1032">
        <f>IF(ISNUMBER(Input!B1032),IF(AND(Input!B1032&gt;=20,Input!B1032&lt;=700),Input!B1032,""),"")</f>
        <v/>
      </c>
      <c r="C1032">
        <f>IF(B1032="","",INT(A1032))</f>
        <v/>
      </c>
      <c r="D1032">
        <f>IF(B1032="","",HOUR(A1032))</f>
        <v/>
      </c>
    </row>
    <row r="1033">
      <c r="A1033">
        <f>Input!A1033</f>
        <v/>
      </c>
      <c r="B1033">
        <f>IF(ISNUMBER(Input!B1033),IF(AND(Input!B1033&gt;=20,Input!B1033&lt;=700),Input!B1033,""),"")</f>
        <v/>
      </c>
      <c r="C1033">
        <f>IF(B1033="","",INT(A1033))</f>
        <v/>
      </c>
      <c r="D1033">
        <f>IF(B1033="","",HOUR(A1033))</f>
        <v/>
      </c>
    </row>
    <row r="1034">
      <c r="A1034">
        <f>Input!A1034</f>
        <v/>
      </c>
      <c r="B1034">
        <f>IF(ISNUMBER(Input!B1034),IF(AND(Input!B1034&gt;=20,Input!B1034&lt;=700),Input!B1034,""),"")</f>
        <v/>
      </c>
      <c r="C1034">
        <f>IF(B1034="","",INT(A1034))</f>
        <v/>
      </c>
      <c r="D1034">
        <f>IF(B1034="","",HOUR(A1034))</f>
        <v/>
      </c>
    </row>
    <row r="1035">
      <c r="A1035">
        <f>Input!A1035</f>
        <v/>
      </c>
      <c r="B1035">
        <f>IF(ISNUMBER(Input!B1035),IF(AND(Input!B1035&gt;=20,Input!B1035&lt;=700),Input!B1035,""),"")</f>
        <v/>
      </c>
      <c r="C1035">
        <f>IF(B1035="","",INT(A1035))</f>
        <v/>
      </c>
      <c r="D1035">
        <f>IF(B1035="","",HOUR(A1035))</f>
        <v/>
      </c>
    </row>
    <row r="1036">
      <c r="A1036">
        <f>Input!A1036</f>
        <v/>
      </c>
      <c r="B1036">
        <f>IF(ISNUMBER(Input!B1036),IF(AND(Input!B1036&gt;=20,Input!B1036&lt;=700),Input!B1036,""),"")</f>
        <v/>
      </c>
      <c r="C1036">
        <f>IF(B1036="","",INT(A1036))</f>
        <v/>
      </c>
      <c r="D1036">
        <f>IF(B1036="","",HOUR(A1036))</f>
        <v/>
      </c>
    </row>
    <row r="1037">
      <c r="A1037">
        <f>Input!A1037</f>
        <v/>
      </c>
      <c r="B1037">
        <f>IF(ISNUMBER(Input!B1037),IF(AND(Input!B1037&gt;=20,Input!B1037&lt;=700),Input!B1037,""),"")</f>
        <v/>
      </c>
      <c r="C1037">
        <f>IF(B1037="","",INT(A1037))</f>
        <v/>
      </c>
      <c r="D1037">
        <f>IF(B1037="","",HOUR(A1037))</f>
        <v/>
      </c>
    </row>
    <row r="1038">
      <c r="A1038">
        <f>Input!A1038</f>
        <v/>
      </c>
      <c r="B1038">
        <f>IF(ISNUMBER(Input!B1038),IF(AND(Input!B1038&gt;=20,Input!B1038&lt;=700),Input!B1038,""),"")</f>
        <v/>
      </c>
      <c r="C1038">
        <f>IF(B1038="","",INT(A1038))</f>
        <v/>
      </c>
      <c r="D1038">
        <f>IF(B1038="","",HOUR(A1038))</f>
        <v/>
      </c>
    </row>
    <row r="1039">
      <c r="A1039">
        <f>Input!A1039</f>
        <v/>
      </c>
      <c r="B1039">
        <f>IF(ISNUMBER(Input!B1039),IF(AND(Input!B1039&gt;=20,Input!B1039&lt;=700),Input!B1039,""),"")</f>
        <v/>
      </c>
      <c r="C1039">
        <f>IF(B1039="","",INT(A1039))</f>
        <v/>
      </c>
      <c r="D1039">
        <f>IF(B1039="","",HOUR(A1039))</f>
        <v/>
      </c>
    </row>
    <row r="1040">
      <c r="A1040">
        <f>Input!A1040</f>
        <v/>
      </c>
      <c r="B1040">
        <f>IF(ISNUMBER(Input!B1040),IF(AND(Input!B1040&gt;=20,Input!B1040&lt;=700),Input!B1040,""),"")</f>
        <v/>
      </c>
      <c r="C1040">
        <f>IF(B1040="","",INT(A1040))</f>
        <v/>
      </c>
      <c r="D1040">
        <f>IF(B1040="","",HOUR(A1040))</f>
        <v/>
      </c>
    </row>
    <row r="1041">
      <c r="A1041">
        <f>Input!A1041</f>
        <v/>
      </c>
      <c r="B1041">
        <f>IF(ISNUMBER(Input!B1041),IF(AND(Input!B1041&gt;=20,Input!B1041&lt;=700),Input!B1041,""),"")</f>
        <v/>
      </c>
      <c r="C1041">
        <f>IF(B1041="","",INT(A1041))</f>
        <v/>
      </c>
      <c r="D1041">
        <f>IF(B1041="","",HOUR(A1041))</f>
        <v/>
      </c>
    </row>
    <row r="1042">
      <c r="A1042">
        <f>Input!A1042</f>
        <v/>
      </c>
      <c r="B1042">
        <f>IF(ISNUMBER(Input!B1042),IF(AND(Input!B1042&gt;=20,Input!B1042&lt;=700),Input!B1042,""),"")</f>
        <v/>
      </c>
      <c r="C1042">
        <f>IF(B1042="","",INT(A1042))</f>
        <v/>
      </c>
      <c r="D1042">
        <f>IF(B1042="","",HOUR(A1042))</f>
        <v/>
      </c>
    </row>
    <row r="1043">
      <c r="A1043">
        <f>Input!A1043</f>
        <v/>
      </c>
      <c r="B1043">
        <f>IF(ISNUMBER(Input!B1043),IF(AND(Input!B1043&gt;=20,Input!B1043&lt;=700),Input!B1043,""),"")</f>
        <v/>
      </c>
      <c r="C1043">
        <f>IF(B1043="","",INT(A1043))</f>
        <v/>
      </c>
      <c r="D1043">
        <f>IF(B1043="","",HOUR(A1043))</f>
        <v/>
      </c>
    </row>
    <row r="1044">
      <c r="A1044">
        <f>Input!A1044</f>
        <v/>
      </c>
      <c r="B1044">
        <f>IF(ISNUMBER(Input!B1044),IF(AND(Input!B1044&gt;=20,Input!B1044&lt;=700),Input!B1044,""),"")</f>
        <v/>
      </c>
      <c r="C1044">
        <f>IF(B1044="","",INT(A1044))</f>
        <v/>
      </c>
      <c r="D1044">
        <f>IF(B1044="","",HOUR(A1044))</f>
        <v/>
      </c>
    </row>
    <row r="1045">
      <c r="A1045">
        <f>Input!A1045</f>
        <v/>
      </c>
      <c r="B1045">
        <f>IF(ISNUMBER(Input!B1045),IF(AND(Input!B1045&gt;=20,Input!B1045&lt;=700),Input!B1045,""),"")</f>
        <v/>
      </c>
      <c r="C1045">
        <f>IF(B1045="","",INT(A1045))</f>
        <v/>
      </c>
      <c r="D1045">
        <f>IF(B1045="","",HOUR(A1045))</f>
        <v/>
      </c>
    </row>
    <row r="1046">
      <c r="A1046">
        <f>Input!A1046</f>
        <v/>
      </c>
      <c r="B1046">
        <f>IF(ISNUMBER(Input!B1046),IF(AND(Input!B1046&gt;=20,Input!B1046&lt;=700),Input!B1046,""),"")</f>
        <v/>
      </c>
      <c r="C1046">
        <f>IF(B1046="","",INT(A1046))</f>
        <v/>
      </c>
      <c r="D1046">
        <f>IF(B1046="","",HOUR(A1046))</f>
        <v/>
      </c>
    </row>
    <row r="1047">
      <c r="A1047">
        <f>Input!A1047</f>
        <v/>
      </c>
      <c r="B1047">
        <f>IF(ISNUMBER(Input!B1047),IF(AND(Input!B1047&gt;=20,Input!B1047&lt;=700),Input!B1047,""),"")</f>
        <v/>
      </c>
      <c r="C1047">
        <f>IF(B1047="","",INT(A1047))</f>
        <v/>
      </c>
      <c r="D1047">
        <f>IF(B1047="","",HOUR(A1047))</f>
        <v/>
      </c>
    </row>
    <row r="1048">
      <c r="A1048">
        <f>Input!A1048</f>
        <v/>
      </c>
      <c r="B1048">
        <f>IF(ISNUMBER(Input!B1048),IF(AND(Input!B1048&gt;=20,Input!B1048&lt;=700),Input!B1048,""),"")</f>
        <v/>
      </c>
      <c r="C1048">
        <f>IF(B1048="","",INT(A1048))</f>
        <v/>
      </c>
      <c r="D1048">
        <f>IF(B1048="","",HOUR(A1048))</f>
        <v/>
      </c>
    </row>
    <row r="1049">
      <c r="A1049">
        <f>Input!A1049</f>
        <v/>
      </c>
      <c r="B1049">
        <f>IF(ISNUMBER(Input!B1049),IF(AND(Input!B1049&gt;=20,Input!B1049&lt;=700),Input!B1049,""),"")</f>
        <v/>
      </c>
      <c r="C1049">
        <f>IF(B1049="","",INT(A1049))</f>
        <v/>
      </c>
      <c r="D1049">
        <f>IF(B1049="","",HOUR(A1049))</f>
        <v/>
      </c>
    </row>
    <row r="1050">
      <c r="A1050">
        <f>Input!A1050</f>
        <v/>
      </c>
      <c r="B1050">
        <f>IF(ISNUMBER(Input!B1050),IF(AND(Input!B1050&gt;=20,Input!B1050&lt;=700),Input!B1050,""),"")</f>
        <v/>
      </c>
      <c r="C1050">
        <f>IF(B1050="","",INT(A1050))</f>
        <v/>
      </c>
      <c r="D1050">
        <f>IF(B1050="","",HOUR(A1050))</f>
        <v/>
      </c>
    </row>
    <row r="1051">
      <c r="A1051">
        <f>Input!A1051</f>
        <v/>
      </c>
      <c r="B1051">
        <f>IF(ISNUMBER(Input!B1051),IF(AND(Input!B1051&gt;=20,Input!B1051&lt;=700),Input!B1051,""),"")</f>
        <v/>
      </c>
      <c r="C1051">
        <f>IF(B1051="","",INT(A1051))</f>
        <v/>
      </c>
      <c r="D1051">
        <f>IF(B1051="","",HOUR(A1051))</f>
        <v/>
      </c>
    </row>
    <row r="1052">
      <c r="A1052">
        <f>Input!A1052</f>
        <v/>
      </c>
      <c r="B1052">
        <f>IF(ISNUMBER(Input!B1052),IF(AND(Input!B1052&gt;=20,Input!B1052&lt;=700),Input!B1052,""),"")</f>
        <v/>
      </c>
      <c r="C1052">
        <f>IF(B1052="","",INT(A1052))</f>
        <v/>
      </c>
      <c r="D1052">
        <f>IF(B1052="","",HOUR(A1052))</f>
        <v/>
      </c>
    </row>
    <row r="1053">
      <c r="A1053">
        <f>Input!A1053</f>
        <v/>
      </c>
      <c r="B1053">
        <f>IF(ISNUMBER(Input!B1053),IF(AND(Input!B1053&gt;=20,Input!B1053&lt;=700),Input!B1053,""),"")</f>
        <v/>
      </c>
      <c r="C1053">
        <f>IF(B1053="","",INT(A1053))</f>
        <v/>
      </c>
      <c r="D1053">
        <f>IF(B1053="","",HOUR(A1053))</f>
        <v/>
      </c>
    </row>
    <row r="1054">
      <c r="A1054">
        <f>Input!A1054</f>
        <v/>
      </c>
      <c r="B1054">
        <f>IF(ISNUMBER(Input!B1054),IF(AND(Input!B1054&gt;=20,Input!B1054&lt;=700),Input!B1054,""),"")</f>
        <v/>
      </c>
      <c r="C1054">
        <f>IF(B1054="","",INT(A1054))</f>
        <v/>
      </c>
      <c r="D1054">
        <f>IF(B1054="","",HOUR(A1054))</f>
        <v/>
      </c>
    </row>
    <row r="1055">
      <c r="A1055">
        <f>Input!A1055</f>
        <v/>
      </c>
      <c r="B1055">
        <f>IF(ISNUMBER(Input!B1055),IF(AND(Input!B1055&gt;=20,Input!B1055&lt;=700),Input!B1055,""),"")</f>
        <v/>
      </c>
      <c r="C1055">
        <f>IF(B1055="","",INT(A1055))</f>
        <v/>
      </c>
      <c r="D1055">
        <f>IF(B1055="","",HOUR(A1055))</f>
        <v/>
      </c>
    </row>
    <row r="1056">
      <c r="A1056">
        <f>Input!A1056</f>
        <v/>
      </c>
      <c r="B1056">
        <f>IF(ISNUMBER(Input!B1056),IF(AND(Input!B1056&gt;=20,Input!B1056&lt;=700),Input!B1056,""),"")</f>
        <v/>
      </c>
      <c r="C1056">
        <f>IF(B1056="","",INT(A1056))</f>
        <v/>
      </c>
      <c r="D1056">
        <f>IF(B1056="","",HOUR(A1056))</f>
        <v/>
      </c>
    </row>
    <row r="1057">
      <c r="A1057">
        <f>Input!A1057</f>
        <v/>
      </c>
      <c r="B1057">
        <f>IF(ISNUMBER(Input!B1057),IF(AND(Input!B1057&gt;=20,Input!B1057&lt;=700),Input!B1057,""),"")</f>
        <v/>
      </c>
      <c r="C1057">
        <f>IF(B1057="","",INT(A1057))</f>
        <v/>
      </c>
      <c r="D1057">
        <f>IF(B1057="","",HOUR(A1057))</f>
        <v/>
      </c>
    </row>
    <row r="1058">
      <c r="A1058">
        <f>Input!A1058</f>
        <v/>
      </c>
      <c r="B1058">
        <f>IF(ISNUMBER(Input!B1058),IF(AND(Input!B1058&gt;=20,Input!B1058&lt;=700),Input!B1058,""),"")</f>
        <v/>
      </c>
      <c r="C1058">
        <f>IF(B1058="","",INT(A1058))</f>
        <v/>
      </c>
      <c r="D1058">
        <f>IF(B1058="","",HOUR(A1058))</f>
        <v/>
      </c>
    </row>
    <row r="1059">
      <c r="A1059">
        <f>Input!A1059</f>
        <v/>
      </c>
      <c r="B1059">
        <f>IF(ISNUMBER(Input!B1059),IF(AND(Input!B1059&gt;=20,Input!B1059&lt;=700),Input!B1059,""),"")</f>
        <v/>
      </c>
      <c r="C1059">
        <f>IF(B1059="","",INT(A1059))</f>
        <v/>
      </c>
      <c r="D1059">
        <f>IF(B1059="","",HOUR(A1059))</f>
        <v/>
      </c>
    </row>
    <row r="1060">
      <c r="A1060">
        <f>Input!A1060</f>
        <v/>
      </c>
      <c r="B1060">
        <f>IF(ISNUMBER(Input!B1060),IF(AND(Input!B1060&gt;=20,Input!B1060&lt;=700),Input!B1060,""),"")</f>
        <v/>
      </c>
      <c r="C1060">
        <f>IF(B1060="","",INT(A1060))</f>
        <v/>
      </c>
      <c r="D1060">
        <f>IF(B1060="","",HOUR(A1060))</f>
        <v/>
      </c>
    </row>
    <row r="1061">
      <c r="A1061">
        <f>Input!A1061</f>
        <v/>
      </c>
      <c r="B1061">
        <f>IF(ISNUMBER(Input!B1061),IF(AND(Input!B1061&gt;=20,Input!B1061&lt;=700),Input!B1061,""),"")</f>
        <v/>
      </c>
      <c r="C1061">
        <f>IF(B1061="","",INT(A1061))</f>
        <v/>
      </c>
      <c r="D1061">
        <f>IF(B1061="","",HOUR(A1061))</f>
        <v/>
      </c>
    </row>
    <row r="1062">
      <c r="A1062">
        <f>Input!A1062</f>
        <v/>
      </c>
      <c r="B1062">
        <f>IF(ISNUMBER(Input!B1062),IF(AND(Input!B1062&gt;=20,Input!B1062&lt;=700),Input!B1062,""),"")</f>
        <v/>
      </c>
      <c r="C1062">
        <f>IF(B1062="","",INT(A1062))</f>
        <v/>
      </c>
      <c r="D1062">
        <f>IF(B1062="","",HOUR(A1062))</f>
        <v/>
      </c>
    </row>
    <row r="1063">
      <c r="A1063">
        <f>Input!A1063</f>
        <v/>
      </c>
      <c r="B1063">
        <f>IF(ISNUMBER(Input!B1063),IF(AND(Input!B1063&gt;=20,Input!B1063&lt;=700),Input!B1063,""),"")</f>
        <v/>
      </c>
      <c r="C1063">
        <f>IF(B1063="","",INT(A1063))</f>
        <v/>
      </c>
      <c r="D1063">
        <f>IF(B1063="","",HOUR(A1063))</f>
        <v/>
      </c>
    </row>
    <row r="1064">
      <c r="A1064">
        <f>Input!A1064</f>
        <v/>
      </c>
      <c r="B1064">
        <f>IF(ISNUMBER(Input!B1064),IF(AND(Input!B1064&gt;=20,Input!B1064&lt;=700),Input!B1064,""),"")</f>
        <v/>
      </c>
      <c r="C1064">
        <f>IF(B1064="","",INT(A1064))</f>
        <v/>
      </c>
      <c r="D1064">
        <f>IF(B1064="","",HOUR(A1064))</f>
        <v/>
      </c>
    </row>
    <row r="1065">
      <c r="A1065">
        <f>Input!A1065</f>
        <v/>
      </c>
      <c r="B1065">
        <f>IF(ISNUMBER(Input!B1065),IF(AND(Input!B1065&gt;=20,Input!B1065&lt;=700),Input!B1065,""),"")</f>
        <v/>
      </c>
      <c r="C1065">
        <f>IF(B1065="","",INT(A1065))</f>
        <v/>
      </c>
      <c r="D1065">
        <f>IF(B1065="","",HOUR(A1065))</f>
        <v/>
      </c>
    </row>
    <row r="1066">
      <c r="A1066">
        <f>Input!A1066</f>
        <v/>
      </c>
      <c r="B1066">
        <f>IF(ISNUMBER(Input!B1066),IF(AND(Input!B1066&gt;=20,Input!B1066&lt;=700),Input!B1066,""),"")</f>
        <v/>
      </c>
      <c r="C1066">
        <f>IF(B1066="","",INT(A1066))</f>
        <v/>
      </c>
      <c r="D1066">
        <f>IF(B1066="","",HOUR(A1066))</f>
        <v/>
      </c>
    </row>
    <row r="1067">
      <c r="A1067">
        <f>Input!A1067</f>
        <v/>
      </c>
      <c r="B1067">
        <f>IF(ISNUMBER(Input!B1067),IF(AND(Input!B1067&gt;=20,Input!B1067&lt;=700),Input!B1067,""),"")</f>
        <v/>
      </c>
      <c r="C1067">
        <f>IF(B1067="","",INT(A1067))</f>
        <v/>
      </c>
      <c r="D1067">
        <f>IF(B1067="","",HOUR(A1067))</f>
        <v/>
      </c>
    </row>
    <row r="1068">
      <c r="A1068">
        <f>Input!A1068</f>
        <v/>
      </c>
      <c r="B1068">
        <f>IF(ISNUMBER(Input!B1068),IF(AND(Input!B1068&gt;=20,Input!B1068&lt;=700),Input!B1068,""),"")</f>
        <v/>
      </c>
      <c r="C1068">
        <f>IF(B1068="","",INT(A1068))</f>
        <v/>
      </c>
      <c r="D1068">
        <f>IF(B1068="","",HOUR(A1068))</f>
        <v/>
      </c>
    </row>
    <row r="1069">
      <c r="A1069">
        <f>Input!A1069</f>
        <v/>
      </c>
      <c r="B1069">
        <f>IF(ISNUMBER(Input!B1069),IF(AND(Input!B1069&gt;=20,Input!B1069&lt;=700),Input!B1069,""),"")</f>
        <v/>
      </c>
      <c r="C1069">
        <f>IF(B1069="","",INT(A1069))</f>
        <v/>
      </c>
      <c r="D1069">
        <f>IF(B1069="","",HOUR(A1069))</f>
        <v/>
      </c>
    </row>
    <row r="1070">
      <c r="A1070">
        <f>Input!A1070</f>
        <v/>
      </c>
      <c r="B1070">
        <f>IF(ISNUMBER(Input!B1070),IF(AND(Input!B1070&gt;=20,Input!B1070&lt;=700),Input!B1070,""),"")</f>
        <v/>
      </c>
      <c r="C1070">
        <f>IF(B1070="","",INT(A1070))</f>
        <v/>
      </c>
      <c r="D1070">
        <f>IF(B1070="","",HOUR(A1070))</f>
        <v/>
      </c>
    </row>
    <row r="1071">
      <c r="A1071">
        <f>Input!A1071</f>
        <v/>
      </c>
      <c r="B1071">
        <f>IF(ISNUMBER(Input!B1071),IF(AND(Input!B1071&gt;=20,Input!B1071&lt;=700),Input!B1071,""),"")</f>
        <v/>
      </c>
      <c r="C1071">
        <f>IF(B1071="","",INT(A1071))</f>
        <v/>
      </c>
      <c r="D1071">
        <f>IF(B1071="","",HOUR(A1071))</f>
        <v/>
      </c>
    </row>
    <row r="1072">
      <c r="A1072">
        <f>Input!A1072</f>
        <v/>
      </c>
      <c r="B1072">
        <f>IF(ISNUMBER(Input!B1072),IF(AND(Input!B1072&gt;=20,Input!B1072&lt;=700),Input!B1072,""),"")</f>
        <v/>
      </c>
      <c r="C1072">
        <f>IF(B1072="","",INT(A1072))</f>
        <v/>
      </c>
      <c r="D1072">
        <f>IF(B1072="","",HOUR(A1072))</f>
        <v/>
      </c>
    </row>
    <row r="1073">
      <c r="A1073">
        <f>Input!A1073</f>
        <v/>
      </c>
      <c r="B1073">
        <f>IF(ISNUMBER(Input!B1073),IF(AND(Input!B1073&gt;=20,Input!B1073&lt;=700),Input!B1073,""),"")</f>
        <v/>
      </c>
      <c r="C1073">
        <f>IF(B1073="","",INT(A1073))</f>
        <v/>
      </c>
      <c r="D1073">
        <f>IF(B1073="","",HOUR(A1073))</f>
        <v/>
      </c>
    </row>
    <row r="1074">
      <c r="A1074">
        <f>Input!A1074</f>
        <v/>
      </c>
      <c r="B1074">
        <f>IF(ISNUMBER(Input!B1074),IF(AND(Input!B1074&gt;=20,Input!B1074&lt;=700),Input!B1074,""),"")</f>
        <v/>
      </c>
      <c r="C1074">
        <f>IF(B1074="","",INT(A1074))</f>
        <v/>
      </c>
      <c r="D1074">
        <f>IF(B1074="","",HOUR(A1074))</f>
        <v/>
      </c>
    </row>
    <row r="1075">
      <c r="A1075">
        <f>Input!A1075</f>
        <v/>
      </c>
      <c r="B1075">
        <f>IF(ISNUMBER(Input!B1075),IF(AND(Input!B1075&gt;=20,Input!B1075&lt;=700),Input!B1075,""),"")</f>
        <v/>
      </c>
      <c r="C1075">
        <f>IF(B1075="","",INT(A1075))</f>
        <v/>
      </c>
      <c r="D1075">
        <f>IF(B1075="","",HOUR(A1075))</f>
        <v/>
      </c>
    </row>
    <row r="1076">
      <c r="A1076">
        <f>Input!A1076</f>
        <v/>
      </c>
      <c r="B1076">
        <f>IF(ISNUMBER(Input!B1076),IF(AND(Input!B1076&gt;=20,Input!B1076&lt;=700),Input!B1076,""),"")</f>
        <v/>
      </c>
      <c r="C1076">
        <f>IF(B1076="","",INT(A1076))</f>
        <v/>
      </c>
      <c r="D1076">
        <f>IF(B1076="","",HOUR(A1076))</f>
        <v/>
      </c>
    </row>
    <row r="1077">
      <c r="A1077">
        <f>Input!A1077</f>
        <v/>
      </c>
      <c r="B1077">
        <f>IF(ISNUMBER(Input!B1077),IF(AND(Input!B1077&gt;=20,Input!B1077&lt;=700),Input!B1077,""),"")</f>
        <v/>
      </c>
      <c r="C1077">
        <f>IF(B1077="","",INT(A1077))</f>
        <v/>
      </c>
      <c r="D1077">
        <f>IF(B1077="","",HOUR(A1077))</f>
        <v/>
      </c>
    </row>
    <row r="1078">
      <c r="A1078">
        <f>Input!A1078</f>
        <v/>
      </c>
      <c r="B1078">
        <f>IF(ISNUMBER(Input!B1078),IF(AND(Input!B1078&gt;=20,Input!B1078&lt;=700),Input!B1078,""),"")</f>
        <v/>
      </c>
      <c r="C1078">
        <f>IF(B1078="","",INT(A1078))</f>
        <v/>
      </c>
      <c r="D1078">
        <f>IF(B1078="","",HOUR(A1078))</f>
        <v/>
      </c>
    </row>
    <row r="1079">
      <c r="A1079">
        <f>Input!A1079</f>
        <v/>
      </c>
      <c r="B1079">
        <f>IF(ISNUMBER(Input!B1079),IF(AND(Input!B1079&gt;=20,Input!B1079&lt;=700),Input!B1079,""),"")</f>
        <v/>
      </c>
      <c r="C1079">
        <f>IF(B1079="","",INT(A1079))</f>
        <v/>
      </c>
      <c r="D1079">
        <f>IF(B1079="","",HOUR(A1079))</f>
        <v/>
      </c>
    </row>
    <row r="1080">
      <c r="A1080">
        <f>Input!A1080</f>
        <v/>
      </c>
      <c r="B1080">
        <f>IF(ISNUMBER(Input!B1080),IF(AND(Input!B1080&gt;=20,Input!B1080&lt;=700),Input!B1080,""),"")</f>
        <v/>
      </c>
      <c r="C1080">
        <f>IF(B1080="","",INT(A1080))</f>
        <v/>
      </c>
      <c r="D1080">
        <f>IF(B1080="","",HOUR(A1080))</f>
        <v/>
      </c>
    </row>
    <row r="1081">
      <c r="A1081">
        <f>Input!A1081</f>
        <v/>
      </c>
      <c r="B1081">
        <f>IF(ISNUMBER(Input!B1081),IF(AND(Input!B1081&gt;=20,Input!B1081&lt;=700),Input!B1081,""),"")</f>
        <v/>
      </c>
      <c r="C1081">
        <f>IF(B1081="","",INT(A1081))</f>
        <v/>
      </c>
      <c r="D1081">
        <f>IF(B1081="","",HOUR(A1081))</f>
        <v/>
      </c>
    </row>
    <row r="1082">
      <c r="A1082">
        <f>Input!A1082</f>
        <v/>
      </c>
      <c r="B1082">
        <f>IF(ISNUMBER(Input!B1082),IF(AND(Input!B1082&gt;=20,Input!B1082&lt;=700),Input!B1082,""),"")</f>
        <v/>
      </c>
      <c r="C1082">
        <f>IF(B1082="","",INT(A1082))</f>
        <v/>
      </c>
      <c r="D1082">
        <f>IF(B1082="","",HOUR(A1082))</f>
        <v/>
      </c>
    </row>
    <row r="1083">
      <c r="A1083">
        <f>Input!A1083</f>
        <v/>
      </c>
      <c r="B1083">
        <f>IF(ISNUMBER(Input!B1083),IF(AND(Input!B1083&gt;=20,Input!B1083&lt;=700),Input!B1083,""),"")</f>
        <v/>
      </c>
      <c r="C1083">
        <f>IF(B1083="","",INT(A1083))</f>
        <v/>
      </c>
      <c r="D1083">
        <f>IF(B1083="","",HOUR(A1083))</f>
        <v/>
      </c>
    </row>
    <row r="1084">
      <c r="A1084">
        <f>Input!A1084</f>
        <v/>
      </c>
      <c r="B1084">
        <f>IF(ISNUMBER(Input!B1084),IF(AND(Input!B1084&gt;=20,Input!B1084&lt;=700),Input!B1084,""),"")</f>
        <v/>
      </c>
      <c r="C1084">
        <f>IF(B1084="","",INT(A1084))</f>
        <v/>
      </c>
      <c r="D1084">
        <f>IF(B1084="","",HOUR(A1084))</f>
        <v/>
      </c>
    </row>
    <row r="1085">
      <c r="A1085">
        <f>Input!A1085</f>
        <v/>
      </c>
      <c r="B1085">
        <f>IF(ISNUMBER(Input!B1085),IF(AND(Input!B1085&gt;=20,Input!B1085&lt;=700),Input!B1085,""),"")</f>
        <v/>
      </c>
      <c r="C1085">
        <f>IF(B1085="","",INT(A1085))</f>
        <v/>
      </c>
      <c r="D1085">
        <f>IF(B1085="","",HOUR(A1085))</f>
        <v/>
      </c>
    </row>
    <row r="1086">
      <c r="A1086">
        <f>Input!A1086</f>
        <v/>
      </c>
      <c r="B1086">
        <f>IF(ISNUMBER(Input!B1086),IF(AND(Input!B1086&gt;=20,Input!B1086&lt;=700),Input!B1086,""),"")</f>
        <v/>
      </c>
      <c r="C1086">
        <f>IF(B1086="","",INT(A1086))</f>
        <v/>
      </c>
      <c r="D1086">
        <f>IF(B1086="","",HOUR(A1086))</f>
        <v/>
      </c>
    </row>
    <row r="1087">
      <c r="A1087">
        <f>Input!A1087</f>
        <v/>
      </c>
      <c r="B1087">
        <f>IF(ISNUMBER(Input!B1087),IF(AND(Input!B1087&gt;=20,Input!B1087&lt;=700),Input!B1087,""),"")</f>
        <v/>
      </c>
      <c r="C1087">
        <f>IF(B1087="","",INT(A1087))</f>
        <v/>
      </c>
      <c r="D1087">
        <f>IF(B1087="","",HOUR(A1087))</f>
        <v/>
      </c>
    </row>
    <row r="1088">
      <c r="A1088">
        <f>Input!A1088</f>
        <v/>
      </c>
      <c r="B1088">
        <f>IF(ISNUMBER(Input!B1088),IF(AND(Input!B1088&gt;=20,Input!B1088&lt;=700),Input!B1088,""),"")</f>
        <v/>
      </c>
      <c r="C1088">
        <f>IF(B1088="","",INT(A1088))</f>
        <v/>
      </c>
      <c r="D1088">
        <f>IF(B1088="","",HOUR(A1088))</f>
        <v/>
      </c>
    </row>
    <row r="1089">
      <c r="A1089">
        <f>Input!A1089</f>
        <v/>
      </c>
      <c r="B1089">
        <f>IF(ISNUMBER(Input!B1089),IF(AND(Input!B1089&gt;=20,Input!B1089&lt;=700),Input!B1089,""),"")</f>
        <v/>
      </c>
      <c r="C1089">
        <f>IF(B1089="","",INT(A1089))</f>
        <v/>
      </c>
      <c r="D1089">
        <f>IF(B1089="","",HOUR(A1089))</f>
        <v/>
      </c>
    </row>
    <row r="1090">
      <c r="A1090">
        <f>Input!A1090</f>
        <v/>
      </c>
      <c r="B1090">
        <f>IF(ISNUMBER(Input!B1090),IF(AND(Input!B1090&gt;=20,Input!B1090&lt;=700),Input!B1090,""),"")</f>
        <v/>
      </c>
      <c r="C1090">
        <f>IF(B1090="","",INT(A1090))</f>
        <v/>
      </c>
      <c r="D1090">
        <f>IF(B1090="","",HOUR(A1090))</f>
        <v/>
      </c>
    </row>
    <row r="1091">
      <c r="A1091">
        <f>Input!A1091</f>
        <v/>
      </c>
      <c r="B1091">
        <f>IF(ISNUMBER(Input!B1091),IF(AND(Input!B1091&gt;=20,Input!B1091&lt;=700),Input!B1091,""),"")</f>
        <v/>
      </c>
      <c r="C1091">
        <f>IF(B1091="","",INT(A1091))</f>
        <v/>
      </c>
      <c r="D1091">
        <f>IF(B1091="","",HOUR(A1091))</f>
        <v/>
      </c>
    </row>
    <row r="1092">
      <c r="A1092">
        <f>Input!A1092</f>
        <v/>
      </c>
      <c r="B1092">
        <f>IF(ISNUMBER(Input!B1092),IF(AND(Input!B1092&gt;=20,Input!B1092&lt;=700),Input!B1092,""),"")</f>
        <v/>
      </c>
      <c r="C1092">
        <f>IF(B1092="","",INT(A1092))</f>
        <v/>
      </c>
      <c r="D1092">
        <f>IF(B1092="","",HOUR(A1092))</f>
        <v/>
      </c>
    </row>
    <row r="1093">
      <c r="A1093">
        <f>Input!A1093</f>
        <v/>
      </c>
      <c r="B1093">
        <f>IF(ISNUMBER(Input!B1093),IF(AND(Input!B1093&gt;=20,Input!B1093&lt;=700),Input!B1093,""),"")</f>
        <v/>
      </c>
      <c r="C1093">
        <f>IF(B1093="","",INT(A1093))</f>
        <v/>
      </c>
      <c r="D1093">
        <f>IF(B1093="","",HOUR(A1093))</f>
        <v/>
      </c>
    </row>
    <row r="1094">
      <c r="A1094">
        <f>Input!A1094</f>
        <v/>
      </c>
      <c r="B1094">
        <f>IF(ISNUMBER(Input!B1094),IF(AND(Input!B1094&gt;=20,Input!B1094&lt;=700),Input!B1094,""),"")</f>
        <v/>
      </c>
      <c r="C1094">
        <f>IF(B1094="","",INT(A1094))</f>
        <v/>
      </c>
      <c r="D1094">
        <f>IF(B1094="","",HOUR(A1094))</f>
        <v/>
      </c>
    </row>
    <row r="1095">
      <c r="A1095">
        <f>Input!A1095</f>
        <v/>
      </c>
      <c r="B1095">
        <f>IF(ISNUMBER(Input!B1095),IF(AND(Input!B1095&gt;=20,Input!B1095&lt;=700),Input!B1095,""),"")</f>
        <v/>
      </c>
      <c r="C1095">
        <f>IF(B1095="","",INT(A1095))</f>
        <v/>
      </c>
      <c r="D1095">
        <f>IF(B1095="","",HOUR(A1095))</f>
        <v/>
      </c>
    </row>
    <row r="1096">
      <c r="A1096">
        <f>Input!A1096</f>
        <v/>
      </c>
      <c r="B1096">
        <f>IF(ISNUMBER(Input!B1096),IF(AND(Input!B1096&gt;=20,Input!B1096&lt;=700),Input!B1096,""),"")</f>
        <v/>
      </c>
      <c r="C1096">
        <f>IF(B1096="","",INT(A1096))</f>
        <v/>
      </c>
      <c r="D1096">
        <f>IF(B1096="","",HOUR(A1096))</f>
        <v/>
      </c>
    </row>
    <row r="1097">
      <c r="A1097">
        <f>Input!A1097</f>
        <v/>
      </c>
      <c r="B1097">
        <f>IF(ISNUMBER(Input!B1097),IF(AND(Input!B1097&gt;=20,Input!B1097&lt;=700),Input!B1097,""),"")</f>
        <v/>
      </c>
      <c r="C1097">
        <f>IF(B1097="","",INT(A1097))</f>
        <v/>
      </c>
      <c r="D1097">
        <f>IF(B1097="","",HOUR(A1097))</f>
        <v/>
      </c>
    </row>
    <row r="1098">
      <c r="A1098">
        <f>Input!A1098</f>
        <v/>
      </c>
      <c r="B1098">
        <f>IF(ISNUMBER(Input!B1098),IF(AND(Input!B1098&gt;=20,Input!B1098&lt;=700),Input!B1098,""),"")</f>
        <v/>
      </c>
      <c r="C1098">
        <f>IF(B1098="","",INT(A1098))</f>
        <v/>
      </c>
      <c r="D1098">
        <f>IF(B1098="","",HOUR(A1098))</f>
        <v/>
      </c>
    </row>
    <row r="1099">
      <c r="A1099">
        <f>Input!A1099</f>
        <v/>
      </c>
      <c r="B1099">
        <f>IF(ISNUMBER(Input!B1099),IF(AND(Input!B1099&gt;=20,Input!B1099&lt;=700),Input!B1099,""),"")</f>
        <v/>
      </c>
      <c r="C1099">
        <f>IF(B1099="","",INT(A1099))</f>
        <v/>
      </c>
      <c r="D1099">
        <f>IF(B1099="","",HOUR(A1099))</f>
        <v/>
      </c>
    </row>
    <row r="1100">
      <c r="A1100">
        <f>Input!A1100</f>
        <v/>
      </c>
      <c r="B1100">
        <f>IF(ISNUMBER(Input!B1100),IF(AND(Input!B1100&gt;=20,Input!B1100&lt;=700),Input!B1100,""),"")</f>
        <v/>
      </c>
      <c r="C1100">
        <f>IF(B1100="","",INT(A1100))</f>
        <v/>
      </c>
      <c r="D1100">
        <f>IF(B1100="","",HOUR(A1100))</f>
        <v/>
      </c>
    </row>
    <row r="1101">
      <c r="A1101">
        <f>Input!A1101</f>
        <v/>
      </c>
      <c r="B1101">
        <f>IF(ISNUMBER(Input!B1101),IF(AND(Input!B1101&gt;=20,Input!B1101&lt;=700),Input!B1101,""),"")</f>
        <v/>
      </c>
      <c r="C1101">
        <f>IF(B1101="","",INT(A1101))</f>
        <v/>
      </c>
      <c r="D1101">
        <f>IF(B1101="","",HOUR(A1101))</f>
        <v/>
      </c>
    </row>
    <row r="1102">
      <c r="A1102">
        <f>Input!A1102</f>
        <v/>
      </c>
      <c r="B1102">
        <f>IF(ISNUMBER(Input!B1102),IF(AND(Input!B1102&gt;=20,Input!B1102&lt;=700),Input!B1102,""),"")</f>
        <v/>
      </c>
      <c r="C1102">
        <f>IF(B1102="","",INT(A1102))</f>
        <v/>
      </c>
      <c r="D1102">
        <f>IF(B1102="","",HOUR(A1102))</f>
        <v/>
      </c>
    </row>
    <row r="1103">
      <c r="A1103">
        <f>Input!A1103</f>
        <v/>
      </c>
      <c r="B1103">
        <f>IF(ISNUMBER(Input!B1103),IF(AND(Input!B1103&gt;=20,Input!B1103&lt;=700),Input!B1103,""),"")</f>
        <v/>
      </c>
      <c r="C1103">
        <f>IF(B1103="","",INT(A1103))</f>
        <v/>
      </c>
      <c r="D1103">
        <f>IF(B1103="","",HOUR(A1103))</f>
        <v/>
      </c>
    </row>
    <row r="1104">
      <c r="A1104">
        <f>Input!A1104</f>
        <v/>
      </c>
      <c r="B1104">
        <f>IF(ISNUMBER(Input!B1104),IF(AND(Input!B1104&gt;=20,Input!B1104&lt;=700),Input!B1104,""),"")</f>
        <v/>
      </c>
      <c r="C1104">
        <f>IF(B1104="","",INT(A1104))</f>
        <v/>
      </c>
      <c r="D1104">
        <f>IF(B1104="","",HOUR(A1104))</f>
        <v/>
      </c>
    </row>
    <row r="1105">
      <c r="A1105">
        <f>Input!A1105</f>
        <v/>
      </c>
      <c r="B1105">
        <f>IF(ISNUMBER(Input!B1105),IF(AND(Input!B1105&gt;=20,Input!B1105&lt;=700),Input!B1105,""),"")</f>
        <v/>
      </c>
      <c r="C1105">
        <f>IF(B1105="","",INT(A1105))</f>
        <v/>
      </c>
      <c r="D1105">
        <f>IF(B1105="","",HOUR(A1105))</f>
        <v/>
      </c>
    </row>
    <row r="1106">
      <c r="A1106">
        <f>Input!A1106</f>
        <v/>
      </c>
      <c r="B1106">
        <f>IF(ISNUMBER(Input!B1106),IF(AND(Input!B1106&gt;=20,Input!B1106&lt;=700),Input!B1106,""),"")</f>
        <v/>
      </c>
      <c r="C1106">
        <f>IF(B1106="","",INT(A1106))</f>
        <v/>
      </c>
      <c r="D1106">
        <f>IF(B1106="","",HOUR(A1106))</f>
        <v/>
      </c>
    </row>
    <row r="1107">
      <c r="A1107">
        <f>Input!A1107</f>
        <v/>
      </c>
      <c r="B1107">
        <f>IF(ISNUMBER(Input!B1107),IF(AND(Input!B1107&gt;=20,Input!B1107&lt;=700),Input!B1107,""),"")</f>
        <v/>
      </c>
      <c r="C1107">
        <f>IF(B1107="","",INT(A1107))</f>
        <v/>
      </c>
      <c r="D1107">
        <f>IF(B1107="","",HOUR(A1107))</f>
        <v/>
      </c>
    </row>
    <row r="1108">
      <c r="A1108">
        <f>Input!A1108</f>
        <v/>
      </c>
      <c r="B1108">
        <f>IF(ISNUMBER(Input!B1108),IF(AND(Input!B1108&gt;=20,Input!B1108&lt;=700),Input!B1108,""),"")</f>
        <v/>
      </c>
      <c r="C1108">
        <f>IF(B1108="","",INT(A1108))</f>
        <v/>
      </c>
      <c r="D1108">
        <f>IF(B1108="","",HOUR(A1108))</f>
        <v/>
      </c>
    </row>
    <row r="1109">
      <c r="A1109">
        <f>Input!A1109</f>
        <v/>
      </c>
      <c r="B1109">
        <f>IF(ISNUMBER(Input!B1109),IF(AND(Input!B1109&gt;=20,Input!B1109&lt;=700),Input!B1109,""),"")</f>
        <v/>
      </c>
      <c r="C1109">
        <f>IF(B1109="","",INT(A1109))</f>
        <v/>
      </c>
      <c r="D1109">
        <f>IF(B1109="","",HOUR(A1109))</f>
        <v/>
      </c>
    </row>
    <row r="1110">
      <c r="A1110">
        <f>Input!A1110</f>
        <v/>
      </c>
      <c r="B1110">
        <f>IF(ISNUMBER(Input!B1110),IF(AND(Input!B1110&gt;=20,Input!B1110&lt;=700),Input!B1110,""),"")</f>
        <v/>
      </c>
      <c r="C1110">
        <f>IF(B1110="","",INT(A1110))</f>
        <v/>
      </c>
      <c r="D1110">
        <f>IF(B1110="","",HOUR(A1110))</f>
        <v/>
      </c>
    </row>
    <row r="1111">
      <c r="A1111">
        <f>Input!A1111</f>
        <v/>
      </c>
      <c r="B1111">
        <f>IF(ISNUMBER(Input!B1111),IF(AND(Input!B1111&gt;=20,Input!B1111&lt;=700),Input!B1111,""),"")</f>
        <v/>
      </c>
      <c r="C1111">
        <f>IF(B1111="","",INT(A1111))</f>
        <v/>
      </c>
      <c r="D1111">
        <f>IF(B1111="","",HOUR(A1111))</f>
        <v/>
      </c>
    </row>
    <row r="1112">
      <c r="A1112">
        <f>Input!A1112</f>
        <v/>
      </c>
      <c r="B1112">
        <f>IF(ISNUMBER(Input!B1112),IF(AND(Input!B1112&gt;=20,Input!B1112&lt;=700),Input!B1112,""),"")</f>
        <v/>
      </c>
      <c r="C1112">
        <f>IF(B1112="","",INT(A1112))</f>
        <v/>
      </c>
      <c r="D1112">
        <f>IF(B1112="","",HOUR(A1112))</f>
        <v/>
      </c>
    </row>
    <row r="1113">
      <c r="A1113">
        <f>Input!A1113</f>
        <v/>
      </c>
      <c r="B1113">
        <f>IF(ISNUMBER(Input!B1113),IF(AND(Input!B1113&gt;=20,Input!B1113&lt;=700),Input!B1113,""),"")</f>
        <v/>
      </c>
      <c r="C1113">
        <f>IF(B1113="","",INT(A1113))</f>
        <v/>
      </c>
      <c r="D1113">
        <f>IF(B1113="","",HOUR(A1113))</f>
        <v/>
      </c>
    </row>
    <row r="1114">
      <c r="A1114">
        <f>Input!A1114</f>
        <v/>
      </c>
      <c r="B1114">
        <f>IF(ISNUMBER(Input!B1114),IF(AND(Input!B1114&gt;=20,Input!B1114&lt;=700),Input!B1114,""),"")</f>
        <v/>
      </c>
      <c r="C1114">
        <f>IF(B1114="","",INT(A1114))</f>
        <v/>
      </c>
      <c r="D1114">
        <f>IF(B1114="","",HOUR(A1114))</f>
        <v/>
      </c>
    </row>
    <row r="1115">
      <c r="A1115">
        <f>Input!A1115</f>
        <v/>
      </c>
      <c r="B1115">
        <f>IF(ISNUMBER(Input!B1115),IF(AND(Input!B1115&gt;=20,Input!B1115&lt;=700),Input!B1115,""),"")</f>
        <v/>
      </c>
      <c r="C1115">
        <f>IF(B1115="","",INT(A1115))</f>
        <v/>
      </c>
      <c r="D1115">
        <f>IF(B1115="","",HOUR(A1115))</f>
        <v/>
      </c>
    </row>
    <row r="1116">
      <c r="A1116">
        <f>Input!A1116</f>
        <v/>
      </c>
      <c r="B1116">
        <f>IF(ISNUMBER(Input!B1116),IF(AND(Input!B1116&gt;=20,Input!B1116&lt;=700),Input!B1116,""),"")</f>
        <v/>
      </c>
      <c r="C1116">
        <f>IF(B1116="","",INT(A1116))</f>
        <v/>
      </c>
      <c r="D1116">
        <f>IF(B1116="","",HOUR(A1116))</f>
        <v/>
      </c>
    </row>
    <row r="1117">
      <c r="A1117">
        <f>Input!A1117</f>
        <v/>
      </c>
      <c r="B1117">
        <f>IF(ISNUMBER(Input!B1117),IF(AND(Input!B1117&gt;=20,Input!B1117&lt;=700),Input!B1117,""),"")</f>
        <v/>
      </c>
      <c r="C1117">
        <f>IF(B1117="","",INT(A1117))</f>
        <v/>
      </c>
      <c r="D1117">
        <f>IF(B1117="","",HOUR(A1117))</f>
        <v/>
      </c>
    </row>
    <row r="1118">
      <c r="A1118">
        <f>Input!A1118</f>
        <v/>
      </c>
      <c r="B1118">
        <f>IF(ISNUMBER(Input!B1118),IF(AND(Input!B1118&gt;=20,Input!B1118&lt;=700),Input!B1118,""),"")</f>
        <v/>
      </c>
      <c r="C1118">
        <f>IF(B1118="","",INT(A1118))</f>
        <v/>
      </c>
      <c r="D1118">
        <f>IF(B1118="","",HOUR(A1118))</f>
        <v/>
      </c>
    </row>
    <row r="1119">
      <c r="A1119">
        <f>Input!A1119</f>
        <v/>
      </c>
      <c r="B1119">
        <f>IF(ISNUMBER(Input!B1119),IF(AND(Input!B1119&gt;=20,Input!B1119&lt;=700),Input!B1119,""),"")</f>
        <v/>
      </c>
      <c r="C1119">
        <f>IF(B1119="","",INT(A1119))</f>
        <v/>
      </c>
      <c r="D1119">
        <f>IF(B1119="","",HOUR(A1119))</f>
        <v/>
      </c>
    </row>
    <row r="1120">
      <c r="A1120">
        <f>Input!A1120</f>
        <v/>
      </c>
      <c r="B1120">
        <f>IF(ISNUMBER(Input!B1120),IF(AND(Input!B1120&gt;=20,Input!B1120&lt;=700),Input!B1120,""),"")</f>
        <v/>
      </c>
      <c r="C1120">
        <f>IF(B1120="","",INT(A1120))</f>
        <v/>
      </c>
      <c r="D1120">
        <f>IF(B1120="","",HOUR(A1120))</f>
        <v/>
      </c>
    </row>
    <row r="1121">
      <c r="A1121">
        <f>Input!A1121</f>
        <v/>
      </c>
      <c r="B1121">
        <f>IF(ISNUMBER(Input!B1121),IF(AND(Input!B1121&gt;=20,Input!B1121&lt;=700),Input!B1121,""),"")</f>
        <v/>
      </c>
      <c r="C1121">
        <f>IF(B1121="","",INT(A1121))</f>
        <v/>
      </c>
      <c r="D1121">
        <f>IF(B1121="","",HOUR(A1121))</f>
        <v/>
      </c>
    </row>
    <row r="1122">
      <c r="A1122">
        <f>Input!A1122</f>
        <v/>
      </c>
      <c r="B1122">
        <f>IF(ISNUMBER(Input!B1122),IF(AND(Input!B1122&gt;=20,Input!B1122&lt;=700),Input!B1122,""),"")</f>
        <v/>
      </c>
      <c r="C1122">
        <f>IF(B1122="","",INT(A1122))</f>
        <v/>
      </c>
      <c r="D1122">
        <f>IF(B1122="","",HOUR(A1122))</f>
        <v/>
      </c>
    </row>
    <row r="1123">
      <c r="A1123">
        <f>Input!A1123</f>
        <v/>
      </c>
      <c r="B1123">
        <f>IF(ISNUMBER(Input!B1123),IF(AND(Input!B1123&gt;=20,Input!B1123&lt;=700),Input!B1123,""),"")</f>
        <v/>
      </c>
      <c r="C1123">
        <f>IF(B1123="","",INT(A1123))</f>
        <v/>
      </c>
      <c r="D1123">
        <f>IF(B1123="","",HOUR(A1123))</f>
        <v/>
      </c>
    </row>
    <row r="1124">
      <c r="A1124">
        <f>Input!A1124</f>
        <v/>
      </c>
      <c r="B1124">
        <f>IF(ISNUMBER(Input!B1124),IF(AND(Input!B1124&gt;=20,Input!B1124&lt;=700),Input!B1124,""),"")</f>
        <v/>
      </c>
      <c r="C1124">
        <f>IF(B1124="","",INT(A1124))</f>
        <v/>
      </c>
      <c r="D1124">
        <f>IF(B1124="","",HOUR(A1124))</f>
        <v/>
      </c>
    </row>
    <row r="1125">
      <c r="A1125">
        <f>Input!A1125</f>
        <v/>
      </c>
      <c r="B1125">
        <f>IF(ISNUMBER(Input!B1125),IF(AND(Input!B1125&gt;=20,Input!B1125&lt;=700),Input!B1125,""),"")</f>
        <v/>
      </c>
      <c r="C1125">
        <f>IF(B1125="","",INT(A1125))</f>
        <v/>
      </c>
      <c r="D1125">
        <f>IF(B1125="","",HOUR(A1125))</f>
        <v/>
      </c>
    </row>
    <row r="1126">
      <c r="A1126">
        <f>Input!A1126</f>
        <v/>
      </c>
      <c r="B1126">
        <f>IF(ISNUMBER(Input!B1126),IF(AND(Input!B1126&gt;=20,Input!B1126&lt;=700),Input!B1126,""),"")</f>
        <v/>
      </c>
      <c r="C1126">
        <f>IF(B1126="","",INT(A1126))</f>
        <v/>
      </c>
      <c r="D1126">
        <f>IF(B1126="","",HOUR(A1126))</f>
        <v/>
      </c>
    </row>
    <row r="1127">
      <c r="A1127">
        <f>Input!A1127</f>
        <v/>
      </c>
      <c r="B1127">
        <f>IF(ISNUMBER(Input!B1127),IF(AND(Input!B1127&gt;=20,Input!B1127&lt;=700),Input!B1127,""),"")</f>
        <v/>
      </c>
      <c r="C1127">
        <f>IF(B1127="","",INT(A1127))</f>
        <v/>
      </c>
      <c r="D1127">
        <f>IF(B1127="","",HOUR(A1127))</f>
        <v/>
      </c>
    </row>
    <row r="1128">
      <c r="A1128">
        <f>Input!A1128</f>
        <v/>
      </c>
      <c r="B1128">
        <f>IF(ISNUMBER(Input!B1128),IF(AND(Input!B1128&gt;=20,Input!B1128&lt;=700),Input!B1128,""),"")</f>
        <v/>
      </c>
      <c r="C1128">
        <f>IF(B1128="","",INT(A1128))</f>
        <v/>
      </c>
      <c r="D1128">
        <f>IF(B1128="","",HOUR(A1128))</f>
        <v/>
      </c>
    </row>
    <row r="1129">
      <c r="A1129">
        <f>Input!A1129</f>
        <v/>
      </c>
      <c r="B1129">
        <f>IF(ISNUMBER(Input!B1129),IF(AND(Input!B1129&gt;=20,Input!B1129&lt;=700),Input!B1129,""),"")</f>
        <v/>
      </c>
      <c r="C1129">
        <f>IF(B1129="","",INT(A1129))</f>
        <v/>
      </c>
      <c r="D1129">
        <f>IF(B1129="","",HOUR(A1129))</f>
        <v/>
      </c>
    </row>
    <row r="1130">
      <c r="A1130">
        <f>Input!A1130</f>
        <v/>
      </c>
      <c r="B1130">
        <f>IF(ISNUMBER(Input!B1130),IF(AND(Input!B1130&gt;=20,Input!B1130&lt;=700),Input!B1130,""),"")</f>
        <v/>
      </c>
      <c r="C1130">
        <f>IF(B1130="","",INT(A1130))</f>
        <v/>
      </c>
      <c r="D1130">
        <f>IF(B1130="","",HOUR(A1130))</f>
        <v/>
      </c>
    </row>
    <row r="1131">
      <c r="A1131">
        <f>Input!A1131</f>
        <v/>
      </c>
      <c r="B1131">
        <f>IF(ISNUMBER(Input!B1131),IF(AND(Input!B1131&gt;=20,Input!B1131&lt;=700),Input!B1131,""),"")</f>
        <v/>
      </c>
      <c r="C1131">
        <f>IF(B1131="","",INT(A1131))</f>
        <v/>
      </c>
      <c r="D1131">
        <f>IF(B1131="","",HOUR(A1131))</f>
        <v/>
      </c>
    </row>
    <row r="1132">
      <c r="A1132">
        <f>Input!A1132</f>
        <v/>
      </c>
      <c r="B1132">
        <f>IF(ISNUMBER(Input!B1132),IF(AND(Input!B1132&gt;=20,Input!B1132&lt;=700),Input!B1132,""),"")</f>
        <v/>
      </c>
      <c r="C1132">
        <f>IF(B1132="","",INT(A1132))</f>
        <v/>
      </c>
      <c r="D1132">
        <f>IF(B1132="","",HOUR(A1132))</f>
        <v/>
      </c>
    </row>
    <row r="1133">
      <c r="A1133">
        <f>Input!A1133</f>
        <v/>
      </c>
      <c r="B1133">
        <f>IF(ISNUMBER(Input!B1133),IF(AND(Input!B1133&gt;=20,Input!B1133&lt;=700),Input!B1133,""),"")</f>
        <v/>
      </c>
      <c r="C1133">
        <f>IF(B1133="","",INT(A1133))</f>
        <v/>
      </c>
      <c r="D1133">
        <f>IF(B1133="","",HOUR(A1133))</f>
        <v/>
      </c>
    </row>
    <row r="1134">
      <c r="A1134">
        <f>Input!A1134</f>
        <v/>
      </c>
      <c r="B1134">
        <f>IF(ISNUMBER(Input!B1134),IF(AND(Input!B1134&gt;=20,Input!B1134&lt;=700),Input!B1134,""),"")</f>
        <v/>
      </c>
      <c r="C1134">
        <f>IF(B1134="","",INT(A1134))</f>
        <v/>
      </c>
      <c r="D1134">
        <f>IF(B1134="","",HOUR(A1134))</f>
        <v/>
      </c>
    </row>
    <row r="1135">
      <c r="A1135">
        <f>Input!A1135</f>
        <v/>
      </c>
      <c r="B1135">
        <f>IF(ISNUMBER(Input!B1135),IF(AND(Input!B1135&gt;=20,Input!B1135&lt;=700),Input!B1135,""),"")</f>
        <v/>
      </c>
      <c r="C1135">
        <f>IF(B1135="","",INT(A1135))</f>
        <v/>
      </c>
      <c r="D1135">
        <f>IF(B1135="","",HOUR(A1135))</f>
        <v/>
      </c>
    </row>
    <row r="1136">
      <c r="A1136">
        <f>Input!A1136</f>
        <v/>
      </c>
      <c r="B1136">
        <f>IF(ISNUMBER(Input!B1136),IF(AND(Input!B1136&gt;=20,Input!B1136&lt;=700),Input!B1136,""),"")</f>
        <v/>
      </c>
      <c r="C1136">
        <f>IF(B1136="","",INT(A1136))</f>
        <v/>
      </c>
      <c r="D1136">
        <f>IF(B1136="","",HOUR(A1136))</f>
        <v/>
      </c>
    </row>
    <row r="1137">
      <c r="A1137">
        <f>Input!A1137</f>
        <v/>
      </c>
      <c r="B1137">
        <f>IF(ISNUMBER(Input!B1137),IF(AND(Input!B1137&gt;=20,Input!B1137&lt;=700),Input!B1137,""),"")</f>
        <v/>
      </c>
      <c r="C1137">
        <f>IF(B1137="","",INT(A1137))</f>
        <v/>
      </c>
      <c r="D1137">
        <f>IF(B1137="","",HOUR(A1137))</f>
        <v/>
      </c>
    </row>
    <row r="1138">
      <c r="A1138">
        <f>Input!A1138</f>
        <v/>
      </c>
      <c r="B1138">
        <f>IF(ISNUMBER(Input!B1138),IF(AND(Input!B1138&gt;=20,Input!B1138&lt;=700),Input!B1138,""),"")</f>
        <v/>
      </c>
      <c r="C1138">
        <f>IF(B1138="","",INT(A1138))</f>
        <v/>
      </c>
      <c r="D1138">
        <f>IF(B1138="","",HOUR(A1138))</f>
        <v/>
      </c>
    </row>
    <row r="1139">
      <c r="A1139">
        <f>Input!A1139</f>
        <v/>
      </c>
      <c r="B1139">
        <f>IF(ISNUMBER(Input!B1139),IF(AND(Input!B1139&gt;=20,Input!B1139&lt;=700),Input!B1139,""),"")</f>
        <v/>
      </c>
      <c r="C1139">
        <f>IF(B1139="","",INT(A1139))</f>
        <v/>
      </c>
      <c r="D1139">
        <f>IF(B1139="","",HOUR(A1139))</f>
        <v/>
      </c>
    </row>
    <row r="1140">
      <c r="A1140">
        <f>Input!A1140</f>
        <v/>
      </c>
      <c r="B1140">
        <f>IF(ISNUMBER(Input!B1140),IF(AND(Input!B1140&gt;=20,Input!B1140&lt;=700),Input!B1140,""),"")</f>
        <v/>
      </c>
      <c r="C1140">
        <f>IF(B1140="","",INT(A1140))</f>
        <v/>
      </c>
      <c r="D1140">
        <f>IF(B1140="","",HOUR(A1140))</f>
        <v/>
      </c>
    </row>
    <row r="1141">
      <c r="A1141">
        <f>Input!A1141</f>
        <v/>
      </c>
      <c r="B1141">
        <f>IF(ISNUMBER(Input!B1141),IF(AND(Input!B1141&gt;=20,Input!B1141&lt;=700),Input!B1141,""),"")</f>
        <v/>
      </c>
      <c r="C1141">
        <f>IF(B1141="","",INT(A1141))</f>
        <v/>
      </c>
      <c r="D1141">
        <f>IF(B1141="","",HOUR(A1141))</f>
        <v/>
      </c>
    </row>
    <row r="1142">
      <c r="A1142">
        <f>Input!A1142</f>
        <v/>
      </c>
      <c r="B1142">
        <f>IF(ISNUMBER(Input!B1142),IF(AND(Input!B1142&gt;=20,Input!B1142&lt;=700),Input!B1142,""),"")</f>
        <v/>
      </c>
      <c r="C1142">
        <f>IF(B1142="","",INT(A1142))</f>
        <v/>
      </c>
      <c r="D1142">
        <f>IF(B1142="","",HOUR(A1142))</f>
        <v/>
      </c>
    </row>
    <row r="1143">
      <c r="A1143">
        <f>Input!A1143</f>
        <v/>
      </c>
      <c r="B1143">
        <f>IF(ISNUMBER(Input!B1143),IF(AND(Input!B1143&gt;=20,Input!B1143&lt;=700),Input!B1143,""),"")</f>
        <v/>
      </c>
      <c r="C1143">
        <f>IF(B1143="","",INT(A1143))</f>
        <v/>
      </c>
      <c r="D1143">
        <f>IF(B1143="","",HOUR(A1143))</f>
        <v/>
      </c>
    </row>
    <row r="1144">
      <c r="A1144">
        <f>Input!A1144</f>
        <v/>
      </c>
      <c r="B1144">
        <f>IF(ISNUMBER(Input!B1144),IF(AND(Input!B1144&gt;=20,Input!B1144&lt;=700),Input!B1144,""),"")</f>
        <v/>
      </c>
      <c r="C1144">
        <f>IF(B1144="","",INT(A1144))</f>
        <v/>
      </c>
      <c r="D1144">
        <f>IF(B1144="","",HOUR(A1144))</f>
        <v/>
      </c>
    </row>
    <row r="1145">
      <c r="A1145">
        <f>Input!A1145</f>
        <v/>
      </c>
      <c r="B1145">
        <f>IF(ISNUMBER(Input!B1145),IF(AND(Input!B1145&gt;=20,Input!B1145&lt;=700),Input!B1145,""),"")</f>
        <v/>
      </c>
      <c r="C1145">
        <f>IF(B1145="","",INT(A1145))</f>
        <v/>
      </c>
      <c r="D1145">
        <f>IF(B1145="","",HOUR(A1145))</f>
        <v/>
      </c>
    </row>
    <row r="1146">
      <c r="A1146">
        <f>Input!A1146</f>
        <v/>
      </c>
      <c r="B1146">
        <f>IF(ISNUMBER(Input!B1146),IF(AND(Input!B1146&gt;=20,Input!B1146&lt;=700),Input!B1146,""),"")</f>
        <v/>
      </c>
      <c r="C1146">
        <f>IF(B1146="","",INT(A1146))</f>
        <v/>
      </c>
      <c r="D1146">
        <f>IF(B1146="","",HOUR(A1146))</f>
        <v/>
      </c>
    </row>
    <row r="1147">
      <c r="A1147">
        <f>Input!A1147</f>
        <v/>
      </c>
      <c r="B1147">
        <f>IF(ISNUMBER(Input!B1147),IF(AND(Input!B1147&gt;=20,Input!B1147&lt;=700),Input!B1147,""),"")</f>
        <v/>
      </c>
      <c r="C1147">
        <f>IF(B1147="","",INT(A1147))</f>
        <v/>
      </c>
      <c r="D1147">
        <f>IF(B1147="","",HOUR(A1147))</f>
        <v/>
      </c>
    </row>
    <row r="1148">
      <c r="A1148">
        <f>Input!A1148</f>
        <v/>
      </c>
      <c r="B1148">
        <f>IF(ISNUMBER(Input!B1148),IF(AND(Input!B1148&gt;=20,Input!B1148&lt;=700),Input!B1148,""),"")</f>
        <v/>
      </c>
      <c r="C1148">
        <f>IF(B1148="","",INT(A1148))</f>
        <v/>
      </c>
      <c r="D1148">
        <f>IF(B1148="","",HOUR(A1148))</f>
        <v/>
      </c>
    </row>
    <row r="1149">
      <c r="A1149">
        <f>Input!A1149</f>
        <v/>
      </c>
      <c r="B1149">
        <f>IF(ISNUMBER(Input!B1149),IF(AND(Input!B1149&gt;=20,Input!B1149&lt;=700),Input!B1149,""),"")</f>
        <v/>
      </c>
      <c r="C1149">
        <f>IF(B1149="","",INT(A1149))</f>
        <v/>
      </c>
      <c r="D1149">
        <f>IF(B1149="","",HOUR(A1149))</f>
        <v/>
      </c>
    </row>
    <row r="1150">
      <c r="A1150">
        <f>Input!A1150</f>
        <v/>
      </c>
      <c r="B1150">
        <f>IF(ISNUMBER(Input!B1150),IF(AND(Input!B1150&gt;=20,Input!B1150&lt;=700),Input!B1150,""),"")</f>
        <v/>
      </c>
      <c r="C1150">
        <f>IF(B1150="","",INT(A1150))</f>
        <v/>
      </c>
      <c r="D1150">
        <f>IF(B1150="","",HOUR(A1150))</f>
        <v/>
      </c>
    </row>
    <row r="1151">
      <c r="A1151">
        <f>Input!A1151</f>
        <v/>
      </c>
      <c r="B1151">
        <f>IF(ISNUMBER(Input!B1151),IF(AND(Input!B1151&gt;=20,Input!B1151&lt;=700),Input!B1151,""),"")</f>
        <v/>
      </c>
      <c r="C1151">
        <f>IF(B1151="","",INT(A1151))</f>
        <v/>
      </c>
      <c r="D1151">
        <f>IF(B1151="","",HOUR(A1151))</f>
        <v/>
      </c>
    </row>
    <row r="1152">
      <c r="A1152">
        <f>Input!A1152</f>
        <v/>
      </c>
      <c r="B1152">
        <f>IF(ISNUMBER(Input!B1152),IF(AND(Input!B1152&gt;=20,Input!B1152&lt;=700),Input!B1152,""),"")</f>
        <v/>
      </c>
      <c r="C1152">
        <f>IF(B1152="","",INT(A1152))</f>
        <v/>
      </c>
      <c r="D1152">
        <f>IF(B1152="","",HOUR(A1152))</f>
        <v/>
      </c>
    </row>
    <row r="1153">
      <c r="A1153">
        <f>Input!A1153</f>
        <v/>
      </c>
      <c r="B1153">
        <f>IF(ISNUMBER(Input!B1153),IF(AND(Input!B1153&gt;=20,Input!B1153&lt;=700),Input!B1153,""),"")</f>
        <v/>
      </c>
      <c r="C1153">
        <f>IF(B1153="","",INT(A1153))</f>
        <v/>
      </c>
      <c r="D1153">
        <f>IF(B1153="","",HOUR(A1153))</f>
        <v/>
      </c>
    </row>
    <row r="1154">
      <c r="A1154">
        <f>Input!A1154</f>
        <v/>
      </c>
      <c r="B1154">
        <f>IF(ISNUMBER(Input!B1154),IF(AND(Input!B1154&gt;=20,Input!B1154&lt;=700),Input!B1154,""),"")</f>
        <v/>
      </c>
      <c r="C1154">
        <f>IF(B1154="","",INT(A1154))</f>
        <v/>
      </c>
      <c r="D1154">
        <f>IF(B1154="","",HOUR(A1154))</f>
        <v/>
      </c>
    </row>
    <row r="1155">
      <c r="A1155">
        <f>Input!A1155</f>
        <v/>
      </c>
      <c r="B1155">
        <f>IF(ISNUMBER(Input!B1155),IF(AND(Input!B1155&gt;=20,Input!B1155&lt;=700),Input!B1155,""),"")</f>
        <v/>
      </c>
      <c r="C1155">
        <f>IF(B1155="","",INT(A1155))</f>
        <v/>
      </c>
      <c r="D1155">
        <f>IF(B1155="","",HOUR(A1155))</f>
        <v/>
      </c>
    </row>
    <row r="1156">
      <c r="A1156">
        <f>Input!A1156</f>
        <v/>
      </c>
      <c r="B1156">
        <f>IF(ISNUMBER(Input!B1156),IF(AND(Input!B1156&gt;=20,Input!B1156&lt;=700),Input!B1156,""),"")</f>
        <v/>
      </c>
      <c r="C1156">
        <f>IF(B1156="","",INT(A1156))</f>
        <v/>
      </c>
      <c r="D1156">
        <f>IF(B1156="","",HOUR(A1156))</f>
        <v/>
      </c>
    </row>
    <row r="1157">
      <c r="A1157">
        <f>Input!A1157</f>
        <v/>
      </c>
      <c r="B1157">
        <f>IF(ISNUMBER(Input!B1157),IF(AND(Input!B1157&gt;=20,Input!B1157&lt;=700),Input!B1157,""),"")</f>
        <v/>
      </c>
      <c r="C1157">
        <f>IF(B1157="","",INT(A1157))</f>
        <v/>
      </c>
      <c r="D1157">
        <f>IF(B1157="","",HOUR(A1157))</f>
        <v/>
      </c>
    </row>
    <row r="1158">
      <c r="A1158">
        <f>Input!A1158</f>
        <v/>
      </c>
      <c r="B1158">
        <f>IF(ISNUMBER(Input!B1158),IF(AND(Input!B1158&gt;=20,Input!B1158&lt;=700),Input!B1158,""),"")</f>
        <v/>
      </c>
      <c r="C1158">
        <f>IF(B1158="","",INT(A1158))</f>
        <v/>
      </c>
      <c r="D1158">
        <f>IF(B1158="","",HOUR(A1158))</f>
        <v/>
      </c>
    </row>
    <row r="1159">
      <c r="A1159">
        <f>Input!A1159</f>
        <v/>
      </c>
      <c r="B1159">
        <f>IF(ISNUMBER(Input!B1159),IF(AND(Input!B1159&gt;=20,Input!B1159&lt;=700),Input!B1159,""),"")</f>
        <v/>
      </c>
      <c r="C1159">
        <f>IF(B1159="","",INT(A1159))</f>
        <v/>
      </c>
      <c r="D1159">
        <f>IF(B1159="","",HOUR(A1159))</f>
        <v/>
      </c>
    </row>
    <row r="1160">
      <c r="A1160">
        <f>Input!A1160</f>
        <v/>
      </c>
      <c r="B1160">
        <f>IF(ISNUMBER(Input!B1160),IF(AND(Input!B1160&gt;=20,Input!B1160&lt;=700),Input!B1160,""),"")</f>
        <v/>
      </c>
      <c r="C1160">
        <f>IF(B1160="","",INT(A1160))</f>
        <v/>
      </c>
      <c r="D1160">
        <f>IF(B1160="","",HOUR(A1160))</f>
        <v/>
      </c>
    </row>
    <row r="1161">
      <c r="A1161">
        <f>Input!A1161</f>
        <v/>
      </c>
      <c r="B1161">
        <f>IF(ISNUMBER(Input!B1161),IF(AND(Input!B1161&gt;=20,Input!B1161&lt;=700),Input!B1161,""),"")</f>
        <v/>
      </c>
      <c r="C1161">
        <f>IF(B1161="","",INT(A1161))</f>
        <v/>
      </c>
      <c r="D1161">
        <f>IF(B1161="","",HOUR(A1161))</f>
        <v/>
      </c>
    </row>
    <row r="1162">
      <c r="A1162">
        <f>Input!A1162</f>
        <v/>
      </c>
      <c r="B1162">
        <f>IF(ISNUMBER(Input!B1162),IF(AND(Input!B1162&gt;=20,Input!B1162&lt;=700),Input!B1162,""),"")</f>
        <v/>
      </c>
      <c r="C1162">
        <f>IF(B1162="","",INT(A1162))</f>
        <v/>
      </c>
      <c r="D1162">
        <f>IF(B1162="","",HOUR(A1162))</f>
        <v/>
      </c>
    </row>
    <row r="1163">
      <c r="A1163">
        <f>Input!A1163</f>
        <v/>
      </c>
      <c r="B1163">
        <f>IF(ISNUMBER(Input!B1163),IF(AND(Input!B1163&gt;=20,Input!B1163&lt;=700),Input!B1163,""),"")</f>
        <v/>
      </c>
      <c r="C1163">
        <f>IF(B1163="","",INT(A1163))</f>
        <v/>
      </c>
      <c r="D1163">
        <f>IF(B1163="","",HOUR(A1163))</f>
        <v/>
      </c>
    </row>
    <row r="1164">
      <c r="A1164">
        <f>Input!A1164</f>
        <v/>
      </c>
      <c r="B1164">
        <f>IF(ISNUMBER(Input!B1164),IF(AND(Input!B1164&gt;=20,Input!B1164&lt;=700),Input!B1164,""),"")</f>
        <v/>
      </c>
      <c r="C1164">
        <f>IF(B1164="","",INT(A1164))</f>
        <v/>
      </c>
      <c r="D1164">
        <f>IF(B1164="","",HOUR(A1164))</f>
        <v/>
      </c>
    </row>
    <row r="1165">
      <c r="A1165">
        <f>Input!A1165</f>
        <v/>
      </c>
      <c r="B1165">
        <f>IF(ISNUMBER(Input!B1165),IF(AND(Input!B1165&gt;=20,Input!B1165&lt;=700),Input!B1165,""),"")</f>
        <v/>
      </c>
      <c r="C1165">
        <f>IF(B1165="","",INT(A1165))</f>
        <v/>
      </c>
      <c r="D1165">
        <f>IF(B1165="","",HOUR(A1165))</f>
        <v/>
      </c>
    </row>
    <row r="1166">
      <c r="A1166">
        <f>Input!A1166</f>
        <v/>
      </c>
      <c r="B1166">
        <f>IF(ISNUMBER(Input!B1166),IF(AND(Input!B1166&gt;=20,Input!B1166&lt;=700),Input!B1166,""),"")</f>
        <v/>
      </c>
      <c r="C1166">
        <f>IF(B1166="","",INT(A1166))</f>
        <v/>
      </c>
      <c r="D1166">
        <f>IF(B1166="","",HOUR(A1166))</f>
        <v/>
      </c>
    </row>
    <row r="1167">
      <c r="A1167">
        <f>Input!A1167</f>
        <v/>
      </c>
      <c r="B1167">
        <f>IF(ISNUMBER(Input!B1167),IF(AND(Input!B1167&gt;=20,Input!B1167&lt;=700),Input!B1167,""),"")</f>
        <v/>
      </c>
      <c r="C1167">
        <f>IF(B1167="","",INT(A1167))</f>
        <v/>
      </c>
      <c r="D1167">
        <f>IF(B1167="","",HOUR(A1167))</f>
        <v/>
      </c>
    </row>
    <row r="1168">
      <c r="A1168">
        <f>Input!A1168</f>
        <v/>
      </c>
      <c r="B1168">
        <f>IF(ISNUMBER(Input!B1168),IF(AND(Input!B1168&gt;=20,Input!B1168&lt;=700),Input!B1168,""),"")</f>
        <v/>
      </c>
      <c r="C1168">
        <f>IF(B1168="","",INT(A1168))</f>
        <v/>
      </c>
      <c r="D1168">
        <f>IF(B1168="","",HOUR(A1168))</f>
        <v/>
      </c>
    </row>
    <row r="1169">
      <c r="A1169">
        <f>Input!A1169</f>
        <v/>
      </c>
      <c r="B1169">
        <f>IF(ISNUMBER(Input!B1169),IF(AND(Input!B1169&gt;=20,Input!B1169&lt;=700),Input!B1169,""),"")</f>
        <v/>
      </c>
      <c r="C1169">
        <f>IF(B1169="","",INT(A1169))</f>
        <v/>
      </c>
      <c r="D1169">
        <f>IF(B1169="","",HOUR(A1169))</f>
        <v/>
      </c>
    </row>
    <row r="1170">
      <c r="A1170">
        <f>Input!A1170</f>
        <v/>
      </c>
      <c r="B1170">
        <f>IF(ISNUMBER(Input!B1170),IF(AND(Input!B1170&gt;=20,Input!B1170&lt;=700),Input!B1170,""),"")</f>
        <v/>
      </c>
      <c r="C1170">
        <f>IF(B1170="","",INT(A1170))</f>
        <v/>
      </c>
      <c r="D1170">
        <f>IF(B1170="","",HOUR(A1170))</f>
        <v/>
      </c>
    </row>
    <row r="1171">
      <c r="A1171">
        <f>Input!A1171</f>
        <v/>
      </c>
      <c r="B1171">
        <f>IF(ISNUMBER(Input!B1171),IF(AND(Input!B1171&gt;=20,Input!B1171&lt;=700),Input!B1171,""),"")</f>
        <v/>
      </c>
      <c r="C1171">
        <f>IF(B1171="","",INT(A1171))</f>
        <v/>
      </c>
      <c r="D1171">
        <f>IF(B1171="","",HOUR(A1171))</f>
        <v/>
      </c>
    </row>
    <row r="1172">
      <c r="A1172">
        <f>Input!A1172</f>
        <v/>
      </c>
      <c r="B1172">
        <f>IF(ISNUMBER(Input!B1172),IF(AND(Input!B1172&gt;=20,Input!B1172&lt;=700),Input!B1172,""),"")</f>
        <v/>
      </c>
      <c r="C1172">
        <f>IF(B1172="","",INT(A1172))</f>
        <v/>
      </c>
      <c r="D1172">
        <f>IF(B1172="","",HOUR(A1172))</f>
        <v/>
      </c>
    </row>
    <row r="1173">
      <c r="A1173">
        <f>Input!A1173</f>
        <v/>
      </c>
      <c r="B1173">
        <f>IF(ISNUMBER(Input!B1173),IF(AND(Input!B1173&gt;=20,Input!B1173&lt;=700),Input!B1173,""),"")</f>
        <v/>
      </c>
      <c r="C1173">
        <f>IF(B1173="","",INT(A1173))</f>
        <v/>
      </c>
      <c r="D1173">
        <f>IF(B1173="","",HOUR(A1173))</f>
        <v/>
      </c>
    </row>
    <row r="1174">
      <c r="A1174">
        <f>Input!A1174</f>
        <v/>
      </c>
      <c r="B1174">
        <f>IF(ISNUMBER(Input!B1174),IF(AND(Input!B1174&gt;=20,Input!B1174&lt;=700),Input!B1174,""),"")</f>
        <v/>
      </c>
      <c r="C1174">
        <f>IF(B1174="","",INT(A1174))</f>
        <v/>
      </c>
      <c r="D1174">
        <f>IF(B1174="","",HOUR(A1174))</f>
        <v/>
      </c>
    </row>
    <row r="1175">
      <c r="A1175">
        <f>Input!A1175</f>
        <v/>
      </c>
      <c r="B1175">
        <f>IF(ISNUMBER(Input!B1175),IF(AND(Input!B1175&gt;=20,Input!B1175&lt;=700),Input!B1175,""),"")</f>
        <v/>
      </c>
      <c r="C1175">
        <f>IF(B1175="","",INT(A1175))</f>
        <v/>
      </c>
      <c r="D1175">
        <f>IF(B1175="","",HOUR(A1175))</f>
        <v/>
      </c>
    </row>
    <row r="1176">
      <c r="A1176">
        <f>Input!A1176</f>
        <v/>
      </c>
      <c r="B1176">
        <f>IF(ISNUMBER(Input!B1176),IF(AND(Input!B1176&gt;=20,Input!B1176&lt;=700),Input!B1176,""),"")</f>
        <v/>
      </c>
      <c r="C1176">
        <f>IF(B1176="","",INT(A1176))</f>
        <v/>
      </c>
      <c r="D1176">
        <f>IF(B1176="","",HOUR(A1176))</f>
        <v/>
      </c>
    </row>
    <row r="1177">
      <c r="A1177">
        <f>Input!A1177</f>
        <v/>
      </c>
      <c r="B1177">
        <f>IF(ISNUMBER(Input!B1177),IF(AND(Input!B1177&gt;=20,Input!B1177&lt;=700),Input!B1177,""),"")</f>
        <v/>
      </c>
      <c r="C1177">
        <f>IF(B1177="","",INT(A1177))</f>
        <v/>
      </c>
      <c r="D1177">
        <f>IF(B1177="","",HOUR(A1177))</f>
        <v/>
      </c>
    </row>
    <row r="1178">
      <c r="A1178">
        <f>Input!A1178</f>
        <v/>
      </c>
      <c r="B1178">
        <f>IF(ISNUMBER(Input!B1178),IF(AND(Input!B1178&gt;=20,Input!B1178&lt;=700),Input!B1178,""),"")</f>
        <v/>
      </c>
      <c r="C1178">
        <f>IF(B1178="","",INT(A1178))</f>
        <v/>
      </c>
      <c r="D1178">
        <f>IF(B1178="","",HOUR(A1178))</f>
        <v/>
      </c>
    </row>
    <row r="1179">
      <c r="A1179">
        <f>Input!A1179</f>
        <v/>
      </c>
      <c r="B1179">
        <f>IF(ISNUMBER(Input!B1179),IF(AND(Input!B1179&gt;=20,Input!B1179&lt;=700),Input!B1179,""),"")</f>
        <v/>
      </c>
      <c r="C1179">
        <f>IF(B1179="","",INT(A1179))</f>
        <v/>
      </c>
      <c r="D1179">
        <f>IF(B1179="","",HOUR(A1179))</f>
        <v/>
      </c>
    </row>
    <row r="1180">
      <c r="A1180">
        <f>Input!A1180</f>
        <v/>
      </c>
      <c r="B1180">
        <f>IF(ISNUMBER(Input!B1180),IF(AND(Input!B1180&gt;=20,Input!B1180&lt;=700),Input!B1180,""),"")</f>
        <v/>
      </c>
      <c r="C1180">
        <f>IF(B1180="","",INT(A1180))</f>
        <v/>
      </c>
      <c r="D1180">
        <f>IF(B1180="","",HOUR(A1180))</f>
        <v/>
      </c>
    </row>
    <row r="1181">
      <c r="A1181">
        <f>Input!A1181</f>
        <v/>
      </c>
      <c r="B1181">
        <f>IF(ISNUMBER(Input!B1181),IF(AND(Input!B1181&gt;=20,Input!B1181&lt;=700),Input!B1181,""),"")</f>
        <v/>
      </c>
      <c r="C1181">
        <f>IF(B1181="","",INT(A1181))</f>
        <v/>
      </c>
      <c r="D1181">
        <f>IF(B1181="","",HOUR(A1181))</f>
        <v/>
      </c>
    </row>
    <row r="1182">
      <c r="A1182">
        <f>Input!A1182</f>
        <v/>
      </c>
      <c r="B1182">
        <f>IF(ISNUMBER(Input!B1182),IF(AND(Input!B1182&gt;=20,Input!B1182&lt;=700),Input!B1182,""),"")</f>
        <v/>
      </c>
      <c r="C1182">
        <f>IF(B1182="","",INT(A1182))</f>
        <v/>
      </c>
      <c r="D1182">
        <f>IF(B1182="","",HOUR(A1182))</f>
        <v/>
      </c>
    </row>
    <row r="1183">
      <c r="A1183">
        <f>Input!A1183</f>
        <v/>
      </c>
      <c r="B1183">
        <f>IF(ISNUMBER(Input!B1183),IF(AND(Input!B1183&gt;=20,Input!B1183&lt;=700),Input!B1183,""),"")</f>
        <v/>
      </c>
      <c r="C1183">
        <f>IF(B1183="","",INT(A1183))</f>
        <v/>
      </c>
      <c r="D1183">
        <f>IF(B1183="","",HOUR(A1183))</f>
        <v/>
      </c>
    </row>
    <row r="1184">
      <c r="A1184">
        <f>Input!A1184</f>
        <v/>
      </c>
      <c r="B1184">
        <f>IF(ISNUMBER(Input!B1184),IF(AND(Input!B1184&gt;=20,Input!B1184&lt;=700),Input!B1184,""),"")</f>
        <v/>
      </c>
      <c r="C1184">
        <f>IF(B1184="","",INT(A1184))</f>
        <v/>
      </c>
      <c r="D1184">
        <f>IF(B1184="","",HOUR(A1184))</f>
        <v/>
      </c>
    </row>
    <row r="1185">
      <c r="A1185">
        <f>Input!A1185</f>
        <v/>
      </c>
      <c r="B1185">
        <f>IF(ISNUMBER(Input!B1185),IF(AND(Input!B1185&gt;=20,Input!B1185&lt;=700),Input!B1185,""),"")</f>
        <v/>
      </c>
      <c r="C1185">
        <f>IF(B1185="","",INT(A1185))</f>
        <v/>
      </c>
      <c r="D1185">
        <f>IF(B1185="","",HOUR(A1185))</f>
        <v/>
      </c>
    </row>
    <row r="1186">
      <c r="A1186">
        <f>Input!A1186</f>
        <v/>
      </c>
      <c r="B1186">
        <f>IF(ISNUMBER(Input!B1186),IF(AND(Input!B1186&gt;=20,Input!B1186&lt;=700),Input!B1186,""),"")</f>
        <v/>
      </c>
      <c r="C1186">
        <f>IF(B1186="","",INT(A1186))</f>
        <v/>
      </c>
      <c r="D1186">
        <f>IF(B1186="","",HOUR(A1186))</f>
        <v/>
      </c>
    </row>
    <row r="1187">
      <c r="A1187">
        <f>Input!A1187</f>
        <v/>
      </c>
      <c r="B1187">
        <f>IF(ISNUMBER(Input!B1187),IF(AND(Input!B1187&gt;=20,Input!B1187&lt;=700),Input!B1187,""),"")</f>
        <v/>
      </c>
      <c r="C1187">
        <f>IF(B1187="","",INT(A1187))</f>
        <v/>
      </c>
      <c r="D1187">
        <f>IF(B1187="","",HOUR(A1187))</f>
        <v/>
      </c>
    </row>
    <row r="1188">
      <c r="A1188">
        <f>Input!A1188</f>
        <v/>
      </c>
      <c r="B1188">
        <f>IF(ISNUMBER(Input!B1188),IF(AND(Input!B1188&gt;=20,Input!B1188&lt;=700),Input!B1188,""),"")</f>
        <v/>
      </c>
      <c r="C1188">
        <f>IF(B1188="","",INT(A1188))</f>
        <v/>
      </c>
      <c r="D1188">
        <f>IF(B1188="","",HOUR(A1188))</f>
        <v/>
      </c>
    </row>
    <row r="1189">
      <c r="A1189">
        <f>Input!A1189</f>
        <v/>
      </c>
      <c r="B1189">
        <f>IF(ISNUMBER(Input!B1189),IF(AND(Input!B1189&gt;=20,Input!B1189&lt;=700),Input!B1189,""),"")</f>
        <v/>
      </c>
      <c r="C1189">
        <f>IF(B1189="","",INT(A1189))</f>
        <v/>
      </c>
      <c r="D1189">
        <f>IF(B1189="","",HOUR(A1189))</f>
        <v/>
      </c>
    </row>
    <row r="1190">
      <c r="A1190">
        <f>Input!A1190</f>
        <v/>
      </c>
      <c r="B1190">
        <f>IF(ISNUMBER(Input!B1190),IF(AND(Input!B1190&gt;=20,Input!B1190&lt;=700),Input!B1190,""),"")</f>
        <v/>
      </c>
      <c r="C1190">
        <f>IF(B1190="","",INT(A1190))</f>
        <v/>
      </c>
      <c r="D1190">
        <f>IF(B1190="","",HOUR(A1190))</f>
        <v/>
      </c>
    </row>
    <row r="1191">
      <c r="A1191">
        <f>Input!A1191</f>
        <v/>
      </c>
      <c r="B1191">
        <f>IF(ISNUMBER(Input!B1191),IF(AND(Input!B1191&gt;=20,Input!B1191&lt;=700),Input!B1191,""),"")</f>
        <v/>
      </c>
      <c r="C1191">
        <f>IF(B1191="","",INT(A1191))</f>
        <v/>
      </c>
      <c r="D1191">
        <f>IF(B1191="","",HOUR(A1191))</f>
        <v/>
      </c>
    </row>
    <row r="1192">
      <c r="A1192">
        <f>Input!A1192</f>
        <v/>
      </c>
      <c r="B1192">
        <f>IF(ISNUMBER(Input!B1192),IF(AND(Input!B1192&gt;=20,Input!B1192&lt;=700),Input!B1192,""),"")</f>
        <v/>
      </c>
      <c r="C1192">
        <f>IF(B1192="","",INT(A1192))</f>
        <v/>
      </c>
      <c r="D1192">
        <f>IF(B1192="","",HOUR(A1192))</f>
        <v/>
      </c>
    </row>
    <row r="1193">
      <c r="A1193">
        <f>Input!A1193</f>
        <v/>
      </c>
      <c r="B1193">
        <f>IF(ISNUMBER(Input!B1193),IF(AND(Input!B1193&gt;=20,Input!B1193&lt;=700),Input!B1193,""),"")</f>
        <v/>
      </c>
      <c r="C1193">
        <f>IF(B1193="","",INT(A1193))</f>
        <v/>
      </c>
      <c r="D1193">
        <f>IF(B1193="","",HOUR(A1193))</f>
        <v/>
      </c>
    </row>
    <row r="1194">
      <c r="A1194">
        <f>Input!A1194</f>
        <v/>
      </c>
      <c r="B1194">
        <f>IF(ISNUMBER(Input!B1194),IF(AND(Input!B1194&gt;=20,Input!B1194&lt;=700),Input!B1194,""),"")</f>
        <v/>
      </c>
      <c r="C1194">
        <f>IF(B1194="","",INT(A1194))</f>
        <v/>
      </c>
      <c r="D1194">
        <f>IF(B1194="","",HOUR(A1194))</f>
        <v/>
      </c>
    </row>
    <row r="1195">
      <c r="A1195">
        <f>Input!A1195</f>
        <v/>
      </c>
      <c r="B1195">
        <f>IF(ISNUMBER(Input!B1195),IF(AND(Input!B1195&gt;=20,Input!B1195&lt;=700),Input!B1195,""),"")</f>
        <v/>
      </c>
      <c r="C1195">
        <f>IF(B1195="","",INT(A1195))</f>
        <v/>
      </c>
      <c r="D1195">
        <f>IF(B1195="","",HOUR(A1195))</f>
        <v/>
      </c>
    </row>
    <row r="1196">
      <c r="A1196">
        <f>Input!A1196</f>
        <v/>
      </c>
      <c r="B1196">
        <f>IF(ISNUMBER(Input!B1196),IF(AND(Input!B1196&gt;=20,Input!B1196&lt;=700),Input!B1196,""),"")</f>
        <v/>
      </c>
      <c r="C1196">
        <f>IF(B1196="","",INT(A1196))</f>
        <v/>
      </c>
      <c r="D1196">
        <f>IF(B1196="","",HOUR(A1196))</f>
        <v/>
      </c>
    </row>
    <row r="1197">
      <c r="A1197">
        <f>Input!A1197</f>
        <v/>
      </c>
      <c r="B1197">
        <f>IF(ISNUMBER(Input!B1197),IF(AND(Input!B1197&gt;=20,Input!B1197&lt;=700),Input!B1197,""),"")</f>
        <v/>
      </c>
      <c r="C1197">
        <f>IF(B1197="","",INT(A1197))</f>
        <v/>
      </c>
      <c r="D1197">
        <f>IF(B1197="","",HOUR(A1197))</f>
        <v/>
      </c>
    </row>
    <row r="1198">
      <c r="A1198">
        <f>Input!A1198</f>
        <v/>
      </c>
      <c r="B1198">
        <f>IF(ISNUMBER(Input!B1198),IF(AND(Input!B1198&gt;=20,Input!B1198&lt;=700),Input!B1198,""),"")</f>
        <v/>
      </c>
      <c r="C1198">
        <f>IF(B1198="","",INT(A1198))</f>
        <v/>
      </c>
      <c r="D1198">
        <f>IF(B1198="","",HOUR(A1198))</f>
        <v/>
      </c>
    </row>
    <row r="1199">
      <c r="A1199">
        <f>Input!A1199</f>
        <v/>
      </c>
      <c r="B1199">
        <f>IF(ISNUMBER(Input!B1199),IF(AND(Input!B1199&gt;=20,Input!B1199&lt;=700),Input!B1199,""),"")</f>
        <v/>
      </c>
      <c r="C1199">
        <f>IF(B1199="","",INT(A1199))</f>
        <v/>
      </c>
      <c r="D1199">
        <f>IF(B1199="","",HOUR(A1199))</f>
        <v/>
      </c>
    </row>
    <row r="1200">
      <c r="A1200">
        <f>Input!A1200</f>
        <v/>
      </c>
      <c r="B1200">
        <f>IF(ISNUMBER(Input!B1200),IF(AND(Input!B1200&gt;=20,Input!B1200&lt;=700),Input!B1200,""),"")</f>
        <v/>
      </c>
      <c r="C1200">
        <f>IF(B1200="","",INT(A1200))</f>
        <v/>
      </c>
      <c r="D1200">
        <f>IF(B1200="","",HOUR(A1200))</f>
        <v/>
      </c>
    </row>
    <row r="1201">
      <c r="A1201">
        <f>Input!A1201</f>
        <v/>
      </c>
      <c r="B1201">
        <f>IF(ISNUMBER(Input!B1201),IF(AND(Input!B1201&gt;=20,Input!B1201&lt;=700),Input!B1201,""),"")</f>
        <v/>
      </c>
      <c r="C1201">
        <f>IF(B1201="","",INT(A1201))</f>
        <v/>
      </c>
      <c r="D1201">
        <f>IF(B1201="","",HOUR(A1201))</f>
        <v/>
      </c>
    </row>
    <row r="1202">
      <c r="A1202">
        <f>Input!A1202</f>
        <v/>
      </c>
      <c r="B1202">
        <f>IF(ISNUMBER(Input!B1202),IF(AND(Input!B1202&gt;=20,Input!B1202&lt;=700),Input!B1202,""),"")</f>
        <v/>
      </c>
      <c r="C1202">
        <f>IF(B1202="","",INT(A1202))</f>
        <v/>
      </c>
      <c r="D1202">
        <f>IF(B1202="","",HOUR(A1202))</f>
        <v/>
      </c>
    </row>
    <row r="1203">
      <c r="A1203">
        <f>Input!A1203</f>
        <v/>
      </c>
      <c r="B1203">
        <f>IF(ISNUMBER(Input!B1203),IF(AND(Input!B1203&gt;=20,Input!B1203&lt;=700),Input!B1203,""),"")</f>
        <v/>
      </c>
      <c r="C1203">
        <f>IF(B1203="","",INT(A1203))</f>
        <v/>
      </c>
      <c r="D1203">
        <f>IF(B1203="","",HOUR(A1203))</f>
        <v/>
      </c>
    </row>
    <row r="1204">
      <c r="A1204">
        <f>Input!A1204</f>
        <v/>
      </c>
      <c r="B1204">
        <f>IF(ISNUMBER(Input!B1204),IF(AND(Input!B1204&gt;=20,Input!B1204&lt;=700),Input!B1204,""),"")</f>
        <v/>
      </c>
      <c r="C1204">
        <f>IF(B1204="","",INT(A1204))</f>
        <v/>
      </c>
      <c r="D1204">
        <f>IF(B1204="","",HOUR(A1204))</f>
        <v/>
      </c>
    </row>
    <row r="1205">
      <c r="A1205">
        <f>Input!A1205</f>
        <v/>
      </c>
      <c r="B1205">
        <f>IF(ISNUMBER(Input!B1205),IF(AND(Input!B1205&gt;=20,Input!B1205&lt;=700),Input!B1205,""),"")</f>
        <v/>
      </c>
      <c r="C1205">
        <f>IF(B1205="","",INT(A1205))</f>
        <v/>
      </c>
      <c r="D1205">
        <f>IF(B1205="","",HOUR(A1205))</f>
        <v/>
      </c>
    </row>
    <row r="1206">
      <c r="A1206">
        <f>Input!A1206</f>
        <v/>
      </c>
      <c r="B1206">
        <f>IF(ISNUMBER(Input!B1206),IF(AND(Input!B1206&gt;=20,Input!B1206&lt;=700),Input!B1206,""),"")</f>
        <v/>
      </c>
      <c r="C1206">
        <f>IF(B1206="","",INT(A1206))</f>
        <v/>
      </c>
      <c r="D1206">
        <f>IF(B1206="","",HOUR(A1206))</f>
        <v/>
      </c>
    </row>
    <row r="1207">
      <c r="A1207">
        <f>Input!A1207</f>
        <v/>
      </c>
      <c r="B1207">
        <f>IF(ISNUMBER(Input!B1207),IF(AND(Input!B1207&gt;=20,Input!B1207&lt;=700),Input!B1207,""),"")</f>
        <v/>
      </c>
      <c r="C1207">
        <f>IF(B1207="","",INT(A1207))</f>
        <v/>
      </c>
      <c r="D1207">
        <f>IF(B1207="","",HOUR(A1207))</f>
        <v/>
      </c>
    </row>
    <row r="1208">
      <c r="A1208">
        <f>Input!A1208</f>
        <v/>
      </c>
      <c r="B1208">
        <f>IF(ISNUMBER(Input!B1208),IF(AND(Input!B1208&gt;=20,Input!B1208&lt;=700),Input!B1208,""),"")</f>
        <v/>
      </c>
      <c r="C1208">
        <f>IF(B1208="","",INT(A1208))</f>
        <v/>
      </c>
      <c r="D1208">
        <f>IF(B1208="","",HOUR(A1208))</f>
        <v/>
      </c>
    </row>
    <row r="1209">
      <c r="A1209">
        <f>Input!A1209</f>
        <v/>
      </c>
      <c r="B1209">
        <f>IF(ISNUMBER(Input!B1209),IF(AND(Input!B1209&gt;=20,Input!B1209&lt;=700),Input!B1209,""),"")</f>
        <v/>
      </c>
      <c r="C1209">
        <f>IF(B1209="","",INT(A1209))</f>
        <v/>
      </c>
      <c r="D1209">
        <f>IF(B1209="","",HOUR(A1209))</f>
        <v/>
      </c>
    </row>
    <row r="1210">
      <c r="A1210">
        <f>Input!A1210</f>
        <v/>
      </c>
      <c r="B1210">
        <f>IF(ISNUMBER(Input!B1210),IF(AND(Input!B1210&gt;=20,Input!B1210&lt;=700),Input!B1210,""),"")</f>
        <v/>
      </c>
      <c r="C1210">
        <f>IF(B1210="","",INT(A1210))</f>
        <v/>
      </c>
      <c r="D1210">
        <f>IF(B1210="","",HOUR(A1210))</f>
        <v/>
      </c>
    </row>
    <row r="1211">
      <c r="A1211">
        <f>Input!A1211</f>
        <v/>
      </c>
      <c r="B1211">
        <f>IF(ISNUMBER(Input!B1211),IF(AND(Input!B1211&gt;=20,Input!B1211&lt;=700),Input!B1211,""),"")</f>
        <v/>
      </c>
      <c r="C1211">
        <f>IF(B1211="","",INT(A1211))</f>
        <v/>
      </c>
      <c r="D1211">
        <f>IF(B1211="","",HOUR(A1211))</f>
        <v/>
      </c>
    </row>
    <row r="1212">
      <c r="A1212">
        <f>Input!A1212</f>
        <v/>
      </c>
      <c r="B1212">
        <f>IF(ISNUMBER(Input!B1212),IF(AND(Input!B1212&gt;=20,Input!B1212&lt;=700),Input!B1212,""),"")</f>
        <v/>
      </c>
      <c r="C1212">
        <f>IF(B1212="","",INT(A1212))</f>
        <v/>
      </c>
      <c r="D1212">
        <f>IF(B1212="","",HOUR(A1212))</f>
        <v/>
      </c>
    </row>
    <row r="1213">
      <c r="A1213">
        <f>Input!A1213</f>
        <v/>
      </c>
      <c r="B1213">
        <f>IF(ISNUMBER(Input!B1213),IF(AND(Input!B1213&gt;=20,Input!B1213&lt;=700),Input!B1213,""),"")</f>
        <v/>
      </c>
      <c r="C1213">
        <f>IF(B1213="","",INT(A1213))</f>
        <v/>
      </c>
      <c r="D1213">
        <f>IF(B1213="","",HOUR(A1213))</f>
        <v/>
      </c>
    </row>
    <row r="1214">
      <c r="A1214">
        <f>Input!A1214</f>
        <v/>
      </c>
      <c r="B1214">
        <f>IF(ISNUMBER(Input!B1214),IF(AND(Input!B1214&gt;=20,Input!B1214&lt;=700),Input!B1214,""),"")</f>
        <v/>
      </c>
      <c r="C1214">
        <f>IF(B1214="","",INT(A1214))</f>
        <v/>
      </c>
      <c r="D1214">
        <f>IF(B1214="","",HOUR(A1214))</f>
        <v/>
      </c>
    </row>
    <row r="1215">
      <c r="A1215">
        <f>Input!A1215</f>
        <v/>
      </c>
      <c r="B1215">
        <f>IF(ISNUMBER(Input!B1215),IF(AND(Input!B1215&gt;=20,Input!B1215&lt;=700),Input!B1215,""),"")</f>
        <v/>
      </c>
      <c r="C1215">
        <f>IF(B1215="","",INT(A1215))</f>
        <v/>
      </c>
      <c r="D1215">
        <f>IF(B1215="","",HOUR(A1215))</f>
        <v/>
      </c>
    </row>
    <row r="1216">
      <c r="A1216">
        <f>Input!A1216</f>
        <v/>
      </c>
      <c r="B1216">
        <f>IF(ISNUMBER(Input!B1216),IF(AND(Input!B1216&gt;=20,Input!B1216&lt;=700),Input!B1216,""),"")</f>
        <v/>
      </c>
      <c r="C1216">
        <f>IF(B1216="","",INT(A1216))</f>
        <v/>
      </c>
      <c r="D1216">
        <f>IF(B1216="","",HOUR(A1216))</f>
        <v/>
      </c>
    </row>
    <row r="1217">
      <c r="A1217">
        <f>Input!A1217</f>
        <v/>
      </c>
      <c r="B1217">
        <f>IF(ISNUMBER(Input!B1217),IF(AND(Input!B1217&gt;=20,Input!B1217&lt;=700),Input!B1217,""),"")</f>
        <v/>
      </c>
      <c r="C1217">
        <f>IF(B1217="","",INT(A1217))</f>
        <v/>
      </c>
      <c r="D1217">
        <f>IF(B1217="","",HOUR(A1217))</f>
        <v/>
      </c>
    </row>
    <row r="1218">
      <c r="A1218">
        <f>Input!A1218</f>
        <v/>
      </c>
      <c r="B1218">
        <f>IF(ISNUMBER(Input!B1218),IF(AND(Input!B1218&gt;=20,Input!B1218&lt;=700),Input!B1218,""),"")</f>
        <v/>
      </c>
      <c r="C1218">
        <f>IF(B1218="","",INT(A1218))</f>
        <v/>
      </c>
      <c r="D1218">
        <f>IF(B1218="","",HOUR(A1218))</f>
        <v/>
      </c>
    </row>
    <row r="1219">
      <c r="A1219">
        <f>Input!A1219</f>
        <v/>
      </c>
      <c r="B1219">
        <f>IF(ISNUMBER(Input!B1219),IF(AND(Input!B1219&gt;=20,Input!B1219&lt;=700),Input!B1219,""),"")</f>
        <v/>
      </c>
      <c r="C1219">
        <f>IF(B1219="","",INT(A1219))</f>
        <v/>
      </c>
      <c r="D1219">
        <f>IF(B1219="","",HOUR(A1219))</f>
        <v/>
      </c>
    </row>
    <row r="1220">
      <c r="A1220">
        <f>Input!A1220</f>
        <v/>
      </c>
      <c r="B1220">
        <f>IF(ISNUMBER(Input!B1220),IF(AND(Input!B1220&gt;=20,Input!B1220&lt;=700),Input!B1220,""),"")</f>
        <v/>
      </c>
      <c r="C1220">
        <f>IF(B1220="","",INT(A1220))</f>
        <v/>
      </c>
      <c r="D1220">
        <f>IF(B1220="","",HOUR(A1220))</f>
        <v/>
      </c>
    </row>
    <row r="1221">
      <c r="A1221">
        <f>Input!A1221</f>
        <v/>
      </c>
      <c r="B1221">
        <f>IF(ISNUMBER(Input!B1221),IF(AND(Input!B1221&gt;=20,Input!B1221&lt;=700),Input!B1221,""),"")</f>
        <v/>
      </c>
      <c r="C1221">
        <f>IF(B1221="","",INT(A1221))</f>
        <v/>
      </c>
      <c r="D1221">
        <f>IF(B1221="","",HOUR(A1221))</f>
        <v/>
      </c>
    </row>
    <row r="1222">
      <c r="A1222">
        <f>Input!A1222</f>
        <v/>
      </c>
      <c r="B1222">
        <f>IF(ISNUMBER(Input!B1222),IF(AND(Input!B1222&gt;=20,Input!B1222&lt;=700),Input!B1222,""),"")</f>
        <v/>
      </c>
      <c r="C1222">
        <f>IF(B1222="","",INT(A1222))</f>
        <v/>
      </c>
      <c r="D1222">
        <f>IF(B1222="","",HOUR(A1222))</f>
        <v/>
      </c>
    </row>
    <row r="1223">
      <c r="A1223">
        <f>Input!A1223</f>
        <v/>
      </c>
      <c r="B1223">
        <f>IF(ISNUMBER(Input!B1223),IF(AND(Input!B1223&gt;=20,Input!B1223&lt;=700),Input!B1223,""),"")</f>
        <v/>
      </c>
      <c r="C1223">
        <f>IF(B1223="","",INT(A1223))</f>
        <v/>
      </c>
      <c r="D1223">
        <f>IF(B1223="","",HOUR(A1223))</f>
        <v/>
      </c>
    </row>
    <row r="1224">
      <c r="A1224">
        <f>Input!A1224</f>
        <v/>
      </c>
      <c r="B1224">
        <f>IF(ISNUMBER(Input!B1224),IF(AND(Input!B1224&gt;=20,Input!B1224&lt;=700),Input!B1224,""),"")</f>
        <v/>
      </c>
      <c r="C1224">
        <f>IF(B1224="","",INT(A1224))</f>
        <v/>
      </c>
      <c r="D1224">
        <f>IF(B1224="","",HOUR(A1224))</f>
        <v/>
      </c>
    </row>
    <row r="1225">
      <c r="A1225">
        <f>Input!A1225</f>
        <v/>
      </c>
      <c r="B1225">
        <f>IF(ISNUMBER(Input!B1225),IF(AND(Input!B1225&gt;=20,Input!B1225&lt;=700),Input!B1225,""),"")</f>
        <v/>
      </c>
      <c r="C1225">
        <f>IF(B1225="","",INT(A1225))</f>
        <v/>
      </c>
      <c r="D1225">
        <f>IF(B1225="","",HOUR(A1225))</f>
        <v/>
      </c>
    </row>
    <row r="1226">
      <c r="A1226">
        <f>Input!A1226</f>
        <v/>
      </c>
      <c r="B1226">
        <f>IF(ISNUMBER(Input!B1226),IF(AND(Input!B1226&gt;=20,Input!B1226&lt;=700),Input!B1226,""),"")</f>
        <v/>
      </c>
      <c r="C1226">
        <f>IF(B1226="","",INT(A1226))</f>
        <v/>
      </c>
      <c r="D1226">
        <f>IF(B1226="","",HOUR(A1226))</f>
        <v/>
      </c>
    </row>
    <row r="1227">
      <c r="A1227">
        <f>Input!A1227</f>
        <v/>
      </c>
      <c r="B1227">
        <f>IF(ISNUMBER(Input!B1227),IF(AND(Input!B1227&gt;=20,Input!B1227&lt;=700),Input!B1227,""),"")</f>
        <v/>
      </c>
      <c r="C1227">
        <f>IF(B1227="","",INT(A1227))</f>
        <v/>
      </c>
      <c r="D1227">
        <f>IF(B1227="","",HOUR(A1227))</f>
        <v/>
      </c>
    </row>
    <row r="1228">
      <c r="A1228">
        <f>Input!A1228</f>
        <v/>
      </c>
      <c r="B1228">
        <f>IF(ISNUMBER(Input!B1228),IF(AND(Input!B1228&gt;=20,Input!B1228&lt;=700),Input!B1228,""),"")</f>
        <v/>
      </c>
      <c r="C1228">
        <f>IF(B1228="","",INT(A1228))</f>
        <v/>
      </c>
      <c r="D1228">
        <f>IF(B1228="","",HOUR(A1228))</f>
        <v/>
      </c>
    </row>
    <row r="1229">
      <c r="A1229">
        <f>Input!A1229</f>
        <v/>
      </c>
      <c r="B1229">
        <f>IF(ISNUMBER(Input!B1229),IF(AND(Input!B1229&gt;=20,Input!B1229&lt;=700),Input!B1229,""),"")</f>
        <v/>
      </c>
      <c r="C1229">
        <f>IF(B1229="","",INT(A1229))</f>
        <v/>
      </c>
      <c r="D1229">
        <f>IF(B1229="","",HOUR(A1229))</f>
        <v/>
      </c>
    </row>
    <row r="1230">
      <c r="A1230">
        <f>Input!A1230</f>
        <v/>
      </c>
      <c r="B1230">
        <f>IF(ISNUMBER(Input!B1230),IF(AND(Input!B1230&gt;=20,Input!B1230&lt;=700),Input!B1230,""),"")</f>
        <v/>
      </c>
      <c r="C1230">
        <f>IF(B1230="","",INT(A1230))</f>
        <v/>
      </c>
      <c r="D1230">
        <f>IF(B1230="","",HOUR(A1230))</f>
        <v/>
      </c>
    </row>
    <row r="1231">
      <c r="A1231">
        <f>Input!A1231</f>
        <v/>
      </c>
      <c r="B1231">
        <f>IF(ISNUMBER(Input!B1231),IF(AND(Input!B1231&gt;=20,Input!B1231&lt;=700),Input!B1231,""),"")</f>
        <v/>
      </c>
      <c r="C1231">
        <f>IF(B1231="","",INT(A1231))</f>
        <v/>
      </c>
      <c r="D1231">
        <f>IF(B1231="","",HOUR(A1231))</f>
        <v/>
      </c>
    </row>
    <row r="1232">
      <c r="A1232">
        <f>Input!A1232</f>
        <v/>
      </c>
      <c r="B1232">
        <f>IF(ISNUMBER(Input!B1232),IF(AND(Input!B1232&gt;=20,Input!B1232&lt;=700),Input!B1232,""),"")</f>
        <v/>
      </c>
      <c r="C1232">
        <f>IF(B1232="","",INT(A1232))</f>
        <v/>
      </c>
      <c r="D1232">
        <f>IF(B1232="","",HOUR(A1232))</f>
        <v/>
      </c>
    </row>
    <row r="1233">
      <c r="A1233">
        <f>Input!A1233</f>
        <v/>
      </c>
      <c r="B1233">
        <f>IF(ISNUMBER(Input!B1233),IF(AND(Input!B1233&gt;=20,Input!B1233&lt;=700),Input!B1233,""),"")</f>
        <v/>
      </c>
      <c r="C1233">
        <f>IF(B1233="","",INT(A1233))</f>
        <v/>
      </c>
      <c r="D1233">
        <f>IF(B1233="","",HOUR(A1233))</f>
        <v/>
      </c>
    </row>
    <row r="1234">
      <c r="A1234">
        <f>Input!A1234</f>
        <v/>
      </c>
      <c r="B1234">
        <f>IF(ISNUMBER(Input!B1234),IF(AND(Input!B1234&gt;=20,Input!B1234&lt;=700),Input!B1234,""),"")</f>
        <v/>
      </c>
      <c r="C1234">
        <f>IF(B1234="","",INT(A1234))</f>
        <v/>
      </c>
      <c r="D1234">
        <f>IF(B1234="","",HOUR(A1234))</f>
        <v/>
      </c>
    </row>
    <row r="1235">
      <c r="A1235">
        <f>Input!A1235</f>
        <v/>
      </c>
      <c r="B1235">
        <f>IF(ISNUMBER(Input!B1235),IF(AND(Input!B1235&gt;=20,Input!B1235&lt;=700),Input!B1235,""),"")</f>
        <v/>
      </c>
      <c r="C1235">
        <f>IF(B1235="","",INT(A1235))</f>
        <v/>
      </c>
      <c r="D1235">
        <f>IF(B1235="","",HOUR(A1235))</f>
        <v/>
      </c>
    </row>
    <row r="1236">
      <c r="A1236">
        <f>Input!A1236</f>
        <v/>
      </c>
      <c r="B1236">
        <f>IF(ISNUMBER(Input!B1236),IF(AND(Input!B1236&gt;=20,Input!B1236&lt;=700),Input!B1236,""),"")</f>
        <v/>
      </c>
      <c r="C1236">
        <f>IF(B1236="","",INT(A1236))</f>
        <v/>
      </c>
      <c r="D1236">
        <f>IF(B1236="","",HOUR(A1236))</f>
        <v/>
      </c>
    </row>
    <row r="1237">
      <c r="A1237">
        <f>Input!A1237</f>
        <v/>
      </c>
      <c r="B1237">
        <f>IF(ISNUMBER(Input!B1237),IF(AND(Input!B1237&gt;=20,Input!B1237&lt;=700),Input!B1237,""),"")</f>
        <v/>
      </c>
      <c r="C1237">
        <f>IF(B1237="","",INT(A1237))</f>
        <v/>
      </c>
      <c r="D1237">
        <f>IF(B1237="","",HOUR(A1237))</f>
        <v/>
      </c>
    </row>
    <row r="1238">
      <c r="A1238">
        <f>Input!A1238</f>
        <v/>
      </c>
      <c r="B1238">
        <f>IF(ISNUMBER(Input!B1238),IF(AND(Input!B1238&gt;=20,Input!B1238&lt;=700),Input!B1238,""),"")</f>
        <v/>
      </c>
      <c r="C1238">
        <f>IF(B1238="","",INT(A1238))</f>
        <v/>
      </c>
      <c r="D1238">
        <f>IF(B1238="","",HOUR(A1238))</f>
        <v/>
      </c>
    </row>
    <row r="1239">
      <c r="A1239">
        <f>Input!A1239</f>
        <v/>
      </c>
      <c r="B1239">
        <f>IF(ISNUMBER(Input!B1239),IF(AND(Input!B1239&gt;=20,Input!B1239&lt;=700),Input!B1239,""),"")</f>
        <v/>
      </c>
      <c r="C1239">
        <f>IF(B1239="","",INT(A1239))</f>
        <v/>
      </c>
      <c r="D1239">
        <f>IF(B1239="","",HOUR(A1239))</f>
        <v/>
      </c>
    </row>
    <row r="1240">
      <c r="A1240">
        <f>Input!A1240</f>
        <v/>
      </c>
      <c r="B1240">
        <f>IF(ISNUMBER(Input!B1240),IF(AND(Input!B1240&gt;=20,Input!B1240&lt;=700),Input!B1240,""),"")</f>
        <v/>
      </c>
      <c r="C1240">
        <f>IF(B1240="","",INT(A1240))</f>
        <v/>
      </c>
      <c r="D1240">
        <f>IF(B1240="","",HOUR(A1240))</f>
        <v/>
      </c>
    </row>
    <row r="1241">
      <c r="A1241">
        <f>Input!A1241</f>
        <v/>
      </c>
      <c r="B1241">
        <f>IF(ISNUMBER(Input!B1241),IF(AND(Input!B1241&gt;=20,Input!B1241&lt;=700),Input!B1241,""),"")</f>
        <v/>
      </c>
      <c r="C1241">
        <f>IF(B1241="","",INT(A1241))</f>
        <v/>
      </c>
      <c r="D1241">
        <f>IF(B1241="","",HOUR(A1241))</f>
        <v/>
      </c>
    </row>
    <row r="1242">
      <c r="A1242">
        <f>Input!A1242</f>
        <v/>
      </c>
      <c r="B1242">
        <f>IF(ISNUMBER(Input!B1242),IF(AND(Input!B1242&gt;=20,Input!B1242&lt;=700),Input!B1242,""),"")</f>
        <v/>
      </c>
      <c r="C1242">
        <f>IF(B1242="","",INT(A1242))</f>
        <v/>
      </c>
      <c r="D1242">
        <f>IF(B1242="","",HOUR(A1242))</f>
        <v/>
      </c>
    </row>
    <row r="1243">
      <c r="A1243">
        <f>Input!A1243</f>
        <v/>
      </c>
      <c r="B1243">
        <f>IF(ISNUMBER(Input!B1243),IF(AND(Input!B1243&gt;=20,Input!B1243&lt;=700),Input!B1243,""),"")</f>
        <v/>
      </c>
      <c r="C1243">
        <f>IF(B1243="","",INT(A1243))</f>
        <v/>
      </c>
      <c r="D1243">
        <f>IF(B1243="","",HOUR(A1243))</f>
        <v/>
      </c>
    </row>
    <row r="1244">
      <c r="A1244">
        <f>Input!A1244</f>
        <v/>
      </c>
      <c r="B1244">
        <f>IF(ISNUMBER(Input!B1244),IF(AND(Input!B1244&gt;=20,Input!B1244&lt;=700),Input!B1244,""),"")</f>
        <v/>
      </c>
      <c r="C1244">
        <f>IF(B1244="","",INT(A1244))</f>
        <v/>
      </c>
      <c r="D1244">
        <f>IF(B1244="","",HOUR(A1244))</f>
        <v/>
      </c>
    </row>
    <row r="1245">
      <c r="A1245">
        <f>Input!A1245</f>
        <v/>
      </c>
      <c r="B1245">
        <f>IF(ISNUMBER(Input!B1245),IF(AND(Input!B1245&gt;=20,Input!B1245&lt;=700),Input!B1245,""),"")</f>
        <v/>
      </c>
      <c r="C1245">
        <f>IF(B1245="","",INT(A1245))</f>
        <v/>
      </c>
      <c r="D1245">
        <f>IF(B1245="","",HOUR(A1245))</f>
        <v/>
      </c>
    </row>
    <row r="1246">
      <c r="A1246">
        <f>Input!A1246</f>
        <v/>
      </c>
      <c r="B1246">
        <f>IF(ISNUMBER(Input!B1246),IF(AND(Input!B1246&gt;=20,Input!B1246&lt;=700),Input!B1246,""),"")</f>
        <v/>
      </c>
      <c r="C1246">
        <f>IF(B1246="","",INT(A1246))</f>
        <v/>
      </c>
      <c r="D1246">
        <f>IF(B1246="","",HOUR(A1246))</f>
        <v/>
      </c>
    </row>
    <row r="1247">
      <c r="A1247">
        <f>Input!A1247</f>
        <v/>
      </c>
      <c r="B1247">
        <f>IF(ISNUMBER(Input!B1247),IF(AND(Input!B1247&gt;=20,Input!B1247&lt;=700),Input!B1247,""),"")</f>
        <v/>
      </c>
      <c r="C1247">
        <f>IF(B1247="","",INT(A1247))</f>
        <v/>
      </c>
      <c r="D1247">
        <f>IF(B1247="","",HOUR(A1247))</f>
        <v/>
      </c>
    </row>
    <row r="1248">
      <c r="A1248">
        <f>Input!A1248</f>
        <v/>
      </c>
      <c r="B1248">
        <f>IF(ISNUMBER(Input!B1248),IF(AND(Input!B1248&gt;=20,Input!B1248&lt;=700),Input!B1248,""),"")</f>
        <v/>
      </c>
      <c r="C1248">
        <f>IF(B1248="","",INT(A1248))</f>
        <v/>
      </c>
      <c r="D1248">
        <f>IF(B1248="","",HOUR(A1248))</f>
        <v/>
      </c>
    </row>
    <row r="1249">
      <c r="A1249">
        <f>Input!A1249</f>
        <v/>
      </c>
      <c r="B1249">
        <f>IF(ISNUMBER(Input!B1249),IF(AND(Input!B1249&gt;=20,Input!B1249&lt;=700),Input!B1249,""),"")</f>
        <v/>
      </c>
      <c r="C1249">
        <f>IF(B1249="","",INT(A1249))</f>
        <v/>
      </c>
      <c r="D1249">
        <f>IF(B1249="","",HOUR(A1249))</f>
        <v/>
      </c>
    </row>
    <row r="1250">
      <c r="A1250">
        <f>Input!A1250</f>
        <v/>
      </c>
      <c r="B1250">
        <f>IF(ISNUMBER(Input!B1250),IF(AND(Input!B1250&gt;=20,Input!B1250&lt;=700),Input!B1250,""),"")</f>
        <v/>
      </c>
      <c r="C1250">
        <f>IF(B1250="","",INT(A1250))</f>
        <v/>
      </c>
      <c r="D1250">
        <f>IF(B1250="","",HOUR(A1250))</f>
        <v/>
      </c>
    </row>
    <row r="1251">
      <c r="A1251">
        <f>Input!A1251</f>
        <v/>
      </c>
      <c r="B1251">
        <f>IF(ISNUMBER(Input!B1251),IF(AND(Input!B1251&gt;=20,Input!B1251&lt;=700),Input!B1251,""),"")</f>
        <v/>
      </c>
      <c r="C1251">
        <f>IF(B1251="","",INT(A1251))</f>
        <v/>
      </c>
      <c r="D1251">
        <f>IF(B1251="","",HOUR(A1251))</f>
        <v/>
      </c>
    </row>
    <row r="1252">
      <c r="A1252">
        <f>Input!A1252</f>
        <v/>
      </c>
      <c r="B1252">
        <f>IF(ISNUMBER(Input!B1252),IF(AND(Input!B1252&gt;=20,Input!B1252&lt;=700),Input!B1252,""),"")</f>
        <v/>
      </c>
      <c r="C1252">
        <f>IF(B1252="","",INT(A1252))</f>
        <v/>
      </c>
      <c r="D1252">
        <f>IF(B1252="","",HOUR(A1252))</f>
        <v/>
      </c>
    </row>
    <row r="1253">
      <c r="A1253">
        <f>Input!A1253</f>
        <v/>
      </c>
      <c r="B1253">
        <f>IF(ISNUMBER(Input!B1253),IF(AND(Input!B1253&gt;=20,Input!B1253&lt;=700),Input!B1253,""),"")</f>
        <v/>
      </c>
      <c r="C1253">
        <f>IF(B1253="","",INT(A1253))</f>
        <v/>
      </c>
      <c r="D1253">
        <f>IF(B1253="","",HOUR(A1253))</f>
        <v/>
      </c>
    </row>
    <row r="1254">
      <c r="A1254">
        <f>Input!A1254</f>
        <v/>
      </c>
      <c r="B1254">
        <f>IF(ISNUMBER(Input!B1254),IF(AND(Input!B1254&gt;=20,Input!B1254&lt;=700),Input!B1254,""),"")</f>
        <v/>
      </c>
      <c r="C1254">
        <f>IF(B1254="","",INT(A1254))</f>
        <v/>
      </c>
      <c r="D1254">
        <f>IF(B1254="","",HOUR(A1254))</f>
        <v/>
      </c>
    </row>
    <row r="1255">
      <c r="A1255">
        <f>Input!A1255</f>
        <v/>
      </c>
      <c r="B1255">
        <f>IF(ISNUMBER(Input!B1255),IF(AND(Input!B1255&gt;=20,Input!B1255&lt;=700),Input!B1255,""),"")</f>
        <v/>
      </c>
      <c r="C1255">
        <f>IF(B1255="","",INT(A1255))</f>
        <v/>
      </c>
      <c r="D1255">
        <f>IF(B1255="","",HOUR(A1255))</f>
        <v/>
      </c>
    </row>
    <row r="1256">
      <c r="A1256">
        <f>Input!A1256</f>
        <v/>
      </c>
      <c r="B1256">
        <f>IF(ISNUMBER(Input!B1256),IF(AND(Input!B1256&gt;=20,Input!B1256&lt;=700),Input!B1256,""),"")</f>
        <v/>
      </c>
      <c r="C1256">
        <f>IF(B1256="","",INT(A1256))</f>
        <v/>
      </c>
      <c r="D1256">
        <f>IF(B1256="","",HOUR(A1256))</f>
        <v/>
      </c>
    </row>
    <row r="1257">
      <c r="A1257">
        <f>Input!A1257</f>
        <v/>
      </c>
      <c r="B1257">
        <f>IF(ISNUMBER(Input!B1257),IF(AND(Input!B1257&gt;=20,Input!B1257&lt;=700),Input!B1257,""),"")</f>
        <v/>
      </c>
      <c r="C1257">
        <f>IF(B1257="","",INT(A1257))</f>
        <v/>
      </c>
      <c r="D1257">
        <f>IF(B1257="","",HOUR(A1257))</f>
        <v/>
      </c>
    </row>
    <row r="1258">
      <c r="A1258">
        <f>Input!A1258</f>
        <v/>
      </c>
      <c r="B1258">
        <f>IF(ISNUMBER(Input!B1258),IF(AND(Input!B1258&gt;=20,Input!B1258&lt;=700),Input!B1258,""),"")</f>
        <v/>
      </c>
      <c r="C1258">
        <f>IF(B1258="","",INT(A1258))</f>
        <v/>
      </c>
      <c r="D1258">
        <f>IF(B1258="","",HOUR(A1258))</f>
        <v/>
      </c>
    </row>
    <row r="1259">
      <c r="A1259">
        <f>Input!A1259</f>
        <v/>
      </c>
      <c r="B1259">
        <f>IF(ISNUMBER(Input!B1259),IF(AND(Input!B1259&gt;=20,Input!B1259&lt;=700),Input!B1259,""),"")</f>
        <v/>
      </c>
      <c r="C1259">
        <f>IF(B1259="","",INT(A1259))</f>
        <v/>
      </c>
      <c r="D1259">
        <f>IF(B1259="","",HOUR(A1259))</f>
        <v/>
      </c>
    </row>
    <row r="1260">
      <c r="A1260">
        <f>Input!A1260</f>
        <v/>
      </c>
      <c r="B1260">
        <f>IF(ISNUMBER(Input!B1260),IF(AND(Input!B1260&gt;=20,Input!B1260&lt;=700),Input!B1260,""),"")</f>
        <v/>
      </c>
      <c r="C1260">
        <f>IF(B1260="","",INT(A1260))</f>
        <v/>
      </c>
      <c r="D1260">
        <f>IF(B1260="","",HOUR(A1260))</f>
        <v/>
      </c>
    </row>
    <row r="1261">
      <c r="A1261">
        <f>Input!A1261</f>
        <v/>
      </c>
      <c r="B1261">
        <f>IF(ISNUMBER(Input!B1261),IF(AND(Input!B1261&gt;=20,Input!B1261&lt;=700),Input!B1261,""),"")</f>
        <v/>
      </c>
      <c r="C1261">
        <f>IF(B1261="","",INT(A1261))</f>
        <v/>
      </c>
      <c r="D1261">
        <f>IF(B1261="","",HOUR(A1261))</f>
        <v/>
      </c>
    </row>
    <row r="1262">
      <c r="A1262">
        <f>Input!A1262</f>
        <v/>
      </c>
      <c r="B1262">
        <f>IF(ISNUMBER(Input!B1262),IF(AND(Input!B1262&gt;=20,Input!B1262&lt;=700),Input!B1262,""),"")</f>
        <v/>
      </c>
      <c r="C1262">
        <f>IF(B1262="","",INT(A1262))</f>
        <v/>
      </c>
      <c r="D1262">
        <f>IF(B1262="","",HOUR(A1262))</f>
        <v/>
      </c>
    </row>
    <row r="1263">
      <c r="A1263">
        <f>Input!A1263</f>
        <v/>
      </c>
      <c r="B1263">
        <f>IF(ISNUMBER(Input!B1263),IF(AND(Input!B1263&gt;=20,Input!B1263&lt;=700),Input!B1263,""),"")</f>
        <v/>
      </c>
      <c r="C1263">
        <f>IF(B1263="","",INT(A1263))</f>
        <v/>
      </c>
      <c r="D1263">
        <f>IF(B1263="","",HOUR(A1263))</f>
        <v/>
      </c>
    </row>
    <row r="1264">
      <c r="A1264">
        <f>Input!A1264</f>
        <v/>
      </c>
      <c r="B1264">
        <f>IF(ISNUMBER(Input!B1264),IF(AND(Input!B1264&gt;=20,Input!B1264&lt;=700),Input!B1264,""),"")</f>
        <v/>
      </c>
      <c r="C1264">
        <f>IF(B1264="","",INT(A1264))</f>
        <v/>
      </c>
      <c r="D1264">
        <f>IF(B1264="","",HOUR(A1264))</f>
        <v/>
      </c>
    </row>
    <row r="1265">
      <c r="A1265">
        <f>Input!A1265</f>
        <v/>
      </c>
      <c r="B1265">
        <f>IF(ISNUMBER(Input!B1265),IF(AND(Input!B1265&gt;=20,Input!B1265&lt;=700),Input!B1265,""),"")</f>
        <v/>
      </c>
      <c r="C1265">
        <f>IF(B1265="","",INT(A1265))</f>
        <v/>
      </c>
      <c r="D1265">
        <f>IF(B1265="","",HOUR(A1265))</f>
        <v/>
      </c>
    </row>
    <row r="1266">
      <c r="A1266">
        <f>Input!A1266</f>
        <v/>
      </c>
      <c r="B1266">
        <f>IF(ISNUMBER(Input!B1266),IF(AND(Input!B1266&gt;=20,Input!B1266&lt;=700),Input!B1266,""),"")</f>
        <v/>
      </c>
      <c r="C1266">
        <f>IF(B1266="","",INT(A1266))</f>
        <v/>
      </c>
      <c r="D1266">
        <f>IF(B1266="","",HOUR(A1266))</f>
        <v/>
      </c>
    </row>
    <row r="1267">
      <c r="A1267">
        <f>Input!A1267</f>
        <v/>
      </c>
      <c r="B1267">
        <f>IF(ISNUMBER(Input!B1267),IF(AND(Input!B1267&gt;=20,Input!B1267&lt;=700),Input!B1267,""),"")</f>
        <v/>
      </c>
      <c r="C1267">
        <f>IF(B1267="","",INT(A1267))</f>
        <v/>
      </c>
      <c r="D1267">
        <f>IF(B1267="","",HOUR(A1267))</f>
        <v/>
      </c>
    </row>
    <row r="1268">
      <c r="A1268">
        <f>Input!A1268</f>
        <v/>
      </c>
      <c r="B1268">
        <f>IF(ISNUMBER(Input!B1268),IF(AND(Input!B1268&gt;=20,Input!B1268&lt;=700),Input!B1268,""),"")</f>
        <v/>
      </c>
      <c r="C1268">
        <f>IF(B1268="","",INT(A1268))</f>
        <v/>
      </c>
      <c r="D1268">
        <f>IF(B1268="","",HOUR(A1268))</f>
        <v/>
      </c>
    </row>
    <row r="1269">
      <c r="A1269">
        <f>Input!A1269</f>
        <v/>
      </c>
      <c r="B1269">
        <f>IF(ISNUMBER(Input!B1269),IF(AND(Input!B1269&gt;=20,Input!B1269&lt;=700),Input!B1269,""),"")</f>
        <v/>
      </c>
      <c r="C1269">
        <f>IF(B1269="","",INT(A1269))</f>
        <v/>
      </c>
      <c r="D1269">
        <f>IF(B1269="","",HOUR(A1269))</f>
        <v/>
      </c>
    </row>
    <row r="1270">
      <c r="A1270">
        <f>Input!A1270</f>
        <v/>
      </c>
      <c r="B1270">
        <f>IF(ISNUMBER(Input!B1270),IF(AND(Input!B1270&gt;=20,Input!B1270&lt;=700),Input!B1270,""),"")</f>
        <v/>
      </c>
      <c r="C1270">
        <f>IF(B1270="","",INT(A1270))</f>
        <v/>
      </c>
      <c r="D1270">
        <f>IF(B1270="","",HOUR(A1270))</f>
        <v/>
      </c>
    </row>
    <row r="1271">
      <c r="A1271">
        <f>Input!A1271</f>
        <v/>
      </c>
      <c r="B1271">
        <f>IF(ISNUMBER(Input!B1271),IF(AND(Input!B1271&gt;=20,Input!B1271&lt;=700),Input!B1271,""),"")</f>
        <v/>
      </c>
      <c r="C1271">
        <f>IF(B1271="","",INT(A1271))</f>
        <v/>
      </c>
      <c r="D1271">
        <f>IF(B1271="","",HOUR(A1271))</f>
        <v/>
      </c>
    </row>
    <row r="1272">
      <c r="A1272">
        <f>Input!A1272</f>
        <v/>
      </c>
      <c r="B1272">
        <f>IF(ISNUMBER(Input!B1272),IF(AND(Input!B1272&gt;=20,Input!B1272&lt;=700),Input!B1272,""),"")</f>
        <v/>
      </c>
      <c r="C1272">
        <f>IF(B1272="","",INT(A1272))</f>
        <v/>
      </c>
      <c r="D1272">
        <f>IF(B1272="","",HOUR(A1272))</f>
        <v/>
      </c>
    </row>
    <row r="1273">
      <c r="A1273">
        <f>Input!A1273</f>
        <v/>
      </c>
      <c r="B1273">
        <f>IF(ISNUMBER(Input!B1273),IF(AND(Input!B1273&gt;=20,Input!B1273&lt;=700),Input!B1273,""),"")</f>
        <v/>
      </c>
      <c r="C1273">
        <f>IF(B1273="","",INT(A1273))</f>
        <v/>
      </c>
      <c r="D1273">
        <f>IF(B1273="","",HOUR(A1273))</f>
        <v/>
      </c>
    </row>
    <row r="1274">
      <c r="A1274">
        <f>Input!A1274</f>
        <v/>
      </c>
      <c r="B1274">
        <f>IF(ISNUMBER(Input!B1274),IF(AND(Input!B1274&gt;=20,Input!B1274&lt;=700),Input!B1274,""),"")</f>
        <v/>
      </c>
      <c r="C1274">
        <f>IF(B1274="","",INT(A1274))</f>
        <v/>
      </c>
      <c r="D1274">
        <f>IF(B1274="","",HOUR(A1274))</f>
        <v/>
      </c>
    </row>
    <row r="1275">
      <c r="A1275">
        <f>Input!A1275</f>
        <v/>
      </c>
      <c r="B1275">
        <f>IF(ISNUMBER(Input!B1275),IF(AND(Input!B1275&gt;=20,Input!B1275&lt;=700),Input!B1275,""),"")</f>
        <v/>
      </c>
      <c r="C1275">
        <f>IF(B1275="","",INT(A1275))</f>
        <v/>
      </c>
      <c r="D1275">
        <f>IF(B1275="","",HOUR(A1275))</f>
        <v/>
      </c>
    </row>
    <row r="1276">
      <c r="A1276">
        <f>Input!A1276</f>
        <v/>
      </c>
      <c r="B1276">
        <f>IF(ISNUMBER(Input!B1276),IF(AND(Input!B1276&gt;=20,Input!B1276&lt;=700),Input!B1276,""),"")</f>
        <v/>
      </c>
      <c r="C1276">
        <f>IF(B1276="","",INT(A1276))</f>
        <v/>
      </c>
      <c r="D1276">
        <f>IF(B1276="","",HOUR(A1276))</f>
        <v/>
      </c>
    </row>
    <row r="1277">
      <c r="A1277">
        <f>Input!A1277</f>
        <v/>
      </c>
      <c r="B1277">
        <f>IF(ISNUMBER(Input!B1277),IF(AND(Input!B1277&gt;=20,Input!B1277&lt;=700),Input!B1277,""),"")</f>
        <v/>
      </c>
      <c r="C1277">
        <f>IF(B1277="","",INT(A1277))</f>
        <v/>
      </c>
      <c r="D1277">
        <f>IF(B1277="","",HOUR(A1277))</f>
        <v/>
      </c>
    </row>
    <row r="1278">
      <c r="A1278">
        <f>Input!A1278</f>
        <v/>
      </c>
      <c r="B1278">
        <f>IF(ISNUMBER(Input!B1278),IF(AND(Input!B1278&gt;=20,Input!B1278&lt;=700),Input!B1278,""),"")</f>
        <v/>
      </c>
      <c r="C1278">
        <f>IF(B1278="","",INT(A1278))</f>
        <v/>
      </c>
      <c r="D1278">
        <f>IF(B1278="","",HOUR(A1278))</f>
        <v/>
      </c>
    </row>
    <row r="1279">
      <c r="A1279">
        <f>Input!A1279</f>
        <v/>
      </c>
      <c r="B1279">
        <f>IF(ISNUMBER(Input!B1279),IF(AND(Input!B1279&gt;=20,Input!B1279&lt;=700),Input!B1279,""),"")</f>
        <v/>
      </c>
      <c r="C1279">
        <f>IF(B1279="","",INT(A1279))</f>
        <v/>
      </c>
      <c r="D1279">
        <f>IF(B1279="","",HOUR(A1279))</f>
        <v/>
      </c>
    </row>
    <row r="1280">
      <c r="A1280">
        <f>Input!A1280</f>
        <v/>
      </c>
      <c r="B1280">
        <f>IF(ISNUMBER(Input!B1280),IF(AND(Input!B1280&gt;=20,Input!B1280&lt;=700),Input!B1280,""),"")</f>
        <v/>
      </c>
      <c r="C1280">
        <f>IF(B1280="","",INT(A1280))</f>
        <v/>
      </c>
      <c r="D1280">
        <f>IF(B1280="","",HOUR(A1280))</f>
        <v/>
      </c>
    </row>
    <row r="1281">
      <c r="A1281">
        <f>Input!A1281</f>
        <v/>
      </c>
      <c r="B1281">
        <f>IF(ISNUMBER(Input!B1281),IF(AND(Input!B1281&gt;=20,Input!B1281&lt;=700),Input!B1281,""),"")</f>
        <v/>
      </c>
      <c r="C1281">
        <f>IF(B1281="","",INT(A1281))</f>
        <v/>
      </c>
      <c r="D1281">
        <f>IF(B1281="","",HOUR(A1281))</f>
        <v/>
      </c>
    </row>
    <row r="1282">
      <c r="A1282">
        <f>Input!A1282</f>
        <v/>
      </c>
      <c r="B1282">
        <f>IF(ISNUMBER(Input!B1282),IF(AND(Input!B1282&gt;=20,Input!B1282&lt;=700),Input!B1282,""),"")</f>
        <v/>
      </c>
      <c r="C1282">
        <f>IF(B1282="","",INT(A1282))</f>
        <v/>
      </c>
      <c r="D1282">
        <f>IF(B1282="","",HOUR(A1282))</f>
        <v/>
      </c>
    </row>
    <row r="1283">
      <c r="A1283">
        <f>Input!A1283</f>
        <v/>
      </c>
      <c r="B1283">
        <f>IF(ISNUMBER(Input!B1283),IF(AND(Input!B1283&gt;=20,Input!B1283&lt;=700),Input!B1283,""),"")</f>
        <v/>
      </c>
      <c r="C1283">
        <f>IF(B1283="","",INT(A1283))</f>
        <v/>
      </c>
      <c r="D1283">
        <f>IF(B1283="","",HOUR(A1283))</f>
        <v/>
      </c>
    </row>
    <row r="1284">
      <c r="A1284">
        <f>Input!A1284</f>
        <v/>
      </c>
      <c r="B1284">
        <f>IF(ISNUMBER(Input!B1284),IF(AND(Input!B1284&gt;=20,Input!B1284&lt;=700),Input!B1284,""),"")</f>
        <v/>
      </c>
      <c r="C1284">
        <f>IF(B1284="","",INT(A1284))</f>
        <v/>
      </c>
      <c r="D1284">
        <f>IF(B1284="","",HOUR(A1284))</f>
        <v/>
      </c>
    </row>
    <row r="1285">
      <c r="A1285">
        <f>Input!A1285</f>
        <v/>
      </c>
      <c r="B1285">
        <f>IF(ISNUMBER(Input!B1285),IF(AND(Input!B1285&gt;=20,Input!B1285&lt;=700),Input!B1285,""),"")</f>
        <v/>
      </c>
      <c r="C1285">
        <f>IF(B1285="","",INT(A1285))</f>
        <v/>
      </c>
      <c r="D1285">
        <f>IF(B1285="","",HOUR(A1285))</f>
        <v/>
      </c>
    </row>
    <row r="1286">
      <c r="A1286">
        <f>Input!A1286</f>
        <v/>
      </c>
      <c r="B1286">
        <f>IF(ISNUMBER(Input!B1286),IF(AND(Input!B1286&gt;=20,Input!B1286&lt;=700),Input!B1286,""),"")</f>
        <v/>
      </c>
      <c r="C1286">
        <f>IF(B1286="","",INT(A1286))</f>
        <v/>
      </c>
      <c r="D1286">
        <f>IF(B1286="","",HOUR(A1286))</f>
        <v/>
      </c>
    </row>
    <row r="1287">
      <c r="A1287">
        <f>Input!A1287</f>
        <v/>
      </c>
      <c r="B1287">
        <f>IF(ISNUMBER(Input!B1287),IF(AND(Input!B1287&gt;=20,Input!B1287&lt;=700),Input!B1287,""),"")</f>
        <v/>
      </c>
      <c r="C1287">
        <f>IF(B1287="","",INT(A1287))</f>
        <v/>
      </c>
      <c r="D1287">
        <f>IF(B1287="","",HOUR(A1287))</f>
        <v/>
      </c>
    </row>
    <row r="1288">
      <c r="A1288">
        <f>Input!A1288</f>
        <v/>
      </c>
      <c r="B1288">
        <f>IF(ISNUMBER(Input!B1288),IF(AND(Input!B1288&gt;=20,Input!B1288&lt;=700),Input!B1288,""),"")</f>
        <v/>
      </c>
      <c r="C1288">
        <f>IF(B1288="","",INT(A1288))</f>
        <v/>
      </c>
      <c r="D1288">
        <f>IF(B1288="","",HOUR(A1288))</f>
        <v/>
      </c>
    </row>
    <row r="1289">
      <c r="A1289">
        <f>Input!A1289</f>
        <v/>
      </c>
      <c r="B1289">
        <f>IF(ISNUMBER(Input!B1289),IF(AND(Input!B1289&gt;=20,Input!B1289&lt;=700),Input!B1289,""),"")</f>
        <v/>
      </c>
      <c r="C1289">
        <f>IF(B1289="","",INT(A1289))</f>
        <v/>
      </c>
      <c r="D1289">
        <f>IF(B1289="","",HOUR(A1289))</f>
        <v/>
      </c>
    </row>
    <row r="1290">
      <c r="A1290">
        <f>Input!A1290</f>
        <v/>
      </c>
      <c r="B1290">
        <f>IF(ISNUMBER(Input!B1290),IF(AND(Input!B1290&gt;=20,Input!B1290&lt;=700),Input!B1290,""),"")</f>
        <v/>
      </c>
      <c r="C1290">
        <f>IF(B1290="","",INT(A1290))</f>
        <v/>
      </c>
      <c r="D1290">
        <f>IF(B1290="","",HOUR(A1290))</f>
        <v/>
      </c>
    </row>
    <row r="1291">
      <c r="A1291">
        <f>Input!A1291</f>
        <v/>
      </c>
      <c r="B1291">
        <f>IF(ISNUMBER(Input!B1291),IF(AND(Input!B1291&gt;=20,Input!B1291&lt;=700),Input!B1291,""),"")</f>
        <v/>
      </c>
      <c r="C1291">
        <f>IF(B1291="","",INT(A1291))</f>
        <v/>
      </c>
      <c r="D1291">
        <f>IF(B1291="","",HOUR(A1291))</f>
        <v/>
      </c>
    </row>
    <row r="1292">
      <c r="A1292">
        <f>Input!A1292</f>
        <v/>
      </c>
      <c r="B1292">
        <f>IF(ISNUMBER(Input!B1292),IF(AND(Input!B1292&gt;=20,Input!B1292&lt;=700),Input!B1292,""),"")</f>
        <v/>
      </c>
      <c r="C1292">
        <f>IF(B1292="","",INT(A1292))</f>
        <v/>
      </c>
      <c r="D1292">
        <f>IF(B1292="","",HOUR(A1292))</f>
        <v/>
      </c>
    </row>
    <row r="1293">
      <c r="A1293">
        <f>Input!A1293</f>
        <v/>
      </c>
      <c r="B1293">
        <f>IF(ISNUMBER(Input!B1293),IF(AND(Input!B1293&gt;=20,Input!B1293&lt;=700),Input!B1293,""),"")</f>
        <v/>
      </c>
      <c r="C1293">
        <f>IF(B1293="","",INT(A1293))</f>
        <v/>
      </c>
      <c r="D1293">
        <f>IF(B1293="","",HOUR(A1293))</f>
        <v/>
      </c>
    </row>
    <row r="1294">
      <c r="A1294">
        <f>Input!A1294</f>
        <v/>
      </c>
      <c r="B1294">
        <f>IF(ISNUMBER(Input!B1294),IF(AND(Input!B1294&gt;=20,Input!B1294&lt;=700),Input!B1294,""),"")</f>
        <v/>
      </c>
      <c r="C1294">
        <f>IF(B1294="","",INT(A1294))</f>
        <v/>
      </c>
      <c r="D1294">
        <f>IF(B1294="","",HOUR(A1294))</f>
        <v/>
      </c>
    </row>
    <row r="1295">
      <c r="A1295">
        <f>Input!A1295</f>
        <v/>
      </c>
      <c r="B1295">
        <f>IF(ISNUMBER(Input!B1295),IF(AND(Input!B1295&gt;=20,Input!B1295&lt;=700),Input!B1295,""),"")</f>
        <v/>
      </c>
      <c r="C1295">
        <f>IF(B1295="","",INT(A1295))</f>
        <v/>
      </c>
      <c r="D1295">
        <f>IF(B1295="","",HOUR(A1295))</f>
        <v/>
      </c>
    </row>
    <row r="1296">
      <c r="A1296">
        <f>Input!A1296</f>
        <v/>
      </c>
      <c r="B1296">
        <f>IF(ISNUMBER(Input!B1296),IF(AND(Input!B1296&gt;=20,Input!B1296&lt;=700),Input!B1296,""),"")</f>
        <v/>
      </c>
      <c r="C1296">
        <f>IF(B1296="","",INT(A1296))</f>
        <v/>
      </c>
      <c r="D1296">
        <f>IF(B1296="","",HOUR(A1296))</f>
        <v/>
      </c>
    </row>
    <row r="1297">
      <c r="A1297">
        <f>Input!A1297</f>
        <v/>
      </c>
      <c r="B1297">
        <f>IF(ISNUMBER(Input!B1297),IF(AND(Input!B1297&gt;=20,Input!B1297&lt;=700),Input!B1297,""),"")</f>
        <v/>
      </c>
      <c r="C1297">
        <f>IF(B1297="","",INT(A1297))</f>
        <v/>
      </c>
      <c r="D1297">
        <f>IF(B1297="","",HOUR(A1297))</f>
        <v/>
      </c>
    </row>
    <row r="1298">
      <c r="A1298">
        <f>Input!A1298</f>
        <v/>
      </c>
      <c r="B1298">
        <f>IF(ISNUMBER(Input!B1298),IF(AND(Input!B1298&gt;=20,Input!B1298&lt;=700),Input!B1298,""),"")</f>
        <v/>
      </c>
      <c r="C1298">
        <f>IF(B1298="","",INT(A1298))</f>
        <v/>
      </c>
      <c r="D1298">
        <f>IF(B1298="","",HOUR(A1298))</f>
        <v/>
      </c>
    </row>
    <row r="1299">
      <c r="A1299">
        <f>Input!A1299</f>
        <v/>
      </c>
      <c r="B1299">
        <f>IF(ISNUMBER(Input!B1299),IF(AND(Input!B1299&gt;=20,Input!B1299&lt;=700),Input!B1299,""),"")</f>
        <v/>
      </c>
      <c r="C1299">
        <f>IF(B1299="","",INT(A1299))</f>
        <v/>
      </c>
      <c r="D1299">
        <f>IF(B1299="","",HOUR(A1299))</f>
        <v/>
      </c>
    </row>
    <row r="1300">
      <c r="A1300">
        <f>Input!A1300</f>
        <v/>
      </c>
      <c r="B1300">
        <f>IF(ISNUMBER(Input!B1300),IF(AND(Input!B1300&gt;=20,Input!B1300&lt;=700),Input!B1300,""),"")</f>
        <v/>
      </c>
      <c r="C1300">
        <f>IF(B1300="","",INT(A1300))</f>
        <v/>
      </c>
      <c r="D1300">
        <f>IF(B1300="","",HOUR(A1300))</f>
        <v/>
      </c>
    </row>
    <row r="1301">
      <c r="A1301">
        <f>Input!A1301</f>
        <v/>
      </c>
      <c r="B1301">
        <f>IF(ISNUMBER(Input!B1301),IF(AND(Input!B1301&gt;=20,Input!B1301&lt;=700),Input!B1301,""),"")</f>
        <v/>
      </c>
      <c r="C1301">
        <f>IF(B1301="","",INT(A1301))</f>
        <v/>
      </c>
      <c r="D1301">
        <f>IF(B1301="","",HOUR(A1301))</f>
        <v/>
      </c>
    </row>
    <row r="1302">
      <c r="A1302">
        <f>Input!A1302</f>
        <v/>
      </c>
      <c r="B1302">
        <f>IF(ISNUMBER(Input!B1302),IF(AND(Input!B1302&gt;=20,Input!B1302&lt;=700),Input!B1302,""),"")</f>
        <v/>
      </c>
      <c r="C1302">
        <f>IF(B1302="","",INT(A1302))</f>
        <v/>
      </c>
      <c r="D1302">
        <f>IF(B1302="","",HOUR(A1302))</f>
        <v/>
      </c>
    </row>
    <row r="1303">
      <c r="A1303">
        <f>Input!A1303</f>
        <v/>
      </c>
      <c r="B1303">
        <f>IF(ISNUMBER(Input!B1303),IF(AND(Input!B1303&gt;=20,Input!B1303&lt;=700),Input!B1303,""),"")</f>
        <v/>
      </c>
      <c r="C1303">
        <f>IF(B1303="","",INT(A1303))</f>
        <v/>
      </c>
      <c r="D1303">
        <f>IF(B1303="","",HOUR(A1303))</f>
        <v/>
      </c>
    </row>
    <row r="1304">
      <c r="A1304">
        <f>Input!A1304</f>
        <v/>
      </c>
      <c r="B1304">
        <f>IF(ISNUMBER(Input!B1304),IF(AND(Input!B1304&gt;=20,Input!B1304&lt;=700),Input!B1304,""),"")</f>
        <v/>
      </c>
      <c r="C1304">
        <f>IF(B1304="","",INT(A1304))</f>
        <v/>
      </c>
      <c r="D1304">
        <f>IF(B1304="","",HOUR(A1304))</f>
        <v/>
      </c>
    </row>
    <row r="1305">
      <c r="A1305">
        <f>Input!A1305</f>
        <v/>
      </c>
      <c r="B1305">
        <f>IF(ISNUMBER(Input!B1305),IF(AND(Input!B1305&gt;=20,Input!B1305&lt;=700),Input!B1305,""),"")</f>
        <v/>
      </c>
      <c r="C1305">
        <f>IF(B1305="","",INT(A1305))</f>
        <v/>
      </c>
      <c r="D1305">
        <f>IF(B1305="","",HOUR(A1305))</f>
        <v/>
      </c>
    </row>
    <row r="1306">
      <c r="A1306">
        <f>Input!A1306</f>
        <v/>
      </c>
      <c r="B1306">
        <f>IF(ISNUMBER(Input!B1306),IF(AND(Input!B1306&gt;=20,Input!B1306&lt;=700),Input!B1306,""),"")</f>
        <v/>
      </c>
      <c r="C1306">
        <f>IF(B1306="","",INT(A1306))</f>
        <v/>
      </c>
      <c r="D1306">
        <f>IF(B1306="","",HOUR(A1306))</f>
        <v/>
      </c>
    </row>
    <row r="1307">
      <c r="A1307">
        <f>Input!A1307</f>
        <v/>
      </c>
      <c r="B1307">
        <f>IF(ISNUMBER(Input!B1307),IF(AND(Input!B1307&gt;=20,Input!B1307&lt;=700),Input!B1307,""),"")</f>
        <v/>
      </c>
      <c r="C1307">
        <f>IF(B1307="","",INT(A1307))</f>
        <v/>
      </c>
      <c r="D1307">
        <f>IF(B1307="","",HOUR(A1307))</f>
        <v/>
      </c>
    </row>
    <row r="1308">
      <c r="A1308">
        <f>Input!A1308</f>
        <v/>
      </c>
      <c r="B1308">
        <f>IF(ISNUMBER(Input!B1308),IF(AND(Input!B1308&gt;=20,Input!B1308&lt;=700),Input!B1308,""),"")</f>
        <v/>
      </c>
      <c r="C1308">
        <f>IF(B1308="","",INT(A1308))</f>
        <v/>
      </c>
      <c r="D1308">
        <f>IF(B1308="","",HOUR(A1308))</f>
        <v/>
      </c>
    </row>
    <row r="1309">
      <c r="A1309">
        <f>Input!A1309</f>
        <v/>
      </c>
      <c r="B1309">
        <f>IF(ISNUMBER(Input!B1309),IF(AND(Input!B1309&gt;=20,Input!B1309&lt;=700),Input!B1309,""),"")</f>
        <v/>
      </c>
      <c r="C1309">
        <f>IF(B1309="","",INT(A1309))</f>
        <v/>
      </c>
      <c r="D1309">
        <f>IF(B1309="","",HOUR(A1309))</f>
        <v/>
      </c>
    </row>
    <row r="1310">
      <c r="A1310">
        <f>Input!A1310</f>
        <v/>
      </c>
      <c r="B1310">
        <f>IF(ISNUMBER(Input!B1310),IF(AND(Input!B1310&gt;=20,Input!B1310&lt;=700),Input!B1310,""),"")</f>
        <v/>
      </c>
      <c r="C1310">
        <f>IF(B1310="","",INT(A1310))</f>
        <v/>
      </c>
      <c r="D1310">
        <f>IF(B1310="","",HOUR(A1310))</f>
        <v/>
      </c>
    </row>
    <row r="1311">
      <c r="A1311">
        <f>Input!A1311</f>
        <v/>
      </c>
      <c r="B1311">
        <f>IF(ISNUMBER(Input!B1311),IF(AND(Input!B1311&gt;=20,Input!B1311&lt;=700),Input!B1311,""),"")</f>
        <v/>
      </c>
      <c r="C1311">
        <f>IF(B1311="","",INT(A1311))</f>
        <v/>
      </c>
      <c r="D1311">
        <f>IF(B1311="","",HOUR(A1311))</f>
        <v/>
      </c>
    </row>
    <row r="1312">
      <c r="A1312">
        <f>Input!A1312</f>
        <v/>
      </c>
      <c r="B1312">
        <f>IF(ISNUMBER(Input!B1312),IF(AND(Input!B1312&gt;=20,Input!B1312&lt;=700),Input!B1312,""),"")</f>
        <v/>
      </c>
      <c r="C1312">
        <f>IF(B1312="","",INT(A1312))</f>
        <v/>
      </c>
      <c r="D1312">
        <f>IF(B1312="","",HOUR(A1312))</f>
        <v/>
      </c>
    </row>
    <row r="1313">
      <c r="A1313">
        <f>Input!A1313</f>
        <v/>
      </c>
      <c r="B1313">
        <f>IF(ISNUMBER(Input!B1313),IF(AND(Input!B1313&gt;=20,Input!B1313&lt;=700),Input!B1313,""),"")</f>
        <v/>
      </c>
      <c r="C1313">
        <f>IF(B1313="","",INT(A1313))</f>
        <v/>
      </c>
      <c r="D1313">
        <f>IF(B1313="","",HOUR(A1313))</f>
        <v/>
      </c>
    </row>
    <row r="1314">
      <c r="A1314">
        <f>Input!A1314</f>
        <v/>
      </c>
      <c r="B1314">
        <f>IF(ISNUMBER(Input!B1314),IF(AND(Input!B1314&gt;=20,Input!B1314&lt;=700),Input!B1314,""),"")</f>
        <v/>
      </c>
      <c r="C1314">
        <f>IF(B1314="","",INT(A1314))</f>
        <v/>
      </c>
      <c r="D1314">
        <f>IF(B1314="","",HOUR(A1314))</f>
        <v/>
      </c>
    </row>
    <row r="1315">
      <c r="A1315">
        <f>Input!A1315</f>
        <v/>
      </c>
      <c r="B1315">
        <f>IF(ISNUMBER(Input!B1315),IF(AND(Input!B1315&gt;=20,Input!B1315&lt;=700),Input!B1315,""),"")</f>
        <v/>
      </c>
      <c r="C1315">
        <f>IF(B1315="","",INT(A1315))</f>
        <v/>
      </c>
      <c r="D1315">
        <f>IF(B1315="","",HOUR(A1315))</f>
        <v/>
      </c>
    </row>
    <row r="1316">
      <c r="A1316">
        <f>Input!A1316</f>
        <v/>
      </c>
      <c r="B1316">
        <f>IF(ISNUMBER(Input!B1316),IF(AND(Input!B1316&gt;=20,Input!B1316&lt;=700),Input!B1316,""),"")</f>
        <v/>
      </c>
      <c r="C1316">
        <f>IF(B1316="","",INT(A1316))</f>
        <v/>
      </c>
      <c r="D1316">
        <f>IF(B1316="","",HOUR(A1316))</f>
        <v/>
      </c>
    </row>
    <row r="1317">
      <c r="A1317">
        <f>Input!A1317</f>
        <v/>
      </c>
      <c r="B1317">
        <f>IF(ISNUMBER(Input!B1317),IF(AND(Input!B1317&gt;=20,Input!B1317&lt;=700),Input!B1317,""),"")</f>
        <v/>
      </c>
      <c r="C1317">
        <f>IF(B1317="","",INT(A1317))</f>
        <v/>
      </c>
      <c r="D1317">
        <f>IF(B1317="","",HOUR(A1317))</f>
        <v/>
      </c>
    </row>
    <row r="1318">
      <c r="A1318">
        <f>Input!A1318</f>
        <v/>
      </c>
      <c r="B1318">
        <f>IF(ISNUMBER(Input!B1318),IF(AND(Input!B1318&gt;=20,Input!B1318&lt;=700),Input!B1318,""),"")</f>
        <v/>
      </c>
      <c r="C1318">
        <f>IF(B1318="","",INT(A1318))</f>
        <v/>
      </c>
      <c r="D1318">
        <f>IF(B1318="","",HOUR(A1318))</f>
        <v/>
      </c>
    </row>
    <row r="1319">
      <c r="A1319">
        <f>Input!A1319</f>
        <v/>
      </c>
      <c r="B1319">
        <f>IF(ISNUMBER(Input!B1319),IF(AND(Input!B1319&gt;=20,Input!B1319&lt;=700),Input!B1319,""),"")</f>
        <v/>
      </c>
      <c r="C1319">
        <f>IF(B1319="","",INT(A1319))</f>
        <v/>
      </c>
      <c r="D1319">
        <f>IF(B1319="","",HOUR(A1319))</f>
        <v/>
      </c>
    </row>
    <row r="1320">
      <c r="A1320">
        <f>Input!A1320</f>
        <v/>
      </c>
      <c r="B1320">
        <f>IF(ISNUMBER(Input!B1320),IF(AND(Input!B1320&gt;=20,Input!B1320&lt;=700),Input!B1320,""),"")</f>
        <v/>
      </c>
      <c r="C1320">
        <f>IF(B1320="","",INT(A1320))</f>
        <v/>
      </c>
      <c r="D1320">
        <f>IF(B1320="","",HOUR(A1320))</f>
        <v/>
      </c>
    </row>
    <row r="1321">
      <c r="A1321">
        <f>Input!A1321</f>
        <v/>
      </c>
      <c r="B1321">
        <f>IF(ISNUMBER(Input!B1321),IF(AND(Input!B1321&gt;=20,Input!B1321&lt;=700),Input!B1321,""),"")</f>
        <v/>
      </c>
      <c r="C1321">
        <f>IF(B1321="","",INT(A1321))</f>
        <v/>
      </c>
      <c r="D1321">
        <f>IF(B1321="","",HOUR(A1321))</f>
        <v/>
      </c>
    </row>
    <row r="1322">
      <c r="A1322">
        <f>Input!A1322</f>
        <v/>
      </c>
      <c r="B1322">
        <f>IF(ISNUMBER(Input!B1322),IF(AND(Input!B1322&gt;=20,Input!B1322&lt;=700),Input!B1322,""),"")</f>
        <v/>
      </c>
      <c r="C1322">
        <f>IF(B1322="","",INT(A1322))</f>
        <v/>
      </c>
      <c r="D1322">
        <f>IF(B1322="","",HOUR(A1322))</f>
        <v/>
      </c>
    </row>
    <row r="1323">
      <c r="A1323">
        <f>Input!A1323</f>
        <v/>
      </c>
      <c r="B1323">
        <f>IF(ISNUMBER(Input!B1323),IF(AND(Input!B1323&gt;=20,Input!B1323&lt;=700),Input!B1323,""),"")</f>
        <v/>
      </c>
      <c r="C1323">
        <f>IF(B1323="","",INT(A1323))</f>
        <v/>
      </c>
      <c r="D1323">
        <f>IF(B1323="","",HOUR(A1323))</f>
        <v/>
      </c>
    </row>
    <row r="1324">
      <c r="A1324">
        <f>Input!A1324</f>
        <v/>
      </c>
      <c r="B1324">
        <f>IF(ISNUMBER(Input!B1324),IF(AND(Input!B1324&gt;=20,Input!B1324&lt;=700),Input!B1324,""),"")</f>
        <v/>
      </c>
      <c r="C1324">
        <f>IF(B1324="","",INT(A1324))</f>
        <v/>
      </c>
      <c r="D1324">
        <f>IF(B1324="","",HOUR(A1324))</f>
        <v/>
      </c>
    </row>
    <row r="1325">
      <c r="A1325">
        <f>Input!A1325</f>
        <v/>
      </c>
      <c r="B1325">
        <f>IF(ISNUMBER(Input!B1325),IF(AND(Input!B1325&gt;=20,Input!B1325&lt;=700),Input!B1325,""),"")</f>
        <v/>
      </c>
      <c r="C1325">
        <f>IF(B1325="","",INT(A1325))</f>
        <v/>
      </c>
      <c r="D1325">
        <f>IF(B1325="","",HOUR(A1325))</f>
        <v/>
      </c>
    </row>
    <row r="1326">
      <c r="A1326">
        <f>Input!A1326</f>
        <v/>
      </c>
      <c r="B1326">
        <f>IF(ISNUMBER(Input!B1326),IF(AND(Input!B1326&gt;=20,Input!B1326&lt;=700),Input!B1326,""),"")</f>
        <v/>
      </c>
      <c r="C1326">
        <f>IF(B1326="","",INT(A1326))</f>
        <v/>
      </c>
      <c r="D1326">
        <f>IF(B1326="","",HOUR(A1326))</f>
        <v/>
      </c>
    </row>
    <row r="1327">
      <c r="A1327">
        <f>Input!A1327</f>
        <v/>
      </c>
      <c r="B1327">
        <f>IF(ISNUMBER(Input!B1327),IF(AND(Input!B1327&gt;=20,Input!B1327&lt;=700),Input!B1327,""),"")</f>
        <v/>
      </c>
      <c r="C1327">
        <f>IF(B1327="","",INT(A1327))</f>
        <v/>
      </c>
      <c r="D1327">
        <f>IF(B1327="","",HOUR(A1327))</f>
        <v/>
      </c>
    </row>
    <row r="1328">
      <c r="A1328">
        <f>Input!A1328</f>
        <v/>
      </c>
      <c r="B1328">
        <f>IF(ISNUMBER(Input!B1328),IF(AND(Input!B1328&gt;=20,Input!B1328&lt;=700),Input!B1328,""),"")</f>
        <v/>
      </c>
      <c r="C1328">
        <f>IF(B1328="","",INT(A1328))</f>
        <v/>
      </c>
      <c r="D1328">
        <f>IF(B1328="","",HOUR(A1328))</f>
        <v/>
      </c>
    </row>
    <row r="1329">
      <c r="A1329">
        <f>Input!A1329</f>
        <v/>
      </c>
      <c r="B1329">
        <f>IF(ISNUMBER(Input!B1329),IF(AND(Input!B1329&gt;=20,Input!B1329&lt;=700),Input!B1329,""),"")</f>
        <v/>
      </c>
      <c r="C1329">
        <f>IF(B1329="","",INT(A1329))</f>
        <v/>
      </c>
      <c r="D1329">
        <f>IF(B1329="","",HOUR(A1329))</f>
        <v/>
      </c>
    </row>
    <row r="1330">
      <c r="A1330">
        <f>Input!A1330</f>
        <v/>
      </c>
      <c r="B1330">
        <f>IF(ISNUMBER(Input!B1330),IF(AND(Input!B1330&gt;=20,Input!B1330&lt;=700),Input!B1330,""),"")</f>
        <v/>
      </c>
      <c r="C1330">
        <f>IF(B1330="","",INT(A1330))</f>
        <v/>
      </c>
      <c r="D1330">
        <f>IF(B1330="","",HOUR(A1330))</f>
        <v/>
      </c>
    </row>
    <row r="1331">
      <c r="A1331">
        <f>Input!A1331</f>
        <v/>
      </c>
      <c r="B1331">
        <f>IF(ISNUMBER(Input!B1331),IF(AND(Input!B1331&gt;=20,Input!B1331&lt;=700),Input!B1331,""),"")</f>
        <v/>
      </c>
      <c r="C1331">
        <f>IF(B1331="","",INT(A1331))</f>
        <v/>
      </c>
      <c r="D1331">
        <f>IF(B1331="","",HOUR(A1331))</f>
        <v/>
      </c>
    </row>
    <row r="1332">
      <c r="A1332">
        <f>Input!A1332</f>
        <v/>
      </c>
      <c r="B1332">
        <f>IF(ISNUMBER(Input!B1332),IF(AND(Input!B1332&gt;=20,Input!B1332&lt;=700),Input!B1332,""),"")</f>
        <v/>
      </c>
      <c r="C1332">
        <f>IF(B1332="","",INT(A1332))</f>
        <v/>
      </c>
      <c r="D1332">
        <f>IF(B1332="","",HOUR(A1332))</f>
        <v/>
      </c>
    </row>
    <row r="1333">
      <c r="A1333">
        <f>Input!A1333</f>
        <v/>
      </c>
      <c r="B1333">
        <f>IF(ISNUMBER(Input!B1333),IF(AND(Input!B1333&gt;=20,Input!B1333&lt;=700),Input!B1333,""),"")</f>
        <v/>
      </c>
      <c r="C1333">
        <f>IF(B1333="","",INT(A1333))</f>
        <v/>
      </c>
      <c r="D1333">
        <f>IF(B1333="","",HOUR(A1333))</f>
        <v/>
      </c>
    </row>
    <row r="1334">
      <c r="A1334">
        <f>Input!A1334</f>
        <v/>
      </c>
      <c r="B1334">
        <f>IF(ISNUMBER(Input!B1334),IF(AND(Input!B1334&gt;=20,Input!B1334&lt;=700),Input!B1334,""),"")</f>
        <v/>
      </c>
      <c r="C1334">
        <f>IF(B1334="","",INT(A1334))</f>
        <v/>
      </c>
      <c r="D1334">
        <f>IF(B1334="","",HOUR(A1334))</f>
        <v/>
      </c>
    </row>
    <row r="1335">
      <c r="A1335">
        <f>Input!A1335</f>
        <v/>
      </c>
      <c r="B1335">
        <f>IF(ISNUMBER(Input!B1335),IF(AND(Input!B1335&gt;=20,Input!B1335&lt;=700),Input!B1335,""),"")</f>
        <v/>
      </c>
      <c r="C1335">
        <f>IF(B1335="","",INT(A1335))</f>
        <v/>
      </c>
      <c r="D1335">
        <f>IF(B1335="","",HOUR(A1335))</f>
        <v/>
      </c>
    </row>
    <row r="1336">
      <c r="A1336">
        <f>Input!A1336</f>
        <v/>
      </c>
      <c r="B1336">
        <f>IF(ISNUMBER(Input!B1336),IF(AND(Input!B1336&gt;=20,Input!B1336&lt;=700),Input!B1336,""),"")</f>
        <v/>
      </c>
      <c r="C1336">
        <f>IF(B1336="","",INT(A1336))</f>
        <v/>
      </c>
      <c r="D1336">
        <f>IF(B1336="","",HOUR(A1336))</f>
        <v/>
      </c>
    </row>
    <row r="1337">
      <c r="A1337">
        <f>Input!A1337</f>
        <v/>
      </c>
      <c r="B1337">
        <f>IF(ISNUMBER(Input!B1337),IF(AND(Input!B1337&gt;=20,Input!B1337&lt;=700),Input!B1337,""),"")</f>
        <v/>
      </c>
      <c r="C1337">
        <f>IF(B1337="","",INT(A1337))</f>
        <v/>
      </c>
      <c r="D1337">
        <f>IF(B1337="","",HOUR(A1337))</f>
        <v/>
      </c>
    </row>
    <row r="1338">
      <c r="A1338">
        <f>Input!A1338</f>
        <v/>
      </c>
      <c r="B1338">
        <f>IF(ISNUMBER(Input!B1338),IF(AND(Input!B1338&gt;=20,Input!B1338&lt;=700),Input!B1338,""),"")</f>
        <v/>
      </c>
      <c r="C1338">
        <f>IF(B1338="","",INT(A1338))</f>
        <v/>
      </c>
      <c r="D1338">
        <f>IF(B1338="","",HOUR(A1338))</f>
        <v/>
      </c>
    </row>
    <row r="1339">
      <c r="A1339">
        <f>Input!A1339</f>
        <v/>
      </c>
      <c r="B1339">
        <f>IF(ISNUMBER(Input!B1339),IF(AND(Input!B1339&gt;=20,Input!B1339&lt;=700),Input!B1339,""),"")</f>
        <v/>
      </c>
      <c r="C1339">
        <f>IF(B1339="","",INT(A1339))</f>
        <v/>
      </c>
      <c r="D1339">
        <f>IF(B1339="","",HOUR(A1339))</f>
        <v/>
      </c>
    </row>
    <row r="1340">
      <c r="A1340">
        <f>Input!A1340</f>
        <v/>
      </c>
      <c r="B1340">
        <f>IF(ISNUMBER(Input!B1340),IF(AND(Input!B1340&gt;=20,Input!B1340&lt;=700),Input!B1340,""),"")</f>
        <v/>
      </c>
      <c r="C1340">
        <f>IF(B1340="","",INT(A1340))</f>
        <v/>
      </c>
      <c r="D1340">
        <f>IF(B1340="","",HOUR(A1340))</f>
        <v/>
      </c>
    </row>
    <row r="1341">
      <c r="A1341">
        <f>Input!A1341</f>
        <v/>
      </c>
      <c r="B1341">
        <f>IF(ISNUMBER(Input!B1341),IF(AND(Input!B1341&gt;=20,Input!B1341&lt;=700),Input!B1341,""),"")</f>
        <v/>
      </c>
      <c r="C1341">
        <f>IF(B1341="","",INT(A1341))</f>
        <v/>
      </c>
      <c r="D1341">
        <f>IF(B1341="","",HOUR(A1341))</f>
        <v/>
      </c>
    </row>
    <row r="1342">
      <c r="A1342">
        <f>Input!A1342</f>
        <v/>
      </c>
      <c r="B1342">
        <f>IF(ISNUMBER(Input!B1342),IF(AND(Input!B1342&gt;=20,Input!B1342&lt;=700),Input!B1342,""),"")</f>
        <v/>
      </c>
      <c r="C1342">
        <f>IF(B1342="","",INT(A1342))</f>
        <v/>
      </c>
      <c r="D1342">
        <f>IF(B1342="","",HOUR(A1342))</f>
        <v/>
      </c>
    </row>
    <row r="1343">
      <c r="A1343">
        <f>Input!A1343</f>
        <v/>
      </c>
      <c r="B1343">
        <f>IF(ISNUMBER(Input!B1343),IF(AND(Input!B1343&gt;=20,Input!B1343&lt;=700),Input!B1343,""),"")</f>
        <v/>
      </c>
      <c r="C1343">
        <f>IF(B1343="","",INT(A1343))</f>
        <v/>
      </c>
      <c r="D1343">
        <f>IF(B1343="","",HOUR(A1343))</f>
        <v/>
      </c>
    </row>
    <row r="1344">
      <c r="A1344">
        <f>Input!A1344</f>
        <v/>
      </c>
      <c r="B1344">
        <f>IF(ISNUMBER(Input!B1344),IF(AND(Input!B1344&gt;=20,Input!B1344&lt;=700),Input!B1344,""),"")</f>
        <v/>
      </c>
      <c r="C1344">
        <f>IF(B1344="","",INT(A1344))</f>
        <v/>
      </c>
      <c r="D1344">
        <f>IF(B1344="","",HOUR(A1344))</f>
        <v/>
      </c>
    </row>
    <row r="1345">
      <c r="A1345">
        <f>Input!A1345</f>
        <v/>
      </c>
      <c r="B1345">
        <f>IF(ISNUMBER(Input!B1345),IF(AND(Input!B1345&gt;=20,Input!B1345&lt;=700),Input!B1345,""),"")</f>
        <v/>
      </c>
      <c r="C1345">
        <f>IF(B1345="","",INT(A1345))</f>
        <v/>
      </c>
      <c r="D1345">
        <f>IF(B1345="","",HOUR(A1345))</f>
        <v/>
      </c>
    </row>
    <row r="1346">
      <c r="A1346">
        <f>Input!A1346</f>
        <v/>
      </c>
      <c r="B1346">
        <f>IF(ISNUMBER(Input!B1346),IF(AND(Input!B1346&gt;=20,Input!B1346&lt;=700),Input!B1346,""),"")</f>
        <v/>
      </c>
      <c r="C1346">
        <f>IF(B1346="","",INT(A1346))</f>
        <v/>
      </c>
      <c r="D1346">
        <f>IF(B1346="","",HOUR(A1346))</f>
        <v/>
      </c>
    </row>
    <row r="1347">
      <c r="A1347">
        <f>Input!A1347</f>
        <v/>
      </c>
      <c r="B1347">
        <f>IF(ISNUMBER(Input!B1347),IF(AND(Input!B1347&gt;=20,Input!B1347&lt;=700),Input!B1347,""),"")</f>
        <v/>
      </c>
      <c r="C1347">
        <f>IF(B1347="","",INT(A1347))</f>
        <v/>
      </c>
      <c r="D1347">
        <f>IF(B1347="","",HOUR(A1347))</f>
        <v/>
      </c>
    </row>
    <row r="1348">
      <c r="A1348">
        <f>Input!A1348</f>
        <v/>
      </c>
      <c r="B1348">
        <f>IF(ISNUMBER(Input!B1348),IF(AND(Input!B1348&gt;=20,Input!B1348&lt;=700),Input!B1348,""),"")</f>
        <v/>
      </c>
      <c r="C1348">
        <f>IF(B1348="","",INT(A1348))</f>
        <v/>
      </c>
      <c r="D1348">
        <f>IF(B1348="","",HOUR(A1348))</f>
        <v/>
      </c>
    </row>
    <row r="1349">
      <c r="A1349">
        <f>Input!A1349</f>
        <v/>
      </c>
      <c r="B1349">
        <f>IF(ISNUMBER(Input!B1349),IF(AND(Input!B1349&gt;=20,Input!B1349&lt;=700),Input!B1349,""),"")</f>
        <v/>
      </c>
      <c r="C1349">
        <f>IF(B1349="","",INT(A1349))</f>
        <v/>
      </c>
      <c r="D1349">
        <f>IF(B1349="","",HOUR(A1349))</f>
        <v/>
      </c>
    </row>
    <row r="1350">
      <c r="A1350">
        <f>Input!A1350</f>
        <v/>
      </c>
      <c r="B1350">
        <f>IF(ISNUMBER(Input!B1350),IF(AND(Input!B1350&gt;=20,Input!B1350&lt;=700),Input!B1350,""),"")</f>
        <v/>
      </c>
      <c r="C1350">
        <f>IF(B1350="","",INT(A1350))</f>
        <v/>
      </c>
      <c r="D1350">
        <f>IF(B1350="","",HOUR(A1350))</f>
        <v/>
      </c>
    </row>
    <row r="1351">
      <c r="A1351">
        <f>Input!A1351</f>
        <v/>
      </c>
      <c r="B1351">
        <f>IF(ISNUMBER(Input!B1351),IF(AND(Input!B1351&gt;=20,Input!B1351&lt;=700),Input!B1351,""),"")</f>
        <v/>
      </c>
      <c r="C1351">
        <f>IF(B1351="","",INT(A1351))</f>
        <v/>
      </c>
      <c r="D1351">
        <f>IF(B1351="","",HOUR(A1351))</f>
        <v/>
      </c>
    </row>
    <row r="1352">
      <c r="A1352">
        <f>Input!A1352</f>
        <v/>
      </c>
      <c r="B1352">
        <f>IF(ISNUMBER(Input!B1352),IF(AND(Input!B1352&gt;=20,Input!B1352&lt;=700),Input!B1352,""),"")</f>
        <v/>
      </c>
      <c r="C1352">
        <f>IF(B1352="","",INT(A1352))</f>
        <v/>
      </c>
      <c r="D1352">
        <f>IF(B1352="","",HOUR(A1352))</f>
        <v/>
      </c>
    </row>
    <row r="1353">
      <c r="A1353">
        <f>Input!A1353</f>
        <v/>
      </c>
      <c r="B1353">
        <f>IF(ISNUMBER(Input!B1353),IF(AND(Input!B1353&gt;=20,Input!B1353&lt;=700),Input!B1353,""),"")</f>
        <v/>
      </c>
      <c r="C1353">
        <f>IF(B1353="","",INT(A1353))</f>
        <v/>
      </c>
      <c r="D1353">
        <f>IF(B1353="","",HOUR(A1353))</f>
        <v/>
      </c>
    </row>
    <row r="1354">
      <c r="A1354">
        <f>Input!A1354</f>
        <v/>
      </c>
      <c r="B1354">
        <f>IF(ISNUMBER(Input!B1354),IF(AND(Input!B1354&gt;=20,Input!B1354&lt;=700),Input!B1354,""),"")</f>
        <v/>
      </c>
      <c r="C1354">
        <f>IF(B1354="","",INT(A1354))</f>
        <v/>
      </c>
      <c r="D1354">
        <f>IF(B1354="","",HOUR(A1354))</f>
        <v/>
      </c>
    </row>
    <row r="1355">
      <c r="A1355">
        <f>Input!A1355</f>
        <v/>
      </c>
      <c r="B1355">
        <f>IF(ISNUMBER(Input!B1355),IF(AND(Input!B1355&gt;=20,Input!B1355&lt;=700),Input!B1355,""),"")</f>
        <v/>
      </c>
      <c r="C1355">
        <f>IF(B1355="","",INT(A1355))</f>
        <v/>
      </c>
      <c r="D1355">
        <f>IF(B1355="","",HOUR(A1355))</f>
        <v/>
      </c>
    </row>
    <row r="1356">
      <c r="A1356">
        <f>Input!A1356</f>
        <v/>
      </c>
      <c r="B1356">
        <f>IF(ISNUMBER(Input!B1356),IF(AND(Input!B1356&gt;=20,Input!B1356&lt;=700),Input!B1356,""),"")</f>
        <v/>
      </c>
      <c r="C1356">
        <f>IF(B1356="","",INT(A1356))</f>
        <v/>
      </c>
      <c r="D1356">
        <f>IF(B1356="","",HOUR(A1356))</f>
        <v/>
      </c>
    </row>
    <row r="1357">
      <c r="A1357">
        <f>Input!A1357</f>
        <v/>
      </c>
      <c r="B1357">
        <f>IF(ISNUMBER(Input!B1357),IF(AND(Input!B1357&gt;=20,Input!B1357&lt;=700),Input!B1357,""),"")</f>
        <v/>
      </c>
      <c r="C1357">
        <f>IF(B1357="","",INT(A1357))</f>
        <v/>
      </c>
      <c r="D1357">
        <f>IF(B1357="","",HOUR(A1357))</f>
        <v/>
      </c>
    </row>
    <row r="1358">
      <c r="A1358">
        <f>Input!A1358</f>
        <v/>
      </c>
      <c r="B1358">
        <f>IF(ISNUMBER(Input!B1358),IF(AND(Input!B1358&gt;=20,Input!B1358&lt;=700),Input!B1358,""),"")</f>
        <v/>
      </c>
      <c r="C1358">
        <f>IF(B1358="","",INT(A1358))</f>
        <v/>
      </c>
      <c r="D1358">
        <f>IF(B1358="","",HOUR(A1358))</f>
        <v/>
      </c>
    </row>
    <row r="1359">
      <c r="A1359">
        <f>Input!A1359</f>
        <v/>
      </c>
      <c r="B1359">
        <f>IF(ISNUMBER(Input!B1359),IF(AND(Input!B1359&gt;=20,Input!B1359&lt;=700),Input!B1359,""),"")</f>
        <v/>
      </c>
      <c r="C1359">
        <f>IF(B1359="","",INT(A1359))</f>
        <v/>
      </c>
      <c r="D1359">
        <f>IF(B1359="","",HOUR(A1359))</f>
        <v/>
      </c>
    </row>
    <row r="1360">
      <c r="A1360">
        <f>Input!A1360</f>
        <v/>
      </c>
      <c r="B1360">
        <f>IF(ISNUMBER(Input!B1360),IF(AND(Input!B1360&gt;=20,Input!B1360&lt;=700),Input!B1360,""),"")</f>
        <v/>
      </c>
      <c r="C1360">
        <f>IF(B1360="","",INT(A1360))</f>
        <v/>
      </c>
      <c r="D1360">
        <f>IF(B1360="","",HOUR(A1360))</f>
        <v/>
      </c>
    </row>
    <row r="1361">
      <c r="A1361">
        <f>Input!A1361</f>
        <v/>
      </c>
      <c r="B1361">
        <f>IF(ISNUMBER(Input!B1361),IF(AND(Input!B1361&gt;=20,Input!B1361&lt;=700),Input!B1361,""),"")</f>
        <v/>
      </c>
      <c r="C1361">
        <f>IF(B1361="","",INT(A1361))</f>
        <v/>
      </c>
      <c r="D1361">
        <f>IF(B1361="","",HOUR(A1361))</f>
        <v/>
      </c>
    </row>
    <row r="1362">
      <c r="A1362">
        <f>Input!A1362</f>
        <v/>
      </c>
      <c r="B1362">
        <f>IF(ISNUMBER(Input!B1362),IF(AND(Input!B1362&gt;=20,Input!B1362&lt;=700),Input!B1362,""),"")</f>
        <v/>
      </c>
      <c r="C1362">
        <f>IF(B1362="","",INT(A1362))</f>
        <v/>
      </c>
      <c r="D1362">
        <f>IF(B1362="","",HOUR(A1362))</f>
        <v/>
      </c>
    </row>
    <row r="1363">
      <c r="A1363">
        <f>Input!A1363</f>
        <v/>
      </c>
      <c r="B1363">
        <f>IF(ISNUMBER(Input!B1363),IF(AND(Input!B1363&gt;=20,Input!B1363&lt;=700),Input!B1363,""),"")</f>
        <v/>
      </c>
      <c r="C1363">
        <f>IF(B1363="","",INT(A1363))</f>
        <v/>
      </c>
      <c r="D1363">
        <f>IF(B1363="","",HOUR(A1363))</f>
        <v/>
      </c>
    </row>
    <row r="1364">
      <c r="A1364">
        <f>Input!A1364</f>
        <v/>
      </c>
      <c r="B1364">
        <f>IF(ISNUMBER(Input!B1364),IF(AND(Input!B1364&gt;=20,Input!B1364&lt;=700),Input!B1364,""),"")</f>
        <v/>
      </c>
      <c r="C1364">
        <f>IF(B1364="","",INT(A1364))</f>
        <v/>
      </c>
      <c r="D1364">
        <f>IF(B1364="","",HOUR(A1364))</f>
        <v/>
      </c>
    </row>
    <row r="1365">
      <c r="A1365">
        <f>Input!A1365</f>
        <v/>
      </c>
      <c r="B1365">
        <f>IF(ISNUMBER(Input!B1365),IF(AND(Input!B1365&gt;=20,Input!B1365&lt;=700),Input!B1365,""),"")</f>
        <v/>
      </c>
      <c r="C1365">
        <f>IF(B1365="","",INT(A1365))</f>
        <v/>
      </c>
      <c r="D1365">
        <f>IF(B1365="","",HOUR(A1365))</f>
        <v/>
      </c>
    </row>
    <row r="1366">
      <c r="A1366">
        <f>Input!A1366</f>
        <v/>
      </c>
      <c r="B1366">
        <f>IF(ISNUMBER(Input!B1366),IF(AND(Input!B1366&gt;=20,Input!B1366&lt;=700),Input!B1366,""),"")</f>
        <v/>
      </c>
      <c r="C1366">
        <f>IF(B1366="","",INT(A1366))</f>
        <v/>
      </c>
      <c r="D1366">
        <f>IF(B1366="","",HOUR(A1366))</f>
        <v/>
      </c>
    </row>
    <row r="1367">
      <c r="A1367">
        <f>Input!A1367</f>
        <v/>
      </c>
      <c r="B1367">
        <f>IF(ISNUMBER(Input!B1367),IF(AND(Input!B1367&gt;=20,Input!B1367&lt;=700),Input!B1367,""),"")</f>
        <v/>
      </c>
      <c r="C1367">
        <f>IF(B1367="","",INT(A1367))</f>
        <v/>
      </c>
      <c r="D1367">
        <f>IF(B1367="","",HOUR(A1367))</f>
        <v/>
      </c>
    </row>
    <row r="1368">
      <c r="A1368">
        <f>Input!A1368</f>
        <v/>
      </c>
      <c r="B1368">
        <f>IF(ISNUMBER(Input!B1368),IF(AND(Input!B1368&gt;=20,Input!B1368&lt;=700),Input!B1368,""),"")</f>
        <v/>
      </c>
      <c r="C1368">
        <f>IF(B1368="","",INT(A1368))</f>
        <v/>
      </c>
      <c r="D1368">
        <f>IF(B1368="","",HOUR(A1368))</f>
        <v/>
      </c>
    </row>
    <row r="1369">
      <c r="A1369">
        <f>Input!A1369</f>
        <v/>
      </c>
      <c r="B1369">
        <f>IF(ISNUMBER(Input!B1369),IF(AND(Input!B1369&gt;=20,Input!B1369&lt;=700),Input!B1369,""),"")</f>
        <v/>
      </c>
      <c r="C1369">
        <f>IF(B1369="","",INT(A1369))</f>
        <v/>
      </c>
      <c r="D1369">
        <f>IF(B1369="","",HOUR(A1369))</f>
        <v/>
      </c>
    </row>
    <row r="1370">
      <c r="A1370">
        <f>Input!A1370</f>
        <v/>
      </c>
      <c r="B1370">
        <f>IF(ISNUMBER(Input!B1370),IF(AND(Input!B1370&gt;=20,Input!B1370&lt;=700),Input!B1370,""),"")</f>
        <v/>
      </c>
      <c r="C1370">
        <f>IF(B1370="","",INT(A1370))</f>
        <v/>
      </c>
      <c r="D1370">
        <f>IF(B1370="","",HOUR(A1370))</f>
        <v/>
      </c>
    </row>
    <row r="1371">
      <c r="A1371">
        <f>Input!A1371</f>
        <v/>
      </c>
      <c r="B1371">
        <f>IF(ISNUMBER(Input!B1371),IF(AND(Input!B1371&gt;=20,Input!B1371&lt;=700),Input!B1371,""),"")</f>
        <v/>
      </c>
      <c r="C1371">
        <f>IF(B1371="","",INT(A1371))</f>
        <v/>
      </c>
      <c r="D1371">
        <f>IF(B1371="","",HOUR(A1371))</f>
        <v/>
      </c>
    </row>
    <row r="1372">
      <c r="A1372">
        <f>Input!A1372</f>
        <v/>
      </c>
      <c r="B1372">
        <f>IF(ISNUMBER(Input!B1372),IF(AND(Input!B1372&gt;=20,Input!B1372&lt;=700),Input!B1372,""),"")</f>
        <v/>
      </c>
      <c r="C1372">
        <f>IF(B1372="","",INT(A1372))</f>
        <v/>
      </c>
      <c r="D1372">
        <f>IF(B1372="","",HOUR(A1372))</f>
        <v/>
      </c>
    </row>
    <row r="1373">
      <c r="A1373">
        <f>Input!A1373</f>
        <v/>
      </c>
      <c r="B1373">
        <f>IF(ISNUMBER(Input!B1373),IF(AND(Input!B1373&gt;=20,Input!B1373&lt;=700),Input!B1373,""),"")</f>
        <v/>
      </c>
      <c r="C1373">
        <f>IF(B1373="","",INT(A1373))</f>
        <v/>
      </c>
      <c r="D1373">
        <f>IF(B1373="","",HOUR(A1373))</f>
        <v/>
      </c>
    </row>
    <row r="1374">
      <c r="A1374">
        <f>Input!A1374</f>
        <v/>
      </c>
      <c r="B1374">
        <f>IF(ISNUMBER(Input!B1374),IF(AND(Input!B1374&gt;=20,Input!B1374&lt;=700),Input!B1374,""),"")</f>
        <v/>
      </c>
      <c r="C1374">
        <f>IF(B1374="","",INT(A1374))</f>
        <v/>
      </c>
      <c r="D1374">
        <f>IF(B1374="","",HOUR(A1374))</f>
        <v/>
      </c>
    </row>
    <row r="1375">
      <c r="A1375">
        <f>Input!A1375</f>
        <v/>
      </c>
      <c r="B1375">
        <f>IF(ISNUMBER(Input!B1375),IF(AND(Input!B1375&gt;=20,Input!B1375&lt;=700),Input!B1375,""),"")</f>
        <v/>
      </c>
      <c r="C1375">
        <f>IF(B1375="","",INT(A1375))</f>
        <v/>
      </c>
      <c r="D1375">
        <f>IF(B1375="","",HOUR(A1375))</f>
        <v/>
      </c>
    </row>
    <row r="1376">
      <c r="A1376">
        <f>Input!A1376</f>
        <v/>
      </c>
      <c r="B1376">
        <f>IF(ISNUMBER(Input!B1376),IF(AND(Input!B1376&gt;=20,Input!B1376&lt;=700),Input!B1376,""),"")</f>
        <v/>
      </c>
      <c r="C1376">
        <f>IF(B1376="","",INT(A1376))</f>
        <v/>
      </c>
      <c r="D1376">
        <f>IF(B1376="","",HOUR(A1376))</f>
        <v/>
      </c>
    </row>
    <row r="1377">
      <c r="A1377">
        <f>Input!A1377</f>
        <v/>
      </c>
      <c r="B1377">
        <f>IF(ISNUMBER(Input!B1377),IF(AND(Input!B1377&gt;=20,Input!B1377&lt;=700),Input!B1377,""),"")</f>
        <v/>
      </c>
      <c r="C1377">
        <f>IF(B1377="","",INT(A1377))</f>
        <v/>
      </c>
      <c r="D1377">
        <f>IF(B1377="","",HOUR(A1377))</f>
        <v/>
      </c>
    </row>
    <row r="1378">
      <c r="A1378">
        <f>Input!A1378</f>
        <v/>
      </c>
      <c r="B1378">
        <f>IF(ISNUMBER(Input!B1378),IF(AND(Input!B1378&gt;=20,Input!B1378&lt;=700),Input!B1378,""),"")</f>
        <v/>
      </c>
      <c r="C1378">
        <f>IF(B1378="","",INT(A1378))</f>
        <v/>
      </c>
      <c r="D1378">
        <f>IF(B1378="","",HOUR(A1378))</f>
        <v/>
      </c>
    </row>
    <row r="1379">
      <c r="A1379">
        <f>Input!A1379</f>
        <v/>
      </c>
      <c r="B1379">
        <f>IF(ISNUMBER(Input!B1379),IF(AND(Input!B1379&gt;=20,Input!B1379&lt;=700),Input!B1379,""),"")</f>
        <v/>
      </c>
      <c r="C1379">
        <f>IF(B1379="","",INT(A1379))</f>
        <v/>
      </c>
      <c r="D1379">
        <f>IF(B1379="","",HOUR(A1379))</f>
        <v/>
      </c>
    </row>
    <row r="1380">
      <c r="A1380">
        <f>Input!A1380</f>
        <v/>
      </c>
      <c r="B1380">
        <f>IF(ISNUMBER(Input!B1380),IF(AND(Input!B1380&gt;=20,Input!B1380&lt;=700),Input!B1380,""),"")</f>
        <v/>
      </c>
      <c r="C1380">
        <f>IF(B1380="","",INT(A1380))</f>
        <v/>
      </c>
      <c r="D1380">
        <f>IF(B1380="","",HOUR(A1380))</f>
        <v/>
      </c>
    </row>
    <row r="1381">
      <c r="A1381">
        <f>Input!A1381</f>
        <v/>
      </c>
      <c r="B1381">
        <f>IF(ISNUMBER(Input!B1381),IF(AND(Input!B1381&gt;=20,Input!B1381&lt;=700),Input!B1381,""),"")</f>
        <v/>
      </c>
      <c r="C1381">
        <f>IF(B1381="","",INT(A1381))</f>
        <v/>
      </c>
      <c r="D1381">
        <f>IF(B1381="","",HOUR(A1381))</f>
        <v/>
      </c>
    </row>
    <row r="1382">
      <c r="A1382">
        <f>Input!A1382</f>
        <v/>
      </c>
      <c r="B1382">
        <f>IF(ISNUMBER(Input!B1382),IF(AND(Input!B1382&gt;=20,Input!B1382&lt;=700),Input!B1382,""),"")</f>
        <v/>
      </c>
      <c r="C1382">
        <f>IF(B1382="","",INT(A1382))</f>
        <v/>
      </c>
      <c r="D1382">
        <f>IF(B1382="","",HOUR(A1382))</f>
        <v/>
      </c>
    </row>
    <row r="1383">
      <c r="A1383">
        <f>Input!A1383</f>
        <v/>
      </c>
      <c r="B1383">
        <f>IF(ISNUMBER(Input!B1383),IF(AND(Input!B1383&gt;=20,Input!B1383&lt;=700),Input!B1383,""),"")</f>
        <v/>
      </c>
      <c r="C1383">
        <f>IF(B1383="","",INT(A1383))</f>
        <v/>
      </c>
      <c r="D1383">
        <f>IF(B1383="","",HOUR(A1383))</f>
        <v/>
      </c>
    </row>
    <row r="1384">
      <c r="A1384">
        <f>Input!A1384</f>
        <v/>
      </c>
      <c r="B1384">
        <f>IF(ISNUMBER(Input!B1384),IF(AND(Input!B1384&gt;=20,Input!B1384&lt;=700),Input!B1384,""),"")</f>
        <v/>
      </c>
      <c r="C1384">
        <f>IF(B1384="","",INT(A1384))</f>
        <v/>
      </c>
      <c r="D1384">
        <f>IF(B1384="","",HOUR(A1384))</f>
        <v/>
      </c>
    </row>
    <row r="1385">
      <c r="A1385">
        <f>Input!A1385</f>
        <v/>
      </c>
      <c r="B1385">
        <f>IF(ISNUMBER(Input!B1385),IF(AND(Input!B1385&gt;=20,Input!B1385&lt;=700),Input!B1385,""),"")</f>
        <v/>
      </c>
      <c r="C1385">
        <f>IF(B1385="","",INT(A1385))</f>
        <v/>
      </c>
      <c r="D1385">
        <f>IF(B1385="","",HOUR(A1385))</f>
        <v/>
      </c>
    </row>
    <row r="1386">
      <c r="A1386">
        <f>Input!A1386</f>
        <v/>
      </c>
      <c r="B1386">
        <f>IF(ISNUMBER(Input!B1386),IF(AND(Input!B1386&gt;=20,Input!B1386&lt;=700),Input!B1386,""),"")</f>
        <v/>
      </c>
      <c r="C1386">
        <f>IF(B1386="","",INT(A1386))</f>
        <v/>
      </c>
      <c r="D1386">
        <f>IF(B1386="","",HOUR(A1386))</f>
        <v/>
      </c>
    </row>
    <row r="1387">
      <c r="A1387">
        <f>Input!A1387</f>
        <v/>
      </c>
      <c r="B1387">
        <f>IF(ISNUMBER(Input!B1387),IF(AND(Input!B1387&gt;=20,Input!B1387&lt;=700),Input!B1387,""),"")</f>
        <v/>
      </c>
      <c r="C1387">
        <f>IF(B1387="","",INT(A1387))</f>
        <v/>
      </c>
      <c r="D1387">
        <f>IF(B1387="","",HOUR(A1387))</f>
        <v/>
      </c>
    </row>
    <row r="1388">
      <c r="A1388">
        <f>Input!A1388</f>
        <v/>
      </c>
      <c r="B1388">
        <f>IF(ISNUMBER(Input!B1388),IF(AND(Input!B1388&gt;=20,Input!B1388&lt;=700),Input!B1388,""),"")</f>
        <v/>
      </c>
      <c r="C1388">
        <f>IF(B1388="","",INT(A1388))</f>
        <v/>
      </c>
      <c r="D1388">
        <f>IF(B1388="","",HOUR(A1388))</f>
        <v/>
      </c>
    </row>
    <row r="1389">
      <c r="A1389">
        <f>Input!A1389</f>
        <v/>
      </c>
      <c r="B1389">
        <f>IF(ISNUMBER(Input!B1389),IF(AND(Input!B1389&gt;=20,Input!B1389&lt;=700),Input!B1389,""),"")</f>
        <v/>
      </c>
      <c r="C1389">
        <f>IF(B1389="","",INT(A1389))</f>
        <v/>
      </c>
      <c r="D1389">
        <f>IF(B1389="","",HOUR(A1389))</f>
        <v/>
      </c>
    </row>
    <row r="1390">
      <c r="A1390">
        <f>Input!A1390</f>
        <v/>
      </c>
      <c r="B1390">
        <f>IF(ISNUMBER(Input!B1390),IF(AND(Input!B1390&gt;=20,Input!B1390&lt;=700),Input!B1390,""),"")</f>
        <v/>
      </c>
      <c r="C1390">
        <f>IF(B1390="","",INT(A1390))</f>
        <v/>
      </c>
      <c r="D1390">
        <f>IF(B1390="","",HOUR(A1390))</f>
        <v/>
      </c>
    </row>
    <row r="1391">
      <c r="A1391">
        <f>Input!A1391</f>
        <v/>
      </c>
      <c r="B1391">
        <f>IF(ISNUMBER(Input!B1391),IF(AND(Input!B1391&gt;=20,Input!B1391&lt;=700),Input!B1391,""),"")</f>
        <v/>
      </c>
      <c r="C1391">
        <f>IF(B1391="","",INT(A1391))</f>
        <v/>
      </c>
      <c r="D1391">
        <f>IF(B1391="","",HOUR(A1391))</f>
        <v/>
      </c>
    </row>
    <row r="1392">
      <c r="A1392">
        <f>Input!A1392</f>
        <v/>
      </c>
      <c r="B1392">
        <f>IF(ISNUMBER(Input!B1392),IF(AND(Input!B1392&gt;=20,Input!B1392&lt;=700),Input!B1392,""),"")</f>
        <v/>
      </c>
      <c r="C1392">
        <f>IF(B1392="","",INT(A1392))</f>
        <v/>
      </c>
      <c r="D1392">
        <f>IF(B1392="","",HOUR(A1392))</f>
        <v/>
      </c>
    </row>
    <row r="1393">
      <c r="A1393">
        <f>Input!A1393</f>
        <v/>
      </c>
      <c r="B1393">
        <f>IF(ISNUMBER(Input!B1393),IF(AND(Input!B1393&gt;=20,Input!B1393&lt;=700),Input!B1393,""),"")</f>
        <v/>
      </c>
      <c r="C1393">
        <f>IF(B1393="","",INT(A1393))</f>
        <v/>
      </c>
      <c r="D1393">
        <f>IF(B1393="","",HOUR(A1393))</f>
        <v/>
      </c>
    </row>
    <row r="1394">
      <c r="A1394">
        <f>Input!A1394</f>
        <v/>
      </c>
      <c r="B1394">
        <f>IF(ISNUMBER(Input!B1394),IF(AND(Input!B1394&gt;=20,Input!B1394&lt;=700),Input!B1394,""),"")</f>
        <v/>
      </c>
      <c r="C1394">
        <f>IF(B1394="","",INT(A1394))</f>
        <v/>
      </c>
      <c r="D1394">
        <f>IF(B1394="","",HOUR(A1394))</f>
        <v/>
      </c>
    </row>
    <row r="1395">
      <c r="A1395">
        <f>Input!A1395</f>
        <v/>
      </c>
      <c r="B1395">
        <f>IF(ISNUMBER(Input!B1395),IF(AND(Input!B1395&gt;=20,Input!B1395&lt;=700),Input!B1395,""),"")</f>
        <v/>
      </c>
      <c r="C1395">
        <f>IF(B1395="","",INT(A1395))</f>
        <v/>
      </c>
      <c r="D1395">
        <f>IF(B1395="","",HOUR(A1395))</f>
        <v/>
      </c>
    </row>
    <row r="1396">
      <c r="A1396">
        <f>Input!A1396</f>
        <v/>
      </c>
      <c r="B1396">
        <f>IF(ISNUMBER(Input!B1396),IF(AND(Input!B1396&gt;=20,Input!B1396&lt;=700),Input!B1396,""),"")</f>
        <v/>
      </c>
      <c r="C1396">
        <f>IF(B1396="","",INT(A1396))</f>
        <v/>
      </c>
      <c r="D1396">
        <f>IF(B1396="","",HOUR(A1396))</f>
        <v/>
      </c>
    </row>
    <row r="1397">
      <c r="A1397">
        <f>Input!A1397</f>
        <v/>
      </c>
      <c r="B1397">
        <f>IF(ISNUMBER(Input!B1397),IF(AND(Input!B1397&gt;=20,Input!B1397&lt;=700),Input!B1397,""),"")</f>
        <v/>
      </c>
      <c r="C1397">
        <f>IF(B1397="","",INT(A1397))</f>
        <v/>
      </c>
      <c r="D1397">
        <f>IF(B1397="","",HOUR(A1397))</f>
        <v/>
      </c>
    </row>
    <row r="1398">
      <c r="A1398">
        <f>Input!A1398</f>
        <v/>
      </c>
      <c r="B1398">
        <f>IF(ISNUMBER(Input!B1398),IF(AND(Input!B1398&gt;=20,Input!B1398&lt;=700),Input!B1398,""),"")</f>
        <v/>
      </c>
      <c r="C1398">
        <f>IF(B1398="","",INT(A1398))</f>
        <v/>
      </c>
      <c r="D1398">
        <f>IF(B1398="","",HOUR(A1398))</f>
        <v/>
      </c>
    </row>
    <row r="1399">
      <c r="A1399">
        <f>Input!A1399</f>
        <v/>
      </c>
      <c r="B1399">
        <f>IF(ISNUMBER(Input!B1399),IF(AND(Input!B1399&gt;=20,Input!B1399&lt;=700),Input!B1399,""),"")</f>
        <v/>
      </c>
      <c r="C1399">
        <f>IF(B1399="","",INT(A1399))</f>
        <v/>
      </c>
      <c r="D1399">
        <f>IF(B1399="","",HOUR(A1399))</f>
        <v/>
      </c>
    </row>
    <row r="1400">
      <c r="A1400">
        <f>Input!A1400</f>
        <v/>
      </c>
      <c r="B1400">
        <f>IF(ISNUMBER(Input!B1400),IF(AND(Input!B1400&gt;=20,Input!B1400&lt;=700),Input!B1400,""),"")</f>
        <v/>
      </c>
      <c r="C1400">
        <f>IF(B1400="","",INT(A1400))</f>
        <v/>
      </c>
      <c r="D1400">
        <f>IF(B1400="","",HOUR(A1400))</f>
        <v/>
      </c>
    </row>
    <row r="1401">
      <c r="A1401">
        <f>Input!A1401</f>
        <v/>
      </c>
      <c r="B1401">
        <f>IF(ISNUMBER(Input!B1401),IF(AND(Input!B1401&gt;=20,Input!B1401&lt;=700),Input!B1401,""),"")</f>
        <v/>
      </c>
      <c r="C1401">
        <f>IF(B1401="","",INT(A1401))</f>
        <v/>
      </c>
      <c r="D1401">
        <f>IF(B1401="","",HOUR(A1401))</f>
        <v/>
      </c>
    </row>
    <row r="1402">
      <c r="A1402">
        <f>Input!A1402</f>
        <v/>
      </c>
      <c r="B1402">
        <f>IF(ISNUMBER(Input!B1402),IF(AND(Input!B1402&gt;=20,Input!B1402&lt;=700),Input!B1402,""),"")</f>
        <v/>
      </c>
      <c r="C1402">
        <f>IF(B1402="","",INT(A1402))</f>
        <v/>
      </c>
      <c r="D1402">
        <f>IF(B1402="","",HOUR(A1402))</f>
        <v/>
      </c>
    </row>
    <row r="1403">
      <c r="A1403">
        <f>Input!A1403</f>
        <v/>
      </c>
      <c r="B1403">
        <f>IF(ISNUMBER(Input!B1403),IF(AND(Input!B1403&gt;=20,Input!B1403&lt;=700),Input!B1403,""),"")</f>
        <v/>
      </c>
      <c r="C1403">
        <f>IF(B1403="","",INT(A1403))</f>
        <v/>
      </c>
      <c r="D1403">
        <f>IF(B1403="","",HOUR(A1403))</f>
        <v/>
      </c>
    </row>
    <row r="1404">
      <c r="A1404">
        <f>Input!A1404</f>
        <v/>
      </c>
      <c r="B1404">
        <f>IF(ISNUMBER(Input!B1404),IF(AND(Input!B1404&gt;=20,Input!B1404&lt;=700),Input!B1404,""),"")</f>
        <v/>
      </c>
      <c r="C1404">
        <f>IF(B1404="","",INT(A1404))</f>
        <v/>
      </c>
      <c r="D1404">
        <f>IF(B1404="","",HOUR(A1404))</f>
        <v/>
      </c>
    </row>
    <row r="1405">
      <c r="A1405">
        <f>Input!A1405</f>
        <v/>
      </c>
      <c r="B1405">
        <f>IF(ISNUMBER(Input!B1405),IF(AND(Input!B1405&gt;=20,Input!B1405&lt;=700),Input!B1405,""),"")</f>
        <v/>
      </c>
      <c r="C1405">
        <f>IF(B1405="","",INT(A1405))</f>
        <v/>
      </c>
      <c r="D1405">
        <f>IF(B1405="","",HOUR(A1405))</f>
        <v/>
      </c>
    </row>
    <row r="1406">
      <c r="A1406">
        <f>Input!A1406</f>
        <v/>
      </c>
      <c r="B1406">
        <f>IF(ISNUMBER(Input!B1406),IF(AND(Input!B1406&gt;=20,Input!B1406&lt;=700),Input!B1406,""),"")</f>
        <v/>
      </c>
      <c r="C1406">
        <f>IF(B1406="","",INT(A1406))</f>
        <v/>
      </c>
      <c r="D1406">
        <f>IF(B1406="","",HOUR(A1406))</f>
        <v/>
      </c>
    </row>
    <row r="1407">
      <c r="A1407">
        <f>Input!A1407</f>
        <v/>
      </c>
      <c r="B1407">
        <f>IF(ISNUMBER(Input!B1407),IF(AND(Input!B1407&gt;=20,Input!B1407&lt;=700),Input!B1407,""),"")</f>
        <v/>
      </c>
      <c r="C1407">
        <f>IF(B1407="","",INT(A1407))</f>
        <v/>
      </c>
      <c r="D1407">
        <f>IF(B1407="","",HOUR(A1407))</f>
        <v/>
      </c>
    </row>
    <row r="1408">
      <c r="A1408">
        <f>Input!A1408</f>
        <v/>
      </c>
      <c r="B1408">
        <f>IF(ISNUMBER(Input!B1408),IF(AND(Input!B1408&gt;=20,Input!B1408&lt;=700),Input!B1408,""),"")</f>
        <v/>
      </c>
      <c r="C1408">
        <f>IF(B1408="","",INT(A1408))</f>
        <v/>
      </c>
      <c r="D1408">
        <f>IF(B1408="","",HOUR(A1408))</f>
        <v/>
      </c>
    </row>
    <row r="1409">
      <c r="A1409">
        <f>Input!A1409</f>
        <v/>
      </c>
      <c r="B1409">
        <f>IF(ISNUMBER(Input!B1409),IF(AND(Input!B1409&gt;=20,Input!B1409&lt;=700),Input!B1409,""),"")</f>
        <v/>
      </c>
      <c r="C1409">
        <f>IF(B1409="","",INT(A1409))</f>
        <v/>
      </c>
      <c r="D1409">
        <f>IF(B1409="","",HOUR(A1409))</f>
        <v/>
      </c>
    </row>
    <row r="1410">
      <c r="A1410">
        <f>Input!A1410</f>
        <v/>
      </c>
      <c r="B1410">
        <f>IF(ISNUMBER(Input!B1410),IF(AND(Input!B1410&gt;=20,Input!B1410&lt;=700),Input!B1410,""),"")</f>
        <v/>
      </c>
      <c r="C1410">
        <f>IF(B1410="","",INT(A1410))</f>
        <v/>
      </c>
      <c r="D1410">
        <f>IF(B1410="","",HOUR(A1410))</f>
        <v/>
      </c>
    </row>
    <row r="1411">
      <c r="A1411">
        <f>Input!A1411</f>
        <v/>
      </c>
      <c r="B1411">
        <f>IF(ISNUMBER(Input!B1411),IF(AND(Input!B1411&gt;=20,Input!B1411&lt;=700),Input!B1411,""),"")</f>
        <v/>
      </c>
      <c r="C1411">
        <f>IF(B1411="","",INT(A1411))</f>
        <v/>
      </c>
      <c r="D1411">
        <f>IF(B1411="","",HOUR(A1411))</f>
        <v/>
      </c>
    </row>
    <row r="1412">
      <c r="A1412">
        <f>Input!A1412</f>
        <v/>
      </c>
      <c r="B1412">
        <f>IF(ISNUMBER(Input!B1412),IF(AND(Input!B1412&gt;=20,Input!B1412&lt;=700),Input!B1412,""),"")</f>
        <v/>
      </c>
      <c r="C1412">
        <f>IF(B1412="","",INT(A1412))</f>
        <v/>
      </c>
      <c r="D1412">
        <f>IF(B1412="","",HOUR(A1412))</f>
        <v/>
      </c>
    </row>
    <row r="1413">
      <c r="A1413">
        <f>Input!A1413</f>
        <v/>
      </c>
      <c r="B1413">
        <f>IF(ISNUMBER(Input!B1413),IF(AND(Input!B1413&gt;=20,Input!B1413&lt;=700),Input!B1413,""),"")</f>
        <v/>
      </c>
      <c r="C1413">
        <f>IF(B1413="","",INT(A1413))</f>
        <v/>
      </c>
      <c r="D1413">
        <f>IF(B1413="","",HOUR(A1413))</f>
        <v/>
      </c>
    </row>
    <row r="1414">
      <c r="A1414">
        <f>Input!A1414</f>
        <v/>
      </c>
      <c r="B1414">
        <f>IF(ISNUMBER(Input!B1414),IF(AND(Input!B1414&gt;=20,Input!B1414&lt;=700),Input!B1414,""),"")</f>
        <v/>
      </c>
      <c r="C1414">
        <f>IF(B1414="","",INT(A1414))</f>
        <v/>
      </c>
      <c r="D1414">
        <f>IF(B1414="","",HOUR(A1414))</f>
        <v/>
      </c>
    </row>
    <row r="1415">
      <c r="A1415">
        <f>Input!A1415</f>
        <v/>
      </c>
      <c r="B1415">
        <f>IF(ISNUMBER(Input!B1415),IF(AND(Input!B1415&gt;=20,Input!B1415&lt;=700),Input!B1415,""),"")</f>
        <v/>
      </c>
      <c r="C1415">
        <f>IF(B1415="","",INT(A1415))</f>
        <v/>
      </c>
      <c r="D1415">
        <f>IF(B1415="","",HOUR(A1415))</f>
        <v/>
      </c>
    </row>
    <row r="1416">
      <c r="A1416">
        <f>Input!A1416</f>
        <v/>
      </c>
      <c r="B1416">
        <f>IF(ISNUMBER(Input!B1416),IF(AND(Input!B1416&gt;=20,Input!B1416&lt;=700),Input!B1416,""),"")</f>
        <v/>
      </c>
      <c r="C1416">
        <f>IF(B1416="","",INT(A1416))</f>
        <v/>
      </c>
      <c r="D1416">
        <f>IF(B1416="","",HOUR(A1416))</f>
        <v/>
      </c>
    </row>
    <row r="1417">
      <c r="A1417">
        <f>Input!A1417</f>
        <v/>
      </c>
      <c r="B1417">
        <f>IF(ISNUMBER(Input!B1417),IF(AND(Input!B1417&gt;=20,Input!B1417&lt;=700),Input!B1417,""),"")</f>
        <v/>
      </c>
      <c r="C1417">
        <f>IF(B1417="","",INT(A1417))</f>
        <v/>
      </c>
      <c r="D1417">
        <f>IF(B1417="","",HOUR(A1417))</f>
        <v/>
      </c>
    </row>
    <row r="1418">
      <c r="A1418">
        <f>Input!A1418</f>
        <v/>
      </c>
      <c r="B1418">
        <f>IF(ISNUMBER(Input!B1418),IF(AND(Input!B1418&gt;=20,Input!B1418&lt;=700),Input!B1418,""),"")</f>
        <v/>
      </c>
      <c r="C1418">
        <f>IF(B1418="","",INT(A1418))</f>
        <v/>
      </c>
      <c r="D1418">
        <f>IF(B1418="","",HOUR(A1418))</f>
        <v/>
      </c>
    </row>
    <row r="1419">
      <c r="A1419">
        <f>Input!A1419</f>
        <v/>
      </c>
      <c r="B1419">
        <f>IF(ISNUMBER(Input!B1419),IF(AND(Input!B1419&gt;=20,Input!B1419&lt;=700),Input!B1419,""),"")</f>
        <v/>
      </c>
      <c r="C1419">
        <f>IF(B1419="","",INT(A1419))</f>
        <v/>
      </c>
      <c r="D1419">
        <f>IF(B1419="","",HOUR(A1419))</f>
        <v/>
      </c>
    </row>
    <row r="1420">
      <c r="A1420">
        <f>Input!A1420</f>
        <v/>
      </c>
      <c r="B1420">
        <f>IF(ISNUMBER(Input!B1420),IF(AND(Input!B1420&gt;=20,Input!B1420&lt;=700),Input!B1420,""),"")</f>
        <v/>
      </c>
      <c r="C1420">
        <f>IF(B1420="","",INT(A1420))</f>
        <v/>
      </c>
      <c r="D1420">
        <f>IF(B1420="","",HOUR(A1420))</f>
        <v/>
      </c>
    </row>
    <row r="1421">
      <c r="A1421">
        <f>Input!A1421</f>
        <v/>
      </c>
      <c r="B1421">
        <f>IF(ISNUMBER(Input!B1421),IF(AND(Input!B1421&gt;=20,Input!B1421&lt;=700),Input!B1421,""),"")</f>
        <v/>
      </c>
      <c r="C1421">
        <f>IF(B1421="","",INT(A1421))</f>
        <v/>
      </c>
      <c r="D1421">
        <f>IF(B1421="","",HOUR(A1421))</f>
        <v/>
      </c>
    </row>
    <row r="1422">
      <c r="A1422">
        <f>Input!A1422</f>
        <v/>
      </c>
      <c r="B1422">
        <f>IF(ISNUMBER(Input!B1422),IF(AND(Input!B1422&gt;=20,Input!B1422&lt;=700),Input!B1422,""),"")</f>
        <v/>
      </c>
      <c r="C1422">
        <f>IF(B1422="","",INT(A1422))</f>
        <v/>
      </c>
      <c r="D1422">
        <f>IF(B1422="","",HOUR(A1422))</f>
        <v/>
      </c>
    </row>
    <row r="1423">
      <c r="A1423">
        <f>Input!A1423</f>
        <v/>
      </c>
      <c r="B1423">
        <f>IF(ISNUMBER(Input!B1423),IF(AND(Input!B1423&gt;=20,Input!B1423&lt;=700),Input!B1423,""),"")</f>
        <v/>
      </c>
      <c r="C1423">
        <f>IF(B1423="","",INT(A1423))</f>
        <v/>
      </c>
      <c r="D1423">
        <f>IF(B1423="","",HOUR(A1423))</f>
        <v/>
      </c>
    </row>
    <row r="1424">
      <c r="A1424">
        <f>Input!A1424</f>
        <v/>
      </c>
      <c r="B1424">
        <f>IF(ISNUMBER(Input!B1424),IF(AND(Input!B1424&gt;=20,Input!B1424&lt;=700),Input!B1424,""),"")</f>
        <v/>
      </c>
      <c r="C1424">
        <f>IF(B1424="","",INT(A1424))</f>
        <v/>
      </c>
      <c r="D1424">
        <f>IF(B1424="","",HOUR(A1424))</f>
        <v/>
      </c>
    </row>
    <row r="1425">
      <c r="A1425">
        <f>Input!A1425</f>
        <v/>
      </c>
      <c r="B1425">
        <f>IF(ISNUMBER(Input!B1425),IF(AND(Input!B1425&gt;=20,Input!B1425&lt;=700),Input!B1425,""),"")</f>
        <v/>
      </c>
      <c r="C1425">
        <f>IF(B1425="","",INT(A1425))</f>
        <v/>
      </c>
      <c r="D1425">
        <f>IF(B1425="","",HOUR(A1425))</f>
        <v/>
      </c>
    </row>
    <row r="1426">
      <c r="A1426">
        <f>Input!A1426</f>
        <v/>
      </c>
      <c r="B1426">
        <f>IF(ISNUMBER(Input!B1426),IF(AND(Input!B1426&gt;=20,Input!B1426&lt;=700),Input!B1426,""),"")</f>
        <v/>
      </c>
      <c r="C1426">
        <f>IF(B1426="","",INT(A1426))</f>
        <v/>
      </c>
      <c r="D1426">
        <f>IF(B1426="","",HOUR(A1426))</f>
        <v/>
      </c>
    </row>
    <row r="1427">
      <c r="A1427">
        <f>Input!A1427</f>
        <v/>
      </c>
      <c r="B1427">
        <f>IF(ISNUMBER(Input!B1427),IF(AND(Input!B1427&gt;=20,Input!B1427&lt;=700),Input!B1427,""),"")</f>
        <v/>
      </c>
      <c r="C1427">
        <f>IF(B1427="","",INT(A1427))</f>
        <v/>
      </c>
      <c r="D1427">
        <f>IF(B1427="","",HOUR(A1427))</f>
        <v/>
      </c>
    </row>
    <row r="1428">
      <c r="A1428">
        <f>Input!A1428</f>
        <v/>
      </c>
      <c r="B1428">
        <f>IF(ISNUMBER(Input!B1428),IF(AND(Input!B1428&gt;=20,Input!B1428&lt;=700),Input!B1428,""),"")</f>
        <v/>
      </c>
      <c r="C1428">
        <f>IF(B1428="","",INT(A1428))</f>
        <v/>
      </c>
      <c r="D1428">
        <f>IF(B1428="","",HOUR(A1428))</f>
        <v/>
      </c>
    </row>
    <row r="1429">
      <c r="A1429">
        <f>Input!A1429</f>
        <v/>
      </c>
      <c r="B1429">
        <f>IF(ISNUMBER(Input!B1429),IF(AND(Input!B1429&gt;=20,Input!B1429&lt;=700),Input!B1429,""),"")</f>
        <v/>
      </c>
      <c r="C1429">
        <f>IF(B1429="","",INT(A1429))</f>
        <v/>
      </c>
      <c r="D1429">
        <f>IF(B1429="","",HOUR(A1429))</f>
        <v/>
      </c>
    </row>
    <row r="1430">
      <c r="A1430">
        <f>Input!A1430</f>
        <v/>
      </c>
      <c r="B1430">
        <f>IF(ISNUMBER(Input!B1430),IF(AND(Input!B1430&gt;=20,Input!B1430&lt;=700),Input!B1430,""),"")</f>
        <v/>
      </c>
      <c r="C1430">
        <f>IF(B1430="","",INT(A1430))</f>
        <v/>
      </c>
      <c r="D1430">
        <f>IF(B1430="","",HOUR(A1430))</f>
        <v/>
      </c>
    </row>
    <row r="1431">
      <c r="A1431">
        <f>Input!A1431</f>
        <v/>
      </c>
      <c r="B1431">
        <f>IF(ISNUMBER(Input!B1431),IF(AND(Input!B1431&gt;=20,Input!B1431&lt;=700),Input!B1431,""),"")</f>
        <v/>
      </c>
      <c r="C1431">
        <f>IF(B1431="","",INT(A1431))</f>
        <v/>
      </c>
      <c r="D1431">
        <f>IF(B1431="","",HOUR(A1431))</f>
        <v/>
      </c>
    </row>
    <row r="1432">
      <c r="A1432">
        <f>Input!A1432</f>
        <v/>
      </c>
      <c r="B1432">
        <f>IF(ISNUMBER(Input!B1432),IF(AND(Input!B1432&gt;=20,Input!B1432&lt;=700),Input!B1432,""),"")</f>
        <v/>
      </c>
      <c r="C1432">
        <f>IF(B1432="","",INT(A1432))</f>
        <v/>
      </c>
      <c r="D1432">
        <f>IF(B1432="","",HOUR(A1432))</f>
        <v/>
      </c>
    </row>
    <row r="1433">
      <c r="A1433">
        <f>Input!A1433</f>
        <v/>
      </c>
      <c r="B1433">
        <f>IF(ISNUMBER(Input!B1433),IF(AND(Input!B1433&gt;=20,Input!B1433&lt;=700),Input!B1433,""),"")</f>
        <v/>
      </c>
      <c r="C1433">
        <f>IF(B1433="","",INT(A1433))</f>
        <v/>
      </c>
      <c r="D1433">
        <f>IF(B1433="","",HOUR(A1433))</f>
        <v/>
      </c>
    </row>
    <row r="1434">
      <c r="A1434">
        <f>Input!A1434</f>
        <v/>
      </c>
      <c r="B1434">
        <f>IF(ISNUMBER(Input!B1434),IF(AND(Input!B1434&gt;=20,Input!B1434&lt;=700),Input!B1434,""),"")</f>
        <v/>
      </c>
      <c r="C1434">
        <f>IF(B1434="","",INT(A1434))</f>
        <v/>
      </c>
      <c r="D1434">
        <f>IF(B1434="","",HOUR(A1434))</f>
        <v/>
      </c>
    </row>
    <row r="1435">
      <c r="A1435">
        <f>Input!A1435</f>
        <v/>
      </c>
      <c r="B1435">
        <f>IF(ISNUMBER(Input!B1435),IF(AND(Input!B1435&gt;=20,Input!B1435&lt;=700),Input!B1435,""),"")</f>
        <v/>
      </c>
      <c r="C1435">
        <f>IF(B1435="","",INT(A1435))</f>
        <v/>
      </c>
      <c r="D1435">
        <f>IF(B1435="","",HOUR(A1435))</f>
        <v/>
      </c>
    </row>
    <row r="1436">
      <c r="A1436">
        <f>Input!A1436</f>
        <v/>
      </c>
      <c r="B1436">
        <f>IF(ISNUMBER(Input!B1436),IF(AND(Input!B1436&gt;=20,Input!B1436&lt;=700),Input!B1436,""),"")</f>
        <v/>
      </c>
      <c r="C1436">
        <f>IF(B1436="","",INT(A1436))</f>
        <v/>
      </c>
      <c r="D1436">
        <f>IF(B1436="","",HOUR(A1436))</f>
        <v/>
      </c>
    </row>
    <row r="1437">
      <c r="A1437">
        <f>Input!A1437</f>
        <v/>
      </c>
      <c r="B1437">
        <f>IF(ISNUMBER(Input!B1437),IF(AND(Input!B1437&gt;=20,Input!B1437&lt;=700),Input!B1437,""),"")</f>
        <v/>
      </c>
      <c r="C1437">
        <f>IF(B1437="","",INT(A1437))</f>
        <v/>
      </c>
      <c r="D1437">
        <f>IF(B1437="","",HOUR(A1437))</f>
        <v/>
      </c>
    </row>
    <row r="1438">
      <c r="A1438">
        <f>Input!A1438</f>
        <v/>
      </c>
      <c r="B1438">
        <f>IF(ISNUMBER(Input!B1438),IF(AND(Input!B1438&gt;=20,Input!B1438&lt;=700),Input!B1438,""),"")</f>
        <v/>
      </c>
      <c r="C1438">
        <f>IF(B1438="","",INT(A1438))</f>
        <v/>
      </c>
      <c r="D1438">
        <f>IF(B1438="","",HOUR(A1438))</f>
        <v/>
      </c>
    </row>
    <row r="1439">
      <c r="A1439">
        <f>Input!A1439</f>
        <v/>
      </c>
      <c r="B1439">
        <f>IF(ISNUMBER(Input!B1439),IF(AND(Input!B1439&gt;=20,Input!B1439&lt;=700),Input!B1439,""),"")</f>
        <v/>
      </c>
      <c r="C1439">
        <f>IF(B1439="","",INT(A1439))</f>
        <v/>
      </c>
      <c r="D1439">
        <f>IF(B1439="","",HOUR(A1439))</f>
        <v/>
      </c>
    </row>
    <row r="1440">
      <c r="A1440">
        <f>Input!A1440</f>
        <v/>
      </c>
      <c r="B1440">
        <f>IF(ISNUMBER(Input!B1440),IF(AND(Input!B1440&gt;=20,Input!B1440&lt;=700),Input!B1440,""),"")</f>
        <v/>
      </c>
      <c r="C1440">
        <f>IF(B1440="","",INT(A1440))</f>
        <v/>
      </c>
      <c r="D1440">
        <f>IF(B1440="","",HOUR(A1440))</f>
        <v/>
      </c>
    </row>
    <row r="1441">
      <c r="A1441">
        <f>Input!A1441</f>
        <v/>
      </c>
      <c r="B1441">
        <f>IF(ISNUMBER(Input!B1441),IF(AND(Input!B1441&gt;=20,Input!B1441&lt;=700),Input!B1441,""),"")</f>
        <v/>
      </c>
      <c r="C1441">
        <f>IF(B1441="","",INT(A1441))</f>
        <v/>
      </c>
      <c r="D1441">
        <f>IF(B1441="","",HOUR(A1441))</f>
        <v/>
      </c>
    </row>
    <row r="1442">
      <c r="A1442">
        <f>Input!A1442</f>
        <v/>
      </c>
      <c r="B1442">
        <f>IF(ISNUMBER(Input!B1442),IF(AND(Input!B1442&gt;=20,Input!B1442&lt;=700),Input!B1442,""),"")</f>
        <v/>
      </c>
      <c r="C1442">
        <f>IF(B1442="","",INT(A1442))</f>
        <v/>
      </c>
      <c r="D1442">
        <f>IF(B1442="","",HOUR(A1442))</f>
        <v/>
      </c>
    </row>
    <row r="1443">
      <c r="A1443">
        <f>Input!A1443</f>
        <v/>
      </c>
      <c r="B1443">
        <f>IF(ISNUMBER(Input!B1443),IF(AND(Input!B1443&gt;=20,Input!B1443&lt;=700),Input!B1443,""),"")</f>
        <v/>
      </c>
      <c r="C1443">
        <f>IF(B1443="","",INT(A1443))</f>
        <v/>
      </c>
      <c r="D1443">
        <f>IF(B1443="","",HOUR(A1443))</f>
        <v/>
      </c>
    </row>
    <row r="1444">
      <c r="A1444">
        <f>Input!A1444</f>
        <v/>
      </c>
      <c r="B1444">
        <f>IF(ISNUMBER(Input!B1444),IF(AND(Input!B1444&gt;=20,Input!B1444&lt;=700),Input!B1444,""),"")</f>
        <v/>
      </c>
      <c r="C1444">
        <f>IF(B1444="","",INT(A1444))</f>
        <v/>
      </c>
      <c r="D1444">
        <f>IF(B1444="","",HOUR(A1444))</f>
        <v/>
      </c>
    </row>
    <row r="1445">
      <c r="A1445">
        <f>Input!A1445</f>
        <v/>
      </c>
      <c r="B1445">
        <f>IF(ISNUMBER(Input!B1445),IF(AND(Input!B1445&gt;=20,Input!B1445&lt;=700),Input!B1445,""),"")</f>
        <v/>
      </c>
      <c r="C1445">
        <f>IF(B1445="","",INT(A1445))</f>
        <v/>
      </c>
      <c r="D1445">
        <f>IF(B1445="","",HOUR(A1445))</f>
        <v/>
      </c>
    </row>
    <row r="1446">
      <c r="A1446">
        <f>Input!A1446</f>
        <v/>
      </c>
      <c r="B1446">
        <f>IF(ISNUMBER(Input!B1446),IF(AND(Input!B1446&gt;=20,Input!B1446&lt;=700),Input!B1446,""),"")</f>
        <v/>
      </c>
      <c r="C1446">
        <f>IF(B1446="","",INT(A1446))</f>
        <v/>
      </c>
      <c r="D1446">
        <f>IF(B1446="","",HOUR(A1446))</f>
        <v/>
      </c>
    </row>
    <row r="1447">
      <c r="A1447">
        <f>Input!A1447</f>
        <v/>
      </c>
      <c r="B1447">
        <f>IF(ISNUMBER(Input!B1447),IF(AND(Input!B1447&gt;=20,Input!B1447&lt;=700),Input!B1447,""),"")</f>
        <v/>
      </c>
      <c r="C1447">
        <f>IF(B1447="","",INT(A1447))</f>
        <v/>
      </c>
      <c r="D1447">
        <f>IF(B1447="","",HOUR(A1447))</f>
        <v/>
      </c>
    </row>
    <row r="1448">
      <c r="A1448">
        <f>Input!A1448</f>
        <v/>
      </c>
      <c r="B1448">
        <f>IF(ISNUMBER(Input!B1448),IF(AND(Input!B1448&gt;=20,Input!B1448&lt;=700),Input!B1448,""),"")</f>
        <v/>
      </c>
      <c r="C1448">
        <f>IF(B1448="","",INT(A1448))</f>
        <v/>
      </c>
      <c r="D1448">
        <f>IF(B1448="","",HOUR(A1448))</f>
        <v/>
      </c>
    </row>
    <row r="1449">
      <c r="A1449">
        <f>Input!A1449</f>
        <v/>
      </c>
      <c r="B1449">
        <f>IF(ISNUMBER(Input!B1449),IF(AND(Input!B1449&gt;=20,Input!B1449&lt;=700),Input!B1449,""),"")</f>
        <v/>
      </c>
      <c r="C1449">
        <f>IF(B1449="","",INT(A1449))</f>
        <v/>
      </c>
      <c r="D1449">
        <f>IF(B1449="","",HOUR(A1449))</f>
        <v/>
      </c>
    </row>
    <row r="1450">
      <c r="A1450">
        <f>Input!A1450</f>
        <v/>
      </c>
      <c r="B1450">
        <f>IF(ISNUMBER(Input!B1450),IF(AND(Input!B1450&gt;=20,Input!B1450&lt;=700),Input!B1450,""),"")</f>
        <v/>
      </c>
      <c r="C1450">
        <f>IF(B1450="","",INT(A1450))</f>
        <v/>
      </c>
      <c r="D1450">
        <f>IF(B1450="","",HOUR(A1450))</f>
        <v/>
      </c>
    </row>
    <row r="1451">
      <c r="A1451">
        <f>Input!A1451</f>
        <v/>
      </c>
      <c r="B1451">
        <f>IF(ISNUMBER(Input!B1451),IF(AND(Input!B1451&gt;=20,Input!B1451&lt;=700),Input!B1451,""),"")</f>
        <v/>
      </c>
      <c r="C1451">
        <f>IF(B1451="","",INT(A1451))</f>
        <v/>
      </c>
      <c r="D1451">
        <f>IF(B1451="","",HOUR(A1451))</f>
        <v/>
      </c>
    </row>
    <row r="1452">
      <c r="A1452">
        <f>Input!A1452</f>
        <v/>
      </c>
      <c r="B1452">
        <f>IF(ISNUMBER(Input!B1452),IF(AND(Input!B1452&gt;=20,Input!B1452&lt;=700),Input!B1452,""),"")</f>
        <v/>
      </c>
      <c r="C1452">
        <f>IF(B1452="","",INT(A1452))</f>
        <v/>
      </c>
      <c r="D1452">
        <f>IF(B1452="","",HOUR(A1452))</f>
        <v/>
      </c>
    </row>
    <row r="1453">
      <c r="A1453">
        <f>Input!A1453</f>
        <v/>
      </c>
      <c r="B1453">
        <f>IF(ISNUMBER(Input!B1453),IF(AND(Input!B1453&gt;=20,Input!B1453&lt;=700),Input!B1453,""),"")</f>
        <v/>
      </c>
      <c r="C1453">
        <f>IF(B1453="","",INT(A1453))</f>
        <v/>
      </c>
      <c r="D1453">
        <f>IF(B1453="","",HOUR(A1453))</f>
        <v/>
      </c>
    </row>
    <row r="1454">
      <c r="A1454">
        <f>Input!A1454</f>
        <v/>
      </c>
      <c r="B1454">
        <f>IF(ISNUMBER(Input!B1454),IF(AND(Input!B1454&gt;=20,Input!B1454&lt;=700),Input!B1454,""),"")</f>
        <v/>
      </c>
      <c r="C1454">
        <f>IF(B1454="","",INT(A1454))</f>
        <v/>
      </c>
      <c r="D1454">
        <f>IF(B1454="","",HOUR(A1454))</f>
        <v/>
      </c>
    </row>
    <row r="1455">
      <c r="A1455">
        <f>Input!A1455</f>
        <v/>
      </c>
      <c r="B1455">
        <f>IF(ISNUMBER(Input!B1455),IF(AND(Input!B1455&gt;=20,Input!B1455&lt;=700),Input!B1455,""),"")</f>
        <v/>
      </c>
      <c r="C1455">
        <f>IF(B1455="","",INT(A1455))</f>
        <v/>
      </c>
      <c r="D1455">
        <f>IF(B1455="","",HOUR(A1455))</f>
        <v/>
      </c>
    </row>
    <row r="1456">
      <c r="A1456">
        <f>Input!A1456</f>
        <v/>
      </c>
      <c r="B1456">
        <f>IF(ISNUMBER(Input!B1456),IF(AND(Input!B1456&gt;=20,Input!B1456&lt;=700),Input!B1456,""),"")</f>
        <v/>
      </c>
      <c r="C1456">
        <f>IF(B1456="","",INT(A1456))</f>
        <v/>
      </c>
      <c r="D1456">
        <f>IF(B1456="","",HOUR(A1456))</f>
        <v/>
      </c>
    </row>
    <row r="1457">
      <c r="A1457">
        <f>Input!A1457</f>
        <v/>
      </c>
      <c r="B1457">
        <f>IF(ISNUMBER(Input!B1457),IF(AND(Input!B1457&gt;=20,Input!B1457&lt;=700),Input!B1457,""),"")</f>
        <v/>
      </c>
      <c r="C1457">
        <f>IF(B1457="","",INT(A1457))</f>
        <v/>
      </c>
      <c r="D1457">
        <f>IF(B1457="","",HOUR(A1457))</f>
        <v/>
      </c>
    </row>
    <row r="1458">
      <c r="A1458">
        <f>Input!A1458</f>
        <v/>
      </c>
      <c r="B1458">
        <f>IF(ISNUMBER(Input!B1458),IF(AND(Input!B1458&gt;=20,Input!B1458&lt;=700),Input!B1458,""),"")</f>
        <v/>
      </c>
      <c r="C1458">
        <f>IF(B1458="","",INT(A1458))</f>
        <v/>
      </c>
      <c r="D1458">
        <f>IF(B1458="","",HOUR(A1458))</f>
        <v/>
      </c>
    </row>
    <row r="1459">
      <c r="A1459">
        <f>Input!A1459</f>
        <v/>
      </c>
      <c r="B1459">
        <f>IF(ISNUMBER(Input!B1459),IF(AND(Input!B1459&gt;=20,Input!B1459&lt;=700),Input!B1459,""),"")</f>
        <v/>
      </c>
      <c r="C1459">
        <f>IF(B1459="","",INT(A1459))</f>
        <v/>
      </c>
      <c r="D1459">
        <f>IF(B1459="","",HOUR(A1459))</f>
        <v/>
      </c>
    </row>
    <row r="1460">
      <c r="A1460">
        <f>Input!A1460</f>
        <v/>
      </c>
      <c r="B1460">
        <f>IF(ISNUMBER(Input!B1460),IF(AND(Input!B1460&gt;=20,Input!B1460&lt;=700),Input!B1460,""),"")</f>
        <v/>
      </c>
      <c r="C1460">
        <f>IF(B1460="","",INT(A1460))</f>
        <v/>
      </c>
      <c r="D1460">
        <f>IF(B1460="","",HOUR(A1460))</f>
        <v/>
      </c>
    </row>
    <row r="1461">
      <c r="A1461">
        <f>Input!A1461</f>
        <v/>
      </c>
      <c r="B1461">
        <f>IF(ISNUMBER(Input!B1461),IF(AND(Input!B1461&gt;=20,Input!B1461&lt;=700),Input!B1461,""),"")</f>
        <v/>
      </c>
      <c r="C1461">
        <f>IF(B1461="","",INT(A1461))</f>
        <v/>
      </c>
      <c r="D1461">
        <f>IF(B1461="","",HOUR(A1461))</f>
        <v/>
      </c>
    </row>
    <row r="1462">
      <c r="A1462">
        <f>Input!A1462</f>
        <v/>
      </c>
      <c r="B1462">
        <f>IF(ISNUMBER(Input!B1462),IF(AND(Input!B1462&gt;=20,Input!B1462&lt;=700),Input!B1462,""),"")</f>
        <v/>
      </c>
      <c r="C1462">
        <f>IF(B1462="","",INT(A1462))</f>
        <v/>
      </c>
      <c r="D1462">
        <f>IF(B1462="","",HOUR(A1462))</f>
        <v/>
      </c>
    </row>
    <row r="1463">
      <c r="A1463">
        <f>Input!A1463</f>
        <v/>
      </c>
      <c r="B1463">
        <f>IF(ISNUMBER(Input!B1463),IF(AND(Input!B1463&gt;=20,Input!B1463&lt;=700),Input!B1463,""),"")</f>
        <v/>
      </c>
      <c r="C1463">
        <f>IF(B1463="","",INT(A1463))</f>
        <v/>
      </c>
      <c r="D1463">
        <f>IF(B1463="","",HOUR(A1463))</f>
        <v/>
      </c>
    </row>
    <row r="1464">
      <c r="A1464">
        <f>Input!A1464</f>
        <v/>
      </c>
      <c r="B1464">
        <f>IF(ISNUMBER(Input!B1464),IF(AND(Input!B1464&gt;=20,Input!B1464&lt;=700),Input!B1464,""),"")</f>
        <v/>
      </c>
      <c r="C1464">
        <f>IF(B1464="","",INT(A1464))</f>
        <v/>
      </c>
      <c r="D1464">
        <f>IF(B1464="","",HOUR(A1464))</f>
        <v/>
      </c>
    </row>
    <row r="1465">
      <c r="A1465">
        <f>Input!A1465</f>
        <v/>
      </c>
      <c r="B1465">
        <f>IF(ISNUMBER(Input!B1465),IF(AND(Input!B1465&gt;=20,Input!B1465&lt;=700),Input!B1465,""),"")</f>
        <v/>
      </c>
      <c r="C1465">
        <f>IF(B1465="","",INT(A1465))</f>
        <v/>
      </c>
      <c r="D1465">
        <f>IF(B1465="","",HOUR(A1465))</f>
        <v/>
      </c>
    </row>
    <row r="1466">
      <c r="A1466">
        <f>Input!A1466</f>
        <v/>
      </c>
      <c r="B1466">
        <f>IF(ISNUMBER(Input!B1466),IF(AND(Input!B1466&gt;=20,Input!B1466&lt;=700),Input!B1466,""),"")</f>
        <v/>
      </c>
      <c r="C1466">
        <f>IF(B1466="","",INT(A1466))</f>
        <v/>
      </c>
      <c r="D1466">
        <f>IF(B1466="","",HOUR(A1466))</f>
        <v/>
      </c>
    </row>
    <row r="1467">
      <c r="A1467">
        <f>Input!A1467</f>
        <v/>
      </c>
      <c r="B1467">
        <f>IF(ISNUMBER(Input!B1467),IF(AND(Input!B1467&gt;=20,Input!B1467&lt;=700),Input!B1467,""),"")</f>
        <v/>
      </c>
      <c r="C1467">
        <f>IF(B1467="","",INT(A1467))</f>
        <v/>
      </c>
      <c r="D1467">
        <f>IF(B1467="","",HOUR(A1467))</f>
        <v/>
      </c>
    </row>
    <row r="1468">
      <c r="A1468">
        <f>Input!A1468</f>
        <v/>
      </c>
      <c r="B1468">
        <f>IF(ISNUMBER(Input!B1468),IF(AND(Input!B1468&gt;=20,Input!B1468&lt;=700),Input!B1468,""),"")</f>
        <v/>
      </c>
      <c r="C1468">
        <f>IF(B1468="","",INT(A1468))</f>
        <v/>
      </c>
      <c r="D1468">
        <f>IF(B1468="","",HOUR(A1468))</f>
        <v/>
      </c>
    </row>
    <row r="1469">
      <c r="A1469">
        <f>Input!A1469</f>
        <v/>
      </c>
      <c r="B1469">
        <f>IF(ISNUMBER(Input!B1469),IF(AND(Input!B1469&gt;=20,Input!B1469&lt;=700),Input!B1469,""),"")</f>
        <v/>
      </c>
      <c r="C1469">
        <f>IF(B1469="","",INT(A1469))</f>
        <v/>
      </c>
      <c r="D1469">
        <f>IF(B1469="","",HOUR(A1469))</f>
        <v/>
      </c>
    </row>
    <row r="1470">
      <c r="A1470">
        <f>Input!A1470</f>
        <v/>
      </c>
      <c r="B1470">
        <f>IF(ISNUMBER(Input!B1470),IF(AND(Input!B1470&gt;=20,Input!B1470&lt;=700),Input!B1470,""),"")</f>
        <v/>
      </c>
      <c r="C1470">
        <f>IF(B1470="","",INT(A1470))</f>
        <v/>
      </c>
      <c r="D1470">
        <f>IF(B1470="","",HOUR(A1470))</f>
        <v/>
      </c>
    </row>
    <row r="1471">
      <c r="A1471">
        <f>Input!A1471</f>
        <v/>
      </c>
      <c r="B1471">
        <f>IF(ISNUMBER(Input!B1471),IF(AND(Input!B1471&gt;=20,Input!B1471&lt;=700),Input!B1471,""),"")</f>
        <v/>
      </c>
      <c r="C1471">
        <f>IF(B1471="","",INT(A1471))</f>
        <v/>
      </c>
      <c r="D1471">
        <f>IF(B1471="","",HOUR(A1471))</f>
        <v/>
      </c>
    </row>
    <row r="1472">
      <c r="A1472">
        <f>Input!A1472</f>
        <v/>
      </c>
      <c r="B1472">
        <f>IF(ISNUMBER(Input!B1472),IF(AND(Input!B1472&gt;=20,Input!B1472&lt;=700),Input!B1472,""),"")</f>
        <v/>
      </c>
      <c r="C1472">
        <f>IF(B1472="","",INT(A1472))</f>
        <v/>
      </c>
      <c r="D1472">
        <f>IF(B1472="","",HOUR(A1472))</f>
        <v/>
      </c>
    </row>
    <row r="1473">
      <c r="A1473">
        <f>Input!A1473</f>
        <v/>
      </c>
      <c r="B1473">
        <f>IF(ISNUMBER(Input!B1473),IF(AND(Input!B1473&gt;=20,Input!B1473&lt;=700),Input!B1473,""),"")</f>
        <v/>
      </c>
      <c r="C1473">
        <f>IF(B1473="","",INT(A1473))</f>
        <v/>
      </c>
      <c r="D1473">
        <f>IF(B1473="","",HOUR(A1473))</f>
        <v/>
      </c>
    </row>
    <row r="1474">
      <c r="A1474">
        <f>Input!A1474</f>
        <v/>
      </c>
      <c r="B1474">
        <f>IF(ISNUMBER(Input!B1474),IF(AND(Input!B1474&gt;=20,Input!B1474&lt;=700),Input!B1474,""),"")</f>
        <v/>
      </c>
      <c r="C1474">
        <f>IF(B1474="","",INT(A1474))</f>
        <v/>
      </c>
      <c r="D1474">
        <f>IF(B1474="","",HOUR(A1474))</f>
        <v/>
      </c>
    </row>
    <row r="1475">
      <c r="A1475">
        <f>Input!A1475</f>
        <v/>
      </c>
      <c r="B1475">
        <f>IF(ISNUMBER(Input!B1475),IF(AND(Input!B1475&gt;=20,Input!B1475&lt;=700),Input!B1475,""),"")</f>
        <v/>
      </c>
      <c r="C1475">
        <f>IF(B1475="","",INT(A1475))</f>
        <v/>
      </c>
      <c r="D1475">
        <f>IF(B1475="","",HOUR(A1475))</f>
        <v/>
      </c>
    </row>
    <row r="1476">
      <c r="A1476">
        <f>Input!A1476</f>
        <v/>
      </c>
      <c r="B1476">
        <f>IF(ISNUMBER(Input!B1476),IF(AND(Input!B1476&gt;=20,Input!B1476&lt;=700),Input!B1476,""),"")</f>
        <v/>
      </c>
      <c r="C1476">
        <f>IF(B1476="","",INT(A1476))</f>
        <v/>
      </c>
      <c r="D1476">
        <f>IF(B1476="","",HOUR(A1476))</f>
        <v/>
      </c>
    </row>
    <row r="1477">
      <c r="A1477">
        <f>Input!A1477</f>
        <v/>
      </c>
      <c r="B1477">
        <f>IF(ISNUMBER(Input!B1477),IF(AND(Input!B1477&gt;=20,Input!B1477&lt;=700),Input!B1477,""),"")</f>
        <v/>
      </c>
      <c r="C1477">
        <f>IF(B1477="","",INT(A1477))</f>
        <v/>
      </c>
      <c r="D1477">
        <f>IF(B1477="","",HOUR(A1477))</f>
        <v/>
      </c>
    </row>
    <row r="1478">
      <c r="A1478">
        <f>Input!A1478</f>
        <v/>
      </c>
      <c r="B1478">
        <f>IF(ISNUMBER(Input!B1478),IF(AND(Input!B1478&gt;=20,Input!B1478&lt;=700),Input!B1478,""),"")</f>
        <v/>
      </c>
      <c r="C1478">
        <f>IF(B1478="","",INT(A1478))</f>
        <v/>
      </c>
      <c r="D1478">
        <f>IF(B1478="","",HOUR(A1478))</f>
        <v/>
      </c>
    </row>
    <row r="1479">
      <c r="A1479">
        <f>Input!A1479</f>
        <v/>
      </c>
      <c r="B1479">
        <f>IF(ISNUMBER(Input!B1479),IF(AND(Input!B1479&gt;=20,Input!B1479&lt;=700),Input!B1479,""),"")</f>
        <v/>
      </c>
      <c r="C1479">
        <f>IF(B1479="","",INT(A1479))</f>
        <v/>
      </c>
      <c r="D1479">
        <f>IF(B1479="","",HOUR(A1479))</f>
        <v/>
      </c>
    </row>
    <row r="1480">
      <c r="A1480">
        <f>Input!A1480</f>
        <v/>
      </c>
      <c r="B1480">
        <f>IF(ISNUMBER(Input!B1480),IF(AND(Input!B1480&gt;=20,Input!B1480&lt;=700),Input!B1480,""),"")</f>
        <v/>
      </c>
      <c r="C1480">
        <f>IF(B1480="","",INT(A1480))</f>
        <v/>
      </c>
      <c r="D1480">
        <f>IF(B1480="","",HOUR(A1480))</f>
        <v/>
      </c>
    </row>
    <row r="1481">
      <c r="A1481">
        <f>Input!A1481</f>
        <v/>
      </c>
      <c r="B1481">
        <f>IF(ISNUMBER(Input!B1481),IF(AND(Input!B1481&gt;=20,Input!B1481&lt;=700),Input!B1481,""),"")</f>
        <v/>
      </c>
      <c r="C1481">
        <f>IF(B1481="","",INT(A1481))</f>
        <v/>
      </c>
      <c r="D1481">
        <f>IF(B1481="","",HOUR(A1481))</f>
        <v/>
      </c>
    </row>
    <row r="1482">
      <c r="A1482">
        <f>Input!A1482</f>
        <v/>
      </c>
      <c r="B1482">
        <f>IF(ISNUMBER(Input!B1482),IF(AND(Input!B1482&gt;=20,Input!B1482&lt;=700),Input!B1482,""),"")</f>
        <v/>
      </c>
      <c r="C1482">
        <f>IF(B1482="","",INT(A1482))</f>
        <v/>
      </c>
      <c r="D1482">
        <f>IF(B1482="","",HOUR(A1482))</f>
        <v/>
      </c>
    </row>
    <row r="1483">
      <c r="A1483">
        <f>Input!A1483</f>
        <v/>
      </c>
      <c r="B1483">
        <f>IF(ISNUMBER(Input!B1483),IF(AND(Input!B1483&gt;=20,Input!B1483&lt;=700),Input!B1483,""),"")</f>
        <v/>
      </c>
      <c r="C1483">
        <f>IF(B1483="","",INT(A1483))</f>
        <v/>
      </c>
      <c r="D1483">
        <f>IF(B1483="","",HOUR(A1483))</f>
        <v/>
      </c>
    </row>
    <row r="1484">
      <c r="A1484">
        <f>Input!A1484</f>
        <v/>
      </c>
      <c r="B1484">
        <f>IF(ISNUMBER(Input!B1484),IF(AND(Input!B1484&gt;=20,Input!B1484&lt;=700),Input!B1484,""),"")</f>
        <v/>
      </c>
      <c r="C1484">
        <f>IF(B1484="","",INT(A1484))</f>
        <v/>
      </c>
      <c r="D1484">
        <f>IF(B1484="","",HOUR(A1484))</f>
        <v/>
      </c>
    </row>
    <row r="1485">
      <c r="A1485">
        <f>Input!A1485</f>
        <v/>
      </c>
      <c r="B1485">
        <f>IF(ISNUMBER(Input!B1485),IF(AND(Input!B1485&gt;=20,Input!B1485&lt;=700),Input!B1485,""),"")</f>
        <v/>
      </c>
      <c r="C1485">
        <f>IF(B1485="","",INT(A1485))</f>
        <v/>
      </c>
      <c r="D1485">
        <f>IF(B1485="","",HOUR(A1485))</f>
        <v/>
      </c>
    </row>
    <row r="1486">
      <c r="A1486">
        <f>Input!A1486</f>
        <v/>
      </c>
      <c r="B1486">
        <f>IF(ISNUMBER(Input!B1486),IF(AND(Input!B1486&gt;=20,Input!B1486&lt;=700),Input!B1486,""),"")</f>
        <v/>
      </c>
      <c r="C1486">
        <f>IF(B1486="","",INT(A1486))</f>
        <v/>
      </c>
      <c r="D1486">
        <f>IF(B1486="","",HOUR(A1486))</f>
        <v/>
      </c>
    </row>
    <row r="1487">
      <c r="A1487">
        <f>Input!A1487</f>
        <v/>
      </c>
      <c r="B1487">
        <f>IF(ISNUMBER(Input!B1487),IF(AND(Input!B1487&gt;=20,Input!B1487&lt;=700),Input!B1487,""),"")</f>
        <v/>
      </c>
      <c r="C1487">
        <f>IF(B1487="","",INT(A1487))</f>
        <v/>
      </c>
      <c r="D1487">
        <f>IF(B1487="","",HOUR(A1487))</f>
        <v/>
      </c>
    </row>
    <row r="1488">
      <c r="A1488">
        <f>Input!A1488</f>
        <v/>
      </c>
      <c r="B1488">
        <f>IF(ISNUMBER(Input!B1488),IF(AND(Input!B1488&gt;=20,Input!B1488&lt;=700),Input!B1488,""),"")</f>
        <v/>
      </c>
      <c r="C1488">
        <f>IF(B1488="","",INT(A1488))</f>
        <v/>
      </c>
      <c r="D1488">
        <f>IF(B1488="","",HOUR(A1488))</f>
        <v/>
      </c>
    </row>
    <row r="1489">
      <c r="A1489">
        <f>Input!A1489</f>
        <v/>
      </c>
      <c r="B1489">
        <f>IF(ISNUMBER(Input!B1489),IF(AND(Input!B1489&gt;=20,Input!B1489&lt;=700),Input!B1489,""),"")</f>
        <v/>
      </c>
      <c r="C1489">
        <f>IF(B1489="","",INT(A1489))</f>
        <v/>
      </c>
      <c r="D1489">
        <f>IF(B1489="","",HOUR(A1489))</f>
        <v/>
      </c>
    </row>
    <row r="1490">
      <c r="A1490">
        <f>Input!A1490</f>
        <v/>
      </c>
      <c r="B1490">
        <f>IF(ISNUMBER(Input!B1490),IF(AND(Input!B1490&gt;=20,Input!B1490&lt;=700),Input!B1490,""),"")</f>
        <v/>
      </c>
      <c r="C1490">
        <f>IF(B1490="","",INT(A1490))</f>
        <v/>
      </c>
      <c r="D1490">
        <f>IF(B1490="","",HOUR(A1490))</f>
        <v/>
      </c>
    </row>
    <row r="1491">
      <c r="A1491">
        <f>Input!A1491</f>
        <v/>
      </c>
      <c r="B1491">
        <f>IF(ISNUMBER(Input!B1491),IF(AND(Input!B1491&gt;=20,Input!B1491&lt;=700),Input!B1491,""),"")</f>
        <v/>
      </c>
      <c r="C1491">
        <f>IF(B1491="","",INT(A1491))</f>
        <v/>
      </c>
      <c r="D1491">
        <f>IF(B1491="","",HOUR(A1491))</f>
        <v/>
      </c>
    </row>
    <row r="1492">
      <c r="A1492">
        <f>Input!A1492</f>
        <v/>
      </c>
      <c r="B1492">
        <f>IF(ISNUMBER(Input!B1492),IF(AND(Input!B1492&gt;=20,Input!B1492&lt;=700),Input!B1492,""),"")</f>
        <v/>
      </c>
      <c r="C1492">
        <f>IF(B1492="","",INT(A1492))</f>
        <v/>
      </c>
      <c r="D1492">
        <f>IF(B1492="","",HOUR(A1492))</f>
        <v/>
      </c>
    </row>
    <row r="1493">
      <c r="A1493">
        <f>Input!A1493</f>
        <v/>
      </c>
      <c r="B1493">
        <f>IF(ISNUMBER(Input!B1493),IF(AND(Input!B1493&gt;=20,Input!B1493&lt;=700),Input!B1493,""),"")</f>
        <v/>
      </c>
      <c r="C1493">
        <f>IF(B1493="","",INT(A1493))</f>
        <v/>
      </c>
      <c r="D1493">
        <f>IF(B1493="","",HOUR(A1493))</f>
        <v/>
      </c>
    </row>
    <row r="1494">
      <c r="A1494">
        <f>Input!A1494</f>
        <v/>
      </c>
      <c r="B1494">
        <f>IF(ISNUMBER(Input!B1494),IF(AND(Input!B1494&gt;=20,Input!B1494&lt;=700),Input!B1494,""),"")</f>
        <v/>
      </c>
      <c r="C1494">
        <f>IF(B1494="","",INT(A1494))</f>
        <v/>
      </c>
      <c r="D1494">
        <f>IF(B1494="","",HOUR(A1494))</f>
        <v/>
      </c>
    </row>
    <row r="1495">
      <c r="A1495">
        <f>Input!A1495</f>
        <v/>
      </c>
      <c r="B1495">
        <f>IF(ISNUMBER(Input!B1495),IF(AND(Input!B1495&gt;=20,Input!B1495&lt;=700),Input!B1495,""),"")</f>
        <v/>
      </c>
      <c r="C1495">
        <f>IF(B1495="","",INT(A1495))</f>
        <v/>
      </c>
      <c r="D1495">
        <f>IF(B1495="","",HOUR(A1495))</f>
        <v/>
      </c>
    </row>
    <row r="1496">
      <c r="A1496">
        <f>Input!A1496</f>
        <v/>
      </c>
      <c r="B1496">
        <f>IF(ISNUMBER(Input!B1496),IF(AND(Input!B1496&gt;=20,Input!B1496&lt;=700),Input!B1496,""),"")</f>
        <v/>
      </c>
      <c r="C1496">
        <f>IF(B1496="","",INT(A1496))</f>
        <v/>
      </c>
      <c r="D1496">
        <f>IF(B1496="","",HOUR(A1496))</f>
        <v/>
      </c>
    </row>
    <row r="1497">
      <c r="A1497">
        <f>Input!A1497</f>
        <v/>
      </c>
      <c r="B1497">
        <f>IF(ISNUMBER(Input!B1497),IF(AND(Input!B1497&gt;=20,Input!B1497&lt;=700),Input!B1497,""),"")</f>
        <v/>
      </c>
      <c r="C1497">
        <f>IF(B1497="","",INT(A1497))</f>
        <v/>
      </c>
      <c r="D1497">
        <f>IF(B1497="","",HOUR(A1497))</f>
        <v/>
      </c>
    </row>
    <row r="1498">
      <c r="A1498">
        <f>Input!A1498</f>
        <v/>
      </c>
      <c r="B1498">
        <f>IF(ISNUMBER(Input!B1498),IF(AND(Input!B1498&gt;=20,Input!B1498&lt;=700),Input!B1498,""),"")</f>
        <v/>
      </c>
      <c r="C1498">
        <f>IF(B1498="","",INT(A1498))</f>
        <v/>
      </c>
      <c r="D1498">
        <f>IF(B1498="","",HOUR(A1498))</f>
        <v/>
      </c>
    </row>
    <row r="1499">
      <c r="A1499">
        <f>Input!A1499</f>
        <v/>
      </c>
      <c r="B1499">
        <f>IF(ISNUMBER(Input!B1499),IF(AND(Input!B1499&gt;=20,Input!B1499&lt;=700),Input!B1499,""),"")</f>
        <v/>
      </c>
      <c r="C1499">
        <f>IF(B1499="","",INT(A1499))</f>
        <v/>
      </c>
      <c r="D1499">
        <f>IF(B1499="","",HOUR(A1499))</f>
        <v/>
      </c>
    </row>
    <row r="1500">
      <c r="A1500">
        <f>Input!A1500</f>
        <v/>
      </c>
      <c r="B1500">
        <f>IF(ISNUMBER(Input!B1500),IF(AND(Input!B1500&gt;=20,Input!B1500&lt;=700),Input!B1500,""),"")</f>
        <v/>
      </c>
      <c r="C1500">
        <f>IF(B1500="","",INT(A1500))</f>
        <v/>
      </c>
      <c r="D1500">
        <f>IF(B1500="","",HOUR(A1500))</f>
        <v/>
      </c>
    </row>
    <row r="1501">
      <c r="A1501">
        <f>Input!A1501</f>
        <v/>
      </c>
      <c r="B1501">
        <f>IF(ISNUMBER(Input!B1501),IF(AND(Input!B1501&gt;=20,Input!B1501&lt;=700),Input!B1501,""),"")</f>
        <v/>
      </c>
      <c r="C1501">
        <f>IF(B1501="","",INT(A1501))</f>
        <v/>
      </c>
      <c r="D1501">
        <f>IF(B1501="","",HOUR(A1501))</f>
        <v/>
      </c>
    </row>
    <row r="1502">
      <c r="A1502">
        <f>Input!A1502</f>
        <v/>
      </c>
      <c r="B1502">
        <f>IF(ISNUMBER(Input!B1502),IF(AND(Input!B1502&gt;=20,Input!B1502&lt;=700),Input!B1502,""),"")</f>
        <v/>
      </c>
      <c r="C1502">
        <f>IF(B1502="","",INT(A1502))</f>
        <v/>
      </c>
      <c r="D1502">
        <f>IF(B1502="","",HOUR(A1502))</f>
        <v/>
      </c>
    </row>
    <row r="1503">
      <c r="A1503">
        <f>Input!A1503</f>
        <v/>
      </c>
      <c r="B1503">
        <f>IF(ISNUMBER(Input!B1503),IF(AND(Input!B1503&gt;=20,Input!B1503&lt;=700),Input!B1503,""),"")</f>
        <v/>
      </c>
      <c r="C1503">
        <f>IF(B1503="","",INT(A1503))</f>
        <v/>
      </c>
      <c r="D1503">
        <f>IF(B1503="","",HOUR(A1503))</f>
        <v/>
      </c>
    </row>
    <row r="1504">
      <c r="A1504">
        <f>Input!A1504</f>
        <v/>
      </c>
      <c r="B1504">
        <f>IF(ISNUMBER(Input!B1504),IF(AND(Input!B1504&gt;=20,Input!B1504&lt;=700),Input!B1504,""),"")</f>
        <v/>
      </c>
      <c r="C1504">
        <f>IF(B1504="","",INT(A1504))</f>
        <v/>
      </c>
      <c r="D1504">
        <f>IF(B1504="","",HOUR(A1504))</f>
        <v/>
      </c>
    </row>
    <row r="1505">
      <c r="A1505">
        <f>Input!A1505</f>
        <v/>
      </c>
      <c r="B1505">
        <f>IF(ISNUMBER(Input!B1505),IF(AND(Input!B1505&gt;=20,Input!B1505&lt;=700),Input!B1505,""),"")</f>
        <v/>
      </c>
      <c r="C1505">
        <f>IF(B1505="","",INT(A1505))</f>
        <v/>
      </c>
      <c r="D1505">
        <f>IF(B1505="","",HOUR(A1505))</f>
        <v/>
      </c>
    </row>
    <row r="1506">
      <c r="A1506">
        <f>Input!A1506</f>
        <v/>
      </c>
      <c r="B1506">
        <f>IF(ISNUMBER(Input!B1506),IF(AND(Input!B1506&gt;=20,Input!B1506&lt;=700),Input!B1506,""),"")</f>
        <v/>
      </c>
      <c r="C1506">
        <f>IF(B1506="","",INT(A1506))</f>
        <v/>
      </c>
      <c r="D1506">
        <f>IF(B1506="","",HOUR(A1506))</f>
        <v/>
      </c>
    </row>
    <row r="1507">
      <c r="A1507">
        <f>Input!A1507</f>
        <v/>
      </c>
      <c r="B1507">
        <f>IF(ISNUMBER(Input!B1507),IF(AND(Input!B1507&gt;=20,Input!B1507&lt;=700),Input!B1507,""),"")</f>
        <v/>
      </c>
      <c r="C1507">
        <f>IF(B1507="","",INT(A1507))</f>
        <v/>
      </c>
      <c r="D1507">
        <f>IF(B1507="","",HOUR(A1507))</f>
        <v/>
      </c>
    </row>
    <row r="1508">
      <c r="A1508">
        <f>Input!A1508</f>
        <v/>
      </c>
      <c r="B1508">
        <f>IF(ISNUMBER(Input!B1508),IF(AND(Input!B1508&gt;=20,Input!B1508&lt;=700),Input!B1508,""),"")</f>
        <v/>
      </c>
      <c r="C1508">
        <f>IF(B1508="","",INT(A1508))</f>
        <v/>
      </c>
      <c r="D1508">
        <f>IF(B1508="","",HOUR(A1508))</f>
        <v/>
      </c>
    </row>
    <row r="1509">
      <c r="A1509">
        <f>Input!A1509</f>
        <v/>
      </c>
      <c r="B1509">
        <f>IF(ISNUMBER(Input!B1509),IF(AND(Input!B1509&gt;=20,Input!B1509&lt;=700),Input!B1509,""),"")</f>
        <v/>
      </c>
      <c r="C1509">
        <f>IF(B1509="","",INT(A1509))</f>
        <v/>
      </c>
      <c r="D1509">
        <f>IF(B1509="","",HOUR(A1509))</f>
        <v/>
      </c>
    </row>
    <row r="1510">
      <c r="A1510">
        <f>Input!A1510</f>
        <v/>
      </c>
      <c r="B1510">
        <f>IF(ISNUMBER(Input!B1510),IF(AND(Input!B1510&gt;=20,Input!B1510&lt;=700),Input!B1510,""),"")</f>
        <v/>
      </c>
      <c r="C1510">
        <f>IF(B1510="","",INT(A1510))</f>
        <v/>
      </c>
      <c r="D1510">
        <f>IF(B1510="","",HOUR(A1510))</f>
        <v/>
      </c>
    </row>
    <row r="1511">
      <c r="A1511">
        <f>Input!A1511</f>
        <v/>
      </c>
      <c r="B1511">
        <f>IF(ISNUMBER(Input!B1511),IF(AND(Input!B1511&gt;=20,Input!B1511&lt;=700),Input!B1511,""),"")</f>
        <v/>
      </c>
      <c r="C1511">
        <f>IF(B1511="","",INT(A1511))</f>
        <v/>
      </c>
      <c r="D1511">
        <f>IF(B1511="","",HOUR(A1511))</f>
        <v/>
      </c>
    </row>
    <row r="1512">
      <c r="A1512">
        <f>Input!A1512</f>
        <v/>
      </c>
      <c r="B1512">
        <f>IF(ISNUMBER(Input!B1512),IF(AND(Input!B1512&gt;=20,Input!B1512&lt;=700),Input!B1512,""),"")</f>
        <v/>
      </c>
      <c r="C1512">
        <f>IF(B1512="","",INT(A1512))</f>
        <v/>
      </c>
      <c r="D1512">
        <f>IF(B1512="","",HOUR(A1512))</f>
        <v/>
      </c>
    </row>
    <row r="1513">
      <c r="A1513">
        <f>Input!A1513</f>
        <v/>
      </c>
      <c r="B1513">
        <f>IF(ISNUMBER(Input!B1513),IF(AND(Input!B1513&gt;=20,Input!B1513&lt;=700),Input!B1513,""),"")</f>
        <v/>
      </c>
      <c r="C1513">
        <f>IF(B1513="","",INT(A1513))</f>
        <v/>
      </c>
      <c r="D1513">
        <f>IF(B1513="","",HOUR(A1513))</f>
        <v/>
      </c>
    </row>
    <row r="1514">
      <c r="A1514">
        <f>Input!A1514</f>
        <v/>
      </c>
      <c r="B1514">
        <f>IF(ISNUMBER(Input!B1514),IF(AND(Input!B1514&gt;=20,Input!B1514&lt;=700),Input!B1514,""),"")</f>
        <v/>
      </c>
      <c r="C1514">
        <f>IF(B1514="","",INT(A1514))</f>
        <v/>
      </c>
      <c r="D1514">
        <f>IF(B1514="","",HOUR(A1514))</f>
        <v/>
      </c>
    </row>
    <row r="1515">
      <c r="A1515">
        <f>Input!A1515</f>
        <v/>
      </c>
      <c r="B1515">
        <f>IF(ISNUMBER(Input!B1515),IF(AND(Input!B1515&gt;=20,Input!B1515&lt;=700),Input!B1515,""),"")</f>
        <v/>
      </c>
      <c r="C1515">
        <f>IF(B1515="","",INT(A1515))</f>
        <v/>
      </c>
      <c r="D1515">
        <f>IF(B1515="","",HOUR(A1515))</f>
        <v/>
      </c>
    </row>
    <row r="1516">
      <c r="A1516">
        <f>Input!A1516</f>
        <v/>
      </c>
      <c r="B1516">
        <f>IF(ISNUMBER(Input!B1516),IF(AND(Input!B1516&gt;=20,Input!B1516&lt;=700),Input!B1516,""),"")</f>
        <v/>
      </c>
      <c r="C1516">
        <f>IF(B1516="","",INT(A1516))</f>
        <v/>
      </c>
      <c r="D1516">
        <f>IF(B1516="","",HOUR(A1516))</f>
        <v/>
      </c>
    </row>
    <row r="1517">
      <c r="A1517">
        <f>Input!A1517</f>
        <v/>
      </c>
      <c r="B1517">
        <f>IF(ISNUMBER(Input!B1517),IF(AND(Input!B1517&gt;=20,Input!B1517&lt;=700),Input!B1517,""),"")</f>
        <v/>
      </c>
      <c r="C1517">
        <f>IF(B1517="","",INT(A1517))</f>
        <v/>
      </c>
      <c r="D1517">
        <f>IF(B1517="","",HOUR(A1517))</f>
        <v/>
      </c>
    </row>
    <row r="1518">
      <c r="A1518">
        <f>Input!A1518</f>
        <v/>
      </c>
      <c r="B1518">
        <f>IF(ISNUMBER(Input!B1518),IF(AND(Input!B1518&gt;=20,Input!B1518&lt;=700),Input!B1518,""),"")</f>
        <v/>
      </c>
      <c r="C1518">
        <f>IF(B1518="","",INT(A1518))</f>
        <v/>
      </c>
      <c r="D1518">
        <f>IF(B1518="","",HOUR(A1518))</f>
        <v/>
      </c>
    </row>
    <row r="1519">
      <c r="A1519">
        <f>Input!A1519</f>
        <v/>
      </c>
      <c r="B1519">
        <f>IF(ISNUMBER(Input!B1519),IF(AND(Input!B1519&gt;=20,Input!B1519&lt;=700),Input!B1519,""),"")</f>
        <v/>
      </c>
      <c r="C1519">
        <f>IF(B1519="","",INT(A1519))</f>
        <v/>
      </c>
      <c r="D1519">
        <f>IF(B1519="","",HOUR(A1519))</f>
        <v/>
      </c>
    </row>
    <row r="1520">
      <c r="A1520">
        <f>Input!A1520</f>
        <v/>
      </c>
      <c r="B1520">
        <f>IF(ISNUMBER(Input!B1520),IF(AND(Input!B1520&gt;=20,Input!B1520&lt;=700),Input!B1520,""),"")</f>
        <v/>
      </c>
      <c r="C1520">
        <f>IF(B1520="","",INT(A1520))</f>
        <v/>
      </c>
      <c r="D1520">
        <f>IF(B1520="","",HOUR(A1520))</f>
        <v/>
      </c>
    </row>
    <row r="1521">
      <c r="A1521">
        <f>Input!A1521</f>
        <v/>
      </c>
      <c r="B1521">
        <f>IF(ISNUMBER(Input!B1521),IF(AND(Input!B1521&gt;=20,Input!B1521&lt;=700),Input!B1521,""),"")</f>
        <v/>
      </c>
      <c r="C1521">
        <f>IF(B1521="","",INT(A1521))</f>
        <v/>
      </c>
      <c r="D1521">
        <f>IF(B1521="","",HOUR(A1521))</f>
        <v/>
      </c>
    </row>
    <row r="1522">
      <c r="A1522">
        <f>Input!A1522</f>
        <v/>
      </c>
      <c r="B1522">
        <f>IF(ISNUMBER(Input!B1522),IF(AND(Input!B1522&gt;=20,Input!B1522&lt;=700),Input!B1522,""),"")</f>
        <v/>
      </c>
      <c r="C1522">
        <f>IF(B1522="","",INT(A1522))</f>
        <v/>
      </c>
      <c r="D1522">
        <f>IF(B1522="","",HOUR(A1522))</f>
        <v/>
      </c>
    </row>
    <row r="1523">
      <c r="A1523">
        <f>Input!A1523</f>
        <v/>
      </c>
      <c r="B1523">
        <f>IF(ISNUMBER(Input!B1523),IF(AND(Input!B1523&gt;=20,Input!B1523&lt;=700),Input!B1523,""),"")</f>
        <v/>
      </c>
      <c r="C1523">
        <f>IF(B1523="","",INT(A1523))</f>
        <v/>
      </c>
      <c r="D1523">
        <f>IF(B1523="","",HOUR(A1523))</f>
        <v/>
      </c>
    </row>
    <row r="1524">
      <c r="A1524">
        <f>Input!A1524</f>
        <v/>
      </c>
      <c r="B1524">
        <f>IF(ISNUMBER(Input!B1524),IF(AND(Input!B1524&gt;=20,Input!B1524&lt;=700),Input!B1524,""),"")</f>
        <v/>
      </c>
      <c r="C1524">
        <f>IF(B1524="","",INT(A1524))</f>
        <v/>
      </c>
      <c r="D1524">
        <f>IF(B1524="","",HOUR(A1524))</f>
        <v/>
      </c>
    </row>
    <row r="1525">
      <c r="A1525">
        <f>Input!A1525</f>
        <v/>
      </c>
      <c r="B1525">
        <f>IF(ISNUMBER(Input!B1525),IF(AND(Input!B1525&gt;=20,Input!B1525&lt;=700),Input!B1525,""),"")</f>
        <v/>
      </c>
      <c r="C1525">
        <f>IF(B1525="","",INT(A1525))</f>
        <v/>
      </c>
      <c r="D1525">
        <f>IF(B1525="","",HOUR(A1525))</f>
        <v/>
      </c>
    </row>
    <row r="1526">
      <c r="A1526">
        <f>Input!A1526</f>
        <v/>
      </c>
      <c r="B1526">
        <f>IF(ISNUMBER(Input!B1526),IF(AND(Input!B1526&gt;=20,Input!B1526&lt;=700),Input!B1526,""),"")</f>
        <v/>
      </c>
      <c r="C1526">
        <f>IF(B1526="","",INT(A1526))</f>
        <v/>
      </c>
      <c r="D1526">
        <f>IF(B1526="","",HOUR(A1526))</f>
        <v/>
      </c>
    </row>
    <row r="1527">
      <c r="A1527">
        <f>Input!A1527</f>
        <v/>
      </c>
      <c r="B1527">
        <f>IF(ISNUMBER(Input!B1527),IF(AND(Input!B1527&gt;=20,Input!B1527&lt;=700),Input!B1527,""),"")</f>
        <v/>
      </c>
      <c r="C1527">
        <f>IF(B1527="","",INT(A1527))</f>
        <v/>
      </c>
      <c r="D1527">
        <f>IF(B1527="","",HOUR(A1527))</f>
        <v/>
      </c>
    </row>
    <row r="1528">
      <c r="A1528">
        <f>Input!A1528</f>
        <v/>
      </c>
      <c r="B1528">
        <f>IF(ISNUMBER(Input!B1528),IF(AND(Input!B1528&gt;=20,Input!B1528&lt;=700),Input!B1528,""),"")</f>
        <v/>
      </c>
      <c r="C1528">
        <f>IF(B1528="","",INT(A1528))</f>
        <v/>
      </c>
      <c r="D1528">
        <f>IF(B1528="","",HOUR(A1528))</f>
        <v/>
      </c>
    </row>
    <row r="1529">
      <c r="A1529">
        <f>Input!A1529</f>
        <v/>
      </c>
      <c r="B1529">
        <f>IF(ISNUMBER(Input!B1529),IF(AND(Input!B1529&gt;=20,Input!B1529&lt;=700),Input!B1529,""),"")</f>
        <v/>
      </c>
      <c r="C1529">
        <f>IF(B1529="","",INT(A1529))</f>
        <v/>
      </c>
      <c r="D1529">
        <f>IF(B1529="","",HOUR(A1529))</f>
        <v/>
      </c>
    </row>
    <row r="1530">
      <c r="A1530">
        <f>Input!A1530</f>
        <v/>
      </c>
      <c r="B1530">
        <f>IF(ISNUMBER(Input!B1530),IF(AND(Input!B1530&gt;=20,Input!B1530&lt;=700),Input!B1530,""),"")</f>
        <v/>
      </c>
      <c r="C1530">
        <f>IF(B1530="","",INT(A1530))</f>
        <v/>
      </c>
      <c r="D1530">
        <f>IF(B1530="","",HOUR(A1530))</f>
        <v/>
      </c>
    </row>
    <row r="1531">
      <c r="A1531">
        <f>Input!A1531</f>
        <v/>
      </c>
      <c r="B1531">
        <f>IF(ISNUMBER(Input!B1531),IF(AND(Input!B1531&gt;=20,Input!B1531&lt;=700),Input!B1531,""),"")</f>
        <v/>
      </c>
      <c r="C1531">
        <f>IF(B1531="","",INT(A1531))</f>
        <v/>
      </c>
      <c r="D1531">
        <f>IF(B1531="","",HOUR(A1531))</f>
        <v/>
      </c>
    </row>
    <row r="1532">
      <c r="A1532">
        <f>Input!A1532</f>
        <v/>
      </c>
      <c r="B1532">
        <f>IF(ISNUMBER(Input!B1532),IF(AND(Input!B1532&gt;=20,Input!B1532&lt;=700),Input!B1532,""),"")</f>
        <v/>
      </c>
      <c r="C1532">
        <f>IF(B1532="","",INT(A1532))</f>
        <v/>
      </c>
      <c r="D1532">
        <f>IF(B1532="","",HOUR(A1532))</f>
        <v/>
      </c>
    </row>
    <row r="1533">
      <c r="A1533">
        <f>Input!A1533</f>
        <v/>
      </c>
      <c r="B1533">
        <f>IF(ISNUMBER(Input!B1533),IF(AND(Input!B1533&gt;=20,Input!B1533&lt;=700),Input!B1533,""),"")</f>
        <v/>
      </c>
      <c r="C1533">
        <f>IF(B1533="","",INT(A1533))</f>
        <v/>
      </c>
      <c r="D1533">
        <f>IF(B1533="","",HOUR(A1533))</f>
        <v/>
      </c>
    </row>
    <row r="1534">
      <c r="A1534">
        <f>Input!A1534</f>
        <v/>
      </c>
      <c r="B1534">
        <f>IF(ISNUMBER(Input!B1534),IF(AND(Input!B1534&gt;=20,Input!B1534&lt;=700),Input!B1534,""),"")</f>
        <v/>
      </c>
      <c r="C1534">
        <f>IF(B1534="","",INT(A1534))</f>
        <v/>
      </c>
      <c r="D1534">
        <f>IF(B1534="","",HOUR(A1534))</f>
        <v/>
      </c>
    </row>
    <row r="1535">
      <c r="A1535">
        <f>Input!A1535</f>
        <v/>
      </c>
      <c r="B1535">
        <f>IF(ISNUMBER(Input!B1535),IF(AND(Input!B1535&gt;=20,Input!B1535&lt;=700),Input!B1535,""),"")</f>
        <v/>
      </c>
      <c r="C1535">
        <f>IF(B1535="","",INT(A1535))</f>
        <v/>
      </c>
      <c r="D1535">
        <f>IF(B1535="","",HOUR(A1535))</f>
        <v/>
      </c>
    </row>
    <row r="1536">
      <c r="A1536">
        <f>Input!A1536</f>
        <v/>
      </c>
      <c r="B1536">
        <f>IF(ISNUMBER(Input!B1536),IF(AND(Input!B1536&gt;=20,Input!B1536&lt;=700),Input!B1536,""),"")</f>
        <v/>
      </c>
      <c r="C1536">
        <f>IF(B1536="","",INT(A1536))</f>
        <v/>
      </c>
      <c r="D1536">
        <f>IF(B1536="","",HOUR(A1536))</f>
        <v/>
      </c>
    </row>
    <row r="1537">
      <c r="A1537">
        <f>Input!A1537</f>
        <v/>
      </c>
      <c r="B1537">
        <f>IF(ISNUMBER(Input!B1537),IF(AND(Input!B1537&gt;=20,Input!B1537&lt;=700),Input!B1537,""),"")</f>
        <v/>
      </c>
      <c r="C1537">
        <f>IF(B1537="","",INT(A1537))</f>
        <v/>
      </c>
      <c r="D1537">
        <f>IF(B1537="","",HOUR(A1537))</f>
        <v/>
      </c>
    </row>
    <row r="1538">
      <c r="A1538">
        <f>Input!A1538</f>
        <v/>
      </c>
      <c r="B1538">
        <f>IF(ISNUMBER(Input!B1538),IF(AND(Input!B1538&gt;=20,Input!B1538&lt;=700),Input!B1538,""),"")</f>
        <v/>
      </c>
      <c r="C1538">
        <f>IF(B1538="","",INT(A1538))</f>
        <v/>
      </c>
      <c r="D1538">
        <f>IF(B1538="","",HOUR(A1538))</f>
        <v/>
      </c>
    </row>
    <row r="1539">
      <c r="A1539">
        <f>Input!A1539</f>
        <v/>
      </c>
      <c r="B1539">
        <f>IF(ISNUMBER(Input!B1539),IF(AND(Input!B1539&gt;=20,Input!B1539&lt;=700),Input!B1539,""),"")</f>
        <v/>
      </c>
      <c r="C1539">
        <f>IF(B1539="","",INT(A1539))</f>
        <v/>
      </c>
      <c r="D1539">
        <f>IF(B1539="","",HOUR(A1539))</f>
        <v/>
      </c>
    </row>
    <row r="1540">
      <c r="A1540">
        <f>Input!A1540</f>
        <v/>
      </c>
      <c r="B1540">
        <f>IF(ISNUMBER(Input!B1540),IF(AND(Input!B1540&gt;=20,Input!B1540&lt;=700),Input!B1540,""),"")</f>
        <v/>
      </c>
      <c r="C1540">
        <f>IF(B1540="","",INT(A1540))</f>
        <v/>
      </c>
      <c r="D1540">
        <f>IF(B1540="","",HOUR(A1540))</f>
        <v/>
      </c>
    </row>
    <row r="1541">
      <c r="A1541">
        <f>Input!A1541</f>
        <v/>
      </c>
      <c r="B1541">
        <f>IF(ISNUMBER(Input!B1541),IF(AND(Input!B1541&gt;=20,Input!B1541&lt;=700),Input!B1541,""),"")</f>
        <v/>
      </c>
      <c r="C1541">
        <f>IF(B1541="","",INT(A1541))</f>
        <v/>
      </c>
      <c r="D1541">
        <f>IF(B1541="","",HOUR(A1541))</f>
        <v/>
      </c>
    </row>
    <row r="1542">
      <c r="A1542">
        <f>Input!A1542</f>
        <v/>
      </c>
      <c r="B1542">
        <f>IF(ISNUMBER(Input!B1542),IF(AND(Input!B1542&gt;=20,Input!B1542&lt;=700),Input!B1542,""),"")</f>
        <v/>
      </c>
      <c r="C1542">
        <f>IF(B1542="","",INT(A1542))</f>
        <v/>
      </c>
      <c r="D1542">
        <f>IF(B1542="","",HOUR(A1542))</f>
        <v/>
      </c>
    </row>
    <row r="1543">
      <c r="A1543">
        <f>Input!A1543</f>
        <v/>
      </c>
      <c r="B1543">
        <f>IF(ISNUMBER(Input!B1543),IF(AND(Input!B1543&gt;=20,Input!B1543&lt;=700),Input!B1543,""),"")</f>
        <v/>
      </c>
      <c r="C1543">
        <f>IF(B1543="","",INT(A1543))</f>
        <v/>
      </c>
      <c r="D1543">
        <f>IF(B1543="","",HOUR(A1543))</f>
        <v/>
      </c>
    </row>
    <row r="1544">
      <c r="A1544">
        <f>Input!A1544</f>
        <v/>
      </c>
      <c r="B1544">
        <f>IF(ISNUMBER(Input!B1544),IF(AND(Input!B1544&gt;=20,Input!B1544&lt;=700),Input!B1544,""),"")</f>
        <v/>
      </c>
      <c r="C1544">
        <f>IF(B1544="","",INT(A1544))</f>
        <v/>
      </c>
      <c r="D1544">
        <f>IF(B1544="","",HOUR(A1544))</f>
        <v/>
      </c>
    </row>
    <row r="1545">
      <c r="A1545">
        <f>Input!A1545</f>
        <v/>
      </c>
      <c r="B1545">
        <f>IF(ISNUMBER(Input!B1545),IF(AND(Input!B1545&gt;=20,Input!B1545&lt;=700),Input!B1545,""),"")</f>
        <v/>
      </c>
      <c r="C1545">
        <f>IF(B1545="","",INT(A1545))</f>
        <v/>
      </c>
      <c r="D1545">
        <f>IF(B1545="","",HOUR(A1545))</f>
        <v/>
      </c>
    </row>
    <row r="1546">
      <c r="A1546">
        <f>Input!A1546</f>
        <v/>
      </c>
      <c r="B1546">
        <f>IF(ISNUMBER(Input!B1546),IF(AND(Input!B1546&gt;=20,Input!B1546&lt;=700),Input!B1546,""),"")</f>
        <v/>
      </c>
      <c r="C1546">
        <f>IF(B1546="","",INT(A1546))</f>
        <v/>
      </c>
      <c r="D1546">
        <f>IF(B1546="","",HOUR(A1546))</f>
        <v/>
      </c>
    </row>
    <row r="1547">
      <c r="A1547">
        <f>Input!A1547</f>
        <v/>
      </c>
      <c r="B1547">
        <f>IF(ISNUMBER(Input!B1547),IF(AND(Input!B1547&gt;=20,Input!B1547&lt;=700),Input!B1547,""),"")</f>
        <v/>
      </c>
      <c r="C1547">
        <f>IF(B1547="","",INT(A1547))</f>
        <v/>
      </c>
      <c r="D1547">
        <f>IF(B1547="","",HOUR(A1547))</f>
        <v/>
      </c>
    </row>
    <row r="1548">
      <c r="A1548">
        <f>Input!A1548</f>
        <v/>
      </c>
      <c r="B1548">
        <f>IF(ISNUMBER(Input!B1548),IF(AND(Input!B1548&gt;=20,Input!B1548&lt;=700),Input!B1548,""),"")</f>
        <v/>
      </c>
      <c r="C1548">
        <f>IF(B1548="","",INT(A1548))</f>
        <v/>
      </c>
      <c r="D1548">
        <f>IF(B1548="","",HOUR(A1548))</f>
        <v/>
      </c>
    </row>
    <row r="1549">
      <c r="A1549">
        <f>Input!A1549</f>
        <v/>
      </c>
      <c r="B1549">
        <f>IF(ISNUMBER(Input!B1549),IF(AND(Input!B1549&gt;=20,Input!B1549&lt;=700),Input!B1549,""),"")</f>
        <v/>
      </c>
      <c r="C1549">
        <f>IF(B1549="","",INT(A1549))</f>
        <v/>
      </c>
      <c r="D1549">
        <f>IF(B1549="","",HOUR(A1549))</f>
        <v/>
      </c>
    </row>
    <row r="1550">
      <c r="A1550">
        <f>Input!A1550</f>
        <v/>
      </c>
      <c r="B1550">
        <f>IF(ISNUMBER(Input!B1550),IF(AND(Input!B1550&gt;=20,Input!B1550&lt;=700),Input!B1550,""),"")</f>
        <v/>
      </c>
      <c r="C1550">
        <f>IF(B1550="","",INT(A1550))</f>
        <v/>
      </c>
      <c r="D1550">
        <f>IF(B1550="","",HOUR(A1550))</f>
        <v/>
      </c>
    </row>
    <row r="1551">
      <c r="A1551">
        <f>Input!A1551</f>
        <v/>
      </c>
      <c r="B1551">
        <f>IF(ISNUMBER(Input!B1551),IF(AND(Input!B1551&gt;=20,Input!B1551&lt;=700),Input!B1551,""),"")</f>
        <v/>
      </c>
      <c r="C1551">
        <f>IF(B1551="","",INT(A1551))</f>
        <v/>
      </c>
      <c r="D1551">
        <f>IF(B1551="","",HOUR(A1551))</f>
        <v/>
      </c>
    </row>
    <row r="1552">
      <c r="A1552">
        <f>Input!A1552</f>
        <v/>
      </c>
      <c r="B1552">
        <f>IF(ISNUMBER(Input!B1552),IF(AND(Input!B1552&gt;=20,Input!B1552&lt;=700),Input!B1552,""),"")</f>
        <v/>
      </c>
      <c r="C1552">
        <f>IF(B1552="","",INT(A1552))</f>
        <v/>
      </c>
      <c r="D1552">
        <f>IF(B1552="","",HOUR(A1552))</f>
        <v/>
      </c>
    </row>
    <row r="1553">
      <c r="A1553">
        <f>Input!A1553</f>
        <v/>
      </c>
      <c r="B1553">
        <f>IF(ISNUMBER(Input!B1553),IF(AND(Input!B1553&gt;=20,Input!B1553&lt;=700),Input!B1553,""),"")</f>
        <v/>
      </c>
      <c r="C1553">
        <f>IF(B1553="","",INT(A1553))</f>
        <v/>
      </c>
      <c r="D1553">
        <f>IF(B1553="","",HOUR(A1553))</f>
        <v/>
      </c>
    </row>
    <row r="1554">
      <c r="A1554">
        <f>Input!A1554</f>
        <v/>
      </c>
      <c r="B1554">
        <f>IF(ISNUMBER(Input!B1554),IF(AND(Input!B1554&gt;=20,Input!B1554&lt;=700),Input!B1554,""),"")</f>
        <v/>
      </c>
      <c r="C1554">
        <f>IF(B1554="","",INT(A1554))</f>
        <v/>
      </c>
      <c r="D1554">
        <f>IF(B1554="","",HOUR(A1554))</f>
        <v/>
      </c>
    </row>
    <row r="1555">
      <c r="A1555">
        <f>Input!A1555</f>
        <v/>
      </c>
      <c r="B1555">
        <f>IF(ISNUMBER(Input!B1555),IF(AND(Input!B1555&gt;=20,Input!B1555&lt;=700),Input!B1555,""),"")</f>
        <v/>
      </c>
      <c r="C1555">
        <f>IF(B1555="","",INT(A1555))</f>
        <v/>
      </c>
      <c r="D1555">
        <f>IF(B1555="","",HOUR(A1555))</f>
        <v/>
      </c>
    </row>
    <row r="1556">
      <c r="A1556">
        <f>Input!A1556</f>
        <v/>
      </c>
      <c r="B1556">
        <f>IF(ISNUMBER(Input!B1556),IF(AND(Input!B1556&gt;=20,Input!B1556&lt;=700),Input!B1556,""),"")</f>
        <v/>
      </c>
      <c r="C1556">
        <f>IF(B1556="","",INT(A1556))</f>
        <v/>
      </c>
      <c r="D1556">
        <f>IF(B1556="","",HOUR(A1556))</f>
        <v/>
      </c>
    </row>
    <row r="1557">
      <c r="A1557">
        <f>Input!A1557</f>
        <v/>
      </c>
      <c r="B1557">
        <f>IF(ISNUMBER(Input!B1557),IF(AND(Input!B1557&gt;=20,Input!B1557&lt;=700),Input!B1557,""),"")</f>
        <v/>
      </c>
      <c r="C1557">
        <f>IF(B1557="","",INT(A1557))</f>
        <v/>
      </c>
      <c r="D1557">
        <f>IF(B1557="","",HOUR(A1557))</f>
        <v/>
      </c>
    </row>
    <row r="1558">
      <c r="A1558">
        <f>Input!A1558</f>
        <v/>
      </c>
      <c r="B1558">
        <f>IF(ISNUMBER(Input!B1558),IF(AND(Input!B1558&gt;=20,Input!B1558&lt;=700),Input!B1558,""),"")</f>
        <v/>
      </c>
      <c r="C1558">
        <f>IF(B1558="","",INT(A1558))</f>
        <v/>
      </c>
      <c r="D1558">
        <f>IF(B1558="","",HOUR(A1558))</f>
        <v/>
      </c>
    </row>
    <row r="1559">
      <c r="A1559">
        <f>Input!A1559</f>
        <v/>
      </c>
      <c r="B1559">
        <f>IF(ISNUMBER(Input!B1559),IF(AND(Input!B1559&gt;=20,Input!B1559&lt;=700),Input!B1559,""),"")</f>
        <v/>
      </c>
      <c r="C1559">
        <f>IF(B1559="","",INT(A1559))</f>
        <v/>
      </c>
      <c r="D1559">
        <f>IF(B1559="","",HOUR(A1559))</f>
        <v/>
      </c>
    </row>
    <row r="1560">
      <c r="A1560">
        <f>Input!A1560</f>
        <v/>
      </c>
      <c r="B1560">
        <f>IF(ISNUMBER(Input!B1560),IF(AND(Input!B1560&gt;=20,Input!B1560&lt;=700),Input!B1560,""),"")</f>
        <v/>
      </c>
      <c r="C1560">
        <f>IF(B1560="","",INT(A1560))</f>
        <v/>
      </c>
      <c r="D1560">
        <f>IF(B1560="","",HOUR(A1560))</f>
        <v/>
      </c>
    </row>
    <row r="1561">
      <c r="A1561">
        <f>Input!A1561</f>
        <v/>
      </c>
      <c r="B1561">
        <f>IF(ISNUMBER(Input!B1561),IF(AND(Input!B1561&gt;=20,Input!B1561&lt;=700),Input!B1561,""),"")</f>
        <v/>
      </c>
      <c r="C1561">
        <f>IF(B1561="","",INT(A1561))</f>
        <v/>
      </c>
      <c r="D1561">
        <f>IF(B1561="","",HOUR(A1561))</f>
        <v/>
      </c>
    </row>
    <row r="1562">
      <c r="A1562">
        <f>Input!A1562</f>
        <v/>
      </c>
      <c r="B1562">
        <f>IF(ISNUMBER(Input!B1562),IF(AND(Input!B1562&gt;=20,Input!B1562&lt;=700),Input!B1562,""),"")</f>
        <v/>
      </c>
      <c r="C1562">
        <f>IF(B1562="","",INT(A1562))</f>
        <v/>
      </c>
      <c r="D1562">
        <f>IF(B1562="","",HOUR(A1562))</f>
        <v/>
      </c>
    </row>
    <row r="1563">
      <c r="A1563">
        <f>Input!A1563</f>
        <v/>
      </c>
      <c r="B1563">
        <f>IF(ISNUMBER(Input!B1563),IF(AND(Input!B1563&gt;=20,Input!B1563&lt;=700),Input!B1563,""),"")</f>
        <v/>
      </c>
      <c r="C1563">
        <f>IF(B1563="","",INT(A1563))</f>
        <v/>
      </c>
      <c r="D1563">
        <f>IF(B1563="","",HOUR(A1563))</f>
        <v/>
      </c>
    </row>
    <row r="1564">
      <c r="A1564">
        <f>Input!A1564</f>
        <v/>
      </c>
      <c r="B1564">
        <f>IF(ISNUMBER(Input!B1564),IF(AND(Input!B1564&gt;=20,Input!B1564&lt;=700),Input!B1564,""),"")</f>
        <v/>
      </c>
      <c r="C1564">
        <f>IF(B1564="","",INT(A1564))</f>
        <v/>
      </c>
      <c r="D1564">
        <f>IF(B1564="","",HOUR(A1564))</f>
        <v/>
      </c>
    </row>
    <row r="1565">
      <c r="A1565">
        <f>Input!A1565</f>
        <v/>
      </c>
      <c r="B1565">
        <f>IF(ISNUMBER(Input!B1565),IF(AND(Input!B1565&gt;=20,Input!B1565&lt;=700),Input!B1565,""),"")</f>
        <v/>
      </c>
      <c r="C1565">
        <f>IF(B1565="","",INT(A1565))</f>
        <v/>
      </c>
      <c r="D1565">
        <f>IF(B1565="","",HOUR(A1565))</f>
        <v/>
      </c>
    </row>
    <row r="1566">
      <c r="A1566">
        <f>Input!A1566</f>
        <v/>
      </c>
      <c r="B1566">
        <f>IF(ISNUMBER(Input!B1566),IF(AND(Input!B1566&gt;=20,Input!B1566&lt;=700),Input!B1566,""),"")</f>
        <v/>
      </c>
      <c r="C1566">
        <f>IF(B1566="","",INT(A1566))</f>
        <v/>
      </c>
      <c r="D1566">
        <f>IF(B1566="","",HOUR(A1566))</f>
        <v/>
      </c>
    </row>
    <row r="1567">
      <c r="A1567">
        <f>Input!A1567</f>
        <v/>
      </c>
      <c r="B1567">
        <f>IF(ISNUMBER(Input!B1567),IF(AND(Input!B1567&gt;=20,Input!B1567&lt;=700),Input!B1567,""),"")</f>
        <v/>
      </c>
      <c r="C1567">
        <f>IF(B1567="","",INT(A1567))</f>
        <v/>
      </c>
      <c r="D1567">
        <f>IF(B1567="","",HOUR(A1567))</f>
        <v/>
      </c>
    </row>
    <row r="1568">
      <c r="A1568">
        <f>Input!A1568</f>
        <v/>
      </c>
      <c r="B1568">
        <f>IF(ISNUMBER(Input!B1568),IF(AND(Input!B1568&gt;=20,Input!B1568&lt;=700),Input!B1568,""),"")</f>
        <v/>
      </c>
      <c r="C1568">
        <f>IF(B1568="","",INT(A1568))</f>
        <v/>
      </c>
      <c r="D1568">
        <f>IF(B1568="","",HOUR(A1568))</f>
        <v/>
      </c>
    </row>
    <row r="1569">
      <c r="A1569">
        <f>Input!A1569</f>
        <v/>
      </c>
      <c r="B1569">
        <f>IF(ISNUMBER(Input!B1569),IF(AND(Input!B1569&gt;=20,Input!B1569&lt;=700),Input!B1569,""),"")</f>
        <v/>
      </c>
      <c r="C1569">
        <f>IF(B1569="","",INT(A1569))</f>
        <v/>
      </c>
      <c r="D1569">
        <f>IF(B1569="","",HOUR(A1569))</f>
        <v/>
      </c>
    </row>
    <row r="1570">
      <c r="A1570">
        <f>Input!A1570</f>
        <v/>
      </c>
      <c r="B1570">
        <f>IF(ISNUMBER(Input!B1570),IF(AND(Input!B1570&gt;=20,Input!B1570&lt;=700),Input!B1570,""),"")</f>
        <v/>
      </c>
      <c r="C1570">
        <f>IF(B1570="","",INT(A1570))</f>
        <v/>
      </c>
      <c r="D1570">
        <f>IF(B1570="","",HOUR(A1570))</f>
        <v/>
      </c>
    </row>
    <row r="1571">
      <c r="A1571">
        <f>Input!A1571</f>
        <v/>
      </c>
      <c r="B1571">
        <f>IF(ISNUMBER(Input!B1571),IF(AND(Input!B1571&gt;=20,Input!B1571&lt;=700),Input!B1571,""),"")</f>
        <v/>
      </c>
      <c r="C1571">
        <f>IF(B1571="","",INT(A1571))</f>
        <v/>
      </c>
      <c r="D1571">
        <f>IF(B1571="","",HOUR(A1571))</f>
        <v/>
      </c>
    </row>
    <row r="1572">
      <c r="A1572">
        <f>Input!A1572</f>
        <v/>
      </c>
      <c r="B1572">
        <f>IF(ISNUMBER(Input!B1572),IF(AND(Input!B1572&gt;=20,Input!B1572&lt;=700),Input!B1572,""),"")</f>
        <v/>
      </c>
      <c r="C1572">
        <f>IF(B1572="","",INT(A1572))</f>
        <v/>
      </c>
      <c r="D1572">
        <f>IF(B1572="","",HOUR(A1572))</f>
        <v/>
      </c>
    </row>
    <row r="1573">
      <c r="A1573">
        <f>Input!A1573</f>
        <v/>
      </c>
      <c r="B1573">
        <f>IF(ISNUMBER(Input!B1573),IF(AND(Input!B1573&gt;=20,Input!B1573&lt;=700),Input!B1573,""),"")</f>
        <v/>
      </c>
      <c r="C1573">
        <f>IF(B1573="","",INT(A1573))</f>
        <v/>
      </c>
      <c r="D1573">
        <f>IF(B1573="","",HOUR(A1573))</f>
        <v/>
      </c>
    </row>
    <row r="1574">
      <c r="A1574">
        <f>Input!A1574</f>
        <v/>
      </c>
      <c r="B1574">
        <f>IF(ISNUMBER(Input!B1574),IF(AND(Input!B1574&gt;=20,Input!B1574&lt;=700),Input!B1574,""),"")</f>
        <v/>
      </c>
      <c r="C1574">
        <f>IF(B1574="","",INT(A1574))</f>
        <v/>
      </c>
      <c r="D1574">
        <f>IF(B1574="","",HOUR(A1574))</f>
        <v/>
      </c>
    </row>
    <row r="1575">
      <c r="A1575">
        <f>Input!A1575</f>
        <v/>
      </c>
      <c r="B1575">
        <f>IF(ISNUMBER(Input!B1575),IF(AND(Input!B1575&gt;=20,Input!B1575&lt;=700),Input!B1575,""),"")</f>
        <v/>
      </c>
      <c r="C1575">
        <f>IF(B1575="","",INT(A1575))</f>
        <v/>
      </c>
      <c r="D1575">
        <f>IF(B1575="","",HOUR(A1575))</f>
        <v/>
      </c>
    </row>
    <row r="1576">
      <c r="A1576">
        <f>Input!A1576</f>
        <v/>
      </c>
      <c r="B1576">
        <f>IF(ISNUMBER(Input!B1576),IF(AND(Input!B1576&gt;=20,Input!B1576&lt;=700),Input!B1576,""),"")</f>
        <v/>
      </c>
      <c r="C1576">
        <f>IF(B1576="","",INT(A1576))</f>
        <v/>
      </c>
      <c r="D1576">
        <f>IF(B1576="","",HOUR(A1576))</f>
        <v/>
      </c>
    </row>
    <row r="1577">
      <c r="A1577">
        <f>Input!A1577</f>
        <v/>
      </c>
      <c r="B1577">
        <f>IF(ISNUMBER(Input!B1577),IF(AND(Input!B1577&gt;=20,Input!B1577&lt;=700),Input!B1577,""),"")</f>
        <v/>
      </c>
      <c r="C1577">
        <f>IF(B1577="","",INT(A1577))</f>
        <v/>
      </c>
      <c r="D1577">
        <f>IF(B1577="","",HOUR(A1577))</f>
        <v/>
      </c>
    </row>
    <row r="1578">
      <c r="A1578">
        <f>Input!A1578</f>
        <v/>
      </c>
      <c r="B1578">
        <f>IF(ISNUMBER(Input!B1578),IF(AND(Input!B1578&gt;=20,Input!B1578&lt;=700),Input!B1578,""),"")</f>
        <v/>
      </c>
      <c r="C1578">
        <f>IF(B1578="","",INT(A1578))</f>
        <v/>
      </c>
      <c r="D1578">
        <f>IF(B1578="","",HOUR(A1578))</f>
        <v/>
      </c>
    </row>
    <row r="1579">
      <c r="A1579">
        <f>Input!A1579</f>
        <v/>
      </c>
      <c r="B1579">
        <f>IF(ISNUMBER(Input!B1579),IF(AND(Input!B1579&gt;=20,Input!B1579&lt;=700),Input!B1579,""),"")</f>
        <v/>
      </c>
      <c r="C1579">
        <f>IF(B1579="","",INT(A1579))</f>
        <v/>
      </c>
      <c r="D1579">
        <f>IF(B1579="","",HOUR(A1579))</f>
        <v/>
      </c>
    </row>
    <row r="1580">
      <c r="A1580">
        <f>Input!A1580</f>
        <v/>
      </c>
      <c r="B1580">
        <f>IF(ISNUMBER(Input!B1580),IF(AND(Input!B1580&gt;=20,Input!B1580&lt;=700),Input!B1580,""),"")</f>
        <v/>
      </c>
      <c r="C1580">
        <f>IF(B1580="","",INT(A1580))</f>
        <v/>
      </c>
      <c r="D1580">
        <f>IF(B1580="","",HOUR(A1580))</f>
        <v/>
      </c>
    </row>
    <row r="1581">
      <c r="A1581">
        <f>Input!A1581</f>
        <v/>
      </c>
      <c r="B1581">
        <f>IF(ISNUMBER(Input!B1581),IF(AND(Input!B1581&gt;=20,Input!B1581&lt;=700),Input!B1581,""),"")</f>
        <v/>
      </c>
      <c r="C1581">
        <f>IF(B1581="","",INT(A1581))</f>
        <v/>
      </c>
      <c r="D1581">
        <f>IF(B1581="","",HOUR(A1581))</f>
        <v/>
      </c>
    </row>
    <row r="1582">
      <c r="A1582">
        <f>Input!A1582</f>
        <v/>
      </c>
      <c r="B1582">
        <f>IF(ISNUMBER(Input!B1582),IF(AND(Input!B1582&gt;=20,Input!B1582&lt;=700),Input!B1582,""),"")</f>
        <v/>
      </c>
      <c r="C1582">
        <f>IF(B1582="","",INT(A1582))</f>
        <v/>
      </c>
      <c r="D1582">
        <f>IF(B1582="","",HOUR(A1582))</f>
        <v/>
      </c>
    </row>
    <row r="1583">
      <c r="A1583">
        <f>Input!A1583</f>
        <v/>
      </c>
      <c r="B1583">
        <f>IF(ISNUMBER(Input!B1583),IF(AND(Input!B1583&gt;=20,Input!B1583&lt;=700),Input!B1583,""),"")</f>
        <v/>
      </c>
      <c r="C1583">
        <f>IF(B1583="","",INT(A1583))</f>
        <v/>
      </c>
      <c r="D1583">
        <f>IF(B1583="","",HOUR(A1583))</f>
        <v/>
      </c>
    </row>
    <row r="1584">
      <c r="A1584">
        <f>Input!A1584</f>
        <v/>
      </c>
      <c r="B1584">
        <f>IF(ISNUMBER(Input!B1584),IF(AND(Input!B1584&gt;=20,Input!B1584&lt;=700),Input!B1584,""),"")</f>
        <v/>
      </c>
      <c r="C1584">
        <f>IF(B1584="","",INT(A1584))</f>
        <v/>
      </c>
      <c r="D1584">
        <f>IF(B1584="","",HOUR(A1584))</f>
        <v/>
      </c>
    </row>
    <row r="1585">
      <c r="A1585">
        <f>Input!A1585</f>
        <v/>
      </c>
      <c r="B1585">
        <f>IF(ISNUMBER(Input!B1585),IF(AND(Input!B1585&gt;=20,Input!B1585&lt;=700),Input!B1585,""),"")</f>
        <v/>
      </c>
      <c r="C1585">
        <f>IF(B1585="","",INT(A1585))</f>
        <v/>
      </c>
      <c r="D1585">
        <f>IF(B1585="","",HOUR(A1585))</f>
        <v/>
      </c>
    </row>
    <row r="1586">
      <c r="A1586">
        <f>Input!A1586</f>
        <v/>
      </c>
      <c r="B1586">
        <f>IF(ISNUMBER(Input!B1586),IF(AND(Input!B1586&gt;=20,Input!B1586&lt;=700),Input!B1586,""),"")</f>
        <v/>
      </c>
      <c r="C1586">
        <f>IF(B1586="","",INT(A1586))</f>
        <v/>
      </c>
      <c r="D1586">
        <f>IF(B1586="","",HOUR(A1586))</f>
        <v/>
      </c>
    </row>
    <row r="1587">
      <c r="A1587">
        <f>Input!A1587</f>
        <v/>
      </c>
      <c r="B1587">
        <f>IF(ISNUMBER(Input!B1587),IF(AND(Input!B1587&gt;=20,Input!B1587&lt;=700),Input!B1587,""),"")</f>
        <v/>
      </c>
      <c r="C1587">
        <f>IF(B1587="","",INT(A1587))</f>
        <v/>
      </c>
      <c r="D1587">
        <f>IF(B1587="","",HOUR(A1587))</f>
        <v/>
      </c>
    </row>
    <row r="1588">
      <c r="A1588">
        <f>Input!A1588</f>
        <v/>
      </c>
      <c r="B1588">
        <f>IF(ISNUMBER(Input!B1588),IF(AND(Input!B1588&gt;=20,Input!B1588&lt;=700),Input!B1588,""),"")</f>
        <v/>
      </c>
      <c r="C1588">
        <f>IF(B1588="","",INT(A1588))</f>
        <v/>
      </c>
      <c r="D1588">
        <f>IF(B1588="","",HOUR(A1588))</f>
        <v/>
      </c>
    </row>
    <row r="1589">
      <c r="A1589">
        <f>Input!A1589</f>
        <v/>
      </c>
      <c r="B1589">
        <f>IF(ISNUMBER(Input!B1589),IF(AND(Input!B1589&gt;=20,Input!B1589&lt;=700),Input!B1589,""),"")</f>
        <v/>
      </c>
      <c r="C1589">
        <f>IF(B1589="","",INT(A1589))</f>
        <v/>
      </c>
      <c r="D1589">
        <f>IF(B1589="","",HOUR(A1589))</f>
        <v/>
      </c>
    </row>
    <row r="1590">
      <c r="A1590">
        <f>Input!A1590</f>
        <v/>
      </c>
      <c r="B1590">
        <f>IF(ISNUMBER(Input!B1590),IF(AND(Input!B1590&gt;=20,Input!B1590&lt;=700),Input!B1590,""),"")</f>
        <v/>
      </c>
      <c r="C1590">
        <f>IF(B1590="","",INT(A1590))</f>
        <v/>
      </c>
      <c r="D1590">
        <f>IF(B1590="","",HOUR(A1590))</f>
        <v/>
      </c>
    </row>
    <row r="1591">
      <c r="A1591">
        <f>Input!A1591</f>
        <v/>
      </c>
      <c r="B1591">
        <f>IF(ISNUMBER(Input!B1591),IF(AND(Input!B1591&gt;=20,Input!B1591&lt;=700),Input!B1591,""),"")</f>
        <v/>
      </c>
      <c r="C1591">
        <f>IF(B1591="","",INT(A1591))</f>
        <v/>
      </c>
      <c r="D1591">
        <f>IF(B1591="","",HOUR(A1591))</f>
        <v/>
      </c>
    </row>
    <row r="1592">
      <c r="A1592">
        <f>Input!A1592</f>
        <v/>
      </c>
      <c r="B1592">
        <f>IF(ISNUMBER(Input!B1592),IF(AND(Input!B1592&gt;=20,Input!B1592&lt;=700),Input!B1592,""),"")</f>
        <v/>
      </c>
      <c r="C1592">
        <f>IF(B1592="","",INT(A1592))</f>
        <v/>
      </c>
      <c r="D1592">
        <f>IF(B1592="","",HOUR(A1592))</f>
        <v/>
      </c>
    </row>
    <row r="1593">
      <c r="A1593">
        <f>Input!A1593</f>
        <v/>
      </c>
      <c r="B1593">
        <f>IF(ISNUMBER(Input!B1593),IF(AND(Input!B1593&gt;=20,Input!B1593&lt;=700),Input!B1593,""),"")</f>
        <v/>
      </c>
      <c r="C1593">
        <f>IF(B1593="","",INT(A1593))</f>
        <v/>
      </c>
      <c r="D1593">
        <f>IF(B1593="","",HOUR(A1593))</f>
        <v/>
      </c>
    </row>
    <row r="1594">
      <c r="A1594">
        <f>Input!A1594</f>
        <v/>
      </c>
      <c r="B1594">
        <f>IF(ISNUMBER(Input!B1594),IF(AND(Input!B1594&gt;=20,Input!B1594&lt;=700),Input!B1594,""),"")</f>
        <v/>
      </c>
      <c r="C1594">
        <f>IF(B1594="","",INT(A1594))</f>
        <v/>
      </c>
      <c r="D1594">
        <f>IF(B1594="","",HOUR(A1594))</f>
        <v/>
      </c>
    </row>
    <row r="1595">
      <c r="A1595">
        <f>Input!A1595</f>
        <v/>
      </c>
      <c r="B1595">
        <f>IF(ISNUMBER(Input!B1595),IF(AND(Input!B1595&gt;=20,Input!B1595&lt;=700),Input!B1595,""),"")</f>
        <v/>
      </c>
      <c r="C1595">
        <f>IF(B1595="","",INT(A1595))</f>
        <v/>
      </c>
      <c r="D1595">
        <f>IF(B1595="","",HOUR(A1595))</f>
        <v/>
      </c>
    </row>
    <row r="1596">
      <c r="A1596">
        <f>Input!A1596</f>
        <v/>
      </c>
      <c r="B1596">
        <f>IF(ISNUMBER(Input!B1596),IF(AND(Input!B1596&gt;=20,Input!B1596&lt;=700),Input!B1596,""),"")</f>
        <v/>
      </c>
      <c r="C1596">
        <f>IF(B1596="","",INT(A1596))</f>
        <v/>
      </c>
      <c r="D1596">
        <f>IF(B1596="","",HOUR(A1596))</f>
        <v/>
      </c>
    </row>
    <row r="1597">
      <c r="A1597">
        <f>Input!A1597</f>
        <v/>
      </c>
      <c r="B1597">
        <f>IF(ISNUMBER(Input!B1597),IF(AND(Input!B1597&gt;=20,Input!B1597&lt;=700),Input!B1597,""),"")</f>
        <v/>
      </c>
      <c r="C1597">
        <f>IF(B1597="","",INT(A1597))</f>
        <v/>
      </c>
      <c r="D1597">
        <f>IF(B1597="","",HOUR(A1597))</f>
        <v/>
      </c>
    </row>
    <row r="1598">
      <c r="A1598">
        <f>Input!A1598</f>
        <v/>
      </c>
      <c r="B1598">
        <f>IF(ISNUMBER(Input!B1598),IF(AND(Input!B1598&gt;=20,Input!B1598&lt;=700),Input!B1598,""),"")</f>
        <v/>
      </c>
      <c r="C1598">
        <f>IF(B1598="","",INT(A1598))</f>
        <v/>
      </c>
      <c r="D1598">
        <f>IF(B1598="","",HOUR(A1598))</f>
        <v/>
      </c>
    </row>
    <row r="1599">
      <c r="A1599">
        <f>Input!A1599</f>
        <v/>
      </c>
      <c r="B1599">
        <f>IF(ISNUMBER(Input!B1599),IF(AND(Input!B1599&gt;=20,Input!B1599&lt;=700),Input!B1599,""),"")</f>
        <v/>
      </c>
      <c r="C1599">
        <f>IF(B1599="","",INT(A1599))</f>
        <v/>
      </c>
      <c r="D1599">
        <f>IF(B1599="","",HOUR(A1599))</f>
        <v/>
      </c>
    </row>
    <row r="1600">
      <c r="A1600">
        <f>Input!A1600</f>
        <v/>
      </c>
      <c r="B1600">
        <f>IF(ISNUMBER(Input!B1600),IF(AND(Input!B1600&gt;=20,Input!B1600&lt;=700),Input!B1600,""),"")</f>
        <v/>
      </c>
      <c r="C1600">
        <f>IF(B1600="","",INT(A1600))</f>
        <v/>
      </c>
      <c r="D1600">
        <f>IF(B1600="","",HOUR(A1600))</f>
        <v/>
      </c>
    </row>
    <row r="1601">
      <c r="A1601">
        <f>Input!A1601</f>
        <v/>
      </c>
      <c r="B1601">
        <f>IF(ISNUMBER(Input!B1601),IF(AND(Input!B1601&gt;=20,Input!B1601&lt;=700),Input!B1601,""),"")</f>
        <v/>
      </c>
      <c r="C1601">
        <f>IF(B1601="","",INT(A1601))</f>
        <v/>
      </c>
      <c r="D1601">
        <f>IF(B1601="","",HOUR(A1601))</f>
        <v/>
      </c>
    </row>
    <row r="1602">
      <c r="A1602">
        <f>Input!A1602</f>
        <v/>
      </c>
      <c r="B1602">
        <f>IF(ISNUMBER(Input!B1602),IF(AND(Input!B1602&gt;=20,Input!B1602&lt;=700),Input!B1602,""),"")</f>
        <v/>
      </c>
      <c r="C1602">
        <f>IF(B1602="","",INT(A1602))</f>
        <v/>
      </c>
      <c r="D1602">
        <f>IF(B1602="","",HOUR(A1602))</f>
        <v/>
      </c>
    </row>
    <row r="1603">
      <c r="A1603">
        <f>Input!A1603</f>
        <v/>
      </c>
      <c r="B1603">
        <f>IF(ISNUMBER(Input!B1603),IF(AND(Input!B1603&gt;=20,Input!B1603&lt;=700),Input!B1603,""),"")</f>
        <v/>
      </c>
      <c r="C1603">
        <f>IF(B1603="","",INT(A1603))</f>
        <v/>
      </c>
      <c r="D1603">
        <f>IF(B1603="","",HOUR(A1603))</f>
        <v/>
      </c>
    </row>
    <row r="1604">
      <c r="A1604">
        <f>Input!A1604</f>
        <v/>
      </c>
      <c r="B1604">
        <f>IF(ISNUMBER(Input!B1604),IF(AND(Input!B1604&gt;=20,Input!B1604&lt;=700),Input!B1604,""),"")</f>
        <v/>
      </c>
      <c r="C1604">
        <f>IF(B1604="","",INT(A1604))</f>
        <v/>
      </c>
      <c r="D1604">
        <f>IF(B1604="","",HOUR(A1604))</f>
        <v/>
      </c>
    </row>
    <row r="1605">
      <c r="A1605">
        <f>Input!A1605</f>
        <v/>
      </c>
      <c r="B1605">
        <f>IF(ISNUMBER(Input!B1605),IF(AND(Input!B1605&gt;=20,Input!B1605&lt;=700),Input!B1605,""),"")</f>
        <v/>
      </c>
      <c r="C1605">
        <f>IF(B1605="","",INT(A1605))</f>
        <v/>
      </c>
      <c r="D1605">
        <f>IF(B1605="","",HOUR(A1605))</f>
        <v/>
      </c>
    </row>
    <row r="1606">
      <c r="A1606">
        <f>Input!A1606</f>
        <v/>
      </c>
      <c r="B1606">
        <f>IF(ISNUMBER(Input!B1606),IF(AND(Input!B1606&gt;=20,Input!B1606&lt;=700),Input!B1606,""),"")</f>
        <v/>
      </c>
      <c r="C1606">
        <f>IF(B1606="","",INT(A1606))</f>
        <v/>
      </c>
      <c r="D1606">
        <f>IF(B1606="","",HOUR(A1606))</f>
        <v/>
      </c>
    </row>
    <row r="1607">
      <c r="A1607">
        <f>Input!A1607</f>
        <v/>
      </c>
      <c r="B1607">
        <f>IF(ISNUMBER(Input!B1607),IF(AND(Input!B1607&gt;=20,Input!B1607&lt;=700),Input!B1607,""),"")</f>
        <v/>
      </c>
      <c r="C1607">
        <f>IF(B1607="","",INT(A1607))</f>
        <v/>
      </c>
      <c r="D1607">
        <f>IF(B1607="","",HOUR(A1607))</f>
        <v/>
      </c>
    </row>
    <row r="1608">
      <c r="A1608">
        <f>Input!A1608</f>
        <v/>
      </c>
      <c r="B1608">
        <f>IF(ISNUMBER(Input!B1608),IF(AND(Input!B1608&gt;=20,Input!B1608&lt;=700),Input!B1608,""),"")</f>
        <v/>
      </c>
      <c r="C1608">
        <f>IF(B1608="","",INT(A1608))</f>
        <v/>
      </c>
      <c r="D1608">
        <f>IF(B1608="","",HOUR(A1608))</f>
        <v/>
      </c>
    </row>
    <row r="1609">
      <c r="A1609">
        <f>Input!A1609</f>
        <v/>
      </c>
      <c r="B1609">
        <f>IF(ISNUMBER(Input!B1609),IF(AND(Input!B1609&gt;=20,Input!B1609&lt;=700),Input!B1609,""),"")</f>
        <v/>
      </c>
      <c r="C1609">
        <f>IF(B1609="","",INT(A1609))</f>
        <v/>
      </c>
      <c r="D1609">
        <f>IF(B1609="","",HOUR(A1609))</f>
        <v/>
      </c>
    </row>
    <row r="1610">
      <c r="A1610">
        <f>Input!A1610</f>
        <v/>
      </c>
      <c r="B1610">
        <f>IF(ISNUMBER(Input!B1610),IF(AND(Input!B1610&gt;=20,Input!B1610&lt;=700),Input!B1610,""),"")</f>
        <v/>
      </c>
      <c r="C1610">
        <f>IF(B1610="","",INT(A1610))</f>
        <v/>
      </c>
      <c r="D1610">
        <f>IF(B1610="","",HOUR(A1610))</f>
        <v/>
      </c>
    </row>
    <row r="1611">
      <c r="A1611">
        <f>Input!A1611</f>
        <v/>
      </c>
      <c r="B1611">
        <f>IF(ISNUMBER(Input!B1611),IF(AND(Input!B1611&gt;=20,Input!B1611&lt;=700),Input!B1611,""),"")</f>
        <v/>
      </c>
      <c r="C1611">
        <f>IF(B1611="","",INT(A1611))</f>
        <v/>
      </c>
      <c r="D1611">
        <f>IF(B1611="","",HOUR(A1611))</f>
        <v/>
      </c>
    </row>
    <row r="1612">
      <c r="A1612">
        <f>Input!A1612</f>
        <v/>
      </c>
      <c r="B1612">
        <f>IF(ISNUMBER(Input!B1612),IF(AND(Input!B1612&gt;=20,Input!B1612&lt;=700),Input!B1612,""),"")</f>
        <v/>
      </c>
      <c r="C1612">
        <f>IF(B1612="","",INT(A1612))</f>
        <v/>
      </c>
      <c r="D1612">
        <f>IF(B1612="","",HOUR(A1612))</f>
        <v/>
      </c>
    </row>
    <row r="1613">
      <c r="A1613">
        <f>Input!A1613</f>
        <v/>
      </c>
      <c r="B1613">
        <f>IF(ISNUMBER(Input!B1613),IF(AND(Input!B1613&gt;=20,Input!B1613&lt;=700),Input!B1613,""),"")</f>
        <v/>
      </c>
      <c r="C1613">
        <f>IF(B1613="","",INT(A1613))</f>
        <v/>
      </c>
      <c r="D1613">
        <f>IF(B1613="","",HOUR(A1613))</f>
        <v/>
      </c>
    </row>
    <row r="1614">
      <c r="A1614">
        <f>Input!A1614</f>
        <v/>
      </c>
      <c r="B1614">
        <f>IF(ISNUMBER(Input!B1614),IF(AND(Input!B1614&gt;=20,Input!B1614&lt;=700),Input!B1614,""),"")</f>
        <v/>
      </c>
      <c r="C1614">
        <f>IF(B1614="","",INT(A1614))</f>
        <v/>
      </c>
      <c r="D1614">
        <f>IF(B1614="","",HOUR(A1614))</f>
        <v/>
      </c>
    </row>
    <row r="1615">
      <c r="A1615">
        <f>Input!A1615</f>
        <v/>
      </c>
      <c r="B1615">
        <f>IF(ISNUMBER(Input!B1615),IF(AND(Input!B1615&gt;=20,Input!B1615&lt;=700),Input!B1615,""),"")</f>
        <v/>
      </c>
      <c r="C1615">
        <f>IF(B1615="","",INT(A1615))</f>
        <v/>
      </c>
      <c r="D1615">
        <f>IF(B1615="","",HOUR(A1615))</f>
        <v/>
      </c>
    </row>
    <row r="1616">
      <c r="A1616">
        <f>Input!A1616</f>
        <v/>
      </c>
      <c r="B1616">
        <f>IF(ISNUMBER(Input!B1616),IF(AND(Input!B1616&gt;=20,Input!B1616&lt;=700),Input!B1616,""),"")</f>
        <v/>
      </c>
      <c r="C1616">
        <f>IF(B1616="","",INT(A1616))</f>
        <v/>
      </c>
      <c r="D1616">
        <f>IF(B1616="","",HOUR(A1616))</f>
        <v/>
      </c>
    </row>
    <row r="1617">
      <c r="A1617">
        <f>Input!A1617</f>
        <v/>
      </c>
      <c r="B1617">
        <f>IF(ISNUMBER(Input!B1617),IF(AND(Input!B1617&gt;=20,Input!B1617&lt;=700),Input!B1617,""),"")</f>
        <v/>
      </c>
      <c r="C1617">
        <f>IF(B1617="","",INT(A1617))</f>
        <v/>
      </c>
      <c r="D1617">
        <f>IF(B1617="","",HOUR(A1617))</f>
        <v/>
      </c>
    </row>
    <row r="1618">
      <c r="A1618">
        <f>Input!A1618</f>
        <v/>
      </c>
      <c r="B1618">
        <f>IF(ISNUMBER(Input!B1618),IF(AND(Input!B1618&gt;=20,Input!B1618&lt;=700),Input!B1618,""),"")</f>
        <v/>
      </c>
      <c r="C1618">
        <f>IF(B1618="","",INT(A1618))</f>
        <v/>
      </c>
      <c r="D1618">
        <f>IF(B1618="","",HOUR(A1618))</f>
        <v/>
      </c>
    </row>
    <row r="1619">
      <c r="A1619">
        <f>Input!A1619</f>
        <v/>
      </c>
      <c r="B1619">
        <f>IF(ISNUMBER(Input!B1619),IF(AND(Input!B1619&gt;=20,Input!B1619&lt;=700),Input!B1619,""),"")</f>
        <v/>
      </c>
      <c r="C1619">
        <f>IF(B1619="","",INT(A1619))</f>
        <v/>
      </c>
      <c r="D1619">
        <f>IF(B1619="","",HOUR(A1619))</f>
        <v/>
      </c>
    </row>
    <row r="1620">
      <c r="A1620">
        <f>Input!A1620</f>
        <v/>
      </c>
      <c r="B1620">
        <f>IF(ISNUMBER(Input!B1620),IF(AND(Input!B1620&gt;=20,Input!B1620&lt;=700),Input!B1620,""),"")</f>
        <v/>
      </c>
      <c r="C1620">
        <f>IF(B1620="","",INT(A1620))</f>
        <v/>
      </c>
      <c r="D1620">
        <f>IF(B1620="","",HOUR(A1620))</f>
        <v/>
      </c>
    </row>
    <row r="1621">
      <c r="A1621">
        <f>Input!A1621</f>
        <v/>
      </c>
      <c r="B1621">
        <f>IF(ISNUMBER(Input!B1621),IF(AND(Input!B1621&gt;=20,Input!B1621&lt;=700),Input!B1621,""),"")</f>
        <v/>
      </c>
      <c r="C1621">
        <f>IF(B1621="","",INT(A1621))</f>
        <v/>
      </c>
      <c r="D1621">
        <f>IF(B1621="","",HOUR(A1621))</f>
        <v/>
      </c>
    </row>
    <row r="1622">
      <c r="A1622">
        <f>Input!A1622</f>
        <v/>
      </c>
      <c r="B1622">
        <f>IF(ISNUMBER(Input!B1622),IF(AND(Input!B1622&gt;=20,Input!B1622&lt;=700),Input!B1622,""),"")</f>
        <v/>
      </c>
      <c r="C1622">
        <f>IF(B1622="","",INT(A1622))</f>
        <v/>
      </c>
      <c r="D1622">
        <f>IF(B1622="","",HOUR(A1622))</f>
        <v/>
      </c>
    </row>
    <row r="1623">
      <c r="A1623">
        <f>Input!A1623</f>
        <v/>
      </c>
      <c r="B1623">
        <f>IF(ISNUMBER(Input!B1623),IF(AND(Input!B1623&gt;=20,Input!B1623&lt;=700),Input!B1623,""),"")</f>
        <v/>
      </c>
      <c r="C1623">
        <f>IF(B1623="","",INT(A1623))</f>
        <v/>
      </c>
      <c r="D1623">
        <f>IF(B1623="","",HOUR(A1623))</f>
        <v/>
      </c>
    </row>
    <row r="1624">
      <c r="A1624">
        <f>Input!A1624</f>
        <v/>
      </c>
      <c r="B1624">
        <f>IF(ISNUMBER(Input!B1624),IF(AND(Input!B1624&gt;=20,Input!B1624&lt;=700),Input!B1624,""),"")</f>
        <v/>
      </c>
      <c r="C1624">
        <f>IF(B1624="","",INT(A1624))</f>
        <v/>
      </c>
      <c r="D1624">
        <f>IF(B1624="","",HOUR(A1624))</f>
        <v/>
      </c>
    </row>
    <row r="1625">
      <c r="A1625">
        <f>Input!A1625</f>
        <v/>
      </c>
      <c r="B1625">
        <f>IF(ISNUMBER(Input!B1625),IF(AND(Input!B1625&gt;=20,Input!B1625&lt;=700),Input!B1625,""),"")</f>
        <v/>
      </c>
      <c r="C1625">
        <f>IF(B1625="","",INT(A1625))</f>
        <v/>
      </c>
      <c r="D1625">
        <f>IF(B1625="","",HOUR(A1625))</f>
        <v/>
      </c>
    </row>
    <row r="1626">
      <c r="A1626">
        <f>Input!A1626</f>
        <v/>
      </c>
      <c r="B1626">
        <f>IF(ISNUMBER(Input!B1626),IF(AND(Input!B1626&gt;=20,Input!B1626&lt;=700),Input!B1626,""),"")</f>
        <v/>
      </c>
      <c r="C1626">
        <f>IF(B1626="","",INT(A1626))</f>
        <v/>
      </c>
      <c r="D1626">
        <f>IF(B1626="","",HOUR(A1626))</f>
        <v/>
      </c>
    </row>
    <row r="1627">
      <c r="A1627">
        <f>Input!A1627</f>
        <v/>
      </c>
      <c r="B1627">
        <f>IF(ISNUMBER(Input!B1627),IF(AND(Input!B1627&gt;=20,Input!B1627&lt;=700),Input!B1627,""),"")</f>
        <v/>
      </c>
      <c r="C1627">
        <f>IF(B1627="","",INT(A1627))</f>
        <v/>
      </c>
      <c r="D1627">
        <f>IF(B1627="","",HOUR(A1627))</f>
        <v/>
      </c>
    </row>
    <row r="1628">
      <c r="A1628">
        <f>Input!A1628</f>
        <v/>
      </c>
      <c r="B1628">
        <f>IF(ISNUMBER(Input!B1628),IF(AND(Input!B1628&gt;=20,Input!B1628&lt;=700),Input!B1628,""),"")</f>
        <v/>
      </c>
      <c r="C1628">
        <f>IF(B1628="","",INT(A1628))</f>
        <v/>
      </c>
      <c r="D1628">
        <f>IF(B1628="","",HOUR(A1628))</f>
        <v/>
      </c>
    </row>
    <row r="1629">
      <c r="A1629">
        <f>Input!A1629</f>
        <v/>
      </c>
      <c r="B1629">
        <f>IF(ISNUMBER(Input!B1629),IF(AND(Input!B1629&gt;=20,Input!B1629&lt;=700),Input!B1629,""),"")</f>
        <v/>
      </c>
      <c r="C1629">
        <f>IF(B1629="","",INT(A1629))</f>
        <v/>
      </c>
      <c r="D1629">
        <f>IF(B1629="","",HOUR(A1629))</f>
        <v/>
      </c>
    </row>
    <row r="1630">
      <c r="A1630">
        <f>Input!A1630</f>
        <v/>
      </c>
      <c r="B1630">
        <f>IF(ISNUMBER(Input!B1630),IF(AND(Input!B1630&gt;=20,Input!B1630&lt;=700),Input!B1630,""),"")</f>
        <v/>
      </c>
      <c r="C1630">
        <f>IF(B1630="","",INT(A1630))</f>
        <v/>
      </c>
      <c r="D1630">
        <f>IF(B1630="","",HOUR(A1630))</f>
        <v/>
      </c>
    </row>
    <row r="1631">
      <c r="A1631">
        <f>Input!A1631</f>
        <v/>
      </c>
      <c r="B1631">
        <f>IF(ISNUMBER(Input!B1631),IF(AND(Input!B1631&gt;=20,Input!B1631&lt;=700),Input!B1631,""),"")</f>
        <v/>
      </c>
      <c r="C1631">
        <f>IF(B1631="","",INT(A1631))</f>
        <v/>
      </c>
      <c r="D1631">
        <f>IF(B1631="","",HOUR(A1631))</f>
        <v/>
      </c>
    </row>
    <row r="1632">
      <c r="A1632">
        <f>Input!A1632</f>
        <v/>
      </c>
      <c r="B1632">
        <f>IF(ISNUMBER(Input!B1632),IF(AND(Input!B1632&gt;=20,Input!B1632&lt;=700),Input!B1632,""),"")</f>
        <v/>
      </c>
      <c r="C1632">
        <f>IF(B1632="","",INT(A1632))</f>
        <v/>
      </c>
      <c r="D1632">
        <f>IF(B1632="","",HOUR(A1632))</f>
        <v/>
      </c>
    </row>
    <row r="1633">
      <c r="A1633">
        <f>Input!A1633</f>
        <v/>
      </c>
      <c r="B1633">
        <f>IF(ISNUMBER(Input!B1633),IF(AND(Input!B1633&gt;=20,Input!B1633&lt;=700),Input!B1633,""),"")</f>
        <v/>
      </c>
      <c r="C1633">
        <f>IF(B1633="","",INT(A1633))</f>
        <v/>
      </c>
      <c r="D1633">
        <f>IF(B1633="","",HOUR(A1633))</f>
        <v/>
      </c>
    </row>
    <row r="1634">
      <c r="A1634">
        <f>Input!A1634</f>
        <v/>
      </c>
      <c r="B1634">
        <f>IF(ISNUMBER(Input!B1634),IF(AND(Input!B1634&gt;=20,Input!B1634&lt;=700),Input!B1634,""),"")</f>
        <v/>
      </c>
      <c r="C1634">
        <f>IF(B1634="","",INT(A1634))</f>
        <v/>
      </c>
      <c r="D1634">
        <f>IF(B1634="","",HOUR(A1634))</f>
        <v/>
      </c>
    </row>
    <row r="1635">
      <c r="A1635">
        <f>Input!A1635</f>
        <v/>
      </c>
      <c r="B1635">
        <f>IF(ISNUMBER(Input!B1635),IF(AND(Input!B1635&gt;=20,Input!B1635&lt;=700),Input!B1635,""),"")</f>
        <v/>
      </c>
      <c r="C1635">
        <f>IF(B1635="","",INT(A1635))</f>
        <v/>
      </c>
      <c r="D1635">
        <f>IF(B1635="","",HOUR(A1635))</f>
        <v/>
      </c>
    </row>
    <row r="1636">
      <c r="A1636">
        <f>Input!A1636</f>
        <v/>
      </c>
      <c r="B1636">
        <f>IF(ISNUMBER(Input!B1636),IF(AND(Input!B1636&gt;=20,Input!B1636&lt;=700),Input!B1636,""),"")</f>
        <v/>
      </c>
      <c r="C1636">
        <f>IF(B1636="","",INT(A1636))</f>
        <v/>
      </c>
      <c r="D1636">
        <f>IF(B1636="","",HOUR(A1636))</f>
        <v/>
      </c>
    </row>
    <row r="1637">
      <c r="A1637">
        <f>Input!A1637</f>
        <v/>
      </c>
      <c r="B1637">
        <f>IF(ISNUMBER(Input!B1637),IF(AND(Input!B1637&gt;=20,Input!B1637&lt;=700),Input!B1637,""),"")</f>
        <v/>
      </c>
      <c r="C1637">
        <f>IF(B1637="","",INT(A1637))</f>
        <v/>
      </c>
      <c r="D1637">
        <f>IF(B1637="","",HOUR(A1637))</f>
        <v/>
      </c>
    </row>
    <row r="1638">
      <c r="A1638">
        <f>Input!A1638</f>
        <v/>
      </c>
      <c r="B1638">
        <f>IF(ISNUMBER(Input!B1638),IF(AND(Input!B1638&gt;=20,Input!B1638&lt;=700),Input!B1638,""),"")</f>
        <v/>
      </c>
      <c r="C1638">
        <f>IF(B1638="","",INT(A1638))</f>
        <v/>
      </c>
      <c r="D1638">
        <f>IF(B1638="","",HOUR(A1638))</f>
        <v/>
      </c>
    </row>
    <row r="1639">
      <c r="A1639">
        <f>Input!A1639</f>
        <v/>
      </c>
      <c r="B1639">
        <f>IF(ISNUMBER(Input!B1639),IF(AND(Input!B1639&gt;=20,Input!B1639&lt;=700),Input!B1639,""),"")</f>
        <v/>
      </c>
      <c r="C1639">
        <f>IF(B1639="","",INT(A1639))</f>
        <v/>
      </c>
      <c r="D1639">
        <f>IF(B1639="","",HOUR(A1639))</f>
        <v/>
      </c>
    </row>
    <row r="1640">
      <c r="A1640">
        <f>Input!A1640</f>
        <v/>
      </c>
      <c r="B1640">
        <f>IF(ISNUMBER(Input!B1640),IF(AND(Input!B1640&gt;=20,Input!B1640&lt;=700),Input!B1640,""),"")</f>
        <v/>
      </c>
      <c r="C1640">
        <f>IF(B1640="","",INT(A1640))</f>
        <v/>
      </c>
      <c r="D1640">
        <f>IF(B1640="","",HOUR(A1640))</f>
        <v/>
      </c>
    </row>
    <row r="1641">
      <c r="A1641">
        <f>Input!A1641</f>
        <v/>
      </c>
      <c r="B1641">
        <f>IF(ISNUMBER(Input!B1641),IF(AND(Input!B1641&gt;=20,Input!B1641&lt;=700),Input!B1641,""),"")</f>
        <v/>
      </c>
      <c r="C1641">
        <f>IF(B1641="","",INT(A1641))</f>
        <v/>
      </c>
      <c r="D1641">
        <f>IF(B1641="","",HOUR(A1641))</f>
        <v/>
      </c>
    </row>
    <row r="1642">
      <c r="A1642">
        <f>Input!A1642</f>
        <v/>
      </c>
      <c r="B1642">
        <f>IF(ISNUMBER(Input!B1642),IF(AND(Input!B1642&gt;=20,Input!B1642&lt;=700),Input!B1642,""),"")</f>
        <v/>
      </c>
      <c r="C1642">
        <f>IF(B1642="","",INT(A1642))</f>
        <v/>
      </c>
      <c r="D1642">
        <f>IF(B1642="","",HOUR(A1642))</f>
        <v/>
      </c>
    </row>
    <row r="1643">
      <c r="A1643">
        <f>Input!A1643</f>
        <v/>
      </c>
      <c r="B1643">
        <f>IF(ISNUMBER(Input!B1643),IF(AND(Input!B1643&gt;=20,Input!B1643&lt;=700),Input!B1643,""),"")</f>
        <v/>
      </c>
      <c r="C1643">
        <f>IF(B1643="","",INT(A1643))</f>
        <v/>
      </c>
      <c r="D1643">
        <f>IF(B1643="","",HOUR(A1643))</f>
        <v/>
      </c>
    </row>
    <row r="1644">
      <c r="A1644">
        <f>Input!A1644</f>
        <v/>
      </c>
      <c r="B1644">
        <f>IF(ISNUMBER(Input!B1644),IF(AND(Input!B1644&gt;=20,Input!B1644&lt;=700),Input!B1644,""),"")</f>
        <v/>
      </c>
      <c r="C1644">
        <f>IF(B1644="","",INT(A1644))</f>
        <v/>
      </c>
      <c r="D1644">
        <f>IF(B1644="","",HOUR(A1644))</f>
        <v/>
      </c>
    </row>
    <row r="1645">
      <c r="A1645">
        <f>Input!A1645</f>
        <v/>
      </c>
      <c r="B1645">
        <f>IF(ISNUMBER(Input!B1645),IF(AND(Input!B1645&gt;=20,Input!B1645&lt;=700),Input!B1645,""),"")</f>
        <v/>
      </c>
      <c r="C1645">
        <f>IF(B1645="","",INT(A1645))</f>
        <v/>
      </c>
      <c r="D1645">
        <f>IF(B1645="","",HOUR(A1645))</f>
        <v/>
      </c>
    </row>
    <row r="1646">
      <c r="A1646">
        <f>Input!A1646</f>
        <v/>
      </c>
      <c r="B1646">
        <f>IF(ISNUMBER(Input!B1646),IF(AND(Input!B1646&gt;=20,Input!B1646&lt;=700),Input!B1646,""),"")</f>
        <v/>
      </c>
      <c r="C1646">
        <f>IF(B1646="","",INT(A1646))</f>
        <v/>
      </c>
      <c r="D1646">
        <f>IF(B1646="","",HOUR(A1646))</f>
        <v/>
      </c>
    </row>
    <row r="1647">
      <c r="A1647">
        <f>Input!A1647</f>
        <v/>
      </c>
      <c r="B1647">
        <f>IF(ISNUMBER(Input!B1647),IF(AND(Input!B1647&gt;=20,Input!B1647&lt;=700),Input!B1647,""),"")</f>
        <v/>
      </c>
      <c r="C1647">
        <f>IF(B1647="","",INT(A1647))</f>
        <v/>
      </c>
      <c r="D1647">
        <f>IF(B1647="","",HOUR(A1647))</f>
        <v/>
      </c>
    </row>
    <row r="1648">
      <c r="A1648">
        <f>Input!A1648</f>
        <v/>
      </c>
      <c r="B1648">
        <f>IF(ISNUMBER(Input!B1648),IF(AND(Input!B1648&gt;=20,Input!B1648&lt;=700),Input!B1648,""),"")</f>
        <v/>
      </c>
      <c r="C1648">
        <f>IF(B1648="","",INT(A1648))</f>
        <v/>
      </c>
      <c r="D1648">
        <f>IF(B1648="","",HOUR(A1648))</f>
        <v/>
      </c>
    </row>
    <row r="1649">
      <c r="A1649">
        <f>Input!A1649</f>
        <v/>
      </c>
      <c r="B1649">
        <f>IF(ISNUMBER(Input!B1649),IF(AND(Input!B1649&gt;=20,Input!B1649&lt;=700),Input!B1649,""),"")</f>
        <v/>
      </c>
      <c r="C1649">
        <f>IF(B1649="","",INT(A1649))</f>
        <v/>
      </c>
      <c r="D1649">
        <f>IF(B1649="","",HOUR(A1649))</f>
        <v/>
      </c>
    </row>
    <row r="1650">
      <c r="A1650">
        <f>Input!A1650</f>
        <v/>
      </c>
      <c r="B1650">
        <f>IF(ISNUMBER(Input!B1650),IF(AND(Input!B1650&gt;=20,Input!B1650&lt;=700),Input!B1650,""),"")</f>
        <v/>
      </c>
      <c r="C1650">
        <f>IF(B1650="","",INT(A1650))</f>
        <v/>
      </c>
      <c r="D1650">
        <f>IF(B1650="","",HOUR(A1650))</f>
        <v/>
      </c>
    </row>
    <row r="1651">
      <c r="A1651">
        <f>Input!A1651</f>
        <v/>
      </c>
      <c r="B1651">
        <f>IF(ISNUMBER(Input!B1651),IF(AND(Input!B1651&gt;=20,Input!B1651&lt;=700),Input!B1651,""),"")</f>
        <v/>
      </c>
      <c r="C1651">
        <f>IF(B1651="","",INT(A1651))</f>
        <v/>
      </c>
      <c r="D1651">
        <f>IF(B1651="","",HOUR(A1651))</f>
        <v/>
      </c>
    </row>
    <row r="1652">
      <c r="A1652">
        <f>Input!A1652</f>
        <v/>
      </c>
      <c r="B1652">
        <f>IF(ISNUMBER(Input!B1652),IF(AND(Input!B1652&gt;=20,Input!B1652&lt;=700),Input!B1652,""),"")</f>
        <v/>
      </c>
      <c r="C1652">
        <f>IF(B1652="","",INT(A1652))</f>
        <v/>
      </c>
      <c r="D1652">
        <f>IF(B1652="","",HOUR(A1652))</f>
        <v/>
      </c>
    </row>
    <row r="1653">
      <c r="A1653">
        <f>Input!A1653</f>
        <v/>
      </c>
      <c r="B1653">
        <f>IF(ISNUMBER(Input!B1653),IF(AND(Input!B1653&gt;=20,Input!B1653&lt;=700),Input!B1653,""),"")</f>
        <v/>
      </c>
      <c r="C1653">
        <f>IF(B1653="","",INT(A1653))</f>
        <v/>
      </c>
      <c r="D1653">
        <f>IF(B1653="","",HOUR(A1653))</f>
        <v/>
      </c>
    </row>
    <row r="1654">
      <c r="A1654">
        <f>Input!A1654</f>
        <v/>
      </c>
      <c r="B1654">
        <f>IF(ISNUMBER(Input!B1654),IF(AND(Input!B1654&gt;=20,Input!B1654&lt;=700),Input!B1654,""),"")</f>
        <v/>
      </c>
      <c r="C1654">
        <f>IF(B1654="","",INT(A1654))</f>
        <v/>
      </c>
      <c r="D1654">
        <f>IF(B1654="","",HOUR(A1654))</f>
        <v/>
      </c>
    </row>
    <row r="1655">
      <c r="A1655">
        <f>Input!A1655</f>
        <v/>
      </c>
      <c r="B1655">
        <f>IF(ISNUMBER(Input!B1655),IF(AND(Input!B1655&gt;=20,Input!B1655&lt;=700),Input!B1655,""),"")</f>
        <v/>
      </c>
      <c r="C1655">
        <f>IF(B1655="","",INT(A1655))</f>
        <v/>
      </c>
      <c r="D1655">
        <f>IF(B1655="","",HOUR(A1655))</f>
        <v/>
      </c>
    </row>
    <row r="1656">
      <c r="A1656">
        <f>Input!A1656</f>
        <v/>
      </c>
      <c r="B1656">
        <f>IF(ISNUMBER(Input!B1656),IF(AND(Input!B1656&gt;=20,Input!B1656&lt;=700),Input!B1656,""),"")</f>
        <v/>
      </c>
      <c r="C1656">
        <f>IF(B1656="","",INT(A1656))</f>
        <v/>
      </c>
      <c r="D1656">
        <f>IF(B1656="","",HOUR(A1656))</f>
        <v/>
      </c>
    </row>
    <row r="1657">
      <c r="A1657">
        <f>Input!A1657</f>
        <v/>
      </c>
      <c r="B1657">
        <f>IF(ISNUMBER(Input!B1657),IF(AND(Input!B1657&gt;=20,Input!B1657&lt;=700),Input!B1657,""),"")</f>
        <v/>
      </c>
      <c r="C1657">
        <f>IF(B1657="","",INT(A1657))</f>
        <v/>
      </c>
      <c r="D1657">
        <f>IF(B1657="","",HOUR(A1657))</f>
        <v/>
      </c>
    </row>
    <row r="1658">
      <c r="A1658">
        <f>Input!A1658</f>
        <v/>
      </c>
      <c r="B1658">
        <f>IF(ISNUMBER(Input!B1658),IF(AND(Input!B1658&gt;=20,Input!B1658&lt;=700),Input!B1658,""),"")</f>
        <v/>
      </c>
      <c r="C1658">
        <f>IF(B1658="","",INT(A1658))</f>
        <v/>
      </c>
      <c r="D1658">
        <f>IF(B1658="","",HOUR(A1658))</f>
        <v/>
      </c>
    </row>
    <row r="1659">
      <c r="A1659">
        <f>Input!A1659</f>
        <v/>
      </c>
      <c r="B1659">
        <f>IF(ISNUMBER(Input!B1659),IF(AND(Input!B1659&gt;=20,Input!B1659&lt;=700),Input!B1659,""),"")</f>
        <v/>
      </c>
      <c r="C1659">
        <f>IF(B1659="","",INT(A1659))</f>
        <v/>
      </c>
      <c r="D1659">
        <f>IF(B1659="","",HOUR(A1659))</f>
        <v/>
      </c>
    </row>
    <row r="1660">
      <c r="A1660">
        <f>Input!A1660</f>
        <v/>
      </c>
      <c r="B1660">
        <f>IF(ISNUMBER(Input!B1660),IF(AND(Input!B1660&gt;=20,Input!B1660&lt;=700),Input!B1660,""),"")</f>
        <v/>
      </c>
      <c r="C1660">
        <f>IF(B1660="","",INT(A1660))</f>
        <v/>
      </c>
      <c r="D1660">
        <f>IF(B1660="","",HOUR(A1660))</f>
        <v/>
      </c>
    </row>
    <row r="1661">
      <c r="A1661">
        <f>Input!A1661</f>
        <v/>
      </c>
      <c r="B1661">
        <f>IF(ISNUMBER(Input!B1661),IF(AND(Input!B1661&gt;=20,Input!B1661&lt;=700),Input!B1661,""),"")</f>
        <v/>
      </c>
      <c r="C1661">
        <f>IF(B1661="","",INT(A1661))</f>
        <v/>
      </c>
      <c r="D1661">
        <f>IF(B1661="","",HOUR(A1661))</f>
        <v/>
      </c>
    </row>
    <row r="1662">
      <c r="A1662">
        <f>Input!A1662</f>
        <v/>
      </c>
      <c r="B1662">
        <f>IF(ISNUMBER(Input!B1662),IF(AND(Input!B1662&gt;=20,Input!B1662&lt;=700),Input!B1662,""),"")</f>
        <v/>
      </c>
      <c r="C1662">
        <f>IF(B1662="","",INT(A1662))</f>
        <v/>
      </c>
      <c r="D1662">
        <f>IF(B1662="","",HOUR(A1662))</f>
        <v/>
      </c>
    </row>
    <row r="1663">
      <c r="A1663">
        <f>Input!A1663</f>
        <v/>
      </c>
      <c r="B1663">
        <f>IF(ISNUMBER(Input!B1663),IF(AND(Input!B1663&gt;=20,Input!B1663&lt;=700),Input!B1663,""),"")</f>
        <v/>
      </c>
      <c r="C1663">
        <f>IF(B1663="","",INT(A1663))</f>
        <v/>
      </c>
      <c r="D1663">
        <f>IF(B1663="","",HOUR(A1663))</f>
        <v/>
      </c>
    </row>
    <row r="1664">
      <c r="A1664">
        <f>Input!A1664</f>
        <v/>
      </c>
      <c r="B1664">
        <f>IF(ISNUMBER(Input!B1664),IF(AND(Input!B1664&gt;=20,Input!B1664&lt;=700),Input!B1664,""),"")</f>
        <v/>
      </c>
      <c r="C1664">
        <f>IF(B1664="","",INT(A1664))</f>
        <v/>
      </c>
      <c r="D1664">
        <f>IF(B1664="","",HOUR(A1664))</f>
        <v/>
      </c>
    </row>
    <row r="1665">
      <c r="A1665">
        <f>Input!A1665</f>
        <v/>
      </c>
      <c r="B1665">
        <f>IF(ISNUMBER(Input!B1665),IF(AND(Input!B1665&gt;=20,Input!B1665&lt;=700),Input!B1665,""),"")</f>
        <v/>
      </c>
      <c r="C1665">
        <f>IF(B1665="","",INT(A1665))</f>
        <v/>
      </c>
      <c r="D1665">
        <f>IF(B1665="","",HOUR(A1665))</f>
        <v/>
      </c>
    </row>
    <row r="1666">
      <c r="A1666">
        <f>Input!A1666</f>
        <v/>
      </c>
      <c r="B1666">
        <f>IF(ISNUMBER(Input!B1666),IF(AND(Input!B1666&gt;=20,Input!B1666&lt;=700),Input!B1666,""),"")</f>
        <v/>
      </c>
      <c r="C1666">
        <f>IF(B1666="","",INT(A1666))</f>
        <v/>
      </c>
      <c r="D1666">
        <f>IF(B1666="","",HOUR(A1666))</f>
        <v/>
      </c>
    </row>
    <row r="1667">
      <c r="A1667">
        <f>Input!A1667</f>
        <v/>
      </c>
      <c r="B1667">
        <f>IF(ISNUMBER(Input!B1667),IF(AND(Input!B1667&gt;=20,Input!B1667&lt;=700),Input!B1667,""),"")</f>
        <v/>
      </c>
      <c r="C1667">
        <f>IF(B1667="","",INT(A1667))</f>
        <v/>
      </c>
      <c r="D1667">
        <f>IF(B1667="","",HOUR(A1667))</f>
        <v/>
      </c>
    </row>
    <row r="1668">
      <c r="A1668">
        <f>Input!A1668</f>
        <v/>
      </c>
      <c r="B1668">
        <f>IF(ISNUMBER(Input!B1668),IF(AND(Input!B1668&gt;=20,Input!B1668&lt;=700),Input!B1668,""),"")</f>
        <v/>
      </c>
      <c r="C1668">
        <f>IF(B1668="","",INT(A1668))</f>
        <v/>
      </c>
      <c r="D1668">
        <f>IF(B1668="","",HOUR(A1668))</f>
        <v/>
      </c>
    </row>
    <row r="1669">
      <c r="A1669">
        <f>Input!A1669</f>
        <v/>
      </c>
      <c r="B1669">
        <f>IF(ISNUMBER(Input!B1669),IF(AND(Input!B1669&gt;=20,Input!B1669&lt;=700),Input!B1669,""),"")</f>
        <v/>
      </c>
      <c r="C1669">
        <f>IF(B1669="","",INT(A1669))</f>
        <v/>
      </c>
      <c r="D1669">
        <f>IF(B1669="","",HOUR(A1669))</f>
        <v/>
      </c>
    </row>
    <row r="1670">
      <c r="A1670">
        <f>Input!A1670</f>
        <v/>
      </c>
      <c r="B1670">
        <f>IF(ISNUMBER(Input!B1670),IF(AND(Input!B1670&gt;=20,Input!B1670&lt;=700),Input!B1670,""),"")</f>
        <v/>
      </c>
      <c r="C1670">
        <f>IF(B1670="","",INT(A1670))</f>
        <v/>
      </c>
      <c r="D1670">
        <f>IF(B1670="","",HOUR(A1670))</f>
        <v/>
      </c>
    </row>
    <row r="1671">
      <c r="A1671">
        <f>Input!A1671</f>
        <v/>
      </c>
      <c r="B1671">
        <f>IF(ISNUMBER(Input!B1671),IF(AND(Input!B1671&gt;=20,Input!B1671&lt;=700),Input!B1671,""),"")</f>
        <v/>
      </c>
      <c r="C1671">
        <f>IF(B1671="","",INT(A1671))</f>
        <v/>
      </c>
      <c r="D1671">
        <f>IF(B1671="","",HOUR(A1671))</f>
        <v/>
      </c>
    </row>
    <row r="1672">
      <c r="A1672">
        <f>Input!A1672</f>
        <v/>
      </c>
      <c r="B1672">
        <f>IF(ISNUMBER(Input!B1672),IF(AND(Input!B1672&gt;=20,Input!B1672&lt;=700),Input!B1672,""),"")</f>
        <v/>
      </c>
      <c r="C1672">
        <f>IF(B1672="","",INT(A1672))</f>
        <v/>
      </c>
      <c r="D1672">
        <f>IF(B1672="","",HOUR(A1672))</f>
        <v/>
      </c>
    </row>
    <row r="1673">
      <c r="A1673">
        <f>Input!A1673</f>
        <v/>
      </c>
      <c r="B1673">
        <f>IF(ISNUMBER(Input!B1673),IF(AND(Input!B1673&gt;=20,Input!B1673&lt;=700),Input!B1673,""),"")</f>
        <v/>
      </c>
      <c r="C1673">
        <f>IF(B1673="","",INT(A1673))</f>
        <v/>
      </c>
      <c r="D1673">
        <f>IF(B1673="","",HOUR(A1673))</f>
        <v/>
      </c>
    </row>
    <row r="1674">
      <c r="A1674">
        <f>Input!A1674</f>
        <v/>
      </c>
      <c r="B1674">
        <f>IF(ISNUMBER(Input!B1674),IF(AND(Input!B1674&gt;=20,Input!B1674&lt;=700),Input!B1674,""),"")</f>
        <v/>
      </c>
      <c r="C1674">
        <f>IF(B1674="","",INT(A1674))</f>
        <v/>
      </c>
      <c r="D1674">
        <f>IF(B1674="","",HOUR(A1674))</f>
        <v/>
      </c>
    </row>
    <row r="1675">
      <c r="A1675">
        <f>Input!A1675</f>
        <v/>
      </c>
      <c r="B1675">
        <f>IF(ISNUMBER(Input!B1675),IF(AND(Input!B1675&gt;=20,Input!B1675&lt;=700),Input!B1675,""),"")</f>
        <v/>
      </c>
      <c r="C1675">
        <f>IF(B1675="","",INT(A1675))</f>
        <v/>
      </c>
      <c r="D1675">
        <f>IF(B1675="","",HOUR(A1675))</f>
        <v/>
      </c>
    </row>
    <row r="1676">
      <c r="A1676">
        <f>Input!A1676</f>
        <v/>
      </c>
      <c r="B1676">
        <f>IF(ISNUMBER(Input!B1676),IF(AND(Input!B1676&gt;=20,Input!B1676&lt;=700),Input!B1676,""),"")</f>
        <v/>
      </c>
      <c r="C1676">
        <f>IF(B1676="","",INT(A1676))</f>
        <v/>
      </c>
      <c r="D1676">
        <f>IF(B1676="","",HOUR(A1676))</f>
        <v/>
      </c>
    </row>
    <row r="1677">
      <c r="A1677">
        <f>Input!A1677</f>
        <v/>
      </c>
      <c r="B1677">
        <f>IF(ISNUMBER(Input!B1677),IF(AND(Input!B1677&gt;=20,Input!B1677&lt;=700),Input!B1677,""),"")</f>
        <v/>
      </c>
      <c r="C1677">
        <f>IF(B1677="","",INT(A1677))</f>
        <v/>
      </c>
      <c r="D1677">
        <f>IF(B1677="","",HOUR(A1677))</f>
        <v/>
      </c>
    </row>
    <row r="1678">
      <c r="A1678">
        <f>Input!A1678</f>
        <v/>
      </c>
      <c r="B1678">
        <f>IF(ISNUMBER(Input!B1678),IF(AND(Input!B1678&gt;=20,Input!B1678&lt;=700),Input!B1678,""),"")</f>
        <v/>
      </c>
      <c r="C1678">
        <f>IF(B1678="","",INT(A1678))</f>
        <v/>
      </c>
      <c r="D1678">
        <f>IF(B1678="","",HOUR(A1678))</f>
        <v/>
      </c>
    </row>
    <row r="1679">
      <c r="A1679">
        <f>Input!A1679</f>
        <v/>
      </c>
      <c r="B1679">
        <f>IF(ISNUMBER(Input!B1679),IF(AND(Input!B1679&gt;=20,Input!B1679&lt;=700),Input!B1679,""),"")</f>
        <v/>
      </c>
      <c r="C1679">
        <f>IF(B1679="","",INT(A1679))</f>
        <v/>
      </c>
      <c r="D1679">
        <f>IF(B1679="","",HOUR(A1679))</f>
        <v/>
      </c>
    </row>
    <row r="1680">
      <c r="A1680">
        <f>Input!A1680</f>
        <v/>
      </c>
      <c r="B1680">
        <f>IF(ISNUMBER(Input!B1680),IF(AND(Input!B1680&gt;=20,Input!B1680&lt;=700),Input!B1680,""),"")</f>
        <v/>
      </c>
      <c r="C1680">
        <f>IF(B1680="","",INT(A1680))</f>
        <v/>
      </c>
      <c r="D1680">
        <f>IF(B1680="","",HOUR(A1680))</f>
        <v/>
      </c>
    </row>
    <row r="1681">
      <c r="A1681">
        <f>Input!A1681</f>
        <v/>
      </c>
      <c r="B1681">
        <f>IF(ISNUMBER(Input!B1681),IF(AND(Input!B1681&gt;=20,Input!B1681&lt;=700),Input!B1681,""),"")</f>
        <v/>
      </c>
      <c r="C1681">
        <f>IF(B1681="","",INT(A1681))</f>
        <v/>
      </c>
      <c r="D1681">
        <f>IF(B1681="","",HOUR(A1681))</f>
        <v/>
      </c>
    </row>
    <row r="1682">
      <c r="A1682">
        <f>Input!A1682</f>
        <v/>
      </c>
      <c r="B1682">
        <f>IF(ISNUMBER(Input!B1682),IF(AND(Input!B1682&gt;=20,Input!B1682&lt;=700),Input!B1682,""),"")</f>
        <v/>
      </c>
      <c r="C1682">
        <f>IF(B1682="","",INT(A1682))</f>
        <v/>
      </c>
      <c r="D1682">
        <f>IF(B1682="","",HOUR(A1682))</f>
        <v/>
      </c>
    </row>
    <row r="1683">
      <c r="A1683">
        <f>Input!A1683</f>
        <v/>
      </c>
      <c r="B1683">
        <f>IF(ISNUMBER(Input!B1683),IF(AND(Input!B1683&gt;=20,Input!B1683&lt;=700),Input!B1683,""),"")</f>
        <v/>
      </c>
      <c r="C1683">
        <f>IF(B1683="","",INT(A1683))</f>
        <v/>
      </c>
      <c r="D1683">
        <f>IF(B1683="","",HOUR(A1683))</f>
        <v/>
      </c>
    </row>
    <row r="1684">
      <c r="A1684">
        <f>Input!A1684</f>
        <v/>
      </c>
      <c r="B1684">
        <f>IF(ISNUMBER(Input!B1684),IF(AND(Input!B1684&gt;=20,Input!B1684&lt;=700),Input!B1684,""),"")</f>
        <v/>
      </c>
      <c r="C1684">
        <f>IF(B1684="","",INT(A1684))</f>
        <v/>
      </c>
      <c r="D1684">
        <f>IF(B1684="","",HOUR(A1684))</f>
        <v/>
      </c>
    </row>
    <row r="1685">
      <c r="A1685">
        <f>Input!A1685</f>
        <v/>
      </c>
      <c r="B1685">
        <f>IF(ISNUMBER(Input!B1685),IF(AND(Input!B1685&gt;=20,Input!B1685&lt;=700),Input!B1685,""),"")</f>
        <v/>
      </c>
      <c r="C1685">
        <f>IF(B1685="","",INT(A1685))</f>
        <v/>
      </c>
      <c r="D1685">
        <f>IF(B1685="","",HOUR(A1685))</f>
        <v/>
      </c>
    </row>
    <row r="1686">
      <c r="A1686">
        <f>Input!A1686</f>
        <v/>
      </c>
      <c r="B1686">
        <f>IF(ISNUMBER(Input!B1686),IF(AND(Input!B1686&gt;=20,Input!B1686&lt;=700),Input!B1686,""),"")</f>
        <v/>
      </c>
      <c r="C1686">
        <f>IF(B1686="","",INT(A1686))</f>
        <v/>
      </c>
      <c r="D1686">
        <f>IF(B1686="","",HOUR(A1686))</f>
        <v/>
      </c>
    </row>
    <row r="1687">
      <c r="A1687">
        <f>Input!A1687</f>
        <v/>
      </c>
      <c r="B1687">
        <f>IF(ISNUMBER(Input!B1687),IF(AND(Input!B1687&gt;=20,Input!B1687&lt;=700),Input!B1687,""),"")</f>
        <v/>
      </c>
      <c r="C1687">
        <f>IF(B1687="","",INT(A1687))</f>
        <v/>
      </c>
      <c r="D1687">
        <f>IF(B1687="","",HOUR(A1687))</f>
        <v/>
      </c>
    </row>
    <row r="1688">
      <c r="A1688">
        <f>Input!A1688</f>
        <v/>
      </c>
      <c r="B1688">
        <f>IF(ISNUMBER(Input!B1688),IF(AND(Input!B1688&gt;=20,Input!B1688&lt;=700),Input!B1688,""),"")</f>
        <v/>
      </c>
      <c r="C1688">
        <f>IF(B1688="","",INT(A1688))</f>
        <v/>
      </c>
      <c r="D1688">
        <f>IF(B1688="","",HOUR(A1688))</f>
        <v/>
      </c>
    </row>
    <row r="1689">
      <c r="A1689">
        <f>Input!A1689</f>
        <v/>
      </c>
      <c r="B1689">
        <f>IF(ISNUMBER(Input!B1689),IF(AND(Input!B1689&gt;=20,Input!B1689&lt;=700),Input!B1689,""),"")</f>
        <v/>
      </c>
      <c r="C1689">
        <f>IF(B1689="","",INT(A1689))</f>
        <v/>
      </c>
      <c r="D1689">
        <f>IF(B1689="","",HOUR(A1689))</f>
        <v/>
      </c>
    </row>
    <row r="1690">
      <c r="A1690">
        <f>Input!A1690</f>
        <v/>
      </c>
      <c r="B1690">
        <f>IF(ISNUMBER(Input!B1690),IF(AND(Input!B1690&gt;=20,Input!B1690&lt;=700),Input!B1690,""),"")</f>
        <v/>
      </c>
      <c r="C1690">
        <f>IF(B1690="","",INT(A1690))</f>
        <v/>
      </c>
      <c r="D1690">
        <f>IF(B1690="","",HOUR(A1690))</f>
        <v/>
      </c>
    </row>
    <row r="1691">
      <c r="A1691">
        <f>Input!A1691</f>
        <v/>
      </c>
      <c r="B1691">
        <f>IF(ISNUMBER(Input!B1691),IF(AND(Input!B1691&gt;=20,Input!B1691&lt;=700),Input!B1691,""),"")</f>
        <v/>
      </c>
      <c r="C1691">
        <f>IF(B1691="","",INT(A1691))</f>
        <v/>
      </c>
      <c r="D1691">
        <f>IF(B1691="","",HOUR(A1691))</f>
        <v/>
      </c>
    </row>
    <row r="1692">
      <c r="A1692">
        <f>Input!A1692</f>
        <v/>
      </c>
      <c r="B1692">
        <f>IF(ISNUMBER(Input!B1692),IF(AND(Input!B1692&gt;=20,Input!B1692&lt;=700),Input!B1692,""),"")</f>
        <v/>
      </c>
      <c r="C1692">
        <f>IF(B1692="","",INT(A1692))</f>
        <v/>
      </c>
      <c r="D1692">
        <f>IF(B1692="","",HOUR(A1692))</f>
        <v/>
      </c>
    </row>
    <row r="1693">
      <c r="A1693">
        <f>Input!A1693</f>
        <v/>
      </c>
      <c r="B1693">
        <f>IF(ISNUMBER(Input!B1693),IF(AND(Input!B1693&gt;=20,Input!B1693&lt;=700),Input!B1693,""),"")</f>
        <v/>
      </c>
      <c r="C1693">
        <f>IF(B1693="","",INT(A1693))</f>
        <v/>
      </c>
      <c r="D1693">
        <f>IF(B1693="","",HOUR(A1693))</f>
        <v/>
      </c>
    </row>
    <row r="1694">
      <c r="A1694">
        <f>Input!A1694</f>
        <v/>
      </c>
      <c r="B1694">
        <f>IF(ISNUMBER(Input!B1694),IF(AND(Input!B1694&gt;=20,Input!B1694&lt;=700),Input!B1694,""),"")</f>
        <v/>
      </c>
      <c r="C1694">
        <f>IF(B1694="","",INT(A1694))</f>
        <v/>
      </c>
      <c r="D1694">
        <f>IF(B1694="","",HOUR(A1694))</f>
        <v/>
      </c>
    </row>
    <row r="1695">
      <c r="A1695">
        <f>Input!A1695</f>
        <v/>
      </c>
      <c r="B1695">
        <f>IF(ISNUMBER(Input!B1695),IF(AND(Input!B1695&gt;=20,Input!B1695&lt;=700),Input!B1695,""),"")</f>
        <v/>
      </c>
      <c r="C1695">
        <f>IF(B1695="","",INT(A1695))</f>
        <v/>
      </c>
      <c r="D1695">
        <f>IF(B1695="","",HOUR(A1695))</f>
        <v/>
      </c>
    </row>
    <row r="1696">
      <c r="A1696">
        <f>Input!A1696</f>
        <v/>
      </c>
      <c r="B1696">
        <f>IF(ISNUMBER(Input!B1696),IF(AND(Input!B1696&gt;=20,Input!B1696&lt;=700),Input!B1696,""),"")</f>
        <v/>
      </c>
      <c r="C1696">
        <f>IF(B1696="","",INT(A1696))</f>
        <v/>
      </c>
      <c r="D1696">
        <f>IF(B1696="","",HOUR(A1696))</f>
        <v/>
      </c>
    </row>
    <row r="1697">
      <c r="A1697">
        <f>Input!A1697</f>
        <v/>
      </c>
      <c r="B1697">
        <f>IF(ISNUMBER(Input!B1697),IF(AND(Input!B1697&gt;=20,Input!B1697&lt;=700),Input!B1697,""),"")</f>
        <v/>
      </c>
      <c r="C1697">
        <f>IF(B1697="","",INT(A1697))</f>
        <v/>
      </c>
      <c r="D1697">
        <f>IF(B1697="","",HOUR(A1697))</f>
        <v/>
      </c>
    </row>
    <row r="1698">
      <c r="A1698">
        <f>Input!A1698</f>
        <v/>
      </c>
      <c r="B1698">
        <f>IF(ISNUMBER(Input!B1698),IF(AND(Input!B1698&gt;=20,Input!B1698&lt;=700),Input!B1698,""),"")</f>
        <v/>
      </c>
      <c r="C1698">
        <f>IF(B1698="","",INT(A1698))</f>
        <v/>
      </c>
      <c r="D1698">
        <f>IF(B1698="","",HOUR(A1698))</f>
        <v/>
      </c>
    </row>
    <row r="1699">
      <c r="A1699">
        <f>Input!A1699</f>
        <v/>
      </c>
      <c r="B1699">
        <f>IF(ISNUMBER(Input!B1699),IF(AND(Input!B1699&gt;=20,Input!B1699&lt;=700),Input!B1699,""),"")</f>
        <v/>
      </c>
      <c r="C1699">
        <f>IF(B1699="","",INT(A1699))</f>
        <v/>
      </c>
      <c r="D1699">
        <f>IF(B1699="","",HOUR(A1699))</f>
        <v/>
      </c>
    </row>
    <row r="1700">
      <c r="A1700">
        <f>Input!A1700</f>
        <v/>
      </c>
      <c r="B1700">
        <f>IF(ISNUMBER(Input!B1700),IF(AND(Input!B1700&gt;=20,Input!B1700&lt;=700),Input!B1700,""),"")</f>
        <v/>
      </c>
      <c r="C1700">
        <f>IF(B1700="","",INT(A1700))</f>
        <v/>
      </c>
      <c r="D1700">
        <f>IF(B1700="","",HOUR(A1700))</f>
        <v/>
      </c>
    </row>
    <row r="1701">
      <c r="A1701">
        <f>Input!A1701</f>
        <v/>
      </c>
      <c r="B1701">
        <f>IF(ISNUMBER(Input!B1701),IF(AND(Input!B1701&gt;=20,Input!B1701&lt;=700),Input!B1701,""),"")</f>
        <v/>
      </c>
      <c r="C1701">
        <f>IF(B1701="","",INT(A1701))</f>
        <v/>
      </c>
      <c r="D1701">
        <f>IF(B1701="","",HOUR(A1701))</f>
        <v/>
      </c>
    </row>
    <row r="1702">
      <c r="A1702">
        <f>Input!A1702</f>
        <v/>
      </c>
      <c r="B1702">
        <f>IF(ISNUMBER(Input!B1702),IF(AND(Input!B1702&gt;=20,Input!B1702&lt;=700),Input!B1702,""),"")</f>
        <v/>
      </c>
      <c r="C1702">
        <f>IF(B1702="","",INT(A1702))</f>
        <v/>
      </c>
      <c r="D1702">
        <f>IF(B1702="","",HOUR(A1702))</f>
        <v/>
      </c>
    </row>
    <row r="1703">
      <c r="A1703">
        <f>Input!A1703</f>
        <v/>
      </c>
      <c r="B1703">
        <f>IF(ISNUMBER(Input!B1703),IF(AND(Input!B1703&gt;=20,Input!B1703&lt;=700),Input!B1703,""),"")</f>
        <v/>
      </c>
      <c r="C1703">
        <f>IF(B1703="","",INT(A1703))</f>
        <v/>
      </c>
      <c r="D1703">
        <f>IF(B1703="","",HOUR(A1703))</f>
        <v/>
      </c>
    </row>
    <row r="1704">
      <c r="A1704">
        <f>Input!A1704</f>
        <v/>
      </c>
      <c r="B1704">
        <f>IF(ISNUMBER(Input!B1704),IF(AND(Input!B1704&gt;=20,Input!B1704&lt;=700),Input!B1704,""),"")</f>
        <v/>
      </c>
      <c r="C1704">
        <f>IF(B1704="","",INT(A1704))</f>
        <v/>
      </c>
      <c r="D1704">
        <f>IF(B1704="","",HOUR(A1704))</f>
        <v/>
      </c>
    </row>
    <row r="1705">
      <c r="A1705">
        <f>Input!A1705</f>
        <v/>
      </c>
      <c r="B1705">
        <f>IF(ISNUMBER(Input!B1705),IF(AND(Input!B1705&gt;=20,Input!B1705&lt;=700),Input!B1705,""),"")</f>
        <v/>
      </c>
      <c r="C1705">
        <f>IF(B1705="","",INT(A1705))</f>
        <v/>
      </c>
      <c r="D1705">
        <f>IF(B1705="","",HOUR(A1705))</f>
        <v/>
      </c>
    </row>
    <row r="1706">
      <c r="A1706">
        <f>Input!A1706</f>
        <v/>
      </c>
      <c r="B1706">
        <f>IF(ISNUMBER(Input!B1706),IF(AND(Input!B1706&gt;=20,Input!B1706&lt;=700),Input!B1706,""),"")</f>
        <v/>
      </c>
      <c r="C1706">
        <f>IF(B1706="","",INT(A1706))</f>
        <v/>
      </c>
      <c r="D1706">
        <f>IF(B1706="","",HOUR(A1706))</f>
        <v/>
      </c>
    </row>
    <row r="1707">
      <c r="A1707">
        <f>Input!A1707</f>
        <v/>
      </c>
      <c r="B1707">
        <f>IF(ISNUMBER(Input!B1707),IF(AND(Input!B1707&gt;=20,Input!B1707&lt;=700),Input!B1707,""),"")</f>
        <v/>
      </c>
      <c r="C1707">
        <f>IF(B1707="","",INT(A1707))</f>
        <v/>
      </c>
      <c r="D1707">
        <f>IF(B1707="","",HOUR(A1707))</f>
        <v/>
      </c>
    </row>
    <row r="1708">
      <c r="A1708">
        <f>Input!A1708</f>
        <v/>
      </c>
      <c r="B1708">
        <f>IF(ISNUMBER(Input!B1708),IF(AND(Input!B1708&gt;=20,Input!B1708&lt;=700),Input!B1708,""),"")</f>
        <v/>
      </c>
      <c r="C1708">
        <f>IF(B1708="","",INT(A1708))</f>
        <v/>
      </c>
      <c r="D1708">
        <f>IF(B1708="","",HOUR(A1708))</f>
        <v/>
      </c>
    </row>
    <row r="1709">
      <c r="A1709">
        <f>Input!A1709</f>
        <v/>
      </c>
      <c r="B1709">
        <f>IF(ISNUMBER(Input!B1709),IF(AND(Input!B1709&gt;=20,Input!B1709&lt;=700),Input!B1709,""),"")</f>
        <v/>
      </c>
      <c r="C1709">
        <f>IF(B1709="","",INT(A1709))</f>
        <v/>
      </c>
      <c r="D1709">
        <f>IF(B1709="","",HOUR(A1709))</f>
        <v/>
      </c>
    </row>
    <row r="1710">
      <c r="A1710">
        <f>Input!A1710</f>
        <v/>
      </c>
      <c r="B1710">
        <f>IF(ISNUMBER(Input!B1710),IF(AND(Input!B1710&gt;=20,Input!B1710&lt;=700),Input!B1710,""),"")</f>
        <v/>
      </c>
      <c r="C1710">
        <f>IF(B1710="","",INT(A1710))</f>
        <v/>
      </c>
      <c r="D1710">
        <f>IF(B1710="","",HOUR(A1710))</f>
        <v/>
      </c>
    </row>
    <row r="1711">
      <c r="A1711">
        <f>Input!A1711</f>
        <v/>
      </c>
      <c r="B1711">
        <f>IF(ISNUMBER(Input!B1711),IF(AND(Input!B1711&gt;=20,Input!B1711&lt;=700),Input!B1711,""),"")</f>
        <v/>
      </c>
      <c r="C1711">
        <f>IF(B1711="","",INT(A1711))</f>
        <v/>
      </c>
      <c r="D1711">
        <f>IF(B1711="","",HOUR(A1711))</f>
        <v/>
      </c>
    </row>
    <row r="1712">
      <c r="A1712">
        <f>Input!A1712</f>
        <v/>
      </c>
      <c r="B1712">
        <f>IF(ISNUMBER(Input!B1712),IF(AND(Input!B1712&gt;=20,Input!B1712&lt;=700),Input!B1712,""),"")</f>
        <v/>
      </c>
      <c r="C1712">
        <f>IF(B1712="","",INT(A1712))</f>
        <v/>
      </c>
      <c r="D1712">
        <f>IF(B1712="","",HOUR(A1712))</f>
        <v/>
      </c>
    </row>
    <row r="1713">
      <c r="A1713">
        <f>Input!A1713</f>
        <v/>
      </c>
      <c r="B1713">
        <f>IF(ISNUMBER(Input!B1713),IF(AND(Input!B1713&gt;=20,Input!B1713&lt;=700),Input!B1713,""),"")</f>
        <v/>
      </c>
      <c r="C1713">
        <f>IF(B1713="","",INT(A1713))</f>
        <v/>
      </c>
      <c r="D1713">
        <f>IF(B1713="","",HOUR(A1713))</f>
        <v/>
      </c>
    </row>
    <row r="1714">
      <c r="A1714">
        <f>Input!A1714</f>
        <v/>
      </c>
      <c r="B1714">
        <f>IF(ISNUMBER(Input!B1714),IF(AND(Input!B1714&gt;=20,Input!B1714&lt;=700),Input!B1714,""),"")</f>
        <v/>
      </c>
      <c r="C1714">
        <f>IF(B1714="","",INT(A1714))</f>
        <v/>
      </c>
      <c r="D1714">
        <f>IF(B1714="","",HOUR(A1714))</f>
        <v/>
      </c>
    </row>
    <row r="1715">
      <c r="A1715">
        <f>Input!A1715</f>
        <v/>
      </c>
      <c r="B1715">
        <f>IF(ISNUMBER(Input!B1715),IF(AND(Input!B1715&gt;=20,Input!B1715&lt;=700),Input!B1715,""),"")</f>
        <v/>
      </c>
      <c r="C1715">
        <f>IF(B1715="","",INT(A1715))</f>
        <v/>
      </c>
      <c r="D1715">
        <f>IF(B1715="","",HOUR(A1715))</f>
        <v/>
      </c>
    </row>
    <row r="1716">
      <c r="A1716">
        <f>Input!A1716</f>
        <v/>
      </c>
      <c r="B1716">
        <f>IF(ISNUMBER(Input!B1716),IF(AND(Input!B1716&gt;=20,Input!B1716&lt;=700),Input!B1716,""),"")</f>
        <v/>
      </c>
      <c r="C1716">
        <f>IF(B1716="","",INT(A1716))</f>
        <v/>
      </c>
      <c r="D1716">
        <f>IF(B1716="","",HOUR(A1716))</f>
        <v/>
      </c>
    </row>
    <row r="1717">
      <c r="A1717">
        <f>Input!A1717</f>
        <v/>
      </c>
      <c r="B1717">
        <f>IF(ISNUMBER(Input!B1717),IF(AND(Input!B1717&gt;=20,Input!B1717&lt;=700),Input!B1717,""),"")</f>
        <v/>
      </c>
      <c r="C1717">
        <f>IF(B1717="","",INT(A1717))</f>
        <v/>
      </c>
      <c r="D1717">
        <f>IF(B1717="","",HOUR(A1717))</f>
        <v/>
      </c>
    </row>
    <row r="1718">
      <c r="A1718">
        <f>Input!A1718</f>
        <v/>
      </c>
      <c r="B1718">
        <f>IF(ISNUMBER(Input!B1718),IF(AND(Input!B1718&gt;=20,Input!B1718&lt;=700),Input!B1718,""),"")</f>
        <v/>
      </c>
      <c r="C1718">
        <f>IF(B1718="","",INT(A1718))</f>
        <v/>
      </c>
      <c r="D1718">
        <f>IF(B1718="","",HOUR(A1718))</f>
        <v/>
      </c>
    </row>
    <row r="1719">
      <c r="A1719">
        <f>Input!A1719</f>
        <v/>
      </c>
      <c r="B1719">
        <f>IF(ISNUMBER(Input!B1719),IF(AND(Input!B1719&gt;=20,Input!B1719&lt;=700),Input!B1719,""),"")</f>
        <v/>
      </c>
      <c r="C1719">
        <f>IF(B1719="","",INT(A1719))</f>
        <v/>
      </c>
      <c r="D1719">
        <f>IF(B1719="","",HOUR(A1719))</f>
        <v/>
      </c>
    </row>
    <row r="1720">
      <c r="A1720">
        <f>Input!A1720</f>
        <v/>
      </c>
      <c r="B1720">
        <f>IF(ISNUMBER(Input!B1720),IF(AND(Input!B1720&gt;=20,Input!B1720&lt;=700),Input!B1720,""),"")</f>
        <v/>
      </c>
      <c r="C1720">
        <f>IF(B1720="","",INT(A1720))</f>
        <v/>
      </c>
      <c r="D1720">
        <f>IF(B1720="","",HOUR(A1720))</f>
        <v/>
      </c>
    </row>
    <row r="1721">
      <c r="A1721">
        <f>Input!A1721</f>
        <v/>
      </c>
      <c r="B1721">
        <f>IF(ISNUMBER(Input!B1721),IF(AND(Input!B1721&gt;=20,Input!B1721&lt;=700),Input!B1721,""),"")</f>
        <v/>
      </c>
      <c r="C1721">
        <f>IF(B1721="","",INT(A1721))</f>
        <v/>
      </c>
      <c r="D1721">
        <f>IF(B1721="","",HOUR(A1721))</f>
        <v/>
      </c>
    </row>
    <row r="1722">
      <c r="A1722">
        <f>Input!A1722</f>
        <v/>
      </c>
      <c r="B1722">
        <f>IF(ISNUMBER(Input!B1722),IF(AND(Input!B1722&gt;=20,Input!B1722&lt;=700),Input!B1722,""),"")</f>
        <v/>
      </c>
      <c r="C1722">
        <f>IF(B1722="","",INT(A1722))</f>
        <v/>
      </c>
      <c r="D1722">
        <f>IF(B1722="","",HOUR(A1722))</f>
        <v/>
      </c>
    </row>
    <row r="1723">
      <c r="A1723">
        <f>Input!A1723</f>
        <v/>
      </c>
      <c r="B1723">
        <f>IF(ISNUMBER(Input!B1723),IF(AND(Input!B1723&gt;=20,Input!B1723&lt;=700),Input!B1723,""),"")</f>
        <v/>
      </c>
      <c r="C1723">
        <f>IF(B1723="","",INT(A1723))</f>
        <v/>
      </c>
      <c r="D1723">
        <f>IF(B1723="","",HOUR(A1723))</f>
        <v/>
      </c>
    </row>
    <row r="1724">
      <c r="A1724">
        <f>Input!A1724</f>
        <v/>
      </c>
      <c r="B1724">
        <f>IF(ISNUMBER(Input!B1724),IF(AND(Input!B1724&gt;=20,Input!B1724&lt;=700),Input!B1724,""),"")</f>
        <v/>
      </c>
      <c r="C1724">
        <f>IF(B1724="","",INT(A1724))</f>
        <v/>
      </c>
      <c r="D1724">
        <f>IF(B1724="","",HOUR(A1724))</f>
        <v/>
      </c>
    </row>
    <row r="1725">
      <c r="A1725">
        <f>Input!A1725</f>
        <v/>
      </c>
      <c r="B1725">
        <f>IF(ISNUMBER(Input!B1725),IF(AND(Input!B1725&gt;=20,Input!B1725&lt;=700),Input!B1725,""),"")</f>
        <v/>
      </c>
      <c r="C1725">
        <f>IF(B1725="","",INT(A1725))</f>
        <v/>
      </c>
      <c r="D1725">
        <f>IF(B1725="","",HOUR(A1725))</f>
        <v/>
      </c>
    </row>
    <row r="1726">
      <c r="A1726">
        <f>Input!A1726</f>
        <v/>
      </c>
      <c r="B1726">
        <f>IF(ISNUMBER(Input!B1726),IF(AND(Input!B1726&gt;=20,Input!B1726&lt;=700),Input!B1726,""),"")</f>
        <v/>
      </c>
      <c r="C1726">
        <f>IF(B1726="","",INT(A1726))</f>
        <v/>
      </c>
      <c r="D1726">
        <f>IF(B1726="","",HOUR(A1726))</f>
        <v/>
      </c>
    </row>
    <row r="1727">
      <c r="A1727">
        <f>Input!A1727</f>
        <v/>
      </c>
      <c r="B1727">
        <f>IF(ISNUMBER(Input!B1727),IF(AND(Input!B1727&gt;=20,Input!B1727&lt;=700),Input!B1727,""),"")</f>
        <v/>
      </c>
      <c r="C1727">
        <f>IF(B1727="","",INT(A1727))</f>
        <v/>
      </c>
      <c r="D1727">
        <f>IF(B1727="","",HOUR(A1727))</f>
        <v/>
      </c>
    </row>
    <row r="1728">
      <c r="A1728">
        <f>Input!A1728</f>
        <v/>
      </c>
      <c r="B1728">
        <f>IF(ISNUMBER(Input!B1728),IF(AND(Input!B1728&gt;=20,Input!B1728&lt;=700),Input!B1728,""),"")</f>
        <v/>
      </c>
      <c r="C1728">
        <f>IF(B1728="","",INT(A1728))</f>
        <v/>
      </c>
      <c r="D1728">
        <f>IF(B1728="","",HOUR(A1728))</f>
        <v/>
      </c>
    </row>
    <row r="1729">
      <c r="A1729">
        <f>Input!A1729</f>
        <v/>
      </c>
      <c r="B1729">
        <f>IF(ISNUMBER(Input!B1729),IF(AND(Input!B1729&gt;=20,Input!B1729&lt;=700),Input!B1729,""),"")</f>
        <v/>
      </c>
      <c r="C1729">
        <f>IF(B1729="","",INT(A1729))</f>
        <v/>
      </c>
      <c r="D1729">
        <f>IF(B1729="","",HOUR(A1729))</f>
        <v/>
      </c>
    </row>
    <row r="1730">
      <c r="A1730">
        <f>Input!A1730</f>
        <v/>
      </c>
      <c r="B1730">
        <f>IF(ISNUMBER(Input!B1730),IF(AND(Input!B1730&gt;=20,Input!B1730&lt;=700),Input!B1730,""),"")</f>
        <v/>
      </c>
      <c r="C1730">
        <f>IF(B1730="","",INT(A1730))</f>
        <v/>
      </c>
      <c r="D1730">
        <f>IF(B1730="","",HOUR(A1730))</f>
        <v/>
      </c>
    </row>
    <row r="1731">
      <c r="A1731">
        <f>Input!A1731</f>
        <v/>
      </c>
      <c r="B1731">
        <f>IF(ISNUMBER(Input!B1731),IF(AND(Input!B1731&gt;=20,Input!B1731&lt;=700),Input!B1731,""),"")</f>
        <v/>
      </c>
      <c r="C1731">
        <f>IF(B1731="","",INT(A1731))</f>
        <v/>
      </c>
      <c r="D1731">
        <f>IF(B1731="","",HOUR(A1731))</f>
        <v/>
      </c>
    </row>
    <row r="1732">
      <c r="A1732">
        <f>Input!A1732</f>
        <v/>
      </c>
      <c r="B1732">
        <f>IF(ISNUMBER(Input!B1732),IF(AND(Input!B1732&gt;=20,Input!B1732&lt;=700),Input!B1732,""),"")</f>
        <v/>
      </c>
      <c r="C1732">
        <f>IF(B1732="","",INT(A1732))</f>
        <v/>
      </c>
      <c r="D1732">
        <f>IF(B1732="","",HOUR(A1732))</f>
        <v/>
      </c>
    </row>
    <row r="1733">
      <c r="A1733">
        <f>Input!A1733</f>
        <v/>
      </c>
      <c r="B1733">
        <f>IF(ISNUMBER(Input!B1733),IF(AND(Input!B1733&gt;=20,Input!B1733&lt;=700),Input!B1733,""),"")</f>
        <v/>
      </c>
      <c r="C1733">
        <f>IF(B1733="","",INT(A1733))</f>
        <v/>
      </c>
      <c r="D1733">
        <f>IF(B1733="","",HOUR(A1733))</f>
        <v/>
      </c>
    </row>
    <row r="1734">
      <c r="A1734">
        <f>Input!A1734</f>
        <v/>
      </c>
      <c r="B1734">
        <f>IF(ISNUMBER(Input!B1734),IF(AND(Input!B1734&gt;=20,Input!B1734&lt;=700),Input!B1734,""),"")</f>
        <v/>
      </c>
      <c r="C1734">
        <f>IF(B1734="","",INT(A1734))</f>
        <v/>
      </c>
      <c r="D1734">
        <f>IF(B1734="","",HOUR(A1734))</f>
        <v/>
      </c>
    </row>
    <row r="1735">
      <c r="A1735">
        <f>Input!A1735</f>
        <v/>
      </c>
      <c r="B1735">
        <f>IF(ISNUMBER(Input!B1735),IF(AND(Input!B1735&gt;=20,Input!B1735&lt;=700),Input!B1735,""),"")</f>
        <v/>
      </c>
      <c r="C1735">
        <f>IF(B1735="","",INT(A1735))</f>
        <v/>
      </c>
      <c r="D1735">
        <f>IF(B1735="","",HOUR(A1735))</f>
        <v/>
      </c>
    </row>
    <row r="1736">
      <c r="A1736">
        <f>Input!A1736</f>
        <v/>
      </c>
      <c r="B1736">
        <f>IF(ISNUMBER(Input!B1736),IF(AND(Input!B1736&gt;=20,Input!B1736&lt;=700),Input!B1736,""),"")</f>
        <v/>
      </c>
      <c r="C1736">
        <f>IF(B1736="","",INT(A1736))</f>
        <v/>
      </c>
      <c r="D1736">
        <f>IF(B1736="","",HOUR(A1736))</f>
        <v/>
      </c>
    </row>
    <row r="1737">
      <c r="A1737">
        <f>Input!A1737</f>
        <v/>
      </c>
      <c r="B1737">
        <f>IF(ISNUMBER(Input!B1737),IF(AND(Input!B1737&gt;=20,Input!B1737&lt;=700),Input!B1737,""),"")</f>
        <v/>
      </c>
      <c r="C1737">
        <f>IF(B1737="","",INT(A1737))</f>
        <v/>
      </c>
      <c r="D1737">
        <f>IF(B1737="","",HOUR(A1737))</f>
        <v/>
      </c>
    </row>
    <row r="1738">
      <c r="A1738">
        <f>Input!A1738</f>
        <v/>
      </c>
      <c r="B1738">
        <f>IF(ISNUMBER(Input!B1738),IF(AND(Input!B1738&gt;=20,Input!B1738&lt;=700),Input!B1738,""),"")</f>
        <v/>
      </c>
      <c r="C1738">
        <f>IF(B1738="","",INT(A1738))</f>
        <v/>
      </c>
      <c r="D1738">
        <f>IF(B1738="","",HOUR(A1738))</f>
        <v/>
      </c>
    </row>
    <row r="1739">
      <c r="A1739">
        <f>Input!A1739</f>
        <v/>
      </c>
      <c r="B1739">
        <f>IF(ISNUMBER(Input!B1739),IF(AND(Input!B1739&gt;=20,Input!B1739&lt;=700),Input!B1739,""),"")</f>
        <v/>
      </c>
      <c r="C1739">
        <f>IF(B1739="","",INT(A1739))</f>
        <v/>
      </c>
      <c r="D1739">
        <f>IF(B1739="","",HOUR(A1739))</f>
        <v/>
      </c>
    </row>
    <row r="1740">
      <c r="A1740">
        <f>Input!A1740</f>
        <v/>
      </c>
      <c r="B1740">
        <f>IF(ISNUMBER(Input!B1740),IF(AND(Input!B1740&gt;=20,Input!B1740&lt;=700),Input!B1740,""),"")</f>
        <v/>
      </c>
      <c r="C1740">
        <f>IF(B1740="","",INT(A1740))</f>
        <v/>
      </c>
      <c r="D1740">
        <f>IF(B1740="","",HOUR(A1740))</f>
        <v/>
      </c>
    </row>
    <row r="1741">
      <c r="A1741">
        <f>Input!A1741</f>
        <v/>
      </c>
      <c r="B1741">
        <f>IF(ISNUMBER(Input!B1741),IF(AND(Input!B1741&gt;=20,Input!B1741&lt;=700),Input!B1741,""),"")</f>
        <v/>
      </c>
      <c r="C1741">
        <f>IF(B1741="","",INT(A1741))</f>
        <v/>
      </c>
      <c r="D1741">
        <f>IF(B1741="","",HOUR(A1741))</f>
        <v/>
      </c>
    </row>
    <row r="1742">
      <c r="A1742">
        <f>Input!A1742</f>
        <v/>
      </c>
      <c r="B1742">
        <f>IF(ISNUMBER(Input!B1742),IF(AND(Input!B1742&gt;=20,Input!B1742&lt;=700),Input!B1742,""),"")</f>
        <v/>
      </c>
      <c r="C1742">
        <f>IF(B1742="","",INT(A1742))</f>
        <v/>
      </c>
      <c r="D1742">
        <f>IF(B1742="","",HOUR(A1742))</f>
        <v/>
      </c>
    </row>
    <row r="1743">
      <c r="A1743">
        <f>Input!A1743</f>
        <v/>
      </c>
      <c r="B1743">
        <f>IF(ISNUMBER(Input!B1743),IF(AND(Input!B1743&gt;=20,Input!B1743&lt;=700),Input!B1743,""),"")</f>
        <v/>
      </c>
      <c r="C1743">
        <f>IF(B1743="","",INT(A1743))</f>
        <v/>
      </c>
      <c r="D1743">
        <f>IF(B1743="","",HOUR(A1743))</f>
        <v/>
      </c>
    </row>
    <row r="1744">
      <c r="A1744">
        <f>Input!A1744</f>
        <v/>
      </c>
      <c r="B1744">
        <f>IF(ISNUMBER(Input!B1744),IF(AND(Input!B1744&gt;=20,Input!B1744&lt;=700),Input!B1744,""),"")</f>
        <v/>
      </c>
      <c r="C1744">
        <f>IF(B1744="","",INT(A1744))</f>
        <v/>
      </c>
      <c r="D1744">
        <f>IF(B1744="","",HOUR(A1744))</f>
        <v/>
      </c>
    </row>
    <row r="1745">
      <c r="A1745">
        <f>Input!A1745</f>
        <v/>
      </c>
      <c r="B1745">
        <f>IF(ISNUMBER(Input!B1745),IF(AND(Input!B1745&gt;=20,Input!B1745&lt;=700),Input!B1745,""),"")</f>
        <v/>
      </c>
      <c r="C1745">
        <f>IF(B1745="","",INT(A1745))</f>
        <v/>
      </c>
      <c r="D1745">
        <f>IF(B1745="","",HOUR(A1745))</f>
        <v/>
      </c>
    </row>
    <row r="1746">
      <c r="A1746">
        <f>Input!A1746</f>
        <v/>
      </c>
      <c r="B1746">
        <f>IF(ISNUMBER(Input!B1746),IF(AND(Input!B1746&gt;=20,Input!B1746&lt;=700),Input!B1746,""),"")</f>
        <v/>
      </c>
      <c r="C1746">
        <f>IF(B1746="","",INT(A1746))</f>
        <v/>
      </c>
      <c r="D1746">
        <f>IF(B1746="","",HOUR(A1746))</f>
        <v/>
      </c>
    </row>
    <row r="1747">
      <c r="A1747">
        <f>Input!A1747</f>
        <v/>
      </c>
      <c r="B1747">
        <f>IF(ISNUMBER(Input!B1747),IF(AND(Input!B1747&gt;=20,Input!B1747&lt;=700),Input!B1747,""),"")</f>
        <v/>
      </c>
      <c r="C1747">
        <f>IF(B1747="","",INT(A1747))</f>
        <v/>
      </c>
      <c r="D1747">
        <f>IF(B1747="","",HOUR(A1747))</f>
        <v/>
      </c>
    </row>
    <row r="1748">
      <c r="A1748">
        <f>Input!A1748</f>
        <v/>
      </c>
      <c r="B1748">
        <f>IF(ISNUMBER(Input!B1748),IF(AND(Input!B1748&gt;=20,Input!B1748&lt;=700),Input!B1748,""),"")</f>
        <v/>
      </c>
      <c r="C1748">
        <f>IF(B1748="","",INT(A1748))</f>
        <v/>
      </c>
      <c r="D1748">
        <f>IF(B1748="","",HOUR(A1748))</f>
        <v/>
      </c>
    </row>
    <row r="1749">
      <c r="A1749">
        <f>Input!A1749</f>
        <v/>
      </c>
      <c r="B1749">
        <f>IF(ISNUMBER(Input!B1749),IF(AND(Input!B1749&gt;=20,Input!B1749&lt;=700),Input!B1749,""),"")</f>
        <v/>
      </c>
      <c r="C1749">
        <f>IF(B1749="","",INT(A1749))</f>
        <v/>
      </c>
      <c r="D1749">
        <f>IF(B1749="","",HOUR(A1749))</f>
        <v/>
      </c>
    </row>
    <row r="1750">
      <c r="A1750">
        <f>Input!A1750</f>
        <v/>
      </c>
      <c r="B1750">
        <f>IF(ISNUMBER(Input!B1750),IF(AND(Input!B1750&gt;=20,Input!B1750&lt;=700),Input!B1750,""),"")</f>
        <v/>
      </c>
      <c r="C1750">
        <f>IF(B1750="","",INT(A1750))</f>
        <v/>
      </c>
      <c r="D1750">
        <f>IF(B1750="","",HOUR(A1750))</f>
        <v/>
      </c>
    </row>
    <row r="1751">
      <c r="A1751">
        <f>Input!A1751</f>
        <v/>
      </c>
      <c r="B1751">
        <f>IF(ISNUMBER(Input!B1751),IF(AND(Input!B1751&gt;=20,Input!B1751&lt;=700),Input!B1751,""),"")</f>
        <v/>
      </c>
      <c r="C1751">
        <f>IF(B1751="","",INT(A1751))</f>
        <v/>
      </c>
      <c r="D1751">
        <f>IF(B1751="","",HOUR(A1751))</f>
        <v/>
      </c>
    </row>
    <row r="1752">
      <c r="A1752">
        <f>Input!A1752</f>
        <v/>
      </c>
      <c r="B1752">
        <f>IF(ISNUMBER(Input!B1752),IF(AND(Input!B1752&gt;=20,Input!B1752&lt;=700),Input!B1752,""),"")</f>
        <v/>
      </c>
      <c r="C1752">
        <f>IF(B1752="","",INT(A1752))</f>
        <v/>
      </c>
      <c r="D1752">
        <f>IF(B1752="","",HOUR(A1752))</f>
        <v/>
      </c>
    </row>
    <row r="1753">
      <c r="A1753">
        <f>Input!A1753</f>
        <v/>
      </c>
      <c r="B1753">
        <f>IF(ISNUMBER(Input!B1753),IF(AND(Input!B1753&gt;=20,Input!B1753&lt;=700),Input!B1753,""),"")</f>
        <v/>
      </c>
      <c r="C1753">
        <f>IF(B1753="","",INT(A1753))</f>
        <v/>
      </c>
      <c r="D1753">
        <f>IF(B1753="","",HOUR(A1753))</f>
        <v/>
      </c>
    </row>
    <row r="1754">
      <c r="A1754">
        <f>Input!A1754</f>
        <v/>
      </c>
      <c r="B1754">
        <f>IF(ISNUMBER(Input!B1754),IF(AND(Input!B1754&gt;=20,Input!B1754&lt;=700),Input!B1754,""),"")</f>
        <v/>
      </c>
      <c r="C1754">
        <f>IF(B1754="","",INT(A1754))</f>
        <v/>
      </c>
      <c r="D1754">
        <f>IF(B1754="","",HOUR(A1754))</f>
        <v/>
      </c>
    </row>
    <row r="1755">
      <c r="A1755">
        <f>Input!A1755</f>
        <v/>
      </c>
      <c r="B1755">
        <f>IF(ISNUMBER(Input!B1755),IF(AND(Input!B1755&gt;=20,Input!B1755&lt;=700),Input!B1755,""),"")</f>
        <v/>
      </c>
      <c r="C1755">
        <f>IF(B1755="","",INT(A1755))</f>
        <v/>
      </c>
      <c r="D1755">
        <f>IF(B1755="","",HOUR(A1755))</f>
        <v/>
      </c>
    </row>
    <row r="1756">
      <c r="A1756">
        <f>Input!A1756</f>
        <v/>
      </c>
      <c r="B1756">
        <f>IF(ISNUMBER(Input!B1756),IF(AND(Input!B1756&gt;=20,Input!B1756&lt;=700),Input!B1756,""),"")</f>
        <v/>
      </c>
      <c r="C1756">
        <f>IF(B1756="","",INT(A1756))</f>
        <v/>
      </c>
      <c r="D1756">
        <f>IF(B1756="","",HOUR(A1756))</f>
        <v/>
      </c>
    </row>
    <row r="1757">
      <c r="A1757">
        <f>Input!A1757</f>
        <v/>
      </c>
      <c r="B1757">
        <f>IF(ISNUMBER(Input!B1757),IF(AND(Input!B1757&gt;=20,Input!B1757&lt;=700),Input!B1757,""),"")</f>
        <v/>
      </c>
      <c r="C1757">
        <f>IF(B1757="","",INT(A1757))</f>
        <v/>
      </c>
      <c r="D1757">
        <f>IF(B1757="","",HOUR(A1757))</f>
        <v/>
      </c>
    </row>
    <row r="1758">
      <c r="A1758">
        <f>Input!A1758</f>
        <v/>
      </c>
      <c r="B1758">
        <f>IF(ISNUMBER(Input!B1758),IF(AND(Input!B1758&gt;=20,Input!B1758&lt;=700),Input!B1758,""),"")</f>
        <v/>
      </c>
      <c r="C1758">
        <f>IF(B1758="","",INT(A1758))</f>
        <v/>
      </c>
      <c r="D1758">
        <f>IF(B1758="","",HOUR(A1758))</f>
        <v/>
      </c>
    </row>
    <row r="1759">
      <c r="A1759">
        <f>Input!A1759</f>
        <v/>
      </c>
      <c r="B1759">
        <f>IF(ISNUMBER(Input!B1759),IF(AND(Input!B1759&gt;=20,Input!B1759&lt;=700),Input!B1759,""),"")</f>
        <v/>
      </c>
      <c r="C1759">
        <f>IF(B1759="","",INT(A1759))</f>
        <v/>
      </c>
      <c r="D1759">
        <f>IF(B1759="","",HOUR(A1759))</f>
        <v/>
      </c>
    </row>
    <row r="1760">
      <c r="A1760">
        <f>Input!A1760</f>
        <v/>
      </c>
      <c r="B1760">
        <f>IF(ISNUMBER(Input!B1760),IF(AND(Input!B1760&gt;=20,Input!B1760&lt;=700),Input!B1760,""),"")</f>
        <v/>
      </c>
      <c r="C1760">
        <f>IF(B1760="","",INT(A1760))</f>
        <v/>
      </c>
      <c r="D1760">
        <f>IF(B1760="","",HOUR(A1760))</f>
        <v/>
      </c>
    </row>
    <row r="1761">
      <c r="A1761">
        <f>Input!A1761</f>
        <v/>
      </c>
      <c r="B1761">
        <f>IF(ISNUMBER(Input!B1761),IF(AND(Input!B1761&gt;=20,Input!B1761&lt;=700),Input!B1761,""),"")</f>
        <v/>
      </c>
      <c r="C1761">
        <f>IF(B1761="","",INT(A1761))</f>
        <v/>
      </c>
      <c r="D1761">
        <f>IF(B1761="","",HOUR(A1761))</f>
        <v/>
      </c>
    </row>
    <row r="1762">
      <c r="A1762">
        <f>Input!A1762</f>
        <v/>
      </c>
      <c r="B1762">
        <f>IF(ISNUMBER(Input!B1762),IF(AND(Input!B1762&gt;=20,Input!B1762&lt;=700),Input!B1762,""),"")</f>
        <v/>
      </c>
      <c r="C1762">
        <f>IF(B1762="","",INT(A1762))</f>
        <v/>
      </c>
      <c r="D1762">
        <f>IF(B1762="","",HOUR(A1762))</f>
        <v/>
      </c>
    </row>
    <row r="1763">
      <c r="A1763">
        <f>Input!A1763</f>
        <v/>
      </c>
      <c r="B1763">
        <f>IF(ISNUMBER(Input!B1763),IF(AND(Input!B1763&gt;=20,Input!B1763&lt;=700),Input!B1763,""),"")</f>
        <v/>
      </c>
      <c r="C1763">
        <f>IF(B1763="","",INT(A1763))</f>
        <v/>
      </c>
      <c r="D1763">
        <f>IF(B1763="","",HOUR(A1763))</f>
        <v/>
      </c>
    </row>
    <row r="1764">
      <c r="A1764">
        <f>Input!A1764</f>
        <v/>
      </c>
      <c r="B1764">
        <f>IF(ISNUMBER(Input!B1764),IF(AND(Input!B1764&gt;=20,Input!B1764&lt;=700),Input!B1764,""),"")</f>
        <v/>
      </c>
      <c r="C1764">
        <f>IF(B1764="","",INT(A1764))</f>
        <v/>
      </c>
      <c r="D1764">
        <f>IF(B1764="","",HOUR(A1764))</f>
        <v/>
      </c>
    </row>
    <row r="1765">
      <c r="A1765">
        <f>Input!A1765</f>
        <v/>
      </c>
      <c r="B1765">
        <f>IF(ISNUMBER(Input!B1765),IF(AND(Input!B1765&gt;=20,Input!B1765&lt;=700),Input!B1765,""),"")</f>
        <v/>
      </c>
      <c r="C1765">
        <f>IF(B1765="","",INT(A1765))</f>
        <v/>
      </c>
      <c r="D1765">
        <f>IF(B1765="","",HOUR(A1765))</f>
        <v/>
      </c>
    </row>
    <row r="1766">
      <c r="A1766">
        <f>Input!A1766</f>
        <v/>
      </c>
      <c r="B1766">
        <f>IF(ISNUMBER(Input!B1766),IF(AND(Input!B1766&gt;=20,Input!B1766&lt;=700),Input!B1766,""),"")</f>
        <v/>
      </c>
      <c r="C1766">
        <f>IF(B1766="","",INT(A1766))</f>
        <v/>
      </c>
      <c r="D1766">
        <f>IF(B1766="","",HOUR(A1766))</f>
        <v/>
      </c>
    </row>
    <row r="1767">
      <c r="A1767">
        <f>Input!A1767</f>
        <v/>
      </c>
      <c r="B1767">
        <f>IF(ISNUMBER(Input!B1767),IF(AND(Input!B1767&gt;=20,Input!B1767&lt;=700),Input!B1767,""),"")</f>
        <v/>
      </c>
      <c r="C1767">
        <f>IF(B1767="","",INT(A1767))</f>
        <v/>
      </c>
      <c r="D1767">
        <f>IF(B1767="","",HOUR(A1767))</f>
        <v/>
      </c>
    </row>
    <row r="1768">
      <c r="A1768">
        <f>Input!A1768</f>
        <v/>
      </c>
      <c r="B1768">
        <f>IF(ISNUMBER(Input!B1768),IF(AND(Input!B1768&gt;=20,Input!B1768&lt;=700),Input!B1768,""),"")</f>
        <v/>
      </c>
      <c r="C1768">
        <f>IF(B1768="","",INT(A1768))</f>
        <v/>
      </c>
      <c r="D1768">
        <f>IF(B1768="","",HOUR(A1768))</f>
        <v/>
      </c>
    </row>
    <row r="1769">
      <c r="A1769">
        <f>Input!A1769</f>
        <v/>
      </c>
      <c r="B1769">
        <f>IF(ISNUMBER(Input!B1769),IF(AND(Input!B1769&gt;=20,Input!B1769&lt;=700),Input!B1769,""),"")</f>
        <v/>
      </c>
      <c r="C1769">
        <f>IF(B1769="","",INT(A1769))</f>
        <v/>
      </c>
      <c r="D1769">
        <f>IF(B1769="","",HOUR(A1769))</f>
        <v/>
      </c>
    </row>
    <row r="1770">
      <c r="A1770">
        <f>Input!A1770</f>
        <v/>
      </c>
      <c r="B1770">
        <f>IF(ISNUMBER(Input!B1770),IF(AND(Input!B1770&gt;=20,Input!B1770&lt;=700),Input!B1770,""),"")</f>
        <v/>
      </c>
      <c r="C1770">
        <f>IF(B1770="","",INT(A1770))</f>
        <v/>
      </c>
      <c r="D1770">
        <f>IF(B1770="","",HOUR(A1770))</f>
        <v/>
      </c>
    </row>
    <row r="1771">
      <c r="A1771">
        <f>Input!A1771</f>
        <v/>
      </c>
      <c r="B1771">
        <f>IF(ISNUMBER(Input!B1771),IF(AND(Input!B1771&gt;=20,Input!B1771&lt;=700),Input!B1771,""),"")</f>
        <v/>
      </c>
      <c r="C1771">
        <f>IF(B1771="","",INT(A1771))</f>
        <v/>
      </c>
      <c r="D1771">
        <f>IF(B1771="","",HOUR(A1771))</f>
        <v/>
      </c>
    </row>
    <row r="1772">
      <c r="A1772">
        <f>Input!A1772</f>
        <v/>
      </c>
      <c r="B1772">
        <f>IF(ISNUMBER(Input!B1772),IF(AND(Input!B1772&gt;=20,Input!B1772&lt;=700),Input!B1772,""),"")</f>
        <v/>
      </c>
      <c r="C1772">
        <f>IF(B1772="","",INT(A1772))</f>
        <v/>
      </c>
      <c r="D1772">
        <f>IF(B1772="","",HOUR(A1772))</f>
        <v/>
      </c>
    </row>
    <row r="1773">
      <c r="A1773">
        <f>Input!A1773</f>
        <v/>
      </c>
      <c r="B1773">
        <f>IF(ISNUMBER(Input!B1773),IF(AND(Input!B1773&gt;=20,Input!B1773&lt;=700),Input!B1773,""),"")</f>
        <v/>
      </c>
      <c r="C1773">
        <f>IF(B1773="","",INT(A1773))</f>
        <v/>
      </c>
      <c r="D1773">
        <f>IF(B1773="","",HOUR(A1773))</f>
        <v/>
      </c>
    </row>
    <row r="1774">
      <c r="A1774">
        <f>Input!A1774</f>
        <v/>
      </c>
      <c r="B1774">
        <f>IF(ISNUMBER(Input!B1774),IF(AND(Input!B1774&gt;=20,Input!B1774&lt;=700),Input!B1774,""),"")</f>
        <v/>
      </c>
      <c r="C1774">
        <f>IF(B1774="","",INT(A1774))</f>
        <v/>
      </c>
      <c r="D1774">
        <f>IF(B1774="","",HOUR(A1774))</f>
        <v/>
      </c>
    </row>
    <row r="1775">
      <c r="A1775">
        <f>Input!A1775</f>
        <v/>
      </c>
      <c r="B1775">
        <f>IF(ISNUMBER(Input!B1775),IF(AND(Input!B1775&gt;=20,Input!B1775&lt;=700),Input!B1775,""),"")</f>
        <v/>
      </c>
      <c r="C1775">
        <f>IF(B1775="","",INT(A1775))</f>
        <v/>
      </c>
      <c r="D1775">
        <f>IF(B1775="","",HOUR(A1775))</f>
        <v/>
      </c>
    </row>
    <row r="1776">
      <c r="A1776">
        <f>Input!A1776</f>
        <v/>
      </c>
      <c r="B1776">
        <f>IF(ISNUMBER(Input!B1776),IF(AND(Input!B1776&gt;=20,Input!B1776&lt;=700),Input!B1776,""),"")</f>
        <v/>
      </c>
      <c r="C1776">
        <f>IF(B1776="","",INT(A1776))</f>
        <v/>
      </c>
      <c r="D1776">
        <f>IF(B1776="","",HOUR(A1776))</f>
        <v/>
      </c>
    </row>
    <row r="1777">
      <c r="A1777">
        <f>Input!A1777</f>
        <v/>
      </c>
      <c r="B1777">
        <f>IF(ISNUMBER(Input!B1777),IF(AND(Input!B1777&gt;=20,Input!B1777&lt;=700),Input!B1777,""),"")</f>
        <v/>
      </c>
      <c r="C1777">
        <f>IF(B1777="","",INT(A1777))</f>
        <v/>
      </c>
      <c r="D1777">
        <f>IF(B1777="","",HOUR(A1777))</f>
        <v/>
      </c>
    </row>
    <row r="1778">
      <c r="A1778">
        <f>Input!A1778</f>
        <v/>
      </c>
      <c r="B1778">
        <f>IF(ISNUMBER(Input!B1778),IF(AND(Input!B1778&gt;=20,Input!B1778&lt;=700),Input!B1778,""),"")</f>
        <v/>
      </c>
      <c r="C1778">
        <f>IF(B1778="","",INT(A1778))</f>
        <v/>
      </c>
      <c r="D1778">
        <f>IF(B1778="","",HOUR(A1778))</f>
        <v/>
      </c>
    </row>
    <row r="1779">
      <c r="A1779">
        <f>Input!A1779</f>
        <v/>
      </c>
      <c r="B1779">
        <f>IF(ISNUMBER(Input!B1779),IF(AND(Input!B1779&gt;=20,Input!B1779&lt;=700),Input!B1779,""),"")</f>
        <v/>
      </c>
      <c r="C1779">
        <f>IF(B1779="","",INT(A1779))</f>
        <v/>
      </c>
      <c r="D1779">
        <f>IF(B1779="","",HOUR(A1779))</f>
        <v/>
      </c>
    </row>
    <row r="1780">
      <c r="A1780">
        <f>Input!A1780</f>
        <v/>
      </c>
      <c r="B1780">
        <f>IF(ISNUMBER(Input!B1780),IF(AND(Input!B1780&gt;=20,Input!B1780&lt;=700),Input!B1780,""),"")</f>
        <v/>
      </c>
      <c r="C1780">
        <f>IF(B1780="","",INT(A1780))</f>
        <v/>
      </c>
      <c r="D1780">
        <f>IF(B1780="","",HOUR(A1780))</f>
        <v/>
      </c>
    </row>
    <row r="1781">
      <c r="A1781">
        <f>Input!A1781</f>
        <v/>
      </c>
      <c r="B1781">
        <f>IF(ISNUMBER(Input!B1781),IF(AND(Input!B1781&gt;=20,Input!B1781&lt;=700),Input!B1781,""),"")</f>
        <v/>
      </c>
      <c r="C1781">
        <f>IF(B1781="","",INT(A1781))</f>
        <v/>
      </c>
      <c r="D1781">
        <f>IF(B1781="","",HOUR(A1781))</f>
        <v/>
      </c>
    </row>
    <row r="1782">
      <c r="A1782">
        <f>Input!A1782</f>
        <v/>
      </c>
      <c r="B1782">
        <f>IF(ISNUMBER(Input!B1782),IF(AND(Input!B1782&gt;=20,Input!B1782&lt;=700),Input!B1782,""),"")</f>
        <v/>
      </c>
      <c r="C1782">
        <f>IF(B1782="","",INT(A1782))</f>
        <v/>
      </c>
      <c r="D1782">
        <f>IF(B1782="","",HOUR(A1782))</f>
        <v/>
      </c>
    </row>
    <row r="1783">
      <c r="A1783">
        <f>Input!A1783</f>
        <v/>
      </c>
      <c r="B1783">
        <f>IF(ISNUMBER(Input!B1783),IF(AND(Input!B1783&gt;=20,Input!B1783&lt;=700),Input!B1783,""),"")</f>
        <v/>
      </c>
      <c r="C1783">
        <f>IF(B1783="","",INT(A1783))</f>
        <v/>
      </c>
      <c r="D1783">
        <f>IF(B1783="","",HOUR(A1783))</f>
        <v/>
      </c>
    </row>
    <row r="1784">
      <c r="A1784">
        <f>Input!A1784</f>
        <v/>
      </c>
      <c r="B1784">
        <f>IF(ISNUMBER(Input!B1784),IF(AND(Input!B1784&gt;=20,Input!B1784&lt;=700),Input!B1784,""),"")</f>
        <v/>
      </c>
      <c r="C1784">
        <f>IF(B1784="","",INT(A1784))</f>
        <v/>
      </c>
      <c r="D1784">
        <f>IF(B1784="","",HOUR(A1784))</f>
        <v/>
      </c>
    </row>
    <row r="1785">
      <c r="A1785">
        <f>Input!A1785</f>
        <v/>
      </c>
      <c r="B1785">
        <f>IF(ISNUMBER(Input!B1785),IF(AND(Input!B1785&gt;=20,Input!B1785&lt;=700),Input!B1785,""),"")</f>
        <v/>
      </c>
      <c r="C1785">
        <f>IF(B1785="","",INT(A1785))</f>
        <v/>
      </c>
      <c r="D1785">
        <f>IF(B1785="","",HOUR(A1785))</f>
        <v/>
      </c>
    </row>
    <row r="1786">
      <c r="A1786">
        <f>Input!A1786</f>
        <v/>
      </c>
      <c r="B1786">
        <f>IF(ISNUMBER(Input!B1786),IF(AND(Input!B1786&gt;=20,Input!B1786&lt;=700),Input!B1786,""),"")</f>
        <v/>
      </c>
      <c r="C1786">
        <f>IF(B1786="","",INT(A1786))</f>
        <v/>
      </c>
      <c r="D1786">
        <f>IF(B1786="","",HOUR(A1786))</f>
        <v/>
      </c>
    </row>
    <row r="1787">
      <c r="A1787">
        <f>Input!A1787</f>
        <v/>
      </c>
      <c r="B1787">
        <f>IF(ISNUMBER(Input!B1787),IF(AND(Input!B1787&gt;=20,Input!B1787&lt;=700),Input!B1787,""),"")</f>
        <v/>
      </c>
      <c r="C1787">
        <f>IF(B1787="","",INT(A1787))</f>
        <v/>
      </c>
      <c r="D1787">
        <f>IF(B1787="","",HOUR(A1787))</f>
        <v/>
      </c>
    </row>
    <row r="1788">
      <c r="A1788">
        <f>Input!A1788</f>
        <v/>
      </c>
      <c r="B1788">
        <f>IF(ISNUMBER(Input!B1788),IF(AND(Input!B1788&gt;=20,Input!B1788&lt;=700),Input!B1788,""),"")</f>
        <v/>
      </c>
      <c r="C1788">
        <f>IF(B1788="","",INT(A1788))</f>
        <v/>
      </c>
      <c r="D1788">
        <f>IF(B1788="","",HOUR(A1788))</f>
        <v/>
      </c>
    </row>
    <row r="1789">
      <c r="A1789">
        <f>Input!A1789</f>
        <v/>
      </c>
      <c r="B1789">
        <f>IF(ISNUMBER(Input!B1789),IF(AND(Input!B1789&gt;=20,Input!B1789&lt;=700),Input!B1789,""),"")</f>
        <v/>
      </c>
      <c r="C1789">
        <f>IF(B1789="","",INT(A1789))</f>
        <v/>
      </c>
      <c r="D1789">
        <f>IF(B1789="","",HOUR(A1789))</f>
        <v/>
      </c>
    </row>
    <row r="1790">
      <c r="A1790">
        <f>Input!A1790</f>
        <v/>
      </c>
      <c r="B1790">
        <f>IF(ISNUMBER(Input!B1790),IF(AND(Input!B1790&gt;=20,Input!B1790&lt;=700),Input!B1790,""),"")</f>
        <v/>
      </c>
      <c r="C1790">
        <f>IF(B1790="","",INT(A1790))</f>
        <v/>
      </c>
      <c r="D1790">
        <f>IF(B1790="","",HOUR(A1790))</f>
        <v/>
      </c>
    </row>
    <row r="1791">
      <c r="A1791">
        <f>Input!A1791</f>
        <v/>
      </c>
      <c r="B1791">
        <f>IF(ISNUMBER(Input!B1791),IF(AND(Input!B1791&gt;=20,Input!B1791&lt;=700),Input!B1791,""),"")</f>
        <v/>
      </c>
      <c r="C1791">
        <f>IF(B1791="","",INT(A1791))</f>
        <v/>
      </c>
      <c r="D1791">
        <f>IF(B1791="","",HOUR(A1791))</f>
        <v/>
      </c>
    </row>
    <row r="1792">
      <c r="A1792">
        <f>Input!A1792</f>
        <v/>
      </c>
      <c r="B1792">
        <f>IF(ISNUMBER(Input!B1792),IF(AND(Input!B1792&gt;=20,Input!B1792&lt;=700),Input!B1792,""),"")</f>
        <v/>
      </c>
      <c r="C1792">
        <f>IF(B1792="","",INT(A1792))</f>
        <v/>
      </c>
      <c r="D1792">
        <f>IF(B1792="","",HOUR(A1792))</f>
        <v/>
      </c>
    </row>
    <row r="1793">
      <c r="A1793">
        <f>Input!A1793</f>
        <v/>
      </c>
      <c r="B1793">
        <f>IF(ISNUMBER(Input!B1793),IF(AND(Input!B1793&gt;=20,Input!B1793&lt;=700),Input!B1793,""),"")</f>
        <v/>
      </c>
      <c r="C1793">
        <f>IF(B1793="","",INT(A1793))</f>
        <v/>
      </c>
      <c r="D1793">
        <f>IF(B1793="","",HOUR(A1793))</f>
        <v/>
      </c>
    </row>
    <row r="1794">
      <c r="A1794">
        <f>Input!A1794</f>
        <v/>
      </c>
      <c r="B1794">
        <f>IF(ISNUMBER(Input!B1794),IF(AND(Input!B1794&gt;=20,Input!B1794&lt;=700),Input!B1794,""),"")</f>
        <v/>
      </c>
      <c r="C1794">
        <f>IF(B1794="","",INT(A1794))</f>
        <v/>
      </c>
      <c r="D1794">
        <f>IF(B1794="","",HOUR(A1794))</f>
        <v/>
      </c>
    </row>
    <row r="1795">
      <c r="A1795">
        <f>Input!A1795</f>
        <v/>
      </c>
      <c r="B1795">
        <f>IF(ISNUMBER(Input!B1795),IF(AND(Input!B1795&gt;=20,Input!B1795&lt;=700),Input!B1795,""),"")</f>
        <v/>
      </c>
      <c r="C1795">
        <f>IF(B1795="","",INT(A1795))</f>
        <v/>
      </c>
      <c r="D1795">
        <f>IF(B1795="","",HOUR(A1795))</f>
        <v/>
      </c>
    </row>
    <row r="1796">
      <c r="A1796">
        <f>Input!A1796</f>
        <v/>
      </c>
      <c r="B1796">
        <f>IF(ISNUMBER(Input!B1796),IF(AND(Input!B1796&gt;=20,Input!B1796&lt;=700),Input!B1796,""),"")</f>
        <v/>
      </c>
      <c r="C1796">
        <f>IF(B1796="","",INT(A1796))</f>
        <v/>
      </c>
      <c r="D1796">
        <f>IF(B1796="","",HOUR(A1796))</f>
        <v/>
      </c>
    </row>
    <row r="1797">
      <c r="A1797">
        <f>Input!A1797</f>
        <v/>
      </c>
      <c r="B1797">
        <f>IF(ISNUMBER(Input!B1797),IF(AND(Input!B1797&gt;=20,Input!B1797&lt;=700),Input!B1797,""),"")</f>
        <v/>
      </c>
      <c r="C1797">
        <f>IF(B1797="","",INT(A1797))</f>
        <v/>
      </c>
      <c r="D1797">
        <f>IF(B1797="","",HOUR(A1797))</f>
        <v/>
      </c>
    </row>
    <row r="1798">
      <c r="A1798">
        <f>Input!A1798</f>
        <v/>
      </c>
      <c r="B1798">
        <f>IF(ISNUMBER(Input!B1798),IF(AND(Input!B1798&gt;=20,Input!B1798&lt;=700),Input!B1798,""),"")</f>
        <v/>
      </c>
      <c r="C1798">
        <f>IF(B1798="","",INT(A1798))</f>
        <v/>
      </c>
      <c r="D1798">
        <f>IF(B1798="","",HOUR(A1798))</f>
        <v/>
      </c>
    </row>
    <row r="1799">
      <c r="A1799">
        <f>Input!A1799</f>
        <v/>
      </c>
      <c r="B1799">
        <f>IF(ISNUMBER(Input!B1799),IF(AND(Input!B1799&gt;=20,Input!B1799&lt;=700),Input!B1799,""),"")</f>
        <v/>
      </c>
      <c r="C1799">
        <f>IF(B1799="","",INT(A1799))</f>
        <v/>
      </c>
      <c r="D1799">
        <f>IF(B1799="","",HOUR(A1799))</f>
        <v/>
      </c>
    </row>
    <row r="1800">
      <c r="A1800">
        <f>Input!A1800</f>
        <v/>
      </c>
      <c r="B1800">
        <f>IF(ISNUMBER(Input!B1800),IF(AND(Input!B1800&gt;=20,Input!B1800&lt;=700),Input!B1800,""),"")</f>
        <v/>
      </c>
      <c r="C1800">
        <f>IF(B1800="","",INT(A1800))</f>
        <v/>
      </c>
      <c r="D1800">
        <f>IF(B1800="","",HOUR(A1800))</f>
        <v/>
      </c>
    </row>
    <row r="1801">
      <c r="A1801">
        <f>Input!A1801</f>
        <v/>
      </c>
      <c r="B1801">
        <f>IF(ISNUMBER(Input!B1801),IF(AND(Input!B1801&gt;=20,Input!B1801&lt;=700),Input!B1801,""),"")</f>
        <v/>
      </c>
      <c r="C1801">
        <f>IF(B1801="","",INT(A1801))</f>
        <v/>
      </c>
      <c r="D1801">
        <f>IF(B1801="","",HOUR(A1801))</f>
        <v/>
      </c>
    </row>
    <row r="1802">
      <c r="A1802">
        <f>Input!A1802</f>
        <v/>
      </c>
      <c r="B1802">
        <f>IF(ISNUMBER(Input!B1802),IF(AND(Input!B1802&gt;=20,Input!B1802&lt;=700),Input!B1802,""),"")</f>
        <v/>
      </c>
      <c r="C1802">
        <f>IF(B1802="","",INT(A1802))</f>
        <v/>
      </c>
      <c r="D1802">
        <f>IF(B1802="","",HOUR(A1802))</f>
        <v/>
      </c>
    </row>
    <row r="1803">
      <c r="A1803">
        <f>Input!A1803</f>
        <v/>
      </c>
      <c r="B1803">
        <f>IF(ISNUMBER(Input!B1803),IF(AND(Input!B1803&gt;=20,Input!B1803&lt;=700),Input!B1803,""),"")</f>
        <v/>
      </c>
      <c r="C1803">
        <f>IF(B1803="","",INT(A1803))</f>
        <v/>
      </c>
      <c r="D1803">
        <f>IF(B1803="","",HOUR(A1803))</f>
        <v/>
      </c>
    </row>
    <row r="1804">
      <c r="A1804">
        <f>Input!A1804</f>
        <v/>
      </c>
      <c r="B1804">
        <f>IF(ISNUMBER(Input!B1804),IF(AND(Input!B1804&gt;=20,Input!B1804&lt;=700),Input!B1804,""),"")</f>
        <v/>
      </c>
      <c r="C1804">
        <f>IF(B1804="","",INT(A1804))</f>
        <v/>
      </c>
      <c r="D1804">
        <f>IF(B1804="","",HOUR(A1804))</f>
        <v/>
      </c>
    </row>
    <row r="1805">
      <c r="A1805">
        <f>Input!A1805</f>
        <v/>
      </c>
      <c r="B1805">
        <f>IF(ISNUMBER(Input!B1805),IF(AND(Input!B1805&gt;=20,Input!B1805&lt;=700),Input!B1805,""),"")</f>
        <v/>
      </c>
      <c r="C1805">
        <f>IF(B1805="","",INT(A1805))</f>
        <v/>
      </c>
      <c r="D1805">
        <f>IF(B1805="","",HOUR(A1805))</f>
        <v/>
      </c>
    </row>
    <row r="1806">
      <c r="A1806">
        <f>Input!A1806</f>
        <v/>
      </c>
      <c r="B1806">
        <f>IF(ISNUMBER(Input!B1806),IF(AND(Input!B1806&gt;=20,Input!B1806&lt;=700),Input!B1806,""),"")</f>
        <v/>
      </c>
      <c r="C1806">
        <f>IF(B1806="","",INT(A1806))</f>
        <v/>
      </c>
      <c r="D1806">
        <f>IF(B1806="","",HOUR(A1806))</f>
        <v/>
      </c>
    </row>
    <row r="1807">
      <c r="A1807">
        <f>Input!A1807</f>
        <v/>
      </c>
      <c r="B1807">
        <f>IF(ISNUMBER(Input!B1807),IF(AND(Input!B1807&gt;=20,Input!B1807&lt;=700),Input!B1807,""),"")</f>
        <v/>
      </c>
      <c r="C1807">
        <f>IF(B1807="","",INT(A1807))</f>
        <v/>
      </c>
      <c r="D1807">
        <f>IF(B1807="","",HOUR(A1807))</f>
        <v/>
      </c>
    </row>
    <row r="1808">
      <c r="A1808">
        <f>Input!A1808</f>
        <v/>
      </c>
      <c r="B1808">
        <f>IF(ISNUMBER(Input!B1808),IF(AND(Input!B1808&gt;=20,Input!B1808&lt;=700),Input!B1808,""),"")</f>
        <v/>
      </c>
      <c r="C1808">
        <f>IF(B1808="","",INT(A1808))</f>
        <v/>
      </c>
      <c r="D1808">
        <f>IF(B1808="","",HOUR(A1808))</f>
        <v/>
      </c>
    </row>
    <row r="1809">
      <c r="A1809">
        <f>Input!A1809</f>
        <v/>
      </c>
      <c r="B1809">
        <f>IF(ISNUMBER(Input!B1809),IF(AND(Input!B1809&gt;=20,Input!B1809&lt;=700),Input!B1809,""),"")</f>
        <v/>
      </c>
      <c r="C1809">
        <f>IF(B1809="","",INT(A1809))</f>
        <v/>
      </c>
      <c r="D1809">
        <f>IF(B1809="","",HOUR(A1809))</f>
        <v/>
      </c>
    </row>
    <row r="1810">
      <c r="A1810">
        <f>Input!A1810</f>
        <v/>
      </c>
      <c r="B1810">
        <f>IF(ISNUMBER(Input!B1810),IF(AND(Input!B1810&gt;=20,Input!B1810&lt;=700),Input!B1810,""),"")</f>
        <v/>
      </c>
      <c r="C1810">
        <f>IF(B1810="","",INT(A1810))</f>
        <v/>
      </c>
      <c r="D1810">
        <f>IF(B1810="","",HOUR(A1810))</f>
        <v/>
      </c>
    </row>
    <row r="1811">
      <c r="A1811">
        <f>Input!A1811</f>
        <v/>
      </c>
      <c r="B1811">
        <f>IF(ISNUMBER(Input!B1811),IF(AND(Input!B1811&gt;=20,Input!B1811&lt;=700),Input!B1811,""),"")</f>
        <v/>
      </c>
      <c r="C1811">
        <f>IF(B1811="","",INT(A1811))</f>
        <v/>
      </c>
      <c r="D1811">
        <f>IF(B1811="","",HOUR(A1811))</f>
        <v/>
      </c>
    </row>
    <row r="1812">
      <c r="A1812">
        <f>Input!A1812</f>
        <v/>
      </c>
      <c r="B1812">
        <f>IF(ISNUMBER(Input!B1812),IF(AND(Input!B1812&gt;=20,Input!B1812&lt;=700),Input!B1812,""),"")</f>
        <v/>
      </c>
      <c r="C1812">
        <f>IF(B1812="","",INT(A1812))</f>
        <v/>
      </c>
      <c r="D1812">
        <f>IF(B1812="","",HOUR(A1812))</f>
        <v/>
      </c>
    </row>
    <row r="1813">
      <c r="A1813">
        <f>Input!A1813</f>
        <v/>
      </c>
      <c r="B1813">
        <f>IF(ISNUMBER(Input!B1813),IF(AND(Input!B1813&gt;=20,Input!B1813&lt;=700),Input!B1813,""),"")</f>
        <v/>
      </c>
      <c r="C1813">
        <f>IF(B1813="","",INT(A1813))</f>
        <v/>
      </c>
      <c r="D1813">
        <f>IF(B1813="","",HOUR(A1813))</f>
        <v/>
      </c>
    </row>
    <row r="1814">
      <c r="A1814">
        <f>Input!A1814</f>
        <v/>
      </c>
      <c r="B1814">
        <f>IF(ISNUMBER(Input!B1814),IF(AND(Input!B1814&gt;=20,Input!B1814&lt;=700),Input!B1814,""),"")</f>
        <v/>
      </c>
      <c r="C1814">
        <f>IF(B1814="","",INT(A1814))</f>
        <v/>
      </c>
      <c r="D1814">
        <f>IF(B1814="","",HOUR(A1814))</f>
        <v/>
      </c>
    </row>
    <row r="1815">
      <c r="A1815">
        <f>Input!A1815</f>
        <v/>
      </c>
      <c r="B1815">
        <f>IF(ISNUMBER(Input!B1815),IF(AND(Input!B1815&gt;=20,Input!B1815&lt;=700),Input!B1815,""),"")</f>
        <v/>
      </c>
      <c r="C1815">
        <f>IF(B1815="","",INT(A1815))</f>
        <v/>
      </c>
      <c r="D1815">
        <f>IF(B1815="","",HOUR(A1815))</f>
        <v/>
      </c>
    </row>
    <row r="1816">
      <c r="A1816">
        <f>Input!A1816</f>
        <v/>
      </c>
      <c r="B1816">
        <f>IF(ISNUMBER(Input!B1816),IF(AND(Input!B1816&gt;=20,Input!B1816&lt;=700),Input!B1816,""),"")</f>
        <v/>
      </c>
      <c r="C1816">
        <f>IF(B1816="","",INT(A1816))</f>
        <v/>
      </c>
      <c r="D1816">
        <f>IF(B1816="","",HOUR(A1816))</f>
        <v/>
      </c>
    </row>
    <row r="1817">
      <c r="A1817">
        <f>Input!A1817</f>
        <v/>
      </c>
      <c r="B1817">
        <f>IF(ISNUMBER(Input!B1817),IF(AND(Input!B1817&gt;=20,Input!B1817&lt;=700),Input!B1817,""),"")</f>
        <v/>
      </c>
      <c r="C1817">
        <f>IF(B1817="","",INT(A1817))</f>
        <v/>
      </c>
      <c r="D1817">
        <f>IF(B1817="","",HOUR(A1817))</f>
        <v/>
      </c>
    </row>
    <row r="1818">
      <c r="A1818">
        <f>Input!A1818</f>
        <v/>
      </c>
      <c r="B1818">
        <f>IF(ISNUMBER(Input!B1818),IF(AND(Input!B1818&gt;=20,Input!B1818&lt;=700),Input!B1818,""),"")</f>
        <v/>
      </c>
      <c r="C1818">
        <f>IF(B1818="","",INT(A1818))</f>
        <v/>
      </c>
      <c r="D1818">
        <f>IF(B1818="","",HOUR(A1818))</f>
        <v/>
      </c>
    </row>
    <row r="1819">
      <c r="A1819">
        <f>Input!A1819</f>
        <v/>
      </c>
      <c r="B1819">
        <f>IF(ISNUMBER(Input!B1819),IF(AND(Input!B1819&gt;=20,Input!B1819&lt;=700),Input!B1819,""),"")</f>
        <v/>
      </c>
      <c r="C1819">
        <f>IF(B1819="","",INT(A1819))</f>
        <v/>
      </c>
      <c r="D1819">
        <f>IF(B1819="","",HOUR(A1819))</f>
        <v/>
      </c>
    </row>
    <row r="1820">
      <c r="A1820">
        <f>Input!A1820</f>
        <v/>
      </c>
      <c r="B1820">
        <f>IF(ISNUMBER(Input!B1820),IF(AND(Input!B1820&gt;=20,Input!B1820&lt;=700),Input!B1820,""),"")</f>
        <v/>
      </c>
      <c r="C1820">
        <f>IF(B1820="","",INT(A1820))</f>
        <v/>
      </c>
      <c r="D1820">
        <f>IF(B1820="","",HOUR(A1820))</f>
        <v/>
      </c>
    </row>
    <row r="1821">
      <c r="A1821">
        <f>Input!A1821</f>
        <v/>
      </c>
      <c r="B1821">
        <f>IF(ISNUMBER(Input!B1821),IF(AND(Input!B1821&gt;=20,Input!B1821&lt;=700),Input!B1821,""),"")</f>
        <v/>
      </c>
      <c r="C1821">
        <f>IF(B1821="","",INT(A1821))</f>
        <v/>
      </c>
      <c r="D1821">
        <f>IF(B1821="","",HOUR(A1821))</f>
        <v/>
      </c>
    </row>
    <row r="1822">
      <c r="A1822">
        <f>Input!A1822</f>
        <v/>
      </c>
      <c r="B1822">
        <f>IF(ISNUMBER(Input!B1822),IF(AND(Input!B1822&gt;=20,Input!B1822&lt;=700),Input!B1822,""),"")</f>
        <v/>
      </c>
      <c r="C1822">
        <f>IF(B1822="","",INT(A1822))</f>
        <v/>
      </c>
      <c r="D1822">
        <f>IF(B1822="","",HOUR(A1822))</f>
        <v/>
      </c>
    </row>
    <row r="1823">
      <c r="A1823">
        <f>Input!A1823</f>
        <v/>
      </c>
      <c r="B1823">
        <f>IF(ISNUMBER(Input!B1823),IF(AND(Input!B1823&gt;=20,Input!B1823&lt;=700),Input!B1823,""),"")</f>
        <v/>
      </c>
      <c r="C1823">
        <f>IF(B1823="","",INT(A1823))</f>
        <v/>
      </c>
      <c r="D1823">
        <f>IF(B1823="","",HOUR(A1823))</f>
        <v/>
      </c>
    </row>
    <row r="1824">
      <c r="A1824">
        <f>Input!A1824</f>
        <v/>
      </c>
      <c r="B1824">
        <f>IF(ISNUMBER(Input!B1824),IF(AND(Input!B1824&gt;=20,Input!B1824&lt;=700),Input!B1824,""),"")</f>
        <v/>
      </c>
      <c r="C1824">
        <f>IF(B1824="","",INT(A1824))</f>
        <v/>
      </c>
      <c r="D1824">
        <f>IF(B1824="","",HOUR(A1824))</f>
        <v/>
      </c>
    </row>
    <row r="1825">
      <c r="A1825">
        <f>Input!A1825</f>
        <v/>
      </c>
      <c r="B1825">
        <f>IF(ISNUMBER(Input!B1825),IF(AND(Input!B1825&gt;=20,Input!B1825&lt;=700),Input!B1825,""),"")</f>
        <v/>
      </c>
      <c r="C1825">
        <f>IF(B1825="","",INT(A1825))</f>
        <v/>
      </c>
      <c r="D1825">
        <f>IF(B1825="","",HOUR(A1825))</f>
        <v/>
      </c>
    </row>
    <row r="1826">
      <c r="A1826">
        <f>Input!A1826</f>
        <v/>
      </c>
      <c r="B1826">
        <f>IF(ISNUMBER(Input!B1826),IF(AND(Input!B1826&gt;=20,Input!B1826&lt;=700),Input!B1826,""),"")</f>
        <v/>
      </c>
      <c r="C1826">
        <f>IF(B1826="","",INT(A1826))</f>
        <v/>
      </c>
      <c r="D1826">
        <f>IF(B1826="","",HOUR(A1826))</f>
        <v/>
      </c>
    </row>
    <row r="1827">
      <c r="A1827">
        <f>Input!A1827</f>
        <v/>
      </c>
      <c r="B1827">
        <f>IF(ISNUMBER(Input!B1827),IF(AND(Input!B1827&gt;=20,Input!B1827&lt;=700),Input!B1827,""),"")</f>
        <v/>
      </c>
      <c r="C1827">
        <f>IF(B1827="","",INT(A1827))</f>
        <v/>
      </c>
      <c r="D1827">
        <f>IF(B1827="","",HOUR(A1827))</f>
        <v/>
      </c>
    </row>
    <row r="1828">
      <c r="A1828">
        <f>Input!A1828</f>
        <v/>
      </c>
      <c r="B1828">
        <f>IF(ISNUMBER(Input!B1828),IF(AND(Input!B1828&gt;=20,Input!B1828&lt;=700),Input!B1828,""),"")</f>
        <v/>
      </c>
      <c r="C1828">
        <f>IF(B1828="","",INT(A1828))</f>
        <v/>
      </c>
      <c r="D1828">
        <f>IF(B1828="","",HOUR(A1828))</f>
        <v/>
      </c>
    </row>
    <row r="1829">
      <c r="A1829">
        <f>Input!A1829</f>
        <v/>
      </c>
      <c r="B1829">
        <f>IF(ISNUMBER(Input!B1829),IF(AND(Input!B1829&gt;=20,Input!B1829&lt;=700),Input!B1829,""),"")</f>
        <v/>
      </c>
      <c r="C1829">
        <f>IF(B1829="","",INT(A1829))</f>
        <v/>
      </c>
      <c r="D1829">
        <f>IF(B1829="","",HOUR(A1829))</f>
        <v/>
      </c>
    </row>
    <row r="1830">
      <c r="A1830">
        <f>Input!A1830</f>
        <v/>
      </c>
      <c r="B1830">
        <f>IF(ISNUMBER(Input!B1830),IF(AND(Input!B1830&gt;=20,Input!B1830&lt;=700),Input!B1830,""),"")</f>
        <v/>
      </c>
      <c r="C1830">
        <f>IF(B1830="","",INT(A1830))</f>
        <v/>
      </c>
      <c r="D1830">
        <f>IF(B1830="","",HOUR(A1830))</f>
        <v/>
      </c>
    </row>
    <row r="1831">
      <c r="A1831">
        <f>Input!A1831</f>
        <v/>
      </c>
      <c r="B1831">
        <f>IF(ISNUMBER(Input!B1831),IF(AND(Input!B1831&gt;=20,Input!B1831&lt;=700),Input!B1831,""),"")</f>
        <v/>
      </c>
      <c r="C1831">
        <f>IF(B1831="","",INT(A1831))</f>
        <v/>
      </c>
      <c r="D1831">
        <f>IF(B1831="","",HOUR(A1831))</f>
        <v/>
      </c>
    </row>
    <row r="1832">
      <c r="A1832">
        <f>Input!A1832</f>
        <v/>
      </c>
      <c r="B1832">
        <f>IF(ISNUMBER(Input!B1832),IF(AND(Input!B1832&gt;=20,Input!B1832&lt;=700),Input!B1832,""),"")</f>
        <v/>
      </c>
      <c r="C1832">
        <f>IF(B1832="","",INT(A1832))</f>
        <v/>
      </c>
      <c r="D1832">
        <f>IF(B1832="","",HOUR(A1832))</f>
        <v/>
      </c>
    </row>
    <row r="1833">
      <c r="A1833">
        <f>Input!A1833</f>
        <v/>
      </c>
      <c r="B1833">
        <f>IF(ISNUMBER(Input!B1833),IF(AND(Input!B1833&gt;=20,Input!B1833&lt;=700),Input!B1833,""),"")</f>
        <v/>
      </c>
      <c r="C1833">
        <f>IF(B1833="","",INT(A1833))</f>
        <v/>
      </c>
      <c r="D1833">
        <f>IF(B1833="","",HOUR(A1833))</f>
        <v/>
      </c>
    </row>
    <row r="1834">
      <c r="A1834">
        <f>Input!A1834</f>
        <v/>
      </c>
      <c r="B1834">
        <f>IF(ISNUMBER(Input!B1834),IF(AND(Input!B1834&gt;=20,Input!B1834&lt;=700),Input!B1834,""),"")</f>
        <v/>
      </c>
      <c r="C1834">
        <f>IF(B1834="","",INT(A1834))</f>
        <v/>
      </c>
      <c r="D1834">
        <f>IF(B1834="","",HOUR(A1834))</f>
        <v/>
      </c>
    </row>
    <row r="1835">
      <c r="A1835">
        <f>Input!A1835</f>
        <v/>
      </c>
      <c r="B1835">
        <f>IF(ISNUMBER(Input!B1835),IF(AND(Input!B1835&gt;=20,Input!B1835&lt;=700),Input!B1835,""),"")</f>
        <v/>
      </c>
      <c r="C1835">
        <f>IF(B1835="","",INT(A1835))</f>
        <v/>
      </c>
      <c r="D1835">
        <f>IF(B1835="","",HOUR(A1835))</f>
        <v/>
      </c>
    </row>
    <row r="1836">
      <c r="A1836">
        <f>Input!A1836</f>
        <v/>
      </c>
      <c r="B1836">
        <f>IF(ISNUMBER(Input!B1836),IF(AND(Input!B1836&gt;=20,Input!B1836&lt;=700),Input!B1836,""),"")</f>
        <v/>
      </c>
      <c r="C1836">
        <f>IF(B1836="","",INT(A1836))</f>
        <v/>
      </c>
      <c r="D1836">
        <f>IF(B1836="","",HOUR(A1836))</f>
        <v/>
      </c>
    </row>
    <row r="1837">
      <c r="A1837">
        <f>Input!A1837</f>
        <v/>
      </c>
      <c r="B1837">
        <f>IF(ISNUMBER(Input!B1837),IF(AND(Input!B1837&gt;=20,Input!B1837&lt;=700),Input!B1837,""),"")</f>
        <v/>
      </c>
      <c r="C1837">
        <f>IF(B1837="","",INT(A1837))</f>
        <v/>
      </c>
      <c r="D1837">
        <f>IF(B1837="","",HOUR(A1837))</f>
        <v/>
      </c>
    </row>
    <row r="1838">
      <c r="A1838">
        <f>Input!A1838</f>
        <v/>
      </c>
      <c r="B1838">
        <f>IF(ISNUMBER(Input!B1838),IF(AND(Input!B1838&gt;=20,Input!B1838&lt;=700),Input!B1838,""),"")</f>
        <v/>
      </c>
      <c r="C1838">
        <f>IF(B1838="","",INT(A1838))</f>
        <v/>
      </c>
      <c r="D1838">
        <f>IF(B1838="","",HOUR(A1838))</f>
        <v/>
      </c>
    </row>
    <row r="1839">
      <c r="A1839">
        <f>Input!A1839</f>
        <v/>
      </c>
      <c r="B1839">
        <f>IF(ISNUMBER(Input!B1839),IF(AND(Input!B1839&gt;=20,Input!B1839&lt;=700),Input!B1839,""),"")</f>
        <v/>
      </c>
      <c r="C1839">
        <f>IF(B1839="","",INT(A1839))</f>
        <v/>
      </c>
      <c r="D1839">
        <f>IF(B1839="","",HOUR(A1839))</f>
        <v/>
      </c>
    </row>
    <row r="1840">
      <c r="A1840">
        <f>Input!A1840</f>
        <v/>
      </c>
      <c r="B1840">
        <f>IF(ISNUMBER(Input!B1840),IF(AND(Input!B1840&gt;=20,Input!B1840&lt;=700),Input!B1840,""),"")</f>
        <v/>
      </c>
      <c r="C1840">
        <f>IF(B1840="","",INT(A1840))</f>
        <v/>
      </c>
      <c r="D1840">
        <f>IF(B1840="","",HOUR(A1840))</f>
        <v/>
      </c>
    </row>
    <row r="1841">
      <c r="A1841">
        <f>Input!A1841</f>
        <v/>
      </c>
      <c r="B1841">
        <f>IF(ISNUMBER(Input!B1841),IF(AND(Input!B1841&gt;=20,Input!B1841&lt;=700),Input!B1841,""),"")</f>
        <v/>
      </c>
      <c r="C1841">
        <f>IF(B1841="","",INT(A1841))</f>
        <v/>
      </c>
      <c r="D1841">
        <f>IF(B1841="","",HOUR(A1841))</f>
        <v/>
      </c>
    </row>
    <row r="1842">
      <c r="A1842">
        <f>Input!A1842</f>
        <v/>
      </c>
      <c r="B1842">
        <f>IF(ISNUMBER(Input!B1842),IF(AND(Input!B1842&gt;=20,Input!B1842&lt;=700),Input!B1842,""),"")</f>
        <v/>
      </c>
      <c r="C1842">
        <f>IF(B1842="","",INT(A1842))</f>
        <v/>
      </c>
      <c r="D1842">
        <f>IF(B1842="","",HOUR(A1842))</f>
        <v/>
      </c>
    </row>
    <row r="1843">
      <c r="A1843">
        <f>Input!A1843</f>
        <v/>
      </c>
      <c r="B1843">
        <f>IF(ISNUMBER(Input!B1843),IF(AND(Input!B1843&gt;=20,Input!B1843&lt;=700),Input!B1843,""),"")</f>
        <v/>
      </c>
      <c r="C1843">
        <f>IF(B1843="","",INT(A1843))</f>
        <v/>
      </c>
      <c r="D1843">
        <f>IF(B1843="","",HOUR(A1843))</f>
        <v/>
      </c>
    </row>
    <row r="1844">
      <c r="A1844">
        <f>Input!A1844</f>
        <v/>
      </c>
      <c r="B1844">
        <f>IF(ISNUMBER(Input!B1844),IF(AND(Input!B1844&gt;=20,Input!B1844&lt;=700),Input!B1844,""),"")</f>
        <v/>
      </c>
      <c r="C1844">
        <f>IF(B1844="","",INT(A1844))</f>
        <v/>
      </c>
      <c r="D1844">
        <f>IF(B1844="","",HOUR(A1844))</f>
        <v/>
      </c>
    </row>
    <row r="1845">
      <c r="A1845">
        <f>Input!A1845</f>
        <v/>
      </c>
      <c r="B1845">
        <f>IF(ISNUMBER(Input!B1845),IF(AND(Input!B1845&gt;=20,Input!B1845&lt;=700),Input!B1845,""),"")</f>
        <v/>
      </c>
      <c r="C1845">
        <f>IF(B1845="","",INT(A1845))</f>
        <v/>
      </c>
      <c r="D1845">
        <f>IF(B1845="","",HOUR(A1845))</f>
        <v/>
      </c>
    </row>
    <row r="1846">
      <c r="A1846">
        <f>Input!A1846</f>
        <v/>
      </c>
      <c r="B1846">
        <f>IF(ISNUMBER(Input!B1846),IF(AND(Input!B1846&gt;=20,Input!B1846&lt;=700),Input!B1846,""),"")</f>
        <v/>
      </c>
      <c r="C1846">
        <f>IF(B1846="","",INT(A1846))</f>
        <v/>
      </c>
      <c r="D1846">
        <f>IF(B1846="","",HOUR(A1846))</f>
        <v/>
      </c>
    </row>
    <row r="1847">
      <c r="A1847">
        <f>Input!A1847</f>
        <v/>
      </c>
      <c r="B1847">
        <f>IF(ISNUMBER(Input!B1847),IF(AND(Input!B1847&gt;=20,Input!B1847&lt;=700),Input!B1847,""),"")</f>
        <v/>
      </c>
      <c r="C1847">
        <f>IF(B1847="","",INT(A1847))</f>
        <v/>
      </c>
      <c r="D1847">
        <f>IF(B1847="","",HOUR(A1847))</f>
        <v/>
      </c>
    </row>
    <row r="1848">
      <c r="A1848">
        <f>Input!A1848</f>
        <v/>
      </c>
      <c r="B1848">
        <f>IF(ISNUMBER(Input!B1848),IF(AND(Input!B1848&gt;=20,Input!B1848&lt;=700),Input!B1848,""),"")</f>
        <v/>
      </c>
      <c r="C1848">
        <f>IF(B1848="","",INT(A1848))</f>
        <v/>
      </c>
      <c r="D1848">
        <f>IF(B1848="","",HOUR(A1848))</f>
        <v/>
      </c>
    </row>
    <row r="1849">
      <c r="A1849">
        <f>Input!A1849</f>
        <v/>
      </c>
      <c r="B1849">
        <f>IF(ISNUMBER(Input!B1849),IF(AND(Input!B1849&gt;=20,Input!B1849&lt;=700),Input!B1849,""),"")</f>
        <v/>
      </c>
      <c r="C1849">
        <f>IF(B1849="","",INT(A1849))</f>
        <v/>
      </c>
      <c r="D1849">
        <f>IF(B1849="","",HOUR(A1849))</f>
        <v/>
      </c>
    </row>
    <row r="1850">
      <c r="A1850">
        <f>Input!A1850</f>
        <v/>
      </c>
      <c r="B1850">
        <f>IF(ISNUMBER(Input!B1850),IF(AND(Input!B1850&gt;=20,Input!B1850&lt;=700),Input!B1850,""),"")</f>
        <v/>
      </c>
      <c r="C1850">
        <f>IF(B1850="","",INT(A1850))</f>
        <v/>
      </c>
      <c r="D1850">
        <f>IF(B1850="","",HOUR(A1850))</f>
        <v/>
      </c>
    </row>
    <row r="1851">
      <c r="A1851">
        <f>Input!A1851</f>
        <v/>
      </c>
      <c r="B1851">
        <f>IF(ISNUMBER(Input!B1851),IF(AND(Input!B1851&gt;=20,Input!B1851&lt;=700),Input!B1851,""),"")</f>
        <v/>
      </c>
      <c r="C1851">
        <f>IF(B1851="","",INT(A1851))</f>
        <v/>
      </c>
      <c r="D1851">
        <f>IF(B1851="","",HOUR(A1851))</f>
        <v/>
      </c>
    </row>
    <row r="1852">
      <c r="A1852">
        <f>Input!A1852</f>
        <v/>
      </c>
      <c r="B1852">
        <f>IF(ISNUMBER(Input!B1852),IF(AND(Input!B1852&gt;=20,Input!B1852&lt;=700),Input!B1852,""),"")</f>
        <v/>
      </c>
      <c r="C1852">
        <f>IF(B1852="","",INT(A1852))</f>
        <v/>
      </c>
      <c r="D1852">
        <f>IF(B1852="","",HOUR(A1852))</f>
        <v/>
      </c>
    </row>
    <row r="1853">
      <c r="A1853">
        <f>Input!A1853</f>
        <v/>
      </c>
      <c r="B1853">
        <f>IF(ISNUMBER(Input!B1853),IF(AND(Input!B1853&gt;=20,Input!B1853&lt;=700),Input!B1853,""),"")</f>
        <v/>
      </c>
      <c r="C1853">
        <f>IF(B1853="","",INT(A1853))</f>
        <v/>
      </c>
      <c r="D1853">
        <f>IF(B1853="","",HOUR(A1853))</f>
        <v/>
      </c>
    </row>
    <row r="1854">
      <c r="A1854">
        <f>Input!A1854</f>
        <v/>
      </c>
      <c r="B1854">
        <f>IF(ISNUMBER(Input!B1854),IF(AND(Input!B1854&gt;=20,Input!B1854&lt;=700),Input!B1854,""),"")</f>
        <v/>
      </c>
      <c r="C1854">
        <f>IF(B1854="","",INT(A1854))</f>
        <v/>
      </c>
      <c r="D1854">
        <f>IF(B1854="","",HOUR(A1854))</f>
        <v/>
      </c>
    </row>
    <row r="1855">
      <c r="A1855">
        <f>Input!A1855</f>
        <v/>
      </c>
      <c r="B1855">
        <f>IF(ISNUMBER(Input!B1855),IF(AND(Input!B1855&gt;=20,Input!B1855&lt;=700),Input!B1855,""),"")</f>
        <v/>
      </c>
      <c r="C1855">
        <f>IF(B1855="","",INT(A1855))</f>
        <v/>
      </c>
      <c r="D1855">
        <f>IF(B1855="","",HOUR(A1855))</f>
        <v/>
      </c>
    </row>
    <row r="1856">
      <c r="A1856">
        <f>Input!A1856</f>
        <v/>
      </c>
      <c r="B1856">
        <f>IF(ISNUMBER(Input!B1856),IF(AND(Input!B1856&gt;=20,Input!B1856&lt;=700),Input!B1856,""),"")</f>
        <v/>
      </c>
      <c r="C1856">
        <f>IF(B1856="","",INT(A1856))</f>
        <v/>
      </c>
      <c r="D1856">
        <f>IF(B1856="","",HOUR(A1856))</f>
        <v/>
      </c>
    </row>
    <row r="1857">
      <c r="A1857">
        <f>Input!A1857</f>
        <v/>
      </c>
      <c r="B1857">
        <f>IF(ISNUMBER(Input!B1857),IF(AND(Input!B1857&gt;=20,Input!B1857&lt;=700),Input!B1857,""),"")</f>
        <v/>
      </c>
      <c r="C1857">
        <f>IF(B1857="","",INT(A1857))</f>
        <v/>
      </c>
      <c r="D1857">
        <f>IF(B1857="","",HOUR(A1857))</f>
        <v/>
      </c>
    </row>
    <row r="1858">
      <c r="A1858">
        <f>Input!A1858</f>
        <v/>
      </c>
      <c r="B1858">
        <f>IF(ISNUMBER(Input!B1858),IF(AND(Input!B1858&gt;=20,Input!B1858&lt;=700),Input!B1858,""),"")</f>
        <v/>
      </c>
      <c r="C1858">
        <f>IF(B1858="","",INT(A1858))</f>
        <v/>
      </c>
      <c r="D1858">
        <f>IF(B1858="","",HOUR(A1858))</f>
        <v/>
      </c>
    </row>
    <row r="1859">
      <c r="A1859">
        <f>Input!A1859</f>
        <v/>
      </c>
      <c r="B1859">
        <f>IF(ISNUMBER(Input!B1859),IF(AND(Input!B1859&gt;=20,Input!B1859&lt;=700),Input!B1859,""),"")</f>
        <v/>
      </c>
      <c r="C1859">
        <f>IF(B1859="","",INT(A1859))</f>
        <v/>
      </c>
      <c r="D1859">
        <f>IF(B1859="","",HOUR(A1859))</f>
        <v/>
      </c>
    </row>
    <row r="1860">
      <c r="A1860">
        <f>Input!A1860</f>
        <v/>
      </c>
      <c r="B1860">
        <f>IF(ISNUMBER(Input!B1860),IF(AND(Input!B1860&gt;=20,Input!B1860&lt;=700),Input!B1860,""),"")</f>
        <v/>
      </c>
      <c r="C1860">
        <f>IF(B1860="","",INT(A1860))</f>
        <v/>
      </c>
      <c r="D1860">
        <f>IF(B1860="","",HOUR(A1860))</f>
        <v/>
      </c>
    </row>
    <row r="1861">
      <c r="A1861">
        <f>Input!A1861</f>
        <v/>
      </c>
      <c r="B1861">
        <f>IF(ISNUMBER(Input!B1861),IF(AND(Input!B1861&gt;=20,Input!B1861&lt;=700),Input!B1861,""),"")</f>
        <v/>
      </c>
      <c r="C1861">
        <f>IF(B1861="","",INT(A1861))</f>
        <v/>
      </c>
      <c r="D1861">
        <f>IF(B1861="","",HOUR(A1861))</f>
        <v/>
      </c>
    </row>
    <row r="1862">
      <c r="A1862">
        <f>Input!A1862</f>
        <v/>
      </c>
      <c r="B1862">
        <f>IF(ISNUMBER(Input!B1862),IF(AND(Input!B1862&gt;=20,Input!B1862&lt;=700),Input!B1862,""),"")</f>
        <v/>
      </c>
      <c r="C1862">
        <f>IF(B1862="","",INT(A1862))</f>
        <v/>
      </c>
      <c r="D1862">
        <f>IF(B1862="","",HOUR(A1862))</f>
        <v/>
      </c>
    </row>
    <row r="1863">
      <c r="A1863">
        <f>Input!A1863</f>
        <v/>
      </c>
      <c r="B1863">
        <f>IF(ISNUMBER(Input!B1863),IF(AND(Input!B1863&gt;=20,Input!B1863&lt;=700),Input!B1863,""),"")</f>
        <v/>
      </c>
      <c r="C1863">
        <f>IF(B1863="","",INT(A1863))</f>
        <v/>
      </c>
      <c r="D1863">
        <f>IF(B1863="","",HOUR(A1863))</f>
        <v/>
      </c>
    </row>
    <row r="1864">
      <c r="A1864">
        <f>Input!A1864</f>
        <v/>
      </c>
      <c r="B1864">
        <f>IF(ISNUMBER(Input!B1864),IF(AND(Input!B1864&gt;=20,Input!B1864&lt;=700),Input!B1864,""),"")</f>
        <v/>
      </c>
      <c r="C1864">
        <f>IF(B1864="","",INT(A1864))</f>
        <v/>
      </c>
      <c r="D1864">
        <f>IF(B1864="","",HOUR(A1864))</f>
        <v/>
      </c>
    </row>
    <row r="1865">
      <c r="A1865">
        <f>Input!A1865</f>
        <v/>
      </c>
      <c r="B1865">
        <f>IF(ISNUMBER(Input!B1865),IF(AND(Input!B1865&gt;=20,Input!B1865&lt;=700),Input!B1865,""),"")</f>
        <v/>
      </c>
      <c r="C1865">
        <f>IF(B1865="","",INT(A1865))</f>
        <v/>
      </c>
      <c r="D1865">
        <f>IF(B1865="","",HOUR(A1865))</f>
        <v/>
      </c>
    </row>
    <row r="1866">
      <c r="A1866">
        <f>Input!A1866</f>
        <v/>
      </c>
      <c r="B1866">
        <f>IF(ISNUMBER(Input!B1866),IF(AND(Input!B1866&gt;=20,Input!B1866&lt;=700),Input!B1866,""),"")</f>
        <v/>
      </c>
      <c r="C1866">
        <f>IF(B1866="","",INT(A1866))</f>
        <v/>
      </c>
      <c r="D1866">
        <f>IF(B1866="","",HOUR(A1866))</f>
        <v/>
      </c>
    </row>
    <row r="1867">
      <c r="A1867">
        <f>Input!A1867</f>
        <v/>
      </c>
      <c r="B1867">
        <f>IF(ISNUMBER(Input!B1867),IF(AND(Input!B1867&gt;=20,Input!B1867&lt;=700),Input!B1867,""),"")</f>
        <v/>
      </c>
      <c r="C1867">
        <f>IF(B1867="","",INT(A1867))</f>
        <v/>
      </c>
      <c r="D1867">
        <f>IF(B1867="","",HOUR(A1867))</f>
        <v/>
      </c>
    </row>
    <row r="1868">
      <c r="A1868">
        <f>Input!A1868</f>
        <v/>
      </c>
      <c r="B1868">
        <f>IF(ISNUMBER(Input!B1868),IF(AND(Input!B1868&gt;=20,Input!B1868&lt;=700),Input!B1868,""),"")</f>
        <v/>
      </c>
      <c r="C1868">
        <f>IF(B1868="","",INT(A1868))</f>
        <v/>
      </c>
      <c r="D1868">
        <f>IF(B1868="","",HOUR(A1868))</f>
        <v/>
      </c>
    </row>
    <row r="1869">
      <c r="A1869">
        <f>Input!A1869</f>
        <v/>
      </c>
      <c r="B1869">
        <f>IF(ISNUMBER(Input!B1869),IF(AND(Input!B1869&gt;=20,Input!B1869&lt;=700),Input!B1869,""),"")</f>
        <v/>
      </c>
      <c r="C1869">
        <f>IF(B1869="","",INT(A1869))</f>
        <v/>
      </c>
      <c r="D1869">
        <f>IF(B1869="","",HOUR(A1869))</f>
        <v/>
      </c>
    </row>
    <row r="1870">
      <c r="A1870">
        <f>Input!A1870</f>
        <v/>
      </c>
      <c r="B1870">
        <f>IF(ISNUMBER(Input!B1870),IF(AND(Input!B1870&gt;=20,Input!B1870&lt;=700),Input!B1870,""),"")</f>
        <v/>
      </c>
      <c r="C1870">
        <f>IF(B1870="","",INT(A1870))</f>
        <v/>
      </c>
      <c r="D1870">
        <f>IF(B1870="","",HOUR(A1870))</f>
        <v/>
      </c>
    </row>
    <row r="1871">
      <c r="A1871">
        <f>Input!A1871</f>
        <v/>
      </c>
      <c r="B1871">
        <f>IF(ISNUMBER(Input!B1871),IF(AND(Input!B1871&gt;=20,Input!B1871&lt;=700),Input!B1871,""),"")</f>
        <v/>
      </c>
      <c r="C1871">
        <f>IF(B1871="","",INT(A1871))</f>
        <v/>
      </c>
      <c r="D1871">
        <f>IF(B1871="","",HOUR(A1871))</f>
        <v/>
      </c>
    </row>
    <row r="1872">
      <c r="A1872">
        <f>Input!A1872</f>
        <v/>
      </c>
      <c r="B1872">
        <f>IF(ISNUMBER(Input!B1872),IF(AND(Input!B1872&gt;=20,Input!B1872&lt;=700),Input!B1872,""),"")</f>
        <v/>
      </c>
      <c r="C1872">
        <f>IF(B1872="","",INT(A1872))</f>
        <v/>
      </c>
      <c r="D1872">
        <f>IF(B1872="","",HOUR(A1872))</f>
        <v/>
      </c>
    </row>
    <row r="1873">
      <c r="A1873">
        <f>Input!A1873</f>
        <v/>
      </c>
      <c r="B1873">
        <f>IF(ISNUMBER(Input!B1873),IF(AND(Input!B1873&gt;=20,Input!B1873&lt;=700),Input!B1873,""),"")</f>
        <v/>
      </c>
      <c r="C1873">
        <f>IF(B1873="","",INT(A1873))</f>
        <v/>
      </c>
      <c r="D1873">
        <f>IF(B1873="","",HOUR(A1873))</f>
        <v/>
      </c>
    </row>
    <row r="1874">
      <c r="A1874">
        <f>Input!A1874</f>
        <v/>
      </c>
      <c r="B1874">
        <f>IF(ISNUMBER(Input!B1874),IF(AND(Input!B1874&gt;=20,Input!B1874&lt;=700),Input!B1874,""),"")</f>
        <v/>
      </c>
      <c r="C1874">
        <f>IF(B1874="","",INT(A1874))</f>
        <v/>
      </c>
      <c r="D1874">
        <f>IF(B1874="","",HOUR(A1874))</f>
        <v/>
      </c>
    </row>
    <row r="1875">
      <c r="A1875">
        <f>Input!A1875</f>
        <v/>
      </c>
      <c r="B1875">
        <f>IF(ISNUMBER(Input!B1875),IF(AND(Input!B1875&gt;=20,Input!B1875&lt;=700),Input!B1875,""),"")</f>
        <v/>
      </c>
      <c r="C1875">
        <f>IF(B1875="","",INT(A1875))</f>
        <v/>
      </c>
      <c r="D1875">
        <f>IF(B1875="","",HOUR(A1875))</f>
        <v/>
      </c>
    </row>
    <row r="1876">
      <c r="A1876">
        <f>Input!A1876</f>
        <v/>
      </c>
      <c r="B1876">
        <f>IF(ISNUMBER(Input!B1876),IF(AND(Input!B1876&gt;=20,Input!B1876&lt;=700),Input!B1876,""),"")</f>
        <v/>
      </c>
      <c r="C1876">
        <f>IF(B1876="","",INT(A1876))</f>
        <v/>
      </c>
      <c r="D1876">
        <f>IF(B1876="","",HOUR(A1876))</f>
        <v/>
      </c>
    </row>
    <row r="1877">
      <c r="A1877">
        <f>Input!A1877</f>
        <v/>
      </c>
      <c r="B1877">
        <f>IF(ISNUMBER(Input!B1877),IF(AND(Input!B1877&gt;=20,Input!B1877&lt;=700),Input!B1877,""),"")</f>
        <v/>
      </c>
      <c r="C1877">
        <f>IF(B1877="","",INT(A1877))</f>
        <v/>
      </c>
      <c r="D1877">
        <f>IF(B1877="","",HOUR(A1877))</f>
        <v/>
      </c>
    </row>
    <row r="1878">
      <c r="A1878">
        <f>Input!A1878</f>
        <v/>
      </c>
      <c r="B1878">
        <f>IF(ISNUMBER(Input!B1878),IF(AND(Input!B1878&gt;=20,Input!B1878&lt;=700),Input!B1878,""),"")</f>
        <v/>
      </c>
      <c r="C1878">
        <f>IF(B1878="","",INT(A1878))</f>
        <v/>
      </c>
      <c r="D1878">
        <f>IF(B1878="","",HOUR(A1878))</f>
        <v/>
      </c>
    </row>
    <row r="1879">
      <c r="A1879">
        <f>Input!A1879</f>
        <v/>
      </c>
      <c r="B1879">
        <f>IF(ISNUMBER(Input!B1879),IF(AND(Input!B1879&gt;=20,Input!B1879&lt;=700),Input!B1879,""),"")</f>
        <v/>
      </c>
      <c r="C1879">
        <f>IF(B1879="","",INT(A1879))</f>
        <v/>
      </c>
      <c r="D1879">
        <f>IF(B1879="","",HOUR(A1879))</f>
        <v/>
      </c>
    </row>
    <row r="1880">
      <c r="A1880">
        <f>Input!A1880</f>
        <v/>
      </c>
      <c r="B1880">
        <f>IF(ISNUMBER(Input!B1880),IF(AND(Input!B1880&gt;=20,Input!B1880&lt;=700),Input!B1880,""),"")</f>
        <v/>
      </c>
      <c r="C1880">
        <f>IF(B1880="","",INT(A1880))</f>
        <v/>
      </c>
      <c r="D1880">
        <f>IF(B1880="","",HOUR(A1880))</f>
        <v/>
      </c>
    </row>
    <row r="1881">
      <c r="A1881">
        <f>Input!A1881</f>
        <v/>
      </c>
      <c r="B1881">
        <f>IF(ISNUMBER(Input!B1881),IF(AND(Input!B1881&gt;=20,Input!B1881&lt;=700),Input!B1881,""),"")</f>
        <v/>
      </c>
      <c r="C1881">
        <f>IF(B1881="","",INT(A1881))</f>
        <v/>
      </c>
      <c r="D1881">
        <f>IF(B1881="","",HOUR(A1881))</f>
        <v/>
      </c>
    </row>
    <row r="1882">
      <c r="A1882">
        <f>Input!A1882</f>
        <v/>
      </c>
      <c r="B1882">
        <f>IF(ISNUMBER(Input!B1882),IF(AND(Input!B1882&gt;=20,Input!B1882&lt;=700),Input!B1882,""),"")</f>
        <v/>
      </c>
      <c r="C1882">
        <f>IF(B1882="","",INT(A1882))</f>
        <v/>
      </c>
      <c r="D1882">
        <f>IF(B1882="","",HOUR(A1882))</f>
        <v/>
      </c>
    </row>
    <row r="1883">
      <c r="A1883">
        <f>Input!A1883</f>
        <v/>
      </c>
      <c r="B1883">
        <f>IF(ISNUMBER(Input!B1883),IF(AND(Input!B1883&gt;=20,Input!B1883&lt;=700),Input!B1883,""),"")</f>
        <v/>
      </c>
      <c r="C1883">
        <f>IF(B1883="","",INT(A1883))</f>
        <v/>
      </c>
      <c r="D1883">
        <f>IF(B1883="","",HOUR(A1883))</f>
        <v/>
      </c>
    </row>
    <row r="1884">
      <c r="A1884">
        <f>Input!A1884</f>
        <v/>
      </c>
      <c r="B1884">
        <f>IF(ISNUMBER(Input!B1884),IF(AND(Input!B1884&gt;=20,Input!B1884&lt;=700),Input!B1884,""),"")</f>
        <v/>
      </c>
      <c r="C1884">
        <f>IF(B1884="","",INT(A1884))</f>
        <v/>
      </c>
      <c r="D1884">
        <f>IF(B1884="","",HOUR(A1884))</f>
        <v/>
      </c>
    </row>
    <row r="1885">
      <c r="A1885">
        <f>Input!A1885</f>
        <v/>
      </c>
      <c r="B1885">
        <f>IF(ISNUMBER(Input!B1885),IF(AND(Input!B1885&gt;=20,Input!B1885&lt;=700),Input!B1885,""),"")</f>
        <v/>
      </c>
      <c r="C1885">
        <f>IF(B1885="","",INT(A1885))</f>
        <v/>
      </c>
      <c r="D1885">
        <f>IF(B1885="","",HOUR(A1885))</f>
        <v/>
      </c>
    </row>
    <row r="1886">
      <c r="A1886">
        <f>Input!A1886</f>
        <v/>
      </c>
      <c r="B1886">
        <f>IF(ISNUMBER(Input!B1886),IF(AND(Input!B1886&gt;=20,Input!B1886&lt;=700),Input!B1886,""),"")</f>
        <v/>
      </c>
      <c r="C1886">
        <f>IF(B1886="","",INT(A1886))</f>
        <v/>
      </c>
      <c r="D1886">
        <f>IF(B1886="","",HOUR(A1886))</f>
        <v/>
      </c>
    </row>
    <row r="1887">
      <c r="A1887">
        <f>Input!A1887</f>
        <v/>
      </c>
      <c r="B1887">
        <f>IF(ISNUMBER(Input!B1887),IF(AND(Input!B1887&gt;=20,Input!B1887&lt;=700),Input!B1887,""),"")</f>
        <v/>
      </c>
      <c r="C1887">
        <f>IF(B1887="","",INT(A1887))</f>
        <v/>
      </c>
      <c r="D1887">
        <f>IF(B1887="","",HOUR(A1887))</f>
        <v/>
      </c>
    </row>
    <row r="1888">
      <c r="A1888">
        <f>Input!A1888</f>
        <v/>
      </c>
      <c r="B1888">
        <f>IF(ISNUMBER(Input!B1888),IF(AND(Input!B1888&gt;=20,Input!B1888&lt;=700),Input!B1888,""),"")</f>
        <v/>
      </c>
      <c r="C1888">
        <f>IF(B1888="","",INT(A1888))</f>
        <v/>
      </c>
      <c r="D1888">
        <f>IF(B1888="","",HOUR(A1888))</f>
        <v/>
      </c>
    </row>
    <row r="1889">
      <c r="A1889">
        <f>Input!A1889</f>
        <v/>
      </c>
      <c r="B1889">
        <f>IF(ISNUMBER(Input!B1889),IF(AND(Input!B1889&gt;=20,Input!B1889&lt;=700),Input!B1889,""),"")</f>
        <v/>
      </c>
      <c r="C1889">
        <f>IF(B1889="","",INT(A1889))</f>
        <v/>
      </c>
      <c r="D1889">
        <f>IF(B1889="","",HOUR(A1889))</f>
        <v/>
      </c>
    </row>
    <row r="1890">
      <c r="A1890">
        <f>Input!A1890</f>
        <v/>
      </c>
      <c r="B1890">
        <f>IF(ISNUMBER(Input!B1890),IF(AND(Input!B1890&gt;=20,Input!B1890&lt;=700),Input!B1890,""),"")</f>
        <v/>
      </c>
      <c r="C1890">
        <f>IF(B1890="","",INT(A1890))</f>
        <v/>
      </c>
      <c r="D1890">
        <f>IF(B1890="","",HOUR(A1890))</f>
        <v/>
      </c>
    </row>
    <row r="1891">
      <c r="A1891">
        <f>Input!A1891</f>
        <v/>
      </c>
      <c r="B1891">
        <f>IF(ISNUMBER(Input!B1891),IF(AND(Input!B1891&gt;=20,Input!B1891&lt;=700),Input!B1891,""),"")</f>
        <v/>
      </c>
      <c r="C1891">
        <f>IF(B1891="","",INT(A1891))</f>
        <v/>
      </c>
      <c r="D1891">
        <f>IF(B1891="","",HOUR(A1891))</f>
        <v/>
      </c>
    </row>
    <row r="1892">
      <c r="A1892">
        <f>Input!A1892</f>
        <v/>
      </c>
      <c r="B1892">
        <f>IF(ISNUMBER(Input!B1892),IF(AND(Input!B1892&gt;=20,Input!B1892&lt;=700),Input!B1892,""),"")</f>
        <v/>
      </c>
      <c r="C1892">
        <f>IF(B1892="","",INT(A1892))</f>
        <v/>
      </c>
      <c r="D1892">
        <f>IF(B1892="","",HOUR(A1892))</f>
        <v/>
      </c>
    </row>
    <row r="1893">
      <c r="A1893">
        <f>Input!A1893</f>
        <v/>
      </c>
      <c r="B1893">
        <f>IF(ISNUMBER(Input!B1893),IF(AND(Input!B1893&gt;=20,Input!B1893&lt;=700),Input!B1893,""),"")</f>
        <v/>
      </c>
      <c r="C1893">
        <f>IF(B1893="","",INT(A1893))</f>
        <v/>
      </c>
      <c r="D1893">
        <f>IF(B1893="","",HOUR(A1893))</f>
        <v/>
      </c>
    </row>
    <row r="1894">
      <c r="A1894">
        <f>Input!A1894</f>
        <v/>
      </c>
      <c r="B1894">
        <f>IF(ISNUMBER(Input!B1894),IF(AND(Input!B1894&gt;=20,Input!B1894&lt;=700),Input!B1894,""),"")</f>
        <v/>
      </c>
      <c r="C1894">
        <f>IF(B1894="","",INT(A1894))</f>
        <v/>
      </c>
      <c r="D1894">
        <f>IF(B1894="","",HOUR(A1894))</f>
        <v/>
      </c>
    </row>
    <row r="1895">
      <c r="A1895">
        <f>Input!A1895</f>
        <v/>
      </c>
      <c r="B1895">
        <f>IF(ISNUMBER(Input!B1895),IF(AND(Input!B1895&gt;=20,Input!B1895&lt;=700),Input!B1895,""),"")</f>
        <v/>
      </c>
      <c r="C1895">
        <f>IF(B1895="","",INT(A1895))</f>
        <v/>
      </c>
      <c r="D1895">
        <f>IF(B1895="","",HOUR(A1895))</f>
        <v/>
      </c>
    </row>
    <row r="1896">
      <c r="A1896">
        <f>Input!A1896</f>
        <v/>
      </c>
      <c r="B1896">
        <f>IF(ISNUMBER(Input!B1896),IF(AND(Input!B1896&gt;=20,Input!B1896&lt;=700),Input!B1896,""),"")</f>
        <v/>
      </c>
      <c r="C1896">
        <f>IF(B1896="","",INT(A1896))</f>
        <v/>
      </c>
      <c r="D1896">
        <f>IF(B1896="","",HOUR(A1896))</f>
        <v/>
      </c>
    </row>
    <row r="1897">
      <c r="A1897">
        <f>Input!A1897</f>
        <v/>
      </c>
      <c r="B1897">
        <f>IF(ISNUMBER(Input!B1897),IF(AND(Input!B1897&gt;=20,Input!B1897&lt;=700),Input!B1897,""),"")</f>
        <v/>
      </c>
      <c r="C1897">
        <f>IF(B1897="","",INT(A1897))</f>
        <v/>
      </c>
      <c r="D1897">
        <f>IF(B1897="","",HOUR(A1897))</f>
        <v/>
      </c>
    </row>
    <row r="1898">
      <c r="A1898">
        <f>Input!A1898</f>
        <v/>
      </c>
      <c r="B1898">
        <f>IF(ISNUMBER(Input!B1898),IF(AND(Input!B1898&gt;=20,Input!B1898&lt;=700),Input!B1898,""),"")</f>
        <v/>
      </c>
      <c r="C1898">
        <f>IF(B1898="","",INT(A1898))</f>
        <v/>
      </c>
      <c r="D1898">
        <f>IF(B1898="","",HOUR(A1898))</f>
        <v/>
      </c>
    </row>
    <row r="1899">
      <c r="A1899">
        <f>Input!A1899</f>
        <v/>
      </c>
      <c r="B1899">
        <f>IF(ISNUMBER(Input!B1899),IF(AND(Input!B1899&gt;=20,Input!B1899&lt;=700),Input!B1899,""),"")</f>
        <v/>
      </c>
      <c r="C1899">
        <f>IF(B1899="","",INT(A1899))</f>
        <v/>
      </c>
      <c r="D1899">
        <f>IF(B1899="","",HOUR(A1899))</f>
        <v/>
      </c>
    </row>
    <row r="1900">
      <c r="A1900">
        <f>Input!A1900</f>
        <v/>
      </c>
      <c r="B1900">
        <f>IF(ISNUMBER(Input!B1900),IF(AND(Input!B1900&gt;=20,Input!B1900&lt;=700),Input!B1900,""),"")</f>
        <v/>
      </c>
      <c r="C1900">
        <f>IF(B1900="","",INT(A1900))</f>
        <v/>
      </c>
      <c r="D1900">
        <f>IF(B1900="","",HOUR(A1900))</f>
        <v/>
      </c>
    </row>
    <row r="1901">
      <c r="A1901">
        <f>Input!A1901</f>
        <v/>
      </c>
      <c r="B1901">
        <f>IF(ISNUMBER(Input!B1901),IF(AND(Input!B1901&gt;=20,Input!B1901&lt;=700),Input!B1901,""),"")</f>
        <v/>
      </c>
      <c r="C1901">
        <f>IF(B1901="","",INT(A1901))</f>
        <v/>
      </c>
      <c r="D1901">
        <f>IF(B1901="","",HOUR(A1901))</f>
        <v/>
      </c>
    </row>
    <row r="1902">
      <c r="A1902">
        <f>Input!A1902</f>
        <v/>
      </c>
      <c r="B1902">
        <f>IF(ISNUMBER(Input!B1902),IF(AND(Input!B1902&gt;=20,Input!B1902&lt;=700),Input!B1902,""),"")</f>
        <v/>
      </c>
      <c r="C1902">
        <f>IF(B1902="","",INT(A1902))</f>
        <v/>
      </c>
      <c r="D1902">
        <f>IF(B1902="","",HOUR(A1902))</f>
        <v/>
      </c>
    </row>
    <row r="1903">
      <c r="A1903">
        <f>Input!A1903</f>
        <v/>
      </c>
      <c r="B1903">
        <f>IF(ISNUMBER(Input!B1903),IF(AND(Input!B1903&gt;=20,Input!B1903&lt;=700),Input!B1903,""),"")</f>
        <v/>
      </c>
      <c r="C1903">
        <f>IF(B1903="","",INT(A1903))</f>
        <v/>
      </c>
      <c r="D1903">
        <f>IF(B1903="","",HOUR(A1903))</f>
        <v/>
      </c>
    </row>
    <row r="1904">
      <c r="A1904">
        <f>Input!A1904</f>
        <v/>
      </c>
      <c r="B1904">
        <f>IF(ISNUMBER(Input!B1904),IF(AND(Input!B1904&gt;=20,Input!B1904&lt;=700),Input!B1904,""),"")</f>
        <v/>
      </c>
      <c r="C1904">
        <f>IF(B1904="","",INT(A1904))</f>
        <v/>
      </c>
      <c r="D1904">
        <f>IF(B1904="","",HOUR(A1904))</f>
        <v/>
      </c>
    </row>
    <row r="1905">
      <c r="A1905">
        <f>Input!A1905</f>
        <v/>
      </c>
      <c r="B1905">
        <f>IF(ISNUMBER(Input!B1905),IF(AND(Input!B1905&gt;=20,Input!B1905&lt;=700),Input!B1905,""),"")</f>
        <v/>
      </c>
      <c r="C1905">
        <f>IF(B1905="","",INT(A1905))</f>
        <v/>
      </c>
      <c r="D1905">
        <f>IF(B1905="","",HOUR(A1905))</f>
        <v/>
      </c>
    </row>
    <row r="1906">
      <c r="A1906">
        <f>Input!A1906</f>
        <v/>
      </c>
      <c r="B1906">
        <f>IF(ISNUMBER(Input!B1906),IF(AND(Input!B1906&gt;=20,Input!B1906&lt;=700),Input!B1906,""),"")</f>
        <v/>
      </c>
      <c r="C1906">
        <f>IF(B1906="","",INT(A1906))</f>
        <v/>
      </c>
      <c r="D1906">
        <f>IF(B1906="","",HOUR(A1906))</f>
        <v/>
      </c>
    </row>
    <row r="1907">
      <c r="A1907">
        <f>Input!A1907</f>
        <v/>
      </c>
      <c r="B1907">
        <f>IF(ISNUMBER(Input!B1907),IF(AND(Input!B1907&gt;=20,Input!B1907&lt;=700),Input!B1907,""),"")</f>
        <v/>
      </c>
      <c r="C1907">
        <f>IF(B1907="","",INT(A1907))</f>
        <v/>
      </c>
      <c r="D1907">
        <f>IF(B1907="","",HOUR(A1907))</f>
        <v/>
      </c>
    </row>
    <row r="1908">
      <c r="A1908">
        <f>Input!A1908</f>
        <v/>
      </c>
      <c r="B1908">
        <f>IF(ISNUMBER(Input!B1908),IF(AND(Input!B1908&gt;=20,Input!B1908&lt;=700),Input!B1908,""),"")</f>
        <v/>
      </c>
      <c r="C1908">
        <f>IF(B1908="","",INT(A1908))</f>
        <v/>
      </c>
      <c r="D1908">
        <f>IF(B1908="","",HOUR(A1908))</f>
        <v/>
      </c>
    </row>
    <row r="1909">
      <c r="A1909">
        <f>Input!A1909</f>
        <v/>
      </c>
      <c r="B1909">
        <f>IF(ISNUMBER(Input!B1909),IF(AND(Input!B1909&gt;=20,Input!B1909&lt;=700),Input!B1909,""),"")</f>
        <v/>
      </c>
      <c r="C1909">
        <f>IF(B1909="","",INT(A1909))</f>
        <v/>
      </c>
      <c r="D1909">
        <f>IF(B1909="","",HOUR(A1909))</f>
        <v/>
      </c>
    </row>
    <row r="1910">
      <c r="A1910">
        <f>Input!A1910</f>
        <v/>
      </c>
      <c r="B1910">
        <f>IF(ISNUMBER(Input!B1910),IF(AND(Input!B1910&gt;=20,Input!B1910&lt;=700),Input!B1910,""),"")</f>
        <v/>
      </c>
      <c r="C1910">
        <f>IF(B1910="","",INT(A1910))</f>
        <v/>
      </c>
      <c r="D1910">
        <f>IF(B1910="","",HOUR(A1910))</f>
        <v/>
      </c>
    </row>
    <row r="1911">
      <c r="A1911">
        <f>Input!A1911</f>
        <v/>
      </c>
      <c r="B1911">
        <f>IF(ISNUMBER(Input!B1911),IF(AND(Input!B1911&gt;=20,Input!B1911&lt;=700),Input!B1911,""),"")</f>
        <v/>
      </c>
      <c r="C1911">
        <f>IF(B1911="","",INT(A1911))</f>
        <v/>
      </c>
      <c r="D1911">
        <f>IF(B1911="","",HOUR(A1911))</f>
        <v/>
      </c>
    </row>
    <row r="1912">
      <c r="A1912">
        <f>Input!A1912</f>
        <v/>
      </c>
      <c r="B1912">
        <f>IF(ISNUMBER(Input!B1912),IF(AND(Input!B1912&gt;=20,Input!B1912&lt;=700),Input!B1912,""),"")</f>
        <v/>
      </c>
      <c r="C1912">
        <f>IF(B1912="","",INT(A1912))</f>
        <v/>
      </c>
      <c r="D1912">
        <f>IF(B1912="","",HOUR(A1912))</f>
        <v/>
      </c>
    </row>
    <row r="1913">
      <c r="A1913">
        <f>Input!A1913</f>
        <v/>
      </c>
      <c r="B1913">
        <f>IF(ISNUMBER(Input!B1913),IF(AND(Input!B1913&gt;=20,Input!B1913&lt;=700),Input!B1913,""),"")</f>
        <v/>
      </c>
      <c r="C1913">
        <f>IF(B1913="","",INT(A1913))</f>
        <v/>
      </c>
      <c r="D1913">
        <f>IF(B1913="","",HOUR(A1913))</f>
        <v/>
      </c>
    </row>
    <row r="1914">
      <c r="A1914">
        <f>Input!A1914</f>
        <v/>
      </c>
      <c r="B1914">
        <f>IF(ISNUMBER(Input!B1914),IF(AND(Input!B1914&gt;=20,Input!B1914&lt;=700),Input!B1914,""),"")</f>
        <v/>
      </c>
      <c r="C1914">
        <f>IF(B1914="","",INT(A1914))</f>
        <v/>
      </c>
      <c r="D1914">
        <f>IF(B1914="","",HOUR(A1914))</f>
        <v/>
      </c>
    </row>
    <row r="1915">
      <c r="A1915">
        <f>Input!A1915</f>
        <v/>
      </c>
      <c r="B1915">
        <f>IF(ISNUMBER(Input!B1915),IF(AND(Input!B1915&gt;=20,Input!B1915&lt;=700),Input!B1915,""),"")</f>
        <v/>
      </c>
      <c r="C1915">
        <f>IF(B1915="","",INT(A1915))</f>
        <v/>
      </c>
      <c r="D1915">
        <f>IF(B1915="","",HOUR(A1915))</f>
        <v/>
      </c>
    </row>
    <row r="1916">
      <c r="A1916">
        <f>Input!A1916</f>
        <v/>
      </c>
      <c r="B1916">
        <f>IF(ISNUMBER(Input!B1916),IF(AND(Input!B1916&gt;=20,Input!B1916&lt;=700),Input!B1916,""),"")</f>
        <v/>
      </c>
      <c r="C1916">
        <f>IF(B1916="","",INT(A1916))</f>
        <v/>
      </c>
      <c r="D1916">
        <f>IF(B1916="","",HOUR(A1916))</f>
        <v/>
      </c>
    </row>
    <row r="1917">
      <c r="A1917">
        <f>Input!A1917</f>
        <v/>
      </c>
      <c r="B1917">
        <f>IF(ISNUMBER(Input!B1917),IF(AND(Input!B1917&gt;=20,Input!B1917&lt;=700),Input!B1917,""),"")</f>
        <v/>
      </c>
      <c r="C1917">
        <f>IF(B1917="","",INT(A1917))</f>
        <v/>
      </c>
      <c r="D1917">
        <f>IF(B1917="","",HOUR(A1917))</f>
        <v/>
      </c>
    </row>
    <row r="1918">
      <c r="A1918">
        <f>Input!A1918</f>
        <v/>
      </c>
      <c r="B1918">
        <f>IF(ISNUMBER(Input!B1918),IF(AND(Input!B1918&gt;=20,Input!B1918&lt;=700),Input!B1918,""),"")</f>
        <v/>
      </c>
      <c r="C1918">
        <f>IF(B1918="","",INT(A1918))</f>
        <v/>
      </c>
      <c r="D1918">
        <f>IF(B1918="","",HOUR(A1918))</f>
        <v/>
      </c>
    </row>
    <row r="1919">
      <c r="A1919">
        <f>Input!A1919</f>
        <v/>
      </c>
      <c r="B1919">
        <f>IF(ISNUMBER(Input!B1919),IF(AND(Input!B1919&gt;=20,Input!B1919&lt;=700),Input!B1919,""),"")</f>
        <v/>
      </c>
      <c r="C1919">
        <f>IF(B1919="","",INT(A1919))</f>
        <v/>
      </c>
      <c r="D1919">
        <f>IF(B1919="","",HOUR(A1919))</f>
        <v/>
      </c>
    </row>
    <row r="1920">
      <c r="A1920">
        <f>Input!A1920</f>
        <v/>
      </c>
      <c r="B1920">
        <f>IF(ISNUMBER(Input!B1920),IF(AND(Input!B1920&gt;=20,Input!B1920&lt;=700),Input!B1920,""),"")</f>
        <v/>
      </c>
      <c r="C1920">
        <f>IF(B1920="","",INT(A1920))</f>
        <v/>
      </c>
      <c r="D1920">
        <f>IF(B1920="","",HOUR(A1920))</f>
        <v/>
      </c>
    </row>
    <row r="1921">
      <c r="A1921">
        <f>Input!A1921</f>
        <v/>
      </c>
      <c r="B1921">
        <f>IF(ISNUMBER(Input!B1921),IF(AND(Input!B1921&gt;=20,Input!B1921&lt;=700),Input!B1921,""),"")</f>
        <v/>
      </c>
      <c r="C1921">
        <f>IF(B1921="","",INT(A1921))</f>
        <v/>
      </c>
      <c r="D1921">
        <f>IF(B1921="","",HOUR(A1921))</f>
        <v/>
      </c>
    </row>
    <row r="1922">
      <c r="A1922">
        <f>Input!A1922</f>
        <v/>
      </c>
      <c r="B1922">
        <f>IF(ISNUMBER(Input!B1922),IF(AND(Input!B1922&gt;=20,Input!B1922&lt;=700),Input!B1922,""),"")</f>
        <v/>
      </c>
      <c r="C1922">
        <f>IF(B1922="","",INT(A1922))</f>
        <v/>
      </c>
      <c r="D1922">
        <f>IF(B1922="","",HOUR(A1922))</f>
        <v/>
      </c>
    </row>
    <row r="1923">
      <c r="A1923">
        <f>Input!A1923</f>
        <v/>
      </c>
      <c r="B1923">
        <f>IF(ISNUMBER(Input!B1923),IF(AND(Input!B1923&gt;=20,Input!B1923&lt;=700),Input!B1923,""),"")</f>
        <v/>
      </c>
      <c r="C1923">
        <f>IF(B1923="","",INT(A1923))</f>
        <v/>
      </c>
      <c r="D1923">
        <f>IF(B1923="","",HOUR(A1923))</f>
        <v/>
      </c>
    </row>
    <row r="1924">
      <c r="A1924">
        <f>Input!A1924</f>
        <v/>
      </c>
      <c r="B1924">
        <f>IF(ISNUMBER(Input!B1924),IF(AND(Input!B1924&gt;=20,Input!B1924&lt;=700),Input!B1924,""),"")</f>
        <v/>
      </c>
      <c r="C1924">
        <f>IF(B1924="","",INT(A1924))</f>
        <v/>
      </c>
      <c r="D1924">
        <f>IF(B1924="","",HOUR(A1924))</f>
        <v/>
      </c>
    </row>
    <row r="1925">
      <c r="A1925">
        <f>Input!A1925</f>
        <v/>
      </c>
      <c r="B1925">
        <f>IF(ISNUMBER(Input!B1925),IF(AND(Input!B1925&gt;=20,Input!B1925&lt;=700),Input!B1925,""),"")</f>
        <v/>
      </c>
      <c r="C1925">
        <f>IF(B1925="","",INT(A1925))</f>
        <v/>
      </c>
      <c r="D1925">
        <f>IF(B1925="","",HOUR(A1925))</f>
        <v/>
      </c>
    </row>
    <row r="1926">
      <c r="A1926">
        <f>Input!A1926</f>
        <v/>
      </c>
      <c r="B1926">
        <f>IF(ISNUMBER(Input!B1926),IF(AND(Input!B1926&gt;=20,Input!B1926&lt;=700),Input!B1926,""),"")</f>
        <v/>
      </c>
      <c r="C1926">
        <f>IF(B1926="","",INT(A1926))</f>
        <v/>
      </c>
      <c r="D1926">
        <f>IF(B1926="","",HOUR(A1926))</f>
        <v/>
      </c>
    </row>
    <row r="1927">
      <c r="A1927">
        <f>Input!A1927</f>
        <v/>
      </c>
      <c r="B1927">
        <f>IF(ISNUMBER(Input!B1927),IF(AND(Input!B1927&gt;=20,Input!B1927&lt;=700),Input!B1927,""),"")</f>
        <v/>
      </c>
      <c r="C1927">
        <f>IF(B1927="","",INT(A1927))</f>
        <v/>
      </c>
      <c r="D1927">
        <f>IF(B1927="","",HOUR(A1927))</f>
        <v/>
      </c>
    </row>
    <row r="1928">
      <c r="A1928">
        <f>Input!A1928</f>
        <v/>
      </c>
      <c r="B1928">
        <f>IF(ISNUMBER(Input!B1928),IF(AND(Input!B1928&gt;=20,Input!B1928&lt;=700),Input!B1928,""),"")</f>
        <v/>
      </c>
      <c r="C1928">
        <f>IF(B1928="","",INT(A1928))</f>
        <v/>
      </c>
      <c r="D1928">
        <f>IF(B1928="","",HOUR(A1928))</f>
        <v/>
      </c>
    </row>
    <row r="1929">
      <c r="A1929">
        <f>Input!A1929</f>
        <v/>
      </c>
      <c r="B1929">
        <f>IF(ISNUMBER(Input!B1929),IF(AND(Input!B1929&gt;=20,Input!B1929&lt;=700),Input!B1929,""),"")</f>
        <v/>
      </c>
      <c r="C1929">
        <f>IF(B1929="","",INT(A1929))</f>
        <v/>
      </c>
      <c r="D1929">
        <f>IF(B1929="","",HOUR(A1929))</f>
        <v/>
      </c>
    </row>
    <row r="1930">
      <c r="A1930">
        <f>Input!A1930</f>
        <v/>
      </c>
      <c r="B1930">
        <f>IF(ISNUMBER(Input!B1930),IF(AND(Input!B1930&gt;=20,Input!B1930&lt;=700),Input!B1930,""),"")</f>
        <v/>
      </c>
      <c r="C1930">
        <f>IF(B1930="","",INT(A1930))</f>
        <v/>
      </c>
      <c r="D1930">
        <f>IF(B1930="","",HOUR(A1930))</f>
        <v/>
      </c>
    </row>
    <row r="1931">
      <c r="A1931">
        <f>Input!A1931</f>
        <v/>
      </c>
      <c r="B1931">
        <f>IF(ISNUMBER(Input!B1931),IF(AND(Input!B1931&gt;=20,Input!B1931&lt;=700),Input!B1931,""),"")</f>
        <v/>
      </c>
      <c r="C1931">
        <f>IF(B1931="","",INT(A1931))</f>
        <v/>
      </c>
      <c r="D1931">
        <f>IF(B1931="","",HOUR(A1931))</f>
        <v/>
      </c>
    </row>
    <row r="1932">
      <c r="A1932">
        <f>Input!A1932</f>
        <v/>
      </c>
      <c r="B1932">
        <f>IF(ISNUMBER(Input!B1932),IF(AND(Input!B1932&gt;=20,Input!B1932&lt;=700),Input!B1932,""),"")</f>
        <v/>
      </c>
      <c r="C1932">
        <f>IF(B1932="","",INT(A1932))</f>
        <v/>
      </c>
      <c r="D1932">
        <f>IF(B1932="","",HOUR(A1932))</f>
        <v/>
      </c>
    </row>
    <row r="1933">
      <c r="A1933">
        <f>Input!A1933</f>
        <v/>
      </c>
      <c r="B1933">
        <f>IF(ISNUMBER(Input!B1933),IF(AND(Input!B1933&gt;=20,Input!B1933&lt;=700),Input!B1933,""),"")</f>
        <v/>
      </c>
      <c r="C1933">
        <f>IF(B1933="","",INT(A1933))</f>
        <v/>
      </c>
      <c r="D1933">
        <f>IF(B1933="","",HOUR(A1933))</f>
        <v/>
      </c>
    </row>
    <row r="1934">
      <c r="A1934">
        <f>Input!A1934</f>
        <v/>
      </c>
      <c r="B1934">
        <f>IF(ISNUMBER(Input!B1934),IF(AND(Input!B1934&gt;=20,Input!B1934&lt;=700),Input!B1934,""),"")</f>
        <v/>
      </c>
      <c r="C1934">
        <f>IF(B1934="","",INT(A1934))</f>
        <v/>
      </c>
      <c r="D1934">
        <f>IF(B1934="","",HOUR(A1934))</f>
        <v/>
      </c>
    </row>
    <row r="1935">
      <c r="A1935">
        <f>Input!A1935</f>
        <v/>
      </c>
      <c r="B1935">
        <f>IF(ISNUMBER(Input!B1935),IF(AND(Input!B1935&gt;=20,Input!B1935&lt;=700),Input!B1935,""),"")</f>
        <v/>
      </c>
      <c r="C1935">
        <f>IF(B1935="","",INT(A1935))</f>
        <v/>
      </c>
      <c r="D1935">
        <f>IF(B1935="","",HOUR(A1935))</f>
        <v/>
      </c>
    </row>
    <row r="1936">
      <c r="A1936">
        <f>Input!A1936</f>
        <v/>
      </c>
      <c r="B1936">
        <f>IF(ISNUMBER(Input!B1936),IF(AND(Input!B1936&gt;=20,Input!B1936&lt;=700),Input!B1936,""),"")</f>
        <v/>
      </c>
      <c r="C1936">
        <f>IF(B1936="","",INT(A1936))</f>
        <v/>
      </c>
      <c r="D1936">
        <f>IF(B1936="","",HOUR(A1936))</f>
        <v/>
      </c>
    </row>
    <row r="1937">
      <c r="A1937">
        <f>Input!A1937</f>
        <v/>
      </c>
      <c r="B1937">
        <f>IF(ISNUMBER(Input!B1937),IF(AND(Input!B1937&gt;=20,Input!B1937&lt;=700),Input!B1937,""),"")</f>
        <v/>
      </c>
      <c r="C1937">
        <f>IF(B1937="","",INT(A1937))</f>
        <v/>
      </c>
      <c r="D1937">
        <f>IF(B1937="","",HOUR(A1937))</f>
        <v/>
      </c>
    </row>
    <row r="1938">
      <c r="A1938">
        <f>Input!A1938</f>
        <v/>
      </c>
      <c r="B1938">
        <f>IF(ISNUMBER(Input!B1938),IF(AND(Input!B1938&gt;=20,Input!B1938&lt;=700),Input!B1938,""),"")</f>
        <v/>
      </c>
      <c r="C1938">
        <f>IF(B1938="","",INT(A1938))</f>
        <v/>
      </c>
      <c r="D1938">
        <f>IF(B1938="","",HOUR(A1938))</f>
        <v/>
      </c>
    </row>
    <row r="1939">
      <c r="A1939">
        <f>Input!A1939</f>
        <v/>
      </c>
      <c r="B1939">
        <f>IF(ISNUMBER(Input!B1939),IF(AND(Input!B1939&gt;=20,Input!B1939&lt;=700),Input!B1939,""),"")</f>
        <v/>
      </c>
      <c r="C1939">
        <f>IF(B1939="","",INT(A1939))</f>
        <v/>
      </c>
      <c r="D1939">
        <f>IF(B1939="","",HOUR(A1939))</f>
        <v/>
      </c>
    </row>
    <row r="1940">
      <c r="A1940">
        <f>Input!A1940</f>
        <v/>
      </c>
      <c r="B1940">
        <f>IF(ISNUMBER(Input!B1940),IF(AND(Input!B1940&gt;=20,Input!B1940&lt;=700),Input!B1940,""),"")</f>
        <v/>
      </c>
      <c r="C1940">
        <f>IF(B1940="","",INT(A1940))</f>
        <v/>
      </c>
      <c r="D1940">
        <f>IF(B1940="","",HOUR(A1940))</f>
        <v/>
      </c>
    </row>
    <row r="1941">
      <c r="A1941">
        <f>Input!A1941</f>
        <v/>
      </c>
      <c r="B1941">
        <f>IF(ISNUMBER(Input!B1941),IF(AND(Input!B1941&gt;=20,Input!B1941&lt;=700),Input!B1941,""),"")</f>
        <v/>
      </c>
      <c r="C1941">
        <f>IF(B1941="","",INT(A1941))</f>
        <v/>
      </c>
      <c r="D1941">
        <f>IF(B1941="","",HOUR(A1941))</f>
        <v/>
      </c>
    </row>
    <row r="1942">
      <c r="A1942">
        <f>Input!A1942</f>
        <v/>
      </c>
      <c r="B1942">
        <f>IF(ISNUMBER(Input!B1942),IF(AND(Input!B1942&gt;=20,Input!B1942&lt;=700),Input!B1942,""),"")</f>
        <v/>
      </c>
      <c r="C1942">
        <f>IF(B1942="","",INT(A1942))</f>
        <v/>
      </c>
      <c r="D1942">
        <f>IF(B1942="","",HOUR(A1942))</f>
        <v/>
      </c>
    </row>
    <row r="1943">
      <c r="A1943">
        <f>Input!A1943</f>
        <v/>
      </c>
      <c r="B1943">
        <f>IF(ISNUMBER(Input!B1943),IF(AND(Input!B1943&gt;=20,Input!B1943&lt;=700),Input!B1943,""),"")</f>
        <v/>
      </c>
      <c r="C1943">
        <f>IF(B1943="","",INT(A1943))</f>
        <v/>
      </c>
      <c r="D1943">
        <f>IF(B1943="","",HOUR(A1943))</f>
        <v/>
      </c>
    </row>
    <row r="1944">
      <c r="A1944">
        <f>Input!A1944</f>
        <v/>
      </c>
      <c r="B1944">
        <f>IF(ISNUMBER(Input!B1944),IF(AND(Input!B1944&gt;=20,Input!B1944&lt;=700),Input!B1944,""),"")</f>
        <v/>
      </c>
      <c r="C1944">
        <f>IF(B1944="","",INT(A1944))</f>
        <v/>
      </c>
      <c r="D1944">
        <f>IF(B1944="","",HOUR(A1944))</f>
        <v/>
      </c>
    </row>
    <row r="1945">
      <c r="A1945">
        <f>Input!A1945</f>
        <v/>
      </c>
      <c r="B1945">
        <f>IF(ISNUMBER(Input!B1945),IF(AND(Input!B1945&gt;=20,Input!B1945&lt;=700),Input!B1945,""),"")</f>
        <v/>
      </c>
      <c r="C1945">
        <f>IF(B1945="","",INT(A1945))</f>
        <v/>
      </c>
      <c r="D1945">
        <f>IF(B1945="","",HOUR(A1945))</f>
        <v/>
      </c>
    </row>
    <row r="1946">
      <c r="A1946">
        <f>Input!A1946</f>
        <v/>
      </c>
      <c r="B1946">
        <f>IF(ISNUMBER(Input!B1946),IF(AND(Input!B1946&gt;=20,Input!B1946&lt;=700),Input!B1946,""),"")</f>
        <v/>
      </c>
      <c r="C1946">
        <f>IF(B1946="","",INT(A1946))</f>
        <v/>
      </c>
      <c r="D1946">
        <f>IF(B1946="","",HOUR(A1946))</f>
        <v/>
      </c>
    </row>
    <row r="1947">
      <c r="A1947">
        <f>Input!A1947</f>
        <v/>
      </c>
      <c r="B1947">
        <f>IF(ISNUMBER(Input!B1947),IF(AND(Input!B1947&gt;=20,Input!B1947&lt;=700),Input!B1947,""),"")</f>
        <v/>
      </c>
      <c r="C1947">
        <f>IF(B1947="","",INT(A1947))</f>
        <v/>
      </c>
      <c r="D1947">
        <f>IF(B1947="","",HOUR(A1947))</f>
        <v/>
      </c>
    </row>
    <row r="1948">
      <c r="A1948">
        <f>Input!A1948</f>
        <v/>
      </c>
      <c r="B1948">
        <f>IF(ISNUMBER(Input!B1948),IF(AND(Input!B1948&gt;=20,Input!B1948&lt;=700),Input!B1948,""),"")</f>
        <v/>
      </c>
      <c r="C1948">
        <f>IF(B1948="","",INT(A1948))</f>
        <v/>
      </c>
      <c r="D1948">
        <f>IF(B1948="","",HOUR(A1948))</f>
        <v/>
      </c>
    </row>
    <row r="1949">
      <c r="A1949">
        <f>Input!A1949</f>
        <v/>
      </c>
      <c r="B1949">
        <f>IF(ISNUMBER(Input!B1949),IF(AND(Input!B1949&gt;=20,Input!B1949&lt;=700),Input!B1949,""),"")</f>
        <v/>
      </c>
      <c r="C1949">
        <f>IF(B1949="","",INT(A1949))</f>
        <v/>
      </c>
      <c r="D1949">
        <f>IF(B1949="","",HOUR(A1949))</f>
        <v/>
      </c>
    </row>
    <row r="1950">
      <c r="A1950">
        <f>Input!A1950</f>
        <v/>
      </c>
      <c r="B1950">
        <f>IF(ISNUMBER(Input!B1950),IF(AND(Input!B1950&gt;=20,Input!B1950&lt;=700),Input!B1950,""),"")</f>
        <v/>
      </c>
      <c r="C1950">
        <f>IF(B1950="","",INT(A1950))</f>
        <v/>
      </c>
      <c r="D1950">
        <f>IF(B1950="","",HOUR(A1950))</f>
        <v/>
      </c>
    </row>
    <row r="1951">
      <c r="A1951">
        <f>Input!A1951</f>
        <v/>
      </c>
      <c r="B1951">
        <f>IF(ISNUMBER(Input!B1951),IF(AND(Input!B1951&gt;=20,Input!B1951&lt;=700),Input!B1951,""),"")</f>
        <v/>
      </c>
      <c r="C1951">
        <f>IF(B1951="","",INT(A1951))</f>
        <v/>
      </c>
      <c r="D1951">
        <f>IF(B1951="","",HOUR(A1951))</f>
        <v/>
      </c>
    </row>
    <row r="1952">
      <c r="A1952">
        <f>Input!A1952</f>
        <v/>
      </c>
      <c r="B1952">
        <f>IF(ISNUMBER(Input!B1952),IF(AND(Input!B1952&gt;=20,Input!B1952&lt;=700),Input!B1952,""),"")</f>
        <v/>
      </c>
      <c r="C1952">
        <f>IF(B1952="","",INT(A1952))</f>
        <v/>
      </c>
      <c r="D1952">
        <f>IF(B1952="","",HOUR(A1952))</f>
        <v/>
      </c>
    </row>
    <row r="1953">
      <c r="A1953">
        <f>Input!A1953</f>
        <v/>
      </c>
      <c r="B1953">
        <f>IF(ISNUMBER(Input!B1953),IF(AND(Input!B1953&gt;=20,Input!B1953&lt;=700),Input!B1953,""),"")</f>
        <v/>
      </c>
      <c r="C1953">
        <f>IF(B1953="","",INT(A1953))</f>
        <v/>
      </c>
      <c r="D1953">
        <f>IF(B1953="","",HOUR(A1953))</f>
        <v/>
      </c>
    </row>
    <row r="1954">
      <c r="A1954">
        <f>Input!A1954</f>
        <v/>
      </c>
      <c r="B1954">
        <f>IF(ISNUMBER(Input!B1954),IF(AND(Input!B1954&gt;=20,Input!B1954&lt;=700),Input!B1954,""),"")</f>
        <v/>
      </c>
      <c r="C1954">
        <f>IF(B1954="","",INT(A1954))</f>
        <v/>
      </c>
      <c r="D1954">
        <f>IF(B1954="","",HOUR(A1954))</f>
        <v/>
      </c>
    </row>
    <row r="1955">
      <c r="A1955">
        <f>Input!A1955</f>
        <v/>
      </c>
      <c r="B1955">
        <f>IF(ISNUMBER(Input!B1955),IF(AND(Input!B1955&gt;=20,Input!B1955&lt;=700),Input!B1955,""),"")</f>
        <v/>
      </c>
      <c r="C1955">
        <f>IF(B1955="","",INT(A1955))</f>
        <v/>
      </c>
      <c r="D1955">
        <f>IF(B1955="","",HOUR(A1955))</f>
        <v/>
      </c>
    </row>
    <row r="1956">
      <c r="A1956">
        <f>Input!A1956</f>
        <v/>
      </c>
      <c r="B1956">
        <f>IF(ISNUMBER(Input!B1956),IF(AND(Input!B1956&gt;=20,Input!B1956&lt;=700),Input!B1956,""),"")</f>
        <v/>
      </c>
      <c r="C1956">
        <f>IF(B1956="","",INT(A1956))</f>
        <v/>
      </c>
      <c r="D1956">
        <f>IF(B1956="","",HOUR(A1956))</f>
        <v/>
      </c>
    </row>
    <row r="1957">
      <c r="A1957">
        <f>Input!A1957</f>
        <v/>
      </c>
      <c r="B1957">
        <f>IF(ISNUMBER(Input!B1957),IF(AND(Input!B1957&gt;=20,Input!B1957&lt;=700),Input!B1957,""),"")</f>
        <v/>
      </c>
      <c r="C1957">
        <f>IF(B1957="","",INT(A1957))</f>
        <v/>
      </c>
      <c r="D1957">
        <f>IF(B1957="","",HOUR(A1957))</f>
        <v/>
      </c>
    </row>
    <row r="1958">
      <c r="A1958">
        <f>Input!A1958</f>
        <v/>
      </c>
      <c r="B1958">
        <f>IF(ISNUMBER(Input!B1958),IF(AND(Input!B1958&gt;=20,Input!B1958&lt;=700),Input!B1958,""),"")</f>
        <v/>
      </c>
      <c r="C1958">
        <f>IF(B1958="","",INT(A1958))</f>
        <v/>
      </c>
      <c r="D1958">
        <f>IF(B1958="","",HOUR(A1958))</f>
        <v/>
      </c>
    </row>
    <row r="1959">
      <c r="A1959">
        <f>Input!A1959</f>
        <v/>
      </c>
      <c r="B1959">
        <f>IF(ISNUMBER(Input!B1959),IF(AND(Input!B1959&gt;=20,Input!B1959&lt;=700),Input!B1959,""),"")</f>
        <v/>
      </c>
      <c r="C1959">
        <f>IF(B1959="","",INT(A1959))</f>
        <v/>
      </c>
      <c r="D1959">
        <f>IF(B1959="","",HOUR(A1959))</f>
        <v/>
      </c>
    </row>
    <row r="1960">
      <c r="A1960">
        <f>Input!A1960</f>
        <v/>
      </c>
      <c r="B1960">
        <f>IF(ISNUMBER(Input!B1960),IF(AND(Input!B1960&gt;=20,Input!B1960&lt;=700),Input!B1960,""),"")</f>
        <v/>
      </c>
      <c r="C1960">
        <f>IF(B1960="","",INT(A1960))</f>
        <v/>
      </c>
      <c r="D1960">
        <f>IF(B1960="","",HOUR(A1960))</f>
        <v/>
      </c>
    </row>
    <row r="1961">
      <c r="A1961">
        <f>Input!A1961</f>
        <v/>
      </c>
      <c r="B1961">
        <f>IF(ISNUMBER(Input!B1961),IF(AND(Input!B1961&gt;=20,Input!B1961&lt;=700),Input!B1961,""),"")</f>
        <v/>
      </c>
      <c r="C1961">
        <f>IF(B1961="","",INT(A1961))</f>
        <v/>
      </c>
      <c r="D1961">
        <f>IF(B1961="","",HOUR(A1961))</f>
        <v/>
      </c>
    </row>
    <row r="1962">
      <c r="A1962">
        <f>Input!A1962</f>
        <v/>
      </c>
      <c r="B1962">
        <f>IF(ISNUMBER(Input!B1962),IF(AND(Input!B1962&gt;=20,Input!B1962&lt;=700),Input!B1962,""),"")</f>
        <v/>
      </c>
      <c r="C1962">
        <f>IF(B1962="","",INT(A1962))</f>
        <v/>
      </c>
      <c r="D1962">
        <f>IF(B1962="","",HOUR(A1962))</f>
        <v/>
      </c>
    </row>
    <row r="1963">
      <c r="A1963">
        <f>Input!A1963</f>
        <v/>
      </c>
      <c r="B1963">
        <f>IF(ISNUMBER(Input!B1963),IF(AND(Input!B1963&gt;=20,Input!B1963&lt;=700),Input!B1963,""),"")</f>
        <v/>
      </c>
      <c r="C1963">
        <f>IF(B1963="","",INT(A1963))</f>
        <v/>
      </c>
      <c r="D1963">
        <f>IF(B1963="","",HOUR(A1963))</f>
        <v/>
      </c>
    </row>
    <row r="1964">
      <c r="A1964">
        <f>Input!A1964</f>
        <v/>
      </c>
      <c r="B1964">
        <f>IF(ISNUMBER(Input!B1964),IF(AND(Input!B1964&gt;=20,Input!B1964&lt;=700),Input!B1964,""),"")</f>
        <v/>
      </c>
      <c r="C1964">
        <f>IF(B1964="","",INT(A1964))</f>
        <v/>
      </c>
      <c r="D1964">
        <f>IF(B1964="","",HOUR(A1964))</f>
        <v/>
      </c>
    </row>
    <row r="1965">
      <c r="A1965">
        <f>Input!A1965</f>
        <v/>
      </c>
      <c r="B1965">
        <f>IF(ISNUMBER(Input!B1965),IF(AND(Input!B1965&gt;=20,Input!B1965&lt;=700),Input!B1965,""),"")</f>
        <v/>
      </c>
      <c r="C1965">
        <f>IF(B1965="","",INT(A1965))</f>
        <v/>
      </c>
      <c r="D1965">
        <f>IF(B1965="","",HOUR(A1965))</f>
        <v/>
      </c>
    </row>
    <row r="1966">
      <c r="A1966">
        <f>Input!A1966</f>
        <v/>
      </c>
      <c r="B1966">
        <f>IF(ISNUMBER(Input!B1966),IF(AND(Input!B1966&gt;=20,Input!B1966&lt;=700),Input!B1966,""),"")</f>
        <v/>
      </c>
      <c r="C1966">
        <f>IF(B1966="","",INT(A1966))</f>
        <v/>
      </c>
      <c r="D1966">
        <f>IF(B1966="","",HOUR(A1966))</f>
        <v/>
      </c>
    </row>
    <row r="1967">
      <c r="A1967">
        <f>Input!A1967</f>
        <v/>
      </c>
      <c r="B1967">
        <f>IF(ISNUMBER(Input!B1967),IF(AND(Input!B1967&gt;=20,Input!B1967&lt;=700),Input!B1967,""),"")</f>
        <v/>
      </c>
      <c r="C1967">
        <f>IF(B1967="","",INT(A1967))</f>
        <v/>
      </c>
      <c r="D1967">
        <f>IF(B1967="","",HOUR(A1967))</f>
        <v/>
      </c>
    </row>
    <row r="1968">
      <c r="A1968">
        <f>Input!A1968</f>
        <v/>
      </c>
      <c r="B1968">
        <f>IF(ISNUMBER(Input!B1968),IF(AND(Input!B1968&gt;=20,Input!B1968&lt;=700),Input!B1968,""),"")</f>
        <v/>
      </c>
      <c r="C1968">
        <f>IF(B1968="","",INT(A1968))</f>
        <v/>
      </c>
      <c r="D1968">
        <f>IF(B1968="","",HOUR(A1968))</f>
        <v/>
      </c>
    </row>
    <row r="1969">
      <c r="A1969">
        <f>Input!A1969</f>
        <v/>
      </c>
      <c r="B1969">
        <f>IF(ISNUMBER(Input!B1969),IF(AND(Input!B1969&gt;=20,Input!B1969&lt;=700),Input!B1969,""),"")</f>
        <v/>
      </c>
      <c r="C1969">
        <f>IF(B1969="","",INT(A1969))</f>
        <v/>
      </c>
      <c r="D1969">
        <f>IF(B1969="","",HOUR(A1969))</f>
        <v/>
      </c>
    </row>
    <row r="1970">
      <c r="A1970">
        <f>Input!A1970</f>
        <v/>
      </c>
      <c r="B1970">
        <f>IF(ISNUMBER(Input!B1970),IF(AND(Input!B1970&gt;=20,Input!B1970&lt;=700),Input!B1970,""),"")</f>
        <v/>
      </c>
      <c r="C1970">
        <f>IF(B1970="","",INT(A1970))</f>
        <v/>
      </c>
      <c r="D1970">
        <f>IF(B1970="","",HOUR(A1970))</f>
        <v/>
      </c>
    </row>
    <row r="1971">
      <c r="A1971">
        <f>Input!A1971</f>
        <v/>
      </c>
      <c r="B1971">
        <f>IF(ISNUMBER(Input!B1971),IF(AND(Input!B1971&gt;=20,Input!B1971&lt;=700),Input!B1971,""),"")</f>
        <v/>
      </c>
      <c r="C1971">
        <f>IF(B1971="","",INT(A1971))</f>
        <v/>
      </c>
      <c r="D1971">
        <f>IF(B1971="","",HOUR(A1971))</f>
        <v/>
      </c>
    </row>
    <row r="1972">
      <c r="A1972">
        <f>Input!A1972</f>
        <v/>
      </c>
      <c r="B1972">
        <f>IF(ISNUMBER(Input!B1972),IF(AND(Input!B1972&gt;=20,Input!B1972&lt;=700),Input!B1972,""),"")</f>
        <v/>
      </c>
      <c r="C1972">
        <f>IF(B1972="","",INT(A1972))</f>
        <v/>
      </c>
      <c r="D1972">
        <f>IF(B1972="","",HOUR(A1972))</f>
        <v/>
      </c>
    </row>
    <row r="1973">
      <c r="A1973">
        <f>Input!A1973</f>
        <v/>
      </c>
      <c r="B1973">
        <f>IF(ISNUMBER(Input!B1973),IF(AND(Input!B1973&gt;=20,Input!B1973&lt;=700),Input!B1973,""),"")</f>
        <v/>
      </c>
      <c r="C1973">
        <f>IF(B1973="","",INT(A1973))</f>
        <v/>
      </c>
      <c r="D1973">
        <f>IF(B1973="","",HOUR(A1973))</f>
        <v/>
      </c>
    </row>
    <row r="1974">
      <c r="A1974">
        <f>Input!A1974</f>
        <v/>
      </c>
      <c r="B1974">
        <f>IF(ISNUMBER(Input!B1974),IF(AND(Input!B1974&gt;=20,Input!B1974&lt;=700),Input!B1974,""),"")</f>
        <v/>
      </c>
      <c r="C1974">
        <f>IF(B1974="","",INT(A1974))</f>
        <v/>
      </c>
      <c r="D1974">
        <f>IF(B1974="","",HOUR(A1974))</f>
        <v/>
      </c>
    </row>
    <row r="1975">
      <c r="A1975">
        <f>Input!A1975</f>
        <v/>
      </c>
      <c r="B1975">
        <f>IF(ISNUMBER(Input!B1975),IF(AND(Input!B1975&gt;=20,Input!B1975&lt;=700),Input!B1975,""),"")</f>
        <v/>
      </c>
      <c r="C1975">
        <f>IF(B1975="","",INT(A1975))</f>
        <v/>
      </c>
      <c r="D1975">
        <f>IF(B1975="","",HOUR(A1975))</f>
        <v/>
      </c>
    </row>
    <row r="1976">
      <c r="A1976">
        <f>Input!A1976</f>
        <v/>
      </c>
      <c r="B1976">
        <f>IF(ISNUMBER(Input!B1976),IF(AND(Input!B1976&gt;=20,Input!B1976&lt;=700),Input!B1976,""),"")</f>
        <v/>
      </c>
      <c r="C1976">
        <f>IF(B1976="","",INT(A1976))</f>
        <v/>
      </c>
      <c r="D1976">
        <f>IF(B1976="","",HOUR(A1976))</f>
        <v/>
      </c>
    </row>
    <row r="1977">
      <c r="A1977">
        <f>Input!A1977</f>
        <v/>
      </c>
      <c r="B1977">
        <f>IF(ISNUMBER(Input!B1977),IF(AND(Input!B1977&gt;=20,Input!B1977&lt;=700),Input!B1977,""),"")</f>
        <v/>
      </c>
      <c r="C1977">
        <f>IF(B1977="","",INT(A1977))</f>
        <v/>
      </c>
      <c r="D1977">
        <f>IF(B1977="","",HOUR(A1977))</f>
        <v/>
      </c>
    </row>
    <row r="1978">
      <c r="A1978">
        <f>Input!A1978</f>
        <v/>
      </c>
      <c r="B1978">
        <f>IF(ISNUMBER(Input!B1978),IF(AND(Input!B1978&gt;=20,Input!B1978&lt;=700),Input!B1978,""),"")</f>
        <v/>
      </c>
      <c r="C1978">
        <f>IF(B1978="","",INT(A1978))</f>
        <v/>
      </c>
      <c r="D1978">
        <f>IF(B1978="","",HOUR(A1978))</f>
        <v/>
      </c>
    </row>
    <row r="1979">
      <c r="A1979">
        <f>Input!A1979</f>
        <v/>
      </c>
      <c r="B1979">
        <f>IF(ISNUMBER(Input!B1979),IF(AND(Input!B1979&gt;=20,Input!B1979&lt;=700),Input!B1979,""),"")</f>
        <v/>
      </c>
      <c r="C1979">
        <f>IF(B1979="","",INT(A1979))</f>
        <v/>
      </c>
      <c r="D1979">
        <f>IF(B1979="","",HOUR(A1979))</f>
        <v/>
      </c>
    </row>
    <row r="1980">
      <c r="A1980">
        <f>Input!A1980</f>
        <v/>
      </c>
      <c r="B1980">
        <f>IF(ISNUMBER(Input!B1980),IF(AND(Input!B1980&gt;=20,Input!B1980&lt;=700),Input!B1980,""),"")</f>
        <v/>
      </c>
      <c r="C1980">
        <f>IF(B1980="","",INT(A1980))</f>
        <v/>
      </c>
      <c r="D1980">
        <f>IF(B1980="","",HOUR(A1980))</f>
        <v/>
      </c>
    </row>
    <row r="1981">
      <c r="A1981">
        <f>Input!A1981</f>
        <v/>
      </c>
      <c r="B1981">
        <f>IF(ISNUMBER(Input!B1981),IF(AND(Input!B1981&gt;=20,Input!B1981&lt;=700),Input!B1981,""),"")</f>
        <v/>
      </c>
      <c r="C1981">
        <f>IF(B1981="","",INT(A1981))</f>
        <v/>
      </c>
      <c r="D1981">
        <f>IF(B1981="","",HOUR(A1981))</f>
        <v/>
      </c>
    </row>
    <row r="1982">
      <c r="A1982">
        <f>Input!A1982</f>
        <v/>
      </c>
      <c r="B1982">
        <f>IF(ISNUMBER(Input!B1982),IF(AND(Input!B1982&gt;=20,Input!B1982&lt;=700),Input!B1982,""),"")</f>
        <v/>
      </c>
      <c r="C1982">
        <f>IF(B1982="","",INT(A1982))</f>
        <v/>
      </c>
      <c r="D1982">
        <f>IF(B1982="","",HOUR(A1982))</f>
        <v/>
      </c>
    </row>
    <row r="1983">
      <c r="A1983">
        <f>Input!A1983</f>
        <v/>
      </c>
      <c r="B1983">
        <f>IF(ISNUMBER(Input!B1983),IF(AND(Input!B1983&gt;=20,Input!B1983&lt;=700),Input!B1983,""),"")</f>
        <v/>
      </c>
      <c r="C1983">
        <f>IF(B1983="","",INT(A1983))</f>
        <v/>
      </c>
      <c r="D1983">
        <f>IF(B1983="","",HOUR(A1983))</f>
        <v/>
      </c>
    </row>
    <row r="1984">
      <c r="A1984">
        <f>Input!A1984</f>
        <v/>
      </c>
      <c r="B1984">
        <f>IF(ISNUMBER(Input!B1984),IF(AND(Input!B1984&gt;=20,Input!B1984&lt;=700),Input!B1984,""),"")</f>
        <v/>
      </c>
      <c r="C1984">
        <f>IF(B1984="","",INT(A1984))</f>
        <v/>
      </c>
      <c r="D1984">
        <f>IF(B1984="","",HOUR(A1984))</f>
        <v/>
      </c>
    </row>
    <row r="1985">
      <c r="A1985">
        <f>Input!A1985</f>
        <v/>
      </c>
      <c r="B1985">
        <f>IF(ISNUMBER(Input!B1985),IF(AND(Input!B1985&gt;=20,Input!B1985&lt;=700),Input!B1985,""),"")</f>
        <v/>
      </c>
      <c r="C1985">
        <f>IF(B1985="","",INT(A1985))</f>
        <v/>
      </c>
      <c r="D1985">
        <f>IF(B1985="","",HOUR(A1985))</f>
        <v/>
      </c>
    </row>
    <row r="1986">
      <c r="A1986">
        <f>Input!A1986</f>
        <v/>
      </c>
      <c r="B1986">
        <f>IF(ISNUMBER(Input!B1986),IF(AND(Input!B1986&gt;=20,Input!B1986&lt;=700),Input!B1986,""),"")</f>
        <v/>
      </c>
      <c r="C1986">
        <f>IF(B1986="","",INT(A1986))</f>
        <v/>
      </c>
      <c r="D1986">
        <f>IF(B1986="","",HOUR(A1986))</f>
        <v/>
      </c>
    </row>
    <row r="1987">
      <c r="A1987">
        <f>Input!A1987</f>
        <v/>
      </c>
      <c r="B1987">
        <f>IF(ISNUMBER(Input!B1987),IF(AND(Input!B1987&gt;=20,Input!B1987&lt;=700),Input!B1987,""),"")</f>
        <v/>
      </c>
      <c r="C1987">
        <f>IF(B1987="","",INT(A1987))</f>
        <v/>
      </c>
      <c r="D1987">
        <f>IF(B1987="","",HOUR(A1987))</f>
        <v/>
      </c>
    </row>
    <row r="1988">
      <c r="A1988">
        <f>Input!A1988</f>
        <v/>
      </c>
      <c r="B1988">
        <f>IF(ISNUMBER(Input!B1988),IF(AND(Input!B1988&gt;=20,Input!B1988&lt;=700),Input!B1988,""),"")</f>
        <v/>
      </c>
      <c r="C1988">
        <f>IF(B1988="","",INT(A1988))</f>
        <v/>
      </c>
      <c r="D1988">
        <f>IF(B1988="","",HOUR(A1988))</f>
        <v/>
      </c>
    </row>
    <row r="1989">
      <c r="A1989">
        <f>Input!A1989</f>
        <v/>
      </c>
      <c r="B1989">
        <f>IF(ISNUMBER(Input!B1989),IF(AND(Input!B1989&gt;=20,Input!B1989&lt;=700),Input!B1989,""),"")</f>
        <v/>
      </c>
      <c r="C1989">
        <f>IF(B1989="","",INT(A1989))</f>
        <v/>
      </c>
      <c r="D1989">
        <f>IF(B1989="","",HOUR(A1989))</f>
        <v/>
      </c>
    </row>
    <row r="1990">
      <c r="A1990">
        <f>Input!A1990</f>
        <v/>
      </c>
      <c r="B1990">
        <f>IF(ISNUMBER(Input!B1990),IF(AND(Input!B1990&gt;=20,Input!B1990&lt;=700),Input!B1990,""),"")</f>
        <v/>
      </c>
      <c r="C1990">
        <f>IF(B1990="","",INT(A1990))</f>
        <v/>
      </c>
      <c r="D1990">
        <f>IF(B1990="","",HOUR(A1990))</f>
        <v/>
      </c>
    </row>
    <row r="1991">
      <c r="A1991">
        <f>Input!A1991</f>
        <v/>
      </c>
      <c r="B1991">
        <f>IF(ISNUMBER(Input!B1991),IF(AND(Input!B1991&gt;=20,Input!B1991&lt;=700),Input!B1991,""),"")</f>
        <v/>
      </c>
      <c r="C1991">
        <f>IF(B1991="","",INT(A1991))</f>
        <v/>
      </c>
      <c r="D1991">
        <f>IF(B1991="","",HOUR(A1991))</f>
        <v/>
      </c>
    </row>
    <row r="1992">
      <c r="A1992">
        <f>Input!A1992</f>
        <v/>
      </c>
      <c r="B1992">
        <f>IF(ISNUMBER(Input!B1992),IF(AND(Input!B1992&gt;=20,Input!B1992&lt;=700),Input!B1992,""),"")</f>
        <v/>
      </c>
      <c r="C1992">
        <f>IF(B1992="","",INT(A1992))</f>
        <v/>
      </c>
      <c r="D1992">
        <f>IF(B1992="","",HOUR(A1992))</f>
        <v/>
      </c>
    </row>
    <row r="1993">
      <c r="A1993">
        <f>Input!A1993</f>
        <v/>
      </c>
      <c r="B1993">
        <f>IF(ISNUMBER(Input!B1993),IF(AND(Input!B1993&gt;=20,Input!B1993&lt;=700),Input!B1993,""),"")</f>
        <v/>
      </c>
      <c r="C1993">
        <f>IF(B1993="","",INT(A1993))</f>
        <v/>
      </c>
      <c r="D1993">
        <f>IF(B1993="","",HOUR(A1993))</f>
        <v/>
      </c>
    </row>
    <row r="1994">
      <c r="A1994">
        <f>Input!A1994</f>
        <v/>
      </c>
      <c r="B1994">
        <f>IF(ISNUMBER(Input!B1994),IF(AND(Input!B1994&gt;=20,Input!B1994&lt;=700),Input!B1994,""),"")</f>
        <v/>
      </c>
      <c r="C1994">
        <f>IF(B1994="","",INT(A1994))</f>
        <v/>
      </c>
      <c r="D1994">
        <f>IF(B1994="","",HOUR(A1994))</f>
        <v/>
      </c>
    </row>
    <row r="1995">
      <c r="A1995">
        <f>Input!A1995</f>
        <v/>
      </c>
      <c r="B1995">
        <f>IF(ISNUMBER(Input!B1995),IF(AND(Input!B1995&gt;=20,Input!B1995&lt;=700),Input!B1995,""),"")</f>
        <v/>
      </c>
      <c r="C1995">
        <f>IF(B1995="","",INT(A1995))</f>
        <v/>
      </c>
      <c r="D1995">
        <f>IF(B1995="","",HOUR(A1995))</f>
        <v/>
      </c>
    </row>
    <row r="1996">
      <c r="A1996">
        <f>Input!A1996</f>
        <v/>
      </c>
      <c r="B1996">
        <f>IF(ISNUMBER(Input!B1996),IF(AND(Input!B1996&gt;=20,Input!B1996&lt;=700),Input!B1996,""),"")</f>
        <v/>
      </c>
      <c r="C1996">
        <f>IF(B1996="","",INT(A1996))</f>
        <v/>
      </c>
      <c r="D1996">
        <f>IF(B1996="","",HOUR(A1996))</f>
        <v/>
      </c>
    </row>
    <row r="1997">
      <c r="A1997">
        <f>Input!A1997</f>
        <v/>
      </c>
      <c r="B1997">
        <f>IF(ISNUMBER(Input!B1997),IF(AND(Input!B1997&gt;=20,Input!B1997&lt;=700),Input!B1997,""),"")</f>
        <v/>
      </c>
      <c r="C1997">
        <f>IF(B1997="","",INT(A1997))</f>
        <v/>
      </c>
      <c r="D1997">
        <f>IF(B1997="","",HOUR(A1997))</f>
        <v/>
      </c>
    </row>
    <row r="1998">
      <c r="A1998">
        <f>Input!A1998</f>
        <v/>
      </c>
      <c r="B1998">
        <f>IF(ISNUMBER(Input!B1998),IF(AND(Input!B1998&gt;=20,Input!B1998&lt;=700),Input!B1998,""),"")</f>
        <v/>
      </c>
      <c r="C1998">
        <f>IF(B1998="","",INT(A1998))</f>
        <v/>
      </c>
      <c r="D1998">
        <f>IF(B1998="","",HOUR(A1998))</f>
        <v/>
      </c>
    </row>
    <row r="1999">
      <c r="A1999">
        <f>Input!A1999</f>
        <v/>
      </c>
      <c r="B1999">
        <f>IF(ISNUMBER(Input!B1999),IF(AND(Input!B1999&gt;=20,Input!B1999&lt;=700),Input!B1999,""),"")</f>
        <v/>
      </c>
      <c r="C1999">
        <f>IF(B1999="","",INT(A1999))</f>
        <v/>
      </c>
      <c r="D1999">
        <f>IF(B1999="","",HOUR(A1999))</f>
        <v/>
      </c>
    </row>
    <row r="2000">
      <c r="A2000">
        <f>Input!A2000</f>
        <v/>
      </c>
      <c r="B2000">
        <f>IF(ISNUMBER(Input!B2000),IF(AND(Input!B2000&gt;=20,Input!B2000&lt;=700),Input!B2000,""),"")</f>
        <v/>
      </c>
      <c r="C2000">
        <f>IF(B2000="","",INT(A2000))</f>
        <v/>
      </c>
      <c r="D2000">
        <f>IF(B2000="","",HOUR(A2000))</f>
        <v/>
      </c>
    </row>
    <row r="2001">
      <c r="A2001">
        <f>Input!A2001</f>
        <v/>
      </c>
      <c r="B2001">
        <f>IF(ISNUMBER(Input!B2001),IF(AND(Input!B2001&gt;=20,Input!B2001&lt;=700),Input!B2001,""),"")</f>
        <v/>
      </c>
      <c r="C2001">
        <f>IF(B2001="","",INT(A2001))</f>
        <v/>
      </c>
      <c r="D2001">
        <f>IF(B2001="","",HOUR(A2001))</f>
        <v/>
      </c>
    </row>
    <row r="2002">
      <c r="A2002">
        <f>Input!A2002</f>
        <v/>
      </c>
      <c r="B2002">
        <f>IF(ISNUMBER(Input!B2002),IF(AND(Input!B2002&gt;=20,Input!B2002&lt;=700),Input!B2002,""),"")</f>
        <v/>
      </c>
      <c r="C2002">
        <f>IF(B2002="","",INT(A2002))</f>
        <v/>
      </c>
      <c r="D2002">
        <f>IF(B2002="","",HOUR(A2002))</f>
        <v/>
      </c>
    </row>
    <row r="2003">
      <c r="A2003">
        <f>Input!A2003</f>
        <v/>
      </c>
      <c r="B2003">
        <f>IF(ISNUMBER(Input!B2003),IF(AND(Input!B2003&gt;=20,Input!B2003&lt;=700),Input!B2003,""),"")</f>
        <v/>
      </c>
      <c r="C2003">
        <f>IF(B2003="","",INT(A2003))</f>
        <v/>
      </c>
      <c r="D2003">
        <f>IF(B2003="","",HOUR(A2003))</f>
        <v/>
      </c>
    </row>
    <row r="2004">
      <c r="A2004">
        <f>Input!A2004</f>
        <v/>
      </c>
      <c r="B2004">
        <f>IF(ISNUMBER(Input!B2004),IF(AND(Input!B2004&gt;=20,Input!B2004&lt;=700),Input!B2004,""),"")</f>
        <v/>
      </c>
      <c r="C2004">
        <f>IF(B2004="","",INT(A2004))</f>
        <v/>
      </c>
      <c r="D2004">
        <f>IF(B2004="","",HOUR(A2004))</f>
        <v/>
      </c>
    </row>
    <row r="2005">
      <c r="A2005">
        <f>Input!A2005</f>
        <v/>
      </c>
      <c r="B2005">
        <f>IF(ISNUMBER(Input!B2005),IF(AND(Input!B2005&gt;=20,Input!B2005&lt;=700),Input!B2005,""),"")</f>
        <v/>
      </c>
      <c r="C2005">
        <f>IF(B2005="","",INT(A2005))</f>
        <v/>
      </c>
      <c r="D2005">
        <f>IF(B2005="","",HOUR(A2005))</f>
        <v/>
      </c>
    </row>
    <row r="2006">
      <c r="A2006">
        <f>Input!A2006</f>
        <v/>
      </c>
      <c r="B2006">
        <f>IF(ISNUMBER(Input!B2006),IF(AND(Input!B2006&gt;=20,Input!B2006&lt;=700),Input!B2006,""),"")</f>
        <v/>
      </c>
      <c r="C2006">
        <f>IF(B2006="","",INT(A2006))</f>
        <v/>
      </c>
      <c r="D2006">
        <f>IF(B2006="","",HOUR(A2006))</f>
        <v/>
      </c>
    </row>
    <row r="2007">
      <c r="A2007">
        <f>Input!A2007</f>
        <v/>
      </c>
      <c r="B2007">
        <f>IF(ISNUMBER(Input!B2007),IF(AND(Input!B2007&gt;=20,Input!B2007&lt;=700),Input!B2007,""),"")</f>
        <v/>
      </c>
      <c r="C2007">
        <f>IF(B2007="","",INT(A2007))</f>
        <v/>
      </c>
      <c r="D2007">
        <f>IF(B2007="","",HOUR(A2007))</f>
        <v/>
      </c>
    </row>
    <row r="2008">
      <c r="A2008">
        <f>Input!A2008</f>
        <v/>
      </c>
      <c r="B2008">
        <f>IF(ISNUMBER(Input!B2008),IF(AND(Input!B2008&gt;=20,Input!B2008&lt;=700),Input!B2008,""),"")</f>
        <v/>
      </c>
      <c r="C2008">
        <f>IF(B2008="","",INT(A2008))</f>
        <v/>
      </c>
      <c r="D2008">
        <f>IF(B2008="","",HOUR(A2008))</f>
        <v/>
      </c>
    </row>
    <row r="2009">
      <c r="A2009">
        <f>Input!A2009</f>
        <v/>
      </c>
      <c r="B2009">
        <f>IF(ISNUMBER(Input!B2009),IF(AND(Input!B2009&gt;=20,Input!B2009&lt;=700),Input!B2009,""),"")</f>
        <v/>
      </c>
      <c r="C2009">
        <f>IF(B2009="","",INT(A2009))</f>
        <v/>
      </c>
      <c r="D2009">
        <f>IF(B2009="","",HOUR(A2009))</f>
        <v/>
      </c>
    </row>
    <row r="2010">
      <c r="A2010">
        <f>Input!A2010</f>
        <v/>
      </c>
      <c r="B2010">
        <f>IF(ISNUMBER(Input!B2010),IF(AND(Input!B2010&gt;=20,Input!B2010&lt;=700),Input!B2010,""),"")</f>
        <v/>
      </c>
      <c r="C2010">
        <f>IF(B2010="","",INT(A2010))</f>
        <v/>
      </c>
      <c r="D2010">
        <f>IF(B2010="","",HOUR(A2010))</f>
        <v/>
      </c>
    </row>
    <row r="2011">
      <c r="A2011">
        <f>Input!A2011</f>
        <v/>
      </c>
      <c r="B2011">
        <f>IF(ISNUMBER(Input!B2011),IF(AND(Input!B2011&gt;=20,Input!B2011&lt;=700),Input!B2011,""),"")</f>
        <v/>
      </c>
      <c r="C2011">
        <f>IF(B2011="","",INT(A2011))</f>
        <v/>
      </c>
      <c r="D2011">
        <f>IF(B2011="","",HOUR(A2011))</f>
        <v/>
      </c>
    </row>
    <row r="2012">
      <c r="A2012">
        <f>Input!A2012</f>
        <v/>
      </c>
      <c r="B2012">
        <f>IF(ISNUMBER(Input!B2012),IF(AND(Input!B2012&gt;=20,Input!B2012&lt;=700),Input!B2012,""),"")</f>
        <v/>
      </c>
      <c r="C2012">
        <f>IF(B2012="","",INT(A2012))</f>
        <v/>
      </c>
      <c r="D2012">
        <f>IF(B2012="","",HOUR(A2012))</f>
        <v/>
      </c>
    </row>
    <row r="2013">
      <c r="A2013">
        <f>Input!A2013</f>
        <v/>
      </c>
      <c r="B2013">
        <f>IF(ISNUMBER(Input!B2013),IF(AND(Input!B2013&gt;=20,Input!B2013&lt;=700),Input!B2013,""),"")</f>
        <v/>
      </c>
      <c r="C2013">
        <f>IF(B2013="","",INT(A2013))</f>
        <v/>
      </c>
      <c r="D2013">
        <f>IF(B2013="","",HOUR(A2013))</f>
        <v/>
      </c>
    </row>
    <row r="2014">
      <c r="A2014">
        <f>Input!A2014</f>
        <v/>
      </c>
      <c r="B2014">
        <f>IF(ISNUMBER(Input!B2014),IF(AND(Input!B2014&gt;=20,Input!B2014&lt;=700),Input!B2014,""),"")</f>
        <v/>
      </c>
      <c r="C2014">
        <f>IF(B2014="","",INT(A2014))</f>
        <v/>
      </c>
      <c r="D2014">
        <f>IF(B2014="","",HOUR(A2014))</f>
        <v/>
      </c>
    </row>
    <row r="2015">
      <c r="A2015">
        <f>Input!A2015</f>
        <v/>
      </c>
      <c r="B2015">
        <f>IF(ISNUMBER(Input!B2015),IF(AND(Input!B2015&gt;=20,Input!B2015&lt;=700),Input!B2015,""),"")</f>
        <v/>
      </c>
      <c r="C2015">
        <f>IF(B2015="","",INT(A2015))</f>
        <v/>
      </c>
      <c r="D2015">
        <f>IF(B2015="","",HOUR(A2015))</f>
        <v/>
      </c>
    </row>
    <row r="2016">
      <c r="A2016">
        <f>Input!A2016</f>
        <v/>
      </c>
      <c r="B2016">
        <f>IF(ISNUMBER(Input!B2016),IF(AND(Input!B2016&gt;=20,Input!B2016&lt;=700),Input!B2016,""),"")</f>
        <v/>
      </c>
      <c r="C2016">
        <f>IF(B2016="","",INT(A2016))</f>
        <v/>
      </c>
      <c r="D2016">
        <f>IF(B2016="","",HOUR(A2016))</f>
        <v/>
      </c>
    </row>
    <row r="2017">
      <c r="A2017">
        <f>Input!A2017</f>
        <v/>
      </c>
      <c r="B2017">
        <f>IF(ISNUMBER(Input!B2017),IF(AND(Input!B2017&gt;=20,Input!B2017&lt;=700),Input!B2017,""),"")</f>
        <v/>
      </c>
      <c r="C2017">
        <f>IF(B2017="","",INT(A2017))</f>
        <v/>
      </c>
      <c r="D2017">
        <f>IF(B2017="","",HOUR(A2017))</f>
        <v/>
      </c>
    </row>
    <row r="2018">
      <c r="A2018">
        <f>Input!A2018</f>
        <v/>
      </c>
      <c r="B2018">
        <f>IF(ISNUMBER(Input!B2018),IF(AND(Input!B2018&gt;=20,Input!B2018&lt;=700),Input!B2018,""),"")</f>
        <v/>
      </c>
      <c r="C2018">
        <f>IF(B2018="","",INT(A2018))</f>
        <v/>
      </c>
      <c r="D2018">
        <f>IF(B2018="","",HOUR(A2018))</f>
        <v/>
      </c>
    </row>
    <row r="2019">
      <c r="A2019">
        <f>Input!A2019</f>
        <v/>
      </c>
      <c r="B2019">
        <f>IF(ISNUMBER(Input!B2019),IF(AND(Input!B2019&gt;=20,Input!B2019&lt;=700),Input!B2019,""),"")</f>
        <v/>
      </c>
      <c r="C2019">
        <f>IF(B2019="","",INT(A2019))</f>
        <v/>
      </c>
      <c r="D2019">
        <f>IF(B2019="","",HOUR(A2019))</f>
        <v/>
      </c>
    </row>
    <row r="2020">
      <c r="A2020">
        <f>Input!A2020</f>
        <v/>
      </c>
      <c r="B2020">
        <f>IF(ISNUMBER(Input!B2020),IF(AND(Input!B2020&gt;=20,Input!B2020&lt;=700),Input!B2020,""),"")</f>
        <v/>
      </c>
      <c r="C2020">
        <f>IF(B2020="","",INT(A2020))</f>
        <v/>
      </c>
      <c r="D2020">
        <f>IF(B2020="","",HOUR(A2020))</f>
        <v/>
      </c>
    </row>
    <row r="2021">
      <c r="A2021">
        <f>Input!A2021</f>
        <v/>
      </c>
      <c r="B2021">
        <f>IF(ISNUMBER(Input!B2021),IF(AND(Input!B2021&gt;=20,Input!B2021&lt;=700),Input!B2021,""),"")</f>
        <v/>
      </c>
      <c r="C2021">
        <f>IF(B2021="","",INT(A2021))</f>
        <v/>
      </c>
      <c r="D2021">
        <f>IF(B2021="","",HOUR(A2021))</f>
        <v/>
      </c>
    </row>
    <row r="2022">
      <c r="A2022">
        <f>Input!A2022</f>
        <v/>
      </c>
      <c r="B2022">
        <f>IF(ISNUMBER(Input!B2022),IF(AND(Input!B2022&gt;=20,Input!B2022&lt;=700),Input!B2022,""),"")</f>
        <v/>
      </c>
      <c r="C2022">
        <f>IF(B2022="","",INT(A2022))</f>
        <v/>
      </c>
      <c r="D2022">
        <f>IF(B2022="","",HOUR(A2022))</f>
        <v/>
      </c>
    </row>
    <row r="2023">
      <c r="A2023">
        <f>Input!A2023</f>
        <v/>
      </c>
      <c r="B2023">
        <f>IF(ISNUMBER(Input!B2023),IF(AND(Input!B2023&gt;=20,Input!B2023&lt;=700),Input!B2023,""),"")</f>
        <v/>
      </c>
      <c r="C2023">
        <f>IF(B2023="","",INT(A2023))</f>
        <v/>
      </c>
      <c r="D2023">
        <f>IF(B2023="","",HOUR(A2023))</f>
        <v/>
      </c>
    </row>
    <row r="2024">
      <c r="A2024">
        <f>Input!A2024</f>
        <v/>
      </c>
      <c r="B2024">
        <f>IF(ISNUMBER(Input!B2024),IF(AND(Input!B2024&gt;=20,Input!B2024&lt;=700),Input!B2024,""),"")</f>
        <v/>
      </c>
      <c r="C2024">
        <f>IF(B2024="","",INT(A2024))</f>
        <v/>
      </c>
      <c r="D2024">
        <f>IF(B2024="","",HOUR(A2024))</f>
        <v/>
      </c>
    </row>
    <row r="2025">
      <c r="A2025">
        <f>Input!A2025</f>
        <v/>
      </c>
      <c r="B2025">
        <f>IF(ISNUMBER(Input!B2025),IF(AND(Input!B2025&gt;=20,Input!B2025&lt;=700),Input!B2025,""),"")</f>
        <v/>
      </c>
      <c r="C2025">
        <f>IF(B2025="","",INT(A2025))</f>
        <v/>
      </c>
      <c r="D2025">
        <f>IF(B2025="","",HOUR(A2025))</f>
        <v/>
      </c>
    </row>
    <row r="2026">
      <c r="A2026">
        <f>Input!A2026</f>
        <v/>
      </c>
      <c r="B2026">
        <f>IF(ISNUMBER(Input!B2026),IF(AND(Input!B2026&gt;=20,Input!B2026&lt;=700),Input!B2026,""),"")</f>
        <v/>
      </c>
      <c r="C2026">
        <f>IF(B2026="","",INT(A2026))</f>
        <v/>
      </c>
      <c r="D2026">
        <f>IF(B2026="","",HOUR(A2026))</f>
        <v/>
      </c>
    </row>
    <row r="2027">
      <c r="A2027">
        <f>Input!A2027</f>
        <v/>
      </c>
      <c r="B2027">
        <f>IF(ISNUMBER(Input!B2027),IF(AND(Input!B2027&gt;=20,Input!B2027&lt;=700),Input!B2027,""),"")</f>
        <v/>
      </c>
      <c r="C2027">
        <f>IF(B2027="","",INT(A2027))</f>
        <v/>
      </c>
      <c r="D2027">
        <f>IF(B2027="","",HOUR(A2027))</f>
        <v/>
      </c>
    </row>
    <row r="2028">
      <c r="A2028">
        <f>Input!A2028</f>
        <v/>
      </c>
      <c r="B2028">
        <f>IF(ISNUMBER(Input!B2028),IF(AND(Input!B2028&gt;=20,Input!B2028&lt;=700),Input!B2028,""),"")</f>
        <v/>
      </c>
      <c r="C2028">
        <f>IF(B2028="","",INT(A2028))</f>
        <v/>
      </c>
      <c r="D2028">
        <f>IF(B2028="","",HOUR(A2028))</f>
        <v/>
      </c>
    </row>
    <row r="2029">
      <c r="A2029">
        <f>Input!A2029</f>
        <v/>
      </c>
      <c r="B2029">
        <f>IF(ISNUMBER(Input!B2029),IF(AND(Input!B2029&gt;=20,Input!B2029&lt;=700),Input!B2029,""),"")</f>
        <v/>
      </c>
      <c r="C2029">
        <f>IF(B2029="","",INT(A2029))</f>
        <v/>
      </c>
      <c r="D2029">
        <f>IF(B2029="","",HOUR(A2029))</f>
        <v/>
      </c>
    </row>
    <row r="2030">
      <c r="A2030">
        <f>Input!A2030</f>
        <v/>
      </c>
      <c r="B2030">
        <f>IF(ISNUMBER(Input!B2030),IF(AND(Input!B2030&gt;=20,Input!B2030&lt;=700),Input!B2030,""),"")</f>
        <v/>
      </c>
      <c r="C2030">
        <f>IF(B2030="","",INT(A2030))</f>
        <v/>
      </c>
      <c r="D2030">
        <f>IF(B2030="","",HOUR(A2030))</f>
        <v/>
      </c>
    </row>
    <row r="2031">
      <c r="A2031">
        <f>Input!A2031</f>
        <v/>
      </c>
      <c r="B2031">
        <f>IF(ISNUMBER(Input!B2031),IF(AND(Input!B2031&gt;=20,Input!B2031&lt;=700),Input!B2031,""),"")</f>
        <v/>
      </c>
      <c r="C2031">
        <f>IF(B2031="","",INT(A2031))</f>
        <v/>
      </c>
      <c r="D2031">
        <f>IF(B2031="","",HOUR(A2031))</f>
        <v/>
      </c>
    </row>
    <row r="2032">
      <c r="A2032">
        <f>Input!A2032</f>
        <v/>
      </c>
      <c r="B2032">
        <f>IF(ISNUMBER(Input!B2032),IF(AND(Input!B2032&gt;=20,Input!B2032&lt;=700),Input!B2032,""),"")</f>
        <v/>
      </c>
      <c r="C2032">
        <f>IF(B2032="","",INT(A2032))</f>
        <v/>
      </c>
      <c r="D2032">
        <f>IF(B2032="","",HOUR(A2032))</f>
        <v/>
      </c>
    </row>
    <row r="2033">
      <c r="A2033">
        <f>Input!A2033</f>
        <v/>
      </c>
      <c r="B2033">
        <f>IF(ISNUMBER(Input!B2033),IF(AND(Input!B2033&gt;=20,Input!B2033&lt;=700),Input!B2033,""),"")</f>
        <v/>
      </c>
      <c r="C2033">
        <f>IF(B2033="","",INT(A2033))</f>
        <v/>
      </c>
      <c r="D2033">
        <f>IF(B2033="","",HOUR(A2033))</f>
        <v/>
      </c>
    </row>
    <row r="2034">
      <c r="A2034">
        <f>Input!A2034</f>
        <v/>
      </c>
      <c r="B2034">
        <f>IF(ISNUMBER(Input!B2034),IF(AND(Input!B2034&gt;=20,Input!B2034&lt;=700),Input!B2034,""),"")</f>
        <v/>
      </c>
      <c r="C2034">
        <f>IF(B2034="","",INT(A2034))</f>
        <v/>
      </c>
      <c r="D2034">
        <f>IF(B2034="","",HOUR(A2034))</f>
        <v/>
      </c>
    </row>
    <row r="2035">
      <c r="A2035">
        <f>Input!A2035</f>
        <v/>
      </c>
      <c r="B2035">
        <f>IF(ISNUMBER(Input!B2035),IF(AND(Input!B2035&gt;=20,Input!B2035&lt;=700),Input!B2035,""),"")</f>
        <v/>
      </c>
      <c r="C2035">
        <f>IF(B2035="","",INT(A2035))</f>
        <v/>
      </c>
      <c r="D2035">
        <f>IF(B2035="","",HOUR(A2035))</f>
        <v/>
      </c>
    </row>
    <row r="2036">
      <c r="A2036">
        <f>Input!A2036</f>
        <v/>
      </c>
      <c r="B2036">
        <f>IF(ISNUMBER(Input!B2036),IF(AND(Input!B2036&gt;=20,Input!B2036&lt;=700),Input!B2036,""),"")</f>
        <v/>
      </c>
      <c r="C2036">
        <f>IF(B2036="","",INT(A2036))</f>
        <v/>
      </c>
      <c r="D2036">
        <f>IF(B2036="","",HOUR(A2036))</f>
        <v/>
      </c>
    </row>
    <row r="2037">
      <c r="A2037">
        <f>Input!A2037</f>
        <v/>
      </c>
      <c r="B2037">
        <f>IF(ISNUMBER(Input!B2037),IF(AND(Input!B2037&gt;=20,Input!B2037&lt;=700),Input!B2037,""),"")</f>
        <v/>
      </c>
      <c r="C2037">
        <f>IF(B2037="","",INT(A2037))</f>
        <v/>
      </c>
      <c r="D2037">
        <f>IF(B2037="","",HOUR(A2037))</f>
        <v/>
      </c>
    </row>
    <row r="2038">
      <c r="A2038">
        <f>Input!A2038</f>
        <v/>
      </c>
      <c r="B2038">
        <f>IF(ISNUMBER(Input!B2038),IF(AND(Input!B2038&gt;=20,Input!B2038&lt;=700),Input!B2038,""),"")</f>
        <v/>
      </c>
      <c r="C2038">
        <f>IF(B2038="","",INT(A2038))</f>
        <v/>
      </c>
      <c r="D2038">
        <f>IF(B2038="","",HOUR(A2038))</f>
        <v/>
      </c>
    </row>
    <row r="2039">
      <c r="A2039">
        <f>Input!A2039</f>
        <v/>
      </c>
      <c r="B2039">
        <f>IF(ISNUMBER(Input!B2039),IF(AND(Input!B2039&gt;=20,Input!B2039&lt;=700),Input!B2039,""),"")</f>
        <v/>
      </c>
      <c r="C2039">
        <f>IF(B2039="","",INT(A2039))</f>
        <v/>
      </c>
      <c r="D2039">
        <f>IF(B2039="","",HOUR(A2039))</f>
        <v/>
      </c>
    </row>
    <row r="2040">
      <c r="A2040">
        <f>Input!A2040</f>
        <v/>
      </c>
      <c r="B2040">
        <f>IF(ISNUMBER(Input!B2040),IF(AND(Input!B2040&gt;=20,Input!B2040&lt;=700),Input!B2040,""),"")</f>
        <v/>
      </c>
      <c r="C2040">
        <f>IF(B2040="","",INT(A2040))</f>
        <v/>
      </c>
      <c r="D2040">
        <f>IF(B2040="","",HOUR(A2040))</f>
        <v/>
      </c>
    </row>
    <row r="2041">
      <c r="A2041">
        <f>Input!A2041</f>
        <v/>
      </c>
      <c r="B2041">
        <f>IF(ISNUMBER(Input!B2041),IF(AND(Input!B2041&gt;=20,Input!B2041&lt;=700),Input!B2041,""),"")</f>
        <v/>
      </c>
      <c r="C2041">
        <f>IF(B2041="","",INT(A2041))</f>
        <v/>
      </c>
      <c r="D2041">
        <f>IF(B2041="","",HOUR(A2041))</f>
        <v/>
      </c>
    </row>
    <row r="2042">
      <c r="A2042">
        <f>Input!A2042</f>
        <v/>
      </c>
      <c r="B2042">
        <f>IF(ISNUMBER(Input!B2042),IF(AND(Input!B2042&gt;=20,Input!B2042&lt;=700),Input!B2042,""),"")</f>
        <v/>
      </c>
      <c r="C2042">
        <f>IF(B2042="","",INT(A2042))</f>
        <v/>
      </c>
      <c r="D2042">
        <f>IF(B2042="","",HOUR(A2042))</f>
        <v/>
      </c>
    </row>
    <row r="2043">
      <c r="A2043">
        <f>Input!A2043</f>
        <v/>
      </c>
      <c r="B2043">
        <f>IF(ISNUMBER(Input!B2043),IF(AND(Input!B2043&gt;=20,Input!B2043&lt;=700),Input!B2043,""),"")</f>
        <v/>
      </c>
      <c r="C2043">
        <f>IF(B2043="","",INT(A2043))</f>
        <v/>
      </c>
      <c r="D2043">
        <f>IF(B2043="","",HOUR(A2043))</f>
        <v/>
      </c>
    </row>
    <row r="2044">
      <c r="A2044">
        <f>Input!A2044</f>
        <v/>
      </c>
      <c r="B2044">
        <f>IF(ISNUMBER(Input!B2044),IF(AND(Input!B2044&gt;=20,Input!B2044&lt;=700),Input!B2044,""),"")</f>
        <v/>
      </c>
      <c r="C2044">
        <f>IF(B2044="","",INT(A2044))</f>
        <v/>
      </c>
      <c r="D2044">
        <f>IF(B2044="","",HOUR(A2044))</f>
        <v/>
      </c>
    </row>
    <row r="2045">
      <c r="A2045">
        <f>Input!A2045</f>
        <v/>
      </c>
      <c r="B2045">
        <f>IF(ISNUMBER(Input!B2045),IF(AND(Input!B2045&gt;=20,Input!B2045&lt;=700),Input!B2045,""),"")</f>
        <v/>
      </c>
      <c r="C2045">
        <f>IF(B2045="","",INT(A2045))</f>
        <v/>
      </c>
      <c r="D2045">
        <f>IF(B2045="","",HOUR(A2045))</f>
        <v/>
      </c>
    </row>
    <row r="2046">
      <c r="A2046">
        <f>Input!A2046</f>
        <v/>
      </c>
      <c r="B2046">
        <f>IF(ISNUMBER(Input!B2046),IF(AND(Input!B2046&gt;=20,Input!B2046&lt;=700),Input!B2046,""),"")</f>
        <v/>
      </c>
      <c r="C2046">
        <f>IF(B2046="","",INT(A2046))</f>
        <v/>
      </c>
      <c r="D2046">
        <f>IF(B2046="","",HOUR(A2046))</f>
        <v/>
      </c>
    </row>
    <row r="2047">
      <c r="A2047">
        <f>Input!A2047</f>
        <v/>
      </c>
      <c r="B2047">
        <f>IF(ISNUMBER(Input!B2047),IF(AND(Input!B2047&gt;=20,Input!B2047&lt;=700),Input!B2047,""),"")</f>
        <v/>
      </c>
      <c r="C2047">
        <f>IF(B2047="","",INT(A2047))</f>
        <v/>
      </c>
      <c r="D2047">
        <f>IF(B2047="","",HOUR(A2047))</f>
        <v/>
      </c>
    </row>
    <row r="2048">
      <c r="A2048">
        <f>Input!A2048</f>
        <v/>
      </c>
      <c r="B2048">
        <f>IF(ISNUMBER(Input!B2048),IF(AND(Input!B2048&gt;=20,Input!B2048&lt;=700),Input!B2048,""),"")</f>
        <v/>
      </c>
      <c r="C2048">
        <f>IF(B2048="","",INT(A2048))</f>
        <v/>
      </c>
      <c r="D2048">
        <f>IF(B2048="","",HOUR(A2048))</f>
        <v/>
      </c>
    </row>
    <row r="2049">
      <c r="A2049">
        <f>Input!A2049</f>
        <v/>
      </c>
      <c r="B2049">
        <f>IF(ISNUMBER(Input!B2049),IF(AND(Input!B2049&gt;=20,Input!B2049&lt;=700),Input!B2049,""),"")</f>
        <v/>
      </c>
      <c r="C2049">
        <f>IF(B2049="","",INT(A2049))</f>
        <v/>
      </c>
      <c r="D2049">
        <f>IF(B2049="","",HOUR(A2049))</f>
        <v/>
      </c>
    </row>
    <row r="2050">
      <c r="A2050">
        <f>Input!A2050</f>
        <v/>
      </c>
      <c r="B2050">
        <f>IF(ISNUMBER(Input!B2050),IF(AND(Input!B2050&gt;=20,Input!B2050&lt;=700),Input!B2050,""),"")</f>
        <v/>
      </c>
      <c r="C2050">
        <f>IF(B2050="","",INT(A2050))</f>
        <v/>
      </c>
      <c r="D2050">
        <f>IF(B2050="","",HOUR(A2050))</f>
        <v/>
      </c>
    </row>
    <row r="2051">
      <c r="A2051">
        <f>Input!A2051</f>
        <v/>
      </c>
      <c r="B2051">
        <f>IF(ISNUMBER(Input!B2051),IF(AND(Input!B2051&gt;=20,Input!B2051&lt;=700),Input!B2051,""),"")</f>
        <v/>
      </c>
      <c r="C2051">
        <f>IF(B2051="","",INT(A2051))</f>
        <v/>
      </c>
      <c r="D2051">
        <f>IF(B2051="","",HOUR(A2051))</f>
        <v/>
      </c>
    </row>
    <row r="2052">
      <c r="A2052">
        <f>Input!A2052</f>
        <v/>
      </c>
      <c r="B2052">
        <f>IF(ISNUMBER(Input!B2052),IF(AND(Input!B2052&gt;=20,Input!B2052&lt;=700),Input!B2052,""),"")</f>
        <v/>
      </c>
      <c r="C2052">
        <f>IF(B2052="","",INT(A2052))</f>
        <v/>
      </c>
      <c r="D2052">
        <f>IF(B2052="","",HOUR(A2052))</f>
        <v/>
      </c>
    </row>
    <row r="2053">
      <c r="A2053">
        <f>Input!A2053</f>
        <v/>
      </c>
      <c r="B2053">
        <f>IF(ISNUMBER(Input!B2053),IF(AND(Input!B2053&gt;=20,Input!B2053&lt;=700),Input!B2053,""),"")</f>
        <v/>
      </c>
      <c r="C2053">
        <f>IF(B2053="","",INT(A2053))</f>
        <v/>
      </c>
      <c r="D2053">
        <f>IF(B2053="","",HOUR(A2053))</f>
        <v/>
      </c>
    </row>
    <row r="2054">
      <c r="A2054">
        <f>Input!A2054</f>
        <v/>
      </c>
      <c r="B2054">
        <f>IF(ISNUMBER(Input!B2054),IF(AND(Input!B2054&gt;=20,Input!B2054&lt;=700),Input!B2054,""),"")</f>
        <v/>
      </c>
      <c r="C2054">
        <f>IF(B2054="","",INT(A2054))</f>
        <v/>
      </c>
      <c r="D2054">
        <f>IF(B2054="","",HOUR(A2054))</f>
        <v/>
      </c>
    </row>
    <row r="2055">
      <c r="A2055">
        <f>Input!A2055</f>
        <v/>
      </c>
      <c r="B2055">
        <f>IF(ISNUMBER(Input!B2055),IF(AND(Input!B2055&gt;=20,Input!B2055&lt;=700),Input!B2055,""),"")</f>
        <v/>
      </c>
      <c r="C2055">
        <f>IF(B2055="","",INT(A2055))</f>
        <v/>
      </c>
      <c r="D2055">
        <f>IF(B2055="","",HOUR(A2055))</f>
        <v/>
      </c>
    </row>
    <row r="2056">
      <c r="A2056">
        <f>Input!A2056</f>
        <v/>
      </c>
      <c r="B2056">
        <f>IF(ISNUMBER(Input!B2056),IF(AND(Input!B2056&gt;=20,Input!B2056&lt;=700),Input!B2056,""),"")</f>
        <v/>
      </c>
      <c r="C2056">
        <f>IF(B2056="","",INT(A2056))</f>
        <v/>
      </c>
      <c r="D2056">
        <f>IF(B2056="","",HOUR(A2056))</f>
        <v/>
      </c>
    </row>
    <row r="2057">
      <c r="A2057">
        <f>Input!A2057</f>
        <v/>
      </c>
      <c r="B2057">
        <f>IF(ISNUMBER(Input!B2057),IF(AND(Input!B2057&gt;=20,Input!B2057&lt;=700),Input!B2057,""),"")</f>
        <v/>
      </c>
      <c r="C2057">
        <f>IF(B2057="","",INT(A2057))</f>
        <v/>
      </c>
      <c r="D2057">
        <f>IF(B2057="","",HOUR(A2057))</f>
        <v/>
      </c>
    </row>
    <row r="2058">
      <c r="A2058">
        <f>Input!A2058</f>
        <v/>
      </c>
      <c r="B2058">
        <f>IF(ISNUMBER(Input!B2058),IF(AND(Input!B2058&gt;=20,Input!B2058&lt;=700),Input!B2058,""),"")</f>
        <v/>
      </c>
      <c r="C2058">
        <f>IF(B2058="","",INT(A2058))</f>
        <v/>
      </c>
      <c r="D2058">
        <f>IF(B2058="","",HOUR(A2058))</f>
        <v/>
      </c>
    </row>
    <row r="2059">
      <c r="A2059">
        <f>Input!A2059</f>
        <v/>
      </c>
      <c r="B2059">
        <f>IF(ISNUMBER(Input!B2059),IF(AND(Input!B2059&gt;=20,Input!B2059&lt;=700),Input!B2059,""),"")</f>
        <v/>
      </c>
      <c r="C2059">
        <f>IF(B2059="","",INT(A2059))</f>
        <v/>
      </c>
      <c r="D2059">
        <f>IF(B2059="","",HOUR(A2059))</f>
        <v/>
      </c>
    </row>
    <row r="2060">
      <c r="A2060">
        <f>Input!A2060</f>
        <v/>
      </c>
      <c r="B2060">
        <f>IF(ISNUMBER(Input!B2060),IF(AND(Input!B2060&gt;=20,Input!B2060&lt;=700),Input!B2060,""),"")</f>
        <v/>
      </c>
      <c r="C2060">
        <f>IF(B2060="","",INT(A2060))</f>
        <v/>
      </c>
      <c r="D2060">
        <f>IF(B2060="","",HOUR(A2060))</f>
        <v/>
      </c>
    </row>
    <row r="2061">
      <c r="A2061">
        <f>Input!A2061</f>
        <v/>
      </c>
      <c r="B2061">
        <f>IF(ISNUMBER(Input!B2061),IF(AND(Input!B2061&gt;=20,Input!B2061&lt;=700),Input!B2061,""),"")</f>
        <v/>
      </c>
      <c r="C2061">
        <f>IF(B2061="","",INT(A2061))</f>
        <v/>
      </c>
      <c r="D2061">
        <f>IF(B2061="","",HOUR(A2061))</f>
        <v/>
      </c>
    </row>
    <row r="2062">
      <c r="A2062">
        <f>Input!A2062</f>
        <v/>
      </c>
      <c r="B2062">
        <f>IF(ISNUMBER(Input!B2062),IF(AND(Input!B2062&gt;=20,Input!B2062&lt;=700),Input!B2062,""),"")</f>
        <v/>
      </c>
      <c r="C2062">
        <f>IF(B2062="","",INT(A2062))</f>
        <v/>
      </c>
      <c r="D2062">
        <f>IF(B2062="","",HOUR(A2062))</f>
        <v/>
      </c>
    </row>
    <row r="2063">
      <c r="A2063">
        <f>Input!A2063</f>
        <v/>
      </c>
      <c r="B2063">
        <f>IF(ISNUMBER(Input!B2063),IF(AND(Input!B2063&gt;=20,Input!B2063&lt;=700),Input!B2063,""),"")</f>
        <v/>
      </c>
      <c r="C2063">
        <f>IF(B2063="","",INT(A2063))</f>
        <v/>
      </c>
      <c r="D2063">
        <f>IF(B2063="","",HOUR(A2063))</f>
        <v/>
      </c>
    </row>
    <row r="2064">
      <c r="A2064">
        <f>Input!A2064</f>
        <v/>
      </c>
      <c r="B2064">
        <f>IF(ISNUMBER(Input!B2064),IF(AND(Input!B2064&gt;=20,Input!B2064&lt;=700),Input!B2064,""),"")</f>
        <v/>
      </c>
      <c r="C2064">
        <f>IF(B2064="","",INT(A2064))</f>
        <v/>
      </c>
      <c r="D2064">
        <f>IF(B2064="","",HOUR(A2064))</f>
        <v/>
      </c>
    </row>
    <row r="2065">
      <c r="A2065">
        <f>Input!A2065</f>
        <v/>
      </c>
      <c r="B2065">
        <f>IF(ISNUMBER(Input!B2065),IF(AND(Input!B2065&gt;=20,Input!B2065&lt;=700),Input!B2065,""),"")</f>
        <v/>
      </c>
      <c r="C2065">
        <f>IF(B2065="","",INT(A2065))</f>
        <v/>
      </c>
      <c r="D2065">
        <f>IF(B2065="","",HOUR(A2065))</f>
        <v/>
      </c>
    </row>
    <row r="2066">
      <c r="A2066">
        <f>Input!A2066</f>
        <v/>
      </c>
      <c r="B2066">
        <f>IF(ISNUMBER(Input!B2066),IF(AND(Input!B2066&gt;=20,Input!B2066&lt;=700),Input!B2066,""),"")</f>
        <v/>
      </c>
      <c r="C2066">
        <f>IF(B2066="","",INT(A2066))</f>
        <v/>
      </c>
      <c r="D2066">
        <f>IF(B2066="","",HOUR(A2066))</f>
        <v/>
      </c>
    </row>
    <row r="2067">
      <c r="A2067">
        <f>Input!A2067</f>
        <v/>
      </c>
      <c r="B2067">
        <f>IF(ISNUMBER(Input!B2067),IF(AND(Input!B2067&gt;=20,Input!B2067&lt;=700),Input!B2067,""),"")</f>
        <v/>
      </c>
      <c r="C2067">
        <f>IF(B2067="","",INT(A2067))</f>
        <v/>
      </c>
      <c r="D2067">
        <f>IF(B2067="","",HOUR(A2067))</f>
        <v/>
      </c>
    </row>
    <row r="2068">
      <c r="A2068">
        <f>Input!A2068</f>
        <v/>
      </c>
      <c r="B2068">
        <f>IF(ISNUMBER(Input!B2068),IF(AND(Input!B2068&gt;=20,Input!B2068&lt;=700),Input!B2068,""),"")</f>
        <v/>
      </c>
      <c r="C2068">
        <f>IF(B2068="","",INT(A2068))</f>
        <v/>
      </c>
      <c r="D2068">
        <f>IF(B2068="","",HOUR(A2068))</f>
        <v/>
      </c>
    </row>
    <row r="2069">
      <c r="A2069">
        <f>Input!A2069</f>
        <v/>
      </c>
      <c r="B2069">
        <f>IF(ISNUMBER(Input!B2069),IF(AND(Input!B2069&gt;=20,Input!B2069&lt;=700),Input!B2069,""),"")</f>
        <v/>
      </c>
      <c r="C2069">
        <f>IF(B2069="","",INT(A2069))</f>
        <v/>
      </c>
      <c r="D2069">
        <f>IF(B2069="","",HOUR(A2069))</f>
        <v/>
      </c>
    </row>
    <row r="2070">
      <c r="A2070">
        <f>Input!A2070</f>
        <v/>
      </c>
      <c r="B2070">
        <f>IF(ISNUMBER(Input!B2070),IF(AND(Input!B2070&gt;=20,Input!B2070&lt;=700),Input!B2070,""),"")</f>
        <v/>
      </c>
      <c r="C2070">
        <f>IF(B2070="","",INT(A2070))</f>
        <v/>
      </c>
      <c r="D2070">
        <f>IF(B2070="","",HOUR(A2070))</f>
        <v/>
      </c>
    </row>
    <row r="2071">
      <c r="A2071">
        <f>Input!A2071</f>
        <v/>
      </c>
      <c r="B2071">
        <f>IF(ISNUMBER(Input!B2071),IF(AND(Input!B2071&gt;=20,Input!B2071&lt;=700),Input!B2071,""),"")</f>
        <v/>
      </c>
      <c r="C2071">
        <f>IF(B2071="","",INT(A2071))</f>
        <v/>
      </c>
      <c r="D2071">
        <f>IF(B2071="","",HOUR(A2071))</f>
        <v/>
      </c>
    </row>
    <row r="2072">
      <c r="A2072">
        <f>Input!A2072</f>
        <v/>
      </c>
      <c r="B2072">
        <f>IF(ISNUMBER(Input!B2072),IF(AND(Input!B2072&gt;=20,Input!B2072&lt;=700),Input!B2072,""),"")</f>
        <v/>
      </c>
      <c r="C2072">
        <f>IF(B2072="","",INT(A2072))</f>
        <v/>
      </c>
      <c r="D2072">
        <f>IF(B2072="","",HOUR(A2072))</f>
        <v/>
      </c>
    </row>
    <row r="2073">
      <c r="A2073">
        <f>Input!A2073</f>
        <v/>
      </c>
      <c r="B2073">
        <f>IF(ISNUMBER(Input!B2073),IF(AND(Input!B2073&gt;=20,Input!B2073&lt;=700),Input!B2073,""),"")</f>
        <v/>
      </c>
      <c r="C2073">
        <f>IF(B2073="","",INT(A2073))</f>
        <v/>
      </c>
      <c r="D2073">
        <f>IF(B2073="","",HOUR(A2073))</f>
        <v/>
      </c>
    </row>
    <row r="2074">
      <c r="A2074">
        <f>Input!A2074</f>
        <v/>
      </c>
      <c r="B2074">
        <f>IF(ISNUMBER(Input!B2074),IF(AND(Input!B2074&gt;=20,Input!B2074&lt;=700),Input!B2074,""),"")</f>
        <v/>
      </c>
      <c r="C2074">
        <f>IF(B2074="","",INT(A2074))</f>
        <v/>
      </c>
      <c r="D2074">
        <f>IF(B2074="","",HOUR(A2074))</f>
        <v/>
      </c>
    </row>
    <row r="2075">
      <c r="A2075">
        <f>Input!A2075</f>
        <v/>
      </c>
      <c r="B2075">
        <f>IF(ISNUMBER(Input!B2075),IF(AND(Input!B2075&gt;=20,Input!B2075&lt;=700),Input!B2075,""),"")</f>
        <v/>
      </c>
      <c r="C2075">
        <f>IF(B2075="","",INT(A2075))</f>
        <v/>
      </c>
      <c r="D2075">
        <f>IF(B2075="","",HOUR(A2075))</f>
        <v/>
      </c>
    </row>
    <row r="2076">
      <c r="A2076">
        <f>Input!A2076</f>
        <v/>
      </c>
      <c r="B2076">
        <f>IF(ISNUMBER(Input!B2076),IF(AND(Input!B2076&gt;=20,Input!B2076&lt;=700),Input!B2076,""),"")</f>
        <v/>
      </c>
      <c r="C2076">
        <f>IF(B2076="","",INT(A2076))</f>
        <v/>
      </c>
      <c r="D2076">
        <f>IF(B2076="","",HOUR(A2076))</f>
        <v/>
      </c>
    </row>
    <row r="2077">
      <c r="A2077">
        <f>Input!A2077</f>
        <v/>
      </c>
      <c r="B2077">
        <f>IF(ISNUMBER(Input!B2077),IF(AND(Input!B2077&gt;=20,Input!B2077&lt;=700),Input!B2077,""),"")</f>
        <v/>
      </c>
      <c r="C2077">
        <f>IF(B2077="","",INT(A2077))</f>
        <v/>
      </c>
      <c r="D2077">
        <f>IF(B2077="","",HOUR(A2077))</f>
        <v/>
      </c>
    </row>
    <row r="2078">
      <c r="A2078">
        <f>Input!A2078</f>
        <v/>
      </c>
      <c r="B2078">
        <f>IF(ISNUMBER(Input!B2078),IF(AND(Input!B2078&gt;=20,Input!B2078&lt;=700),Input!B2078,""),"")</f>
        <v/>
      </c>
      <c r="C2078">
        <f>IF(B2078="","",INT(A2078))</f>
        <v/>
      </c>
      <c r="D2078">
        <f>IF(B2078="","",HOUR(A2078))</f>
        <v/>
      </c>
    </row>
    <row r="2079">
      <c r="A2079">
        <f>Input!A2079</f>
        <v/>
      </c>
      <c r="B2079">
        <f>IF(ISNUMBER(Input!B2079),IF(AND(Input!B2079&gt;=20,Input!B2079&lt;=700),Input!B2079,""),"")</f>
        <v/>
      </c>
      <c r="C2079">
        <f>IF(B2079="","",INT(A2079))</f>
        <v/>
      </c>
      <c r="D2079">
        <f>IF(B2079="","",HOUR(A2079))</f>
        <v/>
      </c>
    </row>
    <row r="2080">
      <c r="A2080">
        <f>Input!A2080</f>
        <v/>
      </c>
      <c r="B2080">
        <f>IF(ISNUMBER(Input!B2080),IF(AND(Input!B2080&gt;=20,Input!B2080&lt;=700),Input!B2080,""),"")</f>
        <v/>
      </c>
      <c r="C2080">
        <f>IF(B2080="","",INT(A2080))</f>
        <v/>
      </c>
      <c r="D2080">
        <f>IF(B2080="","",HOUR(A2080))</f>
        <v/>
      </c>
    </row>
    <row r="2081">
      <c r="A2081">
        <f>Input!A2081</f>
        <v/>
      </c>
      <c r="B2081">
        <f>IF(ISNUMBER(Input!B2081),IF(AND(Input!B2081&gt;=20,Input!B2081&lt;=700),Input!B2081,""),"")</f>
        <v/>
      </c>
      <c r="C2081">
        <f>IF(B2081="","",INT(A2081))</f>
        <v/>
      </c>
      <c r="D2081">
        <f>IF(B2081="","",HOUR(A2081))</f>
        <v/>
      </c>
    </row>
    <row r="2082">
      <c r="A2082">
        <f>Input!A2082</f>
        <v/>
      </c>
      <c r="B2082">
        <f>IF(ISNUMBER(Input!B2082),IF(AND(Input!B2082&gt;=20,Input!B2082&lt;=700),Input!B2082,""),"")</f>
        <v/>
      </c>
      <c r="C2082">
        <f>IF(B2082="","",INT(A2082))</f>
        <v/>
      </c>
      <c r="D2082">
        <f>IF(B2082="","",HOUR(A2082))</f>
        <v/>
      </c>
    </row>
    <row r="2083">
      <c r="A2083">
        <f>Input!A2083</f>
        <v/>
      </c>
      <c r="B2083">
        <f>IF(ISNUMBER(Input!B2083),IF(AND(Input!B2083&gt;=20,Input!B2083&lt;=700),Input!B2083,""),"")</f>
        <v/>
      </c>
      <c r="C2083">
        <f>IF(B2083="","",INT(A2083))</f>
        <v/>
      </c>
      <c r="D2083">
        <f>IF(B2083="","",HOUR(A2083))</f>
        <v/>
      </c>
    </row>
    <row r="2084">
      <c r="A2084">
        <f>Input!A2084</f>
        <v/>
      </c>
      <c r="B2084">
        <f>IF(ISNUMBER(Input!B2084),IF(AND(Input!B2084&gt;=20,Input!B2084&lt;=700),Input!B2084,""),"")</f>
        <v/>
      </c>
      <c r="C2084">
        <f>IF(B2084="","",INT(A2084))</f>
        <v/>
      </c>
      <c r="D2084">
        <f>IF(B2084="","",HOUR(A2084))</f>
        <v/>
      </c>
    </row>
    <row r="2085">
      <c r="A2085">
        <f>Input!A2085</f>
        <v/>
      </c>
      <c r="B2085">
        <f>IF(ISNUMBER(Input!B2085),IF(AND(Input!B2085&gt;=20,Input!B2085&lt;=700),Input!B2085,""),"")</f>
        <v/>
      </c>
      <c r="C2085">
        <f>IF(B2085="","",INT(A2085))</f>
        <v/>
      </c>
      <c r="D2085">
        <f>IF(B2085="","",HOUR(A2085))</f>
        <v/>
      </c>
    </row>
    <row r="2086">
      <c r="A2086">
        <f>Input!A2086</f>
        <v/>
      </c>
      <c r="B2086">
        <f>IF(ISNUMBER(Input!B2086),IF(AND(Input!B2086&gt;=20,Input!B2086&lt;=700),Input!B2086,""),"")</f>
        <v/>
      </c>
      <c r="C2086">
        <f>IF(B2086="","",INT(A2086))</f>
        <v/>
      </c>
      <c r="D2086">
        <f>IF(B2086="","",HOUR(A2086))</f>
        <v/>
      </c>
    </row>
    <row r="2087">
      <c r="A2087">
        <f>Input!A2087</f>
        <v/>
      </c>
      <c r="B2087">
        <f>IF(ISNUMBER(Input!B2087),IF(AND(Input!B2087&gt;=20,Input!B2087&lt;=700),Input!B2087,""),"")</f>
        <v/>
      </c>
      <c r="C2087">
        <f>IF(B2087="","",INT(A2087))</f>
        <v/>
      </c>
      <c r="D2087">
        <f>IF(B2087="","",HOUR(A2087))</f>
        <v/>
      </c>
    </row>
    <row r="2088">
      <c r="A2088">
        <f>Input!A2088</f>
        <v/>
      </c>
      <c r="B2088">
        <f>IF(ISNUMBER(Input!B2088),IF(AND(Input!B2088&gt;=20,Input!B2088&lt;=700),Input!B2088,""),"")</f>
        <v/>
      </c>
      <c r="C2088">
        <f>IF(B2088="","",INT(A2088))</f>
        <v/>
      </c>
      <c r="D2088">
        <f>IF(B2088="","",HOUR(A2088))</f>
        <v/>
      </c>
    </row>
    <row r="2089">
      <c r="A2089">
        <f>Input!A2089</f>
        <v/>
      </c>
      <c r="B2089">
        <f>IF(ISNUMBER(Input!B2089),IF(AND(Input!B2089&gt;=20,Input!B2089&lt;=700),Input!B2089,""),"")</f>
        <v/>
      </c>
      <c r="C2089">
        <f>IF(B2089="","",INT(A2089))</f>
        <v/>
      </c>
      <c r="D2089">
        <f>IF(B2089="","",HOUR(A2089))</f>
        <v/>
      </c>
    </row>
    <row r="2090">
      <c r="A2090">
        <f>Input!A2090</f>
        <v/>
      </c>
      <c r="B2090">
        <f>IF(ISNUMBER(Input!B2090),IF(AND(Input!B2090&gt;=20,Input!B2090&lt;=700),Input!B2090,""),"")</f>
        <v/>
      </c>
      <c r="C2090">
        <f>IF(B2090="","",INT(A2090))</f>
        <v/>
      </c>
      <c r="D2090">
        <f>IF(B2090="","",HOUR(A2090))</f>
        <v/>
      </c>
    </row>
    <row r="2091">
      <c r="A2091">
        <f>Input!A2091</f>
        <v/>
      </c>
      <c r="B2091">
        <f>IF(ISNUMBER(Input!B2091),IF(AND(Input!B2091&gt;=20,Input!B2091&lt;=700),Input!B2091,""),"")</f>
        <v/>
      </c>
      <c r="C2091">
        <f>IF(B2091="","",INT(A2091))</f>
        <v/>
      </c>
      <c r="D2091">
        <f>IF(B2091="","",HOUR(A2091))</f>
        <v/>
      </c>
    </row>
    <row r="2092">
      <c r="A2092">
        <f>Input!A2092</f>
        <v/>
      </c>
      <c r="B2092">
        <f>IF(ISNUMBER(Input!B2092),IF(AND(Input!B2092&gt;=20,Input!B2092&lt;=700),Input!B2092,""),"")</f>
        <v/>
      </c>
      <c r="C2092">
        <f>IF(B2092="","",INT(A2092))</f>
        <v/>
      </c>
      <c r="D2092">
        <f>IF(B2092="","",HOUR(A2092))</f>
        <v/>
      </c>
    </row>
    <row r="2093">
      <c r="A2093">
        <f>Input!A2093</f>
        <v/>
      </c>
      <c r="B2093">
        <f>IF(ISNUMBER(Input!B2093),IF(AND(Input!B2093&gt;=20,Input!B2093&lt;=700),Input!B2093,""),"")</f>
        <v/>
      </c>
      <c r="C2093">
        <f>IF(B2093="","",INT(A2093))</f>
        <v/>
      </c>
      <c r="D2093">
        <f>IF(B2093="","",HOUR(A2093))</f>
        <v/>
      </c>
    </row>
    <row r="2094">
      <c r="A2094">
        <f>Input!A2094</f>
        <v/>
      </c>
      <c r="B2094">
        <f>IF(ISNUMBER(Input!B2094),IF(AND(Input!B2094&gt;=20,Input!B2094&lt;=700),Input!B2094,""),"")</f>
        <v/>
      </c>
      <c r="C2094">
        <f>IF(B2094="","",INT(A2094))</f>
        <v/>
      </c>
      <c r="D2094">
        <f>IF(B2094="","",HOUR(A2094))</f>
        <v/>
      </c>
    </row>
    <row r="2095">
      <c r="A2095">
        <f>Input!A2095</f>
        <v/>
      </c>
      <c r="B2095">
        <f>IF(ISNUMBER(Input!B2095),IF(AND(Input!B2095&gt;=20,Input!B2095&lt;=700),Input!B2095,""),"")</f>
        <v/>
      </c>
      <c r="C2095">
        <f>IF(B2095="","",INT(A2095))</f>
        <v/>
      </c>
      <c r="D2095">
        <f>IF(B2095="","",HOUR(A2095))</f>
        <v/>
      </c>
    </row>
    <row r="2096">
      <c r="A2096">
        <f>Input!A2096</f>
        <v/>
      </c>
      <c r="B2096">
        <f>IF(ISNUMBER(Input!B2096),IF(AND(Input!B2096&gt;=20,Input!B2096&lt;=700),Input!B2096,""),"")</f>
        <v/>
      </c>
      <c r="C2096">
        <f>IF(B2096="","",INT(A2096))</f>
        <v/>
      </c>
      <c r="D2096">
        <f>IF(B2096="","",HOUR(A2096))</f>
        <v/>
      </c>
    </row>
    <row r="2097">
      <c r="A2097">
        <f>Input!A2097</f>
        <v/>
      </c>
      <c r="B2097">
        <f>IF(ISNUMBER(Input!B2097),IF(AND(Input!B2097&gt;=20,Input!B2097&lt;=700),Input!B2097,""),"")</f>
        <v/>
      </c>
      <c r="C2097">
        <f>IF(B2097="","",INT(A2097))</f>
        <v/>
      </c>
      <c r="D2097">
        <f>IF(B2097="","",HOUR(A2097))</f>
        <v/>
      </c>
    </row>
    <row r="2098">
      <c r="A2098">
        <f>Input!A2098</f>
        <v/>
      </c>
      <c r="B2098">
        <f>IF(ISNUMBER(Input!B2098),IF(AND(Input!B2098&gt;=20,Input!B2098&lt;=700),Input!B2098,""),"")</f>
        <v/>
      </c>
      <c r="C2098">
        <f>IF(B2098="","",INT(A2098))</f>
        <v/>
      </c>
      <c r="D2098">
        <f>IF(B2098="","",HOUR(A2098))</f>
        <v/>
      </c>
    </row>
    <row r="2099">
      <c r="A2099">
        <f>Input!A2099</f>
        <v/>
      </c>
      <c r="B2099">
        <f>IF(ISNUMBER(Input!B2099),IF(AND(Input!B2099&gt;=20,Input!B2099&lt;=700),Input!B2099,""),"")</f>
        <v/>
      </c>
      <c r="C2099">
        <f>IF(B2099="","",INT(A2099))</f>
        <v/>
      </c>
      <c r="D2099">
        <f>IF(B2099="","",HOUR(A2099))</f>
        <v/>
      </c>
    </row>
    <row r="2100">
      <c r="A2100">
        <f>Input!A2100</f>
        <v/>
      </c>
      <c r="B2100">
        <f>IF(ISNUMBER(Input!B2100),IF(AND(Input!B2100&gt;=20,Input!B2100&lt;=700),Input!B2100,""),"")</f>
        <v/>
      </c>
      <c r="C2100">
        <f>IF(B2100="","",INT(A2100))</f>
        <v/>
      </c>
      <c r="D2100">
        <f>IF(B2100="","",HOUR(A2100))</f>
        <v/>
      </c>
    </row>
    <row r="2101">
      <c r="A2101">
        <f>Input!A2101</f>
        <v/>
      </c>
      <c r="B2101">
        <f>IF(ISNUMBER(Input!B2101),IF(AND(Input!B2101&gt;=20,Input!B2101&lt;=700),Input!B2101,""),"")</f>
        <v/>
      </c>
      <c r="C2101">
        <f>IF(B2101="","",INT(A2101))</f>
        <v/>
      </c>
      <c r="D2101">
        <f>IF(B2101="","",HOUR(A2101))</f>
        <v/>
      </c>
    </row>
    <row r="2102">
      <c r="A2102">
        <f>Input!A2102</f>
        <v/>
      </c>
      <c r="B2102">
        <f>IF(ISNUMBER(Input!B2102),IF(AND(Input!B2102&gt;=20,Input!B2102&lt;=700),Input!B2102,""),"")</f>
        <v/>
      </c>
      <c r="C2102">
        <f>IF(B2102="","",INT(A2102))</f>
        <v/>
      </c>
      <c r="D2102">
        <f>IF(B2102="","",HOUR(A2102))</f>
        <v/>
      </c>
    </row>
    <row r="2103">
      <c r="A2103">
        <f>Input!A2103</f>
        <v/>
      </c>
      <c r="B2103">
        <f>IF(ISNUMBER(Input!B2103),IF(AND(Input!B2103&gt;=20,Input!B2103&lt;=700),Input!B2103,""),"")</f>
        <v/>
      </c>
      <c r="C2103">
        <f>IF(B2103="","",INT(A2103))</f>
        <v/>
      </c>
      <c r="D2103">
        <f>IF(B2103="","",HOUR(A2103))</f>
        <v/>
      </c>
    </row>
    <row r="2104">
      <c r="A2104">
        <f>Input!A2104</f>
        <v/>
      </c>
      <c r="B2104">
        <f>IF(ISNUMBER(Input!B2104),IF(AND(Input!B2104&gt;=20,Input!B2104&lt;=700),Input!B2104,""),"")</f>
        <v/>
      </c>
      <c r="C2104">
        <f>IF(B2104="","",INT(A2104))</f>
        <v/>
      </c>
      <c r="D2104">
        <f>IF(B2104="","",HOUR(A2104))</f>
        <v/>
      </c>
    </row>
    <row r="2105">
      <c r="A2105">
        <f>Input!A2105</f>
        <v/>
      </c>
      <c r="B2105">
        <f>IF(ISNUMBER(Input!B2105),IF(AND(Input!B2105&gt;=20,Input!B2105&lt;=700),Input!B2105,""),"")</f>
        <v/>
      </c>
      <c r="C2105">
        <f>IF(B2105="","",INT(A2105))</f>
        <v/>
      </c>
      <c r="D2105">
        <f>IF(B2105="","",HOUR(A2105))</f>
        <v/>
      </c>
    </row>
    <row r="2106">
      <c r="A2106">
        <f>Input!A2106</f>
        <v/>
      </c>
      <c r="B2106">
        <f>IF(ISNUMBER(Input!B2106),IF(AND(Input!B2106&gt;=20,Input!B2106&lt;=700),Input!B2106,""),"")</f>
        <v/>
      </c>
      <c r="C2106">
        <f>IF(B2106="","",INT(A2106))</f>
        <v/>
      </c>
      <c r="D2106">
        <f>IF(B2106="","",HOUR(A2106))</f>
        <v/>
      </c>
    </row>
    <row r="2107">
      <c r="A2107">
        <f>Input!A2107</f>
        <v/>
      </c>
      <c r="B2107">
        <f>IF(ISNUMBER(Input!B2107),IF(AND(Input!B2107&gt;=20,Input!B2107&lt;=700),Input!B2107,""),"")</f>
        <v/>
      </c>
      <c r="C2107">
        <f>IF(B2107="","",INT(A2107))</f>
        <v/>
      </c>
      <c r="D2107">
        <f>IF(B2107="","",HOUR(A2107))</f>
        <v/>
      </c>
    </row>
    <row r="2108">
      <c r="A2108">
        <f>Input!A2108</f>
        <v/>
      </c>
      <c r="B2108">
        <f>IF(ISNUMBER(Input!B2108),IF(AND(Input!B2108&gt;=20,Input!B2108&lt;=700),Input!B2108,""),"")</f>
        <v/>
      </c>
      <c r="C2108">
        <f>IF(B2108="","",INT(A2108))</f>
        <v/>
      </c>
      <c r="D2108">
        <f>IF(B2108="","",HOUR(A2108))</f>
        <v/>
      </c>
    </row>
    <row r="2109">
      <c r="A2109">
        <f>Input!A2109</f>
        <v/>
      </c>
      <c r="B2109">
        <f>IF(ISNUMBER(Input!B2109),IF(AND(Input!B2109&gt;=20,Input!B2109&lt;=700),Input!B2109,""),"")</f>
        <v/>
      </c>
      <c r="C2109">
        <f>IF(B2109="","",INT(A2109))</f>
        <v/>
      </c>
      <c r="D2109">
        <f>IF(B2109="","",HOUR(A2109))</f>
        <v/>
      </c>
    </row>
    <row r="2110">
      <c r="A2110">
        <f>Input!A2110</f>
        <v/>
      </c>
      <c r="B2110">
        <f>IF(ISNUMBER(Input!B2110),IF(AND(Input!B2110&gt;=20,Input!B2110&lt;=700),Input!B2110,""),"")</f>
        <v/>
      </c>
      <c r="C2110">
        <f>IF(B2110="","",INT(A2110))</f>
        <v/>
      </c>
      <c r="D2110">
        <f>IF(B2110="","",HOUR(A2110))</f>
        <v/>
      </c>
    </row>
    <row r="2111">
      <c r="A2111">
        <f>Input!A2111</f>
        <v/>
      </c>
      <c r="B2111">
        <f>IF(ISNUMBER(Input!B2111),IF(AND(Input!B2111&gt;=20,Input!B2111&lt;=700),Input!B2111,""),"")</f>
        <v/>
      </c>
      <c r="C2111">
        <f>IF(B2111="","",INT(A2111))</f>
        <v/>
      </c>
      <c r="D2111">
        <f>IF(B2111="","",HOUR(A2111))</f>
        <v/>
      </c>
    </row>
    <row r="2112">
      <c r="A2112">
        <f>Input!A2112</f>
        <v/>
      </c>
      <c r="B2112">
        <f>IF(ISNUMBER(Input!B2112),IF(AND(Input!B2112&gt;=20,Input!B2112&lt;=700),Input!B2112,""),"")</f>
        <v/>
      </c>
      <c r="C2112">
        <f>IF(B2112="","",INT(A2112))</f>
        <v/>
      </c>
      <c r="D2112">
        <f>IF(B2112="","",HOUR(A2112))</f>
        <v/>
      </c>
    </row>
    <row r="2113">
      <c r="A2113">
        <f>Input!A2113</f>
        <v/>
      </c>
      <c r="B2113">
        <f>IF(ISNUMBER(Input!B2113),IF(AND(Input!B2113&gt;=20,Input!B2113&lt;=700),Input!B2113,""),"")</f>
        <v/>
      </c>
      <c r="C2113">
        <f>IF(B2113="","",INT(A2113))</f>
        <v/>
      </c>
      <c r="D2113">
        <f>IF(B2113="","",HOUR(A2113))</f>
        <v/>
      </c>
    </row>
    <row r="2114">
      <c r="A2114">
        <f>Input!A2114</f>
        <v/>
      </c>
      <c r="B2114">
        <f>IF(ISNUMBER(Input!B2114),IF(AND(Input!B2114&gt;=20,Input!B2114&lt;=700),Input!B2114,""),"")</f>
        <v/>
      </c>
      <c r="C2114">
        <f>IF(B2114="","",INT(A2114))</f>
        <v/>
      </c>
      <c r="D2114">
        <f>IF(B2114="","",HOUR(A2114))</f>
        <v/>
      </c>
    </row>
    <row r="2115">
      <c r="A2115">
        <f>Input!A2115</f>
        <v/>
      </c>
      <c r="B2115">
        <f>IF(ISNUMBER(Input!B2115),IF(AND(Input!B2115&gt;=20,Input!B2115&lt;=700),Input!B2115,""),"")</f>
        <v/>
      </c>
      <c r="C2115">
        <f>IF(B2115="","",INT(A2115))</f>
        <v/>
      </c>
      <c r="D2115">
        <f>IF(B2115="","",HOUR(A2115))</f>
        <v/>
      </c>
    </row>
    <row r="2116">
      <c r="A2116">
        <f>Input!A2116</f>
        <v/>
      </c>
      <c r="B2116">
        <f>IF(ISNUMBER(Input!B2116),IF(AND(Input!B2116&gt;=20,Input!B2116&lt;=700),Input!B2116,""),"")</f>
        <v/>
      </c>
      <c r="C2116">
        <f>IF(B2116="","",INT(A2116))</f>
        <v/>
      </c>
      <c r="D2116">
        <f>IF(B2116="","",HOUR(A2116))</f>
        <v/>
      </c>
    </row>
    <row r="2117">
      <c r="A2117">
        <f>Input!A2117</f>
        <v/>
      </c>
      <c r="B2117">
        <f>IF(ISNUMBER(Input!B2117),IF(AND(Input!B2117&gt;=20,Input!B2117&lt;=700),Input!B2117,""),"")</f>
        <v/>
      </c>
      <c r="C2117">
        <f>IF(B2117="","",INT(A2117))</f>
        <v/>
      </c>
      <c r="D2117">
        <f>IF(B2117="","",HOUR(A2117))</f>
        <v/>
      </c>
    </row>
    <row r="2118">
      <c r="A2118">
        <f>Input!A2118</f>
        <v/>
      </c>
      <c r="B2118">
        <f>IF(ISNUMBER(Input!B2118),IF(AND(Input!B2118&gt;=20,Input!B2118&lt;=700),Input!B2118,""),"")</f>
        <v/>
      </c>
      <c r="C2118">
        <f>IF(B2118="","",INT(A2118))</f>
        <v/>
      </c>
      <c r="D2118">
        <f>IF(B2118="","",HOUR(A2118))</f>
        <v/>
      </c>
    </row>
    <row r="2119">
      <c r="A2119">
        <f>Input!A2119</f>
        <v/>
      </c>
      <c r="B2119">
        <f>IF(ISNUMBER(Input!B2119),IF(AND(Input!B2119&gt;=20,Input!B2119&lt;=700),Input!B2119,""),"")</f>
        <v/>
      </c>
      <c r="C2119">
        <f>IF(B2119="","",INT(A2119))</f>
        <v/>
      </c>
      <c r="D2119">
        <f>IF(B2119="","",HOUR(A2119))</f>
        <v/>
      </c>
    </row>
    <row r="2120">
      <c r="A2120">
        <f>Input!A2120</f>
        <v/>
      </c>
      <c r="B2120">
        <f>IF(ISNUMBER(Input!B2120),IF(AND(Input!B2120&gt;=20,Input!B2120&lt;=700),Input!B2120,""),"")</f>
        <v/>
      </c>
      <c r="C2120">
        <f>IF(B2120="","",INT(A2120))</f>
        <v/>
      </c>
      <c r="D2120">
        <f>IF(B2120="","",HOUR(A2120))</f>
        <v/>
      </c>
    </row>
    <row r="2121">
      <c r="A2121">
        <f>Input!A2121</f>
        <v/>
      </c>
      <c r="B2121">
        <f>IF(ISNUMBER(Input!B2121),IF(AND(Input!B2121&gt;=20,Input!B2121&lt;=700),Input!B2121,""),"")</f>
        <v/>
      </c>
      <c r="C2121">
        <f>IF(B2121="","",INT(A2121))</f>
        <v/>
      </c>
      <c r="D2121">
        <f>IF(B2121="","",HOUR(A2121))</f>
        <v/>
      </c>
    </row>
    <row r="2122">
      <c r="A2122">
        <f>Input!A2122</f>
        <v/>
      </c>
      <c r="B2122">
        <f>IF(ISNUMBER(Input!B2122),IF(AND(Input!B2122&gt;=20,Input!B2122&lt;=700),Input!B2122,""),"")</f>
        <v/>
      </c>
      <c r="C2122">
        <f>IF(B2122="","",INT(A2122))</f>
        <v/>
      </c>
      <c r="D2122">
        <f>IF(B2122="","",HOUR(A2122))</f>
        <v/>
      </c>
    </row>
    <row r="2123">
      <c r="A2123">
        <f>Input!A2123</f>
        <v/>
      </c>
      <c r="B2123">
        <f>IF(ISNUMBER(Input!B2123),IF(AND(Input!B2123&gt;=20,Input!B2123&lt;=700),Input!B2123,""),"")</f>
        <v/>
      </c>
      <c r="C2123">
        <f>IF(B2123="","",INT(A2123))</f>
        <v/>
      </c>
      <c r="D2123">
        <f>IF(B2123="","",HOUR(A2123))</f>
        <v/>
      </c>
    </row>
    <row r="2124">
      <c r="A2124">
        <f>Input!A2124</f>
        <v/>
      </c>
      <c r="B2124">
        <f>IF(ISNUMBER(Input!B2124),IF(AND(Input!B2124&gt;=20,Input!B2124&lt;=700),Input!B2124,""),"")</f>
        <v/>
      </c>
      <c r="C2124">
        <f>IF(B2124="","",INT(A2124))</f>
        <v/>
      </c>
      <c r="D2124">
        <f>IF(B2124="","",HOUR(A2124))</f>
        <v/>
      </c>
    </row>
    <row r="2125">
      <c r="A2125">
        <f>Input!A2125</f>
        <v/>
      </c>
      <c r="B2125">
        <f>IF(ISNUMBER(Input!B2125),IF(AND(Input!B2125&gt;=20,Input!B2125&lt;=700),Input!B2125,""),"")</f>
        <v/>
      </c>
      <c r="C2125">
        <f>IF(B2125="","",INT(A2125))</f>
        <v/>
      </c>
      <c r="D2125">
        <f>IF(B2125="","",HOUR(A2125))</f>
        <v/>
      </c>
    </row>
    <row r="2126">
      <c r="A2126">
        <f>Input!A2126</f>
        <v/>
      </c>
      <c r="B2126">
        <f>IF(ISNUMBER(Input!B2126),IF(AND(Input!B2126&gt;=20,Input!B2126&lt;=700),Input!B2126,""),"")</f>
        <v/>
      </c>
      <c r="C2126">
        <f>IF(B2126="","",INT(A2126))</f>
        <v/>
      </c>
      <c r="D2126">
        <f>IF(B2126="","",HOUR(A2126))</f>
        <v/>
      </c>
    </row>
    <row r="2127">
      <c r="A2127">
        <f>Input!A2127</f>
        <v/>
      </c>
      <c r="B2127">
        <f>IF(ISNUMBER(Input!B2127),IF(AND(Input!B2127&gt;=20,Input!B2127&lt;=700),Input!B2127,""),"")</f>
        <v/>
      </c>
      <c r="C2127">
        <f>IF(B2127="","",INT(A2127))</f>
        <v/>
      </c>
      <c r="D2127">
        <f>IF(B2127="","",HOUR(A2127))</f>
        <v/>
      </c>
    </row>
    <row r="2128">
      <c r="A2128">
        <f>Input!A2128</f>
        <v/>
      </c>
      <c r="B2128">
        <f>IF(ISNUMBER(Input!B2128),IF(AND(Input!B2128&gt;=20,Input!B2128&lt;=700),Input!B2128,""),"")</f>
        <v/>
      </c>
      <c r="C2128">
        <f>IF(B2128="","",INT(A2128))</f>
        <v/>
      </c>
      <c r="D2128">
        <f>IF(B2128="","",HOUR(A2128))</f>
        <v/>
      </c>
    </row>
    <row r="2129">
      <c r="A2129">
        <f>Input!A2129</f>
        <v/>
      </c>
      <c r="B2129">
        <f>IF(ISNUMBER(Input!B2129),IF(AND(Input!B2129&gt;=20,Input!B2129&lt;=700),Input!B2129,""),"")</f>
        <v/>
      </c>
      <c r="C2129">
        <f>IF(B2129="","",INT(A2129))</f>
        <v/>
      </c>
      <c r="D2129">
        <f>IF(B2129="","",HOUR(A2129))</f>
        <v/>
      </c>
    </row>
    <row r="2130">
      <c r="A2130">
        <f>Input!A2130</f>
        <v/>
      </c>
      <c r="B2130">
        <f>IF(ISNUMBER(Input!B2130),IF(AND(Input!B2130&gt;=20,Input!B2130&lt;=700),Input!B2130,""),"")</f>
        <v/>
      </c>
      <c r="C2130">
        <f>IF(B2130="","",INT(A2130))</f>
        <v/>
      </c>
      <c r="D2130">
        <f>IF(B2130="","",HOUR(A2130))</f>
        <v/>
      </c>
    </row>
    <row r="2131">
      <c r="A2131">
        <f>Input!A2131</f>
        <v/>
      </c>
      <c r="B2131">
        <f>IF(ISNUMBER(Input!B2131),IF(AND(Input!B2131&gt;=20,Input!B2131&lt;=700),Input!B2131,""),"")</f>
        <v/>
      </c>
      <c r="C2131">
        <f>IF(B2131="","",INT(A2131))</f>
        <v/>
      </c>
      <c r="D2131">
        <f>IF(B2131="","",HOUR(A2131))</f>
        <v/>
      </c>
    </row>
    <row r="2132">
      <c r="A2132">
        <f>Input!A2132</f>
        <v/>
      </c>
      <c r="B2132">
        <f>IF(ISNUMBER(Input!B2132),IF(AND(Input!B2132&gt;=20,Input!B2132&lt;=700),Input!B2132,""),"")</f>
        <v/>
      </c>
      <c r="C2132">
        <f>IF(B2132="","",INT(A2132))</f>
        <v/>
      </c>
      <c r="D2132">
        <f>IF(B2132="","",HOUR(A2132))</f>
        <v/>
      </c>
    </row>
    <row r="2133">
      <c r="A2133">
        <f>Input!A2133</f>
        <v/>
      </c>
      <c r="B2133">
        <f>IF(ISNUMBER(Input!B2133),IF(AND(Input!B2133&gt;=20,Input!B2133&lt;=700),Input!B2133,""),"")</f>
        <v/>
      </c>
      <c r="C2133">
        <f>IF(B2133="","",INT(A2133))</f>
        <v/>
      </c>
      <c r="D2133">
        <f>IF(B2133="","",HOUR(A2133))</f>
        <v/>
      </c>
    </row>
    <row r="2134">
      <c r="A2134">
        <f>Input!A2134</f>
        <v/>
      </c>
      <c r="B2134">
        <f>IF(ISNUMBER(Input!B2134),IF(AND(Input!B2134&gt;=20,Input!B2134&lt;=700),Input!B2134,""),"")</f>
        <v/>
      </c>
      <c r="C2134">
        <f>IF(B2134="","",INT(A2134))</f>
        <v/>
      </c>
      <c r="D2134">
        <f>IF(B2134="","",HOUR(A2134))</f>
        <v/>
      </c>
    </row>
    <row r="2135">
      <c r="A2135">
        <f>Input!A2135</f>
        <v/>
      </c>
      <c r="B2135">
        <f>IF(ISNUMBER(Input!B2135),IF(AND(Input!B2135&gt;=20,Input!B2135&lt;=700),Input!B2135,""),"")</f>
        <v/>
      </c>
      <c r="C2135">
        <f>IF(B2135="","",INT(A2135))</f>
        <v/>
      </c>
      <c r="D2135">
        <f>IF(B2135="","",HOUR(A2135))</f>
        <v/>
      </c>
    </row>
    <row r="2136">
      <c r="A2136">
        <f>Input!A2136</f>
        <v/>
      </c>
      <c r="B2136">
        <f>IF(ISNUMBER(Input!B2136),IF(AND(Input!B2136&gt;=20,Input!B2136&lt;=700),Input!B2136,""),"")</f>
        <v/>
      </c>
      <c r="C2136">
        <f>IF(B2136="","",INT(A2136))</f>
        <v/>
      </c>
      <c r="D2136">
        <f>IF(B2136="","",HOUR(A2136))</f>
        <v/>
      </c>
    </row>
    <row r="2137">
      <c r="A2137">
        <f>Input!A2137</f>
        <v/>
      </c>
      <c r="B2137">
        <f>IF(ISNUMBER(Input!B2137),IF(AND(Input!B2137&gt;=20,Input!B2137&lt;=700),Input!B2137,""),"")</f>
        <v/>
      </c>
      <c r="C2137">
        <f>IF(B2137="","",INT(A2137))</f>
        <v/>
      </c>
      <c r="D2137">
        <f>IF(B2137="","",HOUR(A2137))</f>
        <v/>
      </c>
    </row>
    <row r="2138">
      <c r="A2138">
        <f>Input!A2138</f>
        <v/>
      </c>
      <c r="B2138">
        <f>IF(ISNUMBER(Input!B2138),IF(AND(Input!B2138&gt;=20,Input!B2138&lt;=700),Input!B2138,""),"")</f>
        <v/>
      </c>
      <c r="C2138">
        <f>IF(B2138="","",INT(A2138))</f>
        <v/>
      </c>
      <c r="D2138">
        <f>IF(B2138="","",HOUR(A2138))</f>
        <v/>
      </c>
    </row>
    <row r="2139">
      <c r="A2139">
        <f>Input!A2139</f>
        <v/>
      </c>
      <c r="B2139">
        <f>IF(ISNUMBER(Input!B2139),IF(AND(Input!B2139&gt;=20,Input!B2139&lt;=700),Input!B2139,""),"")</f>
        <v/>
      </c>
      <c r="C2139">
        <f>IF(B2139="","",INT(A2139))</f>
        <v/>
      </c>
      <c r="D2139">
        <f>IF(B2139="","",HOUR(A2139))</f>
        <v/>
      </c>
    </row>
    <row r="2140">
      <c r="A2140">
        <f>Input!A2140</f>
        <v/>
      </c>
      <c r="B2140">
        <f>IF(ISNUMBER(Input!B2140),IF(AND(Input!B2140&gt;=20,Input!B2140&lt;=700),Input!B2140,""),"")</f>
        <v/>
      </c>
      <c r="C2140">
        <f>IF(B2140="","",INT(A2140))</f>
        <v/>
      </c>
      <c r="D2140">
        <f>IF(B2140="","",HOUR(A2140))</f>
        <v/>
      </c>
    </row>
    <row r="2141">
      <c r="A2141">
        <f>Input!A2141</f>
        <v/>
      </c>
      <c r="B2141">
        <f>IF(ISNUMBER(Input!B2141),IF(AND(Input!B2141&gt;=20,Input!B2141&lt;=700),Input!B2141,""),"")</f>
        <v/>
      </c>
      <c r="C2141">
        <f>IF(B2141="","",INT(A2141))</f>
        <v/>
      </c>
      <c r="D2141">
        <f>IF(B2141="","",HOUR(A2141))</f>
        <v/>
      </c>
    </row>
    <row r="2142">
      <c r="A2142">
        <f>Input!A2142</f>
        <v/>
      </c>
      <c r="B2142">
        <f>IF(ISNUMBER(Input!B2142),IF(AND(Input!B2142&gt;=20,Input!B2142&lt;=700),Input!B2142,""),"")</f>
        <v/>
      </c>
      <c r="C2142">
        <f>IF(B2142="","",INT(A2142))</f>
        <v/>
      </c>
      <c r="D2142">
        <f>IF(B2142="","",HOUR(A2142))</f>
        <v/>
      </c>
    </row>
    <row r="2143">
      <c r="A2143">
        <f>Input!A2143</f>
        <v/>
      </c>
      <c r="B2143">
        <f>IF(ISNUMBER(Input!B2143),IF(AND(Input!B2143&gt;=20,Input!B2143&lt;=700),Input!B2143,""),"")</f>
        <v/>
      </c>
      <c r="C2143">
        <f>IF(B2143="","",INT(A2143))</f>
        <v/>
      </c>
      <c r="D2143">
        <f>IF(B2143="","",HOUR(A2143))</f>
        <v/>
      </c>
    </row>
    <row r="2144">
      <c r="A2144">
        <f>Input!A2144</f>
        <v/>
      </c>
      <c r="B2144">
        <f>IF(ISNUMBER(Input!B2144),IF(AND(Input!B2144&gt;=20,Input!B2144&lt;=700),Input!B2144,""),"")</f>
        <v/>
      </c>
      <c r="C2144">
        <f>IF(B2144="","",INT(A2144))</f>
        <v/>
      </c>
      <c r="D2144">
        <f>IF(B2144="","",HOUR(A2144))</f>
        <v/>
      </c>
    </row>
    <row r="2145">
      <c r="A2145">
        <f>Input!A2145</f>
        <v/>
      </c>
      <c r="B2145">
        <f>IF(ISNUMBER(Input!B2145),IF(AND(Input!B2145&gt;=20,Input!B2145&lt;=700),Input!B2145,""),"")</f>
        <v/>
      </c>
      <c r="C2145">
        <f>IF(B2145="","",INT(A2145))</f>
        <v/>
      </c>
      <c r="D2145">
        <f>IF(B2145="","",HOUR(A2145))</f>
        <v/>
      </c>
    </row>
    <row r="2146">
      <c r="A2146">
        <f>Input!A2146</f>
        <v/>
      </c>
      <c r="B2146">
        <f>IF(ISNUMBER(Input!B2146),IF(AND(Input!B2146&gt;=20,Input!B2146&lt;=700),Input!B2146,""),"")</f>
        <v/>
      </c>
      <c r="C2146">
        <f>IF(B2146="","",INT(A2146))</f>
        <v/>
      </c>
      <c r="D2146">
        <f>IF(B2146="","",HOUR(A2146))</f>
        <v/>
      </c>
    </row>
    <row r="2147">
      <c r="A2147">
        <f>Input!A2147</f>
        <v/>
      </c>
      <c r="B2147">
        <f>IF(ISNUMBER(Input!B2147),IF(AND(Input!B2147&gt;=20,Input!B2147&lt;=700),Input!B2147,""),"")</f>
        <v/>
      </c>
      <c r="C2147">
        <f>IF(B2147="","",INT(A2147))</f>
        <v/>
      </c>
      <c r="D2147">
        <f>IF(B2147="","",HOUR(A2147))</f>
        <v/>
      </c>
    </row>
    <row r="2148">
      <c r="A2148">
        <f>Input!A2148</f>
        <v/>
      </c>
      <c r="B2148">
        <f>IF(ISNUMBER(Input!B2148),IF(AND(Input!B2148&gt;=20,Input!B2148&lt;=700),Input!B2148,""),"")</f>
        <v/>
      </c>
      <c r="C2148">
        <f>IF(B2148="","",INT(A2148))</f>
        <v/>
      </c>
      <c r="D2148">
        <f>IF(B2148="","",HOUR(A2148))</f>
        <v/>
      </c>
    </row>
    <row r="2149">
      <c r="A2149">
        <f>Input!A2149</f>
        <v/>
      </c>
      <c r="B2149">
        <f>IF(ISNUMBER(Input!B2149),IF(AND(Input!B2149&gt;=20,Input!B2149&lt;=700),Input!B2149,""),"")</f>
        <v/>
      </c>
      <c r="C2149">
        <f>IF(B2149="","",INT(A2149))</f>
        <v/>
      </c>
      <c r="D2149">
        <f>IF(B2149="","",HOUR(A2149))</f>
        <v/>
      </c>
    </row>
    <row r="2150">
      <c r="A2150">
        <f>Input!A2150</f>
        <v/>
      </c>
      <c r="B2150">
        <f>IF(ISNUMBER(Input!B2150),IF(AND(Input!B2150&gt;=20,Input!B2150&lt;=700),Input!B2150,""),"")</f>
        <v/>
      </c>
      <c r="C2150">
        <f>IF(B2150="","",INT(A2150))</f>
        <v/>
      </c>
      <c r="D2150">
        <f>IF(B2150="","",HOUR(A2150))</f>
        <v/>
      </c>
    </row>
    <row r="2151">
      <c r="A2151">
        <f>Input!A2151</f>
        <v/>
      </c>
      <c r="B2151">
        <f>IF(ISNUMBER(Input!B2151),IF(AND(Input!B2151&gt;=20,Input!B2151&lt;=700),Input!B2151,""),"")</f>
        <v/>
      </c>
      <c r="C2151">
        <f>IF(B2151="","",INT(A2151))</f>
        <v/>
      </c>
      <c r="D2151">
        <f>IF(B2151="","",HOUR(A2151))</f>
        <v/>
      </c>
    </row>
    <row r="2152">
      <c r="A2152">
        <f>Input!A2152</f>
        <v/>
      </c>
      <c r="B2152">
        <f>IF(ISNUMBER(Input!B2152),IF(AND(Input!B2152&gt;=20,Input!B2152&lt;=700),Input!B2152,""),"")</f>
        <v/>
      </c>
      <c r="C2152">
        <f>IF(B2152="","",INT(A2152))</f>
        <v/>
      </c>
      <c r="D2152">
        <f>IF(B2152="","",HOUR(A2152))</f>
        <v/>
      </c>
    </row>
    <row r="2153">
      <c r="A2153">
        <f>Input!A2153</f>
        <v/>
      </c>
      <c r="B2153">
        <f>IF(ISNUMBER(Input!B2153),IF(AND(Input!B2153&gt;=20,Input!B2153&lt;=700),Input!B2153,""),"")</f>
        <v/>
      </c>
      <c r="C2153">
        <f>IF(B2153="","",INT(A2153))</f>
        <v/>
      </c>
      <c r="D2153">
        <f>IF(B2153="","",HOUR(A2153))</f>
        <v/>
      </c>
    </row>
    <row r="2154">
      <c r="A2154">
        <f>Input!A2154</f>
        <v/>
      </c>
      <c r="B2154">
        <f>IF(ISNUMBER(Input!B2154),IF(AND(Input!B2154&gt;=20,Input!B2154&lt;=700),Input!B2154,""),"")</f>
        <v/>
      </c>
      <c r="C2154">
        <f>IF(B2154="","",INT(A2154))</f>
        <v/>
      </c>
      <c r="D2154">
        <f>IF(B2154="","",HOUR(A2154))</f>
        <v/>
      </c>
    </row>
    <row r="2155">
      <c r="A2155">
        <f>Input!A2155</f>
        <v/>
      </c>
      <c r="B2155">
        <f>IF(ISNUMBER(Input!B2155),IF(AND(Input!B2155&gt;=20,Input!B2155&lt;=700),Input!B2155,""),"")</f>
        <v/>
      </c>
      <c r="C2155">
        <f>IF(B2155="","",INT(A2155))</f>
        <v/>
      </c>
      <c r="D2155">
        <f>IF(B2155="","",HOUR(A2155))</f>
        <v/>
      </c>
    </row>
    <row r="2156">
      <c r="A2156">
        <f>Input!A2156</f>
        <v/>
      </c>
      <c r="B2156">
        <f>IF(ISNUMBER(Input!B2156),IF(AND(Input!B2156&gt;=20,Input!B2156&lt;=700),Input!B2156,""),"")</f>
        <v/>
      </c>
      <c r="C2156">
        <f>IF(B2156="","",INT(A2156))</f>
        <v/>
      </c>
      <c r="D2156">
        <f>IF(B2156="","",HOUR(A2156))</f>
        <v/>
      </c>
    </row>
    <row r="2157">
      <c r="A2157">
        <f>Input!A2157</f>
        <v/>
      </c>
      <c r="B2157">
        <f>IF(ISNUMBER(Input!B2157),IF(AND(Input!B2157&gt;=20,Input!B2157&lt;=700),Input!B2157,""),"")</f>
        <v/>
      </c>
      <c r="C2157">
        <f>IF(B2157="","",INT(A2157))</f>
        <v/>
      </c>
      <c r="D2157">
        <f>IF(B2157="","",HOUR(A2157))</f>
        <v/>
      </c>
    </row>
    <row r="2158">
      <c r="A2158">
        <f>Input!A2158</f>
        <v/>
      </c>
      <c r="B2158">
        <f>IF(ISNUMBER(Input!B2158),IF(AND(Input!B2158&gt;=20,Input!B2158&lt;=700),Input!B2158,""),"")</f>
        <v/>
      </c>
      <c r="C2158">
        <f>IF(B2158="","",INT(A2158))</f>
        <v/>
      </c>
      <c r="D2158">
        <f>IF(B2158="","",HOUR(A2158))</f>
        <v/>
      </c>
    </row>
    <row r="2159">
      <c r="A2159">
        <f>Input!A2159</f>
        <v/>
      </c>
      <c r="B2159">
        <f>IF(ISNUMBER(Input!B2159),IF(AND(Input!B2159&gt;=20,Input!B2159&lt;=700),Input!B2159,""),"")</f>
        <v/>
      </c>
      <c r="C2159">
        <f>IF(B2159="","",INT(A2159))</f>
        <v/>
      </c>
      <c r="D2159">
        <f>IF(B2159="","",HOUR(A2159))</f>
        <v/>
      </c>
    </row>
    <row r="2160">
      <c r="A2160">
        <f>Input!A2160</f>
        <v/>
      </c>
      <c r="B2160">
        <f>IF(ISNUMBER(Input!B2160),IF(AND(Input!B2160&gt;=20,Input!B2160&lt;=700),Input!B2160,""),"")</f>
        <v/>
      </c>
      <c r="C2160">
        <f>IF(B2160="","",INT(A2160))</f>
        <v/>
      </c>
      <c r="D2160">
        <f>IF(B2160="","",HOUR(A2160))</f>
        <v/>
      </c>
    </row>
    <row r="2161">
      <c r="A2161">
        <f>Input!A2161</f>
        <v/>
      </c>
      <c r="B2161">
        <f>IF(ISNUMBER(Input!B2161),IF(AND(Input!B2161&gt;=20,Input!B2161&lt;=700),Input!B2161,""),"")</f>
        <v/>
      </c>
      <c r="C2161">
        <f>IF(B2161="","",INT(A2161))</f>
        <v/>
      </c>
      <c r="D2161">
        <f>IF(B2161="","",HOUR(A2161))</f>
        <v/>
      </c>
    </row>
    <row r="2162">
      <c r="A2162">
        <f>Input!A2162</f>
        <v/>
      </c>
      <c r="B2162">
        <f>IF(ISNUMBER(Input!B2162),IF(AND(Input!B2162&gt;=20,Input!B2162&lt;=700),Input!B2162,""),"")</f>
        <v/>
      </c>
      <c r="C2162">
        <f>IF(B2162="","",INT(A2162))</f>
        <v/>
      </c>
      <c r="D2162">
        <f>IF(B2162="","",HOUR(A2162))</f>
        <v/>
      </c>
    </row>
    <row r="2163">
      <c r="A2163">
        <f>Input!A2163</f>
        <v/>
      </c>
      <c r="B2163">
        <f>IF(ISNUMBER(Input!B2163),IF(AND(Input!B2163&gt;=20,Input!B2163&lt;=700),Input!B2163,""),"")</f>
        <v/>
      </c>
      <c r="C2163">
        <f>IF(B2163="","",INT(A2163))</f>
        <v/>
      </c>
      <c r="D2163">
        <f>IF(B2163="","",HOUR(A2163))</f>
        <v/>
      </c>
    </row>
    <row r="2164">
      <c r="A2164">
        <f>Input!A2164</f>
        <v/>
      </c>
      <c r="B2164">
        <f>IF(ISNUMBER(Input!B2164),IF(AND(Input!B2164&gt;=20,Input!B2164&lt;=700),Input!B2164,""),"")</f>
        <v/>
      </c>
      <c r="C2164">
        <f>IF(B2164="","",INT(A2164))</f>
        <v/>
      </c>
      <c r="D2164">
        <f>IF(B2164="","",HOUR(A2164))</f>
        <v/>
      </c>
    </row>
    <row r="2165">
      <c r="A2165">
        <f>Input!A2165</f>
        <v/>
      </c>
      <c r="B2165">
        <f>IF(ISNUMBER(Input!B2165),IF(AND(Input!B2165&gt;=20,Input!B2165&lt;=700),Input!B2165,""),"")</f>
        <v/>
      </c>
      <c r="C2165">
        <f>IF(B2165="","",INT(A2165))</f>
        <v/>
      </c>
      <c r="D2165">
        <f>IF(B2165="","",HOUR(A2165))</f>
        <v/>
      </c>
    </row>
    <row r="2166">
      <c r="A2166">
        <f>Input!A2166</f>
        <v/>
      </c>
      <c r="B2166">
        <f>IF(ISNUMBER(Input!B2166),IF(AND(Input!B2166&gt;=20,Input!B2166&lt;=700),Input!B2166,""),"")</f>
        <v/>
      </c>
      <c r="C2166">
        <f>IF(B2166="","",INT(A2166))</f>
        <v/>
      </c>
      <c r="D2166">
        <f>IF(B2166="","",HOUR(A2166))</f>
        <v/>
      </c>
    </row>
    <row r="2167">
      <c r="A2167">
        <f>Input!A2167</f>
        <v/>
      </c>
      <c r="B2167">
        <f>IF(ISNUMBER(Input!B2167),IF(AND(Input!B2167&gt;=20,Input!B2167&lt;=700),Input!B2167,""),"")</f>
        <v/>
      </c>
      <c r="C2167">
        <f>IF(B2167="","",INT(A2167))</f>
        <v/>
      </c>
      <c r="D2167">
        <f>IF(B2167="","",HOUR(A2167))</f>
        <v/>
      </c>
    </row>
    <row r="2168">
      <c r="A2168">
        <f>Input!A2168</f>
        <v/>
      </c>
      <c r="B2168">
        <f>IF(ISNUMBER(Input!B2168),IF(AND(Input!B2168&gt;=20,Input!B2168&lt;=700),Input!B2168,""),"")</f>
        <v/>
      </c>
      <c r="C2168">
        <f>IF(B2168="","",INT(A2168))</f>
        <v/>
      </c>
      <c r="D2168">
        <f>IF(B2168="","",HOUR(A2168))</f>
        <v/>
      </c>
    </row>
    <row r="2169">
      <c r="A2169">
        <f>Input!A2169</f>
        <v/>
      </c>
      <c r="B2169">
        <f>IF(ISNUMBER(Input!B2169),IF(AND(Input!B2169&gt;=20,Input!B2169&lt;=700),Input!B2169,""),"")</f>
        <v/>
      </c>
      <c r="C2169">
        <f>IF(B2169="","",INT(A2169))</f>
        <v/>
      </c>
      <c r="D2169">
        <f>IF(B2169="","",HOUR(A2169))</f>
        <v/>
      </c>
    </row>
    <row r="2170">
      <c r="A2170">
        <f>Input!A2170</f>
        <v/>
      </c>
      <c r="B2170">
        <f>IF(ISNUMBER(Input!B2170),IF(AND(Input!B2170&gt;=20,Input!B2170&lt;=700),Input!B2170,""),"")</f>
        <v/>
      </c>
      <c r="C2170">
        <f>IF(B2170="","",INT(A2170))</f>
        <v/>
      </c>
      <c r="D2170">
        <f>IF(B2170="","",HOUR(A2170))</f>
        <v/>
      </c>
    </row>
    <row r="2171">
      <c r="A2171">
        <f>Input!A2171</f>
        <v/>
      </c>
      <c r="B2171">
        <f>IF(ISNUMBER(Input!B2171),IF(AND(Input!B2171&gt;=20,Input!B2171&lt;=700),Input!B2171,""),"")</f>
        <v/>
      </c>
      <c r="C2171">
        <f>IF(B2171="","",INT(A2171))</f>
        <v/>
      </c>
      <c r="D2171">
        <f>IF(B2171="","",HOUR(A2171))</f>
        <v/>
      </c>
    </row>
    <row r="2172">
      <c r="A2172">
        <f>Input!A2172</f>
        <v/>
      </c>
      <c r="B2172">
        <f>IF(ISNUMBER(Input!B2172),IF(AND(Input!B2172&gt;=20,Input!B2172&lt;=700),Input!B2172,""),"")</f>
        <v/>
      </c>
      <c r="C2172">
        <f>IF(B2172="","",INT(A2172))</f>
        <v/>
      </c>
      <c r="D2172">
        <f>IF(B2172="","",HOUR(A2172))</f>
        <v/>
      </c>
    </row>
    <row r="2173">
      <c r="A2173">
        <f>Input!A2173</f>
        <v/>
      </c>
      <c r="B2173">
        <f>IF(ISNUMBER(Input!B2173),IF(AND(Input!B2173&gt;=20,Input!B2173&lt;=700),Input!B2173,""),"")</f>
        <v/>
      </c>
      <c r="C2173">
        <f>IF(B2173="","",INT(A2173))</f>
        <v/>
      </c>
      <c r="D2173">
        <f>IF(B2173="","",HOUR(A2173))</f>
        <v/>
      </c>
    </row>
    <row r="2174">
      <c r="A2174">
        <f>Input!A2174</f>
        <v/>
      </c>
      <c r="B2174">
        <f>IF(ISNUMBER(Input!B2174),IF(AND(Input!B2174&gt;=20,Input!B2174&lt;=700),Input!B2174,""),"")</f>
        <v/>
      </c>
      <c r="C2174">
        <f>IF(B2174="","",INT(A2174))</f>
        <v/>
      </c>
      <c r="D2174">
        <f>IF(B2174="","",HOUR(A2174))</f>
        <v/>
      </c>
    </row>
    <row r="2175">
      <c r="A2175">
        <f>Input!A2175</f>
        <v/>
      </c>
      <c r="B2175">
        <f>IF(ISNUMBER(Input!B2175),IF(AND(Input!B2175&gt;=20,Input!B2175&lt;=700),Input!B2175,""),"")</f>
        <v/>
      </c>
      <c r="C2175">
        <f>IF(B2175="","",INT(A2175))</f>
        <v/>
      </c>
      <c r="D2175">
        <f>IF(B2175="","",HOUR(A2175))</f>
        <v/>
      </c>
    </row>
    <row r="2176">
      <c r="A2176">
        <f>Input!A2176</f>
        <v/>
      </c>
      <c r="B2176">
        <f>IF(ISNUMBER(Input!B2176),IF(AND(Input!B2176&gt;=20,Input!B2176&lt;=700),Input!B2176,""),"")</f>
        <v/>
      </c>
      <c r="C2176">
        <f>IF(B2176="","",INT(A2176))</f>
        <v/>
      </c>
      <c r="D2176">
        <f>IF(B2176="","",HOUR(A2176))</f>
        <v/>
      </c>
    </row>
    <row r="2177">
      <c r="A2177">
        <f>Input!A2177</f>
        <v/>
      </c>
      <c r="B2177">
        <f>IF(ISNUMBER(Input!B2177),IF(AND(Input!B2177&gt;=20,Input!B2177&lt;=700),Input!B2177,""),"")</f>
        <v/>
      </c>
      <c r="C2177">
        <f>IF(B2177="","",INT(A2177))</f>
        <v/>
      </c>
      <c r="D2177">
        <f>IF(B2177="","",HOUR(A2177))</f>
        <v/>
      </c>
    </row>
    <row r="2178">
      <c r="A2178">
        <f>Input!A2178</f>
        <v/>
      </c>
      <c r="B2178">
        <f>IF(ISNUMBER(Input!B2178),IF(AND(Input!B2178&gt;=20,Input!B2178&lt;=700),Input!B2178,""),"")</f>
        <v/>
      </c>
      <c r="C2178">
        <f>IF(B2178="","",INT(A2178))</f>
        <v/>
      </c>
      <c r="D2178">
        <f>IF(B2178="","",HOUR(A2178))</f>
        <v/>
      </c>
    </row>
    <row r="2179">
      <c r="A2179">
        <f>Input!A2179</f>
        <v/>
      </c>
      <c r="B2179">
        <f>IF(ISNUMBER(Input!B2179),IF(AND(Input!B2179&gt;=20,Input!B2179&lt;=700),Input!B2179,""),"")</f>
        <v/>
      </c>
      <c r="C2179">
        <f>IF(B2179="","",INT(A2179))</f>
        <v/>
      </c>
      <c r="D2179">
        <f>IF(B2179="","",HOUR(A2179))</f>
        <v/>
      </c>
    </row>
    <row r="2180">
      <c r="A2180">
        <f>Input!A2180</f>
        <v/>
      </c>
      <c r="B2180">
        <f>IF(ISNUMBER(Input!B2180),IF(AND(Input!B2180&gt;=20,Input!B2180&lt;=700),Input!B2180,""),"")</f>
        <v/>
      </c>
      <c r="C2180">
        <f>IF(B2180="","",INT(A2180))</f>
        <v/>
      </c>
      <c r="D2180">
        <f>IF(B2180="","",HOUR(A2180))</f>
        <v/>
      </c>
    </row>
    <row r="2181">
      <c r="A2181">
        <f>Input!A2181</f>
        <v/>
      </c>
      <c r="B2181">
        <f>IF(ISNUMBER(Input!B2181),IF(AND(Input!B2181&gt;=20,Input!B2181&lt;=700),Input!B2181,""),"")</f>
        <v/>
      </c>
      <c r="C2181">
        <f>IF(B2181="","",INT(A2181))</f>
        <v/>
      </c>
      <c r="D2181">
        <f>IF(B2181="","",HOUR(A2181))</f>
        <v/>
      </c>
    </row>
    <row r="2182">
      <c r="A2182">
        <f>Input!A2182</f>
        <v/>
      </c>
      <c r="B2182">
        <f>IF(ISNUMBER(Input!B2182),IF(AND(Input!B2182&gt;=20,Input!B2182&lt;=700),Input!B2182,""),"")</f>
        <v/>
      </c>
      <c r="C2182">
        <f>IF(B2182="","",INT(A2182))</f>
        <v/>
      </c>
      <c r="D2182">
        <f>IF(B2182="","",HOUR(A2182))</f>
        <v/>
      </c>
    </row>
    <row r="2183">
      <c r="A2183">
        <f>Input!A2183</f>
        <v/>
      </c>
      <c r="B2183">
        <f>IF(ISNUMBER(Input!B2183),IF(AND(Input!B2183&gt;=20,Input!B2183&lt;=700),Input!B2183,""),"")</f>
        <v/>
      </c>
      <c r="C2183">
        <f>IF(B2183="","",INT(A2183))</f>
        <v/>
      </c>
      <c r="D2183">
        <f>IF(B2183="","",HOUR(A2183))</f>
        <v/>
      </c>
    </row>
    <row r="2184">
      <c r="A2184">
        <f>Input!A2184</f>
        <v/>
      </c>
      <c r="B2184">
        <f>IF(ISNUMBER(Input!B2184),IF(AND(Input!B2184&gt;=20,Input!B2184&lt;=700),Input!B2184,""),"")</f>
        <v/>
      </c>
      <c r="C2184">
        <f>IF(B2184="","",INT(A2184))</f>
        <v/>
      </c>
      <c r="D2184">
        <f>IF(B2184="","",HOUR(A2184))</f>
        <v/>
      </c>
    </row>
    <row r="2185">
      <c r="A2185">
        <f>Input!A2185</f>
        <v/>
      </c>
      <c r="B2185">
        <f>IF(ISNUMBER(Input!B2185),IF(AND(Input!B2185&gt;=20,Input!B2185&lt;=700),Input!B2185,""),"")</f>
        <v/>
      </c>
      <c r="C2185">
        <f>IF(B2185="","",INT(A2185))</f>
        <v/>
      </c>
      <c r="D2185">
        <f>IF(B2185="","",HOUR(A2185))</f>
        <v/>
      </c>
    </row>
    <row r="2186">
      <c r="A2186">
        <f>Input!A2186</f>
        <v/>
      </c>
      <c r="B2186">
        <f>IF(ISNUMBER(Input!B2186),IF(AND(Input!B2186&gt;=20,Input!B2186&lt;=700),Input!B2186,""),"")</f>
        <v/>
      </c>
      <c r="C2186">
        <f>IF(B2186="","",INT(A2186))</f>
        <v/>
      </c>
      <c r="D2186">
        <f>IF(B2186="","",HOUR(A2186))</f>
        <v/>
      </c>
    </row>
    <row r="2187">
      <c r="A2187">
        <f>Input!A2187</f>
        <v/>
      </c>
      <c r="B2187">
        <f>IF(ISNUMBER(Input!B2187),IF(AND(Input!B2187&gt;=20,Input!B2187&lt;=700),Input!B2187,""),"")</f>
        <v/>
      </c>
      <c r="C2187">
        <f>IF(B2187="","",INT(A2187))</f>
        <v/>
      </c>
      <c r="D2187">
        <f>IF(B2187="","",HOUR(A2187))</f>
        <v/>
      </c>
    </row>
    <row r="2188">
      <c r="A2188">
        <f>Input!A2188</f>
        <v/>
      </c>
      <c r="B2188">
        <f>IF(ISNUMBER(Input!B2188),IF(AND(Input!B2188&gt;=20,Input!B2188&lt;=700),Input!B2188,""),"")</f>
        <v/>
      </c>
      <c r="C2188">
        <f>IF(B2188="","",INT(A2188))</f>
        <v/>
      </c>
      <c r="D2188">
        <f>IF(B2188="","",HOUR(A2188))</f>
        <v/>
      </c>
    </row>
    <row r="2189">
      <c r="A2189">
        <f>Input!A2189</f>
        <v/>
      </c>
      <c r="B2189">
        <f>IF(ISNUMBER(Input!B2189),IF(AND(Input!B2189&gt;=20,Input!B2189&lt;=700),Input!B2189,""),"")</f>
        <v/>
      </c>
      <c r="C2189">
        <f>IF(B2189="","",INT(A2189))</f>
        <v/>
      </c>
      <c r="D2189">
        <f>IF(B2189="","",HOUR(A2189))</f>
        <v/>
      </c>
    </row>
    <row r="2190">
      <c r="A2190">
        <f>Input!A2190</f>
        <v/>
      </c>
      <c r="B2190">
        <f>IF(ISNUMBER(Input!B2190),IF(AND(Input!B2190&gt;=20,Input!B2190&lt;=700),Input!B2190,""),"")</f>
        <v/>
      </c>
      <c r="C2190">
        <f>IF(B2190="","",INT(A2190))</f>
        <v/>
      </c>
      <c r="D2190">
        <f>IF(B2190="","",HOUR(A2190))</f>
        <v/>
      </c>
    </row>
    <row r="2191">
      <c r="A2191">
        <f>Input!A2191</f>
        <v/>
      </c>
      <c r="B2191">
        <f>IF(ISNUMBER(Input!B2191),IF(AND(Input!B2191&gt;=20,Input!B2191&lt;=700),Input!B2191,""),"")</f>
        <v/>
      </c>
      <c r="C2191">
        <f>IF(B2191="","",INT(A2191))</f>
        <v/>
      </c>
      <c r="D2191">
        <f>IF(B2191="","",HOUR(A2191))</f>
        <v/>
      </c>
    </row>
    <row r="2192">
      <c r="A2192">
        <f>Input!A2192</f>
        <v/>
      </c>
      <c r="B2192">
        <f>IF(ISNUMBER(Input!B2192),IF(AND(Input!B2192&gt;=20,Input!B2192&lt;=700),Input!B2192,""),"")</f>
        <v/>
      </c>
      <c r="C2192">
        <f>IF(B2192="","",INT(A2192))</f>
        <v/>
      </c>
      <c r="D2192">
        <f>IF(B2192="","",HOUR(A2192))</f>
        <v/>
      </c>
    </row>
    <row r="2193">
      <c r="A2193">
        <f>Input!A2193</f>
        <v/>
      </c>
      <c r="B2193">
        <f>IF(ISNUMBER(Input!B2193),IF(AND(Input!B2193&gt;=20,Input!B2193&lt;=700),Input!B2193,""),"")</f>
        <v/>
      </c>
      <c r="C2193">
        <f>IF(B2193="","",INT(A2193))</f>
        <v/>
      </c>
      <c r="D2193">
        <f>IF(B2193="","",HOUR(A2193))</f>
        <v/>
      </c>
    </row>
    <row r="2194">
      <c r="A2194">
        <f>Input!A2194</f>
        <v/>
      </c>
      <c r="B2194">
        <f>IF(ISNUMBER(Input!B2194),IF(AND(Input!B2194&gt;=20,Input!B2194&lt;=700),Input!B2194,""),"")</f>
        <v/>
      </c>
      <c r="C2194">
        <f>IF(B2194="","",INT(A2194))</f>
        <v/>
      </c>
      <c r="D2194">
        <f>IF(B2194="","",HOUR(A2194))</f>
        <v/>
      </c>
    </row>
    <row r="2195">
      <c r="A2195">
        <f>Input!A2195</f>
        <v/>
      </c>
      <c r="B2195">
        <f>IF(ISNUMBER(Input!B2195),IF(AND(Input!B2195&gt;=20,Input!B2195&lt;=700),Input!B2195,""),"")</f>
        <v/>
      </c>
      <c r="C2195">
        <f>IF(B2195="","",INT(A2195))</f>
        <v/>
      </c>
      <c r="D2195">
        <f>IF(B2195="","",HOUR(A2195))</f>
        <v/>
      </c>
    </row>
    <row r="2196">
      <c r="A2196">
        <f>Input!A2196</f>
        <v/>
      </c>
      <c r="B2196">
        <f>IF(ISNUMBER(Input!B2196),IF(AND(Input!B2196&gt;=20,Input!B2196&lt;=700),Input!B2196,""),"")</f>
        <v/>
      </c>
      <c r="C2196">
        <f>IF(B2196="","",INT(A2196))</f>
        <v/>
      </c>
      <c r="D2196">
        <f>IF(B2196="","",HOUR(A2196))</f>
        <v/>
      </c>
    </row>
    <row r="2197">
      <c r="A2197">
        <f>Input!A2197</f>
        <v/>
      </c>
      <c r="B2197">
        <f>IF(ISNUMBER(Input!B2197),IF(AND(Input!B2197&gt;=20,Input!B2197&lt;=700),Input!B2197,""),"")</f>
        <v/>
      </c>
      <c r="C2197">
        <f>IF(B2197="","",INT(A2197))</f>
        <v/>
      </c>
      <c r="D2197">
        <f>IF(B2197="","",HOUR(A2197))</f>
        <v/>
      </c>
    </row>
    <row r="2198">
      <c r="A2198">
        <f>Input!A2198</f>
        <v/>
      </c>
      <c r="B2198">
        <f>IF(ISNUMBER(Input!B2198),IF(AND(Input!B2198&gt;=20,Input!B2198&lt;=700),Input!B2198,""),"")</f>
        <v/>
      </c>
      <c r="C2198">
        <f>IF(B2198="","",INT(A2198))</f>
        <v/>
      </c>
      <c r="D2198">
        <f>IF(B2198="","",HOUR(A2198))</f>
        <v/>
      </c>
    </row>
    <row r="2199">
      <c r="A2199">
        <f>Input!A2199</f>
        <v/>
      </c>
      <c r="B2199">
        <f>IF(ISNUMBER(Input!B2199),IF(AND(Input!B2199&gt;=20,Input!B2199&lt;=700),Input!B2199,""),"")</f>
        <v/>
      </c>
      <c r="C2199">
        <f>IF(B2199="","",INT(A2199))</f>
        <v/>
      </c>
      <c r="D2199">
        <f>IF(B2199="","",HOUR(A2199))</f>
        <v/>
      </c>
    </row>
    <row r="2200">
      <c r="A2200">
        <f>Input!A2200</f>
        <v/>
      </c>
      <c r="B2200">
        <f>IF(ISNUMBER(Input!B2200),IF(AND(Input!B2200&gt;=20,Input!B2200&lt;=700),Input!B2200,""),"")</f>
        <v/>
      </c>
      <c r="C2200">
        <f>IF(B2200="","",INT(A2200))</f>
        <v/>
      </c>
      <c r="D2200">
        <f>IF(B2200="","",HOUR(A2200))</f>
        <v/>
      </c>
    </row>
    <row r="2201">
      <c r="A2201">
        <f>Input!A2201</f>
        <v/>
      </c>
      <c r="B2201">
        <f>IF(ISNUMBER(Input!B2201),IF(AND(Input!B2201&gt;=20,Input!B2201&lt;=700),Input!B2201,""),"")</f>
        <v/>
      </c>
      <c r="C2201">
        <f>IF(B2201="","",INT(A2201))</f>
        <v/>
      </c>
      <c r="D2201">
        <f>IF(B2201="","",HOUR(A2201))</f>
        <v/>
      </c>
    </row>
    <row r="2202">
      <c r="A2202">
        <f>Input!A2202</f>
        <v/>
      </c>
      <c r="B2202">
        <f>IF(ISNUMBER(Input!B2202),IF(AND(Input!B2202&gt;=20,Input!B2202&lt;=700),Input!B2202,""),"")</f>
        <v/>
      </c>
      <c r="C2202">
        <f>IF(B2202="","",INT(A2202))</f>
        <v/>
      </c>
      <c r="D2202">
        <f>IF(B2202="","",HOUR(A2202))</f>
        <v/>
      </c>
    </row>
    <row r="2203">
      <c r="A2203">
        <f>Input!A2203</f>
        <v/>
      </c>
      <c r="B2203">
        <f>IF(ISNUMBER(Input!B2203),IF(AND(Input!B2203&gt;=20,Input!B2203&lt;=700),Input!B2203,""),"")</f>
        <v/>
      </c>
      <c r="C2203">
        <f>IF(B2203="","",INT(A2203))</f>
        <v/>
      </c>
      <c r="D2203">
        <f>IF(B2203="","",HOUR(A2203))</f>
        <v/>
      </c>
    </row>
    <row r="2204">
      <c r="A2204">
        <f>Input!A2204</f>
        <v/>
      </c>
      <c r="B2204">
        <f>IF(ISNUMBER(Input!B2204),IF(AND(Input!B2204&gt;=20,Input!B2204&lt;=700),Input!B2204,""),"")</f>
        <v/>
      </c>
      <c r="C2204">
        <f>IF(B2204="","",INT(A2204))</f>
        <v/>
      </c>
      <c r="D2204">
        <f>IF(B2204="","",HOUR(A2204))</f>
        <v/>
      </c>
    </row>
    <row r="2205">
      <c r="A2205">
        <f>Input!A2205</f>
        <v/>
      </c>
      <c r="B2205">
        <f>IF(ISNUMBER(Input!B2205),IF(AND(Input!B2205&gt;=20,Input!B2205&lt;=700),Input!B2205,""),"")</f>
        <v/>
      </c>
      <c r="C2205">
        <f>IF(B2205="","",INT(A2205))</f>
        <v/>
      </c>
      <c r="D2205">
        <f>IF(B2205="","",HOUR(A2205))</f>
        <v/>
      </c>
    </row>
    <row r="2206">
      <c r="A2206">
        <f>Input!A2206</f>
        <v/>
      </c>
      <c r="B2206">
        <f>IF(ISNUMBER(Input!B2206),IF(AND(Input!B2206&gt;=20,Input!B2206&lt;=700),Input!B2206,""),"")</f>
        <v/>
      </c>
      <c r="C2206">
        <f>IF(B2206="","",INT(A2206))</f>
        <v/>
      </c>
      <c r="D2206">
        <f>IF(B2206="","",HOUR(A2206))</f>
        <v/>
      </c>
    </row>
    <row r="2207">
      <c r="A2207">
        <f>Input!A2207</f>
        <v/>
      </c>
      <c r="B2207">
        <f>IF(ISNUMBER(Input!B2207),IF(AND(Input!B2207&gt;=20,Input!B2207&lt;=700),Input!B2207,""),"")</f>
        <v/>
      </c>
      <c r="C2207">
        <f>IF(B2207="","",INT(A2207))</f>
        <v/>
      </c>
      <c r="D2207">
        <f>IF(B2207="","",HOUR(A2207))</f>
        <v/>
      </c>
    </row>
    <row r="2208">
      <c r="A2208">
        <f>Input!A2208</f>
        <v/>
      </c>
      <c r="B2208">
        <f>IF(ISNUMBER(Input!B2208),IF(AND(Input!B2208&gt;=20,Input!B2208&lt;=700),Input!B2208,""),"")</f>
        <v/>
      </c>
      <c r="C2208">
        <f>IF(B2208="","",INT(A2208))</f>
        <v/>
      </c>
      <c r="D2208">
        <f>IF(B2208="","",HOUR(A2208))</f>
        <v/>
      </c>
    </row>
    <row r="2209">
      <c r="A2209">
        <f>Input!A2209</f>
        <v/>
      </c>
      <c r="B2209">
        <f>IF(ISNUMBER(Input!B2209),IF(AND(Input!B2209&gt;=20,Input!B2209&lt;=700),Input!B2209,""),"")</f>
        <v/>
      </c>
      <c r="C2209">
        <f>IF(B2209="","",INT(A2209))</f>
        <v/>
      </c>
      <c r="D2209">
        <f>IF(B2209="","",HOUR(A2209))</f>
        <v/>
      </c>
    </row>
    <row r="2210">
      <c r="A2210">
        <f>Input!A2210</f>
        <v/>
      </c>
      <c r="B2210">
        <f>IF(ISNUMBER(Input!B2210),IF(AND(Input!B2210&gt;=20,Input!B2210&lt;=700),Input!B2210,""),"")</f>
        <v/>
      </c>
      <c r="C2210">
        <f>IF(B2210="","",INT(A2210))</f>
        <v/>
      </c>
      <c r="D2210">
        <f>IF(B2210="","",HOUR(A2210))</f>
        <v/>
      </c>
    </row>
    <row r="2211">
      <c r="A2211">
        <f>Input!A2211</f>
        <v/>
      </c>
      <c r="B2211">
        <f>IF(ISNUMBER(Input!B2211),IF(AND(Input!B2211&gt;=20,Input!B2211&lt;=700),Input!B2211,""),"")</f>
        <v/>
      </c>
      <c r="C2211">
        <f>IF(B2211="","",INT(A2211))</f>
        <v/>
      </c>
      <c r="D2211">
        <f>IF(B2211="","",HOUR(A2211))</f>
        <v/>
      </c>
    </row>
    <row r="2212">
      <c r="A2212">
        <f>Input!A2212</f>
        <v/>
      </c>
      <c r="B2212">
        <f>IF(ISNUMBER(Input!B2212),IF(AND(Input!B2212&gt;=20,Input!B2212&lt;=700),Input!B2212,""),"")</f>
        <v/>
      </c>
      <c r="C2212">
        <f>IF(B2212="","",INT(A2212))</f>
        <v/>
      </c>
      <c r="D2212">
        <f>IF(B2212="","",HOUR(A2212))</f>
        <v/>
      </c>
    </row>
    <row r="2213">
      <c r="A2213">
        <f>Input!A2213</f>
        <v/>
      </c>
      <c r="B2213">
        <f>IF(ISNUMBER(Input!B2213),IF(AND(Input!B2213&gt;=20,Input!B2213&lt;=700),Input!B2213,""),"")</f>
        <v/>
      </c>
      <c r="C2213">
        <f>IF(B2213="","",INT(A2213))</f>
        <v/>
      </c>
      <c r="D2213">
        <f>IF(B2213="","",HOUR(A2213))</f>
        <v/>
      </c>
    </row>
    <row r="2214">
      <c r="A2214">
        <f>Input!A2214</f>
        <v/>
      </c>
      <c r="B2214">
        <f>IF(ISNUMBER(Input!B2214),IF(AND(Input!B2214&gt;=20,Input!B2214&lt;=700),Input!B2214,""),"")</f>
        <v/>
      </c>
      <c r="C2214">
        <f>IF(B2214="","",INT(A2214))</f>
        <v/>
      </c>
      <c r="D2214">
        <f>IF(B2214="","",HOUR(A2214))</f>
        <v/>
      </c>
    </row>
    <row r="2215">
      <c r="A2215">
        <f>Input!A2215</f>
        <v/>
      </c>
      <c r="B2215">
        <f>IF(ISNUMBER(Input!B2215),IF(AND(Input!B2215&gt;=20,Input!B2215&lt;=700),Input!B2215,""),"")</f>
        <v/>
      </c>
      <c r="C2215">
        <f>IF(B2215="","",INT(A2215))</f>
        <v/>
      </c>
      <c r="D2215">
        <f>IF(B2215="","",HOUR(A2215))</f>
        <v/>
      </c>
    </row>
    <row r="2216">
      <c r="A2216">
        <f>Input!A2216</f>
        <v/>
      </c>
      <c r="B2216">
        <f>IF(ISNUMBER(Input!B2216),IF(AND(Input!B2216&gt;=20,Input!B2216&lt;=700),Input!B2216,""),"")</f>
        <v/>
      </c>
      <c r="C2216">
        <f>IF(B2216="","",INT(A2216))</f>
        <v/>
      </c>
      <c r="D2216">
        <f>IF(B2216="","",HOUR(A2216))</f>
        <v/>
      </c>
    </row>
    <row r="2217">
      <c r="A2217">
        <f>Input!A2217</f>
        <v/>
      </c>
      <c r="B2217">
        <f>IF(ISNUMBER(Input!B2217),IF(AND(Input!B2217&gt;=20,Input!B2217&lt;=700),Input!B2217,""),"")</f>
        <v/>
      </c>
      <c r="C2217">
        <f>IF(B2217="","",INT(A2217))</f>
        <v/>
      </c>
      <c r="D2217">
        <f>IF(B2217="","",HOUR(A2217))</f>
        <v/>
      </c>
    </row>
    <row r="2218">
      <c r="A2218">
        <f>Input!A2218</f>
        <v/>
      </c>
      <c r="B2218">
        <f>IF(ISNUMBER(Input!B2218),IF(AND(Input!B2218&gt;=20,Input!B2218&lt;=700),Input!B2218,""),"")</f>
        <v/>
      </c>
      <c r="C2218">
        <f>IF(B2218="","",INT(A2218))</f>
        <v/>
      </c>
      <c r="D2218">
        <f>IF(B2218="","",HOUR(A2218))</f>
        <v/>
      </c>
    </row>
    <row r="2219">
      <c r="A2219">
        <f>Input!A2219</f>
        <v/>
      </c>
      <c r="B2219">
        <f>IF(ISNUMBER(Input!B2219),IF(AND(Input!B2219&gt;=20,Input!B2219&lt;=700),Input!B2219,""),"")</f>
        <v/>
      </c>
      <c r="C2219">
        <f>IF(B2219="","",INT(A2219))</f>
        <v/>
      </c>
      <c r="D2219">
        <f>IF(B2219="","",HOUR(A2219))</f>
        <v/>
      </c>
    </row>
    <row r="2220">
      <c r="A2220">
        <f>Input!A2220</f>
        <v/>
      </c>
      <c r="B2220">
        <f>IF(ISNUMBER(Input!B2220),IF(AND(Input!B2220&gt;=20,Input!B2220&lt;=700),Input!B2220,""),"")</f>
        <v/>
      </c>
      <c r="C2220">
        <f>IF(B2220="","",INT(A2220))</f>
        <v/>
      </c>
      <c r="D2220">
        <f>IF(B2220="","",HOUR(A2220))</f>
        <v/>
      </c>
    </row>
    <row r="2221">
      <c r="A2221">
        <f>Input!A2221</f>
        <v/>
      </c>
      <c r="B2221">
        <f>IF(ISNUMBER(Input!B2221),IF(AND(Input!B2221&gt;=20,Input!B2221&lt;=700),Input!B2221,""),"")</f>
        <v/>
      </c>
      <c r="C2221">
        <f>IF(B2221="","",INT(A2221))</f>
        <v/>
      </c>
      <c r="D2221">
        <f>IF(B2221="","",HOUR(A2221))</f>
        <v/>
      </c>
    </row>
    <row r="2222">
      <c r="A2222">
        <f>Input!A2222</f>
        <v/>
      </c>
      <c r="B2222">
        <f>IF(ISNUMBER(Input!B2222),IF(AND(Input!B2222&gt;=20,Input!B2222&lt;=700),Input!B2222,""),"")</f>
        <v/>
      </c>
      <c r="C2222">
        <f>IF(B2222="","",INT(A2222))</f>
        <v/>
      </c>
      <c r="D2222">
        <f>IF(B2222="","",HOUR(A2222))</f>
        <v/>
      </c>
    </row>
    <row r="2223">
      <c r="A2223">
        <f>Input!A2223</f>
        <v/>
      </c>
      <c r="B2223">
        <f>IF(ISNUMBER(Input!B2223),IF(AND(Input!B2223&gt;=20,Input!B2223&lt;=700),Input!B2223,""),"")</f>
        <v/>
      </c>
      <c r="C2223">
        <f>IF(B2223="","",INT(A2223))</f>
        <v/>
      </c>
      <c r="D2223">
        <f>IF(B2223="","",HOUR(A2223))</f>
        <v/>
      </c>
    </row>
    <row r="2224">
      <c r="A2224">
        <f>Input!A2224</f>
        <v/>
      </c>
      <c r="B2224">
        <f>IF(ISNUMBER(Input!B2224),IF(AND(Input!B2224&gt;=20,Input!B2224&lt;=700),Input!B2224,""),"")</f>
        <v/>
      </c>
      <c r="C2224">
        <f>IF(B2224="","",INT(A2224))</f>
        <v/>
      </c>
      <c r="D2224">
        <f>IF(B2224="","",HOUR(A2224))</f>
        <v/>
      </c>
    </row>
    <row r="2225">
      <c r="A2225">
        <f>Input!A2225</f>
        <v/>
      </c>
      <c r="B2225">
        <f>IF(ISNUMBER(Input!B2225),IF(AND(Input!B2225&gt;=20,Input!B2225&lt;=700),Input!B2225,""),"")</f>
        <v/>
      </c>
      <c r="C2225">
        <f>IF(B2225="","",INT(A2225))</f>
        <v/>
      </c>
      <c r="D2225">
        <f>IF(B2225="","",HOUR(A2225))</f>
        <v/>
      </c>
    </row>
    <row r="2226">
      <c r="A2226">
        <f>Input!A2226</f>
        <v/>
      </c>
      <c r="B2226">
        <f>IF(ISNUMBER(Input!B2226),IF(AND(Input!B2226&gt;=20,Input!B2226&lt;=700),Input!B2226,""),"")</f>
        <v/>
      </c>
      <c r="C2226">
        <f>IF(B2226="","",INT(A2226))</f>
        <v/>
      </c>
      <c r="D2226">
        <f>IF(B2226="","",HOUR(A2226))</f>
        <v/>
      </c>
    </row>
    <row r="2227">
      <c r="A2227">
        <f>Input!A2227</f>
        <v/>
      </c>
      <c r="B2227">
        <f>IF(ISNUMBER(Input!B2227),IF(AND(Input!B2227&gt;=20,Input!B2227&lt;=700),Input!B2227,""),"")</f>
        <v/>
      </c>
      <c r="C2227">
        <f>IF(B2227="","",INT(A2227))</f>
        <v/>
      </c>
      <c r="D2227">
        <f>IF(B2227="","",HOUR(A2227))</f>
        <v/>
      </c>
    </row>
    <row r="2228">
      <c r="A2228">
        <f>Input!A2228</f>
        <v/>
      </c>
      <c r="B2228">
        <f>IF(ISNUMBER(Input!B2228),IF(AND(Input!B2228&gt;=20,Input!B2228&lt;=700),Input!B2228,""),"")</f>
        <v/>
      </c>
      <c r="C2228">
        <f>IF(B2228="","",INT(A2228))</f>
        <v/>
      </c>
      <c r="D2228">
        <f>IF(B2228="","",HOUR(A2228))</f>
        <v/>
      </c>
    </row>
    <row r="2229">
      <c r="A2229">
        <f>Input!A2229</f>
        <v/>
      </c>
      <c r="B2229">
        <f>IF(ISNUMBER(Input!B2229),IF(AND(Input!B2229&gt;=20,Input!B2229&lt;=700),Input!B2229,""),"")</f>
        <v/>
      </c>
      <c r="C2229">
        <f>IF(B2229="","",INT(A2229))</f>
        <v/>
      </c>
      <c r="D2229">
        <f>IF(B2229="","",HOUR(A2229))</f>
        <v/>
      </c>
    </row>
    <row r="2230">
      <c r="A2230">
        <f>Input!A2230</f>
        <v/>
      </c>
      <c r="B2230">
        <f>IF(ISNUMBER(Input!B2230),IF(AND(Input!B2230&gt;=20,Input!B2230&lt;=700),Input!B2230,""),"")</f>
        <v/>
      </c>
      <c r="C2230">
        <f>IF(B2230="","",INT(A2230))</f>
        <v/>
      </c>
      <c r="D2230">
        <f>IF(B2230="","",HOUR(A2230))</f>
        <v/>
      </c>
    </row>
    <row r="2231">
      <c r="A2231">
        <f>Input!A2231</f>
        <v/>
      </c>
      <c r="B2231">
        <f>IF(ISNUMBER(Input!B2231),IF(AND(Input!B2231&gt;=20,Input!B2231&lt;=700),Input!B2231,""),"")</f>
        <v/>
      </c>
      <c r="C2231">
        <f>IF(B2231="","",INT(A2231))</f>
        <v/>
      </c>
      <c r="D2231">
        <f>IF(B2231="","",HOUR(A2231))</f>
        <v/>
      </c>
    </row>
    <row r="2232">
      <c r="A2232">
        <f>Input!A2232</f>
        <v/>
      </c>
      <c r="B2232">
        <f>IF(ISNUMBER(Input!B2232),IF(AND(Input!B2232&gt;=20,Input!B2232&lt;=700),Input!B2232,""),"")</f>
        <v/>
      </c>
      <c r="C2232">
        <f>IF(B2232="","",INT(A2232))</f>
        <v/>
      </c>
      <c r="D2232">
        <f>IF(B2232="","",HOUR(A2232))</f>
        <v/>
      </c>
    </row>
    <row r="2233">
      <c r="A2233">
        <f>Input!A2233</f>
        <v/>
      </c>
      <c r="B2233">
        <f>IF(ISNUMBER(Input!B2233),IF(AND(Input!B2233&gt;=20,Input!B2233&lt;=700),Input!B2233,""),"")</f>
        <v/>
      </c>
      <c r="C2233">
        <f>IF(B2233="","",INT(A2233))</f>
        <v/>
      </c>
      <c r="D2233">
        <f>IF(B2233="","",HOUR(A2233))</f>
        <v/>
      </c>
    </row>
    <row r="2234">
      <c r="A2234">
        <f>Input!A2234</f>
        <v/>
      </c>
      <c r="B2234">
        <f>IF(ISNUMBER(Input!B2234),IF(AND(Input!B2234&gt;=20,Input!B2234&lt;=700),Input!B2234,""),"")</f>
        <v/>
      </c>
      <c r="C2234">
        <f>IF(B2234="","",INT(A2234))</f>
        <v/>
      </c>
      <c r="D2234">
        <f>IF(B2234="","",HOUR(A2234))</f>
        <v/>
      </c>
    </row>
    <row r="2235">
      <c r="A2235">
        <f>Input!A2235</f>
        <v/>
      </c>
      <c r="B2235">
        <f>IF(ISNUMBER(Input!B2235),IF(AND(Input!B2235&gt;=20,Input!B2235&lt;=700),Input!B2235,""),"")</f>
        <v/>
      </c>
      <c r="C2235">
        <f>IF(B2235="","",INT(A2235))</f>
        <v/>
      </c>
      <c r="D2235">
        <f>IF(B2235="","",HOUR(A2235))</f>
        <v/>
      </c>
    </row>
    <row r="2236">
      <c r="A2236">
        <f>Input!A2236</f>
        <v/>
      </c>
      <c r="B2236">
        <f>IF(ISNUMBER(Input!B2236),IF(AND(Input!B2236&gt;=20,Input!B2236&lt;=700),Input!B2236,""),"")</f>
        <v/>
      </c>
      <c r="C2236">
        <f>IF(B2236="","",INT(A2236))</f>
        <v/>
      </c>
      <c r="D2236">
        <f>IF(B2236="","",HOUR(A2236))</f>
        <v/>
      </c>
    </row>
    <row r="2237">
      <c r="A2237">
        <f>Input!A2237</f>
        <v/>
      </c>
      <c r="B2237">
        <f>IF(ISNUMBER(Input!B2237),IF(AND(Input!B2237&gt;=20,Input!B2237&lt;=700),Input!B2237,""),"")</f>
        <v/>
      </c>
      <c r="C2237">
        <f>IF(B2237="","",INT(A2237))</f>
        <v/>
      </c>
      <c r="D2237">
        <f>IF(B2237="","",HOUR(A2237))</f>
        <v/>
      </c>
    </row>
    <row r="2238">
      <c r="A2238">
        <f>Input!A2238</f>
        <v/>
      </c>
      <c r="B2238">
        <f>IF(ISNUMBER(Input!B2238),IF(AND(Input!B2238&gt;=20,Input!B2238&lt;=700),Input!B2238,""),"")</f>
        <v/>
      </c>
      <c r="C2238">
        <f>IF(B2238="","",INT(A2238))</f>
        <v/>
      </c>
      <c r="D2238">
        <f>IF(B2238="","",HOUR(A2238))</f>
        <v/>
      </c>
    </row>
    <row r="2239">
      <c r="A2239">
        <f>Input!A2239</f>
        <v/>
      </c>
      <c r="B2239">
        <f>IF(ISNUMBER(Input!B2239),IF(AND(Input!B2239&gt;=20,Input!B2239&lt;=700),Input!B2239,""),"")</f>
        <v/>
      </c>
      <c r="C2239">
        <f>IF(B2239="","",INT(A2239))</f>
        <v/>
      </c>
      <c r="D2239">
        <f>IF(B2239="","",HOUR(A2239))</f>
        <v/>
      </c>
    </row>
    <row r="2240">
      <c r="A2240">
        <f>Input!A2240</f>
        <v/>
      </c>
      <c r="B2240">
        <f>IF(ISNUMBER(Input!B2240),IF(AND(Input!B2240&gt;=20,Input!B2240&lt;=700),Input!B2240,""),"")</f>
        <v/>
      </c>
      <c r="C2240">
        <f>IF(B2240="","",INT(A2240))</f>
        <v/>
      </c>
      <c r="D2240">
        <f>IF(B2240="","",HOUR(A2240))</f>
        <v/>
      </c>
    </row>
    <row r="2241">
      <c r="A2241">
        <f>Input!A2241</f>
        <v/>
      </c>
      <c r="B2241">
        <f>IF(ISNUMBER(Input!B2241),IF(AND(Input!B2241&gt;=20,Input!B2241&lt;=700),Input!B2241,""),"")</f>
        <v/>
      </c>
      <c r="C2241">
        <f>IF(B2241="","",INT(A2241))</f>
        <v/>
      </c>
      <c r="D2241">
        <f>IF(B2241="","",HOUR(A2241))</f>
        <v/>
      </c>
    </row>
    <row r="2242">
      <c r="A2242">
        <f>Input!A2242</f>
        <v/>
      </c>
      <c r="B2242">
        <f>IF(ISNUMBER(Input!B2242),IF(AND(Input!B2242&gt;=20,Input!B2242&lt;=700),Input!B2242,""),"")</f>
        <v/>
      </c>
      <c r="C2242">
        <f>IF(B2242="","",INT(A2242))</f>
        <v/>
      </c>
      <c r="D2242">
        <f>IF(B2242="","",HOUR(A2242))</f>
        <v/>
      </c>
    </row>
    <row r="2243">
      <c r="A2243">
        <f>Input!A2243</f>
        <v/>
      </c>
      <c r="B2243">
        <f>IF(ISNUMBER(Input!B2243),IF(AND(Input!B2243&gt;=20,Input!B2243&lt;=700),Input!B2243,""),"")</f>
        <v/>
      </c>
      <c r="C2243">
        <f>IF(B2243="","",INT(A2243))</f>
        <v/>
      </c>
      <c r="D2243">
        <f>IF(B2243="","",HOUR(A2243))</f>
        <v/>
      </c>
    </row>
    <row r="2244">
      <c r="A2244">
        <f>Input!A2244</f>
        <v/>
      </c>
      <c r="B2244">
        <f>IF(ISNUMBER(Input!B2244),IF(AND(Input!B2244&gt;=20,Input!B2244&lt;=700),Input!B2244,""),"")</f>
        <v/>
      </c>
      <c r="C2244">
        <f>IF(B2244="","",INT(A2244))</f>
        <v/>
      </c>
      <c r="D2244">
        <f>IF(B2244="","",HOUR(A2244))</f>
        <v/>
      </c>
    </row>
    <row r="2245">
      <c r="A2245">
        <f>Input!A2245</f>
        <v/>
      </c>
      <c r="B2245">
        <f>IF(ISNUMBER(Input!B2245),IF(AND(Input!B2245&gt;=20,Input!B2245&lt;=700),Input!B2245,""),"")</f>
        <v/>
      </c>
      <c r="C2245">
        <f>IF(B2245="","",INT(A2245))</f>
        <v/>
      </c>
      <c r="D2245">
        <f>IF(B2245="","",HOUR(A2245))</f>
        <v/>
      </c>
    </row>
    <row r="2246">
      <c r="A2246">
        <f>Input!A2246</f>
        <v/>
      </c>
      <c r="B2246">
        <f>IF(ISNUMBER(Input!B2246),IF(AND(Input!B2246&gt;=20,Input!B2246&lt;=700),Input!B2246,""),"")</f>
        <v/>
      </c>
      <c r="C2246">
        <f>IF(B2246="","",INT(A2246))</f>
        <v/>
      </c>
      <c r="D2246">
        <f>IF(B2246="","",HOUR(A2246))</f>
        <v/>
      </c>
    </row>
    <row r="2247">
      <c r="A2247">
        <f>Input!A2247</f>
        <v/>
      </c>
      <c r="B2247">
        <f>IF(ISNUMBER(Input!B2247),IF(AND(Input!B2247&gt;=20,Input!B2247&lt;=700),Input!B2247,""),"")</f>
        <v/>
      </c>
      <c r="C2247">
        <f>IF(B2247="","",INT(A2247))</f>
        <v/>
      </c>
      <c r="D2247">
        <f>IF(B2247="","",HOUR(A2247))</f>
        <v/>
      </c>
    </row>
    <row r="2248">
      <c r="A2248">
        <f>Input!A2248</f>
        <v/>
      </c>
      <c r="B2248">
        <f>IF(ISNUMBER(Input!B2248),IF(AND(Input!B2248&gt;=20,Input!B2248&lt;=700),Input!B2248,""),"")</f>
        <v/>
      </c>
      <c r="C2248">
        <f>IF(B2248="","",INT(A2248))</f>
        <v/>
      </c>
      <c r="D2248">
        <f>IF(B2248="","",HOUR(A2248))</f>
        <v/>
      </c>
    </row>
    <row r="2249">
      <c r="A2249">
        <f>Input!A2249</f>
        <v/>
      </c>
      <c r="B2249">
        <f>IF(ISNUMBER(Input!B2249),IF(AND(Input!B2249&gt;=20,Input!B2249&lt;=700),Input!B2249,""),"")</f>
        <v/>
      </c>
      <c r="C2249">
        <f>IF(B2249="","",INT(A2249))</f>
        <v/>
      </c>
      <c r="D2249">
        <f>IF(B2249="","",HOUR(A2249))</f>
        <v/>
      </c>
    </row>
    <row r="2250">
      <c r="A2250">
        <f>Input!A2250</f>
        <v/>
      </c>
      <c r="B2250">
        <f>IF(ISNUMBER(Input!B2250),IF(AND(Input!B2250&gt;=20,Input!B2250&lt;=700),Input!B2250,""),"")</f>
        <v/>
      </c>
      <c r="C2250">
        <f>IF(B2250="","",INT(A2250))</f>
        <v/>
      </c>
      <c r="D2250">
        <f>IF(B2250="","",HOUR(A2250))</f>
        <v/>
      </c>
    </row>
    <row r="2251">
      <c r="A2251">
        <f>Input!A2251</f>
        <v/>
      </c>
      <c r="B2251">
        <f>IF(ISNUMBER(Input!B2251),IF(AND(Input!B2251&gt;=20,Input!B2251&lt;=700),Input!B2251,""),"")</f>
        <v/>
      </c>
      <c r="C2251">
        <f>IF(B2251="","",INT(A2251))</f>
        <v/>
      </c>
      <c r="D2251">
        <f>IF(B2251="","",HOUR(A2251))</f>
        <v/>
      </c>
    </row>
    <row r="2252">
      <c r="A2252">
        <f>Input!A2252</f>
        <v/>
      </c>
      <c r="B2252">
        <f>IF(ISNUMBER(Input!B2252),IF(AND(Input!B2252&gt;=20,Input!B2252&lt;=700),Input!B2252,""),"")</f>
        <v/>
      </c>
      <c r="C2252">
        <f>IF(B2252="","",INT(A2252))</f>
        <v/>
      </c>
      <c r="D2252">
        <f>IF(B2252="","",HOUR(A2252))</f>
        <v/>
      </c>
    </row>
    <row r="2253">
      <c r="A2253">
        <f>Input!A2253</f>
        <v/>
      </c>
      <c r="B2253">
        <f>IF(ISNUMBER(Input!B2253),IF(AND(Input!B2253&gt;=20,Input!B2253&lt;=700),Input!B2253,""),"")</f>
        <v/>
      </c>
      <c r="C2253">
        <f>IF(B2253="","",INT(A2253))</f>
        <v/>
      </c>
      <c r="D2253">
        <f>IF(B2253="","",HOUR(A2253))</f>
        <v/>
      </c>
    </row>
    <row r="2254">
      <c r="A2254">
        <f>Input!A2254</f>
        <v/>
      </c>
      <c r="B2254">
        <f>IF(ISNUMBER(Input!B2254),IF(AND(Input!B2254&gt;=20,Input!B2254&lt;=700),Input!B2254,""),"")</f>
        <v/>
      </c>
      <c r="C2254">
        <f>IF(B2254="","",INT(A2254))</f>
        <v/>
      </c>
      <c r="D2254">
        <f>IF(B2254="","",HOUR(A2254))</f>
        <v/>
      </c>
    </row>
    <row r="2255">
      <c r="A2255">
        <f>Input!A2255</f>
        <v/>
      </c>
      <c r="B2255">
        <f>IF(ISNUMBER(Input!B2255),IF(AND(Input!B2255&gt;=20,Input!B2255&lt;=700),Input!B2255,""),"")</f>
        <v/>
      </c>
      <c r="C2255">
        <f>IF(B2255="","",INT(A2255))</f>
        <v/>
      </c>
      <c r="D2255">
        <f>IF(B2255="","",HOUR(A2255))</f>
        <v/>
      </c>
    </row>
    <row r="2256">
      <c r="A2256">
        <f>Input!A2256</f>
        <v/>
      </c>
      <c r="B2256">
        <f>IF(ISNUMBER(Input!B2256),IF(AND(Input!B2256&gt;=20,Input!B2256&lt;=700),Input!B2256,""),"")</f>
        <v/>
      </c>
      <c r="C2256">
        <f>IF(B2256="","",INT(A2256))</f>
        <v/>
      </c>
      <c r="D2256">
        <f>IF(B2256="","",HOUR(A2256))</f>
        <v/>
      </c>
    </row>
    <row r="2257">
      <c r="A2257">
        <f>Input!A2257</f>
        <v/>
      </c>
      <c r="B2257">
        <f>IF(ISNUMBER(Input!B2257),IF(AND(Input!B2257&gt;=20,Input!B2257&lt;=700),Input!B2257,""),"")</f>
        <v/>
      </c>
      <c r="C2257">
        <f>IF(B2257="","",INT(A2257))</f>
        <v/>
      </c>
      <c r="D2257">
        <f>IF(B2257="","",HOUR(A2257))</f>
        <v/>
      </c>
    </row>
    <row r="2258">
      <c r="A2258">
        <f>Input!A2258</f>
        <v/>
      </c>
      <c r="B2258">
        <f>IF(ISNUMBER(Input!B2258),IF(AND(Input!B2258&gt;=20,Input!B2258&lt;=700),Input!B2258,""),"")</f>
        <v/>
      </c>
      <c r="C2258">
        <f>IF(B2258="","",INT(A2258))</f>
        <v/>
      </c>
      <c r="D2258">
        <f>IF(B2258="","",HOUR(A2258))</f>
        <v/>
      </c>
    </row>
    <row r="2259">
      <c r="A2259">
        <f>Input!A2259</f>
        <v/>
      </c>
      <c r="B2259">
        <f>IF(ISNUMBER(Input!B2259),IF(AND(Input!B2259&gt;=20,Input!B2259&lt;=700),Input!B2259,""),"")</f>
        <v/>
      </c>
      <c r="C2259">
        <f>IF(B2259="","",INT(A2259))</f>
        <v/>
      </c>
      <c r="D2259">
        <f>IF(B2259="","",HOUR(A2259))</f>
        <v/>
      </c>
    </row>
    <row r="2260">
      <c r="A2260">
        <f>Input!A2260</f>
        <v/>
      </c>
      <c r="B2260">
        <f>IF(ISNUMBER(Input!B2260),IF(AND(Input!B2260&gt;=20,Input!B2260&lt;=700),Input!B2260,""),"")</f>
        <v/>
      </c>
      <c r="C2260">
        <f>IF(B2260="","",INT(A2260))</f>
        <v/>
      </c>
      <c r="D2260">
        <f>IF(B2260="","",HOUR(A2260))</f>
        <v/>
      </c>
    </row>
    <row r="2261">
      <c r="A2261">
        <f>Input!A2261</f>
        <v/>
      </c>
      <c r="B2261">
        <f>IF(ISNUMBER(Input!B2261),IF(AND(Input!B2261&gt;=20,Input!B2261&lt;=700),Input!B2261,""),"")</f>
        <v/>
      </c>
      <c r="C2261">
        <f>IF(B2261="","",INT(A2261))</f>
        <v/>
      </c>
      <c r="D2261">
        <f>IF(B2261="","",HOUR(A2261))</f>
        <v/>
      </c>
    </row>
    <row r="2262">
      <c r="A2262">
        <f>Input!A2262</f>
        <v/>
      </c>
      <c r="B2262">
        <f>IF(ISNUMBER(Input!B2262),IF(AND(Input!B2262&gt;=20,Input!B2262&lt;=700),Input!B2262,""),"")</f>
        <v/>
      </c>
      <c r="C2262">
        <f>IF(B2262="","",INT(A2262))</f>
        <v/>
      </c>
      <c r="D2262">
        <f>IF(B2262="","",HOUR(A2262))</f>
        <v/>
      </c>
    </row>
    <row r="2263">
      <c r="A2263">
        <f>Input!A2263</f>
        <v/>
      </c>
      <c r="B2263">
        <f>IF(ISNUMBER(Input!B2263),IF(AND(Input!B2263&gt;=20,Input!B2263&lt;=700),Input!B2263,""),"")</f>
        <v/>
      </c>
      <c r="C2263">
        <f>IF(B2263="","",INT(A2263))</f>
        <v/>
      </c>
      <c r="D2263">
        <f>IF(B2263="","",HOUR(A2263))</f>
        <v/>
      </c>
    </row>
    <row r="2264">
      <c r="A2264">
        <f>Input!A2264</f>
        <v/>
      </c>
      <c r="B2264">
        <f>IF(ISNUMBER(Input!B2264),IF(AND(Input!B2264&gt;=20,Input!B2264&lt;=700),Input!B2264,""),"")</f>
        <v/>
      </c>
      <c r="C2264">
        <f>IF(B2264="","",INT(A2264))</f>
        <v/>
      </c>
      <c r="D2264">
        <f>IF(B2264="","",HOUR(A2264))</f>
        <v/>
      </c>
    </row>
    <row r="2265">
      <c r="A2265">
        <f>Input!A2265</f>
        <v/>
      </c>
      <c r="B2265">
        <f>IF(ISNUMBER(Input!B2265),IF(AND(Input!B2265&gt;=20,Input!B2265&lt;=700),Input!B2265,""),"")</f>
        <v/>
      </c>
      <c r="C2265">
        <f>IF(B2265="","",INT(A2265))</f>
        <v/>
      </c>
      <c r="D2265">
        <f>IF(B2265="","",HOUR(A2265))</f>
        <v/>
      </c>
    </row>
    <row r="2266">
      <c r="A2266">
        <f>Input!A2266</f>
        <v/>
      </c>
      <c r="B2266">
        <f>IF(ISNUMBER(Input!B2266),IF(AND(Input!B2266&gt;=20,Input!B2266&lt;=700),Input!B2266,""),"")</f>
        <v/>
      </c>
      <c r="C2266">
        <f>IF(B2266="","",INT(A2266))</f>
        <v/>
      </c>
      <c r="D2266">
        <f>IF(B2266="","",HOUR(A2266))</f>
        <v/>
      </c>
    </row>
    <row r="2267">
      <c r="A2267">
        <f>Input!A2267</f>
        <v/>
      </c>
      <c r="B2267">
        <f>IF(ISNUMBER(Input!B2267),IF(AND(Input!B2267&gt;=20,Input!B2267&lt;=700),Input!B2267,""),"")</f>
        <v/>
      </c>
      <c r="C2267">
        <f>IF(B2267="","",INT(A2267))</f>
        <v/>
      </c>
      <c r="D2267">
        <f>IF(B2267="","",HOUR(A2267))</f>
        <v/>
      </c>
    </row>
    <row r="2268">
      <c r="A2268">
        <f>Input!A2268</f>
        <v/>
      </c>
      <c r="B2268">
        <f>IF(ISNUMBER(Input!B2268),IF(AND(Input!B2268&gt;=20,Input!B2268&lt;=700),Input!B2268,""),"")</f>
        <v/>
      </c>
      <c r="C2268">
        <f>IF(B2268="","",INT(A2268))</f>
        <v/>
      </c>
      <c r="D2268">
        <f>IF(B2268="","",HOUR(A2268))</f>
        <v/>
      </c>
    </row>
    <row r="2269">
      <c r="A2269">
        <f>Input!A2269</f>
        <v/>
      </c>
      <c r="B2269">
        <f>IF(ISNUMBER(Input!B2269),IF(AND(Input!B2269&gt;=20,Input!B2269&lt;=700),Input!B2269,""),"")</f>
        <v/>
      </c>
      <c r="C2269">
        <f>IF(B2269="","",INT(A2269))</f>
        <v/>
      </c>
      <c r="D2269">
        <f>IF(B2269="","",HOUR(A2269))</f>
        <v/>
      </c>
    </row>
    <row r="2270">
      <c r="A2270">
        <f>Input!A2270</f>
        <v/>
      </c>
      <c r="B2270">
        <f>IF(ISNUMBER(Input!B2270),IF(AND(Input!B2270&gt;=20,Input!B2270&lt;=700),Input!B2270,""),"")</f>
        <v/>
      </c>
      <c r="C2270">
        <f>IF(B2270="","",INT(A2270))</f>
        <v/>
      </c>
      <c r="D2270">
        <f>IF(B2270="","",HOUR(A2270))</f>
        <v/>
      </c>
    </row>
    <row r="2271">
      <c r="A2271">
        <f>Input!A2271</f>
        <v/>
      </c>
      <c r="B2271">
        <f>IF(ISNUMBER(Input!B2271),IF(AND(Input!B2271&gt;=20,Input!B2271&lt;=700),Input!B2271,""),"")</f>
        <v/>
      </c>
      <c r="C2271">
        <f>IF(B2271="","",INT(A2271))</f>
        <v/>
      </c>
      <c r="D2271">
        <f>IF(B2271="","",HOUR(A2271))</f>
        <v/>
      </c>
    </row>
    <row r="2272">
      <c r="A2272">
        <f>Input!A2272</f>
        <v/>
      </c>
      <c r="B2272">
        <f>IF(ISNUMBER(Input!B2272),IF(AND(Input!B2272&gt;=20,Input!B2272&lt;=700),Input!B2272,""),"")</f>
        <v/>
      </c>
      <c r="C2272">
        <f>IF(B2272="","",INT(A2272))</f>
        <v/>
      </c>
      <c r="D2272">
        <f>IF(B2272="","",HOUR(A2272))</f>
        <v/>
      </c>
    </row>
    <row r="2273">
      <c r="A2273">
        <f>Input!A2273</f>
        <v/>
      </c>
      <c r="B2273">
        <f>IF(ISNUMBER(Input!B2273),IF(AND(Input!B2273&gt;=20,Input!B2273&lt;=700),Input!B2273,""),"")</f>
        <v/>
      </c>
      <c r="C2273">
        <f>IF(B2273="","",INT(A2273))</f>
        <v/>
      </c>
      <c r="D2273">
        <f>IF(B2273="","",HOUR(A2273))</f>
        <v/>
      </c>
    </row>
    <row r="2274">
      <c r="A2274">
        <f>Input!A2274</f>
        <v/>
      </c>
      <c r="B2274">
        <f>IF(ISNUMBER(Input!B2274),IF(AND(Input!B2274&gt;=20,Input!B2274&lt;=700),Input!B2274,""),"")</f>
        <v/>
      </c>
      <c r="C2274">
        <f>IF(B2274="","",INT(A2274))</f>
        <v/>
      </c>
      <c r="D2274">
        <f>IF(B2274="","",HOUR(A2274))</f>
        <v/>
      </c>
    </row>
    <row r="2275">
      <c r="A2275">
        <f>Input!A2275</f>
        <v/>
      </c>
      <c r="B2275">
        <f>IF(ISNUMBER(Input!B2275),IF(AND(Input!B2275&gt;=20,Input!B2275&lt;=700),Input!B2275,""),"")</f>
        <v/>
      </c>
      <c r="C2275">
        <f>IF(B2275="","",INT(A2275))</f>
        <v/>
      </c>
      <c r="D2275">
        <f>IF(B2275="","",HOUR(A2275))</f>
        <v/>
      </c>
    </row>
    <row r="2276">
      <c r="A2276">
        <f>Input!A2276</f>
        <v/>
      </c>
      <c r="B2276">
        <f>IF(ISNUMBER(Input!B2276),IF(AND(Input!B2276&gt;=20,Input!B2276&lt;=700),Input!B2276,""),"")</f>
        <v/>
      </c>
      <c r="C2276">
        <f>IF(B2276="","",INT(A2276))</f>
        <v/>
      </c>
      <c r="D2276">
        <f>IF(B2276="","",HOUR(A2276))</f>
        <v/>
      </c>
    </row>
    <row r="2277">
      <c r="A2277">
        <f>Input!A2277</f>
        <v/>
      </c>
      <c r="B2277">
        <f>IF(ISNUMBER(Input!B2277),IF(AND(Input!B2277&gt;=20,Input!B2277&lt;=700),Input!B2277,""),"")</f>
        <v/>
      </c>
      <c r="C2277">
        <f>IF(B2277="","",INT(A2277))</f>
        <v/>
      </c>
      <c r="D2277">
        <f>IF(B2277="","",HOUR(A2277))</f>
        <v/>
      </c>
    </row>
    <row r="2278">
      <c r="A2278">
        <f>Input!A2278</f>
        <v/>
      </c>
      <c r="B2278">
        <f>IF(ISNUMBER(Input!B2278),IF(AND(Input!B2278&gt;=20,Input!B2278&lt;=700),Input!B2278,""),"")</f>
        <v/>
      </c>
      <c r="C2278">
        <f>IF(B2278="","",INT(A2278))</f>
        <v/>
      </c>
      <c r="D2278">
        <f>IF(B2278="","",HOUR(A2278))</f>
        <v/>
      </c>
    </row>
    <row r="2279">
      <c r="A2279">
        <f>Input!A2279</f>
        <v/>
      </c>
      <c r="B2279">
        <f>IF(ISNUMBER(Input!B2279),IF(AND(Input!B2279&gt;=20,Input!B2279&lt;=700),Input!B2279,""),"")</f>
        <v/>
      </c>
      <c r="C2279">
        <f>IF(B2279="","",INT(A2279))</f>
        <v/>
      </c>
      <c r="D2279">
        <f>IF(B2279="","",HOUR(A2279))</f>
        <v/>
      </c>
    </row>
    <row r="2280">
      <c r="A2280">
        <f>Input!A2280</f>
        <v/>
      </c>
      <c r="B2280">
        <f>IF(ISNUMBER(Input!B2280),IF(AND(Input!B2280&gt;=20,Input!B2280&lt;=700),Input!B2280,""),"")</f>
        <v/>
      </c>
      <c r="C2280">
        <f>IF(B2280="","",INT(A2280))</f>
        <v/>
      </c>
      <c r="D2280">
        <f>IF(B2280="","",HOUR(A2280))</f>
        <v/>
      </c>
    </row>
    <row r="2281">
      <c r="A2281">
        <f>Input!A2281</f>
        <v/>
      </c>
      <c r="B2281">
        <f>IF(ISNUMBER(Input!B2281),IF(AND(Input!B2281&gt;=20,Input!B2281&lt;=700),Input!B2281,""),"")</f>
        <v/>
      </c>
      <c r="C2281">
        <f>IF(B2281="","",INT(A2281))</f>
        <v/>
      </c>
      <c r="D2281">
        <f>IF(B2281="","",HOUR(A2281))</f>
        <v/>
      </c>
    </row>
    <row r="2282">
      <c r="A2282">
        <f>Input!A2282</f>
        <v/>
      </c>
      <c r="B2282">
        <f>IF(ISNUMBER(Input!B2282),IF(AND(Input!B2282&gt;=20,Input!B2282&lt;=700),Input!B2282,""),"")</f>
        <v/>
      </c>
      <c r="C2282">
        <f>IF(B2282="","",INT(A2282))</f>
        <v/>
      </c>
      <c r="D2282">
        <f>IF(B2282="","",HOUR(A2282))</f>
        <v/>
      </c>
    </row>
    <row r="2283">
      <c r="A2283">
        <f>Input!A2283</f>
        <v/>
      </c>
      <c r="B2283">
        <f>IF(ISNUMBER(Input!B2283),IF(AND(Input!B2283&gt;=20,Input!B2283&lt;=700),Input!B2283,""),"")</f>
        <v/>
      </c>
      <c r="C2283">
        <f>IF(B2283="","",INT(A2283))</f>
        <v/>
      </c>
      <c r="D2283">
        <f>IF(B2283="","",HOUR(A2283))</f>
        <v/>
      </c>
    </row>
    <row r="2284">
      <c r="A2284">
        <f>Input!A2284</f>
        <v/>
      </c>
      <c r="B2284">
        <f>IF(ISNUMBER(Input!B2284),IF(AND(Input!B2284&gt;=20,Input!B2284&lt;=700),Input!B2284,""),"")</f>
        <v/>
      </c>
      <c r="C2284">
        <f>IF(B2284="","",INT(A2284))</f>
        <v/>
      </c>
      <c r="D2284">
        <f>IF(B2284="","",HOUR(A2284))</f>
        <v/>
      </c>
    </row>
    <row r="2285">
      <c r="A2285">
        <f>Input!A2285</f>
        <v/>
      </c>
      <c r="B2285">
        <f>IF(ISNUMBER(Input!B2285),IF(AND(Input!B2285&gt;=20,Input!B2285&lt;=700),Input!B2285,""),"")</f>
        <v/>
      </c>
      <c r="C2285">
        <f>IF(B2285="","",INT(A2285))</f>
        <v/>
      </c>
      <c r="D2285">
        <f>IF(B2285="","",HOUR(A2285))</f>
        <v/>
      </c>
    </row>
    <row r="2286">
      <c r="A2286">
        <f>Input!A2286</f>
        <v/>
      </c>
      <c r="B2286">
        <f>IF(ISNUMBER(Input!B2286),IF(AND(Input!B2286&gt;=20,Input!B2286&lt;=700),Input!B2286,""),"")</f>
        <v/>
      </c>
      <c r="C2286">
        <f>IF(B2286="","",INT(A2286))</f>
        <v/>
      </c>
      <c r="D2286">
        <f>IF(B2286="","",HOUR(A2286))</f>
        <v/>
      </c>
    </row>
    <row r="2287">
      <c r="A2287">
        <f>Input!A2287</f>
        <v/>
      </c>
      <c r="B2287">
        <f>IF(ISNUMBER(Input!B2287),IF(AND(Input!B2287&gt;=20,Input!B2287&lt;=700),Input!B2287,""),"")</f>
        <v/>
      </c>
      <c r="C2287">
        <f>IF(B2287="","",INT(A2287))</f>
        <v/>
      </c>
      <c r="D2287">
        <f>IF(B2287="","",HOUR(A2287))</f>
        <v/>
      </c>
    </row>
    <row r="2288">
      <c r="A2288">
        <f>Input!A2288</f>
        <v/>
      </c>
      <c r="B2288">
        <f>IF(ISNUMBER(Input!B2288),IF(AND(Input!B2288&gt;=20,Input!B2288&lt;=700),Input!B2288,""),"")</f>
        <v/>
      </c>
      <c r="C2288">
        <f>IF(B2288="","",INT(A2288))</f>
        <v/>
      </c>
      <c r="D2288">
        <f>IF(B2288="","",HOUR(A2288))</f>
        <v/>
      </c>
    </row>
    <row r="2289">
      <c r="A2289">
        <f>Input!A2289</f>
        <v/>
      </c>
      <c r="B2289">
        <f>IF(ISNUMBER(Input!B2289),IF(AND(Input!B2289&gt;=20,Input!B2289&lt;=700),Input!B2289,""),"")</f>
        <v/>
      </c>
      <c r="C2289">
        <f>IF(B2289="","",INT(A2289))</f>
        <v/>
      </c>
      <c r="D2289">
        <f>IF(B2289="","",HOUR(A2289))</f>
        <v/>
      </c>
    </row>
    <row r="2290">
      <c r="A2290">
        <f>Input!A2290</f>
        <v/>
      </c>
      <c r="B2290">
        <f>IF(ISNUMBER(Input!B2290),IF(AND(Input!B2290&gt;=20,Input!B2290&lt;=700),Input!B2290,""),"")</f>
        <v/>
      </c>
      <c r="C2290">
        <f>IF(B2290="","",INT(A2290))</f>
        <v/>
      </c>
      <c r="D2290">
        <f>IF(B2290="","",HOUR(A2290))</f>
        <v/>
      </c>
    </row>
    <row r="2291">
      <c r="A2291">
        <f>Input!A2291</f>
        <v/>
      </c>
      <c r="B2291">
        <f>IF(ISNUMBER(Input!B2291),IF(AND(Input!B2291&gt;=20,Input!B2291&lt;=700),Input!B2291,""),"")</f>
        <v/>
      </c>
      <c r="C2291">
        <f>IF(B2291="","",INT(A2291))</f>
        <v/>
      </c>
      <c r="D2291">
        <f>IF(B2291="","",HOUR(A2291))</f>
        <v/>
      </c>
    </row>
    <row r="2292">
      <c r="A2292">
        <f>Input!A2292</f>
        <v/>
      </c>
      <c r="B2292">
        <f>IF(ISNUMBER(Input!B2292),IF(AND(Input!B2292&gt;=20,Input!B2292&lt;=700),Input!B2292,""),"")</f>
        <v/>
      </c>
      <c r="C2292">
        <f>IF(B2292="","",INT(A2292))</f>
        <v/>
      </c>
      <c r="D2292">
        <f>IF(B2292="","",HOUR(A2292))</f>
        <v/>
      </c>
    </row>
    <row r="2293">
      <c r="A2293">
        <f>Input!A2293</f>
        <v/>
      </c>
      <c r="B2293">
        <f>IF(ISNUMBER(Input!B2293),IF(AND(Input!B2293&gt;=20,Input!B2293&lt;=700),Input!B2293,""),"")</f>
        <v/>
      </c>
      <c r="C2293">
        <f>IF(B2293="","",INT(A2293))</f>
        <v/>
      </c>
      <c r="D2293">
        <f>IF(B2293="","",HOUR(A2293))</f>
        <v/>
      </c>
    </row>
    <row r="2294">
      <c r="A2294">
        <f>Input!A2294</f>
        <v/>
      </c>
      <c r="B2294">
        <f>IF(ISNUMBER(Input!B2294),IF(AND(Input!B2294&gt;=20,Input!B2294&lt;=700),Input!B2294,""),"")</f>
        <v/>
      </c>
      <c r="C2294">
        <f>IF(B2294="","",INT(A2294))</f>
        <v/>
      </c>
      <c r="D2294">
        <f>IF(B2294="","",HOUR(A2294))</f>
        <v/>
      </c>
    </row>
    <row r="2295">
      <c r="A2295">
        <f>Input!A2295</f>
        <v/>
      </c>
      <c r="B2295">
        <f>IF(ISNUMBER(Input!B2295),IF(AND(Input!B2295&gt;=20,Input!B2295&lt;=700),Input!B2295,""),"")</f>
        <v/>
      </c>
      <c r="C2295">
        <f>IF(B2295="","",INT(A2295))</f>
        <v/>
      </c>
      <c r="D2295">
        <f>IF(B2295="","",HOUR(A2295))</f>
        <v/>
      </c>
    </row>
    <row r="2296">
      <c r="A2296">
        <f>Input!A2296</f>
        <v/>
      </c>
      <c r="B2296">
        <f>IF(ISNUMBER(Input!B2296),IF(AND(Input!B2296&gt;=20,Input!B2296&lt;=700),Input!B2296,""),"")</f>
        <v/>
      </c>
      <c r="C2296">
        <f>IF(B2296="","",INT(A2296))</f>
        <v/>
      </c>
      <c r="D2296">
        <f>IF(B2296="","",HOUR(A2296))</f>
        <v/>
      </c>
    </row>
    <row r="2297">
      <c r="A2297">
        <f>Input!A2297</f>
        <v/>
      </c>
      <c r="B2297">
        <f>IF(ISNUMBER(Input!B2297),IF(AND(Input!B2297&gt;=20,Input!B2297&lt;=700),Input!B2297,""),"")</f>
        <v/>
      </c>
      <c r="C2297">
        <f>IF(B2297="","",INT(A2297))</f>
        <v/>
      </c>
      <c r="D2297">
        <f>IF(B2297="","",HOUR(A2297))</f>
        <v/>
      </c>
    </row>
    <row r="2298">
      <c r="A2298">
        <f>Input!A2298</f>
        <v/>
      </c>
      <c r="B2298">
        <f>IF(ISNUMBER(Input!B2298),IF(AND(Input!B2298&gt;=20,Input!B2298&lt;=700),Input!B2298,""),"")</f>
        <v/>
      </c>
      <c r="C2298">
        <f>IF(B2298="","",INT(A2298))</f>
        <v/>
      </c>
      <c r="D2298">
        <f>IF(B2298="","",HOUR(A2298))</f>
        <v/>
      </c>
    </row>
    <row r="2299">
      <c r="A2299">
        <f>Input!A2299</f>
        <v/>
      </c>
      <c r="B2299">
        <f>IF(ISNUMBER(Input!B2299),IF(AND(Input!B2299&gt;=20,Input!B2299&lt;=700),Input!B2299,""),"")</f>
        <v/>
      </c>
      <c r="C2299">
        <f>IF(B2299="","",INT(A2299))</f>
        <v/>
      </c>
      <c r="D2299">
        <f>IF(B2299="","",HOUR(A2299))</f>
        <v/>
      </c>
    </row>
    <row r="2300">
      <c r="A2300">
        <f>Input!A2300</f>
        <v/>
      </c>
      <c r="B2300">
        <f>IF(ISNUMBER(Input!B2300),IF(AND(Input!B2300&gt;=20,Input!B2300&lt;=700),Input!B2300,""),"")</f>
        <v/>
      </c>
      <c r="C2300">
        <f>IF(B2300="","",INT(A2300))</f>
        <v/>
      </c>
      <c r="D2300">
        <f>IF(B2300="","",HOUR(A2300))</f>
        <v/>
      </c>
    </row>
    <row r="2301">
      <c r="A2301">
        <f>Input!A2301</f>
        <v/>
      </c>
      <c r="B2301">
        <f>IF(ISNUMBER(Input!B2301),IF(AND(Input!B2301&gt;=20,Input!B2301&lt;=700),Input!B2301,""),"")</f>
        <v/>
      </c>
      <c r="C2301">
        <f>IF(B2301="","",INT(A2301))</f>
        <v/>
      </c>
      <c r="D2301">
        <f>IF(B2301="","",HOUR(A2301))</f>
        <v/>
      </c>
    </row>
    <row r="2302">
      <c r="A2302">
        <f>Input!A2302</f>
        <v/>
      </c>
      <c r="B2302">
        <f>IF(ISNUMBER(Input!B2302),IF(AND(Input!B2302&gt;=20,Input!B2302&lt;=700),Input!B2302,""),"")</f>
        <v/>
      </c>
      <c r="C2302">
        <f>IF(B2302="","",INT(A2302))</f>
        <v/>
      </c>
      <c r="D2302">
        <f>IF(B2302="","",HOUR(A2302))</f>
        <v/>
      </c>
    </row>
    <row r="2303">
      <c r="A2303">
        <f>Input!A2303</f>
        <v/>
      </c>
      <c r="B2303">
        <f>IF(ISNUMBER(Input!B2303),IF(AND(Input!B2303&gt;=20,Input!B2303&lt;=700),Input!B2303,""),"")</f>
        <v/>
      </c>
      <c r="C2303">
        <f>IF(B2303="","",INT(A2303))</f>
        <v/>
      </c>
      <c r="D2303">
        <f>IF(B2303="","",HOUR(A2303))</f>
        <v/>
      </c>
    </row>
    <row r="2304">
      <c r="A2304">
        <f>Input!A2304</f>
        <v/>
      </c>
      <c r="B2304">
        <f>IF(ISNUMBER(Input!B2304),IF(AND(Input!B2304&gt;=20,Input!B2304&lt;=700),Input!B2304,""),"")</f>
        <v/>
      </c>
      <c r="C2304">
        <f>IF(B2304="","",INT(A2304))</f>
        <v/>
      </c>
      <c r="D2304">
        <f>IF(B2304="","",HOUR(A2304))</f>
        <v/>
      </c>
    </row>
    <row r="2305">
      <c r="A2305">
        <f>Input!A2305</f>
        <v/>
      </c>
      <c r="B2305">
        <f>IF(ISNUMBER(Input!B2305),IF(AND(Input!B2305&gt;=20,Input!B2305&lt;=700),Input!B2305,""),"")</f>
        <v/>
      </c>
      <c r="C2305">
        <f>IF(B2305="","",INT(A2305))</f>
        <v/>
      </c>
      <c r="D2305">
        <f>IF(B2305="","",HOUR(A2305))</f>
        <v/>
      </c>
    </row>
    <row r="2306">
      <c r="A2306">
        <f>Input!A2306</f>
        <v/>
      </c>
      <c r="B2306">
        <f>IF(ISNUMBER(Input!B2306),IF(AND(Input!B2306&gt;=20,Input!B2306&lt;=700),Input!B2306,""),"")</f>
        <v/>
      </c>
      <c r="C2306">
        <f>IF(B2306="","",INT(A2306))</f>
        <v/>
      </c>
      <c r="D2306">
        <f>IF(B2306="","",HOUR(A2306))</f>
        <v/>
      </c>
    </row>
    <row r="2307">
      <c r="A2307">
        <f>Input!A2307</f>
        <v/>
      </c>
      <c r="B2307">
        <f>IF(ISNUMBER(Input!B2307),IF(AND(Input!B2307&gt;=20,Input!B2307&lt;=700),Input!B2307,""),"")</f>
        <v/>
      </c>
      <c r="C2307">
        <f>IF(B2307="","",INT(A2307))</f>
        <v/>
      </c>
      <c r="D2307">
        <f>IF(B2307="","",HOUR(A2307))</f>
        <v/>
      </c>
    </row>
    <row r="2308">
      <c r="A2308">
        <f>Input!A2308</f>
        <v/>
      </c>
      <c r="B2308">
        <f>IF(ISNUMBER(Input!B2308),IF(AND(Input!B2308&gt;=20,Input!B2308&lt;=700),Input!B2308,""),"")</f>
        <v/>
      </c>
      <c r="C2308">
        <f>IF(B2308="","",INT(A2308))</f>
        <v/>
      </c>
      <c r="D2308">
        <f>IF(B2308="","",HOUR(A2308))</f>
        <v/>
      </c>
    </row>
    <row r="2309">
      <c r="A2309">
        <f>Input!A2309</f>
        <v/>
      </c>
      <c r="B2309">
        <f>IF(ISNUMBER(Input!B2309),IF(AND(Input!B2309&gt;=20,Input!B2309&lt;=700),Input!B2309,""),"")</f>
        <v/>
      </c>
      <c r="C2309">
        <f>IF(B2309="","",INT(A2309))</f>
        <v/>
      </c>
      <c r="D2309">
        <f>IF(B2309="","",HOUR(A2309))</f>
        <v/>
      </c>
    </row>
    <row r="2310">
      <c r="A2310">
        <f>Input!A2310</f>
        <v/>
      </c>
      <c r="B2310">
        <f>IF(ISNUMBER(Input!B2310),IF(AND(Input!B2310&gt;=20,Input!B2310&lt;=700),Input!B2310,""),"")</f>
        <v/>
      </c>
      <c r="C2310">
        <f>IF(B2310="","",INT(A2310))</f>
        <v/>
      </c>
      <c r="D2310">
        <f>IF(B2310="","",HOUR(A2310))</f>
        <v/>
      </c>
    </row>
    <row r="2311">
      <c r="A2311">
        <f>Input!A2311</f>
        <v/>
      </c>
      <c r="B2311">
        <f>IF(ISNUMBER(Input!B2311),IF(AND(Input!B2311&gt;=20,Input!B2311&lt;=700),Input!B2311,""),"")</f>
        <v/>
      </c>
      <c r="C2311">
        <f>IF(B2311="","",INT(A2311))</f>
        <v/>
      </c>
      <c r="D2311">
        <f>IF(B2311="","",HOUR(A2311))</f>
        <v/>
      </c>
    </row>
    <row r="2312">
      <c r="A2312">
        <f>Input!A2312</f>
        <v/>
      </c>
      <c r="B2312">
        <f>IF(ISNUMBER(Input!B2312),IF(AND(Input!B2312&gt;=20,Input!B2312&lt;=700),Input!B2312,""),"")</f>
        <v/>
      </c>
      <c r="C2312">
        <f>IF(B2312="","",INT(A2312))</f>
        <v/>
      </c>
      <c r="D2312">
        <f>IF(B2312="","",HOUR(A2312))</f>
        <v/>
      </c>
    </row>
    <row r="2313">
      <c r="A2313">
        <f>Input!A2313</f>
        <v/>
      </c>
      <c r="B2313">
        <f>IF(ISNUMBER(Input!B2313),IF(AND(Input!B2313&gt;=20,Input!B2313&lt;=700),Input!B2313,""),"")</f>
        <v/>
      </c>
      <c r="C2313">
        <f>IF(B2313="","",INT(A2313))</f>
        <v/>
      </c>
      <c r="D2313">
        <f>IF(B2313="","",HOUR(A2313))</f>
        <v/>
      </c>
    </row>
    <row r="2314">
      <c r="A2314">
        <f>Input!A2314</f>
        <v/>
      </c>
      <c r="B2314">
        <f>IF(ISNUMBER(Input!B2314),IF(AND(Input!B2314&gt;=20,Input!B2314&lt;=700),Input!B2314,""),"")</f>
        <v/>
      </c>
      <c r="C2314">
        <f>IF(B2314="","",INT(A2314))</f>
        <v/>
      </c>
      <c r="D2314">
        <f>IF(B2314="","",HOUR(A2314))</f>
        <v/>
      </c>
    </row>
    <row r="2315">
      <c r="A2315">
        <f>Input!A2315</f>
        <v/>
      </c>
      <c r="B2315">
        <f>IF(ISNUMBER(Input!B2315),IF(AND(Input!B2315&gt;=20,Input!B2315&lt;=700),Input!B2315,""),"")</f>
        <v/>
      </c>
      <c r="C2315">
        <f>IF(B2315="","",INT(A2315))</f>
        <v/>
      </c>
      <c r="D2315">
        <f>IF(B2315="","",HOUR(A2315))</f>
        <v/>
      </c>
    </row>
    <row r="2316">
      <c r="A2316">
        <f>Input!A2316</f>
        <v/>
      </c>
      <c r="B2316">
        <f>IF(ISNUMBER(Input!B2316),IF(AND(Input!B2316&gt;=20,Input!B2316&lt;=700),Input!B2316,""),"")</f>
        <v/>
      </c>
      <c r="C2316">
        <f>IF(B2316="","",INT(A2316))</f>
        <v/>
      </c>
      <c r="D2316">
        <f>IF(B2316="","",HOUR(A2316))</f>
        <v/>
      </c>
    </row>
    <row r="2317">
      <c r="A2317">
        <f>Input!A2317</f>
        <v/>
      </c>
      <c r="B2317">
        <f>IF(ISNUMBER(Input!B2317),IF(AND(Input!B2317&gt;=20,Input!B2317&lt;=700),Input!B2317,""),"")</f>
        <v/>
      </c>
      <c r="C2317">
        <f>IF(B2317="","",INT(A2317))</f>
        <v/>
      </c>
      <c r="D2317">
        <f>IF(B2317="","",HOUR(A2317))</f>
        <v/>
      </c>
    </row>
    <row r="2318">
      <c r="A2318">
        <f>Input!A2318</f>
        <v/>
      </c>
      <c r="B2318">
        <f>IF(ISNUMBER(Input!B2318),IF(AND(Input!B2318&gt;=20,Input!B2318&lt;=700),Input!B2318,""),"")</f>
        <v/>
      </c>
      <c r="C2318">
        <f>IF(B2318="","",INT(A2318))</f>
        <v/>
      </c>
      <c r="D2318">
        <f>IF(B2318="","",HOUR(A2318))</f>
        <v/>
      </c>
    </row>
    <row r="2319">
      <c r="A2319">
        <f>Input!A2319</f>
        <v/>
      </c>
      <c r="B2319">
        <f>IF(ISNUMBER(Input!B2319),IF(AND(Input!B2319&gt;=20,Input!B2319&lt;=700),Input!B2319,""),"")</f>
        <v/>
      </c>
      <c r="C2319">
        <f>IF(B2319="","",INT(A2319))</f>
        <v/>
      </c>
      <c r="D2319">
        <f>IF(B2319="","",HOUR(A2319))</f>
        <v/>
      </c>
    </row>
    <row r="2320">
      <c r="A2320">
        <f>Input!A2320</f>
        <v/>
      </c>
      <c r="B2320">
        <f>IF(ISNUMBER(Input!B2320),IF(AND(Input!B2320&gt;=20,Input!B2320&lt;=700),Input!B2320,""),"")</f>
        <v/>
      </c>
      <c r="C2320">
        <f>IF(B2320="","",INT(A2320))</f>
        <v/>
      </c>
      <c r="D2320">
        <f>IF(B2320="","",HOUR(A2320))</f>
        <v/>
      </c>
    </row>
    <row r="2321">
      <c r="A2321">
        <f>Input!A2321</f>
        <v/>
      </c>
      <c r="B2321">
        <f>IF(ISNUMBER(Input!B2321),IF(AND(Input!B2321&gt;=20,Input!B2321&lt;=700),Input!B2321,""),"")</f>
        <v/>
      </c>
      <c r="C2321">
        <f>IF(B2321="","",INT(A2321))</f>
        <v/>
      </c>
      <c r="D2321">
        <f>IF(B2321="","",HOUR(A2321))</f>
        <v/>
      </c>
    </row>
    <row r="2322">
      <c r="A2322">
        <f>Input!A2322</f>
        <v/>
      </c>
      <c r="B2322">
        <f>IF(ISNUMBER(Input!B2322),IF(AND(Input!B2322&gt;=20,Input!B2322&lt;=700),Input!B2322,""),"")</f>
        <v/>
      </c>
      <c r="C2322">
        <f>IF(B2322="","",INT(A2322))</f>
        <v/>
      </c>
      <c r="D2322">
        <f>IF(B2322="","",HOUR(A2322))</f>
        <v/>
      </c>
    </row>
    <row r="2323">
      <c r="A2323">
        <f>Input!A2323</f>
        <v/>
      </c>
      <c r="B2323">
        <f>IF(ISNUMBER(Input!B2323),IF(AND(Input!B2323&gt;=20,Input!B2323&lt;=700),Input!B2323,""),"")</f>
        <v/>
      </c>
      <c r="C2323">
        <f>IF(B2323="","",INT(A2323))</f>
        <v/>
      </c>
      <c r="D2323">
        <f>IF(B2323="","",HOUR(A2323))</f>
        <v/>
      </c>
    </row>
    <row r="2324">
      <c r="A2324">
        <f>Input!A2324</f>
        <v/>
      </c>
      <c r="B2324">
        <f>IF(ISNUMBER(Input!B2324),IF(AND(Input!B2324&gt;=20,Input!B2324&lt;=700),Input!B2324,""),"")</f>
        <v/>
      </c>
      <c r="C2324">
        <f>IF(B2324="","",INT(A2324))</f>
        <v/>
      </c>
      <c r="D2324">
        <f>IF(B2324="","",HOUR(A2324))</f>
        <v/>
      </c>
    </row>
    <row r="2325">
      <c r="A2325">
        <f>Input!A2325</f>
        <v/>
      </c>
      <c r="B2325">
        <f>IF(ISNUMBER(Input!B2325),IF(AND(Input!B2325&gt;=20,Input!B2325&lt;=700),Input!B2325,""),"")</f>
        <v/>
      </c>
      <c r="C2325">
        <f>IF(B2325="","",INT(A2325))</f>
        <v/>
      </c>
      <c r="D2325">
        <f>IF(B2325="","",HOUR(A2325))</f>
        <v/>
      </c>
    </row>
    <row r="2326">
      <c r="A2326">
        <f>Input!A2326</f>
        <v/>
      </c>
      <c r="B2326">
        <f>IF(ISNUMBER(Input!B2326),IF(AND(Input!B2326&gt;=20,Input!B2326&lt;=700),Input!B2326,""),"")</f>
        <v/>
      </c>
      <c r="C2326">
        <f>IF(B2326="","",INT(A2326))</f>
        <v/>
      </c>
      <c r="D2326">
        <f>IF(B2326="","",HOUR(A2326))</f>
        <v/>
      </c>
    </row>
    <row r="2327">
      <c r="A2327">
        <f>Input!A2327</f>
        <v/>
      </c>
      <c r="B2327">
        <f>IF(ISNUMBER(Input!B2327),IF(AND(Input!B2327&gt;=20,Input!B2327&lt;=700),Input!B2327,""),"")</f>
        <v/>
      </c>
      <c r="C2327">
        <f>IF(B2327="","",INT(A2327))</f>
        <v/>
      </c>
      <c r="D2327">
        <f>IF(B2327="","",HOUR(A2327))</f>
        <v/>
      </c>
    </row>
    <row r="2328">
      <c r="A2328">
        <f>Input!A2328</f>
        <v/>
      </c>
      <c r="B2328">
        <f>IF(ISNUMBER(Input!B2328),IF(AND(Input!B2328&gt;=20,Input!B2328&lt;=700),Input!B2328,""),"")</f>
        <v/>
      </c>
      <c r="C2328">
        <f>IF(B2328="","",INT(A2328))</f>
        <v/>
      </c>
      <c r="D2328">
        <f>IF(B2328="","",HOUR(A2328))</f>
        <v/>
      </c>
    </row>
    <row r="2329">
      <c r="A2329">
        <f>Input!A2329</f>
        <v/>
      </c>
      <c r="B2329">
        <f>IF(ISNUMBER(Input!B2329),IF(AND(Input!B2329&gt;=20,Input!B2329&lt;=700),Input!B2329,""),"")</f>
        <v/>
      </c>
      <c r="C2329">
        <f>IF(B2329="","",INT(A2329))</f>
        <v/>
      </c>
      <c r="D2329">
        <f>IF(B2329="","",HOUR(A2329))</f>
        <v/>
      </c>
    </row>
    <row r="2330">
      <c r="A2330">
        <f>Input!A2330</f>
        <v/>
      </c>
      <c r="B2330">
        <f>IF(ISNUMBER(Input!B2330),IF(AND(Input!B2330&gt;=20,Input!B2330&lt;=700),Input!B2330,""),"")</f>
        <v/>
      </c>
      <c r="C2330">
        <f>IF(B2330="","",INT(A2330))</f>
        <v/>
      </c>
      <c r="D2330">
        <f>IF(B2330="","",HOUR(A2330))</f>
        <v/>
      </c>
    </row>
    <row r="2331">
      <c r="A2331">
        <f>Input!A2331</f>
        <v/>
      </c>
      <c r="B2331">
        <f>IF(ISNUMBER(Input!B2331),IF(AND(Input!B2331&gt;=20,Input!B2331&lt;=700),Input!B2331,""),"")</f>
        <v/>
      </c>
      <c r="C2331">
        <f>IF(B2331="","",INT(A2331))</f>
        <v/>
      </c>
      <c r="D2331">
        <f>IF(B2331="","",HOUR(A2331))</f>
        <v/>
      </c>
    </row>
    <row r="2332">
      <c r="A2332">
        <f>Input!A2332</f>
        <v/>
      </c>
      <c r="B2332">
        <f>IF(ISNUMBER(Input!B2332),IF(AND(Input!B2332&gt;=20,Input!B2332&lt;=700),Input!B2332,""),"")</f>
        <v/>
      </c>
      <c r="C2332">
        <f>IF(B2332="","",INT(A2332))</f>
        <v/>
      </c>
      <c r="D2332">
        <f>IF(B2332="","",HOUR(A2332))</f>
        <v/>
      </c>
    </row>
    <row r="2333">
      <c r="A2333">
        <f>Input!A2333</f>
        <v/>
      </c>
      <c r="B2333">
        <f>IF(ISNUMBER(Input!B2333),IF(AND(Input!B2333&gt;=20,Input!B2333&lt;=700),Input!B2333,""),"")</f>
        <v/>
      </c>
      <c r="C2333">
        <f>IF(B2333="","",INT(A2333))</f>
        <v/>
      </c>
      <c r="D2333">
        <f>IF(B2333="","",HOUR(A2333))</f>
        <v/>
      </c>
    </row>
    <row r="2334">
      <c r="A2334">
        <f>Input!A2334</f>
        <v/>
      </c>
      <c r="B2334">
        <f>IF(ISNUMBER(Input!B2334),IF(AND(Input!B2334&gt;=20,Input!B2334&lt;=700),Input!B2334,""),"")</f>
        <v/>
      </c>
      <c r="C2334">
        <f>IF(B2334="","",INT(A2334))</f>
        <v/>
      </c>
      <c r="D2334">
        <f>IF(B2334="","",HOUR(A2334))</f>
        <v/>
      </c>
    </row>
    <row r="2335">
      <c r="A2335">
        <f>Input!A2335</f>
        <v/>
      </c>
      <c r="B2335">
        <f>IF(ISNUMBER(Input!B2335),IF(AND(Input!B2335&gt;=20,Input!B2335&lt;=700),Input!B2335,""),"")</f>
        <v/>
      </c>
      <c r="C2335">
        <f>IF(B2335="","",INT(A2335))</f>
        <v/>
      </c>
      <c r="D2335">
        <f>IF(B2335="","",HOUR(A2335))</f>
        <v/>
      </c>
    </row>
    <row r="2336">
      <c r="A2336">
        <f>Input!A2336</f>
        <v/>
      </c>
      <c r="B2336">
        <f>IF(ISNUMBER(Input!B2336),IF(AND(Input!B2336&gt;=20,Input!B2336&lt;=700),Input!B2336,""),"")</f>
        <v/>
      </c>
      <c r="C2336">
        <f>IF(B2336="","",INT(A2336))</f>
        <v/>
      </c>
      <c r="D2336">
        <f>IF(B2336="","",HOUR(A2336))</f>
        <v/>
      </c>
    </row>
    <row r="2337">
      <c r="A2337">
        <f>Input!A2337</f>
        <v/>
      </c>
      <c r="B2337">
        <f>IF(ISNUMBER(Input!B2337),IF(AND(Input!B2337&gt;=20,Input!B2337&lt;=700),Input!B2337,""),"")</f>
        <v/>
      </c>
      <c r="C2337">
        <f>IF(B2337="","",INT(A2337))</f>
        <v/>
      </c>
      <c r="D2337">
        <f>IF(B2337="","",HOUR(A2337))</f>
        <v/>
      </c>
    </row>
    <row r="2338">
      <c r="A2338">
        <f>Input!A2338</f>
        <v/>
      </c>
      <c r="B2338">
        <f>IF(ISNUMBER(Input!B2338),IF(AND(Input!B2338&gt;=20,Input!B2338&lt;=700),Input!B2338,""),"")</f>
        <v/>
      </c>
      <c r="C2338">
        <f>IF(B2338="","",INT(A2338))</f>
        <v/>
      </c>
      <c r="D2338">
        <f>IF(B2338="","",HOUR(A2338))</f>
        <v/>
      </c>
    </row>
    <row r="2339">
      <c r="A2339">
        <f>Input!A2339</f>
        <v/>
      </c>
      <c r="B2339">
        <f>IF(ISNUMBER(Input!B2339),IF(AND(Input!B2339&gt;=20,Input!B2339&lt;=700),Input!B2339,""),"")</f>
        <v/>
      </c>
      <c r="C2339">
        <f>IF(B2339="","",INT(A2339))</f>
        <v/>
      </c>
      <c r="D2339">
        <f>IF(B2339="","",HOUR(A2339))</f>
        <v/>
      </c>
    </row>
    <row r="2340">
      <c r="A2340">
        <f>Input!A2340</f>
        <v/>
      </c>
      <c r="B2340">
        <f>IF(ISNUMBER(Input!B2340),IF(AND(Input!B2340&gt;=20,Input!B2340&lt;=700),Input!B2340,""),"")</f>
        <v/>
      </c>
      <c r="C2340">
        <f>IF(B2340="","",INT(A2340))</f>
        <v/>
      </c>
      <c r="D2340">
        <f>IF(B2340="","",HOUR(A2340))</f>
        <v/>
      </c>
    </row>
    <row r="2341">
      <c r="A2341">
        <f>Input!A2341</f>
        <v/>
      </c>
      <c r="B2341">
        <f>IF(ISNUMBER(Input!B2341),IF(AND(Input!B2341&gt;=20,Input!B2341&lt;=700),Input!B2341,""),"")</f>
        <v/>
      </c>
      <c r="C2341">
        <f>IF(B2341="","",INT(A2341))</f>
        <v/>
      </c>
      <c r="D2341">
        <f>IF(B2341="","",HOUR(A2341))</f>
        <v/>
      </c>
    </row>
    <row r="2342">
      <c r="A2342">
        <f>Input!A2342</f>
        <v/>
      </c>
      <c r="B2342">
        <f>IF(ISNUMBER(Input!B2342),IF(AND(Input!B2342&gt;=20,Input!B2342&lt;=700),Input!B2342,""),"")</f>
        <v/>
      </c>
      <c r="C2342">
        <f>IF(B2342="","",INT(A2342))</f>
        <v/>
      </c>
      <c r="D2342">
        <f>IF(B2342="","",HOUR(A2342))</f>
        <v/>
      </c>
    </row>
    <row r="2343">
      <c r="A2343">
        <f>Input!A2343</f>
        <v/>
      </c>
      <c r="B2343">
        <f>IF(ISNUMBER(Input!B2343),IF(AND(Input!B2343&gt;=20,Input!B2343&lt;=700),Input!B2343,""),"")</f>
        <v/>
      </c>
      <c r="C2343">
        <f>IF(B2343="","",INT(A2343))</f>
        <v/>
      </c>
      <c r="D2343">
        <f>IF(B2343="","",HOUR(A2343))</f>
        <v/>
      </c>
    </row>
    <row r="2344">
      <c r="A2344">
        <f>Input!A2344</f>
        <v/>
      </c>
      <c r="B2344">
        <f>IF(ISNUMBER(Input!B2344),IF(AND(Input!B2344&gt;=20,Input!B2344&lt;=700),Input!B2344,""),"")</f>
        <v/>
      </c>
      <c r="C2344">
        <f>IF(B2344="","",INT(A2344))</f>
        <v/>
      </c>
      <c r="D2344">
        <f>IF(B2344="","",HOUR(A2344))</f>
        <v/>
      </c>
    </row>
    <row r="2345">
      <c r="A2345">
        <f>Input!A2345</f>
        <v/>
      </c>
      <c r="B2345">
        <f>IF(ISNUMBER(Input!B2345),IF(AND(Input!B2345&gt;=20,Input!B2345&lt;=700),Input!B2345,""),"")</f>
        <v/>
      </c>
      <c r="C2345">
        <f>IF(B2345="","",INT(A2345))</f>
        <v/>
      </c>
      <c r="D2345">
        <f>IF(B2345="","",HOUR(A2345))</f>
        <v/>
      </c>
    </row>
    <row r="2346">
      <c r="A2346">
        <f>Input!A2346</f>
        <v/>
      </c>
      <c r="B2346">
        <f>IF(ISNUMBER(Input!B2346),IF(AND(Input!B2346&gt;=20,Input!B2346&lt;=700),Input!B2346,""),"")</f>
        <v/>
      </c>
      <c r="C2346">
        <f>IF(B2346="","",INT(A2346))</f>
        <v/>
      </c>
      <c r="D2346">
        <f>IF(B2346="","",HOUR(A2346))</f>
        <v/>
      </c>
    </row>
    <row r="2347">
      <c r="A2347">
        <f>Input!A2347</f>
        <v/>
      </c>
      <c r="B2347">
        <f>IF(ISNUMBER(Input!B2347),IF(AND(Input!B2347&gt;=20,Input!B2347&lt;=700),Input!B2347,""),"")</f>
        <v/>
      </c>
      <c r="C2347">
        <f>IF(B2347="","",INT(A2347))</f>
        <v/>
      </c>
      <c r="D2347">
        <f>IF(B2347="","",HOUR(A2347))</f>
        <v/>
      </c>
    </row>
    <row r="2348">
      <c r="A2348">
        <f>Input!A2348</f>
        <v/>
      </c>
      <c r="B2348">
        <f>IF(ISNUMBER(Input!B2348),IF(AND(Input!B2348&gt;=20,Input!B2348&lt;=700),Input!B2348,""),"")</f>
        <v/>
      </c>
      <c r="C2348">
        <f>IF(B2348="","",INT(A2348))</f>
        <v/>
      </c>
      <c r="D2348">
        <f>IF(B2348="","",HOUR(A2348))</f>
        <v/>
      </c>
    </row>
    <row r="2349">
      <c r="A2349">
        <f>Input!A2349</f>
        <v/>
      </c>
      <c r="B2349">
        <f>IF(ISNUMBER(Input!B2349),IF(AND(Input!B2349&gt;=20,Input!B2349&lt;=700),Input!B2349,""),"")</f>
        <v/>
      </c>
      <c r="C2349">
        <f>IF(B2349="","",INT(A2349))</f>
        <v/>
      </c>
      <c r="D2349">
        <f>IF(B2349="","",HOUR(A2349))</f>
        <v/>
      </c>
    </row>
    <row r="2350">
      <c r="A2350">
        <f>Input!A2350</f>
        <v/>
      </c>
      <c r="B2350">
        <f>IF(ISNUMBER(Input!B2350),IF(AND(Input!B2350&gt;=20,Input!B2350&lt;=700),Input!B2350,""),"")</f>
        <v/>
      </c>
      <c r="C2350">
        <f>IF(B2350="","",INT(A2350))</f>
        <v/>
      </c>
      <c r="D2350">
        <f>IF(B2350="","",HOUR(A2350))</f>
        <v/>
      </c>
    </row>
    <row r="2351">
      <c r="A2351">
        <f>Input!A2351</f>
        <v/>
      </c>
      <c r="B2351">
        <f>IF(ISNUMBER(Input!B2351),IF(AND(Input!B2351&gt;=20,Input!B2351&lt;=700),Input!B2351,""),"")</f>
        <v/>
      </c>
      <c r="C2351">
        <f>IF(B2351="","",INT(A2351))</f>
        <v/>
      </c>
      <c r="D2351">
        <f>IF(B2351="","",HOUR(A2351))</f>
        <v/>
      </c>
    </row>
    <row r="2352">
      <c r="A2352">
        <f>Input!A2352</f>
        <v/>
      </c>
      <c r="B2352">
        <f>IF(ISNUMBER(Input!B2352),IF(AND(Input!B2352&gt;=20,Input!B2352&lt;=700),Input!B2352,""),"")</f>
        <v/>
      </c>
      <c r="C2352">
        <f>IF(B2352="","",INT(A2352))</f>
        <v/>
      </c>
      <c r="D2352">
        <f>IF(B2352="","",HOUR(A2352))</f>
        <v/>
      </c>
    </row>
    <row r="2353">
      <c r="A2353">
        <f>Input!A2353</f>
        <v/>
      </c>
      <c r="B2353">
        <f>IF(ISNUMBER(Input!B2353),IF(AND(Input!B2353&gt;=20,Input!B2353&lt;=700),Input!B2353,""),"")</f>
        <v/>
      </c>
      <c r="C2353">
        <f>IF(B2353="","",INT(A2353))</f>
        <v/>
      </c>
      <c r="D2353">
        <f>IF(B2353="","",HOUR(A2353))</f>
        <v/>
      </c>
    </row>
    <row r="2354">
      <c r="A2354">
        <f>Input!A2354</f>
        <v/>
      </c>
      <c r="B2354">
        <f>IF(ISNUMBER(Input!B2354),IF(AND(Input!B2354&gt;=20,Input!B2354&lt;=700),Input!B2354,""),"")</f>
        <v/>
      </c>
      <c r="C2354">
        <f>IF(B2354="","",INT(A2354))</f>
        <v/>
      </c>
      <c r="D2354">
        <f>IF(B2354="","",HOUR(A2354))</f>
        <v/>
      </c>
    </row>
    <row r="2355">
      <c r="A2355">
        <f>Input!A2355</f>
        <v/>
      </c>
      <c r="B2355">
        <f>IF(ISNUMBER(Input!B2355),IF(AND(Input!B2355&gt;=20,Input!B2355&lt;=700),Input!B2355,""),"")</f>
        <v/>
      </c>
      <c r="C2355">
        <f>IF(B2355="","",INT(A2355))</f>
        <v/>
      </c>
      <c r="D2355">
        <f>IF(B2355="","",HOUR(A2355))</f>
        <v/>
      </c>
    </row>
    <row r="2356">
      <c r="A2356">
        <f>Input!A2356</f>
        <v/>
      </c>
      <c r="B2356">
        <f>IF(ISNUMBER(Input!B2356),IF(AND(Input!B2356&gt;=20,Input!B2356&lt;=700),Input!B2356,""),"")</f>
        <v/>
      </c>
      <c r="C2356">
        <f>IF(B2356="","",INT(A2356))</f>
        <v/>
      </c>
      <c r="D2356">
        <f>IF(B2356="","",HOUR(A2356))</f>
        <v/>
      </c>
    </row>
    <row r="2357">
      <c r="A2357">
        <f>Input!A2357</f>
        <v/>
      </c>
      <c r="B2357">
        <f>IF(ISNUMBER(Input!B2357),IF(AND(Input!B2357&gt;=20,Input!B2357&lt;=700),Input!B2357,""),"")</f>
        <v/>
      </c>
      <c r="C2357">
        <f>IF(B2357="","",INT(A2357))</f>
        <v/>
      </c>
      <c r="D2357">
        <f>IF(B2357="","",HOUR(A2357))</f>
        <v/>
      </c>
    </row>
    <row r="2358">
      <c r="A2358">
        <f>Input!A2358</f>
        <v/>
      </c>
      <c r="B2358">
        <f>IF(ISNUMBER(Input!B2358),IF(AND(Input!B2358&gt;=20,Input!B2358&lt;=700),Input!B2358,""),"")</f>
        <v/>
      </c>
      <c r="C2358">
        <f>IF(B2358="","",INT(A2358))</f>
        <v/>
      </c>
      <c r="D2358">
        <f>IF(B2358="","",HOUR(A2358))</f>
        <v/>
      </c>
    </row>
    <row r="2359">
      <c r="A2359">
        <f>Input!A2359</f>
        <v/>
      </c>
      <c r="B2359">
        <f>IF(ISNUMBER(Input!B2359),IF(AND(Input!B2359&gt;=20,Input!B2359&lt;=700),Input!B2359,""),"")</f>
        <v/>
      </c>
      <c r="C2359">
        <f>IF(B2359="","",INT(A2359))</f>
        <v/>
      </c>
      <c r="D2359">
        <f>IF(B2359="","",HOUR(A2359))</f>
        <v/>
      </c>
    </row>
    <row r="2360">
      <c r="A2360">
        <f>Input!A2360</f>
        <v/>
      </c>
      <c r="B2360">
        <f>IF(ISNUMBER(Input!B2360),IF(AND(Input!B2360&gt;=20,Input!B2360&lt;=700),Input!B2360,""),"")</f>
        <v/>
      </c>
      <c r="C2360">
        <f>IF(B2360="","",INT(A2360))</f>
        <v/>
      </c>
      <c r="D2360">
        <f>IF(B2360="","",HOUR(A2360))</f>
        <v/>
      </c>
    </row>
    <row r="2361">
      <c r="A2361">
        <f>Input!A2361</f>
        <v/>
      </c>
      <c r="B2361">
        <f>IF(ISNUMBER(Input!B2361),IF(AND(Input!B2361&gt;=20,Input!B2361&lt;=700),Input!B2361,""),"")</f>
        <v/>
      </c>
      <c r="C2361">
        <f>IF(B2361="","",INT(A2361))</f>
        <v/>
      </c>
      <c r="D2361">
        <f>IF(B2361="","",HOUR(A2361))</f>
        <v/>
      </c>
    </row>
    <row r="2362">
      <c r="A2362">
        <f>Input!A2362</f>
        <v/>
      </c>
      <c r="B2362">
        <f>IF(ISNUMBER(Input!B2362),IF(AND(Input!B2362&gt;=20,Input!B2362&lt;=700),Input!B2362,""),"")</f>
        <v/>
      </c>
      <c r="C2362">
        <f>IF(B2362="","",INT(A2362))</f>
        <v/>
      </c>
      <c r="D2362">
        <f>IF(B2362="","",HOUR(A2362))</f>
        <v/>
      </c>
    </row>
    <row r="2363">
      <c r="A2363">
        <f>Input!A2363</f>
        <v/>
      </c>
      <c r="B2363">
        <f>IF(ISNUMBER(Input!B2363),IF(AND(Input!B2363&gt;=20,Input!B2363&lt;=700),Input!B2363,""),"")</f>
        <v/>
      </c>
      <c r="C2363">
        <f>IF(B2363="","",INT(A2363))</f>
        <v/>
      </c>
      <c r="D2363">
        <f>IF(B2363="","",HOUR(A2363))</f>
        <v/>
      </c>
    </row>
    <row r="2364">
      <c r="A2364">
        <f>Input!A2364</f>
        <v/>
      </c>
      <c r="B2364">
        <f>IF(ISNUMBER(Input!B2364),IF(AND(Input!B2364&gt;=20,Input!B2364&lt;=700),Input!B2364,""),"")</f>
        <v/>
      </c>
      <c r="C2364">
        <f>IF(B2364="","",INT(A2364))</f>
        <v/>
      </c>
      <c r="D2364">
        <f>IF(B2364="","",HOUR(A2364))</f>
        <v/>
      </c>
    </row>
    <row r="2365">
      <c r="A2365">
        <f>Input!A2365</f>
        <v/>
      </c>
      <c r="B2365">
        <f>IF(ISNUMBER(Input!B2365),IF(AND(Input!B2365&gt;=20,Input!B2365&lt;=700),Input!B2365,""),"")</f>
        <v/>
      </c>
      <c r="C2365">
        <f>IF(B2365="","",INT(A2365))</f>
        <v/>
      </c>
      <c r="D2365">
        <f>IF(B2365="","",HOUR(A2365))</f>
        <v/>
      </c>
    </row>
    <row r="2366">
      <c r="A2366">
        <f>Input!A2366</f>
        <v/>
      </c>
      <c r="B2366">
        <f>IF(ISNUMBER(Input!B2366),IF(AND(Input!B2366&gt;=20,Input!B2366&lt;=700),Input!B2366,""),"")</f>
        <v/>
      </c>
      <c r="C2366">
        <f>IF(B2366="","",INT(A2366))</f>
        <v/>
      </c>
      <c r="D2366">
        <f>IF(B2366="","",HOUR(A2366))</f>
        <v/>
      </c>
    </row>
    <row r="2367">
      <c r="A2367">
        <f>Input!A2367</f>
        <v/>
      </c>
      <c r="B2367">
        <f>IF(ISNUMBER(Input!B2367),IF(AND(Input!B2367&gt;=20,Input!B2367&lt;=700),Input!B2367,""),"")</f>
        <v/>
      </c>
      <c r="C2367">
        <f>IF(B2367="","",INT(A2367))</f>
        <v/>
      </c>
      <c r="D2367">
        <f>IF(B2367="","",HOUR(A2367))</f>
        <v/>
      </c>
    </row>
    <row r="2368">
      <c r="A2368">
        <f>Input!A2368</f>
        <v/>
      </c>
      <c r="B2368">
        <f>IF(ISNUMBER(Input!B2368),IF(AND(Input!B2368&gt;=20,Input!B2368&lt;=700),Input!B2368,""),"")</f>
        <v/>
      </c>
      <c r="C2368">
        <f>IF(B2368="","",INT(A2368))</f>
        <v/>
      </c>
      <c r="D2368">
        <f>IF(B2368="","",HOUR(A2368))</f>
        <v/>
      </c>
    </row>
    <row r="2369">
      <c r="A2369">
        <f>Input!A2369</f>
        <v/>
      </c>
      <c r="B2369">
        <f>IF(ISNUMBER(Input!B2369),IF(AND(Input!B2369&gt;=20,Input!B2369&lt;=700),Input!B2369,""),"")</f>
        <v/>
      </c>
      <c r="C2369">
        <f>IF(B2369="","",INT(A2369))</f>
        <v/>
      </c>
      <c r="D2369">
        <f>IF(B2369="","",HOUR(A2369))</f>
        <v/>
      </c>
    </row>
    <row r="2370">
      <c r="A2370">
        <f>Input!A2370</f>
        <v/>
      </c>
      <c r="B2370">
        <f>IF(ISNUMBER(Input!B2370),IF(AND(Input!B2370&gt;=20,Input!B2370&lt;=700),Input!B2370,""),"")</f>
        <v/>
      </c>
      <c r="C2370">
        <f>IF(B2370="","",INT(A2370))</f>
        <v/>
      </c>
      <c r="D2370">
        <f>IF(B2370="","",HOUR(A2370))</f>
        <v/>
      </c>
    </row>
    <row r="2371">
      <c r="A2371">
        <f>Input!A2371</f>
        <v/>
      </c>
      <c r="B2371">
        <f>IF(ISNUMBER(Input!B2371),IF(AND(Input!B2371&gt;=20,Input!B2371&lt;=700),Input!B2371,""),"")</f>
        <v/>
      </c>
      <c r="C2371">
        <f>IF(B2371="","",INT(A2371))</f>
        <v/>
      </c>
      <c r="D2371">
        <f>IF(B2371="","",HOUR(A2371))</f>
        <v/>
      </c>
    </row>
    <row r="2372">
      <c r="A2372">
        <f>Input!A2372</f>
        <v/>
      </c>
      <c r="B2372">
        <f>IF(ISNUMBER(Input!B2372),IF(AND(Input!B2372&gt;=20,Input!B2372&lt;=700),Input!B2372,""),"")</f>
        <v/>
      </c>
      <c r="C2372">
        <f>IF(B2372="","",INT(A2372))</f>
        <v/>
      </c>
      <c r="D2372">
        <f>IF(B2372="","",HOUR(A2372))</f>
        <v/>
      </c>
    </row>
    <row r="2373">
      <c r="A2373">
        <f>Input!A2373</f>
        <v/>
      </c>
      <c r="B2373">
        <f>IF(ISNUMBER(Input!B2373),IF(AND(Input!B2373&gt;=20,Input!B2373&lt;=700),Input!B2373,""),"")</f>
        <v/>
      </c>
      <c r="C2373">
        <f>IF(B2373="","",INT(A2373))</f>
        <v/>
      </c>
      <c r="D2373">
        <f>IF(B2373="","",HOUR(A2373))</f>
        <v/>
      </c>
    </row>
    <row r="2374">
      <c r="A2374">
        <f>Input!A2374</f>
        <v/>
      </c>
      <c r="B2374">
        <f>IF(ISNUMBER(Input!B2374),IF(AND(Input!B2374&gt;=20,Input!B2374&lt;=700),Input!B2374,""),"")</f>
        <v/>
      </c>
      <c r="C2374">
        <f>IF(B2374="","",INT(A2374))</f>
        <v/>
      </c>
      <c r="D2374">
        <f>IF(B2374="","",HOUR(A2374))</f>
        <v/>
      </c>
    </row>
    <row r="2375">
      <c r="A2375">
        <f>Input!A2375</f>
        <v/>
      </c>
      <c r="B2375">
        <f>IF(ISNUMBER(Input!B2375),IF(AND(Input!B2375&gt;=20,Input!B2375&lt;=700),Input!B2375,""),"")</f>
        <v/>
      </c>
      <c r="C2375">
        <f>IF(B2375="","",INT(A2375))</f>
        <v/>
      </c>
      <c r="D2375">
        <f>IF(B2375="","",HOUR(A2375))</f>
        <v/>
      </c>
    </row>
    <row r="2376">
      <c r="A2376">
        <f>Input!A2376</f>
        <v/>
      </c>
      <c r="B2376">
        <f>IF(ISNUMBER(Input!B2376),IF(AND(Input!B2376&gt;=20,Input!B2376&lt;=700),Input!B2376,""),"")</f>
        <v/>
      </c>
      <c r="C2376">
        <f>IF(B2376="","",INT(A2376))</f>
        <v/>
      </c>
      <c r="D2376">
        <f>IF(B2376="","",HOUR(A2376))</f>
        <v/>
      </c>
    </row>
    <row r="2377">
      <c r="A2377">
        <f>Input!A2377</f>
        <v/>
      </c>
      <c r="B2377">
        <f>IF(ISNUMBER(Input!B2377),IF(AND(Input!B2377&gt;=20,Input!B2377&lt;=700),Input!B2377,""),"")</f>
        <v/>
      </c>
      <c r="C2377">
        <f>IF(B2377="","",INT(A2377))</f>
        <v/>
      </c>
      <c r="D2377">
        <f>IF(B2377="","",HOUR(A2377))</f>
        <v/>
      </c>
    </row>
    <row r="2378">
      <c r="A2378">
        <f>Input!A2378</f>
        <v/>
      </c>
      <c r="B2378">
        <f>IF(ISNUMBER(Input!B2378),IF(AND(Input!B2378&gt;=20,Input!B2378&lt;=700),Input!B2378,""),"")</f>
        <v/>
      </c>
      <c r="C2378">
        <f>IF(B2378="","",INT(A2378))</f>
        <v/>
      </c>
      <c r="D2378">
        <f>IF(B2378="","",HOUR(A2378))</f>
        <v/>
      </c>
    </row>
    <row r="2379">
      <c r="A2379">
        <f>Input!A2379</f>
        <v/>
      </c>
      <c r="B2379">
        <f>IF(ISNUMBER(Input!B2379),IF(AND(Input!B2379&gt;=20,Input!B2379&lt;=700),Input!B2379,""),"")</f>
        <v/>
      </c>
      <c r="C2379">
        <f>IF(B2379="","",INT(A2379))</f>
        <v/>
      </c>
      <c r="D2379">
        <f>IF(B2379="","",HOUR(A2379))</f>
        <v/>
      </c>
    </row>
    <row r="2380">
      <c r="A2380">
        <f>Input!A2380</f>
        <v/>
      </c>
      <c r="B2380">
        <f>IF(ISNUMBER(Input!B2380),IF(AND(Input!B2380&gt;=20,Input!B2380&lt;=700),Input!B2380,""),"")</f>
        <v/>
      </c>
      <c r="C2380">
        <f>IF(B2380="","",INT(A2380))</f>
        <v/>
      </c>
      <c r="D2380">
        <f>IF(B2380="","",HOUR(A2380))</f>
        <v/>
      </c>
    </row>
    <row r="2381">
      <c r="A2381">
        <f>Input!A2381</f>
        <v/>
      </c>
      <c r="B2381">
        <f>IF(ISNUMBER(Input!B2381),IF(AND(Input!B2381&gt;=20,Input!B2381&lt;=700),Input!B2381,""),"")</f>
        <v/>
      </c>
      <c r="C2381">
        <f>IF(B2381="","",INT(A2381))</f>
        <v/>
      </c>
      <c r="D2381">
        <f>IF(B2381="","",HOUR(A2381))</f>
        <v/>
      </c>
    </row>
    <row r="2382">
      <c r="A2382">
        <f>Input!A2382</f>
        <v/>
      </c>
      <c r="B2382">
        <f>IF(ISNUMBER(Input!B2382),IF(AND(Input!B2382&gt;=20,Input!B2382&lt;=700),Input!B2382,""),"")</f>
        <v/>
      </c>
      <c r="C2382">
        <f>IF(B2382="","",INT(A2382))</f>
        <v/>
      </c>
      <c r="D2382">
        <f>IF(B2382="","",HOUR(A2382))</f>
        <v/>
      </c>
    </row>
    <row r="2383">
      <c r="A2383">
        <f>Input!A2383</f>
        <v/>
      </c>
      <c r="B2383">
        <f>IF(ISNUMBER(Input!B2383),IF(AND(Input!B2383&gt;=20,Input!B2383&lt;=700),Input!B2383,""),"")</f>
        <v/>
      </c>
      <c r="C2383">
        <f>IF(B2383="","",INT(A2383))</f>
        <v/>
      </c>
      <c r="D2383">
        <f>IF(B2383="","",HOUR(A2383))</f>
        <v/>
      </c>
    </row>
    <row r="2384">
      <c r="A2384">
        <f>Input!A2384</f>
        <v/>
      </c>
      <c r="B2384">
        <f>IF(ISNUMBER(Input!B2384),IF(AND(Input!B2384&gt;=20,Input!B2384&lt;=700),Input!B2384,""),"")</f>
        <v/>
      </c>
      <c r="C2384">
        <f>IF(B2384="","",INT(A2384))</f>
        <v/>
      </c>
      <c r="D2384">
        <f>IF(B2384="","",HOUR(A2384))</f>
        <v/>
      </c>
    </row>
    <row r="2385">
      <c r="A2385">
        <f>Input!A2385</f>
        <v/>
      </c>
      <c r="B2385">
        <f>IF(ISNUMBER(Input!B2385),IF(AND(Input!B2385&gt;=20,Input!B2385&lt;=700),Input!B2385,""),"")</f>
        <v/>
      </c>
      <c r="C2385">
        <f>IF(B2385="","",INT(A2385))</f>
        <v/>
      </c>
      <c r="D2385">
        <f>IF(B2385="","",HOUR(A2385))</f>
        <v/>
      </c>
    </row>
    <row r="2386">
      <c r="A2386">
        <f>Input!A2386</f>
        <v/>
      </c>
      <c r="B2386">
        <f>IF(ISNUMBER(Input!B2386),IF(AND(Input!B2386&gt;=20,Input!B2386&lt;=700),Input!B2386,""),"")</f>
        <v/>
      </c>
      <c r="C2386">
        <f>IF(B2386="","",INT(A2386))</f>
        <v/>
      </c>
      <c r="D2386">
        <f>IF(B2386="","",HOUR(A2386))</f>
        <v/>
      </c>
    </row>
    <row r="2387">
      <c r="A2387">
        <f>Input!A2387</f>
        <v/>
      </c>
      <c r="B2387">
        <f>IF(ISNUMBER(Input!B2387),IF(AND(Input!B2387&gt;=20,Input!B2387&lt;=700),Input!B2387,""),"")</f>
        <v/>
      </c>
      <c r="C2387">
        <f>IF(B2387="","",INT(A2387))</f>
        <v/>
      </c>
      <c r="D2387">
        <f>IF(B2387="","",HOUR(A2387))</f>
        <v/>
      </c>
    </row>
    <row r="2388">
      <c r="A2388">
        <f>Input!A2388</f>
        <v/>
      </c>
      <c r="B2388">
        <f>IF(ISNUMBER(Input!B2388),IF(AND(Input!B2388&gt;=20,Input!B2388&lt;=700),Input!B2388,""),"")</f>
        <v/>
      </c>
      <c r="C2388">
        <f>IF(B2388="","",INT(A2388))</f>
        <v/>
      </c>
      <c r="D2388">
        <f>IF(B2388="","",HOUR(A2388))</f>
        <v/>
      </c>
    </row>
    <row r="2389">
      <c r="A2389">
        <f>Input!A2389</f>
        <v/>
      </c>
      <c r="B2389">
        <f>IF(ISNUMBER(Input!B2389),IF(AND(Input!B2389&gt;=20,Input!B2389&lt;=700),Input!B2389,""),"")</f>
        <v/>
      </c>
      <c r="C2389">
        <f>IF(B2389="","",INT(A2389))</f>
        <v/>
      </c>
      <c r="D2389">
        <f>IF(B2389="","",HOUR(A2389))</f>
        <v/>
      </c>
    </row>
    <row r="2390">
      <c r="A2390">
        <f>Input!A2390</f>
        <v/>
      </c>
      <c r="B2390">
        <f>IF(ISNUMBER(Input!B2390),IF(AND(Input!B2390&gt;=20,Input!B2390&lt;=700),Input!B2390,""),"")</f>
        <v/>
      </c>
      <c r="C2390">
        <f>IF(B2390="","",INT(A2390))</f>
        <v/>
      </c>
      <c r="D2390">
        <f>IF(B2390="","",HOUR(A2390))</f>
        <v/>
      </c>
    </row>
    <row r="2391">
      <c r="A2391">
        <f>Input!A2391</f>
        <v/>
      </c>
      <c r="B2391">
        <f>IF(ISNUMBER(Input!B2391),IF(AND(Input!B2391&gt;=20,Input!B2391&lt;=700),Input!B2391,""),"")</f>
        <v/>
      </c>
      <c r="C2391">
        <f>IF(B2391="","",INT(A2391))</f>
        <v/>
      </c>
      <c r="D2391">
        <f>IF(B2391="","",HOUR(A2391))</f>
        <v/>
      </c>
    </row>
    <row r="2392">
      <c r="A2392">
        <f>Input!A2392</f>
        <v/>
      </c>
      <c r="B2392">
        <f>IF(ISNUMBER(Input!B2392),IF(AND(Input!B2392&gt;=20,Input!B2392&lt;=700),Input!B2392,""),"")</f>
        <v/>
      </c>
      <c r="C2392">
        <f>IF(B2392="","",INT(A2392))</f>
        <v/>
      </c>
      <c r="D2392">
        <f>IF(B2392="","",HOUR(A2392))</f>
        <v/>
      </c>
    </row>
    <row r="2393">
      <c r="A2393">
        <f>Input!A2393</f>
        <v/>
      </c>
      <c r="B2393">
        <f>IF(ISNUMBER(Input!B2393),IF(AND(Input!B2393&gt;=20,Input!B2393&lt;=700),Input!B2393,""),"")</f>
        <v/>
      </c>
      <c r="C2393">
        <f>IF(B2393="","",INT(A2393))</f>
        <v/>
      </c>
      <c r="D2393">
        <f>IF(B2393="","",HOUR(A2393))</f>
        <v/>
      </c>
    </row>
    <row r="2394">
      <c r="A2394">
        <f>Input!A2394</f>
        <v/>
      </c>
      <c r="B2394">
        <f>IF(ISNUMBER(Input!B2394),IF(AND(Input!B2394&gt;=20,Input!B2394&lt;=700),Input!B2394,""),"")</f>
        <v/>
      </c>
      <c r="C2394">
        <f>IF(B2394="","",INT(A2394))</f>
        <v/>
      </c>
      <c r="D2394">
        <f>IF(B2394="","",HOUR(A2394))</f>
        <v/>
      </c>
    </row>
    <row r="2395">
      <c r="A2395">
        <f>Input!A2395</f>
        <v/>
      </c>
      <c r="B2395">
        <f>IF(ISNUMBER(Input!B2395),IF(AND(Input!B2395&gt;=20,Input!B2395&lt;=700),Input!B2395,""),"")</f>
        <v/>
      </c>
      <c r="C2395">
        <f>IF(B2395="","",INT(A2395))</f>
        <v/>
      </c>
      <c r="D2395">
        <f>IF(B2395="","",HOUR(A2395))</f>
        <v/>
      </c>
    </row>
    <row r="2396">
      <c r="A2396">
        <f>Input!A2396</f>
        <v/>
      </c>
      <c r="B2396">
        <f>IF(ISNUMBER(Input!B2396),IF(AND(Input!B2396&gt;=20,Input!B2396&lt;=700),Input!B2396,""),"")</f>
        <v/>
      </c>
      <c r="C2396">
        <f>IF(B2396="","",INT(A2396))</f>
        <v/>
      </c>
      <c r="D2396">
        <f>IF(B2396="","",HOUR(A2396))</f>
        <v/>
      </c>
    </row>
    <row r="2397">
      <c r="A2397">
        <f>Input!A2397</f>
        <v/>
      </c>
      <c r="B2397">
        <f>IF(ISNUMBER(Input!B2397),IF(AND(Input!B2397&gt;=20,Input!B2397&lt;=700),Input!B2397,""),"")</f>
        <v/>
      </c>
      <c r="C2397">
        <f>IF(B2397="","",INT(A2397))</f>
        <v/>
      </c>
      <c r="D2397">
        <f>IF(B2397="","",HOUR(A2397))</f>
        <v/>
      </c>
    </row>
    <row r="2398">
      <c r="A2398">
        <f>Input!A2398</f>
        <v/>
      </c>
      <c r="B2398">
        <f>IF(ISNUMBER(Input!B2398),IF(AND(Input!B2398&gt;=20,Input!B2398&lt;=700),Input!B2398,""),"")</f>
        <v/>
      </c>
      <c r="C2398">
        <f>IF(B2398="","",INT(A2398))</f>
        <v/>
      </c>
      <c r="D2398">
        <f>IF(B2398="","",HOUR(A2398))</f>
        <v/>
      </c>
    </row>
    <row r="2399">
      <c r="A2399">
        <f>Input!A2399</f>
        <v/>
      </c>
      <c r="B2399">
        <f>IF(ISNUMBER(Input!B2399),IF(AND(Input!B2399&gt;=20,Input!B2399&lt;=700),Input!B2399,""),"")</f>
        <v/>
      </c>
      <c r="C2399">
        <f>IF(B2399="","",INT(A2399))</f>
        <v/>
      </c>
      <c r="D2399">
        <f>IF(B2399="","",HOUR(A2399))</f>
        <v/>
      </c>
    </row>
    <row r="2400">
      <c r="A2400">
        <f>Input!A2400</f>
        <v/>
      </c>
      <c r="B2400">
        <f>IF(ISNUMBER(Input!B2400),IF(AND(Input!B2400&gt;=20,Input!B2400&lt;=700),Input!B2400,""),"")</f>
        <v/>
      </c>
      <c r="C2400">
        <f>IF(B2400="","",INT(A2400))</f>
        <v/>
      </c>
      <c r="D2400">
        <f>IF(B2400="","",HOUR(A2400))</f>
        <v/>
      </c>
    </row>
    <row r="2401">
      <c r="A2401">
        <f>Input!A2401</f>
        <v/>
      </c>
      <c r="B2401">
        <f>IF(ISNUMBER(Input!B2401),IF(AND(Input!B2401&gt;=20,Input!B2401&lt;=700),Input!B2401,""),"")</f>
        <v/>
      </c>
      <c r="C2401">
        <f>IF(B2401="","",INT(A2401))</f>
        <v/>
      </c>
      <c r="D2401">
        <f>IF(B2401="","",HOUR(A2401))</f>
        <v/>
      </c>
    </row>
    <row r="2402">
      <c r="A2402">
        <f>Input!A2402</f>
        <v/>
      </c>
      <c r="B2402">
        <f>IF(ISNUMBER(Input!B2402),IF(AND(Input!B2402&gt;=20,Input!B2402&lt;=700),Input!B2402,""),"")</f>
        <v/>
      </c>
      <c r="C2402">
        <f>IF(B2402="","",INT(A2402))</f>
        <v/>
      </c>
      <c r="D2402">
        <f>IF(B2402="","",HOUR(A2402))</f>
        <v/>
      </c>
    </row>
    <row r="2403">
      <c r="A2403">
        <f>Input!A2403</f>
        <v/>
      </c>
      <c r="B2403">
        <f>IF(ISNUMBER(Input!B2403),IF(AND(Input!B2403&gt;=20,Input!B2403&lt;=700),Input!B2403,""),"")</f>
        <v/>
      </c>
      <c r="C2403">
        <f>IF(B2403="","",INT(A2403))</f>
        <v/>
      </c>
      <c r="D2403">
        <f>IF(B2403="","",HOUR(A2403))</f>
        <v/>
      </c>
    </row>
    <row r="2404">
      <c r="A2404">
        <f>Input!A2404</f>
        <v/>
      </c>
      <c r="B2404">
        <f>IF(ISNUMBER(Input!B2404),IF(AND(Input!B2404&gt;=20,Input!B2404&lt;=700),Input!B2404,""),"")</f>
        <v/>
      </c>
      <c r="C2404">
        <f>IF(B2404="","",INT(A2404))</f>
        <v/>
      </c>
      <c r="D2404">
        <f>IF(B2404="","",HOUR(A2404))</f>
        <v/>
      </c>
    </row>
    <row r="2405">
      <c r="A2405">
        <f>Input!A2405</f>
        <v/>
      </c>
      <c r="B2405">
        <f>IF(ISNUMBER(Input!B2405),IF(AND(Input!B2405&gt;=20,Input!B2405&lt;=700),Input!B2405,""),"")</f>
        <v/>
      </c>
      <c r="C2405">
        <f>IF(B2405="","",INT(A2405))</f>
        <v/>
      </c>
      <c r="D2405">
        <f>IF(B2405="","",HOUR(A2405))</f>
        <v/>
      </c>
    </row>
    <row r="2406">
      <c r="A2406">
        <f>Input!A2406</f>
        <v/>
      </c>
      <c r="B2406">
        <f>IF(ISNUMBER(Input!B2406),IF(AND(Input!B2406&gt;=20,Input!B2406&lt;=700),Input!B2406,""),"")</f>
        <v/>
      </c>
      <c r="C2406">
        <f>IF(B2406="","",INT(A2406))</f>
        <v/>
      </c>
      <c r="D2406">
        <f>IF(B2406="","",HOUR(A2406))</f>
        <v/>
      </c>
    </row>
    <row r="2407">
      <c r="A2407">
        <f>Input!A2407</f>
        <v/>
      </c>
      <c r="B2407">
        <f>IF(ISNUMBER(Input!B2407),IF(AND(Input!B2407&gt;=20,Input!B2407&lt;=700),Input!B2407,""),"")</f>
        <v/>
      </c>
      <c r="C2407">
        <f>IF(B2407="","",INT(A2407))</f>
        <v/>
      </c>
      <c r="D2407">
        <f>IF(B2407="","",HOUR(A2407))</f>
        <v/>
      </c>
    </row>
    <row r="2408">
      <c r="A2408">
        <f>Input!A2408</f>
        <v/>
      </c>
      <c r="B2408">
        <f>IF(ISNUMBER(Input!B2408),IF(AND(Input!B2408&gt;=20,Input!B2408&lt;=700),Input!B2408,""),"")</f>
        <v/>
      </c>
      <c r="C2408">
        <f>IF(B2408="","",INT(A2408))</f>
        <v/>
      </c>
      <c r="D2408">
        <f>IF(B2408="","",HOUR(A2408))</f>
        <v/>
      </c>
    </row>
    <row r="2409">
      <c r="A2409">
        <f>Input!A2409</f>
        <v/>
      </c>
      <c r="B2409">
        <f>IF(ISNUMBER(Input!B2409),IF(AND(Input!B2409&gt;=20,Input!B2409&lt;=700),Input!B2409,""),"")</f>
        <v/>
      </c>
      <c r="C2409">
        <f>IF(B2409="","",INT(A2409))</f>
        <v/>
      </c>
      <c r="D2409">
        <f>IF(B2409="","",HOUR(A2409))</f>
        <v/>
      </c>
    </row>
    <row r="2410">
      <c r="A2410">
        <f>Input!A2410</f>
        <v/>
      </c>
      <c r="B2410">
        <f>IF(ISNUMBER(Input!B2410),IF(AND(Input!B2410&gt;=20,Input!B2410&lt;=700),Input!B2410,""),"")</f>
        <v/>
      </c>
      <c r="C2410">
        <f>IF(B2410="","",INT(A2410))</f>
        <v/>
      </c>
      <c r="D2410">
        <f>IF(B2410="","",HOUR(A2410))</f>
        <v/>
      </c>
    </row>
    <row r="2411">
      <c r="A2411">
        <f>Input!A2411</f>
        <v/>
      </c>
      <c r="B2411">
        <f>IF(ISNUMBER(Input!B2411),IF(AND(Input!B2411&gt;=20,Input!B2411&lt;=700),Input!B2411,""),"")</f>
        <v/>
      </c>
      <c r="C2411">
        <f>IF(B2411="","",INT(A2411))</f>
        <v/>
      </c>
      <c r="D2411">
        <f>IF(B2411="","",HOUR(A2411))</f>
        <v/>
      </c>
    </row>
    <row r="2412">
      <c r="A2412">
        <f>Input!A2412</f>
        <v/>
      </c>
      <c r="B2412">
        <f>IF(ISNUMBER(Input!B2412),IF(AND(Input!B2412&gt;=20,Input!B2412&lt;=700),Input!B2412,""),"")</f>
        <v/>
      </c>
      <c r="C2412">
        <f>IF(B2412="","",INT(A2412))</f>
        <v/>
      </c>
      <c r="D2412">
        <f>IF(B2412="","",HOUR(A2412))</f>
        <v/>
      </c>
    </row>
    <row r="2413">
      <c r="A2413">
        <f>Input!A2413</f>
        <v/>
      </c>
      <c r="B2413">
        <f>IF(ISNUMBER(Input!B2413),IF(AND(Input!B2413&gt;=20,Input!B2413&lt;=700),Input!B2413,""),"")</f>
        <v/>
      </c>
      <c r="C2413">
        <f>IF(B2413="","",INT(A2413))</f>
        <v/>
      </c>
      <c r="D2413">
        <f>IF(B2413="","",HOUR(A2413))</f>
        <v/>
      </c>
    </row>
    <row r="2414">
      <c r="A2414">
        <f>Input!A2414</f>
        <v/>
      </c>
      <c r="B2414">
        <f>IF(ISNUMBER(Input!B2414),IF(AND(Input!B2414&gt;=20,Input!B2414&lt;=700),Input!B2414,""),"")</f>
        <v/>
      </c>
      <c r="C2414">
        <f>IF(B2414="","",INT(A2414))</f>
        <v/>
      </c>
      <c r="D2414">
        <f>IF(B2414="","",HOUR(A2414))</f>
        <v/>
      </c>
    </row>
    <row r="2415">
      <c r="A2415">
        <f>Input!A2415</f>
        <v/>
      </c>
      <c r="B2415">
        <f>IF(ISNUMBER(Input!B2415),IF(AND(Input!B2415&gt;=20,Input!B2415&lt;=700),Input!B2415,""),"")</f>
        <v/>
      </c>
      <c r="C2415">
        <f>IF(B2415="","",INT(A2415))</f>
        <v/>
      </c>
      <c r="D2415">
        <f>IF(B2415="","",HOUR(A2415))</f>
        <v/>
      </c>
    </row>
    <row r="2416">
      <c r="A2416">
        <f>Input!A2416</f>
        <v/>
      </c>
      <c r="B2416">
        <f>IF(ISNUMBER(Input!B2416),IF(AND(Input!B2416&gt;=20,Input!B2416&lt;=700),Input!B2416,""),"")</f>
        <v/>
      </c>
      <c r="C2416">
        <f>IF(B2416="","",INT(A2416))</f>
        <v/>
      </c>
      <c r="D2416">
        <f>IF(B2416="","",HOUR(A2416))</f>
        <v/>
      </c>
    </row>
    <row r="2417">
      <c r="A2417">
        <f>Input!A2417</f>
        <v/>
      </c>
      <c r="B2417">
        <f>IF(ISNUMBER(Input!B2417),IF(AND(Input!B2417&gt;=20,Input!B2417&lt;=700),Input!B2417,""),"")</f>
        <v/>
      </c>
      <c r="C2417">
        <f>IF(B2417="","",INT(A2417))</f>
        <v/>
      </c>
      <c r="D2417">
        <f>IF(B2417="","",HOUR(A2417))</f>
        <v/>
      </c>
    </row>
    <row r="2418">
      <c r="A2418">
        <f>Input!A2418</f>
        <v/>
      </c>
      <c r="B2418">
        <f>IF(ISNUMBER(Input!B2418),IF(AND(Input!B2418&gt;=20,Input!B2418&lt;=700),Input!B2418,""),"")</f>
        <v/>
      </c>
      <c r="C2418">
        <f>IF(B2418="","",INT(A2418))</f>
        <v/>
      </c>
      <c r="D2418">
        <f>IF(B2418="","",HOUR(A2418))</f>
        <v/>
      </c>
    </row>
    <row r="2419">
      <c r="A2419">
        <f>Input!A2419</f>
        <v/>
      </c>
      <c r="B2419">
        <f>IF(ISNUMBER(Input!B2419),IF(AND(Input!B2419&gt;=20,Input!B2419&lt;=700),Input!B2419,""),"")</f>
        <v/>
      </c>
      <c r="C2419">
        <f>IF(B2419="","",INT(A2419))</f>
        <v/>
      </c>
      <c r="D2419">
        <f>IF(B2419="","",HOUR(A2419))</f>
        <v/>
      </c>
    </row>
    <row r="2420">
      <c r="A2420">
        <f>Input!A2420</f>
        <v/>
      </c>
      <c r="B2420">
        <f>IF(ISNUMBER(Input!B2420),IF(AND(Input!B2420&gt;=20,Input!B2420&lt;=700),Input!B2420,""),"")</f>
        <v/>
      </c>
      <c r="C2420">
        <f>IF(B2420="","",INT(A2420))</f>
        <v/>
      </c>
      <c r="D2420">
        <f>IF(B2420="","",HOUR(A2420))</f>
        <v/>
      </c>
    </row>
    <row r="2421">
      <c r="A2421">
        <f>Input!A2421</f>
        <v/>
      </c>
      <c r="B2421">
        <f>IF(ISNUMBER(Input!B2421),IF(AND(Input!B2421&gt;=20,Input!B2421&lt;=700),Input!B2421,""),"")</f>
        <v/>
      </c>
      <c r="C2421">
        <f>IF(B2421="","",INT(A2421))</f>
        <v/>
      </c>
      <c r="D2421">
        <f>IF(B2421="","",HOUR(A2421))</f>
        <v/>
      </c>
    </row>
    <row r="2422">
      <c r="A2422">
        <f>Input!A2422</f>
        <v/>
      </c>
      <c r="B2422">
        <f>IF(ISNUMBER(Input!B2422),IF(AND(Input!B2422&gt;=20,Input!B2422&lt;=700),Input!B2422,""),"")</f>
        <v/>
      </c>
      <c r="C2422">
        <f>IF(B2422="","",INT(A2422))</f>
        <v/>
      </c>
      <c r="D2422">
        <f>IF(B2422="","",HOUR(A2422))</f>
        <v/>
      </c>
    </row>
    <row r="2423">
      <c r="A2423">
        <f>Input!A2423</f>
        <v/>
      </c>
      <c r="B2423">
        <f>IF(ISNUMBER(Input!B2423),IF(AND(Input!B2423&gt;=20,Input!B2423&lt;=700),Input!B2423,""),"")</f>
        <v/>
      </c>
      <c r="C2423">
        <f>IF(B2423="","",INT(A2423))</f>
        <v/>
      </c>
      <c r="D2423">
        <f>IF(B2423="","",HOUR(A2423))</f>
        <v/>
      </c>
    </row>
    <row r="2424">
      <c r="A2424">
        <f>Input!A2424</f>
        <v/>
      </c>
      <c r="B2424">
        <f>IF(ISNUMBER(Input!B2424),IF(AND(Input!B2424&gt;=20,Input!B2424&lt;=700),Input!B2424,""),"")</f>
        <v/>
      </c>
      <c r="C2424">
        <f>IF(B2424="","",INT(A2424))</f>
        <v/>
      </c>
      <c r="D2424">
        <f>IF(B2424="","",HOUR(A2424))</f>
        <v/>
      </c>
    </row>
    <row r="2425">
      <c r="A2425">
        <f>Input!A2425</f>
        <v/>
      </c>
      <c r="B2425">
        <f>IF(ISNUMBER(Input!B2425),IF(AND(Input!B2425&gt;=20,Input!B2425&lt;=700),Input!B2425,""),"")</f>
        <v/>
      </c>
      <c r="C2425">
        <f>IF(B2425="","",INT(A2425))</f>
        <v/>
      </c>
      <c r="D2425">
        <f>IF(B2425="","",HOUR(A2425))</f>
        <v/>
      </c>
    </row>
    <row r="2426">
      <c r="A2426">
        <f>Input!A2426</f>
        <v/>
      </c>
      <c r="B2426">
        <f>IF(ISNUMBER(Input!B2426),IF(AND(Input!B2426&gt;=20,Input!B2426&lt;=700),Input!B2426,""),"")</f>
        <v/>
      </c>
      <c r="C2426">
        <f>IF(B2426="","",INT(A2426))</f>
        <v/>
      </c>
      <c r="D2426">
        <f>IF(B2426="","",HOUR(A2426))</f>
        <v/>
      </c>
    </row>
    <row r="2427">
      <c r="A2427">
        <f>Input!A2427</f>
        <v/>
      </c>
      <c r="B2427">
        <f>IF(ISNUMBER(Input!B2427),IF(AND(Input!B2427&gt;=20,Input!B2427&lt;=700),Input!B2427,""),"")</f>
        <v/>
      </c>
      <c r="C2427">
        <f>IF(B2427="","",INT(A2427))</f>
        <v/>
      </c>
      <c r="D2427">
        <f>IF(B2427="","",HOUR(A2427))</f>
        <v/>
      </c>
    </row>
    <row r="2428">
      <c r="A2428">
        <f>Input!A2428</f>
        <v/>
      </c>
      <c r="B2428">
        <f>IF(ISNUMBER(Input!B2428),IF(AND(Input!B2428&gt;=20,Input!B2428&lt;=700),Input!B2428,""),"")</f>
        <v/>
      </c>
      <c r="C2428">
        <f>IF(B2428="","",INT(A2428))</f>
        <v/>
      </c>
      <c r="D2428">
        <f>IF(B2428="","",HOUR(A2428))</f>
        <v/>
      </c>
    </row>
    <row r="2429">
      <c r="A2429">
        <f>Input!A2429</f>
        <v/>
      </c>
      <c r="B2429">
        <f>IF(ISNUMBER(Input!B2429),IF(AND(Input!B2429&gt;=20,Input!B2429&lt;=700),Input!B2429,""),"")</f>
        <v/>
      </c>
      <c r="C2429">
        <f>IF(B2429="","",INT(A2429))</f>
        <v/>
      </c>
      <c r="D2429">
        <f>IF(B2429="","",HOUR(A2429))</f>
        <v/>
      </c>
    </row>
    <row r="2430">
      <c r="A2430">
        <f>Input!A2430</f>
        <v/>
      </c>
      <c r="B2430">
        <f>IF(ISNUMBER(Input!B2430),IF(AND(Input!B2430&gt;=20,Input!B2430&lt;=700),Input!B2430,""),"")</f>
        <v/>
      </c>
      <c r="C2430">
        <f>IF(B2430="","",INT(A2430))</f>
        <v/>
      </c>
      <c r="D2430">
        <f>IF(B2430="","",HOUR(A2430))</f>
        <v/>
      </c>
    </row>
    <row r="2431">
      <c r="A2431">
        <f>Input!A2431</f>
        <v/>
      </c>
      <c r="B2431">
        <f>IF(ISNUMBER(Input!B2431),IF(AND(Input!B2431&gt;=20,Input!B2431&lt;=700),Input!B2431,""),"")</f>
        <v/>
      </c>
      <c r="C2431">
        <f>IF(B2431="","",INT(A2431))</f>
        <v/>
      </c>
      <c r="D2431">
        <f>IF(B2431="","",HOUR(A2431))</f>
        <v/>
      </c>
    </row>
    <row r="2432">
      <c r="A2432">
        <f>Input!A2432</f>
        <v/>
      </c>
      <c r="B2432">
        <f>IF(ISNUMBER(Input!B2432),IF(AND(Input!B2432&gt;=20,Input!B2432&lt;=700),Input!B2432,""),"")</f>
        <v/>
      </c>
      <c r="C2432">
        <f>IF(B2432="","",INT(A2432))</f>
        <v/>
      </c>
      <c r="D2432">
        <f>IF(B2432="","",HOUR(A2432))</f>
        <v/>
      </c>
    </row>
    <row r="2433">
      <c r="A2433">
        <f>Input!A2433</f>
        <v/>
      </c>
      <c r="B2433">
        <f>IF(ISNUMBER(Input!B2433),IF(AND(Input!B2433&gt;=20,Input!B2433&lt;=700),Input!B2433,""),"")</f>
        <v/>
      </c>
      <c r="C2433">
        <f>IF(B2433="","",INT(A2433))</f>
        <v/>
      </c>
      <c r="D2433">
        <f>IF(B2433="","",HOUR(A2433))</f>
        <v/>
      </c>
    </row>
    <row r="2434">
      <c r="A2434">
        <f>Input!A2434</f>
        <v/>
      </c>
      <c r="B2434">
        <f>IF(ISNUMBER(Input!B2434),IF(AND(Input!B2434&gt;=20,Input!B2434&lt;=700),Input!B2434,""),"")</f>
        <v/>
      </c>
      <c r="C2434">
        <f>IF(B2434="","",INT(A2434))</f>
        <v/>
      </c>
      <c r="D2434">
        <f>IF(B2434="","",HOUR(A2434))</f>
        <v/>
      </c>
    </row>
    <row r="2435">
      <c r="A2435">
        <f>Input!A2435</f>
        <v/>
      </c>
      <c r="B2435">
        <f>IF(ISNUMBER(Input!B2435),IF(AND(Input!B2435&gt;=20,Input!B2435&lt;=700),Input!B2435,""),"")</f>
        <v/>
      </c>
      <c r="C2435">
        <f>IF(B2435="","",INT(A2435))</f>
        <v/>
      </c>
      <c r="D2435">
        <f>IF(B2435="","",HOUR(A2435))</f>
        <v/>
      </c>
    </row>
    <row r="2436">
      <c r="A2436">
        <f>Input!A2436</f>
        <v/>
      </c>
      <c r="B2436">
        <f>IF(ISNUMBER(Input!B2436),IF(AND(Input!B2436&gt;=20,Input!B2436&lt;=700),Input!B2436,""),"")</f>
        <v/>
      </c>
      <c r="C2436">
        <f>IF(B2436="","",INT(A2436))</f>
        <v/>
      </c>
      <c r="D2436">
        <f>IF(B2436="","",HOUR(A2436))</f>
        <v/>
      </c>
    </row>
    <row r="2437">
      <c r="A2437">
        <f>Input!A2437</f>
        <v/>
      </c>
      <c r="B2437">
        <f>IF(ISNUMBER(Input!B2437),IF(AND(Input!B2437&gt;=20,Input!B2437&lt;=700),Input!B2437,""),"")</f>
        <v/>
      </c>
      <c r="C2437">
        <f>IF(B2437="","",INT(A2437))</f>
        <v/>
      </c>
      <c r="D2437">
        <f>IF(B2437="","",HOUR(A2437))</f>
        <v/>
      </c>
    </row>
    <row r="2438">
      <c r="A2438">
        <f>Input!A2438</f>
        <v/>
      </c>
      <c r="B2438">
        <f>IF(ISNUMBER(Input!B2438),IF(AND(Input!B2438&gt;=20,Input!B2438&lt;=700),Input!B2438,""),"")</f>
        <v/>
      </c>
      <c r="C2438">
        <f>IF(B2438="","",INT(A2438))</f>
        <v/>
      </c>
      <c r="D2438">
        <f>IF(B2438="","",HOUR(A2438))</f>
        <v/>
      </c>
    </row>
    <row r="2439">
      <c r="A2439">
        <f>Input!A2439</f>
        <v/>
      </c>
      <c r="B2439">
        <f>IF(ISNUMBER(Input!B2439),IF(AND(Input!B2439&gt;=20,Input!B2439&lt;=700),Input!B2439,""),"")</f>
        <v/>
      </c>
      <c r="C2439">
        <f>IF(B2439="","",INT(A2439))</f>
        <v/>
      </c>
      <c r="D2439">
        <f>IF(B2439="","",HOUR(A2439))</f>
        <v/>
      </c>
    </row>
    <row r="2440">
      <c r="A2440">
        <f>Input!A2440</f>
        <v/>
      </c>
      <c r="B2440">
        <f>IF(ISNUMBER(Input!B2440),IF(AND(Input!B2440&gt;=20,Input!B2440&lt;=700),Input!B2440,""),"")</f>
        <v/>
      </c>
      <c r="C2440">
        <f>IF(B2440="","",INT(A2440))</f>
        <v/>
      </c>
      <c r="D2440">
        <f>IF(B2440="","",HOUR(A2440))</f>
        <v/>
      </c>
    </row>
    <row r="2441">
      <c r="A2441">
        <f>Input!A2441</f>
        <v/>
      </c>
      <c r="B2441">
        <f>IF(ISNUMBER(Input!B2441),IF(AND(Input!B2441&gt;=20,Input!B2441&lt;=700),Input!B2441,""),"")</f>
        <v/>
      </c>
      <c r="C2441">
        <f>IF(B2441="","",INT(A2441))</f>
        <v/>
      </c>
      <c r="D2441">
        <f>IF(B2441="","",HOUR(A2441))</f>
        <v/>
      </c>
    </row>
    <row r="2442">
      <c r="A2442">
        <f>Input!A2442</f>
        <v/>
      </c>
      <c r="B2442">
        <f>IF(ISNUMBER(Input!B2442),IF(AND(Input!B2442&gt;=20,Input!B2442&lt;=700),Input!B2442,""),"")</f>
        <v/>
      </c>
      <c r="C2442">
        <f>IF(B2442="","",INT(A2442))</f>
        <v/>
      </c>
      <c r="D2442">
        <f>IF(B2442="","",HOUR(A2442))</f>
        <v/>
      </c>
    </row>
    <row r="2443">
      <c r="A2443">
        <f>Input!A2443</f>
        <v/>
      </c>
      <c r="B2443">
        <f>IF(ISNUMBER(Input!B2443),IF(AND(Input!B2443&gt;=20,Input!B2443&lt;=700),Input!B2443,""),"")</f>
        <v/>
      </c>
      <c r="C2443">
        <f>IF(B2443="","",INT(A2443))</f>
        <v/>
      </c>
      <c r="D2443">
        <f>IF(B2443="","",HOUR(A2443))</f>
        <v/>
      </c>
    </row>
    <row r="2444">
      <c r="A2444">
        <f>Input!A2444</f>
        <v/>
      </c>
      <c r="B2444">
        <f>IF(ISNUMBER(Input!B2444),IF(AND(Input!B2444&gt;=20,Input!B2444&lt;=700),Input!B2444,""),"")</f>
        <v/>
      </c>
      <c r="C2444">
        <f>IF(B2444="","",INT(A2444))</f>
        <v/>
      </c>
      <c r="D2444">
        <f>IF(B2444="","",HOUR(A2444))</f>
        <v/>
      </c>
    </row>
    <row r="2445">
      <c r="A2445">
        <f>Input!A2445</f>
        <v/>
      </c>
      <c r="B2445">
        <f>IF(ISNUMBER(Input!B2445),IF(AND(Input!B2445&gt;=20,Input!B2445&lt;=700),Input!B2445,""),"")</f>
        <v/>
      </c>
      <c r="C2445">
        <f>IF(B2445="","",INT(A2445))</f>
        <v/>
      </c>
      <c r="D2445">
        <f>IF(B2445="","",HOUR(A2445))</f>
        <v/>
      </c>
    </row>
    <row r="2446">
      <c r="A2446">
        <f>Input!A2446</f>
        <v/>
      </c>
      <c r="B2446">
        <f>IF(ISNUMBER(Input!B2446),IF(AND(Input!B2446&gt;=20,Input!B2446&lt;=700),Input!B2446,""),"")</f>
        <v/>
      </c>
      <c r="C2446">
        <f>IF(B2446="","",INT(A2446))</f>
        <v/>
      </c>
      <c r="D2446">
        <f>IF(B2446="","",HOUR(A2446))</f>
        <v/>
      </c>
    </row>
    <row r="2447">
      <c r="A2447">
        <f>Input!A2447</f>
        <v/>
      </c>
      <c r="B2447">
        <f>IF(ISNUMBER(Input!B2447),IF(AND(Input!B2447&gt;=20,Input!B2447&lt;=700),Input!B2447,""),"")</f>
        <v/>
      </c>
      <c r="C2447">
        <f>IF(B2447="","",INT(A2447))</f>
        <v/>
      </c>
      <c r="D2447">
        <f>IF(B2447="","",HOUR(A2447))</f>
        <v/>
      </c>
    </row>
    <row r="2448">
      <c r="A2448">
        <f>Input!A2448</f>
        <v/>
      </c>
      <c r="B2448">
        <f>IF(ISNUMBER(Input!B2448),IF(AND(Input!B2448&gt;=20,Input!B2448&lt;=700),Input!B2448,""),"")</f>
        <v/>
      </c>
      <c r="C2448">
        <f>IF(B2448="","",INT(A2448))</f>
        <v/>
      </c>
      <c r="D2448">
        <f>IF(B2448="","",HOUR(A2448))</f>
        <v/>
      </c>
    </row>
    <row r="2449">
      <c r="A2449">
        <f>Input!A2449</f>
        <v/>
      </c>
      <c r="B2449">
        <f>IF(ISNUMBER(Input!B2449),IF(AND(Input!B2449&gt;=20,Input!B2449&lt;=700),Input!B2449,""),"")</f>
        <v/>
      </c>
      <c r="C2449">
        <f>IF(B2449="","",INT(A2449))</f>
        <v/>
      </c>
      <c r="D2449">
        <f>IF(B2449="","",HOUR(A2449))</f>
        <v/>
      </c>
    </row>
    <row r="2450">
      <c r="A2450">
        <f>Input!A2450</f>
        <v/>
      </c>
      <c r="B2450">
        <f>IF(ISNUMBER(Input!B2450),IF(AND(Input!B2450&gt;=20,Input!B2450&lt;=700),Input!B2450,""),"")</f>
        <v/>
      </c>
      <c r="C2450">
        <f>IF(B2450="","",INT(A2450))</f>
        <v/>
      </c>
      <c r="D2450">
        <f>IF(B2450="","",HOUR(A2450))</f>
        <v/>
      </c>
    </row>
    <row r="2451">
      <c r="A2451">
        <f>Input!A2451</f>
        <v/>
      </c>
      <c r="B2451">
        <f>IF(ISNUMBER(Input!B2451),IF(AND(Input!B2451&gt;=20,Input!B2451&lt;=700),Input!B2451,""),"")</f>
        <v/>
      </c>
      <c r="C2451">
        <f>IF(B2451="","",INT(A2451))</f>
        <v/>
      </c>
      <c r="D2451">
        <f>IF(B2451="","",HOUR(A2451))</f>
        <v/>
      </c>
    </row>
    <row r="2452">
      <c r="A2452">
        <f>Input!A2452</f>
        <v/>
      </c>
      <c r="B2452">
        <f>IF(ISNUMBER(Input!B2452),IF(AND(Input!B2452&gt;=20,Input!B2452&lt;=700),Input!B2452,""),"")</f>
        <v/>
      </c>
      <c r="C2452">
        <f>IF(B2452="","",INT(A2452))</f>
        <v/>
      </c>
      <c r="D2452">
        <f>IF(B2452="","",HOUR(A2452))</f>
        <v/>
      </c>
    </row>
    <row r="2453">
      <c r="A2453">
        <f>Input!A2453</f>
        <v/>
      </c>
      <c r="B2453">
        <f>IF(ISNUMBER(Input!B2453),IF(AND(Input!B2453&gt;=20,Input!B2453&lt;=700),Input!B2453,""),"")</f>
        <v/>
      </c>
      <c r="C2453">
        <f>IF(B2453="","",INT(A2453))</f>
        <v/>
      </c>
      <c r="D2453">
        <f>IF(B2453="","",HOUR(A2453))</f>
        <v/>
      </c>
    </row>
    <row r="2454">
      <c r="A2454">
        <f>Input!A2454</f>
        <v/>
      </c>
      <c r="B2454">
        <f>IF(ISNUMBER(Input!B2454),IF(AND(Input!B2454&gt;=20,Input!B2454&lt;=700),Input!B2454,""),"")</f>
        <v/>
      </c>
      <c r="C2454">
        <f>IF(B2454="","",INT(A2454))</f>
        <v/>
      </c>
      <c r="D2454">
        <f>IF(B2454="","",HOUR(A2454))</f>
        <v/>
      </c>
    </row>
    <row r="2455">
      <c r="A2455">
        <f>Input!A2455</f>
        <v/>
      </c>
      <c r="B2455">
        <f>IF(ISNUMBER(Input!B2455),IF(AND(Input!B2455&gt;=20,Input!B2455&lt;=700),Input!B2455,""),"")</f>
        <v/>
      </c>
      <c r="C2455">
        <f>IF(B2455="","",INT(A2455))</f>
        <v/>
      </c>
      <c r="D2455">
        <f>IF(B2455="","",HOUR(A2455))</f>
        <v/>
      </c>
    </row>
    <row r="2456">
      <c r="A2456">
        <f>Input!A2456</f>
        <v/>
      </c>
      <c r="B2456">
        <f>IF(ISNUMBER(Input!B2456),IF(AND(Input!B2456&gt;=20,Input!B2456&lt;=700),Input!B2456,""),"")</f>
        <v/>
      </c>
      <c r="C2456">
        <f>IF(B2456="","",INT(A2456))</f>
        <v/>
      </c>
      <c r="D2456">
        <f>IF(B2456="","",HOUR(A2456))</f>
        <v/>
      </c>
    </row>
    <row r="2457">
      <c r="A2457">
        <f>Input!A2457</f>
        <v/>
      </c>
      <c r="B2457">
        <f>IF(ISNUMBER(Input!B2457),IF(AND(Input!B2457&gt;=20,Input!B2457&lt;=700),Input!B2457,""),"")</f>
        <v/>
      </c>
      <c r="C2457">
        <f>IF(B2457="","",INT(A2457))</f>
        <v/>
      </c>
      <c r="D2457">
        <f>IF(B2457="","",HOUR(A2457))</f>
        <v/>
      </c>
    </row>
    <row r="2458">
      <c r="A2458">
        <f>Input!A2458</f>
        <v/>
      </c>
      <c r="B2458">
        <f>IF(ISNUMBER(Input!B2458),IF(AND(Input!B2458&gt;=20,Input!B2458&lt;=700),Input!B2458,""),"")</f>
        <v/>
      </c>
      <c r="C2458">
        <f>IF(B2458="","",INT(A2458))</f>
        <v/>
      </c>
      <c r="D2458">
        <f>IF(B2458="","",HOUR(A2458))</f>
        <v/>
      </c>
    </row>
    <row r="2459">
      <c r="A2459">
        <f>Input!A2459</f>
        <v/>
      </c>
      <c r="B2459">
        <f>IF(ISNUMBER(Input!B2459),IF(AND(Input!B2459&gt;=20,Input!B2459&lt;=700),Input!B2459,""),"")</f>
        <v/>
      </c>
      <c r="C2459">
        <f>IF(B2459="","",INT(A2459))</f>
        <v/>
      </c>
      <c r="D2459">
        <f>IF(B2459="","",HOUR(A2459))</f>
        <v/>
      </c>
    </row>
    <row r="2460">
      <c r="A2460">
        <f>Input!A2460</f>
        <v/>
      </c>
      <c r="B2460">
        <f>IF(ISNUMBER(Input!B2460),IF(AND(Input!B2460&gt;=20,Input!B2460&lt;=700),Input!B2460,""),"")</f>
        <v/>
      </c>
      <c r="C2460">
        <f>IF(B2460="","",INT(A2460))</f>
        <v/>
      </c>
      <c r="D2460">
        <f>IF(B2460="","",HOUR(A2460))</f>
        <v/>
      </c>
    </row>
    <row r="2461">
      <c r="A2461">
        <f>Input!A2461</f>
        <v/>
      </c>
      <c r="B2461">
        <f>IF(ISNUMBER(Input!B2461),IF(AND(Input!B2461&gt;=20,Input!B2461&lt;=700),Input!B2461,""),"")</f>
        <v/>
      </c>
      <c r="C2461">
        <f>IF(B2461="","",INT(A2461))</f>
        <v/>
      </c>
      <c r="D2461">
        <f>IF(B2461="","",HOUR(A2461))</f>
        <v/>
      </c>
    </row>
    <row r="2462">
      <c r="A2462">
        <f>Input!A2462</f>
        <v/>
      </c>
      <c r="B2462">
        <f>IF(ISNUMBER(Input!B2462),IF(AND(Input!B2462&gt;=20,Input!B2462&lt;=700),Input!B2462,""),"")</f>
        <v/>
      </c>
      <c r="C2462">
        <f>IF(B2462="","",INT(A2462))</f>
        <v/>
      </c>
      <c r="D2462">
        <f>IF(B2462="","",HOUR(A2462))</f>
        <v/>
      </c>
    </row>
    <row r="2463">
      <c r="A2463">
        <f>Input!A2463</f>
        <v/>
      </c>
      <c r="B2463">
        <f>IF(ISNUMBER(Input!B2463),IF(AND(Input!B2463&gt;=20,Input!B2463&lt;=700),Input!B2463,""),"")</f>
        <v/>
      </c>
      <c r="C2463">
        <f>IF(B2463="","",INT(A2463))</f>
        <v/>
      </c>
      <c r="D2463">
        <f>IF(B2463="","",HOUR(A2463))</f>
        <v/>
      </c>
    </row>
    <row r="2464">
      <c r="A2464">
        <f>Input!A2464</f>
        <v/>
      </c>
      <c r="B2464">
        <f>IF(ISNUMBER(Input!B2464),IF(AND(Input!B2464&gt;=20,Input!B2464&lt;=700),Input!B2464,""),"")</f>
        <v/>
      </c>
      <c r="C2464">
        <f>IF(B2464="","",INT(A2464))</f>
        <v/>
      </c>
      <c r="D2464">
        <f>IF(B2464="","",HOUR(A2464))</f>
        <v/>
      </c>
    </row>
    <row r="2465">
      <c r="A2465">
        <f>Input!A2465</f>
        <v/>
      </c>
      <c r="B2465">
        <f>IF(ISNUMBER(Input!B2465),IF(AND(Input!B2465&gt;=20,Input!B2465&lt;=700),Input!B2465,""),"")</f>
        <v/>
      </c>
      <c r="C2465">
        <f>IF(B2465="","",INT(A2465))</f>
        <v/>
      </c>
      <c r="D2465">
        <f>IF(B2465="","",HOUR(A2465))</f>
        <v/>
      </c>
    </row>
    <row r="2466">
      <c r="A2466">
        <f>Input!A2466</f>
        <v/>
      </c>
      <c r="B2466">
        <f>IF(ISNUMBER(Input!B2466),IF(AND(Input!B2466&gt;=20,Input!B2466&lt;=700),Input!B2466,""),"")</f>
        <v/>
      </c>
      <c r="C2466">
        <f>IF(B2466="","",INT(A2466))</f>
        <v/>
      </c>
      <c r="D2466">
        <f>IF(B2466="","",HOUR(A2466))</f>
        <v/>
      </c>
    </row>
    <row r="2467">
      <c r="A2467">
        <f>Input!A2467</f>
        <v/>
      </c>
      <c r="B2467">
        <f>IF(ISNUMBER(Input!B2467),IF(AND(Input!B2467&gt;=20,Input!B2467&lt;=700),Input!B2467,""),"")</f>
        <v/>
      </c>
      <c r="C2467">
        <f>IF(B2467="","",INT(A2467))</f>
        <v/>
      </c>
      <c r="D2467">
        <f>IF(B2467="","",HOUR(A2467))</f>
        <v/>
      </c>
    </row>
    <row r="2468">
      <c r="A2468">
        <f>Input!A2468</f>
        <v/>
      </c>
      <c r="B2468">
        <f>IF(ISNUMBER(Input!B2468),IF(AND(Input!B2468&gt;=20,Input!B2468&lt;=700),Input!B2468,""),"")</f>
        <v/>
      </c>
      <c r="C2468">
        <f>IF(B2468="","",INT(A2468))</f>
        <v/>
      </c>
      <c r="D2468">
        <f>IF(B2468="","",HOUR(A2468))</f>
        <v/>
      </c>
    </row>
    <row r="2469">
      <c r="A2469">
        <f>Input!A2469</f>
        <v/>
      </c>
      <c r="B2469">
        <f>IF(ISNUMBER(Input!B2469),IF(AND(Input!B2469&gt;=20,Input!B2469&lt;=700),Input!B2469,""),"")</f>
        <v/>
      </c>
      <c r="C2469">
        <f>IF(B2469="","",INT(A2469))</f>
        <v/>
      </c>
      <c r="D2469">
        <f>IF(B2469="","",HOUR(A2469))</f>
        <v/>
      </c>
    </row>
    <row r="2470">
      <c r="A2470">
        <f>Input!A2470</f>
        <v/>
      </c>
      <c r="B2470">
        <f>IF(ISNUMBER(Input!B2470),IF(AND(Input!B2470&gt;=20,Input!B2470&lt;=700),Input!B2470,""),"")</f>
        <v/>
      </c>
      <c r="C2470">
        <f>IF(B2470="","",INT(A2470))</f>
        <v/>
      </c>
      <c r="D2470">
        <f>IF(B2470="","",HOUR(A2470))</f>
        <v/>
      </c>
    </row>
    <row r="2471">
      <c r="A2471">
        <f>Input!A2471</f>
        <v/>
      </c>
      <c r="B2471">
        <f>IF(ISNUMBER(Input!B2471),IF(AND(Input!B2471&gt;=20,Input!B2471&lt;=700),Input!B2471,""),"")</f>
        <v/>
      </c>
      <c r="C2471">
        <f>IF(B2471="","",INT(A2471))</f>
        <v/>
      </c>
      <c r="D2471">
        <f>IF(B2471="","",HOUR(A2471))</f>
        <v/>
      </c>
    </row>
    <row r="2472">
      <c r="A2472">
        <f>Input!A2472</f>
        <v/>
      </c>
      <c r="B2472">
        <f>IF(ISNUMBER(Input!B2472),IF(AND(Input!B2472&gt;=20,Input!B2472&lt;=700),Input!B2472,""),"")</f>
        <v/>
      </c>
      <c r="C2472">
        <f>IF(B2472="","",INT(A2472))</f>
        <v/>
      </c>
      <c r="D2472">
        <f>IF(B2472="","",HOUR(A2472))</f>
        <v/>
      </c>
    </row>
    <row r="2473">
      <c r="A2473">
        <f>Input!A2473</f>
        <v/>
      </c>
      <c r="B2473">
        <f>IF(ISNUMBER(Input!B2473),IF(AND(Input!B2473&gt;=20,Input!B2473&lt;=700),Input!B2473,""),"")</f>
        <v/>
      </c>
      <c r="C2473">
        <f>IF(B2473="","",INT(A2473))</f>
        <v/>
      </c>
      <c r="D2473">
        <f>IF(B2473="","",HOUR(A2473))</f>
        <v/>
      </c>
    </row>
    <row r="2474">
      <c r="A2474">
        <f>Input!A2474</f>
        <v/>
      </c>
      <c r="B2474">
        <f>IF(ISNUMBER(Input!B2474),IF(AND(Input!B2474&gt;=20,Input!B2474&lt;=700),Input!B2474,""),"")</f>
        <v/>
      </c>
      <c r="C2474">
        <f>IF(B2474="","",INT(A2474))</f>
        <v/>
      </c>
      <c r="D2474">
        <f>IF(B2474="","",HOUR(A2474))</f>
        <v/>
      </c>
    </row>
    <row r="2475">
      <c r="A2475">
        <f>Input!A2475</f>
        <v/>
      </c>
      <c r="B2475">
        <f>IF(ISNUMBER(Input!B2475),IF(AND(Input!B2475&gt;=20,Input!B2475&lt;=700),Input!B2475,""),"")</f>
        <v/>
      </c>
      <c r="C2475">
        <f>IF(B2475="","",INT(A2475))</f>
        <v/>
      </c>
      <c r="D2475">
        <f>IF(B2475="","",HOUR(A2475))</f>
        <v/>
      </c>
    </row>
    <row r="2476">
      <c r="A2476">
        <f>Input!A2476</f>
        <v/>
      </c>
      <c r="B2476">
        <f>IF(ISNUMBER(Input!B2476),IF(AND(Input!B2476&gt;=20,Input!B2476&lt;=700),Input!B2476,""),"")</f>
        <v/>
      </c>
      <c r="C2476">
        <f>IF(B2476="","",INT(A2476))</f>
        <v/>
      </c>
      <c r="D2476">
        <f>IF(B2476="","",HOUR(A2476))</f>
        <v/>
      </c>
    </row>
    <row r="2477">
      <c r="A2477">
        <f>Input!A2477</f>
        <v/>
      </c>
      <c r="B2477">
        <f>IF(ISNUMBER(Input!B2477),IF(AND(Input!B2477&gt;=20,Input!B2477&lt;=700),Input!B2477,""),"")</f>
        <v/>
      </c>
      <c r="C2477">
        <f>IF(B2477="","",INT(A2477))</f>
        <v/>
      </c>
      <c r="D2477">
        <f>IF(B2477="","",HOUR(A2477))</f>
        <v/>
      </c>
    </row>
    <row r="2478">
      <c r="A2478">
        <f>Input!A2478</f>
        <v/>
      </c>
      <c r="B2478">
        <f>IF(ISNUMBER(Input!B2478),IF(AND(Input!B2478&gt;=20,Input!B2478&lt;=700),Input!B2478,""),"")</f>
        <v/>
      </c>
      <c r="C2478">
        <f>IF(B2478="","",INT(A2478))</f>
        <v/>
      </c>
      <c r="D2478">
        <f>IF(B2478="","",HOUR(A2478))</f>
        <v/>
      </c>
    </row>
    <row r="2479">
      <c r="A2479">
        <f>Input!A2479</f>
        <v/>
      </c>
      <c r="B2479">
        <f>IF(ISNUMBER(Input!B2479),IF(AND(Input!B2479&gt;=20,Input!B2479&lt;=700),Input!B2479,""),"")</f>
        <v/>
      </c>
      <c r="C2479">
        <f>IF(B2479="","",INT(A2479))</f>
        <v/>
      </c>
      <c r="D2479">
        <f>IF(B2479="","",HOUR(A2479))</f>
        <v/>
      </c>
    </row>
    <row r="2480">
      <c r="A2480">
        <f>Input!A2480</f>
        <v/>
      </c>
      <c r="B2480">
        <f>IF(ISNUMBER(Input!B2480),IF(AND(Input!B2480&gt;=20,Input!B2480&lt;=700),Input!B2480,""),"")</f>
        <v/>
      </c>
      <c r="C2480">
        <f>IF(B2480="","",INT(A2480))</f>
        <v/>
      </c>
      <c r="D2480">
        <f>IF(B2480="","",HOUR(A2480))</f>
        <v/>
      </c>
    </row>
    <row r="2481">
      <c r="A2481">
        <f>Input!A2481</f>
        <v/>
      </c>
      <c r="B2481">
        <f>IF(ISNUMBER(Input!B2481),IF(AND(Input!B2481&gt;=20,Input!B2481&lt;=700),Input!B2481,""),"")</f>
        <v/>
      </c>
      <c r="C2481">
        <f>IF(B2481="","",INT(A2481))</f>
        <v/>
      </c>
      <c r="D2481">
        <f>IF(B2481="","",HOUR(A2481))</f>
        <v/>
      </c>
    </row>
    <row r="2482">
      <c r="A2482">
        <f>Input!A2482</f>
        <v/>
      </c>
      <c r="B2482">
        <f>IF(ISNUMBER(Input!B2482),IF(AND(Input!B2482&gt;=20,Input!B2482&lt;=700),Input!B2482,""),"")</f>
        <v/>
      </c>
      <c r="C2482">
        <f>IF(B2482="","",INT(A2482))</f>
        <v/>
      </c>
      <c r="D2482">
        <f>IF(B2482="","",HOUR(A2482))</f>
        <v/>
      </c>
    </row>
    <row r="2483">
      <c r="A2483">
        <f>Input!A2483</f>
        <v/>
      </c>
      <c r="B2483">
        <f>IF(ISNUMBER(Input!B2483),IF(AND(Input!B2483&gt;=20,Input!B2483&lt;=700),Input!B2483,""),"")</f>
        <v/>
      </c>
      <c r="C2483">
        <f>IF(B2483="","",INT(A2483))</f>
        <v/>
      </c>
      <c r="D2483">
        <f>IF(B2483="","",HOUR(A2483))</f>
        <v/>
      </c>
    </row>
    <row r="2484">
      <c r="A2484">
        <f>Input!A2484</f>
        <v/>
      </c>
      <c r="B2484">
        <f>IF(ISNUMBER(Input!B2484),IF(AND(Input!B2484&gt;=20,Input!B2484&lt;=700),Input!B2484,""),"")</f>
        <v/>
      </c>
      <c r="C2484">
        <f>IF(B2484="","",INT(A2484))</f>
        <v/>
      </c>
      <c r="D2484">
        <f>IF(B2484="","",HOUR(A2484))</f>
        <v/>
      </c>
    </row>
    <row r="2485">
      <c r="A2485">
        <f>Input!A2485</f>
        <v/>
      </c>
      <c r="B2485">
        <f>IF(ISNUMBER(Input!B2485),IF(AND(Input!B2485&gt;=20,Input!B2485&lt;=700),Input!B2485,""),"")</f>
        <v/>
      </c>
      <c r="C2485">
        <f>IF(B2485="","",INT(A2485))</f>
        <v/>
      </c>
      <c r="D2485">
        <f>IF(B2485="","",HOUR(A2485))</f>
        <v/>
      </c>
    </row>
    <row r="2486">
      <c r="A2486">
        <f>Input!A2486</f>
        <v/>
      </c>
      <c r="B2486">
        <f>IF(ISNUMBER(Input!B2486),IF(AND(Input!B2486&gt;=20,Input!B2486&lt;=700),Input!B2486,""),"")</f>
        <v/>
      </c>
      <c r="C2486">
        <f>IF(B2486="","",INT(A2486))</f>
        <v/>
      </c>
      <c r="D2486">
        <f>IF(B2486="","",HOUR(A2486))</f>
        <v/>
      </c>
    </row>
    <row r="2487">
      <c r="A2487">
        <f>Input!A2487</f>
        <v/>
      </c>
      <c r="B2487">
        <f>IF(ISNUMBER(Input!B2487),IF(AND(Input!B2487&gt;=20,Input!B2487&lt;=700),Input!B2487,""),"")</f>
        <v/>
      </c>
      <c r="C2487">
        <f>IF(B2487="","",INT(A2487))</f>
        <v/>
      </c>
      <c r="D2487">
        <f>IF(B2487="","",HOUR(A2487))</f>
        <v/>
      </c>
    </row>
    <row r="2488">
      <c r="A2488">
        <f>Input!A2488</f>
        <v/>
      </c>
      <c r="B2488">
        <f>IF(ISNUMBER(Input!B2488),IF(AND(Input!B2488&gt;=20,Input!B2488&lt;=700),Input!B2488,""),"")</f>
        <v/>
      </c>
      <c r="C2488">
        <f>IF(B2488="","",INT(A2488))</f>
        <v/>
      </c>
      <c r="D2488">
        <f>IF(B2488="","",HOUR(A2488))</f>
        <v/>
      </c>
    </row>
    <row r="2489">
      <c r="A2489">
        <f>Input!A2489</f>
        <v/>
      </c>
      <c r="B2489">
        <f>IF(ISNUMBER(Input!B2489),IF(AND(Input!B2489&gt;=20,Input!B2489&lt;=700),Input!B2489,""),"")</f>
        <v/>
      </c>
      <c r="C2489">
        <f>IF(B2489="","",INT(A2489))</f>
        <v/>
      </c>
      <c r="D2489">
        <f>IF(B2489="","",HOUR(A2489))</f>
        <v/>
      </c>
    </row>
    <row r="2490">
      <c r="A2490">
        <f>Input!A2490</f>
        <v/>
      </c>
      <c r="B2490">
        <f>IF(ISNUMBER(Input!B2490),IF(AND(Input!B2490&gt;=20,Input!B2490&lt;=700),Input!B2490,""),"")</f>
        <v/>
      </c>
      <c r="C2490">
        <f>IF(B2490="","",INT(A2490))</f>
        <v/>
      </c>
      <c r="D2490">
        <f>IF(B2490="","",HOUR(A2490))</f>
        <v/>
      </c>
    </row>
    <row r="2491">
      <c r="A2491">
        <f>Input!A2491</f>
        <v/>
      </c>
      <c r="B2491">
        <f>IF(ISNUMBER(Input!B2491),IF(AND(Input!B2491&gt;=20,Input!B2491&lt;=700),Input!B2491,""),"")</f>
        <v/>
      </c>
      <c r="C2491">
        <f>IF(B2491="","",INT(A2491))</f>
        <v/>
      </c>
      <c r="D2491">
        <f>IF(B2491="","",HOUR(A2491))</f>
        <v/>
      </c>
    </row>
    <row r="2492">
      <c r="A2492">
        <f>Input!A2492</f>
        <v/>
      </c>
      <c r="B2492">
        <f>IF(ISNUMBER(Input!B2492),IF(AND(Input!B2492&gt;=20,Input!B2492&lt;=700),Input!B2492,""),"")</f>
        <v/>
      </c>
      <c r="C2492">
        <f>IF(B2492="","",INT(A2492))</f>
        <v/>
      </c>
      <c r="D2492">
        <f>IF(B2492="","",HOUR(A2492))</f>
        <v/>
      </c>
    </row>
    <row r="2493">
      <c r="A2493">
        <f>Input!A2493</f>
        <v/>
      </c>
      <c r="B2493">
        <f>IF(ISNUMBER(Input!B2493),IF(AND(Input!B2493&gt;=20,Input!B2493&lt;=700),Input!B2493,""),"")</f>
        <v/>
      </c>
      <c r="C2493">
        <f>IF(B2493="","",INT(A2493))</f>
        <v/>
      </c>
      <c r="D2493">
        <f>IF(B2493="","",HOUR(A2493))</f>
        <v/>
      </c>
    </row>
    <row r="2494">
      <c r="A2494">
        <f>Input!A2494</f>
        <v/>
      </c>
      <c r="B2494">
        <f>IF(ISNUMBER(Input!B2494),IF(AND(Input!B2494&gt;=20,Input!B2494&lt;=700),Input!B2494,""),"")</f>
        <v/>
      </c>
      <c r="C2494">
        <f>IF(B2494="","",INT(A2494))</f>
        <v/>
      </c>
      <c r="D2494">
        <f>IF(B2494="","",HOUR(A2494))</f>
        <v/>
      </c>
    </row>
    <row r="2495">
      <c r="A2495">
        <f>Input!A2495</f>
        <v/>
      </c>
      <c r="B2495">
        <f>IF(ISNUMBER(Input!B2495),IF(AND(Input!B2495&gt;=20,Input!B2495&lt;=700),Input!B2495,""),"")</f>
        <v/>
      </c>
      <c r="C2495">
        <f>IF(B2495="","",INT(A2495))</f>
        <v/>
      </c>
      <c r="D2495">
        <f>IF(B2495="","",HOUR(A2495))</f>
        <v/>
      </c>
    </row>
    <row r="2496">
      <c r="A2496">
        <f>Input!A2496</f>
        <v/>
      </c>
      <c r="B2496">
        <f>IF(ISNUMBER(Input!B2496),IF(AND(Input!B2496&gt;=20,Input!B2496&lt;=700),Input!B2496,""),"")</f>
        <v/>
      </c>
      <c r="C2496">
        <f>IF(B2496="","",INT(A2496))</f>
        <v/>
      </c>
      <c r="D2496">
        <f>IF(B2496="","",HOUR(A2496))</f>
        <v/>
      </c>
    </row>
    <row r="2497">
      <c r="A2497">
        <f>Input!A2497</f>
        <v/>
      </c>
      <c r="B2497">
        <f>IF(ISNUMBER(Input!B2497),IF(AND(Input!B2497&gt;=20,Input!B2497&lt;=700),Input!B2497,""),"")</f>
        <v/>
      </c>
      <c r="C2497">
        <f>IF(B2497="","",INT(A2497))</f>
        <v/>
      </c>
      <c r="D2497">
        <f>IF(B2497="","",HOUR(A2497))</f>
        <v/>
      </c>
    </row>
    <row r="2498">
      <c r="A2498">
        <f>Input!A2498</f>
        <v/>
      </c>
      <c r="B2498">
        <f>IF(ISNUMBER(Input!B2498),IF(AND(Input!B2498&gt;=20,Input!B2498&lt;=700),Input!B2498,""),"")</f>
        <v/>
      </c>
      <c r="C2498">
        <f>IF(B2498="","",INT(A2498))</f>
        <v/>
      </c>
      <c r="D2498">
        <f>IF(B2498="","",HOUR(A2498))</f>
        <v/>
      </c>
    </row>
    <row r="2499">
      <c r="A2499">
        <f>Input!A2499</f>
        <v/>
      </c>
      <c r="B2499">
        <f>IF(ISNUMBER(Input!B2499),IF(AND(Input!B2499&gt;=20,Input!B2499&lt;=700),Input!B2499,""),"")</f>
        <v/>
      </c>
      <c r="C2499">
        <f>IF(B2499="","",INT(A2499))</f>
        <v/>
      </c>
      <c r="D2499">
        <f>IF(B2499="","",HOUR(A2499))</f>
        <v/>
      </c>
    </row>
    <row r="2500">
      <c r="A2500">
        <f>Input!A2500</f>
        <v/>
      </c>
      <c r="B2500">
        <f>IF(ISNUMBER(Input!B2500),IF(AND(Input!B2500&gt;=20,Input!B2500&lt;=700),Input!B2500,""),"")</f>
        <v/>
      </c>
      <c r="C2500">
        <f>IF(B2500="","",INT(A2500))</f>
        <v/>
      </c>
      <c r="D2500">
        <f>IF(B2500="","",HOUR(A2500))</f>
        <v/>
      </c>
    </row>
    <row r="2501">
      <c r="A2501">
        <f>Input!A2501</f>
        <v/>
      </c>
      <c r="B2501">
        <f>IF(ISNUMBER(Input!B2501),IF(AND(Input!B2501&gt;=20,Input!B2501&lt;=700),Input!B2501,""),"")</f>
        <v/>
      </c>
      <c r="C2501">
        <f>IF(B2501="","",INT(A2501))</f>
        <v/>
      </c>
      <c r="D2501">
        <f>IF(B2501="","",HOUR(A2501))</f>
        <v/>
      </c>
    </row>
    <row r="2502">
      <c r="A2502">
        <f>Input!A2502</f>
        <v/>
      </c>
      <c r="B2502">
        <f>IF(ISNUMBER(Input!B2502),IF(AND(Input!B2502&gt;=20,Input!B2502&lt;=700),Input!B2502,""),"")</f>
        <v/>
      </c>
      <c r="C2502">
        <f>IF(B2502="","",INT(A2502))</f>
        <v/>
      </c>
      <c r="D2502">
        <f>IF(B2502="","",HOUR(A2502))</f>
        <v/>
      </c>
    </row>
    <row r="2503">
      <c r="A2503">
        <f>Input!A2503</f>
        <v/>
      </c>
      <c r="B2503">
        <f>IF(ISNUMBER(Input!B2503),IF(AND(Input!B2503&gt;=20,Input!B2503&lt;=700),Input!B2503,""),"")</f>
        <v/>
      </c>
      <c r="C2503">
        <f>IF(B2503="","",INT(A2503))</f>
        <v/>
      </c>
      <c r="D2503">
        <f>IF(B2503="","",HOUR(A2503))</f>
        <v/>
      </c>
    </row>
    <row r="2504">
      <c r="A2504">
        <f>Input!A2504</f>
        <v/>
      </c>
      <c r="B2504">
        <f>IF(ISNUMBER(Input!B2504),IF(AND(Input!B2504&gt;=20,Input!B2504&lt;=700),Input!B2504,""),"")</f>
        <v/>
      </c>
      <c r="C2504">
        <f>IF(B2504="","",INT(A2504))</f>
        <v/>
      </c>
      <c r="D2504">
        <f>IF(B2504="","",HOUR(A2504))</f>
        <v/>
      </c>
    </row>
    <row r="2505">
      <c r="A2505">
        <f>Input!A2505</f>
        <v/>
      </c>
      <c r="B2505">
        <f>IF(ISNUMBER(Input!B2505),IF(AND(Input!B2505&gt;=20,Input!B2505&lt;=700),Input!B2505,""),"")</f>
        <v/>
      </c>
      <c r="C2505">
        <f>IF(B2505="","",INT(A2505))</f>
        <v/>
      </c>
      <c r="D2505">
        <f>IF(B2505="","",HOUR(A2505))</f>
        <v/>
      </c>
    </row>
    <row r="2506">
      <c r="A2506">
        <f>Input!A2506</f>
        <v/>
      </c>
      <c r="B2506">
        <f>IF(ISNUMBER(Input!B2506),IF(AND(Input!B2506&gt;=20,Input!B2506&lt;=700),Input!B2506,""),"")</f>
        <v/>
      </c>
      <c r="C2506">
        <f>IF(B2506="","",INT(A2506))</f>
        <v/>
      </c>
      <c r="D2506">
        <f>IF(B2506="","",HOUR(A2506))</f>
        <v/>
      </c>
    </row>
    <row r="2507">
      <c r="A2507">
        <f>Input!A2507</f>
        <v/>
      </c>
      <c r="B2507">
        <f>IF(ISNUMBER(Input!B2507),IF(AND(Input!B2507&gt;=20,Input!B2507&lt;=700),Input!B2507,""),"")</f>
        <v/>
      </c>
      <c r="C2507">
        <f>IF(B2507="","",INT(A2507))</f>
        <v/>
      </c>
      <c r="D2507">
        <f>IF(B2507="","",HOUR(A2507))</f>
        <v/>
      </c>
    </row>
    <row r="2508">
      <c r="A2508">
        <f>Input!A2508</f>
        <v/>
      </c>
      <c r="B2508">
        <f>IF(ISNUMBER(Input!B2508),IF(AND(Input!B2508&gt;=20,Input!B2508&lt;=700),Input!B2508,""),"")</f>
        <v/>
      </c>
      <c r="C2508">
        <f>IF(B2508="","",INT(A2508))</f>
        <v/>
      </c>
      <c r="D2508">
        <f>IF(B2508="","",HOUR(A2508))</f>
        <v/>
      </c>
    </row>
    <row r="2509">
      <c r="A2509">
        <f>Input!A2509</f>
        <v/>
      </c>
      <c r="B2509">
        <f>IF(ISNUMBER(Input!B2509),IF(AND(Input!B2509&gt;=20,Input!B2509&lt;=700),Input!B2509,""),"")</f>
        <v/>
      </c>
      <c r="C2509">
        <f>IF(B2509="","",INT(A2509))</f>
        <v/>
      </c>
      <c r="D2509">
        <f>IF(B2509="","",HOUR(A2509))</f>
        <v/>
      </c>
    </row>
    <row r="2510">
      <c r="A2510">
        <f>Input!A2510</f>
        <v/>
      </c>
      <c r="B2510">
        <f>IF(ISNUMBER(Input!B2510),IF(AND(Input!B2510&gt;=20,Input!B2510&lt;=700),Input!B2510,""),"")</f>
        <v/>
      </c>
      <c r="C2510">
        <f>IF(B2510="","",INT(A2510))</f>
        <v/>
      </c>
      <c r="D2510">
        <f>IF(B2510="","",HOUR(A2510))</f>
        <v/>
      </c>
    </row>
    <row r="2511">
      <c r="A2511">
        <f>Input!A2511</f>
        <v/>
      </c>
      <c r="B2511">
        <f>IF(ISNUMBER(Input!B2511),IF(AND(Input!B2511&gt;=20,Input!B2511&lt;=700),Input!B2511,""),"")</f>
        <v/>
      </c>
      <c r="C2511">
        <f>IF(B2511="","",INT(A2511))</f>
        <v/>
      </c>
      <c r="D2511">
        <f>IF(B2511="","",HOUR(A2511))</f>
        <v/>
      </c>
    </row>
    <row r="2512">
      <c r="A2512">
        <f>Input!A2512</f>
        <v/>
      </c>
      <c r="B2512">
        <f>IF(ISNUMBER(Input!B2512),IF(AND(Input!B2512&gt;=20,Input!B2512&lt;=700),Input!B2512,""),"")</f>
        <v/>
      </c>
      <c r="C2512">
        <f>IF(B2512="","",INT(A2512))</f>
        <v/>
      </c>
      <c r="D2512">
        <f>IF(B2512="","",HOUR(A2512))</f>
        <v/>
      </c>
    </row>
    <row r="2513">
      <c r="A2513">
        <f>Input!A2513</f>
        <v/>
      </c>
      <c r="B2513">
        <f>IF(ISNUMBER(Input!B2513),IF(AND(Input!B2513&gt;=20,Input!B2513&lt;=700),Input!B2513,""),"")</f>
        <v/>
      </c>
      <c r="C2513">
        <f>IF(B2513="","",INT(A2513))</f>
        <v/>
      </c>
      <c r="D2513">
        <f>IF(B2513="","",HOUR(A2513))</f>
        <v/>
      </c>
    </row>
    <row r="2514">
      <c r="A2514">
        <f>Input!A2514</f>
        <v/>
      </c>
      <c r="B2514">
        <f>IF(ISNUMBER(Input!B2514),IF(AND(Input!B2514&gt;=20,Input!B2514&lt;=700),Input!B2514,""),"")</f>
        <v/>
      </c>
      <c r="C2514">
        <f>IF(B2514="","",INT(A2514))</f>
        <v/>
      </c>
      <c r="D2514">
        <f>IF(B2514="","",HOUR(A2514))</f>
        <v/>
      </c>
    </row>
    <row r="2515">
      <c r="A2515">
        <f>Input!A2515</f>
        <v/>
      </c>
      <c r="B2515">
        <f>IF(ISNUMBER(Input!B2515),IF(AND(Input!B2515&gt;=20,Input!B2515&lt;=700),Input!B2515,""),"")</f>
        <v/>
      </c>
      <c r="C2515">
        <f>IF(B2515="","",INT(A2515))</f>
        <v/>
      </c>
      <c r="D2515">
        <f>IF(B2515="","",HOUR(A2515))</f>
        <v/>
      </c>
    </row>
    <row r="2516">
      <c r="A2516">
        <f>Input!A2516</f>
        <v/>
      </c>
      <c r="B2516">
        <f>IF(ISNUMBER(Input!B2516),IF(AND(Input!B2516&gt;=20,Input!B2516&lt;=700),Input!B2516,""),"")</f>
        <v/>
      </c>
      <c r="C2516">
        <f>IF(B2516="","",INT(A2516))</f>
        <v/>
      </c>
      <c r="D2516">
        <f>IF(B2516="","",HOUR(A2516))</f>
        <v/>
      </c>
    </row>
    <row r="2517">
      <c r="A2517">
        <f>Input!A2517</f>
        <v/>
      </c>
      <c r="B2517">
        <f>IF(ISNUMBER(Input!B2517),IF(AND(Input!B2517&gt;=20,Input!B2517&lt;=700),Input!B2517,""),"")</f>
        <v/>
      </c>
      <c r="C2517">
        <f>IF(B2517="","",INT(A2517))</f>
        <v/>
      </c>
      <c r="D2517">
        <f>IF(B2517="","",HOUR(A2517))</f>
        <v/>
      </c>
    </row>
    <row r="2518">
      <c r="A2518">
        <f>Input!A2518</f>
        <v/>
      </c>
      <c r="B2518">
        <f>IF(ISNUMBER(Input!B2518),IF(AND(Input!B2518&gt;=20,Input!B2518&lt;=700),Input!B2518,""),"")</f>
        <v/>
      </c>
      <c r="C2518">
        <f>IF(B2518="","",INT(A2518))</f>
        <v/>
      </c>
      <c r="D2518">
        <f>IF(B2518="","",HOUR(A2518))</f>
        <v/>
      </c>
    </row>
    <row r="2519">
      <c r="A2519">
        <f>Input!A2519</f>
        <v/>
      </c>
      <c r="B2519">
        <f>IF(ISNUMBER(Input!B2519),IF(AND(Input!B2519&gt;=20,Input!B2519&lt;=700),Input!B2519,""),"")</f>
        <v/>
      </c>
      <c r="C2519">
        <f>IF(B2519="","",INT(A2519))</f>
        <v/>
      </c>
      <c r="D2519">
        <f>IF(B2519="","",HOUR(A2519))</f>
        <v/>
      </c>
    </row>
    <row r="2520">
      <c r="A2520">
        <f>Input!A2520</f>
        <v/>
      </c>
      <c r="B2520">
        <f>IF(ISNUMBER(Input!B2520),IF(AND(Input!B2520&gt;=20,Input!B2520&lt;=700),Input!B2520,""),"")</f>
        <v/>
      </c>
      <c r="C2520">
        <f>IF(B2520="","",INT(A2520))</f>
        <v/>
      </c>
      <c r="D2520">
        <f>IF(B2520="","",HOUR(A2520))</f>
        <v/>
      </c>
    </row>
    <row r="2521">
      <c r="A2521">
        <f>Input!A2521</f>
        <v/>
      </c>
      <c r="B2521">
        <f>IF(ISNUMBER(Input!B2521),IF(AND(Input!B2521&gt;=20,Input!B2521&lt;=700),Input!B2521,""),"")</f>
        <v/>
      </c>
      <c r="C2521">
        <f>IF(B2521="","",INT(A2521))</f>
        <v/>
      </c>
      <c r="D2521">
        <f>IF(B2521="","",HOUR(A2521))</f>
        <v/>
      </c>
    </row>
    <row r="2522">
      <c r="A2522">
        <f>Input!A2522</f>
        <v/>
      </c>
      <c r="B2522">
        <f>IF(ISNUMBER(Input!B2522),IF(AND(Input!B2522&gt;=20,Input!B2522&lt;=700),Input!B2522,""),"")</f>
        <v/>
      </c>
      <c r="C2522">
        <f>IF(B2522="","",INT(A2522))</f>
        <v/>
      </c>
      <c r="D2522">
        <f>IF(B2522="","",HOUR(A2522))</f>
        <v/>
      </c>
    </row>
    <row r="2523">
      <c r="A2523">
        <f>Input!A2523</f>
        <v/>
      </c>
      <c r="B2523">
        <f>IF(ISNUMBER(Input!B2523),IF(AND(Input!B2523&gt;=20,Input!B2523&lt;=700),Input!B2523,""),"")</f>
        <v/>
      </c>
      <c r="C2523">
        <f>IF(B2523="","",INT(A2523))</f>
        <v/>
      </c>
      <c r="D2523">
        <f>IF(B2523="","",HOUR(A2523))</f>
        <v/>
      </c>
    </row>
    <row r="2524">
      <c r="A2524">
        <f>Input!A2524</f>
        <v/>
      </c>
      <c r="B2524">
        <f>IF(ISNUMBER(Input!B2524),IF(AND(Input!B2524&gt;=20,Input!B2524&lt;=700),Input!B2524,""),"")</f>
        <v/>
      </c>
      <c r="C2524">
        <f>IF(B2524="","",INT(A2524))</f>
        <v/>
      </c>
      <c r="D2524">
        <f>IF(B2524="","",HOUR(A2524))</f>
        <v/>
      </c>
    </row>
    <row r="2525">
      <c r="A2525">
        <f>Input!A2525</f>
        <v/>
      </c>
      <c r="B2525">
        <f>IF(ISNUMBER(Input!B2525),IF(AND(Input!B2525&gt;=20,Input!B2525&lt;=700),Input!B2525,""),"")</f>
        <v/>
      </c>
      <c r="C2525">
        <f>IF(B2525="","",INT(A2525))</f>
        <v/>
      </c>
      <c r="D2525">
        <f>IF(B2525="","",HOUR(A2525))</f>
        <v/>
      </c>
    </row>
    <row r="2526">
      <c r="A2526">
        <f>Input!A2526</f>
        <v/>
      </c>
      <c r="B2526">
        <f>IF(ISNUMBER(Input!B2526),IF(AND(Input!B2526&gt;=20,Input!B2526&lt;=700),Input!B2526,""),"")</f>
        <v/>
      </c>
      <c r="C2526">
        <f>IF(B2526="","",INT(A2526))</f>
        <v/>
      </c>
      <c r="D2526">
        <f>IF(B2526="","",HOUR(A2526))</f>
        <v/>
      </c>
    </row>
    <row r="2527">
      <c r="A2527">
        <f>Input!A2527</f>
        <v/>
      </c>
      <c r="B2527">
        <f>IF(ISNUMBER(Input!B2527),IF(AND(Input!B2527&gt;=20,Input!B2527&lt;=700),Input!B2527,""),"")</f>
        <v/>
      </c>
      <c r="C2527">
        <f>IF(B2527="","",INT(A2527))</f>
        <v/>
      </c>
      <c r="D2527">
        <f>IF(B2527="","",HOUR(A2527))</f>
        <v/>
      </c>
    </row>
    <row r="2528">
      <c r="A2528">
        <f>Input!A2528</f>
        <v/>
      </c>
      <c r="B2528">
        <f>IF(ISNUMBER(Input!B2528),IF(AND(Input!B2528&gt;=20,Input!B2528&lt;=700),Input!B2528,""),"")</f>
        <v/>
      </c>
      <c r="C2528">
        <f>IF(B2528="","",INT(A2528))</f>
        <v/>
      </c>
      <c r="D2528">
        <f>IF(B2528="","",HOUR(A2528))</f>
        <v/>
      </c>
    </row>
    <row r="2529">
      <c r="A2529">
        <f>Input!A2529</f>
        <v/>
      </c>
      <c r="B2529">
        <f>IF(ISNUMBER(Input!B2529),IF(AND(Input!B2529&gt;=20,Input!B2529&lt;=700),Input!B2529,""),"")</f>
        <v/>
      </c>
      <c r="C2529">
        <f>IF(B2529="","",INT(A2529))</f>
        <v/>
      </c>
      <c r="D2529">
        <f>IF(B2529="","",HOUR(A2529))</f>
        <v/>
      </c>
    </row>
    <row r="2530">
      <c r="A2530">
        <f>Input!A2530</f>
        <v/>
      </c>
      <c r="B2530">
        <f>IF(ISNUMBER(Input!B2530),IF(AND(Input!B2530&gt;=20,Input!B2530&lt;=700),Input!B2530,""),"")</f>
        <v/>
      </c>
      <c r="C2530">
        <f>IF(B2530="","",INT(A2530))</f>
        <v/>
      </c>
      <c r="D2530">
        <f>IF(B2530="","",HOUR(A2530))</f>
        <v/>
      </c>
    </row>
    <row r="2531">
      <c r="A2531">
        <f>Input!A2531</f>
        <v/>
      </c>
      <c r="B2531">
        <f>IF(ISNUMBER(Input!B2531),IF(AND(Input!B2531&gt;=20,Input!B2531&lt;=700),Input!B2531,""),"")</f>
        <v/>
      </c>
      <c r="C2531">
        <f>IF(B2531="","",INT(A2531))</f>
        <v/>
      </c>
      <c r="D2531">
        <f>IF(B2531="","",HOUR(A2531))</f>
        <v/>
      </c>
    </row>
    <row r="2532">
      <c r="A2532">
        <f>Input!A2532</f>
        <v/>
      </c>
      <c r="B2532">
        <f>IF(ISNUMBER(Input!B2532),IF(AND(Input!B2532&gt;=20,Input!B2532&lt;=700),Input!B2532,""),"")</f>
        <v/>
      </c>
      <c r="C2532">
        <f>IF(B2532="","",INT(A2532))</f>
        <v/>
      </c>
      <c r="D2532">
        <f>IF(B2532="","",HOUR(A2532))</f>
        <v/>
      </c>
    </row>
    <row r="2533">
      <c r="A2533">
        <f>Input!A2533</f>
        <v/>
      </c>
      <c r="B2533">
        <f>IF(ISNUMBER(Input!B2533),IF(AND(Input!B2533&gt;=20,Input!B2533&lt;=700),Input!B2533,""),"")</f>
        <v/>
      </c>
      <c r="C2533">
        <f>IF(B2533="","",INT(A2533))</f>
        <v/>
      </c>
      <c r="D2533">
        <f>IF(B2533="","",HOUR(A2533))</f>
        <v/>
      </c>
    </row>
    <row r="2534">
      <c r="A2534">
        <f>Input!A2534</f>
        <v/>
      </c>
      <c r="B2534">
        <f>IF(ISNUMBER(Input!B2534),IF(AND(Input!B2534&gt;=20,Input!B2534&lt;=700),Input!B2534,""),"")</f>
        <v/>
      </c>
      <c r="C2534">
        <f>IF(B2534="","",INT(A2534))</f>
        <v/>
      </c>
      <c r="D2534">
        <f>IF(B2534="","",HOUR(A2534))</f>
        <v/>
      </c>
    </row>
    <row r="2535">
      <c r="A2535">
        <f>Input!A2535</f>
        <v/>
      </c>
      <c r="B2535">
        <f>IF(ISNUMBER(Input!B2535),IF(AND(Input!B2535&gt;=20,Input!B2535&lt;=700),Input!B2535,""),"")</f>
        <v/>
      </c>
      <c r="C2535">
        <f>IF(B2535="","",INT(A2535))</f>
        <v/>
      </c>
      <c r="D2535">
        <f>IF(B2535="","",HOUR(A2535))</f>
        <v/>
      </c>
    </row>
    <row r="2536">
      <c r="A2536">
        <f>Input!A2536</f>
        <v/>
      </c>
      <c r="B2536">
        <f>IF(ISNUMBER(Input!B2536),IF(AND(Input!B2536&gt;=20,Input!B2536&lt;=700),Input!B2536,""),"")</f>
        <v/>
      </c>
      <c r="C2536">
        <f>IF(B2536="","",INT(A2536))</f>
        <v/>
      </c>
      <c r="D2536">
        <f>IF(B2536="","",HOUR(A2536))</f>
        <v/>
      </c>
    </row>
    <row r="2537">
      <c r="A2537">
        <f>Input!A2537</f>
        <v/>
      </c>
      <c r="B2537">
        <f>IF(ISNUMBER(Input!B2537),IF(AND(Input!B2537&gt;=20,Input!B2537&lt;=700),Input!B2537,""),"")</f>
        <v/>
      </c>
      <c r="C2537">
        <f>IF(B2537="","",INT(A2537))</f>
        <v/>
      </c>
      <c r="D2537">
        <f>IF(B2537="","",HOUR(A2537))</f>
        <v/>
      </c>
    </row>
    <row r="2538">
      <c r="A2538">
        <f>Input!A2538</f>
        <v/>
      </c>
      <c r="B2538">
        <f>IF(ISNUMBER(Input!B2538),IF(AND(Input!B2538&gt;=20,Input!B2538&lt;=700),Input!B2538,""),"")</f>
        <v/>
      </c>
      <c r="C2538">
        <f>IF(B2538="","",INT(A2538))</f>
        <v/>
      </c>
      <c r="D2538">
        <f>IF(B2538="","",HOUR(A2538))</f>
        <v/>
      </c>
    </row>
    <row r="2539">
      <c r="A2539">
        <f>Input!A2539</f>
        <v/>
      </c>
      <c r="B2539">
        <f>IF(ISNUMBER(Input!B2539),IF(AND(Input!B2539&gt;=20,Input!B2539&lt;=700),Input!B2539,""),"")</f>
        <v/>
      </c>
      <c r="C2539">
        <f>IF(B2539="","",INT(A2539))</f>
        <v/>
      </c>
      <c r="D2539">
        <f>IF(B2539="","",HOUR(A2539))</f>
        <v/>
      </c>
    </row>
    <row r="2540">
      <c r="A2540">
        <f>Input!A2540</f>
        <v/>
      </c>
      <c r="B2540">
        <f>IF(ISNUMBER(Input!B2540),IF(AND(Input!B2540&gt;=20,Input!B2540&lt;=700),Input!B2540,""),"")</f>
        <v/>
      </c>
      <c r="C2540">
        <f>IF(B2540="","",INT(A2540))</f>
        <v/>
      </c>
      <c r="D2540">
        <f>IF(B2540="","",HOUR(A2540))</f>
        <v/>
      </c>
    </row>
    <row r="2541">
      <c r="A2541">
        <f>Input!A2541</f>
        <v/>
      </c>
      <c r="B2541">
        <f>IF(ISNUMBER(Input!B2541),IF(AND(Input!B2541&gt;=20,Input!B2541&lt;=700),Input!B2541,""),"")</f>
        <v/>
      </c>
      <c r="C2541">
        <f>IF(B2541="","",INT(A2541))</f>
        <v/>
      </c>
      <c r="D2541">
        <f>IF(B2541="","",HOUR(A2541))</f>
        <v/>
      </c>
    </row>
    <row r="2542">
      <c r="A2542">
        <f>Input!A2542</f>
        <v/>
      </c>
      <c r="B2542">
        <f>IF(ISNUMBER(Input!B2542),IF(AND(Input!B2542&gt;=20,Input!B2542&lt;=700),Input!B2542,""),"")</f>
        <v/>
      </c>
      <c r="C2542">
        <f>IF(B2542="","",INT(A2542))</f>
        <v/>
      </c>
      <c r="D2542">
        <f>IF(B2542="","",HOUR(A2542))</f>
        <v/>
      </c>
    </row>
    <row r="2543">
      <c r="A2543">
        <f>Input!A2543</f>
        <v/>
      </c>
      <c r="B2543">
        <f>IF(ISNUMBER(Input!B2543),IF(AND(Input!B2543&gt;=20,Input!B2543&lt;=700),Input!B2543,""),"")</f>
        <v/>
      </c>
      <c r="C2543">
        <f>IF(B2543="","",INT(A2543))</f>
        <v/>
      </c>
      <c r="D2543">
        <f>IF(B2543="","",HOUR(A2543))</f>
        <v/>
      </c>
    </row>
    <row r="2544">
      <c r="A2544">
        <f>Input!A2544</f>
        <v/>
      </c>
      <c r="B2544">
        <f>IF(ISNUMBER(Input!B2544),IF(AND(Input!B2544&gt;=20,Input!B2544&lt;=700),Input!B2544,""),"")</f>
        <v/>
      </c>
      <c r="C2544">
        <f>IF(B2544="","",INT(A2544))</f>
        <v/>
      </c>
      <c r="D2544">
        <f>IF(B2544="","",HOUR(A2544))</f>
        <v/>
      </c>
    </row>
    <row r="2545">
      <c r="A2545">
        <f>Input!A2545</f>
        <v/>
      </c>
      <c r="B2545">
        <f>IF(ISNUMBER(Input!B2545),IF(AND(Input!B2545&gt;=20,Input!B2545&lt;=700),Input!B2545,""),"")</f>
        <v/>
      </c>
      <c r="C2545">
        <f>IF(B2545="","",INT(A2545))</f>
        <v/>
      </c>
      <c r="D2545">
        <f>IF(B2545="","",HOUR(A2545))</f>
        <v/>
      </c>
    </row>
    <row r="2546">
      <c r="A2546">
        <f>Input!A2546</f>
        <v/>
      </c>
      <c r="B2546">
        <f>IF(ISNUMBER(Input!B2546),IF(AND(Input!B2546&gt;=20,Input!B2546&lt;=700),Input!B2546,""),"")</f>
        <v/>
      </c>
      <c r="C2546">
        <f>IF(B2546="","",INT(A2546))</f>
        <v/>
      </c>
      <c r="D2546">
        <f>IF(B2546="","",HOUR(A2546))</f>
        <v/>
      </c>
    </row>
    <row r="2547">
      <c r="A2547">
        <f>Input!A2547</f>
        <v/>
      </c>
      <c r="B2547">
        <f>IF(ISNUMBER(Input!B2547),IF(AND(Input!B2547&gt;=20,Input!B2547&lt;=700),Input!B2547,""),"")</f>
        <v/>
      </c>
      <c r="C2547">
        <f>IF(B2547="","",INT(A2547))</f>
        <v/>
      </c>
      <c r="D2547">
        <f>IF(B2547="","",HOUR(A2547))</f>
        <v/>
      </c>
    </row>
    <row r="2548">
      <c r="A2548">
        <f>Input!A2548</f>
        <v/>
      </c>
      <c r="B2548">
        <f>IF(ISNUMBER(Input!B2548),IF(AND(Input!B2548&gt;=20,Input!B2548&lt;=700),Input!B2548,""),"")</f>
        <v/>
      </c>
      <c r="C2548">
        <f>IF(B2548="","",INT(A2548))</f>
        <v/>
      </c>
      <c r="D2548">
        <f>IF(B2548="","",HOUR(A2548))</f>
        <v/>
      </c>
    </row>
    <row r="2549">
      <c r="A2549">
        <f>Input!A2549</f>
        <v/>
      </c>
      <c r="B2549">
        <f>IF(ISNUMBER(Input!B2549),IF(AND(Input!B2549&gt;=20,Input!B2549&lt;=700),Input!B2549,""),"")</f>
        <v/>
      </c>
      <c r="C2549">
        <f>IF(B2549="","",INT(A2549))</f>
        <v/>
      </c>
      <c r="D2549">
        <f>IF(B2549="","",HOUR(A2549))</f>
        <v/>
      </c>
    </row>
    <row r="2550">
      <c r="A2550">
        <f>Input!A2550</f>
        <v/>
      </c>
      <c r="B2550">
        <f>IF(ISNUMBER(Input!B2550),IF(AND(Input!B2550&gt;=20,Input!B2550&lt;=700),Input!B2550,""),"")</f>
        <v/>
      </c>
      <c r="C2550">
        <f>IF(B2550="","",INT(A2550))</f>
        <v/>
      </c>
      <c r="D2550">
        <f>IF(B2550="","",HOUR(A2550))</f>
        <v/>
      </c>
    </row>
    <row r="2551">
      <c r="A2551">
        <f>Input!A2551</f>
        <v/>
      </c>
      <c r="B2551">
        <f>IF(ISNUMBER(Input!B2551),IF(AND(Input!B2551&gt;=20,Input!B2551&lt;=700),Input!B2551,""),"")</f>
        <v/>
      </c>
      <c r="C2551">
        <f>IF(B2551="","",INT(A2551))</f>
        <v/>
      </c>
      <c r="D2551">
        <f>IF(B2551="","",HOUR(A2551))</f>
        <v/>
      </c>
    </row>
    <row r="2552">
      <c r="A2552">
        <f>Input!A2552</f>
        <v/>
      </c>
      <c r="B2552">
        <f>IF(ISNUMBER(Input!B2552),IF(AND(Input!B2552&gt;=20,Input!B2552&lt;=700),Input!B2552,""),"")</f>
        <v/>
      </c>
      <c r="C2552">
        <f>IF(B2552="","",INT(A2552))</f>
        <v/>
      </c>
      <c r="D2552">
        <f>IF(B2552="","",HOUR(A2552))</f>
        <v/>
      </c>
    </row>
    <row r="2553">
      <c r="A2553">
        <f>Input!A2553</f>
        <v/>
      </c>
      <c r="B2553">
        <f>IF(ISNUMBER(Input!B2553),IF(AND(Input!B2553&gt;=20,Input!B2553&lt;=700),Input!B2553,""),"")</f>
        <v/>
      </c>
      <c r="C2553">
        <f>IF(B2553="","",INT(A2553))</f>
        <v/>
      </c>
      <c r="D2553">
        <f>IF(B2553="","",HOUR(A2553))</f>
        <v/>
      </c>
    </row>
    <row r="2554">
      <c r="A2554">
        <f>Input!A2554</f>
        <v/>
      </c>
      <c r="B2554">
        <f>IF(ISNUMBER(Input!B2554),IF(AND(Input!B2554&gt;=20,Input!B2554&lt;=700),Input!B2554,""),"")</f>
        <v/>
      </c>
      <c r="C2554">
        <f>IF(B2554="","",INT(A2554))</f>
        <v/>
      </c>
      <c r="D2554">
        <f>IF(B2554="","",HOUR(A2554))</f>
        <v/>
      </c>
    </row>
    <row r="2555">
      <c r="A2555">
        <f>Input!A2555</f>
        <v/>
      </c>
      <c r="B2555">
        <f>IF(ISNUMBER(Input!B2555),IF(AND(Input!B2555&gt;=20,Input!B2555&lt;=700),Input!B2555,""),"")</f>
        <v/>
      </c>
      <c r="C2555">
        <f>IF(B2555="","",INT(A2555))</f>
        <v/>
      </c>
      <c r="D2555">
        <f>IF(B2555="","",HOUR(A2555))</f>
        <v/>
      </c>
    </row>
    <row r="2556">
      <c r="A2556">
        <f>Input!A2556</f>
        <v/>
      </c>
      <c r="B2556">
        <f>IF(ISNUMBER(Input!B2556),IF(AND(Input!B2556&gt;=20,Input!B2556&lt;=700),Input!B2556,""),"")</f>
        <v/>
      </c>
      <c r="C2556">
        <f>IF(B2556="","",INT(A2556))</f>
        <v/>
      </c>
      <c r="D2556">
        <f>IF(B2556="","",HOUR(A2556))</f>
        <v/>
      </c>
    </row>
    <row r="2557">
      <c r="A2557">
        <f>Input!A2557</f>
        <v/>
      </c>
      <c r="B2557">
        <f>IF(ISNUMBER(Input!B2557),IF(AND(Input!B2557&gt;=20,Input!B2557&lt;=700),Input!B2557,""),"")</f>
        <v/>
      </c>
      <c r="C2557">
        <f>IF(B2557="","",INT(A2557))</f>
        <v/>
      </c>
      <c r="D2557">
        <f>IF(B2557="","",HOUR(A2557))</f>
        <v/>
      </c>
    </row>
    <row r="2558">
      <c r="A2558">
        <f>Input!A2558</f>
        <v/>
      </c>
      <c r="B2558">
        <f>IF(ISNUMBER(Input!B2558),IF(AND(Input!B2558&gt;=20,Input!B2558&lt;=700),Input!B2558,""),"")</f>
        <v/>
      </c>
      <c r="C2558">
        <f>IF(B2558="","",INT(A2558))</f>
        <v/>
      </c>
      <c r="D2558">
        <f>IF(B2558="","",HOUR(A2558))</f>
        <v/>
      </c>
    </row>
    <row r="2559">
      <c r="A2559">
        <f>Input!A2559</f>
        <v/>
      </c>
      <c r="B2559">
        <f>IF(ISNUMBER(Input!B2559),IF(AND(Input!B2559&gt;=20,Input!B2559&lt;=700),Input!B2559,""),"")</f>
        <v/>
      </c>
      <c r="C2559">
        <f>IF(B2559="","",INT(A2559))</f>
        <v/>
      </c>
      <c r="D2559">
        <f>IF(B2559="","",HOUR(A2559))</f>
        <v/>
      </c>
    </row>
    <row r="2560">
      <c r="A2560">
        <f>Input!A2560</f>
        <v/>
      </c>
      <c r="B2560">
        <f>IF(ISNUMBER(Input!B2560),IF(AND(Input!B2560&gt;=20,Input!B2560&lt;=700),Input!B2560,""),"")</f>
        <v/>
      </c>
      <c r="C2560">
        <f>IF(B2560="","",INT(A2560))</f>
        <v/>
      </c>
      <c r="D2560">
        <f>IF(B2560="","",HOUR(A2560))</f>
        <v/>
      </c>
    </row>
    <row r="2561">
      <c r="A2561">
        <f>Input!A2561</f>
        <v/>
      </c>
      <c r="B2561">
        <f>IF(ISNUMBER(Input!B2561),IF(AND(Input!B2561&gt;=20,Input!B2561&lt;=700),Input!B2561,""),"")</f>
        <v/>
      </c>
      <c r="C2561">
        <f>IF(B2561="","",INT(A2561))</f>
        <v/>
      </c>
      <c r="D2561">
        <f>IF(B2561="","",HOUR(A2561))</f>
        <v/>
      </c>
    </row>
    <row r="2562">
      <c r="A2562">
        <f>Input!A2562</f>
        <v/>
      </c>
      <c r="B2562">
        <f>IF(ISNUMBER(Input!B2562),IF(AND(Input!B2562&gt;=20,Input!B2562&lt;=700),Input!B2562,""),"")</f>
        <v/>
      </c>
      <c r="C2562">
        <f>IF(B2562="","",INT(A2562))</f>
        <v/>
      </c>
      <c r="D2562">
        <f>IF(B2562="","",HOUR(A2562))</f>
        <v/>
      </c>
    </row>
    <row r="2563">
      <c r="A2563">
        <f>Input!A2563</f>
        <v/>
      </c>
      <c r="B2563">
        <f>IF(ISNUMBER(Input!B2563),IF(AND(Input!B2563&gt;=20,Input!B2563&lt;=700),Input!B2563,""),"")</f>
        <v/>
      </c>
      <c r="C2563">
        <f>IF(B2563="","",INT(A2563))</f>
        <v/>
      </c>
      <c r="D2563">
        <f>IF(B2563="","",HOUR(A2563))</f>
        <v/>
      </c>
    </row>
    <row r="2564">
      <c r="A2564">
        <f>Input!A2564</f>
        <v/>
      </c>
      <c r="B2564">
        <f>IF(ISNUMBER(Input!B2564),IF(AND(Input!B2564&gt;=20,Input!B2564&lt;=700),Input!B2564,""),"")</f>
        <v/>
      </c>
      <c r="C2564">
        <f>IF(B2564="","",INT(A2564))</f>
        <v/>
      </c>
      <c r="D2564">
        <f>IF(B2564="","",HOUR(A2564))</f>
        <v/>
      </c>
    </row>
    <row r="2565">
      <c r="A2565">
        <f>Input!A2565</f>
        <v/>
      </c>
      <c r="B2565">
        <f>IF(ISNUMBER(Input!B2565),IF(AND(Input!B2565&gt;=20,Input!B2565&lt;=700),Input!B2565,""),"")</f>
        <v/>
      </c>
      <c r="C2565">
        <f>IF(B2565="","",INT(A2565))</f>
        <v/>
      </c>
      <c r="D2565">
        <f>IF(B2565="","",HOUR(A2565))</f>
        <v/>
      </c>
    </row>
    <row r="2566">
      <c r="A2566">
        <f>Input!A2566</f>
        <v/>
      </c>
      <c r="B2566">
        <f>IF(ISNUMBER(Input!B2566),IF(AND(Input!B2566&gt;=20,Input!B2566&lt;=700),Input!B2566,""),"")</f>
        <v/>
      </c>
      <c r="C2566">
        <f>IF(B2566="","",INT(A2566))</f>
        <v/>
      </c>
      <c r="D2566">
        <f>IF(B2566="","",HOUR(A2566))</f>
        <v/>
      </c>
    </row>
    <row r="2567">
      <c r="A2567">
        <f>Input!A2567</f>
        <v/>
      </c>
      <c r="B2567">
        <f>IF(ISNUMBER(Input!B2567),IF(AND(Input!B2567&gt;=20,Input!B2567&lt;=700),Input!B2567,""),"")</f>
        <v/>
      </c>
      <c r="C2567">
        <f>IF(B2567="","",INT(A2567))</f>
        <v/>
      </c>
      <c r="D2567">
        <f>IF(B2567="","",HOUR(A2567))</f>
        <v/>
      </c>
    </row>
    <row r="2568">
      <c r="A2568">
        <f>Input!A2568</f>
        <v/>
      </c>
      <c r="B2568">
        <f>IF(ISNUMBER(Input!B2568),IF(AND(Input!B2568&gt;=20,Input!B2568&lt;=700),Input!B2568,""),"")</f>
        <v/>
      </c>
      <c r="C2568">
        <f>IF(B2568="","",INT(A2568))</f>
        <v/>
      </c>
      <c r="D2568">
        <f>IF(B2568="","",HOUR(A2568))</f>
        <v/>
      </c>
    </row>
    <row r="2569">
      <c r="A2569">
        <f>Input!A2569</f>
        <v/>
      </c>
      <c r="B2569">
        <f>IF(ISNUMBER(Input!B2569),IF(AND(Input!B2569&gt;=20,Input!B2569&lt;=700),Input!B2569,""),"")</f>
        <v/>
      </c>
      <c r="C2569">
        <f>IF(B2569="","",INT(A2569))</f>
        <v/>
      </c>
      <c r="D2569">
        <f>IF(B2569="","",HOUR(A2569))</f>
        <v/>
      </c>
    </row>
    <row r="2570">
      <c r="A2570">
        <f>Input!A2570</f>
        <v/>
      </c>
      <c r="B2570">
        <f>IF(ISNUMBER(Input!B2570),IF(AND(Input!B2570&gt;=20,Input!B2570&lt;=700),Input!B2570,""),"")</f>
        <v/>
      </c>
      <c r="C2570">
        <f>IF(B2570="","",INT(A2570))</f>
        <v/>
      </c>
      <c r="D2570">
        <f>IF(B2570="","",HOUR(A2570))</f>
        <v/>
      </c>
    </row>
    <row r="2571">
      <c r="A2571">
        <f>Input!A2571</f>
        <v/>
      </c>
      <c r="B2571">
        <f>IF(ISNUMBER(Input!B2571),IF(AND(Input!B2571&gt;=20,Input!B2571&lt;=700),Input!B2571,""),"")</f>
        <v/>
      </c>
      <c r="C2571">
        <f>IF(B2571="","",INT(A2571))</f>
        <v/>
      </c>
      <c r="D2571">
        <f>IF(B2571="","",HOUR(A2571))</f>
        <v/>
      </c>
    </row>
    <row r="2572">
      <c r="A2572">
        <f>Input!A2572</f>
        <v/>
      </c>
      <c r="B2572">
        <f>IF(ISNUMBER(Input!B2572),IF(AND(Input!B2572&gt;=20,Input!B2572&lt;=700),Input!B2572,""),"")</f>
        <v/>
      </c>
      <c r="C2572">
        <f>IF(B2572="","",INT(A2572))</f>
        <v/>
      </c>
      <c r="D2572">
        <f>IF(B2572="","",HOUR(A2572))</f>
        <v/>
      </c>
    </row>
    <row r="2573">
      <c r="A2573">
        <f>Input!A2573</f>
        <v/>
      </c>
      <c r="B2573">
        <f>IF(ISNUMBER(Input!B2573),IF(AND(Input!B2573&gt;=20,Input!B2573&lt;=700),Input!B2573,""),"")</f>
        <v/>
      </c>
      <c r="C2573">
        <f>IF(B2573="","",INT(A2573))</f>
        <v/>
      </c>
      <c r="D2573">
        <f>IF(B2573="","",HOUR(A2573))</f>
        <v/>
      </c>
    </row>
    <row r="2574">
      <c r="A2574">
        <f>Input!A2574</f>
        <v/>
      </c>
      <c r="B2574">
        <f>IF(ISNUMBER(Input!B2574),IF(AND(Input!B2574&gt;=20,Input!B2574&lt;=700),Input!B2574,""),"")</f>
        <v/>
      </c>
      <c r="C2574">
        <f>IF(B2574="","",INT(A2574))</f>
        <v/>
      </c>
      <c r="D2574">
        <f>IF(B2574="","",HOUR(A2574))</f>
        <v/>
      </c>
    </row>
    <row r="2575">
      <c r="A2575">
        <f>Input!A2575</f>
        <v/>
      </c>
      <c r="B2575">
        <f>IF(ISNUMBER(Input!B2575),IF(AND(Input!B2575&gt;=20,Input!B2575&lt;=700),Input!B2575,""),"")</f>
        <v/>
      </c>
      <c r="C2575">
        <f>IF(B2575="","",INT(A2575))</f>
        <v/>
      </c>
      <c r="D2575">
        <f>IF(B2575="","",HOUR(A2575))</f>
        <v/>
      </c>
    </row>
    <row r="2576">
      <c r="A2576">
        <f>Input!A2576</f>
        <v/>
      </c>
      <c r="B2576">
        <f>IF(ISNUMBER(Input!B2576),IF(AND(Input!B2576&gt;=20,Input!B2576&lt;=700),Input!B2576,""),"")</f>
        <v/>
      </c>
      <c r="C2576">
        <f>IF(B2576="","",INT(A2576))</f>
        <v/>
      </c>
      <c r="D2576">
        <f>IF(B2576="","",HOUR(A2576))</f>
        <v/>
      </c>
    </row>
    <row r="2577">
      <c r="A2577">
        <f>Input!A2577</f>
        <v/>
      </c>
      <c r="B2577">
        <f>IF(ISNUMBER(Input!B2577),IF(AND(Input!B2577&gt;=20,Input!B2577&lt;=700),Input!B2577,""),"")</f>
        <v/>
      </c>
      <c r="C2577">
        <f>IF(B2577="","",INT(A2577))</f>
        <v/>
      </c>
      <c r="D2577">
        <f>IF(B2577="","",HOUR(A2577))</f>
        <v/>
      </c>
    </row>
    <row r="2578">
      <c r="A2578">
        <f>Input!A2578</f>
        <v/>
      </c>
      <c r="B2578">
        <f>IF(ISNUMBER(Input!B2578),IF(AND(Input!B2578&gt;=20,Input!B2578&lt;=700),Input!B2578,""),"")</f>
        <v/>
      </c>
      <c r="C2578">
        <f>IF(B2578="","",INT(A2578))</f>
        <v/>
      </c>
      <c r="D2578">
        <f>IF(B2578="","",HOUR(A2578))</f>
        <v/>
      </c>
    </row>
    <row r="2579">
      <c r="A2579">
        <f>Input!A2579</f>
        <v/>
      </c>
      <c r="B2579">
        <f>IF(ISNUMBER(Input!B2579),IF(AND(Input!B2579&gt;=20,Input!B2579&lt;=700),Input!B2579,""),"")</f>
        <v/>
      </c>
      <c r="C2579">
        <f>IF(B2579="","",INT(A2579))</f>
        <v/>
      </c>
      <c r="D2579">
        <f>IF(B2579="","",HOUR(A2579))</f>
        <v/>
      </c>
    </row>
    <row r="2580">
      <c r="A2580">
        <f>Input!A2580</f>
        <v/>
      </c>
      <c r="B2580">
        <f>IF(ISNUMBER(Input!B2580),IF(AND(Input!B2580&gt;=20,Input!B2580&lt;=700),Input!B2580,""),"")</f>
        <v/>
      </c>
      <c r="C2580">
        <f>IF(B2580="","",INT(A2580))</f>
        <v/>
      </c>
      <c r="D2580">
        <f>IF(B2580="","",HOUR(A2580))</f>
        <v/>
      </c>
    </row>
    <row r="2581">
      <c r="A2581">
        <f>Input!A2581</f>
        <v/>
      </c>
      <c r="B2581">
        <f>IF(ISNUMBER(Input!B2581),IF(AND(Input!B2581&gt;=20,Input!B2581&lt;=700),Input!B2581,""),"")</f>
        <v/>
      </c>
      <c r="C2581">
        <f>IF(B2581="","",INT(A2581))</f>
        <v/>
      </c>
      <c r="D2581">
        <f>IF(B2581="","",HOUR(A2581))</f>
        <v/>
      </c>
    </row>
    <row r="2582">
      <c r="A2582">
        <f>Input!A2582</f>
        <v/>
      </c>
      <c r="B2582">
        <f>IF(ISNUMBER(Input!B2582),IF(AND(Input!B2582&gt;=20,Input!B2582&lt;=700),Input!B2582,""),"")</f>
        <v/>
      </c>
      <c r="C2582">
        <f>IF(B2582="","",INT(A2582))</f>
        <v/>
      </c>
      <c r="D2582">
        <f>IF(B2582="","",HOUR(A2582))</f>
        <v/>
      </c>
    </row>
    <row r="2583">
      <c r="A2583">
        <f>Input!A2583</f>
        <v/>
      </c>
      <c r="B2583">
        <f>IF(ISNUMBER(Input!B2583),IF(AND(Input!B2583&gt;=20,Input!B2583&lt;=700),Input!B2583,""),"")</f>
        <v/>
      </c>
      <c r="C2583">
        <f>IF(B2583="","",INT(A2583))</f>
        <v/>
      </c>
      <c r="D2583">
        <f>IF(B2583="","",HOUR(A2583))</f>
        <v/>
      </c>
    </row>
    <row r="2584">
      <c r="A2584">
        <f>Input!A2584</f>
        <v/>
      </c>
      <c r="B2584">
        <f>IF(ISNUMBER(Input!B2584),IF(AND(Input!B2584&gt;=20,Input!B2584&lt;=700),Input!B2584,""),"")</f>
        <v/>
      </c>
      <c r="C2584">
        <f>IF(B2584="","",INT(A2584))</f>
        <v/>
      </c>
      <c r="D2584">
        <f>IF(B2584="","",HOUR(A2584))</f>
        <v/>
      </c>
    </row>
    <row r="2585">
      <c r="A2585">
        <f>Input!A2585</f>
        <v/>
      </c>
      <c r="B2585">
        <f>IF(ISNUMBER(Input!B2585),IF(AND(Input!B2585&gt;=20,Input!B2585&lt;=700),Input!B2585,""),"")</f>
        <v/>
      </c>
      <c r="C2585">
        <f>IF(B2585="","",INT(A2585))</f>
        <v/>
      </c>
      <c r="D2585">
        <f>IF(B2585="","",HOUR(A2585))</f>
        <v/>
      </c>
    </row>
    <row r="2586">
      <c r="A2586">
        <f>Input!A2586</f>
        <v/>
      </c>
      <c r="B2586">
        <f>IF(ISNUMBER(Input!B2586),IF(AND(Input!B2586&gt;=20,Input!B2586&lt;=700),Input!B2586,""),"")</f>
        <v/>
      </c>
      <c r="C2586">
        <f>IF(B2586="","",INT(A2586))</f>
        <v/>
      </c>
      <c r="D2586">
        <f>IF(B2586="","",HOUR(A2586))</f>
        <v/>
      </c>
    </row>
    <row r="2587">
      <c r="A2587">
        <f>Input!A2587</f>
        <v/>
      </c>
      <c r="B2587">
        <f>IF(ISNUMBER(Input!B2587),IF(AND(Input!B2587&gt;=20,Input!B2587&lt;=700),Input!B2587,""),"")</f>
        <v/>
      </c>
      <c r="C2587">
        <f>IF(B2587="","",INT(A2587))</f>
        <v/>
      </c>
      <c r="D2587">
        <f>IF(B2587="","",HOUR(A2587))</f>
        <v/>
      </c>
    </row>
    <row r="2588">
      <c r="A2588">
        <f>Input!A2588</f>
        <v/>
      </c>
      <c r="B2588">
        <f>IF(ISNUMBER(Input!B2588),IF(AND(Input!B2588&gt;=20,Input!B2588&lt;=700),Input!B2588,""),"")</f>
        <v/>
      </c>
      <c r="C2588">
        <f>IF(B2588="","",INT(A2588))</f>
        <v/>
      </c>
      <c r="D2588">
        <f>IF(B2588="","",HOUR(A2588))</f>
        <v/>
      </c>
    </row>
    <row r="2589">
      <c r="A2589">
        <f>Input!A2589</f>
        <v/>
      </c>
      <c r="B2589">
        <f>IF(ISNUMBER(Input!B2589),IF(AND(Input!B2589&gt;=20,Input!B2589&lt;=700),Input!B2589,""),"")</f>
        <v/>
      </c>
      <c r="C2589">
        <f>IF(B2589="","",INT(A2589))</f>
        <v/>
      </c>
      <c r="D2589">
        <f>IF(B2589="","",HOUR(A2589))</f>
        <v/>
      </c>
    </row>
    <row r="2590">
      <c r="A2590">
        <f>Input!A2590</f>
        <v/>
      </c>
      <c r="B2590">
        <f>IF(ISNUMBER(Input!B2590),IF(AND(Input!B2590&gt;=20,Input!B2590&lt;=700),Input!B2590,""),"")</f>
        <v/>
      </c>
      <c r="C2590">
        <f>IF(B2590="","",INT(A2590))</f>
        <v/>
      </c>
      <c r="D2590">
        <f>IF(B2590="","",HOUR(A2590))</f>
        <v/>
      </c>
    </row>
    <row r="2591">
      <c r="A2591">
        <f>Input!A2591</f>
        <v/>
      </c>
      <c r="B2591">
        <f>IF(ISNUMBER(Input!B2591),IF(AND(Input!B2591&gt;=20,Input!B2591&lt;=700),Input!B2591,""),"")</f>
        <v/>
      </c>
      <c r="C2591">
        <f>IF(B2591="","",INT(A2591))</f>
        <v/>
      </c>
      <c r="D2591">
        <f>IF(B2591="","",HOUR(A2591))</f>
        <v/>
      </c>
    </row>
    <row r="2592">
      <c r="A2592">
        <f>Input!A2592</f>
        <v/>
      </c>
      <c r="B2592">
        <f>IF(ISNUMBER(Input!B2592),IF(AND(Input!B2592&gt;=20,Input!B2592&lt;=700),Input!B2592,""),"")</f>
        <v/>
      </c>
      <c r="C2592">
        <f>IF(B2592="","",INT(A2592))</f>
        <v/>
      </c>
      <c r="D2592">
        <f>IF(B2592="","",HOUR(A2592))</f>
        <v/>
      </c>
    </row>
    <row r="2593">
      <c r="A2593">
        <f>Input!A2593</f>
        <v/>
      </c>
      <c r="B2593">
        <f>IF(ISNUMBER(Input!B2593),IF(AND(Input!B2593&gt;=20,Input!B2593&lt;=700),Input!B2593,""),"")</f>
        <v/>
      </c>
      <c r="C2593">
        <f>IF(B2593="","",INT(A2593))</f>
        <v/>
      </c>
      <c r="D2593">
        <f>IF(B2593="","",HOUR(A2593))</f>
        <v/>
      </c>
    </row>
    <row r="2594">
      <c r="A2594">
        <f>Input!A2594</f>
        <v/>
      </c>
      <c r="B2594">
        <f>IF(ISNUMBER(Input!B2594),IF(AND(Input!B2594&gt;=20,Input!B2594&lt;=700),Input!B2594,""),"")</f>
        <v/>
      </c>
      <c r="C2594">
        <f>IF(B2594="","",INT(A2594))</f>
        <v/>
      </c>
      <c r="D2594">
        <f>IF(B2594="","",HOUR(A2594))</f>
        <v/>
      </c>
    </row>
    <row r="2595">
      <c r="A2595">
        <f>Input!A2595</f>
        <v/>
      </c>
      <c r="B2595">
        <f>IF(ISNUMBER(Input!B2595),IF(AND(Input!B2595&gt;=20,Input!B2595&lt;=700),Input!B2595,""),"")</f>
        <v/>
      </c>
      <c r="C2595">
        <f>IF(B2595="","",INT(A2595))</f>
        <v/>
      </c>
      <c r="D2595">
        <f>IF(B2595="","",HOUR(A2595))</f>
        <v/>
      </c>
    </row>
    <row r="2596">
      <c r="A2596">
        <f>Input!A2596</f>
        <v/>
      </c>
      <c r="B2596">
        <f>IF(ISNUMBER(Input!B2596),IF(AND(Input!B2596&gt;=20,Input!B2596&lt;=700),Input!B2596,""),"")</f>
        <v/>
      </c>
      <c r="C2596">
        <f>IF(B2596="","",INT(A2596))</f>
        <v/>
      </c>
      <c r="D2596">
        <f>IF(B2596="","",HOUR(A2596))</f>
        <v/>
      </c>
    </row>
    <row r="2597">
      <c r="A2597">
        <f>Input!A2597</f>
        <v/>
      </c>
      <c r="B2597">
        <f>IF(ISNUMBER(Input!B2597),IF(AND(Input!B2597&gt;=20,Input!B2597&lt;=700),Input!B2597,""),"")</f>
        <v/>
      </c>
      <c r="C2597">
        <f>IF(B2597="","",INT(A2597))</f>
        <v/>
      </c>
      <c r="D2597">
        <f>IF(B2597="","",HOUR(A2597))</f>
        <v/>
      </c>
    </row>
    <row r="2598">
      <c r="A2598">
        <f>Input!A2598</f>
        <v/>
      </c>
      <c r="B2598">
        <f>IF(ISNUMBER(Input!B2598),IF(AND(Input!B2598&gt;=20,Input!B2598&lt;=700),Input!B2598,""),"")</f>
        <v/>
      </c>
      <c r="C2598">
        <f>IF(B2598="","",INT(A2598))</f>
        <v/>
      </c>
      <c r="D2598">
        <f>IF(B2598="","",HOUR(A2598))</f>
        <v/>
      </c>
    </row>
    <row r="2599">
      <c r="A2599">
        <f>Input!A2599</f>
        <v/>
      </c>
      <c r="B2599">
        <f>IF(ISNUMBER(Input!B2599),IF(AND(Input!B2599&gt;=20,Input!B2599&lt;=700),Input!B2599,""),"")</f>
        <v/>
      </c>
      <c r="C2599">
        <f>IF(B2599="","",INT(A2599))</f>
        <v/>
      </c>
      <c r="D2599">
        <f>IF(B2599="","",HOUR(A2599))</f>
        <v/>
      </c>
    </row>
    <row r="2600">
      <c r="A2600">
        <f>Input!A2600</f>
        <v/>
      </c>
      <c r="B2600">
        <f>IF(ISNUMBER(Input!B2600),IF(AND(Input!B2600&gt;=20,Input!B2600&lt;=700),Input!B2600,""),"")</f>
        <v/>
      </c>
      <c r="C2600">
        <f>IF(B2600="","",INT(A2600))</f>
        <v/>
      </c>
      <c r="D2600">
        <f>IF(B2600="","",HOUR(A2600))</f>
        <v/>
      </c>
    </row>
    <row r="2601">
      <c r="A2601">
        <f>Input!A2601</f>
        <v/>
      </c>
      <c r="B2601">
        <f>IF(ISNUMBER(Input!B2601),IF(AND(Input!B2601&gt;=20,Input!B2601&lt;=700),Input!B2601,""),"")</f>
        <v/>
      </c>
      <c r="C2601">
        <f>IF(B2601="","",INT(A2601))</f>
        <v/>
      </c>
      <c r="D2601">
        <f>IF(B2601="","",HOUR(A2601))</f>
        <v/>
      </c>
    </row>
    <row r="2602">
      <c r="A2602">
        <f>Input!A2602</f>
        <v/>
      </c>
      <c r="B2602">
        <f>IF(ISNUMBER(Input!B2602),IF(AND(Input!B2602&gt;=20,Input!B2602&lt;=700),Input!B2602,""),"")</f>
        <v/>
      </c>
      <c r="C2602">
        <f>IF(B2602="","",INT(A2602))</f>
        <v/>
      </c>
      <c r="D2602">
        <f>IF(B2602="","",HOUR(A2602))</f>
        <v/>
      </c>
    </row>
    <row r="2603">
      <c r="A2603">
        <f>Input!A2603</f>
        <v/>
      </c>
      <c r="B2603">
        <f>IF(ISNUMBER(Input!B2603),IF(AND(Input!B2603&gt;=20,Input!B2603&lt;=700),Input!B2603,""),"")</f>
        <v/>
      </c>
      <c r="C2603">
        <f>IF(B2603="","",INT(A2603))</f>
        <v/>
      </c>
      <c r="D2603">
        <f>IF(B2603="","",HOUR(A2603))</f>
        <v/>
      </c>
    </row>
    <row r="2604">
      <c r="A2604">
        <f>Input!A2604</f>
        <v/>
      </c>
      <c r="B2604">
        <f>IF(ISNUMBER(Input!B2604),IF(AND(Input!B2604&gt;=20,Input!B2604&lt;=700),Input!B2604,""),"")</f>
        <v/>
      </c>
      <c r="C2604">
        <f>IF(B2604="","",INT(A2604))</f>
        <v/>
      </c>
      <c r="D2604">
        <f>IF(B2604="","",HOUR(A2604))</f>
        <v/>
      </c>
    </row>
    <row r="2605">
      <c r="A2605">
        <f>Input!A2605</f>
        <v/>
      </c>
      <c r="B2605">
        <f>IF(ISNUMBER(Input!B2605),IF(AND(Input!B2605&gt;=20,Input!B2605&lt;=700),Input!B2605,""),"")</f>
        <v/>
      </c>
      <c r="C2605">
        <f>IF(B2605="","",INT(A2605))</f>
        <v/>
      </c>
      <c r="D2605">
        <f>IF(B2605="","",HOUR(A2605))</f>
        <v/>
      </c>
    </row>
    <row r="2606">
      <c r="A2606">
        <f>Input!A2606</f>
        <v/>
      </c>
      <c r="B2606">
        <f>IF(ISNUMBER(Input!B2606),IF(AND(Input!B2606&gt;=20,Input!B2606&lt;=700),Input!B2606,""),"")</f>
        <v/>
      </c>
      <c r="C2606">
        <f>IF(B2606="","",INT(A2606))</f>
        <v/>
      </c>
      <c r="D2606">
        <f>IF(B2606="","",HOUR(A2606))</f>
        <v/>
      </c>
    </row>
    <row r="2607">
      <c r="A2607">
        <f>Input!A2607</f>
        <v/>
      </c>
      <c r="B2607">
        <f>IF(ISNUMBER(Input!B2607),IF(AND(Input!B2607&gt;=20,Input!B2607&lt;=700),Input!B2607,""),"")</f>
        <v/>
      </c>
      <c r="C2607">
        <f>IF(B2607="","",INT(A2607))</f>
        <v/>
      </c>
      <c r="D2607">
        <f>IF(B2607="","",HOUR(A2607))</f>
        <v/>
      </c>
    </row>
    <row r="2608">
      <c r="A2608">
        <f>Input!A2608</f>
        <v/>
      </c>
      <c r="B2608">
        <f>IF(ISNUMBER(Input!B2608),IF(AND(Input!B2608&gt;=20,Input!B2608&lt;=700),Input!B2608,""),"")</f>
        <v/>
      </c>
      <c r="C2608">
        <f>IF(B2608="","",INT(A2608))</f>
        <v/>
      </c>
      <c r="D2608">
        <f>IF(B2608="","",HOUR(A2608))</f>
        <v/>
      </c>
    </row>
    <row r="2609">
      <c r="A2609">
        <f>Input!A2609</f>
        <v/>
      </c>
      <c r="B2609">
        <f>IF(ISNUMBER(Input!B2609),IF(AND(Input!B2609&gt;=20,Input!B2609&lt;=700),Input!B2609,""),"")</f>
        <v/>
      </c>
      <c r="C2609">
        <f>IF(B2609="","",INT(A2609))</f>
        <v/>
      </c>
      <c r="D2609">
        <f>IF(B2609="","",HOUR(A2609))</f>
        <v/>
      </c>
    </row>
    <row r="2610">
      <c r="A2610">
        <f>Input!A2610</f>
        <v/>
      </c>
      <c r="B2610">
        <f>IF(ISNUMBER(Input!B2610),IF(AND(Input!B2610&gt;=20,Input!B2610&lt;=700),Input!B2610,""),"")</f>
        <v/>
      </c>
      <c r="C2610">
        <f>IF(B2610="","",INT(A2610))</f>
        <v/>
      </c>
      <c r="D2610">
        <f>IF(B2610="","",HOUR(A2610))</f>
        <v/>
      </c>
    </row>
    <row r="2611">
      <c r="A2611">
        <f>Input!A2611</f>
        <v/>
      </c>
      <c r="B2611">
        <f>IF(ISNUMBER(Input!B2611),IF(AND(Input!B2611&gt;=20,Input!B2611&lt;=700),Input!B2611,""),"")</f>
        <v/>
      </c>
      <c r="C2611">
        <f>IF(B2611="","",INT(A2611))</f>
        <v/>
      </c>
      <c r="D2611">
        <f>IF(B2611="","",HOUR(A2611))</f>
        <v/>
      </c>
    </row>
    <row r="2612">
      <c r="A2612">
        <f>Input!A2612</f>
        <v/>
      </c>
      <c r="B2612">
        <f>IF(ISNUMBER(Input!B2612),IF(AND(Input!B2612&gt;=20,Input!B2612&lt;=700),Input!B2612,""),"")</f>
        <v/>
      </c>
      <c r="C2612">
        <f>IF(B2612="","",INT(A2612))</f>
        <v/>
      </c>
      <c r="D2612">
        <f>IF(B2612="","",HOUR(A2612))</f>
        <v/>
      </c>
    </row>
    <row r="2613">
      <c r="A2613">
        <f>Input!A2613</f>
        <v/>
      </c>
      <c r="B2613">
        <f>IF(ISNUMBER(Input!B2613),IF(AND(Input!B2613&gt;=20,Input!B2613&lt;=700),Input!B2613,""),"")</f>
        <v/>
      </c>
      <c r="C2613">
        <f>IF(B2613="","",INT(A2613))</f>
        <v/>
      </c>
      <c r="D2613">
        <f>IF(B2613="","",HOUR(A2613))</f>
        <v/>
      </c>
    </row>
    <row r="2614">
      <c r="A2614">
        <f>Input!A2614</f>
        <v/>
      </c>
      <c r="B2614">
        <f>IF(ISNUMBER(Input!B2614),IF(AND(Input!B2614&gt;=20,Input!B2614&lt;=700),Input!B2614,""),"")</f>
        <v/>
      </c>
      <c r="C2614">
        <f>IF(B2614="","",INT(A2614))</f>
        <v/>
      </c>
      <c r="D2614">
        <f>IF(B2614="","",HOUR(A2614))</f>
        <v/>
      </c>
    </row>
    <row r="2615">
      <c r="A2615">
        <f>Input!A2615</f>
        <v/>
      </c>
      <c r="B2615">
        <f>IF(ISNUMBER(Input!B2615),IF(AND(Input!B2615&gt;=20,Input!B2615&lt;=700),Input!B2615,""),"")</f>
        <v/>
      </c>
      <c r="C2615">
        <f>IF(B2615="","",INT(A2615))</f>
        <v/>
      </c>
      <c r="D2615">
        <f>IF(B2615="","",HOUR(A2615))</f>
        <v/>
      </c>
    </row>
    <row r="2616">
      <c r="A2616">
        <f>Input!A2616</f>
        <v/>
      </c>
      <c r="B2616">
        <f>IF(ISNUMBER(Input!B2616),IF(AND(Input!B2616&gt;=20,Input!B2616&lt;=700),Input!B2616,""),"")</f>
        <v/>
      </c>
      <c r="C2616">
        <f>IF(B2616="","",INT(A2616))</f>
        <v/>
      </c>
      <c r="D2616">
        <f>IF(B2616="","",HOUR(A2616))</f>
        <v/>
      </c>
    </row>
    <row r="2617">
      <c r="A2617">
        <f>Input!A2617</f>
        <v/>
      </c>
      <c r="B2617">
        <f>IF(ISNUMBER(Input!B2617),IF(AND(Input!B2617&gt;=20,Input!B2617&lt;=700),Input!B2617,""),"")</f>
        <v/>
      </c>
      <c r="C2617">
        <f>IF(B2617="","",INT(A2617))</f>
        <v/>
      </c>
      <c r="D2617">
        <f>IF(B2617="","",HOUR(A2617))</f>
        <v/>
      </c>
    </row>
    <row r="2618">
      <c r="A2618">
        <f>Input!A2618</f>
        <v/>
      </c>
      <c r="B2618">
        <f>IF(ISNUMBER(Input!B2618),IF(AND(Input!B2618&gt;=20,Input!B2618&lt;=700),Input!B2618,""),"")</f>
        <v/>
      </c>
      <c r="C2618">
        <f>IF(B2618="","",INT(A2618))</f>
        <v/>
      </c>
      <c r="D2618">
        <f>IF(B2618="","",HOUR(A2618))</f>
        <v/>
      </c>
    </row>
    <row r="2619">
      <c r="A2619">
        <f>Input!A2619</f>
        <v/>
      </c>
      <c r="B2619">
        <f>IF(ISNUMBER(Input!B2619),IF(AND(Input!B2619&gt;=20,Input!B2619&lt;=700),Input!B2619,""),"")</f>
        <v/>
      </c>
      <c r="C2619">
        <f>IF(B2619="","",INT(A2619))</f>
        <v/>
      </c>
      <c r="D2619">
        <f>IF(B2619="","",HOUR(A2619))</f>
        <v/>
      </c>
    </row>
    <row r="2620">
      <c r="A2620">
        <f>Input!A2620</f>
        <v/>
      </c>
      <c r="B2620">
        <f>IF(ISNUMBER(Input!B2620),IF(AND(Input!B2620&gt;=20,Input!B2620&lt;=700),Input!B2620,""),"")</f>
        <v/>
      </c>
      <c r="C2620">
        <f>IF(B2620="","",INT(A2620))</f>
        <v/>
      </c>
      <c r="D2620">
        <f>IF(B2620="","",HOUR(A2620))</f>
        <v/>
      </c>
    </row>
    <row r="2621">
      <c r="A2621">
        <f>Input!A2621</f>
        <v/>
      </c>
      <c r="B2621">
        <f>IF(ISNUMBER(Input!B2621),IF(AND(Input!B2621&gt;=20,Input!B2621&lt;=700),Input!B2621,""),"")</f>
        <v/>
      </c>
      <c r="C2621">
        <f>IF(B2621="","",INT(A2621))</f>
        <v/>
      </c>
      <c r="D2621">
        <f>IF(B2621="","",HOUR(A2621))</f>
        <v/>
      </c>
    </row>
    <row r="2622">
      <c r="A2622">
        <f>Input!A2622</f>
        <v/>
      </c>
      <c r="B2622">
        <f>IF(ISNUMBER(Input!B2622),IF(AND(Input!B2622&gt;=20,Input!B2622&lt;=700),Input!B2622,""),"")</f>
        <v/>
      </c>
      <c r="C2622">
        <f>IF(B2622="","",INT(A2622))</f>
        <v/>
      </c>
      <c r="D2622">
        <f>IF(B2622="","",HOUR(A2622))</f>
        <v/>
      </c>
    </row>
    <row r="2623">
      <c r="A2623">
        <f>Input!A2623</f>
        <v/>
      </c>
      <c r="B2623">
        <f>IF(ISNUMBER(Input!B2623),IF(AND(Input!B2623&gt;=20,Input!B2623&lt;=700),Input!B2623,""),"")</f>
        <v/>
      </c>
      <c r="C2623">
        <f>IF(B2623="","",INT(A2623))</f>
        <v/>
      </c>
      <c r="D2623">
        <f>IF(B2623="","",HOUR(A2623))</f>
        <v/>
      </c>
    </row>
    <row r="2624">
      <c r="A2624">
        <f>Input!A2624</f>
        <v/>
      </c>
      <c r="B2624">
        <f>IF(ISNUMBER(Input!B2624),IF(AND(Input!B2624&gt;=20,Input!B2624&lt;=700),Input!B2624,""),"")</f>
        <v/>
      </c>
      <c r="C2624">
        <f>IF(B2624="","",INT(A2624))</f>
        <v/>
      </c>
      <c r="D2624">
        <f>IF(B2624="","",HOUR(A2624))</f>
        <v/>
      </c>
    </row>
    <row r="2625">
      <c r="A2625">
        <f>Input!A2625</f>
        <v/>
      </c>
      <c r="B2625">
        <f>IF(ISNUMBER(Input!B2625),IF(AND(Input!B2625&gt;=20,Input!B2625&lt;=700),Input!B2625,""),"")</f>
        <v/>
      </c>
      <c r="C2625">
        <f>IF(B2625="","",INT(A2625))</f>
        <v/>
      </c>
      <c r="D2625">
        <f>IF(B2625="","",HOUR(A2625))</f>
        <v/>
      </c>
    </row>
    <row r="2626">
      <c r="A2626">
        <f>Input!A2626</f>
        <v/>
      </c>
      <c r="B2626">
        <f>IF(ISNUMBER(Input!B2626),IF(AND(Input!B2626&gt;=20,Input!B2626&lt;=700),Input!B2626,""),"")</f>
        <v/>
      </c>
      <c r="C2626">
        <f>IF(B2626="","",INT(A2626))</f>
        <v/>
      </c>
      <c r="D2626">
        <f>IF(B2626="","",HOUR(A2626))</f>
        <v/>
      </c>
    </row>
    <row r="2627">
      <c r="A2627">
        <f>Input!A2627</f>
        <v/>
      </c>
      <c r="B2627">
        <f>IF(ISNUMBER(Input!B2627),IF(AND(Input!B2627&gt;=20,Input!B2627&lt;=700),Input!B2627,""),"")</f>
        <v/>
      </c>
      <c r="C2627">
        <f>IF(B2627="","",INT(A2627))</f>
        <v/>
      </c>
      <c r="D2627">
        <f>IF(B2627="","",HOUR(A2627))</f>
        <v/>
      </c>
    </row>
    <row r="2628">
      <c r="A2628">
        <f>Input!A2628</f>
        <v/>
      </c>
      <c r="B2628">
        <f>IF(ISNUMBER(Input!B2628),IF(AND(Input!B2628&gt;=20,Input!B2628&lt;=700),Input!B2628,""),"")</f>
        <v/>
      </c>
      <c r="C2628">
        <f>IF(B2628="","",INT(A2628))</f>
        <v/>
      </c>
      <c r="D2628">
        <f>IF(B2628="","",HOUR(A2628))</f>
        <v/>
      </c>
    </row>
    <row r="2629">
      <c r="A2629">
        <f>Input!A2629</f>
        <v/>
      </c>
      <c r="B2629">
        <f>IF(ISNUMBER(Input!B2629),IF(AND(Input!B2629&gt;=20,Input!B2629&lt;=700),Input!B2629,""),"")</f>
        <v/>
      </c>
      <c r="C2629">
        <f>IF(B2629="","",INT(A2629))</f>
        <v/>
      </c>
      <c r="D2629">
        <f>IF(B2629="","",HOUR(A2629))</f>
        <v/>
      </c>
    </row>
    <row r="2630">
      <c r="A2630">
        <f>Input!A2630</f>
        <v/>
      </c>
      <c r="B2630">
        <f>IF(ISNUMBER(Input!B2630),IF(AND(Input!B2630&gt;=20,Input!B2630&lt;=700),Input!B2630,""),"")</f>
        <v/>
      </c>
      <c r="C2630">
        <f>IF(B2630="","",INT(A2630))</f>
        <v/>
      </c>
      <c r="D2630">
        <f>IF(B2630="","",HOUR(A2630))</f>
        <v/>
      </c>
    </row>
    <row r="2631">
      <c r="A2631">
        <f>Input!A2631</f>
        <v/>
      </c>
      <c r="B2631">
        <f>IF(ISNUMBER(Input!B2631),IF(AND(Input!B2631&gt;=20,Input!B2631&lt;=700),Input!B2631,""),"")</f>
        <v/>
      </c>
      <c r="C2631">
        <f>IF(B2631="","",INT(A2631))</f>
        <v/>
      </c>
      <c r="D2631">
        <f>IF(B2631="","",HOUR(A2631))</f>
        <v/>
      </c>
    </row>
    <row r="2632">
      <c r="A2632">
        <f>Input!A2632</f>
        <v/>
      </c>
      <c r="B2632">
        <f>IF(ISNUMBER(Input!B2632),IF(AND(Input!B2632&gt;=20,Input!B2632&lt;=700),Input!B2632,""),"")</f>
        <v/>
      </c>
      <c r="C2632">
        <f>IF(B2632="","",INT(A2632))</f>
        <v/>
      </c>
      <c r="D2632">
        <f>IF(B2632="","",HOUR(A2632))</f>
        <v/>
      </c>
    </row>
    <row r="2633">
      <c r="A2633">
        <f>Input!A2633</f>
        <v/>
      </c>
      <c r="B2633">
        <f>IF(ISNUMBER(Input!B2633),IF(AND(Input!B2633&gt;=20,Input!B2633&lt;=700),Input!B2633,""),"")</f>
        <v/>
      </c>
      <c r="C2633">
        <f>IF(B2633="","",INT(A2633))</f>
        <v/>
      </c>
      <c r="D2633">
        <f>IF(B2633="","",HOUR(A2633))</f>
        <v/>
      </c>
    </row>
    <row r="2634">
      <c r="A2634">
        <f>Input!A2634</f>
        <v/>
      </c>
      <c r="B2634">
        <f>IF(ISNUMBER(Input!B2634),IF(AND(Input!B2634&gt;=20,Input!B2634&lt;=700),Input!B2634,""),"")</f>
        <v/>
      </c>
      <c r="C2634">
        <f>IF(B2634="","",INT(A2634))</f>
        <v/>
      </c>
      <c r="D2634">
        <f>IF(B2634="","",HOUR(A2634))</f>
        <v/>
      </c>
    </row>
    <row r="2635">
      <c r="A2635">
        <f>Input!A2635</f>
        <v/>
      </c>
      <c r="B2635">
        <f>IF(ISNUMBER(Input!B2635),IF(AND(Input!B2635&gt;=20,Input!B2635&lt;=700),Input!B2635,""),"")</f>
        <v/>
      </c>
      <c r="C2635">
        <f>IF(B2635="","",INT(A2635))</f>
        <v/>
      </c>
      <c r="D2635">
        <f>IF(B2635="","",HOUR(A2635))</f>
        <v/>
      </c>
    </row>
    <row r="2636">
      <c r="A2636">
        <f>Input!A2636</f>
        <v/>
      </c>
      <c r="B2636">
        <f>IF(ISNUMBER(Input!B2636),IF(AND(Input!B2636&gt;=20,Input!B2636&lt;=700),Input!B2636,""),"")</f>
        <v/>
      </c>
      <c r="C2636">
        <f>IF(B2636="","",INT(A2636))</f>
        <v/>
      </c>
      <c r="D2636">
        <f>IF(B2636="","",HOUR(A2636))</f>
        <v/>
      </c>
    </row>
    <row r="2637">
      <c r="A2637">
        <f>Input!A2637</f>
        <v/>
      </c>
      <c r="B2637">
        <f>IF(ISNUMBER(Input!B2637),IF(AND(Input!B2637&gt;=20,Input!B2637&lt;=700),Input!B2637,""),"")</f>
        <v/>
      </c>
      <c r="C2637">
        <f>IF(B2637="","",INT(A2637))</f>
        <v/>
      </c>
      <c r="D2637">
        <f>IF(B2637="","",HOUR(A2637))</f>
        <v/>
      </c>
    </row>
    <row r="2638">
      <c r="A2638">
        <f>Input!A2638</f>
        <v/>
      </c>
      <c r="B2638">
        <f>IF(ISNUMBER(Input!B2638),IF(AND(Input!B2638&gt;=20,Input!B2638&lt;=700),Input!B2638,""),"")</f>
        <v/>
      </c>
      <c r="C2638">
        <f>IF(B2638="","",INT(A2638))</f>
        <v/>
      </c>
      <c r="D2638">
        <f>IF(B2638="","",HOUR(A2638))</f>
        <v/>
      </c>
    </row>
    <row r="2639">
      <c r="A2639">
        <f>Input!A2639</f>
        <v/>
      </c>
      <c r="B2639">
        <f>IF(ISNUMBER(Input!B2639),IF(AND(Input!B2639&gt;=20,Input!B2639&lt;=700),Input!B2639,""),"")</f>
        <v/>
      </c>
      <c r="C2639">
        <f>IF(B2639="","",INT(A2639))</f>
        <v/>
      </c>
      <c r="D2639">
        <f>IF(B2639="","",HOUR(A2639))</f>
        <v/>
      </c>
    </row>
    <row r="2640">
      <c r="A2640">
        <f>Input!A2640</f>
        <v/>
      </c>
      <c r="B2640">
        <f>IF(ISNUMBER(Input!B2640),IF(AND(Input!B2640&gt;=20,Input!B2640&lt;=700),Input!B2640,""),"")</f>
        <v/>
      </c>
      <c r="C2640">
        <f>IF(B2640="","",INT(A2640))</f>
        <v/>
      </c>
      <c r="D2640">
        <f>IF(B2640="","",HOUR(A2640))</f>
        <v/>
      </c>
    </row>
    <row r="2641">
      <c r="A2641">
        <f>Input!A2641</f>
        <v/>
      </c>
      <c r="B2641">
        <f>IF(ISNUMBER(Input!B2641),IF(AND(Input!B2641&gt;=20,Input!B2641&lt;=700),Input!B2641,""),"")</f>
        <v/>
      </c>
      <c r="C2641">
        <f>IF(B2641="","",INT(A2641))</f>
        <v/>
      </c>
      <c r="D2641">
        <f>IF(B2641="","",HOUR(A2641))</f>
        <v/>
      </c>
    </row>
    <row r="2642">
      <c r="A2642">
        <f>Input!A2642</f>
        <v/>
      </c>
      <c r="B2642">
        <f>IF(ISNUMBER(Input!B2642),IF(AND(Input!B2642&gt;=20,Input!B2642&lt;=700),Input!B2642,""),"")</f>
        <v/>
      </c>
      <c r="C2642">
        <f>IF(B2642="","",INT(A2642))</f>
        <v/>
      </c>
      <c r="D2642">
        <f>IF(B2642="","",HOUR(A2642))</f>
        <v/>
      </c>
    </row>
    <row r="2643">
      <c r="A2643">
        <f>Input!A2643</f>
        <v/>
      </c>
      <c r="B2643">
        <f>IF(ISNUMBER(Input!B2643),IF(AND(Input!B2643&gt;=20,Input!B2643&lt;=700),Input!B2643,""),"")</f>
        <v/>
      </c>
      <c r="C2643">
        <f>IF(B2643="","",INT(A2643))</f>
        <v/>
      </c>
      <c r="D2643">
        <f>IF(B2643="","",HOUR(A2643))</f>
        <v/>
      </c>
    </row>
    <row r="2644">
      <c r="A2644">
        <f>Input!A2644</f>
        <v/>
      </c>
      <c r="B2644">
        <f>IF(ISNUMBER(Input!B2644),IF(AND(Input!B2644&gt;=20,Input!B2644&lt;=700),Input!B2644,""),"")</f>
        <v/>
      </c>
      <c r="C2644">
        <f>IF(B2644="","",INT(A2644))</f>
        <v/>
      </c>
      <c r="D2644">
        <f>IF(B2644="","",HOUR(A2644))</f>
        <v/>
      </c>
    </row>
    <row r="2645">
      <c r="A2645">
        <f>Input!A2645</f>
        <v/>
      </c>
      <c r="B2645">
        <f>IF(ISNUMBER(Input!B2645),IF(AND(Input!B2645&gt;=20,Input!B2645&lt;=700),Input!B2645,""),"")</f>
        <v/>
      </c>
      <c r="C2645">
        <f>IF(B2645="","",INT(A2645))</f>
        <v/>
      </c>
      <c r="D2645">
        <f>IF(B2645="","",HOUR(A2645))</f>
        <v/>
      </c>
    </row>
    <row r="2646">
      <c r="A2646">
        <f>Input!A2646</f>
        <v/>
      </c>
      <c r="B2646">
        <f>IF(ISNUMBER(Input!B2646),IF(AND(Input!B2646&gt;=20,Input!B2646&lt;=700),Input!B2646,""),"")</f>
        <v/>
      </c>
      <c r="C2646">
        <f>IF(B2646="","",INT(A2646))</f>
        <v/>
      </c>
      <c r="D2646">
        <f>IF(B2646="","",HOUR(A2646))</f>
        <v/>
      </c>
    </row>
    <row r="2647">
      <c r="A2647">
        <f>Input!A2647</f>
        <v/>
      </c>
      <c r="B2647">
        <f>IF(ISNUMBER(Input!B2647),IF(AND(Input!B2647&gt;=20,Input!B2647&lt;=700),Input!B2647,""),"")</f>
        <v/>
      </c>
      <c r="C2647">
        <f>IF(B2647="","",INT(A2647))</f>
        <v/>
      </c>
      <c r="D2647">
        <f>IF(B2647="","",HOUR(A2647))</f>
        <v/>
      </c>
    </row>
    <row r="2648">
      <c r="A2648">
        <f>Input!A2648</f>
        <v/>
      </c>
      <c r="B2648">
        <f>IF(ISNUMBER(Input!B2648),IF(AND(Input!B2648&gt;=20,Input!B2648&lt;=700),Input!B2648,""),"")</f>
        <v/>
      </c>
      <c r="C2648">
        <f>IF(B2648="","",INT(A2648))</f>
        <v/>
      </c>
      <c r="D2648">
        <f>IF(B2648="","",HOUR(A2648))</f>
        <v/>
      </c>
    </row>
    <row r="2649">
      <c r="A2649">
        <f>Input!A2649</f>
        <v/>
      </c>
      <c r="B2649">
        <f>IF(ISNUMBER(Input!B2649),IF(AND(Input!B2649&gt;=20,Input!B2649&lt;=700),Input!B2649,""),"")</f>
        <v/>
      </c>
      <c r="C2649">
        <f>IF(B2649="","",INT(A2649))</f>
        <v/>
      </c>
      <c r="D2649">
        <f>IF(B2649="","",HOUR(A2649))</f>
        <v/>
      </c>
    </row>
    <row r="2650">
      <c r="A2650">
        <f>Input!A2650</f>
        <v/>
      </c>
      <c r="B2650">
        <f>IF(ISNUMBER(Input!B2650),IF(AND(Input!B2650&gt;=20,Input!B2650&lt;=700),Input!B2650,""),"")</f>
        <v/>
      </c>
      <c r="C2650">
        <f>IF(B2650="","",INT(A2650))</f>
        <v/>
      </c>
      <c r="D2650">
        <f>IF(B2650="","",HOUR(A2650))</f>
        <v/>
      </c>
    </row>
    <row r="2651">
      <c r="A2651">
        <f>Input!A2651</f>
        <v/>
      </c>
      <c r="B2651">
        <f>IF(ISNUMBER(Input!B2651),IF(AND(Input!B2651&gt;=20,Input!B2651&lt;=700),Input!B2651,""),"")</f>
        <v/>
      </c>
      <c r="C2651">
        <f>IF(B2651="","",INT(A2651))</f>
        <v/>
      </c>
      <c r="D2651">
        <f>IF(B2651="","",HOUR(A2651))</f>
        <v/>
      </c>
    </row>
    <row r="2652">
      <c r="A2652">
        <f>Input!A2652</f>
        <v/>
      </c>
      <c r="B2652">
        <f>IF(ISNUMBER(Input!B2652),IF(AND(Input!B2652&gt;=20,Input!B2652&lt;=700),Input!B2652,""),"")</f>
        <v/>
      </c>
      <c r="C2652">
        <f>IF(B2652="","",INT(A2652))</f>
        <v/>
      </c>
      <c r="D2652">
        <f>IF(B2652="","",HOUR(A2652))</f>
        <v/>
      </c>
    </row>
    <row r="2653">
      <c r="A2653">
        <f>Input!A2653</f>
        <v/>
      </c>
      <c r="B2653">
        <f>IF(ISNUMBER(Input!B2653),IF(AND(Input!B2653&gt;=20,Input!B2653&lt;=700),Input!B2653,""),"")</f>
        <v/>
      </c>
      <c r="C2653">
        <f>IF(B2653="","",INT(A2653))</f>
        <v/>
      </c>
      <c r="D2653">
        <f>IF(B2653="","",HOUR(A2653))</f>
        <v/>
      </c>
    </row>
    <row r="2654">
      <c r="A2654">
        <f>Input!A2654</f>
        <v/>
      </c>
      <c r="B2654">
        <f>IF(ISNUMBER(Input!B2654),IF(AND(Input!B2654&gt;=20,Input!B2654&lt;=700),Input!B2654,""),"")</f>
        <v/>
      </c>
      <c r="C2654">
        <f>IF(B2654="","",INT(A2654))</f>
        <v/>
      </c>
      <c r="D2654">
        <f>IF(B2654="","",HOUR(A2654))</f>
        <v/>
      </c>
    </row>
    <row r="2655">
      <c r="A2655">
        <f>Input!A2655</f>
        <v/>
      </c>
      <c r="B2655">
        <f>IF(ISNUMBER(Input!B2655),IF(AND(Input!B2655&gt;=20,Input!B2655&lt;=700),Input!B2655,""),"")</f>
        <v/>
      </c>
      <c r="C2655">
        <f>IF(B2655="","",INT(A2655))</f>
        <v/>
      </c>
      <c r="D2655">
        <f>IF(B2655="","",HOUR(A2655))</f>
        <v/>
      </c>
    </row>
    <row r="2656">
      <c r="A2656">
        <f>Input!A2656</f>
        <v/>
      </c>
      <c r="B2656">
        <f>IF(ISNUMBER(Input!B2656),IF(AND(Input!B2656&gt;=20,Input!B2656&lt;=700),Input!B2656,""),"")</f>
        <v/>
      </c>
      <c r="C2656">
        <f>IF(B2656="","",INT(A2656))</f>
        <v/>
      </c>
      <c r="D2656">
        <f>IF(B2656="","",HOUR(A2656))</f>
        <v/>
      </c>
    </row>
    <row r="2657">
      <c r="A2657">
        <f>Input!A2657</f>
        <v/>
      </c>
      <c r="B2657">
        <f>IF(ISNUMBER(Input!B2657),IF(AND(Input!B2657&gt;=20,Input!B2657&lt;=700),Input!B2657,""),"")</f>
        <v/>
      </c>
      <c r="C2657">
        <f>IF(B2657="","",INT(A2657))</f>
        <v/>
      </c>
      <c r="D2657">
        <f>IF(B2657="","",HOUR(A2657))</f>
        <v/>
      </c>
    </row>
    <row r="2658">
      <c r="A2658">
        <f>Input!A2658</f>
        <v/>
      </c>
      <c r="B2658">
        <f>IF(ISNUMBER(Input!B2658),IF(AND(Input!B2658&gt;=20,Input!B2658&lt;=700),Input!B2658,""),"")</f>
        <v/>
      </c>
      <c r="C2658">
        <f>IF(B2658="","",INT(A2658))</f>
        <v/>
      </c>
      <c r="D2658">
        <f>IF(B2658="","",HOUR(A2658))</f>
        <v/>
      </c>
    </row>
    <row r="2659">
      <c r="A2659">
        <f>Input!A2659</f>
        <v/>
      </c>
      <c r="B2659">
        <f>IF(ISNUMBER(Input!B2659),IF(AND(Input!B2659&gt;=20,Input!B2659&lt;=700),Input!B2659,""),"")</f>
        <v/>
      </c>
      <c r="C2659">
        <f>IF(B2659="","",INT(A2659))</f>
        <v/>
      </c>
      <c r="D2659">
        <f>IF(B2659="","",HOUR(A2659))</f>
        <v/>
      </c>
    </row>
    <row r="2660">
      <c r="A2660">
        <f>Input!A2660</f>
        <v/>
      </c>
      <c r="B2660">
        <f>IF(ISNUMBER(Input!B2660),IF(AND(Input!B2660&gt;=20,Input!B2660&lt;=700),Input!B2660,""),"")</f>
        <v/>
      </c>
      <c r="C2660">
        <f>IF(B2660="","",INT(A2660))</f>
        <v/>
      </c>
      <c r="D2660">
        <f>IF(B2660="","",HOUR(A2660))</f>
        <v/>
      </c>
    </row>
    <row r="2661">
      <c r="A2661">
        <f>Input!A2661</f>
        <v/>
      </c>
      <c r="B2661">
        <f>IF(ISNUMBER(Input!B2661),IF(AND(Input!B2661&gt;=20,Input!B2661&lt;=700),Input!B2661,""),"")</f>
        <v/>
      </c>
      <c r="C2661">
        <f>IF(B2661="","",INT(A2661))</f>
        <v/>
      </c>
      <c r="D2661">
        <f>IF(B2661="","",HOUR(A2661))</f>
        <v/>
      </c>
    </row>
    <row r="2662">
      <c r="A2662">
        <f>Input!A2662</f>
        <v/>
      </c>
      <c r="B2662">
        <f>IF(ISNUMBER(Input!B2662),IF(AND(Input!B2662&gt;=20,Input!B2662&lt;=700),Input!B2662,""),"")</f>
        <v/>
      </c>
      <c r="C2662">
        <f>IF(B2662="","",INT(A2662))</f>
        <v/>
      </c>
      <c r="D2662">
        <f>IF(B2662="","",HOUR(A2662))</f>
        <v/>
      </c>
    </row>
    <row r="2663">
      <c r="A2663">
        <f>Input!A2663</f>
        <v/>
      </c>
      <c r="B2663">
        <f>IF(ISNUMBER(Input!B2663),IF(AND(Input!B2663&gt;=20,Input!B2663&lt;=700),Input!B2663,""),"")</f>
        <v/>
      </c>
      <c r="C2663">
        <f>IF(B2663="","",INT(A2663))</f>
        <v/>
      </c>
      <c r="D2663">
        <f>IF(B2663="","",HOUR(A2663))</f>
        <v/>
      </c>
    </row>
    <row r="2664">
      <c r="A2664">
        <f>Input!A2664</f>
        <v/>
      </c>
      <c r="B2664">
        <f>IF(ISNUMBER(Input!B2664),IF(AND(Input!B2664&gt;=20,Input!B2664&lt;=700),Input!B2664,""),"")</f>
        <v/>
      </c>
      <c r="C2664">
        <f>IF(B2664="","",INT(A2664))</f>
        <v/>
      </c>
      <c r="D2664">
        <f>IF(B2664="","",HOUR(A2664))</f>
        <v/>
      </c>
    </row>
    <row r="2665">
      <c r="A2665">
        <f>Input!A2665</f>
        <v/>
      </c>
      <c r="B2665">
        <f>IF(ISNUMBER(Input!B2665),IF(AND(Input!B2665&gt;=20,Input!B2665&lt;=700),Input!B2665,""),"")</f>
        <v/>
      </c>
      <c r="C2665">
        <f>IF(B2665="","",INT(A2665))</f>
        <v/>
      </c>
      <c r="D2665">
        <f>IF(B2665="","",HOUR(A2665))</f>
        <v/>
      </c>
    </row>
    <row r="2666">
      <c r="A2666">
        <f>Input!A2666</f>
        <v/>
      </c>
      <c r="B2666">
        <f>IF(ISNUMBER(Input!B2666),IF(AND(Input!B2666&gt;=20,Input!B2666&lt;=700),Input!B2666,""),"")</f>
        <v/>
      </c>
      <c r="C2666">
        <f>IF(B2666="","",INT(A2666))</f>
        <v/>
      </c>
      <c r="D2666">
        <f>IF(B2666="","",HOUR(A2666))</f>
        <v/>
      </c>
    </row>
    <row r="2667">
      <c r="A2667">
        <f>Input!A2667</f>
        <v/>
      </c>
      <c r="B2667">
        <f>IF(ISNUMBER(Input!B2667),IF(AND(Input!B2667&gt;=20,Input!B2667&lt;=700),Input!B2667,""),"")</f>
        <v/>
      </c>
      <c r="C2667">
        <f>IF(B2667="","",INT(A2667))</f>
        <v/>
      </c>
      <c r="D2667">
        <f>IF(B2667="","",HOUR(A2667))</f>
        <v/>
      </c>
    </row>
    <row r="2668">
      <c r="A2668">
        <f>Input!A2668</f>
        <v/>
      </c>
      <c r="B2668">
        <f>IF(ISNUMBER(Input!B2668),IF(AND(Input!B2668&gt;=20,Input!B2668&lt;=700),Input!B2668,""),"")</f>
        <v/>
      </c>
      <c r="C2668">
        <f>IF(B2668="","",INT(A2668))</f>
        <v/>
      </c>
      <c r="D2668">
        <f>IF(B2668="","",HOUR(A2668))</f>
        <v/>
      </c>
    </row>
    <row r="2669">
      <c r="A2669">
        <f>Input!A2669</f>
        <v/>
      </c>
      <c r="B2669">
        <f>IF(ISNUMBER(Input!B2669),IF(AND(Input!B2669&gt;=20,Input!B2669&lt;=700),Input!B2669,""),"")</f>
        <v/>
      </c>
      <c r="C2669">
        <f>IF(B2669="","",INT(A2669))</f>
        <v/>
      </c>
      <c r="D2669">
        <f>IF(B2669="","",HOUR(A2669))</f>
        <v/>
      </c>
    </row>
    <row r="2670">
      <c r="A2670">
        <f>Input!A2670</f>
        <v/>
      </c>
      <c r="B2670">
        <f>IF(ISNUMBER(Input!B2670),IF(AND(Input!B2670&gt;=20,Input!B2670&lt;=700),Input!B2670,""),"")</f>
        <v/>
      </c>
      <c r="C2670">
        <f>IF(B2670="","",INT(A2670))</f>
        <v/>
      </c>
      <c r="D2670">
        <f>IF(B2670="","",HOUR(A2670))</f>
        <v/>
      </c>
    </row>
    <row r="2671">
      <c r="A2671">
        <f>Input!A2671</f>
        <v/>
      </c>
      <c r="B2671">
        <f>IF(ISNUMBER(Input!B2671),IF(AND(Input!B2671&gt;=20,Input!B2671&lt;=700),Input!B2671,""),"")</f>
        <v/>
      </c>
      <c r="C2671">
        <f>IF(B2671="","",INT(A2671))</f>
        <v/>
      </c>
      <c r="D2671">
        <f>IF(B2671="","",HOUR(A2671))</f>
        <v/>
      </c>
    </row>
    <row r="2672">
      <c r="A2672">
        <f>Input!A2672</f>
        <v/>
      </c>
      <c r="B2672">
        <f>IF(ISNUMBER(Input!B2672),IF(AND(Input!B2672&gt;=20,Input!B2672&lt;=700),Input!B2672,""),"")</f>
        <v/>
      </c>
      <c r="C2672">
        <f>IF(B2672="","",INT(A2672))</f>
        <v/>
      </c>
      <c r="D2672">
        <f>IF(B2672="","",HOUR(A2672))</f>
        <v/>
      </c>
    </row>
    <row r="2673">
      <c r="A2673">
        <f>Input!A2673</f>
        <v/>
      </c>
      <c r="B2673">
        <f>IF(ISNUMBER(Input!B2673),IF(AND(Input!B2673&gt;=20,Input!B2673&lt;=700),Input!B2673,""),"")</f>
        <v/>
      </c>
      <c r="C2673">
        <f>IF(B2673="","",INT(A2673))</f>
        <v/>
      </c>
      <c r="D2673">
        <f>IF(B2673="","",HOUR(A2673))</f>
        <v/>
      </c>
    </row>
    <row r="2674">
      <c r="A2674">
        <f>Input!A2674</f>
        <v/>
      </c>
      <c r="B2674">
        <f>IF(ISNUMBER(Input!B2674),IF(AND(Input!B2674&gt;=20,Input!B2674&lt;=700),Input!B2674,""),"")</f>
        <v/>
      </c>
      <c r="C2674">
        <f>IF(B2674="","",INT(A2674))</f>
        <v/>
      </c>
      <c r="D2674">
        <f>IF(B2674="","",HOUR(A2674))</f>
        <v/>
      </c>
    </row>
    <row r="2675">
      <c r="A2675">
        <f>Input!A2675</f>
        <v/>
      </c>
      <c r="B2675">
        <f>IF(ISNUMBER(Input!B2675),IF(AND(Input!B2675&gt;=20,Input!B2675&lt;=700),Input!B2675,""),"")</f>
        <v/>
      </c>
      <c r="C2675">
        <f>IF(B2675="","",INT(A2675))</f>
        <v/>
      </c>
      <c r="D2675">
        <f>IF(B2675="","",HOUR(A2675))</f>
        <v/>
      </c>
    </row>
    <row r="2676">
      <c r="A2676">
        <f>Input!A2676</f>
        <v/>
      </c>
      <c r="B2676">
        <f>IF(ISNUMBER(Input!B2676),IF(AND(Input!B2676&gt;=20,Input!B2676&lt;=700),Input!B2676,""),"")</f>
        <v/>
      </c>
      <c r="C2676">
        <f>IF(B2676="","",INT(A2676))</f>
        <v/>
      </c>
      <c r="D2676">
        <f>IF(B2676="","",HOUR(A2676))</f>
        <v/>
      </c>
    </row>
    <row r="2677">
      <c r="A2677">
        <f>Input!A2677</f>
        <v/>
      </c>
      <c r="B2677">
        <f>IF(ISNUMBER(Input!B2677),IF(AND(Input!B2677&gt;=20,Input!B2677&lt;=700),Input!B2677,""),"")</f>
        <v/>
      </c>
      <c r="C2677">
        <f>IF(B2677="","",INT(A2677))</f>
        <v/>
      </c>
      <c r="D2677">
        <f>IF(B2677="","",HOUR(A2677))</f>
        <v/>
      </c>
    </row>
    <row r="2678">
      <c r="A2678">
        <f>Input!A2678</f>
        <v/>
      </c>
      <c r="B2678">
        <f>IF(ISNUMBER(Input!B2678),IF(AND(Input!B2678&gt;=20,Input!B2678&lt;=700),Input!B2678,""),"")</f>
        <v/>
      </c>
      <c r="C2678">
        <f>IF(B2678="","",INT(A2678))</f>
        <v/>
      </c>
      <c r="D2678">
        <f>IF(B2678="","",HOUR(A2678))</f>
        <v/>
      </c>
    </row>
    <row r="2679">
      <c r="A2679">
        <f>Input!A2679</f>
        <v/>
      </c>
      <c r="B2679">
        <f>IF(ISNUMBER(Input!B2679),IF(AND(Input!B2679&gt;=20,Input!B2679&lt;=700),Input!B2679,""),"")</f>
        <v/>
      </c>
      <c r="C2679">
        <f>IF(B2679="","",INT(A2679))</f>
        <v/>
      </c>
      <c r="D2679">
        <f>IF(B2679="","",HOUR(A2679))</f>
        <v/>
      </c>
    </row>
    <row r="2680">
      <c r="A2680">
        <f>Input!A2680</f>
        <v/>
      </c>
      <c r="B2680">
        <f>IF(ISNUMBER(Input!B2680),IF(AND(Input!B2680&gt;=20,Input!B2680&lt;=700),Input!B2680,""),"")</f>
        <v/>
      </c>
      <c r="C2680">
        <f>IF(B2680="","",INT(A2680))</f>
        <v/>
      </c>
      <c r="D2680">
        <f>IF(B2680="","",HOUR(A2680))</f>
        <v/>
      </c>
    </row>
    <row r="2681">
      <c r="A2681">
        <f>Input!A2681</f>
        <v/>
      </c>
      <c r="B2681">
        <f>IF(ISNUMBER(Input!B2681),IF(AND(Input!B2681&gt;=20,Input!B2681&lt;=700),Input!B2681,""),"")</f>
        <v/>
      </c>
      <c r="C2681">
        <f>IF(B2681="","",INT(A2681))</f>
        <v/>
      </c>
      <c r="D2681">
        <f>IF(B2681="","",HOUR(A2681))</f>
        <v/>
      </c>
    </row>
    <row r="2682">
      <c r="A2682">
        <f>Input!A2682</f>
        <v/>
      </c>
      <c r="B2682">
        <f>IF(ISNUMBER(Input!B2682),IF(AND(Input!B2682&gt;=20,Input!B2682&lt;=700),Input!B2682,""),"")</f>
        <v/>
      </c>
      <c r="C2682">
        <f>IF(B2682="","",INT(A2682))</f>
        <v/>
      </c>
      <c r="D2682">
        <f>IF(B2682="","",HOUR(A2682))</f>
        <v/>
      </c>
    </row>
    <row r="2683">
      <c r="A2683">
        <f>Input!A2683</f>
        <v/>
      </c>
      <c r="B2683">
        <f>IF(ISNUMBER(Input!B2683),IF(AND(Input!B2683&gt;=20,Input!B2683&lt;=700),Input!B2683,""),"")</f>
        <v/>
      </c>
      <c r="C2683">
        <f>IF(B2683="","",INT(A2683))</f>
        <v/>
      </c>
      <c r="D2683">
        <f>IF(B2683="","",HOUR(A2683))</f>
        <v/>
      </c>
    </row>
    <row r="2684">
      <c r="A2684">
        <f>Input!A2684</f>
        <v/>
      </c>
      <c r="B2684">
        <f>IF(ISNUMBER(Input!B2684),IF(AND(Input!B2684&gt;=20,Input!B2684&lt;=700),Input!B2684,""),"")</f>
        <v/>
      </c>
      <c r="C2684">
        <f>IF(B2684="","",INT(A2684))</f>
        <v/>
      </c>
      <c r="D2684">
        <f>IF(B2684="","",HOUR(A2684))</f>
        <v/>
      </c>
    </row>
    <row r="2685">
      <c r="A2685">
        <f>Input!A2685</f>
        <v/>
      </c>
      <c r="B2685">
        <f>IF(ISNUMBER(Input!B2685),IF(AND(Input!B2685&gt;=20,Input!B2685&lt;=700),Input!B2685,""),"")</f>
        <v/>
      </c>
      <c r="C2685">
        <f>IF(B2685="","",INT(A2685))</f>
        <v/>
      </c>
      <c r="D2685">
        <f>IF(B2685="","",HOUR(A2685))</f>
        <v/>
      </c>
    </row>
    <row r="2686">
      <c r="A2686">
        <f>Input!A2686</f>
        <v/>
      </c>
      <c r="B2686">
        <f>IF(ISNUMBER(Input!B2686),IF(AND(Input!B2686&gt;=20,Input!B2686&lt;=700),Input!B2686,""),"")</f>
        <v/>
      </c>
      <c r="C2686">
        <f>IF(B2686="","",INT(A2686))</f>
        <v/>
      </c>
      <c r="D2686">
        <f>IF(B2686="","",HOUR(A2686))</f>
        <v/>
      </c>
    </row>
    <row r="2687">
      <c r="A2687">
        <f>Input!A2687</f>
        <v/>
      </c>
      <c r="B2687">
        <f>IF(ISNUMBER(Input!B2687),IF(AND(Input!B2687&gt;=20,Input!B2687&lt;=700),Input!B2687,""),"")</f>
        <v/>
      </c>
      <c r="C2687">
        <f>IF(B2687="","",INT(A2687))</f>
        <v/>
      </c>
      <c r="D2687">
        <f>IF(B2687="","",HOUR(A2687))</f>
        <v/>
      </c>
    </row>
    <row r="2688">
      <c r="A2688">
        <f>Input!A2688</f>
        <v/>
      </c>
      <c r="B2688">
        <f>IF(ISNUMBER(Input!B2688),IF(AND(Input!B2688&gt;=20,Input!B2688&lt;=700),Input!B2688,""),"")</f>
        <v/>
      </c>
      <c r="C2688">
        <f>IF(B2688="","",INT(A2688))</f>
        <v/>
      </c>
      <c r="D2688">
        <f>IF(B2688="","",HOUR(A2688))</f>
        <v/>
      </c>
    </row>
    <row r="2689">
      <c r="A2689">
        <f>Input!A2689</f>
        <v/>
      </c>
      <c r="B2689">
        <f>IF(ISNUMBER(Input!B2689),IF(AND(Input!B2689&gt;=20,Input!B2689&lt;=700),Input!B2689,""),"")</f>
        <v/>
      </c>
      <c r="C2689">
        <f>IF(B2689="","",INT(A2689))</f>
        <v/>
      </c>
      <c r="D2689">
        <f>IF(B2689="","",HOUR(A2689))</f>
        <v/>
      </c>
    </row>
    <row r="2690">
      <c r="A2690">
        <f>Input!A2690</f>
        <v/>
      </c>
      <c r="B2690">
        <f>IF(ISNUMBER(Input!B2690),IF(AND(Input!B2690&gt;=20,Input!B2690&lt;=700),Input!B2690,""),"")</f>
        <v/>
      </c>
      <c r="C2690">
        <f>IF(B2690="","",INT(A2690))</f>
        <v/>
      </c>
      <c r="D2690">
        <f>IF(B2690="","",HOUR(A2690))</f>
        <v/>
      </c>
    </row>
    <row r="2691">
      <c r="A2691">
        <f>Input!A2691</f>
        <v/>
      </c>
      <c r="B2691">
        <f>IF(ISNUMBER(Input!B2691),IF(AND(Input!B2691&gt;=20,Input!B2691&lt;=700),Input!B2691,""),"")</f>
        <v/>
      </c>
      <c r="C2691">
        <f>IF(B2691="","",INT(A2691))</f>
        <v/>
      </c>
      <c r="D2691">
        <f>IF(B2691="","",HOUR(A2691))</f>
        <v/>
      </c>
    </row>
    <row r="2692">
      <c r="A2692">
        <f>Input!A2692</f>
        <v/>
      </c>
      <c r="B2692">
        <f>IF(ISNUMBER(Input!B2692),IF(AND(Input!B2692&gt;=20,Input!B2692&lt;=700),Input!B2692,""),"")</f>
        <v/>
      </c>
      <c r="C2692">
        <f>IF(B2692="","",INT(A2692))</f>
        <v/>
      </c>
      <c r="D2692">
        <f>IF(B2692="","",HOUR(A2692))</f>
        <v/>
      </c>
    </row>
    <row r="2693">
      <c r="A2693">
        <f>Input!A2693</f>
        <v/>
      </c>
      <c r="B2693">
        <f>IF(ISNUMBER(Input!B2693),IF(AND(Input!B2693&gt;=20,Input!B2693&lt;=700),Input!B2693,""),"")</f>
        <v/>
      </c>
      <c r="C2693">
        <f>IF(B2693="","",INT(A2693))</f>
        <v/>
      </c>
      <c r="D2693">
        <f>IF(B2693="","",HOUR(A2693))</f>
        <v/>
      </c>
    </row>
    <row r="2694">
      <c r="A2694">
        <f>Input!A2694</f>
        <v/>
      </c>
      <c r="B2694">
        <f>IF(ISNUMBER(Input!B2694),IF(AND(Input!B2694&gt;=20,Input!B2694&lt;=700),Input!B2694,""),"")</f>
        <v/>
      </c>
      <c r="C2694">
        <f>IF(B2694="","",INT(A2694))</f>
        <v/>
      </c>
      <c r="D2694">
        <f>IF(B2694="","",HOUR(A2694))</f>
        <v/>
      </c>
    </row>
    <row r="2695">
      <c r="A2695">
        <f>Input!A2695</f>
        <v/>
      </c>
      <c r="B2695">
        <f>IF(ISNUMBER(Input!B2695),IF(AND(Input!B2695&gt;=20,Input!B2695&lt;=700),Input!B2695,""),"")</f>
        <v/>
      </c>
      <c r="C2695">
        <f>IF(B2695="","",INT(A2695))</f>
        <v/>
      </c>
      <c r="D2695">
        <f>IF(B2695="","",HOUR(A2695))</f>
        <v/>
      </c>
    </row>
    <row r="2696">
      <c r="A2696">
        <f>Input!A2696</f>
        <v/>
      </c>
      <c r="B2696">
        <f>IF(ISNUMBER(Input!B2696),IF(AND(Input!B2696&gt;=20,Input!B2696&lt;=700),Input!B2696,""),"")</f>
        <v/>
      </c>
      <c r="C2696">
        <f>IF(B2696="","",INT(A2696))</f>
        <v/>
      </c>
      <c r="D2696">
        <f>IF(B2696="","",HOUR(A2696))</f>
        <v/>
      </c>
    </row>
    <row r="2697">
      <c r="A2697">
        <f>Input!A2697</f>
        <v/>
      </c>
      <c r="B2697">
        <f>IF(ISNUMBER(Input!B2697),IF(AND(Input!B2697&gt;=20,Input!B2697&lt;=700),Input!B2697,""),"")</f>
        <v/>
      </c>
      <c r="C2697">
        <f>IF(B2697="","",INT(A2697))</f>
        <v/>
      </c>
      <c r="D2697">
        <f>IF(B2697="","",HOUR(A2697))</f>
        <v/>
      </c>
    </row>
    <row r="2698">
      <c r="A2698">
        <f>Input!A2698</f>
        <v/>
      </c>
      <c r="B2698">
        <f>IF(ISNUMBER(Input!B2698),IF(AND(Input!B2698&gt;=20,Input!B2698&lt;=700),Input!B2698,""),"")</f>
        <v/>
      </c>
      <c r="C2698">
        <f>IF(B2698="","",INT(A2698))</f>
        <v/>
      </c>
      <c r="D2698">
        <f>IF(B2698="","",HOUR(A2698))</f>
        <v/>
      </c>
    </row>
    <row r="2699">
      <c r="A2699">
        <f>Input!A2699</f>
        <v/>
      </c>
      <c r="B2699">
        <f>IF(ISNUMBER(Input!B2699),IF(AND(Input!B2699&gt;=20,Input!B2699&lt;=700),Input!B2699,""),"")</f>
        <v/>
      </c>
      <c r="C2699">
        <f>IF(B2699="","",INT(A2699))</f>
        <v/>
      </c>
      <c r="D2699">
        <f>IF(B2699="","",HOUR(A2699))</f>
        <v/>
      </c>
    </row>
    <row r="2700">
      <c r="A2700">
        <f>Input!A2700</f>
        <v/>
      </c>
      <c r="B2700">
        <f>IF(ISNUMBER(Input!B2700),IF(AND(Input!B2700&gt;=20,Input!B2700&lt;=700),Input!B2700,""),"")</f>
        <v/>
      </c>
      <c r="C2700">
        <f>IF(B2700="","",INT(A2700))</f>
        <v/>
      </c>
      <c r="D2700">
        <f>IF(B2700="","",HOUR(A2700))</f>
        <v/>
      </c>
    </row>
    <row r="2701">
      <c r="A2701">
        <f>Input!A2701</f>
        <v/>
      </c>
      <c r="B2701">
        <f>IF(ISNUMBER(Input!B2701),IF(AND(Input!B2701&gt;=20,Input!B2701&lt;=700),Input!B2701,""),"")</f>
        <v/>
      </c>
      <c r="C2701">
        <f>IF(B2701="","",INT(A2701))</f>
        <v/>
      </c>
      <c r="D2701">
        <f>IF(B2701="","",HOUR(A2701))</f>
        <v/>
      </c>
    </row>
    <row r="2702">
      <c r="A2702">
        <f>Input!A2702</f>
        <v/>
      </c>
      <c r="B2702">
        <f>IF(ISNUMBER(Input!B2702),IF(AND(Input!B2702&gt;=20,Input!B2702&lt;=700),Input!B2702,""),"")</f>
        <v/>
      </c>
      <c r="C2702">
        <f>IF(B2702="","",INT(A2702))</f>
        <v/>
      </c>
      <c r="D2702">
        <f>IF(B2702="","",HOUR(A2702))</f>
        <v/>
      </c>
    </row>
    <row r="2703">
      <c r="A2703">
        <f>Input!A2703</f>
        <v/>
      </c>
      <c r="B2703">
        <f>IF(ISNUMBER(Input!B2703),IF(AND(Input!B2703&gt;=20,Input!B2703&lt;=700),Input!B2703,""),"")</f>
        <v/>
      </c>
      <c r="C2703">
        <f>IF(B2703="","",INT(A2703))</f>
        <v/>
      </c>
      <c r="D2703">
        <f>IF(B2703="","",HOUR(A2703))</f>
        <v/>
      </c>
    </row>
    <row r="2704">
      <c r="A2704">
        <f>Input!A2704</f>
        <v/>
      </c>
      <c r="B2704">
        <f>IF(ISNUMBER(Input!B2704),IF(AND(Input!B2704&gt;=20,Input!B2704&lt;=700),Input!B2704,""),"")</f>
        <v/>
      </c>
      <c r="C2704">
        <f>IF(B2704="","",INT(A2704))</f>
        <v/>
      </c>
      <c r="D2704">
        <f>IF(B2704="","",HOUR(A2704))</f>
        <v/>
      </c>
    </row>
    <row r="2705">
      <c r="A2705">
        <f>Input!A2705</f>
        <v/>
      </c>
      <c r="B2705">
        <f>IF(ISNUMBER(Input!B2705),IF(AND(Input!B2705&gt;=20,Input!B2705&lt;=700),Input!B2705,""),"")</f>
        <v/>
      </c>
      <c r="C2705">
        <f>IF(B2705="","",INT(A2705))</f>
        <v/>
      </c>
      <c r="D2705">
        <f>IF(B2705="","",HOUR(A2705))</f>
        <v/>
      </c>
    </row>
    <row r="2706">
      <c r="A2706">
        <f>Input!A2706</f>
        <v/>
      </c>
      <c r="B2706">
        <f>IF(ISNUMBER(Input!B2706),IF(AND(Input!B2706&gt;=20,Input!B2706&lt;=700),Input!B2706,""),"")</f>
        <v/>
      </c>
      <c r="C2706">
        <f>IF(B2706="","",INT(A2706))</f>
        <v/>
      </c>
      <c r="D2706">
        <f>IF(B2706="","",HOUR(A2706))</f>
        <v/>
      </c>
    </row>
    <row r="2707">
      <c r="A2707">
        <f>Input!A2707</f>
        <v/>
      </c>
      <c r="B2707">
        <f>IF(ISNUMBER(Input!B2707),IF(AND(Input!B2707&gt;=20,Input!B2707&lt;=700),Input!B2707,""),"")</f>
        <v/>
      </c>
      <c r="C2707">
        <f>IF(B2707="","",INT(A2707))</f>
        <v/>
      </c>
      <c r="D2707">
        <f>IF(B2707="","",HOUR(A2707))</f>
        <v/>
      </c>
    </row>
    <row r="2708">
      <c r="A2708">
        <f>Input!A2708</f>
        <v/>
      </c>
      <c r="B2708">
        <f>IF(ISNUMBER(Input!B2708),IF(AND(Input!B2708&gt;=20,Input!B2708&lt;=700),Input!B2708,""),"")</f>
        <v/>
      </c>
      <c r="C2708">
        <f>IF(B2708="","",INT(A2708))</f>
        <v/>
      </c>
      <c r="D2708">
        <f>IF(B2708="","",HOUR(A2708))</f>
        <v/>
      </c>
    </row>
    <row r="2709">
      <c r="A2709">
        <f>Input!A2709</f>
        <v/>
      </c>
      <c r="B2709">
        <f>IF(ISNUMBER(Input!B2709),IF(AND(Input!B2709&gt;=20,Input!B2709&lt;=700),Input!B2709,""),"")</f>
        <v/>
      </c>
      <c r="C2709">
        <f>IF(B2709="","",INT(A2709))</f>
        <v/>
      </c>
      <c r="D2709">
        <f>IF(B2709="","",HOUR(A2709))</f>
        <v/>
      </c>
    </row>
    <row r="2710">
      <c r="A2710">
        <f>Input!A2710</f>
        <v/>
      </c>
      <c r="B2710">
        <f>IF(ISNUMBER(Input!B2710),IF(AND(Input!B2710&gt;=20,Input!B2710&lt;=700),Input!B2710,""),"")</f>
        <v/>
      </c>
      <c r="C2710">
        <f>IF(B2710="","",INT(A2710))</f>
        <v/>
      </c>
      <c r="D2710">
        <f>IF(B2710="","",HOUR(A2710))</f>
        <v/>
      </c>
    </row>
    <row r="2711">
      <c r="A2711">
        <f>Input!A2711</f>
        <v/>
      </c>
      <c r="B2711">
        <f>IF(ISNUMBER(Input!B2711),IF(AND(Input!B2711&gt;=20,Input!B2711&lt;=700),Input!B2711,""),"")</f>
        <v/>
      </c>
      <c r="C2711">
        <f>IF(B2711="","",INT(A2711))</f>
        <v/>
      </c>
      <c r="D2711">
        <f>IF(B2711="","",HOUR(A2711))</f>
        <v/>
      </c>
    </row>
    <row r="2712">
      <c r="A2712">
        <f>Input!A2712</f>
        <v/>
      </c>
      <c r="B2712">
        <f>IF(ISNUMBER(Input!B2712),IF(AND(Input!B2712&gt;=20,Input!B2712&lt;=700),Input!B2712,""),"")</f>
        <v/>
      </c>
      <c r="C2712">
        <f>IF(B2712="","",INT(A2712))</f>
        <v/>
      </c>
      <c r="D2712">
        <f>IF(B2712="","",HOUR(A2712))</f>
        <v/>
      </c>
    </row>
    <row r="2713">
      <c r="A2713">
        <f>Input!A2713</f>
        <v/>
      </c>
      <c r="B2713">
        <f>IF(ISNUMBER(Input!B2713),IF(AND(Input!B2713&gt;=20,Input!B2713&lt;=700),Input!B2713,""),"")</f>
        <v/>
      </c>
      <c r="C2713">
        <f>IF(B2713="","",INT(A2713))</f>
        <v/>
      </c>
      <c r="D2713">
        <f>IF(B2713="","",HOUR(A2713))</f>
        <v/>
      </c>
    </row>
    <row r="2714">
      <c r="A2714">
        <f>Input!A2714</f>
        <v/>
      </c>
      <c r="B2714">
        <f>IF(ISNUMBER(Input!B2714),IF(AND(Input!B2714&gt;=20,Input!B2714&lt;=700),Input!B2714,""),"")</f>
        <v/>
      </c>
      <c r="C2714">
        <f>IF(B2714="","",INT(A2714))</f>
        <v/>
      </c>
      <c r="D2714">
        <f>IF(B2714="","",HOUR(A2714))</f>
        <v/>
      </c>
    </row>
    <row r="2715">
      <c r="A2715">
        <f>Input!A2715</f>
        <v/>
      </c>
      <c r="B2715">
        <f>IF(ISNUMBER(Input!B2715),IF(AND(Input!B2715&gt;=20,Input!B2715&lt;=700),Input!B2715,""),"")</f>
        <v/>
      </c>
      <c r="C2715">
        <f>IF(B2715="","",INT(A2715))</f>
        <v/>
      </c>
      <c r="D2715">
        <f>IF(B2715="","",HOUR(A2715))</f>
        <v/>
      </c>
    </row>
    <row r="2716">
      <c r="A2716">
        <f>Input!A2716</f>
        <v/>
      </c>
      <c r="B2716">
        <f>IF(ISNUMBER(Input!B2716),IF(AND(Input!B2716&gt;=20,Input!B2716&lt;=700),Input!B2716,""),"")</f>
        <v/>
      </c>
      <c r="C2716">
        <f>IF(B2716="","",INT(A2716))</f>
        <v/>
      </c>
      <c r="D2716">
        <f>IF(B2716="","",HOUR(A2716))</f>
        <v/>
      </c>
    </row>
    <row r="2717">
      <c r="A2717">
        <f>Input!A2717</f>
        <v/>
      </c>
      <c r="B2717">
        <f>IF(ISNUMBER(Input!B2717),IF(AND(Input!B2717&gt;=20,Input!B2717&lt;=700),Input!B2717,""),"")</f>
        <v/>
      </c>
      <c r="C2717">
        <f>IF(B2717="","",INT(A2717))</f>
        <v/>
      </c>
      <c r="D2717">
        <f>IF(B2717="","",HOUR(A2717))</f>
        <v/>
      </c>
    </row>
    <row r="2718">
      <c r="A2718">
        <f>Input!A2718</f>
        <v/>
      </c>
      <c r="B2718">
        <f>IF(ISNUMBER(Input!B2718),IF(AND(Input!B2718&gt;=20,Input!B2718&lt;=700),Input!B2718,""),"")</f>
        <v/>
      </c>
      <c r="C2718">
        <f>IF(B2718="","",INT(A2718))</f>
        <v/>
      </c>
      <c r="D2718">
        <f>IF(B2718="","",HOUR(A2718))</f>
        <v/>
      </c>
    </row>
    <row r="2719">
      <c r="A2719">
        <f>Input!A2719</f>
        <v/>
      </c>
      <c r="B2719">
        <f>IF(ISNUMBER(Input!B2719),IF(AND(Input!B2719&gt;=20,Input!B2719&lt;=700),Input!B2719,""),"")</f>
        <v/>
      </c>
      <c r="C2719">
        <f>IF(B2719="","",INT(A2719))</f>
        <v/>
      </c>
      <c r="D2719">
        <f>IF(B2719="","",HOUR(A2719))</f>
        <v/>
      </c>
    </row>
    <row r="2720">
      <c r="A2720">
        <f>Input!A2720</f>
        <v/>
      </c>
      <c r="B2720">
        <f>IF(ISNUMBER(Input!B2720),IF(AND(Input!B2720&gt;=20,Input!B2720&lt;=700),Input!B2720,""),"")</f>
        <v/>
      </c>
      <c r="C2720">
        <f>IF(B2720="","",INT(A2720))</f>
        <v/>
      </c>
      <c r="D2720">
        <f>IF(B2720="","",HOUR(A2720))</f>
        <v/>
      </c>
    </row>
    <row r="2721">
      <c r="A2721">
        <f>Input!A2721</f>
        <v/>
      </c>
      <c r="B2721">
        <f>IF(ISNUMBER(Input!B2721),IF(AND(Input!B2721&gt;=20,Input!B2721&lt;=700),Input!B2721,""),"")</f>
        <v/>
      </c>
      <c r="C2721">
        <f>IF(B2721="","",INT(A2721))</f>
        <v/>
      </c>
      <c r="D2721">
        <f>IF(B2721="","",HOUR(A2721))</f>
        <v/>
      </c>
    </row>
    <row r="2722">
      <c r="A2722">
        <f>Input!A2722</f>
        <v/>
      </c>
      <c r="B2722">
        <f>IF(ISNUMBER(Input!B2722),IF(AND(Input!B2722&gt;=20,Input!B2722&lt;=700),Input!B2722,""),"")</f>
        <v/>
      </c>
      <c r="C2722">
        <f>IF(B2722="","",INT(A2722))</f>
        <v/>
      </c>
      <c r="D2722">
        <f>IF(B2722="","",HOUR(A2722))</f>
        <v/>
      </c>
    </row>
    <row r="2723">
      <c r="A2723">
        <f>Input!A2723</f>
        <v/>
      </c>
      <c r="B2723">
        <f>IF(ISNUMBER(Input!B2723),IF(AND(Input!B2723&gt;=20,Input!B2723&lt;=700),Input!B2723,""),"")</f>
        <v/>
      </c>
      <c r="C2723">
        <f>IF(B2723="","",INT(A2723))</f>
        <v/>
      </c>
      <c r="D2723">
        <f>IF(B2723="","",HOUR(A2723))</f>
        <v/>
      </c>
    </row>
    <row r="2724">
      <c r="A2724">
        <f>Input!A2724</f>
        <v/>
      </c>
      <c r="B2724">
        <f>IF(ISNUMBER(Input!B2724),IF(AND(Input!B2724&gt;=20,Input!B2724&lt;=700),Input!B2724,""),"")</f>
        <v/>
      </c>
      <c r="C2724">
        <f>IF(B2724="","",INT(A2724))</f>
        <v/>
      </c>
      <c r="D2724">
        <f>IF(B2724="","",HOUR(A2724))</f>
        <v/>
      </c>
    </row>
    <row r="2725">
      <c r="A2725">
        <f>Input!A2725</f>
        <v/>
      </c>
      <c r="B2725">
        <f>IF(ISNUMBER(Input!B2725),IF(AND(Input!B2725&gt;=20,Input!B2725&lt;=700),Input!B2725,""),"")</f>
        <v/>
      </c>
      <c r="C2725">
        <f>IF(B2725="","",INT(A2725))</f>
        <v/>
      </c>
      <c r="D2725">
        <f>IF(B2725="","",HOUR(A2725))</f>
        <v/>
      </c>
    </row>
    <row r="2726">
      <c r="A2726">
        <f>Input!A2726</f>
        <v/>
      </c>
      <c r="B2726">
        <f>IF(ISNUMBER(Input!B2726),IF(AND(Input!B2726&gt;=20,Input!B2726&lt;=700),Input!B2726,""),"")</f>
        <v/>
      </c>
      <c r="C2726">
        <f>IF(B2726="","",INT(A2726))</f>
        <v/>
      </c>
      <c r="D2726">
        <f>IF(B2726="","",HOUR(A2726))</f>
        <v/>
      </c>
    </row>
    <row r="2727">
      <c r="A2727">
        <f>Input!A2727</f>
        <v/>
      </c>
      <c r="B2727">
        <f>IF(ISNUMBER(Input!B2727),IF(AND(Input!B2727&gt;=20,Input!B2727&lt;=700),Input!B2727,""),"")</f>
        <v/>
      </c>
      <c r="C2727">
        <f>IF(B2727="","",INT(A2727))</f>
        <v/>
      </c>
      <c r="D2727">
        <f>IF(B2727="","",HOUR(A2727))</f>
        <v/>
      </c>
    </row>
    <row r="2728">
      <c r="A2728">
        <f>Input!A2728</f>
        <v/>
      </c>
      <c r="B2728">
        <f>IF(ISNUMBER(Input!B2728),IF(AND(Input!B2728&gt;=20,Input!B2728&lt;=700),Input!B2728,""),"")</f>
        <v/>
      </c>
      <c r="C2728">
        <f>IF(B2728="","",INT(A2728))</f>
        <v/>
      </c>
      <c r="D2728">
        <f>IF(B2728="","",HOUR(A2728))</f>
        <v/>
      </c>
    </row>
    <row r="2729">
      <c r="A2729">
        <f>Input!A2729</f>
        <v/>
      </c>
      <c r="B2729">
        <f>IF(ISNUMBER(Input!B2729),IF(AND(Input!B2729&gt;=20,Input!B2729&lt;=700),Input!B2729,""),"")</f>
        <v/>
      </c>
      <c r="C2729">
        <f>IF(B2729="","",INT(A2729))</f>
        <v/>
      </c>
      <c r="D2729">
        <f>IF(B2729="","",HOUR(A2729))</f>
        <v/>
      </c>
    </row>
    <row r="2730">
      <c r="A2730">
        <f>Input!A2730</f>
        <v/>
      </c>
      <c r="B2730">
        <f>IF(ISNUMBER(Input!B2730),IF(AND(Input!B2730&gt;=20,Input!B2730&lt;=700),Input!B2730,""),"")</f>
        <v/>
      </c>
      <c r="C2730">
        <f>IF(B2730="","",INT(A2730))</f>
        <v/>
      </c>
      <c r="D2730">
        <f>IF(B2730="","",HOUR(A2730))</f>
        <v/>
      </c>
    </row>
    <row r="2731">
      <c r="A2731">
        <f>Input!A2731</f>
        <v/>
      </c>
      <c r="B2731">
        <f>IF(ISNUMBER(Input!B2731),IF(AND(Input!B2731&gt;=20,Input!B2731&lt;=700),Input!B2731,""),"")</f>
        <v/>
      </c>
      <c r="C2731">
        <f>IF(B2731="","",INT(A2731))</f>
        <v/>
      </c>
      <c r="D2731">
        <f>IF(B2731="","",HOUR(A2731))</f>
        <v/>
      </c>
    </row>
    <row r="2732">
      <c r="A2732">
        <f>Input!A2732</f>
        <v/>
      </c>
      <c r="B2732">
        <f>IF(ISNUMBER(Input!B2732),IF(AND(Input!B2732&gt;=20,Input!B2732&lt;=700),Input!B2732,""),"")</f>
        <v/>
      </c>
      <c r="C2732">
        <f>IF(B2732="","",INT(A2732))</f>
        <v/>
      </c>
      <c r="D2732">
        <f>IF(B2732="","",HOUR(A2732))</f>
        <v/>
      </c>
    </row>
    <row r="2733">
      <c r="A2733">
        <f>Input!A2733</f>
        <v/>
      </c>
      <c r="B2733">
        <f>IF(ISNUMBER(Input!B2733),IF(AND(Input!B2733&gt;=20,Input!B2733&lt;=700),Input!B2733,""),"")</f>
        <v/>
      </c>
      <c r="C2733">
        <f>IF(B2733="","",INT(A2733))</f>
        <v/>
      </c>
      <c r="D2733">
        <f>IF(B2733="","",HOUR(A2733))</f>
        <v/>
      </c>
    </row>
    <row r="2734">
      <c r="A2734">
        <f>Input!A2734</f>
        <v/>
      </c>
      <c r="B2734">
        <f>IF(ISNUMBER(Input!B2734),IF(AND(Input!B2734&gt;=20,Input!B2734&lt;=700),Input!B2734,""),"")</f>
        <v/>
      </c>
      <c r="C2734">
        <f>IF(B2734="","",INT(A2734))</f>
        <v/>
      </c>
      <c r="D2734">
        <f>IF(B2734="","",HOUR(A2734))</f>
        <v/>
      </c>
    </row>
    <row r="2735">
      <c r="A2735">
        <f>Input!A2735</f>
        <v/>
      </c>
      <c r="B2735">
        <f>IF(ISNUMBER(Input!B2735),IF(AND(Input!B2735&gt;=20,Input!B2735&lt;=700),Input!B2735,""),"")</f>
        <v/>
      </c>
      <c r="C2735">
        <f>IF(B2735="","",INT(A2735))</f>
        <v/>
      </c>
      <c r="D2735">
        <f>IF(B2735="","",HOUR(A2735))</f>
        <v/>
      </c>
    </row>
    <row r="2736">
      <c r="A2736">
        <f>Input!A2736</f>
        <v/>
      </c>
      <c r="B2736">
        <f>IF(ISNUMBER(Input!B2736),IF(AND(Input!B2736&gt;=20,Input!B2736&lt;=700),Input!B2736,""),"")</f>
        <v/>
      </c>
      <c r="C2736">
        <f>IF(B2736="","",INT(A2736))</f>
        <v/>
      </c>
      <c r="D2736">
        <f>IF(B2736="","",HOUR(A2736))</f>
        <v/>
      </c>
    </row>
    <row r="2737">
      <c r="A2737">
        <f>Input!A2737</f>
        <v/>
      </c>
      <c r="B2737">
        <f>IF(ISNUMBER(Input!B2737),IF(AND(Input!B2737&gt;=20,Input!B2737&lt;=700),Input!B2737,""),"")</f>
        <v/>
      </c>
      <c r="C2737">
        <f>IF(B2737="","",INT(A2737))</f>
        <v/>
      </c>
      <c r="D2737">
        <f>IF(B2737="","",HOUR(A2737))</f>
        <v/>
      </c>
    </row>
    <row r="2738">
      <c r="A2738">
        <f>Input!A2738</f>
        <v/>
      </c>
      <c r="B2738">
        <f>IF(ISNUMBER(Input!B2738),IF(AND(Input!B2738&gt;=20,Input!B2738&lt;=700),Input!B2738,""),"")</f>
        <v/>
      </c>
      <c r="C2738">
        <f>IF(B2738="","",INT(A2738))</f>
        <v/>
      </c>
      <c r="D2738">
        <f>IF(B2738="","",HOUR(A2738))</f>
        <v/>
      </c>
    </row>
    <row r="2739">
      <c r="A2739">
        <f>Input!A2739</f>
        <v/>
      </c>
      <c r="B2739">
        <f>IF(ISNUMBER(Input!B2739),IF(AND(Input!B2739&gt;=20,Input!B2739&lt;=700),Input!B2739,""),"")</f>
        <v/>
      </c>
      <c r="C2739">
        <f>IF(B2739="","",INT(A2739))</f>
        <v/>
      </c>
      <c r="D2739">
        <f>IF(B2739="","",HOUR(A2739))</f>
        <v/>
      </c>
    </row>
    <row r="2740">
      <c r="A2740">
        <f>Input!A2740</f>
        <v/>
      </c>
      <c r="B2740">
        <f>IF(ISNUMBER(Input!B2740),IF(AND(Input!B2740&gt;=20,Input!B2740&lt;=700),Input!B2740,""),"")</f>
        <v/>
      </c>
      <c r="C2740">
        <f>IF(B2740="","",INT(A2740))</f>
        <v/>
      </c>
      <c r="D2740">
        <f>IF(B2740="","",HOUR(A2740))</f>
        <v/>
      </c>
    </row>
    <row r="2741">
      <c r="A2741">
        <f>Input!A2741</f>
        <v/>
      </c>
      <c r="B2741">
        <f>IF(ISNUMBER(Input!B2741),IF(AND(Input!B2741&gt;=20,Input!B2741&lt;=700),Input!B2741,""),"")</f>
        <v/>
      </c>
      <c r="C2741">
        <f>IF(B2741="","",INT(A2741))</f>
        <v/>
      </c>
      <c r="D2741">
        <f>IF(B2741="","",HOUR(A2741))</f>
        <v/>
      </c>
    </row>
    <row r="2742">
      <c r="A2742">
        <f>Input!A2742</f>
        <v/>
      </c>
      <c r="B2742">
        <f>IF(ISNUMBER(Input!B2742),IF(AND(Input!B2742&gt;=20,Input!B2742&lt;=700),Input!B2742,""),"")</f>
        <v/>
      </c>
      <c r="C2742">
        <f>IF(B2742="","",INT(A2742))</f>
        <v/>
      </c>
      <c r="D2742">
        <f>IF(B2742="","",HOUR(A2742))</f>
        <v/>
      </c>
    </row>
    <row r="2743">
      <c r="A2743">
        <f>Input!A2743</f>
        <v/>
      </c>
      <c r="B2743">
        <f>IF(ISNUMBER(Input!B2743),IF(AND(Input!B2743&gt;=20,Input!B2743&lt;=700),Input!B2743,""),"")</f>
        <v/>
      </c>
      <c r="C2743">
        <f>IF(B2743="","",INT(A2743))</f>
        <v/>
      </c>
      <c r="D2743">
        <f>IF(B2743="","",HOUR(A2743))</f>
        <v/>
      </c>
    </row>
    <row r="2744">
      <c r="A2744">
        <f>Input!A2744</f>
        <v/>
      </c>
      <c r="B2744">
        <f>IF(ISNUMBER(Input!B2744),IF(AND(Input!B2744&gt;=20,Input!B2744&lt;=700),Input!B2744,""),"")</f>
        <v/>
      </c>
      <c r="C2744">
        <f>IF(B2744="","",INT(A2744))</f>
        <v/>
      </c>
      <c r="D2744">
        <f>IF(B2744="","",HOUR(A2744))</f>
        <v/>
      </c>
    </row>
    <row r="2745">
      <c r="A2745">
        <f>Input!A2745</f>
        <v/>
      </c>
      <c r="B2745">
        <f>IF(ISNUMBER(Input!B2745),IF(AND(Input!B2745&gt;=20,Input!B2745&lt;=700),Input!B2745,""),"")</f>
        <v/>
      </c>
      <c r="C2745">
        <f>IF(B2745="","",INT(A2745))</f>
        <v/>
      </c>
      <c r="D2745">
        <f>IF(B2745="","",HOUR(A2745))</f>
        <v/>
      </c>
    </row>
    <row r="2746">
      <c r="A2746">
        <f>Input!A2746</f>
        <v/>
      </c>
      <c r="B2746">
        <f>IF(ISNUMBER(Input!B2746),IF(AND(Input!B2746&gt;=20,Input!B2746&lt;=700),Input!B2746,""),"")</f>
        <v/>
      </c>
      <c r="C2746">
        <f>IF(B2746="","",INT(A2746))</f>
        <v/>
      </c>
      <c r="D2746">
        <f>IF(B2746="","",HOUR(A2746))</f>
        <v/>
      </c>
    </row>
    <row r="2747">
      <c r="A2747">
        <f>Input!A2747</f>
        <v/>
      </c>
      <c r="B2747">
        <f>IF(ISNUMBER(Input!B2747),IF(AND(Input!B2747&gt;=20,Input!B2747&lt;=700),Input!B2747,""),"")</f>
        <v/>
      </c>
      <c r="C2747">
        <f>IF(B2747="","",INT(A2747))</f>
        <v/>
      </c>
      <c r="D2747">
        <f>IF(B2747="","",HOUR(A2747))</f>
        <v/>
      </c>
    </row>
    <row r="2748">
      <c r="A2748">
        <f>Input!A2748</f>
        <v/>
      </c>
      <c r="B2748">
        <f>IF(ISNUMBER(Input!B2748),IF(AND(Input!B2748&gt;=20,Input!B2748&lt;=700),Input!B2748,""),"")</f>
        <v/>
      </c>
      <c r="C2748">
        <f>IF(B2748="","",INT(A2748))</f>
        <v/>
      </c>
      <c r="D2748">
        <f>IF(B2748="","",HOUR(A2748))</f>
        <v/>
      </c>
    </row>
    <row r="2749">
      <c r="A2749">
        <f>Input!A2749</f>
        <v/>
      </c>
      <c r="B2749">
        <f>IF(ISNUMBER(Input!B2749),IF(AND(Input!B2749&gt;=20,Input!B2749&lt;=700),Input!B2749,""),"")</f>
        <v/>
      </c>
      <c r="C2749">
        <f>IF(B2749="","",INT(A2749))</f>
        <v/>
      </c>
      <c r="D2749">
        <f>IF(B2749="","",HOUR(A2749))</f>
        <v/>
      </c>
    </row>
    <row r="2750">
      <c r="A2750">
        <f>Input!A2750</f>
        <v/>
      </c>
      <c r="B2750">
        <f>IF(ISNUMBER(Input!B2750),IF(AND(Input!B2750&gt;=20,Input!B2750&lt;=700),Input!B2750,""),"")</f>
        <v/>
      </c>
      <c r="C2750">
        <f>IF(B2750="","",INT(A2750))</f>
        <v/>
      </c>
      <c r="D2750">
        <f>IF(B2750="","",HOUR(A2750))</f>
        <v/>
      </c>
    </row>
    <row r="2751">
      <c r="A2751">
        <f>Input!A2751</f>
        <v/>
      </c>
      <c r="B2751">
        <f>IF(ISNUMBER(Input!B2751),IF(AND(Input!B2751&gt;=20,Input!B2751&lt;=700),Input!B2751,""),"")</f>
        <v/>
      </c>
      <c r="C2751">
        <f>IF(B2751="","",INT(A2751))</f>
        <v/>
      </c>
      <c r="D2751">
        <f>IF(B2751="","",HOUR(A2751))</f>
        <v/>
      </c>
    </row>
    <row r="2752">
      <c r="A2752">
        <f>Input!A2752</f>
        <v/>
      </c>
      <c r="B2752">
        <f>IF(ISNUMBER(Input!B2752),IF(AND(Input!B2752&gt;=20,Input!B2752&lt;=700),Input!B2752,""),"")</f>
        <v/>
      </c>
      <c r="C2752">
        <f>IF(B2752="","",INT(A2752))</f>
        <v/>
      </c>
      <c r="D2752">
        <f>IF(B2752="","",HOUR(A2752))</f>
        <v/>
      </c>
    </row>
    <row r="2753">
      <c r="A2753">
        <f>Input!A2753</f>
        <v/>
      </c>
      <c r="B2753">
        <f>IF(ISNUMBER(Input!B2753),IF(AND(Input!B2753&gt;=20,Input!B2753&lt;=700),Input!B2753,""),"")</f>
        <v/>
      </c>
      <c r="C2753">
        <f>IF(B2753="","",INT(A2753))</f>
        <v/>
      </c>
      <c r="D2753">
        <f>IF(B2753="","",HOUR(A2753))</f>
        <v/>
      </c>
    </row>
    <row r="2754">
      <c r="A2754">
        <f>Input!A2754</f>
        <v/>
      </c>
      <c r="B2754">
        <f>IF(ISNUMBER(Input!B2754),IF(AND(Input!B2754&gt;=20,Input!B2754&lt;=700),Input!B2754,""),"")</f>
        <v/>
      </c>
      <c r="C2754">
        <f>IF(B2754="","",INT(A2754))</f>
        <v/>
      </c>
      <c r="D2754">
        <f>IF(B2754="","",HOUR(A2754))</f>
        <v/>
      </c>
    </row>
    <row r="2755">
      <c r="A2755">
        <f>Input!A2755</f>
        <v/>
      </c>
      <c r="B2755">
        <f>IF(ISNUMBER(Input!B2755),IF(AND(Input!B2755&gt;=20,Input!B2755&lt;=700),Input!B2755,""),"")</f>
        <v/>
      </c>
      <c r="C2755">
        <f>IF(B2755="","",INT(A2755))</f>
        <v/>
      </c>
      <c r="D2755">
        <f>IF(B2755="","",HOUR(A2755))</f>
        <v/>
      </c>
    </row>
    <row r="2756">
      <c r="A2756">
        <f>Input!A2756</f>
        <v/>
      </c>
      <c r="B2756">
        <f>IF(ISNUMBER(Input!B2756),IF(AND(Input!B2756&gt;=20,Input!B2756&lt;=700),Input!B2756,""),"")</f>
        <v/>
      </c>
      <c r="C2756">
        <f>IF(B2756="","",INT(A2756))</f>
        <v/>
      </c>
      <c r="D2756">
        <f>IF(B2756="","",HOUR(A2756))</f>
        <v/>
      </c>
    </row>
    <row r="2757">
      <c r="A2757">
        <f>Input!A2757</f>
        <v/>
      </c>
      <c r="B2757">
        <f>IF(ISNUMBER(Input!B2757),IF(AND(Input!B2757&gt;=20,Input!B2757&lt;=700),Input!B2757,""),"")</f>
        <v/>
      </c>
      <c r="C2757">
        <f>IF(B2757="","",INT(A2757))</f>
        <v/>
      </c>
      <c r="D2757">
        <f>IF(B2757="","",HOUR(A2757))</f>
        <v/>
      </c>
    </row>
    <row r="2758">
      <c r="A2758">
        <f>Input!A2758</f>
        <v/>
      </c>
      <c r="B2758">
        <f>IF(ISNUMBER(Input!B2758),IF(AND(Input!B2758&gt;=20,Input!B2758&lt;=700),Input!B2758,""),"")</f>
        <v/>
      </c>
      <c r="C2758">
        <f>IF(B2758="","",INT(A2758))</f>
        <v/>
      </c>
      <c r="D2758">
        <f>IF(B2758="","",HOUR(A2758))</f>
        <v/>
      </c>
    </row>
    <row r="2759">
      <c r="A2759">
        <f>Input!A2759</f>
        <v/>
      </c>
      <c r="B2759">
        <f>IF(ISNUMBER(Input!B2759),IF(AND(Input!B2759&gt;=20,Input!B2759&lt;=700),Input!B2759,""),"")</f>
        <v/>
      </c>
      <c r="C2759">
        <f>IF(B2759="","",INT(A2759))</f>
        <v/>
      </c>
      <c r="D2759">
        <f>IF(B2759="","",HOUR(A2759))</f>
        <v/>
      </c>
    </row>
    <row r="2760">
      <c r="A2760">
        <f>Input!A2760</f>
        <v/>
      </c>
      <c r="B2760">
        <f>IF(ISNUMBER(Input!B2760),IF(AND(Input!B2760&gt;=20,Input!B2760&lt;=700),Input!B2760,""),"")</f>
        <v/>
      </c>
      <c r="C2760">
        <f>IF(B2760="","",INT(A2760))</f>
        <v/>
      </c>
      <c r="D2760">
        <f>IF(B2760="","",HOUR(A2760))</f>
        <v/>
      </c>
    </row>
    <row r="2761">
      <c r="A2761">
        <f>Input!A2761</f>
        <v/>
      </c>
      <c r="B2761">
        <f>IF(ISNUMBER(Input!B2761),IF(AND(Input!B2761&gt;=20,Input!B2761&lt;=700),Input!B2761,""),"")</f>
        <v/>
      </c>
      <c r="C2761">
        <f>IF(B2761="","",INT(A2761))</f>
        <v/>
      </c>
      <c r="D2761">
        <f>IF(B2761="","",HOUR(A2761))</f>
        <v/>
      </c>
    </row>
    <row r="2762">
      <c r="A2762">
        <f>Input!A2762</f>
        <v/>
      </c>
      <c r="B2762">
        <f>IF(ISNUMBER(Input!B2762),IF(AND(Input!B2762&gt;=20,Input!B2762&lt;=700),Input!B2762,""),"")</f>
        <v/>
      </c>
      <c r="C2762">
        <f>IF(B2762="","",INT(A2762))</f>
        <v/>
      </c>
      <c r="D2762">
        <f>IF(B2762="","",HOUR(A2762))</f>
        <v/>
      </c>
    </row>
    <row r="2763">
      <c r="A2763">
        <f>Input!A2763</f>
        <v/>
      </c>
      <c r="B2763">
        <f>IF(ISNUMBER(Input!B2763),IF(AND(Input!B2763&gt;=20,Input!B2763&lt;=700),Input!B2763,""),"")</f>
        <v/>
      </c>
      <c r="C2763">
        <f>IF(B2763="","",INT(A2763))</f>
        <v/>
      </c>
      <c r="D2763">
        <f>IF(B2763="","",HOUR(A2763))</f>
        <v/>
      </c>
    </row>
    <row r="2764">
      <c r="A2764">
        <f>Input!A2764</f>
        <v/>
      </c>
      <c r="B2764">
        <f>IF(ISNUMBER(Input!B2764),IF(AND(Input!B2764&gt;=20,Input!B2764&lt;=700),Input!B2764,""),"")</f>
        <v/>
      </c>
      <c r="C2764">
        <f>IF(B2764="","",INT(A2764))</f>
        <v/>
      </c>
      <c r="D2764">
        <f>IF(B2764="","",HOUR(A2764))</f>
        <v/>
      </c>
    </row>
    <row r="2765">
      <c r="A2765">
        <f>Input!A2765</f>
        <v/>
      </c>
      <c r="B2765">
        <f>IF(ISNUMBER(Input!B2765),IF(AND(Input!B2765&gt;=20,Input!B2765&lt;=700),Input!B2765,""),"")</f>
        <v/>
      </c>
      <c r="C2765">
        <f>IF(B2765="","",INT(A2765))</f>
        <v/>
      </c>
      <c r="D2765">
        <f>IF(B2765="","",HOUR(A2765))</f>
        <v/>
      </c>
    </row>
    <row r="2766">
      <c r="A2766">
        <f>Input!A2766</f>
        <v/>
      </c>
      <c r="B2766">
        <f>IF(ISNUMBER(Input!B2766),IF(AND(Input!B2766&gt;=20,Input!B2766&lt;=700),Input!B2766,""),"")</f>
        <v/>
      </c>
      <c r="C2766">
        <f>IF(B2766="","",INT(A2766))</f>
        <v/>
      </c>
      <c r="D2766">
        <f>IF(B2766="","",HOUR(A2766))</f>
        <v/>
      </c>
    </row>
    <row r="2767">
      <c r="A2767">
        <f>Input!A2767</f>
        <v/>
      </c>
      <c r="B2767">
        <f>IF(ISNUMBER(Input!B2767),IF(AND(Input!B2767&gt;=20,Input!B2767&lt;=700),Input!B2767,""),"")</f>
        <v/>
      </c>
      <c r="C2767">
        <f>IF(B2767="","",INT(A2767))</f>
        <v/>
      </c>
      <c r="D2767">
        <f>IF(B2767="","",HOUR(A2767))</f>
        <v/>
      </c>
    </row>
    <row r="2768">
      <c r="A2768">
        <f>Input!A2768</f>
        <v/>
      </c>
      <c r="B2768">
        <f>IF(ISNUMBER(Input!B2768),IF(AND(Input!B2768&gt;=20,Input!B2768&lt;=700),Input!B2768,""),"")</f>
        <v/>
      </c>
      <c r="C2768">
        <f>IF(B2768="","",INT(A2768))</f>
        <v/>
      </c>
      <c r="D2768">
        <f>IF(B2768="","",HOUR(A2768))</f>
        <v/>
      </c>
    </row>
    <row r="2769">
      <c r="A2769">
        <f>Input!A2769</f>
        <v/>
      </c>
      <c r="B2769">
        <f>IF(ISNUMBER(Input!B2769),IF(AND(Input!B2769&gt;=20,Input!B2769&lt;=700),Input!B2769,""),"")</f>
        <v/>
      </c>
      <c r="C2769">
        <f>IF(B2769="","",INT(A2769))</f>
        <v/>
      </c>
      <c r="D2769">
        <f>IF(B2769="","",HOUR(A2769))</f>
        <v/>
      </c>
    </row>
    <row r="2770">
      <c r="A2770">
        <f>Input!A2770</f>
        <v/>
      </c>
      <c r="B2770">
        <f>IF(ISNUMBER(Input!B2770),IF(AND(Input!B2770&gt;=20,Input!B2770&lt;=700),Input!B2770,""),"")</f>
        <v/>
      </c>
      <c r="C2770">
        <f>IF(B2770="","",INT(A2770))</f>
        <v/>
      </c>
      <c r="D2770">
        <f>IF(B2770="","",HOUR(A2770))</f>
        <v/>
      </c>
    </row>
    <row r="2771">
      <c r="A2771">
        <f>Input!A2771</f>
        <v/>
      </c>
      <c r="B2771">
        <f>IF(ISNUMBER(Input!B2771),IF(AND(Input!B2771&gt;=20,Input!B2771&lt;=700),Input!B2771,""),"")</f>
        <v/>
      </c>
      <c r="C2771">
        <f>IF(B2771="","",INT(A2771))</f>
        <v/>
      </c>
      <c r="D2771">
        <f>IF(B2771="","",HOUR(A2771))</f>
        <v/>
      </c>
    </row>
    <row r="2772">
      <c r="A2772">
        <f>Input!A2772</f>
        <v/>
      </c>
      <c r="B2772">
        <f>IF(ISNUMBER(Input!B2772),IF(AND(Input!B2772&gt;=20,Input!B2772&lt;=700),Input!B2772,""),"")</f>
        <v/>
      </c>
      <c r="C2772">
        <f>IF(B2772="","",INT(A2772))</f>
        <v/>
      </c>
      <c r="D2772">
        <f>IF(B2772="","",HOUR(A2772))</f>
        <v/>
      </c>
    </row>
    <row r="2773">
      <c r="A2773">
        <f>Input!A2773</f>
        <v/>
      </c>
      <c r="B2773">
        <f>IF(ISNUMBER(Input!B2773),IF(AND(Input!B2773&gt;=20,Input!B2773&lt;=700),Input!B2773,""),"")</f>
        <v/>
      </c>
      <c r="C2773">
        <f>IF(B2773="","",INT(A2773))</f>
        <v/>
      </c>
      <c r="D2773">
        <f>IF(B2773="","",HOUR(A2773))</f>
        <v/>
      </c>
    </row>
    <row r="2774">
      <c r="A2774">
        <f>Input!A2774</f>
        <v/>
      </c>
      <c r="B2774">
        <f>IF(ISNUMBER(Input!B2774),IF(AND(Input!B2774&gt;=20,Input!B2774&lt;=700),Input!B2774,""),"")</f>
        <v/>
      </c>
      <c r="C2774">
        <f>IF(B2774="","",INT(A2774))</f>
        <v/>
      </c>
      <c r="D2774">
        <f>IF(B2774="","",HOUR(A2774))</f>
        <v/>
      </c>
    </row>
    <row r="2775">
      <c r="A2775">
        <f>Input!A2775</f>
        <v/>
      </c>
      <c r="B2775">
        <f>IF(ISNUMBER(Input!B2775),IF(AND(Input!B2775&gt;=20,Input!B2775&lt;=700),Input!B2775,""),"")</f>
        <v/>
      </c>
      <c r="C2775">
        <f>IF(B2775="","",INT(A2775))</f>
        <v/>
      </c>
      <c r="D2775">
        <f>IF(B2775="","",HOUR(A2775))</f>
        <v/>
      </c>
    </row>
    <row r="2776">
      <c r="A2776">
        <f>Input!A2776</f>
        <v/>
      </c>
      <c r="B2776">
        <f>IF(ISNUMBER(Input!B2776),IF(AND(Input!B2776&gt;=20,Input!B2776&lt;=700),Input!B2776,""),"")</f>
        <v/>
      </c>
      <c r="C2776">
        <f>IF(B2776="","",INT(A2776))</f>
        <v/>
      </c>
      <c r="D2776">
        <f>IF(B2776="","",HOUR(A2776))</f>
        <v/>
      </c>
    </row>
    <row r="2777">
      <c r="A2777">
        <f>Input!A2777</f>
        <v/>
      </c>
      <c r="B2777">
        <f>IF(ISNUMBER(Input!B2777),IF(AND(Input!B2777&gt;=20,Input!B2777&lt;=700),Input!B2777,""),"")</f>
        <v/>
      </c>
      <c r="C2777">
        <f>IF(B2777="","",INT(A2777))</f>
        <v/>
      </c>
      <c r="D2777">
        <f>IF(B2777="","",HOUR(A2777))</f>
        <v/>
      </c>
    </row>
    <row r="2778">
      <c r="A2778">
        <f>Input!A2778</f>
        <v/>
      </c>
      <c r="B2778">
        <f>IF(ISNUMBER(Input!B2778),IF(AND(Input!B2778&gt;=20,Input!B2778&lt;=700),Input!B2778,""),"")</f>
        <v/>
      </c>
      <c r="C2778">
        <f>IF(B2778="","",INT(A2778))</f>
        <v/>
      </c>
      <c r="D2778">
        <f>IF(B2778="","",HOUR(A2778))</f>
        <v/>
      </c>
    </row>
    <row r="2779">
      <c r="A2779">
        <f>Input!A2779</f>
        <v/>
      </c>
      <c r="B2779">
        <f>IF(ISNUMBER(Input!B2779),IF(AND(Input!B2779&gt;=20,Input!B2779&lt;=700),Input!B2779,""),"")</f>
        <v/>
      </c>
      <c r="C2779">
        <f>IF(B2779="","",INT(A2779))</f>
        <v/>
      </c>
      <c r="D2779">
        <f>IF(B2779="","",HOUR(A2779))</f>
        <v/>
      </c>
    </row>
    <row r="2780">
      <c r="A2780">
        <f>Input!A2780</f>
        <v/>
      </c>
      <c r="B2780">
        <f>IF(ISNUMBER(Input!B2780),IF(AND(Input!B2780&gt;=20,Input!B2780&lt;=700),Input!B2780,""),"")</f>
        <v/>
      </c>
      <c r="C2780">
        <f>IF(B2780="","",INT(A2780))</f>
        <v/>
      </c>
      <c r="D2780">
        <f>IF(B2780="","",HOUR(A2780))</f>
        <v/>
      </c>
    </row>
    <row r="2781">
      <c r="A2781">
        <f>Input!A2781</f>
        <v/>
      </c>
      <c r="B2781">
        <f>IF(ISNUMBER(Input!B2781),IF(AND(Input!B2781&gt;=20,Input!B2781&lt;=700),Input!B2781,""),"")</f>
        <v/>
      </c>
      <c r="C2781">
        <f>IF(B2781="","",INT(A2781))</f>
        <v/>
      </c>
      <c r="D2781">
        <f>IF(B2781="","",HOUR(A2781))</f>
        <v/>
      </c>
    </row>
    <row r="2782">
      <c r="A2782">
        <f>Input!A2782</f>
        <v/>
      </c>
      <c r="B2782">
        <f>IF(ISNUMBER(Input!B2782),IF(AND(Input!B2782&gt;=20,Input!B2782&lt;=700),Input!B2782,""),"")</f>
        <v/>
      </c>
      <c r="C2782">
        <f>IF(B2782="","",INT(A2782))</f>
        <v/>
      </c>
      <c r="D2782">
        <f>IF(B2782="","",HOUR(A2782))</f>
        <v/>
      </c>
    </row>
    <row r="2783">
      <c r="A2783">
        <f>Input!A2783</f>
        <v/>
      </c>
      <c r="B2783">
        <f>IF(ISNUMBER(Input!B2783),IF(AND(Input!B2783&gt;=20,Input!B2783&lt;=700),Input!B2783,""),"")</f>
        <v/>
      </c>
      <c r="C2783">
        <f>IF(B2783="","",INT(A2783))</f>
        <v/>
      </c>
      <c r="D2783">
        <f>IF(B2783="","",HOUR(A2783))</f>
        <v/>
      </c>
    </row>
    <row r="2784">
      <c r="A2784">
        <f>Input!A2784</f>
        <v/>
      </c>
      <c r="B2784">
        <f>IF(ISNUMBER(Input!B2784),IF(AND(Input!B2784&gt;=20,Input!B2784&lt;=700),Input!B2784,""),"")</f>
        <v/>
      </c>
      <c r="C2784">
        <f>IF(B2784="","",INT(A2784))</f>
        <v/>
      </c>
      <c r="D2784">
        <f>IF(B2784="","",HOUR(A2784))</f>
        <v/>
      </c>
    </row>
    <row r="2785">
      <c r="A2785">
        <f>Input!A2785</f>
        <v/>
      </c>
      <c r="B2785">
        <f>IF(ISNUMBER(Input!B2785),IF(AND(Input!B2785&gt;=20,Input!B2785&lt;=700),Input!B2785,""),"")</f>
        <v/>
      </c>
      <c r="C2785">
        <f>IF(B2785="","",INT(A2785))</f>
        <v/>
      </c>
      <c r="D2785">
        <f>IF(B2785="","",HOUR(A2785))</f>
        <v/>
      </c>
    </row>
    <row r="2786">
      <c r="A2786">
        <f>Input!A2786</f>
        <v/>
      </c>
      <c r="B2786">
        <f>IF(ISNUMBER(Input!B2786),IF(AND(Input!B2786&gt;=20,Input!B2786&lt;=700),Input!B2786,""),"")</f>
        <v/>
      </c>
      <c r="C2786">
        <f>IF(B2786="","",INT(A2786))</f>
        <v/>
      </c>
      <c r="D2786">
        <f>IF(B2786="","",HOUR(A2786))</f>
        <v/>
      </c>
    </row>
    <row r="2787">
      <c r="A2787">
        <f>Input!A2787</f>
        <v/>
      </c>
      <c r="B2787">
        <f>IF(ISNUMBER(Input!B2787),IF(AND(Input!B2787&gt;=20,Input!B2787&lt;=700),Input!B2787,""),"")</f>
        <v/>
      </c>
      <c r="C2787">
        <f>IF(B2787="","",INT(A2787))</f>
        <v/>
      </c>
      <c r="D2787">
        <f>IF(B2787="","",HOUR(A2787))</f>
        <v/>
      </c>
    </row>
    <row r="2788">
      <c r="A2788">
        <f>Input!A2788</f>
        <v/>
      </c>
      <c r="B2788">
        <f>IF(ISNUMBER(Input!B2788),IF(AND(Input!B2788&gt;=20,Input!B2788&lt;=700),Input!B2788,""),"")</f>
        <v/>
      </c>
      <c r="C2788">
        <f>IF(B2788="","",INT(A2788))</f>
        <v/>
      </c>
      <c r="D2788">
        <f>IF(B2788="","",HOUR(A2788))</f>
        <v/>
      </c>
    </row>
    <row r="2789">
      <c r="A2789">
        <f>Input!A2789</f>
        <v/>
      </c>
      <c r="B2789">
        <f>IF(ISNUMBER(Input!B2789),IF(AND(Input!B2789&gt;=20,Input!B2789&lt;=700),Input!B2789,""),"")</f>
        <v/>
      </c>
      <c r="C2789">
        <f>IF(B2789="","",INT(A2789))</f>
        <v/>
      </c>
      <c r="D2789">
        <f>IF(B2789="","",HOUR(A2789))</f>
        <v/>
      </c>
    </row>
    <row r="2790">
      <c r="A2790">
        <f>Input!A2790</f>
        <v/>
      </c>
      <c r="B2790">
        <f>IF(ISNUMBER(Input!B2790),IF(AND(Input!B2790&gt;=20,Input!B2790&lt;=700),Input!B2790,""),"")</f>
        <v/>
      </c>
      <c r="C2790">
        <f>IF(B2790="","",INT(A2790))</f>
        <v/>
      </c>
      <c r="D2790">
        <f>IF(B2790="","",HOUR(A2790))</f>
        <v/>
      </c>
    </row>
    <row r="2791">
      <c r="A2791">
        <f>Input!A2791</f>
        <v/>
      </c>
      <c r="B2791">
        <f>IF(ISNUMBER(Input!B2791),IF(AND(Input!B2791&gt;=20,Input!B2791&lt;=700),Input!B2791,""),"")</f>
        <v/>
      </c>
      <c r="C2791">
        <f>IF(B2791="","",INT(A2791))</f>
        <v/>
      </c>
      <c r="D2791">
        <f>IF(B2791="","",HOUR(A2791))</f>
        <v/>
      </c>
    </row>
    <row r="2792">
      <c r="A2792">
        <f>Input!A2792</f>
        <v/>
      </c>
      <c r="B2792">
        <f>IF(ISNUMBER(Input!B2792),IF(AND(Input!B2792&gt;=20,Input!B2792&lt;=700),Input!B2792,""),"")</f>
        <v/>
      </c>
      <c r="C2792">
        <f>IF(B2792="","",INT(A2792))</f>
        <v/>
      </c>
      <c r="D2792">
        <f>IF(B2792="","",HOUR(A2792))</f>
        <v/>
      </c>
    </row>
    <row r="2793">
      <c r="A2793">
        <f>Input!A2793</f>
        <v/>
      </c>
      <c r="B2793">
        <f>IF(ISNUMBER(Input!B2793),IF(AND(Input!B2793&gt;=20,Input!B2793&lt;=700),Input!B2793,""),"")</f>
        <v/>
      </c>
      <c r="C2793">
        <f>IF(B2793="","",INT(A2793))</f>
        <v/>
      </c>
      <c r="D2793">
        <f>IF(B2793="","",HOUR(A2793))</f>
        <v/>
      </c>
    </row>
    <row r="2794">
      <c r="A2794">
        <f>Input!A2794</f>
        <v/>
      </c>
      <c r="B2794">
        <f>IF(ISNUMBER(Input!B2794),IF(AND(Input!B2794&gt;=20,Input!B2794&lt;=700),Input!B2794,""),"")</f>
        <v/>
      </c>
      <c r="C2794">
        <f>IF(B2794="","",INT(A2794))</f>
        <v/>
      </c>
      <c r="D2794">
        <f>IF(B2794="","",HOUR(A2794))</f>
        <v/>
      </c>
    </row>
    <row r="2795">
      <c r="A2795">
        <f>Input!A2795</f>
        <v/>
      </c>
      <c r="B2795">
        <f>IF(ISNUMBER(Input!B2795),IF(AND(Input!B2795&gt;=20,Input!B2795&lt;=700),Input!B2795,""),"")</f>
        <v/>
      </c>
      <c r="C2795">
        <f>IF(B2795="","",INT(A2795))</f>
        <v/>
      </c>
      <c r="D2795">
        <f>IF(B2795="","",HOUR(A2795))</f>
        <v/>
      </c>
    </row>
    <row r="2796">
      <c r="A2796">
        <f>Input!A2796</f>
        <v/>
      </c>
      <c r="B2796">
        <f>IF(ISNUMBER(Input!B2796),IF(AND(Input!B2796&gt;=20,Input!B2796&lt;=700),Input!B2796,""),"")</f>
        <v/>
      </c>
      <c r="C2796">
        <f>IF(B2796="","",INT(A2796))</f>
        <v/>
      </c>
      <c r="D2796">
        <f>IF(B2796="","",HOUR(A2796))</f>
        <v/>
      </c>
    </row>
    <row r="2797">
      <c r="A2797">
        <f>Input!A2797</f>
        <v/>
      </c>
      <c r="B2797">
        <f>IF(ISNUMBER(Input!B2797),IF(AND(Input!B2797&gt;=20,Input!B2797&lt;=700),Input!B2797,""),"")</f>
        <v/>
      </c>
      <c r="C2797">
        <f>IF(B2797="","",INT(A2797))</f>
        <v/>
      </c>
      <c r="D2797">
        <f>IF(B2797="","",HOUR(A2797))</f>
        <v/>
      </c>
    </row>
    <row r="2798">
      <c r="A2798">
        <f>Input!A2798</f>
        <v/>
      </c>
      <c r="B2798">
        <f>IF(ISNUMBER(Input!B2798),IF(AND(Input!B2798&gt;=20,Input!B2798&lt;=700),Input!B2798,""),"")</f>
        <v/>
      </c>
      <c r="C2798">
        <f>IF(B2798="","",INT(A2798))</f>
        <v/>
      </c>
      <c r="D2798">
        <f>IF(B2798="","",HOUR(A2798))</f>
        <v/>
      </c>
    </row>
    <row r="2799">
      <c r="A2799">
        <f>Input!A2799</f>
        <v/>
      </c>
      <c r="B2799">
        <f>IF(ISNUMBER(Input!B2799),IF(AND(Input!B2799&gt;=20,Input!B2799&lt;=700),Input!B2799,""),"")</f>
        <v/>
      </c>
      <c r="C2799">
        <f>IF(B2799="","",INT(A2799))</f>
        <v/>
      </c>
      <c r="D2799">
        <f>IF(B2799="","",HOUR(A2799))</f>
        <v/>
      </c>
    </row>
    <row r="2800">
      <c r="A2800">
        <f>Input!A2800</f>
        <v/>
      </c>
      <c r="B2800">
        <f>IF(ISNUMBER(Input!B2800),IF(AND(Input!B2800&gt;=20,Input!B2800&lt;=700),Input!B2800,""),"")</f>
        <v/>
      </c>
      <c r="C2800">
        <f>IF(B2800="","",INT(A2800))</f>
        <v/>
      </c>
      <c r="D2800">
        <f>IF(B2800="","",HOUR(A2800))</f>
        <v/>
      </c>
    </row>
    <row r="2801">
      <c r="A2801">
        <f>Input!A2801</f>
        <v/>
      </c>
      <c r="B2801">
        <f>IF(ISNUMBER(Input!B2801),IF(AND(Input!B2801&gt;=20,Input!B2801&lt;=700),Input!B2801,""),"")</f>
        <v/>
      </c>
      <c r="C2801">
        <f>IF(B2801="","",INT(A2801))</f>
        <v/>
      </c>
      <c r="D2801">
        <f>IF(B2801="","",HOUR(A2801))</f>
        <v/>
      </c>
    </row>
    <row r="2802">
      <c r="A2802">
        <f>Input!A2802</f>
        <v/>
      </c>
      <c r="B2802">
        <f>IF(ISNUMBER(Input!B2802),IF(AND(Input!B2802&gt;=20,Input!B2802&lt;=700),Input!B2802,""),"")</f>
        <v/>
      </c>
      <c r="C2802">
        <f>IF(B2802="","",INT(A2802))</f>
        <v/>
      </c>
      <c r="D2802">
        <f>IF(B2802="","",HOUR(A2802))</f>
        <v/>
      </c>
    </row>
    <row r="2803">
      <c r="A2803">
        <f>Input!A2803</f>
        <v/>
      </c>
      <c r="B2803">
        <f>IF(ISNUMBER(Input!B2803),IF(AND(Input!B2803&gt;=20,Input!B2803&lt;=700),Input!B2803,""),"")</f>
        <v/>
      </c>
      <c r="C2803">
        <f>IF(B2803="","",INT(A2803))</f>
        <v/>
      </c>
      <c r="D2803">
        <f>IF(B2803="","",HOUR(A2803))</f>
        <v/>
      </c>
    </row>
    <row r="2804">
      <c r="A2804">
        <f>Input!A2804</f>
        <v/>
      </c>
      <c r="B2804">
        <f>IF(ISNUMBER(Input!B2804),IF(AND(Input!B2804&gt;=20,Input!B2804&lt;=700),Input!B2804,""),"")</f>
        <v/>
      </c>
      <c r="C2804">
        <f>IF(B2804="","",INT(A2804))</f>
        <v/>
      </c>
      <c r="D2804">
        <f>IF(B2804="","",HOUR(A2804))</f>
        <v/>
      </c>
    </row>
    <row r="2805">
      <c r="A2805">
        <f>Input!A2805</f>
        <v/>
      </c>
      <c r="B2805">
        <f>IF(ISNUMBER(Input!B2805),IF(AND(Input!B2805&gt;=20,Input!B2805&lt;=700),Input!B2805,""),"")</f>
        <v/>
      </c>
      <c r="C2805">
        <f>IF(B2805="","",INT(A2805))</f>
        <v/>
      </c>
      <c r="D2805">
        <f>IF(B2805="","",HOUR(A2805))</f>
        <v/>
      </c>
    </row>
    <row r="2806">
      <c r="A2806">
        <f>Input!A2806</f>
        <v/>
      </c>
      <c r="B2806">
        <f>IF(ISNUMBER(Input!B2806),IF(AND(Input!B2806&gt;=20,Input!B2806&lt;=700),Input!B2806,""),"")</f>
        <v/>
      </c>
      <c r="C2806">
        <f>IF(B2806="","",INT(A2806))</f>
        <v/>
      </c>
      <c r="D2806">
        <f>IF(B2806="","",HOUR(A2806))</f>
        <v/>
      </c>
    </row>
    <row r="2807">
      <c r="A2807">
        <f>Input!A2807</f>
        <v/>
      </c>
      <c r="B2807">
        <f>IF(ISNUMBER(Input!B2807),IF(AND(Input!B2807&gt;=20,Input!B2807&lt;=700),Input!B2807,""),"")</f>
        <v/>
      </c>
      <c r="C2807">
        <f>IF(B2807="","",INT(A2807))</f>
        <v/>
      </c>
      <c r="D2807">
        <f>IF(B2807="","",HOUR(A2807))</f>
        <v/>
      </c>
    </row>
    <row r="2808">
      <c r="A2808">
        <f>Input!A2808</f>
        <v/>
      </c>
      <c r="B2808">
        <f>IF(ISNUMBER(Input!B2808),IF(AND(Input!B2808&gt;=20,Input!B2808&lt;=700),Input!B2808,""),"")</f>
        <v/>
      </c>
      <c r="C2808">
        <f>IF(B2808="","",INT(A2808))</f>
        <v/>
      </c>
      <c r="D2808">
        <f>IF(B2808="","",HOUR(A2808))</f>
        <v/>
      </c>
    </row>
    <row r="2809">
      <c r="A2809">
        <f>Input!A2809</f>
        <v/>
      </c>
      <c r="B2809">
        <f>IF(ISNUMBER(Input!B2809),IF(AND(Input!B2809&gt;=20,Input!B2809&lt;=700),Input!B2809,""),"")</f>
        <v/>
      </c>
      <c r="C2809">
        <f>IF(B2809="","",INT(A2809))</f>
        <v/>
      </c>
      <c r="D2809">
        <f>IF(B2809="","",HOUR(A2809))</f>
        <v/>
      </c>
    </row>
    <row r="2810">
      <c r="A2810">
        <f>Input!A2810</f>
        <v/>
      </c>
      <c r="B2810">
        <f>IF(ISNUMBER(Input!B2810),IF(AND(Input!B2810&gt;=20,Input!B2810&lt;=700),Input!B2810,""),"")</f>
        <v/>
      </c>
      <c r="C2810">
        <f>IF(B2810="","",INT(A2810))</f>
        <v/>
      </c>
      <c r="D2810">
        <f>IF(B2810="","",HOUR(A2810))</f>
        <v/>
      </c>
    </row>
    <row r="2811">
      <c r="A2811">
        <f>Input!A2811</f>
        <v/>
      </c>
      <c r="B2811">
        <f>IF(ISNUMBER(Input!B2811),IF(AND(Input!B2811&gt;=20,Input!B2811&lt;=700),Input!B2811,""),"")</f>
        <v/>
      </c>
      <c r="C2811">
        <f>IF(B2811="","",INT(A2811))</f>
        <v/>
      </c>
      <c r="D2811">
        <f>IF(B2811="","",HOUR(A2811))</f>
        <v/>
      </c>
    </row>
    <row r="2812">
      <c r="A2812">
        <f>Input!A2812</f>
        <v/>
      </c>
      <c r="B2812">
        <f>IF(ISNUMBER(Input!B2812),IF(AND(Input!B2812&gt;=20,Input!B2812&lt;=700),Input!B2812,""),"")</f>
        <v/>
      </c>
      <c r="C2812">
        <f>IF(B2812="","",INT(A2812))</f>
        <v/>
      </c>
      <c r="D2812">
        <f>IF(B2812="","",HOUR(A2812))</f>
        <v/>
      </c>
    </row>
    <row r="2813">
      <c r="A2813">
        <f>Input!A2813</f>
        <v/>
      </c>
      <c r="B2813">
        <f>IF(ISNUMBER(Input!B2813),IF(AND(Input!B2813&gt;=20,Input!B2813&lt;=700),Input!B2813,""),"")</f>
        <v/>
      </c>
      <c r="C2813">
        <f>IF(B2813="","",INT(A2813))</f>
        <v/>
      </c>
      <c r="D2813">
        <f>IF(B2813="","",HOUR(A2813))</f>
        <v/>
      </c>
    </row>
    <row r="2814">
      <c r="A2814">
        <f>Input!A2814</f>
        <v/>
      </c>
      <c r="B2814">
        <f>IF(ISNUMBER(Input!B2814),IF(AND(Input!B2814&gt;=20,Input!B2814&lt;=700),Input!B2814,""),"")</f>
        <v/>
      </c>
      <c r="C2814">
        <f>IF(B2814="","",INT(A2814))</f>
        <v/>
      </c>
      <c r="D2814">
        <f>IF(B2814="","",HOUR(A2814))</f>
        <v/>
      </c>
    </row>
    <row r="2815">
      <c r="A2815">
        <f>Input!A2815</f>
        <v/>
      </c>
      <c r="B2815">
        <f>IF(ISNUMBER(Input!B2815),IF(AND(Input!B2815&gt;=20,Input!B2815&lt;=700),Input!B2815,""),"")</f>
        <v/>
      </c>
      <c r="C2815">
        <f>IF(B2815="","",INT(A2815))</f>
        <v/>
      </c>
      <c r="D2815">
        <f>IF(B2815="","",HOUR(A2815))</f>
        <v/>
      </c>
    </row>
    <row r="2816">
      <c r="A2816">
        <f>Input!A2816</f>
        <v/>
      </c>
      <c r="B2816">
        <f>IF(ISNUMBER(Input!B2816),IF(AND(Input!B2816&gt;=20,Input!B2816&lt;=700),Input!B2816,""),"")</f>
        <v/>
      </c>
      <c r="C2816">
        <f>IF(B2816="","",INT(A2816))</f>
        <v/>
      </c>
      <c r="D2816">
        <f>IF(B2816="","",HOUR(A2816))</f>
        <v/>
      </c>
    </row>
    <row r="2817">
      <c r="A2817">
        <f>Input!A2817</f>
        <v/>
      </c>
      <c r="B2817">
        <f>IF(ISNUMBER(Input!B2817),IF(AND(Input!B2817&gt;=20,Input!B2817&lt;=700),Input!B2817,""),"")</f>
        <v/>
      </c>
      <c r="C2817">
        <f>IF(B2817="","",INT(A2817))</f>
        <v/>
      </c>
      <c r="D2817">
        <f>IF(B2817="","",HOUR(A2817))</f>
        <v/>
      </c>
    </row>
    <row r="2818">
      <c r="A2818">
        <f>Input!A2818</f>
        <v/>
      </c>
      <c r="B2818">
        <f>IF(ISNUMBER(Input!B2818),IF(AND(Input!B2818&gt;=20,Input!B2818&lt;=700),Input!B2818,""),"")</f>
        <v/>
      </c>
      <c r="C2818">
        <f>IF(B2818="","",INT(A2818))</f>
        <v/>
      </c>
      <c r="D2818">
        <f>IF(B2818="","",HOUR(A2818))</f>
        <v/>
      </c>
    </row>
    <row r="2819">
      <c r="A2819">
        <f>Input!A2819</f>
        <v/>
      </c>
      <c r="B2819">
        <f>IF(ISNUMBER(Input!B2819),IF(AND(Input!B2819&gt;=20,Input!B2819&lt;=700),Input!B2819,""),"")</f>
        <v/>
      </c>
      <c r="C2819">
        <f>IF(B2819="","",INT(A2819))</f>
        <v/>
      </c>
      <c r="D2819">
        <f>IF(B2819="","",HOUR(A2819))</f>
        <v/>
      </c>
    </row>
    <row r="2820">
      <c r="A2820">
        <f>Input!A2820</f>
        <v/>
      </c>
      <c r="B2820">
        <f>IF(ISNUMBER(Input!B2820),IF(AND(Input!B2820&gt;=20,Input!B2820&lt;=700),Input!B2820,""),"")</f>
        <v/>
      </c>
      <c r="C2820">
        <f>IF(B2820="","",INT(A2820))</f>
        <v/>
      </c>
      <c r="D2820">
        <f>IF(B2820="","",HOUR(A2820))</f>
        <v/>
      </c>
    </row>
    <row r="2821">
      <c r="A2821">
        <f>Input!A2821</f>
        <v/>
      </c>
      <c r="B2821">
        <f>IF(ISNUMBER(Input!B2821),IF(AND(Input!B2821&gt;=20,Input!B2821&lt;=700),Input!B2821,""),"")</f>
        <v/>
      </c>
      <c r="C2821">
        <f>IF(B2821="","",INT(A2821))</f>
        <v/>
      </c>
      <c r="D2821">
        <f>IF(B2821="","",HOUR(A2821))</f>
        <v/>
      </c>
    </row>
    <row r="2822">
      <c r="A2822">
        <f>Input!A2822</f>
        <v/>
      </c>
      <c r="B2822">
        <f>IF(ISNUMBER(Input!B2822),IF(AND(Input!B2822&gt;=20,Input!B2822&lt;=700),Input!B2822,""),"")</f>
        <v/>
      </c>
      <c r="C2822">
        <f>IF(B2822="","",INT(A2822))</f>
        <v/>
      </c>
      <c r="D2822">
        <f>IF(B2822="","",HOUR(A2822))</f>
        <v/>
      </c>
    </row>
    <row r="2823">
      <c r="A2823">
        <f>Input!A2823</f>
        <v/>
      </c>
      <c r="B2823">
        <f>IF(ISNUMBER(Input!B2823),IF(AND(Input!B2823&gt;=20,Input!B2823&lt;=700),Input!B2823,""),"")</f>
        <v/>
      </c>
      <c r="C2823">
        <f>IF(B2823="","",INT(A2823))</f>
        <v/>
      </c>
      <c r="D2823">
        <f>IF(B2823="","",HOUR(A2823))</f>
        <v/>
      </c>
    </row>
    <row r="2824">
      <c r="A2824">
        <f>Input!A2824</f>
        <v/>
      </c>
      <c r="B2824">
        <f>IF(ISNUMBER(Input!B2824),IF(AND(Input!B2824&gt;=20,Input!B2824&lt;=700),Input!B2824,""),"")</f>
        <v/>
      </c>
      <c r="C2824">
        <f>IF(B2824="","",INT(A2824))</f>
        <v/>
      </c>
      <c r="D2824">
        <f>IF(B2824="","",HOUR(A2824))</f>
        <v/>
      </c>
    </row>
    <row r="2825">
      <c r="A2825">
        <f>Input!A2825</f>
        <v/>
      </c>
      <c r="B2825">
        <f>IF(ISNUMBER(Input!B2825),IF(AND(Input!B2825&gt;=20,Input!B2825&lt;=700),Input!B2825,""),"")</f>
        <v/>
      </c>
      <c r="C2825">
        <f>IF(B2825="","",INT(A2825))</f>
        <v/>
      </c>
      <c r="D2825">
        <f>IF(B2825="","",HOUR(A2825))</f>
        <v/>
      </c>
    </row>
    <row r="2826">
      <c r="A2826">
        <f>Input!A2826</f>
        <v/>
      </c>
      <c r="B2826">
        <f>IF(ISNUMBER(Input!B2826),IF(AND(Input!B2826&gt;=20,Input!B2826&lt;=700),Input!B2826,""),"")</f>
        <v/>
      </c>
      <c r="C2826">
        <f>IF(B2826="","",INT(A2826))</f>
        <v/>
      </c>
      <c r="D2826">
        <f>IF(B2826="","",HOUR(A2826))</f>
        <v/>
      </c>
    </row>
    <row r="2827">
      <c r="A2827">
        <f>Input!A2827</f>
        <v/>
      </c>
      <c r="B2827">
        <f>IF(ISNUMBER(Input!B2827),IF(AND(Input!B2827&gt;=20,Input!B2827&lt;=700),Input!B2827,""),"")</f>
        <v/>
      </c>
      <c r="C2827">
        <f>IF(B2827="","",INT(A2827))</f>
        <v/>
      </c>
      <c r="D2827">
        <f>IF(B2827="","",HOUR(A2827))</f>
        <v/>
      </c>
    </row>
    <row r="2828">
      <c r="A2828">
        <f>Input!A2828</f>
        <v/>
      </c>
      <c r="B2828">
        <f>IF(ISNUMBER(Input!B2828),IF(AND(Input!B2828&gt;=20,Input!B2828&lt;=700),Input!B2828,""),"")</f>
        <v/>
      </c>
      <c r="C2828">
        <f>IF(B2828="","",INT(A2828))</f>
        <v/>
      </c>
      <c r="D2828">
        <f>IF(B2828="","",HOUR(A2828))</f>
        <v/>
      </c>
    </row>
    <row r="2829">
      <c r="A2829">
        <f>Input!A2829</f>
        <v/>
      </c>
      <c r="B2829">
        <f>IF(ISNUMBER(Input!B2829),IF(AND(Input!B2829&gt;=20,Input!B2829&lt;=700),Input!B2829,""),"")</f>
        <v/>
      </c>
      <c r="C2829">
        <f>IF(B2829="","",INT(A2829))</f>
        <v/>
      </c>
      <c r="D2829">
        <f>IF(B2829="","",HOUR(A2829))</f>
        <v/>
      </c>
    </row>
    <row r="2830">
      <c r="A2830">
        <f>Input!A2830</f>
        <v/>
      </c>
      <c r="B2830">
        <f>IF(ISNUMBER(Input!B2830),IF(AND(Input!B2830&gt;=20,Input!B2830&lt;=700),Input!B2830,""),"")</f>
        <v/>
      </c>
      <c r="C2830">
        <f>IF(B2830="","",INT(A2830))</f>
        <v/>
      </c>
      <c r="D2830">
        <f>IF(B2830="","",HOUR(A2830))</f>
        <v/>
      </c>
    </row>
    <row r="2831">
      <c r="A2831">
        <f>Input!A2831</f>
        <v/>
      </c>
      <c r="B2831">
        <f>IF(ISNUMBER(Input!B2831),IF(AND(Input!B2831&gt;=20,Input!B2831&lt;=700),Input!B2831,""),"")</f>
        <v/>
      </c>
      <c r="C2831">
        <f>IF(B2831="","",INT(A2831))</f>
        <v/>
      </c>
      <c r="D2831">
        <f>IF(B2831="","",HOUR(A2831))</f>
        <v/>
      </c>
    </row>
    <row r="2832">
      <c r="A2832">
        <f>Input!A2832</f>
        <v/>
      </c>
      <c r="B2832">
        <f>IF(ISNUMBER(Input!B2832),IF(AND(Input!B2832&gt;=20,Input!B2832&lt;=700),Input!B2832,""),"")</f>
        <v/>
      </c>
      <c r="C2832">
        <f>IF(B2832="","",INT(A2832))</f>
        <v/>
      </c>
      <c r="D2832">
        <f>IF(B2832="","",HOUR(A2832))</f>
        <v/>
      </c>
    </row>
    <row r="2833">
      <c r="A2833">
        <f>Input!A2833</f>
        <v/>
      </c>
      <c r="B2833">
        <f>IF(ISNUMBER(Input!B2833),IF(AND(Input!B2833&gt;=20,Input!B2833&lt;=700),Input!B2833,""),"")</f>
        <v/>
      </c>
      <c r="C2833">
        <f>IF(B2833="","",INT(A2833))</f>
        <v/>
      </c>
      <c r="D2833">
        <f>IF(B2833="","",HOUR(A2833))</f>
        <v/>
      </c>
    </row>
    <row r="2834">
      <c r="A2834">
        <f>Input!A2834</f>
        <v/>
      </c>
      <c r="B2834">
        <f>IF(ISNUMBER(Input!B2834),IF(AND(Input!B2834&gt;=20,Input!B2834&lt;=700),Input!B2834,""),"")</f>
        <v/>
      </c>
      <c r="C2834">
        <f>IF(B2834="","",INT(A2834))</f>
        <v/>
      </c>
      <c r="D2834">
        <f>IF(B2834="","",HOUR(A2834))</f>
        <v/>
      </c>
    </row>
    <row r="2835">
      <c r="A2835">
        <f>Input!A2835</f>
        <v/>
      </c>
      <c r="B2835">
        <f>IF(ISNUMBER(Input!B2835),IF(AND(Input!B2835&gt;=20,Input!B2835&lt;=700),Input!B2835,""),"")</f>
        <v/>
      </c>
      <c r="C2835">
        <f>IF(B2835="","",INT(A2835))</f>
        <v/>
      </c>
      <c r="D2835">
        <f>IF(B2835="","",HOUR(A2835))</f>
        <v/>
      </c>
    </row>
    <row r="2836">
      <c r="A2836">
        <f>Input!A2836</f>
        <v/>
      </c>
      <c r="B2836">
        <f>IF(ISNUMBER(Input!B2836),IF(AND(Input!B2836&gt;=20,Input!B2836&lt;=700),Input!B2836,""),"")</f>
        <v/>
      </c>
      <c r="C2836">
        <f>IF(B2836="","",INT(A2836))</f>
        <v/>
      </c>
      <c r="D2836">
        <f>IF(B2836="","",HOUR(A2836))</f>
        <v/>
      </c>
    </row>
    <row r="2837">
      <c r="A2837">
        <f>Input!A2837</f>
        <v/>
      </c>
      <c r="B2837">
        <f>IF(ISNUMBER(Input!B2837),IF(AND(Input!B2837&gt;=20,Input!B2837&lt;=700),Input!B2837,""),"")</f>
        <v/>
      </c>
      <c r="C2837">
        <f>IF(B2837="","",INT(A2837))</f>
        <v/>
      </c>
      <c r="D2837">
        <f>IF(B2837="","",HOUR(A2837))</f>
        <v/>
      </c>
    </row>
    <row r="2838">
      <c r="A2838">
        <f>Input!A2838</f>
        <v/>
      </c>
      <c r="B2838">
        <f>IF(ISNUMBER(Input!B2838),IF(AND(Input!B2838&gt;=20,Input!B2838&lt;=700),Input!B2838,""),"")</f>
        <v/>
      </c>
      <c r="C2838">
        <f>IF(B2838="","",INT(A2838))</f>
        <v/>
      </c>
      <c r="D2838">
        <f>IF(B2838="","",HOUR(A2838))</f>
        <v/>
      </c>
    </row>
    <row r="2839">
      <c r="A2839">
        <f>Input!A2839</f>
        <v/>
      </c>
      <c r="B2839">
        <f>IF(ISNUMBER(Input!B2839),IF(AND(Input!B2839&gt;=20,Input!B2839&lt;=700),Input!B2839,""),"")</f>
        <v/>
      </c>
      <c r="C2839">
        <f>IF(B2839="","",INT(A2839))</f>
        <v/>
      </c>
      <c r="D2839">
        <f>IF(B2839="","",HOUR(A2839))</f>
        <v/>
      </c>
    </row>
    <row r="2840">
      <c r="A2840">
        <f>Input!A2840</f>
        <v/>
      </c>
      <c r="B2840">
        <f>IF(ISNUMBER(Input!B2840),IF(AND(Input!B2840&gt;=20,Input!B2840&lt;=700),Input!B2840,""),"")</f>
        <v/>
      </c>
      <c r="C2840">
        <f>IF(B2840="","",INT(A2840))</f>
        <v/>
      </c>
      <c r="D2840">
        <f>IF(B2840="","",HOUR(A2840))</f>
        <v/>
      </c>
    </row>
    <row r="2841">
      <c r="A2841">
        <f>Input!A2841</f>
        <v/>
      </c>
      <c r="B2841">
        <f>IF(ISNUMBER(Input!B2841),IF(AND(Input!B2841&gt;=20,Input!B2841&lt;=700),Input!B2841,""),"")</f>
        <v/>
      </c>
      <c r="C2841">
        <f>IF(B2841="","",INT(A2841))</f>
        <v/>
      </c>
      <c r="D2841">
        <f>IF(B2841="","",HOUR(A2841))</f>
        <v/>
      </c>
    </row>
    <row r="2842">
      <c r="A2842">
        <f>Input!A2842</f>
        <v/>
      </c>
      <c r="B2842">
        <f>IF(ISNUMBER(Input!B2842),IF(AND(Input!B2842&gt;=20,Input!B2842&lt;=700),Input!B2842,""),"")</f>
        <v/>
      </c>
      <c r="C2842">
        <f>IF(B2842="","",INT(A2842))</f>
        <v/>
      </c>
      <c r="D2842">
        <f>IF(B2842="","",HOUR(A2842))</f>
        <v/>
      </c>
    </row>
    <row r="2843">
      <c r="A2843">
        <f>Input!A2843</f>
        <v/>
      </c>
      <c r="B2843">
        <f>IF(ISNUMBER(Input!B2843),IF(AND(Input!B2843&gt;=20,Input!B2843&lt;=700),Input!B2843,""),"")</f>
        <v/>
      </c>
      <c r="C2843">
        <f>IF(B2843="","",INT(A2843))</f>
        <v/>
      </c>
      <c r="D2843">
        <f>IF(B2843="","",HOUR(A2843))</f>
        <v/>
      </c>
    </row>
    <row r="2844">
      <c r="A2844">
        <f>Input!A2844</f>
        <v/>
      </c>
      <c r="B2844">
        <f>IF(ISNUMBER(Input!B2844),IF(AND(Input!B2844&gt;=20,Input!B2844&lt;=700),Input!B2844,""),"")</f>
        <v/>
      </c>
      <c r="C2844">
        <f>IF(B2844="","",INT(A2844))</f>
        <v/>
      </c>
      <c r="D2844">
        <f>IF(B2844="","",HOUR(A2844))</f>
        <v/>
      </c>
    </row>
    <row r="2845">
      <c r="A2845">
        <f>Input!A2845</f>
        <v/>
      </c>
      <c r="B2845">
        <f>IF(ISNUMBER(Input!B2845),IF(AND(Input!B2845&gt;=20,Input!B2845&lt;=700),Input!B2845,""),"")</f>
        <v/>
      </c>
      <c r="C2845">
        <f>IF(B2845="","",INT(A2845))</f>
        <v/>
      </c>
      <c r="D2845">
        <f>IF(B2845="","",HOUR(A2845))</f>
        <v/>
      </c>
    </row>
    <row r="2846">
      <c r="A2846">
        <f>Input!A2846</f>
        <v/>
      </c>
      <c r="B2846">
        <f>IF(ISNUMBER(Input!B2846),IF(AND(Input!B2846&gt;=20,Input!B2846&lt;=700),Input!B2846,""),"")</f>
        <v/>
      </c>
      <c r="C2846">
        <f>IF(B2846="","",INT(A2846))</f>
        <v/>
      </c>
      <c r="D2846">
        <f>IF(B2846="","",HOUR(A2846))</f>
        <v/>
      </c>
    </row>
    <row r="2847">
      <c r="A2847">
        <f>Input!A2847</f>
        <v/>
      </c>
      <c r="B2847">
        <f>IF(ISNUMBER(Input!B2847),IF(AND(Input!B2847&gt;=20,Input!B2847&lt;=700),Input!B2847,""),"")</f>
        <v/>
      </c>
      <c r="C2847">
        <f>IF(B2847="","",INT(A2847))</f>
        <v/>
      </c>
      <c r="D2847">
        <f>IF(B2847="","",HOUR(A2847))</f>
        <v/>
      </c>
    </row>
    <row r="2848">
      <c r="A2848">
        <f>Input!A2848</f>
        <v/>
      </c>
      <c r="B2848">
        <f>IF(ISNUMBER(Input!B2848),IF(AND(Input!B2848&gt;=20,Input!B2848&lt;=700),Input!B2848,""),"")</f>
        <v/>
      </c>
      <c r="C2848">
        <f>IF(B2848="","",INT(A2848))</f>
        <v/>
      </c>
      <c r="D2848">
        <f>IF(B2848="","",HOUR(A2848))</f>
        <v/>
      </c>
    </row>
    <row r="2849">
      <c r="A2849">
        <f>Input!A2849</f>
        <v/>
      </c>
      <c r="B2849">
        <f>IF(ISNUMBER(Input!B2849),IF(AND(Input!B2849&gt;=20,Input!B2849&lt;=700),Input!B2849,""),"")</f>
        <v/>
      </c>
      <c r="C2849">
        <f>IF(B2849="","",INT(A2849))</f>
        <v/>
      </c>
      <c r="D2849">
        <f>IF(B2849="","",HOUR(A2849))</f>
        <v/>
      </c>
    </row>
    <row r="2850">
      <c r="A2850">
        <f>Input!A2850</f>
        <v/>
      </c>
      <c r="B2850">
        <f>IF(ISNUMBER(Input!B2850),IF(AND(Input!B2850&gt;=20,Input!B2850&lt;=700),Input!B2850,""),"")</f>
        <v/>
      </c>
      <c r="C2850">
        <f>IF(B2850="","",INT(A2850))</f>
        <v/>
      </c>
      <c r="D2850">
        <f>IF(B2850="","",HOUR(A2850))</f>
        <v/>
      </c>
    </row>
    <row r="2851">
      <c r="A2851">
        <f>Input!A2851</f>
        <v/>
      </c>
      <c r="B2851">
        <f>IF(ISNUMBER(Input!B2851),IF(AND(Input!B2851&gt;=20,Input!B2851&lt;=700),Input!B2851,""),"")</f>
        <v/>
      </c>
      <c r="C2851">
        <f>IF(B2851="","",INT(A2851))</f>
        <v/>
      </c>
      <c r="D2851">
        <f>IF(B2851="","",HOUR(A2851))</f>
        <v/>
      </c>
    </row>
    <row r="2852">
      <c r="A2852">
        <f>Input!A2852</f>
        <v/>
      </c>
      <c r="B2852">
        <f>IF(ISNUMBER(Input!B2852),IF(AND(Input!B2852&gt;=20,Input!B2852&lt;=700),Input!B2852,""),"")</f>
        <v/>
      </c>
      <c r="C2852">
        <f>IF(B2852="","",INT(A2852))</f>
        <v/>
      </c>
      <c r="D2852">
        <f>IF(B2852="","",HOUR(A2852))</f>
        <v/>
      </c>
    </row>
    <row r="2853">
      <c r="A2853">
        <f>Input!A2853</f>
        <v/>
      </c>
      <c r="B2853">
        <f>IF(ISNUMBER(Input!B2853),IF(AND(Input!B2853&gt;=20,Input!B2853&lt;=700),Input!B2853,""),"")</f>
        <v/>
      </c>
      <c r="C2853">
        <f>IF(B2853="","",INT(A2853))</f>
        <v/>
      </c>
      <c r="D2853">
        <f>IF(B2853="","",HOUR(A2853))</f>
        <v/>
      </c>
    </row>
    <row r="2854">
      <c r="A2854">
        <f>Input!A2854</f>
        <v/>
      </c>
      <c r="B2854">
        <f>IF(ISNUMBER(Input!B2854),IF(AND(Input!B2854&gt;=20,Input!B2854&lt;=700),Input!B2854,""),"")</f>
        <v/>
      </c>
      <c r="C2854">
        <f>IF(B2854="","",INT(A2854))</f>
        <v/>
      </c>
      <c r="D2854">
        <f>IF(B2854="","",HOUR(A2854))</f>
        <v/>
      </c>
    </row>
    <row r="2855">
      <c r="A2855">
        <f>Input!A2855</f>
        <v/>
      </c>
      <c r="B2855">
        <f>IF(ISNUMBER(Input!B2855),IF(AND(Input!B2855&gt;=20,Input!B2855&lt;=700),Input!B2855,""),"")</f>
        <v/>
      </c>
      <c r="C2855">
        <f>IF(B2855="","",INT(A2855))</f>
        <v/>
      </c>
      <c r="D2855">
        <f>IF(B2855="","",HOUR(A2855))</f>
        <v/>
      </c>
    </row>
    <row r="2856">
      <c r="A2856">
        <f>Input!A2856</f>
        <v/>
      </c>
      <c r="B2856">
        <f>IF(ISNUMBER(Input!B2856),IF(AND(Input!B2856&gt;=20,Input!B2856&lt;=700),Input!B2856,""),"")</f>
        <v/>
      </c>
      <c r="C2856">
        <f>IF(B2856="","",INT(A2856))</f>
        <v/>
      </c>
      <c r="D2856">
        <f>IF(B2856="","",HOUR(A2856))</f>
        <v/>
      </c>
    </row>
    <row r="2857">
      <c r="A2857">
        <f>Input!A2857</f>
        <v/>
      </c>
      <c r="B2857">
        <f>IF(ISNUMBER(Input!B2857),IF(AND(Input!B2857&gt;=20,Input!B2857&lt;=700),Input!B2857,""),"")</f>
        <v/>
      </c>
      <c r="C2857">
        <f>IF(B2857="","",INT(A2857))</f>
        <v/>
      </c>
      <c r="D2857">
        <f>IF(B2857="","",HOUR(A2857))</f>
        <v/>
      </c>
    </row>
    <row r="2858">
      <c r="A2858">
        <f>Input!A2858</f>
        <v/>
      </c>
      <c r="B2858">
        <f>IF(ISNUMBER(Input!B2858),IF(AND(Input!B2858&gt;=20,Input!B2858&lt;=700),Input!B2858,""),"")</f>
        <v/>
      </c>
      <c r="C2858">
        <f>IF(B2858="","",INT(A2858))</f>
        <v/>
      </c>
      <c r="D2858">
        <f>IF(B2858="","",HOUR(A2858))</f>
        <v/>
      </c>
    </row>
    <row r="2859">
      <c r="A2859">
        <f>Input!A2859</f>
        <v/>
      </c>
      <c r="B2859">
        <f>IF(ISNUMBER(Input!B2859),IF(AND(Input!B2859&gt;=20,Input!B2859&lt;=700),Input!B2859,""),"")</f>
        <v/>
      </c>
      <c r="C2859">
        <f>IF(B2859="","",INT(A2859))</f>
        <v/>
      </c>
      <c r="D2859">
        <f>IF(B2859="","",HOUR(A2859))</f>
        <v/>
      </c>
    </row>
    <row r="2860">
      <c r="A2860">
        <f>Input!A2860</f>
        <v/>
      </c>
      <c r="B2860">
        <f>IF(ISNUMBER(Input!B2860),IF(AND(Input!B2860&gt;=20,Input!B2860&lt;=700),Input!B2860,""),"")</f>
        <v/>
      </c>
      <c r="C2860">
        <f>IF(B2860="","",INT(A2860))</f>
        <v/>
      </c>
      <c r="D2860">
        <f>IF(B2860="","",HOUR(A2860))</f>
        <v/>
      </c>
    </row>
    <row r="2861">
      <c r="A2861">
        <f>Input!A2861</f>
        <v/>
      </c>
      <c r="B2861">
        <f>IF(ISNUMBER(Input!B2861),IF(AND(Input!B2861&gt;=20,Input!B2861&lt;=700),Input!B2861,""),"")</f>
        <v/>
      </c>
      <c r="C2861">
        <f>IF(B2861="","",INT(A2861))</f>
        <v/>
      </c>
      <c r="D2861">
        <f>IF(B2861="","",HOUR(A2861))</f>
        <v/>
      </c>
    </row>
    <row r="2862">
      <c r="A2862">
        <f>Input!A2862</f>
        <v/>
      </c>
      <c r="B2862">
        <f>IF(ISNUMBER(Input!B2862),IF(AND(Input!B2862&gt;=20,Input!B2862&lt;=700),Input!B2862,""),"")</f>
        <v/>
      </c>
      <c r="C2862">
        <f>IF(B2862="","",INT(A2862))</f>
        <v/>
      </c>
      <c r="D2862">
        <f>IF(B2862="","",HOUR(A2862))</f>
        <v/>
      </c>
    </row>
    <row r="2863">
      <c r="A2863">
        <f>Input!A2863</f>
        <v/>
      </c>
      <c r="B2863">
        <f>IF(ISNUMBER(Input!B2863),IF(AND(Input!B2863&gt;=20,Input!B2863&lt;=700),Input!B2863,""),"")</f>
        <v/>
      </c>
      <c r="C2863">
        <f>IF(B2863="","",INT(A2863))</f>
        <v/>
      </c>
      <c r="D2863">
        <f>IF(B2863="","",HOUR(A2863))</f>
        <v/>
      </c>
    </row>
    <row r="2864">
      <c r="A2864">
        <f>Input!A2864</f>
        <v/>
      </c>
      <c r="B2864">
        <f>IF(ISNUMBER(Input!B2864),IF(AND(Input!B2864&gt;=20,Input!B2864&lt;=700),Input!B2864,""),"")</f>
        <v/>
      </c>
      <c r="C2864">
        <f>IF(B2864="","",INT(A2864))</f>
        <v/>
      </c>
      <c r="D2864">
        <f>IF(B2864="","",HOUR(A2864))</f>
        <v/>
      </c>
    </row>
    <row r="2865">
      <c r="A2865">
        <f>Input!A2865</f>
        <v/>
      </c>
      <c r="B2865">
        <f>IF(ISNUMBER(Input!B2865),IF(AND(Input!B2865&gt;=20,Input!B2865&lt;=700),Input!B2865,""),"")</f>
        <v/>
      </c>
      <c r="C2865">
        <f>IF(B2865="","",INT(A2865))</f>
        <v/>
      </c>
      <c r="D2865">
        <f>IF(B2865="","",HOUR(A2865))</f>
        <v/>
      </c>
    </row>
    <row r="2866">
      <c r="A2866">
        <f>Input!A2866</f>
        <v/>
      </c>
      <c r="B2866">
        <f>IF(ISNUMBER(Input!B2866),IF(AND(Input!B2866&gt;=20,Input!B2866&lt;=700),Input!B2866,""),"")</f>
        <v/>
      </c>
      <c r="C2866">
        <f>IF(B2866="","",INT(A2866))</f>
        <v/>
      </c>
      <c r="D2866">
        <f>IF(B2866="","",HOUR(A2866))</f>
        <v/>
      </c>
    </row>
    <row r="2867">
      <c r="A2867">
        <f>Input!A2867</f>
        <v/>
      </c>
      <c r="B2867">
        <f>IF(ISNUMBER(Input!B2867),IF(AND(Input!B2867&gt;=20,Input!B2867&lt;=700),Input!B2867,""),"")</f>
        <v/>
      </c>
      <c r="C2867">
        <f>IF(B2867="","",INT(A2867))</f>
        <v/>
      </c>
      <c r="D2867">
        <f>IF(B2867="","",HOUR(A2867))</f>
        <v/>
      </c>
    </row>
    <row r="2868">
      <c r="A2868">
        <f>Input!A2868</f>
        <v/>
      </c>
      <c r="B2868">
        <f>IF(ISNUMBER(Input!B2868),IF(AND(Input!B2868&gt;=20,Input!B2868&lt;=700),Input!B2868,""),"")</f>
        <v/>
      </c>
      <c r="C2868">
        <f>IF(B2868="","",INT(A2868))</f>
        <v/>
      </c>
      <c r="D2868">
        <f>IF(B2868="","",HOUR(A2868))</f>
        <v/>
      </c>
    </row>
    <row r="2869">
      <c r="A2869">
        <f>Input!A2869</f>
        <v/>
      </c>
      <c r="B2869">
        <f>IF(ISNUMBER(Input!B2869),IF(AND(Input!B2869&gt;=20,Input!B2869&lt;=700),Input!B2869,""),"")</f>
        <v/>
      </c>
      <c r="C2869">
        <f>IF(B2869="","",INT(A2869))</f>
        <v/>
      </c>
      <c r="D2869">
        <f>IF(B2869="","",HOUR(A2869))</f>
        <v/>
      </c>
    </row>
    <row r="2870">
      <c r="A2870">
        <f>Input!A2870</f>
        <v/>
      </c>
      <c r="B2870">
        <f>IF(ISNUMBER(Input!B2870),IF(AND(Input!B2870&gt;=20,Input!B2870&lt;=700),Input!B2870,""),"")</f>
        <v/>
      </c>
      <c r="C2870">
        <f>IF(B2870="","",INT(A2870))</f>
        <v/>
      </c>
      <c r="D2870">
        <f>IF(B2870="","",HOUR(A2870))</f>
        <v/>
      </c>
    </row>
    <row r="2871">
      <c r="A2871">
        <f>Input!A2871</f>
        <v/>
      </c>
      <c r="B2871">
        <f>IF(ISNUMBER(Input!B2871),IF(AND(Input!B2871&gt;=20,Input!B2871&lt;=700),Input!B2871,""),"")</f>
        <v/>
      </c>
      <c r="C2871">
        <f>IF(B2871="","",INT(A2871))</f>
        <v/>
      </c>
      <c r="D2871">
        <f>IF(B2871="","",HOUR(A2871))</f>
        <v/>
      </c>
    </row>
    <row r="2872">
      <c r="A2872">
        <f>Input!A2872</f>
        <v/>
      </c>
      <c r="B2872">
        <f>IF(ISNUMBER(Input!B2872),IF(AND(Input!B2872&gt;=20,Input!B2872&lt;=700),Input!B2872,""),"")</f>
        <v/>
      </c>
      <c r="C2872">
        <f>IF(B2872="","",INT(A2872))</f>
        <v/>
      </c>
      <c r="D2872">
        <f>IF(B2872="","",HOUR(A2872))</f>
        <v/>
      </c>
    </row>
    <row r="2873">
      <c r="A2873">
        <f>Input!A2873</f>
        <v/>
      </c>
      <c r="B2873">
        <f>IF(ISNUMBER(Input!B2873),IF(AND(Input!B2873&gt;=20,Input!B2873&lt;=700),Input!B2873,""),"")</f>
        <v/>
      </c>
      <c r="C2873">
        <f>IF(B2873="","",INT(A2873))</f>
        <v/>
      </c>
      <c r="D2873">
        <f>IF(B2873="","",HOUR(A2873))</f>
        <v/>
      </c>
    </row>
    <row r="2874">
      <c r="A2874">
        <f>Input!A2874</f>
        <v/>
      </c>
      <c r="B2874">
        <f>IF(ISNUMBER(Input!B2874),IF(AND(Input!B2874&gt;=20,Input!B2874&lt;=700),Input!B2874,""),"")</f>
        <v/>
      </c>
      <c r="C2874">
        <f>IF(B2874="","",INT(A2874))</f>
        <v/>
      </c>
      <c r="D2874">
        <f>IF(B2874="","",HOUR(A2874))</f>
        <v/>
      </c>
    </row>
    <row r="2875">
      <c r="A2875">
        <f>Input!A2875</f>
        <v/>
      </c>
      <c r="B2875">
        <f>IF(ISNUMBER(Input!B2875),IF(AND(Input!B2875&gt;=20,Input!B2875&lt;=700),Input!B2875,""),"")</f>
        <v/>
      </c>
      <c r="C2875">
        <f>IF(B2875="","",INT(A2875))</f>
        <v/>
      </c>
      <c r="D2875">
        <f>IF(B2875="","",HOUR(A2875))</f>
        <v/>
      </c>
    </row>
    <row r="2876">
      <c r="A2876">
        <f>Input!A2876</f>
        <v/>
      </c>
      <c r="B2876">
        <f>IF(ISNUMBER(Input!B2876),IF(AND(Input!B2876&gt;=20,Input!B2876&lt;=700),Input!B2876,""),"")</f>
        <v/>
      </c>
      <c r="C2876">
        <f>IF(B2876="","",INT(A2876))</f>
        <v/>
      </c>
      <c r="D2876">
        <f>IF(B2876="","",HOUR(A2876))</f>
        <v/>
      </c>
    </row>
    <row r="2877">
      <c r="A2877">
        <f>Input!A2877</f>
        <v/>
      </c>
      <c r="B2877">
        <f>IF(ISNUMBER(Input!B2877),IF(AND(Input!B2877&gt;=20,Input!B2877&lt;=700),Input!B2877,""),"")</f>
        <v/>
      </c>
      <c r="C2877">
        <f>IF(B2877="","",INT(A2877))</f>
        <v/>
      </c>
      <c r="D2877">
        <f>IF(B2877="","",HOUR(A2877))</f>
        <v/>
      </c>
    </row>
    <row r="2878">
      <c r="A2878">
        <f>Input!A2878</f>
        <v/>
      </c>
      <c r="B2878">
        <f>IF(ISNUMBER(Input!B2878),IF(AND(Input!B2878&gt;=20,Input!B2878&lt;=700),Input!B2878,""),"")</f>
        <v/>
      </c>
      <c r="C2878">
        <f>IF(B2878="","",INT(A2878))</f>
        <v/>
      </c>
      <c r="D2878">
        <f>IF(B2878="","",HOUR(A2878))</f>
        <v/>
      </c>
    </row>
    <row r="2879">
      <c r="A2879">
        <f>Input!A2879</f>
        <v/>
      </c>
      <c r="B2879">
        <f>IF(ISNUMBER(Input!B2879),IF(AND(Input!B2879&gt;=20,Input!B2879&lt;=700),Input!B2879,""),"")</f>
        <v/>
      </c>
      <c r="C2879">
        <f>IF(B2879="","",INT(A2879))</f>
        <v/>
      </c>
      <c r="D2879">
        <f>IF(B2879="","",HOUR(A2879))</f>
        <v/>
      </c>
    </row>
    <row r="2880">
      <c r="A2880">
        <f>Input!A2880</f>
        <v/>
      </c>
      <c r="B2880">
        <f>IF(ISNUMBER(Input!B2880),IF(AND(Input!B2880&gt;=20,Input!B2880&lt;=700),Input!B2880,""),"")</f>
        <v/>
      </c>
      <c r="C2880">
        <f>IF(B2880="","",INT(A2880))</f>
        <v/>
      </c>
      <c r="D2880">
        <f>IF(B2880="","",HOUR(A2880))</f>
        <v/>
      </c>
    </row>
    <row r="2881">
      <c r="A2881">
        <f>Input!A2881</f>
        <v/>
      </c>
      <c r="B2881">
        <f>IF(ISNUMBER(Input!B2881),IF(AND(Input!B2881&gt;=20,Input!B2881&lt;=700),Input!B2881,""),"")</f>
        <v/>
      </c>
      <c r="C2881">
        <f>IF(B2881="","",INT(A2881))</f>
        <v/>
      </c>
      <c r="D2881">
        <f>IF(B2881="","",HOUR(A2881))</f>
        <v/>
      </c>
    </row>
    <row r="2882">
      <c r="A2882">
        <f>Input!A2882</f>
        <v/>
      </c>
      <c r="B2882">
        <f>IF(ISNUMBER(Input!B2882),IF(AND(Input!B2882&gt;=20,Input!B2882&lt;=700),Input!B2882,""),"")</f>
        <v/>
      </c>
      <c r="C2882">
        <f>IF(B2882="","",INT(A2882))</f>
        <v/>
      </c>
      <c r="D2882">
        <f>IF(B2882="","",HOUR(A2882))</f>
        <v/>
      </c>
    </row>
    <row r="2883">
      <c r="A2883">
        <f>Input!A2883</f>
        <v/>
      </c>
      <c r="B2883">
        <f>IF(ISNUMBER(Input!B2883),IF(AND(Input!B2883&gt;=20,Input!B2883&lt;=700),Input!B2883,""),"")</f>
        <v/>
      </c>
      <c r="C2883">
        <f>IF(B2883="","",INT(A2883))</f>
        <v/>
      </c>
      <c r="D2883">
        <f>IF(B2883="","",HOUR(A2883))</f>
        <v/>
      </c>
    </row>
    <row r="2884">
      <c r="A2884">
        <f>Input!A2884</f>
        <v/>
      </c>
      <c r="B2884">
        <f>IF(ISNUMBER(Input!B2884),IF(AND(Input!B2884&gt;=20,Input!B2884&lt;=700),Input!B2884,""),"")</f>
        <v/>
      </c>
      <c r="C2884">
        <f>IF(B2884="","",INT(A2884))</f>
        <v/>
      </c>
      <c r="D2884">
        <f>IF(B2884="","",HOUR(A2884))</f>
        <v/>
      </c>
    </row>
    <row r="2885">
      <c r="A2885">
        <f>Input!A2885</f>
        <v/>
      </c>
      <c r="B2885">
        <f>IF(ISNUMBER(Input!B2885),IF(AND(Input!B2885&gt;=20,Input!B2885&lt;=700),Input!B2885,""),"")</f>
        <v/>
      </c>
      <c r="C2885">
        <f>IF(B2885="","",INT(A2885))</f>
        <v/>
      </c>
      <c r="D2885">
        <f>IF(B2885="","",HOUR(A2885))</f>
        <v/>
      </c>
    </row>
    <row r="2886">
      <c r="A2886">
        <f>Input!A2886</f>
        <v/>
      </c>
      <c r="B2886">
        <f>IF(ISNUMBER(Input!B2886),IF(AND(Input!B2886&gt;=20,Input!B2886&lt;=700),Input!B2886,""),"")</f>
        <v/>
      </c>
      <c r="C2886">
        <f>IF(B2886="","",INT(A2886))</f>
        <v/>
      </c>
      <c r="D2886">
        <f>IF(B2886="","",HOUR(A2886))</f>
        <v/>
      </c>
    </row>
    <row r="2887">
      <c r="A2887">
        <f>Input!A2887</f>
        <v/>
      </c>
      <c r="B2887">
        <f>IF(ISNUMBER(Input!B2887),IF(AND(Input!B2887&gt;=20,Input!B2887&lt;=700),Input!B2887,""),"")</f>
        <v/>
      </c>
      <c r="C2887">
        <f>IF(B2887="","",INT(A2887))</f>
        <v/>
      </c>
      <c r="D2887">
        <f>IF(B2887="","",HOUR(A2887))</f>
        <v/>
      </c>
    </row>
    <row r="2888">
      <c r="A2888">
        <f>Input!A2888</f>
        <v/>
      </c>
      <c r="B2888">
        <f>IF(ISNUMBER(Input!B2888),IF(AND(Input!B2888&gt;=20,Input!B2888&lt;=700),Input!B2888,""),"")</f>
        <v/>
      </c>
      <c r="C2888">
        <f>IF(B2888="","",INT(A2888))</f>
        <v/>
      </c>
      <c r="D2888">
        <f>IF(B2888="","",HOUR(A2888))</f>
        <v/>
      </c>
    </row>
    <row r="2889">
      <c r="A2889">
        <f>Input!A2889</f>
        <v/>
      </c>
      <c r="B2889">
        <f>IF(ISNUMBER(Input!B2889),IF(AND(Input!B2889&gt;=20,Input!B2889&lt;=700),Input!B2889,""),"")</f>
        <v/>
      </c>
      <c r="C2889">
        <f>IF(B2889="","",INT(A2889))</f>
        <v/>
      </c>
      <c r="D2889">
        <f>IF(B2889="","",HOUR(A2889))</f>
        <v/>
      </c>
    </row>
    <row r="2890">
      <c r="A2890">
        <f>Input!A2890</f>
        <v/>
      </c>
      <c r="B2890">
        <f>IF(ISNUMBER(Input!B2890),IF(AND(Input!B2890&gt;=20,Input!B2890&lt;=700),Input!B2890,""),"")</f>
        <v/>
      </c>
      <c r="C2890">
        <f>IF(B2890="","",INT(A2890))</f>
        <v/>
      </c>
      <c r="D2890">
        <f>IF(B2890="","",HOUR(A2890))</f>
        <v/>
      </c>
    </row>
    <row r="2891">
      <c r="A2891">
        <f>Input!A2891</f>
        <v/>
      </c>
      <c r="B2891">
        <f>IF(ISNUMBER(Input!B2891),IF(AND(Input!B2891&gt;=20,Input!B2891&lt;=700),Input!B2891,""),"")</f>
        <v/>
      </c>
      <c r="C2891">
        <f>IF(B2891="","",INT(A2891))</f>
        <v/>
      </c>
      <c r="D2891">
        <f>IF(B2891="","",HOUR(A2891))</f>
        <v/>
      </c>
    </row>
    <row r="2892">
      <c r="A2892">
        <f>Input!A2892</f>
        <v/>
      </c>
      <c r="B2892">
        <f>IF(ISNUMBER(Input!B2892),IF(AND(Input!B2892&gt;=20,Input!B2892&lt;=700),Input!B2892,""),"")</f>
        <v/>
      </c>
      <c r="C2892">
        <f>IF(B2892="","",INT(A2892))</f>
        <v/>
      </c>
      <c r="D2892">
        <f>IF(B2892="","",HOUR(A2892))</f>
        <v/>
      </c>
    </row>
    <row r="2893">
      <c r="A2893">
        <f>Input!A2893</f>
        <v/>
      </c>
      <c r="B2893">
        <f>IF(ISNUMBER(Input!B2893),IF(AND(Input!B2893&gt;=20,Input!B2893&lt;=700),Input!B2893,""),"")</f>
        <v/>
      </c>
      <c r="C2893">
        <f>IF(B2893="","",INT(A2893))</f>
        <v/>
      </c>
      <c r="D2893">
        <f>IF(B2893="","",HOUR(A2893))</f>
        <v/>
      </c>
    </row>
    <row r="2894">
      <c r="A2894">
        <f>Input!A2894</f>
        <v/>
      </c>
      <c r="B2894">
        <f>IF(ISNUMBER(Input!B2894),IF(AND(Input!B2894&gt;=20,Input!B2894&lt;=700),Input!B2894,""),"")</f>
        <v/>
      </c>
      <c r="C2894">
        <f>IF(B2894="","",INT(A2894))</f>
        <v/>
      </c>
      <c r="D2894">
        <f>IF(B2894="","",HOUR(A2894))</f>
        <v/>
      </c>
    </row>
    <row r="2895">
      <c r="A2895">
        <f>Input!A2895</f>
        <v/>
      </c>
      <c r="B2895">
        <f>IF(ISNUMBER(Input!B2895),IF(AND(Input!B2895&gt;=20,Input!B2895&lt;=700),Input!B2895,""),"")</f>
        <v/>
      </c>
      <c r="C2895">
        <f>IF(B2895="","",INT(A2895))</f>
        <v/>
      </c>
      <c r="D2895">
        <f>IF(B2895="","",HOUR(A2895))</f>
        <v/>
      </c>
    </row>
    <row r="2896">
      <c r="A2896">
        <f>Input!A2896</f>
        <v/>
      </c>
      <c r="B2896">
        <f>IF(ISNUMBER(Input!B2896),IF(AND(Input!B2896&gt;=20,Input!B2896&lt;=700),Input!B2896,""),"")</f>
        <v/>
      </c>
      <c r="C2896">
        <f>IF(B2896="","",INT(A2896))</f>
        <v/>
      </c>
      <c r="D2896">
        <f>IF(B2896="","",HOUR(A2896))</f>
        <v/>
      </c>
    </row>
    <row r="2897">
      <c r="A2897">
        <f>Input!A2897</f>
        <v/>
      </c>
      <c r="B2897">
        <f>IF(ISNUMBER(Input!B2897),IF(AND(Input!B2897&gt;=20,Input!B2897&lt;=700),Input!B2897,""),"")</f>
        <v/>
      </c>
      <c r="C2897">
        <f>IF(B2897="","",INT(A2897))</f>
        <v/>
      </c>
      <c r="D2897">
        <f>IF(B2897="","",HOUR(A2897))</f>
        <v/>
      </c>
    </row>
    <row r="2898">
      <c r="A2898">
        <f>Input!A2898</f>
        <v/>
      </c>
      <c r="B2898">
        <f>IF(ISNUMBER(Input!B2898),IF(AND(Input!B2898&gt;=20,Input!B2898&lt;=700),Input!B2898,""),"")</f>
        <v/>
      </c>
      <c r="C2898">
        <f>IF(B2898="","",INT(A2898))</f>
        <v/>
      </c>
      <c r="D2898">
        <f>IF(B2898="","",HOUR(A2898))</f>
        <v/>
      </c>
    </row>
    <row r="2899">
      <c r="A2899">
        <f>Input!A2899</f>
        <v/>
      </c>
      <c r="B2899">
        <f>IF(ISNUMBER(Input!B2899),IF(AND(Input!B2899&gt;=20,Input!B2899&lt;=700),Input!B2899,""),"")</f>
        <v/>
      </c>
      <c r="C2899">
        <f>IF(B2899="","",INT(A2899))</f>
        <v/>
      </c>
      <c r="D2899">
        <f>IF(B2899="","",HOUR(A2899))</f>
        <v/>
      </c>
    </row>
    <row r="2900">
      <c r="A2900">
        <f>Input!A2900</f>
        <v/>
      </c>
      <c r="B2900">
        <f>IF(ISNUMBER(Input!B2900),IF(AND(Input!B2900&gt;=20,Input!B2900&lt;=700),Input!B2900,""),"")</f>
        <v/>
      </c>
      <c r="C2900">
        <f>IF(B2900="","",INT(A2900))</f>
        <v/>
      </c>
      <c r="D2900">
        <f>IF(B2900="","",HOUR(A2900))</f>
        <v/>
      </c>
    </row>
    <row r="2901">
      <c r="A2901">
        <f>Input!A2901</f>
        <v/>
      </c>
      <c r="B2901">
        <f>IF(ISNUMBER(Input!B2901),IF(AND(Input!B2901&gt;=20,Input!B2901&lt;=700),Input!B2901,""),"")</f>
        <v/>
      </c>
      <c r="C2901">
        <f>IF(B2901="","",INT(A2901))</f>
        <v/>
      </c>
      <c r="D2901">
        <f>IF(B2901="","",HOUR(A2901))</f>
        <v/>
      </c>
    </row>
    <row r="2902">
      <c r="A2902">
        <f>Input!A2902</f>
        <v/>
      </c>
      <c r="B2902">
        <f>IF(ISNUMBER(Input!B2902),IF(AND(Input!B2902&gt;=20,Input!B2902&lt;=700),Input!B2902,""),"")</f>
        <v/>
      </c>
      <c r="C2902">
        <f>IF(B2902="","",INT(A2902))</f>
        <v/>
      </c>
      <c r="D2902">
        <f>IF(B2902="","",HOUR(A2902))</f>
        <v/>
      </c>
    </row>
    <row r="2903">
      <c r="A2903">
        <f>Input!A2903</f>
        <v/>
      </c>
      <c r="B2903">
        <f>IF(ISNUMBER(Input!B2903),IF(AND(Input!B2903&gt;=20,Input!B2903&lt;=700),Input!B2903,""),"")</f>
        <v/>
      </c>
      <c r="C2903">
        <f>IF(B2903="","",INT(A2903))</f>
        <v/>
      </c>
      <c r="D2903">
        <f>IF(B2903="","",HOUR(A2903))</f>
        <v/>
      </c>
    </row>
    <row r="2904">
      <c r="A2904">
        <f>Input!A2904</f>
        <v/>
      </c>
      <c r="B2904">
        <f>IF(ISNUMBER(Input!B2904),IF(AND(Input!B2904&gt;=20,Input!B2904&lt;=700),Input!B2904,""),"")</f>
        <v/>
      </c>
      <c r="C2904">
        <f>IF(B2904="","",INT(A2904))</f>
        <v/>
      </c>
      <c r="D2904">
        <f>IF(B2904="","",HOUR(A2904))</f>
        <v/>
      </c>
    </row>
    <row r="2905">
      <c r="A2905">
        <f>Input!A2905</f>
        <v/>
      </c>
      <c r="B2905">
        <f>IF(ISNUMBER(Input!B2905),IF(AND(Input!B2905&gt;=20,Input!B2905&lt;=700),Input!B2905,""),"")</f>
        <v/>
      </c>
      <c r="C2905">
        <f>IF(B2905="","",INT(A2905))</f>
        <v/>
      </c>
      <c r="D2905">
        <f>IF(B2905="","",HOUR(A2905))</f>
        <v/>
      </c>
    </row>
    <row r="2906">
      <c r="A2906">
        <f>Input!A2906</f>
        <v/>
      </c>
      <c r="B2906">
        <f>IF(ISNUMBER(Input!B2906),IF(AND(Input!B2906&gt;=20,Input!B2906&lt;=700),Input!B2906,""),"")</f>
        <v/>
      </c>
      <c r="C2906">
        <f>IF(B2906="","",INT(A2906))</f>
        <v/>
      </c>
      <c r="D2906">
        <f>IF(B2906="","",HOUR(A2906))</f>
        <v/>
      </c>
    </row>
    <row r="2907">
      <c r="A2907">
        <f>Input!A2907</f>
        <v/>
      </c>
      <c r="B2907">
        <f>IF(ISNUMBER(Input!B2907),IF(AND(Input!B2907&gt;=20,Input!B2907&lt;=700),Input!B2907,""),"")</f>
        <v/>
      </c>
      <c r="C2907">
        <f>IF(B2907="","",INT(A2907))</f>
        <v/>
      </c>
      <c r="D2907">
        <f>IF(B2907="","",HOUR(A2907))</f>
        <v/>
      </c>
    </row>
    <row r="2908">
      <c r="A2908">
        <f>Input!A2908</f>
        <v/>
      </c>
      <c r="B2908">
        <f>IF(ISNUMBER(Input!B2908),IF(AND(Input!B2908&gt;=20,Input!B2908&lt;=700),Input!B2908,""),"")</f>
        <v/>
      </c>
      <c r="C2908">
        <f>IF(B2908="","",INT(A2908))</f>
        <v/>
      </c>
      <c r="D2908">
        <f>IF(B2908="","",HOUR(A2908))</f>
        <v/>
      </c>
    </row>
    <row r="2909">
      <c r="A2909">
        <f>Input!A2909</f>
        <v/>
      </c>
      <c r="B2909">
        <f>IF(ISNUMBER(Input!B2909),IF(AND(Input!B2909&gt;=20,Input!B2909&lt;=700),Input!B2909,""),"")</f>
        <v/>
      </c>
      <c r="C2909">
        <f>IF(B2909="","",INT(A2909))</f>
        <v/>
      </c>
      <c r="D2909">
        <f>IF(B2909="","",HOUR(A2909))</f>
        <v/>
      </c>
    </row>
    <row r="2910">
      <c r="A2910">
        <f>Input!A2910</f>
        <v/>
      </c>
      <c r="B2910">
        <f>IF(ISNUMBER(Input!B2910),IF(AND(Input!B2910&gt;=20,Input!B2910&lt;=700),Input!B2910,""),"")</f>
        <v/>
      </c>
      <c r="C2910">
        <f>IF(B2910="","",INT(A2910))</f>
        <v/>
      </c>
      <c r="D2910">
        <f>IF(B2910="","",HOUR(A2910))</f>
        <v/>
      </c>
    </row>
    <row r="2911">
      <c r="A2911">
        <f>Input!A2911</f>
        <v/>
      </c>
      <c r="B2911">
        <f>IF(ISNUMBER(Input!B2911),IF(AND(Input!B2911&gt;=20,Input!B2911&lt;=700),Input!B2911,""),"")</f>
        <v/>
      </c>
      <c r="C2911">
        <f>IF(B2911="","",INT(A2911))</f>
        <v/>
      </c>
      <c r="D2911">
        <f>IF(B2911="","",HOUR(A2911))</f>
        <v/>
      </c>
    </row>
    <row r="2912">
      <c r="A2912">
        <f>Input!A2912</f>
        <v/>
      </c>
      <c r="B2912">
        <f>IF(ISNUMBER(Input!B2912),IF(AND(Input!B2912&gt;=20,Input!B2912&lt;=700),Input!B2912,""),"")</f>
        <v/>
      </c>
      <c r="C2912">
        <f>IF(B2912="","",INT(A2912))</f>
        <v/>
      </c>
      <c r="D2912">
        <f>IF(B2912="","",HOUR(A2912))</f>
        <v/>
      </c>
    </row>
    <row r="2913">
      <c r="A2913">
        <f>Input!A2913</f>
        <v/>
      </c>
      <c r="B2913">
        <f>IF(ISNUMBER(Input!B2913),IF(AND(Input!B2913&gt;=20,Input!B2913&lt;=700),Input!B2913,""),"")</f>
        <v/>
      </c>
      <c r="C2913">
        <f>IF(B2913="","",INT(A2913))</f>
        <v/>
      </c>
      <c r="D2913">
        <f>IF(B2913="","",HOUR(A2913))</f>
        <v/>
      </c>
    </row>
    <row r="2914">
      <c r="A2914">
        <f>Input!A2914</f>
        <v/>
      </c>
      <c r="B2914">
        <f>IF(ISNUMBER(Input!B2914),IF(AND(Input!B2914&gt;=20,Input!B2914&lt;=700),Input!B2914,""),"")</f>
        <v/>
      </c>
      <c r="C2914">
        <f>IF(B2914="","",INT(A2914))</f>
        <v/>
      </c>
      <c r="D2914">
        <f>IF(B2914="","",HOUR(A2914))</f>
        <v/>
      </c>
    </row>
    <row r="2915">
      <c r="A2915">
        <f>Input!A2915</f>
        <v/>
      </c>
      <c r="B2915">
        <f>IF(ISNUMBER(Input!B2915),IF(AND(Input!B2915&gt;=20,Input!B2915&lt;=700),Input!B2915,""),"")</f>
        <v/>
      </c>
      <c r="C2915">
        <f>IF(B2915="","",INT(A2915))</f>
        <v/>
      </c>
      <c r="D2915">
        <f>IF(B2915="","",HOUR(A2915))</f>
        <v/>
      </c>
    </row>
    <row r="2916">
      <c r="A2916">
        <f>Input!A2916</f>
        <v/>
      </c>
      <c r="B2916">
        <f>IF(ISNUMBER(Input!B2916),IF(AND(Input!B2916&gt;=20,Input!B2916&lt;=700),Input!B2916,""),"")</f>
        <v/>
      </c>
      <c r="C2916">
        <f>IF(B2916="","",INT(A2916))</f>
        <v/>
      </c>
      <c r="D2916">
        <f>IF(B2916="","",HOUR(A2916))</f>
        <v/>
      </c>
    </row>
    <row r="2917">
      <c r="A2917">
        <f>Input!A2917</f>
        <v/>
      </c>
      <c r="B2917">
        <f>IF(ISNUMBER(Input!B2917),IF(AND(Input!B2917&gt;=20,Input!B2917&lt;=700),Input!B2917,""),"")</f>
        <v/>
      </c>
      <c r="C2917">
        <f>IF(B2917="","",INT(A2917))</f>
        <v/>
      </c>
      <c r="D2917">
        <f>IF(B2917="","",HOUR(A2917))</f>
        <v/>
      </c>
    </row>
    <row r="2918">
      <c r="A2918">
        <f>Input!A2918</f>
        <v/>
      </c>
      <c r="B2918">
        <f>IF(ISNUMBER(Input!B2918),IF(AND(Input!B2918&gt;=20,Input!B2918&lt;=700),Input!B2918,""),"")</f>
        <v/>
      </c>
      <c r="C2918">
        <f>IF(B2918="","",INT(A2918))</f>
        <v/>
      </c>
      <c r="D2918">
        <f>IF(B2918="","",HOUR(A2918))</f>
        <v/>
      </c>
    </row>
    <row r="2919">
      <c r="A2919">
        <f>Input!A2919</f>
        <v/>
      </c>
      <c r="B2919">
        <f>IF(ISNUMBER(Input!B2919),IF(AND(Input!B2919&gt;=20,Input!B2919&lt;=700),Input!B2919,""),"")</f>
        <v/>
      </c>
      <c r="C2919">
        <f>IF(B2919="","",INT(A2919))</f>
        <v/>
      </c>
      <c r="D2919">
        <f>IF(B2919="","",HOUR(A2919))</f>
        <v/>
      </c>
    </row>
    <row r="2920">
      <c r="A2920">
        <f>Input!A2920</f>
        <v/>
      </c>
      <c r="B2920">
        <f>IF(ISNUMBER(Input!B2920),IF(AND(Input!B2920&gt;=20,Input!B2920&lt;=700),Input!B2920,""),"")</f>
        <v/>
      </c>
      <c r="C2920">
        <f>IF(B2920="","",INT(A2920))</f>
        <v/>
      </c>
      <c r="D2920">
        <f>IF(B2920="","",HOUR(A2920))</f>
        <v/>
      </c>
    </row>
    <row r="2921">
      <c r="A2921">
        <f>Input!A2921</f>
        <v/>
      </c>
      <c r="B2921">
        <f>IF(ISNUMBER(Input!B2921),IF(AND(Input!B2921&gt;=20,Input!B2921&lt;=700),Input!B2921,""),"")</f>
        <v/>
      </c>
      <c r="C2921">
        <f>IF(B2921="","",INT(A2921))</f>
        <v/>
      </c>
      <c r="D2921">
        <f>IF(B2921="","",HOUR(A2921))</f>
        <v/>
      </c>
    </row>
    <row r="2922">
      <c r="A2922">
        <f>Input!A2922</f>
        <v/>
      </c>
      <c r="B2922">
        <f>IF(ISNUMBER(Input!B2922),IF(AND(Input!B2922&gt;=20,Input!B2922&lt;=700),Input!B2922,""),"")</f>
        <v/>
      </c>
      <c r="C2922">
        <f>IF(B2922="","",INT(A2922))</f>
        <v/>
      </c>
      <c r="D2922">
        <f>IF(B2922="","",HOUR(A2922))</f>
        <v/>
      </c>
    </row>
    <row r="2923">
      <c r="A2923">
        <f>Input!A2923</f>
        <v/>
      </c>
      <c r="B2923">
        <f>IF(ISNUMBER(Input!B2923),IF(AND(Input!B2923&gt;=20,Input!B2923&lt;=700),Input!B2923,""),"")</f>
        <v/>
      </c>
      <c r="C2923">
        <f>IF(B2923="","",INT(A2923))</f>
        <v/>
      </c>
      <c r="D2923">
        <f>IF(B2923="","",HOUR(A2923))</f>
        <v/>
      </c>
    </row>
    <row r="2924">
      <c r="A2924">
        <f>Input!A2924</f>
        <v/>
      </c>
      <c r="B2924">
        <f>IF(ISNUMBER(Input!B2924),IF(AND(Input!B2924&gt;=20,Input!B2924&lt;=700),Input!B2924,""),"")</f>
        <v/>
      </c>
      <c r="C2924">
        <f>IF(B2924="","",INT(A2924))</f>
        <v/>
      </c>
      <c r="D2924">
        <f>IF(B2924="","",HOUR(A2924))</f>
        <v/>
      </c>
    </row>
    <row r="2925">
      <c r="A2925">
        <f>Input!A2925</f>
        <v/>
      </c>
      <c r="B2925">
        <f>IF(ISNUMBER(Input!B2925),IF(AND(Input!B2925&gt;=20,Input!B2925&lt;=700),Input!B2925,""),"")</f>
        <v/>
      </c>
      <c r="C2925">
        <f>IF(B2925="","",INT(A2925))</f>
        <v/>
      </c>
      <c r="D2925">
        <f>IF(B2925="","",HOUR(A2925))</f>
        <v/>
      </c>
    </row>
    <row r="2926">
      <c r="A2926">
        <f>Input!A2926</f>
        <v/>
      </c>
      <c r="B2926">
        <f>IF(ISNUMBER(Input!B2926),IF(AND(Input!B2926&gt;=20,Input!B2926&lt;=700),Input!B2926,""),"")</f>
        <v/>
      </c>
      <c r="C2926">
        <f>IF(B2926="","",INT(A2926))</f>
        <v/>
      </c>
      <c r="D2926">
        <f>IF(B2926="","",HOUR(A2926))</f>
        <v/>
      </c>
    </row>
    <row r="2927">
      <c r="A2927">
        <f>Input!A2927</f>
        <v/>
      </c>
      <c r="B2927">
        <f>IF(ISNUMBER(Input!B2927),IF(AND(Input!B2927&gt;=20,Input!B2927&lt;=700),Input!B2927,""),"")</f>
        <v/>
      </c>
      <c r="C2927">
        <f>IF(B2927="","",INT(A2927))</f>
        <v/>
      </c>
      <c r="D2927">
        <f>IF(B2927="","",HOUR(A2927))</f>
        <v/>
      </c>
    </row>
    <row r="2928">
      <c r="A2928">
        <f>Input!A2928</f>
        <v/>
      </c>
      <c r="B2928">
        <f>IF(ISNUMBER(Input!B2928),IF(AND(Input!B2928&gt;=20,Input!B2928&lt;=700),Input!B2928,""),"")</f>
        <v/>
      </c>
      <c r="C2928">
        <f>IF(B2928="","",INT(A2928))</f>
        <v/>
      </c>
      <c r="D2928">
        <f>IF(B2928="","",HOUR(A2928))</f>
        <v/>
      </c>
    </row>
    <row r="2929">
      <c r="A2929">
        <f>Input!A2929</f>
        <v/>
      </c>
      <c r="B2929">
        <f>IF(ISNUMBER(Input!B2929),IF(AND(Input!B2929&gt;=20,Input!B2929&lt;=700),Input!B2929,""),"")</f>
        <v/>
      </c>
      <c r="C2929">
        <f>IF(B2929="","",INT(A2929))</f>
        <v/>
      </c>
      <c r="D2929">
        <f>IF(B2929="","",HOUR(A2929))</f>
        <v/>
      </c>
    </row>
    <row r="2930">
      <c r="A2930">
        <f>Input!A2930</f>
        <v/>
      </c>
      <c r="B2930">
        <f>IF(ISNUMBER(Input!B2930),IF(AND(Input!B2930&gt;=20,Input!B2930&lt;=700),Input!B2930,""),"")</f>
        <v/>
      </c>
      <c r="C2930">
        <f>IF(B2930="","",INT(A2930))</f>
        <v/>
      </c>
      <c r="D2930">
        <f>IF(B2930="","",HOUR(A2930))</f>
        <v/>
      </c>
    </row>
    <row r="2931">
      <c r="A2931">
        <f>Input!A2931</f>
        <v/>
      </c>
      <c r="B2931">
        <f>IF(ISNUMBER(Input!B2931),IF(AND(Input!B2931&gt;=20,Input!B2931&lt;=700),Input!B2931,""),"")</f>
        <v/>
      </c>
      <c r="C2931">
        <f>IF(B2931="","",INT(A2931))</f>
        <v/>
      </c>
      <c r="D2931">
        <f>IF(B2931="","",HOUR(A2931))</f>
        <v/>
      </c>
    </row>
    <row r="2932">
      <c r="A2932">
        <f>Input!A2932</f>
        <v/>
      </c>
      <c r="B2932">
        <f>IF(ISNUMBER(Input!B2932),IF(AND(Input!B2932&gt;=20,Input!B2932&lt;=700),Input!B2932,""),"")</f>
        <v/>
      </c>
      <c r="C2932">
        <f>IF(B2932="","",INT(A2932))</f>
        <v/>
      </c>
      <c r="D2932">
        <f>IF(B2932="","",HOUR(A2932))</f>
        <v/>
      </c>
    </row>
    <row r="2933">
      <c r="A2933">
        <f>Input!A2933</f>
        <v/>
      </c>
      <c r="B2933">
        <f>IF(ISNUMBER(Input!B2933),IF(AND(Input!B2933&gt;=20,Input!B2933&lt;=700),Input!B2933,""),"")</f>
        <v/>
      </c>
      <c r="C2933">
        <f>IF(B2933="","",INT(A2933))</f>
        <v/>
      </c>
      <c r="D2933">
        <f>IF(B2933="","",HOUR(A2933))</f>
        <v/>
      </c>
    </row>
    <row r="2934">
      <c r="A2934">
        <f>Input!A2934</f>
        <v/>
      </c>
      <c r="B2934">
        <f>IF(ISNUMBER(Input!B2934),IF(AND(Input!B2934&gt;=20,Input!B2934&lt;=700),Input!B2934,""),"")</f>
        <v/>
      </c>
      <c r="C2934">
        <f>IF(B2934="","",INT(A2934))</f>
        <v/>
      </c>
      <c r="D2934">
        <f>IF(B2934="","",HOUR(A2934))</f>
        <v/>
      </c>
    </row>
    <row r="2935">
      <c r="A2935">
        <f>Input!A2935</f>
        <v/>
      </c>
      <c r="B2935">
        <f>IF(ISNUMBER(Input!B2935),IF(AND(Input!B2935&gt;=20,Input!B2935&lt;=700),Input!B2935,""),"")</f>
        <v/>
      </c>
      <c r="C2935">
        <f>IF(B2935="","",INT(A2935))</f>
        <v/>
      </c>
      <c r="D2935">
        <f>IF(B2935="","",HOUR(A2935))</f>
        <v/>
      </c>
    </row>
    <row r="2936">
      <c r="A2936">
        <f>Input!A2936</f>
        <v/>
      </c>
      <c r="B2936">
        <f>IF(ISNUMBER(Input!B2936),IF(AND(Input!B2936&gt;=20,Input!B2936&lt;=700),Input!B2936,""),"")</f>
        <v/>
      </c>
      <c r="C2936">
        <f>IF(B2936="","",INT(A2936))</f>
        <v/>
      </c>
      <c r="D2936">
        <f>IF(B2936="","",HOUR(A2936))</f>
        <v/>
      </c>
    </row>
    <row r="2937">
      <c r="A2937">
        <f>Input!A2937</f>
        <v/>
      </c>
      <c r="B2937">
        <f>IF(ISNUMBER(Input!B2937),IF(AND(Input!B2937&gt;=20,Input!B2937&lt;=700),Input!B2937,""),"")</f>
        <v/>
      </c>
      <c r="C2937">
        <f>IF(B2937="","",INT(A2937))</f>
        <v/>
      </c>
      <c r="D2937">
        <f>IF(B2937="","",HOUR(A2937))</f>
        <v/>
      </c>
    </row>
    <row r="2938">
      <c r="A2938">
        <f>Input!A2938</f>
        <v/>
      </c>
      <c r="B2938">
        <f>IF(ISNUMBER(Input!B2938),IF(AND(Input!B2938&gt;=20,Input!B2938&lt;=700),Input!B2938,""),"")</f>
        <v/>
      </c>
      <c r="C2938">
        <f>IF(B2938="","",INT(A2938))</f>
        <v/>
      </c>
      <c r="D2938">
        <f>IF(B2938="","",HOUR(A2938))</f>
        <v/>
      </c>
    </row>
    <row r="2939">
      <c r="A2939">
        <f>Input!A2939</f>
        <v/>
      </c>
      <c r="B2939">
        <f>IF(ISNUMBER(Input!B2939),IF(AND(Input!B2939&gt;=20,Input!B2939&lt;=700),Input!B2939,""),"")</f>
        <v/>
      </c>
      <c r="C2939">
        <f>IF(B2939="","",INT(A2939))</f>
        <v/>
      </c>
      <c r="D2939">
        <f>IF(B2939="","",HOUR(A2939))</f>
        <v/>
      </c>
    </row>
    <row r="2940">
      <c r="A2940">
        <f>Input!A2940</f>
        <v/>
      </c>
      <c r="B2940">
        <f>IF(ISNUMBER(Input!B2940),IF(AND(Input!B2940&gt;=20,Input!B2940&lt;=700),Input!B2940,""),"")</f>
        <v/>
      </c>
      <c r="C2940">
        <f>IF(B2940="","",INT(A2940))</f>
        <v/>
      </c>
      <c r="D2940">
        <f>IF(B2940="","",HOUR(A2940))</f>
        <v/>
      </c>
    </row>
    <row r="2941">
      <c r="A2941">
        <f>Input!A2941</f>
        <v/>
      </c>
      <c r="B2941">
        <f>IF(ISNUMBER(Input!B2941),IF(AND(Input!B2941&gt;=20,Input!B2941&lt;=700),Input!B2941,""),"")</f>
        <v/>
      </c>
      <c r="C2941">
        <f>IF(B2941="","",INT(A2941))</f>
        <v/>
      </c>
      <c r="D2941">
        <f>IF(B2941="","",HOUR(A2941))</f>
        <v/>
      </c>
    </row>
    <row r="2942">
      <c r="A2942">
        <f>Input!A2942</f>
        <v/>
      </c>
      <c r="B2942">
        <f>IF(ISNUMBER(Input!B2942),IF(AND(Input!B2942&gt;=20,Input!B2942&lt;=700),Input!B2942,""),"")</f>
        <v/>
      </c>
      <c r="C2942">
        <f>IF(B2942="","",INT(A2942))</f>
        <v/>
      </c>
      <c r="D2942">
        <f>IF(B2942="","",HOUR(A2942))</f>
        <v/>
      </c>
    </row>
    <row r="2943">
      <c r="A2943">
        <f>Input!A2943</f>
        <v/>
      </c>
      <c r="B2943">
        <f>IF(ISNUMBER(Input!B2943),IF(AND(Input!B2943&gt;=20,Input!B2943&lt;=700),Input!B2943,""),"")</f>
        <v/>
      </c>
      <c r="C2943">
        <f>IF(B2943="","",INT(A2943))</f>
        <v/>
      </c>
      <c r="D2943">
        <f>IF(B2943="","",HOUR(A2943))</f>
        <v/>
      </c>
    </row>
    <row r="2944">
      <c r="A2944">
        <f>Input!A2944</f>
        <v/>
      </c>
      <c r="B2944">
        <f>IF(ISNUMBER(Input!B2944),IF(AND(Input!B2944&gt;=20,Input!B2944&lt;=700),Input!B2944,""),"")</f>
        <v/>
      </c>
      <c r="C2944">
        <f>IF(B2944="","",INT(A2944))</f>
        <v/>
      </c>
      <c r="D2944">
        <f>IF(B2944="","",HOUR(A2944))</f>
        <v/>
      </c>
    </row>
    <row r="2945">
      <c r="A2945">
        <f>Input!A2945</f>
        <v/>
      </c>
      <c r="B2945">
        <f>IF(ISNUMBER(Input!B2945),IF(AND(Input!B2945&gt;=20,Input!B2945&lt;=700),Input!B2945,""),"")</f>
        <v/>
      </c>
      <c r="C2945">
        <f>IF(B2945="","",INT(A2945))</f>
        <v/>
      </c>
      <c r="D2945">
        <f>IF(B2945="","",HOUR(A2945))</f>
        <v/>
      </c>
    </row>
    <row r="2946">
      <c r="A2946">
        <f>Input!A2946</f>
        <v/>
      </c>
      <c r="B2946">
        <f>IF(ISNUMBER(Input!B2946),IF(AND(Input!B2946&gt;=20,Input!B2946&lt;=700),Input!B2946,""),"")</f>
        <v/>
      </c>
      <c r="C2946">
        <f>IF(B2946="","",INT(A2946))</f>
        <v/>
      </c>
      <c r="D2946">
        <f>IF(B2946="","",HOUR(A2946))</f>
        <v/>
      </c>
    </row>
    <row r="2947">
      <c r="A2947">
        <f>Input!A2947</f>
        <v/>
      </c>
      <c r="B2947">
        <f>IF(ISNUMBER(Input!B2947),IF(AND(Input!B2947&gt;=20,Input!B2947&lt;=700),Input!B2947,""),"")</f>
        <v/>
      </c>
      <c r="C2947">
        <f>IF(B2947="","",INT(A2947))</f>
        <v/>
      </c>
      <c r="D2947">
        <f>IF(B2947="","",HOUR(A2947))</f>
        <v/>
      </c>
    </row>
    <row r="2948">
      <c r="A2948">
        <f>Input!A2948</f>
        <v/>
      </c>
      <c r="B2948">
        <f>IF(ISNUMBER(Input!B2948),IF(AND(Input!B2948&gt;=20,Input!B2948&lt;=700),Input!B2948,""),"")</f>
        <v/>
      </c>
      <c r="C2948">
        <f>IF(B2948="","",INT(A2948))</f>
        <v/>
      </c>
      <c r="D2948">
        <f>IF(B2948="","",HOUR(A2948))</f>
        <v/>
      </c>
    </row>
    <row r="2949">
      <c r="A2949">
        <f>Input!A2949</f>
        <v/>
      </c>
      <c r="B2949">
        <f>IF(ISNUMBER(Input!B2949),IF(AND(Input!B2949&gt;=20,Input!B2949&lt;=700),Input!B2949,""),"")</f>
        <v/>
      </c>
      <c r="C2949">
        <f>IF(B2949="","",INT(A2949))</f>
        <v/>
      </c>
      <c r="D2949">
        <f>IF(B2949="","",HOUR(A2949))</f>
        <v/>
      </c>
    </row>
    <row r="2950">
      <c r="A2950">
        <f>Input!A2950</f>
        <v/>
      </c>
      <c r="B2950">
        <f>IF(ISNUMBER(Input!B2950),IF(AND(Input!B2950&gt;=20,Input!B2950&lt;=700),Input!B2950,""),"")</f>
        <v/>
      </c>
      <c r="C2950">
        <f>IF(B2950="","",INT(A2950))</f>
        <v/>
      </c>
      <c r="D2950">
        <f>IF(B2950="","",HOUR(A2950))</f>
        <v/>
      </c>
    </row>
    <row r="2951">
      <c r="A2951">
        <f>Input!A2951</f>
        <v/>
      </c>
      <c r="B2951">
        <f>IF(ISNUMBER(Input!B2951),IF(AND(Input!B2951&gt;=20,Input!B2951&lt;=700),Input!B2951,""),"")</f>
        <v/>
      </c>
      <c r="C2951">
        <f>IF(B2951="","",INT(A2951))</f>
        <v/>
      </c>
      <c r="D2951">
        <f>IF(B2951="","",HOUR(A2951))</f>
        <v/>
      </c>
    </row>
    <row r="2952">
      <c r="A2952">
        <f>Input!A2952</f>
        <v/>
      </c>
      <c r="B2952">
        <f>IF(ISNUMBER(Input!B2952),IF(AND(Input!B2952&gt;=20,Input!B2952&lt;=700),Input!B2952,""),"")</f>
        <v/>
      </c>
      <c r="C2952">
        <f>IF(B2952="","",INT(A2952))</f>
        <v/>
      </c>
      <c r="D2952">
        <f>IF(B2952="","",HOUR(A2952))</f>
        <v/>
      </c>
    </row>
    <row r="2953">
      <c r="A2953">
        <f>Input!A2953</f>
        <v/>
      </c>
      <c r="B2953">
        <f>IF(ISNUMBER(Input!B2953),IF(AND(Input!B2953&gt;=20,Input!B2953&lt;=700),Input!B2953,""),"")</f>
        <v/>
      </c>
      <c r="C2953">
        <f>IF(B2953="","",INT(A2953))</f>
        <v/>
      </c>
      <c r="D2953">
        <f>IF(B2953="","",HOUR(A2953))</f>
        <v/>
      </c>
    </row>
    <row r="2954">
      <c r="A2954">
        <f>Input!A2954</f>
        <v/>
      </c>
      <c r="B2954">
        <f>IF(ISNUMBER(Input!B2954),IF(AND(Input!B2954&gt;=20,Input!B2954&lt;=700),Input!B2954,""),"")</f>
        <v/>
      </c>
      <c r="C2954">
        <f>IF(B2954="","",INT(A2954))</f>
        <v/>
      </c>
      <c r="D2954">
        <f>IF(B2954="","",HOUR(A2954))</f>
        <v/>
      </c>
    </row>
    <row r="2955">
      <c r="A2955">
        <f>Input!A2955</f>
        <v/>
      </c>
      <c r="B2955">
        <f>IF(ISNUMBER(Input!B2955),IF(AND(Input!B2955&gt;=20,Input!B2955&lt;=700),Input!B2955,""),"")</f>
        <v/>
      </c>
      <c r="C2955">
        <f>IF(B2955="","",INT(A2955))</f>
        <v/>
      </c>
      <c r="D2955">
        <f>IF(B2955="","",HOUR(A2955))</f>
        <v/>
      </c>
    </row>
    <row r="2956">
      <c r="A2956">
        <f>Input!A2956</f>
        <v/>
      </c>
      <c r="B2956">
        <f>IF(ISNUMBER(Input!B2956),IF(AND(Input!B2956&gt;=20,Input!B2956&lt;=700),Input!B2956,""),"")</f>
        <v/>
      </c>
      <c r="C2956">
        <f>IF(B2956="","",INT(A2956))</f>
        <v/>
      </c>
      <c r="D2956">
        <f>IF(B2956="","",HOUR(A2956))</f>
        <v/>
      </c>
    </row>
    <row r="2957">
      <c r="A2957">
        <f>Input!A2957</f>
        <v/>
      </c>
      <c r="B2957">
        <f>IF(ISNUMBER(Input!B2957),IF(AND(Input!B2957&gt;=20,Input!B2957&lt;=700),Input!B2957,""),"")</f>
        <v/>
      </c>
      <c r="C2957">
        <f>IF(B2957="","",INT(A2957))</f>
        <v/>
      </c>
      <c r="D2957">
        <f>IF(B2957="","",HOUR(A2957))</f>
        <v/>
      </c>
    </row>
    <row r="2958">
      <c r="A2958">
        <f>Input!A2958</f>
        <v/>
      </c>
      <c r="B2958">
        <f>IF(ISNUMBER(Input!B2958),IF(AND(Input!B2958&gt;=20,Input!B2958&lt;=700),Input!B2958,""),"")</f>
        <v/>
      </c>
      <c r="C2958">
        <f>IF(B2958="","",INT(A2958))</f>
        <v/>
      </c>
      <c r="D2958">
        <f>IF(B2958="","",HOUR(A2958))</f>
        <v/>
      </c>
    </row>
    <row r="2959">
      <c r="A2959">
        <f>Input!A2959</f>
        <v/>
      </c>
      <c r="B2959">
        <f>IF(ISNUMBER(Input!B2959),IF(AND(Input!B2959&gt;=20,Input!B2959&lt;=700),Input!B2959,""),"")</f>
        <v/>
      </c>
      <c r="C2959">
        <f>IF(B2959="","",INT(A2959))</f>
        <v/>
      </c>
      <c r="D2959">
        <f>IF(B2959="","",HOUR(A2959))</f>
        <v/>
      </c>
    </row>
    <row r="2960">
      <c r="A2960">
        <f>Input!A2960</f>
        <v/>
      </c>
      <c r="B2960">
        <f>IF(ISNUMBER(Input!B2960),IF(AND(Input!B2960&gt;=20,Input!B2960&lt;=700),Input!B2960,""),"")</f>
        <v/>
      </c>
      <c r="C2960">
        <f>IF(B2960="","",INT(A2960))</f>
        <v/>
      </c>
      <c r="D2960">
        <f>IF(B2960="","",HOUR(A2960))</f>
        <v/>
      </c>
    </row>
    <row r="2961">
      <c r="A2961">
        <f>Input!A2961</f>
        <v/>
      </c>
      <c r="B2961">
        <f>IF(ISNUMBER(Input!B2961),IF(AND(Input!B2961&gt;=20,Input!B2961&lt;=700),Input!B2961,""),"")</f>
        <v/>
      </c>
      <c r="C2961">
        <f>IF(B2961="","",INT(A2961))</f>
        <v/>
      </c>
      <c r="D2961">
        <f>IF(B2961="","",HOUR(A2961))</f>
        <v/>
      </c>
    </row>
    <row r="2962">
      <c r="A2962">
        <f>Input!A2962</f>
        <v/>
      </c>
      <c r="B2962">
        <f>IF(ISNUMBER(Input!B2962),IF(AND(Input!B2962&gt;=20,Input!B2962&lt;=700),Input!B2962,""),"")</f>
        <v/>
      </c>
      <c r="C2962">
        <f>IF(B2962="","",INT(A2962))</f>
        <v/>
      </c>
      <c r="D2962">
        <f>IF(B2962="","",HOUR(A2962))</f>
        <v/>
      </c>
    </row>
    <row r="2963">
      <c r="A2963">
        <f>Input!A2963</f>
        <v/>
      </c>
      <c r="B2963">
        <f>IF(ISNUMBER(Input!B2963),IF(AND(Input!B2963&gt;=20,Input!B2963&lt;=700),Input!B2963,""),"")</f>
        <v/>
      </c>
      <c r="C2963">
        <f>IF(B2963="","",INT(A2963))</f>
        <v/>
      </c>
      <c r="D2963">
        <f>IF(B2963="","",HOUR(A2963))</f>
        <v/>
      </c>
    </row>
    <row r="2964">
      <c r="A2964">
        <f>Input!A2964</f>
        <v/>
      </c>
      <c r="B2964">
        <f>IF(ISNUMBER(Input!B2964),IF(AND(Input!B2964&gt;=20,Input!B2964&lt;=700),Input!B2964,""),"")</f>
        <v/>
      </c>
      <c r="C2964">
        <f>IF(B2964="","",INT(A2964))</f>
        <v/>
      </c>
      <c r="D2964">
        <f>IF(B2964="","",HOUR(A2964))</f>
        <v/>
      </c>
    </row>
    <row r="2965">
      <c r="A2965">
        <f>Input!A2965</f>
        <v/>
      </c>
      <c r="B2965">
        <f>IF(ISNUMBER(Input!B2965),IF(AND(Input!B2965&gt;=20,Input!B2965&lt;=700),Input!B2965,""),"")</f>
        <v/>
      </c>
      <c r="C2965">
        <f>IF(B2965="","",INT(A2965))</f>
        <v/>
      </c>
      <c r="D2965">
        <f>IF(B2965="","",HOUR(A2965))</f>
        <v/>
      </c>
    </row>
    <row r="2966">
      <c r="A2966">
        <f>Input!A2966</f>
        <v/>
      </c>
      <c r="B2966">
        <f>IF(ISNUMBER(Input!B2966),IF(AND(Input!B2966&gt;=20,Input!B2966&lt;=700),Input!B2966,""),"")</f>
        <v/>
      </c>
      <c r="C2966">
        <f>IF(B2966="","",INT(A2966))</f>
        <v/>
      </c>
      <c r="D2966">
        <f>IF(B2966="","",HOUR(A2966))</f>
        <v/>
      </c>
    </row>
    <row r="2967">
      <c r="A2967">
        <f>Input!A2967</f>
        <v/>
      </c>
      <c r="B2967">
        <f>IF(ISNUMBER(Input!B2967),IF(AND(Input!B2967&gt;=20,Input!B2967&lt;=700),Input!B2967,""),"")</f>
        <v/>
      </c>
      <c r="C2967">
        <f>IF(B2967="","",INT(A2967))</f>
        <v/>
      </c>
      <c r="D2967">
        <f>IF(B2967="","",HOUR(A2967))</f>
        <v/>
      </c>
    </row>
    <row r="2968">
      <c r="A2968">
        <f>Input!A2968</f>
        <v/>
      </c>
      <c r="B2968">
        <f>IF(ISNUMBER(Input!B2968),IF(AND(Input!B2968&gt;=20,Input!B2968&lt;=700),Input!B2968,""),"")</f>
        <v/>
      </c>
      <c r="C2968">
        <f>IF(B2968="","",INT(A2968))</f>
        <v/>
      </c>
      <c r="D2968">
        <f>IF(B2968="","",HOUR(A2968))</f>
        <v/>
      </c>
    </row>
    <row r="2969">
      <c r="A2969">
        <f>Input!A2969</f>
        <v/>
      </c>
      <c r="B2969">
        <f>IF(ISNUMBER(Input!B2969),IF(AND(Input!B2969&gt;=20,Input!B2969&lt;=700),Input!B2969,""),"")</f>
        <v/>
      </c>
      <c r="C2969">
        <f>IF(B2969="","",INT(A2969))</f>
        <v/>
      </c>
      <c r="D2969">
        <f>IF(B2969="","",HOUR(A2969))</f>
        <v/>
      </c>
    </row>
    <row r="2970">
      <c r="A2970">
        <f>Input!A2970</f>
        <v/>
      </c>
      <c r="B2970">
        <f>IF(ISNUMBER(Input!B2970),IF(AND(Input!B2970&gt;=20,Input!B2970&lt;=700),Input!B2970,""),"")</f>
        <v/>
      </c>
      <c r="C2970">
        <f>IF(B2970="","",INT(A2970))</f>
        <v/>
      </c>
      <c r="D2970">
        <f>IF(B2970="","",HOUR(A2970))</f>
        <v/>
      </c>
    </row>
    <row r="2971">
      <c r="A2971">
        <f>Input!A2971</f>
        <v/>
      </c>
      <c r="B2971">
        <f>IF(ISNUMBER(Input!B2971),IF(AND(Input!B2971&gt;=20,Input!B2971&lt;=700),Input!B2971,""),"")</f>
        <v/>
      </c>
      <c r="C2971">
        <f>IF(B2971="","",INT(A2971))</f>
        <v/>
      </c>
      <c r="D2971">
        <f>IF(B2971="","",HOUR(A2971))</f>
        <v/>
      </c>
    </row>
    <row r="2972">
      <c r="A2972">
        <f>Input!A2972</f>
        <v/>
      </c>
      <c r="B2972">
        <f>IF(ISNUMBER(Input!B2972),IF(AND(Input!B2972&gt;=20,Input!B2972&lt;=700),Input!B2972,""),"")</f>
        <v/>
      </c>
      <c r="C2972">
        <f>IF(B2972="","",INT(A2972))</f>
        <v/>
      </c>
      <c r="D2972">
        <f>IF(B2972="","",HOUR(A2972))</f>
        <v/>
      </c>
    </row>
    <row r="2973">
      <c r="A2973">
        <f>Input!A2973</f>
        <v/>
      </c>
      <c r="B2973">
        <f>IF(ISNUMBER(Input!B2973),IF(AND(Input!B2973&gt;=20,Input!B2973&lt;=700),Input!B2973,""),"")</f>
        <v/>
      </c>
      <c r="C2973">
        <f>IF(B2973="","",INT(A2973))</f>
        <v/>
      </c>
      <c r="D2973">
        <f>IF(B2973="","",HOUR(A2973))</f>
        <v/>
      </c>
    </row>
    <row r="2974">
      <c r="A2974">
        <f>Input!A2974</f>
        <v/>
      </c>
      <c r="B2974">
        <f>IF(ISNUMBER(Input!B2974),IF(AND(Input!B2974&gt;=20,Input!B2974&lt;=700),Input!B2974,""),"")</f>
        <v/>
      </c>
      <c r="C2974">
        <f>IF(B2974="","",INT(A2974))</f>
        <v/>
      </c>
      <c r="D2974">
        <f>IF(B2974="","",HOUR(A2974))</f>
        <v/>
      </c>
    </row>
    <row r="2975">
      <c r="A2975">
        <f>Input!A2975</f>
        <v/>
      </c>
      <c r="B2975">
        <f>IF(ISNUMBER(Input!B2975),IF(AND(Input!B2975&gt;=20,Input!B2975&lt;=700),Input!B2975,""),"")</f>
        <v/>
      </c>
      <c r="C2975">
        <f>IF(B2975="","",INT(A2975))</f>
        <v/>
      </c>
      <c r="D2975">
        <f>IF(B2975="","",HOUR(A2975))</f>
        <v/>
      </c>
    </row>
    <row r="2976">
      <c r="A2976">
        <f>Input!A2976</f>
        <v/>
      </c>
      <c r="B2976">
        <f>IF(ISNUMBER(Input!B2976),IF(AND(Input!B2976&gt;=20,Input!B2976&lt;=700),Input!B2976,""),"")</f>
        <v/>
      </c>
      <c r="C2976">
        <f>IF(B2976="","",INT(A2976))</f>
        <v/>
      </c>
      <c r="D2976">
        <f>IF(B2976="","",HOUR(A2976))</f>
        <v/>
      </c>
    </row>
    <row r="2977">
      <c r="A2977">
        <f>Input!A2977</f>
        <v/>
      </c>
      <c r="B2977">
        <f>IF(ISNUMBER(Input!B2977),IF(AND(Input!B2977&gt;=20,Input!B2977&lt;=700),Input!B2977,""),"")</f>
        <v/>
      </c>
      <c r="C2977">
        <f>IF(B2977="","",INT(A2977))</f>
        <v/>
      </c>
      <c r="D2977">
        <f>IF(B2977="","",HOUR(A2977))</f>
        <v/>
      </c>
    </row>
    <row r="2978">
      <c r="A2978">
        <f>Input!A2978</f>
        <v/>
      </c>
      <c r="B2978">
        <f>IF(ISNUMBER(Input!B2978),IF(AND(Input!B2978&gt;=20,Input!B2978&lt;=700),Input!B2978,""),"")</f>
        <v/>
      </c>
      <c r="C2978">
        <f>IF(B2978="","",INT(A2978))</f>
        <v/>
      </c>
      <c r="D2978">
        <f>IF(B2978="","",HOUR(A2978))</f>
        <v/>
      </c>
    </row>
    <row r="2979">
      <c r="A2979">
        <f>Input!A2979</f>
        <v/>
      </c>
      <c r="B2979">
        <f>IF(ISNUMBER(Input!B2979),IF(AND(Input!B2979&gt;=20,Input!B2979&lt;=700),Input!B2979,""),"")</f>
        <v/>
      </c>
      <c r="C2979">
        <f>IF(B2979="","",INT(A2979))</f>
        <v/>
      </c>
      <c r="D2979">
        <f>IF(B2979="","",HOUR(A2979))</f>
        <v/>
      </c>
    </row>
    <row r="2980">
      <c r="A2980">
        <f>Input!A2980</f>
        <v/>
      </c>
      <c r="B2980">
        <f>IF(ISNUMBER(Input!B2980),IF(AND(Input!B2980&gt;=20,Input!B2980&lt;=700),Input!B2980,""),"")</f>
        <v/>
      </c>
      <c r="C2980">
        <f>IF(B2980="","",INT(A2980))</f>
        <v/>
      </c>
      <c r="D2980">
        <f>IF(B2980="","",HOUR(A2980))</f>
        <v/>
      </c>
    </row>
    <row r="2981">
      <c r="A2981">
        <f>Input!A2981</f>
        <v/>
      </c>
      <c r="B2981">
        <f>IF(ISNUMBER(Input!B2981),IF(AND(Input!B2981&gt;=20,Input!B2981&lt;=700),Input!B2981,""),"")</f>
        <v/>
      </c>
      <c r="C2981">
        <f>IF(B2981="","",INT(A2981))</f>
        <v/>
      </c>
      <c r="D2981">
        <f>IF(B2981="","",HOUR(A2981))</f>
        <v/>
      </c>
    </row>
    <row r="2982">
      <c r="A2982">
        <f>Input!A2982</f>
        <v/>
      </c>
      <c r="B2982">
        <f>IF(ISNUMBER(Input!B2982),IF(AND(Input!B2982&gt;=20,Input!B2982&lt;=700),Input!B2982,""),"")</f>
        <v/>
      </c>
      <c r="C2982">
        <f>IF(B2982="","",INT(A2982))</f>
        <v/>
      </c>
      <c r="D2982">
        <f>IF(B2982="","",HOUR(A2982))</f>
        <v/>
      </c>
    </row>
    <row r="2983">
      <c r="A2983">
        <f>Input!A2983</f>
        <v/>
      </c>
      <c r="B2983">
        <f>IF(ISNUMBER(Input!B2983),IF(AND(Input!B2983&gt;=20,Input!B2983&lt;=700),Input!B2983,""),"")</f>
        <v/>
      </c>
      <c r="C2983">
        <f>IF(B2983="","",INT(A2983))</f>
        <v/>
      </c>
      <c r="D2983">
        <f>IF(B2983="","",HOUR(A2983))</f>
        <v/>
      </c>
    </row>
    <row r="2984">
      <c r="A2984">
        <f>Input!A2984</f>
        <v/>
      </c>
      <c r="B2984">
        <f>IF(ISNUMBER(Input!B2984),IF(AND(Input!B2984&gt;=20,Input!B2984&lt;=700),Input!B2984,""),"")</f>
        <v/>
      </c>
      <c r="C2984">
        <f>IF(B2984="","",INT(A2984))</f>
        <v/>
      </c>
      <c r="D2984">
        <f>IF(B2984="","",HOUR(A2984))</f>
        <v/>
      </c>
    </row>
    <row r="2985">
      <c r="A2985">
        <f>Input!A2985</f>
        <v/>
      </c>
      <c r="B2985">
        <f>IF(ISNUMBER(Input!B2985),IF(AND(Input!B2985&gt;=20,Input!B2985&lt;=700),Input!B2985,""),"")</f>
        <v/>
      </c>
      <c r="C2985">
        <f>IF(B2985="","",INT(A2985))</f>
        <v/>
      </c>
      <c r="D2985">
        <f>IF(B2985="","",HOUR(A2985))</f>
        <v/>
      </c>
    </row>
    <row r="2986">
      <c r="A2986">
        <f>Input!A2986</f>
        <v/>
      </c>
      <c r="B2986">
        <f>IF(ISNUMBER(Input!B2986),IF(AND(Input!B2986&gt;=20,Input!B2986&lt;=700),Input!B2986,""),"")</f>
        <v/>
      </c>
      <c r="C2986">
        <f>IF(B2986="","",INT(A2986))</f>
        <v/>
      </c>
      <c r="D2986">
        <f>IF(B2986="","",HOUR(A2986))</f>
        <v/>
      </c>
    </row>
    <row r="2987">
      <c r="A2987">
        <f>Input!A2987</f>
        <v/>
      </c>
      <c r="B2987">
        <f>IF(ISNUMBER(Input!B2987),IF(AND(Input!B2987&gt;=20,Input!B2987&lt;=700),Input!B2987,""),"")</f>
        <v/>
      </c>
      <c r="C2987">
        <f>IF(B2987="","",INT(A2987))</f>
        <v/>
      </c>
      <c r="D2987">
        <f>IF(B2987="","",HOUR(A2987))</f>
        <v/>
      </c>
    </row>
    <row r="2988">
      <c r="A2988">
        <f>Input!A2988</f>
        <v/>
      </c>
      <c r="B2988">
        <f>IF(ISNUMBER(Input!B2988),IF(AND(Input!B2988&gt;=20,Input!B2988&lt;=700),Input!B2988,""),"")</f>
        <v/>
      </c>
      <c r="C2988">
        <f>IF(B2988="","",INT(A2988))</f>
        <v/>
      </c>
      <c r="D2988">
        <f>IF(B2988="","",HOUR(A2988))</f>
        <v/>
      </c>
    </row>
    <row r="2989">
      <c r="A2989">
        <f>Input!A2989</f>
        <v/>
      </c>
      <c r="B2989">
        <f>IF(ISNUMBER(Input!B2989),IF(AND(Input!B2989&gt;=20,Input!B2989&lt;=700),Input!B2989,""),"")</f>
        <v/>
      </c>
      <c r="C2989">
        <f>IF(B2989="","",INT(A2989))</f>
        <v/>
      </c>
      <c r="D2989">
        <f>IF(B2989="","",HOUR(A2989))</f>
        <v/>
      </c>
    </row>
    <row r="2990">
      <c r="A2990">
        <f>Input!A2990</f>
        <v/>
      </c>
      <c r="B2990">
        <f>IF(ISNUMBER(Input!B2990),IF(AND(Input!B2990&gt;=20,Input!B2990&lt;=700),Input!B2990,""),"")</f>
        <v/>
      </c>
      <c r="C2990">
        <f>IF(B2990="","",INT(A2990))</f>
        <v/>
      </c>
      <c r="D2990">
        <f>IF(B2990="","",HOUR(A2990))</f>
        <v/>
      </c>
    </row>
    <row r="2991">
      <c r="A2991">
        <f>Input!A2991</f>
        <v/>
      </c>
      <c r="B2991">
        <f>IF(ISNUMBER(Input!B2991),IF(AND(Input!B2991&gt;=20,Input!B2991&lt;=700),Input!B2991,""),"")</f>
        <v/>
      </c>
      <c r="C2991">
        <f>IF(B2991="","",INT(A2991))</f>
        <v/>
      </c>
      <c r="D2991">
        <f>IF(B2991="","",HOUR(A2991))</f>
        <v/>
      </c>
    </row>
    <row r="2992">
      <c r="A2992">
        <f>Input!A2992</f>
        <v/>
      </c>
      <c r="B2992">
        <f>IF(ISNUMBER(Input!B2992),IF(AND(Input!B2992&gt;=20,Input!B2992&lt;=700),Input!B2992,""),"")</f>
        <v/>
      </c>
      <c r="C2992">
        <f>IF(B2992="","",INT(A2992))</f>
        <v/>
      </c>
      <c r="D2992">
        <f>IF(B2992="","",HOUR(A2992))</f>
        <v/>
      </c>
    </row>
    <row r="2993">
      <c r="A2993">
        <f>Input!A2993</f>
        <v/>
      </c>
      <c r="B2993">
        <f>IF(ISNUMBER(Input!B2993),IF(AND(Input!B2993&gt;=20,Input!B2993&lt;=700),Input!B2993,""),"")</f>
        <v/>
      </c>
      <c r="C2993">
        <f>IF(B2993="","",INT(A2993))</f>
        <v/>
      </c>
      <c r="D2993">
        <f>IF(B2993="","",HOUR(A2993))</f>
        <v/>
      </c>
    </row>
    <row r="2994">
      <c r="A2994">
        <f>Input!A2994</f>
        <v/>
      </c>
      <c r="B2994">
        <f>IF(ISNUMBER(Input!B2994),IF(AND(Input!B2994&gt;=20,Input!B2994&lt;=700),Input!B2994,""),"")</f>
        <v/>
      </c>
      <c r="C2994">
        <f>IF(B2994="","",INT(A2994))</f>
        <v/>
      </c>
      <c r="D2994">
        <f>IF(B2994="","",HOUR(A2994))</f>
        <v/>
      </c>
    </row>
    <row r="2995">
      <c r="A2995">
        <f>Input!A2995</f>
        <v/>
      </c>
      <c r="B2995">
        <f>IF(ISNUMBER(Input!B2995),IF(AND(Input!B2995&gt;=20,Input!B2995&lt;=700),Input!B2995,""),"")</f>
        <v/>
      </c>
      <c r="C2995">
        <f>IF(B2995="","",INT(A2995))</f>
        <v/>
      </c>
      <c r="D2995">
        <f>IF(B2995="","",HOUR(A2995))</f>
        <v/>
      </c>
    </row>
    <row r="2996">
      <c r="A2996">
        <f>Input!A2996</f>
        <v/>
      </c>
      <c r="B2996">
        <f>IF(ISNUMBER(Input!B2996),IF(AND(Input!B2996&gt;=20,Input!B2996&lt;=700),Input!B2996,""),"")</f>
        <v/>
      </c>
      <c r="C2996">
        <f>IF(B2996="","",INT(A2996))</f>
        <v/>
      </c>
      <c r="D2996">
        <f>IF(B2996="","",HOUR(A2996))</f>
        <v/>
      </c>
    </row>
    <row r="2997">
      <c r="A2997">
        <f>Input!A2997</f>
        <v/>
      </c>
      <c r="B2997">
        <f>IF(ISNUMBER(Input!B2997),IF(AND(Input!B2997&gt;=20,Input!B2997&lt;=700),Input!B2997,""),"")</f>
        <v/>
      </c>
      <c r="C2997">
        <f>IF(B2997="","",INT(A2997))</f>
        <v/>
      </c>
      <c r="D2997">
        <f>IF(B2997="","",HOUR(A2997))</f>
        <v/>
      </c>
    </row>
    <row r="2998">
      <c r="A2998">
        <f>Input!A2998</f>
        <v/>
      </c>
      <c r="B2998">
        <f>IF(ISNUMBER(Input!B2998),IF(AND(Input!B2998&gt;=20,Input!B2998&lt;=700),Input!B2998,""),"")</f>
        <v/>
      </c>
      <c r="C2998">
        <f>IF(B2998="","",INT(A2998))</f>
        <v/>
      </c>
      <c r="D2998">
        <f>IF(B2998="","",HOUR(A2998))</f>
        <v/>
      </c>
    </row>
    <row r="2999">
      <c r="A2999">
        <f>Input!A2999</f>
        <v/>
      </c>
      <c r="B2999">
        <f>IF(ISNUMBER(Input!B2999),IF(AND(Input!B2999&gt;=20,Input!B2999&lt;=700),Input!B2999,""),"")</f>
        <v/>
      </c>
      <c r="C2999">
        <f>IF(B2999="","",INT(A2999))</f>
        <v/>
      </c>
      <c r="D2999">
        <f>IF(B2999="","",HOUR(A2999))</f>
        <v/>
      </c>
    </row>
    <row r="3000">
      <c r="A3000">
        <f>Input!A3000</f>
        <v/>
      </c>
      <c r="B3000">
        <f>IF(ISNUMBER(Input!B3000),IF(AND(Input!B3000&gt;=20,Input!B3000&lt;=700),Input!B3000,""),"")</f>
        <v/>
      </c>
      <c r="C3000">
        <f>IF(B3000="","",INT(A3000))</f>
        <v/>
      </c>
      <c r="D3000">
        <f>IF(B3000="","",HOUR(A3000))</f>
        <v/>
      </c>
    </row>
    <row r="3001">
      <c r="A3001">
        <f>Input!A3001</f>
        <v/>
      </c>
      <c r="B3001">
        <f>IF(ISNUMBER(Input!B3001),IF(AND(Input!B3001&gt;=20,Input!B3001&lt;=700),Input!B3001,""),"")</f>
        <v/>
      </c>
      <c r="C3001">
        <f>IF(B3001="","",INT(A3001))</f>
        <v/>
      </c>
      <c r="D3001">
        <f>IF(B3001="","",HOUR(A3001))</f>
        <v/>
      </c>
    </row>
    <row r="3002">
      <c r="A3002">
        <f>Input!A3002</f>
        <v/>
      </c>
      <c r="B3002">
        <f>IF(ISNUMBER(Input!B3002),IF(AND(Input!B3002&gt;=20,Input!B3002&lt;=700),Input!B3002,""),"")</f>
        <v/>
      </c>
      <c r="C3002">
        <f>IF(B3002="","",INT(A3002))</f>
        <v/>
      </c>
      <c r="D3002">
        <f>IF(B3002="","",HOUR(A3002))</f>
        <v/>
      </c>
    </row>
    <row r="3003">
      <c r="A3003">
        <f>Input!A3003</f>
        <v/>
      </c>
      <c r="B3003">
        <f>IF(ISNUMBER(Input!B3003),IF(AND(Input!B3003&gt;=20,Input!B3003&lt;=700),Input!B3003,""),"")</f>
        <v/>
      </c>
      <c r="C3003">
        <f>IF(B3003="","",INT(A3003))</f>
        <v/>
      </c>
      <c r="D3003">
        <f>IF(B3003="","",HOUR(A3003))</f>
        <v/>
      </c>
    </row>
    <row r="3004">
      <c r="A3004">
        <f>Input!A3004</f>
        <v/>
      </c>
      <c r="B3004">
        <f>IF(ISNUMBER(Input!B3004),IF(AND(Input!B3004&gt;=20,Input!B3004&lt;=700),Input!B3004,""),"")</f>
        <v/>
      </c>
      <c r="C3004">
        <f>IF(B3004="","",INT(A3004))</f>
        <v/>
      </c>
      <c r="D3004">
        <f>IF(B3004="","",HOUR(A3004))</f>
        <v/>
      </c>
    </row>
    <row r="3005">
      <c r="A3005">
        <f>Input!A3005</f>
        <v/>
      </c>
      <c r="B3005">
        <f>IF(ISNUMBER(Input!B3005),IF(AND(Input!B3005&gt;=20,Input!B3005&lt;=700),Input!B3005,""),"")</f>
        <v/>
      </c>
      <c r="C3005">
        <f>IF(B3005="","",INT(A3005))</f>
        <v/>
      </c>
      <c r="D3005">
        <f>IF(B3005="","",HOUR(A3005))</f>
        <v/>
      </c>
    </row>
    <row r="3006">
      <c r="A3006">
        <f>Input!A3006</f>
        <v/>
      </c>
      <c r="B3006">
        <f>IF(ISNUMBER(Input!B3006),IF(AND(Input!B3006&gt;=20,Input!B3006&lt;=700),Input!B3006,""),"")</f>
        <v/>
      </c>
      <c r="C3006">
        <f>IF(B3006="","",INT(A3006))</f>
        <v/>
      </c>
      <c r="D3006">
        <f>IF(B3006="","",HOUR(A3006))</f>
        <v/>
      </c>
    </row>
    <row r="3007">
      <c r="A3007">
        <f>Input!A3007</f>
        <v/>
      </c>
      <c r="B3007">
        <f>IF(ISNUMBER(Input!B3007),IF(AND(Input!B3007&gt;=20,Input!B3007&lt;=700),Input!B3007,""),"")</f>
        <v/>
      </c>
      <c r="C3007">
        <f>IF(B3007="","",INT(A3007))</f>
        <v/>
      </c>
      <c r="D3007">
        <f>IF(B3007="","",HOUR(A3007))</f>
        <v/>
      </c>
    </row>
    <row r="3008">
      <c r="A3008">
        <f>Input!A3008</f>
        <v/>
      </c>
      <c r="B3008">
        <f>IF(ISNUMBER(Input!B3008),IF(AND(Input!B3008&gt;=20,Input!B3008&lt;=700),Input!B3008,""),"")</f>
        <v/>
      </c>
      <c r="C3008">
        <f>IF(B3008="","",INT(A3008))</f>
        <v/>
      </c>
      <c r="D3008">
        <f>IF(B3008="","",HOUR(A3008))</f>
        <v/>
      </c>
    </row>
    <row r="3009">
      <c r="A3009">
        <f>Input!A3009</f>
        <v/>
      </c>
      <c r="B3009">
        <f>IF(ISNUMBER(Input!B3009),IF(AND(Input!B3009&gt;=20,Input!B3009&lt;=700),Input!B3009,""),"")</f>
        <v/>
      </c>
      <c r="C3009">
        <f>IF(B3009="","",INT(A3009))</f>
        <v/>
      </c>
      <c r="D3009">
        <f>IF(B3009="","",HOUR(A3009))</f>
        <v/>
      </c>
    </row>
    <row r="3010">
      <c r="A3010">
        <f>Input!A3010</f>
        <v/>
      </c>
      <c r="B3010">
        <f>IF(ISNUMBER(Input!B3010),IF(AND(Input!B3010&gt;=20,Input!B3010&lt;=700),Input!B3010,""),"")</f>
        <v/>
      </c>
      <c r="C3010">
        <f>IF(B3010="","",INT(A3010))</f>
        <v/>
      </c>
      <c r="D3010">
        <f>IF(B3010="","",HOUR(A3010))</f>
        <v/>
      </c>
    </row>
    <row r="3011">
      <c r="A3011">
        <f>Input!A3011</f>
        <v/>
      </c>
      <c r="B3011">
        <f>IF(ISNUMBER(Input!B3011),IF(AND(Input!B3011&gt;=20,Input!B3011&lt;=700),Input!B3011,""),"")</f>
        <v/>
      </c>
      <c r="C3011">
        <f>IF(B3011="","",INT(A3011))</f>
        <v/>
      </c>
      <c r="D3011">
        <f>IF(B3011="","",HOUR(A3011))</f>
        <v/>
      </c>
    </row>
    <row r="3012">
      <c r="A3012">
        <f>Input!A3012</f>
        <v/>
      </c>
      <c r="B3012">
        <f>IF(ISNUMBER(Input!B3012),IF(AND(Input!B3012&gt;=20,Input!B3012&lt;=700),Input!B3012,""),"")</f>
        <v/>
      </c>
      <c r="C3012">
        <f>IF(B3012="","",INT(A3012))</f>
        <v/>
      </c>
      <c r="D3012">
        <f>IF(B3012="","",HOUR(A3012))</f>
        <v/>
      </c>
    </row>
    <row r="3013">
      <c r="A3013">
        <f>Input!A3013</f>
        <v/>
      </c>
      <c r="B3013">
        <f>IF(ISNUMBER(Input!B3013),IF(AND(Input!B3013&gt;=20,Input!B3013&lt;=700),Input!B3013,""),"")</f>
        <v/>
      </c>
      <c r="C3013">
        <f>IF(B3013="","",INT(A3013))</f>
        <v/>
      </c>
      <c r="D3013">
        <f>IF(B3013="","",HOUR(A3013))</f>
        <v/>
      </c>
    </row>
    <row r="3014">
      <c r="A3014">
        <f>Input!A3014</f>
        <v/>
      </c>
      <c r="B3014">
        <f>IF(ISNUMBER(Input!B3014),IF(AND(Input!B3014&gt;=20,Input!B3014&lt;=700),Input!B3014,""),"")</f>
        <v/>
      </c>
      <c r="C3014">
        <f>IF(B3014="","",INT(A3014))</f>
        <v/>
      </c>
      <c r="D3014">
        <f>IF(B3014="","",HOUR(A3014))</f>
        <v/>
      </c>
    </row>
    <row r="3015">
      <c r="A3015">
        <f>Input!A3015</f>
        <v/>
      </c>
      <c r="B3015">
        <f>IF(ISNUMBER(Input!B3015),IF(AND(Input!B3015&gt;=20,Input!B3015&lt;=700),Input!B3015,""),"")</f>
        <v/>
      </c>
      <c r="C3015">
        <f>IF(B3015="","",INT(A3015))</f>
        <v/>
      </c>
      <c r="D3015">
        <f>IF(B3015="","",HOUR(A3015))</f>
        <v/>
      </c>
    </row>
    <row r="3016">
      <c r="A3016">
        <f>Input!A3016</f>
        <v/>
      </c>
      <c r="B3016">
        <f>IF(ISNUMBER(Input!B3016),IF(AND(Input!B3016&gt;=20,Input!B3016&lt;=700),Input!B3016,""),"")</f>
        <v/>
      </c>
      <c r="C3016">
        <f>IF(B3016="","",INT(A3016))</f>
        <v/>
      </c>
      <c r="D3016">
        <f>IF(B3016="","",HOUR(A3016))</f>
        <v/>
      </c>
    </row>
    <row r="3017">
      <c r="A3017">
        <f>Input!A3017</f>
        <v/>
      </c>
      <c r="B3017">
        <f>IF(ISNUMBER(Input!B3017),IF(AND(Input!B3017&gt;=20,Input!B3017&lt;=700),Input!B3017,""),"")</f>
        <v/>
      </c>
      <c r="C3017">
        <f>IF(B3017="","",INT(A3017))</f>
        <v/>
      </c>
      <c r="D3017">
        <f>IF(B3017="","",HOUR(A3017))</f>
        <v/>
      </c>
    </row>
    <row r="3018">
      <c r="A3018">
        <f>Input!A3018</f>
        <v/>
      </c>
      <c r="B3018">
        <f>IF(ISNUMBER(Input!B3018),IF(AND(Input!B3018&gt;=20,Input!B3018&lt;=700),Input!B3018,""),"")</f>
        <v/>
      </c>
      <c r="C3018">
        <f>IF(B3018="","",INT(A3018))</f>
        <v/>
      </c>
      <c r="D3018">
        <f>IF(B3018="","",HOUR(A3018))</f>
        <v/>
      </c>
    </row>
    <row r="3019">
      <c r="A3019">
        <f>Input!A3019</f>
        <v/>
      </c>
      <c r="B3019">
        <f>IF(ISNUMBER(Input!B3019),IF(AND(Input!B3019&gt;=20,Input!B3019&lt;=700),Input!B3019,""),"")</f>
        <v/>
      </c>
      <c r="C3019">
        <f>IF(B3019="","",INT(A3019))</f>
        <v/>
      </c>
      <c r="D3019">
        <f>IF(B3019="","",HOUR(A3019))</f>
        <v/>
      </c>
    </row>
    <row r="3020">
      <c r="A3020">
        <f>Input!A3020</f>
        <v/>
      </c>
      <c r="B3020">
        <f>IF(ISNUMBER(Input!B3020),IF(AND(Input!B3020&gt;=20,Input!B3020&lt;=700),Input!B3020,""),"")</f>
        <v/>
      </c>
      <c r="C3020">
        <f>IF(B3020="","",INT(A3020))</f>
        <v/>
      </c>
      <c r="D3020">
        <f>IF(B3020="","",HOUR(A3020))</f>
        <v/>
      </c>
    </row>
    <row r="3021">
      <c r="A3021">
        <f>Input!A3021</f>
        <v/>
      </c>
      <c r="B3021">
        <f>IF(ISNUMBER(Input!B3021),IF(AND(Input!B3021&gt;=20,Input!B3021&lt;=700),Input!B3021,""),"")</f>
        <v/>
      </c>
      <c r="C3021">
        <f>IF(B3021="","",INT(A3021))</f>
        <v/>
      </c>
      <c r="D3021">
        <f>IF(B3021="","",HOUR(A3021))</f>
        <v/>
      </c>
    </row>
    <row r="3022">
      <c r="A3022">
        <f>Input!A3022</f>
        <v/>
      </c>
      <c r="B3022">
        <f>IF(ISNUMBER(Input!B3022),IF(AND(Input!B3022&gt;=20,Input!B3022&lt;=700),Input!B3022,""),"")</f>
        <v/>
      </c>
      <c r="C3022">
        <f>IF(B3022="","",INT(A3022))</f>
        <v/>
      </c>
      <c r="D3022">
        <f>IF(B3022="","",HOUR(A3022))</f>
        <v/>
      </c>
    </row>
    <row r="3023">
      <c r="A3023">
        <f>Input!A3023</f>
        <v/>
      </c>
      <c r="B3023">
        <f>IF(ISNUMBER(Input!B3023),IF(AND(Input!B3023&gt;=20,Input!B3023&lt;=700),Input!B3023,""),"")</f>
        <v/>
      </c>
      <c r="C3023">
        <f>IF(B3023="","",INT(A3023))</f>
        <v/>
      </c>
      <c r="D3023">
        <f>IF(B3023="","",HOUR(A3023))</f>
        <v/>
      </c>
    </row>
    <row r="3024">
      <c r="A3024">
        <f>Input!A3024</f>
        <v/>
      </c>
      <c r="B3024">
        <f>IF(ISNUMBER(Input!B3024),IF(AND(Input!B3024&gt;=20,Input!B3024&lt;=700),Input!B3024,""),"")</f>
        <v/>
      </c>
      <c r="C3024">
        <f>IF(B3024="","",INT(A3024))</f>
        <v/>
      </c>
      <c r="D3024">
        <f>IF(B3024="","",HOUR(A3024))</f>
        <v/>
      </c>
    </row>
    <row r="3025">
      <c r="A3025">
        <f>Input!A3025</f>
        <v/>
      </c>
      <c r="B3025">
        <f>IF(ISNUMBER(Input!B3025),IF(AND(Input!B3025&gt;=20,Input!B3025&lt;=700),Input!B3025,""),"")</f>
        <v/>
      </c>
      <c r="C3025">
        <f>IF(B3025="","",INT(A3025))</f>
        <v/>
      </c>
      <c r="D3025">
        <f>IF(B3025="","",HOUR(A3025))</f>
        <v/>
      </c>
    </row>
    <row r="3026">
      <c r="A3026">
        <f>Input!A3026</f>
        <v/>
      </c>
      <c r="B3026">
        <f>IF(ISNUMBER(Input!B3026),IF(AND(Input!B3026&gt;=20,Input!B3026&lt;=700),Input!B3026,""),"")</f>
        <v/>
      </c>
      <c r="C3026">
        <f>IF(B3026="","",INT(A3026))</f>
        <v/>
      </c>
      <c r="D3026">
        <f>IF(B3026="","",HOUR(A3026))</f>
        <v/>
      </c>
    </row>
    <row r="3027">
      <c r="A3027">
        <f>Input!A3027</f>
        <v/>
      </c>
      <c r="B3027">
        <f>IF(ISNUMBER(Input!B3027),IF(AND(Input!B3027&gt;=20,Input!B3027&lt;=700),Input!B3027,""),"")</f>
        <v/>
      </c>
      <c r="C3027">
        <f>IF(B3027="","",INT(A3027))</f>
        <v/>
      </c>
      <c r="D3027">
        <f>IF(B3027="","",HOUR(A3027))</f>
        <v/>
      </c>
    </row>
    <row r="3028">
      <c r="A3028">
        <f>Input!A3028</f>
        <v/>
      </c>
      <c r="B3028">
        <f>IF(ISNUMBER(Input!B3028),IF(AND(Input!B3028&gt;=20,Input!B3028&lt;=700),Input!B3028,""),"")</f>
        <v/>
      </c>
      <c r="C3028">
        <f>IF(B3028="","",INT(A3028))</f>
        <v/>
      </c>
      <c r="D3028">
        <f>IF(B3028="","",HOUR(A3028))</f>
        <v/>
      </c>
    </row>
    <row r="3029">
      <c r="A3029">
        <f>Input!A3029</f>
        <v/>
      </c>
      <c r="B3029">
        <f>IF(ISNUMBER(Input!B3029),IF(AND(Input!B3029&gt;=20,Input!B3029&lt;=700),Input!B3029,""),"")</f>
        <v/>
      </c>
      <c r="C3029">
        <f>IF(B3029="","",INT(A3029))</f>
        <v/>
      </c>
      <c r="D3029">
        <f>IF(B3029="","",HOUR(A3029))</f>
        <v/>
      </c>
    </row>
    <row r="3030">
      <c r="A3030">
        <f>Input!A3030</f>
        <v/>
      </c>
      <c r="B3030">
        <f>IF(ISNUMBER(Input!B3030),IF(AND(Input!B3030&gt;=20,Input!B3030&lt;=700),Input!B3030,""),"")</f>
        <v/>
      </c>
      <c r="C3030">
        <f>IF(B3030="","",INT(A3030))</f>
        <v/>
      </c>
      <c r="D3030">
        <f>IF(B3030="","",HOUR(A3030))</f>
        <v/>
      </c>
    </row>
    <row r="3031">
      <c r="A3031">
        <f>Input!A3031</f>
        <v/>
      </c>
      <c r="B3031">
        <f>IF(ISNUMBER(Input!B3031),IF(AND(Input!B3031&gt;=20,Input!B3031&lt;=700),Input!B3031,""),"")</f>
        <v/>
      </c>
      <c r="C3031">
        <f>IF(B3031="","",INT(A3031))</f>
        <v/>
      </c>
      <c r="D3031">
        <f>IF(B3031="","",HOUR(A3031))</f>
        <v/>
      </c>
    </row>
    <row r="3032">
      <c r="A3032">
        <f>Input!A3032</f>
        <v/>
      </c>
      <c r="B3032">
        <f>IF(ISNUMBER(Input!B3032),IF(AND(Input!B3032&gt;=20,Input!B3032&lt;=700),Input!B3032,""),"")</f>
        <v/>
      </c>
      <c r="C3032">
        <f>IF(B3032="","",INT(A3032))</f>
        <v/>
      </c>
      <c r="D3032">
        <f>IF(B3032="","",HOUR(A3032))</f>
        <v/>
      </c>
    </row>
    <row r="3033">
      <c r="A3033">
        <f>Input!A3033</f>
        <v/>
      </c>
      <c r="B3033">
        <f>IF(ISNUMBER(Input!B3033),IF(AND(Input!B3033&gt;=20,Input!B3033&lt;=700),Input!B3033,""),"")</f>
        <v/>
      </c>
      <c r="C3033">
        <f>IF(B3033="","",INT(A3033))</f>
        <v/>
      </c>
      <c r="D3033">
        <f>IF(B3033="","",HOUR(A3033))</f>
        <v/>
      </c>
    </row>
    <row r="3034">
      <c r="A3034">
        <f>Input!A3034</f>
        <v/>
      </c>
      <c r="B3034">
        <f>IF(ISNUMBER(Input!B3034),IF(AND(Input!B3034&gt;=20,Input!B3034&lt;=700),Input!B3034,""),"")</f>
        <v/>
      </c>
      <c r="C3034">
        <f>IF(B3034="","",INT(A3034))</f>
        <v/>
      </c>
      <c r="D3034">
        <f>IF(B3034="","",HOUR(A3034))</f>
        <v/>
      </c>
    </row>
    <row r="3035">
      <c r="A3035">
        <f>Input!A3035</f>
        <v/>
      </c>
      <c r="B3035">
        <f>IF(ISNUMBER(Input!B3035),IF(AND(Input!B3035&gt;=20,Input!B3035&lt;=700),Input!B3035,""),"")</f>
        <v/>
      </c>
      <c r="C3035">
        <f>IF(B3035="","",INT(A3035))</f>
        <v/>
      </c>
      <c r="D3035">
        <f>IF(B3035="","",HOUR(A3035))</f>
        <v/>
      </c>
    </row>
    <row r="3036">
      <c r="A3036">
        <f>Input!A3036</f>
        <v/>
      </c>
      <c r="B3036">
        <f>IF(ISNUMBER(Input!B3036),IF(AND(Input!B3036&gt;=20,Input!B3036&lt;=700),Input!B3036,""),"")</f>
        <v/>
      </c>
      <c r="C3036">
        <f>IF(B3036="","",INT(A3036))</f>
        <v/>
      </c>
      <c r="D3036">
        <f>IF(B3036="","",HOUR(A3036))</f>
        <v/>
      </c>
    </row>
    <row r="3037">
      <c r="A3037">
        <f>Input!A3037</f>
        <v/>
      </c>
      <c r="B3037">
        <f>IF(ISNUMBER(Input!B3037),IF(AND(Input!B3037&gt;=20,Input!B3037&lt;=700),Input!B3037,""),"")</f>
        <v/>
      </c>
      <c r="C3037">
        <f>IF(B3037="","",INT(A3037))</f>
        <v/>
      </c>
      <c r="D3037">
        <f>IF(B3037="","",HOUR(A3037))</f>
        <v/>
      </c>
    </row>
    <row r="3038">
      <c r="A3038">
        <f>Input!A3038</f>
        <v/>
      </c>
      <c r="B3038">
        <f>IF(ISNUMBER(Input!B3038),IF(AND(Input!B3038&gt;=20,Input!B3038&lt;=700),Input!B3038,""),"")</f>
        <v/>
      </c>
      <c r="C3038">
        <f>IF(B3038="","",INT(A3038))</f>
        <v/>
      </c>
      <c r="D3038">
        <f>IF(B3038="","",HOUR(A3038))</f>
        <v/>
      </c>
    </row>
    <row r="3039">
      <c r="A3039">
        <f>Input!A3039</f>
        <v/>
      </c>
      <c r="B3039">
        <f>IF(ISNUMBER(Input!B3039),IF(AND(Input!B3039&gt;=20,Input!B3039&lt;=700),Input!B3039,""),"")</f>
        <v/>
      </c>
      <c r="C3039">
        <f>IF(B3039="","",INT(A3039))</f>
        <v/>
      </c>
      <c r="D3039">
        <f>IF(B3039="","",HOUR(A3039))</f>
        <v/>
      </c>
    </row>
    <row r="3040">
      <c r="A3040">
        <f>Input!A3040</f>
        <v/>
      </c>
      <c r="B3040">
        <f>IF(ISNUMBER(Input!B3040),IF(AND(Input!B3040&gt;=20,Input!B3040&lt;=700),Input!B3040,""),"")</f>
        <v/>
      </c>
      <c r="C3040">
        <f>IF(B3040="","",INT(A3040))</f>
        <v/>
      </c>
      <c r="D3040">
        <f>IF(B3040="","",HOUR(A3040))</f>
        <v/>
      </c>
    </row>
    <row r="3041">
      <c r="A3041">
        <f>Input!A3041</f>
        <v/>
      </c>
      <c r="B3041">
        <f>IF(ISNUMBER(Input!B3041),IF(AND(Input!B3041&gt;=20,Input!B3041&lt;=700),Input!B3041,""),"")</f>
        <v/>
      </c>
      <c r="C3041">
        <f>IF(B3041="","",INT(A3041))</f>
        <v/>
      </c>
      <c r="D3041">
        <f>IF(B3041="","",HOUR(A3041))</f>
        <v/>
      </c>
    </row>
    <row r="3042">
      <c r="A3042">
        <f>Input!A3042</f>
        <v/>
      </c>
      <c r="B3042">
        <f>IF(ISNUMBER(Input!B3042),IF(AND(Input!B3042&gt;=20,Input!B3042&lt;=700),Input!B3042,""),"")</f>
        <v/>
      </c>
      <c r="C3042">
        <f>IF(B3042="","",INT(A3042))</f>
        <v/>
      </c>
      <c r="D3042">
        <f>IF(B3042="","",HOUR(A3042))</f>
        <v/>
      </c>
    </row>
    <row r="3043">
      <c r="A3043">
        <f>Input!A3043</f>
        <v/>
      </c>
      <c r="B3043">
        <f>IF(ISNUMBER(Input!B3043),IF(AND(Input!B3043&gt;=20,Input!B3043&lt;=700),Input!B3043,""),"")</f>
        <v/>
      </c>
      <c r="C3043">
        <f>IF(B3043="","",INT(A3043))</f>
        <v/>
      </c>
      <c r="D3043">
        <f>IF(B3043="","",HOUR(A3043))</f>
        <v/>
      </c>
    </row>
    <row r="3044">
      <c r="A3044">
        <f>Input!A3044</f>
        <v/>
      </c>
      <c r="B3044">
        <f>IF(ISNUMBER(Input!B3044),IF(AND(Input!B3044&gt;=20,Input!B3044&lt;=700),Input!B3044,""),"")</f>
        <v/>
      </c>
      <c r="C3044">
        <f>IF(B3044="","",INT(A3044))</f>
        <v/>
      </c>
      <c r="D3044">
        <f>IF(B3044="","",HOUR(A3044))</f>
        <v/>
      </c>
    </row>
    <row r="3045">
      <c r="A3045">
        <f>Input!A3045</f>
        <v/>
      </c>
      <c r="B3045">
        <f>IF(ISNUMBER(Input!B3045),IF(AND(Input!B3045&gt;=20,Input!B3045&lt;=700),Input!B3045,""),"")</f>
        <v/>
      </c>
      <c r="C3045">
        <f>IF(B3045="","",INT(A3045))</f>
        <v/>
      </c>
      <c r="D3045">
        <f>IF(B3045="","",HOUR(A3045))</f>
        <v/>
      </c>
    </row>
    <row r="3046">
      <c r="A3046">
        <f>Input!A3046</f>
        <v/>
      </c>
      <c r="B3046">
        <f>IF(ISNUMBER(Input!B3046),IF(AND(Input!B3046&gt;=20,Input!B3046&lt;=700),Input!B3046,""),"")</f>
        <v/>
      </c>
      <c r="C3046">
        <f>IF(B3046="","",INT(A3046))</f>
        <v/>
      </c>
      <c r="D3046">
        <f>IF(B3046="","",HOUR(A3046))</f>
        <v/>
      </c>
    </row>
    <row r="3047">
      <c r="A3047">
        <f>Input!A3047</f>
        <v/>
      </c>
      <c r="B3047">
        <f>IF(ISNUMBER(Input!B3047),IF(AND(Input!B3047&gt;=20,Input!B3047&lt;=700),Input!B3047,""),"")</f>
        <v/>
      </c>
      <c r="C3047">
        <f>IF(B3047="","",INT(A3047))</f>
        <v/>
      </c>
      <c r="D3047">
        <f>IF(B3047="","",HOUR(A3047))</f>
        <v/>
      </c>
    </row>
    <row r="3048">
      <c r="A3048">
        <f>Input!A3048</f>
        <v/>
      </c>
      <c r="B3048">
        <f>IF(ISNUMBER(Input!B3048),IF(AND(Input!B3048&gt;=20,Input!B3048&lt;=700),Input!B3048,""),"")</f>
        <v/>
      </c>
      <c r="C3048">
        <f>IF(B3048="","",INT(A3048))</f>
        <v/>
      </c>
      <c r="D3048">
        <f>IF(B3048="","",HOUR(A3048))</f>
        <v/>
      </c>
    </row>
    <row r="3049">
      <c r="A3049">
        <f>Input!A3049</f>
        <v/>
      </c>
      <c r="B3049">
        <f>IF(ISNUMBER(Input!B3049),IF(AND(Input!B3049&gt;=20,Input!B3049&lt;=700),Input!B3049,""),"")</f>
        <v/>
      </c>
      <c r="C3049">
        <f>IF(B3049="","",INT(A3049))</f>
        <v/>
      </c>
      <c r="D3049">
        <f>IF(B3049="","",HOUR(A3049))</f>
        <v/>
      </c>
    </row>
    <row r="3050">
      <c r="A3050">
        <f>Input!A3050</f>
        <v/>
      </c>
      <c r="B3050">
        <f>IF(ISNUMBER(Input!B3050),IF(AND(Input!B3050&gt;=20,Input!B3050&lt;=700),Input!B3050,""),"")</f>
        <v/>
      </c>
      <c r="C3050">
        <f>IF(B3050="","",INT(A3050))</f>
        <v/>
      </c>
      <c r="D3050">
        <f>IF(B3050="","",HOUR(A3050))</f>
        <v/>
      </c>
    </row>
    <row r="3051">
      <c r="A3051">
        <f>Input!A3051</f>
        <v/>
      </c>
      <c r="B3051">
        <f>IF(ISNUMBER(Input!B3051),IF(AND(Input!B3051&gt;=20,Input!B3051&lt;=700),Input!B3051,""),"")</f>
        <v/>
      </c>
      <c r="C3051">
        <f>IF(B3051="","",INT(A3051))</f>
        <v/>
      </c>
      <c r="D3051">
        <f>IF(B3051="","",HOUR(A3051))</f>
        <v/>
      </c>
    </row>
    <row r="3052">
      <c r="A3052">
        <f>Input!A3052</f>
        <v/>
      </c>
      <c r="B3052">
        <f>IF(ISNUMBER(Input!B3052),IF(AND(Input!B3052&gt;=20,Input!B3052&lt;=700),Input!B3052,""),"")</f>
        <v/>
      </c>
      <c r="C3052">
        <f>IF(B3052="","",INT(A3052))</f>
        <v/>
      </c>
      <c r="D3052">
        <f>IF(B3052="","",HOUR(A3052))</f>
        <v/>
      </c>
    </row>
    <row r="3053">
      <c r="A3053">
        <f>Input!A3053</f>
        <v/>
      </c>
      <c r="B3053">
        <f>IF(ISNUMBER(Input!B3053),IF(AND(Input!B3053&gt;=20,Input!B3053&lt;=700),Input!B3053,""),"")</f>
        <v/>
      </c>
      <c r="C3053">
        <f>IF(B3053="","",INT(A3053))</f>
        <v/>
      </c>
      <c r="D3053">
        <f>IF(B3053="","",HOUR(A3053))</f>
        <v/>
      </c>
    </row>
    <row r="3054">
      <c r="A3054">
        <f>Input!A3054</f>
        <v/>
      </c>
      <c r="B3054">
        <f>IF(ISNUMBER(Input!B3054),IF(AND(Input!B3054&gt;=20,Input!B3054&lt;=700),Input!B3054,""),"")</f>
        <v/>
      </c>
      <c r="C3054">
        <f>IF(B3054="","",INT(A3054))</f>
        <v/>
      </c>
      <c r="D3054">
        <f>IF(B3054="","",HOUR(A3054))</f>
        <v/>
      </c>
    </row>
    <row r="3055">
      <c r="A3055">
        <f>Input!A3055</f>
        <v/>
      </c>
      <c r="B3055">
        <f>IF(ISNUMBER(Input!B3055),IF(AND(Input!B3055&gt;=20,Input!B3055&lt;=700),Input!B3055,""),"")</f>
        <v/>
      </c>
      <c r="C3055">
        <f>IF(B3055="","",INT(A3055))</f>
        <v/>
      </c>
      <c r="D3055">
        <f>IF(B3055="","",HOUR(A3055))</f>
        <v/>
      </c>
    </row>
    <row r="3056">
      <c r="A3056">
        <f>Input!A3056</f>
        <v/>
      </c>
      <c r="B3056">
        <f>IF(ISNUMBER(Input!B3056),IF(AND(Input!B3056&gt;=20,Input!B3056&lt;=700),Input!B3056,""),"")</f>
        <v/>
      </c>
      <c r="C3056">
        <f>IF(B3056="","",INT(A3056))</f>
        <v/>
      </c>
      <c r="D3056">
        <f>IF(B3056="","",HOUR(A3056))</f>
        <v/>
      </c>
    </row>
    <row r="3057">
      <c r="A3057">
        <f>Input!A3057</f>
        <v/>
      </c>
      <c r="B3057">
        <f>IF(ISNUMBER(Input!B3057),IF(AND(Input!B3057&gt;=20,Input!B3057&lt;=700),Input!B3057,""),"")</f>
        <v/>
      </c>
      <c r="C3057">
        <f>IF(B3057="","",INT(A3057))</f>
        <v/>
      </c>
      <c r="D3057">
        <f>IF(B3057="","",HOUR(A3057))</f>
        <v/>
      </c>
    </row>
    <row r="3058">
      <c r="A3058">
        <f>Input!A3058</f>
        <v/>
      </c>
      <c r="B3058">
        <f>IF(ISNUMBER(Input!B3058),IF(AND(Input!B3058&gt;=20,Input!B3058&lt;=700),Input!B3058,""),"")</f>
        <v/>
      </c>
      <c r="C3058">
        <f>IF(B3058="","",INT(A3058))</f>
        <v/>
      </c>
      <c r="D3058">
        <f>IF(B3058="","",HOUR(A3058))</f>
        <v/>
      </c>
    </row>
    <row r="3059">
      <c r="A3059">
        <f>Input!A3059</f>
        <v/>
      </c>
      <c r="B3059">
        <f>IF(ISNUMBER(Input!B3059),IF(AND(Input!B3059&gt;=20,Input!B3059&lt;=700),Input!B3059,""),"")</f>
        <v/>
      </c>
      <c r="C3059">
        <f>IF(B3059="","",INT(A3059))</f>
        <v/>
      </c>
      <c r="D3059">
        <f>IF(B3059="","",HOUR(A3059))</f>
        <v/>
      </c>
    </row>
    <row r="3060">
      <c r="A3060">
        <f>Input!A3060</f>
        <v/>
      </c>
      <c r="B3060">
        <f>IF(ISNUMBER(Input!B3060),IF(AND(Input!B3060&gt;=20,Input!B3060&lt;=700),Input!B3060,""),"")</f>
        <v/>
      </c>
      <c r="C3060">
        <f>IF(B3060="","",INT(A3060))</f>
        <v/>
      </c>
      <c r="D3060">
        <f>IF(B3060="","",HOUR(A3060))</f>
        <v/>
      </c>
    </row>
    <row r="3061">
      <c r="A3061">
        <f>Input!A3061</f>
        <v/>
      </c>
      <c r="B3061">
        <f>IF(ISNUMBER(Input!B3061),IF(AND(Input!B3061&gt;=20,Input!B3061&lt;=700),Input!B3061,""),"")</f>
        <v/>
      </c>
      <c r="C3061">
        <f>IF(B3061="","",INT(A3061))</f>
        <v/>
      </c>
      <c r="D3061">
        <f>IF(B3061="","",HOUR(A3061))</f>
        <v/>
      </c>
    </row>
    <row r="3062">
      <c r="A3062">
        <f>Input!A3062</f>
        <v/>
      </c>
      <c r="B3062">
        <f>IF(ISNUMBER(Input!B3062),IF(AND(Input!B3062&gt;=20,Input!B3062&lt;=700),Input!B3062,""),"")</f>
        <v/>
      </c>
      <c r="C3062">
        <f>IF(B3062="","",INT(A3062))</f>
        <v/>
      </c>
      <c r="D3062">
        <f>IF(B3062="","",HOUR(A3062))</f>
        <v/>
      </c>
    </row>
    <row r="3063">
      <c r="A3063">
        <f>Input!A3063</f>
        <v/>
      </c>
      <c r="B3063">
        <f>IF(ISNUMBER(Input!B3063),IF(AND(Input!B3063&gt;=20,Input!B3063&lt;=700),Input!B3063,""),"")</f>
        <v/>
      </c>
      <c r="C3063">
        <f>IF(B3063="","",INT(A3063))</f>
        <v/>
      </c>
      <c r="D3063">
        <f>IF(B3063="","",HOUR(A3063))</f>
        <v/>
      </c>
    </row>
    <row r="3064">
      <c r="A3064">
        <f>Input!A3064</f>
        <v/>
      </c>
      <c r="B3064">
        <f>IF(ISNUMBER(Input!B3064),IF(AND(Input!B3064&gt;=20,Input!B3064&lt;=700),Input!B3064,""),"")</f>
        <v/>
      </c>
      <c r="C3064">
        <f>IF(B3064="","",INT(A3064))</f>
        <v/>
      </c>
      <c r="D3064">
        <f>IF(B3064="","",HOUR(A3064))</f>
        <v/>
      </c>
    </row>
    <row r="3065">
      <c r="A3065">
        <f>Input!A3065</f>
        <v/>
      </c>
      <c r="B3065">
        <f>IF(ISNUMBER(Input!B3065),IF(AND(Input!B3065&gt;=20,Input!B3065&lt;=700),Input!B3065,""),"")</f>
        <v/>
      </c>
      <c r="C3065">
        <f>IF(B3065="","",INT(A3065))</f>
        <v/>
      </c>
      <c r="D3065">
        <f>IF(B3065="","",HOUR(A3065))</f>
        <v/>
      </c>
    </row>
    <row r="3066">
      <c r="A3066">
        <f>Input!A3066</f>
        <v/>
      </c>
      <c r="B3066">
        <f>IF(ISNUMBER(Input!B3066),IF(AND(Input!B3066&gt;=20,Input!B3066&lt;=700),Input!B3066,""),"")</f>
        <v/>
      </c>
      <c r="C3066">
        <f>IF(B3066="","",INT(A3066))</f>
        <v/>
      </c>
      <c r="D3066">
        <f>IF(B3066="","",HOUR(A3066))</f>
        <v/>
      </c>
    </row>
    <row r="3067">
      <c r="A3067">
        <f>Input!A3067</f>
        <v/>
      </c>
      <c r="B3067">
        <f>IF(ISNUMBER(Input!B3067),IF(AND(Input!B3067&gt;=20,Input!B3067&lt;=700),Input!B3067,""),"")</f>
        <v/>
      </c>
      <c r="C3067">
        <f>IF(B3067="","",INT(A3067))</f>
        <v/>
      </c>
      <c r="D3067">
        <f>IF(B3067="","",HOUR(A3067))</f>
        <v/>
      </c>
    </row>
    <row r="3068">
      <c r="A3068">
        <f>Input!A3068</f>
        <v/>
      </c>
      <c r="B3068">
        <f>IF(ISNUMBER(Input!B3068),IF(AND(Input!B3068&gt;=20,Input!B3068&lt;=700),Input!B3068,""),"")</f>
        <v/>
      </c>
      <c r="C3068">
        <f>IF(B3068="","",INT(A3068))</f>
        <v/>
      </c>
      <c r="D3068">
        <f>IF(B3068="","",HOUR(A3068))</f>
        <v/>
      </c>
    </row>
    <row r="3069">
      <c r="A3069">
        <f>Input!A3069</f>
        <v/>
      </c>
      <c r="B3069">
        <f>IF(ISNUMBER(Input!B3069),IF(AND(Input!B3069&gt;=20,Input!B3069&lt;=700),Input!B3069,""),"")</f>
        <v/>
      </c>
      <c r="C3069">
        <f>IF(B3069="","",INT(A3069))</f>
        <v/>
      </c>
      <c r="D3069">
        <f>IF(B3069="","",HOUR(A3069))</f>
        <v/>
      </c>
    </row>
    <row r="3070">
      <c r="A3070">
        <f>Input!A3070</f>
        <v/>
      </c>
      <c r="B3070">
        <f>IF(ISNUMBER(Input!B3070),IF(AND(Input!B3070&gt;=20,Input!B3070&lt;=700),Input!B3070,""),"")</f>
        <v/>
      </c>
      <c r="C3070">
        <f>IF(B3070="","",INT(A3070))</f>
        <v/>
      </c>
      <c r="D3070">
        <f>IF(B3070="","",HOUR(A3070))</f>
        <v/>
      </c>
    </row>
    <row r="3071">
      <c r="A3071">
        <f>Input!A3071</f>
        <v/>
      </c>
      <c r="B3071">
        <f>IF(ISNUMBER(Input!B3071),IF(AND(Input!B3071&gt;=20,Input!B3071&lt;=700),Input!B3071,""),"")</f>
        <v/>
      </c>
      <c r="C3071">
        <f>IF(B3071="","",INT(A3071))</f>
        <v/>
      </c>
      <c r="D3071">
        <f>IF(B3071="","",HOUR(A3071))</f>
        <v/>
      </c>
    </row>
    <row r="3072">
      <c r="A3072">
        <f>Input!A3072</f>
        <v/>
      </c>
      <c r="B3072">
        <f>IF(ISNUMBER(Input!B3072),IF(AND(Input!B3072&gt;=20,Input!B3072&lt;=700),Input!B3072,""),"")</f>
        <v/>
      </c>
      <c r="C3072">
        <f>IF(B3072="","",INT(A3072))</f>
        <v/>
      </c>
      <c r="D3072">
        <f>IF(B3072="","",HOUR(A3072))</f>
        <v/>
      </c>
    </row>
    <row r="3073">
      <c r="A3073">
        <f>Input!A3073</f>
        <v/>
      </c>
      <c r="B3073">
        <f>IF(ISNUMBER(Input!B3073),IF(AND(Input!B3073&gt;=20,Input!B3073&lt;=700),Input!B3073,""),"")</f>
        <v/>
      </c>
      <c r="C3073">
        <f>IF(B3073="","",INT(A3073))</f>
        <v/>
      </c>
      <c r="D3073">
        <f>IF(B3073="","",HOUR(A3073))</f>
        <v/>
      </c>
    </row>
    <row r="3074">
      <c r="A3074">
        <f>Input!A3074</f>
        <v/>
      </c>
      <c r="B3074">
        <f>IF(ISNUMBER(Input!B3074),IF(AND(Input!B3074&gt;=20,Input!B3074&lt;=700),Input!B3074,""),"")</f>
        <v/>
      </c>
      <c r="C3074">
        <f>IF(B3074="","",INT(A3074))</f>
        <v/>
      </c>
      <c r="D3074">
        <f>IF(B3074="","",HOUR(A3074))</f>
        <v/>
      </c>
    </row>
    <row r="3075">
      <c r="A3075">
        <f>Input!A3075</f>
        <v/>
      </c>
      <c r="B3075">
        <f>IF(ISNUMBER(Input!B3075),IF(AND(Input!B3075&gt;=20,Input!B3075&lt;=700),Input!B3075,""),"")</f>
        <v/>
      </c>
      <c r="C3075">
        <f>IF(B3075="","",INT(A3075))</f>
        <v/>
      </c>
      <c r="D3075">
        <f>IF(B3075="","",HOUR(A3075))</f>
        <v/>
      </c>
    </row>
    <row r="3076">
      <c r="A3076">
        <f>Input!A3076</f>
        <v/>
      </c>
      <c r="B3076">
        <f>IF(ISNUMBER(Input!B3076),IF(AND(Input!B3076&gt;=20,Input!B3076&lt;=700),Input!B3076,""),"")</f>
        <v/>
      </c>
      <c r="C3076">
        <f>IF(B3076="","",INT(A3076))</f>
        <v/>
      </c>
      <c r="D3076">
        <f>IF(B3076="","",HOUR(A3076))</f>
        <v/>
      </c>
    </row>
    <row r="3077">
      <c r="A3077">
        <f>Input!A3077</f>
        <v/>
      </c>
      <c r="B3077">
        <f>IF(ISNUMBER(Input!B3077),IF(AND(Input!B3077&gt;=20,Input!B3077&lt;=700),Input!B3077,""),"")</f>
        <v/>
      </c>
      <c r="C3077">
        <f>IF(B3077="","",INT(A3077))</f>
        <v/>
      </c>
      <c r="D3077">
        <f>IF(B3077="","",HOUR(A3077))</f>
        <v/>
      </c>
    </row>
    <row r="3078">
      <c r="A3078">
        <f>Input!A3078</f>
        <v/>
      </c>
      <c r="B3078">
        <f>IF(ISNUMBER(Input!B3078),IF(AND(Input!B3078&gt;=20,Input!B3078&lt;=700),Input!B3078,""),"")</f>
        <v/>
      </c>
      <c r="C3078">
        <f>IF(B3078="","",INT(A3078))</f>
        <v/>
      </c>
      <c r="D3078">
        <f>IF(B3078="","",HOUR(A3078))</f>
        <v/>
      </c>
    </row>
    <row r="3079">
      <c r="A3079">
        <f>Input!A3079</f>
        <v/>
      </c>
      <c r="B3079">
        <f>IF(ISNUMBER(Input!B3079),IF(AND(Input!B3079&gt;=20,Input!B3079&lt;=700),Input!B3079,""),"")</f>
        <v/>
      </c>
      <c r="C3079">
        <f>IF(B3079="","",INT(A3079))</f>
        <v/>
      </c>
      <c r="D3079">
        <f>IF(B3079="","",HOUR(A3079))</f>
        <v/>
      </c>
    </row>
    <row r="3080">
      <c r="A3080">
        <f>Input!A3080</f>
        <v/>
      </c>
      <c r="B3080">
        <f>IF(ISNUMBER(Input!B3080),IF(AND(Input!B3080&gt;=20,Input!B3080&lt;=700),Input!B3080,""),"")</f>
        <v/>
      </c>
      <c r="C3080">
        <f>IF(B3080="","",INT(A3080))</f>
        <v/>
      </c>
      <c r="D3080">
        <f>IF(B3080="","",HOUR(A3080))</f>
        <v/>
      </c>
    </row>
    <row r="3081">
      <c r="A3081">
        <f>Input!A3081</f>
        <v/>
      </c>
      <c r="B3081">
        <f>IF(ISNUMBER(Input!B3081),IF(AND(Input!B3081&gt;=20,Input!B3081&lt;=700),Input!B3081,""),"")</f>
        <v/>
      </c>
      <c r="C3081">
        <f>IF(B3081="","",INT(A3081))</f>
        <v/>
      </c>
      <c r="D3081">
        <f>IF(B3081="","",HOUR(A3081))</f>
        <v/>
      </c>
    </row>
    <row r="3082">
      <c r="A3082">
        <f>Input!A3082</f>
        <v/>
      </c>
      <c r="B3082">
        <f>IF(ISNUMBER(Input!B3082),IF(AND(Input!B3082&gt;=20,Input!B3082&lt;=700),Input!B3082,""),"")</f>
        <v/>
      </c>
      <c r="C3082">
        <f>IF(B3082="","",INT(A3082))</f>
        <v/>
      </c>
      <c r="D3082">
        <f>IF(B3082="","",HOUR(A3082))</f>
        <v/>
      </c>
    </row>
    <row r="3083">
      <c r="A3083">
        <f>Input!A3083</f>
        <v/>
      </c>
      <c r="B3083">
        <f>IF(ISNUMBER(Input!B3083),IF(AND(Input!B3083&gt;=20,Input!B3083&lt;=700),Input!B3083,""),"")</f>
        <v/>
      </c>
      <c r="C3083">
        <f>IF(B3083="","",INT(A3083))</f>
        <v/>
      </c>
      <c r="D3083">
        <f>IF(B3083="","",HOUR(A3083))</f>
        <v/>
      </c>
    </row>
    <row r="3084">
      <c r="A3084">
        <f>Input!A3084</f>
        <v/>
      </c>
      <c r="B3084">
        <f>IF(ISNUMBER(Input!B3084),IF(AND(Input!B3084&gt;=20,Input!B3084&lt;=700),Input!B3084,""),"")</f>
        <v/>
      </c>
      <c r="C3084">
        <f>IF(B3084="","",INT(A3084))</f>
        <v/>
      </c>
      <c r="D3084">
        <f>IF(B3084="","",HOUR(A3084))</f>
        <v/>
      </c>
    </row>
    <row r="3085">
      <c r="A3085">
        <f>Input!A3085</f>
        <v/>
      </c>
      <c r="B3085">
        <f>IF(ISNUMBER(Input!B3085),IF(AND(Input!B3085&gt;=20,Input!B3085&lt;=700),Input!B3085,""),"")</f>
        <v/>
      </c>
      <c r="C3085">
        <f>IF(B3085="","",INT(A3085))</f>
        <v/>
      </c>
      <c r="D3085">
        <f>IF(B3085="","",HOUR(A3085))</f>
        <v/>
      </c>
    </row>
    <row r="3086">
      <c r="A3086">
        <f>Input!A3086</f>
        <v/>
      </c>
      <c r="B3086">
        <f>IF(ISNUMBER(Input!B3086),IF(AND(Input!B3086&gt;=20,Input!B3086&lt;=700),Input!B3086,""),"")</f>
        <v/>
      </c>
      <c r="C3086">
        <f>IF(B3086="","",INT(A3086))</f>
        <v/>
      </c>
      <c r="D3086">
        <f>IF(B3086="","",HOUR(A3086))</f>
        <v/>
      </c>
    </row>
    <row r="3087">
      <c r="A3087">
        <f>Input!A3087</f>
        <v/>
      </c>
      <c r="B3087">
        <f>IF(ISNUMBER(Input!B3087),IF(AND(Input!B3087&gt;=20,Input!B3087&lt;=700),Input!B3087,""),"")</f>
        <v/>
      </c>
      <c r="C3087">
        <f>IF(B3087="","",INT(A3087))</f>
        <v/>
      </c>
      <c r="D3087">
        <f>IF(B3087="","",HOUR(A3087))</f>
        <v/>
      </c>
    </row>
    <row r="3088">
      <c r="A3088">
        <f>Input!A3088</f>
        <v/>
      </c>
      <c r="B3088">
        <f>IF(ISNUMBER(Input!B3088),IF(AND(Input!B3088&gt;=20,Input!B3088&lt;=700),Input!B3088,""),"")</f>
        <v/>
      </c>
      <c r="C3088">
        <f>IF(B3088="","",INT(A3088))</f>
        <v/>
      </c>
      <c r="D3088">
        <f>IF(B3088="","",HOUR(A3088))</f>
        <v/>
      </c>
    </row>
    <row r="3089">
      <c r="A3089">
        <f>Input!A3089</f>
        <v/>
      </c>
      <c r="B3089">
        <f>IF(ISNUMBER(Input!B3089),IF(AND(Input!B3089&gt;=20,Input!B3089&lt;=700),Input!B3089,""),"")</f>
        <v/>
      </c>
      <c r="C3089">
        <f>IF(B3089="","",INT(A3089))</f>
        <v/>
      </c>
      <c r="D3089">
        <f>IF(B3089="","",HOUR(A3089))</f>
        <v/>
      </c>
    </row>
    <row r="3090">
      <c r="A3090">
        <f>Input!A3090</f>
        <v/>
      </c>
      <c r="B3090">
        <f>IF(ISNUMBER(Input!B3090),IF(AND(Input!B3090&gt;=20,Input!B3090&lt;=700),Input!B3090,""),"")</f>
        <v/>
      </c>
      <c r="C3090">
        <f>IF(B3090="","",INT(A3090))</f>
        <v/>
      </c>
      <c r="D3090">
        <f>IF(B3090="","",HOUR(A3090))</f>
        <v/>
      </c>
    </row>
    <row r="3091">
      <c r="A3091">
        <f>Input!A3091</f>
        <v/>
      </c>
      <c r="B3091">
        <f>IF(ISNUMBER(Input!B3091),IF(AND(Input!B3091&gt;=20,Input!B3091&lt;=700),Input!B3091,""),"")</f>
        <v/>
      </c>
      <c r="C3091">
        <f>IF(B3091="","",INT(A3091))</f>
        <v/>
      </c>
      <c r="D3091">
        <f>IF(B3091="","",HOUR(A3091))</f>
        <v/>
      </c>
    </row>
    <row r="3092">
      <c r="A3092">
        <f>Input!A3092</f>
        <v/>
      </c>
      <c r="B3092">
        <f>IF(ISNUMBER(Input!B3092),IF(AND(Input!B3092&gt;=20,Input!B3092&lt;=700),Input!B3092,""),"")</f>
        <v/>
      </c>
      <c r="C3092">
        <f>IF(B3092="","",INT(A3092))</f>
        <v/>
      </c>
      <c r="D3092">
        <f>IF(B3092="","",HOUR(A3092))</f>
        <v/>
      </c>
    </row>
    <row r="3093">
      <c r="A3093">
        <f>Input!A3093</f>
        <v/>
      </c>
      <c r="B3093">
        <f>IF(ISNUMBER(Input!B3093),IF(AND(Input!B3093&gt;=20,Input!B3093&lt;=700),Input!B3093,""),"")</f>
        <v/>
      </c>
      <c r="C3093">
        <f>IF(B3093="","",INT(A3093))</f>
        <v/>
      </c>
      <c r="D3093">
        <f>IF(B3093="","",HOUR(A3093))</f>
        <v/>
      </c>
    </row>
    <row r="3094">
      <c r="A3094">
        <f>Input!A3094</f>
        <v/>
      </c>
      <c r="B3094">
        <f>IF(ISNUMBER(Input!B3094),IF(AND(Input!B3094&gt;=20,Input!B3094&lt;=700),Input!B3094,""),"")</f>
        <v/>
      </c>
      <c r="C3094">
        <f>IF(B3094="","",INT(A3094))</f>
        <v/>
      </c>
      <c r="D3094">
        <f>IF(B3094="","",HOUR(A3094))</f>
        <v/>
      </c>
    </row>
    <row r="3095">
      <c r="A3095">
        <f>Input!A3095</f>
        <v/>
      </c>
      <c r="B3095">
        <f>IF(ISNUMBER(Input!B3095),IF(AND(Input!B3095&gt;=20,Input!B3095&lt;=700),Input!B3095,""),"")</f>
        <v/>
      </c>
      <c r="C3095">
        <f>IF(B3095="","",INT(A3095))</f>
        <v/>
      </c>
      <c r="D3095">
        <f>IF(B3095="","",HOUR(A3095))</f>
        <v/>
      </c>
    </row>
    <row r="3096">
      <c r="A3096">
        <f>Input!A3096</f>
        <v/>
      </c>
      <c r="B3096">
        <f>IF(ISNUMBER(Input!B3096),IF(AND(Input!B3096&gt;=20,Input!B3096&lt;=700),Input!B3096,""),"")</f>
        <v/>
      </c>
      <c r="C3096">
        <f>IF(B3096="","",INT(A3096))</f>
        <v/>
      </c>
      <c r="D3096">
        <f>IF(B3096="","",HOUR(A3096))</f>
        <v/>
      </c>
    </row>
    <row r="3097">
      <c r="A3097">
        <f>Input!A3097</f>
        <v/>
      </c>
      <c r="B3097">
        <f>IF(ISNUMBER(Input!B3097),IF(AND(Input!B3097&gt;=20,Input!B3097&lt;=700),Input!B3097,""),"")</f>
        <v/>
      </c>
      <c r="C3097">
        <f>IF(B3097="","",INT(A3097))</f>
        <v/>
      </c>
      <c r="D3097">
        <f>IF(B3097="","",HOUR(A3097))</f>
        <v/>
      </c>
    </row>
    <row r="3098">
      <c r="A3098">
        <f>Input!A3098</f>
        <v/>
      </c>
      <c r="B3098">
        <f>IF(ISNUMBER(Input!B3098),IF(AND(Input!B3098&gt;=20,Input!B3098&lt;=700),Input!B3098,""),"")</f>
        <v/>
      </c>
      <c r="C3098">
        <f>IF(B3098="","",INT(A3098))</f>
        <v/>
      </c>
      <c r="D3098">
        <f>IF(B3098="","",HOUR(A3098))</f>
        <v/>
      </c>
    </row>
    <row r="3099">
      <c r="A3099">
        <f>Input!A3099</f>
        <v/>
      </c>
      <c r="B3099">
        <f>IF(ISNUMBER(Input!B3099),IF(AND(Input!B3099&gt;=20,Input!B3099&lt;=700),Input!B3099,""),"")</f>
        <v/>
      </c>
      <c r="C3099">
        <f>IF(B3099="","",INT(A3099))</f>
        <v/>
      </c>
      <c r="D3099">
        <f>IF(B3099="","",HOUR(A3099))</f>
        <v/>
      </c>
    </row>
    <row r="3100">
      <c r="A3100">
        <f>Input!A3100</f>
        <v/>
      </c>
      <c r="B3100">
        <f>IF(ISNUMBER(Input!B3100),IF(AND(Input!B3100&gt;=20,Input!B3100&lt;=700),Input!B3100,""),"")</f>
        <v/>
      </c>
      <c r="C3100">
        <f>IF(B3100="","",INT(A3100))</f>
        <v/>
      </c>
      <c r="D3100">
        <f>IF(B3100="","",HOUR(A3100))</f>
        <v/>
      </c>
    </row>
    <row r="3101">
      <c r="A3101">
        <f>Input!A3101</f>
        <v/>
      </c>
      <c r="B3101">
        <f>IF(ISNUMBER(Input!B3101),IF(AND(Input!B3101&gt;=20,Input!B3101&lt;=700),Input!B3101,""),"")</f>
        <v/>
      </c>
      <c r="C3101">
        <f>IF(B3101="","",INT(A3101))</f>
        <v/>
      </c>
      <c r="D3101">
        <f>IF(B3101="","",HOUR(A3101))</f>
        <v/>
      </c>
    </row>
    <row r="3102">
      <c r="A3102">
        <f>Input!A3102</f>
        <v/>
      </c>
      <c r="B3102">
        <f>IF(ISNUMBER(Input!B3102),IF(AND(Input!B3102&gt;=20,Input!B3102&lt;=700),Input!B3102,""),"")</f>
        <v/>
      </c>
      <c r="C3102">
        <f>IF(B3102="","",INT(A3102))</f>
        <v/>
      </c>
      <c r="D3102">
        <f>IF(B3102="","",HOUR(A3102))</f>
        <v/>
      </c>
    </row>
    <row r="3103">
      <c r="A3103">
        <f>Input!A3103</f>
        <v/>
      </c>
      <c r="B3103">
        <f>IF(ISNUMBER(Input!B3103),IF(AND(Input!B3103&gt;=20,Input!B3103&lt;=700),Input!B3103,""),"")</f>
        <v/>
      </c>
      <c r="C3103">
        <f>IF(B3103="","",INT(A3103))</f>
        <v/>
      </c>
      <c r="D3103">
        <f>IF(B3103="","",HOUR(A3103))</f>
        <v/>
      </c>
    </row>
    <row r="3104">
      <c r="A3104">
        <f>Input!A3104</f>
        <v/>
      </c>
      <c r="B3104">
        <f>IF(ISNUMBER(Input!B3104),IF(AND(Input!B3104&gt;=20,Input!B3104&lt;=700),Input!B3104,""),"")</f>
        <v/>
      </c>
      <c r="C3104">
        <f>IF(B3104="","",INT(A3104))</f>
        <v/>
      </c>
      <c r="D3104">
        <f>IF(B3104="","",HOUR(A3104))</f>
        <v/>
      </c>
    </row>
    <row r="3105">
      <c r="A3105">
        <f>Input!A3105</f>
        <v/>
      </c>
      <c r="B3105">
        <f>IF(ISNUMBER(Input!B3105),IF(AND(Input!B3105&gt;=20,Input!B3105&lt;=700),Input!B3105,""),"")</f>
        <v/>
      </c>
      <c r="C3105">
        <f>IF(B3105="","",INT(A3105))</f>
        <v/>
      </c>
      <c r="D3105">
        <f>IF(B3105="","",HOUR(A3105))</f>
        <v/>
      </c>
    </row>
    <row r="3106">
      <c r="A3106">
        <f>Input!A3106</f>
        <v/>
      </c>
      <c r="B3106">
        <f>IF(ISNUMBER(Input!B3106),IF(AND(Input!B3106&gt;=20,Input!B3106&lt;=700),Input!B3106,""),"")</f>
        <v/>
      </c>
      <c r="C3106">
        <f>IF(B3106="","",INT(A3106))</f>
        <v/>
      </c>
      <c r="D3106">
        <f>IF(B3106="","",HOUR(A3106))</f>
        <v/>
      </c>
    </row>
    <row r="3107">
      <c r="A3107">
        <f>Input!A3107</f>
        <v/>
      </c>
      <c r="B3107">
        <f>IF(ISNUMBER(Input!B3107),IF(AND(Input!B3107&gt;=20,Input!B3107&lt;=700),Input!B3107,""),"")</f>
        <v/>
      </c>
      <c r="C3107">
        <f>IF(B3107="","",INT(A3107))</f>
        <v/>
      </c>
      <c r="D3107">
        <f>IF(B3107="","",HOUR(A3107))</f>
        <v/>
      </c>
    </row>
    <row r="3108">
      <c r="A3108">
        <f>Input!A3108</f>
        <v/>
      </c>
      <c r="B3108">
        <f>IF(ISNUMBER(Input!B3108),IF(AND(Input!B3108&gt;=20,Input!B3108&lt;=700),Input!B3108,""),"")</f>
        <v/>
      </c>
      <c r="C3108">
        <f>IF(B3108="","",INT(A3108))</f>
        <v/>
      </c>
      <c r="D3108">
        <f>IF(B3108="","",HOUR(A3108))</f>
        <v/>
      </c>
    </row>
    <row r="3109">
      <c r="A3109">
        <f>Input!A3109</f>
        <v/>
      </c>
      <c r="B3109">
        <f>IF(ISNUMBER(Input!B3109),IF(AND(Input!B3109&gt;=20,Input!B3109&lt;=700),Input!B3109,""),"")</f>
        <v/>
      </c>
      <c r="C3109">
        <f>IF(B3109="","",INT(A3109))</f>
        <v/>
      </c>
      <c r="D3109">
        <f>IF(B3109="","",HOUR(A3109))</f>
        <v/>
      </c>
    </row>
    <row r="3110">
      <c r="A3110">
        <f>Input!A3110</f>
        <v/>
      </c>
      <c r="B3110">
        <f>IF(ISNUMBER(Input!B3110),IF(AND(Input!B3110&gt;=20,Input!B3110&lt;=700),Input!B3110,""),"")</f>
        <v/>
      </c>
      <c r="C3110">
        <f>IF(B3110="","",INT(A3110))</f>
        <v/>
      </c>
      <c r="D3110">
        <f>IF(B3110="","",HOUR(A3110))</f>
        <v/>
      </c>
    </row>
    <row r="3111">
      <c r="A3111">
        <f>Input!A3111</f>
        <v/>
      </c>
      <c r="B3111">
        <f>IF(ISNUMBER(Input!B3111),IF(AND(Input!B3111&gt;=20,Input!B3111&lt;=700),Input!B3111,""),"")</f>
        <v/>
      </c>
      <c r="C3111">
        <f>IF(B3111="","",INT(A3111))</f>
        <v/>
      </c>
      <c r="D3111">
        <f>IF(B3111="","",HOUR(A3111))</f>
        <v/>
      </c>
    </row>
    <row r="3112">
      <c r="A3112">
        <f>Input!A3112</f>
        <v/>
      </c>
      <c r="B3112">
        <f>IF(ISNUMBER(Input!B3112),IF(AND(Input!B3112&gt;=20,Input!B3112&lt;=700),Input!B3112,""),"")</f>
        <v/>
      </c>
      <c r="C3112">
        <f>IF(B3112="","",INT(A3112))</f>
        <v/>
      </c>
      <c r="D3112">
        <f>IF(B3112="","",HOUR(A3112))</f>
        <v/>
      </c>
    </row>
    <row r="3113">
      <c r="A3113">
        <f>Input!A3113</f>
        <v/>
      </c>
      <c r="B3113">
        <f>IF(ISNUMBER(Input!B3113),IF(AND(Input!B3113&gt;=20,Input!B3113&lt;=700),Input!B3113,""),"")</f>
        <v/>
      </c>
      <c r="C3113">
        <f>IF(B3113="","",INT(A3113))</f>
        <v/>
      </c>
      <c r="D3113">
        <f>IF(B3113="","",HOUR(A3113))</f>
        <v/>
      </c>
    </row>
    <row r="3114">
      <c r="A3114">
        <f>Input!A3114</f>
        <v/>
      </c>
      <c r="B3114">
        <f>IF(ISNUMBER(Input!B3114),IF(AND(Input!B3114&gt;=20,Input!B3114&lt;=700),Input!B3114,""),"")</f>
        <v/>
      </c>
      <c r="C3114">
        <f>IF(B3114="","",INT(A3114))</f>
        <v/>
      </c>
      <c r="D3114">
        <f>IF(B3114="","",HOUR(A3114))</f>
        <v/>
      </c>
    </row>
    <row r="3115">
      <c r="A3115">
        <f>Input!A3115</f>
        <v/>
      </c>
      <c r="B3115">
        <f>IF(ISNUMBER(Input!B3115),IF(AND(Input!B3115&gt;=20,Input!B3115&lt;=700),Input!B3115,""),"")</f>
        <v/>
      </c>
      <c r="C3115">
        <f>IF(B3115="","",INT(A3115))</f>
        <v/>
      </c>
      <c r="D3115">
        <f>IF(B3115="","",HOUR(A3115))</f>
        <v/>
      </c>
    </row>
    <row r="3116">
      <c r="A3116">
        <f>Input!A3116</f>
        <v/>
      </c>
      <c r="B3116">
        <f>IF(ISNUMBER(Input!B3116),IF(AND(Input!B3116&gt;=20,Input!B3116&lt;=700),Input!B3116,""),"")</f>
        <v/>
      </c>
      <c r="C3116">
        <f>IF(B3116="","",INT(A3116))</f>
        <v/>
      </c>
      <c r="D3116">
        <f>IF(B3116="","",HOUR(A3116))</f>
        <v/>
      </c>
    </row>
    <row r="3117">
      <c r="A3117">
        <f>Input!A3117</f>
        <v/>
      </c>
      <c r="B3117">
        <f>IF(ISNUMBER(Input!B3117),IF(AND(Input!B3117&gt;=20,Input!B3117&lt;=700),Input!B3117,""),"")</f>
        <v/>
      </c>
      <c r="C3117">
        <f>IF(B3117="","",INT(A3117))</f>
        <v/>
      </c>
      <c r="D3117">
        <f>IF(B3117="","",HOUR(A3117))</f>
        <v/>
      </c>
    </row>
    <row r="3118">
      <c r="A3118">
        <f>Input!A3118</f>
        <v/>
      </c>
      <c r="B3118">
        <f>IF(ISNUMBER(Input!B3118),IF(AND(Input!B3118&gt;=20,Input!B3118&lt;=700),Input!B3118,""),"")</f>
        <v/>
      </c>
      <c r="C3118">
        <f>IF(B3118="","",INT(A3118))</f>
        <v/>
      </c>
      <c r="D3118">
        <f>IF(B3118="","",HOUR(A3118))</f>
        <v/>
      </c>
    </row>
    <row r="3119">
      <c r="A3119">
        <f>Input!A3119</f>
        <v/>
      </c>
      <c r="B3119">
        <f>IF(ISNUMBER(Input!B3119),IF(AND(Input!B3119&gt;=20,Input!B3119&lt;=700),Input!B3119,""),"")</f>
        <v/>
      </c>
      <c r="C3119">
        <f>IF(B3119="","",INT(A3119))</f>
        <v/>
      </c>
      <c r="D3119">
        <f>IF(B3119="","",HOUR(A3119))</f>
        <v/>
      </c>
    </row>
    <row r="3120">
      <c r="A3120">
        <f>Input!A3120</f>
        <v/>
      </c>
      <c r="B3120">
        <f>IF(ISNUMBER(Input!B3120),IF(AND(Input!B3120&gt;=20,Input!B3120&lt;=700),Input!B3120,""),"")</f>
        <v/>
      </c>
      <c r="C3120">
        <f>IF(B3120="","",INT(A3120))</f>
        <v/>
      </c>
      <c r="D3120">
        <f>IF(B3120="","",HOUR(A3120))</f>
        <v/>
      </c>
    </row>
    <row r="3121">
      <c r="A3121">
        <f>Input!A3121</f>
        <v/>
      </c>
      <c r="B3121">
        <f>IF(ISNUMBER(Input!B3121),IF(AND(Input!B3121&gt;=20,Input!B3121&lt;=700),Input!B3121,""),"")</f>
        <v/>
      </c>
      <c r="C3121">
        <f>IF(B3121="","",INT(A3121))</f>
        <v/>
      </c>
      <c r="D3121">
        <f>IF(B3121="","",HOUR(A3121))</f>
        <v/>
      </c>
    </row>
    <row r="3122">
      <c r="A3122">
        <f>Input!A3122</f>
        <v/>
      </c>
      <c r="B3122">
        <f>IF(ISNUMBER(Input!B3122),IF(AND(Input!B3122&gt;=20,Input!B3122&lt;=700),Input!B3122,""),"")</f>
        <v/>
      </c>
      <c r="C3122">
        <f>IF(B3122="","",INT(A3122))</f>
        <v/>
      </c>
      <c r="D3122">
        <f>IF(B3122="","",HOUR(A3122))</f>
        <v/>
      </c>
    </row>
    <row r="3123">
      <c r="A3123">
        <f>Input!A3123</f>
        <v/>
      </c>
      <c r="B3123">
        <f>IF(ISNUMBER(Input!B3123),IF(AND(Input!B3123&gt;=20,Input!B3123&lt;=700),Input!B3123,""),"")</f>
        <v/>
      </c>
      <c r="C3123">
        <f>IF(B3123="","",INT(A3123))</f>
        <v/>
      </c>
      <c r="D3123">
        <f>IF(B3123="","",HOUR(A3123))</f>
        <v/>
      </c>
    </row>
    <row r="3124">
      <c r="A3124">
        <f>Input!A3124</f>
        <v/>
      </c>
      <c r="B3124">
        <f>IF(ISNUMBER(Input!B3124),IF(AND(Input!B3124&gt;=20,Input!B3124&lt;=700),Input!B3124,""),"")</f>
        <v/>
      </c>
      <c r="C3124">
        <f>IF(B3124="","",INT(A3124))</f>
        <v/>
      </c>
      <c r="D3124">
        <f>IF(B3124="","",HOUR(A3124))</f>
        <v/>
      </c>
    </row>
    <row r="3125">
      <c r="A3125">
        <f>Input!A3125</f>
        <v/>
      </c>
      <c r="B3125">
        <f>IF(ISNUMBER(Input!B3125),IF(AND(Input!B3125&gt;=20,Input!B3125&lt;=700),Input!B3125,""),"")</f>
        <v/>
      </c>
      <c r="C3125">
        <f>IF(B3125="","",INT(A3125))</f>
        <v/>
      </c>
      <c r="D3125">
        <f>IF(B3125="","",HOUR(A3125))</f>
        <v/>
      </c>
    </row>
    <row r="3126">
      <c r="A3126">
        <f>Input!A3126</f>
        <v/>
      </c>
      <c r="B3126">
        <f>IF(ISNUMBER(Input!B3126),IF(AND(Input!B3126&gt;=20,Input!B3126&lt;=700),Input!B3126,""),"")</f>
        <v/>
      </c>
      <c r="C3126">
        <f>IF(B3126="","",INT(A3126))</f>
        <v/>
      </c>
      <c r="D3126">
        <f>IF(B3126="","",HOUR(A3126))</f>
        <v/>
      </c>
    </row>
    <row r="3127">
      <c r="A3127">
        <f>Input!A3127</f>
        <v/>
      </c>
      <c r="B3127">
        <f>IF(ISNUMBER(Input!B3127),IF(AND(Input!B3127&gt;=20,Input!B3127&lt;=700),Input!B3127,""),"")</f>
        <v/>
      </c>
      <c r="C3127">
        <f>IF(B3127="","",INT(A3127))</f>
        <v/>
      </c>
      <c r="D3127">
        <f>IF(B3127="","",HOUR(A3127))</f>
        <v/>
      </c>
    </row>
    <row r="3128">
      <c r="A3128">
        <f>Input!A3128</f>
        <v/>
      </c>
      <c r="B3128">
        <f>IF(ISNUMBER(Input!B3128),IF(AND(Input!B3128&gt;=20,Input!B3128&lt;=700),Input!B3128,""),"")</f>
        <v/>
      </c>
      <c r="C3128">
        <f>IF(B3128="","",INT(A3128))</f>
        <v/>
      </c>
      <c r="D3128">
        <f>IF(B3128="","",HOUR(A3128))</f>
        <v/>
      </c>
    </row>
    <row r="3129">
      <c r="A3129">
        <f>Input!A3129</f>
        <v/>
      </c>
      <c r="B3129">
        <f>IF(ISNUMBER(Input!B3129),IF(AND(Input!B3129&gt;=20,Input!B3129&lt;=700),Input!B3129,""),"")</f>
        <v/>
      </c>
      <c r="C3129">
        <f>IF(B3129="","",INT(A3129))</f>
        <v/>
      </c>
      <c r="D3129">
        <f>IF(B3129="","",HOUR(A3129))</f>
        <v/>
      </c>
    </row>
    <row r="3130">
      <c r="A3130">
        <f>Input!A3130</f>
        <v/>
      </c>
      <c r="B3130">
        <f>IF(ISNUMBER(Input!B3130),IF(AND(Input!B3130&gt;=20,Input!B3130&lt;=700),Input!B3130,""),"")</f>
        <v/>
      </c>
      <c r="C3130">
        <f>IF(B3130="","",INT(A3130))</f>
        <v/>
      </c>
      <c r="D3130">
        <f>IF(B3130="","",HOUR(A3130))</f>
        <v/>
      </c>
    </row>
    <row r="3131">
      <c r="A3131">
        <f>Input!A3131</f>
        <v/>
      </c>
      <c r="B3131">
        <f>IF(ISNUMBER(Input!B3131),IF(AND(Input!B3131&gt;=20,Input!B3131&lt;=700),Input!B3131,""),"")</f>
        <v/>
      </c>
      <c r="C3131">
        <f>IF(B3131="","",INT(A3131))</f>
        <v/>
      </c>
      <c r="D3131">
        <f>IF(B3131="","",HOUR(A3131))</f>
        <v/>
      </c>
    </row>
    <row r="3132">
      <c r="A3132">
        <f>Input!A3132</f>
        <v/>
      </c>
      <c r="B3132">
        <f>IF(ISNUMBER(Input!B3132),IF(AND(Input!B3132&gt;=20,Input!B3132&lt;=700),Input!B3132,""),"")</f>
        <v/>
      </c>
      <c r="C3132">
        <f>IF(B3132="","",INT(A3132))</f>
        <v/>
      </c>
      <c r="D3132">
        <f>IF(B3132="","",HOUR(A3132))</f>
        <v/>
      </c>
    </row>
    <row r="3133">
      <c r="A3133">
        <f>Input!A3133</f>
        <v/>
      </c>
      <c r="B3133">
        <f>IF(ISNUMBER(Input!B3133),IF(AND(Input!B3133&gt;=20,Input!B3133&lt;=700),Input!B3133,""),"")</f>
        <v/>
      </c>
      <c r="C3133">
        <f>IF(B3133="","",INT(A3133))</f>
        <v/>
      </c>
      <c r="D3133">
        <f>IF(B3133="","",HOUR(A3133))</f>
        <v/>
      </c>
    </row>
    <row r="3134">
      <c r="A3134">
        <f>Input!A3134</f>
        <v/>
      </c>
      <c r="B3134">
        <f>IF(ISNUMBER(Input!B3134),IF(AND(Input!B3134&gt;=20,Input!B3134&lt;=700),Input!B3134,""),"")</f>
        <v/>
      </c>
      <c r="C3134">
        <f>IF(B3134="","",INT(A3134))</f>
        <v/>
      </c>
      <c r="D3134">
        <f>IF(B3134="","",HOUR(A3134))</f>
        <v/>
      </c>
    </row>
    <row r="3135">
      <c r="A3135">
        <f>Input!A3135</f>
        <v/>
      </c>
      <c r="B3135">
        <f>IF(ISNUMBER(Input!B3135),IF(AND(Input!B3135&gt;=20,Input!B3135&lt;=700),Input!B3135,""),"")</f>
        <v/>
      </c>
      <c r="C3135">
        <f>IF(B3135="","",INT(A3135))</f>
        <v/>
      </c>
      <c r="D3135">
        <f>IF(B3135="","",HOUR(A3135))</f>
        <v/>
      </c>
    </row>
    <row r="3136">
      <c r="A3136">
        <f>Input!A3136</f>
        <v/>
      </c>
      <c r="B3136">
        <f>IF(ISNUMBER(Input!B3136),IF(AND(Input!B3136&gt;=20,Input!B3136&lt;=700),Input!B3136,""),"")</f>
        <v/>
      </c>
      <c r="C3136">
        <f>IF(B3136="","",INT(A3136))</f>
        <v/>
      </c>
      <c r="D3136">
        <f>IF(B3136="","",HOUR(A3136))</f>
        <v/>
      </c>
    </row>
    <row r="3137">
      <c r="A3137">
        <f>Input!A3137</f>
        <v/>
      </c>
      <c r="B3137">
        <f>IF(ISNUMBER(Input!B3137),IF(AND(Input!B3137&gt;=20,Input!B3137&lt;=700),Input!B3137,""),"")</f>
        <v/>
      </c>
      <c r="C3137">
        <f>IF(B3137="","",INT(A3137))</f>
        <v/>
      </c>
      <c r="D3137">
        <f>IF(B3137="","",HOUR(A3137))</f>
        <v/>
      </c>
    </row>
    <row r="3138">
      <c r="A3138">
        <f>Input!A3138</f>
        <v/>
      </c>
      <c r="B3138">
        <f>IF(ISNUMBER(Input!B3138),IF(AND(Input!B3138&gt;=20,Input!B3138&lt;=700),Input!B3138,""),"")</f>
        <v/>
      </c>
      <c r="C3138">
        <f>IF(B3138="","",INT(A3138))</f>
        <v/>
      </c>
      <c r="D3138">
        <f>IF(B3138="","",HOUR(A3138))</f>
        <v/>
      </c>
    </row>
    <row r="3139">
      <c r="A3139">
        <f>Input!A3139</f>
        <v/>
      </c>
      <c r="B3139">
        <f>IF(ISNUMBER(Input!B3139),IF(AND(Input!B3139&gt;=20,Input!B3139&lt;=700),Input!B3139,""),"")</f>
        <v/>
      </c>
      <c r="C3139">
        <f>IF(B3139="","",INT(A3139))</f>
        <v/>
      </c>
      <c r="D3139">
        <f>IF(B3139="","",HOUR(A3139))</f>
        <v/>
      </c>
    </row>
    <row r="3140">
      <c r="A3140">
        <f>Input!A3140</f>
        <v/>
      </c>
      <c r="B3140">
        <f>IF(ISNUMBER(Input!B3140),IF(AND(Input!B3140&gt;=20,Input!B3140&lt;=700),Input!B3140,""),"")</f>
        <v/>
      </c>
      <c r="C3140">
        <f>IF(B3140="","",INT(A3140))</f>
        <v/>
      </c>
      <c r="D3140">
        <f>IF(B3140="","",HOUR(A3140))</f>
        <v/>
      </c>
    </row>
    <row r="3141">
      <c r="A3141">
        <f>Input!A3141</f>
        <v/>
      </c>
      <c r="B3141">
        <f>IF(ISNUMBER(Input!B3141),IF(AND(Input!B3141&gt;=20,Input!B3141&lt;=700),Input!B3141,""),"")</f>
        <v/>
      </c>
      <c r="C3141">
        <f>IF(B3141="","",INT(A3141))</f>
        <v/>
      </c>
      <c r="D3141">
        <f>IF(B3141="","",HOUR(A3141))</f>
        <v/>
      </c>
    </row>
    <row r="3142">
      <c r="A3142">
        <f>Input!A3142</f>
        <v/>
      </c>
      <c r="B3142">
        <f>IF(ISNUMBER(Input!B3142),IF(AND(Input!B3142&gt;=20,Input!B3142&lt;=700),Input!B3142,""),"")</f>
        <v/>
      </c>
      <c r="C3142">
        <f>IF(B3142="","",INT(A3142))</f>
        <v/>
      </c>
      <c r="D3142">
        <f>IF(B3142="","",HOUR(A3142))</f>
        <v/>
      </c>
    </row>
    <row r="3143">
      <c r="A3143">
        <f>Input!A3143</f>
        <v/>
      </c>
      <c r="B3143">
        <f>IF(ISNUMBER(Input!B3143),IF(AND(Input!B3143&gt;=20,Input!B3143&lt;=700),Input!B3143,""),"")</f>
        <v/>
      </c>
      <c r="C3143">
        <f>IF(B3143="","",INT(A3143))</f>
        <v/>
      </c>
      <c r="D3143">
        <f>IF(B3143="","",HOUR(A3143))</f>
        <v/>
      </c>
    </row>
    <row r="3144">
      <c r="A3144">
        <f>Input!A3144</f>
        <v/>
      </c>
      <c r="B3144">
        <f>IF(ISNUMBER(Input!B3144),IF(AND(Input!B3144&gt;=20,Input!B3144&lt;=700),Input!B3144,""),"")</f>
        <v/>
      </c>
      <c r="C3144">
        <f>IF(B3144="","",INT(A3144))</f>
        <v/>
      </c>
      <c r="D3144">
        <f>IF(B3144="","",HOUR(A3144))</f>
        <v/>
      </c>
    </row>
    <row r="3145">
      <c r="A3145">
        <f>Input!A3145</f>
        <v/>
      </c>
      <c r="B3145">
        <f>IF(ISNUMBER(Input!B3145),IF(AND(Input!B3145&gt;=20,Input!B3145&lt;=700),Input!B3145,""),"")</f>
        <v/>
      </c>
      <c r="C3145">
        <f>IF(B3145="","",INT(A3145))</f>
        <v/>
      </c>
      <c r="D3145">
        <f>IF(B3145="","",HOUR(A3145))</f>
        <v/>
      </c>
    </row>
    <row r="3146">
      <c r="A3146">
        <f>Input!A3146</f>
        <v/>
      </c>
      <c r="B3146">
        <f>IF(ISNUMBER(Input!B3146),IF(AND(Input!B3146&gt;=20,Input!B3146&lt;=700),Input!B3146,""),"")</f>
        <v/>
      </c>
      <c r="C3146">
        <f>IF(B3146="","",INT(A3146))</f>
        <v/>
      </c>
      <c r="D3146">
        <f>IF(B3146="","",HOUR(A3146))</f>
        <v/>
      </c>
    </row>
    <row r="3147">
      <c r="A3147">
        <f>Input!A3147</f>
        <v/>
      </c>
      <c r="B3147">
        <f>IF(ISNUMBER(Input!B3147),IF(AND(Input!B3147&gt;=20,Input!B3147&lt;=700),Input!B3147,""),"")</f>
        <v/>
      </c>
      <c r="C3147">
        <f>IF(B3147="","",INT(A3147))</f>
        <v/>
      </c>
      <c r="D3147">
        <f>IF(B3147="","",HOUR(A3147))</f>
        <v/>
      </c>
    </row>
    <row r="3148">
      <c r="A3148">
        <f>Input!A3148</f>
        <v/>
      </c>
      <c r="B3148">
        <f>IF(ISNUMBER(Input!B3148),IF(AND(Input!B3148&gt;=20,Input!B3148&lt;=700),Input!B3148,""),"")</f>
        <v/>
      </c>
      <c r="C3148">
        <f>IF(B3148="","",INT(A3148))</f>
        <v/>
      </c>
      <c r="D3148">
        <f>IF(B3148="","",HOUR(A3148))</f>
        <v/>
      </c>
    </row>
    <row r="3149">
      <c r="A3149">
        <f>Input!A3149</f>
        <v/>
      </c>
      <c r="B3149">
        <f>IF(ISNUMBER(Input!B3149),IF(AND(Input!B3149&gt;=20,Input!B3149&lt;=700),Input!B3149,""),"")</f>
        <v/>
      </c>
      <c r="C3149">
        <f>IF(B3149="","",INT(A3149))</f>
        <v/>
      </c>
      <c r="D3149">
        <f>IF(B3149="","",HOUR(A3149))</f>
        <v/>
      </c>
    </row>
    <row r="3150">
      <c r="A3150">
        <f>Input!A3150</f>
        <v/>
      </c>
      <c r="B3150">
        <f>IF(ISNUMBER(Input!B3150),IF(AND(Input!B3150&gt;=20,Input!B3150&lt;=700),Input!B3150,""),"")</f>
        <v/>
      </c>
      <c r="C3150">
        <f>IF(B3150="","",INT(A3150))</f>
        <v/>
      </c>
      <c r="D3150">
        <f>IF(B3150="","",HOUR(A3150))</f>
        <v/>
      </c>
    </row>
    <row r="3151">
      <c r="A3151">
        <f>Input!A3151</f>
        <v/>
      </c>
      <c r="B3151">
        <f>IF(ISNUMBER(Input!B3151),IF(AND(Input!B3151&gt;=20,Input!B3151&lt;=700),Input!B3151,""),"")</f>
        <v/>
      </c>
      <c r="C3151">
        <f>IF(B3151="","",INT(A3151))</f>
        <v/>
      </c>
      <c r="D3151">
        <f>IF(B3151="","",HOUR(A3151))</f>
        <v/>
      </c>
    </row>
    <row r="3152">
      <c r="A3152">
        <f>Input!A3152</f>
        <v/>
      </c>
      <c r="B3152">
        <f>IF(ISNUMBER(Input!B3152),IF(AND(Input!B3152&gt;=20,Input!B3152&lt;=700),Input!B3152,""),"")</f>
        <v/>
      </c>
      <c r="C3152">
        <f>IF(B3152="","",INT(A3152))</f>
        <v/>
      </c>
      <c r="D3152">
        <f>IF(B3152="","",HOUR(A3152))</f>
        <v/>
      </c>
    </row>
    <row r="3153">
      <c r="A3153">
        <f>Input!A3153</f>
        <v/>
      </c>
      <c r="B3153">
        <f>IF(ISNUMBER(Input!B3153),IF(AND(Input!B3153&gt;=20,Input!B3153&lt;=700),Input!B3153,""),"")</f>
        <v/>
      </c>
      <c r="C3153">
        <f>IF(B3153="","",INT(A3153))</f>
        <v/>
      </c>
      <c r="D3153">
        <f>IF(B3153="","",HOUR(A3153))</f>
        <v/>
      </c>
    </row>
    <row r="3154">
      <c r="A3154">
        <f>Input!A3154</f>
        <v/>
      </c>
      <c r="B3154">
        <f>IF(ISNUMBER(Input!B3154),IF(AND(Input!B3154&gt;=20,Input!B3154&lt;=700),Input!B3154,""),"")</f>
        <v/>
      </c>
      <c r="C3154">
        <f>IF(B3154="","",INT(A3154))</f>
        <v/>
      </c>
      <c r="D3154">
        <f>IF(B3154="","",HOUR(A3154))</f>
        <v/>
      </c>
    </row>
    <row r="3155">
      <c r="A3155">
        <f>Input!A3155</f>
        <v/>
      </c>
      <c r="B3155">
        <f>IF(ISNUMBER(Input!B3155),IF(AND(Input!B3155&gt;=20,Input!B3155&lt;=700),Input!B3155,""),"")</f>
        <v/>
      </c>
      <c r="C3155">
        <f>IF(B3155="","",INT(A3155))</f>
        <v/>
      </c>
      <c r="D3155">
        <f>IF(B3155="","",HOUR(A3155))</f>
        <v/>
      </c>
    </row>
    <row r="3156">
      <c r="A3156">
        <f>Input!A3156</f>
        <v/>
      </c>
      <c r="B3156">
        <f>IF(ISNUMBER(Input!B3156),IF(AND(Input!B3156&gt;=20,Input!B3156&lt;=700),Input!B3156,""),"")</f>
        <v/>
      </c>
      <c r="C3156">
        <f>IF(B3156="","",INT(A3156))</f>
        <v/>
      </c>
      <c r="D3156">
        <f>IF(B3156="","",HOUR(A3156))</f>
        <v/>
      </c>
    </row>
    <row r="3157">
      <c r="A3157">
        <f>Input!A3157</f>
        <v/>
      </c>
      <c r="B3157">
        <f>IF(ISNUMBER(Input!B3157),IF(AND(Input!B3157&gt;=20,Input!B3157&lt;=700),Input!B3157,""),"")</f>
        <v/>
      </c>
      <c r="C3157">
        <f>IF(B3157="","",INT(A3157))</f>
        <v/>
      </c>
      <c r="D3157">
        <f>IF(B3157="","",HOUR(A3157))</f>
        <v/>
      </c>
    </row>
    <row r="3158">
      <c r="A3158">
        <f>Input!A3158</f>
        <v/>
      </c>
      <c r="B3158">
        <f>IF(ISNUMBER(Input!B3158),IF(AND(Input!B3158&gt;=20,Input!B3158&lt;=700),Input!B3158,""),"")</f>
        <v/>
      </c>
      <c r="C3158">
        <f>IF(B3158="","",INT(A3158))</f>
        <v/>
      </c>
      <c r="D3158">
        <f>IF(B3158="","",HOUR(A3158))</f>
        <v/>
      </c>
    </row>
    <row r="3159">
      <c r="A3159">
        <f>Input!A3159</f>
        <v/>
      </c>
      <c r="B3159">
        <f>IF(ISNUMBER(Input!B3159),IF(AND(Input!B3159&gt;=20,Input!B3159&lt;=700),Input!B3159,""),"")</f>
        <v/>
      </c>
      <c r="C3159">
        <f>IF(B3159="","",INT(A3159))</f>
        <v/>
      </c>
      <c r="D3159">
        <f>IF(B3159="","",HOUR(A3159))</f>
        <v/>
      </c>
    </row>
    <row r="3160">
      <c r="A3160">
        <f>Input!A3160</f>
        <v/>
      </c>
      <c r="B3160">
        <f>IF(ISNUMBER(Input!B3160),IF(AND(Input!B3160&gt;=20,Input!B3160&lt;=700),Input!B3160,""),"")</f>
        <v/>
      </c>
      <c r="C3160">
        <f>IF(B3160="","",INT(A3160))</f>
        <v/>
      </c>
      <c r="D3160">
        <f>IF(B3160="","",HOUR(A3160))</f>
        <v/>
      </c>
    </row>
    <row r="3161">
      <c r="A3161">
        <f>Input!A3161</f>
        <v/>
      </c>
      <c r="B3161">
        <f>IF(ISNUMBER(Input!B3161),IF(AND(Input!B3161&gt;=20,Input!B3161&lt;=700),Input!B3161,""),"")</f>
        <v/>
      </c>
      <c r="C3161">
        <f>IF(B3161="","",INT(A3161))</f>
        <v/>
      </c>
      <c r="D3161">
        <f>IF(B3161="","",HOUR(A3161))</f>
        <v/>
      </c>
    </row>
    <row r="3162">
      <c r="A3162">
        <f>Input!A3162</f>
        <v/>
      </c>
      <c r="B3162">
        <f>IF(ISNUMBER(Input!B3162),IF(AND(Input!B3162&gt;=20,Input!B3162&lt;=700),Input!B3162,""),"")</f>
        <v/>
      </c>
      <c r="C3162">
        <f>IF(B3162="","",INT(A3162))</f>
        <v/>
      </c>
      <c r="D3162">
        <f>IF(B3162="","",HOUR(A3162))</f>
        <v/>
      </c>
    </row>
    <row r="3163">
      <c r="A3163">
        <f>Input!A3163</f>
        <v/>
      </c>
      <c r="B3163">
        <f>IF(ISNUMBER(Input!B3163),IF(AND(Input!B3163&gt;=20,Input!B3163&lt;=700),Input!B3163,""),"")</f>
        <v/>
      </c>
      <c r="C3163">
        <f>IF(B3163="","",INT(A3163))</f>
        <v/>
      </c>
      <c r="D3163">
        <f>IF(B3163="","",HOUR(A3163))</f>
        <v/>
      </c>
    </row>
    <row r="3164">
      <c r="A3164">
        <f>Input!A3164</f>
        <v/>
      </c>
      <c r="B3164">
        <f>IF(ISNUMBER(Input!B3164),IF(AND(Input!B3164&gt;=20,Input!B3164&lt;=700),Input!B3164,""),"")</f>
        <v/>
      </c>
      <c r="C3164">
        <f>IF(B3164="","",INT(A3164))</f>
        <v/>
      </c>
      <c r="D3164">
        <f>IF(B3164="","",HOUR(A3164))</f>
        <v/>
      </c>
    </row>
    <row r="3165">
      <c r="A3165">
        <f>Input!A3165</f>
        <v/>
      </c>
      <c r="B3165">
        <f>IF(ISNUMBER(Input!B3165),IF(AND(Input!B3165&gt;=20,Input!B3165&lt;=700),Input!B3165,""),"")</f>
        <v/>
      </c>
      <c r="C3165">
        <f>IF(B3165="","",INT(A3165))</f>
        <v/>
      </c>
      <c r="D3165">
        <f>IF(B3165="","",HOUR(A3165))</f>
        <v/>
      </c>
    </row>
    <row r="3166">
      <c r="A3166">
        <f>Input!A3166</f>
        <v/>
      </c>
      <c r="B3166">
        <f>IF(ISNUMBER(Input!B3166),IF(AND(Input!B3166&gt;=20,Input!B3166&lt;=700),Input!B3166,""),"")</f>
        <v/>
      </c>
      <c r="C3166">
        <f>IF(B3166="","",INT(A3166))</f>
        <v/>
      </c>
      <c r="D3166">
        <f>IF(B3166="","",HOUR(A3166))</f>
        <v/>
      </c>
    </row>
    <row r="3167">
      <c r="A3167">
        <f>Input!A3167</f>
        <v/>
      </c>
      <c r="B3167">
        <f>IF(ISNUMBER(Input!B3167),IF(AND(Input!B3167&gt;=20,Input!B3167&lt;=700),Input!B3167,""),"")</f>
        <v/>
      </c>
      <c r="C3167">
        <f>IF(B3167="","",INT(A3167))</f>
        <v/>
      </c>
      <c r="D3167">
        <f>IF(B3167="","",HOUR(A3167))</f>
        <v/>
      </c>
    </row>
    <row r="3168">
      <c r="A3168">
        <f>Input!A3168</f>
        <v/>
      </c>
      <c r="B3168">
        <f>IF(ISNUMBER(Input!B3168),IF(AND(Input!B3168&gt;=20,Input!B3168&lt;=700),Input!B3168,""),"")</f>
        <v/>
      </c>
      <c r="C3168">
        <f>IF(B3168="","",INT(A3168))</f>
        <v/>
      </c>
      <c r="D3168">
        <f>IF(B3168="","",HOUR(A3168))</f>
        <v/>
      </c>
    </row>
    <row r="3169">
      <c r="A3169">
        <f>Input!A3169</f>
        <v/>
      </c>
      <c r="B3169">
        <f>IF(ISNUMBER(Input!B3169),IF(AND(Input!B3169&gt;=20,Input!B3169&lt;=700),Input!B3169,""),"")</f>
        <v/>
      </c>
      <c r="C3169">
        <f>IF(B3169="","",INT(A3169))</f>
        <v/>
      </c>
      <c r="D3169">
        <f>IF(B3169="","",HOUR(A3169))</f>
        <v/>
      </c>
    </row>
    <row r="3170">
      <c r="A3170">
        <f>Input!A3170</f>
        <v/>
      </c>
      <c r="B3170">
        <f>IF(ISNUMBER(Input!B3170),IF(AND(Input!B3170&gt;=20,Input!B3170&lt;=700),Input!B3170,""),"")</f>
        <v/>
      </c>
      <c r="C3170">
        <f>IF(B3170="","",INT(A3170))</f>
        <v/>
      </c>
      <c r="D3170">
        <f>IF(B3170="","",HOUR(A3170))</f>
        <v/>
      </c>
    </row>
    <row r="3171">
      <c r="A3171">
        <f>Input!A3171</f>
        <v/>
      </c>
      <c r="B3171">
        <f>IF(ISNUMBER(Input!B3171),IF(AND(Input!B3171&gt;=20,Input!B3171&lt;=700),Input!B3171,""),"")</f>
        <v/>
      </c>
      <c r="C3171">
        <f>IF(B3171="","",INT(A3171))</f>
        <v/>
      </c>
      <c r="D3171">
        <f>IF(B3171="","",HOUR(A3171))</f>
        <v/>
      </c>
    </row>
    <row r="3172">
      <c r="A3172">
        <f>Input!A3172</f>
        <v/>
      </c>
      <c r="B3172">
        <f>IF(ISNUMBER(Input!B3172),IF(AND(Input!B3172&gt;=20,Input!B3172&lt;=700),Input!B3172,""),"")</f>
        <v/>
      </c>
      <c r="C3172">
        <f>IF(B3172="","",INT(A3172))</f>
        <v/>
      </c>
      <c r="D3172">
        <f>IF(B3172="","",HOUR(A3172))</f>
        <v/>
      </c>
    </row>
    <row r="3173">
      <c r="A3173">
        <f>Input!A3173</f>
        <v/>
      </c>
      <c r="B3173">
        <f>IF(ISNUMBER(Input!B3173),IF(AND(Input!B3173&gt;=20,Input!B3173&lt;=700),Input!B3173,""),"")</f>
        <v/>
      </c>
      <c r="C3173">
        <f>IF(B3173="","",INT(A3173))</f>
        <v/>
      </c>
      <c r="D3173">
        <f>IF(B3173="","",HOUR(A3173))</f>
        <v/>
      </c>
    </row>
    <row r="3174">
      <c r="A3174">
        <f>Input!A3174</f>
        <v/>
      </c>
      <c r="B3174">
        <f>IF(ISNUMBER(Input!B3174),IF(AND(Input!B3174&gt;=20,Input!B3174&lt;=700),Input!B3174,""),"")</f>
        <v/>
      </c>
      <c r="C3174">
        <f>IF(B3174="","",INT(A3174))</f>
        <v/>
      </c>
      <c r="D3174">
        <f>IF(B3174="","",HOUR(A3174))</f>
        <v/>
      </c>
    </row>
    <row r="3175">
      <c r="A3175">
        <f>Input!A3175</f>
        <v/>
      </c>
      <c r="B3175">
        <f>IF(ISNUMBER(Input!B3175),IF(AND(Input!B3175&gt;=20,Input!B3175&lt;=700),Input!B3175,""),"")</f>
        <v/>
      </c>
      <c r="C3175">
        <f>IF(B3175="","",INT(A3175))</f>
        <v/>
      </c>
      <c r="D3175">
        <f>IF(B3175="","",HOUR(A3175))</f>
        <v/>
      </c>
    </row>
    <row r="3176">
      <c r="A3176">
        <f>Input!A3176</f>
        <v/>
      </c>
      <c r="B3176">
        <f>IF(ISNUMBER(Input!B3176),IF(AND(Input!B3176&gt;=20,Input!B3176&lt;=700),Input!B3176,""),"")</f>
        <v/>
      </c>
      <c r="C3176">
        <f>IF(B3176="","",INT(A3176))</f>
        <v/>
      </c>
      <c r="D3176">
        <f>IF(B3176="","",HOUR(A3176))</f>
        <v/>
      </c>
    </row>
    <row r="3177">
      <c r="A3177">
        <f>Input!A3177</f>
        <v/>
      </c>
      <c r="B3177">
        <f>IF(ISNUMBER(Input!B3177),IF(AND(Input!B3177&gt;=20,Input!B3177&lt;=700),Input!B3177,""),"")</f>
        <v/>
      </c>
      <c r="C3177">
        <f>IF(B3177="","",INT(A3177))</f>
        <v/>
      </c>
      <c r="D3177">
        <f>IF(B3177="","",HOUR(A3177))</f>
        <v/>
      </c>
    </row>
    <row r="3178">
      <c r="A3178">
        <f>Input!A3178</f>
        <v/>
      </c>
      <c r="B3178">
        <f>IF(ISNUMBER(Input!B3178),IF(AND(Input!B3178&gt;=20,Input!B3178&lt;=700),Input!B3178,""),"")</f>
        <v/>
      </c>
      <c r="C3178">
        <f>IF(B3178="","",INT(A3178))</f>
        <v/>
      </c>
      <c r="D3178">
        <f>IF(B3178="","",HOUR(A3178))</f>
        <v/>
      </c>
    </row>
    <row r="3179">
      <c r="A3179">
        <f>Input!A3179</f>
        <v/>
      </c>
      <c r="B3179">
        <f>IF(ISNUMBER(Input!B3179),IF(AND(Input!B3179&gt;=20,Input!B3179&lt;=700),Input!B3179,""),"")</f>
        <v/>
      </c>
      <c r="C3179">
        <f>IF(B3179="","",INT(A3179))</f>
        <v/>
      </c>
      <c r="D3179">
        <f>IF(B3179="","",HOUR(A3179))</f>
        <v/>
      </c>
    </row>
    <row r="3180">
      <c r="A3180">
        <f>Input!A3180</f>
        <v/>
      </c>
      <c r="B3180">
        <f>IF(ISNUMBER(Input!B3180),IF(AND(Input!B3180&gt;=20,Input!B3180&lt;=700),Input!B3180,""),"")</f>
        <v/>
      </c>
      <c r="C3180">
        <f>IF(B3180="","",INT(A3180))</f>
        <v/>
      </c>
      <c r="D3180">
        <f>IF(B3180="","",HOUR(A3180))</f>
        <v/>
      </c>
    </row>
    <row r="3181">
      <c r="A3181">
        <f>Input!A3181</f>
        <v/>
      </c>
      <c r="B3181">
        <f>IF(ISNUMBER(Input!B3181),IF(AND(Input!B3181&gt;=20,Input!B3181&lt;=700),Input!B3181,""),"")</f>
        <v/>
      </c>
      <c r="C3181">
        <f>IF(B3181="","",INT(A3181))</f>
        <v/>
      </c>
      <c r="D3181">
        <f>IF(B3181="","",HOUR(A3181))</f>
        <v/>
      </c>
    </row>
    <row r="3182">
      <c r="A3182">
        <f>Input!A3182</f>
        <v/>
      </c>
      <c r="B3182">
        <f>IF(ISNUMBER(Input!B3182),IF(AND(Input!B3182&gt;=20,Input!B3182&lt;=700),Input!B3182,""),"")</f>
        <v/>
      </c>
      <c r="C3182">
        <f>IF(B3182="","",INT(A3182))</f>
        <v/>
      </c>
      <c r="D3182">
        <f>IF(B3182="","",HOUR(A3182))</f>
        <v/>
      </c>
    </row>
    <row r="3183">
      <c r="A3183">
        <f>Input!A3183</f>
        <v/>
      </c>
      <c r="B3183">
        <f>IF(ISNUMBER(Input!B3183),IF(AND(Input!B3183&gt;=20,Input!B3183&lt;=700),Input!B3183,""),"")</f>
        <v/>
      </c>
      <c r="C3183">
        <f>IF(B3183="","",INT(A3183))</f>
        <v/>
      </c>
      <c r="D3183">
        <f>IF(B3183="","",HOUR(A3183))</f>
        <v/>
      </c>
    </row>
    <row r="3184">
      <c r="A3184">
        <f>Input!A3184</f>
        <v/>
      </c>
      <c r="B3184">
        <f>IF(ISNUMBER(Input!B3184),IF(AND(Input!B3184&gt;=20,Input!B3184&lt;=700),Input!B3184,""),"")</f>
        <v/>
      </c>
      <c r="C3184">
        <f>IF(B3184="","",INT(A3184))</f>
        <v/>
      </c>
      <c r="D3184">
        <f>IF(B3184="","",HOUR(A3184))</f>
        <v/>
      </c>
    </row>
    <row r="3185">
      <c r="A3185">
        <f>Input!A3185</f>
        <v/>
      </c>
      <c r="B3185">
        <f>IF(ISNUMBER(Input!B3185),IF(AND(Input!B3185&gt;=20,Input!B3185&lt;=700),Input!B3185,""),"")</f>
        <v/>
      </c>
      <c r="C3185">
        <f>IF(B3185="","",INT(A3185))</f>
        <v/>
      </c>
      <c r="D3185">
        <f>IF(B3185="","",HOUR(A3185))</f>
        <v/>
      </c>
    </row>
    <row r="3186">
      <c r="A3186">
        <f>Input!A3186</f>
        <v/>
      </c>
      <c r="B3186">
        <f>IF(ISNUMBER(Input!B3186),IF(AND(Input!B3186&gt;=20,Input!B3186&lt;=700),Input!B3186,""),"")</f>
        <v/>
      </c>
      <c r="C3186">
        <f>IF(B3186="","",INT(A3186))</f>
        <v/>
      </c>
      <c r="D3186">
        <f>IF(B3186="","",HOUR(A3186))</f>
        <v/>
      </c>
    </row>
    <row r="3187">
      <c r="A3187">
        <f>Input!A3187</f>
        <v/>
      </c>
      <c r="B3187">
        <f>IF(ISNUMBER(Input!B3187),IF(AND(Input!B3187&gt;=20,Input!B3187&lt;=700),Input!B3187,""),"")</f>
        <v/>
      </c>
      <c r="C3187">
        <f>IF(B3187="","",INT(A3187))</f>
        <v/>
      </c>
      <c r="D3187">
        <f>IF(B3187="","",HOUR(A3187))</f>
        <v/>
      </c>
    </row>
    <row r="3188">
      <c r="A3188">
        <f>Input!A3188</f>
        <v/>
      </c>
      <c r="B3188">
        <f>IF(ISNUMBER(Input!B3188),IF(AND(Input!B3188&gt;=20,Input!B3188&lt;=700),Input!B3188,""),"")</f>
        <v/>
      </c>
      <c r="C3188">
        <f>IF(B3188="","",INT(A3188))</f>
        <v/>
      </c>
      <c r="D3188">
        <f>IF(B3188="","",HOUR(A3188))</f>
        <v/>
      </c>
    </row>
    <row r="3189">
      <c r="A3189">
        <f>Input!A3189</f>
        <v/>
      </c>
      <c r="B3189">
        <f>IF(ISNUMBER(Input!B3189),IF(AND(Input!B3189&gt;=20,Input!B3189&lt;=700),Input!B3189,""),"")</f>
        <v/>
      </c>
      <c r="C3189">
        <f>IF(B3189="","",INT(A3189))</f>
        <v/>
      </c>
      <c r="D3189">
        <f>IF(B3189="","",HOUR(A3189))</f>
        <v/>
      </c>
    </row>
    <row r="3190">
      <c r="A3190">
        <f>Input!A3190</f>
        <v/>
      </c>
      <c r="B3190">
        <f>IF(ISNUMBER(Input!B3190),IF(AND(Input!B3190&gt;=20,Input!B3190&lt;=700),Input!B3190,""),"")</f>
        <v/>
      </c>
      <c r="C3190">
        <f>IF(B3190="","",INT(A3190))</f>
        <v/>
      </c>
      <c r="D3190">
        <f>IF(B3190="","",HOUR(A3190))</f>
        <v/>
      </c>
    </row>
    <row r="3191">
      <c r="A3191">
        <f>Input!A3191</f>
        <v/>
      </c>
      <c r="B3191">
        <f>IF(ISNUMBER(Input!B3191),IF(AND(Input!B3191&gt;=20,Input!B3191&lt;=700),Input!B3191,""),"")</f>
        <v/>
      </c>
      <c r="C3191">
        <f>IF(B3191="","",INT(A3191))</f>
        <v/>
      </c>
      <c r="D3191">
        <f>IF(B3191="","",HOUR(A3191))</f>
        <v/>
      </c>
    </row>
    <row r="3192">
      <c r="A3192">
        <f>Input!A3192</f>
        <v/>
      </c>
      <c r="B3192">
        <f>IF(ISNUMBER(Input!B3192),IF(AND(Input!B3192&gt;=20,Input!B3192&lt;=700),Input!B3192,""),"")</f>
        <v/>
      </c>
      <c r="C3192">
        <f>IF(B3192="","",INT(A3192))</f>
        <v/>
      </c>
      <c r="D3192">
        <f>IF(B3192="","",HOUR(A3192))</f>
        <v/>
      </c>
    </row>
    <row r="3193">
      <c r="A3193">
        <f>Input!A3193</f>
        <v/>
      </c>
      <c r="B3193">
        <f>IF(ISNUMBER(Input!B3193),IF(AND(Input!B3193&gt;=20,Input!B3193&lt;=700),Input!B3193,""),"")</f>
        <v/>
      </c>
      <c r="C3193">
        <f>IF(B3193="","",INT(A3193))</f>
        <v/>
      </c>
      <c r="D3193">
        <f>IF(B3193="","",HOUR(A3193))</f>
        <v/>
      </c>
    </row>
    <row r="3194">
      <c r="A3194">
        <f>Input!A3194</f>
        <v/>
      </c>
      <c r="B3194">
        <f>IF(ISNUMBER(Input!B3194),IF(AND(Input!B3194&gt;=20,Input!B3194&lt;=700),Input!B3194,""),"")</f>
        <v/>
      </c>
      <c r="C3194">
        <f>IF(B3194="","",INT(A3194))</f>
        <v/>
      </c>
      <c r="D3194">
        <f>IF(B3194="","",HOUR(A3194))</f>
        <v/>
      </c>
    </row>
    <row r="3195">
      <c r="A3195">
        <f>Input!A3195</f>
        <v/>
      </c>
      <c r="B3195">
        <f>IF(ISNUMBER(Input!B3195),IF(AND(Input!B3195&gt;=20,Input!B3195&lt;=700),Input!B3195,""),"")</f>
        <v/>
      </c>
      <c r="C3195">
        <f>IF(B3195="","",INT(A3195))</f>
        <v/>
      </c>
      <c r="D3195">
        <f>IF(B3195="","",HOUR(A3195))</f>
        <v/>
      </c>
    </row>
    <row r="3196">
      <c r="A3196">
        <f>Input!A3196</f>
        <v/>
      </c>
      <c r="B3196">
        <f>IF(ISNUMBER(Input!B3196),IF(AND(Input!B3196&gt;=20,Input!B3196&lt;=700),Input!B3196,""),"")</f>
        <v/>
      </c>
      <c r="C3196">
        <f>IF(B3196="","",INT(A3196))</f>
        <v/>
      </c>
      <c r="D3196">
        <f>IF(B3196="","",HOUR(A3196))</f>
        <v/>
      </c>
    </row>
    <row r="3197">
      <c r="A3197">
        <f>Input!A3197</f>
        <v/>
      </c>
      <c r="B3197">
        <f>IF(ISNUMBER(Input!B3197),IF(AND(Input!B3197&gt;=20,Input!B3197&lt;=700),Input!B3197,""),"")</f>
        <v/>
      </c>
      <c r="C3197">
        <f>IF(B3197="","",INT(A3197))</f>
        <v/>
      </c>
      <c r="D3197">
        <f>IF(B3197="","",HOUR(A3197))</f>
        <v/>
      </c>
    </row>
    <row r="3198">
      <c r="A3198">
        <f>Input!A3198</f>
        <v/>
      </c>
      <c r="B3198">
        <f>IF(ISNUMBER(Input!B3198),IF(AND(Input!B3198&gt;=20,Input!B3198&lt;=700),Input!B3198,""),"")</f>
        <v/>
      </c>
      <c r="C3198">
        <f>IF(B3198="","",INT(A3198))</f>
        <v/>
      </c>
      <c r="D3198">
        <f>IF(B3198="","",HOUR(A3198))</f>
        <v/>
      </c>
    </row>
    <row r="3199">
      <c r="A3199">
        <f>Input!A3199</f>
        <v/>
      </c>
      <c r="B3199">
        <f>IF(ISNUMBER(Input!B3199),IF(AND(Input!B3199&gt;=20,Input!B3199&lt;=700),Input!B3199,""),"")</f>
        <v/>
      </c>
      <c r="C3199">
        <f>IF(B3199="","",INT(A3199))</f>
        <v/>
      </c>
      <c r="D3199">
        <f>IF(B3199="","",HOUR(A3199))</f>
        <v/>
      </c>
    </row>
    <row r="3200">
      <c r="A3200">
        <f>Input!A3200</f>
        <v/>
      </c>
      <c r="B3200">
        <f>IF(ISNUMBER(Input!B3200),IF(AND(Input!B3200&gt;=20,Input!B3200&lt;=700),Input!B3200,""),"")</f>
        <v/>
      </c>
      <c r="C3200">
        <f>IF(B3200="","",INT(A3200))</f>
        <v/>
      </c>
      <c r="D3200">
        <f>IF(B3200="","",HOUR(A3200))</f>
        <v/>
      </c>
    </row>
    <row r="3201">
      <c r="A3201">
        <f>Input!A3201</f>
        <v/>
      </c>
      <c r="B3201">
        <f>IF(ISNUMBER(Input!B3201),IF(AND(Input!B3201&gt;=20,Input!B3201&lt;=700),Input!B3201,""),"")</f>
        <v/>
      </c>
      <c r="C3201">
        <f>IF(B3201="","",INT(A3201))</f>
        <v/>
      </c>
      <c r="D3201">
        <f>IF(B3201="","",HOUR(A3201))</f>
        <v/>
      </c>
    </row>
    <row r="3202">
      <c r="A3202">
        <f>Input!A3202</f>
        <v/>
      </c>
      <c r="B3202">
        <f>IF(ISNUMBER(Input!B3202),IF(AND(Input!B3202&gt;=20,Input!B3202&lt;=700),Input!B3202,""),"")</f>
        <v/>
      </c>
      <c r="C3202">
        <f>IF(B3202="","",INT(A3202))</f>
        <v/>
      </c>
      <c r="D3202">
        <f>IF(B3202="","",HOUR(A3202))</f>
        <v/>
      </c>
    </row>
    <row r="3203">
      <c r="A3203">
        <f>Input!A3203</f>
        <v/>
      </c>
      <c r="B3203">
        <f>IF(ISNUMBER(Input!B3203),IF(AND(Input!B3203&gt;=20,Input!B3203&lt;=700),Input!B3203,""),"")</f>
        <v/>
      </c>
      <c r="C3203">
        <f>IF(B3203="","",INT(A3203))</f>
        <v/>
      </c>
      <c r="D3203">
        <f>IF(B3203="","",HOUR(A3203))</f>
        <v/>
      </c>
    </row>
    <row r="3204">
      <c r="A3204">
        <f>Input!A3204</f>
        <v/>
      </c>
      <c r="B3204">
        <f>IF(ISNUMBER(Input!B3204),IF(AND(Input!B3204&gt;=20,Input!B3204&lt;=700),Input!B3204,""),"")</f>
        <v/>
      </c>
      <c r="C3204">
        <f>IF(B3204="","",INT(A3204))</f>
        <v/>
      </c>
      <c r="D3204">
        <f>IF(B3204="","",HOUR(A3204))</f>
        <v/>
      </c>
    </row>
    <row r="3205">
      <c r="A3205">
        <f>Input!A3205</f>
        <v/>
      </c>
      <c r="B3205">
        <f>IF(ISNUMBER(Input!B3205),IF(AND(Input!B3205&gt;=20,Input!B3205&lt;=700),Input!B3205,""),"")</f>
        <v/>
      </c>
      <c r="C3205">
        <f>IF(B3205="","",INT(A3205))</f>
        <v/>
      </c>
      <c r="D3205">
        <f>IF(B3205="","",HOUR(A3205))</f>
        <v/>
      </c>
    </row>
    <row r="3206">
      <c r="A3206">
        <f>Input!A3206</f>
        <v/>
      </c>
      <c r="B3206">
        <f>IF(ISNUMBER(Input!B3206),IF(AND(Input!B3206&gt;=20,Input!B3206&lt;=700),Input!B3206,""),"")</f>
        <v/>
      </c>
      <c r="C3206">
        <f>IF(B3206="","",INT(A3206))</f>
        <v/>
      </c>
      <c r="D3206">
        <f>IF(B3206="","",HOUR(A3206))</f>
        <v/>
      </c>
    </row>
    <row r="3207">
      <c r="A3207">
        <f>Input!A3207</f>
        <v/>
      </c>
      <c r="B3207">
        <f>IF(ISNUMBER(Input!B3207),IF(AND(Input!B3207&gt;=20,Input!B3207&lt;=700),Input!B3207,""),"")</f>
        <v/>
      </c>
      <c r="C3207">
        <f>IF(B3207="","",INT(A3207))</f>
        <v/>
      </c>
      <c r="D3207">
        <f>IF(B3207="","",HOUR(A3207))</f>
        <v/>
      </c>
    </row>
    <row r="3208">
      <c r="A3208">
        <f>Input!A3208</f>
        <v/>
      </c>
      <c r="B3208">
        <f>IF(ISNUMBER(Input!B3208),IF(AND(Input!B3208&gt;=20,Input!B3208&lt;=700),Input!B3208,""),"")</f>
        <v/>
      </c>
      <c r="C3208">
        <f>IF(B3208="","",INT(A3208))</f>
        <v/>
      </c>
      <c r="D3208">
        <f>IF(B3208="","",HOUR(A3208))</f>
        <v/>
      </c>
    </row>
    <row r="3209">
      <c r="A3209">
        <f>Input!A3209</f>
        <v/>
      </c>
      <c r="B3209">
        <f>IF(ISNUMBER(Input!B3209),IF(AND(Input!B3209&gt;=20,Input!B3209&lt;=700),Input!B3209,""),"")</f>
        <v/>
      </c>
      <c r="C3209">
        <f>IF(B3209="","",INT(A3209))</f>
        <v/>
      </c>
      <c r="D3209">
        <f>IF(B3209="","",HOUR(A3209))</f>
        <v/>
      </c>
    </row>
    <row r="3210">
      <c r="A3210">
        <f>Input!A3210</f>
        <v/>
      </c>
      <c r="B3210">
        <f>IF(ISNUMBER(Input!B3210),IF(AND(Input!B3210&gt;=20,Input!B3210&lt;=700),Input!B3210,""),"")</f>
        <v/>
      </c>
      <c r="C3210">
        <f>IF(B3210="","",INT(A3210))</f>
        <v/>
      </c>
      <c r="D3210">
        <f>IF(B3210="","",HOUR(A3210))</f>
        <v/>
      </c>
    </row>
    <row r="3211">
      <c r="A3211">
        <f>Input!A3211</f>
        <v/>
      </c>
      <c r="B3211">
        <f>IF(ISNUMBER(Input!B3211),IF(AND(Input!B3211&gt;=20,Input!B3211&lt;=700),Input!B3211,""),"")</f>
        <v/>
      </c>
      <c r="C3211">
        <f>IF(B3211="","",INT(A3211))</f>
        <v/>
      </c>
      <c r="D3211">
        <f>IF(B3211="","",HOUR(A3211))</f>
        <v/>
      </c>
    </row>
    <row r="3212">
      <c r="A3212">
        <f>Input!A3212</f>
        <v/>
      </c>
      <c r="B3212">
        <f>IF(ISNUMBER(Input!B3212),IF(AND(Input!B3212&gt;=20,Input!B3212&lt;=700),Input!B3212,""),"")</f>
        <v/>
      </c>
      <c r="C3212">
        <f>IF(B3212="","",INT(A3212))</f>
        <v/>
      </c>
      <c r="D3212">
        <f>IF(B3212="","",HOUR(A3212))</f>
        <v/>
      </c>
    </row>
    <row r="3213">
      <c r="A3213">
        <f>Input!A3213</f>
        <v/>
      </c>
      <c r="B3213">
        <f>IF(ISNUMBER(Input!B3213),IF(AND(Input!B3213&gt;=20,Input!B3213&lt;=700),Input!B3213,""),"")</f>
        <v/>
      </c>
      <c r="C3213">
        <f>IF(B3213="","",INT(A3213))</f>
        <v/>
      </c>
      <c r="D3213">
        <f>IF(B3213="","",HOUR(A3213))</f>
        <v/>
      </c>
    </row>
    <row r="3214">
      <c r="A3214">
        <f>Input!A3214</f>
        <v/>
      </c>
      <c r="B3214">
        <f>IF(ISNUMBER(Input!B3214),IF(AND(Input!B3214&gt;=20,Input!B3214&lt;=700),Input!B3214,""),"")</f>
        <v/>
      </c>
      <c r="C3214">
        <f>IF(B3214="","",INT(A3214))</f>
        <v/>
      </c>
      <c r="D3214">
        <f>IF(B3214="","",HOUR(A3214))</f>
        <v/>
      </c>
    </row>
    <row r="3215">
      <c r="A3215">
        <f>Input!A3215</f>
        <v/>
      </c>
      <c r="B3215">
        <f>IF(ISNUMBER(Input!B3215),IF(AND(Input!B3215&gt;=20,Input!B3215&lt;=700),Input!B3215,""),"")</f>
        <v/>
      </c>
      <c r="C3215">
        <f>IF(B3215="","",INT(A3215))</f>
        <v/>
      </c>
      <c r="D3215">
        <f>IF(B3215="","",HOUR(A3215))</f>
        <v/>
      </c>
    </row>
    <row r="3216">
      <c r="A3216">
        <f>Input!A3216</f>
        <v/>
      </c>
      <c r="B3216">
        <f>IF(ISNUMBER(Input!B3216),IF(AND(Input!B3216&gt;=20,Input!B3216&lt;=700),Input!B3216,""),"")</f>
        <v/>
      </c>
      <c r="C3216">
        <f>IF(B3216="","",INT(A3216))</f>
        <v/>
      </c>
      <c r="D3216">
        <f>IF(B3216="","",HOUR(A3216))</f>
        <v/>
      </c>
    </row>
    <row r="3217">
      <c r="A3217">
        <f>Input!A3217</f>
        <v/>
      </c>
      <c r="B3217">
        <f>IF(ISNUMBER(Input!B3217),IF(AND(Input!B3217&gt;=20,Input!B3217&lt;=700),Input!B3217,""),"")</f>
        <v/>
      </c>
      <c r="C3217">
        <f>IF(B3217="","",INT(A3217))</f>
        <v/>
      </c>
      <c r="D3217">
        <f>IF(B3217="","",HOUR(A3217))</f>
        <v/>
      </c>
    </row>
    <row r="3218">
      <c r="A3218">
        <f>Input!A3218</f>
        <v/>
      </c>
      <c r="B3218">
        <f>IF(ISNUMBER(Input!B3218),IF(AND(Input!B3218&gt;=20,Input!B3218&lt;=700),Input!B3218,""),"")</f>
        <v/>
      </c>
      <c r="C3218">
        <f>IF(B3218="","",INT(A3218))</f>
        <v/>
      </c>
      <c r="D3218">
        <f>IF(B3218="","",HOUR(A3218))</f>
        <v/>
      </c>
    </row>
    <row r="3219">
      <c r="A3219">
        <f>Input!A3219</f>
        <v/>
      </c>
      <c r="B3219">
        <f>IF(ISNUMBER(Input!B3219),IF(AND(Input!B3219&gt;=20,Input!B3219&lt;=700),Input!B3219,""),"")</f>
        <v/>
      </c>
      <c r="C3219">
        <f>IF(B3219="","",INT(A3219))</f>
        <v/>
      </c>
      <c r="D3219">
        <f>IF(B3219="","",HOUR(A3219))</f>
        <v/>
      </c>
    </row>
    <row r="3220">
      <c r="A3220">
        <f>Input!A3220</f>
        <v/>
      </c>
      <c r="B3220">
        <f>IF(ISNUMBER(Input!B3220),IF(AND(Input!B3220&gt;=20,Input!B3220&lt;=700),Input!B3220,""),"")</f>
        <v/>
      </c>
      <c r="C3220">
        <f>IF(B3220="","",INT(A3220))</f>
        <v/>
      </c>
      <c r="D3220">
        <f>IF(B3220="","",HOUR(A3220))</f>
        <v/>
      </c>
    </row>
    <row r="3221">
      <c r="A3221">
        <f>Input!A3221</f>
        <v/>
      </c>
      <c r="B3221">
        <f>IF(ISNUMBER(Input!B3221),IF(AND(Input!B3221&gt;=20,Input!B3221&lt;=700),Input!B3221,""),"")</f>
        <v/>
      </c>
      <c r="C3221">
        <f>IF(B3221="","",INT(A3221))</f>
        <v/>
      </c>
      <c r="D3221">
        <f>IF(B3221="","",HOUR(A3221))</f>
        <v/>
      </c>
    </row>
    <row r="3222">
      <c r="A3222">
        <f>Input!A3222</f>
        <v/>
      </c>
      <c r="B3222">
        <f>IF(ISNUMBER(Input!B3222),IF(AND(Input!B3222&gt;=20,Input!B3222&lt;=700),Input!B3222,""),"")</f>
        <v/>
      </c>
      <c r="C3222">
        <f>IF(B3222="","",INT(A3222))</f>
        <v/>
      </c>
      <c r="D3222">
        <f>IF(B3222="","",HOUR(A3222))</f>
        <v/>
      </c>
    </row>
    <row r="3223">
      <c r="A3223">
        <f>Input!A3223</f>
        <v/>
      </c>
      <c r="B3223">
        <f>IF(ISNUMBER(Input!B3223),IF(AND(Input!B3223&gt;=20,Input!B3223&lt;=700),Input!B3223,""),"")</f>
        <v/>
      </c>
      <c r="C3223">
        <f>IF(B3223="","",INT(A3223))</f>
        <v/>
      </c>
      <c r="D3223">
        <f>IF(B3223="","",HOUR(A3223))</f>
        <v/>
      </c>
    </row>
    <row r="3224">
      <c r="A3224">
        <f>Input!A3224</f>
        <v/>
      </c>
      <c r="B3224">
        <f>IF(ISNUMBER(Input!B3224),IF(AND(Input!B3224&gt;=20,Input!B3224&lt;=700),Input!B3224,""),"")</f>
        <v/>
      </c>
      <c r="C3224">
        <f>IF(B3224="","",INT(A3224))</f>
        <v/>
      </c>
      <c r="D3224">
        <f>IF(B3224="","",HOUR(A3224))</f>
        <v/>
      </c>
    </row>
    <row r="3225">
      <c r="A3225">
        <f>Input!A3225</f>
        <v/>
      </c>
      <c r="B3225">
        <f>IF(ISNUMBER(Input!B3225),IF(AND(Input!B3225&gt;=20,Input!B3225&lt;=700),Input!B3225,""),"")</f>
        <v/>
      </c>
      <c r="C3225">
        <f>IF(B3225="","",INT(A3225))</f>
        <v/>
      </c>
      <c r="D3225">
        <f>IF(B3225="","",HOUR(A3225))</f>
        <v/>
      </c>
    </row>
    <row r="3226">
      <c r="A3226">
        <f>Input!A3226</f>
        <v/>
      </c>
      <c r="B3226">
        <f>IF(ISNUMBER(Input!B3226),IF(AND(Input!B3226&gt;=20,Input!B3226&lt;=700),Input!B3226,""),"")</f>
        <v/>
      </c>
      <c r="C3226">
        <f>IF(B3226="","",INT(A3226))</f>
        <v/>
      </c>
      <c r="D3226">
        <f>IF(B3226="","",HOUR(A3226))</f>
        <v/>
      </c>
    </row>
    <row r="3227">
      <c r="A3227">
        <f>Input!A3227</f>
        <v/>
      </c>
      <c r="B3227">
        <f>IF(ISNUMBER(Input!B3227),IF(AND(Input!B3227&gt;=20,Input!B3227&lt;=700),Input!B3227,""),"")</f>
        <v/>
      </c>
      <c r="C3227">
        <f>IF(B3227="","",INT(A3227))</f>
        <v/>
      </c>
      <c r="D3227">
        <f>IF(B3227="","",HOUR(A3227))</f>
        <v/>
      </c>
    </row>
    <row r="3228">
      <c r="A3228">
        <f>Input!A3228</f>
        <v/>
      </c>
      <c r="B3228">
        <f>IF(ISNUMBER(Input!B3228),IF(AND(Input!B3228&gt;=20,Input!B3228&lt;=700),Input!B3228,""),"")</f>
        <v/>
      </c>
      <c r="C3228">
        <f>IF(B3228="","",INT(A3228))</f>
        <v/>
      </c>
      <c r="D3228">
        <f>IF(B3228="","",HOUR(A3228))</f>
        <v/>
      </c>
    </row>
    <row r="3229">
      <c r="A3229">
        <f>Input!A3229</f>
        <v/>
      </c>
      <c r="B3229">
        <f>IF(ISNUMBER(Input!B3229),IF(AND(Input!B3229&gt;=20,Input!B3229&lt;=700),Input!B3229,""),"")</f>
        <v/>
      </c>
      <c r="C3229">
        <f>IF(B3229="","",INT(A3229))</f>
        <v/>
      </c>
      <c r="D3229">
        <f>IF(B3229="","",HOUR(A3229))</f>
        <v/>
      </c>
    </row>
    <row r="3230">
      <c r="A3230">
        <f>Input!A3230</f>
        <v/>
      </c>
      <c r="B3230">
        <f>IF(ISNUMBER(Input!B3230),IF(AND(Input!B3230&gt;=20,Input!B3230&lt;=700),Input!B3230,""),"")</f>
        <v/>
      </c>
      <c r="C3230">
        <f>IF(B3230="","",INT(A3230))</f>
        <v/>
      </c>
      <c r="D3230">
        <f>IF(B3230="","",HOUR(A3230))</f>
        <v/>
      </c>
    </row>
    <row r="3231">
      <c r="A3231">
        <f>Input!A3231</f>
        <v/>
      </c>
      <c r="B3231">
        <f>IF(ISNUMBER(Input!B3231),IF(AND(Input!B3231&gt;=20,Input!B3231&lt;=700),Input!B3231,""),"")</f>
        <v/>
      </c>
      <c r="C3231">
        <f>IF(B3231="","",INT(A3231))</f>
        <v/>
      </c>
      <c r="D3231">
        <f>IF(B3231="","",HOUR(A3231))</f>
        <v/>
      </c>
    </row>
    <row r="3232">
      <c r="A3232">
        <f>Input!A3232</f>
        <v/>
      </c>
      <c r="B3232">
        <f>IF(ISNUMBER(Input!B3232),IF(AND(Input!B3232&gt;=20,Input!B3232&lt;=700),Input!B3232,""),"")</f>
        <v/>
      </c>
      <c r="C3232">
        <f>IF(B3232="","",INT(A3232))</f>
        <v/>
      </c>
      <c r="D3232">
        <f>IF(B3232="","",HOUR(A3232))</f>
        <v/>
      </c>
    </row>
    <row r="3233">
      <c r="A3233">
        <f>Input!A3233</f>
        <v/>
      </c>
      <c r="B3233">
        <f>IF(ISNUMBER(Input!B3233),IF(AND(Input!B3233&gt;=20,Input!B3233&lt;=700),Input!B3233,""),"")</f>
        <v/>
      </c>
      <c r="C3233">
        <f>IF(B3233="","",INT(A3233))</f>
        <v/>
      </c>
      <c r="D3233">
        <f>IF(B3233="","",HOUR(A3233))</f>
        <v/>
      </c>
    </row>
    <row r="3234">
      <c r="A3234">
        <f>Input!A3234</f>
        <v/>
      </c>
      <c r="B3234">
        <f>IF(ISNUMBER(Input!B3234),IF(AND(Input!B3234&gt;=20,Input!B3234&lt;=700),Input!B3234,""),"")</f>
        <v/>
      </c>
      <c r="C3234">
        <f>IF(B3234="","",INT(A3234))</f>
        <v/>
      </c>
      <c r="D3234">
        <f>IF(B3234="","",HOUR(A3234))</f>
        <v/>
      </c>
    </row>
    <row r="3235">
      <c r="A3235">
        <f>Input!A3235</f>
        <v/>
      </c>
      <c r="B3235">
        <f>IF(ISNUMBER(Input!B3235),IF(AND(Input!B3235&gt;=20,Input!B3235&lt;=700),Input!B3235,""),"")</f>
        <v/>
      </c>
      <c r="C3235">
        <f>IF(B3235="","",INT(A3235))</f>
        <v/>
      </c>
      <c r="D3235">
        <f>IF(B3235="","",HOUR(A3235))</f>
        <v/>
      </c>
    </row>
    <row r="3236">
      <c r="A3236">
        <f>Input!A3236</f>
        <v/>
      </c>
      <c r="B3236">
        <f>IF(ISNUMBER(Input!B3236),IF(AND(Input!B3236&gt;=20,Input!B3236&lt;=700),Input!B3236,""),"")</f>
        <v/>
      </c>
      <c r="C3236">
        <f>IF(B3236="","",INT(A3236))</f>
        <v/>
      </c>
      <c r="D3236">
        <f>IF(B3236="","",HOUR(A3236))</f>
        <v/>
      </c>
    </row>
    <row r="3237">
      <c r="A3237">
        <f>Input!A3237</f>
        <v/>
      </c>
      <c r="B3237">
        <f>IF(ISNUMBER(Input!B3237),IF(AND(Input!B3237&gt;=20,Input!B3237&lt;=700),Input!B3237,""),"")</f>
        <v/>
      </c>
      <c r="C3237">
        <f>IF(B3237="","",INT(A3237))</f>
        <v/>
      </c>
      <c r="D3237">
        <f>IF(B3237="","",HOUR(A3237))</f>
        <v/>
      </c>
    </row>
    <row r="3238">
      <c r="A3238">
        <f>Input!A3238</f>
        <v/>
      </c>
      <c r="B3238">
        <f>IF(ISNUMBER(Input!B3238),IF(AND(Input!B3238&gt;=20,Input!B3238&lt;=700),Input!B3238,""),"")</f>
        <v/>
      </c>
      <c r="C3238">
        <f>IF(B3238="","",INT(A3238))</f>
        <v/>
      </c>
      <c r="D3238">
        <f>IF(B3238="","",HOUR(A3238))</f>
        <v/>
      </c>
    </row>
    <row r="3239">
      <c r="A3239">
        <f>Input!A3239</f>
        <v/>
      </c>
      <c r="B3239">
        <f>IF(ISNUMBER(Input!B3239),IF(AND(Input!B3239&gt;=20,Input!B3239&lt;=700),Input!B3239,""),"")</f>
        <v/>
      </c>
      <c r="C3239">
        <f>IF(B3239="","",INT(A3239))</f>
        <v/>
      </c>
      <c r="D3239">
        <f>IF(B3239="","",HOUR(A3239))</f>
        <v/>
      </c>
    </row>
    <row r="3240">
      <c r="A3240">
        <f>Input!A3240</f>
        <v/>
      </c>
      <c r="B3240">
        <f>IF(ISNUMBER(Input!B3240),IF(AND(Input!B3240&gt;=20,Input!B3240&lt;=700),Input!B3240,""),"")</f>
        <v/>
      </c>
      <c r="C3240">
        <f>IF(B3240="","",INT(A3240))</f>
        <v/>
      </c>
      <c r="D3240">
        <f>IF(B3240="","",HOUR(A3240))</f>
        <v/>
      </c>
    </row>
    <row r="3241">
      <c r="A3241">
        <f>Input!A3241</f>
        <v/>
      </c>
      <c r="B3241">
        <f>IF(ISNUMBER(Input!B3241),IF(AND(Input!B3241&gt;=20,Input!B3241&lt;=700),Input!B3241,""),"")</f>
        <v/>
      </c>
      <c r="C3241">
        <f>IF(B3241="","",INT(A3241))</f>
        <v/>
      </c>
      <c r="D3241">
        <f>IF(B3241="","",HOUR(A3241))</f>
        <v/>
      </c>
    </row>
    <row r="3242">
      <c r="A3242">
        <f>Input!A3242</f>
        <v/>
      </c>
      <c r="B3242">
        <f>IF(ISNUMBER(Input!B3242),IF(AND(Input!B3242&gt;=20,Input!B3242&lt;=700),Input!B3242,""),"")</f>
        <v/>
      </c>
      <c r="C3242">
        <f>IF(B3242="","",INT(A3242))</f>
        <v/>
      </c>
      <c r="D3242">
        <f>IF(B3242="","",HOUR(A3242))</f>
        <v/>
      </c>
    </row>
    <row r="3243">
      <c r="A3243">
        <f>Input!A3243</f>
        <v/>
      </c>
      <c r="B3243">
        <f>IF(ISNUMBER(Input!B3243),IF(AND(Input!B3243&gt;=20,Input!B3243&lt;=700),Input!B3243,""),"")</f>
        <v/>
      </c>
      <c r="C3243">
        <f>IF(B3243="","",INT(A3243))</f>
        <v/>
      </c>
      <c r="D3243">
        <f>IF(B3243="","",HOUR(A3243))</f>
        <v/>
      </c>
    </row>
    <row r="3244">
      <c r="A3244">
        <f>Input!A3244</f>
        <v/>
      </c>
      <c r="B3244">
        <f>IF(ISNUMBER(Input!B3244),IF(AND(Input!B3244&gt;=20,Input!B3244&lt;=700),Input!B3244,""),"")</f>
        <v/>
      </c>
      <c r="C3244">
        <f>IF(B3244="","",INT(A3244))</f>
        <v/>
      </c>
      <c r="D3244">
        <f>IF(B3244="","",HOUR(A3244))</f>
        <v/>
      </c>
    </row>
    <row r="3245">
      <c r="A3245">
        <f>Input!A3245</f>
        <v/>
      </c>
      <c r="B3245">
        <f>IF(ISNUMBER(Input!B3245),IF(AND(Input!B3245&gt;=20,Input!B3245&lt;=700),Input!B3245,""),"")</f>
        <v/>
      </c>
      <c r="C3245">
        <f>IF(B3245="","",INT(A3245))</f>
        <v/>
      </c>
      <c r="D3245">
        <f>IF(B3245="","",HOUR(A3245))</f>
        <v/>
      </c>
    </row>
    <row r="3246">
      <c r="A3246">
        <f>Input!A3246</f>
        <v/>
      </c>
      <c r="B3246">
        <f>IF(ISNUMBER(Input!B3246),IF(AND(Input!B3246&gt;=20,Input!B3246&lt;=700),Input!B3246,""),"")</f>
        <v/>
      </c>
      <c r="C3246">
        <f>IF(B3246="","",INT(A3246))</f>
        <v/>
      </c>
      <c r="D3246">
        <f>IF(B3246="","",HOUR(A3246))</f>
        <v/>
      </c>
    </row>
    <row r="3247">
      <c r="A3247">
        <f>Input!A3247</f>
        <v/>
      </c>
      <c r="B3247">
        <f>IF(ISNUMBER(Input!B3247),IF(AND(Input!B3247&gt;=20,Input!B3247&lt;=700),Input!B3247,""),"")</f>
        <v/>
      </c>
      <c r="C3247">
        <f>IF(B3247="","",INT(A3247))</f>
        <v/>
      </c>
      <c r="D3247">
        <f>IF(B3247="","",HOUR(A3247))</f>
        <v/>
      </c>
    </row>
    <row r="3248">
      <c r="A3248">
        <f>Input!A3248</f>
        <v/>
      </c>
      <c r="B3248">
        <f>IF(ISNUMBER(Input!B3248),IF(AND(Input!B3248&gt;=20,Input!B3248&lt;=700),Input!B3248,""),"")</f>
        <v/>
      </c>
      <c r="C3248">
        <f>IF(B3248="","",INT(A3248))</f>
        <v/>
      </c>
      <c r="D3248">
        <f>IF(B3248="","",HOUR(A3248))</f>
        <v/>
      </c>
    </row>
    <row r="3249">
      <c r="A3249">
        <f>Input!A3249</f>
        <v/>
      </c>
      <c r="B3249">
        <f>IF(ISNUMBER(Input!B3249),IF(AND(Input!B3249&gt;=20,Input!B3249&lt;=700),Input!B3249,""),"")</f>
        <v/>
      </c>
      <c r="C3249">
        <f>IF(B3249="","",INT(A3249))</f>
        <v/>
      </c>
      <c r="D3249">
        <f>IF(B3249="","",HOUR(A3249))</f>
        <v/>
      </c>
    </row>
    <row r="3250">
      <c r="A3250">
        <f>Input!A3250</f>
        <v/>
      </c>
      <c r="B3250">
        <f>IF(ISNUMBER(Input!B3250),IF(AND(Input!B3250&gt;=20,Input!B3250&lt;=700),Input!B3250,""),"")</f>
        <v/>
      </c>
      <c r="C3250">
        <f>IF(B3250="","",INT(A3250))</f>
        <v/>
      </c>
      <c r="D3250">
        <f>IF(B3250="","",HOUR(A3250))</f>
        <v/>
      </c>
    </row>
    <row r="3251">
      <c r="A3251">
        <f>Input!A3251</f>
        <v/>
      </c>
      <c r="B3251">
        <f>IF(ISNUMBER(Input!B3251),IF(AND(Input!B3251&gt;=20,Input!B3251&lt;=700),Input!B3251,""),"")</f>
        <v/>
      </c>
      <c r="C3251">
        <f>IF(B3251="","",INT(A3251))</f>
        <v/>
      </c>
      <c r="D3251">
        <f>IF(B3251="","",HOUR(A3251))</f>
        <v/>
      </c>
    </row>
    <row r="3252">
      <c r="A3252">
        <f>Input!A3252</f>
        <v/>
      </c>
      <c r="B3252">
        <f>IF(ISNUMBER(Input!B3252),IF(AND(Input!B3252&gt;=20,Input!B3252&lt;=700),Input!B3252,""),"")</f>
        <v/>
      </c>
      <c r="C3252">
        <f>IF(B3252="","",INT(A3252))</f>
        <v/>
      </c>
      <c r="D3252">
        <f>IF(B3252="","",HOUR(A3252))</f>
        <v/>
      </c>
    </row>
    <row r="3253">
      <c r="A3253">
        <f>Input!A3253</f>
        <v/>
      </c>
      <c r="B3253">
        <f>IF(ISNUMBER(Input!B3253),IF(AND(Input!B3253&gt;=20,Input!B3253&lt;=700),Input!B3253,""),"")</f>
        <v/>
      </c>
      <c r="C3253">
        <f>IF(B3253="","",INT(A3253))</f>
        <v/>
      </c>
      <c r="D3253">
        <f>IF(B3253="","",HOUR(A3253))</f>
        <v/>
      </c>
    </row>
    <row r="3254">
      <c r="A3254">
        <f>Input!A3254</f>
        <v/>
      </c>
      <c r="B3254">
        <f>IF(ISNUMBER(Input!B3254),IF(AND(Input!B3254&gt;=20,Input!B3254&lt;=700),Input!B3254,""),"")</f>
        <v/>
      </c>
      <c r="C3254">
        <f>IF(B3254="","",INT(A3254))</f>
        <v/>
      </c>
      <c r="D3254">
        <f>IF(B3254="","",HOUR(A3254))</f>
        <v/>
      </c>
    </row>
    <row r="3255">
      <c r="A3255">
        <f>Input!A3255</f>
        <v/>
      </c>
      <c r="B3255">
        <f>IF(ISNUMBER(Input!B3255),IF(AND(Input!B3255&gt;=20,Input!B3255&lt;=700),Input!B3255,""),"")</f>
        <v/>
      </c>
      <c r="C3255">
        <f>IF(B3255="","",INT(A3255))</f>
        <v/>
      </c>
      <c r="D3255">
        <f>IF(B3255="","",HOUR(A3255))</f>
        <v/>
      </c>
    </row>
    <row r="3256">
      <c r="A3256">
        <f>Input!A3256</f>
        <v/>
      </c>
      <c r="B3256">
        <f>IF(ISNUMBER(Input!B3256),IF(AND(Input!B3256&gt;=20,Input!B3256&lt;=700),Input!B3256,""),"")</f>
        <v/>
      </c>
      <c r="C3256">
        <f>IF(B3256="","",INT(A3256))</f>
        <v/>
      </c>
      <c r="D3256">
        <f>IF(B3256="","",HOUR(A3256))</f>
        <v/>
      </c>
    </row>
    <row r="3257">
      <c r="A3257">
        <f>Input!A3257</f>
        <v/>
      </c>
      <c r="B3257">
        <f>IF(ISNUMBER(Input!B3257),IF(AND(Input!B3257&gt;=20,Input!B3257&lt;=700),Input!B3257,""),"")</f>
        <v/>
      </c>
      <c r="C3257">
        <f>IF(B3257="","",INT(A3257))</f>
        <v/>
      </c>
      <c r="D3257">
        <f>IF(B3257="","",HOUR(A3257))</f>
        <v/>
      </c>
    </row>
    <row r="3258">
      <c r="A3258">
        <f>Input!A3258</f>
        <v/>
      </c>
      <c r="B3258">
        <f>IF(ISNUMBER(Input!B3258),IF(AND(Input!B3258&gt;=20,Input!B3258&lt;=700),Input!B3258,""),"")</f>
        <v/>
      </c>
      <c r="C3258">
        <f>IF(B3258="","",INT(A3258))</f>
        <v/>
      </c>
      <c r="D3258">
        <f>IF(B3258="","",HOUR(A3258))</f>
        <v/>
      </c>
    </row>
    <row r="3259">
      <c r="A3259">
        <f>Input!A3259</f>
        <v/>
      </c>
      <c r="B3259">
        <f>IF(ISNUMBER(Input!B3259),IF(AND(Input!B3259&gt;=20,Input!B3259&lt;=700),Input!B3259,""),"")</f>
        <v/>
      </c>
      <c r="C3259">
        <f>IF(B3259="","",INT(A3259))</f>
        <v/>
      </c>
      <c r="D3259">
        <f>IF(B3259="","",HOUR(A3259))</f>
        <v/>
      </c>
    </row>
    <row r="3260">
      <c r="A3260">
        <f>Input!A3260</f>
        <v/>
      </c>
      <c r="B3260">
        <f>IF(ISNUMBER(Input!B3260),IF(AND(Input!B3260&gt;=20,Input!B3260&lt;=700),Input!B3260,""),"")</f>
        <v/>
      </c>
      <c r="C3260">
        <f>IF(B3260="","",INT(A3260))</f>
        <v/>
      </c>
      <c r="D3260">
        <f>IF(B3260="","",HOUR(A3260))</f>
        <v/>
      </c>
    </row>
    <row r="3261">
      <c r="A3261">
        <f>Input!A3261</f>
        <v/>
      </c>
      <c r="B3261">
        <f>IF(ISNUMBER(Input!B3261),IF(AND(Input!B3261&gt;=20,Input!B3261&lt;=700),Input!B3261,""),"")</f>
        <v/>
      </c>
      <c r="C3261">
        <f>IF(B3261="","",INT(A3261))</f>
        <v/>
      </c>
      <c r="D3261">
        <f>IF(B3261="","",HOUR(A3261))</f>
        <v/>
      </c>
    </row>
    <row r="3262">
      <c r="A3262">
        <f>Input!A3262</f>
        <v/>
      </c>
      <c r="B3262">
        <f>IF(ISNUMBER(Input!B3262),IF(AND(Input!B3262&gt;=20,Input!B3262&lt;=700),Input!B3262,""),"")</f>
        <v/>
      </c>
      <c r="C3262">
        <f>IF(B3262="","",INT(A3262))</f>
        <v/>
      </c>
      <c r="D3262">
        <f>IF(B3262="","",HOUR(A3262))</f>
        <v/>
      </c>
    </row>
    <row r="3263">
      <c r="A3263">
        <f>Input!A3263</f>
        <v/>
      </c>
      <c r="B3263">
        <f>IF(ISNUMBER(Input!B3263),IF(AND(Input!B3263&gt;=20,Input!B3263&lt;=700),Input!B3263,""),"")</f>
        <v/>
      </c>
      <c r="C3263">
        <f>IF(B3263="","",INT(A3263))</f>
        <v/>
      </c>
      <c r="D3263">
        <f>IF(B3263="","",HOUR(A3263))</f>
        <v/>
      </c>
    </row>
    <row r="3264">
      <c r="A3264">
        <f>Input!A3264</f>
        <v/>
      </c>
      <c r="B3264">
        <f>IF(ISNUMBER(Input!B3264),IF(AND(Input!B3264&gt;=20,Input!B3264&lt;=700),Input!B3264,""),"")</f>
        <v/>
      </c>
      <c r="C3264">
        <f>IF(B3264="","",INT(A3264))</f>
        <v/>
      </c>
      <c r="D3264">
        <f>IF(B3264="","",HOUR(A3264))</f>
        <v/>
      </c>
    </row>
    <row r="3265">
      <c r="A3265">
        <f>Input!A3265</f>
        <v/>
      </c>
      <c r="B3265">
        <f>IF(ISNUMBER(Input!B3265),IF(AND(Input!B3265&gt;=20,Input!B3265&lt;=700),Input!B3265,""),"")</f>
        <v/>
      </c>
      <c r="C3265">
        <f>IF(B3265="","",INT(A3265))</f>
        <v/>
      </c>
      <c r="D3265">
        <f>IF(B3265="","",HOUR(A3265))</f>
        <v/>
      </c>
    </row>
    <row r="3266">
      <c r="A3266">
        <f>Input!A3266</f>
        <v/>
      </c>
      <c r="B3266">
        <f>IF(ISNUMBER(Input!B3266),IF(AND(Input!B3266&gt;=20,Input!B3266&lt;=700),Input!B3266,""),"")</f>
        <v/>
      </c>
      <c r="C3266">
        <f>IF(B3266="","",INT(A3266))</f>
        <v/>
      </c>
      <c r="D3266">
        <f>IF(B3266="","",HOUR(A3266))</f>
        <v/>
      </c>
    </row>
    <row r="3267">
      <c r="A3267">
        <f>Input!A3267</f>
        <v/>
      </c>
      <c r="B3267">
        <f>IF(ISNUMBER(Input!B3267),IF(AND(Input!B3267&gt;=20,Input!B3267&lt;=700),Input!B3267,""),"")</f>
        <v/>
      </c>
      <c r="C3267">
        <f>IF(B3267="","",INT(A3267))</f>
        <v/>
      </c>
      <c r="D3267">
        <f>IF(B3267="","",HOUR(A3267))</f>
        <v/>
      </c>
    </row>
    <row r="3268">
      <c r="A3268">
        <f>Input!A3268</f>
        <v/>
      </c>
      <c r="B3268">
        <f>IF(ISNUMBER(Input!B3268),IF(AND(Input!B3268&gt;=20,Input!B3268&lt;=700),Input!B3268,""),"")</f>
        <v/>
      </c>
      <c r="C3268">
        <f>IF(B3268="","",INT(A3268))</f>
        <v/>
      </c>
      <c r="D3268">
        <f>IF(B3268="","",HOUR(A3268))</f>
        <v/>
      </c>
    </row>
    <row r="3269">
      <c r="A3269">
        <f>Input!A3269</f>
        <v/>
      </c>
      <c r="B3269">
        <f>IF(ISNUMBER(Input!B3269),IF(AND(Input!B3269&gt;=20,Input!B3269&lt;=700),Input!B3269,""),"")</f>
        <v/>
      </c>
      <c r="C3269">
        <f>IF(B3269="","",INT(A3269))</f>
        <v/>
      </c>
      <c r="D3269">
        <f>IF(B3269="","",HOUR(A3269))</f>
        <v/>
      </c>
    </row>
    <row r="3270">
      <c r="A3270">
        <f>Input!A3270</f>
        <v/>
      </c>
      <c r="B3270">
        <f>IF(ISNUMBER(Input!B3270),IF(AND(Input!B3270&gt;=20,Input!B3270&lt;=700),Input!B3270,""),"")</f>
        <v/>
      </c>
      <c r="C3270">
        <f>IF(B3270="","",INT(A3270))</f>
        <v/>
      </c>
      <c r="D3270">
        <f>IF(B3270="","",HOUR(A3270))</f>
        <v/>
      </c>
    </row>
    <row r="3271">
      <c r="A3271">
        <f>Input!A3271</f>
        <v/>
      </c>
      <c r="B3271">
        <f>IF(ISNUMBER(Input!B3271),IF(AND(Input!B3271&gt;=20,Input!B3271&lt;=700),Input!B3271,""),"")</f>
        <v/>
      </c>
      <c r="C3271">
        <f>IF(B3271="","",INT(A3271))</f>
        <v/>
      </c>
      <c r="D3271">
        <f>IF(B3271="","",HOUR(A3271))</f>
        <v/>
      </c>
    </row>
    <row r="3272">
      <c r="A3272">
        <f>Input!A3272</f>
        <v/>
      </c>
      <c r="B3272">
        <f>IF(ISNUMBER(Input!B3272),IF(AND(Input!B3272&gt;=20,Input!B3272&lt;=700),Input!B3272,""),"")</f>
        <v/>
      </c>
      <c r="C3272">
        <f>IF(B3272="","",INT(A3272))</f>
        <v/>
      </c>
      <c r="D3272">
        <f>IF(B3272="","",HOUR(A3272))</f>
        <v/>
      </c>
    </row>
    <row r="3273">
      <c r="A3273">
        <f>Input!A3273</f>
        <v/>
      </c>
      <c r="B3273">
        <f>IF(ISNUMBER(Input!B3273),IF(AND(Input!B3273&gt;=20,Input!B3273&lt;=700),Input!B3273,""),"")</f>
        <v/>
      </c>
      <c r="C3273">
        <f>IF(B3273="","",INT(A3273))</f>
        <v/>
      </c>
      <c r="D3273">
        <f>IF(B3273="","",HOUR(A3273))</f>
        <v/>
      </c>
    </row>
    <row r="3274">
      <c r="A3274">
        <f>Input!A3274</f>
        <v/>
      </c>
      <c r="B3274">
        <f>IF(ISNUMBER(Input!B3274),IF(AND(Input!B3274&gt;=20,Input!B3274&lt;=700),Input!B3274,""),"")</f>
        <v/>
      </c>
      <c r="C3274">
        <f>IF(B3274="","",INT(A3274))</f>
        <v/>
      </c>
      <c r="D3274">
        <f>IF(B3274="","",HOUR(A3274))</f>
        <v/>
      </c>
    </row>
    <row r="3275">
      <c r="A3275">
        <f>Input!A3275</f>
        <v/>
      </c>
      <c r="B3275">
        <f>IF(ISNUMBER(Input!B3275),IF(AND(Input!B3275&gt;=20,Input!B3275&lt;=700),Input!B3275,""),"")</f>
        <v/>
      </c>
      <c r="C3275">
        <f>IF(B3275="","",INT(A3275))</f>
        <v/>
      </c>
      <c r="D3275">
        <f>IF(B3275="","",HOUR(A3275))</f>
        <v/>
      </c>
    </row>
    <row r="3276">
      <c r="A3276">
        <f>Input!A3276</f>
        <v/>
      </c>
      <c r="B3276">
        <f>IF(ISNUMBER(Input!B3276),IF(AND(Input!B3276&gt;=20,Input!B3276&lt;=700),Input!B3276,""),"")</f>
        <v/>
      </c>
      <c r="C3276">
        <f>IF(B3276="","",INT(A3276))</f>
        <v/>
      </c>
      <c r="D3276">
        <f>IF(B3276="","",HOUR(A3276))</f>
        <v/>
      </c>
    </row>
    <row r="3277">
      <c r="A3277">
        <f>Input!A3277</f>
        <v/>
      </c>
      <c r="B3277">
        <f>IF(ISNUMBER(Input!B3277),IF(AND(Input!B3277&gt;=20,Input!B3277&lt;=700),Input!B3277,""),"")</f>
        <v/>
      </c>
      <c r="C3277">
        <f>IF(B3277="","",INT(A3277))</f>
        <v/>
      </c>
      <c r="D3277">
        <f>IF(B3277="","",HOUR(A3277))</f>
        <v/>
      </c>
    </row>
    <row r="3278">
      <c r="A3278">
        <f>Input!A3278</f>
        <v/>
      </c>
      <c r="B3278">
        <f>IF(ISNUMBER(Input!B3278),IF(AND(Input!B3278&gt;=20,Input!B3278&lt;=700),Input!B3278,""),"")</f>
        <v/>
      </c>
      <c r="C3278">
        <f>IF(B3278="","",INT(A3278))</f>
        <v/>
      </c>
      <c r="D3278">
        <f>IF(B3278="","",HOUR(A3278))</f>
        <v/>
      </c>
    </row>
    <row r="3279">
      <c r="A3279">
        <f>Input!A3279</f>
        <v/>
      </c>
      <c r="B3279">
        <f>IF(ISNUMBER(Input!B3279),IF(AND(Input!B3279&gt;=20,Input!B3279&lt;=700),Input!B3279,""),"")</f>
        <v/>
      </c>
      <c r="C3279">
        <f>IF(B3279="","",INT(A3279))</f>
        <v/>
      </c>
      <c r="D3279">
        <f>IF(B3279="","",HOUR(A3279))</f>
        <v/>
      </c>
    </row>
    <row r="3280">
      <c r="A3280">
        <f>Input!A3280</f>
        <v/>
      </c>
      <c r="B3280">
        <f>IF(ISNUMBER(Input!B3280),IF(AND(Input!B3280&gt;=20,Input!B3280&lt;=700),Input!B3280,""),"")</f>
        <v/>
      </c>
      <c r="C3280">
        <f>IF(B3280="","",INT(A3280))</f>
        <v/>
      </c>
      <c r="D3280">
        <f>IF(B3280="","",HOUR(A3280))</f>
        <v/>
      </c>
    </row>
    <row r="3281">
      <c r="A3281">
        <f>Input!A3281</f>
        <v/>
      </c>
      <c r="B3281">
        <f>IF(ISNUMBER(Input!B3281),IF(AND(Input!B3281&gt;=20,Input!B3281&lt;=700),Input!B3281,""),"")</f>
        <v/>
      </c>
      <c r="C3281">
        <f>IF(B3281="","",INT(A3281))</f>
        <v/>
      </c>
      <c r="D3281">
        <f>IF(B3281="","",HOUR(A3281))</f>
        <v/>
      </c>
    </row>
    <row r="3282">
      <c r="A3282">
        <f>Input!A3282</f>
        <v/>
      </c>
      <c r="B3282">
        <f>IF(ISNUMBER(Input!B3282),IF(AND(Input!B3282&gt;=20,Input!B3282&lt;=700),Input!B3282,""),"")</f>
        <v/>
      </c>
      <c r="C3282">
        <f>IF(B3282="","",INT(A3282))</f>
        <v/>
      </c>
      <c r="D3282">
        <f>IF(B3282="","",HOUR(A3282))</f>
        <v/>
      </c>
    </row>
    <row r="3283">
      <c r="A3283">
        <f>Input!A3283</f>
        <v/>
      </c>
      <c r="B3283">
        <f>IF(ISNUMBER(Input!B3283),IF(AND(Input!B3283&gt;=20,Input!B3283&lt;=700),Input!B3283,""),"")</f>
        <v/>
      </c>
      <c r="C3283">
        <f>IF(B3283="","",INT(A3283))</f>
        <v/>
      </c>
      <c r="D3283">
        <f>IF(B3283="","",HOUR(A3283))</f>
        <v/>
      </c>
    </row>
    <row r="3284">
      <c r="A3284">
        <f>Input!A3284</f>
        <v/>
      </c>
      <c r="B3284">
        <f>IF(ISNUMBER(Input!B3284),IF(AND(Input!B3284&gt;=20,Input!B3284&lt;=700),Input!B3284,""),"")</f>
        <v/>
      </c>
      <c r="C3284">
        <f>IF(B3284="","",INT(A3284))</f>
        <v/>
      </c>
      <c r="D3284">
        <f>IF(B3284="","",HOUR(A3284))</f>
        <v/>
      </c>
    </row>
    <row r="3285">
      <c r="A3285">
        <f>Input!A3285</f>
        <v/>
      </c>
      <c r="B3285">
        <f>IF(ISNUMBER(Input!B3285),IF(AND(Input!B3285&gt;=20,Input!B3285&lt;=700),Input!B3285,""),"")</f>
        <v/>
      </c>
      <c r="C3285">
        <f>IF(B3285="","",INT(A3285))</f>
        <v/>
      </c>
      <c r="D3285">
        <f>IF(B3285="","",HOUR(A3285))</f>
        <v/>
      </c>
    </row>
    <row r="3286">
      <c r="A3286">
        <f>Input!A3286</f>
        <v/>
      </c>
      <c r="B3286">
        <f>IF(ISNUMBER(Input!B3286),IF(AND(Input!B3286&gt;=20,Input!B3286&lt;=700),Input!B3286,""),"")</f>
        <v/>
      </c>
      <c r="C3286">
        <f>IF(B3286="","",INT(A3286))</f>
        <v/>
      </c>
      <c r="D3286">
        <f>IF(B3286="","",HOUR(A3286))</f>
        <v/>
      </c>
    </row>
    <row r="3287">
      <c r="A3287">
        <f>Input!A3287</f>
        <v/>
      </c>
      <c r="B3287">
        <f>IF(ISNUMBER(Input!B3287),IF(AND(Input!B3287&gt;=20,Input!B3287&lt;=700),Input!B3287,""),"")</f>
        <v/>
      </c>
      <c r="C3287">
        <f>IF(B3287="","",INT(A3287))</f>
        <v/>
      </c>
      <c r="D3287">
        <f>IF(B3287="","",HOUR(A3287))</f>
        <v/>
      </c>
    </row>
    <row r="3288">
      <c r="A3288">
        <f>Input!A3288</f>
        <v/>
      </c>
      <c r="B3288">
        <f>IF(ISNUMBER(Input!B3288),IF(AND(Input!B3288&gt;=20,Input!B3288&lt;=700),Input!B3288,""),"")</f>
        <v/>
      </c>
      <c r="C3288">
        <f>IF(B3288="","",INT(A3288))</f>
        <v/>
      </c>
      <c r="D3288">
        <f>IF(B3288="","",HOUR(A3288))</f>
        <v/>
      </c>
    </row>
    <row r="3289">
      <c r="A3289">
        <f>Input!A3289</f>
        <v/>
      </c>
      <c r="B3289">
        <f>IF(ISNUMBER(Input!B3289),IF(AND(Input!B3289&gt;=20,Input!B3289&lt;=700),Input!B3289,""),"")</f>
        <v/>
      </c>
      <c r="C3289">
        <f>IF(B3289="","",INT(A3289))</f>
        <v/>
      </c>
      <c r="D3289">
        <f>IF(B3289="","",HOUR(A3289))</f>
        <v/>
      </c>
    </row>
    <row r="3290">
      <c r="A3290">
        <f>Input!A3290</f>
        <v/>
      </c>
      <c r="B3290">
        <f>IF(ISNUMBER(Input!B3290),IF(AND(Input!B3290&gt;=20,Input!B3290&lt;=700),Input!B3290,""),"")</f>
        <v/>
      </c>
      <c r="C3290">
        <f>IF(B3290="","",INT(A3290))</f>
        <v/>
      </c>
      <c r="D3290">
        <f>IF(B3290="","",HOUR(A3290))</f>
        <v/>
      </c>
    </row>
    <row r="3291">
      <c r="A3291">
        <f>Input!A3291</f>
        <v/>
      </c>
      <c r="B3291">
        <f>IF(ISNUMBER(Input!B3291),IF(AND(Input!B3291&gt;=20,Input!B3291&lt;=700),Input!B3291,""),"")</f>
        <v/>
      </c>
      <c r="C3291">
        <f>IF(B3291="","",INT(A3291))</f>
        <v/>
      </c>
      <c r="D3291">
        <f>IF(B3291="","",HOUR(A3291))</f>
        <v/>
      </c>
    </row>
    <row r="3292">
      <c r="A3292">
        <f>Input!A3292</f>
        <v/>
      </c>
      <c r="B3292">
        <f>IF(ISNUMBER(Input!B3292),IF(AND(Input!B3292&gt;=20,Input!B3292&lt;=700),Input!B3292,""),"")</f>
        <v/>
      </c>
      <c r="C3292">
        <f>IF(B3292="","",INT(A3292))</f>
        <v/>
      </c>
      <c r="D3292">
        <f>IF(B3292="","",HOUR(A3292))</f>
        <v/>
      </c>
    </row>
    <row r="3293">
      <c r="A3293">
        <f>Input!A3293</f>
        <v/>
      </c>
      <c r="B3293">
        <f>IF(ISNUMBER(Input!B3293),IF(AND(Input!B3293&gt;=20,Input!B3293&lt;=700),Input!B3293,""),"")</f>
        <v/>
      </c>
      <c r="C3293">
        <f>IF(B3293="","",INT(A3293))</f>
        <v/>
      </c>
      <c r="D3293">
        <f>IF(B3293="","",HOUR(A3293))</f>
        <v/>
      </c>
    </row>
    <row r="3294">
      <c r="A3294">
        <f>Input!A3294</f>
        <v/>
      </c>
      <c r="B3294">
        <f>IF(ISNUMBER(Input!B3294),IF(AND(Input!B3294&gt;=20,Input!B3294&lt;=700),Input!B3294,""),"")</f>
        <v/>
      </c>
      <c r="C3294">
        <f>IF(B3294="","",INT(A3294))</f>
        <v/>
      </c>
      <c r="D3294">
        <f>IF(B3294="","",HOUR(A3294))</f>
        <v/>
      </c>
    </row>
    <row r="3295">
      <c r="A3295">
        <f>Input!A3295</f>
        <v/>
      </c>
      <c r="B3295">
        <f>IF(ISNUMBER(Input!B3295),IF(AND(Input!B3295&gt;=20,Input!B3295&lt;=700),Input!B3295,""),"")</f>
        <v/>
      </c>
      <c r="C3295">
        <f>IF(B3295="","",INT(A3295))</f>
        <v/>
      </c>
      <c r="D3295">
        <f>IF(B3295="","",HOUR(A3295))</f>
        <v/>
      </c>
    </row>
    <row r="3296">
      <c r="A3296">
        <f>Input!A3296</f>
        <v/>
      </c>
      <c r="B3296">
        <f>IF(ISNUMBER(Input!B3296),IF(AND(Input!B3296&gt;=20,Input!B3296&lt;=700),Input!B3296,""),"")</f>
        <v/>
      </c>
      <c r="C3296">
        <f>IF(B3296="","",INT(A3296))</f>
        <v/>
      </c>
      <c r="D3296">
        <f>IF(B3296="","",HOUR(A3296))</f>
        <v/>
      </c>
    </row>
    <row r="3297">
      <c r="A3297">
        <f>Input!A3297</f>
        <v/>
      </c>
      <c r="B3297">
        <f>IF(ISNUMBER(Input!B3297),IF(AND(Input!B3297&gt;=20,Input!B3297&lt;=700),Input!B3297,""),"")</f>
        <v/>
      </c>
      <c r="C3297">
        <f>IF(B3297="","",INT(A3297))</f>
        <v/>
      </c>
      <c r="D3297">
        <f>IF(B3297="","",HOUR(A3297))</f>
        <v/>
      </c>
    </row>
    <row r="3298">
      <c r="A3298">
        <f>Input!A3298</f>
        <v/>
      </c>
      <c r="B3298">
        <f>IF(ISNUMBER(Input!B3298),IF(AND(Input!B3298&gt;=20,Input!B3298&lt;=700),Input!B3298,""),"")</f>
        <v/>
      </c>
      <c r="C3298">
        <f>IF(B3298="","",INT(A3298))</f>
        <v/>
      </c>
      <c r="D3298">
        <f>IF(B3298="","",HOUR(A3298))</f>
        <v/>
      </c>
    </row>
    <row r="3299">
      <c r="A3299">
        <f>Input!A3299</f>
        <v/>
      </c>
      <c r="B3299">
        <f>IF(ISNUMBER(Input!B3299),IF(AND(Input!B3299&gt;=20,Input!B3299&lt;=700),Input!B3299,""),"")</f>
        <v/>
      </c>
      <c r="C3299">
        <f>IF(B3299="","",INT(A3299))</f>
        <v/>
      </c>
      <c r="D3299">
        <f>IF(B3299="","",HOUR(A3299))</f>
        <v/>
      </c>
    </row>
    <row r="3300">
      <c r="A3300">
        <f>Input!A3300</f>
        <v/>
      </c>
      <c r="B3300">
        <f>IF(ISNUMBER(Input!B3300),IF(AND(Input!B3300&gt;=20,Input!B3300&lt;=700),Input!B3300,""),"")</f>
        <v/>
      </c>
      <c r="C3300">
        <f>IF(B3300="","",INT(A3300))</f>
        <v/>
      </c>
      <c r="D3300">
        <f>IF(B3300="","",HOUR(A3300))</f>
        <v/>
      </c>
    </row>
    <row r="3301">
      <c r="A3301">
        <f>Input!A3301</f>
        <v/>
      </c>
      <c r="B3301">
        <f>IF(ISNUMBER(Input!B3301),IF(AND(Input!B3301&gt;=20,Input!B3301&lt;=700),Input!B3301,""),"")</f>
        <v/>
      </c>
      <c r="C3301">
        <f>IF(B3301="","",INT(A3301))</f>
        <v/>
      </c>
      <c r="D3301">
        <f>IF(B3301="","",HOUR(A3301))</f>
        <v/>
      </c>
    </row>
    <row r="3302">
      <c r="A3302">
        <f>Input!A3302</f>
        <v/>
      </c>
      <c r="B3302">
        <f>IF(ISNUMBER(Input!B3302),IF(AND(Input!B3302&gt;=20,Input!B3302&lt;=700),Input!B3302,""),"")</f>
        <v/>
      </c>
      <c r="C3302">
        <f>IF(B3302="","",INT(A3302))</f>
        <v/>
      </c>
      <c r="D3302">
        <f>IF(B3302="","",HOUR(A3302))</f>
        <v/>
      </c>
    </row>
    <row r="3303">
      <c r="A3303">
        <f>Input!A3303</f>
        <v/>
      </c>
      <c r="B3303">
        <f>IF(ISNUMBER(Input!B3303),IF(AND(Input!B3303&gt;=20,Input!B3303&lt;=700),Input!B3303,""),"")</f>
        <v/>
      </c>
      <c r="C3303">
        <f>IF(B3303="","",INT(A3303))</f>
        <v/>
      </c>
      <c r="D3303">
        <f>IF(B3303="","",HOUR(A3303))</f>
        <v/>
      </c>
    </row>
    <row r="3304">
      <c r="A3304">
        <f>Input!A3304</f>
        <v/>
      </c>
      <c r="B3304">
        <f>IF(ISNUMBER(Input!B3304),IF(AND(Input!B3304&gt;=20,Input!B3304&lt;=700),Input!B3304,""),"")</f>
        <v/>
      </c>
      <c r="C3304">
        <f>IF(B3304="","",INT(A3304))</f>
        <v/>
      </c>
      <c r="D3304">
        <f>IF(B3304="","",HOUR(A3304))</f>
        <v/>
      </c>
    </row>
    <row r="3305">
      <c r="A3305">
        <f>Input!A3305</f>
        <v/>
      </c>
      <c r="B3305">
        <f>IF(ISNUMBER(Input!B3305),IF(AND(Input!B3305&gt;=20,Input!B3305&lt;=700),Input!B3305,""),"")</f>
        <v/>
      </c>
      <c r="C3305">
        <f>IF(B3305="","",INT(A3305))</f>
        <v/>
      </c>
      <c r="D3305">
        <f>IF(B3305="","",HOUR(A3305))</f>
        <v/>
      </c>
    </row>
    <row r="3306">
      <c r="A3306">
        <f>Input!A3306</f>
        <v/>
      </c>
      <c r="B3306">
        <f>IF(ISNUMBER(Input!B3306),IF(AND(Input!B3306&gt;=20,Input!B3306&lt;=700),Input!B3306,""),"")</f>
        <v/>
      </c>
      <c r="C3306">
        <f>IF(B3306="","",INT(A3306))</f>
        <v/>
      </c>
      <c r="D3306">
        <f>IF(B3306="","",HOUR(A3306))</f>
        <v/>
      </c>
    </row>
    <row r="3307">
      <c r="A3307">
        <f>Input!A3307</f>
        <v/>
      </c>
      <c r="B3307">
        <f>IF(ISNUMBER(Input!B3307),IF(AND(Input!B3307&gt;=20,Input!B3307&lt;=700),Input!B3307,""),"")</f>
        <v/>
      </c>
      <c r="C3307">
        <f>IF(B3307="","",INT(A3307))</f>
        <v/>
      </c>
      <c r="D3307">
        <f>IF(B3307="","",HOUR(A3307))</f>
        <v/>
      </c>
    </row>
    <row r="3308">
      <c r="A3308">
        <f>Input!A3308</f>
        <v/>
      </c>
      <c r="B3308">
        <f>IF(ISNUMBER(Input!B3308),IF(AND(Input!B3308&gt;=20,Input!B3308&lt;=700),Input!B3308,""),"")</f>
        <v/>
      </c>
      <c r="C3308">
        <f>IF(B3308="","",INT(A3308))</f>
        <v/>
      </c>
      <c r="D3308">
        <f>IF(B3308="","",HOUR(A3308))</f>
        <v/>
      </c>
    </row>
    <row r="3309">
      <c r="A3309">
        <f>Input!A3309</f>
        <v/>
      </c>
      <c r="B3309">
        <f>IF(ISNUMBER(Input!B3309),IF(AND(Input!B3309&gt;=20,Input!B3309&lt;=700),Input!B3309,""),"")</f>
        <v/>
      </c>
      <c r="C3309">
        <f>IF(B3309="","",INT(A3309))</f>
        <v/>
      </c>
      <c r="D3309">
        <f>IF(B3309="","",HOUR(A3309))</f>
        <v/>
      </c>
    </row>
    <row r="3310">
      <c r="A3310">
        <f>Input!A3310</f>
        <v/>
      </c>
      <c r="B3310">
        <f>IF(ISNUMBER(Input!B3310),IF(AND(Input!B3310&gt;=20,Input!B3310&lt;=700),Input!B3310,""),"")</f>
        <v/>
      </c>
      <c r="C3310">
        <f>IF(B3310="","",INT(A3310))</f>
        <v/>
      </c>
      <c r="D3310">
        <f>IF(B3310="","",HOUR(A3310))</f>
        <v/>
      </c>
    </row>
    <row r="3311">
      <c r="A3311">
        <f>Input!A3311</f>
        <v/>
      </c>
      <c r="B3311">
        <f>IF(ISNUMBER(Input!B3311),IF(AND(Input!B3311&gt;=20,Input!B3311&lt;=700),Input!B3311,""),"")</f>
        <v/>
      </c>
      <c r="C3311">
        <f>IF(B3311="","",INT(A3311))</f>
        <v/>
      </c>
      <c r="D3311">
        <f>IF(B3311="","",HOUR(A3311))</f>
        <v/>
      </c>
    </row>
    <row r="3312">
      <c r="A3312">
        <f>Input!A3312</f>
        <v/>
      </c>
      <c r="B3312">
        <f>IF(ISNUMBER(Input!B3312),IF(AND(Input!B3312&gt;=20,Input!B3312&lt;=700),Input!B3312,""),"")</f>
        <v/>
      </c>
      <c r="C3312">
        <f>IF(B3312="","",INT(A3312))</f>
        <v/>
      </c>
      <c r="D3312">
        <f>IF(B3312="","",HOUR(A3312))</f>
        <v/>
      </c>
    </row>
    <row r="3313">
      <c r="A3313">
        <f>Input!A3313</f>
        <v/>
      </c>
      <c r="B3313">
        <f>IF(ISNUMBER(Input!B3313),IF(AND(Input!B3313&gt;=20,Input!B3313&lt;=700),Input!B3313,""),"")</f>
        <v/>
      </c>
      <c r="C3313">
        <f>IF(B3313="","",INT(A3313))</f>
        <v/>
      </c>
      <c r="D3313">
        <f>IF(B3313="","",HOUR(A3313))</f>
        <v/>
      </c>
    </row>
    <row r="3314">
      <c r="A3314">
        <f>Input!A3314</f>
        <v/>
      </c>
      <c r="B3314">
        <f>IF(ISNUMBER(Input!B3314),IF(AND(Input!B3314&gt;=20,Input!B3314&lt;=700),Input!B3314,""),"")</f>
        <v/>
      </c>
      <c r="C3314">
        <f>IF(B3314="","",INT(A3314))</f>
        <v/>
      </c>
      <c r="D3314">
        <f>IF(B3314="","",HOUR(A3314))</f>
        <v/>
      </c>
    </row>
    <row r="3315">
      <c r="A3315">
        <f>Input!A3315</f>
        <v/>
      </c>
      <c r="B3315">
        <f>IF(ISNUMBER(Input!B3315),IF(AND(Input!B3315&gt;=20,Input!B3315&lt;=700),Input!B3315,""),"")</f>
        <v/>
      </c>
      <c r="C3315">
        <f>IF(B3315="","",INT(A3315))</f>
        <v/>
      </c>
      <c r="D3315">
        <f>IF(B3315="","",HOUR(A3315))</f>
        <v/>
      </c>
    </row>
    <row r="3316">
      <c r="A3316">
        <f>Input!A3316</f>
        <v/>
      </c>
      <c r="B3316">
        <f>IF(ISNUMBER(Input!B3316),IF(AND(Input!B3316&gt;=20,Input!B3316&lt;=700),Input!B3316,""),"")</f>
        <v/>
      </c>
      <c r="C3316">
        <f>IF(B3316="","",INT(A3316))</f>
        <v/>
      </c>
      <c r="D3316">
        <f>IF(B3316="","",HOUR(A3316))</f>
        <v/>
      </c>
    </row>
    <row r="3317">
      <c r="A3317">
        <f>Input!A3317</f>
        <v/>
      </c>
      <c r="B3317">
        <f>IF(ISNUMBER(Input!B3317),IF(AND(Input!B3317&gt;=20,Input!B3317&lt;=700),Input!B3317,""),"")</f>
        <v/>
      </c>
      <c r="C3317">
        <f>IF(B3317="","",INT(A3317))</f>
        <v/>
      </c>
      <c r="D3317">
        <f>IF(B3317="","",HOUR(A3317))</f>
        <v/>
      </c>
    </row>
    <row r="3318">
      <c r="A3318">
        <f>Input!A3318</f>
        <v/>
      </c>
      <c r="B3318">
        <f>IF(ISNUMBER(Input!B3318),IF(AND(Input!B3318&gt;=20,Input!B3318&lt;=700),Input!B3318,""),"")</f>
        <v/>
      </c>
      <c r="C3318">
        <f>IF(B3318="","",INT(A3318))</f>
        <v/>
      </c>
      <c r="D3318">
        <f>IF(B3318="","",HOUR(A3318))</f>
        <v/>
      </c>
    </row>
    <row r="3319">
      <c r="A3319">
        <f>Input!A3319</f>
        <v/>
      </c>
      <c r="B3319">
        <f>IF(ISNUMBER(Input!B3319),IF(AND(Input!B3319&gt;=20,Input!B3319&lt;=700),Input!B3319,""),"")</f>
        <v/>
      </c>
      <c r="C3319">
        <f>IF(B3319="","",INT(A3319))</f>
        <v/>
      </c>
      <c r="D3319">
        <f>IF(B3319="","",HOUR(A3319))</f>
        <v/>
      </c>
    </row>
    <row r="3320">
      <c r="A3320">
        <f>Input!A3320</f>
        <v/>
      </c>
      <c r="B3320">
        <f>IF(ISNUMBER(Input!B3320),IF(AND(Input!B3320&gt;=20,Input!B3320&lt;=700),Input!B3320,""),"")</f>
        <v/>
      </c>
      <c r="C3320">
        <f>IF(B3320="","",INT(A3320))</f>
        <v/>
      </c>
      <c r="D3320">
        <f>IF(B3320="","",HOUR(A3320))</f>
        <v/>
      </c>
    </row>
    <row r="3321">
      <c r="A3321">
        <f>Input!A3321</f>
        <v/>
      </c>
      <c r="B3321">
        <f>IF(ISNUMBER(Input!B3321),IF(AND(Input!B3321&gt;=20,Input!B3321&lt;=700),Input!B3321,""),"")</f>
        <v/>
      </c>
      <c r="C3321">
        <f>IF(B3321="","",INT(A3321))</f>
        <v/>
      </c>
      <c r="D3321">
        <f>IF(B3321="","",HOUR(A3321))</f>
        <v/>
      </c>
    </row>
    <row r="3322">
      <c r="A3322">
        <f>Input!A3322</f>
        <v/>
      </c>
      <c r="B3322">
        <f>IF(ISNUMBER(Input!B3322),IF(AND(Input!B3322&gt;=20,Input!B3322&lt;=700),Input!B3322,""),"")</f>
        <v/>
      </c>
      <c r="C3322">
        <f>IF(B3322="","",INT(A3322))</f>
        <v/>
      </c>
      <c r="D3322">
        <f>IF(B3322="","",HOUR(A3322))</f>
        <v/>
      </c>
    </row>
    <row r="3323">
      <c r="A3323">
        <f>Input!A3323</f>
        <v/>
      </c>
      <c r="B3323">
        <f>IF(ISNUMBER(Input!B3323),IF(AND(Input!B3323&gt;=20,Input!B3323&lt;=700),Input!B3323,""),"")</f>
        <v/>
      </c>
      <c r="C3323">
        <f>IF(B3323="","",INT(A3323))</f>
        <v/>
      </c>
      <c r="D3323">
        <f>IF(B3323="","",HOUR(A3323))</f>
        <v/>
      </c>
    </row>
    <row r="3324">
      <c r="A3324">
        <f>Input!A3324</f>
        <v/>
      </c>
      <c r="B3324">
        <f>IF(ISNUMBER(Input!B3324),IF(AND(Input!B3324&gt;=20,Input!B3324&lt;=700),Input!B3324,""),"")</f>
        <v/>
      </c>
      <c r="C3324">
        <f>IF(B3324="","",INT(A3324))</f>
        <v/>
      </c>
      <c r="D3324">
        <f>IF(B3324="","",HOUR(A3324))</f>
        <v/>
      </c>
    </row>
    <row r="3325">
      <c r="A3325">
        <f>Input!A3325</f>
        <v/>
      </c>
      <c r="B3325">
        <f>IF(ISNUMBER(Input!B3325),IF(AND(Input!B3325&gt;=20,Input!B3325&lt;=700),Input!B3325,""),"")</f>
        <v/>
      </c>
      <c r="C3325">
        <f>IF(B3325="","",INT(A3325))</f>
        <v/>
      </c>
      <c r="D3325">
        <f>IF(B3325="","",HOUR(A3325))</f>
        <v/>
      </c>
    </row>
    <row r="3326">
      <c r="A3326">
        <f>Input!A3326</f>
        <v/>
      </c>
      <c r="B3326">
        <f>IF(ISNUMBER(Input!B3326),IF(AND(Input!B3326&gt;=20,Input!B3326&lt;=700),Input!B3326,""),"")</f>
        <v/>
      </c>
      <c r="C3326">
        <f>IF(B3326="","",INT(A3326))</f>
        <v/>
      </c>
      <c r="D3326">
        <f>IF(B3326="","",HOUR(A3326))</f>
        <v/>
      </c>
    </row>
    <row r="3327">
      <c r="A3327">
        <f>Input!A3327</f>
        <v/>
      </c>
      <c r="B3327">
        <f>IF(ISNUMBER(Input!B3327),IF(AND(Input!B3327&gt;=20,Input!B3327&lt;=700),Input!B3327,""),"")</f>
        <v/>
      </c>
      <c r="C3327">
        <f>IF(B3327="","",INT(A3327))</f>
        <v/>
      </c>
      <c r="D3327">
        <f>IF(B3327="","",HOUR(A3327))</f>
        <v/>
      </c>
    </row>
    <row r="3328">
      <c r="A3328">
        <f>Input!A3328</f>
        <v/>
      </c>
      <c r="B3328">
        <f>IF(ISNUMBER(Input!B3328),IF(AND(Input!B3328&gt;=20,Input!B3328&lt;=700),Input!B3328,""),"")</f>
        <v/>
      </c>
      <c r="C3328">
        <f>IF(B3328="","",INT(A3328))</f>
        <v/>
      </c>
      <c r="D3328">
        <f>IF(B3328="","",HOUR(A3328))</f>
        <v/>
      </c>
    </row>
    <row r="3329">
      <c r="A3329">
        <f>Input!A3329</f>
        <v/>
      </c>
      <c r="B3329">
        <f>IF(ISNUMBER(Input!B3329),IF(AND(Input!B3329&gt;=20,Input!B3329&lt;=700),Input!B3329,""),"")</f>
        <v/>
      </c>
      <c r="C3329">
        <f>IF(B3329="","",INT(A3329))</f>
        <v/>
      </c>
      <c r="D3329">
        <f>IF(B3329="","",HOUR(A3329))</f>
        <v/>
      </c>
    </row>
    <row r="3330">
      <c r="A3330">
        <f>Input!A3330</f>
        <v/>
      </c>
      <c r="B3330">
        <f>IF(ISNUMBER(Input!B3330),IF(AND(Input!B3330&gt;=20,Input!B3330&lt;=700),Input!B3330,""),"")</f>
        <v/>
      </c>
      <c r="C3330">
        <f>IF(B3330="","",INT(A3330))</f>
        <v/>
      </c>
      <c r="D3330">
        <f>IF(B3330="","",HOUR(A3330))</f>
        <v/>
      </c>
    </row>
    <row r="3331">
      <c r="A3331">
        <f>Input!A3331</f>
        <v/>
      </c>
      <c r="B3331">
        <f>IF(ISNUMBER(Input!B3331),IF(AND(Input!B3331&gt;=20,Input!B3331&lt;=700),Input!B3331,""),"")</f>
        <v/>
      </c>
      <c r="C3331">
        <f>IF(B3331="","",INT(A3331))</f>
        <v/>
      </c>
      <c r="D3331">
        <f>IF(B3331="","",HOUR(A3331))</f>
        <v/>
      </c>
    </row>
    <row r="3332">
      <c r="A3332">
        <f>Input!A3332</f>
        <v/>
      </c>
      <c r="B3332">
        <f>IF(ISNUMBER(Input!B3332),IF(AND(Input!B3332&gt;=20,Input!B3332&lt;=700),Input!B3332,""),"")</f>
        <v/>
      </c>
      <c r="C3332">
        <f>IF(B3332="","",INT(A3332))</f>
        <v/>
      </c>
      <c r="D3332">
        <f>IF(B3332="","",HOUR(A3332))</f>
        <v/>
      </c>
    </row>
    <row r="3333">
      <c r="A3333">
        <f>Input!A3333</f>
        <v/>
      </c>
      <c r="B3333">
        <f>IF(ISNUMBER(Input!B3333),IF(AND(Input!B3333&gt;=20,Input!B3333&lt;=700),Input!B3333,""),"")</f>
        <v/>
      </c>
      <c r="C3333">
        <f>IF(B3333="","",INT(A3333))</f>
        <v/>
      </c>
      <c r="D3333">
        <f>IF(B3333="","",HOUR(A3333))</f>
        <v/>
      </c>
    </row>
    <row r="3334">
      <c r="A3334">
        <f>Input!A3334</f>
        <v/>
      </c>
      <c r="B3334">
        <f>IF(ISNUMBER(Input!B3334),IF(AND(Input!B3334&gt;=20,Input!B3334&lt;=700),Input!B3334,""),"")</f>
        <v/>
      </c>
      <c r="C3334">
        <f>IF(B3334="","",INT(A3334))</f>
        <v/>
      </c>
      <c r="D3334">
        <f>IF(B3334="","",HOUR(A3334))</f>
        <v/>
      </c>
    </row>
    <row r="3335">
      <c r="A3335">
        <f>Input!A3335</f>
        <v/>
      </c>
      <c r="B3335">
        <f>IF(ISNUMBER(Input!B3335),IF(AND(Input!B3335&gt;=20,Input!B3335&lt;=700),Input!B3335,""),"")</f>
        <v/>
      </c>
      <c r="C3335">
        <f>IF(B3335="","",INT(A3335))</f>
        <v/>
      </c>
      <c r="D3335">
        <f>IF(B3335="","",HOUR(A3335))</f>
        <v/>
      </c>
    </row>
    <row r="3336">
      <c r="A3336">
        <f>Input!A3336</f>
        <v/>
      </c>
      <c r="B3336">
        <f>IF(ISNUMBER(Input!B3336),IF(AND(Input!B3336&gt;=20,Input!B3336&lt;=700),Input!B3336,""),"")</f>
        <v/>
      </c>
      <c r="C3336">
        <f>IF(B3336="","",INT(A3336))</f>
        <v/>
      </c>
      <c r="D3336">
        <f>IF(B3336="","",HOUR(A3336))</f>
        <v/>
      </c>
    </row>
    <row r="3337">
      <c r="A3337">
        <f>Input!A3337</f>
        <v/>
      </c>
      <c r="B3337">
        <f>IF(ISNUMBER(Input!B3337),IF(AND(Input!B3337&gt;=20,Input!B3337&lt;=700),Input!B3337,""),"")</f>
        <v/>
      </c>
      <c r="C3337">
        <f>IF(B3337="","",INT(A3337))</f>
        <v/>
      </c>
      <c r="D3337">
        <f>IF(B3337="","",HOUR(A3337))</f>
        <v/>
      </c>
    </row>
    <row r="3338">
      <c r="A3338">
        <f>Input!A3338</f>
        <v/>
      </c>
      <c r="B3338">
        <f>IF(ISNUMBER(Input!B3338),IF(AND(Input!B3338&gt;=20,Input!B3338&lt;=700),Input!B3338,""),"")</f>
        <v/>
      </c>
      <c r="C3338">
        <f>IF(B3338="","",INT(A3338))</f>
        <v/>
      </c>
      <c r="D3338">
        <f>IF(B3338="","",HOUR(A3338))</f>
        <v/>
      </c>
    </row>
    <row r="3339">
      <c r="A3339">
        <f>Input!A3339</f>
        <v/>
      </c>
      <c r="B3339">
        <f>IF(ISNUMBER(Input!B3339),IF(AND(Input!B3339&gt;=20,Input!B3339&lt;=700),Input!B3339,""),"")</f>
        <v/>
      </c>
      <c r="C3339">
        <f>IF(B3339="","",INT(A3339))</f>
        <v/>
      </c>
      <c r="D3339">
        <f>IF(B3339="","",HOUR(A3339))</f>
        <v/>
      </c>
    </row>
    <row r="3340">
      <c r="A3340">
        <f>Input!A3340</f>
        <v/>
      </c>
      <c r="B3340">
        <f>IF(ISNUMBER(Input!B3340),IF(AND(Input!B3340&gt;=20,Input!B3340&lt;=700),Input!B3340,""),"")</f>
        <v/>
      </c>
      <c r="C3340">
        <f>IF(B3340="","",INT(A3340))</f>
        <v/>
      </c>
      <c r="D3340">
        <f>IF(B3340="","",HOUR(A3340))</f>
        <v/>
      </c>
    </row>
    <row r="3341">
      <c r="A3341">
        <f>Input!A3341</f>
        <v/>
      </c>
      <c r="B3341">
        <f>IF(ISNUMBER(Input!B3341),IF(AND(Input!B3341&gt;=20,Input!B3341&lt;=700),Input!B3341,""),"")</f>
        <v/>
      </c>
      <c r="C3341">
        <f>IF(B3341="","",INT(A3341))</f>
        <v/>
      </c>
      <c r="D3341">
        <f>IF(B3341="","",HOUR(A3341))</f>
        <v/>
      </c>
    </row>
    <row r="3342">
      <c r="A3342">
        <f>Input!A3342</f>
        <v/>
      </c>
      <c r="B3342">
        <f>IF(ISNUMBER(Input!B3342),IF(AND(Input!B3342&gt;=20,Input!B3342&lt;=700),Input!B3342,""),"")</f>
        <v/>
      </c>
      <c r="C3342">
        <f>IF(B3342="","",INT(A3342))</f>
        <v/>
      </c>
      <c r="D3342">
        <f>IF(B3342="","",HOUR(A3342))</f>
        <v/>
      </c>
    </row>
    <row r="3343">
      <c r="A3343">
        <f>Input!A3343</f>
        <v/>
      </c>
      <c r="B3343">
        <f>IF(ISNUMBER(Input!B3343),IF(AND(Input!B3343&gt;=20,Input!B3343&lt;=700),Input!B3343,""),"")</f>
        <v/>
      </c>
      <c r="C3343">
        <f>IF(B3343="","",INT(A3343))</f>
        <v/>
      </c>
      <c r="D3343">
        <f>IF(B3343="","",HOUR(A3343))</f>
        <v/>
      </c>
    </row>
    <row r="3344">
      <c r="A3344">
        <f>Input!A3344</f>
        <v/>
      </c>
      <c r="B3344">
        <f>IF(ISNUMBER(Input!B3344),IF(AND(Input!B3344&gt;=20,Input!B3344&lt;=700),Input!B3344,""),"")</f>
        <v/>
      </c>
      <c r="C3344">
        <f>IF(B3344="","",INT(A3344))</f>
        <v/>
      </c>
      <c r="D3344">
        <f>IF(B3344="","",HOUR(A3344))</f>
        <v/>
      </c>
    </row>
    <row r="3345">
      <c r="A3345">
        <f>Input!A3345</f>
        <v/>
      </c>
      <c r="B3345">
        <f>IF(ISNUMBER(Input!B3345),IF(AND(Input!B3345&gt;=20,Input!B3345&lt;=700),Input!B3345,""),"")</f>
        <v/>
      </c>
      <c r="C3345">
        <f>IF(B3345="","",INT(A3345))</f>
        <v/>
      </c>
      <c r="D3345">
        <f>IF(B3345="","",HOUR(A3345))</f>
        <v/>
      </c>
    </row>
    <row r="3346">
      <c r="A3346">
        <f>Input!A3346</f>
        <v/>
      </c>
      <c r="B3346">
        <f>IF(ISNUMBER(Input!B3346),IF(AND(Input!B3346&gt;=20,Input!B3346&lt;=700),Input!B3346,""),"")</f>
        <v/>
      </c>
      <c r="C3346">
        <f>IF(B3346="","",INT(A3346))</f>
        <v/>
      </c>
      <c r="D3346">
        <f>IF(B3346="","",HOUR(A3346))</f>
        <v/>
      </c>
    </row>
    <row r="3347">
      <c r="A3347">
        <f>Input!A3347</f>
        <v/>
      </c>
      <c r="B3347">
        <f>IF(ISNUMBER(Input!B3347),IF(AND(Input!B3347&gt;=20,Input!B3347&lt;=700),Input!B3347,""),"")</f>
        <v/>
      </c>
      <c r="C3347">
        <f>IF(B3347="","",INT(A3347))</f>
        <v/>
      </c>
      <c r="D3347">
        <f>IF(B3347="","",HOUR(A3347))</f>
        <v/>
      </c>
    </row>
    <row r="3348">
      <c r="A3348">
        <f>Input!A3348</f>
        <v/>
      </c>
      <c r="B3348">
        <f>IF(ISNUMBER(Input!B3348),IF(AND(Input!B3348&gt;=20,Input!B3348&lt;=700),Input!B3348,""),"")</f>
        <v/>
      </c>
      <c r="C3348">
        <f>IF(B3348="","",INT(A3348))</f>
        <v/>
      </c>
      <c r="D3348">
        <f>IF(B3348="","",HOUR(A3348))</f>
        <v/>
      </c>
    </row>
    <row r="3349">
      <c r="A3349">
        <f>Input!A3349</f>
        <v/>
      </c>
      <c r="B3349">
        <f>IF(ISNUMBER(Input!B3349),IF(AND(Input!B3349&gt;=20,Input!B3349&lt;=700),Input!B3349,""),"")</f>
        <v/>
      </c>
      <c r="C3349">
        <f>IF(B3349="","",INT(A3349))</f>
        <v/>
      </c>
      <c r="D3349">
        <f>IF(B3349="","",HOUR(A3349))</f>
        <v/>
      </c>
    </row>
    <row r="3350">
      <c r="A3350">
        <f>Input!A3350</f>
        <v/>
      </c>
      <c r="B3350">
        <f>IF(ISNUMBER(Input!B3350),IF(AND(Input!B3350&gt;=20,Input!B3350&lt;=700),Input!B3350,""),"")</f>
        <v/>
      </c>
      <c r="C3350">
        <f>IF(B3350="","",INT(A3350))</f>
        <v/>
      </c>
      <c r="D3350">
        <f>IF(B3350="","",HOUR(A3350))</f>
        <v/>
      </c>
    </row>
    <row r="3351">
      <c r="A3351">
        <f>Input!A3351</f>
        <v/>
      </c>
      <c r="B3351">
        <f>IF(ISNUMBER(Input!B3351),IF(AND(Input!B3351&gt;=20,Input!B3351&lt;=700),Input!B3351,""),"")</f>
        <v/>
      </c>
      <c r="C3351">
        <f>IF(B3351="","",INT(A3351))</f>
        <v/>
      </c>
      <c r="D3351">
        <f>IF(B3351="","",HOUR(A3351))</f>
        <v/>
      </c>
    </row>
    <row r="3352">
      <c r="A3352">
        <f>Input!A3352</f>
        <v/>
      </c>
      <c r="B3352">
        <f>IF(ISNUMBER(Input!B3352),IF(AND(Input!B3352&gt;=20,Input!B3352&lt;=700),Input!B3352,""),"")</f>
        <v/>
      </c>
      <c r="C3352">
        <f>IF(B3352="","",INT(A3352))</f>
        <v/>
      </c>
      <c r="D3352">
        <f>IF(B3352="","",HOUR(A3352))</f>
        <v/>
      </c>
    </row>
    <row r="3353">
      <c r="A3353">
        <f>Input!A3353</f>
        <v/>
      </c>
      <c r="B3353">
        <f>IF(ISNUMBER(Input!B3353),IF(AND(Input!B3353&gt;=20,Input!B3353&lt;=700),Input!B3353,""),"")</f>
        <v/>
      </c>
      <c r="C3353">
        <f>IF(B3353="","",INT(A3353))</f>
        <v/>
      </c>
      <c r="D3353">
        <f>IF(B3353="","",HOUR(A3353))</f>
        <v/>
      </c>
    </row>
    <row r="3354">
      <c r="A3354">
        <f>Input!A3354</f>
        <v/>
      </c>
      <c r="B3354">
        <f>IF(ISNUMBER(Input!B3354),IF(AND(Input!B3354&gt;=20,Input!B3354&lt;=700),Input!B3354,""),"")</f>
        <v/>
      </c>
      <c r="C3354">
        <f>IF(B3354="","",INT(A3354))</f>
        <v/>
      </c>
      <c r="D3354">
        <f>IF(B3354="","",HOUR(A3354))</f>
        <v/>
      </c>
    </row>
    <row r="3355">
      <c r="A3355">
        <f>Input!A3355</f>
        <v/>
      </c>
      <c r="B3355">
        <f>IF(ISNUMBER(Input!B3355),IF(AND(Input!B3355&gt;=20,Input!B3355&lt;=700),Input!B3355,""),"")</f>
        <v/>
      </c>
      <c r="C3355">
        <f>IF(B3355="","",INT(A3355))</f>
        <v/>
      </c>
      <c r="D3355">
        <f>IF(B3355="","",HOUR(A3355))</f>
        <v/>
      </c>
    </row>
    <row r="3356">
      <c r="A3356">
        <f>Input!A3356</f>
        <v/>
      </c>
      <c r="B3356">
        <f>IF(ISNUMBER(Input!B3356),IF(AND(Input!B3356&gt;=20,Input!B3356&lt;=700),Input!B3356,""),"")</f>
        <v/>
      </c>
      <c r="C3356">
        <f>IF(B3356="","",INT(A3356))</f>
        <v/>
      </c>
      <c r="D3356">
        <f>IF(B3356="","",HOUR(A3356))</f>
        <v/>
      </c>
    </row>
    <row r="3357">
      <c r="A3357">
        <f>Input!A3357</f>
        <v/>
      </c>
      <c r="B3357">
        <f>IF(ISNUMBER(Input!B3357),IF(AND(Input!B3357&gt;=20,Input!B3357&lt;=700),Input!B3357,""),"")</f>
        <v/>
      </c>
      <c r="C3357">
        <f>IF(B3357="","",INT(A3357))</f>
        <v/>
      </c>
      <c r="D3357">
        <f>IF(B3357="","",HOUR(A3357))</f>
        <v/>
      </c>
    </row>
    <row r="3358">
      <c r="A3358">
        <f>Input!A3358</f>
        <v/>
      </c>
      <c r="B3358">
        <f>IF(ISNUMBER(Input!B3358),IF(AND(Input!B3358&gt;=20,Input!B3358&lt;=700),Input!B3358,""),"")</f>
        <v/>
      </c>
      <c r="C3358">
        <f>IF(B3358="","",INT(A3358))</f>
        <v/>
      </c>
      <c r="D3358">
        <f>IF(B3358="","",HOUR(A3358))</f>
        <v/>
      </c>
    </row>
    <row r="3359">
      <c r="A3359">
        <f>Input!A3359</f>
        <v/>
      </c>
      <c r="B3359">
        <f>IF(ISNUMBER(Input!B3359),IF(AND(Input!B3359&gt;=20,Input!B3359&lt;=700),Input!B3359,""),"")</f>
        <v/>
      </c>
      <c r="C3359">
        <f>IF(B3359="","",INT(A3359))</f>
        <v/>
      </c>
      <c r="D3359">
        <f>IF(B3359="","",HOUR(A3359))</f>
        <v/>
      </c>
    </row>
    <row r="3360">
      <c r="A3360">
        <f>Input!A3360</f>
        <v/>
      </c>
      <c r="B3360">
        <f>IF(ISNUMBER(Input!B3360),IF(AND(Input!B3360&gt;=20,Input!B3360&lt;=700),Input!B3360,""),"")</f>
        <v/>
      </c>
      <c r="C3360">
        <f>IF(B3360="","",INT(A3360))</f>
        <v/>
      </c>
      <c r="D3360">
        <f>IF(B3360="","",HOUR(A3360))</f>
        <v/>
      </c>
    </row>
    <row r="3361">
      <c r="A3361">
        <f>Input!A3361</f>
        <v/>
      </c>
      <c r="B3361">
        <f>IF(ISNUMBER(Input!B3361),IF(AND(Input!B3361&gt;=20,Input!B3361&lt;=700),Input!B3361,""),"")</f>
        <v/>
      </c>
      <c r="C3361">
        <f>IF(B3361="","",INT(A3361))</f>
        <v/>
      </c>
      <c r="D3361">
        <f>IF(B3361="","",HOUR(A3361))</f>
        <v/>
      </c>
    </row>
    <row r="3362">
      <c r="A3362">
        <f>Input!A3362</f>
        <v/>
      </c>
      <c r="B3362">
        <f>IF(ISNUMBER(Input!B3362),IF(AND(Input!B3362&gt;=20,Input!B3362&lt;=700),Input!B3362,""),"")</f>
        <v/>
      </c>
      <c r="C3362">
        <f>IF(B3362="","",INT(A3362))</f>
        <v/>
      </c>
      <c r="D3362">
        <f>IF(B3362="","",HOUR(A3362))</f>
        <v/>
      </c>
    </row>
    <row r="3363">
      <c r="A3363">
        <f>Input!A3363</f>
        <v/>
      </c>
      <c r="B3363">
        <f>IF(ISNUMBER(Input!B3363),IF(AND(Input!B3363&gt;=20,Input!B3363&lt;=700),Input!B3363,""),"")</f>
        <v/>
      </c>
      <c r="C3363">
        <f>IF(B3363="","",INT(A3363))</f>
        <v/>
      </c>
      <c r="D3363">
        <f>IF(B3363="","",HOUR(A3363))</f>
        <v/>
      </c>
    </row>
    <row r="3364">
      <c r="A3364">
        <f>Input!A3364</f>
        <v/>
      </c>
      <c r="B3364">
        <f>IF(ISNUMBER(Input!B3364),IF(AND(Input!B3364&gt;=20,Input!B3364&lt;=700),Input!B3364,""),"")</f>
        <v/>
      </c>
      <c r="C3364">
        <f>IF(B3364="","",INT(A3364))</f>
        <v/>
      </c>
      <c r="D3364">
        <f>IF(B3364="","",HOUR(A3364))</f>
        <v/>
      </c>
    </row>
    <row r="3365">
      <c r="A3365">
        <f>Input!A3365</f>
        <v/>
      </c>
      <c r="B3365">
        <f>IF(ISNUMBER(Input!B3365),IF(AND(Input!B3365&gt;=20,Input!B3365&lt;=700),Input!B3365,""),"")</f>
        <v/>
      </c>
      <c r="C3365">
        <f>IF(B3365="","",INT(A3365))</f>
        <v/>
      </c>
      <c r="D3365">
        <f>IF(B3365="","",HOUR(A3365))</f>
        <v/>
      </c>
    </row>
    <row r="3366">
      <c r="A3366">
        <f>Input!A3366</f>
        <v/>
      </c>
      <c r="B3366">
        <f>IF(ISNUMBER(Input!B3366),IF(AND(Input!B3366&gt;=20,Input!B3366&lt;=700),Input!B3366,""),"")</f>
        <v/>
      </c>
      <c r="C3366">
        <f>IF(B3366="","",INT(A3366))</f>
        <v/>
      </c>
      <c r="D3366">
        <f>IF(B3366="","",HOUR(A3366))</f>
        <v/>
      </c>
    </row>
    <row r="3367">
      <c r="A3367">
        <f>Input!A3367</f>
        <v/>
      </c>
      <c r="B3367">
        <f>IF(ISNUMBER(Input!B3367),IF(AND(Input!B3367&gt;=20,Input!B3367&lt;=700),Input!B3367,""),"")</f>
        <v/>
      </c>
      <c r="C3367">
        <f>IF(B3367="","",INT(A3367))</f>
        <v/>
      </c>
      <c r="D3367">
        <f>IF(B3367="","",HOUR(A3367))</f>
        <v/>
      </c>
    </row>
    <row r="3368">
      <c r="A3368">
        <f>Input!A3368</f>
        <v/>
      </c>
      <c r="B3368">
        <f>IF(ISNUMBER(Input!B3368),IF(AND(Input!B3368&gt;=20,Input!B3368&lt;=700),Input!B3368,""),"")</f>
        <v/>
      </c>
      <c r="C3368">
        <f>IF(B3368="","",INT(A3368))</f>
        <v/>
      </c>
      <c r="D3368">
        <f>IF(B3368="","",HOUR(A3368))</f>
        <v/>
      </c>
    </row>
    <row r="3369">
      <c r="A3369">
        <f>Input!A3369</f>
        <v/>
      </c>
      <c r="B3369">
        <f>IF(ISNUMBER(Input!B3369),IF(AND(Input!B3369&gt;=20,Input!B3369&lt;=700),Input!B3369,""),"")</f>
        <v/>
      </c>
      <c r="C3369">
        <f>IF(B3369="","",INT(A3369))</f>
        <v/>
      </c>
      <c r="D3369">
        <f>IF(B3369="","",HOUR(A3369))</f>
        <v/>
      </c>
    </row>
    <row r="3370">
      <c r="A3370">
        <f>Input!A3370</f>
        <v/>
      </c>
      <c r="B3370">
        <f>IF(ISNUMBER(Input!B3370),IF(AND(Input!B3370&gt;=20,Input!B3370&lt;=700),Input!B3370,""),"")</f>
        <v/>
      </c>
      <c r="C3370">
        <f>IF(B3370="","",INT(A3370))</f>
        <v/>
      </c>
      <c r="D3370">
        <f>IF(B3370="","",HOUR(A3370))</f>
        <v/>
      </c>
    </row>
    <row r="3371">
      <c r="A3371">
        <f>Input!A3371</f>
        <v/>
      </c>
      <c r="B3371">
        <f>IF(ISNUMBER(Input!B3371),IF(AND(Input!B3371&gt;=20,Input!B3371&lt;=700),Input!B3371,""),"")</f>
        <v/>
      </c>
      <c r="C3371">
        <f>IF(B3371="","",INT(A3371))</f>
        <v/>
      </c>
      <c r="D3371">
        <f>IF(B3371="","",HOUR(A3371))</f>
        <v/>
      </c>
    </row>
    <row r="3372">
      <c r="A3372">
        <f>Input!A3372</f>
        <v/>
      </c>
      <c r="B3372">
        <f>IF(ISNUMBER(Input!B3372),IF(AND(Input!B3372&gt;=20,Input!B3372&lt;=700),Input!B3372,""),"")</f>
        <v/>
      </c>
      <c r="C3372">
        <f>IF(B3372="","",INT(A3372))</f>
        <v/>
      </c>
      <c r="D3372">
        <f>IF(B3372="","",HOUR(A3372))</f>
        <v/>
      </c>
    </row>
    <row r="3373">
      <c r="A3373">
        <f>Input!A3373</f>
        <v/>
      </c>
      <c r="B3373">
        <f>IF(ISNUMBER(Input!B3373),IF(AND(Input!B3373&gt;=20,Input!B3373&lt;=700),Input!B3373,""),"")</f>
        <v/>
      </c>
      <c r="C3373">
        <f>IF(B3373="","",INT(A3373))</f>
        <v/>
      </c>
      <c r="D3373">
        <f>IF(B3373="","",HOUR(A3373))</f>
        <v/>
      </c>
    </row>
    <row r="3374">
      <c r="A3374">
        <f>Input!A3374</f>
        <v/>
      </c>
      <c r="B3374">
        <f>IF(ISNUMBER(Input!B3374),IF(AND(Input!B3374&gt;=20,Input!B3374&lt;=700),Input!B3374,""),"")</f>
        <v/>
      </c>
      <c r="C3374">
        <f>IF(B3374="","",INT(A3374))</f>
        <v/>
      </c>
      <c r="D3374">
        <f>IF(B3374="","",HOUR(A3374))</f>
        <v/>
      </c>
    </row>
    <row r="3375">
      <c r="A3375">
        <f>Input!A3375</f>
        <v/>
      </c>
      <c r="B3375">
        <f>IF(ISNUMBER(Input!B3375),IF(AND(Input!B3375&gt;=20,Input!B3375&lt;=700),Input!B3375,""),"")</f>
        <v/>
      </c>
      <c r="C3375">
        <f>IF(B3375="","",INT(A3375))</f>
        <v/>
      </c>
      <c r="D3375">
        <f>IF(B3375="","",HOUR(A3375))</f>
        <v/>
      </c>
    </row>
    <row r="3376">
      <c r="A3376">
        <f>Input!A3376</f>
        <v/>
      </c>
      <c r="B3376">
        <f>IF(ISNUMBER(Input!B3376),IF(AND(Input!B3376&gt;=20,Input!B3376&lt;=700),Input!B3376,""),"")</f>
        <v/>
      </c>
      <c r="C3376">
        <f>IF(B3376="","",INT(A3376))</f>
        <v/>
      </c>
      <c r="D3376">
        <f>IF(B3376="","",HOUR(A3376))</f>
        <v/>
      </c>
    </row>
    <row r="3377">
      <c r="A3377">
        <f>Input!A3377</f>
        <v/>
      </c>
      <c r="B3377">
        <f>IF(ISNUMBER(Input!B3377),IF(AND(Input!B3377&gt;=20,Input!B3377&lt;=700),Input!B3377,""),"")</f>
        <v/>
      </c>
      <c r="C3377">
        <f>IF(B3377="","",INT(A3377))</f>
        <v/>
      </c>
      <c r="D3377">
        <f>IF(B3377="","",HOUR(A3377))</f>
        <v/>
      </c>
    </row>
    <row r="3378">
      <c r="A3378">
        <f>Input!A3378</f>
        <v/>
      </c>
      <c r="B3378">
        <f>IF(ISNUMBER(Input!B3378),IF(AND(Input!B3378&gt;=20,Input!B3378&lt;=700),Input!B3378,""),"")</f>
        <v/>
      </c>
      <c r="C3378">
        <f>IF(B3378="","",INT(A3378))</f>
        <v/>
      </c>
      <c r="D3378">
        <f>IF(B3378="","",HOUR(A3378))</f>
        <v/>
      </c>
    </row>
    <row r="3379">
      <c r="A3379">
        <f>Input!A3379</f>
        <v/>
      </c>
      <c r="B3379">
        <f>IF(ISNUMBER(Input!B3379),IF(AND(Input!B3379&gt;=20,Input!B3379&lt;=700),Input!B3379,""),"")</f>
        <v/>
      </c>
      <c r="C3379">
        <f>IF(B3379="","",INT(A3379))</f>
        <v/>
      </c>
      <c r="D3379">
        <f>IF(B3379="","",HOUR(A3379))</f>
        <v/>
      </c>
    </row>
    <row r="3380">
      <c r="A3380">
        <f>Input!A3380</f>
        <v/>
      </c>
      <c r="B3380">
        <f>IF(ISNUMBER(Input!B3380),IF(AND(Input!B3380&gt;=20,Input!B3380&lt;=700),Input!B3380,""),"")</f>
        <v/>
      </c>
      <c r="C3380">
        <f>IF(B3380="","",INT(A3380))</f>
        <v/>
      </c>
      <c r="D3380">
        <f>IF(B3380="","",HOUR(A3380))</f>
        <v/>
      </c>
    </row>
    <row r="3381">
      <c r="A3381">
        <f>Input!A3381</f>
        <v/>
      </c>
      <c r="B3381">
        <f>IF(ISNUMBER(Input!B3381),IF(AND(Input!B3381&gt;=20,Input!B3381&lt;=700),Input!B3381,""),"")</f>
        <v/>
      </c>
      <c r="C3381">
        <f>IF(B3381="","",INT(A3381))</f>
        <v/>
      </c>
      <c r="D3381">
        <f>IF(B3381="","",HOUR(A3381))</f>
        <v/>
      </c>
    </row>
    <row r="3382">
      <c r="A3382">
        <f>Input!A3382</f>
        <v/>
      </c>
      <c r="B3382">
        <f>IF(ISNUMBER(Input!B3382),IF(AND(Input!B3382&gt;=20,Input!B3382&lt;=700),Input!B3382,""),"")</f>
        <v/>
      </c>
      <c r="C3382">
        <f>IF(B3382="","",INT(A3382))</f>
        <v/>
      </c>
      <c r="D3382">
        <f>IF(B3382="","",HOUR(A3382))</f>
        <v/>
      </c>
    </row>
    <row r="3383">
      <c r="A3383">
        <f>Input!A3383</f>
        <v/>
      </c>
      <c r="B3383">
        <f>IF(ISNUMBER(Input!B3383),IF(AND(Input!B3383&gt;=20,Input!B3383&lt;=700),Input!B3383,""),"")</f>
        <v/>
      </c>
      <c r="C3383">
        <f>IF(B3383="","",INT(A3383))</f>
        <v/>
      </c>
      <c r="D3383">
        <f>IF(B3383="","",HOUR(A3383))</f>
        <v/>
      </c>
    </row>
    <row r="3384">
      <c r="A3384">
        <f>Input!A3384</f>
        <v/>
      </c>
      <c r="B3384">
        <f>IF(ISNUMBER(Input!B3384),IF(AND(Input!B3384&gt;=20,Input!B3384&lt;=700),Input!B3384,""),"")</f>
        <v/>
      </c>
      <c r="C3384">
        <f>IF(B3384="","",INT(A3384))</f>
        <v/>
      </c>
      <c r="D3384">
        <f>IF(B3384="","",HOUR(A3384))</f>
        <v/>
      </c>
    </row>
    <row r="3385">
      <c r="A3385">
        <f>Input!A3385</f>
        <v/>
      </c>
      <c r="B3385">
        <f>IF(ISNUMBER(Input!B3385),IF(AND(Input!B3385&gt;=20,Input!B3385&lt;=700),Input!B3385,""),"")</f>
        <v/>
      </c>
      <c r="C3385">
        <f>IF(B3385="","",INT(A3385))</f>
        <v/>
      </c>
      <c r="D3385">
        <f>IF(B3385="","",HOUR(A3385))</f>
        <v/>
      </c>
    </row>
    <row r="3386">
      <c r="A3386">
        <f>Input!A3386</f>
        <v/>
      </c>
      <c r="B3386">
        <f>IF(ISNUMBER(Input!B3386),IF(AND(Input!B3386&gt;=20,Input!B3386&lt;=700),Input!B3386,""),"")</f>
        <v/>
      </c>
      <c r="C3386">
        <f>IF(B3386="","",INT(A3386))</f>
        <v/>
      </c>
      <c r="D3386">
        <f>IF(B3386="","",HOUR(A3386))</f>
        <v/>
      </c>
    </row>
    <row r="3387">
      <c r="A3387">
        <f>Input!A3387</f>
        <v/>
      </c>
      <c r="B3387">
        <f>IF(ISNUMBER(Input!B3387),IF(AND(Input!B3387&gt;=20,Input!B3387&lt;=700),Input!B3387,""),"")</f>
        <v/>
      </c>
      <c r="C3387">
        <f>IF(B3387="","",INT(A3387))</f>
        <v/>
      </c>
      <c r="D3387">
        <f>IF(B3387="","",HOUR(A3387))</f>
        <v/>
      </c>
    </row>
    <row r="3388">
      <c r="A3388">
        <f>Input!A3388</f>
        <v/>
      </c>
      <c r="B3388">
        <f>IF(ISNUMBER(Input!B3388),IF(AND(Input!B3388&gt;=20,Input!B3388&lt;=700),Input!B3388,""),"")</f>
        <v/>
      </c>
      <c r="C3388">
        <f>IF(B3388="","",INT(A3388))</f>
        <v/>
      </c>
      <c r="D3388">
        <f>IF(B3388="","",HOUR(A3388))</f>
        <v/>
      </c>
    </row>
    <row r="3389">
      <c r="A3389">
        <f>Input!A3389</f>
        <v/>
      </c>
      <c r="B3389">
        <f>IF(ISNUMBER(Input!B3389),IF(AND(Input!B3389&gt;=20,Input!B3389&lt;=700),Input!B3389,""),"")</f>
        <v/>
      </c>
      <c r="C3389">
        <f>IF(B3389="","",INT(A3389))</f>
        <v/>
      </c>
      <c r="D3389">
        <f>IF(B3389="","",HOUR(A3389))</f>
        <v/>
      </c>
    </row>
    <row r="3390">
      <c r="A3390">
        <f>Input!A3390</f>
        <v/>
      </c>
      <c r="B3390">
        <f>IF(ISNUMBER(Input!B3390),IF(AND(Input!B3390&gt;=20,Input!B3390&lt;=700),Input!B3390,""),"")</f>
        <v/>
      </c>
      <c r="C3390">
        <f>IF(B3390="","",INT(A3390))</f>
        <v/>
      </c>
      <c r="D3390">
        <f>IF(B3390="","",HOUR(A3390))</f>
        <v/>
      </c>
    </row>
    <row r="3391">
      <c r="A3391">
        <f>Input!A3391</f>
        <v/>
      </c>
      <c r="B3391">
        <f>IF(ISNUMBER(Input!B3391),IF(AND(Input!B3391&gt;=20,Input!B3391&lt;=700),Input!B3391,""),"")</f>
        <v/>
      </c>
      <c r="C3391">
        <f>IF(B3391="","",INT(A3391))</f>
        <v/>
      </c>
      <c r="D3391">
        <f>IF(B3391="","",HOUR(A3391))</f>
        <v/>
      </c>
    </row>
    <row r="3392">
      <c r="A3392">
        <f>Input!A3392</f>
        <v/>
      </c>
      <c r="B3392">
        <f>IF(ISNUMBER(Input!B3392),IF(AND(Input!B3392&gt;=20,Input!B3392&lt;=700),Input!B3392,""),"")</f>
        <v/>
      </c>
      <c r="C3392">
        <f>IF(B3392="","",INT(A3392))</f>
        <v/>
      </c>
      <c r="D3392">
        <f>IF(B3392="","",HOUR(A3392))</f>
        <v/>
      </c>
    </row>
    <row r="3393">
      <c r="A3393">
        <f>Input!A3393</f>
        <v/>
      </c>
      <c r="B3393">
        <f>IF(ISNUMBER(Input!B3393),IF(AND(Input!B3393&gt;=20,Input!B3393&lt;=700),Input!B3393,""),"")</f>
        <v/>
      </c>
      <c r="C3393">
        <f>IF(B3393="","",INT(A3393))</f>
        <v/>
      </c>
      <c r="D3393">
        <f>IF(B3393="","",HOUR(A3393))</f>
        <v/>
      </c>
    </row>
    <row r="3394">
      <c r="A3394">
        <f>Input!A3394</f>
        <v/>
      </c>
      <c r="B3394">
        <f>IF(ISNUMBER(Input!B3394),IF(AND(Input!B3394&gt;=20,Input!B3394&lt;=700),Input!B3394,""),"")</f>
        <v/>
      </c>
      <c r="C3394">
        <f>IF(B3394="","",INT(A3394))</f>
        <v/>
      </c>
      <c r="D3394">
        <f>IF(B3394="","",HOUR(A3394))</f>
        <v/>
      </c>
    </row>
    <row r="3395">
      <c r="A3395">
        <f>Input!A3395</f>
        <v/>
      </c>
      <c r="B3395">
        <f>IF(ISNUMBER(Input!B3395),IF(AND(Input!B3395&gt;=20,Input!B3395&lt;=700),Input!B3395,""),"")</f>
        <v/>
      </c>
      <c r="C3395">
        <f>IF(B3395="","",INT(A3395))</f>
        <v/>
      </c>
      <c r="D3395">
        <f>IF(B3395="","",HOUR(A3395))</f>
        <v/>
      </c>
    </row>
    <row r="3396">
      <c r="A3396">
        <f>Input!A3396</f>
        <v/>
      </c>
      <c r="B3396">
        <f>IF(ISNUMBER(Input!B3396),IF(AND(Input!B3396&gt;=20,Input!B3396&lt;=700),Input!B3396,""),"")</f>
        <v/>
      </c>
      <c r="C3396">
        <f>IF(B3396="","",INT(A3396))</f>
        <v/>
      </c>
      <c r="D3396">
        <f>IF(B3396="","",HOUR(A3396))</f>
        <v/>
      </c>
    </row>
    <row r="3397">
      <c r="A3397">
        <f>Input!A3397</f>
        <v/>
      </c>
      <c r="B3397">
        <f>IF(ISNUMBER(Input!B3397),IF(AND(Input!B3397&gt;=20,Input!B3397&lt;=700),Input!B3397,""),"")</f>
        <v/>
      </c>
      <c r="C3397">
        <f>IF(B3397="","",INT(A3397))</f>
        <v/>
      </c>
      <c r="D3397">
        <f>IF(B3397="","",HOUR(A3397))</f>
        <v/>
      </c>
    </row>
    <row r="3398">
      <c r="A3398">
        <f>Input!A3398</f>
        <v/>
      </c>
      <c r="B3398">
        <f>IF(ISNUMBER(Input!B3398),IF(AND(Input!B3398&gt;=20,Input!B3398&lt;=700),Input!B3398,""),"")</f>
        <v/>
      </c>
      <c r="C3398">
        <f>IF(B3398="","",INT(A3398))</f>
        <v/>
      </c>
      <c r="D3398">
        <f>IF(B3398="","",HOUR(A3398))</f>
        <v/>
      </c>
    </row>
    <row r="3399">
      <c r="A3399">
        <f>Input!A3399</f>
        <v/>
      </c>
      <c r="B3399">
        <f>IF(ISNUMBER(Input!B3399),IF(AND(Input!B3399&gt;=20,Input!B3399&lt;=700),Input!B3399,""),"")</f>
        <v/>
      </c>
      <c r="C3399">
        <f>IF(B3399="","",INT(A3399))</f>
        <v/>
      </c>
      <c r="D3399">
        <f>IF(B3399="","",HOUR(A3399))</f>
        <v/>
      </c>
    </row>
    <row r="3400">
      <c r="A3400">
        <f>Input!A3400</f>
        <v/>
      </c>
      <c r="B3400">
        <f>IF(ISNUMBER(Input!B3400),IF(AND(Input!B3400&gt;=20,Input!B3400&lt;=700),Input!B3400,""),"")</f>
        <v/>
      </c>
      <c r="C3400">
        <f>IF(B3400="","",INT(A3400))</f>
        <v/>
      </c>
      <c r="D3400">
        <f>IF(B3400="","",HOUR(A3400))</f>
        <v/>
      </c>
    </row>
    <row r="3401">
      <c r="A3401">
        <f>Input!A3401</f>
        <v/>
      </c>
      <c r="B3401">
        <f>IF(ISNUMBER(Input!B3401),IF(AND(Input!B3401&gt;=20,Input!B3401&lt;=700),Input!B3401,""),"")</f>
        <v/>
      </c>
      <c r="C3401">
        <f>IF(B3401="","",INT(A3401))</f>
        <v/>
      </c>
      <c r="D3401">
        <f>IF(B3401="","",HOUR(A3401))</f>
        <v/>
      </c>
    </row>
    <row r="3402">
      <c r="A3402">
        <f>Input!A3402</f>
        <v/>
      </c>
      <c r="B3402">
        <f>IF(ISNUMBER(Input!B3402),IF(AND(Input!B3402&gt;=20,Input!B3402&lt;=700),Input!B3402,""),"")</f>
        <v/>
      </c>
      <c r="C3402">
        <f>IF(B3402="","",INT(A3402))</f>
        <v/>
      </c>
      <c r="D3402">
        <f>IF(B3402="","",HOUR(A3402))</f>
        <v/>
      </c>
    </row>
    <row r="3403">
      <c r="A3403">
        <f>Input!A3403</f>
        <v/>
      </c>
      <c r="B3403">
        <f>IF(ISNUMBER(Input!B3403),IF(AND(Input!B3403&gt;=20,Input!B3403&lt;=700),Input!B3403,""),"")</f>
        <v/>
      </c>
      <c r="C3403">
        <f>IF(B3403="","",INT(A3403))</f>
        <v/>
      </c>
      <c r="D3403">
        <f>IF(B3403="","",HOUR(A3403))</f>
        <v/>
      </c>
    </row>
    <row r="3404">
      <c r="A3404">
        <f>Input!A3404</f>
        <v/>
      </c>
      <c r="B3404">
        <f>IF(ISNUMBER(Input!B3404),IF(AND(Input!B3404&gt;=20,Input!B3404&lt;=700),Input!B3404,""),"")</f>
        <v/>
      </c>
      <c r="C3404">
        <f>IF(B3404="","",INT(A3404))</f>
        <v/>
      </c>
      <c r="D3404">
        <f>IF(B3404="","",HOUR(A3404))</f>
        <v/>
      </c>
    </row>
    <row r="3405">
      <c r="A3405">
        <f>Input!A3405</f>
        <v/>
      </c>
      <c r="B3405">
        <f>IF(ISNUMBER(Input!B3405),IF(AND(Input!B3405&gt;=20,Input!B3405&lt;=700),Input!B3405,""),"")</f>
        <v/>
      </c>
      <c r="C3405">
        <f>IF(B3405="","",INT(A3405))</f>
        <v/>
      </c>
      <c r="D3405">
        <f>IF(B3405="","",HOUR(A3405))</f>
        <v/>
      </c>
    </row>
    <row r="3406">
      <c r="A3406">
        <f>Input!A3406</f>
        <v/>
      </c>
      <c r="B3406">
        <f>IF(ISNUMBER(Input!B3406),IF(AND(Input!B3406&gt;=20,Input!B3406&lt;=700),Input!B3406,""),"")</f>
        <v/>
      </c>
      <c r="C3406">
        <f>IF(B3406="","",INT(A3406))</f>
        <v/>
      </c>
      <c r="D3406">
        <f>IF(B3406="","",HOUR(A3406))</f>
        <v/>
      </c>
    </row>
    <row r="3407">
      <c r="A3407">
        <f>Input!A3407</f>
        <v/>
      </c>
      <c r="B3407">
        <f>IF(ISNUMBER(Input!B3407),IF(AND(Input!B3407&gt;=20,Input!B3407&lt;=700),Input!B3407,""),"")</f>
        <v/>
      </c>
      <c r="C3407">
        <f>IF(B3407="","",INT(A3407))</f>
        <v/>
      </c>
      <c r="D3407">
        <f>IF(B3407="","",HOUR(A3407))</f>
        <v/>
      </c>
    </row>
    <row r="3408">
      <c r="A3408">
        <f>Input!A3408</f>
        <v/>
      </c>
      <c r="B3408">
        <f>IF(ISNUMBER(Input!B3408),IF(AND(Input!B3408&gt;=20,Input!B3408&lt;=700),Input!B3408,""),"")</f>
        <v/>
      </c>
      <c r="C3408">
        <f>IF(B3408="","",INT(A3408))</f>
        <v/>
      </c>
      <c r="D3408">
        <f>IF(B3408="","",HOUR(A3408))</f>
        <v/>
      </c>
    </row>
    <row r="3409">
      <c r="A3409">
        <f>Input!A3409</f>
        <v/>
      </c>
      <c r="B3409">
        <f>IF(ISNUMBER(Input!B3409),IF(AND(Input!B3409&gt;=20,Input!B3409&lt;=700),Input!B3409,""),"")</f>
        <v/>
      </c>
      <c r="C3409">
        <f>IF(B3409="","",INT(A3409))</f>
        <v/>
      </c>
      <c r="D3409">
        <f>IF(B3409="","",HOUR(A3409))</f>
        <v/>
      </c>
    </row>
    <row r="3410">
      <c r="A3410">
        <f>Input!A3410</f>
        <v/>
      </c>
      <c r="B3410">
        <f>IF(ISNUMBER(Input!B3410),IF(AND(Input!B3410&gt;=20,Input!B3410&lt;=700),Input!B3410,""),"")</f>
        <v/>
      </c>
      <c r="C3410">
        <f>IF(B3410="","",INT(A3410))</f>
        <v/>
      </c>
      <c r="D3410">
        <f>IF(B3410="","",HOUR(A3410))</f>
        <v/>
      </c>
    </row>
    <row r="3411">
      <c r="A3411">
        <f>Input!A3411</f>
        <v/>
      </c>
      <c r="B3411">
        <f>IF(ISNUMBER(Input!B3411),IF(AND(Input!B3411&gt;=20,Input!B3411&lt;=700),Input!B3411,""),"")</f>
        <v/>
      </c>
      <c r="C3411">
        <f>IF(B3411="","",INT(A3411))</f>
        <v/>
      </c>
      <c r="D3411">
        <f>IF(B3411="","",HOUR(A3411))</f>
        <v/>
      </c>
    </row>
    <row r="3412">
      <c r="A3412">
        <f>Input!A3412</f>
        <v/>
      </c>
      <c r="B3412">
        <f>IF(ISNUMBER(Input!B3412),IF(AND(Input!B3412&gt;=20,Input!B3412&lt;=700),Input!B3412,""),"")</f>
        <v/>
      </c>
      <c r="C3412">
        <f>IF(B3412="","",INT(A3412))</f>
        <v/>
      </c>
      <c r="D3412">
        <f>IF(B3412="","",HOUR(A3412))</f>
        <v/>
      </c>
    </row>
    <row r="3413">
      <c r="A3413">
        <f>Input!A3413</f>
        <v/>
      </c>
      <c r="B3413">
        <f>IF(ISNUMBER(Input!B3413),IF(AND(Input!B3413&gt;=20,Input!B3413&lt;=700),Input!B3413,""),"")</f>
        <v/>
      </c>
      <c r="C3413">
        <f>IF(B3413="","",INT(A3413))</f>
        <v/>
      </c>
      <c r="D3413">
        <f>IF(B3413="","",HOUR(A3413))</f>
        <v/>
      </c>
    </row>
    <row r="3414">
      <c r="A3414">
        <f>Input!A3414</f>
        <v/>
      </c>
      <c r="B3414">
        <f>IF(ISNUMBER(Input!B3414),IF(AND(Input!B3414&gt;=20,Input!B3414&lt;=700),Input!B3414,""),"")</f>
        <v/>
      </c>
      <c r="C3414">
        <f>IF(B3414="","",INT(A3414))</f>
        <v/>
      </c>
      <c r="D3414">
        <f>IF(B3414="","",HOUR(A3414))</f>
        <v/>
      </c>
    </row>
    <row r="3415">
      <c r="A3415">
        <f>Input!A3415</f>
        <v/>
      </c>
      <c r="B3415">
        <f>IF(ISNUMBER(Input!B3415),IF(AND(Input!B3415&gt;=20,Input!B3415&lt;=700),Input!B3415,""),"")</f>
        <v/>
      </c>
      <c r="C3415">
        <f>IF(B3415="","",INT(A3415))</f>
        <v/>
      </c>
      <c r="D3415">
        <f>IF(B3415="","",HOUR(A3415))</f>
        <v/>
      </c>
    </row>
    <row r="3416">
      <c r="A3416">
        <f>Input!A3416</f>
        <v/>
      </c>
      <c r="B3416">
        <f>IF(ISNUMBER(Input!B3416),IF(AND(Input!B3416&gt;=20,Input!B3416&lt;=700),Input!B3416,""),"")</f>
        <v/>
      </c>
      <c r="C3416">
        <f>IF(B3416="","",INT(A3416))</f>
        <v/>
      </c>
      <c r="D3416">
        <f>IF(B3416="","",HOUR(A3416))</f>
        <v/>
      </c>
    </row>
    <row r="3417">
      <c r="A3417">
        <f>Input!A3417</f>
        <v/>
      </c>
      <c r="B3417">
        <f>IF(ISNUMBER(Input!B3417),IF(AND(Input!B3417&gt;=20,Input!B3417&lt;=700),Input!B3417,""),"")</f>
        <v/>
      </c>
      <c r="C3417">
        <f>IF(B3417="","",INT(A3417))</f>
        <v/>
      </c>
      <c r="D3417">
        <f>IF(B3417="","",HOUR(A3417))</f>
        <v/>
      </c>
    </row>
    <row r="3418">
      <c r="A3418">
        <f>Input!A3418</f>
        <v/>
      </c>
      <c r="B3418">
        <f>IF(ISNUMBER(Input!B3418),IF(AND(Input!B3418&gt;=20,Input!B3418&lt;=700),Input!B3418,""),"")</f>
        <v/>
      </c>
      <c r="C3418">
        <f>IF(B3418="","",INT(A3418))</f>
        <v/>
      </c>
      <c r="D3418">
        <f>IF(B3418="","",HOUR(A3418))</f>
        <v/>
      </c>
    </row>
    <row r="3419">
      <c r="A3419">
        <f>Input!A3419</f>
        <v/>
      </c>
      <c r="B3419">
        <f>IF(ISNUMBER(Input!B3419),IF(AND(Input!B3419&gt;=20,Input!B3419&lt;=700),Input!B3419,""),"")</f>
        <v/>
      </c>
      <c r="C3419">
        <f>IF(B3419="","",INT(A3419))</f>
        <v/>
      </c>
      <c r="D3419">
        <f>IF(B3419="","",HOUR(A3419))</f>
        <v/>
      </c>
    </row>
    <row r="3420">
      <c r="A3420">
        <f>Input!A3420</f>
        <v/>
      </c>
      <c r="B3420">
        <f>IF(ISNUMBER(Input!B3420),IF(AND(Input!B3420&gt;=20,Input!B3420&lt;=700),Input!B3420,""),"")</f>
        <v/>
      </c>
      <c r="C3420">
        <f>IF(B3420="","",INT(A3420))</f>
        <v/>
      </c>
      <c r="D3420">
        <f>IF(B3420="","",HOUR(A3420))</f>
        <v/>
      </c>
    </row>
    <row r="3421">
      <c r="A3421">
        <f>Input!A3421</f>
        <v/>
      </c>
      <c r="B3421">
        <f>IF(ISNUMBER(Input!B3421),IF(AND(Input!B3421&gt;=20,Input!B3421&lt;=700),Input!B3421,""),"")</f>
        <v/>
      </c>
      <c r="C3421">
        <f>IF(B3421="","",INT(A3421))</f>
        <v/>
      </c>
      <c r="D3421">
        <f>IF(B3421="","",HOUR(A3421))</f>
        <v/>
      </c>
    </row>
    <row r="3422">
      <c r="A3422">
        <f>Input!A3422</f>
        <v/>
      </c>
      <c r="B3422">
        <f>IF(ISNUMBER(Input!B3422),IF(AND(Input!B3422&gt;=20,Input!B3422&lt;=700),Input!B3422,""),"")</f>
        <v/>
      </c>
      <c r="C3422">
        <f>IF(B3422="","",INT(A3422))</f>
        <v/>
      </c>
      <c r="D3422">
        <f>IF(B3422="","",HOUR(A3422))</f>
        <v/>
      </c>
    </row>
    <row r="3423">
      <c r="A3423">
        <f>Input!A3423</f>
        <v/>
      </c>
      <c r="B3423">
        <f>IF(ISNUMBER(Input!B3423),IF(AND(Input!B3423&gt;=20,Input!B3423&lt;=700),Input!B3423,""),"")</f>
        <v/>
      </c>
      <c r="C3423">
        <f>IF(B3423="","",INT(A3423))</f>
        <v/>
      </c>
      <c r="D3423">
        <f>IF(B3423="","",HOUR(A3423))</f>
        <v/>
      </c>
    </row>
    <row r="3424">
      <c r="A3424">
        <f>Input!A3424</f>
        <v/>
      </c>
      <c r="B3424">
        <f>IF(ISNUMBER(Input!B3424),IF(AND(Input!B3424&gt;=20,Input!B3424&lt;=700),Input!B3424,""),"")</f>
        <v/>
      </c>
      <c r="C3424">
        <f>IF(B3424="","",INT(A3424))</f>
        <v/>
      </c>
      <c r="D3424">
        <f>IF(B3424="","",HOUR(A3424))</f>
        <v/>
      </c>
    </row>
    <row r="3425">
      <c r="A3425">
        <f>Input!A3425</f>
        <v/>
      </c>
      <c r="B3425">
        <f>IF(ISNUMBER(Input!B3425),IF(AND(Input!B3425&gt;=20,Input!B3425&lt;=700),Input!B3425,""),"")</f>
        <v/>
      </c>
      <c r="C3425">
        <f>IF(B3425="","",INT(A3425))</f>
        <v/>
      </c>
      <c r="D3425">
        <f>IF(B3425="","",HOUR(A3425))</f>
        <v/>
      </c>
    </row>
    <row r="3426">
      <c r="A3426">
        <f>Input!A3426</f>
        <v/>
      </c>
      <c r="B3426">
        <f>IF(ISNUMBER(Input!B3426),IF(AND(Input!B3426&gt;=20,Input!B3426&lt;=700),Input!B3426,""),"")</f>
        <v/>
      </c>
      <c r="C3426">
        <f>IF(B3426="","",INT(A3426))</f>
        <v/>
      </c>
      <c r="D3426">
        <f>IF(B3426="","",HOUR(A3426))</f>
        <v/>
      </c>
    </row>
    <row r="3427">
      <c r="A3427">
        <f>Input!A3427</f>
        <v/>
      </c>
      <c r="B3427">
        <f>IF(ISNUMBER(Input!B3427),IF(AND(Input!B3427&gt;=20,Input!B3427&lt;=700),Input!B3427,""),"")</f>
        <v/>
      </c>
      <c r="C3427">
        <f>IF(B3427="","",INT(A3427))</f>
        <v/>
      </c>
      <c r="D3427">
        <f>IF(B3427="","",HOUR(A3427))</f>
        <v/>
      </c>
    </row>
    <row r="3428">
      <c r="A3428">
        <f>Input!A3428</f>
        <v/>
      </c>
      <c r="B3428">
        <f>IF(ISNUMBER(Input!B3428),IF(AND(Input!B3428&gt;=20,Input!B3428&lt;=700),Input!B3428,""),"")</f>
        <v/>
      </c>
      <c r="C3428">
        <f>IF(B3428="","",INT(A3428))</f>
        <v/>
      </c>
      <c r="D3428">
        <f>IF(B3428="","",HOUR(A3428))</f>
        <v/>
      </c>
    </row>
    <row r="3429">
      <c r="A3429">
        <f>Input!A3429</f>
        <v/>
      </c>
      <c r="B3429">
        <f>IF(ISNUMBER(Input!B3429),IF(AND(Input!B3429&gt;=20,Input!B3429&lt;=700),Input!B3429,""),"")</f>
        <v/>
      </c>
      <c r="C3429">
        <f>IF(B3429="","",INT(A3429))</f>
        <v/>
      </c>
      <c r="D3429">
        <f>IF(B3429="","",HOUR(A3429))</f>
        <v/>
      </c>
    </row>
    <row r="3430">
      <c r="A3430">
        <f>Input!A3430</f>
        <v/>
      </c>
      <c r="B3430">
        <f>IF(ISNUMBER(Input!B3430),IF(AND(Input!B3430&gt;=20,Input!B3430&lt;=700),Input!B3430,""),"")</f>
        <v/>
      </c>
      <c r="C3430">
        <f>IF(B3430="","",INT(A3430))</f>
        <v/>
      </c>
      <c r="D3430">
        <f>IF(B3430="","",HOUR(A3430))</f>
        <v/>
      </c>
    </row>
    <row r="3431">
      <c r="A3431">
        <f>Input!A3431</f>
        <v/>
      </c>
      <c r="B3431">
        <f>IF(ISNUMBER(Input!B3431),IF(AND(Input!B3431&gt;=20,Input!B3431&lt;=700),Input!B3431,""),"")</f>
        <v/>
      </c>
      <c r="C3431">
        <f>IF(B3431="","",INT(A3431))</f>
        <v/>
      </c>
      <c r="D3431">
        <f>IF(B3431="","",HOUR(A3431))</f>
        <v/>
      </c>
    </row>
    <row r="3432">
      <c r="A3432">
        <f>Input!A3432</f>
        <v/>
      </c>
      <c r="B3432">
        <f>IF(ISNUMBER(Input!B3432),IF(AND(Input!B3432&gt;=20,Input!B3432&lt;=700),Input!B3432,""),"")</f>
        <v/>
      </c>
      <c r="C3432">
        <f>IF(B3432="","",INT(A3432))</f>
        <v/>
      </c>
      <c r="D3432">
        <f>IF(B3432="","",HOUR(A3432))</f>
        <v/>
      </c>
    </row>
    <row r="3433">
      <c r="A3433">
        <f>Input!A3433</f>
        <v/>
      </c>
      <c r="B3433">
        <f>IF(ISNUMBER(Input!B3433),IF(AND(Input!B3433&gt;=20,Input!B3433&lt;=700),Input!B3433,""),"")</f>
        <v/>
      </c>
      <c r="C3433">
        <f>IF(B3433="","",INT(A3433))</f>
        <v/>
      </c>
      <c r="D3433">
        <f>IF(B3433="","",HOUR(A3433))</f>
        <v/>
      </c>
    </row>
    <row r="3434">
      <c r="A3434">
        <f>Input!A3434</f>
        <v/>
      </c>
      <c r="B3434">
        <f>IF(ISNUMBER(Input!B3434),IF(AND(Input!B3434&gt;=20,Input!B3434&lt;=700),Input!B3434,""),"")</f>
        <v/>
      </c>
      <c r="C3434">
        <f>IF(B3434="","",INT(A3434))</f>
        <v/>
      </c>
      <c r="D3434">
        <f>IF(B3434="","",HOUR(A3434))</f>
        <v/>
      </c>
    </row>
    <row r="3435">
      <c r="A3435">
        <f>Input!A3435</f>
        <v/>
      </c>
      <c r="B3435">
        <f>IF(ISNUMBER(Input!B3435),IF(AND(Input!B3435&gt;=20,Input!B3435&lt;=700),Input!B3435,""),"")</f>
        <v/>
      </c>
      <c r="C3435">
        <f>IF(B3435="","",INT(A3435))</f>
        <v/>
      </c>
      <c r="D3435">
        <f>IF(B3435="","",HOUR(A3435))</f>
        <v/>
      </c>
    </row>
    <row r="3436">
      <c r="A3436">
        <f>Input!A3436</f>
        <v/>
      </c>
      <c r="B3436">
        <f>IF(ISNUMBER(Input!B3436),IF(AND(Input!B3436&gt;=20,Input!B3436&lt;=700),Input!B3436,""),"")</f>
        <v/>
      </c>
      <c r="C3436">
        <f>IF(B3436="","",INT(A3436))</f>
        <v/>
      </c>
      <c r="D3436">
        <f>IF(B3436="","",HOUR(A3436))</f>
        <v/>
      </c>
    </row>
    <row r="3437">
      <c r="A3437">
        <f>Input!A3437</f>
        <v/>
      </c>
      <c r="B3437">
        <f>IF(ISNUMBER(Input!B3437),IF(AND(Input!B3437&gt;=20,Input!B3437&lt;=700),Input!B3437,""),"")</f>
        <v/>
      </c>
      <c r="C3437">
        <f>IF(B3437="","",INT(A3437))</f>
        <v/>
      </c>
      <c r="D3437">
        <f>IF(B3437="","",HOUR(A3437))</f>
        <v/>
      </c>
    </row>
    <row r="3438">
      <c r="A3438">
        <f>Input!A3438</f>
        <v/>
      </c>
      <c r="B3438">
        <f>IF(ISNUMBER(Input!B3438),IF(AND(Input!B3438&gt;=20,Input!B3438&lt;=700),Input!B3438,""),"")</f>
        <v/>
      </c>
      <c r="C3438">
        <f>IF(B3438="","",INT(A3438))</f>
        <v/>
      </c>
      <c r="D3438">
        <f>IF(B3438="","",HOUR(A3438))</f>
        <v/>
      </c>
    </row>
    <row r="3439">
      <c r="A3439">
        <f>Input!A3439</f>
        <v/>
      </c>
      <c r="B3439">
        <f>IF(ISNUMBER(Input!B3439),IF(AND(Input!B3439&gt;=20,Input!B3439&lt;=700),Input!B3439,""),"")</f>
        <v/>
      </c>
      <c r="C3439">
        <f>IF(B3439="","",INT(A3439))</f>
        <v/>
      </c>
      <c r="D3439">
        <f>IF(B3439="","",HOUR(A3439))</f>
        <v/>
      </c>
    </row>
    <row r="3440">
      <c r="A3440">
        <f>Input!A3440</f>
        <v/>
      </c>
      <c r="B3440">
        <f>IF(ISNUMBER(Input!B3440),IF(AND(Input!B3440&gt;=20,Input!B3440&lt;=700),Input!B3440,""),"")</f>
        <v/>
      </c>
      <c r="C3440">
        <f>IF(B3440="","",INT(A3440))</f>
        <v/>
      </c>
      <c r="D3440">
        <f>IF(B3440="","",HOUR(A3440))</f>
        <v/>
      </c>
    </row>
    <row r="3441">
      <c r="A3441">
        <f>Input!A3441</f>
        <v/>
      </c>
      <c r="B3441">
        <f>IF(ISNUMBER(Input!B3441),IF(AND(Input!B3441&gt;=20,Input!B3441&lt;=700),Input!B3441,""),"")</f>
        <v/>
      </c>
      <c r="C3441">
        <f>IF(B3441="","",INT(A3441))</f>
        <v/>
      </c>
      <c r="D3441">
        <f>IF(B3441="","",HOUR(A3441))</f>
        <v/>
      </c>
    </row>
    <row r="3442">
      <c r="A3442">
        <f>Input!A3442</f>
        <v/>
      </c>
      <c r="B3442">
        <f>IF(ISNUMBER(Input!B3442),IF(AND(Input!B3442&gt;=20,Input!B3442&lt;=700),Input!B3442,""),"")</f>
        <v/>
      </c>
      <c r="C3442">
        <f>IF(B3442="","",INT(A3442))</f>
        <v/>
      </c>
      <c r="D3442">
        <f>IF(B3442="","",HOUR(A3442))</f>
        <v/>
      </c>
    </row>
    <row r="3443">
      <c r="A3443">
        <f>Input!A3443</f>
        <v/>
      </c>
      <c r="B3443">
        <f>IF(ISNUMBER(Input!B3443),IF(AND(Input!B3443&gt;=20,Input!B3443&lt;=700),Input!B3443,""),"")</f>
        <v/>
      </c>
      <c r="C3443">
        <f>IF(B3443="","",INT(A3443))</f>
        <v/>
      </c>
      <c r="D3443">
        <f>IF(B3443="","",HOUR(A3443))</f>
        <v/>
      </c>
    </row>
    <row r="3444">
      <c r="A3444">
        <f>Input!A3444</f>
        <v/>
      </c>
      <c r="B3444">
        <f>IF(ISNUMBER(Input!B3444),IF(AND(Input!B3444&gt;=20,Input!B3444&lt;=700),Input!B3444,""),"")</f>
        <v/>
      </c>
      <c r="C3444">
        <f>IF(B3444="","",INT(A3444))</f>
        <v/>
      </c>
      <c r="D3444">
        <f>IF(B3444="","",HOUR(A3444))</f>
        <v/>
      </c>
    </row>
    <row r="3445">
      <c r="A3445">
        <f>Input!A3445</f>
        <v/>
      </c>
      <c r="B3445">
        <f>IF(ISNUMBER(Input!B3445),IF(AND(Input!B3445&gt;=20,Input!B3445&lt;=700),Input!B3445,""),"")</f>
        <v/>
      </c>
      <c r="C3445">
        <f>IF(B3445="","",INT(A3445))</f>
        <v/>
      </c>
      <c r="D3445">
        <f>IF(B3445="","",HOUR(A3445))</f>
        <v/>
      </c>
    </row>
    <row r="3446">
      <c r="A3446">
        <f>Input!A3446</f>
        <v/>
      </c>
      <c r="B3446">
        <f>IF(ISNUMBER(Input!B3446),IF(AND(Input!B3446&gt;=20,Input!B3446&lt;=700),Input!B3446,""),"")</f>
        <v/>
      </c>
      <c r="C3446">
        <f>IF(B3446="","",INT(A3446))</f>
        <v/>
      </c>
      <c r="D3446">
        <f>IF(B3446="","",HOUR(A3446))</f>
        <v/>
      </c>
    </row>
    <row r="3447">
      <c r="A3447">
        <f>Input!A3447</f>
        <v/>
      </c>
      <c r="B3447">
        <f>IF(ISNUMBER(Input!B3447),IF(AND(Input!B3447&gt;=20,Input!B3447&lt;=700),Input!B3447,""),"")</f>
        <v/>
      </c>
      <c r="C3447">
        <f>IF(B3447="","",INT(A3447))</f>
        <v/>
      </c>
      <c r="D3447">
        <f>IF(B3447="","",HOUR(A3447))</f>
        <v/>
      </c>
    </row>
    <row r="3448">
      <c r="A3448">
        <f>Input!A3448</f>
        <v/>
      </c>
      <c r="B3448">
        <f>IF(ISNUMBER(Input!B3448),IF(AND(Input!B3448&gt;=20,Input!B3448&lt;=700),Input!B3448,""),"")</f>
        <v/>
      </c>
      <c r="C3448">
        <f>IF(B3448="","",INT(A3448))</f>
        <v/>
      </c>
      <c r="D3448">
        <f>IF(B3448="","",HOUR(A3448))</f>
        <v/>
      </c>
    </row>
    <row r="3449">
      <c r="A3449">
        <f>Input!A3449</f>
        <v/>
      </c>
      <c r="B3449">
        <f>IF(ISNUMBER(Input!B3449),IF(AND(Input!B3449&gt;=20,Input!B3449&lt;=700),Input!B3449,""),"")</f>
        <v/>
      </c>
      <c r="C3449">
        <f>IF(B3449="","",INT(A3449))</f>
        <v/>
      </c>
      <c r="D3449">
        <f>IF(B3449="","",HOUR(A3449))</f>
        <v/>
      </c>
    </row>
    <row r="3450">
      <c r="A3450">
        <f>Input!A3450</f>
        <v/>
      </c>
      <c r="B3450">
        <f>IF(ISNUMBER(Input!B3450),IF(AND(Input!B3450&gt;=20,Input!B3450&lt;=700),Input!B3450,""),"")</f>
        <v/>
      </c>
      <c r="C3450">
        <f>IF(B3450="","",INT(A3450))</f>
        <v/>
      </c>
      <c r="D3450">
        <f>IF(B3450="","",HOUR(A3450))</f>
        <v/>
      </c>
    </row>
    <row r="3451">
      <c r="A3451">
        <f>Input!A3451</f>
        <v/>
      </c>
      <c r="B3451">
        <f>IF(ISNUMBER(Input!B3451),IF(AND(Input!B3451&gt;=20,Input!B3451&lt;=700),Input!B3451,""),"")</f>
        <v/>
      </c>
      <c r="C3451">
        <f>IF(B3451="","",INT(A3451))</f>
        <v/>
      </c>
      <c r="D3451">
        <f>IF(B3451="","",HOUR(A3451))</f>
        <v/>
      </c>
    </row>
    <row r="3452">
      <c r="A3452">
        <f>Input!A3452</f>
        <v/>
      </c>
      <c r="B3452">
        <f>IF(ISNUMBER(Input!B3452),IF(AND(Input!B3452&gt;=20,Input!B3452&lt;=700),Input!B3452,""),"")</f>
        <v/>
      </c>
      <c r="C3452">
        <f>IF(B3452="","",INT(A3452))</f>
        <v/>
      </c>
      <c r="D3452">
        <f>IF(B3452="","",HOUR(A3452))</f>
        <v/>
      </c>
    </row>
    <row r="3453">
      <c r="A3453">
        <f>Input!A3453</f>
        <v/>
      </c>
      <c r="B3453">
        <f>IF(ISNUMBER(Input!B3453),IF(AND(Input!B3453&gt;=20,Input!B3453&lt;=700),Input!B3453,""),"")</f>
        <v/>
      </c>
      <c r="C3453">
        <f>IF(B3453="","",INT(A3453))</f>
        <v/>
      </c>
      <c r="D3453">
        <f>IF(B3453="","",HOUR(A3453))</f>
        <v/>
      </c>
    </row>
    <row r="3454">
      <c r="A3454">
        <f>Input!A3454</f>
        <v/>
      </c>
      <c r="B3454">
        <f>IF(ISNUMBER(Input!B3454),IF(AND(Input!B3454&gt;=20,Input!B3454&lt;=700),Input!B3454,""),"")</f>
        <v/>
      </c>
      <c r="C3454">
        <f>IF(B3454="","",INT(A3454))</f>
        <v/>
      </c>
      <c r="D3454">
        <f>IF(B3454="","",HOUR(A3454))</f>
        <v/>
      </c>
    </row>
    <row r="3455">
      <c r="A3455">
        <f>Input!A3455</f>
        <v/>
      </c>
      <c r="B3455">
        <f>IF(ISNUMBER(Input!B3455),IF(AND(Input!B3455&gt;=20,Input!B3455&lt;=700),Input!B3455,""),"")</f>
        <v/>
      </c>
      <c r="C3455">
        <f>IF(B3455="","",INT(A3455))</f>
        <v/>
      </c>
      <c r="D3455">
        <f>IF(B3455="","",HOUR(A3455))</f>
        <v/>
      </c>
    </row>
    <row r="3456">
      <c r="A3456">
        <f>Input!A3456</f>
        <v/>
      </c>
      <c r="B3456">
        <f>IF(ISNUMBER(Input!B3456),IF(AND(Input!B3456&gt;=20,Input!B3456&lt;=700),Input!B3456,""),"")</f>
        <v/>
      </c>
      <c r="C3456">
        <f>IF(B3456="","",INT(A3456))</f>
        <v/>
      </c>
      <c r="D3456">
        <f>IF(B3456="","",HOUR(A3456))</f>
        <v/>
      </c>
    </row>
    <row r="3457">
      <c r="A3457">
        <f>Input!A3457</f>
        <v/>
      </c>
      <c r="B3457">
        <f>IF(ISNUMBER(Input!B3457),IF(AND(Input!B3457&gt;=20,Input!B3457&lt;=700),Input!B3457,""),"")</f>
        <v/>
      </c>
      <c r="C3457">
        <f>IF(B3457="","",INT(A3457))</f>
        <v/>
      </c>
      <c r="D3457">
        <f>IF(B3457="","",HOUR(A3457))</f>
        <v/>
      </c>
    </row>
    <row r="3458">
      <c r="A3458">
        <f>Input!A3458</f>
        <v/>
      </c>
      <c r="B3458">
        <f>IF(ISNUMBER(Input!B3458),IF(AND(Input!B3458&gt;=20,Input!B3458&lt;=700),Input!B3458,""),"")</f>
        <v/>
      </c>
      <c r="C3458">
        <f>IF(B3458="","",INT(A3458))</f>
        <v/>
      </c>
      <c r="D3458">
        <f>IF(B3458="","",HOUR(A3458))</f>
        <v/>
      </c>
    </row>
    <row r="3459">
      <c r="A3459">
        <f>Input!A3459</f>
        <v/>
      </c>
      <c r="B3459">
        <f>IF(ISNUMBER(Input!B3459),IF(AND(Input!B3459&gt;=20,Input!B3459&lt;=700),Input!B3459,""),"")</f>
        <v/>
      </c>
      <c r="C3459">
        <f>IF(B3459="","",INT(A3459))</f>
        <v/>
      </c>
      <c r="D3459">
        <f>IF(B3459="","",HOUR(A3459))</f>
        <v/>
      </c>
    </row>
    <row r="3460">
      <c r="A3460">
        <f>Input!A3460</f>
        <v/>
      </c>
      <c r="B3460">
        <f>IF(ISNUMBER(Input!B3460),IF(AND(Input!B3460&gt;=20,Input!B3460&lt;=700),Input!B3460,""),"")</f>
        <v/>
      </c>
      <c r="C3460">
        <f>IF(B3460="","",INT(A3460))</f>
        <v/>
      </c>
      <c r="D3460">
        <f>IF(B3460="","",HOUR(A3460))</f>
        <v/>
      </c>
    </row>
    <row r="3461">
      <c r="A3461">
        <f>Input!A3461</f>
        <v/>
      </c>
      <c r="B3461">
        <f>IF(ISNUMBER(Input!B3461),IF(AND(Input!B3461&gt;=20,Input!B3461&lt;=700),Input!B3461,""),"")</f>
        <v/>
      </c>
      <c r="C3461">
        <f>IF(B3461="","",INT(A3461))</f>
        <v/>
      </c>
      <c r="D3461">
        <f>IF(B3461="","",HOUR(A3461))</f>
        <v/>
      </c>
    </row>
    <row r="3462">
      <c r="A3462">
        <f>Input!A3462</f>
        <v/>
      </c>
      <c r="B3462">
        <f>IF(ISNUMBER(Input!B3462),IF(AND(Input!B3462&gt;=20,Input!B3462&lt;=700),Input!B3462,""),"")</f>
        <v/>
      </c>
      <c r="C3462">
        <f>IF(B3462="","",INT(A3462))</f>
        <v/>
      </c>
      <c r="D3462">
        <f>IF(B3462="","",HOUR(A3462))</f>
        <v/>
      </c>
    </row>
    <row r="3463">
      <c r="A3463">
        <f>Input!A3463</f>
        <v/>
      </c>
      <c r="B3463">
        <f>IF(ISNUMBER(Input!B3463),IF(AND(Input!B3463&gt;=20,Input!B3463&lt;=700),Input!B3463,""),"")</f>
        <v/>
      </c>
      <c r="C3463">
        <f>IF(B3463="","",INT(A3463))</f>
        <v/>
      </c>
      <c r="D3463">
        <f>IF(B3463="","",HOUR(A3463))</f>
        <v/>
      </c>
    </row>
    <row r="3464">
      <c r="A3464">
        <f>Input!A3464</f>
        <v/>
      </c>
      <c r="B3464">
        <f>IF(ISNUMBER(Input!B3464),IF(AND(Input!B3464&gt;=20,Input!B3464&lt;=700),Input!B3464,""),"")</f>
        <v/>
      </c>
      <c r="C3464">
        <f>IF(B3464="","",INT(A3464))</f>
        <v/>
      </c>
      <c r="D3464">
        <f>IF(B3464="","",HOUR(A3464))</f>
        <v/>
      </c>
    </row>
    <row r="3465">
      <c r="A3465">
        <f>Input!A3465</f>
        <v/>
      </c>
      <c r="B3465">
        <f>IF(ISNUMBER(Input!B3465),IF(AND(Input!B3465&gt;=20,Input!B3465&lt;=700),Input!B3465,""),"")</f>
        <v/>
      </c>
      <c r="C3465">
        <f>IF(B3465="","",INT(A3465))</f>
        <v/>
      </c>
      <c r="D3465">
        <f>IF(B3465="","",HOUR(A3465))</f>
        <v/>
      </c>
    </row>
    <row r="3466">
      <c r="A3466">
        <f>Input!A3466</f>
        <v/>
      </c>
      <c r="B3466">
        <f>IF(ISNUMBER(Input!B3466),IF(AND(Input!B3466&gt;=20,Input!B3466&lt;=700),Input!B3466,""),"")</f>
        <v/>
      </c>
      <c r="C3466">
        <f>IF(B3466="","",INT(A3466))</f>
        <v/>
      </c>
      <c r="D3466">
        <f>IF(B3466="","",HOUR(A3466))</f>
        <v/>
      </c>
    </row>
    <row r="3467">
      <c r="A3467">
        <f>Input!A3467</f>
        <v/>
      </c>
      <c r="B3467">
        <f>IF(ISNUMBER(Input!B3467),IF(AND(Input!B3467&gt;=20,Input!B3467&lt;=700),Input!B3467,""),"")</f>
        <v/>
      </c>
      <c r="C3467">
        <f>IF(B3467="","",INT(A3467))</f>
        <v/>
      </c>
      <c r="D3467">
        <f>IF(B3467="","",HOUR(A3467))</f>
        <v/>
      </c>
    </row>
    <row r="3468">
      <c r="A3468">
        <f>Input!A3468</f>
        <v/>
      </c>
      <c r="B3468">
        <f>IF(ISNUMBER(Input!B3468),IF(AND(Input!B3468&gt;=20,Input!B3468&lt;=700),Input!B3468,""),"")</f>
        <v/>
      </c>
      <c r="C3468">
        <f>IF(B3468="","",INT(A3468))</f>
        <v/>
      </c>
      <c r="D3468">
        <f>IF(B3468="","",HOUR(A3468))</f>
        <v/>
      </c>
    </row>
    <row r="3469">
      <c r="A3469">
        <f>Input!A3469</f>
        <v/>
      </c>
      <c r="B3469">
        <f>IF(ISNUMBER(Input!B3469),IF(AND(Input!B3469&gt;=20,Input!B3469&lt;=700),Input!B3469,""),"")</f>
        <v/>
      </c>
      <c r="C3469">
        <f>IF(B3469="","",INT(A3469))</f>
        <v/>
      </c>
      <c r="D3469">
        <f>IF(B3469="","",HOUR(A3469))</f>
        <v/>
      </c>
    </row>
    <row r="3470">
      <c r="A3470">
        <f>Input!A3470</f>
        <v/>
      </c>
      <c r="B3470">
        <f>IF(ISNUMBER(Input!B3470),IF(AND(Input!B3470&gt;=20,Input!B3470&lt;=700),Input!B3470,""),"")</f>
        <v/>
      </c>
      <c r="C3470">
        <f>IF(B3470="","",INT(A3470))</f>
        <v/>
      </c>
      <c r="D3470">
        <f>IF(B3470="","",HOUR(A3470))</f>
        <v/>
      </c>
    </row>
    <row r="3471">
      <c r="A3471">
        <f>Input!A3471</f>
        <v/>
      </c>
      <c r="B3471">
        <f>IF(ISNUMBER(Input!B3471),IF(AND(Input!B3471&gt;=20,Input!B3471&lt;=700),Input!B3471,""),"")</f>
        <v/>
      </c>
      <c r="C3471">
        <f>IF(B3471="","",INT(A3471))</f>
        <v/>
      </c>
      <c r="D3471">
        <f>IF(B3471="","",HOUR(A3471))</f>
        <v/>
      </c>
    </row>
    <row r="3472">
      <c r="A3472">
        <f>Input!A3472</f>
        <v/>
      </c>
      <c r="B3472">
        <f>IF(ISNUMBER(Input!B3472),IF(AND(Input!B3472&gt;=20,Input!B3472&lt;=700),Input!B3472,""),"")</f>
        <v/>
      </c>
      <c r="C3472">
        <f>IF(B3472="","",INT(A3472))</f>
        <v/>
      </c>
      <c r="D3472">
        <f>IF(B3472="","",HOUR(A3472))</f>
        <v/>
      </c>
    </row>
    <row r="3473">
      <c r="A3473">
        <f>Input!A3473</f>
        <v/>
      </c>
      <c r="B3473">
        <f>IF(ISNUMBER(Input!B3473),IF(AND(Input!B3473&gt;=20,Input!B3473&lt;=700),Input!B3473,""),"")</f>
        <v/>
      </c>
      <c r="C3473">
        <f>IF(B3473="","",INT(A3473))</f>
        <v/>
      </c>
      <c r="D3473">
        <f>IF(B3473="","",HOUR(A3473))</f>
        <v/>
      </c>
    </row>
    <row r="3474">
      <c r="A3474">
        <f>Input!A3474</f>
        <v/>
      </c>
      <c r="B3474">
        <f>IF(ISNUMBER(Input!B3474),IF(AND(Input!B3474&gt;=20,Input!B3474&lt;=700),Input!B3474,""),"")</f>
        <v/>
      </c>
      <c r="C3474">
        <f>IF(B3474="","",INT(A3474))</f>
        <v/>
      </c>
      <c r="D3474">
        <f>IF(B3474="","",HOUR(A3474))</f>
        <v/>
      </c>
    </row>
    <row r="3475">
      <c r="A3475">
        <f>Input!A3475</f>
        <v/>
      </c>
      <c r="B3475">
        <f>IF(ISNUMBER(Input!B3475),IF(AND(Input!B3475&gt;=20,Input!B3475&lt;=700),Input!B3475,""),"")</f>
        <v/>
      </c>
      <c r="C3475">
        <f>IF(B3475="","",INT(A3475))</f>
        <v/>
      </c>
      <c r="D3475">
        <f>IF(B3475="","",HOUR(A3475))</f>
        <v/>
      </c>
    </row>
    <row r="3476">
      <c r="A3476">
        <f>Input!A3476</f>
        <v/>
      </c>
      <c r="B3476">
        <f>IF(ISNUMBER(Input!B3476),IF(AND(Input!B3476&gt;=20,Input!B3476&lt;=700),Input!B3476,""),"")</f>
        <v/>
      </c>
      <c r="C3476">
        <f>IF(B3476="","",INT(A3476))</f>
        <v/>
      </c>
      <c r="D3476">
        <f>IF(B3476="","",HOUR(A3476))</f>
        <v/>
      </c>
    </row>
    <row r="3477">
      <c r="A3477">
        <f>Input!A3477</f>
        <v/>
      </c>
      <c r="B3477">
        <f>IF(ISNUMBER(Input!B3477),IF(AND(Input!B3477&gt;=20,Input!B3477&lt;=700),Input!B3477,""),"")</f>
        <v/>
      </c>
      <c r="C3477">
        <f>IF(B3477="","",INT(A3477))</f>
        <v/>
      </c>
      <c r="D3477">
        <f>IF(B3477="","",HOUR(A3477))</f>
        <v/>
      </c>
    </row>
    <row r="3478">
      <c r="A3478">
        <f>Input!A3478</f>
        <v/>
      </c>
      <c r="B3478">
        <f>IF(ISNUMBER(Input!B3478),IF(AND(Input!B3478&gt;=20,Input!B3478&lt;=700),Input!B3478,""),"")</f>
        <v/>
      </c>
      <c r="C3478">
        <f>IF(B3478="","",INT(A3478))</f>
        <v/>
      </c>
      <c r="D3478">
        <f>IF(B3478="","",HOUR(A3478))</f>
        <v/>
      </c>
    </row>
    <row r="3479">
      <c r="A3479">
        <f>Input!A3479</f>
        <v/>
      </c>
      <c r="B3479">
        <f>IF(ISNUMBER(Input!B3479),IF(AND(Input!B3479&gt;=20,Input!B3479&lt;=700),Input!B3479,""),"")</f>
        <v/>
      </c>
      <c r="C3479">
        <f>IF(B3479="","",INT(A3479))</f>
        <v/>
      </c>
      <c r="D3479">
        <f>IF(B3479="","",HOUR(A3479))</f>
        <v/>
      </c>
    </row>
    <row r="3480">
      <c r="A3480">
        <f>Input!A3480</f>
        <v/>
      </c>
      <c r="B3480">
        <f>IF(ISNUMBER(Input!B3480),IF(AND(Input!B3480&gt;=20,Input!B3480&lt;=700),Input!B3480,""),"")</f>
        <v/>
      </c>
      <c r="C3480">
        <f>IF(B3480="","",INT(A3480))</f>
        <v/>
      </c>
      <c r="D3480">
        <f>IF(B3480="","",HOUR(A3480))</f>
        <v/>
      </c>
    </row>
    <row r="3481">
      <c r="A3481">
        <f>Input!A3481</f>
        <v/>
      </c>
      <c r="B3481">
        <f>IF(ISNUMBER(Input!B3481),IF(AND(Input!B3481&gt;=20,Input!B3481&lt;=700),Input!B3481,""),"")</f>
        <v/>
      </c>
      <c r="C3481">
        <f>IF(B3481="","",INT(A3481))</f>
        <v/>
      </c>
      <c r="D3481">
        <f>IF(B3481="","",HOUR(A3481))</f>
        <v/>
      </c>
    </row>
    <row r="3482">
      <c r="A3482">
        <f>Input!A3482</f>
        <v/>
      </c>
      <c r="B3482">
        <f>IF(ISNUMBER(Input!B3482),IF(AND(Input!B3482&gt;=20,Input!B3482&lt;=700),Input!B3482,""),"")</f>
        <v/>
      </c>
      <c r="C3482">
        <f>IF(B3482="","",INT(A3482))</f>
        <v/>
      </c>
      <c r="D3482">
        <f>IF(B3482="","",HOUR(A3482))</f>
        <v/>
      </c>
    </row>
    <row r="3483">
      <c r="A3483">
        <f>Input!A3483</f>
        <v/>
      </c>
      <c r="B3483">
        <f>IF(ISNUMBER(Input!B3483),IF(AND(Input!B3483&gt;=20,Input!B3483&lt;=700),Input!B3483,""),"")</f>
        <v/>
      </c>
      <c r="C3483">
        <f>IF(B3483="","",INT(A3483))</f>
        <v/>
      </c>
      <c r="D3483">
        <f>IF(B3483="","",HOUR(A3483))</f>
        <v/>
      </c>
    </row>
    <row r="3484">
      <c r="A3484">
        <f>Input!A3484</f>
        <v/>
      </c>
      <c r="B3484">
        <f>IF(ISNUMBER(Input!B3484),IF(AND(Input!B3484&gt;=20,Input!B3484&lt;=700),Input!B3484,""),"")</f>
        <v/>
      </c>
      <c r="C3484">
        <f>IF(B3484="","",INT(A3484))</f>
        <v/>
      </c>
      <c r="D3484">
        <f>IF(B3484="","",HOUR(A3484))</f>
        <v/>
      </c>
    </row>
    <row r="3485">
      <c r="A3485">
        <f>Input!A3485</f>
        <v/>
      </c>
      <c r="B3485">
        <f>IF(ISNUMBER(Input!B3485),IF(AND(Input!B3485&gt;=20,Input!B3485&lt;=700),Input!B3485,""),"")</f>
        <v/>
      </c>
      <c r="C3485">
        <f>IF(B3485="","",INT(A3485))</f>
        <v/>
      </c>
      <c r="D3485">
        <f>IF(B3485="","",HOUR(A3485))</f>
        <v/>
      </c>
    </row>
    <row r="3486">
      <c r="A3486">
        <f>Input!A3486</f>
        <v/>
      </c>
      <c r="B3486">
        <f>IF(ISNUMBER(Input!B3486),IF(AND(Input!B3486&gt;=20,Input!B3486&lt;=700),Input!B3486,""),"")</f>
        <v/>
      </c>
      <c r="C3486">
        <f>IF(B3486="","",INT(A3486))</f>
        <v/>
      </c>
      <c r="D3486">
        <f>IF(B3486="","",HOUR(A3486))</f>
        <v/>
      </c>
    </row>
    <row r="3487">
      <c r="A3487">
        <f>Input!A3487</f>
        <v/>
      </c>
      <c r="B3487">
        <f>IF(ISNUMBER(Input!B3487),IF(AND(Input!B3487&gt;=20,Input!B3487&lt;=700),Input!B3487,""),"")</f>
        <v/>
      </c>
      <c r="C3487">
        <f>IF(B3487="","",INT(A3487))</f>
        <v/>
      </c>
      <c r="D3487">
        <f>IF(B3487="","",HOUR(A3487))</f>
        <v/>
      </c>
    </row>
    <row r="3488">
      <c r="A3488">
        <f>Input!A3488</f>
        <v/>
      </c>
      <c r="B3488">
        <f>IF(ISNUMBER(Input!B3488),IF(AND(Input!B3488&gt;=20,Input!B3488&lt;=700),Input!B3488,""),"")</f>
        <v/>
      </c>
      <c r="C3488">
        <f>IF(B3488="","",INT(A3488))</f>
        <v/>
      </c>
      <c r="D3488">
        <f>IF(B3488="","",HOUR(A3488))</f>
        <v/>
      </c>
    </row>
    <row r="3489">
      <c r="A3489">
        <f>Input!A3489</f>
        <v/>
      </c>
      <c r="B3489">
        <f>IF(ISNUMBER(Input!B3489),IF(AND(Input!B3489&gt;=20,Input!B3489&lt;=700),Input!B3489,""),"")</f>
        <v/>
      </c>
      <c r="C3489">
        <f>IF(B3489="","",INT(A3489))</f>
        <v/>
      </c>
      <c r="D3489">
        <f>IF(B3489="","",HOUR(A3489))</f>
        <v/>
      </c>
    </row>
    <row r="3490">
      <c r="A3490">
        <f>Input!A3490</f>
        <v/>
      </c>
      <c r="B3490">
        <f>IF(ISNUMBER(Input!B3490),IF(AND(Input!B3490&gt;=20,Input!B3490&lt;=700),Input!B3490,""),"")</f>
        <v/>
      </c>
      <c r="C3490">
        <f>IF(B3490="","",INT(A3490))</f>
        <v/>
      </c>
      <c r="D3490">
        <f>IF(B3490="","",HOUR(A3490))</f>
        <v/>
      </c>
    </row>
    <row r="3491">
      <c r="A3491">
        <f>Input!A3491</f>
        <v/>
      </c>
      <c r="B3491">
        <f>IF(ISNUMBER(Input!B3491),IF(AND(Input!B3491&gt;=20,Input!B3491&lt;=700),Input!B3491,""),"")</f>
        <v/>
      </c>
      <c r="C3491">
        <f>IF(B3491="","",INT(A3491))</f>
        <v/>
      </c>
      <c r="D3491">
        <f>IF(B3491="","",HOUR(A3491))</f>
        <v/>
      </c>
    </row>
    <row r="3492">
      <c r="A3492">
        <f>Input!A3492</f>
        <v/>
      </c>
      <c r="B3492">
        <f>IF(ISNUMBER(Input!B3492),IF(AND(Input!B3492&gt;=20,Input!B3492&lt;=700),Input!B3492,""),"")</f>
        <v/>
      </c>
      <c r="C3492">
        <f>IF(B3492="","",INT(A3492))</f>
        <v/>
      </c>
      <c r="D3492">
        <f>IF(B3492="","",HOUR(A3492))</f>
        <v/>
      </c>
    </row>
    <row r="3493">
      <c r="A3493">
        <f>Input!A3493</f>
        <v/>
      </c>
      <c r="B3493">
        <f>IF(ISNUMBER(Input!B3493),IF(AND(Input!B3493&gt;=20,Input!B3493&lt;=700),Input!B3493,""),"")</f>
        <v/>
      </c>
      <c r="C3493">
        <f>IF(B3493="","",INT(A3493))</f>
        <v/>
      </c>
      <c r="D3493">
        <f>IF(B3493="","",HOUR(A3493))</f>
        <v/>
      </c>
    </row>
    <row r="3494">
      <c r="A3494">
        <f>Input!A3494</f>
        <v/>
      </c>
      <c r="B3494">
        <f>IF(ISNUMBER(Input!B3494),IF(AND(Input!B3494&gt;=20,Input!B3494&lt;=700),Input!B3494,""),"")</f>
        <v/>
      </c>
      <c r="C3494">
        <f>IF(B3494="","",INT(A3494))</f>
        <v/>
      </c>
      <c r="D3494">
        <f>IF(B3494="","",HOUR(A3494))</f>
        <v/>
      </c>
    </row>
    <row r="3495">
      <c r="A3495">
        <f>Input!A3495</f>
        <v/>
      </c>
      <c r="B3495">
        <f>IF(ISNUMBER(Input!B3495),IF(AND(Input!B3495&gt;=20,Input!B3495&lt;=700),Input!B3495,""),"")</f>
        <v/>
      </c>
      <c r="C3495">
        <f>IF(B3495="","",INT(A3495))</f>
        <v/>
      </c>
      <c r="D3495">
        <f>IF(B3495="","",HOUR(A3495))</f>
        <v/>
      </c>
    </row>
    <row r="3496">
      <c r="A3496">
        <f>Input!A3496</f>
        <v/>
      </c>
      <c r="B3496">
        <f>IF(ISNUMBER(Input!B3496),IF(AND(Input!B3496&gt;=20,Input!B3496&lt;=700),Input!B3496,""),"")</f>
        <v/>
      </c>
      <c r="C3496">
        <f>IF(B3496="","",INT(A3496))</f>
        <v/>
      </c>
      <c r="D3496">
        <f>IF(B3496="","",HOUR(A3496))</f>
        <v/>
      </c>
    </row>
    <row r="3497">
      <c r="A3497">
        <f>Input!A3497</f>
        <v/>
      </c>
      <c r="B3497">
        <f>IF(ISNUMBER(Input!B3497),IF(AND(Input!B3497&gt;=20,Input!B3497&lt;=700),Input!B3497,""),"")</f>
        <v/>
      </c>
      <c r="C3497">
        <f>IF(B3497="","",INT(A3497))</f>
        <v/>
      </c>
      <c r="D3497">
        <f>IF(B3497="","",HOUR(A3497))</f>
        <v/>
      </c>
    </row>
    <row r="3498">
      <c r="A3498">
        <f>Input!A3498</f>
        <v/>
      </c>
      <c r="B3498">
        <f>IF(ISNUMBER(Input!B3498),IF(AND(Input!B3498&gt;=20,Input!B3498&lt;=700),Input!B3498,""),"")</f>
        <v/>
      </c>
      <c r="C3498">
        <f>IF(B3498="","",INT(A3498))</f>
        <v/>
      </c>
      <c r="D3498">
        <f>IF(B3498="","",HOUR(A3498))</f>
        <v/>
      </c>
    </row>
    <row r="3499">
      <c r="A3499">
        <f>Input!A3499</f>
        <v/>
      </c>
      <c r="B3499">
        <f>IF(ISNUMBER(Input!B3499),IF(AND(Input!B3499&gt;=20,Input!B3499&lt;=700),Input!B3499,""),"")</f>
        <v/>
      </c>
      <c r="C3499">
        <f>IF(B3499="","",INT(A3499))</f>
        <v/>
      </c>
      <c r="D3499">
        <f>IF(B3499="","",HOUR(A3499))</f>
        <v/>
      </c>
    </row>
    <row r="3500">
      <c r="A3500">
        <f>Input!A3500</f>
        <v/>
      </c>
      <c r="B3500">
        <f>IF(ISNUMBER(Input!B3500),IF(AND(Input!B3500&gt;=20,Input!B3500&lt;=700),Input!B3500,""),"")</f>
        <v/>
      </c>
      <c r="C3500">
        <f>IF(B3500="","",INT(A3500))</f>
        <v/>
      </c>
      <c r="D3500">
        <f>IF(B3500="","",HOUR(A3500))</f>
        <v/>
      </c>
    </row>
    <row r="3501">
      <c r="A3501">
        <f>Input!A3501</f>
        <v/>
      </c>
      <c r="B3501">
        <f>IF(ISNUMBER(Input!B3501),IF(AND(Input!B3501&gt;=20,Input!B3501&lt;=700),Input!B3501,""),"")</f>
        <v/>
      </c>
      <c r="C3501">
        <f>IF(B3501="","",INT(A3501))</f>
        <v/>
      </c>
      <c r="D3501">
        <f>IF(B3501="","",HOUR(A3501))</f>
        <v/>
      </c>
    </row>
    <row r="3502">
      <c r="A3502">
        <f>Input!A3502</f>
        <v/>
      </c>
      <c r="B3502">
        <f>IF(ISNUMBER(Input!B3502),IF(AND(Input!B3502&gt;=20,Input!B3502&lt;=700),Input!B3502,""),"")</f>
        <v/>
      </c>
      <c r="C3502">
        <f>IF(B3502="","",INT(A3502))</f>
        <v/>
      </c>
      <c r="D3502">
        <f>IF(B3502="","",HOUR(A3502))</f>
        <v/>
      </c>
    </row>
    <row r="3503">
      <c r="A3503">
        <f>Input!A3503</f>
        <v/>
      </c>
      <c r="B3503">
        <f>IF(ISNUMBER(Input!B3503),IF(AND(Input!B3503&gt;=20,Input!B3503&lt;=700),Input!B3503,""),"")</f>
        <v/>
      </c>
      <c r="C3503">
        <f>IF(B3503="","",INT(A3503))</f>
        <v/>
      </c>
      <c r="D3503">
        <f>IF(B3503="","",HOUR(A3503))</f>
        <v/>
      </c>
    </row>
    <row r="3504">
      <c r="A3504">
        <f>Input!A3504</f>
        <v/>
      </c>
      <c r="B3504">
        <f>IF(ISNUMBER(Input!B3504),IF(AND(Input!B3504&gt;=20,Input!B3504&lt;=700),Input!B3504,""),"")</f>
        <v/>
      </c>
      <c r="C3504">
        <f>IF(B3504="","",INT(A3504))</f>
        <v/>
      </c>
      <c r="D3504">
        <f>IF(B3504="","",HOUR(A3504))</f>
        <v/>
      </c>
    </row>
    <row r="3505">
      <c r="A3505">
        <f>Input!A3505</f>
        <v/>
      </c>
      <c r="B3505">
        <f>IF(ISNUMBER(Input!B3505),IF(AND(Input!B3505&gt;=20,Input!B3505&lt;=700),Input!B3505,""),"")</f>
        <v/>
      </c>
      <c r="C3505">
        <f>IF(B3505="","",INT(A3505))</f>
        <v/>
      </c>
      <c r="D3505">
        <f>IF(B3505="","",HOUR(A3505))</f>
        <v/>
      </c>
    </row>
    <row r="3506">
      <c r="A3506">
        <f>Input!A3506</f>
        <v/>
      </c>
      <c r="B3506">
        <f>IF(ISNUMBER(Input!B3506),IF(AND(Input!B3506&gt;=20,Input!B3506&lt;=700),Input!B3506,""),"")</f>
        <v/>
      </c>
      <c r="C3506">
        <f>IF(B3506="","",INT(A3506))</f>
        <v/>
      </c>
      <c r="D3506">
        <f>IF(B3506="","",HOUR(A3506))</f>
        <v/>
      </c>
    </row>
    <row r="3507">
      <c r="A3507">
        <f>Input!A3507</f>
        <v/>
      </c>
      <c r="B3507">
        <f>IF(ISNUMBER(Input!B3507),IF(AND(Input!B3507&gt;=20,Input!B3507&lt;=700),Input!B3507,""),"")</f>
        <v/>
      </c>
      <c r="C3507">
        <f>IF(B3507="","",INT(A3507))</f>
        <v/>
      </c>
      <c r="D3507">
        <f>IF(B3507="","",HOUR(A3507))</f>
        <v/>
      </c>
    </row>
    <row r="3508">
      <c r="A3508">
        <f>Input!A3508</f>
        <v/>
      </c>
      <c r="B3508">
        <f>IF(ISNUMBER(Input!B3508),IF(AND(Input!B3508&gt;=20,Input!B3508&lt;=700),Input!B3508,""),"")</f>
        <v/>
      </c>
      <c r="C3508">
        <f>IF(B3508="","",INT(A3508))</f>
        <v/>
      </c>
      <c r="D3508">
        <f>IF(B3508="","",HOUR(A3508))</f>
        <v/>
      </c>
    </row>
    <row r="3509">
      <c r="A3509">
        <f>Input!A3509</f>
        <v/>
      </c>
      <c r="B3509">
        <f>IF(ISNUMBER(Input!B3509),IF(AND(Input!B3509&gt;=20,Input!B3509&lt;=700),Input!B3509,""),"")</f>
        <v/>
      </c>
      <c r="C3509">
        <f>IF(B3509="","",INT(A3509))</f>
        <v/>
      </c>
      <c r="D3509">
        <f>IF(B3509="","",HOUR(A3509))</f>
        <v/>
      </c>
    </row>
    <row r="3510">
      <c r="A3510">
        <f>Input!A3510</f>
        <v/>
      </c>
      <c r="B3510">
        <f>IF(ISNUMBER(Input!B3510),IF(AND(Input!B3510&gt;=20,Input!B3510&lt;=700),Input!B3510,""),"")</f>
        <v/>
      </c>
      <c r="C3510">
        <f>IF(B3510="","",INT(A3510))</f>
        <v/>
      </c>
      <c r="D3510">
        <f>IF(B3510="","",HOUR(A3510))</f>
        <v/>
      </c>
    </row>
    <row r="3511">
      <c r="A3511">
        <f>Input!A3511</f>
        <v/>
      </c>
      <c r="B3511">
        <f>IF(ISNUMBER(Input!B3511),IF(AND(Input!B3511&gt;=20,Input!B3511&lt;=700),Input!B3511,""),"")</f>
        <v/>
      </c>
      <c r="C3511">
        <f>IF(B3511="","",INT(A3511))</f>
        <v/>
      </c>
      <c r="D3511">
        <f>IF(B3511="","",HOUR(A3511))</f>
        <v/>
      </c>
    </row>
    <row r="3512">
      <c r="A3512">
        <f>Input!A3512</f>
        <v/>
      </c>
      <c r="B3512">
        <f>IF(ISNUMBER(Input!B3512),IF(AND(Input!B3512&gt;=20,Input!B3512&lt;=700),Input!B3512,""),"")</f>
        <v/>
      </c>
      <c r="C3512">
        <f>IF(B3512="","",INT(A3512))</f>
        <v/>
      </c>
      <c r="D3512">
        <f>IF(B3512="","",HOUR(A3512))</f>
        <v/>
      </c>
    </row>
    <row r="3513">
      <c r="A3513">
        <f>Input!A3513</f>
        <v/>
      </c>
      <c r="B3513">
        <f>IF(ISNUMBER(Input!B3513),IF(AND(Input!B3513&gt;=20,Input!B3513&lt;=700),Input!B3513,""),"")</f>
        <v/>
      </c>
      <c r="C3513">
        <f>IF(B3513="","",INT(A3513))</f>
        <v/>
      </c>
      <c r="D3513">
        <f>IF(B3513="","",HOUR(A3513))</f>
        <v/>
      </c>
    </row>
    <row r="3514">
      <c r="A3514">
        <f>Input!A3514</f>
        <v/>
      </c>
      <c r="B3514">
        <f>IF(ISNUMBER(Input!B3514),IF(AND(Input!B3514&gt;=20,Input!B3514&lt;=700),Input!B3514,""),"")</f>
        <v/>
      </c>
      <c r="C3514">
        <f>IF(B3514="","",INT(A3514))</f>
        <v/>
      </c>
      <c r="D3514">
        <f>IF(B3514="","",HOUR(A3514))</f>
        <v/>
      </c>
    </row>
    <row r="3515">
      <c r="A3515">
        <f>Input!A3515</f>
        <v/>
      </c>
      <c r="B3515">
        <f>IF(ISNUMBER(Input!B3515),IF(AND(Input!B3515&gt;=20,Input!B3515&lt;=700),Input!B3515,""),"")</f>
        <v/>
      </c>
      <c r="C3515">
        <f>IF(B3515="","",INT(A3515))</f>
        <v/>
      </c>
      <c r="D3515">
        <f>IF(B3515="","",HOUR(A3515))</f>
        <v/>
      </c>
    </row>
    <row r="3516">
      <c r="A3516">
        <f>Input!A3516</f>
        <v/>
      </c>
      <c r="B3516">
        <f>IF(ISNUMBER(Input!B3516),IF(AND(Input!B3516&gt;=20,Input!B3516&lt;=700),Input!B3516,""),"")</f>
        <v/>
      </c>
      <c r="C3516">
        <f>IF(B3516="","",INT(A3516))</f>
        <v/>
      </c>
      <c r="D3516">
        <f>IF(B3516="","",HOUR(A3516))</f>
        <v/>
      </c>
    </row>
    <row r="3517">
      <c r="A3517">
        <f>Input!A3517</f>
        <v/>
      </c>
      <c r="B3517">
        <f>IF(ISNUMBER(Input!B3517),IF(AND(Input!B3517&gt;=20,Input!B3517&lt;=700),Input!B3517,""),"")</f>
        <v/>
      </c>
      <c r="C3517">
        <f>IF(B3517="","",INT(A3517))</f>
        <v/>
      </c>
      <c r="D3517">
        <f>IF(B3517="","",HOUR(A3517))</f>
        <v/>
      </c>
    </row>
    <row r="3518">
      <c r="A3518">
        <f>Input!A3518</f>
        <v/>
      </c>
      <c r="B3518">
        <f>IF(ISNUMBER(Input!B3518),IF(AND(Input!B3518&gt;=20,Input!B3518&lt;=700),Input!B3518,""),"")</f>
        <v/>
      </c>
      <c r="C3518">
        <f>IF(B3518="","",INT(A3518))</f>
        <v/>
      </c>
      <c r="D3518">
        <f>IF(B3518="","",HOUR(A3518))</f>
        <v/>
      </c>
    </row>
    <row r="3519">
      <c r="A3519">
        <f>Input!A3519</f>
        <v/>
      </c>
      <c r="B3519">
        <f>IF(ISNUMBER(Input!B3519),IF(AND(Input!B3519&gt;=20,Input!B3519&lt;=700),Input!B3519,""),"")</f>
        <v/>
      </c>
      <c r="C3519">
        <f>IF(B3519="","",INT(A3519))</f>
        <v/>
      </c>
      <c r="D3519">
        <f>IF(B3519="","",HOUR(A3519))</f>
        <v/>
      </c>
    </row>
    <row r="3520">
      <c r="A3520">
        <f>Input!A3520</f>
        <v/>
      </c>
      <c r="B3520">
        <f>IF(ISNUMBER(Input!B3520),IF(AND(Input!B3520&gt;=20,Input!B3520&lt;=700),Input!B3520,""),"")</f>
        <v/>
      </c>
      <c r="C3520">
        <f>IF(B3520="","",INT(A3520))</f>
        <v/>
      </c>
      <c r="D3520">
        <f>IF(B3520="","",HOUR(A3520))</f>
        <v/>
      </c>
    </row>
    <row r="3521">
      <c r="A3521">
        <f>Input!A3521</f>
        <v/>
      </c>
      <c r="B3521">
        <f>IF(ISNUMBER(Input!B3521),IF(AND(Input!B3521&gt;=20,Input!B3521&lt;=700),Input!B3521,""),"")</f>
        <v/>
      </c>
      <c r="C3521">
        <f>IF(B3521="","",INT(A3521))</f>
        <v/>
      </c>
      <c r="D3521">
        <f>IF(B3521="","",HOUR(A3521))</f>
        <v/>
      </c>
    </row>
    <row r="3522">
      <c r="A3522">
        <f>Input!A3522</f>
        <v/>
      </c>
      <c r="B3522">
        <f>IF(ISNUMBER(Input!B3522),IF(AND(Input!B3522&gt;=20,Input!B3522&lt;=700),Input!B3522,""),"")</f>
        <v/>
      </c>
      <c r="C3522">
        <f>IF(B3522="","",INT(A3522))</f>
        <v/>
      </c>
      <c r="D3522">
        <f>IF(B3522="","",HOUR(A3522))</f>
        <v/>
      </c>
    </row>
    <row r="3523">
      <c r="A3523">
        <f>Input!A3523</f>
        <v/>
      </c>
      <c r="B3523">
        <f>IF(ISNUMBER(Input!B3523),IF(AND(Input!B3523&gt;=20,Input!B3523&lt;=700),Input!B3523,""),"")</f>
        <v/>
      </c>
      <c r="C3523">
        <f>IF(B3523="","",INT(A3523))</f>
        <v/>
      </c>
      <c r="D3523">
        <f>IF(B3523="","",HOUR(A3523))</f>
        <v/>
      </c>
    </row>
    <row r="3524">
      <c r="A3524">
        <f>Input!A3524</f>
        <v/>
      </c>
      <c r="B3524">
        <f>IF(ISNUMBER(Input!B3524),IF(AND(Input!B3524&gt;=20,Input!B3524&lt;=700),Input!B3524,""),"")</f>
        <v/>
      </c>
      <c r="C3524">
        <f>IF(B3524="","",INT(A3524))</f>
        <v/>
      </c>
      <c r="D3524">
        <f>IF(B3524="","",HOUR(A3524))</f>
        <v/>
      </c>
    </row>
    <row r="3525">
      <c r="A3525">
        <f>Input!A3525</f>
        <v/>
      </c>
      <c r="B3525">
        <f>IF(ISNUMBER(Input!B3525),IF(AND(Input!B3525&gt;=20,Input!B3525&lt;=700),Input!B3525,""),"")</f>
        <v/>
      </c>
      <c r="C3525">
        <f>IF(B3525="","",INT(A3525))</f>
        <v/>
      </c>
      <c r="D3525">
        <f>IF(B3525="","",HOUR(A3525))</f>
        <v/>
      </c>
    </row>
    <row r="3526">
      <c r="A3526">
        <f>Input!A3526</f>
        <v/>
      </c>
      <c r="B3526">
        <f>IF(ISNUMBER(Input!B3526),IF(AND(Input!B3526&gt;=20,Input!B3526&lt;=700),Input!B3526,""),"")</f>
        <v/>
      </c>
      <c r="C3526">
        <f>IF(B3526="","",INT(A3526))</f>
        <v/>
      </c>
      <c r="D3526">
        <f>IF(B3526="","",HOUR(A3526))</f>
        <v/>
      </c>
    </row>
    <row r="3527">
      <c r="A3527">
        <f>Input!A3527</f>
        <v/>
      </c>
      <c r="B3527">
        <f>IF(ISNUMBER(Input!B3527),IF(AND(Input!B3527&gt;=20,Input!B3527&lt;=700),Input!B3527,""),"")</f>
        <v/>
      </c>
      <c r="C3527">
        <f>IF(B3527="","",INT(A3527))</f>
        <v/>
      </c>
      <c r="D3527">
        <f>IF(B3527="","",HOUR(A3527))</f>
        <v/>
      </c>
    </row>
    <row r="3528">
      <c r="A3528">
        <f>Input!A3528</f>
        <v/>
      </c>
      <c r="B3528">
        <f>IF(ISNUMBER(Input!B3528),IF(AND(Input!B3528&gt;=20,Input!B3528&lt;=700),Input!B3528,""),"")</f>
        <v/>
      </c>
      <c r="C3528">
        <f>IF(B3528="","",INT(A3528))</f>
        <v/>
      </c>
      <c r="D3528">
        <f>IF(B3528="","",HOUR(A3528))</f>
        <v/>
      </c>
    </row>
    <row r="3529">
      <c r="A3529">
        <f>Input!A3529</f>
        <v/>
      </c>
      <c r="B3529">
        <f>IF(ISNUMBER(Input!B3529),IF(AND(Input!B3529&gt;=20,Input!B3529&lt;=700),Input!B3529,""),"")</f>
        <v/>
      </c>
      <c r="C3529">
        <f>IF(B3529="","",INT(A3529))</f>
        <v/>
      </c>
      <c r="D3529">
        <f>IF(B3529="","",HOUR(A3529))</f>
        <v/>
      </c>
    </row>
    <row r="3530">
      <c r="A3530">
        <f>Input!A3530</f>
        <v/>
      </c>
      <c r="B3530">
        <f>IF(ISNUMBER(Input!B3530),IF(AND(Input!B3530&gt;=20,Input!B3530&lt;=700),Input!B3530,""),"")</f>
        <v/>
      </c>
      <c r="C3530">
        <f>IF(B3530="","",INT(A3530))</f>
        <v/>
      </c>
      <c r="D3530">
        <f>IF(B3530="","",HOUR(A3530))</f>
        <v/>
      </c>
    </row>
    <row r="3531">
      <c r="A3531">
        <f>Input!A3531</f>
        <v/>
      </c>
      <c r="B3531">
        <f>IF(ISNUMBER(Input!B3531),IF(AND(Input!B3531&gt;=20,Input!B3531&lt;=700),Input!B3531,""),"")</f>
        <v/>
      </c>
      <c r="C3531">
        <f>IF(B3531="","",INT(A3531))</f>
        <v/>
      </c>
      <c r="D3531">
        <f>IF(B3531="","",HOUR(A3531))</f>
        <v/>
      </c>
    </row>
    <row r="3532">
      <c r="A3532">
        <f>Input!A3532</f>
        <v/>
      </c>
      <c r="B3532">
        <f>IF(ISNUMBER(Input!B3532),IF(AND(Input!B3532&gt;=20,Input!B3532&lt;=700),Input!B3532,""),"")</f>
        <v/>
      </c>
      <c r="C3532">
        <f>IF(B3532="","",INT(A3532))</f>
        <v/>
      </c>
      <c r="D3532">
        <f>IF(B3532="","",HOUR(A3532))</f>
        <v/>
      </c>
    </row>
    <row r="3533">
      <c r="A3533">
        <f>Input!A3533</f>
        <v/>
      </c>
      <c r="B3533">
        <f>IF(ISNUMBER(Input!B3533),IF(AND(Input!B3533&gt;=20,Input!B3533&lt;=700),Input!B3533,""),"")</f>
        <v/>
      </c>
      <c r="C3533">
        <f>IF(B3533="","",INT(A3533))</f>
        <v/>
      </c>
      <c r="D3533">
        <f>IF(B3533="","",HOUR(A3533))</f>
        <v/>
      </c>
    </row>
    <row r="3534">
      <c r="A3534">
        <f>Input!A3534</f>
        <v/>
      </c>
      <c r="B3534">
        <f>IF(ISNUMBER(Input!B3534),IF(AND(Input!B3534&gt;=20,Input!B3534&lt;=700),Input!B3534,""),"")</f>
        <v/>
      </c>
      <c r="C3534">
        <f>IF(B3534="","",INT(A3534))</f>
        <v/>
      </c>
      <c r="D3534">
        <f>IF(B3534="","",HOUR(A3534))</f>
        <v/>
      </c>
    </row>
    <row r="3535">
      <c r="A3535">
        <f>Input!A3535</f>
        <v/>
      </c>
      <c r="B3535">
        <f>IF(ISNUMBER(Input!B3535),IF(AND(Input!B3535&gt;=20,Input!B3535&lt;=700),Input!B3535,""),"")</f>
        <v/>
      </c>
      <c r="C3535">
        <f>IF(B3535="","",INT(A3535))</f>
        <v/>
      </c>
      <c r="D3535">
        <f>IF(B3535="","",HOUR(A3535))</f>
        <v/>
      </c>
    </row>
    <row r="3536">
      <c r="A3536">
        <f>Input!A3536</f>
        <v/>
      </c>
      <c r="B3536">
        <f>IF(ISNUMBER(Input!B3536),IF(AND(Input!B3536&gt;=20,Input!B3536&lt;=700),Input!B3536,""),"")</f>
        <v/>
      </c>
      <c r="C3536">
        <f>IF(B3536="","",INT(A3536))</f>
        <v/>
      </c>
      <c r="D3536">
        <f>IF(B3536="","",HOUR(A3536))</f>
        <v/>
      </c>
    </row>
    <row r="3537">
      <c r="A3537">
        <f>Input!A3537</f>
        <v/>
      </c>
      <c r="B3537">
        <f>IF(ISNUMBER(Input!B3537),IF(AND(Input!B3537&gt;=20,Input!B3537&lt;=700),Input!B3537,""),"")</f>
        <v/>
      </c>
      <c r="C3537">
        <f>IF(B3537="","",INT(A3537))</f>
        <v/>
      </c>
      <c r="D3537">
        <f>IF(B3537="","",HOUR(A3537))</f>
        <v/>
      </c>
    </row>
    <row r="3538">
      <c r="A3538">
        <f>Input!A3538</f>
        <v/>
      </c>
      <c r="B3538">
        <f>IF(ISNUMBER(Input!B3538),IF(AND(Input!B3538&gt;=20,Input!B3538&lt;=700),Input!B3538,""),"")</f>
        <v/>
      </c>
      <c r="C3538">
        <f>IF(B3538="","",INT(A3538))</f>
        <v/>
      </c>
      <c r="D3538">
        <f>IF(B3538="","",HOUR(A3538))</f>
        <v/>
      </c>
    </row>
    <row r="3539">
      <c r="A3539">
        <f>Input!A3539</f>
        <v/>
      </c>
      <c r="B3539">
        <f>IF(ISNUMBER(Input!B3539),IF(AND(Input!B3539&gt;=20,Input!B3539&lt;=700),Input!B3539,""),"")</f>
        <v/>
      </c>
      <c r="C3539">
        <f>IF(B3539="","",INT(A3539))</f>
        <v/>
      </c>
      <c r="D3539">
        <f>IF(B3539="","",HOUR(A3539))</f>
        <v/>
      </c>
    </row>
    <row r="3540">
      <c r="A3540">
        <f>Input!A3540</f>
        <v/>
      </c>
      <c r="B3540">
        <f>IF(ISNUMBER(Input!B3540),IF(AND(Input!B3540&gt;=20,Input!B3540&lt;=700),Input!B3540,""),"")</f>
        <v/>
      </c>
      <c r="C3540">
        <f>IF(B3540="","",INT(A3540))</f>
        <v/>
      </c>
      <c r="D3540">
        <f>IF(B3540="","",HOUR(A3540))</f>
        <v/>
      </c>
    </row>
    <row r="3541">
      <c r="A3541">
        <f>Input!A3541</f>
        <v/>
      </c>
      <c r="B3541">
        <f>IF(ISNUMBER(Input!B3541),IF(AND(Input!B3541&gt;=20,Input!B3541&lt;=700),Input!B3541,""),"")</f>
        <v/>
      </c>
      <c r="C3541">
        <f>IF(B3541="","",INT(A3541))</f>
        <v/>
      </c>
      <c r="D3541">
        <f>IF(B3541="","",HOUR(A3541))</f>
        <v/>
      </c>
    </row>
    <row r="3542">
      <c r="A3542">
        <f>Input!A3542</f>
        <v/>
      </c>
      <c r="B3542">
        <f>IF(ISNUMBER(Input!B3542),IF(AND(Input!B3542&gt;=20,Input!B3542&lt;=700),Input!B3542,""),"")</f>
        <v/>
      </c>
      <c r="C3542">
        <f>IF(B3542="","",INT(A3542))</f>
        <v/>
      </c>
      <c r="D3542">
        <f>IF(B3542="","",HOUR(A3542))</f>
        <v/>
      </c>
    </row>
    <row r="3543">
      <c r="A3543">
        <f>Input!A3543</f>
        <v/>
      </c>
      <c r="B3543">
        <f>IF(ISNUMBER(Input!B3543),IF(AND(Input!B3543&gt;=20,Input!B3543&lt;=700),Input!B3543,""),"")</f>
        <v/>
      </c>
      <c r="C3543">
        <f>IF(B3543="","",INT(A3543))</f>
        <v/>
      </c>
      <c r="D3543">
        <f>IF(B3543="","",HOUR(A3543))</f>
        <v/>
      </c>
    </row>
    <row r="3544">
      <c r="A3544">
        <f>Input!A3544</f>
        <v/>
      </c>
      <c r="B3544">
        <f>IF(ISNUMBER(Input!B3544),IF(AND(Input!B3544&gt;=20,Input!B3544&lt;=700),Input!B3544,""),"")</f>
        <v/>
      </c>
      <c r="C3544">
        <f>IF(B3544="","",INT(A3544))</f>
        <v/>
      </c>
      <c r="D3544">
        <f>IF(B3544="","",HOUR(A3544))</f>
        <v/>
      </c>
    </row>
    <row r="3545">
      <c r="A3545">
        <f>Input!A3545</f>
        <v/>
      </c>
      <c r="B3545">
        <f>IF(ISNUMBER(Input!B3545),IF(AND(Input!B3545&gt;=20,Input!B3545&lt;=700),Input!B3545,""),"")</f>
        <v/>
      </c>
      <c r="C3545">
        <f>IF(B3545="","",INT(A3545))</f>
        <v/>
      </c>
      <c r="D3545">
        <f>IF(B3545="","",HOUR(A3545))</f>
        <v/>
      </c>
    </row>
    <row r="3546">
      <c r="A3546">
        <f>Input!A3546</f>
        <v/>
      </c>
      <c r="B3546">
        <f>IF(ISNUMBER(Input!B3546),IF(AND(Input!B3546&gt;=20,Input!B3546&lt;=700),Input!B3546,""),"")</f>
        <v/>
      </c>
      <c r="C3546">
        <f>IF(B3546="","",INT(A3546))</f>
        <v/>
      </c>
      <c r="D3546">
        <f>IF(B3546="","",HOUR(A3546))</f>
        <v/>
      </c>
    </row>
    <row r="3547">
      <c r="A3547">
        <f>Input!A3547</f>
        <v/>
      </c>
      <c r="B3547">
        <f>IF(ISNUMBER(Input!B3547),IF(AND(Input!B3547&gt;=20,Input!B3547&lt;=700),Input!B3547,""),"")</f>
        <v/>
      </c>
      <c r="C3547">
        <f>IF(B3547="","",INT(A3547))</f>
        <v/>
      </c>
      <c r="D3547">
        <f>IF(B3547="","",HOUR(A3547))</f>
        <v/>
      </c>
    </row>
    <row r="3548">
      <c r="A3548">
        <f>Input!A3548</f>
        <v/>
      </c>
      <c r="B3548">
        <f>IF(ISNUMBER(Input!B3548),IF(AND(Input!B3548&gt;=20,Input!B3548&lt;=700),Input!B3548,""),"")</f>
        <v/>
      </c>
      <c r="C3548">
        <f>IF(B3548="","",INT(A3548))</f>
        <v/>
      </c>
      <c r="D3548">
        <f>IF(B3548="","",HOUR(A3548))</f>
        <v/>
      </c>
    </row>
    <row r="3549">
      <c r="A3549">
        <f>Input!A3549</f>
        <v/>
      </c>
      <c r="B3549">
        <f>IF(ISNUMBER(Input!B3549),IF(AND(Input!B3549&gt;=20,Input!B3549&lt;=700),Input!B3549,""),"")</f>
        <v/>
      </c>
      <c r="C3549">
        <f>IF(B3549="","",INT(A3549))</f>
        <v/>
      </c>
      <c r="D3549">
        <f>IF(B3549="","",HOUR(A3549))</f>
        <v/>
      </c>
    </row>
    <row r="3550">
      <c r="A3550">
        <f>Input!A3550</f>
        <v/>
      </c>
      <c r="B3550">
        <f>IF(ISNUMBER(Input!B3550),IF(AND(Input!B3550&gt;=20,Input!B3550&lt;=700),Input!B3550,""),"")</f>
        <v/>
      </c>
      <c r="C3550">
        <f>IF(B3550="","",INT(A3550))</f>
        <v/>
      </c>
      <c r="D3550">
        <f>IF(B3550="","",HOUR(A3550))</f>
        <v/>
      </c>
    </row>
    <row r="3551">
      <c r="A3551">
        <f>Input!A3551</f>
        <v/>
      </c>
      <c r="B3551">
        <f>IF(ISNUMBER(Input!B3551),IF(AND(Input!B3551&gt;=20,Input!B3551&lt;=700),Input!B3551,""),"")</f>
        <v/>
      </c>
      <c r="C3551">
        <f>IF(B3551="","",INT(A3551))</f>
        <v/>
      </c>
      <c r="D3551">
        <f>IF(B3551="","",HOUR(A3551))</f>
        <v/>
      </c>
    </row>
    <row r="3552">
      <c r="A3552">
        <f>Input!A3552</f>
        <v/>
      </c>
      <c r="B3552">
        <f>IF(ISNUMBER(Input!B3552),IF(AND(Input!B3552&gt;=20,Input!B3552&lt;=700),Input!B3552,""),"")</f>
        <v/>
      </c>
      <c r="C3552">
        <f>IF(B3552="","",INT(A3552))</f>
        <v/>
      </c>
      <c r="D3552">
        <f>IF(B3552="","",HOUR(A3552))</f>
        <v/>
      </c>
    </row>
    <row r="3553">
      <c r="A3553">
        <f>Input!A3553</f>
        <v/>
      </c>
      <c r="B3553">
        <f>IF(ISNUMBER(Input!B3553),IF(AND(Input!B3553&gt;=20,Input!B3553&lt;=700),Input!B3553,""),"")</f>
        <v/>
      </c>
      <c r="C3553">
        <f>IF(B3553="","",INT(A3553))</f>
        <v/>
      </c>
      <c r="D3553">
        <f>IF(B3553="","",HOUR(A3553))</f>
        <v/>
      </c>
    </row>
    <row r="3554">
      <c r="A3554">
        <f>Input!A3554</f>
        <v/>
      </c>
      <c r="B3554">
        <f>IF(ISNUMBER(Input!B3554),IF(AND(Input!B3554&gt;=20,Input!B3554&lt;=700),Input!B3554,""),"")</f>
        <v/>
      </c>
      <c r="C3554">
        <f>IF(B3554="","",INT(A3554))</f>
        <v/>
      </c>
      <c r="D3554">
        <f>IF(B3554="","",HOUR(A3554))</f>
        <v/>
      </c>
    </row>
    <row r="3555">
      <c r="A3555">
        <f>Input!A3555</f>
        <v/>
      </c>
      <c r="B3555">
        <f>IF(ISNUMBER(Input!B3555),IF(AND(Input!B3555&gt;=20,Input!B3555&lt;=700),Input!B3555,""),"")</f>
        <v/>
      </c>
      <c r="C3555">
        <f>IF(B3555="","",INT(A3555))</f>
        <v/>
      </c>
      <c r="D3555">
        <f>IF(B3555="","",HOUR(A3555))</f>
        <v/>
      </c>
    </row>
    <row r="3556">
      <c r="A3556">
        <f>Input!A3556</f>
        <v/>
      </c>
      <c r="B3556">
        <f>IF(ISNUMBER(Input!B3556),IF(AND(Input!B3556&gt;=20,Input!B3556&lt;=700),Input!B3556,""),"")</f>
        <v/>
      </c>
      <c r="C3556">
        <f>IF(B3556="","",INT(A3556))</f>
        <v/>
      </c>
      <c r="D3556">
        <f>IF(B3556="","",HOUR(A3556))</f>
        <v/>
      </c>
    </row>
    <row r="3557">
      <c r="A3557">
        <f>Input!A3557</f>
        <v/>
      </c>
      <c r="B3557">
        <f>IF(ISNUMBER(Input!B3557),IF(AND(Input!B3557&gt;=20,Input!B3557&lt;=700),Input!B3557,""),"")</f>
        <v/>
      </c>
      <c r="C3557">
        <f>IF(B3557="","",INT(A3557))</f>
        <v/>
      </c>
      <c r="D3557">
        <f>IF(B3557="","",HOUR(A3557))</f>
        <v/>
      </c>
    </row>
    <row r="3558">
      <c r="A3558">
        <f>Input!A3558</f>
        <v/>
      </c>
      <c r="B3558">
        <f>IF(ISNUMBER(Input!B3558),IF(AND(Input!B3558&gt;=20,Input!B3558&lt;=700),Input!B3558,""),"")</f>
        <v/>
      </c>
      <c r="C3558">
        <f>IF(B3558="","",INT(A3558))</f>
        <v/>
      </c>
      <c r="D3558">
        <f>IF(B3558="","",HOUR(A3558))</f>
        <v/>
      </c>
    </row>
    <row r="3559">
      <c r="A3559">
        <f>Input!A3559</f>
        <v/>
      </c>
      <c r="B3559">
        <f>IF(ISNUMBER(Input!B3559),IF(AND(Input!B3559&gt;=20,Input!B3559&lt;=700),Input!B3559,""),"")</f>
        <v/>
      </c>
      <c r="C3559">
        <f>IF(B3559="","",INT(A3559))</f>
        <v/>
      </c>
      <c r="D3559">
        <f>IF(B3559="","",HOUR(A3559))</f>
        <v/>
      </c>
    </row>
    <row r="3560">
      <c r="A3560">
        <f>Input!A3560</f>
        <v/>
      </c>
      <c r="B3560">
        <f>IF(ISNUMBER(Input!B3560),IF(AND(Input!B3560&gt;=20,Input!B3560&lt;=700),Input!B3560,""),"")</f>
        <v/>
      </c>
      <c r="C3560">
        <f>IF(B3560="","",INT(A3560))</f>
        <v/>
      </c>
      <c r="D3560">
        <f>IF(B3560="","",HOUR(A3560))</f>
        <v/>
      </c>
    </row>
    <row r="3561">
      <c r="A3561">
        <f>Input!A3561</f>
        <v/>
      </c>
      <c r="B3561">
        <f>IF(ISNUMBER(Input!B3561),IF(AND(Input!B3561&gt;=20,Input!B3561&lt;=700),Input!B3561,""),"")</f>
        <v/>
      </c>
      <c r="C3561">
        <f>IF(B3561="","",INT(A3561))</f>
        <v/>
      </c>
      <c r="D3561">
        <f>IF(B3561="","",HOUR(A3561))</f>
        <v/>
      </c>
    </row>
    <row r="3562">
      <c r="A3562">
        <f>Input!A3562</f>
        <v/>
      </c>
      <c r="B3562">
        <f>IF(ISNUMBER(Input!B3562),IF(AND(Input!B3562&gt;=20,Input!B3562&lt;=700),Input!B3562,""),"")</f>
        <v/>
      </c>
      <c r="C3562">
        <f>IF(B3562="","",INT(A3562))</f>
        <v/>
      </c>
      <c r="D3562">
        <f>IF(B3562="","",HOUR(A3562))</f>
        <v/>
      </c>
    </row>
    <row r="3563">
      <c r="A3563">
        <f>Input!A3563</f>
        <v/>
      </c>
      <c r="B3563">
        <f>IF(ISNUMBER(Input!B3563),IF(AND(Input!B3563&gt;=20,Input!B3563&lt;=700),Input!B3563,""),"")</f>
        <v/>
      </c>
      <c r="C3563">
        <f>IF(B3563="","",INT(A3563))</f>
        <v/>
      </c>
      <c r="D3563">
        <f>IF(B3563="","",HOUR(A3563))</f>
        <v/>
      </c>
    </row>
    <row r="3564">
      <c r="A3564">
        <f>Input!A3564</f>
        <v/>
      </c>
      <c r="B3564">
        <f>IF(ISNUMBER(Input!B3564),IF(AND(Input!B3564&gt;=20,Input!B3564&lt;=700),Input!B3564,""),"")</f>
        <v/>
      </c>
      <c r="C3564">
        <f>IF(B3564="","",INT(A3564))</f>
        <v/>
      </c>
      <c r="D3564">
        <f>IF(B3564="","",HOUR(A3564))</f>
        <v/>
      </c>
    </row>
    <row r="3565">
      <c r="A3565">
        <f>Input!A3565</f>
        <v/>
      </c>
      <c r="B3565">
        <f>IF(ISNUMBER(Input!B3565),IF(AND(Input!B3565&gt;=20,Input!B3565&lt;=700),Input!B3565,""),"")</f>
        <v/>
      </c>
      <c r="C3565">
        <f>IF(B3565="","",INT(A3565))</f>
        <v/>
      </c>
      <c r="D3565">
        <f>IF(B3565="","",HOUR(A3565))</f>
        <v/>
      </c>
    </row>
    <row r="3566">
      <c r="A3566">
        <f>Input!A3566</f>
        <v/>
      </c>
      <c r="B3566">
        <f>IF(ISNUMBER(Input!B3566),IF(AND(Input!B3566&gt;=20,Input!B3566&lt;=700),Input!B3566,""),"")</f>
        <v/>
      </c>
      <c r="C3566">
        <f>IF(B3566="","",INT(A3566))</f>
        <v/>
      </c>
      <c r="D3566">
        <f>IF(B3566="","",HOUR(A3566))</f>
        <v/>
      </c>
    </row>
    <row r="3567">
      <c r="A3567">
        <f>Input!A3567</f>
        <v/>
      </c>
      <c r="B3567">
        <f>IF(ISNUMBER(Input!B3567),IF(AND(Input!B3567&gt;=20,Input!B3567&lt;=700),Input!B3567,""),"")</f>
        <v/>
      </c>
      <c r="C3567">
        <f>IF(B3567="","",INT(A3567))</f>
        <v/>
      </c>
      <c r="D3567">
        <f>IF(B3567="","",HOUR(A3567))</f>
        <v/>
      </c>
    </row>
    <row r="3568">
      <c r="A3568">
        <f>Input!A3568</f>
        <v/>
      </c>
      <c r="B3568">
        <f>IF(ISNUMBER(Input!B3568),IF(AND(Input!B3568&gt;=20,Input!B3568&lt;=700),Input!B3568,""),"")</f>
        <v/>
      </c>
      <c r="C3568">
        <f>IF(B3568="","",INT(A3568))</f>
        <v/>
      </c>
      <c r="D3568">
        <f>IF(B3568="","",HOUR(A3568))</f>
        <v/>
      </c>
    </row>
    <row r="3569">
      <c r="A3569">
        <f>Input!A3569</f>
        <v/>
      </c>
      <c r="B3569">
        <f>IF(ISNUMBER(Input!B3569),IF(AND(Input!B3569&gt;=20,Input!B3569&lt;=700),Input!B3569,""),"")</f>
        <v/>
      </c>
      <c r="C3569">
        <f>IF(B3569="","",INT(A3569))</f>
        <v/>
      </c>
      <c r="D3569">
        <f>IF(B3569="","",HOUR(A3569))</f>
        <v/>
      </c>
    </row>
    <row r="3570">
      <c r="A3570">
        <f>Input!A3570</f>
        <v/>
      </c>
      <c r="B3570">
        <f>IF(ISNUMBER(Input!B3570),IF(AND(Input!B3570&gt;=20,Input!B3570&lt;=700),Input!B3570,""),"")</f>
        <v/>
      </c>
      <c r="C3570">
        <f>IF(B3570="","",INT(A3570))</f>
        <v/>
      </c>
      <c r="D3570">
        <f>IF(B3570="","",HOUR(A3570))</f>
        <v/>
      </c>
    </row>
    <row r="3571">
      <c r="A3571">
        <f>Input!A3571</f>
        <v/>
      </c>
      <c r="B3571">
        <f>IF(ISNUMBER(Input!B3571),IF(AND(Input!B3571&gt;=20,Input!B3571&lt;=700),Input!B3571,""),"")</f>
        <v/>
      </c>
      <c r="C3571">
        <f>IF(B3571="","",INT(A3571))</f>
        <v/>
      </c>
      <c r="D3571">
        <f>IF(B3571="","",HOUR(A3571))</f>
        <v/>
      </c>
    </row>
    <row r="3572">
      <c r="A3572">
        <f>Input!A3572</f>
        <v/>
      </c>
      <c r="B3572">
        <f>IF(ISNUMBER(Input!B3572),IF(AND(Input!B3572&gt;=20,Input!B3572&lt;=700),Input!B3572,""),"")</f>
        <v/>
      </c>
      <c r="C3572">
        <f>IF(B3572="","",INT(A3572))</f>
        <v/>
      </c>
      <c r="D3572">
        <f>IF(B3572="","",HOUR(A3572))</f>
        <v/>
      </c>
    </row>
    <row r="3573">
      <c r="A3573">
        <f>Input!A3573</f>
        <v/>
      </c>
      <c r="B3573">
        <f>IF(ISNUMBER(Input!B3573),IF(AND(Input!B3573&gt;=20,Input!B3573&lt;=700),Input!B3573,""),"")</f>
        <v/>
      </c>
      <c r="C3573">
        <f>IF(B3573="","",INT(A3573))</f>
        <v/>
      </c>
      <c r="D3573">
        <f>IF(B3573="","",HOUR(A3573))</f>
        <v/>
      </c>
    </row>
    <row r="3574">
      <c r="A3574">
        <f>Input!A3574</f>
        <v/>
      </c>
      <c r="B3574">
        <f>IF(ISNUMBER(Input!B3574),IF(AND(Input!B3574&gt;=20,Input!B3574&lt;=700),Input!B3574,""),"")</f>
        <v/>
      </c>
      <c r="C3574">
        <f>IF(B3574="","",INT(A3574))</f>
        <v/>
      </c>
      <c r="D3574">
        <f>IF(B3574="","",HOUR(A3574))</f>
        <v/>
      </c>
    </row>
    <row r="3575">
      <c r="A3575">
        <f>Input!A3575</f>
        <v/>
      </c>
      <c r="B3575">
        <f>IF(ISNUMBER(Input!B3575),IF(AND(Input!B3575&gt;=20,Input!B3575&lt;=700),Input!B3575,""),"")</f>
        <v/>
      </c>
      <c r="C3575">
        <f>IF(B3575="","",INT(A3575))</f>
        <v/>
      </c>
      <c r="D3575">
        <f>IF(B3575="","",HOUR(A3575))</f>
        <v/>
      </c>
    </row>
    <row r="3576">
      <c r="A3576">
        <f>Input!A3576</f>
        <v/>
      </c>
      <c r="B3576">
        <f>IF(ISNUMBER(Input!B3576),IF(AND(Input!B3576&gt;=20,Input!B3576&lt;=700),Input!B3576,""),"")</f>
        <v/>
      </c>
      <c r="C3576">
        <f>IF(B3576="","",INT(A3576))</f>
        <v/>
      </c>
      <c r="D3576">
        <f>IF(B3576="","",HOUR(A3576))</f>
        <v/>
      </c>
    </row>
    <row r="3577">
      <c r="A3577">
        <f>Input!A3577</f>
        <v/>
      </c>
      <c r="B3577">
        <f>IF(ISNUMBER(Input!B3577),IF(AND(Input!B3577&gt;=20,Input!B3577&lt;=700),Input!B3577,""),"")</f>
        <v/>
      </c>
      <c r="C3577">
        <f>IF(B3577="","",INT(A3577))</f>
        <v/>
      </c>
      <c r="D3577">
        <f>IF(B3577="","",HOUR(A3577))</f>
        <v/>
      </c>
    </row>
    <row r="3578">
      <c r="A3578">
        <f>Input!A3578</f>
        <v/>
      </c>
      <c r="B3578">
        <f>IF(ISNUMBER(Input!B3578),IF(AND(Input!B3578&gt;=20,Input!B3578&lt;=700),Input!B3578,""),"")</f>
        <v/>
      </c>
      <c r="C3578">
        <f>IF(B3578="","",INT(A3578))</f>
        <v/>
      </c>
      <c r="D3578">
        <f>IF(B3578="","",HOUR(A3578))</f>
        <v/>
      </c>
    </row>
    <row r="3579">
      <c r="A3579">
        <f>Input!A3579</f>
        <v/>
      </c>
      <c r="B3579">
        <f>IF(ISNUMBER(Input!B3579),IF(AND(Input!B3579&gt;=20,Input!B3579&lt;=700),Input!B3579,""),"")</f>
        <v/>
      </c>
      <c r="C3579">
        <f>IF(B3579="","",INT(A3579))</f>
        <v/>
      </c>
      <c r="D3579">
        <f>IF(B3579="","",HOUR(A3579))</f>
        <v/>
      </c>
    </row>
    <row r="3580">
      <c r="A3580">
        <f>Input!A3580</f>
        <v/>
      </c>
      <c r="B3580">
        <f>IF(ISNUMBER(Input!B3580),IF(AND(Input!B3580&gt;=20,Input!B3580&lt;=700),Input!B3580,""),"")</f>
        <v/>
      </c>
      <c r="C3580">
        <f>IF(B3580="","",INT(A3580))</f>
        <v/>
      </c>
      <c r="D3580">
        <f>IF(B3580="","",HOUR(A3580))</f>
        <v/>
      </c>
    </row>
    <row r="3581">
      <c r="A3581">
        <f>Input!A3581</f>
        <v/>
      </c>
      <c r="B3581">
        <f>IF(ISNUMBER(Input!B3581),IF(AND(Input!B3581&gt;=20,Input!B3581&lt;=700),Input!B3581,""),"")</f>
        <v/>
      </c>
      <c r="C3581">
        <f>IF(B3581="","",INT(A3581))</f>
        <v/>
      </c>
      <c r="D3581">
        <f>IF(B3581="","",HOUR(A3581))</f>
        <v/>
      </c>
    </row>
    <row r="3582">
      <c r="A3582">
        <f>Input!A3582</f>
        <v/>
      </c>
      <c r="B3582">
        <f>IF(ISNUMBER(Input!B3582),IF(AND(Input!B3582&gt;=20,Input!B3582&lt;=700),Input!B3582,""),"")</f>
        <v/>
      </c>
      <c r="C3582">
        <f>IF(B3582="","",INT(A3582))</f>
        <v/>
      </c>
      <c r="D3582">
        <f>IF(B3582="","",HOUR(A3582))</f>
        <v/>
      </c>
    </row>
    <row r="3583">
      <c r="A3583">
        <f>Input!A3583</f>
        <v/>
      </c>
      <c r="B3583">
        <f>IF(ISNUMBER(Input!B3583),IF(AND(Input!B3583&gt;=20,Input!B3583&lt;=700),Input!B3583,""),"")</f>
        <v/>
      </c>
      <c r="C3583">
        <f>IF(B3583="","",INT(A3583))</f>
        <v/>
      </c>
      <c r="D3583">
        <f>IF(B3583="","",HOUR(A3583))</f>
        <v/>
      </c>
    </row>
    <row r="3584">
      <c r="A3584">
        <f>Input!A3584</f>
        <v/>
      </c>
      <c r="B3584">
        <f>IF(ISNUMBER(Input!B3584),IF(AND(Input!B3584&gt;=20,Input!B3584&lt;=700),Input!B3584,""),"")</f>
        <v/>
      </c>
      <c r="C3584">
        <f>IF(B3584="","",INT(A3584))</f>
        <v/>
      </c>
      <c r="D3584">
        <f>IF(B3584="","",HOUR(A3584))</f>
        <v/>
      </c>
    </row>
    <row r="3585">
      <c r="A3585">
        <f>Input!A3585</f>
        <v/>
      </c>
      <c r="B3585">
        <f>IF(ISNUMBER(Input!B3585),IF(AND(Input!B3585&gt;=20,Input!B3585&lt;=700),Input!B3585,""),"")</f>
        <v/>
      </c>
      <c r="C3585">
        <f>IF(B3585="","",INT(A3585))</f>
        <v/>
      </c>
      <c r="D3585">
        <f>IF(B3585="","",HOUR(A3585))</f>
        <v/>
      </c>
    </row>
    <row r="3586">
      <c r="A3586">
        <f>Input!A3586</f>
        <v/>
      </c>
      <c r="B3586">
        <f>IF(ISNUMBER(Input!B3586),IF(AND(Input!B3586&gt;=20,Input!B3586&lt;=700),Input!B3586,""),"")</f>
        <v/>
      </c>
      <c r="C3586">
        <f>IF(B3586="","",INT(A3586))</f>
        <v/>
      </c>
      <c r="D3586">
        <f>IF(B3586="","",HOUR(A3586))</f>
        <v/>
      </c>
    </row>
    <row r="3587">
      <c r="A3587">
        <f>Input!A3587</f>
        <v/>
      </c>
      <c r="B3587">
        <f>IF(ISNUMBER(Input!B3587),IF(AND(Input!B3587&gt;=20,Input!B3587&lt;=700),Input!B3587,""),"")</f>
        <v/>
      </c>
      <c r="C3587">
        <f>IF(B3587="","",INT(A3587))</f>
        <v/>
      </c>
      <c r="D3587">
        <f>IF(B3587="","",HOUR(A3587))</f>
        <v/>
      </c>
    </row>
    <row r="3588">
      <c r="A3588">
        <f>Input!A3588</f>
        <v/>
      </c>
      <c r="B3588">
        <f>IF(ISNUMBER(Input!B3588),IF(AND(Input!B3588&gt;=20,Input!B3588&lt;=700),Input!B3588,""),"")</f>
        <v/>
      </c>
      <c r="C3588">
        <f>IF(B3588="","",INT(A3588))</f>
        <v/>
      </c>
      <c r="D3588">
        <f>IF(B3588="","",HOUR(A3588))</f>
        <v/>
      </c>
    </row>
    <row r="3589">
      <c r="A3589">
        <f>Input!A3589</f>
        <v/>
      </c>
      <c r="B3589">
        <f>IF(ISNUMBER(Input!B3589),IF(AND(Input!B3589&gt;=20,Input!B3589&lt;=700),Input!B3589,""),"")</f>
        <v/>
      </c>
      <c r="C3589">
        <f>IF(B3589="","",INT(A3589))</f>
        <v/>
      </c>
      <c r="D3589">
        <f>IF(B3589="","",HOUR(A3589))</f>
        <v/>
      </c>
    </row>
    <row r="3590">
      <c r="A3590">
        <f>Input!A3590</f>
        <v/>
      </c>
      <c r="B3590">
        <f>IF(ISNUMBER(Input!B3590),IF(AND(Input!B3590&gt;=20,Input!B3590&lt;=700),Input!B3590,""),"")</f>
        <v/>
      </c>
      <c r="C3590">
        <f>IF(B3590="","",INT(A3590))</f>
        <v/>
      </c>
      <c r="D3590">
        <f>IF(B3590="","",HOUR(A3590))</f>
        <v/>
      </c>
    </row>
    <row r="3591">
      <c r="A3591">
        <f>Input!A3591</f>
        <v/>
      </c>
      <c r="B3591">
        <f>IF(ISNUMBER(Input!B3591),IF(AND(Input!B3591&gt;=20,Input!B3591&lt;=700),Input!B3591,""),"")</f>
        <v/>
      </c>
      <c r="C3591">
        <f>IF(B3591="","",INT(A3591))</f>
        <v/>
      </c>
      <c r="D3591">
        <f>IF(B3591="","",HOUR(A3591))</f>
        <v/>
      </c>
    </row>
    <row r="3592">
      <c r="A3592">
        <f>Input!A3592</f>
        <v/>
      </c>
      <c r="B3592">
        <f>IF(ISNUMBER(Input!B3592),IF(AND(Input!B3592&gt;=20,Input!B3592&lt;=700),Input!B3592,""),"")</f>
        <v/>
      </c>
      <c r="C3592">
        <f>IF(B3592="","",INT(A3592))</f>
        <v/>
      </c>
      <c r="D3592">
        <f>IF(B3592="","",HOUR(A3592))</f>
        <v/>
      </c>
    </row>
    <row r="3593">
      <c r="A3593">
        <f>Input!A3593</f>
        <v/>
      </c>
      <c r="B3593">
        <f>IF(ISNUMBER(Input!B3593),IF(AND(Input!B3593&gt;=20,Input!B3593&lt;=700),Input!B3593,""),"")</f>
        <v/>
      </c>
      <c r="C3593">
        <f>IF(B3593="","",INT(A3593))</f>
        <v/>
      </c>
      <c r="D3593">
        <f>IF(B3593="","",HOUR(A3593))</f>
        <v/>
      </c>
    </row>
    <row r="3594">
      <c r="A3594">
        <f>Input!A3594</f>
        <v/>
      </c>
      <c r="B3594">
        <f>IF(ISNUMBER(Input!B3594),IF(AND(Input!B3594&gt;=20,Input!B3594&lt;=700),Input!B3594,""),"")</f>
        <v/>
      </c>
      <c r="C3594">
        <f>IF(B3594="","",INT(A3594))</f>
        <v/>
      </c>
      <c r="D3594">
        <f>IF(B3594="","",HOUR(A3594))</f>
        <v/>
      </c>
    </row>
    <row r="3595">
      <c r="A3595">
        <f>Input!A3595</f>
        <v/>
      </c>
      <c r="B3595">
        <f>IF(ISNUMBER(Input!B3595),IF(AND(Input!B3595&gt;=20,Input!B3595&lt;=700),Input!B3595,""),"")</f>
        <v/>
      </c>
      <c r="C3595">
        <f>IF(B3595="","",INT(A3595))</f>
        <v/>
      </c>
      <c r="D3595">
        <f>IF(B3595="","",HOUR(A3595))</f>
        <v/>
      </c>
    </row>
    <row r="3596">
      <c r="A3596">
        <f>Input!A3596</f>
        <v/>
      </c>
      <c r="B3596">
        <f>IF(ISNUMBER(Input!B3596),IF(AND(Input!B3596&gt;=20,Input!B3596&lt;=700),Input!B3596,""),"")</f>
        <v/>
      </c>
      <c r="C3596">
        <f>IF(B3596="","",INT(A3596))</f>
        <v/>
      </c>
      <c r="D3596">
        <f>IF(B3596="","",HOUR(A3596))</f>
        <v/>
      </c>
    </row>
    <row r="3597">
      <c r="A3597">
        <f>Input!A3597</f>
        <v/>
      </c>
      <c r="B3597">
        <f>IF(ISNUMBER(Input!B3597),IF(AND(Input!B3597&gt;=20,Input!B3597&lt;=700),Input!B3597,""),"")</f>
        <v/>
      </c>
      <c r="C3597">
        <f>IF(B3597="","",INT(A3597))</f>
        <v/>
      </c>
      <c r="D3597">
        <f>IF(B3597="","",HOUR(A3597))</f>
        <v/>
      </c>
    </row>
    <row r="3598">
      <c r="A3598">
        <f>Input!A3598</f>
        <v/>
      </c>
      <c r="B3598">
        <f>IF(ISNUMBER(Input!B3598),IF(AND(Input!B3598&gt;=20,Input!B3598&lt;=700),Input!B3598,""),"")</f>
        <v/>
      </c>
      <c r="C3598">
        <f>IF(B3598="","",INT(A3598))</f>
        <v/>
      </c>
      <c r="D3598">
        <f>IF(B3598="","",HOUR(A3598))</f>
        <v/>
      </c>
    </row>
    <row r="3599">
      <c r="A3599">
        <f>Input!A3599</f>
        <v/>
      </c>
      <c r="B3599">
        <f>IF(ISNUMBER(Input!B3599),IF(AND(Input!B3599&gt;=20,Input!B3599&lt;=700),Input!B3599,""),"")</f>
        <v/>
      </c>
      <c r="C3599">
        <f>IF(B3599="","",INT(A3599))</f>
        <v/>
      </c>
      <c r="D3599">
        <f>IF(B3599="","",HOUR(A3599))</f>
        <v/>
      </c>
    </row>
    <row r="3600">
      <c r="A3600">
        <f>Input!A3600</f>
        <v/>
      </c>
      <c r="B3600">
        <f>IF(ISNUMBER(Input!B3600),IF(AND(Input!B3600&gt;=20,Input!B3600&lt;=700),Input!B3600,""),"")</f>
        <v/>
      </c>
      <c r="C3600">
        <f>IF(B3600="","",INT(A3600))</f>
        <v/>
      </c>
      <c r="D3600">
        <f>IF(B3600="","",HOUR(A3600))</f>
        <v/>
      </c>
    </row>
    <row r="3601">
      <c r="A3601">
        <f>Input!A3601</f>
        <v/>
      </c>
      <c r="B3601">
        <f>IF(ISNUMBER(Input!B3601),IF(AND(Input!B3601&gt;=20,Input!B3601&lt;=700),Input!B3601,""),"")</f>
        <v/>
      </c>
      <c r="C3601">
        <f>IF(B3601="","",INT(A3601))</f>
        <v/>
      </c>
      <c r="D3601">
        <f>IF(B3601="","",HOUR(A3601))</f>
        <v/>
      </c>
    </row>
    <row r="3602">
      <c r="A3602">
        <f>Input!A3602</f>
        <v/>
      </c>
      <c r="B3602">
        <f>IF(ISNUMBER(Input!B3602),IF(AND(Input!B3602&gt;=20,Input!B3602&lt;=700),Input!B3602,""),"")</f>
        <v/>
      </c>
      <c r="C3602">
        <f>IF(B3602="","",INT(A3602))</f>
        <v/>
      </c>
      <c r="D3602">
        <f>IF(B3602="","",HOUR(A3602))</f>
        <v/>
      </c>
    </row>
    <row r="3603">
      <c r="A3603">
        <f>Input!A3603</f>
        <v/>
      </c>
      <c r="B3603">
        <f>IF(ISNUMBER(Input!B3603),IF(AND(Input!B3603&gt;=20,Input!B3603&lt;=700),Input!B3603,""),"")</f>
        <v/>
      </c>
      <c r="C3603">
        <f>IF(B3603="","",INT(A3603))</f>
        <v/>
      </c>
      <c r="D3603">
        <f>IF(B3603="","",HOUR(A3603))</f>
        <v/>
      </c>
    </row>
    <row r="3604">
      <c r="A3604">
        <f>Input!A3604</f>
        <v/>
      </c>
      <c r="B3604">
        <f>IF(ISNUMBER(Input!B3604),IF(AND(Input!B3604&gt;=20,Input!B3604&lt;=700),Input!B3604,""),"")</f>
        <v/>
      </c>
      <c r="C3604">
        <f>IF(B3604="","",INT(A3604))</f>
        <v/>
      </c>
      <c r="D3604">
        <f>IF(B3604="","",HOUR(A3604))</f>
        <v/>
      </c>
    </row>
    <row r="3605">
      <c r="A3605">
        <f>Input!A3605</f>
        <v/>
      </c>
      <c r="B3605">
        <f>IF(ISNUMBER(Input!B3605),IF(AND(Input!B3605&gt;=20,Input!B3605&lt;=700),Input!B3605,""),"")</f>
        <v/>
      </c>
      <c r="C3605">
        <f>IF(B3605="","",INT(A3605))</f>
        <v/>
      </c>
      <c r="D3605">
        <f>IF(B3605="","",HOUR(A3605))</f>
        <v/>
      </c>
    </row>
    <row r="3606">
      <c r="A3606">
        <f>Input!A3606</f>
        <v/>
      </c>
      <c r="B3606">
        <f>IF(ISNUMBER(Input!B3606),IF(AND(Input!B3606&gt;=20,Input!B3606&lt;=700),Input!B3606,""),"")</f>
        <v/>
      </c>
      <c r="C3606">
        <f>IF(B3606="","",INT(A3606))</f>
        <v/>
      </c>
      <c r="D3606">
        <f>IF(B3606="","",HOUR(A3606))</f>
        <v/>
      </c>
    </row>
    <row r="3607">
      <c r="A3607">
        <f>Input!A3607</f>
        <v/>
      </c>
      <c r="B3607">
        <f>IF(ISNUMBER(Input!B3607),IF(AND(Input!B3607&gt;=20,Input!B3607&lt;=700),Input!B3607,""),"")</f>
        <v/>
      </c>
      <c r="C3607">
        <f>IF(B3607="","",INT(A3607))</f>
        <v/>
      </c>
      <c r="D3607">
        <f>IF(B3607="","",HOUR(A3607))</f>
        <v/>
      </c>
    </row>
    <row r="3608">
      <c r="A3608">
        <f>Input!A3608</f>
        <v/>
      </c>
      <c r="B3608">
        <f>IF(ISNUMBER(Input!B3608),IF(AND(Input!B3608&gt;=20,Input!B3608&lt;=700),Input!B3608,""),"")</f>
        <v/>
      </c>
      <c r="C3608">
        <f>IF(B3608="","",INT(A3608))</f>
        <v/>
      </c>
      <c r="D3608">
        <f>IF(B3608="","",HOUR(A3608))</f>
        <v/>
      </c>
    </row>
    <row r="3609">
      <c r="A3609">
        <f>Input!A3609</f>
        <v/>
      </c>
      <c r="B3609">
        <f>IF(ISNUMBER(Input!B3609),IF(AND(Input!B3609&gt;=20,Input!B3609&lt;=700),Input!B3609,""),"")</f>
        <v/>
      </c>
      <c r="C3609">
        <f>IF(B3609="","",INT(A3609))</f>
        <v/>
      </c>
      <c r="D3609">
        <f>IF(B3609="","",HOUR(A3609))</f>
        <v/>
      </c>
    </row>
    <row r="3610">
      <c r="A3610">
        <f>Input!A3610</f>
        <v/>
      </c>
      <c r="B3610">
        <f>IF(ISNUMBER(Input!B3610),IF(AND(Input!B3610&gt;=20,Input!B3610&lt;=700),Input!B3610,""),"")</f>
        <v/>
      </c>
      <c r="C3610">
        <f>IF(B3610="","",INT(A3610))</f>
        <v/>
      </c>
      <c r="D3610">
        <f>IF(B3610="","",HOUR(A3610))</f>
        <v/>
      </c>
    </row>
    <row r="3611">
      <c r="A3611">
        <f>Input!A3611</f>
        <v/>
      </c>
      <c r="B3611">
        <f>IF(ISNUMBER(Input!B3611),IF(AND(Input!B3611&gt;=20,Input!B3611&lt;=700),Input!B3611,""),"")</f>
        <v/>
      </c>
      <c r="C3611">
        <f>IF(B3611="","",INT(A3611))</f>
        <v/>
      </c>
      <c r="D3611">
        <f>IF(B3611="","",HOUR(A3611))</f>
        <v/>
      </c>
    </row>
    <row r="3612">
      <c r="A3612">
        <f>Input!A3612</f>
        <v/>
      </c>
      <c r="B3612">
        <f>IF(ISNUMBER(Input!B3612),IF(AND(Input!B3612&gt;=20,Input!B3612&lt;=700),Input!B3612,""),"")</f>
        <v/>
      </c>
      <c r="C3612">
        <f>IF(B3612="","",INT(A3612))</f>
        <v/>
      </c>
      <c r="D3612">
        <f>IF(B3612="","",HOUR(A3612))</f>
        <v/>
      </c>
    </row>
    <row r="3613">
      <c r="A3613">
        <f>Input!A3613</f>
        <v/>
      </c>
      <c r="B3613">
        <f>IF(ISNUMBER(Input!B3613),IF(AND(Input!B3613&gt;=20,Input!B3613&lt;=700),Input!B3613,""),"")</f>
        <v/>
      </c>
      <c r="C3613">
        <f>IF(B3613="","",INT(A3613))</f>
        <v/>
      </c>
      <c r="D3613">
        <f>IF(B3613="","",HOUR(A3613))</f>
        <v/>
      </c>
    </row>
    <row r="3614">
      <c r="A3614">
        <f>Input!A3614</f>
        <v/>
      </c>
      <c r="B3614">
        <f>IF(ISNUMBER(Input!B3614),IF(AND(Input!B3614&gt;=20,Input!B3614&lt;=700),Input!B3614,""),"")</f>
        <v/>
      </c>
      <c r="C3614">
        <f>IF(B3614="","",INT(A3614))</f>
        <v/>
      </c>
      <c r="D3614">
        <f>IF(B3614="","",HOUR(A3614))</f>
        <v/>
      </c>
    </row>
    <row r="3615">
      <c r="A3615">
        <f>Input!A3615</f>
        <v/>
      </c>
      <c r="B3615">
        <f>IF(ISNUMBER(Input!B3615),IF(AND(Input!B3615&gt;=20,Input!B3615&lt;=700),Input!B3615,""),"")</f>
        <v/>
      </c>
      <c r="C3615">
        <f>IF(B3615="","",INT(A3615))</f>
        <v/>
      </c>
      <c r="D3615">
        <f>IF(B3615="","",HOUR(A3615))</f>
        <v/>
      </c>
    </row>
    <row r="3616">
      <c r="A3616">
        <f>Input!A3616</f>
        <v/>
      </c>
      <c r="B3616">
        <f>IF(ISNUMBER(Input!B3616),IF(AND(Input!B3616&gt;=20,Input!B3616&lt;=700),Input!B3616,""),"")</f>
        <v/>
      </c>
      <c r="C3616">
        <f>IF(B3616="","",INT(A3616))</f>
        <v/>
      </c>
      <c r="D3616">
        <f>IF(B3616="","",HOUR(A3616))</f>
        <v/>
      </c>
    </row>
    <row r="3617">
      <c r="A3617">
        <f>Input!A3617</f>
        <v/>
      </c>
      <c r="B3617">
        <f>IF(ISNUMBER(Input!B3617),IF(AND(Input!B3617&gt;=20,Input!B3617&lt;=700),Input!B3617,""),"")</f>
        <v/>
      </c>
      <c r="C3617">
        <f>IF(B3617="","",INT(A3617))</f>
        <v/>
      </c>
      <c r="D3617">
        <f>IF(B3617="","",HOUR(A3617))</f>
        <v/>
      </c>
    </row>
    <row r="3618">
      <c r="A3618">
        <f>Input!A3618</f>
        <v/>
      </c>
      <c r="B3618">
        <f>IF(ISNUMBER(Input!B3618),IF(AND(Input!B3618&gt;=20,Input!B3618&lt;=700),Input!B3618,""),"")</f>
        <v/>
      </c>
      <c r="C3618">
        <f>IF(B3618="","",INT(A3618))</f>
        <v/>
      </c>
      <c r="D3618">
        <f>IF(B3618="","",HOUR(A3618))</f>
        <v/>
      </c>
    </row>
    <row r="3619">
      <c r="A3619">
        <f>Input!A3619</f>
        <v/>
      </c>
      <c r="B3619">
        <f>IF(ISNUMBER(Input!B3619),IF(AND(Input!B3619&gt;=20,Input!B3619&lt;=700),Input!B3619,""),"")</f>
        <v/>
      </c>
      <c r="C3619">
        <f>IF(B3619="","",INT(A3619))</f>
        <v/>
      </c>
      <c r="D3619">
        <f>IF(B3619="","",HOUR(A3619))</f>
        <v/>
      </c>
    </row>
    <row r="3620">
      <c r="A3620">
        <f>Input!A3620</f>
        <v/>
      </c>
      <c r="B3620">
        <f>IF(ISNUMBER(Input!B3620),IF(AND(Input!B3620&gt;=20,Input!B3620&lt;=700),Input!B3620,""),"")</f>
        <v/>
      </c>
      <c r="C3620">
        <f>IF(B3620="","",INT(A3620))</f>
        <v/>
      </c>
      <c r="D3620">
        <f>IF(B3620="","",HOUR(A3620))</f>
        <v/>
      </c>
    </row>
    <row r="3621">
      <c r="A3621">
        <f>Input!A3621</f>
        <v/>
      </c>
      <c r="B3621">
        <f>IF(ISNUMBER(Input!B3621),IF(AND(Input!B3621&gt;=20,Input!B3621&lt;=700),Input!B3621,""),"")</f>
        <v/>
      </c>
      <c r="C3621">
        <f>IF(B3621="","",INT(A3621))</f>
        <v/>
      </c>
      <c r="D3621">
        <f>IF(B3621="","",HOUR(A3621))</f>
        <v/>
      </c>
    </row>
    <row r="3622">
      <c r="A3622">
        <f>Input!A3622</f>
        <v/>
      </c>
      <c r="B3622">
        <f>IF(ISNUMBER(Input!B3622),IF(AND(Input!B3622&gt;=20,Input!B3622&lt;=700),Input!B3622,""),"")</f>
        <v/>
      </c>
      <c r="C3622">
        <f>IF(B3622="","",INT(A3622))</f>
        <v/>
      </c>
      <c r="D3622">
        <f>IF(B3622="","",HOUR(A3622))</f>
        <v/>
      </c>
    </row>
    <row r="3623">
      <c r="A3623">
        <f>Input!A3623</f>
        <v/>
      </c>
      <c r="B3623">
        <f>IF(ISNUMBER(Input!B3623),IF(AND(Input!B3623&gt;=20,Input!B3623&lt;=700),Input!B3623,""),"")</f>
        <v/>
      </c>
      <c r="C3623">
        <f>IF(B3623="","",INT(A3623))</f>
        <v/>
      </c>
      <c r="D3623">
        <f>IF(B3623="","",HOUR(A3623))</f>
        <v/>
      </c>
    </row>
    <row r="3624">
      <c r="A3624">
        <f>Input!A3624</f>
        <v/>
      </c>
      <c r="B3624">
        <f>IF(ISNUMBER(Input!B3624),IF(AND(Input!B3624&gt;=20,Input!B3624&lt;=700),Input!B3624,""),"")</f>
        <v/>
      </c>
      <c r="C3624">
        <f>IF(B3624="","",INT(A3624))</f>
        <v/>
      </c>
      <c r="D3624">
        <f>IF(B3624="","",HOUR(A3624))</f>
        <v/>
      </c>
    </row>
    <row r="3625">
      <c r="A3625">
        <f>Input!A3625</f>
        <v/>
      </c>
      <c r="B3625">
        <f>IF(ISNUMBER(Input!B3625),IF(AND(Input!B3625&gt;=20,Input!B3625&lt;=700),Input!B3625,""),"")</f>
        <v/>
      </c>
      <c r="C3625">
        <f>IF(B3625="","",INT(A3625))</f>
        <v/>
      </c>
      <c r="D3625">
        <f>IF(B3625="","",HOUR(A3625))</f>
        <v/>
      </c>
    </row>
    <row r="3626">
      <c r="A3626">
        <f>Input!A3626</f>
        <v/>
      </c>
      <c r="B3626">
        <f>IF(ISNUMBER(Input!B3626),IF(AND(Input!B3626&gt;=20,Input!B3626&lt;=700),Input!B3626,""),"")</f>
        <v/>
      </c>
      <c r="C3626">
        <f>IF(B3626="","",INT(A3626))</f>
        <v/>
      </c>
      <c r="D3626">
        <f>IF(B3626="","",HOUR(A3626))</f>
        <v/>
      </c>
    </row>
    <row r="3627">
      <c r="A3627">
        <f>Input!A3627</f>
        <v/>
      </c>
      <c r="B3627">
        <f>IF(ISNUMBER(Input!B3627),IF(AND(Input!B3627&gt;=20,Input!B3627&lt;=700),Input!B3627,""),"")</f>
        <v/>
      </c>
      <c r="C3627">
        <f>IF(B3627="","",INT(A3627))</f>
        <v/>
      </c>
      <c r="D3627">
        <f>IF(B3627="","",HOUR(A3627))</f>
        <v/>
      </c>
    </row>
    <row r="3628">
      <c r="A3628">
        <f>Input!A3628</f>
        <v/>
      </c>
      <c r="B3628">
        <f>IF(ISNUMBER(Input!B3628),IF(AND(Input!B3628&gt;=20,Input!B3628&lt;=700),Input!B3628,""),"")</f>
        <v/>
      </c>
      <c r="C3628">
        <f>IF(B3628="","",INT(A3628))</f>
        <v/>
      </c>
      <c r="D3628">
        <f>IF(B3628="","",HOUR(A3628))</f>
        <v/>
      </c>
    </row>
    <row r="3629">
      <c r="A3629">
        <f>Input!A3629</f>
        <v/>
      </c>
      <c r="B3629">
        <f>IF(ISNUMBER(Input!B3629),IF(AND(Input!B3629&gt;=20,Input!B3629&lt;=700),Input!B3629,""),"")</f>
        <v/>
      </c>
      <c r="C3629">
        <f>IF(B3629="","",INT(A3629))</f>
        <v/>
      </c>
      <c r="D3629">
        <f>IF(B3629="","",HOUR(A3629))</f>
        <v/>
      </c>
    </row>
    <row r="3630">
      <c r="A3630">
        <f>Input!A3630</f>
        <v/>
      </c>
      <c r="B3630">
        <f>IF(ISNUMBER(Input!B3630),IF(AND(Input!B3630&gt;=20,Input!B3630&lt;=700),Input!B3630,""),"")</f>
        <v/>
      </c>
      <c r="C3630">
        <f>IF(B3630="","",INT(A3630))</f>
        <v/>
      </c>
      <c r="D3630">
        <f>IF(B3630="","",HOUR(A3630))</f>
        <v/>
      </c>
    </row>
    <row r="3631">
      <c r="A3631">
        <f>Input!A3631</f>
        <v/>
      </c>
      <c r="B3631">
        <f>IF(ISNUMBER(Input!B3631),IF(AND(Input!B3631&gt;=20,Input!B3631&lt;=700),Input!B3631,""),"")</f>
        <v/>
      </c>
      <c r="C3631">
        <f>IF(B3631="","",INT(A3631))</f>
        <v/>
      </c>
      <c r="D3631">
        <f>IF(B3631="","",HOUR(A3631))</f>
        <v/>
      </c>
    </row>
    <row r="3632">
      <c r="A3632">
        <f>Input!A3632</f>
        <v/>
      </c>
      <c r="B3632">
        <f>IF(ISNUMBER(Input!B3632),IF(AND(Input!B3632&gt;=20,Input!B3632&lt;=700),Input!B3632,""),"")</f>
        <v/>
      </c>
      <c r="C3632">
        <f>IF(B3632="","",INT(A3632))</f>
        <v/>
      </c>
      <c r="D3632">
        <f>IF(B3632="","",HOUR(A3632))</f>
        <v/>
      </c>
    </row>
    <row r="3633">
      <c r="A3633">
        <f>Input!A3633</f>
        <v/>
      </c>
      <c r="B3633">
        <f>IF(ISNUMBER(Input!B3633),IF(AND(Input!B3633&gt;=20,Input!B3633&lt;=700),Input!B3633,""),"")</f>
        <v/>
      </c>
      <c r="C3633">
        <f>IF(B3633="","",INT(A3633))</f>
        <v/>
      </c>
      <c r="D3633">
        <f>IF(B3633="","",HOUR(A3633))</f>
        <v/>
      </c>
    </row>
    <row r="3634">
      <c r="A3634">
        <f>Input!A3634</f>
        <v/>
      </c>
      <c r="B3634">
        <f>IF(ISNUMBER(Input!B3634),IF(AND(Input!B3634&gt;=20,Input!B3634&lt;=700),Input!B3634,""),"")</f>
        <v/>
      </c>
      <c r="C3634">
        <f>IF(B3634="","",INT(A3634))</f>
        <v/>
      </c>
      <c r="D3634">
        <f>IF(B3634="","",HOUR(A3634))</f>
        <v/>
      </c>
    </row>
    <row r="3635">
      <c r="A3635">
        <f>Input!A3635</f>
        <v/>
      </c>
      <c r="B3635">
        <f>IF(ISNUMBER(Input!B3635),IF(AND(Input!B3635&gt;=20,Input!B3635&lt;=700),Input!B3635,""),"")</f>
        <v/>
      </c>
      <c r="C3635">
        <f>IF(B3635="","",INT(A3635))</f>
        <v/>
      </c>
      <c r="D3635">
        <f>IF(B3635="","",HOUR(A3635))</f>
        <v/>
      </c>
    </row>
    <row r="3636">
      <c r="A3636">
        <f>Input!A3636</f>
        <v/>
      </c>
      <c r="B3636">
        <f>IF(ISNUMBER(Input!B3636),IF(AND(Input!B3636&gt;=20,Input!B3636&lt;=700),Input!B3636,""),"")</f>
        <v/>
      </c>
      <c r="C3636">
        <f>IF(B3636="","",INT(A3636))</f>
        <v/>
      </c>
      <c r="D3636">
        <f>IF(B3636="","",HOUR(A3636))</f>
        <v/>
      </c>
    </row>
    <row r="3637">
      <c r="A3637">
        <f>Input!A3637</f>
        <v/>
      </c>
      <c r="B3637">
        <f>IF(ISNUMBER(Input!B3637),IF(AND(Input!B3637&gt;=20,Input!B3637&lt;=700),Input!B3637,""),"")</f>
        <v/>
      </c>
      <c r="C3637">
        <f>IF(B3637="","",INT(A3637))</f>
        <v/>
      </c>
      <c r="D3637">
        <f>IF(B3637="","",HOUR(A3637))</f>
        <v/>
      </c>
    </row>
    <row r="3638">
      <c r="A3638">
        <f>Input!A3638</f>
        <v/>
      </c>
      <c r="B3638">
        <f>IF(ISNUMBER(Input!B3638),IF(AND(Input!B3638&gt;=20,Input!B3638&lt;=700),Input!B3638,""),"")</f>
        <v/>
      </c>
      <c r="C3638">
        <f>IF(B3638="","",INT(A3638))</f>
        <v/>
      </c>
      <c r="D3638">
        <f>IF(B3638="","",HOUR(A3638))</f>
        <v/>
      </c>
    </row>
    <row r="3639">
      <c r="A3639">
        <f>Input!A3639</f>
        <v/>
      </c>
      <c r="B3639">
        <f>IF(ISNUMBER(Input!B3639),IF(AND(Input!B3639&gt;=20,Input!B3639&lt;=700),Input!B3639,""),"")</f>
        <v/>
      </c>
      <c r="C3639">
        <f>IF(B3639="","",INT(A3639))</f>
        <v/>
      </c>
      <c r="D3639">
        <f>IF(B3639="","",HOUR(A3639))</f>
        <v/>
      </c>
    </row>
    <row r="3640">
      <c r="A3640">
        <f>Input!A3640</f>
        <v/>
      </c>
      <c r="B3640">
        <f>IF(ISNUMBER(Input!B3640),IF(AND(Input!B3640&gt;=20,Input!B3640&lt;=700),Input!B3640,""),"")</f>
        <v/>
      </c>
      <c r="C3640">
        <f>IF(B3640="","",INT(A3640))</f>
        <v/>
      </c>
      <c r="D3640">
        <f>IF(B3640="","",HOUR(A3640))</f>
        <v/>
      </c>
    </row>
    <row r="3641">
      <c r="A3641">
        <f>Input!A3641</f>
        <v/>
      </c>
      <c r="B3641">
        <f>IF(ISNUMBER(Input!B3641),IF(AND(Input!B3641&gt;=20,Input!B3641&lt;=700),Input!B3641,""),"")</f>
        <v/>
      </c>
      <c r="C3641">
        <f>IF(B3641="","",INT(A3641))</f>
        <v/>
      </c>
      <c r="D3641">
        <f>IF(B3641="","",HOUR(A3641))</f>
        <v/>
      </c>
    </row>
    <row r="3642">
      <c r="A3642">
        <f>Input!A3642</f>
        <v/>
      </c>
      <c r="B3642">
        <f>IF(ISNUMBER(Input!B3642),IF(AND(Input!B3642&gt;=20,Input!B3642&lt;=700),Input!B3642,""),"")</f>
        <v/>
      </c>
      <c r="C3642">
        <f>IF(B3642="","",INT(A3642))</f>
        <v/>
      </c>
      <c r="D3642">
        <f>IF(B3642="","",HOUR(A3642))</f>
        <v/>
      </c>
    </row>
    <row r="3643">
      <c r="A3643">
        <f>Input!A3643</f>
        <v/>
      </c>
      <c r="B3643">
        <f>IF(ISNUMBER(Input!B3643),IF(AND(Input!B3643&gt;=20,Input!B3643&lt;=700),Input!B3643,""),"")</f>
        <v/>
      </c>
      <c r="C3643">
        <f>IF(B3643="","",INT(A3643))</f>
        <v/>
      </c>
      <c r="D3643">
        <f>IF(B3643="","",HOUR(A3643))</f>
        <v/>
      </c>
    </row>
    <row r="3644">
      <c r="A3644">
        <f>Input!A3644</f>
        <v/>
      </c>
      <c r="B3644">
        <f>IF(ISNUMBER(Input!B3644),IF(AND(Input!B3644&gt;=20,Input!B3644&lt;=700),Input!B3644,""),"")</f>
        <v/>
      </c>
      <c r="C3644">
        <f>IF(B3644="","",INT(A3644))</f>
        <v/>
      </c>
      <c r="D3644">
        <f>IF(B3644="","",HOUR(A3644))</f>
        <v/>
      </c>
    </row>
    <row r="3645">
      <c r="A3645">
        <f>Input!A3645</f>
        <v/>
      </c>
      <c r="B3645">
        <f>IF(ISNUMBER(Input!B3645),IF(AND(Input!B3645&gt;=20,Input!B3645&lt;=700),Input!B3645,""),"")</f>
        <v/>
      </c>
      <c r="C3645">
        <f>IF(B3645="","",INT(A3645))</f>
        <v/>
      </c>
      <c r="D3645">
        <f>IF(B3645="","",HOUR(A3645))</f>
        <v/>
      </c>
    </row>
    <row r="3646">
      <c r="A3646">
        <f>Input!A3646</f>
        <v/>
      </c>
      <c r="B3646">
        <f>IF(ISNUMBER(Input!B3646),IF(AND(Input!B3646&gt;=20,Input!B3646&lt;=700),Input!B3646,""),"")</f>
        <v/>
      </c>
      <c r="C3646">
        <f>IF(B3646="","",INT(A3646))</f>
        <v/>
      </c>
      <c r="D3646">
        <f>IF(B3646="","",HOUR(A3646))</f>
        <v/>
      </c>
    </row>
    <row r="3647">
      <c r="A3647">
        <f>Input!A3647</f>
        <v/>
      </c>
      <c r="B3647">
        <f>IF(ISNUMBER(Input!B3647),IF(AND(Input!B3647&gt;=20,Input!B3647&lt;=700),Input!B3647,""),"")</f>
        <v/>
      </c>
      <c r="C3647">
        <f>IF(B3647="","",INT(A3647))</f>
        <v/>
      </c>
      <c r="D3647">
        <f>IF(B3647="","",HOUR(A3647))</f>
        <v/>
      </c>
    </row>
    <row r="3648">
      <c r="A3648">
        <f>Input!A3648</f>
        <v/>
      </c>
      <c r="B3648">
        <f>IF(ISNUMBER(Input!B3648),IF(AND(Input!B3648&gt;=20,Input!B3648&lt;=700),Input!B3648,""),"")</f>
        <v/>
      </c>
      <c r="C3648">
        <f>IF(B3648="","",INT(A3648))</f>
        <v/>
      </c>
      <c r="D3648">
        <f>IF(B3648="","",HOUR(A3648))</f>
        <v/>
      </c>
    </row>
    <row r="3649">
      <c r="A3649">
        <f>Input!A3649</f>
        <v/>
      </c>
      <c r="B3649">
        <f>IF(ISNUMBER(Input!B3649),IF(AND(Input!B3649&gt;=20,Input!B3649&lt;=700),Input!B3649,""),"")</f>
        <v/>
      </c>
      <c r="C3649">
        <f>IF(B3649="","",INT(A3649))</f>
        <v/>
      </c>
      <c r="D3649">
        <f>IF(B3649="","",HOUR(A3649))</f>
        <v/>
      </c>
    </row>
    <row r="3650">
      <c r="A3650">
        <f>Input!A3650</f>
        <v/>
      </c>
      <c r="B3650">
        <f>IF(ISNUMBER(Input!B3650),IF(AND(Input!B3650&gt;=20,Input!B3650&lt;=700),Input!B3650,""),"")</f>
        <v/>
      </c>
      <c r="C3650">
        <f>IF(B3650="","",INT(A3650))</f>
        <v/>
      </c>
      <c r="D3650">
        <f>IF(B3650="","",HOUR(A3650))</f>
        <v/>
      </c>
    </row>
    <row r="3651">
      <c r="A3651">
        <f>Input!A3651</f>
        <v/>
      </c>
      <c r="B3651">
        <f>IF(ISNUMBER(Input!B3651),IF(AND(Input!B3651&gt;=20,Input!B3651&lt;=700),Input!B3651,""),"")</f>
        <v/>
      </c>
      <c r="C3651">
        <f>IF(B3651="","",INT(A3651))</f>
        <v/>
      </c>
      <c r="D3651">
        <f>IF(B3651="","",HOUR(A3651))</f>
        <v/>
      </c>
    </row>
    <row r="3652">
      <c r="A3652">
        <f>Input!A3652</f>
        <v/>
      </c>
      <c r="B3652">
        <f>IF(ISNUMBER(Input!B3652),IF(AND(Input!B3652&gt;=20,Input!B3652&lt;=700),Input!B3652,""),"")</f>
        <v/>
      </c>
      <c r="C3652">
        <f>IF(B3652="","",INT(A3652))</f>
        <v/>
      </c>
      <c r="D3652">
        <f>IF(B3652="","",HOUR(A3652))</f>
        <v/>
      </c>
    </row>
    <row r="3653">
      <c r="A3653">
        <f>Input!A3653</f>
        <v/>
      </c>
      <c r="B3653">
        <f>IF(ISNUMBER(Input!B3653),IF(AND(Input!B3653&gt;=20,Input!B3653&lt;=700),Input!B3653,""),"")</f>
        <v/>
      </c>
      <c r="C3653">
        <f>IF(B3653="","",INT(A3653))</f>
        <v/>
      </c>
      <c r="D3653">
        <f>IF(B3653="","",HOUR(A3653))</f>
        <v/>
      </c>
    </row>
    <row r="3654">
      <c r="A3654">
        <f>Input!A3654</f>
        <v/>
      </c>
      <c r="B3654">
        <f>IF(ISNUMBER(Input!B3654),IF(AND(Input!B3654&gt;=20,Input!B3654&lt;=700),Input!B3654,""),"")</f>
        <v/>
      </c>
      <c r="C3654">
        <f>IF(B3654="","",INT(A3654))</f>
        <v/>
      </c>
      <c r="D3654">
        <f>IF(B3654="","",HOUR(A3654))</f>
        <v/>
      </c>
    </row>
    <row r="3655">
      <c r="A3655">
        <f>Input!A3655</f>
        <v/>
      </c>
      <c r="B3655">
        <f>IF(ISNUMBER(Input!B3655),IF(AND(Input!B3655&gt;=20,Input!B3655&lt;=700),Input!B3655,""),"")</f>
        <v/>
      </c>
      <c r="C3655">
        <f>IF(B3655="","",INT(A3655))</f>
        <v/>
      </c>
      <c r="D3655">
        <f>IF(B3655="","",HOUR(A3655))</f>
        <v/>
      </c>
    </row>
    <row r="3656">
      <c r="A3656">
        <f>Input!A3656</f>
        <v/>
      </c>
      <c r="B3656">
        <f>IF(ISNUMBER(Input!B3656),IF(AND(Input!B3656&gt;=20,Input!B3656&lt;=700),Input!B3656,""),"")</f>
        <v/>
      </c>
      <c r="C3656">
        <f>IF(B3656="","",INT(A3656))</f>
        <v/>
      </c>
      <c r="D3656">
        <f>IF(B3656="","",HOUR(A3656))</f>
        <v/>
      </c>
    </row>
    <row r="3657">
      <c r="A3657">
        <f>Input!A3657</f>
        <v/>
      </c>
      <c r="B3657">
        <f>IF(ISNUMBER(Input!B3657),IF(AND(Input!B3657&gt;=20,Input!B3657&lt;=700),Input!B3657,""),"")</f>
        <v/>
      </c>
      <c r="C3657">
        <f>IF(B3657="","",INT(A3657))</f>
        <v/>
      </c>
      <c r="D3657">
        <f>IF(B3657="","",HOUR(A3657))</f>
        <v/>
      </c>
    </row>
    <row r="3658">
      <c r="A3658">
        <f>Input!A3658</f>
        <v/>
      </c>
      <c r="B3658">
        <f>IF(ISNUMBER(Input!B3658),IF(AND(Input!B3658&gt;=20,Input!B3658&lt;=700),Input!B3658,""),"")</f>
        <v/>
      </c>
      <c r="C3658">
        <f>IF(B3658="","",INT(A3658))</f>
        <v/>
      </c>
      <c r="D3658">
        <f>IF(B3658="","",HOUR(A3658))</f>
        <v/>
      </c>
    </row>
    <row r="3659">
      <c r="A3659">
        <f>Input!A3659</f>
        <v/>
      </c>
      <c r="B3659">
        <f>IF(ISNUMBER(Input!B3659),IF(AND(Input!B3659&gt;=20,Input!B3659&lt;=700),Input!B3659,""),"")</f>
        <v/>
      </c>
      <c r="C3659">
        <f>IF(B3659="","",INT(A3659))</f>
        <v/>
      </c>
      <c r="D3659">
        <f>IF(B3659="","",HOUR(A3659))</f>
        <v/>
      </c>
    </row>
    <row r="3660">
      <c r="A3660">
        <f>Input!A3660</f>
        <v/>
      </c>
      <c r="B3660">
        <f>IF(ISNUMBER(Input!B3660),IF(AND(Input!B3660&gt;=20,Input!B3660&lt;=700),Input!B3660,""),"")</f>
        <v/>
      </c>
      <c r="C3660">
        <f>IF(B3660="","",INT(A3660))</f>
        <v/>
      </c>
      <c r="D3660">
        <f>IF(B3660="","",HOUR(A3660))</f>
        <v/>
      </c>
    </row>
    <row r="3661">
      <c r="A3661">
        <f>Input!A3661</f>
        <v/>
      </c>
      <c r="B3661">
        <f>IF(ISNUMBER(Input!B3661),IF(AND(Input!B3661&gt;=20,Input!B3661&lt;=700),Input!B3661,""),"")</f>
        <v/>
      </c>
      <c r="C3661">
        <f>IF(B3661="","",INT(A3661))</f>
        <v/>
      </c>
      <c r="D3661">
        <f>IF(B3661="","",HOUR(A3661))</f>
        <v/>
      </c>
    </row>
    <row r="3662">
      <c r="A3662">
        <f>Input!A3662</f>
        <v/>
      </c>
      <c r="B3662">
        <f>IF(ISNUMBER(Input!B3662),IF(AND(Input!B3662&gt;=20,Input!B3662&lt;=700),Input!B3662,""),"")</f>
        <v/>
      </c>
      <c r="C3662">
        <f>IF(B3662="","",INT(A3662))</f>
        <v/>
      </c>
      <c r="D3662">
        <f>IF(B3662="","",HOUR(A3662))</f>
        <v/>
      </c>
    </row>
    <row r="3663">
      <c r="A3663">
        <f>Input!A3663</f>
        <v/>
      </c>
      <c r="B3663">
        <f>IF(ISNUMBER(Input!B3663),IF(AND(Input!B3663&gt;=20,Input!B3663&lt;=700),Input!B3663,""),"")</f>
        <v/>
      </c>
      <c r="C3663">
        <f>IF(B3663="","",INT(A3663))</f>
        <v/>
      </c>
      <c r="D3663">
        <f>IF(B3663="","",HOUR(A3663))</f>
        <v/>
      </c>
    </row>
    <row r="3664">
      <c r="A3664">
        <f>Input!A3664</f>
        <v/>
      </c>
      <c r="B3664">
        <f>IF(ISNUMBER(Input!B3664),IF(AND(Input!B3664&gt;=20,Input!B3664&lt;=700),Input!B3664,""),"")</f>
        <v/>
      </c>
      <c r="C3664">
        <f>IF(B3664="","",INT(A3664))</f>
        <v/>
      </c>
      <c r="D3664">
        <f>IF(B3664="","",HOUR(A3664))</f>
        <v/>
      </c>
    </row>
    <row r="3665">
      <c r="A3665">
        <f>Input!A3665</f>
        <v/>
      </c>
      <c r="B3665">
        <f>IF(ISNUMBER(Input!B3665),IF(AND(Input!B3665&gt;=20,Input!B3665&lt;=700),Input!B3665,""),"")</f>
        <v/>
      </c>
      <c r="C3665">
        <f>IF(B3665="","",INT(A3665))</f>
        <v/>
      </c>
      <c r="D3665">
        <f>IF(B3665="","",HOUR(A3665))</f>
        <v/>
      </c>
    </row>
    <row r="3666">
      <c r="A3666">
        <f>Input!A3666</f>
        <v/>
      </c>
      <c r="B3666">
        <f>IF(ISNUMBER(Input!B3666),IF(AND(Input!B3666&gt;=20,Input!B3666&lt;=700),Input!B3666,""),"")</f>
        <v/>
      </c>
      <c r="C3666">
        <f>IF(B3666="","",INT(A3666))</f>
        <v/>
      </c>
      <c r="D3666">
        <f>IF(B3666="","",HOUR(A3666))</f>
        <v/>
      </c>
    </row>
    <row r="3667">
      <c r="A3667">
        <f>Input!A3667</f>
        <v/>
      </c>
      <c r="B3667">
        <f>IF(ISNUMBER(Input!B3667),IF(AND(Input!B3667&gt;=20,Input!B3667&lt;=700),Input!B3667,""),"")</f>
        <v/>
      </c>
      <c r="C3667">
        <f>IF(B3667="","",INT(A3667))</f>
        <v/>
      </c>
      <c r="D3667">
        <f>IF(B3667="","",HOUR(A3667))</f>
        <v/>
      </c>
    </row>
    <row r="3668">
      <c r="A3668">
        <f>Input!A3668</f>
        <v/>
      </c>
      <c r="B3668">
        <f>IF(ISNUMBER(Input!B3668),IF(AND(Input!B3668&gt;=20,Input!B3668&lt;=700),Input!B3668,""),"")</f>
        <v/>
      </c>
      <c r="C3668">
        <f>IF(B3668="","",INT(A3668))</f>
        <v/>
      </c>
      <c r="D3668">
        <f>IF(B3668="","",HOUR(A3668))</f>
        <v/>
      </c>
    </row>
    <row r="3669">
      <c r="A3669">
        <f>Input!A3669</f>
        <v/>
      </c>
      <c r="B3669">
        <f>IF(ISNUMBER(Input!B3669),IF(AND(Input!B3669&gt;=20,Input!B3669&lt;=700),Input!B3669,""),"")</f>
        <v/>
      </c>
      <c r="C3669">
        <f>IF(B3669="","",INT(A3669))</f>
        <v/>
      </c>
      <c r="D3669">
        <f>IF(B3669="","",HOUR(A3669))</f>
        <v/>
      </c>
    </row>
    <row r="3670">
      <c r="A3670">
        <f>Input!A3670</f>
        <v/>
      </c>
      <c r="B3670">
        <f>IF(ISNUMBER(Input!B3670),IF(AND(Input!B3670&gt;=20,Input!B3670&lt;=700),Input!B3670,""),"")</f>
        <v/>
      </c>
      <c r="C3670">
        <f>IF(B3670="","",INT(A3670))</f>
        <v/>
      </c>
      <c r="D3670">
        <f>IF(B3670="","",HOUR(A3670))</f>
        <v/>
      </c>
    </row>
    <row r="3671">
      <c r="A3671">
        <f>Input!A3671</f>
        <v/>
      </c>
      <c r="B3671">
        <f>IF(ISNUMBER(Input!B3671),IF(AND(Input!B3671&gt;=20,Input!B3671&lt;=700),Input!B3671,""),"")</f>
        <v/>
      </c>
      <c r="C3671">
        <f>IF(B3671="","",INT(A3671))</f>
        <v/>
      </c>
      <c r="D3671">
        <f>IF(B3671="","",HOUR(A3671))</f>
        <v/>
      </c>
    </row>
    <row r="3672">
      <c r="A3672">
        <f>Input!A3672</f>
        <v/>
      </c>
      <c r="B3672">
        <f>IF(ISNUMBER(Input!B3672),IF(AND(Input!B3672&gt;=20,Input!B3672&lt;=700),Input!B3672,""),"")</f>
        <v/>
      </c>
      <c r="C3672">
        <f>IF(B3672="","",INT(A3672))</f>
        <v/>
      </c>
      <c r="D3672">
        <f>IF(B3672="","",HOUR(A3672))</f>
        <v/>
      </c>
    </row>
    <row r="3673">
      <c r="A3673">
        <f>Input!A3673</f>
        <v/>
      </c>
      <c r="B3673">
        <f>IF(ISNUMBER(Input!B3673),IF(AND(Input!B3673&gt;=20,Input!B3673&lt;=700),Input!B3673,""),"")</f>
        <v/>
      </c>
      <c r="C3673">
        <f>IF(B3673="","",INT(A3673))</f>
        <v/>
      </c>
      <c r="D3673">
        <f>IF(B3673="","",HOUR(A3673))</f>
        <v/>
      </c>
    </row>
    <row r="3674">
      <c r="A3674">
        <f>Input!A3674</f>
        <v/>
      </c>
      <c r="B3674">
        <f>IF(ISNUMBER(Input!B3674),IF(AND(Input!B3674&gt;=20,Input!B3674&lt;=700),Input!B3674,""),"")</f>
        <v/>
      </c>
      <c r="C3674">
        <f>IF(B3674="","",INT(A3674))</f>
        <v/>
      </c>
      <c r="D3674">
        <f>IF(B3674="","",HOUR(A3674))</f>
        <v/>
      </c>
    </row>
    <row r="3675">
      <c r="A3675">
        <f>Input!A3675</f>
        <v/>
      </c>
      <c r="B3675">
        <f>IF(ISNUMBER(Input!B3675),IF(AND(Input!B3675&gt;=20,Input!B3675&lt;=700),Input!B3675,""),"")</f>
        <v/>
      </c>
      <c r="C3675">
        <f>IF(B3675="","",INT(A3675))</f>
        <v/>
      </c>
      <c r="D3675">
        <f>IF(B3675="","",HOUR(A3675))</f>
        <v/>
      </c>
    </row>
    <row r="3676">
      <c r="A3676">
        <f>Input!A3676</f>
        <v/>
      </c>
      <c r="B3676">
        <f>IF(ISNUMBER(Input!B3676),IF(AND(Input!B3676&gt;=20,Input!B3676&lt;=700),Input!B3676,""),"")</f>
        <v/>
      </c>
      <c r="C3676">
        <f>IF(B3676="","",INT(A3676))</f>
        <v/>
      </c>
      <c r="D3676">
        <f>IF(B3676="","",HOUR(A3676))</f>
        <v/>
      </c>
    </row>
    <row r="3677">
      <c r="A3677">
        <f>Input!A3677</f>
        <v/>
      </c>
      <c r="B3677">
        <f>IF(ISNUMBER(Input!B3677),IF(AND(Input!B3677&gt;=20,Input!B3677&lt;=700),Input!B3677,""),"")</f>
        <v/>
      </c>
      <c r="C3677">
        <f>IF(B3677="","",INT(A3677))</f>
        <v/>
      </c>
      <c r="D3677">
        <f>IF(B3677="","",HOUR(A3677))</f>
        <v/>
      </c>
    </row>
    <row r="3678">
      <c r="A3678">
        <f>Input!A3678</f>
        <v/>
      </c>
      <c r="B3678">
        <f>IF(ISNUMBER(Input!B3678),IF(AND(Input!B3678&gt;=20,Input!B3678&lt;=700),Input!B3678,""),"")</f>
        <v/>
      </c>
      <c r="C3678">
        <f>IF(B3678="","",INT(A3678))</f>
        <v/>
      </c>
      <c r="D3678">
        <f>IF(B3678="","",HOUR(A3678))</f>
        <v/>
      </c>
    </row>
    <row r="3679">
      <c r="A3679">
        <f>Input!A3679</f>
        <v/>
      </c>
      <c r="B3679">
        <f>IF(ISNUMBER(Input!B3679),IF(AND(Input!B3679&gt;=20,Input!B3679&lt;=700),Input!B3679,""),"")</f>
        <v/>
      </c>
      <c r="C3679">
        <f>IF(B3679="","",INT(A3679))</f>
        <v/>
      </c>
      <c r="D3679">
        <f>IF(B3679="","",HOUR(A3679))</f>
        <v/>
      </c>
    </row>
    <row r="3680">
      <c r="A3680">
        <f>Input!A3680</f>
        <v/>
      </c>
      <c r="B3680">
        <f>IF(ISNUMBER(Input!B3680),IF(AND(Input!B3680&gt;=20,Input!B3680&lt;=700),Input!B3680,""),"")</f>
        <v/>
      </c>
      <c r="C3680">
        <f>IF(B3680="","",INT(A3680))</f>
        <v/>
      </c>
      <c r="D3680">
        <f>IF(B3680="","",HOUR(A3680))</f>
        <v/>
      </c>
    </row>
    <row r="3681">
      <c r="A3681">
        <f>Input!A3681</f>
        <v/>
      </c>
      <c r="B3681">
        <f>IF(ISNUMBER(Input!B3681),IF(AND(Input!B3681&gt;=20,Input!B3681&lt;=700),Input!B3681,""),"")</f>
        <v/>
      </c>
      <c r="C3681">
        <f>IF(B3681="","",INT(A3681))</f>
        <v/>
      </c>
      <c r="D3681">
        <f>IF(B3681="","",HOUR(A3681))</f>
        <v/>
      </c>
    </row>
    <row r="3682">
      <c r="A3682">
        <f>Input!A3682</f>
        <v/>
      </c>
      <c r="B3682">
        <f>IF(ISNUMBER(Input!B3682),IF(AND(Input!B3682&gt;=20,Input!B3682&lt;=700),Input!B3682,""),"")</f>
        <v/>
      </c>
      <c r="C3682">
        <f>IF(B3682="","",INT(A3682))</f>
        <v/>
      </c>
      <c r="D3682">
        <f>IF(B3682="","",HOUR(A3682))</f>
        <v/>
      </c>
    </row>
    <row r="3683">
      <c r="A3683">
        <f>Input!A3683</f>
        <v/>
      </c>
      <c r="B3683">
        <f>IF(ISNUMBER(Input!B3683),IF(AND(Input!B3683&gt;=20,Input!B3683&lt;=700),Input!B3683,""),"")</f>
        <v/>
      </c>
      <c r="C3683">
        <f>IF(B3683="","",INT(A3683))</f>
        <v/>
      </c>
      <c r="D3683">
        <f>IF(B3683="","",HOUR(A3683))</f>
        <v/>
      </c>
    </row>
    <row r="3684">
      <c r="A3684">
        <f>Input!A3684</f>
        <v/>
      </c>
      <c r="B3684">
        <f>IF(ISNUMBER(Input!B3684),IF(AND(Input!B3684&gt;=20,Input!B3684&lt;=700),Input!B3684,""),"")</f>
        <v/>
      </c>
      <c r="C3684">
        <f>IF(B3684="","",INT(A3684))</f>
        <v/>
      </c>
      <c r="D3684">
        <f>IF(B3684="","",HOUR(A3684))</f>
        <v/>
      </c>
    </row>
    <row r="3685">
      <c r="A3685">
        <f>Input!A3685</f>
        <v/>
      </c>
      <c r="B3685">
        <f>IF(ISNUMBER(Input!B3685),IF(AND(Input!B3685&gt;=20,Input!B3685&lt;=700),Input!B3685,""),"")</f>
        <v/>
      </c>
      <c r="C3685">
        <f>IF(B3685="","",INT(A3685))</f>
        <v/>
      </c>
      <c r="D3685">
        <f>IF(B3685="","",HOUR(A3685))</f>
        <v/>
      </c>
    </row>
    <row r="3686">
      <c r="A3686">
        <f>Input!A3686</f>
        <v/>
      </c>
      <c r="B3686">
        <f>IF(ISNUMBER(Input!B3686),IF(AND(Input!B3686&gt;=20,Input!B3686&lt;=700),Input!B3686,""),"")</f>
        <v/>
      </c>
      <c r="C3686">
        <f>IF(B3686="","",INT(A3686))</f>
        <v/>
      </c>
      <c r="D3686">
        <f>IF(B3686="","",HOUR(A3686))</f>
        <v/>
      </c>
    </row>
    <row r="3687">
      <c r="A3687">
        <f>Input!A3687</f>
        <v/>
      </c>
      <c r="B3687">
        <f>IF(ISNUMBER(Input!B3687),IF(AND(Input!B3687&gt;=20,Input!B3687&lt;=700),Input!B3687,""),"")</f>
        <v/>
      </c>
      <c r="C3687">
        <f>IF(B3687="","",INT(A3687))</f>
        <v/>
      </c>
      <c r="D3687">
        <f>IF(B3687="","",HOUR(A3687))</f>
        <v/>
      </c>
    </row>
    <row r="3688">
      <c r="A3688">
        <f>Input!A3688</f>
        <v/>
      </c>
      <c r="B3688">
        <f>IF(ISNUMBER(Input!B3688),IF(AND(Input!B3688&gt;=20,Input!B3688&lt;=700),Input!B3688,""),"")</f>
        <v/>
      </c>
      <c r="C3688">
        <f>IF(B3688="","",INT(A3688))</f>
        <v/>
      </c>
      <c r="D3688">
        <f>IF(B3688="","",HOUR(A3688))</f>
        <v/>
      </c>
    </row>
    <row r="3689">
      <c r="A3689">
        <f>Input!A3689</f>
        <v/>
      </c>
      <c r="B3689">
        <f>IF(ISNUMBER(Input!B3689),IF(AND(Input!B3689&gt;=20,Input!B3689&lt;=700),Input!B3689,""),"")</f>
        <v/>
      </c>
      <c r="C3689">
        <f>IF(B3689="","",INT(A3689))</f>
        <v/>
      </c>
      <c r="D3689">
        <f>IF(B3689="","",HOUR(A3689))</f>
        <v/>
      </c>
    </row>
    <row r="3690">
      <c r="A3690">
        <f>Input!A3690</f>
        <v/>
      </c>
      <c r="B3690">
        <f>IF(ISNUMBER(Input!B3690),IF(AND(Input!B3690&gt;=20,Input!B3690&lt;=700),Input!B3690,""),"")</f>
        <v/>
      </c>
      <c r="C3690">
        <f>IF(B3690="","",INT(A3690))</f>
        <v/>
      </c>
      <c r="D3690">
        <f>IF(B3690="","",HOUR(A3690))</f>
        <v/>
      </c>
    </row>
    <row r="3691">
      <c r="A3691">
        <f>Input!A3691</f>
        <v/>
      </c>
      <c r="B3691">
        <f>IF(ISNUMBER(Input!B3691),IF(AND(Input!B3691&gt;=20,Input!B3691&lt;=700),Input!B3691,""),"")</f>
        <v/>
      </c>
      <c r="C3691">
        <f>IF(B3691="","",INT(A3691))</f>
        <v/>
      </c>
      <c r="D3691">
        <f>IF(B3691="","",HOUR(A3691))</f>
        <v/>
      </c>
    </row>
    <row r="3692">
      <c r="A3692">
        <f>Input!A3692</f>
        <v/>
      </c>
      <c r="B3692">
        <f>IF(ISNUMBER(Input!B3692),IF(AND(Input!B3692&gt;=20,Input!B3692&lt;=700),Input!B3692,""),"")</f>
        <v/>
      </c>
      <c r="C3692">
        <f>IF(B3692="","",INT(A3692))</f>
        <v/>
      </c>
      <c r="D3692">
        <f>IF(B3692="","",HOUR(A3692))</f>
        <v/>
      </c>
    </row>
    <row r="3693">
      <c r="A3693">
        <f>Input!A3693</f>
        <v/>
      </c>
      <c r="B3693">
        <f>IF(ISNUMBER(Input!B3693),IF(AND(Input!B3693&gt;=20,Input!B3693&lt;=700),Input!B3693,""),"")</f>
        <v/>
      </c>
      <c r="C3693">
        <f>IF(B3693="","",INT(A3693))</f>
        <v/>
      </c>
      <c r="D3693">
        <f>IF(B3693="","",HOUR(A3693))</f>
        <v/>
      </c>
    </row>
    <row r="3694">
      <c r="A3694">
        <f>Input!A3694</f>
        <v/>
      </c>
      <c r="B3694">
        <f>IF(ISNUMBER(Input!B3694),IF(AND(Input!B3694&gt;=20,Input!B3694&lt;=700),Input!B3694,""),"")</f>
        <v/>
      </c>
      <c r="C3694">
        <f>IF(B3694="","",INT(A3694))</f>
        <v/>
      </c>
      <c r="D3694">
        <f>IF(B3694="","",HOUR(A3694))</f>
        <v/>
      </c>
    </row>
    <row r="3695">
      <c r="A3695">
        <f>Input!A3695</f>
        <v/>
      </c>
      <c r="B3695">
        <f>IF(ISNUMBER(Input!B3695),IF(AND(Input!B3695&gt;=20,Input!B3695&lt;=700),Input!B3695,""),"")</f>
        <v/>
      </c>
      <c r="C3695">
        <f>IF(B3695="","",INT(A3695))</f>
        <v/>
      </c>
      <c r="D3695">
        <f>IF(B3695="","",HOUR(A3695))</f>
        <v/>
      </c>
    </row>
    <row r="3696">
      <c r="A3696">
        <f>Input!A3696</f>
        <v/>
      </c>
      <c r="B3696">
        <f>IF(ISNUMBER(Input!B3696),IF(AND(Input!B3696&gt;=20,Input!B3696&lt;=700),Input!B3696,""),"")</f>
        <v/>
      </c>
      <c r="C3696">
        <f>IF(B3696="","",INT(A3696))</f>
        <v/>
      </c>
      <c r="D3696">
        <f>IF(B3696="","",HOUR(A3696))</f>
        <v/>
      </c>
    </row>
    <row r="3697">
      <c r="A3697">
        <f>Input!A3697</f>
        <v/>
      </c>
      <c r="B3697">
        <f>IF(ISNUMBER(Input!B3697),IF(AND(Input!B3697&gt;=20,Input!B3697&lt;=700),Input!B3697,""),"")</f>
        <v/>
      </c>
      <c r="C3697">
        <f>IF(B3697="","",INT(A3697))</f>
        <v/>
      </c>
      <c r="D3697">
        <f>IF(B3697="","",HOUR(A3697))</f>
        <v/>
      </c>
    </row>
    <row r="3698">
      <c r="A3698">
        <f>Input!A3698</f>
        <v/>
      </c>
      <c r="B3698">
        <f>IF(ISNUMBER(Input!B3698),IF(AND(Input!B3698&gt;=20,Input!B3698&lt;=700),Input!B3698,""),"")</f>
        <v/>
      </c>
      <c r="C3698">
        <f>IF(B3698="","",INT(A3698))</f>
        <v/>
      </c>
      <c r="D3698">
        <f>IF(B3698="","",HOUR(A3698))</f>
        <v/>
      </c>
    </row>
    <row r="3699">
      <c r="A3699">
        <f>Input!A3699</f>
        <v/>
      </c>
      <c r="B3699">
        <f>IF(ISNUMBER(Input!B3699),IF(AND(Input!B3699&gt;=20,Input!B3699&lt;=700),Input!B3699,""),"")</f>
        <v/>
      </c>
      <c r="C3699">
        <f>IF(B3699="","",INT(A3699))</f>
        <v/>
      </c>
      <c r="D3699">
        <f>IF(B3699="","",HOUR(A3699))</f>
        <v/>
      </c>
    </row>
    <row r="3700">
      <c r="A3700">
        <f>Input!A3700</f>
        <v/>
      </c>
      <c r="B3700">
        <f>IF(ISNUMBER(Input!B3700),IF(AND(Input!B3700&gt;=20,Input!B3700&lt;=700),Input!B3700,""),"")</f>
        <v/>
      </c>
      <c r="C3700">
        <f>IF(B3700="","",INT(A3700))</f>
        <v/>
      </c>
      <c r="D3700">
        <f>IF(B3700="","",HOUR(A3700))</f>
        <v/>
      </c>
    </row>
    <row r="3701">
      <c r="A3701">
        <f>Input!A3701</f>
        <v/>
      </c>
      <c r="B3701">
        <f>IF(ISNUMBER(Input!B3701),IF(AND(Input!B3701&gt;=20,Input!B3701&lt;=700),Input!B3701,""),"")</f>
        <v/>
      </c>
      <c r="C3701">
        <f>IF(B3701="","",INT(A3701))</f>
        <v/>
      </c>
      <c r="D3701">
        <f>IF(B3701="","",HOUR(A3701))</f>
        <v/>
      </c>
    </row>
    <row r="3702">
      <c r="A3702">
        <f>Input!A3702</f>
        <v/>
      </c>
      <c r="B3702">
        <f>IF(ISNUMBER(Input!B3702),IF(AND(Input!B3702&gt;=20,Input!B3702&lt;=700),Input!B3702,""),"")</f>
        <v/>
      </c>
      <c r="C3702">
        <f>IF(B3702="","",INT(A3702))</f>
        <v/>
      </c>
      <c r="D3702">
        <f>IF(B3702="","",HOUR(A3702))</f>
        <v/>
      </c>
    </row>
    <row r="3703">
      <c r="A3703">
        <f>Input!A3703</f>
        <v/>
      </c>
      <c r="B3703">
        <f>IF(ISNUMBER(Input!B3703),IF(AND(Input!B3703&gt;=20,Input!B3703&lt;=700),Input!B3703,""),"")</f>
        <v/>
      </c>
      <c r="C3703">
        <f>IF(B3703="","",INT(A3703))</f>
        <v/>
      </c>
      <c r="D3703">
        <f>IF(B3703="","",HOUR(A3703))</f>
        <v/>
      </c>
    </row>
    <row r="3704">
      <c r="A3704">
        <f>Input!A3704</f>
        <v/>
      </c>
      <c r="B3704">
        <f>IF(ISNUMBER(Input!B3704),IF(AND(Input!B3704&gt;=20,Input!B3704&lt;=700),Input!B3704,""),"")</f>
        <v/>
      </c>
      <c r="C3704">
        <f>IF(B3704="","",INT(A3704))</f>
        <v/>
      </c>
      <c r="D3704">
        <f>IF(B3704="","",HOUR(A3704))</f>
        <v/>
      </c>
    </row>
    <row r="3705">
      <c r="A3705">
        <f>Input!A3705</f>
        <v/>
      </c>
      <c r="B3705">
        <f>IF(ISNUMBER(Input!B3705),IF(AND(Input!B3705&gt;=20,Input!B3705&lt;=700),Input!B3705,""),"")</f>
        <v/>
      </c>
      <c r="C3705">
        <f>IF(B3705="","",INT(A3705))</f>
        <v/>
      </c>
      <c r="D3705">
        <f>IF(B3705="","",HOUR(A3705))</f>
        <v/>
      </c>
    </row>
    <row r="3706">
      <c r="A3706">
        <f>Input!A3706</f>
        <v/>
      </c>
      <c r="B3706">
        <f>IF(ISNUMBER(Input!B3706),IF(AND(Input!B3706&gt;=20,Input!B3706&lt;=700),Input!B3706,""),"")</f>
        <v/>
      </c>
      <c r="C3706">
        <f>IF(B3706="","",INT(A3706))</f>
        <v/>
      </c>
      <c r="D3706">
        <f>IF(B3706="","",HOUR(A3706))</f>
        <v/>
      </c>
    </row>
    <row r="3707">
      <c r="A3707">
        <f>Input!A3707</f>
        <v/>
      </c>
      <c r="B3707">
        <f>IF(ISNUMBER(Input!B3707),IF(AND(Input!B3707&gt;=20,Input!B3707&lt;=700),Input!B3707,""),"")</f>
        <v/>
      </c>
      <c r="C3707">
        <f>IF(B3707="","",INT(A3707))</f>
        <v/>
      </c>
      <c r="D3707">
        <f>IF(B3707="","",HOUR(A3707))</f>
        <v/>
      </c>
    </row>
    <row r="3708">
      <c r="A3708">
        <f>Input!A3708</f>
        <v/>
      </c>
      <c r="B3708">
        <f>IF(ISNUMBER(Input!B3708),IF(AND(Input!B3708&gt;=20,Input!B3708&lt;=700),Input!B3708,""),"")</f>
        <v/>
      </c>
      <c r="C3708">
        <f>IF(B3708="","",INT(A3708))</f>
        <v/>
      </c>
      <c r="D3708">
        <f>IF(B3708="","",HOUR(A3708))</f>
        <v/>
      </c>
    </row>
    <row r="3709">
      <c r="A3709">
        <f>Input!A3709</f>
        <v/>
      </c>
      <c r="B3709">
        <f>IF(ISNUMBER(Input!B3709),IF(AND(Input!B3709&gt;=20,Input!B3709&lt;=700),Input!B3709,""),"")</f>
        <v/>
      </c>
      <c r="C3709">
        <f>IF(B3709="","",INT(A3709))</f>
        <v/>
      </c>
      <c r="D3709">
        <f>IF(B3709="","",HOUR(A3709))</f>
        <v/>
      </c>
    </row>
    <row r="3710">
      <c r="A3710">
        <f>Input!A3710</f>
        <v/>
      </c>
      <c r="B3710">
        <f>IF(ISNUMBER(Input!B3710),IF(AND(Input!B3710&gt;=20,Input!B3710&lt;=700),Input!B3710,""),"")</f>
        <v/>
      </c>
      <c r="C3710">
        <f>IF(B3710="","",INT(A3710))</f>
        <v/>
      </c>
      <c r="D3710">
        <f>IF(B3710="","",HOUR(A3710))</f>
        <v/>
      </c>
    </row>
    <row r="3711">
      <c r="A3711">
        <f>Input!A3711</f>
        <v/>
      </c>
      <c r="B3711">
        <f>IF(ISNUMBER(Input!B3711),IF(AND(Input!B3711&gt;=20,Input!B3711&lt;=700),Input!B3711,""),"")</f>
        <v/>
      </c>
      <c r="C3711">
        <f>IF(B3711="","",INT(A3711))</f>
        <v/>
      </c>
      <c r="D3711">
        <f>IF(B3711="","",HOUR(A3711))</f>
        <v/>
      </c>
    </row>
    <row r="3712">
      <c r="A3712">
        <f>Input!A3712</f>
        <v/>
      </c>
      <c r="B3712">
        <f>IF(ISNUMBER(Input!B3712),IF(AND(Input!B3712&gt;=20,Input!B3712&lt;=700),Input!B3712,""),"")</f>
        <v/>
      </c>
      <c r="C3712">
        <f>IF(B3712="","",INT(A3712))</f>
        <v/>
      </c>
      <c r="D3712">
        <f>IF(B3712="","",HOUR(A3712))</f>
        <v/>
      </c>
    </row>
    <row r="3713">
      <c r="A3713">
        <f>Input!A3713</f>
        <v/>
      </c>
      <c r="B3713">
        <f>IF(ISNUMBER(Input!B3713),IF(AND(Input!B3713&gt;=20,Input!B3713&lt;=700),Input!B3713,""),"")</f>
        <v/>
      </c>
      <c r="C3713">
        <f>IF(B3713="","",INT(A3713))</f>
        <v/>
      </c>
      <c r="D3713">
        <f>IF(B3713="","",HOUR(A3713))</f>
        <v/>
      </c>
    </row>
    <row r="3714">
      <c r="A3714">
        <f>Input!A3714</f>
        <v/>
      </c>
      <c r="B3714">
        <f>IF(ISNUMBER(Input!B3714),IF(AND(Input!B3714&gt;=20,Input!B3714&lt;=700),Input!B3714,""),"")</f>
        <v/>
      </c>
      <c r="C3714">
        <f>IF(B3714="","",INT(A3714))</f>
        <v/>
      </c>
      <c r="D3714">
        <f>IF(B3714="","",HOUR(A3714))</f>
        <v/>
      </c>
    </row>
    <row r="3715">
      <c r="A3715">
        <f>Input!A3715</f>
        <v/>
      </c>
      <c r="B3715">
        <f>IF(ISNUMBER(Input!B3715),IF(AND(Input!B3715&gt;=20,Input!B3715&lt;=700),Input!B3715,""),"")</f>
        <v/>
      </c>
      <c r="C3715">
        <f>IF(B3715="","",INT(A3715))</f>
        <v/>
      </c>
      <c r="D3715">
        <f>IF(B3715="","",HOUR(A3715))</f>
        <v/>
      </c>
    </row>
    <row r="3716">
      <c r="A3716">
        <f>Input!A3716</f>
        <v/>
      </c>
      <c r="B3716">
        <f>IF(ISNUMBER(Input!B3716),IF(AND(Input!B3716&gt;=20,Input!B3716&lt;=700),Input!B3716,""),"")</f>
        <v/>
      </c>
      <c r="C3716">
        <f>IF(B3716="","",INT(A3716))</f>
        <v/>
      </c>
      <c r="D3716">
        <f>IF(B3716="","",HOUR(A3716))</f>
        <v/>
      </c>
    </row>
    <row r="3717">
      <c r="A3717">
        <f>Input!A3717</f>
        <v/>
      </c>
      <c r="B3717">
        <f>IF(ISNUMBER(Input!B3717),IF(AND(Input!B3717&gt;=20,Input!B3717&lt;=700),Input!B3717,""),"")</f>
        <v/>
      </c>
      <c r="C3717">
        <f>IF(B3717="","",INT(A3717))</f>
        <v/>
      </c>
      <c r="D3717">
        <f>IF(B3717="","",HOUR(A3717))</f>
        <v/>
      </c>
    </row>
    <row r="3718">
      <c r="A3718">
        <f>Input!A3718</f>
        <v/>
      </c>
      <c r="B3718">
        <f>IF(ISNUMBER(Input!B3718),IF(AND(Input!B3718&gt;=20,Input!B3718&lt;=700),Input!B3718,""),"")</f>
        <v/>
      </c>
      <c r="C3718">
        <f>IF(B3718="","",INT(A3718))</f>
        <v/>
      </c>
      <c r="D3718">
        <f>IF(B3718="","",HOUR(A3718))</f>
        <v/>
      </c>
    </row>
    <row r="3719">
      <c r="A3719">
        <f>Input!A3719</f>
        <v/>
      </c>
      <c r="B3719">
        <f>IF(ISNUMBER(Input!B3719),IF(AND(Input!B3719&gt;=20,Input!B3719&lt;=700),Input!B3719,""),"")</f>
        <v/>
      </c>
      <c r="C3719">
        <f>IF(B3719="","",INT(A3719))</f>
        <v/>
      </c>
      <c r="D3719">
        <f>IF(B3719="","",HOUR(A3719))</f>
        <v/>
      </c>
    </row>
    <row r="3720">
      <c r="A3720">
        <f>Input!A3720</f>
        <v/>
      </c>
      <c r="B3720">
        <f>IF(ISNUMBER(Input!B3720),IF(AND(Input!B3720&gt;=20,Input!B3720&lt;=700),Input!B3720,""),"")</f>
        <v/>
      </c>
      <c r="C3720">
        <f>IF(B3720="","",INT(A3720))</f>
        <v/>
      </c>
      <c r="D3720">
        <f>IF(B3720="","",HOUR(A3720))</f>
        <v/>
      </c>
    </row>
    <row r="3721">
      <c r="A3721">
        <f>Input!A3721</f>
        <v/>
      </c>
      <c r="B3721">
        <f>IF(ISNUMBER(Input!B3721),IF(AND(Input!B3721&gt;=20,Input!B3721&lt;=700),Input!B3721,""),"")</f>
        <v/>
      </c>
      <c r="C3721">
        <f>IF(B3721="","",INT(A3721))</f>
        <v/>
      </c>
      <c r="D3721">
        <f>IF(B3721="","",HOUR(A3721))</f>
        <v/>
      </c>
    </row>
    <row r="3722">
      <c r="A3722">
        <f>Input!A3722</f>
        <v/>
      </c>
      <c r="B3722">
        <f>IF(ISNUMBER(Input!B3722),IF(AND(Input!B3722&gt;=20,Input!B3722&lt;=700),Input!B3722,""),"")</f>
        <v/>
      </c>
      <c r="C3722">
        <f>IF(B3722="","",INT(A3722))</f>
        <v/>
      </c>
      <c r="D3722">
        <f>IF(B3722="","",HOUR(A3722))</f>
        <v/>
      </c>
    </row>
    <row r="3723">
      <c r="A3723">
        <f>Input!A3723</f>
        <v/>
      </c>
      <c r="B3723">
        <f>IF(ISNUMBER(Input!B3723),IF(AND(Input!B3723&gt;=20,Input!B3723&lt;=700),Input!B3723,""),"")</f>
        <v/>
      </c>
      <c r="C3723">
        <f>IF(B3723="","",INT(A3723))</f>
        <v/>
      </c>
      <c r="D3723">
        <f>IF(B3723="","",HOUR(A3723))</f>
        <v/>
      </c>
    </row>
    <row r="3724">
      <c r="A3724">
        <f>Input!A3724</f>
        <v/>
      </c>
      <c r="B3724">
        <f>IF(ISNUMBER(Input!B3724),IF(AND(Input!B3724&gt;=20,Input!B3724&lt;=700),Input!B3724,""),"")</f>
        <v/>
      </c>
      <c r="C3724">
        <f>IF(B3724="","",INT(A3724))</f>
        <v/>
      </c>
      <c r="D3724">
        <f>IF(B3724="","",HOUR(A3724))</f>
        <v/>
      </c>
    </row>
    <row r="3725">
      <c r="A3725">
        <f>Input!A3725</f>
        <v/>
      </c>
      <c r="B3725">
        <f>IF(ISNUMBER(Input!B3725),IF(AND(Input!B3725&gt;=20,Input!B3725&lt;=700),Input!B3725,""),"")</f>
        <v/>
      </c>
      <c r="C3725">
        <f>IF(B3725="","",INT(A3725))</f>
        <v/>
      </c>
      <c r="D3725">
        <f>IF(B3725="","",HOUR(A3725))</f>
        <v/>
      </c>
    </row>
    <row r="3726">
      <c r="A3726">
        <f>Input!A3726</f>
        <v/>
      </c>
      <c r="B3726">
        <f>IF(ISNUMBER(Input!B3726),IF(AND(Input!B3726&gt;=20,Input!B3726&lt;=700),Input!B3726,""),"")</f>
        <v/>
      </c>
      <c r="C3726">
        <f>IF(B3726="","",INT(A3726))</f>
        <v/>
      </c>
      <c r="D3726">
        <f>IF(B3726="","",HOUR(A3726))</f>
        <v/>
      </c>
    </row>
    <row r="3727">
      <c r="A3727">
        <f>Input!A3727</f>
        <v/>
      </c>
      <c r="B3727">
        <f>IF(ISNUMBER(Input!B3727),IF(AND(Input!B3727&gt;=20,Input!B3727&lt;=700),Input!B3727,""),"")</f>
        <v/>
      </c>
      <c r="C3727">
        <f>IF(B3727="","",INT(A3727))</f>
        <v/>
      </c>
      <c r="D3727">
        <f>IF(B3727="","",HOUR(A3727))</f>
        <v/>
      </c>
    </row>
    <row r="3728">
      <c r="A3728">
        <f>Input!A3728</f>
        <v/>
      </c>
      <c r="B3728">
        <f>IF(ISNUMBER(Input!B3728),IF(AND(Input!B3728&gt;=20,Input!B3728&lt;=700),Input!B3728,""),"")</f>
        <v/>
      </c>
      <c r="C3728">
        <f>IF(B3728="","",INT(A3728))</f>
        <v/>
      </c>
      <c r="D3728">
        <f>IF(B3728="","",HOUR(A3728))</f>
        <v/>
      </c>
    </row>
    <row r="3729">
      <c r="A3729">
        <f>Input!A3729</f>
        <v/>
      </c>
      <c r="B3729">
        <f>IF(ISNUMBER(Input!B3729),IF(AND(Input!B3729&gt;=20,Input!B3729&lt;=700),Input!B3729,""),"")</f>
        <v/>
      </c>
      <c r="C3729">
        <f>IF(B3729="","",INT(A3729))</f>
        <v/>
      </c>
      <c r="D3729">
        <f>IF(B3729="","",HOUR(A3729))</f>
        <v/>
      </c>
    </row>
    <row r="3730">
      <c r="A3730">
        <f>Input!A3730</f>
        <v/>
      </c>
      <c r="B3730">
        <f>IF(ISNUMBER(Input!B3730),IF(AND(Input!B3730&gt;=20,Input!B3730&lt;=700),Input!B3730,""),"")</f>
        <v/>
      </c>
      <c r="C3730">
        <f>IF(B3730="","",INT(A3730))</f>
        <v/>
      </c>
      <c r="D3730">
        <f>IF(B3730="","",HOUR(A3730))</f>
        <v/>
      </c>
    </row>
    <row r="3731">
      <c r="A3731">
        <f>Input!A3731</f>
        <v/>
      </c>
      <c r="B3731">
        <f>IF(ISNUMBER(Input!B3731),IF(AND(Input!B3731&gt;=20,Input!B3731&lt;=700),Input!B3731,""),"")</f>
        <v/>
      </c>
      <c r="C3731">
        <f>IF(B3731="","",INT(A3731))</f>
        <v/>
      </c>
      <c r="D3731">
        <f>IF(B3731="","",HOUR(A3731))</f>
        <v/>
      </c>
    </row>
    <row r="3732">
      <c r="A3732">
        <f>Input!A3732</f>
        <v/>
      </c>
      <c r="B3732">
        <f>IF(ISNUMBER(Input!B3732),IF(AND(Input!B3732&gt;=20,Input!B3732&lt;=700),Input!B3732,""),"")</f>
        <v/>
      </c>
      <c r="C3732">
        <f>IF(B3732="","",INT(A3732))</f>
        <v/>
      </c>
      <c r="D3732">
        <f>IF(B3732="","",HOUR(A3732))</f>
        <v/>
      </c>
    </row>
    <row r="3733">
      <c r="A3733">
        <f>Input!A3733</f>
        <v/>
      </c>
      <c r="B3733">
        <f>IF(ISNUMBER(Input!B3733),IF(AND(Input!B3733&gt;=20,Input!B3733&lt;=700),Input!B3733,""),"")</f>
        <v/>
      </c>
      <c r="C3733">
        <f>IF(B3733="","",INT(A3733))</f>
        <v/>
      </c>
      <c r="D3733">
        <f>IF(B3733="","",HOUR(A3733))</f>
        <v/>
      </c>
    </row>
    <row r="3734">
      <c r="A3734">
        <f>Input!A3734</f>
        <v/>
      </c>
      <c r="B3734">
        <f>IF(ISNUMBER(Input!B3734),IF(AND(Input!B3734&gt;=20,Input!B3734&lt;=700),Input!B3734,""),"")</f>
        <v/>
      </c>
      <c r="C3734">
        <f>IF(B3734="","",INT(A3734))</f>
        <v/>
      </c>
      <c r="D3734">
        <f>IF(B3734="","",HOUR(A3734))</f>
        <v/>
      </c>
    </row>
    <row r="3735">
      <c r="A3735">
        <f>Input!A3735</f>
        <v/>
      </c>
      <c r="B3735">
        <f>IF(ISNUMBER(Input!B3735),IF(AND(Input!B3735&gt;=20,Input!B3735&lt;=700),Input!B3735,""),"")</f>
        <v/>
      </c>
      <c r="C3735">
        <f>IF(B3735="","",INT(A3735))</f>
        <v/>
      </c>
      <c r="D3735">
        <f>IF(B3735="","",HOUR(A3735))</f>
        <v/>
      </c>
    </row>
    <row r="3736">
      <c r="A3736">
        <f>Input!A3736</f>
        <v/>
      </c>
      <c r="B3736">
        <f>IF(ISNUMBER(Input!B3736),IF(AND(Input!B3736&gt;=20,Input!B3736&lt;=700),Input!B3736,""),"")</f>
        <v/>
      </c>
      <c r="C3736">
        <f>IF(B3736="","",INT(A3736))</f>
        <v/>
      </c>
      <c r="D3736">
        <f>IF(B3736="","",HOUR(A3736))</f>
        <v/>
      </c>
    </row>
    <row r="3737">
      <c r="A3737">
        <f>Input!A3737</f>
        <v/>
      </c>
      <c r="B3737">
        <f>IF(ISNUMBER(Input!B3737),IF(AND(Input!B3737&gt;=20,Input!B3737&lt;=700),Input!B3737,""),"")</f>
        <v/>
      </c>
      <c r="C3737">
        <f>IF(B3737="","",INT(A3737))</f>
        <v/>
      </c>
      <c r="D3737">
        <f>IF(B3737="","",HOUR(A3737))</f>
        <v/>
      </c>
    </row>
    <row r="3738">
      <c r="A3738">
        <f>Input!A3738</f>
        <v/>
      </c>
      <c r="B3738">
        <f>IF(ISNUMBER(Input!B3738),IF(AND(Input!B3738&gt;=20,Input!B3738&lt;=700),Input!B3738,""),"")</f>
        <v/>
      </c>
      <c r="C3738">
        <f>IF(B3738="","",INT(A3738))</f>
        <v/>
      </c>
      <c r="D3738">
        <f>IF(B3738="","",HOUR(A3738))</f>
        <v/>
      </c>
    </row>
    <row r="3739">
      <c r="A3739">
        <f>Input!A3739</f>
        <v/>
      </c>
      <c r="B3739">
        <f>IF(ISNUMBER(Input!B3739),IF(AND(Input!B3739&gt;=20,Input!B3739&lt;=700),Input!B3739,""),"")</f>
        <v/>
      </c>
      <c r="C3739">
        <f>IF(B3739="","",INT(A3739))</f>
        <v/>
      </c>
      <c r="D3739">
        <f>IF(B3739="","",HOUR(A3739))</f>
        <v/>
      </c>
    </row>
    <row r="3740">
      <c r="A3740">
        <f>Input!A3740</f>
        <v/>
      </c>
      <c r="B3740">
        <f>IF(ISNUMBER(Input!B3740),IF(AND(Input!B3740&gt;=20,Input!B3740&lt;=700),Input!B3740,""),"")</f>
        <v/>
      </c>
      <c r="C3740">
        <f>IF(B3740="","",INT(A3740))</f>
        <v/>
      </c>
      <c r="D3740">
        <f>IF(B3740="","",HOUR(A3740))</f>
        <v/>
      </c>
    </row>
    <row r="3741">
      <c r="A3741">
        <f>Input!A3741</f>
        <v/>
      </c>
      <c r="B3741">
        <f>IF(ISNUMBER(Input!B3741),IF(AND(Input!B3741&gt;=20,Input!B3741&lt;=700),Input!B3741,""),"")</f>
        <v/>
      </c>
      <c r="C3741">
        <f>IF(B3741="","",INT(A3741))</f>
        <v/>
      </c>
      <c r="D3741">
        <f>IF(B3741="","",HOUR(A3741))</f>
        <v/>
      </c>
    </row>
    <row r="3742">
      <c r="A3742">
        <f>Input!A3742</f>
        <v/>
      </c>
      <c r="B3742">
        <f>IF(ISNUMBER(Input!B3742),IF(AND(Input!B3742&gt;=20,Input!B3742&lt;=700),Input!B3742,""),"")</f>
        <v/>
      </c>
      <c r="C3742">
        <f>IF(B3742="","",INT(A3742))</f>
        <v/>
      </c>
      <c r="D3742">
        <f>IF(B3742="","",HOUR(A3742))</f>
        <v/>
      </c>
    </row>
    <row r="3743">
      <c r="A3743">
        <f>Input!A3743</f>
        <v/>
      </c>
      <c r="B3743">
        <f>IF(ISNUMBER(Input!B3743),IF(AND(Input!B3743&gt;=20,Input!B3743&lt;=700),Input!B3743,""),"")</f>
        <v/>
      </c>
      <c r="C3743">
        <f>IF(B3743="","",INT(A3743))</f>
        <v/>
      </c>
      <c r="D3743">
        <f>IF(B3743="","",HOUR(A3743))</f>
        <v/>
      </c>
    </row>
    <row r="3744">
      <c r="A3744">
        <f>Input!A3744</f>
        <v/>
      </c>
      <c r="B3744">
        <f>IF(ISNUMBER(Input!B3744),IF(AND(Input!B3744&gt;=20,Input!B3744&lt;=700),Input!B3744,""),"")</f>
        <v/>
      </c>
      <c r="C3744">
        <f>IF(B3744="","",INT(A3744))</f>
        <v/>
      </c>
      <c r="D3744">
        <f>IF(B3744="","",HOUR(A3744))</f>
        <v/>
      </c>
    </row>
    <row r="3745">
      <c r="A3745">
        <f>Input!A3745</f>
        <v/>
      </c>
      <c r="B3745">
        <f>IF(ISNUMBER(Input!B3745),IF(AND(Input!B3745&gt;=20,Input!B3745&lt;=700),Input!B3745,""),"")</f>
        <v/>
      </c>
      <c r="C3745">
        <f>IF(B3745="","",INT(A3745))</f>
        <v/>
      </c>
      <c r="D3745">
        <f>IF(B3745="","",HOUR(A3745))</f>
        <v/>
      </c>
    </row>
    <row r="3746">
      <c r="A3746">
        <f>Input!A3746</f>
        <v/>
      </c>
      <c r="B3746">
        <f>IF(ISNUMBER(Input!B3746),IF(AND(Input!B3746&gt;=20,Input!B3746&lt;=700),Input!B3746,""),"")</f>
        <v/>
      </c>
      <c r="C3746">
        <f>IF(B3746="","",INT(A3746))</f>
        <v/>
      </c>
      <c r="D3746">
        <f>IF(B3746="","",HOUR(A3746))</f>
        <v/>
      </c>
    </row>
    <row r="3747">
      <c r="A3747">
        <f>Input!A3747</f>
        <v/>
      </c>
      <c r="B3747">
        <f>IF(ISNUMBER(Input!B3747),IF(AND(Input!B3747&gt;=20,Input!B3747&lt;=700),Input!B3747,""),"")</f>
        <v/>
      </c>
      <c r="C3747">
        <f>IF(B3747="","",INT(A3747))</f>
        <v/>
      </c>
      <c r="D3747">
        <f>IF(B3747="","",HOUR(A3747))</f>
        <v/>
      </c>
    </row>
    <row r="3748">
      <c r="A3748">
        <f>Input!A3748</f>
        <v/>
      </c>
      <c r="B3748">
        <f>IF(ISNUMBER(Input!B3748),IF(AND(Input!B3748&gt;=20,Input!B3748&lt;=700),Input!B3748,""),"")</f>
        <v/>
      </c>
      <c r="C3748">
        <f>IF(B3748="","",INT(A3748))</f>
        <v/>
      </c>
      <c r="D3748">
        <f>IF(B3748="","",HOUR(A3748))</f>
        <v/>
      </c>
    </row>
    <row r="3749">
      <c r="A3749">
        <f>Input!A3749</f>
        <v/>
      </c>
      <c r="B3749">
        <f>IF(ISNUMBER(Input!B3749),IF(AND(Input!B3749&gt;=20,Input!B3749&lt;=700),Input!B3749,""),"")</f>
        <v/>
      </c>
      <c r="C3749">
        <f>IF(B3749="","",INT(A3749))</f>
        <v/>
      </c>
      <c r="D3749">
        <f>IF(B3749="","",HOUR(A3749))</f>
        <v/>
      </c>
    </row>
    <row r="3750">
      <c r="A3750">
        <f>Input!A3750</f>
        <v/>
      </c>
      <c r="B3750">
        <f>IF(ISNUMBER(Input!B3750),IF(AND(Input!B3750&gt;=20,Input!B3750&lt;=700),Input!B3750,""),"")</f>
        <v/>
      </c>
      <c r="C3750">
        <f>IF(B3750="","",INT(A3750))</f>
        <v/>
      </c>
      <c r="D3750">
        <f>IF(B3750="","",HOUR(A3750))</f>
        <v/>
      </c>
    </row>
    <row r="3751">
      <c r="A3751">
        <f>Input!A3751</f>
        <v/>
      </c>
      <c r="B3751">
        <f>IF(ISNUMBER(Input!B3751),IF(AND(Input!B3751&gt;=20,Input!B3751&lt;=700),Input!B3751,""),"")</f>
        <v/>
      </c>
      <c r="C3751">
        <f>IF(B3751="","",INT(A3751))</f>
        <v/>
      </c>
      <c r="D3751">
        <f>IF(B3751="","",HOUR(A3751))</f>
        <v/>
      </c>
    </row>
    <row r="3752">
      <c r="A3752">
        <f>Input!A3752</f>
        <v/>
      </c>
      <c r="B3752">
        <f>IF(ISNUMBER(Input!B3752),IF(AND(Input!B3752&gt;=20,Input!B3752&lt;=700),Input!B3752,""),"")</f>
        <v/>
      </c>
      <c r="C3752">
        <f>IF(B3752="","",INT(A3752))</f>
        <v/>
      </c>
      <c r="D3752">
        <f>IF(B3752="","",HOUR(A3752))</f>
        <v/>
      </c>
    </row>
    <row r="3753">
      <c r="A3753">
        <f>Input!A3753</f>
        <v/>
      </c>
      <c r="B3753">
        <f>IF(ISNUMBER(Input!B3753),IF(AND(Input!B3753&gt;=20,Input!B3753&lt;=700),Input!B3753,""),"")</f>
        <v/>
      </c>
      <c r="C3753">
        <f>IF(B3753="","",INT(A3753))</f>
        <v/>
      </c>
      <c r="D3753">
        <f>IF(B3753="","",HOUR(A3753))</f>
        <v/>
      </c>
    </row>
    <row r="3754">
      <c r="A3754">
        <f>Input!A3754</f>
        <v/>
      </c>
      <c r="B3754">
        <f>IF(ISNUMBER(Input!B3754),IF(AND(Input!B3754&gt;=20,Input!B3754&lt;=700),Input!B3754,""),"")</f>
        <v/>
      </c>
      <c r="C3754">
        <f>IF(B3754="","",INT(A3754))</f>
        <v/>
      </c>
      <c r="D3754">
        <f>IF(B3754="","",HOUR(A3754))</f>
        <v/>
      </c>
    </row>
    <row r="3755">
      <c r="A3755">
        <f>Input!A3755</f>
        <v/>
      </c>
      <c r="B3755">
        <f>IF(ISNUMBER(Input!B3755),IF(AND(Input!B3755&gt;=20,Input!B3755&lt;=700),Input!B3755,""),"")</f>
        <v/>
      </c>
      <c r="C3755">
        <f>IF(B3755="","",INT(A3755))</f>
        <v/>
      </c>
      <c r="D3755">
        <f>IF(B3755="","",HOUR(A3755))</f>
        <v/>
      </c>
    </row>
    <row r="3756">
      <c r="A3756">
        <f>Input!A3756</f>
        <v/>
      </c>
      <c r="B3756">
        <f>IF(ISNUMBER(Input!B3756),IF(AND(Input!B3756&gt;=20,Input!B3756&lt;=700),Input!B3756,""),"")</f>
        <v/>
      </c>
      <c r="C3756">
        <f>IF(B3756="","",INT(A3756))</f>
        <v/>
      </c>
      <c r="D3756">
        <f>IF(B3756="","",HOUR(A3756))</f>
        <v/>
      </c>
    </row>
    <row r="3757">
      <c r="A3757">
        <f>Input!A3757</f>
        <v/>
      </c>
      <c r="B3757">
        <f>IF(ISNUMBER(Input!B3757),IF(AND(Input!B3757&gt;=20,Input!B3757&lt;=700),Input!B3757,""),"")</f>
        <v/>
      </c>
      <c r="C3757">
        <f>IF(B3757="","",INT(A3757))</f>
        <v/>
      </c>
      <c r="D3757">
        <f>IF(B3757="","",HOUR(A3757))</f>
        <v/>
      </c>
    </row>
    <row r="3758">
      <c r="A3758">
        <f>Input!A3758</f>
        <v/>
      </c>
      <c r="B3758">
        <f>IF(ISNUMBER(Input!B3758),IF(AND(Input!B3758&gt;=20,Input!B3758&lt;=700),Input!B3758,""),"")</f>
        <v/>
      </c>
      <c r="C3758">
        <f>IF(B3758="","",INT(A3758))</f>
        <v/>
      </c>
      <c r="D3758">
        <f>IF(B3758="","",HOUR(A3758))</f>
        <v/>
      </c>
    </row>
    <row r="3759">
      <c r="A3759">
        <f>Input!A3759</f>
        <v/>
      </c>
      <c r="B3759">
        <f>IF(ISNUMBER(Input!B3759),IF(AND(Input!B3759&gt;=20,Input!B3759&lt;=700),Input!B3759,""),"")</f>
        <v/>
      </c>
      <c r="C3759">
        <f>IF(B3759="","",INT(A3759))</f>
        <v/>
      </c>
      <c r="D3759">
        <f>IF(B3759="","",HOUR(A3759))</f>
        <v/>
      </c>
    </row>
    <row r="3760">
      <c r="A3760">
        <f>Input!A3760</f>
        <v/>
      </c>
      <c r="B3760">
        <f>IF(ISNUMBER(Input!B3760),IF(AND(Input!B3760&gt;=20,Input!B3760&lt;=700),Input!B3760,""),"")</f>
        <v/>
      </c>
      <c r="C3760">
        <f>IF(B3760="","",INT(A3760))</f>
        <v/>
      </c>
      <c r="D3760">
        <f>IF(B3760="","",HOUR(A3760))</f>
        <v/>
      </c>
    </row>
    <row r="3761">
      <c r="A3761">
        <f>Input!A3761</f>
        <v/>
      </c>
      <c r="B3761">
        <f>IF(ISNUMBER(Input!B3761),IF(AND(Input!B3761&gt;=20,Input!B3761&lt;=700),Input!B3761,""),"")</f>
        <v/>
      </c>
      <c r="C3761">
        <f>IF(B3761="","",INT(A3761))</f>
        <v/>
      </c>
      <c r="D3761">
        <f>IF(B3761="","",HOUR(A3761))</f>
        <v/>
      </c>
    </row>
    <row r="3762">
      <c r="A3762">
        <f>Input!A3762</f>
        <v/>
      </c>
      <c r="B3762">
        <f>IF(ISNUMBER(Input!B3762),IF(AND(Input!B3762&gt;=20,Input!B3762&lt;=700),Input!B3762,""),"")</f>
        <v/>
      </c>
      <c r="C3762">
        <f>IF(B3762="","",INT(A3762))</f>
        <v/>
      </c>
      <c r="D3762">
        <f>IF(B3762="","",HOUR(A3762))</f>
        <v/>
      </c>
    </row>
    <row r="3763">
      <c r="A3763">
        <f>Input!A3763</f>
        <v/>
      </c>
      <c r="B3763">
        <f>IF(ISNUMBER(Input!B3763),IF(AND(Input!B3763&gt;=20,Input!B3763&lt;=700),Input!B3763,""),"")</f>
        <v/>
      </c>
      <c r="C3763">
        <f>IF(B3763="","",INT(A3763))</f>
        <v/>
      </c>
      <c r="D3763">
        <f>IF(B3763="","",HOUR(A3763))</f>
        <v/>
      </c>
    </row>
    <row r="3764">
      <c r="A3764">
        <f>Input!A3764</f>
        <v/>
      </c>
      <c r="B3764">
        <f>IF(ISNUMBER(Input!B3764),IF(AND(Input!B3764&gt;=20,Input!B3764&lt;=700),Input!B3764,""),"")</f>
        <v/>
      </c>
      <c r="C3764">
        <f>IF(B3764="","",INT(A3764))</f>
        <v/>
      </c>
      <c r="D3764">
        <f>IF(B3764="","",HOUR(A3764))</f>
        <v/>
      </c>
    </row>
    <row r="3765">
      <c r="A3765">
        <f>Input!A3765</f>
        <v/>
      </c>
      <c r="B3765">
        <f>IF(ISNUMBER(Input!B3765),IF(AND(Input!B3765&gt;=20,Input!B3765&lt;=700),Input!B3765,""),"")</f>
        <v/>
      </c>
      <c r="C3765">
        <f>IF(B3765="","",INT(A3765))</f>
        <v/>
      </c>
      <c r="D3765">
        <f>IF(B3765="","",HOUR(A3765))</f>
        <v/>
      </c>
    </row>
    <row r="3766">
      <c r="A3766">
        <f>Input!A3766</f>
        <v/>
      </c>
      <c r="B3766">
        <f>IF(ISNUMBER(Input!B3766),IF(AND(Input!B3766&gt;=20,Input!B3766&lt;=700),Input!B3766,""),"")</f>
        <v/>
      </c>
      <c r="C3766">
        <f>IF(B3766="","",INT(A3766))</f>
        <v/>
      </c>
      <c r="D3766">
        <f>IF(B3766="","",HOUR(A3766))</f>
        <v/>
      </c>
    </row>
    <row r="3767">
      <c r="A3767">
        <f>Input!A3767</f>
        <v/>
      </c>
      <c r="B3767">
        <f>IF(ISNUMBER(Input!B3767),IF(AND(Input!B3767&gt;=20,Input!B3767&lt;=700),Input!B3767,""),"")</f>
        <v/>
      </c>
      <c r="C3767">
        <f>IF(B3767="","",INT(A3767))</f>
        <v/>
      </c>
      <c r="D3767">
        <f>IF(B3767="","",HOUR(A3767))</f>
        <v/>
      </c>
    </row>
    <row r="3768">
      <c r="A3768">
        <f>Input!A3768</f>
        <v/>
      </c>
      <c r="B3768">
        <f>IF(ISNUMBER(Input!B3768),IF(AND(Input!B3768&gt;=20,Input!B3768&lt;=700),Input!B3768,""),"")</f>
        <v/>
      </c>
      <c r="C3768">
        <f>IF(B3768="","",INT(A3768))</f>
        <v/>
      </c>
      <c r="D3768">
        <f>IF(B3768="","",HOUR(A3768))</f>
        <v/>
      </c>
    </row>
    <row r="3769">
      <c r="A3769">
        <f>Input!A3769</f>
        <v/>
      </c>
      <c r="B3769">
        <f>IF(ISNUMBER(Input!B3769),IF(AND(Input!B3769&gt;=20,Input!B3769&lt;=700),Input!B3769,""),"")</f>
        <v/>
      </c>
      <c r="C3769">
        <f>IF(B3769="","",INT(A3769))</f>
        <v/>
      </c>
      <c r="D3769">
        <f>IF(B3769="","",HOUR(A3769))</f>
        <v/>
      </c>
    </row>
    <row r="3770">
      <c r="A3770">
        <f>Input!A3770</f>
        <v/>
      </c>
      <c r="B3770">
        <f>IF(ISNUMBER(Input!B3770),IF(AND(Input!B3770&gt;=20,Input!B3770&lt;=700),Input!B3770,""),"")</f>
        <v/>
      </c>
      <c r="C3770">
        <f>IF(B3770="","",INT(A3770))</f>
        <v/>
      </c>
      <c r="D3770">
        <f>IF(B3770="","",HOUR(A3770))</f>
        <v/>
      </c>
    </row>
    <row r="3771">
      <c r="A3771">
        <f>Input!A3771</f>
        <v/>
      </c>
      <c r="B3771">
        <f>IF(ISNUMBER(Input!B3771),IF(AND(Input!B3771&gt;=20,Input!B3771&lt;=700),Input!B3771,""),"")</f>
        <v/>
      </c>
      <c r="C3771">
        <f>IF(B3771="","",INT(A3771))</f>
        <v/>
      </c>
      <c r="D3771">
        <f>IF(B3771="","",HOUR(A3771))</f>
        <v/>
      </c>
    </row>
    <row r="3772">
      <c r="A3772">
        <f>Input!A3772</f>
        <v/>
      </c>
      <c r="B3772">
        <f>IF(ISNUMBER(Input!B3772),IF(AND(Input!B3772&gt;=20,Input!B3772&lt;=700),Input!B3772,""),"")</f>
        <v/>
      </c>
      <c r="C3772">
        <f>IF(B3772="","",INT(A3772))</f>
        <v/>
      </c>
      <c r="D3772">
        <f>IF(B3772="","",HOUR(A3772))</f>
        <v/>
      </c>
    </row>
    <row r="3773">
      <c r="A3773">
        <f>Input!A3773</f>
        <v/>
      </c>
      <c r="B3773">
        <f>IF(ISNUMBER(Input!B3773),IF(AND(Input!B3773&gt;=20,Input!B3773&lt;=700),Input!B3773,""),"")</f>
        <v/>
      </c>
      <c r="C3773">
        <f>IF(B3773="","",INT(A3773))</f>
        <v/>
      </c>
      <c r="D3773">
        <f>IF(B3773="","",HOUR(A3773))</f>
        <v/>
      </c>
    </row>
    <row r="3774">
      <c r="A3774">
        <f>Input!A3774</f>
        <v/>
      </c>
      <c r="B3774">
        <f>IF(ISNUMBER(Input!B3774),IF(AND(Input!B3774&gt;=20,Input!B3774&lt;=700),Input!B3774,""),"")</f>
        <v/>
      </c>
      <c r="C3774">
        <f>IF(B3774="","",INT(A3774))</f>
        <v/>
      </c>
      <c r="D3774">
        <f>IF(B3774="","",HOUR(A3774))</f>
        <v/>
      </c>
    </row>
    <row r="3775">
      <c r="A3775">
        <f>Input!A3775</f>
        <v/>
      </c>
      <c r="B3775">
        <f>IF(ISNUMBER(Input!B3775),IF(AND(Input!B3775&gt;=20,Input!B3775&lt;=700),Input!B3775,""),"")</f>
        <v/>
      </c>
      <c r="C3775">
        <f>IF(B3775="","",INT(A3775))</f>
        <v/>
      </c>
      <c r="D3775">
        <f>IF(B3775="","",HOUR(A3775))</f>
        <v/>
      </c>
    </row>
    <row r="3776">
      <c r="A3776">
        <f>Input!A3776</f>
        <v/>
      </c>
      <c r="B3776">
        <f>IF(ISNUMBER(Input!B3776),IF(AND(Input!B3776&gt;=20,Input!B3776&lt;=700),Input!B3776,""),"")</f>
        <v/>
      </c>
      <c r="C3776">
        <f>IF(B3776="","",INT(A3776))</f>
        <v/>
      </c>
      <c r="D3776">
        <f>IF(B3776="","",HOUR(A3776))</f>
        <v/>
      </c>
    </row>
    <row r="3777">
      <c r="A3777">
        <f>Input!A3777</f>
        <v/>
      </c>
      <c r="B3777">
        <f>IF(ISNUMBER(Input!B3777),IF(AND(Input!B3777&gt;=20,Input!B3777&lt;=700),Input!B3777,""),"")</f>
        <v/>
      </c>
      <c r="C3777">
        <f>IF(B3777="","",INT(A3777))</f>
        <v/>
      </c>
      <c r="D3777">
        <f>IF(B3777="","",HOUR(A3777))</f>
        <v/>
      </c>
    </row>
    <row r="3778">
      <c r="A3778">
        <f>Input!A3778</f>
        <v/>
      </c>
      <c r="B3778">
        <f>IF(ISNUMBER(Input!B3778),IF(AND(Input!B3778&gt;=20,Input!B3778&lt;=700),Input!B3778,""),"")</f>
        <v/>
      </c>
      <c r="C3778">
        <f>IF(B3778="","",INT(A3778))</f>
        <v/>
      </c>
      <c r="D3778">
        <f>IF(B3778="","",HOUR(A3778))</f>
        <v/>
      </c>
    </row>
    <row r="3779">
      <c r="A3779">
        <f>Input!A3779</f>
        <v/>
      </c>
      <c r="B3779">
        <f>IF(ISNUMBER(Input!B3779),IF(AND(Input!B3779&gt;=20,Input!B3779&lt;=700),Input!B3779,""),"")</f>
        <v/>
      </c>
      <c r="C3779">
        <f>IF(B3779="","",INT(A3779))</f>
        <v/>
      </c>
      <c r="D3779">
        <f>IF(B3779="","",HOUR(A3779))</f>
        <v/>
      </c>
    </row>
    <row r="3780">
      <c r="A3780">
        <f>Input!A3780</f>
        <v/>
      </c>
      <c r="B3780">
        <f>IF(ISNUMBER(Input!B3780),IF(AND(Input!B3780&gt;=20,Input!B3780&lt;=700),Input!B3780,""),"")</f>
        <v/>
      </c>
      <c r="C3780">
        <f>IF(B3780="","",INT(A3780))</f>
        <v/>
      </c>
      <c r="D3780">
        <f>IF(B3780="","",HOUR(A3780))</f>
        <v/>
      </c>
    </row>
    <row r="3781">
      <c r="A3781">
        <f>Input!A3781</f>
        <v/>
      </c>
      <c r="B3781">
        <f>IF(ISNUMBER(Input!B3781),IF(AND(Input!B3781&gt;=20,Input!B3781&lt;=700),Input!B3781,""),"")</f>
        <v/>
      </c>
      <c r="C3781">
        <f>IF(B3781="","",INT(A3781))</f>
        <v/>
      </c>
      <c r="D3781">
        <f>IF(B3781="","",HOUR(A3781))</f>
        <v/>
      </c>
    </row>
    <row r="3782">
      <c r="A3782">
        <f>Input!A3782</f>
        <v/>
      </c>
      <c r="B3782">
        <f>IF(ISNUMBER(Input!B3782),IF(AND(Input!B3782&gt;=20,Input!B3782&lt;=700),Input!B3782,""),"")</f>
        <v/>
      </c>
      <c r="C3782">
        <f>IF(B3782="","",INT(A3782))</f>
        <v/>
      </c>
      <c r="D3782">
        <f>IF(B3782="","",HOUR(A3782))</f>
        <v/>
      </c>
    </row>
    <row r="3783">
      <c r="A3783">
        <f>Input!A3783</f>
        <v/>
      </c>
      <c r="B3783">
        <f>IF(ISNUMBER(Input!B3783),IF(AND(Input!B3783&gt;=20,Input!B3783&lt;=700),Input!B3783,""),"")</f>
        <v/>
      </c>
      <c r="C3783">
        <f>IF(B3783="","",INT(A3783))</f>
        <v/>
      </c>
      <c r="D3783">
        <f>IF(B3783="","",HOUR(A3783))</f>
        <v/>
      </c>
    </row>
    <row r="3784">
      <c r="A3784">
        <f>Input!A3784</f>
        <v/>
      </c>
      <c r="B3784">
        <f>IF(ISNUMBER(Input!B3784),IF(AND(Input!B3784&gt;=20,Input!B3784&lt;=700),Input!B3784,""),"")</f>
        <v/>
      </c>
      <c r="C3784">
        <f>IF(B3784="","",INT(A3784))</f>
        <v/>
      </c>
      <c r="D3784">
        <f>IF(B3784="","",HOUR(A3784))</f>
        <v/>
      </c>
    </row>
    <row r="3785">
      <c r="A3785">
        <f>Input!A3785</f>
        <v/>
      </c>
      <c r="B3785">
        <f>IF(ISNUMBER(Input!B3785),IF(AND(Input!B3785&gt;=20,Input!B3785&lt;=700),Input!B3785,""),"")</f>
        <v/>
      </c>
      <c r="C3785">
        <f>IF(B3785="","",INT(A3785))</f>
        <v/>
      </c>
      <c r="D3785">
        <f>IF(B3785="","",HOUR(A3785))</f>
        <v/>
      </c>
    </row>
    <row r="3786">
      <c r="A3786">
        <f>Input!A3786</f>
        <v/>
      </c>
      <c r="B3786">
        <f>IF(ISNUMBER(Input!B3786),IF(AND(Input!B3786&gt;=20,Input!B3786&lt;=700),Input!B3786,""),"")</f>
        <v/>
      </c>
      <c r="C3786">
        <f>IF(B3786="","",INT(A3786))</f>
        <v/>
      </c>
      <c r="D3786">
        <f>IF(B3786="","",HOUR(A3786))</f>
        <v/>
      </c>
    </row>
    <row r="3787">
      <c r="A3787">
        <f>Input!A3787</f>
        <v/>
      </c>
      <c r="B3787">
        <f>IF(ISNUMBER(Input!B3787),IF(AND(Input!B3787&gt;=20,Input!B3787&lt;=700),Input!B3787,""),"")</f>
        <v/>
      </c>
      <c r="C3787">
        <f>IF(B3787="","",INT(A3787))</f>
        <v/>
      </c>
      <c r="D3787">
        <f>IF(B3787="","",HOUR(A3787))</f>
        <v/>
      </c>
    </row>
    <row r="3788">
      <c r="A3788">
        <f>Input!A3788</f>
        <v/>
      </c>
      <c r="B3788">
        <f>IF(ISNUMBER(Input!B3788),IF(AND(Input!B3788&gt;=20,Input!B3788&lt;=700),Input!B3788,""),"")</f>
        <v/>
      </c>
      <c r="C3788">
        <f>IF(B3788="","",INT(A3788))</f>
        <v/>
      </c>
      <c r="D3788">
        <f>IF(B3788="","",HOUR(A3788))</f>
        <v/>
      </c>
    </row>
    <row r="3789">
      <c r="A3789">
        <f>Input!A3789</f>
        <v/>
      </c>
      <c r="B3789">
        <f>IF(ISNUMBER(Input!B3789),IF(AND(Input!B3789&gt;=20,Input!B3789&lt;=700),Input!B3789,""),"")</f>
        <v/>
      </c>
      <c r="C3789">
        <f>IF(B3789="","",INT(A3789))</f>
        <v/>
      </c>
      <c r="D3789">
        <f>IF(B3789="","",HOUR(A3789))</f>
        <v/>
      </c>
    </row>
    <row r="3790">
      <c r="A3790">
        <f>Input!A3790</f>
        <v/>
      </c>
      <c r="B3790">
        <f>IF(ISNUMBER(Input!B3790),IF(AND(Input!B3790&gt;=20,Input!B3790&lt;=700),Input!B3790,""),"")</f>
        <v/>
      </c>
      <c r="C3790">
        <f>IF(B3790="","",INT(A3790))</f>
        <v/>
      </c>
      <c r="D3790">
        <f>IF(B3790="","",HOUR(A3790))</f>
        <v/>
      </c>
    </row>
    <row r="3791">
      <c r="A3791">
        <f>Input!A3791</f>
        <v/>
      </c>
      <c r="B3791">
        <f>IF(ISNUMBER(Input!B3791),IF(AND(Input!B3791&gt;=20,Input!B3791&lt;=700),Input!B3791,""),"")</f>
        <v/>
      </c>
      <c r="C3791">
        <f>IF(B3791="","",INT(A3791))</f>
        <v/>
      </c>
      <c r="D3791">
        <f>IF(B3791="","",HOUR(A3791))</f>
        <v/>
      </c>
    </row>
    <row r="3792">
      <c r="A3792">
        <f>Input!A3792</f>
        <v/>
      </c>
      <c r="B3792">
        <f>IF(ISNUMBER(Input!B3792),IF(AND(Input!B3792&gt;=20,Input!B3792&lt;=700),Input!B3792,""),"")</f>
        <v/>
      </c>
      <c r="C3792">
        <f>IF(B3792="","",INT(A3792))</f>
        <v/>
      </c>
      <c r="D3792">
        <f>IF(B3792="","",HOUR(A3792))</f>
        <v/>
      </c>
    </row>
    <row r="3793">
      <c r="A3793">
        <f>Input!A3793</f>
        <v/>
      </c>
      <c r="B3793">
        <f>IF(ISNUMBER(Input!B3793),IF(AND(Input!B3793&gt;=20,Input!B3793&lt;=700),Input!B3793,""),"")</f>
        <v/>
      </c>
      <c r="C3793">
        <f>IF(B3793="","",INT(A3793))</f>
        <v/>
      </c>
      <c r="D3793">
        <f>IF(B3793="","",HOUR(A3793))</f>
        <v/>
      </c>
    </row>
    <row r="3794">
      <c r="A3794">
        <f>Input!A3794</f>
        <v/>
      </c>
      <c r="B3794">
        <f>IF(ISNUMBER(Input!B3794),IF(AND(Input!B3794&gt;=20,Input!B3794&lt;=700),Input!B3794,""),"")</f>
        <v/>
      </c>
      <c r="C3794">
        <f>IF(B3794="","",INT(A3794))</f>
        <v/>
      </c>
      <c r="D3794">
        <f>IF(B3794="","",HOUR(A3794))</f>
        <v/>
      </c>
    </row>
    <row r="3795">
      <c r="A3795">
        <f>Input!A3795</f>
        <v/>
      </c>
      <c r="B3795">
        <f>IF(ISNUMBER(Input!B3795),IF(AND(Input!B3795&gt;=20,Input!B3795&lt;=700),Input!B3795,""),"")</f>
        <v/>
      </c>
      <c r="C3795">
        <f>IF(B3795="","",INT(A3795))</f>
        <v/>
      </c>
      <c r="D3795">
        <f>IF(B3795="","",HOUR(A3795))</f>
        <v/>
      </c>
    </row>
    <row r="3796">
      <c r="A3796">
        <f>Input!A3796</f>
        <v/>
      </c>
      <c r="B3796">
        <f>IF(ISNUMBER(Input!B3796),IF(AND(Input!B3796&gt;=20,Input!B3796&lt;=700),Input!B3796,""),"")</f>
        <v/>
      </c>
      <c r="C3796">
        <f>IF(B3796="","",INT(A3796))</f>
        <v/>
      </c>
      <c r="D3796">
        <f>IF(B3796="","",HOUR(A3796))</f>
        <v/>
      </c>
    </row>
    <row r="3797">
      <c r="A3797">
        <f>Input!A3797</f>
        <v/>
      </c>
      <c r="B3797">
        <f>IF(ISNUMBER(Input!B3797),IF(AND(Input!B3797&gt;=20,Input!B3797&lt;=700),Input!B3797,""),"")</f>
        <v/>
      </c>
      <c r="C3797">
        <f>IF(B3797="","",INT(A3797))</f>
        <v/>
      </c>
      <c r="D3797">
        <f>IF(B3797="","",HOUR(A3797))</f>
        <v/>
      </c>
    </row>
    <row r="3798">
      <c r="A3798">
        <f>Input!A3798</f>
        <v/>
      </c>
      <c r="B3798">
        <f>IF(ISNUMBER(Input!B3798),IF(AND(Input!B3798&gt;=20,Input!B3798&lt;=700),Input!B3798,""),"")</f>
        <v/>
      </c>
      <c r="C3798">
        <f>IF(B3798="","",INT(A3798))</f>
        <v/>
      </c>
      <c r="D3798">
        <f>IF(B3798="","",HOUR(A3798))</f>
        <v/>
      </c>
    </row>
    <row r="3799">
      <c r="A3799">
        <f>Input!A3799</f>
        <v/>
      </c>
      <c r="B3799">
        <f>IF(ISNUMBER(Input!B3799),IF(AND(Input!B3799&gt;=20,Input!B3799&lt;=700),Input!B3799,""),"")</f>
        <v/>
      </c>
      <c r="C3799">
        <f>IF(B3799="","",INT(A3799))</f>
        <v/>
      </c>
      <c r="D3799">
        <f>IF(B3799="","",HOUR(A3799))</f>
        <v/>
      </c>
    </row>
    <row r="3800">
      <c r="A3800">
        <f>Input!A3800</f>
        <v/>
      </c>
      <c r="B3800">
        <f>IF(ISNUMBER(Input!B3800),IF(AND(Input!B3800&gt;=20,Input!B3800&lt;=700),Input!B3800,""),"")</f>
        <v/>
      </c>
      <c r="C3800">
        <f>IF(B3800="","",INT(A3800))</f>
        <v/>
      </c>
      <c r="D3800">
        <f>IF(B3800="","",HOUR(A3800))</f>
        <v/>
      </c>
    </row>
    <row r="3801">
      <c r="A3801">
        <f>Input!A3801</f>
        <v/>
      </c>
      <c r="B3801">
        <f>IF(ISNUMBER(Input!B3801),IF(AND(Input!B3801&gt;=20,Input!B3801&lt;=700),Input!B3801,""),"")</f>
        <v/>
      </c>
      <c r="C3801">
        <f>IF(B3801="","",INT(A3801))</f>
        <v/>
      </c>
      <c r="D3801">
        <f>IF(B3801="","",HOUR(A3801))</f>
        <v/>
      </c>
    </row>
    <row r="3802">
      <c r="A3802">
        <f>Input!A3802</f>
        <v/>
      </c>
      <c r="B3802">
        <f>IF(ISNUMBER(Input!B3802),IF(AND(Input!B3802&gt;=20,Input!B3802&lt;=700),Input!B3802,""),"")</f>
        <v/>
      </c>
      <c r="C3802">
        <f>IF(B3802="","",INT(A3802))</f>
        <v/>
      </c>
      <c r="D3802">
        <f>IF(B3802="","",HOUR(A3802))</f>
        <v/>
      </c>
    </row>
    <row r="3803">
      <c r="A3803">
        <f>Input!A3803</f>
        <v/>
      </c>
      <c r="B3803">
        <f>IF(ISNUMBER(Input!B3803),IF(AND(Input!B3803&gt;=20,Input!B3803&lt;=700),Input!B3803,""),"")</f>
        <v/>
      </c>
      <c r="C3803">
        <f>IF(B3803="","",INT(A3803))</f>
        <v/>
      </c>
      <c r="D3803">
        <f>IF(B3803="","",HOUR(A3803))</f>
        <v/>
      </c>
    </row>
    <row r="3804">
      <c r="A3804">
        <f>Input!A3804</f>
        <v/>
      </c>
      <c r="B3804">
        <f>IF(ISNUMBER(Input!B3804),IF(AND(Input!B3804&gt;=20,Input!B3804&lt;=700),Input!B3804,""),"")</f>
        <v/>
      </c>
      <c r="C3804">
        <f>IF(B3804="","",INT(A3804))</f>
        <v/>
      </c>
      <c r="D3804">
        <f>IF(B3804="","",HOUR(A3804))</f>
        <v/>
      </c>
    </row>
    <row r="3805">
      <c r="A3805">
        <f>Input!A3805</f>
        <v/>
      </c>
      <c r="B3805">
        <f>IF(ISNUMBER(Input!B3805),IF(AND(Input!B3805&gt;=20,Input!B3805&lt;=700),Input!B3805,""),"")</f>
        <v/>
      </c>
      <c r="C3805">
        <f>IF(B3805="","",INT(A3805))</f>
        <v/>
      </c>
      <c r="D3805">
        <f>IF(B3805="","",HOUR(A3805))</f>
        <v/>
      </c>
    </row>
    <row r="3806">
      <c r="A3806">
        <f>Input!A3806</f>
        <v/>
      </c>
      <c r="B3806">
        <f>IF(ISNUMBER(Input!B3806),IF(AND(Input!B3806&gt;=20,Input!B3806&lt;=700),Input!B3806,""),"")</f>
        <v/>
      </c>
      <c r="C3806">
        <f>IF(B3806="","",INT(A3806))</f>
        <v/>
      </c>
      <c r="D3806">
        <f>IF(B3806="","",HOUR(A3806))</f>
        <v/>
      </c>
    </row>
    <row r="3807">
      <c r="A3807">
        <f>Input!A3807</f>
        <v/>
      </c>
      <c r="B3807">
        <f>IF(ISNUMBER(Input!B3807),IF(AND(Input!B3807&gt;=20,Input!B3807&lt;=700),Input!B3807,""),"")</f>
        <v/>
      </c>
      <c r="C3807">
        <f>IF(B3807="","",INT(A3807))</f>
        <v/>
      </c>
      <c r="D3807">
        <f>IF(B3807="","",HOUR(A3807))</f>
        <v/>
      </c>
    </row>
    <row r="3808">
      <c r="A3808">
        <f>Input!A3808</f>
        <v/>
      </c>
      <c r="B3808">
        <f>IF(ISNUMBER(Input!B3808),IF(AND(Input!B3808&gt;=20,Input!B3808&lt;=700),Input!B3808,""),"")</f>
        <v/>
      </c>
      <c r="C3808">
        <f>IF(B3808="","",INT(A3808))</f>
        <v/>
      </c>
      <c r="D3808">
        <f>IF(B3808="","",HOUR(A3808))</f>
        <v/>
      </c>
    </row>
    <row r="3809">
      <c r="A3809">
        <f>Input!A3809</f>
        <v/>
      </c>
      <c r="B3809">
        <f>IF(ISNUMBER(Input!B3809),IF(AND(Input!B3809&gt;=20,Input!B3809&lt;=700),Input!B3809,""),"")</f>
        <v/>
      </c>
      <c r="C3809">
        <f>IF(B3809="","",INT(A3809))</f>
        <v/>
      </c>
      <c r="D3809">
        <f>IF(B3809="","",HOUR(A3809))</f>
        <v/>
      </c>
    </row>
    <row r="3810">
      <c r="A3810">
        <f>Input!A3810</f>
        <v/>
      </c>
      <c r="B3810">
        <f>IF(ISNUMBER(Input!B3810),IF(AND(Input!B3810&gt;=20,Input!B3810&lt;=700),Input!B3810,""),"")</f>
        <v/>
      </c>
      <c r="C3810">
        <f>IF(B3810="","",INT(A3810))</f>
        <v/>
      </c>
      <c r="D3810">
        <f>IF(B3810="","",HOUR(A3810))</f>
        <v/>
      </c>
    </row>
    <row r="3811">
      <c r="A3811">
        <f>Input!A3811</f>
        <v/>
      </c>
      <c r="B3811">
        <f>IF(ISNUMBER(Input!B3811),IF(AND(Input!B3811&gt;=20,Input!B3811&lt;=700),Input!B3811,""),"")</f>
        <v/>
      </c>
      <c r="C3811">
        <f>IF(B3811="","",INT(A3811))</f>
        <v/>
      </c>
      <c r="D3811">
        <f>IF(B3811="","",HOUR(A3811))</f>
        <v/>
      </c>
    </row>
    <row r="3812">
      <c r="A3812">
        <f>Input!A3812</f>
        <v/>
      </c>
      <c r="B3812">
        <f>IF(ISNUMBER(Input!B3812),IF(AND(Input!B3812&gt;=20,Input!B3812&lt;=700),Input!B3812,""),"")</f>
        <v/>
      </c>
      <c r="C3812">
        <f>IF(B3812="","",INT(A3812))</f>
        <v/>
      </c>
      <c r="D3812">
        <f>IF(B3812="","",HOUR(A3812))</f>
        <v/>
      </c>
    </row>
    <row r="3813">
      <c r="A3813">
        <f>Input!A3813</f>
        <v/>
      </c>
      <c r="B3813">
        <f>IF(ISNUMBER(Input!B3813),IF(AND(Input!B3813&gt;=20,Input!B3813&lt;=700),Input!B3813,""),"")</f>
        <v/>
      </c>
      <c r="C3813">
        <f>IF(B3813="","",INT(A3813))</f>
        <v/>
      </c>
      <c r="D3813">
        <f>IF(B3813="","",HOUR(A3813))</f>
        <v/>
      </c>
    </row>
    <row r="3814">
      <c r="A3814">
        <f>Input!A3814</f>
        <v/>
      </c>
      <c r="B3814">
        <f>IF(ISNUMBER(Input!B3814),IF(AND(Input!B3814&gt;=20,Input!B3814&lt;=700),Input!B3814,""),"")</f>
        <v/>
      </c>
      <c r="C3814">
        <f>IF(B3814="","",INT(A3814))</f>
        <v/>
      </c>
      <c r="D3814">
        <f>IF(B3814="","",HOUR(A3814))</f>
        <v/>
      </c>
    </row>
    <row r="3815">
      <c r="A3815">
        <f>Input!A3815</f>
        <v/>
      </c>
      <c r="B3815">
        <f>IF(ISNUMBER(Input!B3815),IF(AND(Input!B3815&gt;=20,Input!B3815&lt;=700),Input!B3815,""),"")</f>
        <v/>
      </c>
      <c r="C3815">
        <f>IF(B3815="","",INT(A3815))</f>
        <v/>
      </c>
      <c r="D3815">
        <f>IF(B3815="","",HOUR(A3815))</f>
        <v/>
      </c>
    </row>
    <row r="3816">
      <c r="A3816">
        <f>Input!A3816</f>
        <v/>
      </c>
      <c r="B3816">
        <f>IF(ISNUMBER(Input!B3816),IF(AND(Input!B3816&gt;=20,Input!B3816&lt;=700),Input!B3816,""),"")</f>
        <v/>
      </c>
      <c r="C3816">
        <f>IF(B3816="","",INT(A3816))</f>
        <v/>
      </c>
      <c r="D3816">
        <f>IF(B3816="","",HOUR(A3816))</f>
        <v/>
      </c>
    </row>
    <row r="3817">
      <c r="A3817">
        <f>Input!A3817</f>
        <v/>
      </c>
      <c r="B3817">
        <f>IF(ISNUMBER(Input!B3817),IF(AND(Input!B3817&gt;=20,Input!B3817&lt;=700),Input!B3817,""),"")</f>
        <v/>
      </c>
      <c r="C3817">
        <f>IF(B3817="","",INT(A3817))</f>
        <v/>
      </c>
      <c r="D3817">
        <f>IF(B3817="","",HOUR(A3817))</f>
        <v/>
      </c>
    </row>
    <row r="3818">
      <c r="A3818">
        <f>Input!A3818</f>
        <v/>
      </c>
      <c r="B3818">
        <f>IF(ISNUMBER(Input!B3818),IF(AND(Input!B3818&gt;=20,Input!B3818&lt;=700),Input!B3818,""),"")</f>
        <v/>
      </c>
      <c r="C3818">
        <f>IF(B3818="","",INT(A3818))</f>
        <v/>
      </c>
      <c r="D3818">
        <f>IF(B3818="","",HOUR(A3818))</f>
        <v/>
      </c>
    </row>
    <row r="3819">
      <c r="A3819">
        <f>Input!A3819</f>
        <v/>
      </c>
      <c r="B3819">
        <f>IF(ISNUMBER(Input!B3819),IF(AND(Input!B3819&gt;=20,Input!B3819&lt;=700),Input!B3819,""),"")</f>
        <v/>
      </c>
      <c r="C3819">
        <f>IF(B3819="","",INT(A3819))</f>
        <v/>
      </c>
      <c r="D3819">
        <f>IF(B3819="","",HOUR(A3819))</f>
        <v/>
      </c>
    </row>
    <row r="3820">
      <c r="A3820">
        <f>Input!A3820</f>
        <v/>
      </c>
      <c r="B3820">
        <f>IF(ISNUMBER(Input!B3820),IF(AND(Input!B3820&gt;=20,Input!B3820&lt;=700),Input!B3820,""),"")</f>
        <v/>
      </c>
      <c r="C3820">
        <f>IF(B3820="","",INT(A3820))</f>
        <v/>
      </c>
      <c r="D3820">
        <f>IF(B3820="","",HOUR(A3820))</f>
        <v/>
      </c>
    </row>
    <row r="3821">
      <c r="A3821">
        <f>Input!A3821</f>
        <v/>
      </c>
      <c r="B3821">
        <f>IF(ISNUMBER(Input!B3821),IF(AND(Input!B3821&gt;=20,Input!B3821&lt;=700),Input!B3821,""),"")</f>
        <v/>
      </c>
      <c r="C3821">
        <f>IF(B3821="","",INT(A3821))</f>
        <v/>
      </c>
      <c r="D3821">
        <f>IF(B3821="","",HOUR(A3821))</f>
        <v/>
      </c>
    </row>
    <row r="3822">
      <c r="A3822">
        <f>Input!A3822</f>
        <v/>
      </c>
      <c r="B3822">
        <f>IF(ISNUMBER(Input!B3822),IF(AND(Input!B3822&gt;=20,Input!B3822&lt;=700),Input!B3822,""),"")</f>
        <v/>
      </c>
      <c r="C3822">
        <f>IF(B3822="","",INT(A3822))</f>
        <v/>
      </c>
      <c r="D3822">
        <f>IF(B3822="","",HOUR(A3822))</f>
        <v/>
      </c>
    </row>
    <row r="3823">
      <c r="A3823">
        <f>Input!A3823</f>
        <v/>
      </c>
      <c r="B3823">
        <f>IF(ISNUMBER(Input!B3823),IF(AND(Input!B3823&gt;=20,Input!B3823&lt;=700),Input!B3823,""),"")</f>
        <v/>
      </c>
      <c r="C3823">
        <f>IF(B3823="","",INT(A3823))</f>
        <v/>
      </c>
      <c r="D3823">
        <f>IF(B3823="","",HOUR(A3823))</f>
        <v/>
      </c>
    </row>
    <row r="3824">
      <c r="A3824">
        <f>Input!A3824</f>
        <v/>
      </c>
      <c r="B3824">
        <f>IF(ISNUMBER(Input!B3824),IF(AND(Input!B3824&gt;=20,Input!B3824&lt;=700),Input!B3824,""),"")</f>
        <v/>
      </c>
      <c r="C3824">
        <f>IF(B3824="","",INT(A3824))</f>
        <v/>
      </c>
      <c r="D3824">
        <f>IF(B3824="","",HOUR(A3824))</f>
        <v/>
      </c>
    </row>
    <row r="3825">
      <c r="A3825">
        <f>Input!A3825</f>
        <v/>
      </c>
      <c r="B3825">
        <f>IF(ISNUMBER(Input!B3825),IF(AND(Input!B3825&gt;=20,Input!B3825&lt;=700),Input!B3825,""),"")</f>
        <v/>
      </c>
      <c r="C3825">
        <f>IF(B3825="","",INT(A3825))</f>
        <v/>
      </c>
      <c r="D3825">
        <f>IF(B3825="","",HOUR(A3825))</f>
        <v/>
      </c>
    </row>
    <row r="3826">
      <c r="A3826">
        <f>Input!A3826</f>
        <v/>
      </c>
      <c r="B3826">
        <f>IF(ISNUMBER(Input!B3826),IF(AND(Input!B3826&gt;=20,Input!B3826&lt;=700),Input!B3826,""),"")</f>
        <v/>
      </c>
      <c r="C3826">
        <f>IF(B3826="","",INT(A3826))</f>
        <v/>
      </c>
      <c r="D3826">
        <f>IF(B3826="","",HOUR(A3826))</f>
        <v/>
      </c>
    </row>
    <row r="3827">
      <c r="A3827">
        <f>Input!A3827</f>
        <v/>
      </c>
      <c r="B3827">
        <f>IF(ISNUMBER(Input!B3827),IF(AND(Input!B3827&gt;=20,Input!B3827&lt;=700),Input!B3827,""),"")</f>
        <v/>
      </c>
      <c r="C3827">
        <f>IF(B3827="","",INT(A3827))</f>
        <v/>
      </c>
      <c r="D3827">
        <f>IF(B3827="","",HOUR(A3827))</f>
        <v/>
      </c>
    </row>
    <row r="3828">
      <c r="A3828">
        <f>Input!A3828</f>
        <v/>
      </c>
      <c r="B3828">
        <f>IF(ISNUMBER(Input!B3828),IF(AND(Input!B3828&gt;=20,Input!B3828&lt;=700),Input!B3828,""),"")</f>
        <v/>
      </c>
      <c r="C3828">
        <f>IF(B3828="","",INT(A3828))</f>
        <v/>
      </c>
      <c r="D3828">
        <f>IF(B3828="","",HOUR(A3828))</f>
        <v/>
      </c>
    </row>
    <row r="3829">
      <c r="A3829">
        <f>Input!A3829</f>
        <v/>
      </c>
      <c r="B3829">
        <f>IF(ISNUMBER(Input!B3829),IF(AND(Input!B3829&gt;=20,Input!B3829&lt;=700),Input!B3829,""),"")</f>
        <v/>
      </c>
      <c r="C3829">
        <f>IF(B3829="","",INT(A3829))</f>
        <v/>
      </c>
      <c r="D3829">
        <f>IF(B3829="","",HOUR(A3829))</f>
        <v/>
      </c>
    </row>
    <row r="3830">
      <c r="A3830">
        <f>Input!A3830</f>
        <v/>
      </c>
      <c r="B3830">
        <f>IF(ISNUMBER(Input!B3830),IF(AND(Input!B3830&gt;=20,Input!B3830&lt;=700),Input!B3830,""),"")</f>
        <v/>
      </c>
      <c r="C3830">
        <f>IF(B3830="","",INT(A3830))</f>
        <v/>
      </c>
      <c r="D3830">
        <f>IF(B3830="","",HOUR(A3830))</f>
        <v/>
      </c>
    </row>
    <row r="3831">
      <c r="A3831">
        <f>Input!A3831</f>
        <v/>
      </c>
      <c r="B3831">
        <f>IF(ISNUMBER(Input!B3831),IF(AND(Input!B3831&gt;=20,Input!B3831&lt;=700),Input!B3831,""),"")</f>
        <v/>
      </c>
      <c r="C3831">
        <f>IF(B3831="","",INT(A3831))</f>
        <v/>
      </c>
      <c r="D3831">
        <f>IF(B3831="","",HOUR(A3831))</f>
        <v/>
      </c>
    </row>
    <row r="3832">
      <c r="A3832">
        <f>Input!A3832</f>
        <v/>
      </c>
      <c r="B3832">
        <f>IF(ISNUMBER(Input!B3832),IF(AND(Input!B3832&gt;=20,Input!B3832&lt;=700),Input!B3832,""),"")</f>
        <v/>
      </c>
      <c r="C3832">
        <f>IF(B3832="","",INT(A3832))</f>
        <v/>
      </c>
      <c r="D3832">
        <f>IF(B3832="","",HOUR(A3832))</f>
        <v/>
      </c>
    </row>
    <row r="3833">
      <c r="A3833">
        <f>Input!A3833</f>
        <v/>
      </c>
      <c r="B3833">
        <f>IF(ISNUMBER(Input!B3833),IF(AND(Input!B3833&gt;=20,Input!B3833&lt;=700),Input!B3833,""),"")</f>
        <v/>
      </c>
      <c r="C3833">
        <f>IF(B3833="","",INT(A3833))</f>
        <v/>
      </c>
      <c r="D3833">
        <f>IF(B3833="","",HOUR(A3833))</f>
        <v/>
      </c>
    </row>
    <row r="3834">
      <c r="A3834">
        <f>Input!A3834</f>
        <v/>
      </c>
      <c r="B3834">
        <f>IF(ISNUMBER(Input!B3834),IF(AND(Input!B3834&gt;=20,Input!B3834&lt;=700),Input!B3834,""),"")</f>
        <v/>
      </c>
      <c r="C3834">
        <f>IF(B3834="","",INT(A3834))</f>
        <v/>
      </c>
      <c r="D3834">
        <f>IF(B3834="","",HOUR(A3834))</f>
        <v/>
      </c>
    </row>
    <row r="3835">
      <c r="A3835">
        <f>Input!A3835</f>
        <v/>
      </c>
      <c r="B3835">
        <f>IF(ISNUMBER(Input!B3835),IF(AND(Input!B3835&gt;=20,Input!B3835&lt;=700),Input!B3835,""),"")</f>
        <v/>
      </c>
      <c r="C3835">
        <f>IF(B3835="","",INT(A3835))</f>
        <v/>
      </c>
      <c r="D3835">
        <f>IF(B3835="","",HOUR(A3835))</f>
        <v/>
      </c>
    </row>
    <row r="3836">
      <c r="A3836">
        <f>Input!A3836</f>
        <v/>
      </c>
      <c r="B3836">
        <f>IF(ISNUMBER(Input!B3836),IF(AND(Input!B3836&gt;=20,Input!B3836&lt;=700),Input!B3836,""),"")</f>
        <v/>
      </c>
      <c r="C3836">
        <f>IF(B3836="","",INT(A3836))</f>
        <v/>
      </c>
      <c r="D3836">
        <f>IF(B3836="","",HOUR(A3836))</f>
        <v/>
      </c>
    </row>
    <row r="3837">
      <c r="A3837">
        <f>Input!A3837</f>
        <v/>
      </c>
      <c r="B3837">
        <f>IF(ISNUMBER(Input!B3837),IF(AND(Input!B3837&gt;=20,Input!B3837&lt;=700),Input!B3837,""),"")</f>
        <v/>
      </c>
      <c r="C3837">
        <f>IF(B3837="","",INT(A3837))</f>
        <v/>
      </c>
      <c r="D3837">
        <f>IF(B3837="","",HOUR(A3837))</f>
        <v/>
      </c>
    </row>
    <row r="3838">
      <c r="A3838">
        <f>Input!A3838</f>
        <v/>
      </c>
      <c r="B3838">
        <f>IF(ISNUMBER(Input!B3838),IF(AND(Input!B3838&gt;=20,Input!B3838&lt;=700),Input!B3838,""),"")</f>
        <v/>
      </c>
      <c r="C3838">
        <f>IF(B3838="","",INT(A3838))</f>
        <v/>
      </c>
      <c r="D3838">
        <f>IF(B3838="","",HOUR(A3838))</f>
        <v/>
      </c>
    </row>
    <row r="3839">
      <c r="A3839">
        <f>Input!A3839</f>
        <v/>
      </c>
      <c r="B3839">
        <f>IF(ISNUMBER(Input!B3839),IF(AND(Input!B3839&gt;=20,Input!B3839&lt;=700),Input!B3839,""),"")</f>
        <v/>
      </c>
      <c r="C3839">
        <f>IF(B3839="","",INT(A3839))</f>
        <v/>
      </c>
      <c r="D3839">
        <f>IF(B3839="","",HOUR(A3839))</f>
        <v/>
      </c>
    </row>
    <row r="3840">
      <c r="A3840">
        <f>Input!A3840</f>
        <v/>
      </c>
      <c r="B3840">
        <f>IF(ISNUMBER(Input!B3840),IF(AND(Input!B3840&gt;=20,Input!B3840&lt;=700),Input!B3840,""),"")</f>
        <v/>
      </c>
      <c r="C3840">
        <f>IF(B3840="","",INT(A3840))</f>
        <v/>
      </c>
      <c r="D3840">
        <f>IF(B3840="","",HOUR(A3840))</f>
        <v/>
      </c>
    </row>
    <row r="3841">
      <c r="A3841">
        <f>Input!A3841</f>
        <v/>
      </c>
      <c r="B3841">
        <f>IF(ISNUMBER(Input!B3841),IF(AND(Input!B3841&gt;=20,Input!B3841&lt;=700),Input!B3841,""),"")</f>
        <v/>
      </c>
      <c r="C3841">
        <f>IF(B3841="","",INT(A3841))</f>
        <v/>
      </c>
      <c r="D3841">
        <f>IF(B3841="","",HOUR(A3841))</f>
        <v/>
      </c>
    </row>
    <row r="3842">
      <c r="A3842">
        <f>Input!A3842</f>
        <v/>
      </c>
      <c r="B3842">
        <f>IF(ISNUMBER(Input!B3842),IF(AND(Input!B3842&gt;=20,Input!B3842&lt;=700),Input!B3842,""),"")</f>
        <v/>
      </c>
      <c r="C3842">
        <f>IF(B3842="","",INT(A3842))</f>
        <v/>
      </c>
      <c r="D3842">
        <f>IF(B3842="","",HOUR(A3842))</f>
        <v/>
      </c>
    </row>
    <row r="3843">
      <c r="A3843">
        <f>Input!A3843</f>
        <v/>
      </c>
      <c r="B3843">
        <f>IF(ISNUMBER(Input!B3843),IF(AND(Input!B3843&gt;=20,Input!B3843&lt;=700),Input!B3843,""),"")</f>
        <v/>
      </c>
      <c r="C3843">
        <f>IF(B3843="","",INT(A3843))</f>
        <v/>
      </c>
      <c r="D3843">
        <f>IF(B3843="","",HOUR(A3843))</f>
        <v/>
      </c>
    </row>
    <row r="3844">
      <c r="A3844">
        <f>Input!A3844</f>
        <v/>
      </c>
      <c r="B3844">
        <f>IF(ISNUMBER(Input!B3844),IF(AND(Input!B3844&gt;=20,Input!B3844&lt;=700),Input!B3844,""),"")</f>
        <v/>
      </c>
      <c r="C3844">
        <f>IF(B3844="","",INT(A3844))</f>
        <v/>
      </c>
      <c r="D3844">
        <f>IF(B3844="","",HOUR(A3844))</f>
        <v/>
      </c>
    </row>
    <row r="3845">
      <c r="A3845">
        <f>Input!A3845</f>
        <v/>
      </c>
      <c r="B3845">
        <f>IF(ISNUMBER(Input!B3845),IF(AND(Input!B3845&gt;=20,Input!B3845&lt;=700),Input!B3845,""),"")</f>
        <v/>
      </c>
      <c r="C3845">
        <f>IF(B3845="","",INT(A3845))</f>
        <v/>
      </c>
      <c r="D3845">
        <f>IF(B3845="","",HOUR(A3845))</f>
        <v/>
      </c>
    </row>
    <row r="3846">
      <c r="A3846">
        <f>Input!A3846</f>
        <v/>
      </c>
      <c r="B3846">
        <f>IF(ISNUMBER(Input!B3846),IF(AND(Input!B3846&gt;=20,Input!B3846&lt;=700),Input!B3846,""),"")</f>
        <v/>
      </c>
      <c r="C3846">
        <f>IF(B3846="","",INT(A3846))</f>
        <v/>
      </c>
      <c r="D3846">
        <f>IF(B3846="","",HOUR(A3846))</f>
        <v/>
      </c>
    </row>
    <row r="3847">
      <c r="A3847">
        <f>Input!A3847</f>
        <v/>
      </c>
      <c r="B3847">
        <f>IF(ISNUMBER(Input!B3847),IF(AND(Input!B3847&gt;=20,Input!B3847&lt;=700),Input!B3847,""),"")</f>
        <v/>
      </c>
      <c r="C3847">
        <f>IF(B3847="","",INT(A3847))</f>
        <v/>
      </c>
      <c r="D3847">
        <f>IF(B3847="","",HOUR(A3847))</f>
        <v/>
      </c>
    </row>
    <row r="3848">
      <c r="A3848">
        <f>Input!A3848</f>
        <v/>
      </c>
      <c r="B3848">
        <f>IF(ISNUMBER(Input!B3848),IF(AND(Input!B3848&gt;=20,Input!B3848&lt;=700),Input!B3848,""),"")</f>
        <v/>
      </c>
      <c r="C3848">
        <f>IF(B3848="","",INT(A3848))</f>
        <v/>
      </c>
      <c r="D3848">
        <f>IF(B3848="","",HOUR(A3848))</f>
        <v/>
      </c>
    </row>
    <row r="3849">
      <c r="A3849">
        <f>Input!A3849</f>
        <v/>
      </c>
      <c r="B3849">
        <f>IF(ISNUMBER(Input!B3849),IF(AND(Input!B3849&gt;=20,Input!B3849&lt;=700),Input!B3849,""),"")</f>
        <v/>
      </c>
      <c r="C3849">
        <f>IF(B3849="","",INT(A3849))</f>
        <v/>
      </c>
      <c r="D3849">
        <f>IF(B3849="","",HOUR(A3849))</f>
        <v/>
      </c>
    </row>
    <row r="3850">
      <c r="A3850">
        <f>Input!A3850</f>
        <v/>
      </c>
      <c r="B3850">
        <f>IF(ISNUMBER(Input!B3850),IF(AND(Input!B3850&gt;=20,Input!B3850&lt;=700),Input!B3850,""),"")</f>
        <v/>
      </c>
      <c r="C3850">
        <f>IF(B3850="","",INT(A3850))</f>
        <v/>
      </c>
      <c r="D3850">
        <f>IF(B3850="","",HOUR(A3850))</f>
        <v/>
      </c>
    </row>
    <row r="3851">
      <c r="A3851">
        <f>Input!A3851</f>
        <v/>
      </c>
      <c r="B3851">
        <f>IF(ISNUMBER(Input!B3851),IF(AND(Input!B3851&gt;=20,Input!B3851&lt;=700),Input!B3851,""),"")</f>
        <v/>
      </c>
      <c r="C3851">
        <f>IF(B3851="","",INT(A3851))</f>
        <v/>
      </c>
      <c r="D3851">
        <f>IF(B3851="","",HOUR(A3851))</f>
        <v/>
      </c>
    </row>
    <row r="3852">
      <c r="A3852">
        <f>Input!A3852</f>
        <v/>
      </c>
      <c r="B3852">
        <f>IF(ISNUMBER(Input!B3852),IF(AND(Input!B3852&gt;=20,Input!B3852&lt;=700),Input!B3852,""),"")</f>
        <v/>
      </c>
      <c r="C3852">
        <f>IF(B3852="","",INT(A3852))</f>
        <v/>
      </c>
      <c r="D3852">
        <f>IF(B3852="","",HOUR(A3852))</f>
        <v/>
      </c>
    </row>
    <row r="3853">
      <c r="A3853">
        <f>Input!A3853</f>
        <v/>
      </c>
      <c r="B3853">
        <f>IF(ISNUMBER(Input!B3853),IF(AND(Input!B3853&gt;=20,Input!B3853&lt;=700),Input!B3853,""),"")</f>
        <v/>
      </c>
      <c r="C3853">
        <f>IF(B3853="","",INT(A3853))</f>
        <v/>
      </c>
      <c r="D3853">
        <f>IF(B3853="","",HOUR(A3853))</f>
        <v/>
      </c>
    </row>
    <row r="3854">
      <c r="A3854">
        <f>Input!A3854</f>
        <v/>
      </c>
      <c r="B3854">
        <f>IF(ISNUMBER(Input!B3854),IF(AND(Input!B3854&gt;=20,Input!B3854&lt;=700),Input!B3854,""),"")</f>
        <v/>
      </c>
      <c r="C3854">
        <f>IF(B3854="","",INT(A3854))</f>
        <v/>
      </c>
      <c r="D3854">
        <f>IF(B3854="","",HOUR(A3854))</f>
        <v/>
      </c>
    </row>
    <row r="3855">
      <c r="A3855">
        <f>Input!A3855</f>
        <v/>
      </c>
      <c r="B3855">
        <f>IF(ISNUMBER(Input!B3855),IF(AND(Input!B3855&gt;=20,Input!B3855&lt;=700),Input!B3855,""),"")</f>
        <v/>
      </c>
      <c r="C3855">
        <f>IF(B3855="","",INT(A3855))</f>
        <v/>
      </c>
      <c r="D3855">
        <f>IF(B3855="","",HOUR(A3855))</f>
        <v/>
      </c>
    </row>
    <row r="3856">
      <c r="A3856">
        <f>Input!A3856</f>
        <v/>
      </c>
      <c r="B3856">
        <f>IF(ISNUMBER(Input!B3856),IF(AND(Input!B3856&gt;=20,Input!B3856&lt;=700),Input!B3856,""),"")</f>
        <v/>
      </c>
      <c r="C3856">
        <f>IF(B3856="","",INT(A3856))</f>
        <v/>
      </c>
      <c r="D3856">
        <f>IF(B3856="","",HOUR(A3856))</f>
        <v/>
      </c>
    </row>
    <row r="3857">
      <c r="A3857">
        <f>Input!A3857</f>
        <v/>
      </c>
      <c r="B3857">
        <f>IF(ISNUMBER(Input!B3857),IF(AND(Input!B3857&gt;=20,Input!B3857&lt;=700),Input!B3857,""),"")</f>
        <v/>
      </c>
      <c r="C3857">
        <f>IF(B3857="","",INT(A3857))</f>
        <v/>
      </c>
      <c r="D3857">
        <f>IF(B3857="","",HOUR(A3857))</f>
        <v/>
      </c>
    </row>
    <row r="3858">
      <c r="A3858">
        <f>Input!A3858</f>
        <v/>
      </c>
      <c r="B3858">
        <f>IF(ISNUMBER(Input!B3858),IF(AND(Input!B3858&gt;=20,Input!B3858&lt;=700),Input!B3858,""),"")</f>
        <v/>
      </c>
      <c r="C3858">
        <f>IF(B3858="","",INT(A3858))</f>
        <v/>
      </c>
      <c r="D3858">
        <f>IF(B3858="","",HOUR(A3858))</f>
        <v/>
      </c>
    </row>
    <row r="3859">
      <c r="A3859">
        <f>Input!A3859</f>
        <v/>
      </c>
      <c r="B3859">
        <f>IF(ISNUMBER(Input!B3859),IF(AND(Input!B3859&gt;=20,Input!B3859&lt;=700),Input!B3859,""),"")</f>
        <v/>
      </c>
      <c r="C3859">
        <f>IF(B3859="","",INT(A3859))</f>
        <v/>
      </c>
      <c r="D3859">
        <f>IF(B3859="","",HOUR(A3859))</f>
        <v/>
      </c>
    </row>
    <row r="3860">
      <c r="A3860">
        <f>Input!A3860</f>
        <v/>
      </c>
      <c r="B3860">
        <f>IF(ISNUMBER(Input!B3860),IF(AND(Input!B3860&gt;=20,Input!B3860&lt;=700),Input!B3860,""),"")</f>
        <v/>
      </c>
      <c r="C3860">
        <f>IF(B3860="","",INT(A3860))</f>
        <v/>
      </c>
      <c r="D3860">
        <f>IF(B3860="","",HOUR(A3860))</f>
        <v/>
      </c>
    </row>
    <row r="3861">
      <c r="A3861">
        <f>Input!A3861</f>
        <v/>
      </c>
      <c r="B3861">
        <f>IF(ISNUMBER(Input!B3861),IF(AND(Input!B3861&gt;=20,Input!B3861&lt;=700),Input!B3861,""),"")</f>
        <v/>
      </c>
      <c r="C3861">
        <f>IF(B3861="","",INT(A3861))</f>
        <v/>
      </c>
      <c r="D3861">
        <f>IF(B3861="","",HOUR(A3861))</f>
        <v/>
      </c>
    </row>
    <row r="3862">
      <c r="A3862">
        <f>Input!A3862</f>
        <v/>
      </c>
      <c r="B3862">
        <f>IF(ISNUMBER(Input!B3862),IF(AND(Input!B3862&gt;=20,Input!B3862&lt;=700),Input!B3862,""),"")</f>
        <v/>
      </c>
      <c r="C3862">
        <f>IF(B3862="","",INT(A3862))</f>
        <v/>
      </c>
      <c r="D3862">
        <f>IF(B3862="","",HOUR(A3862))</f>
        <v/>
      </c>
    </row>
    <row r="3863">
      <c r="A3863">
        <f>Input!A3863</f>
        <v/>
      </c>
      <c r="B3863">
        <f>IF(ISNUMBER(Input!B3863),IF(AND(Input!B3863&gt;=20,Input!B3863&lt;=700),Input!B3863,""),"")</f>
        <v/>
      </c>
      <c r="C3863">
        <f>IF(B3863="","",INT(A3863))</f>
        <v/>
      </c>
      <c r="D3863">
        <f>IF(B3863="","",HOUR(A3863))</f>
        <v/>
      </c>
    </row>
    <row r="3864">
      <c r="A3864">
        <f>Input!A3864</f>
        <v/>
      </c>
      <c r="B3864">
        <f>IF(ISNUMBER(Input!B3864),IF(AND(Input!B3864&gt;=20,Input!B3864&lt;=700),Input!B3864,""),"")</f>
        <v/>
      </c>
      <c r="C3864">
        <f>IF(B3864="","",INT(A3864))</f>
        <v/>
      </c>
      <c r="D3864">
        <f>IF(B3864="","",HOUR(A3864))</f>
        <v/>
      </c>
    </row>
    <row r="3865">
      <c r="A3865">
        <f>Input!A3865</f>
        <v/>
      </c>
      <c r="B3865">
        <f>IF(ISNUMBER(Input!B3865),IF(AND(Input!B3865&gt;=20,Input!B3865&lt;=700),Input!B3865,""),"")</f>
        <v/>
      </c>
      <c r="C3865">
        <f>IF(B3865="","",INT(A3865))</f>
        <v/>
      </c>
      <c r="D3865">
        <f>IF(B3865="","",HOUR(A3865))</f>
        <v/>
      </c>
    </row>
    <row r="3866">
      <c r="A3866">
        <f>Input!A3866</f>
        <v/>
      </c>
      <c r="B3866">
        <f>IF(ISNUMBER(Input!B3866),IF(AND(Input!B3866&gt;=20,Input!B3866&lt;=700),Input!B3866,""),"")</f>
        <v/>
      </c>
      <c r="C3866">
        <f>IF(B3866="","",INT(A3866))</f>
        <v/>
      </c>
      <c r="D3866">
        <f>IF(B3866="","",HOUR(A3866))</f>
        <v/>
      </c>
    </row>
    <row r="3867">
      <c r="A3867">
        <f>Input!A3867</f>
        <v/>
      </c>
      <c r="B3867">
        <f>IF(ISNUMBER(Input!B3867),IF(AND(Input!B3867&gt;=20,Input!B3867&lt;=700),Input!B3867,""),"")</f>
        <v/>
      </c>
      <c r="C3867">
        <f>IF(B3867="","",INT(A3867))</f>
        <v/>
      </c>
      <c r="D3867">
        <f>IF(B3867="","",HOUR(A3867))</f>
        <v/>
      </c>
    </row>
    <row r="3868">
      <c r="A3868">
        <f>Input!A3868</f>
        <v/>
      </c>
      <c r="B3868">
        <f>IF(ISNUMBER(Input!B3868),IF(AND(Input!B3868&gt;=20,Input!B3868&lt;=700),Input!B3868,""),"")</f>
        <v/>
      </c>
      <c r="C3868">
        <f>IF(B3868="","",INT(A3868))</f>
        <v/>
      </c>
      <c r="D3868">
        <f>IF(B3868="","",HOUR(A3868))</f>
        <v/>
      </c>
    </row>
    <row r="3869">
      <c r="A3869">
        <f>Input!A3869</f>
        <v/>
      </c>
      <c r="B3869">
        <f>IF(ISNUMBER(Input!B3869),IF(AND(Input!B3869&gt;=20,Input!B3869&lt;=700),Input!B3869,""),"")</f>
        <v/>
      </c>
      <c r="C3869">
        <f>IF(B3869="","",INT(A3869))</f>
        <v/>
      </c>
      <c r="D3869">
        <f>IF(B3869="","",HOUR(A3869))</f>
        <v/>
      </c>
    </row>
    <row r="3870">
      <c r="A3870">
        <f>Input!A3870</f>
        <v/>
      </c>
      <c r="B3870">
        <f>IF(ISNUMBER(Input!B3870),IF(AND(Input!B3870&gt;=20,Input!B3870&lt;=700),Input!B3870,""),"")</f>
        <v/>
      </c>
      <c r="C3870">
        <f>IF(B3870="","",INT(A3870))</f>
        <v/>
      </c>
      <c r="D3870">
        <f>IF(B3870="","",HOUR(A3870))</f>
        <v/>
      </c>
    </row>
    <row r="3871">
      <c r="A3871">
        <f>Input!A3871</f>
        <v/>
      </c>
      <c r="B3871">
        <f>IF(ISNUMBER(Input!B3871),IF(AND(Input!B3871&gt;=20,Input!B3871&lt;=700),Input!B3871,""),"")</f>
        <v/>
      </c>
      <c r="C3871">
        <f>IF(B3871="","",INT(A3871))</f>
        <v/>
      </c>
      <c r="D3871">
        <f>IF(B3871="","",HOUR(A3871))</f>
        <v/>
      </c>
    </row>
    <row r="3872">
      <c r="A3872">
        <f>Input!A3872</f>
        <v/>
      </c>
      <c r="B3872">
        <f>IF(ISNUMBER(Input!B3872),IF(AND(Input!B3872&gt;=20,Input!B3872&lt;=700),Input!B3872,""),"")</f>
        <v/>
      </c>
      <c r="C3872">
        <f>IF(B3872="","",INT(A3872))</f>
        <v/>
      </c>
      <c r="D3872">
        <f>IF(B3872="","",HOUR(A3872))</f>
        <v/>
      </c>
    </row>
    <row r="3873">
      <c r="A3873">
        <f>Input!A3873</f>
        <v/>
      </c>
      <c r="B3873">
        <f>IF(ISNUMBER(Input!B3873),IF(AND(Input!B3873&gt;=20,Input!B3873&lt;=700),Input!B3873,""),"")</f>
        <v/>
      </c>
      <c r="C3873">
        <f>IF(B3873="","",INT(A3873))</f>
        <v/>
      </c>
      <c r="D3873">
        <f>IF(B3873="","",HOUR(A3873))</f>
        <v/>
      </c>
    </row>
    <row r="3874">
      <c r="A3874">
        <f>Input!A3874</f>
        <v/>
      </c>
      <c r="B3874">
        <f>IF(ISNUMBER(Input!B3874),IF(AND(Input!B3874&gt;=20,Input!B3874&lt;=700),Input!B3874,""),"")</f>
        <v/>
      </c>
      <c r="C3874">
        <f>IF(B3874="","",INT(A3874))</f>
        <v/>
      </c>
      <c r="D3874">
        <f>IF(B3874="","",HOUR(A3874))</f>
        <v/>
      </c>
    </row>
    <row r="3875">
      <c r="A3875">
        <f>Input!A3875</f>
        <v/>
      </c>
      <c r="B3875">
        <f>IF(ISNUMBER(Input!B3875),IF(AND(Input!B3875&gt;=20,Input!B3875&lt;=700),Input!B3875,""),"")</f>
        <v/>
      </c>
      <c r="C3875">
        <f>IF(B3875="","",INT(A3875))</f>
        <v/>
      </c>
      <c r="D3875">
        <f>IF(B3875="","",HOUR(A3875))</f>
        <v/>
      </c>
    </row>
    <row r="3876">
      <c r="A3876">
        <f>Input!A3876</f>
        <v/>
      </c>
      <c r="B3876">
        <f>IF(ISNUMBER(Input!B3876),IF(AND(Input!B3876&gt;=20,Input!B3876&lt;=700),Input!B3876,""),"")</f>
        <v/>
      </c>
      <c r="C3876">
        <f>IF(B3876="","",INT(A3876))</f>
        <v/>
      </c>
      <c r="D3876">
        <f>IF(B3876="","",HOUR(A3876))</f>
        <v/>
      </c>
    </row>
    <row r="3877">
      <c r="A3877">
        <f>Input!A3877</f>
        <v/>
      </c>
      <c r="B3877">
        <f>IF(ISNUMBER(Input!B3877),IF(AND(Input!B3877&gt;=20,Input!B3877&lt;=700),Input!B3877,""),"")</f>
        <v/>
      </c>
      <c r="C3877">
        <f>IF(B3877="","",INT(A3877))</f>
        <v/>
      </c>
      <c r="D3877">
        <f>IF(B3877="","",HOUR(A3877))</f>
        <v/>
      </c>
    </row>
    <row r="3878">
      <c r="A3878">
        <f>Input!A3878</f>
        <v/>
      </c>
      <c r="B3878">
        <f>IF(ISNUMBER(Input!B3878),IF(AND(Input!B3878&gt;=20,Input!B3878&lt;=700),Input!B3878,""),"")</f>
        <v/>
      </c>
      <c r="C3878">
        <f>IF(B3878="","",INT(A3878))</f>
        <v/>
      </c>
      <c r="D3878">
        <f>IF(B3878="","",HOUR(A3878))</f>
        <v/>
      </c>
    </row>
    <row r="3879">
      <c r="A3879">
        <f>Input!A3879</f>
        <v/>
      </c>
      <c r="B3879">
        <f>IF(ISNUMBER(Input!B3879),IF(AND(Input!B3879&gt;=20,Input!B3879&lt;=700),Input!B3879,""),"")</f>
        <v/>
      </c>
      <c r="C3879">
        <f>IF(B3879="","",INT(A3879))</f>
        <v/>
      </c>
      <c r="D3879">
        <f>IF(B3879="","",HOUR(A3879))</f>
        <v/>
      </c>
    </row>
    <row r="3880">
      <c r="A3880">
        <f>Input!A3880</f>
        <v/>
      </c>
      <c r="B3880">
        <f>IF(ISNUMBER(Input!B3880),IF(AND(Input!B3880&gt;=20,Input!B3880&lt;=700),Input!B3880,""),"")</f>
        <v/>
      </c>
      <c r="C3880">
        <f>IF(B3880="","",INT(A3880))</f>
        <v/>
      </c>
      <c r="D3880">
        <f>IF(B3880="","",HOUR(A3880))</f>
        <v/>
      </c>
    </row>
    <row r="3881">
      <c r="A3881">
        <f>Input!A3881</f>
        <v/>
      </c>
      <c r="B3881">
        <f>IF(ISNUMBER(Input!B3881),IF(AND(Input!B3881&gt;=20,Input!B3881&lt;=700),Input!B3881,""),"")</f>
        <v/>
      </c>
      <c r="C3881">
        <f>IF(B3881="","",INT(A3881))</f>
        <v/>
      </c>
      <c r="D3881">
        <f>IF(B3881="","",HOUR(A3881))</f>
        <v/>
      </c>
    </row>
    <row r="3882">
      <c r="A3882">
        <f>Input!A3882</f>
        <v/>
      </c>
      <c r="B3882">
        <f>IF(ISNUMBER(Input!B3882),IF(AND(Input!B3882&gt;=20,Input!B3882&lt;=700),Input!B3882,""),"")</f>
        <v/>
      </c>
      <c r="C3882">
        <f>IF(B3882="","",INT(A3882))</f>
        <v/>
      </c>
      <c r="D3882">
        <f>IF(B3882="","",HOUR(A3882))</f>
        <v/>
      </c>
    </row>
    <row r="3883">
      <c r="A3883">
        <f>Input!A3883</f>
        <v/>
      </c>
      <c r="B3883">
        <f>IF(ISNUMBER(Input!B3883),IF(AND(Input!B3883&gt;=20,Input!B3883&lt;=700),Input!B3883,""),"")</f>
        <v/>
      </c>
      <c r="C3883">
        <f>IF(B3883="","",INT(A3883))</f>
        <v/>
      </c>
      <c r="D3883">
        <f>IF(B3883="","",HOUR(A3883))</f>
        <v/>
      </c>
    </row>
    <row r="3884">
      <c r="A3884">
        <f>Input!A3884</f>
        <v/>
      </c>
      <c r="B3884">
        <f>IF(ISNUMBER(Input!B3884),IF(AND(Input!B3884&gt;=20,Input!B3884&lt;=700),Input!B3884,""),"")</f>
        <v/>
      </c>
      <c r="C3884">
        <f>IF(B3884="","",INT(A3884))</f>
        <v/>
      </c>
      <c r="D3884">
        <f>IF(B3884="","",HOUR(A3884))</f>
        <v/>
      </c>
    </row>
    <row r="3885">
      <c r="A3885">
        <f>Input!A3885</f>
        <v/>
      </c>
      <c r="B3885">
        <f>IF(ISNUMBER(Input!B3885),IF(AND(Input!B3885&gt;=20,Input!B3885&lt;=700),Input!B3885,""),"")</f>
        <v/>
      </c>
      <c r="C3885">
        <f>IF(B3885="","",INT(A3885))</f>
        <v/>
      </c>
      <c r="D3885">
        <f>IF(B3885="","",HOUR(A3885))</f>
        <v/>
      </c>
    </row>
    <row r="3886">
      <c r="A3886">
        <f>Input!A3886</f>
        <v/>
      </c>
      <c r="B3886">
        <f>IF(ISNUMBER(Input!B3886),IF(AND(Input!B3886&gt;=20,Input!B3886&lt;=700),Input!B3886,""),"")</f>
        <v/>
      </c>
      <c r="C3886">
        <f>IF(B3886="","",INT(A3886))</f>
        <v/>
      </c>
      <c r="D3886">
        <f>IF(B3886="","",HOUR(A3886))</f>
        <v/>
      </c>
    </row>
    <row r="3887">
      <c r="A3887">
        <f>Input!A3887</f>
        <v/>
      </c>
      <c r="B3887">
        <f>IF(ISNUMBER(Input!B3887),IF(AND(Input!B3887&gt;=20,Input!B3887&lt;=700),Input!B3887,""),"")</f>
        <v/>
      </c>
      <c r="C3887">
        <f>IF(B3887="","",INT(A3887))</f>
        <v/>
      </c>
      <c r="D3887">
        <f>IF(B3887="","",HOUR(A3887))</f>
        <v/>
      </c>
    </row>
    <row r="3888">
      <c r="A3888">
        <f>Input!A3888</f>
        <v/>
      </c>
      <c r="B3888">
        <f>IF(ISNUMBER(Input!B3888),IF(AND(Input!B3888&gt;=20,Input!B3888&lt;=700),Input!B3888,""),"")</f>
        <v/>
      </c>
      <c r="C3888">
        <f>IF(B3888="","",INT(A3888))</f>
        <v/>
      </c>
      <c r="D3888">
        <f>IF(B3888="","",HOUR(A3888))</f>
        <v/>
      </c>
    </row>
    <row r="3889">
      <c r="A3889">
        <f>Input!A3889</f>
        <v/>
      </c>
      <c r="B3889">
        <f>IF(ISNUMBER(Input!B3889),IF(AND(Input!B3889&gt;=20,Input!B3889&lt;=700),Input!B3889,""),"")</f>
        <v/>
      </c>
      <c r="C3889">
        <f>IF(B3889="","",INT(A3889))</f>
        <v/>
      </c>
      <c r="D3889">
        <f>IF(B3889="","",HOUR(A3889))</f>
        <v/>
      </c>
    </row>
    <row r="3890">
      <c r="A3890">
        <f>Input!A3890</f>
        <v/>
      </c>
      <c r="B3890">
        <f>IF(ISNUMBER(Input!B3890),IF(AND(Input!B3890&gt;=20,Input!B3890&lt;=700),Input!B3890,""),"")</f>
        <v/>
      </c>
      <c r="C3890">
        <f>IF(B3890="","",INT(A3890))</f>
        <v/>
      </c>
      <c r="D3890">
        <f>IF(B3890="","",HOUR(A3890))</f>
        <v/>
      </c>
    </row>
    <row r="3891">
      <c r="A3891">
        <f>Input!A3891</f>
        <v/>
      </c>
      <c r="B3891">
        <f>IF(ISNUMBER(Input!B3891),IF(AND(Input!B3891&gt;=20,Input!B3891&lt;=700),Input!B3891,""),"")</f>
        <v/>
      </c>
      <c r="C3891">
        <f>IF(B3891="","",INT(A3891))</f>
        <v/>
      </c>
      <c r="D3891">
        <f>IF(B3891="","",HOUR(A3891))</f>
        <v/>
      </c>
    </row>
    <row r="3892">
      <c r="A3892">
        <f>Input!A3892</f>
        <v/>
      </c>
      <c r="B3892">
        <f>IF(ISNUMBER(Input!B3892),IF(AND(Input!B3892&gt;=20,Input!B3892&lt;=700),Input!B3892,""),"")</f>
        <v/>
      </c>
      <c r="C3892">
        <f>IF(B3892="","",INT(A3892))</f>
        <v/>
      </c>
      <c r="D3892">
        <f>IF(B3892="","",HOUR(A3892))</f>
        <v/>
      </c>
    </row>
    <row r="3893">
      <c r="A3893">
        <f>Input!A3893</f>
        <v/>
      </c>
      <c r="B3893">
        <f>IF(ISNUMBER(Input!B3893),IF(AND(Input!B3893&gt;=20,Input!B3893&lt;=700),Input!B3893,""),"")</f>
        <v/>
      </c>
      <c r="C3893">
        <f>IF(B3893="","",INT(A3893))</f>
        <v/>
      </c>
      <c r="D3893">
        <f>IF(B3893="","",HOUR(A3893))</f>
        <v/>
      </c>
    </row>
    <row r="3894">
      <c r="A3894">
        <f>Input!A3894</f>
        <v/>
      </c>
      <c r="B3894">
        <f>IF(ISNUMBER(Input!B3894),IF(AND(Input!B3894&gt;=20,Input!B3894&lt;=700),Input!B3894,""),"")</f>
        <v/>
      </c>
      <c r="C3894">
        <f>IF(B3894="","",INT(A3894))</f>
        <v/>
      </c>
      <c r="D3894">
        <f>IF(B3894="","",HOUR(A3894))</f>
        <v/>
      </c>
    </row>
    <row r="3895">
      <c r="A3895">
        <f>Input!A3895</f>
        <v/>
      </c>
      <c r="B3895">
        <f>IF(ISNUMBER(Input!B3895),IF(AND(Input!B3895&gt;=20,Input!B3895&lt;=700),Input!B3895,""),"")</f>
        <v/>
      </c>
      <c r="C3895">
        <f>IF(B3895="","",INT(A3895))</f>
        <v/>
      </c>
      <c r="D3895">
        <f>IF(B3895="","",HOUR(A3895))</f>
        <v/>
      </c>
    </row>
    <row r="3896">
      <c r="A3896">
        <f>Input!A3896</f>
        <v/>
      </c>
      <c r="B3896">
        <f>IF(ISNUMBER(Input!B3896),IF(AND(Input!B3896&gt;=20,Input!B3896&lt;=700),Input!B3896,""),"")</f>
        <v/>
      </c>
      <c r="C3896">
        <f>IF(B3896="","",INT(A3896))</f>
        <v/>
      </c>
      <c r="D3896">
        <f>IF(B3896="","",HOUR(A3896))</f>
        <v/>
      </c>
    </row>
    <row r="3897">
      <c r="A3897">
        <f>Input!A3897</f>
        <v/>
      </c>
      <c r="B3897">
        <f>IF(ISNUMBER(Input!B3897),IF(AND(Input!B3897&gt;=20,Input!B3897&lt;=700),Input!B3897,""),"")</f>
        <v/>
      </c>
      <c r="C3897">
        <f>IF(B3897="","",INT(A3897))</f>
        <v/>
      </c>
      <c r="D3897">
        <f>IF(B3897="","",HOUR(A3897))</f>
        <v/>
      </c>
    </row>
    <row r="3898">
      <c r="A3898">
        <f>Input!A3898</f>
        <v/>
      </c>
      <c r="B3898">
        <f>IF(ISNUMBER(Input!B3898),IF(AND(Input!B3898&gt;=20,Input!B3898&lt;=700),Input!B3898,""),"")</f>
        <v/>
      </c>
      <c r="C3898">
        <f>IF(B3898="","",INT(A3898))</f>
        <v/>
      </c>
      <c r="D3898">
        <f>IF(B3898="","",HOUR(A3898))</f>
        <v/>
      </c>
    </row>
    <row r="3899">
      <c r="A3899">
        <f>Input!A3899</f>
        <v/>
      </c>
      <c r="B3899">
        <f>IF(ISNUMBER(Input!B3899),IF(AND(Input!B3899&gt;=20,Input!B3899&lt;=700),Input!B3899,""),"")</f>
        <v/>
      </c>
      <c r="C3899">
        <f>IF(B3899="","",INT(A3899))</f>
        <v/>
      </c>
      <c r="D3899">
        <f>IF(B3899="","",HOUR(A3899))</f>
        <v/>
      </c>
    </row>
    <row r="3900">
      <c r="A3900">
        <f>Input!A3900</f>
        <v/>
      </c>
      <c r="B3900">
        <f>IF(ISNUMBER(Input!B3900),IF(AND(Input!B3900&gt;=20,Input!B3900&lt;=700),Input!B3900,""),"")</f>
        <v/>
      </c>
      <c r="C3900">
        <f>IF(B3900="","",INT(A3900))</f>
        <v/>
      </c>
      <c r="D3900">
        <f>IF(B3900="","",HOUR(A3900))</f>
        <v/>
      </c>
    </row>
    <row r="3901">
      <c r="A3901">
        <f>Input!A3901</f>
        <v/>
      </c>
      <c r="B3901">
        <f>IF(ISNUMBER(Input!B3901),IF(AND(Input!B3901&gt;=20,Input!B3901&lt;=700),Input!B3901,""),"")</f>
        <v/>
      </c>
      <c r="C3901">
        <f>IF(B3901="","",INT(A3901))</f>
        <v/>
      </c>
      <c r="D3901">
        <f>IF(B3901="","",HOUR(A3901))</f>
        <v/>
      </c>
    </row>
    <row r="3902">
      <c r="A3902">
        <f>Input!A3902</f>
        <v/>
      </c>
      <c r="B3902">
        <f>IF(ISNUMBER(Input!B3902),IF(AND(Input!B3902&gt;=20,Input!B3902&lt;=700),Input!B3902,""),"")</f>
        <v/>
      </c>
      <c r="C3902">
        <f>IF(B3902="","",INT(A3902))</f>
        <v/>
      </c>
      <c r="D3902">
        <f>IF(B3902="","",HOUR(A3902))</f>
        <v/>
      </c>
    </row>
    <row r="3903">
      <c r="A3903">
        <f>Input!A3903</f>
        <v/>
      </c>
      <c r="B3903">
        <f>IF(ISNUMBER(Input!B3903),IF(AND(Input!B3903&gt;=20,Input!B3903&lt;=700),Input!B3903,""),"")</f>
        <v/>
      </c>
      <c r="C3903">
        <f>IF(B3903="","",INT(A3903))</f>
        <v/>
      </c>
      <c r="D3903">
        <f>IF(B3903="","",HOUR(A3903))</f>
        <v/>
      </c>
    </row>
    <row r="3904">
      <c r="A3904">
        <f>Input!A3904</f>
        <v/>
      </c>
      <c r="B3904">
        <f>IF(ISNUMBER(Input!B3904),IF(AND(Input!B3904&gt;=20,Input!B3904&lt;=700),Input!B3904,""),"")</f>
        <v/>
      </c>
      <c r="C3904">
        <f>IF(B3904="","",INT(A3904))</f>
        <v/>
      </c>
      <c r="D3904">
        <f>IF(B3904="","",HOUR(A3904))</f>
        <v/>
      </c>
    </row>
    <row r="3905">
      <c r="A3905">
        <f>Input!A3905</f>
        <v/>
      </c>
      <c r="B3905">
        <f>IF(ISNUMBER(Input!B3905),IF(AND(Input!B3905&gt;=20,Input!B3905&lt;=700),Input!B3905,""),"")</f>
        <v/>
      </c>
      <c r="C3905">
        <f>IF(B3905="","",INT(A3905))</f>
        <v/>
      </c>
      <c r="D3905">
        <f>IF(B3905="","",HOUR(A3905))</f>
        <v/>
      </c>
    </row>
    <row r="3906">
      <c r="A3906">
        <f>Input!A3906</f>
        <v/>
      </c>
      <c r="B3906">
        <f>IF(ISNUMBER(Input!B3906),IF(AND(Input!B3906&gt;=20,Input!B3906&lt;=700),Input!B3906,""),"")</f>
        <v/>
      </c>
      <c r="C3906">
        <f>IF(B3906="","",INT(A3906))</f>
        <v/>
      </c>
      <c r="D3906">
        <f>IF(B3906="","",HOUR(A3906))</f>
        <v/>
      </c>
    </row>
    <row r="3907">
      <c r="A3907">
        <f>Input!A3907</f>
        <v/>
      </c>
      <c r="B3907">
        <f>IF(ISNUMBER(Input!B3907),IF(AND(Input!B3907&gt;=20,Input!B3907&lt;=700),Input!B3907,""),"")</f>
        <v/>
      </c>
      <c r="C3907">
        <f>IF(B3907="","",INT(A3907))</f>
        <v/>
      </c>
      <c r="D3907">
        <f>IF(B3907="","",HOUR(A3907))</f>
        <v/>
      </c>
    </row>
    <row r="3908">
      <c r="A3908">
        <f>Input!A3908</f>
        <v/>
      </c>
      <c r="B3908">
        <f>IF(ISNUMBER(Input!B3908),IF(AND(Input!B3908&gt;=20,Input!B3908&lt;=700),Input!B3908,""),"")</f>
        <v/>
      </c>
      <c r="C3908">
        <f>IF(B3908="","",INT(A3908))</f>
        <v/>
      </c>
      <c r="D3908">
        <f>IF(B3908="","",HOUR(A3908))</f>
        <v/>
      </c>
    </row>
    <row r="3909">
      <c r="A3909">
        <f>Input!A3909</f>
        <v/>
      </c>
      <c r="B3909">
        <f>IF(ISNUMBER(Input!B3909),IF(AND(Input!B3909&gt;=20,Input!B3909&lt;=700),Input!B3909,""),"")</f>
        <v/>
      </c>
      <c r="C3909">
        <f>IF(B3909="","",INT(A3909))</f>
        <v/>
      </c>
      <c r="D3909">
        <f>IF(B3909="","",HOUR(A3909))</f>
        <v/>
      </c>
    </row>
    <row r="3910">
      <c r="A3910">
        <f>Input!A3910</f>
        <v/>
      </c>
      <c r="B3910">
        <f>IF(ISNUMBER(Input!B3910),IF(AND(Input!B3910&gt;=20,Input!B3910&lt;=700),Input!B3910,""),"")</f>
        <v/>
      </c>
      <c r="C3910">
        <f>IF(B3910="","",INT(A3910))</f>
        <v/>
      </c>
      <c r="D3910">
        <f>IF(B3910="","",HOUR(A3910))</f>
        <v/>
      </c>
    </row>
    <row r="3911">
      <c r="A3911">
        <f>Input!A3911</f>
        <v/>
      </c>
      <c r="B3911">
        <f>IF(ISNUMBER(Input!B3911),IF(AND(Input!B3911&gt;=20,Input!B3911&lt;=700),Input!B3911,""),"")</f>
        <v/>
      </c>
      <c r="C3911">
        <f>IF(B3911="","",INT(A3911))</f>
        <v/>
      </c>
      <c r="D3911">
        <f>IF(B3911="","",HOUR(A3911))</f>
        <v/>
      </c>
    </row>
    <row r="3912">
      <c r="A3912">
        <f>Input!A3912</f>
        <v/>
      </c>
      <c r="B3912">
        <f>IF(ISNUMBER(Input!B3912),IF(AND(Input!B3912&gt;=20,Input!B3912&lt;=700),Input!B3912,""),"")</f>
        <v/>
      </c>
      <c r="C3912">
        <f>IF(B3912="","",INT(A3912))</f>
        <v/>
      </c>
      <c r="D3912">
        <f>IF(B3912="","",HOUR(A3912))</f>
        <v/>
      </c>
    </row>
    <row r="3913">
      <c r="A3913">
        <f>Input!A3913</f>
        <v/>
      </c>
      <c r="B3913">
        <f>IF(ISNUMBER(Input!B3913),IF(AND(Input!B3913&gt;=20,Input!B3913&lt;=700),Input!B3913,""),"")</f>
        <v/>
      </c>
      <c r="C3913">
        <f>IF(B3913="","",INT(A3913))</f>
        <v/>
      </c>
      <c r="D3913">
        <f>IF(B3913="","",HOUR(A3913))</f>
        <v/>
      </c>
    </row>
    <row r="3914">
      <c r="A3914">
        <f>Input!A3914</f>
        <v/>
      </c>
      <c r="B3914">
        <f>IF(ISNUMBER(Input!B3914),IF(AND(Input!B3914&gt;=20,Input!B3914&lt;=700),Input!B3914,""),"")</f>
        <v/>
      </c>
      <c r="C3914">
        <f>IF(B3914="","",INT(A3914))</f>
        <v/>
      </c>
      <c r="D3914">
        <f>IF(B3914="","",HOUR(A3914))</f>
        <v/>
      </c>
    </row>
    <row r="3915">
      <c r="A3915">
        <f>Input!A3915</f>
        <v/>
      </c>
      <c r="B3915">
        <f>IF(ISNUMBER(Input!B3915),IF(AND(Input!B3915&gt;=20,Input!B3915&lt;=700),Input!B3915,""),"")</f>
        <v/>
      </c>
      <c r="C3915">
        <f>IF(B3915="","",INT(A3915))</f>
        <v/>
      </c>
      <c r="D3915">
        <f>IF(B3915="","",HOUR(A3915))</f>
        <v/>
      </c>
    </row>
    <row r="3916">
      <c r="A3916">
        <f>Input!A3916</f>
        <v/>
      </c>
      <c r="B3916">
        <f>IF(ISNUMBER(Input!B3916),IF(AND(Input!B3916&gt;=20,Input!B3916&lt;=700),Input!B3916,""),"")</f>
        <v/>
      </c>
      <c r="C3916">
        <f>IF(B3916="","",INT(A3916))</f>
        <v/>
      </c>
      <c r="D3916">
        <f>IF(B3916="","",HOUR(A3916))</f>
        <v/>
      </c>
    </row>
    <row r="3917">
      <c r="A3917">
        <f>Input!A3917</f>
        <v/>
      </c>
      <c r="B3917">
        <f>IF(ISNUMBER(Input!B3917),IF(AND(Input!B3917&gt;=20,Input!B3917&lt;=700),Input!B3917,""),"")</f>
        <v/>
      </c>
      <c r="C3917">
        <f>IF(B3917="","",INT(A3917))</f>
        <v/>
      </c>
      <c r="D3917">
        <f>IF(B3917="","",HOUR(A3917))</f>
        <v/>
      </c>
    </row>
    <row r="3918">
      <c r="A3918">
        <f>Input!A3918</f>
        <v/>
      </c>
      <c r="B3918">
        <f>IF(ISNUMBER(Input!B3918),IF(AND(Input!B3918&gt;=20,Input!B3918&lt;=700),Input!B3918,""),"")</f>
        <v/>
      </c>
      <c r="C3918">
        <f>IF(B3918="","",INT(A3918))</f>
        <v/>
      </c>
      <c r="D3918">
        <f>IF(B3918="","",HOUR(A3918))</f>
        <v/>
      </c>
    </row>
    <row r="3919">
      <c r="A3919">
        <f>Input!A3919</f>
        <v/>
      </c>
      <c r="B3919">
        <f>IF(ISNUMBER(Input!B3919),IF(AND(Input!B3919&gt;=20,Input!B3919&lt;=700),Input!B3919,""),"")</f>
        <v/>
      </c>
      <c r="C3919">
        <f>IF(B3919="","",INT(A3919))</f>
        <v/>
      </c>
      <c r="D3919">
        <f>IF(B3919="","",HOUR(A3919))</f>
        <v/>
      </c>
    </row>
    <row r="3920">
      <c r="A3920">
        <f>Input!A3920</f>
        <v/>
      </c>
      <c r="B3920">
        <f>IF(ISNUMBER(Input!B3920),IF(AND(Input!B3920&gt;=20,Input!B3920&lt;=700),Input!B3920,""),"")</f>
        <v/>
      </c>
      <c r="C3920">
        <f>IF(B3920="","",INT(A3920))</f>
        <v/>
      </c>
      <c r="D3920">
        <f>IF(B3920="","",HOUR(A3920))</f>
        <v/>
      </c>
    </row>
    <row r="3921">
      <c r="A3921">
        <f>Input!A3921</f>
        <v/>
      </c>
      <c r="B3921">
        <f>IF(ISNUMBER(Input!B3921),IF(AND(Input!B3921&gt;=20,Input!B3921&lt;=700),Input!B3921,""),"")</f>
        <v/>
      </c>
      <c r="C3921">
        <f>IF(B3921="","",INT(A3921))</f>
        <v/>
      </c>
      <c r="D3921">
        <f>IF(B3921="","",HOUR(A3921))</f>
        <v/>
      </c>
    </row>
    <row r="3922">
      <c r="A3922">
        <f>Input!A3922</f>
        <v/>
      </c>
      <c r="B3922">
        <f>IF(ISNUMBER(Input!B3922),IF(AND(Input!B3922&gt;=20,Input!B3922&lt;=700),Input!B3922,""),"")</f>
        <v/>
      </c>
      <c r="C3922">
        <f>IF(B3922="","",INT(A3922))</f>
        <v/>
      </c>
      <c r="D3922">
        <f>IF(B3922="","",HOUR(A3922))</f>
        <v/>
      </c>
    </row>
    <row r="3923">
      <c r="A3923">
        <f>Input!A3923</f>
        <v/>
      </c>
      <c r="B3923">
        <f>IF(ISNUMBER(Input!B3923),IF(AND(Input!B3923&gt;=20,Input!B3923&lt;=700),Input!B3923,""),"")</f>
        <v/>
      </c>
      <c r="C3923">
        <f>IF(B3923="","",INT(A3923))</f>
        <v/>
      </c>
      <c r="D3923">
        <f>IF(B3923="","",HOUR(A3923))</f>
        <v/>
      </c>
    </row>
    <row r="3924">
      <c r="A3924">
        <f>Input!A3924</f>
        <v/>
      </c>
      <c r="B3924">
        <f>IF(ISNUMBER(Input!B3924),IF(AND(Input!B3924&gt;=20,Input!B3924&lt;=700),Input!B3924,""),"")</f>
        <v/>
      </c>
      <c r="C3924">
        <f>IF(B3924="","",INT(A3924))</f>
        <v/>
      </c>
      <c r="D3924">
        <f>IF(B3924="","",HOUR(A3924))</f>
        <v/>
      </c>
    </row>
    <row r="3925">
      <c r="A3925">
        <f>Input!A3925</f>
        <v/>
      </c>
      <c r="B3925">
        <f>IF(ISNUMBER(Input!B3925),IF(AND(Input!B3925&gt;=20,Input!B3925&lt;=700),Input!B3925,""),"")</f>
        <v/>
      </c>
      <c r="C3925">
        <f>IF(B3925="","",INT(A3925))</f>
        <v/>
      </c>
      <c r="D3925">
        <f>IF(B3925="","",HOUR(A3925))</f>
        <v/>
      </c>
    </row>
    <row r="3926">
      <c r="A3926">
        <f>Input!A3926</f>
        <v/>
      </c>
      <c r="B3926">
        <f>IF(ISNUMBER(Input!B3926),IF(AND(Input!B3926&gt;=20,Input!B3926&lt;=700),Input!B3926,""),"")</f>
        <v/>
      </c>
      <c r="C3926">
        <f>IF(B3926="","",INT(A3926))</f>
        <v/>
      </c>
      <c r="D3926">
        <f>IF(B3926="","",HOUR(A3926))</f>
        <v/>
      </c>
    </row>
    <row r="3927">
      <c r="A3927">
        <f>Input!A3927</f>
        <v/>
      </c>
      <c r="B3927">
        <f>IF(ISNUMBER(Input!B3927),IF(AND(Input!B3927&gt;=20,Input!B3927&lt;=700),Input!B3927,""),"")</f>
        <v/>
      </c>
      <c r="C3927">
        <f>IF(B3927="","",INT(A3927))</f>
        <v/>
      </c>
      <c r="D3927">
        <f>IF(B3927="","",HOUR(A3927))</f>
        <v/>
      </c>
    </row>
    <row r="3928">
      <c r="A3928">
        <f>Input!A3928</f>
        <v/>
      </c>
      <c r="B3928">
        <f>IF(ISNUMBER(Input!B3928),IF(AND(Input!B3928&gt;=20,Input!B3928&lt;=700),Input!B3928,""),"")</f>
        <v/>
      </c>
      <c r="C3928">
        <f>IF(B3928="","",INT(A3928))</f>
        <v/>
      </c>
      <c r="D3928">
        <f>IF(B3928="","",HOUR(A3928))</f>
        <v/>
      </c>
    </row>
    <row r="3929">
      <c r="A3929">
        <f>Input!A3929</f>
        <v/>
      </c>
      <c r="B3929">
        <f>IF(ISNUMBER(Input!B3929),IF(AND(Input!B3929&gt;=20,Input!B3929&lt;=700),Input!B3929,""),"")</f>
        <v/>
      </c>
      <c r="C3929">
        <f>IF(B3929="","",INT(A3929))</f>
        <v/>
      </c>
      <c r="D3929">
        <f>IF(B3929="","",HOUR(A3929))</f>
        <v/>
      </c>
    </row>
    <row r="3930">
      <c r="A3930">
        <f>Input!A3930</f>
        <v/>
      </c>
      <c r="B3930">
        <f>IF(ISNUMBER(Input!B3930),IF(AND(Input!B3930&gt;=20,Input!B3930&lt;=700),Input!B3930,""),"")</f>
        <v/>
      </c>
      <c r="C3930">
        <f>IF(B3930="","",INT(A3930))</f>
        <v/>
      </c>
      <c r="D3930">
        <f>IF(B3930="","",HOUR(A3930))</f>
        <v/>
      </c>
    </row>
    <row r="3931">
      <c r="A3931">
        <f>Input!A3931</f>
        <v/>
      </c>
      <c r="B3931">
        <f>IF(ISNUMBER(Input!B3931),IF(AND(Input!B3931&gt;=20,Input!B3931&lt;=700),Input!B3931,""),"")</f>
        <v/>
      </c>
      <c r="C3931">
        <f>IF(B3931="","",INT(A3931))</f>
        <v/>
      </c>
      <c r="D3931">
        <f>IF(B3931="","",HOUR(A3931))</f>
        <v/>
      </c>
    </row>
    <row r="3932">
      <c r="A3932">
        <f>Input!A3932</f>
        <v/>
      </c>
      <c r="B3932">
        <f>IF(ISNUMBER(Input!B3932),IF(AND(Input!B3932&gt;=20,Input!B3932&lt;=700),Input!B3932,""),"")</f>
        <v/>
      </c>
      <c r="C3932">
        <f>IF(B3932="","",INT(A3932))</f>
        <v/>
      </c>
      <c r="D3932">
        <f>IF(B3932="","",HOUR(A3932))</f>
        <v/>
      </c>
    </row>
    <row r="3933">
      <c r="A3933">
        <f>Input!A3933</f>
        <v/>
      </c>
      <c r="B3933">
        <f>IF(ISNUMBER(Input!B3933),IF(AND(Input!B3933&gt;=20,Input!B3933&lt;=700),Input!B3933,""),"")</f>
        <v/>
      </c>
      <c r="C3933">
        <f>IF(B3933="","",INT(A3933))</f>
        <v/>
      </c>
      <c r="D3933">
        <f>IF(B3933="","",HOUR(A3933))</f>
        <v/>
      </c>
    </row>
    <row r="3934">
      <c r="A3934">
        <f>Input!A3934</f>
        <v/>
      </c>
      <c r="B3934">
        <f>IF(ISNUMBER(Input!B3934),IF(AND(Input!B3934&gt;=20,Input!B3934&lt;=700),Input!B3934,""),"")</f>
        <v/>
      </c>
      <c r="C3934">
        <f>IF(B3934="","",INT(A3934))</f>
        <v/>
      </c>
      <c r="D3934">
        <f>IF(B3934="","",HOUR(A3934))</f>
        <v/>
      </c>
    </row>
    <row r="3935">
      <c r="A3935">
        <f>Input!A3935</f>
        <v/>
      </c>
      <c r="B3935">
        <f>IF(ISNUMBER(Input!B3935),IF(AND(Input!B3935&gt;=20,Input!B3935&lt;=700),Input!B3935,""),"")</f>
        <v/>
      </c>
      <c r="C3935">
        <f>IF(B3935="","",INT(A3935))</f>
        <v/>
      </c>
      <c r="D3935">
        <f>IF(B3935="","",HOUR(A3935))</f>
        <v/>
      </c>
    </row>
    <row r="3936">
      <c r="A3936">
        <f>Input!A3936</f>
        <v/>
      </c>
      <c r="B3936">
        <f>IF(ISNUMBER(Input!B3936),IF(AND(Input!B3936&gt;=20,Input!B3936&lt;=700),Input!B3936,""),"")</f>
        <v/>
      </c>
      <c r="C3936">
        <f>IF(B3936="","",INT(A3936))</f>
        <v/>
      </c>
      <c r="D3936">
        <f>IF(B3936="","",HOUR(A3936))</f>
        <v/>
      </c>
    </row>
    <row r="3937">
      <c r="A3937">
        <f>Input!A3937</f>
        <v/>
      </c>
      <c r="B3937">
        <f>IF(ISNUMBER(Input!B3937),IF(AND(Input!B3937&gt;=20,Input!B3937&lt;=700),Input!B3937,""),"")</f>
        <v/>
      </c>
      <c r="C3937">
        <f>IF(B3937="","",INT(A3937))</f>
        <v/>
      </c>
      <c r="D3937">
        <f>IF(B3937="","",HOUR(A3937))</f>
        <v/>
      </c>
    </row>
    <row r="3938">
      <c r="A3938">
        <f>Input!A3938</f>
        <v/>
      </c>
      <c r="B3938">
        <f>IF(ISNUMBER(Input!B3938),IF(AND(Input!B3938&gt;=20,Input!B3938&lt;=700),Input!B3938,""),"")</f>
        <v/>
      </c>
      <c r="C3938">
        <f>IF(B3938="","",INT(A3938))</f>
        <v/>
      </c>
      <c r="D3938">
        <f>IF(B3938="","",HOUR(A3938))</f>
        <v/>
      </c>
    </row>
    <row r="3939">
      <c r="A3939">
        <f>Input!A3939</f>
        <v/>
      </c>
      <c r="B3939">
        <f>IF(ISNUMBER(Input!B3939),IF(AND(Input!B3939&gt;=20,Input!B3939&lt;=700),Input!B3939,""),"")</f>
        <v/>
      </c>
      <c r="C3939">
        <f>IF(B3939="","",INT(A3939))</f>
        <v/>
      </c>
      <c r="D3939">
        <f>IF(B3939="","",HOUR(A3939))</f>
        <v/>
      </c>
    </row>
    <row r="3940">
      <c r="A3940">
        <f>Input!A3940</f>
        <v/>
      </c>
      <c r="B3940">
        <f>IF(ISNUMBER(Input!B3940),IF(AND(Input!B3940&gt;=20,Input!B3940&lt;=700),Input!B3940,""),"")</f>
        <v/>
      </c>
      <c r="C3940">
        <f>IF(B3940="","",INT(A3940))</f>
        <v/>
      </c>
      <c r="D3940">
        <f>IF(B3940="","",HOUR(A3940))</f>
        <v/>
      </c>
    </row>
    <row r="3941">
      <c r="A3941">
        <f>Input!A3941</f>
        <v/>
      </c>
      <c r="B3941">
        <f>IF(ISNUMBER(Input!B3941),IF(AND(Input!B3941&gt;=20,Input!B3941&lt;=700),Input!B3941,""),"")</f>
        <v/>
      </c>
      <c r="C3941">
        <f>IF(B3941="","",INT(A3941))</f>
        <v/>
      </c>
      <c r="D3941">
        <f>IF(B3941="","",HOUR(A3941))</f>
        <v/>
      </c>
    </row>
    <row r="3942">
      <c r="A3942">
        <f>Input!A3942</f>
        <v/>
      </c>
      <c r="B3942">
        <f>IF(ISNUMBER(Input!B3942),IF(AND(Input!B3942&gt;=20,Input!B3942&lt;=700),Input!B3942,""),"")</f>
        <v/>
      </c>
      <c r="C3942">
        <f>IF(B3942="","",INT(A3942))</f>
        <v/>
      </c>
      <c r="D3942">
        <f>IF(B3942="","",HOUR(A3942))</f>
        <v/>
      </c>
    </row>
    <row r="3943">
      <c r="A3943">
        <f>Input!A3943</f>
        <v/>
      </c>
      <c r="B3943">
        <f>IF(ISNUMBER(Input!B3943),IF(AND(Input!B3943&gt;=20,Input!B3943&lt;=700),Input!B3943,""),"")</f>
        <v/>
      </c>
      <c r="C3943">
        <f>IF(B3943="","",INT(A3943))</f>
        <v/>
      </c>
      <c r="D3943">
        <f>IF(B3943="","",HOUR(A3943))</f>
        <v/>
      </c>
    </row>
    <row r="3944">
      <c r="A3944">
        <f>Input!A3944</f>
        <v/>
      </c>
      <c r="B3944">
        <f>IF(ISNUMBER(Input!B3944),IF(AND(Input!B3944&gt;=20,Input!B3944&lt;=700),Input!B3944,""),"")</f>
        <v/>
      </c>
      <c r="C3944">
        <f>IF(B3944="","",INT(A3944))</f>
        <v/>
      </c>
      <c r="D3944">
        <f>IF(B3944="","",HOUR(A3944))</f>
        <v/>
      </c>
    </row>
    <row r="3945">
      <c r="A3945">
        <f>Input!A3945</f>
        <v/>
      </c>
      <c r="B3945">
        <f>IF(ISNUMBER(Input!B3945),IF(AND(Input!B3945&gt;=20,Input!B3945&lt;=700),Input!B3945,""),"")</f>
        <v/>
      </c>
      <c r="C3945">
        <f>IF(B3945="","",INT(A3945))</f>
        <v/>
      </c>
      <c r="D3945">
        <f>IF(B3945="","",HOUR(A3945))</f>
        <v/>
      </c>
    </row>
    <row r="3946">
      <c r="A3946">
        <f>Input!A3946</f>
        <v/>
      </c>
      <c r="B3946">
        <f>IF(ISNUMBER(Input!B3946),IF(AND(Input!B3946&gt;=20,Input!B3946&lt;=700),Input!B3946,""),"")</f>
        <v/>
      </c>
      <c r="C3946">
        <f>IF(B3946="","",INT(A3946))</f>
        <v/>
      </c>
      <c r="D3946">
        <f>IF(B3946="","",HOUR(A3946))</f>
        <v/>
      </c>
    </row>
    <row r="3947">
      <c r="A3947">
        <f>Input!A3947</f>
        <v/>
      </c>
      <c r="B3947">
        <f>IF(ISNUMBER(Input!B3947),IF(AND(Input!B3947&gt;=20,Input!B3947&lt;=700),Input!B3947,""),"")</f>
        <v/>
      </c>
      <c r="C3947">
        <f>IF(B3947="","",INT(A3947))</f>
        <v/>
      </c>
      <c r="D3947">
        <f>IF(B3947="","",HOUR(A3947))</f>
        <v/>
      </c>
    </row>
    <row r="3948">
      <c r="A3948">
        <f>Input!A3948</f>
        <v/>
      </c>
      <c r="B3948">
        <f>IF(ISNUMBER(Input!B3948),IF(AND(Input!B3948&gt;=20,Input!B3948&lt;=700),Input!B3948,""),"")</f>
        <v/>
      </c>
      <c r="C3948">
        <f>IF(B3948="","",INT(A3948))</f>
        <v/>
      </c>
      <c r="D3948">
        <f>IF(B3948="","",HOUR(A3948))</f>
        <v/>
      </c>
    </row>
    <row r="3949">
      <c r="A3949">
        <f>Input!A3949</f>
        <v/>
      </c>
      <c r="B3949">
        <f>IF(ISNUMBER(Input!B3949),IF(AND(Input!B3949&gt;=20,Input!B3949&lt;=700),Input!B3949,""),"")</f>
        <v/>
      </c>
      <c r="C3949">
        <f>IF(B3949="","",INT(A3949))</f>
        <v/>
      </c>
      <c r="D3949">
        <f>IF(B3949="","",HOUR(A3949))</f>
        <v/>
      </c>
    </row>
    <row r="3950">
      <c r="A3950">
        <f>Input!A3950</f>
        <v/>
      </c>
      <c r="B3950">
        <f>IF(ISNUMBER(Input!B3950),IF(AND(Input!B3950&gt;=20,Input!B3950&lt;=700),Input!B3950,""),"")</f>
        <v/>
      </c>
      <c r="C3950">
        <f>IF(B3950="","",INT(A3950))</f>
        <v/>
      </c>
      <c r="D3950">
        <f>IF(B3950="","",HOUR(A3950))</f>
        <v/>
      </c>
    </row>
    <row r="3951">
      <c r="A3951">
        <f>Input!A3951</f>
        <v/>
      </c>
      <c r="B3951">
        <f>IF(ISNUMBER(Input!B3951),IF(AND(Input!B3951&gt;=20,Input!B3951&lt;=700),Input!B3951,""),"")</f>
        <v/>
      </c>
      <c r="C3951">
        <f>IF(B3951="","",INT(A3951))</f>
        <v/>
      </c>
      <c r="D3951">
        <f>IF(B3951="","",HOUR(A3951))</f>
        <v/>
      </c>
    </row>
    <row r="3952">
      <c r="A3952">
        <f>Input!A3952</f>
        <v/>
      </c>
      <c r="B3952">
        <f>IF(ISNUMBER(Input!B3952),IF(AND(Input!B3952&gt;=20,Input!B3952&lt;=700),Input!B3952,""),"")</f>
        <v/>
      </c>
      <c r="C3952">
        <f>IF(B3952="","",INT(A3952))</f>
        <v/>
      </c>
      <c r="D3952">
        <f>IF(B3952="","",HOUR(A3952))</f>
        <v/>
      </c>
    </row>
    <row r="3953">
      <c r="A3953">
        <f>Input!A3953</f>
        <v/>
      </c>
      <c r="B3953">
        <f>IF(ISNUMBER(Input!B3953),IF(AND(Input!B3953&gt;=20,Input!B3953&lt;=700),Input!B3953,""),"")</f>
        <v/>
      </c>
      <c r="C3953">
        <f>IF(B3953="","",INT(A3953))</f>
        <v/>
      </c>
      <c r="D3953">
        <f>IF(B3953="","",HOUR(A3953))</f>
        <v/>
      </c>
    </row>
    <row r="3954">
      <c r="A3954">
        <f>Input!A3954</f>
        <v/>
      </c>
      <c r="B3954">
        <f>IF(ISNUMBER(Input!B3954),IF(AND(Input!B3954&gt;=20,Input!B3954&lt;=700),Input!B3954,""),"")</f>
        <v/>
      </c>
      <c r="C3954">
        <f>IF(B3954="","",INT(A3954))</f>
        <v/>
      </c>
      <c r="D3954">
        <f>IF(B3954="","",HOUR(A3954))</f>
        <v/>
      </c>
    </row>
    <row r="3955">
      <c r="A3955">
        <f>Input!A3955</f>
        <v/>
      </c>
      <c r="B3955">
        <f>IF(ISNUMBER(Input!B3955),IF(AND(Input!B3955&gt;=20,Input!B3955&lt;=700),Input!B3955,""),"")</f>
        <v/>
      </c>
      <c r="C3955">
        <f>IF(B3955="","",INT(A3955))</f>
        <v/>
      </c>
      <c r="D3955">
        <f>IF(B3955="","",HOUR(A3955))</f>
        <v/>
      </c>
    </row>
    <row r="3956">
      <c r="A3956">
        <f>Input!A3956</f>
        <v/>
      </c>
      <c r="B3956">
        <f>IF(ISNUMBER(Input!B3956),IF(AND(Input!B3956&gt;=20,Input!B3956&lt;=700),Input!B3956,""),"")</f>
        <v/>
      </c>
      <c r="C3956">
        <f>IF(B3956="","",INT(A3956))</f>
        <v/>
      </c>
      <c r="D3956">
        <f>IF(B3956="","",HOUR(A3956))</f>
        <v/>
      </c>
    </row>
    <row r="3957">
      <c r="A3957">
        <f>Input!A3957</f>
        <v/>
      </c>
      <c r="B3957">
        <f>IF(ISNUMBER(Input!B3957),IF(AND(Input!B3957&gt;=20,Input!B3957&lt;=700),Input!B3957,""),"")</f>
        <v/>
      </c>
      <c r="C3957">
        <f>IF(B3957="","",INT(A3957))</f>
        <v/>
      </c>
      <c r="D3957">
        <f>IF(B3957="","",HOUR(A3957))</f>
        <v/>
      </c>
    </row>
    <row r="3958">
      <c r="A3958">
        <f>Input!A3958</f>
        <v/>
      </c>
      <c r="B3958">
        <f>IF(ISNUMBER(Input!B3958),IF(AND(Input!B3958&gt;=20,Input!B3958&lt;=700),Input!B3958,""),"")</f>
        <v/>
      </c>
      <c r="C3958">
        <f>IF(B3958="","",INT(A3958))</f>
        <v/>
      </c>
      <c r="D3958">
        <f>IF(B3958="","",HOUR(A3958))</f>
        <v/>
      </c>
    </row>
    <row r="3959">
      <c r="A3959">
        <f>Input!A3959</f>
        <v/>
      </c>
      <c r="B3959">
        <f>IF(ISNUMBER(Input!B3959),IF(AND(Input!B3959&gt;=20,Input!B3959&lt;=700),Input!B3959,""),"")</f>
        <v/>
      </c>
      <c r="C3959">
        <f>IF(B3959="","",INT(A3959))</f>
        <v/>
      </c>
      <c r="D3959">
        <f>IF(B3959="","",HOUR(A3959))</f>
        <v/>
      </c>
    </row>
    <row r="3960">
      <c r="A3960">
        <f>Input!A3960</f>
        <v/>
      </c>
      <c r="B3960">
        <f>IF(ISNUMBER(Input!B3960),IF(AND(Input!B3960&gt;=20,Input!B3960&lt;=700),Input!B3960,""),"")</f>
        <v/>
      </c>
      <c r="C3960">
        <f>IF(B3960="","",INT(A3960))</f>
        <v/>
      </c>
      <c r="D3960">
        <f>IF(B3960="","",HOUR(A3960))</f>
        <v/>
      </c>
    </row>
    <row r="3961">
      <c r="A3961">
        <f>Input!A3961</f>
        <v/>
      </c>
      <c r="B3961">
        <f>IF(ISNUMBER(Input!B3961),IF(AND(Input!B3961&gt;=20,Input!B3961&lt;=700),Input!B3961,""),"")</f>
        <v/>
      </c>
      <c r="C3961">
        <f>IF(B3961="","",INT(A3961))</f>
        <v/>
      </c>
      <c r="D3961">
        <f>IF(B3961="","",HOUR(A3961))</f>
        <v/>
      </c>
    </row>
    <row r="3962">
      <c r="A3962">
        <f>Input!A3962</f>
        <v/>
      </c>
      <c r="B3962">
        <f>IF(ISNUMBER(Input!B3962),IF(AND(Input!B3962&gt;=20,Input!B3962&lt;=700),Input!B3962,""),"")</f>
        <v/>
      </c>
      <c r="C3962">
        <f>IF(B3962="","",INT(A3962))</f>
        <v/>
      </c>
      <c r="D3962">
        <f>IF(B3962="","",HOUR(A3962))</f>
        <v/>
      </c>
    </row>
    <row r="3963">
      <c r="A3963">
        <f>Input!A3963</f>
        <v/>
      </c>
      <c r="B3963">
        <f>IF(ISNUMBER(Input!B3963),IF(AND(Input!B3963&gt;=20,Input!B3963&lt;=700),Input!B3963,""),"")</f>
        <v/>
      </c>
      <c r="C3963">
        <f>IF(B3963="","",INT(A3963))</f>
        <v/>
      </c>
      <c r="D3963">
        <f>IF(B3963="","",HOUR(A3963))</f>
        <v/>
      </c>
    </row>
    <row r="3964">
      <c r="A3964">
        <f>Input!A3964</f>
        <v/>
      </c>
      <c r="B3964">
        <f>IF(ISNUMBER(Input!B3964),IF(AND(Input!B3964&gt;=20,Input!B3964&lt;=700),Input!B3964,""),"")</f>
        <v/>
      </c>
      <c r="C3964">
        <f>IF(B3964="","",INT(A3964))</f>
        <v/>
      </c>
      <c r="D3964">
        <f>IF(B3964="","",HOUR(A3964))</f>
        <v/>
      </c>
    </row>
    <row r="3965">
      <c r="A3965">
        <f>Input!A3965</f>
        <v/>
      </c>
      <c r="B3965">
        <f>IF(ISNUMBER(Input!B3965),IF(AND(Input!B3965&gt;=20,Input!B3965&lt;=700),Input!B3965,""),"")</f>
        <v/>
      </c>
      <c r="C3965">
        <f>IF(B3965="","",INT(A3965))</f>
        <v/>
      </c>
      <c r="D3965">
        <f>IF(B3965="","",HOUR(A3965))</f>
        <v/>
      </c>
    </row>
    <row r="3966">
      <c r="A3966">
        <f>Input!A3966</f>
        <v/>
      </c>
      <c r="B3966">
        <f>IF(ISNUMBER(Input!B3966),IF(AND(Input!B3966&gt;=20,Input!B3966&lt;=700),Input!B3966,""),"")</f>
        <v/>
      </c>
      <c r="C3966">
        <f>IF(B3966="","",INT(A3966))</f>
        <v/>
      </c>
      <c r="D3966">
        <f>IF(B3966="","",HOUR(A3966))</f>
        <v/>
      </c>
    </row>
    <row r="3967">
      <c r="A3967">
        <f>Input!A3967</f>
        <v/>
      </c>
      <c r="B3967">
        <f>IF(ISNUMBER(Input!B3967),IF(AND(Input!B3967&gt;=20,Input!B3967&lt;=700),Input!B3967,""),"")</f>
        <v/>
      </c>
      <c r="C3967">
        <f>IF(B3967="","",INT(A3967))</f>
        <v/>
      </c>
      <c r="D3967">
        <f>IF(B3967="","",HOUR(A3967))</f>
        <v/>
      </c>
    </row>
    <row r="3968">
      <c r="A3968">
        <f>Input!A3968</f>
        <v/>
      </c>
      <c r="B3968">
        <f>IF(ISNUMBER(Input!B3968),IF(AND(Input!B3968&gt;=20,Input!B3968&lt;=700),Input!B3968,""),"")</f>
        <v/>
      </c>
      <c r="C3968">
        <f>IF(B3968="","",INT(A3968))</f>
        <v/>
      </c>
      <c r="D3968">
        <f>IF(B3968="","",HOUR(A3968))</f>
        <v/>
      </c>
    </row>
    <row r="3969">
      <c r="A3969">
        <f>Input!A3969</f>
        <v/>
      </c>
      <c r="B3969">
        <f>IF(ISNUMBER(Input!B3969),IF(AND(Input!B3969&gt;=20,Input!B3969&lt;=700),Input!B3969,""),"")</f>
        <v/>
      </c>
      <c r="C3969">
        <f>IF(B3969="","",INT(A3969))</f>
        <v/>
      </c>
      <c r="D3969">
        <f>IF(B3969="","",HOUR(A3969))</f>
        <v/>
      </c>
    </row>
    <row r="3970">
      <c r="A3970">
        <f>Input!A3970</f>
        <v/>
      </c>
      <c r="B3970">
        <f>IF(ISNUMBER(Input!B3970),IF(AND(Input!B3970&gt;=20,Input!B3970&lt;=700),Input!B3970,""),"")</f>
        <v/>
      </c>
      <c r="C3970">
        <f>IF(B3970="","",INT(A3970))</f>
        <v/>
      </c>
      <c r="D3970">
        <f>IF(B3970="","",HOUR(A3970))</f>
        <v/>
      </c>
    </row>
    <row r="3971">
      <c r="A3971">
        <f>Input!A3971</f>
        <v/>
      </c>
      <c r="B3971">
        <f>IF(ISNUMBER(Input!B3971),IF(AND(Input!B3971&gt;=20,Input!B3971&lt;=700),Input!B3971,""),"")</f>
        <v/>
      </c>
      <c r="C3971">
        <f>IF(B3971="","",INT(A3971))</f>
        <v/>
      </c>
      <c r="D3971">
        <f>IF(B3971="","",HOUR(A3971))</f>
        <v/>
      </c>
    </row>
    <row r="3972">
      <c r="A3972">
        <f>Input!A3972</f>
        <v/>
      </c>
      <c r="B3972">
        <f>IF(ISNUMBER(Input!B3972),IF(AND(Input!B3972&gt;=20,Input!B3972&lt;=700),Input!B3972,""),"")</f>
        <v/>
      </c>
      <c r="C3972">
        <f>IF(B3972="","",INT(A3972))</f>
        <v/>
      </c>
      <c r="D3972">
        <f>IF(B3972="","",HOUR(A3972))</f>
        <v/>
      </c>
    </row>
    <row r="3973">
      <c r="A3973">
        <f>Input!A3973</f>
        <v/>
      </c>
      <c r="B3973">
        <f>IF(ISNUMBER(Input!B3973),IF(AND(Input!B3973&gt;=20,Input!B3973&lt;=700),Input!B3973,""),"")</f>
        <v/>
      </c>
      <c r="C3973">
        <f>IF(B3973="","",INT(A3973))</f>
        <v/>
      </c>
      <c r="D3973">
        <f>IF(B3973="","",HOUR(A3973))</f>
        <v/>
      </c>
    </row>
    <row r="3974">
      <c r="A3974">
        <f>Input!A3974</f>
        <v/>
      </c>
      <c r="B3974">
        <f>IF(ISNUMBER(Input!B3974),IF(AND(Input!B3974&gt;=20,Input!B3974&lt;=700),Input!B3974,""),"")</f>
        <v/>
      </c>
      <c r="C3974">
        <f>IF(B3974="","",INT(A3974))</f>
        <v/>
      </c>
      <c r="D3974">
        <f>IF(B3974="","",HOUR(A3974))</f>
        <v/>
      </c>
    </row>
    <row r="3975">
      <c r="A3975">
        <f>Input!A3975</f>
        <v/>
      </c>
      <c r="B3975">
        <f>IF(ISNUMBER(Input!B3975),IF(AND(Input!B3975&gt;=20,Input!B3975&lt;=700),Input!B3975,""),"")</f>
        <v/>
      </c>
      <c r="C3975">
        <f>IF(B3975="","",INT(A3975))</f>
        <v/>
      </c>
      <c r="D3975">
        <f>IF(B3975="","",HOUR(A3975))</f>
        <v/>
      </c>
    </row>
    <row r="3976">
      <c r="A3976">
        <f>Input!A3976</f>
        <v/>
      </c>
      <c r="B3976">
        <f>IF(ISNUMBER(Input!B3976),IF(AND(Input!B3976&gt;=20,Input!B3976&lt;=700),Input!B3976,""),"")</f>
        <v/>
      </c>
      <c r="C3976">
        <f>IF(B3976="","",INT(A3976))</f>
        <v/>
      </c>
      <c r="D3976">
        <f>IF(B3976="","",HOUR(A3976))</f>
        <v/>
      </c>
    </row>
    <row r="3977">
      <c r="A3977">
        <f>Input!A3977</f>
        <v/>
      </c>
      <c r="B3977">
        <f>IF(ISNUMBER(Input!B3977),IF(AND(Input!B3977&gt;=20,Input!B3977&lt;=700),Input!B3977,""),"")</f>
        <v/>
      </c>
      <c r="C3977">
        <f>IF(B3977="","",INT(A3977))</f>
        <v/>
      </c>
      <c r="D3977">
        <f>IF(B3977="","",HOUR(A3977))</f>
        <v/>
      </c>
    </row>
    <row r="3978">
      <c r="A3978">
        <f>Input!A3978</f>
        <v/>
      </c>
      <c r="B3978">
        <f>IF(ISNUMBER(Input!B3978),IF(AND(Input!B3978&gt;=20,Input!B3978&lt;=700),Input!B3978,""),"")</f>
        <v/>
      </c>
      <c r="C3978">
        <f>IF(B3978="","",INT(A3978))</f>
        <v/>
      </c>
      <c r="D3978">
        <f>IF(B3978="","",HOUR(A3978))</f>
        <v/>
      </c>
    </row>
    <row r="3979">
      <c r="A3979">
        <f>Input!A3979</f>
        <v/>
      </c>
      <c r="B3979">
        <f>IF(ISNUMBER(Input!B3979),IF(AND(Input!B3979&gt;=20,Input!B3979&lt;=700),Input!B3979,""),"")</f>
        <v/>
      </c>
      <c r="C3979">
        <f>IF(B3979="","",INT(A3979))</f>
        <v/>
      </c>
      <c r="D3979">
        <f>IF(B3979="","",HOUR(A3979))</f>
        <v/>
      </c>
    </row>
    <row r="3980">
      <c r="A3980">
        <f>Input!A3980</f>
        <v/>
      </c>
      <c r="B3980">
        <f>IF(ISNUMBER(Input!B3980),IF(AND(Input!B3980&gt;=20,Input!B3980&lt;=700),Input!B3980,""),"")</f>
        <v/>
      </c>
      <c r="C3980">
        <f>IF(B3980="","",INT(A3980))</f>
        <v/>
      </c>
      <c r="D3980">
        <f>IF(B3980="","",HOUR(A3980))</f>
        <v/>
      </c>
    </row>
    <row r="3981">
      <c r="A3981">
        <f>Input!A3981</f>
        <v/>
      </c>
      <c r="B3981">
        <f>IF(ISNUMBER(Input!B3981),IF(AND(Input!B3981&gt;=20,Input!B3981&lt;=700),Input!B3981,""),"")</f>
        <v/>
      </c>
      <c r="C3981">
        <f>IF(B3981="","",INT(A3981))</f>
        <v/>
      </c>
      <c r="D3981">
        <f>IF(B3981="","",HOUR(A3981))</f>
        <v/>
      </c>
    </row>
    <row r="3982">
      <c r="A3982">
        <f>Input!A3982</f>
        <v/>
      </c>
      <c r="B3982">
        <f>IF(ISNUMBER(Input!B3982),IF(AND(Input!B3982&gt;=20,Input!B3982&lt;=700),Input!B3982,""),"")</f>
        <v/>
      </c>
      <c r="C3982">
        <f>IF(B3982="","",INT(A3982))</f>
        <v/>
      </c>
      <c r="D3982">
        <f>IF(B3982="","",HOUR(A3982))</f>
        <v/>
      </c>
    </row>
    <row r="3983">
      <c r="A3983">
        <f>Input!A3983</f>
        <v/>
      </c>
      <c r="B3983">
        <f>IF(ISNUMBER(Input!B3983),IF(AND(Input!B3983&gt;=20,Input!B3983&lt;=700),Input!B3983,""),"")</f>
        <v/>
      </c>
      <c r="C3983">
        <f>IF(B3983="","",INT(A3983))</f>
        <v/>
      </c>
      <c r="D3983">
        <f>IF(B3983="","",HOUR(A3983))</f>
        <v/>
      </c>
    </row>
    <row r="3984">
      <c r="A3984">
        <f>Input!A3984</f>
        <v/>
      </c>
      <c r="B3984">
        <f>IF(ISNUMBER(Input!B3984),IF(AND(Input!B3984&gt;=20,Input!B3984&lt;=700),Input!B3984,""),"")</f>
        <v/>
      </c>
      <c r="C3984">
        <f>IF(B3984="","",INT(A3984))</f>
        <v/>
      </c>
      <c r="D3984">
        <f>IF(B3984="","",HOUR(A3984))</f>
        <v/>
      </c>
    </row>
    <row r="3985">
      <c r="A3985">
        <f>Input!A3985</f>
        <v/>
      </c>
      <c r="B3985">
        <f>IF(ISNUMBER(Input!B3985),IF(AND(Input!B3985&gt;=20,Input!B3985&lt;=700),Input!B3985,""),"")</f>
        <v/>
      </c>
      <c r="C3985">
        <f>IF(B3985="","",INT(A3985))</f>
        <v/>
      </c>
      <c r="D3985">
        <f>IF(B3985="","",HOUR(A3985))</f>
        <v/>
      </c>
    </row>
    <row r="3986">
      <c r="A3986">
        <f>Input!A3986</f>
        <v/>
      </c>
      <c r="B3986">
        <f>IF(ISNUMBER(Input!B3986),IF(AND(Input!B3986&gt;=20,Input!B3986&lt;=700),Input!B3986,""),"")</f>
        <v/>
      </c>
      <c r="C3986">
        <f>IF(B3986="","",INT(A3986))</f>
        <v/>
      </c>
      <c r="D3986">
        <f>IF(B3986="","",HOUR(A3986))</f>
        <v/>
      </c>
    </row>
    <row r="3987">
      <c r="A3987">
        <f>Input!A3987</f>
        <v/>
      </c>
      <c r="B3987">
        <f>IF(ISNUMBER(Input!B3987),IF(AND(Input!B3987&gt;=20,Input!B3987&lt;=700),Input!B3987,""),"")</f>
        <v/>
      </c>
      <c r="C3987">
        <f>IF(B3987="","",INT(A3987))</f>
        <v/>
      </c>
      <c r="D3987">
        <f>IF(B3987="","",HOUR(A3987))</f>
        <v/>
      </c>
    </row>
    <row r="3988">
      <c r="A3988">
        <f>Input!A3988</f>
        <v/>
      </c>
      <c r="B3988">
        <f>IF(ISNUMBER(Input!B3988),IF(AND(Input!B3988&gt;=20,Input!B3988&lt;=700),Input!B3988,""),"")</f>
        <v/>
      </c>
      <c r="C3988">
        <f>IF(B3988="","",INT(A3988))</f>
        <v/>
      </c>
      <c r="D3988">
        <f>IF(B3988="","",HOUR(A3988))</f>
        <v/>
      </c>
    </row>
    <row r="3989">
      <c r="A3989">
        <f>Input!A3989</f>
        <v/>
      </c>
      <c r="B3989">
        <f>IF(ISNUMBER(Input!B3989),IF(AND(Input!B3989&gt;=20,Input!B3989&lt;=700),Input!B3989,""),"")</f>
        <v/>
      </c>
      <c r="C3989">
        <f>IF(B3989="","",INT(A3989))</f>
        <v/>
      </c>
      <c r="D3989">
        <f>IF(B3989="","",HOUR(A3989))</f>
        <v/>
      </c>
    </row>
    <row r="3990">
      <c r="A3990">
        <f>Input!A3990</f>
        <v/>
      </c>
      <c r="B3990">
        <f>IF(ISNUMBER(Input!B3990),IF(AND(Input!B3990&gt;=20,Input!B3990&lt;=700),Input!B3990,""),"")</f>
        <v/>
      </c>
      <c r="C3990">
        <f>IF(B3990="","",INT(A3990))</f>
        <v/>
      </c>
      <c r="D3990">
        <f>IF(B3990="","",HOUR(A3990))</f>
        <v/>
      </c>
    </row>
    <row r="3991">
      <c r="A3991">
        <f>Input!A3991</f>
        <v/>
      </c>
      <c r="B3991">
        <f>IF(ISNUMBER(Input!B3991),IF(AND(Input!B3991&gt;=20,Input!B3991&lt;=700),Input!B3991,""),"")</f>
        <v/>
      </c>
      <c r="C3991">
        <f>IF(B3991="","",INT(A3991))</f>
        <v/>
      </c>
      <c r="D3991">
        <f>IF(B3991="","",HOUR(A3991))</f>
        <v/>
      </c>
    </row>
    <row r="3992">
      <c r="A3992">
        <f>Input!A3992</f>
        <v/>
      </c>
      <c r="B3992">
        <f>IF(ISNUMBER(Input!B3992),IF(AND(Input!B3992&gt;=20,Input!B3992&lt;=700),Input!B3992,""),"")</f>
        <v/>
      </c>
      <c r="C3992">
        <f>IF(B3992="","",INT(A3992))</f>
        <v/>
      </c>
      <c r="D3992">
        <f>IF(B3992="","",HOUR(A3992))</f>
        <v/>
      </c>
    </row>
    <row r="3993">
      <c r="A3993">
        <f>Input!A3993</f>
        <v/>
      </c>
      <c r="B3993">
        <f>IF(ISNUMBER(Input!B3993),IF(AND(Input!B3993&gt;=20,Input!B3993&lt;=700),Input!B3993,""),"")</f>
        <v/>
      </c>
      <c r="C3993">
        <f>IF(B3993="","",INT(A3993))</f>
        <v/>
      </c>
      <c r="D3993">
        <f>IF(B3993="","",HOUR(A3993))</f>
        <v/>
      </c>
    </row>
    <row r="3994">
      <c r="A3994">
        <f>Input!A3994</f>
        <v/>
      </c>
      <c r="B3994">
        <f>IF(ISNUMBER(Input!B3994),IF(AND(Input!B3994&gt;=20,Input!B3994&lt;=700),Input!B3994,""),"")</f>
        <v/>
      </c>
      <c r="C3994">
        <f>IF(B3994="","",INT(A3994))</f>
        <v/>
      </c>
      <c r="D3994">
        <f>IF(B3994="","",HOUR(A3994))</f>
        <v/>
      </c>
    </row>
    <row r="3995">
      <c r="A3995">
        <f>Input!A3995</f>
        <v/>
      </c>
      <c r="B3995">
        <f>IF(ISNUMBER(Input!B3995),IF(AND(Input!B3995&gt;=20,Input!B3995&lt;=700),Input!B3995,""),"")</f>
        <v/>
      </c>
      <c r="C3995">
        <f>IF(B3995="","",INT(A3995))</f>
        <v/>
      </c>
      <c r="D3995">
        <f>IF(B3995="","",HOUR(A3995))</f>
        <v/>
      </c>
    </row>
    <row r="3996">
      <c r="A3996">
        <f>Input!A3996</f>
        <v/>
      </c>
      <c r="B3996">
        <f>IF(ISNUMBER(Input!B3996),IF(AND(Input!B3996&gt;=20,Input!B3996&lt;=700),Input!B3996,""),"")</f>
        <v/>
      </c>
      <c r="C3996">
        <f>IF(B3996="","",INT(A3996))</f>
        <v/>
      </c>
      <c r="D3996">
        <f>IF(B3996="","",HOUR(A3996))</f>
        <v/>
      </c>
    </row>
    <row r="3997">
      <c r="A3997">
        <f>Input!A3997</f>
        <v/>
      </c>
      <c r="B3997">
        <f>IF(ISNUMBER(Input!B3997),IF(AND(Input!B3997&gt;=20,Input!B3997&lt;=700),Input!B3997,""),"")</f>
        <v/>
      </c>
      <c r="C3997">
        <f>IF(B3997="","",INT(A3997))</f>
        <v/>
      </c>
      <c r="D3997">
        <f>IF(B3997="","",HOUR(A3997))</f>
        <v/>
      </c>
    </row>
    <row r="3998">
      <c r="A3998">
        <f>Input!A3998</f>
        <v/>
      </c>
      <c r="B3998">
        <f>IF(ISNUMBER(Input!B3998),IF(AND(Input!B3998&gt;=20,Input!B3998&lt;=700),Input!B3998,""),"")</f>
        <v/>
      </c>
      <c r="C3998">
        <f>IF(B3998="","",INT(A3998))</f>
        <v/>
      </c>
      <c r="D3998">
        <f>IF(B3998="","",HOUR(A3998))</f>
        <v/>
      </c>
    </row>
    <row r="3999">
      <c r="A3999">
        <f>Input!A3999</f>
        <v/>
      </c>
      <c r="B3999">
        <f>IF(ISNUMBER(Input!B3999),IF(AND(Input!B3999&gt;=20,Input!B3999&lt;=700),Input!B3999,""),"")</f>
        <v/>
      </c>
      <c r="C3999">
        <f>IF(B3999="","",INT(A3999))</f>
        <v/>
      </c>
      <c r="D3999">
        <f>IF(B3999="","",HOUR(A3999))</f>
        <v/>
      </c>
    </row>
    <row r="4000">
      <c r="A4000">
        <f>Input!A4000</f>
        <v/>
      </c>
      <c r="B4000">
        <f>IF(ISNUMBER(Input!B4000),IF(AND(Input!B4000&gt;=20,Input!B4000&lt;=700),Input!B4000,""),"")</f>
        <v/>
      </c>
      <c r="C4000">
        <f>IF(B4000="","",INT(A4000))</f>
        <v/>
      </c>
      <c r="D4000">
        <f>IF(B4000="","",HOUR(A4000))</f>
        <v/>
      </c>
    </row>
    <row r="4001">
      <c r="A4001">
        <f>Input!A4001</f>
        <v/>
      </c>
      <c r="B4001">
        <f>IF(ISNUMBER(Input!B4001),IF(AND(Input!B4001&gt;=20,Input!B4001&lt;=700),Input!B4001,""),"")</f>
        <v/>
      </c>
      <c r="C4001">
        <f>IF(B4001="","",INT(A4001))</f>
        <v/>
      </c>
      <c r="D4001">
        <f>IF(B4001="","",HOUR(A4001))</f>
        <v/>
      </c>
    </row>
    <row r="4002">
      <c r="A4002">
        <f>Input!A4002</f>
        <v/>
      </c>
      <c r="B4002">
        <f>IF(ISNUMBER(Input!B4002),IF(AND(Input!B4002&gt;=20,Input!B4002&lt;=700),Input!B4002,""),"")</f>
        <v/>
      </c>
      <c r="C4002">
        <f>IF(B4002="","",INT(A4002))</f>
        <v/>
      </c>
      <c r="D4002">
        <f>IF(B4002="","",HOUR(A4002))</f>
        <v/>
      </c>
    </row>
    <row r="4003">
      <c r="A4003">
        <f>Input!A4003</f>
        <v/>
      </c>
      <c r="B4003">
        <f>IF(ISNUMBER(Input!B4003),IF(AND(Input!B4003&gt;=20,Input!B4003&lt;=700),Input!B4003,""),"")</f>
        <v/>
      </c>
      <c r="C4003">
        <f>IF(B4003="","",INT(A4003))</f>
        <v/>
      </c>
      <c r="D4003">
        <f>IF(B4003="","",HOUR(A4003))</f>
        <v/>
      </c>
    </row>
    <row r="4004">
      <c r="A4004">
        <f>Input!A4004</f>
        <v/>
      </c>
      <c r="B4004">
        <f>IF(ISNUMBER(Input!B4004),IF(AND(Input!B4004&gt;=20,Input!B4004&lt;=700),Input!B4004,""),"")</f>
        <v/>
      </c>
      <c r="C4004">
        <f>IF(B4004="","",INT(A4004))</f>
        <v/>
      </c>
      <c r="D4004">
        <f>IF(B4004="","",HOUR(A4004))</f>
        <v/>
      </c>
    </row>
    <row r="4005">
      <c r="A4005">
        <f>Input!A4005</f>
        <v/>
      </c>
      <c r="B4005">
        <f>IF(ISNUMBER(Input!B4005),IF(AND(Input!B4005&gt;=20,Input!B4005&lt;=700),Input!B4005,""),"")</f>
        <v/>
      </c>
      <c r="C4005">
        <f>IF(B4005="","",INT(A4005))</f>
        <v/>
      </c>
      <c r="D4005">
        <f>IF(B4005="","",HOUR(A4005))</f>
        <v/>
      </c>
    </row>
    <row r="4006">
      <c r="A4006">
        <f>Input!A4006</f>
        <v/>
      </c>
      <c r="B4006">
        <f>IF(ISNUMBER(Input!B4006),IF(AND(Input!B4006&gt;=20,Input!B4006&lt;=700),Input!B4006,""),"")</f>
        <v/>
      </c>
      <c r="C4006">
        <f>IF(B4006="","",INT(A4006))</f>
        <v/>
      </c>
      <c r="D4006">
        <f>IF(B4006="","",HOUR(A4006))</f>
        <v/>
      </c>
    </row>
    <row r="4007">
      <c r="A4007">
        <f>Input!A4007</f>
        <v/>
      </c>
      <c r="B4007">
        <f>IF(ISNUMBER(Input!B4007),IF(AND(Input!B4007&gt;=20,Input!B4007&lt;=700),Input!B4007,""),"")</f>
        <v/>
      </c>
      <c r="C4007">
        <f>IF(B4007="","",INT(A4007))</f>
        <v/>
      </c>
      <c r="D4007">
        <f>IF(B4007="","",HOUR(A4007))</f>
        <v/>
      </c>
    </row>
    <row r="4008">
      <c r="A4008">
        <f>Input!A4008</f>
        <v/>
      </c>
      <c r="B4008">
        <f>IF(ISNUMBER(Input!B4008),IF(AND(Input!B4008&gt;=20,Input!B4008&lt;=700),Input!B4008,""),"")</f>
        <v/>
      </c>
      <c r="C4008">
        <f>IF(B4008="","",INT(A4008))</f>
        <v/>
      </c>
      <c r="D4008">
        <f>IF(B4008="","",HOUR(A4008))</f>
        <v/>
      </c>
    </row>
    <row r="4009">
      <c r="A4009">
        <f>Input!A4009</f>
        <v/>
      </c>
      <c r="B4009">
        <f>IF(ISNUMBER(Input!B4009),IF(AND(Input!B4009&gt;=20,Input!B4009&lt;=700),Input!B4009,""),"")</f>
        <v/>
      </c>
      <c r="C4009">
        <f>IF(B4009="","",INT(A4009))</f>
        <v/>
      </c>
      <c r="D4009">
        <f>IF(B4009="","",HOUR(A4009))</f>
        <v/>
      </c>
    </row>
    <row r="4010">
      <c r="A4010">
        <f>Input!A4010</f>
        <v/>
      </c>
      <c r="B4010">
        <f>IF(ISNUMBER(Input!B4010),IF(AND(Input!B4010&gt;=20,Input!B4010&lt;=700),Input!B4010,""),"")</f>
        <v/>
      </c>
      <c r="C4010">
        <f>IF(B4010="","",INT(A4010))</f>
        <v/>
      </c>
      <c r="D4010">
        <f>IF(B4010="","",HOUR(A4010))</f>
        <v/>
      </c>
    </row>
    <row r="4011">
      <c r="A4011">
        <f>Input!A4011</f>
        <v/>
      </c>
      <c r="B4011">
        <f>IF(ISNUMBER(Input!B4011),IF(AND(Input!B4011&gt;=20,Input!B4011&lt;=700),Input!B4011,""),"")</f>
        <v/>
      </c>
      <c r="C4011">
        <f>IF(B4011="","",INT(A4011))</f>
        <v/>
      </c>
      <c r="D4011">
        <f>IF(B4011="","",HOUR(A4011))</f>
        <v/>
      </c>
    </row>
    <row r="4012">
      <c r="A4012">
        <f>Input!A4012</f>
        <v/>
      </c>
      <c r="B4012">
        <f>IF(ISNUMBER(Input!B4012),IF(AND(Input!B4012&gt;=20,Input!B4012&lt;=700),Input!B4012,""),"")</f>
        <v/>
      </c>
      <c r="C4012">
        <f>IF(B4012="","",INT(A4012))</f>
        <v/>
      </c>
      <c r="D4012">
        <f>IF(B4012="","",HOUR(A4012))</f>
        <v/>
      </c>
    </row>
    <row r="4013">
      <c r="A4013">
        <f>Input!A4013</f>
        <v/>
      </c>
      <c r="B4013">
        <f>IF(ISNUMBER(Input!B4013),IF(AND(Input!B4013&gt;=20,Input!B4013&lt;=700),Input!B4013,""),"")</f>
        <v/>
      </c>
      <c r="C4013">
        <f>IF(B4013="","",INT(A4013))</f>
        <v/>
      </c>
      <c r="D4013">
        <f>IF(B4013="","",HOUR(A4013))</f>
        <v/>
      </c>
    </row>
    <row r="4014">
      <c r="A4014">
        <f>Input!A4014</f>
        <v/>
      </c>
      <c r="B4014">
        <f>IF(ISNUMBER(Input!B4014),IF(AND(Input!B4014&gt;=20,Input!B4014&lt;=700),Input!B4014,""),"")</f>
        <v/>
      </c>
      <c r="C4014">
        <f>IF(B4014="","",INT(A4014))</f>
        <v/>
      </c>
      <c r="D4014">
        <f>IF(B4014="","",HOUR(A4014))</f>
        <v/>
      </c>
    </row>
    <row r="4015">
      <c r="A4015">
        <f>Input!A4015</f>
        <v/>
      </c>
      <c r="B4015">
        <f>IF(ISNUMBER(Input!B4015),IF(AND(Input!B4015&gt;=20,Input!B4015&lt;=700),Input!B4015,""),"")</f>
        <v/>
      </c>
      <c r="C4015">
        <f>IF(B4015="","",INT(A4015))</f>
        <v/>
      </c>
      <c r="D4015">
        <f>IF(B4015="","",HOUR(A4015))</f>
        <v/>
      </c>
    </row>
    <row r="4016">
      <c r="A4016">
        <f>Input!A4016</f>
        <v/>
      </c>
      <c r="B4016">
        <f>IF(ISNUMBER(Input!B4016),IF(AND(Input!B4016&gt;=20,Input!B4016&lt;=700),Input!B4016,""),"")</f>
        <v/>
      </c>
      <c r="C4016">
        <f>IF(B4016="","",INT(A4016))</f>
        <v/>
      </c>
      <c r="D4016">
        <f>IF(B4016="","",HOUR(A4016))</f>
        <v/>
      </c>
    </row>
    <row r="4017">
      <c r="A4017">
        <f>Input!A4017</f>
        <v/>
      </c>
      <c r="B4017">
        <f>IF(ISNUMBER(Input!B4017),IF(AND(Input!B4017&gt;=20,Input!B4017&lt;=700),Input!B4017,""),"")</f>
        <v/>
      </c>
      <c r="C4017">
        <f>IF(B4017="","",INT(A4017))</f>
        <v/>
      </c>
      <c r="D4017">
        <f>IF(B4017="","",HOUR(A4017))</f>
        <v/>
      </c>
    </row>
    <row r="4018">
      <c r="A4018">
        <f>Input!A4018</f>
        <v/>
      </c>
      <c r="B4018">
        <f>IF(ISNUMBER(Input!B4018),IF(AND(Input!B4018&gt;=20,Input!B4018&lt;=700),Input!B4018,""),"")</f>
        <v/>
      </c>
      <c r="C4018">
        <f>IF(B4018="","",INT(A4018))</f>
        <v/>
      </c>
      <c r="D4018">
        <f>IF(B4018="","",HOUR(A4018))</f>
        <v/>
      </c>
    </row>
    <row r="4019">
      <c r="A4019">
        <f>Input!A4019</f>
        <v/>
      </c>
      <c r="B4019">
        <f>IF(ISNUMBER(Input!B4019),IF(AND(Input!B4019&gt;=20,Input!B4019&lt;=700),Input!B4019,""),"")</f>
        <v/>
      </c>
      <c r="C4019">
        <f>IF(B4019="","",INT(A4019))</f>
        <v/>
      </c>
      <c r="D4019">
        <f>IF(B4019="","",HOUR(A4019))</f>
        <v/>
      </c>
    </row>
    <row r="4020">
      <c r="A4020">
        <f>Input!A4020</f>
        <v/>
      </c>
      <c r="B4020">
        <f>IF(ISNUMBER(Input!B4020),IF(AND(Input!B4020&gt;=20,Input!B4020&lt;=700),Input!B4020,""),"")</f>
        <v/>
      </c>
      <c r="C4020">
        <f>IF(B4020="","",INT(A4020))</f>
        <v/>
      </c>
      <c r="D4020">
        <f>IF(B4020="","",HOUR(A4020))</f>
        <v/>
      </c>
    </row>
    <row r="4021">
      <c r="A4021">
        <f>Input!A4021</f>
        <v/>
      </c>
      <c r="B4021">
        <f>IF(ISNUMBER(Input!B4021),IF(AND(Input!B4021&gt;=20,Input!B4021&lt;=700),Input!B4021,""),"")</f>
        <v/>
      </c>
      <c r="C4021">
        <f>IF(B4021="","",INT(A4021))</f>
        <v/>
      </c>
      <c r="D4021">
        <f>IF(B4021="","",HOUR(A4021))</f>
        <v/>
      </c>
    </row>
    <row r="4022">
      <c r="A4022">
        <f>Input!A4022</f>
        <v/>
      </c>
      <c r="B4022">
        <f>IF(ISNUMBER(Input!B4022),IF(AND(Input!B4022&gt;=20,Input!B4022&lt;=700),Input!B4022,""),"")</f>
        <v/>
      </c>
      <c r="C4022">
        <f>IF(B4022="","",INT(A4022))</f>
        <v/>
      </c>
      <c r="D4022">
        <f>IF(B4022="","",HOUR(A4022))</f>
        <v/>
      </c>
    </row>
    <row r="4023">
      <c r="A4023">
        <f>Input!A4023</f>
        <v/>
      </c>
      <c r="B4023">
        <f>IF(ISNUMBER(Input!B4023),IF(AND(Input!B4023&gt;=20,Input!B4023&lt;=700),Input!B4023,""),"")</f>
        <v/>
      </c>
      <c r="C4023">
        <f>IF(B4023="","",INT(A4023))</f>
        <v/>
      </c>
      <c r="D4023">
        <f>IF(B4023="","",HOUR(A4023))</f>
        <v/>
      </c>
    </row>
    <row r="4024">
      <c r="A4024">
        <f>Input!A4024</f>
        <v/>
      </c>
      <c r="B4024">
        <f>IF(ISNUMBER(Input!B4024),IF(AND(Input!B4024&gt;=20,Input!B4024&lt;=700),Input!B4024,""),"")</f>
        <v/>
      </c>
      <c r="C4024">
        <f>IF(B4024="","",INT(A4024))</f>
        <v/>
      </c>
      <c r="D4024">
        <f>IF(B4024="","",HOUR(A4024))</f>
        <v/>
      </c>
    </row>
    <row r="4025">
      <c r="A4025">
        <f>Input!A4025</f>
        <v/>
      </c>
      <c r="B4025">
        <f>IF(ISNUMBER(Input!B4025),IF(AND(Input!B4025&gt;=20,Input!B4025&lt;=700),Input!B4025,""),"")</f>
        <v/>
      </c>
      <c r="C4025">
        <f>IF(B4025="","",INT(A4025))</f>
        <v/>
      </c>
      <c r="D4025">
        <f>IF(B4025="","",HOUR(A4025))</f>
        <v/>
      </c>
    </row>
    <row r="4026">
      <c r="A4026">
        <f>Input!A4026</f>
        <v/>
      </c>
      <c r="B4026">
        <f>IF(ISNUMBER(Input!B4026),IF(AND(Input!B4026&gt;=20,Input!B4026&lt;=700),Input!B4026,""),"")</f>
        <v/>
      </c>
      <c r="C4026">
        <f>IF(B4026="","",INT(A4026))</f>
        <v/>
      </c>
      <c r="D4026">
        <f>IF(B4026="","",HOUR(A4026))</f>
        <v/>
      </c>
    </row>
    <row r="4027">
      <c r="A4027">
        <f>Input!A4027</f>
        <v/>
      </c>
      <c r="B4027">
        <f>IF(ISNUMBER(Input!B4027),IF(AND(Input!B4027&gt;=20,Input!B4027&lt;=700),Input!B4027,""),"")</f>
        <v/>
      </c>
      <c r="C4027">
        <f>IF(B4027="","",INT(A4027))</f>
        <v/>
      </c>
      <c r="D4027">
        <f>IF(B4027="","",HOUR(A4027))</f>
        <v/>
      </c>
    </row>
    <row r="4028">
      <c r="A4028">
        <f>Input!A4028</f>
        <v/>
      </c>
      <c r="B4028">
        <f>IF(ISNUMBER(Input!B4028),IF(AND(Input!B4028&gt;=20,Input!B4028&lt;=700),Input!B4028,""),"")</f>
        <v/>
      </c>
      <c r="C4028">
        <f>IF(B4028="","",INT(A4028))</f>
        <v/>
      </c>
      <c r="D4028">
        <f>IF(B4028="","",HOUR(A4028))</f>
        <v/>
      </c>
    </row>
    <row r="4029">
      <c r="A4029">
        <f>Input!A4029</f>
        <v/>
      </c>
      <c r="B4029">
        <f>IF(ISNUMBER(Input!B4029),IF(AND(Input!B4029&gt;=20,Input!B4029&lt;=700),Input!B4029,""),"")</f>
        <v/>
      </c>
      <c r="C4029">
        <f>IF(B4029="","",INT(A4029))</f>
        <v/>
      </c>
      <c r="D4029">
        <f>IF(B4029="","",HOUR(A4029))</f>
        <v/>
      </c>
    </row>
    <row r="4030">
      <c r="A4030">
        <f>Input!A4030</f>
        <v/>
      </c>
      <c r="B4030">
        <f>IF(ISNUMBER(Input!B4030),IF(AND(Input!B4030&gt;=20,Input!B4030&lt;=700),Input!B4030,""),"")</f>
        <v/>
      </c>
      <c r="C4030">
        <f>IF(B4030="","",INT(A4030))</f>
        <v/>
      </c>
      <c r="D4030">
        <f>IF(B4030="","",HOUR(A4030))</f>
        <v/>
      </c>
    </row>
    <row r="4031">
      <c r="A4031">
        <f>Input!A4031</f>
        <v/>
      </c>
      <c r="B4031">
        <f>IF(ISNUMBER(Input!B4031),IF(AND(Input!B4031&gt;=20,Input!B4031&lt;=700),Input!B4031,""),"")</f>
        <v/>
      </c>
      <c r="C4031">
        <f>IF(B4031="","",INT(A4031))</f>
        <v/>
      </c>
      <c r="D4031">
        <f>IF(B4031="","",HOUR(A4031))</f>
        <v/>
      </c>
    </row>
    <row r="4032">
      <c r="A4032">
        <f>Input!A4032</f>
        <v/>
      </c>
      <c r="B4032">
        <f>IF(ISNUMBER(Input!B4032),IF(AND(Input!B4032&gt;=20,Input!B4032&lt;=700),Input!B4032,""),"")</f>
        <v/>
      </c>
      <c r="C4032">
        <f>IF(B4032="","",INT(A4032))</f>
        <v/>
      </c>
      <c r="D4032">
        <f>IF(B4032="","",HOUR(A4032))</f>
        <v/>
      </c>
    </row>
    <row r="4033">
      <c r="A4033">
        <f>Input!A4033</f>
        <v/>
      </c>
      <c r="B4033">
        <f>IF(ISNUMBER(Input!B4033),IF(AND(Input!B4033&gt;=20,Input!B4033&lt;=700),Input!B4033,""),"")</f>
        <v/>
      </c>
      <c r="C4033">
        <f>IF(B4033="","",INT(A4033))</f>
        <v/>
      </c>
      <c r="D4033">
        <f>IF(B4033="","",HOUR(A4033))</f>
        <v/>
      </c>
    </row>
    <row r="4034">
      <c r="A4034">
        <f>Input!A4034</f>
        <v/>
      </c>
      <c r="B4034">
        <f>IF(ISNUMBER(Input!B4034),IF(AND(Input!B4034&gt;=20,Input!B4034&lt;=700),Input!B4034,""),"")</f>
        <v/>
      </c>
      <c r="C4034">
        <f>IF(B4034="","",INT(A4034))</f>
        <v/>
      </c>
      <c r="D4034">
        <f>IF(B4034="","",HOUR(A4034))</f>
        <v/>
      </c>
    </row>
    <row r="4035">
      <c r="A4035">
        <f>Input!A4035</f>
        <v/>
      </c>
      <c r="B4035">
        <f>IF(ISNUMBER(Input!B4035),IF(AND(Input!B4035&gt;=20,Input!B4035&lt;=700),Input!B4035,""),"")</f>
        <v/>
      </c>
      <c r="C4035">
        <f>IF(B4035="","",INT(A4035))</f>
        <v/>
      </c>
      <c r="D4035">
        <f>IF(B4035="","",HOUR(A4035))</f>
        <v/>
      </c>
    </row>
    <row r="4036">
      <c r="A4036">
        <f>Input!A4036</f>
        <v/>
      </c>
      <c r="B4036">
        <f>IF(ISNUMBER(Input!B4036),IF(AND(Input!B4036&gt;=20,Input!B4036&lt;=700),Input!B4036,""),"")</f>
        <v/>
      </c>
      <c r="C4036">
        <f>IF(B4036="","",INT(A4036))</f>
        <v/>
      </c>
      <c r="D4036">
        <f>IF(B4036="","",HOUR(A4036))</f>
        <v/>
      </c>
    </row>
    <row r="4037">
      <c r="A4037">
        <f>Input!A4037</f>
        <v/>
      </c>
      <c r="B4037">
        <f>IF(ISNUMBER(Input!B4037),IF(AND(Input!B4037&gt;=20,Input!B4037&lt;=700),Input!B4037,""),"")</f>
        <v/>
      </c>
      <c r="C4037">
        <f>IF(B4037="","",INT(A4037))</f>
        <v/>
      </c>
      <c r="D4037">
        <f>IF(B4037="","",HOUR(A4037))</f>
        <v/>
      </c>
    </row>
    <row r="4038">
      <c r="A4038">
        <f>Input!A4038</f>
        <v/>
      </c>
      <c r="B4038">
        <f>IF(ISNUMBER(Input!B4038),IF(AND(Input!B4038&gt;=20,Input!B4038&lt;=700),Input!B4038,""),"")</f>
        <v/>
      </c>
      <c r="C4038">
        <f>IF(B4038="","",INT(A4038))</f>
        <v/>
      </c>
      <c r="D4038">
        <f>IF(B4038="","",HOUR(A4038))</f>
        <v/>
      </c>
    </row>
    <row r="4039">
      <c r="A4039">
        <f>Input!A4039</f>
        <v/>
      </c>
      <c r="B4039">
        <f>IF(ISNUMBER(Input!B4039),IF(AND(Input!B4039&gt;=20,Input!B4039&lt;=700),Input!B4039,""),"")</f>
        <v/>
      </c>
      <c r="C4039">
        <f>IF(B4039="","",INT(A4039))</f>
        <v/>
      </c>
      <c r="D4039">
        <f>IF(B4039="","",HOUR(A4039))</f>
        <v/>
      </c>
    </row>
    <row r="4040">
      <c r="A4040">
        <f>Input!A4040</f>
        <v/>
      </c>
      <c r="B4040">
        <f>IF(ISNUMBER(Input!B4040),IF(AND(Input!B4040&gt;=20,Input!B4040&lt;=700),Input!B4040,""),"")</f>
        <v/>
      </c>
      <c r="C4040">
        <f>IF(B4040="","",INT(A4040))</f>
        <v/>
      </c>
      <c r="D4040">
        <f>IF(B4040="","",HOUR(A4040))</f>
        <v/>
      </c>
    </row>
    <row r="4041">
      <c r="A4041">
        <f>Input!A4041</f>
        <v/>
      </c>
      <c r="B4041">
        <f>IF(ISNUMBER(Input!B4041),IF(AND(Input!B4041&gt;=20,Input!B4041&lt;=700),Input!B4041,""),"")</f>
        <v/>
      </c>
      <c r="C4041">
        <f>IF(B4041="","",INT(A4041))</f>
        <v/>
      </c>
      <c r="D4041">
        <f>IF(B4041="","",HOUR(A4041))</f>
        <v/>
      </c>
    </row>
    <row r="4042">
      <c r="A4042">
        <f>Input!A4042</f>
        <v/>
      </c>
      <c r="B4042">
        <f>IF(ISNUMBER(Input!B4042),IF(AND(Input!B4042&gt;=20,Input!B4042&lt;=700),Input!B4042,""),"")</f>
        <v/>
      </c>
      <c r="C4042">
        <f>IF(B4042="","",INT(A4042))</f>
        <v/>
      </c>
      <c r="D4042">
        <f>IF(B4042="","",HOUR(A4042))</f>
        <v/>
      </c>
    </row>
    <row r="4043">
      <c r="A4043">
        <f>Input!A4043</f>
        <v/>
      </c>
      <c r="B4043">
        <f>IF(ISNUMBER(Input!B4043),IF(AND(Input!B4043&gt;=20,Input!B4043&lt;=700),Input!B4043,""),"")</f>
        <v/>
      </c>
      <c r="C4043">
        <f>IF(B4043="","",INT(A4043))</f>
        <v/>
      </c>
      <c r="D4043">
        <f>IF(B4043="","",HOUR(A4043))</f>
        <v/>
      </c>
    </row>
    <row r="4044">
      <c r="A4044">
        <f>Input!A4044</f>
        <v/>
      </c>
      <c r="B4044">
        <f>IF(ISNUMBER(Input!B4044),IF(AND(Input!B4044&gt;=20,Input!B4044&lt;=700),Input!B4044,""),"")</f>
        <v/>
      </c>
      <c r="C4044">
        <f>IF(B4044="","",INT(A4044))</f>
        <v/>
      </c>
      <c r="D4044">
        <f>IF(B4044="","",HOUR(A4044))</f>
        <v/>
      </c>
    </row>
    <row r="4045">
      <c r="A4045">
        <f>Input!A4045</f>
        <v/>
      </c>
      <c r="B4045">
        <f>IF(ISNUMBER(Input!B4045),IF(AND(Input!B4045&gt;=20,Input!B4045&lt;=700),Input!B4045,""),"")</f>
        <v/>
      </c>
      <c r="C4045">
        <f>IF(B4045="","",INT(A4045))</f>
        <v/>
      </c>
      <c r="D4045">
        <f>IF(B4045="","",HOUR(A4045))</f>
        <v/>
      </c>
    </row>
    <row r="4046">
      <c r="A4046">
        <f>Input!A4046</f>
        <v/>
      </c>
      <c r="B4046">
        <f>IF(ISNUMBER(Input!B4046),IF(AND(Input!B4046&gt;=20,Input!B4046&lt;=700),Input!B4046,""),"")</f>
        <v/>
      </c>
      <c r="C4046">
        <f>IF(B4046="","",INT(A4046))</f>
        <v/>
      </c>
      <c r="D4046">
        <f>IF(B4046="","",HOUR(A4046))</f>
        <v/>
      </c>
    </row>
    <row r="4047">
      <c r="A4047">
        <f>Input!A4047</f>
        <v/>
      </c>
      <c r="B4047">
        <f>IF(ISNUMBER(Input!B4047),IF(AND(Input!B4047&gt;=20,Input!B4047&lt;=700),Input!B4047,""),"")</f>
        <v/>
      </c>
      <c r="C4047">
        <f>IF(B4047="","",INT(A4047))</f>
        <v/>
      </c>
      <c r="D4047">
        <f>IF(B4047="","",HOUR(A4047))</f>
        <v/>
      </c>
    </row>
    <row r="4048">
      <c r="A4048">
        <f>Input!A4048</f>
        <v/>
      </c>
      <c r="B4048">
        <f>IF(ISNUMBER(Input!B4048),IF(AND(Input!B4048&gt;=20,Input!B4048&lt;=700),Input!B4048,""),"")</f>
        <v/>
      </c>
      <c r="C4048">
        <f>IF(B4048="","",INT(A4048))</f>
        <v/>
      </c>
      <c r="D4048">
        <f>IF(B4048="","",HOUR(A4048))</f>
        <v/>
      </c>
    </row>
    <row r="4049">
      <c r="A4049">
        <f>Input!A4049</f>
        <v/>
      </c>
      <c r="B4049">
        <f>IF(ISNUMBER(Input!B4049),IF(AND(Input!B4049&gt;=20,Input!B4049&lt;=700),Input!B4049,""),"")</f>
        <v/>
      </c>
      <c r="C4049">
        <f>IF(B4049="","",INT(A4049))</f>
        <v/>
      </c>
      <c r="D4049">
        <f>IF(B4049="","",HOUR(A4049))</f>
        <v/>
      </c>
    </row>
    <row r="4050">
      <c r="A4050">
        <f>Input!A4050</f>
        <v/>
      </c>
      <c r="B4050">
        <f>IF(ISNUMBER(Input!B4050),IF(AND(Input!B4050&gt;=20,Input!B4050&lt;=700),Input!B4050,""),"")</f>
        <v/>
      </c>
      <c r="C4050">
        <f>IF(B4050="","",INT(A4050))</f>
        <v/>
      </c>
      <c r="D4050">
        <f>IF(B4050="","",HOUR(A4050))</f>
        <v/>
      </c>
    </row>
    <row r="4051">
      <c r="A4051">
        <f>Input!A4051</f>
        <v/>
      </c>
      <c r="B4051">
        <f>IF(ISNUMBER(Input!B4051),IF(AND(Input!B4051&gt;=20,Input!B4051&lt;=700),Input!B4051,""),"")</f>
        <v/>
      </c>
      <c r="C4051">
        <f>IF(B4051="","",INT(A4051))</f>
        <v/>
      </c>
      <c r="D4051">
        <f>IF(B4051="","",HOUR(A4051))</f>
        <v/>
      </c>
    </row>
    <row r="4052">
      <c r="A4052">
        <f>Input!A4052</f>
        <v/>
      </c>
      <c r="B4052">
        <f>IF(ISNUMBER(Input!B4052),IF(AND(Input!B4052&gt;=20,Input!B4052&lt;=700),Input!B4052,""),"")</f>
        <v/>
      </c>
      <c r="C4052">
        <f>IF(B4052="","",INT(A4052))</f>
        <v/>
      </c>
      <c r="D4052">
        <f>IF(B4052="","",HOUR(A4052))</f>
        <v/>
      </c>
    </row>
    <row r="4053">
      <c r="A4053">
        <f>Input!A4053</f>
        <v/>
      </c>
      <c r="B4053">
        <f>IF(ISNUMBER(Input!B4053),IF(AND(Input!B4053&gt;=20,Input!B4053&lt;=700),Input!B4053,""),"")</f>
        <v/>
      </c>
      <c r="C4053">
        <f>IF(B4053="","",INT(A4053))</f>
        <v/>
      </c>
      <c r="D4053">
        <f>IF(B4053="","",HOUR(A4053))</f>
        <v/>
      </c>
    </row>
    <row r="4054">
      <c r="A4054">
        <f>Input!A4054</f>
        <v/>
      </c>
      <c r="B4054">
        <f>IF(ISNUMBER(Input!B4054),IF(AND(Input!B4054&gt;=20,Input!B4054&lt;=700),Input!B4054,""),"")</f>
        <v/>
      </c>
      <c r="C4054">
        <f>IF(B4054="","",INT(A4054))</f>
        <v/>
      </c>
      <c r="D4054">
        <f>IF(B4054="","",HOUR(A4054))</f>
        <v/>
      </c>
    </row>
    <row r="4055">
      <c r="A4055">
        <f>Input!A4055</f>
        <v/>
      </c>
      <c r="B4055">
        <f>IF(ISNUMBER(Input!B4055),IF(AND(Input!B4055&gt;=20,Input!B4055&lt;=700),Input!B4055,""),"")</f>
        <v/>
      </c>
      <c r="C4055">
        <f>IF(B4055="","",INT(A4055))</f>
        <v/>
      </c>
      <c r="D4055">
        <f>IF(B4055="","",HOUR(A4055))</f>
        <v/>
      </c>
    </row>
    <row r="4056">
      <c r="A4056">
        <f>Input!A4056</f>
        <v/>
      </c>
      <c r="B4056">
        <f>IF(ISNUMBER(Input!B4056),IF(AND(Input!B4056&gt;=20,Input!B4056&lt;=700),Input!B4056,""),"")</f>
        <v/>
      </c>
      <c r="C4056">
        <f>IF(B4056="","",INT(A4056))</f>
        <v/>
      </c>
      <c r="D4056">
        <f>IF(B4056="","",HOUR(A4056))</f>
        <v/>
      </c>
    </row>
    <row r="4057">
      <c r="A4057">
        <f>Input!A4057</f>
        <v/>
      </c>
      <c r="B4057">
        <f>IF(ISNUMBER(Input!B4057),IF(AND(Input!B4057&gt;=20,Input!B4057&lt;=700),Input!B4057,""),"")</f>
        <v/>
      </c>
      <c r="C4057">
        <f>IF(B4057="","",INT(A4057))</f>
        <v/>
      </c>
      <c r="D4057">
        <f>IF(B4057="","",HOUR(A4057))</f>
        <v/>
      </c>
    </row>
    <row r="4058">
      <c r="A4058">
        <f>Input!A4058</f>
        <v/>
      </c>
      <c r="B4058">
        <f>IF(ISNUMBER(Input!B4058),IF(AND(Input!B4058&gt;=20,Input!B4058&lt;=700),Input!B4058,""),"")</f>
        <v/>
      </c>
      <c r="C4058">
        <f>IF(B4058="","",INT(A4058))</f>
        <v/>
      </c>
      <c r="D4058">
        <f>IF(B4058="","",HOUR(A4058))</f>
        <v/>
      </c>
    </row>
    <row r="4059">
      <c r="A4059">
        <f>Input!A4059</f>
        <v/>
      </c>
      <c r="B4059">
        <f>IF(ISNUMBER(Input!B4059),IF(AND(Input!B4059&gt;=20,Input!B4059&lt;=700),Input!B4059,""),"")</f>
        <v/>
      </c>
      <c r="C4059">
        <f>IF(B4059="","",INT(A4059))</f>
        <v/>
      </c>
      <c r="D4059">
        <f>IF(B4059="","",HOUR(A4059))</f>
        <v/>
      </c>
    </row>
    <row r="4060">
      <c r="A4060">
        <f>Input!A4060</f>
        <v/>
      </c>
      <c r="B4060">
        <f>IF(ISNUMBER(Input!B4060),IF(AND(Input!B4060&gt;=20,Input!B4060&lt;=700),Input!B4060,""),"")</f>
        <v/>
      </c>
      <c r="C4060">
        <f>IF(B4060="","",INT(A4060))</f>
        <v/>
      </c>
      <c r="D4060">
        <f>IF(B4060="","",HOUR(A4060))</f>
        <v/>
      </c>
    </row>
    <row r="4061">
      <c r="A4061">
        <f>Input!A4061</f>
        <v/>
      </c>
      <c r="B4061">
        <f>IF(ISNUMBER(Input!B4061),IF(AND(Input!B4061&gt;=20,Input!B4061&lt;=700),Input!B4061,""),"")</f>
        <v/>
      </c>
      <c r="C4061">
        <f>IF(B4061="","",INT(A4061))</f>
        <v/>
      </c>
      <c r="D4061">
        <f>IF(B4061="","",HOUR(A4061))</f>
        <v/>
      </c>
    </row>
    <row r="4062">
      <c r="A4062">
        <f>Input!A4062</f>
        <v/>
      </c>
      <c r="B4062">
        <f>IF(ISNUMBER(Input!B4062),IF(AND(Input!B4062&gt;=20,Input!B4062&lt;=700),Input!B4062,""),"")</f>
        <v/>
      </c>
      <c r="C4062">
        <f>IF(B4062="","",INT(A4062))</f>
        <v/>
      </c>
      <c r="D4062">
        <f>IF(B4062="","",HOUR(A4062))</f>
        <v/>
      </c>
    </row>
    <row r="4063">
      <c r="A4063">
        <f>Input!A4063</f>
        <v/>
      </c>
      <c r="B4063">
        <f>IF(ISNUMBER(Input!B4063),IF(AND(Input!B4063&gt;=20,Input!B4063&lt;=700),Input!B4063,""),"")</f>
        <v/>
      </c>
      <c r="C4063">
        <f>IF(B4063="","",INT(A4063))</f>
        <v/>
      </c>
      <c r="D4063">
        <f>IF(B4063="","",HOUR(A4063))</f>
        <v/>
      </c>
    </row>
    <row r="4064">
      <c r="A4064">
        <f>Input!A4064</f>
        <v/>
      </c>
      <c r="B4064">
        <f>IF(ISNUMBER(Input!B4064),IF(AND(Input!B4064&gt;=20,Input!B4064&lt;=700),Input!B4064,""),"")</f>
        <v/>
      </c>
      <c r="C4064">
        <f>IF(B4064="","",INT(A4064))</f>
        <v/>
      </c>
      <c r="D4064">
        <f>IF(B4064="","",HOUR(A4064))</f>
        <v/>
      </c>
    </row>
    <row r="4065">
      <c r="A4065">
        <f>Input!A4065</f>
        <v/>
      </c>
      <c r="B4065">
        <f>IF(ISNUMBER(Input!B4065),IF(AND(Input!B4065&gt;=20,Input!B4065&lt;=700),Input!B4065,""),"")</f>
        <v/>
      </c>
      <c r="C4065">
        <f>IF(B4065="","",INT(A4065))</f>
        <v/>
      </c>
      <c r="D4065">
        <f>IF(B4065="","",HOUR(A4065))</f>
        <v/>
      </c>
    </row>
    <row r="4066">
      <c r="A4066">
        <f>Input!A4066</f>
        <v/>
      </c>
      <c r="B4066">
        <f>IF(ISNUMBER(Input!B4066),IF(AND(Input!B4066&gt;=20,Input!B4066&lt;=700),Input!B4066,""),"")</f>
        <v/>
      </c>
      <c r="C4066">
        <f>IF(B4066="","",INT(A4066))</f>
        <v/>
      </c>
      <c r="D4066">
        <f>IF(B4066="","",HOUR(A4066))</f>
        <v/>
      </c>
    </row>
    <row r="4067">
      <c r="A4067">
        <f>Input!A4067</f>
        <v/>
      </c>
      <c r="B4067">
        <f>IF(ISNUMBER(Input!B4067),IF(AND(Input!B4067&gt;=20,Input!B4067&lt;=700),Input!B4067,""),"")</f>
        <v/>
      </c>
      <c r="C4067">
        <f>IF(B4067="","",INT(A4067))</f>
        <v/>
      </c>
      <c r="D4067">
        <f>IF(B4067="","",HOUR(A4067))</f>
        <v/>
      </c>
    </row>
    <row r="4068">
      <c r="A4068">
        <f>Input!A4068</f>
        <v/>
      </c>
      <c r="B4068">
        <f>IF(ISNUMBER(Input!B4068),IF(AND(Input!B4068&gt;=20,Input!B4068&lt;=700),Input!B4068,""),"")</f>
        <v/>
      </c>
      <c r="C4068">
        <f>IF(B4068="","",INT(A4068))</f>
        <v/>
      </c>
      <c r="D4068">
        <f>IF(B4068="","",HOUR(A4068))</f>
        <v/>
      </c>
    </row>
    <row r="4069">
      <c r="A4069">
        <f>Input!A4069</f>
        <v/>
      </c>
      <c r="B4069">
        <f>IF(ISNUMBER(Input!B4069),IF(AND(Input!B4069&gt;=20,Input!B4069&lt;=700),Input!B4069,""),"")</f>
        <v/>
      </c>
      <c r="C4069">
        <f>IF(B4069="","",INT(A4069))</f>
        <v/>
      </c>
      <c r="D4069">
        <f>IF(B4069="","",HOUR(A4069))</f>
        <v/>
      </c>
    </row>
    <row r="4070">
      <c r="A4070">
        <f>Input!A4070</f>
        <v/>
      </c>
      <c r="B4070">
        <f>IF(ISNUMBER(Input!B4070),IF(AND(Input!B4070&gt;=20,Input!B4070&lt;=700),Input!B4070,""),"")</f>
        <v/>
      </c>
      <c r="C4070">
        <f>IF(B4070="","",INT(A4070))</f>
        <v/>
      </c>
      <c r="D4070">
        <f>IF(B4070="","",HOUR(A4070))</f>
        <v/>
      </c>
    </row>
    <row r="4071">
      <c r="A4071">
        <f>Input!A4071</f>
        <v/>
      </c>
      <c r="B4071">
        <f>IF(ISNUMBER(Input!B4071),IF(AND(Input!B4071&gt;=20,Input!B4071&lt;=700),Input!B4071,""),"")</f>
        <v/>
      </c>
      <c r="C4071">
        <f>IF(B4071="","",INT(A4071))</f>
        <v/>
      </c>
      <c r="D4071">
        <f>IF(B4071="","",HOUR(A4071))</f>
        <v/>
      </c>
    </row>
    <row r="4072">
      <c r="A4072">
        <f>Input!A4072</f>
        <v/>
      </c>
      <c r="B4072">
        <f>IF(ISNUMBER(Input!B4072),IF(AND(Input!B4072&gt;=20,Input!B4072&lt;=700),Input!B4072,""),"")</f>
        <v/>
      </c>
      <c r="C4072">
        <f>IF(B4072="","",INT(A4072))</f>
        <v/>
      </c>
      <c r="D4072">
        <f>IF(B4072="","",HOUR(A4072))</f>
        <v/>
      </c>
    </row>
    <row r="4073">
      <c r="A4073">
        <f>Input!A4073</f>
        <v/>
      </c>
      <c r="B4073">
        <f>IF(ISNUMBER(Input!B4073),IF(AND(Input!B4073&gt;=20,Input!B4073&lt;=700),Input!B4073,""),"")</f>
        <v/>
      </c>
      <c r="C4073">
        <f>IF(B4073="","",INT(A4073))</f>
        <v/>
      </c>
      <c r="D4073">
        <f>IF(B4073="","",HOUR(A4073))</f>
        <v/>
      </c>
    </row>
    <row r="4074">
      <c r="A4074">
        <f>Input!A4074</f>
        <v/>
      </c>
      <c r="B4074">
        <f>IF(ISNUMBER(Input!B4074),IF(AND(Input!B4074&gt;=20,Input!B4074&lt;=700),Input!B4074,""),"")</f>
        <v/>
      </c>
      <c r="C4074">
        <f>IF(B4074="","",INT(A4074))</f>
        <v/>
      </c>
      <c r="D4074">
        <f>IF(B4074="","",HOUR(A4074))</f>
        <v/>
      </c>
    </row>
    <row r="4075">
      <c r="A4075">
        <f>Input!A4075</f>
        <v/>
      </c>
      <c r="B4075">
        <f>IF(ISNUMBER(Input!B4075),IF(AND(Input!B4075&gt;=20,Input!B4075&lt;=700),Input!B4075,""),"")</f>
        <v/>
      </c>
      <c r="C4075">
        <f>IF(B4075="","",INT(A4075))</f>
        <v/>
      </c>
      <c r="D4075">
        <f>IF(B4075="","",HOUR(A4075))</f>
        <v/>
      </c>
    </row>
    <row r="4076">
      <c r="A4076">
        <f>Input!A4076</f>
        <v/>
      </c>
      <c r="B4076">
        <f>IF(ISNUMBER(Input!B4076),IF(AND(Input!B4076&gt;=20,Input!B4076&lt;=700),Input!B4076,""),"")</f>
        <v/>
      </c>
      <c r="C4076">
        <f>IF(B4076="","",INT(A4076))</f>
        <v/>
      </c>
      <c r="D4076">
        <f>IF(B4076="","",HOUR(A4076))</f>
        <v/>
      </c>
    </row>
    <row r="4077">
      <c r="A4077">
        <f>Input!A4077</f>
        <v/>
      </c>
      <c r="B4077">
        <f>IF(ISNUMBER(Input!B4077),IF(AND(Input!B4077&gt;=20,Input!B4077&lt;=700),Input!B4077,""),"")</f>
        <v/>
      </c>
      <c r="C4077">
        <f>IF(B4077="","",INT(A4077))</f>
        <v/>
      </c>
      <c r="D4077">
        <f>IF(B4077="","",HOUR(A4077))</f>
        <v/>
      </c>
    </row>
    <row r="4078">
      <c r="A4078">
        <f>Input!A4078</f>
        <v/>
      </c>
      <c r="B4078">
        <f>IF(ISNUMBER(Input!B4078),IF(AND(Input!B4078&gt;=20,Input!B4078&lt;=700),Input!B4078,""),"")</f>
        <v/>
      </c>
      <c r="C4078">
        <f>IF(B4078="","",INT(A4078))</f>
        <v/>
      </c>
      <c r="D4078">
        <f>IF(B4078="","",HOUR(A4078))</f>
        <v/>
      </c>
    </row>
    <row r="4079">
      <c r="A4079">
        <f>Input!A4079</f>
        <v/>
      </c>
      <c r="B4079">
        <f>IF(ISNUMBER(Input!B4079),IF(AND(Input!B4079&gt;=20,Input!B4079&lt;=700),Input!B4079,""),"")</f>
        <v/>
      </c>
      <c r="C4079">
        <f>IF(B4079="","",INT(A4079))</f>
        <v/>
      </c>
      <c r="D4079">
        <f>IF(B4079="","",HOUR(A4079))</f>
        <v/>
      </c>
    </row>
    <row r="4080">
      <c r="A4080">
        <f>Input!A4080</f>
        <v/>
      </c>
      <c r="B4080">
        <f>IF(ISNUMBER(Input!B4080),IF(AND(Input!B4080&gt;=20,Input!B4080&lt;=700),Input!B4080,""),"")</f>
        <v/>
      </c>
      <c r="C4080">
        <f>IF(B4080="","",INT(A4080))</f>
        <v/>
      </c>
      <c r="D4080">
        <f>IF(B4080="","",HOUR(A4080))</f>
        <v/>
      </c>
    </row>
    <row r="4081">
      <c r="A4081">
        <f>Input!A4081</f>
        <v/>
      </c>
      <c r="B4081">
        <f>IF(ISNUMBER(Input!B4081),IF(AND(Input!B4081&gt;=20,Input!B4081&lt;=700),Input!B4081,""),"")</f>
        <v/>
      </c>
      <c r="C4081">
        <f>IF(B4081="","",INT(A4081))</f>
        <v/>
      </c>
      <c r="D4081">
        <f>IF(B4081="","",HOUR(A4081))</f>
        <v/>
      </c>
    </row>
    <row r="4082">
      <c r="A4082">
        <f>Input!A4082</f>
        <v/>
      </c>
      <c r="B4082">
        <f>IF(ISNUMBER(Input!B4082),IF(AND(Input!B4082&gt;=20,Input!B4082&lt;=700),Input!B4082,""),"")</f>
        <v/>
      </c>
      <c r="C4082">
        <f>IF(B4082="","",INT(A4082))</f>
        <v/>
      </c>
      <c r="D4082">
        <f>IF(B4082="","",HOUR(A4082))</f>
        <v/>
      </c>
    </row>
    <row r="4083">
      <c r="A4083">
        <f>Input!A4083</f>
        <v/>
      </c>
      <c r="B4083">
        <f>IF(ISNUMBER(Input!B4083),IF(AND(Input!B4083&gt;=20,Input!B4083&lt;=700),Input!B4083,""),"")</f>
        <v/>
      </c>
      <c r="C4083">
        <f>IF(B4083="","",INT(A4083))</f>
        <v/>
      </c>
      <c r="D4083">
        <f>IF(B4083="","",HOUR(A4083))</f>
        <v/>
      </c>
    </row>
    <row r="4084">
      <c r="A4084">
        <f>Input!A4084</f>
        <v/>
      </c>
      <c r="B4084">
        <f>IF(ISNUMBER(Input!B4084),IF(AND(Input!B4084&gt;=20,Input!B4084&lt;=700),Input!B4084,""),"")</f>
        <v/>
      </c>
      <c r="C4084">
        <f>IF(B4084="","",INT(A4084))</f>
        <v/>
      </c>
      <c r="D4084">
        <f>IF(B4084="","",HOUR(A4084))</f>
        <v/>
      </c>
    </row>
    <row r="4085">
      <c r="A4085">
        <f>Input!A4085</f>
        <v/>
      </c>
      <c r="B4085">
        <f>IF(ISNUMBER(Input!B4085),IF(AND(Input!B4085&gt;=20,Input!B4085&lt;=700),Input!B4085,""),"")</f>
        <v/>
      </c>
      <c r="C4085">
        <f>IF(B4085="","",INT(A4085))</f>
        <v/>
      </c>
      <c r="D4085">
        <f>IF(B4085="","",HOUR(A4085))</f>
        <v/>
      </c>
    </row>
    <row r="4086">
      <c r="A4086">
        <f>Input!A4086</f>
        <v/>
      </c>
      <c r="B4086">
        <f>IF(ISNUMBER(Input!B4086),IF(AND(Input!B4086&gt;=20,Input!B4086&lt;=700),Input!B4086,""),"")</f>
        <v/>
      </c>
      <c r="C4086">
        <f>IF(B4086="","",INT(A4086))</f>
        <v/>
      </c>
      <c r="D4086">
        <f>IF(B4086="","",HOUR(A4086))</f>
        <v/>
      </c>
    </row>
    <row r="4087">
      <c r="A4087">
        <f>Input!A4087</f>
        <v/>
      </c>
      <c r="B4087">
        <f>IF(ISNUMBER(Input!B4087),IF(AND(Input!B4087&gt;=20,Input!B4087&lt;=700),Input!B4087,""),"")</f>
        <v/>
      </c>
      <c r="C4087">
        <f>IF(B4087="","",INT(A4087))</f>
        <v/>
      </c>
      <c r="D4087">
        <f>IF(B4087="","",HOUR(A4087))</f>
        <v/>
      </c>
    </row>
    <row r="4088">
      <c r="A4088">
        <f>Input!A4088</f>
        <v/>
      </c>
      <c r="B4088">
        <f>IF(ISNUMBER(Input!B4088),IF(AND(Input!B4088&gt;=20,Input!B4088&lt;=700),Input!B4088,""),"")</f>
        <v/>
      </c>
      <c r="C4088">
        <f>IF(B4088="","",INT(A4088))</f>
        <v/>
      </c>
      <c r="D4088">
        <f>IF(B4088="","",HOUR(A4088))</f>
        <v/>
      </c>
    </row>
    <row r="4089">
      <c r="A4089">
        <f>Input!A4089</f>
        <v/>
      </c>
      <c r="B4089">
        <f>IF(ISNUMBER(Input!B4089),IF(AND(Input!B4089&gt;=20,Input!B4089&lt;=700),Input!B4089,""),"")</f>
        <v/>
      </c>
      <c r="C4089">
        <f>IF(B4089="","",INT(A4089))</f>
        <v/>
      </c>
      <c r="D4089">
        <f>IF(B4089="","",HOUR(A4089))</f>
        <v/>
      </c>
    </row>
    <row r="4090">
      <c r="A4090">
        <f>Input!A4090</f>
        <v/>
      </c>
      <c r="B4090">
        <f>IF(ISNUMBER(Input!B4090),IF(AND(Input!B4090&gt;=20,Input!B4090&lt;=700),Input!B4090,""),"")</f>
        <v/>
      </c>
      <c r="C4090">
        <f>IF(B4090="","",INT(A4090))</f>
        <v/>
      </c>
      <c r="D4090">
        <f>IF(B4090="","",HOUR(A4090))</f>
        <v/>
      </c>
    </row>
    <row r="4091">
      <c r="A4091">
        <f>Input!A4091</f>
        <v/>
      </c>
      <c r="B4091">
        <f>IF(ISNUMBER(Input!B4091),IF(AND(Input!B4091&gt;=20,Input!B4091&lt;=700),Input!B4091,""),"")</f>
        <v/>
      </c>
      <c r="C4091">
        <f>IF(B4091="","",INT(A4091))</f>
        <v/>
      </c>
      <c r="D4091">
        <f>IF(B4091="","",HOUR(A4091))</f>
        <v/>
      </c>
    </row>
    <row r="4092">
      <c r="A4092">
        <f>Input!A4092</f>
        <v/>
      </c>
      <c r="B4092">
        <f>IF(ISNUMBER(Input!B4092),IF(AND(Input!B4092&gt;=20,Input!B4092&lt;=700),Input!B4092,""),"")</f>
        <v/>
      </c>
      <c r="C4092">
        <f>IF(B4092="","",INT(A4092))</f>
        <v/>
      </c>
      <c r="D4092">
        <f>IF(B4092="","",HOUR(A4092))</f>
        <v/>
      </c>
    </row>
    <row r="4093">
      <c r="A4093">
        <f>Input!A4093</f>
        <v/>
      </c>
      <c r="B4093">
        <f>IF(ISNUMBER(Input!B4093),IF(AND(Input!B4093&gt;=20,Input!B4093&lt;=700),Input!B4093,""),"")</f>
        <v/>
      </c>
      <c r="C4093">
        <f>IF(B4093="","",INT(A4093))</f>
        <v/>
      </c>
      <c r="D4093">
        <f>IF(B4093="","",HOUR(A4093))</f>
        <v/>
      </c>
    </row>
    <row r="4094">
      <c r="A4094">
        <f>Input!A4094</f>
        <v/>
      </c>
      <c r="B4094">
        <f>IF(ISNUMBER(Input!B4094),IF(AND(Input!B4094&gt;=20,Input!B4094&lt;=700),Input!B4094,""),"")</f>
        <v/>
      </c>
      <c r="C4094">
        <f>IF(B4094="","",INT(A4094))</f>
        <v/>
      </c>
      <c r="D4094">
        <f>IF(B4094="","",HOUR(A4094))</f>
        <v/>
      </c>
    </row>
    <row r="4095">
      <c r="A4095">
        <f>Input!A4095</f>
        <v/>
      </c>
      <c r="B4095">
        <f>IF(ISNUMBER(Input!B4095),IF(AND(Input!B4095&gt;=20,Input!B4095&lt;=700),Input!B4095,""),"")</f>
        <v/>
      </c>
      <c r="C4095">
        <f>IF(B4095="","",INT(A4095))</f>
        <v/>
      </c>
      <c r="D4095">
        <f>IF(B4095="","",HOUR(A4095))</f>
        <v/>
      </c>
    </row>
    <row r="4096">
      <c r="A4096">
        <f>Input!A4096</f>
        <v/>
      </c>
      <c r="B4096">
        <f>IF(ISNUMBER(Input!B4096),IF(AND(Input!B4096&gt;=20,Input!B4096&lt;=700),Input!B4096,""),"")</f>
        <v/>
      </c>
      <c r="C4096">
        <f>IF(B4096="","",INT(A4096))</f>
        <v/>
      </c>
      <c r="D4096">
        <f>IF(B4096="","",HOUR(A4096))</f>
        <v/>
      </c>
    </row>
    <row r="4097">
      <c r="A4097">
        <f>Input!A4097</f>
        <v/>
      </c>
      <c r="B4097">
        <f>IF(ISNUMBER(Input!B4097),IF(AND(Input!B4097&gt;=20,Input!B4097&lt;=700),Input!B4097,""),"")</f>
        <v/>
      </c>
      <c r="C4097">
        <f>IF(B4097="","",INT(A4097))</f>
        <v/>
      </c>
      <c r="D4097">
        <f>IF(B4097="","",HOUR(A4097))</f>
        <v/>
      </c>
    </row>
    <row r="4098">
      <c r="A4098">
        <f>Input!A4098</f>
        <v/>
      </c>
      <c r="B4098">
        <f>IF(ISNUMBER(Input!B4098),IF(AND(Input!B4098&gt;=20,Input!B4098&lt;=700),Input!B4098,""),"")</f>
        <v/>
      </c>
      <c r="C4098">
        <f>IF(B4098="","",INT(A4098))</f>
        <v/>
      </c>
      <c r="D4098">
        <f>IF(B4098="","",HOUR(A4098))</f>
        <v/>
      </c>
    </row>
    <row r="4099">
      <c r="A4099">
        <f>Input!A4099</f>
        <v/>
      </c>
      <c r="B4099">
        <f>IF(ISNUMBER(Input!B4099),IF(AND(Input!B4099&gt;=20,Input!B4099&lt;=700),Input!B4099,""),"")</f>
        <v/>
      </c>
      <c r="C4099">
        <f>IF(B4099="","",INT(A4099))</f>
        <v/>
      </c>
      <c r="D4099">
        <f>IF(B4099="","",HOUR(A4099))</f>
        <v/>
      </c>
    </row>
    <row r="4100">
      <c r="A4100">
        <f>Input!A4100</f>
        <v/>
      </c>
      <c r="B4100">
        <f>IF(ISNUMBER(Input!B4100),IF(AND(Input!B4100&gt;=20,Input!B4100&lt;=700),Input!B4100,""),"")</f>
        <v/>
      </c>
      <c r="C4100">
        <f>IF(B4100="","",INT(A4100))</f>
        <v/>
      </c>
      <c r="D4100">
        <f>IF(B4100="","",HOUR(A4100))</f>
        <v/>
      </c>
    </row>
    <row r="4101">
      <c r="A4101">
        <f>Input!A4101</f>
        <v/>
      </c>
      <c r="B4101">
        <f>IF(ISNUMBER(Input!B4101),IF(AND(Input!B4101&gt;=20,Input!B4101&lt;=700),Input!B4101,""),"")</f>
        <v/>
      </c>
      <c r="C4101">
        <f>IF(B4101="","",INT(A4101))</f>
        <v/>
      </c>
      <c r="D4101">
        <f>IF(B4101="","",HOUR(A4101))</f>
        <v/>
      </c>
    </row>
    <row r="4102">
      <c r="A4102">
        <f>Input!A4102</f>
        <v/>
      </c>
      <c r="B4102">
        <f>IF(ISNUMBER(Input!B4102),IF(AND(Input!B4102&gt;=20,Input!B4102&lt;=700),Input!B4102,""),"")</f>
        <v/>
      </c>
      <c r="C4102">
        <f>IF(B4102="","",INT(A4102))</f>
        <v/>
      </c>
      <c r="D4102">
        <f>IF(B4102="","",HOUR(A4102))</f>
        <v/>
      </c>
    </row>
    <row r="4103">
      <c r="A4103">
        <f>Input!A4103</f>
        <v/>
      </c>
      <c r="B4103">
        <f>IF(ISNUMBER(Input!B4103),IF(AND(Input!B4103&gt;=20,Input!B4103&lt;=700),Input!B4103,""),"")</f>
        <v/>
      </c>
      <c r="C4103">
        <f>IF(B4103="","",INT(A4103))</f>
        <v/>
      </c>
      <c r="D4103">
        <f>IF(B4103="","",HOUR(A4103))</f>
        <v/>
      </c>
    </row>
    <row r="4104">
      <c r="A4104">
        <f>Input!A4104</f>
        <v/>
      </c>
      <c r="B4104">
        <f>IF(ISNUMBER(Input!B4104),IF(AND(Input!B4104&gt;=20,Input!B4104&lt;=700),Input!B4104,""),"")</f>
        <v/>
      </c>
      <c r="C4104">
        <f>IF(B4104="","",INT(A4104))</f>
        <v/>
      </c>
      <c r="D4104">
        <f>IF(B4104="","",HOUR(A4104))</f>
        <v/>
      </c>
    </row>
    <row r="4105">
      <c r="A4105">
        <f>Input!A4105</f>
        <v/>
      </c>
      <c r="B4105">
        <f>IF(ISNUMBER(Input!B4105),IF(AND(Input!B4105&gt;=20,Input!B4105&lt;=700),Input!B4105,""),"")</f>
        <v/>
      </c>
      <c r="C4105">
        <f>IF(B4105="","",INT(A4105))</f>
        <v/>
      </c>
      <c r="D4105">
        <f>IF(B4105="","",HOUR(A4105))</f>
        <v/>
      </c>
    </row>
    <row r="4106">
      <c r="A4106">
        <f>Input!A4106</f>
        <v/>
      </c>
      <c r="B4106">
        <f>IF(ISNUMBER(Input!B4106),IF(AND(Input!B4106&gt;=20,Input!B4106&lt;=700),Input!B4106,""),"")</f>
        <v/>
      </c>
      <c r="C4106">
        <f>IF(B4106="","",INT(A4106))</f>
        <v/>
      </c>
      <c r="D4106">
        <f>IF(B4106="","",HOUR(A4106))</f>
        <v/>
      </c>
    </row>
    <row r="4107">
      <c r="A4107">
        <f>Input!A4107</f>
        <v/>
      </c>
      <c r="B4107">
        <f>IF(ISNUMBER(Input!B4107),IF(AND(Input!B4107&gt;=20,Input!B4107&lt;=700),Input!B4107,""),"")</f>
        <v/>
      </c>
      <c r="C4107">
        <f>IF(B4107="","",INT(A4107))</f>
        <v/>
      </c>
      <c r="D4107">
        <f>IF(B4107="","",HOUR(A4107))</f>
        <v/>
      </c>
    </row>
    <row r="4108">
      <c r="A4108">
        <f>Input!A4108</f>
        <v/>
      </c>
      <c r="B4108">
        <f>IF(ISNUMBER(Input!B4108),IF(AND(Input!B4108&gt;=20,Input!B4108&lt;=700),Input!B4108,""),"")</f>
        <v/>
      </c>
      <c r="C4108">
        <f>IF(B4108="","",INT(A4108))</f>
        <v/>
      </c>
      <c r="D4108">
        <f>IF(B4108="","",HOUR(A4108))</f>
        <v/>
      </c>
    </row>
    <row r="4109">
      <c r="A4109">
        <f>Input!A4109</f>
        <v/>
      </c>
      <c r="B4109">
        <f>IF(ISNUMBER(Input!B4109),IF(AND(Input!B4109&gt;=20,Input!B4109&lt;=700),Input!B4109,""),"")</f>
        <v/>
      </c>
      <c r="C4109">
        <f>IF(B4109="","",INT(A4109))</f>
        <v/>
      </c>
      <c r="D4109">
        <f>IF(B4109="","",HOUR(A4109))</f>
        <v/>
      </c>
    </row>
    <row r="4110">
      <c r="A4110">
        <f>Input!A4110</f>
        <v/>
      </c>
      <c r="B4110">
        <f>IF(ISNUMBER(Input!B4110),IF(AND(Input!B4110&gt;=20,Input!B4110&lt;=700),Input!B4110,""),"")</f>
        <v/>
      </c>
      <c r="C4110">
        <f>IF(B4110="","",INT(A4110))</f>
        <v/>
      </c>
      <c r="D4110">
        <f>IF(B4110="","",HOUR(A4110))</f>
        <v/>
      </c>
    </row>
    <row r="4111">
      <c r="A4111">
        <f>Input!A4111</f>
        <v/>
      </c>
      <c r="B4111">
        <f>IF(ISNUMBER(Input!B4111),IF(AND(Input!B4111&gt;=20,Input!B4111&lt;=700),Input!B4111,""),"")</f>
        <v/>
      </c>
      <c r="C4111">
        <f>IF(B4111="","",INT(A4111))</f>
        <v/>
      </c>
      <c r="D4111">
        <f>IF(B4111="","",HOUR(A4111))</f>
        <v/>
      </c>
    </row>
    <row r="4112">
      <c r="A4112">
        <f>Input!A4112</f>
        <v/>
      </c>
      <c r="B4112">
        <f>IF(ISNUMBER(Input!B4112),IF(AND(Input!B4112&gt;=20,Input!B4112&lt;=700),Input!B4112,""),"")</f>
        <v/>
      </c>
      <c r="C4112">
        <f>IF(B4112="","",INT(A4112))</f>
        <v/>
      </c>
      <c r="D4112">
        <f>IF(B4112="","",HOUR(A4112))</f>
        <v/>
      </c>
    </row>
    <row r="4113">
      <c r="A4113">
        <f>Input!A4113</f>
        <v/>
      </c>
      <c r="B4113">
        <f>IF(ISNUMBER(Input!B4113),IF(AND(Input!B4113&gt;=20,Input!B4113&lt;=700),Input!B4113,""),"")</f>
        <v/>
      </c>
      <c r="C4113">
        <f>IF(B4113="","",INT(A4113))</f>
        <v/>
      </c>
      <c r="D4113">
        <f>IF(B4113="","",HOUR(A4113))</f>
        <v/>
      </c>
    </row>
    <row r="4114">
      <c r="A4114">
        <f>Input!A4114</f>
        <v/>
      </c>
      <c r="B4114">
        <f>IF(ISNUMBER(Input!B4114),IF(AND(Input!B4114&gt;=20,Input!B4114&lt;=700),Input!B4114,""),"")</f>
        <v/>
      </c>
      <c r="C4114">
        <f>IF(B4114="","",INT(A4114))</f>
        <v/>
      </c>
      <c r="D4114">
        <f>IF(B4114="","",HOUR(A4114))</f>
        <v/>
      </c>
    </row>
    <row r="4115">
      <c r="A4115">
        <f>Input!A4115</f>
        <v/>
      </c>
      <c r="B4115">
        <f>IF(ISNUMBER(Input!B4115),IF(AND(Input!B4115&gt;=20,Input!B4115&lt;=700),Input!B4115,""),"")</f>
        <v/>
      </c>
      <c r="C4115">
        <f>IF(B4115="","",INT(A4115))</f>
        <v/>
      </c>
      <c r="D4115">
        <f>IF(B4115="","",HOUR(A4115))</f>
        <v/>
      </c>
    </row>
    <row r="4116">
      <c r="A4116">
        <f>Input!A4116</f>
        <v/>
      </c>
      <c r="B4116">
        <f>IF(ISNUMBER(Input!B4116),IF(AND(Input!B4116&gt;=20,Input!B4116&lt;=700),Input!B4116,""),"")</f>
        <v/>
      </c>
      <c r="C4116">
        <f>IF(B4116="","",INT(A4116))</f>
        <v/>
      </c>
      <c r="D4116">
        <f>IF(B4116="","",HOUR(A4116))</f>
        <v/>
      </c>
    </row>
    <row r="4117">
      <c r="A4117">
        <f>Input!A4117</f>
        <v/>
      </c>
      <c r="B4117">
        <f>IF(ISNUMBER(Input!B4117),IF(AND(Input!B4117&gt;=20,Input!B4117&lt;=700),Input!B4117,""),"")</f>
        <v/>
      </c>
      <c r="C4117">
        <f>IF(B4117="","",INT(A4117))</f>
        <v/>
      </c>
      <c r="D4117">
        <f>IF(B4117="","",HOUR(A4117))</f>
        <v/>
      </c>
    </row>
    <row r="4118">
      <c r="A4118">
        <f>Input!A4118</f>
        <v/>
      </c>
      <c r="B4118">
        <f>IF(ISNUMBER(Input!B4118),IF(AND(Input!B4118&gt;=20,Input!B4118&lt;=700),Input!B4118,""),"")</f>
        <v/>
      </c>
      <c r="C4118">
        <f>IF(B4118="","",INT(A4118))</f>
        <v/>
      </c>
      <c r="D4118">
        <f>IF(B4118="","",HOUR(A4118))</f>
        <v/>
      </c>
    </row>
    <row r="4119">
      <c r="A4119">
        <f>Input!A4119</f>
        <v/>
      </c>
      <c r="B4119">
        <f>IF(ISNUMBER(Input!B4119),IF(AND(Input!B4119&gt;=20,Input!B4119&lt;=700),Input!B4119,""),"")</f>
        <v/>
      </c>
      <c r="C4119">
        <f>IF(B4119="","",INT(A4119))</f>
        <v/>
      </c>
      <c r="D4119">
        <f>IF(B4119="","",HOUR(A4119))</f>
        <v/>
      </c>
    </row>
    <row r="4120">
      <c r="A4120">
        <f>Input!A4120</f>
        <v/>
      </c>
      <c r="B4120">
        <f>IF(ISNUMBER(Input!B4120),IF(AND(Input!B4120&gt;=20,Input!B4120&lt;=700),Input!B4120,""),"")</f>
        <v/>
      </c>
      <c r="C4120">
        <f>IF(B4120="","",INT(A4120))</f>
        <v/>
      </c>
      <c r="D4120">
        <f>IF(B4120="","",HOUR(A4120))</f>
        <v/>
      </c>
    </row>
    <row r="4121">
      <c r="A4121">
        <f>Input!A4121</f>
        <v/>
      </c>
      <c r="B4121">
        <f>IF(ISNUMBER(Input!B4121),IF(AND(Input!B4121&gt;=20,Input!B4121&lt;=700),Input!B4121,""),"")</f>
        <v/>
      </c>
      <c r="C4121">
        <f>IF(B4121="","",INT(A4121))</f>
        <v/>
      </c>
      <c r="D4121">
        <f>IF(B4121="","",HOUR(A4121))</f>
        <v/>
      </c>
    </row>
    <row r="4122">
      <c r="A4122">
        <f>Input!A4122</f>
        <v/>
      </c>
      <c r="B4122">
        <f>IF(ISNUMBER(Input!B4122),IF(AND(Input!B4122&gt;=20,Input!B4122&lt;=700),Input!B4122,""),"")</f>
        <v/>
      </c>
      <c r="C4122">
        <f>IF(B4122="","",INT(A4122))</f>
        <v/>
      </c>
      <c r="D4122">
        <f>IF(B4122="","",HOUR(A4122))</f>
        <v/>
      </c>
    </row>
    <row r="4123">
      <c r="A4123">
        <f>Input!A4123</f>
        <v/>
      </c>
      <c r="B4123">
        <f>IF(ISNUMBER(Input!B4123),IF(AND(Input!B4123&gt;=20,Input!B4123&lt;=700),Input!B4123,""),"")</f>
        <v/>
      </c>
      <c r="C4123">
        <f>IF(B4123="","",INT(A4123))</f>
        <v/>
      </c>
      <c r="D4123">
        <f>IF(B4123="","",HOUR(A4123))</f>
        <v/>
      </c>
    </row>
    <row r="4124">
      <c r="A4124">
        <f>Input!A4124</f>
        <v/>
      </c>
      <c r="B4124">
        <f>IF(ISNUMBER(Input!B4124),IF(AND(Input!B4124&gt;=20,Input!B4124&lt;=700),Input!B4124,""),"")</f>
        <v/>
      </c>
      <c r="C4124">
        <f>IF(B4124="","",INT(A4124))</f>
        <v/>
      </c>
      <c r="D4124">
        <f>IF(B4124="","",HOUR(A4124))</f>
        <v/>
      </c>
    </row>
    <row r="4125">
      <c r="A4125">
        <f>Input!A4125</f>
        <v/>
      </c>
      <c r="B4125">
        <f>IF(ISNUMBER(Input!B4125),IF(AND(Input!B4125&gt;=20,Input!B4125&lt;=700),Input!B4125,""),"")</f>
        <v/>
      </c>
      <c r="C4125">
        <f>IF(B4125="","",INT(A4125))</f>
        <v/>
      </c>
      <c r="D4125">
        <f>IF(B4125="","",HOUR(A4125))</f>
        <v/>
      </c>
    </row>
    <row r="4126">
      <c r="A4126">
        <f>Input!A4126</f>
        <v/>
      </c>
      <c r="B4126">
        <f>IF(ISNUMBER(Input!B4126),IF(AND(Input!B4126&gt;=20,Input!B4126&lt;=700),Input!B4126,""),"")</f>
        <v/>
      </c>
      <c r="C4126">
        <f>IF(B4126="","",INT(A4126))</f>
        <v/>
      </c>
      <c r="D4126">
        <f>IF(B4126="","",HOUR(A4126))</f>
        <v/>
      </c>
    </row>
    <row r="4127">
      <c r="A4127">
        <f>Input!A4127</f>
        <v/>
      </c>
      <c r="B4127">
        <f>IF(ISNUMBER(Input!B4127),IF(AND(Input!B4127&gt;=20,Input!B4127&lt;=700),Input!B4127,""),"")</f>
        <v/>
      </c>
      <c r="C4127">
        <f>IF(B4127="","",INT(A4127))</f>
        <v/>
      </c>
      <c r="D4127">
        <f>IF(B4127="","",HOUR(A4127))</f>
        <v/>
      </c>
    </row>
    <row r="4128">
      <c r="A4128">
        <f>Input!A4128</f>
        <v/>
      </c>
      <c r="B4128">
        <f>IF(ISNUMBER(Input!B4128),IF(AND(Input!B4128&gt;=20,Input!B4128&lt;=700),Input!B4128,""),"")</f>
        <v/>
      </c>
      <c r="C4128">
        <f>IF(B4128="","",INT(A4128))</f>
        <v/>
      </c>
      <c r="D4128">
        <f>IF(B4128="","",HOUR(A4128))</f>
        <v/>
      </c>
    </row>
    <row r="4129">
      <c r="A4129">
        <f>Input!A4129</f>
        <v/>
      </c>
      <c r="B4129">
        <f>IF(ISNUMBER(Input!B4129),IF(AND(Input!B4129&gt;=20,Input!B4129&lt;=700),Input!B4129,""),"")</f>
        <v/>
      </c>
      <c r="C4129">
        <f>IF(B4129="","",INT(A4129))</f>
        <v/>
      </c>
      <c r="D4129">
        <f>IF(B4129="","",HOUR(A4129))</f>
        <v/>
      </c>
    </row>
    <row r="4130">
      <c r="A4130">
        <f>Input!A4130</f>
        <v/>
      </c>
      <c r="B4130">
        <f>IF(ISNUMBER(Input!B4130),IF(AND(Input!B4130&gt;=20,Input!B4130&lt;=700),Input!B4130,""),"")</f>
        <v/>
      </c>
      <c r="C4130">
        <f>IF(B4130="","",INT(A4130))</f>
        <v/>
      </c>
      <c r="D4130">
        <f>IF(B4130="","",HOUR(A4130))</f>
        <v/>
      </c>
    </row>
    <row r="4131">
      <c r="A4131">
        <f>Input!A4131</f>
        <v/>
      </c>
      <c r="B4131">
        <f>IF(ISNUMBER(Input!B4131),IF(AND(Input!B4131&gt;=20,Input!B4131&lt;=700),Input!B4131,""),"")</f>
        <v/>
      </c>
      <c r="C4131">
        <f>IF(B4131="","",INT(A4131))</f>
        <v/>
      </c>
      <c r="D4131">
        <f>IF(B4131="","",HOUR(A4131))</f>
        <v/>
      </c>
    </row>
    <row r="4132">
      <c r="A4132">
        <f>Input!A4132</f>
        <v/>
      </c>
      <c r="B4132">
        <f>IF(ISNUMBER(Input!B4132),IF(AND(Input!B4132&gt;=20,Input!B4132&lt;=700),Input!B4132,""),"")</f>
        <v/>
      </c>
      <c r="C4132">
        <f>IF(B4132="","",INT(A4132))</f>
        <v/>
      </c>
      <c r="D4132">
        <f>IF(B4132="","",HOUR(A4132))</f>
        <v/>
      </c>
    </row>
    <row r="4133">
      <c r="A4133">
        <f>Input!A4133</f>
        <v/>
      </c>
      <c r="B4133">
        <f>IF(ISNUMBER(Input!B4133),IF(AND(Input!B4133&gt;=20,Input!B4133&lt;=700),Input!B4133,""),"")</f>
        <v/>
      </c>
      <c r="C4133">
        <f>IF(B4133="","",INT(A4133))</f>
        <v/>
      </c>
      <c r="D4133">
        <f>IF(B4133="","",HOUR(A4133))</f>
        <v/>
      </c>
    </row>
    <row r="4134">
      <c r="A4134">
        <f>Input!A4134</f>
        <v/>
      </c>
      <c r="B4134">
        <f>IF(ISNUMBER(Input!B4134),IF(AND(Input!B4134&gt;=20,Input!B4134&lt;=700),Input!B4134,""),"")</f>
        <v/>
      </c>
      <c r="C4134">
        <f>IF(B4134="","",INT(A4134))</f>
        <v/>
      </c>
      <c r="D4134">
        <f>IF(B4134="","",HOUR(A4134))</f>
        <v/>
      </c>
    </row>
    <row r="4135">
      <c r="A4135">
        <f>Input!A4135</f>
        <v/>
      </c>
      <c r="B4135">
        <f>IF(ISNUMBER(Input!B4135),IF(AND(Input!B4135&gt;=20,Input!B4135&lt;=700),Input!B4135,""),"")</f>
        <v/>
      </c>
      <c r="C4135">
        <f>IF(B4135="","",INT(A4135))</f>
        <v/>
      </c>
      <c r="D4135">
        <f>IF(B4135="","",HOUR(A4135))</f>
        <v/>
      </c>
    </row>
    <row r="4136">
      <c r="A4136">
        <f>Input!A4136</f>
        <v/>
      </c>
      <c r="B4136">
        <f>IF(ISNUMBER(Input!B4136),IF(AND(Input!B4136&gt;=20,Input!B4136&lt;=700),Input!B4136,""),"")</f>
        <v/>
      </c>
      <c r="C4136">
        <f>IF(B4136="","",INT(A4136))</f>
        <v/>
      </c>
      <c r="D4136">
        <f>IF(B4136="","",HOUR(A4136))</f>
        <v/>
      </c>
    </row>
    <row r="4137">
      <c r="A4137">
        <f>Input!A4137</f>
        <v/>
      </c>
      <c r="B4137">
        <f>IF(ISNUMBER(Input!B4137),IF(AND(Input!B4137&gt;=20,Input!B4137&lt;=700),Input!B4137,""),"")</f>
        <v/>
      </c>
      <c r="C4137">
        <f>IF(B4137="","",INT(A4137))</f>
        <v/>
      </c>
      <c r="D4137">
        <f>IF(B4137="","",HOUR(A4137))</f>
        <v/>
      </c>
    </row>
    <row r="4138">
      <c r="A4138">
        <f>Input!A4138</f>
        <v/>
      </c>
      <c r="B4138">
        <f>IF(ISNUMBER(Input!B4138),IF(AND(Input!B4138&gt;=20,Input!B4138&lt;=700),Input!B4138,""),"")</f>
        <v/>
      </c>
      <c r="C4138">
        <f>IF(B4138="","",INT(A4138))</f>
        <v/>
      </c>
      <c r="D4138">
        <f>IF(B4138="","",HOUR(A4138))</f>
        <v/>
      </c>
    </row>
    <row r="4139">
      <c r="A4139">
        <f>Input!A4139</f>
        <v/>
      </c>
      <c r="B4139">
        <f>IF(ISNUMBER(Input!B4139),IF(AND(Input!B4139&gt;=20,Input!B4139&lt;=700),Input!B4139,""),"")</f>
        <v/>
      </c>
      <c r="C4139">
        <f>IF(B4139="","",INT(A4139))</f>
        <v/>
      </c>
      <c r="D4139">
        <f>IF(B4139="","",HOUR(A4139))</f>
        <v/>
      </c>
    </row>
    <row r="4140">
      <c r="A4140">
        <f>Input!A4140</f>
        <v/>
      </c>
      <c r="B4140">
        <f>IF(ISNUMBER(Input!B4140),IF(AND(Input!B4140&gt;=20,Input!B4140&lt;=700),Input!B4140,""),"")</f>
        <v/>
      </c>
      <c r="C4140">
        <f>IF(B4140="","",INT(A4140))</f>
        <v/>
      </c>
      <c r="D4140">
        <f>IF(B4140="","",HOUR(A4140))</f>
        <v/>
      </c>
    </row>
    <row r="4141">
      <c r="A4141">
        <f>Input!A4141</f>
        <v/>
      </c>
      <c r="B4141">
        <f>IF(ISNUMBER(Input!B4141),IF(AND(Input!B4141&gt;=20,Input!B4141&lt;=700),Input!B4141,""),"")</f>
        <v/>
      </c>
      <c r="C4141">
        <f>IF(B4141="","",INT(A4141))</f>
        <v/>
      </c>
      <c r="D4141">
        <f>IF(B4141="","",HOUR(A4141))</f>
        <v/>
      </c>
    </row>
    <row r="4142">
      <c r="A4142">
        <f>Input!A4142</f>
        <v/>
      </c>
      <c r="B4142">
        <f>IF(ISNUMBER(Input!B4142),IF(AND(Input!B4142&gt;=20,Input!B4142&lt;=700),Input!B4142,""),"")</f>
        <v/>
      </c>
      <c r="C4142">
        <f>IF(B4142="","",INT(A4142))</f>
        <v/>
      </c>
      <c r="D4142">
        <f>IF(B4142="","",HOUR(A4142))</f>
        <v/>
      </c>
    </row>
    <row r="4143">
      <c r="A4143">
        <f>Input!A4143</f>
        <v/>
      </c>
      <c r="B4143">
        <f>IF(ISNUMBER(Input!B4143),IF(AND(Input!B4143&gt;=20,Input!B4143&lt;=700),Input!B4143,""),"")</f>
        <v/>
      </c>
      <c r="C4143">
        <f>IF(B4143="","",INT(A4143))</f>
        <v/>
      </c>
      <c r="D4143">
        <f>IF(B4143="","",HOUR(A4143))</f>
        <v/>
      </c>
    </row>
    <row r="4144">
      <c r="A4144">
        <f>Input!A4144</f>
        <v/>
      </c>
      <c r="B4144">
        <f>IF(ISNUMBER(Input!B4144),IF(AND(Input!B4144&gt;=20,Input!B4144&lt;=700),Input!B4144,""),"")</f>
        <v/>
      </c>
      <c r="C4144">
        <f>IF(B4144="","",INT(A4144))</f>
        <v/>
      </c>
      <c r="D4144">
        <f>IF(B4144="","",HOUR(A4144))</f>
        <v/>
      </c>
    </row>
    <row r="4145">
      <c r="A4145">
        <f>Input!A4145</f>
        <v/>
      </c>
      <c r="B4145">
        <f>IF(ISNUMBER(Input!B4145),IF(AND(Input!B4145&gt;=20,Input!B4145&lt;=700),Input!B4145,""),"")</f>
        <v/>
      </c>
      <c r="C4145">
        <f>IF(B4145="","",INT(A4145))</f>
        <v/>
      </c>
      <c r="D4145">
        <f>IF(B4145="","",HOUR(A4145))</f>
        <v/>
      </c>
    </row>
    <row r="4146">
      <c r="A4146">
        <f>Input!A4146</f>
        <v/>
      </c>
      <c r="B4146">
        <f>IF(ISNUMBER(Input!B4146),IF(AND(Input!B4146&gt;=20,Input!B4146&lt;=700),Input!B4146,""),"")</f>
        <v/>
      </c>
      <c r="C4146">
        <f>IF(B4146="","",INT(A4146))</f>
        <v/>
      </c>
      <c r="D4146">
        <f>IF(B4146="","",HOUR(A4146))</f>
        <v/>
      </c>
    </row>
    <row r="4147">
      <c r="A4147">
        <f>Input!A4147</f>
        <v/>
      </c>
      <c r="B4147">
        <f>IF(ISNUMBER(Input!B4147),IF(AND(Input!B4147&gt;=20,Input!B4147&lt;=700),Input!B4147,""),"")</f>
        <v/>
      </c>
      <c r="C4147">
        <f>IF(B4147="","",INT(A4147))</f>
        <v/>
      </c>
      <c r="D4147">
        <f>IF(B4147="","",HOUR(A4147))</f>
        <v/>
      </c>
    </row>
    <row r="4148">
      <c r="A4148">
        <f>Input!A4148</f>
        <v/>
      </c>
      <c r="B4148">
        <f>IF(ISNUMBER(Input!B4148),IF(AND(Input!B4148&gt;=20,Input!B4148&lt;=700),Input!B4148,""),"")</f>
        <v/>
      </c>
      <c r="C4148">
        <f>IF(B4148="","",INT(A4148))</f>
        <v/>
      </c>
      <c r="D4148">
        <f>IF(B4148="","",HOUR(A4148))</f>
        <v/>
      </c>
    </row>
    <row r="4149">
      <c r="A4149">
        <f>Input!A4149</f>
        <v/>
      </c>
      <c r="B4149">
        <f>IF(ISNUMBER(Input!B4149),IF(AND(Input!B4149&gt;=20,Input!B4149&lt;=700),Input!B4149,""),"")</f>
        <v/>
      </c>
      <c r="C4149">
        <f>IF(B4149="","",INT(A4149))</f>
        <v/>
      </c>
      <c r="D4149">
        <f>IF(B4149="","",HOUR(A4149))</f>
        <v/>
      </c>
    </row>
    <row r="4150">
      <c r="A4150">
        <f>Input!A4150</f>
        <v/>
      </c>
      <c r="B4150">
        <f>IF(ISNUMBER(Input!B4150),IF(AND(Input!B4150&gt;=20,Input!B4150&lt;=700),Input!B4150,""),"")</f>
        <v/>
      </c>
      <c r="C4150">
        <f>IF(B4150="","",INT(A4150))</f>
        <v/>
      </c>
      <c r="D4150">
        <f>IF(B4150="","",HOUR(A4150))</f>
        <v/>
      </c>
    </row>
    <row r="4151">
      <c r="A4151">
        <f>Input!A4151</f>
        <v/>
      </c>
      <c r="B4151">
        <f>IF(ISNUMBER(Input!B4151),IF(AND(Input!B4151&gt;=20,Input!B4151&lt;=700),Input!B4151,""),"")</f>
        <v/>
      </c>
      <c r="C4151">
        <f>IF(B4151="","",INT(A4151))</f>
        <v/>
      </c>
      <c r="D4151">
        <f>IF(B4151="","",HOUR(A4151))</f>
        <v/>
      </c>
    </row>
    <row r="4152">
      <c r="A4152">
        <f>Input!A4152</f>
        <v/>
      </c>
      <c r="B4152">
        <f>IF(ISNUMBER(Input!B4152),IF(AND(Input!B4152&gt;=20,Input!B4152&lt;=700),Input!B4152,""),"")</f>
        <v/>
      </c>
      <c r="C4152">
        <f>IF(B4152="","",INT(A4152))</f>
        <v/>
      </c>
      <c r="D4152">
        <f>IF(B4152="","",HOUR(A4152))</f>
        <v/>
      </c>
    </row>
    <row r="4153">
      <c r="A4153">
        <f>Input!A4153</f>
        <v/>
      </c>
      <c r="B4153">
        <f>IF(ISNUMBER(Input!B4153),IF(AND(Input!B4153&gt;=20,Input!B4153&lt;=700),Input!B4153,""),"")</f>
        <v/>
      </c>
      <c r="C4153">
        <f>IF(B4153="","",INT(A4153))</f>
        <v/>
      </c>
      <c r="D4153">
        <f>IF(B4153="","",HOUR(A4153))</f>
        <v/>
      </c>
    </row>
    <row r="4154">
      <c r="A4154">
        <f>Input!A4154</f>
        <v/>
      </c>
      <c r="B4154">
        <f>IF(ISNUMBER(Input!B4154),IF(AND(Input!B4154&gt;=20,Input!B4154&lt;=700),Input!B4154,""),"")</f>
        <v/>
      </c>
      <c r="C4154">
        <f>IF(B4154="","",INT(A4154))</f>
        <v/>
      </c>
      <c r="D4154">
        <f>IF(B4154="","",HOUR(A4154))</f>
        <v/>
      </c>
    </row>
    <row r="4155">
      <c r="A4155">
        <f>Input!A4155</f>
        <v/>
      </c>
      <c r="B4155">
        <f>IF(ISNUMBER(Input!B4155),IF(AND(Input!B4155&gt;=20,Input!B4155&lt;=700),Input!B4155,""),"")</f>
        <v/>
      </c>
      <c r="C4155">
        <f>IF(B4155="","",INT(A4155))</f>
        <v/>
      </c>
      <c r="D4155">
        <f>IF(B4155="","",HOUR(A4155))</f>
        <v/>
      </c>
    </row>
    <row r="4156">
      <c r="A4156">
        <f>Input!A4156</f>
        <v/>
      </c>
      <c r="B4156">
        <f>IF(ISNUMBER(Input!B4156),IF(AND(Input!B4156&gt;=20,Input!B4156&lt;=700),Input!B4156,""),"")</f>
        <v/>
      </c>
      <c r="C4156">
        <f>IF(B4156="","",INT(A4156))</f>
        <v/>
      </c>
      <c r="D4156">
        <f>IF(B4156="","",HOUR(A4156))</f>
        <v/>
      </c>
    </row>
    <row r="4157">
      <c r="A4157">
        <f>Input!A4157</f>
        <v/>
      </c>
      <c r="B4157">
        <f>IF(ISNUMBER(Input!B4157),IF(AND(Input!B4157&gt;=20,Input!B4157&lt;=700),Input!B4157,""),"")</f>
        <v/>
      </c>
      <c r="C4157">
        <f>IF(B4157="","",INT(A4157))</f>
        <v/>
      </c>
      <c r="D4157">
        <f>IF(B4157="","",HOUR(A4157))</f>
        <v/>
      </c>
    </row>
    <row r="4158">
      <c r="A4158">
        <f>Input!A4158</f>
        <v/>
      </c>
      <c r="B4158">
        <f>IF(ISNUMBER(Input!B4158),IF(AND(Input!B4158&gt;=20,Input!B4158&lt;=700),Input!B4158,""),"")</f>
        <v/>
      </c>
      <c r="C4158">
        <f>IF(B4158="","",INT(A4158))</f>
        <v/>
      </c>
      <c r="D4158">
        <f>IF(B4158="","",HOUR(A4158))</f>
        <v/>
      </c>
    </row>
    <row r="4159">
      <c r="A4159">
        <f>Input!A4159</f>
        <v/>
      </c>
      <c r="B4159">
        <f>IF(ISNUMBER(Input!B4159),IF(AND(Input!B4159&gt;=20,Input!B4159&lt;=700),Input!B4159,""),"")</f>
        <v/>
      </c>
      <c r="C4159">
        <f>IF(B4159="","",INT(A4159))</f>
        <v/>
      </c>
      <c r="D4159">
        <f>IF(B4159="","",HOUR(A4159))</f>
        <v/>
      </c>
    </row>
    <row r="4160">
      <c r="A4160">
        <f>Input!A4160</f>
        <v/>
      </c>
      <c r="B4160">
        <f>IF(ISNUMBER(Input!B4160),IF(AND(Input!B4160&gt;=20,Input!B4160&lt;=700),Input!B4160,""),"")</f>
        <v/>
      </c>
      <c r="C4160">
        <f>IF(B4160="","",INT(A4160))</f>
        <v/>
      </c>
      <c r="D4160">
        <f>IF(B4160="","",HOUR(A4160))</f>
        <v/>
      </c>
    </row>
    <row r="4161">
      <c r="A4161">
        <f>Input!A4161</f>
        <v/>
      </c>
      <c r="B4161">
        <f>IF(ISNUMBER(Input!B4161),IF(AND(Input!B4161&gt;=20,Input!B4161&lt;=700),Input!B4161,""),"")</f>
        <v/>
      </c>
      <c r="C4161">
        <f>IF(B4161="","",INT(A4161))</f>
        <v/>
      </c>
      <c r="D4161">
        <f>IF(B4161="","",HOUR(A4161))</f>
        <v/>
      </c>
    </row>
    <row r="4162">
      <c r="A4162">
        <f>Input!A4162</f>
        <v/>
      </c>
      <c r="B4162">
        <f>IF(ISNUMBER(Input!B4162),IF(AND(Input!B4162&gt;=20,Input!B4162&lt;=700),Input!B4162,""),"")</f>
        <v/>
      </c>
      <c r="C4162">
        <f>IF(B4162="","",INT(A4162))</f>
        <v/>
      </c>
      <c r="D4162">
        <f>IF(B4162="","",HOUR(A4162))</f>
        <v/>
      </c>
    </row>
    <row r="4163">
      <c r="A4163">
        <f>Input!A4163</f>
        <v/>
      </c>
      <c r="B4163">
        <f>IF(ISNUMBER(Input!B4163),IF(AND(Input!B4163&gt;=20,Input!B4163&lt;=700),Input!B4163,""),"")</f>
        <v/>
      </c>
      <c r="C4163">
        <f>IF(B4163="","",INT(A4163))</f>
        <v/>
      </c>
      <c r="D4163">
        <f>IF(B4163="","",HOUR(A4163))</f>
        <v/>
      </c>
    </row>
    <row r="4164">
      <c r="A4164">
        <f>Input!A4164</f>
        <v/>
      </c>
      <c r="B4164">
        <f>IF(ISNUMBER(Input!B4164),IF(AND(Input!B4164&gt;=20,Input!B4164&lt;=700),Input!B4164,""),"")</f>
        <v/>
      </c>
      <c r="C4164">
        <f>IF(B4164="","",INT(A4164))</f>
        <v/>
      </c>
      <c r="D4164">
        <f>IF(B4164="","",HOUR(A4164))</f>
        <v/>
      </c>
    </row>
    <row r="4165">
      <c r="A4165">
        <f>Input!A4165</f>
        <v/>
      </c>
      <c r="B4165">
        <f>IF(ISNUMBER(Input!B4165),IF(AND(Input!B4165&gt;=20,Input!B4165&lt;=700),Input!B4165,""),"")</f>
        <v/>
      </c>
      <c r="C4165">
        <f>IF(B4165="","",INT(A4165))</f>
        <v/>
      </c>
      <c r="D4165">
        <f>IF(B4165="","",HOUR(A4165))</f>
        <v/>
      </c>
    </row>
    <row r="4166">
      <c r="A4166">
        <f>Input!A4166</f>
        <v/>
      </c>
      <c r="B4166">
        <f>IF(ISNUMBER(Input!B4166),IF(AND(Input!B4166&gt;=20,Input!B4166&lt;=700),Input!B4166,""),"")</f>
        <v/>
      </c>
      <c r="C4166">
        <f>IF(B4166="","",INT(A4166))</f>
        <v/>
      </c>
      <c r="D4166">
        <f>IF(B4166="","",HOUR(A4166))</f>
        <v/>
      </c>
    </row>
    <row r="4167">
      <c r="A4167">
        <f>Input!A4167</f>
        <v/>
      </c>
      <c r="B4167">
        <f>IF(ISNUMBER(Input!B4167),IF(AND(Input!B4167&gt;=20,Input!B4167&lt;=700),Input!B4167,""),"")</f>
        <v/>
      </c>
      <c r="C4167">
        <f>IF(B4167="","",INT(A4167))</f>
        <v/>
      </c>
      <c r="D4167">
        <f>IF(B4167="","",HOUR(A4167))</f>
        <v/>
      </c>
    </row>
    <row r="4168">
      <c r="A4168">
        <f>Input!A4168</f>
        <v/>
      </c>
      <c r="B4168">
        <f>IF(ISNUMBER(Input!B4168),IF(AND(Input!B4168&gt;=20,Input!B4168&lt;=700),Input!B4168,""),"")</f>
        <v/>
      </c>
      <c r="C4168">
        <f>IF(B4168="","",INT(A4168))</f>
        <v/>
      </c>
      <c r="D4168">
        <f>IF(B4168="","",HOUR(A4168))</f>
        <v/>
      </c>
    </row>
    <row r="4169">
      <c r="A4169">
        <f>Input!A4169</f>
        <v/>
      </c>
      <c r="B4169">
        <f>IF(ISNUMBER(Input!B4169),IF(AND(Input!B4169&gt;=20,Input!B4169&lt;=700),Input!B4169,""),"")</f>
        <v/>
      </c>
      <c r="C4169">
        <f>IF(B4169="","",INT(A4169))</f>
        <v/>
      </c>
      <c r="D4169">
        <f>IF(B4169="","",HOUR(A4169))</f>
        <v/>
      </c>
    </row>
    <row r="4170">
      <c r="A4170">
        <f>Input!A4170</f>
        <v/>
      </c>
      <c r="B4170">
        <f>IF(ISNUMBER(Input!B4170),IF(AND(Input!B4170&gt;=20,Input!B4170&lt;=700),Input!B4170,""),"")</f>
        <v/>
      </c>
      <c r="C4170">
        <f>IF(B4170="","",INT(A4170))</f>
        <v/>
      </c>
      <c r="D4170">
        <f>IF(B4170="","",HOUR(A4170))</f>
        <v/>
      </c>
    </row>
    <row r="4171">
      <c r="A4171">
        <f>Input!A4171</f>
        <v/>
      </c>
      <c r="B4171">
        <f>IF(ISNUMBER(Input!B4171),IF(AND(Input!B4171&gt;=20,Input!B4171&lt;=700),Input!B4171,""),"")</f>
        <v/>
      </c>
      <c r="C4171">
        <f>IF(B4171="","",INT(A4171))</f>
        <v/>
      </c>
      <c r="D4171">
        <f>IF(B4171="","",HOUR(A4171))</f>
        <v/>
      </c>
    </row>
    <row r="4172">
      <c r="A4172">
        <f>Input!A4172</f>
        <v/>
      </c>
      <c r="B4172">
        <f>IF(ISNUMBER(Input!B4172),IF(AND(Input!B4172&gt;=20,Input!B4172&lt;=700),Input!B4172,""),"")</f>
        <v/>
      </c>
      <c r="C4172">
        <f>IF(B4172="","",INT(A4172))</f>
        <v/>
      </c>
      <c r="D4172">
        <f>IF(B4172="","",HOUR(A4172))</f>
        <v/>
      </c>
    </row>
    <row r="4173">
      <c r="A4173">
        <f>Input!A4173</f>
        <v/>
      </c>
      <c r="B4173">
        <f>IF(ISNUMBER(Input!B4173),IF(AND(Input!B4173&gt;=20,Input!B4173&lt;=700),Input!B4173,""),"")</f>
        <v/>
      </c>
      <c r="C4173">
        <f>IF(B4173="","",INT(A4173))</f>
        <v/>
      </c>
      <c r="D4173">
        <f>IF(B4173="","",HOUR(A4173))</f>
        <v/>
      </c>
    </row>
    <row r="4174">
      <c r="A4174">
        <f>Input!A4174</f>
        <v/>
      </c>
      <c r="B4174">
        <f>IF(ISNUMBER(Input!B4174),IF(AND(Input!B4174&gt;=20,Input!B4174&lt;=700),Input!B4174,""),"")</f>
        <v/>
      </c>
      <c r="C4174">
        <f>IF(B4174="","",INT(A4174))</f>
        <v/>
      </c>
      <c r="D4174">
        <f>IF(B4174="","",HOUR(A4174))</f>
        <v/>
      </c>
    </row>
    <row r="4175">
      <c r="A4175">
        <f>Input!A4175</f>
        <v/>
      </c>
      <c r="B4175">
        <f>IF(ISNUMBER(Input!B4175),IF(AND(Input!B4175&gt;=20,Input!B4175&lt;=700),Input!B4175,""),"")</f>
        <v/>
      </c>
      <c r="C4175">
        <f>IF(B4175="","",INT(A4175))</f>
        <v/>
      </c>
      <c r="D4175">
        <f>IF(B4175="","",HOUR(A4175))</f>
        <v/>
      </c>
    </row>
    <row r="4176">
      <c r="A4176">
        <f>Input!A4176</f>
        <v/>
      </c>
      <c r="B4176">
        <f>IF(ISNUMBER(Input!B4176),IF(AND(Input!B4176&gt;=20,Input!B4176&lt;=700),Input!B4176,""),"")</f>
        <v/>
      </c>
      <c r="C4176">
        <f>IF(B4176="","",INT(A4176))</f>
        <v/>
      </c>
      <c r="D4176">
        <f>IF(B4176="","",HOUR(A4176))</f>
        <v/>
      </c>
    </row>
    <row r="4177">
      <c r="A4177">
        <f>Input!A4177</f>
        <v/>
      </c>
      <c r="B4177">
        <f>IF(ISNUMBER(Input!B4177),IF(AND(Input!B4177&gt;=20,Input!B4177&lt;=700),Input!B4177,""),"")</f>
        <v/>
      </c>
      <c r="C4177">
        <f>IF(B4177="","",INT(A4177))</f>
        <v/>
      </c>
      <c r="D4177">
        <f>IF(B4177="","",HOUR(A4177))</f>
        <v/>
      </c>
    </row>
    <row r="4178">
      <c r="A4178">
        <f>Input!A4178</f>
        <v/>
      </c>
      <c r="B4178">
        <f>IF(ISNUMBER(Input!B4178),IF(AND(Input!B4178&gt;=20,Input!B4178&lt;=700),Input!B4178,""),"")</f>
        <v/>
      </c>
      <c r="C4178">
        <f>IF(B4178="","",INT(A4178))</f>
        <v/>
      </c>
      <c r="D4178">
        <f>IF(B4178="","",HOUR(A4178))</f>
        <v/>
      </c>
    </row>
    <row r="4179">
      <c r="A4179">
        <f>Input!A4179</f>
        <v/>
      </c>
      <c r="B4179">
        <f>IF(ISNUMBER(Input!B4179),IF(AND(Input!B4179&gt;=20,Input!B4179&lt;=700),Input!B4179,""),"")</f>
        <v/>
      </c>
      <c r="C4179">
        <f>IF(B4179="","",INT(A4179))</f>
        <v/>
      </c>
      <c r="D4179">
        <f>IF(B4179="","",HOUR(A4179))</f>
        <v/>
      </c>
    </row>
    <row r="4180">
      <c r="A4180">
        <f>Input!A4180</f>
        <v/>
      </c>
      <c r="B4180">
        <f>IF(ISNUMBER(Input!B4180),IF(AND(Input!B4180&gt;=20,Input!B4180&lt;=700),Input!B4180,""),"")</f>
        <v/>
      </c>
      <c r="C4180">
        <f>IF(B4180="","",INT(A4180))</f>
        <v/>
      </c>
      <c r="D4180">
        <f>IF(B4180="","",HOUR(A4180))</f>
        <v/>
      </c>
    </row>
    <row r="4181">
      <c r="A4181">
        <f>Input!A4181</f>
        <v/>
      </c>
      <c r="B4181">
        <f>IF(ISNUMBER(Input!B4181),IF(AND(Input!B4181&gt;=20,Input!B4181&lt;=700),Input!B4181,""),"")</f>
        <v/>
      </c>
      <c r="C4181">
        <f>IF(B4181="","",INT(A4181))</f>
        <v/>
      </c>
      <c r="D4181">
        <f>IF(B4181="","",HOUR(A4181))</f>
        <v/>
      </c>
    </row>
    <row r="4182">
      <c r="A4182">
        <f>Input!A4182</f>
        <v/>
      </c>
      <c r="B4182">
        <f>IF(ISNUMBER(Input!B4182),IF(AND(Input!B4182&gt;=20,Input!B4182&lt;=700),Input!B4182,""),"")</f>
        <v/>
      </c>
      <c r="C4182">
        <f>IF(B4182="","",INT(A4182))</f>
        <v/>
      </c>
      <c r="D4182">
        <f>IF(B4182="","",HOUR(A4182))</f>
        <v/>
      </c>
    </row>
    <row r="4183">
      <c r="A4183">
        <f>Input!A4183</f>
        <v/>
      </c>
      <c r="B4183">
        <f>IF(ISNUMBER(Input!B4183),IF(AND(Input!B4183&gt;=20,Input!B4183&lt;=700),Input!B4183,""),"")</f>
        <v/>
      </c>
      <c r="C4183">
        <f>IF(B4183="","",INT(A4183))</f>
        <v/>
      </c>
      <c r="D4183">
        <f>IF(B4183="","",HOUR(A4183))</f>
        <v/>
      </c>
    </row>
    <row r="4184">
      <c r="A4184">
        <f>Input!A4184</f>
        <v/>
      </c>
      <c r="B4184">
        <f>IF(ISNUMBER(Input!B4184),IF(AND(Input!B4184&gt;=20,Input!B4184&lt;=700),Input!B4184,""),"")</f>
        <v/>
      </c>
      <c r="C4184">
        <f>IF(B4184="","",INT(A4184))</f>
        <v/>
      </c>
      <c r="D4184">
        <f>IF(B4184="","",HOUR(A4184))</f>
        <v/>
      </c>
    </row>
    <row r="4185">
      <c r="A4185">
        <f>Input!A4185</f>
        <v/>
      </c>
      <c r="B4185">
        <f>IF(ISNUMBER(Input!B4185),IF(AND(Input!B4185&gt;=20,Input!B4185&lt;=700),Input!B4185,""),"")</f>
        <v/>
      </c>
      <c r="C4185">
        <f>IF(B4185="","",INT(A4185))</f>
        <v/>
      </c>
      <c r="D4185">
        <f>IF(B4185="","",HOUR(A4185))</f>
        <v/>
      </c>
    </row>
    <row r="4186">
      <c r="A4186">
        <f>Input!A4186</f>
        <v/>
      </c>
      <c r="B4186">
        <f>IF(ISNUMBER(Input!B4186),IF(AND(Input!B4186&gt;=20,Input!B4186&lt;=700),Input!B4186,""),"")</f>
        <v/>
      </c>
      <c r="C4186">
        <f>IF(B4186="","",INT(A4186))</f>
        <v/>
      </c>
      <c r="D4186">
        <f>IF(B4186="","",HOUR(A4186))</f>
        <v/>
      </c>
    </row>
    <row r="4187">
      <c r="A4187">
        <f>Input!A4187</f>
        <v/>
      </c>
      <c r="B4187">
        <f>IF(ISNUMBER(Input!B4187),IF(AND(Input!B4187&gt;=20,Input!B4187&lt;=700),Input!B4187,""),"")</f>
        <v/>
      </c>
      <c r="C4187">
        <f>IF(B4187="","",INT(A4187))</f>
        <v/>
      </c>
      <c r="D4187">
        <f>IF(B4187="","",HOUR(A4187))</f>
        <v/>
      </c>
    </row>
    <row r="4188">
      <c r="A4188">
        <f>Input!A4188</f>
        <v/>
      </c>
      <c r="B4188">
        <f>IF(ISNUMBER(Input!B4188),IF(AND(Input!B4188&gt;=20,Input!B4188&lt;=700),Input!B4188,""),"")</f>
        <v/>
      </c>
      <c r="C4188">
        <f>IF(B4188="","",INT(A4188))</f>
        <v/>
      </c>
      <c r="D4188">
        <f>IF(B4188="","",HOUR(A4188))</f>
        <v/>
      </c>
    </row>
    <row r="4189">
      <c r="A4189">
        <f>Input!A4189</f>
        <v/>
      </c>
      <c r="B4189">
        <f>IF(ISNUMBER(Input!B4189),IF(AND(Input!B4189&gt;=20,Input!B4189&lt;=700),Input!B4189,""),"")</f>
        <v/>
      </c>
      <c r="C4189">
        <f>IF(B4189="","",INT(A4189))</f>
        <v/>
      </c>
      <c r="D4189">
        <f>IF(B4189="","",HOUR(A4189))</f>
        <v/>
      </c>
    </row>
    <row r="4190">
      <c r="A4190">
        <f>Input!A4190</f>
        <v/>
      </c>
      <c r="B4190">
        <f>IF(ISNUMBER(Input!B4190),IF(AND(Input!B4190&gt;=20,Input!B4190&lt;=700),Input!B4190,""),"")</f>
        <v/>
      </c>
      <c r="C4190">
        <f>IF(B4190="","",INT(A4190))</f>
        <v/>
      </c>
      <c r="D4190">
        <f>IF(B4190="","",HOUR(A4190))</f>
        <v/>
      </c>
    </row>
    <row r="4191">
      <c r="A4191">
        <f>Input!A4191</f>
        <v/>
      </c>
      <c r="B4191">
        <f>IF(ISNUMBER(Input!B4191),IF(AND(Input!B4191&gt;=20,Input!B4191&lt;=700),Input!B4191,""),"")</f>
        <v/>
      </c>
      <c r="C4191">
        <f>IF(B4191="","",INT(A4191))</f>
        <v/>
      </c>
      <c r="D4191">
        <f>IF(B4191="","",HOUR(A4191))</f>
        <v/>
      </c>
    </row>
    <row r="4192">
      <c r="A4192">
        <f>Input!A4192</f>
        <v/>
      </c>
      <c r="B4192">
        <f>IF(ISNUMBER(Input!B4192),IF(AND(Input!B4192&gt;=20,Input!B4192&lt;=700),Input!B4192,""),"")</f>
        <v/>
      </c>
      <c r="C4192">
        <f>IF(B4192="","",INT(A4192))</f>
        <v/>
      </c>
      <c r="D4192">
        <f>IF(B4192="","",HOUR(A4192))</f>
        <v/>
      </c>
    </row>
    <row r="4193">
      <c r="A4193">
        <f>Input!A4193</f>
        <v/>
      </c>
      <c r="B4193">
        <f>IF(ISNUMBER(Input!B4193),IF(AND(Input!B4193&gt;=20,Input!B4193&lt;=700),Input!B4193,""),"")</f>
        <v/>
      </c>
      <c r="C4193">
        <f>IF(B4193="","",INT(A4193))</f>
        <v/>
      </c>
      <c r="D4193">
        <f>IF(B4193="","",HOUR(A4193))</f>
        <v/>
      </c>
    </row>
    <row r="4194">
      <c r="A4194">
        <f>Input!A4194</f>
        <v/>
      </c>
      <c r="B4194">
        <f>IF(ISNUMBER(Input!B4194),IF(AND(Input!B4194&gt;=20,Input!B4194&lt;=700),Input!B4194,""),"")</f>
        <v/>
      </c>
      <c r="C4194">
        <f>IF(B4194="","",INT(A4194))</f>
        <v/>
      </c>
      <c r="D4194">
        <f>IF(B4194="","",HOUR(A4194))</f>
        <v/>
      </c>
    </row>
    <row r="4195">
      <c r="A4195">
        <f>Input!A4195</f>
        <v/>
      </c>
      <c r="B4195">
        <f>IF(ISNUMBER(Input!B4195),IF(AND(Input!B4195&gt;=20,Input!B4195&lt;=700),Input!B4195,""),"")</f>
        <v/>
      </c>
      <c r="C4195">
        <f>IF(B4195="","",INT(A4195))</f>
        <v/>
      </c>
      <c r="D4195">
        <f>IF(B4195="","",HOUR(A4195))</f>
        <v/>
      </c>
    </row>
    <row r="4196">
      <c r="A4196">
        <f>Input!A4196</f>
        <v/>
      </c>
      <c r="B4196">
        <f>IF(ISNUMBER(Input!B4196),IF(AND(Input!B4196&gt;=20,Input!B4196&lt;=700),Input!B4196,""),"")</f>
        <v/>
      </c>
      <c r="C4196">
        <f>IF(B4196="","",INT(A4196))</f>
        <v/>
      </c>
      <c r="D4196">
        <f>IF(B4196="","",HOUR(A4196))</f>
        <v/>
      </c>
    </row>
    <row r="4197">
      <c r="A4197">
        <f>Input!A4197</f>
        <v/>
      </c>
      <c r="B4197">
        <f>IF(ISNUMBER(Input!B4197),IF(AND(Input!B4197&gt;=20,Input!B4197&lt;=700),Input!B4197,""),"")</f>
        <v/>
      </c>
      <c r="C4197">
        <f>IF(B4197="","",INT(A4197))</f>
        <v/>
      </c>
      <c r="D4197">
        <f>IF(B4197="","",HOUR(A4197))</f>
        <v/>
      </c>
    </row>
    <row r="4198">
      <c r="A4198">
        <f>Input!A4198</f>
        <v/>
      </c>
      <c r="B4198">
        <f>IF(ISNUMBER(Input!B4198),IF(AND(Input!B4198&gt;=20,Input!B4198&lt;=700),Input!B4198,""),"")</f>
        <v/>
      </c>
      <c r="C4198">
        <f>IF(B4198="","",INT(A4198))</f>
        <v/>
      </c>
      <c r="D4198">
        <f>IF(B4198="","",HOUR(A4198))</f>
        <v/>
      </c>
    </row>
    <row r="4199">
      <c r="A4199">
        <f>Input!A4199</f>
        <v/>
      </c>
      <c r="B4199">
        <f>IF(ISNUMBER(Input!B4199),IF(AND(Input!B4199&gt;=20,Input!B4199&lt;=700),Input!B4199,""),"")</f>
        <v/>
      </c>
      <c r="C4199">
        <f>IF(B4199="","",INT(A4199))</f>
        <v/>
      </c>
      <c r="D4199">
        <f>IF(B4199="","",HOUR(A4199))</f>
        <v/>
      </c>
    </row>
    <row r="4200">
      <c r="A4200">
        <f>Input!A4200</f>
        <v/>
      </c>
      <c r="B4200">
        <f>IF(ISNUMBER(Input!B4200),IF(AND(Input!B4200&gt;=20,Input!B4200&lt;=700),Input!B4200,""),"")</f>
        <v/>
      </c>
      <c r="C4200">
        <f>IF(B4200="","",INT(A4200))</f>
        <v/>
      </c>
      <c r="D4200">
        <f>IF(B4200="","",HOUR(A4200))</f>
        <v/>
      </c>
    </row>
    <row r="4201">
      <c r="A4201">
        <f>Input!A4201</f>
        <v/>
      </c>
      <c r="B4201">
        <f>IF(ISNUMBER(Input!B4201),IF(AND(Input!B4201&gt;=20,Input!B4201&lt;=700),Input!B4201,""),"")</f>
        <v/>
      </c>
      <c r="C4201">
        <f>IF(B4201="","",INT(A4201))</f>
        <v/>
      </c>
      <c r="D4201">
        <f>IF(B4201="","",HOUR(A4201))</f>
        <v/>
      </c>
    </row>
    <row r="4202">
      <c r="A4202">
        <f>Input!A4202</f>
        <v/>
      </c>
      <c r="B4202">
        <f>IF(ISNUMBER(Input!B4202),IF(AND(Input!B4202&gt;=20,Input!B4202&lt;=700),Input!B4202,""),"")</f>
        <v/>
      </c>
      <c r="C4202">
        <f>IF(B4202="","",INT(A4202))</f>
        <v/>
      </c>
      <c r="D4202">
        <f>IF(B4202="","",HOUR(A4202))</f>
        <v/>
      </c>
    </row>
    <row r="4203">
      <c r="A4203">
        <f>Input!A4203</f>
        <v/>
      </c>
      <c r="B4203">
        <f>IF(ISNUMBER(Input!B4203),IF(AND(Input!B4203&gt;=20,Input!B4203&lt;=700),Input!B4203,""),"")</f>
        <v/>
      </c>
      <c r="C4203">
        <f>IF(B4203="","",INT(A4203))</f>
        <v/>
      </c>
      <c r="D4203">
        <f>IF(B4203="","",HOUR(A4203))</f>
        <v/>
      </c>
    </row>
    <row r="4204">
      <c r="A4204">
        <f>Input!A4204</f>
        <v/>
      </c>
      <c r="B4204">
        <f>IF(ISNUMBER(Input!B4204),IF(AND(Input!B4204&gt;=20,Input!B4204&lt;=700),Input!B4204,""),"")</f>
        <v/>
      </c>
      <c r="C4204">
        <f>IF(B4204="","",INT(A4204))</f>
        <v/>
      </c>
      <c r="D4204">
        <f>IF(B4204="","",HOUR(A4204))</f>
        <v/>
      </c>
    </row>
    <row r="4205">
      <c r="A4205">
        <f>Input!A4205</f>
        <v/>
      </c>
      <c r="B4205">
        <f>IF(ISNUMBER(Input!B4205),IF(AND(Input!B4205&gt;=20,Input!B4205&lt;=700),Input!B4205,""),"")</f>
        <v/>
      </c>
      <c r="C4205">
        <f>IF(B4205="","",INT(A4205))</f>
        <v/>
      </c>
      <c r="D4205">
        <f>IF(B4205="","",HOUR(A4205))</f>
        <v/>
      </c>
    </row>
    <row r="4206">
      <c r="A4206">
        <f>Input!A4206</f>
        <v/>
      </c>
      <c r="B4206">
        <f>IF(ISNUMBER(Input!B4206),IF(AND(Input!B4206&gt;=20,Input!B4206&lt;=700),Input!B4206,""),"")</f>
        <v/>
      </c>
      <c r="C4206">
        <f>IF(B4206="","",INT(A4206))</f>
        <v/>
      </c>
      <c r="D4206">
        <f>IF(B4206="","",HOUR(A4206))</f>
        <v/>
      </c>
    </row>
    <row r="4207">
      <c r="A4207">
        <f>Input!A4207</f>
        <v/>
      </c>
      <c r="B4207">
        <f>IF(ISNUMBER(Input!B4207),IF(AND(Input!B4207&gt;=20,Input!B4207&lt;=700),Input!B4207,""),"")</f>
        <v/>
      </c>
      <c r="C4207">
        <f>IF(B4207="","",INT(A4207))</f>
        <v/>
      </c>
      <c r="D4207">
        <f>IF(B4207="","",HOUR(A4207))</f>
        <v/>
      </c>
    </row>
    <row r="4208">
      <c r="A4208">
        <f>Input!A4208</f>
        <v/>
      </c>
      <c r="B4208">
        <f>IF(ISNUMBER(Input!B4208),IF(AND(Input!B4208&gt;=20,Input!B4208&lt;=700),Input!B4208,""),"")</f>
        <v/>
      </c>
      <c r="C4208">
        <f>IF(B4208="","",INT(A4208))</f>
        <v/>
      </c>
      <c r="D4208">
        <f>IF(B4208="","",HOUR(A4208))</f>
        <v/>
      </c>
    </row>
    <row r="4209">
      <c r="A4209">
        <f>Input!A4209</f>
        <v/>
      </c>
      <c r="B4209">
        <f>IF(ISNUMBER(Input!B4209),IF(AND(Input!B4209&gt;=20,Input!B4209&lt;=700),Input!B4209,""),"")</f>
        <v/>
      </c>
      <c r="C4209">
        <f>IF(B4209="","",INT(A4209))</f>
        <v/>
      </c>
      <c r="D4209">
        <f>IF(B4209="","",HOUR(A4209))</f>
        <v/>
      </c>
    </row>
    <row r="4210">
      <c r="A4210">
        <f>Input!A4210</f>
        <v/>
      </c>
      <c r="B4210">
        <f>IF(ISNUMBER(Input!B4210),IF(AND(Input!B4210&gt;=20,Input!B4210&lt;=700),Input!B4210,""),"")</f>
        <v/>
      </c>
      <c r="C4210">
        <f>IF(B4210="","",INT(A4210))</f>
        <v/>
      </c>
      <c r="D4210">
        <f>IF(B4210="","",HOUR(A4210))</f>
        <v/>
      </c>
    </row>
    <row r="4211">
      <c r="A4211">
        <f>Input!A4211</f>
        <v/>
      </c>
      <c r="B4211">
        <f>IF(ISNUMBER(Input!B4211),IF(AND(Input!B4211&gt;=20,Input!B4211&lt;=700),Input!B4211,""),"")</f>
        <v/>
      </c>
      <c r="C4211">
        <f>IF(B4211="","",INT(A4211))</f>
        <v/>
      </c>
      <c r="D4211">
        <f>IF(B4211="","",HOUR(A4211))</f>
        <v/>
      </c>
    </row>
    <row r="4212">
      <c r="A4212">
        <f>Input!A4212</f>
        <v/>
      </c>
      <c r="B4212">
        <f>IF(ISNUMBER(Input!B4212),IF(AND(Input!B4212&gt;=20,Input!B4212&lt;=700),Input!B4212,""),"")</f>
        <v/>
      </c>
      <c r="C4212">
        <f>IF(B4212="","",INT(A4212))</f>
        <v/>
      </c>
      <c r="D4212">
        <f>IF(B4212="","",HOUR(A4212))</f>
        <v/>
      </c>
    </row>
    <row r="4213">
      <c r="A4213">
        <f>Input!A4213</f>
        <v/>
      </c>
      <c r="B4213">
        <f>IF(ISNUMBER(Input!B4213),IF(AND(Input!B4213&gt;=20,Input!B4213&lt;=700),Input!B4213,""),"")</f>
        <v/>
      </c>
      <c r="C4213">
        <f>IF(B4213="","",INT(A4213))</f>
        <v/>
      </c>
      <c r="D4213">
        <f>IF(B4213="","",HOUR(A4213))</f>
        <v/>
      </c>
    </row>
    <row r="4214">
      <c r="A4214">
        <f>Input!A4214</f>
        <v/>
      </c>
      <c r="B4214">
        <f>IF(ISNUMBER(Input!B4214),IF(AND(Input!B4214&gt;=20,Input!B4214&lt;=700),Input!B4214,""),"")</f>
        <v/>
      </c>
      <c r="C4214">
        <f>IF(B4214="","",INT(A4214))</f>
        <v/>
      </c>
      <c r="D4214">
        <f>IF(B4214="","",HOUR(A4214))</f>
        <v/>
      </c>
    </row>
    <row r="4215">
      <c r="A4215">
        <f>Input!A4215</f>
        <v/>
      </c>
      <c r="B4215">
        <f>IF(ISNUMBER(Input!B4215),IF(AND(Input!B4215&gt;=20,Input!B4215&lt;=700),Input!B4215,""),"")</f>
        <v/>
      </c>
      <c r="C4215">
        <f>IF(B4215="","",INT(A4215))</f>
        <v/>
      </c>
      <c r="D4215">
        <f>IF(B4215="","",HOUR(A4215))</f>
        <v/>
      </c>
    </row>
    <row r="4216">
      <c r="A4216">
        <f>Input!A4216</f>
        <v/>
      </c>
      <c r="B4216">
        <f>IF(ISNUMBER(Input!B4216),IF(AND(Input!B4216&gt;=20,Input!B4216&lt;=700),Input!B4216,""),"")</f>
        <v/>
      </c>
      <c r="C4216">
        <f>IF(B4216="","",INT(A4216))</f>
        <v/>
      </c>
      <c r="D4216">
        <f>IF(B4216="","",HOUR(A4216))</f>
        <v/>
      </c>
    </row>
    <row r="4217">
      <c r="A4217">
        <f>Input!A4217</f>
        <v/>
      </c>
      <c r="B4217">
        <f>IF(ISNUMBER(Input!B4217),IF(AND(Input!B4217&gt;=20,Input!B4217&lt;=700),Input!B4217,""),"")</f>
        <v/>
      </c>
      <c r="C4217">
        <f>IF(B4217="","",INT(A4217))</f>
        <v/>
      </c>
      <c r="D4217">
        <f>IF(B4217="","",HOUR(A4217))</f>
        <v/>
      </c>
    </row>
    <row r="4218">
      <c r="A4218">
        <f>Input!A4218</f>
        <v/>
      </c>
      <c r="B4218">
        <f>IF(ISNUMBER(Input!B4218),IF(AND(Input!B4218&gt;=20,Input!B4218&lt;=700),Input!B4218,""),"")</f>
        <v/>
      </c>
      <c r="C4218">
        <f>IF(B4218="","",INT(A4218))</f>
        <v/>
      </c>
      <c r="D4218">
        <f>IF(B4218="","",HOUR(A4218))</f>
        <v/>
      </c>
    </row>
    <row r="4219">
      <c r="A4219">
        <f>Input!A4219</f>
        <v/>
      </c>
      <c r="B4219">
        <f>IF(ISNUMBER(Input!B4219),IF(AND(Input!B4219&gt;=20,Input!B4219&lt;=700),Input!B4219,""),"")</f>
        <v/>
      </c>
      <c r="C4219">
        <f>IF(B4219="","",INT(A4219))</f>
        <v/>
      </c>
      <c r="D4219">
        <f>IF(B4219="","",HOUR(A4219))</f>
        <v/>
      </c>
    </row>
    <row r="4220">
      <c r="A4220">
        <f>Input!A4220</f>
        <v/>
      </c>
      <c r="B4220">
        <f>IF(ISNUMBER(Input!B4220),IF(AND(Input!B4220&gt;=20,Input!B4220&lt;=700),Input!B4220,""),"")</f>
        <v/>
      </c>
      <c r="C4220">
        <f>IF(B4220="","",INT(A4220))</f>
        <v/>
      </c>
      <c r="D4220">
        <f>IF(B4220="","",HOUR(A4220))</f>
        <v/>
      </c>
    </row>
    <row r="4221">
      <c r="A4221">
        <f>Input!A4221</f>
        <v/>
      </c>
      <c r="B4221">
        <f>IF(ISNUMBER(Input!B4221),IF(AND(Input!B4221&gt;=20,Input!B4221&lt;=700),Input!B4221,""),"")</f>
        <v/>
      </c>
      <c r="C4221">
        <f>IF(B4221="","",INT(A4221))</f>
        <v/>
      </c>
      <c r="D4221">
        <f>IF(B4221="","",HOUR(A4221))</f>
        <v/>
      </c>
    </row>
    <row r="4222">
      <c r="A4222">
        <f>Input!A4222</f>
        <v/>
      </c>
      <c r="B4222">
        <f>IF(ISNUMBER(Input!B4222),IF(AND(Input!B4222&gt;=20,Input!B4222&lt;=700),Input!B4222,""),"")</f>
        <v/>
      </c>
      <c r="C4222">
        <f>IF(B4222="","",INT(A4222))</f>
        <v/>
      </c>
      <c r="D4222">
        <f>IF(B4222="","",HOUR(A4222))</f>
        <v/>
      </c>
    </row>
    <row r="4223">
      <c r="A4223">
        <f>Input!A4223</f>
        <v/>
      </c>
      <c r="B4223">
        <f>IF(ISNUMBER(Input!B4223),IF(AND(Input!B4223&gt;=20,Input!B4223&lt;=700),Input!B4223,""),"")</f>
        <v/>
      </c>
      <c r="C4223">
        <f>IF(B4223="","",INT(A4223))</f>
        <v/>
      </c>
      <c r="D4223">
        <f>IF(B4223="","",HOUR(A4223))</f>
        <v/>
      </c>
    </row>
    <row r="4224">
      <c r="A4224">
        <f>Input!A4224</f>
        <v/>
      </c>
      <c r="B4224">
        <f>IF(ISNUMBER(Input!B4224),IF(AND(Input!B4224&gt;=20,Input!B4224&lt;=700),Input!B4224,""),"")</f>
        <v/>
      </c>
      <c r="C4224">
        <f>IF(B4224="","",INT(A4224))</f>
        <v/>
      </c>
      <c r="D4224">
        <f>IF(B4224="","",HOUR(A4224))</f>
        <v/>
      </c>
    </row>
    <row r="4225">
      <c r="A4225">
        <f>Input!A4225</f>
        <v/>
      </c>
      <c r="B4225">
        <f>IF(ISNUMBER(Input!B4225),IF(AND(Input!B4225&gt;=20,Input!B4225&lt;=700),Input!B4225,""),"")</f>
        <v/>
      </c>
      <c r="C4225">
        <f>IF(B4225="","",INT(A4225))</f>
        <v/>
      </c>
      <c r="D4225">
        <f>IF(B4225="","",HOUR(A4225))</f>
        <v/>
      </c>
    </row>
    <row r="4226">
      <c r="A4226">
        <f>Input!A4226</f>
        <v/>
      </c>
      <c r="B4226">
        <f>IF(ISNUMBER(Input!B4226),IF(AND(Input!B4226&gt;=20,Input!B4226&lt;=700),Input!B4226,""),"")</f>
        <v/>
      </c>
      <c r="C4226">
        <f>IF(B4226="","",INT(A4226))</f>
        <v/>
      </c>
      <c r="D4226">
        <f>IF(B4226="","",HOUR(A4226))</f>
        <v/>
      </c>
    </row>
    <row r="4227">
      <c r="A4227">
        <f>Input!A4227</f>
        <v/>
      </c>
      <c r="B4227">
        <f>IF(ISNUMBER(Input!B4227),IF(AND(Input!B4227&gt;=20,Input!B4227&lt;=700),Input!B4227,""),"")</f>
        <v/>
      </c>
      <c r="C4227">
        <f>IF(B4227="","",INT(A4227))</f>
        <v/>
      </c>
      <c r="D4227">
        <f>IF(B4227="","",HOUR(A4227))</f>
        <v/>
      </c>
    </row>
    <row r="4228">
      <c r="A4228">
        <f>Input!A4228</f>
        <v/>
      </c>
      <c r="B4228">
        <f>IF(ISNUMBER(Input!B4228),IF(AND(Input!B4228&gt;=20,Input!B4228&lt;=700),Input!B4228,""),"")</f>
        <v/>
      </c>
      <c r="C4228">
        <f>IF(B4228="","",INT(A4228))</f>
        <v/>
      </c>
      <c r="D4228">
        <f>IF(B4228="","",HOUR(A4228))</f>
        <v/>
      </c>
    </row>
    <row r="4229">
      <c r="A4229">
        <f>Input!A4229</f>
        <v/>
      </c>
      <c r="B4229">
        <f>IF(ISNUMBER(Input!B4229),IF(AND(Input!B4229&gt;=20,Input!B4229&lt;=700),Input!B4229,""),"")</f>
        <v/>
      </c>
      <c r="C4229">
        <f>IF(B4229="","",INT(A4229))</f>
        <v/>
      </c>
      <c r="D4229">
        <f>IF(B4229="","",HOUR(A4229))</f>
        <v/>
      </c>
    </row>
    <row r="4230">
      <c r="A4230">
        <f>Input!A4230</f>
        <v/>
      </c>
      <c r="B4230">
        <f>IF(ISNUMBER(Input!B4230),IF(AND(Input!B4230&gt;=20,Input!B4230&lt;=700),Input!B4230,""),"")</f>
        <v/>
      </c>
      <c r="C4230">
        <f>IF(B4230="","",INT(A4230))</f>
        <v/>
      </c>
      <c r="D4230">
        <f>IF(B4230="","",HOUR(A4230))</f>
        <v/>
      </c>
    </row>
    <row r="4231">
      <c r="A4231">
        <f>Input!A4231</f>
        <v/>
      </c>
      <c r="B4231">
        <f>IF(ISNUMBER(Input!B4231),IF(AND(Input!B4231&gt;=20,Input!B4231&lt;=700),Input!B4231,""),"")</f>
        <v/>
      </c>
      <c r="C4231">
        <f>IF(B4231="","",INT(A4231))</f>
        <v/>
      </c>
      <c r="D4231">
        <f>IF(B4231="","",HOUR(A4231))</f>
        <v/>
      </c>
    </row>
    <row r="4232">
      <c r="A4232">
        <f>Input!A4232</f>
        <v/>
      </c>
      <c r="B4232">
        <f>IF(ISNUMBER(Input!B4232),IF(AND(Input!B4232&gt;=20,Input!B4232&lt;=700),Input!B4232,""),"")</f>
        <v/>
      </c>
      <c r="C4232">
        <f>IF(B4232="","",INT(A4232))</f>
        <v/>
      </c>
      <c r="D4232">
        <f>IF(B4232="","",HOUR(A4232))</f>
        <v/>
      </c>
    </row>
    <row r="4233">
      <c r="A4233">
        <f>Input!A4233</f>
        <v/>
      </c>
      <c r="B4233">
        <f>IF(ISNUMBER(Input!B4233),IF(AND(Input!B4233&gt;=20,Input!B4233&lt;=700),Input!B4233,""),"")</f>
        <v/>
      </c>
      <c r="C4233">
        <f>IF(B4233="","",INT(A4233))</f>
        <v/>
      </c>
      <c r="D4233">
        <f>IF(B4233="","",HOUR(A4233))</f>
        <v/>
      </c>
    </row>
    <row r="4234">
      <c r="A4234">
        <f>Input!A4234</f>
        <v/>
      </c>
      <c r="B4234">
        <f>IF(ISNUMBER(Input!B4234),IF(AND(Input!B4234&gt;=20,Input!B4234&lt;=700),Input!B4234,""),"")</f>
        <v/>
      </c>
      <c r="C4234">
        <f>IF(B4234="","",INT(A4234))</f>
        <v/>
      </c>
      <c r="D4234">
        <f>IF(B4234="","",HOUR(A4234))</f>
        <v/>
      </c>
    </row>
    <row r="4235">
      <c r="A4235">
        <f>Input!A4235</f>
        <v/>
      </c>
      <c r="B4235">
        <f>IF(ISNUMBER(Input!B4235),IF(AND(Input!B4235&gt;=20,Input!B4235&lt;=700),Input!B4235,""),"")</f>
        <v/>
      </c>
      <c r="C4235">
        <f>IF(B4235="","",INT(A4235))</f>
        <v/>
      </c>
      <c r="D4235">
        <f>IF(B4235="","",HOUR(A4235))</f>
        <v/>
      </c>
    </row>
    <row r="4236">
      <c r="A4236">
        <f>Input!A4236</f>
        <v/>
      </c>
      <c r="B4236">
        <f>IF(ISNUMBER(Input!B4236),IF(AND(Input!B4236&gt;=20,Input!B4236&lt;=700),Input!B4236,""),"")</f>
        <v/>
      </c>
      <c r="C4236">
        <f>IF(B4236="","",INT(A4236))</f>
        <v/>
      </c>
      <c r="D4236">
        <f>IF(B4236="","",HOUR(A4236))</f>
        <v/>
      </c>
    </row>
    <row r="4237">
      <c r="A4237">
        <f>Input!A4237</f>
        <v/>
      </c>
      <c r="B4237">
        <f>IF(ISNUMBER(Input!B4237),IF(AND(Input!B4237&gt;=20,Input!B4237&lt;=700),Input!B4237,""),"")</f>
        <v/>
      </c>
      <c r="C4237">
        <f>IF(B4237="","",INT(A4237))</f>
        <v/>
      </c>
      <c r="D4237">
        <f>IF(B4237="","",HOUR(A4237))</f>
        <v/>
      </c>
    </row>
    <row r="4238">
      <c r="A4238">
        <f>Input!A4238</f>
        <v/>
      </c>
      <c r="B4238">
        <f>IF(ISNUMBER(Input!B4238),IF(AND(Input!B4238&gt;=20,Input!B4238&lt;=700),Input!B4238,""),"")</f>
        <v/>
      </c>
      <c r="C4238">
        <f>IF(B4238="","",INT(A4238))</f>
        <v/>
      </c>
      <c r="D4238">
        <f>IF(B4238="","",HOUR(A4238))</f>
        <v/>
      </c>
    </row>
    <row r="4239">
      <c r="A4239">
        <f>Input!A4239</f>
        <v/>
      </c>
      <c r="B4239">
        <f>IF(ISNUMBER(Input!B4239),IF(AND(Input!B4239&gt;=20,Input!B4239&lt;=700),Input!B4239,""),"")</f>
        <v/>
      </c>
      <c r="C4239">
        <f>IF(B4239="","",INT(A4239))</f>
        <v/>
      </c>
      <c r="D4239">
        <f>IF(B4239="","",HOUR(A4239))</f>
        <v/>
      </c>
    </row>
    <row r="4240">
      <c r="A4240">
        <f>Input!A4240</f>
        <v/>
      </c>
      <c r="B4240">
        <f>IF(ISNUMBER(Input!B4240),IF(AND(Input!B4240&gt;=20,Input!B4240&lt;=700),Input!B4240,""),"")</f>
        <v/>
      </c>
      <c r="C4240">
        <f>IF(B4240="","",INT(A4240))</f>
        <v/>
      </c>
      <c r="D4240">
        <f>IF(B4240="","",HOUR(A4240))</f>
        <v/>
      </c>
    </row>
    <row r="4241">
      <c r="A4241">
        <f>Input!A4241</f>
        <v/>
      </c>
      <c r="B4241">
        <f>IF(ISNUMBER(Input!B4241),IF(AND(Input!B4241&gt;=20,Input!B4241&lt;=700),Input!B4241,""),"")</f>
        <v/>
      </c>
      <c r="C4241">
        <f>IF(B4241="","",INT(A4241))</f>
        <v/>
      </c>
      <c r="D4241">
        <f>IF(B4241="","",HOUR(A4241))</f>
        <v/>
      </c>
    </row>
    <row r="4242">
      <c r="A4242">
        <f>Input!A4242</f>
        <v/>
      </c>
      <c r="B4242">
        <f>IF(ISNUMBER(Input!B4242),IF(AND(Input!B4242&gt;=20,Input!B4242&lt;=700),Input!B4242,""),"")</f>
        <v/>
      </c>
      <c r="C4242">
        <f>IF(B4242="","",INT(A4242))</f>
        <v/>
      </c>
      <c r="D4242">
        <f>IF(B4242="","",HOUR(A4242))</f>
        <v/>
      </c>
    </row>
    <row r="4243">
      <c r="A4243">
        <f>Input!A4243</f>
        <v/>
      </c>
      <c r="B4243">
        <f>IF(ISNUMBER(Input!B4243),IF(AND(Input!B4243&gt;=20,Input!B4243&lt;=700),Input!B4243,""),"")</f>
        <v/>
      </c>
      <c r="C4243">
        <f>IF(B4243="","",INT(A4243))</f>
        <v/>
      </c>
      <c r="D4243">
        <f>IF(B4243="","",HOUR(A4243))</f>
        <v/>
      </c>
    </row>
    <row r="4244">
      <c r="A4244">
        <f>Input!A4244</f>
        <v/>
      </c>
      <c r="B4244">
        <f>IF(ISNUMBER(Input!B4244),IF(AND(Input!B4244&gt;=20,Input!B4244&lt;=700),Input!B4244,""),"")</f>
        <v/>
      </c>
      <c r="C4244">
        <f>IF(B4244="","",INT(A4244))</f>
        <v/>
      </c>
      <c r="D4244">
        <f>IF(B4244="","",HOUR(A4244))</f>
        <v/>
      </c>
    </row>
    <row r="4245">
      <c r="A4245">
        <f>Input!A4245</f>
        <v/>
      </c>
      <c r="B4245">
        <f>IF(ISNUMBER(Input!B4245),IF(AND(Input!B4245&gt;=20,Input!B4245&lt;=700),Input!B4245,""),"")</f>
        <v/>
      </c>
      <c r="C4245">
        <f>IF(B4245="","",INT(A4245))</f>
        <v/>
      </c>
      <c r="D4245">
        <f>IF(B4245="","",HOUR(A4245))</f>
        <v/>
      </c>
    </row>
    <row r="4246">
      <c r="A4246">
        <f>Input!A4246</f>
        <v/>
      </c>
      <c r="B4246">
        <f>IF(ISNUMBER(Input!B4246),IF(AND(Input!B4246&gt;=20,Input!B4246&lt;=700),Input!B4246,""),"")</f>
        <v/>
      </c>
      <c r="C4246">
        <f>IF(B4246="","",INT(A4246))</f>
        <v/>
      </c>
      <c r="D4246">
        <f>IF(B4246="","",HOUR(A4246))</f>
        <v/>
      </c>
    </row>
    <row r="4247">
      <c r="A4247">
        <f>Input!A4247</f>
        <v/>
      </c>
      <c r="B4247">
        <f>IF(ISNUMBER(Input!B4247),IF(AND(Input!B4247&gt;=20,Input!B4247&lt;=700),Input!B4247,""),"")</f>
        <v/>
      </c>
      <c r="C4247">
        <f>IF(B4247="","",INT(A4247))</f>
        <v/>
      </c>
      <c r="D4247">
        <f>IF(B4247="","",HOUR(A4247))</f>
        <v/>
      </c>
    </row>
    <row r="4248">
      <c r="A4248">
        <f>Input!A4248</f>
        <v/>
      </c>
      <c r="B4248">
        <f>IF(ISNUMBER(Input!B4248),IF(AND(Input!B4248&gt;=20,Input!B4248&lt;=700),Input!B4248,""),"")</f>
        <v/>
      </c>
      <c r="C4248">
        <f>IF(B4248="","",INT(A4248))</f>
        <v/>
      </c>
      <c r="D4248">
        <f>IF(B4248="","",HOUR(A4248))</f>
        <v/>
      </c>
    </row>
    <row r="4249">
      <c r="A4249">
        <f>Input!A4249</f>
        <v/>
      </c>
      <c r="B4249">
        <f>IF(ISNUMBER(Input!B4249),IF(AND(Input!B4249&gt;=20,Input!B4249&lt;=700),Input!B4249,""),"")</f>
        <v/>
      </c>
      <c r="C4249">
        <f>IF(B4249="","",INT(A4249))</f>
        <v/>
      </c>
      <c r="D4249">
        <f>IF(B4249="","",HOUR(A4249))</f>
        <v/>
      </c>
    </row>
    <row r="4250">
      <c r="A4250">
        <f>Input!A4250</f>
        <v/>
      </c>
      <c r="B4250">
        <f>IF(ISNUMBER(Input!B4250),IF(AND(Input!B4250&gt;=20,Input!B4250&lt;=700),Input!B4250,""),"")</f>
        <v/>
      </c>
      <c r="C4250">
        <f>IF(B4250="","",INT(A4250))</f>
        <v/>
      </c>
      <c r="D4250">
        <f>IF(B4250="","",HOUR(A4250))</f>
        <v/>
      </c>
    </row>
    <row r="4251">
      <c r="A4251">
        <f>Input!A4251</f>
        <v/>
      </c>
      <c r="B4251">
        <f>IF(ISNUMBER(Input!B4251),IF(AND(Input!B4251&gt;=20,Input!B4251&lt;=700),Input!B4251,""),"")</f>
        <v/>
      </c>
      <c r="C4251">
        <f>IF(B4251="","",INT(A4251))</f>
        <v/>
      </c>
      <c r="D4251">
        <f>IF(B4251="","",HOUR(A4251))</f>
        <v/>
      </c>
    </row>
    <row r="4252">
      <c r="A4252">
        <f>Input!A4252</f>
        <v/>
      </c>
      <c r="B4252">
        <f>IF(ISNUMBER(Input!B4252),IF(AND(Input!B4252&gt;=20,Input!B4252&lt;=700),Input!B4252,""),"")</f>
        <v/>
      </c>
      <c r="C4252">
        <f>IF(B4252="","",INT(A4252))</f>
        <v/>
      </c>
      <c r="D4252">
        <f>IF(B4252="","",HOUR(A4252))</f>
        <v/>
      </c>
    </row>
    <row r="4253">
      <c r="A4253">
        <f>Input!A4253</f>
        <v/>
      </c>
      <c r="B4253">
        <f>IF(ISNUMBER(Input!B4253),IF(AND(Input!B4253&gt;=20,Input!B4253&lt;=700),Input!B4253,""),"")</f>
        <v/>
      </c>
      <c r="C4253">
        <f>IF(B4253="","",INT(A4253))</f>
        <v/>
      </c>
      <c r="D4253">
        <f>IF(B4253="","",HOUR(A4253))</f>
        <v/>
      </c>
    </row>
    <row r="4254">
      <c r="A4254">
        <f>Input!A4254</f>
        <v/>
      </c>
      <c r="B4254">
        <f>IF(ISNUMBER(Input!B4254),IF(AND(Input!B4254&gt;=20,Input!B4254&lt;=700),Input!B4254,""),"")</f>
        <v/>
      </c>
      <c r="C4254">
        <f>IF(B4254="","",INT(A4254))</f>
        <v/>
      </c>
      <c r="D4254">
        <f>IF(B4254="","",HOUR(A4254))</f>
        <v/>
      </c>
    </row>
    <row r="4255">
      <c r="A4255">
        <f>Input!A4255</f>
        <v/>
      </c>
      <c r="B4255">
        <f>IF(ISNUMBER(Input!B4255),IF(AND(Input!B4255&gt;=20,Input!B4255&lt;=700),Input!B4255,""),"")</f>
        <v/>
      </c>
      <c r="C4255">
        <f>IF(B4255="","",INT(A4255))</f>
        <v/>
      </c>
      <c r="D4255">
        <f>IF(B4255="","",HOUR(A4255))</f>
        <v/>
      </c>
    </row>
    <row r="4256">
      <c r="A4256">
        <f>Input!A4256</f>
        <v/>
      </c>
      <c r="B4256">
        <f>IF(ISNUMBER(Input!B4256),IF(AND(Input!B4256&gt;=20,Input!B4256&lt;=700),Input!B4256,""),"")</f>
        <v/>
      </c>
      <c r="C4256">
        <f>IF(B4256="","",INT(A4256))</f>
        <v/>
      </c>
      <c r="D4256">
        <f>IF(B4256="","",HOUR(A4256))</f>
        <v/>
      </c>
    </row>
    <row r="4257">
      <c r="A4257">
        <f>Input!A4257</f>
        <v/>
      </c>
      <c r="B4257">
        <f>IF(ISNUMBER(Input!B4257),IF(AND(Input!B4257&gt;=20,Input!B4257&lt;=700),Input!B4257,""),"")</f>
        <v/>
      </c>
      <c r="C4257">
        <f>IF(B4257="","",INT(A4257))</f>
        <v/>
      </c>
      <c r="D4257">
        <f>IF(B4257="","",HOUR(A4257))</f>
        <v/>
      </c>
    </row>
    <row r="4258">
      <c r="A4258">
        <f>Input!A4258</f>
        <v/>
      </c>
      <c r="B4258">
        <f>IF(ISNUMBER(Input!B4258),IF(AND(Input!B4258&gt;=20,Input!B4258&lt;=700),Input!B4258,""),"")</f>
        <v/>
      </c>
      <c r="C4258">
        <f>IF(B4258="","",INT(A4258))</f>
        <v/>
      </c>
      <c r="D4258">
        <f>IF(B4258="","",HOUR(A4258))</f>
        <v/>
      </c>
    </row>
    <row r="4259">
      <c r="A4259">
        <f>Input!A4259</f>
        <v/>
      </c>
      <c r="B4259">
        <f>IF(ISNUMBER(Input!B4259),IF(AND(Input!B4259&gt;=20,Input!B4259&lt;=700),Input!B4259,""),"")</f>
        <v/>
      </c>
      <c r="C4259">
        <f>IF(B4259="","",INT(A4259))</f>
        <v/>
      </c>
      <c r="D4259">
        <f>IF(B4259="","",HOUR(A4259))</f>
        <v/>
      </c>
    </row>
    <row r="4260">
      <c r="A4260">
        <f>Input!A4260</f>
        <v/>
      </c>
      <c r="B4260">
        <f>IF(ISNUMBER(Input!B4260),IF(AND(Input!B4260&gt;=20,Input!B4260&lt;=700),Input!B4260,""),"")</f>
        <v/>
      </c>
      <c r="C4260">
        <f>IF(B4260="","",INT(A4260))</f>
        <v/>
      </c>
      <c r="D4260">
        <f>IF(B4260="","",HOUR(A4260))</f>
        <v/>
      </c>
    </row>
    <row r="4261">
      <c r="A4261">
        <f>Input!A4261</f>
        <v/>
      </c>
      <c r="B4261">
        <f>IF(ISNUMBER(Input!B4261),IF(AND(Input!B4261&gt;=20,Input!B4261&lt;=700),Input!B4261,""),"")</f>
        <v/>
      </c>
      <c r="C4261">
        <f>IF(B4261="","",INT(A4261))</f>
        <v/>
      </c>
      <c r="D4261">
        <f>IF(B4261="","",HOUR(A4261))</f>
        <v/>
      </c>
    </row>
    <row r="4262">
      <c r="A4262">
        <f>Input!A4262</f>
        <v/>
      </c>
      <c r="B4262">
        <f>IF(ISNUMBER(Input!B4262),IF(AND(Input!B4262&gt;=20,Input!B4262&lt;=700),Input!B4262,""),"")</f>
        <v/>
      </c>
      <c r="C4262">
        <f>IF(B4262="","",INT(A4262))</f>
        <v/>
      </c>
      <c r="D4262">
        <f>IF(B4262="","",HOUR(A4262))</f>
        <v/>
      </c>
    </row>
    <row r="4263">
      <c r="A4263">
        <f>Input!A4263</f>
        <v/>
      </c>
      <c r="B4263">
        <f>IF(ISNUMBER(Input!B4263),IF(AND(Input!B4263&gt;=20,Input!B4263&lt;=700),Input!B4263,""),"")</f>
        <v/>
      </c>
      <c r="C4263">
        <f>IF(B4263="","",INT(A4263))</f>
        <v/>
      </c>
      <c r="D4263">
        <f>IF(B4263="","",HOUR(A4263))</f>
        <v/>
      </c>
    </row>
    <row r="4264">
      <c r="A4264">
        <f>Input!A4264</f>
        <v/>
      </c>
      <c r="B4264">
        <f>IF(ISNUMBER(Input!B4264),IF(AND(Input!B4264&gt;=20,Input!B4264&lt;=700),Input!B4264,""),"")</f>
        <v/>
      </c>
      <c r="C4264">
        <f>IF(B4264="","",INT(A4264))</f>
        <v/>
      </c>
      <c r="D4264">
        <f>IF(B4264="","",HOUR(A4264))</f>
        <v/>
      </c>
    </row>
    <row r="4265">
      <c r="A4265">
        <f>Input!A4265</f>
        <v/>
      </c>
      <c r="B4265">
        <f>IF(ISNUMBER(Input!B4265),IF(AND(Input!B4265&gt;=20,Input!B4265&lt;=700),Input!B4265,""),"")</f>
        <v/>
      </c>
      <c r="C4265">
        <f>IF(B4265="","",INT(A4265))</f>
        <v/>
      </c>
      <c r="D4265">
        <f>IF(B4265="","",HOUR(A4265))</f>
        <v/>
      </c>
    </row>
    <row r="4266">
      <c r="A4266">
        <f>Input!A4266</f>
        <v/>
      </c>
      <c r="B4266">
        <f>IF(ISNUMBER(Input!B4266),IF(AND(Input!B4266&gt;=20,Input!B4266&lt;=700),Input!B4266,""),"")</f>
        <v/>
      </c>
      <c r="C4266">
        <f>IF(B4266="","",INT(A4266))</f>
        <v/>
      </c>
      <c r="D4266">
        <f>IF(B4266="","",HOUR(A4266))</f>
        <v/>
      </c>
    </row>
    <row r="4267">
      <c r="A4267">
        <f>Input!A4267</f>
        <v/>
      </c>
      <c r="B4267">
        <f>IF(ISNUMBER(Input!B4267),IF(AND(Input!B4267&gt;=20,Input!B4267&lt;=700),Input!B4267,""),"")</f>
        <v/>
      </c>
      <c r="C4267">
        <f>IF(B4267="","",INT(A4267))</f>
        <v/>
      </c>
      <c r="D4267">
        <f>IF(B4267="","",HOUR(A4267))</f>
        <v/>
      </c>
    </row>
    <row r="4268">
      <c r="A4268">
        <f>Input!A4268</f>
        <v/>
      </c>
      <c r="B4268">
        <f>IF(ISNUMBER(Input!B4268),IF(AND(Input!B4268&gt;=20,Input!B4268&lt;=700),Input!B4268,""),"")</f>
        <v/>
      </c>
      <c r="C4268">
        <f>IF(B4268="","",INT(A4268))</f>
        <v/>
      </c>
      <c r="D4268">
        <f>IF(B4268="","",HOUR(A4268))</f>
        <v/>
      </c>
    </row>
    <row r="4269">
      <c r="A4269">
        <f>Input!A4269</f>
        <v/>
      </c>
      <c r="B4269">
        <f>IF(ISNUMBER(Input!B4269),IF(AND(Input!B4269&gt;=20,Input!B4269&lt;=700),Input!B4269,""),"")</f>
        <v/>
      </c>
      <c r="C4269">
        <f>IF(B4269="","",INT(A4269))</f>
        <v/>
      </c>
      <c r="D4269">
        <f>IF(B4269="","",HOUR(A4269))</f>
        <v/>
      </c>
    </row>
    <row r="4270">
      <c r="A4270">
        <f>Input!A4270</f>
        <v/>
      </c>
      <c r="B4270">
        <f>IF(ISNUMBER(Input!B4270),IF(AND(Input!B4270&gt;=20,Input!B4270&lt;=700),Input!B4270,""),"")</f>
        <v/>
      </c>
      <c r="C4270">
        <f>IF(B4270="","",INT(A4270))</f>
        <v/>
      </c>
      <c r="D4270">
        <f>IF(B4270="","",HOUR(A4270))</f>
        <v/>
      </c>
    </row>
    <row r="4271">
      <c r="A4271">
        <f>Input!A4271</f>
        <v/>
      </c>
      <c r="B4271">
        <f>IF(ISNUMBER(Input!B4271),IF(AND(Input!B4271&gt;=20,Input!B4271&lt;=700),Input!B4271,""),"")</f>
        <v/>
      </c>
      <c r="C4271">
        <f>IF(B4271="","",INT(A4271))</f>
        <v/>
      </c>
      <c r="D4271">
        <f>IF(B4271="","",HOUR(A4271))</f>
        <v/>
      </c>
    </row>
    <row r="4272">
      <c r="A4272">
        <f>Input!A4272</f>
        <v/>
      </c>
      <c r="B4272">
        <f>IF(ISNUMBER(Input!B4272),IF(AND(Input!B4272&gt;=20,Input!B4272&lt;=700),Input!B4272,""),"")</f>
        <v/>
      </c>
      <c r="C4272">
        <f>IF(B4272="","",INT(A4272))</f>
        <v/>
      </c>
      <c r="D4272">
        <f>IF(B4272="","",HOUR(A4272))</f>
        <v/>
      </c>
    </row>
    <row r="4273">
      <c r="A4273">
        <f>Input!A4273</f>
        <v/>
      </c>
      <c r="B4273">
        <f>IF(ISNUMBER(Input!B4273),IF(AND(Input!B4273&gt;=20,Input!B4273&lt;=700),Input!B4273,""),"")</f>
        <v/>
      </c>
      <c r="C4273">
        <f>IF(B4273="","",INT(A4273))</f>
        <v/>
      </c>
      <c r="D4273">
        <f>IF(B4273="","",HOUR(A4273))</f>
        <v/>
      </c>
    </row>
    <row r="4274">
      <c r="A4274">
        <f>Input!A4274</f>
        <v/>
      </c>
      <c r="B4274">
        <f>IF(ISNUMBER(Input!B4274),IF(AND(Input!B4274&gt;=20,Input!B4274&lt;=700),Input!B4274,""),"")</f>
        <v/>
      </c>
      <c r="C4274">
        <f>IF(B4274="","",INT(A4274))</f>
        <v/>
      </c>
      <c r="D4274">
        <f>IF(B4274="","",HOUR(A4274))</f>
        <v/>
      </c>
    </row>
    <row r="4275">
      <c r="A4275">
        <f>Input!A4275</f>
        <v/>
      </c>
      <c r="B4275">
        <f>IF(ISNUMBER(Input!B4275),IF(AND(Input!B4275&gt;=20,Input!B4275&lt;=700),Input!B4275,""),"")</f>
        <v/>
      </c>
      <c r="C4275">
        <f>IF(B4275="","",INT(A4275))</f>
        <v/>
      </c>
      <c r="D4275">
        <f>IF(B4275="","",HOUR(A4275))</f>
        <v/>
      </c>
    </row>
    <row r="4276">
      <c r="A4276">
        <f>Input!A4276</f>
        <v/>
      </c>
      <c r="B4276">
        <f>IF(ISNUMBER(Input!B4276),IF(AND(Input!B4276&gt;=20,Input!B4276&lt;=700),Input!B4276,""),"")</f>
        <v/>
      </c>
      <c r="C4276">
        <f>IF(B4276="","",INT(A4276))</f>
        <v/>
      </c>
      <c r="D4276">
        <f>IF(B4276="","",HOUR(A4276))</f>
        <v/>
      </c>
    </row>
    <row r="4277">
      <c r="A4277">
        <f>Input!A4277</f>
        <v/>
      </c>
      <c r="B4277">
        <f>IF(ISNUMBER(Input!B4277),IF(AND(Input!B4277&gt;=20,Input!B4277&lt;=700),Input!B4277,""),"")</f>
        <v/>
      </c>
      <c r="C4277">
        <f>IF(B4277="","",INT(A4277))</f>
        <v/>
      </c>
      <c r="D4277">
        <f>IF(B4277="","",HOUR(A4277))</f>
        <v/>
      </c>
    </row>
    <row r="4278">
      <c r="A4278">
        <f>Input!A4278</f>
        <v/>
      </c>
      <c r="B4278">
        <f>IF(ISNUMBER(Input!B4278),IF(AND(Input!B4278&gt;=20,Input!B4278&lt;=700),Input!B4278,""),"")</f>
        <v/>
      </c>
      <c r="C4278">
        <f>IF(B4278="","",INT(A4278))</f>
        <v/>
      </c>
      <c r="D4278">
        <f>IF(B4278="","",HOUR(A4278))</f>
        <v/>
      </c>
    </row>
    <row r="4279">
      <c r="A4279">
        <f>Input!A4279</f>
        <v/>
      </c>
      <c r="B4279">
        <f>IF(ISNUMBER(Input!B4279),IF(AND(Input!B4279&gt;=20,Input!B4279&lt;=700),Input!B4279,""),"")</f>
        <v/>
      </c>
      <c r="C4279">
        <f>IF(B4279="","",INT(A4279))</f>
        <v/>
      </c>
      <c r="D4279">
        <f>IF(B4279="","",HOUR(A4279))</f>
        <v/>
      </c>
    </row>
    <row r="4280">
      <c r="A4280">
        <f>Input!A4280</f>
        <v/>
      </c>
      <c r="B4280">
        <f>IF(ISNUMBER(Input!B4280),IF(AND(Input!B4280&gt;=20,Input!B4280&lt;=700),Input!B4280,""),"")</f>
        <v/>
      </c>
      <c r="C4280">
        <f>IF(B4280="","",INT(A4280))</f>
        <v/>
      </c>
      <c r="D4280">
        <f>IF(B4280="","",HOUR(A4280))</f>
        <v/>
      </c>
    </row>
    <row r="4281">
      <c r="A4281">
        <f>Input!A4281</f>
        <v/>
      </c>
      <c r="B4281">
        <f>IF(ISNUMBER(Input!B4281),IF(AND(Input!B4281&gt;=20,Input!B4281&lt;=700),Input!B4281,""),"")</f>
        <v/>
      </c>
      <c r="C4281">
        <f>IF(B4281="","",INT(A4281))</f>
        <v/>
      </c>
      <c r="D4281">
        <f>IF(B4281="","",HOUR(A4281))</f>
        <v/>
      </c>
    </row>
    <row r="4282">
      <c r="A4282">
        <f>Input!A4282</f>
        <v/>
      </c>
      <c r="B4282">
        <f>IF(ISNUMBER(Input!B4282),IF(AND(Input!B4282&gt;=20,Input!B4282&lt;=700),Input!B4282,""),"")</f>
        <v/>
      </c>
      <c r="C4282">
        <f>IF(B4282="","",INT(A4282))</f>
        <v/>
      </c>
      <c r="D4282">
        <f>IF(B4282="","",HOUR(A4282))</f>
        <v/>
      </c>
    </row>
    <row r="4283">
      <c r="A4283">
        <f>Input!A4283</f>
        <v/>
      </c>
      <c r="B4283">
        <f>IF(ISNUMBER(Input!B4283),IF(AND(Input!B4283&gt;=20,Input!B4283&lt;=700),Input!B4283,""),"")</f>
        <v/>
      </c>
      <c r="C4283">
        <f>IF(B4283="","",INT(A4283))</f>
        <v/>
      </c>
      <c r="D4283">
        <f>IF(B4283="","",HOUR(A4283))</f>
        <v/>
      </c>
    </row>
    <row r="4284">
      <c r="A4284">
        <f>Input!A4284</f>
        <v/>
      </c>
      <c r="B4284">
        <f>IF(ISNUMBER(Input!B4284),IF(AND(Input!B4284&gt;=20,Input!B4284&lt;=700),Input!B4284,""),"")</f>
        <v/>
      </c>
      <c r="C4284">
        <f>IF(B4284="","",INT(A4284))</f>
        <v/>
      </c>
      <c r="D4284">
        <f>IF(B4284="","",HOUR(A4284))</f>
        <v/>
      </c>
    </row>
    <row r="4285">
      <c r="A4285">
        <f>Input!A4285</f>
        <v/>
      </c>
      <c r="B4285">
        <f>IF(ISNUMBER(Input!B4285),IF(AND(Input!B4285&gt;=20,Input!B4285&lt;=700),Input!B4285,""),"")</f>
        <v/>
      </c>
      <c r="C4285">
        <f>IF(B4285="","",INT(A4285))</f>
        <v/>
      </c>
      <c r="D4285">
        <f>IF(B4285="","",HOUR(A4285))</f>
        <v/>
      </c>
    </row>
    <row r="4286">
      <c r="A4286">
        <f>Input!A4286</f>
        <v/>
      </c>
      <c r="B4286">
        <f>IF(ISNUMBER(Input!B4286),IF(AND(Input!B4286&gt;=20,Input!B4286&lt;=700),Input!B4286,""),"")</f>
        <v/>
      </c>
      <c r="C4286">
        <f>IF(B4286="","",INT(A4286))</f>
        <v/>
      </c>
      <c r="D4286">
        <f>IF(B4286="","",HOUR(A4286))</f>
        <v/>
      </c>
    </row>
    <row r="4287">
      <c r="A4287">
        <f>Input!A4287</f>
        <v/>
      </c>
      <c r="B4287">
        <f>IF(ISNUMBER(Input!B4287),IF(AND(Input!B4287&gt;=20,Input!B4287&lt;=700),Input!B4287,""),"")</f>
        <v/>
      </c>
      <c r="C4287">
        <f>IF(B4287="","",INT(A4287))</f>
        <v/>
      </c>
      <c r="D4287">
        <f>IF(B4287="","",HOUR(A4287))</f>
        <v/>
      </c>
    </row>
    <row r="4288">
      <c r="A4288">
        <f>Input!A4288</f>
        <v/>
      </c>
      <c r="B4288">
        <f>IF(ISNUMBER(Input!B4288),IF(AND(Input!B4288&gt;=20,Input!B4288&lt;=700),Input!B4288,""),"")</f>
        <v/>
      </c>
      <c r="C4288">
        <f>IF(B4288="","",INT(A4288))</f>
        <v/>
      </c>
      <c r="D4288">
        <f>IF(B4288="","",HOUR(A4288))</f>
        <v/>
      </c>
    </row>
    <row r="4289">
      <c r="A4289">
        <f>Input!A4289</f>
        <v/>
      </c>
      <c r="B4289">
        <f>IF(ISNUMBER(Input!B4289),IF(AND(Input!B4289&gt;=20,Input!B4289&lt;=700),Input!B4289,""),"")</f>
        <v/>
      </c>
      <c r="C4289">
        <f>IF(B4289="","",INT(A4289))</f>
        <v/>
      </c>
      <c r="D4289">
        <f>IF(B4289="","",HOUR(A4289))</f>
        <v/>
      </c>
    </row>
    <row r="4290">
      <c r="A4290">
        <f>Input!A4290</f>
        <v/>
      </c>
      <c r="B4290">
        <f>IF(ISNUMBER(Input!B4290),IF(AND(Input!B4290&gt;=20,Input!B4290&lt;=700),Input!B4290,""),"")</f>
        <v/>
      </c>
      <c r="C4290">
        <f>IF(B4290="","",INT(A4290))</f>
        <v/>
      </c>
      <c r="D4290">
        <f>IF(B4290="","",HOUR(A4290))</f>
        <v/>
      </c>
    </row>
    <row r="4291">
      <c r="A4291">
        <f>Input!A4291</f>
        <v/>
      </c>
      <c r="B4291">
        <f>IF(ISNUMBER(Input!B4291),IF(AND(Input!B4291&gt;=20,Input!B4291&lt;=700),Input!B4291,""),"")</f>
        <v/>
      </c>
      <c r="C4291">
        <f>IF(B4291="","",INT(A4291))</f>
        <v/>
      </c>
      <c r="D4291">
        <f>IF(B4291="","",HOUR(A4291))</f>
        <v/>
      </c>
    </row>
    <row r="4292">
      <c r="A4292">
        <f>Input!A4292</f>
        <v/>
      </c>
      <c r="B4292">
        <f>IF(ISNUMBER(Input!B4292),IF(AND(Input!B4292&gt;=20,Input!B4292&lt;=700),Input!B4292,""),"")</f>
        <v/>
      </c>
      <c r="C4292">
        <f>IF(B4292="","",INT(A4292))</f>
        <v/>
      </c>
      <c r="D4292">
        <f>IF(B4292="","",HOUR(A4292))</f>
        <v/>
      </c>
    </row>
    <row r="4293">
      <c r="A4293">
        <f>Input!A4293</f>
        <v/>
      </c>
      <c r="B4293">
        <f>IF(ISNUMBER(Input!B4293),IF(AND(Input!B4293&gt;=20,Input!B4293&lt;=700),Input!B4293,""),"")</f>
        <v/>
      </c>
      <c r="C4293">
        <f>IF(B4293="","",INT(A4293))</f>
        <v/>
      </c>
      <c r="D4293">
        <f>IF(B4293="","",HOUR(A4293))</f>
        <v/>
      </c>
    </row>
    <row r="4294">
      <c r="A4294">
        <f>Input!A4294</f>
        <v/>
      </c>
      <c r="B4294">
        <f>IF(ISNUMBER(Input!B4294),IF(AND(Input!B4294&gt;=20,Input!B4294&lt;=700),Input!B4294,""),"")</f>
        <v/>
      </c>
      <c r="C4294">
        <f>IF(B4294="","",INT(A4294))</f>
        <v/>
      </c>
      <c r="D4294">
        <f>IF(B4294="","",HOUR(A4294))</f>
        <v/>
      </c>
    </row>
    <row r="4295">
      <c r="A4295">
        <f>Input!A4295</f>
        <v/>
      </c>
      <c r="B4295">
        <f>IF(ISNUMBER(Input!B4295),IF(AND(Input!B4295&gt;=20,Input!B4295&lt;=700),Input!B4295,""),"")</f>
        <v/>
      </c>
      <c r="C4295">
        <f>IF(B4295="","",INT(A4295))</f>
        <v/>
      </c>
      <c r="D4295">
        <f>IF(B4295="","",HOUR(A4295))</f>
        <v/>
      </c>
    </row>
    <row r="4296">
      <c r="A4296">
        <f>Input!A4296</f>
        <v/>
      </c>
      <c r="B4296">
        <f>IF(ISNUMBER(Input!B4296),IF(AND(Input!B4296&gt;=20,Input!B4296&lt;=700),Input!B4296,""),"")</f>
        <v/>
      </c>
      <c r="C4296">
        <f>IF(B4296="","",INT(A4296))</f>
        <v/>
      </c>
      <c r="D4296">
        <f>IF(B4296="","",HOUR(A4296))</f>
        <v/>
      </c>
    </row>
    <row r="4297">
      <c r="A4297">
        <f>Input!A4297</f>
        <v/>
      </c>
      <c r="B4297">
        <f>IF(ISNUMBER(Input!B4297),IF(AND(Input!B4297&gt;=20,Input!B4297&lt;=700),Input!B4297,""),"")</f>
        <v/>
      </c>
      <c r="C4297">
        <f>IF(B4297="","",INT(A4297))</f>
        <v/>
      </c>
      <c r="D4297">
        <f>IF(B4297="","",HOUR(A4297))</f>
        <v/>
      </c>
    </row>
    <row r="4298">
      <c r="A4298">
        <f>Input!A4298</f>
        <v/>
      </c>
      <c r="B4298">
        <f>IF(ISNUMBER(Input!B4298),IF(AND(Input!B4298&gt;=20,Input!B4298&lt;=700),Input!B4298,""),"")</f>
        <v/>
      </c>
      <c r="C4298">
        <f>IF(B4298="","",INT(A4298))</f>
        <v/>
      </c>
      <c r="D4298">
        <f>IF(B4298="","",HOUR(A4298))</f>
        <v/>
      </c>
    </row>
    <row r="4299">
      <c r="A4299">
        <f>Input!A4299</f>
        <v/>
      </c>
      <c r="B4299">
        <f>IF(ISNUMBER(Input!B4299),IF(AND(Input!B4299&gt;=20,Input!B4299&lt;=700),Input!B4299,""),"")</f>
        <v/>
      </c>
      <c r="C4299">
        <f>IF(B4299="","",INT(A4299))</f>
        <v/>
      </c>
      <c r="D4299">
        <f>IF(B4299="","",HOUR(A4299))</f>
        <v/>
      </c>
    </row>
    <row r="4300">
      <c r="A4300">
        <f>Input!A4300</f>
        <v/>
      </c>
      <c r="B4300">
        <f>IF(ISNUMBER(Input!B4300),IF(AND(Input!B4300&gt;=20,Input!B4300&lt;=700),Input!B4300,""),"")</f>
        <v/>
      </c>
      <c r="C4300">
        <f>IF(B4300="","",INT(A4300))</f>
        <v/>
      </c>
      <c r="D4300">
        <f>IF(B4300="","",HOUR(A4300))</f>
        <v/>
      </c>
    </row>
    <row r="4301">
      <c r="A4301">
        <f>Input!A4301</f>
        <v/>
      </c>
      <c r="B4301">
        <f>IF(ISNUMBER(Input!B4301),IF(AND(Input!B4301&gt;=20,Input!B4301&lt;=700),Input!B4301,""),"")</f>
        <v/>
      </c>
      <c r="C4301">
        <f>IF(B4301="","",INT(A4301))</f>
        <v/>
      </c>
      <c r="D4301">
        <f>IF(B4301="","",HOUR(A4301))</f>
        <v/>
      </c>
    </row>
    <row r="4302">
      <c r="A4302">
        <f>Input!A4302</f>
        <v/>
      </c>
      <c r="B4302">
        <f>IF(ISNUMBER(Input!B4302),IF(AND(Input!B4302&gt;=20,Input!B4302&lt;=700),Input!B4302,""),"")</f>
        <v/>
      </c>
      <c r="C4302">
        <f>IF(B4302="","",INT(A4302))</f>
        <v/>
      </c>
      <c r="D4302">
        <f>IF(B4302="","",HOUR(A4302))</f>
        <v/>
      </c>
    </row>
    <row r="4303">
      <c r="A4303">
        <f>Input!A4303</f>
        <v/>
      </c>
      <c r="B4303">
        <f>IF(ISNUMBER(Input!B4303),IF(AND(Input!B4303&gt;=20,Input!B4303&lt;=700),Input!B4303,""),"")</f>
        <v/>
      </c>
      <c r="C4303">
        <f>IF(B4303="","",INT(A4303))</f>
        <v/>
      </c>
      <c r="D4303">
        <f>IF(B4303="","",HOUR(A4303))</f>
        <v/>
      </c>
    </row>
    <row r="4304">
      <c r="A4304">
        <f>Input!A4304</f>
        <v/>
      </c>
      <c r="B4304">
        <f>IF(ISNUMBER(Input!B4304),IF(AND(Input!B4304&gt;=20,Input!B4304&lt;=700),Input!B4304,""),"")</f>
        <v/>
      </c>
      <c r="C4304">
        <f>IF(B4304="","",INT(A4304))</f>
        <v/>
      </c>
      <c r="D4304">
        <f>IF(B4304="","",HOUR(A4304))</f>
        <v/>
      </c>
    </row>
    <row r="4305">
      <c r="A4305">
        <f>Input!A4305</f>
        <v/>
      </c>
      <c r="B4305">
        <f>IF(ISNUMBER(Input!B4305),IF(AND(Input!B4305&gt;=20,Input!B4305&lt;=700),Input!B4305,""),"")</f>
        <v/>
      </c>
      <c r="C4305">
        <f>IF(B4305="","",INT(A4305))</f>
        <v/>
      </c>
      <c r="D4305">
        <f>IF(B4305="","",HOUR(A4305))</f>
        <v/>
      </c>
    </row>
    <row r="4306">
      <c r="A4306">
        <f>Input!A4306</f>
        <v/>
      </c>
      <c r="B4306">
        <f>IF(ISNUMBER(Input!B4306),IF(AND(Input!B4306&gt;=20,Input!B4306&lt;=700),Input!B4306,""),"")</f>
        <v/>
      </c>
      <c r="C4306">
        <f>IF(B4306="","",INT(A4306))</f>
        <v/>
      </c>
      <c r="D4306">
        <f>IF(B4306="","",HOUR(A4306))</f>
        <v/>
      </c>
    </row>
    <row r="4307">
      <c r="A4307">
        <f>Input!A4307</f>
        <v/>
      </c>
      <c r="B4307">
        <f>IF(ISNUMBER(Input!B4307),IF(AND(Input!B4307&gt;=20,Input!B4307&lt;=700),Input!B4307,""),"")</f>
        <v/>
      </c>
      <c r="C4307">
        <f>IF(B4307="","",INT(A4307))</f>
        <v/>
      </c>
      <c r="D4307">
        <f>IF(B4307="","",HOUR(A4307))</f>
        <v/>
      </c>
    </row>
    <row r="4308">
      <c r="A4308">
        <f>Input!A4308</f>
        <v/>
      </c>
      <c r="B4308">
        <f>IF(ISNUMBER(Input!B4308),IF(AND(Input!B4308&gt;=20,Input!B4308&lt;=700),Input!B4308,""),"")</f>
        <v/>
      </c>
      <c r="C4308">
        <f>IF(B4308="","",INT(A4308))</f>
        <v/>
      </c>
      <c r="D4308">
        <f>IF(B4308="","",HOUR(A4308))</f>
        <v/>
      </c>
    </row>
    <row r="4309">
      <c r="A4309">
        <f>Input!A4309</f>
        <v/>
      </c>
      <c r="B4309">
        <f>IF(ISNUMBER(Input!B4309),IF(AND(Input!B4309&gt;=20,Input!B4309&lt;=700),Input!B4309,""),"")</f>
        <v/>
      </c>
      <c r="C4309">
        <f>IF(B4309="","",INT(A4309))</f>
        <v/>
      </c>
      <c r="D4309">
        <f>IF(B4309="","",HOUR(A4309))</f>
        <v/>
      </c>
    </row>
    <row r="4310">
      <c r="A4310">
        <f>Input!A4310</f>
        <v/>
      </c>
      <c r="B4310">
        <f>IF(ISNUMBER(Input!B4310),IF(AND(Input!B4310&gt;=20,Input!B4310&lt;=700),Input!B4310,""),"")</f>
        <v/>
      </c>
      <c r="C4310">
        <f>IF(B4310="","",INT(A4310))</f>
        <v/>
      </c>
      <c r="D4310">
        <f>IF(B4310="","",HOUR(A4310))</f>
        <v/>
      </c>
    </row>
    <row r="4311">
      <c r="A4311">
        <f>Input!A4311</f>
        <v/>
      </c>
      <c r="B4311">
        <f>IF(ISNUMBER(Input!B4311),IF(AND(Input!B4311&gt;=20,Input!B4311&lt;=700),Input!B4311,""),"")</f>
        <v/>
      </c>
      <c r="C4311">
        <f>IF(B4311="","",INT(A4311))</f>
        <v/>
      </c>
      <c r="D4311">
        <f>IF(B4311="","",HOUR(A4311))</f>
        <v/>
      </c>
    </row>
    <row r="4312">
      <c r="A4312">
        <f>Input!A4312</f>
        <v/>
      </c>
      <c r="B4312">
        <f>IF(ISNUMBER(Input!B4312),IF(AND(Input!B4312&gt;=20,Input!B4312&lt;=700),Input!B4312,""),"")</f>
        <v/>
      </c>
      <c r="C4312">
        <f>IF(B4312="","",INT(A4312))</f>
        <v/>
      </c>
      <c r="D4312">
        <f>IF(B4312="","",HOUR(A4312))</f>
        <v/>
      </c>
    </row>
    <row r="4313">
      <c r="A4313">
        <f>Input!A4313</f>
        <v/>
      </c>
      <c r="B4313">
        <f>IF(ISNUMBER(Input!B4313),IF(AND(Input!B4313&gt;=20,Input!B4313&lt;=700),Input!B4313,""),"")</f>
        <v/>
      </c>
      <c r="C4313">
        <f>IF(B4313="","",INT(A4313))</f>
        <v/>
      </c>
      <c r="D4313">
        <f>IF(B4313="","",HOUR(A4313))</f>
        <v/>
      </c>
    </row>
    <row r="4314">
      <c r="A4314">
        <f>Input!A4314</f>
        <v/>
      </c>
      <c r="B4314">
        <f>IF(ISNUMBER(Input!B4314),IF(AND(Input!B4314&gt;=20,Input!B4314&lt;=700),Input!B4314,""),"")</f>
        <v/>
      </c>
      <c r="C4314">
        <f>IF(B4314="","",INT(A4314))</f>
        <v/>
      </c>
      <c r="D4314">
        <f>IF(B4314="","",HOUR(A4314))</f>
        <v/>
      </c>
    </row>
    <row r="4315">
      <c r="A4315">
        <f>Input!A4315</f>
        <v/>
      </c>
      <c r="B4315">
        <f>IF(ISNUMBER(Input!B4315),IF(AND(Input!B4315&gt;=20,Input!B4315&lt;=700),Input!B4315,""),"")</f>
        <v/>
      </c>
      <c r="C4315">
        <f>IF(B4315="","",INT(A4315))</f>
        <v/>
      </c>
      <c r="D4315">
        <f>IF(B4315="","",HOUR(A4315))</f>
        <v/>
      </c>
    </row>
    <row r="4316">
      <c r="A4316">
        <f>Input!A4316</f>
        <v/>
      </c>
      <c r="B4316">
        <f>IF(ISNUMBER(Input!B4316),IF(AND(Input!B4316&gt;=20,Input!B4316&lt;=700),Input!B4316,""),"")</f>
        <v/>
      </c>
      <c r="C4316">
        <f>IF(B4316="","",INT(A4316))</f>
        <v/>
      </c>
      <c r="D4316">
        <f>IF(B4316="","",HOUR(A4316))</f>
        <v/>
      </c>
    </row>
    <row r="4317">
      <c r="A4317">
        <f>Input!A4317</f>
        <v/>
      </c>
      <c r="B4317">
        <f>IF(ISNUMBER(Input!B4317),IF(AND(Input!B4317&gt;=20,Input!B4317&lt;=700),Input!B4317,""),"")</f>
        <v/>
      </c>
      <c r="C4317">
        <f>IF(B4317="","",INT(A4317))</f>
        <v/>
      </c>
      <c r="D4317">
        <f>IF(B4317="","",HOUR(A4317))</f>
        <v/>
      </c>
    </row>
    <row r="4318">
      <c r="A4318">
        <f>Input!A4318</f>
        <v/>
      </c>
      <c r="B4318">
        <f>IF(ISNUMBER(Input!B4318),IF(AND(Input!B4318&gt;=20,Input!B4318&lt;=700),Input!B4318,""),"")</f>
        <v/>
      </c>
      <c r="C4318">
        <f>IF(B4318="","",INT(A4318))</f>
        <v/>
      </c>
      <c r="D4318">
        <f>IF(B4318="","",HOUR(A4318))</f>
        <v/>
      </c>
    </row>
    <row r="4319">
      <c r="A4319">
        <f>Input!A4319</f>
        <v/>
      </c>
      <c r="B4319">
        <f>IF(ISNUMBER(Input!B4319),IF(AND(Input!B4319&gt;=20,Input!B4319&lt;=700),Input!B4319,""),"")</f>
        <v/>
      </c>
      <c r="C4319">
        <f>IF(B4319="","",INT(A4319))</f>
        <v/>
      </c>
      <c r="D4319">
        <f>IF(B4319="","",HOUR(A4319))</f>
        <v/>
      </c>
    </row>
    <row r="4320">
      <c r="A4320">
        <f>Input!A4320</f>
        <v/>
      </c>
      <c r="B4320">
        <f>IF(ISNUMBER(Input!B4320),IF(AND(Input!B4320&gt;=20,Input!B4320&lt;=700),Input!B4320,""),"")</f>
        <v/>
      </c>
      <c r="C4320">
        <f>IF(B4320="","",INT(A4320))</f>
        <v/>
      </c>
      <c r="D4320">
        <f>IF(B4320="","",HOUR(A4320))</f>
        <v/>
      </c>
    </row>
    <row r="4321">
      <c r="A4321">
        <f>Input!A4321</f>
        <v/>
      </c>
      <c r="B4321">
        <f>IF(ISNUMBER(Input!B4321),IF(AND(Input!B4321&gt;=20,Input!B4321&lt;=700),Input!B4321,""),"")</f>
        <v/>
      </c>
      <c r="C4321">
        <f>IF(B4321="","",INT(A4321))</f>
        <v/>
      </c>
      <c r="D4321">
        <f>IF(B4321="","",HOUR(A4321))</f>
        <v/>
      </c>
    </row>
    <row r="4322">
      <c r="A4322">
        <f>Input!A4322</f>
        <v/>
      </c>
      <c r="B4322">
        <f>IF(ISNUMBER(Input!B4322),IF(AND(Input!B4322&gt;=20,Input!B4322&lt;=700),Input!B4322,""),"")</f>
        <v/>
      </c>
      <c r="C4322">
        <f>IF(B4322="","",INT(A4322))</f>
        <v/>
      </c>
      <c r="D4322">
        <f>IF(B4322="","",HOUR(A4322))</f>
        <v/>
      </c>
    </row>
    <row r="4323">
      <c r="A4323">
        <f>Input!A4323</f>
        <v/>
      </c>
      <c r="B4323">
        <f>IF(ISNUMBER(Input!B4323),IF(AND(Input!B4323&gt;=20,Input!B4323&lt;=700),Input!B4323,""),"")</f>
        <v/>
      </c>
      <c r="C4323">
        <f>IF(B4323="","",INT(A4323))</f>
        <v/>
      </c>
      <c r="D4323">
        <f>IF(B4323="","",HOUR(A4323))</f>
        <v/>
      </c>
    </row>
    <row r="4324">
      <c r="A4324">
        <f>Input!A4324</f>
        <v/>
      </c>
      <c r="B4324">
        <f>IF(ISNUMBER(Input!B4324),IF(AND(Input!B4324&gt;=20,Input!B4324&lt;=700),Input!B4324,""),"")</f>
        <v/>
      </c>
      <c r="C4324">
        <f>IF(B4324="","",INT(A4324))</f>
        <v/>
      </c>
      <c r="D4324">
        <f>IF(B4324="","",HOUR(A4324))</f>
        <v/>
      </c>
    </row>
    <row r="4325">
      <c r="A4325">
        <f>Input!A4325</f>
        <v/>
      </c>
      <c r="B4325">
        <f>IF(ISNUMBER(Input!B4325),IF(AND(Input!B4325&gt;=20,Input!B4325&lt;=700),Input!B4325,""),"")</f>
        <v/>
      </c>
      <c r="C4325">
        <f>IF(B4325="","",INT(A4325))</f>
        <v/>
      </c>
      <c r="D4325">
        <f>IF(B4325="","",HOUR(A4325))</f>
        <v/>
      </c>
    </row>
    <row r="4326">
      <c r="A4326">
        <f>Input!A4326</f>
        <v/>
      </c>
      <c r="B4326">
        <f>IF(ISNUMBER(Input!B4326),IF(AND(Input!B4326&gt;=20,Input!B4326&lt;=700),Input!B4326,""),"")</f>
        <v/>
      </c>
      <c r="C4326">
        <f>IF(B4326="","",INT(A4326))</f>
        <v/>
      </c>
      <c r="D4326">
        <f>IF(B4326="","",HOUR(A4326))</f>
        <v/>
      </c>
    </row>
    <row r="4327">
      <c r="A4327">
        <f>Input!A4327</f>
        <v/>
      </c>
      <c r="B4327">
        <f>IF(ISNUMBER(Input!B4327),IF(AND(Input!B4327&gt;=20,Input!B4327&lt;=700),Input!B4327,""),"")</f>
        <v/>
      </c>
      <c r="C4327">
        <f>IF(B4327="","",INT(A4327))</f>
        <v/>
      </c>
      <c r="D4327">
        <f>IF(B4327="","",HOUR(A4327))</f>
        <v/>
      </c>
    </row>
    <row r="4328">
      <c r="A4328">
        <f>Input!A4328</f>
        <v/>
      </c>
      <c r="B4328">
        <f>IF(ISNUMBER(Input!B4328),IF(AND(Input!B4328&gt;=20,Input!B4328&lt;=700),Input!B4328,""),"")</f>
        <v/>
      </c>
      <c r="C4328">
        <f>IF(B4328="","",INT(A4328))</f>
        <v/>
      </c>
      <c r="D4328">
        <f>IF(B4328="","",HOUR(A4328))</f>
        <v/>
      </c>
    </row>
    <row r="4329">
      <c r="A4329">
        <f>Input!A4329</f>
        <v/>
      </c>
      <c r="B4329">
        <f>IF(ISNUMBER(Input!B4329),IF(AND(Input!B4329&gt;=20,Input!B4329&lt;=700),Input!B4329,""),"")</f>
        <v/>
      </c>
      <c r="C4329">
        <f>IF(B4329="","",INT(A4329))</f>
        <v/>
      </c>
      <c r="D4329">
        <f>IF(B4329="","",HOUR(A4329))</f>
        <v/>
      </c>
    </row>
    <row r="4330">
      <c r="A4330">
        <f>Input!A4330</f>
        <v/>
      </c>
      <c r="B4330">
        <f>IF(ISNUMBER(Input!B4330),IF(AND(Input!B4330&gt;=20,Input!B4330&lt;=700),Input!B4330,""),"")</f>
        <v/>
      </c>
      <c r="C4330">
        <f>IF(B4330="","",INT(A4330))</f>
        <v/>
      </c>
      <c r="D4330">
        <f>IF(B4330="","",HOUR(A4330))</f>
        <v/>
      </c>
    </row>
    <row r="4331">
      <c r="A4331">
        <f>Input!A4331</f>
        <v/>
      </c>
      <c r="B4331">
        <f>IF(ISNUMBER(Input!B4331),IF(AND(Input!B4331&gt;=20,Input!B4331&lt;=700),Input!B4331,""),"")</f>
        <v/>
      </c>
      <c r="C4331">
        <f>IF(B4331="","",INT(A4331))</f>
        <v/>
      </c>
      <c r="D4331">
        <f>IF(B4331="","",HOUR(A4331))</f>
        <v/>
      </c>
    </row>
    <row r="4332">
      <c r="A4332">
        <f>Input!A4332</f>
        <v/>
      </c>
      <c r="B4332">
        <f>IF(ISNUMBER(Input!B4332),IF(AND(Input!B4332&gt;=20,Input!B4332&lt;=700),Input!B4332,""),"")</f>
        <v/>
      </c>
      <c r="C4332">
        <f>IF(B4332="","",INT(A4332))</f>
        <v/>
      </c>
      <c r="D4332">
        <f>IF(B4332="","",HOUR(A4332))</f>
        <v/>
      </c>
    </row>
    <row r="4333">
      <c r="A4333">
        <f>Input!A4333</f>
        <v/>
      </c>
      <c r="B4333">
        <f>IF(ISNUMBER(Input!B4333),IF(AND(Input!B4333&gt;=20,Input!B4333&lt;=700),Input!B4333,""),"")</f>
        <v/>
      </c>
      <c r="C4333">
        <f>IF(B4333="","",INT(A4333))</f>
        <v/>
      </c>
      <c r="D4333">
        <f>IF(B4333="","",HOUR(A4333))</f>
        <v/>
      </c>
    </row>
    <row r="4334">
      <c r="A4334">
        <f>Input!A4334</f>
        <v/>
      </c>
      <c r="B4334">
        <f>IF(ISNUMBER(Input!B4334),IF(AND(Input!B4334&gt;=20,Input!B4334&lt;=700),Input!B4334,""),"")</f>
        <v/>
      </c>
      <c r="C4334">
        <f>IF(B4334="","",INT(A4334))</f>
        <v/>
      </c>
      <c r="D4334">
        <f>IF(B4334="","",HOUR(A4334))</f>
        <v/>
      </c>
    </row>
    <row r="4335">
      <c r="A4335">
        <f>Input!A4335</f>
        <v/>
      </c>
      <c r="B4335">
        <f>IF(ISNUMBER(Input!B4335),IF(AND(Input!B4335&gt;=20,Input!B4335&lt;=700),Input!B4335,""),"")</f>
        <v/>
      </c>
      <c r="C4335">
        <f>IF(B4335="","",INT(A4335))</f>
        <v/>
      </c>
      <c r="D4335">
        <f>IF(B4335="","",HOUR(A4335))</f>
        <v/>
      </c>
    </row>
    <row r="4336">
      <c r="A4336">
        <f>Input!A4336</f>
        <v/>
      </c>
      <c r="B4336">
        <f>IF(ISNUMBER(Input!B4336),IF(AND(Input!B4336&gt;=20,Input!B4336&lt;=700),Input!B4336,""),"")</f>
        <v/>
      </c>
      <c r="C4336">
        <f>IF(B4336="","",INT(A4336))</f>
        <v/>
      </c>
      <c r="D4336">
        <f>IF(B4336="","",HOUR(A4336))</f>
        <v/>
      </c>
    </row>
    <row r="4337">
      <c r="A4337">
        <f>Input!A4337</f>
        <v/>
      </c>
      <c r="B4337">
        <f>IF(ISNUMBER(Input!B4337),IF(AND(Input!B4337&gt;=20,Input!B4337&lt;=700),Input!B4337,""),"")</f>
        <v/>
      </c>
      <c r="C4337">
        <f>IF(B4337="","",INT(A4337))</f>
        <v/>
      </c>
      <c r="D4337">
        <f>IF(B4337="","",HOUR(A4337))</f>
        <v/>
      </c>
    </row>
    <row r="4338">
      <c r="A4338">
        <f>Input!A4338</f>
        <v/>
      </c>
      <c r="B4338">
        <f>IF(ISNUMBER(Input!B4338),IF(AND(Input!B4338&gt;=20,Input!B4338&lt;=700),Input!B4338,""),"")</f>
        <v/>
      </c>
      <c r="C4338">
        <f>IF(B4338="","",INT(A4338))</f>
        <v/>
      </c>
      <c r="D4338">
        <f>IF(B4338="","",HOUR(A4338))</f>
        <v/>
      </c>
    </row>
    <row r="4339">
      <c r="A4339">
        <f>Input!A4339</f>
        <v/>
      </c>
      <c r="B4339">
        <f>IF(ISNUMBER(Input!B4339),IF(AND(Input!B4339&gt;=20,Input!B4339&lt;=700),Input!B4339,""),"")</f>
        <v/>
      </c>
      <c r="C4339">
        <f>IF(B4339="","",INT(A4339))</f>
        <v/>
      </c>
      <c r="D4339">
        <f>IF(B4339="","",HOUR(A4339))</f>
        <v/>
      </c>
    </row>
    <row r="4340">
      <c r="A4340">
        <f>Input!A4340</f>
        <v/>
      </c>
      <c r="B4340">
        <f>IF(ISNUMBER(Input!B4340),IF(AND(Input!B4340&gt;=20,Input!B4340&lt;=700),Input!B4340,""),"")</f>
        <v/>
      </c>
      <c r="C4340">
        <f>IF(B4340="","",INT(A4340))</f>
        <v/>
      </c>
      <c r="D4340">
        <f>IF(B4340="","",HOUR(A4340))</f>
        <v/>
      </c>
    </row>
    <row r="4341">
      <c r="A4341">
        <f>Input!A4341</f>
        <v/>
      </c>
      <c r="B4341">
        <f>IF(ISNUMBER(Input!B4341),IF(AND(Input!B4341&gt;=20,Input!B4341&lt;=700),Input!B4341,""),"")</f>
        <v/>
      </c>
      <c r="C4341">
        <f>IF(B4341="","",INT(A4341))</f>
        <v/>
      </c>
      <c r="D4341">
        <f>IF(B4341="","",HOUR(A4341))</f>
        <v/>
      </c>
    </row>
    <row r="4342">
      <c r="A4342">
        <f>Input!A4342</f>
        <v/>
      </c>
      <c r="B4342">
        <f>IF(ISNUMBER(Input!B4342),IF(AND(Input!B4342&gt;=20,Input!B4342&lt;=700),Input!B4342,""),"")</f>
        <v/>
      </c>
      <c r="C4342">
        <f>IF(B4342="","",INT(A4342))</f>
        <v/>
      </c>
      <c r="D4342">
        <f>IF(B4342="","",HOUR(A4342))</f>
        <v/>
      </c>
    </row>
    <row r="4343">
      <c r="A4343">
        <f>Input!A4343</f>
        <v/>
      </c>
      <c r="B4343">
        <f>IF(ISNUMBER(Input!B4343),IF(AND(Input!B4343&gt;=20,Input!B4343&lt;=700),Input!B4343,""),"")</f>
        <v/>
      </c>
      <c r="C4343">
        <f>IF(B4343="","",INT(A4343))</f>
        <v/>
      </c>
      <c r="D4343">
        <f>IF(B4343="","",HOUR(A4343))</f>
        <v/>
      </c>
    </row>
    <row r="4344">
      <c r="A4344">
        <f>Input!A4344</f>
        <v/>
      </c>
      <c r="B4344">
        <f>IF(ISNUMBER(Input!B4344),IF(AND(Input!B4344&gt;=20,Input!B4344&lt;=700),Input!B4344,""),"")</f>
        <v/>
      </c>
      <c r="C4344">
        <f>IF(B4344="","",INT(A4344))</f>
        <v/>
      </c>
      <c r="D4344">
        <f>IF(B4344="","",HOUR(A4344))</f>
        <v/>
      </c>
    </row>
    <row r="4345">
      <c r="A4345">
        <f>Input!A4345</f>
        <v/>
      </c>
      <c r="B4345">
        <f>IF(ISNUMBER(Input!B4345),IF(AND(Input!B4345&gt;=20,Input!B4345&lt;=700),Input!B4345,""),"")</f>
        <v/>
      </c>
      <c r="C4345">
        <f>IF(B4345="","",INT(A4345))</f>
        <v/>
      </c>
      <c r="D4345">
        <f>IF(B4345="","",HOUR(A4345))</f>
        <v/>
      </c>
    </row>
    <row r="4346">
      <c r="A4346">
        <f>Input!A4346</f>
        <v/>
      </c>
      <c r="B4346">
        <f>IF(ISNUMBER(Input!B4346),IF(AND(Input!B4346&gt;=20,Input!B4346&lt;=700),Input!B4346,""),"")</f>
        <v/>
      </c>
      <c r="C4346">
        <f>IF(B4346="","",INT(A4346))</f>
        <v/>
      </c>
      <c r="D4346">
        <f>IF(B4346="","",HOUR(A4346))</f>
        <v/>
      </c>
    </row>
    <row r="4347">
      <c r="A4347">
        <f>Input!A4347</f>
        <v/>
      </c>
      <c r="B4347">
        <f>IF(ISNUMBER(Input!B4347),IF(AND(Input!B4347&gt;=20,Input!B4347&lt;=700),Input!B4347,""),"")</f>
        <v/>
      </c>
      <c r="C4347">
        <f>IF(B4347="","",INT(A4347))</f>
        <v/>
      </c>
      <c r="D4347">
        <f>IF(B4347="","",HOUR(A4347))</f>
        <v/>
      </c>
    </row>
    <row r="4348">
      <c r="A4348">
        <f>Input!A4348</f>
        <v/>
      </c>
      <c r="B4348">
        <f>IF(ISNUMBER(Input!B4348),IF(AND(Input!B4348&gt;=20,Input!B4348&lt;=700),Input!B4348,""),"")</f>
        <v/>
      </c>
      <c r="C4348">
        <f>IF(B4348="","",INT(A4348))</f>
        <v/>
      </c>
      <c r="D4348">
        <f>IF(B4348="","",HOUR(A4348))</f>
        <v/>
      </c>
    </row>
    <row r="4349">
      <c r="A4349">
        <f>Input!A4349</f>
        <v/>
      </c>
      <c r="B4349">
        <f>IF(ISNUMBER(Input!B4349),IF(AND(Input!B4349&gt;=20,Input!B4349&lt;=700),Input!B4349,""),"")</f>
        <v/>
      </c>
      <c r="C4349">
        <f>IF(B4349="","",INT(A4349))</f>
        <v/>
      </c>
      <c r="D4349">
        <f>IF(B4349="","",HOUR(A4349))</f>
        <v/>
      </c>
    </row>
    <row r="4350">
      <c r="A4350">
        <f>Input!A4350</f>
        <v/>
      </c>
      <c r="B4350">
        <f>IF(ISNUMBER(Input!B4350),IF(AND(Input!B4350&gt;=20,Input!B4350&lt;=700),Input!B4350,""),"")</f>
        <v/>
      </c>
      <c r="C4350">
        <f>IF(B4350="","",INT(A4350))</f>
        <v/>
      </c>
      <c r="D4350">
        <f>IF(B4350="","",HOUR(A4350))</f>
        <v/>
      </c>
    </row>
    <row r="4351">
      <c r="A4351">
        <f>Input!A4351</f>
        <v/>
      </c>
      <c r="B4351">
        <f>IF(ISNUMBER(Input!B4351),IF(AND(Input!B4351&gt;=20,Input!B4351&lt;=700),Input!B4351,""),"")</f>
        <v/>
      </c>
      <c r="C4351">
        <f>IF(B4351="","",INT(A4351))</f>
        <v/>
      </c>
      <c r="D4351">
        <f>IF(B4351="","",HOUR(A4351))</f>
        <v/>
      </c>
    </row>
    <row r="4352">
      <c r="A4352">
        <f>Input!A4352</f>
        <v/>
      </c>
      <c r="B4352">
        <f>IF(ISNUMBER(Input!B4352),IF(AND(Input!B4352&gt;=20,Input!B4352&lt;=700),Input!B4352,""),"")</f>
        <v/>
      </c>
      <c r="C4352">
        <f>IF(B4352="","",INT(A4352))</f>
        <v/>
      </c>
      <c r="D4352">
        <f>IF(B4352="","",HOUR(A4352))</f>
        <v/>
      </c>
    </row>
    <row r="4353">
      <c r="A4353">
        <f>Input!A4353</f>
        <v/>
      </c>
      <c r="B4353">
        <f>IF(ISNUMBER(Input!B4353),IF(AND(Input!B4353&gt;=20,Input!B4353&lt;=700),Input!B4353,""),"")</f>
        <v/>
      </c>
      <c r="C4353">
        <f>IF(B4353="","",INT(A4353))</f>
        <v/>
      </c>
      <c r="D4353">
        <f>IF(B4353="","",HOUR(A4353))</f>
        <v/>
      </c>
    </row>
    <row r="4354">
      <c r="A4354">
        <f>Input!A4354</f>
        <v/>
      </c>
      <c r="B4354">
        <f>IF(ISNUMBER(Input!B4354),IF(AND(Input!B4354&gt;=20,Input!B4354&lt;=700),Input!B4354,""),"")</f>
        <v/>
      </c>
      <c r="C4354">
        <f>IF(B4354="","",INT(A4354))</f>
        <v/>
      </c>
      <c r="D4354">
        <f>IF(B4354="","",HOUR(A4354))</f>
        <v/>
      </c>
    </row>
    <row r="4355">
      <c r="A4355">
        <f>Input!A4355</f>
        <v/>
      </c>
      <c r="B4355">
        <f>IF(ISNUMBER(Input!B4355),IF(AND(Input!B4355&gt;=20,Input!B4355&lt;=700),Input!B4355,""),"")</f>
        <v/>
      </c>
      <c r="C4355">
        <f>IF(B4355="","",INT(A4355))</f>
        <v/>
      </c>
      <c r="D4355">
        <f>IF(B4355="","",HOUR(A4355))</f>
        <v/>
      </c>
    </row>
    <row r="4356">
      <c r="A4356">
        <f>Input!A4356</f>
        <v/>
      </c>
      <c r="B4356">
        <f>IF(ISNUMBER(Input!B4356),IF(AND(Input!B4356&gt;=20,Input!B4356&lt;=700),Input!B4356,""),"")</f>
        <v/>
      </c>
      <c r="C4356">
        <f>IF(B4356="","",INT(A4356))</f>
        <v/>
      </c>
      <c r="D4356">
        <f>IF(B4356="","",HOUR(A4356))</f>
        <v/>
      </c>
    </row>
    <row r="4357">
      <c r="A4357">
        <f>Input!A4357</f>
        <v/>
      </c>
      <c r="B4357">
        <f>IF(ISNUMBER(Input!B4357),IF(AND(Input!B4357&gt;=20,Input!B4357&lt;=700),Input!B4357,""),"")</f>
        <v/>
      </c>
      <c r="C4357">
        <f>IF(B4357="","",INT(A4357))</f>
        <v/>
      </c>
      <c r="D4357">
        <f>IF(B4357="","",HOUR(A4357))</f>
        <v/>
      </c>
    </row>
    <row r="4358">
      <c r="A4358">
        <f>Input!A4358</f>
        <v/>
      </c>
      <c r="B4358">
        <f>IF(ISNUMBER(Input!B4358),IF(AND(Input!B4358&gt;=20,Input!B4358&lt;=700),Input!B4358,""),"")</f>
        <v/>
      </c>
      <c r="C4358">
        <f>IF(B4358="","",INT(A4358))</f>
        <v/>
      </c>
      <c r="D4358">
        <f>IF(B4358="","",HOUR(A4358))</f>
        <v/>
      </c>
    </row>
    <row r="4359">
      <c r="A4359">
        <f>Input!A4359</f>
        <v/>
      </c>
      <c r="B4359">
        <f>IF(ISNUMBER(Input!B4359),IF(AND(Input!B4359&gt;=20,Input!B4359&lt;=700),Input!B4359,""),"")</f>
        <v/>
      </c>
      <c r="C4359">
        <f>IF(B4359="","",INT(A4359))</f>
        <v/>
      </c>
      <c r="D4359">
        <f>IF(B4359="","",HOUR(A4359))</f>
        <v/>
      </c>
    </row>
    <row r="4360">
      <c r="A4360">
        <f>Input!A4360</f>
        <v/>
      </c>
      <c r="B4360">
        <f>IF(ISNUMBER(Input!B4360),IF(AND(Input!B4360&gt;=20,Input!B4360&lt;=700),Input!B4360,""),"")</f>
        <v/>
      </c>
      <c r="C4360">
        <f>IF(B4360="","",INT(A4360))</f>
        <v/>
      </c>
      <c r="D4360">
        <f>IF(B4360="","",HOUR(A4360))</f>
        <v/>
      </c>
    </row>
    <row r="4361">
      <c r="A4361">
        <f>Input!A4361</f>
        <v/>
      </c>
      <c r="B4361">
        <f>IF(ISNUMBER(Input!B4361),IF(AND(Input!B4361&gt;=20,Input!B4361&lt;=700),Input!B4361,""),"")</f>
        <v/>
      </c>
      <c r="C4361">
        <f>IF(B4361="","",INT(A4361))</f>
        <v/>
      </c>
      <c r="D4361">
        <f>IF(B4361="","",HOUR(A4361))</f>
        <v/>
      </c>
    </row>
    <row r="4362">
      <c r="A4362">
        <f>Input!A4362</f>
        <v/>
      </c>
      <c r="B4362">
        <f>IF(ISNUMBER(Input!B4362),IF(AND(Input!B4362&gt;=20,Input!B4362&lt;=700),Input!B4362,""),"")</f>
        <v/>
      </c>
      <c r="C4362">
        <f>IF(B4362="","",INT(A4362))</f>
        <v/>
      </c>
      <c r="D4362">
        <f>IF(B4362="","",HOUR(A4362))</f>
        <v/>
      </c>
    </row>
    <row r="4363">
      <c r="A4363">
        <f>Input!A4363</f>
        <v/>
      </c>
      <c r="B4363">
        <f>IF(ISNUMBER(Input!B4363),IF(AND(Input!B4363&gt;=20,Input!B4363&lt;=700),Input!B4363,""),"")</f>
        <v/>
      </c>
      <c r="C4363">
        <f>IF(B4363="","",INT(A4363))</f>
        <v/>
      </c>
      <c r="D4363">
        <f>IF(B4363="","",HOUR(A4363))</f>
        <v/>
      </c>
    </row>
    <row r="4364">
      <c r="A4364">
        <f>Input!A4364</f>
        <v/>
      </c>
      <c r="B4364">
        <f>IF(ISNUMBER(Input!B4364),IF(AND(Input!B4364&gt;=20,Input!B4364&lt;=700),Input!B4364,""),"")</f>
        <v/>
      </c>
      <c r="C4364">
        <f>IF(B4364="","",INT(A4364))</f>
        <v/>
      </c>
      <c r="D4364">
        <f>IF(B4364="","",HOUR(A4364))</f>
        <v/>
      </c>
    </row>
    <row r="4365">
      <c r="A4365">
        <f>Input!A4365</f>
        <v/>
      </c>
      <c r="B4365">
        <f>IF(ISNUMBER(Input!B4365),IF(AND(Input!B4365&gt;=20,Input!B4365&lt;=700),Input!B4365,""),"")</f>
        <v/>
      </c>
      <c r="C4365">
        <f>IF(B4365="","",INT(A4365))</f>
        <v/>
      </c>
      <c r="D4365">
        <f>IF(B4365="","",HOUR(A4365))</f>
        <v/>
      </c>
    </row>
    <row r="4366">
      <c r="A4366">
        <f>Input!A4366</f>
        <v/>
      </c>
      <c r="B4366">
        <f>IF(ISNUMBER(Input!B4366),IF(AND(Input!B4366&gt;=20,Input!B4366&lt;=700),Input!B4366,""),"")</f>
        <v/>
      </c>
      <c r="C4366">
        <f>IF(B4366="","",INT(A4366))</f>
        <v/>
      </c>
      <c r="D4366">
        <f>IF(B4366="","",HOUR(A4366))</f>
        <v/>
      </c>
    </row>
    <row r="4367">
      <c r="A4367">
        <f>Input!A4367</f>
        <v/>
      </c>
      <c r="B4367">
        <f>IF(ISNUMBER(Input!B4367),IF(AND(Input!B4367&gt;=20,Input!B4367&lt;=700),Input!B4367,""),"")</f>
        <v/>
      </c>
      <c r="C4367">
        <f>IF(B4367="","",INT(A4367))</f>
        <v/>
      </c>
      <c r="D4367">
        <f>IF(B4367="","",HOUR(A4367))</f>
        <v/>
      </c>
    </row>
    <row r="4368">
      <c r="A4368">
        <f>Input!A4368</f>
        <v/>
      </c>
      <c r="B4368">
        <f>IF(ISNUMBER(Input!B4368),IF(AND(Input!B4368&gt;=20,Input!B4368&lt;=700),Input!B4368,""),"")</f>
        <v/>
      </c>
      <c r="C4368">
        <f>IF(B4368="","",INT(A4368))</f>
        <v/>
      </c>
      <c r="D4368">
        <f>IF(B4368="","",HOUR(A4368))</f>
        <v/>
      </c>
    </row>
    <row r="4369">
      <c r="A4369">
        <f>Input!A4369</f>
        <v/>
      </c>
      <c r="B4369">
        <f>IF(ISNUMBER(Input!B4369),IF(AND(Input!B4369&gt;=20,Input!B4369&lt;=700),Input!B4369,""),"")</f>
        <v/>
      </c>
      <c r="C4369">
        <f>IF(B4369="","",INT(A4369))</f>
        <v/>
      </c>
      <c r="D4369">
        <f>IF(B4369="","",HOUR(A4369))</f>
        <v/>
      </c>
    </row>
    <row r="4370">
      <c r="A4370">
        <f>Input!A4370</f>
        <v/>
      </c>
      <c r="B4370">
        <f>IF(ISNUMBER(Input!B4370),IF(AND(Input!B4370&gt;=20,Input!B4370&lt;=700),Input!B4370,""),"")</f>
        <v/>
      </c>
      <c r="C4370">
        <f>IF(B4370="","",INT(A4370))</f>
        <v/>
      </c>
      <c r="D4370">
        <f>IF(B4370="","",HOUR(A4370))</f>
        <v/>
      </c>
    </row>
    <row r="4371">
      <c r="A4371">
        <f>Input!A4371</f>
        <v/>
      </c>
      <c r="B4371">
        <f>IF(ISNUMBER(Input!B4371),IF(AND(Input!B4371&gt;=20,Input!B4371&lt;=700),Input!B4371,""),"")</f>
        <v/>
      </c>
      <c r="C4371">
        <f>IF(B4371="","",INT(A4371))</f>
        <v/>
      </c>
      <c r="D4371">
        <f>IF(B4371="","",HOUR(A4371))</f>
        <v/>
      </c>
    </row>
    <row r="4372">
      <c r="A4372">
        <f>Input!A4372</f>
        <v/>
      </c>
      <c r="B4372">
        <f>IF(ISNUMBER(Input!B4372),IF(AND(Input!B4372&gt;=20,Input!B4372&lt;=700),Input!B4372,""),"")</f>
        <v/>
      </c>
      <c r="C4372">
        <f>IF(B4372="","",INT(A4372))</f>
        <v/>
      </c>
      <c r="D4372">
        <f>IF(B4372="","",HOUR(A4372))</f>
        <v/>
      </c>
    </row>
    <row r="4373">
      <c r="A4373">
        <f>Input!A4373</f>
        <v/>
      </c>
      <c r="B4373">
        <f>IF(ISNUMBER(Input!B4373),IF(AND(Input!B4373&gt;=20,Input!B4373&lt;=700),Input!B4373,""),"")</f>
        <v/>
      </c>
      <c r="C4373">
        <f>IF(B4373="","",INT(A4373))</f>
        <v/>
      </c>
      <c r="D4373">
        <f>IF(B4373="","",HOUR(A4373))</f>
        <v/>
      </c>
    </row>
    <row r="4374">
      <c r="A4374">
        <f>Input!A4374</f>
        <v/>
      </c>
      <c r="B4374">
        <f>IF(ISNUMBER(Input!B4374),IF(AND(Input!B4374&gt;=20,Input!B4374&lt;=700),Input!B4374,""),"")</f>
        <v/>
      </c>
      <c r="C4374">
        <f>IF(B4374="","",INT(A4374))</f>
        <v/>
      </c>
      <c r="D4374">
        <f>IF(B4374="","",HOUR(A4374))</f>
        <v/>
      </c>
    </row>
    <row r="4375">
      <c r="A4375">
        <f>Input!A4375</f>
        <v/>
      </c>
      <c r="B4375">
        <f>IF(ISNUMBER(Input!B4375),IF(AND(Input!B4375&gt;=20,Input!B4375&lt;=700),Input!B4375,""),"")</f>
        <v/>
      </c>
      <c r="C4375">
        <f>IF(B4375="","",INT(A4375))</f>
        <v/>
      </c>
      <c r="D4375">
        <f>IF(B4375="","",HOUR(A4375))</f>
        <v/>
      </c>
    </row>
    <row r="4376">
      <c r="A4376">
        <f>Input!A4376</f>
        <v/>
      </c>
      <c r="B4376">
        <f>IF(ISNUMBER(Input!B4376),IF(AND(Input!B4376&gt;=20,Input!B4376&lt;=700),Input!B4376,""),"")</f>
        <v/>
      </c>
      <c r="C4376">
        <f>IF(B4376="","",INT(A4376))</f>
        <v/>
      </c>
      <c r="D4376">
        <f>IF(B4376="","",HOUR(A4376))</f>
        <v/>
      </c>
    </row>
    <row r="4377">
      <c r="A4377">
        <f>Input!A4377</f>
        <v/>
      </c>
      <c r="B4377">
        <f>IF(ISNUMBER(Input!B4377),IF(AND(Input!B4377&gt;=20,Input!B4377&lt;=700),Input!B4377,""),"")</f>
        <v/>
      </c>
      <c r="C4377">
        <f>IF(B4377="","",INT(A4377))</f>
        <v/>
      </c>
      <c r="D4377">
        <f>IF(B4377="","",HOUR(A4377))</f>
        <v/>
      </c>
    </row>
    <row r="4378">
      <c r="A4378">
        <f>Input!A4378</f>
        <v/>
      </c>
      <c r="B4378">
        <f>IF(ISNUMBER(Input!B4378),IF(AND(Input!B4378&gt;=20,Input!B4378&lt;=700),Input!B4378,""),"")</f>
        <v/>
      </c>
      <c r="C4378">
        <f>IF(B4378="","",INT(A4378))</f>
        <v/>
      </c>
      <c r="D4378">
        <f>IF(B4378="","",HOUR(A4378))</f>
        <v/>
      </c>
    </row>
    <row r="4379">
      <c r="A4379">
        <f>Input!A4379</f>
        <v/>
      </c>
      <c r="B4379">
        <f>IF(ISNUMBER(Input!B4379),IF(AND(Input!B4379&gt;=20,Input!B4379&lt;=700),Input!B4379,""),"")</f>
        <v/>
      </c>
      <c r="C4379">
        <f>IF(B4379="","",INT(A4379))</f>
        <v/>
      </c>
      <c r="D4379">
        <f>IF(B4379="","",HOUR(A4379))</f>
        <v/>
      </c>
    </row>
    <row r="4380">
      <c r="A4380">
        <f>Input!A4380</f>
        <v/>
      </c>
      <c r="B4380">
        <f>IF(ISNUMBER(Input!B4380),IF(AND(Input!B4380&gt;=20,Input!B4380&lt;=700),Input!B4380,""),"")</f>
        <v/>
      </c>
      <c r="C4380">
        <f>IF(B4380="","",INT(A4380))</f>
        <v/>
      </c>
      <c r="D4380">
        <f>IF(B4380="","",HOUR(A4380))</f>
        <v/>
      </c>
    </row>
    <row r="4381">
      <c r="A4381">
        <f>Input!A4381</f>
        <v/>
      </c>
      <c r="B4381">
        <f>IF(ISNUMBER(Input!B4381),IF(AND(Input!B4381&gt;=20,Input!B4381&lt;=700),Input!B4381,""),"")</f>
        <v/>
      </c>
      <c r="C4381">
        <f>IF(B4381="","",INT(A4381))</f>
        <v/>
      </c>
      <c r="D4381">
        <f>IF(B4381="","",HOUR(A4381))</f>
        <v/>
      </c>
    </row>
    <row r="4382">
      <c r="A4382">
        <f>Input!A4382</f>
        <v/>
      </c>
      <c r="B4382">
        <f>IF(ISNUMBER(Input!B4382),IF(AND(Input!B4382&gt;=20,Input!B4382&lt;=700),Input!B4382,""),"")</f>
        <v/>
      </c>
      <c r="C4382">
        <f>IF(B4382="","",INT(A4382))</f>
        <v/>
      </c>
      <c r="D4382">
        <f>IF(B4382="","",HOUR(A4382))</f>
        <v/>
      </c>
    </row>
    <row r="4383">
      <c r="A4383">
        <f>Input!A4383</f>
        <v/>
      </c>
      <c r="B4383">
        <f>IF(ISNUMBER(Input!B4383),IF(AND(Input!B4383&gt;=20,Input!B4383&lt;=700),Input!B4383,""),"")</f>
        <v/>
      </c>
      <c r="C4383">
        <f>IF(B4383="","",INT(A4383))</f>
        <v/>
      </c>
      <c r="D4383">
        <f>IF(B4383="","",HOUR(A4383))</f>
        <v/>
      </c>
    </row>
    <row r="4384">
      <c r="A4384">
        <f>Input!A4384</f>
        <v/>
      </c>
      <c r="B4384">
        <f>IF(ISNUMBER(Input!B4384),IF(AND(Input!B4384&gt;=20,Input!B4384&lt;=700),Input!B4384,""),"")</f>
        <v/>
      </c>
      <c r="C4384">
        <f>IF(B4384="","",INT(A4384))</f>
        <v/>
      </c>
      <c r="D4384">
        <f>IF(B4384="","",HOUR(A4384))</f>
        <v/>
      </c>
    </row>
    <row r="4385">
      <c r="A4385">
        <f>Input!A4385</f>
        <v/>
      </c>
      <c r="B4385">
        <f>IF(ISNUMBER(Input!B4385),IF(AND(Input!B4385&gt;=20,Input!B4385&lt;=700),Input!B4385,""),"")</f>
        <v/>
      </c>
      <c r="C4385">
        <f>IF(B4385="","",INT(A4385))</f>
        <v/>
      </c>
      <c r="D4385">
        <f>IF(B4385="","",HOUR(A4385))</f>
        <v/>
      </c>
    </row>
    <row r="4386">
      <c r="A4386">
        <f>Input!A4386</f>
        <v/>
      </c>
      <c r="B4386">
        <f>IF(ISNUMBER(Input!B4386),IF(AND(Input!B4386&gt;=20,Input!B4386&lt;=700),Input!B4386,""),"")</f>
        <v/>
      </c>
      <c r="C4386">
        <f>IF(B4386="","",INT(A4386))</f>
        <v/>
      </c>
      <c r="D4386">
        <f>IF(B4386="","",HOUR(A4386))</f>
        <v/>
      </c>
    </row>
    <row r="4387">
      <c r="A4387">
        <f>Input!A4387</f>
        <v/>
      </c>
      <c r="B4387">
        <f>IF(ISNUMBER(Input!B4387),IF(AND(Input!B4387&gt;=20,Input!B4387&lt;=700),Input!B4387,""),"")</f>
        <v/>
      </c>
      <c r="C4387">
        <f>IF(B4387="","",INT(A4387))</f>
        <v/>
      </c>
      <c r="D4387">
        <f>IF(B4387="","",HOUR(A4387))</f>
        <v/>
      </c>
    </row>
    <row r="4388">
      <c r="A4388">
        <f>Input!A4388</f>
        <v/>
      </c>
      <c r="B4388">
        <f>IF(ISNUMBER(Input!B4388),IF(AND(Input!B4388&gt;=20,Input!B4388&lt;=700),Input!B4388,""),"")</f>
        <v/>
      </c>
      <c r="C4388">
        <f>IF(B4388="","",INT(A4388))</f>
        <v/>
      </c>
      <c r="D4388">
        <f>IF(B4388="","",HOUR(A4388))</f>
        <v/>
      </c>
    </row>
    <row r="4389">
      <c r="A4389">
        <f>Input!A4389</f>
        <v/>
      </c>
      <c r="B4389">
        <f>IF(ISNUMBER(Input!B4389),IF(AND(Input!B4389&gt;=20,Input!B4389&lt;=700),Input!B4389,""),"")</f>
        <v/>
      </c>
      <c r="C4389">
        <f>IF(B4389="","",INT(A4389))</f>
        <v/>
      </c>
      <c r="D4389">
        <f>IF(B4389="","",HOUR(A4389))</f>
        <v/>
      </c>
    </row>
    <row r="4390">
      <c r="A4390">
        <f>Input!A4390</f>
        <v/>
      </c>
      <c r="B4390">
        <f>IF(ISNUMBER(Input!B4390),IF(AND(Input!B4390&gt;=20,Input!B4390&lt;=700),Input!B4390,""),"")</f>
        <v/>
      </c>
      <c r="C4390">
        <f>IF(B4390="","",INT(A4390))</f>
        <v/>
      </c>
      <c r="D4390">
        <f>IF(B4390="","",HOUR(A4390))</f>
        <v/>
      </c>
    </row>
    <row r="4391">
      <c r="A4391">
        <f>Input!A4391</f>
        <v/>
      </c>
      <c r="B4391">
        <f>IF(ISNUMBER(Input!B4391),IF(AND(Input!B4391&gt;=20,Input!B4391&lt;=700),Input!B4391,""),"")</f>
        <v/>
      </c>
      <c r="C4391">
        <f>IF(B4391="","",INT(A4391))</f>
        <v/>
      </c>
      <c r="D4391">
        <f>IF(B4391="","",HOUR(A4391))</f>
        <v/>
      </c>
    </row>
    <row r="4392">
      <c r="A4392">
        <f>Input!A4392</f>
        <v/>
      </c>
      <c r="B4392">
        <f>IF(ISNUMBER(Input!B4392),IF(AND(Input!B4392&gt;=20,Input!B4392&lt;=700),Input!B4392,""),"")</f>
        <v/>
      </c>
      <c r="C4392">
        <f>IF(B4392="","",INT(A4392))</f>
        <v/>
      </c>
      <c r="D4392">
        <f>IF(B4392="","",HOUR(A4392))</f>
        <v/>
      </c>
    </row>
    <row r="4393">
      <c r="A4393">
        <f>Input!A4393</f>
        <v/>
      </c>
      <c r="B4393">
        <f>IF(ISNUMBER(Input!B4393),IF(AND(Input!B4393&gt;=20,Input!B4393&lt;=700),Input!B4393,""),"")</f>
        <v/>
      </c>
      <c r="C4393">
        <f>IF(B4393="","",INT(A4393))</f>
        <v/>
      </c>
      <c r="D4393">
        <f>IF(B4393="","",HOUR(A4393))</f>
        <v/>
      </c>
    </row>
    <row r="4394">
      <c r="A4394">
        <f>Input!A4394</f>
        <v/>
      </c>
      <c r="B4394">
        <f>IF(ISNUMBER(Input!B4394),IF(AND(Input!B4394&gt;=20,Input!B4394&lt;=700),Input!B4394,""),"")</f>
        <v/>
      </c>
      <c r="C4394">
        <f>IF(B4394="","",INT(A4394))</f>
        <v/>
      </c>
      <c r="D4394">
        <f>IF(B4394="","",HOUR(A4394))</f>
        <v/>
      </c>
    </row>
    <row r="4395">
      <c r="A4395">
        <f>Input!A4395</f>
        <v/>
      </c>
      <c r="B4395">
        <f>IF(ISNUMBER(Input!B4395),IF(AND(Input!B4395&gt;=20,Input!B4395&lt;=700),Input!B4395,""),"")</f>
        <v/>
      </c>
      <c r="C4395">
        <f>IF(B4395="","",INT(A4395))</f>
        <v/>
      </c>
      <c r="D4395">
        <f>IF(B4395="","",HOUR(A4395))</f>
        <v/>
      </c>
    </row>
    <row r="4396">
      <c r="A4396">
        <f>Input!A4396</f>
        <v/>
      </c>
      <c r="B4396">
        <f>IF(ISNUMBER(Input!B4396),IF(AND(Input!B4396&gt;=20,Input!B4396&lt;=700),Input!B4396,""),"")</f>
        <v/>
      </c>
      <c r="C4396">
        <f>IF(B4396="","",INT(A4396))</f>
        <v/>
      </c>
      <c r="D4396">
        <f>IF(B4396="","",HOUR(A4396))</f>
        <v/>
      </c>
    </row>
    <row r="4397">
      <c r="A4397">
        <f>Input!A4397</f>
        <v/>
      </c>
      <c r="B4397">
        <f>IF(ISNUMBER(Input!B4397),IF(AND(Input!B4397&gt;=20,Input!B4397&lt;=700),Input!B4397,""),"")</f>
        <v/>
      </c>
      <c r="C4397">
        <f>IF(B4397="","",INT(A4397))</f>
        <v/>
      </c>
      <c r="D4397">
        <f>IF(B4397="","",HOUR(A4397))</f>
        <v/>
      </c>
    </row>
    <row r="4398">
      <c r="A4398">
        <f>Input!A4398</f>
        <v/>
      </c>
      <c r="B4398">
        <f>IF(ISNUMBER(Input!B4398),IF(AND(Input!B4398&gt;=20,Input!B4398&lt;=700),Input!B4398,""),"")</f>
        <v/>
      </c>
      <c r="C4398">
        <f>IF(B4398="","",INT(A4398))</f>
        <v/>
      </c>
      <c r="D4398">
        <f>IF(B4398="","",HOUR(A4398))</f>
        <v/>
      </c>
    </row>
    <row r="4399">
      <c r="A4399">
        <f>Input!A4399</f>
        <v/>
      </c>
      <c r="B4399">
        <f>IF(ISNUMBER(Input!B4399),IF(AND(Input!B4399&gt;=20,Input!B4399&lt;=700),Input!B4399,""),"")</f>
        <v/>
      </c>
      <c r="C4399">
        <f>IF(B4399="","",INT(A4399))</f>
        <v/>
      </c>
      <c r="D4399">
        <f>IF(B4399="","",HOUR(A4399))</f>
        <v/>
      </c>
    </row>
    <row r="4400">
      <c r="A4400">
        <f>Input!A4400</f>
        <v/>
      </c>
      <c r="B4400">
        <f>IF(ISNUMBER(Input!B4400),IF(AND(Input!B4400&gt;=20,Input!B4400&lt;=700),Input!B4400,""),"")</f>
        <v/>
      </c>
      <c r="C4400">
        <f>IF(B4400="","",INT(A4400))</f>
        <v/>
      </c>
      <c r="D4400">
        <f>IF(B4400="","",HOUR(A4400))</f>
        <v/>
      </c>
    </row>
    <row r="4401">
      <c r="A4401">
        <f>Input!A4401</f>
        <v/>
      </c>
      <c r="B4401">
        <f>IF(ISNUMBER(Input!B4401),IF(AND(Input!B4401&gt;=20,Input!B4401&lt;=700),Input!B4401,""),"")</f>
        <v/>
      </c>
      <c r="C4401">
        <f>IF(B4401="","",INT(A4401))</f>
        <v/>
      </c>
      <c r="D4401">
        <f>IF(B4401="","",HOUR(A4401))</f>
        <v/>
      </c>
    </row>
    <row r="4402">
      <c r="A4402">
        <f>Input!A4402</f>
        <v/>
      </c>
      <c r="B4402">
        <f>IF(ISNUMBER(Input!B4402),IF(AND(Input!B4402&gt;=20,Input!B4402&lt;=700),Input!B4402,""),"")</f>
        <v/>
      </c>
      <c r="C4402">
        <f>IF(B4402="","",INT(A4402))</f>
        <v/>
      </c>
      <c r="D4402">
        <f>IF(B4402="","",HOUR(A4402))</f>
        <v/>
      </c>
    </row>
    <row r="4403">
      <c r="A4403">
        <f>Input!A4403</f>
        <v/>
      </c>
      <c r="B4403">
        <f>IF(ISNUMBER(Input!B4403),IF(AND(Input!B4403&gt;=20,Input!B4403&lt;=700),Input!B4403,""),"")</f>
        <v/>
      </c>
      <c r="C4403">
        <f>IF(B4403="","",INT(A4403))</f>
        <v/>
      </c>
      <c r="D4403">
        <f>IF(B4403="","",HOUR(A4403))</f>
        <v/>
      </c>
    </row>
    <row r="4404">
      <c r="A4404">
        <f>Input!A4404</f>
        <v/>
      </c>
      <c r="B4404">
        <f>IF(ISNUMBER(Input!B4404),IF(AND(Input!B4404&gt;=20,Input!B4404&lt;=700),Input!B4404,""),"")</f>
        <v/>
      </c>
      <c r="C4404">
        <f>IF(B4404="","",INT(A4404))</f>
        <v/>
      </c>
      <c r="D4404">
        <f>IF(B4404="","",HOUR(A4404))</f>
        <v/>
      </c>
    </row>
    <row r="4405">
      <c r="A4405">
        <f>Input!A4405</f>
        <v/>
      </c>
      <c r="B4405">
        <f>IF(ISNUMBER(Input!B4405),IF(AND(Input!B4405&gt;=20,Input!B4405&lt;=700),Input!B4405,""),"")</f>
        <v/>
      </c>
      <c r="C4405">
        <f>IF(B4405="","",INT(A4405))</f>
        <v/>
      </c>
      <c r="D4405">
        <f>IF(B4405="","",HOUR(A4405))</f>
        <v/>
      </c>
    </row>
    <row r="4406">
      <c r="A4406">
        <f>Input!A4406</f>
        <v/>
      </c>
      <c r="B4406">
        <f>IF(ISNUMBER(Input!B4406),IF(AND(Input!B4406&gt;=20,Input!B4406&lt;=700),Input!B4406,""),"")</f>
        <v/>
      </c>
      <c r="C4406">
        <f>IF(B4406="","",INT(A4406))</f>
        <v/>
      </c>
      <c r="D4406">
        <f>IF(B4406="","",HOUR(A4406))</f>
        <v/>
      </c>
    </row>
    <row r="4407">
      <c r="A4407">
        <f>Input!A4407</f>
        <v/>
      </c>
      <c r="B4407">
        <f>IF(ISNUMBER(Input!B4407),IF(AND(Input!B4407&gt;=20,Input!B4407&lt;=700),Input!B4407,""),"")</f>
        <v/>
      </c>
      <c r="C4407">
        <f>IF(B4407="","",INT(A4407))</f>
        <v/>
      </c>
      <c r="D4407">
        <f>IF(B4407="","",HOUR(A4407))</f>
        <v/>
      </c>
    </row>
    <row r="4408">
      <c r="A4408">
        <f>Input!A4408</f>
        <v/>
      </c>
      <c r="B4408">
        <f>IF(ISNUMBER(Input!B4408),IF(AND(Input!B4408&gt;=20,Input!B4408&lt;=700),Input!B4408,""),"")</f>
        <v/>
      </c>
      <c r="C4408">
        <f>IF(B4408="","",INT(A4408))</f>
        <v/>
      </c>
      <c r="D4408">
        <f>IF(B4408="","",HOUR(A4408))</f>
        <v/>
      </c>
    </row>
    <row r="4409">
      <c r="A4409">
        <f>Input!A4409</f>
        <v/>
      </c>
      <c r="B4409">
        <f>IF(ISNUMBER(Input!B4409),IF(AND(Input!B4409&gt;=20,Input!B4409&lt;=700),Input!B4409,""),"")</f>
        <v/>
      </c>
      <c r="C4409">
        <f>IF(B4409="","",INT(A4409))</f>
        <v/>
      </c>
      <c r="D4409">
        <f>IF(B4409="","",HOUR(A4409))</f>
        <v/>
      </c>
    </row>
    <row r="4410">
      <c r="A4410">
        <f>Input!A4410</f>
        <v/>
      </c>
      <c r="B4410">
        <f>IF(ISNUMBER(Input!B4410),IF(AND(Input!B4410&gt;=20,Input!B4410&lt;=700),Input!B4410,""),"")</f>
        <v/>
      </c>
      <c r="C4410">
        <f>IF(B4410="","",INT(A4410))</f>
        <v/>
      </c>
      <c r="D4410">
        <f>IF(B4410="","",HOUR(A4410))</f>
        <v/>
      </c>
    </row>
    <row r="4411">
      <c r="A4411">
        <f>Input!A4411</f>
        <v/>
      </c>
      <c r="B4411">
        <f>IF(ISNUMBER(Input!B4411),IF(AND(Input!B4411&gt;=20,Input!B4411&lt;=700),Input!B4411,""),"")</f>
        <v/>
      </c>
      <c r="C4411">
        <f>IF(B4411="","",INT(A4411))</f>
        <v/>
      </c>
      <c r="D4411">
        <f>IF(B4411="","",HOUR(A4411))</f>
        <v/>
      </c>
    </row>
    <row r="4412">
      <c r="A4412">
        <f>Input!A4412</f>
        <v/>
      </c>
      <c r="B4412">
        <f>IF(ISNUMBER(Input!B4412),IF(AND(Input!B4412&gt;=20,Input!B4412&lt;=700),Input!B4412,""),"")</f>
        <v/>
      </c>
      <c r="C4412">
        <f>IF(B4412="","",INT(A4412))</f>
        <v/>
      </c>
      <c r="D4412">
        <f>IF(B4412="","",HOUR(A4412))</f>
        <v/>
      </c>
    </row>
    <row r="4413">
      <c r="A4413">
        <f>Input!A4413</f>
        <v/>
      </c>
      <c r="B4413">
        <f>IF(ISNUMBER(Input!B4413),IF(AND(Input!B4413&gt;=20,Input!B4413&lt;=700),Input!B4413,""),"")</f>
        <v/>
      </c>
      <c r="C4413">
        <f>IF(B4413="","",INT(A4413))</f>
        <v/>
      </c>
      <c r="D4413">
        <f>IF(B4413="","",HOUR(A4413))</f>
        <v/>
      </c>
    </row>
    <row r="4414">
      <c r="A4414">
        <f>Input!A4414</f>
        <v/>
      </c>
      <c r="B4414">
        <f>IF(ISNUMBER(Input!B4414),IF(AND(Input!B4414&gt;=20,Input!B4414&lt;=700),Input!B4414,""),"")</f>
        <v/>
      </c>
      <c r="C4414">
        <f>IF(B4414="","",INT(A4414))</f>
        <v/>
      </c>
      <c r="D4414">
        <f>IF(B4414="","",HOUR(A4414))</f>
        <v/>
      </c>
    </row>
    <row r="4415">
      <c r="A4415">
        <f>Input!A4415</f>
        <v/>
      </c>
      <c r="B4415">
        <f>IF(ISNUMBER(Input!B4415),IF(AND(Input!B4415&gt;=20,Input!B4415&lt;=700),Input!B4415,""),"")</f>
        <v/>
      </c>
      <c r="C4415">
        <f>IF(B4415="","",INT(A4415))</f>
        <v/>
      </c>
      <c r="D4415">
        <f>IF(B4415="","",HOUR(A4415))</f>
        <v/>
      </c>
    </row>
    <row r="4416">
      <c r="A4416">
        <f>Input!A4416</f>
        <v/>
      </c>
      <c r="B4416">
        <f>IF(ISNUMBER(Input!B4416),IF(AND(Input!B4416&gt;=20,Input!B4416&lt;=700),Input!B4416,""),"")</f>
        <v/>
      </c>
      <c r="C4416">
        <f>IF(B4416="","",INT(A4416))</f>
        <v/>
      </c>
      <c r="D4416">
        <f>IF(B4416="","",HOUR(A4416))</f>
        <v/>
      </c>
    </row>
    <row r="4417">
      <c r="A4417">
        <f>Input!A4417</f>
        <v/>
      </c>
      <c r="B4417">
        <f>IF(ISNUMBER(Input!B4417),IF(AND(Input!B4417&gt;=20,Input!B4417&lt;=700),Input!B4417,""),"")</f>
        <v/>
      </c>
      <c r="C4417">
        <f>IF(B4417="","",INT(A4417))</f>
        <v/>
      </c>
      <c r="D4417">
        <f>IF(B4417="","",HOUR(A4417))</f>
        <v/>
      </c>
    </row>
    <row r="4418">
      <c r="A4418">
        <f>Input!A4418</f>
        <v/>
      </c>
      <c r="B4418">
        <f>IF(ISNUMBER(Input!B4418),IF(AND(Input!B4418&gt;=20,Input!B4418&lt;=700),Input!B4418,""),"")</f>
        <v/>
      </c>
      <c r="C4418">
        <f>IF(B4418="","",INT(A4418))</f>
        <v/>
      </c>
      <c r="D4418">
        <f>IF(B4418="","",HOUR(A4418))</f>
        <v/>
      </c>
    </row>
    <row r="4419">
      <c r="A4419">
        <f>Input!A4419</f>
        <v/>
      </c>
      <c r="B4419">
        <f>IF(ISNUMBER(Input!B4419),IF(AND(Input!B4419&gt;=20,Input!B4419&lt;=700),Input!B4419,""),"")</f>
        <v/>
      </c>
      <c r="C4419">
        <f>IF(B4419="","",INT(A4419))</f>
        <v/>
      </c>
      <c r="D4419">
        <f>IF(B4419="","",HOUR(A4419))</f>
        <v/>
      </c>
    </row>
    <row r="4420">
      <c r="A4420">
        <f>Input!A4420</f>
        <v/>
      </c>
      <c r="B4420">
        <f>IF(ISNUMBER(Input!B4420),IF(AND(Input!B4420&gt;=20,Input!B4420&lt;=700),Input!B4420,""),"")</f>
        <v/>
      </c>
      <c r="C4420">
        <f>IF(B4420="","",INT(A4420))</f>
        <v/>
      </c>
      <c r="D4420">
        <f>IF(B4420="","",HOUR(A4420))</f>
        <v/>
      </c>
    </row>
    <row r="4421">
      <c r="A4421">
        <f>Input!A4421</f>
        <v/>
      </c>
      <c r="B4421">
        <f>IF(ISNUMBER(Input!B4421),IF(AND(Input!B4421&gt;=20,Input!B4421&lt;=700),Input!B4421,""),"")</f>
        <v/>
      </c>
      <c r="C4421">
        <f>IF(B4421="","",INT(A4421))</f>
        <v/>
      </c>
      <c r="D4421">
        <f>IF(B4421="","",HOUR(A4421))</f>
        <v/>
      </c>
    </row>
    <row r="4422">
      <c r="A4422">
        <f>Input!A4422</f>
        <v/>
      </c>
      <c r="B4422">
        <f>IF(ISNUMBER(Input!B4422),IF(AND(Input!B4422&gt;=20,Input!B4422&lt;=700),Input!B4422,""),"")</f>
        <v/>
      </c>
      <c r="C4422">
        <f>IF(B4422="","",INT(A4422))</f>
        <v/>
      </c>
      <c r="D4422">
        <f>IF(B4422="","",HOUR(A4422))</f>
        <v/>
      </c>
    </row>
    <row r="4423">
      <c r="A4423">
        <f>Input!A4423</f>
        <v/>
      </c>
      <c r="B4423">
        <f>IF(ISNUMBER(Input!B4423),IF(AND(Input!B4423&gt;=20,Input!B4423&lt;=700),Input!B4423,""),"")</f>
        <v/>
      </c>
      <c r="C4423">
        <f>IF(B4423="","",INT(A4423))</f>
        <v/>
      </c>
      <c r="D4423">
        <f>IF(B4423="","",HOUR(A4423))</f>
        <v/>
      </c>
    </row>
    <row r="4424">
      <c r="A4424">
        <f>Input!A4424</f>
        <v/>
      </c>
      <c r="B4424">
        <f>IF(ISNUMBER(Input!B4424),IF(AND(Input!B4424&gt;=20,Input!B4424&lt;=700),Input!B4424,""),"")</f>
        <v/>
      </c>
      <c r="C4424">
        <f>IF(B4424="","",INT(A4424))</f>
        <v/>
      </c>
      <c r="D4424">
        <f>IF(B4424="","",HOUR(A4424))</f>
        <v/>
      </c>
    </row>
    <row r="4425">
      <c r="A4425">
        <f>Input!A4425</f>
        <v/>
      </c>
      <c r="B4425">
        <f>IF(ISNUMBER(Input!B4425),IF(AND(Input!B4425&gt;=20,Input!B4425&lt;=700),Input!B4425,""),"")</f>
        <v/>
      </c>
      <c r="C4425">
        <f>IF(B4425="","",INT(A4425))</f>
        <v/>
      </c>
      <c r="D4425">
        <f>IF(B4425="","",HOUR(A4425))</f>
        <v/>
      </c>
    </row>
    <row r="4426">
      <c r="A4426">
        <f>Input!A4426</f>
        <v/>
      </c>
      <c r="B4426">
        <f>IF(ISNUMBER(Input!B4426),IF(AND(Input!B4426&gt;=20,Input!B4426&lt;=700),Input!B4426,""),"")</f>
        <v/>
      </c>
      <c r="C4426">
        <f>IF(B4426="","",INT(A4426))</f>
        <v/>
      </c>
      <c r="D4426">
        <f>IF(B4426="","",HOUR(A4426))</f>
        <v/>
      </c>
    </row>
    <row r="4427">
      <c r="A4427">
        <f>Input!A4427</f>
        <v/>
      </c>
      <c r="B4427">
        <f>IF(ISNUMBER(Input!B4427),IF(AND(Input!B4427&gt;=20,Input!B4427&lt;=700),Input!B4427,""),"")</f>
        <v/>
      </c>
      <c r="C4427">
        <f>IF(B4427="","",INT(A4427))</f>
        <v/>
      </c>
      <c r="D4427">
        <f>IF(B4427="","",HOUR(A4427))</f>
        <v/>
      </c>
    </row>
    <row r="4428">
      <c r="A4428">
        <f>Input!A4428</f>
        <v/>
      </c>
      <c r="B4428">
        <f>IF(ISNUMBER(Input!B4428),IF(AND(Input!B4428&gt;=20,Input!B4428&lt;=700),Input!B4428,""),"")</f>
        <v/>
      </c>
      <c r="C4428">
        <f>IF(B4428="","",INT(A4428))</f>
        <v/>
      </c>
      <c r="D4428">
        <f>IF(B4428="","",HOUR(A4428))</f>
        <v/>
      </c>
    </row>
    <row r="4429">
      <c r="A4429">
        <f>Input!A4429</f>
        <v/>
      </c>
      <c r="B4429">
        <f>IF(ISNUMBER(Input!B4429),IF(AND(Input!B4429&gt;=20,Input!B4429&lt;=700),Input!B4429,""),"")</f>
        <v/>
      </c>
      <c r="C4429">
        <f>IF(B4429="","",INT(A4429))</f>
        <v/>
      </c>
      <c r="D4429">
        <f>IF(B4429="","",HOUR(A4429))</f>
        <v/>
      </c>
    </row>
    <row r="4430">
      <c r="A4430">
        <f>Input!A4430</f>
        <v/>
      </c>
      <c r="B4430">
        <f>IF(ISNUMBER(Input!B4430),IF(AND(Input!B4430&gt;=20,Input!B4430&lt;=700),Input!B4430,""),"")</f>
        <v/>
      </c>
      <c r="C4430">
        <f>IF(B4430="","",INT(A4430))</f>
        <v/>
      </c>
      <c r="D4430">
        <f>IF(B4430="","",HOUR(A4430))</f>
        <v/>
      </c>
    </row>
    <row r="4431">
      <c r="A4431">
        <f>Input!A4431</f>
        <v/>
      </c>
      <c r="B4431">
        <f>IF(ISNUMBER(Input!B4431),IF(AND(Input!B4431&gt;=20,Input!B4431&lt;=700),Input!B4431,""),"")</f>
        <v/>
      </c>
      <c r="C4431">
        <f>IF(B4431="","",INT(A4431))</f>
        <v/>
      </c>
      <c r="D4431">
        <f>IF(B4431="","",HOUR(A4431))</f>
        <v/>
      </c>
    </row>
    <row r="4432">
      <c r="A4432">
        <f>Input!A4432</f>
        <v/>
      </c>
      <c r="B4432">
        <f>IF(ISNUMBER(Input!B4432),IF(AND(Input!B4432&gt;=20,Input!B4432&lt;=700),Input!B4432,""),"")</f>
        <v/>
      </c>
      <c r="C4432">
        <f>IF(B4432="","",INT(A4432))</f>
        <v/>
      </c>
      <c r="D4432">
        <f>IF(B4432="","",HOUR(A4432))</f>
        <v/>
      </c>
    </row>
    <row r="4433">
      <c r="A4433">
        <f>Input!A4433</f>
        <v/>
      </c>
      <c r="B4433">
        <f>IF(ISNUMBER(Input!B4433),IF(AND(Input!B4433&gt;=20,Input!B4433&lt;=700),Input!B4433,""),"")</f>
        <v/>
      </c>
      <c r="C4433">
        <f>IF(B4433="","",INT(A4433))</f>
        <v/>
      </c>
      <c r="D4433">
        <f>IF(B4433="","",HOUR(A4433))</f>
        <v/>
      </c>
    </row>
    <row r="4434">
      <c r="A4434">
        <f>Input!A4434</f>
        <v/>
      </c>
      <c r="B4434">
        <f>IF(ISNUMBER(Input!B4434),IF(AND(Input!B4434&gt;=20,Input!B4434&lt;=700),Input!B4434,""),"")</f>
        <v/>
      </c>
      <c r="C4434">
        <f>IF(B4434="","",INT(A4434))</f>
        <v/>
      </c>
      <c r="D4434">
        <f>IF(B4434="","",HOUR(A4434))</f>
        <v/>
      </c>
    </row>
    <row r="4435">
      <c r="A4435">
        <f>Input!A4435</f>
        <v/>
      </c>
      <c r="B4435">
        <f>IF(ISNUMBER(Input!B4435),IF(AND(Input!B4435&gt;=20,Input!B4435&lt;=700),Input!B4435,""),"")</f>
        <v/>
      </c>
      <c r="C4435">
        <f>IF(B4435="","",INT(A4435))</f>
        <v/>
      </c>
      <c r="D4435">
        <f>IF(B4435="","",HOUR(A4435))</f>
        <v/>
      </c>
    </row>
    <row r="4436">
      <c r="A4436">
        <f>Input!A4436</f>
        <v/>
      </c>
      <c r="B4436">
        <f>IF(ISNUMBER(Input!B4436),IF(AND(Input!B4436&gt;=20,Input!B4436&lt;=700),Input!B4436,""),"")</f>
        <v/>
      </c>
      <c r="C4436">
        <f>IF(B4436="","",INT(A4436))</f>
        <v/>
      </c>
      <c r="D4436">
        <f>IF(B4436="","",HOUR(A4436))</f>
        <v/>
      </c>
    </row>
    <row r="4437">
      <c r="A4437">
        <f>Input!A4437</f>
        <v/>
      </c>
      <c r="B4437">
        <f>IF(ISNUMBER(Input!B4437),IF(AND(Input!B4437&gt;=20,Input!B4437&lt;=700),Input!B4437,""),"")</f>
        <v/>
      </c>
      <c r="C4437">
        <f>IF(B4437="","",INT(A4437))</f>
        <v/>
      </c>
      <c r="D4437">
        <f>IF(B4437="","",HOUR(A4437))</f>
        <v/>
      </c>
    </row>
    <row r="4438">
      <c r="A4438">
        <f>Input!A4438</f>
        <v/>
      </c>
      <c r="B4438">
        <f>IF(ISNUMBER(Input!B4438),IF(AND(Input!B4438&gt;=20,Input!B4438&lt;=700),Input!B4438,""),"")</f>
        <v/>
      </c>
      <c r="C4438">
        <f>IF(B4438="","",INT(A4438))</f>
        <v/>
      </c>
      <c r="D4438">
        <f>IF(B4438="","",HOUR(A4438))</f>
        <v/>
      </c>
    </row>
    <row r="4439">
      <c r="A4439">
        <f>Input!A4439</f>
        <v/>
      </c>
      <c r="B4439">
        <f>IF(ISNUMBER(Input!B4439),IF(AND(Input!B4439&gt;=20,Input!B4439&lt;=700),Input!B4439,""),"")</f>
        <v/>
      </c>
      <c r="C4439">
        <f>IF(B4439="","",INT(A4439))</f>
        <v/>
      </c>
      <c r="D4439">
        <f>IF(B4439="","",HOUR(A4439))</f>
        <v/>
      </c>
    </row>
    <row r="4440">
      <c r="A4440">
        <f>Input!A4440</f>
        <v/>
      </c>
      <c r="B4440">
        <f>IF(ISNUMBER(Input!B4440),IF(AND(Input!B4440&gt;=20,Input!B4440&lt;=700),Input!B4440,""),"")</f>
        <v/>
      </c>
      <c r="C4440">
        <f>IF(B4440="","",INT(A4440))</f>
        <v/>
      </c>
      <c r="D4440">
        <f>IF(B4440="","",HOUR(A4440))</f>
        <v/>
      </c>
    </row>
    <row r="4441">
      <c r="A4441">
        <f>Input!A4441</f>
        <v/>
      </c>
      <c r="B4441">
        <f>IF(ISNUMBER(Input!B4441),IF(AND(Input!B4441&gt;=20,Input!B4441&lt;=700),Input!B4441,""),"")</f>
        <v/>
      </c>
      <c r="C4441">
        <f>IF(B4441="","",INT(A4441))</f>
        <v/>
      </c>
      <c r="D4441">
        <f>IF(B4441="","",HOUR(A4441))</f>
        <v/>
      </c>
    </row>
    <row r="4442">
      <c r="A4442">
        <f>Input!A4442</f>
        <v/>
      </c>
      <c r="B4442">
        <f>IF(ISNUMBER(Input!B4442),IF(AND(Input!B4442&gt;=20,Input!B4442&lt;=700),Input!B4442,""),"")</f>
        <v/>
      </c>
      <c r="C4442">
        <f>IF(B4442="","",INT(A4442))</f>
        <v/>
      </c>
      <c r="D4442">
        <f>IF(B4442="","",HOUR(A4442))</f>
        <v/>
      </c>
    </row>
    <row r="4443">
      <c r="A4443">
        <f>Input!A4443</f>
        <v/>
      </c>
      <c r="B4443">
        <f>IF(ISNUMBER(Input!B4443),IF(AND(Input!B4443&gt;=20,Input!B4443&lt;=700),Input!B4443,""),"")</f>
        <v/>
      </c>
      <c r="C4443">
        <f>IF(B4443="","",INT(A4443))</f>
        <v/>
      </c>
      <c r="D4443">
        <f>IF(B4443="","",HOUR(A4443))</f>
        <v/>
      </c>
    </row>
    <row r="4444">
      <c r="A4444">
        <f>Input!A4444</f>
        <v/>
      </c>
      <c r="B4444">
        <f>IF(ISNUMBER(Input!B4444),IF(AND(Input!B4444&gt;=20,Input!B4444&lt;=700),Input!B4444,""),"")</f>
        <v/>
      </c>
      <c r="C4444">
        <f>IF(B4444="","",INT(A4444))</f>
        <v/>
      </c>
      <c r="D4444">
        <f>IF(B4444="","",HOUR(A4444))</f>
        <v/>
      </c>
    </row>
    <row r="4445">
      <c r="A4445">
        <f>Input!A4445</f>
        <v/>
      </c>
      <c r="B4445">
        <f>IF(ISNUMBER(Input!B4445),IF(AND(Input!B4445&gt;=20,Input!B4445&lt;=700),Input!B4445,""),"")</f>
        <v/>
      </c>
      <c r="C4445">
        <f>IF(B4445="","",INT(A4445))</f>
        <v/>
      </c>
      <c r="D4445">
        <f>IF(B4445="","",HOUR(A4445))</f>
        <v/>
      </c>
    </row>
    <row r="4446">
      <c r="A4446">
        <f>Input!A4446</f>
        <v/>
      </c>
      <c r="B4446">
        <f>IF(ISNUMBER(Input!B4446),IF(AND(Input!B4446&gt;=20,Input!B4446&lt;=700),Input!B4446,""),"")</f>
        <v/>
      </c>
      <c r="C4446">
        <f>IF(B4446="","",INT(A4446))</f>
        <v/>
      </c>
      <c r="D4446">
        <f>IF(B4446="","",HOUR(A4446))</f>
        <v/>
      </c>
    </row>
    <row r="4447">
      <c r="A4447">
        <f>Input!A4447</f>
        <v/>
      </c>
      <c r="B4447">
        <f>IF(ISNUMBER(Input!B4447),IF(AND(Input!B4447&gt;=20,Input!B4447&lt;=700),Input!B4447,""),"")</f>
        <v/>
      </c>
      <c r="C4447">
        <f>IF(B4447="","",INT(A4447))</f>
        <v/>
      </c>
      <c r="D4447">
        <f>IF(B4447="","",HOUR(A4447))</f>
        <v/>
      </c>
    </row>
    <row r="4448">
      <c r="A4448">
        <f>Input!A4448</f>
        <v/>
      </c>
      <c r="B4448">
        <f>IF(ISNUMBER(Input!B4448),IF(AND(Input!B4448&gt;=20,Input!B4448&lt;=700),Input!B4448,""),"")</f>
        <v/>
      </c>
      <c r="C4448">
        <f>IF(B4448="","",INT(A4448))</f>
        <v/>
      </c>
      <c r="D4448">
        <f>IF(B4448="","",HOUR(A4448))</f>
        <v/>
      </c>
    </row>
    <row r="4449">
      <c r="A4449">
        <f>Input!A4449</f>
        <v/>
      </c>
      <c r="B4449">
        <f>IF(ISNUMBER(Input!B4449),IF(AND(Input!B4449&gt;=20,Input!B4449&lt;=700),Input!B4449,""),"")</f>
        <v/>
      </c>
      <c r="C4449">
        <f>IF(B4449="","",INT(A4449))</f>
        <v/>
      </c>
      <c r="D4449">
        <f>IF(B4449="","",HOUR(A4449))</f>
        <v/>
      </c>
    </row>
    <row r="4450">
      <c r="A4450">
        <f>Input!A4450</f>
        <v/>
      </c>
      <c r="B4450">
        <f>IF(ISNUMBER(Input!B4450),IF(AND(Input!B4450&gt;=20,Input!B4450&lt;=700),Input!B4450,""),"")</f>
        <v/>
      </c>
      <c r="C4450">
        <f>IF(B4450="","",INT(A4450))</f>
        <v/>
      </c>
      <c r="D4450">
        <f>IF(B4450="","",HOUR(A4450))</f>
        <v/>
      </c>
    </row>
    <row r="4451">
      <c r="A4451">
        <f>Input!A4451</f>
        <v/>
      </c>
      <c r="B4451">
        <f>IF(ISNUMBER(Input!B4451),IF(AND(Input!B4451&gt;=20,Input!B4451&lt;=700),Input!B4451,""),"")</f>
        <v/>
      </c>
      <c r="C4451">
        <f>IF(B4451="","",INT(A4451))</f>
        <v/>
      </c>
      <c r="D4451">
        <f>IF(B4451="","",HOUR(A4451))</f>
        <v/>
      </c>
    </row>
    <row r="4452">
      <c r="A4452">
        <f>Input!A4452</f>
        <v/>
      </c>
      <c r="B4452">
        <f>IF(ISNUMBER(Input!B4452),IF(AND(Input!B4452&gt;=20,Input!B4452&lt;=700),Input!B4452,""),"")</f>
        <v/>
      </c>
      <c r="C4452">
        <f>IF(B4452="","",INT(A4452))</f>
        <v/>
      </c>
      <c r="D4452">
        <f>IF(B4452="","",HOUR(A4452))</f>
        <v/>
      </c>
    </row>
    <row r="4453">
      <c r="A4453">
        <f>Input!A4453</f>
        <v/>
      </c>
      <c r="B4453">
        <f>IF(ISNUMBER(Input!B4453),IF(AND(Input!B4453&gt;=20,Input!B4453&lt;=700),Input!B4453,""),"")</f>
        <v/>
      </c>
      <c r="C4453">
        <f>IF(B4453="","",INT(A4453))</f>
        <v/>
      </c>
      <c r="D4453">
        <f>IF(B4453="","",HOUR(A4453))</f>
        <v/>
      </c>
    </row>
    <row r="4454">
      <c r="A4454">
        <f>Input!A4454</f>
        <v/>
      </c>
      <c r="B4454">
        <f>IF(ISNUMBER(Input!B4454),IF(AND(Input!B4454&gt;=20,Input!B4454&lt;=700),Input!B4454,""),"")</f>
        <v/>
      </c>
      <c r="C4454">
        <f>IF(B4454="","",INT(A4454))</f>
        <v/>
      </c>
      <c r="D4454">
        <f>IF(B4454="","",HOUR(A4454))</f>
        <v/>
      </c>
    </row>
    <row r="4455">
      <c r="A4455">
        <f>Input!A4455</f>
        <v/>
      </c>
      <c r="B4455">
        <f>IF(ISNUMBER(Input!B4455),IF(AND(Input!B4455&gt;=20,Input!B4455&lt;=700),Input!B4455,""),"")</f>
        <v/>
      </c>
      <c r="C4455">
        <f>IF(B4455="","",INT(A4455))</f>
        <v/>
      </c>
      <c r="D4455">
        <f>IF(B4455="","",HOUR(A4455))</f>
        <v/>
      </c>
    </row>
    <row r="4456">
      <c r="A4456">
        <f>Input!A4456</f>
        <v/>
      </c>
      <c r="B4456">
        <f>IF(ISNUMBER(Input!B4456),IF(AND(Input!B4456&gt;=20,Input!B4456&lt;=700),Input!B4456,""),"")</f>
        <v/>
      </c>
      <c r="C4456">
        <f>IF(B4456="","",INT(A4456))</f>
        <v/>
      </c>
      <c r="D4456">
        <f>IF(B4456="","",HOUR(A4456))</f>
        <v/>
      </c>
    </row>
    <row r="4457">
      <c r="A4457">
        <f>Input!A4457</f>
        <v/>
      </c>
      <c r="B4457">
        <f>IF(ISNUMBER(Input!B4457),IF(AND(Input!B4457&gt;=20,Input!B4457&lt;=700),Input!B4457,""),"")</f>
        <v/>
      </c>
      <c r="C4457">
        <f>IF(B4457="","",INT(A4457))</f>
        <v/>
      </c>
      <c r="D4457">
        <f>IF(B4457="","",HOUR(A4457))</f>
        <v/>
      </c>
    </row>
    <row r="4458">
      <c r="A4458">
        <f>Input!A4458</f>
        <v/>
      </c>
      <c r="B4458">
        <f>IF(ISNUMBER(Input!B4458),IF(AND(Input!B4458&gt;=20,Input!B4458&lt;=700),Input!B4458,""),"")</f>
        <v/>
      </c>
      <c r="C4458">
        <f>IF(B4458="","",INT(A4458))</f>
        <v/>
      </c>
      <c r="D4458">
        <f>IF(B4458="","",HOUR(A4458))</f>
        <v/>
      </c>
    </row>
    <row r="4459">
      <c r="A4459">
        <f>Input!A4459</f>
        <v/>
      </c>
      <c r="B4459">
        <f>IF(ISNUMBER(Input!B4459),IF(AND(Input!B4459&gt;=20,Input!B4459&lt;=700),Input!B4459,""),"")</f>
        <v/>
      </c>
      <c r="C4459">
        <f>IF(B4459="","",INT(A4459))</f>
        <v/>
      </c>
      <c r="D4459">
        <f>IF(B4459="","",HOUR(A4459))</f>
        <v/>
      </c>
    </row>
    <row r="4460">
      <c r="A4460">
        <f>Input!A4460</f>
        <v/>
      </c>
      <c r="B4460">
        <f>IF(ISNUMBER(Input!B4460),IF(AND(Input!B4460&gt;=20,Input!B4460&lt;=700),Input!B4460,""),"")</f>
        <v/>
      </c>
      <c r="C4460">
        <f>IF(B4460="","",INT(A4460))</f>
        <v/>
      </c>
      <c r="D4460">
        <f>IF(B4460="","",HOUR(A4460))</f>
        <v/>
      </c>
    </row>
    <row r="4461">
      <c r="A4461">
        <f>Input!A4461</f>
        <v/>
      </c>
      <c r="B4461">
        <f>IF(ISNUMBER(Input!B4461),IF(AND(Input!B4461&gt;=20,Input!B4461&lt;=700),Input!B4461,""),"")</f>
        <v/>
      </c>
      <c r="C4461">
        <f>IF(B4461="","",INT(A4461))</f>
        <v/>
      </c>
      <c r="D4461">
        <f>IF(B4461="","",HOUR(A4461))</f>
        <v/>
      </c>
    </row>
    <row r="4462">
      <c r="A4462">
        <f>Input!A4462</f>
        <v/>
      </c>
      <c r="B4462">
        <f>IF(ISNUMBER(Input!B4462),IF(AND(Input!B4462&gt;=20,Input!B4462&lt;=700),Input!B4462,""),"")</f>
        <v/>
      </c>
      <c r="C4462">
        <f>IF(B4462="","",INT(A4462))</f>
        <v/>
      </c>
      <c r="D4462">
        <f>IF(B4462="","",HOUR(A4462))</f>
        <v/>
      </c>
    </row>
    <row r="4463">
      <c r="A4463">
        <f>Input!A4463</f>
        <v/>
      </c>
      <c r="B4463">
        <f>IF(ISNUMBER(Input!B4463),IF(AND(Input!B4463&gt;=20,Input!B4463&lt;=700),Input!B4463,""),"")</f>
        <v/>
      </c>
      <c r="C4463">
        <f>IF(B4463="","",INT(A4463))</f>
        <v/>
      </c>
      <c r="D4463">
        <f>IF(B4463="","",HOUR(A4463))</f>
        <v/>
      </c>
    </row>
    <row r="4464">
      <c r="A4464">
        <f>Input!A4464</f>
        <v/>
      </c>
      <c r="B4464">
        <f>IF(ISNUMBER(Input!B4464),IF(AND(Input!B4464&gt;=20,Input!B4464&lt;=700),Input!B4464,""),"")</f>
        <v/>
      </c>
      <c r="C4464">
        <f>IF(B4464="","",INT(A4464))</f>
        <v/>
      </c>
      <c r="D4464">
        <f>IF(B4464="","",HOUR(A4464))</f>
        <v/>
      </c>
    </row>
    <row r="4465">
      <c r="A4465">
        <f>Input!A4465</f>
        <v/>
      </c>
      <c r="B4465">
        <f>IF(ISNUMBER(Input!B4465),IF(AND(Input!B4465&gt;=20,Input!B4465&lt;=700),Input!B4465,""),"")</f>
        <v/>
      </c>
      <c r="C4465">
        <f>IF(B4465="","",INT(A4465))</f>
        <v/>
      </c>
      <c r="D4465">
        <f>IF(B4465="","",HOUR(A4465))</f>
        <v/>
      </c>
    </row>
    <row r="4466">
      <c r="A4466">
        <f>Input!A4466</f>
        <v/>
      </c>
      <c r="B4466">
        <f>IF(ISNUMBER(Input!B4466),IF(AND(Input!B4466&gt;=20,Input!B4466&lt;=700),Input!B4466,""),"")</f>
        <v/>
      </c>
      <c r="C4466">
        <f>IF(B4466="","",INT(A4466))</f>
        <v/>
      </c>
      <c r="D4466">
        <f>IF(B4466="","",HOUR(A4466))</f>
        <v/>
      </c>
    </row>
    <row r="4467">
      <c r="A4467">
        <f>Input!A4467</f>
        <v/>
      </c>
      <c r="B4467">
        <f>IF(ISNUMBER(Input!B4467),IF(AND(Input!B4467&gt;=20,Input!B4467&lt;=700),Input!B4467,""),"")</f>
        <v/>
      </c>
      <c r="C4467">
        <f>IF(B4467="","",INT(A4467))</f>
        <v/>
      </c>
      <c r="D4467">
        <f>IF(B4467="","",HOUR(A4467))</f>
        <v/>
      </c>
    </row>
    <row r="4468">
      <c r="A4468">
        <f>Input!A4468</f>
        <v/>
      </c>
      <c r="B4468">
        <f>IF(ISNUMBER(Input!B4468),IF(AND(Input!B4468&gt;=20,Input!B4468&lt;=700),Input!B4468,""),"")</f>
        <v/>
      </c>
      <c r="C4468">
        <f>IF(B4468="","",INT(A4468))</f>
        <v/>
      </c>
      <c r="D4468">
        <f>IF(B4468="","",HOUR(A4468))</f>
        <v/>
      </c>
    </row>
    <row r="4469">
      <c r="A4469">
        <f>Input!A4469</f>
        <v/>
      </c>
      <c r="B4469">
        <f>IF(ISNUMBER(Input!B4469),IF(AND(Input!B4469&gt;=20,Input!B4469&lt;=700),Input!B4469,""),"")</f>
        <v/>
      </c>
      <c r="C4469">
        <f>IF(B4469="","",INT(A4469))</f>
        <v/>
      </c>
      <c r="D4469">
        <f>IF(B4469="","",HOUR(A4469))</f>
        <v/>
      </c>
    </row>
    <row r="4470">
      <c r="A4470">
        <f>Input!A4470</f>
        <v/>
      </c>
      <c r="B4470">
        <f>IF(ISNUMBER(Input!B4470),IF(AND(Input!B4470&gt;=20,Input!B4470&lt;=700),Input!B4470,""),"")</f>
        <v/>
      </c>
      <c r="C4470">
        <f>IF(B4470="","",INT(A4470))</f>
        <v/>
      </c>
      <c r="D4470">
        <f>IF(B4470="","",HOUR(A4470))</f>
        <v/>
      </c>
    </row>
    <row r="4471">
      <c r="A4471">
        <f>Input!A4471</f>
        <v/>
      </c>
      <c r="B4471">
        <f>IF(ISNUMBER(Input!B4471),IF(AND(Input!B4471&gt;=20,Input!B4471&lt;=700),Input!B4471,""),"")</f>
        <v/>
      </c>
      <c r="C4471">
        <f>IF(B4471="","",INT(A4471))</f>
        <v/>
      </c>
      <c r="D4471">
        <f>IF(B4471="","",HOUR(A4471))</f>
        <v/>
      </c>
    </row>
    <row r="4472">
      <c r="A4472">
        <f>Input!A4472</f>
        <v/>
      </c>
      <c r="B4472">
        <f>IF(ISNUMBER(Input!B4472),IF(AND(Input!B4472&gt;=20,Input!B4472&lt;=700),Input!B4472,""),"")</f>
        <v/>
      </c>
      <c r="C4472">
        <f>IF(B4472="","",INT(A4472))</f>
        <v/>
      </c>
      <c r="D4472">
        <f>IF(B4472="","",HOUR(A4472))</f>
        <v/>
      </c>
    </row>
    <row r="4473">
      <c r="A4473">
        <f>Input!A4473</f>
        <v/>
      </c>
      <c r="B4473">
        <f>IF(ISNUMBER(Input!B4473),IF(AND(Input!B4473&gt;=20,Input!B4473&lt;=700),Input!B4473,""),"")</f>
        <v/>
      </c>
      <c r="C4473">
        <f>IF(B4473="","",INT(A4473))</f>
        <v/>
      </c>
      <c r="D4473">
        <f>IF(B4473="","",HOUR(A4473))</f>
        <v/>
      </c>
    </row>
    <row r="4474">
      <c r="A4474">
        <f>Input!A4474</f>
        <v/>
      </c>
      <c r="B4474">
        <f>IF(ISNUMBER(Input!B4474),IF(AND(Input!B4474&gt;=20,Input!B4474&lt;=700),Input!B4474,""),"")</f>
        <v/>
      </c>
      <c r="C4474">
        <f>IF(B4474="","",INT(A4474))</f>
        <v/>
      </c>
      <c r="D4474">
        <f>IF(B4474="","",HOUR(A4474))</f>
        <v/>
      </c>
    </row>
    <row r="4475">
      <c r="A4475">
        <f>Input!A4475</f>
        <v/>
      </c>
      <c r="B4475">
        <f>IF(ISNUMBER(Input!B4475),IF(AND(Input!B4475&gt;=20,Input!B4475&lt;=700),Input!B4475,""),"")</f>
        <v/>
      </c>
      <c r="C4475">
        <f>IF(B4475="","",INT(A4475))</f>
        <v/>
      </c>
      <c r="D4475">
        <f>IF(B4475="","",HOUR(A4475))</f>
        <v/>
      </c>
    </row>
    <row r="4476">
      <c r="A4476">
        <f>Input!A4476</f>
        <v/>
      </c>
      <c r="B4476">
        <f>IF(ISNUMBER(Input!B4476),IF(AND(Input!B4476&gt;=20,Input!B4476&lt;=700),Input!B4476,""),"")</f>
        <v/>
      </c>
      <c r="C4476">
        <f>IF(B4476="","",INT(A4476))</f>
        <v/>
      </c>
      <c r="D4476">
        <f>IF(B4476="","",HOUR(A4476))</f>
        <v/>
      </c>
    </row>
    <row r="4477">
      <c r="A4477">
        <f>Input!A4477</f>
        <v/>
      </c>
      <c r="B4477">
        <f>IF(ISNUMBER(Input!B4477),IF(AND(Input!B4477&gt;=20,Input!B4477&lt;=700),Input!B4477,""),"")</f>
        <v/>
      </c>
      <c r="C4477">
        <f>IF(B4477="","",INT(A4477))</f>
        <v/>
      </c>
      <c r="D4477">
        <f>IF(B4477="","",HOUR(A4477))</f>
        <v/>
      </c>
    </row>
    <row r="4478">
      <c r="A4478">
        <f>Input!A4478</f>
        <v/>
      </c>
      <c r="B4478">
        <f>IF(ISNUMBER(Input!B4478),IF(AND(Input!B4478&gt;=20,Input!B4478&lt;=700),Input!B4478,""),"")</f>
        <v/>
      </c>
      <c r="C4478">
        <f>IF(B4478="","",INT(A4478))</f>
        <v/>
      </c>
      <c r="D4478">
        <f>IF(B4478="","",HOUR(A4478))</f>
        <v/>
      </c>
    </row>
    <row r="4479">
      <c r="A4479">
        <f>Input!A4479</f>
        <v/>
      </c>
      <c r="B4479">
        <f>IF(ISNUMBER(Input!B4479),IF(AND(Input!B4479&gt;=20,Input!B4479&lt;=700),Input!B4479,""),"")</f>
        <v/>
      </c>
      <c r="C4479">
        <f>IF(B4479="","",INT(A4479))</f>
        <v/>
      </c>
      <c r="D4479">
        <f>IF(B4479="","",HOUR(A4479))</f>
        <v/>
      </c>
    </row>
    <row r="4480">
      <c r="A4480">
        <f>Input!A4480</f>
        <v/>
      </c>
      <c r="B4480">
        <f>IF(ISNUMBER(Input!B4480),IF(AND(Input!B4480&gt;=20,Input!B4480&lt;=700),Input!B4480,""),"")</f>
        <v/>
      </c>
      <c r="C4480">
        <f>IF(B4480="","",INT(A4480))</f>
        <v/>
      </c>
      <c r="D4480">
        <f>IF(B4480="","",HOUR(A4480))</f>
        <v/>
      </c>
    </row>
    <row r="4481">
      <c r="A4481">
        <f>Input!A4481</f>
        <v/>
      </c>
      <c r="B4481">
        <f>IF(ISNUMBER(Input!B4481),IF(AND(Input!B4481&gt;=20,Input!B4481&lt;=700),Input!B4481,""),"")</f>
        <v/>
      </c>
      <c r="C4481">
        <f>IF(B4481="","",INT(A4481))</f>
        <v/>
      </c>
      <c r="D4481">
        <f>IF(B4481="","",HOUR(A4481))</f>
        <v/>
      </c>
    </row>
    <row r="4482">
      <c r="A4482">
        <f>Input!A4482</f>
        <v/>
      </c>
      <c r="B4482">
        <f>IF(ISNUMBER(Input!B4482),IF(AND(Input!B4482&gt;=20,Input!B4482&lt;=700),Input!B4482,""),"")</f>
        <v/>
      </c>
      <c r="C4482">
        <f>IF(B4482="","",INT(A4482))</f>
        <v/>
      </c>
      <c r="D4482">
        <f>IF(B4482="","",HOUR(A4482))</f>
        <v/>
      </c>
    </row>
    <row r="4483">
      <c r="A4483">
        <f>Input!A4483</f>
        <v/>
      </c>
      <c r="B4483">
        <f>IF(ISNUMBER(Input!B4483),IF(AND(Input!B4483&gt;=20,Input!B4483&lt;=700),Input!B4483,""),"")</f>
        <v/>
      </c>
      <c r="C4483">
        <f>IF(B4483="","",INT(A4483))</f>
        <v/>
      </c>
      <c r="D4483">
        <f>IF(B4483="","",HOUR(A4483))</f>
        <v/>
      </c>
    </row>
    <row r="4484">
      <c r="A4484">
        <f>Input!A4484</f>
        <v/>
      </c>
      <c r="B4484">
        <f>IF(ISNUMBER(Input!B4484),IF(AND(Input!B4484&gt;=20,Input!B4484&lt;=700),Input!B4484,""),"")</f>
        <v/>
      </c>
      <c r="C4484">
        <f>IF(B4484="","",INT(A4484))</f>
        <v/>
      </c>
      <c r="D4484">
        <f>IF(B4484="","",HOUR(A4484))</f>
        <v/>
      </c>
    </row>
    <row r="4485">
      <c r="A4485">
        <f>Input!A4485</f>
        <v/>
      </c>
      <c r="B4485">
        <f>IF(ISNUMBER(Input!B4485),IF(AND(Input!B4485&gt;=20,Input!B4485&lt;=700),Input!B4485,""),"")</f>
        <v/>
      </c>
      <c r="C4485">
        <f>IF(B4485="","",INT(A4485))</f>
        <v/>
      </c>
      <c r="D4485">
        <f>IF(B4485="","",HOUR(A4485))</f>
        <v/>
      </c>
    </row>
    <row r="4486">
      <c r="A4486">
        <f>Input!A4486</f>
        <v/>
      </c>
      <c r="B4486">
        <f>IF(ISNUMBER(Input!B4486),IF(AND(Input!B4486&gt;=20,Input!B4486&lt;=700),Input!B4486,""),"")</f>
        <v/>
      </c>
      <c r="C4486">
        <f>IF(B4486="","",INT(A4486))</f>
        <v/>
      </c>
      <c r="D4486">
        <f>IF(B4486="","",HOUR(A4486))</f>
        <v/>
      </c>
    </row>
    <row r="4487">
      <c r="A4487">
        <f>Input!A4487</f>
        <v/>
      </c>
      <c r="B4487">
        <f>IF(ISNUMBER(Input!B4487),IF(AND(Input!B4487&gt;=20,Input!B4487&lt;=700),Input!B4487,""),"")</f>
        <v/>
      </c>
      <c r="C4487">
        <f>IF(B4487="","",INT(A4487))</f>
        <v/>
      </c>
      <c r="D4487">
        <f>IF(B4487="","",HOUR(A4487))</f>
        <v/>
      </c>
    </row>
    <row r="4488">
      <c r="A4488">
        <f>Input!A4488</f>
        <v/>
      </c>
      <c r="B4488">
        <f>IF(ISNUMBER(Input!B4488),IF(AND(Input!B4488&gt;=20,Input!B4488&lt;=700),Input!B4488,""),"")</f>
        <v/>
      </c>
      <c r="C4488">
        <f>IF(B4488="","",INT(A4488))</f>
        <v/>
      </c>
      <c r="D4488">
        <f>IF(B4488="","",HOUR(A4488))</f>
        <v/>
      </c>
    </row>
    <row r="4489">
      <c r="A4489">
        <f>Input!A4489</f>
        <v/>
      </c>
      <c r="B4489">
        <f>IF(ISNUMBER(Input!B4489),IF(AND(Input!B4489&gt;=20,Input!B4489&lt;=700),Input!B4489,""),"")</f>
        <v/>
      </c>
      <c r="C4489">
        <f>IF(B4489="","",INT(A4489))</f>
        <v/>
      </c>
      <c r="D4489">
        <f>IF(B4489="","",HOUR(A4489))</f>
        <v/>
      </c>
    </row>
    <row r="4490">
      <c r="A4490">
        <f>Input!A4490</f>
        <v/>
      </c>
      <c r="B4490">
        <f>IF(ISNUMBER(Input!B4490),IF(AND(Input!B4490&gt;=20,Input!B4490&lt;=700),Input!B4490,""),"")</f>
        <v/>
      </c>
      <c r="C4490">
        <f>IF(B4490="","",INT(A4490))</f>
        <v/>
      </c>
      <c r="D4490">
        <f>IF(B4490="","",HOUR(A4490))</f>
        <v/>
      </c>
    </row>
    <row r="4491">
      <c r="A4491">
        <f>Input!A4491</f>
        <v/>
      </c>
      <c r="B4491">
        <f>IF(ISNUMBER(Input!B4491),IF(AND(Input!B4491&gt;=20,Input!B4491&lt;=700),Input!B4491,""),"")</f>
        <v/>
      </c>
      <c r="C4491">
        <f>IF(B4491="","",INT(A4491))</f>
        <v/>
      </c>
      <c r="D4491">
        <f>IF(B4491="","",HOUR(A4491))</f>
        <v/>
      </c>
    </row>
    <row r="4492">
      <c r="A4492">
        <f>Input!A4492</f>
        <v/>
      </c>
      <c r="B4492">
        <f>IF(ISNUMBER(Input!B4492),IF(AND(Input!B4492&gt;=20,Input!B4492&lt;=700),Input!B4492,""),"")</f>
        <v/>
      </c>
      <c r="C4492">
        <f>IF(B4492="","",INT(A4492))</f>
        <v/>
      </c>
      <c r="D4492">
        <f>IF(B4492="","",HOUR(A4492))</f>
        <v/>
      </c>
    </row>
    <row r="4493">
      <c r="A4493">
        <f>Input!A4493</f>
        <v/>
      </c>
      <c r="B4493">
        <f>IF(ISNUMBER(Input!B4493),IF(AND(Input!B4493&gt;=20,Input!B4493&lt;=700),Input!B4493,""),"")</f>
        <v/>
      </c>
      <c r="C4493">
        <f>IF(B4493="","",INT(A4493))</f>
        <v/>
      </c>
      <c r="D4493">
        <f>IF(B4493="","",HOUR(A4493))</f>
        <v/>
      </c>
    </row>
    <row r="4494">
      <c r="A4494">
        <f>Input!A4494</f>
        <v/>
      </c>
      <c r="B4494">
        <f>IF(ISNUMBER(Input!B4494),IF(AND(Input!B4494&gt;=20,Input!B4494&lt;=700),Input!B4494,""),"")</f>
        <v/>
      </c>
      <c r="C4494">
        <f>IF(B4494="","",INT(A4494))</f>
        <v/>
      </c>
      <c r="D4494">
        <f>IF(B4494="","",HOUR(A4494))</f>
        <v/>
      </c>
    </row>
    <row r="4495">
      <c r="A4495">
        <f>Input!A4495</f>
        <v/>
      </c>
      <c r="B4495">
        <f>IF(ISNUMBER(Input!B4495),IF(AND(Input!B4495&gt;=20,Input!B4495&lt;=700),Input!B4495,""),"")</f>
        <v/>
      </c>
      <c r="C4495">
        <f>IF(B4495="","",INT(A4495))</f>
        <v/>
      </c>
      <c r="D4495">
        <f>IF(B4495="","",HOUR(A4495))</f>
        <v/>
      </c>
    </row>
    <row r="4496">
      <c r="A4496">
        <f>Input!A4496</f>
        <v/>
      </c>
      <c r="B4496">
        <f>IF(ISNUMBER(Input!B4496),IF(AND(Input!B4496&gt;=20,Input!B4496&lt;=700),Input!B4496,""),"")</f>
        <v/>
      </c>
      <c r="C4496">
        <f>IF(B4496="","",INT(A4496))</f>
        <v/>
      </c>
      <c r="D4496">
        <f>IF(B4496="","",HOUR(A4496))</f>
        <v/>
      </c>
    </row>
    <row r="4497">
      <c r="A4497">
        <f>Input!A4497</f>
        <v/>
      </c>
      <c r="B4497">
        <f>IF(ISNUMBER(Input!B4497),IF(AND(Input!B4497&gt;=20,Input!B4497&lt;=700),Input!B4497,""),"")</f>
        <v/>
      </c>
      <c r="C4497">
        <f>IF(B4497="","",INT(A4497))</f>
        <v/>
      </c>
      <c r="D4497">
        <f>IF(B4497="","",HOUR(A4497))</f>
        <v/>
      </c>
    </row>
    <row r="4498">
      <c r="A4498">
        <f>Input!A4498</f>
        <v/>
      </c>
      <c r="B4498">
        <f>IF(ISNUMBER(Input!B4498),IF(AND(Input!B4498&gt;=20,Input!B4498&lt;=700),Input!B4498,""),"")</f>
        <v/>
      </c>
      <c r="C4498">
        <f>IF(B4498="","",INT(A4498))</f>
        <v/>
      </c>
      <c r="D4498">
        <f>IF(B4498="","",HOUR(A4498))</f>
        <v/>
      </c>
    </row>
    <row r="4499">
      <c r="A4499">
        <f>Input!A4499</f>
        <v/>
      </c>
      <c r="B4499">
        <f>IF(ISNUMBER(Input!B4499),IF(AND(Input!B4499&gt;=20,Input!B4499&lt;=700),Input!B4499,""),"")</f>
        <v/>
      </c>
      <c r="C4499">
        <f>IF(B4499="","",INT(A4499))</f>
        <v/>
      </c>
      <c r="D4499">
        <f>IF(B4499="","",HOUR(A4499))</f>
        <v/>
      </c>
    </row>
    <row r="4500">
      <c r="A4500">
        <f>Input!A4500</f>
        <v/>
      </c>
      <c r="B4500">
        <f>IF(ISNUMBER(Input!B4500),IF(AND(Input!B4500&gt;=20,Input!B4500&lt;=700),Input!B4500,""),"")</f>
        <v/>
      </c>
      <c r="C4500">
        <f>IF(B4500="","",INT(A4500))</f>
        <v/>
      </c>
      <c r="D4500">
        <f>IF(B4500="","",HOUR(A4500))</f>
        <v/>
      </c>
    </row>
    <row r="4501">
      <c r="A4501">
        <f>Input!A4501</f>
        <v/>
      </c>
      <c r="B4501">
        <f>IF(ISNUMBER(Input!B4501),IF(AND(Input!B4501&gt;=20,Input!B4501&lt;=700),Input!B4501,""),"")</f>
        <v/>
      </c>
      <c r="C4501">
        <f>IF(B4501="","",INT(A4501))</f>
        <v/>
      </c>
      <c r="D4501">
        <f>IF(B4501="","",HOUR(A4501))</f>
        <v/>
      </c>
    </row>
    <row r="4502">
      <c r="A4502">
        <f>Input!A4502</f>
        <v/>
      </c>
      <c r="B4502">
        <f>IF(ISNUMBER(Input!B4502),IF(AND(Input!B4502&gt;=20,Input!B4502&lt;=700),Input!B4502,""),"")</f>
        <v/>
      </c>
      <c r="C4502">
        <f>IF(B4502="","",INT(A4502))</f>
        <v/>
      </c>
      <c r="D4502">
        <f>IF(B4502="","",HOUR(A4502))</f>
        <v/>
      </c>
    </row>
    <row r="4503">
      <c r="A4503">
        <f>Input!A4503</f>
        <v/>
      </c>
      <c r="B4503">
        <f>IF(ISNUMBER(Input!B4503),IF(AND(Input!B4503&gt;=20,Input!B4503&lt;=700),Input!B4503,""),"")</f>
        <v/>
      </c>
      <c r="C4503">
        <f>IF(B4503="","",INT(A4503))</f>
        <v/>
      </c>
      <c r="D4503">
        <f>IF(B4503="","",HOUR(A4503))</f>
        <v/>
      </c>
    </row>
    <row r="4504">
      <c r="A4504">
        <f>Input!A4504</f>
        <v/>
      </c>
      <c r="B4504">
        <f>IF(ISNUMBER(Input!B4504),IF(AND(Input!B4504&gt;=20,Input!B4504&lt;=700),Input!B4504,""),"")</f>
        <v/>
      </c>
      <c r="C4504">
        <f>IF(B4504="","",INT(A4504))</f>
        <v/>
      </c>
      <c r="D4504">
        <f>IF(B4504="","",HOUR(A4504))</f>
        <v/>
      </c>
    </row>
    <row r="4505">
      <c r="A4505">
        <f>Input!A4505</f>
        <v/>
      </c>
      <c r="B4505">
        <f>IF(ISNUMBER(Input!B4505),IF(AND(Input!B4505&gt;=20,Input!B4505&lt;=700),Input!B4505,""),"")</f>
        <v/>
      </c>
      <c r="C4505">
        <f>IF(B4505="","",INT(A4505))</f>
        <v/>
      </c>
      <c r="D4505">
        <f>IF(B4505="","",HOUR(A4505))</f>
        <v/>
      </c>
    </row>
    <row r="4506">
      <c r="A4506">
        <f>Input!A4506</f>
        <v/>
      </c>
      <c r="B4506">
        <f>IF(ISNUMBER(Input!B4506),IF(AND(Input!B4506&gt;=20,Input!B4506&lt;=700),Input!B4506,""),"")</f>
        <v/>
      </c>
      <c r="C4506">
        <f>IF(B4506="","",INT(A4506))</f>
        <v/>
      </c>
      <c r="D4506">
        <f>IF(B4506="","",HOUR(A4506))</f>
        <v/>
      </c>
    </row>
    <row r="4507">
      <c r="A4507">
        <f>Input!A4507</f>
        <v/>
      </c>
      <c r="B4507">
        <f>IF(ISNUMBER(Input!B4507),IF(AND(Input!B4507&gt;=20,Input!B4507&lt;=700),Input!B4507,""),"")</f>
        <v/>
      </c>
      <c r="C4507">
        <f>IF(B4507="","",INT(A4507))</f>
        <v/>
      </c>
      <c r="D4507">
        <f>IF(B4507="","",HOUR(A4507))</f>
        <v/>
      </c>
    </row>
    <row r="4508">
      <c r="A4508">
        <f>Input!A4508</f>
        <v/>
      </c>
      <c r="B4508">
        <f>IF(ISNUMBER(Input!B4508),IF(AND(Input!B4508&gt;=20,Input!B4508&lt;=700),Input!B4508,""),"")</f>
        <v/>
      </c>
      <c r="C4508">
        <f>IF(B4508="","",INT(A4508))</f>
        <v/>
      </c>
      <c r="D4508">
        <f>IF(B4508="","",HOUR(A4508))</f>
        <v/>
      </c>
    </row>
    <row r="4509">
      <c r="A4509">
        <f>Input!A4509</f>
        <v/>
      </c>
      <c r="B4509">
        <f>IF(ISNUMBER(Input!B4509),IF(AND(Input!B4509&gt;=20,Input!B4509&lt;=700),Input!B4509,""),"")</f>
        <v/>
      </c>
      <c r="C4509">
        <f>IF(B4509="","",INT(A4509))</f>
        <v/>
      </c>
      <c r="D4509">
        <f>IF(B4509="","",HOUR(A4509))</f>
        <v/>
      </c>
    </row>
    <row r="4510">
      <c r="A4510">
        <f>Input!A4510</f>
        <v/>
      </c>
      <c r="B4510">
        <f>IF(ISNUMBER(Input!B4510),IF(AND(Input!B4510&gt;=20,Input!B4510&lt;=700),Input!B4510,""),"")</f>
        <v/>
      </c>
      <c r="C4510">
        <f>IF(B4510="","",INT(A4510))</f>
        <v/>
      </c>
      <c r="D4510">
        <f>IF(B4510="","",HOUR(A4510))</f>
        <v/>
      </c>
    </row>
    <row r="4511">
      <c r="A4511">
        <f>Input!A4511</f>
        <v/>
      </c>
      <c r="B4511">
        <f>IF(ISNUMBER(Input!B4511),IF(AND(Input!B4511&gt;=20,Input!B4511&lt;=700),Input!B4511,""),"")</f>
        <v/>
      </c>
      <c r="C4511">
        <f>IF(B4511="","",INT(A4511))</f>
        <v/>
      </c>
      <c r="D4511">
        <f>IF(B4511="","",HOUR(A4511))</f>
        <v/>
      </c>
    </row>
    <row r="4512">
      <c r="A4512">
        <f>Input!A4512</f>
        <v/>
      </c>
      <c r="B4512">
        <f>IF(ISNUMBER(Input!B4512),IF(AND(Input!B4512&gt;=20,Input!B4512&lt;=700),Input!B4512,""),"")</f>
        <v/>
      </c>
      <c r="C4512">
        <f>IF(B4512="","",INT(A4512))</f>
        <v/>
      </c>
      <c r="D4512">
        <f>IF(B4512="","",HOUR(A4512))</f>
        <v/>
      </c>
    </row>
    <row r="4513">
      <c r="A4513">
        <f>Input!A4513</f>
        <v/>
      </c>
      <c r="B4513">
        <f>IF(ISNUMBER(Input!B4513),IF(AND(Input!B4513&gt;=20,Input!B4513&lt;=700),Input!B4513,""),"")</f>
        <v/>
      </c>
      <c r="C4513">
        <f>IF(B4513="","",INT(A4513))</f>
        <v/>
      </c>
      <c r="D4513">
        <f>IF(B4513="","",HOUR(A4513))</f>
        <v/>
      </c>
    </row>
    <row r="4514">
      <c r="A4514">
        <f>Input!A4514</f>
        <v/>
      </c>
      <c r="B4514">
        <f>IF(ISNUMBER(Input!B4514),IF(AND(Input!B4514&gt;=20,Input!B4514&lt;=700),Input!B4514,""),"")</f>
        <v/>
      </c>
      <c r="C4514">
        <f>IF(B4514="","",INT(A4514))</f>
        <v/>
      </c>
      <c r="D4514">
        <f>IF(B4514="","",HOUR(A4514))</f>
        <v/>
      </c>
    </row>
    <row r="4515">
      <c r="A4515">
        <f>Input!A4515</f>
        <v/>
      </c>
      <c r="B4515">
        <f>IF(ISNUMBER(Input!B4515),IF(AND(Input!B4515&gt;=20,Input!B4515&lt;=700),Input!B4515,""),"")</f>
        <v/>
      </c>
      <c r="C4515">
        <f>IF(B4515="","",INT(A4515))</f>
        <v/>
      </c>
      <c r="D4515">
        <f>IF(B4515="","",HOUR(A4515))</f>
        <v/>
      </c>
    </row>
    <row r="4516">
      <c r="A4516">
        <f>Input!A4516</f>
        <v/>
      </c>
      <c r="B4516">
        <f>IF(ISNUMBER(Input!B4516),IF(AND(Input!B4516&gt;=20,Input!B4516&lt;=700),Input!B4516,""),"")</f>
        <v/>
      </c>
      <c r="C4516">
        <f>IF(B4516="","",INT(A4516))</f>
        <v/>
      </c>
      <c r="D4516">
        <f>IF(B4516="","",HOUR(A4516))</f>
        <v/>
      </c>
    </row>
    <row r="4517">
      <c r="A4517">
        <f>Input!A4517</f>
        <v/>
      </c>
      <c r="B4517">
        <f>IF(ISNUMBER(Input!B4517),IF(AND(Input!B4517&gt;=20,Input!B4517&lt;=700),Input!B4517,""),"")</f>
        <v/>
      </c>
      <c r="C4517">
        <f>IF(B4517="","",INT(A4517))</f>
        <v/>
      </c>
      <c r="D4517">
        <f>IF(B4517="","",HOUR(A4517))</f>
        <v/>
      </c>
    </row>
    <row r="4518">
      <c r="A4518">
        <f>Input!A4518</f>
        <v/>
      </c>
      <c r="B4518">
        <f>IF(ISNUMBER(Input!B4518),IF(AND(Input!B4518&gt;=20,Input!B4518&lt;=700),Input!B4518,""),"")</f>
        <v/>
      </c>
      <c r="C4518">
        <f>IF(B4518="","",INT(A4518))</f>
        <v/>
      </c>
      <c r="D4518">
        <f>IF(B4518="","",HOUR(A4518))</f>
        <v/>
      </c>
    </row>
    <row r="4519">
      <c r="A4519">
        <f>Input!A4519</f>
        <v/>
      </c>
      <c r="B4519">
        <f>IF(ISNUMBER(Input!B4519),IF(AND(Input!B4519&gt;=20,Input!B4519&lt;=700),Input!B4519,""),"")</f>
        <v/>
      </c>
      <c r="C4519">
        <f>IF(B4519="","",INT(A4519))</f>
        <v/>
      </c>
      <c r="D4519">
        <f>IF(B4519="","",HOUR(A4519))</f>
        <v/>
      </c>
    </row>
    <row r="4520">
      <c r="A4520">
        <f>Input!A4520</f>
        <v/>
      </c>
      <c r="B4520">
        <f>IF(ISNUMBER(Input!B4520),IF(AND(Input!B4520&gt;=20,Input!B4520&lt;=700),Input!B4520,""),"")</f>
        <v/>
      </c>
      <c r="C4520">
        <f>IF(B4520="","",INT(A4520))</f>
        <v/>
      </c>
      <c r="D4520">
        <f>IF(B4520="","",HOUR(A4520))</f>
        <v/>
      </c>
    </row>
    <row r="4521">
      <c r="A4521">
        <f>Input!A4521</f>
        <v/>
      </c>
      <c r="B4521">
        <f>IF(ISNUMBER(Input!B4521),IF(AND(Input!B4521&gt;=20,Input!B4521&lt;=700),Input!B4521,""),"")</f>
        <v/>
      </c>
      <c r="C4521">
        <f>IF(B4521="","",INT(A4521))</f>
        <v/>
      </c>
      <c r="D4521">
        <f>IF(B4521="","",HOUR(A4521))</f>
        <v/>
      </c>
    </row>
    <row r="4522">
      <c r="A4522">
        <f>Input!A4522</f>
        <v/>
      </c>
      <c r="B4522">
        <f>IF(ISNUMBER(Input!B4522),IF(AND(Input!B4522&gt;=20,Input!B4522&lt;=700),Input!B4522,""),"")</f>
        <v/>
      </c>
      <c r="C4522">
        <f>IF(B4522="","",INT(A4522))</f>
        <v/>
      </c>
      <c r="D4522">
        <f>IF(B4522="","",HOUR(A4522))</f>
        <v/>
      </c>
    </row>
    <row r="4523">
      <c r="A4523">
        <f>Input!A4523</f>
        <v/>
      </c>
      <c r="B4523">
        <f>IF(ISNUMBER(Input!B4523),IF(AND(Input!B4523&gt;=20,Input!B4523&lt;=700),Input!B4523,""),"")</f>
        <v/>
      </c>
      <c r="C4523">
        <f>IF(B4523="","",INT(A4523))</f>
        <v/>
      </c>
      <c r="D4523">
        <f>IF(B4523="","",HOUR(A4523))</f>
        <v/>
      </c>
    </row>
    <row r="4524">
      <c r="A4524">
        <f>Input!A4524</f>
        <v/>
      </c>
      <c r="B4524">
        <f>IF(ISNUMBER(Input!B4524),IF(AND(Input!B4524&gt;=20,Input!B4524&lt;=700),Input!B4524,""),"")</f>
        <v/>
      </c>
      <c r="C4524">
        <f>IF(B4524="","",INT(A4524))</f>
        <v/>
      </c>
      <c r="D4524">
        <f>IF(B4524="","",HOUR(A4524))</f>
        <v/>
      </c>
    </row>
    <row r="4525">
      <c r="A4525">
        <f>Input!A4525</f>
        <v/>
      </c>
      <c r="B4525">
        <f>IF(ISNUMBER(Input!B4525),IF(AND(Input!B4525&gt;=20,Input!B4525&lt;=700),Input!B4525,""),"")</f>
        <v/>
      </c>
      <c r="C4525">
        <f>IF(B4525="","",INT(A4525))</f>
        <v/>
      </c>
      <c r="D4525">
        <f>IF(B4525="","",HOUR(A4525))</f>
        <v/>
      </c>
    </row>
    <row r="4526">
      <c r="A4526">
        <f>Input!A4526</f>
        <v/>
      </c>
      <c r="B4526">
        <f>IF(ISNUMBER(Input!B4526),IF(AND(Input!B4526&gt;=20,Input!B4526&lt;=700),Input!B4526,""),"")</f>
        <v/>
      </c>
      <c r="C4526">
        <f>IF(B4526="","",INT(A4526))</f>
        <v/>
      </c>
      <c r="D4526">
        <f>IF(B4526="","",HOUR(A4526))</f>
        <v/>
      </c>
    </row>
    <row r="4527">
      <c r="A4527">
        <f>Input!A4527</f>
        <v/>
      </c>
      <c r="B4527">
        <f>IF(ISNUMBER(Input!B4527),IF(AND(Input!B4527&gt;=20,Input!B4527&lt;=700),Input!B4527,""),"")</f>
        <v/>
      </c>
      <c r="C4527">
        <f>IF(B4527="","",INT(A4527))</f>
        <v/>
      </c>
      <c r="D4527">
        <f>IF(B4527="","",HOUR(A4527))</f>
        <v/>
      </c>
    </row>
    <row r="4528">
      <c r="A4528">
        <f>Input!A4528</f>
        <v/>
      </c>
      <c r="B4528">
        <f>IF(ISNUMBER(Input!B4528),IF(AND(Input!B4528&gt;=20,Input!B4528&lt;=700),Input!B4528,""),"")</f>
        <v/>
      </c>
      <c r="C4528">
        <f>IF(B4528="","",INT(A4528))</f>
        <v/>
      </c>
      <c r="D4528">
        <f>IF(B4528="","",HOUR(A4528))</f>
        <v/>
      </c>
    </row>
    <row r="4529">
      <c r="A4529">
        <f>Input!A4529</f>
        <v/>
      </c>
      <c r="B4529">
        <f>IF(ISNUMBER(Input!B4529),IF(AND(Input!B4529&gt;=20,Input!B4529&lt;=700),Input!B4529,""),"")</f>
        <v/>
      </c>
      <c r="C4529">
        <f>IF(B4529="","",INT(A4529))</f>
        <v/>
      </c>
      <c r="D4529">
        <f>IF(B4529="","",HOUR(A4529))</f>
        <v/>
      </c>
    </row>
    <row r="4530">
      <c r="A4530">
        <f>Input!A4530</f>
        <v/>
      </c>
      <c r="B4530">
        <f>IF(ISNUMBER(Input!B4530),IF(AND(Input!B4530&gt;=20,Input!B4530&lt;=700),Input!B4530,""),"")</f>
        <v/>
      </c>
      <c r="C4530">
        <f>IF(B4530="","",INT(A4530))</f>
        <v/>
      </c>
      <c r="D4530">
        <f>IF(B4530="","",HOUR(A4530))</f>
        <v/>
      </c>
    </row>
    <row r="4531">
      <c r="A4531">
        <f>Input!A4531</f>
        <v/>
      </c>
      <c r="B4531">
        <f>IF(ISNUMBER(Input!B4531),IF(AND(Input!B4531&gt;=20,Input!B4531&lt;=700),Input!B4531,""),"")</f>
        <v/>
      </c>
      <c r="C4531">
        <f>IF(B4531="","",INT(A4531))</f>
        <v/>
      </c>
      <c r="D4531">
        <f>IF(B4531="","",HOUR(A4531))</f>
        <v/>
      </c>
    </row>
    <row r="4532">
      <c r="A4532">
        <f>Input!A4532</f>
        <v/>
      </c>
      <c r="B4532">
        <f>IF(ISNUMBER(Input!B4532),IF(AND(Input!B4532&gt;=20,Input!B4532&lt;=700),Input!B4532,""),"")</f>
        <v/>
      </c>
      <c r="C4532">
        <f>IF(B4532="","",INT(A4532))</f>
        <v/>
      </c>
      <c r="D4532">
        <f>IF(B4532="","",HOUR(A4532))</f>
        <v/>
      </c>
    </row>
    <row r="4533">
      <c r="A4533">
        <f>Input!A4533</f>
        <v/>
      </c>
      <c r="B4533">
        <f>IF(ISNUMBER(Input!B4533),IF(AND(Input!B4533&gt;=20,Input!B4533&lt;=700),Input!B4533,""),"")</f>
        <v/>
      </c>
      <c r="C4533">
        <f>IF(B4533="","",INT(A4533))</f>
        <v/>
      </c>
      <c r="D4533">
        <f>IF(B4533="","",HOUR(A4533))</f>
        <v/>
      </c>
    </row>
    <row r="4534">
      <c r="A4534">
        <f>Input!A4534</f>
        <v/>
      </c>
      <c r="B4534">
        <f>IF(ISNUMBER(Input!B4534),IF(AND(Input!B4534&gt;=20,Input!B4534&lt;=700),Input!B4534,""),"")</f>
        <v/>
      </c>
      <c r="C4534">
        <f>IF(B4534="","",INT(A4534))</f>
        <v/>
      </c>
      <c r="D4534">
        <f>IF(B4534="","",HOUR(A4534))</f>
        <v/>
      </c>
    </row>
    <row r="4535">
      <c r="A4535">
        <f>Input!A4535</f>
        <v/>
      </c>
      <c r="B4535">
        <f>IF(ISNUMBER(Input!B4535),IF(AND(Input!B4535&gt;=20,Input!B4535&lt;=700),Input!B4535,""),"")</f>
        <v/>
      </c>
      <c r="C4535">
        <f>IF(B4535="","",INT(A4535))</f>
        <v/>
      </c>
      <c r="D4535">
        <f>IF(B4535="","",HOUR(A4535))</f>
        <v/>
      </c>
    </row>
    <row r="4536">
      <c r="A4536">
        <f>Input!A4536</f>
        <v/>
      </c>
      <c r="B4536">
        <f>IF(ISNUMBER(Input!B4536),IF(AND(Input!B4536&gt;=20,Input!B4536&lt;=700),Input!B4536,""),"")</f>
        <v/>
      </c>
      <c r="C4536">
        <f>IF(B4536="","",INT(A4536))</f>
        <v/>
      </c>
      <c r="D4536">
        <f>IF(B4536="","",HOUR(A4536))</f>
        <v/>
      </c>
    </row>
    <row r="4537">
      <c r="A4537">
        <f>Input!A4537</f>
        <v/>
      </c>
      <c r="B4537">
        <f>IF(ISNUMBER(Input!B4537),IF(AND(Input!B4537&gt;=20,Input!B4537&lt;=700),Input!B4537,""),"")</f>
        <v/>
      </c>
      <c r="C4537">
        <f>IF(B4537="","",INT(A4537))</f>
        <v/>
      </c>
      <c r="D4537">
        <f>IF(B4537="","",HOUR(A4537))</f>
        <v/>
      </c>
    </row>
    <row r="4538">
      <c r="A4538">
        <f>Input!A4538</f>
        <v/>
      </c>
      <c r="B4538">
        <f>IF(ISNUMBER(Input!B4538),IF(AND(Input!B4538&gt;=20,Input!B4538&lt;=700),Input!B4538,""),"")</f>
        <v/>
      </c>
      <c r="C4538">
        <f>IF(B4538="","",INT(A4538))</f>
        <v/>
      </c>
      <c r="D4538">
        <f>IF(B4538="","",HOUR(A4538))</f>
        <v/>
      </c>
    </row>
    <row r="4539">
      <c r="A4539">
        <f>Input!A4539</f>
        <v/>
      </c>
      <c r="B4539">
        <f>IF(ISNUMBER(Input!B4539),IF(AND(Input!B4539&gt;=20,Input!B4539&lt;=700),Input!B4539,""),"")</f>
        <v/>
      </c>
      <c r="C4539">
        <f>IF(B4539="","",INT(A4539))</f>
        <v/>
      </c>
      <c r="D4539">
        <f>IF(B4539="","",HOUR(A4539))</f>
        <v/>
      </c>
    </row>
    <row r="4540">
      <c r="A4540">
        <f>Input!A4540</f>
        <v/>
      </c>
      <c r="B4540">
        <f>IF(ISNUMBER(Input!B4540),IF(AND(Input!B4540&gt;=20,Input!B4540&lt;=700),Input!B4540,""),"")</f>
        <v/>
      </c>
      <c r="C4540">
        <f>IF(B4540="","",INT(A4540))</f>
        <v/>
      </c>
      <c r="D4540">
        <f>IF(B4540="","",HOUR(A4540))</f>
        <v/>
      </c>
    </row>
    <row r="4541">
      <c r="A4541">
        <f>Input!A4541</f>
        <v/>
      </c>
      <c r="B4541">
        <f>IF(ISNUMBER(Input!B4541),IF(AND(Input!B4541&gt;=20,Input!B4541&lt;=700),Input!B4541,""),"")</f>
        <v/>
      </c>
      <c r="C4541">
        <f>IF(B4541="","",INT(A4541))</f>
        <v/>
      </c>
      <c r="D4541">
        <f>IF(B4541="","",HOUR(A4541))</f>
        <v/>
      </c>
    </row>
    <row r="4542">
      <c r="A4542">
        <f>Input!A4542</f>
        <v/>
      </c>
      <c r="B4542">
        <f>IF(ISNUMBER(Input!B4542),IF(AND(Input!B4542&gt;=20,Input!B4542&lt;=700),Input!B4542,""),"")</f>
        <v/>
      </c>
      <c r="C4542">
        <f>IF(B4542="","",INT(A4542))</f>
        <v/>
      </c>
      <c r="D4542">
        <f>IF(B4542="","",HOUR(A4542))</f>
        <v/>
      </c>
    </row>
    <row r="4543">
      <c r="A4543">
        <f>Input!A4543</f>
        <v/>
      </c>
      <c r="B4543">
        <f>IF(ISNUMBER(Input!B4543),IF(AND(Input!B4543&gt;=20,Input!B4543&lt;=700),Input!B4543,""),"")</f>
        <v/>
      </c>
      <c r="C4543">
        <f>IF(B4543="","",INT(A4543))</f>
        <v/>
      </c>
      <c r="D4543">
        <f>IF(B4543="","",HOUR(A4543))</f>
        <v/>
      </c>
    </row>
    <row r="4544">
      <c r="A4544">
        <f>Input!A4544</f>
        <v/>
      </c>
      <c r="B4544">
        <f>IF(ISNUMBER(Input!B4544),IF(AND(Input!B4544&gt;=20,Input!B4544&lt;=700),Input!B4544,""),"")</f>
        <v/>
      </c>
      <c r="C4544">
        <f>IF(B4544="","",INT(A4544))</f>
        <v/>
      </c>
      <c r="D4544">
        <f>IF(B4544="","",HOUR(A4544))</f>
        <v/>
      </c>
    </row>
    <row r="4545">
      <c r="A4545">
        <f>Input!A4545</f>
        <v/>
      </c>
      <c r="B4545">
        <f>IF(ISNUMBER(Input!B4545),IF(AND(Input!B4545&gt;=20,Input!B4545&lt;=700),Input!B4545,""),"")</f>
        <v/>
      </c>
      <c r="C4545">
        <f>IF(B4545="","",INT(A4545))</f>
        <v/>
      </c>
      <c r="D4545">
        <f>IF(B4545="","",HOUR(A4545))</f>
        <v/>
      </c>
    </row>
    <row r="4546">
      <c r="A4546">
        <f>Input!A4546</f>
        <v/>
      </c>
      <c r="B4546">
        <f>IF(ISNUMBER(Input!B4546),IF(AND(Input!B4546&gt;=20,Input!B4546&lt;=700),Input!B4546,""),"")</f>
        <v/>
      </c>
      <c r="C4546">
        <f>IF(B4546="","",INT(A4546))</f>
        <v/>
      </c>
      <c r="D4546">
        <f>IF(B4546="","",HOUR(A4546))</f>
        <v/>
      </c>
    </row>
    <row r="4547">
      <c r="A4547">
        <f>Input!A4547</f>
        <v/>
      </c>
      <c r="B4547">
        <f>IF(ISNUMBER(Input!B4547),IF(AND(Input!B4547&gt;=20,Input!B4547&lt;=700),Input!B4547,""),"")</f>
        <v/>
      </c>
      <c r="C4547">
        <f>IF(B4547="","",INT(A4547))</f>
        <v/>
      </c>
      <c r="D4547">
        <f>IF(B4547="","",HOUR(A4547))</f>
        <v/>
      </c>
    </row>
    <row r="4548">
      <c r="A4548">
        <f>Input!A4548</f>
        <v/>
      </c>
      <c r="B4548">
        <f>IF(ISNUMBER(Input!B4548),IF(AND(Input!B4548&gt;=20,Input!B4548&lt;=700),Input!B4548,""),"")</f>
        <v/>
      </c>
      <c r="C4548">
        <f>IF(B4548="","",INT(A4548))</f>
        <v/>
      </c>
      <c r="D4548">
        <f>IF(B4548="","",HOUR(A4548))</f>
        <v/>
      </c>
    </row>
    <row r="4549">
      <c r="A4549">
        <f>Input!A4549</f>
        <v/>
      </c>
      <c r="B4549">
        <f>IF(ISNUMBER(Input!B4549),IF(AND(Input!B4549&gt;=20,Input!B4549&lt;=700),Input!B4549,""),"")</f>
        <v/>
      </c>
      <c r="C4549">
        <f>IF(B4549="","",INT(A4549))</f>
        <v/>
      </c>
      <c r="D4549">
        <f>IF(B4549="","",HOUR(A4549))</f>
        <v/>
      </c>
    </row>
    <row r="4550">
      <c r="A4550">
        <f>Input!A4550</f>
        <v/>
      </c>
      <c r="B4550">
        <f>IF(ISNUMBER(Input!B4550),IF(AND(Input!B4550&gt;=20,Input!B4550&lt;=700),Input!B4550,""),"")</f>
        <v/>
      </c>
      <c r="C4550">
        <f>IF(B4550="","",INT(A4550))</f>
        <v/>
      </c>
      <c r="D4550">
        <f>IF(B4550="","",HOUR(A4550))</f>
        <v/>
      </c>
    </row>
    <row r="4551">
      <c r="A4551">
        <f>Input!A4551</f>
        <v/>
      </c>
      <c r="B4551">
        <f>IF(ISNUMBER(Input!B4551),IF(AND(Input!B4551&gt;=20,Input!B4551&lt;=700),Input!B4551,""),"")</f>
        <v/>
      </c>
      <c r="C4551">
        <f>IF(B4551="","",INT(A4551))</f>
        <v/>
      </c>
      <c r="D4551">
        <f>IF(B4551="","",HOUR(A4551))</f>
        <v/>
      </c>
    </row>
    <row r="4552">
      <c r="A4552">
        <f>Input!A4552</f>
        <v/>
      </c>
      <c r="B4552">
        <f>IF(ISNUMBER(Input!B4552),IF(AND(Input!B4552&gt;=20,Input!B4552&lt;=700),Input!B4552,""),"")</f>
        <v/>
      </c>
      <c r="C4552">
        <f>IF(B4552="","",INT(A4552))</f>
        <v/>
      </c>
      <c r="D4552">
        <f>IF(B4552="","",HOUR(A4552))</f>
        <v/>
      </c>
    </row>
    <row r="4553">
      <c r="A4553">
        <f>Input!A4553</f>
        <v/>
      </c>
      <c r="B4553">
        <f>IF(ISNUMBER(Input!B4553),IF(AND(Input!B4553&gt;=20,Input!B4553&lt;=700),Input!B4553,""),"")</f>
        <v/>
      </c>
      <c r="C4553">
        <f>IF(B4553="","",INT(A4553))</f>
        <v/>
      </c>
      <c r="D4553">
        <f>IF(B4553="","",HOUR(A4553))</f>
        <v/>
      </c>
    </row>
    <row r="4554">
      <c r="A4554">
        <f>Input!A4554</f>
        <v/>
      </c>
      <c r="B4554">
        <f>IF(ISNUMBER(Input!B4554),IF(AND(Input!B4554&gt;=20,Input!B4554&lt;=700),Input!B4554,""),"")</f>
        <v/>
      </c>
      <c r="C4554">
        <f>IF(B4554="","",INT(A4554))</f>
        <v/>
      </c>
      <c r="D4554">
        <f>IF(B4554="","",HOUR(A4554))</f>
        <v/>
      </c>
    </row>
    <row r="4555">
      <c r="A4555">
        <f>Input!A4555</f>
        <v/>
      </c>
      <c r="B4555">
        <f>IF(ISNUMBER(Input!B4555),IF(AND(Input!B4555&gt;=20,Input!B4555&lt;=700),Input!B4555,""),"")</f>
        <v/>
      </c>
      <c r="C4555">
        <f>IF(B4555="","",INT(A4555))</f>
        <v/>
      </c>
      <c r="D4555">
        <f>IF(B4555="","",HOUR(A4555))</f>
        <v/>
      </c>
    </row>
    <row r="4556">
      <c r="A4556">
        <f>Input!A4556</f>
        <v/>
      </c>
      <c r="B4556">
        <f>IF(ISNUMBER(Input!B4556),IF(AND(Input!B4556&gt;=20,Input!B4556&lt;=700),Input!B4556,""),"")</f>
        <v/>
      </c>
      <c r="C4556">
        <f>IF(B4556="","",INT(A4556))</f>
        <v/>
      </c>
      <c r="D4556">
        <f>IF(B4556="","",HOUR(A4556))</f>
        <v/>
      </c>
    </row>
    <row r="4557">
      <c r="A4557">
        <f>Input!A4557</f>
        <v/>
      </c>
      <c r="B4557">
        <f>IF(ISNUMBER(Input!B4557),IF(AND(Input!B4557&gt;=20,Input!B4557&lt;=700),Input!B4557,""),"")</f>
        <v/>
      </c>
      <c r="C4557">
        <f>IF(B4557="","",INT(A4557))</f>
        <v/>
      </c>
      <c r="D4557">
        <f>IF(B4557="","",HOUR(A4557))</f>
        <v/>
      </c>
    </row>
    <row r="4558">
      <c r="A4558">
        <f>Input!A4558</f>
        <v/>
      </c>
      <c r="B4558">
        <f>IF(ISNUMBER(Input!B4558),IF(AND(Input!B4558&gt;=20,Input!B4558&lt;=700),Input!B4558,""),"")</f>
        <v/>
      </c>
      <c r="C4558">
        <f>IF(B4558="","",INT(A4558))</f>
        <v/>
      </c>
      <c r="D4558">
        <f>IF(B4558="","",HOUR(A4558))</f>
        <v/>
      </c>
    </row>
    <row r="4559">
      <c r="A4559">
        <f>Input!A4559</f>
        <v/>
      </c>
      <c r="B4559">
        <f>IF(ISNUMBER(Input!B4559),IF(AND(Input!B4559&gt;=20,Input!B4559&lt;=700),Input!B4559,""),"")</f>
        <v/>
      </c>
      <c r="C4559">
        <f>IF(B4559="","",INT(A4559))</f>
        <v/>
      </c>
      <c r="D4559">
        <f>IF(B4559="","",HOUR(A4559))</f>
        <v/>
      </c>
    </row>
    <row r="4560">
      <c r="A4560">
        <f>Input!A4560</f>
        <v/>
      </c>
      <c r="B4560">
        <f>IF(ISNUMBER(Input!B4560),IF(AND(Input!B4560&gt;=20,Input!B4560&lt;=700),Input!B4560,""),"")</f>
        <v/>
      </c>
      <c r="C4560">
        <f>IF(B4560="","",INT(A4560))</f>
        <v/>
      </c>
      <c r="D4560">
        <f>IF(B4560="","",HOUR(A4560))</f>
        <v/>
      </c>
    </row>
    <row r="4561">
      <c r="A4561">
        <f>Input!A4561</f>
        <v/>
      </c>
      <c r="B4561">
        <f>IF(ISNUMBER(Input!B4561),IF(AND(Input!B4561&gt;=20,Input!B4561&lt;=700),Input!B4561,""),"")</f>
        <v/>
      </c>
      <c r="C4561">
        <f>IF(B4561="","",INT(A4561))</f>
        <v/>
      </c>
      <c r="D4561">
        <f>IF(B4561="","",HOUR(A4561))</f>
        <v/>
      </c>
    </row>
    <row r="4562">
      <c r="A4562">
        <f>Input!A4562</f>
        <v/>
      </c>
      <c r="B4562">
        <f>IF(ISNUMBER(Input!B4562),IF(AND(Input!B4562&gt;=20,Input!B4562&lt;=700),Input!B4562,""),"")</f>
        <v/>
      </c>
      <c r="C4562">
        <f>IF(B4562="","",INT(A4562))</f>
        <v/>
      </c>
      <c r="D4562">
        <f>IF(B4562="","",HOUR(A4562))</f>
        <v/>
      </c>
    </row>
    <row r="4563">
      <c r="A4563">
        <f>Input!A4563</f>
        <v/>
      </c>
      <c r="B4563">
        <f>IF(ISNUMBER(Input!B4563),IF(AND(Input!B4563&gt;=20,Input!B4563&lt;=700),Input!B4563,""),"")</f>
        <v/>
      </c>
      <c r="C4563">
        <f>IF(B4563="","",INT(A4563))</f>
        <v/>
      </c>
      <c r="D4563">
        <f>IF(B4563="","",HOUR(A4563))</f>
        <v/>
      </c>
    </row>
    <row r="4564">
      <c r="A4564">
        <f>Input!A4564</f>
        <v/>
      </c>
      <c r="B4564">
        <f>IF(ISNUMBER(Input!B4564),IF(AND(Input!B4564&gt;=20,Input!B4564&lt;=700),Input!B4564,""),"")</f>
        <v/>
      </c>
      <c r="C4564">
        <f>IF(B4564="","",INT(A4564))</f>
        <v/>
      </c>
      <c r="D4564">
        <f>IF(B4564="","",HOUR(A4564))</f>
        <v/>
      </c>
    </row>
    <row r="4565">
      <c r="A4565">
        <f>Input!A4565</f>
        <v/>
      </c>
      <c r="B4565">
        <f>IF(ISNUMBER(Input!B4565),IF(AND(Input!B4565&gt;=20,Input!B4565&lt;=700),Input!B4565,""),"")</f>
        <v/>
      </c>
      <c r="C4565">
        <f>IF(B4565="","",INT(A4565))</f>
        <v/>
      </c>
      <c r="D4565">
        <f>IF(B4565="","",HOUR(A4565))</f>
        <v/>
      </c>
    </row>
    <row r="4566">
      <c r="A4566">
        <f>Input!A4566</f>
        <v/>
      </c>
      <c r="B4566">
        <f>IF(ISNUMBER(Input!B4566),IF(AND(Input!B4566&gt;=20,Input!B4566&lt;=700),Input!B4566,""),"")</f>
        <v/>
      </c>
      <c r="C4566">
        <f>IF(B4566="","",INT(A4566))</f>
        <v/>
      </c>
      <c r="D4566">
        <f>IF(B4566="","",HOUR(A4566))</f>
        <v/>
      </c>
    </row>
    <row r="4567">
      <c r="A4567">
        <f>Input!A4567</f>
        <v/>
      </c>
      <c r="B4567">
        <f>IF(ISNUMBER(Input!B4567),IF(AND(Input!B4567&gt;=20,Input!B4567&lt;=700),Input!B4567,""),"")</f>
        <v/>
      </c>
      <c r="C4567">
        <f>IF(B4567="","",INT(A4567))</f>
        <v/>
      </c>
      <c r="D4567">
        <f>IF(B4567="","",HOUR(A4567))</f>
        <v/>
      </c>
    </row>
    <row r="4568">
      <c r="A4568">
        <f>Input!A4568</f>
        <v/>
      </c>
      <c r="B4568">
        <f>IF(ISNUMBER(Input!B4568),IF(AND(Input!B4568&gt;=20,Input!B4568&lt;=700),Input!B4568,""),"")</f>
        <v/>
      </c>
      <c r="C4568">
        <f>IF(B4568="","",INT(A4568))</f>
        <v/>
      </c>
      <c r="D4568">
        <f>IF(B4568="","",HOUR(A4568))</f>
        <v/>
      </c>
    </row>
    <row r="4569">
      <c r="A4569">
        <f>Input!A4569</f>
        <v/>
      </c>
      <c r="B4569">
        <f>IF(ISNUMBER(Input!B4569),IF(AND(Input!B4569&gt;=20,Input!B4569&lt;=700),Input!B4569,""),"")</f>
        <v/>
      </c>
      <c r="C4569">
        <f>IF(B4569="","",INT(A4569))</f>
        <v/>
      </c>
      <c r="D4569">
        <f>IF(B4569="","",HOUR(A4569))</f>
        <v/>
      </c>
    </row>
    <row r="4570">
      <c r="A4570">
        <f>Input!A4570</f>
        <v/>
      </c>
      <c r="B4570">
        <f>IF(ISNUMBER(Input!B4570),IF(AND(Input!B4570&gt;=20,Input!B4570&lt;=700),Input!B4570,""),"")</f>
        <v/>
      </c>
      <c r="C4570">
        <f>IF(B4570="","",INT(A4570))</f>
        <v/>
      </c>
      <c r="D4570">
        <f>IF(B4570="","",HOUR(A4570))</f>
        <v/>
      </c>
    </row>
    <row r="4571">
      <c r="A4571">
        <f>Input!A4571</f>
        <v/>
      </c>
      <c r="B4571">
        <f>IF(ISNUMBER(Input!B4571),IF(AND(Input!B4571&gt;=20,Input!B4571&lt;=700),Input!B4571,""),"")</f>
        <v/>
      </c>
      <c r="C4571">
        <f>IF(B4571="","",INT(A4571))</f>
        <v/>
      </c>
      <c r="D4571">
        <f>IF(B4571="","",HOUR(A4571))</f>
        <v/>
      </c>
    </row>
    <row r="4572">
      <c r="A4572">
        <f>Input!A4572</f>
        <v/>
      </c>
      <c r="B4572">
        <f>IF(ISNUMBER(Input!B4572),IF(AND(Input!B4572&gt;=20,Input!B4572&lt;=700),Input!B4572,""),"")</f>
        <v/>
      </c>
      <c r="C4572">
        <f>IF(B4572="","",INT(A4572))</f>
        <v/>
      </c>
      <c r="D4572">
        <f>IF(B4572="","",HOUR(A4572))</f>
        <v/>
      </c>
    </row>
    <row r="4573">
      <c r="A4573">
        <f>Input!A4573</f>
        <v/>
      </c>
      <c r="B4573">
        <f>IF(ISNUMBER(Input!B4573),IF(AND(Input!B4573&gt;=20,Input!B4573&lt;=700),Input!B4573,""),"")</f>
        <v/>
      </c>
      <c r="C4573">
        <f>IF(B4573="","",INT(A4573))</f>
        <v/>
      </c>
      <c r="D4573">
        <f>IF(B4573="","",HOUR(A4573))</f>
        <v/>
      </c>
    </row>
    <row r="4574">
      <c r="A4574">
        <f>Input!A4574</f>
        <v/>
      </c>
      <c r="B4574">
        <f>IF(ISNUMBER(Input!B4574),IF(AND(Input!B4574&gt;=20,Input!B4574&lt;=700),Input!B4574,""),"")</f>
        <v/>
      </c>
      <c r="C4574">
        <f>IF(B4574="","",INT(A4574))</f>
        <v/>
      </c>
      <c r="D4574">
        <f>IF(B4574="","",HOUR(A4574))</f>
        <v/>
      </c>
    </row>
    <row r="4575">
      <c r="A4575">
        <f>Input!A4575</f>
        <v/>
      </c>
      <c r="B4575">
        <f>IF(ISNUMBER(Input!B4575),IF(AND(Input!B4575&gt;=20,Input!B4575&lt;=700),Input!B4575,""),"")</f>
        <v/>
      </c>
      <c r="C4575">
        <f>IF(B4575="","",INT(A4575))</f>
        <v/>
      </c>
      <c r="D4575">
        <f>IF(B4575="","",HOUR(A4575))</f>
        <v/>
      </c>
    </row>
    <row r="4576">
      <c r="A4576">
        <f>Input!A4576</f>
        <v/>
      </c>
      <c r="B4576">
        <f>IF(ISNUMBER(Input!B4576),IF(AND(Input!B4576&gt;=20,Input!B4576&lt;=700),Input!B4576,""),"")</f>
        <v/>
      </c>
      <c r="C4576">
        <f>IF(B4576="","",INT(A4576))</f>
        <v/>
      </c>
      <c r="D4576">
        <f>IF(B4576="","",HOUR(A4576))</f>
        <v/>
      </c>
    </row>
    <row r="4577">
      <c r="A4577">
        <f>Input!A4577</f>
        <v/>
      </c>
      <c r="B4577">
        <f>IF(ISNUMBER(Input!B4577),IF(AND(Input!B4577&gt;=20,Input!B4577&lt;=700),Input!B4577,""),"")</f>
        <v/>
      </c>
      <c r="C4577">
        <f>IF(B4577="","",INT(A4577))</f>
        <v/>
      </c>
      <c r="D4577">
        <f>IF(B4577="","",HOUR(A4577))</f>
        <v/>
      </c>
    </row>
    <row r="4578">
      <c r="A4578">
        <f>Input!A4578</f>
        <v/>
      </c>
      <c r="B4578">
        <f>IF(ISNUMBER(Input!B4578),IF(AND(Input!B4578&gt;=20,Input!B4578&lt;=700),Input!B4578,""),"")</f>
        <v/>
      </c>
      <c r="C4578">
        <f>IF(B4578="","",INT(A4578))</f>
        <v/>
      </c>
      <c r="D4578">
        <f>IF(B4578="","",HOUR(A4578))</f>
        <v/>
      </c>
    </row>
    <row r="4579">
      <c r="A4579">
        <f>Input!A4579</f>
        <v/>
      </c>
      <c r="B4579">
        <f>IF(ISNUMBER(Input!B4579),IF(AND(Input!B4579&gt;=20,Input!B4579&lt;=700),Input!B4579,""),"")</f>
        <v/>
      </c>
      <c r="C4579">
        <f>IF(B4579="","",INT(A4579))</f>
        <v/>
      </c>
      <c r="D4579">
        <f>IF(B4579="","",HOUR(A4579))</f>
        <v/>
      </c>
    </row>
    <row r="4580">
      <c r="A4580">
        <f>Input!A4580</f>
        <v/>
      </c>
      <c r="B4580">
        <f>IF(ISNUMBER(Input!B4580),IF(AND(Input!B4580&gt;=20,Input!B4580&lt;=700),Input!B4580,""),"")</f>
        <v/>
      </c>
      <c r="C4580">
        <f>IF(B4580="","",INT(A4580))</f>
        <v/>
      </c>
      <c r="D4580">
        <f>IF(B4580="","",HOUR(A4580))</f>
        <v/>
      </c>
    </row>
    <row r="4581">
      <c r="A4581">
        <f>Input!A4581</f>
        <v/>
      </c>
      <c r="B4581">
        <f>IF(ISNUMBER(Input!B4581),IF(AND(Input!B4581&gt;=20,Input!B4581&lt;=700),Input!B4581,""),"")</f>
        <v/>
      </c>
      <c r="C4581">
        <f>IF(B4581="","",INT(A4581))</f>
        <v/>
      </c>
      <c r="D4581">
        <f>IF(B4581="","",HOUR(A4581))</f>
        <v/>
      </c>
    </row>
    <row r="4582">
      <c r="A4582">
        <f>Input!A4582</f>
        <v/>
      </c>
      <c r="B4582">
        <f>IF(ISNUMBER(Input!B4582),IF(AND(Input!B4582&gt;=20,Input!B4582&lt;=700),Input!B4582,""),"")</f>
        <v/>
      </c>
      <c r="C4582">
        <f>IF(B4582="","",INT(A4582))</f>
        <v/>
      </c>
      <c r="D4582">
        <f>IF(B4582="","",HOUR(A4582))</f>
        <v/>
      </c>
    </row>
    <row r="4583">
      <c r="A4583">
        <f>Input!A4583</f>
        <v/>
      </c>
      <c r="B4583">
        <f>IF(ISNUMBER(Input!B4583),IF(AND(Input!B4583&gt;=20,Input!B4583&lt;=700),Input!B4583,""),"")</f>
        <v/>
      </c>
      <c r="C4583">
        <f>IF(B4583="","",INT(A4583))</f>
        <v/>
      </c>
      <c r="D4583">
        <f>IF(B4583="","",HOUR(A4583))</f>
        <v/>
      </c>
    </row>
    <row r="4584">
      <c r="A4584">
        <f>Input!A4584</f>
        <v/>
      </c>
      <c r="B4584">
        <f>IF(ISNUMBER(Input!B4584),IF(AND(Input!B4584&gt;=20,Input!B4584&lt;=700),Input!B4584,""),"")</f>
        <v/>
      </c>
      <c r="C4584">
        <f>IF(B4584="","",INT(A4584))</f>
        <v/>
      </c>
      <c r="D4584">
        <f>IF(B4584="","",HOUR(A4584))</f>
        <v/>
      </c>
    </row>
    <row r="4585">
      <c r="A4585">
        <f>Input!A4585</f>
        <v/>
      </c>
      <c r="B4585">
        <f>IF(ISNUMBER(Input!B4585),IF(AND(Input!B4585&gt;=20,Input!B4585&lt;=700),Input!B4585,""),"")</f>
        <v/>
      </c>
      <c r="C4585">
        <f>IF(B4585="","",INT(A4585))</f>
        <v/>
      </c>
      <c r="D4585">
        <f>IF(B4585="","",HOUR(A4585))</f>
        <v/>
      </c>
    </row>
    <row r="4586">
      <c r="A4586">
        <f>Input!A4586</f>
        <v/>
      </c>
      <c r="B4586">
        <f>IF(ISNUMBER(Input!B4586),IF(AND(Input!B4586&gt;=20,Input!B4586&lt;=700),Input!B4586,""),"")</f>
        <v/>
      </c>
      <c r="C4586">
        <f>IF(B4586="","",INT(A4586))</f>
        <v/>
      </c>
      <c r="D4586">
        <f>IF(B4586="","",HOUR(A4586))</f>
        <v/>
      </c>
    </row>
    <row r="4587">
      <c r="A4587">
        <f>Input!A4587</f>
        <v/>
      </c>
      <c r="B4587">
        <f>IF(ISNUMBER(Input!B4587),IF(AND(Input!B4587&gt;=20,Input!B4587&lt;=700),Input!B4587,""),"")</f>
        <v/>
      </c>
      <c r="C4587">
        <f>IF(B4587="","",INT(A4587))</f>
        <v/>
      </c>
      <c r="D4587">
        <f>IF(B4587="","",HOUR(A4587))</f>
        <v/>
      </c>
    </row>
    <row r="4588">
      <c r="A4588">
        <f>Input!A4588</f>
        <v/>
      </c>
      <c r="B4588">
        <f>IF(ISNUMBER(Input!B4588),IF(AND(Input!B4588&gt;=20,Input!B4588&lt;=700),Input!B4588,""),"")</f>
        <v/>
      </c>
      <c r="C4588">
        <f>IF(B4588="","",INT(A4588))</f>
        <v/>
      </c>
      <c r="D4588">
        <f>IF(B4588="","",HOUR(A4588))</f>
        <v/>
      </c>
    </row>
    <row r="4589">
      <c r="A4589">
        <f>Input!A4589</f>
        <v/>
      </c>
      <c r="B4589">
        <f>IF(ISNUMBER(Input!B4589),IF(AND(Input!B4589&gt;=20,Input!B4589&lt;=700),Input!B4589,""),"")</f>
        <v/>
      </c>
      <c r="C4589">
        <f>IF(B4589="","",INT(A4589))</f>
        <v/>
      </c>
      <c r="D4589">
        <f>IF(B4589="","",HOUR(A4589))</f>
        <v/>
      </c>
    </row>
    <row r="4590">
      <c r="A4590">
        <f>Input!A4590</f>
        <v/>
      </c>
      <c r="B4590">
        <f>IF(ISNUMBER(Input!B4590),IF(AND(Input!B4590&gt;=20,Input!B4590&lt;=700),Input!B4590,""),"")</f>
        <v/>
      </c>
      <c r="C4590">
        <f>IF(B4590="","",INT(A4590))</f>
        <v/>
      </c>
      <c r="D4590">
        <f>IF(B4590="","",HOUR(A4590))</f>
        <v/>
      </c>
    </row>
    <row r="4591">
      <c r="A4591">
        <f>Input!A4591</f>
        <v/>
      </c>
      <c r="B4591">
        <f>IF(ISNUMBER(Input!B4591),IF(AND(Input!B4591&gt;=20,Input!B4591&lt;=700),Input!B4591,""),"")</f>
        <v/>
      </c>
      <c r="C4591">
        <f>IF(B4591="","",INT(A4591))</f>
        <v/>
      </c>
      <c r="D4591">
        <f>IF(B4591="","",HOUR(A4591))</f>
        <v/>
      </c>
    </row>
    <row r="4592">
      <c r="A4592">
        <f>Input!A4592</f>
        <v/>
      </c>
      <c r="B4592">
        <f>IF(ISNUMBER(Input!B4592),IF(AND(Input!B4592&gt;=20,Input!B4592&lt;=700),Input!B4592,""),"")</f>
        <v/>
      </c>
      <c r="C4592">
        <f>IF(B4592="","",INT(A4592))</f>
        <v/>
      </c>
      <c r="D4592">
        <f>IF(B4592="","",HOUR(A4592))</f>
        <v/>
      </c>
    </row>
    <row r="4593">
      <c r="A4593">
        <f>Input!A4593</f>
        <v/>
      </c>
      <c r="B4593">
        <f>IF(ISNUMBER(Input!B4593),IF(AND(Input!B4593&gt;=20,Input!B4593&lt;=700),Input!B4593,""),"")</f>
        <v/>
      </c>
      <c r="C4593">
        <f>IF(B4593="","",INT(A4593))</f>
        <v/>
      </c>
      <c r="D4593">
        <f>IF(B4593="","",HOUR(A4593))</f>
        <v/>
      </c>
    </row>
    <row r="4594">
      <c r="A4594">
        <f>Input!A4594</f>
        <v/>
      </c>
      <c r="B4594">
        <f>IF(ISNUMBER(Input!B4594),IF(AND(Input!B4594&gt;=20,Input!B4594&lt;=700),Input!B4594,""),"")</f>
        <v/>
      </c>
      <c r="C4594">
        <f>IF(B4594="","",INT(A4594))</f>
        <v/>
      </c>
      <c r="D4594">
        <f>IF(B4594="","",HOUR(A4594))</f>
        <v/>
      </c>
    </row>
    <row r="4595">
      <c r="A4595">
        <f>Input!A4595</f>
        <v/>
      </c>
      <c r="B4595">
        <f>IF(ISNUMBER(Input!B4595),IF(AND(Input!B4595&gt;=20,Input!B4595&lt;=700),Input!B4595,""),"")</f>
        <v/>
      </c>
      <c r="C4595">
        <f>IF(B4595="","",INT(A4595))</f>
        <v/>
      </c>
      <c r="D4595">
        <f>IF(B4595="","",HOUR(A4595))</f>
        <v/>
      </c>
    </row>
    <row r="4596">
      <c r="A4596">
        <f>Input!A4596</f>
        <v/>
      </c>
      <c r="B4596">
        <f>IF(ISNUMBER(Input!B4596),IF(AND(Input!B4596&gt;=20,Input!B4596&lt;=700),Input!B4596,""),"")</f>
        <v/>
      </c>
      <c r="C4596">
        <f>IF(B4596="","",INT(A4596))</f>
        <v/>
      </c>
      <c r="D4596">
        <f>IF(B4596="","",HOUR(A4596))</f>
        <v/>
      </c>
    </row>
    <row r="4597">
      <c r="A4597">
        <f>Input!A4597</f>
        <v/>
      </c>
      <c r="B4597">
        <f>IF(ISNUMBER(Input!B4597),IF(AND(Input!B4597&gt;=20,Input!B4597&lt;=700),Input!B4597,""),"")</f>
        <v/>
      </c>
      <c r="C4597">
        <f>IF(B4597="","",INT(A4597))</f>
        <v/>
      </c>
      <c r="D4597">
        <f>IF(B4597="","",HOUR(A4597))</f>
        <v/>
      </c>
    </row>
    <row r="4598">
      <c r="A4598">
        <f>Input!A4598</f>
        <v/>
      </c>
      <c r="B4598">
        <f>IF(ISNUMBER(Input!B4598),IF(AND(Input!B4598&gt;=20,Input!B4598&lt;=700),Input!B4598,""),"")</f>
        <v/>
      </c>
      <c r="C4598">
        <f>IF(B4598="","",INT(A4598))</f>
        <v/>
      </c>
      <c r="D4598">
        <f>IF(B4598="","",HOUR(A4598))</f>
        <v/>
      </c>
    </row>
    <row r="4599">
      <c r="A4599">
        <f>Input!A4599</f>
        <v/>
      </c>
      <c r="B4599">
        <f>IF(ISNUMBER(Input!B4599),IF(AND(Input!B4599&gt;=20,Input!B4599&lt;=700),Input!B4599,""),"")</f>
        <v/>
      </c>
      <c r="C4599">
        <f>IF(B4599="","",INT(A4599))</f>
        <v/>
      </c>
      <c r="D4599">
        <f>IF(B4599="","",HOUR(A4599))</f>
        <v/>
      </c>
    </row>
    <row r="4600">
      <c r="A4600">
        <f>Input!A4600</f>
        <v/>
      </c>
      <c r="B4600">
        <f>IF(ISNUMBER(Input!B4600),IF(AND(Input!B4600&gt;=20,Input!B4600&lt;=700),Input!B4600,""),"")</f>
        <v/>
      </c>
      <c r="C4600">
        <f>IF(B4600="","",INT(A4600))</f>
        <v/>
      </c>
      <c r="D4600">
        <f>IF(B4600="","",HOUR(A4600))</f>
        <v/>
      </c>
    </row>
    <row r="4601">
      <c r="A4601">
        <f>Input!A4601</f>
        <v/>
      </c>
      <c r="B4601">
        <f>IF(ISNUMBER(Input!B4601),IF(AND(Input!B4601&gt;=20,Input!B4601&lt;=700),Input!B4601,""),"")</f>
        <v/>
      </c>
      <c r="C4601">
        <f>IF(B4601="","",INT(A4601))</f>
        <v/>
      </c>
      <c r="D4601">
        <f>IF(B4601="","",HOUR(A4601))</f>
        <v/>
      </c>
    </row>
    <row r="4602">
      <c r="A4602">
        <f>Input!A4602</f>
        <v/>
      </c>
      <c r="B4602">
        <f>IF(ISNUMBER(Input!B4602),IF(AND(Input!B4602&gt;=20,Input!B4602&lt;=700),Input!B4602,""),"")</f>
        <v/>
      </c>
      <c r="C4602">
        <f>IF(B4602="","",INT(A4602))</f>
        <v/>
      </c>
      <c r="D4602">
        <f>IF(B4602="","",HOUR(A4602))</f>
        <v/>
      </c>
    </row>
    <row r="4603">
      <c r="A4603">
        <f>Input!A4603</f>
        <v/>
      </c>
      <c r="B4603">
        <f>IF(ISNUMBER(Input!B4603),IF(AND(Input!B4603&gt;=20,Input!B4603&lt;=700),Input!B4603,""),"")</f>
        <v/>
      </c>
      <c r="C4603">
        <f>IF(B4603="","",INT(A4603))</f>
        <v/>
      </c>
      <c r="D4603">
        <f>IF(B4603="","",HOUR(A4603))</f>
        <v/>
      </c>
    </row>
    <row r="4604">
      <c r="A4604">
        <f>Input!A4604</f>
        <v/>
      </c>
      <c r="B4604">
        <f>IF(ISNUMBER(Input!B4604),IF(AND(Input!B4604&gt;=20,Input!B4604&lt;=700),Input!B4604,""),"")</f>
        <v/>
      </c>
      <c r="C4604">
        <f>IF(B4604="","",INT(A4604))</f>
        <v/>
      </c>
      <c r="D4604">
        <f>IF(B4604="","",HOUR(A4604))</f>
        <v/>
      </c>
    </row>
    <row r="4605">
      <c r="A4605">
        <f>Input!A4605</f>
        <v/>
      </c>
      <c r="B4605">
        <f>IF(ISNUMBER(Input!B4605),IF(AND(Input!B4605&gt;=20,Input!B4605&lt;=700),Input!B4605,""),"")</f>
        <v/>
      </c>
      <c r="C4605">
        <f>IF(B4605="","",INT(A4605))</f>
        <v/>
      </c>
      <c r="D4605">
        <f>IF(B4605="","",HOUR(A4605))</f>
        <v/>
      </c>
    </row>
    <row r="4606">
      <c r="A4606">
        <f>Input!A4606</f>
        <v/>
      </c>
      <c r="B4606">
        <f>IF(ISNUMBER(Input!B4606),IF(AND(Input!B4606&gt;=20,Input!B4606&lt;=700),Input!B4606,""),"")</f>
        <v/>
      </c>
      <c r="C4606">
        <f>IF(B4606="","",INT(A4606))</f>
        <v/>
      </c>
      <c r="D4606">
        <f>IF(B4606="","",HOUR(A4606))</f>
        <v/>
      </c>
    </row>
    <row r="4607">
      <c r="A4607">
        <f>Input!A4607</f>
        <v/>
      </c>
      <c r="B4607">
        <f>IF(ISNUMBER(Input!B4607),IF(AND(Input!B4607&gt;=20,Input!B4607&lt;=700),Input!B4607,""),"")</f>
        <v/>
      </c>
      <c r="C4607">
        <f>IF(B4607="","",INT(A4607))</f>
        <v/>
      </c>
      <c r="D4607">
        <f>IF(B4607="","",HOUR(A4607))</f>
        <v/>
      </c>
    </row>
    <row r="4608">
      <c r="A4608">
        <f>Input!A4608</f>
        <v/>
      </c>
      <c r="B4608">
        <f>IF(ISNUMBER(Input!B4608),IF(AND(Input!B4608&gt;=20,Input!B4608&lt;=700),Input!B4608,""),"")</f>
        <v/>
      </c>
      <c r="C4608">
        <f>IF(B4608="","",INT(A4608))</f>
        <v/>
      </c>
      <c r="D4608">
        <f>IF(B4608="","",HOUR(A4608))</f>
        <v/>
      </c>
    </row>
    <row r="4609">
      <c r="A4609">
        <f>Input!A4609</f>
        <v/>
      </c>
      <c r="B4609">
        <f>IF(ISNUMBER(Input!B4609),IF(AND(Input!B4609&gt;=20,Input!B4609&lt;=700),Input!B4609,""),"")</f>
        <v/>
      </c>
      <c r="C4609">
        <f>IF(B4609="","",INT(A4609))</f>
        <v/>
      </c>
      <c r="D4609">
        <f>IF(B4609="","",HOUR(A4609))</f>
        <v/>
      </c>
    </row>
    <row r="4610">
      <c r="A4610">
        <f>Input!A4610</f>
        <v/>
      </c>
      <c r="B4610">
        <f>IF(ISNUMBER(Input!B4610),IF(AND(Input!B4610&gt;=20,Input!B4610&lt;=700),Input!B4610,""),"")</f>
        <v/>
      </c>
      <c r="C4610">
        <f>IF(B4610="","",INT(A4610))</f>
        <v/>
      </c>
      <c r="D4610">
        <f>IF(B4610="","",HOUR(A4610))</f>
        <v/>
      </c>
    </row>
    <row r="4611">
      <c r="A4611">
        <f>Input!A4611</f>
        <v/>
      </c>
      <c r="B4611">
        <f>IF(ISNUMBER(Input!B4611),IF(AND(Input!B4611&gt;=20,Input!B4611&lt;=700),Input!B4611,""),"")</f>
        <v/>
      </c>
      <c r="C4611">
        <f>IF(B4611="","",INT(A4611))</f>
        <v/>
      </c>
      <c r="D4611">
        <f>IF(B4611="","",HOUR(A4611))</f>
        <v/>
      </c>
    </row>
    <row r="4612">
      <c r="A4612">
        <f>Input!A4612</f>
        <v/>
      </c>
      <c r="B4612">
        <f>IF(ISNUMBER(Input!B4612),IF(AND(Input!B4612&gt;=20,Input!B4612&lt;=700),Input!B4612,""),"")</f>
        <v/>
      </c>
      <c r="C4612">
        <f>IF(B4612="","",INT(A4612))</f>
        <v/>
      </c>
      <c r="D4612">
        <f>IF(B4612="","",HOUR(A4612))</f>
        <v/>
      </c>
    </row>
    <row r="4613">
      <c r="A4613">
        <f>Input!A4613</f>
        <v/>
      </c>
      <c r="B4613">
        <f>IF(ISNUMBER(Input!B4613),IF(AND(Input!B4613&gt;=20,Input!B4613&lt;=700),Input!B4613,""),"")</f>
        <v/>
      </c>
      <c r="C4613">
        <f>IF(B4613="","",INT(A4613))</f>
        <v/>
      </c>
      <c r="D4613">
        <f>IF(B4613="","",HOUR(A4613))</f>
        <v/>
      </c>
    </row>
    <row r="4614">
      <c r="A4614">
        <f>Input!A4614</f>
        <v/>
      </c>
      <c r="B4614">
        <f>IF(ISNUMBER(Input!B4614),IF(AND(Input!B4614&gt;=20,Input!B4614&lt;=700),Input!B4614,""),"")</f>
        <v/>
      </c>
      <c r="C4614">
        <f>IF(B4614="","",INT(A4614))</f>
        <v/>
      </c>
      <c r="D4614">
        <f>IF(B4614="","",HOUR(A4614))</f>
        <v/>
      </c>
    </row>
    <row r="4615">
      <c r="A4615">
        <f>Input!A4615</f>
        <v/>
      </c>
      <c r="B4615">
        <f>IF(ISNUMBER(Input!B4615),IF(AND(Input!B4615&gt;=20,Input!B4615&lt;=700),Input!B4615,""),"")</f>
        <v/>
      </c>
      <c r="C4615">
        <f>IF(B4615="","",INT(A4615))</f>
        <v/>
      </c>
      <c r="D4615">
        <f>IF(B4615="","",HOUR(A4615))</f>
        <v/>
      </c>
    </row>
    <row r="4616">
      <c r="A4616">
        <f>Input!A4616</f>
        <v/>
      </c>
      <c r="B4616">
        <f>IF(ISNUMBER(Input!B4616),IF(AND(Input!B4616&gt;=20,Input!B4616&lt;=700),Input!B4616,""),"")</f>
        <v/>
      </c>
      <c r="C4616">
        <f>IF(B4616="","",INT(A4616))</f>
        <v/>
      </c>
      <c r="D4616">
        <f>IF(B4616="","",HOUR(A4616))</f>
        <v/>
      </c>
    </row>
    <row r="4617">
      <c r="A4617">
        <f>Input!A4617</f>
        <v/>
      </c>
      <c r="B4617">
        <f>IF(ISNUMBER(Input!B4617),IF(AND(Input!B4617&gt;=20,Input!B4617&lt;=700),Input!B4617,""),"")</f>
        <v/>
      </c>
      <c r="C4617">
        <f>IF(B4617="","",INT(A4617))</f>
        <v/>
      </c>
      <c r="D4617">
        <f>IF(B4617="","",HOUR(A4617))</f>
        <v/>
      </c>
    </row>
    <row r="4618">
      <c r="A4618">
        <f>Input!A4618</f>
        <v/>
      </c>
      <c r="B4618">
        <f>IF(ISNUMBER(Input!B4618),IF(AND(Input!B4618&gt;=20,Input!B4618&lt;=700),Input!B4618,""),"")</f>
        <v/>
      </c>
      <c r="C4618">
        <f>IF(B4618="","",INT(A4618))</f>
        <v/>
      </c>
      <c r="D4618">
        <f>IF(B4618="","",HOUR(A4618))</f>
        <v/>
      </c>
    </row>
    <row r="4619">
      <c r="A4619">
        <f>Input!A4619</f>
        <v/>
      </c>
      <c r="B4619">
        <f>IF(ISNUMBER(Input!B4619),IF(AND(Input!B4619&gt;=20,Input!B4619&lt;=700),Input!B4619,""),"")</f>
        <v/>
      </c>
      <c r="C4619">
        <f>IF(B4619="","",INT(A4619))</f>
        <v/>
      </c>
      <c r="D4619">
        <f>IF(B4619="","",HOUR(A4619))</f>
        <v/>
      </c>
    </row>
    <row r="4620">
      <c r="A4620">
        <f>Input!A4620</f>
        <v/>
      </c>
      <c r="B4620">
        <f>IF(ISNUMBER(Input!B4620),IF(AND(Input!B4620&gt;=20,Input!B4620&lt;=700),Input!B4620,""),"")</f>
        <v/>
      </c>
      <c r="C4620">
        <f>IF(B4620="","",INT(A4620))</f>
        <v/>
      </c>
      <c r="D4620">
        <f>IF(B4620="","",HOUR(A4620))</f>
        <v/>
      </c>
    </row>
    <row r="4621">
      <c r="A4621">
        <f>Input!A4621</f>
        <v/>
      </c>
      <c r="B4621">
        <f>IF(ISNUMBER(Input!B4621),IF(AND(Input!B4621&gt;=20,Input!B4621&lt;=700),Input!B4621,""),"")</f>
        <v/>
      </c>
      <c r="C4621">
        <f>IF(B4621="","",INT(A4621))</f>
        <v/>
      </c>
      <c r="D4621">
        <f>IF(B4621="","",HOUR(A4621))</f>
        <v/>
      </c>
    </row>
    <row r="4622">
      <c r="A4622">
        <f>Input!A4622</f>
        <v/>
      </c>
      <c r="B4622">
        <f>IF(ISNUMBER(Input!B4622),IF(AND(Input!B4622&gt;=20,Input!B4622&lt;=700),Input!B4622,""),"")</f>
        <v/>
      </c>
      <c r="C4622">
        <f>IF(B4622="","",INT(A4622))</f>
        <v/>
      </c>
      <c r="D4622">
        <f>IF(B4622="","",HOUR(A4622))</f>
        <v/>
      </c>
    </row>
    <row r="4623">
      <c r="A4623">
        <f>Input!A4623</f>
        <v/>
      </c>
      <c r="B4623">
        <f>IF(ISNUMBER(Input!B4623),IF(AND(Input!B4623&gt;=20,Input!B4623&lt;=700),Input!B4623,""),"")</f>
        <v/>
      </c>
      <c r="C4623">
        <f>IF(B4623="","",INT(A4623))</f>
        <v/>
      </c>
      <c r="D4623">
        <f>IF(B4623="","",HOUR(A4623))</f>
        <v/>
      </c>
    </row>
    <row r="4624">
      <c r="A4624">
        <f>Input!A4624</f>
        <v/>
      </c>
      <c r="B4624">
        <f>IF(ISNUMBER(Input!B4624),IF(AND(Input!B4624&gt;=20,Input!B4624&lt;=700),Input!B4624,""),"")</f>
        <v/>
      </c>
      <c r="C4624">
        <f>IF(B4624="","",INT(A4624))</f>
        <v/>
      </c>
      <c r="D4624">
        <f>IF(B4624="","",HOUR(A4624))</f>
        <v/>
      </c>
    </row>
    <row r="4625">
      <c r="A4625">
        <f>Input!A4625</f>
        <v/>
      </c>
      <c r="B4625">
        <f>IF(ISNUMBER(Input!B4625),IF(AND(Input!B4625&gt;=20,Input!B4625&lt;=700),Input!B4625,""),"")</f>
        <v/>
      </c>
      <c r="C4625">
        <f>IF(B4625="","",INT(A4625))</f>
        <v/>
      </c>
      <c r="D4625">
        <f>IF(B4625="","",HOUR(A4625))</f>
        <v/>
      </c>
    </row>
    <row r="4626">
      <c r="A4626">
        <f>Input!A4626</f>
        <v/>
      </c>
      <c r="B4626">
        <f>IF(ISNUMBER(Input!B4626),IF(AND(Input!B4626&gt;=20,Input!B4626&lt;=700),Input!B4626,""),"")</f>
        <v/>
      </c>
      <c r="C4626">
        <f>IF(B4626="","",INT(A4626))</f>
        <v/>
      </c>
      <c r="D4626">
        <f>IF(B4626="","",HOUR(A4626))</f>
        <v/>
      </c>
    </row>
    <row r="4627">
      <c r="A4627">
        <f>Input!A4627</f>
        <v/>
      </c>
      <c r="B4627">
        <f>IF(ISNUMBER(Input!B4627),IF(AND(Input!B4627&gt;=20,Input!B4627&lt;=700),Input!B4627,""),"")</f>
        <v/>
      </c>
      <c r="C4627">
        <f>IF(B4627="","",INT(A4627))</f>
        <v/>
      </c>
      <c r="D4627">
        <f>IF(B4627="","",HOUR(A4627))</f>
        <v/>
      </c>
    </row>
    <row r="4628">
      <c r="A4628">
        <f>Input!A4628</f>
        <v/>
      </c>
      <c r="B4628">
        <f>IF(ISNUMBER(Input!B4628),IF(AND(Input!B4628&gt;=20,Input!B4628&lt;=700),Input!B4628,""),"")</f>
        <v/>
      </c>
      <c r="C4628">
        <f>IF(B4628="","",INT(A4628))</f>
        <v/>
      </c>
      <c r="D4628">
        <f>IF(B4628="","",HOUR(A4628))</f>
        <v/>
      </c>
    </row>
    <row r="4629">
      <c r="A4629">
        <f>Input!A4629</f>
        <v/>
      </c>
      <c r="B4629">
        <f>IF(ISNUMBER(Input!B4629),IF(AND(Input!B4629&gt;=20,Input!B4629&lt;=700),Input!B4629,""),"")</f>
        <v/>
      </c>
      <c r="C4629">
        <f>IF(B4629="","",INT(A4629))</f>
        <v/>
      </c>
      <c r="D4629">
        <f>IF(B4629="","",HOUR(A4629))</f>
        <v/>
      </c>
    </row>
    <row r="4630">
      <c r="A4630">
        <f>Input!A4630</f>
        <v/>
      </c>
      <c r="B4630">
        <f>IF(ISNUMBER(Input!B4630),IF(AND(Input!B4630&gt;=20,Input!B4630&lt;=700),Input!B4630,""),"")</f>
        <v/>
      </c>
      <c r="C4630">
        <f>IF(B4630="","",INT(A4630))</f>
        <v/>
      </c>
      <c r="D4630">
        <f>IF(B4630="","",HOUR(A4630))</f>
        <v/>
      </c>
    </row>
    <row r="4631">
      <c r="A4631">
        <f>Input!A4631</f>
        <v/>
      </c>
      <c r="B4631">
        <f>IF(ISNUMBER(Input!B4631),IF(AND(Input!B4631&gt;=20,Input!B4631&lt;=700),Input!B4631,""),"")</f>
        <v/>
      </c>
      <c r="C4631">
        <f>IF(B4631="","",INT(A4631))</f>
        <v/>
      </c>
      <c r="D4631">
        <f>IF(B4631="","",HOUR(A4631))</f>
        <v/>
      </c>
    </row>
    <row r="4632">
      <c r="A4632">
        <f>Input!A4632</f>
        <v/>
      </c>
      <c r="B4632">
        <f>IF(ISNUMBER(Input!B4632),IF(AND(Input!B4632&gt;=20,Input!B4632&lt;=700),Input!B4632,""),"")</f>
        <v/>
      </c>
      <c r="C4632">
        <f>IF(B4632="","",INT(A4632))</f>
        <v/>
      </c>
      <c r="D4632">
        <f>IF(B4632="","",HOUR(A4632))</f>
        <v/>
      </c>
    </row>
    <row r="4633">
      <c r="A4633">
        <f>Input!A4633</f>
        <v/>
      </c>
      <c r="B4633">
        <f>IF(ISNUMBER(Input!B4633),IF(AND(Input!B4633&gt;=20,Input!B4633&lt;=700),Input!B4633,""),"")</f>
        <v/>
      </c>
      <c r="C4633">
        <f>IF(B4633="","",INT(A4633))</f>
        <v/>
      </c>
      <c r="D4633">
        <f>IF(B4633="","",HOUR(A4633))</f>
        <v/>
      </c>
    </row>
    <row r="4634">
      <c r="A4634">
        <f>Input!A4634</f>
        <v/>
      </c>
      <c r="B4634">
        <f>IF(ISNUMBER(Input!B4634),IF(AND(Input!B4634&gt;=20,Input!B4634&lt;=700),Input!B4634,""),"")</f>
        <v/>
      </c>
      <c r="C4634">
        <f>IF(B4634="","",INT(A4634))</f>
        <v/>
      </c>
      <c r="D4634">
        <f>IF(B4634="","",HOUR(A4634))</f>
        <v/>
      </c>
    </row>
    <row r="4635">
      <c r="A4635">
        <f>Input!A4635</f>
        <v/>
      </c>
      <c r="B4635">
        <f>IF(ISNUMBER(Input!B4635),IF(AND(Input!B4635&gt;=20,Input!B4635&lt;=700),Input!B4635,""),"")</f>
        <v/>
      </c>
      <c r="C4635">
        <f>IF(B4635="","",INT(A4635))</f>
        <v/>
      </c>
      <c r="D4635">
        <f>IF(B4635="","",HOUR(A4635))</f>
        <v/>
      </c>
    </row>
    <row r="4636">
      <c r="A4636">
        <f>Input!A4636</f>
        <v/>
      </c>
      <c r="B4636">
        <f>IF(ISNUMBER(Input!B4636),IF(AND(Input!B4636&gt;=20,Input!B4636&lt;=700),Input!B4636,""),"")</f>
        <v/>
      </c>
      <c r="C4636">
        <f>IF(B4636="","",INT(A4636))</f>
        <v/>
      </c>
      <c r="D4636">
        <f>IF(B4636="","",HOUR(A4636))</f>
        <v/>
      </c>
    </row>
    <row r="4637">
      <c r="A4637">
        <f>Input!A4637</f>
        <v/>
      </c>
      <c r="B4637">
        <f>IF(ISNUMBER(Input!B4637),IF(AND(Input!B4637&gt;=20,Input!B4637&lt;=700),Input!B4637,""),"")</f>
        <v/>
      </c>
      <c r="C4637">
        <f>IF(B4637="","",INT(A4637))</f>
        <v/>
      </c>
      <c r="D4637">
        <f>IF(B4637="","",HOUR(A4637))</f>
        <v/>
      </c>
    </row>
    <row r="4638">
      <c r="A4638">
        <f>Input!A4638</f>
        <v/>
      </c>
      <c r="B4638">
        <f>IF(ISNUMBER(Input!B4638),IF(AND(Input!B4638&gt;=20,Input!B4638&lt;=700),Input!B4638,""),"")</f>
        <v/>
      </c>
      <c r="C4638">
        <f>IF(B4638="","",INT(A4638))</f>
        <v/>
      </c>
      <c r="D4638">
        <f>IF(B4638="","",HOUR(A4638))</f>
        <v/>
      </c>
    </row>
    <row r="4639">
      <c r="A4639">
        <f>Input!A4639</f>
        <v/>
      </c>
      <c r="B4639">
        <f>IF(ISNUMBER(Input!B4639),IF(AND(Input!B4639&gt;=20,Input!B4639&lt;=700),Input!B4639,""),"")</f>
        <v/>
      </c>
      <c r="C4639">
        <f>IF(B4639="","",INT(A4639))</f>
        <v/>
      </c>
      <c r="D4639">
        <f>IF(B4639="","",HOUR(A4639))</f>
        <v/>
      </c>
    </row>
    <row r="4640">
      <c r="A4640">
        <f>Input!A4640</f>
        <v/>
      </c>
      <c r="B4640">
        <f>IF(ISNUMBER(Input!B4640),IF(AND(Input!B4640&gt;=20,Input!B4640&lt;=700),Input!B4640,""),"")</f>
        <v/>
      </c>
      <c r="C4640">
        <f>IF(B4640="","",INT(A4640))</f>
        <v/>
      </c>
      <c r="D4640">
        <f>IF(B4640="","",HOUR(A4640))</f>
        <v/>
      </c>
    </row>
    <row r="4641">
      <c r="A4641">
        <f>Input!A4641</f>
        <v/>
      </c>
      <c r="B4641">
        <f>IF(ISNUMBER(Input!B4641),IF(AND(Input!B4641&gt;=20,Input!B4641&lt;=700),Input!B4641,""),"")</f>
        <v/>
      </c>
      <c r="C4641">
        <f>IF(B4641="","",INT(A4641))</f>
        <v/>
      </c>
      <c r="D4641">
        <f>IF(B4641="","",HOUR(A4641))</f>
        <v/>
      </c>
    </row>
    <row r="4642">
      <c r="A4642">
        <f>Input!A4642</f>
        <v/>
      </c>
      <c r="B4642">
        <f>IF(ISNUMBER(Input!B4642),IF(AND(Input!B4642&gt;=20,Input!B4642&lt;=700),Input!B4642,""),"")</f>
        <v/>
      </c>
      <c r="C4642">
        <f>IF(B4642="","",INT(A4642))</f>
        <v/>
      </c>
      <c r="D4642">
        <f>IF(B4642="","",HOUR(A4642))</f>
        <v/>
      </c>
    </row>
    <row r="4643">
      <c r="A4643">
        <f>Input!A4643</f>
        <v/>
      </c>
      <c r="B4643">
        <f>IF(ISNUMBER(Input!B4643),IF(AND(Input!B4643&gt;=20,Input!B4643&lt;=700),Input!B4643,""),"")</f>
        <v/>
      </c>
      <c r="C4643">
        <f>IF(B4643="","",INT(A4643))</f>
        <v/>
      </c>
      <c r="D4643">
        <f>IF(B4643="","",HOUR(A4643))</f>
        <v/>
      </c>
    </row>
    <row r="4644">
      <c r="A4644">
        <f>Input!A4644</f>
        <v/>
      </c>
      <c r="B4644">
        <f>IF(ISNUMBER(Input!B4644),IF(AND(Input!B4644&gt;=20,Input!B4644&lt;=700),Input!B4644,""),"")</f>
        <v/>
      </c>
      <c r="C4644">
        <f>IF(B4644="","",INT(A4644))</f>
        <v/>
      </c>
      <c r="D4644">
        <f>IF(B4644="","",HOUR(A4644))</f>
        <v/>
      </c>
    </row>
    <row r="4645">
      <c r="A4645">
        <f>Input!A4645</f>
        <v/>
      </c>
      <c r="B4645">
        <f>IF(ISNUMBER(Input!B4645),IF(AND(Input!B4645&gt;=20,Input!B4645&lt;=700),Input!B4645,""),"")</f>
        <v/>
      </c>
      <c r="C4645">
        <f>IF(B4645="","",INT(A4645))</f>
        <v/>
      </c>
      <c r="D4645">
        <f>IF(B4645="","",HOUR(A4645))</f>
        <v/>
      </c>
    </row>
    <row r="4646">
      <c r="A4646">
        <f>Input!A4646</f>
        <v/>
      </c>
      <c r="B4646">
        <f>IF(ISNUMBER(Input!B4646),IF(AND(Input!B4646&gt;=20,Input!B4646&lt;=700),Input!B4646,""),"")</f>
        <v/>
      </c>
      <c r="C4646">
        <f>IF(B4646="","",INT(A4646))</f>
        <v/>
      </c>
      <c r="D4646">
        <f>IF(B4646="","",HOUR(A4646))</f>
        <v/>
      </c>
    </row>
    <row r="4647">
      <c r="A4647">
        <f>Input!A4647</f>
        <v/>
      </c>
      <c r="B4647">
        <f>IF(ISNUMBER(Input!B4647),IF(AND(Input!B4647&gt;=20,Input!B4647&lt;=700),Input!B4647,""),"")</f>
        <v/>
      </c>
      <c r="C4647">
        <f>IF(B4647="","",INT(A4647))</f>
        <v/>
      </c>
      <c r="D4647">
        <f>IF(B4647="","",HOUR(A4647))</f>
        <v/>
      </c>
    </row>
    <row r="4648">
      <c r="A4648">
        <f>Input!A4648</f>
        <v/>
      </c>
      <c r="B4648">
        <f>IF(ISNUMBER(Input!B4648),IF(AND(Input!B4648&gt;=20,Input!B4648&lt;=700),Input!B4648,""),"")</f>
        <v/>
      </c>
      <c r="C4648">
        <f>IF(B4648="","",INT(A4648))</f>
        <v/>
      </c>
      <c r="D4648">
        <f>IF(B4648="","",HOUR(A4648))</f>
        <v/>
      </c>
    </row>
    <row r="4649">
      <c r="A4649">
        <f>Input!A4649</f>
        <v/>
      </c>
      <c r="B4649">
        <f>IF(ISNUMBER(Input!B4649),IF(AND(Input!B4649&gt;=20,Input!B4649&lt;=700),Input!B4649,""),"")</f>
        <v/>
      </c>
      <c r="C4649">
        <f>IF(B4649="","",INT(A4649))</f>
        <v/>
      </c>
      <c r="D4649">
        <f>IF(B4649="","",HOUR(A4649))</f>
        <v/>
      </c>
    </row>
    <row r="4650">
      <c r="A4650">
        <f>Input!A4650</f>
        <v/>
      </c>
      <c r="B4650">
        <f>IF(ISNUMBER(Input!B4650),IF(AND(Input!B4650&gt;=20,Input!B4650&lt;=700),Input!B4650,""),"")</f>
        <v/>
      </c>
      <c r="C4650">
        <f>IF(B4650="","",INT(A4650))</f>
        <v/>
      </c>
      <c r="D4650">
        <f>IF(B4650="","",HOUR(A4650))</f>
        <v/>
      </c>
    </row>
    <row r="4651">
      <c r="A4651">
        <f>Input!A4651</f>
        <v/>
      </c>
      <c r="B4651">
        <f>IF(ISNUMBER(Input!B4651),IF(AND(Input!B4651&gt;=20,Input!B4651&lt;=700),Input!B4651,""),"")</f>
        <v/>
      </c>
      <c r="C4651">
        <f>IF(B4651="","",INT(A4651))</f>
        <v/>
      </c>
      <c r="D4651">
        <f>IF(B4651="","",HOUR(A4651))</f>
        <v/>
      </c>
    </row>
    <row r="4652">
      <c r="A4652">
        <f>Input!A4652</f>
        <v/>
      </c>
      <c r="B4652">
        <f>IF(ISNUMBER(Input!B4652),IF(AND(Input!B4652&gt;=20,Input!B4652&lt;=700),Input!B4652,""),"")</f>
        <v/>
      </c>
      <c r="C4652">
        <f>IF(B4652="","",INT(A4652))</f>
        <v/>
      </c>
      <c r="D4652">
        <f>IF(B4652="","",HOUR(A4652))</f>
        <v/>
      </c>
    </row>
    <row r="4653">
      <c r="A4653">
        <f>Input!A4653</f>
        <v/>
      </c>
      <c r="B4653">
        <f>IF(ISNUMBER(Input!B4653),IF(AND(Input!B4653&gt;=20,Input!B4653&lt;=700),Input!B4653,""),"")</f>
        <v/>
      </c>
      <c r="C4653">
        <f>IF(B4653="","",INT(A4653))</f>
        <v/>
      </c>
      <c r="D4653">
        <f>IF(B4653="","",HOUR(A4653))</f>
        <v/>
      </c>
    </row>
    <row r="4654">
      <c r="A4654">
        <f>Input!A4654</f>
        <v/>
      </c>
      <c r="B4654">
        <f>IF(ISNUMBER(Input!B4654),IF(AND(Input!B4654&gt;=20,Input!B4654&lt;=700),Input!B4654,""),"")</f>
        <v/>
      </c>
      <c r="C4654">
        <f>IF(B4654="","",INT(A4654))</f>
        <v/>
      </c>
      <c r="D4654">
        <f>IF(B4654="","",HOUR(A4654))</f>
        <v/>
      </c>
    </row>
    <row r="4655">
      <c r="A4655">
        <f>Input!A4655</f>
        <v/>
      </c>
      <c r="B4655">
        <f>IF(ISNUMBER(Input!B4655),IF(AND(Input!B4655&gt;=20,Input!B4655&lt;=700),Input!B4655,""),"")</f>
        <v/>
      </c>
      <c r="C4655">
        <f>IF(B4655="","",INT(A4655))</f>
        <v/>
      </c>
      <c r="D4655">
        <f>IF(B4655="","",HOUR(A4655))</f>
        <v/>
      </c>
    </row>
    <row r="4656">
      <c r="A4656">
        <f>Input!A4656</f>
        <v/>
      </c>
      <c r="B4656">
        <f>IF(ISNUMBER(Input!B4656),IF(AND(Input!B4656&gt;=20,Input!B4656&lt;=700),Input!B4656,""),"")</f>
        <v/>
      </c>
      <c r="C4656">
        <f>IF(B4656="","",INT(A4656))</f>
        <v/>
      </c>
      <c r="D4656">
        <f>IF(B4656="","",HOUR(A4656))</f>
        <v/>
      </c>
    </row>
    <row r="4657">
      <c r="A4657">
        <f>Input!A4657</f>
        <v/>
      </c>
      <c r="B4657">
        <f>IF(ISNUMBER(Input!B4657),IF(AND(Input!B4657&gt;=20,Input!B4657&lt;=700),Input!B4657,""),"")</f>
        <v/>
      </c>
      <c r="C4657">
        <f>IF(B4657="","",INT(A4657))</f>
        <v/>
      </c>
      <c r="D4657">
        <f>IF(B4657="","",HOUR(A4657))</f>
        <v/>
      </c>
    </row>
    <row r="4658">
      <c r="A4658">
        <f>Input!A4658</f>
        <v/>
      </c>
      <c r="B4658">
        <f>IF(ISNUMBER(Input!B4658),IF(AND(Input!B4658&gt;=20,Input!B4658&lt;=700),Input!B4658,""),"")</f>
        <v/>
      </c>
      <c r="C4658">
        <f>IF(B4658="","",INT(A4658))</f>
        <v/>
      </c>
      <c r="D4658">
        <f>IF(B4658="","",HOUR(A4658))</f>
        <v/>
      </c>
    </row>
    <row r="4659">
      <c r="A4659">
        <f>Input!A4659</f>
        <v/>
      </c>
      <c r="B4659">
        <f>IF(ISNUMBER(Input!B4659),IF(AND(Input!B4659&gt;=20,Input!B4659&lt;=700),Input!B4659,""),"")</f>
        <v/>
      </c>
      <c r="C4659">
        <f>IF(B4659="","",INT(A4659))</f>
        <v/>
      </c>
      <c r="D4659">
        <f>IF(B4659="","",HOUR(A4659))</f>
        <v/>
      </c>
    </row>
    <row r="4660">
      <c r="A4660">
        <f>Input!A4660</f>
        <v/>
      </c>
      <c r="B4660">
        <f>IF(ISNUMBER(Input!B4660),IF(AND(Input!B4660&gt;=20,Input!B4660&lt;=700),Input!B4660,""),"")</f>
        <v/>
      </c>
      <c r="C4660">
        <f>IF(B4660="","",INT(A4660))</f>
        <v/>
      </c>
      <c r="D4660">
        <f>IF(B4660="","",HOUR(A4660))</f>
        <v/>
      </c>
    </row>
    <row r="4661">
      <c r="A4661">
        <f>Input!A4661</f>
        <v/>
      </c>
      <c r="B4661">
        <f>IF(ISNUMBER(Input!B4661),IF(AND(Input!B4661&gt;=20,Input!B4661&lt;=700),Input!B4661,""),"")</f>
        <v/>
      </c>
      <c r="C4661">
        <f>IF(B4661="","",INT(A4661))</f>
        <v/>
      </c>
      <c r="D4661">
        <f>IF(B4661="","",HOUR(A4661))</f>
        <v/>
      </c>
    </row>
    <row r="4662">
      <c r="A4662">
        <f>Input!A4662</f>
        <v/>
      </c>
      <c r="B4662">
        <f>IF(ISNUMBER(Input!B4662),IF(AND(Input!B4662&gt;=20,Input!B4662&lt;=700),Input!B4662,""),"")</f>
        <v/>
      </c>
      <c r="C4662">
        <f>IF(B4662="","",INT(A4662))</f>
        <v/>
      </c>
      <c r="D4662">
        <f>IF(B4662="","",HOUR(A4662))</f>
        <v/>
      </c>
    </row>
    <row r="4663">
      <c r="A4663">
        <f>Input!A4663</f>
        <v/>
      </c>
      <c r="B4663">
        <f>IF(ISNUMBER(Input!B4663),IF(AND(Input!B4663&gt;=20,Input!B4663&lt;=700),Input!B4663,""),"")</f>
        <v/>
      </c>
      <c r="C4663">
        <f>IF(B4663="","",INT(A4663))</f>
        <v/>
      </c>
      <c r="D4663">
        <f>IF(B4663="","",HOUR(A4663))</f>
        <v/>
      </c>
    </row>
    <row r="4664">
      <c r="A4664">
        <f>Input!A4664</f>
        <v/>
      </c>
      <c r="B4664">
        <f>IF(ISNUMBER(Input!B4664),IF(AND(Input!B4664&gt;=20,Input!B4664&lt;=700),Input!B4664,""),"")</f>
        <v/>
      </c>
      <c r="C4664">
        <f>IF(B4664="","",INT(A4664))</f>
        <v/>
      </c>
      <c r="D4664">
        <f>IF(B4664="","",HOUR(A4664))</f>
        <v/>
      </c>
    </row>
    <row r="4665">
      <c r="A4665">
        <f>Input!A4665</f>
        <v/>
      </c>
      <c r="B4665">
        <f>IF(ISNUMBER(Input!B4665),IF(AND(Input!B4665&gt;=20,Input!B4665&lt;=700),Input!B4665,""),"")</f>
        <v/>
      </c>
      <c r="C4665">
        <f>IF(B4665="","",INT(A4665))</f>
        <v/>
      </c>
      <c r="D4665">
        <f>IF(B4665="","",HOUR(A4665))</f>
        <v/>
      </c>
    </row>
    <row r="4666">
      <c r="A4666">
        <f>Input!A4666</f>
        <v/>
      </c>
      <c r="B4666">
        <f>IF(ISNUMBER(Input!B4666),IF(AND(Input!B4666&gt;=20,Input!B4666&lt;=700),Input!B4666,""),"")</f>
        <v/>
      </c>
      <c r="C4666">
        <f>IF(B4666="","",INT(A4666))</f>
        <v/>
      </c>
      <c r="D4666">
        <f>IF(B4666="","",HOUR(A4666))</f>
        <v/>
      </c>
    </row>
    <row r="4667">
      <c r="A4667">
        <f>Input!A4667</f>
        <v/>
      </c>
      <c r="B4667">
        <f>IF(ISNUMBER(Input!B4667),IF(AND(Input!B4667&gt;=20,Input!B4667&lt;=700),Input!B4667,""),"")</f>
        <v/>
      </c>
      <c r="C4667">
        <f>IF(B4667="","",INT(A4667))</f>
        <v/>
      </c>
      <c r="D4667">
        <f>IF(B4667="","",HOUR(A4667))</f>
        <v/>
      </c>
    </row>
    <row r="4668">
      <c r="A4668">
        <f>Input!A4668</f>
        <v/>
      </c>
      <c r="B4668">
        <f>IF(ISNUMBER(Input!B4668),IF(AND(Input!B4668&gt;=20,Input!B4668&lt;=700),Input!B4668,""),"")</f>
        <v/>
      </c>
      <c r="C4668">
        <f>IF(B4668="","",INT(A4668))</f>
        <v/>
      </c>
      <c r="D4668">
        <f>IF(B4668="","",HOUR(A4668))</f>
        <v/>
      </c>
    </row>
    <row r="4669">
      <c r="A4669">
        <f>Input!A4669</f>
        <v/>
      </c>
      <c r="B4669">
        <f>IF(ISNUMBER(Input!B4669),IF(AND(Input!B4669&gt;=20,Input!B4669&lt;=700),Input!B4669,""),"")</f>
        <v/>
      </c>
      <c r="C4669">
        <f>IF(B4669="","",INT(A4669))</f>
        <v/>
      </c>
      <c r="D4669">
        <f>IF(B4669="","",HOUR(A4669))</f>
        <v/>
      </c>
    </row>
    <row r="4670">
      <c r="A4670">
        <f>Input!A4670</f>
        <v/>
      </c>
      <c r="B4670">
        <f>IF(ISNUMBER(Input!B4670),IF(AND(Input!B4670&gt;=20,Input!B4670&lt;=700),Input!B4670,""),"")</f>
        <v/>
      </c>
      <c r="C4670">
        <f>IF(B4670="","",INT(A4670))</f>
        <v/>
      </c>
      <c r="D4670">
        <f>IF(B4670="","",HOUR(A4670))</f>
        <v/>
      </c>
    </row>
    <row r="4671">
      <c r="A4671">
        <f>Input!A4671</f>
        <v/>
      </c>
      <c r="B4671">
        <f>IF(ISNUMBER(Input!B4671),IF(AND(Input!B4671&gt;=20,Input!B4671&lt;=700),Input!B4671,""),"")</f>
        <v/>
      </c>
      <c r="C4671">
        <f>IF(B4671="","",INT(A4671))</f>
        <v/>
      </c>
      <c r="D4671">
        <f>IF(B4671="","",HOUR(A4671))</f>
        <v/>
      </c>
    </row>
    <row r="4672">
      <c r="A4672">
        <f>Input!A4672</f>
        <v/>
      </c>
      <c r="B4672">
        <f>IF(ISNUMBER(Input!B4672),IF(AND(Input!B4672&gt;=20,Input!B4672&lt;=700),Input!B4672,""),"")</f>
        <v/>
      </c>
      <c r="C4672">
        <f>IF(B4672="","",INT(A4672))</f>
        <v/>
      </c>
      <c r="D4672">
        <f>IF(B4672="","",HOUR(A4672))</f>
        <v/>
      </c>
    </row>
    <row r="4673">
      <c r="A4673">
        <f>Input!A4673</f>
        <v/>
      </c>
      <c r="B4673">
        <f>IF(ISNUMBER(Input!B4673),IF(AND(Input!B4673&gt;=20,Input!B4673&lt;=700),Input!B4673,""),"")</f>
        <v/>
      </c>
      <c r="C4673">
        <f>IF(B4673="","",INT(A4673))</f>
        <v/>
      </c>
      <c r="D4673">
        <f>IF(B4673="","",HOUR(A4673))</f>
        <v/>
      </c>
    </row>
    <row r="4674">
      <c r="A4674">
        <f>Input!A4674</f>
        <v/>
      </c>
      <c r="B4674">
        <f>IF(ISNUMBER(Input!B4674),IF(AND(Input!B4674&gt;=20,Input!B4674&lt;=700),Input!B4674,""),"")</f>
        <v/>
      </c>
      <c r="C4674">
        <f>IF(B4674="","",INT(A4674))</f>
        <v/>
      </c>
      <c r="D4674">
        <f>IF(B4674="","",HOUR(A4674))</f>
        <v/>
      </c>
    </row>
    <row r="4675">
      <c r="A4675">
        <f>Input!A4675</f>
        <v/>
      </c>
      <c r="B4675">
        <f>IF(ISNUMBER(Input!B4675),IF(AND(Input!B4675&gt;=20,Input!B4675&lt;=700),Input!B4675,""),"")</f>
        <v/>
      </c>
      <c r="C4675">
        <f>IF(B4675="","",INT(A4675))</f>
        <v/>
      </c>
      <c r="D4675">
        <f>IF(B4675="","",HOUR(A4675))</f>
        <v/>
      </c>
    </row>
    <row r="4676">
      <c r="A4676">
        <f>Input!A4676</f>
        <v/>
      </c>
      <c r="B4676">
        <f>IF(ISNUMBER(Input!B4676),IF(AND(Input!B4676&gt;=20,Input!B4676&lt;=700),Input!B4676,""),"")</f>
        <v/>
      </c>
      <c r="C4676">
        <f>IF(B4676="","",INT(A4676))</f>
        <v/>
      </c>
      <c r="D4676">
        <f>IF(B4676="","",HOUR(A4676))</f>
        <v/>
      </c>
    </row>
    <row r="4677">
      <c r="A4677">
        <f>Input!A4677</f>
        <v/>
      </c>
      <c r="B4677">
        <f>IF(ISNUMBER(Input!B4677),IF(AND(Input!B4677&gt;=20,Input!B4677&lt;=700),Input!B4677,""),"")</f>
        <v/>
      </c>
      <c r="C4677">
        <f>IF(B4677="","",INT(A4677))</f>
        <v/>
      </c>
      <c r="D4677">
        <f>IF(B4677="","",HOUR(A4677))</f>
        <v/>
      </c>
    </row>
    <row r="4678">
      <c r="A4678">
        <f>Input!A4678</f>
        <v/>
      </c>
      <c r="B4678">
        <f>IF(ISNUMBER(Input!B4678),IF(AND(Input!B4678&gt;=20,Input!B4678&lt;=700),Input!B4678,""),"")</f>
        <v/>
      </c>
      <c r="C4678">
        <f>IF(B4678="","",INT(A4678))</f>
        <v/>
      </c>
      <c r="D4678">
        <f>IF(B4678="","",HOUR(A4678))</f>
        <v/>
      </c>
    </row>
    <row r="4679">
      <c r="A4679">
        <f>Input!A4679</f>
        <v/>
      </c>
      <c r="B4679">
        <f>IF(ISNUMBER(Input!B4679),IF(AND(Input!B4679&gt;=20,Input!B4679&lt;=700),Input!B4679,""),"")</f>
        <v/>
      </c>
      <c r="C4679">
        <f>IF(B4679="","",INT(A4679))</f>
        <v/>
      </c>
      <c r="D4679">
        <f>IF(B4679="","",HOUR(A4679))</f>
        <v/>
      </c>
    </row>
    <row r="4680">
      <c r="A4680">
        <f>Input!A4680</f>
        <v/>
      </c>
      <c r="B4680">
        <f>IF(ISNUMBER(Input!B4680),IF(AND(Input!B4680&gt;=20,Input!B4680&lt;=700),Input!B4680,""),"")</f>
        <v/>
      </c>
      <c r="C4680">
        <f>IF(B4680="","",INT(A4680))</f>
        <v/>
      </c>
      <c r="D4680">
        <f>IF(B4680="","",HOUR(A4680))</f>
        <v/>
      </c>
    </row>
    <row r="4681">
      <c r="A4681">
        <f>Input!A4681</f>
        <v/>
      </c>
      <c r="B4681">
        <f>IF(ISNUMBER(Input!B4681),IF(AND(Input!B4681&gt;=20,Input!B4681&lt;=700),Input!B4681,""),"")</f>
        <v/>
      </c>
      <c r="C4681">
        <f>IF(B4681="","",INT(A4681))</f>
        <v/>
      </c>
      <c r="D4681">
        <f>IF(B4681="","",HOUR(A4681))</f>
        <v/>
      </c>
    </row>
    <row r="4682">
      <c r="A4682">
        <f>Input!A4682</f>
        <v/>
      </c>
      <c r="B4682">
        <f>IF(ISNUMBER(Input!B4682),IF(AND(Input!B4682&gt;=20,Input!B4682&lt;=700),Input!B4682,""),"")</f>
        <v/>
      </c>
      <c r="C4682">
        <f>IF(B4682="","",INT(A4682))</f>
        <v/>
      </c>
      <c r="D4682">
        <f>IF(B4682="","",HOUR(A4682))</f>
        <v/>
      </c>
    </row>
    <row r="4683">
      <c r="A4683">
        <f>Input!A4683</f>
        <v/>
      </c>
      <c r="B4683">
        <f>IF(ISNUMBER(Input!B4683),IF(AND(Input!B4683&gt;=20,Input!B4683&lt;=700),Input!B4683,""),"")</f>
        <v/>
      </c>
      <c r="C4683">
        <f>IF(B4683="","",INT(A4683))</f>
        <v/>
      </c>
      <c r="D4683">
        <f>IF(B4683="","",HOUR(A4683))</f>
        <v/>
      </c>
    </row>
    <row r="4684">
      <c r="A4684">
        <f>Input!A4684</f>
        <v/>
      </c>
      <c r="B4684">
        <f>IF(ISNUMBER(Input!B4684),IF(AND(Input!B4684&gt;=20,Input!B4684&lt;=700),Input!B4684,""),"")</f>
        <v/>
      </c>
      <c r="C4684">
        <f>IF(B4684="","",INT(A4684))</f>
        <v/>
      </c>
      <c r="D4684">
        <f>IF(B4684="","",HOUR(A4684))</f>
        <v/>
      </c>
    </row>
    <row r="4685">
      <c r="A4685">
        <f>Input!A4685</f>
        <v/>
      </c>
      <c r="B4685">
        <f>IF(ISNUMBER(Input!B4685),IF(AND(Input!B4685&gt;=20,Input!B4685&lt;=700),Input!B4685,""),"")</f>
        <v/>
      </c>
      <c r="C4685">
        <f>IF(B4685="","",INT(A4685))</f>
        <v/>
      </c>
      <c r="D4685">
        <f>IF(B4685="","",HOUR(A4685))</f>
        <v/>
      </c>
    </row>
    <row r="4686">
      <c r="A4686">
        <f>Input!A4686</f>
        <v/>
      </c>
      <c r="B4686">
        <f>IF(ISNUMBER(Input!B4686),IF(AND(Input!B4686&gt;=20,Input!B4686&lt;=700),Input!B4686,""),"")</f>
        <v/>
      </c>
      <c r="C4686">
        <f>IF(B4686="","",INT(A4686))</f>
        <v/>
      </c>
      <c r="D4686">
        <f>IF(B4686="","",HOUR(A4686))</f>
        <v/>
      </c>
    </row>
    <row r="4687">
      <c r="A4687">
        <f>Input!A4687</f>
        <v/>
      </c>
      <c r="B4687">
        <f>IF(ISNUMBER(Input!B4687),IF(AND(Input!B4687&gt;=20,Input!B4687&lt;=700),Input!B4687,""),"")</f>
        <v/>
      </c>
      <c r="C4687">
        <f>IF(B4687="","",INT(A4687))</f>
        <v/>
      </c>
      <c r="D4687">
        <f>IF(B4687="","",HOUR(A4687))</f>
        <v/>
      </c>
    </row>
    <row r="4688">
      <c r="A4688">
        <f>Input!A4688</f>
        <v/>
      </c>
      <c r="B4688">
        <f>IF(ISNUMBER(Input!B4688),IF(AND(Input!B4688&gt;=20,Input!B4688&lt;=700),Input!B4688,""),"")</f>
        <v/>
      </c>
      <c r="C4688">
        <f>IF(B4688="","",INT(A4688))</f>
        <v/>
      </c>
      <c r="D4688">
        <f>IF(B4688="","",HOUR(A4688))</f>
        <v/>
      </c>
    </row>
    <row r="4689">
      <c r="A4689">
        <f>Input!A4689</f>
        <v/>
      </c>
      <c r="B4689">
        <f>IF(ISNUMBER(Input!B4689),IF(AND(Input!B4689&gt;=20,Input!B4689&lt;=700),Input!B4689,""),"")</f>
        <v/>
      </c>
      <c r="C4689">
        <f>IF(B4689="","",INT(A4689))</f>
        <v/>
      </c>
      <c r="D4689">
        <f>IF(B4689="","",HOUR(A4689))</f>
        <v/>
      </c>
    </row>
    <row r="4690">
      <c r="A4690">
        <f>Input!A4690</f>
        <v/>
      </c>
      <c r="B4690">
        <f>IF(ISNUMBER(Input!B4690),IF(AND(Input!B4690&gt;=20,Input!B4690&lt;=700),Input!B4690,""),"")</f>
        <v/>
      </c>
      <c r="C4690">
        <f>IF(B4690="","",INT(A4690))</f>
        <v/>
      </c>
      <c r="D4690">
        <f>IF(B4690="","",HOUR(A4690))</f>
        <v/>
      </c>
    </row>
    <row r="4691">
      <c r="A4691">
        <f>Input!A4691</f>
        <v/>
      </c>
      <c r="B4691">
        <f>IF(ISNUMBER(Input!B4691),IF(AND(Input!B4691&gt;=20,Input!B4691&lt;=700),Input!B4691,""),"")</f>
        <v/>
      </c>
      <c r="C4691">
        <f>IF(B4691="","",INT(A4691))</f>
        <v/>
      </c>
      <c r="D4691">
        <f>IF(B4691="","",HOUR(A4691))</f>
        <v/>
      </c>
    </row>
    <row r="4692">
      <c r="A4692">
        <f>Input!A4692</f>
        <v/>
      </c>
      <c r="B4692">
        <f>IF(ISNUMBER(Input!B4692),IF(AND(Input!B4692&gt;=20,Input!B4692&lt;=700),Input!B4692,""),"")</f>
        <v/>
      </c>
      <c r="C4692">
        <f>IF(B4692="","",INT(A4692))</f>
        <v/>
      </c>
      <c r="D4692">
        <f>IF(B4692="","",HOUR(A4692))</f>
        <v/>
      </c>
    </row>
    <row r="4693">
      <c r="A4693">
        <f>Input!A4693</f>
        <v/>
      </c>
      <c r="B4693">
        <f>IF(ISNUMBER(Input!B4693),IF(AND(Input!B4693&gt;=20,Input!B4693&lt;=700),Input!B4693,""),"")</f>
        <v/>
      </c>
      <c r="C4693">
        <f>IF(B4693="","",INT(A4693))</f>
        <v/>
      </c>
      <c r="D4693">
        <f>IF(B4693="","",HOUR(A4693))</f>
        <v/>
      </c>
    </row>
    <row r="4694">
      <c r="A4694">
        <f>Input!A4694</f>
        <v/>
      </c>
      <c r="B4694">
        <f>IF(ISNUMBER(Input!B4694),IF(AND(Input!B4694&gt;=20,Input!B4694&lt;=700),Input!B4694,""),"")</f>
        <v/>
      </c>
      <c r="C4694">
        <f>IF(B4694="","",INT(A4694))</f>
        <v/>
      </c>
      <c r="D4694">
        <f>IF(B4694="","",HOUR(A4694))</f>
        <v/>
      </c>
    </row>
    <row r="4695">
      <c r="A4695">
        <f>Input!A4695</f>
        <v/>
      </c>
      <c r="B4695">
        <f>IF(ISNUMBER(Input!B4695),IF(AND(Input!B4695&gt;=20,Input!B4695&lt;=700),Input!B4695,""),"")</f>
        <v/>
      </c>
      <c r="C4695">
        <f>IF(B4695="","",INT(A4695))</f>
        <v/>
      </c>
      <c r="D4695">
        <f>IF(B4695="","",HOUR(A4695))</f>
        <v/>
      </c>
    </row>
    <row r="4696">
      <c r="A4696">
        <f>Input!A4696</f>
        <v/>
      </c>
      <c r="B4696">
        <f>IF(ISNUMBER(Input!B4696),IF(AND(Input!B4696&gt;=20,Input!B4696&lt;=700),Input!B4696,""),"")</f>
        <v/>
      </c>
      <c r="C4696">
        <f>IF(B4696="","",INT(A4696))</f>
        <v/>
      </c>
      <c r="D4696">
        <f>IF(B4696="","",HOUR(A4696))</f>
        <v/>
      </c>
    </row>
    <row r="4697">
      <c r="A4697">
        <f>Input!A4697</f>
        <v/>
      </c>
      <c r="B4697">
        <f>IF(ISNUMBER(Input!B4697),IF(AND(Input!B4697&gt;=20,Input!B4697&lt;=700),Input!B4697,""),"")</f>
        <v/>
      </c>
      <c r="C4697">
        <f>IF(B4697="","",INT(A4697))</f>
        <v/>
      </c>
      <c r="D4697">
        <f>IF(B4697="","",HOUR(A4697))</f>
        <v/>
      </c>
    </row>
    <row r="4698">
      <c r="A4698">
        <f>Input!A4698</f>
        <v/>
      </c>
      <c r="B4698">
        <f>IF(ISNUMBER(Input!B4698),IF(AND(Input!B4698&gt;=20,Input!B4698&lt;=700),Input!B4698,""),"")</f>
        <v/>
      </c>
      <c r="C4698">
        <f>IF(B4698="","",INT(A4698))</f>
        <v/>
      </c>
      <c r="D4698">
        <f>IF(B4698="","",HOUR(A4698))</f>
        <v/>
      </c>
    </row>
    <row r="4699">
      <c r="A4699">
        <f>Input!A4699</f>
        <v/>
      </c>
      <c r="B4699">
        <f>IF(ISNUMBER(Input!B4699),IF(AND(Input!B4699&gt;=20,Input!B4699&lt;=700),Input!B4699,""),"")</f>
        <v/>
      </c>
      <c r="C4699">
        <f>IF(B4699="","",INT(A4699))</f>
        <v/>
      </c>
      <c r="D4699">
        <f>IF(B4699="","",HOUR(A4699))</f>
        <v/>
      </c>
    </row>
    <row r="4700">
      <c r="A4700">
        <f>Input!A4700</f>
        <v/>
      </c>
      <c r="B4700">
        <f>IF(ISNUMBER(Input!B4700),IF(AND(Input!B4700&gt;=20,Input!B4700&lt;=700),Input!B4700,""),"")</f>
        <v/>
      </c>
      <c r="C4700">
        <f>IF(B4700="","",INT(A4700))</f>
        <v/>
      </c>
      <c r="D4700">
        <f>IF(B4700="","",HOUR(A4700))</f>
        <v/>
      </c>
    </row>
    <row r="4701">
      <c r="A4701">
        <f>Input!A4701</f>
        <v/>
      </c>
      <c r="B4701">
        <f>IF(ISNUMBER(Input!B4701),IF(AND(Input!B4701&gt;=20,Input!B4701&lt;=700),Input!B4701,""),"")</f>
        <v/>
      </c>
      <c r="C4701">
        <f>IF(B4701="","",INT(A4701))</f>
        <v/>
      </c>
      <c r="D4701">
        <f>IF(B4701="","",HOUR(A4701))</f>
        <v/>
      </c>
    </row>
    <row r="4702">
      <c r="A4702">
        <f>Input!A4702</f>
        <v/>
      </c>
      <c r="B4702">
        <f>IF(ISNUMBER(Input!B4702),IF(AND(Input!B4702&gt;=20,Input!B4702&lt;=700),Input!B4702,""),"")</f>
        <v/>
      </c>
      <c r="C4702">
        <f>IF(B4702="","",INT(A4702))</f>
        <v/>
      </c>
      <c r="D4702">
        <f>IF(B4702="","",HOUR(A4702))</f>
        <v/>
      </c>
    </row>
    <row r="4703">
      <c r="A4703">
        <f>Input!A4703</f>
        <v/>
      </c>
      <c r="B4703">
        <f>IF(ISNUMBER(Input!B4703),IF(AND(Input!B4703&gt;=20,Input!B4703&lt;=700),Input!B4703,""),"")</f>
        <v/>
      </c>
      <c r="C4703">
        <f>IF(B4703="","",INT(A4703))</f>
        <v/>
      </c>
      <c r="D4703">
        <f>IF(B4703="","",HOUR(A4703))</f>
        <v/>
      </c>
    </row>
    <row r="4704">
      <c r="A4704">
        <f>Input!A4704</f>
        <v/>
      </c>
      <c r="B4704">
        <f>IF(ISNUMBER(Input!B4704),IF(AND(Input!B4704&gt;=20,Input!B4704&lt;=700),Input!B4704,""),"")</f>
        <v/>
      </c>
      <c r="C4704">
        <f>IF(B4704="","",INT(A4704))</f>
        <v/>
      </c>
      <c r="D4704">
        <f>IF(B4704="","",HOUR(A4704))</f>
        <v/>
      </c>
    </row>
    <row r="4705">
      <c r="A4705">
        <f>Input!A4705</f>
        <v/>
      </c>
      <c r="B4705">
        <f>IF(ISNUMBER(Input!B4705),IF(AND(Input!B4705&gt;=20,Input!B4705&lt;=700),Input!B4705,""),"")</f>
        <v/>
      </c>
      <c r="C4705">
        <f>IF(B4705="","",INT(A4705))</f>
        <v/>
      </c>
      <c r="D4705">
        <f>IF(B4705="","",HOUR(A4705))</f>
        <v/>
      </c>
    </row>
    <row r="4706">
      <c r="A4706">
        <f>Input!A4706</f>
        <v/>
      </c>
      <c r="B4706">
        <f>IF(ISNUMBER(Input!B4706),IF(AND(Input!B4706&gt;=20,Input!B4706&lt;=700),Input!B4706,""),"")</f>
        <v/>
      </c>
      <c r="C4706">
        <f>IF(B4706="","",INT(A4706))</f>
        <v/>
      </c>
      <c r="D4706">
        <f>IF(B4706="","",HOUR(A4706))</f>
        <v/>
      </c>
    </row>
    <row r="4707">
      <c r="A4707">
        <f>Input!A4707</f>
        <v/>
      </c>
      <c r="B4707">
        <f>IF(ISNUMBER(Input!B4707),IF(AND(Input!B4707&gt;=20,Input!B4707&lt;=700),Input!B4707,""),"")</f>
        <v/>
      </c>
      <c r="C4707">
        <f>IF(B4707="","",INT(A4707))</f>
        <v/>
      </c>
      <c r="D4707">
        <f>IF(B4707="","",HOUR(A4707))</f>
        <v/>
      </c>
    </row>
    <row r="4708">
      <c r="A4708">
        <f>Input!A4708</f>
        <v/>
      </c>
      <c r="B4708">
        <f>IF(ISNUMBER(Input!B4708),IF(AND(Input!B4708&gt;=20,Input!B4708&lt;=700),Input!B4708,""),"")</f>
        <v/>
      </c>
      <c r="C4708">
        <f>IF(B4708="","",INT(A4708))</f>
        <v/>
      </c>
      <c r="D4708">
        <f>IF(B4708="","",HOUR(A4708))</f>
        <v/>
      </c>
    </row>
    <row r="4709">
      <c r="A4709">
        <f>Input!A4709</f>
        <v/>
      </c>
      <c r="B4709">
        <f>IF(ISNUMBER(Input!B4709),IF(AND(Input!B4709&gt;=20,Input!B4709&lt;=700),Input!B4709,""),"")</f>
        <v/>
      </c>
      <c r="C4709">
        <f>IF(B4709="","",INT(A4709))</f>
        <v/>
      </c>
      <c r="D4709">
        <f>IF(B4709="","",HOUR(A4709))</f>
        <v/>
      </c>
    </row>
    <row r="4710">
      <c r="A4710">
        <f>Input!A4710</f>
        <v/>
      </c>
      <c r="B4710">
        <f>IF(ISNUMBER(Input!B4710),IF(AND(Input!B4710&gt;=20,Input!B4710&lt;=700),Input!B4710,""),"")</f>
        <v/>
      </c>
      <c r="C4710">
        <f>IF(B4710="","",INT(A4710))</f>
        <v/>
      </c>
      <c r="D4710">
        <f>IF(B4710="","",HOUR(A4710))</f>
        <v/>
      </c>
    </row>
    <row r="4711">
      <c r="A4711">
        <f>Input!A4711</f>
        <v/>
      </c>
      <c r="B4711">
        <f>IF(ISNUMBER(Input!B4711),IF(AND(Input!B4711&gt;=20,Input!B4711&lt;=700),Input!B4711,""),"")</f>
        <v/>
      </c>
      <c r="C4711">
        <f>IF(B4711="","",INT(A4711))</f>
        <v/>
      </c>
      <c r="D4711">
        <f>IF(B4711="","",HOUR(A4711))</f>
        <v/>
      </c>
    </row>
    <row r="4712">
      <c r="A4712">
        <f>Input!A4712</f>
        <v/>
      </c>
      <c r="B4712">
        <f>IF(ISNUMBER(Input!B4712),IF(AND(Input!B4712&gt;=20,Input!B4712&lt;=700),Input!B4712,""),"")</f>
        <v/>
      </c>
      <c r="C4712">
        <f>IF(B4712="","",INT(A4712))</f>
        <v/>
      </c>
      <c r="D4712">
        <f>IF(B4712="","",HOUR(A4712))</f>
        <v/>
      </c>
    </row>
    <row r="4713">
      <c r="A4713">
        <f>Input!A4713</f>
        <v/>
      </c>
      <c r="B4713">
        <f>IF(ISNUMBER(Input!B4713),IF(AND(Input!B4713&gt;=20,Input!B4713&lt;=700),Input!B4713,""),"")</f>
        <v/>
      </c>
      <c r="C4713">
        <f>IF(B4713="","",INT(A4713))</f>
        <v/>
      </c>
      <c r="D4713">
        <f>IF(B4713="","",HOUR(A4713))</f>
        <v/>
      </c>
    </row>
    <row r="4714">
      <c r="A4714">
        <f>Input!A4714</f>
        <v/>
      </c>
      <c r="B4714">
        <f>IF(ISNUMBER(Input!B4714),IF(AND(Input!B4714&gt;=20,Input!B4714&lt;=700),Input!B4714,""),"")</f>
        <v/>
      </c>
      <c r="C4714">
        <f>IF(B4714="","",INT(A4714))</f>
        <v/>
      </c>
      <c r="D4714">
        <f>IF(B4714="","",HOUR(A4714))</f>
        <v/>
      </c>
    </row>
    <row r="4715">
      <c r="A4715">
        <f>Input!A4715</f>
        <v/>
      </c>
      <c r="B4715">
        <f>IF(ISNUMBER(Input!B4715),IF(AND(Input!B4715&gt;=20,Input!B4715&lt;=700),Input!B4715,""),"")</f>
        <v/>
      </c>
      <c r="C4715">
        <f>IF(B4715="","",INT(A4715))</f>
        <v/>
      </c>
      <c r="D4715">
        <f>IF(B4715="","",HOUR(A4715))</f>
        <v/>
      </c>
    </row>
    <row r="4716">
      <c r="A4716">
        <f>Input!A4716</f>
        <v/>
      </c>
      <c r="B4716">
        <f>IF(ISNUMBER(Input!B4716),IF(AND(Input!B4716&gt;=20,Input!B4716&lt;=700),Input!B4716,""),"")</f>
        <v/>
      </c>
      <c r="C4716">
        <f>IF(B4716="","",INT(A4716))</f>
        <v/>
      </c>
      <c r="D4716">
        <f>IF(B4716="","",HOUR(A4716))</f>
        <v/>
      </c>
    </row>
    <row r="4717">
      <c r="A4717">
        <f>Input!A4717</f>
        <v/>
      </c>
      <c r="B4717">
        <f>IF(ISNUMBER(Input!B4717),IF(AND(Input!B4717&gt;=20,Input!B4717&lt;=700),Input!B4717,""),"")</f>
        <v/>
      </c>
      <c r="C4717">
        <f>IF(B4717="","",INT(A4717))</f>
        <v/>
      </c>
      <c r="D4717">
        <f>IF(B4717="","",HOUR(A4717))</f>
        <v/>
      </c>
    </row>
    <row r="4718">
      <c r="A4718">
        <f>Input!A4718</f>
        <v/>
      </c>
      <c r="B4718">
        <f>IF(ISNUMBER(Input!B4718),IF(AND(Input!B4718&gt;=20,Input!B4718&lt;=700),Input!B4718,""),"")</f>
        <v/>
      </c>
      <c r="C4718">
        <f>IF(B4718="","",INT(A4718))</f>
        <v/>
      </c>
      <c r="D4718">
        <f>IF(B4718="","",HOUR(A4718))</f>
        <v/>
      </c>
    </row>
    <row r="4719">
      <c r="A4719">
        <f>Input!A4719</f>
        <v/>
      </c>
      <c r="B4719">
        <f>IF(ISNUMBER(Input!B4719),IF(AND(Input!B4719&gt;=20,Input!B4719&lt;=700),Input!B4719,""),"")</f>
        <v/>
      </c>
      <c r="C4719">
        <f>IF(B4719="","",INT(A4719))</f>
        <v/>
      </c>
      <c r="D4719">
        <f>IF(B4719="","",HOUR(A4719))</f>
        <v/>
      </c>
    </row>
    <row r="4720">
      <c r="A4720">
        <f>Input!A4720</f>
        <v/>
      </c>
      <c r="B4720">
        <f>IF(ISNUMBER(Input!B4720),IF(AND(Input!B4720&gt;=20,Input!B4720&lt;=700),Input!B4720,""),"")</f>
        <v/>
      </c>
      <c r="C4720">
        <f>IF(B4720="","",INT(A4720))</f>
        <v/>
      </c>
      <c r="D4720">
        <f>IF(B4720="","",HOUR(A4720))</f>
        <v/>
      </c>
    </row>
    <row r="4721">
      <c r="A4721">
        <f>Input!A4721</f>
        <v/>
      </c>
      <c r="B4721">
        <f>IF(ISNUMBER(Input!B4721),IF(AND(Input!B4721&gt;=20,Input!B4721&lt;=700),Input!B4721,""),"")</f>
        <v/>
      </c>
      <c r="C4721">
        <f>IF(B4721="","",INT(A4721))</f>
        <v/>
      </c>
      <c r="D4721">
        <f>IF(B4721="","",HOUR(A4721))</f>
        <v/>
      </c>
    </row>
    <row r="4722">
      <c r="A4722">
        <f>Input!A4722</f>
        <v/>
      </c>
      <c r="B4722">
        <f>IF(ISNUMBER(Input!B4722),IF(AND(Input!B4722&gt;=20,Input!B4722&lt;=700),Input!B4722,""),"")</f>
        <v/>
      </c>
      <c r="C4722">
        <f>IF(B4722="","",INT(A4722))</f>
        <v/>
      </c>
      <c r="D4722">
        <f>IF(B4722="","",HOUR(A4722))</f>
        <v/>
      </c>
    </row>
    <row r="4723">
      <c r="A4723">
        <f>Input!A4723</f>
        <v/>
      </c>
      <c r="B4723">
        <f>IF(ISNUMBER(Input!B4723),IF(AND(Input!B4723&gt;=20,Input!B4723&lt;=700),Input!B4723,""),"")</f>
        <v/>
      </c>
      <c r="C4723">
        <f>IF(B4723="","",INT(A4723))</f>
        <v/>
      </c>
      <c r="D4723">
        <f>IF(B4723="","",HOUR(A4723))</f>
        <v/>
      </c>
    </row>
    <row r="4724">
      <c r="A4724">
        <f>Input!A4724</f>
        <v/>
      </c>
      <c r="B4724">
        <f>IF(ISNUMBER(Input!B4724),IF(AND(Input!B4724&gt;=20,Input!B4724&lt;=700),Input!B4724,""),"")</f>
        <v/>
      </c>
      <c r="C4724">
        <f>IF(B4724="","",INT(A4724))</f>
        <v/>
      </c>
      <c r="D4724">
        <f>IF(B4724="","",HOUR(A4724))</f>
        <v/>
      </c>
    </row>
    <row r="4725">
      <c r="A4725">
        <f>Input!A4725</f>
        <v/>
      </c>
      <c r="B4725">
        <f>IF(ISNUMBER(Input!B4725),IF(AND(Input!B4725&gt;=20,Input!B4725&lt;=700),Input!B4725,""),"")</f>
        <v/>
      </c>
      <c r="C4725">
        <f>IF(B4725="","",INT(A4725))</f>
        <v/>
      </c>
      <c r="D4725">
        <f>IF(B4725="","",HOUR(A4725))</f>
        <v/>
      </c>
    </row>
    <row r="4726">
      <c r="A4726">
        <f>Input!A4726</f>
        <v/>
      </c>
      <c r="B4726">
        <f>IF(ISNUMBER(Input!B4726),IF(AND(Input!B4726&gt;=20,Input!B4726&lt;=700),Input!B4726,""),"")</f>
        <v/>
      </c>
      <c r="C4726">
        <f>IF(B4726="","",INT(A4726))</f>
        <v/>
      </c>
      <c r="D4726">
        <f>IF(B4726="","",HOUR(A4726))</f>
        <v/>
      </c>
    </row>
    <row r="4727">
      <c r="A4727">
        <f>Input!A4727</f>
        <v/>
      </c>
      <c r="B4727">
        <f>IF(ISNUMBER(Input!B4727),IF(AND(Input!B4727&gt;=20,Input!B4727&lt;=700),Input!B4727,""),"")</f>
        <v/>
      </c>
      <c r="C4727">
        <f>IF(B4727="","",INT(A4727))</f>
        <v/>
      </c>
      <c r="D4727">
        <f>IF(B4727="","",HOUR(A4727))</f>
        <v/>
      </c>
    </row>
    <row r="4728">
      <c r="A4728">
        <f>Input!A4728</f>
        <v/>
      </c>
      <c r="B4728">
        <f>IF(ISNUMBER(Input!B4728),IF(AND(Input!B4728&gt;=20,Input!B4728&lt;=700),Input!B4728,""),"")</f>
        <v/>
      </c>
      <c r="C4728">
        <f>IF(B4728="","",INT(A4728))</f>
        <v/>
      </c>
      <c r="D4728">
        <f>IF(B4728="","",HOUR(A4728))</f>
        <v/>
      </c>
    </row>
    <row r="4729">
      <c r="A4729">
        <f>Input!A4729</f>
        <v/>
      </c>
      <c r="B4729">
        <f>IF(ISNUMBER(Input!B4729),IF(AND(Input!B4729&gt;=20,Input!B4729&lt;=700),Input!B4729,""),"")</f>
        <v/>
      </c>
      <c r="C4729">
        <f>IF(B4729="","",INT(A4729))</f>
        <v/>
      </c>
      <c r="D4729">
        <f>IF(B4729="","",HOUR(A4729))</f>
        <v/>
      </c>
    </row>
    <row r="4730">
      <c r="A4730">
        <f>Input!A4730</f>
        <v/>
      </c>
      <c r="B4730">
        <f>IF(ISNUMBER(Input!B4730),IF(AND(Input!B4730&gt;=20,Input!B4730&lt;=700),Input!B4730,""),"")</f>
        <v/>
      </c>
      <c r="C4730">
        <f>IF(B4730="","",INT(A4730))</f>
        <v/>
      </c>
      <c r="D4730">
        <f>IF(B4730="","",HOUR(A4730))</f>
        <v/>
      </c>
    </row>
    <row r="4731">
      <c r="A4731">
        <f>Input!A4731</f>
        <v/>
      </c>
      <c r="B4731">
        <f>IF(ISNUMBER(Input!B4731),IF(AND(Input!B4731&gt;=20,Input!B4731&lt;=700),Input!B4731,""),"")</f>
        <v/>
      </c>
      <c r="C4731">
        <f>IF(B4731="","",INT(A4731))</f>
        <v/>
      </c>
      <c r="D4731">
        <f>IF(B4731="","",HOUR(A4731))</f>
        <v/>
      </c>
    </row>
    <row r="4732">
      <c r="A4732">
        <f>Input!A4732</f>
        <v/>
      </c>
      <c r="B4732">
        <f>IF(ISNUMBER(Input!B4732),IF(AND(Input!B4732&gt;=20,Input!B4732&lt;=700),Input!B4732,""),"")</f>
        <v/>
      </c>
      <c r="C4732">
        <f>IF(B4732="","",INT(A4732))</f>
        <v/>
      </c>
      <c r="D4732">
        <f>IF(B4732="","",HOUR(A4732))</f>
        <v/>
      </c>
    </row>
    <row r="4733">
      <c r="A4733">
        <f>Input!A4733</f>
        <v/>
      </c>
      <c r="B4733">
        <f>IF(ISNUMBER(Input!B4733),IF(AND(Input!B4733&gt;=20,Input!B4733&lt;=700),Input!B4733,""),"")</f>
        <v/>
      </c>
      <c r="C4733">
        <f>IF(B4733="","",INT(A4733))</f>
        <v/>
      </c>
      <c r="D4733">
        <f>IF(B4733="","",HOUR(A4733))</f>
        <v/>
      </c>
    </row>
    <row r="4734">
      <c r="A4734">
        <f>Input!A4734</f>
        <v/>
      </c>
      <c r="B4734">
        <f>IF(ISNUMBER(Input!B4734),IF(AND(Input!B4734&gt;=20,Input!B4734&lt;=700),Input!B4734,""),"")</f>
        <v/>
      </c>
      <c r="C4734">
        <f>IF(B4734="","",INT(A4734))</f>
        <v/>
      </c>
      <c r="D4734">
        <f>IF(B4734="","",HOUR(A4734))</f>
        <v/>
      </c>
    </row>
    <row r="4735">
      <c r="A4735">
        <f>Input!A4735</f>
        <v/>
      </c>
      <c r="B4735">
        <f>IF(ISNUMBER(Input!B4735),IF(AND(Input!B4735&gt;=20,Input!B4735&lt;=700),Input!B4735,""),"")</f>
        <v/>
      </c>
      <c r="C4735">
        <f>IF(B4735="","",INT(A4735))</f>
        <v/>
      </c>
      <c r="D4735">
        <f>IF(B4735="","",HOUR(A4735))</f>
        <v/>
      </c>
    </row>
    <row r="4736">
      <c r="A4736">
        <f>Input!A4736</f>
        <v/>
      </c>
      <c r="B4736">
        <f>IF(ISNUMBER(Input!B4736),IF(AND(Input!B4736&gt;=20,Input!B4736&lt;=700),Input!B4736,""),"")</f>
        <v/>
      </c>
      <c r="C4736">
        <f>IF(B4736="","",INT(A4736))</f>
        <v/>
      </c>
      <c r="D4736">
        <f>IF(B4736="","",HOUR(A4736))</f>
        <v/>
      </c>
    </row>
    <row r="4737">
      <c r="A4737">
        <f>Input!A4737</f>
        <v/>
      </c>
      <c r="B4737">
        <f>IF(ISNUMBER(Input!B4737),IF(AND(Input!B4737&gt;=20,Input!B4737&lt;=700),Input!B4737,""),"")</f>
        <v/>
      </c>
      <c r="C4737">
        <f>IF(B4737="","",INT(A4737))</f>
        <v/>
      </c>
      <c r="D4737">
        <f>IF(B4737="","",HOUR(A4737))</f>
        <v/>
      </c>
    </row>
    <row r="4738">
      <c r="A4738">
        <f>Input!A4738</f>
        <v/>
      </c>
      <c r="B4738">
        <f>IF(ISNUMBER(Input!B4738),IF(AND(Input!B4738&gt;=20,Input!B4738&lt;=700),Input!B4738,""),"")</f>
        <v/>
      </c>
      <c r="C4738">
        <f>IF(B4738="","",INT(A4738))</f>
        <v/>
      </c>
      <c r="D4738">
        <f>IF(B4738="","",HOUR(A4738))</f>
        <v/>
      </c>
    </row>
    <row r="4739">
      <c r="A4739">
        <f>Input!A4739</f>
        <v/>
      </c>
      <c r="B4739">
        <f>IF(ISNUMBER(Input!B4739),IF(AND(Input!B4739&gt;=20,Input!B4739&lt;=700),Input!B4739,""),"")</f>
        <v/>
      </c>
      <c r="C4739">
        <f>IF(B4739="","",INT(A4739))</f>
        <v/>
      </c>
      <c r="D4739">
        <f>IF(B4739="","",HOUR(A4739))</f>
        <v/>
      </c>
    </row>
    <row r="4740">
      <c r="A4740">
        <f>Input!A4740</f>
        <v/>
      </c>
      <c r="B4740">
        <f>IF(ISNUMBER(Input!B4740),IF(AND(Input!B4740&gt;=20,Input!B4740&lt;=700),Input!B4740,""),"")</f>
        <v/>
      </c>
      <c r="C4740">
        <f>IF(B4740="","",INT(A4740))</f>
        <v/>
      </c>
      <c r="D4740">
        <f>IF(B4740="","",HOUR(A4740))</f>
        <v/>
      </c>
    </row>
    <row r="4741">
      <c r="A4741">
        <f>Input!A4741</f>
        <v/>
      </c>
      <c r="B4741">
        <f>IF(ISNUMBER(Input!B4741),IF(AND(Input!B4741&gt;=20,Input!B4741&lt;=700),Input!B4741,""),"")</f>
        <v/>
      </c>
      <c r="C4741">
        <f>IF(B4741="","",INT(A4741))</f>
        <v/>
      </c>
      <c r="D4741">
        <f>IF(B4741="","",HOUR(A4741))</f>
        <v/>
      </c>
    </row>
    <row r="4742">
      <c r="A4742">
        <f>Input!A4742</f>
        <v/>
      </c>
      <c r="B4742">
        <f>IF(ISNUMBER(Input!B4742),IF(AND(Input!B4742&gt;=20,Input!B4742&lt;=700),Input!B4742,""),"")</f>
        <v/>
      </c>
      <c r="C4742">
        <f>IF(B4742="","",INT(A4742))</f>
        <v/>
      </c>
      <c r="D4742">
        <f>IF(B4742="","",HOUR(A4742))</f>
        <v/>
      </c>
    </row>
    <row r="4743">
      <c r="A4743">
        <f>Input!A4743</f>
        <v/>
      </c>
      <c r="B4743">
        <f>IF(ISNUMBER(Input!B4743),IF(AND(Input!B4743&gt;=20,Input!B4743&lt;=700),Input!B4743,""),"")</f>
        <v/>
      </c>
      <c r="C4743">
        <f>IF(B4743="","",INT(A4743))</f>
        <v/>
      </c>
      <c r="D4743">
        <f>IF(B4743="","",HOUR(A4743))</f>
        <v/>
      </c>
    </row>
    <row r="4744">
      <c r="A4744">
        <f>Input!A4744</f>
        <v/>
      </c>
      <c r="B4744">
        <f>IF(ISNUMBER(Input!B4744),IF(AND(Input!B4744&gt;=20,Input!B4744&lt;=700),Input!B4744,""),"")</f>
        <v/>
      </c>
      <c r="C4744">
        <f>IF(B4744="","",INT(A4744))</f>
        <v/>
      </c>
      <c r="D4744">
        <f>IF(B4744="","",HOUR(A4744))</f>
        <v/>
      </c>
    </row>
    <row r="4745">
      <c r="A4745">
        <f>Input!A4745</f>
        <v/>
      </c>
      <c r="B4745">
        <f>IF(ISNUMBER(Input!B4745),IF(AND(Input!B4745&gt;=20,Input!B4745&lt;=700),Input!B4745,""),"")</f>
        <v/>
      </c>
      <c r="C4745">
        <f>IF(B4745="","",INT(A4745))</f>
        <v/>
      </c>
      <c r="D4745">
        <f>IF(B4745="","",HOUR(A4745))</f>
        <v/>
      </c>
    </row>
    <row r="4746">
      <c r="A4746">
        <f>Input!A4746</f>
        <v/>
      </c>
      <c r="B4746">
        <f>IF(ISNUMBER(Input!B4746),IF(AND(Input!B4746&gt;=20,Input!B4746&lt;=700),Input!B4746,""),"")</f>
        <v/>
      </c>
      <c r="C4746">
        <f>IF(B4746="","",INT(A4746))</f>
        <v/>
      </c>
      <c r="D4746">
        <f>IF(B4746="","",HOUR(A4746))</f>
        <v/>
      </c>
    </row>
    <row r="4747">
      <c r="A4747">
        <f>Input!A4747</f>
        <v/>
      </c>
      <c r="B4747">
        <f>IF(ISNUMBER(Input!B4747),IF(AND(Input!B4747&gt;=20,Input!B4747&lt;=700),Input!B4747,""),"")</f>
        <v/>
      </c>
      <c r="C4747">
        <f>IF(B4747="","",INT(A4747))</f>
        <v/>
      </c>
      <c r="D4747">
        <f>IF(B4747="","",HOUR(A4747))</f>
        <v/>
      </c>
    </row>
    <row r="4748">
      <c r="A4748">
        <f>Input!A4748</f>
        <v/>
      </c>
      <c r="B4748">
        <f>IF(ISNUMBER(Input!B4748),IF(AND(Input!B4748&gt;=20,Input!B4748&lt;=700),Input!B4748,""),"")</f>
        <v/>
      </c>
      <c r="C4748">
        <f>IF(B4748="","",INT(A4748))</f>
        <v/>
      </c>
      <c r="D4748">
        <f>IF(B4748="","",HOUR(A4748))</f>
        <v/>
      </c>
    </row>
    <row r="4749">
      <c r="A4749">
        <f>Input!A4749</f>
        <v/>
      </c>
      <c r="B4749">
        <f>IF(ISNUMBER(Input!B4749),IF(AND(Input!B4749&gt;=20,Input!B4749&lt;=700),Input!B4749,""),"")</f>
        <v/>
      </c>
      <c r="C4749">
        <f>IF(B4749="","",INT(A4749))</f>
        <v/>
      </c>
      <c r="D4749">
        <f>IF(B4749="","",HOUR(A4749))</f>
        <v/>
      </c>
    </row>
    <row r="4750">
      <c r="A4750">
        <f>Input!A4750</f>
        <v/>
      </c>
      <c r="B4750">
        <f>IF(ISNUMBER(Input!B4750),IF(AND(Input!B4750&gt;=20,Input!B4750&lt;=700),Input!B4750,""),"")</f>
        <v/>
      </c>
      <c r="C4750">
        <f>IF(B4750="","",INT(A4750))</f>
        <v/>
      </c>
      <c r="D4750">
        <f>IF(B4750="","",HOUR(A4750))</f>
        <v/>
      </c>
    </row>
    <row r="4751">
      <c r="A4751">
        <f>Input!A4751</f>
        <v/>
      </c>
      <c r="B4751">
        <f>IF(ISNUMBER(Input!B4751),IF(AND(Input!B4751&gt;=20,Input!B4751&lt;=700),Input!B4751,""),"")</f>
        <v/>
      </c>
      <c r="C4751">
        <f>IF(B4751="","",INT(A4751))</f>
        <v/>
      </c>
      <c r="D4751">
        <f>IF(B4751="","",HOUR(A4751))</f>
        <v/>
      </c>
    </row>
    <row r="4752">
      <c r="A4752">
        <f>Input!A4752</f>
        <v/>
      </c>
      <c r="B4752">
        <f>IF(ISNUMBER(Input!B4752),IF(AND(Input!B4752&gt;=20,Input!B4752&lt;=700),Input!B4752,""),"")</f>
        <v/>
      </c>
      <c r="C4752">
        <f>IF(B4752="","",INT(A4752))</f>
        <v/>
      </c>
      <c r="D4752">
        <f>IF(B4752="","",HOUR(A4752))</f>
        <v/>
      </c>
    </row>
    <row r="4753">
      <c r="A4753">
        <f>Input!A4753</f>
        <v/>
      </c>
      <c r="B4753">
        <f>IF(ISNUMBER(Input!B4753),IF(AND(Input!B4753&gt;=20,Input!B4753&lt;=700),Input!B4753,""),"")</f>
        <v/>
      </c>
      <c r="C4753">
        <f>IF(B4753="","",INT(A4753))</f>
        <v/>
      </c>
      <c r="D4753">
        <f>IF(B4753="","",HOUR(A4753))</f>
        <v/>
      </c>
    </row>
    <row r="4754">
      <c r="A4754">
        <f>Input!A4754</f>
        <v/>
      </c>
      <c r="B4754">
        <f>IF(ISNUMBER(Input!B4754),IF(AND(Input!B4754&gt;=20,Input!B4754&lt;=700),Input!B4754,""),"")</f>
        <v/>
      </c>
      <c r="C4754">
        <f>IF(B4754="","",INT(A4754))</f>
        <v/>
      </c>
      <c r="D4754">
        <f>IF(B4754="","",HOUR(A4754))</f>
        <v/>
      </c>
    </row>
    <row r="4755">
      <c r="A4755">
        <f>Input!A4755</f>
        <v/>
      </c>
      <c r="B4755">
        <f>IF(ISNUMBER(Input!B4755),IF(AND(Input!B4755&gt;=20,Input!B4755&lt;=700),Input!B4755,""),"")</f>
        <v/>
      </c>
      <c r="C4755">
        <f>IF(B4755="","",INT(A4755))</f>
        <v/>
      </c>
      <c r="D4755">
        <f>IF(B4755="","",HOUR(A4755))</f>
        <v/>
      </c>
    </row>
    <row r="4756">
      <c r="A4756">
        <f>Input!A4756</f>
        <v/>
      </c>
      <c r="B4756">
        <f>IF(ISNUMBER(Input!B4756),IF(AND(Input!B4756&gt;=20,Input!B4756&lt;=700),Input!B4756,""),"")</f>
        <v/>
      </c>
      <c r="C4756">
        <f>IF(B4756="","",INT(A4756))</f>
        <v/>
      </c>
      <c r="D4756">
        <f>IF(B4756="","",HOUR(A4756))</f>
        <v/>
      </c>
    </row>
    <row r="4757">
      <c r="A4757">
        <f>Input!A4757</f>
        <v/>
      </c>
      <c r="B4757">
        <f>IF(ISNUMBER(Input!B4757),IF(AND(Input!B4757&gt;=20,Input!B4757&lt;=700),Input!B4757,""),"")</f>
        <v/>
      </c>
      <c r="C4757">
        <f>IF(B4757="","",INT(A4757))</f>
        <v/>
      </c>
      <c r="D4757">
        <f>IF(B4757="","",HOUR(A4757))</f>
        <v/>
      </c>
    </row>
    <row r="4758">
      <c r="A4758">
        <f>Input!A4758</f>
        <v/>
      </c>
      <c r="B4758">
        <f>IF(ISNUMBER(Input!B4758),IF(AND(Input!B4758&gt;=20,Input!B4758&lt;=700),Input!B4758,""),"")</f>
        <v/>
      </c>
      <c r="C4758">
        <f>IF(B4758="","",INT(A4758))</f>
        <v/>
      </c>
      <c r="D4758">
        <f>IF(B4758="","",HOUR(A4758))</f>
        <v/>
      </c>
    </row>
    <row r="4759">
      <c r="A4759">
        <f>Input!A4759</f>
        <v/>
      </c>
      <c r="B4759">
        <f>IF(ISNUMBER(Input!B4759),IF(AND(Input!B4759&gt;=20,Input!B4759&lt;=700),Input!B4759,""),"")</f>
        <v/>
      </c>
      <c r="C4759">
        <f>IF(B4759="","",INT(A4759))</f>
        <v/>
      </c>
      <c r="D4759">
        <f>IF(B4759="","",HOUR(A4759))</f>
        <v/>
      </c>
    </row>
    <row r="4760">
      <c r="A4760">
        <f>Input!A4760</f>
        <v/>
      </c>
      <c r="B4760">
        <f>IF(ISNUMBER(Input!B4760),IF(AND(Input!B4760&gt;=20,Input!B4760&lt;=700),Input!B4760,""),"")</f>
        <v/>
      </c>
      <c r="C4760">
        <f>IF(B4760="","",INT(A4760))</f>
        <v/>
      </c>
      <c r="D4760">
        <f>IF(B4760="","",HOUR(A4760))</f>
        <v/>
      </c>
    </row>
    <row r="4761">
      <c r="A4761">
        <f>Input!A4761</f>
        <v/>
      </c>
      <c r="B4761">
        <f>IF(ISNUMBER(Input!B4761),IF(AND(Input!B4761&gt;=20,Input!B4761&lt;=700),Input!B4761,""),"")</f>
        <v/>
      </c>
      <c r="C4761">
        <f>IF(B4761="","",INT(A4761))</f>
        <v/>
      </c>
      <c r="D4761">
        <f>IF(B4761="","",HOUR(A4761))</f>
        <v/>
      </c>
    </row>
    <row r="4762">
      <c r="A4762">
        <f>Input!A4762</f>
        <v/>
      </c>
      <c r="B4762">
        <f>IF(ISNUMBER(Input!B4762),IF(AND(Input!B4762&gt;=20,Input!B4762&lt;=700),Input!B4762,""),"")</f>
        <v/>
      </c>
      <c r="C4762">
        <f>IF(B4762="","",INT(A4762))</f>
        <v/>
      </c>
      <c r="D4762">
        <f>IF(B4762="","",HOUR(A4762))</f>
        <v/>
      </c>
    </row>
    <row r="4763">
      <c r="A4763">
        <f>Input!A4763</f>
        <v/>
      </c>
      <c r="B4763">
        <f>IF(ISNUMBER(Input!B4763),IF(AND(Input!B4763&gt;=20,Input!B4763&lt;=700),Input!B4763,""),"")</f>
        <v/>
      </c>
      <c r="C4763">
        <f>IF(B4763="","",INT(A4763))</f>
        <v/>
      </c>
      <c r="D4763">
        <f>IF(B4763="","",HOUR(A4763))</f>
        <v/>
      </c>
    </row>
    <row r="4764">
      <c r="A4764">
        <f>Input!A4764</f>
        <v/>
      </c>
      <c r="B4764">
        <f>IF(ISNUMBER(Input!B4764),IF(AND(Input!B4764&gt;=20,Input!B4764&lt;=700),Input!B4764,""),"")</f>
        <v/>
      </c>
      <c r="C4764">
        <f>IF(B4764="","",INT(A4764))</f>
        <v/>
      </c>
      <c r="D4764">
        <f>IF(B4764="","",HOUR(A4764))</f>
        <v/>
      </c>
    </row>
    <row r="4765">
      <c r="A4765">
        <f>Input!A4765</f>
        <v/>
      </c>
      <c r="B4765">
        <f>IF(ISNUMBER(Input!B4765),IF(AND(Input!B4765&gt;=20,Input!B4765&lt;=700),Input!B4765,""),"")</f>
        <v/>
      </c>
      <c r="C4765">
        <f>IF(B4765="","",INT(A4765))</f>
        <v/>
      </c>
      <c r="D4765">
        <f>IF(B4765="","",HOUR(A4765))</f>
        <v/>
      </c>
    </row>
    <row r="4766">
      <c r="A4766">
        <f>Input!A4766</f>
        <v/>
      </c>
      <c r="B4766">
        <f>IF(ISNUMBER(Input!B4766),IF(AND(Input!B4766&gt;=20,Input!B4766&lt;=700),Input!B4766,""),"")</f>
        <v/>
      </c>
      <c r="C4766">
        <f>IF(B4766="","",INT(A4766))</f>
        <v/>
      </c>
      <c r="D4766">
        <f>IF(B4766="","",HOUR(A4766))</f>
        <v/>
      </c>
    </row>
    <row r="4767">
      <c r="A4767">
        <f>Input!A4767</f>
        <v/>
      </c>
      <c r="B4767">
        <f>IF(ISNUMBER(Input!B4767),IF(AND(Input!B4767&gt;=20,Input!B4767&lt;=700),Input!B4767,""),"")</f>
        <v/>
      </c>
      <c r="C4767">
        <f>IF(B4767="","",INT(A4767))</f>
        <v/>
      </c>
      <c r="D4767">
        <f>IF(B4767="","",HOUR(A4767))</f>
        <v/>
      </c>
    </row>
    <row r="4768">
      <c r="A4768">
        <f>Input!A4768</f>
        <v/>
      </c>
      <c r="B4768">
        <f>IF(ISNUMBER(Input!B4768),IF(AND(Input!B4768&gt;=20,Input!B4768&lt;=700),Input!B4768,""),"")</f>
        <v/>
      </c>
      <c r="C4768">
        <f>IF(B4768="","",INT(A4768))</f>
        <v/>
      </c>
      <c r="D4768">
        <f>IF(B4768="","",HOUR(A4768))</f>
        <v/>
      </c>
    </row>
    <row r="4769">
      <c r="A4769">
        <f>Input!A4769</f>
        <v/>
      </c>
      <c r="B4769">
        <f>IF(ISNUMBER(Input!B4769),IF(AND(Input!B4769&gt;=20,Input!B4769&lt;=700),Input!B4769,""),"")</f>
        <v/>
      </c>
      <c r="C4769">
        <f>IF(B4769="","",INT(A4769))</f>
        <v/>
      </c>
      <c r="D4769">
        <f>IF(B4769="","",HOUR(A4769))</f>
        <v/>
      </c>
    </row>
    <row r="4770">
      <c r="A4770">
        <f>Input!A4770</f>
        <v/>
      </c>
      <c r="B4770">
        <f>IF(ISNUMBER(Input!B4770),IF(AND(Input!B4770&gt;=20,Input!B4770&lt;=700),Input!B4770,""),"")</f>
        <v/>
      </c>
      <c r="C4770">
        <f>IF(B4770="","",INT(A4770))</f>
        <v/>
      </c>
      <c r="D4770">
        <f>IF(B4770="","",HOUR(A4770))</f>
        <v/>
      </c>
    </row>
    <row r="4771">
      <c r="A4771">
        <f>Input!A4771</f>
        <v/>
      </c>
      <c r="B4771">
        <f>IF(ISNUMBER(Input!B4771),IF(AND(Input!B4771&gt;=20,Input!B4771&lt;=700),Input!B4771,""),"")</f>
        <v/>
      </c>
      <c r="C4771">
        <f>IF(B4771="","",INT(A4771))</f>
        <v/>
      </c>
      <c r="D4771">
        <f>IF(B4771="","",HOUR(A4771))</f>
        <v/>
      </c>
    </row>
    <row r="4772">
      <c r="A4772">
        <f>Input!A4772</f>
        <v/>
      </c>
      <c r="B4772">
        <f>IF(ISNUMBER(Input!B4772),IF(AND(Input!B4772&gt;=20,Input!B4772&lt;=700),Input!B4772,""),"")</f>
        <v/>
      </c>
      <c r="C4772">
        <f>IF(B4772="","",INT(A4772))</f>
        <v/>
      </c>
      <c r="D4772">
        <f>IF(B4772="","",HOUR(A4772))</f>
        <v/>
      </c>
    </row>
    <row r="4773">
      <c r="A4773">
        <f>Input!A4773</f>
        <v/>
      </c>
      <c r="B4773">
        <f>IF(ISNUMBER(Input!B4773),IF(AND(Input!B4773&gt;=20,Input!B4773&lt;=700),Input!B4773,""),"")</f>
        <v/>
      </c>
      <c r="C4773">
        <f>IF(B4773="","",INT(A4773))</f>
        <v/>
      </c>
      <c r="D4773">
        <f>IF(B4773="","",HOUR(A4773))</f>
        <v/>
      </c>
    </row>
    <row r="4774">
      <c r="A4774">
        <f>Input!A4774</f>
        <v/>
      </c>
      <c r="B4774">
        <f>IF(ISNUMBER(Input!B4774),IF(AND(Input!B4774&gt;=20,Input!B4774&lt;=700),Input!B4774,""),"")</f>
        <v/>
      </c>
      <c r="C4774">
        <f>IF(B4774="","",INT(A4774))</f>
        <v/>
      </c>
      <c r="D4774">
        <f>IF(B4774="","",HOUR(A4774))</f>
        <v/>
      </c>
    </row>
    <row r="4775">
      <c r="A4775">
        <f>Input!A4775</f>
        <v/>
      </c>
      <c r="B4775">
        <f>IF(ISNUMBER(Input!B4775),IF(AND(Input!B4775&gt;=20,Input!B4775&lt;=700),Input!B4775,""),"")</f>
        <v/>
      </c>
      <c r="C4775">
        <f>IF(B4775="","",INT(A4775))</f>
        <v/>
      </c>
      <c r="D4775">
        <f>IF(B4775="","",HOUR(A4775))</f>
        <v/>
      </c>
    </row>
    <row r="4776">
      <c r="A4776">
        <f>Input!A4776</f>
        <v/>
      </c>
      <c r="B4776">
        <f>IF(ISNUMBER(Input!B4776),IF(AND(Input!B4776&gt;=20,Input!B4776&lt;=700),Input!B4776,""),"")</f>
        <v/>
      </c>
      <c r="C4776">
        <f>IF(B4776="","",INT(A4776))</f>
        <v/>
      </c>
      <c r="D4776">
        <f>IF(B4776="","",HOUR(A4776))</f>
        <v/>
      </c>
    </row>
    <row r="4777">
      <c r="A4777">
        <f>Input!A4777</f>
        <v/>
      </c>
      <c r="B4777">
        <f>IF(ISNUMBER(Input!B4777),IF(AND(Input!B4777&gt;=20,Input!B4777&lt;=700),Input!B4777,""),"")</f>
        <v/>
      </c>
      <c r="C4777">
        <f>IF(B4777="","",INT(A4777))</f>
        <v/>
      </c>
      <c r="D4777">
        <f>IF(B4777="","",HOUR(A4777))</f>
        <v/>
      </c>
    </row>
    <row r="4778">
      <c r="A4778">
        <f>Input!A4778</f>
        <v/>
      </c>
      <c r="B4778">
        <f>IF(ISNUMBER(Input!B4778),IF(AND(Input!B4778&gt;=20,Input!B4778&lt;=700),Input!B4778,""),"")</f>
        <v/>
      </c>
      <c r="C4778">
        <f>IF(B4778="","",INT(A4778))</f>
        <v/>
      </c>
      <c r="D4778">
        <f>IF(B4778="","",HOUR(A4778))</f>
        <v/>
      </c>
    </row>
    <row r="4779">
      <c r="A4779">
        <f>Input!A4779</f>
        <v/>
      </c>
      <c r="B4779">
        <f>IF(ISNUMBER(Input!B4779),IF(AND(Input!B4779&gt;=20,Input!B4779&lt;=700),Input!B4779,""),"")</f>
        <v/>
      </c>
      <c r="C4779">
        <f>IF(B4779="","",INT(A4779))</f>
        <v/>
      </c>
      <c r="D4779">
        <f>IF(B4779="","",HOUR(A4779))</f>
        <v/>
      </c>
    </row>
    <row r="4780">
      <c r="A4780">
        <f>Input!A4780</f>
        <v/>
      </c>
      <c r="B4780">
        <f>IF(ISNUMBER(Input!B4780),IF(AND(Input!B4780&gt;=20,Input!B4780&lt;=700),Input!B4780,""),"")</f>
        <v/>
      </c>
      <c r="C4780">
        <f>IF(B4780="","",INT(A4780))</f>
        <v/>
      </c>
      <c r="D4780">
        <f>IF(B4780="","",HOUR(A4780))</f>
        <v/>
      </c>
    </row>
    <row r="4781">
      <c r="A4781">
        <f>Input!A4781</f>
        <v/>
      </c>
      <c r="B4781">
        <f>IF(ISNUMBER(Input!B4781),IF(AND(Input!B4781&gt;=20,Input!B4781&lt;=700),Input!B4781,""),"")</f>
        <v/>
      </c>
      <c r="C4781">
        <f>IF(B4781="","",INT(A4781))</f>
        <v/>
      </c>
      <c r="D4781">
        <f>IF(B4781="","",HOUR(A4781))</f>
        <v/>
      </c>
    </row>
    <row r="4782">
      <c r="A4782">
        <f>Input!A4782</f>
        <v/>
      </c>
      <c r="B4782">
        <f>IF(ISNUMBER(Input!B4782),IF(AND(Input!B4782&gt;=20,Input!B4782&lt;=700),Input!B4782,""),"")</f>
        <v/>
      </c>
      <c r="C4782">
        <f>IF(B4782="","",INT(A4782))</f>
        <v/>
      </c>
      <c r="D4782">
        <f>IF(B4782="","",HOUR(A4782))</f>
        <v/>
      </c>
    </row>
    <row r="4783">
      <c r="A4783">
        <f>Input!A4783</f>
        <v/>
      </c>
      <c r="B4783">
        <f>IF(ISNUMBER(Input!B4783),IF(AND(Input!B4783&gt;=20,Input!B4783&lt;=700),Input!B4783,""),"")</f>
        <v/>
      </c>
      <c r="C4783">
        <f>IF(B4783="","",INT(A4783))</f>
        <v/>
      </c>
      <c r="D4783">
        <f>IF(B4783="","",HOUR(A4783))</f>
        <v/>
      </c>
    </row>
    <row r="4784">
      <c r="A4784">
        <f>Input!A4784</f>
        <v/>
      </c>
      <c r="B4784">
        <f>IF(ISNUMBER(Input!B4784),IF(AND(Input!B4784&gt;=20,Input!B4784&lt;=700),Input!B4784,""),"")</f>
        <v/>
      </c>
      <c r="C4784">
        <f>IF(B4784="","",INT(A4784))</f>
        <v/>
      </c>
      <c r="D4784">
        <f>IF(B4784="","",HOUR(A4784))</f>
        <v/>
      </c>
    </row>
    <row r="4785">
      <c r="A4785">
        <f>Input!A4785</f>
        <v/>
      </c>
      <c r="B4785">
        <f>IF(ISNUMBER(Input!B4785),IF(AND(Input!B4785&gt;=20,Input!B4785&lt;=700),Input!B4785,""),"")</f>
        <v/>
      </c>
      <c r="C4785">
        <f>IF(B4785="","",INT(A4785))</f>
        <v/>
      </c>
      <c r="D4785">
        <f>IF(B4785="","",HOUR(A4785))</f>
        <v/>
      </c>
    </row>
    <row r="4786">
      <c r="A4786">
        <f>Input!A4786</f>
        <v/>
      </c>
      <c r="B4786">
        <f>IF(ISNUMBER(Input!B4786),IF(AND(Input!B4786&gt;=20,Input!B4786&lt;=700),Input!B4786,""),"")</f>
        <v/>
      </c>
      <c r="C4786">
        <f>IF(B4786="","",INT(A4786))</f>
        <v/>
      </c>
      <c r="D4786">
        <f>IF(B4786="","",HOUR(A4786))</f>
        <v/>
      </c>
    </row>
    <row r="4787">
      <c r="A4787">
        <f>Input!A4787</f>
        <v/>
      </c>
      <c r="B4787">
        <f>IF(ISNUMBER(Input!B4787),IF(AND(Input!B4787&gt;=20,Input!B4787&lt;=700),Input!B4787,""),"")</f>
        <v/>
      </c>
      <c r="C4787">
        <f>IF(B4787="","",INT(A4787))</f>
        <v/>
      </c>
      <c r="D4787">
        <f>IF(B4787="","",HOUR(A4787))</f>
        <v/>
      </c>
    </row>
    <row r="4788">
      <c r="A4788">
        <f>Input!A4788</f>
        <v/>
      </c>
      <c r="B4788">
        <f>IF(ISNUMBER(Input!B4788),IF(AND(Input!B4788&gt;=20,Input!B4788&lt;=700),Input!B4788,""),"")</f>
        <v/>
      </c>
      <c r="C4788">
        <f>IF(B4788="","",INT(A4788))</f>
        <v/>
      </c>
      <c r="D4788">
        <f>IF(B4788="","",HOUR(A4788))</f>
        <v/>
      </c>
    </row>
    <row r="4789">
      <c r="A4789">
        <f>Input!A4789</f>
        <v/>
      </c>
      <c r="B4789">
        <f>IF(ISNUMBER(Input!B4789),IF(AND(Input!B4789&gt;=20,Input!B4789&lt;=700),Input!B4789,""),"")</f>
        <v/>
      </c>
      <c r="C4789">
        <f>IF(B4789="","",INT(A4789))</f>
        <v/>
      </c>
      <c r="D4789">
        <f>IF(B4789="","",HOUR(A4789))</f>
        <v/>
      </c>
    </row>
    <row r="4790">
      <c r="A4790">
        <f>Input!A4790</f>
        <v/>
      </c>
      <c r="B4790">
        <f>IF(ISNUMBER(Input!B4790),IF(AND(Input!B4790&gt;=20,Input!B4790&lt;=700),Input!B4790,""),"")</f>
        <v/>
      </c>
      <c r="C4790">
        <f>IF(B4790="","",INT(A4790))</f>
        <v/>
      </c>
      <c r="D4790">
        <f>IF(B4790="","",HOUR(A4790))</f>
        <v/>
      </c>
    </row>
    <row r="4791">
      <c r="A4791">
        <f>Input!A4791</f>
        <v/>
      </c>
      <c r="B4791">
        <f>IF(ISNUMBER(Input!B4791),IF(AND(Input!B4791&gt;=20,Input!B4791&lt;=700),Input!B4791,""),"")</f>
        <v/>
      </c>
      <c r="C4791">
        <f>IF(B4791="","",INT(A4791))</f>
        <v/>
      </c>
      <c r="D4791">
        <f>IF(B4791="","",HOUR(A4791))</f>
        <v/>
      </c>
    </row>
    <row r="4792">
      <c r="A4792">
        <f>Input!A4792</f>
        <v/>
      </c>
      <c r="B4792">
        <f>IF(ISNUMBER(Input!B4792),IF(AND(Input!B4792&gt;=20,Input!B4792&lt;=700),Input!B4792,""),"")</f>
        <v/>
      </c>
      <c r="C4792">
        <f>IF(B4792="","",INT(A4792))</f>
        <v/>
      </c>
      <c r="D4792">
        <f>IF(B4792="","",HOUR(A4792))</f>
        <v/>
      </c>
    </row>
    <row r="4793">
      <c r="A4793">
        <f>Input!A4793</f>
        <v/>
      </c>
      <c r="B4793">
        <f>IF(ISNUMBER(Input!B4793),IF(AND(Input!B4793&gt;=20,Input!B4793&lt;=700),Input!B4793,""),"")</f>
        <v/>
      </c>
      <c r="C4793">
        <f>IF(B4793="","",INT(A4793))</f>
        <v/>
      </c>
      <c r="D4793">
        <f>IF(B4793="","",HOUR(A4793))</f>
        <v/>
      </c>
    </row>
    <row r="4794">
      <c r="A4794">
        <f>Input!A4794</f>
        <v/>
      </c>
      <c r="B4794">
        <f>IF(ISNUMBER(Input!B4794),IF(AND(Input!B4794&gt;=20,Input!B4794&lt;=700),Input!B4794,""),"")</f>
        <v/>
      </c>
      <c r="C4794">
        <f>IF(B4794="","",INT(A4794))</f>
        <v/>
      </c>
      <c r="D4794">
        <f>IF(B4794="","",HOUR(A4794))</f>
        <v/>
      </c>
    </row>
    <row r="4795">
      <c r="A4795">
        <f>Input!A4795</f>
        <v/>
      </c>
      <c r="B4795">
        <f>IF(ISNUMBER(Input!B4795),IF(AND(Input!B4795&gt;=20,Input!B4795&lt;=700),Input!B4795,""),"")</f>
        <v/>
      </c>
      <c r="C4795">
        <f>IF(B4795="","",INT(A4795))</f>
        <v/>
      </c>
      <c r="D4795">
        <f>IF(B4795="","",HOUR(A4795))</f>
        <v/>
      </c>
    </row>
    <row r="4796">
      <c r="A4796">
        <f>Input!A4796</f>
        <v/>
      </c>
      <c r="B4796">
        <f>IF(ISNUMBER(Input!B4796),IF(AND(Input!B4796&gt;=20,Input!B4796&lt;=700),Input!B4796,""),"")</f>
        <v/>
      </c>
      <c r="C4796">
        <f>IF(B4796="","",INT(A4796))</f>
        <v/>
      </c>
      <c r="D4796">
        <f>IF(B4796="","",HOUR(A4796))</f>
        <v/>
      </c>
    </row>
    <row r="4797">
      <c r="A4797">
        <f>Input!A4797</f>
        <v/>
      </c>
      <c r="B4797">
        <f>IF(ISNUMBER(Input!B4797),IF(AND(Input!B4797&gt;=20,Input!B4797&lt;=700),Input!B4797,""),"")</f>
        <v/>
      </c>
      <c r="C4797">
        <f>IF(B4797="","",INT(A4797))</f>
        <v/>
      </c>
      <c r="D4797">
        <f>IF(B4797="","",HOUR(A4797))</f>
        <v/>
      </c>
    </row>
    <row r="4798">
      <c r="A4798">
        <f>Input!A4798</f>
        <v/>
      </c>
      <c r="B4798">
        <f>IF(ISNUMBER(Input!B4798),IF(AND(Input!B4798&gt;=20,Input!B4798&lt;=700),Input!B4798,""),"")</f>
        <v/>
      </c>
      <c r="C4798">
        <f>IF(B4798="","",INT(A4798))</f>
        <v/>
      </c>
      <c r="D4798">
        <f>IF(B4798="","",HOUR(A4798))</f>
        <v/>
      </c>
    </row>
    <row r="4799">
      <c r="A4799">
        <f>Input!A4799</f>
        <v/>
      </c>
      <c r="B4799">
        <f>IF(ISNUMBER(Input!B4799),IF(AND(Input!B4799&gt;=20,Input!B4799&lt;=700),Input!B4799,""),"")</f>
        <v/>
      </c>
      <c r="C4799">
        <f>IF(B4799="","",INT(A4799))</f>
        <v/>
      </c>
      <c r="D4799">
        <f>IF(B4799="","",HOUR(A4799))</f>
        <v/>
      </c>
    </row>
    <row r="4800">
      <c r="A4800">
        <f>Input!A4800</f>
        <v/>
      </c>
      <c r="B4800">
        <f>IF(ISNUMBER(Input!B4800),IF(AND(Input!B4800&gt;=20,Input!B4800&lt;=700),Input!B4800,""),"")</f>
        <v/>
      </c>
      <c r="C4800">
        <f>IF(B4800="","",INT(A4800))</f>
        <v/>
      </c>
      <c r="D4800">
        <f>IF(B4800="","",HOUR(A4800))</f>
        <v/>
      </c>
    </row>
    <row r="4801">
      <c r="A4801">
        <f>Input!A4801</f>
        <v/>
      </c>
      <c r="B4801">
        <f>IF(ISNUMBER(Input!B4801),IF(AND(Input!B4801&gt;=20,Input!B4801&lt;=700),Input!B4801,""),"")</f>
        <v/>
      </c>
      <c r="C4801">
        <f>IF(B4801="","",INT(A4801))</f>
        <v/>
      </c>
      <c r="D4801">
        <f>IF(B4801="","",HOUR(A4801))</f>
        <v/>
      </c>
    </row>
    <row r="4802">
      <c r="A4802">
        <f>Input!A4802</f>
        <v/>
      </c>
      <c r="B4802">
        <f>IF(ISNUMBER(Input!B4802),IF(AND(Input!B4802&gt;=20,Input!B4802&lt;=700),Input!B4802,""),"")</f>
        <v/>
      </c>
      <c r="C4802">
        <f>IF(B4802="","",INT(A4802))</f>
        <v/>
      </c>
      <c r="D4802">
        <f>IF(B4802="","",HOUR(A4802))</f>
        <v/>
      </c>
    </row>
    <row r="4803">
      <c r="A4803">
        <f>Input!A4803</f>
        <v/>
      </c>
      <c r="B4803">
        <f>IF(ISNUMBER(Input!B4803),IF(AND(Input!B4803&gt;=20,Input!B4803&lt;=700),Input!B4803,""),"")</f>
        <v/>
      </c>
      <c r="C4803">
        <f>IF(B4803="","",INT(A4803))</f>
        <v/>
      </c>
      <c r="D4803">
        <f>IF(B4803="","",HOUR(A4803))</f>
        <v/>
      </c>
    </row>
    <row r="4804">
      <c r="A4804">
        <f>Input!A4804</f>
        <v/>
      </c>
      <c r="B4804">
        <f>IF(ISNUMBER(Input!B4804),IF(AND(Input!B4804&gt;=20,Input!B4804&lt;=700),Input!B4804,""),"")</f>
        <v/>
      </c>
      <c r="C4804">
        <f>IF(B4804="","",INT(A4804))</f>
        <v/>
      </c>
      <c r="D4804">
        <f>IF(B4804="","",HOUR(A4804))</f>
        <v/>
      </c>
    </row>
    <row r="4805">
      <c r="A4805">
        <f>Input!A4805</f>
        <v/>
      </c>
      <c r="B4805">
        <f>IF(ISNUMBER(Input!B4805),IF(AND(Input!B4805&gt;=20,Input!B4805&lt;=700),Input!B4805,""),"")</f>
        <v/>
      </c>
      <c r="C4805">
        <f>IF(B4805="","",INT(A4805))</f>
        <v/>
      </c>
      <c r="D4805">
        <f>IF(B4805="","",HOUR(A4805))</f>
        <v/>
      </c>
    </row>
    <row r="4806">
      <c r="A4806">
        <f>Input!A4806</f>
        <v/>
      </c>
      <c r="B4806">
        <f>IF(ISNUMBER(Input!B4806),IF(AND(Input!B4806&gt;=20,Input!B4806&lt;=700),Input!B4806,""),"")</f>
        <v/>
      </c>
      <c r="C4806">
        <f>IF(B4806="","",INT(A4806))</f>
        <v/>
      </c>
      <c r="D4806">
        <f>IF(B4806="","",HOUR(A4806))</f>
        <v/>
      </c>
    </row>
    <row r="4807">
      <c r="A4807">
        <f>Input!A4807</f>
        <v/>
      </c>
      <c r="B4807">
        <f>IF(ISNUMBER(Input!B4807),IF(AND(Input!B4807&gt;=20,Input!B4807&lt;=700),Input!B4807,""),"")</f>
        <v/>
      </c>
      <c r="C4807">
        <f>IF(B4807="","",INT(A4807))</f>
        <v/>
      </c>
      <c r="D4807">
        <f>IF(B4807="","",HOUR(A4807))</f>
        <v/>
      </c>
    </row>
    <row r="4808">
      <c r="A4808">
        <f>Input!A4808</f>
        <v/>
      </c>
      <c r="B4808">
        <f>IF(ISNUMBER(Input!B4808),IF(AND(Input!B4808&gt;=20,Input!B4808&lt;=700),Input!B4808,""),"")</f>
        <v/>
      </c>
      <c r="C4808">
        <f>IF(B4808="","",INT(A4808))</f>
        <v/>
      </c>
      <c r="D4808">
        <f>IF(B4808="","",HOUR(A4808))</f>
        <v/>
      </c>
    </row>
    <row r="4809">
      <c r="A4809">
        <f>Input!A4809</f>
        <v/>
      </c>
      <c r="B4809">
        <f>IF(ISNUMBER(Input!B4809),IF(AND(Input!B4809&gt;=20,Input!B4809&lt;=700),Input!B4809,""),"")</f>
        <v/>
      </c>
      <c r="C4809">
        <f>IF(B4809="","",INT(A4809))</f>
        <v/>
      </c>
      <c r="D4809">
        <f>IF(B4809="","",HOUR(A4809))</f>
        <v/>
      </c>
    </row>
    <row r="4810">
      <c r="A4810">
        <f>Input!A4810</f>
        <v/>
      </c>
      <c r="B4810">
        <f>IF(ISNUMBER(Input!B4810),IF(AND(Input!B4810&gt;=20,Input!B4810&lt;=700),Input!B4810,""),"")</f>
        <v/>
      </c>
      <c r="C4810">
        <f>IF(B4810="","",INT(A4810))</f>
        <v/>
      </c>
      <c r="D4810">
        <f>IF(B4810="","",HOUR(A4810))</f>
        <v/>
      </c>
    </row>
    <row r="4811">
      <c r="A4811">
        <f>Input!A4811</f>
        <v/>
      </c>
      <c r="B4811">
        <f>IF(ISNUMBER(Input!B4811),IF(AND(Input!B4811&gt;=20,Input!B4811&lt;=700),Input!B4811,""),"")</f>
        <v/>
      </c>
      <c r="C4811">
        <f>IF(B4811="","",INT(A4811))</f>
        <v/>
      </c>
      <c r="D4811">
        <f>IF(B4811="","",HOUR(A4811))</f>
        <v/>
      </c>
    </row>
    <row r="4812">
      <c r="A4812">
        <f>Input!A4812</f>
        <v/>
      </c>
      <c r="B4812">
        <f>IF(ISNUMBER(Input!B4812),IF(AND(Input!B4812&gt;=20,Input!B4812&lt;=700),Input!B4812,""),"")</f>
        <v/>
      </c>
      <c r="C4812">
        <f>IF(B4812="","",INT(A4812))</f>
        <v/>
      </c>
      <c r="D4812">
        <f>IF(B4812="","",HOUR(A4812))</f>
        <v/>
      </c>
    </row>
    <row r="4813">
      <c r="A4813">
        <f>Input!A4813</f>
        <v/>
      </c>
      <c r="B4813">
        <f>IF(ISNUMBER(Input!B4813),IF(AND(Input!B4813&gt;=20,Input!B4813&lt;=700),Input!B4813,""),"")</f>
        <v/>
      </c>
      <c r="C4813">
        <f>IF(B4813="","",INT(A4813))</f>
        <v/>
      </c>
      <c r="D4813">
        <f>IF(B4813="","",HOUR(A4813))</f>
        <v/>
      </c>
    </row>
    <row r="4814">
      <c r="A4814">
        <f>Input!A4814</f>
        <v/>
      </c>
      <c r="B4814">
        <f>IF(ISNUMBER(Input!B4814),IF(AND(Input!B4814&gt;=20,Input!B4814&lt;=700),Input!B4814,""),"")</f>
        <v/>
      </c>
      <c r="C4814">
        <f>IF(B4814="","",INT(A4814))</f>
        <v/>
      </c>
      <c r="D4814">
        <f>IF(B4814="","",HOUR(A4814))</f>
        <v/>
      </c>
    </row>
    <row r="4815">
      <c r="A4815">
        <f>Input!A4815</f>
        <v/>
      </c>
      <c r="B4815">
        <f>IF(ISNUMBER(Input!B4815),IF(AND(Input!B4815&gt;=20,Input!B4815&lt;=700),Input!B4815,""),"")</f>
        <v/>
      </c>
      <c r="C4815">
        <f>IF(B4815="","",INT(A4815))</f>
        <v/>
      </c>
      <c r="D4815">
        <f>IF(B4815="","",HOUR(A4815))</f>
        <v/>
      </c>
    </row>
    <row r="4816">
      <c r="A4816">
        <f>Input!A4816</f>
        <v/>
      </c>
      <c r="B4816">
        <f>IF(ISNUMBER(Input!B4816),IF(AND(Input!B4816&gt;=20,Input!B4816&lt;=700),Input!B4816,""),"")</f>
        <v/>
      </c>
      <c r="C4816">
        <f>IF(B4816="","",INT(A4816))</f>
        <v/>
      </c>
      <c r="D4816">
        <f>IF(B4816="","",HOUR(A4816))</f>
        <v/>
      </c>
    </row>
    <row r="4817">
      <c r="A4817">
        <f>Input!A4817</f>
        <v/>
      </c>
      <c r="B4817">
        <f>IF(ISNUMBER(Input!B4817),IF(AND(Input!B4817&gt;=20,Input!B4817&lt;=700),Input!B4817,""),"")</f>
        <v/>
      </c>
      <c r="C4817">
        <f>IF(B4817="","",INT(A4817))</f>
        <v/>
      </c>
      <c r="D4817">
        <f>IF(B4817="","",HOUR(A4817))</f>
        <v/>
      </c>
    </row>
    <row r="4818">
      <c r="A4818">
        <f>Input!A4818</f>
        <v/>
      </c>
      <c r="B4818">
        <f>IF(ISNUMBER(Input!B4818),IF(AND(Input!B4818&gt;=20,Input!B4818&lt;=700),Input!B4818,""),"")</f>
        <v/>
      </c>
      <c r="C4818">
        <f>IF(B4818="","",INT(A4818))</f>
        <v/>
      </c>
      <c r="D4818">
        <f>IF(B4818="","",HOUR(A4818))</f>
        <v/>
      </c>
    </row>
    <row r="4819">
      <c r="A4819">
        <f>Input!A4819</f>
        <v/>
      </c>
      <c r="B4819">
        <f>IF(ISNUMBER(Input!B4819),IF(AND(Input!B4819&gt;=20,Input!B4819&lt;=700),Input!B4819,""),"")</f>
        <v/>
      </c>
      <c r="C4819">
        <f>IF(B4819="","",INT(A4819))</f>
        <v/>
      </c>
      <c r="D4819">
        <f>IF(B4819="","",HOUR(A4819))</f>
        <v/>
      </c>
    </row>
    <row r="4820">
      <c r="A4820">
        <f>Input!A4820</f>
        <v/>
      </c>
      <c r="B4820">
        <f>IF(ISNUMBER(Input!B4820),IF(AND(Input!B4820&gt;=20,Input!B4820&lt;=700),Input!B4820,""),"")</f>
        <v/>
      </c>
      <c r="C4820">
        <f>IF(B4820="","",INT(A4820))</f>
        <v/>
      </c>
      <c r="D4820">
        <f>IF(B4820="","",HOUR(A4820))</f>
        <v/>
      </c>
    </row>
    <row r="4821">
      <c r="A4821">
        <f>Input!A4821</f>
        <v/>
      </c>
      <c r="B4821">
        <f>IF(ISNUMBER(Input!B4821),IF(AND(Input!B4821&gt;=20,Input!B4821&lt;=700),Input!B4821,""),"")</f>
        <v/>
      </c>
      <c r="C4821">
        <f>IF(B4821="","",INT(A4821))</f>
        <v/>
      </c>
      <c r="D4821">
        <f>IF(B4821="","",HOUR(A4821))</f>
        <v/>
      </c>
    </row>
    <row r="4822">
      <c r="A4822">
        <f>Input!A4822</f>
        <v/>
      </c>
      <c r="B4822">
        <f>IF(ISNUMBER(Input!B4822),IF(AND(Input!B4822&gt;=20,Input!B4822&lt;=700),Input!B4822,""),"")</f>
        <v/>
      </c>
      <c r="C4822">
        <f>IF(B4822="","",INT(A4822))</f>
        <v/>
      </c>
      <c r="D4822">
        <f>IF(B4822="","",HOUR(A4822))</f>
        <v/>
      </c>
    </row>
    <row r="4823">
      <c r="A4823">
        <f>Input!A4823</f>
        <v/>
      </c>
      <c r="B4823">
        <f>IF(ISNUMBER(Input!B4823),IF(AND(Input!B4823&gt;=20,Input!B4823&lt;=700),Input!B4823,""),"")</f>
        <v/>
      </c>
      <c r="C4823">
        <f>IF(B4823="","",INT(A4823))</f>
        <v/>
      </c>
      <c r="D4823">
        <f>IF(B4823="","",HOUR(A4823))</f>
        <v/>
      </c>
    </row>
    <row r="4824">
      <c r="A4824">
        <f>Input!A4824</f>
        <v/>
      </c>
      <c r="B4824">
        <f>IF(ISNUMBER(Input!B4824),IF(AND(Input!B4824&gt;=20,Input!B4824&lt;=700),Input!B4824,""),"")</f>
        <v/>
      </c>
      <c r="C4824">
        <f>IF(B4824="","",INT(A4824))</f>
        <v/>
      </c>
      <c r="D4824">
        <f>IF(B4824="","",HOUR(A4824))</f>
        <v/>
      </c>
    </row>
    <row r="4825">
      <c r="A4825">
        <f>Input!A4825</f>
        <v/>
      </c>
      <c r="B4825">
        <f>IF(ISNUMBER(Input!B4825),IF(AND(Input!B4825&gt;=20,Input!B4825&lt;=700),Input!B4825,""),"")</f>
        <v/>
      </c>
      <c r="C4825">
        <f>IF(B4825="","",INT(A4825))</f>
        <v/>
      </c>
      <c r="D4825">
        <f>IF(B4825="","",HOUR(A4825))</f>
        <v/>
      </c>
    </row>
    <row r="4826">
      <c r="A4826">
        <f>Input!A4826</f>
        <v/>
      </c>
      <c r="B4826">
        <f>IF(ISNUMBER(Input!B4826),IF(AND(Input!B4826&gt;=20,Input!B4826&lt;=700),Input!B4826,""),"")</f>
        <v/>
      </c>
      <c r="C4826">
        <f>IF(B4826="","",INT(A4826))</f>
        <v/>
      </c>
      <c r="D4826">
        <f>IF(B4826="","",HOUR(A4826))</f>
        <v/>
      </c>
    </row>
    <row r="4827">
      <c r="A4827">
        <f>Input!A4827</f>
        <v/>
      </c>
      <c r="B4827">
        <f>IF(ISNUMBER(Input!B4827),IF(AND(Input!B4827&gt;=20,Input!B4827&lt;=700),Input!B4827,""),"")</f>
        <v/>
      </c>
      <c r="C4827">
        <f>IF(B4827="","",INT(A4827))</f>
        <v/>
      </c>
      <c r="D4827">
        <f>IF(B4827="","",HOUR(A4827))</f>
        <v/>
      </c>
    </row>
    <row r="4828">
      <c r="A4828">
        <f>Input!A4828</f>
        <v/>
      </c>
      <c r="B4828">
        <f>IF(ISNUMBER(Input!B4828),IF(AND(Input!B4828&gt;=20,Input!B4828&lt;=700),Input!B4828,""),"")</f>
        <v/>
      </c>
      <c r="C4828">
        <f>IF(B4828="","",INT(A4828))</f>
        <v/>
      </c>
      <c r="D4828">
        <f>IF(B4828="","",HOUR(A4828))</f>
        <v/>
      </c>
    </row>
    <row r="4829">
      <c r="A4829">
        <f>Input!A4829</f>
        <v/>
      </c>
      <c r="B4829">
        <f>IF(ISNUMBER(Input!B4829),IF(AND(Input!B4829&gt;=20,Input!B4829&lt;=700),Input!B4829,""),"")</f>
        <v/>
      </c>
      <c r="C4829">
        <f>IF(B4829="","",INT(A4829))</f>
        <v/>
      </c>
      <c r="D4829">
        <f>IF(B4829="","",HOUR(A4829))</f>
        <v/>
      </c>
    </row>
    <row r="4830">
      <c r="A4830">
        <f>Input!A4830</f>
        <v/>
      </c>
      <c r="B4830">
        <f>IF(ISNUMBER(Input!B4830),IF(AND(Input!B4830&gt;=20,Input!B4830&lt;=700),Input!B4830,""),"")</f>
        <v/>
      </c>
      <c r="C4830">
        <f>IF(B4830="","",INT(A4830))</f>
        <v/>
      </c>
      <c r="D4830">
        <f>IF(B4830="","",HOUR(A4830))</f>
        <v/>
      </c>
    </row>
    <row r="4831">
      <c r="A4831">
        <f>Input!A4831</f>
        <v/>
      </c>
      <c r="B4831">
        <f>IF(ISNUMBER(Input!B4831),IF(AND(Input!B4831&gt;=20,Input!B4831&lt;=700),Input!B4831,""),"")</f>
        <v/>
      </c>
      <c r="C4831">
        <f>IF(B4831="","",INT(A4831))</f>
        <v/>
      </c>
      <c r="D4831">
        <f>IF(B4831="","",HOUR(A4831))</f>
        <v/>
      </c>
    </row>
    <row r="4832">
      <c r="A4832">
        <f>Input!A4832</f>
        <v/>
      </c>
      <c r="B4832">
        <f>IF(ISNUMBER(Input!B4832),IF(AND(Input!B4832&gt;=20,Input!B4832&lt;=700),Input!B4832,""),"")</f>
        <v/>
      </c>
      <c r="C4832">
        <f>IF(B4832="","",INT(A4832))</f>
        <v/>
      </c>
      <c r="D4832">
        <f>IF(B4832="","",HOUR(A4832))</f>
        <v/>
      </c>
    </row>
    <row r="4833">
      <c r="A4833">
        <f>Input!A4833</f>
        <v/>
      </c>
      <c r="B4833">
        <f>IF(ISNUMBER(Input!B4833),IF(AND(Input!B4833&gt;=20,Input!B4833&lt;=700),Input!B4833,""),"")</f>
        <v/>
      </c>
      <c r="C4833">
        <f>IF(B4833="","",INT(A4833))</f>
        <v/>
      </c>
      <c r="D4833">
        <f>IF(B4833="","",HOUR(A4833))</f>
        <v/>
      </c>
    </row>
    <row r="4834">
      <c r="A4834">
        <f>Input!A4834</f>
        <v/>
      </c>
      <c r="B4834">
        <f>IF(ISNUMBER(Input!B4834),IF(AND(Input!B4834&gt;=20,Input!B4834&lt;=700),Input!B4834,""),"")</f>
        <v/>
      </c>
      <c r="C4834">
        <f>IF(B4834="","",INT(A4834))</f>
        <v/>
      </c>
      <c r="D4834">
        <f>IF(B4834="","",HOUR(A4834))</f>
        <v/>
      </c>
    </row>
    <row r="4835">
      <c r="A4835">
        <f>Input!A4835</f>
        <v/>
      </c>
      <c r="B4835">
        <f>IF(ISNUMBER(Input!B4835),IF(AND(Input!B4835&gt;=20,Input!B4835&lt;=700),Input!B4835,""),"")</f>
        <v/>
      </c>
      <c r="C4835">
        <f>IF(B4835="","",INT(A4835))</f>
        <v/>
      </c>
      <c r="D4835">
        <f>IF(B4835="","",HOUR(A4835))</f>
        <v/>
      </c>
    </row>
    <row r="4836">
      <c r="A4836">
        <f>Input!A4836</f>
        <v/>
      </c>
      <c r="B4836">
        <f>IF(ISNUMBER(Input!B4836),IF(AND(Input!B4836&gt;=20,Input!B4836&lt;=700),Input!B4836,""),"")</f>
        <v/>
      </c>
      <c r="C4836">
        <f>IF(B4836="","",INT(A4836))</f>
        <v/>
      </c>
      <c r="D4836">
        <f>IF(B4836="","",HOUR(A4836))</f>
        <v/>
      </c>
    </row>
    <row r="4837">
      <c r="A4837">
        <f>Input!A4837</f>
        <v/>
      </c>
      <c r="B4837">
        <f>IF(ISNUMBER(Input!B4837),IF(AND(Input!B4837&gt;=20,Input!B4837&lt;=700),Input!B4837,""),"")</f>
        <v/>
      </c>
      <c r="C4837">
        <f>IF(B4837="","",INT(A4837))</f>
        <v/>
      </c>
      <c r="D4837">
        <f>IF(B4837="","",HOUR(A4837))</f>
        <v/>
      </c>
    </row>
    <row r="4838">
      <c r="A4838">
        <f>Input!A4838</f>
        <v/>
      </c>
      <c r="B4838">
        <f>IF(ISNUMBER(Input!B4838),IF(AND(Input!B4838&gt;=20,Input!B4838&lt;=700),Input!B4838,""),"")</f>
        <v/>
      </c>
      <c r="C4838">
        <f>IF(B4838="","",INT(A4838))</f>
        <v/>
      </c>
      <c r="D4838">
        <f>IF(B4838="","",HOUR(A4838))</f>
        <v/>
      </c>
    </row>
    <row r="4839">
      <c r="A4839">
        <f>Input!A4839</f>
        <v/>
      </c>
      <c r="B4839">
        <f>IF(ISNUMBER(Input!B4839),IF(AND(Input!B4839&gt;=20,Input!B4839&lt;=700),Input!B4839,""),"")</f>
        <v/>
      </c>
      <c r="C4839">
        <f>IF(B4839="","",INT(A4839))</f>
        <v/>
      </c>
      <c r="D4839">
        <f>IF(B4839="","",HOUR(A4839))</f>
        <v/>
      </c>
    </row>
    <row r="4840">
      <c r="A4840">
        <f>Input!A4840</f>
        <v/>
      </c>
      <c r="B4840">
        <f>IF(ISNUMBER(Input!B4840),IF(AND(Input!B4840&gt;=20,Input!B4840&lt;=700),Input!B4840,""),"")</f>
        <v/>
      </c>
      <c r="C4840">
        <f>IF(B4840="","",INT(A4840))</f>
        <v/>
      </c>
      <c r="D4840">
        <f>IF(B4840="","",HOUR(A4840))</f>
        <v/>
      </c>
    </row>
    <row r="4841">
      <c r="A4841">
        <f>Input!A4841</f>
        <v/>
      </c>
      <c r="B4841">
        <f>IF(ISNUMBER(Input!B4841),IF(AND(Input!B4841&gt;=20,Input!B4841&lt;=700),Input!B4841,""),"")</f>
        <v/>
      </c>
      <c r="C4841">
        <f>IF(B4841="","",INT(A4841))</f>
        <v/>
      </c>
      <c r="D4841">
        <f>IF(B4841="","",HOUR(A4841))</f>
        <v/>
      </c>
    </row>
    <row r="4842">
      <c r="A4842">
        <f>Input!A4842</f>
        <v/>
      </c>
      <c r="B4842">
        <f>IF(ISNUMBER(Input!B4842),IF(AND(Input!B4842&gt;=20,Input!B4842&lt;=700),Input!B4842,""),"")</f>
        <v/>
      </c>
      <c r="C4842">
        <f>IF(B4842="","",INT(A4842))</f>
        <v/>
      </c>
      <c r="D4842">
        <f>IF(B4842="","",HOUR(A4842))</f>
        <v/>
      </c>
    </row>
    <row r="4843">
      <c r="A4843">
        <f>Input!A4843</f>
        <v/>
      </c>
      <c r="B4843">
        <f>IF(ISNUMBER(Input!B4843),IF(AND(Input!B4843&gt;=20,Input!B4843&lt;=700),Input!B4843,""),"")</f>
        <v/>
      </c>
      <c r="C4843">
        <f>IF(B4843="","",INT(A4843))</f>
        <v/>
      </c>
      <c r="D4843">
        <f>IF(B4843="","",HOUR(A4843))</f>
        <v/>
      </c>
    </row>
    <row r="4844">
      <c r="A4844">
        <f>Input!A4844</f>
        <v/>
      </c>
      <c r="B4844">
        <f>IF(ISNUMBER(Input!B4844),IF(AND(Input!B4844&gt;=20,Input!B4844&lt;=700),Input!B4844,""),"")</f>
        <v/>
      </c>
      <c r="C4844">
        <f>IF(B4844="","",INT(A4844))</f>
        <v/>
      </c>
      <c r="D4844">
        <f>IF(B4844="","",HOUR(A4844))</f>
        <v/>
      </c>
    </row>
    <row r="4845">
      <c r="A4845">
        <f>Input!A4845</f>
        <v/>
      </c>
      <c r="B4845">
        <f>IF(ISNUMBER(Input!B4845),IF(AND(Input!B4845&gt;=20,Input!B4845&lt;=700),Input!B4845,""),"")</f>
        <v/>
      </c>
      <c r="C4845">
        <f>IF(B4845="","",INT(A4845))</f>
        <v/>
      </c>
      <c r="D4845">
        <f>IF(B4845="","",HOUR(A4845))</f>
        <v/>
      </c>
    </row>
    <row r="4846">
      <c r="A4846">
        <f>Input!A4846</f>
        <v/>
      </c>
      <c r="B4846">
        <f>IF(ISNUMBER(Input!B4846),IF(AND(Input!B4846&gt;=20,Input!B4846&lt;=700),Input!B4846,""),"")</f>
        <v/>
      </c>
      <c r="C4846">
        <f>IF(B4846="","",INT(A4846))</f>
        <v/>
      </c>
      <c r="D4846">
        <f>IF(B4846="","",HOUR(A4846))</f>
        <v/>
      </c>
    </row>
    <row r="4847">
      <c r="A4847">
        <f>Input!A4847</f>
        <v/>
      </c>
      <c r="B4847">
        <f>IF(ISNUMBER(Input!B4847),IF(AND(Input!B4847&gt;=20,Input!B4847&lt;=700),Input!B4847,""),"")</f>
        <v/>
      </c>
      <c r="C4847">
        <f>IF(B4847="","",INT(A4847))</f>
        <v/>
      </c>
      <c r="D4847">
        <f>IF(B4847="","",HOUR(A4847))</f>
        <v/>
      </c>
    </row>
    <row r="4848">
      <c r="A4848">
        <f>Input!A4848</f>
        <v/>
      </c>
      <c r="B4848">
        <f>IF(ISNUMBER(Input!B4848),IF(AND(Input!B4848&gt;=20,Input!B4848&lt;=700),Input!B4848,""),"")</f>
        <v/>
      </c>
      <c r="C4848">
        <f>IF(B4848="","",INT(A4848))</f>
        <v/>
      </c>
      <c r="D4848">
        <f>IF(B4848="","",HOUR(A4848))</f>
        <v/>
      </c>
    </row>
    <row r="4849">
      <c r="A4849">
        <f>Input!A4849</f>
        <v/>
      </c>
      <c r="B4849">
        <f>IF(ISNUMBER(Input!B4849),IF(AND(Input!B4849&gt;=20,Input!B4849&lt;=700),Input!B4849,""),"")</f>
        <v/>
      </c>
      <c r="C4849">
        <f>IF(B4849="","",INT(A4849))</f>
        <v/>
      </c>
      <c r="D4849">
        <f>IF(B4849="","",HOUR(A4849))</f>
        <v/>
      </c>
    </row>
    <row r="4850">
      <c r="A4850">
        <f>Input!A4850</f>
        <v/>
      </c>
      <c r="B4850">
        <f>IF(ISNUMBER(Input!B4850),IF(AND(Input!B4850&gt;=20,Input!B4850&lt;=700),Input!B4850,""),"")</f>
        <v/>
      </c>
      <c r="C4850">
        <f>IF(B4850="","",INT(A4850))</f>
        <v/>
      </c>
      <c r="D4850">
        <f>IF(B4850="","",HOUR(A4850))</f>
        <v/>
      </c>
    </row>
    <row r="4851">
      <c r="A4851">
        <f>Input!A4851</f>
        <v/>
      </c>
      <c r="B4851">
        <f>IF(ISNUMBER(Input!B4851),IF(AND(Input!B4851&gt;=20,Input!B4851&lt;=700),Input!B4851,""),"")</f>
        <v/>
      </c>
      <c r="C4851">
        <f>IF(B4851="","",INT(A4851))</f>
        <v/>
      </c>
      <c r="D4851">
        <f>IF(B4851="","",HOUR(A4851))</f>
        <v/>
      </c>
    </row>
    <row r="4852">
      <c r="A4852">
        <f>Input!A4852</f>
        <v/>
      </c>
      <c r="B4852">
        <f>IF(ISNUMBER(Input!B4852),IF(AND(Input!B4852&gt;=20,Input!B4852&lt;=700),Input!B4852,""),"")</f>
        <v/>
      </c>
      <c r="C4852">
        <f>IF(B4852="","",INT(A4852))</f>
        <v/>
      </c>
      <c r="D4852">
        <f>IF(B4852="","",HOUR(A4852))</f>
        <v/>
      </c>
    </row>
    <row r="4853">
      <c r="A4853">
        <f>Input!A4853</f>
        <v/>
      </c>
      <c r="B4853">
        <f>IF(ISNUMBER(Input!B4853),IF(AND(Input!B4853&gt;=20,Input!B4853&lt;=700),Input!B4853,""),"")</f>
        <v/>
      </c>
      <c r="C4853">
        <f>IF(B4853="","",INT(A4853))</f>
        <v/>
      </c>
      <c r="D4853">
        <f>IF(B4853="","",HOUR(A4853))</f>
        <v/>
      </c>
    </row>
    <row r="4854">
      <c r="A4854">
        <f>Input!A4854</f>
        <v/>
      </c>
      <c r="B4854">
        <f>IF(ISNUMBER(Input!B4854),IF(AND(Input!B4854&gt;=20,Input!B4854&lt;=700),Input!B4854,""),"")</f>
        <v/>
      </c>
      <c r="C4854">
        <f>IF(B4854="","",INT(A4854))</f>
        <v/>
      </c>
      <c r="D4854">
        <f>IF(B4854="","",HOUR(A4854))</f>
        <v/>
      </c>
    </row>
    <row r="4855">
      <c r="A4855">
        <f>Input!A4855</f>
        <v/>
      </c>
      <c r="B4855">
        <f>IF(ISNUMBER(Input!B4855),IF(AND(Input!B4855&gt;=20,Input!B4855&lt;=700),Input!B4855,""),"")</f>
        <v/>
      </c>
      <c r="C4855">
        <f>IF(B4855="","",INT(A4855))</f>
        <v/>
      </c>
      <c r="D4855">
        <f>IF(B4855="","",HOUR(A4855))</f>
        <v/>
      </c>
    </row>
    <row r="4856">
      <c r="A4856">
        <f>Input!A4856</f>
        <v/>
      </c>
      <c r="B4856">
        <f>IF(ISNUMBER(Input!B4856),IF(AND(Input!B4856&gt;=20,Input!B4856&lt;=700),Input!B4856,""),"")</f>
        <v/>
      </c>
      <c r="C4856">
        <f>IF(B4856="","",INT(A4856))</f>
        <v/>
      </c>
      <c r="D4856">
        <f>IF(B4856="","",HOUR(A4856))</f>
        <v/>
      </c>
    </row>
    <row r="4857">
      <c r="A4857">
        <f>Input!A4857</f>
        <v/>
      </c>
      <c r="B4857">
        <f>IF(ISNUMBER(Input!B4857),IF(AND(Input!B4857&gt;=20,Input!B4857&lt;=700),Input!B4857,""),"")</f>
        <v/>
      </c>
      <c r="C4857">
        <f>IF(B4857="","",INT(A4857))</f>
        <v/>
      </c>
      <c r="D4857">
        <f>IF(B4857="","",HOUR(A4857))</f>
        <v/>
      </c>
    </row>
    <row r="4858">
      <c r="A4858">
        <f>Input!A4858</f>
        <v/>
      </c>
      <c r="B4858">
        <f>IF(ISNUMBER(Input!B4858),IF(AND(Input!B4858&gt;=20,Input!B4858&lt;=700),Input!B4858,""),"")</f>
        <v/>
      </c>
      <c r="C4858">
        <f>IF(B4858="","",INT(A4858))</f>
        <v/>
      </c>
      <c r="D4858">
        <f>IF(B4858="","",HOUR(A4858))</f>
        <v/>
      </c>
    </row>
    <row r="4859">
      <c r="A4859">
        <f>Input!A4859</f>
        <v/>
      </c>
      <c r="B4859">
        <f>IF(ISNUMBER(Input!B4859),IF(AND(Input!B4859&gt;=20,Input!B4859&lt;=700),Input!B4859,""),"")</f>
        <v/>
      </c>
      <c r="C4859">
        <f>IF(B4859="","",INT(A4859))</f>
        <v/>
      </c>
      <c r="D4859">
        <f>IF(B4859="","",HOUR(A4859))</f>
        <v/>
      </c>
    </row>
    <row r="4860">
      <c r="A4860">
        <f>Input!A4860</f>
        <v/>
      </c>
      <c r="B4860">
        <f>IF(ISNUMBER(Input!B4860),IF(AND(Input!B4860&gt;=20,Input!B4860&lt;=700),Input!B4860,""),"")</f>
        <v/>
      </c>
      <c r="C4860">
        <f>IF(B4860="","",INT(A4860))</f>
        <v/>
      </c>
      <c r="D4860">
        <f>IF(B4860="","",HOUR(A4860))</f>
        <v/>
      </c>
    </row>
    <row r="4861">
      <c r="A4861">
        <f>Input!A4861</f>
        <v/>
      </c>
      <c r="B4861">
        <f>IF(ISNUMBER(Input!B4861),IF(AND(Input!B4861&gt;=20,Input!B4861&lt;=700),Input!B4861,""),"")</f>
        <v/>
      </c>
      <c r="C4861">
        <f>IF(B4861="","",INT(A4861))</f>
        <v/>
      </c>
      <c r="D4861">
        <f>IF(B4861="","",HOUR(A4861))</f>
        <v/>
      </c>
    </row>
    <row r="4862">
      <c r="A4862">
        <f>Input!A4862</f>
        <v/>
      </c>
      <c r="B4862">
        <f>IF(ISNUMBER(Input!B4862),IF(AND(Input!B4862&gt;=20,Input!B4862&lt;=700),Input!B4862,""),"")</f>
        <v/>
      </c>
      <c r="C4862">
        <f>IF(B4862="","",INT(A4862))</f>
        <v/>
      </c>
      <c r="D4862">
        <f>IF(B4862="","",HOUR(A4862))</f>
        <v/>
      </c>
    </row>
    <row r="4863">
      <c r="A4863">
        <f>Input!A4863</f>
        <v/>
      </c>
      <c r="B4863">
        <f>IF(ISNUMBER(Input!B4863),IF(AND(Input!B4863&gt;=20,Input!B4863&lt;=700),Input!B4863,""),"")</f>
        <v/>
      </c>
      <c r="C4863">
        <f>IF(B4863="","",INT(A4863))</f>
        <v/>
      </c>
      <c r="D4863">
        <f>IF(B4863="","",HOUR(A4863))</f>
        <v/>
      </c>
    </row>
    <row r="4864">
      <c r="A4864">
        <f>Input!A4864</f>
        <v/>
      </c>
      <c r="B4864">
        <f>IF(ISNUMBER(Input!B4864),IF(AND(Input!B4864&gt;=20,Input!B4864&lt;=700),Input!B4864,""),"")</f>
        <v/>
      </c>
      <c r="C4864">
        <f>IF(B4864="","",INT(A4864))</f>
        <v/>
      </c>
      <c r="D4864">
        <f>IF(B4864="","",HOUR(A4864))</f>
        <v/>
      </c>
    </row>
    <row r="4865">
      <c r="A4865">
        <f>Input!A4865</f>
        <v/>
      </c>
      <c r="B4865">
        <f>IF(ISNUMBER(Input!B4865),IF(AND(Input!B4865&gt;=20,Input!B4865&lt;=700),Input!B4865,""),"")</f>
        <v/>
      </c>
      <c r="C4865">
        <f>IF(B4865="","",INT(A4865))</f>
        <v/>
      </c>
      <c r="D4865">
        <f>IF(B4865="","",HOUR(A4865))</f>
        <v/>
      </c>
    </row>
    <row r="4866">
      <c r="A4866">
        <f>Input!A4866</f>
        <v/>
      </c>
      <c r="B4866">
        <f>IF(ISNUMBER(Input!B4866),IF(AND(Input!B4866&gt;=20,Input!B4866&lt;=700),Input!B4866,""),"")</f>
        <v/>
      </c>
      <c r="C4866">
        <f>IF(B4866="","",INT(A4866))</f>
        <v/>
      </c>
      <c r="D4866">
        <f>IF(B4866="","",HOUR(A4866))</f>
        <v/>
      </c>
    </row>
    <row r="4867">
      <c r="A4867">
        <f>Input!A4867</f>
        <v/>
      </c>
      <c r="B4867">
        <f>IF(ISNUMBER(Input!B4867),IF(AND(Input!B4867&gt;=20,Input!B4867&lt;=700),Input!B4867,""),"")</f>
        <v/>
      </c>
      <c r="C4867">
        <f>IF(B4867="","",INT(A4867))</f>
        <v/>
      </c>
      <c r="D4867">
        <f>IF(B4867="","",HOUR(A4867))</f>
        <v/>
      </c>
    </row>
    <row r="4868">
      <c r="A4868">
        <f>Input!A4868</f>
        <v/>
      </c>
      <c r="B4868">
        <f>IF(ISNUMBER(Input!B4868),IF(AND(Input!B4868&gt;=20,Input!B4868&lt;=700),Input!B4868,""),"")</f>
        <v/>
      </c>
      <c r="C4868">
        <f>IF(B4868="","",INT(A4868))</f>
        <v/>
      </c>
      <c r="D4868">
        <f>IF(B4868="","",HOUR(A4868))</f>
        <v/>
      </c>
    </row>
    <row r="4869">
      <c r="A4869">
        <f>Input!A4869</f>
        <v/>
      </c>
      <c r="B4869">
        <f>IF(ISNUMBER(Input!B4869),IF(AND(Input!B4869&gt;=20,Input!B4869&lt;=700),Input!B4869,""),"")</f>
        <v/>
      </c>
      <c r="C4869">
        <f>IF(B4869="","",INT(A4869))</f>
        <v/>
      </c>
      <c r="D4869">
        <f>IF(B4869="","",HOUR(A4869))</f>
        <v/>
      </c>
    </row>
    <row r="4870">
      <c r="A4870">
        <f>Input!A4870</f>
        <v/>
      </c>
      <c r="B4870">
        <f>IF(ISNUMBER(Input!B4870),IF(AND(Input!B4870&gt;=20,Input!B4870&lt;=700),Input!B4870,""),"")</f>
        <v/>
      </c>
      <c r="C4870">
        <f>IF(B4870="","",INT(A4870))</f>
        <v/>
      </c>
      <c r="D4870">
        <f>IF(B4870="","",HOUR(A4870))</f>
        <v/>
      </c>
    </row>
    <row r="4871">
      <c r="A4871">
        <f>Input!A4871</f>
        <v/>
      </c>
      <c r="B4871">
        <f>IF(ISNUMBER(Input!B4871),IF(AND(Input!B4871&gt;=20,Input!B4871&lt;=700),Input!B4871,""),"")</f>
        <v/>
      </c>
      <c r="C4871">
        <f>IF(B4871="","",INT(A4871))</f>
        <v/>
      </c>
      <c r="D4871">
        <f>IF(B4871="","",HOUR(A4871))</f>
        <v/>
      </c>
    </row>
    <row r="4872">
      <c r="A4872">
        <f>Input!A4872</f>
        <v/>
      </c>
      <c r="B4872">
        <f>IF(ISNUMBER(Input!B4872),IF(AND(Input!B4872&gt;=20,Input!B4872&lt;=700),Input!B4872,""),"")</f>
        <v/>
      </c>
      <c r="C4872">
        <f>IF(B4872="","",INT(A4872))</f>
        <v/>
      </c>
      <c r="D4872">
        <f>IF(B4872="","",HOUR(A4872))</f>
        <v/>
      </c>
    </row>
    <row r="4873">
      <c r="A4873">
        <f>Input!A4873</f>
        <v/>
      </c>
      <c r="B4873">
        <f>IF(ISNUMBER(Input!B4873),IF(AND(Input!B4873&gt;=20,Input!B4873&lt;=700),Input!B4873,""),"")</f>
        <v/>
      </c>
      <c r="C4873">
        <f>IF(B4873="","",INT(A4873))</f>
        <v/>
      </c>
      <c r="D4873">
        <f>IF(B4873="","",HOUR(A4873))</f>
        <v/>
      </c>
    </row>
    <row r="4874">
      <c r="A4874">
        <f>Input!A4874</f>
        <v/>
      </c>
      <c r="B4874">
        <f>IF(ISNUMBER(Input!B4874),IF(AND(Input!B4874&gt;=20,Input!B4874&lt;=700),Input!B4874,""),"")</f>
        <v/>
      </c>
      <c r="C4874">
        <f>IF(B4874="","",INT(A4874))</f>
        <v/>
      </c>
      <c r="D4874">
        <f>IF(B4874="","",HOUR(A4874))</f>
        <v/>
      </c>
    </row>
    <row r="4875">
      <c r="A4875">
        <f>Input!A4875</f>
        <v/>
      </c>
      <c r="B4875">
        <f>IF(ISNUMBER(Input!B4875),IF(AND(Input!B4875&gt;=20,Input!B4875&lt;=700),Input!B4875,""),"")</f>
        <v/>
      </c>
      <c r="C4875">
        <f>IF(B4875="","",INT(A4875))</f>
        <v/>
      </c>
      <c r="D4875">
        <f>IF(B4875="","",HOUR(A4875))</f>
        <v/>
      </c>
    </row>
    <row r="4876">
      <c r="A4876">
        <f>Input!A4876</f>
        <v/>
      </c>
      <c r="B4876">
        <f>IF(ISNUMBER(Input!B4876),IF(AND(Input!B4876&gt;=20,Input!B4876&lt;=700),Input!B4876,""),"")</f>
        <v/>
      </c>
      <c r="C4876">
        <f>IF(B4876="","",INT(A4876))</f>
        <v/>
      </c>
      <c r="D4876">
        <f>IF(B4876="","",HOUR(A4876))</f>
        <v/>
      </c>
    </row>
    <row r="4877">
      <c r="A4877">
        <f>Input!A4877</f>
        <v/>
      </c>
      <c r="B4877">
        <f>IF(ISNUMBER(Input!B4877),IF(AND(Input!B4877&gt;=20,Input!B4877&lt;=700),Input!B4877,""),"")</f>
        <v/>
      </c>
      <c r="C4877">
        <f>IF(B4877="","",INT(A4877))</f>
        <v/>
      </c>
      <c r="D4877">
        <f>IF(B4877="","",HOUR(A4877))</f>
        <v/>
      </c>
    </row>
    <row r="4878">
      <c r="A4878">
        <f>Input!A4878</f>
        <v/>
      </c>
      <c r="B4878">
        <f>IF(ISNUMBER(Input!B4878),IF(AND(Input!B4878&gt;=20,Input!B4878&lt;=700),Input!B4878,""),"")</f>
        <v/>
      </c>
      <c r="C4878">
        <f>IF(B4878="","",INT(A4878))</f>
        <v/>
      </c>
      <c r="D4878">
        <f>IF(B4878="","",HOUR(A4878))</f>
        <v/>
      </c>
    </row>
    <row r="4879">
      <c r="A4879">
        <f>Input!A4879</f>
        <v/>
      </c>
      <c r="B4879">
        <f>IF(ISNUMBER(Input!B4879),IF(AND(Input!B4879&gt;=20,Input!B4879&lt;=700),Input!B4879,""),"")</f>
        <v/>
      </c>
      <c r="C4879">
        <f>IF(B4879="","",INT(A4879))</f>
        <v/>
      </c>
      <c r="D4879">
        <f>IF(B4879="","",HOUR(A4879))</f>
        <v/>
      </c>
    </row>
    <row r="4880">
      <c r="A4880">
        <f>Input!A4880</f>
        <v/>
      </c>
      <c r="B4880">
        <f>IF(ISNUMBER(Input!B4880),IF(AND(Input!B4880&gt;=20,Input!B4880&lt;=700),Input!B4880,""),"")</f>
        <v/>
      </c>
      <c r="C4880">
        <f>IF(B4880="","",INT(A4880))</f>
        <v/>
      </c>
      <c r="D4880">
        <f>IF(B4880="","",HOUR(A4880))</f>
        <v/>
      </c>
    </row>
    <row r="4881">
      <c r="A4881">
        <f>Input!A4881</f>
        <v/>
      </c>
      <c r="B4881">
        <f>IF(ISNUMBER(Input!B4881),IF(AND(Input!B4881&gt;=20,Input!B4881&lt;=700),Input!B4881,""),"")</f>
        <v/>
      </c>
      <c r="C4881">
        <f>IF(B4881="","",INT(A4881))</f>
        <v/>
      </c>
      <c r="D4881">
        <f>IF(B4881="","",HOUR(A4881))</f>
        <v/>
      </c>
    </row>
    <row r="4882">
      <c r="A4882">
        <f>Input!A4882</f>
        <v/>
      </c>
      <c r="B4882">
        <f>IF(ISNUMBER(Input!B4882),IF(AND(Input!B4882&gt;=20,Input!B4882&lt;=700),Input!B4882,""),"")</f>
        <v/>
      </c>
      <c r="C4882">
        <f>IF(B4882="","",INT(A4882))</f>
        <v/>
      </c>
      <c r="D4882">
        <f>IF(B4882="","",HOUR(A4882))</f>
        <v/>
      </c>
    </row>
    <row r="4883">
      <c r="A4883">
        <f>Input!A4883</f>
        <v/>
      </c>
      <c r="B4883">
        <f>IF(ISNUMBER(Input!B4883),IF(AND(Input!B4883&gt;=20,Input!B4883&lt;=700),Input!B4883,""),"")</f>
        <v/>
      </c>
      <c r="C4883">
        <f>IF(B4883="","",INT(A4883))</f>
        <v/>
      </c>
      <c r="D4883">
        <f>IF(B4883="","",HOUR(A4883))</f>
        <v/>
      </c>
    </row>
    <row r="4884">
      <c r="A4884">
        <f>Input!A4884</f>
        <v/>
      </c>
      <c r="B4884">
        <f>IF(ISNUMBER(Input!B4884),IF(AND(Input!B4884&gt;=20,Input!B4884&lt;=700),Input!B4884,""),"")</f>
        <v/>
      </c>
      <c r="C4884">
        <f>IF(B4884="","",INT(A4884))</f>
        <v/>
      </c>
      <c r="D4884">
        <f>IF(B4884="","",HOUR(A4884))</f>
        <v/>
      </c>
    </row>
    <row r="4885">
      <c r="A4885">
        <f>Input!A4885</f>
        <v/>
      </c>
      <c r="B4885">
        <f>IF(ISNUMBER(Input!B4885),IF(AND(Input!B4885&gt;=20,Input!B4885&lt;=700),Input!B4885,""),"")</f>
        <v/>
      </c>
      <c r="C4885">
        <f>IF(B4885="","",INT(A4885))</f>
        <v/>
      </c>
      <c r="D4885">
        <f>IF(B4885="","",HOUR(A4885))</f>
        <v/>
      </c>
    </row>
    <row r="4886">
      <c r="A4886">
        <f>Input!A4886</f>
        <v/>
      </c>
      <c r="B4886">
        <f>IF(ISNUMBER(Input!B4886),IF(AND(Input!B4886&gt;=20,Input!B4886&lt;=700),Input!B4886,""),"")</f>
        <v/>
      </c>
      <c r="C4886">
        <f>IF(B4886="","",INT(A4886))</f>
        <v/>
      </c>
      <c r="D4886">
        <f>IF(B4886="","",HOUR(A4886))</f>
        <v/>
      </c>
    </row>
    <row r="4887">
      <c r="A4887">
        <f>Input!A4887</f>
        <v/>
      </c>
      <c r="B4887">
        <f>IF(ISNUMBER(Input!B4887),IF(AND(Input!B4887&gt;=20,Input!B4887&lt;=700),Input!B4887,""),"")</f>
        <v/>
      </c>
      <c r="C4887">
        <f>IF(B4887="","",INT(A4887))</f>
        <v/>
      </c>
      <c r="D4887">
        <f>IF(B4887="","",HOUR(A4887))</f>
        <v/>
      </c>
    </row>
    <row r="4888">
      <c r="A4888">
        <f>Input!A4888</f>
        <v/>
      </c>
      <c r="B4888">
        <f>IF(ISNUMBER(Input!B4888),IF(AND(Input!B4888&gt;=20,Input!B4888&lt;=700),Input!B4888,""),"")</f>
        <v/>
      </c>
      <c r="C4888">
        <f>IF(B4888="","",INT(A4888))</f>
        <v/>
      </c>
      <c r="D4888">
        <f>IF(B4888="","",HOUR(A4888))</f>
        <v/>
      </c>
    </row>
    <row r="4889">
      <c r="A4889">
        <f>Input!A4889</f>
        <v/>
      </c>
      <c r="B4889">
        <f>IF(ISNUMBER(Input!B4889),IF(AND(Input!B4889&gt;=20,Input!B4889&lt;=700),Input!B4889,""),"")</f>
        <v/>
      </c>
      <c r="C4889">
        <f>IF(B4889="","",INT(A4889))</f>
        <v/>
      </c>
      <c r="D4889">
        <f>IF(B4889="","",HOUR(A4889))</f>
        <v/>
      </c>
    </row>
    <row r="4890">
      <c r="A4890">
        <f>Input!A4890</f>
        <v/>
      </c>
      <c r="B4890">
        <f>IF(ISNUMBER(Input!B4890),IF(AND(Input!B4890&gt;=20,Input!B4890&lt;=700),Input!B4890,""),"")</f>
        <v/>
      </c>
      <c r="C4890">
        <f>IF(B4890="","",INT(A4890))</f>
        <v/>
      </c>
      <c r="D4890">
        <f>IF(B4890="","",HOUR(A4890))</f>
        <v/>
      </c>
    </row>
    <row r="4891">
      <c r="A4891">
        <f>Input!A4891</f>
        <v/>
      </c>
      <c r="B4891">
        <f>IF(ISNUMBER(Input!B4891),IF(AND(Input!B4891&gt;=20,Input!B4891&lt;=700),Input!B4891,""),"")</f>
        <v/>
      </c>
      <c r="C4891">
        <f>IF(B4891="","",INT(A4891))</f>
        <v/>
      </c>
      <c r="D4891">
        <f>IF(B4891="","",HOUR(A4891))</f>
        <v/>
      </c>
    </row>
    <row r="4892">
      <c r="A4892">
        <f>Input!A4892</f>
        <v/>
      </c>
      <c r="B4892">
        <f>IF(ISNUMBER(Input!B4892),IF(AND(Input!B4892&gt;=20,Input!B4892&lt;=700),Input!B4892,""),"")</f>
        <v/>
      </c>
      <c r="C4892">
        <f>IF(B4892="","",INT(A4892))</f>
        <v/>
      </c>
      <c r="D4892">
        <f>IF(B4892="","",HOUR(A4892))</f>
        <v/>
      </c>
    </row>
    <row r="4893">
      <c r="A4893">
        <f>Input!A4893</f>
        <v/>
      </c>
      <c r="B4893">
        <f>IF(ISNUMBER(Input!B4893),IF(AND(Input!B4893&gt;=20,Input!B4893&lt;=700),Input!B4893,""),"")</f>
        <v/>
      </c>
      <c r="C4893">
        <f>IF(B4893="","",INT(A4893))</f>
        <v/>
      </c>
      <c r="D4893">
        <f>IF(B4893="","",HOUR(A4893))</f>
        <v/>
      </c>
    </row>
    <row r="4894">
      <c r="A4894">
        <f>Input!A4894</f>
        <v/>
      </c>
      <c r="B4894">
        <f>IF(ISNUMBER(Input!B4894),IF(AND(Input!B4894&gt;=20,Input!B4894&lt;=700),Input!B4894,""),"")</f>
        <v/>
      </c>
      <c r="C4894">
        <f>IF(B4894="","",INT(A4894))</f>
        <v/>
      </c>
      <c r="D4894">
        <f>IF(B4894="","",HOUR(A4894))</f>
        <v/>
      </c>
    </row>
    <row r="4895">
      <c r="A4895">
        <f>Input!A4895</f>
        <v/>
      </c>
      <c r="B4895">
        <f>IF(ISNUMBER(Input!B4895),IF(AND(Input!B4895&gt;=20,Input!B4895&lt;=700),Input!B4895,""),"")</f>
        <v/>
      </c>
      <c r="C4895">
        <f>IF(B4895="","",INT(A4895))</f>
        <v/>
      </c>
      <c r="D4895">
        <f>IF(B4895="","",HOUR(A4895))</f>
        <v/>
      </c>
    </row>
    <row r="4896">
      <c r="A4896">
        <f>Input!A4896</f>
        <v/>
      </c>
      <c r="B4896">
        <f>IF(ISNUMBER(Input!B4896),IF(AND(Input!B4896&gt;=20,Input!B4896&lt;=700),Input!B4896,""),"")</f>
        <v/>
      </c>
      <c r="C4896">
        <f>IF(B4896="","",INT(A4896))</f>
        <v/>
      </c>
      <c r="D4896">
        <f>IF(B4896="","",HOUR(A4896))</f>
        <v/>
      </c>
    </row>
    <row r="4897">
      <c r="A4897">
        <f>Input!A4897</f>
        <v/>
      </c>
      <c r="B4897">
        <f>IF(ISNUMBER(Input!B4897),IF(AND(Input!B4897&gt;=20,Input!B4897&lt;=700),Input!B4897,""),"")</f>
        <v/>
      </c>
      <c r="C4897">
        <f>IF(B4897="","",INT(A4897))</f>
        <v/>
      </c>
      <c r="D4897">
        <f>IF(B4897="","",HOUR(A4897))</f>
        <v/>
      </c>
    </row>
    <row r="4898">
      <c r="A4898">
        <f>Input!A4898</f>
        <v/>
      </c>
      <c r="B4898">
        <f>IF(ISNUMBER(Input!B4898),IF(AND(Input!B4898&gt;=20,Input!B4898&lt;=700),Input!B4898,""),"")</f>
        <v/>
      </c>
      <c r="C4898">
        <f>IF(B4898="","",INT(A4898))</f>
        <v/>
      </c>
      <c r="D4898">
        <f>IF(B4898="","",HOUR(A4898))</f>
        <v/>
      </c>
    </row>
    <row r="4899">
      <c r="A4899">
        <f>Input!A4899</f>
        <v/>
      </c>
      <c r="B4899">
        <f>IF(ISNUMBER(Input!B4899),IF(AND(Input!B4899&gt;=20,Input!B4899&lt;=700),Input!B4899,""),"")</f>
        <v/>
      </c>
      <c r="C4899">
        <f>IF(B4899="","",INT(A4899))</f>
        <v/>
      </c>
      <c r="D4899">
        <f>IF(B4899="","",HOUR(A4899))</f>
        <v/>
      </c>
    </row>
    <row r="4900">
      <c r="A4900">
        <f>Input!A4900</f>
        <v/>
      </c>
      <c r="B4900">
        <f>IF(ISNUMBER(Input!B4900),IF(AND(Input!B4900&gt;=20,Input!B4900&lt;=700),Input!B4900,""),"")</f>
        <v/>
      </c>
      <c r="C4900">
        <f>IF(B4900="","",INT(A4900))</f>
        <v/>
      </c>
      <c r="D4900">
        <f>IF(B4900="","",HOUR(A4900))</f>
        <v/>
      </c>
    </row>
    <row r="4901">
      <c r="A4901">
        <f>Input!A4901</f>
        <v/>
      </c>
      <c r="B4901">
        <f>IF(ISNUMBER(Input!B4901),IF(AND(Input!B4901&gt;=20,Input!B4901&lt;=700),Input!B4901,""),"")</f>
        <v/>
      </c>
      <c r="C4901">
        <f>IF(B4901="","",INT(A4901))</f>
        <v/>
      </c>
      <c r="D4901">
        <f>IF(B4901="","",HOUR(A4901))</f>
        <v/>
      </c>
    </row>
    <row r="4902">
      <c r="A4902">
        <f>Input!A4902</f>
        <v/>
      </c>
      <c r="B4902">
        <f>IF(ISNUMBER(Input!B4902),IF(AND(Input!B4902&gt;=20,Input!B4902&lt;=700),Input!B4902,""),"")</f>
        <v/>
      </c>
      <c r="C4902">
        <f>IF(B4902="","",INT(A4902))</f>
        <v/>
      </c>
      <c r="D4902">
        <f>IF(B4902="","",HOUR(A4902))</f>
        <v/>
      </c>
    </row>
    <row r="4903">
      <c r="A4903">
        <f>Input!A4903</f>
        <v/>
      </c>
      <c r="B4903">
        <f>IF(ISNUMBER(Input!B4903),IF(AND(Input!B4903&gt;=20,Input!B4903&lt;=700),Input!B4903,""),"")</f>
        <v/>
      </c>
      <c r="C4903">
        <f>IF(B4903="","",INT(A4903))</f>
        <v/>
      </c>
      <c r="D4903">
        <f>IF(B4903="","",HOUR(A4903))</f>
        <v/>
      </c>
    </row>
    <row r="4904">
      <c r="A4904">
        <f>Input!A4904</f>
        <v/>
      </c>
      <c r="B4904">
        <f>IF(ISNUMBER(Input!B4904),IF(AND(Input!B4904&gt;=20,Input!B4904&lt;=700),Input!B4904,""),"")</f>
        <v/>
      </c>
      <c r="C4904">
        <f>IF(B4904="","",INT(A4904))</f>
        <v/>
      </c>
      <c r="D4904">
        <f>IF(B4904="","",HOUR(A4904))</f>
        <v/>
      </c>
    </row>
    <row r="4905">
      <c r="A4905">
        <f>Input!A4905</f>
        <v/>
      </c>
      <c r="B4905">
        <f>IF(ISNUMBER(Input!B4905),IF(AND(Input!B4905&gt;=20,Input!B4905&lt;=700),Input!B4905,""),"")</f>
        <v/>
      </c>
      <c r="C4905">
        <f>IF(B4905="","",INT(A4905))</f>
        <v/>
      </c>
      <c r="D4905">
        <f>IF(B4905="","",HOUR(A4905))</f>
        <v/>
      </c>
    </row>
    <row r="4906">
      <c r="A4906">
        <f>Input!A4906</f>
        <v/>
      </c>
      <c r="B4906">
        <f>IF(ISNUMBER(Input!B4906),IF(AND(Input!B4906&gt;=20,Input!B4906&lt;=700),Input!B4906,""),"")</f>
        <v/>
      </c>
      <c r="C4906">
        <f>IF(B4906="","",INT(A4906))</f>
        <v/>
      </c>
      <c r="D4906">
        <f>IF(B4906="","",HOUR(A4906))</f>
        <v/>
      </c>
    </row>
    <row r="4907">
      <c r="A4907">
        <f>Input!A4907</f>
        <v/>
      </c>
      <c r="B4907">
        <f>IF(ISNUMBER(Input!B4907),IF(AND(Input!B4907&gt;=20,Input!B4907&lt;=700),Input!B4907,""),"")</f>
        <v/>
      </c>
      <c r="C4907">
        <f>IF(B4907="","",INT(A4907))</f>
        <v/>
      </c>
      <c r="D4907">
        <f>IF(B4907="","",HOUR(A4907))</f>
        <v/>
      </c>
    </row>
    <row r="4908">
      <c r="A4908">
        <f>Input!A4908</f>
        <v/>
      </c>
      <c r="B4908">
        <f>IF(ISNUMBER(Input!B4908),IF(AND(Input!B4908&gt;=20,Input!B4908&lt;=700),Input!B4908,""),"")</f>
        <v/>
      </c>
      <c r="C4908">
        <f>IF(B4908="","",INT(A4908))</f>
        <v/>
      </c>
      <c r="D4908">
        <f>IF(B4908="","",HOUR(A4908))</f>
        <v/>
      </c>
    </row>
    <row r="4909">
      <c r="A4909">
        <f>Input!A4909</f>
        <v/>
      </c>
      <c r="B4909">
        <f>IF(ISNUMBER(Input!B4909),IF(AND(Input!B4909&gt;=20,Input!B4909&lt;=700),Input!B4909,""),"")</f>
        <v/>
      </c>
      <c r="C4909">
        <f>IF(B4909="","",INT(A4909))</f>
        <v/>
      </c>
      <c r="D4909">
        <f>IF(B4909="","",HOUR(A4909))</f>
        <v/>
      </c>
    </row>
    <row r="4910">
      <c r="A4910">
        <f>Input!A4910</f>
        <v/>
      </c>
      <c r="B4910">
        <f>IF(ISNUMBER(Input!B4910),IF(AND(Input!B4910&gt;=20,Input!B4910&lt;=700),Input!B4910,""),"")</f>
        <v/>
      </c>
      <c r="C4910">
        <f>IF(B4910="","",INT(A4910))</f>
        <v/>
      </c>
      <c r="D4910">
        <f>IF(B4910="","",HOUR(A4910))</f>
        <v/>
      </c>
    </row>
    <row r="4911">
      <c r="A4911">
        <f>Input!A4911</f>
        <v/>
      </c>
      <c r="B4911">
        <f>IF(ISNUMBER(Input!B4911),IF(AND(Input!B4911&gt;=20,Input!B4911&lt;=700),Input!B4911,""),"")</f>
        <v/>
      </c>
      <c r="C4911">
        <f>IF(B4911="","",INT(A4911))</f>
        <v/>
      </c>
      <c r="D4911">
        <f>IF(B4911="","",HOUR(A4911))</f>
        <v/>
      </c>
    </row>
    <row r="4912">
      <c r="A4912">
        <f>Input!A4912</f>
        <v/>
      </c>
      <c r="B4912">
        <f>IF(ISNUMBER(Input!B4912),IF(AND(Input!B4912&gt;=20,Input!B4912&lt;=700),Input!B4912,""),"")</f>
        <v/>
      </c>
      <c r="C4912">
        <f>IF(B4912="","",INT(A4912))</f>
        <v/>
      </c>
      <c r="D4912">
        <f>IF(B4912="","",HOUR(A4912))</f>
        <v/>
      </c>
    </row>
    <row r="4913">
      <c r="A4913">
        <f>Input!A4913</f>
        <v/>
      </c>
      <c r="B4913">
        <f>IF(ISNUMBER(Input!B4913),IF(AND(Input!B4913&gt;=20,Input!B4913&lt;=700),Input!B4913,""),"")</f>
        <v/>
      </c>
      <c r="C4913">
        <f>IF(B4913="","",INT(A4913))</f>
        <v/>
      </c>
      <c r="D4913">
        <f>IF(B4913="","",HOUR(A4913))</f>
        <v/>
      </c>
    </row>
    <row r="4914">
      <c r="A4914">
        <f>Input!A4914</f>
        <v/>
      </c>
      <c r="B4914">
        <f>IF(ISNUMBER(Input!B4914),IF(AND(Input!B4914&gt;=20,Input!B4914&lt;=700),Input!B4914,""),"")</f>
        <v/>
      </c>
      <c r="C4914">
        <f>IF(B4914="","",INT(A4914))</f>
        <v/>
      </c>
      <c r="D4914">
        <f>IF(B4914="","",HOUR(A4914))</f>
        <v/>
      </c>
    </row>
    <row r="4915">
      <c r="A4915">
        <f>Input!A4915</f>
        <v/>
      </c>
      <c r="B4915">
        <f>IF(ISNUMBER(Input!B4915),IF(AND(Input!B4915&gt;=20,Input!B4915&lt;=700),Input!B4915,""),"")</f>
        <v/>
      </c>
      <c r="C4915">
        <f>IF(B4915="","",INT(A4915))</f>
        <v/>
      </c>
      <c r="D4915">
        <f>IF(B4915="","",HOUR(A4915))</f>
        <v/>
      </c>
    </row>
    <row r="4916">
      <c r="A4916">
        <f>Input!A4916</f>
        <v/>
      </c>
      <c r="B4916">
        <f>IF(ISNUMBER(Input!B4916),IF(AND(Input!B4916&gt;=20,Input!B4916&lt;=700),Input!B4916,""),"")</f>
        <v/>
      </c>
      <c r="C4916">
        <f>IF(B4916="","",INT(A4916))</f>
        <v/>
      </c>
      <c r="D4916">
        <f>IF(B4916="","",HOUR(A4916))</f>
        <v/>
      </c>
    </row>
    <row r="4917">
      <c r="A4917">
        <f>Input!A4917</f>
        <v/>
      </c>
      <c r="B4917">
        <f>IF(ISNUMBER(Input!B4917),IF(AND(Input!B4917&gt;=20,Input!B4917&lt;=700),Input!B4917,""),"")</f>
        <v/>
      </c>
      <c r="C4917">
        <f>IF(B4917="","",INT(A4917))</f>
        <v/>
      </c>
      <c r="D4917">
        <f>IF(B4917="","",HOUR(A4917))</f>
        <v/>
      </c>
    </row>
    <row r="4918">
      <c r="A4918">
        <f>Input!A4918</f>
        <v/>
      </c>
      <c r="B4918">
        <f>IF(ISNUMBER(Input!B4918),IF(AND(Input!B4918&gt;=20,Input!B4918&lt;=700),Input!B4918,""),"")</f>
        <v/>
      </c>
      <c r="C4918">
        <f>IF(B4918="","",INT(A4918))</f>
        <v/>
      </c>
      <c r="D4918">
        <f>IF(B4918="","",HOUR(A4918))</f>
        <v/>
      </c>
    </row>
    <row r="4919">
      <c r="A4919">
        <f>Input!A4919</f>
        <v/>
      </c>
      <c r="B4919">
        <f>IF(ISNUMBER(Input!B4919),IF(AND(Input!B4919&gt;=20,Input!B4919&lt;=700),Input!B4919,""),"")</f>
        <v/>
      </c>
      <c r="C4919">
        <f>IF(B4919="","",INT(A4919))</f>
        <v/>
      </c>
      <c r="D4919">
        <f>IF(B4919="","",HOUR(A4919))</f>
        <v/>
      </c>
    </row>
    <row r="4920">
      <c r="A4920">
        <f>Input!A4920</f>
        <v/>
      </c>
      <c r="B4920">
        <f>IF(ISNUMBER(Input!B4920),IF(AND(Input!B4920&gt;=20,Input!B4920&lt;=700),Input!B4920,""),"")</f>
        <v/>
      </c>
      <c r="C4920">
        <f>IF(B4920="","",INT(A4920))</f>
        <v/>
      </c>
      <c r="D4920">
        <f>IF(B4920="","",HOUR(A4920))</f>
        <v/>
      </c>
    </row>
    <row r="4921">
      <c r="A4921">
        <f>Input!A4921</f>
        <v/>
      </c>
      <c r="B4921">
        <f>IF(ISNUMBER(Input!B4921),IF(AND(Input!B4921&gt;=20,Input!B4921&lt;=700),Input!B4921,""),"")</f>
        <v/>
      </c>
      <c r="C4921">
        <f>IF(B4921="","",INT(A4921))</f>
        <v/>
      </c>
      <c r="D4921">
        <f>IF(B4921="","",HOUR(A4921))</f>
        <v/>
      </c>
    </row>
    <row r="4922">
      <c r="A4922">
        <f>Input!A4922</f>
        <v/>
      </c>
      <c r="B4922">
        <f>IF(ISNUMBER(Input!B4922),IF(AND(Input!B4922&gt;=20,Input!B4922&lt;=700),Input!B4922,""),"")</f>
        <v/>
      </c>
      <c r="C4922">
        <f>IF(B4922="","",INT(A4922))</f>
        <v/>
      </c>
      <c r="D4922">
        <f>IF(B4922="","",HOUR(A4922))</f>
        <v/>
      </c>
    </row>
    <row r="4923">
      <c r="A4923">
        <f>Input!A4923</f>
        <v/>
      </c>
      <c r="B4923">
        <f>IF(ISNUMBER(Input!B4923),IF(AND(Input!B4923&gt;=20,Input!B4923&lt;=700),Input!B4923,""),"")</f>
        <v/>
      </c>
      <c r="C4923">
        <f>IF(B4923="","",INT(A4923))</f>
        <v/>
      </c>
      <c r="D4923">
        <f>IF(B4923="","",HOUR(A4923))</f>
        <v/>
      </c>
    </row>
    <row r="4924">
      <c r="A4924">
        <f>Input!A4924</f>
        <v/>
      </c>
      <c r="B4924">
        <f>IF(ISNUMBER(Input!B4924),IF(AND(Input!B4924&gt;=20,Input!B4924&lt;=700),Input!B4924,""),"")</f>
        <v/>
      </c>
      <c r="C4924">
        <f>IF(B4924="","",INT(A4924))</f>
        <v/>
      </c>
      <c r="D4924">
        <f>IF(B4924="","",HOUR(A4924))</f>
        <v/>
      </c>
    </row>
    <row r="4925">
      <c r="A4925">
        <f>Input!A4925</f>
        <v/>
      </c>
      <c r="B4925">
        <f>IF(ISNUMBER(Input!B4925),IF(AND(Input!B4925&gt;=20,Input!B4925&lt;=700),Input!B4925,""),"")</f>
        <v/>
      </c>
      <c r="C4925">
        <f>IF(B4925="","",INT(A4925))</f>
        <v/>
      </c>
      <c r="D4925">
        <f>IF(B4925="","",HOUR(A4925))</f>
        <v/>
      </c>
    </row>
    <row r="4926">
      <c r="A4926">
        <f>Input!A4926</f>
        <v/>
      </c>
      <c r="B4926">
        <f>IF(ISNUMBER(Input!B4926),IF(AND(Input!B4926&gt;=20,Input!B4926&lt;=700),Input!B4926,""),"")</f>
        <v/>
      </c>
      <c r="C4926">
        <f>IF(B4926="","",INT(A4926))</f>
        <v/>
      </c>
      <c r="D4926">
        <f>IF(B4926="","",HOUR(A4926))</f>
        <v/>
      </c>
    </row>
    <row r="4927">
      <c r="A4927">
        <f>Input!A4927</f>
        <v/>
      </c>
      <c r="B4927">
        <f>IF(ISNUMBER(Input!B4927),IF(AND(Input!B4927&gt;=20,Input!B4927&lt;=700),Input!B4927,""),"")</f>
        <v/>
      </c>
      <c r="C4927">
        <f>IF(B4927="","",INT(A4927))</f>
        <v/>
      </c>
      <c r="D4927">
        <f>IF(B4927="","",HOUR(A4927))</f>
        <v/>
      </c>
    </row>
    <row r="4928">
      <c r="A4928">
        <f>Input!A4928</f>
        <v/>
      </c>
      <c r="B4928">
        <f>IF(ISNUMBER(Input!B4928),IF(AND(Input!B4928&gt;=20,Input!B4928&lt;=700),Input!B4928,""),"")</f>
        <v/>
      </c>
      <c r="C4928">
        <f>IF(B4928="","",INT(A4928))</f>
        <v/>
      </c>
      <c r="D4928">
        <f>IF(B4928="","",HOUR(A4928))</f>
        <v/>
      </c>
    </row>
    <row r="4929">
      <c r="A4929">
        <f>Input!A4929</f>
        <v/>
      </c>
      <c r="B4929">
        <f>IF(ISNUMBER(Input!B4929),IF(AND(Input!B4929&gt;=20,Input!B4929&lt;=700),Input!B4929,""),"")</f>
        <v/>
      </c>
      <c r="C4929">
        <f>IF(B4929="","",INT(A4929))</f>
        <v/>
      </c>
      <c r="D4929">
        <f>IF(B4929="","",HOUR(A4929))</f>
        <v/>
      </c>
    </row>
    <row r="4930">
      <c r="A4930">
        <f>Input!A4930</f>
        <v/>
      </c>
      <c r="B4930">
        <f>IF(ISNUMBER(Input!B4930),IF(AND(Input!B4930&gt;=20,Input!B4930&lt;=700),Input!B4930,""),"")</f>
        <v/>
      </c>
      <c r="C4930">
        <f>IF(B4930="","",INT(A4930))</f>
        <v/>
      </c>
      <c r="D4930">
        <f>IF(B4930="","",HOUR(A4930))</f>
        <v/>
      </c>
    </row>
    <row r="4931">
      <c r="A4931">
        <f>Input!A4931</f>
        <v/>
      </c>
      <c r="B4931">
        <f>IF(ISNUMBER(Input!B4931),IF(AND(Input!B4931&gt;=20,Input!B4931&lt;=700),Input!B4931,""),"")</f>
        <v/>
      </c>
      <c r="C4931">
        <f>IF(B4931="","",INT(A4931))</f>
        <v/>
      </c>
      <c r="D4931">
        <f>IF(B4931="","",HOUR(A4931))</f>
        <v/>
      </c>
    </row>
    <row r="4932">
      <c r="A4932">
        <f>Input!A4932</f>
        <v/>
      </c>
      <c r="B4932">
        <f>IF(ISNUMBER(Input!B4932),IF(AND(Input!B4932&gt;=20,Input!B4932&lt;=700),Input!B4932,""),"")</f>
        <v/>
      </c>
      <c r="C4932">
        <f>IF(B4932="","",INT(A4932))</f>
        <v/>
      </c>
      <c r="D4932">
        <f>IF(B4932="","",HOUR(A4932))</f>
        <v/>
      </c>
    </row>
    <row r="4933">
      <c r="A4933">
        <f>Input!A4933</f>
        <v/>
      </c>
      <c r="B4933">
        <f>IF(ISNUMBER(Input!B4933),IF(AND(Input!B4933&gt;=20,Input!B4933&lt;=700),Input!B4933,""),"")</f>
        <v/>
      </c>
      <c r="C4933">
        <f>IF(B4933="","",INT(A4933))</f>
        <v/>
      </c>
      <c r="D4933">
        <f>IF(B4933="","",HOUR(A4933))</f>
        <v/>
      </c>
    </row>
    <row r="4934">
      <c r="A4934">
        <f>Input!A4934</f>
        <v/>
      </c>
      <c r="B4934">
        <f>IF(ISNUMBER(Input!B4934),IF(AND(Input!B4934&gt;=20,Input!B4934&lt;=700),Input!B4934,""),"")</f>
        <v/>
      </c>
      <c r="C4934">
        <f>IF(B4934="","",INT(A4934))</f>
        <v/>
      </c>
      <c r="D4934">
        <f>IF(B4934="","",HOUR(A4934))</f>
        <v/>
      </c>
    </row>
    <row r="4935">
      <c r="A4935">
        <f>Input!A4935</f>
        <v/>
      </c>
      <c r="B4935">
        <f>IF(ISNUMBER(Input!B4935),IF(AND(Input!B4935&gt;=20,Input!B4935&lt;=700),Input!B4935,""),"")</f>
        <v/>
      </c>
      <c r="C4935">
        <f>IF(B4935="","",INT(A4935))</f>
        <v/>
      </c>
      <c r="D4935">
        <f>IF(B4935="","",HOUR(A4935))</f>
        <v/>
      </c>
    </row>
    <row r="4936">
      <c r="A4936">
        <f>Input!A4936</f>
        <v/>
      </c>
      <c r="B4936">
        <f>IF(ISNUMBER(Input!B4936),IF(AND(Input!B4936&gt;=20,Input!B4936&lt;=700),Input!B4936,""),"")</f>
        <v/>
      </c>
      <c r="C4936">
        <f>IF(B4936="","",INT(A4936))</f>
        <v/>
      </c>
      <c r="D4936">
        <f>IF(B4936="","",HOUR(A4936))</f>
        <v/>
      </c>
    </row>
    <row r="4937">
      <c r="A4937">
        <f>Input!A4937</f>
        <v/>
      </c>
      <c r="B4937">
        <f>IF(ISNUMBER(Input!B4937),IF(AND(Input!B4937&gt;=20,Input!B4937&lt;=700),Input!B4937,""),"")</f>
        <v/>
      </c>
      <c r="C4937">
        <f>IF(B4937="","",INT(A4937))</f>
        <v/>
      </c>
      <c r="D4937">
        <f>IF(B4937="","",HOUR(A4937))</f>
        <v/>
      </c>
    </row>
    <row r="4938">
      <c r="A4938">
        <f>Input!A4938</f>
        <v/>
      </c>
      <c r="B4938">
        <f>IF(ISNUMBER(Input!B4938),IF(AND(Input!B4938&gt;=20,Input!B4938&lt;=700),Input!B4938,""),"")</f>
        <v/>
      </c>
      <c r="C4938">
        <f>IF(B4938="","",INT(A4938))</f>
        <v/>
      </c>
      <c r="D4938">
        <f>IF(B4938="","",HOUR(A4938))</f>
        <v/>
      </c>
    </row>
    <row r="4939">
      <c r="A4939">
        <f>Input!A4939</f>
        <v/>
      </c>
      <c r="B4939">
        <f>IF(ISNUMBER(Input!B4939),IF(AND(Input!B4939&gt;=20,Input!B4939&lt;=700),Input!B4939,""),"")</f>
        <v/>
      </c>
      <c r="C4939">
        <f>IF(B4939="","",INT(A4939))</f>
        <v/>
      </c>
      <c r="D4939">
        <f>IF(B4939="","",HOUR(A4939))</f>
        <v/>
      </c>
    </row>
    <row r="4940">
      <c r="A4940">
        <f>Input!A4940</f>
        <v/>
      </c>
      <c r="B4940">
        <f>IF(ISNUMBER(Input!B4940),IF(AND(Input!B4940&gt;=20,Input!B4940&lt;=700),Input!B4940,""),"")</f>
        <v/>
      </c>
      <c r="C4940">
        <f>IF(B4940="","",INT(A4940))</f>
        <v/>
      </c>
      <c r="D4940">
        <f>IF(B4940="","",HOUR(A4940))</f>
        <v/>
      </c>
    </row>
    <row r="4941">
      <c r="A4941">
        <f>Input!A4941</f>
        <v/>
      </c>
      <c r="B4941">
        <f>IF(ISNUMBER(Input!B4941),IF(AND(Input!B4941&gt;=20,Input!B4941&lt;=700),Input!B4941,""),"")</f>
        <v/>
      </c>
      <c r="C4941">
        <f>IF(B4941="","",INT(A4941))</f>
        <v/>
      </c>
      <c r="D4941">
        <f>IF(B4941="","",HOUR(A4941))</f>
        <v/>
      </c>
    </row>
    <row r="4942">
      <c r="A4942">
        <f>Input!A4942</f>
        <v/>
      </c>
      <c r="B4942">
        <f>IF(ISNUMBER(Input!B4942),IF(AND(Input!B4942&gt;=20,Input!B4942&lt;=700),Input!B4942,""),"")</f>
        <v/>
      </c>
      <c r="C4942">
        <f>IF(B4942="","",INT(A4942))</f>
        <v/>
      </c>
      <c r="D4942">
        <f>IF(B4942="","",HOUR(A4942))</f>
        <v/>
      </c>
    </row>
    <row r="4943">
      <c r="A4943">
        <f>Input!A4943</f>
        <v/>
      </c>
      <c r="B4943">
        <f>IF(ISNUMBER(Input!B4943),IF(AND(Input!B4943&gt;=20,Input!B4943&lt;=700),Input!B4943,""),"")</f>
        <v/>
      </c>
      <c r="C4943">
        <f>IF(B4943="","",INT(A4943))</f>
        <v/>
      </c>
      <c r="D4943">
        <f>IF(B4943="","",HOUR(A4943))</f>
        <v/>
      </c>
    </row>
    <row r="4944">
      <c r="A4944">
        <f>Input!A4944</f>
        <v/>
      </c>
      <c r="B4944">
        <f>IF(ISNUMBER(Input!B4944),IF(AND(Input!B4944&gt;=20,Input!B4944&lt;=700),Input!B4944,""),"")</f>
        <v/>
      </c>
      <c r="C4944">
        <f>IF(B4944="","",INT(A4944))</f>
        <v/>
      </c>
      <c r="D4944">
        <f>IF(B4944="","",HOUR(A4944))</f>
        <v/>
      </c>
    </row>
    <row r="4945">
      <c r="A4945">
        <f>Input!A4945</f>
        <v/>
      </c>
      <c r="B4945">
        <f>IF(ISNUMBER(Input!B4945),IF(AND(Input!B4945&gt;=20,Input!B4945&lt;=700),Input!B4945,""),"")</f>
        <v/>
      </c>
      <c r="C4945">
        <f>IF(B4945="","",INT(A4945))</f>
        <v/>
      </c>
      <c r="D4945">
        <f>IF(B4945="","",HOUR(A4945))</f>
        <v/>
      </c>
    </row>
    <row r="4946">
      <c r="A4946">
        <f>Input!A4946</f>
        <v/>
      </c>
      <c r="B4946">
        <f>IF(ISNUMBER(Input!B4946),IF(AND(Input!B4946&gt;=20,Input!B4946&lt;=700),Input!B4946,""),"")</f>
        <v/>
      </c>
      <c r="C4946">
        <f>IF(B4946="","",INT(A4946))</f>
        <v/>
      </c>
      <c r="D4946">
        <f>IF(B4946="","",HOUR(A4946))</f>
        <v/>
      </c>
    </row>
    <row r="4947">
      <c r="A4947">
        <f>Input!A4947</f>
        <v/>
      </c>
      <c r="B4947">
        <f>IF(ISNUMBER(Input!B4947),IF(AND(Input!B4947&gt;=20,Input!B4947&lt;=700),Input!B4947,""),"")</f>
        <v/>
      </c>
      <c r="C4947">
        <f>IF(B4947="","",INT(A4947))</f>
        <v/>
      </c>
      <c r="D4947">
        <f>IF(B4947="","",HOUR(A4947))</f>
        <v/>
      </c>
    </row>
    <row r="4948">
      <c r="A4948">
        <f>Input!A4948</f>
        <v/>
      </c>
      <c r="B4948">
        <f>IF(ISNUMBER(Input!B4948),IF(AND(Input!B4948&gt;=20,Input!B4948&lt;=700),Input!B4948,""),"")</f>
        <v/>
      </c>
      <c r="C4948">
        <f>IF(B4948="","",INT(A4948))</f>
        <v/>
      </c>
      <c r="D4948">
        <f>IF(B4948="","",HOUR(A4948))</f>
        <v/>
      </c>
    </row>
    <row r="4949">
      <c r="A4949">
        <f>Input!A4949</f>
        <v/>
      </c>
      <c r="B4949">
        <f>IF(ISNUMBER(Input!B4949),IF(AND(Input!B4949&gt;=20,Input!B4949&lt;=700),Input!B4949,""),"")</f>
        <v/>
      </c>
      <c r="C4949">
        <f>IF(B4949="","",INT(A4949))</f>
        <v/>
      </c>
      <c r="D4949">
        <f>IF(B4949="","",HOUR(A4949))</f>
        <v/>
      </c>
    </row>
    <row r="4950">
      <c r="A4950">
        <f>Input!A4950</f>
        <v/>
      </c>
      <c r="B4950">
        <f>IF(ISNUMBER(Input!B4950),IF(AND(Input!B4950&gt;=20,Input!B4950&lt;=700),Input!B4950,""),"")</f>
        <v/>
      </c>
      <c r="C4950">
        <f>IF(B4950="","",INT(A4950))</f>
        <v/>
      </c>
      <c r="D4950">
        <f>IF(B4950="","",HOUR(A4950))</f>
        <v/>
      </c>
    </row>
    <row r="4951">
      <c r="A4951">
        <f>Input!A4951</f>
        <v/>
      </c>
      <c r="B4951">
        <f>IF(ISNUMBER(Input!B4951),IF(AND(Input!B4951&gt;=20,Input!B4951&lt;=700),Input!B4951,""),"")</f>
        <v/>
      </c>
      <c r="C4951">
        <f>IF(B4951="","",INT(A4951))</f>
        <v/>
      </c>
      <c r="D4951">
        <f>IF(B4951="","",HOUR(A4951))</f>
        <v/>
      </c>
    </row>
    <row r="4952">
      <c r="A4952">
        <f>Input!A4952</f>
        <v/>
      </c>
      <c r="B4952">
        <f>IF(ISNUMBER(Input!B4952),IF(AND(Input!B4952&gt;=20,Input!B4952&lt;=700),Input!B4952,""),"")</f>
        <v/>
      </c>
      <c r="C4952">
        <f>IF(B4952="","",INT(A4952))</f>
        <v/>
      </c>
      <c r="D4952">
        <f>IF(B4952="","",HOUR(A4952))</f>
        <v/>
      </c>
    </row>
    <row r="4953">
      <c r="A4953">
        <f>Input!A4953</f>
        <v/>
      </c>
      <c r="B4953">
        <f>IF(ISNUMBER(Input!B4953),IF(AND(Input!B4953&gt;=20,Input!B4953&lt;=700),Input!B4953,""),"")</f>
        <v/>
      </c>
      <c r="C4953">
        <f>IF(B4953="","",INT(A4953))</f>
        <v/>
      </c>
      <c r="D4953">
        <f>IF(B4953="","",HOUR(A4953))</f>
        <v/>
      </c>
    </row>
    <row r="4954">
      <c r="A4954">
        <f>Input!A4954</f>
        <v/>
      </c>
      <c r="B4954">
        <f>IF(ISNUMBER(Input!B4954),IF(AND(Input!B4954&gt;=20,Input!B4954&lt;=700),Input!B4954,""),"")</f>
        <v/>
      </c>
      <c r="C4954">
        <f>IF(B4954="","",INT(A4954))</f>
        <v/>
      </c>
      <c r="D4954">
        <f>IF(B4954="","",HOUR(A4954))</f>
        <v/>
      </c>
    </row>
    <row r="4955">
      <c r="A4955">
        <f>Input!A4955</f>
        <v/>
      </c>
      <c r="B4955">
        <f>IF(ISNUMBER(Input!B4955),IF(AND(Input!B4955&gt;=20,Input!B4955&lt;=700),Input!B4955,""),"")</f>
        <v/>
      </c>
      <c r="C4955">
        <f>IF(B4955="","",INT(A4955))</f>
        <v/>
      </c>
      <c r="D4955">
        <f>IF(B4955="","",HOUR(A4955))</f>
        <v/>
      </c>
    </row>
    <row r="4956">
      <c r="A4956">
        <f>Input!A4956</f>
        <v/>
      </c>
      <c r="B4956">
        <f>IF(ISNUMBER(Input!B4956),IF(AND(Input!B4956&gt;=20,Input!B4956&lt;=700),Input!B4956,""),"")</f>
        <v/>
      </c>
      <c r="C4956">
        <f>IF(B4956="","",INT(A4956))</f>
        <v/>
      </c>
      <c r="D4956">
        <f>IF(B4956="","",HOUR(A4956))</f>
        <v/>
      </c>
    </row>
    <row r="4957">
      <c r="A4957">
        <f>Input!A4957</f>
        <v/>
      </c>
      <c r="B4957">
        <f>IF(ISNUMBER(Input!B4957),IF(AND(Input!B4957&gt;=20,Input!B4957&lt;=700),Input!B4957,""),"")</f>
        <v/>
      </c>
      <c r="C4957">
        <f>IF(B4957="","",INT(A4957))</f>
        <v/>
      </c>
      <c r="D4957">
        <f>IF(B4957="","",HOUR(A4957))</f>
        <v/>
      </c>
    </row>
    <row r="4958">
      <c r="A4958">
        <f>Input!A4958</f>
        <v/>
      </c>
      <c r="B4958">
        <f>IF(ISNUMBER(Input!B4958),IF(AND(Input!B4958&gt;=20,Input!B4958&lt;=700),Input!B4958,""),"")</f>
        <v/>
      </c>
      <c r="C4958">
        <f>IF(B4958="","",INT(A4958))</f>
        <v/>
      </c>
      <c r="D4958">
        <f>IF(B4958="","",HOUR(A4958))</f>
        <v/>
      </c>
    </row>
    <row r="4959">
      <c r="A4959">
        <f>Input!A4959</f>
        <v/>
      </c>
      <c r="B4959">
        <f>IF(ISNUMBER(Input!B4959),IF(AND(Input!B4959&gt;=20,Input!B4959&lt;=700),Input!B4959,""),"")</f>
        <v/>
      </c>
      <c r="C4959">
        <f>IF(B4959="","",INT(A4959))</f>
        <v/>
      </c>
      <c r="D4959">
        <f>IF(B4959="","",HOUR(A4959))</f>
        <v/>
      </c>
    </row>
    <row r="4960">
      <c r="A4960">
        <f>Input!A4960</f>
        <v/>
      </c>
      <c r="B4960">
        <f>IF(ISNUMBER(Input!B4960),IF(AND(Input!B4960&gt;=20,Input!B4960&lt;=700),Input!B4960,""),"")</f>
        <v/>
      </c>
      <c r="C4960">
        <f>IF(B4960="","",INT(A4960))</f>
        <v/>
      </c>
      <c r="D4960">
        <f>IF(B4960="","",HOUR(A4960))</f>
        <v/>
      </c>
    </row>
    <row r="4961">
      <c r="A4961">
        <f>Input!A4961</f>
        <v/>
      </c>
      <c r="B4961">
        <f>IF(ISNUMBER(Input!B4961),IF(AND(Input!B4961&gt;=20,Input!B4961&lt;=700),Input!B4961,""),"")</f>
        <v/>
      </c>
      <c r="C4961">
        <f>IF(B4961="","",INT(A4961))</f>
        <v/>
      </c>
      <c r="D4961">
        <f>IF(B4961="","",HOUR(A4961))</f>
        <v/>
      </c>
    </row>
    <row r="4962">
      <c r="A4962">
        <f>Input!A4962</f>
        <v/>
      </c>
      <c r="B4962">
        <f>IF(ISNUMBER(Input!B4962),IF(AND(Input!B4962&gt;=20,Input!B4962&lt;=700),Input!B4962,""),"")</f>
        <v/>
      </c>
      <c r="C4962">
        <f>IF(B4962="","",INT(A4962))</f>
        <v/>
      </c>
      <c r="D4962">
        <f>IF(B4962="","",HOUR(A4962))</f>
        <v/>
      </c>
    </row>
    <row r="4963">
      <c r="A4963">
        <f>Input!A4963</f>
        <v/>
      </c>
      <c r="B4963">
        <f>IF(ISNUMBER(Input!B4963),IF(AND(Input!B4963&gt;=20,Input!B4963&lt;=700),Input!B4963,""),"")</f>
        <v/>
      </c>
      <c r="C4963">
        <f>IF(B4963="","",INT(A4963))</f>
        <v/>
      </c>
      <c r="D4963">
        <f>IF(B4963="","",HOUR(A4963))</f>
        <v/>
      </c>
    </row>
    <row r="4964">
      <c r="A4964">
        <f>Input!A4964</f>
        <v/>
      </c>
      <c r="B4964">
        <f>IF(ISNUMBER(Input!B4964),IF(AND(Input!B4964&gt;=20,Input!B4964&lt;=700),Input!B4964,""),"")</f>
        <v/>
      </c>
      <c r="C4964">
        <f>IF(B4964="","",INT(A4964))</f>
        <v/>
      </c>
      <c r="D4964">
        <f>IF(B4964="","",HOUR(A4964))</f>
        <v/>
      </c>
    </row>
    <row r="4965">
      <c r="A4965">
        <f>Input!A4965</f>
        <v/>
      </c>
      <c r="B4965">
        <f>IF(ISNUMBER(Input!B4965),IF(AND(Input!B4965&gt;=20,Input!B4965&lt;=700),Input!B4965,""),"")</f>
        <v/>
      </c>
      <c r="C4965">
        <f>IF(B4965="","",INT(A4965))</f>
        <v/>
      </c>
      <c r="D4965">
        <f>IF(B4965="","",HOUR(A4965))</f>
        <v/>
      </c>
    </row>
    <row r="4966">
      <c r="A4966">
        <f>Input!A4966</f>
        <v/>
      </c>
      <c r="B4966">
        <f>IF(ISNUMBER(Input!B4966),IF(AND(Input!B4966&gt;=20,Input!B4966&lt;=700),Input!B4966,""),"")</f>
        <v/>
      </c>
      <c r="C4966">
        <f>IF(B4966="","",INT(A4966))</f>
        <v/>
      </c>
      <c r="D4966">
        <f>IF(B4966="","",HOUR(A4966))</f>
        <v/>
      </c>
    </row>
    <row r="4967">
      <c r="A4967">
        <f>Input!A4967</f>
        <v/>
      </c>
      <c r="B4967">
        <f>IF(ISNUMBER(Input!B4967),IF(AND(Input!B4967&gt;=20,Input!B4967&lt;=700),Input!B4967,""),"")</f>
        <v/>
      </c>
      <c r="C4967">
        <f>IF(B4967="","",INT(A4967))</f>
        <v/>
      </c>
      <c r="D4967">
        <f>IF(B4967="","",HOUR(A4967))</f>
        <v/>
      </c>
    </row>
    <row r="4968">
      <c r="A4968">
        <f>Input!A4968</f>
        <v/>
      </c>
      <c r="B4968">
        <f>IF(ISNUMBER(Input!B4968),IF(AND(Input!B4968&gt;=20,Input!B4968&lt;=700),Input!B4968,""),"")</f>
        <v/>
      </c>
      <c r="C4968">
        <f>IF(B4968="","",INT(A4968))</f>
        <v/>
      </c>
      <c r="D4968">
        <f>IF(B4968="","",HOUR(A4968))</f>
        <v/>
      </c>
    </row>
    <row r="4969">
      <c r="A4969">
        <f>Input!A4969</f>
        <v/>
      </c>
      <c r="B4969">
        <f>IF(ISNUMBER(Input!B4969),IF(AND(Input!B4969&gt;=20,Input!B4969&lt;=700),Input!B4969,""),"")</f>
        <v/>
      </c>
      <c r="C4969">
        <f>IF(B4969="","",INT(A4969))</f>
        <v/>
      </c>
      <c r="D4969">
        <f>IF(B4969="","",HOUR(A4969))</f>
        <v/>
      </c>
    </row>
    <row r="4970">
      <c r="A4970">
        <f>Input!A4970</f>
        <v/>
      </c>
      <c r="B4970">
        <f>IF(ISNUMBER(Input!B4970),IF(AND(Input!B4970&gt;=20,Input!B4970&lt;=700),Input!B4970,""),"")</f>
        <v/>
      </c>
      <c r="C4970">
        <f>IF(B4970="","",INT(A4970))</f>
        <v/>
      </c>
      <c r="D4970">
        <f>IF(B4970="","",HOUR(A4970))</f>
        <v/>
      </c>
    </row>
    <row r="4971">
      <c r="A4971">
        <f>Input!A4971</f>
        <v/>
      </c>
      <c r="B4971">
        <f>IF(ISNUMBER(Input!B4971),IF(AND(Input!B4971&gt;=20,Input!B4971&lt;=700),Input!B4971,""),"")</f>
        <v/>
      </c>
      <c r="C4971">
        <f>IF(B4971="","",INT(A4971))</f>
        <v/>
      </c>
      <c r="D4971">
        <f>IF(B4971="","",HOUR(A4971))</f>
        <v/>
      </c>
    </row>
    <row r="4972">
      <c r="A4972">
        <f>Input!A4972</f>
        <v/>
      </c>
      <c r="B4972">
        <f>IF(ISNUMBER(Input!B4972),IF(AND(Input!B4972&gt;=20,Input!B4972&lt;=700),Input!B4972,""),"")</f>
        <v/>
      </c>
      <c r="C4972">
        <f>IF(B4972="","",INT(A4972))</f>
        <v/>
      </c>
      <c r="D4972">
        <f>IF(B4972="","",HOUR(A4972))</f>
        <v/>
      </c>
    </row>
    <row r="4973">
      <c r="A4973">
        <f>Input!A4973</f>
        <v/>
      </c>
      <c r="B4973">
        <f>IF(ISNUMBER(Input!B4973),IF(AND(Input!B4973&gt;=20,Input!B4973&lt;=700),Input!B4973,""),"")</f>
        <v/>
      </c>
      <c r="C4973">
        <f>IF(B4973="","",INT(A4973))</f>
        <v/>
      </c>
      <c r="D4973">
        <f>IF(B4973="","",HOUR(A4973))</f>
        <v/>
      </c>
    </row>
    <row r="4974">
      <c r="A4974">
        <f>Input!A4974</f>
        <v/>
      </c>
      <c r="B4974">
        <f>IF(ISNUMBER(Input!B4974),IF(AND(Input!B4974&gt;=20,Input!B4974&lt;=700),Input!B4974,""),"")</f>
        <v/>
      </c>
      <c r="C4974">
        <f>IF(B4974="","",INT(A4974))</f>
        <v/>
      </c>
      <c r="D4974">
        <f>IF(B4974="","",HOUR(A4974))</f>
        <v/>
      </c>
    </row>
    <row r="4975">
      <c r="A4975">
        <f>Input!A4975</f>
        <v/>
      </c>
      <c r="B4975">
        <f>IF(ISNUMBER(Input!B4975),IF(AND(Input!B4975&gt;=20,Input!B4975&lt;=700),Input!B4975,""),"")</f>
        <v/>
      </c>
      <c r="C4975">
        <f>IF(B4975="","",INT(A4975))</f>
        <v/>
      </c>
      <c r="D4975">
        <f>IF(B4975="","",HOUR(A4975))</f>
        <v/>
      </c>
    </row>
    <row r="4976">
      <c r="A4976">
        <f>Input!A4976</f>
        <v/>
      </c>
      <c r="B4976">
        <f>IF(ISNUMBER(Input!B4976),IF(AND(Input!B4976&gt;=20,Input!B4976&lt;=700),Input!B4976,""),"")</f>
        <v/>
      </c>
      <c r="C4976">
        <f>IF(B4976="","",INT(A4976))</f>
        <v/>
      </c>
      <c r="D4976">
        <f>IF(B4976="","",HOUR(A4976))</f>
        <v/>
      </c>
    </row>
    <row r="4977">
      <c r="A4977">
        <f>Input!A4977</f>
        <v/>
      </c>
      <c r="B4977">
        <f>IF(ISNUMBER(Input!B4977),IF(AND(Input!B4977&gt;=20,Input!B4977&lt;=700),Input!B4977,""),"")</f>
        <v/>
      </c>
      <c r="C4977">
        <f>IF(B4977="","",INT(A4977))</f>
        <v/>
      </c>
      <c r="D4977">
        <f>IF(B4977="","",HOUR(A4977))</f>
        <v/>
      </c>
    </row>
    <row r="4978">
      <c r="A4978">
        <f>Input!A4978</f>
        <v/>
      </c>
      <c r="B4978">
        <f>IF(ISNUMBER(Input!B4978),IF(AND(Input!B4978&gt;=20,Input!B4978&lt;=700),Input!B4978,""),"")</f>
        <v/>
      </c>
      <c r="C4978">
        <f>IF(B4978="","",INT(A4978))</f>
        <v/>
      </c>
      <c r="D4978">
        <f>IF(B4978="","",HOUR(A4978))</f>
        <v/>
      </c>
    </row>
    <row r="4979">
      <c r="A4979">
        <f>Input!A4979</f>
        <v/>
      </c>
      <c r="B4979">
        <f>IF(ISNUMBER(Input!B4979),IF(AND(Input!B4979&gt;=20,Input!B4979&lt;=700),Input!B4979,""),"")</f>
        <v/>
      </c>
      <c r="C4979">
        <f>IF(B4979="","",INT(A4979))</f>
        <v/>
      </c>
      <c r="D4979">
        <f>IF(B4979="","",HOUR(A4979))</f>
        <v/>
      </c>
    </row>
    <row r="4980">
      <c r="A4980">
        <f>Input!A4980</f>
        <v/>
      </c>
      <c r="B4980">
        <f>IF(ISNUMBER(Input!B4980),IF(AND(Input!B4980&gt;=20,Input!B4980&lt;=700),Input!B4980,""),"")</f>
        <v/>
      </c>
      <c r="C4980">
        <f>IF(B4980="","",INT(A4980))</f>
        <v/>
      </c>
      <c r="D4980">
        <f>IF(B4980="","",HOUR(A4980))</f>
        <v/>
      </c>
    </row>
    <row r="4981">
      <c r="A4981">
        <f>Input!A4981</f>
        <v/>
      </c>
      <c r="B4981">
        <f>IF(ISNUMBER(Input!B4981),IF(AND(Input!B4981&gt;=20,Input!B4981&lt;=700),Input!B4981,""),"")</f>
        <v/>
      </c>
      <c r="C4981">
        <f>IF(B4981="","",INT(A4981))</f>
        <v/>
      </c>
      <c r="D4981">
        <f>IF(B4981="","",HOUR(A4981))</f>
        <v/>
      </c>
    </row>
    <row r="4982">
      <c r="A4982">
        <f>Input!A4982</f>
        <v/>
      </c>
      <c r="B4982">
        <f>IF(ISNUMBER(Input!B4982),IF(AND(Input!B4982&gt;=20,Input!B4982&lt;=700),Input!B4982,""),"")</f>
        <v/>
      </c>
      <c r="C4982">
        <f>IF(B4982="","",INT(A4982))</f>
        <v/>
      </c>
      <c r="D4982">
        <f>IF(B4982="","",HOUR(A4982))</f>
        <v/>
      </c>
    </row>
    <row r="4983">
      <c r="A4983">
        <f>Input!A4983</f>
        <v/>
      </c>
      <c r="B4983">
        <f>IF(ISNUMBER(Input!B4983),IF(AND(Input!B4983&gt;=20,Input!B4983&lt;=700),Input!B4983,""),"")</f>
        <v/>
      </c>
      <c r="C4983">
        <f>IF(B4983="","",INT(A4983))</f>
        <v/>
      </c>
      <c r="D4983">
        <f>IF(B4983="","",HOUR(A4983))</f>
        <v/>
      </c>
    </row>
    <row r="4984">
      <c r="A4984">
        <f>Input!A4984</f>
        <v/>
      </c>
      <c r="B4984">
        <f>IF(ISNUMBER(Input!B4984),IF(AND(Input!B4984&gt;=20,Input!B4984&lt;=700),Input!B4984,""),"")</f>
        <v/>
      </c>
      <c r="C4984">
        <f>IF(B4984="","",INT(A4984))</f>
        <v/>
      </c>
      <c r="D4984">
        <f>IF(B4984="","",HOUR(A4984))</f>
        <v/>
      </c>
    </row>
    <row r="4985">
      <c r="A4985">
        <f>Input!A4985</f>
        <v/>
      </c>
      <c r="B4985">
        <f>IF(ISNUMBER(Input!B4985),IF(AND(Input!B4985&gt;=20,Input!B4985&lt;=700),Input!B4985,""),"")</f>
        <v/>
      </c>
      <c r="C4985">
        <f>IF(B4985="","",INT(A4985))</f>
        <v/>
      </c>
      <c r="D4985">
        <f>IF(B4985="","",HOUR(A4985))</f>
        <v/>
      </c>
    </row>
    <row r="4986">
      <c r="A4986">
        <f>Input!A4986</f>
        <v/>
      </c>
      <c r="B4986">
        <f>IF(ISNUMBER(Input!B4986),IF(AND(Input!B4986&gt;=20,Input!B4986&lt;=700),Input!B4986,""),"")</f>
        <v/>
      </c>
      <c r="C4986">
        <f>IF(B4986="","",INT(A4986))</f>
        <v/>
      </c>
      <c r="D4986">
        <f>IF(B4986="","",HOUR(A4986))</f>
        <v/>
      </c>
    </row>
    <row r="4987">
      <c r="A4987">
        <f>Input!A4987</f>
        <v/>
      </c>
      <c r="B4987">
        <f>IF(ISNUMBER(Input!B4987),IF(AND(Input!B4987&gt;=20,Input!B4987&lt;=700),Input!B4987,""),"")</f>
        <v/>
      </c>
      <c r="C4987">
        <f>IF(B4987="","",INT(A4987))</f>
        <v/>
      </c>
      <c r="D4987">
        <f>IF(B4987="","",HOUR(A4987))</f>
        <v/>
      </c>
    </row>
    <row r="4988">
      <c r="A4988">
        <f>Input!A4988</f>
        <v/>
      </c>
      <c r="B4988">
        <f>IF(ISNUMBER(Input!B4988),IF(AND(Input!B4988&gt;=20,Input!B4988&lt;=700),Input!B4988,""),"")</f>
        <v/>
      </c>
      <c r="C4988">
        <f>IF(B4988="","",INT(A4988))</f>
        <v/>
      </c>
      <c r="D4988">
        <f>IF(B4988="","",HOUR(A4988))</f>
        <v/>
      </c>
    </row>
    <row r="4989">
      <c r="A4989">
        <f>Input!A4989</f>
        <v/>
      </c>
      <c r="B4989">
        <f>IF(ISNUMBER(Input!B4989),IF(AND(Input!B4989&gt;=20,Input!B4989&lt;=700),Input!B4989,""),"")</f>
        <v/>
      </c>
      <c r="C4989">
        <f>IF(B4989="","",INT(A4989))</f>
        <v/>
      </c>
      <c r="D4989">
        <f>IF(B4989="","",HOUR(A4989))</f>
        <v/>
      </c>
    </row>
    <row r="4990">
      <c r="A4990">
        <f>Input!A4990</f>
        <v/>
      </c>
      <c r="B4990">
        <f>IF(ISNUMBER(Input!B4990),IF(AND(Input!B4990&gt;=20,Input!B4990&lt;=700),Input!B4990,""),"")</f>
        <v/>
      </c>
      <c r="C4990">
        <f>IF(B4990="","",INT(A4990))</f>
        <v/>
      </c>
      <c r="D4990">
        <f>IF(B4990="","",HOUR(A4990))</f>
        <v/>
      </c>
    </row>
    <row r="4991">
      <c r="A4991">
        <f>Input!A4991</f>
        <v/>
      </c>
      <c r="B4991">
        <f>IF(ISNUMBER(Input!B4991),IF(AND(Input!B4991&gt;=20,Input!B4991&lt;=700),Input!B4991,""),"")</f>
        <v/>
      </c>
      <c r="C4991">
        <f>IF(B4991="","",INT(A4991))</f>
        <v/>
      </c>
      <c r="D4991">
        <f>IF(B4991="","",HOUR(A4991))</f>
        <v/>
      </c>
    </row>
    <row r="4992">
      <c r="A4992">
        <f>Input!A4992</f>
        <v/>
      </c>
      <c r="B4992">
        <f>IF(ISNUMBER(Input!B4992),IF(AND(Input!B4992&gt;=20,Input!B4992&lt;=700),Input!B4992,""),"")</f>
        <v/>
      </c>
      <c r="C4992">
        <f>IF(B4992="","",INT(A4992))</f>
        <v/>
      </c>
      <c r="D4992">
        <f>IF(B4992="","",HOUR(A4992))</f>
        <v/>
      </c>
    </row>
    <row r="4993">
      <c r="A4993">
        <f>Input!A4993</f>
        <v/>
      </c>
      <c r="B4993">
        <f>IF(ISNUMBER(Input!B4993),IF(AND(Input!B4993&gt;=20,Input!B4993&lt;=700),Input!B4993,""),"")</f>
        <v/>
      </c>
      <c r="C4993">
        <f>IF(B4993="","",INT(A4993))</f>
        <v/>
      </c>
      <c r="D4993">
        <f>IF(B4993="","",HOUR(A4993))</f>
        <v/>
      </c>
    </row>
    <row r="4994">
      <c r="A4994">
        <f>Input!A4994</f>
        <v/>
      </c>
      <c r="B4994">
        <f>IF(ISNUMBER(Input!B4994),IF(AND(Input!B4994&gt;=20,Input!B4994&lt;=700),Input!B4994,""),"")</f>
        <v/>
      </c>
      <c r="C4994">
        <f>IF(B4994="","",INT(A4994))</f>
        <v/>
      </c>
      <c r="D4994">
        <f>IF(B4994="","",HOUR(A4994))</f>
        <v/>
      </c>
    </row>
    <row r="4995">
      <c r="A4995">
        <f>Input!A4995</f>
        <v/>
      </c>
      <c r="B4995">
        <f>IF(ISNUMBER(Input!B4995),IF(AND(Input!B4995&gt;=20,Input!B4995&lt;=700),Input!B4995,""),"")</f>
        <v/>
      </c>
      <c r="C4995">
        <f>IF(B4995="","",INT(A4995))</f>
        <v/>
      </c>
      <c r="D4995">
        <f>IF(B4995="","",HOUR(A4995))</f>
        <v/>
      </c>
    </row>
    <row r="4996">
      <c r="A4996">
        <f>Input!A4996</f>
        <v/>
      </c>
      <c r="B4996">
        <f>IF(ISNUMBER(Input!B4996),IF(AND(Input!B4996&gt;=20,Input!B4996&lt;=700),Input!B4996,""),"")</f>
        <v/>
      </c>
      <c r="C4996">
        <f>IF(B4996="","",INT(A4996))</f>
        <v/>
      </c>
      <c r="D4996">
        <f>IF(B4996="","",HOUR(A4996))</f>
        <v/>
      </c>
    </row>
    <row r="4997">
      <c r="A4997">
        <f>Input!A4997</f>
        <v/>
      </c>
      <c r="B4997">
        <f>IF(ISNUMBER(Input!B4997),IF(AND(Input!B4997&gt;=20,Input!B4997&lt;=700),Input!B4997,""),"")</f>
        <v/>
      </c>
      <c r="C4997">
        <f>IF(B4997="","",INT(A4997))</f>
        <v/>
      </c>
      <c r="D4997">
        <f>IF(B4997="","",HOUR(A4997))</f>
        <v/>
      </c>
    </row>
    <row r="4998">
      <c r="A4998">
        <f>Input!A4998</f>
        <v/>
      </c>
      <c r="B4998">
        <f>IF(ISNUMBER(Input!B4998),IF(AND(Input!B4998&gt;=20,Input!B4998&lt;=700),Input!B4998,""),"")</f>
        <v/>
      </c>
      <c r="C4998">
        <f>IF(B4998="","",INT(A4998))</f>
        <v/>
      </c>
      <c r="D4998">
        <f>IF(B4998="","",HOUR(A4998))</f>
        <v/>
      </c>
    </row>
    <row r="4999">
      <c r="A4999">
        <f>Input!A4999</f>
        <v/>
      </c>
      <c r="B4999">
        <f>IF(ISNUMBER(Input!B4999),IF(AND(Input!B4999&gt;=20,Input!B4999&lt;=700),Input!B4999,""),"")</f>
        <v/>
      </c>
      <c r="C4999">
        <f>IF(B4999="","",INT(A4999))</f>
        <v/>
      </c>
      <c r="D4999">
        <f>IF(B4999="","",HOUR(A4999))</f>
        <v/>
      </c>
    </row>
    <row r="5000">
      <c r="A5000">
        <f>Input!A5000</f>
        <v/>
      </c>
      <c r="B5000">
        <f>IF(ISNUMBER(Input!B5000),IF(AND(Input!B5000&gt;=20,Input!B5000&lt;=700),Input!B5000,""),"")</f>
        <v/>
      </c>
      <c r="C5000">
        <f>IF(B5000="","",INT(A5000))</f>
        <v/>
      </c>
      <c r="D5000">
        <f>IF(B5000="","",HOUR(A5000))</f>
        <v/>
      </c>
    </row>
    <row r="5001">
      <c r="A5001">
        <f>Input!A5001</f>
        <v/>
      </c>
      <c r="B5001">
        <f>IF(ISNUMBER(Input!B5001),IF(AND(Input!B5001&gt;=20,Input!B5001&lt;=700),Input!B5001,""),"")</f>
        <v/>
      </c>
      <c r="C5001">
        <f>IF(B5001="","",INT(A5001))</f>
        <v/>
      </c>
      <c r="D5001">
        <f>IF(B5001="","",HOUR(A5001))</f>
        <v/>
      </c>
    </row>
    <row r="5002">
      <c r="A5002">
        <f>Input!A5002</f>
        <v/>
      </c>
      <c r="B5002">
        <f>IF(ISNUMBER(Input!B5002),IF(AND(Input!B5002&gt;=20,Input!B5002&lt;=700),Input!B5002,""),"")</f>
        <v/>
      </c>
      <c r="C5002">
        <f>IF(B5002="","",INT(A5002))</f>
        <v/>
      </c>
      <c r="D5002">
        <f>IF(B5002="","",HOUR(A5002))</f>
        <v/>
      </c>
    </row>
    <row r="5003">
      <c r="A5003">
        <f>Input!A5003</f>
        <v/>
      </c>
      <c r="B5003">
        <f>IF(ISNUMBER(Input!B5003),IF(AND(Input!B5003&gt;=20,Input!B5003&lt;=700),Input!B5003,""),"")</f>
        <v/>
      </c>
      <c r="C5003">
        <f>IF(B5003="","",INT(A5003))</f>
        <v/>
      </c>
      <c r="D5003">
        <f>IF(B5003="","",HOUR(A5003))</f>
        <v/>
      </c>
    </row>
    <row r="5004">
      <c r="A5004">
        <f>Input!A5004</f>
        <v/>
      </c>
      <c r="B5004">
        <f>IF(ISNUMBER(Input!B5004),IF(AND(Input!B5004&gt;=20,Input!B5004&lt;=700),Input!B5004,""),"")</f>
        <v/>
      </c>
      <c r="C5004">
        <f>IF(B5004="","",INT(A5004))</f>
        <v/>
      </c>
      <c r="D5004">
        <f>IF(B5004="","",HOUR(A5004))</f>
        <v/>
      </c>
    </row>
    <row r="5005">
      <c r="A5005">
        <f>Input!A5005</f>
        <v/>
      </c>
      <c r="B5005">
        <f>IF(ISNUMBER(Input!B5005),IF(AND(Input!B5005&gt;=20,Input!B5005&lt;=700),Input!B5005,""),"")</f>
        <v/>
      </c>
      <c r="C5005">
        <f>IF(B5005="","",INT(A5005))</f>
        <v/>
      </c>
      <c r="D5005">
        <f>IF(B5005="","",HOUR(A5005))</f>
        <v/>
      </c>
    </row>
    <row r="5006">
      <c r="A5006">
        <f>Input!A5006</f>
        <v/>
      </c>
      <c r="B5006">
        <f>IF(ISNUMBER(Input!B5006),IF(AND(Input!B5006&gt;=20,Input!B5006&lt;=700),Input!B5006,""),"")</f>
        <v/>
      </c>
      <c r="C5006">
        <f>IF(B5006="","",INT(A5006))</f>
        <v/>
      </c>
      <c r="D5006">
        <f>IF(B5006="","",HOUR(A5006))</f>
        <v/>
      </c>
    </row>
    <row r="5007">
      <c r="A5007">
        <f>Input!A5007</f>
        <v/>
      </c>
      <c r="B5007">
        <f>IF(ISNUMBER(Input!B5007),IF(AND(Input!B5007&gt;=20,Input!B5007&lt;=700),Input!B5007,""),"")</f>
        <v/>
      </c>
      <c r="C5007">
        <f>IF(B5007="","",INT(A5007))</f>
        <v/>
      </c>
      <c r="D5007">
        <f>IF(B5007="","",HOUR(A5007))</f>
        <v/>
      </c>
    </row>
    <row r="5008">
      <c r="A5008">
        <f>Input!A5008</f>
        <v/>
      </c>
      <c r="B5008">
        <f>IF(ISNUMBER(Input!B5008),IF(AND(Input!B5008&gt;=20,Input!B5008&lt;=700),Input!B5008,""),"")</f>
        <v/>
      </c>
      <c r="C5008">
        <f>IF(B5008="","",INT(A5008))</f>
        <v/>
      </c>
      <c r="D5008">
        <f>IF(B5008="","",HOUR(A5008))</f>
        <v/>
      </c>
    </row>
    <row r="5009">
      <c r="A5009">
        <f>Input!A5009</f>
        <v/>
      </c>
      <c r="B5009">
        <f>IF(ISNUMBER(Input!B5009),IF(AND(Input!B5009&gt;=20,Input!B5009&lt;=700),Input!B5009,""),"")</f>
        <v/>
      </c>
      <c r="C5009">
        <f>IF(B5009="","",INT(A5009))</f>
        <v/>
      </c>
      <c r="D5009">
        <f>IF(B5009="","",HOUR(A5009))</f>
        <v/>
      </c>
    </row>
    <row r="5010">
      <c r="A5010">
        <f>Input!A5010</f>
        <v/>
      </c>
      <c r="B5010">
        <f>IF(ISNUMBER(Input!B5010),IF(AND(Input!B5010&gt;=20,Input!B5010&lt;=700),Input!B5010,""),"")</f>
        <v/>
      </c>
      <c r="C5010">
        <f>IF(B5010="","",INT(A5010))</f>
        <v/>
      </c>
      <c r="D5010">
        <f>IF(B5010="","",HOUR(A5010))</f>
        <v/>
      </c>
    </row>
    <row r="5011">
      <c r="A5011">
        <f>Input!A5011</f>
        <v/>
      </c>
      <c r="B5011">
        <f>IF(ISNUMBER(Input!B5011),IF(AND(Input!B5011&gt;=20,Input!B5011&lt;=700),Input!B5011,""),"")</f>
        <v/>
      </c>
      <c r="C5011">
        <f>IF(B5011="","",INT(A5011))</f>
        <v/>
      </c>
      <c r="D5011">
        <f>IF(B5011="","",HOUR(A5011))</f>
        <v/>
      </c>
    </row>
    <row r="5012">
      <c r="A5012">
        <f>Input!A5012</f>
        <v/>
      </c>
      <c r="B5012">
        <f>IF(ISNUMBER(Input!B5012),IF(AND(Input!B5012&gt;=20,Input!B5012&lt;=700),Input!B5012,""),"")</f>
        <v/>
      </c>
      <c r="C5012">
        <f>IF(B5012="","",INT(A5012))</f>
        <v/>
      </c>
      <c r="D5012">
        <f>IF(B5012="","",HOUR(A5012))</f>
        <v/>
      </c>
    </row>
    <row r="5013">
      <c r="A5013">
        <f>Input!A5013</f>
        <v/>
      </c>
      <c r="B5013">
        <f>IF(ISNUMBER(Input!B5013),IF(AND(Input!B5013&gt;=20,Input!B5013&lt;=700),Input!B5013,""),"")</f>
        <v/>
      </c>
      <c r="C5013">
        <f>IF(B5013="","",INT(A5013))</f>
        <v/>
      </c>
      <c r="D5013">
        <f>IF(B5013="","",HOUR(A5013))</f>
        <v/>
      </c>
    </row>
    <row r="5014">
      <c r="A5014">
        <f>Input!A5014</f>
        <v/>
      </c>
      <c r="B5014">
        <f>IF(ISNUMBER(Input!B5014),IF(AND(Input!B5014&gt;=20,Input!B5014&lt;=700),Input!B5014,""),"")</f>
        <v/>
      </c>
      <c r="C5014">
        <f>IF(B5014="","",INT(A5014))</f>
        <v/>
      </c>
      <c r="D5014">
        <f>IF(B5014="","",HOUR(A5014))</f>
        <v/>
      </c>
    </row>
    <row r="5015">
      <c r="A5015">
        <f>Input!A5015</f>
        <v/>
      </c>
      <c r="B5015">
        <f>IF(ISNUMBER(Input!B5015),IF(AND(Input!B5015&gt;=20,Input!B5015&lt;=700),Input!B5015,""),"")</f>
        <v/>
      </c>
      <c r="C5015">
        <f>IF(B5015="","",INT(A5015))</f>
        <v/>
      </c>
      <c r="D5015">
        <f>IF(B5015="","",HOUR(A5015))</f>
        <v/>
      </c>
    </row>
    <row r="5016">
      <c r="A5016">
        <f>Input!A5016</f>
        <v/>
      </c>
      <c r="B5016">
        <f>IF(ISNUMBER(Input!B5016),IF(AND(Input!B5016&gt;=20,Input!B5016&lt;=700),Input!B5016,""),"")</f>
        <v/>
      </c>
      <c r="C5016">
        <f>IF(B5016="","",INT(A5016))</f>
        <v/>
      </c>
      <c r="D5016">
        <f>IF(B5016="","",HOUR(A5016))</f>
        <v/>
      </c>
    </row>
    <row r="5017">
      <c r="A5017">
        <f>Input!A5017</f>
        <v/>
      </c>
      <c r="B5017">
        <f>IF(ISNUMBER(Input!B5017),IF(AND(Input!B5017&gt;=20,Input!B5017&lt;=700),Input!B5017,""),"")</f>
        <v/>
      </c>
      <c r="C5017">
        <f>IF(B5017="","",INT(A5017))</f>
        <v/>
      </c>
      <c r="D5017">
        <f>IF(B5017="","",HOUR(A5017))</f>
        <v/>
      </c>
    </row>
    <row r="5018">
      <c r="A5018">
        <f>Input!A5018</f>
        <v/>
      </c>
      <c r="B5018">
        <f>IF(ISNUMBER(Input!B5018),IF(AND(Input!B5018&gt;=20,Input!B5018&lt;=700),Input!B5018,""),"")</f>
        <v/>
      </c>
      <c r="C5018">
        <f>IF(B5018="","",INT(A5018))</f>
        <v/>
      </c>
      <c r="D5018">
        <f>IF(B5018="","",HOUR(A5018))</f>
        <v/>
      </c>
    </row>
    <row r="5019">
      <c r="A5019">
        <f>Input!A5019</f>
        <v/>
      </c>
      <c r="B5019">
        <f>IF(ISNUMBER(Input!B5019),IF(AND(Input!B5019&gt;=20,Input!B5019&lt;=700),Input!B5019,""),"")</f>
        <v/>
      </c>
      <c r="C5019">
        <f>IF(B5019="","",INT(A5019))</f>
        <v/>
      </c>
      <c r="D5019">
        <f>IF(B5019="","",HOUR(A5019))</f>
        <v/>
      </c>
    </row>
    <row r="5020">
      <c r="A5020">
        <f>Input!A5020</f>
        <v/>
      </c>
      <c r="B5020">
        <f>IF(ISNUMBER(Input!B5020),IF(AND(Input!B5020&gt;=20,Input!B5020&lt;=700),Input!B5020,""),"")</f>
        <v/>
      </c>
      <c r="C5020">
        <f>IF(B5020="","",INT(A5020))</f>
        <v/>
      </c>
      <c r="D5020">
        <f>IF(B5020="","",HOUR(A5020))</f>
        <v/>
      </c>
    </row>
    <row r="5021">
      <c r="A5021">
        <f>Input!A5021</f>
        <v/>
      </c>
      <c r="B5021">
        <f>IF(ISNUMBER(Input!B5021),IF(AND(Input!B5021&gt;=20,Input!B5021&lt;=700),Input!B5021,""),"")</f>
        <v/>
      </c>
      <c r="C5021">
        <f>IF(B5021="","",INT(A5021))</f>
        <v/>
      </c>
      <c r="D5021">
        <f>IF(B5021="","",HOUR(A5021))</f>
        <v/>
      </c>
    </row>
    <row r="5022">
      <c r="A5022">
        <f>Input!A5022</f>
        <v/>
      </c>
      <c r="B5022">
        <f>IF(ISNUMBER(Input!B5022),IF(AND(Input!B5022&gt;=20,Input!B5022&lt;=700),Input!B5022,""),"")</f>
        <v/>
      </c>
      <c r="C5022">
        <f>IF(B5022="","",INT(A5022))</f>
        <v/>
      </c>
      <c r="D5022">
        <f>IF(B5022="","",HOUR(A5022))</f>
        <v/>
      </c>
    </row>
    <row r="5023">
      <c r="A5023">
        <f>Input!A5023</f>
        <v/>
      </c>
      <c r="B5023">
        <f>IF(ISNUMBER(Input!B5023),IF(AND(Input!B5023&gt;=20,Input!B5023&lt;=700),Input!B5023,""),"")</f>
        <v/>
      </c>
      <c r="C5023">
        <f>IF(B5023="","",INT(A5023))</f>
        <v/>
      </c>
      <c r="D5023">
        <f>IF(B5023="","",HOUR(A5023))</f>
        <v/>
      </c>
    </row>
    <row r="5024">
      <c r="A5024">
        <f>Input!A5024</f>
        <v/>
      </c>
      <c r="B5024">
        <f>IF(ISNUMBER(Input!B5024),IF(AND(Input!B5024&gt;=20,Input!B5024&lt;=700),Input!B5024,""),"")</f>
        <v/>
      </c>
      <c r="C5024">
        <f>IF(B5024="","",INT(A5024))</f>
        <v/>
      </c>
      <c r="D5024">
        <f>IF(B5024="","",HOUR(A5024))</f>
        <v/>
      </c>
    </row>
    <row r="5025">
      <c r="A5025">
        <f>Input!A5025</f>
        <v/>
      </c>
      <c r="B5025">
        <f>IF(ISNUMBER(Input!B5025),IF(AND(Input!B5025&gt;=20,Input!B5025&lt;=700),Input!B5025,""),"")</f>
        <v/>
      </c>
      <c r="C5025">
        <f>IF(B5025="","",INT(A5025))</f>
        <v/>
      </c>
      <c r="D5025">
        <f>IF(B5025="","",HOUR(A5025))</f>
        <v/>
      </c>
    </row>
    <row r="5026">
      <c r="A5026">
        <f>Input!A5026</f>
        <v/>
      </c>
      <c r="B5026">
        <f>IF(ISNUMBER(Input!B5026),IF(AND(Input!B5026&gt;=20,Input!B5026&lt;=700),Input!B5026,""),"")</f>
        <v/>
      </c>
      <c r="C5026">
        <f>IF(B5026="","",INT(A5026))</f>
        <v/>
      </c>
      <c r="D5026">
        <f>IF(B5026="","",HOUR(A5026))</f>
        <v/>
      </c>
    </row>
    <row r="5027">
      <c r="A5027">
        <f>Input!A5027</f>
        <v/>
      </c>
      <c r="B5027">
        <f>IF(ISNUMBER(Input!B5027),IF(AND(Input!B5027&gt;=20,Input!B5027&lt;=700),Input!B5027,""),"")</f>
        <v/>
      </c>
      <c r="C5027">
        <f>IF(B5027="","",INT(A5027))</f>
        <v/>
      </c>
      <c r="D5027">
        <f>IF(B5027="","",HOUR(A5027))</f>
        <v/>
      </c>
    </row>
    <row r="5028">
      <c r="A5028">
        <f>Input!A5028</f>
        <v/>
      </c>
      <c r="B5028">
        <f>IF(ISNUMBER(Input!B5028),IF(AND(Input!B5028&gt;=20,Input!B5028&lt;=700),Input!B5028,""),"")</f>
        <v/>
      </c>
      <c r="C5028">
        <f>IF(B5028="","",INT(A5028))</f>
        <v/>
      </c>
      <c r="D5028">
        <f>IF(B5028="","",HOUR(A5028))</f>
        <v/>
      </c>
    </row>
    <row r="5029">
      <c r="A5029">
        <f>Input!A5029</f>
        <v/>
      </c>
      <c r="B5029">
        <f>IF(ISNUMBER(Input!B5029),IF(AND(Input!B5029&gt;=20,Input!B5029&lt;=700),Input!B5029,""),"")</f>
        <v/>
      </c>
      <c r="C5029">
        <f>IF(B5029="","",INT(A5029))</f>
        <v/>
      </c>
      <c r="D5029">
        <f>IF(B5029="","",HOUR(A5029))</f>
        <v/>
      </c>
    </row>
    <row r="5030">
      <c r="A5030">
        <f>Input!A5030</f>
        <v/>
      </c>
      <c r="B5030">
        <f>IF(ISNUMBER(Input!B5030),IF(AND(Input!B5030&gt;=20,Input!B5030&lt;=700),Input!B5030,""),"")</f>
        <v/>
      </c>
      <c r="C5030">
        <f>IF(B5030="","",INT(A5030))</f>
        <v/>
      </c>
      <c r="D5030">
        <f>IF(B5030="","",HOUR(A5030))</f>
        <v/>
      </c>
    </row>
    <row r="5031">
      <c r="A5031">
        <f>Input!A5031</f>
        <v/>
      </c>
      <c r="B5031">
        <f>IF(ISNUMBER(Input!B5031),IF(AND(Input!B5031&gt;=20,Input!B5031&lt;=700),Input!B5031,""),"")</f>
        <v/>
      </c>
      <c r="C5031">
        <f>IF(B5031="","",INT(A5031))</f>
        <v/>
      </c>
      <c r="D5031">
        <f>IF(B5031="","",HOUR(A5031))</f>
        <v/>
      </c>
    </row>
    <row r="5032">
      <c r="A5032">
        <f>Input!A5032</f>
        <v/>
      </c>
      <c r="B5032">
        <f>IF(ISNUMBER(Input!B5032),IF(AND(Input!B5032&gt;=20,Input!B5032&lt;=700),Input!B5032,""),"")</f>
        <v/>
      </c>
      <c r="C5032">
        <f>IF(B5032="","",INT(A5032))</f>
        <v/>
      </c>
      <c r="D5032">
        <f>IF(B5032="","",HOUR(A5032))</f>
        <v/>
      </c>
    </row>
    <row r="5033">
      <c r="A5033">
        <f>Input!A5033</f>
        <v/>
      </c>
      <c r="B5033">
        <f>IF(ISNUMBER(Input!B5033),IF(AND(Input!B5033&gt;=20,Input!B5033&lt;=700),Input!B5033,""),"")</f>
        <v/>
      </c>
      <c r="C5033">
        <f>IF(B5033="","",INT(A5033))</f>
        <v/>
      </c>
      <c r="D5033">
        <f>IF(B5033="","",HOUR(A5033))</f>
        <v/>
      </c>
    </row>
    <row r="5034">
      <c r="A5034">
        <f>Input!A5034</f>
        <v/>
      </c>
      <c r="B5034">
        <f>IF(ISNUMBER(Input!B5034),IF(AND(Input!B5034&gt;=20,Input!B5034&lt;=700),Input!B5034,""),"")</f>
        <v/>
      </c>
      <c r="C5034">
        <f>IF(B5034="","",INT(A5034))</f>
        <v/>
      </c>
      <c r="D5034">
        <f>IF(B5034="","",HOUR(A5034))</f>
        <v/>
      </c>
    </row>
    <row r="5035">
      <c r="A5035">
        <f>Input!A5035</f>
        <v/>
      </c>
      <c r="B5035">
        <f>IF(ISNUMBER(Input!B5035),IF(AND(Input!B5035&gt;=20,Input!B5035&lt;=700),Input!B5035,""),"")</f>
        <v/>
      </c>
      <c r="C5035">
        <f>IF(B5035="","",INT(A5035))</f>
        <v/>
      </c>
      <c r="D5035">
        <f>IF(B5035="","",HOUR(A5035))</f>
        <v/>
      </c>
    </row>
    <row r="5036">
      <c r="A5036">
        <f>Input!A5036</f>
        <v/>
      </c>
      <c r="B5036">
        <f>IF(ISNUMBER(Input!B5036),IF(AND(Input!B5036&gt;=20,Input!B5036&lt;=700),Input!B5036,""),"")</f>
        <v/>
      </c>
      <c r="C5036">
        <f>IF(B5036="","",INT(A5036))</f>
        <v/>
      </c>
      <c r="D5036">
        <f>IF(B5036="","",HOUR(A5036))</f>
        <v/>
      </c>
    </row>
    <row r="5037">
      <c r="A5037">
        <f>Input!A5037</f>
        <v/>
      </c>
      <c r="B5037">
        <f>IF(ISNUMBER(Input!B5037),IF(AND(Input!B5037&gt;=20,Input!B5037&lt;=700),Input!B5037,""),"")</f>
        <v/>
      </c>
      <c r="C5037">
        <f>IF(B5037="","",INT(A5037))</f>
        <v/>
      </c>
      <c r="D5037">
        <f>IF(B5037="","",HOUR(A5037))</f>
        <v/>
      </c>
    </row>
    <row r="5038">
      <c r="A5038">
        <f>Input!A5038</f>
        <v/>
      </c>
      <c r="B5038">
        <f>IF(ISNUMBER(Input!B5038),IF(AND(Input!B5038&gt;=20,Input!B5038&lt;=700),Input!B5038,""),"")</f>
        <v/>
      </c>
      <c r="C5038">
        <f>IF(B5038="","",INT(A5038))</f>
        <v/>
      </c>
      <c r="D5038">
        <f>IF(B5038="","",HOUR(A5038))</f>
        <v/>
      </c>
    </row>
    <row r="5039">
      <c r="A5039">
        <f>Input!A5039</f>
        <v/>
      </c>
      <c r="B5039">
        <f>IF(ISNUMBER(Input!B5039),IF(AND(Input!B5039&gt;=20,Input!B5039&lt;=700),Input!B5039,""),"")</f>
        <v/>
      </c>
      <c r="C5039">
        <f>IF(B5039="","",INT(A5039))</f>
        <v/>
      </c>
      <c r="D5039">
        <f>IF(B5039="","",HOUR(A5039))</f>
        <v/>
      </c>
    </row>
    <row r="5040">
      <c r="A5040">
        <f>Input!A5040</f>
        <v/>
      </c>
      <c r="B5040">
        <f>IF(ISNUMBER(Input!B5040),IF(AND(Input!B5040&gt;=20,Input!B5040&lt;=700),Input!B5040,""),"")</f>
        <v/>
      </c>
      <c r="C5040">
        <f>IF(B5040="","",INT(A5040))</f>
        <v/>
      </c>
      <c r="D5040">
        <f>IF(B5040="","",HOUR(A5040))</f>
        <v/>
      </c>
    </row>
    <row r="5041">
      <c r="A5041">
        <f>Input!A5041</f>
        <v/>
      </c>
      <c r="B5041">
        <f>IF(ISNUMBER(Input!B5041),IF(AND(Input!B5041&gt;=20,Input!B5041&lt;=700),Input!B5041,""),"")</f>
        <v/>
      </c>
      <c r="C5041">
        <f>IF(B5041="","",INT(A5041))</f>
        <v/>
      </c>
      <c r="D5041">
        <f>IF(B5041="","",HOUR(A5041))</f>
        <v/>
      </c>
    </row>
    <row r="5042">
      <c r="A5042">
        <f>Input!A5042</f>
        <v/>
      </c>
      <c r="B5042">
        <f>IF(ISNUMBER(Input!B5042),IF(AND(Input!B5042&gt;=20,Input!B5042&lt;=700),Input!B5042,""),"")</f>
        <v/>
      </c>
      <c r="C5042">
        <f>IF(B5042="","",INT(A5042))</f>
        <v/>
      </c>
      <c r="D5042">
        <f>IF(B5042="","",HOUR(A5042))</f>
        <v/>
      </c>
    </row>
    <row r="5043">
      <c r="A5043">
        <f>Input!A5043</f>
        <v/>
      </c>
      <c r="B5043">
        <f>IF(ISNUMBER(Input!B5043),IF(AND(Input!B5043&gt;=20,Input!B5043&lt;=700),Input!B5043,""),"")</f>
        <v/>
      </c>
      <c r="C5043">
        <f>IF(B5043="","",INT(A5043))</f>
        <v/>
      </c>
      <c r="D5043">
        <f>IF(B5043="","",HOUR(A5043))</f>
        <v/>
      </c>
    </row>
    <row r="5044">
      <c r="A5044">
        <f>Input!A5044</f>
        <v/>
      </c>
      <c r="B5044">
        <f>IF(ISNUMBER(Input!B5044),IF(AND(Input!B5044&gt;=20,Input!B5044&lt;=700),Input!B5044,""),"")</f>
        <v/>
      </c>
      <c r="C5044">
        <f>IF(B5044="","",INT(A5044))</f>
        <v/>
      </c>
      <c r="D5044">
        <f>IF(B5044="","",HOUR(A5044))</f>
        <v/>
      </c>
    </row>
    <row r="5045">
      <c r="A5045">
        <f>Input!A5045</f>
        <v/>
      </c>
      <c r="B5045">
        <f>IF(ISNUMBER(Input!B5045),IF(AND(Input!B5045&gt;=20,Input!B5045&lt;=700),Input!B5045,""),"")</f>
        <v/>
      </c>
      <c r="C5045">
        <f>IF(B5045="","",INT(A5045))</f>
        <v/>
      </c>
      <c r="D5045">
        <f>IF(B5045="","",HOUR(A5045))</f>
        <v/>
      </c>
    </row>
    <row r="5046">
      <c r="A5046">
        <f>Input!A5046</f>
        <v/>
      </c>
      <c r="B5046">
        <f>IF(ISNUMBER(Input!B5046),IF(AND(Input!B5046&gt;=20,Input!B5046&lt;=700),Input!B5046,""),"")</f>
        <v/>
      </c>
      <c r="C5046">
        <f>IF(B5046="","",INT(A5046))</f>
        <v/>
      </c>
      <c r="D5046">
        <f>IF(B5046="","",HOUR(A5046))</f>
        <v/>
      </c>
    </row>
    <row r="5047">
      <c r="A5047">
        <f>Input!A5047</f>
        <v/>
      </c>
      <c r="B5047">
        <f>IF(ISNUMBER(Input!B5047),IF(AND(Input!B5047&gt;=20,Input!B5047&lt;=700),Input!B5047,""),"")</f>
        <v/>
      </c>
      <c r="C5047">
        <f>IF(B5047="","",INT(A5047))</f>
        <v/>
      </c>
      <c r="D5047">
        <f>IF(B5047="","",HOUR(A5047))</f>
        <v/>
      </c>
    </row>
    <row r="5048">
      <c r="A5048">
        <f>Input!A5048</f>
        <v/>
      </c>
      <c r="B5048">
        <f>IF(ISNUMBER(Input!B5048),IF(AND(Input!B5048&gt;=20,Input!B5048&lt;=700),Input!B5048,""),"")</f>
        <v/>
      </c>
      <c r="C5048">
        <f>IF(B5048="","",INT(A5048))</f>
        <v/>
      </c>
      <c r="D5048">
        <f>IF(B5048="","",HOUR(A5048))</f>
        <v/>
      </c>
    </row>
    <row r="5049">
      <c r="A5049">
        <f>Input!A5049</f>
        <v/>
      </c>
      <c r="B5049">
        <f>IF(ISNUMBER(Input!B5049),IF(AND(Input!B5049&gt;=20,Input!B5049&lt;=700),Input!B5049,""),"")</f>
        <v/>
      </c>
      <c r="C5049">
        <f>IF(B5049="","",INT(A5049))</f>
        <v/>
      </c>
      <c r="D5049">
        <f>IF(B5049="","",HOUR(A5049))</f>
        <v/>
      </c>
    </row>
    <row r="5050">
      <c r="A5050">
        <f>Input!A5050</f>
        <v/>
      </c>
      <c r="B5050">
        <f>IF(ISNUMBER(Input!B5050),IF(AND(Input!B5050&gt;=20,Input!B5050&lt;=700),Input!B5050,""),"")</f>
        <v/>
      </c>
      <c r="C5050">
        <f>IF(B5050="","",INT(A5050))</f>
        <v/>
      </c>
      <c r="D5050">
        <f>IF(B5050="","",HOUR(A5050))</f>
        <v/>
      </c>
    </row>
    <row r="5051">
      <c r="A5051">
        <f>Input!A5051</f>
        <v/>
      </c>
      <c r="B5051">
        <f>IF(ISNUMBER(Input!B5051),IF(AND(Input!B5051&gt;=20,Input!B5051&lt;=700),Input!B5051,""),"")</f>
        <v/>
      </c>
      <c r="C5051">
        <f>IF(B5051="","",INT(A5051))</f>
        <v/>
      </c>
      <c r="D5051">
        <f>IF(B5051="","",HOUR(A5051))</f>
        <v/>
      </c>
    </row>
    <row r="5052">
      <c r="A5052">
        <f>Input!A5052</f>
        <v/>
      </c>
      <c r="B5052">
        <f>IF(ISNUMBER(Input!B5052),IF(AND(Input!B5052&gt;=20,Input!B5052&lt;=700),Input!B5052,""),"")</f>
        <v/>
      </c>
      <c r="C5052">
        <f>IF(B5052="","",INT(A5052))</f>
        <v/>
      </c>
      <c r="D5052">
        <f>IF(B5052="","",HOUR(A5052))</f>
        <v/>
      </c>
    </row>
    <row r="5053">
      <c r="A5053">
        <f>Input!A5053</f>
        <v/>
      </c>
      <c r="B5053">
        <f>IF(ISNUMBER(Input!B5053),IF(AND(Input!B5053&gt;=20,Input!B5053&lt;=700),Input!B5053,""),"")</f>
        <v/>
      </c>
      <c r="C5053">
        <f>IF(B5053="","",INT(A5053))</f>
        <v/>
      </c>
      <c r="D5053">
        <f>IF(B5053="","",HOUR(A5053))</f>
        <v/>
      </c>
    </row>
    <row r="5054">
      <c r="A5054">
        <f>Input!A5054</f>
        <v/>
      </c>
      <c r="B5054">
        <f>IF(ISNUMBER(Input!B5054),IF(AND(Input!B5054&gt;=20,Input!B5054&lt;=700),Input!B5054,""),"")</f>
        <v/>
      </c>
      <c r="C5054">
        <f>IF(B5054="","",INT(A5054))</f>
        <v/>
      </c>
      <c r="D5054">
        <f>IF(B5054="","",HOUR(A5054))</f>
        <v/>
      </c>
    </row>
    <row r="5055">
      <c r="A5055">
        <f>Input!A5055</f>
        <v/>
      </c>
      <c r="B5055">
        <f>IF(ISNUMBER(Input!B5055),IF(AND(Input!B5055&gt;=20,Input!B5055&lt;=700),Input!B5055,""),"")</f>
        <v/>
      </c>
      <c r="C5055">
        <f>IF(B5055="","",INT(A5055))</f>
        <v/>
      </c>
      <c r="D5055">
        <f>IF(B5055="","",HOUR(A5055))</f>
        <v/>
      </c>
    </row>
    <row r="5056">
      <c r="A5056">
        <f>Input!A5056</f>
        <v/>
      </c>
      <c r="B5056">
        <f>IF(ISNUMBER(Input!B5056),IF(AND(Input!B5056&gt;=20,Input!B5056&lt;=700),Input!B5056,""),"")</f>
        <v/>
      </c>
      <c r="C5056">
        <f>IF(B5056="","",INT(A5056))</f>
        <v/>
      </c>
      <c r="D5056">
        <f>IF(B5056="","",HOUR(A5056))</f>
        <v/>
      </c>
    </row>
    <row r="5057">
      <c r="A5057">
        <f>Input!A5057</f>
        <v/>
      </c>
      <c r="B5057">
        <f>IF(ISNUMBER(Input!B5057),IF(AND(Input!B5057&gt;=20,Input!B5057&lt;=700),Input!B5057,""),"")</f>
        <v/>
      </c>
      <c r="C5057">
        <f>IF(B5057="","",INT(A5057))</f>
        <v/>
      </c>
      <c r="D5057">
        <f>IF(B5057="","",HOUR(A5057))</f>
        <v/>
      </c>
    </row>
    <row r="5058">
      <c r="A5058">
        <f>Input!A5058</f>
        <v/>
      </c>
      <c r="B5058">
        <f>IF(ISNUMBER(Input!B5058),IF(AND(Input!B5058&gt;=20,Input!B5058&lt;=700),Input!B5058,""),"")</f>
        <v/>
      </c>
      <c r="C5058">
        <f>IF(B5058="","",INT(A5058))</f>
        <v/>
      </c>
      <c r="D5058">
        <f>IF(B5058="","",HOUR(A5058))</f>
        <v/>
      </c>
    </row>
    <row r="5059">
      <c r="A5059">
        <f>Input!A5059</f>
        <v/>
      </c>
      <c r="B5059">
        <f>IF(ISNUMBER(Input!B5059),IF(AND(Input!B5059&gt;=20,Input!B5059&lt;=700),Input!B5059,""),"")</f>
        <v/>
      </c>
      <c r="C5059">
        <f>IF(B5059="","",INT(A5059))</f>
        <v/>
      </c>
      <c r="D5059">
        <f>IF(B5059="","",HOUR(A5059))</f>
        <v/>
      </c>
    </row>
    <row r="5060">
      <c r="A5060">
        <f>Input!A5060</f>
        <v/>
      </c>
      <c r="B5060">
        <f>IF(ISNUMBER(Input!B5060),IF(AND(Input!B5060&gt;=20,Input!B5060&lt;=700),Input!B5060,""),"")</f>
        <v/>
      </c>
      <c r="C5060">
        <f>IF(B5060="","",INT(A5060))</f>
        <v/>
      </c>
      <c r="D5060">
        <f>IF(B5060="","",HOUR(A5060))</f>
        <v/>
      </c>
    </row>
    <row r="5061">
      <c r="A5061">
        <f>Input!A5061</f>
        <v/>
      </c>
      <c r="B5061">
        <f>IF(ISNUMBER(Input!B5061),IF(AND(Input!B5061&gt;=20,Input!B5061&lt;=700),Input!B5061,""),"")</f>
        <v/>
      </c>
      <c r="C5061">
        <f>IF(B5061="","",INT(A5061))</f>
        <v/>
      </c>
      <c r="D5061">
        <f>IF(B5061="","",HOUR(A5061))</f>
        <v/>
      </c>
    </row>
    <row r="5062">
      <c r="A5062">
        <f>Input!A5062</f>
        <v/>
      </c>
      <c r="B5062">
        <f>IF(ISNUMBER(Input!B5062),IF(AND(Input!B5062&gt;=20,Input!B5062&lt;=700),Input!B5062,""),"")</f>
        <v/>
      </c>
      <c r="C5062">
        <f>IF(B5062="","",INT(A5062))</f>
        <v/>
      </c>
      <c r="D5062">
        <f>IF(B5062="","",HOUR(A5062))</f>
        <v/>
      </c>
    </row>
    <row r="5063">
      <c r="A5063">
        <f>Input!A5063</f>
        <v/>
      </c>
      <c r="B5063">
        <f>IF(ISNUMBER(Input!B5063),IF(AND(Input!B5063&gt;=20,Input!B5063&lt;=700),Input!B5063,""),"")</f>
        <v/>
      </c>
      <c r="C5063">
        <f>IF(B5063="","",INT(A5063))</f>
        <v/>
      </c>
      <c r="D5063">
        <f>IF(B5063="","",HOUR(A5063))</f>
        <v/>
      </c>
    </row>
    <row r="5064">
      <c r="A5064">
        <f>Input!A5064</f>
        <v/>
      </c>
      <c r="B5064">
        <f>IF(ISNUMBER(Input!B5064),IF(AND(Input!B5064&gt;=20,Input!B5064&lt;=700),Input!B5064,""),"")</f>
        <v/>
      </c>
      <c r="C5064">
        <f>IF(B5064="","",INT(A5064))</f>
        <v/>
      </c>
      <c r="D5064">
        <f>IF(B5064="","",HOUR(A5064))</f>
        <v/>
      </c>
    </row>
    <row r="5065">
      <c r="A5065">
        <f>Input!A5065</f>
        <v/>
      </c>
      <c r="B5065">
        <f>IF(ISNUMBER(Input!B5065),IF(AND(Input!B5065&gt;=20,Input!B5065&lt;=700),Input!B5065,""),"")</f>
        <v/>
      </c>
      <c r="C5065">
        <f>IF(B5065="","",INT(A5065))</f>
        <v/>
      </c>
      <c r="D5065">
        <f>IF(B5065="","",HOUR(A5065))</f>
        <v/>
      </c>
    </row>
    <row r="5066">
      <c r="A5066">
        <f>Input!A5066</f>
        <v/>
      </c>
      <c r="B5066">
        <f>IF(ISNUMBER(Input!B5066),IF(AND(Input!B5066&gt;=20,Input!B5066&lt;=700),Input!B5066,""),"")</f>
        <v/>
      </c>
      <c r="C5066">
        <f>IF(B5066="","",INT(A5066))</f>
        <v/>
      </c>
      <c r="D5066">
        <f>IF(B5066="","",HOUR(A5066))</f>
        <v/>
      </c>
    </row>
    <row r="5067">
      <c r="A5067">
        <f>Input!A5067</f>
        <v/>
      </c>
      <c r="B5067">
        <f>IF(ISNUMBER(Input!B5067),IF(AND(Input!B5067&gt;=20,Input!B5067&lt;=700),Input!B5067,""),"")</f>
        <v/>
      </c>
      <c r="C5067">
        <f>IF(B5067="","",INT(A5067))</f>
        <v/>
      </c>
      <c r="D5067">
        <f>IF(B5067="","",HOUR(A5067))</f>
        <v/>
      </c>
    </row>
    <row r="5068">
      <c r="A5068">
        <f>Input!A5068</f>
        <v/>
      </c>
      <c r="B5068">
        <f>IF(ISNUMBER(Input!B5068),IF(AND(Input!B5068&gt;=20,Input!B5068&lt;=700),Input!B5068,""),"")</f>
        <v/>
      </c>
      <c r="C5068">
        <f>IF(B5068="","",INT(A5068))</f>
        <v/>
      </c>
      <c r="D5068">
        <f>IF(B5068="","",HOUR(A5068))</f>
        <v/>
      </c>
    </row>
    <row r="5069">
      <c r="A5069">
        <f>Input!A5069</f>
        <v/>
      </c>
      <c r="B5069">
        <f>IF(ISNUMBER(Input!B5069),IF(AND(Input!B5069&gt;=20,Input!B5069&lt;=700),Input!B5069,""),"")</f>
        <v/>
      </c>
      <c r="C5069">
        <f>IF(B5069="","",INT(A5069))</f>
        <v/>
      </c>
      <c r="D5069">
        <f>IF(B5069="","",HOUR(A5069))</f>
        <v/>
      </c>
    </row>
    <row r="5070">
      <c r="A5070">
        <f>Input!A5070</f>
        <v/>
      </c>
      <c r="B5070">
        <f>IF(ISNUMBER(Input!B5070),IF(AND(Input!B5070&gt;=20,Input!B5070&lt;=700),Input!B5070,""),"")</f>
        <v/>
      </c>
      <c r="C5070">
        <f>IF(B5070="","",INT(A5070))</f>
        <v/>
      </c>
      <c r="D5070">
        <f>IF(B5070="","",HOUR(A5070))</f>
        <v/>
      </c>
    </row>
    <row r="5071">
      <c r="A5071">
        <f>Input!A5071</f>
        <v/>
      </c>
      <c r="B5071">
        <f>IF(ISNUMBER(Input!B5071),IF(AND(Input!B5071&gt;=20,Input!B5071&lt;=700),Input!B5071,""),"")</f>
        <v/>
      </c>
      <c r="C5071">
        <f>IF(B5071="","",INT(A5071))</f>
        <v/>
      </c>
      <c r="D5071">
        <f>IF(B5071="","",HOUR(A5071))</f>
        <v/>
      </c>
    </row>
    <row r="5072">
      <c r="A5072">
        <f>Input!A5072</f>
        <v/>
      </c>
      <c r="B5072">
        <f>IF(ISNUMBER(Input!B5072),IF(AND(Input!B5072&gt;=20,Input!B5072&lt;=700),Input!B5072,""),"")</f>
        <v/>
      </c>
      <c r="C5072">
        <f>IF(B5072="","",INT(A5072))</f>
        <v/>
      </c>
      <c r="D5072">
        <f>IF(B5072="","",HOUR(A5072))</f>
        <v/>
      </c>
    </row>
    <row r="5073">
      <c r="A5073">
        <f>Input!A5073</f>
        <v/>
      </c>
      <c r="B5073">
        <f>IF(ISNUMBER(Input!B5073),IF(AND(Input!B5073&gt;=20,Input!B5073&lt;=700),Input!B5073,""),"")</f>
        <v/>
      </c>
      <c r="C5073">
        <f>IF(B5073="","",INT(A5073))</f>
        <v/>
      </c>
      <c r="D5073">
        <f>IF(B5073="","",HOUR(A5073))</f>
        <v/>
      </c>
    </row>
    <row r="5074">
      <c r="A5074">
        <f>Input!A5074</f>
        <v/>
      </c>
      <c r="B5074">
        <f>IF(ISNUMBER(Input!B5074),IF(AND(Input!B5074&gt;=20,Input!B5074&lt;=700),Input!B5074,""),"")</f>
        <v/>
      </c>
      <c r="C5074">
        <f>IF(B5074="","",INT(A5074))</f>
        <v/>
      </c>
      <c r="D5074">
        <f>IF(B5074="","",HOUR(A5074))</f>
        <v/>
      </c>
    </row>
    <row r="5075">
      <c r="A5075">
        <f>Input!A5075</f>
        <v/>
      </c>
      <c r="B5075">
        <f>IF(ISNUMBER(Input!B5075),IF(AND(Input!B5075&gt;=20,Input!B5075&lt;=700),Input!B5075,""),"")</f>
        <v/>
      </c>
      <c r="C5075">
        <f>IF(B5075="","",INT(A5075))</f>
        <v/>
      </c>
      <c r="D5075">
        <f>IF(B5075="","",HOUR(A5075))</f>
        <v/>
      </c>
    </row>
    <row r="5076">
      <c r="A5076">
        <f>Input!A5076</f>
        <v/>
      </c>
      <c r="B5076">
        <f>IF(ISNUMBER(Input!B5076),IF(AND(Input!B5076&gt;=20,Input!B5076&lt;=700),Input!B5076,""),"")</f>
        <v/>
      </c>
      <c r="C5076">
        <f>IF(B5076="","",INT(A5076))</f>
        <v/>
      </c>
      <c r="D5076">
        <f>IF(B5076="","",HOUR(A5076))</f>
        <v/>
      </c>
    </row>
    <row r="5077">
      <c r="A5077">
        <f>Input!A5077</f>
        <v/>
      </c>
      <c r="B5077">
        <f>IF(ISNUMBER(Input!B5077),IF(AND(Input!B5077&gt;=20,Input!B5077&lt;=700),Input!B5077,""),"")</f>
        <v/>
      </c>
      <c r="C5077">
        <f>IF(B5077="","",INT(A5077))</f>
        <v/>
      </c>
      <c r="D5077">
        <f>IF(B5077="","",HOUR(A5077))</f>
        <v/>
      </c>
    </row>
    <row r="5078">
      <c r="A5078">
        <f>Input!A5078</f>
        <v/>
      </c>
      <c r="B5078">
        <f>IF(ISNUMBER(Input!B5078),IF(AND(Input!B5078&gt;=20,Input!B5078&lt;=700),Input!B5078,""),"")</f>
        <v/>
      </c>
      <c r="C5078">
        <f>IF(B5078="","",INT(A5078))</f>
        <v/>
      </c>
      <c r="D5078">
        <f>IF(B5078="","",HOUR(A5078))</f>
        <v/>
      </c>
    </row>
    <row r="5079">
      <c r="A5079">
        <f>Input!A5079</f>
        <v/>
      </c>
      <c r="B5079">
        <f>IF(ISNUMBER(Input!B5079),IF(AND(Input!B5079&gt;=20,Input!B5079&lt;=700),Input!B5079,""),"")</f>
        <v/>
      </c>
      <c r="C5079">
        <f>IF(B5079="","",INT(A5079))</f>
        <v/>
      </c>
      <c r="D5079">
        <f>IF(B5079="","",HOUR(A5079))</f>
        <v/>
      </c>
    </row>
    <row r="5080">
      <c r="A5080">
        <f>Input!A5080</f>
        <v/>
      </c>
      <c r="B5080">
        <f>IF(ISNUMBER(Input!B5080),IF(AND(Input!B5080&gt;=20,Input!B5080&lt;=700),Input!B5080,""),"")</f>
        <v/>
      </c>
      <c r="C5080">
        <f>IF(B5080="","",INT(A5080))</f>
        <v/>
      </c>
      <c r="D5080">
        <f>IF(B5080="","",HOUR(A5080))</f>
        <v/>
      </c>
    </row>
    <row r="5081">
      <c r="A5081">
        <f>Input!A5081</f>
        <v/>
      </c>
      <c r="B5081">
        <f>IF(ISNUMBER(Input!B5081),IF(AND(Input!B5081&gt;=20,Input!B5081&lt;=700),Input!B5081,""),"")</f>
        <v/>
      </c>
      <c r="C5081">
        <f>IF(B5081="","",INT(A5081))</f>
        <v/>
      </c>
      <c r="D5081">
        <f>IF(B5081="","",HOUR(A5081))</f>
        <v/>
      </c>
    </row>
    <row r="5082">
      <c r="A5082">
        <f>Input!A5082</f>
        <v/>
      </c>
      <c r="B5082">
        <f>IF(ISNUMBER(Input!B5082),IF(AND(Input!B5082&gt;=20,Input!B5082&lt;=700),Input!B5082,""),"")</f>
        <v/>
      </c>
      <c r="C5082">
        <f>IF(B5082="","",INT(A5082))</f>
        <v/>
      </c>
      <c r="D5082">
        <f>IF(B5082="","",HOUR(A5082))</f>
        <v/>
      </c>
    </row>
    <row r="5083">
      <c r="A5083">
        <f>Input!A5083</f>
        <v/>
      </c>
      <c r="B5083">
        <f>IF(ISNUMBER(Input!B5083),IF(AND(Input!B5083&gt;=20,Input!B5083&lt;=700),Input!B5083,""),"")</f>
        <v/>
      </c>
      <c r="C5083">
        <f>IF(B5083="","",INT(A5083))</f>
        <v/>
      </c>
      <c r="D5083">
        <f>IF(B5083="","",HOUR(A5083))</f>
        <v/>
      </c>
    </row>
    <row r="5084">
      <c r="A5084">
        <f>Input!A5084</f>
        <v/>
      </c>
      <c r="B5084">
        <f>IF(ISNUMBER(Input!B5084),IF(AND(Input!B5084&gt;=20,Input!B5084&lt;=700),Input!B5084,""),"")</f>
        <v/>
      </c>
      <c r="C5084">
        <f>IF(B5084="","",INT(A5084))</f>
        <v/>
      </c>
      <c r="D5084">
        <f>IF(B5084="","",HOUR(A5084))</f>
        <v/>
      </c>
    </row>
    <row r="5085">
      <c r="A5085">
        <f>Input!A5085</f>
        <v/>
      </c>
      <c r="B5085">
        <f>IF(ISNUMBER(Input!B5085),IF(AND(Input!B5085&gt;=20,Input!B5085&lt;=700),Input!B5085,""),"")</f>
        <v/>
      </c>
      <c r="C5085">
        <f>IF(B5085="","",INT(A5085))</f>
        <v/>
      </c>
      <c r="D5085">
        <f>IF(B5085="","",HOUR(A5085))</f>
        <v/>
      </c>
    </row>
    <row r="5086">
      <c r="A5086">
        <f>Input!A5086</f>
        <v/>
      </c>
      <c r="B5086">
        <f>IF(ISNUMBER(Input!B5086),IF(AND(Input!B5086&gt;=20,Input!B5086&lt;=700),Input!B5086,""),"")</f>
        <v/>
      </c>
      <c r="C5086">
        <f>IF(B5086="","",INT(A5086))</f>
        <v/>
      </c>
      <c r="D5086">
        <f>IF(B5086="","",HOUR(A5086))</f>
        <v/>
      </c>
    </row>
    <row r="5087">
      <c r="A5087">
        <f>Input!A5087</f>
        <v/>
      </c>
      <c r="B5087">
        <f>IF(ISNUMBER(Input!B5087),IF(AND(Input!B5087&gt;=20,Input!B5087&lt;=700),Input!B5087,""),"")</f>
        <v/>
      </c>
      <c r="C5087">
        <f>IF(B5087="","",INT(A5087))</f>
        <v/>
      </c>
      <c r="D5087">
        <f>IF(B5087="","",HOUR(A5087))</f>
        <v/>
      </c>
    </row>
    <row r="5088">
      <c r="A5088">
        <f>Input!A5088</f>
        <v/>
      </c>
      <c r="B5088">
        <f>IF(ISNUMBER(Input!B5088),IF(AND(Input!B5088&gt;=20,Input!B5088&lt;=700),Input!B5088,""),"")</f>
        <v/>
      </c>
      <c r="C5088">
        <f>IF(B5088="","",INT(A5088))</f>
        <v/>
      </c>
      <c r="D5088">
        <f>IF(B5088="","",HOUR(A5088))</f>
        <v/>
      </c>
    </row>
    <row r="5089">
      <c r="A5089">
        <f>Input!A5089</f>
        <v/>
      </c>
      <c r="B5089">
        <f>IF(ISNUMBER(Input!B5089),IF(AND(Input!B5089&gt;=20,Input!B5089&lt;=700),Input!B5089,""),"")</f>
        <v/>
      </c>
      <c r="C5089">
        <f>IF(B5089="","",INT(A5089))</f>
        <v/>
      </c>
      <c r="D5089">
        <f>IF(B5089="","",HOUR(A5089))</f>
        <v/>
      </c>
    </row>
    <row r="5090">
      <c r="A5090">
        <f>Input!A5090</f>
        <v/>
      </c>
      <c r="B5090">
        <f>IF(ISNUMBER(Input!B5090),IF(AND(Input!B5090&gt;=20,Input!B5090&lt;=700),Input!B5090,""),"")</f>
        <v/>
      </c>
      <c r="C5090">
        <f>IF(B5090="","",INT(A5090))</f>
        <v/>
      </c>
      <c r="D5090">
        <f>IF(B5090="","",HOUR(A5090))</f>
        <v/>
      </c>
    </row>
    <row r="5091">
      <c r="A5091">
        <f>Input!A5091</f>
        <v/>
      </c>
      <c r="B5091">
        <f>IF(ISNUMBER(Input!B5091),IF(AND(Input!B5091&gt;=20,Input!B5091&lt;=700),Input!B5091,""),"")</f>
        <v/>
      </c>
      <c r="C5091">
        <f>IF(B5091="","",INT(A5091))</f>
        <v/>
      </c>
      <c r="D5091">
        <f>IF(B5091="","",HOUR(A5091))</f>
        <v/>
      </c>
    </row>
    <row r="5092">
      <c r="A5092">
        <f>Input!A5092</f>
        <v/>
      </c>
      <c r="B5092">
        <f>IF(ISNUMBER(Input!B5092),IF(AND(Input!B5092&gt;=20,Input!B5092&lt;=700),Input!B5092,""),"")</f>
        <v/>
      </c>
      <c r="C5092">
        <f>IF(B5092="","",INT(A5092))</f>
        <v/>
      </c>
      <c r="D5092">
        <f>IF(B5092="","",HOUR(A5092))</f>
        <v/>
      </c>
    </row>
    <row r="5093">
      <c r="A5093">
        <f>Input!A5093</f>
        <v/>
      </c>
      <c r="B5093">
        <f>IF(ISNUMBER(Input!B5093),IF(AND(Input!B5093&gt;=20,Input!B5093&lt;=700),Input!B5093,""),"")</f>
        <v/>
      </c>
      <c r="C5093">
        <f>IF(B5093="","",INT(A5093))</f>
        <v/>
      </c>
      <c r="D5093">
        <f>IF(B5093="","",HOUR(A5093))</f>
        <v/>
      </c>
    </row>
    <row r="5094">
      <c r="A5094">
        <f>Input!A5094</f>
        <v/>
      </c>
      <c r="B5094">
        <f>IF(ISNUMBER(Input!B5094),IF(AND(Input!B5094&gt;=20,Input!B5094&lt;=700),Input!B5094,""),"")</f>
        <v/>
      </c>
      <c r="C5094">
        <f>IF(B5094="","",INT(A5094))</f>
        <v/>
      </c>
      <c r="D5094">
        <f>IF(B5094="","",HOUR(A5094))</f>
        <v/>
      </c>
    </row>
    <row r="5095">
      <c r="A5095">
        <f>Input!A5095</f>
        <v/>
      </c>
      <c r="B5095">
        <f>IF(ISNUMBER(Input!B5095),IF(AND(Input!B5095&gt;=20,Input!B5095&lt;=700),Input!B5095,""),"")</f>
        <v/>
      </c>
      <c r="C5095">
        <f>IF(B5095="","",INT(A5095))</f>
        <v/>
      </c>
      <c r="D5095">
        <f>IF(B5095="","",HOUR(A5095))</f>
        <v/>
      </c>
    </row>
    <row r="5096">
      <c r="A5096">
        <f>Input!A5096</f>
        <v/>
      </c>
      <c r="B5096">
        <f>IF(ISNUMBER(Input!B5096),IF(AND(Input!B5096&gt;=20,Input!B5096&lt;=700),Input!B5096,""),"")</f>
        <v/>
      </c>
      <c r="C5096">
        <f>IF(B5096="","",INT(A5096))</f>
        <v/>
      </c>
      <c r="D5096">
        <f>IF(B5096="","",HOUR(A5096))</f>
        <v/>
      </c>
    </row>
    <row r="5097">
      <c r="A5097">
        <f>Input!A5097</f>
        <v/>
      </c>
      <c r="B5097">
        <f>IF(ISNUMBER(Input!B5097),IF(AND(Input!B5097&gt;=20,Input!B5097&lt;=700),Input!B5097,""),"")</f>
        <v/>
      </c>
      <c r="C5097">
        <f>IF(B5097="","",INT(A5097))</f>
        <v/>
      </c>
      <c r="D5097">
        <f>IF(B5097="","",HOUR(A5097))</f>
        <v/>
      </c>
    </row>
    <row r="5098">
      <c r="A5098">
        <f>Input!A5098</f>
        <v/>
      </c>
      <c r="B5098">
        <f>IF(ISNUMBER(Input!B5098),IF(AND(Input!B5098&gt;=20,Input!B5098&lt;=700),Input!B5098,""),"")</f>
        <v/>
      </c>
      <c r="C5098">
        <f>IF(B5098="","",INT(A5098))</f>
        <v/>
      </c>
      <c r="D5098">
        <f>IF(B5098="","",HOUR(A5098))</f>
        <v/>
      </c>
    </row>
    <row r="5099">
      <c r="A5099">
        <f>Input!A5099</f>
        <v/>
      </c>
      <c r="B5099">
        <f>IF(ISNUMBER(Input!B5099),IF(AND(Input!B5099&gt;=20,Input!B5099&lt;=700),Input!B5099,""),"")</f>
        <v/>
      </c>
      <c r="C5099">
        <f>IF(B5099="","",INT(A5099))</f>
        <v/>
      </c>
      <c r="D5099">
        <f>IF(B5099="","",HOUR(A5099))</f>
        <v/>
      </c>
    </row>
    <row r="5100">
      <c r="A5100">
        <f>Input!A5100</f>
        <v/>
      </c>
      <c r="B5100">
        <f>IF(ISNUMBER(Input!B5100),IF(AND(Input!B5100&gt;=20,Input!B5100&lt;=700),Input!B5100,""),"")</f>
        <v/>
      </c>
      <c r="C5100">
        <f>IF(B5100="","",INT(A5100))</f>
        <v/>
      </c>
      <c r="D5100">
        <f>IF(B5100="","",HOUR(A5100))</f>
        <v/>
      </c>
    </row>
    <row r="5101">
      <c r="A5101">
        <f>Input!A5101</f>
        <v/>
      </c>
      <c r="B5101">
        <f>IF(ISNUMBER(Input!B5101),IF(AND(Input!B5101&gt;=20,Input!B5101&lt;=700),Input!B5101,""),"")</f>
        <v/>
      </c>
      <c r="C5101">
        <f>IF(B5101="","",INT(A5101))</f>
        <v/>
      </c>
      <c r="D5101">
        <f>IF(B5101="","",HOUR(A5101))</f>
        <v/>
      </c>
    </row>
    <row r="5102">
      <c r="A5102">
        <f>Input!A5102</f>
        <v/>
      </c>
      <c r="B5102">
        <f>IF(ISNUMBER(Input!B5102),IF(AND(Input!B5102&gt;=20,Input!B5102&lt;=700),Input!B5102,""),"")</f>
        <v/>
      </c>
      <c r="C5102">
        <f>IF(B5102="","",INT(A5102))</f>
        <v/>
      </c>
      <c r="D5102">
        <f>IF(B5102="","",HOUR(A5102))</f>
        <v/>
      </c>
    </row>
    <row r="5103">
      <c r="A5103">
        <f>Input!A5103</f>
        <v/>
      </c>
      <c r="B5103">
        <f>IF(ISNUMBER(Input!B5103),IF(AND(Input!B5103&gt;=20,Input!B5103&lt;=700),Input!B5103,""),"")</f>
        <v/>
      </c>
      <c r="C5103">
        <f>IF(B5103="","",INT(A5103))</f>
        <v/>
      </c>
      <c r="D5103">
        <f>IF(B5103="","",HOUR(A5103))</f>
        <v/>
      </c>
    </row>
    <row r="5104">
      <c r="A5104">
        <f>Input!A5104</f>
        <v/>
      </c>
      <c r="B5104">
        <f>IF(ISNUMBER(Input!B5104),IF(AND(Input!B5104&gt;=20,Input!B5104&lt;=700),Input!B5104,""),"")</f>
        <v/>
      </c>
      <c r="C5104">
        <f>IF(B5104="","",INT(A5104))</f>
        <v/>
      </c>
      <c r="D5104">
        <f>IF(B5104="","",HOUR(A5104))</f>
        <v/>
      </c>
    </row>
    <row r="5105">
      <c r="A5105">
        <f>Input!A5105</f>
        <v/>
      </c>
      <c r="B5105">
        <f>IF(ISNUMBER(Input!B5105),IF(AND(Input!B5105&gt;=20,Input!B5105&lt;=700),Input!B5105,""),"")</f>
        <v/>
      </c>
      <c r="C5105">
        <f>IF(B5105="","",INT(A5105))</f>
        <v/>
      </c>
      <c r="D5105">
        <f>IF(B5105="","",HOUR(A5105))</f>
        <v/>
      </c>
    </row>
    <row r="5106">
      <c r="A5106">
        <f>Input!A5106</f>
        <v/>
      </c>
      <c r="B5106">
        <f>IF(ISNUMBER(Input!B5106),IF(AND(Input!B5106&gt;=20,Input!B5106&lt;=700),Input!B5106,""),"")</f>
        <v/>
      </c>
      <c r="C5106">
        <f>IF(B5106="","",INT(A5106))</f>
        <v/>
      </c>
      <c r="D5106">
        <f>IF(B5106="","",HOUR(A5106))</f>
        <v/>
      </c>
    </row>
    <row r="5107">
      <c r="A5107">
        <f>Input!A5107</f>
        <v/>
      </c>
      <c r="B5107">
        <f>IF(ISNUMBER(Input!B5107),IF(AND(Input!B5107&gt;=20,Input!B5107&lt;=700),Input!B5107,""),"")</f>
        <v/>
      </c>
      <c r="C5107">
        <f>IF(B5107="","",INT(A5107))</f>
        <v/>
      </c>
      <c r="D5107">
        <f>IF(B5107="","",HOUR(A5107))</f>
        <v/>
      </c>
    </row>
    <row r="5108">
      <c r="A5108">
        <f>Input!A5108</f>
        <v/>
      </c>
      <c r="B5108">
        <f>IF(ISNUMBER(Input!B5108),IF(AND(Input!B5108&gt;=20,Input!B5108&lt;=700),Input!B5108,""),"")</f>
        <v/>
      </c>
      <c r="C5108">
        <f>IF(B5108="","",INT(A5108))</f>
        <v/>
      </c>
      <c r="D5108">
        <f>IF(B5108="","",HOUR(A5108))</f>
        <v/>
      </c>
    </row>
    <row r="5109">
      <c r="A5109">
        <f>Input!A5109</f>
        <v/>
      </c>
      <c r="B5109">
        <f>IF(ISNUMBER(Input!B5109),IF(AND(Input!B5109&gt;=20,Input!B5109&lt;=700),Input!B5109,""),"")</f>
        <v/>
      </c>
      <c r="C5109">
        <f>IF(B5109="","",INT(A5109))</f>
        <v/>
      </c>
      <c r="D5109">
        <f>IF(B5109="","",HOUR(A5109))</f>
        <v/>
      </c>
    </row>
    <row r="5110">
      <c r="A5110">
        <f>Input!A5110</f>
        <v/>
      </c>
      <c r="B5110">
        <f>IF(ISNUMBER(Input!B5110),IF(AND(Input!B5110&gt;=20,Input!B5110&lt;=700),Input!B5110,""),"")</f>
        <v/>
      </c>
      <c r="C5110">
        <f>IF(B5110="","",INT(A5110))</f>
        <v/>
      </c>
      <c r="D5110">
        <f>IF(B5110="","",HOUR(A5110))</f>
        <v/>
      </c>
    </row>
    <row r="5111">
      <c r="A5111">
        <f>Input!A5111</f>
        <v/>
      </c>
      <c r="B5111">
        <f>IF(ISNUMBER(Input!B5111),IF(AND(Input!B5111&gt;=20,Input!B5111&lt;=700),Input!B5111,""),"")</f>
        <v/>
      </c>
      <c r="C5111">
        <f>IF(B5111="","",INT(A5111))</f>
        <v/>
      </c>
      <c r="D5111">
        <f>IF(B5111="","",HOUR(A5111))</f>
        <v/>
      </c>
    </row>
    <row r="5112">
      <c r="A5112">
        <f>Input!A5112</f>
        <v/>
      </c>
      <c r="B5112">
        <f>IF(ISNUMBER(Input!B5112),IF(AND(Input!B5112&gt;=20,Input!B5112&lt;=700),Input!B5112,""),"")</f>
        <v/>
      </c>
      <c r="C5112">
        <f>IF(B5112="","",INT(A5112))</f>
        <v/>
      </c>
      <c r="D5112">
        <f>IF(B5112="","",HOUR(A5112))</f>
        <v/>
      </c>
    </row>
    <row r="5113">
      <c r="A5113">
        <f>Input!A5113</f>
        <v/>
      </c>
      <c r="B5113">
        <f>IF(ISNUMBER(Input!B5113),IF(AND(Input!B5113&gt;=20,Input!B5113&lt;=700),Input!B5113,""),"")</f>
        <v/>
      </c>
      <c r="C5113">
        <f>IF(B5113="","",INT(A5113))</f>
        <v/>
      </c>
      <c r="D5113">
        <f>IF(B5113="","",HOUR(A5113))</f>
        <v/>
      </c>
    </row>
    <row r="5114">
      <c r="A5114">
        <f>Input!A5114</f>
        <v/>
      </c>
      <c r="B5114">
        <f>IF(ISNUMBER(Input!B5114),IF(AND(Input!B5114&gt;=20,Input!B5114&lt;=700),Input!B5114,""),"")</f>
        <v/>
      </c>
      <c r="C5114">
        <f>IF(B5114="","",INT(A5114))</f>
        <v/>
      </c>
      <c r="D5114">
        <f>IF(B5114="","",HOUR(A5114))</f>
        <v/>
      </c>
    </row>
    <row r="5115">
      <c r="A5115">
        <f>Input!A5115</f>
        <v/>
      </c>
      <c r="B5115">
        <f>IF(ISNUMBER(Input!B5115),IF(AND(Input!B5115&gt;=20,Input!B5115&lt;=700),Input!B5115,""),"")</f>
        <v/>
      </c>
      <c r="C5115">
        <f>IF(B5115="","",INT(A5115))</f>
        <v/>
      </c>
      <c r="D5115">
        <f>IF(B5115="","",HOUR(A5115))</f>
        <v/>
      </c>
    </row>
    <row r="5116">
      <c r="A5116">
        <f>Input!A5116</f>
        <v/>
      </c>
      <c r="B5116">
        <f>IF(ISNUMBER(Input!B5116),IF(AND(Input!B5116&gt;=20,Input!B5116&lt;=700),Input!B5116,""),"")</f>
        <v/>
      </c>
      <c r="C5116">
        <f>IF(B5116="","",INT(A5116))</f>
        <v/>
      </c>
      <c r="D5116">
        <f>IF(B5116="","",HOUR(A5116))</f>
        <v/>
      </c>
    </row>
    <row r="5117">
      <c r="A5117">
        <f>Input!A5117</f>
        <v/>
      </c>
      <c r="B5117">
        <f>IF(ISNUMBER(Input!B5117),IF(AND(Input!B5117&gt;=20,Input!B5117&lt;=700),Input!B5117,""),"")</f>
        <v/>
      </c>
      <c r="C5117">
        <f>IF(B5117="","",INT(A5117))</f>
        <v/>
      </c>
      <c r="D5117">
        <f>IF(B5117="","",HOUR(A5117))</f>
        <v/>
      </c>
    </row>
    <row r="5118">
      <c r="A5118">
        <f>Input!A5118</f>
        <v/>
      </c>
      <c r="B5118">
        <f>IF(ISNUMBER(Input!B5118),IF(AND(Input!B5118&gt;=20,Input!B5118&lt;=700),Input!B5118,""),"")</f>
        <v/>
      </c>
      <c r="C5118">
        <f>IF(B5118="","",INT(A5118))</f>
        <v/>
      </c>
      <c r="D5118">
        <f>IF(B5118="","",HOUR(A5118))</f>
        <v/>
      </c>
    </row>
    <row r="5119">
      <c r="A5119">
        <f>Input!A5119</f>
        <v/>
      </c>
      <c r="B5119">
        <f>IF(ISNUMBER(Input!B5119),IF(AND(Input!B5119&gt;=20,Input!B5119&lt;=700),Input!B5119,""),"")</f>
        <v/>
      </c>
      <c r="C5119">
        <f>IF(B5119="","",INT(A5119))</f>
        <v/>
      </c>
      <c r="D5119">
        <f>IF(B5119="","",HOUR(A5119))</f>
        <v/>
      </c>
    </row>
    <row r="5120">
      <c r="A5120">
        <f>Input!A5120</f>
        <v/>
      </c>
      <c r="B5120">
        <f>IF(ISNUMBER(Input!B5120),IF(AND(Input!B5120&gt;=20,Input!B5120&lt;=700),Input!B5120,""),"")</f>
        <v/>
      </c>
      <c r="C5120">
        <f>IF(B5120="","",INT(A5120))</f>
        <v/>
      </c>
      <c r="D5120">
        <f>IF(B5120="","",HOUR(A5120))</f>
        <v/>
      </c>
    </row>
    <row r="5121">
      <c r="A5121">
        <f>Input!A5121</f>
        <v/>
      </c>
      <c r="B5121">
        <f>IF(ISNUMBER(Input!B5121),IF(AND(Input!B5121&gt;=20,Input!B5121&lt;=700),Input!B5121,""),"")</f>
        <v/>
      </c>
      <c r="C5121">
        <f>IF(B5121="","",INT(A5121))</f>
        <v/>
      </c>
      <c r="D5121">
        <f>IF(B5121="","",HOUR(A5121))</f>
        <v/>
      </c>
    </row>
    <row r="5122">
      <c r="A5122">
        <f>Input!A5122</f>
        <v/>
      </c>
      <c r="B5122">
        <f>IF(ISNUMBER(Input!B5122),IF(AND(Input!B5122&gt;=20,Input!B5122&lt;=700),Input!B5122,""),"")</f>
        <v/>
      </c>
      <c r="C5122">
        <f>IF(B5122="","",INT(A5122))</f>
        <v/>
      </c>
      <c r="D5122">
        <f>IF(B5122="","",HOUR(A5122))</f>
        <v/>
      </c>
    </row>
    <row r="5123">
      <c r="A5123">
        <f>Input!A5123</f>
        <v/>
      </c>
      <c r="B5123">
        <f>IF(ISNUMBER(Input!B5123),IF(AND(Input!B5123&gt;=20,Input!B5123&lt;=700),Input!B5123,""),"")</f>
        <v/>
      </c>
      <c r="C5123">
        <f>IF(B5123="","",INT(A5123))</f>
        <v/>
      </c>
      <c r="D5123">
        <f>IF(B5123="","",HOUR(A5123))</f>
        <v/>
      </c>
    </row>
    <row r="5124">
      <c r="A5124">
        <f>Input!A5124</f>
        <v/>
      </c>
      <c r="B5124">
        <f>IF(ISNUMBER(Input!B5124),IF(AND(Input!B5124&gt;=20,Input!B5124&lt;=700),Input!B5124,""),"")</f>
        <v/>
      </c>
      <c r="C5124">
        <f>IF(B5124="","",INT(A5124))</f>
        <v/>
      </c>
      <c r="D5124">
        <f>IF(B5124="","",HOUR(A5124))</f>
        <v/>
      </c>
    </row>
    <row r="5125">
      <c r="A5125">
        <f>Input!A5125</f>
        <v/>
      </c>
      <c r="B5125">
        <f>IF(ISNUMBER(Input!B5125),IF(AND(Input!B5125&gt;=20,Input!B5125&lt;=700),Input!B5125,""),"")</f>
        <v/>
      </c>
      <c r="C5125">
        <f>IF(B5125="","",INT(A5125))</f>
        <v/>
      </c>
      <c r="D5125">
        <f>IF(B5125="","",HOUR(A5125))</f>
        <v/>
      </c>
    </row>
    <row r="5126">
      <c r="A5126">
        <f>Input!A5126</f>
        <v/>
      </c>
      <c r="B5126">
        <f>IF(ISNUMBER(Input!B5126),IF(AND(Input!B5126&gt;=20,Input!B5126&lt;=700),Input!B5126,""),"")</f>
        <v/>
      </c>
      <c r="C5126">
        <f>IF(B5126="","",INT(A5126))</f>
        <v/>
      </c>
      <c r="D5126">
        <f>IF(B5126="","",HOUR(A5126))</f>
        <v/>
      </c>
    </row>
    <row r="5127">
      <c r="A5127">
        <f>Input!A5127</f>
        <v/>
      </c>
      <c r="B5127">
        <f>IF(ISNUMBER(Input!B5127),IF(AND(Input!B5127&gt;=20,Input!B5127&lt;=700),Input!B5127,""),"")</f>
        <v/>
      </c>
      <c r="C5127">
        <f>IF(B5127="","",INT(A5127))</f>
        <v/>
      </c>
      <c r="D5127">
        <f>IF(B5127="","",HOUR(A5127))</f>
        <v/>
      </c>
    </row>
    <row r="5128">
      <c r="A5128">
        <f>Input!A5128</f>
        <v/>
      </c>
      <c r="B5128">
        <f>IF(ISNUMBER(Input!B5128),IF(AND(Input!B5128&gt;=20,Input!B5128&lt;=700),Input!B5128,""),"")</f>
        <v/>
      </c>
      <c r="C5128">
        <f>IF(B5128="","",INT(A5128))</f>
        <v/>
      </c>
      <c r="D5128">
        <f>IF(B5128="","",HOUR(A5128))</f>
        <v/>
      </c>
    </row>
    <row r="5129">
      <c r="A5129">
        <f>Input!A5129</f>
        <v/>
      </c>
      <c r="B5129">
        <f>IF(ISNUMBER(Input!B5129),IF(AND(Input!B5129&gt;=20,Input!B5129&lt;=700),Input!B5129,""),"")</f>
        <v/>
      </c>
      <c r="C5129">
        <f>IF(B5129="","",INT(A5129))</f>
        <v/>
      </c>
      <c r="D5129">
        <f>IF(B5129="","",HOUR(A5129))</f>
        <v/>
      </c>
    </row>
    <row r="5130">
      <c r="A5130">
        <f>Input!A5130</f>
        <v/>
      </c>
      <c r="B5130">
        <f>IF(ISNUMBER(Input!B5130),IF(AND(Input!B5130&gt;=20,Input!B5130&lt;=700),Input!B5130,""),"")</f>
        <v/>
      </c>
      <c r="C5130">
        <f>IF(B5130="","",INT(A5130))</f>
        <v/>
      </c>
      <c r="D5130">
        <f>IF(B5130="","",HOUR(A5130))</f>
        <v/>
      </c>
    </row>
    <row r="5131">
      <c r="A5131">
        <f>Input!A5131</f>
        <v/>
      </c>
      <c r="B5131">
        <f>IF(ISNUMBER(Input!B5131),IF(AND(Input!B5131&gt;=20,Input!B5131&lt;=700),Input!B5131,""),"")</f>
        <v/>
      </c>
      <c r="C5131">
        <f>IF(B5131="","",INT(A5131))</f>
        <v/>
      </c>
      <c r="D5131">
        <f>IF(B5131="","",HOUR(A5131))</f>
        <v/>
      </c>
    </row>
    <row r="5132">
      <c r="A5132">
        <f>Input!A5132</f>
        <v/>
      </c>
      <c r="B5132">
        <f>IF(ISNUMBER(Input!B5132),IF(AND(Input!B5132&gt;=20,Input!B5132&lt;=700),Input!B5132,""),"")</f>
        <v/>
      </c>
      <c r="C5132">
        <f>IF(B5132="","",INT(A5132))</f>
        <v/>
      </c>
      <c r="D5132">
        <f>IF(B5132="","",HOUR(A5132))</f>
        <v/>
      </c>
    </row>
    <row r="5133">
      <c r="A5133">
        <f>Input!A5133</f>
        <v/>
      </c>
      <c r="B5133">
        <f>IF(ISNUMBER(Input!B5133),IF(AND(Input!B5133&gt;=20,Input!B5133&lt;=700),Input!B5133,""),"")</f>
        <v/>
      </c>
      <c r="C5133">
        <f>IF(B5133="","",INT(A5133))</f>
        <v/>
      </c>
      <c r="D5133">
        <f>IF(B5133="","",HOUR(A5133))</f>
        <v/>
      </c>
    </row>
    <row r="5134">
      <c r="A5134">
        <f>Input!A5134</f>
        <v/>
      </c>
      <c r="B5134">
        <f>IF(ISNUMBER(Input!B5134),IF(AND(Input!B5134&gt;=20,Input!B5134&lt;=700),Input!B5134,""),"")</f>
        <v/>
      </c>
      <c r="C5134">
        <f>IF(B5134="","",INT(A5134))</f>
        <v/>
      </c>
      <c r="D5134">
        <f>IF(B5134="","",HOUR(A5134))</f>
        <v/>
      </c>
    </row>
    <row r="5135">
      <c r="A5135">
        <f>Input!A5135</f>
        <v/>
      </c>
      <c r="B5135">
        <f>IF(ISNUMBER(Input!B5135),IF(AND(Input!B5135&gt;=20,Input!B5135&lt;=700),Input!B5135,""),"")</f>
        <v/>
      </c>
      <c r="C5135">
        <f>IF(B5135="","",INT(A5135))</f>
        <v/>
      </c>
      <c r="D5135">
        <f>IF(B5135="","",HOUR(A5135))</f>
        <v/>
      </c>
    </row>
    <row r="5136">
      <c r="A5136">
        <f>Input!A5136</f>
        <v/>
      </c>
      <c r="B5136">
        <f>IF(ISNUMBER(Input!B5136),IF(AND(Input!B5136&gt;=20,Input!B5136&lt;=700),Input!B5136,""),"")</f>
        <v/>
      </c>
      <c r="C5136">
        <f>IF(B5136="","",INT(A5136))</f>
        <v/>
      </c>
      <c r="D5136">
        <f>IF(B5136="","",HOUR(A5136))</f>
        <v/>
      </c>
    </row>
    <row r="5137">
      <c r="A5137">
        <f>Input!A5137</f>
        <v/>
      </c>
      <c r="B5137">
        <f>IF(ISNUMBER(Input!B5137),IF(AND(Input!B5137&gt;=20,Input!B5137&lt;=700),Input!B5137,""),"")</f>
        <v/>
      </c>
      <c r="C5137">
        <f>IF(B5137="","",INT(A5137))</f>
        <v/>
      </c>
      <c r="D5137">
        <f>IF(B5137="","",HOUR(A5137))</f>
        <v/>
      </c>
    </row>
    <row r="5138">
      <c r="A5138">
        <f>Input!A5138</f>
        <v/>
      </c>
      <c r="B5138">
        <f>IF(ISNUMBER(Input!B5138),IF(AND(Input!B5138&gt;=20,Input!B5138&lt;=700),Input!B5138,""),"")</f>
        <v/>
      </c>
      <c r="C5138">
        <f>IF(B5138="","",INT(A5138))</f>
        <v/>
      </c>
      <c r="D5138">
        <f>IF(B5138="","",HOUR(A5138))</f>
        <v/>
      </c>
    </row>
    <row r="5139">
      <c r="A5139">
        <f>Input!A5139</f>
        <v/>
      </c>
      <c r="B5139">
        <f>IF(ISNUMBER(Input!B5139),IF(AND(Input!B5139&gt;=20,Input!B5139&lt;=700),Input!B5139,""),"")</f>
        <v/>
      </c>
      <c r="C5139">
        <f>IF(B5139="","",INT(A5139))</f>
        <v/>
      </c>
      <c r="D5139">
        <f>IF(B5139="","",HOUR(A5139))</f>
        <v/>
      </c>
    </row>
    <row r="5140">
      <c r="A5140">
        <f>Input!A5140</f>
        <v/>
      </c>
      <c r="B5140">
        <f>IF(ISNUMBER(Input!B5140),IF(AND(Input!B5140&gt;=20,Input!B5140&lt;=700),Input!B5140,""),"")</f>
        <v/>
      </c>
      <c r="C5140">
        <f>IF(B5140="","",INT(A5140))</f>
        <v/>
      </c>
      <c r="D5140">
        <f>IF(B5140="","",HOUR(A5140))</f>
        <v/>
      </c>
    </row>
    <row r="5141">
      <c r="A5141">
        <f>Input!A5141</f>
        <v/>
      </c>
      <c r="B5141">
        <f>IF(ISNUMBER(Input!B5141),IF(AND(Input!B5141&gt;=20,Input!B5141&lt;=700),Input!B5141,""),"")</f>
        <v/>
      </c>
      <c r="C5141">
        <f>IF(B5141="","",INT(A5141))</f>
        <v/>
      </c>
      <c r="D5141">
        <f>IF(B5141="","",HOUR(A5141))</f>
        <v/>
      </c>
    </row>
    <row r="5142">
      <c r="A5142">
        <f>Input!A5142</f>
        <v/>
      </c>
      <c r="B5142">
        <f>IF(ISNUMBER(Input!B5142),IF(AND(Input!B5142&gt;=20,Input!B5142&lt;=700),Input!B5142,""),"")</f>
        <v/>
      </c>
      <c r="C5142">
        <f>IF(B5142="","",INT(A5142))</f>
        <v/>
      </c>
      <c r="D5142">
        <f>IF(B5142="","",HOUR(A5142))</f>
        <v/>
      </c>
    </row>
    <row r="5143">
      <c r="A5143">
        <f>Input!A5143</f>
        <v/>
      </c>
      <c r="B5143">
        <f>IF(ISNUMBER(Input!B5143),IF(AND(Input!B5143&gt;=20,Input!B5143&lt;=700),Input!B5143,""),"")</f>
        <v/>
      </c>
      <c r="C5143">
        <f>IF(B5143="","",INT(A5143))</f>
        <v/>
      </c>
      <c r="D5143">
        <f>IF(B5143="","",HOUR(A5143))</f>
        <v/>
      </c>
    </row>
    <row r="5144">
      <c r="A5144">
        <f>Input!A5144</f>
        <v/>
      </c>
      <c r="B5144">
        <f>IF(ISNUMBER(Input!B5144),IF(AND(Input!B5144&gt;=20,Input!B5144&lt;=700),Input!B5144,""),"")</f>
        <v/>
      </c>
      <c r="C5144">
        <f>IF(B5144="","",INT(A5144))</f>
        <v/>
      </c>
      <c r="D5144">
        <f>IF(B5144="","",HOUR(A5144))</f>
        <v/>
      </c>
    </row>
    <row r="5145">
      <c r="A5145">
        <f>Input!A5145</f>
        <v/>
      </c>
      <c r="B5145">
        <f>IF(ISNUMBER(Input!B5145),IF(AND(Input!B5145&gt;=20,Input!B5145&lt;=700),Input!B5145,""),"")</f>
        <v/>
      </c>
      <c r="C5145">
        <f>IF(B5145="","",INT(A5145))</f>
        <v/>
      </c>
      <c r="D5145">
        <f>IF(B5145="","",HOUR(A5145))</f>
        <v/>
      </c>
    </row>
    <row r="5146">
      <c r="A5146">
        <f>Input!A5146</f>
        <v/>
      </c>
      <c r="B5146">
        <f>IF(ISNUMBER(Input!B5146),IF(AND(Input!B5146&gt;=20,Input!B5146&lt;=700),Input!B5146,""),"")</f>
        <v/>
      </c>
      <c r="C5146">
        <f>IF(B5146="","",INT(A5146))</f>
        <v/>
      </c>
      <c r="D5146">
        <f>IF(B5146="","",HOUR(A5146))</f>
        <v/>
      </c>
    </row>
    <row r="5147">
      <c r="A5147">
        <f>Input!A5147</f>
        <v/>
      </c>
      <c r="B5147">
        <f>IF(ISNUMBER(Input!B5147),IF(AND(Input!B5147&gt;=20,Input!B5147&lt;=700),Input!B5147,""),"")</f>
        <v/>
      </c>
      <c r="C5147">
        <f>IF(B5147="","",INT(A5147))</f>
        <v/>
      </c>
      <c r="D5147">
        <f>IF(B5147="","",HOUR(A5147))</f>
        <v/>
      </c>
    </row>
    <row r="5148">
      <c r="A5148">
        <f>Input!A5148</f>
        <v/>
      </c>
      <c r="B5148">
        <f>IF(ISNUMBER(Input!B5148),IF(AND(Input!B5148&gt;=20,Input!B5148&lt;=700),Input!B5148,""),"")</f>
        <v/>
      </c>
      <c r="C5148">
        <f>IF(B5148="","",INT(A5148))</f>
        <v/>
      </c>
      <c r="D5148">
        <f>IF(B5148="","",HOUR(A5148))</f>
        <v/>
      </c>
    </row>
    <row r="5149">
      <c r="A5149">
        <f>Input!A5149</f>
        <v/>
      </c>
      <c r="B5149">
        <f>IF(ISNUMBER(Input!B5149),IF(AND(Input!B5149&gt;=20,Input!B5149&lt;=700),Input!B5149,""),"")</f>
        <v/>
      </c>
      <c r="C5149">
        <f>IF(B5149="","",INT(A5149))</f>
        <v/>
      </c>
      <c r="D5149">
        <f>IF(B5149="","",HOUR(A5149))</f>
        <v/>
      </c>
    </row>
    <row r="5150">
      <c r="A5150">
        <f>Input!A5150</f>
        <v/>
      </c>
      <c r="B5150">
        <f>IF(ISNUMBER(Input!B5150),IF(AND(Input!B5150&gt;=20,Input!B5150&lt;=700),Input!B5150,""),"")</f>
        <v/>
      </c>
      <c r="C5150">
        <f>IF(B5150="","",INT(A5150))</f>
        <v/>
      </c>
      <c r="D5150">
        <f>IF(B5150="","",HOUR(A5150))</f>
        <v/>
      </c>
    </row>
    <row r="5151">
      <c r="A5151">
        <f>Input!A5151</f>
        <v/>
      </c>
      <c r="B5151">
        <f>IF(ISNUMBER(Input!B5151),IF(AND(Input!B5151&gt;=20,Input!B5151&lt;=700),Input!B5151,""),"")</f>
        <v/>
      </c>
      <c r="C5151">
        <f>IF(B5151="","",INT(A5151))</f>
        <v/>
      </c>
      <c r="D5151">
        <f>IF(B5151="","",HOUR(A5151))</f>
        <v/>
      </c>
    </row>
    <row r="5152">
      <c r="A5152">
        <f>Input!A5152</f>
        <v/>
      </c>
      <c r="B5152">
        <f>IF(ISNUMBER(Input!B5152),IF(AND(Input!B5152&gt;=20,Input!B5152&lt;=700),Input!B5152,""),"")</f>
        <v/>
      </c>
      <c r="C5152">
        <f>IF(B5152="","",INT(A5152))</f>
        <v/>
      </c>
      <c r="D5152">
        <f>IF(B5152="","",HOUR(A5152))</f>
        <v/>
      </c>
    </row>
    <row r="5153">
      <c r="A5153">
        <f>Input!A5153</f>
        <v/>
      </c>
      <c r="B5153">
        <f>IF(ISNUMBER(Input!B5153),IF(AND(Input!B5153&gt;=20,Input!B5153&lt;=700),Input!B5153,""),"")</f>
        <v/>
      </c>
      <c r="C5153">
        <f>IF(B5153="","",INT(A5153))</f>
        <v/>
      </c>
      <c r="D5153">
        <f>IF(B5153="","",HOUR(A5153))</f>
        <v/>
      </c>
    </row>
    <row r="5154">
      <c r="A5154">
        <f>Input!A5154</f>
        <v/>
      </c>
      <c r="B5154">
        <f>IF(ISNUMBER(Input!B5154),IF(AND(Input!B5154&gt;=20,Input!B5154&lt;=700),Input!B5154,""),"")</f>
        <v/>
      </c>
      <c r="C5154">
        <f>IF(B5154="","",INT(A5154))</f>
        <v/>
      </c>
      <c r="D5154">
        <f>IF(B5154="","",HOUR(A5154))</f>
        <v/>
      </c>
    </row>
    <row r="5155">
      <c r="A5155">
        <f>Input!A5155</f>
        <v/>
      </c>
      <c r="B5155">
        <f>IF(ISNUMBER(Input!B5155),IF(AND(Input!B5155&gt;=20,Input!B5155&lt;=700),Input!B5155,""),"")</f>
        <v/>
      </c>
      <c r="C5155">
        <f>IF(B5155="","",INT(A5155))</f>
        <v/>
      </c>
      <c r="D5155">
        <f>IF(B5155="","",HOUR(A5155))</f>
        <v/>
      </c>
    </row>
    <row r="5156">
      <c r="A5156">
        <f>Input!A5156</f>
        <v/>
      </c>
      <c r="B5156">
        <f>IF(ISNUMBER(Input!B5156),IF(AND(Input!B5156&gt;=20,Input!B5156&lt;=700),Input!B5156,""),"")</f>
        <v/>
      </c>
      <c r="C5156">
        <f>IF(B5156="","",INT(A5156))</f>
        <v/>
      </c>
      <c r="D5156">
        <f>IF(B5156="","",HOUR(A5156))</f>
        <v/>
      </c>
    </row>
    <row r="5157">
      <c r="A5157">
        <f>Input!A5157</f>
        <v/>
      </c>
      <c r="B5157">
        <f>IF(ISNUMBER(Input!B5157),IF(AND(Input!B5157&gt;=20,Input!B5157&lt;=700),Input!B5157,""),"")</f>
        <v/>
      </c>
      <c r="C5157">
        <f>IF(B5157="","",INT(A5157))</f>
        <v/>
      </c>
      <c r="D5157">
        <f>IF(B5157="","",HOUR(A5157))</f>
        <v/>
      </c>
    </row>
    <row r="5158">
      <c r="A5158">
        <f>Input!A5158</f>
        <v/>
      </c>
      <c r="B5158">
        <f>IF(ISNUMBER(Input!B5158),IF(AND(Input!B5158&gt;=20,Input!B5158&lt;=700),Input!B5158,""),"")</f>
        <v/>
      </c>
      <c r="C5158">
        <f>IF(B5158="","",INT(A5158))</f>
        <v/>
      </c>
      <c r="D5158">
        <f>IF(B5158="","",HOUR(A5158))</f>
        <v/>
      </c>
    </row>
    <row r="5159">
      <c r="A5159">
        <f>Input!A5159</f>
        <v/>
      </c>
      <c r="B5159">
        <f>IF(ISNUMBER(Input!B5159),IF(AND(Input!B5159&gt;=20,Input!B5159&lt;=700),Input!B5159,""),"")</f>
        <v/>
      </c>
      <c r="C5159">
        <f>IF(B5159="","",INT(A5159))</f>
        <v/>
      </c>
      <c r="D5159">
        <f>IF(B5159="","",HOUR(A5159))</f>
        <v/>
      </c>
    </row>
    <row r="5160">
      <c r="A5160">
        <f>Input!A5160</f>
        <v/>
      </c>
      <c r="B5160">
        <f>IF(ISNUMBER(Input!B5160),IF(AND(Input!B5160&gt;=20,Input!B5160&lt;=700),Input!B5160,""),"")</f>
        <v/>
      </c>
      <c r="C5160">
        <f>IF(B5160="","",INT(A5160))</f>
        <v/>
      </c>
      <c r="D5160">
        <f>IF(B5160="","",HOUR(A5160))</f>
        <v/>
      </c>
    </row>
    <row r="5161">
      <c r="A5161">
        <f>Input!A5161</f>
        <v/>
      </c>
      <c r="B5161">
        <f>IF(ISNUMBER(Input!B5161),IF(AND(Input!B5161&gt;=20,Input!B5161&lt;=700),Input!B5161,""),"")</f>
        <v/>
      </c>
      <c r="C5161">
        <f>IF(B5161="","",INT(A5161))</f>
        <v/>
      </c>
      <c r="D5161">
        <f>IF(B5161="","",HOUR(A5161))</f>
        <v/>
      </c>
    </row>
    <row r="5162">
      <c r="A5162">
        <f>Input!A5162</f>
        <v/>
      </c>
      <c r="B5162">
        <f>IF(ISNUMBER(Input!B5162),IF(AND(Input!B5162&gt;=20,Input!B5162&lt;=700),Input!B5162,""),"")</f>
        <v/>
      </c>
      <c r="C5162">
        <f>IF(B5162="","",INT(A5162))</f>
        <v/>
      </c>
      <c r="D5162">
        <f>IF(B5162="","",HOUR(A5162))</f>
        <v/>
      </c>
    </row>
    <row r="5163">
      <c r="A5163">
        <f>Input!A5163</f>
        <v/>
      </c>
      <c r="B5163">
        <f>IF(ISNUMBER(Input!B5163),IF(AND(Input!B5163&gt;=20,Input!B5163&lt;=700),Input!B5163,""),"")</f>
        <v/>
      </c>
      <c r="C5163">
        <f>IF(B5163="","",INT(A5163))</f>
        <v/>
      </c>
      <c r="D5163">
        <f>IF(B5163="","",HOUR(A5163))</f>
        <v/>
      </c>
    </row>
    <row r="5164">
      <c r="A5164">
        <f>Input!A5164</f>
        <v/>
      </c>
      <c r="B5164">
        <f>IF(ISNUMBER(Input!B5164),IF(AND(Input!B5164&gt;=20,Input!B5164&lt;=700),Input!B5164,""),"")</f>
        <v/>
      </c>
      <c r="C5164">
        <f>IF(B5164="","",INT(A5164))</f>
        <v/>
      </c>
      <c r="D5164">
        <f>IF(B5164="","",HOUR(A5164))</f>
        <v/>
      </c>
    </row>
    <row r="5165">
      <c r="A5165">
        <f>Input!A5165</f>
        <v/>
      </c>
      <c r="B5165">
        <f>IF(ISNUMBER(Input!B5165),IF(AND(Input!B5165&gt;=20,Input!B5165&lt;=700),Input!B5165,""),"")</f>
        <v/>
      </c>
      <c r="C5165">
        <f>IF(B5165="","",INT(A5165))</f>
        <v/>
      </c>
      <c r="D5165">
        <f>IF(B5165="","",HOUR(A5165))</f>
        <v/>
      </c>
    </row>
    <row r="5166">
      <c r="A5166">
        <f>Input!A5166</f>
        <v/>
      </c>
      <c r="B5166">
        <f>IF(ISNUMBER(Input!B5166),IF(AND(Input!B5166&gt;=20,Input!B5166&lt;=700),Input!B5166,""),"")</f>
        <v/>
      </c>
      <c r="C5166">
        <f>IF(B5166="","",INT(A5166))</f>
        <v/>
      </c>
      <c r="D5166">
        <f>IF(B5166="","",HOUR(A5166))</f>
        <v/>
      </c>
    </row>
    <row r="5167">
      <c r="A5167">
        <f>Input!A5167</f>
        <v/>
      </c>
      <c r="B5167">
        <f>IF(ISNUMBER(Input!B5167),IF(AND(Input!B5167&gt;=20,Input!B5167&lt;=700),Input!B5167,""),"")</f>
        <v/>
      </c>
      <c r="C5167">
        <f>IF(B5167="","",INT(A5167))</f>
        <v/>
      </c>
      <c r="D5167">
        <f>IF(B5167="","",HOUR(A5167))</f>
        <v/>
      </c>
    </row>
    <row r="5168">
      <c r="A5168">
        <f>Input!A5168</f>
        <v/>
      </c>
      <c r="B5168">
        <f>IF(ISNUMBER(Input!B5168),IF(AND(Input!B5168&gt;=20,Input!B5168&lt;=700),Input!B5168,""),"")</f>
        <v/>
      </c>
      <c r="C5168">
        <f>IF(B5168="","",INT(A5168))</f>
        <v/>
      </c>
      <c r="D5168">
        <f>IF(B5168="","",HOUR(A5168))</f>
        <v/>
      </c>
    </row>
    <row r="5169">
      <c r="A5169">
        <f>Input!A5169</f>
        <v/>
      </c>
      <c r="B5169">
        <f>IF(ISNUMBER(Input!B5169),IF(AND(Input!B5169&gt;=20,Input!B5169&lt;=700),Input!B5169,""),"")</f>
        <v/>
      </c>
      <c r="C5169">
        <f>IF(B5169="","",INT(A5169))</f>
        <v/>
      </c>
      <c r="D5169">
        <f>IF(B5169="","",HOUR(A5169))</f>
        <v/>
      </c>
    </row>
    <row r="5170">
      <c r="A5170">
        <f>Input!A5170</f>
        <v/>
      </c>
      <c r="B5170">
        <f>IF(ISNUMBER(Input!B5170),IF(AND(Input!B5170&gt;=20,Input!B5170&lt;=700),Input!B5170,""),"")</f>
        <v/>
      </c>
      <c r="C5170">
        <f>IF(B5170="","",INT(A5170))</f>
        <v/>
      </c>
      <c r="D5170">
        <f>IF(B5170="","",HOUR(A5170))</f>
        <v/>
      </c>
    </row>
    <row r="5171">
      <c r="A5171">
        <f>Input!A5171</f>
        <v/>
      </c>
      <c r="B5171">
        <f>IF(ISNUMBER(Input!B5171),IF(AND(Input!B5171&gt;=20,Input!B5171&lt;=700),Input!B5171,""),"")</f>
        <v/>
      </c>
      <c r="C5171">
        <f>IF(B5171="","",INT(A5171))</f>
        <v/>
      </c>
      <c r="D5171">
        <f>IF(B5171="","",HOUR(A5171))</f>
        <v/>
      </c>
    </row>
    <row r="5172">
      <c r="A5172">
        <f>Input!A5172</f>
        <v/>
      </c>
      <c r="B5172">
        <f>IF(ISNUMBER(Input!B5172),IF(AND(Input!B5172&gt;=20,Input!B5172&lt;=700),Input!B5172,""),"")</f>
        <v/>
      </c>
      <c r="C5172">
        <f>IF(B5172="","",INT(A5172))</f>
        <v/>
      </c>
      <c r="D5172">
        <f>IF(B5172="","",HOUR(A5172))</f>
        <v/>
      </c>
    </row>
    <row r="5173">
      <c r="A5173">
        <f>Input!A5173</f>
        <v/>
      </c>
      <c r="B5173">
        <f>IF(ISNUMBER(Input!B5173),IF(AND(Input!B5173&gt;=20,Input!B5173&lt;=700),Input!B5173,""),"")</f>
        <v/>
      </c>
      <c r="C5173">
        <f>IF(B5173="","",INT(A5173))</f>
        <v/>
      </c>
      <c r="D5173">
        <f>IF(B5173="","",HOUR(A5173))</f>
        <v/>
      </c>
    </row>
    <row r="5174">
      <c r="A5174">
        <f>Input!A5174</f>
        <v/>
      </c>
      <c r="B5174">
        <f>IF(ISNUMBER(Input!B5174),IF(AND(Input!B5174&gt;=20,Input!B5174&lt;=700),Input!B5174,""),"")</f>
        <v/>
      </c>
      <c r="C5174">
        <f>IF(B5174="","",INT(A5174))</f>
        <v/>
      </c>
      <c r="D5174">
        <f>IF(B5174="","",HOUR(A5174))</f>
        <v/>
      </c>
    </row>
    <row r="5175">
      <c r="A5175">
        <f>Input!A5175</f>
        <v/>
      </c>
      <c r="B5175">
        <f>IF(ISNUMBER(Input!B5175),IF(AND(Input!B5175&gt;=20,Input!B5175&lt;=700),Input!B5175,""),"")</f>
        <v/>
      </c>
      <c r="C5175">
        <f>IF(B5175="","",INT(A5175))</f>
        <v/>
      </c>
      <c r="D5175">
        <f>IF(B5175="","",HOUR(A5175))</f>
        <v/>
      </c>
    </row>
    <row r="5176">
      <c r="A5176">
        <f>Input!A5176</f>
        <v/>
      </c>
      <c r="B5176">
        <f>IF(ISNUMBER(Input!B5176),IF(AND(Input!B5176&gt;=20,Input!B5176&lt;=700),Input!B5176,""),"")</f>
        <v/>
      </c>
      <c r="C5176">
        <f>IF(B5176="","",INT(A5176))</f>
        <v/>
      </c>
      <c r="D5176">
        <f>IF(B5176="","",HOUR(A5176))</f>
        <v/>
      </c>
    </row>
    <row r="5177">
      <c r="A5177">
        <f>Input!A5177</f>
        <v/>
      </c>
      <c r="B5177">
        <f>IF(ISNUMBER(Input!B5177),IF(AND(Input!B5177&gt;=20,Input!B5177&lt;=700),Input!B5177,""),"")</f>
        <v/>
      </c>
      <c r="C5177">
        <f>IF(B5177="","",INT(A5177))</f>
        <v/>
      </c>
      <c r="D5177">
        <f>IF(B5177="","",HOUR(A5177))</f>
        <v/>
      </c>
    </row>
    <row r="5178">
      <c r="A5178">
        <f>Input!A5178</f>
        <v/>
      </c>
      <c r="B5178">
        <f>IF(ISNUMBER(Input!B5178),IF(AND(Input!B5178&gt;=20,Input!B5178&lt;=700),Input!B5178,""),"")</f>
        <v/>
      </c>
      <c r="C5178">
        <f>IF(B5178="","",INT(A5178))</f>
        <v/>
      </c>
      <c r="D5178">
        <f>IF(B5178="","",HOUR(A5178))</f>
        <v/>
      </c>
    </row>
    <row r="5179">
      <c r="A5179">
        <f>Input!A5179</f>
        <v/>
      </c>
      <c r="B5179">
        <f>IF(ISNUMBER(Input!B5179),IF(AND(Input!B5179&gt;=20,Input!B5179&lt;=700),Input!B5179,""),"")</f>
        <v/>
      </c>
      <c r="C5179">
        <f>IF(B5179="","",INT(A5179))</f>
        <v/>
      </c>
      <c r="D5179">
        <f>IF(B5179="","",HOUR(A5179))</f>
        <v/>
      </c>
    </row>
    <row r="5180">
      <c r="A5180">
        <f>Input!A5180</f>
        <v/>
      </c>
      <c r="B5180">
        <f>IF(ISNUMBER(Input!B5180),IF(AND(Input!B5180&gt;=20,Input!B5180&lt;=700),Input!B5180,""),"")</f>
        <v/>
      </c>
      <c r="C5180">
        <f>IF(B5180="","",INT(A5180))</f>
        <v/>
      </c>
      <c r="D5180">
        <f>IF(B5180="","",HOUR(A5180))</f>
        <v/>
      </c>
    </row>
    <row r="5181">
      <c r="A5181">
        <f>Input!A5181</f>
        <v/>
      </c>
      <c r="B5181">
        <f>IF(ISNUMBER(Input!B5181),IF(AND(Input!B5181&gt;=20,Input!B5181&lt;=700),Input!B5181,""),"")</f>
        <v/>
      </c>
      <c r="C5181">
        <f>IF(B5181="","",INT(A5181))</f>
        <v/>
      </c>
      <c r="D5181">
        <f>IF(B5181="","",HOUR(A5181))</f>
        <v/>
      </c>
    </row>
    <row r="5182">
      <c r="A5182">
        <f>Input!A5182</f>
        <v/>
      </c>
      <c r="B5182">
        <f>IF(ISNUMBER(Input!B5182),IF(AND(Input!B5182&gt;=20,Input!B5182&lt;=700),Input!B5182,""),"")</f>
        <v/>
      </c>
      <c r="C5182">
        <f>IF(B5182="","",INT(A5182))</f>
        <v/>
      </c>
      <c r="D5182">
        <f>IF(B5182="","",HOUR(A5182))</f>
        <v/>
      </c>
    </row>
    <row r="5183">
      <c r="A5183">
        <f>Input!A5183</f>
        <v/>
      </c>
      <c r="B5183">
        <f>IF(ISNUMBER(Input!B5183),IF(AND(Input!B5183&gt;=20,Input!B5183&lt;=700),Input!B5183,""),"")</f>
        <v/>
      </c>
      <c r="C5183">
        <f>IF(B5183="","",INT(A5183))</f>
        <v/>
      </c>
      <c r="D5183">
        <f>IF(B5183="","",HOUR(A5183))</f>
        <v/>
      </c>
    </row>
    <row r="5184">
      <c r="A5184">
        <f>Input!A5184</f>
        <v/>
      </c>
      <c r="B5184">
        <f>IF(ISNUMBER(Input!B5184),IF(AND(Input!B5184&gt;=20,Input!B5184&lt;=700),Input!B5184,""),"")</f>
        <v/>
      </c>
      <c r="C5184">
        <f>IF(B5184="","",INT(A5184))</f>
        <v/>
      </c>
      <c r="D5184">
        <f>IF(B5184="","",HOUR(A5184))</f>
        <v/>
      </c>
    </row>
    <row r="5185">
      <c r="A5185">
        <f>Input!A5185</f>
        <v/>
      </c>
      <c r="B5185">
        <f>IF(ISNUMBER(Input!B5185),IF(AND(Input!B5185&gt;=20,Input!B5185&lt;=700),Input!B5185,""),"")</f>
        <v/>
      </c>
      <c r="C5185">
        <f>IF(B5185="","",INT(A5185))</f>
        <v/>
      </c>
      <c r="D5185">
        <f>IF(B5185="","",HOUR(A5185))</f>
        <v/>
      </c>
    </row>
    <row r="5186">
      <c r="A5186">
        <f>Input!A5186</f>
        <v/>
      </c>
      <c r="B5186">
        <f>IF(ISNUMBER(Input!B5186),IF(AND(Input!B5186&gt;=20,Input!B5186&lt;=700),Input!B5186,""),"")</f>
        <v/>
      </c>
      <c r="C5186">
        <f>IF(B5186="","",INT(A5186))</f>
        <v/>
      </c>
      <c r="D5186">
        <f>IF(B5186="","",HOUR(A5186))</f>
        <v/>
      </c>
    </row>
    <row r="5187">
      <c r="A5187">
        <f>Input!A5187</f>
        <v/>
      </c>
      <c r="B5187">
        <f>IF(ISNUMBER(Input!B5187),IF(AND(Input!B5187&gt;=20,Input!B5187&lt;=700),Input!B5187,""),"")</f>
        <v/>
      </c>
      <c r="C5187">
        <f>IF(B5187="","",INT(A5187))</f>
        <v/>
      </c>
      <c r="D5187">
        <f>IF(B5187="","",HOUR(A5187))</f>
        <v/>
      </c>
    </row>
    <row r="5188">
      <c r="A5188">
        <f>Input!A5188</f>
        <v/>
      </c>
      <c r="B5188">
        <f>IF(ISNUMBER(Input!B5188),IF(AND(Input!B5188&gt;=20,Input!B5188&lt;=700),Input!B5188,""),"")</f>
        <v/>
      </c>
      <c r="C5188">
        <f>IF(B5188="","",INT(A5188))</f>
        <v/>
      </c>
      <c r="D5188">
        <f>IF(B5188="","",HOUR(A5188))</f>
        <v/>
      </c>
    </row>
    <row r="5189">
      <c r="A5189">
        <f>Input!A5189</f>
        <v/>
      </c>
      <c r="B5189">
        <f>IF(ISNUMBER(Input!B5189),IF(AND(Input!B5189&gt;=20,Input!B5189&lt;=700),Input!B5189,""),"")</f>
        <v/>
      </c>
      <c r="C5189">
        <f>IF(B5189="","",INT(A5189))</f>
        <v/>
      </c>
      <c r="D5189">
        <f>IF(B5189="","",HOUR(A5189))</f>
        <v/>
      </c>
    </row>
    <row r="5190">
      <c r="A5190">
        <f>Input!A5190</f>
        <v/>
      </c>
      <c r="B5190">
        <f>IF(ISNUMBER(Input!B5190),IF(AND(Input!B5190&gt;=20,Input!B5190&lt;=700),Input!B5190,""),"")</f>
        <v/>
      </c>
      <c r="C5190">
        <f>IF(B5190="","",INT(A5190))</f>
        <v/>
      </c>
      <c r="D5190">
        <f>IF(B5190="","",HOUR(A5190))</f>
        <v/>
      </c>
    </row>
    <row r="5191">
      <c r="A5191">
        <f>Input!A5191</f>
        <v/>
      </c>
      <c r="B5191">
        <f>IF(ISNUMBER(Input!B5191),IF(AND(Input!B5191&gt;=20,Input!B5191&lt;=700),Input!B5191,""),"")</f>
        <v/>
      </c>
      <c r="C5191">
        <f>IF(B5191="","",INT(A5191))</f>
        <v/>
      </c>
      <c r="D5191">
        <f>IF(B5191="","",HOUR(A5191))</f>
        <v/>
      </c>
    </row>
    <row r="5192">
      <c r="A5192">
        <f>Input!A5192</f>
        <v/>
      </c>
      <c r="B5192">
        <f>IF(ISNUMBER(Input!B5192),IF(AND(Input!B5192&gt;=20,Input!B5192&lt;=700),Input!B5192,""),"")</f>
        <v/>
      </c>
      <c r="C5192">
        <f>IF(B5192="","",INT(A5192))</f>
        <v/>
      </c>
      <c r="D5192">
        <f>IF(B5192="","",HOUR(A5192))</f>
        <v/>
      </c>
    </row>
    <row r="5193">
      <c r="A5193">
        <f>Input!A5193</f>
        <v/>
      </c>
      <c r="B5193">
        <f>IF(ISNUMBER(Input!B5193),IF(AND(Input!B5193&gt;=20,Input!B5193&lt;=700),Input!B5193,""),"")</f>
        <v/>
      </c>
      <c r="C5193">
        <f>IF(B5193="","",INT(A5193))</f>
        <v/>
      </c>
      <c r="D5193">
        <f>IF(B5193="","",HOUR(A5193))</f>
        <v/>
      </c>
    </row>
    <row r="5194">
      <c r="A5194">
        <f>Input!A5194</f>
        <v/>
      </c>
      <c r="B5194">
        <f>IF(ISNUMBER(Input!B5194),IF(AND(Input!B5194&gt;=20,Input!B5194&lt;=700),Input!B5194,""),"")</f>
        <v/>
      </c>
      <c r="C5194">
        <f>IF(B5194="","",INT(A5194))</f>
        <v/>
      </c>
      <c r="D5194">
        <f>IF(B5194="","",HOUR(A5194))</f>
        <v/>
      </c>
    </row>
    <row r="5195">
      <c r="A5195">
        <f>Input!A5195</f>
        <v/>
      </c>
      <c r="B5195">
        <f>IF(ISNUMBER(Input!B5195),IF(AND(Input!B5195&gt;=20,Input!B5195&lt;=700),Input!B5195,""),"")</f>
        <v/>
      </c>
      <c r="C5195">
        <f>IF(B5195="","",INT(A5195))</f>
        <v/>
      </c>
      <c r="D5195">
        <f>IF(B5195="","",HOUR(A5195))</f>
        <v/>
      </c>
    </row>
    <row r="5196">
      <c r="A5196">
        <f>Input!A5196</f>
        <v/>
      </c>
      <c r="B5196">
        <f>IF(ISNUMBER(Input!B5196),IF(AND(Input!B5196&gt;=20,Input!B5196&lt;=700),Input!B5196,""),"")</f>
        <v/>
      </c>
      <c r="C5196">
        <f>IF(B5196="","",INT(A5196))</f>
        <v/>
      </c>
      <c r="D5196">
        <f>IF(B5196="","",HOUR(A5196))</f>
        <v/>
      </c>
    </row>
    <row r="5197">
      <c r="A5197">
        <f>Input!A5197</f>
        <v/>
      </c>
      <c r="B5197">
        <f>IF(ISNUMBER(Input!B5197),IF(AND(Input!B5197&gt;=20,Input!B5197&lt;=700),Input!B5197,""),"")</f>
        <v/>
      </c>
      <c r="C5197">
        <f>IF(B5197="","",INT(A5197))</f>
        <v/>
      </c>
      <c r="D5197">
        <f>IF(B5197="","",HOUR(A5197))</f>
        <v/>
      </c>
    </row>
    <row r="5198">
      <c r="A5198">
        <f>Input!A5198</f>
        <v/>
      </c>
      <c r="B5198">
        <f>IF(ISNUMBER(Input!B5198),IF(AND(Input!B5198&gt;=20,Input!B5198&lt;=700),Input!B5198,""),"")</f>
        <v/>
      </c>
      <c r="C5198">
        <f>IF(B5198="","",INT(A5198))</f>
        <v/>
      </c>
      <c r="D5198">
        <f>IF(B5198="","",HOUR(A5198))</f>
        <v/>
      </c>
    </row>
    <row r="5199">
      <c r="A5199">
        <f>Input!A5199</f>
        <v/>
      </c>
      <c r="B5199">
        <f>IF(ISNUMBER(Input!B5199),IF(AND(Input!B5199&gt;=20,Input!B5199&lt;=700),Input!B5199,""),"")</f>
        <v/>
      </c>
      <c r="C5199">
        <f>IF(B5199="","",INT(A5199))</f>
        <v/>
      </c>
      <c r="D5199">
        <f>IF(B5199="","",HOUR(A5199))</f>
        <v/>
      </c>
    </row>
    <row r="5200">
      <c r="A5200">
        <f>Input!A5200</f>
        <v/>
      </c>
      <c r="B5200">
        <f>IF(ISNUMBER(Input!B5200),IF(AND(Input!B5200&gt;=20,Input!B5200&lt;=700),Input!B5200,""),"")</f>
        <v/>
      </c>
      <c r="C5200">
        <f>IF(B5200="","",INT(A5200))</f>
        <v/>
      </c>
      <c r="D5200">
        <f>IF(B5200="","",HOUR(A5200))</f>
        <v/>
      </c>
    </row>
    <row r="5201">
      <c r="A5201">
        <f>Input!A5201</f>
        <v/>
      </c>
      <c r="B5201">
        <f>IF(ISNUMBER(Input!B5201),IF(AND(Input!B5201&gt;=20,Input!B5201&lt;=700),Input!B5201,""),"")</f>
        <v/>
      </c>
      <c r="C5201">
        <f>IF(B5201="","",INT(A5201))</f>
        <v/>
      </c>
      <c r="D5201">
        <f>IF(B5201="","",HOUR(A5201))</f>
        <v/>
      </c>
    </row>
    <row r="5202">
      <c r="A5202">
        <f>Input!A5202</f>
        <v/>
      </c>
      <c r="B5202">
        <f>IF(ISNUMBER(Input!B5202),IF(AND(Input!B5202&gt;=20,Input!B5202&lt;=700),Input!B5202,""),"")</f>
        <v/>
      </c>
      <c r="C5202">
        <f>IF(B5202="","",INT(A5202))</f>
        <v/>
      </c>
      <c r="D5202">
        <f>IF(B5202="","",HOUR(A5202))</f>
        <v/>
      </c>
    </row>
    <row r="5203">
      <c r="A5203">
        <f>Input!A5203</f>
        <v/>
      </c>
      <c r="B5203">
        <f>IF(ISNUMBER(Input!B5203),IF(AND(Input!B5203&gt;=20,Input!B5203&lt;=700),Input!B5203,""),"")</f>
        <v/>
      </c>
      <c r="C5203">
        <f>IF(B5203="","",INT(A5203))</f>
        <v/>
      </c>
      <c r="D5203">
        <f>IF(B5203="","",HOUR(A5203))</f>
        <v/>
      </c>
    </row>
    <row r="5204">
      <c r="A5204">
        <f>Input!A5204</f>
        <v/>
      </c>
      <c r="B5204">
        <f>IF(ISNUMBER(Input!B5204),IF(AND(Input!B5204&gt;=20,Input!B5204&lt;=700),Input!B5204,""),"")</f>
        <v/>
      </c>
      <c r="C5204">
        <f>IF(B5204="","",INT(A5204))</f>
        <v/>
      </c>
      <c r="D5204">
        <f>IF(B5204="","",HOUR(A5204))</f>
        <v/>
      </c>
    </row>
    <row r="5205">
      <c r="A5205">
        <f>Input!A5205</f>
        <v/>
      </c>
      <c r="B5205">
        <f>IF(ISNUMBER(Input!B5205),IF(AND(Input!B5205&gt;=20,Input!B5205&lt;=700),Input!B5205,""),"")</f>
        <v/>
      </c>
      <c r="C5205">
        <f>IF(B5205="","",INT(A5205))</f>
        <v/>
      </c>
      <c r="D5205">
        <f>IF(B5205="","",HOUR(A5205))</f>
        <v/>
      </c>
    </row>
    <row r="5206">
      <c r="A5206">
        <f>Input!A5206</f>
        <v/>
      </c>
      <c r="B5206">
        <f>IF(ISNUMBER(Input!B5206),IF(AND(Input!B5206&gt;=20,Input!B5206&lt;=700),Input!B5206,""),"")</f>
        <v/>
      </c>
      <c r="C5206">
        <f>IF(B5206="","",INT(A5206))</f>
        <v/>
      </c>
      <c r="D5206">
        <f>IF(B5206="","",HOUR(A5206))</f>
        <v/>
      </c>
    </row>
    <row r="5207">
      <c r="A5207">
        <f>Input!A5207</f>
        <v/>
      </c>
      <c r="B5207">
        <f>IF(ISNUMBER(Input!B5207),IF(AND(Input!B5207&gt;=20,Input!B5207&lt;=700),Input!B5207,""),"")</f>
        <v/>
      </c>
      <c r="C5207">
        <f>IF(B5207="","",INT(A5207))</f>
        <v/>
      </c>
      <c r="D5207">
        <f>IF(B5207="","",HOUR(A5207))</f>
        <v/>
      </c>
    </row>
    <row r="5208">
      <c r="A5208">
        <f>Input!A5208</f>
        <v/>
      </c>
      <c r="B5208">
        <f>IF(ISNUMBER(Input!B5208),IF(AND(Input!B5208&gt;=20,Input!B5208&lt;=700),Input!B5208,""),"")</f>
        <v/>
      </c>
      <c r="C5208">
        <f>IF(B5208="","",INT(A5208))</f>
        <v/>
      </c>
      <c r="D5208">
        <f>IF(B5208="","",HOUR(A5208))</f>
        <v/>
      </c>
    </row>
    <row r="5209">
      <c r="A5209">
        <f>Input!A5209</f>
        <v/>
      </c>
      <c r="B5209">
        <f>IF(ISNUMBER(Input!B5209),IF(AND(Input!B5209&gt;=20,Input!B5209&lt;=700),Input!B5209,""),"")</f>
        <v/>
      </c>
      <c r="C5209">
        <f>IF(B5209="","",INT(A5209))</f>
        <v/>
      </c>
      <c r="D5209">
        <f>IF(B5209="","",HOUR(A5209))</f>
        <v/>
      </c>
    </row>
    <row r="5210">
      <c r="A5210">
        <f>Input!A5210</f>
        <v/>
      </c>
      <c r="B5210">
        <f>IF(ISNUMBER(Input!B5210),IF(AND(Input!B5210&gt;=20,Input!B5210&lt;=700),Input!B5210,""),"")</f>
        <v/>
      </c>
      <c r="C5210">
        <f>IF(B5210="","",INT(A5210))</f>
        <v/>
      </c>
      <c r="D5210">
        <f>IF(B5210="","",HOUR(A5210))</f>
        <v/>
      </c>
    </row>
    <row r="5211">
      <c r="A5211">
        <f>Input!A5211</f>
        <v/>
      </c>
      <c r="B5211">
        <f>IF(ISNUMBER(Input!B5211),IF(AND(Input!B5211&gt;=20,Input!B5211&lt;=700),Input!B5211,""),"")</f>
        <v/>
      </c>
      <c r="C5211">
        <f>IF(B5211="","",INT(A5211))</f>
        <v/>
      </c>
      <c r="D5211">
        <f>IF(B5211="","",HOUR(A5211))</f>
        <v/>
      </c>
    </row>
    <row r="5212">
      <c r="A5212">
        <f>Input!A5212</f>
        <v/>
      </c>
      <c r="B5212">
        <f>IF(ISNUMBER(Input!B5212),IF(AND(Input!B5212&gt;=20,Input!B5212&lt;=700),Input!B5212,""),"")</f>
        <v/>
      </c>
      <c r="C5212">
        <f>IF(B5212="","",INT(A5212))</f>
        <v/>
      </c>
      <c r="D5212">
        <f>IF(B5212="","",HOUR(A5212))</f>
        <v/>
      </c>
    </row>
    <row r="5213">
      <c r="A5213">
        <f>Input!A5213</f>
        <v/>
      </c>
      <c r="B5213">
        <f>IF(ISNUMBER(Input!B5213),IF(AND(Input!B5213&gt;=20,Input!B5213&lt;=700),Input!B5213,""),"")</f>
        <v/>
      </c>
      <c r="C5213">
        <f>IF(B5213="","",INT(A5213))</f>
        <v/>
      </c>
      <c r="D5213">
        <f>IF(B5213="","",HOUR(A5213))</f>
        <v/>
      </c>
    </row>
    <row r="5214">
      <c r="A5214">
        <f>Input!A5214</f>
        <v/>
      </c>
      <c r="B5214">
        <f>IF(ISNUMBER(Input!B5214),IF(AND(Input!B5214&gt;=20,Input!B5214&lt;=700),Input!B5214,""),"")</f>
        <v/>
      </c>
      <c r="C5214">
        <f>IF(B5214="","",INT(A5214))</f>
        <v/>
      </c>
      <c r="D5214">
        <f>IF(B5214="","",HOUR(A5214))</f>
        <v/>
      </c>
    </row>
    <row r="5215">
      <c r="A5215">
        <f>Input!A5215</f>
        <v/>
      </c>
      <c r="B5215">
        <f>IF(ISNUMBER(Input!B5215),IF(AND(Input!B5215&gt;=20,Input!B5215&lt;=700),Input!B5215,""),"")</f>
        <v/>
      </c>
      <c r="C5215">
        <f>IF(B5215="","",INT(A5215))</f>
        <v/>
      </c>
      <c r="D5215">
        <f>IF(B5215="","",HOUR(A5215))</f>
        <v/>
      </c>
    </row>
    <row r="5216">
      <c r="A5216">
        <f>Input!A5216</f>
        <v/>
      </c>
      <c r="B5216">
        <f>IF(ISNUMBER(Input!B5216),IF(AND(Input!B5216&gt;=20,Input!B5216&lt;=700),Input!B5216,""),"")</f>
        <v/>
      </c>
      <c r="C5216">
        <f>IF(B5216="","",INT(A5216))</f>
        <v/>
      </c>
      <c r="D5216">
        <f>IF(B5216="","",HOUR(A5216))</f>
        <v/>
      </c>
    </row>
    <row r="5217">
      <c r="A5217">
        <f>Input!A5217</f>
        <v/>
      </c>
      <c r="B5217">
        <f>IF(ISNUMBER(Input!B5217),IF(AND(Input!B5217&gt;=20,Input!B5217&lt;=700),Input!B5217,""),"")</f>
        <v/>
      </c>
      <c r="C5217">
        <f>IF(B5217="","",INT(A5217))</f>
        <v/>
      </c>
      <c r="D5217">
        <f>IF(B5217="","",HOUR(A5217))</f>
        <v/>
      </c>
    </row>
    <row r="5218">
      <c r="A5218">
        <f>Input!A5218</f>
        <v/>
      </c>
      <c r="B5218">
        <f>IF(ISNUMBER(Input!B5218),IF(AND(Input!B5218&gt;=20,Input!B5218&lt;=700),Input!B5218,""),"")</f>
        <v/>
      </c>
      <c r="C5218">
        <f>IF(B5218="","",INT(A5218))</f>
        <v/>
      </c>
      <c r="D5218">
        <f>IF(B5218="","",HOUR(A5218))</f>
        <v/>
      </c>
    </row>
    <row r="5219">
      <c r="A5219">
        <f>Input!A5219</f>
        <v/>
      </c>
      <c r="B5219">
        <f>IF(ISNUMBER(Input!B5219),IF(AND(Input!B5219&gt;=20,Input!B5219&lt;=700),Input!B5219,""),"")</f>
        <v/>
      </c>
      <c r="C5219">
        <f>IF(B5219="","",INT(A5219))</f>
        <v/>
      </c>
      <c r="D5219">
        <f>IF(B5219="","",HOUR(A5219))</f>
        <v/>
      </c>
    </row>
    <row r="5220">
      <c r="A5220">
        <f>Input!A5220</f>
        <v/>
      </c>
      <c r="B5220">
        <f>IF(ISNUMBER(Input!B5220),IF(AND(Input!B5220&gt;=20,Input!B5220&lt;=700),Input!B5220,""),"")</f>
        <v/>
      </c>
      <c r="C5220">
        <f>IF(B5220="","",INT(A5220))</f>
        <v/>
      </c>
      <c r="D5220">
        <f>IF(B5220="","",HOUR(A5220))</f>
        <v/>
      </c>
    </row>
    <row r="5221">
      <c r="A5221">
        <f>Input!A5221</f>
        <v/>
      </c>
      <c r="B5221">
        <f>IF(ISNUMBER(Input!B5221),IF(AND(Input!B5221&gt;=20,Input!B5221&lt;=700),Input!B5221,""),"")</f>
        <v/>
      </c>
      <c r="C5221">
        <f>IF(B5221="","",INT(A5221))</f>
        <v/>
      </c>
      <c r="D5221">
        <f>IF(B5221="","",HOUR(A5221))</f>
        <v/>
      </c>
    </row>
    <row r="5222">
      <c r="A5222">
        <f>Input!A5222</f>
        <v/>
      </c>
      <c r="B5222">
        <f>IF(ISNUMBER(Input!B5222),IF(AND(Input!B5222&gt;=20,Input!B5222&lt;=700),Input!B5222,""),"")</f>
        <v/>
      </c>
      <c r="C5222">
        <f>IF(B5222="","",INT(A5222))</f>
        <v/>
      </c>
      <c r="D5222">
        <f>IF(B5222="","",HOUR(A5222))</f>
        <v/>
      </c>
    </row>
    <row r="5223">
      <c r="A5223">
        <f>Input!A5223</f>
        <v/>
      </c>
      <c r="B5223">
        <f>IF(ISNUMBER(Input!B5223),IF(AND(Input!B5223&gt;=20,Input!B5223&lt;=700),Input!B5223,""),"")</f>
        <v/>
      </c>
      <c r="C5223">
        <f>IF(B5223="","",INT(A5223))</f>
        <v/>
      </c>
      <c r="D5223">
        <f>IF(B5223="","",HOUR(A5223))</f>
        <v/>
      </c>
    </row>
    <row r="5224">
      <c r="A5224">
        <f>Input!A5224</f>
        <v/>
      </c>
      <c r="B5224">
        <f>IF(ISNUMBER(Input!B5224),IF(AND(Input!B5224&gt;=20,Input!B5224&lt;=700),Input!B5224,""),"")</f>
        <v/>
      </c>
      <c r="C5224">
        <f>IF(B5224="","",INT(A5224))</f>
        <v/>
      </c>
      <c r="D5224">
        <f>IF(B5224="","",HOUR(A5224))</f>
        <v/>
      </c>
    </row>
    <row r="5225">
      <c r="A5225">
        <f>Input!A5225</f>
        <v/>
      </c>
      <c r="B5225">
        <f>IF(ISNUMBER(Input!B5225),IF(AND(Input!B5225&gt;=20,Input!B5225&lt;=700),Input!B5225,""),"")</f>
        <v/>
      </c>
      <c r="C5225">
        <f>IF(B5225="","",INT(A5225))</f>
        <v/>
      </c>
      <c r="D5225">
        <f>IF(B5225="","",HOUR(A5225))</f>
        <v/>
      </c>
    </row>
    <row r="5226">
      <c r="A5226">
        <f>Input!A5226</f>
        <v/>
      </c>
      <c r="B5226">
        <f>IF(ISNUMBER(Input!B5226),IF(AND(Input!B5226&gt;=20,Input!B5226&lt;=700),Input!B5226,""),"")</f>
        <v/>
      </c>
      <c r="C5226">
        <f>IF(B5226="","",INT(A5226))</f>
        <v/>
      </c>
      <c r="D5226">
        <f>IF(B5226="","",HOUR(A5226))</f>
        <v/>
      </c>
    </row>
    <row r="5227">
      <c r="A5227">
        <f>Input!A5227</f>
        <v/>
      </c>
      <c r="B5227">
        <f>IF(ISNUMBER(Input!B5227),IF(AND(Input!B5227&gt;=20,Input!B5227&lt;=700),Input!B5227,""),"")</f>
        <v/>
      </c>
      <c r="C5227">
        <f>IF(B5227="","",INT(A5227))</f>
        <v/>
      </c>
      <c r="D5227">
        <f>IF(B5227="","",HOUR(A5227))</f>
        <v/>
      </c>
    </row>
    <row r="5228">
      <c r="A5228">
        <f>Input!A5228</f>
        <v/>
      </c>
      <c r="B5228">
        <f>IF(ISNUMBER(Input!B5228),IF(AND(Input!B5228&gt;=20,Input!B5228&lt;=700),Input!B5228,""),"")</f>
        <v/>
      </c>
      <c r="C5228">
        <f>IF(B5228="","",INT(A5228))</f>
        <v/>
      </c>
      <c r="D5228">
        <f>IF(B5228="","",HOUR(A5228))</f>
        <v/>
      </c>
    </row>
    <row r="5229">
      <c r="A5229">
        <f>Input!A5229</f>
        <v/>
      </c>
      <c r="B5229">
        <f>IF(ISNUMBER(Input!B5229),IF(AND(Input!B5229&gt;=20,Input!B5229&lt;=700),Input!B5229,""),"")</f>
        <v/>
      </c>
      <c r="C5229">
        <f>IF(B5229="","",INT(A5229))</f>
        <v/>
      </c>
      <c r="D5229">
        <f>IF(B5229="","",HOUR(A5229))</f>
        <v/>
      </c>
    </row>
    <row r="5230">
      <c r="A5230">
        <f>Input!A5230</f>
        <v/>
      </c>
      <c r="B5230">
        <f>IF(ISNUMBER(Input!B5230),IF(AND(Input!B5230&gt;=20,Input!B5230&lt;=700),Input!B5230,""),"")</f>
        <v/>
      </c>
      <c r="C5230">
        <f>IF(B5230="","",INT(A5230))</f>
        <v/>
      </c>
      <c r="D5230">
        <f>IF(B5230="","",HOUR(A5230))</f>
        <v/>
      </c>
    </row>
    <row r="5231">
      <c r="A5231">
        <f>Input!A5231</f>
        <v/>
      </c>
      <c r="B5231">
        <f>IF(ISNUMBER(Input!B5231),IF(AND(Input!B5231&gt;=20,Input!B5231&lt;=700),Input!B5231,""),"")</f>
        <v/>
      </c>
      <c r="C5231">
        <f>IF(B5231="","",INT(A5231))</f>
        <v/>
      </c>
      <c r="D5231">
        <f>IF(B5231="","",HOUR(A5231))</f>
        <v/>
      </c>
    </row>
    <row r="5232">
      <c r="A5232">
        <f>Input!A5232</f>
        <v/>
      </c>
      <c r="B5232">
        <f>IF(ISNUMBER(Input!B5232),IF(AND(Input!B5232&gt;=20,Input!B5232&lt;=700),Input!B5232,""),"")</f>
        <v/>
      </c>
      <c r="C5232">
        <f>IF(B5232="","",INT(A5232))</f>
        <v/>
      </c>
      <c r="D5232">
        <f>IF(B5232="","",HOUR(A5232))</f>
        <v/>
      </c>
    </row>
    <row r="5233">
      <c r="A5233">
        <f>Input!A5233</f>
        <v/>
      </c>
      <c r="B5233">
        <f>IF(ISNUMBER(Input!B5233),IF(AND(Input!B5233&gt;=20,Input!B5233&lt;=700),Input!B5233,""),"")</f>
        <v/>
      </c>
      <c r="C5233">
        <f>IF(B5233="","",INT(A5233))</f>
        <v/>
      </c>
      <c r="D5233">
        <f>IF(B5233="","",HOUR(A5233))</f>
        <v/>
      </c>
    </row>
    <row r="5234">
      <c r="A5234">
        <f>Input!A5234</f>
        <v/>
      </c>
      <c r="B5234">
        <f>IF(ISNUMBER(Input!B5234),IF(AND(Input!B5234&gt;=20,Input!B5234&lt;=700),Input!B5234,""),"")</f>
        <v/>
      </c>
      <c r="C5234">
        <f>IF(B5234="","",INT(A5234))</f>
        <v/>
      </c>
      <c r="D5234">
        <f>IF(B5234="","",HOUR(A5234))</f>
        <v/>
      </c>
    </row>
    <row r="5235">
      <c r="A5235">
        <f>Input!A5235</f>
        <v/>
      </c>
      <c r="B5235">
        <f>IF(ISNUMBER(Input!B5235),IF(AND(Input!B5235&gt;=20,Input!B5235&lt;=700),Input!B5235,""),"")</f>
        <v/>
      </c>
      <c r="C5235">
        <f>IF(B5235="","",INT(A5235))</f>
        <v/>
      </c>
      <c r="D5235">
        <f>IF(B5235="","",HOUR(A5235))</f>
        <v/>
      </c>
    </row>
    <row r="5236">
      <c r="A5236">
        <f>Input!A5236</f>
        <v/>
      </c>
      <c r="B5236">
        <f>IF(ISNUMBER(Input!B5236),IF(AND(Input!B5236&gt;=20,Input!B5236&lt;=700),Input!B5236,""),"")</f>
        <v/>
      </c>
      <c r="C5236">
        <f>IF(B5236="","",INT(A5236))</f>
        <v/>
      </c>
      <c r="D5236">
        <f>IF(B5236="","",HOUR(A5236))</f>
        <v/>
      </c>
    </row>
    <row r="5237">
      <c r="A5237">
        <f>Input!A5237</f>
        <v/>
      </c>
      <c r="B5237">
        <f>IF(ISNUMBER(Input!B5237),IF(AND(Input!B5237&gt;=20,Input!B5237&lt;=700),Input!B5237,""),"")</f>
        <v/>
      </c>
      <c r="C5237">
        <f>IF(B5237="","",INT(A5237))</f>
        <v/>
      </c>
      <c r="D5237">
        <f>IF(B5237="","",HOUR(A5237))</f>
        <v/>
      </c>
    </row>
    <row r="5238">
      <c r="A5238">
        <f>Input!A5238</f>
        <v/>
      </c>
      <c r="B5238">
        <f>IF(ISNUMBER(Input!B5238),IF(AND(Input!B5238&gt;=20,Input!B5238&lt;=700),Input!B5238,""),"")</f>
        <v/>
      </c>
      <c r="C5238">
        <f>IF(B5238="","",INT(A5238))</f>
        <v/>
      </c>
      <c r="D5238">
        <f>IF(B5238="","",HOUR(A5238))</f>
        <v/>
      </c>
    </row>
    <row r="5239">
      <c r="A5239">
        <f>Input!A5239</f>
        <v/>
      </c>
      <c r="B5239">
        <f>IF(ISNUMBER(Input!B5239),IF(AND(Input!B5239&gt;=20,Input!B5239&lt;=700),Input!B5239,""),"")</f>
        <v/>
      </c>
      <c r="C5239">
        <f>IF(B5239="","",INT(A5239))</f>
        <v/>
      </c>
      <c r="D5239">
        <f>IF(B5239="","",HOUR(A5239))</f>
        <v/>
      </c>
    </row>
    <row r="5240">
      <c r="A5240">
        <f>Input!A5240</f>
        <v/>
      </c>
      <c r="B5240">
        <f>IF(ISNUMBER(Input!B5240),IF(AND(Input!B5240&gt;=20,Input!B5240&lt;=700),Input!B5240,""),"")</f>
        <v/>
      </c>
      <c r="C5240">
        <f>IF(B5240="","",INT(A5240))</f>
        <v/>
      </c>
      <c r="D5240">
        <f>IF(B5240="","",HOUR(A5240))</f>
        <v/>
      </c>
    </row>
    <row r="5241">
      <c r="A5241">
        <f>Input!A5241</f>
        <v/>
      </c>
      <c r="B5241">
        <f>IF(ISNUMBER(Input!B5241),IF(AND(Input!B5241&gt;=20,Input!B5241&lt;=700),Input!B5241,""),"")</f>
        <v/>
      </c>
      <c r="C5241">
        <f>IF(B5241="","",INT(A5241))</f>
        <v/>
      </c>
      <c r="D5241">
        <f>IF(B5241="","",HOUR(A5241))</f>
        <v/>
      </c>
    </row>
    <row r="5242">
      <c r="A5242">
        <f>Input!A5242</f>
        <v/>
      </c>
      <c r="B5242">
        <f>IF(ISNUMBER(Input!B5242),IF(AND(Input!B5242&gt;=20,Input!B5242&lt;=700),Input!B5242,""),"")</f>
        <v/>
      </c>
      <c r="C5242">
        <f>IF(B5242="","",INT(A5242))</f>
        <v/>
      </c>
      <c r="D5242">
        <f>IF(B5242="","",HOUR(A5242))</f>
        <v/>
      </c>
    </row>
    <row r="5243">
      <c r="A5243">
        <f>Input!A5243</f>
        <v/>
      </c>
      <c r="B5243">
        <f>IF(ISNUMBER(Input!B5243),IF(AND(Input!B5243&gt;=20,Input!B5243&lt;=700),Input!B5243,""),"")</f>
        <v/>
      </c>
      <c r="C5243">
        <f>IF(B5243="","",INT(A5243))</f>
        <v/>
      </c>
      <c r="D5243">
        <f>IF(B5243="","",HOUR(A5243))</f>
        <v/>
      </c>
    </row>
    <row r="5244">
      <c r="A5244">
        <f>Input!A5244</f>
        <v/>
      </c>
      <c r="B5244">
        <f>IF(ISNUMBER(Input!B5244),IF(AND(Input!B5244&gt;=20,Input!B5244&lt;=700),Input!B5244,""),"")</f>
        <v/>
      </c>
      <c r="C5244">
        <f>IF(B5244="","",INT(A5244))</f>
        <v/>
      </c>
      <c r="D5244">
        <f>IF(B5244="","",HOUR(A5244))</f>
        <v/>
      </c>
    </row>
    <row r="5245">
      <c r="A5245">
        <f>Input!A5245</f>
        <v/>
      </c>
      <c r="B5245">
        <f>IF(ISNUMBER(Input!B5245),IF(AND(Input!B5245&gt;=20,Input!B5245&lt;=700),Input!B5245,""),"")</f>
        <v/>
      </c>
      <c r="C5245">
        <f>IF(B5245="","",INT(A5245))</f>
        <v/>
      </c>
      <c r="D5245">
        <f>IF(B5245="","",HOUR(A5245))</f>
        <v/>
      </c>
    </row>
    <row r="5246">
      <c r="A5246">
        <f>Input!A5246</f>
        <v/>
      </c>
      <c r="B5246">
        <f>IF(ISNUMBER(Input!B5246),IF(AND(Input!B5246&gt;=20,Input!B5246&lt;=700),Input!B5246,""),"")</f>
        <v/>
      </c>
      <c r="C5246">
        <f>IF(B5246="","",INT(A5246))</f>
        <v/>
      </c>
      <c r="D5246">
        <f>IF(B5246="","",HOUR(A5246))</f>
        <v/>
      </c>
    </row>
    <row r="5247">
      <c r="A5247">
        <f>Input!A5247</f>
        <v/>
      </c>
      <c r="B5247">
        <f>IF(ISNUMBER(Input!B5247),IF(AND(Input!B5247&gt;=20,Input!B5247&lt;=700),Input!B5247,""),"")</f>
        <v/>
      </c>
      <c r="C5247">
        <f>IF(B5247="","",INT(A5247))</f>
        <v/>
      </c>
      <c r="D5247">
        <f>IF(B5247="","",HOUR(A5247))</f>
        <v/>
      </c>
    </row>
    <row r="5248">
      <c r="A5248">
        <f>Input!A5248</f>
        <v/>
      </c>
      <c r="B5248">
        <f>IF(ISNUMBER(Input!B5248),IF(AND(Input!B5248&gt;=20,Input!B5248&lt;=700),Input!B5248,""),"")</f>
        <v/>
      </c>
      <c r="C5248">
        <f>IF(B5248="","",INT(A5248))</f>
        <v/>
      </c>
      <c r="D5248">
        <f>IF(B5248="","",HOUR(A5248))</f>
        <v/>
      </c>
    </row>
    <row r="5249">
      <c r="A5249">
        <f>Input!A5249</f>
        <v/>
      </c>
      <c r="B5249">
        <f>IF(ISNUMBER(Input!B5249),IF(AND(Input!B5249&gt;=20,Input!B5249&lt;=700),Input!B5249,""),"")</f>
        <v/>
      </c>
      <c r="C5249">
        <f>IF(B5249="","",INT(A5249))</f>
        <v/>
      </c>
      <c r="D5249">
        <f>IF(B5249="","",HOUR(A5249))</f>
        <v/>
      </c>
    </row>
    <row r="5250">
      <c r="A5250">
        <f>Input!A5250</f>
        <v/>
      </c>
      <c r="B5250">
        <f>IF(ISNUMBER(Input!B5250),IF(AND(Input!B5250&gt;=20,Input!B5250&lt;=700),Input!B5250,""),"")</f>
        <v/>
      </c>
      <c r="C5250">
        <f>IF(B5250="","",INT(A5250))</f>
        <v/>
      </c>
      <c r="D5250">
        <f>IF(B5250="","",HOUR(A5250))</f>
        <v/>
      </c>
    </row>
    <row r="5251">
      <c r="A5251">
        <f>Input!A5251</f>
        <v/>
      </c>
      <c r="B5251">
        <f>IF(ISNUMBER(Input!B5251),IF(AND(Input!B5251&gt;=20,Input!B5251&lt;=700),Input!B5251,""),"")</f>
        <v/>
      </c>
      <c r="C5251">
        <f>IF(B5251="","",INT(A5251))</f>
        <v/>
      </c>
      <c r="D5251">
        <f>IF(B5251="","",HOUR(A5251))</f>
        <v/>
      </c>
    </row>
    <row r="5252">
      <c r="A5252">
        <f>Input!A5252</f>
        <v/>
      </c>
      <c r="B5252">
        <f>IF(ISNUMBER(Input!B5252),IF(AND(Input!B5252&gt;=20,Input!B5252&lt;=700),Input!B5252,""),"")</f>
        <v/>
      </c>
      <c r="C5252">
        <f>IF(B5252="","",INT(A5252))</f>
        <v/>
      </c>
      <c r="D5252">
        <f>IF(B5252="","",HOUR(A5252))</f>
        <v/>
      </c>
    </row>
    <row r="5253">
      <c r="A5253">
        <f>Input!A5253</f>
        <v/>
      </c>
      <c r="B5253">
        <f>IF(ISNUMBER(Input!B5253),IF(AND(Input!B5253&gt;=20,Input!B5253&lt;=700),Input!B5253,""),"")</f>
        <v/>
      </c>
      <c r="C5253">
        <f>IF(B5253="","",INT(A5253))</f>
        <v/>
      </c>
      <c r="D5253">
        <f>IF(B5253="","",HOUR(A5253))</f>
        <v/>
      </c>
    </row>
    <row r="5254">
      <c r="A5254">
        <f>Input!A5254</f>
        <v/>
      </c>
      <c r="B5254">
        <f>IF(ISNUMBER(Input!B5254),IF(AND(Input!B5254&gt;=20,Input!B5254&lt;=700),Input!B5254,""),"")</f>
        <v/>
      </c>
      <c r="C5254">
        <f>IF(B5254="","",INT(A5254))</f>
        <v/>
      </c>
      <c r="D5254">
        <f>IF(B5254="","",HOUR(A5254))</f>
        <v/>
      </c>
    </row>
    <row r="5255">
      <c r="A5255">
        <f>Input!A5255</f>
        <v/>
      </c>
      <c r="B5255">
        <f>IF(ISNUMBER(Input!B5255),IF(AND(Input!B5255&gt;=20,Input!B5255&lt;=700),Input!B5255,""),"")</f>
        <v/>
      </c>
      <c r="C5255">
        <f>IF(B5255="","",INT(A5255))</f>
        <v/>
      </c>
      <c r="D5255">
        <f>IF(B5255="","",HOUR(A5255))</f>
        <v/>
      </c>
    </row>
    <row r="5256">
      <c r="A5256">
        <f>Input!A5256</f>
        <v/>
      </c>
      <c r="B5256">
        <f>IF(ISNUMBER(Input!B5256),IF(AND(Input!B5256&gt;=20,Input!B5256&lt;=700),Input!B5256,""),"")</f>
        <v/>
      </c>
      <c r="C5256">
        <f>IF(B5256="","",INT(A5256))</f>
        <v/>
      </c>
      <c r="D5256">
        <f>IF(B5256="","",HOUR(A5256))</f>
        <v/>
      </c>
    </row>
    <row r="5257">
      <c r="A5257">
        <f>Input!A5257</f>
        <v/>
      </c>
      <c r="B5257">
        <f>IF(ISNUMBER(Input!B5257),IF(AND(Input!B5257&gt;=20,Input!B5257&lt;=700),Input!B5257,""),"")</f>
        <v/>
      </c>
      <c r="C5257">
        <f>IF(B5257="","",INT(A5257))</f>
        <v/>
      </c>
      <c r="D5257">
        <f>IF(B5257="","",HOUR(A5257))</f>
        <v/>
      </c>
    </row>
    <row r="5258">
      <c r="A5258">
        <f>Input!A5258</f>
        <v/>
      </c>
      <c r="B5258">
        <f>IF(ISNUMBER(Input!B5258),IF(AND(Input!B5258&gt;=20,Input!B5258&lt;=700),Input!B5258,""),"")</f>
        <v/>
      </c>
      <c r="C5258">
        <f>IF(B5258="","",INT(A5258))</f>
        <v/>
      </c>
      <c r="D5258">
        <f>IF(B5258="","",HOUR(A5258))</f>
        <v/>
      </c>
    </row>
    <row r="5259">
      <c r="A5259">
        <f>Input!A5259</f>
        <v/>
      </c>
      <c r="B5259">
        <f>IF(ISNUMBER(Input!B5259),IF(AND(Input!B5259&gt;=20,Input!B5259&lt;=700),Input!B5259,""),"")</f>
        <v/>
      </c>
      <c r="C5259">
        <f>IF(B5259="","",INT(A5259))</f>
        <v/>
      </c>
      <c r="D5259">
        <f>IF(B5259="","",HOUR(A5259))</f>
        <v/>
      </c>
    </row>
    <row r="5260">
      <c r="A5260">
        <f>Input!A5260</f>
        <v/>
      </c>
      <c r="B5260">
        <f>IF(ISNUMBER(Input!B5260),IF(AND(Input!B5260&gt;=20,Input!B5260&lt;=700),Input!B5260,""),"")</f>
        <v/>
      </c>
      <c r="C5260">
        <f>IF(B5260="","",INT(A5260))</f>
        <v/>
      </c>
      <c r="D5260">
        <f>IF(B5260="","",HOUR(A5260))</f>
        <v/>
      </c>
    </row>
    <row r="5261">
      <c r="A5261">
        <f>Input!A5261</f>
        <v/>
      </c>
      <c r="B5261">
        <f>IF(ISNUMBER(Input!B5261),IF(AND(Input!B5261&gt;=20,Input!B5261&lt;=700),Input!B5261,""),"")</f>
        <v/>
      </c>
      <c r="C5261">
        <f>IF(B5261="","",INT(A5261))</f>
        <v/>
      </c>
      <c r="D5261">
        <f>IF(B5261="","",HOUR(A5261))</f>
        <v/>
      </c>
    </row>
    <row r="5262">
      <c r="A5262">
        <f>Input!A5262</f>
        <v/>
      </c>
      <c r="B5262">
        <f>IF(ISNUMBER(Input!B5262),IF(AND(Input!B5262&gt;=20,Input!B5262&lt;=700),Input!B5262,""),"")</f>
        <v/>
      </c>
      <c r="C5262">
        <f>IF(B5262="","",INT(A5262))</f>
        <v/>
      </c>
      <c r="D5262">
        <f>IF(B5262="","",HOUR(A5262))</f>
        <v/>
      </c>
    </row>
    <row r="5263">
      <c r="A5263">
        <f>Input!A5263</f>
        <v/>
      </c>
      <c r="B5263">
        <f>IF(ISNUMBER(Input!B5263),IF(AND(Input!B5263&gt;=20,Input!B5263&lt;=700),Input!B5263,""),"")</f>
        <v/>
      </c>
      <c r="C5263">
        <f>IF(B5263="","",INT(A5263))</f>
        <v/>
      </c>
      <c r="D5263">
        <f>IF(B5263="","",HOUR(A5263))</f>
        <v/>
      </c>
    </row>
    <row r="5264">
      <c r="A5264">
        <f>Input!A5264</f>
        <v/>
      </c>
      <c r="B5264">
        <f>IF(ISNUMBER(Input!B5264),IF(AND(Input!B5264&gt;=20,Input!B5264&lt;=700),Input!B5264,""),"")</f>
        <v/>
      </c>
      <c r="C5264">
        <f>IF(B5264="","",INT(A5264))</f>
        <v/>
      </c>
      <c r="D5264">
        <f>IF(B5264="","",HOUR(A5264))</f>
        <v/>
      </c>
    </row>
    <row r="5265">
      <c r="A5265">
        <f>Input!A5265</f>
        <v/>
      </c>
      <c r="B5265">
        <f>IF(ISNUMBER(Input!B5265),IF(AND(Input!B5265&gt;=20,Input!B5265&lt;=700),Input!B5265,""),"")</f>
        <v/>
      </c>
      <c r="C5265">
        <f>IF(B5265="","",INT(A5265))</f>
        <v/>
      </c>
      <c r="D5265">
        <f>IF(B5265="","",HOUR(A5265))</f>
        <v/>
      </c>
    </row>
    <row r="5266">
      <c r="A5266">
        <f>Input!A5266</f>
        <v/>
      </c>
      <c r="B5266">
        <f>IF(ISNUMBER(Input!B5266),IF(AND(Input!B5266&gt;=20,Input!B5266&lt;=700),Input!B5266,""),"")</f>
        <v/>
      </c>
      <c r="C5266">
        <f>IF(B5266="","",INT(A5266))</f>
        <v/>
      </c>
      <c r="D5266">
        <f>IF(B5266="","",HOUR(A5266))</f>
        <v/>
      </c>
    </row>
    <row r="5267">
      <c r="A5267">
        <f>Input!A5267</f>
        <v/>
      </c>
      <c r="B5267">
        <f>IF(ISNUMBER(Input!B5267),IF(AND(Input!B5267&gt;=20,Input!B5267&lt;=700),Input!B5267,""),"")</f>
        <v/>
      </c>
      <c r="C5267">
        <f>IF(B5267="","",INT(A5267))</f>
        <v/>
      </c>
      <c r="D5267">
        <f>IF(B5267="","",HOUR(A5267))</f>
        <v/>
      </c>
    </row>
    <row r="5268">
      <c r="A5268">
        <f>Input!A5268</f>
        <v/>
      </c>
      <c r="B5268">
        <f>IF(ISNUMBER(Input!B5268),IF(AND(Input!B5268&gt;=20,Input!B5268&lt;=700),Input!B5268,""),"")</f>
        <v/>
      </c>
      <c r="C5268">
        <f>IF(B5268="","",INT(A5268))</f>
        <v/>
      </c>
      <c r="D5268">
        <f>IF(B5268="","",HOUR(A5268))</f>
        <v/>
      </c>
    </row>
    <row r="5269">
      <c r="A5269">
        <f>Input!A5269</f>
        <v/>
      </c>
      <c r="B5269">
        <f>IF(ISNUMBER(Input!B5269),IF(AND(Input!B5269&gt;=20,Input!B5269&lt;=700),Input!B5269,""),"")</f>
        <v/>
      </c>
      <c r="C5269">
        <f>IF(B5269="","",INT(A5269))</f>
        <v/>
      </c>
      <c r="D5269">
        <f>IF(B5269="","",HOUR(A5269))</f>
        <v/>
      </c>
    </row>
    <row r="5270">
      <c r="A5270">
        <f>Input!A5270</f>
        <v/>
      </c>
      <c r="B5270">
        <f>IF(ISNUMBER(Input!B5270),IF(AND(Input!B5270&gt;=20,Input!B5270&lt;=700),Input!B5270,""),"")</f>
        <v/>
      </c>
      <c r="C5270">
        <f>IF(B5270="","",INT(A5270))</f>
        <v/>
      </c>
      <c r="D5270">
        <f>IF(B5270="","",HOUR(A5270))</f>
        <v/>
      </c>
    </row>
    <row r="5271">
      <c r="A5271">
        <f>Input!A5271</f>
        <v/>
      </c>
      <c r="B5271">
        <f>IF(ISNUMBER(Input!B5271),IF(AND(Input!B5271&gt;=20,Input!B5271&lt;=700),Input!B5271,""),"")</f>
        <v/>
      </c>
      <c r="C5271">
        <f>IF(B5271="","",INT(A5271))</f>
        <v/>
      </c>
      <c r="D5271">
        <f>IF(B5271="","",HOUR(A5271))</f>
        <v/>
      </c>
    </row>
    <row r="5272">
      <c r="A5272">
        <f>Input!A5272</f>
        <v/>
      </c>
      <c r="B5272">
        <f>IF(ISNUMBER(Input!B5272),IF(AND(Input!B5272&gt;=20,Input!B5272&lt;=700),Input!B5272,""),"")</f>
        <v/>
      </c>
      <c r="C5272">
        <f>IF(B5272="","",INT(A5272))</f>
        <v/>
      </c>
      <c r="D5272">
        <f>IF(B5272="","",HOUR(A5272))</f>
        <v/>
      </c>
    </row>
    <row r="5273">
      <c r="A5273">
        <f>Input!A5273</f>
        <v/>
      </c>
      <c r="B5273">
        <f>IF(ISNUMBER(Input!B5273),IF(AND(Input!B5273&gt;=20,Input!B5273&lt;=700),Input!B5273,""),"")</f>
        <v/>
      </c>
      <c r="C5273">
        <f>IF(B5273="","",INT(A5273))</f>
        <v/>
      </c>
      <c r="D5273">
        <f>IF(B5273="","",HOUR(A5273))</f>
        <v/>
      </c>
    </row>
    <row r="5274">
      <c r="A5274">
        <f>Input!A5274</f>
        <v/>
      </c>
      <c r="B5274">
        <f>IF(ISNUMBER(Input!B5274),IF(AND(Input!B5274&gt;=20,Input!B5274&lt;=700),Input!B5274,""),"")</f>
        <v/>
      </c>
      <c r="C5274">
        <f>IF(B5274="","",INT(A5274))</f>
        <v/>
      </c>
      <c r="D5274">
        <f>IF(B5274="","",HOUR(A5274))</f>
        <v/>
      </c>
    </row>
    <row r="5275">
      <c r="A5275">
        <f>Input!A5275</f>
        <v/>
      </c>
      <c r="B5275">
        <f>IF(ISNUMBER(Input!B5275),IF(AND(Input!B5275&gt;=20,Input!B5275&lt;=700),Input!B5275,""),"")</f>
        <v/>
      </c>
      <c r="C5275">
        <f>IF(B5275="","",INT(A5275))</f>
        <v/>
      </c>
      <c r="D5275">
        <f>IF(B5275="","",HOUR(A5275))</f>
        <v/>
      </c>
    </row>
    <row r="5276">
      <c r="A5276">
        <f>Input!A5276</f>
        <v/>
      </c>
      <c r="B5276">
        <f>IF(ISNUMBER(Input!B5276),IF(AND(Input!B5276&gt;=20,Input!B5276&lt;=700),Input!B5276,""),"")</f>
        <v/>
      </c>
      <c r="C5276">
        <f>IF(B5276="","",INT(A5276))</f>
        <v/>
      </c>
      <c r="D5276">
        <f>IF(B5276="","",HOUR(A5276))</f>
        <v/>
      </c>
    </row>
    <row r="5277">
      <c r="A5277">
        <f>Input!A5277</f>
        <v/>
      </c>
      <c r="B5277">
        <f>IF(ISNUMBER(Input!B5277),IF(AND(Input!B5277&gt;=20,Input!B5277&lt;=700),Input!B5277,""),"")</f>
        <v/>
      </c>
      <c r="C5277">
        <f>IF(B5277="","",INT(A5277))</f>
        <v/>
      </c>
      <c r="D5277">
        <f>IF(B5277="","",HOUR(A5277))</f>
        <v/>
      </c>
    </row>
    <row r="5278">
      <c r="A5278">
        <f>Input!A5278</f>
        <v/>
      </c>
      <c r="B5278">
        <f>IF(ISNUMBER(Input!B5278),IF(AND(Input!B5278&gt;=20,Input!B5278&lt;=700),Input!B5278,""),"")</f>
        <v/>
      </c>
      <c r="C5278">
        <f>IF(B5278="","",INT(A5278))</f>
        <v/>
      </c>
      <c r="D5278">
        <f>IF(B5278="","",HOUR(A5278))</f>
        <v/>
      </c>
    </row>
    <row r="5279">
      <c r="A5279">
        <f>Input!A5279</f>
        <v/>
      </c>
      <c r="B5279">
        <f>IF(ISNUMBER(Input!B5279),IF(AND(Input!B5279&gt;=20,Input!B5279&lt;=700),Input!B5279,""),"")</f>
        <v/>
      </c>
      <c r="C5279">
        <f>IF(B5279="","",INT(A5279))</f>
        <v/>
      </c>
      <c r="D5279">
        <f>IF(B5279="","",HOUR(A5279))</f>
        <v/>
      </c>
    </row>
    <row r="5280">
      <c r="A5280">
        <f>Input!A5280</f>
        <v/>
      </c>
      <c r="B5280">
        <f>IF(ISNUMBER(Input!B5280),IF(AND(Input!B5280&gt;=20,Input!B5280&lt;=700),Input!B5280,""),"")</f>
        <v/>
      </c>
      <c r="C5280">
        <f>IF(B5280="","",INT(A5280))</f>
        <v/>
      </c>
      <c r="D5280">
        <f>IF(B5280="","",HOUR(A5280))</f>
        <v/>
      </c>
    </row>
    <row r="5281">
      <c r="A5281">
        <f>Input!A5281</f>
        <v/>
      </c>
      <c r="B5281">
        <f>IF(ISNUMBER(Input!B5281),IF(AND(Input!B5281&gt;=20,Input!B5281&lt;=700),Input!B5281,""),"")</f>
        <v/>
      </c>
      <c r="C5281">
        <f>IF(B5281="","",INT(A5281))</f>
        <v/>
      </c>
      <c r="D5281">
        <f>IF(B5281="","",HOUR(A5281))</f>
        <v/>
      </c>
    </row>
    <row r="5282">
      <c r="A5282">
        <f>Input!A5282</f>
        <v/>
      </c>
      <c r="B5282">
        <f>IF(ISNUMBER(Input!B5282),IF(AND(Input!B5282&gt;=20,Input!B5282&lt;=700),Input!B5282,""),"")</f>
        <v/>
      </c>
      <c r="C5282">
        <f>IF(B5282="","",INT(A5282))</f>
        <v/>
      </c>
      <c r="D5282">
        <f>IF(B5282="","",HOUR(A5282))</f>
        <v/>
      </c>
    </row>
    <row r="5283">
      <c r="A5283">
        <f>Input!A5283</f>
        <v/>
      </c>
      <c r="B5283">
        <f>IF(ISNUMBER(Input!B5283),IF(AND(Input!B5283&gt;=20,Input!B5283&lt;=700),Input!B5283,""),"")</f>
        <v/>
      </c>
      <c r="C5283">
        <f>IF(B5283="","",INT(A5283))</f>
        <v/>
      </c>
      <c r="D5283">
        <f>IF(B5283="","",HOUR(A5283))</f>
        <v/>
      </c>
    </row>
    <row r="5284">
      <c r="A5284">
        <f>Input!A5284</f>
        <v/>
      </c>
      <c r="B5284">
        <f>IF(ISNUMBER(Input!B5284),IF(AND(Input!B5284&gt;=20,Input!B5284&lt;=700),Input!B5284,""),"")</f>
        <v/>
      </c>
      <c r="C5284">
        <f>IF(B5284="","",INT(A5284))</f>
        <v/>
      </c>
      <c r="D5284">
        <f>IF(B5284="","",HOUR(A5284))</f>
        <v/>
      </c>
    </row>
    <row r="5285">
      <c r="A5285">
        <f>Input!A5285</f>
        <v/>
      </c>
      <c r="B5285">
        <f>IF(ISNUMBER(Input!B5285),IF(AND(Input!B5285&gt;=20,Input!B5285&lt;=700),Input!B5285,""),"")</f>
        <v/>
      </c>
      <c r="C5285">
        <f>IF(B5285="","",INT(A5285))</f>
        <v/>
      </c>
      <c r="D5285">
        <f>IF(B5285="","",HOUR(A5285))</f>
        <v/>
      </c>
    </row>
    <row r="5286">
      <c r="A5286">
        <f>Input!A5286</f>
        <v/>
      </c>
      <c r="B5286">
        <f>IF(ISNUMBER(Input!B5286),IF(AND(Input!B5286&gt;=20,Input!B5286&lt;=700),Input!B5286,""),"")</f>
        <v/>
      </c>
      <c r="C5286">
        <f>IF(B5286="","",INT(A5286))</f>
        <v/>
      </c>
      <c r="D5286">
        <f>IF(B5286="","",HOUR(A5286))</f>
        <v/>
      </c>
    </row>
    <row r="5287">
      <c r="A5287">
        <f>Input!A5287</f>
        <v/>
      </c>
      <c r="B5287">
        <f>IF(ISNUMBER(Input!B5287),IF(AND(Input!B5287&gt;=20,Input!B5287&lt;=700),Input!B5287,""),"")</f>
        <v/>
      </c>
      <c r="C5287">
        <f>IF(B5287="","",INT(A5287))</f>
        <v/>
      </c>
      <c r="D5287">
        <f>IF(B5287="","",HOUR(A5287))</f>
        <v/>
      </c>
    </row>
    <row r="5288">
      <c r="A5288">
        <f>Input!A5288</f>
        <v/>
      </c>
      <c r="B5288">
        <f>IF(ISNUMBER(Input!B5288),IF(AND(Input!B5288&gt;=20,Input!B5288&lt;=700),Input!B5288,""),"")</f>
        <v/>
      </c>
      <c r="C5288">
        <f>IF(B5288="","",INT(A5288))</f>
        <v/>
      </c>
      <c r="D5288">
        <f>IF(B5288="","",HOUR(A5288))</f>
        <v/>
      </c>
    </row>
    <row r="5289">
      <c r="A5289">
        <f>Input!A5289</f>
        <v/>
      </c>
      <c r="B5289">
        <f>IF(ISNUMBER(Input!B5289),IF(AND(Input!B5289&gt;=20,Input!B5289&lt;=700),Input!B5289,""),"")</f>
        <v/>
      </c>
      <c r="C5289">
        <f>IF(B5289="","",INT(A5289))</f>
        <v/>
      </c>
      <c r="D5289">
        <f>IF(B5289="","",HOUR(A5289))</f>
        <v/>
      </c>
    </row>
    <row r="5290">
      <c r="A5290">
        <f>Input!A5290</f>
        <v/>
      </c>
      <c r="B5290">
        <f>IF(ISNUMBER(Input!B5290),IF(AND(Input!B5290&gt;=20,Input!B5290&lt;=700),Input!B5290,""),"")</f>
        <v/>
      </c>
      <c r="C5290">
        <f>IF(B5290="","",INT(A5290))</f>
        <v/>
      </c>
      <c r="D5290">
        <f>IF(B5290="","",HOUR(A5290))</f>
        <v/>
      </c>
    </row>
    <row r="5291">
      <c r="A5291">
        <f>Input!A5291</f>
        <v/>
      </c>
      <c r="B5291">
        <f>IF(ISNUMBER(Input!B5291),IF(AND(Input!B5291&gt;=20,Input!B5291&lt;=700),Input!B5291,""),"")</f>
        <v/>
      </c>
      <c r="C5291">
        <f>IF(B5291="","",INT(A5291))</f>
        <v/>
      </c>
      <c r="D5291">
        <f>IF(B5291="","",HOUR(A5291))</f>
        <v/>
      </c>
    </row>
    <row r="5292">
      <c r="A5292">
        <f>Input!A5292</f>
        <v/>
      </c>
      <c r="B5292">
        <f>IF(ISNUMBER(Input!B5292),IF(AND(Input!B5292&gt;=20,Input!B5292&lt;=700),Input!B5292,""),"")</f>
        <v/>
      </c>
      <c r="C5292">
        <f>IF(B5292="","",INT(A5292))</f>
        <v/>
      </c>
      <c r="D5292">
        <f>IF(B5292="","",HOUR(A5292))</f>
        <v/>
      </c>
    </row>
    <row r="5293">
      <c r="A5293">
        <f>Input!A5293</f>
        <v/>
      </c>
      <c r="B5293">
        <f>IF(ISNUMBER(Input!B5293),IF(AND(Input!B5293&gt;=20,Input!B5293&lt;=700),Input!B5293,""),"")</f>
        <v/>
      </c>
      <c r="C5293">
        <f>IF(B5293="","",INT(A5293))</f>
        <v/>
      </c>
      <c r="D5293">
        <f>IF(B5293="","",HOUR(A5293))</f>
        <v/>
      </c>
    </row>
    <row r="5294">
      <c r="A5294">
        <f>Input!A5294</f>
        <v/>
      </c>
      <c r="B5294">
        <f>IF(ISNUMBER(Input!B5294),IF(AND(Input!B5294&gt;=20,Input!B5294&lt;=700),Input!B5294,""),"")</f>
        <v/>
      </c>
      <c r="C5294">
        <f>IF(B5294="","",INT(A5294))</f>
        <v/>
      </c>
      <c r="D5294">
        <f>IF(B5294="","",HOUR(A5294))</f>
        <v/>
      </c>
    </row>
    <row r="5295">
      <c r="A5295">
        <f>Input!A5295</f>
        <v/>
      </c>
      <c r="B5295">
        <f>IF(ISNUMBER(Input!B5295),IF(AND(Input!B5295&gt;=20,Input!B5295&lt;=700),Input!B5295,""),"")</f>
        <v/>
      </c>
      <c r="C5295">
        <f>IF(B5295="","",INT(A5295))</f>
        <v/>
      </c>
      <c r="D5295">
        <f>IF(B5295="","",HOUR(A5295))</f>
        <v/>
      </c>
    </row>
    <row r="5296">
      <c r="A5296">
        <f>Input!A5296</f>
        <v/>
      </c>
      <c r="B5296">
        <f>IF(ISNUMBER(Input!B5296),IF(AND(Input!B5296&gt;=20,Input!B5296&lt;=700),Input!B5296,""),"")</f>
        <v/>
      </c>
      <c r="C5296">
        <f>IF(B5296="","",INT(A5296))</f>
        <v/>
      </c>
      <c r="D5296">
        <f>IF(B5296="","",HOUR(A5296))</f>
        <v/>
      </c>
    </row>
    <row r="5297">
      <c r="A5297">
        <f>Input!A5297</f>
        <v/>
      </c>
      <c r="B5297">
        <f>IF(ISNUMBER(Input!B5297),IF(AND(Input!B5297&gt;=20,Input!B5297&lt;=700),Input!B5297,""),"")</f>
        <v/>
      </c>
      <c r="C5297">
        <f>IF(B5297="","",INT(A5297))</f>
        <v/>
      </c>
      <c r="D5297">
        <f>IF(B5297="","",HOUR(A5297))</f>
        <v/>
      </c>
    </row>
    <row r="5298">
      <c r="A5298">
        <f>Input!A5298</f>
        <v/>
      </c>
      <c r="B5298">
        <f>IF(ISNUMBER(Input!B5298),IF(AND(Input!B5298&gt;=20,Input!B5298&lt;=700),Input!B5298,""),"")</f>
        <v/>
      </c>
      <c r="C5298">
        <f>IF(B5298="","",INT(A5298))</f>
        <v/>
      </c>
      <c r="D5298">
        <f>IF(B5298="","",HOUR(A5298))</f>
        <v/>
      </c>
    </row>
    <row r="5299">
      <c r="A5299">
        <f>Input!A5299</f>
        <v/>
      </c>
      <c r="B5299">
        <f>IF(ISNUMBER(Input!B5299),IF(AND(Input!B5299&gt;=20,Input!B5299&lt;=700),Input!B5299,""),"")</f>
        <v/>
      </c>
      <c r="C5299">
        <f>IF(B5299="","",INT(A5299))</f>
        <v/>
      </c>
      <c r="D5299">
        <f>IF(B5299="","",HOUR(A5299))</f>
        <v/>
      </c>
    </row>
    <row r="5300">
      <c r="A5300">
        <f>Input!A5300</f>
        <v/>
      </c>
      <c r="B5300">
        <f>IF(ISNUMBER(Input!B5300),IF(AND(Input!B5300&gt;=20,Input!B5300&lt;=700),Input!B5300,""),"")</f>
        <v/>
      </c>
      <c r="C5300">
        <f>IF(B5300="","",INT(A5300))</f>
        <v/>
      </c>
      <c r="D5300">
        <f>IF(B5300="","",HOUR(A5300))</f>
        <v/>
      </c>
    </row>
    <row r="5301">
      <c r="A5301">
        <f>Input!A5301</f>
        <v/>
      </c>
      <c r="B5301">
        <f>IF(ISNUMBER(Input!B5301),IF(AND(Input!B5301&gt;=20,Input!B5301&lt;=700),Input!B5301,""),"")</f>
        <v/>
      </c>
      <c r="C5301">
        <f>IF(B5301="","",INT(A5301))</f>
        <v/>
      </c>
      <c r="D5301">
        <f>IF(B5301="","",HOUR(A5301))</f>
        <v/>
      </c>
    </row>
    <row r="5302">
      <c r="A5302">
        <f>Input!A5302</f>
        <v/>
      </c>
      <c r="B5302">
        <f>IF(ISNUMBER(Input!B5302),IF(AND(Input!B5302&gt;=20,Input!B5302&lt;=700),Input!B5302,""),"")</f>
        <v/>
      </c>
      <c r="C5302">
        <f>IF(B5302="","",INT(A5302))</f>
        <v/>
      </c>
      <c r="D5302">
        <f>IF(B5302="","",HOUR(A5302))</f>
        <v/>
      </c>
    </row>
    <row r="5303">
      <c r="A5303">
        <f>Input!A5303</f>
        <v/>
      </c>
      <c r="B5303">
        <f>IF(ISNUMBER(Input!B5303),IF(AND(Input!B5303&gt;=20,Input!B5303&lt;=700),Input!B5303,""),"")</f>
        <v/>
      </c>
      <c r="C5303">
        <f>IF(B5303="","",INT(A5303))</f>
        <v/>
      </c>
      <c r="D5303">
        <f>IF(B5303="","",HOUR(A5303))</f>
        <v/>
      </c>
    </row>
    <row r="5304">
      <c r="A5304">
        <f>Input!A5304</f>
        <v/>
      </c>
      <c r="B5304">
        <f>IF(ISNUMBER(Input!B5304),IF(AND(Input!B5304&gt;=20,Input!B5304&lt;=700),Input!B5304,""),"")</f>
        <v/>
      </c>
      <c r="C5304">
        <f>IF(B5304="","",INT(A5304))</f>
        <v/>
      </c>
      <c r="D5304">
        <f>IF(B5304="","",HOUR(A5304))</f>
        <v/>
      </c>
    </row>
    <row r="5305">
      <c r="A5305">
        <f>Input!A5305</f>
        <v/>
      </c>
      <c r="B5305">
        <f>IF(ISNUMBER(Input!B5305),IF(AND(Input!B5305&gt;=20,Input!B5305&lt;=700),Input!B5305,""),"")</f>
        <v/>
      </c>
      <c r="C5305">
        <f>IF(B5305="","",INT(A5305))</f>
        <v/>
      </c>
      <c r="D5305">
        <f>IF(B5305="","",HOUR(A5305))</f>
        <v/>
      </c>
    </row>
    <row r="5306">
      <c r="A5306">
        <f>Input!A5306</f>
        <v/>
      </c>
      <c r="B5306">
        <f>IF(ISNUMBER(Input!B5306),IF(AND(Input!B5306&gt;=20,Input!B5306&lt;=700),Input!B5306,""),"")</f>
        <v/>
      </c>
      <c r="C5306">
        <f>IF(B5306="","",INT(A5306))</f>
        <v/>
      </c>
      <c r="D5306">
        <f>IF(B5306="","",HOUR(A5306))</f>
        <v/>
      </c>
    </row>
    <row r="5307">
      <c r="A5307">
        <f>Input!A5307</f>
        <v/>
      </c>
      <c r="B5307">
        <f>IF(ISNUMBER(Input!B5307),IF(AND(Input!B5307&gt;=20,Input!B5307&lt;=700),Input!B5307,""),"")</f>
        <v/>
      </c>
      <c r="C5307">
        <f>IF(B5307="","",INT(A5307))</f>
        <v/>
      </c>
      <c r="D5307">
        <f>IF(B5307="","",HOUR(A5307))</f>
        <v/>
      </c>
    </row>
    <row r="5308">
      <c r="A5308">
        <f>Input!A5308</f>
        <v/>
      </c>
      <c r="B5308">
        <f>IF(ISNUMBER(Input!B5308),IF(AND(Input!B5308&gt;=20,Input!B5308&lt;=700),Input!B5308,""),"")</f>
        <v/>
      </c>
      <c r="C5308">
        <f>IF(B5308="","",INT(A5308))</f>
        <v/>
      </c>
      <c r="D5308">
        <f>IF(B5308="","",HOUR(A5308))</f>
        <v/>
      </c>
    </row>
    <row r="5309">
      <c r="A5309">
        <f>Input!A5309</f>
        <v/>
      </c>
      <c r="B5309">
        <f>IF(ISNUMBER(Input!B5309),IF(AND(Input!B5309&gt;=20,Input!B5309&lt;=700),Input!B5309,""),"")</f>
        <v/>
      </c>
      <c r="C5309">
        <f>IF(B5309="","",INT(A5309))</f>
        <v/>
      </c>
      <c r="D5309">
        <f>IF(B5309="","",HOUR(A5309))</f>
        <v/>
      </c>
    </row>
    <row r="5310">
      <c r="A5310">
        <f>Input!A5310</f>
        <v/>
      </c>
      <c r="B5310">
        <f>IF(ISNUMBER(Input!B5310),IF(AND(Input!B5310&gt;=20,Input!B5310&lt;=700),Input!B5310,""),"")</f>
        <v/>
      </c>
      <c r="C5310">
        <f>IF(B5310="","",INT(A5310))</f>
        <v/>
      </c>
      <c r="D5310">
        <f>IF(B5310="","",HOUR(A5310))</f>
        <v/>
      </c>
    </row>
    <row r="5311">
      <c r="A5311">
        <f>Input!A5311</f>
        <v/>
      </c>
      <c r="B5311">
        <f>IF(ISNUMBER(Input!B5311),IF(AND(Input!B5311&gt;=20,Input!B5311&lt;=700),Input!B5311,""),"")</f>
        <v/>
      </c>
      <c r="C5311">
        <f>IF(B5311="","",INT(A5311))</f>
        <v/>
      </c>
      <c r="D5311">
        <f>IF(B5311="","",HOUR(A5311))</f>
        <v/>
      </c>
    </row>
    <row r="5312">
      <c r="A5312">
        <f>Input!A5312</f>
        <v/>
      </c>
      <c r="B5312">
        <f>IF(ISNUMBER(Input!B5312),IF(AND(Input!B5312&gt;=20,Input!B5312&lt;=700),Input!B5312,""),"")</f>
        <v/>
      </c>
      <c r="C5312">
        <f>IF(B5312="","",INT(A5312))</f>
        <v/>
      </c>
      <c r="D5312">
        <f>IF(B5312="","",HOUR(A5312))</f>
        <v/>
      </c>
    </row>
    <row r="5313">
      <c r="A5313">
        <f>Input!A5313</f>
        <v/>
      </c>
      <c r="B5313">
        <f>IF(ISNUMBER(Input!B5313),IF(AND(Input!B5313&gt;=20,Input!B5313&lt;=700),Input!B5313,""),"")</f>
        <v/>
      </c>
      <c r="C5313">
        <f>IF(B5313="","",INT(A5313))</f>
        <v/>
      </c>
      <c r="D5313">
        <f>IF(B5313="","",HOUR(A5313))</f>
        <v/>
      </c>
    </row>
    <row r="5314">
      <c r="A5314">
        <f>Input!A5314</f>
        <v/>
      </c>
      <c r="B5314">
        <f>IF(ISNUMBER(Input!B5314),IF(AND(Input!B5314&gt;=20,Input!B5314&lt;=700),Input!B5314,""),"")</f>
        <v/>
      </c>
      <c r="C5314">
        <f>IF(B5314="","",INT(A5314))</f>
        <v/>
      </c>
      <c r="D5314">
        <f>IF(B5314="","",HOUR(A5314))</f>
        <v/>
      </c>
    </row>
    <row r="5315">
      <c r="A5315">
        <f>Input!A5315</f>
        <v/>
      </c>
      <c r="B5315">
        <f>IF(ISNUMBER(Input!B5315),IF(AND(Input!B5315&gt;=20,Input!B5315&lt;=700),Input!B5315,""),"")</f>
        <v/>
      </c>
      <c r="C5315">
        <f>IF(B5315="","",INT(A5315))</f>
        <v/>
      </c>
      <c r="D5315">
        <f>IF(B5315="","",HOUR(A5315))</f>
        <v/>
      </c>
    </row>
    <row r="5316">
      <c r="A5316">
        <f>Input!A5316</f>
        <v/>
      </c>
      <c r="B5316">
        <f>IF(ISNUMBER(Input!B5316),IF(AND(Input!B5316&gt;=20,Input!B5316&lt;=700),Input!B5316,""),"")</f>
        <v/>
      </c>
      <c r="C5316">
        <f>IF(B5316="","",INT(A5316))</f>
        <v/>
      </c>
      <c r="D5316">
        <f>IF(B5316="","",HOUR(A5316))</f>
        <v/>
      </c>
    </row>
    <row r="5317">
      <c r="A5317">
        <f>Input!A5317</f>
        <v/>
      </c>
      <c r="B5317">
        <f>IF(ISNUMBER(Input!B5317),IF(AND(Input!B5317&gt;=20,Input!B5317&lt;=700),Input!B5317,""),"")</f>
        <v/>
      </c>
      <c r="C5317">
        <f>IF(B5317="","",INT(A5317))</f>
        <v/>
      </c>
      <c r="D5317">
        <f>IF(B5317="","",HOUR(A5317))</f>
        <v/>
      </c>
    </row>
    <row r="5318">
      <c r="A5318">
        <f>Input!A5318</f>
        <v/>
      </c>
      <c r="B5318">
        <f>IF(ISNUMBER(Input!B5318),IF(AND(Input!B5318&gt;=20,Input!B5318&lt;=700),Input!B5318,""),"")</f>
        <v/>
      </c>
      <c r="C5318">
        <f>IF(B5318="","",INT(A5318))</f>
        <v/>
      </c>
      <c r="D5318">
        <f>IF(B5318="","",HOUR(A5318))</f>
        <v/>
      </c>
    </row>
    <row r="5319">
      <c r="A5319">
        <f>Input!A5319</f>
        <v/>
      </c>
      <c r="B5319">
        <f>IF(ISNUMBER(Input!B5319),IF(AND(Input!B5319&gt;=20,Input!B5319&lt;=700),Input!B5319,""),"")</f>
        <v/>
      </c>
      <c r="C5319">
        <f>IF(B5319="","",INT(A5319))</f>
        <v/>
      </c>
      <c r="D5319">
        <f>IF(B5319="","",HOUR(A5319))</f>
        <v/>
      </c>
    </row>
    <row r="5320">
      <c r="A5320">
        <f>Input!A5320</f>
        <v/>
      </c>
      <c r="B5320">
        <f>IF(ISNUMBER(Input!B5320),IF(AND(Input!B5320&gt;=20,Input!B5320&lt;=700),Input!B5320,""),"")</f>
        <v/>
      </c>
      <c r="C5320">
        <f>IF(B5320="","",INT(A5320))</f>
        <v/>
      </c>
      <c r="D5320">
        <f>IF(B5320="","",HOUR(A5320))</f>
        <v/>
      </c>
    </row>
    <row r="5321">
      <c r="A5321">
        <f>Input!A5321</f>
        <v/>
      </c>
      <c r="B5321">
        <f>IF(ISNUMBER(Input!B5321),IF(AND(Input!B5321&gt;=20,Input!B5321&lt;=700),Input!B5321,""),"")</f>
        <v/>
      </c>
      <c r="C5321">
        <f>IF(B5321="","",INT(A5321))</f>
        <v/>
      </c>
      <c r="D5321">
        <f>IF(B5321="","",HOUR(A5321))</f>
        <v/>
      </c>
    </row>
    <row r="5322">
      <c r="A5322">
        <f>Input!A5322</f>
        <v/>
      </c>
      <c r="B5322">
        <f>IF(ISNUMBER(Input!B5322),IF(AND(Input!B5322&gt;=20,Input!B5322&lt;=700),Input!B5322,""),"")</f>
        <v/>
      </c>
      <c r="C5322">
        <f>IF(B5322="","",INT(A5322))</f>
        <v/>
      </c>
      <c r="D5322">
        <f>IF(B5322="","",HOUR(A5322))</f>
        <v/>
      </c>
    </row>
    <row r="5323">
      <c r="A5323">
        <f>Input!A5323</f>
        <v/>
      </c>
      <c r="B5323">
        <f>IF(ISNUMBER(Input!B5323),IF(AND(Input!B5323&gt;=20,Input!B5323&lt;=700),Input!B5323,""),"")</f>
        <v/>
      </c>
      <c r="C5323">
        <f>IF(B5323="","",INT(A5323))</f>
        <v/>
      </c>
      <c r="D5323">
        <f>IF(B5323="","",HOUR(A5323))</f>
        <v/>
      </c>
    </row>
    <row r="5324">
      <c r="A5324">
        <f>Input!A5324</f>
        <v/>
      </c>
      <c r="B5324">
        <f>IF(ISNUMBER(Input!B5324),IF(AND(Input!B5324&gt;=20,Input!B5324&lt;=700),Input!B5324,""),"")</f>
        <v/>
      </c>
      <c r="C5324">
        <f>IF(B5324="","",INT(A5324))</f>
        <v/>
      </c>
      <c r="D5324">
        <f>IF(B5324="","",HOUR(A5324))</f>
        <v/>
      </c>
    </row>
    <row r="5325">
      <c r="A5325">
        <f>Input!A5325</f>
        <v/>
      </c>
      <c r="B5325">
        <f>IF(ISNUMBER(Input!B5325),IF(AND(Input!B5325&gt;=20,Input!B5325&lt;=700),Input!B5325,""),"")</f>
        <v/>
      </c>
      <c r="C5325">
        <f>IF(B5325="","",INT(A5325))</f>
        <v/>
      </c>
      <c r="D5325">
        <f>IF(B5325="","",HOUR(A5325))</f>
        <v/>
      </c>
    </row>
    <row r="5326">
      <c r="A5326">
        <f>Input!A5326</f>
        <v/>
      </c>
      <c r="B5326">
        <f>IF(ISNUMBER(Input!B5326),IF(AND(Input!B5326&gt;=20,Input!B5326&lt;=700),Input!B5326,""),"")</f>
        <v/>
      </c>
      <c r="C5326">
        <f>IF(B5326="","",INT(A5326))</f>
        <v/>
      </c>
      <c r="D5326">
        <f>IF(B5326="","",HOUR(A5326))</f>
        <v/>
      </c>
    </row>
    <row r="5327">
      <c r="A5327">
        <f>Input!A5327</f>
        <v/>
      </c>
      <c r="B5327">
        <f>IF(ISNUMBER(Input!B5327),IF(AND(Input!B5327&gt;=20,Input!B5327&lt;=700),Input!B5327,""),"")</f>
        <v/>
      </c>
      <c r="C5327">
        <f>IF(B5327="","",INT(A5327))</f>
        <v/>
      </c>
      <c r="D5327">
        <f>IF(B5327="","",HOUR(A5327))</f>
        <v/>
      </c>
    </row>
    <row r="5328">
      <c r="A5328">
        <f>Input!A5328</f>
        <v/>
      </c>
      <c r="B5328">
        <f>IF(ISNUMBER(Input!B5328),IF(AND(Input!B5328&gt;=20,Input!B5328&lt;=700),Input!B5328,""),"")</f>
        <v/>
      </c>
      <c r="C5328">
        <f>IF(B5328="","",INT(A5328))</f>
        <v/>
      </c>
      <c r="D5328">
        <f>IF(B5328="","",HOUR(A5328))</f>
        <v/>
      </c>
    </row>
    <row r="5329">
      <c r="A5329">
        <f>Input!A5329</f>
        <v/>
      </c>
      <c r="B5329">
        <f>IF(ISNUMBER(Input!B5329),IF(AND(Input!B5329&gt;=20,Input!B5329&lt;=700),Input!B5329,""),"")</f>
        <v/>
      </c>
      <c r="C5329">
        <f>IF(B5329="","",INT(A5329))</f>
        <v/>
      </c>
      <c r="D5329">
        <f>IF(B5329="","",HOUR(A5329))</f>
        <v/>
      </c>
    </row>
    <row r="5330">
      <c r="A5330">
        <f>Input!A5330</f>
        <v/>
      </c>
      <c r="B5330">
        <f>IF(ISNUMBER(Input!B5330),IF(AND(Input!B5330&gt;=20,Input!B5330&lt;=700),Input!B5330,""),"")</f>
        <v/>
      </c>
      <c r="C5330">
        <f>IF(B5330="","",INT(A5330))</f>
        <v/>
      </c>
      <c r="D5330">
        <f>IF(B5330="","",HOUR(A5330))</f>
        <v/>
      </c>
    </row>
    <row r="5331">
      <c r="A5331">
        <f>Input!A5331</f>
        <v/>
      </c>
      <c r="B5331">
        <f>IF(ISNUMBER(Input!B5331),IF(AND(Input!B5331&gt;=20,Input!B5331&lt;=700),Input!B5331,""),"")</f>
        <v/>
      </c>
      <c r="C5331">
        <f>IF(B5331="","",INT(A5331))</f>
        <v/>
      </c>
      <c r="D5331">
        <f>IF(B5331="","",HOUR(A5331))</f>
        <v/>
      </c>
    </row>
    <row r="5332">
      <c r="A5332">
        <f>Input!A5332</f>
        <v/>
      </c>
      <c r="B5332">
        <f>IF(ISNUMBER(Input!B5332),IF(AND(Input!B5332&gt;=20,Input!B5332&lt;=700),Input!B5332,""),"")</f>
        <v/>
      </c>
      <c r="C5332">
        <f>IF(B5332="","",INT(A5332))</f>
        <v/>
      </c>
      <c r="D5332">
        <f>IF(B5332="","",HOUR(A5332))</f>
        <v/>
      </c>
    </row>
    <row r="5333">
      <c r="A5333">
        <f>Input!A5333</f>
        <v/>
      </c>
      <c r="B5333">
        <f>IF(ISNUMBER(Input!B5333),IF(AND(Input!B5333&gt;=20,Input!B5333&lt;=700),Input!B5333,""),"")</f>
        <v/>
      </c>
      <c r="C5333">
        <f>IF(B5333="","",INT(A5333))</f>
        <v/>
      </c>
      <c r="D5333">
        <f>IF(B5333="","",HOUR(A5333))</f>
        <v/>
      </c>
    </row>
    <row r="5334">
      <c r="A5334">
        <f>Input!A5334</f>
        <v/>
      </c>
      <c r="B5334">
        <f>IF(ISNUMBER(Input!B5334),IF(AND(Input!B5334&gt;=20,Input!B5334&lt;=700),Input!B5334,""),"")</f>
        <v/>
      </c>
      <c r="C5334">
        <f>IF(B5334="","",INT(A5334))</f>
        <v/>
      </c>
      <c r="D5334">
        <f>IF(B5334="","",HOUR(A5334))</f>
        <v/>
      </c>
    </row>
    <row r="5335">
      <c r="A5335">
        <f>Input!A5335</f>
        <v/>
      </c>
      <c r="B5335">
        <f>IF(ISNUMBER(Input!B5335),IF(AND(Input!B5335&gt;=20,Input!B5335&lt;=700),Input!B5335,""),"")</f>
        <v/>
      </c>
      <c r="C5335">
        <f>IF(B5335="","",INT(A5335))</f>
        <v/>
      </c>
      <c r="D5335">
        <f>IF(B5335="","",HOUR(A5335))</f>
        <v/>
      </c>
    </row>
    <row r="5336">
      <c r="A5336">
        <f>Input!A5336</f>
        <v/>
      </c>
      <c r="B5336">
        <f>IF(ISNUMBER(Input!B5336),IF(AND(Input!B5336&gt;=20,Input!B5336&lt;=700),Input!B5336,""),"")</f>
        <v/>
      </c>
      <c r="C5336">
        <f>IF(B5336="","",INT(A5336))</f>
        <v/>
      </c>
      <c r="D5336">
        <f>IF(B5336="","",HOUR(A5336))</f>
        <v/>
      </c>
    </row>
    <row r="5337">
      <c r="A5337">
        <f>Input!A5337</f>
        <v/>
      </c>
      <c r="B5337">
        <f>IF(ISNUMBER(Input!B5337),IF(AND(Input!B5337&gt;=20,Input!B5337&lt;=700),Input!B5337,""),"")</f>
        <v/>
      </c>
      <c r="C5337">
        <f>IF(B5337="","",INT(A5337))</f>
        <v/>
      </c>
      <c r="D5337">
        <f>IF(B5337="","",HOUR(A5337))</f>
        <v/>
      </c>
    </row>
    <row r="5338">
      <c r="A5338">
        <f>Input!A5338</f>
        <v/>
      </c>
      <c r="B5338">
        <f>IF(ISNUMBER(Input!B5338),IF(AND(Input!B5338&gt;=20,Input!B5338&lt;=700),Input!B5338,""),"")</f>
        <v/>
      </c>
      <c r="C5338">
        <f>IF(B5338="","",INT(A5338))</f>
        <v/>
      </c>
      <c r="D5338">
        <f>IF(B5338="","",HOUR(A5338))</f>
        <v/>
      </c>
    </row>
    <row r="5339">
      <c r="A5339">
        <f>Input!A5339</f>
        <v/>
      </c>
      <c r="B5339">
        <f>IF(ISNUMBER(Input!B5339),IF(AND(Input!B5339&gt;=20,Input!B5339&lt;=700),Input!B5339,""),"")</f>
        <v/>
      </c>
      <c r="C5339">
        <f>IF(B5339="","",INT(A5339))</f>
        <v/>
      </c>
      <c r="D5339">
        <f>IF(B5339="","",HOUR(A5339))</f>
        <v/>
      </c>
    </row>
    <row r="5340">
      <c r="A5340">
        <f>Input!A5340</f>
        <v/>
      </c>
      <c r="B5340">
        <f>IF(ISNUMBER(Input!B5340),IF(AND(Input!B5340&gt;=20,Input!B5340&lt;=700),Input!B5340,""),"")</f>
        <v/>
      </c>
      <c r="C5340">
        <f>IF(B5340="","",INT(A5340))</f>
        <v/>
      </c>
      <c r="D5340">
        <f>IF(B5340="","",HOUR(A5340))</f>
        <v/>
      </c>
    </row>
    <row r="5341">
      <c r="A5341">
        <f>Input!A5341</f>
        <v/>
      </c>
      <c r="B5341">
        <f>IF(ISNUMBER(Input!B5341),IF(AND(Input!B5341&gt;=20,Input!B5341&lt;=700),Input!B5341,""),"")</f>
        <v/>
      </c>
      <c r="C5341">
        <f>IF(B5341="","",INT(A5341))</f>
        <v/>
      </c>
      <c r="D5341">
        <f>IF(B5341="","",HOUR(A5341))</f>
        <v/>
      </c>
    </row>
    <row r="5342">
      <c r="A5342">
        <f>Input!A5342</f>
        <v/>
      </c>
      <c r="B5342">
        <f>IF(ISNUMBER(Input!B5342),IF(AND(Input!B5342&gt;=20,Input!B5342&lt;=700),Input!B5342,""),"")</f>
        <v/>
      </c>
      <c r="C5342">
        <f>IF(B5342="","",INT(A5342))</f>
        <v/>
      </c>
      <c r="D5342">
        <f>IF(B5342="","",HOUR(A5342))</f>
        <v/>
      </c>
    </row>
    <row r="5343">
      <c r="A5343">
        <f>Input!A5343</f>
        <v/>
      </c>
      <c r="B5343">
        <f>IF(ISNUMBER(Input!B5343),IF(AND(Input!B5343&gt;=20,Input!B5343&lt;=700),Input!B5343,""),"")</f>
        <v/>
      </c>
      <c r="C5343">
        <f>IF(B5343="","",INT(A5343))</f>
        <v/>
      </c>
      <c r="D5343">
        <f>IF(B5343="","",HOUR(A5343))</f>
        <v/>
      </c>
    </row>
    <row r="5344">
      <c r="A5344">
        <f>Input!A5344</f>
        <v/>
      </c>
      <c r="B5344">
        <f>IF(ISNUMBER(Input!B5344),IF(AND(Input!B5344&gt;=20,Input!B5344&lt;=700),Input!B5344,""),"")</f>
        <v/>
      </c>
      <c r="C5344">
        <f>IF(B5344="","",INT(A5344))</f>
        <v/>
      </c>
      <c r="D5344">
        <f>IF(B5344="","",HOUR(A5344))</f>
        <v/>
      </c>
    </row>
    <row r="5345">
      <c r="A5345">
        <f>Input!A5345</f>
        <v/>
      </c>
      <c r="B5345">
        <f>IF(ISNUMBER(Input!B5345),IF(AND(Input!B5345&gt;=20,Input!B5345&lt;=700),Input!B5345,""),"")</f>
        <v/>
      </c>
      <c r="C5345">
        <f>IF(B5345="","",INT(A5345))</f>
        <v/>
      </c>
      <c r="D5345">
        <f>IF(B5345="","",HOUR(A5345))</f>
        <v/>
      </c>
    </row>
    <row r="5346">
      <c r="A5346">
        <f>Input!A5346</f>
        <v/>
      </c>
      <c r="B5346">
        <f>IF(ISNUMBER(Input!B5346),IF(AND(Input!B5346&gt;=20,Input!B5346&lt;=700),Input!B5346,""),"")</f>
        <v/>
      </c>
      <c r="C5346">
        <f>IF(B5346="","",INT(A5346))</f>
        <v/>
      </c>
      <c r="D5346">
        <f>IF(B5346="","",HOUR(A5346))</f>
        <v/>
      </c>
    </row>
    <row r="5347">
      <c r="A5347">
        <f>Input!A5347</f>
        <v/>
      </c>
      <c r="B5347">
        <f>IF(ISNUMBER(Input!B5347),IF(AND(Input!B5347&gt;=20,Input!B5347&lt;=700),Input!B5347,""),"")</f>
        <v/>
      </c>
      <c r="C5347">
        <f>IF(B5347="","",INT(A5347))</f>
        <v/>
      </c>
      <c r="D5347">
        <f>IF(B5347="","",HOUR(A5347))</f>
        <v/>
      </c>
    </row>
    <row r="5348">
      <c r="A5348">
        <f>Input!A5348</f>
        <v/>
      </c>
      <c r="B5348">
        <f>IF(ISNUMBER(Input!B5348),IF(AND(Input!B5348&gt;=20,Input!B5348&lt;=700),Input!B5348,""),"")</f>
        <v/>
      </c>
      <c r="C5348">
        <f>IF(B5348="","",INT(A5348))</f>
        <v/>
      </c>
      <c r="D5348">
        <f>IF(B5348="","",HOUR(A5348))</f>
        <v/>
      </c>
    </row>
    <row r="5349">
      <c r="A5349">
        <f>Input!A5349</f>
        <v/>
      </c>
      <c r="B5349">
        <f>IF(ISNUMBER(Input!B5349),IF(AND(Input!B5349&gt;=20,Input!B5349&lt;=700),Input!B5349,""),"")</f>
        <v/>
      </c>
      <c r="C5349">
        <f>IF(B5349="","",INT(A5349))</f>
        <v/>
      </c>
      <c r="D5349">
        <f>IF(B5349="","",HOUR(A5349))</f>
        <v/>
      </c>
    </row>
    <row r="5350">
      <c r="A5350">
        <f>Input!A5350</f>
        <v/>
      </c>
      <c r="B5350">
        <f>IF(ISNUMBER(Input!B5350),IF(AND(Input!B5350&gt;=20,Input!B5350&lt;=700),Input!B5350,""),"")</f>
        <v/>
      </c>
      <c r="C5350">
        <f>IF(B5350="","",INT(A5350))</f>
        <v/>
      </c>
      <c r="D5350">
        <f>IF(B5350="","",HOUR(A5350))</f>
        <v/>
      </c>
    </row>
    <row r="5351">
      <c r="A5351">
        <f>Input!A5351</f>
        <v/>
      </c>
      <c r="B5351">
        <f>IF(ISNUMBER(Input!B5351),IF(AND(Input!B5351&gt;=20,Input!B5351&lt;=700),Input!B5351,""),"")</f>
        <v/>
      </c>
      <c r="C5351">
        <f>IF(B5351="","",INT(A5351))</f>
        <v/>
      </c>
      <c r="D5351">
        <f>IF(B5351="","",HOUR(A5351))</f>
        <v/>
      </c>
    </row>
    <row r="5352">
      <c r="A5352">
        <f>Input!A5352</f>
        <v/>
      </c>
      <c r="B5352">
        <f>IF(ISNUMBER(Input!B5352),IF(AND(Input!B5352&gt;=20,Input!B5352&lt;=700),Input!B5352,""),"")</f>
        <v/>
      </c>
      <c r="C5352">
        <f>IF(B5352="","",INT(A5352))</f>
        <v/>
      </c>
      <c r="D5352">
        <f>IF(B5352="","",HOUR(A5352))</f>
        <v/>
      </c>
    </row>
    <row r="5353">
      <c r="A5353">
        <f>Input!A5353</f>
        <v/>
      </c>
      <c r="B5353">
        <f>IF(ISNUMBER(Input!B5353),IF(AND(Input!B5353&gt;=20,Input!B5353&lt;=700),Input!B5353,""),"")</f>
        <v/>
      </c>
      <c r="C5353">
        <f>IF(B5353="","",INT(A5353))</f>
        <v/>
      </c>
      <c r="D5353">
        <f>IF(B5353="","",HOUR(A5353))</f>
        <v/>
      </c>
    </row>
    <row r="5354">
      <c r="A5354">
        <f>Input!A5354</f>
        <v/>
      </c>
      <c r="B5354">
        <f>IF(ISNUMBER(Input!B5354),IF(AND(Input!B5354&gt;=20,Input!B5354&lt;=700),Input!B5354,""),"")</f>
        <v/>
      </c>
      <c r="C5354">
        <f>IF(B5354="","",INT(A5354))</f>
        <v/>
      </c>
      <c r="D5354">
        <f>IF(B5354="","",HOUR(A5354))</f>
        <v/>
      </c>
    </row>
    <row r="5355">
      <c r="A5355">
        <f>Input!A5355</f>
        <v/>
      </c>
      <c r="B5355">
        <f>IF(ISNUMBER(Input!B5355),IF(AND(Input!B5355&gt;=20,Input!B5355&lt;=700),Input!B5355,""),"")</f>
        <v/>
      </c>
      <c r="C5355">
        <f>IF(B5355="","",INT(A5355))</f>
        <v/>
      </c>
      <c r="D5355">
        <f>IF(B5355="","",HOUR(A5355))</f>
        <v/>
      </c>
    </row>
    <row r="5356">
      <c r="A5356">
        <f>Input!A5356</f>
        <v/>
      </c>
      <c r="B5356">
        <f>IF(ISNUMBER(Input!B5356),IF(AND(Input!B5356&gt;=20,Input!B5356&lt;=700),Input!B5356,""),"")</f>
        <v/>
      </c>
      <c r="C5356">
        <f>IF(B5356="","",INT(A5356))</f>
        <v/>
      </c>
      <c r="D5356">
        <f>IF(B5356="","",HOUR(A5356))</f>
        <v/>
      </c>
    </row>
    <row r="5357">
      <c r="A5357">
        <f>Input!A5357</f>
        <v/>
      </c>
      <c r="B5357">
        <f>IF(ISNUMBER(Input!B5357),IF(AND(Input!B5357&gt;=20,Input!B5357&lt;=700),Input!B5357,""),"")</f>
        <v/>
      </c>
      <c r="C5357">
        <f>IF(B5357="","",INT(A5357))</f>
        <v/>
      </c>
      <c r="D5357">
        <f>IF(B5357="","",HOUR(A5357))</f>
        <v/>
      </c>
    </row>
    <row r="5358">
      <c r="A5358">
        <f>Input!A5358</f>
        <v/>
      </c>
      <c r="B5358">
        <f>IF(ISNUMBER(Input!B5358),IF(AND(Input!B5358&gt;=20,Input!B5358&lt;=700),Input!B5358,""),"")</f>
        <v/>
      </c>
      <c r="C5358">
        <f>IF(B5358="","",INT(A5358))</f>
        <v/>
      </c>
      <c r="D5358">
        <f>IF(B5358="","",HOUR(A5358))</f>
        <v/>
      </c>
    </row>
    <row r="5359">
      <c r="A5359">
        <f>Input!A5359</f>
        <v/>
      </c>
      <c r="B5359">
        <f>IF(ISNUMBER(Input!B5359),IF(AND(Input!B5359&gt;=20,Input!B5359&lt;=700),Input!B5359,""),"")</f>
        <v/>
      </c>
      <c r="C5359">
        <f>IF(B5359="","",INT(A5359))</f>
        <v/>
      </c>
      <c r="D5359">
        <f>IF(B5359="","",HOUR(A5359))</f>
        <v/>
      </c>
    </row>
    <row r="5360">
      <c r="A5360">
        <f>Input!A5360</f>
        <v/>
      </c>
      <c r="B5360">
        <f>IF(ISNUMBER(Input!B5360),IF(AND(Input!B5360&gt;=20,Input!B5360&lt;=700),Input!B5360,""),"")</f>
        <v/>
      </c>
      <c r="C5360">
        <f>IF(B5360="","",INT(A5360))</f>
        <v/>
      </c>
      <c r="D5360">
        <f>IF(B5360="","",HOUR(A5360))</f>
        <v/>
      </c>
    </row>
    <row r="5361">
      <c r="A5361">
        <f>Input!A5361</f>
        <v/>
      </c>
      <c r="B5361">
        <f>IF(ISNUMBER(Input!B5361),IF(AND(Input!B5361&gt;=20,Input!B5361&lt;=700),Input!B5361,""),"")</f>
        <v/>
      </c>
      <c r="C5361">
        <f>IF(B5361="","",INT(A5361))</f>
        <v/>
      </c>
      <c r="D5361">
        <f>IF(B5361="","",HOUR(A5361))</f>
        <v/>
      </c>
    </row>
    <row r="5362">
      <c r="A5362">
        <f>Input!A5362</f>
        <v/>
      </c>
      <c r="B5362">
        <f>IF(ISNUMBER(Input!B5362),IF(AND(Input!B5362&gt;=20,Input!B5362&lt;=700),Input!B5362,""),"")</f>
        <v/>
      </c>
      <c r="C5362">
        <f>IF(B5362="","",INT(A5362))</f>
        <v/>
      </c>
      <c r="D5362">
        <f>IF(B5362="","",HOUR(A5362))</f>
        <v/>
      </c>
    </row>
    <row r="5363">
      <c r="A5363">
        <f>Input!A5363</f>
        <v/>
      </c>
      <c r="B5363">
        <f>IF(ISNUMBER(Input!B5363),IF(AND(Input!B5363&gt;=20,Input!B5363&lt;=700),Input!B5363,""),"")</f>
        <v/>
      </c>
      <c r="C5363">
        <f>IF(B5363="","",INT(A5363))</f>
        <v/>
      </c>
      <c r="D5363">
        <f>IF(B5363="","",HOUR(A5363))</f>
        <v/>
      </c>
    </row>
    <row r="5364">
      <c r="A5364">
        <f>Input!A5364</f>
        <v/>
      </c>
      <c r="B5364">
        <f>IF(ISNUMBER(Input!B5364),IF(AND(Input!B5364&gt;=20,Input!B5364&lt;=700),Input!B5364,""),"")</f>
        <v/>
      </c>
      <c r="C5364">
        <f>IF(B5364="","",INT(A5364))</f>
        <v/>
      </c>
      <c r="D5364">
        <f>IF(B5364="","",HOUR(A5364))</f>
        <v/>
      </c>
    </row>
    <row r="5365">
      <c r="A5365">
        <f>Input!A5365</f>
        <v/>
      </c>
      <c r="B5365">
        <f>IF(ISNUMBER(Input!B5365),IF(AND(Input!B5365&gt;=20,Input!B5365&lt;=700),Input!B5365,""),"")</f>
        <v/>
      </c>
      <c r="C5365">
        <f>IF(B5365="","",INT(A5365))</f>
        <v/>
      </c>
      <c r="D5365">
        <f>IF(B5365="","",HOUR(A5365))</f>
        <v/>
      </c>
    </row>
    <row r="5366">
      <c r="A5366">
        <f>Input!A5366</f>
        <v/>
      </c>
      <c r="B5366">
        <f>IF(ISNUMBER(Input!B5366),IF(AND(Input!B5366&gt;=20,Input!B5366&lt;=700),Input!B5366,""),"")</f>
        <v/>
      </c>
      <c r="C5366">
        <f>IF(B5366="","",INT(A5366))</f>
        <v/>
      </c>
      <c r="D5366">
        <f>IF(B5366="","",HOUR(A5366))</f>
        <v/>
      </c>
    </row>
    <row r="5367">
      <c r="A5367">
        <f>Input!A5367</f>
        <v/>
      </c>
      <c r="B5367">
        <f>IF(ISNUMBER(Input!B5367),IF(AND(Input!B5367&gt;=20,Input!B5367&lt;=700),Input!B5367,""),"")</f>
        <v/>
      </c>
      <c r="C5367">
        <f>IF(B5367="","",INT(A5367))</f>
        <v/>
      </c>
      <c r="D5367">
        <f>IF(B5367="","",HOUR(A5367))</f>
        <v/>
      </c>
    </row>
    <row r="5368">
      <c r="A5368">
        <f>Input!A5368</f>
        <v/>
      </c>
      <c r="B5368">
        <f>IF(ISNUMBER(Input!B5368),IF(AND(Input!B5368&gt;=20,Input!B5368&lt;=700),Input!B5368,""),"")</f>
        <v/>
      </c>
      <c r="C5368">
        <f>IF(B5368="","",INT(A5368))</f>
        <v/>
      </c>
      <c r="D5368">
        <f>IF(B5368="","",HOUR(A5368))</f>
        <v/>
      </c>
    </row>
    <row r="5369">
      <c r="A5369">
        <f>Input!A5369</f>
        <v/>
      </c>
      <c r="B5369">
        <f>IF(ISNUMBER(Input!B5369),IF(AND(Input!B5369&gt;=20,Input!B5369&lt;=700),Input!B5369,""),"")</f>
        <v/>
      </c>
      <c r="C5369">
        <f>IF(B5369="","",INT(A5369))</f>
        <v/>
      </c>
      <c r="D5369">
        <f>IF(B5369="","",HOUR(A5369))</f>
        <v/>
      </c>
    </row>
    <row r="5370">
      <c r="A5370">
        <f>Input!A5370</f>
        <v/>
      </c>
      <c r="B5370">
        <f>IF(ISNUMBER(Input!B5370),IF(AND(Input!B5370&gt;=20,Input!B5370&lt;=700),Input!B5370,""),"")</f>
        <v/>
      </c>
      <c r="C5370">
        <f>IF(B5370="","",INT(A5370))</f>
        <v/>
      </c>
      <c r="D5370">
        <f>IF(B5370="","",HOUR(A5370))</f>
        <v/>
      </c>
    </row>
    <row r="5371">
      <c r="A5371">
        <f>Input!A5371</f>
        <v/>
      </c>
      <c r="B5371">
        <f>IF(ISNUMBER(Input!B5371),IF(AND(Input!B5371&gt;=20,Input!B5371&lt;=700),Input!B5371,""),"")</f>
        <v/>
      </c>
      <c r="C5371">
        <f>IF(B5371="","",INT(A5371))</f>
        <v/>
      </c>
      <c r="D5371">
        <f>IF(B5371="","",HOUR(A5371))</f>
        <v/>
      </c>
    </row>
    <row r="5372">
      <c r="A5372">
        <f>Input!A5372</f>
        <v/>
      </c>
      <c r="B5372">
        <f>IF(ISNUMBER(Input!B5372),IF(AND(Input!B5372&gt;=20,Input!B5372&lt;=700),Input!B5372,""),"")</f>
        <v/>
      </c>
      <c r="C5372">
        <f>IF(B5372="","",INT(A5372))</f>
        <v/>
      </c>
      <c r="D5372">
        <f>IF(B5372="","",HOUR(A5372))</f>
        <v/>
      </c>
    </row>
    <row r="5373">
      <c r="A5373">
        <f>Input!A5373</f>
        <v/>
      </c>
      <c r="B5373">
        <f>IF(ISNUMBER(Input!B5373),IF(AND(Input!B5373&gt;=20,Input!B5373&lt;=700),Input!B5373,""),"")</f>
        <v/>
      </c>
      <c r="C5373">
        <f>IF(B5373="","",INT(A5373))</f>
        <v/>
      </c>
      <c r="D5373">
        <f>IF(B5373="","",HOUR(A5373))</f>
        <v/>
      </c>
    </row>
    <row r="5374">
      <c r="A5374">
        <f>Input!A5374</f>
        <v/>
      </c>
      <c r="B5374">
        <f>IF(ISNUMBER(Input!B5374),IF(AND(Input!B5374&gt;=20,Input!B5374&lt;=700),Input!B5374,""),"")</f>
        <v/>
      </c>
      <c r="C5374">
        <f>IF(B5374="","",INT(A5374))</f>
        <v/>
      </c>
      <c r="D5374">
        <f>IF(B5374="","",HOUR(A5374))</f>
        <v/>
      </c>
    </row>
    <row r="5375">
      <c r="A5375">
        <f>Input!A5375</f>
        <v/>
      </c>
      <c r="B5375">
        <f>IF(ISNUMBER(Input!B5375),IF(AND(Input!B5375&gt;=20,Input!B5375&lt;=700),Input!B5375,""),"")</f>
        <v/>
      </c>
      <c r="C5375">
        <f>IF(B5375="","",INT(A5375))</f>
        <v/>
      </c>
      <c r="D5375">
        <f>IF(B5375="","",HOUR(A5375))</f>
        <v/>
      </c>
    </row>
    <row r="5376">
      <c r="A5376">
        <f>Input!A5376</f>
        <v/>
      </c>
      <c r="B5376">
        <f>IF(ISNUMBER(Input!B5376),IF(AND(Input!B5376&gt;=20,Input!B5376&lt;=700),Input!B5376,""),"")</f>
        <v/>
      </c>
      <c r="C5376">
        <f>IF(B5376="","",INT(A5376))</f>
        <v/>
      </c>
      <c r="D5376">
        <f>IF(B5376="","",HOUR(A5376))</f>
        <v/>
      </c>
    </row>
    <row r="5377">
      <c r="A5377">
        <f>Input!A5377</f>
        <v/>
      </c>
      <c r="B5377">
        <f>IF(ISNUMBER(Input!B5377),IF(AND(Input!B5377&gt;=20,Input!B5377&lt;=700),Input!B5377,""),"")</f>
        <v/>
      </c>
      <c r="C5377">
        <f>IF(B5377="","",INT(A5377))</f>
        <v/>
      </c>
      <c r="D5377">
        <f>IF(B5377="","",HOUR(A5377))</f>
        <v/>
      </c>
    </row>
    <row r="5378">
      <c r="A5378">
        <f>Input!A5378</f>
        <v/>
      </c>
      <c r="B5378">
        <f>IF(ISNUMBER(Input!B5378),IF(AND(Input!B5378&gt;=20,Input!B5378&lt;=700),Input!B5378,""),"")</f>
        <v/>
      </c>
      <c r="C5378">
        <f>IF(B5378="","",INT(A5378))</f>
        <v/>
      </c>
      <c r="D5378">
        <f>IF(B5378="","",HOUR(A5378))</f>
        <v/>
      </c>
    </row>
    <row r="5379">
      <c r="A5379">
        <f>Input!A5379</f>
        <v/>
      </c>
      <c r="B5379">
        <f>IF(ISNUMBER(Input!B5379),IF(AND(Input!B5379&gt;=20,Input!B5379&lt;=700),Input!B5379,""),"")</f>
        <v/>
      </c>
      <c r="C5379">
        <f>IF(B5379="","",INT(A5379))</f>
        <v/>
      </c>
      <c r="D5379">
        <f>IF(B5379="","",HOUR(A5379))</f>
        <v/>
      </c>
    </row>
    <row r="5380">
      <c r="A5380">
        <f>Input!A5380</f>
        <v/>
      </c>
      <c r="B5380">
        <f>IF(ISNUMBER(Input!B5380),IF(AND(Input!B5380&gt;=20,Input!B5380&lt;=700),Input!B5380,""),"")</f>
        <v/>
      </c>
      <c r="C5380">
        <f>IF(B5380="","",INT(A5380))</f>
        <v/>
      </c>
      <c r="D5380">
        <f>IF(B5380="","",HOUR(A5380))</f>
        <v/>
      </c>
    </row>
    <row r="5381">
      <c r="A5381">
        <f>Input!A5381</f>
        <v/>
      </c>
      <c r="B5381">
        <f>IF(ISNUMBER(Input!B5381),IF(AND(Input!B5381&gt;=20,Input!B5381&lt;=700),Input!B5381,""),"")</f>
        <v/>
      </c>
      <c r="C5381">
        <f>IF(B5381="","",INT(A5381))</f>
        <v/>
      </c>
      <c r="D5381">
        <f>IF(B5381="","",HOUR(A5381))</f>
        <v/>
      </c>
    </row>
    <row r="5382">
      <c r="A5382">
        <f>Input!A5382</f>
        <v/>
      </c>
      <c r="B5382">
        <f>IF(ISNUMBER(Input!B5382),IF(AND(Input!B5382&gt;=20,Input!B5382&lt;=700),Input!B5382,""),"")</f>
        <v/>
      </c>
      <c r="C5382">
        <f>IF(B5382="","",INT(A5382))</f>
        <v/>
      </c>
      <c r="D5382">
        <f>IF(B5382="","",HOUR(A5382))</f>
        <v/>
      </c>
    </row>
    <row r="5383">
      <c r="A5383">
        <f>Input!A5383</f>
        <v/>
      </c>
      <c r="B5383">
        <f>IF(ISNUMBER(Input!B5383),IF(AND(Input!B5383&gt;=20,Input!B5383&lt;=700),Input!B5383,""),"")</f>
        <v/>
      </c>
      <c r="C5383">
        <f>IF(B5383="","",INT(A5383))</f>
        <v/>
      </c>
      <c r="D5383">
        <f>IF(B5383="","",HOUR(A5383))</f>
        <v/>
      </c>
    </row>
    <row r="5384">
      <c r="A5384">
        <f>Input!A5384</f>
        <v/>
      </c>
      <c r="B5384">
        <f>IF(ISNUMBER(Input!B5384),IF(AND(Input!B5384&gt;=20,Input!B5384&lt;=700),Input!B5384,""),"")</f>
        <v/>
      </c>
      <c r="C5384">
        <f>IF(B5384="","",INT(A5384))</f>
        <v/>
      </c>
      <c r="D5384">
        <f>IF(B5384="","",HOUR(A5384))</f>
        <v/>
      </c>
    </row>
    <row r="5385">
      <c r="A5385">
        <f>Input!A5385</f>
        <v/>
      </c>
      <c r="B5385">
        <f>IF(ISNUMBER(Input!B5385),IF(AND(Input!B5385&gt;=20,Input!B5385&lt;=700),Input!B5385,""),"")</f>
        <v/>
      </c>
      <c r="C5385">
        <f>IF(B5385="","",INT(A5385))</f>
        <v/>
      </c>
      <c r="D5385">
        <f>IF(B5385="","",HOUR(A5385))</f>
        <v/>
      </c>
    </row>
    <row r="5386">
      <c r="A5386">
        <f>Input!A5386</f>
        <v/>
      </c>
      <c r="B5386">
        <f>IF(ISNUMBER(Input!B5386),IF(AND(Input!B5386&gt;=20,Input!B5386&lt;=700),Input!B5386,""),"")</f>
        <v/>
      </c>
      <c r="C5386">
        <f>IF(B5386="","",INT(A5386))</f>
        <v/>
      </c>
      <c r="D5386">
        <f>IF(B5386="","",HOUR(A5386))</f>
        <v/>
      </c>
    </row>
    <row r="5387">
      <c r="A5387">
        <f>Input!A5387</f>
        <v/>
      </c>
      <c r="B5387">
        <f>IF(ISNUMBER(Input!B5387),IF(AND(Input!B5387&gt;=20,Input!B5387&lt;=700),Input!B5387,""),"")</f>
        <v/>
      </c>
      <c r="C5387">
        <f>IF(B5387="","",INT(A5387))</f>
        <v/>
      </c>
      <c r="D5387">
        <f>IF(B5387="","",HOUR(A5387))</f>
        <v/>
      </c>
    </row>
    <row r="5388">
      <c r="A5388">
        <f>Input!A5388</f>
        <v/>
      </c>
      <c r="B5388">
        <f>IF(ISNUMBER(Input!B5388),IF(AND(Input!B5388&gt;=20,Input!B5388&lt;=700),Input!B5388,""),"")</f>
        <v/>
      </c>
      <c r="C5388">
        <f>IF(B5388="","",INT(A5388))</f>
        <v/>
      </c>
      <c r="D5388">
        <f>IF(B5388="","",HOUR(A5388))</f>
        <v/>
      </c>
    </row>
    <row r="5389">
      <c r="A5389">
        <f>Input!A5389</f>
        <v/>
      </c>
      <c r="B5389">
        <f>IF(ISNUMBER(Input!B5389),IF(AND(Input!B5389&gt;=20,Input!B5389&lt;=700),Input!B5389,""),"")</f>
        <v/>
      </c>
      <c r="C5389">
        <f>IF(B5389="","",INT(A5389))</f>
        <v/>
      </c>
      <c r="D5389">
        <f>IF(B5389="","",HOUR(A5389))</f>
        <v/>
      </c>
    </row>
    <row r="5390">
      <c r="A5390">
        <f>Input!A5390</f>
        <v/>
      </c>
      <c r="B5390">
        <f>IF(ISNUMBER(Input!B5390),IF(AND(Input!B5390&gt;=20,Input!B5390&lt;=700),Input!B5390,""),"")</f>
        <v/>
      </c>
      <c r="C5390">
        <f>IF(B5390="","",INT(A5390))</f>
        <v/>
      </c>
      <c r="D5390">
        <f>IF(B5390="","",HOUR(A5390))</f>
        <v/>
      </c>
    </row>
    <row r="5391">
      <c r="A5391">
        <f>Input!A5391</f>
        <v/>
      </c>
      <c r="B5391">
        <f>IF(ISNUMBER(Input!B5391),IF(AND(Input!B5391&gt;=20,Input!B5391&lt;=700),Input!B5391,""),"")</f>
        <v/>
      </c>
      <c r="C5391">
        <f>IF(B5391="","",INT(A5391))</f>
        <v/>
      </c>
      <c r="D5391">
        <f>IF(B5391="","",HOUR(A5391))</f>
        <v/>
      </c>
    </row>
    <row r="5392">
      <c r="A5392">
        <f>Input!A5392</f>
        <v/>
      </c>
      <c r="B5392">
        <f>IF(ISNUMBER(Input!B5392),IF(AND(Input!B5392&gt;=20,Input!B5392&lt;=700),Input!B5392,""),"")</f>
        <v/>
      </c>
      <c r="C5392">
        <f>IF(B5392="","",INT(A5392))</f>
        <v/>
      </c>
      <c r="D5392">
        <f>IF(B5392="","",HOUR(A5392))</f>
        <v/>
      </c>
    </row>
    <row r="5393">
      <c r="A5393">
        <f>Input!A5393</f>
        <v/>
      </c>
      <c r="B5393">
        <f>IF(ISNUMBER(Input!B5393),IF(AND(Input!B5393&gt;=20,Input!B5393&lt;=700),Input!B5393,""),"")</f>
        <v/>
      </c>
      <c r="C5393">
        <f>IF(B5393="","",INT(A5393))</f>
        <v/>
      </c>
      <c r="D5393">
        <f>IF(B5393="","",HOUR(A5393))</f>
        <v/>
      </c>
    </row>
    <row r="5394">
      <c r="A5394">
        <f>Input!A5394</f>
        <v/>
      </c>
      <c r="B5394">
        <f>IF(ISNUMBER(Input!B5394),IF(AND(Input!B5394&gt;=20,Input!B5394&lt;=700),Input!B5394,""),"")</f>
        <v/>
      </c>
      <c r="C5394">
        <f>IF(B5394="","",INT(A5394))</f>
        <v/>
      </c>
      <c r="D5394">
        <f>IF(B5394="","",HOUR(A5394))</f>
        <v/>
      </c>
    </row>
    <row r="5395">
      <c r="A5395">
        <f>Input!A5395</f>
        <v/>
      </c>
      <c r="B5395">
        <f>IF(ISNUMBER(Input!B5395),IF(AND(Input!B5395&gt;=20,Input!B5395&lt;=700),Input!B5395,""),"")</f>
        <v/>
      </c>
      <c r="C5395">
        <f>IF(B5395="","",INT(A5395))</f>
        <v/>
      </c>
      <c r="D5395">
        <f>IF(B5395="","",HOUR(A5395))</f>
        <v/>
      </c>
    </row>
    <row r="5396">
      <c r="A5396">
        <f>Input!A5396</f>
        <v/>
      </c>
      <c r="B5396">
        <f>IF(ISNUMBER(Input!B5396),IF(AND(Input!B5396&gt;=20,Input!B5396&lt;=700),Input!B5396,""),"")</f>
        <v/>
      </c>
      <c r="C5396">
        <f>IF(B5396="","",INT(A5396))</f>
        <v/>
      </c>
      <c r="D5396">
        <f>IF(B5396="","",HOUR(A5396))</f>
        <v/>
      </c>
    </row>
    <row r="5397">
      <c r="A5397">
        <f>Input!A5397</f>
        <v/>
      </c>
      <c r="B5397">
        <f>IF(ISNUMBER(Input!B5397),IF(AND(Input!B5397&gt;=20,Input!B5397&lt;=700),Input!B5397,""),"")</f>
        <v/>
      </c>
      <c r="C5397">
        <f>IF(B5397="","",INT(A5397))</f>
        <v/>
      </c>
      <c r="D5397">
        <f>IF(B5397="","",HOUR(A5397))</f>
        <v/>
      </c>
    </row>
    <row r="5398">
      <c r="A5398">
        <f>Input!A5398</f>
        <v/>
      </c>
      <c r="B5398">
        <f>IF(ISNUMBER(Input!B5398),IF(AND(Input!B5398&gt;=20,Input!B5398&lt;=700),Input!B5398,""),"")</f>
        <v/>
      </c>
      <c r="C5398">
        <f>IF(B5398="","",INT(A5398))</f>
        <v/>
      </c>
      <c r="D5398">
        <f>IF(B5398="","",HOUR(A5398))</f>
        <v/>
      </c>
    </row>
    <row r="5399">
      <c r="A5399">
        <f>Input!A5399</f>
        <v/>
      </c>
      <c r="B5399">
        <f>IF(ISNUMBER(Input!B5399),IF(AND(Input!B5399&gt;=20,Input!B5399&lt;=700),Input!B5399,""),"")</f>
        <v/>
      </c>
      <c r="C5399">
        <f>IF(B5399="","",INT(A5399))</f>
        <v/>
      </c>
      <c r="D5399">
        <f>IF(B5399="","",HOUR(A5399))</f>
        <v/>
      </c>
    </row>
    <row r="5400">
      <c r="A5400">
        <f>Input!A5400</f>
        <v/>
      </c>
      <c r="B5400">
        <f>IF(ISNUMBER(Input!B5400),IF(AND(Input!B5400&gt;=20,Input!B5400&lt;=700),Input!B5400,""),"")</f>
        <v/>
      </c>
      <c r="C5400">
        <f>IF(B5400="","",INT(A5400))</f>
        <v/>
      </c>
      <c r="D5400">
        <f>IF(B5400="","",HOUR(A5400))</f>
        <v/>
      </c>
    </row>
    <row r="5401">
      <c r="A5401">
        <f>Input!A5401</f>
        <v/>
      </c>
      <c r="B5401">
        <f>IF(ISNUMBER(Input!B5401),IF(AND(Input!B5401&gt;=20,Input!B5401&lt;=700),Input!B5401,""),"")</f>
        <v/>
      </c>
      <c r="C5401">
        <f>IF(B5401="","",INT(A5401))</f>
        <v/>
      </c>
      <c r="D5401">
        <f>IF(B5401="","",HOUR(A5401))</f>
        <v/>
      </c>
    </row>
    <row r="5402">
      <c r="A5402">
        <f>Input!A5402</f>
        <v/>
      </c>
      <c r="B5402">
        <f>IF(ISNUMBER(Input!B5402),IF(AND(Input!B5402&gt;=20,Input!B5402&lt;=700),Input!B5402,""),"")</f>
        <v/>
      </c>
      <c r="C5402">
        <f>IF(B5402="","",INT(A5402))</f>
        <v/>
      </c>
      <c r="D5402">
        <f>IF(B5402="","",HOUR(A5402))</f>
        <v/>
      </c>
    </row>
    <row r="5403">
      <c r="A5403">
        <f>Input!A5403</f>
        <v/>
      </c>
      <c r="B5403">
        <f>IF(ISNUMBER(Input!B5403),IF(AND(Input!B5403&gt;=20,Input!B5403&lt;=700),Input!B5403,""),"")</f>
        <v/>
      </c>
      <c r="C5403">
        <f>IF(B5403="","",INT(A5403))</f>
        <v/>
      </c>
      <c r="D5403">
        <f>IF(B5403="","",HOUR(A5403))</f>
        <v/>
      </c>
    </row>
    <row r="5404">
      <c r="A5404">
        <f>Input!A5404</f>
        <v/>
      </c>
      <c r="B5404">
        <f>IF(ISNUMBER(Input!B5404),IF(AND(Input!B5404&gt;=20,Input!B5404&lt;=700),Input!B5404,""),"")</f>
        <v/>
      </c>
      <c r="C5404">
        <f>IF(B5404="","",INT(A5404))</f>
        <v/>
      </c>
      <c r="D5404">
        <f>IF(B5404="","",HOUR(A5404))</f>
        <v/>
      </c>
    </row>
    <row r="5405">
      <c r="A5405">
        <f>Input!A5405</f>
        <v/>
      </c>
      <c r="B5405">
        <f>IF(ISNUMBER(Input!B5405),IF(AND(Input!B5405&gt;=20,Input!B5405&lt;=700),Input!B5405,""),"")</f>
        <v/>
      </c>
      <c r="C5405">
        <f>IF(B5405="","",INT(A5405))</f>
        <v/>
      </c>
      <c r="D5405">
        <f>IF(B5405="","",HOUR(A5405))</f>
        <v/>
      </c>
    </row>
    <row r="5406">
      <c r="A5406">
        <f>Input!A5406</f>
        <v/>
      </c>
      <c r="B5406">
        <f>IF(ISNUMBER(Input!B5406),IF(AND(Input!B5406&gt;=20,Input!B5406&lt;=700),Input!B5406,""),"")</f>
        <v/>
      </c>
      <c r="C5406">
        <f>IF(B5406="","",INT(A5406))</f>
        <v/>
      </c>
      <c r="D5406">
        <f>IF(B5406="","",HOUR(A5406))</f>
        <v/>
      </c>
    </row>
    <row r="5407">
      <c r="A5407">
        <f>Input!A5407</f>
        <v/>
      </c>
      <c r="B5407">
        <f>IF(ISNUMBER(Input!B5407),IF(AND(Input!B5407&gt;=20,Input!B5407&lt;=700),Input!B5407,""),"")</f>
        <v/>
      </c>
      <c r="C5407">
        <f>IF(B5407="","",INT(A5407))</f>
        <v/>
      </c>
      <c r="D5407">
        <f>IF(B5407="","",HOUR(A5407))</f>
        <v/>
      </c>
    </row>
    <row r="5408">
      <c r="A5408">
        <f>Input!A5408</f>
        <v/>
      </c>
      <c r="B5408">
        <f>IF(ISNUMBER(Input!B5408),IF(AND(Input!B5408&gt;=20,Input!B5408&lt;=700),Input!B5408,""),"")</f>
        <v/>
      </c>
      <c r="C5408">
        <f>IF(B5408="","",INT(A5408))</f>
        <v/>
      </c>
      <c r="D5408">
        <f>IF(B5408="","",HOUR(A5408))</f>
        <v/>
      </c>
    </row>
    <row r="5409">
      <c r="A5409">
        <f>Input!A5409</f>
        <v/>
      </c>
      <c r="B5409">
        <f>IF(ISNUMBER(Input!B5409),IF(AND(Input!B5409&gt;=20,Input!B5409&lt;=700),Input!B5409,""),"")</f>
        <v/>
      </c>
      <c r="C5409">
        <f>IF(B5409="","",INT(A5409))</f>
        <v/>
      </c>
      <c r="D5409">
        <f>IF(B5409="","",HOUR(A5409))</f>
        <v/>
      </c>
    </row>
    <row r="5410">
      <c r="A5410">
        <f>Input!A5410</f>
        <v/>
      </c>
      <c r="B5410">
        <f>IF(ISNUMBER(Input!B5410),IF(AND(Input!B5410&gt;=20,Input!B5410&lt;=700),Input!B5410,""),"")</f>
        <v/>
      </c>
      <c r="C5410">
        <f>IF(B5410="","",INT(A5410))</f>
        <v/>
      </c>
      <c r="D5410">
        <f>IF(B5410="","",HOUR(A5410))</f>
        <v/>
      </c>
    </row>
    <row r="5411">
      <c r="A5411">
        <f>Input!A5411</f>
        <v/>
      </c>
      <c r="B5411">
        <f>IF(ISNUMBER(Input!B5411),IF(AND(Input!B5411&gt;=20,Input!B5411&lt;=700),Input!B5411,""),"")</f>
        <v/>
      </c>
      <c r="C5411">
        <f>IF(B5411="","",INT(A5411))</f>
        <v/>
      </c>
      <c r="D5411">
        <f>IF(B5411="","",HOUR(A5411))</f>
        <v/>
      </c>
    </row>
    <row r="5412">
      <c r="A5412">
        <f>Input!A5412</f>
        <v/>
      </c>
      <c r="B5412">
        <f>IF(ISNUMBER(Input!B5412),IF(AND(Input!B5412&gt;=20,Input!B5412&lt;=700),Input!B5412,""),"")</f>
        <v/>
      </c>
      <c r="C5412">
        <f>IF(B5412="","",INT(A5412))</f>
        <v/>
      </c>
      <c r="D5412">
        <f>IF(B5412="","",HOUR(A5412))</f>
        <v/>
      </c>
    </row>
    <row r="5413">
      <c r="A5413">
        <f>Input!A5413</f>
        <v/>
      </c>
      <c r="B5413">
        <f>IF(ISNUMBER(Input!B5413),IF(AND(Input!B5413&gt;=20,Input!B5413&lt;=700),Input!B5413,""),"")</f>
        <v/>
      </c>
      <c r="C5413">
        <f>IF(B5413="","",INT(A5413))</f>
        <v/>
      </c>
      <c r="D5413">
        <f>IF(B5413="","",HOUR(A5413))</f>
        <v/>
      </c>
    </row>
    <row r="5414">
      <c r="A5414">
        <f>Input!A5414</f>
        <v/>
      </c>
      <c r="B5414">
        <f>IF(ISNUMBER(Input!B5414),IF(AND(Input!B5414&gt;=20,Input!B5414&lt;=700),Input!B5414,""),"")</f>
        <v/>
      </c>
      <c r="C5414">
        <f>IF(B5414="","",INT(A5414))</f>
        <v/>
      </c>
      <c r="D5414">
        <f>IF(B5414="","",HOUR(A5414))</f>
        <v/>
      </c>
    </row>
    <row r="5415">
      <c r="A5415">
        <f>Input!A5415</f>
        <v/>
      </c>
      <c r="B5415">
        <f>IF(ISNUMBER(Input!B5415),IF(AND(Input!B5415&gt;=20,Input!B5415&lt;=700),Input!B5415,""),"")</f>
        <v/>
      </c>
      <c r="C5415">
        <f>IF(B5415="","",INT(A5415))</f>
        <v/>
      </c>
      <c r="D5415">
        <f>IF(B5415="","",HOUR(A5415))</f>
        <v/>
      </c>
    </row>
    <row r="5416">
      <c r="A5416">
        <f>Input!A5416</f>
        <v/>
      </c>
      <c r="B5416">
        <f>IF(ISNUMBER(Input!B5416),IF(AND(Input!B5416&gt;=20,Input!B5416&lt;=700),Input!B5416,""),"")</f>
        <v/>
      </c>
      <c r="C5416">
        <f>IF(B5416="","",INT(A5416))</f>
        <v/>
      </c>
      <c r="D5416">
        <f>IF(B5416="","",HOUR(A5416))</f>
        <v/>
      </c>
    </row>
    <row r="5417">
      <c r="A5417">
        <f>Input!A5417</f>
        <v/>
      </c>
      <c r="B5417">
        <f>IF(ISNUMBER(Input!B5417),IF(AND(Input!B5417&gt;=20,Input!B5417&lt;=700),Input!B5417,""),"")</f>
        <v/>
      </c>
      <c r="C5417">
        <f>IF(B5417="","",INT(A5417))</f>
        <v/>
      </c>
      <c r="D5417">
        <f>IF(B5417="","",HOUR(A5417))</f>
        <v/>
      </c>
    </row>
    <row r="5418">
      <c r="A5418">
        <f>Input!A5418</f>
        <v/>
      </c>
      <c r="B5418">
        <f>IF(ISNUMBER(Input!B5418),IF(AND(Input!B5418&gt;=20,Input!B5418&lt;=700),Input!B5418,""),"")</f>
        <v/>
      </c>
      <c r="C5418">
        <f>IF(B5418="","",INT(A5418))</f>
        <v/>
      </c>
      <c r="D5418">
        <f>IF(B5418="","",HOUR(A5418))</f>
        <v/>
      </c>
    </row>
    <row r="5419">
      <c r="A5419">
        <f>Input!A5419</f>
        <v/>
      </c>
      <c r="B5419">
        <f>IF(ISNUMBER(Input!B5419),IF(AND(Input!B5419&gt;=20,Input!B5419&lt;=700),Input!B5419,""),"")</f>
        <v/>
      </c>
      <c r="C5419">
        <f>IF(B5419="","",INT(A5419))</f>
        <v/>
      </c>
      <c r="D5419">
        <f>IF(B5419="","",HOUR(A5419))</f>
        <v/>
      </c>
    </row>
    <row r="5420">
      <c r="A5420">
        <f>Input!A5420</f>
        <v/>
      </c>
      <c r="B5420">
        <f>IF(ISNUMBER(Input!B5420),IF(AND(Input!B5420&gt;=20,Input!B5420&lt;=700),Input!B5420,""),"")</f>
        <v/>
      </c>
      <c r="C5420">
        <f>IF(B5420="","",INT(A5420))</f>
        <v/>
      </c>
      <c r="D5420">
        <f>IF(B5420="","",HOUR(A5420))</f>
        <v/>
      </c>
    </row>
    <row r="5421">
      <c r="A5421">
        <f>Input!A5421</f>
        <v/>
      </c>
      <c r="B5421">
        <f>IF(ISNUMBER(Input!B5421),IF(AND(Input!B5421&gt;=20,Input!B5421&lt;=700),Input!B5421,""),"")</f>
        <v/>
      </c>
      <c r="C5421">
        <f>IF(B5421="","",INT(A5421))</f>
        <v/>
      </c>
      <c r="D5421">
        <f>IF(B5421="","",HOUR(A5421))</f>
        <v/>
      </c>
    </row>
    <row r="5422">
      <c r="A5422">
        <f>Input!A5422</f>
        <v/>
      </c>
      <c r="B5422">
        <f>IF(ISNUMBER(Input!B5422),IF(AND(Input!B5422&gt;=20,Input!B5422&lt;=700),Input!B5422,""),"")</f>
        <v/>
      </c>
      <c r="C5422">
        <f>IF(B5422="","",INT(A5422))</f>
        <v/>
      </c>
      <c r="D5422">
        <f>IF(B5422="","",HOUR(A5422))</f>
        <v/>
      </c>
    </row>
    <row r="5423">
      <c r="A5423">
        <f>Input!A5423</f>
        <v/>
      </c>
      <c r="B5423">
        <f>IF(ISNUMBER(Input!B5423),IF(AND(Input!B5423&gt;=20,Input!B5423&lt;=700),Input!B5423,""),"")</f>
        <v/>
      </c>
      <c r="C5423">
        <f>IF(B5423="","",INT(A5423))</f>
        <v/>
      </c>
      <c r="D5423">
        <f>IF(B5423="","",HOUR(A5423))</f>
        <v/>
      </c>
    </row>
    <row r="5424">
      <c r="A5424">
        <f>Input!A5424</f>
        <v/>
      </c>
      <c r="B5424">
        <f>IF(ISNUMBER(Input!B5424),IF(AND(Input!B5424&gt;=20,Input!B5424&lt;=700),Input!B5424,""),"")</f>
        <v/>
      </c>
      <c r="C5424">
        <f>IF(B5424="","",INT(A5424))</f>
        <v/>
      </c>
      <c r="D5424">
        <f>IF(B5424="","",HOUR(A5424))</f>
        <v/>
      </c>
    </row>
    <row r="5425">
      <c r="A5425">
        <f>Input!A5425</f>
        <v/>
      </c>
      <c r="B5425">
        <f>IF(ISNUMBER(Input!B5425),IF(AND(Input!B5425&gt;=20,Input!B5425&lt;=700),Input!B5425,""),"")</f>
        <v/>
      </c>
      <c r="C5425">
        <f>IF(B5425="","",INT(A5425))</f>
        <v/>
      </c>
      <c r="D5425">
        <f>IF(B5425="","",HOUR(A5425))</f>
        <v/>
      </c>
    </row>
    <row r="5426">
      <c r="A5426">
        <f>Input!A5426</f>
        <v/>
      </c>
      <c r="B5426">
        <f>IF(ISNUMBER(Input!B5426),IF(AND(Input!B5426&gt;=20,Input!B5426&lt;=700),Input!B5426,""),"")</f>
        <v/>
      </c>
      <c r="C5426">
        <f>IF(B5426="","",INT(A5426))</f>
        <v/>
      </c>
      <c r="D5426">
        <f>IF(B5426="","",HOUR(A5426))</f>
        <v/>
      </c>
    </row>
    <row r="5427">
      <c r="A5427">
        <f>Input!A5427</f>
        <v/>
      </c>
      <c r="B5427">
        <f>IF(ISNUMBER(Input!B5427),IF(AND(Input!B5427&gt;=20,Input!B5427&lt;=700),Input!B5427,""),"")</f>
        <v/>
      </c>
      <c r="C5427">
        <f>IF(B5427="","",INT(A5427))</f>
        <v/>
      </c>
      <c r="D5427">
        <f>IF(B5427="","",HOUR(A5427))</f>
        <v/>
      </c>
    </row>
    <row r="5428">
      <c r="A5428">
        <f>Input!A5428</f>
        <v/>
      </c>
      <c r="B5428">
        <f>IF(ISNUMBER(Input!B5428),IF(AND(Input!B5428&gt;=20,Input!B5428&lt;=700),Input!B5428,""),"")</f>
        <v/>
      </c>
      <c r="C5428">
        <f>IF(B5428="","",INT(A5428))</f>
        <v/>
      </c>
      <c r="D5428">
        <f>IF(B5428="","",HOUR(A5428))</f>
        <v/>
      </c>
    </row>
    <row r="5429">
      <c r="A5429">
        <f>Input!A5429</f>
        <v/>
      </c>
      <c r="B5429">
        <f>IF(ISNUMBER(Input!B5429),IF(AND(Input!B5429&gt;=20,Input!B5429&lt;=700),Input!B5429,""),"")</f>
        <v/>
      </c>
      <c r="C5429">
        <f>IF(B5429="","",INT(A5429))</f>
        <v/>
      </c>
      <c r="D5429">
        <f>IF(B5429="","",HOUR(A5429))</f>
        <v/>
      </c>
    </row>
    <row r="5430">
      <c r="A5430">
        <f>Input!A5430</f>
        <v/>
      </c>
      <c r="B5430">
        <f>IF(ISNUMBER(Input!B5430),IF(AND(Input!B5430&gt;=20,Input!B5430&lt;=700),Input!B5430,""),"")</f>
        <v/>
      </c>
      <c r="C5430">
        <f>IF(B5430="","",INT(A5430))</f>
        <v/>
      </c>
      <c r="D5430">
        <f>IF(B5430="","",HOUR(A5430))</f>
        <v/>
      </c>
    </row>
    <row r="5431">
      <c r="A5431">
        <f>Input!A5431</f>
        <v/>
      </c>
      <c r="B5431">
        <f>IF(ISNUMBER(Input!B5431),IF(AND(Input!B5431&gt;=20,Input!B5431&lt;=700),Input!B5431,""),"")</f>
        <v/>
      </c>
      <c r="C5431">
        <f>IF(B5431="","",INT(A5431))</f>
        <v/>
      </c>
      <c r="D5431">
        <f>IF(B5431="","",HOUR(A5431))</f>
        <v/>
      </c>
    </row>
    <row r="5432">
      <c r="A5432">
        <f>Input!A5432</f>
        <v/>
      </c>
      <c r="B5432">
        <f>IF(ISNUMBER(Input!B5432),IF(AND(Input!B5432&gt;=20,Input!B5432&lt;=700),Input!B5432,""),"")</f>
        <v/>
      </c>
      <c r="C5432">
        <f>IF(B5432="","",INT(A5432))</f>
        <v/>
      </c>
      <c r="D5432">
        <f>IF(B5432="","",HOUR(A5432))</f>
        <v/>
      </c>
    </row>
    <row r="5433">
      <c r="A5433">
        <f>Input!A5433</f>
        <v/>
      </c>
      <c r="B5433">
        <f>IF(ISNUMBER(Input!B5433),IF(AND(Input!B5433&gt;=20,Input!B5433&lt;=700),Input!B5433,""),"")</f>
        <v/>
      </c>
      <c r="C5433">
        <f>IF(B5433="","",INT(A5433))</f>
        <v/>
      </c>
      <c r="D5433">
        <f>IF(B5433="","",HOUR(A5433))</f>
        <v/>
      </c>
    </row>
    <row r="5434">
      <c r="A5434">
        <f>Input!A5434</f>
        <v/>
      </c>
      <c r="B5434">
        <f>IF(ISNUMBER(Input!B5434),IF(AND(Input!B5434&gt;=20,Input!B5434&lt;=700),Input!B5434,""),"")</f>
        <v/>
      </c>
      <c r="C5434">
        <f>IF(B5434="","",INT(A5434))</f>
        <v/>
      </c>
      <c r="D5434">
        <f>IF(B5434="","",HOUR(A5434))</f>
        <v/>
      </c>
    </row>
    <row r="5435">
      <c r="A5435">
        <f>Input!A5435</f>
        <v/>
      </c>
      <c r="B5435">
        <f>IF(ISNUMBER(Input!B5435),IF(AND(Input!B5435&gt;=20,Input!B5435&lt;=700),Input!B5435,""),"")</f>
        <v/>
      </c>
      <c r="C5435">
        <f>IF(B5435="","",INT(A5435))</f>
        <v/>
      </c>
      <c r="D5435">
        <f>IF(B5435="","",HOUR(A5435))</f>
        <v/>
      </c>
    </row>
    <row r="5436">
      <c r="A5436">
        <f>Input!A5436</f>
        <v/>
      </c>
      <c r="B5436">
        <f>IF(ISNUMBER(Input!B5436),IF(AND(Input!B5436&gt;=20,Input!B5436&lt;=700),Input!B5436,""),"")</f>
        <v/>
      </c>
      <c r="C5436">
        <f>IF(B5436="","",INT(A5436))</f>
        <v/>
      </c>
      <c r="D5436">
        <f>IF(B5436="","",HOUR(A5436))</f>
        <v/>
      </c>
    </row>
    <row r="5437">
      <c r="A5437">
        <f>Input!A5437</f>
        <v/>
      </c>
      <c r="B5437">
        <f>IF(ISNUMBER(Input!B5437),IF(AND(Input!B5437&gt;=20,Input!B5437&lt;=700),Input!B5437,""),"")</f>
        <v/>
      </c>
      <c r="C5437">
        <f>IF(B5437="","",INT(A5437))</f>
        <v/>
      </c>
      <c r="D5437">
        <f>IF(B5437="","",HOUR(A5437))</f>
        <v/>
      </c>
    </row>
    <row r="5438">
      <c r="A5438">
        <f>Input!A5438</f>
        <v/>
      </c>
      <c r="B5438">
        <f>IF(ISNUMBER(Input!B5438),IF(AND(Input!B5438&gt;=20,Input!B5438&lt;=700),Input!B5438,""),"")</f>
        <v/>
      </c>
      <c r="C5438">
        <f>IF(B5438="","",INT(A5438))</f>
        <v/>
      </c>
      <c r="D5438">
        <f>IF(B5438="","",HOUR(A5438))</f>
        <v/>
      </c>
    </row>
    <row r="5439">
      <c r="A5439">
        <f>Input!A5439</f>
        <v/>
      </c>
      <c r="B5439">
        <f>IF(ISNUMBER(Input!B5439),IF(AND(Input!B5439&gt;=20,Input!B5439&lt;=700),Input!B5439,""),"")</f>
        <v/>
      </c>
      <c r="C5439">
        <f>IF(B5439="","",INT(A5439))</f>
        <v/>
      </c>
      <c r="D5439">
        <f>IF(B5439="","",HOUR(A5439))</f>
        <v/>
      </c>
    </row>
    <row r="5440">
      <c r="A5440">
        <f>Input!A5440</f>
        <v/>
      </c>
      <c r="B5440">
        <f>IF(ISNUMBER(Input!B5440),IF(AND(Input!B5440&gt;=20,Input!B5440&lt;=700),Input!B5440,""),"")</f>
        <v/>
      </c>
      <c r="C5440">
        <f>IF(B5440="","",INT(A5440))</f>
        <v/>
      </c>
      <c r="D5440">
        <f>IF(B5440="","",HOUR(A5440))</f>
        <v/>
      </c>
    </row>
    <row r="5441">
      <c r="A5441">
        <f>Input!A5441</f>
        <v/>
      </c>
      <c r="B5441">
        <f>IF(ISNUMBER(Input!B5441),IF(AND(Input!B5441&gt;=20,Input!B5441&lt;=700),Input!B5441,""),"")</f>
        <v/>
      </c>
      <c r="C5441">
        <f>IF(B5441="","",INT(A5441))</f>
        <v/>
      </c>
      <c r="D5441">
        <f>IF(B5441="","",HOUR(A5441))</f>
        <v/>
      </c>
    </row>
    <row r="5442">
      <c r="A5442">
        <f>Input!A5442</f>
        <v/>
      </c>
      <c r="B5442">
        <f>IF(ISNUMBER(Input!B5442),IF(AND(Input!B5442&gt;=20,Input!B5442&lt;=700),Input!B5442,""),"")</f>
        <v/>
      </c>
      <c r="C5442">
        <f>IF(B5442="","",INT(A5442))</f>
        <v/>
      </c>
      <c r="D5442">
        <f>IF(B5442="","",HOUR(A5442))</f>
        <v/>
      </c>
    </row>
    <row r="5443">
      <c r="A5443">
        <f>Input!A5443</f>
        <v/>
      </c>
      <c r="B5443">
        <f>IF(ISNUMBER(Input!B5443),IF(AND(Input!B5443&gt;=20,Input!B5443&lt;=700),Input!B5443,""),"")</f>
        <v/>
      </c>
      <c r="C5443">
        <f>IF(B5443="","",INT(A5443))</f>
        <v/>
      </c>
      <c r="D5443">
        <f>IF(B5443="","",HOUR(A5443))</f>
        <v/>
      </c>
    </row>
    <row r="5444">
      <c r="A5444">
        <f>Input!A5444</f>
        <v/>
      </c>
      <c r="B5444">
        <f>IF(ISNUMBER(Input!B5444),IF(AND(Input!B5444&gt;=20,Input!B5444&lt;=700),Input!B5444,""),"")</f>
        <v/>
      </c>
      <c r="C5444">
        <f>IF(B5444="","",INT(A5444))</f>
        <v/>
      </c>
      <c r="D5444">
        <f>IF(B5444="","",HOUR(A5444))</f>
        <v/>
      </c>
    </row>
    <row r="5445">
      <c r="A5445">
        <f>Input!A5445</f>
        <v/>
      </c>
      <c r="B5445">
        <f>IF(ISNUMBER(Input!B5445),IF(AND(Input!B5445&gt;=20,Input!B5445&lt;=700),Input!B5445,""),"")</f>
        <v/>
      </c>
      <c r="C5445">
        <f>IF(B5445="","",INT(A5445))</f>
        <v/>
      </c>
      <c r="D5445">
        <f>IF(B5445="","",HOUR(A5445))</f>
        <v/>
      </c>
    </row>
    <row r="5446">
      <c r="A5446">
        <f>Input!A5446</f>
        <v/>
      </c>
      <c r="B5446">
        <f>IF(ISNUMBER(Input!B5446),IF(AND(Input!B5446&gt;=20,Input!B5446&lt;=700),Input!B5446,""),"")</f>
        <v/>
      </c>
      <c r="C5446">
        <f>IF(B5446="","",INT(A5446))</f>
        <v/>
      </c>
      <c r="D5446">
        <f>IF(B5446="","",HOUR(A5446))</f>
        <v/>
      </c>
    </row>
    <row r="5447">
      <c r="A5447">
        <f>Input!A5447</f>
        <v/>
      </c>
      <c r="B5447">
        <f>IF(ISNUMBER(Input!B5447),IF(AND(Input!B5447&gt;=20,Input!B5447&lt;=700),Input!B5447,""),"")</f>
        <v/>
      </c>
      <c r="C5447">
        <f>IF(B5447="","",INT(A5447))</f>
        <v/>
      </c>
      <c r="D5447">
        <f>IF(B5447="","",HOUR(A5447))</f>
        <v/>
      </c>
    </row>
    <row r="5448">
      <c r="A5448">
        <f>Input!A5448</f>
        <v/>
      </c>
      <c r="B5448">
        <f>IF(ISNUMBER(Input!B5448),IF(AND(Input!B5448&gt;=20,Input!B5448&lt;=700),Input!B5448,""),"")</f>
        <v/>
      </c>
      <c r="C5448">
        <f>IF(B5448="","",INT(A5448))</f>
        <v/>
      </c>
      <c r="D5448">
        <f>IF(B5448="","",HOUR(A5448))</f>
        <v/>
      </c>
    </row>
    <row r="5449">
      <c r="A5449">
        <f>Input!A5449</f>
        <v/>
      </c>
      <c r="B5449">
        <f>IF(ISNUMBER(Input!B5449),IF(AND(Input!B5449&gt;=20,Input!B5449&lt;=700),Input!B5449,""),"")</f>
        <v/>
      </c>
      <c r="C5449">
        <f>IF(B5449="","",INT(A5449))</f>
        <v/>
      </c>
      <c r="D5449">
        <f>IF(B5449="","",HOUR(A5449))</f>
        <v/>
      </c>
    </row>
    <row r="5450">
      <c r="A5450">
        <f>Input!A5450</f>
        <v/>
      </c>
      <c r="B5450">
        <f>IF(ISNUMBER(Input!B5450),IF(AND(Input!B5450&gt;=20,Input!B5450&lt;=700),Input!B5450,""),"")</f>
        <v/>
      </c>
      <c r="C5450">
        <f>IF(B5450="","",INT(A5450))</f>
        <v/>
      </c>
      <c r="D5450">
        <f>IF(B5450="","",HOUR(A5450))</f>
        <v/>
      </c>
    </row>
    <row r="5451">
      <c r="A5451">
        <f>Input!A5451</f>
        <v/>
      </c>
      <c r="B5451">
        <f>IF(ISNUMBER(Input!B5451),IF(AND(Input!B5451&gt;=20,Input!B5451&lt;=700),Input!B5451,""),"")</f>
        <v/>
      </c>
      <c r="C5451">
        <f>IF(B5451="","",INT(A5451))</f>
        <v/>
      </c>
      <c r="D5451">
        <f>IF(B5451="","",HOUR(A5451))</f>
        <v/>
      </c>
    </row>
    <row r="5452">
      <c r="A5452">
        <f>Input!A5452</f>
        <v/>
      </c>
      <c r="B5452">
        <f>IF(ISNUMBER(Input!B5452),IF(AND(Input!B5452&gt;=20,Input!B5452&lt;=700),Input!B5452,""),"")</f>
        <v/>
      </c>
      <c r="C5452">
        <f>IF(B5452="","",INT(A5452))</f>
        <v/>
      </c>
      <c r="D5452">
        <f>IF(B5452="","",HOUR(A5452))</f>
        <v/>
      </c>
    </row>
    <row r="5453">
      <c r="A5453">
        <f>Input!A5453</f>
        <v/>
      </c>
      <c r="B5453">
        <f>IF(ISNUMBER(Input!B5453),IF(AND(Input!B5453&gt;=20,Input!B5453&lt;=700),Input!B5453,""),"")</f>
        <v/>
      </c>
      <c r="C5453">
        <f>IF(B5453="","",INT(A5453))</f>
        <v/>
      </c>
      <c r="D5453">
        <f>IF(B5453="","",HOUR(A5453))</f>
        <v/>
      </c>
    </row>
    <row r="5454">
      <c r="A5454">
        <f>Input!A5454</f>
        <v/>
      </c>
      <c r="B5454">
        <f>IF(ISNUMBER(Input!B5454),IF(AND(Input!B5454&gt;=20,Input!B5454&lt;=700),Input!B5454,""),"")</f>
        <v/>
      </c>
      <c r="C5454">
        <f>IF(B5454="","",INT(A5454))</f>
        <v/>
      </c>
      <c r="D5454">
        <f>IF(B5454="","",HOUR(A5454))</f>
        <v/>
      </c>
    </row>
    <row r="5455">
      <c r="A5455">
        <f>Input!A5455</f>
        <v/>
      </c>
      <c r="B5455">
        <f>IF(ISNUMBER(Input!B5455),IF(AND(Input!B5455&gt;=20,Input!B5455&lt;=700),Input!B5455,""),"")</f>
        <v/>
      </c>
      <c r="C5455">
        <f>IF(B5455="","",INT(A5455))</f>
        <v/>
      </c>
      <c r="D5455">
        <f>IF(B5455="","",HOUR(A5455))</f>
        <v/>
      </c>
    </row>
    <row r="5456">
      <c r="A5456">
        <f>Input!A5456</f>
        <v/>
      </c>
      <c r="B5456">
        <f>IF(ISNUMBER(Input!B5456),IF(AND(Input!B5456&gt;=20,Input!B5456&lt;=700),Input!B5456,""),"")</f>
        <v/>
      </c>
      <c r="C5456">
        <f>IF(B5456="","",INT(A5456))</f>
        <v/>
      </c>
      <c r="D5456">
        <f>IF(B5456="","",HOUR(A5456))</f>
        <v/>
      </c>
    </row>
    <row r="5457">
      <c r="A5457">
        <f>Input!A5457</f>
        <v/>
      </c>
      <c r="B5457">
        <f>IF(ISNUMBER(Input!B5457),IF(AND(Input!B5457&gt;=20,Input!B5457&lt;=700),Input!B5457,""),"")</f>
        <v/>
      </c>
      <c r="C5457">
        <f>IF(B5457="","",INT(A5457))</f>
        <v/>
      </c>
      <c r="D5457">
        <f>IF(B5457="","",HOUR(A5457))</f>
        <v/>
      </c>
    </row>
    <row r="5458">
      <c r="A5458">
        <f>Input!A5458</f>
        <v/>
      </c>
      <c r="B5458">
        <f>IF(ISNUMBER(Input!B5458),IF(AND(Input!B5458&gt;=20,Input!B5458&lt;=700),Input!B5458,""),"")</f>
        <v/>
      </c>
      <c r="C5458">
        <f>IF(B5458="","",INT(A5458))</f>
        <v/>
      </c>
      <c r="D5458">
        <f>IF(B5458="","",HOUR(A5458))</f>
        <v/>
      </c>
    </row>
    <row r="5459">
      <c r="A5459">
        <f>Input!A5459</f>
        <v/>
      </c>
      <c r="B5459">
        <f>IF(ISNUMBER(Input!B5459),IF(AND(Input!B5459&gt;=20,Input!B5459&lt;=700),Input!B5459,""),"")</f>
        <v/>
      </c>
      <c r="C5459">
        <f>IF(B5459="","",INT(A5459))</f>
        <v/>
      </c>
      <c r="D5459">
        <f>IF(B5459="","",HOUR(A5459))</f>
        <v/>
      </c>
    </row>
    <row r="5460">
      <c r="A5460">
        <f>Input!A5460</f>
        <v/>
      </c>
      <c r="B5460">
        <f>IF(ISNUMBER(Input!B5460),IF(AND(Input!B5460&gt;=20,Input!B5460&lt;=700),Input!B5460,""),"")</f>
        <v/>
      </c>
      <c r="C5460">
        <f>IF(B5460="","",INT(A5460))</f>
        <v/>
      </c>
      <c r="D5460">
        <f>IF(B5460="","",HOUR(A5460))</f>
        <v/>
      </c>
    </row>
    <row r="5461">
      <c r="A5461">
        <f>Input!A5461</f>
        <v/>
      </c>
      <c r="B5461">
        <f>IF(ISNUMBER(Input!B5461),IF(AND(Input!B5461&gt;=20,Input!B5461&lt;=700),Input!B5461,""),"")</f>
        <v/>
      </c>
      <c r="C5461">
        <f>IF(B5461="","",INT(A5461))</f>
        <v/>
      </c>
      <c r="D5461">
        <f>IF(B5461="","",HOUR(A5461))</f>
        <v/>
      </c>
    </row>
    <row r="5462">
      <c r="A5462">
        <f>Input!A5462</f>
        <v/>
      </c>
      <c r="B5462">
        <f>IF(ISNUMBER(Input!B5462),IF(AND(Input!B5462&gt;=20,Input!B5462&lt;=700),Input!B5462,""),"")</f>
        <v/>
      </c>
      <c r="C5462">
        <f>IF(B5462="","",INT(A5462))</f>
        <v/>
      </c>
      <c r="D5462">
        <f>IF(B5462="","",HOUR(A5462))</f>
        <v/>
      </c>
    </row>
    <row r="5463">
      <c r="A5463">
        <f>Input!A5463</f>
        <v/>
      </c>
      <c r="B5463">
        <f>IF(ISNUMBER(Input!B5463),IF(AND(Input!B5463&gt;=20,Input!B5463&lt;=700),Input!B5463,""),"")</f>
        <v/>
      </c>
      <c r="C5463">
        <f>IF(B5463="","",INT(A5463))</f>
        <v/>
      </c>
      <c r="D5463">
        <f>IF(B5463="","",HOUR(A5463))</f>
        <v/>
      </c>
    </row>
    <row r="5464">
      <c r="A5464">
        <f>Input!A5464</f>
        <v/>
      </c>
      <c r="B5464">
        <f>IF(ISNUMBER(Input!B5464),IF(AND(Input!B5464&gt;=20,Input!B5464&lt;=700),Input!B5464,""),"")</f>
        <v/>
      </c>
      <c r="C5464">
        <f>IF(B5464="","",INT(A5464))</f>
        <v/>
      </c>
      <c r="D5464">
        <f>IF(B5464="","",HOUR(A5464))</f>
        <v/>
      </c>
    </row>
    <row r="5465">
      <c r="A5465">
        <f>Input!A5465</f>
        <v/>
      </c>
      <c r="B5465">
        <f>IF(ISNUMBER(Input!B5465),IF(AND(Input!B5465&gt;=20,Input!B5465&lt;=700),Input!B5465,""),"")</f>
        <v/>
      </c>
      <c r="C5465">
        <f>IF(B5465="","",INT(A5465))</f>
        <v/>
      </c>
      <c r="D5465">
        <f>IF(B5465="","",HOUR(A5465))</f>
        <v/>
      </c>
    </row>
    <row r="5466">
      <c r="A5466">
        <f>Input!A5466</f>
        <v/>
      </c>
      <c r="B5466">
        <f>IF(ISNUMBER(Input!B5466),IF(AND(Input!B5466&gt;=20,Input!B5466&lt;=700),Input!B5466,""),"")</f>
        <v/>
      </c>
      <c r="C5466">
        <f>IF(B5466="","",INT(A5466))</f>
        <v/>
      </c>
      <c r="D5466">
        <f>IF(B5466="","",HOUR(A5466))</f>
        <v/>
      </c>
    </row>
    <row r="5467">
      <c r="A5467">
        <f>Input!A5467</f>
        <v/>
      </c>
      <c r="B5467">
        <f>IF(ISNUMBER(Input!B5467),IF(AND(Input!B5467&gt;=20,Input!B5467&lt;=700),Input!B5467,""),"")</f>
        <v/>
      </c>
      <c r="C5467">
        <f>IF(B5467="","",INT(A5467))</f>
        <v/>
      </c>
      <c r="D5467">
        <f>IF(B5467="","",HOUR(A5467))</f>
        <v/>
      </c>
    </row>
    <row r="5468">
      <c r="A5468">
        <f>Input!A5468</f>
        <v/>
      </c>
      <c r="B5468">
        <f>IF(ISNUMBER(Input!B5468),IF(AND(Input!B5468&gt;=20,Input!B5468&lt;=700),Input!B5468,""),"")</f>
        <v/>
      </c>
      <c r="C5468">
        <f>IF(B5468="","",INT(A5468))</f>
        <v/>
      </c>
      <c r="D5468">
        <f>IF(B5468="","",HOUR(A5468))</f>
        <v/>
      </c>
    </row>
    <row r="5469">
      <c r="A5469">
        <f>Input!A5469</f>
        <v/>
      </c>
      <c r="B5469">
        <f>IF(ISNUMBER(Input!B5469),IF(AND(Input!B5469&gt;=20,Input!B5469&lt;=700),Input!B5469,""),"")</f>
        <v/>
      </c>
      <c r="C5469">
        <f>IF(B5469="","",INT(A5469))</f>
        <v/>
      </c>
      <c r="D5469">
        <f>IF(B5469="","",HOUR(A5469))</f>
        <v/>
      </c>
    </row>
    <row r="5470">
      <c r="A5470">
        <f>Input!A5470</f>
        <v/>
      </c>
      <c r="B5470">
        <f>IF(ISNUMBER(Input!B5470),IF(AND(Input!B5470&gt;=20,Input!B5470&lt;=700),Input!B5470,""),"")</f>
        <v/>
      </c>
      <c r="C5470">
        <f>IF(B5470="","",INT(A5470))</f>
        <v/>
      </c>
      <c r="D5470">
        <f>IF(B5470="","",HOUR(A5470))</f>
        <v/>
      </c>
    </row>
    <row r="5471">
      <c r="A5471">
        <f>Input!A5471</f>
        <v/>
      </c>
      <c r="B5471">
        <f>IF(ISNUMBER(Input!B5471),IF(AND(Input!B5471&gt;=20,Input!B5471&lt;=700),Input!B5471,""),"")</f>
        <v/>
      </c>
      <c r="C5471">
        <f>IF(B5471="","",INT(A5471))</f>
        <v/>
      </c>
      <c r="D5471">
        <f>IF(B5471="","",HOUR(A5471))</f>
        <v/>
      </c>
    </row>
    <row r="5472">
      <c r="A5472">
        <f>Input!A5472</f>
        <v/>
      </c>
      <c r="B5472">
        <f>IF(ISNUMBER(Input!B5472),IF(AND(Input!B5472&gt;=20,Input!B5472&lt;=700),Input!B5472,""),"")</f>
        <v/>
      </c>
      <c r="C5472">
        <f>IF(B5472="","",INT(A5472))</f>
        <v/>
      </c>
      <c r="D5472">
        <f>IF(B5472="","",HOUR(A5472))</f>
        <v/>
      </c>
    </row>
    <row r="5473">
      <c r="A5473">
        <f>Input!A5473</f>
        <v/>
      </c>
      <c r="B5473">
        <f>IF(ISNUMBER(Input!B5473),IF(AND(Input!B5473&gt;=20,Input!B5473&lt;=700),Input!B5473,""),"")</f>
        <v/>
      </c>
      <c r="C5473">
        <f>IF(B5473="","",INT(A5473))</f>
        <v/>
      </c>
      <c r="D5473">
        <f>IF(B5473="","",HOUR(A5473))</f>
        <v/>
      </c>
    </row>
    <row r="5474">
      <c r="A5474">
        <f>Input!A5474</f>
        <v/>
      </c>
      <c r="B5474">
        <f>IF(ISNUMBER(Input!B5474),IF(AND(Input!B5474&gt;=20,Input!B5474&lt;=700),Input!B5474,""),"")</f>
        <v/>
      </c>
      <c r="C5474">
        <f>IF(B5474="","",INT(A5474))</f>
        <v/>
      </c>
      <c r="D5474">
        <f>IF(B5474="","",HOUR(A5474))</f>
        <v/>
      </c>
    </row>
    <row r="5475">
      <c r="A5475">
        <f>Input!A5475</f>
        <v/>
      </c>
      <c r="B5475">
        <f>IF(ISNUMBER(Input!B5475),IF(AND(Input!B5475&gt;=20,Input!B5475&lt;=700),Input!B5475,""),"")</f>
        <v/>
      </c>
      <c r="C5475">
        <f>IF(B5475="","",INT(A5475))</f>
        <v/>
      </c>
      <c r="D5475">
        <f>IF(B5475="","",HOUR(A5475))</f>
        <v/>
      </c>
    </row>
    <row r="5476">
      <c r="A5476">
        <f>Input!A5476</f>
        <v/>
      </c>
      <c r="B5476">
        <f>IF(ISNUMBER(Input!B5476),IF(AND(Input!B5476&gt;=20,Input!B5476&lt;=700),Input!B5476,""),"")</f>
        <v/>
      </c>
      <c r="C5476">
        <f>IF(B5476="","",INT(A5476))</f>
        <v/>
      </c>
      <c r="D5476">
        <f>IF(B5476="","",HOUR(A5476))</f>
        <v/>
      </c>
    </row>
    <row r="5477">
      <c r="A5477">
        <f>Input!A5477</f>
        <v/>
      </c>
      <c r="B5477">
        <f>IF(ISNUMBER(Input!B5477),IF(AND(Input!B5477&gt;=20,Input!B5477&lt;=700),Input!B5477,""),"")</f>
        <v/>
      </c>
      <c r="C5477">
        <f>IF(B5477="","",INT(A5477))</f>
        <v/>
      </c>
      <c r="D5477">
        <f>IF(B5477="","",HOUR(A5477))</f>
        <v/>
      </c>
    </row>
    <row r="5478">
      <c r="A5478">
        <f>Input!A5478</f>
        <v/>
      </c>
      <c r="B5478">
        <f>IF(ISNUMBER(Input!B5478),IF(AND(Input!B5478&gt;=20,Input!B5478&lt;=700),Input!B5478,""),"")</f>
        <v/>
      </c>
      <c r="C5478">
        <f>IF(B5478="","",INT(A5478))</f>
        <v/>
      </c>
      <c r="D5478">
        <f>IF(B5478="","",HOUR(A5478))</f>
        <v/>
      </c>
    </row>
    <row r="5479">
      <c r="A5479">
        <f>Input!A5479</f>
        <v/>
      </c>
      <c r="B5479">
        <f>IF(ISNUMBER(Input!B5479),IF(AND(Input!B5479&gt;=20,Input!B5479&lt;=700),Input!B5479,""),"")</f>
        <v/>
      </c>
      <c r="C5479">
        <f>IF(B5479="","",INT(A5479))</f>
        <v/>
      </c>
      <c r="D5479">
        <f>IF(B5479="","",HOUR(A5479))</f>
        <v/>
      </c>
    </row>
    <row r="5480">
      <c r="A5480">
        <f>Input!A5480</f>
        <v/>
      </c>
      <c r="B5480">
        <f>IF(ISNUMBER(Input!B5480),IF(AND(Input!B5480&gt;=20,Input!B5480&lt;=700),Input!B5480,""),"")</f>
        <v/>
      </c>
      <c r="C5480">
        <f>IF(B5480="","",INT(A5480))</f>
        <v/>
      </c>
      <c r="D5480">
        <f>IF(B5480="","",HOUR(A5480))</f>
        <v/>
      </c>
    </row>
    <row r="5481">
      <c r="A5481">
        <f>Input!A5481</f>
        <v/>
      </c>
      <c r="B5481">
        <f>IF(ISNUMBER(Input!B5481),IF(AND(Input!B5481&gt;=20,Input!B5481&lt;=700),Input!B5481,""),"")</f>
        <v/>
      </c>
      <c r="C5481">
        <f>IF(B5481="","",INT(A5481))</f>
        <v/>
      </c>
      <c r="D5481">
        <f>IF(B5481="","",HOUR(A5481))</f>
        <v/>
      </c>
    </row>
    <row r="5482">
      <c r="A5482">
        <f>Input!A5482</f>
        <v/>
      </c>
      <c r="B5482">
        <f>IF(ISNUMBER(Input!B5482),IF(AND(Input!B5482&gt;=20,Input!B5482&lt;=700),Input!B5482,""),"")</f>
        <v/>
      </c>
      <c r="C5482">
        <f>IF(B5482="","",INT(A5482))</f>
        <v/>
      </c>
      <c r="D5482">
        <f>IF(B5482="","",HOUR(A5482))</f>
        <v/>
      </c>
    </row>
    <row r="5483">
      <c r="A5483">
        <f>Input!A5483</f>
        <v/>
      </c>
      <c r="B5483">
        <f>IF(ISNUMBER(Input!B5483),IF(AND(Input!B5483&gt;=20,Input!B5483&lt;=700),Input!B5483,""),"")</f>
        <v/>
      </c>
      <c r="C5483">
        <f>IF(B5483="","",INT(A5483))</f>
        <v/>
      </c>
      <c r="D5483">
        <f>IF(B5483="","",HOUR(A5483))</f>
        <v/>
      </c>
    </row>
    <row r="5484">
      <c r="A5484">
        <f>Input!A5484</f>
        <v/>
      </c>
      <c r="B5484">
        <f>IF(ISNUMBER(Input!B5484),IF(AND(Input!B5484&gt;=20,Input!B5484&lt;=700),Input!B5484,""),"")</f>
        <v/>
      </c>
      <c r="C5484">
        <f>IF(B5484="","",INT(A5484))</f>
        <v/>
      </c>
      <c r="D5484">
        <f>IF(B5484="","",HOUR(A5484))</f>
        <v/>
      </c>
    </row>
    <row r="5485">
      <c r="A5485">
        <f>Input!A5485</f>
        <v/>
      </c>
      <c r="B5485">
        <f>IF(ISNUMBER(Input!B5485),IF(AND(Input!B5485&gt;=20,Input!B5485&lt;=700),Input!B5485,""),"")</f>
        <v/>
      </c>
      <c r="C5485">
        <f>IF(B5485="","",INT(A5485))</f>
        <v/>
      </c>
      <c r="D5485">
        <f>IF(B5485="","",HOUR(A5485))</f>
        <v/>
      </c>
    </row>
    <row r="5486">
      <c r="A5486">
        <f>Input!A5486</f>
        <v/>
      </c>
      <c r="B5486">
        <f>IF(ISNUMBER(Input!B5486),IF(AND(Input!B5486&gt;=20,Input!B5486&lt;=700),Input!B5486,""),"")</f>
        <v/>
      </c>
      <c r="C5486">
        <f>IF(B5486="","",INT(A5486))</f>
        <v/>
      </c>
      <c r="D5486">
        <f>IF(B5486="","",HOUR(A5486))</f>
        <v/>
      </c>
    </row>
    <row r="5487">
      <c r="A5487">
        <f>Input!A5487</f>
        <v/>
      </c>
      <c r="B5487">
        <f>IF(ISNUMBER(Input!B5487),IF(AND(Input!B5487&gt;=20,Input!B5487&lt;=700),Input!B5487,""),"")</f>
        <v/>
      </c>
      <c r="C5487">
        <f>IF(B5487="","",INT(A5487))</f>
        <v/>
      </c>
      <c r="D5487">
        <f>IF(B5487="","",HOUR(A5487))</f>
        <v/>
      </c>
    </row>
    <row r="5488">
      <c r="A5488">
        <f>Input!A5488</f>
        <v/>
      </c>
      <c r="B5488">
        <f>IF(ISNUMBER(Input!B5488),IF(AND(Input!B5488&gt;=20,Input!B5488&lt;=700),Input!B5488,""),"")</f>
        <v/>
      </c>
      <c r="C5488">
        <f>IF(B5488="","",INT(A5488))</f>
        <v/>
      </c>
      <c r="D5488">
        <f>IF(B5488="","",HOUR(A5488))</f>
        <v/>
      </c>
    </row>
    <row r="5489">
      <c r="A5489">
        <f>Input!A5489</f>
        <v/>
      </c>
      <c r="B5489">
        <f>IF(ISNUMBER(Input!B5489),IF(AND(Input!B5489&gt;=20,Input!B5489&lt;=700),Input!B5489,""),"")</f>
        <v/>
      </c>
      <c r="C5489">
        <f>IF(B5489="","",INT(A5489))</f>
        <v/>
      </c>
      <c r="D5489">
        <f>IF(B5489="","",HOUR(A5489))</f>
        <v/>
      </c>
    </row>
    <row r="5490">
      <c r="A5490">
        <f>Input!A5490</f>
        <v/>
      </c>
      <c r="B5490">
        <f>IF(ISNUMBER(Input!B5490),IF(AND(Input!B5490&gt;=20,Input!B5490&lt;=700),Input!B5490,""),"")</f>
        <v/>
      </c>
      <c r="C5490">
        <f>IF(B5490="","",INT(A5490))</f>
        <v/>
      </c>
      <c r="D5490">
        <f>IF(B5490="","",HOUR(A5490))</f>
        <v/>
      </c>
    </row>
    <row r="5491">
      <c r="A5491">
        <f>Input!A5491</f>
        <v/>
      </c>
      <c r="B5491">
        <f>IF(ISNUMBER(Input!B5491),IF(AND(Input!B5491&gt;=20,Input!B5491&lt;=700),Input!B5491,""),"")</f>
        <v/>
      </c>
      <c r="C5491">
        <f>IF(B5491="","",INT(A5491))</f>
        <v/>
      </c>
      <c r="D5491">
        <f>IF(B5491="","",HOUR(A5491))</f>
        <v/>
      </c>
    </row>
    <row r="5492">
      <c r="A5492">
        <f>Input!A5492</f>
        <v/>
      </c>
      <c r="B5492">
        <f>IF(ISNUMBER(Input!B5492),IF(AND(Input!B5492&gt;=20,Input!B5492&lt;=700),Input!B5492,""),"")</f>
        <v/>
      </c>
      <c r="C5492">
        <f>IF(B5492="","",INT(A5492))</f>
        <v/>
      </c>
      <c r="D5492">
        <f>IF(B5492="","",HOUR(A5492))</f>
        <v/>
      </c>
    </row>
    <row r="5493">
      <c r="A5493">
        <f>Input!A5493</f>
        <v/>
      </c>
      <c r="B5493">
        <f>IF(ISNUMBER(Input!B5493),IF(AND(Input!B5493&gt;=20,Input!B5493&lt;=700),Input!B5493,""),"")</f>
        <v/>
      </c>
      <c r="C5493">
        <f>IF(B5493="","",INT(A5493))</f>
        <v/>
      </c>
      <c r="D5493">
        <f>IF(B5493="","",HOUR(A5493))</f>
        <v/>
      </c>
    </row>
    <row r="5494">
      <c r="A5494">
        <f>Input!A5494</f>
        <v/>
      </c>
      <c r="B5494">
        <f>IF(ISNUMBER(Input!B5494),IF(AND(Input!B5494&gt;=20,Input!B5494&lt;=700),Input!B5494,""),"")</f>
        <v/>
      </c>
      <c r="C5494">
        <f>IF(B5494="","",INT(A5494))</f>
        <v/>
      </c>
      <c r="D5494">
        <f>IF(B5494="","",HOUR(A5494))</f>
        <v/>
      </c>
    </row>
    <row r="5495">
      <c r="A5495">
        <f>Input!A5495</f>
        <v/>
      </c>
      <c r="B5495">
        <f>IF(ISNUMBER(Input!B5495),IF(AND(Input!B5495&gt;=20,Input!B5495&lt;=700),Input!B5495,""),"")</f>
        <v/>
      </c>
      <c r="C5495">
        <f>IF(B5495="","",INT(A5495))</f>
        <v/>
      </c>
      <c r="D5495">
        <f>IF(B5495="","",HOUR(A5495))</f>
        <v/>
      </c>
    </row>
    <row r="5496">
      <c r="A5496">
        <f>Input!A5496</f>
        <v/>
      </c>
      <c r="B5496">
        <f>IF(ISNUMBER(Input!B5496),IF(AND(Input!B5496&gt;=20,Input!B5496&lt;=700),Input!B5496,""),"")</f>
        <v/>
      </c>
      <c r="C5496">
        <f>IF(B5496="","",INT(A5496))</f>
        <v/>
      </c>
      <c r="D5496">
        <f>IF(B5496="","",HOUR(A5496))</f>
        <v/>
      </c>
    </row>
    <row r="5497">
      <c r="A5497">
        <f>Input!A5497</f>
        <v/>
      </c>
      <c r="B5497">
        <f>IF(ISNUMBER(Input!B5497),IF(AND(Input!B5497&gt;=20,Input!B5497&lt;=700),Input!B5497,""),"")</f>
        <v/>
      </c>
      <c r="C5497">
        <f>IF(B5497="","",INT(A5497))</f>
        <v/>
      </c>
      <c r="D5497">
        <f>IF(B5497="","",HOUR(A5497))</f>
        <v/>
      </c>
    </row>
    <row r="5498">
      <c r="A5498">
        <f>Input!A5498</f>
        <v/>
      </c>
      <c r="B5498">
        <f>IF(ISNUMBER(Input!B5498),IF(AND(Input!B5498&gt;=20,Input!B5498&lt;=700),Input!B5498,""),"")</f>
        <v/>
      </c>
      <c r="C5498">
        <f>IF(B5498="","",INT(A5498))</f>
        <v/>
      </c>
      <c r="D5498">
        <f>IF(B5498="","",HOUR(A5498))</f>
        <v/>
      </c>
    </row>
    <row r="5499">
      <c r="A5499">
        <f>Input!A5499</f>
        <v/>
      </c>
      <c r="B5499">
        <f>IF(ISNUMBER(Input!B5499),IF(AND(Input!B5499&gt;=20,Input!B5499&lt;=700),Input!B5499,""),"")</f>
        <v/>
      </c>
      <c r="C5499">
        <f>IF(B5499="","",INT(A5499))</f>
        <v/>
      </c>
      <c r="D5499">
        <f>IF(B5499="","",HOUR(A5499))</f>
        <v/>
      </c>
    </row>
    <row r="5500">
      <c r="A5500">
        <f>Input!A5500</f>
        <v/>
      </c>
      <c r="B5500">
        <f>IF(ISNUMBER(Input!B5500),IF(AND(Input!B5500&gt;=20,Input!B5500&lt;=700),Input!B5500,""),"")</f>
        <v/>
      </c>
      <c r="C5500">
        <f>IF(B5500="","",INT(A5500))</f>
        <v/>
      </c>
      <c r="D5500">
        <f>IF(B5500="","",HOUR(A5500))</f>
        <v/>
      </c>
    </row>
    <row r="5501">
      <c r="A5501">
        <f>Input!A5501</f>
        <v/>
      </c>
      <c r="B5501">
        <f>IF(ISNUMBER(Input!B5501),IF(AND(Input!B5501&gt;=20,Input!B5501&lt;=700),Input!B5501,""),"")</f>
        <v/>
      </c>
      <c r="C5501">
        <f>IF(B5501="","",INT(A5501))</f>
        <v/>
      </c>
      <c r="D5501">
        <f>IF(B5501="","",HOUR(A5501))</f>
        <v/>
      </c>
    </row>
    <row r="5502">
      <c r="A5502">
        <f>Input!A5502</f>
        <v/>
      </c>
      <c r="B5502">
        <f>IF(ISNUMBER(Input!B5502),IF(AND(Input!B5502&gt;=20,Input!B5502&lt;=700),Input!B5502,""),"")</f>
        <v/>
      </c>
      <c r="C5502">
        <f>IF(B5502="","",INT(A5502))</f>
        <v/>
      </c>
      <c r="D5502">
        <f>IF(B5502="","",HOUR(A5502))</f>
        <v/>
      </c>
    </row>
    <row r="5503">
      <c r="A5503">
        <f>Input!A5503</f>
        <v/>
      </c>
      <c r="B5503">
        <f>IF(ISNUMBER(Input!B5503),IF(AND(Input!B5503&gt;=20,Input!B5503&lt;=700),Input!B5503,""),"")</f>
        <v/>
      </c>
      <c r="C5503">
        <f>IF(B5503="","",INT(A5503))</f>
        <v/>
      </c>
      <c r="D5503">
        <f>IF(B5503="","",HOUR(A5503))</f>
        <v/>
      </c>
    </row>
    <row r="5504">
      <c r="A5504">
        <f>Input!A5504</f>
        <v/>
      </c>
      <c r="B5504">
        <f>IF(ISNUMBER(Input!B5504),IF(AND(Input!B5504&gt;=20,Input!B5504&lt;=700),Input!B5504,""),"")</f>
        <v/>
      </c>
      <c r="C5504">
        <f>IF(B5504="","",INT(A5504))</f>
        <v/>
      </c>
      <c r="D5504">
        <f>IF(B5504="","",HOUR(A5504))</f>
        <v/>
      </c>
    </row>
    <row r="5505">
      <c r="A5505">
        <f>Input!A5505</f>
        <v/>
      </c>
      <c r="B5505">
        <f>IF(ISNUMBER(Input!B5505),IF(AND(Input!B5505&gt;=20,Input!B5505&lt;=700),Input!B5505,""),"")</f>
        <v/>
      </c>
      <c r="C5505">
        <f>IF(B5505="","",INT(A5505))</f>
        <v/>
      </c>
      <c r="D5505">
        <f>IF(B5505="","",HOUR(A5505))</f>
        <v/>
      </c>
    </row>
    <row r="5506">
      <c r="A5506">
        <f>Input!A5506</f>
        <v/>
      </c>
      <c r="B5506">
        <f>IF(ISNUMBER(Input!B5506),IF(AND(Input!B5506&gt;=20,Input!B5506&lt;=700),Input!B5506,""),"")</f>
        <v/>
      </c>
      <c r="C5506">
        <f>IF(B5506="","",INT(A5506))</f>
        <v/>
      </c>
      <c r="D5506">
        <f>IF(B5506="","",HOUR(A5506))</f>
        <v/>
      </c>
    </row>
    <row r="5507">
      <c r="A5507">
        <f>Input!A5507</f>
        <v/>
      </c>
      <c r="B5507">
        <f>IF(ISNUMBER(Input!B5507),IF(AND(Input!B5507&gt;=20,Input!B5507&lt;=700),Input!B5507,""),"")</f>
        <v/>
      </c>
      <c r="C5507">
        <f>IF(B5507="","",INT(A5507))</f>
        <v/>
      </c>
      <c r="D5507">
        <f>IF(B5507="","",HOUR(A5507))</f>
        <v/>
      </c>
    </row>
    <row r="5508">
      <c r="A5508">
        <f>Input!A5508</f>
        <v/>
      </c>
      <c r="B5508">
        <f>IF(ISNUMBER(Input!B5508),IF(AND(Input!B5508&gt;=20,Input!B5508&lt;=700),Input!B5508,""),"")</f>
        <v/>
      </c>
      <c r="C5508">
        <f>IF(B5508="","",INT(A5508))</f>
        <v/>
      </c>
      <c r="D5508">
        <f>IF(B5508="","",HOUR(A5508))</f>
        <v/>
      </c>
    </row>
    <row r="5509">
      <c r="A5509">
        <f>Input!A5509</f>
        <v/>
      </c>
      <c r="B5509">
        <f>IF(ISNUMBER(Input!B5509),IF(AND(Input!B5509&gt;=20,Input!B5509&lt;=700),Input!B5509,""),"")</f>
        <v/>
      </c>
      <c r="C5509">
        <f>IF(B5509="","",INT(A5509))</f>
        <v/>
      </c>
      <c r="D5509">
        <f>IF(B5509="","",HOUR(A5509))</f>
        <v/>
      </c>
    </row>
    <row r="5510">
      <c r="A5510">
        <f>Input!A5510</f>
        <v/>
      </c>
      <c r="B5510">
        <f>IF(ISNUMBER(Input!B5510),IF(AND(Input!B5510&gt;=20,Input!B5510&lt;=700),Input!B5510,""),"")</f>
        <v/>
      </c>
      <c r="C5510">
        <f>IF(B5510="","",INT(A5510))</f>
        <v/>
      </c>
      <c r="D5510">
        <f>IF(B5510="","",HOUR(A5510))</f>
        <v/>
      </c>
    </row>
    <row r="5511">
      <c r="A5511">
        <f>Input!A5511</f>
        <v/>
      </c>
      <c r="B5511">
        <f>IF(ISNUMBER(Input!B5511),IF(AND(Input!B5511&gt;=20,Input!B5511&lt;=700),Input!B5511,""),"")</f>
        <v/>
      </c>
      <c r="C5511">
        <f>IF(B5511="","",INT(A5511))</f>
        <v/>
      </c>
      <c r="D5511">
        <f>IF(B5511="","",HOUR(A5511))</f>
        <v/>
      </c>
    </row>
    <row r="5512">
      <c r="A5512">
        <f>Input!A5512</f>
        <v/>
      </c>
      <c r="B5512">
        <f>IF(ISNUMBER(Input!B5512),IF(AND(Input!B5512&gt;=20,Input!B5512&lt;=700),Input!B5512,""),"")</f>
        <v/>
      </c>
      <c r="C5512">
        <f>IF(B5512="","",INT(A5512))</f>
        <v/>
      </c>
      <c r="D5512">
        <f>IF(B5512="","",HOUR(A5512))</f>
        <v/>
      </c>
    </row>
    <row r="5513">
      <c r="A5513">
        <f>Input!A5513</f>
        <v/>
      </c>
      <c r="B5513">
        <f>IF(ISNUMBER(Input!B5513),IF(AND(Input!B5513&gt;=20,Input!B5513&lt;=700),Input!B5513,""),"")</f>
        <v/>
      </c>
      <c r="C5513">
        <f>IF(B5513="","",INT(A5513))</f>
        <v/>
      </c>
      <c r="D5513">
        <f>IF(B5513="","",HOUR(A5513))</f>
        <v/>
      </c>
    </row>
    <row r="5514">
      <c r="A5514">
        <f>Input!A5514</f>
        <v/>
      </c>
      <c r="B5514">
        <f>IF(ISNUMBER(Input!B5514),IF(AND(Input!B5514&gt;=20,Input!B5514&lt;=700),Input!B5514,""),"")</f>
        <v/>
      </c>
      <c r="C5514">
        <f>IF(B5514="","",INT(A5514))</f>
        <v/>
      </c>
      <c r="D5514">
        <f>IF(B5514="","",HOUR(A5514))</f>
        <v/>
      </c>
    </row>
    <row r="5515">
      <c r="A5515">
        <f>Input!A5515</f>
        <v/>
      </c>
      <c r="B5515">
        <f>IF(ISNUMBER(Input!B5515),IF(AND(Input!B5515&gt;=20,Input!B5515&lt;=700),Input!B5515,""),"")</f>
        <v/>
      </c>
      <c r="C5515">
        <f>IF(B5515="","",INT(A5515))</f>
        <v/>
      </c>
      <c r="D5515">
        <f>IF(B5515="","",HOUR(A5515))</f>
        <v/>
      </c>
    </row>
    <row r="5516">
      <c r="A5516">
        <f>Input!A5516</f>
        <v/>
      </c>
      <c r="B5516">
        <f>IF(ISNUMBER(Input!B5516),IF(AND(Input!B5516&gt;=20,Input!B5516&lt;=700),Input!B5516,""),"")</f>
        <v/>
      </c>
      <c r="C5516">
        <f>IF(B5516="","",INT(A5516))</f>
        <v/>
      </c>
      <c r="D5516">
        <f>IF(B5516="","",HOUR(A5516))</f>
        <v/>
      </c>
    </row>
    <row r="5517">
      <c r="A5517">
        <f>Input!A5517</f>
        <v/>
      </c>
      <c r="B5517">
        <f>IF(ISNUMBER(Input!B5517),IF(AND(Input!B5517&gt;=20,Input!B5517&lt;=700),Input!B5517,""),"")</f>
        <v/>
      </c>
      <c r="C5517">
        <f>IF(B5517="","",INT(A5517))</f>
        <v/>
      </c>
      <c r="D5517">
        <f>IF(B5517="","",HOUR(A5517))</f>
        <v/>
      </c>
    </row>
    <row r="5518">
      <c r="A5518">
        <f>Input!A5518</f>
        <v/>
      </c>
      <c r="B5518">
        <f>IF(ISNUMBER(Input!B5518),IF(AND(Input!B5518&gt;=20,Input!B5518&lt;=700),Input!B5518,""),"")</f>
        <v/>
      </c>
      <c r="C5518">
        <f>IF(B5518="","",INT(A5518))</f>
        <v/>
      </c>
      <c r="D5518">
        <f>IF(B5518="","",HOUR(A5518))</f>
        <v/>
      </c>
    </row>
    <row r="5519">
      <c r="A5519">
        <f>Input!A5519</f>
        <v/>
      </c>
      <c r="B5519">
        <f>IF(ISNUMBER(Input!B5519),IF(AND(Input!B5519&gt;=20,Input!B5519&lt;=700),Input!B5519,""),"")</f>
        <v/>
      </c>
      <c r="C5519">
        <f>IF(B5519="","",INT(A5519))</f>
        <v/>
      </c>
      <c r="D5519">
        <f>IF(B5519="","",HOUR(A5519))</f>
        <v/>
      </c>
    </row>
    <row r="5520">
      <c r="A5520">
        <f>Input!A5520</f>
        <v/>
      </c>
      <c r="B5520">
        <f>IF(ISNUMBER(Input!B5520),IF(AND(Input!B5520&gt;=20,Input!B5520&lt;=700),Input!B5520,""),"")</f>
        <v/>
      </c>
      <c r="C5520">
        <f>IF(B5520="","",INT(A5520))</f>
        <v/>
      </c>
      <c r="D5520">
        <f>IF(B5520="","",HOUR(A5520))</f>
        <v/>
      </c>
    </row>
    <row r="5521">
      <c r="A5521">
        <f>Input!A5521</f>
        <v/>
      </c>
      <c r="B5521">
        <f>IF(ISNUMBER(Input!B5521),IF(AND(Input!B5521&gt;=20,Input!B5521&lt;=700),Input!B5521,""),"")</f>
        <v/>
      </c>
      <c r="C5521">
        <f>IF(B5521="","",INT(A5521))</f>
        <v/>
      </c>
      <c r="D5521">
        <f>IF(B5521="","",HOUR(A5521))</f>
        <v/>
      </c>
    </row>
    <row r="5522">
      <c r="A5522">
        <f>Input!A5522</f>
        <v/>
      </c>
      <c r="B5522">
        <f>IF(ISNUMBER(Input!B5522),IF(AND(Input!B5522&gt;=20,Input!B5522&lt;=700),Input!B5522,""),"")</f>
        <v/>
      </c>
      <c r="C5522">
        <f>IF(B5522="","",INT(A5522))</f>
        <v/>
      </c>
      <c r="D5522">
        <f>IF(B5522="","",HOUR(A5522))</f>
        <v/>
      </c>
    </row>
    <row r="5523">
      <c r="A5523">
        <f>Input!A5523</f>
        <v/>
      </c>
      <c r="B5523">
        <f>IF(ISNUMBER(Input!B5523),IF(AND(Input!B5523&gt;=20,Input!B5523&lt;=700),Input!B5523,""),"")</f>
        <v/>
      </c>
      <c r="C5523">
        <f>IF(B5523="","",INT(A5523))</f>
        <v/>
      </c>
      <c r="D5523">
        <f>IF(B5523="","",HOUR(A5523))</f>
        <v/>
      </c>
    </row>
    <row r="5524">
      <c r="A5524">
        <f>Input!A5524</f>
        <v/>
      </c>
      <c r="B5524">
        <f>IF(ISNUMBER(Input!B5524),IF(AND(Input!B5524&gt;=20,Input!B5524&lt;=700),Input!B5524,""),"")</f>
        <v/>
      </c>
      <c r="C5524">
        <f>IF(B5524="","",INT(A5524))</f>
        <v/>
      </c>
      <c r="D5524">
        <f>IF(B5524="","",HOUR(A5524))</f>
        <v/>
      </c>
    </row>
    <row r="5525">
      <c r="A5525">
        <f>Input!A5525</f>
        <v/>
      </c>
      <c r="B5525">
        <f>IF(ISNUMBER(Input!B5525),IF(AND(Input!B5525&gt;=20,Input!B5525&lt;=700),Input!B5525,""),"")</f>
        <v/>
      </c>
      <c r="C5525">
        <f>IF(B5525="","",INT(A5525))</f>
        <v/>
      </c>
      <c r="D5525">
        <f>IF(B5525="","",HOUR(A5525))</f>
        <v/>
      </c>
    </row>
    <row r="5526">
      <c r="A5526">
        <f>Input!A5526</f>
        <v/>
      </c>
      <c r="B5526">
        <f>IF(ISNUMBER(Input!B5526),IF(AND(Input!B5526&gt;=20,Input!B5526&lt;=700),Input!B5526,""),"")</f>
        <v/>
      </c>
      <c r="C5526">
        <f>IF(B5526="","",INT(A5526))</f>
        <v/>
      </c>
      <c r="D5526">
        <f>IF(B5526="","",HOUR(A5526))</f>
        <v/>
      </c>
    </row>
    <row r="5527">
      <c r="A5527">
        <f>Input!A5527</f>
        <v/>
      </c>
      <c r="B5527">
        <f>IF(ISNUMBER(Input!B5527),IF(AND(Input!B5527&gt;=20,Input!B5527&lt;=700),Input!B5527,""),"")</f>
        <v/>
      </c>
      <c r="C5527">
        <f>IF(B5527="","",INT(A5527))</f>
        <v/>
      </c>
      <c r="D5527">
        <f>IF(B5527="","",HOUR(A5527))</f>
        <v/>
      </c>
    </row>
    <row r="5528">
      <c r="A5528">
        <f>Input!A5528</f>
        <v/>
      </c>
      <c r="B5528">
        <f>IF(ISNUMBER(Input!B5528),IF(AND(Input!B5528&gt;=20,Input!B5528&lt;=700),Input!B5528,""),"")</f>
        <v/>
      </c>
      <c r="C5528">
        <f>IF(B5528="","",INT(A5528))</f>
        <v/>
      </c>
      <c r="D5528">
        <f>IF(B5528="","",HOUR(A5528))</f>
        <v/>
      </c>
    </row>
    <row r="5529">
      <c r="A5529">
        <f>Input!A5529</f>
        <v/>
      </c>
      <c r="B5529">
        <f>IF(ISNUMBER(Input!B5529),IF(AND(Input!B5529&gt;=20,Input!B5529&lt;=700),Input!B5529,""),"")</f>
        <v/>
      </c>
      <c r="C5529">
        <f>IF(B5529="","",INT(A5529))</f>
        <v/>
      </c>
      <c r="D5529">
        <f>IF(B5529="","",HOUR(A5529))</f>
        <v/>
      </c>
    </row>
    <row r="5530">
      <c r="A5530">
        <f>Input!A5530</f>
        <v/>
      </c>
      <c r="B5530">
        <f>IF(ISNUMBER(Input!B5530),IF(AND(Input!B5530&gt;=20,Input!B5530&lt;=700),Input!B5530,""),"")</f>
        <v/>
      </c>
      <c r="C5530">
        <f>IF(B5530="","",INT(A5530))</f>
        <v/>
      </c>
      <c r="D5530">
        <f>IF(B5530="","",HOUR(A5530))</f>
        <v/>
      </c>
    </row>
    <row r="5531">
      <c r="A5531">
        <f>Input!A5531</f>
        <v/>
      </c>
      <c r="B5531">
        <f>IF(ISNUMBER(Input!B5531),IF(AND(Input!B5531&gt;=20,Input!B5531&lt;=700),Input!B5531,""),"")</f>
        <v/>
      </c>
      <c r="C5531">
        <f>IF(B5531="","",INT(A5531))</f>
        <v/>
      </c>
      <c r="D5531">
        <f>IF(B5531="","",HOUR(A5531))</f>
        <v/>
      </c>
    </row>
    <row r="5532">
      <c r="A5532">
        <f>Input!A5532</f>
        <v/>
      </c>
      <c r="B5532">
        <f>IF(ISNUMBER(Input!B5532),IF(AND(Input!B5532&gt;=20,Input!B5532&lt;=700),Input!B5532,""),"")</f>
        <v/>
      </c>
      <c r="C5532">
        <f>IF(B5532="","",INT(A5532))</f>
        <v/>
      </c>
      <c r="D5532">
        <f>IF(B5532="","",HOUR(A5532))</f>
        <v/>
      </c>
    </row>
    <row r="5533">
      <c r="A5533">
        <f>Input!A5533</f>
        <v/>
      </c>
      <c r="B5533">
        <f>IF(ISNUMBER(Input!B5533),IF(AND(Input!B5533&gt;=20,Input!B5533&lt;=700),Input!B5533,""),"")</f>
        <v/>
      </c>
      <c r="C5533">
        <f>IF(B5533="","",INT(A5533))</f>
        <v/>
      </c>
      <c r="D5533">
        <f>IF(B5533="","",HOUR(A5533))</f>
        <v/>
      </c>
    </row>
    <row r="5534">
      <c r="A5534">
        <f>Input!A5534</f>
        <v/>
      </c>
      <c r="B5534">
        <f>IF(ISNUMBER(Input!B5534),IF(AND(Input!B5534&gt;=20,Input!B5534&lt;=700),Input!B5534,""),"")</f>
        <v/>
      </c>
      <c r="C5534">
        <f>IF(B5534="","",INT(A5534))</f>
        <v/>
      </c>
      <c r="D5534">
        <f>IF(B5534="","",HOUR(A5534))</f>
        <v/>
      </c>
    </row>
    <row r="5535">
      <c r="A5535">
        <f>Input!A5535</f>
        <v/>
      </c>
      <c r="B5535">
        <f>IF(ISNUMBER(Input!B5535),IF(AND(Input!B5535&gt;=20,Input!B5535&lt;=700),Input!B5535,""),"")</f>
        <v/>
      </c>
      <c r="C5535">
        <f>IF(B5535="","",INT(A5535))</f>
        <v/>
      </c>
      <c r="D5535">
        <f>IF(B5535="","",HOUR(A5535))</f>
        <v/>
      </c>
    </row>
    <row r="5536">
      <c r="A5536">
        <f>Input!A5536</f>
        <v/>
      </c>
      <c r="B5536">
        <f>IF(ISNUMBER(Input!B5536),IF(AND(Input!B5536&gt;=20,Input!B5536&lt;=700),Input!B5536,""),"")</f>
        <v/>
      </c>
      <c r="C5536">
        <f>IF(B5536="","",INT(A5536))</f>
        <v/>
      </c>
      <c r="D5536">
        <f>IF(B5536="","",HOUR(A5536))</f>
        <v/>
      </c>
    </row>
    <row r="5537">
      <c r="A5537">
        <f>Input!A5537</f>
        <v/>
      </c>
      <c r="B5537">
        <f>IF(ISNUMBER(Input!B5537),IF(AND(Input!B5537&gt;=20,Input!B5537&lt;=700),Input!B5537,""),"")</f>
        <v/>
      </c>
      <c r="C5537">
        <f>IF(B5537="","",INT(A5537))</f>
        <v/>
      </c>
      <c r="D5537">
        <f>IF(B5537="","",HOUR(A5537))</f>
        <v/>
      </c>
    </row>
    <row r="5538">
      <c r="A5538">
        <f>Input!A5538</f>
        <v/>
      </c>
      <c r="B5538">
        <f>IF(ISNUMBER(Input!B5538),IF(AND(Input!B5538&gt;=20,Input!B5538&lt;=700),Input!B5538,""),"")</f>
        <v/>
      </c>
      <c r="C5538">
        <f>IF(B5538="","",INT(A5538))</f>
        <v/>
      </c>
      <c r="D5538">
        <f>IF(B5538="","",HOUR(A5538))</f>
        <v/>
      </c>
    </row>
    <row r="5539">
      <c r="A5539">
        <f>Input!A5539</f>
        <v/>
      </c>
      <c r="B5539">
        <f>IF(ISNUMBER(Input!B5539),IF(AND(Input!B5539&gt;=20,Input!B5539&lt;=700),Input!B5539,""),"")</f>
        <v/>
      </c>
      <c r="C5539">
        <f>IF(B5539="","",INT(A5539))</f>
        <v/>
      </c>
      <c r="D5539">
        <f>IF(B5539="","",HOUR(A5539))</f>
        <v/>
      </c>
    </row>
    <row r="5540">
      <c r="A5540">
        <f>Input!A5540</f>
        <v/>
      </c>
      <c r="B5540">
        <f>IF(ISNUMBER(Input!B5540),IF(AND(Input!B5540&gt;=20,Input!B5540&lt;=700),Input!B5540,""),"")</f>
        <v/>
      </c>
      <c r="C5540">
        <f>IF(B5540="","",INT(A5540))</f>
        <v/>
      </c>
      <c r="D5540">
        <f>IF(B5540="","",HOUR(A5540))</f>
        <v/>
      </c>
    </row>
    <row r="5541">
      <c r="A5541">
        <f>Input!A5541</f>
        <v/>
      </c>
      <c r="B5541">
        <f>IF(ISNUMBER(Input!B5541),IF(AND(Input!B5541&gt;=20,Input!B5541&lt;=700),Input!B5541,""),"")</f>
        <v/>
      </c>
      <c r="C5541">
        <f>IF(B5541="","",INT(A5541))</f>
        <v/>
      </c>
      <c r="D5541">
        <f>IF(B5541="","",HOUR(A5541))</f>
        <v/>
      </c>
    </row>
    <row r="5542">
      <c r="A5542">
        <f>Input!A5542</f>
        <v/>
      </c>
      <c r="B5542">
        <f>IF(ISNUMBER(Input!B5542),IF(AND(Input!B5542&gt;=20,Input!B5542&lt;=700),Input!B5542,""),"")</f>
        <v/>
      </c>
      <c r="C5542">
        <f>IF(B5542="","",INT(A5542))</f>
        <v/>
      </c>
      <c r="D5542">
        <f>IF(B5542="","",HOUR(A5542))</f>
        <v/>
      </c>
    </row>
    <row r="5543">
      <c r="A5543">
        <f>Input!A5543</f>
        <v/>
      </c>
      <c r="B5543">
        <f>IF(ISNUMBER(Input!B5543),IF(AND(Input!B5543&gt;=20,Input!B5543&lt;=700),Input!B5543,""),"")</f>
        <v/>
      </c>
      <c r="C5543">
        <f>IF(B5543="","",INT(A5543))</f>
        <v/>
      </c>
      <c r="D5543">
        <f>IF(B5543="","",HOUR(A5543))</f>
        <v/>
      </c>
    </row>
    <row r="5544">
      <c r="A5544">
        <f>Input!A5544</f>
        <v/>
      </c>
      <c r="B5544">
        <f>IF(ISNUMBER(Input!B5544),IF(AND(Input!B5544&gt;=20,Input!B5544&lt;=700),Input!B5544,""),"")</f>
        <v/>
      </c>
      <c r="C5544">
        <f>IF(B5544="","",INT(A5544))</f>
        <v/>
      </c>
      <c r="D5544">
        <f>IF(B5544="","",HOUR(A5544))</f>
        <v/>
      </c>
    </row>
    <row r="5545">
      <c r="A5545">
        <f>Input!A5545</f>
        <v/>
      </c>
      <c r="B5545">
        <f>IF(ISNUMBER(Input!B5545),IF(AND(Input!B5545&gt;=20,Input!B5545&lt;=700),Input!B5545,""),"")</f>
        <v/>
      </c>
      <c r="C5545">
        <f>IF(B5545="","",INT(A5545))</f>
        <v/>
      </c>
      <c r="D5545">
        <f>IF(B5545="","",HOUR(A5545))</f>
        <v/>
      </c>
    </row>
    <row r="5546">
      <c r="A5546">
        <f>Input!A5546</f>
        <v/>
      </c>
      <c r="B5546">
        <f>IF(ISNUMBER(Input!B5546),IF(AND(Input!B5546&gt;=20,Input!B5546&lt;=700),Input!B5546,""),"")</f>
        <v/>
      </c>
      <c r="C5546">
        <f>IF(B5546="","",INT(A5546))</f>
        <v/>
      </c>
      <c r="D5546">
        <f>IF(B5546="","",HOUR(A5546))</f>
        <v/>
      </c>
    </row>
    <row r="5547">
      <c r="A5547">
        <f>Input!A5547</f>
        <v/>
      </c>
      <c r="B5547">
        <f>IF(ISNUMBER(Input!B5547),IF(AND(Input!B5547&gt;=20,Input!B5547&lt;=700),Input!B5547,""),"")</f>
        <v/>
      </c>
      <c r="C5547">
        <f>IF(B5547="","",INT(A5547))</f>
        <v/>
      </c>
      <c r="D5547">
        <f>IF(B5547="","",HOUR(A5547))</f>
        <v/>
      </c>
    </row>
    <row r="5548">
      <c r="A5548">
        <f>Input!A5548</f>
        <v/>
      </c>
      <c r="B5548">
        <f>IF(ISNUMBER(Input!B5548),IF(AND(Input!B5548&gt;=20,Input!B5548&lt;=700),Input!B5548,""),"")</f>
        <v/>
      </c>
      <c r="C5548">
        <f>IF(B5548="","",INT(A5548))</f>
        <v/>
      </c>
      <c r="D5548">
        <f>IF(B5548="","",HOUR(A5548))</f>
        <v/>
      </c>
    </row>
    <row r="5549">
      <c r="A5549">
        <f>Input!A5549</f>
        <v/>
      </c>
      <c r="B5549">
        <f>IF(ISNUMBER(Input!B5549),IF(AND(Input!B5549&gt;=20,Input!B5549&lt;=700),Input!B5549,""),"")</f>
        <v/>
      </c>
      <c r="C5549">
        <f>IF(B5549="","",INT(A5549))</f>
        <v/>
      </c>
      <c r="D5549">
        <f>IF(B5549="","",HOUR(A5549))</f>
        <v/>
      </c>
    </row>
    <row r="5550">
      <c r="A5550">
        <f>Input!A5550</f>
        <v/>
      </c>
      <c r="B5550">
        <f>IF(ISNUMBER(Input!B5550),IF(AND(Input!B5550&gt;=20,Input!B5550&lt;=700),Input!B5550,""),"")</f>
        <v/>
      </c>
      <c r="C5550">
        <f>IF(B5550="","",INT(A5550))</f>
        <v/>
      </c>
      <c r="D5550">
        <f>IF(B5550="","",HOUR(A5550))</f>
        <v/>
      </c>
    </row>
    <row r="5551">
      <c r="A5551">
        <f>Input!A5551</f>
        <v/>
      </c>
      <c r="B5551">
        <f>IF(ISNUMBER(Input!B5551),IF(AND(Input!B5551&gt;=20,Input!B5551&lt;=700),Input!B5551,""),"")</f>
        <v/>
      </c>
      <c r="C5551">
        <f>IF(B5551="","",INT(A5551))</f>
        <v/>
      </c>
      <c r="D5551">
        <f>IF(B5551="","",HOUR(A5551))</f>
        <v/>
      </c>
    </row>
    <row r="5552">
      <c r="A5552">
        <f>Input!A5552</f>
        <v/>
      </c>
      <c r="B5552">
        <f>IF(ISNUMBER(Input!B5552),IF(AND(Input!B5552&gt;=20,Input!B5552&lt;=700),Input!B5552,""),"")</f>
        <v/>
      </c>
      <c r="C5552">
        <f>IF(B5552="","",INT(A5552))</f>
        <v/>
      </c>
      <c r="D5552">
        <f>IF(B5552="","",HOUR(A5552))</f>
        <v/>
      </c>
    </row>
    <row r="5553">
      <c r="A5553">
        <f>Input!A5553</f>
        <v/>
      </c>
      <c r="B5553">
        <f>IF(ISNUMBER(Input!B5553),IF(AND(Input!B5553&gt;=20,Input!B5553&lt;=700),Input!B5553,""),"")</f>
        <v/>
      </c>
      <c r="C5553">
        <f>IF(B5553="","",INT(A5553))</f>
        <v/>
      </c>
      <c r="D5553">
        <f>IF(B5553="","",HOUR(A5553))</f>
        <v/>
      </c>
    </row>
    <row r="5554">
      <c r="A5554">
        <f>Input!A5554</f>
        <v/>
      </c>
      <c r="B5554">
        <f>IF(ISNUMBER(Input!B5554),IF(AND(Input!B5554&gt;=20,Input!B5554&lt;=700),Input!B5554,""),"")</f>
        <v/>
      </c>
      <c r="C5554">
        <f>IF(B5554="","",INT(A5554))</f>
        <v/>
      </c>
      <c r="D5554">
        <f>IF(B5554="","",HOUR(A5554))</f>
        <v/>
      </c>
    </row>
    <row r="5555">
      <c r="A5555">
        <f>Input!A5555</f>
        <v/>
      </c>
      <c r="B5555">
        <f>IF(ISNUMBER(Input!B5555),IF(AND(Input!B5555&gt;=20,Input!B5555&lt;=700),Input!B5555,""),"")</f>
        <v/>
      </c>
      <c r="C5555">
        <f>IF(B5555="","",INT(A5555))</f>
        <v/>
      </c>
      <c r="D5555">
        <f>IF(B5555="","",HOUR(A5555))</f>
        <v/>
      </c>
    </row>
    <row r="5556">
      <c r="A5556">
        <f>Input!A5556</f>
        <v/>
      </c>
      <c r="B5556">
        <f>IF(ISNUMBER(Input!B5556),IF(AND(Input!B5556&gt;=20,Input!B5556&lt;=700),Input!B5556,""),"")</f>
        <v/>
      </c>
      <c r="C5556">
        <f>IF(B5556="","",INT(A5556))</f>
        <v/>
      </c>
      <c r="D5556">
        <f>IF(B5556="","",HOUR(A5556))</f>
        <v/>
      </c>
    </row>
    <row r="5557">
      <c r="A5557">
        <f>Input!A5557</f>
        <v/>
      </c>
      <c r="B5557">
        <f>IF(ISNUMBER(Input!B5557),IF(AND(Input!B5557&gt;=20,Input!B5557&lt;=700),Input!B5557,""),"")</f>
        <v/>
      </c>
      <c r="C5557">
        <f>IF(B5557="","",INT(A5557))</f>
        <v/>
      </c>
      <c r="D5557">
        <f>IF(B5557="","",HOUR(A5557))</f>
        <v/>
      </c>
    </row>
    <row r="5558">
      <c r="A5558">
        <f>Input!A5558</f>
        <v/>
      </c>
      <c r="B5558">
        <f>IF(ISNUMBER(Input!B5558),IF(AND(Input!B5558&gt;=20,Input!B5558&lt;=700),Input!B5558,""),"")</f>
        <v/>
      </c>
      <c r="C5558">
        <f>IF(B5558="","",INT(A5558))</f>
        <v/>
      </c>
      <c r="D5558">
        <f>IF(B5558="","",HOUR(A5558))</f>
        <v/>
      </c>
    </row>
    <row r="5559">
      <c r="A5559">
        <f>Input!A5559</f>
        <v/>
      </c>
      <c r="B5559">
        <f>IF(ISNUMBER(Input!B5559),IF(AND(Input!B5559&gt;=20,Input!B5559&lt;=700),Input!B5559,""),"")</f>
        <v/>
      </c>
      <c r="C5559">
        <f>IF(B5559="","",INT(A5559))</f>
        <v/>
      </c>
      <c r="D5559">
        <f>IF(B5559="","",HOUR(A5559))</f>
        <v/>
      </c>
    </row>
    <row r="5560">
      <c r="A5560">
        <f>Input!A5560</f>
        <v/>
      </c>
      <c r="B5560">
        <f>IF(ISNUMBER(Input!B5560),IF(AND(Input!B5560&gt;=20,Input!B5560&lt;=700),Input!B5560,""),"")</f>
        <v/>
      </c>
      <c r="C5560">
        <f>IF(B5560="","",INT(A5560))</f>
        <v/>
      </c>
      <c r="D5560">
        <f>IF(B5560="","",HOUR(A5560))</f>
        <v/>
      </c>
    </row>
    <row r="5561">
      <c r="A5561">
        <f>Input!A5561</f>
        <v/>
      </c>
      <c r="B5561">
        <f>IF(ISNUMBER(Input!B5561),IF(AND(Input!B5561&gt;=20,Input!B5561&lt;=700),Input!B5561,""),"")</f>
        <v/>
      </c>
      <c r="C5561">
        <f>IF(B5561="","",INT(A5561))</f>
        <v/>
      </c>
      <c r="D5561">
        <f>IF(B5561="","",HOUR(A5561))</f>
        <v/>
      </c>
    </row>
    <row r="5562">
      <c r="A5562">
        <f>Input!A5562</f>
        <v/>
      </c>
      <c r="B5562">
        <f>IF(ISNUMBER(Input!B5562),IF(AND(Input!B5562&gt;=20,Input!B5562&lt;=700),Input!B5562,""),"")</f>
        <v/>
      </c>
      <c r="C5562">
        <f>IF(B5562="","",INT(A5562))</f>
        <v/>
      </c>
      <c r="D5562">
        <f>IF(B5562="","",HOUR(A5562))</f>
        <v/>
      </c>
    </row>
    <row r="5563">
      <c r="A5563">
        <f>Input!A5563</f>
        <v/>
      </c>
      <c r="B5563">
        <f>IF(ISNUMBER(Input!B5563),IF(AND(Input!B5563&gt;=20,Input!B5563&lt;=700),Input!B5563,""),"")</f>
        <v/>
      </c>
      <c r="C5563">
        <f>IF(B5563="","",INT(A5563))</f>
        <v/>
      </c>
      <c r="D5563">
        <f>IF(B5563="","",HOUR(A5563))</f>
        <v/>
      </c>
    </row>
    <row r="5564">
      <c r="A5564">
        <f>Input!A5564</f>
        <v/>
      </c>
      <c r="B5564">
        <f>IF(ISNUMBER(Input!B5564),IF(AND(Input!B5564&gt;=20,Input!B5564&lt;=700),Input!B5564,""),"")</f>
        <v/>
      </c>
      <c r="C5564">
        <f>IF(B5564="","",INT(A5564))</f>
        <v/>
      </c>
      <c r="D5564">
        <f>IF(B5564="","",HOUR(A5564))</f>
        <v/>
      </c>
    </row>
    <row r="5565">
      <c r="A5565">
        <f>Input!A5565</f>
        <v/>
      </c>
      <c r="B5565">
        <f>IF(ISNUMBER(Input!B5565),IF(AND(Input!B5565&gt;=20,Input!B5565&lt;=700),Input!B5565,""),"")</f>
        <v/>
      </c>
      <c r="C5565">
        <f>IF(B5565="","",INT(A5565))</f>
        <v/>
      </c>
      <c r="D5565">
        <f>IF(B5565="","",HOUR(A5565))</f>
        <v/>
      </c>
    </row>
    <row r="5566">
      <c r="A5566">
        <f>Input!A5566</f>
        <v/>
      </c>
      <c r="B5566">
        <f>IF(ISNUMBER(Input!B5566),IF(AND(Input!B5566&gt;=20,Input!B5566&lt;=700),Input!B5566,""),"")</f>
        <v/>
      </c>
      <c r="C5566">
        <f>IF(B5566="","",INT(A5566))</f>
        <v/>
      </c>
      <c r="D5566">
        <f>IF(B5566="","",HOUR(A5566))</f>
        <v/>
      </c>
    </row>
    <row r="5567">
      <c r="A5567">
        <f>Input!A5567</f>
        <v/>
      </c>
      <c r="B5567">
        <f>IF(ISNUMBER(Input!B5567),IF(AND(Input!B5567&gt;=20,Input!B5567&lt;=700),Input!B5567,""),"")</f>
        <v/>
      </c>
      <c r="C5567">
        <f>IF(B5567="","",INT(A5567))</f>
        <v/>
      </c>
      <c r="D5567">
        <f>IF(B5567="","",HOUR(A5567))</f>
        <v/>
      </c>
    </row>
    <row r="5568">
      <c r="A5568">
        <f>Input!A5568</f>
        <v/>
      </c>
      <c r="B5568">
        <f>IF(ISNUMBER(Input!B5568),IF(AND(Input!B5568&gt;=20,Input!B5568&lt;=700),Input!B5568,""),"")</f>
        <v/>
      </c>
      <c r="C5568">
        <f>IF(B5568="","",INT(A5568))</f>
        <v/>
      </c>
      <c r="D5568">
        <f>IF(B5568="","",HOUR(A5568))</f>
        <v/>
      </c>
    </row>
    <row r="5569">
      <c r="A5569">
        <f>Input!A5569</f>
        <v/>
      </c>
      <c r="B5569">
        <f>IF(ISNUMBER(Input!B5569),IF(AND(Input!B5569&gt;=20,Input!B5569&lt;=700),Input!B5569,""),"")</f>
        <v/>
      </c>
      <c r="C5569">
        <f>IF(B5569="","",INT(A5569))</f>
        <v/>
      </c>
      <c r="D5569">
        <f>IF(B5569="","",HOUR(A5569))</f>
        <v/>
      </c>
    </row>
    <row r="5570">
      <c r="A5570">
        <f>Input!A5570</f>
        <v/>
      </c>
      <c r="B5570">
        <f>IF(ISNUMBER(Input!B5570),IF(AND(Input!B5570&gt;=20,Input!B5570&lt;=700),Input!B5570,""),"")</f>
        <v/>
      </c>
      <c r="C5570">
        <f>IF(B5570="","",INT(A5570))</f>
        <v/>
      </c>
      <c r="D5570">
        <f>IF(B5570="","",HOUR(A5570))</f>
        <v/>
      </c>
    </row>
    <row r="5571">
      <c r="A5571">
        <f>Input!A5571</f>
        <v/>
      </c>
      <c r="B5571">
        <f>IF(ISNUMBER(Input!B5571),IF(AND(Input!B5571&gt;=20,Input!B5571&lt;=700),Input!B5571,""),"")</f>
        <v/>
      </c>
      <c r="C5571">
        <f>IF(B5571="","",INT(A5571))</f>
        <v/>
      </c>
      <c r="D5571">
        <f>IF(B5571="","",HOUR(A5571))</f>
        <v/>
      </c>
    </row>
    <row r="5572">
      <c r="A5572">
        <f>Input!A5572</f>
        <v/>
      </c>
      <c r="B5572">
        <f>IF(ISNUMBER(Input!B5572),IF(AND(Input!B5572&gt;=20,Input!B5572&lt;=700),Input!B5572,""),"")</f>
        <v/>
      </c>
      <c r="C5572">
        <f>IF(B5572="","",INT(A5572))</f>
        <v/>
      </c>
      <c r="D5572">
        <f>IF(B5572="","",HOUR(A5572))</f>
        <v/>
      </c>
    </row>
    <row r="5573">
      <c r="A5573">
        <f>Input!A5573</f>
        <v/>
      </c>
      <c r="B5573">
        <f>IF(ISNUMBER(Input!B5573),IF(AND(Input!B5573&gt;=20,Input!B5573&lt;=700),Input!B5573,""),"")</f>
        <v/>
      </c>
      <c r="C5573">
        <f>IF(B5573="","",INT(A5573))</f>
        <v/>
      </c>
      <c r="D5573">
        <f>IF(B5573="","",HOUR(A5573))</f>
        <v/>
      </c>
    </row>
    <row r="5574">
      <c r="A5574">
        <f>Input!A5574</f>
        <v/>
      </c>
      <c r="B5574">
        <f>IF(ISNUMBER(Input!B5574),IF(AND(Input!B5574&gt;=20,Input!B5574&lt;=700),Input!B5574,""),"")</f>
        <v/>
      </c>
      <c r="C5574">
        <f>IF(B5574="","",INT(A5574))</f>
        <v/>
      </c>
      <c r="D5574">
        <f>IF(B5574="","",HOUR(A5574))</f>
        <v/>
      </c>
    </row>
    <row r="5575">
      <c r="A5575">
        <f>Input!A5575</f>
        <v/>
      </c>
      <c r="B5575">
        <f>IF(ISNUMBER(Input!B5575),IF(AND(Input!B5575&gt;=20,Input!B5575&lt;=700),Input!B5575,""),"")</f>
        <v/>
      </c>
      <c r="C5575">
        <f>IF(B5575="","",INT(A5575))</f>
        <v/>
      </c>
      <c r="D5575">
        <f>IF(B5575="","",HOUR(A5575))</f>
        <v/>
      </c>
    </row>
    <row r="5576">
      <c r="A5576">
        <f>Input!A5576</f>
        <v/>
      </c>
      <c r="B5576">
        <f>IF(ISNUMBER(Input!B5576),IF(AND(Input!B5576&gt;=20,Input!B5576&lt;=700),Input!B5576,""),"")</f>
        <v/>
      </c>
      <c r="C5576">
        <f>IF(B5576="","",INT(A5576))</f>
        <v/>
      </c>
      <c r="D5576">
        <f>IF(B5576="","",HOUR(A5576))</f>
        <v/>
      </c>
    </row>
    <row r="5577">
      <c r="A5577">
        <f>Input!A5577</f>
        <v/>
      </c>
      <c r="B5577">
        <f>IF(ISNUMBER(Input!B5577),IF(AND(Input!B5577&gt;=20,Input!B5577&lt;=700),Input!B5577,""),"")</f>
        <v/>
      </c>
      <c r="C5577">
        <f>IF(B5577="","",INT(A5577))</f>
        <v/>
      </c>
      <c r="D5577">
        <f>IF(B5577="","",HOUR(A5577))</f>
        <v/>
      </c>
    </row>
    <row r="5578">
      <c r="A5578">
        <f>Input!A5578</f>
        <v/>
      </c>
      <c r="B5578">
        <f>IF(ISNUMBER(Input!B5578),IF(AND(Input!B5578&gt;=20,Input!B5578&lt;=700),Input!B5578,""),"")</f>
        <v/>
      </c>
      <c r="C5578">
        <f>IF(B5578="","",INT(A5578))</f>
        <v/>
      </c>
      <c r="D5578">
        <f>IF(B5578="","",HOUR(A5578))</f>
        <v/>
      </c>
    </row>
    <row r="5579">
      <c r="A5579">
        <f>Input!A5579</f>
        <v/>
      </c>
      <c r="B5579">
        <f>IF(ISNUMBER(Input!B5579),IF(AND(Input!B5579&gt;=20,Input!B5579&lt;=700),Input!B5579,""),"")</f>
        <v/>
      </c>
      <c r="C5579">
        <f>IF(B5579="","",INT(A5579))</f>
        <v/>
      </c>
      <c r="D5579">
        <f>IF(B5579="","",HOUR(A5579))</f>
        <v/>
      </c>
    </row>
    <row r="5580">
      <c r="A5580">
        <f>Input!A5580</f>
        <v/>
      </c>
      <c r="B5580">
        <f>IF(ISNUMBER(Input!B5580),IF(AND(Input!B5580&gt;=20,Input!B5580&lt;=700),Input!B5580,""),"")</f>
        <v/>
      </c>
      <c r="C5580">
        <f>IF(B5580="","",INT(A5580))</f>
        <v/>
      </c>
      <c r="D5580">
        <f>IF(B5580="","",HOUR(A5580))</f>
        <v/>
      </c>
    </row>
    <row r="5581">
      <c r="A5581">
        <f>Input!A5581</f>
        <v/>
      </c>
      <c r="B5581">
        <f>IF(ISNUMBER(Input!B5581),IF(AND(Input!B5581&gt;=20,Input!B5581&lt;=700),Input!B5581,""),"")</f>
        <v/>
      </c>
      <c r="C5581">
        <f>IF(B5581="","",INT(A5581))</f>
        <v/>
      </c>
      <c r="D5581">
        <f>IF(B5581="","",HOUR(A5581))</f>
        <v/>
      </c>
    </row>
    <row r="5582">
      <c r="A5582">
        <f>Input!A5582</f>
        <v/>
      </c>
      <c r="B5582">
        <f>IF(ISNUMBER(Input!B5582),IF(AND(Input!B5582&gt;=20,Input!B5582&lt;=700),Input!B5582,""),"")</f>
        <v/>
      </c>
      <c r="C5582">
        <f>IF(B5582="","",INT(A5582))</f>
        <v/>
      </c>
      <c r="D5582">
        <f>IF(B5582="","",HOUR(A5582))</f>
        <v/>
      </c>
    </row>
    <row r="5583">
      <c r="A5583">
        <f>Input!A5583</f>
        <v/>
      </c>
      <c r="B5583">
        <f>IF(ISNUMBER(Input!B5583),IF(AND(Input!B5583&gt;=20,Input!B5583&lt;=700),Input!B5583,""),"")</f>
        <v/>
      </c>
      <c r="C5583">
        <f>IF(B5583="","",INT(A5583))</f>
        <v/>
      </c>
      <c r="D5583">
        <f>IF(B5583="","",HOUR(A5583))</f>
        <v/>
      </c>
    </row>
    <row r="5584">
      <c r="A5584">
        <f>Input!A5584</f>
        <v/>
      </c>
      <c r="B5584">
        <f>IF(ISNUMBER(Input!B5584),IF(AND(Input!B5584&gt;=20,Input!B5584&lt;=700),Input!B5584,""),"")</f>
        <v/>
      </c>
      <c r="C5584">
        <f>IF(B5584="","",INT(A5584))</f>
        <v/>
      </c>
      <c r="D5584">
        <f>IF(B5584="","",HOUR(A5584))</f>
        <v/>
      </c>
    </row>
    <row r="5585">
      <c r="A5585">
        <f>Input!A5585</f>
        <v/>
      </c>
      <c r="B5585">
        <f>IF(ISNUMBER(Input!B5585),IF(AND(Input!B5585&gt;=20,Input!B5585&lt;=700),Input!B5585,""),"")</f>
        <v/>
      </c>
      <c r="C5585">
        <f>IF(B5585="","",INT(A5585))</f>
        <v/>
      </c>
      <c r="D5585">
        <f>IF(B5585="","",HOUR(A5585))</f>
        <v/>
      </c>
    </row>
    <row r="5586">
      <c r="A5586">
        <f>Input!A5586</f>
        <v/>
      </c>
      <c r="B5586">
        <f>IF(ISNUMBER(Input!B5586),IF(AND(Input!B5586&gt;=20,Input!B5586&lt;=700),Input!B5586,""),"")</f>
        <v/>
      </c>
      <c r="C5586">
        <f>IF(B5586="","",INT(A5586))</f>
        <v/>
      </c>
      <c r="D5586">
        <f>IF(B5586="","",HOUR(A5586))</f>
        <v/>
      </c>
    </row>
    <row r="5587">
      <c r="A5587">
        <f>Input!A5587</f>
        <v/>
      </c>
      <c r="B5587">
        <f>IF(ISNUMBER(Input!B5587),IF(AND(Input!B5587&gt;=20,Input!B5587&lt;=700),Input!B5587,""),"")</f>
        <v/>
      </c>
      <c r="C5587">
        <f>IF(B5587="","",INT(A5587))</f>
        <v/>
      </c>
      <c r="D5587">
        <f>IF(B5587="","",HOUR(A5587))</f>
        <v/>
      </c>
    </row>
    <row r="5588">
      <c r="A5588">
        <f>Input!A5588</f>
        <v/>
      </c>
      <c r="B5588">
        <f>IF(ISNUMBER(Input!B5588),IF(AND(Input!B5588&gt;=20,Input!B5588&lt;=700),Input!B5588,""),"")</f>
        <v/>
      </c>
      <c r="C5588">
        <f>IF(B5588="","",INT(A5588))</f>
        <v/>
      </c>
      <c r="D5588">
        <f>IF(B5588="","",HOUR(A5588))</f>
        <v/>
      </c>
    </row>
    <row r="5589">
      <c r="A5589">
        <f>Input!A5589</f>
        <v/>
      </c>
      <c r="B5589">
        <f>IF(ISNUMBER(Input!B5589),IF(AND(Input!B5589&gt;=20,Input!B5589&lt;=700),Input!B5589,""),"")</f>
        <v/>
      </c>
      <c r="C5589">
        <f>IF(B5589="","",INT(A5589))</f>
        <v/>
      </c>
      <c r="D5589">
        <f>IF(B5589="","",HOUR(A5589))</f>
        <v/>
      </c>
    </row>
    <row r="5590">
      <c r="A5590">
        <f>Input!A5590</f>
        <v/>
      </c>
      <c r="B5590">
        <f>IF(ISNUMBER(Input!B5590),IF(AND(Input!B5590&gt;=20,Input!B5590&lt;=700),Input!B5590,""),"")</f>
        <v/>
      </c>
      <c r="C5590">
        <f>IF(B5590="","",INT(A5590))</f>
        <v/>
      </c>
      <c r="D5590">
        <f>IF(B5590="","",HOUR(A5590))</f>
        <v/>
      </c>
    </row>
    <row r="5591">
      <c r="A5591">
        <f>Input!A5591</f>
        <v/>
      </c>
      <c r="B5591">
        <f>IF(ISNUMBER(Input!B5591),IF(AND(Input!B5591&gt;=20,Input!B5591&lt;=700),Input!B5591,""),"")</f>
        <v/>
      </c>
      <c r="C5591">
        <f>IF(B5591="","",INT(A5591))</f>
        <v/>
      </c>
      <c r="D5591">
        <f>IF(B5591="","",HOUR(A5591))</f>
        <v/>
      </c>
    </row>
    <row r="5592">
      <c r="A5592">
        <f>Input!A5592</f>
        <v/>
      </c>
      <c r="B5592">
        <f>IF(ISNUMBER(Input!B5592),IF(AND(Input!B5592&gt;=20,Input!B5592&lt;=700),Input!B5592,""),"")</f>
        <v/>
      </c>
      <c r="C5592">
        <f>IF(B5592="","",INT(A5592))</f>
        <v/>
      </c>
      <c r="D5592">
        <f>IF(B5592="","",HOUR(A5592))</f>
        <v/>
      </c>
    </row>
    <row r="5593">
      <c r="A5593">
        <f>Input!A5593</f>
        <v/>
      </c>
      <c r="B5593">
        <f>IF(ISNUMBER(Input!B5593),IF(AND(Input!B5593&gt;=20,Input!B5593&lt;=700),Input!B5593,""),"")</f>
        <v/>
      </c>
      <c r="C5593">
        <f>IF(B5593="","",INT(A5593))</f>
        <v/>
      </c>
      <c r="D5593">
        <f>IF(B5593="","",HOUR(A5593))</f>
        <v/>
      </c>
    </row>
    <row r="5594">
      <c r="A5594">
        <f>Input!A5594</f>
        <v/>
      </c>
      <c r="B5594">
        <f>IF(ISNUMBER(Input!B5594),IF(AND(Input!B5594&gt;=20,Input!B5594&lt;=700),Input!B5594,""),"")</f>
        <v/>
      </c>
      <c r="C5594">
        <f>IF(B5594="","",INT(A5594))</f>
        <v/>
      </c>
      <c r="D5594">
        <f>IF(B5594="","",HOUR(A5594))</f>
        <v/>
      </c>
    </row>
    <row r="5595">
      <c r="A5595">
        <f>Input!A5595</f>
        <v/>
      </c>
      <c r="B5595">
        <f>IF(ISNUMBER(Input!B5595),IF(AND(Input!B5595&gt;=20,Input!B5595&lt;=700),Input!B5595,""),"")</f>
        <v/>
      </c>
      <c r="C5595">
        <f>IF(B5595="","",INT(A5595))</f>
        <v/>
      </c>
      <c r="D5595">
        <f>IF(B5595="","",HOUR(A5595))</f>
        <v/>
      </c>
    </row>
    <row r="5596">
      <c r="A5596">
        <f>Input!A5596</f>
        <v/>
      </c>
      <c r="B5596">
        <f>IF(ISNUMBER(Input!B5596),IF(AND(Input!B5596&gt;=20,Input!B5596&lt;=700),Input!B5596,""),"")</f>
        <v/>
      </c>
      <c r="C5596">
        <f>IF(B5596="","",INT(A5596))</f>
        <v/>
      </c>
      <c r="D5596">
        <f>IF(B5596="","",HOUR(A5596))</f>
        <v/>
      </c>
    </row>
    <row r="5597">
      <c r="A5597">
        <f>Input!A5597</f>
        <v/>
      </c>
      <c r="B5597">
        <f>IF(ISNUMBER(Input!B5597),IF(AND(Input!B5597&gt;=20,Input!B5597&lt;=700),Input!B5597,""),"")</f>
        <v/>
      </c>
      <c r="C5597">
        <f>IF(B5597="","",INT(A5597))</f>
        <v/>
      </c>
      <c r="D5597">
        <f>IF(B5597="","",HOUR(A5597))</f>
        <v/>
      </c>
    </row>
    <row r="5598">
      <c r="A5598">
        <f>Input!A5598</f>
        <v/>
      </c>
      <c r="B5598">
        <f>IF(ISNUMBER(Input!B5598),IF(AND(Input!B5598&gt;=20,Input!B5598&lt;=700),Input!B5598,""),"")</f>
        <v/>
      </c>
      <c r="C5598">
        <f>IF(B5598="","",INT(A5598))</f>
        <v/>
      </c>
      <c r="D5598">
        <f>IF(B5598="","",HOUR(A5598))</f>
        <v/>
      </c>
    </row>
    <row r="5599">
      <c r="A5599">
        <f>Input!A5599</f>
        <v/>
      </c>
      <c r="B5599">
        <f>IF(ISNUMBER(Input!B5599),IF(AND(Input!B5599&gt;=20,Input!B5599&lt;=700),Input!B5599,""),"")</f>
        <v/>
      </c>
      <c r="C5599">
        <f>IF(B5599="","",INT(A5599))</f>
        <v/>
      </c>
      <c r="D5599">
        <f>IF(B5599="","",HOUR(A5599))</f>
        <v/>
      </c>
    </row>
    <row r="5600">
      <c r="A5600">
        <f>Input!A5600</f>
        <v/>
      </c>
      <c r="B5600">
        <f>IF(ISNUMBER(Input!B5600),IF(AND(Input!B5600&gt;=20,Input!B5600&lt;=700),Input!B5600,""),"")</f>
        <v/>
      </c>
      <c r="C5600">
        <f>IF(B5600="","",INT(A5600))</f>
        <v/>
      </c>
      <c r="D5600">
        <f>IF(B5600="","",HOUR(A5600))</f>
        <v/>
      </c>
    </row>
    <row r="5601">
      <c r="A5601">
        <f>Input!A5601</f>
        <v/>
      </c>
      <c r="B5601">
        <f>IF(ISNUMBER(Input!B5601),IF(AND(Input!B5601&gt;=20,Input!B5601&lt;=700),Input!B5601,""),"")</f>
        <v/>
      </c>
      <c r="C5601">
        <f>IF(B5601="","",INT(A5601))</f>
        <v/>
      </c>
      <c r="D5601">
        <f>IF(B5601="","",HOUR(A5601))</f>
        <v/>
      </c>
    </row>
    <row r="5602">
      <c r="A5602">
        <f>Input!A5602</f>
        <v/>
      </c>
      <c r="B5602">
        <f>IF(ISNUMBER(Input!B5602),IF(AND(Input!B5602&gt;=20,Input!B5602&lt;=700),Input!B5602,""),"")</f>
        <v/>
      </c>
      <c r="C5602">
        <f>IF(B5602="","",INT(A5602))</f>
        <v/>
      </c>
      <c r="D5602">
        <f>IF(B5602="","",HOUR(A5602))</f>
        <v/>
      </c>
    </row>
    <row r="5603">
      <c r="A5603">
        <f>Input!A5603</f>
        <v/>
      </c>
      <c r="B5603">
        <f>IF(ISNUMBER(Input!B5603),IF(AND(Input!B5603&gt;=20,Input!B5603&lt;=700),Input!B5603,""),"")</f>
        <v/>
      </c>
      <c r="C5603">
        <f>IF(B5603="","",INT(A5603))</f>
        <v/>
      </c>
      <c r="D5603">
        <f>IF(B5603="","",HOUR(A5603))</f>
        <v/>
      </c>
    </row>
    <row r="5604">
      <c r="A5604">
        <f>Input!A5604</f>
        <v/>
      </c>
      <c r="B5604">
        <f>IF(ISNUMBER(Input!B5604),IF(AND(Input!B5604&gt;=20,Input!B5604&lt;=700),Input!B5604,""),"")</f>
        <v/>
      </c>
      <c r="C5604">
        <f>IF(B5604="","",INT(A5604))</f>
        <v/>
      </c>
      <c r="D5604">
        <f>IF(B5604="","",HOUR(A5604))</f>
        <v/>
      </c>
    </row>
    <row r="5605">
      <c r="A5605">
        <f>Input!A5605</f>
        <v/>
      </c>
      <c r="B5605">
        <f>IF(ISNUMBER(Input!B5605),IF(AND(Input!B5605&gt;=20,Input!B5605&lt;=700),Input!B5605,""),"")</f>
        <v/>
      </c>
      <c r="C5605">
        <f>IF(B5605="","",INT(A5605))</f>
        <v/>
      </c>
      <c r="D5605">
        <f>IF(B5605="","",HOUR(A5605))</f>
        <v/>
      </c>
    </row>
    <row r="5606">
      <c r="A5606">
        <f>Input!A5606</f>
        <v/>
      </c>
      <c r="B5606">
        <f>IF(ISNUMBER(Input!B5606),IF(AND(Input!B5606&gt;=20,Input!B5606&lt;=700),Input!B5606,""),"")</f>
        <v/>
      </c>
      <c r="C5606">
        <f>IF(B5606="","",INT(A5606))</f>
        <v/>
      </c>
      <c r="D5606">
        <f>IF(B5606="","",HOUR(A5606))</f>
        <v/>
      </c>
    </row>
    <row r="5607">
      <c r="A5607">
        <f>Input!A5607</f>
        <v/>
      </c>
      <c r="B5607">
        <f>IF(ISNUMBER(Input!B5607),IF(AND(Input!B5607&gt;=20,Input!B5607&lt;=700),Input!B5607,""),"")</f>
        <v/>
      </c>
      <c r="C5607">
        <f>IF(B5607="","",INT(A5607))</f>
        <v/>
      </c>
      <c r="D5607">
        <f>IF(B5607="","",HOUR(A5607))</f>
        <v/>
      </c>
    </row>
    <row r="5608">
      <c r="A5608">
        <f>Input!A5608</f>
        <v/>
      </c>
      <c r="B5608">
        <f>IF(ISNUMBER(Input!B5608),IF(AND(Input!B5608&gt;=20,Input!B5608&lt;=700),Input!B5608,""),"")</f>
        <v/>
      </c>
      <c r="C5608">
        <f>IF(B5608="","",INT(A5608))</f>
        <v/>
      </c>
      <c r="D5608">
        <f>IF(B5608="","",HOUR(A5608))</f>
        <v/>
      </c>
    </row>
    <row r="5609">
      <c r="A5609">
        <f>Input!A5609</f>
        <v/>
      </c>
      <c r="B5609">
        <f>IF(ISNUMBER(Input!B5609),IF(AND(Input!B5609&gt;=20,Input!B5609&lt;=700),Input!B5609,""),"")</f>
        <v/>
      </c>
      <c r="C5609">
        <f>IF(B5609="","",INT(A5609))</f>
        <v/>
      </c>
      <c r="D5609">
        <f>IF(B5609="","",HOUR(A5609))</f>
        <v/>
      </c>
    </row>
    <row r="5610">
      <c r="A5610">
        <f>Input!A5610</f>
        <v/>
      </c>
      <c r="B5610">
        <f>IF(ISNUMBER(Input!B5610),IF(AND(Input!B5610&gt;=20,Input!B5610&lt;=700),Input!B5610,""),"")</f>
        <v/>
      </c>
      <c r="C5610">
        <f>IF(B5610="","",INT(A5610))</f>
        <v/>
      </c>
      <c r="D5610">
        <f>IF(B5610="","",HOUR(A5610))</f>
        <v/>
      </c>
    </row>
    <row r="5611">
      <c r="A5611">
        <f>Input!A5611</f>
        <v/>
      </c>
      <c r="B5611">
        <f>IF(ISNUMBER(Input!B5611),IF(AND(Input!B5611&gt;=20,Input!B5611&lt;=700),Input!B5611,""),"")</f>
        <v/>
      </c>
      <c r="C5611">
        <f>IF(B5611="","",INT(A5611))</f>
        <v/>
      </c>
      <c r="D5611">
        <f>IF(B5611="","",HOUR(A5611))</f>
        <v/>
      </c>
    </row>
    <row r="5612">
      <c r="A5612">
        <f>Input!A5612</f>
        <v/>
      </c>
      <c r="B5612">
        <f>IF(ISNUMBER(Input!B5612),IF(AND(Input!B5612&gt;=20,Input!B5612&lt;=700),Input!B5612,""),"")</f>
        <v/>
      </c>
      <c r="C5612">
        <f>IF(B5612="","",INT(A5612))</f>
        <v/>
      </c>
      <c r="D5612">
        <f>IF(B5612="","",HOUR(A5612))</f>
        <v/>
      </c>
    </row>
    <row r="5613">
      <c r="A5613">
        <f>Input!A5613</f>
        <v/>
      </c>
      <c r="B5613">
        <f>IF(ISNUMBER(Input!B5613),IF(AND(Input!B5613&gt;=20,Input!B5613&lt;=700),Input!B5613,""),"")</f>
        <v/>
      </c>
      <c r="C5613">
        <f>IF(B5613="","",INT(A5613))</f>
        <v/>
      </c>
      <c r="D5613">
        <f>IF(B5613="","",HOUR(A5613))</f>
        <v/>
      </c>
    </row>
    <row r="5614">
      <c r="A5614">
        <f>Input!A5614</f>
        <v/>
      </c>
      <c r="B5614">
        <f>IF(ISNUMBER(Input!B5614),IF(AND(Input!B5614&gt;=20,Input!B5614&lt;=700),Input!B5614,""),"")</f>
        <v/>
      </c>
      <c r="C5614">
        <f>IF(B5614="","",INT(A5614))</f>
        <v/>
      </c>
      <c r="D5614">
        <f>IF(B5614="","",HOUR(A5614))</f>
        <v/>
      </c>
    </row>
    <row r="5615">
      <c r="A5615">
        <f>Input!A5615</f>
        <v/>
      </c>
      <c r="B5615">
        <f>IF(ISNUMBER(Input!B5615),IF(AND(Input!B5615&gt;=20,Input!B5615&lt;=700),Input!B5615,""),"")</f>
        <v/>
      </c>
      <c r="C5615">
        <f>IF(B5615="","",INT(A5615))</f>
        <v/>
      </c>
      <c r="D5615">
        <f>IF(B5615="","",HOUR(A5615))</f>
        <v/>
      </c>
    </row>
    <row r="5616">
      <c r="A5616">
        <f>Input!A5616</f>
        <v/>
      </c>
      <c r="B5616">
        <f>IF(ISNUMBER(Input!B5616),IF(AND(Input!B5616&gt;=20,Input!B5616&lt;=700),Input!B5616,""),"")</f>
        <v/>
      </c>
      <c r="C5616">
        <f>IF(B5616="","",INT(A5616))</f>
        <v/>
      </c>
      <c r="D5616">
        <f>IF(B5616="","",HOUR(A5616))</f>
        <v/>
      </c>
    </row>
    <row r="5617">
      <c r="A5617">
        <f>Input!A5617</f>
        <v/>
      </c>
      <c r="B5617">
        <f>IF(ISNUMBER(Input!B5617),IF(AND(Input!B5617&gt;=20,Input!B5617&lt;=700),Input!B5617,""),"")</f>
        <v/>
      </c>
      <c r="C5617">
        <f>IF(B5617="","",INT(A5617))</f>
        <v/>
      </c>
      <c r="D5617">
        <f>IF(B5617="","",HOUR(A5617))</f>
        <v/>
      </c>
    </row>
    <row r="5618">
      <c r="A5618">
        <f>Input!A5618</f>
        <v/>
      </c>
      <c r="B5618">
        <f>IF(ISNUMBER(Input!B5618),IF(AND(Input!B5618&gt;=20,Input!B5618&lt;=700),Input!B5618,""),"")</f>
        <v/>
      </c>
      <c r="C5618">
        <f>IF(B5618="","",INT(A5618))</f>
        <v/>
      </c>
      <c r="D5618">
        <f>IF(B5618="","",HOUR(A5618))</f>
        <v/>
      </c>
    </row>
    <row r="5619">
      <c r="A5619">
        <f>Input!A5619</f>
        <v/>
      </c>
      <c r="B5619">
        <f>IF(ISNUMBER(Input!B5619),IF(AND(Input!B5619&gt;=20,Input!B5619&lt;=700),Input!B5619,""),"")</f>
        <v/>
      </c>
      <c r="C5619">
        <f>IF(B5619="","",INT(A5619))</f>
        <v/>
      </c>
      <c r="D5619">
        <f>IF(B5619="","",HOUR(A5619))</f>
        <v/>
      </c>
    </row>
    <row r="5620">
      <c r="A5620">
        <f>Input!A5620</f>
        <v/>
      </c>
      <c r="B5620">
        <f>IF(ISNUMBER(Input!B5620),IF(AND(Input!B5620&gt;=20,Input!B5620&lt;=700),Input!B5620,""),"")</f>
        <v/>
      </c>
      <c r="C5620">
        <f>IF(B5620="","",INT(A5620))</f>
        <v/>
      </c>
      <c r="D5620">
        <f>IF(B5620="","",HOUR(A5620))</f>
        <v/>
      </c>
    </row>
    <row r="5621">
      <c r="A5621">
        <f>Input!A5621</f>
        <v/>
      </c>
      <c r="B5621">
        <f>IF(ISNUMBER(Input!B5621),IF(AND(Input!B5621&gt;=20,Input!B5621&lt;=700),Input!B5621,""),"")</f>
        <v/>
      </c>
      <c r="C5621">
        <f>IF(B5621="","",INT(A5621))</f>
        <v/>
      </c>
      <c r="D5621">
        <f>IF(B5621="","",HOUR(A5621))</f>
        <v/>
      </c>
    </row>
    <row r="5622">
      <c r="A5622">
        <f>Input!A5622</f>
        <v/>
      </c>
      <c r="B5622">
        <f>IF(ISNUMBER(Input!B5622),IF(AND(Input!B5622&gt;=20,Input!B5622&lt;=700),Input!B5622,""),"")</f>
        <v/>
      </c>
      <c r="C5622">
        <f>IF(B5622="","",INT(A5622))</f>
        <v/>
      </c>
      <c r="D5622">
        <f>IF(B5622="","",HOUR(A5622))</f>
        <v/>
      </c>
    </row>
    <row r="5623">
      <c r="A5623">
        <f>Input!A5623</f>
        <v/>
      </c>
      <c r="B5623">
        <f>IF(ISNUMBER(Input!B5623),IF(AND(Input!B5623&gt;=20,Input!B5623&lt;=700),Input!B5623,""),"")</f>
        <v/>
      </c>
      <c r="C5623">
        <f>IF(B5623="","",INT(A5623))</f>
        <v/>
      </c>
      <c r="D5623">
        <f>IF(B5623="","",HOUR(A5623))</f>
        <v/>
      </c>
    </row>
    <row r="5624">
      <c r="A5624">
        <f>Input!A5624</f>
        <v/>
      </c>
      <c r="B5624">
        <f>IF(ISNUMBER(Input!B5624),IF(AND(Input!B5624&gt;=20,Input!B5624&lt;=700),Input!B5624,""),"")</f>
        <v/>
      </c>
      <c r="C5624">
        <f>IF(B5624="","",INT(A5624))</f>
        <v/>
      </c>
      <c r="D5624">
        <f>IF(B5624="","",HOUR(A5624))</f>
        <v/>
      </c>
    </row>
    <row r="5625">
      <c r="A5625">
        <f>Input!A5625</f>
        <v/>
      </c>
      <c r="B5625">
        <f>IF(ISNUMBER(Input!B5625),IF(AND(Input!B5625&gt;=20,Input!B5625&lt;=700),Input!B5625,""),"")</f>
        <v/>
      </c>
      <c r="C5625">
        <f>IF(B5625="","",INT(A5625))</f>
        <v/>
      </c>
      <c r="D5625">
        <f>IF(B5625="","",HOUR(A5625))</f>
        <v/>
      </c>
    </row>
    <row r="5626">
      <c r="A5626">
        <f>Input!A5626</f>
        <v/>
      </c>
      <c r="B5626">
        <f>IF(ISNUMBER(Input!B5626),IF(AND(Input!B5626&gt;=20,Input!B5626&lt;=700),Input!B5626,""),"")</f>
        <v/>
      </c>
      <c r="C5626">
        <f>IF(B5626="","",INT(A5626))</f>
        <v/>
      </c>
      <c r="D5626">
        <f>IF(B5626="","",HOUR(A5626))</f>
        <v/>
      </c>
    </row>
    <row r="5627">
      <c r="A5627">
        <f>Input!A5627</f>
        <v/>
      </c>
      <c r="B5627">
        <f>IF(ISNUMBER(Input!B5627),IF(AND(Input!B5627&gt;=20,Input!B5627&lt;=700),Input!B5627,""),"")</f>
        <v/>
      </c>
      <c r="C5627">
        <f>IF(B5627="","",INT(A5627))</f>
        <v/>
      </c>
      <c r="D5627">
        <f>IF(B5627="","",HOUR(A5627))</f>
        <v/>
      </c>
    </row>
    <row r="5628">
      <c r="A5628">
        <f>Input!A5628</f>
        <v/>
      </c>
      <c r="B5628">
        <f>IF(ISNUMBER(Input!B5628),IF(AND(Input!B5628&gt;=20,Input!B5628&lt;=700),Input!B5628,""),"")</f>
        <v/>
      </c>
      <c r="C5628">
        <f>IF(B5628="","",INT(A5628))</f>
        <v/>
      </c>
      <c r="D5628">
        <f>IF(B5628="","",HOUR(A5628))</f>
        <v/>
      </c>
    </row>
    <row r="5629">
      <c r="A5629">
        <f>Input!A5629</f>
        <v/>
      </c>
      <c r="B5629">
        <f>IF(ISNUMBER(Input!B5629),IF(AND(Input!B5629&gt;=20,Input!B5629&lt;=700),Input!B5629,""),"")</f>
        <v/>
      </c>
      <c r="C5629">
        <f>IF(B5629="","",INT(A5629))</f>
        <v/>
      </c>
      <c r="D5629">
        <f>IF(B5629="","",HOUR(A5629))</f>
        <v/>
      </c>
    </row>
    <row r="5630">
      <c r="A5630">
        <f>Input!A5630</f>
        <v/>
      </c>
      <c r="B5630">
        <f>IF(ISNUMBER(Input!B5630),IF(AND(Input!B5630&gt;=20,Input!B5630&lt;=700),Input!B5630,""),"")</f>
        <v/>
      </c>
      <c r="C5630">
        <f>IF(B5630="","",INT(A5630))</f>
        <v/>
      </c>
      <c r="D5630">
        <f>IF(B5630="","",HOUR(A5630))</f>
        <v/>
      </c>
    </row>
    <row r="5631">
      <c r="A5631">
        <f>Input!A5631</f>
        <v/>
      </c>
      <c r="B5631">
        <f>IF(ISNUMBER(Input!B5631),IF(AND(Input!B5631&gt;=20,Input!B5631&lt;=700),Input!B5631,""),"")</f>
        <v/>
      </c>
      <c r="C5631">
        <f>IF(B5631="","",INT(A5631))</f>
        <v/>
      </c>
      <c r="D5631">
        <f>IF(B5631="","",HOUR(A5631))</f>
        <v/>
      </c>
    </row>
    <row r="5632">
      <c r="A5632">
        <f>Input!A5632</f>
        <v/>
      </c>
      <c r="B5632">
        <f>IF(ISNUMBER(Input!B5632),IF(AND(Input!B5632&gt;=20,Input!B5632&lt;=700),Input!B5632,""),"")</f>
        <v/>
      </c>
      <c r="C5632">
        <f>IF(B5632="","",INT(A5632))</f>
        <v/>
      </c>
      <c r="D5632">
        <f>IF(B5632="","",HOUR(A5632))</f>
        <v/>
      </c>
    </row>
    <row r="5633">
      <c r="A5633">
        <f>Input!A5633</f>
        <v/>
      </c>
      <c r="B5633">
        <f>IF(ISNUMBER(Input!B5633),IF(AND(Input!B5633&gt;=20,Input!B5633&lt;=700),Input!B5633,""),"")</f>
        <v/>
      </c>
      <c r="C5633">
        <f>IF(B5633="","",INT(A5633))</f>
        <v/>
      </c>
      <c r="D5633">
        <f>IF(B5633="","",HOUR(A5633))</f>
        <v/>
      </c>
    </row>
    <row r="5634">
      <c r="A5634">
        <f>Input!A5634</f>
        <v/>
      </c>
      <c r="B5634">
        <f>IF(ISNUMBER(Input!B5634),IF(AND(Input!B5634&gt;=20,Input!B5634&lt;=700),Input!B5634,""),"")</f>
        <v/>
      </c>
      <c r="C5634">
        <f>IF(B5634="","",INT(A5634))</f>
        <v/>
      </c>
      <c r="D5634">
        <f>IF(B5634="","",HOUR(A5634))</f>
        <v/>
      </c>
    </row>
    <row r="5635">
      <c r="A5635">
        <f>Input!A5635</f>
        <v/>
      </c>
      <c r="B5635">
        <f>IF(ISNUMBER(Input!B5635),IF(AND(Input!B5635&gt;=20,Input!B5635&lt;=700),Input!B5635,""),"")</f>
        <v/>
      </c>
      <c r="C5635">
        <f>IF(B5635="","",INT(A5635))</f>
        <v/>
      </c>
      <c r="D5635">
        <f>IF(B5635="","",HOUR(A5635))</f>
        <v/>
      </c>
    </row>
    <row r="5636">
      <c r="A5636">
        <f>Input!A5636</f>
        <v/>
      </c>
      <c r="B5636">
        <f>IF(ISNUMBER(Input!B5636),IF(AND(Input!B5636&gt;=20,Input!B5636&lt;=700),Input!B5636,""),"")</f>
        <v/>
      </c>
      <c r="C5636">
        <f>IF(B5636="","",INT(A5636))</f>
        <v/>
      </c>
      <c r="D5636">
        <f>IF(B5636="","",HOUR(A5636))</f>
        <v/>
      </c>
    </row>
    <row r="5637">
      <c r="A5637">
        <f>Input!A5637</f>
        <v/>
      </c>
      <c r="B5637">
        <f>IF(ISNUMBER(Input!B5637),IF(AND(Input!B5637&gt;=20,Input!B5637&lt;=700),Input!B5637,""),"")</f>
        <v/>
      </c>
      <c r="C5637">
        <f>IF(B5637="","",INT(A5637))</f>
        <v/>
      </c>
      <c r="D5637">
        <f>IF(B5637="","",HOUR(A5637))</f>
        <v/>
      </c>
    </row>
    <row r="5638">
      <c r="A5638">
        <f>Input!A5638</f>
        <v/>
      </c>
      <c r="B5638">
        <f>IF(ISNUMBER(Input!B5638),IF(AND(Input!B5638&gt;=20,Input!B5638&lt;=700),Input!B5638,""),"")</f>
        <v/>
      </c>
      <c r="C5638">
        <f>IF(B5638="","",INT(A5638))</f>
        <v/>
      </c>
      <c r="D5638">
        <f>IF(B5638="","",HOUR(A5638))</f>
        <v/>
      </c>
    </row>
    <row r="5639">
      <c r="A5639">
        <f>Input!A5639</f>
        <v/>
      </c>
      <c r="B5639">
        <f>IF(ISNUMBER(Input!B5639),IF(AND(Input!B5639&gt;=20,Input!B5639&lt;=700),Input!B5639,""),"")</f>
        <v/>
      </c>
      <c r="C5639">
        <f>IF(B5639="","",INT(A5639))</f>
        <v/>
      </c>
      <c r="D5639">
        <f>IF(B5639="","",HOUR(A5639))</f>
        <v/>
      </c>
    </row>
    <row r="5640">
      <c r="A5640">
        <f>Input!A5640</f>
        <v/>
      </c>
      <c r="B5640">
        <f>IF(ISNUMBER(Input!B5640),IF(AND(Input!B5640&gt;=20,Input!B5640&lt;=700),Input!B5640,""),"")</f>
        <v/>
      </c>
      <c r="C5640">
        <f>IF(B5640="","",INT(A5640))</f>
        <v/>
      </c>
      <c r="D5640">
        <f>IF(B5640="","",HOUR(A5640))</f>
        <v/>
      </c>
    </row>
    <row r="5641">
      <c r="A5641">
        <f>Input!A5641</f>
        <v/>
      </c>
      <c r="B5641">
        <f>IF(ISNUMBER(Input!B5641),IF(AND(Input!B5641&gt;=20,Input!B5641&lt;=700),Input!B5641,""),"")</f>
        <v/>
      </c>
      <c r="C5641">
        <f>IF(B5641="","",INT(A5641))</f>
        <v/>
      </c>
      <c r="D5641">
        <f>IF(B5641="","",HOUR(A5641))</f>
        <v/>
      </c>
    </row>
    <row r="5642">
      <c r="A5642">
        <f>Input!A5642</f>
        <v/>
      </c>
      <c r="B5642">
        <f>IF(ISNUMBER(Input!B5642),IF(AND(Input!B5642&gt;=20,Input!B5642&lt;=700),Input!B5642,""),"")</f>
        <v/>
      </c>
      <c r="C5642">
        <f>IF(B5642="","",INT(A5642))</f>
        <v/>
      </c>
      <c r="D5642">
        <f>IF(B5642="","",HOUR(A5642))</f>
        <v/>
      </c>
    </row>
    <row r="5643">
      <c r="A5643">
        <f>Input!A5643</f>
        <v/>
      </c>
      <c r="B5643">
        <f>IF(ISNUMBER(Input!B5643),IF(AND(Input!B5643&gt;=20,Input!B5643&lt;=700),Input!B5643,""),"")</f>
        <v/>
      </c>
      <c r="C5643">
        <f>IF(B5643="","",INT(A5643))</f>
        <v/>
      </c>
      <c r="D5643">
        <f>IF(B5643="","",HOUR(A5643))</f>
        <v/>
      </c>
    </row>
    <row r="5644">
      <c r="A5644">
        <f>Input!A5644</f>
        <v/>
      </c>
      <c r="B5644">
        <f>IF(ISNUMBER(Input!B5644),IF(AND(Input!B5644&gt;=20,Input!B5644&lt;=700),Input!B5644,""),"")</f>
        <v/>
      </c>
      <c r="C5644">
        <f>IF(B5644="","",INT(A5644))</f>
        <v/>
      </c>
      <c r="D5644">
        <f>IF(B5644="","",HOUR(A5644))</f>
        <v/>
      </c>
    </row>
    <row r="5645">
      <c r="A5645">
        <f>Input!A5645</f>
        <v/>
      </c>
      <c r="B5645">
        <f>IF(ISNUMBER(Input!B5645),IF(AND(Input!B5645&gt;=20,Input!B5645&lt;=700),Input!B5645,""),"")</f>
        <v/>
      </c>
      <c r="C5645">
        <f>IF(B5645="","",INT(A5645))</f>
        <v/>
      </c>
      <c r="D5645">
        <f>IF(B5645="","",HOUR(A5645))</f>
        <v/>
      </c>
    </row>
    <row r="5646">
      <c r="A5646">
        <f>Input!A5646</f>
        <v/>
      </c>
      <c r="B5646">
        <f>IF(ISNUMBER(Input!B5646),IF(AND(Input!B5646&gt;=20,Input!B5646&lt;=700),Input!B5646,""),"")</f>
        <v/>
      </c>
      <c r="C5646">
        <f>IF(B5646="","",INT(A5646))</f>
        <v/>
      </c>
      <c r="D5646">
        <f>IF(B5646="","",HOUR(A5646))</f>
        <v/>
      </c>
    </row>
    <row r="5647">
      <c r="A5647">
        <f>Input!A5647</f>
        <v/>
      </c>
      <c r="B5647">
        <f>IF(ISNUMBER(Input!B5647),IF(AND(Input!B5647&gt;=20,Input!B5647&lt;=700),Input!B5647,""),"")</f>
        <v/>
      </c>
      <c r="C5647">
        <f>IF(B5647="","",INT(A5647))</f>
        <v/>
      </c>
      <c r="D5647">
        <f>IF(B5647="","",HOUR(A5647))</f>
        <v/>
      </c>
    </row>
    <row r="5648">
      <c r="A5648">
        <f>Input!A5648</f>
        <v/>
      </c>
      <c r="B5648">
        <f>IF(ISNUMBER(Input!B5648),IF(AND(Input!B5648&gt;=20,Input!B5648&lt;=700),Input!B5648,""),"")</f>
        <v/>
      </c>
      <c r="C5648">
        <f>IF(B5648="","",INT(A5648))</f>
        <v/>
      </c>
      <c r="D5648">
        <f>IF(B5648="","",HOUR(A5648))</f>
        <v/>
      </c>
    </row>
    <row r="5649">
      <c r="A5649">
        <f>Input!A5649</f>
        <v/>
      </c>
      <c r="B5649">
        <f>IF(ISNUMBER(Input!B5649),IF(AND(Input!B5649&gt;=20,Input!B5649&lt;=700),Input!B5649,""),"")</f>
        <v/>
      </c>
      <c r="C5649">
        <f>IF(B5649="","",INT(A5649))</f>
        <v/>
      </c>
      <c r="D5649">
        <f>IF(B5649="","",HOUR(A5649))</f>
        <v/>
      </c>
    </row>
    <row r="5650">
      <c r="A5650">
        <f>Input!A5650</f>
        <v/>
      </c>
      <c r="B5650">
        <f>IF(ISNUMBER(Input!B5650),IF(AND(Input!B5650&gt;=20,Input!B5650&lt;=700),Input!B5650,""),"")</f>
        <v/>
      </c>
      <c r="C5650">
        <f>IF(B5650="","",INT(A5650))</f>
        <v/>
      </c>
      <c r="D5650">
        <f>IF(B5650="","",HOUR(A5650))</f>
        <v/>
      </c>
    </row>
    <row r="5651">
      <c r="A5651">
        <f>Input!A5651</f>
        <v/>
      </c>
      <c r="B5651">
        <f>IF(ISNUMBER(Input!B5651),IF(AND(Input!B5651&gt;=20,Input!B5651&lt;=700),Input!B5651,""),"")</f>
        <v/>
      </c>
      <c r="C5651">
        <f>IF(B5651="","",INT(A5651))</f>
        <v/>
      </c>
      <c r="D5651">
        <f>IF(B5651="","",HOUR(A5651))</f>
        <v/>
      </c>
    </row>
    <row r="5652">
      <c r="A5652">
        <f>Input!A5652</f>
        <v/>
      </c>
      <c r="B5652">
        <f>IF(ISNUMBER(Input!B5652),IF(AND(Input!B5652&gt;=20,Input!B5652&lt;=700),Input!B5652,""),"")</f>
        <v/>
      </c>
      <c r="C5652">
        <f>IF(B5652="","",INT(A5652))</f>
        <v/>
      </c>
      <c r="D5652">
        <f>IF(B5652="","",HOUR(A5652))</f>
        <v/>
      </c>
    </row>
    <row r="5653">
      <c r="A5653">
        <f>Input!A5653</f>
        <v/>
      </c>
      <c r="B5653">
        <f>IF(ISNUMBER(Input!B5653),IF(AND(Input!B5653&gt;=20,Input!B5653&lt;=700),Input!B5653,""),"")</f>
        <v/>
      </c>
      <c r="C5653">
        <f>IF(B5653="","",INT(A5653))</f>
        <v/>
      </c>
      <c r="D5653">
        <f>IF(B5653="","",HOUR(A5653))</f>
        <v/>
      </c>
    </row>
    <row r="5654">
      <c r="A5654">
        <f>Input!A5654</f>
        <v/>
      </c>
      <c r="B5654">
        <f>IF(ISNUMBER(Input!B5654),IF(AND(Input!B5654&gt;=20,Input!B5654&lt;=700),Input!B5654,""),"")</f>
        <v/>
      </c>
      <c r="C5654">
        <f>IF(B5654="","",INT(A5654))</f>
        <v/>
      </c>
      <c r="D5654">
        <f>IF(B5654="","",HOUR(A5654))</f>
        <v/>
      </c>
    </row>
    <row r="5655">
      <c r="A5655">
        <f>Input!A5655</f>
        <v/>
      </c>
      <c r="B5655">
        <f>IF(ISNUMBER(Input!B5655),IF(AND(Input!B5655&gt;=20,Input!B5655&lt;=700),Input!B5655,""),"")</f>
        <v/>
      </c>
      <c r="C5655">
        <f>IF(B5655="","",INT(A5655))</f>
        <v/>
      </c>
      <c r="D5655">
        <f>IF(B5655="","",HOUR(A5655))</f>
        <v/>
      </c>
    </row>
    <row r="5656">
      <c r="A5656">
        <f>Input!A5656</f>
        <v/>
      </c>
      <c r="B5656">
        <f>IF(ISNUMBER(Input!B5656),IF(AND(Input!B5656&gt;=20,Input!B5656&lt;=700),Input!B5656,""),"")</f>
        <v/>
      </c>
      <c r="C5656">
        <f>IF(B5656="","",INT(A5656))</f>
        <v/>
      </c>
      <c r="D5656">
        <f>IF(B5656="","",HOUR(A5656))</f>
        <v/>
      </c>
    </row>
    <row r="5657">
      <c r="A5657">
        <f>Input!A5657</f>
        <v/>
      </c>
      <c r="B5657">
        <f>IF(ISNUMBER(Input!B5657),IF(AND(Input!B5657&gt;=20,Input!B5657&lt;=700),Input!B5657,""),"")</f>
        <v/>
      </c>
      <c r="C5657">
        <f>IF(B5657="","",INT(A5657))</f>
        <v/>
      </c>
      <c r="D5657">
        <f>IF(B5657="","",HOUR(A5657))</f>
        <v/>
      </c>
    </row>
    <row r="5658">
      <c r="A5658">
        <f>Input!A5658</f>
        <v/>
      </c>
      <c r="B5658">
        <f>IF(ISNUMBER(Input!B5658),IF(AND(Input!B5658&gt;=20,Input!B5658&lt;=700),Input!B5658,""),"")</f>
        <v/>
      </c>
      <c r="C5658">
        <f>IF(B5658="","",INT(A5658))</f>
        <v/>
      </c>
      <c r="D5658">
        <f>IF(B5658="","",HOUR(A5658))</f>
        <v/>
      </c>
    </row>
    <row r="5659">
      <c r="A5659">
        <f>Input!A5659</f>
        <v/>
      </c>
      <c r="B5659">
        <f>IF(ISNUMBER(Input!B5659),IF(AND(Input!B5659&gt;=20,Input!B5659&lt;=700),Input!B5659,""),"")</f>
        <v/>
      </c>
      <c r="C5659">
        <f>IF(B5659="","",INT(A5659))</f>
        <v/>
      </c>
      <c r="D5659">
        <f>IF(B5659="","",HOUR(A5659))</f>
        <v/>
      </c>
    </row>
    <row r="5660">
      <c r="A5660">
        <f>Input!A5660</f>
        <v/>
      </c>
      <c r="B5660">
        <f>IF(ISNUMBER(Input!B5660),IF(AND(Input!B5660&gt;=20,Input!B5660&lt;=700),Input!B5660,""),"")</f>
        <v/>
      </c>
      <c r="C5660">
        <f>IF(B5660="","",INT(A5660))</f>
        <v/>
      </c>
      <c r="D5660">
        <f>IF(B5660="","",HOUR(A5660))</f>
        <v/>
      </c>
    </row>
    <row r="5661">
      <c r="A5661">
        <f>Input!A5661</f>
        <v/>
      </c>
      <c r="B5661">
        <f>IF(ISNUMBER(Input!B5661),IF(AND(Input!B5661&gt;=20,Input!B5661&lt;=700),Input!B5661,""),"")</f>
        <v/>
      </c>
      <c r="C5661">
        <f>IF(B5661="","",INT(A5661))</f>
        <v/>
      </c>
      <c r="D5661">
        <f>IF(B5661="","",HOUR(A5661))</f>
        <v/>
      </c>
    </row>
    <row r="5662">
      <c r="A5662">
        <f>Input!A5662</f>
        <v/>
      </c>
      <c r="B5662">
        <f>IF(ISNUMBER(Input!B5662),IF(AND(Input!B5662&gt;=20,Input!B5662&lt;=700),Input!B5662,""),"")</f>
        <v/>
      </c>
      <c r="C5662">
        <f>IF(B5662="","",INT(A5662))</f>
        <v/>
      </c>
      <c r="D5662">
        <f>IF(B5662="","",HOUR(A5662))</f>
        <v/>
      </c>
    </row>
    <row r="5663">
      <c r="A5663">
        <f>Input!A5663</f>
        <v/>
      </c>
      <c r="B5663">
        <f>IF(ISNUMBER(Input!B5663),IF(AND(Input!B5663&gt;=20,Input!B5663&lt;=700),Input!B5663,""),"")</f>
        <v/>
      </c>
      <c r="C5663">
        <f>IF(B5663="","",INT(A5663))</f>
        <v/>
      </c>
      <c r="D5663">
        <f>IF(B5663="","",HOUR(A5663))</f>
        <v/>
      </c>
    </row>
    <row r="5664">
      <c r="A5664">
        <f>Input!A5664</f>
        <v/>
      </c>
      <c r="B5664">
        <f>IF(ISNUMBER(Input!B5664),IF(AND(Input!B5664&gt;=20,Input!B5664&lt;=700),Input!B5664,""),"")</f>
        <v/>
      </c>
      <c r="C5664">
        <f>IF(B5664="","",INT(A5664))</f>
        <v/>
      </c>
      <c r="D5664">
        <f>IF(B5664="","",HOUR(A5664))</f>
        <v/>
      </c>
    </row>
    <row r="5665">
      <c r="A5665">
        <f>Input!A5665</f>
        <v/>
      </c>
      <c r="B5665">
        <f>IF(ISNUMBER(Input!B5665),IF(AND(Input!B5665&gt;=20,Input!B5665&lt;=700),Input!B5665,""),"")</f>
        <v/>
      </c>
      <c r="C5665">
        <f>IF(B5665="","",INT(A5665))</f>
        <v/>
      </c>
      <c r="D5665">
        <f>IF(B5665="","",HOUR(A5665))</f>
        <v/>
      </c>
    </row>
    <row r="5666">
      <c r="A5666">
        <f>Input!A5666</f>
        <v/>
      </c>
      <c r="B5666">
        <f>IF(ISNUMBER(Input!B5666),IF(AND(Input!B5666&gt;=20,Input!B5666&lt;=700),Input!B5666,""),"")</f>
        <v/>
      </c>
      <c r="C5666">
        <f>IF(B5666="","",INT(A5666))</f>
        <v/>
      </c>
      <c r="D5666">
        <f>IF(B5666="","",HOUR(A5666))</f>
        <v/>
      </c>
    </row>
    <row r="5667">
      <c r="A5667">
        <f>Input!A5667</f>
        <v/>
      </c>
      <c r="B5667">
        <f>IF(ISNUMBER(Input!B5667),IF(AND(Input!B5667&gt;=20,Input!B5667&lt;=700),Input!B5667,""),"")</f>
        <v/>
      </c>
      <c r="C5667">
        <f>IF(B5667="","",INT(A5667))</f>
        <v/>
      </c>
      <c r="D5667">
        <f>IF(B5667="","",HOUR(A5667))</f>
        <v/>
      </c>
    </row>
    <row r="5668">
      <c r="A5668">
        <f>Input!A5668</f>
        <v/>
      </c>
      <c r="B5668">
        <f>IF(ISNUMBER(Input!B5668),IF(AND(Input!B5668&gt;=20,Input!B5668&lt;=700),Input!B5668,""),"")</f>
        <v/>
      </c>
      <c r="C5668">
        <f>IF(B5668="","",INT(A5668))</f>
        <v/>
      </c>
      <c r="D5668">
        <f>IF(B5668="","",HOUR(A5668))</f>
        <v/>
      </c>
    </row>
    <row r="5669">
      <c r="A5669">
        <f>Input!A5669</f>
        <v/>
      </c>
      <c r="B5669">
        <f>IF(ISNUMBER(Input!B5669),IF(AND(Input!B5669&gt;=20,Input!B5669&lt;=700),Input!B5669,""),"")</f>
        <v/>
      </c>
      <c r="C5669">
        <f>IF(B5669="","",INT(A5669))</f>
        <v/>
      </c>
      <c r="D5669">
        <f>IF(B5669="","",HOUR(A5669))</f>
        <v/>
      </c>
    </row>
    <row r="5670">
      <c r="A5670">
        <f>Input!A5670</f>
        <v/>
      </c>
      <c r="B5670">
        <f>IF(ISNUMBER(Input!B5670),IF(AND(Input!B5670&gt;=20,Input!B5670&lt;=700),Input!B5670,""),"")</f>
        <v/>
      </c>
      <c r="C5670">
        <f>IF(B5670="","",INT(A5670))</f>
        <v/>
      </c>
      <c r="D5670">
        <f>IF(B5670="","",HOUR(A5670))</f>
        <v/>
      </c>
    </row>
    <row r="5671">
      <c r="A5671">
        <f>Input!A5671</f>
        <v/>
      </c>
      <c r="B5671">
        <f>IF(ISNUMBER(Input!B5671),IF(AND(Input!B5671&gt;=20,Input!B5671&lt;=700),Input!B5671,""),"")</f>
        <v/>
      </c>
      <c r="C5671">
        <f>IF(B5671="","",INT(A5671))</f>
        <v/>
      </c>
      <c r="D5671">
        <f>IF(B5671="","",HOUR(A5671))</f>
        <v/>
      </c>
    </row>
    <row r="5672">
      <c r="A5672">
        <f>Input!A5672</f>
        <v/>
      </c>
      <c r="B5672">
        <f>IF(ISNUMBER(Input!B5672),IF(AND(Input!B5672&gt;=20,Input!B5672&lt;=700),Input!B5672,""),"")</f>
        <v/>
      </c>
      <c r="C5672">
        <f>IF(B5672="","",INT(A5672))</f>
        <v/>
      </c>
      <c r="D5672">
        <f>IF(B5672="","",HOUR(A5672))</f>
        <v/>
      </c>
    </row>
    <row r="5673">
      <c r="A5673">
        <f>Input!A5673</f>
        <v/>
      </c>
      <c r="B5673">
        <f>IF(ISNUMBER(Input!B5673),IF(AND(Input!B5673&gt;=20,Input!B5673&lt;=700),Input!B5673,""),"")</f>
        <v/>
      </c>
      <c r="C5673">
        <f>IF(B5673="","",INT(A5673))</f>
        <v/>
      </c>
      <c r="D5673">
        <f>IF(B5673="","",HOUR(A5673))</f>
        <v/>
      </c>
    </row>
    <row r="5674">
      <c r="A5674">
        <f>Input!A5674</f>
        <v/>
      </c>
      <c r="B5674">
        <f>IF(ISNUMBER(Input!B5674),IF(AND(Input!B5674&gt;=20,Input!B5674&lt;=700),Input!B5674,""),"")</f>
        <v/>
      </c>
      <c r="C5674">
        <f>IF(B5674="","",INT(A5674))</f>
        <v/>
      </c>
      <c r="D5674">
        <f>IF(B5674="","",HOUR(A5674))</f>
        <v/>
      </c>
    </row>
    <row r="5675">
      <c r="A5675">
        <f>Input!A5675</f>
        <v/>
      </c>
      <c r="B5675">
        <f>IF(ISNUMBER(Input!B5675),IF(AND(Input!B5675&gt;=20,Input!B5675&lt;=700),Input!B5675,""),"")</f>
        <v/>
      </c>
      <c r="C5675">
        <f>IF(B5675="","",INT(A5675))</f>
        <v/>
      </c>
      <c r="D5675">
        <f>IF(B5675="","",HOUR(A5675))</f>
        <v/>
      </c>
    </row>
    <row r="5676">
      <c r="A5676">
        <f>Input!A5676</f>
        <v/>
      </c>
      <c r="B5676">
        <f>IF(ISNUMBER(Input!B5676),IF(AND(Input!B5676&gt;=20,Input!B5676&lt;=700),Input!B5676,""),"")</f>
        <v/>
      </c>
      <c r="C5676">
        <f>IF(B5676="","",INT(A5676))</f>
        <v/>
      </c>
      <c r="D5676">
        <f>IF(B5676="","",HOUR(A5676))</f>
        <v/>
      </c>
    </row>
    <row r="5677">
      <c r="A5677">
        <f>Input!A5677</f>
        <v/>
      </c>
      <c r="B5677">
        <f>IF(ISNUMBER(Input!B5677),IF(AND(Input!B5677&gt;=20,Input!B5677&lt;=700),Input!B5677,""),"")</f>
        <v/>
      </c>
      <c r="C5677">
        <f>IF(B5677="","",INT(A5677))</f>
        <v/>
      </c>
      <c r="D5677">
        <f>IF(B5677="","",HOUR(A5677))</f>
        <v/>
      </c>
    </row>
    <row r="5678">
      <c r="A5678">
        <f>Input!A5678</f>
        <v/>
      </c>
      <c r="B5678">
        <f>IF(ISNUMBER(Input!B5678),IF(AND(Input!B5678&gt;=20,Input!B5678&lt;=700),Input!B5678,""),"")</f>
        <v/>
      </c>
      <c r="C5678">
        <f>IF(B5678="","",INT(A5678))</f>
        <v/>
      </c>
      <c r="D5678">
        <f>IF(B5678="","",HOUR(A5678))</f>
        <v/>
      </c>
    </row>
    <row r="5679">
      <c r="A5679">
        <f>Input!A5679</f>
        <v/>
      </c>
      <c r="B5679">
        <f>IF(ISNUMBER(Input!B5679),IF(AND(Input!B5679&gt;=20,Input!B5679&lt;=700),Input!B5679,""),"")</f>
        <v/>
      </c>
      <c r="C5679">
        <f>IF(B5679="","",INT(A5679))</f>
        <v/>
      </c>
      <c r="D5679">
        <f>IF(B5679="","",HOUR(A5679))</f>
        <v/>
      </c>
    </row>
    <row r="5680">
      <c r="A5680">
        <f>Input!A5680</f>
        <v/>
      </c>
      <c r="B5680">
        <f>IF(ISNUMBER(Input!B5680),IF(AND(Input!B5680&gt;=20,Input!B5680&lt;=700),Input!B5680,""),"")</f>
        <v/>
      </c>
      <c r="C5680">
        <f>IF(B5680="","",INT(A5680))</f>
        <v/>
      </c>
      <c r="D5680">
        <f>IF(B5680="","",HOUR(A5680))</f>
        <v/>
      </c>
    </row>
    <row r="5681">
      <c r="A5681">
        <f>Input!A5681</f>
        <v/>
      </c>
      <c r="B5681">
        <f>IF(ISNUMBER(Input!B5681),IF(AND(Input!B5681&gt;=20,Input!B5681&lt;=700),Input!B5681,""),"")</f>
        <v/>
      </c>
      <c r="C5681">
        <f>IF(B5681="","",INT(A5681))</f>
        <v/>
      </c>
      <c r="D5681">
        <f>IF(B5681="","",HOUR(A5681))</f>
        <v/>
      </c>
    </row>
    <row r="5682">
      <c r="A5682">
        <f>Input!A5682</f>
        <v/>
      </c>
      <c r="B5682">
        <f>IF(ISNUMBER(Input!B5682),IF(AND(Input!B5682&gt;=20,Input!B5682&lt;=700),Input!B5682,""),"")</f>
        <v/>
      </c>
      <c r="C5682">
        <f>IF(B5682="","",INT(A5682))</f>
        <v/>
      </c>
      <c r="D5682">
        <f>IF(B5682="","",HOUR(A5682))</f>
        <v/>
      </c>
    </row>
    <row r="5683">
      <c r="A5683">
        <f>Input!A5683</f>
        <v/>
      </c>
      <c r="B5683">
        <f>IF(ISNUMBER(Input!B5683),IF(AND(Input!B5683&gt;=20,Input!B5683&lt;=700),Input!B5683,""),"")</f>
        <v/>
      </c>
      <c r="C5683">
        <f>IF(B5683="","",INT(A5683))</f>
        <v/>
      </c>
      <c r="D5683">
        <f>IF(B5683="","",HOUR(A5683))</f>
        <v/>
      </c>
    </row>
    <row r="5684">
      <c r="A5684">
        <f>Input!A5684</f>
        <v/>
      </c>
      <c r="B5684">
        <f>IF(ISNUMBER(Input!B5684),IF(AND(Input!B5684&gt;=20,Input!B5684&lt;=700),Input!B5684,""),"")</f>
        <v/>
      </c>
      <c r="C5684">
        <f>IF(B5684="","",INT(A5684))</f>
        <v/>
      </c>
      <c r="D5684">
        <f>IF(B5684="","",HOUR(A5684))</f>
        <v/>
      </c>
    </row>
    <row r="5685">
      <c r="A5685">
        <f>Input!A5685</f>
        <v/>
      </c>
      <c r="B5685">
        <f>IF(ISNUMBER(Input!B5685),IF(AND(Input!B5685&gt;=20,Input!B5685&lt;=700),Input!B5685,""),"")</f>
        <v/>
      </c>
      <c r="C5685">
        <f>IF(B5685="","",INT(A5685))</f>
        <v/>
      </c>
      <c r="D5685">
        <f>IF(B5685="","",HOUR(A5685))</f>
        <v/>
      </c>
    </row>
    <row r="5686">
      <c r="A5686">
        <f>Input!A5686</f>
        <v/>
      </c>
      <c r="B5686">
        <f>IF(ISNUMBER(Input!B5686),IF(AND(Input!B5686&gt;=20,Input!B5686&lt;=700),Input!B5686,""),"")</f>
        <v/>
      </c>
      <c r="C5686">
        <f>IF(B5686="","",INT(A5686))</f>
        <v/>
      </c>
      <c r="D5686">
        <f>IF(B5686="","",HOUR(A5686))</f>
        <v/>
      </c>
    </row>
    <row r="5687">
      <c r="A5687">
        <f>Input!A5687</f>
        <v/>
      </c>
      <c r="B5687">
        <f>IF(ISNUMBER(Input!B5687),IF(AND(Input!B5687&gt;=20,Input!B5687&lt;=700),Input!B5687,""),"")</f>
        <v/>
      </c>
      <c r="C5687">
        <f>IF(B5687="","",INT(A5687))</f>
        <v/>
      </c>
      <c r="D5687">
        <f>IF(B5687="","",HOUR(A5687))</f>
        <v/>
      </c>
    </row>
    <row r="5688">
      <c r="A5688">
        <f>Input!A5688</f>
        <v/>
      </c>
      <c r="B5688">
        <f>IF(ISNUMBER(Input!B5688),IF(AND(Input!B5688&gt;=20,Input!B5688&lt;=700),Input!B5688,""),"")</f>
        <v/>
      </c>
      <c r="C5688">
        <f>IF(B5688="","",INT(A5688))</f>
        <v/>
      </c>
      <c r="D5688">
        <f>IF(B5688="","",HOUR(A5688))</f>
        <v/>
      </c>
    </row>
    <row r="5689">
      <c r="A5689">
        <f>Input!A5689</f>
        <v/>
      </c>
      <c r="B5689">
        <f>IF(ISNUMBER(Input!B5689),IF(AND(Input!B5689&gt;=20,Input!B5689&lt;=700),Input!B5689,""),"")</f>
        <v/>
      </c>
      <c r="C5689">
        <f>IF(B5689="","",INT(A5689))</f>
        <v/>
      </c>
      <c r="D5689">
        <f>IF(B5689="","",HOUR(A5689))</f>
        <v/>
      </c>
    </row>
    <row r="5690">
      <c r="A5690">
        <f>Input!A5690</f>
        <v/>
      </c>
      <c r="B5690">
        <f>IF(ISNUMBER(Input!B5690),IF(AND(Input!B5690&gt;=20,Input!B5690&lt;=700),Input!B5690,""),"")</f>
        <v/>
      </c>
      <c r="C5690">
        <f>IF(B5690="","",INT(A5690))</f>
        <v/>
      </c>
      <c r="D5690">
        <f>IF(B5690="","",HOUR(A5690))</f>
        <v/>
      </c>
    </row>
    <row r="5691">
      <c r="A5691">
        <f>Input!A5691</f>
        <v/>
      </c>
      <c r="B5691">
        <f>IF(ISNUMBER(Input!B5691),IF(AND(Input!B5691&gt;=20,Input!B5691&lt;=700),Input!B5691,""),"")</f>
        <v/>
      </c>
      <c r="C5691">
        <f>IF(B5691="","",INT(A5691))</f>
        <v/>
      </c>
      <c r="D5691">
        <f>IF(B5691="","",HOUR(A5691))</f>
        <v/>
      </c>
    </row>
    <row r="5692">
      <c r="A5692">
        <f>Input!A5692</f>
        <v/>
      </c>
      <c r="B5692">
        <f>IF(ISNUMBER(Input!B5692),IF(AND(Input!B5692&gt;=20,Input!B5692&lt;=700),Input!B5692,""),"")</f>
        <v/>
      </c>
      <c r="C5692">
        <f>IF(B5692="","",INT(A5692))</f>
        <v/>
      </c>
      <c r="D5692">
        <f>IF(B5692="","",HOUR(A5692))</f>
        <v/>
      </c>
    </row>
    <row r="5693">
      <c r="A5693">
        <f>Input!A5693</f>
        <v/>
      </c>
      <c r="B5693">
        <f>IF(ISNUMBER(Input!B5693),IF(AND(Input!B5693&gt;=20,Input!B5693&lt;=700),Input!B5693,""),"")</f>
        <v/>
      </c>
      <c r="C5693">
        <f>IF(B5693="","",INT(A5693))</f>
        <v/>
      </c>
      <c r="D5693">
        <f>IF(B5693="","",HOUR(A5693))</f>
        <v/>
      </c>
    </row>
    <row r="5694">
      <c r="A5694">
        <f>Input!A5694</f>
        <v/>
      </c>
      <c r="B5694">
        <f>IF(ISNUMBER(Input!B5694),IF(AND(Input!B5694&gt;=20,Input!B5694&lt;=700),Input!B5694,""),"")</f>
        <v/>
      </c>
      <c r="C5694">
        <f>IF(B5694="","",INT(A5694))</f>
        <v/>
      </c>
      <c r="D5694">
        <f>IF(B5694="","",HOUR(A5694))</f>
        <v/>
      </c>
    </row>
    <row r="5695">
      <c r="A5695">
        <f>Input!A5695</f>
        <v/>
      </c>
      <c r="B5695">
        <f>IF(ISNUMBER(Input!B5695),IF(AND(Input!B5695&gt;=20,Input!B5695&lt;=700),Input!B5695,""),"")</f>
        <v/>
      </c>
      <c r="C5695">
        <f>IF(B5695="","",INT(A5695))</f>
        <v/>
      </c>
      <c r="D5695">
        <f>IF(B5695="","",HOUR(A5695))</f>
        <v/>
      </c>
    </row>
    <row r="5696">
      <c r="A5696">
        <f>Input!A5696</f>
        <v/>
      </c>
      <c r="B5696">
        <f>IF(ISNUMBER(Input!B5696),IF(AND(Input!B5696&gt;=20,Input!B5696&lt;=700),Input!B5696,""),"")</f>
        <v/>
      </c>
      <c r="C5696">
        <f>IF(B5696="","",INT(A5696))</f>
        <v/>
      </c>
      <c r="D5696">
        <f>IF(B5696="","",HOUR(A5696))</f>
        <v/>
      </c>
    </row>
    <row r="5697">
      <c r="A5697">
        <f>Input!A5697</f>
        <v/>
      </c>
      <c r="B5697">
        <f>IF(ISNUMBER(Input!B5697),IF(AND(Input!B5697&gt;=20,Input!B5697&lt;=700),Input!B5697,""),"")</f>
        <v/>
      </c>
      <c r="C5697">
        <f>IF(B5697="","",INT(A5697))</f>
        <v/>
      </c>
      <c r="D5697">
        <f>IF(B5697="","",HOUR(A5697))</f>
        <v/>
      </c>
    </row>
    <row r="5698">
      <c r="A5698">
        <f>Input!A5698</f>
        <v/>
      </c>
      <c r="B5698">
        <f>IF(ISNUMBER(Input!B5698),IF(AND(Input!B5698&gt;=20,Input!B5698&lt;=700),Input!B5698,""),"")</f>
        <v/>
      </c>
      <c r="C5698">
        <f>IF(B5698="","",INT(A5698))</f>
        <v/>
      </c>
      <c r="D5698">
        <f>IF(B5698="","",HOUR(A5698))</f>
        <v/>
      </c>
    </row>
    <row r="5699">
      <c r="A5699">
        <f>Input!A5699</f>
        <v/>
      </c>
      <c r="B5699">
        <f>IF(ISNUMBER(Input!B5699),IF(AND(Input!B5699&gt;=20,Input!B5699&lt;=700),Input!B5699,""),"")</f>
        <v/>
      </c>
      <c r="C5699">
        <f>IF(B5699="","",INT(A5699))</f>
        <v/>
      </c>
      <c r="D5699">
        <f>IF(B5699="","",HOUR(A5699))</f>
        <v/>
      </c>
    </row>
    <row r="5700">
      <c r="A5700">
        <f>Input!A5700</f>
        <v/>
      </c>
      <c r="B5700">
        <f>IF(ISNUMBER(Input!B5700),IF(AND(Input!B5700&gt;=20,Input!B5700&lt;=700),Input!B5700,""),"")</f>
        <v/>
      </c>
      <c r="C5700">
        <f>IF(B5700="","",INT(A5700))</f>
        <v/>
      </c>
      <c r="D5700">
        <f>IF(B5700="","",HOUR(A5700))</f>
        <v/>
      </c>
    </row>
    <row r="5701">
      <c r="A5701">
        <f>Input!A5701</f>
        <v/>
      </c>
      <c r="B5701">
        <f>IF(ISNUMBER(Input!B5701),IF(AND(Input!B5701&gt;=20,Input!B5701&lt;=700),Input!B5701,""),"")</f>
        <v/>
      </c>
      <c r="C5701">
        <f>IF(B5701="","",INT(A5701))</f>
        <v/>
      </c>
      <c r="D5701">
        <f>IF(B5701="","",HOUR(A5701))</f>
        <v/>
      </c>
    </row>
    <row r="5702">
      <c r="A5702">
        <f>Input!A5702</f>
        <v/>
      </c>
      <c r="B5702">
        <f>IF(ISNUMBER(Input!B5702),IF(AND(Input!B5702&gt;=20,Input!B5702&lt;=700),Input!B5702,""),"")</f>
        <v/>
      </c>
      <c r="C5702">
        <f>IF(B5702="","",INT(A5702))</f>
        <v/>
      </c>
      <c r="D5702">
        <f>IF(B5702="","",HOUR(A5702))</f>
        <v/>
      </c>
    </row>
    <row r="5703">
      <c r="A5703">
        <f>Input!A5703</f>
        <v/>
      </c>
      <c r="B5703">
        <f>IF(ISNUMBER(Input!B5703),IF(AND(Input!B5703&gt;=20,Input!B5703&lt;=700),Input!B5703,""),"")</f>
        <v/>
      </c>
      <c r="C5703">
        <f>IF(B5703="","",INT(A5703))</f>
        <v/>
      </c>
      <c r="D5703">
        <f>IF(B5703="","",HOUR(A5703))</f>
        <v/>
      </c>
    </row>
    <row r="5704">
      <c r="A5704">
        <f>Input!A5704</f>
        <v/>
      </c>
      <c r="B5704">
        <f>IF(ISNUMBER(Input!B5704),IF(AND(Input!B5704&gt;=20,Input!B5704&lt;=700),Input!B5704,""),"")</f>
        <v/>
      </c>
      <c r="C5704">
        <f>IF(B5704="","",INT(A5704))</f>
        <v/>
      </c>
      <c r="D5704">
        <f>IF(B5704="","",HOUR(A5704))</f>
        <v/>
      </c>
    </row>
    <row r="5705">
      <c r="A5705">
        <f>Input!A5705</f>
        <v/>
      </c>
      <c r="B5705">
        <f>IF(ISNUMBER(Input!B5705),IF(AND(Input!B5705&gt;=20,Input!B5705&lt;=700),Input!B5705,""),"")</f>
        <v/>
      </c>
      <c r="C5705">
        <f>IF(B5705="","",INT(A5705))</f>
        <v/>
      </c>
      <c r="D5705">
        <f>IF(B5705="","",HOUR(A5705))</f>
        <v/>
      </c>
    </row>
    <row r="5706">
      <c r="A5706">
        <f>Input!A5706</f>
        <v/>
      </c>
      <c r="B5706">
        <f>IF(ISNUMBER(Input!B5706),IF(AND(Input!B5706&gt;=20,Input!B5706&lt;=700),Input!B5706,""),"")</f>
        <v/>
      </c>
      <c r="C5706">
        <f>IF(B5706="","",INT(A5706))</f>
        <v/>
      </c>
      <c r="D5706">
        <f>IF(B5706="","",HOUR(A5706))</f>
        <v/>
      </c>
    </row>
    <row r="5707">
      <c r="A5707">
        <f>Input!A5707</f>
        <v/>
      </c>
      <c r="B5707">
        <f>IF(ISNUMBER(Input!B5707),IF(AND(Input!B5707&gt;=20,Input!B5707&lt;=700),Input!B5707,""),"")</f>
        <v/>
      </c>
      <c r="C5707">
        <f>IF(B5707="","",INT(A5707))</f>
        <v/>
      </c>
      <c r="D5707">
        <f>IF(B5707="","",HOUR(A5707))</f>
        <v/>
      </c>
    </row>
    <row r="5708">
      <c r="A5708">
        <f>Input!A5708</f>
        <v/>
      </c>
      <c r="B5708">
        <f>IF(ISNUMBER(Input!B5708),IF(AND(Input!B5708&gt;=20,Input!B5708&lt;=700),Input!B5708,""),"")</f>
        <v/>
      </c>
      <c r="C5708">
        <f>IF(B5708="","",INT(A5708))</f>
        <v/>
      </c>
      <c r="D5708">
        <f>IF(B5708="","",HOUR(A5708))</f>
        <v/>
      </c>
    </row>
    <row r="5709">
      <c r="A5709">
        <f>Input!A5709</f>
        <v/>
      </c>
      <c r="B5709">
        <f>IF(ISNUMBER(Input!B5709),IF(AND(Input!B5709&gt;=20,Input!B5709&lt;=700),Input!B5709,""),"")</f>
        <v/>
      </c>
      <c r="C5709">
        <f>IF(B5709="","",INT(A5709))</f>
        <v/>
      </c>
      <c r="D5709">
        <f>IF(B5709="","",HOUR(A5709))</f>
        <v/>
      </c>
    </row>
    <row r="5710">
      <c r="A5710">
        <f>Input!A5710</f>
        <v/>
      </c>
      <c r="B5710">
        <f>IF(ISNUMBER(Input!B5710),IF(AND(Input!B5710&gt;=20,Input!B5710&lt;=700),Input!B5710,""),"")</f>
        <v/>
      </c>
      <c r="C5710">
        <f>IF(B5710="","",INT(A5710))</f>
        <v/>
      </c>
      <c r="D5710">
        <f>IF(B5710="","",HOUR(A5710))</f>
        <v/>
      </c>
    </row>
    <row r="5711">
      <c r="A5711">
        <f>Input!A5711</f>
        <v/>
      </c>
      <c r="B5711">
        <f>IF(ISNUMBER(Input!B5711),IF(AND(Input!B5711&gt;=20,Input!B5711&lt;=700),Input!B5711,""),"")</f>
        <v/>
      </c>
      <c r="C5711">
        <f>IF(B5711="","",INT(A5711))</f>
        <v/>
      </c>
      <c r="D5711">
        <f>IF(B5711="","",HOUR(A5711))</f>
        <v/>
      </c>
    </row>
    <row r="5712">
      <c r="A5712">
        <f>Input!A5712</f>
        <v/>
      </c>
      <c r="B5712">
        <f>IF(ISNUMBER(Input!B5712),IF(AND(Input!B5712&gt;=20,Input!B5712&lt;=700),Input!B5712,""),"")</f>
        <v/>
      </c>
      <c r="C5712">
        <f>IF(B5712="","",INT(A5712))</f>
        <v/>
      </c>
      <c r="D5712">
        <f>IF(B5712="","",HOUR(A5712))</f>
        <v/>
      </c>
    </row>
    <row r="5713">
      <c r="A5713">
        <f>Input!A5713</f>
        <v/>
      </c>
      <c r="B5713">
        <f>IF(ISNUMBER(Input!B5713),IF(AND(Input!B5713&gt;=20,Input!B5713&lt;=700),Input!B5713,""),"")</f>
        <v/>
      </c>
      <c r="C5713">
        <f>IF(B5713="","",INT(A5713))</f>
        <v/>
      </c>
      <c r="D5713">
        <f>IF(B5713="","",HOUR(A5713))</f>
        <v/>
      </c>
    </row>
    <row r="5714">
      <c r="A5714">
        <f>Input!A5714</f>
        <v/>
      </c>
      <c r="B5714">
        <f>IF(ISNUMBER(Input!B5714),IF(AND(Input!B5714&gt;=20,Input!B5714&lt;=700),Input!B5714,""),"")</f>
        <v/>
      </c>
      <c r="C5714">
        <f>IF(B5714="","",INT(A5714))</f>
        <v/>
      </c>
      <c r="D5714">
        <f>IF(B5714="","",HOUR(A5714))</f>
        <v/>
      </c>
    </row>
    <row r="5715">
      <c r="A5715">
        <f>Input!A5715</f>
        <v/>
      </c>
      <c r="B5715">
        <f>IF(ISNUMBER(Input!B5715),IF(AND(Input!B5715&gt;=20,Input!B5715&lt;=700),Input!B5715,""),"")</f>
        <v/>
      </c>
      <c r="C5715">
        <f>IF(B5715="","",INT(A5715))</f>
        <v/>
      </c>
      <c r="D5715">
        <f>IF(B5715="","",HOUR(A5715))</f>
        <v/>
      </c>
    </row>
    <row r="5716">
      <c r="A5716">
        <f>Input!A5716</f>
        <v/>
      </c>
      <c r="B5716">
        <f>IF(ISNUMBER(Input!B5716),IF(AND(Input!B5716&gt;=20,Input!B5716&lt;=700),Input!B5716,""),"")</f>
        <v/>
      </c>
      <c r="C5716">
        <f>IF(B5716="","",INT(A5716))</f>
        <v/>
      </c>
      <c r="D5716">
        <f>IF(B5716="","",HOUR(A5716))</f>
        <v/>
      </c>
    </row>
    <row r="5717">
      <c r="A5717">
        <f>Input!A5717</f>
        <v/>
      </c>
      <c r="B5717">
        <f>IF(ISNUMBER(Input!B5717),IF(AND(Input!B5717&gt;=20,Input!B5717&lt;=700),Input!B5717,""),"")</f>
        <v/>
      </c>
      <c r="C5717">
        <f>IF(B5717="","",INT(A5717))</f>
        <v/>
      </c>
      <c r="D5717">
        <f>IF(B5717="","",HOUR(A5717))</f>
        <v/>
      </c>
    </row>
    <row r="5718">
      <c r="A5718">
        <f>Input!A5718</f>
        <v/>
      </c>
      <c r="B5718">
        <f>IF(ISNUMBER(Input!B5718),IF(AND(Input!B5718&gt;=20,Input!B5718&lt;=700),Input!B5718,""),"")</f>
        <v/>
      </c>
      <c r="C5718">
        <f>IF(B5718="","",INT(A5718))</f>
        <v/>
      </c>
      <c r="D5718">
        <f>IF(B5718="","",HOUR(A5718))</f>
        <v/>
      </c>
    </row>
    <row r="5719">
      <c r="A5719">
        <f>Input!A5719</f>
        <v/>
      </c>
      <c r="B5719">
        <f>IF(ISNUMBER(Input!B5719),IF(AND(Input!B5719&gt;=20,Input!B5719&lt;=700),Input!B5719,""),"")</f>
        <v/>
      </c>
      <c r="C5719">
        <f>IF(B5719="","",INT(A5719))</f>
        <v/>
      </c>
      <c r="D5719">
        <f>IF(B5719="","",HOUR(A5719))</f>
        <v/>
      </c>
    </row>
    <row r="5720">
      <c r="A5720">
        <f>Input!A5720</f>
        <v/>
      </c>
      <c r="B5720">
        <f>IF(ISNUMBER(Input!B5720),IF(AND(Input!B5720&gt;=20,Input!B5720&lt;=700),Input!B5720,""),"")</f>
        <v/>
      </c>
      <c r="C5720">
        <f>IF(B5720="","",INT(A5720))</f>
        <v/>
      </c>
      <c r="D5720">
        <f>IF(B5720="","",HOUR(A5720))</f>
        <v/>
      </c>
    </row>
    <row r="5721">
      <c r="A5721">
        <f>Input!A5721</f>
        <v/>
      </c>
      <c r="B5721">
        <f>IF(ISNUMBER(Input!B5721),IF(AND(Input!B5721&gt;=20,Input!B5721&lt;=700),Input!B5721,""),"")</f>
        <v/>
      </c>
      <c r="C5721">
        <f>IF(B5721="","",INT(A5721))</f>
        <v/>
      </c>
      <c r="D5721">
        <f>IF(B5721="","",HOUR(A5721))</f>
        <v/>
      </c>
    </row>
    <row r="5722">
      <c r="A5722">
        <f>Input!A5722</f>
        <v/>
      </c>
      <c r="B5722">
        <f>IF(ISNUMBER(Input!B5722),IF(AND(Input!B5722&gt;=20,Input!B5722&lt;=700),Input!B5722,""),"")</f>
        <v/>
      </c>
      <c r="C5722">
        <f>IF(B5722="","",INT(A5722))</f>
        <v/>
      </c>
      <c r="D5722">
        <f>IF(B5722="","",HOUR(A5722))</f>
        <v/>
      </c>
    </row>
    <row r="5723">
      <c r="A5723">
        <f>Input!A5723</f>
        <v/>
      </c>
      <c r="B5723">
        <f>IF(ISNUMBER(Input!B5723),IF(AND(Input!B5723&gt;=20,Input!B5723&lt;=700),Input!B5723,""),"")</f>
        <v/>
      </c>
      <c r="C5723">
        <f>IF(B5723="","",INT(A5723))</f>
        <v/>
      </c>
      <c r="D5723">
        <f>IF(B5723="","",HOUR(A5723))</f>
        <v/>
      </c>
    </row>
    <row r="5724">
      <c r="A5724">
        <f>Input!A5724</f>
        <v/>
      </c>
      <c r="B5724">
        <f>IF(ISNUMBER(Input!B5724),IF(AND(Input!B5724&gt;=20,Input!B5724&lt;=700),Input!B5724,""),"")</f>
        <v/>
      </c>
      <c r="C5724">
        <f>IF(B5724="","",INT(A5724))</f>
        <v/>
      </c>
      <c r="D5724">
        <f>IF(B5724="","",HOUR(A5724))</f>
        <v/>
      </c>
    </row>
    <row r="5725">
      <c r="A5725">
        <f>Input!A5725</f>
        <v/>
      </c>
      <c r="B5725">
        <f>IF(ISNUMBER(Input!B5725),IF(AND(Input!B5725&gt;=20,Input!B5725&lt;=700),Input!B5725,""),"")</f>
        <v/>
      </c>
      <c r="C5725">
        <f>IF(B5725="","",INT(A5725))</f>
        <v/>
      </c>
      <c r="D5725">
        <f>IF(B5725="","",HOUR(A5725))</f>
        <v/>
      </c>
    </row>
    <row r="5726">
      <c r="A5726">
        <f>Input!A5726</f>
        <v/>
      </c>
      <c r="B5726">
        <f>IF(ISNUMBER(Input!B5726),IF(AND(Input!B5726&gt;=20,Input!B5726&lt;=700),Input!B5726,""),"")</f>
        <v/>
      </c>
      <c r="C5726">
        <f>IF(B5726="","",INT(A5726))</f>
        <v/>
      </c>
      <c r="D5726">
        <f>IF(B5726="","",HOUR(A5726))</f>
        <v/>
      </c>
    </row>
    <row r="5727">
      <c r="A5727">
        <f>Input!A5727</f>
        <v/>
      </c>
      <c r="B5727">
        <f>IF(ISNUMBER(Input!B5727),IF(AND(Input!B5727&gt;=20,Input!B5727&lt;=700),Input!B5727,""),"")</f>
        <v/>
      </c>
      <c r="C5727">
        <f>IF(B5727="","",INT(A5727))</f>
        <v/>
      </c>
      <c r="D5727">
        <f>IF(B5727="","",HOUR(A5727))</f>
        <v/>
      </c>
    </row>
    <row r="5728">
      <c r="A5728">
        <f>Input!A5728</f>
        <v/>
      </c>
      <c r="B5728">
        <f>IF(ISNUMBER(Input!B5728),IF(AND(Input!B5728&gt;=20,Input!B5728&lt;=700),Input!B5728,""),"")</f>
        <v/>
      </c>
      <c r="C5728">
        <f>IF(B5728="","",INT(A5728))</f>
        <v/>
      </c>
      <c r="D5728">
        <f>IF(B5728="","",HOUR(A5728))</f>
        <v/>
      </c>
    </row>
    <row r="5729">
      <c r="A5729">
        <f>Input!A5729</f>
        <v/>
      </c>
      <c r="B5729">
        <f>IF(ISNUMBER(Input!B5729),IF(AND(Input!B5729&gt;=20,Input!B5729&lt;=700),Input!B5729,""),"")</f>
        <v/>
      </c>
      <c r="C5729">
        <f>IF(B5729="","",INT(A5729))</f>
        <v/>
      </c>
      <c r="D5729">
        <f>IF(B5729="","",HOUR(A5729))</f>
        <v/>
      </c>
    </row>
    <row r="5730">
      <c r="A5730">
        <f>Input!A5730</f>
        <v/>
      </c>
      <c r="B5730">
        <f>IF(ISNUMBER(Input!B5730),IF(AND(Input!B5730&gt;=20,Input!B5730&lt;=700),Input!B5730,""),"")</f>
        <v/>
      </c>
      <c r="C5730">
        <f>IF(B5730="","",INT(A5730))</f>
        <v/>
      </c>
      <c r="D5730">
        <f>IF(B5730="","",HOUR(A5730))</f>
        <v/>
      </c>
    </row>
    <row r="5731">
      <c r="A5731">
        <f>Input!A5731</f>
        <v/>
      </c>
      <c r="B5731">
        <f>IF(ISNUMBER(Input!B5731),IF(AND(Input!B5731&gt;=20,Input!B5731&lt;=700),Input!B5731,""),"")</f>
        <v/>
      </c>
      <c r="C5731">
        <f>IF(B5731="","",INT(A5731))</f>
        <v/>
      </c>
      <c r="D5731">
        <f>IF(B5731="","",HOUR(A5731))</f>
        <v/>
      </c>
    </row>
    <row r="5732">
      <c r="A5732">
        <f>Input!A5732</f>
        <v/>
      </c>
      <c r="B5732">
        <f>IF(ISNUMBER(Input!B5732),IF(AND(Input!B5732&gt;=20,Input!B5732&lt;=700),Input!B5732,""),"")</f>
        <v/>
      </c>
      <c r="C5732">
        <f>IF(B5732="","",INT(A5732))</f>
        <v/>
      </c>
      <c r="D5732">
        <f>IF(B5732="","",HOUR(A5732))</f>
        <v/>
      </c>
    </row>
    <row r="5733">
      <c r="A5733">
        <f>Input!A5733</f>
        <v/>
      </c>
      <c r="B5733">
        <f>IF(ISNUMBER(Input!B5733),IF(AND(Input!B5733&gt;=20,Input!B5733&lt;=700),Input!B5733,""),"")</f>
        <v/>
      </c>
      <c r="C5733">
        <f>IF(B5733="","",INT(A5733))</f>
        <v/>
      </c>
      <c r="D5733">
        <f>IF(B5733="","",HOUR(A5733))</f>
        <v/>
      </c>
    </row>
    <row r="5734">
      <c r="A5734">
        <f>Input!A5734</f>
        <v/>
      </c>
      <c r="B5734">
        <f>IF(ISNUMBER(Input!B5734),IF(AND(Input!B5734&gt;=20,Input!B5734&lt;=700),Input!B5734,""),"")</f>
        <v/>
      </c>
      <c r="C5734">
        <f>IF(B5734="","",INT(A5734))</f>
        <v/>
      </c>
      <c r="D5734">
        <f>IF(B5734="","",HOUR(A5734))</f>
        <v/>
      </c>
    </row>
    <row r="5735">
      <c r="A5735">
        <f>Input!A5735</f>
        <v/>
      </c>
      <c r="B5735">
        <f>IF(ISNUMBER(Input!B5735),IF(AND(Input!B5735&gt;=20,Input!B5735&lt;=700),Input!B5735,""),"")</f>
        <v/>
      </c>
      <c r="C5735">
        <f>IF(B5735="","",INT(A5735))</f>
        <v/>
      </c>
      <c r="D5735">
        <f>IF(B5735="","",HOUR(A5735))</f>
        <v/>
      </c>
    </row>
    <row r="5736">
      <c r="A5736">
        <f>Input!A5736</f>
        <v/>
      </c>
      <c r="B5736">
        <f>IF(ISNUMBER(Input!B5736),IF(AND(Input!B5736&gt;=20,Input!B5736&lt;=700),Input!B5736,""),"")</f>
        <v/>
      </c>
      <c r="C5736">
        <f>IF(B5736="","",INT(A5736))</f>
        <v/>
      </c>
      <c r="D5736">
        <f>IF(B5736="","",HOUR(A5736))</f>
        <v/>
      </c>
    </row>
    <row r="5737">
      <c r="A5737">
        <f>Input!A5737</f>
        <v/>
      </c>
      <c r="B5737">
        <f>IF(ISNUMBER(Input!B5737),IF(AND(Input!B5737&gt;=20,Input!B5737&lt;=700),Input!B5737,""),"")</f>
        <v/>
      </c>
      <c r="C5737">
        <f>IF(B5737="","",INT(A5737))</f>
        <v/>
      </c>
      <c r="D5737">
        <f>IF(B5737="","",HOUR(A5737))</f>
        <v/>
      </c>
    </row>
    <row r="5738">
      <c r="A5738">
        <f>Input!A5738</f>
        <v/>
      </c>
      <c r="B5738">
        <f>IF(ISNUMBER(Input!B5738),IF(AND(Input!B5738&gt;=20,Input!B5738&lt;=700),Input!B5738,""),"")</f>
        <v/>
      </c>
      <c r="C5738">
        <f>IF(B5738="","",INT(A5738))</f>
        <v/>
      </c>
      <c r="D5738">
        <f>IF(B5738="","",HOUR(A5738))</f>
        <v/>
      </c>
    </row>
    <row r="5739">
      <c r="A5739">
        <f>Input!A5739</f>
        <v/>
      </c>
      <c r="B5739">
        <f>IF(ISNUMBER(Input!B5739),IF(AND(Input!B5739&gt;=20,Input!B5739&lt;=700),Input!B5739,""),"")</f>
        <v/>
      </c>
      <c r="C5739">
        <f>IF(B5739="","",INT(A5739))</f>
        <v/>
      </c>
      <c r="D5739">
        <f>IF(B5739="","",HOUR(A5739))</f>
        <v/>
      </c>
    </row>
    <row r="5740">
      <c r="A5740">
        <f>Input!A5740</f>
        <v/>
      </c>
      <c r="B5740">
        <f>IF(ISNUMBER(Input!B5740),IF(AND(Input!B5740&gt;=20,Input!B5740&lt;=700),Input!B5740,""),"")</f>
        <v/>
      </c>
      <c r="C5740">
        <f>IF(B5740="","",INT(A5740))</f>
        <v/>
      </c>
      <c r="D5740">
        <f>IF(B5740="","",HOUR(A5740))</f>
        <v/>
      </c>
    </row>
    <row r="5741">
      <c r="A5741">
        <f>Input!A5741</f>
        <v/>
      </c>
      <c r="B5741">
        <f>IF(ISNUMBER(Input!B5741),IF(AND(Input!B5741&gt;=20,Input!B5741&lt;=700),Input!B5741,""),"")</f>
        <v/>
      </c>
      <c r="C5741">
        <f>IF(B5741="","",INT(A5741))</f>
        <v/>
      </c>
      <c r="D5741">
        <f>IF(B5741="","",HOUR(A5741))</f>
        <v/>
      </c>
    </row>
    <row r="5742">
      <c r="A5742">
        <f>Input!A5742</f>
        <v/>
      </c>
      <c r="B5742">
        <f>IF(ISNUMBER(Input!B5742),IF(AND(Input!B5742&gt;=20,Input!B5742&lt;=700),Input!B5742,""),"")</f>
        <v/>
      </c>
      <c r="C5742">
        <f>IF(B5742="","",INT(A5742))</f>
        <v/>
      </c>
      <c r="D5742">
        <f>IF(B5742="","",HOUR(A5742))</f>
        <v/>
      </c>
    </row>
    <row r="5743">
      <c r="A5743">
        <f>Input!A5743</f>
        <v/>
      </c>
      <c r="B5743">
        <f>IF(ISNUMBER(Input!B5743),IF(AND(Input!B5743&gt;=20,Input!B5743&lt;=700),Input!B5743,""),"")</f>
        <v/>
      </c>
      <c r="C5743">
        <f>IF(B5743="","",INT(A5743))</f>
        <v/>
      </c>
      <c r="D5743">
        <f>IF(B5743="","",HOUR(A5743))</f>
        <v/>
      </c>
    </row>
    <row r="5744">
      <c r="A5744">
        <f>Input!A5744</f>
        <v/>
      </c>
      <c r="B5744">
        <f>IF(ISNUMBER(Input!B5744),IF(AND(Input!B5744&gt;=20,Input!B5744&lt;=700),Input!B5744,""),"")</f>
        <v/>
      </c>
      <c r="C5744">
        <f>IF(B5744="","",INT(A5744))</f>
        <v/>
      </c>
      <c r="D5744">
        <f>IF(B5744="","",HOUR(A5744))</f>
        <v/>
      </c>
    </row>
    <row r="5745">
      <c r="A5745">
        <f>Input!A5745</f>
        <v/>
      </c>
      <c r="B5745">
        <f>IF(ISNUMBER(Input!B5745),IF(AND(Input!B5745&gt;=20,Input!B5745&lt;=700),Input!B5745,""),"")</f>
        <v/>
      </c>
      <c r="C5745">
        <f>IF(B5745="","",INT(A5745))</f>
        <v/>
      </c>
      <c r="D5745">
        <f>IF(B5745="","",HOUR(A5745))</f>
        <v/>
      </c>
    </row>
    <row r="5746">
      <c r="A5746">
        <f>Input!A5746</f>
        <v/>
      </c>
      <c r="B5746">
        <f>IF(ISNUMBER(Input!B5746),IF(AND(Input!B5746&gt;=20,Input!B5746&lt;=700),Input!B5746,""),"")</f>
        <v/>
      </c>
      <c r="C5746">
        <f>IF(B5746="","",INT(A5746))</f>
        <v/>
      </c>
      <c r="D5746">
        <f>IF(B5746="","",HOUR(A5746))</f>
        <v/>
      </c>
    </row>
    <row r="5747">
      <c r="A5747">
        <f>Input!A5747</f>
        <v/>
      </c>
      <c r="B5747">
        <f>IF(ISNUMBER(Input!B5747),IF(AND(Input!B5747&gt;=20,Input!B5747&lt;=700),Input!B5747,""),"")</f>
        <v/>
      </c>
      <c r="C5747">
        <f>IF(B5747="","",INT(A5747))</f>
        <v/>
      </c>
      <c r="D5747">
        <f>IF(B5747="","",HOUR(A5747))</f>
        <v/>
      </c>
    </row>
    <row r="5748">
      <c r="A5748">
        <f>Input!A5748</f>
        <v/>
      </c>
      <c r="B5748">
        <f>IF(ISNUMBER(Input!B5748),IF(AND(Input!B5748&gt;=20,Input!B5748&lt;=700),Input!B5748,""),"")</f>
        <v/>
      </c>
      <c r="C5748">
        <f>IF(B5748="","",INT(A5748))</f>
        <v/>
      </c>
      <c r="D5748">
        <f>IF(B5748="","",HOUR(A5748))</f>
        <v/>
      </c>
    </row>
    <row r="5749">
      <c r="A5749">
        <f>Input!A5749</f>
        <v/>
      </c>
      <c r="B5749">
        <f>IF(ISNUMBER(Input!B5749),IF(AND(Input!B5749&gt;=20,Input!B5749&lt;=700),Input!B5749,""),"")</f>
        <v/>
      </c>
      <c r="C5749">
        <f>IF(B5749="","",INT(A5749))</f>
        <v/>
      </c>
      <c r="D5749">
        <f>IF(B5749="","",HOUR(A5749))</f>
        <v/>
      </c>
    </row>
    <row r="5750">
      <c r="A5750">
        <f>Input!A5750</f>
        <v/>
      </c>
      <c r="B5750">
        <f>IF(ISNUMBER(Input!B5750),IF(AND(Input!B5750&gt;=20,Input!B5750&lt;=700),Input!B5750,""),"")</f>
        <v/>
      </c>
      <c r="C5750">
        <f>IF(B5750="","",INT(A5750))</f>
        <v/>
      </c>
      <c r="D5750">
        <f>IF(B5750="","",HOUR(A5750))</f>
        <v/>
      </c>
    </row>
    <row r="5751">
      <c r="A5751">
        <f>Input!A5751</f>
        <v/>
      </c>
      <c r="B5751">
        <f>IF(ISNUMBER(Input!B5751),IF(AND(Input!B5751&gt;=20,Input!B5751&lt;=700),Input!B5751,""),"")</f>
        <v/>
      </c>
      <c r="C5751">
        <f>IF(B5751="","",INT(A5751))</f>
        <v/>
      </c>
      <c r="D5751">
        <f>IF(B5751="","",HOUR(A5751))</f>
        <v/>
      </c>
    </row>
    <row r="5752">
      <c r="A5752">
        <f>Input!A5752</f>
        <v/>
      </c>
      <c r="B5752">
        <f>IF(ISNUMBER(Input!B5752),IF(AND(Input!B5752&gt;=20,Input!B5752&lt;=700),Input!B5752,""),"")</f>
        <v/>
      </c>
      <c r="C5752">
        <f>IF(B5752="","",INT(A5752))</f>
        <v/>
      </c>
      <c r="D5752">
        <f>IF(B5752="","",HOUR(A5752))</f>
        <v/>
      </c>
    </row>
    <row r="5753">
      <c r="A5753">
        <f>Input!A5753</f>
        <v/>
      </c>
      <c r="B5753">
        <f>IF(ISNUMBER(Input!B5753),IF(AND(Input!B5753&gt;=20,Input!B5753&lt;=700),Input!B5753,""),"")</f>
        <v/>
      </c>
      <c r="C5753">
        <f>IF(B5753="","",INT(A5753))</f>
        <v/>
      </c>
      <c r="D5753">
        <f>IF(B5753="","",HOUR(A5753))</f>
        <v/>
      </c>
    </row>
    <row r="5754">
      <c r="A5754">
        <f>Input!A5754</f>
        <v/>
      </c>
      <c r="B5754">
        <f>IF(ISNUMBER(Input!B5754),IF(AND(Input!B5754&gt;=20,Input!B5754&lt;=700),Input!B5754,""),"")</f>
        <v/>
      </c>
      <c r="C5754">
        <f>IF(B5754="","",INT(A5754))</f>
        <v/>
      </c>
      <c r="D5754">
        <f>IF(B5754="","",HOUR(A5754))</f>
        <v/>
      </c>
    </row>
    <row r="5755">
      <c r="A5755">
        <f>Input!A5755</f>
        <v/>
      </c>
      <c r="B5755">
        <f>IF(ISNUMBER(Input!B5755),IF(AND(Input!B5755&gt;=20,Input!B5755&lt;=700),Input!B5755,""),"")</f>
        <v/>
      </c>
      <c r="C5755">
        <f>IF(B5755="","",INT(A5755))</f>
        <v/>
      </c>
      <c r="D5755">
        <f>IF(B5755="","",HOUR(A5755))</f>
        <v/>
      </c>
    </row>
    <row r="5756">
      <c r="A5756">
        <f>Input!A5756</f>
        <v/>
      </c>
      <c r="B5756">
        <f>IF(ISNUMBER(Input!B5756),IF(AND(Input!B5756&gt;=20,Input!B5756&lt;=700),Input!B5756,""),"")</f>
        <v/>
      </c>
      <c r="C5756">
        <f>IF(B5756="","",INT(A5756))</f>
        <v/>
      </c>
      <c r="D5756">
        <f>IF(B5756="","",HOUR(A5756))</f>
        <v/>
      </c>
    </row>
    <row r="5757">
      <c r="A5757">
        <f>Input!A5757</f>
        <v/>
      </c>
      <c r="B5757">
        <f>IF(ISNUMBER(Input!B5757),IF(AND(Input!B5757&gt;=20,Input!B5757&lt;=700),Input!B5757,""),"")</f>
        <v/>
      </c>
      <c r="C5757">
        <f>IF(B5757="","",INT(A5757))</f>
        <v/>
      </c>
      <c r="D5757">
        <f>IF(B5757="","",HOUR(A5757))</f>
        <v/>
      </c>
    </row>
    <row r="5758">
      <c r="A5758">
        <f>Input!A5758</f>
        <v/>
      </c>
      <c r="B5758">
        <f>IF(ISNUMBER(Input!B5758),IF(AND(Input!B5758&gt;=20,Input!B5758&lt;=700),Input!B5758,""),"")</f>
        <v/>
      </c>
      <c r="C5758">
        <f>IF(B5758="","",INT(A5758))</f>
        <v/>
      </c>
      <c r="D5758">
        <f>IF(B5758="","",HOUR(A5758))</f>
        <v/>
      </c>
    </row>
    <row r="5759">
      <c r="A5759">
        <f>Input!A5759</f>
        <v/>
      </c>
      <c r="B5759">
        <f>IF(ISNUMBER(Input!B5759),IF(AND(Input!B5759&gt;=20,Input!B5759&lt;=700),Input!B5759,""),"")</f>
        <v/>
      </c>
      <c r="C5759">
        <f>IF(B5759="","",INT(A5759))</f>
        <v/>
      </c>
      <c r="D5759">
        <f>IF(B5759="","",HOUR(A5759))</f>
        <v/>
      </c>
    </row>
    <row r="5760">
      <c r="A5760">
        <f>Input!A5760</f>
        <v/>
      </c>
      <c r="B5760">
        <f>IF(ISNUMBER(Input!B5760),IF(AND(Input!B5760&gt;=20,Input!B5760&lt;=700),Input!B5760,""),"")</f>
        <v/>
      </c>
      <c r="C5760">
        <f>IF(B5760="","",INT(A5760))</f>
        <v/>
      </c>
      <c r="D5760">
        <f>IF(B5760="","",HOUR(A5760))</f>
        <v/>
      </c>
    </row>
    <row r="5761">
      <c r="A5761">
        <f>Input!A5761</f>
        <v/>
      </c>
      <c r="B5761">
        <f>IF(ISNUMBER(Input!B5761),IF(AND(Input!B5761&gt;=20,Input!B5761&lt;=700),Input!B5761,""),"")</f>
        <v/>
      </c>
      <c r="C5761">
        <f>IF(B5761="","",INT(A5761))</f>
        <v/>
      </c>
      <c r="D5761">
        <f>IF(B5761="","",HOUR(A5761))</f>
        <v/>
      </c>
    </row>
    <row r="5762">
      <c r="A5762">
        <f>Input!A5762</f>
        <v/>
      </c>
      <c r="B5762">
        <f>IF(ISNUMBER(Input!B5762),IF(AND(Input!B5762&gt;=20,Input!B5762&lt;=700),Input!B5762,""),"")</f>
        <v/>
      </c>
      <c r="C5762">
        <f>IF(B5762="","",INT(A5762))</f>
        <v/>
      </c>
      <c r="D5762">
        <f>IF(B5762="","",HOUR(A5762))</f>
        <v/>
      </c>
    </row>
    <row r="5763">
      <c r="A5763">
        <f>Input!A5763</f>
        <v/>
      </c>
      <c r="B5763">
        <f>IF(ISNUMBER(Input!B5763),IF(AND(Input!B5763&gt;=20,Input!B5763&lt;=700),Input!B5763,""),"")</f>
        <v/>
      </c>
      <c r="C5763">
        <f>IF(B5763="","",INT(A5763))</f>
        <v/>
      </c>
      <c r="D5763">
        <f>IF(B5763="","",HOUR(A5763))</f>
        <v/>
      </c>
    </row>
    <row r="5764">
      <c r="A5764">
        <f>Input!A5764</f>
        <v/>
      </c>
      <c r="B5764">
        <f>IF(ISNUMBER(Input!B5764),IF(AND(Input!B5764&gt;=20,Input!B5764&lt;=700),Input!B5764,""),"")</f>
        <v/>
      </c>
      <c r="C5764">
        <f>IF(B5764="","",INT(A5764))</f>
        <v/>
      </c>
      <c r="D5764">
        <f>IF(B5764="","",HOUR(A5764))</f>
        <v/>
      </c>
    </row>
    <row r="5765">
      <c r="A5765">
        <f>Input!A5765</f>
        <v/>
      </c>
      <c r="B5765">
        <f>IF(ISNUMBER(Input!B5765),IF(AND(Input!B5765&gt;=20,Input!B5765&lt;=700),Input!B5765,""),"")</f>
        <v/>
      </c>
      <c r="C5765">
        <f>IF(B5765="","",INT(A5765))</f>
        <v/>
      </c>
      <c r="D5765">
        <f>IF(B5765="","",HOUR(A5765))</f>
        <v/>
      </c>
    </row>
    <row r="5766">
      <c r="A5766">
        <f>Input!A5766</f>
        <v/>
      </c>
      <c r="B5766">
        <f>IF(ISNUMBER(Input!B5766),IF(AND(Input!B5766&gt;=20,Input!B5766&lt;=700),Input!B5766,""),"")</f>
        <v/>
      </c>
      <c r="C5766">
        <f>IF(B5766="","",INT(A5766))</f>
        <v/>
      </c>
      <c r="D5766">
        <f>IF(B5766="","",HOUR(A5766))</f>
        <v/>
      </c>
    </row>
    <row r="5767">
      <c r="A5767">
        <f>Input!A5767</f>
        <v/>
      </c>
      <c r="B5767">
        <f>IF(ISNUMBER(Input!B5767),IF(AND(Input!B5767&gt;=20,Input!B5767&lt;=700),Input!B5767,""),"")</f>
        <v/>
      </c>
      <c r="C5767">
        <f>IF(B5767="","",INT(A5767))</f>
        <v/>
      </c>
      <c r="D5767">
        <f>IF(B5767="","",HOUR(A5767))</f>
        <v/>
      </c>
    </row>
    <row r="5768">
      <c r="A5768">
        <f>Input!A5768</f>
        <v/>
      </c>
      <c r="B5768">
        <f>IF(ISNUMBER(Input!B5768),IF(AND(Input!B5768&gt;=20,Input!B5768&lt;=700),Input!B5768,""),"")</f>
        <v/>
      </c>
      <c r="C5768">
        <f>IF(B5768="","",INT(A5768))</f>
        <v/>
      </c>
      <c r="D5768">
        <f>IF(B5768="","",HOUR(A5768))</f>
        <v/>
      </c>
    </row>
    <row r="5769">
      <c r="A5769">
        <f>Input!A5769</f>
        <v/>
      </c>
      <c r="B5769">
        <f>IF(ISNUMBER(Input!B5769),IF(AND(Input!B5769&gt;=20,Input!B5769&lt;=700),Input!B5769,""),"")</f>
        <v/>
      </c>
      <c r="C5769">
        <f>IF(B5769="","",INT(A5769))</f>
        <v/>
      </c>
      <c r="D5769">
        <f>IF(B5769="","",HOUR(A5769))</f>
        <v/>
      </c>
    </row>
    <row r="5770">
      <c r="A5770">
        <f>Input!A5770</f>
        <v/>
      </c>
      <c r="B5770">
        <f>IF(ISNUMBER(Input!B5770),IF(AND(Input!B5770&gt;=20,Input!B5770&lt;=700),Input!B5770,""),"")</f>
        <v/>
      </c>
      <c r="C5770">
        <f>IF(B5770="","",INT(A5770))</f>
        <v/>
      </c>
      <c r="D5770">
        <f>IF(B5770="","",HOUR(A5770))</f>
        <v/>
      </c>
    </row>
    <row r="5771">
      <c r="A5771">
        <f>Input!A5771</f>
        <v/>
      </c>
      <c r="B5771">
        <f>IF(ISNUMBER(Input!B5771),IF(AND(Input!B5771&gt;=20,Input!B5771&lt;=700),Input!B5771,""),"")</f>
        <v/>
      </c>
      <c r="C5771">
        <f>IF(B5771="","",INT(A5771))</f>
        <v/>
      </c>
      <c r="D5771">
        <f>IF(B5771="","",HOUR(A5771))</f>
        <v/>
      </c>
    </row>
    <row r="5772">
      <c r="A5772">
        <f>Input!A5772</f>
        <v/>
      </c>
      <c r="B5772">
        <f>IF(ISNUMBER(Input!B5772),IF(AND(Input!B5772&gt;=20,Input!B5772&lt;=700),Input!B5772,""),"")</f>
        <v/>
      </c>
      <c r="C5772">
        <f>IF(B5772="","",INT(A5772))</f>
        <v/>
      </c>
      <c r="D5772">
        <f>IF(B5772="","",HOUR(A5772))</f>
        <v/>
      </c>
    </row>
    <row r="5773">
      <c r="A5773">
        <f>Input!A5773</f>
        <v/>
      </c>
      <c r="B5773">
        <f>IF(ISNUMBER(Input!B5773),IF(AND(Input!B5773&gt;=20,Input!B5773&lt;=700),Input!B5773,""),"")</f>
        <v/>
      </c>
      <c r="C5773">
        <f>IF(B5773="","",INT(A5773))</f>
        <v/>
      </c>
      <c r="D5773">
        <f>IF(B5773="","",HOUR(A5773))</f>
        <v/>
      </c>
    </row>
    <row r="5774">
      <c r="A5774">
        <f>Input!A5774</f>
        <v/>
      </c>
      <c r="B5774">
        <f>IF(ISNUMBER(Input!B5774),IF(AND(Input!B5774&gt;=20,Input!B5774&lt;=700),Input!B5774,""),"")</f>
        <v/>
      </c>
      <c r="C5774">
        <f>IF(B5774="","",INT(A5774))</f>
        <v/>
      </c>
      <c r="D5774">
        <f>IF(B5774="","",HOUR(A5774))</f>
        <v/>
      </c>
    </row>
    <row r="5775">
      <c r="A5775">
        <f>Input!A5775</f>
        <v/>
      </c>
      <c r="B5775">
        <f>IF(ISNUMBER(Input!B5775),IF(AND(Input!B5775&gt;=20,Input!B5775&lt;=700),Input!B5775,""),"")</f>
        <v/>
      </c>
      <c r="C5775">
        <f>IF(B5775="","",INT(A5775))</f>
        <v/>
      </c>
      <c r="D5775">
        <f>IF(B5775="","",HOUR(A5775))</f>
        <v/>
      </c>
    </row>
    <row r="5776">
      <c r="A5776">
        <f>Input!A5776</f>
        <v/>
      </c>
      <c r="B5776">
        <f>IF(ISNUMBER(Input!B5776),IF(AND(Input!B5776&gt;=20,Input!B5776&lt;=700),Input!B5776,""),"")</f>
        <v/>
      </c>
      <c r="C5776">
        <f>IF(B5776="","",INT(A5776))</f>
        <v/>
      </c>
      <c r="D5776">
        <f>IF(B5776="","",HOUR(A5776))</f>
        <v/>
      </c>
    </row>
    <row r="5777">
      <c r="A5777">
        <f>Input!A5777</f>
        <v/>
      </c>
      <c r="B5777">
        <f>IF(ISNUMBER(Input!B5777),IF(AND(Input!B5777&gt;=20,Input!B5777&lt;=700),Input!B5777,""),"")</f>
        <v/>
      </c>
      <c r="C5777">
        <f>IF(B5777="","",INT(A5777))</f>
        <v/>
      </c>
      <c r="D5777">
        <f>IF(B5777="","",HOUR(A5777))</f>
        <v/>
      </c>
    </row>
    <row r="5778">
      <c r="A5778">
        <f>Input!A5778</f>
        <v/>
      </c>
      <c r="B5778">
        <f>IF(ISNUMBER(Input!B5778),IF(AND(Input!B5778&gt;=20,Input!B5778&lt;=700),Input!B5778,""),"")</f>
        <v/>
      </c>
      <c r="C5778">
        <f>IF(B5778="","",INT(A5778))</f>
        <v/>
      </c>
      <c r="D5778">
        <f>IF(B5778="","",HOUR(A5778))</f>
        <v/>
      </c>
    </row>
    <row r="5779">
      <c r="A5779">
        <f>Input!A5779</f>
        <v/>
      </c>
      <c r="B5779">
        <f>IF(ISNUMBER(Input!B5779),IF(AND(Input!B5779&gt;=20,Input!B5779&lt;=700),Input!B5779,""),"")</f>
        <v/>
      </c>
      <c r="C5779">
        <f>IF(B5779="","",INT(A5779))</f>
        <v/>
      </c>
      <c r="D5779">
        <f>IF(B5779="","",HOUR(A5779))</f>
        <v/>
      </c>
    </row>
    <row r="5780">
      <c r="A5780">
        <f>Input!A5780</f>
        <v/>
      </c>
      <c r="B5780">
        <f>IF(ISNUMBER(Input!B5780),IF(AND(Input!B5780&gt;=20,Input!B5780&lt;=700),Input!B5780,""),"")</f>
        <v/>
      </c>
      <c r="C5780">
        <f>IF(B5780="","",INT(A5780))</f>
        <v/>
      </c>
      <c r="D5780">
        <f>IF(B5780="","",HOUR(A5780))</f>
        <v/>
      </c>
    </row>
    <row r="5781">
      <c r="A5781">
        <f>Input!A5781</f>
        <v/>
      </c>
      <c r="B5781">
        <f>IF(ISNUMBER(Input!B5781),IF(AND(Input!B5781&gt;=20,Input!B5781&lt;=700),Input!B5781,""),"")</f>
        <v/>
      </c>
      <c r="C5781">
        <f>IF(B5781="","",INT(A5781))</f>
        <v/>
      </c>
      <c r="D5781">
        <f>IF(B5781="","",HOUR(A5781))</f>
        <v/>
      </c>
    </row>
    <row r="5782">
      <c r="A5782">
        <f>Input!A5782</f>
        <v/>
      </c>
      <c r="B5782">
        <f>IF(ISNUMBER(Input!B5782),IF(AND(Input!B5782&gt;=20,Input!B5782&lt;=700),Input!B5782,""),"")</f>
        <v/>
      </c>
      <c r="C5782">
        <f>IF(B5782="","",INT(A5782))</f>
        <v/>
      </c>
      <c r="D5782">
        <f>IF(B5782="","",HOUR(A5782))</f>
        <v/>
      </c>
    </row>
    <row r="5783">
      <c r="A5783">
        <f>Input!A5783</f>
        <v/>
      </c>
      <c r="B5783">
        <f>IF(ISNUMBER(Input!B5783),IF(AND(Input!B5783&gt;=20,Input!B5783&lt;=700),Input!B5783,""),"")</f>
        <v/>
      </c>
      <c r="C5783">
        <f>IF(B5783="","",INT(A5783))</f>
        <v/>
      </c>
      <c r="D5783">
        <f>IF(B5783="","",HOUR(A5783))</f>
        <v/>
      </c>
    </row>
    <row r="5784">
      <c r="A5784">
        <f>Input!A5784</f>
        <v/>
      </c>
      <c r="B5784">
        <f>IF(ISNUMBER(Input!B5784),IF(AND(Input!B5784&gt;=20,Input!B5784&lt;=700),Input!B5784,""),"")</f>
        <v/>
      </c>
      <c r="C5784">
        <f>IF(B5784="","",INT(A5784))</f>
        <v/>
      </c>
      <c r="D5784">
        <f>IF(B5784="","",HOUR(A5784))</f>
        <v/>
      </c>
    </row>
    <row r="5785">
      <c r="A5785">
        <f>Input!A5785</f>
        <v/>
      </c>
      <c r="B5785">
        <f>IF(ISNUMBER(Input!B5785),IF(AND(Input!B5785&gt;=20,Input!B5785&lt;=700),Input!B5785,""),"")</f>
        <v/>
      </c>
      <c r="C5785">
        <f>IF(B5785="","",INT(A5785))</f>
        <v/>
      </c>
      <c r="D5785">
        <f>IF(B5785="","",HOUR(A5785))</f>
        <v/>
      </c>
    </row>
    <row r="5786">
      <c r="A5786">
        <f>Input!A5786</f>
        <v/>
      </c>
      <c r="B5786">
        <f>IF(ISNUMBER(Input!B5786),IF(AND(Input!B5786&gt;=20,Input!B5786&lt;=700),Input!B5786,""),"")</f>
        <v/>
      </c>
      <c r="C5786">
        <f>IF(B5786="","",INT(A5786))</f>
        <v/>
      </c>
      <c r="D5786">
        <f>IF(B5786="","",HOUR(A5786))</f>
        <v/>
      </c>
    </row>
    <row r="5787">
      <c r="A5787">
        <f>Input!A5787</f>
        <v/>
      </c>
      <c r="B5787">
        <f>IF(ISNUMBER(Input!B5787),IF(AND(Input!B5787&gt;=20,Input!B5787&lt;=700),Input!B5787,""),"")</f>
        <v/>
      </c>
      <c r="C5787">
        <f>IF(B5787="","",INT(A5787))</f>
        <v/>
      </c>
      <c r="D5787">
        <f>IF(B5787="","",HOUR(A5787))</f>
        <v/>
      </c>
    </row>
    <row r="5788">
      <c r="A5788">
        <f>Input!A5788</f>
        <v/>
      </c>
      <c r="B5788">
        <f>IF(ISNUMBER(Input!B5788),IF(AND(Input!B5788&gt;=20,Input!B5788&lt;=700),Input!B5788,""),"")</f>
        <v/>
      </c>
      <c r="C5788">
        <f>IF(B5788="","",INT(A5788))</f>
        <v/>
      </c>
      <c r="D5788">
        <f>IF(B5788="","",HOUR(A5788))</f>
        <v/>
      </c>
    </row>
    <row r="5789">
      <c r="A5789">
        <f>Input!A5789</f>
        <v/>
      </c>
      <c r="B5789">
        <f>IF(ISNUMBER(Input!B5789),IF(AND(Input!B5789&gt;=20,Input!B5789&lt;=700),Input!B5789,""),"")</f>
        <v/>
      </c>
      <c r="C5789">
        <f>IF(B5789="","",INT(A5789))</f>
        <v/>
      </c>
      <c r="D5789">
        <f>IF(B5789="","",HOUR(A5789))</f>
        <v/>
      </c>
    </row>
    <row r="5790">
      <c r="A5790">
        <f>Input!A5790</f>
        <v/>
      </c>
      <c r="B5790">
        <f>IF(ISNUMBER(Input!B5790),IF(AND(Input!B5790&gt;=20,Input!B5790&lt;=700),Input!B5790,""),"")</f>
        <v/>
      </c>
      <c r="C5790">
        <f>IF(B5790="","",INT(A5790))</f>
        <v/>
      </c>
      <c r="D5790">
        <f>IF(B5790="","",HOUR(A5790))</f>
        <v/>
      </c>
    </row>
    <row r="5791">
      <c r="A5791">
        <f>Input!A5791</f>
        <v/>
      </c>
      <c r="B5791">
        <f>IF(ISNUMBER(Input!B5791),IF(AND(Input!B5791&gt;=20,Input!B5791&lt;=700),Input!B5791,""),"")</f>
        <v/>
      </c>
      <c r="C5791">
        <f>IF(B5791="","",INT(A5791))</f>
        <v/>
      </c>
      <c r="D5791">
        <f>IF(B5791="","",HOUR(A5791))</f>
        <v/>
      </c>
    </row>
    <row r="5792">
      <c r="A5792">
        <f>Input!A5792</f>
        <v/>
      </c>
      <c r="B5792">
        <f>IF(ISNUMBER(Input!B5792),IF(AND(Input!B5792&gt;=20,Input!B5792&lt;=700),Input!B5792,""),"")</f>
        <v/>
      </c>
      <c r="C5792">
        <f>IF(B5792="","",INT(A5792))</f>
        <v/>
      </c>
      <c r="D5792">
        <f>IF(B5792="","",HOUR(A5792))</f>
        <v/>
      </c>
    </row>
    <row r="5793">
      <c r="A5793">
        <f>Input!A5793</f>
        <v/>
      </c>
      <c r="B5793">
        <f>IF(ISNUMBER(Input!B5793),IF(AND(Input!B5793&gt;=20,Input!B5793&lt;=700),Input!B5793,""),"")</f>
        <v/>
      </c>
      <c r="C5793">
        <f>IF(B5793="","",INT(A5793))</f>
        <v/>
      </c>
      <c r="D5793">
        <f>IF(B5793="","",HOUR(A5793))</f>
        <v/>
      </c>
    </row>
    <row r="5794">
      <c r="A5794">
        <f>Input!A5794</f>
        <v/>
      </c>
      <c r="B5794">
        <f>IF(ISNUMBER(Input!B5794),IF(AND(Input!B5794&gt;=20,Input!B5794&lt;=700),Input!B5794,""),"")</f>
        <v/>
      </c>
      <c r="C5794">
        <f>IF(B5794="","",INT(A5794))</f>
        <v/>
      </c>
      <c r="D5794">
        <f>IF(B5794="","",HOUR(A5794))</f>
        <v/>
      </c>
    </row>
    <row r="5795">
      <c r="A5795">
        <f>Input!A5795</f>
        <v/>
      </c>
      <c r="B5795">
        <f>IF(ISNUMBER(Input!B5795),IF(AND(Input!B5795&gt;=20,Input!B5795&lt;=700),Input!B5795,""),"")</f>
        <v/>
      </c>
      <c r="C5795">
        <f>IF(B5795="","",INT(A5795))</f>
        <v/>
      </c>
      <c r="D5795">
        <f>IF(B5795="","",HOUR(A5795))</f>
        <v/>
      </c>
    </row>
    <row r="5796">
      <c r="A5796">
        <f>Input!A5796</f>
        <v/>
      </c>
      <c r="B5796">
        <f>IF(ISNUMBER(Input!B5796),IF(AND(Input!B5796&gt;=20,Input!B5796&lt;=700),Input!B5796,""),"")</f>
        <v/>
      </c>
      <c r="C5796">
        <f>IF(B5796="","",INT(A5796))</f>
        <v/>
      </c>
      <c r="D5796">
        <f>IF(B5796="","",HOUR(A5796))</f>
        <v/>
      </c>
    </row>
    <row r="5797">
      <c r="A5797">
        <f>Input!A5797</f>
        <v/>
      </c>
      <c r="B5797">
        <f>IF(ISNUMBER(Input!B5797),IF(AND(Input!B5797&gt;=20,Input!B5797&lt;=700),Input!B5797,""),"")</f>
        <v/>
      </c>
      <c r="C5797">
        <f>IF(B5797="","",INT(A5797))</f>
        <v/>
      </c>
      <c r="D5797">
        <f>IF(B5797="","",HOUR(A5797))</f>
        <v/>
      </c>
    </row>
    <row r="5798">
      <c r="A5798">
        <f>Input!A5798</f>
        <v/>
      </c>
      <c r="B5798">
        <f>IF(ISNUMBER(Input!B5798),IF(AND(Input!B5798&gt;=20,Input!B5798&lt;=700),Input!B5798,""),"")</f>
        <v/>
      </c>
      <c r="C5798">
        <f>IF(B5798="","",INT(A5798))</f>
        <v/>
      </c>
      <c r="D5798">
        <f>IF(B5798="","",HOUR(A5798))</f>
        <v/>
      </c>
    </row>
    <row r="5799">
      <c r="A5799">
        <f>Input!A5799</f>
        <v/>
      </c>
      <c r="B5799">
        <f>IF(ISNUMBER(Input!B5799),IF(AND(Input!B5799&gt;=20,Input!B5799&lt;=700),Input!B5799,""),"")</f>
        <v/>
      </c>
      <c r="C5799">
        <f>IF(B5799="","",INT(A5799))</f>
        <v/>
      </c>
      <c r="D5799">
        <f>IF(B5799="","",HOUR(A5799))</f>
        <v/>
      </c>
    </row>
    <row r="5800">
      <c r="A5800">
        <f>Input!A5800</f>
        <v/>
      </c>
      <c r="B5800">
        <f>IF(ISNUMBER(Input!B5800),IF(AND(Input!B5800&gt;=20,Input!B5800&lt;=700),Input!B5800,""),"")</f>
        <v/>
      </c>
      <c r="C5800">
        <f>IF(B5800="","",INT(A5800))</f>
        <v/>
      </c>
      <c r="D5800">
        <f>IF(B5800="","",HOUR(A5800))</f>
        <v/>
      </c>
    </row>
    <row r="5801">
      <c r="A5801">
        <f>Input!A5801</f>
        <v/>
      </c>
      <c r="B5801">
        <f>IF(ISNUMBER(Input!B5801),IF(AND(Input!B5801&gt;=20,Input!B5801&lt;=700),Input!B5801,""),"")</f>
        <v/>
      </c>
      <c r="C5801">
        <f>IF(B5801="","",INT(A5801))</f>
        <v/>
      </c>
      <c r="D5801">
        <f>IF(B5801="","",HOUR(A5801))</f>
        <v/>
      </c>
    </row>
    <row r="5802">
      <c r="A5802">
        <f>Input!A5802</f>
        <v/>
      </c>
      <c r="B5802">
        <f>IF(ISNUMBER(Input!B5802),IF(AND(Input!B5802&gt;=20,Input!B5802&lt;=700),Input!B5802,""),"")</f>
        <v/>
      </c>
      <c r="C5802">
        <f>IF(B5802="","",INT(A5802))</f>
        <v/>
      </c>
      <c r="D5802">
        <f>IF(B5802="","",HOUR(A5802))</f>
        <v/>
      </c>
    </row>
    <row r="5803">
      <c r="A5803">
        <f>Input!A5803</f>
        <v/>
      </c>
      <c r="B5803">
        <f>IF(ISNUMBER(Input!B5803),IF(AND(Input!B5803&gt;=20,Input!B5803&lt;=700),Input!B5803,""),"")</f>
        <v/>
      </c>
      <c r="C5803">
        <f>IF(B5803="","",INT(A5803))</f>
        <v/>
      </c>
      <c r="D5803">
        <f>IF(B5803="","",HOUR(A5803))</f>
        <v/>
      </c>
    </row>
    <row r="5804">
      <c r="A5804">
        <f>Input!A5804</f>
        <v/>
      </c>
      <c r="B5804">
        <f>IF(ISNUMBER(Input!B5804),IF(AND(Input!B5804&gt;=20,Input!B5804&lt;=700),Input!B5804,""),"")</f>
        <v/>
      </c>
      <c r="C5804">
        <f>IF(B5804="","",INT(A5804))</f>
        <v/>
      </c>
      <c r="D5804">
        <f>IF(B5804="","",HOUR(A5804))</f>
        <v/>
      </c>
    </row>
    <row r="5805">
      <c r="A5805">
        <f>Input!A5805</f>
        <v/>
      </c>
      <c r="B5805">
        <f>IF(ISNUMBER(Input!B5805),IF(AND(Input!B5805&gt;=20,Input!B5805&lt;=700),Input!B5805,""),"")</f>
        <v/>
      </c>
      <c r="C5805">
        <f>IF(B5805="","",INT(A5805))</f>
        <v/>
      </c>
      <c r="D5805">
        <f>IF(B5805="","",HOUR(A5805))</f>
        <v/>
      </c>
    </row>
    <row r="5806">
      <c r="A5806">
        <f>Input!A5806</f>
        <v/>
      </c>
      <c r="B5806">
        <f>IF(ISNUMBER(Input!B5806),IF(AND(Input!B5806&gt;=20,Input!B5806&lt;=700),Input!B5806,""),"")</f>
        <v/>
      </c>
      <c r="C5806">
        <f>IF(B5806="","",INT(A5806))</f>
        <v/>
      </c>
      <c r="D5806">
        <f>IF(B5806="","",HOUR(A5806))</f>
        <v/>
      </c>
    </row>
    <row r="5807">
      <c r="A5807">
        <f>Input!A5807</f>
        <v/>
      </c>
      <c r="B5807">
        <f>IF(ISNUMBER(Input!B5807),IF(AND(Input!B5807&gt;=20,Input!B5807&lt;=700),Input!B5807,""),"")</f>
        <v/>
      </c>
      <c r="C5807">
        <f>IF(B5807="","",INT(A5807))</f>
        <v/>
      </c>
      <c r="D5807">
        <f>IF(B5807="","",HOUR(A5807))</f>
        <v/>
      </c>
    </row>
    <row r="5808">
      <c r="A5808">
        <f>Input!A5808</f>
        <v/>
      </c>
      <c r="B5808">
        <f>IF(ISNUMBER(Input!B5808),IF(AND(Input!B5808&gt;=20,Input!B5808&lt;=700),Input!B5808,""),"")</f>
        <v/>
      </c>
      <c r="C5808">
        <f>IF(B5808="","",INT(A5808))</f>
        <v/>
      </c>
      <c r="D5808">
        <f>IF(B5808="","",HOUR(A5808))</f>
        <v/>
      </c>
    </row>
    <row r="5809">
      <c r="A5809">
        <f>Input!A5809</f>
        <v/>
      </c>
      <c r="B5809">
        <f>IF(ISNUMBER(Input!B5809),IF(AND(Input!B5809&gt;=20,Input!B5809&lt;=700),Input!B5809,""),"")</f>
        <v/>
      </c>
      <c r="C5809">
        <f>IF(B5809="","",INT(A5809))</f>
        <v/>
      </c>
      <c r="D5809">
        <f>IF(B5809="","",HOUR(A5809))</f>
        <v/>
      </c>
    </row>
    <row r="5810">
      <c r="A5810">
        <f>Input!A5810</f>
        <v/>
      </c>
      <c r="B5810">
        <f>IF(ISNUMBER(Input!B5810),IF(AND(Input!B5810&gt;=20,Input!B5810&lt;=700),Input!B5810,""),"")</f>
        <v/>
      </c>
      <c r="C5810">
        <f>IF(B5810="","",INT(A5810))</f>
        <v/>
      </c>
      <c r="D5810">
        <f>IF(B5810="","",HOUR(A5810))</f>
        <v/>
      </c>
    </row>
    <row r="5811">
      <c r="A5811">
        <f>Input!A5811</f>
        <v/>
      </c>
      <c r="B5811">
        <f>IF(ISNUMBER(Input!B5811),IF(AND(Input!B5811&gt;=20,Input!B5811&lt;=700),Input!B5811,""),"")</f>
        <v/>
      </c>
      <c r="C5811">
        <f>IF(B5811="","",INT(A5811))</f>
        <v/>
      </c>
      <c r="D5811">
        <f>IF(B5811="","",HOUR(A5811))</f>
        <v/>
      </c>
    </row>
    <row r="5812">
      <c r="A5812">
        <f>Input!A5812</f>
        <v/>
      </c>
      <c r="B5812">
        <f>IF(ISNUMBER(Input!B5812),IF(AND(Input!B5812&gt;=20,Input!B5812&lt;=700),Input!B5812,""),"")</f>
        <v/>
      </c>
      <c r="C5812">
        <f>IF(B5812="","",INT(A5812))</f>
        <v/>
      </c>
      <c r="D5812">
        <f>IF(B5812="","",HOUR(A5812))</f>
        <v/>
      </c>
    </row>
    <row r="5813">
      <c r="A5813">
        <f>Input!A5813</f>
        <v/>
      </c>
      <c r="B5813">
        <f>IF(ISNUMBER(Input!B5813),IF(AND(Input!B5813&gt;=20,Input!B5813&lt;=700),Input!B5813,""),"")</f>
        <v/>
      </c>
      <c r="C5813">
        <f>IF(B5813="","",INT(A5813))</f>
        <v/>
      </c>
      <c r="D5813">
        <f>IF(B5813="","",HOUR(A5813))</f>
        <v/>
      </c>
    </row>
    <row r="5814">
      <c r="A5814">
        <f>Input!A5814</f>
        <v/>
      </c>
      <c r="B5814">
        <f>IF(ISNUMBER(Input!B5814),IF(AND(Input!B5814&gt;=20,Input!B5814&lt;=700),Input!B5814,""),"")</f>
        <v/>
      </c>
      <c r="C5814">
        <f>IF(B5814="","",INT(A5814))</f>
        <v/>
      </c>
      <c r="D5814">
        <f>IF(B5814="","",HOUR(A5814))</f>
        <v/>
      </c>
    </row>
    <row r="5815">
      <c r="A5815">
        <f>Input!A5815</f>
        <v/>
      </c>
      <c r="B5815">
        <f>IF(ISNUMBER(Input!B5815),IF(AND(Input!B5815&gt;=20,Input!B5815&lt;=700),Input!B5815,""),"")</f>
        <v/>
      </c>
      <c r="C5815">
        <f>IF(B5815="","",INT(A5815))</f>
        <v/>
      </c>
      <c r="D5815">
        <f>IF(B5815="","",HOUR(A5815))</f>
        <v/>
      </c>
    </row>
    <row r="5816">
      <c r="A5816">
        <f>Input!A5816</f>
        <v/>
      </c>
      <c r="B5816">
        <f>IF(ISNUMBER(Input!B5816),IF(AND(Input!B5816&gt;=20,Input!B5816&lt;=700),Input!B5816,""),"")</f>
        <v/>
      </c>
      <c r="C5816">
        <f>IF(B5816="","",INT(A5816))</f>
        <v/>
      </c>
      <c r="D5816">
        <f>IF(B5816="","",HOUR(A5816))</f>
        <v/>
      </c>
    </row>
    <row r="5817">
      <c r="A5817">
        <f>Input!A5817</f>
        <v/>
      </c>
      <c r="B5817">
        <f>IF(ISNUMBER(Input!B5817),IF(AND(Input!B5817&gt;=20,Input!B5817&lt;=700),Input!B5817,""),"")</f>
        <v/>
      </c>
      <c r="C5817">
        <f>IF(B5817="","",INT(A5817))</f>
        <v/>
      </c>
      <c r="D5817">
        <f>IF(B5817="","",HOUR(A5817))</f>
        <v/>
      </c>
    </row>
    <row r="5818">
      <c r="A5818">
        <f>Input!A5818</f>
        <v/>
      </c>
      <c r="B5818">
        <f>IF(ISNUMBER(Input!B5818),IF(AND(Input!B5818&gt;=20,Input!B5818&lt;=700),Input!B5818,""),"")</f>
        <v/>
      </c>
      <c r="C5818">
        <f>IF(B5818="","",INT(A5818))</f>
        <v/>
      </c>
      <c r="D5818">
        <f>IF(B5818="","",HOUR(A5818))</f>
        <v/>
      </c>
    </row>
    <row r="5819">
      <c r="A5819">
        <f>Input!A5819</f>
        <v/>
      </c>
      <c r="B5819">
        <f>IF(ISNUMBER(Input!B5819),IF(AND(Input!B5819&gt;=20,Input!B5819&lt;=700),Input!B5819,""),"")</f>
        <v/>
      </c>
      <c r="C5819">
        <f>IF(B5819="","",INT(A5819))</f>
        <v/>
      </c>
      <c r="D5819">
        <f>IF(B5819="","",HOUR(A5819))</f>
        <v/>
      </c>
    </row>
    <row r="5820">
      <c r="A5820">
        <f>Input!A5820</f>
        <v/>
      </c>
      <c r="B5820">
        <f>IF(ISNUMBER(Input!B5820),IF(AND(Input!B5820&gt;=20,Input!B5820&lt;=700),Input!B5820,""),"")</f>
        <v/>
      </c>
      <c r="C5820">
        <f>IF(B5820="","",INT(A5820))</f>
        <v/>
      </c>
      <c r="D5820">
        <f>IF(B5820="","",HOUR(A5820))</f>
        <v/>
      </c>
    </row>
    <row r="5821">
      <c r="A5821">
        <f>Input!A5821</f>
        <v/>
      </c>
      <c r="B5821">
        <f>IF(ISNUMBER(Input!B5821),IF(AND(Input!B5821&gt;=20,Input!B5821&lt;=700),Input!B5821,""),"")</f>
        <v/>
      </c>
      <c r="C5821">
        <f>IF(B5821="","",INT(A5821))</f>
        <v/>
      </c>
      <c r="D5821">
        <f>IF(B5821="","",HOUR(A5821))</f>
        <v/>
      </c>
    </row>
    <row r="5822">
      <c r="A5822">
        <f>Input!A5822</f>
        <v/>
      </c>
      <c r="B5822">
        <f>IF(ISNUMBER(Input!B5822),IF(AND(Input!B5822&gt;=20,Input!B5822&lt;=700),Input!B5822,""),"")</f>
        <v/>
      </c>
      <c r="C5822">
        <f>IF(B5822="","",INT(A5822))</f>
        <v/>
      </c>
      <c r="D5822">
        <f>IF(B5822="","",HOUR(A5822))</f>
        <v/>
      </c>
    </row>
    <row r="5823">
      <c r="A5823">
        <f>Input!A5823</f>
        <v/>
      </c>
      <c r="B5823">
        <f>IF(ISNUMBER(Input!B5823),IF(AND(Input!B5823&gt;=20,Input!B5823&lt;=700),Input!B5823,""),"")</f>
        <v/>
      </c>
      <c r="C5823">
        <f>IF(B5823="","",INT(A5823))</f>
        <v/>
      </c>
      <c r="D5823">
        <f>IF(B5823="","",HOUR(A5823))</f>
        <v/>
      </c>
    </row>
    <row r="5824">
      <c r="A5824">
        <f>Input!A5824</f>
        <v/>
      </c>
      <c r="B5824">
        <f>IF(ISNUMBER(Input!B5824),IF(AND(Input!B5824&gt;=20,Input!B5824&lt;=700),Input!B5824,""),"")</f>
        <v/>
      </c>
      <c r="C5824">
        <f>IF(B5824="","",INT(A5824))</f>
        <v/>
      </c>
      <c r="D5824">
        <f>IF(B5824="","",HOUR(A5824))</f>
        <v/>
      </c>
    </row>
    <row r="5825">
      <c r="A5825">
        <f>Input!A5825</f>
        <v/>
      </c>
      <c r="B5825">
        <f>IF(ISNUMBER(Input!B5825),IF(AND(Input!B5825&gt;=20,Input!B5825&lt;=700),Input!B5825,""),"")</f>
        <v/>
      </c>
      <c r="C5825">
        <f>IF(B5825="","",INT(A5825))</f>
        <v/>
      </c>
      <c r="D5825">
        <f>IF(B5825="","",HOUR(A5825))</f>
        <v/>
      </c>
    </row>
    <row r="5826">
      <c r="A5826">
        <f>Input!A5826</f>
        <v/>
      </c>
      <c r="B5826">
        <f>IF(ISNUMBER(Input!B5826),IF(AND(Input!B5826&gt;=20,Input!B5826&lt;=700),Input!B5826,""),"")</f>
        <v/>
      </c>
      <c r="C5826">
        <f>IF(B5826="","",INT(A5826))</f>
        <v/>
      </c>
      <c r="D5826">
        <f>IF(B5826="","",HOUR(A5826))</f>
        <v/>
      </c>
    </row>
    <row r="5827">
      <c r="A5827">
        <f>Input!A5827</f>
        <v/>
      </c>
      <c r="B5827">
        <f>IF(ISNUMBER(Input!B5827),IF(AND(Input!B5827&gt;=20,Input!B5827&lt;=700),Input!B5827,""),"")</f>
        <v/>
      </c>
      <c r="C5827">
        <f>IF(B5827="","",INT(A5827))</f>
        <v/>
      </c>
      <c r="D5827">
        <f>IF(B5827="","",HOUR(A5827))</f>
        <v/>
      </c>
    </row>
    <row r="5828">
      <c r="A5828">
        <f>Input!A5828</f>
        <v/>
      </c>
      <c r="B5828">
        <f>IF(ISNUMBER(Input!B5828),IF(AND(Input!B5828&gt;=20,Input!B5828&lt;=700),Input!B5828,""),"")</f>
        <v/>
      </c>
      <c r="C5828">
        <f>IF(B5828="","",INT(A5828))</f>
        <v/>
      </c>
      <c r="D5828">
        <f>IF(B5828="","",HOUR(A5828))</f>
        <v/>
      </c>
    </row>
    <row r="5829">
      <c r="A5829">
        <f>Input!A5829</f>
        <v/>
      </c>
      <c r="B5829">
        <f>IF(ISNUMBER(Input!B5829),IF(AND(Input!B5829&gt;=20,Input!B5829&lt;=700),Input!B5829,""),"")</f>
        <v/>
      </c>
      <c r="C5829">
        <f>IF(B5829="","",INT(A5829))</f>
        <v/>
      </c>
      <c r="D5829">
        <f>IF(B5829="","",HOUR(A5829))</f>
        <v/>
      </c>
    </row>
    <row r="5830">
      <c r="A5830">
        <f>Input!A5830</f>
        <v/>
      </c>
      <c r="B5830">
        <f>IF(ISNUMBER(Input!B5830),IF(AND(Input!B5830&gt;=20,Input!B5830&lt;=700),Input!B5830,""),"")</f>
        <v/>
      </c>
      <c r="C5830">
        <f>IF(B5830="","",INT(A5830))</f>
        <v/>
      </c>
      <c r="D5830">
        <f>IF(B5830="","",HOUR(A5830))</f>
        <v/>
      </c>
    </row>
    <row r="5831">
      <c r="A5831">
        <f>Input!A5831</f>
        <v/>
      </c>
      <c r="B5831">
        <f>IF(ISNUMBER(Input!B5831),IF(AND(Input!B5831&gt;=20,Input!B5831&lt;=700),Input!B5831,""),"")</f>
        <v/>
      </c>
      <c r="C5831">
        <f>IF(B5831="","",INT(A5831))</f>
        <v/>
      </c>
      <c r="D5831">
        <f>IF(B5831="","",HOUR(A5831))</f>
        <v/>
      </c>
    </row>
    <row r="5832">
      <c r="A5832">
        <f>Input!A5832</f>
        <v/>
      </c>
      <c r="B5832">
        <f>IF(ISNUMBER(Input!B5832),IF(AND(Input!B5832&gt;=20,Input!B5832&lt;=700),Input!B5832,""),"")</f>
        <v/>
      </c>
      <c r="C5832">
        <f>IF(B5832="","",INT(A5832))</f>
        <v/>
      </c>
      <c r="D5832">
        <f>IF(B5832="","",HOUR(A5832))</f>
        <v/>
      </c>
    </row>
    <row r="5833">
      <c r="A5833">
        <f>Input!A5833</f>
        <v/>
      </c>
      <c r="B5833">
        <f>IF(ISNUMBER(Input!B5833),IF(AND(Input!B5833&gt;=20,Input!B5833&lt;=700),Input!B5833,""),"")</f>
        <v/>
      </c>
      <c r="C5833">
        <f>IF(B5833="","",INT(A5833))</f>
        <v/>
      </c>
      <c r="D5833">
        <f>IF(B5833="","",HOUR(A5833))</f>
        <v/>
      </c>
    </row>
    <row r="5834">
      <c r="A5834">
        <f>Input!A5834</f>
        <v/>
      </c>
      <c r="B5834">
        <f>IF(ISNUMBER(Input!B5834),IF(AND(Input!B5834&gt;=20,Input!B5834&lt;=700),Input!B5834,""),"")</f>
        <v/>
      </c>
      <c r="C5834">
        <f>IF(B5834="","",INT(A5834))</f>
        <v/>
      </c>
      <c r="D5834">
        <f>IF(B5834="","",HOUR(A5834))</f>
        <v/>
      </c>
    </row>
    <row r="5835">
      <c r="A5835">
        <f>Input!A5835</f>
        <v/>
      </c>
      <c r="B5835">
        <f>IF(ISNUMBER(Input!B5835),IF(AND(Input!B5835&gt;=20,Input!B5835&lt;=700),Input!B5835,""),"")</f>
        <v/>
      </c>
      <c r="C5835">
        <f>IF(B5835="","",INT(A5835))</f>
        <v/>
      </c>
      <c r="D5835">
        <f>IF(B5835="","",HOUR(A5835))</f>
        <v/>
      </c>
    </row>
    <row r="5836">
      <c r="A5836">
        <f>Input!A5836</f>
        <v/>
      </c>
      <c r="B5836">
        <f>IF(ISNUMBER(Input!B5836),IF(AND(Input!B5836&gt;=20,Input!B5836&lt;=700),Input!B5836,""),"")</f>
        <v/>
      </c>
      <c r="C5836">
        <f>IF(B5836="","",INT(A5836))</f>
        <v/>
      </c>
      <c r="D5836">
        <f>IF(B5836="","",HOUR(A5836))</f>
        <v/>
      </c>
    </row>
    <row r="5837">
      <c r="A5837">
        <f>Input!A5837</f>
        <v/>
      </c>
      <c r="B5837">
        <f>IF(ISNUMBER(Input!B5837),IF(AND(Input!B5837&gt;=20,Input!B5837&lt;=700),Input!B5837,""),"")</f>
        <v/>
      </c>
      <c r="C5837">
        <f>IF(B5837="","",INT(A5837))</f>
        <v/>
      </c>
      <c r="D5837">
        <f>IF(B5837="","",HOUR(A5837))</f>
        <v/>
      </c>
    </row>
    <row r="5838">
      <c r="A5838">
        <f>Input!A5838</f>
        <v/>
      </c>
      <c r="B5838">
        <f>IF(ISNUMBER(Input!B5838),IF(AND(Input!B5838&gt;=20,Input!B5838&lt;=700),Input!B5838,""),"")</f>
        <v/>
      </c>
      <c r="C5838">
        <f>IF(B5838="","",INT(A5838))</f>
        <v/>
      </c>
      <c r="D5838">
        <f>IF(B5838="","",HOUR(A5838))</f>
        <v/>
      </c>
    </row>
    <row r="5839">
      <c r="A5839">
        <f>Input!A5839</f>
        <v/>
      </c>
      <c r="B5839">
        <f>IF(ISNUMBER(Input!B5839),IF(AND(Input!B5839&gt;=20,Input!B5839&lt;=700),Input!B5839,""),"")</f>
        <v/>
      </c>
      <c r="C5839">
        <f>IF(B5839="","",INT(A5839))</f>
        <v/>
      </c>
      <c r="D5839">
        <f>IF(B5839="","",HOUR(A5839))</f>
        <v/>
      </c>
    </row>
    <row r="5840">
      <c r="A5840">
        <f>Input!A5840</f>
        <v/>
      </c>
      <c r="B5840">
        <f>IF(ISNUMBER(Input!B5840),IF(AND(Input!B5840&gt;=20,Input!B5840&lt;=700),Input!B5840,""),"")</f>
        <v/>
      </c>
      <c r="C5840">
        <f>IF(B5840="","",INT(A5840))</f>
        <v/>
      </c>
      <c r="D5840">
        <f>IF(B5840="","",HOUR(A5840))</f>
        <v/>
      </c>
    </row>
    <row r="5841">
      <c r="A5841">
        <f>Input!A5841</f>
        <v/>
      </c>
      <c r="B5841">
        <f>IF(ISNUMBER(Input!B5841),IF(AND(Input!B5841&gt;=20,Input!B5841&lt;=700),Input!B5841,""),"")</f>
        <v/>
      </c>
      <c r="C5841">
        <f>IF(B5841="","",INT(A5841))</f>
        <v/>
      </c>
      <c r="D5841">
        <f>IF(B5841="","",HOUR(A5841))</f>
        <v/>
      </c>
    </row>
    <row r="5842">
      <c r="A5842">
        <f>Input!A5842</f>
        <v/>
      </c>
      <c r="B5842">
        <f>IF(ISNUMBER(Input!B5842),IF(AND(Input!B5842&gt;=20,Input!B5842&lt;=700),Input!B5842,""),"")</f>
        <v/>
      </c>
      <c r="C5842">
        <f>IF(B5842="","",INT(A5842))</f>
        <v/>
      </c>
      <c r="D5842">
        <f>IF(B5842="","",HOUR(A5842))</f>
        <v/>
      </c>
    </row>
    <row r="5843">
      <c r="A5843">
        <f>Input!A5843</f>
        <v/>
      </c>
      <c r="B5843">
        <f>IF(ISNUMBER(Input!B5843),IF(AND(Input!B5843&gt;=20,Input!B5843&lt;=700),Input!B5843,""),"")</f>
        <v/>
      </c>
      <c r="C5843">
        <f>IF(B5843="","",INT(A5843))</f>
        <v/>
      </c>
      <c r="D5843">
        <f>IF(B5843="","",HOUR(A5843))</f>
        <v/>
      </c>
    </row>
    <row r="5844">
      <c r="A5844">
        <f>Input!A5844</f>
        <v/>
      </c>
      <c r="B5844">
        <f>IF(ISNUMBER(Input!B5844),IF(AND(Input!B5844&gt;=20,Input!B5844&lt;=700),Input!B5844,""),"")</f>
        <v/>
      </c>
      <c r="C5844">
        <f>IF(B5844="","",INT(A5844))</f>
        <v/>
      </c>
      <c r="D5844">
        <f>IF(B5844="","",HOUR(A5844))</f>
        <v/>
      </c>
    </row>
    <row r="5845">
      <c r="A5845">
        <f>Input!A5845</f>
        <v/>
      </c>
      <c r="B5845">
        <f>IF(ISNUMBER(Input!B5845),IF(AND(Input!B5845&gt;=20,Input!B5845&lt;=700),Input!B5845,""),"")</f>
        <v/>
      </c>
      <c r="C5845">
        <f>IF(B5845="","",INT(A5845))</f>
        <v/>
      </c>
      <c r="D5845">
        <f>IF(B5845="","",HOUR(A5845))</f>
        <v/>
      </c>
    </row>
    <row r="5846">
      <c r="A5846">
        <f>Input!A5846</f>
        <v/>
      </c>
      <c r="B5846">
        <f>IF(ISNUMBER(Input!B5846),IF(AND(Input!B5846&gt;=20,Input!B5846&lt;=700),Input!B5846,""),"")</f>
        <v/>
      </c>
      <c r="C5846">
        <f>IF(B5846="","",INT(A5846))</f>
        <v/>
      </c>
      <c r="D5846">
        <f>IF(B5846="","",HOUR(A5846))</f>
        <v/>
      </c>
    </row>
    <row r="5847">
      <c r="A5847">
        <f>Input!A5847</f>
        <v/>
      </c>
      <c r="B5847">
        <f>IF(ISNUMBER(Input!B5847),IF(AND(Input!B5847&gt;=20,Input!B5847&lt;=700),Input!B5847,""),"")</f>
        <v/>
      </c>
      <c r="C5847">
        <f>IF(B5847="","",INT(A5847))</f>
        <v/>
      </c>
      <c r="D5847">
        <f>IF(B5847="","",HOUR(A5847))</f>
        <v/>
      </c>
    </row>
    <row r="5848">
      <c r="A5848">
        <f>Input!A5848</f>
        <v/>
      </c>
      <c r="B5848">
        <f>IF(ISNUMBER(Input!B5848),IF(AND(Input!B5848&gt;=20,Input!B5848&lt;=700),Input!B5848,""),"")</f>
        <v/>
      </c>
      <c r="C5848">
        <f>IF(B5848="","",INT(A5848))</f>
        <v/>
      </c>
      <c r="D5848">
        <f>IF(B5848="","",HOUR(A5848))</f>
        <v/>
      </c>
    </row>
    <row r="5849">
      <c r="A5849">
        <f>Input!A5849</f>
        <v/>
      </c>
      <c r="B5849">
        <f>IF(ISNUMBER(Input!B5849),IF(AND(Input!B5849&gt;=20,Input!B5849&lt;=700),Input!B5849,""),"")</f>
        <v/>
      </c>
      <c r="C5849">
        <f>IF(B5849="","",INT(A5849))</f>
        <v/>
      </c>
      <c r="D5849">
        <f>IF(B5849="","",HOUR(A5849))</f>
        <v/>
      </c>
    </row>
    <row r="5850">
      <c r="A5850">
        <f>Input!A5850</f>
        <v/>
      </c>
      <c r="B5850">
        <f>IF(ISNUMBER(Input!B5850),IF(AND(Input!B5850&gt;=20,Input!B5850&lt;=700),Input!B5850,""),"")</f>
        <v/>
      </c>
      <c r="C5850">
        <f>IF(B5850="","",INT(A5850))</f>
        <v/>
      </c>
      <c r="D5850">
        <f>IF(B5850="","",HOUR(A5850))</f>
        <v/>
      </c>
    </row>
    <row r="5851">
      <c r="A5851">
        <f>Input!A5851</f>
        <v/>
      </c>
      <c r="B5851">
        <f>IF(ISNUMBER(Input!B5851),IF(AND(Input!B5851&gt;=20,Input!B5851&lt;=700),Input!B5851,""),"")</f>
        <v/>
      </c>
      <c r="C5851">
        <f>IF(B5851="","",INT(A5851))</f>
        <v/>
      </c>
      <c r="D5851">
        <f>IF(B5851="","",HOUR(A5851))</f>
        <v/>
      </c>
    </row>
    <row r="5852">
      <c r="A5852">
        <f>Input!A5852</f>
        <v/>
      </c>
      <c r="B5852">
        <f>IF(ISNUMBER(Input!B5852),IF(AND(Input!B5852&gt;=20,Input!B5852&lt;=700),Input!B5852,""),"")</f>
        <v/>
      </c>
      <c r="C5852">
        <f>IF(B5852="","",INT(A5852))</f>
        <v/>
      </c>
      <c r="D5852">
        <f>IF(B5852="","",HOUR(A5852))</f>
        <v/>
      </c>
    </row>
    <row r="5853">
      <c r="A5853">
        <f>Input!A5853</f>
        <v/>
      </c>
      <c r="B5853">
        <f>IF(ISNUMBER(Input!B5853),IF(AND(Input!B5853&gt;=20,Input!B5853&lt;=700),Input!B5853,""),"")</f>
        <v/>
      </c>
      <c r="C5853">
        <f>IF(B5853="","",INT(A5853))</f>
        <v/>
      </c>
      <c r="D5853">
        <f>IF(B5853="","",HOUR(A5853))</f>
        <v/>
      </c>
    </row>
    <row r="5854">
      <c r="A5854">
        <f>Input!A5854</f>
        <v/>
      </c>
      <c r="B5854">
        <f>IF(ISNUMBER(Input!B5854),IF(AND(Input!B5854&gt;=20,Input!B5854&lt;=700),Input!B5854,""),"")</f>
        <v/>
      </c>
      <c r="C5854">
        <f>IF(B5854="","",INT(A5854))</f>
        <v/>
      </c>
      <c r="D5854">
        <f>IF(B5854="","",HOUR(A5854))</f>
        <v/>
      </c>
    </row>
    <row r="5855">
      <c r="A5855">
        <f>Input!A5855</f>
        <v/>
      </c>
      <c r="B5855">
        <f>IF(ISNUMBER(Input!B5855),IF(AND(Input!B5855&gt;=20,Input!B5855&lt;=700),Input!B5855,""),"")</f>
        <v/>
      </c>
      <c r="C5855">
        <f>IF(B5855="","",INT(A5855))</f>
        <v/>
      </c>
      <c r="D5855">
        <f>IF(B5855="","",HOUR(A5855))</f>
        <v/>
      </c>
    </row>
    <row r="5856">
      <c r="A5856">
        <f>Input!A5856</f>
        <v/>
      </c>
      <c r="B5856">
        <f>IF(ISNUMBER(Input!B5856),IF(AND(Input!B5856&gt;=20,Input!B5856&lt;=700),Input!B5856,""),"")</f>
        <v/>
      </c>
      <c r="C5856">
        <f>IF(B5856="","",INT(A5856))</f>
        <v/>
      </c>
      <c r="D5856">
        <f>IF(B5856="","",HOUR(A5856))</f>
        <v/>
      </c>
    </row>
    <row r="5857">
      <c r="A5857">
        <f>Input!A5857</f>
        <v/>
      </c>
      <c r="B5857">
        <f>IF(ISNUMBER(Input!B5857),IF(AND(Input!B5857&gt;=20,Input!B5857&lt;=700),Input!B5857,""),"")</f>
        <v/>
      </c>
      <c r="C5857">
        <f>IF(B5857="","",INT(A5857))</f>
        <v/>
      </c>
      <c r="D5857">
        <f>IF(B5857="","",HOUR(A5857))</f>
        <v/>
      </c>
    </row>
    <row r="5858">
      <c r="A5858">
        <f>Input!A5858</f>
        <v/>
      </c>
      <c r="B5858">
        <f>IF(ISNUMBER(Input!B5858),IF(AND(Input!B5858&gt;=20,Input!B5858&lt;=700),Input!B5858,""),"")</f>
        <v/>
      </c>
      <c r="C5858">
        <f>IF(B5858="","",INT(A5858))</f>
        <v/>
      </c>
      <c r="D5858">
        <f>IF(B5858="","",HOUR(A5858))</f>
        <v/>
      </c>
    </row>
    <row r="5859">
      <c r="A5859">
        <f>Input!A5859</f>
        <v/>
      </c>
      <c r="B5859">
        <f>IF(ISNUMBER(Input!B5859),IF(AND(Input!B5859&gt;=20,Input!B5859&lt;=700),Input!B5859,""),"")</f>
        <v/>
      </c>
      <c r="C5859">
        <f>IF(B5859="","",INT(A5859))</f>
        <v/>
      </c>
      <c r="D5859">
        <f>IF(B5859="","",HOUR(A5859))</f>
        <v/>
      </c>
    </row>
    <row r="5860">
      <c r="A5860">
        <f>Input!A5860</f>
        <v/>
      </c>
      <c r="B5860">
        <f>IF(ISNUMBER(Input!B5860),IF(AND(Input!B5860&gt;=20,Input!B5860&lt;=700),Input!B5860,""),"")</f>
        <v/>
      </c>
      <c r="C5860">
        <f>IF(B5860="","",INT(A5860))</f>
        <v/>
      </c>
      <c r="D5860">
        <f>IF(B5860="","",HOUR(A5860))</f>
        <v/>
      </c>
    </row>
    <row r="5861">
      <c r="A5861">
        <f>Input!A5861</f>
        <v/>
      </c>
      <c r="B5861">
        <f>IF(ISNUMBER(Input!B5861),IF(AND(Input!B5861&gt;=20,Input!B5861&lt;=700),Input!B5861,""),"")</f>
        <v/>
      </c>
      <c r="C5861">
        <f>IF(B5861="","",INT(A5861))</f>
        <v/>
      </c>
      <c r="D5861">
        <f>IF(B5861="","",HOUR(A5861))</f>
        <v/>
      </c>
    </row>
    <row r="5862">
      <c r="A5862">
        <f>Input!A5862</f>
        <v/>
      </c>
      <c r="B5862">
        <f>IF(ISNUMBER(Input!B5862),IF(AND(Input!B5862&gt;=20,Input!B5862&lt;=700),Input!B5862,""),"")</f>
        <v/>
      </c>
      <c r="C5862">
        <f>IF(B5862="","",INT(A5862))</f>
        <v/>
      </c>
      <c r="D5862">
        <f>IF(B5862="","",HOUR(A5862))</f>
        <v/>
      </c>
    </row>
    <row r="5863">
      <c r="A5863">
        <f>Input!A5863</f>
        <v/>
      </c>
      <c r="B5863">
        <f>IF(ISNUMBER(Input!B5863),IF(AND(Input!B5863&gt;=20,Input!B5863&lt;=700),Input!B5863,""),"")</f>
        <v/>
      </c>
      <c r="C5863">
        <f>IF(B5863="","",INT(A5863))</f>
        <v/>
      </c>
      <c r="D5863">
        <f>IF(B5863="","",HOUR(A5863))</f>
        <v/>
      </c>
    </row>
    <row r="5864">
      <c r="A5864">
        <f>Input!A5864</f>
        <v/>
      </c>
      <c r="B5864">
        <f>IF(ISNUMBER(Input!B5864),IF(AND(Input!B5864&gt;=20,Input!B5864&lt;=700),Input!B5864,""),"")</f>
        <v/>
      </c>
      <c r="C5864">
        <f>IF(B5864="","",INT(A5864))</f>
        <v/>
      </c>
      <c r="D5864">
        <f>IF(B5864="","",HOUR(A5864))</f>
        <v/>
      </c>
    </row>
    <row r="5865">
      <c r="A5865">
        <f>Input!A5865</f>
        <v/>
      </c>
      <c r="B5865">
        <f>IF(ISNUMBER(Input!B5865),IF(AND(Input!B5865&gt;=20,Input!B5865&lt;=700),Input!B5865,""),"")</f>
        <v/>
      </c>
      <c r="C5865">
        <f>IF(B5865="","",INT(A5865))</f>
        <v/>
      </c>
      <c r="D5865">
        <f>IF(B5865="","",HOUR(A5865))</f>
        <v/>
      </c>
    </row>
    <row r="5866">
      <c r="A5866">
        <f>Input!A5866</f>
        <v/>
      </c>
      <c r="B5866">
        <f>IF(ISNUMBER(Input!B5866),IF(AND(Input!B5866&gt;=20,Input!B5866&lt;=700),Input!B5866,""),"")</f>
        <v/>
      </c>
      <c r="C5866">
        <f>IF(B5866="","",INT(A5866))</f>
        <v/>
      </c>
      <c r="D5866">
        <f>IF(B5866="","",HOUR(A5866))</f>
        <v/>
      </c>
    </row>
    <row r="5867">
      <c r="A5867">
        <f>Input!A5867</f>
        <v/>
      </c>
      <c r="B5867">
        <f>IF(ISNUMBER(Input!B5867),IF(AND(Input!B5867&gt;=20,Input!B5867&lt;=700),Input!B5867,""),"")</f>
        <v/>
      </c>
      <c r="C5867">
        <f>IF(B5867="","",INT(A5867))</f>
        <v/>
      </c>
      <c r="D5867">
        <f>IF(B5867="","",HOUR(A5867))</f>
        <v/>
      </c>
    </row>
    <row r="5868">
      <c r="A5868">
        <f>Input!A5868</f>
        <v/>
      </c>
      <c r="B5868">
        <f>IF(ISNUMBER(Input!B5868),IF(AND(Input!B5868&gt;=20,Input!B5868&lt;=700),Input!B5868,""),"")</f>
        <v/>
      </c>
      <c r="C5868">
        <f>IF(B5868="","",INT(A5868))</f>
        <v/>
      </c>
      <c r="D5868">
        <f>IF(B5868="","",HOUR(A5868))</f>
        <v/>
      </c>
    </row>
    <row r="5869">
      <c r="A5869">
        <f>Input!A5869</f>
        <v/>
      </c>
      <c r="B5869">
        <f>IF(ISNUMBER(Input!B5869),IF(AND(Input!B5869&gt;=20,Input!B5869&lt;=700),Input!B5869,""),"")</f>
        <v/>
      </c>
      <c r="C5869">
        <f>IF(B5869="","",INT(A5869))</f>
        <v/>
      </c>
      <c r="D5869">
        <f>IF(B5869="","",HOUR(A5869))</f>
        <v/>
      </c>
    </row>
    <row r="5870">
      <c r="A5870">
        <f>Input!A5870</f>
        <v/>
      </c>
      <c r="B5870">
        <f>IF(ISNUMBER(Input!B5870),IF(AND(Input!B5870&gt;=20,Input!B5870&lt;=700),Input!B5870,""),"")</f>
        <v/>
      </c>
      <c r="C5870">
        <f>IF(B5870="","",INT(A5870))</f>
        <v/>
      </c>
      <c r="D5870">
        <f>IF(B5870="","",HOUR(A5870))</f>
        <v/>
      </c>
    </row>
    <row r="5871">
      <c r="A5871">
        <f>Input!A5871</f>
        <v/>
      </c>
      <c r="B5871">
        <f>IF(ISNUMBER(Input!B5871),IF(AND(Input!B5871&gt;=20,Input!B5871&lt;=700),Input!B5871,""),"")</f>
        <v/>
      </c>
      <c r="C5871">
        <f>IF(B5871="","",INT(A5871))</f>
        <v/>
      </c>
      <c r="D5871">
        <f>IF(B5871="","",HOUR(A5871))</f>
        <v/>
      </c>
    </row>
    <row r="5872">
      <c r="A5872">
        <f>Input!A5872</f>
        <v/>
      </c>
      <c r="B5872">
        <f>IF(ISNUMBER(Input!B5872),IF(AND(Input!B5872&gt;=20,Input!B5872&lt;=700),Input!B5872,""),"")</f>
        <v/>
      </c>
      <c r="C5872">
        <f>IF(B5872="","",INT(A5872))</f>
        <v/>
      </c>
      <c r="D5872">
        <f>IF(B5872="","",HOUR(A5872))</f>
        <v/>
      </c>
    </row>
    <row r="5873">
      <c r="A5873">
        <f>Input!A5873</f>
        <v/>
      </c>
      <c r="B5873">
        <f>IF(ISNUMBER(Input!B5873),IF(AND(Input!B5873&gt;=20,Input!B5873&lt;=700),Input!B5873,""),"")</f>
        <v/>
      </c>
      <c r="C5873">
        <f>IF(B5873="","",INT(A5873))</f>
        <v/>
      </c>
      <c r="D5873">
        <f>IF(B5873="","",HOUR(A5873))</f>
        <v/>
      </c>
    </row>
    <row r="5874">
      <c r="A5874">
        <f>Input!A5874</f>
        <v/>
      </c>
      <c r="B5874">
        <f>IF(ISNUMBER(Input!B5874),IF(AND(Input!B5874&gt;=20,Input!B5874&lt;=700),Input!B5874,""),"")</f>
        <v/>
      </c>
      <c r="C5874">
        <f>IF(B5874="","",INT(A5874))</f>
        <v/>
      </c>
      <c r="D5874">
        <f>IF(B5874="","",HOUR(A5874))</f>
        <v/>
      </c>
    </row>
    <row r="5875">
      <c r="A5875">
        <f>Input!A5875</f>
        <v/>
      </c>
      <c r="B5875">
        <f>IF(ISNUMBER(Input!B5875),IF(AND(Input!B5875&gt;=20,Input!B5875&lt;=700),Input!B5875,""),"")</f>
        <v/>
      </c>
      <c r="C5875">
        <f>IF(B5875="","",INT(A5875))</f>
        <v/>
      </c>
      <c r="D5875">
        <f>IF(B5875="","",HOUR(A5875))</f>
        <v/>
      </c>
    </row>
    <row r="5876">
      <c r="A5876">
        <f>Input!A5876</f>
        <v/>
      </c>
      <c r="B5876">
        <f>IF(ISNUMBER(Input!B5876),IF(AND(Input!B5876&gt;=20,Input!B5876&lt;=700),Input!B5876,""),"")</f>
        <v/>
      </c>
      <c r="C5876">
        <f>IF(B5876="","",INT(A5876))</f>
        <v/>
      </c>
      <c r="D5876">
        <f>IF(B5876="","",HOUR(A5876))</f>
        <v/>
      </c>
    </row>
    <row r="5877">
      <c r="A5877">
        <f>Input!A5877</f>
        <v/>
      </c>
      <c r="B5877">
        <f>IF(ISNUMBER(Input!B5877),IF(AND(Input!B5877&gt;=20,Input!B5877&lt;=700),Input!B5877,""),"")</f>
        <v/>
      </c>
      <c r="C5877">
        <f>IF(B5877="","",INT(A5877))</f>
        <v/>
      </c>
      <c r="D5877">
        <f>IF(B5877="","",HOUR(A5877))</f>
        <v/>
      </c>
    </row>
    <row r="5878">
      <c r="A5878">
        <f>Input!A5878</f>
        <v/>
      </c>
      <c r="B5878">
        <f>IF(ISNUMBER(Input!B5878),IF(AND(Input!B5878&gt;=20,Input!B5878&lt;=700),Input!B5878,""),"")</f>
        <v/>
      </c>
      <c r="C5878">
        <f>IF(B5878="","",INT(A5878))</f>
        <v/>
      </c>
      <c r="D5878">
        <f>IF(B5878="","",HOUR(A5878))</f>
        <v/>
      </c>
    </row>
    <row r="5879">
      <c r="A5879">
        <f>Input!A5879</f>
        <v/>
      </c>
      <c r="B5879">
        <f>IF(ISNUMBER(Input!B5879),IF(AND(Input!B5879&gt;=20,Input!B5879&lt;=700),Input!B5879,""),"")</f>
        <v/>
      </c>
      <c r="C5879">
        <f>IF(B5879="","",INT(A5879))</f>
        <v/>
      </c>
      <c r="D5879">
        <f>IF(B5879="","",HOUR(A5879))</f>
        <v/>
      </c>
    </row>
    <row r="5880">
      <c r="A5880">
        <f>Input!A5880</f>
        <v/>
      </c>
      <c r="B5880">
        <f>IF(ISNUMBER(Input!B5880),IF(AND(Input!B5880&gt;=20,Input!B5880&lt;=700),Input!B5880,""),"")</f>
        <v/>
      </c>
      <c r="C5880">
        <f>IF(B5880="","",INT(A5880))</f>
        <v/>
      </c>
      <c r="D5880">
        <f>IF(B5880="","",HOUR(A5880))</f>
        <v/>
      </c>
    </row>
    <row r="5881">
      <c r="A5881">
        <f>Input!A5881</f>
        <v/>
      </c>
      <c r="B5881">
        <f>IF(ISNUMBER(Input!B5881),IF(AND(Input!B5881&gt;=20,Input!B5881&lt;=700),Input!B5881,""),"")</f>
        <v/>
      </c>
      <c r="C5881">
        <f>IF(B5881="","",INT(A5881))</f>
        <v/>
      </c>
      <c r="D5881">
        <f>IF(B5881="","",HOUR(A5881))</f>
        <v/>
      </c>
    </row>
    <row r="5882">
      <c r="A5882">
        <f>Input!A5882</f>
        <v/>
      </c>
      <c r="B5882">
        <f>IF(ISNUMBER(Input!B5882),IF(AND(Input!B5882&gt;=20,Input!B5882&lt;=700),Input!B5882,""),"")</f>
        <v/>
      </c>
      <c r="C5882">
        <f>IF(B5882="","",INT(A5882))</f>
        <v/>
      </c>
      <c r="D5882">
        <f>IF(B5882="","",HOUR(A5882))</f>
        <v/>
      </c>
    </row>
    <row r="5883">
      <c r="A5883">
        <f>Input!A5883</f>
        <v/>
      </c>
      <c r="B5883">
        <f>IF(ISNUMBER(Input!B5883),IF(AND(Input!B5883&gt;=20,Input!B5883&lt;=700),Input!B5883,""),"")</f>
        <v/>
      </c>
      <c r="C5883">
        <f>IF(B5883="","",INT(A5883))</f>
        <v/>
      </c>
      <c r="D5883">
        <f>IF(B5883="","",HOUR(A5883))</f>
        <v/>
      </c>
    </row>
    <row r="5884">
      <c r="A5884">
        <f>Input!A5884</f>
        <v/>
      </c>
      <c r="B5884">
        <f>IF(ISNUMBER(Input!B5884),IF(AND(Input!B5884&gt;=20,Input!B5884&lt;=700),Input!B5884,""),"")</f>
        <v/>
      </c>
      <c r="C5884">
        <f>IF(B5884="","",INT(A5884))</f>
        <v/>
      </c>
      <c r="D5884">
        <f>IF(B5884="","",HOUR(A5884))</f>
        <v/>
      </c>
    </row>
    <row r="5885">
      <c r="A5885">
        <f>Input!A5885</f>
        <v/>
      </c>
      <c r="B5885">
        <f>IF(ISNUMBER(Input!B5885),IF(AND(Input!B5885&gt;=20,Input!B5885&lt;=700),Input!B5885,""),"")</f>
        <v/>
      </c>
      <c r="C5885">
        <f>IF(B5885="","",INT(A5885))</f>
        <v/>
      </c>
      <c r="D5885">
        <f>IF(B5885="","",HOUR(A5885))</f>
        <v/>
      </c>
    </row>
    <row r="5886">
      <c r="A5886">
        <f>Input!A5886</f>
        <v/>
      </c>
      <c r="B5886">
        <f>IF(ISNUMBER(Input!B5886),IF(AND(Input!B5886&gt;=20,Input!B5886&lt;=700),Input!B5886,""),"")</f>
        <v/>
      </c>
      <c r="C5886">
        <f>IF(B5886="","",INT(A5886))</f>
        <v/>
      </c>
      <c r="D5886">
        <f>IF(B5886="","",HOUR(A5886))</f>
        <v/>
      </c>
    </row>
    <row r="5887">
      <c r="A5887">
        <f>Input!A5887</f>
        <v/>
      </c>
      <c r="B5887">
        <f>IF(ISNUMBER(Input!B5887),IF(AND(Input!B5887&gt;=20,Input!B5887&lt;=700),Input!B5887,""),"")</f>
        <v/>
      </c>
      <c r="C5887">
        <f>IF(B5887="","",INT(A5887))</f>
        <v/>
      </c>
      <c r="D5887">
        <f>IF(B5887="","",HOUR(A5887))</f>
        <v/>
      </c>
    </row>
    <row r="5888">
      <c r="A5888">
        <f>Input!A5888</f>
        <v/>
      </c>
      <c r="B5888">
        <f>IF(ISNUMBER(Input!B5888),IF(AND(Input!B5888&gt;=20,Input!B5888&lt;=700),Input!B5888,""),"")</f>
        <v/>
      </c>
      <c r="C5888">
        <f>IF(B5888="","",INT(A5888))</f>
        <v/>
      </c>
      <c r="D5888">
        <f>IF(B5888="","",HOUR(A5888))</f>
        <v/>
      </c>
    </row>
    <row r="5889">
      <c r="A5889">
        <f>Input!A5889</f>
        <v/>
      </c>
      <c r="B5889">
        <f>IF(ISNUMBER(Input!B5889),IF(AND(Input!B5889&gt;=20,Input!B5889&lt;=700),Input!B5889,""),"")</f>
        <v/>
      </c>
      <c r="C5889">
        <f>IF(B5889="","",INT(A5889))</f>
        <v/>
      </c>
      <c r="D5889">
        <f>IF(B5889="","",HOUR(A5889))</f>
        <v/>
      </c>
    </row>
    <row r="5890">
      <c r="A5890">
        <f>Input!A5890</f>
        <v/>
      </c>
      <c r="B5890">
        <f>IF(ISNUMBER(Input!B5890),IF(AND(Input!B5890&gt;=20,Input!B5890&lt;=700),Input!B5890,""),"")</f>
        <v/>
      </c>
      <c r="C5890">
        <f>IF(B5890="","",INT(A5890))</f>
        <v/>
      </c>
      <c r="D5890">
        <f>IF(B5890="","",HOUR(A5890))</f>
        <v/>
      </c>
    </row>
    <row r="5891">
      <c r="A5891">
        <f>Input!A5891</f>
        <v/>
      </c>
      <c r="B5891">
        <f>IF(ISNUMBER(Input!B5891),IF(AND(Input!B5891&gt;=20,Input!B5891&lt;=700),Input!B5891,""),"")</f>
        <v/>
      </c>
      <c r="C5891">
        <f>IF(B5891="","",INT(A5891))</f>
        <v/>
      </c>
      <c r="D5891">
        <f>IF(B5891="","",HOUR(A5891))</f>
        <v/>
      </c>
    </row>
    <row r="5892">
      <c r="A5892">
        <f>Input!A5892</f>
        <v/>
      </c>
      <c r="B5892">
        <f>IF(ISNUMBER(Input!B5892),IF(AND(Input!B5892&gt;=20,Input!B5892&lt;=700),Input!B5892,""),"")</f>
        <v/>
      </c>
      <c r="C5892">
        <f>IF(B5892="","",INT(A5892))</f>
        <v/>
      </c>
      <c r="D5892">
        <f>IF(B5892="","",HOUR(A5892))</f>
        <v/>
      </c>
    </row>
    <row r="5893">
      <c r="A5893">
        <f>Input!A5893</f>
        <v/>
      </c>
      <c r="B5893">
        <f>IF(ISNUMBER(Input!B5893),IF(AND(Input!B5893&gt;=20,Input!B5893&lt;=700),Input!B5893,""),"")</f>
        <v/>
      </c>
      <c r="C5893">
        <f>IF(B5893="","",INT(A5893))</f>
        <v/>
      </c>
      <c r="D5893">
        <f>IF(B5893="","",HOUR(A5893))</f>
        <v/>
      </c>
    </row>
    <row r="5894">
      <c r="A5894">
        <f>Input!A5894</f>
        <v/>
      </c>
      <c r="B5894">
        <f>IF(ISNUMBER(Input!B5894),IF(AND(Input!B5894&gt;=20,Input!B5894&lt;=700),Input!B5894,""),"")</f>
        <v/>
      </c>
      <c r="C5894">
        <f>IF(B5894="","",INT(A5894))</f>
        <v/>
      </c>
      <c r="D5894">
        <f>IF(B5894="","",HOUR(A5894))</f>
        <v/>
      </c>
    </row>
    <row r="5895">
      <c r="A5895">
        <f>Input!A5895</f>
        <v/>
      </c>
      <c r="B5895">
        <f>IF(ISNUMBER(Input!B5895),IF(AND(Input!B5895&gt;=20,Input!B5895&lt;=700),Input!B5895,""),"")</f>
        <v/>
      </c>
      <c r="C5895">
        <f>IF(B5895="","",INT(A5895))</f>
        <v/>
      </c>
      <c r="D5895">
        <f>IF(B5895="","",HOUR(A5895))</f>
        <v/>
      </c>
    </row>
    <row r="5896">
      <c r="A5896">
        <f>Input!A5896</f>
        <v/>
      </c>
      <c r="B5896">
        <f>IF(ISNUMBER(Input!B5896),IF(AND(Input!B5896&gt;=20,Input!B5896&lt;=700),Input!B5896,""),"")</f>
        <v/>
      </c>
      <c r="C5896">
        <f>IF(B5896="","",INT(A5896))</f>
        <v/>
      </c>
      <c r="D5896">
        <f>IF(B5896="","",HOUR(A5896))</f>
        <v/>
      </c>
    </row>
    <row r="5897">
      <c r="A5897">
        <f>Input!A5897</f>
        <v/>
      </c>
      <c r="B5897">
        <f>IF(ISNUMBER(Input!B5897),IF(AND(Input!B5897&gt;=20,Input!B5897&lt;=700),Input!B5897,""),"")</f>
        <v/>
      </c>
      <c r="C5897">
        <f>IF(B5897="","",INT(A5897))</f>
        <v/>
      </c>
      <c r="D5897">
        <f>IF(B5897="","",HOUR(A5897))</f>
        <v/>
      </c>
    </row>
    <row r="5898">
      <c r="A5898">
        <f>Input!A5898</f>
        <v/>
      </c>
      <c r="B5898">
        <f>IF(ISNUMBER(Input!B5898),IF(AND(Input!B5898&gt;=20,Input!B5898&lt;=700),Input!B5898,""),"")</f>
        <v/>
      </c>
      <c r="C5898">
        <f>IF(B5898="","",INT(A5898))</f>
        <v/>
      </c>
      <c r="D5898">
        <f>IF(B5898="","",HOUR(A5898))</f>
        <v/>
      </c>
    </row>
    <row r="5899">
      <c r="A5899">
        <f>Input!A5899</f>
        <v/>
      </c>
      <c r="B5899">
        <f>IF(ISNUMBER(Input!B5899),IF(AND(Input!B5899&gt;=20,Input!B5899&lt;=700),Input!B5899,""),"")</f>
        <v/>
      </c>
      <c r="C5899">
        <f>IF(B5899="","",INT(A5899))</f>
        <v/>
      </c>
      <c r="D5899">
        <f>IF(B5899="","",HOUR(A5899))</f>
        <v/>
      </c>
    </row>
    <row r="5900">
      <c r="A5900">
        <f>Input!A5900</f>
        <v/>
      </c>
      <c r="B5900">
        <f>IF(ISNUMBER(Input!B5900),IF(AND(Input!B5900&gt;=20,Input!B5900&lt;=700),Input!B5900,""),"")</f>
        <v/>
      </c>
      <c r="C5900">
        <f>IF(B5900="","",INT(A5900))</f>
        <v/>
      </c>
      <c r="D5900">
        <f>IF(B5900="","",HOUR(A5900))</f>
        <v/>
      </c>
    </row>
    <row r="5901">
      <c r="A5901">
        <f>Input!A5901</f>
        <v/>
      </c>
      <c r="B5901">
        <f>IF(ISNUMBER(Input!B5901),IF(AND(Input!B5901&gt;=20,Input!B5901&lt;=700),Input!B5901,""),"")</f>
        <v/>
      </c>
      <c r="C5901">
        <f>IF(B5901="","",INT(A5901))</f>
        <v/>
      </c>
      <c r="D5901">
        <f>IF(B5901="","",HOUR(A5901))</f>
        <v/>
      </c>
    </row>
    <row r="5902">
      <c r="A5902">
        <f>Input!A5902</f>
        <v/>
      </c>
      <c r="B5902">
        <f>IF(ISNUMBER(Input!B5902),IF(AND(Input!B5902&gt;=20,Input!B5902&lt;=700),Input!B5902,""),"")</f>
        <v/>
      </c>
      <c r="C5902">
        <f>IF(B5902="","",INT(A5902))</f>
        <v/>
      </c>
      <c r="D5902">
        <f>IF(B5902="","",HOUR(A5902))</f>
        <v/>
      </c>
    </row>
    <row r="5903">
      <c r="A5903">
        <f>Input!A5903</f>
        <v/>
      </c>
      <c r="B5903">
        <f>IF(ISNUMBER(Input!B5903),IF(AND(Input!B5903&gt;=20,Input!B5903&lt;=700),Input!B5903,""),"")</f>
        <v/>
      </c>
      <c r="C5903">
        <f>IF(B5903="","",INT(A5903))</f>
        <v/>
      </c>
      <c r="D5903">
        <f>IF(B5903="","",HOUR(A5903))</f>
        <v/>
      </c>
    </row>
    <row r="5904">
      <c r="A5904">
        <f>Input!A5904</f>
        <v/>
      </c>
      <c r="B5904">
        <f>IF(ISNUMBER(Input!B5904),IF(AND(Input!B5904&gt;=20,Input!B5904&lt;=700),Input!B5904,""),"")</f>
        <v/>
      </c>
      <c r="C5904">
        <f>IF(B5904="","",INT(A5904))</f>
        <v/>
      </c>
      <c r="D5904">
        <f>IF(B5904="","",HOUR(A5904))</f>
        <v/>
      </c>
    </row>
    <row r="5905">
      <c r="A5905">
        <f>Input!A5905</f>
        <v/>
      </c>
      <c r="B5905">
        <f>IF(ISNUMBER(Input!B5905),IF(AND(Input!B5905&gt;=20,Input!B5905&lt;=700),Input!B5905,""),"")</f>
        <v/>
      </c>
      <c r="C5905">
        <f>IF(B5905="","",INT(A5905))</f>
        <v/>
      </c>
      <c r="D5905">
        <f>IF(B5905="","",HOUR(A5905))</f>
        <v/>
      </c>
    </row>
    <row r="5906">
      <c r="A5906">
        <f>Input!A5906</f>
        <v/>
      </c>
      <c r="B5906">
        <f>IF(ISNUMBER(Input!B5906),IF(AND(Input!B5906&gt;=20,Input!B5906&lt;=700),Input!B5906,""),"")</f>
        <v/>
      </c>
      <c r="C5906">
        <f>IF(B5906="","",INT(A5906))</f>
        <v/>
      </c>
      <c r="D5906">
        <f>IF(B5906="","",HOUR(A5906))</f>
        <v/>
      </c>
    </row>
    <row r="5907">
      <c r="A5907">
        <f>Input!A5907</f>
        <v/>
      </c>
      <c r="B5907">
        <f>IF(ISNUMBER(Input!B5907),IF(AND(Input!B5907&gt;=20,Input!B5907&lt;=700),Input!B5907,""),"")</f>
        <v/>
      </c>
      <c r="C5907">
        <f>IF(B5907="","",INT(A5907))</f>
        <v/>
      </c>
      <c r="D5907">
        <f>IF(B5907="","",HOUR(A5907))</f>
        <v/>
      </c>
    </row>
    <row r="5908">
      <c r="A5908">
        <f>Input!A5908</f>
        <v/>
      </c>
      <c r="B5908">
        <f>IF(ISNUMBER(Input!B5908),IF(AND(Input!B5908&gt;=20,Input!B5908&lt;=700),Input!B5908,""),"")</f>
        <v/>
      </c>
      <c r="C5908">
        <f>IF(B5908="","",INT(A5908))</f>
        <v/>
      </c>
      <c r="D5908">
        <f>IF(B5908="","",HOUR(A5908))</f>
        <v/>
      </c>
    </row>
    <row r="5909">
      <c r="A5909">
        <f>Input!A5909</f>
        <v/>
      </c>
      <c r="B5909">
        <f>IF(ISNUMBER(Input!B5909),IF(AND(Input!B5909&gt;=20,Input!B5909&lt;=700),Input!B5909,""),"")</f>
        <v/>
      </c>
      <c r="C5909">
        <f>IF(B5909="","",INT(A5909))</f>
        <v/>
      </c>
      <c r="D5909">
        <f>IF(B5909="","",HOUR(A5909))</f>
        <v/>
      </c>
    </row>
    <row r="5910">
      <c r="A5910">
        <f>Input!A5910</f>
        <v/>
      </c>
      <c r="B5910">
        <f>IF(ISNUMBER(Input!B5910),IF(AND(Input!B5910&gt;=20,Input!B5910&lt;=700),Input!B5910,""),"")</f>
        <v/>
      </c>
      <c r="C5910">
        <f>IF(B5910="","",INT(A5910))</f>
        <v/>
      </c>
      <c r="D5910">
        <f>IF(B5910="","",HOUR(A5910))</f>
        <v/>
      </c>
    </row>
    <row r="5911">
      <c r="A5911">
        <f>Input!A5911</f>
        <v/>
      </c>
      <c r="B5911">
        <f>IF(ISNUMBER(Input!B5911),IF(AND(Input!B5911&gt;=20,Input!B5911&lt;=700),Input!B5911,""),"")</f>
        <v/>
      </c>
      <c r="C5911">
        <f>IF(B5911="","",INT(A5911))</f>
        <v/>
      </c>
      <c r="D5911">
        <f>IF(B5911="","",HOUR(A5911))</f>
        <v/>
      </c>
    </row>
    <row r="5912">
      <c r="A5912">
        <f>Input!A5912</f>
        <v/>
      </c>
      <c r="B5912">
        <f>IF(ISNUMBER(Input!B5912),IF(AND(Input!B5912&gt;=20,Input!B5912&lt;=700),Input!B5912,""),"")</f>
        <v/>
      </c>
      <c r="C5912">
        <f>IF(B5912="","",INT(A5912))</f>
        <v/>
      </c>
      <c r="D5912">
        <f>IF(B5912="","",HOUR(A5912))</f>
        <v/>
      </c>
    </row>
    <row r="5913">
      <c r="A5913">
        <f>Input!A5913</f>
        <v/>
      </c>
      <c r="B5913">
        <f>IF(ISNUMBER(Input!B5913),IF(AND(Input!B5913&gt;=20,Input!B5913&lt;=700),Input!B5913,""),"")</f>
        <v/>
      </c>
      <c r="C5913">
        <f>IF(B5913="","",INT(A5913))</f>
        <v/>
      </c>
      <c r="D5913">
        <f>IF(B5913="","",HOUR(A5913))</f>
        <v/>
      </c>
    </row>
    <row r="5914">
      <c r="A5914">
        <f>Input!A5914</f>
        <v/>
      </c>
      <c r="B5914">
        <f>IF(ISNUMBER(Input!B5914),IF(AND(Input!B5914&gt;=20,Input!B5914&lt;=700),Input!B5914,""),"")</f>
        <v/>
      </c>
      <c r="C5914">
        <f>IF(B5914="","",INT(A5914))</f>
        <v/>
      </c>
      <c r="D5914">
        <f>IF(B5914="","",HOUR(A5914))</f>
        <v/>
      </c>
    </row>
    <row r="5915">
      <c r="A5915">
        <f>Input!A5915</f>
        <v/>
      </c>
      <c r="B5915">
        <f>IF(ISNUMBER(Input!B5915),IF(AND(Input!B5915&gt;=20,Input!B5915&lt;=700),Input!B5915,""),"")</f>
        <v/>
      </c>
      <c r="C5915">
        <f>IF(B5915="","",INT(A5915))</f>
        <v/>
      </c>
      <c r="D5915">
        <f>IF(B5915="","",HOUR(A5915))</f>
        <v/>
      </c>
    </row>
    <row r="5916">
      <c r="A5916">
        <f>Input!A5916</f>
        <v/>
      </c>
      <c r="B5916">
        <f>IF(ISNUMBER(Input!B5916),IF(AND(Input!B5916&gt;=20,Input!B5916&lt;=700),Input!B5916,""),"")</f>
        <v/>
      </c>
      <c r="C5916">
        <f>IF(B5916="","",INT(A5916))</f>
        <v/>
      </c>
      <c r="D5916">
        <f>IF(B5916="","",HOUR(A5916))</f>
        <v/>
      </c>
    </row>
    <row r="5917">
      <c r="A5917">
        <f>Input!A5917</f>
        <v/>
      </c>
      <c r="B5917">
        <f>IF(ISNUMBER(Input!B5917),IF(AND(Input!B5917&gt;=20,Input!B5917&lt;=700),Input!B5917,""),"")</f>
        <v/>
      </c>
      <c r="C5917">
        <f>IF(B5917="","",INT(A5917))</f>
        <v/>
      </c>
      <c r="D5917">
        <f>IF(B5917="","",HOUR(A5917))</f>
        <v/>
      </c>
    </row>
    <row r="5918">
      <c r="A5918">
        <f>Input!A5918</f>
        <v/>
      </c>
      <c r="B5918">
        <f>IF(ISNUMBER(Input!B5918),IF(AND(Input!B5918&gt;=20,Input!B5918&lt;=700),Input!B5918,""),"")</f>
        <v/>
      </c>
      <c r="C5918">
        <f>IF(B5918="","",INT(A5918))</f>
        <v/>
      </c>
      <c r="D5918">
        <f>IF(B5918="","",HOUR(A5918))</f>
        <v/>
      </c>
    </row>
    <row r="5919">
      <c r="A5919">
        <f>Input!A5919</f>
        <v/>
      </c>
      <c r="B5919">
        <f>IF(ISNUMBER(Input!B5919),IF(AND(Input!B5919&gt;=20,Input!B5919&lt;=700),Input!B5919,""),"")</f>
        <v/>
      </c>
      <c r="C5919">
        <f>IF(B5919="","",INT(A5919))</f>
        <v/>
      </c>
      <c r="D5919">
        <f>IF(B5919="","",HOUR(A5919))</f>
        <v/>
      </c>
    </row>
    <row r="5920">
      <c r="A5920">
        <f>Input!A5920</f>
        <v/>
      </c>
      <c r="B5920">
        <f>IF(ISNUMBER(Input!B5920),IF(AND(Input!B5920&gt;=20,Input!B5920&lt;=700),Input!B5920,""),"")</f>
        <v/>
      </c>
      <c r="C5920">
        <f>IF(B5920="","",INT(A5920))</f>
        <v/>
      </c>
      <c r="D5920">
        <f>IF(B5920="","",HOUR(A5920))</f>
        <v/>
      </c>
    </row>
    <row r="5921">
      <c r="A5921">
        <f>Input!A5921</f>
        <v/>
      </c>
      <c r="B5921">
        <f>IF(ISNUMBER(Input!B5921),IF(AND(Input!B5921&gt;=20,Input!B5921&lt;=700),Input!B5921,""),"")</f>
        <v/>
      </c>
      <c r="C5921">
        <f>IF(B5921="","",INT(A5921))</f>
        <v/>
      </c>
      <c r="D5921">
        <f>IF(B5921="","",HOUR(A5921))</f>
        <v/>
      </c>
    </row>
    <row r="5922">
      <c r="A5922">
        <f>Input!A5922</f>
        <v/>
      </c>
      <c r="B5922">
        <f>IF(ISNUMBER(Input!B5922),IF(AND(Input!B5922&gt;=20,Input!B5922&lt;=700),Input!B5922,""),"")</f>
        <v/>
      </c>
      <c r="C5922">
        <f>IF(B5922="","",INT(A5922))</f>
        <v/>
      </c>
      <c r="D5922">
        <f>IF(B5922="","",HOUR(A5922))</f>
        <v/>
      </c>
    </row>
    <row r="5923">
      <c r="A5923">
        <f>Input!A5923</f>
        <v/>
      </c>
      <c r="B5923">
        <f>IF(ISNUMBER(Input!B5923),IF(AND(Input!B5923&gt;=20,Input!B5923&lt;=700),Input!B5923,""),"")</f>
        <v/>
      </c>
      <c r="C5923">
        <f>IF(B5923="","",INT(A5923))</f>
        <v/>
      </c>
      <c r="D5923">
        <f>IF(B5923="","",HOUR(A5923))</f>
        <v/>
      </c>
    </row>
    <row r="5924">
      <c r="A5924">
        <f>Input!A5924</f>
        <v/>
      </c>
      <c r="B5924">
        <f>IF(ISNUMBER(Input!B5924),IF(AND(Input!B5924&gt;=20,Input!B5924&lt;=700),Input!B5924,""),"")</f>
        <v/>
      </c>
      <c r="C5924">
        <f>IF(B5924="","",INT(A5924))</f>
        <v/>
      </c>
      <c r="D5924">
        <f>IF(B5924="","",HOUR(A5924))</f>
        <v/>
      </c>
    </row>
    <row r="5925">
      <c r="A5925">
        <f>Input!A5925</f>
        <v/>
      </c>
      <c r="B5925">
        <f>IF(ISNUMBER(Input!B5925),IF(AND(Input!B5925&gt;=20,Input!B5925&lt;=700),Input!B5925,""),"")</f>
        <v/>
      </c>
      <c r="C5925">
        <f>IF(B5925="","",INT(A5925))</f>
        <v/>
      </c>
      <c r="D5925">
        <f>IF(B5925="","",HOUR(A5925))</f>
        <v/>
      </c>
    </row>
    <row r="5926">
      <c r="A5926">
        <f>Input!A5926</f>
        <v/>
      </c>
      <c r="B5926">
        <f>IF(ISNUMBER(Input!B5926),IF(AND(Input!B5926&gt;=20,Input!B5926&lt;=700),Input!B5926,""),"")</f>
        <v/>
      </c>
      <c r="C5926">
        <f>IF(B5926="","",INT(A5926))</f>
        <v/>
      </c>
      <c r="D5926">
        <f>IF(B5926="","",HOUR(A5926))</f>
        <v/>
      </c>
    </row>
    <row r="5927">
      <c r="A5927">
        <f>Input!A5927</f>
        <v/>
      </c>
      <c r="B5927">
        <f>IF(ISNUMBER(Input!B5927),IF(AND(Input!B5927&gt;=20,Input!B5927&lt;=700),Input!B5927,""),"")</f>
        <v/>
      </c>
      <c r="C5927">
        <f>IF(B5927="","",INT(A5927))</f>
        <v/>
      </c>
      <c r="D5927">
        <f>IF(B5927="","",HOUR(A5927))</f>
        <v/>
      </c>
    </row>
    <row r="5928">
      <c r="A5928">
        <f>Input!A5928</f>
        <v/>
      </c>
      <c r="B5928">
        <f>IF(ISNUMBER(Input!B5928),IF(AND(Input!B5928&gt;=20,Input!B5928&lt;=700),Input!B5928,""),"")</f>
        <v/>
      </c>
      <c r="C5928">
        <f>IF(B5928="","",INT(A5928))</f>
        <v/>
      </c>
      <c r="D5928">
        <f>IF(B5928="","",HOUR(A5928))</f>
        <v/>
      </c>
    </row>
    <row r="5929">
      <c r="A5929">
        <f>Input!A5929</f>
        <v/>
      </c>
      <c r="B5929">
        <f>IF(ISNUMBER(Input!B5929),IF(AND(Input!B5929&gt;=20,Input!B5929&lt;=700),Input!B5929,""),"")</f>
        <v/>
      </c>
      <c r="C5929">
        <f>IF(B5929="","",INT(A5929))</f>
        <v/>
      </c>
      <c r="D5929">
        <f>IF(B5929="","",HOUR(A5929))</f>
        <v/>
      </c>
    </row>
    <row r="5930">
      <c r="A5930">
        <f>Input!A5930</f>
        <v/>
      </c>
      <c r="B5930">
        <f>IF(ISNUMBER(Input!B5930),IF(AND(Input!B5930&gt;=20,Input!B5930&lt;=700),Input!B5930,""),"")</f>
        <v/>
      </c>
      <c r="C5930">
        <f>IF(B5930="","",INT(A5930))</f>
        <v/>
      </c>
      <c r="D5930">
        <f>IF(B5930="","",HOUR(A5930))</f>
        <v/>
      </c>
    </row>
    <row r="5931">
      <c r="A5931">
        <f>Input!A5931</f>
        <v/>
      </c>
      <c r="B5931">
        <f>IF(ISNUMBER(Input!B5931),IF(AND(Input!B5931&gt;=20,Input!B5931&lt;=700),Input!B5931,""),"")</f>
        <v/>
      </c>
      <c r="C5931">
        <f>IF(B5931="","",INT(A5931))</f>
        <v/>
      </c>
      <c r="D5931">
        <f>IF(B5931="","",HOUR(A5931))</f>
        <v/>
      </c>
    </row>
    <row r="5932">
      <c r="A5932">
        <f>Input!A5932</f>
        <v/>
      </c>
      <c r="B5932">
        <f>IF(ISNUMBER(Input!B5932),IF(AND(Input!B5932&gt;=20,Input!B5932&lt;=700),Input!B5932,""),"")</f>
        <v/>
      </c>
      <c r="C5932">
        <f>IF(B5932="","",INT(A5932))</f>
        <v/>
      </c>
      <c r="D5932">
        <f>IF(B5932="","",HOUR(A5932))</f>
        <v/>
      </c>
    </row>
    <row r="5933">
      <c r="A5933">
        <f>Input!A5933</f>
        <v/>
      </c>
      <c r="B5933">
        <f>IF(ISNUMBER(Input!B5933),IF(AND(Input!B5933&gt;=20,Input!B5933&lt;=700),Input!B5933,""),"")</f>
        <v/>
      </c>
      <c r="C5933">
        <f>IF(B5933="","",INT(A5933))</f>
        <v/>
      </c>
      <c r="D5933">
        <f>IF(B5933="","",HOUR(A5933))</f>
        <v/>
      </c>
    </row>
    <row r="5934">
      <c r="A5934">
        <f>Input!A5934</f>
        <v/>
      </c>
      <c r="B5934">
        <f>IF(ISNUMBER(Input!B5934),IF(AND(Input!B5934&gt;=20,Input!B5934&lt;=700),Input!B5934,""),"")</f>
        <v/>
      </c>
      <c r="C5934">
        <f>IF(B5934="","",INT(A5934))</f>
        <v/>
      </c>
      <c r="D5934">
        <f>IF(B5934="","",HOUR(A5934))</f>
        <v/>
      </c>
    </row>
    <row r="5935">
      <c r="A5935">
        <f>Input!A5935</f>
        <v/>
      </c>
      <c r="B5935">
        <f>IF(ISNUMBER(Input!B5935),IF(AND(Input!B5935&gt;=20,Input!B5935&lt;=700),Input!B5935,""),"")</f>
        <v/>
      </c>
      <c r="C5935">
        <f>IF(B5935="","",INT(A5935))</f>
        <v/>
      </c>
      <c r="D5935">
        <f>IF(B5935="","",HOUR(A5935))</f>
        <v/>
      </c>
    </row>
    <row r="5936">
      <c r="A5936">
        <f>Input!A5936</f>
        <v/>
      </c>
      <c r="B5936">
        <f>IF(ISNUMBER(Input!B5936),IF(AND(Input!B5936&gt;=20,Input!B5936&lt;=700),Input!B5936,""),"")</f>
        <v/>
      </c>
      <c r="C5936">
        <f>IF(B5936="","",INT(A5936))</f>
        <v/>
      </c>
      <c r="D5936">
        <f>IF(B5936="","",HOUR(A5936))</f>
        <v/>
      </c>
    </row>
    <row r="5937">
      <c r="A5937">
        <f>Input!A5937</f>
        <v/>
      </c>
      <c r="B5937">
        <f>IF(ISNUMBER(Input!B5937),IF(AND(Input!B5937&gt;=20,Input!B5937&lt;=700),Input!B5937,""),"")</f>
        <v/>
      </c>
      <c r="C5937">
        <f>IF(B5937="","",INT(A5937))</f>
        <v/>
      </c>
      <c r="D5937">
        <f>IF(B5937="","",HOUR(A5937))</f>
        <v/>
      </c>
    </row>
    <row r="5938">
      <c r="A5938">
        <f>Input!A5938</f>
        <v/>
      </c>
      <c r="B5938">
        <f>IF(ISNUMBER(Input!B5938),IF(AND(Input!B5938&gt;=20,Input!B5938&lt;=700),Input!B5938,""),"")</f>
        <v/>
      </c>
      <c r="C5938">
        <f>IF(B5938="","",INT(A5938))</f>
        <v/>
      </c>
      <c r="D5938">
        <f>IF(B5938="","",HOUR(A5938))</f>
        <v/>
      </c>
    </row>
    <row r="5939">
      <c r="A5939">
        <f>Input!A5939</f>
        <v/>
      </c>
      <c r="B5939">
        <f>IF(ISNUMBER(Input!B5939),IF(AND(Input!B5939&gt;=20,Input!B5939&lt;=700),Input!B5939,""),"")</f>
        <v/>
      </c>
      <c r="C5939">
        <f>IF(B5939="","",INT(A5939))</f>
        <v/>
      </c>
      <c r="D5939">
        <f>IF(B5939="","",HOUR(A5939))</f>
        <v/>
      </c>
    </row>
    <row r="5940">
      <c r="A5940">
        <f>Input!A5940</f>
        <v/>
      </c>
      <c r="B5940">
        <f>IF(ISNUMBER(Input!B5940),IF(AND(Input!B5940&gt;=20,Input!B5940&lt;=700),Input!B5940,""),"")</f>
        <v/>
      </c>
      <c r="C5940">
        <f>IF(B5940="","",INT(A5940))</f>
        <v/>
      </c>
      <c r="D5940">
        <f>IF(B5940="","",HOUR(A5940))</f>
        <v/>
      </c>
    </row>
    <row r="5941">
      <c r="A5941">
        <f>Input!A5941</f>
        <v/>
      </c>
      <c r="B5941">
        <f>IF(ISNUMBER(Input!B5941),IF(AND(Input!B5941&gt;=20,Input!B5941&lt;=700),Input!B5941,""),"")</f>
        <v/>
      </c>
      <c r="C5941">
        <f>IF(B5941="","",INT(A5941))</f>
        <v/>
      </c>
      <c r="D5941">
        <f>IF(B5941="","",HOUR(A5941))</f>
        <v/>
      </c>
    </row>
    <row r="5942">
      <c r="A5942">
        <f>Input!A5942</f>
        <v/>
      </c>
      <c r="B5942">
        <f>IF(ISNUMBER(Input!B5942),IF(AND(Input!B5942&gt;=20,Input!B5942&lt;=700),Input!B5942,""),"")</f>
        <v/>
      </c>
      <c r="C5942">
        <f>IF(B5942="","",INT(A5942))</f>
        <v/>
      </c>
      <c r="D5942">
        <f>IF(B5942="","",HOUR(A5942))</f>
        <v/>
      </c>
    </row>
    <row r="5943">
      <c r="A5943">
        <f>Input!A5943</f>
        <v/>
      </c>
      <c r="B5943">
        <f>IF(ISNUMBER(Input!B5943),IF(AND(Input!B5943&gt;=20,Input!B5943&lt;=700),Input!B5943,""),"")</f>
        <v/>
      </c>
      <c r="C5943">
        <f>IF(B5943="","",INT(A5943))</f>
        <v/>
      </c>
      <c r="D5943">
        <f>IF(B5943="","",HOUR(A5943))</f>
        <v/>
      </c>
    </row>
    <row r="5944">
      <c r="A5944">
        <f>Input!A5944</f>
        <v/>
      </c>
      <c r="B5944">
        <f>IF(ISNUMBER(Input!B5944),IF(AND(Input!B5944&gt;=20,Input!B5944&lt;=700),Input!B5944,""),"")</f>
        <v/>
      </c>
      <c r="C5944">
        <f>IF(B5944="","",INT(A5944))</f>
        <v/>
      </c>
      <c r="D5944">
        <f>IF(B5944="","",HOUR(A5944))</f>
        <v/>
      </c>
    </row>
    <row r="5945">
      <c r="A5945">
        <f>Input!A5945</f>
        <v/>
      </c>
      <c r="B5945">
        <f>IF(ISNUMBER(Input!B5945),IF(AND(Input!B5945&gt;=20,Input!B5945&lt;=700),Input!B5945,""),"")</f>
        <v/>
      </c>
      <c r="C5945">
        <f>IF(B5945="","",INT(A5945))</f>
        <v/>
      </c>
      <c r="D5945">
        <f>IF(B5945="","",HOUR(A5945))</f>
        <v/>
      </c>
    </row>
    <row r="5946">
      <c r="A5946">
        <f>Input!A5946</f>
        <v/>
      </c>
      <c r="B5946">
        <f>IF(ISNUMBER(Input!B5946),IF(AND(Input!B5946&gt;=20,Input!B5946&lt;=700),Input!B5946,""),"")</f>
        <v/>
      </c>
      <c r="C5946">
        <f>IF(B5946="","",INT(A5946))</f>
        <v/>
      </c>
      <c r="D5946">
        <f>IF(B5946="","",HOUR(A5946))</f>
        <v/>
      </c>
    </row>
    <row r="5947">
      <c r="A5947">
        <f>Input!A5947</f>
        <v/>
      </c>
      <c r="B5947">
        <f>IF(ISNUMBER(Input!B5947),IF(AND(Input!B5947&gt;=20,Input!B5947&lt;=700),Input!B5947,""),"")</f>
        <v/>
      </c>
      <c r="C5947">
        <f>IF(B5947="","",INT(A5947))</f>
        <v/>
      </c>
      <c r="D5947">
        <f>IF(B5947="","",HOUR(A5947))</f>
        <v/>
      </c>
    </row>
    <row r="5948">
      <c r="A5948">
        <f>Input!A5948</f>
        <v/>
      </c>
      <c r="B5948">
        <f>IF(ISNUMBER(Input!B5948),IF(AND(Input!B5948&gt;=20,Input!B5948&lt;=700),Input!B5948,""),"")</f>
        <v/>
      </c>
      <c r="C5948">
        <f>IF(B5948="","",INT(A5948))</f>
        <v/>
      </c>
      <c r="D5948">
        <f>IF(B5948="","",HOUR(A5948))</f>
        <v/>
      </c>
    </row>
    <row r="5949">
      <c r="A5949">
        <f>Input!A5949</f>
        <v/>
      </c>
      <c r="B5949">
        <f>IF(ISNUMBER(Input!B5949),IF(AND(Input!B5949&gt;=20,Input!B5949&lt;=700),Input!B5949,""),"")</f>
        <v/>
      </c>
      <c r="C5949">
        <f>IF(B5949="","",INT(A5949))</f>
        <v/>
      </c>
      <c r="D5949">
        <f>IF(B5949="","",HOUR(A5949))</f>
        <v/>
      </c>
    </row>
    <row r="5950">
      <c r="A5950">
        <f>Input!A5950</f>
        <v/>
      </c>
      <c r="B5950">
        <f>IF(ISNUMBER(Input!B5950),IF(AND(Input!B5950&gt;=20,Input!B5950&lt;=700),Input!B5950,""),"")</f>
        <v/>
      </c>
      <c r="C5950">
        <f>IF(B5950="","",INT(A5950))</f>
        <v/>
      </c>
      <c r="D5950">
        <f>IF(B5950="","",HOUR(A5950))</f>
        <v/>
      </c>
    </row>
    <row r="5951">
      <c r="A5951">
        <f>Input!A5951</f>
        <v/>
      </c>
      <c r="B5951">
        <f>IF(ISNUMBER(Input!B5951),IF(AND(Input!B5951&gt;=20,Input!B5951&lt;=700),Input!B5951,""),"")</f>
        <v/>
      </c>
      <c r="C5951">
        <f>IF(B5951="","",INT(A5951))</f>
        <v/>
      </c>
      <c r="D5951">
        <f>IF(B5951="","",HOUR(A5951))</f>
        <v/>
      </c>
    </row>
    <row r="5952">
      <c r="A5952">
        <f>Input!A5952</f>
        <v/>
      </c>
      <c r="B5952">
        <f>IF(ISNUMBER(Input!B5952),IF(AND(Input!B5952&gt;=20,Input!B5952&lt;=700),Input!B5952,""),"")</f>
        <v/>
      </c>
      <c r="C5952">
        <f>IF(B5952="","",INT(A5952))</f>
        <v/>
      </c>
      <c r="D5952">
        <f>IF(B5952="","",HOUR(A5952))</f>
        <v/>
      </c>
    </row>
    <row r="5953">
      <c r="A5953">
        <f>Input!A5953</f>
        <v/>
      </c>
      <c r="B5953">
        <f>IF(ISNUMBER(Input!B5953),IF(AND(Input!B5953&gt;=20,Input!B5953&lt;=700),Input!B5953,""),"")</f>
        <v/>
      </c>
      <c r="C5953">
        <f>IF(B5953="","",INT(A5953))</f>
        <v/>
      </c>
      <c r="D5953">
        <f>IF(B5953="","",HOUR(A5953))</f>
        <v/>
      </c>
    </row>
    <row r="5954">
      <c r="A5954">
        <f>Input!A5954</f>
        <v/>
      </c>
      <c r="B5954">
        <f>IF(ISNUMBER(Input!B5954),IF(AND(Input!B5954&gt;=20,Input!B5954&lt;=700),Input!B5954,""),"")</f>
        <v/>
      </c>
      <c r="C5954">
        <f>IF(B5954="","",INT(A5954))</f>
        <v/>
      </c>
      <c r="D5954">
        <f>IF(B5954="","",HOUR(A5954))</f>
        <v/>
      </c>
    </row>
    <row r="5955">
      <c r="A5955">
        <f>Input!A5955</f>
        <v/>
      </c>
      <c r="B5955">
        <f>IF(ISNUMBER(Input!B5955),IF(AND(Input!B5955&gt;=20,Input!B5955&lt;=700),Input!B5955,""),"")</f>
        <v/>
      </c>
      <c r="C5955">
        <f>IF(B5955="","",INT(A5955))</f>
        <v/>
      </c>
      <c r="D5955">
        <f>IF(B5955="","",HOUR(A5955))</f>
        <v/>
      </c>
    </row>
    <row r="5956">
      <c r="A5956">
        <f>Input!A5956</f>
        <v/>
      </c>
      <c r="B5956">
        <f>IF(ISNUMBER(Input!B5956),IF(AND(Input!B5956&gt;=20,Input!B5956&lt;=700),Input!B5956,""),"")</f>
        <v/>
      </c>
      <c r="C5956">
        <f>IF(B5956="","",INT(A5956))</f>
        <v/>
      </c>
      <c r="D5956">
        <f>IF(B5956="","",HOUR(A5956))</f>
        <v/>
      </c>
    </row>
    <row r="5957">
      <c r="A5957">
        <f>Input!A5957</f>
        <v/>
      </c>
      <c r="B5957">
        <f>IF(ISNUMBER(Input!B5957),IF(AND(Input!B5957&gt;=20,Input!B5957&lt;=700),Input!B5957,""),"")</f>
        <v/>
      </c>
      <c r="C5957">
        <f>IF(B5957="","",INT(A5957))</f>
        <v/>
      </c>
      <c r="D5957">
        <f>IF(B5957="","",HOUR(A5957))</f>
        <v/>
      </c>
    </row>
    <row r="5958">
      <c r="A5958">
        <f>Input!A5958</f>
        <v/>
      </c>
      <c r="B5958">
        <f>IF(ISNUMBER(Input!B5958),IF(AND(Input!B5958&gt;=20,Input!B5958&lt;=700),Input!B5958,""),"")</f>
        <v/>
      </c>
      <c r="C5958">
        <f>IF(B5958="","",INT(A5958))</f>
        <v/>
      </c>
      <c r="D5958">
        <f>IF(B5958="","",HOUR(A5958))</f>
        <v/>
      </c>
    </row>
    <row r="5959">
      <c r="A5959">
        <f>Input!A5959</f>
        <v/>
      </c>
      <c r="B5959">
        <f>IF(ISNUMBER(Input!B5959),IF(AND(Input!B5959&gt;=20,Input!B5959&lt;=700),Input!B5959,""),"")</f>
        <v/>
      </c>
      <c r="C5959">
        <f>IF(B5959="","",INT(A5959))</f>
        <v/>
      </c>
      <c r="D5959">
        <f>IF(B5959="","",HOUR(A5959))</f>
        <v/>
      </c>
    </row>
    <row r="5960">
      <c r="A5960">
        <f>Input!A5960</f>
        <v/>
      </c>
      <c r="B5960">
        <f>IF(ISNUMBER(Input!B5960),IF(AND(Input!B5960&gt;=20,Input!B5960&lt;=700),Input!B5960,""),"")</f>
        <v/>
      </c>
      <c r="C5960">
        <f>IF(B5960="","",INT(A5960))</f>
        <v/>
      </c>
      <c r="D5960">
        <f>IF(B5960="","",HOUR(A5960))</f>
        <v/>
      </c>
    </row>
    <row r="5961">
      <c r="A5961">
        <f>Input!A5961</f>
        <v/>
      </c>
      <c r="B5961">
        <f>IF(ISNUMBER(Input!B5961),IF(AND(Input!B5961&gt;=20,Input!B5961&lt;=700),Input!B5961,""),"")</f>
        <v/>
      </c>
      <c r="C5961">
        <f>IF(B5961="","",INT(A5961))</f>
        <v/>
      </c>
      <c r="D5961">
        <f>IF(B5961="","",HOUR(A5961))</f>
        <v/>
      </c>
    </row>
    <row r="5962">
      <c r="A5962">
        <f>Input!A5962</f>
        <v/>
      </c>
      <c r="B5962">
        <f>IF(ISNUMBER(Input!B5962),IF(AND(Input!B5962&gt;=20,Input!B5962&lt;=700),Input!B5962,""),"")</f>
        <v/>
      </c>
      <c r="C5962">
        <f>IF(B5962="","",INT(A5962))</f>
        <v/>
      </c>
      <c r="D5962">
        <f>IF(B5962="","",HOUR(A5962))</f>
        <v/>
      </c>
    </row>
    <row r="5963">
      <c r="A5963">
        <f>Input!A5963</f>
        <v/>
      </c>
      <c r="B5963">
        <f>IF(ISNUMBER(Input!B5963),IF(AND(Input!B5963&gt;=20,Input!B5963&lt;=700),Input!B5963,""),"")</f>
        <v/>
      </c>
      <c r="C5963">
        <f>IF(B5963="","",INT(A5963))</f>
        <v/>
      </c>
      <c r="D5963">
        <f>IF(B5963="","",HOUR(A5963))</f>
        <v/>
      </c>
    </row>
    <row r="5964">
      <c r="A5964">
        <f>Input!A5964</f>
        <v/>
      </c>
      <c r="B5964">
        <f>IF(ISNUMBER(Input!B5964),IF(AND(Input!B5964&gt;=20,Input!B5964&lt;=700),Input!B5964,""),"")</f>
        <v/>
      </c>
      <c r="C5964">
        <f>IF(B5964="","",INT(A5964))</f>
        <v/>
      </c>
      <c r="D5964">
        <f>IF(B5964="","",HOUR(A5964))</f>
        <v/>
      </c>
    </row>
    <row r="5965">
      <c r="A5965">
        <f>Input!A5965</f>
        <v/>
      </c>
      <c r="B5965">
        <f>IF(ISNUMBER(Input!B5965),IF(AND(Input!B5965&gt;=20,Input!B5965&lt;=700),Input!B5965,""),"")</f>
        <v/>
      </c>
      <c r="C5965">
        <f>IF(B5965="","",INT(A5965))</f>
        <v/>
      </c>
      <c r="D5965">
        <f>IF(B5965="","",HOUR(A5965))</f>
        <v/>
      </c>
    </row>
    <row r="5966">
      <c r="A5966">
        <f>Input!A5966</f>
        <v/>
      </c>
      <c r="B5966">
        <f>IF(ISNUMBER(Input!B5966),IF(AND(Input!B5966&gt;=20,Input!B5966&lt;=700),Input!B5966,""),"")</f>
        <v/>
      </c>
      <c r="C5966">
        <f>IF(B5966="","",INT(A5966))</f>
        <v/>
      </c>
      <c r="D5966">
        <f>IF(B5966="","",HOUR(A5966))</f>
        <v/>
      </c>
    </row>
    <row r="5967">
      <c r="A5967">
        <f>Input!A5967</f>
        <v/>
      </c>
      <c r="B5967">
        <f>IF(ISNUMBER(Input!B5967),IF(AND(Input!B5967&gt;=20,Input!B5967&lt;=700),Input!B5967,""),"")</f>
        <v/>
      </c>
      <c r="C5967">
        <f>IF(B5967="","",INT(A5967))</f>
        <v/>
      </c>
      <c r="D5967">
        <f>IF(B5967="","",HOUR(A5967))</f>
        <v/>
      </c>
    </row>
    <row r="5968">
      <c r="A5968">
        <f>Input!A5968</f>
        <v/>
      </c>
      <c r="B5968">
        <f>IF(ISNUMBER(Input!B5968),IF(AND(Input!B5968&gt;=20,Input!B5968&lt;=700),Input!B5968,""),"")</f>
        <v/>
      </c>
      <c r="C5968">
        <f>IF(B5968="","",INT(A5968))</f>
        <v/>
      </c>
      <c r="D5968">
        <f>IF(B5968="","",HOUR(A5968))</f>
        <v/>
      </c>
    </row>
    <row r="5969">
      <c r="A5969">
        <f>Input!A5969</f>
        <v/>
      </c>
      <c r="B5969">
        <f>IF(ISNUMBER(Input!B5969),IF(AND(Input!B5969&gt;=20,Input!B5969&lt;=700),Input!B5969,""),"")</f>
        <v/>
      </c>
      <c r="C5969">
        <f>IF(B5969="","",INT(A5969))</f>
        <v/>
      </c>
      <c r="D5969">
        <f>IF(B5969="","",HOUR(A5969))</f>
        <v/>
      </c>
    </row>
    <row r="5970">
      <c r="A5970">
        <f>Input!A5970</f>
        <v/>
      </c>
      <c r="B5970">
        <f>IF(ISNUMBER(Input!B5970),IF(AND(Input!B5970&gt;=20,Input!B5970&lt;=700),Input!B5970,""),"")</f>
        <v/>
      </c>
      <c r="C5970">
        <f>IF(B5970="","",INT(A5970))</f>
        <v/>
      </c>
      <c r="D5970">
        <f>IF(B5970="","",HOUR(A5970))</f>
        <v/>
      </c>
    </row>
    <row r="5971">
      <c r="A5971">
        <f>Input!A5971</f>
        <v/>
      </c>
      <c r="B5971">
        <f>IF(ISNUMBER(Input!B5971),IF(AND(Input!B5971&gt;=20,Input!B5971&lt;=700),Input!B5971,""),"")</f>
        <v/>
      </c>
      <c r="C5971">
        <f>IF(B5971="","",INT(A5971))</f>
        <v/>
      </c>
      <c r="D5971">
        <f>IF(B5971="","",HOUR(A5971))</f>
        <v/>
      </c>
    </row>
    <row r="5972">
      <c r="A5972">
        <f>Input!A5972</f>
        <v/>
      </c>
      <c r="B5972">
        <f>IF(ISNUMBER(Input!B5972),IF(AND(Input!B5972&gt;=20,Input!B5972&lt;=700),Input!B5972,""),"")</f>
        <v/>
      </c>
      <c r="C5972">
        <f>IF(B5972="","",INT(A5972))</f>
        <v/>
      </c>
      <c r="D5972">
        <f>IF(B5972="","",HOUR(A5972))</f>
        <v/>
      </c>
    </row>
    <row r="5973">
      <c r="A5973">
        <f>Input!A5973</f>
        <v/>
      </c>
      <c r="B5973">
        <f>IF(ISNUMBER(Input!B5973),IF(AND(Input!B5973&gt;=20,Input!B5973&lt;=700),Input!B5973,""),"")</f>
        <v/>
      </c>
      <c r="C5973">
        <f>IF(B5973="","",INT(A5973))</f>
        <v/>
      </c>
      <c r="D5973">
        <f>IF(B5973="","",HOUR(A5973))</f>
        <v/>
      </c>
    </row>
    <row r="5974">
      <c r="A5974">
        <f>Input!A5974</f>
        <v/>
      </c>
      <c r="B5974">
        <f>IF(ISNUMBER(Input!B5974),IF(AND(Input!B5974&gt;=20,Input!B5974&lt;=700),Input!B5974,""),"")</f>
        <v/>
      </c>
      <c r="C5974">
        <f>IF(B5974="","",INT(A5974))</f>
        <v/>
      </c>
      <c r="D5974">
        <f>IF(B5974="","",HOUR(A5974))</f>
        <v/>
      </c>
    </row>
    <row r="5975">
      <c r="A5975">
        <f>Input!A5975</f>
        <v/>
      </c>
      <c r="B5975">
        <f>IF(ISNUMBER(Input!B5975),IF(AND(Input!B5975&gt;=20,Input!B5975&lt;=700),Input!B5975,""),"")</f>
        <v/>
      </c>
      <c r="C5975">
        <f>IF(B5975="","",INT(A5975))</f>
        <v/>
      </c>
      <c r="D5975">
        <f>IF(B5975="","",HOUR(A5975))</f>
        <v/>
      </c>
    </row>
    <row r="5976">
      <c r="A5976">
        <f>Input!A5976</f>
        <v/>
      </c>
      <c r="B5976">
        <f>IF(ISNUMBER(Input!B5976),IF(AND(Input!B5976&gt;=20,Input!B5976&lt;=700),Input!B5976,""),"")</f>
        <v/>
      </c>
      <c r="C5976">
        <f>IF(B5976="","",INT(A5976))</f>
        <v/>
      </c>
      <c r="D5976">
        <f>IF(B5976="","",HOUR(A5976))</f>
        <v/>
      </c>
    </row>
    <row r="5977">
      <c r="A5977">
        <f>Input!A5977</f>
        <v/>
      </c>
      <c r="B5977">
        <f>IF(ISNUMBER(Input!B5977),IF(AND(Input!B5977&gt;=20,Input!B5977&lt;=700),Input!B5977,""),"")</f>
        <v/>
      </c>
      <c r="C5977">
        <f>IF(B5977="","",INT(A5977))</f>
        <v/>
      </c>
      <c r="D5977">
        <f>IF(B5977="","",HOUR(A5977))</f>
        <v/>
      </c>
    </row>
    <row r="5978">
      <c r="A5978">
        <f>Input!A5978</f>
        <v/>
      </c>
      <c r="B5978">
        <f>IF(ISNUMBER(Input!B5978),IF(AND(Input!B5978&gt;=20,Input!B5978&lt;=700),Input!B5978,""),"")</f>
        <v/>
      </c>
      <c r="C5978">
        <f>IF(B5978="","",INT(A5978))</f>
        <v/>
      </c>
      <c r="D5978">
        <f>IF(B5978="","",HOUR(A5978))</f>
        <v/>
      </c>
    </row>
    <row r="5979">
      <c r="A5979">
        <f>Input!A5979</f>
        <v/>
      </c>
      <c r="B5979">
        <f>IF(ISNUMBER(Input!B5979),IF(AND(Input!B5979&gt;=20,Input!B5979&lt;=700),Input!B5979,""),"")</f>
        <v/>
      </c>
      <c r="C5979">
        <f>IF(B5979="","",INT(A5979))</f>
        <v/>
      </c>
      <c r="D5979">
        <f>IF(B5979="","",HOUR(A5979))</f>
        <v/>
      </c>
    </row>
    <row r="5980">
      <c r="A5980">
        <f>Input!A5980</f>
        <v/>
      </c>
      <c r="B5980">
        <f>IF(ISNUMBER(Input!B5980),IF(AND(Input!B5980&gt;=20,Input!B5980&lt;=700),Input!B5980,""),"")</f>
        <v/>
      </c>
      <c r="C5980">
        <f>IF(B5980="","",INT(A5980))</f>
        <v/>
      </c>
      <c r="D5980">
        <f>IF(B5980="","",HOUR(A5980))</f>
        <v/>
      </c>
    </row>
    <row r="5981">
      <c r="A5981">
        <f>Input!A5981</f>
        <v/>
      </c>
      <c r="B5981">
        <f>IF(ISNUMBER(Input!B5981),IF(AND(Input!B5981&gt;=20,Input!B5981&lt;=700),Input!B5981,""),"")</f>
        <v/>
      </c>
      <c r="C5981">
        <f>IF(B5981="","",INT(A5981))</f>
        <v/>
      </c>
      <c r="D5981">
        <f>IF(B5981="","",HOUR(A5981))</f>
        <v/>
      </c>
    </row>
    <row r="5982">
      <c r="A5982">
        <f>Input!A5982</f>
        <v/>
      </c>
      <c r="B5982">
        <f>IF(ISNUMBER(Input!B5982),IF(AND(Input!B5982&gt;=20,Input!B5982&lt;=700),Input!B5982,""),"")</f>
        <v/>
      </c>
      <c r="C5982">
        <f>IF(B5982="","",INT(A5982))</f>
        <v/>
      </c>
      <c r="D5982">
        <f>IF(B5982="","",HOUR(A5982))</f>
        <v/>
      </c>
    </row>
    <row r="5983">
      <c r="A5983">
        <f>Input!A5983</f>
        <v/>
      </c>
      <c r="B5983">
        <f>IF(ISNUMBER(Input!B5983),IF(AND(Input!B5983&gt;=20,Input!B5983&lt;=700),Input!B5983,""),"")</f>
        <v/>
      </c>
      <c r="C5983">
        <f>IF(B5983="","",INT(A5983))</f>
        <v/>
      </c>
      <c r="D5983">
        <f>IF(B5983="","",HOUR(A5983))</f>
        <v/>
      </c>
    </row>
    <row r="5984">
      <c r="A5984">
        <f>Input!A5984</f>
        <v/>
      </c>
      <c r="B5984">
        <f>IF(ISNUMBER(Input!B5984),IF(AND(Input!B5984&gt;=20,Input!B5984&lt;=700),Input!B5984,""),"")</f>
        <v/>
      </c>
      <c r="C5984">
        <f>IF(B5984="","",INT(A5984))</f>
        <v/>
      </c>
      <c r="D5984">
        <f>IF(B5984="","",HOUR(A5984))</f>
        <v/>
      </c>
    </row>
    <row r="5985">
      <c r="A5985">
        <f>Input!A5985</f>
        <v/>
      </c>
      <c r="B5985">
        <f>IF(ISNUMBER(Input!B5985),IF(AND(Input!B5985&gt;=20,Input!B5985&lt;=700),Input!B5985,""),"")</f>
        <v/>
      </c>
      <c r="C5985">
        <f>IF(B5985="","",INT(A5985))</f>
        <v/>
      </c>
      <c r="D5985">
        <f>IF(B5985="","",HOUR(A5985))</f>
        <v/>
      </c>
    </row>
    <row r="5986">
      <c r="A5986">
        <f>Input!A5986</f>
        <v/>
      </c>
      <c r="B5986">
        <f>IF(ISNUMBER(Input!B5986),IF(AND(Input!B5986&gt;=20,Input!B5986&lt;=700),Input!B5986,""),"")</f>
        <v/>
      </c>
      <c r="C5986">
        <f>IF(B5986="","",INT(A5986))</f>
        <v/>
      </c>
      <c r="D5986">
        <f>IF(B5986="","",HOUR(A5986))</f>
        <v/>
      </c>
    </row>
    <row r="5987">
      <c r="A5987">
        <f>Input!A5987</f>
        <v/>
      </c>
      <c r="B5987">
        <f>IF(ISNUMBER(Input!B5987),IF(AND(Input!B5987&gt;=20,Input!B5987&lt;=700),Input!B5987,""),"")</f>
        <v/>
      </c>
      <c r="C5987">
        <f>IF(B5987="","",INT(A5987))</f>
        <v/>
      </c>
      <c r="D5987">
        <f>IF(B5987="","",HOUR(A5987))</f>
        <v/>
      </c>
    </row>
    <row r="5988">
      <c r="A5988">
        <f>Input!A5988</f>
        <v/>
      </c>
      <c r="B5988">
        <f>IF(ISNUMBER(Input!B5988),IF(AND(Input!B5988&gt;=20,Input!B5988&lt;=700),Input!B5988,""),"")</f>
        <v/>
      </c>
      <c r="C5988">
        <f>IF(B5988="","",INT(A5988))</f>
        <v/>
      </c>
      <c r="D5988">
        <f>IF(B5988="","",HOUR(A5988))</f>
        <v/>
      </c>
    </row>
    <row r="5989">
      <c r="A5989">
        <f>Input!A5989</f>
        <v/>
      </c>
      <c r="B5989">
        <f>IF(ISNUMBER(Input!B5989),IF(AND(Input!B5989&gt;=20,Input!B5989&lt;=700),Input!B5989,""),"")</f>
        <v/>
      </c>
      <c r="C5989">
        <f>IF(B5989="","",INT(A5989))</f>
        <v/>
      </c>
      <c r="D5989">
        <f>IF(B5989="","",HOUR(A5989))</f>
        <v/>
      </c>
    </row>
    <row r="5990">
      <c r="A5990">
        <f>Input!A5990</f>
        <v/>
      </c>
      <c r="B5990">
        <f>IF(ISNUMBER(Input!B5990),IF(AND(Input!B5990&gt;=20,Input!B5990&lt;=700),Input!B5990,""),"")</f>
        <v/>
      </c>
      <c r="C5990">
        <f>IF(B5990="","",INT(A5990))</f>
        <v/>
      </c>
      <c r="D5990">
        <f>IF(B5990="","",HOUR(A5990))</f>
        <v/>
      </c>
    </row>
    <row r="5991">
      <c r="A5991">
        <f>Input!A5991</f>
        <v/>
      </c>
      <c r="B5991">
        <f>IF(ISNUMBER(Input!B5991),IF(AND(Input!B5991&gt;=20,Input!B5991&lt;=700),Input!B5991,""),"")</f>
        <v/>
      </c>
      <c r="C5991">
        <f>IF(B5991="","",INT(A5991))</f>
        <v/>
      </c>
      <c r="D5991">
        <f>IF(B5991="","",HOUR(A5991))</f>
        <v/>
      </c>
    </row>
    <row r="5992">
      <c r="A5992">
        <f>Input!A5992</f>
        <v/>
      </c>
      <c r="B5992">
        <f>IF(ISNUMBER(Input!B5992),IF(AND(Input!B5992&gt;=20,Input!B5992&lt;=700),Input!B5992,""),"")</f>
        <v/>
      </c>
      <c r="C5992">
        <f>IF(B5992="","",INT(A5992))</f>
        <v/>
      </c>
      <c r="D5992">
        <f>IF(B5992="","",HOUR(A5992))</f>
        <v/>
      </c>
    </row>
    <row r="5993">
      <c r="A5993">
        <f>Input!A5993</f>
        <v/>
      </c>
      <c r="B5993">
        <f>IF(ISNUMBER(Input!B5993),IF(AND(Input!B5993&gt;=20,Input!B5993&lt;=700),Input!B5993,""),"")</f>
        <v/>
      </c>
      <c r="C5993">
        <f>IF(B5993="","",INT(A5993))</f>
        <v/>
      </c>
      <c r="D5993">
        <f>IF(B5993="","",HOUR(A5993))</f>
        <v/>
      </c>
    </row>
    <row r="5994">
      <c r="A5994">
        <f>Input!A5994</f>
        <v/>
      </c>
      <c r="B5994">
        <f>IF(ISNUMBER(Input!B5994),IF(AND(Input!B5994&gt;=20,Input!B5994&lt;=700),Input!B5994,""),"")</f>
        <v/>
      </c>
      <c r="C5994">
        <f>IF(B5994="","",INT(A5994))</f>
        <v/>
      </c>
      <c r="D5994">
        <f>IF(B5994="","",HOUR(A5994))</f>
        <v/>
      </c>
    </row>
    <row r="5995">
      <c r="A5995">
        <f>Input!A5995</f>
        <v/>
      </c>
      <c r="B5995">
        <f>IF(ISNUMBER(Input!B5995),IF(AND(Input!B5995&gt;=20,Input!B5995&lt;=700),Input!B5995,""),"")</f>
        <v/>
      </c>
      <c r="C5995">
        <f>IF(B5995="","",INT(A5995))</f>
        <v/>
      </c>
      <c r="D5995">
        <f>IF(B5995="","",HOUR(A5995))</f>
        <v/>
      </c>
    </row>
    <row r="5996">
      <c r="A5996">
        <f>Input!A5996</f>
        <v/>
      </c>
      <c r="B5996">
        <f>IF(ISNUMBER(Input!B5996),IF(AND(Input!B5996&gt;=20,Input!B5996&lt;=700),Input!B5996,""),"")</f>
        <v/>
      </c>
      <c r="C5996">
        <f>IF(B5996="","",INT(A5996))</f>
        <v/>
      </c>
      <c r="D5996">
        <f>IF(B5996="","",HOUR(A5996))</f>
        <v/>
      </c>
    </row>
    <row r="5997">
      <c r="A5997">
        <f>Input!A5997</f>
        <v/>
      </c>
      <c r="B5997">
        <f>IF(ISNUMBER(Input!B5997),IF(AND(Input!B5997&gt;=20,Input!B5997&lt;=700),Input!B5997,""),"")</f>
        <v/>
      </c>
      <c r="C5997">
        <f>IF(B5997="","",INT(A5997))</f>
        <v/>
      </c>
      <c r="D5997">
        <f>IF(B5997="","",HOUR(A5997))</f>
        <v/>
      </c>
    </row>
    <row r="5998">
      <c r="A5998">
        <f>Input!A5998</f>
        <v/>
      </c>
      <c r="B5998">
        <f>IF(ISNUMBER(Input!B5998),IF(AND(Input!B5998&gt;=20,Input!B5998&lt;=700),Input!B5998,""),"")</f>
        <v/>
      </c>
      <c r="C5998">
        <f>IF(B5998="","",INT(A5998))</f>
        <v/>
      </c>
      <c r="D5998">
        <f>IF(B5998="","",HOUR(A5998))</f>
        <v/>
      </c>
    </row>
    <row r="5999">
      <c r="A5999">
        <f>Input!A5999</f>
        <v/>
      </c>
      <c r="B5999">
        <f>IF(ISNUMBER(Input!B5999),IF(AND(Input!B5999&gt;=20,Input!B5999&lt;=700),Input!B5999,""),"")</f>
        <v/>
      </c>
      <c r="C5999">
        <f>IF(B5999="","",INT(A5999))</f>
        <v/>
      </c>
      <c r="D5999">
        <f>IF(B5999="","",HOUR(A5999))</f>
        <v/>
      </c>
    </row>
    <row r="6000">
      <c r="A6000">
        <f>Input!A6000</f>
        <v/>
      </c>
      <c r="B6000">
        <f>IF(ISNUMBER(Input!B6000),IF(AND(Input!B6000&gt;=20,Input!B6000&lt;=700),Input!B6000,""),"")</f>
        <v/>
      </c>
      <c r="C6000">
        <f>IF(B6000="","",INT(A6000))</f>
        <v/>
      </c>
      <c r="D6000">
        <f>IF(B6000="","",HOUR(A6000))</f>
        <v/>
      </c>
    </row>
    <row r="6001">
      <c r="A6001">
        <f>Input!A6001</f>
        <v/>
      </c>
      <c r="B6001">
        <f>IF(ISNUMBER(Input!B6001),IF(AND(Input!B6001&gt;=20,Input!B6001&lt;=700),Input!B6001,""),"")</f>
        <v/>
      </c>
      <c r="C6001">
        <f>IF(B6001="","",INT(A6001))</f>
        <v/>
      </c>
      <c r="D6001">
        <f>IF(B6001="","",HOUR(A6001))</f>
        <v/>
      </c>
    </row>
    <row r="6002">
      <c r="A6002">
        <f>Input!A6002</f>
        <v/>
      </c>
      <c r="B6002">
        <f>IF(ISNUMBER(Input!B6002),IF(AND(Input!B6002&gt;=20,Input!B6002&lt;=700),Input!B6002,""),"")</f>
        <v/>
      </c>
      <c r="C6002">
        <f>IF(B6002="","",INT(A6002))</f>
        <v/>
      </c>
      <c r="D6002">
        <f>IF(B6002="","",HOUR(A6002))</f>
        <v/>
      </c>
    </row>
    <row r="6003">
      <c r="A6003">
        <f>Input!A6003</f>
        <v/>
      </c>
      <c r="B6003">
        <f>IF(ISNUMBER(Input!B6003),IF(AND(Input!B6003&gt;=20,Input!B6003&lt;=700),Input!B6003,""),"")</f>
        <v/>
      </c>
      <c r="C6003">
        <f>IF(B6003="","",INT(A6003))</f>
        <v/>
      </c>
      <c r="D6003">
        <f>IF(B6003="","",HOUR(A6003))</f>
        <v/>
      </c>
    </row>
    <row r="6004">
      <c r="A6004">
        <f>Input!A6004</f>
        <v/>
      </c>
      <c r="B6004">
        <f>IF(ISNUMBER(Input!B6004),IF(AND(Input!B6004&gt;=20,Input!B6004&lt;=700),Input!B6004,""),"")</f>
        <v/>
      </c>
      <c r="C6004">
        <f>IF(B6004="","",INT(A6004))</f>
        <v/>
      </c>
      <c r="D6004">
        <f>IF(B6004="","",HOUR(A6004))</f>
        <v/>
      </c>
    </row>
    <row r="6005">
      <c r="A6005">
        <f>Input!A6005</f>
        <v/>
      </c>
      <c r="B6005">
        <f>IF(ISNUMBER(Input!B6005),IF(AND(Input!B6005&gt;=20,Input!B6005&lt;=700),Input!B6005,""),"")</f>
        <v/>
      </c>
      <c r="C6005">
        <f>IF(B6005="","",INT(A6005))</f>
        <v/>
      </c>
      <c r="D6005">
        <f>IF(B6005="","",HOUR(A6005))</f>
        <v/>
      </c>
    </row>
    <row r="6006">
      <c r="A6006">
        <f>Input!A6006</f>
        <v/>
      </c>
      <c r="B6006">
        <f>IF(ISNUMBER(Input!B6006),IF(AND(Input!B6006&gt;=20,Input!B6006&lt;=700),Input!B6006,""),"")</f>
        <v/>
      </c>
      <c r="C6006">
        <f>IF(B6006="","",INT(A6006))</f>
        <v/>
      </c>
      <c r="D6006">
        <f>IF(B6006="","",HOUR(A6006))</f>
        <v/>
      </c>
    </row>
    <row r="6007">
      <c r="A6007">
        <f>Input!A6007</f>
        <v/>
      </c>
      <c r="B6007">
        <f>IF(ISNUMBER(Input!B6007),IF(AND(Input!B6007&gt;=20,Input!B6007&lt;=700),Input!B6007,""),"")</f>
        <v/>
      </c>
      <c r="C6007">
        <f>IF(B6007="","",INT(A6007))</f>
        <v/>
      </c>
      <c r="D6007">
        <f>IF(B6007="","",HOUR(A6007))</f>
        <v/>
      </c>
    </row>
    <row r="6008">
      <c r="A6008">
        <f>Input!A6008</f>
        <v/>
      </c>
      <c r="B6008">
        <f>IF(ISNUMBER(Input!B6008),IF(AND(Input!B6008&gt;=20,Input!B6008&lt;=700),Input!B6008,""),"")</f>
        <v/>
      </c>
      <c r="C6008">
        <f>IF(B6008="","",INT(A6008))</f>
        <v/>
      </c>
      <c r="D6008">
        <f>IF(B6008="","",HOUR(A6008))</f>
        <v/>
      </c>
    </row>
    <row r="6009">
      <c r="A6009">
        <f>Input!A6009</f>
        <v/>
      </c>
      <c r="B6009">
        <f>IF(ISNUMBER(Input!B6009),IF(AND(Input!B6009&gt;=20,Input!B6009&lt;=700),Input!B6009,""),"")</f>
        <v/>
      </c>
      <c r="C6009">
        <f>IF(B6009="","",INT(A6009))</f>
        <v/>
      </c>
      <c r="D6009">
        <f>IF(B6009="","",HOUR(A6009))</f>
        <v/>
      </c>
    </row>
    <row r="6010">
      <c r="A6010">
        <f>Input!A6010</f>
        <v/>
      </c>
      <c r="B6010">
        <f>IF(ISNUMBER(Input!B6010),IF(AND(Input!B6010&gt;=20,Input!B6010&lt;=700),Input!B6010,""),"")</f>
        <v/>
      </c>
      <c r="C6010">
        <f>IF(B6010="","",INT(A6010))</f>
        <v/>
      </c>
      <c r="D6010">
        <f>IF(B6010="","",HOUR(A6010))</f>
        <v/>
      </c>
    </row>
    <row r="6011">
      <c r="A6011">
        <f>Input!A6011</f>
        <v/>
      </c>
      <c r="B6011">
        <f>IF(ISNUMBER(Input!B6011),IF(AND(Input!B6011&gt;=20,Input!B6011&lt;=700),Input!B6011,""),"")</f>
        <v/>
      </c>
      <c r="C6011">
        <f>IF(B6011="","",INT(A6011))</f>
        <v/>
      </c>
      <c r="D6011">
        <f>IF(B6011="","",HOUR(A6011))</f>
        <v/>
      </c>
    </row>
    <row r="6012">
      <c r="A6012">
        <f>Input!A6012</f>
        <v/>
      </c>
      <c r="B6012">
        <f>IF(ISNUMBER(Input!B6012),IF(AND(Input!B6012&gt;=20,Input!B6012&lt;=700),Input!B6012,""),"")</f>
        <v/>
      </c>
      <c r="C6012">
        <f>IF(B6012="","",INT(A6012))</f>
        <v/>
      </c>
      <c r="D6012">
        <f>IF(B6012="","",HOUR(A6012))</f>
        <v/>
      </c>
    </row>
    <row r="6013">
      <c r="A6013">
        <f>Input!A6013</f>
        <v/>
      </c>
      <c r="B6013">
        <f>IF(ISNUMBER(Input!B6013),IF(AND(Input!B6013&gt;=20,Input!B6013&lt;=700),Input!B6013,""),"")</f>
        <v/>
      </c>
      <c r="C6013">
        <f>IF(B6013="","",INT(A6013))</f>
        <v/>
      </c>
      <c r="D6013">
        <f>IF(B6013="","",HOUR(A6013))</f>
        <v/>
      </c>
    </row>
    <row r="6014">
      <c r="A6014">
        <f>Input!A6014</f>
        <v/>
      </c>
      <c r="B6014">
        <f>IF(ISNUMBER(Input!B6014),IF(AND(Input!B6014&gt;=20,Input!B6014&lt;=700),Input!B6014,""),"")</f>
        <v/>
      </c>
      <c r="C6014">
        <f>IF(B6014="","",INT(A6014))</f>
        <v/>
      </c>
      <c r="D6014">
        <f>IF(B6014="","",HOUR(A6014))</f>
        <v/>
      </c>
    </row>
    <row r="6015">
      <c r="A6015">
        <f>Input!A6015</f>
        <v/>
      </c>
      <c r="B6015">
        <f>IF(ISNUMBER(Input!B6015),IF(AND(Input!B6015&gt;=20,Input!B6015&lt;=700),Input!B6015,""),"")</f>
        <v/>
      </c>
      <c r="C6015">
        <f>IF(B6015="","",INT(A6015))</f>
        <v/>
      </c>
      <c r="D6015">
        <f>IF(B6015="","",HOUR(A6015))</f>
        <v/>
      </c>
    </row>
    <row r="6016">
      <c r="A6016">
        <f>Input!A6016</f>
        <v/>
      </c>
      <c r="B6016">
        <f>IF(ISNUMBER(Input!B6016),IF(AND(Input!B6016&gt;=20,Input!B6016&lt;=700),Input!B6016,""),"")</f>
        <v/>
      </c>
      <c r="C6016">
        <f>IF(B6016="","",INT(A6016))</f>
        <v/>
      </c>
      <c r="D6016">
        <f>IF(B6016="","",HOUR(A6016))</f>
        <v/>
      </c>
    </row>
    <row r="6017">
      <c r="A6017">
        <f>Input!A6017</f>
        <v/>
      </c>
      <c r="B6017">
        <f>IF(ISNUMBER(Input!B6017),IF(AND(Input!B6017&gt;=20,Input!B6017&lt;=700),Input!B6017,""),"")</f>
        <v/>
      </c>
      <c r="C6017">
        <f>IF(B6017="","",INT(A6017))</f>
        <v/>
      </c>
      <c r="D6017">
        <f>IF(B6017="","",HOUR(A6017))</f>
        <v/>
      </c>
    </row>
    <row r="6018">
      <c r="A6018">
        <f>Input!A6018</f>
        <v/>
      </c>
      <c r="B6018">
        <f>IF(ISNUMBER(Input!B6018),IF(AND(Input!B6018&gt;=20,Input!B6018&lt;=700),Input!B6018,""),"")</f>
        <v/>
      </c>
      <c r="C6018">
        <f>IF(B6018="","",INT(A6018))</f>
        <v/>
      </c>
      <c r="D6018">
        <f>IF(B6018="","",HOUR(A6018))</f>
        <v/>
      </c>
    </row>
    <row r="6019">
      <c r="A6019">
        <f>Input!A6019</f>
        <v/>
      </c>
      <c r="B6019">
        <f>IF(ISNUMBER(Input!B6019),IF(AND(Input!B6019&gt;=20,Input!B6019&lt;=700),Input!B6019,""),"")</f>
        <v/>
      </c>
      <c r="C6019">
        <f>IF(B6019="","",INT(A6019))</f>
        <v/>
      </c>
      <c r="D6019">
        <f>IF(B6019="","",HOUR(A6019))</f>
        <v/>
      </c>
    </row>
    <row r="6020">
      <c r="A6020">
        <f>Input!A6020</f>
        <v/>
      </c>
      <c r="B6020">
        <f>IF(ISNUMBER(Input!B6020),IF(AND(Input!B6020&gt;=20,Input!B6020&lt;=700),Input!B6020,""),"")</f>
        <v/>
      </c>
      <c r="C6020">
        <f>IF(B6020="","",INT(A6020))</f>
        <v/>
      </c>
      <c r="D6020">
        <f>IF(B6020="","",HOUR(A6020))</f>
        <v/>
      </c>
    </row>
    <row r="6021">
      <c r="A6021">
        <f>Input!A6021</f>
        <v/>
      </c>
      <c r="B6021">
        <f>IF(ISNUMBER(Input!B6021),IF(AND(Input!B6021&gt;=20,Input!B6021&lt;=700),Input!B6021,""),"")</f>
        <v/>
      </c>
      <c r="C6021">
        <f>IF(B6021="","",INT(A6021))</f>
        <v/>
      </c>
      <c r="D6021">
        <f>IF(B6021="","",HOUR(A6021))</f>
        <v/>
      </c>
    </row>
    <row r="6022">
      <c r="A6022">
        <f>Input!A6022</f>
        <v/>
      </c>
      <c r="B6022">
        <f>IF(ISNUMBER(Input!B6022),IF(AND(Input!B6022&gt;=20,Input!B6022&lt;=700),Input!B6022,""),"")</f>
        <v/>
      </c>
      <c r="C6022">
        <f>IF(B6022="","",INT(A6022))</f>
        <v/>
      </c>
      <c r="D6022">
        <f>IF(B6022="","",HOUR(A6022))</f>
        <v/>
      </c>
    </row>
    <row r="6023">
      <c r="A6023">
        <f>Input!A6023</f>
        <v/>
      </c>
      <c r="B6023">
        <f>IF(ISNUMBER(Input!B6023),IF(AND(Input!B6023&gt;=20,Input!B6023&lt;=700),Input!B6023,""),"")</f>
        <v/>
      </c>
      <c r="C6023">
        <f>IF(B6023="","",INT(A6023))</f>
        <v/>
      </c>
      <c r="D6023">
        <f>IF(B6023="","",HOUR(A6023))</f>
        <v/>
      </c>
    </row>
    <row r="6024">
      <c r="A6024">
        <f>Input!A6024</f>
        <v/>
      </c>
      <c r="B6024">
        <f>IF(ISNUMBER(Input!B6024),IF(AND(Input!B6024&gt;=20,Input!B6024&lt;=700),Input!B6024,""),"")</f>
        <v/>
      </c>
      <c r="C6024">
        <f>IF(B6024="","",INT(A6024))</f>
        <v/>
      </c>
      <c r="D6024">
        <f>IF(B6024="","",HOUR(A6024))</f>
        <v/>
      </c>
    </row>
    <row r="6025">
      <c r="A6025">
        <f>Input!A6025</f>
        <v/>
      </c>
      <c r="B6025">
        <f>IF(ISNUMBER(Input!B6025),IF(AND(Input!B6025&gt;=20,Input!B6025&lt;=700),Input!B6025,""),"")</f>
        <v/>
      </c>
      <c r="C6025">
        <f>IF(B6025="","",INT(A6025))</f>
        <v/>
      </c>
      <c r="D6025">
        <f>IF(B6025="","",HOUR(A6025))</f>
        <v/>
      </c>
    </row>
    <row r="6026">
      <c r="A6026">
        <f>Input!A6026</f>
        <v/>
      </c>
      <c r="B6026">
        <f>IF(ISNUMBER(Input!B6026),IF(AND(Input!B6026&gt;=20,Input!B6026&lt;=700),Input!B6026,""),"")</f>
        <v/>
      </c>
      <c r="C6026">
        <f>IF(B6026="","",INT(A6026))</f>
        <v/>
      </c>
      <c r="D6026">
        <f>IF(B6026="","",HOUR(A6026))</f>
        <v/>
      </c>
    </row>
    <row r="6027">
      <c r="A6027">
        <f>Input!A6027</f>
        <v/>
      </c>
      <c r="B6027">
        <f>IF(ISNUMBER(Input!B6027),IF(AND(Input!B6027&gt;=20,Input!B6027&lt;=700),Input!B6027,""),"")</f>
        <v/>
      </c>
      <c r="C6027">
        <f>IF(B6027="","",INT(A6027))</f>
        <v/>
      </c>
      <c r="D6027">
        <f>IF(B6027="","",HOUR(A6027))</f>
        <v/>
      </c>
    </row>
    <row r="6028">
      <c r="A6028">
        <f>Input!A6028</f>
        <v/>
      </c>
      <c r="B6028">
        <f>IF(ISNUMBER(Input!B6028),IF(AND(Input!B6028&gt;=20,Input!B6028&lt;=700),Input!B6028,""),"")</f>
        <v/>
      </c>
      <c r="C6028">
        <f>IF(B6028="","",INT(A6028))</f>
        <v/>
      </c>
      <c r="D6028">
        <f>IF(B6028="","",HOUR(A6028))</f>
        <v/>
      </c>
    </row>
    <row r="6029">
      <c r="A6029">
        <f>Input!A6029</f>
        <v/>
      </c>
      <c r="B6029">
        <f>IF(ISNUMBER(Input!B6029),IF(AND(Input!B6029&gt;=20,Input!B6029&lt;=700),Input!B6029,""),"")</f>
        <v/>
      </c>
      <c r="C6029">
        <f>IF(B6029="","",INT(A6029))</f>
        <v/>
      </c>
      <c r="D6029">
        <f>IF(B6029="","",HOUR(A6029))</f>
        <v/>
      </c>
    </row>
    <row r="6030">
      <c r="A6030">
        <f>Input!A6030</f>
        <v/>
      </c>
      <c r="B6030">
        <f>IF(ISNUMBER(Input!B6030),IF(AND(Input!B6030&gt;=20,Input!B6030&lt;=700),Input!B6030,""),"")</f>
        <v/>
      </c>
      <c r="C6030">
        <f>IF(B6030="","",INT(A6030))</f>
        <v/>
      </c>
      <c r="D6030">
        <f>IF(B6030="","",HOUR(A6030))</f>
        <v/>
      </c>
    </row>
    <row r="6031">
      <c r="A6031">
        <f>Input!A6031</f>
        <v/>
      </c>
      <c r="B6031">
        <f>IF(ISNUMBER(Input!B6031),IF(AND(Input!B6031&gt;=20,Input!B6031&lt;=700),Input!B6031,""),"")</f>
        <v/>
      </c>
      <c r="C6031">
        <f>IF(B6031="","",INT(A6031))</f>
        <v/>
      </c>
      <c r="D6031">
        <f>IF(B6031="","",HOUR(A6031))</f>
        <v/>
      </c>
    </row>
    <row r="6032">
      <c r="A6032">
        <f>Input!A6032</f>
        <v/>
      </c>
      <c r="B6032">
        <f>IF(ISNUMBER(Input!B6032),IF(AND(Input!B6032&gt;=20,Input!B6032&lt;=700),Input!B6032,""),"")</f>
        <v/>
      </c>
      <c r="C6032">
        <f>IF(B6032="","",INT(A6032))</f>
        <v/>
      </c>
      <c r="D6032">
        <f>IF(B6032="","",HOUR(A6032))</f>
        <v/>
      </c>
    </row>
    <row r="6033">
      <c r="A6033">
        <f>Input!A6033</f>
        <v/>
      </c>
      <c r="B6033">
        <f>IF(ISNUMBER(Input!B6033),IF(AND(Input!B6033&gt;=20,Input!B6033&lt;=700),Input!B6033,""),"")</f>
        <v/>
      </c>
      <c r="C6033">
        <f>IF(B6033="","",INT(A6033))</f>
        <v/>
      </c>
      <c r="D6033">
        <f>IF(B6033="","",HOUR(A6033))</f>
        <v/>
      </c>
    </row>
    <row r="6034">
      <c r="A6034">
        <f>Input!A6034</f>
        <v/>
      </c>
      <c r="B6034">
        <f>IF(ISNUMBER(Input!B6034),IF(AND(Input!B6034&gt;=20,Input!B6034&lt;=700),Input!B6034,""),"")</f>
        <v/>
      </c>
      <c r="C6034">
        <f>IF(B6034="","",INT(A6034))</f>
        <v/>
      </c>
      <c r="D6034">
        <f>IF(B6034="","",HOUR(A6034))</f>
        <v/>
      </c>
    </row>
    <row r="6035">
      <c r="A6035">
        <f>Input!A6035</f>
        <v/>
      </c>
      <c r="B6035">
        <f>IF(ISNUMBER(Input!B6035),IF(AND(Input!B6035&gt;=20,Input!B6035&lt;=700),Input!B6035,""),"")</f>
        <v/>
      </c>
      <c r="C6035">
        <f>IF(B6035="","",INT(A6035))</f>
        <v/>
      </c>
      <c r="D6035">
        <f>IF(B6035="","",HOUR(A6035))</f>
        <v/>
      </c>
    </row>
    <row r="6036">
      <c r="A6036">
        <f>Input!A6036</f>
        <v/>
      </c>
      <c r="B6036">
        <f>IF(ISNUMBER(Input!B6036),IF(AND(Input!B6036&gt;=20,Input!B6036&lt;=700),Input!B6036,""),"")</f>
        <v/>
      </c>
      <c r="C6036">
        <f>IF(B6036="","",INT(A6036))</f>
        <v/>
      </c>
      <c r="D6036">
        <f>IF(B6036="","",HOUR(A6036))</f>
        <v/>
      </c>
    </row>
    <row r="6037">
      <c r="A6037">
        <f>Input!A6037</f>
        <v/>
      </c>
      <c r="B6037">
        <f>IF(ISNUMBER(Input!B6037),IF(AND(Input!B6037&gt;=20,Input!B6037&lt;=700),Input!B6037,""),"")</f>
        <v/>
      </c>
      <c r="C6037">
        <f>IF(B6037="","",INT(A6037))</f>
        <v/>
      </c>
      <c r="D6037">
        <f>IF(B6037="","",HOUR(A6037))</f>
        <v/>
      </c>
    </row>
    <row r="6038">
      <c r="A6038">
        <f>Input!A6038</f>
        <v/>
      </c>
      <c r="B6038">
        <f>IF(ISNUMBER(Input!B6038),IF(AND(Input!B6038&gt;=20,Input!B6038&lt;=700),Input!B6038,""),"")</f>
        <v/>
      </c>
      <c r="C6038">
        <f>IF(B6038="","",INT(A6038))</f>
        <v/>
      </c>
      <c r="D6038">
        <f>IF(B6038="","",HOUR(A6038))</f>
        <v/>
      </c>
    </row>
    <row r="6039">
      <c r="A6039">
        <f>Input!A6039</f>
        <v/>
      </c>
      <c r="B6039">
        <f>IF(ISNUMBER(Input!B6039),IF(AND(Input!B6039&gt;=20,Input!B6039&lt;=700),Input!B6039,""),"")</f>
        <v/>
      </c>
      <c r="C6039">
        <f>IF(B6039="","",INT(A6039))</f>
        <v/>
      </c>
      <c r="D6039">
        <f>IF(B6039="","",HOUR(A6039))</f>
        <v/>
      </c>
    </row>
    <row r="6040">
      <c r="A6040">
        <f>Input!A6040</f>
        <v/>
      </c>
      <c r="B6040">
        <f>IF(ISNUMBER(Input!B6040),IF(AND(Input!B6040&gt;=20,Input!B6040&lt;=700),Input!B6040,""),"")</f>
        <v/>
      </c>
      <c r="C6040">
        <f>IF(B6040="","",INT(A6040))</f>
        <v/>
      </c>
      <c r="D6040">
        <f>IF(B6040="","",HOUR(A6040))</f>
        <v/>
      </c>
    </row>
    <row r="6041">
      <c r="A6041">
        <f>Input!A6041</f>
        <v/>
      </c>
      <c r="B6041">
        <f>IF(ISNUMBER(Input!B6041),IF(AND(Input!B6041&gt;=20,Input!B6041&lt;=700),Input!B6041,""),"")</f>
        <v/>
      </c>
      <c r="C6041">
        <f>IF(B6041="","",INT(A6041))</f>
        <v/>
      </c>
      <c r="D6041">
        <f>IF(B6041="","",HOUR(A6041))</f>
        <v/>
      </c>
    </row>
    <row r="6042">
      <c r="A6042">
        <f>Input!A6042</f>
        <v/>
      </c>
      <c r="B6042">
        <f>IF(ISNUMBER(Input!B6042),IF(AND(Input!B6042&gt;=20,Input!B6042&lt;=700),Input!B6042,""),"")</f>
        <v/>
      </c>
      <c r="C6042">
        <f>IF(B6042="","",INT(A6042))</f>
        <v/>
      </c>
      <c r="D6042">
        <f>IF(B6042="","",HOUR(A6042))</f>
        <v/>
      </c>
    </row>
    <row r="6043">
      <c r="A6043">
        <f>Input!A6043</f>
        <v/>
      </c>
      <c r="B6043">
        <f>IF(ISNUMBER(Input!B6043),IF(AND(Input!B6043&gt;=20,Input!B6043&lt;=700),Input!B6043,""),"")</f>
        <v/>
      </c>
      <c r="C6043">
        <f>IF(B6043="","",INT(A6043))</f>
        <v/>
      </c>
      <c r="D6043">
        <f>IF(B6043="","",HOUR(A6043))</f>
        <v/>
      </c>
    </row>
    <row r="6044">
      <c r="A6044">
        <f>Input!A6044</f>
        <v/>
      </c>
      <c r="B6044">
        <f>IF(ISNUMBER(Input!B6044),IF(AND(Input!B6044&gt;=20,Input!B6044&lt;=700),Input!B6044,""),"")</f>
        <v/>
      </c>
      <c r="C6044">
        <f>IF(B6044="","",INT(A6044))</f>
        <v/>
      </c>
      <c r="D6044">
        <f>IF(B6044="","",HOUR(A6044))</f>
        <v/>
      </c>
    </row>
    <row r="6045">
      <c r="A6045">
        <f>Input!A6045</f>
        <v/>
      </c>
      <c r="B6045">
        <f>IF(ISNUMBER(Input!B6045),IF(AND(Input!B6045&gt;=20,Input!B6045&lt;=700),Input!B6045,""),"")</f>
        <v/>
      </c>
      <c r="C6045">
        <f>IF(B6045="","",INT(A6045))</f>
        <v/>
      </c>
      <c r="D6045">
        <f>IF(B6045="","",HOUR(A6045))</f>
        <v/>
      </c>
    </row>
    <row r="6046">
      <c r="A6046">
        <f>Input!A6046</f>
        <v/>
      </c>
      <c r="B6046">
        <f>IF(ISNUMBER(Input!B6046),IF(AND(Input!B6046&gt;=20,Input!B6046&lt;=700),Input!B6046,""),"")</f>
        <v/>
      </c>
      <c r="C6046">
        <f>IF(B6046="","",INT(A6046))</f>
        <v/>
      </c>
      <c r="D6046">
        <f>IF(B6046="","",HOUR(A6046))</f>
        <v/>
      </c>
    </row>
    <row r="6047">
      <c r="A6047">
        <f>Input!A6047</f>
        <v/>
      </c>
      <c r="B6047">
        <f>IF(ISNUMBER(Input!B6047),IF(AND(Input!B6047&gt;=20,Input!B6047&lt;=700),Input!B6047,""),"")</f>
        <v/>
      </c>
      <c r="C6047">
        <f>IF(B6047="","",INT(A6047))</f>
        <v/>
      </c>
      <c r="D6047">
        <f>IF(B6047="","",HOUR(A6047))</f>
        <v/>
      </c>
    </row>
    <row r="6048">
      <c r="A6048">
        <f>Input!A6048</f>
        <v/>
      </c>
      <c r="B6048">
        <f>IF(ISNUMBER(Input!B6048),IF(AND(Input!B6048&gt;=20,Input!B6048&lt;=700),Input!B6048,""),"")</f>
        <v/>
      </c>
      <c r="C6048">
        <f>IF(B6048="","",INT(A6048))</f>
        <v/>
      </c>
      <c r="D6048">
        <f>IF(B6048="","",HOUR(A6048))</f>
        <v/>
      </c>
    </row>
    <row r="6049">
      <c r="A6049">
        <f>Input!A6049</f>
        <v/>
      </c>
      <c r="B6049">
        <f>IF(ISNUMBER(Input!B6049),IF(AND(Input!B6049&gt;=20,Input!B6049&lt;=700),Input!B6049,""),"")</f>
        <v/>
      </c>
      <c r="C6049">
        <f>IF(B6049="","",INT(A6049))</f>
        <v/>
      </c>
      <c r="D6049">
        <f>IF(B6049="","",HOUR(A6049))</f>
        <v/>
      </c>
    </row>
    <row r="6050">
      <c r="A6050">
        <f>Input!A6050</f>
        <v/>
      </c>
      <c r="B6050">
        <f>IF(ISNUMBER(Input!B6050),IF(AND(Input!B6050&gt;=20,Input!B6050&lt;=700),Input!B6050,""),"")</f>
        <v/>
      </c>
      <c r="C6050">
        <f>IF(B6050="","",INT(A6050))</f>
        <v/>
      </c>
      <c r="D6050">
        <f>IF(B6050="","",HOUR(A6050))</f>
        <v/>
      </c>
    </row>
    <row r="6051">
      <c r="A6051">
        <f>Input!A6051</f>
        <v/>
      </c>
      <c r="B6051">
        <f>IF(ISNUMBER(Input!B6051),IF(AND(Input!B6051&gt;=20,Input!B6051&lt;=700),Input!B6051,""),"")</f>
        <v/>
      </c>
      <c r="C6051">
        <f>IF(B6051="","",INT(A6051))</f>
        <v/>
      </c>
      <c r="D6051">
        <f>IF(B6051="","",HOUR(A6051))</f>
        <v/>
      </c>
    </row>
    <row r="6052">
      <c r="A6052">
        <f>Input!A6052</f>
        <v/>
      </c>
      <c r="B6052">
        <f>IF(ISNUMBER(Input!B6052),IF(AND(Input!B6052&gt;=20,Input!B6052&lt;=700),Input!B6052,""),"")</f>
        <v/>
      </c>
      <c r="C6052">
        <f>IF(B6052="","",INT(A6052))</f>
        <v/>
      </c>
      <c r="D6052">
        <f>IF(B6052="","",HOUR(A6052))</f>
        <v/>
      </c>
    </row>
    <row r="6053">
      <c r="A6053">
        <f>Input!A6053</f>
        <v/>
      </c>
      <c r="B6053">
        <f>IF(ISNUMBER(Input!B6053),IF(AND(Input!B6053&gt;=20,Input!B6053&lt;=700),Input!B6053,""),"")</f>
        <v/>
      </c>
      <c r="C6053">
        <f>IF(B6053="","",INT(A6053))</f>
        <v/>
      </c>
      <c r="D6053">
        <f>IF(B6053="","",HOUR(A6053))</f>
        <v/>
      </c>
    </row>
    <row r="6054">
      <c r="A6054">
        <f>Input!A6054</f>
        <v/>
      </c>
      <c r="B6054">
        <f>IF(ISNUMBER(Input!B6054),IF(AND(Input!B6054&gt;=20,Input!B6054&lt;=700),Input!B6054,""),"")</f>
        <v/>
      </c>
      <c r="C6054">
        <f>IF(B6054="","",INT(A6054))</f>
        <v/>
      </c>
      <c r="D6054">
        <f>IF(B6054="","",HOUR(A6054))</f>
        <v/>
      </c>
    </row>
    <row r="6055">
      <c r="A6055">
        <f>Input!A6055</f>
        <v/>
      </c>
      <c r="B6055">
        <f>IF(ISNUMBER(Input!B6055),IF(AND(Input!B6055&gt;=20,Input!B6055&lt;=700),Input!B6055,""),"")</f>
        <v/>
      </c>
      <c r="C6055">
        <f>IF(B6055="","",INT(A6055))</f>
        <v/>
      </c>
      <c r="D6055">
        <f>IF(B6055="","",HOUR(A6055))</f>
        <v/>
      </c>
    </row>
    <row r="6056">
      <c r="A6056">
        <f>Input!A6056</f>
        <v/>
      </c>
      <c r="B6056">
        <f>IF(ISNUMBER(Input!B6056),IF(AND(Input!B6056&gt;=20,Input!B6056&lt;=700),Input!B6056,""),"")</f>
        <v/>
      </c>
      <c r="C6056">
        <f>IF(B6056="","",INT(A6056))</f>
        <v/>
      </c>
      <c r="D6056">
        <f>IF(B6056="","",HOUR(A6056))</f>
        <v/>
      </c>
    </row>
    <row r="6057">
      <c r="A6057">
        <f>Input!A6057</f>
        <v/>
      </c>
      <c r="B6057">
        <f>IF(ISNUMBER(Input!B6057),IF(AND(Input!B6057&gt;=20,Input!B6057&lt;=700),Input!B6057,""),"")</f>
        <v/>
      </c>
      <c r="C6057">
        <f>IF(B6057="","",INT(A6057))</f>
        <v/>
      </c>
      <c r="D6057">
        <f>IF(B6057="","",HOUR(A6057))</f>
        <v/>
      </c>
    </row>
    <row r="6058">
      <c r="A6058">
        <f>Input!A6058</f>
        <v/>
      </c>
      <c r="B6058">
        <f>IF(ISNUMBER(Input!B6058),IF(AND(Input!B6058&gt;=20,Input!B6058&lt;=700),Input!B6058,""),"")</f>
        <v/>
      </c>
      <c r="C6058">
        <f>IF(B6058="","",INT(A6058))</f>
        <v/>
      </c>
      <c r="D6058">
        <f>IF(B6058="","",HOUR(A6058))</f>
        <v/>
      </c>
    </row>
    <row r="6059">
      <c r="A6059">
        <f>Input!A6059</f>
        <v/>
      </c>
      <c r="B6059">
        <f>IF(ISNUMBER(Input!B6059),IF(AND(Input!B6059&gt;=20,Input!B6059&lt;=700),Input!B6059,""),"")</f>
        <v/>
      </c>
      <c r="C6059">
        <f>IF(B6059="","",INT(A6059))</f>
        <v/>
      </c>
      <c r="D6059">
        <f>IF(B6059="","",HOUR(A6059))</f>
        <v/>
      </c>
    </row>
    <row r="6060">
      <c r="A6060">
        <f>Input!A6060</f>
        <v/>
      </c>
      <c r="B6060">
        <f>IF(ISNUMBER(Input!B6060),IF(AND(Input!B6060&gt;=20,Input!B6060&lt;=700),Input!B6060,""),"")</f>
        <v/>
      </c>
      <c r="C6060">
        <f>IF(B6060="","",INT(A6060))</f>
        <v/>
      </c>
      <c r="D6060">
        <f>IF(B6060="","",HOUR(A6060))</f>
        <v/>
      </c>
    </row>
    <row r="6061">
      <c r="A6061">
        <f>Input!A6061</f>
        <v/>
      </c>
      <c r="B6061">
        <f>IF(ISNUMBER(Input!B6061),IF(AND(Input!B6061&gt;=20,Input!B6061&lt;=700),Input!B6061,""),"")</f>
        <v/>
      </c>
      <c r="C6061">
        <f>IF(B6061="","",INT(A6061))</f>
        <v/>
      </c>
      <c r="D6061">
        <f>IF(B6061="","",HOUR(A6061))</f>
        <v/>
      </c>
    </row>
    <row r="6062">
      <c r="A6062">
        <f>Input!A6062</f>
        <v/>
      </c>
      <c r="B6062">
        <f>IF(ISNUMBER(Input!B6062),IF(AND(Input!B6062&gt;=20,Input!B6062&lt;=700),Input!B6062,""),"")</f>
        <v/>
      </c>
      <c r="C6062">
        <f>IF(B6062="","",INT(A6062))</f>
        <v/>
      </c>
      <c r="D6062">
        <f>IF(B6062="","",HOUR(A6062))</f>
        <v/>
      </c>
    </row>
    <row r="6063">
      <c r="A6063">
        <f>Input!A6063</f>
        <v/>
      </c>
      <c r="B6063">
        <f>IF(ISNUMBER(Input!B6063),IF(AND(Input!B6063&gt;=20,Input!B6063&lt;=700),Input!B6063,""),"")</f>
        <v/>
      </c>
      <c r="C6063">
        <f>IF(B6063="","",INT(A6063))</f>
        <v/>
      </c>
      <c r="D6063">
        <f>IF(B6063="","",HOUR(A6063))</f>
        <v/>
      </c>
    </row>
    <row r="6064">
      <c r="A6064">
        <f>Input!A6064</f>
        <v/>
      </c>
      <c r="B6064">
        <f>IF(ISNUMBER(Input!B6064),IF(AND(Input!B6064&gt;=20,Input!B6064&lt;=700),Input!B6064,""),"")</f>
        <v/>
      </c>
      <c r="C6064">
        <f>IF(B6064="","",INT(A6064))</f>
        <v/>
      </c>
      <c r="D6064">
        <f>IF(B6064="","",HOUR(A6064))</f>
        <v/>
      </c>
    </row>
    <row r="6065">
      <c r="A6065">
        <f>Input!A6065</f>
        <v/>
      </c>
      <c r="B6065">
        <f>IF(ISNUMBER(Input!B6065),IF(AND(Input!B6065&gt;=20,Input!B6065&lt;=700),Input!B6065,""),"")</f>
        <v/>
      </c>
      <c r="C6065">
        <f>IF(B6065="","",INT(A6065))</f>
        <v/>
      </c>
      <c r="D6065">
        <f>IF(B6065="","",HOUR(A6065))</f>
        <v/>
      </c>
    </row>
    <row r="6066">
      <c r="A6066">
        <f>Input!A6066</f>
        <v/>
      </c>
      <c r="B6066">
        <f>IF(ISNUMBER(Input!B6066),IF(AND(Input!B6066&gt;=20,Input!B6066&lt;=700),Input!B6066,""),"")</f>
        <v/>
      </c>
      <c r="C6066">
        <f>IF(B6066="","",INT(A6066))</f>
        <v/>
      </c>
      <c r="D6066">
        <f>IF(B6066="","",HOUR(A6066))</f>
        <v/>
      </c>
    </row>
    <row r="6067">
      <c r="A6067">
        <f>Input!A6067</f>
        <v/>
      </c>
      <c r="B6067">
        <f>IF(ISNUMBER(Input!B6067),IF(AND(Input!B6067&gt;=20,Input!B6067&lt;=700),Input!B6067,""),"")</f>
        <v/>
      </c>
      <c r="C6067">
        <f>IF(B6067="","",INT(A6067))</f>
        <v/>
      </c>
      <c r="D6067">
        <f>IF(B6067="","",HOUR(A6067))</f>
        <v/>
      </c>
    </row>
    <row r="6068">
      <c r="A6068">
        <f>Input!A6068</f>
        <v/>
      </c>
      <c r="B6068">
        <f>IF(ISNUMBER(Input!B6068),IF(AND(Input!B6068&gt;=20,Input!B6068&lt;=700),Input!B6068,""),"")</f>
        <v/>
      </c>
      <c r="C6068">
        <f>IF(B6068="","",INT(A6068))</f>
        <v/>
      </c>
      <c r="D6068">
        <f>IF(B6068="","",HOUR(A6068))</f>
        <v/>
      </c>
    </row>
    <row r="6069">
      <c r="A6069">
        <f>Input!A6069</f>
        <v/>
      </c>
      <c r="B6069">
        <f>IF(ISNUMBER(Input!B6069),IF(AND(Input!B6069&gt;=20,Input!B6069&lt;=700),Input!B6069,""),"")</f>
        <v/>
      </c>
      <c r="C6069">
        <f>IF(B6069="","",INT(A6069))</f>
        <v/>
      </c>
      <c r="D6069">
        <f>IF(B6069="","",HOUR(A6069))</f>
        <v/>
      </c>
    </row>
    <row r="6070">
      <c r="A6070">
        <f>Input!A6070</f>
        <v/>
      </c>
      <c r="B6070">
        <f>IF(ISNUMBER(Input!B6070),IF(AND(Input!B6070&gt;=20,Input!B6070&lt;=700),Input!B6070,""),"")</f>
        <v/>
      </c>
      <c r="C6070">
        <f>IF(B6070="","",INT(A6070))</f>
        <v/>
      </c>
      <c r="D6070">
        <f>IF(B6070="","",HOUR(A6070))</f>
        <v/>
      </c>
    </row>
    <row r="6071">
      <c r="A6071">
        <f>Input!A6071</f>
        <v/>
      </c>
      <c r="B6071">
        <f>IF(ISNUMBER(Input!B6071),IF(AND(Input!B6071&gt;=20,Input!B6071&lt;=700),Input!B6071,""),"")</f>
        <v/>
      </c>
      <c r="C6071">
        <f>IF(B6071="","",INT(A6071))</f>
        <v/>
      </c>
      <c r="D6071">
        <f>IF(B6071="","",HOUR(A6071))</f>
        <v/>
      </c>
    </row>
    <row r="6072">
      <c r="A6072">
        <f>Input!A6072</f>
        <v/>
      </c>
      <c r="B6072">
        <f>IF(ISNUMBER(Input!B6072),IF(AND(Input!B6072&gt;=20,Input!B6072&lt;=700),Input!B6072,""),"")</f>
        <v/>
      </c>
      <c r="C6072">
        <f>IF(B6072="","",INT(A6072))</f>
        <v/>
      </c>
      <c r="D6072">
        <f>IF(B6072="","",HOUR(A6072))</f>
        <v/>
      </c>
    </row>
    <row r="6073">
      <c r="A6073">
        <f>Input!A6073</f>
        <v/>
      </c>
      <c r="B6073">
        <f>IF(ISNUMBER(Input!B6073),IF(AND(Input!B6073&gt;=20,Input!B6073&lt;=700),Input!B6073,""),"")</f>
        <v/>
      </c>
      <c r="C6073">
        <f>IF(B6073="","",INT(A6073))</f>
        <v/>
      </c>
      <c r="D6073">
        <f>IF(B6073="","",HOUR(A6073))</f>
        <v/>
      </c>
    </row>
    <row r="6074">
      <c r="A6074">
        <f>Input!A6074</f>
        <v/>
      </c>
      <c r="B6074">
        <f>IF(ISNUMBER(Input!B6074),IF(AND(Input!B6074&gt;=20,Input!B6074&lt;=700),Input!B6074,""),"")</f>
        <v/>
      </c>
      <c r="C6074">
        <f>IF(B6074="","",INT(A6074))</f>
        <v/>
      </c>
      <c r="D6074">
        <f>IF(B6074="","",HOUR(A6074))</f>
        <v/>
      </c>
    </row>
    <row r="6075">
      <c r="A6075">
        <f>Input!A6075</f>
        <v/>
      </c>
      <c r="B6075">
        <f>IF(ISNUMBER(Input!B6075),IF(AND(Input!B6075&gt;=20,Input!B6075&lt;=700),Input!B6075,""),"")</f>
        <v/>
      </c>
      <c r="C6075">
        <f>IF(B6075="","",INT(A6075))</f>
        <v/>
      </c>
      <c r="D6075">
        <f>IF(B6075="","",HOUR(A6075))</f>
        <v/>
      </c>
    </row>
    <row r="6076">
      <c r="A6076">
        <f>Input!A6076</f>
        <v/>
      </c>
      <c r="B6076">
        <f>IF(ISNUMBER(Input!B6076),IF(AND(Input!B6076&gt;=20,Input!B6076&lt;=700),Input!B6076,""),"")</f>
        <v/>
      </c>
      <c r="C6076">
        <f>IF(B6076="","",INT(A6076))</f>
        <v/>
      </c>
      <c r="D6076">
        <f>IF(B6076="","",HOUR(A6076))</f>
        <v/>
      </c>
    </row>
    <row r="6077">
      <c r="A6077">
        <f>Input!A6077</f>
        <v/>
      </c>
      <c r="B6077">
        <f>IF(ISNUMBER(Input!B6077),IF(AND(Input!B6077&gt;=20,Input!B6077&lt;=700),Input!B6077,""),"")</f>
        <v/>
      </c>
      <c r="C6077">
        <f>IF(B6077="","",INT(A6077))</f>
        <v/>
      </c>
      <c r="D6077">
        <f>IF(B6077="","",HOUR(A6077))</f>
        <v/>
      </c>
    </row>
    <row r="6078">
      <c r="A6078">
        <f>Input!A6078</f>
        <v/>
      </c>
      <c r="B6078">
        <f>IF(ISNUMBER(Input!B6078),IF(AND(Input!B6078&gt;=20,Input!B6078&lt;=700),Input!B6078,""),"")</f>
        <v/>
      </c>
      <c r="C6078">
        <f>IF(B6078="","",INT(A6078))</f>
        <v/>
      </c>
      <c r="D6078">
        <f>IF(B6078="","",HOUR(A6078))</f>
        <v/>
      </c>
    </row>
    <row r="6079">
      <c r="A6079">
        <f>Input!A6079</f>
        <v/>
      </c>
      <c r="B6079">
        <f>IF(ISNUMBER(Input!B6079),IF(AND(Input!B6079&gt;=20,Input!B6079&lt;=700),Input!B6079,""),"")</f>
        <v/>
      </c>
      <c r="C6079">
        <f>IF(B6079="","",INT(A6079))</f>
        <v/>
      </c>
      <c r="D6079">
        <f>IF(B6079="","",HOUR(A6079))</f>
        <v/>
      </c>
    </row>
    <row r="6080">
      <c r="A6080">
        <f>Input!A6080</f>
        <v/>
      </c>
      <c r="B6080">
        <f>IF(ISNUMBER(Input!B6080),IF(AND(Input!B6080&gt;=20,Input!B6080&lt;=700),Input!B6080,""),"")</f>
        <v/>
      </c>
      <c r="C6080">
        <f>IF(B6080="","",INT(A6080))</f>
        <v/>
      </c>
      <c r="D6080">
        <f>IF(B6080="","",HOUR(A6080))</f>
        <v/>
      </c>
    </row>
    <row r="6081">
      <c r="A6081">
        <f>Input!A6081</f>
        <v/>
      </c>
      <c r="B6081">
        <f>IF(ISNUMBER(Input!B6081),IF(AND(Input!B6081&gt;=20,Input!B6081&lt;=700),Input!B6081,""),"")</f>
        <v/>
      </c>
      <c r="C6081">
        <f>IF(B6081="","",INT(A6081))</f>
        <v/>
      </c>
      <c r="D6081">
        <f>IF(B6081="","",HOUR(A6081))</f>
        <v/>
      </c>
    </row>
    <row r="6082">
      <c r="A6082">
        <f>Input!A6082</f>
        <v/>
      </c>
      <c r="B6082">
        <f>IF(ISNUMBER(Input!B6082),IF(AND(Input!B6082&gt;=20,Input!B6082&lt;=700),Input!B6082,""),"")</f>
        <v/>
      </c>
      <c r="C6082">
        <f>IF(B6082="","",INT(A6082))</f>
        <v/>
      </c>
      <c r="D6082">
        <f>IF(B6082="","",HOUR(A6082))</f>
        <v/>
      </c>
    </row>
    <row r="6083">
      <c r="A6083">
        <f>Input!A6083</f>
        <v/>
      </c>
      <c r="B6083">
        <f>IF(ISNUMBER(Input!B6083),IF(AND(Input!B6083&gt;=20,Input!B6083&lt;=700),Input!B6083,""),"")</f>
        <v/>
      </c>
      <c r="C6083">
        <f>IF(B6083="","",INT(A6083))</f>
        <v/>
      </c>
      <c r="D6083">
        <f>IF(B6083="","",HOUR(A6083))</f>
        <v/>
      </c>
    </row>
    <row r="6084">
      <c r="A6084">
        <f>Input!A6084</f>
        <v/>
      </c>
      <c r="B6084">
        <f>IF(ISNUMBER(Input!B6084),IF(AND(Input!B6084&gt;=20,Input!B6084&lt;=700),Input!B6084,""),"")</f>
        <v/>
      </c>
      <c r="C6084">
        <f>IF(B6084="","",INT(A6084))</f>
        <v/>
      </c>
      <c r="D6084">
        <f>IF(B6084="","",HOUR(A6084))</f>
        <v/>
      </c>
    </row>
    <row r="6085">
      <c r="A6085">
        <f>Input!A6085</f>
        <v/>
      </c>
      <c r="B6085">
        <f>IF(ISNUMBER(Input!B6085),IF(AND(Input!B6085&gt;=20,Input!B6085&lt;=700),Input!B6085,""),"")</f>
        <v/>
      </c>
      <c r="C6085">
        <f>IF(B6085="","",INT(A6085))</f>
        <v/>
      </c>
      <c r="D6085">
        <f>IF(B6085="","",HOUR(A6085))</f>
        <v/>
      </c>
    </row>
    <row r="6086">
      <c r="A6086">
        <f>Input!A6086</f>
        <v/>
      </c>
      <c r="B6086">
        <f>IF(ISNUMBER(Input!B6086),IF(AND(Input!B6086&gt;=20,Input!B6086&lt;=700),Input!B6086,""),"")</f>
        <v/>
      </c>
      <c r="C6086">
        <f>IF(B6086="","",INT(A6086))</f>
        <v/>
      </c>
      <c r="D6086">
        <f>IF(B6086="","",HOUR(A6086))</f>
        <v/>
      </c>
    </row>
    <row r="6087">
      <c r="A6087">
        <f>Input!A6087</f>
        <v/>
      </c>
      <c r="B6087">
        <f>IF(ISNUMBER(Input!B6087),IF(AND(Input!B6087&gt;=20,Input!B6087&lt;=700),Input!B6087,""),"")</f>
        <v/>
      </c>
      <c r="C6087">
        <f>IF(B6087="","",INT(A6087))</f>
        <v/>
      </c>
      <c r="D6087">
        <f>IF(B6087="","",HOUR(A6087))</f>
        <v/>
      </c>
    </row>
    <row r="6088">
      <c r="A6088">
        <f>Input!A6088</f>
        <v/>
      </c>
      <c r="B6088">
        <f>IF(ISNUMBER(Input!B6088),IF(AND(Input!B6088&gt;=20,Input!B6088&lt;=700),Input!B6088,""),"")</f>
        <v/>
      </c>
      <c r="C6088">
        <f>IF(B6088="","",INT(A6088))</f>
        <v/>
      </c>
      <c r="D6088">
        <f>IF(B6088="","",HOUR(A6088))</f>
        <v/>
      </c>
    </row>
    <row r="6089">
      <c r="A6089">
        <f>Input!A6089</f>
        <v/>
      </c>
      <c r="B6089">
        <f>IF(ISNUMBER(Input!B6089),IF(AND(Input!B6089&gt;=20,Input!B6089&lt;=700),Input!B6089,""),"")</f>
        <v/>
      </c>
      <c r="C6089">
        <f>IF(B6089="","",INT(A6089))</f>
        <v/>
      </c>
      <c r="D6089">
        <f>IF(B6089="","",HOUR(A6089))</f>
        <v/>
      </c>
    </row>
    <row r="6090">
      <c r="A6090">
        <f>Input!A6090</f>
        <v/>
      </c>
      <c r="B6090">
        <f>IF(ISNUMBER(Input!B6090),IF(AND(Input!B6090&gt;=20,Input!B6090&lt;=700),Input!B6090,""),"")</f>
        <v/>
      </c>
      <c r="C6090">
        <f>IF(B6090="","",INT(A6090))</f>
        <v/>
      </c>
      <c r="D6090">
        <f>IF(B6090="","",HOUR(A6090))</f>
        <v/>
      </c>
    </row>
    <row r="6091">
      <c r="A6091">
        <f>Input!A6091</f>
        <v/>
      </c>
      <c r="B6091">
        <f>IF(ISNUMBER(Input!B6091),IF(AND(Input!B6091&gt;=20,Input!B6091&lt;=700),Input!B6091,""),"")</f>
        <v/>
      </c>
      <c r="C6091">
        <f>IF(B6091="","",INT(A6091))</f>
        <v/>
      </c>
      <c r="D6091">
        <f>IF(B6091="","",HOUR(A6091))</f>
        <v/>
      </c>
    </row>
    <row r="6092">
      <c r="A6092">
        <f>Input!A6092</f>
        <v/>
      </c>
      <c r="B6092">
        <f>IF(ISNUMBER(Input!B6092),IF(AND(Input!B6092&gt;=20,Input!B6092&lt;=700),Input!B6092,""),"")</f>
        <v/>
      </c>
      <c r="C6092">
        <f>IF(B6092="","",INT(A6092))</f>
        <v/>
      </c>
      <c r="D6092">
        <f>IF(B6092="","",HOUR(A6092))</f>
        <v/>
      </c>
    </row>
    <row r="6093">
      <c r="A6093">
        <f>Input!A6093</f>
        <v/>
      </c>
      <c r="B6093">
        <f>IF(ISNUMBER(Input!B6093),IF(AND(Input!B6093&gt;=20,Input!B6093&lt;=700),Input!B6093,""),"")</f>
        <v/>
      </c>
      <c r="C6093">
        <f>IF(B6093="","",INT(A6093))</f>
        <v/>
      </c>
      <c r="D6093">
        <f>IF(B6093="","",HOUR(A6093))</f>
        <v/>
      </c>
    </row>
    <row r="6094">
      <c r="A6094">
        <f>Input!A6094</f>
        <v/>
      </c>
      <c r="B6094">
        <f>IF(ISNUMBER(Input!B6094),IF(AND(Input!B6094&gt;=20,Input!B6094&lt;=700),Input!B6094,""),"")</f>
        <v/>
      </c>
      <c r="C6094">
        <f>IF(B6094="","",INT(A6094))</f>
        <v/>
      </c>
      <c r="D6094">
        <f>IF(B6094="","",HOUR(A6094))</f>
        <v/>
      </c>
    </row>
    <row r="6095">
      <c r="A6095">
        <f>Input!A6095</f>
        <v/>
      </c>
      <c r="B6095">
        <f>IF(ISNUMBER(Input!B6095),IF(AND(Input!B6095&gt;=20,Input!B6095&lt;=700),Input!B6095,""),"")</f>
        <v/>
      </c>
      <c r="C6095">
        <f>IF(B6095="","",INT(A6095))</f>
        <v/>
      </c>
      <c r="D6095">
        <f>IF(B6095="","",HOUR(A6095))</f>
        <v/>
      </c>
    </row>
    <row r="6096">
      <c r="A6096">
        <f>Input!A6096</f>
        <v/>
      </c>
      <c r="B6096">
        <f>IF(ISNUMBER(Input!B6096),IF(AND(Input!B6096&gt;=20,Input!B6096&lt;=700),Input!B6096,""),"")</f>
        <v/>
      </c>
      <c r="C6096">
        <f>IF(B6096="","",INT(A6096))</f>
        <v/>
      </c>
      <c r="D6096">
        <f>IF(B6096="","",HOUR(A6096))</f>
        <v/>
      </c>
    </row>
    <row r="6097">
      <c r="A6097">
        <f>Input!A6097</f>
        <v/>
      </c>
      <c r="B6097">
        <f>IF(ISNUMBER(Input!B6097),IF(AND(Input!B6097&gt;=20,Input!B6097&lt;=700),Input!B6097,""),"")</f>
        <v/>
      </c>
      <c r="C6097">
        <f>IF(B6097="","",INT(A6097))</f>
        <v/>
      </c>
      <c r="D6097">
        <f>IF(B6097="","",HOUR(A6097))</f>
        <v/>
      </c>
    </row>
    <row r="6098">
      <c r="A6098">
        <f>Input!A6098</f>
        <v/>
      </c>
      <c r="B6098">
        <f>IF(ISNUMBER(Input!B6098),IF(AND(Input!B6098&gt;=20,Input!B6098&lt;=700),Input!B6098,""),"")</f>
        <v/>
      </c>
      <c r="C6098">
        <f>IF(B6098="","",INT(A6098))</f>
        <v/>
      </c>
      <c r="D6098">
        <f>IF(B6098="","",HOUR(A6098))</f>
        <v/>
      </c>
    </row>
    <row r="6099">
      <c r="A6099">
        <f>Input!A6099</f>
        <v/>
      </c>
      <c r="B6099">
        <f>IF(ISNUMBER(Input!B6099),IF(AND(Input!B6099&gt;=20,Input!B6099&lt;=700),Input!B6099,""),"")</f>
        <v/>
      </c>
      <c r="C6099">
        <f>IF(B6099="","",INT(A6099))</f>
        <v/>
      </c>
      <c r="D6099">
        <f>IF(B6099="","",HOUR(A6099))</f>
        <v/>
      </c>
    </row>
    <row r="6100">
      <c r="A6100">
        <f>Input!A6100</f>
        <v/>
      </c>
      <c r="B6100">
        <f>IF(ISNUMBER(Input!B6100),IF(AND(Input!B6100&gt;=20,Input!B6100&lt;=700),Input!B6100,""),"")</f>
        <v/>
      </c>
      <c r="C6100">
        <f>IF(B6100="","",INT(A6100))</f>
        <v/>
      </c>
      <c r="D6100">
        <f>IF(B6100="","",HOUR(A6100))</f>
        <v/>
      </c>
    </row>
    <row r="6101">
      <c r="A6101">
        <f>Input!A6101</f>
        <v/>
      </c>
      <c r="B6101">
        <f>IF(ISNUMBER(Input!B6101),IF(AND(Input!B6101&gt;=20,Input!B6101&lt;=700),Input!B6101,""),"")</f>
        <v/>
      </c>
      <c r="C6101">
        <f>IF(B6101="","",INT(A6101))</f>
        <v/>
      </c>
      <c r="D6101">
        <f>IF(B6101="","",HOUR(A6101))</f>
        <v/>
      </c>
    </row>
    <row r="6102">
      <c r="A6102">
        <f>Input!A6102</f>
        <v/>
      </c>
      <c r="B6102">
        <f>IF(ISNUMBER(Input!B6102),IF(AND(Input!B6102&gt;=20,Input!B6102&lt;=700),Input!B6102,""),"")</f>
        <v/>
      </c>
      <c r="C6102">
        <f>IF(B6102="","",INT(A6102))</f>
        <v/>
      </c>
      <c r="D6102">
        <f>IF(B6102="","",HOUR(A6102))</f>
        <v/>
      </c>
    </row>
    <row r="6103">
      <c r="A6103">
        <f>Input!A6103</f>
        <v/>
      </c>
      <c r="B6103">
        <f>IF(ISNUMBER(Input!B6103),IF(AND(Input!B6103&gt;=20,Input!B6103&lt;=700),Input!B6103,""),"")</f>
        <v/>
      </c>
      <c r="C6103">
        <f>IF(B6103="","",INT(A6103))</f>
        <v/>
      </c>
      <c r="D6103">
        <f>IF(B6103="","",HOUR(A6103))</f>
        <v/>
      </c>
    </row>
    <row r="6104">
      <c r="A6104">
        <f>Input!A6104</f>
        <v/>
      </c>
      <c r="B6104">
        <f>IF(ISNUMBER(Input!B6104),IF(AND(Input!B6104&gt;=20,Input!B6104&lt;=700),Input!B6104,""),"")</f>
        <v/>
      </c>
      <c r="C6104">
        <f>IF(B6104="","",INT(A6104))</f>
        <v/>
      </c>
      <c r="D6104">
        <f>IF(B6104="","",HOUR(A6104))</f>
        <v/>
      </c>
    </row>
    <row r="6105">
      <c r="A6105">
        <f>Input!A6105</f>
        <v/>
      </c>
      <c r="B6105">
        <f>IF(ISNUMBER(Input!B6105),IF(AND(Input!B6105&gt;=20,Input!B6105&lt;=700),Input!B6105,""),"")</f>
        <v/>
      </c>
      <c r="C6105">
        <f>IF(B6105="","",INT(A6105))</f>
        <v/>
      </c>
      <c r="D6105">
        <f>IF(B6105="","",HOUR(A6105))</f>
        <v/>
      </c>
    </row>
    <row r="6106">
      <c r="A6106">
        <f>Input!A6106</f>
        <v/>
      </c>
      <c r="B6106">
        <f>IF(ISNUMBER(Input!B6106),IF(AND(Input!B6106&gt;=20,Input!B6106&lt;=700),Input!B6106,""),"")</f>
        <v/>
      </c>
      <c r="C6106">
        <f>IF(B6106="","",INT(A6106))</f>
        <v/>
      </c>
      <c r="D6106">
        <f>IF(B6106="","",HOUR(A6106))</f>
        <v/>
      </c>
    </row>
    <row r="6107">
      <c r="A6107">
        <f>Input!A6107</f>
        <v/>
      </c>
      <c r="B6107">
        <f>IF(ISNUMBER(Input!B6107),IF(AND(Input!B6107&gt;=20,Input!B6107&lt;=700),Input!B6107,""),"")</f>
        <v/>
      </c>
      <c r="C6107">
        <f>IF(B6107="","",INT(A6107))</f>
        <v/>
      </c>
      <c r="D6107">
        <f>IF(B6107="","",HOUR(A6107))</f>
        <v/>
      </c>
    </row>
    <row r="6108">
      <c r="A6108">
        <f>Input!A6108</f>
        <v/>
      </c>
      <c r="B6108">
        <f>IF(ISNUMBER(Input!B6108),IF(AND(Input!B6108&gt;=20,Input!B6108&lt;=700),Input!B6108,""),"")</f>
        <v/>
      </c>
      <c r="C6108">
        <f>IF(B6108="","",INT(A6108))</f>
        <v/>
      </c>
      <c r="D6108">
        <f>IF(B6108="","",HOUR(A6108))</f>
        <v/>
      </c>
    </row>
    <row r="6109">
      <c r="A6109">
        <f>Input!A6109</f>
        <v/>
      </c>
      <c r="B6109">
        <f>IF(ISNUMBER(Input!B6109),IF(AND(Input!B6109&gt;=20,Input!B6109&lt;=700),Input!B6109,""),"")</f>
        <v/>
      </c>
      <c r="C6109">
        <f>IF(B6109="","",INT(A6109))</f>
        <v/>
      </c>
      <c r="D6109">
        <f>IF(B6109="","",HOUR(A6109))</f>
        <v/>
      </c>
    </row>
    <row r="6110">
      <c r="A6110">
        <f>Input!A6110</f>
        <v/>
      </c>
      <c r="B6110">
        <f>IF(ISNUMBER(Input!B6110),IF(AND(Input!B6110&gt;=20,Input!B6110&lt;=700),Input!B6110,""),"")</f>
        <v/>
      </c>
      <c r="C6110">
        <f>IF(B6110="","",INT(A6110))</f>
        <v/>
      </c>
      <c r="D6110">
        <f>IF(B6110="","",HOUR(A6110))</f>
        <v/>
      </c>
    </row>
    <row r="6111">
      <c r="A6111">
        <f>Input!A6111</f>
        <v/>
      </c>
      <c r="B6111">
        <f>IF(ISNUMBER(Input!B6111),IF(AND(Input!B6111&gt;=20,Input!B6111&lt;=700),Input!B6111,""),"")</f>
        <v/>
      </c>
      <c r="C6111">
        <f>IF(B6111="","",INT(A6111))</f>
        <v/>
      </c>
      <c r="D6111">
        <f>IF(B6111="","",HOUR(A6111))</f>
        <v/>
      </c>
    </row>
    <row r="6112">
      <c r="A6112">
        <f>Input!A6112</f>
        <v/>
      </c>
      <c r="B6112">
        <f>IF(ISNUMBER(Input!B6112),IF(AND(Input!B6112&gt;=20,Input!B6112&lt;=700),Input!B6112,""),"")</f>
        <v/>
      </c>
      <c r="C6112">
        <f>IF(B6112="","",INT(A6112))</f>
        <v/>
      </c>
      <c r="D6112">
        <f>IF(B6112="","",HOUR(A6112))</f>
        <v/>
      </c>
    </row>
    <row r="6113">
      <c r="A6113">
        <f>Input!A6113</f>
        <v/>
      </c>
      <c r="B6113">
        <f>IF(ISNUMBER(Input!B6113),IF(AND(Input!B6113&gt;=20,Input!B6113&lt;=700),Input!B6113,""),"")</f>
        <v/>
      </c>
      <c r="C6113">
        <f>IF(B6113="","",INT(A6113))</f>
        <v/>
      </c>
      <c r="D6113">
        <f>IF(B6113="","",HOUR(A6113))</f>
        <v/>
      </c>
    </row>
    <row r="6114">
      <c r="A6114">
        <f>Input!A6114</f>
        <v/>
      </c>
      <c r="B6114">
        <f>IF(ISNUMBER(Input!B6114),IF(AND(Input!B6114&gt;=20,Input!B6114&lt;=700),Input!B6114,""),"")</f>
        <v/>
      </c>
      <c r="C6114">
        <f>IF(B6114="","",INT(A6114))</f>
        <v/>
      </c>
      <c r="D6114">
        <f>IF(B6114="","",HOUR(A6114))</f>
        <v/>
      </c>
    </row>
    <row r="6115">
      <c r="A6115">
        <f>Input!A6115</f>
        <v/>
      </c>
      <c r="B6115">
        <f>IF(ISNUMBER(Input!B6115),IF(AND(Input!B6115&gt;=20,Input!B6115&lt;=700),Input!B6115,""),"")</f>
        <v/>
      </c>
      <c r="C6115">
        <f>IF(B6115="","",INT(A6115))</f>
        <v/>
      </c>
      <c r="D6115">
        <f>IF(B6115="","",HOUR(A6115))</f>
        <v/>
      </c>
    </row>
    <row r="6116">
      <c r="A6116">
        <f>Input!A6116</f>
        <v/>
      </c>
      <c r="B6116">
        <f>IF(ISNUMBER(Input!B6116),IF(AND(Input!B6116&gt;=20,Input!B6116&lt;=700),Input!B6116,""),"")</f>
        <v/>
      </c>
      <c r="C6116">
        <f>IF(B6116="","",INT(A6116))</f>
        <v/>
      </c>
      <c r="D6116">
        <f>IF(B6116="","",HOUR(A6116))</f>
        <v/>
      </c>
    </row>
    <row r="6117">
      <c r="A6117">
        <f>Input!A6117</f>
        <v/>
      </c>
      <c r="B6117">
        <f>IF(ISNUMBER(Input!B6117),IF(AND(Input!B6117&gt;=20,Input!B6117&lt;=700),Input!B6117,""),"")</f>
        <v/>
      </c>
      <c r="C6117">
        <f>IF(B6117="","",INT(A6117))</f>
        <v/>
      </c>
      <c r="D6117">
        <f>IF(B6117="","",HOUR(A6117))</f>
        <v/>
      </c>
    </row>
    <row r="6118">
      <c r="A6118">
        <f>Input!A6118</f>
        <v/>
      </c>
      <c r="B6118">
        <f>IF(ISNUMBER(Input!B6118),IF(AND(Input!B6118&gt;=20,Input!B6118&lt;=700),Input!B6118,""),"")</f>
        <v/>
      </c>
      <c r="C6118">
        <f>IF(B6118="","",INT(A6118))</f>
        <v/>
      </c>
      <c r="D6118">
        <f>IF(B6118="","",HOUR(A6118))</f>
        <v/>
      </c>
    </row>
    <row r="6119">
      <c r="A6119">
        <f>Input!A6119</f>
        <v/>
      </c>
      <c r="B6119">
        <f>IF(ISNUMBER(Input!B6119),IF(AND(Input!B6119&gt;=20,Input!B6119&lt;=700),Input!B6119,""),"")</f>
        <v/>
      </c>
      <c r="C6119">
        <f>IF(B6119="","",INT(A6119))</f>
        <v/>
      </c>
      <c r="D6119">
        <f>IF(B6119="","",HOUR(A6119))</f>
        <v/>
      </c>
    </row>
    <row r="6120">
      <c r="A6120">
        <f>Input!A6120</f>
        <v/>
      </c>
      <c r="B6120">
        <f>IF(ISNUMBER(Input!B6120),IF(AND(Input!B6120&gt;=20,Input!B6120&lt;=700),Input!B6120,""),"")</f>
        <v/>
      </c>
      <c r="C6120">
        <f>IF(B6120="","",INT(A6120))</f>
        <v/>
      </c>
      <c r="D6120">
        <f>IF(B6120="","",HOUR(A6120))</f>
        <v/>
      </c>
    </row>
    <row r="6121">
      <c r="A6121">
        <f>Input!A6121</f>
        <v/>
      </c>
      <c r="B6121">
        <f>IF(ISNUMBER(Input!B6121),IF(AND(Input!B6121&gt;=20,Input!B6121&lt;=700),Input!B6121,""),"")</f>
        <v/>
      </c>
      <c r="C6121">
        <f>IF(B6121="","",INT(A6121))</f>
        <v/>
      </c>
      <c r="D6121">
        <f>IF(B6121="","",HOUR(A6121))</f>
        <v/>
      </c>
    </row>
    <row r="6122">
      <c r="A6122">
        <f>Input!A6122</f>
        <v/>
      </c>
      <c r="B6122">
        <f>IF(ISNUMBER(Input!B6122),IF(AND(Input!B6122&gt;=20,Input!B6122&lt;=700),Input!B6122,""),"")</f>
        <v/>
      </c>
      <c r="C6122">
        <f>IF(B6122="","",INT(A6122))</f>
        <v/>
      </c>
      <c r="D6122">
        <f>IF(B6122="","",HOUR(A6122))</f>
        <v/>
      </c>
    </row>
    <row r="6123">
      <c r="A6123">
        <f>Input!A6123</f>
        <v/>
      </c>
      <c r="B6123">
        <f>IF(ISNUMBER(Input!B6123),IF(AND(Input!B6123&gt;=20,Input!B6123&lt;=700),Input!B6123,""),"")</f>
        <v/>
      </c>
      <c r="C6123">
        <f>IF(B6123="","",INT(A6123))</f>
        <v/>
      </c>
      <c r="D6123">
        <f>IF(B6123="","",HOUR(A6123))</f>
        <v/>
      </c>
    </row>
    <row r="6124">
      <c r="A6124">
        <f>Input!A6124</f>
        <v/>
      </c>
      <c r="B6124">
        <f>IF(ISNUMBER(Input!B6124),IF(AND(Input!B6124&gt;=20,Input!B6124&lt;=700),Input!B6124,""),"")</f>
        <v/>
      </c>
      <c r="C6124">
        <f>IF(B6124="","",INT(A6124))</f>
        <v/>
      </c>
      <c r="D6124">
        <f>IF(B6124="","",HOUR(A6124))</f>
        <v/>
      </c>
    </row>
    <row r="6125">
      <c r="A6125">
        <f>Input!A6125</f>
        <v/>
      </c>
      <c r="B6125">
        <f>IF(ISNUMBER(Input!B6125),IF(AND(Input!B6125&gt;=20,Input!B6125&lt;=700),Input!B6125,""),"")</f>
        <v/>
      </c>
      <c r="C6125">
        <f>IF(B6125="","",INT(A6125))</f>
        <v/>
      </c>
      <c r="D6125">
        <f>IF(B6125="","",HOUR(A6125))</f>
        <v/>
      </c>
    </row>
    <row r="6126">
      <c r="A6126">
        <f>Input!A6126</f>
        <v/>
      </c>
      <c r="B6126">
        <f>IF(ISNUMBER(Input!B6126),IF(AND(Input!B6126&gt;=20,Input!B6126&lt;=700),Input!B6126,""),"")</f>
        <v/>
      </c>
      <c r="C6126">
        <f>IF(B6126="","",INT(A6126))</f>
        <v/>
      </c>
      <c r="D6126">
        <f>IF(B6126="","",HOUR(A6126))</f>
        <v/>
      </c>
    </row>
    <row r="6127">
      <c r="A6127">
        <f>Input!A6127</f>
        <v/>
      </c>
      <c r="B6127">
        <f>IF(ISNUMBER(Input!B6127),IF(AND(Input!B6127&gt;=20,Input!B6127&lt;=700),Input!B6127,""),"")</f>
        <v/>
      </c>
      <c r="C6127">
        <f>IF(B6127="","",INT(A6127))</f>
        <v/>
      </c>
      <c r="D6127">
        <f>IF(B6127="","",HOUR(A6127))</f>
        <v/>
      </c>
    </row>
    <row r="6128">
      <c r="A6128">
        <f>Input!A6128</f>
        <v/>
      </c>
      <c r="B6128">
        <f>IF(ISNUMBER(Input!B6128),IF(AND(Input!B6128&gt;=20,Input!B6128&lt;=700),Input!B6128,""),"")</f>
        <v/>
      </c>
      <c r="C6128">
        <f>IF(B6128="","",INT(A6128))</f>
        <v/>
      </c>
      <c r="D6128">
        <f>IF(B6128="","",HOUR(A6128))</f>
        <v/>
      </c>
    </row>
    <row r="6129">
      <c r="A6129">
        <f>Input!A6129</f>
        <v/>
      </c>
      <c r="B6129">
        <f>IF(ISNUMBER(Input!B6129),IF(AND(Input!B6129&gt;=20,Input!B6129&lt;=700),Input!B6129,""),"")</f>
        <v/>
      </c>
      <c r="C6129">
        <f>IF(B6129="","",INT(A6129))</f>
        <v/>
      </c>
      <c r="D6129">
        <f>IF(B6129="","",HOUR(A6129))</f>
        <v/>
      </c>
    </row>
    <row r="6130">
      <c r="A6130">
        <f>Input!A6130</f>
        <v/>
      </c>
      <c r="B6130">
        <f>IF(ISNUMBER(Input!B6130),IF(AND(Input!B6130&gt;=20,Input!B6130&lt;=700),Input!B6130,""),"")</f>
        <v/>
      </c>
      <c r="C6130">
        <f>IF(B6130="","",INT(A6130))</f>
        <v/>
      </c>
      <c r="D6130">
        <f>IF(B6130="","",HOUR(A6130))</f>
        <v/>
      </c>
    </row>
    <row r="6131">
      <c r="A6131">
        <f>Input!A6131</f>
        <v/>
      </c>
      <c r="B6131">
        <f>IF(ISNUMBER(Input!B6131),IF(AND(Input!B6131&gt;=20,Input!B6131&lt;=700),Input!B6131,""),"")</f>
        <v/>
      </c>
      <c r="C6131">
        <f>IF(B6131="","",INT(A6131))</f>
        <v/>
      </c>
      <c r="D6131">
        <f>IF(B6131="","",HOUR(A6131))</f>
        <v/>
      </c>
    </row>
    <row r="6132">
      <c r="A6132">
        <f>Input!A6132</f>
        <v/>
      </c>
      <c r="B6132">
        <f>IF(ISNUMBER(Input!B6132),IF(AND(Input!B6132&gt;=20,Input!B6132&lt;=700),Input!B6132,""),"")</f>
        <v/>
      </c>
      <c r="C6132">
        <f>IF(B6132="","",INT(A6132))</f>
        <v/>
      </c>
      <c r="D6132">
        <f>IF(B6132="","",HOUR(A6132))</f>
        <v/>
      </c>
    </row>
    <row r="6133">
      <c r="A6133">
        <f>Input!A6133</f>
        <v/>
      </c>
      <c r="B6133">
        <f>IF(ISNUMBER(Input!B6133),IF(AND(Input!B6133&gt;=20,Input!B6133&lt;=700),Input!B6133,""),"")</f>
        <v/>
      </c>
      <c r="C6133">
        <f>IF(B6133="","",INT(A6133))</f>
        <v/>
      </c>
      <c r="D6133">
        <f>IF(B6133="","",HOUR(A6133))</f>
        <v/>
      </c>
    </row>
    <row r="6134">
      <c r="A6134">
        <f>Input!A6134</f>
        <v/>
      </c>
      <c r="B6134">
        <f>IF(ISNUMBER(Input!B6134),IF(AND(Input!B6134&gt;=20,Input!B6134&lt;=700),Input!B6134,""),"")</f>
        <v/>
      </c>
      <c r="C6134">
        <f>IF(B6134="","",INT(A6134))</f>
        <v/>
      </c>
      <c r="D6134">
        <f>IF(B6134="","",HOUR(A6134))</f>
        <v/>
      </c>
    </row>
    <row r="6135">
      <c r="A6135">
        <f>Input!A6135</f>
        <v/>
      </c>
      <c r="B6135">
        <f>IF(ISNUMBER(Input!B6135),IF(AND(Input!B6135&gt;=20,Input!B6135&lt;=700),Input!B6135,""),"")</f>
        <v/>
      </c>
      <c r="C6135">
        <f>IF(B6135="","",INT(A6135))</f>
        <v/>
      </c>
      <c r="D6135">
        <f>IF(B6135="","",HOUR(A6135))</f>
        <v/>
      </c>
    </row>
    <row r="6136">
      <c r="A6136">
        <f>Input!A6136</f>
        <v/>
      </c>
      <c r="B6136">
        <f>IF(ISNUMBER(Input!B6136),IF(AND(Input!B6136&gt;=20,Input!B6136&lt;=700),Input!B6136,""),"")</f>
        <v/>
      </c>
      <c r="C6136">
        <f>IF(B6136="","",INT(A6136))</f>
        <v/>
      </c>
      <c r="D6136">
        <f>IF(B6136="","",HOUR(A6136))</f>
        <v/>
      </c>
    </row>
    <row r="6137">
      <c r="A6137">
        <f>Input!A6137</f>
        <v/>
      </c>
      <c r="B6137">
        <f>IF(ISNUMBER(Input!B6137),IF(AND(Input!B6137&gt;=20,Input!B6137&lt;=700),Input!B6137,""),"")</f>
        <v/>
      </c>
      <c r="C6137">
        <f>IF(B6137="","",INT(A6137))</f>
        <v/>
      </c>
      <c r="D6137">
        <f>IF(B6137="","",HOUR(A6137))</f>
        <v/>
      </c>
    </row>
    <row r="6138">
      <c r="A6138">
        <f>Input!A6138</f>
        <v/>
      </c>
      <c r="B6138">
        <f>IF(ISNUMBER(Input!B6138),IF(AND(Input!B6138&gt;=20,Input!B6138&lt;=700),Input!B6138,""),"")</f>
        <v/>
      </c>
      <c r="C6138">
        <f>IF(B6138="","",INT(A6138))</f>
        <v/>
      </c>
      <c r="D6138">
        <f>IF(B6138="","",HOUR(A6138))</f>
        <v/>
      </c>
    </row>
    <row r="6139">
      <c r="A6139">
        <f>Input!A6139</f>
        <v/>
      </c>
      <c r="B6139">
        <f>IF(ISNUMBER(Input!B6139),IF(AND(Input!B6139&gt;=20,Input!B6139&lt;=700),Input!B6139,""),"")</f>
        <v/>
      </c>
      <c r="C6139">
        <f>IF(B6139="","",INT(A6139))</f>
        <v/>
      </c>
      <c r="D6139">
        <f>IF(B6139="","",HOUR(A6139))</f>
        <v/>
      </c>
    </row>
    <row r="6140">
      <c r="A6140">
        <f>Input!A6140</f>
        <v/>
      </c>
      <c r="B6140">
        <f>IF(ISNUMBER(Input!B6140),IF(AND(Input!B6140&gt;=20,Input!B6140&lt;=700),Input!B6140,""),"")</f>
        <v/>
      </c>
      <c r="C6140">
        <f>IF(B6140="","",INT(A6140))</f>
        <v/>
      </c>
      <c r="D6140">
        <f>IF(B6140="","",HOUR(A6140))</f>
        <v/>
      </c>
    </row>
    <row r="6141">
      <c r="A6141">
        <f>Input!A6141</f>
        <v/>
      </c>
      <c r="B6141">
        <f>IF(ISNUMBER(Input!B6141),IF(AND(Input!B6141&gt;=20,Input!B6141&lt;=700),Input!B6141,""),"")</f>
        <v/>
      </c>
      <c r="C6141">
        <f>IF(B6141="","",INT(A6141))</f>
        <v/>
      </c>
      <c r="D6141">
        <f>IF(B6141="","",HOUR(A6141))</f>
        <v/>
      </c>
    </row>
    <row r="6142">
      <c r="A6142">
        <f>Input!A6142</f>
        <v/>
      </c>
      <c r="B6142">
        <f>IF(ISNUMBER(Input!B6142),IF(AND(Input!B6142&gt;=20,Input!B6142&lt;=700),Input!B6142,""),"")</f>
        <v/>
      </c>
      <c r="C6142">
        <f>IF(B6142="","",INT(A6142))</f>
        <v/>
      </c>
      <c r="D6142">
        <f>IF(B6142="","",HOUR(A6142))</f>
        <v/>
      </c>
    </row>
    <row r="6143">
      <c r="A6143">
        <f>Input!A6143</f>
        <v/>
      </c>
      <c r="B6143">
        <f>IF(ISNUMBER(Input!B6143),IF(AND(Input!B6143&gt;=20,Input!B6143&lt;=700),Input!B6143,""),"")</f>
        <v/>
      </c>
      <c r="C6143">
        <f>IF(B6143="","",INT(A6143))</f>
        <v/>
      </c>
      <c r="D6143">
        <f>IF(B6143="","",HOUR(A6143))</f>
        <v/>
      </c>
    </row>
    <row r="6144">
      <c r="A6144">
        <f>Input!A6144</f>
        <v/>
      </c>
      <c r="B6144">
        <f>IF(ISNUMBER(Input!B6144),IF(AND(Input!B6144&gt;=20,Input!B6144&lt;=700),Input!B6144,""),"")</f>
        <v/>
      </c>
      <c r="C6144">
        <f>IF(B6144="","",INT(A6144))</f>
        <v/>
      </c>
      <c r="D6144">
        <f>IF(B6144="","",HOUR(A6144))</f>
        <v/>
      </c>
    </row>
    <row r="6145">
      <c r="A6145">
        <f>Input!A6145</f>
        <v/>
      </c>
      <c r="B6145">
        <f>IF(ISNUMBER(Input!B6145),IF(AND(Input!B6145&gt;=20,Input!B6145&lt;=700),Input!B6145,""),"")</f>
        <v/>
      </c>
      <c r="C6145">
        <f>IF(B6145="","",INT(A6145))</f>
        <v/>
      </c>
      <c r="D6145">
        <f>IF(B6145="","",HOUR(A6145))</f>
        <v/>
      </c>
    </row>
    <row r="6146">
      <c r="A6146">
        <f>Input!A6146</f>
        <v/>
      </c>
      <c r="B6146">
        <f>IF(ISNUMBER(Input!B6146),IF(AND(Input!B6146&gt;=20,Input!B6146&lt;=700),Input!B6146,""),"")</f>
        <v/>
      </c>
      <c r="C6146">
        <f>IF(B6146="","",INT(A6146))</f>
        <v/>
      </c>
      <c r="D6146">
        <f>IF(B6146="","",HOUR(A6146))</f>
        <v/>
      </c>
    </row>
    <row r="6147">
      <c r="A6147">
        <f>Input!A6147</f>
        <v/>
      </c>
      <c r="B6147">
        <f>IF(ISNUMBER(Input!B6147),IF(AND(Input!B6147&gt;=20,Input!B6147&lt;=700),Input!B6147,""),"")</f>
        <v/>
      </c>
      <c r="C6147">
        <f>IF(B6147="","",INT(A6147))</f>
        <v/>
      </c>
      <c r="D6147">
        <f>IF(B6147="","",HOUR(A6147))</f>
        <v/>
      </c>
    </row>
    <row r="6148">
      <c r="A6148">
        <f>Input!A6148</f>
        <v/>
      </c>
      <c r="B6148">
        <f>IF(ISNUMBER(Input!B6148),IF(AND(Input!B6148&gt;=20,Input!B6148&lt;=700),Input!B6148,""),"")</f>
        <v/>
      </c>
      <c r="C6148">
        <f>IF(B6148="","",INT(A6148))</f>
        <v/>
      </c>
      <c r="D6148">
        <f>IF(B6148="","",HOUR(A6148))</f>
        <v/>
      </c>
    </row>
    <row r="6149">
      <c r="A6149">
        <f>Input!A6149</f>
        <v/>
      </c>
      <c r="B6149">
        <f>IF(ISNUMBER(Input!B6149),IF(AND(Input!B6149&gt;=20,Input!B6149&lt;=700),Input!B6149,""),"")</f>
        <v/>
      </c>
      <c r="C6149">
        <f>IF(B6149="","",INT(A6149))</f>
        <v/>
      </c>
      <c r="D6149">
        <f>IF(B6149="","",HOUR(A6149))</f>
        <v/>
      </c>
    </row>
    <row r="6150">
      <c r="A6150">
        <f>Input!A6150</f>
        <v/>
      </c>
      <c r="B6150">
        <f>IF(ISNUMBER(Input!B6150),IF(AND(Input!B6150&gt;=20,Input!B6150&lt;=700),Input!B6150,""),"")</f>
        <v/>
      </c>
      <c r="C6150">
        <f>IF(B6150="","",INT(A6150))</f>
        <v/>
      </c>
      <c r="D6150">
        <f>IF(B6150="","",HOUR(A6150))</f>
        <v/>
      </c>
    </row>
    <row r="6151">
      <c r="A6151">
        <f>Input!A6151</f>
        <v/>
      </c>
      <c r="B6151">
        <f>IF(ISNUMBER(Input!B6151),IF(AND(Input!B6151&gt;=20,Input!B6151&lt;=700),Input!B6151,""),"")</f>
        <v/>
      </c>
      <c r="C6151">
        <f>IF(B6151="","",INT(A6151))</f>
        <v/>
      </c>
      <c r="D6151">
        <f>IF(B6151="","",HOUR(A6151))</f>
        <v/>
      </c>
    </row>
    <row r="6152">
      <c r="A6152">
        <f>Input!A6152</f>
        <v/>
      </c>
      <c r="B6152">
        <f>IF(ISNUMBER(Input!B6152),IF(AND(Input!B6152&gt;=20,Input!B6152&lt;=700),Input!B6152,""),"")</f>
        <v/>
      </c>
      <c r="C6152">
        <f>IF(B6152="","",INT(A6152))</f>
        <v/>
      </c>
      <c r="D6152">
        <f>IF(B6152="","",HOUR(A6152))</f>
        <v/>
      </c>
    </row>
    <row r="6153">
      <c r="A6153">
        <f>Input!A6153</f>
        <v/>
      </c>
      <c r="B6153">
        <f>IF(ISNUMBER(Input!B6153),IF(AND(Input!B6153&gt;=20,Input!B6153&lt;=700),Input!B6153,""),"")</f>
        <v/>
      </c>
      <c r="C6153">
        <f>IF(B6153="","",INT(A6153))</f>
        <v/>
      </c>
      <c r="D6153">
        <f>IF(B6153="","",HOUR(A6153))</f>
        <v/>
      </c>
    </row>
    <row r="6154">
      <c r="A6154">
        <f>Input!A6154</f>
        <v/>
      </c>
      <c r="B6154">
        <f>IF(ISNUMBER(Input!B6154),IF(AND(Input!B6154&gt;=20,Input!B6154&lt;=700),Input!B6154,""),"")</f>
        <v/>
      </c>
      <c r="C6154">
        <f>IF(B6154="","",INT(A6154))</f>
        <v/>
      </c>
      <c r="D6154">
        <f>IF(B6154="","",HOUR(A6154))</f>
        <v/>
      </c>
    </row>
    <row r="6155">
      <c r="A6155">
        <f>Input!A6155</f>
        <v/>
      </c>
      <c r="B6155">
        <f>IF(ISNUMBER(Input!B6155),IF(AND(Input!B6155&gt;=20,Input!B6155&lt;=700),Input!B6155,""),"")</f>
        <v/>
      </c>
      <c r="C6155">
        <f>IF(B6155="","",INT(A6155))</f>
        <v/>
      </c>
      <c r="D6155">
        <f>IF(B6155="","",HOUR(A6155))</f>
        <v/>
      </c>
    </row>
    <row r="6156">
      <c r="A6156">
        <f>Input!A6156</f>
        <v/>
      </c>
      <c r="B6156">
        <f>IF(ISNUMBER(Input!B6156),IF(AND(Input!B6156&gt;=20,Input!B6156&lt;=700),Input!B6156,""),"")</f>
        <v/>
      </c>
      <c r="C6156">
        <f>IF(B6156="","",INT(A6156))</f>
        <v/>
      </c>
      <c r="D6156">
        <f>IF(B6156="","",HOUR(A6156))</f>
        <v/>
      </c>
    </row>
    <row r="6157">
      <c r="A6157">
        <f>Input!A6157</f>
        <v/>
      </c>
      <c r="B6157">
        <f>IF(ISNUMBER(Input!B6157),IF(AND(Input!B6157&gt;=20,Input!B6157&lt;=700),Input!B6157,""),"")</f>
        <v/>
      </c>
      <c r="C6157">
        <f>IF(B6157="","",INT(A6157))</f>
        <v/>
      </c>
      <c r="D6157">
        <f>IF(B6157="","",HOUR(A6157))</f>
        <v/>
      </c>
    </row>
    <row r="6158">
      <c r="A6158">
        <f>Input!A6158</f>
        <v/>
      </c>
      <c r="B6158">
        <f>IF(ISNUMBER(Input!B6158),IF(AND(Input!B6158&gt;=20,Input!B6158&lt;=700),Input!B6158,""),"")</f>
        <v/>
      </c>
      <c r="C6158">
        <f>IF(B6158="","",INT(A6158))</f>
        <v/>
      </c>
      <c r="D6158">
        <f>IF(B6158="","",HOUR(A6158))</f>
        <v/>
      </c>
    </row>
    <row r="6159">
      <c r="A6159">
        <f>Input!A6159</f>
        <v/>
      </c>
      <c r="B6159">
        <f>IF(ISNUMBER(Input!B6159),IF(AND(Input!B6159&gt;=20,Input!B6159&lt;=700),Input!B6159,""),"")</f>
        <v/>
      </c>
      <c r="C6159">
        <f>IF(B6159="","",INT(A6159))</f>
        <v/>
      </c>
      <c r="D6159">
        <f>IF(B6159="","",HOUR(A6159))</f>
        <v/>
      </c>
    </row>
    <row r="6160">
      <c r="A6160">
        <f>Input!A6160</f>
        <v/>
      </c>
      <c r="B6160">
        <f>IF(ISNUMBER(Input!B6160),IF(AND(Input!B6160&gt;=20,Input!B6160&lt;=700),Input!B6160,""),"")</f>
        <v/>
      </c>
      <c r="C6160">
        <f>IF(B6160="","",INT(A6160))</f>
        <v/>
      </c>
      <c r="D6160">
        <f>IF(B6160="","",HOUR(A6160))</f>
        <v/>
      </c>
    </row>
    <row r="6161">
      <c r="A6161">
        <f>Input!A6161</f>
        <v/>
      </c>
      <c r="B6161">
        <f>IF(ISNUMBER(Input!B6161),IF(AND(Input!B6161&gt;=20,Input!B6161&lt;=700),Input!B6161,""),"")</f>
        <v/>
      </c>
      <c r="C6161">
        <f>IF(B6161="","",INT(A6161))</f>
        <v/>
      </c>
      <c r="D6161">
        <f>IF(B6161="","",HOUR(A6161))</f>
        <v/>
      </c>
    </row>
    <row r="6162">
      <c r="A6162">
        <f>Input!A6162</f>
        <v/>
      </c>
      <c r="B6162">
        <f>IF(ISNUMBER(Input!B6162),IF(AND(Input!B6162&gt;=20,Input!B6162&lt;=700),Input!B6162,""),"")</f>
        <v/>
      </c>
      <c r="C6162">
        <f>IF(B6162="","",INT(A6162))</f>
        <v/>
      </c>
      <c r="D6162">
        <f>IF(B6162="","",HOUR(A6162))</f>
        <v/>
      </c>
    </row>
    <row r="6163">
      <c r="A6163">
        <f>Input!A6163</f>
        <v/>
      </c>
      <c r="B6163">
        <f>IF(ISNUMBER(Input!B6163),IF(AND(Input!B6163&gt;=20,Input!B6163&lt;=700),Input!B6163,""),"")</f>
        <v/>
      </c>
      <c r="C6163">
        <f>IF(B6163="","",INT(A6163))</f>
        <v/>
      </c>
      <c r="D6163">
        <f>IF(B6163="","",HOUR(A6163))</f>
        <v/>
      </c>
    </row>
    <row r="6164">
      <c r="A6164">
        <f>Input!A6164</f>
        <v/>
      </c>
      <c r="B6164">
        <f>IF(ISNUMBER(Input!B6164),IF(AND(Input!B6164&gt;=20,Input!B6164&lt;=700),Input!B6164,""),"")</f>
        <v/>
      </c>
      <c r="C6164">
        <f>IF(B6164="","",INT(A6164))</f>
        <v/>
      </c>
      <c r="D6164">
        <f>IF(B6164="","",HOUR(A6164))</f>
        <v/>
      </c>
    </row>
    <row r="6165">
      <c r="A6165">
        <f>Input!A6165</f>
        <v/>
      </c>
      <c r="B6165">
        <f>IF(ISNUMBER(Input!B6165),IF(AND(Input!B6165&gt;=20,Input!B6165&lt;=700),Input!B6165,""),"")</f>
        <v/>
      </c>
      <c r="C6165">
        <f>IF(B6165="","",INT(A6165))</f>
        <v/>
      </c>
      <c r="D6165">
        <f>IF(B6165="","",HOUR(A6165))</f>
        <v/>
      </c>
    </row>
    <row r="6166">
      <c r="A6166">
        <f>Input!A6166</f>
        <v/>
      </c>
      <c r="B6166">
        <f>IF(ISNUMBER(Input!B6166),IF(AND(Input!B6166&gt;=20,Input!B6166&lt;=700),Input!B6166,""),"")</f>
        <v/>
      </c>
      <c r="C6166">
        <f>IF(B6166="","",INT(A6166))</f>
        <v/>
      </c>
      <c r="D6166">
        <f>IF(B6166="","",HOUR(A6166))</f>
        <v/>
      </c>
    </row>
    <row r="6167">
      <c r="A6167">
        <f>Input!A6167</f>
        <v/>
      </c>
      <c r="B6167">
        <f>IF(ISNUMBER(Input!B6167),IF(AND(Input!B6167&gt;=20,Input!B6167&lt;=700),Input!B6167,""),"")</f>
        <v/>
      </c>
      <c r="C6167">
        <f>IF(B6167="","",INT(A6167))</f>
        <v/>
      </c>
      <c r="D6167">
        <f>IF(B6167="","",HOUR(A6167))</f>
        <v/>
      </c>
    </row>
    <row r="6168">
      <c r="A6168">
        <f>Input!A6168</f>
        <v/>
      </c>
      <c r="B6168">
        <f>IF(ISNUMBER(Input!B6168),IF(AND(Input!B6168&gt;=20,Input!B6168&lt;=700),Input!B6168,""),"")</f>
        <v/>
      </c>
      <c r="C6168">
        <f>IF(B6168="","",INT(A6168))</f>
        <v/>
      </c>
      <c r="D6168">
        <f>IF(B6168="","",HOUR(A6168))</f>
        <v/>
      </c>
    </row>
    <row r="6169">
      <c r="A6169">
        <f>Input!A6169</f>
        <v/>
      </c>
      <c r="B6169">
        <f>IF(ISNUMBER(Input!B6169),IF(AND(Input!B6169&gt;=20,Input!B6169&lt;=700),Input!B6169,""),"")</f>
        <v/>
      </c>
      <c r="C6169">
        <f>IF(B6169="","",INT(A6169))</f>
        <v/>
      </c>
      <c r="D6169">
        <f>IF(B6169="","",HOUR(A6169))</f>
        <v/>
      </c>
    </row>
    <row r="6170">
      <c r="A6170">
        <f>Input!A6170</f>
        <v/>
      </c>
      <c r="B6170">
        <f>IF(ISNUMBER(Input!B6170),IF(AND(Input!B6170&gt;=20,Input!B6170&lt;=700),Input!B6170,""),"")</f>
        <v/>
      </c>
      <c r="C6170">
        <f>IF(B6170="","",INT(A6170))</f>
        <v/>
      </c>
      <c r="D6170">
        <f>IF(B6170="","",HOUR(A6170))</f>
        <v/>
      </c>
    </row>
    <row r="6171">
      <c r="A6171">
        <f>Input!A6171</f>
        <v/>
      </c>
      <c r="B6171">
        <f>IF(ISNUMBER(Input!B6171),IF(AND(Input!B6171&gt;=20,Input!B6171&lt;=700),Input!B6171,""),"")</f>
        <v/>
      </c>
      <c r="C6171">
        <f>IF(B6171="","",INT(A6171))</f>
        <v/>
      </c>
      <c r="D6171">
        <f>IF(B6171="","",HOUR(A6171))</f>
        <v/>
      </c>
    </row>
    <row r="6172">
      <c r="A6172">
        <f>Input!A6172</f>
        <v/>
      </c>
      <c r="B6172">
        <f>IF(ISNUMBER(Input!B6172),IF(AND(Input!B6172&gt;=20,Input!B6172&lt;=700),Input!B6172,""),"")</f>
        <v/>
      </c>
      <c r="C6172">
        <f>IF(B6172="","",INT(A6172))</f>
        <v/>
      </c>
      <c r="D6172">
        <f>IF(B6172="","",HOUR(A6172))</f>
        <v/>
      </c>
    </row>
    <row r="6173">
      <c r="A6173">
        <f>Input!A6173</f>
        <v/>
      </c>
      <c r="B6173">
        <f>IF(ISNUMBER(Input!B6173),IF(AND(Input!B6173&gt;=20,Input!B6173&lt;=700),Input!B6173,""),"")</f>
        <v/>
      </c>
      <c r="C6173">
        <f>IF(B6173="","",INT(A6173))</f>
        <v/>
      </c>
      <c r="D6173">
        <f>IF(B6173="","",HOUR(A6173))</f>
        <v/>
      </c>
    </row>
    <row r="6174">
      <c r="A6174">
        <f>Input!A6174</f>
        <v/>
      </c>
      <c r="B6174">
        <f>IF(ISNUMBER(Input!B6174),IF(AND(Input!B6174&gt;=20,Input!B6174&lt;=700),Input!B6174,""),"")</f>
        <v/>
      </c>
      <c r="C6174">
        <f>IF(B6174="","",INT(A6174))</f>
        <v/>
      </c>
      <c r="D6174">
        <f>IF(B6174="","",HOUR(A6174))</f>
        <v/>
      </c>
    </row>
    <row r="6175">
      <c r="A6175">
        <f>Input!A6175</f>
        <v/>
      </c>
      <c r="B6175">
        <f>IF(ISNUMBER(Input!B6175),IF(AND(Input!B6175&gt;=20,Input!B6175&lt;=700),Input!B6175,""),"")</f>
        <v/>
      </c>
      <c r="C6175">
        <f>IF(B6175="","",INT(A6175))</f>
        <v/>
      </c>
      <c r="D6175">
        <f>IF(B6175="","",HOUR(A6175))</f>
        <v/>
      </c>
    </row>
    <row r="6176">
      <c r="A6176">
        <f>Input!A6176</f>
        <v/>
      </c>
      <c r="B6176">
        <f>IF(ISNUMBER(Input!B6176),IF(AND(Input!B6176&gt;=20,Input!B6176&lt;=700),Input!B6176,""),"")</f>
        <v/>
      </c>
      <c r="C6176">
        <f>IF(B6176="","",INT(A6176))</f>
        <v/>
      </c>
      <c r="D6176">
        <f>IF(B6176="","",HOUR(A6176))</f>
        <v/>
      </c>
    </row>
    <row r="6177">
      <c r="A6177">
        <f>Input!A6177</f>
        <v/>
      </c>
      <c r="B6177">
        <f>IF(ISNUMBER(Input!B6177),IF(AND(Input!B6177&gt;=20,Input!B6177&lt;=700),Input!B6177,""),"")</f>
        <v/>
      </c>
      <c r="C6177">
        <f>IF(B6177="","",INT(A6177))</f>
        <v/>
      </c>
      <c r="D6177">
        <f>IF(B6177="","",HOUR(A6177))</f>
        <v/>
      </c>
    </row>
    <row r="6178">
      <c r="A6178">
        <f>Input!A6178</f>
        <v/>
      </c>
      <c r="B6178">
        <f>IF(ISNUMBER(Input!B6178),IF(AND(Input!B6178&gt;=20,Input!B6178&lt;=700),Input!B6178,""),"")</f>
        <v/>
      </c>
      <c r="C6178">
        <f>IF(B6178="","",INT(A6178))</f>
        <v/>
      </c>
      <c r="D6178">
        <f>IF(B6178="","",HOUR(A6178))</f>
        <v/>
      </c>
    </row>
    <row r="6179">
      <c r="A6179">
        <f>Input!A6179</f>
        <v/>
      </c>
      <c r="B6179">
        <f>IF(ISNUMBER(Input!B6179),IF(AND(Input!B6179&gt;=20,Input!B6179&lt;=700),Input!B6179,""),"")</f>
        <v/>
      </c>
      <c r="C6179">
        <f>IF(B6179="","",INT(A6179))</f>
        <v/>
      </c>
      <c r="D6179">
        <f>IF(B6179="","",HOUR(A6179))</f>
        <v/>
      </c>
    </row>
    <row r="6180">
      <c r="A6180">
        <f>Input!A6180</f>
        <v/>
      </c>
      <c r="B6180">
        <f>IF(ISNUMBER(Input!B6180),IF(AND(Input!B6180&gt;=20,Input!B6180&lt;=700),Input!B6180,""),"")</f>
        <v/>
      </c>
      <c r="C6180">
        <f>IF(B6180="","",INT(A6180))</f>
        <v/>
      </c>
      <c r="D6180">
        <f>IF(B6180="","",HOUR(A6180))</f>
        <v/>
      </c>
    </row>
    <row r="6181">
      <c r="A6181">
        <f>Input!A6181</f>
        <v/>
      </c>
      <c r="B6181">
        <f>IF(ISNUMBER(Input!B6181),IF(AND(Input!B6181&gt;=20,Input!B6181&lt;=700),Input!B6181,""),"")</f>
        <v/>
      </c>
      <c r="C6181">
        <f>IF(B6181="","",INT(A6181))</f>
        <v/>
      </c>
      <c r="D6181">
        <f>IF(B6181="","",HOUR(A6181))</f>
        <v/>
      </c>
    </row>
    <row r="6182">
      <c r="A6182">
        <f>Input!A6182</f>
        <v/>
      </c>
      <c r="B6182">
        <f>IF(ISNUMBER(Input!B6182),IF(AND(Input!B6182&gt;=20,Input!B6182&lt;=700),Input!B6182,""),"")</f>
        <v/>
      </c>
      <c r="C6182">
        <f>IF(B6182="","",INT(A6182))</f>
        <v/>
      </c>
      <c r="D6182">
        <f>IF(B6182="","",HOUR(A6182))</f>
        <v/>
      </c>
    </row>
    <row r="6183">
      <c r="A6183">
        <f>Input!A6183</f>
        <v/>
      </c>
      <c r="B6183">
        <f>IF(ISNUMBER(Input!B6183),IF(AND(Input!B6183&gt;=20,Input!B6183&lt;=700),Input!B6183,""),"")</f>
        <v/>
      </c>
      <c r="C6183">
        <f>IF(B6183="","",INT(A6183))</f>
        <v/>
      </c>
      <c r="D6183">
        <f>IF(B6183="","",HOUR(A6183))</f>
        <v/>
      </c>
    </row>
    <row r="6184">
      <c r="A6184">
        <f>Input!A6184</f>
        <v/>
      </c>
      <c r="B6184">
        <f>IF(ISNUMBER(Input!B6184),IF(AND(Input!B6184&gt;=20,Input!B6184&lt;=700),Input!B6184,""),"")</f>
        <v/>
      </c>
      <c r="C6184">
        <f>IF(B6184="","",INT(A6184))</f>
        <v/>
      </c>
      <c r="D6184">
        <f>IF(B6184="","",HOUR(A6184))</f>
        <v/>
      </c>
    </row>
    <row r="6185">
      <c r="A6185">
        <f>Input!A6185</f>
        <v/>
      </c>
      <c r="B6185">
        <f>IF(ISNUMBER(Input!B6185),IF(AND(Input!B6185&gt;=20,Input!B6185&lt;=700),Input!B6185,""),"")</f>
        <v/>
      </c>
      <c r="C6185">
        <f>IF(B6185="","",INT(A6185))</f>
        <v/>
      </c>
      <c r="D6185">
        <f>IF(B6185="","",HOUR(A6185))</f>
        <v/>
      </c>
    </row>
    <row r="6186">
      <c r="A6186">
        <f>Input!A6186</f>
        <v/>
      </c>
      <c r="B6186">
        <f>IF(ISNUMBER(Input!B6186),IF(AND(Input!B6186&gt;=20,Input!B6186&lt;=700),Input!B6186,""),"")</f>
        <v/>
      </c>
      <c r="C6186">
        <f>IF(B6186="","",INT(A6186))</f>
        <v/>
      </c>
      <c r="D6186">
        <f>IF(B6186="","",HOUR(A6186))</f>
        <v/>
      </c>
    </row>
    <row r="6187">
      <c r="A6187">
        <f>Input!A6187</f>
        <v/>
      </c>
      <c r="B6187">
        <f>IF(ISNUMBER(Input!B6187),IF(AND(Input!B6187&gt;=20,Input!B6187&lt;=700),Input!B6187,""),"")</f>
        <v/>
      </c>
      <c r="C6187">
        <f>IF(B6187="","",INT(A6187))</f>
        <v/>
      </c>
      <c r="D6187">
        <f>IF(B6187="","",HOUR(A6187))</f>
        <v/>
      </c>
    </row>
    <row r="6188">
      <c r="A6188">
        <f>Input!A6188</f>
        <v/>
      </c>
      <c r="B6188">
        <f>IF(ISNUMBER(Input!B6188),IF(AND(Input!B6188&gt;=20,Input!B6188&lt;=700),Input!B6188,""),"")</f>
        <v/>
      </c>
      <c r="C6188">
        <f>IF(B6188="","",INT(A6188))</f>
        <v/>
      </c>
      <c r="D6188">
        <f>IF(B6188="","",HOUR(A6188))</f>
        <v/>
      </c>
    </row>
    <row r="6189">
      <c r="A6189">
        <f>Input!A6189</f>
        <v/>
      </c>
      <c r="B6189">
        <f>IF(ISNUMBER(Input!B6189),IF(AND(Input!B6189&gt;=20,Input!B6189&lt;=700),Input!B6189,""),"")</f>
        <v/>
      </c>
      <c r="C6189">
        <f>IF(B6189="","",INT(A6189))</f>
        <v/>
      </c>
      <c r="D6189">
        <f>IF(B6189="","",HOUR(A6189))</f>
        <v/>
      </c>
    </row>
    <row r="6190">
      <c r="A6190">
        <f>Input!A6190</f>
        <v/>
      </c>
      <c r="B6190">
        <f>IF(ISNUMBER(Input!B6190),IF(AND(Input!B6190&gt;=20,Input!B6190&lt;=700),Input!B6190,""),"")</f>
        <v/>
      </c>
      <c r="C6190">
        <f>IF(B6190="","",INT(A6190))</f>
        <v/>
      </c>
      <c r="D6190">
        <f>IF(B6190="","",HOUR(A6190))</f>
        <v/>
      </c>
    </row>
    <row r="6191">
      <c r="A6191">
        <f>Input!A6191</f>
        <v/>
      </c>
      <c r="B6191">
        <f>IF(ISNUMBER(Input!B6191),IF(AND(Input!B6191&gt;=20,Input!B6191&lt;=700),Input!B6191,""),"")</f>
        <v/>
      </c>
      <c r="C6191">
        <f>IF(B6191="","",INT(A6191))</f>
        <v/>
      </c>
      <c r="D6191">
        <f>IF(B6191="","",HOUR(A6191))</f>
        <v/>
      </c>
    </row>
    <row r="6192">
      <c r="A6192">
        <f>Input!A6192</f>
        <v/>
      </c>
      <c r="B6192">
        <f>IF(ISNUMBER(Input!B6192),IF(AND(Input!B6192&gt;=20,Input!B6192&lt;=700),Input!B6192,""),"")</f>
        <v/>
      </c>
      <c r="C6192">
        <f>IF(B6192="","",INT(A6192))</f>
        <v/>
      </c>
      <c r="D6192">
        <f>IF(B6192="","",HOUR(A6192))</f>
        <v/>
      </c>
    </row>
    <row r="6193">
      <c r="A6193">
        <f>Input!A6193</f>
        <v/>
      </c>
      <c r="B6193">
        <f>IF(ISNUMBER(Input!B6193),IF(AND(Input!B6193&gt;=20,Input!B6193&lt;=700),Input!B6193,""),"")</f>
        <v/>
      </c>
      <c r="C6193">
        <f>IF(B6193="","",INT(A6193))</f>
        <v/>
      </c>
      <c r="D6193">
        <f>IF(B6193="","",HOUR(A6193))</f>
        <v/>
      </c>
    </row>
    <row r="6194">
      <c r="A6194">
        <f>Input!A6194</f>
        <v/>
      </c>
      <c r="B6194">
        <f>IF(ISNUMBER(Input!B6194),IF(AND(Input!B6194&gt;=20,Input!B6194&lt;=700),Input!B6194,""),"")</f>
        <v/>
      </c>
      <c r="C6194">
        <f>IF(B6194="","",INT(A6194))</f>
        <v/>
      </c>
      <c r="D6194">
        <f>IF(B6194="","",HOUR(A6194))</f>
        <v/>
      </c>
    </row>
    <row r="6195">
      <c r="A6195">
        <f>Input!A6195</f>
        <v/>
      </c>
      <c r="B6195">
        <f>IF(ISNUMBER(Input!B6195),IF(AND(Input!B6195&gt;=20,Input!B6195&lt;=700),Input!B6195,""),"")</f>
        <v/>
      </c>
      <c r="C6195">
        <f>IF(B6195="","",INT(A6195))</f>
        <v/>
      </c>
      <c r="D6195">
        <f>IF(B6195="","",HOUR(A6195))</f>
        <v/>
      </c>
    </row>
    <row r="6196">
      <c r="A6196">
        <f>Input!A6196</f>
        <v/>
      </c>
      <c r="B6196">
        <f>IF(ISNUMBER(Input!B6196),IF(AND(Input!B6196&gt;=20,Input!B6196&lt;=700),Input!B6196,""),"")</f>
        <v/>
      </c>
      <c r="C6196">
        <f>IF(B6196="","",INT(A6196))</f>
        <v/>
      </c>
      <c r="D6196">
        <f>IF(B6196="","",HOUR(A6196))</f>
        <v/>
      </c>
    </row>
    <row r="6197">
      <c r="A6197">
        <f>Input!A6197</f>
        <v/>
      </c>
      <c r="B6197">
        <f>IF(ISNUMBER(Input!B6197),IF(AND(Input!B6197&gt;=20,Input!B6197&lt;=700),Input!B6197,""),"")</f>
        <v/>
      </c>
      <c r="C6197">
        <f>IF(B6197="","",INT(A6197))</f>
        <v/>
      </c>
      <c r="D6197">
        <f>IF(B6197="","",HOUR(A6197))</f>
        <v/>
      </c>
    </row>
    <row r="6198">
      <c r="A6198">
        <f>Input!A6198</f>
        <v/>
      </c>
      <c r="B6198">
        <f>IF(ISNUMBER(Input!B6198),IF(AND(Input!B6198&gt;=20,Input!B6198&lt;=700),Input!B6198,""),"")</f>
        <v/>
      </c>
      <c r="C6198">
        <f>IF(B6198="","",INT(A6198))</f>
        <v/>
      </c>
      <c r="D6198">
        <f>IF(B6198="","",HOUR(A6198))</f>
        <v/>
      </c>
    </row>
    <row r="6199">
      <c r="A6199">
        <f>Input!A6199</f>
        <v/>
      </c>
      <c r="B6199">
        <f>IF(ISNUMBER(Input!B6199),IF(AND(Input!B6199&gt;=20,Input!B6199&lt;=700),Input!B6199,""),"")</f>
        <v/>
      </c>
      <c r="C6199">
        <f>IF(B6199="","",INT(A6199))</f>
        <v/>
      </c>
      <c r="D6199">
        <f>IF(B6199="","",HOUR(A6199))</f>
        <v/>
      </c>
    </row>
    <row r="6200">
      <c r="A6200">
        <f>Input!A6200</f>
        <v/>
      </c>
      <c r="B6200">
        <f>IF(ISNUMBER(Input!B6200),IF(AND(Input!B6200&gt;=20,Input!B6200&lt;=700),Input!B6200,""),"")</f>
        <v/>
      </c>
      <c r="C6200">
        <f>IF(B6200="","",INT(A6200))</f>
        <v/>
      </c>
      <c r="D6200">
        <f>IF(B6200="","",HOUR(A6200))</f>
        <v/>
      </c>
    </row>
    <row r="6201">
      <c r="A6201">
        <f>Input!A6201</f>
        <v/>
      </c>
      <c r="B6201">
        <f>IF(ISNUMBER(Input!B6201),IF(AND(Input!B6201&gt;=20,Input!B6201&lt;=700),Input!B6201,""),"")</f>
        <v/>
      </c>
      <c r="C6201">
        <f>IF(B6201="","",INT(A6201))</f>
        <v/>
      </c>
      <c r="D6201">
        <f>IF(B6201="","",HOUR(A6201))</f>
        <v/>
      </c>
    </row>
    <row r="6202">
      <c r="A6202">
        <f>Input!A6202</f>
        <v/>
      </c>
      <c r="B6202">
        <f>IF(ISNUMBER(Input!B6202),IF(AND(Input!B6202&gt;=20,Input!B6202&lt;=700),Input!B6202,""),"")</f>
        <v/>
      </c>
      <c r="C6202">
        <f>IF(B6202="","",INT(A6202))</f>
        <v/>
      </c>
      <c r="D6202">
        <f>IF(B6202="","",HOUR(A6202))</f>
        <v/>
      </c>
    </row>
    <row r="6203">
      <c r="A6203">
        <f>Input!A6203</f>
        <v/>
      </c>
      <c r="B6203">
        <f>IF(ISNUMBER(Input!B6203),IF(AND(Input!B6203&gt;=20,Input!B6203&lt;=700),Input!B6203,""),"")</f>
        <v/>
      </c>
      <c r="C6203">
        <f>IF(B6203="","",INT(A6203))</f>
        <v/>
      </c>
      <c r="D6203">
        <f>IF(B6203="","",HOUR(A6203))</f>
        <v/>
      </c>
    </row>
    <row r="6204">
      <c r="A6204">
        <f>Input!A6204</f>
        <v/>
      </c>
      <c r="B6204">
        <f>IF(ISNUMBER(Input!B6204),IF(AND(Input!B6204&gt;=20,Input!B6204&lt;=700),Input!B6204,""),"")</f>
        <v/>
      </c>
      <c r="C6204">
        <f>IF(B6204="","",INT(A6204))</f>
        <v/>
      </c>
      <c r="D6204">
        <f>IF(B6204="","",HOUR(A6204))</f>
        <v/>
      </c>
    </row>
    <row r="6205">
      <c r="A6205">
        <f>Input!A6205</f>
        <v/>
      </c>
      <c r="B6205">
        <f>IF(ISNUMBER(Input!B6205),IF(AND(Input!B6205&gt;=20,Input!B6205&lt;=700),Input!B6205,""),"")</f>
        <v/>
      </c>
      <c r="C6205">
        <f>IF(B6205="","",INT(A6205))</f>
        <v/>
      </c>
      <c r="D6205">
        <f>IF(B6205="","",HOUR(A6205))</f>
        <v/>
      </c>
    </row>
    <row r="6206">
      <c r="A6206">
        <f>Input!A6206</f>
        <v/>
      </c>
      <c r="B6206">
        <f>IF(ISNUMBER(Input!B6206),IF(AND(Input!B6206&gt;=20,Input!B6206&lt;=700),Input!B6206,""),"")</f>
        <v/>
      </c>
      <c r="C6206">
        <f>IF(B6206="","",INT(A6206))</f>
        <v/>
      </c>
      <c r="D6206">
        <f>IF(B6206="","",HOUR(A6206))</f>
        <v/>
      </c>
    </row>
    <row r="6207">
      <c r="A6207">
        <f>Input!A6207</f>
        <v/>
      </c>
      <c r="B6207">
        <f>IF(ISNUMBER(Input!B6207),IF(AND(Input!B6207&gt;=20,Input!B6207&lt;=700),Input!B6207,""),"")</f>
        <v/>
      </c>
      <c r="C6207">
        <f>IF(B6207="","",INT(A6207))</f>
        <v/>
      </c>
      <c r="D6207">
        <f>IF(B6207="","",HOUR(A6207))</f>
        <v/>
      </c>
    </row>
    <row r="6208">
      <c r="A6208">
        <f>Input!A6208</f>
        <v/>
      </c>
      <c r="B6208">
        <f>IF(ISNUMBER(Input!B6208),IF(AND(Input!B6208&gt;=20,Input!B6208&lt;=700),Input!B6208,""),"")</f>
        <v/>
      </c>
      <c r="C6208">
        <f>IF(B6208="","",INT(A6208))</f>
        <v/>
      </c>
      <c r="D6208">
        <f>IF(B6208="","",HOUR(A6208))</f>
        <v/>
      </c>
    </row>
    <row r="6209">
      <c r="A6209">
        <f>Input!A6209</f>
        <v/>
      </c>
      <c r="B6209">
        <f>IF(ISNUMBER(Input!B6209),IF(AND(Input!B6209&gt;=20,Input!B6209&lt;=700),Input!B6209,""),"")</f>
        <v/>
      </c>
      <c r="C6209">
        <f>IF(B6209="","",INT(A6209))</f>
        <v/>
      </c>
      <c r="D6209">
        <f>IF(B6209="","",HOUR(A6209))</f>
        <v/>
      </c>
    </row>
    <row r="6210">
      <c r="A6210">
        <f>Input!A6210</f>
        <v/>
      </c>
      <c r="B6210">
        <f>IF(ISNUMBER(Input!B6210),IF(AND(Input!B6210&gt;=20,Input!B6210&lt;=700),Input!B6210,""),"")</f>
        <v/>
      </c>
      <c r="C6210">
        <f>IF(B6210="","",INT(A6210))</f>
        <v/>
      </c>
      <c r="D6210">
        <f>IF(B6210="","",HOUR(A6210))</f>
        <v/>
      </c>
    </row>
    <row r="6211">
      <c r="A6211">
        <f>Input!A6211</f>
        <v/>
      </c>
      <c r="B6211">
        <f>IF(ISNUMBER(Input!B6211),IF(AND(Input!B6211&gt;=20,Input!B6211&lt;=700),Input!B6211,""),"")</f>
        <v/>
      </c>
      <c r="C6211">
        <f>IF(B6211="","",INT(A6211))</f>
        <v/>
      </c>
      <c r="D6211">
        <f>IF(B6211="","",HOUR(A6211))</f>
        <v/>
      </c>
    </row>
    <row r="6212">
      <c r="A6212">
        <f>Input!A6212</f>
        <v/>
      </c>
      <c r="B6212">
        <f>IF(ISNUMBER(Input!B6212),IF(AND(Input!B6212&gt;=20,Input!B6212&lt;=700),Input!B6212,""),"")</f>
        <v/>
      </c>
      <c r="C6212">
        <f>IF(B6212="","",INT(A6212))</f>
        <v/>
      </c>
      <c r="D6212">
        <f>IF(B6212="","",HOUR(A6212))</f>
        <v/>
      </c>
    </row>
    <row r="6213">
      <c r="A6213">
        <f>Input!A6213</f>
        <v/>
      </c>
      <c r="B6213">
        <f>IF(ISNUMBER(Input!B6213),IF(AND(Input!B6213&gt;=20,Input!B6213&lt;=700),Input!B6213,""),"")</f>
        <v/>
      </c>
      <c r="C6213">
        <f>IF(B6213="","",INT(A6213))</f>
        <v/>
      </c>
      <c r="D6213">
        <f>IF(B6213="","",HOUR(A6213))</f>
        <v/>
      </c>
    </row>
    <row r="6214">
      <c r="A6214">
        <f>Input!A6214</f>
        <v/>
      </c>
      <c r="B6214">
        <f>IF(ISNUMBER(Input!B6214),IF(AND(Input!B6214&gt;=20,Input!B6214&lt;=700),Input!B6214,""),"")</f>
        <v/>
      </c>
      <c r="C6214">
        <f>IF(B6214="","",INT(A6214))</f>
        <v/>
      </c>
      <c r="D6214">
        <f>IF(B6214="","",HOUR(A6214))</f>
        <v/>
      </c>
    </row>
    <row r="6215">
      <c r="A6215">
        <f>Input!A6215</f>
        <v/>
      </c>
      <c r="B6215">
        <f>IF(ISNUMBER(Input!B6215),IF(AND(Input!B6215&gt;=20,Input!B6215&lt;=700),Input!B6215,""),"")</f>
        <v/>
      </c>
      <c r="C6215">
        <f>IF(B6215="","",INT(A6215))</f>
        <v/>
      </c>
      <c r="D6215">
        <f>IF(B6215="","",HOUR(A6215))</f>
        <v/>
      </c>
    </row>
    <row r="6216">
      <c r="A6216">
        <f>Input!A6216</f>
        <v/>
      </c>
      <c r="B6216">
        <f>IF(ISNUMBER(Input!B6216),IF(AND(Input!B6216&gt;=20,Input!B6216&lt;=700),Input!B6216,""),"")</f>
        <v/>
      </c>
      <c r="C6216">
        <f>IF(B6216="","",INT(A6216))</f>
        <v/>
      </c>
      <c r="D6216">
        <f>IF(B6216="","",HOUR(A6216))</f>
        <v/>
      </c>
    </row>
    <row r="6217">
      <c r="A6217">
        <f>Input!A6217</f>
        <v/>
      </c>
      <c r="B6217">
        <f>IF(ISNUMBER(Input!B6217),IF(AND(Input!B6217&gt;=20,Input!B6217&lt;=700),Input!B6217,""),"")</f>
        <v/>
      </c>
      <c r="C6217">
        <f>IF(B6217="","",INT(A6217))</f>
        <v/>
      </c>
      <c r="D6217">
        <f>IF(B6217="","",HOUR(A6217))</f>
        <v/>
      </c>
    </row>
    <row r="6218">
      <c r="A6218">
        <f>Input!A6218</f>
        <v/>
      </c>
      <c r="B6218">
        <f>IF(ISNUMBER(Input!B6218),IF(AND(Input!B6218&gt;=20,Input!B6218&lt;=700),Input!B6218,""),"")</f>
        <v/>
      </c>
      <c r="C6218">
        <f>IF(B6218="","",INT(A6218))</f>
        <v/>
      </c>
      <c r="D6218">
        <f>IF(B6218="","",HOUR(A6218))</f>
        <v/>
      </c>
    </row>
    <row r="6219">
      <c r="A6219">
        <f>Input!A6219</f>
        <v/>
      </c>
      <c r="B6219">
        <f>IF(ISNUMBER(Input!B6219),IF(AND(Input!B6219&gt;=20,Input!B6219&lt;=700),Input!B6219,""),"")</f>
        <v/>
      </c>
      <c r="C6219">
        <f>IF(B6219="","",INT(A6219))</f>
        <v/>
      </c>
      <c r="D6219">
        <f>IF(B6219="","",HOUR(A6219))</f>
        <v/>
      </c>
    </row>
    <row r="6220">
      <c r="A6220">
        <f>Input!A6220</f>
        <v/>
      </c>
      <c r="B6220">
        <f>IF(ISNUMBER(Input!B6220),IF(AND(Input!B6220&gt;=20,Input!B6220&lt;=700),Input!B6220,""),"")</f>
        <v/>
      </c>
      <c r="C6220">
        <f>IF(B6220="","",INT(A6220))</f>
        <v/>
      </c>
      <c r="D6220">
        <f>IF(B6220="","",HOUR(A6220))</f>
        <v/>
      </c>
    </row>
    <row r="6221">
      <c r="A6221">
        <f>Input!A6221</f>
        <v/>
      </c>
      <c r="B6221">
        <f>IF(ISNUMBER(Input!B6221),IF(AND(Input!B6221&gt;=20,Input!B6221&lt;=700),Input!B6221,""),"")</f>
        <v/>
      </c>
      <c r="C6221">
        <f>IF(B6221="","",INT(A6221))</f>
        <v/>
      </c>
      <c r="D6221">
        <f>IF(B6221="","",HOUR(A6221))</f>
        <v/>
      </c>
    </row>
    <row r="6222">
      <c r="A6222">
        <f>Input!A6222</f>
        <v/>
      </c>
      <c r="B6222">
        <f>IF(ISNUMBER(Input!B6222),IF(AND(Input!B6222&gt;=20,Input!B6222&lt;=700),Input!B6222,""),"")</f>
        <v/>
      </c>
      <c r="C6222">
        <f>IF(B6222="","",INT(A6222))</f>
        <v/>
      </c>
      <c r="D6222">
        <f>IF(B6222="","",HOUR(A6222))</f>
        <v/>
      </c>
    </row>
    <row r="6223">
      <c r="A6223">
        <f>Input!A6223</f>
        <v/>
      </c>
      <c r="B6223">
        <f>IF(ISNUMBER(Input!B6223),IF(AND(Input!B6223&gt;=20,Input!B6223&lt;=700),Input!B6223,""),"")</f>
        <v/>
      </c>
      <c r="C6223">
        <f>IF(B6223="","",INT(A6223))</f>
        <v/>
      </c>
      <c r="D6223">
        <f>IF(B6223="","",HOUR(A6223))</f>
        <v/>
      </c>
    </row>
    <row r="6224">
      <c r="A6224">
        <f>Input!A6224</f>
        <v/>
      </c>
      <c r="B6224">
        <f>IF(ISNUMBER(Input!B6224),IF(AND(Input!B6224&gt;=20,Input!B6224&lt;=700),Input!B6224,""),"")</f>
        <v/>
      </c>
      <c r="C6224">
        <f>IF(B6224="","",INT(A6224))</f>
        <v/>
      </c>
      <c r="D6224">
        <f>IF(B6224="","",HOUR(A6224))</f>
        <v/>
      </c>
    </row>
    <row r="6225">
      <c r="A6225">
        <f>Input!A6225</f>
        <v/>
      </c>
      <c r="B6225">
        <f>IF(ISNUMBER(Input!B6225),IF(AND(Input!B6225&gt;=20,Input!B6225&lt;=700),Input!B6225,""),"")</f>
        <v/>
      </c>
      <c r="C6225">
        <f>IF(B6225="","",INT(A6225))</f>
        <v/>
      </c>
      <c r="D6225">
        <f>IF(B6225="","",HOUR(A6225))</f>
        <v/>
      </c>
    </row>
    <row r="6226">
      <c r="A6226">
        <f>Input!A6226</f>
        <v/>
      </c>
      <c r="B6226">
        <f>IF(ISNUMBER(Input!B6226),IF(AND(Input!B6226&gt;=20,Input!B6226&lt;=700),Input!B6226,""),"")</f>
        <v/>
      </c>
      <c r="C6226">
        <f>IF(B6226="","",INT(A6226))</f>
        <v/>
      </c>
      <c r="D6226">
        <f>IF(B6226="","",HOUR(A6226))</f>
        <v/>
      </c>
    </row>
    <row r="6227">
      <c r="A6227">
        <f>Input!A6227</f>
        <v/>
      </c>
      <c r="B6227">
        <f>IF(ISNUMBER(Input!B6227),IF(AND(Input!B6227&gt;=20,Input!B6227&lt;=700),Input!B6227,""),"")</f>
        <v/>
      </c>
      <c r="C6227">
        <f>IF(B6227="","",INT(A6227))</f>
        <v/>
      </c>
      <c r="D6227">
        <f>IF(B6227="","",HOUR(A6227))</f>
        <v/>
      </c>
    </row>
    <row r="6228">
      <c r="A6228">
        <f>Input!A6228</f>
        <v/>
      </c>
      <c r="B6228">
        <f>IF(ISNUMBER(Input!B6228),IF(AND(Input!B6228&gt;=20,Input!B6228&lt;=700),Input!B6228,""),"")</f>
        <v/>
      </c>
      <c r="C6228">
        <f>IF(B6228="","",INT(A6228))</f>
        <v/>
      </c>
      <c r="D6228">
        <f>IF(B6228="","",HOUR(A6228))</f>
        <v/>
      </c>
    </row>
    <row r="6229">
      <c r="A6229">
        <f>Input!A6229</f>
        <v/>
      </c>
      <c r="B6229">
        <f>IF(ISNUMBER(Input!B6229),IF(AND(Input!B6229&gt;=20,Input!B6229&lt;=700),Input!B6229,""),"")</f>
        <v/>
      </c>
      <c r="C6229">
        <f>IF(B6229="","",INT(A6229))</f>
        <v/>
      </c>
      <c r="D6229">
        <f>IF(B6229="","",HOUR(A6229))</f>
        <v/>
      </c>
    </row>
    <row r="6230">
      <c r="A6230">
        <f>Input!A6230</f>
        <v/>
      </c>
      <c r="B6230">
        <f>IF(ISNUMBER(Input!B6230),IF(AND(Input!B6230&gt;=20,Input!B6230&lt;=700),Input!B6230,""),"")</f>
        <v/>
      </c>
      <c r="C6230">
        <f>IF(B6230="","",INT(A6230))</f>
        <v/>
      </c>
      <c r="D6230">
        <f>IF(B6230="","",HOUR(A6230))</f>
        <v/>
      </c>
    </row>
    <row r="6231">
      <c r="A6231">
        <f>Input!A6231</f>
        <v/>
      </c>
      <c r="B6231">
        <f>IF(ISNUMBER(Input!B6231),IF(AND(Input!B6231&gt;=20,Input!B6231&lt;=700),Input!B6231,""),"")</f>
        <v/>
      </c>
      <c r="C6231">
        <f>IF(B6231="","",INT(A6231))</f>
        <v/>
      </c>
      <c r="D6231">
        <f>IF(B6231="","",HOUR(A6231))</f>
        <v/>
      </c>
    </row>
    <row r="6232">
      <c r="A6232">
        <f>Input!A6232</f>
        <v/>
      </c>
      <c r="B6232">
        <f>IF(ISNUMBER(Input!B6232),IF(AND(Input!B6232&gt;=20,Input!B6232&lt;=700),Input!B6232,""),"")</f>
        <v/>
      </c>
      <c r="C6232">
        <f>IF(B6232="","",INT(A6232))</f>
        <v/>
      </c>
      <c r="D6232">
        <f>IF(B6232="","",HOUR(A6232))</f>
        <v/>
      </c>
    </row>
    <row r="6233">
      <c r="A6233">
        <f>Input!A6233</f>
        <v/>
      </c>
      <c r="B6233">
        <f>IF(ISNUMBER(Input!B6233),IF(AND(Input!B6233&gt;=20,Input!B6233&lt;=700),Input!B6233,""),"")</f>
        <v/>
      </c>
      <c r="C6233">
        <f>IF(B6233="","",INT(A6233))</f>
        <v/>
      </c>
      <c r="D6233">
        <f>IF(B6233="","",HOUR(A6233))</f>
        <v/>
      </c>
    </row>
    <row r="6234">
      <c r="A6234">
        <f>Input!A6234</f>
        <v/>
      </c>
      <c r="B6234">
        <f>IF(ISNUMBER(Input!B6234),IF(AND(Input!B6234&gt;=20,Input!B6234&lt;=700),Input!B6234,""),"")</f>
        <v/>
      </c>
      <c r="C6234">
        <f>IF(B6234="","",INT(A6234))</f>
        <v/>
      </c>
      <c r="D6234">
        <f>IF(B6234="","",HOUR(A6234))</f>
        <v/>
      </c>
    </row>
    <row r="6235">
      <c r="A6235">
        <f>Input!A6235</f>
        <v/>
      </c>
      <c r="B6235">
        <f>IF(ISNUMBER(Input!B6235),IF(AND(Input!B6235&gt;=20,Input!B6235&lt;=700),Input!B6235,""),"")</f>
        <v/>
      </c>
      <c r="C6235">
        <f>IF(B6235="","",INT(A6235))</f>
        <v/>
      </c>
      <c r="D6235">
        <f>IF(B6235="","",HOUR(A6235))</f>
        <v/>
      </c>
    </row>
    <row r="6236">
      <c r="A6236">
        <f>Input!A6236</f>
        <v/>
      </c>
      <c r="B6236">
        <f>IF(ISNUMBER(Input!B6236),IF(AND(Input!B6236&gt;=20,Input!B6236&lt;=700),Input!B6236,""),"")</f>
        <v/>
      </c>
      <c r="C6236">
        <f>IF(B6236="","",INT(A6236))</f>
        <v/>
      </c>
      <c r="D6236">
        <f>IF(B6236="","",HOUR(A6236))</f>
        <v/>
      </c>
    </row>
    <row r="6237">
      <c r="A6237">
        <f>Input!A6237</f>
        <v/>
      </c>
      <c r="B6237">
        <f>IF(ISNUMBER(Input!B6237),IF(AND(Input!B6237&gt;=20,Input!B6237&lt;=700),Input!B6237,""),"")</f>
        <v/>
      </c>
      <c r="C6237">
        <f>IF(B6237="","",INT(A6237))</f>
        <v/>
      </c>
      <c r="D6237">
        <f>IF(B6237="","",HOUR(A6237))</f>
        <v/>
      </c>
    </row>
    <row r="6238">
      <c r="A6238">
        <f>Input!A6238</f>
        <v/>
      </c>
      <c r="B6238">
        <f>IF(ISNUMBER(Input!B6238),IF(AND(Input!B6238&gt;=20,Input!B6238&lt;=700),Input!B6238,""),"")</f>
        <v/>
      </c>
      <c r="C6238">
        <f>IF(B6238="","",INT(A6238))</f>
        <v/>
      </c>
      <c r="D6238">
        <f>IF(B6238="","",HOUR(A6238))</f>
        <v/>
      </c>
    </row>
    <row r="6239">
      <c r="A6239">
        <f>Input!A6239</f>
        <v/>
      </c>
      <c r="B6239">
        <f>IF(ISNUMBER(Input!B6239),IF(AND(Input!B6239&gt;=20,Input!B6239&lt;=700),Input!B6239,""),"")</f>
        <v/>
      </c>
      <c r="C6239">
        <f>IF(B6239="","",INT(A6239))</f>
        <v/>
      </c>
      <c r="D6239">
        <f>IF(B6239="","",HOUR(A6239))</f>
        <v/>
      </c>
    </row>
    <row r="6240">
      <c r="A6240">
        <f>Input!A6240</f>
        <v/>
      </c>
      <c r="B6240">
        <f>IF(ISNUMBER(Input!B6240),IF(AND(Input!B6240&gt;=20,Input!B6240&lt;=700),Input!B6240,""),"")</f>
        <v/>
      </c>
      <c r="C6240">
        <f>IF(B6240="","",INT(A6240))</f>
        <v/>
      </c>
      <c r="D6240">
        <f>IF(B6240="","",HOUR(A6240))</f>
        <v/>
      </c>
    </row>
    <row r="6241">
      <c r="A6241">
        <f>Input!A6241</f>
        <v/>
      </c>
      <c r="B6241">
        <f>IF(ISNUMBER(Input!B6241),IF(AND(Input!B6241&gt;=20,Input!B6241&lt;=700),Input!B6241,""),"")</f>
        <v/>
      </c>
      <c r="C6241">
        <f>IF(B6241="","",INT(A6241))</f>
        <v/>
      </c>
      <c r="D6241">
        <f>IF(B6241="","",HOUR(A6241))</f>
        <v/>
      </c>
    </row>
    <row r="6242">
      <c r="A6242">
        <f>Input!A6242</f>
        <v/>
      </c>
      <c r="B6242">
        <f>IF(ISNUMBER(Input!B6242),IF(AND(Input!B6242&gt;=20,Input!B6242&lt;=700),Input!B6242,""),"")</f>
        <v/>
      </c>
      <c r="C6242">
        <f>IF(B6242="","",INT(A6242))</f>
        <v/>
      </c>
      <c r="D6242">
        <f>IF(B6242="","",HOUR(A6242))</f>
        <v/>
      </c>
    </row>
    <row r="6243">
      <c r="A6243">
        <f>Input!A6243</f>
        <v/>
      </c>
      <c r="B6243">
        <f>IF(ISNUMBER(Input!B6243),IF(AND(Input!B6243&gt;=20,Input!B6243&lt;=700),Input!B6243,""),"")</f>
        <v/>
      </c>
      <c r="C6243">
        <f>IF(B6243="","",INT(A6243))</f>
        <v/>
      </c>
      <c r="D6243">
        <f>IF(B6243="","",HOUR(A6243))</f>
        <v/>
      </c>
    </row>
    <row r="6244">
      <c r="A6244">
        <f>Input!A6244</f>
        <v/>
      </c>
      <c r="B6244">
        <f>IF(ISNUMBER(Input!B6244),IF(AND(Input!B6244&gt;=20,Input!B6244&lt;=700),Input!B6244,""),"")</f>
        <v/>
      </c>
      <c r="C6244">
        <f>IF(B6244="","",INT(A6244))</f>
        <v/>
      </c>
      <c r="D6244">
        <f>IF(B6244="","",HOUR(A6244))</f>
        <v/>
      </c>
    </row>
    <row r="6245">
      <c r="A6245">
        <f>Input!A6245</f>
        <v/>
      </c>
      <c r="B6245">
        <f>IF(ISNUMBER(Input!B6245),IF(AND(Input!B6245&gt;=20,Input!B6245&lt;=700),Input!B6245,""),"")</f>
        <v/>
      </c>
      <c r="C6245">
        <f>IF(B6245="","",INT(A6245))</f>
        <v/>
      </c>
      <c r="D6245">
        <f>IF(B6245="","",HOUR(A6245))</f>
        <v/>
      </c>
    </row>
    <row r="6246">
      <c r="A6246">
        <f>Input!A6246</f>
        <v/>
      </c>
      <c r="B6246">
        <f>IF(ISNUMBER(Input!B6246),IF(AND(Input!B6246&gt;=20,Input!B6246&lt;=700),Input!B6246,""),"")</f>
        <v/>
      </c>
      <c r="C6246">
        <f>IF(B6246="","",INT(A6246))</f>
        <v/>
      </c>
      <c r="D6246">
        <f>IF(B6246="","",HOUR(A6246))</f>
        <v/>
      </c>
    </row>
    <row r="6247">
      <c r="A6247">
        <f>Input!A6247</f>
        <v/>
      </c>
      <c r="B6247">
        <f>IF(ISNUMBER(Input!B6247),IF(AND(Input!B6247&gt;=20,Input!B6247&lt;=700),Input!B6247,""),"")</f>
        <v/>
      </c>
      <c r="C6247">
        <f>IF(B6247="","",INT(A6247))</f>
        <v/>
      </c>
      <c r="D6247">
        <f>IF(B6247="","",HOUR(A6247))</f>
        <v/>
      </c>
    </row>
    <row r="6248">
      <c r="A6248">
        <f>Input!A6248</f>
        <v/>
      </c>
      <c r="B6248">
        <f>IF(ISNUMBER(Input!B6248),IF(AND(Input!B6248&gt;=20,Input!B6248&lt;=700),Input!B6248,""),"")</f>
        <v/>
      </c>
      <c r="C6248">
        <f>IF(B6248="","",INT(A6248))</f>
        <v/>
      </c>
      <c r="D6248">
        <f>IF(B6248="","",HOUR(A6248))</f>
        <v/>
      </c>
    </row>
    <row r="6249">
      <c r="A6249">
        <f>Input!A6249</f>
        <v/>
      </c>
      <c r="B6249">
        <f>IF(ISNUMBER(Input!B6249),IF(AND(Input!B6249&gt;=20,Input!B6249&lt;=700),Input!B6249,""),"")</f>
        <v/>
      </c>
      <c r="C6249">
        <f>IF(B6249="","",INT(A6249))</f>
        <v/>
      </c>
      <c r="D6249">
        <f>IF(B6249="","",HOUR(A6249))</f>
        <v/>
      </c>
    </row>
    <row r="6250">
      <c r="A6250">
        <f>Input!A6250</f>
        <v/>
      </c>
      <c r="B6250">
        <f>IF(ISNUMBER(Input!B6250),IF(AND(Input!B6250&gt;=20,Input!B6250&lt;=700),Input!B6250,""),"")</f>
        <v/>
      </c>
      <c r="C6250">
        <f>IF(B6250="","",INT(A6250))</f>
        <v/>
      </c>
      <c r="D6250">
        <f>IF(B6250="","",HOUR(A6250))</f>
        <v/>
      </c>
    </row>
    <row r="6251">
      <c r="A6251">
        <f>Input!A6251</f>
        <v/>
      </c>
      <c r="B6251">
        <f>IF(ISNUMBER(Input!B6251),IF(AND(Input!B6251&gt;=20,Input!B6251&lt;=700),Input!B6251,""),"")</f>
        <v/>
      </c>
      <c r="C6251">
        <f>IF(B6251="","",INT(A6251))</f>
        <v/>
      </c>
      <c r="D6251">
        <f>IF(B6251="","",HOUR(A6251))</f>
        <v/>
      </c>
    </row>
    <row r="6252">
      <c r="A6252">
        <f>Input!A6252</f>
        <v/>
      </c>
      <c r="B6252">
        <f>IF(ISNUMBER(Input!B6252),IF(AND(Input!B6252&gt;=20,Input!B6252&lt;=700),Input!B6252,""),"")</f>
        <v/>
      </c>
      <c r="C6252">
        <f>IF(B6252="","",INT(A6252))</f>
        <v/>
      </c>
      <c r="D6252">
        <f>IF(B6252="","",HOUR(A6252))</f>
        <v/>
      </c>
    </row>
    <row r="6253">
      <c r="A6253">
        <f>Input!A6253</f>
        <v/>
      </c>
      <c r="B6253">
        <f>IF(ISNUMBER(Input!B6253),IF(AND(Input!B6253&gt;=20,Input!B6253&lt;=700),Input!B6253,""),"")</f>
        <v/>
      </c>
      <c r="C6253">
        <f>IF(B6253="","",INT(A6253))</f>
        <v/>
      </c>
      <c r="D6253">
        <f>IF(B6253="","",HOUR(A6253))</f>
        <v/>
      </c>
    </row>
    <row r="6254">
      <c r="A6254">
        <f>Input!A6254</f>
        <v/>
      </c>
      <c r="B6254">
        <f>IF(ISNUMBER(Input!B6254),IF(AND(Input!B6254&gt;=20,Input!B6254&lt;=700),Input!B6254,""),"")</f>
        <v/>
      </c>
      <c r="C6254">
        <f>IF(B6254="","",INT(A6254))</f>
        <v/>
      </c>
      <c r="D6254">
        <f>IF(B6254="","",HOUR(A6254))</f>
        <v/>
      </c>
    </row>
    <row r="6255">
      <c r="A6255">
        <f>Input!A6255</f>
        <v/>
      </c>
      <c r="B6255">
        <f>IF(ISNUMBER(Input!B6255),IF(AND(Input!B6255&gt;=20,Input!B6255&lt;=700),Input!B6255,""),"")</f>
        <v/>
      </c>
      <c r="C6255">
        <f>IF(B6255="","",INT(A6255))</f>
        <v/>
      </c>
      <c r="D6255">
        <f>IF(B6255="","",HOUR(A6255))</f>
        <v/>
      </c>
    </row>
    <row r="6256">
      <c r="A6256">
        <f>Input!A6256</f>
        <v/>
      </c>
      <c r="B6256">
        <f>IF(ISNUMBER(Input!B6256),IF(AND(Input!B6256&gt;=20,Input!B6256&lt;=700),Input!B6256,""),"")</f>
        <v/>
      </c>
      <c r="C6256">
        <f>IF(B6256="","",INT(A6256))</f>
        <v/>
      </c>
      <c r="D6256">
        <f>IF(B6256="","",HOUR(A6256))</f>
        <v/>
      </c>
    </row>
    <row r="6257">
      <c r="A6257">
        <f>Input!A6257</f>
        <v/>
      </c>
      <c r="B6257">
        <f>IF(ISNUMBER(Input!B6257),IF(AND(Input!B6257&gt;=20,Input!B6257&lt;=700),Input!B6257,""),"")</f>
        <v/>
      </c>
      <c r="C6257">
        <f>IF(B6257="","",INT(A6257))</f>
        <v/>
      </c>
      <c r="D6257">
        <f>IF(B6257="","",HOUR(A6257))</f>
        <v/>
      </c>
    </row>
    <row r="6258">
      <c r="A6258">
        <f>Input!A6258</f>
        <v/>
      </c>
      <c r="B6258">
        <f>IF(ISNUMBER(Input!B6258),IF(AND(Input!B6258&gt;=20,Input!B6258&lt;=700),Input!B6258,""),"")</f>
        <v/>
      </c>
      <c r="C6258">
        <f>IF(B6258="","",INT(A6258))</f>
        <v/>
      </c>
      <c r="D6258">
        <f>IF(B6258="","",HOUR(A6258))</f>
        <v/>
      </c>
    </row>
    <row r="6259">
      <c r="A6259">
        <f>Input!A6259</f>
        <v/>
      </c>
      <c r="B6259">
        <f>IF(ISNUMBER(Input!B6259),IF(AND(Input!B6259&gt;=20,Input!B6259&lt;=700),Input!B6259,""),"")</f>
        <v/>
      </c>
      <c r="C6259">
        <f>IF(B6259="","",INT(A6259))</f>
        <v/>
      </c>
      <c r="D6259">
        <f>IF(B6259="","",HOUR(A6259))</f>
        <v/>
      </c>
    </row>
    <row r="6260">
      <c r="A6260">
        <f>Input!A6260</f>
        <v/>
      </c>
      <c r="B6260">
        <f>IF(ISNUMBER(Input!B6260),IF(AND(Input!B6260&gt;=20,Input!B6260&lt;=700),Input!B6260,""),"")</f>
        <v/>
      </c>
      <c r="C6260">
        <f>IF(B6260="","",INT(A6260))</f>
        <v/>
      </c>
      <c r="D6260">
        <f>IF(B6260="","",HOUR(A6260))</f>
        <v/>
      </c>
    </row>
    <row r="6261">
      <c r="A6261">
        <f>Input!A6261</f>
        <v/>
      </c>
      <c r="B6261">
        <f>IF(ISNUMBER(Input!B6261),IF(AND(Input!B6261&gt;=20,Input!B6261&lt;=700),Input!B6261,""),"")</f>
        <v/>
      </c>
      <c r="C6261">
        <f>IF(B6261="","",INT(A6261))</f>
        <v/>
      </c>
      <c r="D6261">
        <f>IF(B6261="","",HOUR(A6261))</f>
        <v/>
      </c>
    </row>
    <row r="6262">
      <c r="A6262">
        <f>Input!A6262</f>
        <v/>
      </c>
      <c r="B6262">
        <f>IF(ISNUMBER(Input!B6262),IF(AND(Input!B6262&gt;=20,Input!B6262&lt;=700),Input!B6262,""),"")</f>
        <v/>
      </c>
      <c r="C6262">
        <f>IF(B6262="","",INT(A6262))</f>
        <v/>
      </c>
      <c r="D6262">
        <f>IF(B6262="","",HOUR(A6262))</f>
        <v/>
      </c>
    </row>
    <row r="6263">
      <c r="A6263">
        <f>Input!A6263</f>
        <v/>
      </c>
      <c r="B6263">
        <f>IF(ISNUMBER(Input!B6263),IF(AND(Input!B6263&gt;=20,Input!B6263&lt;=700),Input!B6263,""),"")</f>
        <v/>
      </c>
      <c r="C6263">
        <f>IF(B6263="","",INT(A6263))</f>
        <v/>
      </c>
      <c r="D6263">
        <f>IF(B6263="","",HOUR(A6263))</f>
        <v/>
      </c>
    </row>
    <row r="6264">
      <c r="A6264">
        <f>Input!A6264</f>
        <v/>
      </c>
      <c r="B6264">
        <f>IF(ISNUMBER(Input!B6264),IF(AND(Input!B6264&gt;=20,Input!B6264&lt;=700),Input!B6264,""),"")</f>
        <v/>
      </c>
      <c r="C6264">
        <f>IF(B6264="","",INT(A6264))</f>
        <v/>
      </c>
      <c r="D6264">
        <f>IF(B6264="","",HOUR(A6264))</f>
        <v/>
      </c>
    </row>
    <row r="6265">
      <c r="A6265">
        <f>Input!A6265</f>
        <v/>
      </c>
      <c r="B6265">
        <f>IF(ISNUMBER(Input!B6265),IF(AND(Input!B6265&gt;=20,Input!B6265&lt;=700),Input!B6265,""),"")</f>
        <v/>
      </c>
      <c r="C6265">
        <f>IF(B6265="","",INT(A6265))</f>
        <v/>
      </c>
      <c r="D6265">
        <f>IF(B6265="","",HOUR(A6265))</f>
        <v/>
      </c>
    </row>
    <row r="6266">
      <c r="A6266">
        <f>Input!A6266</f>
        <v/>
      </c>
      <c r="B6266">
        <f>IF(ISNUMBER(Input!B6266),IF(AND(Input!B6266&gt;=20,Input!B6266&lt;=700),Input!B6266,""),"")</f>
        <v/>
      </c>
      <c r="C6266">
        <f>IF(B6266="","",INT(A6266))</f>
        <v/>
      </c>
      <c r="D6266">
        <f>IF(B6266="","",HOUR(A6266))</f>
        <v/>
      </c>
    </row>
    <row r="6267">
      <c r="A6267">
        <f>Input!A6267</f>
        <v/>
      </c>
      <c r="B6267">
        <f>IF(ISNUMBER(Input!B6267),IF(AND(Input!B6267&gt;=20,Input!B6267&lt;=700),Input!B6267,""),"")</f>
        <v/>
      </c>
      <c r="C6267">
        <f>IF(B6267="","",INT(A6267))</f>
        <v/>
      </c>
      <c r="D6267">
        <f>IF(B6267="","",HOUR(A6267))</f>
        <v/>
      </c>
    </row>
    <row r="6268">
      <c r="A6268">
        <f>Input!A6268</f>
        <v/>
      </c>
      <c r="B6268">
        <f>IF(ISNUMBER(Input!B6268),IF(AND(Input!B6268&gt;=20,Input!B6268&lt;=700),Input!B6268,""),"")</f>
        <v/>
      </c>
      <c r="C6268">
        <f>IF(B6268="","",INT(A6268))</f>
        <v/>
      </c>
      <c r="D6268">
        <f>IF(B6268="","",HOUR(A6268))</f>
        <v/>
      </c>
    </row>
    <row r="6269">
      <c r="A6269">
        <f>Input!A6269</f>
        <v/>
      </c>
      <c r="B6269">
        <f>IF(ISNUMBER(Input!B6269),IF(AND(Input!B6269&gt;=20,Input!B6269&lt;=700),Input!B6269,""),"")</f>
        <v/>
      </c>
      <c r="C6269">
        <f>IF(B6269="","",INT(A6269))</f>
        <v/>
      </c>
      <c r="D6269">
        <f>IF(B6269="","",HOUR(A6269))</f>
        <v/>
      </c>
    </row>
    <row r="6270">
      <c r="A6270">
        <f>Input!A6270</f>
        <v/>
      </c>
      <c r="B6270">
        <f>IF(ISNUMBER(Input!B6270),IF(AND(Input!B6270&gt;=20,Input!B6270&lt;=700),Input!B6270,""),"")</f>
        <v/>
      </c>
      <c r="C6270">
        <f>IF(B6270="","",INT(A6270))</f>
        <v/>
      </c>
      <c r="D6270">
        <f>IF(B6270="","",HOUR(A6270))</f>
        <v/>
      </c>
    </row>
    <row r="6271">
      <c r="A6271">
        <f>Input!A6271</f>
        <v/>
      </c>
      <c r="B6271">
        <f>IF(ISNUMBER(Input!B6271),IF(AND(Input!B6271&gt;=20,Input!B6271&lt;=700),Input!B6271,""),"")</f>
        <v/>
      </c>
      <c r="C6271">
        <f>IF(B6271="","",INT(A6271))</f>
        <v/>
      </c>
      <c r="D6271">
        <f>IF(B6271="","",HOUR(A6271))</f>
        <v/>
      </c>
    </row>
    <row r="6272">
      <c r="A6272">
        <f>Input!A6272</f>
        <v/>
      </c>
      <c r="B6272">
        <f>IF(ISNUMBER(Input!B6272),IF(AND(Input!B6272&gt;=20,Input!B6272&lt;=700),Input!B6272,""),"")</f>
        <v/>
      </c>
      <c r="C6272">
        <f>IF(B6272="","",INT(A6272))</f>
        <v/>
      </c>
      <c r="D6272">
        <f>IF(B6272="","",HOUR(A6272))</f>
        <v/>
      </c>
    </row>
    <row r="6273">
      <c r="A6273">
        <f>Input!A6273</f>
        <v/>
      </c>
      <c r="B6273">
        <f>IF(ISNUMBER(Input!B6273),IF(AND(Input!B6273&gt;=20,Input!B6273&lt;=700),Input!B6273,""),"")</f>
        <v/>
      </c>
      <c r="C6273">
        <f>IF(B6273="","",INT(A6273))</f>
        <v/>
      </c>
      <c r="D6273">
        <f>IF(B6273="","",HOUR(A6273))</f>
        <v/>
      </c>
    </row>
    <row r="6274">
      <c r="A6274">
        <f>Input!A6274</f>
        <v/>
      </c>
      <c r="B6274">
        <f>IF(ISNUMBER(Input!B6274),IF(AND(Input!B6274&gt;=20,Input!B6274&lt;=700),Input!B6274,""),"")</f>
        <v/>
      </c>
      <c r="C6274">
        <f>IF(B6274="","",INT(A6274))</f>
        <v/>
      </c>
      <c r="D6274">
        <f>IF(B6274="","",HOUR(A6274))</f>
        <v/>
      </c>
    </row>
    <row r="6275">
      <c r="A6275">
        <f>Input!A6275</f>
        <v/>
      </c>
      <c r="B6275">
        <f>IF(ISNUMBER(Input!B6275),IF(AND(Input!B6275&gt;=20,Input!B6275&lt;=700),Input!B6275,""),"")</f>
        <v/>
      </c>
      <c r="C6275">
        <f>IF(B6275="","",INT(A6275))</f>
        <v/>
      </c>
      <c r="D6275">
        <f>IF(B6275="","",HOUR(A6275))</f>
        <v/>
      </c>
    </row>
    <row r="6276">
      <c r="A6276">
        <f>Input!A6276</f>
        <v/>
      </c>
      <c r="B6276">
        <f>IF(ISNUMBER(Input!B6276),IF(AND(Input!B6276&gt;=20,Input!B6276&lt;=700),Input!B6276,""),"")</f>
        <v/>
      </c>
      <c r="C6276">
        <f>IF(B6276="","",INT(A6276))</f>
        <v/>
      </c>
      <c r="D6276">
        <f>IF(B6276="","",HOUR(A6276))</f>
        <v/>
      </c>
    </row>
    <row r="6277">
      <c r="A6277">
        <f>Input!A6277</f>
        <v/>
      </c>
      <c r="B6277">
        <f>IF(ISNUMBER(Input!B6277),IF(AND(Input!B6277&gt;=20,Input!B6277&lt;=700),Input!B6277,""),"")</f>
        <v/>
      </c>
      <c r="C6277">
        <f>IF(B6277="","",INT(A6277))</f>
        <v/>
      </c>
      <c r="D6277">
        <f>IF(B6277="","",HOUR(A6277))</f>
        <v/>
      </c>
    </row>
    <row r="6278">
      <c r="A6278">
        <f>Input!A6278</f>
        <v/>
      </c>
      <c r="B6278">
        <f>IF(ISNUMBER(Input!B6278),IF(AND(Input!B6278&gt;=20,Input!B6278&lt;=700),Input!B6278,""),"")</f>
        <v/>
      </c>
      <c r="C6278">
        <f>IF(B6278="","",INT(A6278))</f>
        <v/>
      </c>
      <c r="D6278">
        <f>IF(B6278="","",HOUR(A6278))</f>
        <v/>
      </c>
    </row>
    <row r="6279">
      <c r="A6279">
        <f>Input!A6279</f>
        <v/>
      </c>
      <c r="B6279">
        <f>IF(ISNUMBER(Input!B6279),IF(AND(Input!B6279&gt;=20,Input!B6279&lt;=700),Input!B6279,""),"")</f>
        <v/>
      </c>
      <c r="C6279">
        <f>IF(B6279="","",INT(A6279))</f>
        <v/>
      </c>
      <c r="D6279">
        <f>IF(B6279="","",HOUR(A6279))</f>
        <v/>
      </c>
    </row>
    <row r="6280">
      <c r="A6280">
        <f>Input!A6280</f>
        <v/>
      </c>
      <c r="B6280">
        <f>IF(ISNUMBER(Input!B6280),IF(AND(Input!B6280&gt;=20,Input!B6280&lt;=700),Input!B6280,""),"")</f>
        <v/>
      </c>
      <c r="C6280">
        <f>IF(B6280="","",INT(A6280))</f>
        <v/>
      </c>
      <c r="D6280">
        <f>IF(B6280="","",HOUR(A6280))</f>
        <v/>
      </c>
    </row>
    <row r="6281">
      <c r="A6281">
        <f>Input!A6281</f>
        <v/>
      </c>
      <c r="B6281">
        <f>IF(ISNUMBER(Input!B6281),IF(AND(Input!B6281&gt;=20,Input!B6281&lt;=700),Input!B6281,""),"")</f>
        <v/>
      </c>
      <c r="C6281">
        <f>IF(B6281="","",INT(A6281))</f>
        <v/>
      </c>
      <c r="D6281">
        <f>IF(B6281="","",HOUR(A6281))</f>
        <v/>
      </c>
    </row>
    <row r="6282">
      <c r="A6282">
        <f>Input!A6282</f>
        <v/>
      </c>
      <c r="B6282">
        <f>IF(ISNUMBER(Input!B6282),IF(AND(Input!B6282&gt;=20,Input!B6282&lt;=700),Input!B6282,""),"")</f>
        <v/>
      </c>
      <c r="C6282">
        <f>IF(B6282="","",INT(A6282))</f>
        <v/>
      </c>
      <c r="D6282">
        <f>IF(B6282="","",HOUR(A6282))</f>
        <v/>
      </c>
    </row>
    <row r="6283">
      <c r="A6283">
        <f>Input!A6283</f>
        <v/>
      </c>
      <c r="B6283">
        <f>IF(ISNUMBER(Input!B6283),IF(AND(Input!B6283&gt;=20,Input!B6283&lt;=700),Input!B6283,""),"")</f>
        <v/>
      </c>
      <c r="C6283">
        <f>IF(B6283="","",INT(A6283))</f>
        <v/>
      </c>
      <c r="D6283">
        <f>IF(B6283="","",HOUR(A6283))</f>
        <v/>
      </c>
    </row>
    <row r="6284">
      <c r="A6284">
        <f>Input!A6284</f>
        <v/>
      </c>
      <c r="B6284">
        <f>IF(ISNUMBER(Input!B6284),IF(AND(Input!B6284&gt;=20,Input!B6284&lt;=700),Input!B6284,""),"")</f>
        <v/>
      </c>
      <c r="C6284">
        <f>IF(B6284="","",INT(A6284))</f>
        <v/>
      </c>
      <c r="D6284">
        <f>IF(B6284="","",HOUR(A6284))</f>
        <v/>
      </c>
    </row>
    <row r="6285">
      <c r="A6285">
        <f>Input!A6285</f>
        <v/>
      </c>
      <c r="B6285">
        <f>IF(ISNUMBER(Input!B6285),IF(AND(Input!B6285&gt;=20,Input!B6285&lt;=700),Input!B6285,""),"")</f>
        <v/>
      </c>
      <c r="C6285">
        <f>IF(B6285="","",INT(A6285))</f>
        <v/>
      </c>
      <c r="D6285">
        <f>IF(B6285="","",HOUR(A6285))</f>
        <v/>
      </c>
    </row>
    <row r="6286">
      <c r="A6286">
        <f>Input!A6286</f>
        <v/>
      </c>
      <c r="B6286">
        <f>IF(ISNUMBER(Input!B6286),IF(AND(Input!B6286&gt;=20,Input!B6286&lt;=700),Input!B6286,""),"")</f>
        <v/>
      </c>
      <c r="C6286">
        <f>IF(B6286="","",INT(A6286))</f>
        <v/>
      </c>
      <c r="D6286">
        <f>IF(B6286="","",HOUR(A6286))</f>
        <v/>
      </c>
    </row>
    <row r="6287">
      <c r="A6287">
        <f>Input!A6287</f>
        <v/>
      </c>
      <c r="B6287">
        <f>IF(ISNUMBER(Input!B6287),IF(AND(Input!B6287&gt;=20,Input!B6287&lt;=700),Input!B6287,""),"")</f>
        <v/>
      </c>
      <c r="C6287">
        <f>IF(B6287="","",INT(A6287))</f>
        <v/>
      </c>
      <c r="D6287">
        <f>IF(B6287="","",HOUR(A6287))</f>
        <v/>
      </c>
    </row>
    <row r="6288">
      <c r="A6288">
        <f>Input!A6288</f>
        <v/>
      </c>
      <c r="B6288">
        <f>IF(ISNUMBER(Input!B6288),IF(AND(Input!B6288&gt;=20,Input!B6288&lt;=700),Input!B6288,""),"")</f>
        <v/>
      </c>
      <c r="C6288">
        <f>IF(B6288="","",INT(A6288))</f>
        <v/>
      </c>
      <c r="D6288">
        <f>IF(B6288="","",HOUR(A6288))</f>
        <v/>
      </c>
    </row>
    <row r="6289">
      <c r="A6289">
        <f>Input!A6289</f>
        <v/>
      </c>
      <c r="B6289">
        <f>IF(ISNUMBER(Input!B6289),IF(AND(Input!B6289&gt;=20,Input!B6289&lt;=700),Input!B6289,""),"")</f>
        <v/>
      </c>
      <c r="C6289">
        <f>IF(B6289="","",INT(A6289))</f>
        <v/>
      </c>
      <c r="D6289">
        <f>IF(B6289="","",HOUR(A6289))</f>
        <v/>
      </c>
    </row>
    <row r="6290">
      <c r="A6290">
        <f>Input!A6290</f>
        <v/>
      </c>
      <c r="B6290">
        <f>IF(ISNUMBER(Input!B6290),IF(AND(Input!B6290&gt;=20,Input!B6290&lt;=700),Input!B6290,""),"")</f>
        <v/>
      </c>
      <c r="C6290">
        <f>IF(B6290="","",INT(A6290))</f>
        <v/>
      </c>
      <c r="D6290">
        <f>IF(B6290="","",HOUR(A6290))</f>
        <v/>
      </c>
    </row>
    <row r="6291">
      <c r="A6291">
        <f>Input!A6291</f>
        <v/>
      </c>
      <c r="B6291">
        <f>IF(ISNUMBER(Input!B6291),IF(AND(Input!B6291&gt;=20,Input!B6291&lt;=700),Input!B6291,""),"")</f>
        <v/>
      </c>
      <c r="C6291">
        <f>IF(B6291="","",INT(A6291))</f>
        <v/>
      </c>
      <c r="D6291">
        <f>IF(B6291="","",HOUR(A6291))</f>
        <v/>
      </c>
    </row>
    <row r="6292">
      <c r="A6292">
        <f>Input!A6292</f>
        <v/>
      </c>
      <c r="B6292">
        <f>IF(ISNUMBER(Input!B6292),IF(AND(Input!B6292&gt;=20,Input!B6292&lt;=700),Input!B6292,""),"")</f>
        <v/>
      </c>
      <c r="C6292">
        <f>IF(B6292="","",INT(A6292))</f>
        <v/>
      </c>
      <c r="D6292">
        <f>IF(B6292="","",HOUR(A6292))</f>
        <v/>
      </c>
    </row>
    <row r="6293">
      <c r="A6293">
        <f>Input!A6293</f>
        <v/>
      </c>
      <c r="B6293">
        <f>IF(ISNUMBER(Input!B6293),IF(AND(Input!B6293&gt;=20,Input!B6293&lt;=700),Input!B6293,""),"")</f>
        <v/>
      </c>
      <c r="C6293">
        <f>IF(B6293="","",INT(A6293))</f>
        <v/>
      </c>
      <c r="D6293">
        <f>IF(B6293="","",HOUR(A6293))</f>
        <v/>
      </c>
    </row>
    <row r="6294">
      <c r="A6294">
        <f>Input!A6294</f>
        <v/>
      </c>
      <c r="B6294">
        <f>IF(ISNUMBER(Input!B6294),IF(AND(Input!B6294&gt;=20,Input!B6294&lt;=700),Input!B6294,""),"")</f>
        <v/>
      </c>
      <c r="C6294">
        <f>IF(B6294="","",INT(A6294))</f>
        <v/>
      </c>
      <c r="D6294">
        <f>IF(B6294="","",HOUR(A6294))</f>
        <v/>
      </c>
    </row>
    <row r="6295">
      <c r="A6295">
        <f>Input!A6295</f>
        <v/>
      </c>
      <c r="B6295">
        <f>IF(ISNUMBER(Input!B6295),IF(AND(Input!B6295&gt;=20,Input!B6295&lt;=700),Input!B6295,""),"")</f>
        <v/>
      </c>
      <c r="C6295">
        <f>IF(B6295="","",INT(A6295))</f>
        <v/>
      </c>
      <c r="D6295">
        <f>IF(B6295="","",HOUR(A6295))</f>
        <v/>
      </c>
    </row>
    <row r="6296">
      <c r="A6296">
        <f>Input!A6296</f>
        <v/>
      </c>
      <c r="B6296">
        <f>IF(ISNUMBER(Input!B6296),IF(AND(Input!B6296&gt;=20,Input!B6296&lt;=700),Input!B6296,""),"")</f>
        <v/>
      </c>
      <c r="C6296">
        <f>IF(B6296="","",INT(A6296))</f>
        <v/>
      </c>
      <c r="D6296">
        <f>IF(B6296="","",HOUR(A6296))</f>
        <v/>
      </c>
    </row>
    <row r="6297">
      <c r="A6297">
        <f>Input!A6297</f>
        <v/>
      </c>
      <c r="B6297">
        <f>IF(ISNUMBER(Input!B6297),IF(AND(Input!B6297&gt;=20,Input!B6297&lt;=700),Input!B6297,""),"")</f>
        <v/>
      </c>
      <c r="C6297">
        <f>IF(B6297="","",INT(A6297))</f>
        <v/>
      </c>
      <c r="D6297">
        <f>IF(B6297="","",HOUR(A6297))</f>
        <v/>
      </c>
    </row>
    <row r="6298">
      <c r="A6298">
        <f>Input!A6298</f>
        <v/>
      </c>
      <c r="B6298">
        <f>IF(ISNUMBER(Input!B6298),IF(AND(Input!B6298&gt;=20,Input!B6298&lt;=700),Input!B6298,""),"")</f>
        <v/>
      </c>
      <c r="C6298">
        <f>IF(B6298="","",INT(A6298))</f>
        <v/>
      </c>
      <c r="D6298">
        <f>IF(B6298="","",HOUR(A6298))</f>
        <v/>
      </c>
    </row>
    <row r="6299">
      <c r="A6299">
        <f>Input!A6299</f>
        <v/>
      </c>
      <c r="B6299">
        <f>IF(ISNUMBER(Input!B6299),IF(AND(Input!B6299&gt;=20,Input!B6299&lt;=700),Input!B6299,""),"")</f>
        <v/>
      </c>
      <c r="C6299">
        <f>IF(B6299="","",INT(A6299))</f>
        <v/>
      </c>
      <c r="D6299">
        <f>IF(B6299="","",HOUR(A6299))</f>
        <v/>
      </c>
    </row>
    <row r="6300">
      <c r="A6300">
        <f>Input!A6300</f>
        <v/>
      </c>
      <c r="B6300">
        <f>IF(ISNUMBER(Input!B6300),IF(AND(Input!B6300&gt;=20,Input!B6300&lt;=700),Input!B6300,""),"")</f>
        <v/>
      </c>
      <c r="C6300">
        <f>IF(B6300="","",INT(A6300))</f>
        <v/>
      </c>
      <c r="D6300">
        <f>IF(B6300="","",HOUR(A6300))</f>
        <v/>
      </c>
    </row>
    <row r="6301">
      <c r="A6301">
        <f>Input!A6301</f>
        <v/>
      </c>
      <c r="B6301">
        <f>IF(ISNUMBER(Input!B6301),IF(AND(Input!B6301&gt;=20,Input!B6301&lt;=700),Input!B6301,""),"")</f>
        <v/>
      </c>
      <c r="C6301">
        <f>IF(B6301="","",INT(A6301))</f>
        <v/>
      </c>
      <c r="D6301">
        <f>IF(B6301="","",HOUR(A6301))</f>
        <v/>
      </c>
    </row>
    <row r="6302">
      <c r="A6302">
        <f>Input!A6302</f>
        <v/>
      </c>
      <c r="B6302">
        <f>IF(ISNUMBER(Input!B6302),IF(AND(Input!B6302&gt;=20,Input!B6302&lt;=700),Input!B6302,""),"")</f>
        <v/>
      </c>
      <c r="C6302">
        <f>IF(B6302="","",INT(A6302))</f>
        <v/>
      </c>
      <c r="D6302">
        <f>IF(B6302="","",HOUR(A6302))</f>
        <v/>
      </c>
    </row>
    <row r="6303">
      <c r="A6303">
        <f>Input!A6303</f>
        <v/>
      </c>
      <c r="B6303">
        <f>IF(ISNUMBER(Input!B6303),IF(AND(Input!B6303&gt;=20,Input!B6303&lt;=700),Input!B6303,""),"")</f>
        <v/>
      </c>
      <c r="C6303">
        <f>IF(B6303="","",INT(A6303))</f>
        <v/>
      </c>
      <c r="D6303">
        <f>IF(B6303="","",HOUR(A6303))</f>
        <v/>
      </c>
    </row>
    <row r="6304">
      <c r="A6304">
        <f>Input!A6304</f>
        <v/>
      </c>
      <c r="B6304">
        <f>IF(ISNUMBER(Input!B6304),IF(AND(Input!B6304&gt;=20,Input!B6304&lt;=700),Input!B6304,""),"")</f>
        <v/>
      </c>
      <c r="C6304">
        <f>IF(B6304="","",INT(A6304))</f>
        <v/>
      </c>
      <c r="D6304">
        <f>IF(B6304="","",HOUR(A6304))</f>
        <v/>
      </c>
    </row>
    <row r="6305">
      <c r="A6305">
        <f>Input!A6305</f>
        <v/>
      </c>
      <c r="B6305">
        <f>IF(ISNUMBER(Input!B6305),IF(AND(Input!B6305&gt;=20,Input!B6305&lt;=700),Input!B6305,""),"")</f>
        <v/>
      </c>
      <c r="C6305">
        <f>IF(B6305="","",INT(A6305))</f>
        <v/>
      </c>
      <c r="D6305">
        <f>IF(B6305="","",HOUR(A6305))</f>
        <v/>
      </c>
    </row>
    <row r="6306">
      <c r="A6306">
        <f>Input!A6306</f>
        <v/>
      </c>
      <c r="B6306">
        <f>IF(ISNUMBER(Input!B6306),IF(AND(Input!B6306&gt;=20,Input!B6306&lt;=700),Input!B6306,""),"")</f>
        <v/>
      </c>
      <c r="C6306">
        <f>IF(B6306="","",INT(A6306))</f>
        <v/>
      </c>
      <c r="D6306">
        <f>IF(B6306="","",HOUR(A6306))</f>
        <v/>
      </c>
    </row>
    <row r="6307">
      <c r="A6307">
        <f>Input!A6307</f>
        <v/>
      </c>
      <c r="B6307">
        <f>IF(ISNUMBER(Input!B6307),IF(AND(Input!B6307&gt;=20,Input!B6307&lt;=700),Input!B6307,""),"")</f>
        <v/>
      </c>
      <c r="C6307">
        <f>IF(B6307="","",INT(A6307))</f>
        <v/>
      </c>
      <c r="D6307">
        <f>IF(B6307="","",HOUR(A6307))</f>
        <v/>
      </c>
    </row>
    <row r="6308">
      <c r="A6308">
        <f>Input!A6308</f>
        <v/>
      </c>
      <c r="B6308">
        <f>IF(ISNUMBER(Input!B6308),IF(AND(Input!B6308&gt;=20,Input!B6308&lt;=700),Input!B6308,""),"")</f>
        <v/>
      </c>
      <c r="C6308">
        <f>IF(B6308="","",INT(A6308))</f>
        <v/>
      </c>
      <c r="D6308">
        <f>IF(B6308="","",HOUR(A6308))</f>
        <v/>
      </c>
    </row>
    <row r="6309">
      <c r="A6309">
        <f>Input!A6309</f>
        <v/>
      </c>
      <c r="B6309">
        <f>IF(ISNUMBER(Input!B6309),IF(AND(Input!B6309&gt;=20,Input!B6309&lt;=700),Input!B6309,""),"")</f>
        <v/>
      </c>
      <c r="C6309">
        <f>IF(B6309="","",INT(A6309))</f>
        <v/>
      </c>
      <c r="D6309">
        <f>IF(B6309="","",HOUR(A6309))</f>
        <v/>
      </c>
    </row>
    <row r="6310">
      <c r="A6310">
        <f>Input!A6310</f>
        <v/>
      </c>
      <c r="B6310">
        <f>IF(ISNUMBER(Input!B6310),IF(AND(Input!B6310&gt;=20,Input!B6310&lt;=700),Input!B6310,""),"")</f>
        <v/>
      </c>
      <c r="C6310">
        <f>IF(B6310="","",INT(A6310))</f>
        <v/>
      </c>
      <c r="D6310">
        <f>IF(B6310="","",HOUR(A6310))</f>
        <v/>
      </c>
    </row>
    <row r="6311">
      <c r="A6311">
        <f>Input!A6311</f>
        <v/>
      </c>
      <c r="B6311">
        <f>IF(ISNUMBER(Input!B6311),IF(AND(Input!B6311&gt;=20,Input!B6311&lt;=700),Input!B6311,""),"")</f>
        <v/>
      </c>
      <c r="C6311">
        <f>IF(B6311="","",INT(A6311))</f>
        <v/>
      </c>
      <c r="D6311">
        <f>IF(B6311="","",HOUR(A6311))</f>
        <v/>
      </c>
    </row>
    <row r="6312">
      <c r="A6312">
        <f>Input!A6312</f>
        <v/>
      </c>
      <c r="B6312">
        <f>IF(ISNUMBER(Input!B6312),IF(AND(Input!B6312&gt;=20,Input!B6312&lt;=700),Input!B6312,""),"")</f>
        <v/>
      </c>
      <c r="C6312">
        <f>IF(B6312="","",INT(A6312))</f>
        <v/>
      </c>
      <c r="D6312">
        <f>IF(B6312="","",HOUR(A6312))</f>
        <v/>
      </c>
    </row>
    <row r="6313">
      <c r="A6313">
        <f>Input!A6313</f>
        <v/>
      </c>
      <c r="B6313">
        <f>IF(ISNUMBER(Input!B6313),IF(AND(Input!B6313&gt;=20,Input!B6313&lt;=700),Input!B6313,""),"")</f>
        <v/>
      </c>
      <c r="C6313">
        <f>IF(B6313="","",INT(A6313))</f>
        <v/>
      </c>
      <c r="D6313">
        <f>IF(B6313="","",HOUR(A6313))</f>
        <v/>
      </c>
    </row>
    <row r="6314">
      <c r="A6314">
        <f>Input!A6314</f>
        <v/>
      </c>
      <c r="B6314">
        <f>IF(ISNUMBER(Input!B6314),IF(AND(Input!B6314&gt;=20,Input!B6314&lt;=700),Input!B6314,""),"")</f>
        <v/>
      </c>
      <c r="C6314">
        <f>IF(B6314="","",INT(A6314))</f>
        <v/>
      </c>
      <c r="D6314">
        <f>IF(B6314="","",HOUR(A6314))</f>
        <v/>
      </c>
    </row>
    <row r="6315">
      <c r="A6315">
        <f>Input!A6315</f>
        <v/>
      </c>
      <c r="B6315">
        <f>IF(ISNUMBER(Input!B6315),IF(AND(Input!B6315&gt;=20,Input!B6315&lt;=700),Input!B6315,""),"")</f>
        <v/>
      </c>
      <c r="C6315">
        <f>IF(B6315="","",INT(A6315))</f>
        <v/>
      </c>
      <c r="D6315">
        <f>IF(B6315="","",HOUR(A6315))</f>
        <v/>
      </c>
    </row>
    <row r="6316">
      <c r="A6316">
        <f>Input!A6316</f>
        <v/>
      </c>
      <c r="B6316">
        <f>IF(ISNUMBER(Input!B6316),IF(AND(Input!B6316&gt;=20,Input!B6316&lt;=700),Input!B6316,""),"")</f>
        <v/>
      </c>
      <c r="C6316">
        <f>IF(B6316="","",INT(A6316))</f>
        <v/>
      </c>
      <c r="D6316">
        <f>IF(B6316="","",HOUR(A6316))</f>
        <v/>
      </c>
    </row>
    <row r="6317">
      <c r="A6317">
        <f>Input!A6317</f>
        <v/>
      </c>
      <c r="B6317">
        <f>IF(ISNUMBER(Input!B6317),IF(AND(Input!B6317&gt;=20,Input!B6317&lt;=700),Input!B6317,""),"")</f>
        <v/>
      </c>
      <c r="C6317">
        <f>IF(B6317="","",INT(A6317))</f>
        <v/>
      </c>
      <c r="D6317">
        <f>IF(B6317="","",HOUR(A6317))</f>
        <v/>
      </c>
    </row>
    <row r="6318">
      <c r="A6318">
        <f>Input!A6318</f>
        <v/>
      </c>
      <c r="B6318">
        <f>IF(ISNUMBER(Input!B6318),IF(AND(Input!B6318&gt;=20,Input!B6318&lt;=700),Input!B6318,""),"")</f>
        <v/>
      </c>
      <c r="C6318">
        <f>IF(B6318="","",INT(A6318))</f>
        <v/>
      </c>
      <c r="D6318">
        <f>IF(B6318="","",HOUR(A6318))</f>
        <v/>
      </c>
    </row>
    <row r="6319">
      <c r="A6319">
        <f>Input!A6319</f>
        <v/>
      </c>
      <c r="B6319">
        <f>IF(ISNUMBER(Input!B6319),IF(AND(Input!B6319&gt;=20,Input!B6319&lt;=700),Input!B6319,""),"")</f>
        <v/>
      </c>
      <c r="C6319">
        <f>IF(B6319="","",INT(A6319))</f>
        <v/>
      </c>
      <c r="D6319">
        <f>IF(B6319="","",HOUR(A6319))</f>
        <v/>
      </c>
    </row>
    <row r="6320">
      <c r="A6320">
        <f>Input!A6320</f>
        <v/>
      </c>
      <c r="B6320">
        <f>IF(ISNUMBER(Input!B6320),IF(AND(Input!B6320&gt;=20,Input!B6320&lt;=700),Input!B6320,""),"")</f>
        <v/>
      </c>
      <c r="C6320">
        <f>IF(B6320="","",INT(A6320))</f>
        <v/>
      </c>
      <c r="D6320">
        <f>IF(B6320="","",HOUR(A6320))</f>
        <v/>
      </c>
    </row>
    <row r="6321">
      <c r="A6321">
        <f>Input!A6321</f>
        <v/>
      </c>
      <c r="B6321">
        <f>IF(ISNUMBER(Input!B6321),IF(AND(Input!B6321&gt;=20,Input!B6321&lt;=700),Input!B6321,""),"")</f>
        <v/>
      </c>
      <c r="C6321">
        <f>IF(B6321="","",INT(A6321))</f>
        <v/>
      </c>
      <c r="D6321">
        <f>IF(B6321="","",HOUR(A6321))</f>
        <v/>
      </c>
    </row>
    <row r="6322">
      <c r="A6322">
        <f>Input!A6322</f>
        <v/>
      </c>
      <c r="B6322">
        <f>IF(ISNUMBER(Input!B6322),IF(AND(Input!B6322&gt;=20,Input!B6322&lt;=700),Input!B6322,""),"")</f>
        <v/>
      </c>
      <c r="C6322">
        <f>IF(B6322="","",INT(A6322))</f>
        <v/>
      </c>
      <c r="D6322">
        <f>IF(B6322="","",HOUR(A6322))</f>
        <v/>
      </c>
    </row>
    <row r="6323">
      <c r="A6323">
        <f>Input!A6323</f>
        <v/>
      </c>
      <c r="B6323">
        <f>IF(ISNUMBER(Input!B6323),IF(AND(Input!B6323&gt;=20,Input!B6323&lt;=700),Input!B6323,""),"")</f>
        <v/>
      </c>
      <c r="C6323">
        <f>IF(B6323="","",INT(A6323))</f>
        <v/>
      </c>
      <c r="D6323">
        <f>IF(B6323="","",HOUR(A6323))</f>
        <v/>
      </c>
    </row>
    <row r="6324">
      <c r="A6324">
        <f>Input!A6324</f>
        <v/>
      </c>
      <c r="B6324">
        <f>IF(ISNUMBER(Input!B6324),IF(AND(Input!B6324&gt;=20,Input!B6324&lt;=700),Input!B6324,""),"")</f>
        <v/>
      </c>
      <c r="C6324">
        <f>IF(B6324="","",INT(A6324))</f>
        <v/>
      </c>
      <c r="D6324">
        <f>IF(B6324="","",HOUR(A6324))</f>
        <v/>
      </c>
    </row>
    <row r="6325">
      <c r="A6325">
        <f>Input!A6325</f>
        <v/>
      </c>
      <c r="B6325">
        <f>IF(ISNUMBER(Input!B6325),IF(AND(Input!B6325&gt;=20,Input!B6325&lt;=700),Input!B6325,""),"")</f>
        <v/>
      </c>
      <c r="C6325">
        <f>IF(B6325="","",INT(A6325))</f>
        <v/>
      </c>
      <c r="D6325">
        <f>IF(B6325="","",HOUR(A6325))</f>
        <v/>
      </c>
    </row>
    <row r="6326">
      <c r="A6326">
        <f>Input!A6326</f>
        <v/>
      </c>
      <c r="B6326">
        <f>IF(ISNUMBER(Input!B6326),IF(AND(Input!B6326&gt;=20,Input!B6326&lt;=700),Input!B6326,""),"")</f>
        <v/>
      </c>
      <c r="C6326">
        <f>IF(B6326="","",INT(A6326))</f>
        <v/>
      </c>
      <c r="D6326">
        <f>IF(B6326="","",HOUR(A6326))</f>
        <v/>
      </c>
    </row>
    <row r="6327">
      <c r="A6327">
        <f>Input!A6327</f>
        <v/>
      </c>
      <c r="B6327">
        <f>IF(ISNUMBER(Input!B6327),IF(AND(Input!B6327&gt;=20,Input!B6327&lt;=700),Input!B6327,""),"")</f>
        <v/>
      </c>
      <c r="C6327">
        <f>IF(B6327="","",INT(A6327))</f>
        <v/>
      </c>
      <c r="D6327">
        <f>IF(B6327="","",HOUR(A6327))</f>
        <v/>
      </c>
    </row>
    <row r="6328">
      <c r="A6328">
        <f>Input!A6328</f>
        <v/>
      </c>
      <c r="B6328">
        <f>IF(ISNUMBER(Input!B6328),IF(AND(Input!B6328&gt;=20,Input!B6328&lt;=700),Input!B6328,""),"")</f>
        <v/>
      </c>
      <c r="C6328">
        <f>IF(B6328="","",INT(A6328))</f>
        <v/>
      </c>
      <c r="D6328">
        <f>IF(B6328="","",HOUR(A6328))</f>
        <v/>
      </c>
    </row>
    <row r="6329">
      <c r="A6329">
        <f>Input!A6329</f>
        <v/>
      </c>
      <c r="B6329">
        <f>IF(ISNUMBER(Input!B6329),IF(AND(Input!B6329&gt;=20,Input!B6329&lt;=700),Input!B6329,""),"")</f>
        <v/>
      </c>
      <c r="C6329">
        <f>IF(B6329="","",INT(A6329))</f>
        <v/>
      </c>
      <c r="D6329">
        <f>IF(B6329="","",HOUR(A6329))</f>
        <v/>
      </c>
    </row>
    <row r="6330">
      <c r="A6330">
        <f>Input!A6330</f>
        <v/>
      </c>
      <c r="B6330">
        <f>IF(ISNUMBER(Input!B6330),IF(AND(Input!B6330&gt;=20,Input!B6330&lt;=700),Input!B6330,""),"")</f>
        <v/>
      </c>
      <c r="C6330">
        <f>IF(B6330="","",INT(A6330))</f>
        <v/>
      </c>
      <c r="D6330">
        <f>IF(B6330="","",HOUR(A6330))</f>
        <v/>
      </c>
    </row>
    <row r="6331">
      <c r="A6331">
        <f>Input!A6331</f>
        <v/>
      </c>
      <c r="B6331">
        <f>IF(ISNUMBER(Input!B6331),IF(AND(Input!B6331&gt;=20,Input!B6331&lt;=700),Input!B6331,""),"")</f>
        <v/>
      </c>
      <c r="C6331">
        <f>IF(B6331="","",INT(A6331))</f>
        <v/>
      </c>
      <c r="D6331">
        <f>IF(B6331="","",HOUR(A6331))</f>
        <v/>
      </c>
    </row>
    <row r="6332">
      <c r="A6332">
        <f>Input!A6332</f>
        <v/>
      </c>
      <c r="B6332">
        <f>IF(ISNUMBER(Input!B6332),IF(AND(Input!B6332&gt;=20,Input!B6332&lt;=700),Input!B6332,""),"")</f>
        <v/>
      </c>
      <c r="C6332">
        <f>IF(B6332="","",INT(A6332))</f>
        <v/>
      </c>
      <c r="D6332">
        <f>IF(B6332="","",HOUR(A6332))</f>
        <v/>
      </c>
    </row>
    <row r="6333">
      <c r="A6333">
        <f>Input!A6333</f>
        <v/>
      </c>
      <c r="B6333">
        <f>IF(ISNUMBER(Input!B6333),IF(AND(Input!B6333&gt;=20,Input!B6333&lt;=700),Input!B6333,""),"")</f>
        <v/>
      </c>
      <c r="C6333">
        <f>IF(B6333="","",INT(A6333))</f>
        <v/>
      </c>
      <c r="D6333">
        <f>IF(B6333="","",HOUR(A6333))</f>
        <v/>
      </c>
    </row>
    <row r="6334">
      <c r="A6334">
        <f>Input!A6334</f>
        <v/>
      </c>
      <c r="B6334">
        <f>IF(ISNUMBER(Input!B6334),IF(AND(Input!B6334&gt;=20,Input!B6334&lt;=700),Input!B6334,""),"")</f>
        <v/>
      </c>
      <c r="C6334">
        <f>IF(B6334="","",INT(A6334))</f>
        <v/>
      </c>
      <c r="D6334">
        <f>IF(B6334="","",HOUR(A6334))</f>
        <v/>
      </c>
    </row>
    <row r="6335">
      <c r="A6335">
        <f>Input!A6335</f>
        <v/>
      </c>
      <c r="B6335">
        <f>IF(ISNUMBER(Input!B6335),IF(AND(Input!B6335&gt;=20,Input!B6335&lt;=700),Input!B6335,""),"")</f>
        <v/>
      </c>
      <c r="C6335">
        <f>IF(B6335="","",INT(A6335))</f>
        <v/>
      </c>
      <c r="D6335">
        <f>IF(B6335="","",HOUR(A6335))</f>
        <v/>
      </c>
    </row>
    <row r="6336">
      <c r="A6336">
        <f>Input!A6336</f>
        <v/>
      </c>
      <c r="B6336">
        <f>IF(ISNUMBER(Input!B6336),IF(AND(Input!B6336&gt;=20,Input!B6336&lt;=700),Input!B6336,""),"")</f>
        <v/>
      </c>
      <c r="C6336">
        <f>IF(B6336="","",INT(A6336))</f>
        <v/>
      </c>
      <c r="D6336">
        <f>IF(B6336="","",HOUR(A6336))</f>
        <v/>
      </c>
    </row>
    <row r="6337">
      <c r="A6337">
        <f>Input!A6337</f>
        <v/>
      </c>
      <c r="B6337">
        <f>IF(ISNUMBER(Input!B6337),IF(AND(Input!B6337&gt;=20,Input!B6337&lt;=700),Input!B6337,""),"")</f>
        <v/>
      </c>
      <c r="C6337">
        <f>IF(B6337="","",INT(A6337))</f>
        <v/>
      </c>
      <c r="D6337">
        <f>IF(B6337="","",HOUR(A6337))</f>
        <v/>
      </c>
    </row>
    <row r="6338">
      <c r="A6338">
        <f>Input!A6338</f>
        <v/>
      </c>
      <c r="B6338">
        <f>IF(ISNUMBER(Input!B6338),IF(AND(Input!B6338&gt;=20,Input!B6338&lt;=700),Input!B6338,""),"")</f>
        <v/>
      </c>
      <c r="C6338">
        <f>IF(B6338="","",INT(A6338))</f>
        <v/>
      </c>
      <c r="D6338">
        <f>IF(B6338="","",HOUR(A6338))</f>
        <v/>
      </c>
    </row>
    <row r="6339">
      <c r="A6339">
        <f>Input!A6339</f>
        <v/>
      </c>
      <c r="B6339">
        <f>IF(ISNUMBER(Input!B6339),IF(AND(Input!B6339&gt;=20,Input!B6339&lt;=700),Input!B6339,""),"")</f>
        <v/>
      </c>
      <c r="C6339">
        <f>IF(B6339="","",INT(A6339))</f>
        <v/>
      </c>
      <c r="D6339">
        <f>IF(B6339="","",HOUR(A6339))</f>
        <v/>
      </c>
    </row>
    <row r="6340">
      <c r="A6340">
        <f>Input!A6340</f>
        <v/>
      </c>
      <c r="B6340">
        <f>IF(ISNUMBER(Input!B6340),IF(AND(Input!B6340&gt;=20,Input!B6340&lt;=700),Input!B6340,""),"")</f>
        <v/>
      </c>
      <c r="C6340">
        <f>IF(B6340="","",INT(A6340))</f>
        <v/>
      </c>
      <c r="D6340">
        <f>IF(B6340="","",HOUR(A6340))</f>
        <v/>
      </c>
    </row>
    <row r="6341">
      <c r="A6341">
        <f>Input!A6341</f>
        <v/>
      </c>
      <c r="B6341">
        <f>IF(ISNUMBER(Input!B6341),IF(AND(Input!B6341&gt;=20,Input!B6341&lt;=700),Input!B6341,""),"")</f>
        <v/>
      </c>
      <c r="C6341">
        <f>IF(B6341="","",INT(A6341))</f>
        <v/>
      </c>
      <c r="D6341">
        <f>IF(B6341="","",HOUR(A6341))</f>
        <v/>
      </c>
    </row>
    <row r="6342">
      <c r="A6342">
        <f>Input!A6342</f>
        <v/>
      </c>
      <c r="B6342">
        <f>IF(ISNUMBER(Input!B6342),IF(AND(Input!B6342&gt;=20,Input!B6342&lt;=700),Input!B6342,""),"")</f>
        <v/>
      </c>
      <c r="C6342">
        <f>IF(B6342="","",INT(A6342))</f>
        <v/>
      </c>
      <c r="D6342">
        <f>IF(B6342="","",HOUR(A6342))</f>
        <v/>
      </c>
    </row>
    <row r="6343">
      <c r="A6343">
        <f>Input!A6343</f>
        <v/>
      </c>
      <c r="B6343">
        <f>IF(ISNUMBER(Input!B6343),IF(AND(Input!B6343&gt;=20,Input!B6343&lt;=700),Input!B6343,""),"")</f>
        <v/>
      </c>
      <c r="C6343">
        <f>IF(B6343="","",INT(A6343))</f>
        <v/>
      </c>
      <c r="D6343">
        <f>IF(B6343="","",HOUR(A6343))</f>
        <v/>
      </c>
    </row>
    <row r="6344">
      <c r="A6344">
        <f>Input!A6344</f>
        <v/>
      </c>
      <c r="B6344">
        <f>IF(ISNUMBER(Input!B6344),IF(AND(Input!B6344&gt;=20,Input!B6344&lt;=700),Input!B6344,""),"")</f>
        <v/>
      </c>
      <c r="C6344">
        <f>IF(B6344="","",INT(A6344))</f>
        <v/>
      </c>
      <c r="D6344">
        <f>IF(B6344="","",HOUR(A6344))</f>
        <v/>
      </c>
    </row>
    <row r="6345">
      <c r="A6345">
        <f>Input!A6345</f>
        <v/>
      </c>
      <c r="B6345">
        <f>IF(ISNUMBER(Input!B6345),IF(AND(Input!B6345&gt;=20,Input!B6345&lt;=700),Input!B6345,""),"")</f>
        <v/>
      </c>
      <c r="C6345">
        <f>IF(B6345="","",INT(A6345))</f>
        <v/>
      </c>
      <c r="D6345">
        <f>IF(B6345="","",HOUR(A6345))</f>
        <v/>
      </c>
    </row>
    <row r="6346">
      <c r="A6346">
        <f>Input!A6346</f>
        <v/>
      </c>
      <c r="B6346">
        <f>IF(ISNUMBER(Input!B6346),IF(AND(Input!B6346&gt;=20,Input!B6346&lt;=700),Input!B6346,""),"")</f>
        <v/>
      </c>
      <c r="C6346">
        <f>IF(B6346="","",INT(A6346))</f>
        <v/>
      </c>
      <c r="D6346">
        <f>IF(B6346="","",HOUR(A6346))</f>
        <v/>
      </c>
    </row>
    <row r="6347">
      <c r="A6347">
        <f>Input!A6347</f>
        <v/>
      </c>
      <c r="B6347">
        <f>IF(ISNUMBER(Input!B6347),IF(AND(Input!B6347&gt;=20,Input!B6347&lt;=700),Input!B6347,""),"")</f>
        <v/>
      </c>
      <c r="C6347">
        <f>IF(B6347="","",INT(A6347))</f>
        <v/>
      </c>
      <c r="D6347">
        <f>IF(B6347="","",HOUR(A6347))</f>
        <v/>
      </c>
    </row>
    <row r="6348">
      <c r="A6348">
        <f>Input!A6348</f>
        <v/>
      </c>
      <c r="B6348">
        <f>IF(ISNUMBER(Input!B6348),IF(AND(Input!B6348&gt;=20,Input!B6348&lt;=700),Input!B6348,""),"")</f>
        <v/>
      </c>
      <c r="C6348">
        <f>IF(B6348="","",INT(A6348))</f>
        <v/>
      </c>
      <c r="D6348">
        <f>IF(B6348="","",HOUR(A6348))</f>
        <v/>
      </c>
    </row>
    <row r="6349">
      <c r="A6349">
        <f>Input!A6349</f>
        <v/>
      </c>
      <c r="B6349">
        <f>IF(ISNUMBER(Input!B6349),IF(AND(Input!B6349&gt;=20,Input!B6349&lt;=700),Input!B6349,""),"")</f>
        <v/>
      </c>
      <c r="C6349">
        <f>IF(B6349="","",INT(A6349))</f>
        <v/>
      </c>
      <c r="D6349">
        <f>IF(B6349="","",HOUR(A6349))</f>
        <v/>
      </c>
    </row>
    <row r="6350">
      <c r="A6350">
        <f>Input!A6350</f>
        <v/>
      </c>
      <c r="B6350">
        <f>IF(ISNUMBER(Input!B6350),IF(AND(Input!B6350&gt;=20,Input!B6350&lt;=700),Input!B6350,""),"")</f>
        <v/>
      </c>
      <c r="C6350">
        <f>IF(B6350="","",INT(A6350))</f>
        <v/>
      </c>
      <c r="D6350">
        <f>IF(B6350="","",HOUR(A6350))</f>
        <v/>
      </c>
    </row>
    <row r="6351">
      <c r="A6351">
        <f>Input!A6351</f>
        <v/>
      </c>
      <c r="B6351">
        <f>IF(ISNUMBER(Input!B6351),IF(AND(Input!B6351&gt;=20,Input!B6351&lt;=700),Input!B6351,""),"")</f>
        <v/>
      </c>
      <c r="C6351">
        <f>IF(B6351="","",INT(A6351))</f>
        <v/>
      </c>
      <c r="D6351">
        <f>IF(B6351="","",HOUR(A6351))</f>
        <v/>
      </c>
    </row>
    <row r="6352">
      <c r="A6352">
        <f>Input!A6352</f>
        <v/>
      </c>
      <c r="B6352">
        <f>IF(ISNUMBER(Input!B6352),IF(AND(Input!B6352&gt;=20,Input!B6352&lt;=700),Input!B6352,""),"")</f>
        <v/>
      </c>
      <c r="C6352">
        <f>IF(B6352="","",INT(A6352))</f>
        <v/>
      </c>
      <c r="D6352">
        <f>IF(B6352="","",HOUR(A6352))</f>
        <v/>
      </c>
    </row>
    <row r="6353">
      <c r="A6353">
        <f>Input!A6353</f>
        <v/>
      </c>
      <c r="B6353">
        <f>IF(ISNUMBER(Input!B6353),IF(AND(Input!B6353&gt;=20,Input!B6353&lt;=700),Input!B6353,""),"")</f>
        <v/>
      </c>
      <c r="C6353">
        <f>IF(B6353="","",INT(A6353))</f>
        <v/>
      </c>
      <c r="D6353">
        <f>IF(B6353="","",HOUR(A6353))</f>
        <v/>
      </c>
    </row>
    <row r="6354">
      <c r="A6354">
        <f>Input!A6354</f>
        <v/>
      </c>
      <c r="B6354">
        <f>IF(ISNUMBER(Input!B6354),IF(AND(Input!B6354&gt;=20,Input!B6354&lt;=700),Input!B6354,""),"")</f>
        <v/>
      </c>
      <c r="C6354">
        <f>IF(B6354="","",INT(A6354))</f>
        <v/>
      </c>
      <c r="D6354">
        <f>IF(B6354="","",HOUR(A6354))</f>
        <v/>
      </c>
    </row>
    <row r="6355">
      <c r="A6355">
        <f>Input!A6355</f>
        <v/>
      </c>
      <c r="B6355">
        <f>IF(ISNUMBER(Input!B6355),IF(AND(Input!B6355&gt;=20,Input!B6355&lt;=700),Input!B6355,""),"")</f>
        <v/>
      </c>
      <c r="C6355">
        <f>IF(B6355="","",INT(A6355))</f>
        <v/>
      </c>
      <c r="D6355">
        <f>IF(B6355="","",HOUR(A6355))</f>
        <v/>
      </c>
    </row>
    <row r="6356">
      <c r="A6356">
        <f>Input!A6356</f>
        <v/>
      </c>
      <c r="B6356">
        <f>IF(ISNUMBER(Input!B6356),IF(AND(Input!B6356&gt;=20,Input!B6356&lt;=700),Input!B6356,""),"")</f>
        <v/>
      </c>
      <c r="C6356">
        <f>IF(B6356="","",INT(A6356))</f>
        <v/>
      </c>
      <c r="D6356">
        <f>IF(B6356="","",HOUR(A6356))</f>
        <v/>
      </c>
    </row>
    <row r="6357">
      <c r="A6357">
        <f>Input!A6357</f>
        <v/>
      </c>
      <c r="B6357">
        <f>IF(ISNUMBER(Input!B6357),IF(AND(Input!B6357&gt;=20,Input!B6357&lt;=700),Input!B6357,""),"")</f>
        <v/>
      </c>
      <c r="C6357">
        <f>IF(B6357="","",INT(A6357))</f>
        <v/>
      </c>
      <c r="D6357">
        <f>IF(B6357="","",HOUR(A6357))</f>
        <v/>
      </c>
    </row>
    <row r="6358">
      <c r="A6358">
        <f>Input!A6358</f>
        <v/>
      </c>
      <c r="B6358">
        <f>IF(ISNUMBER(Input!B6358),IF(AND(Input!B6358&gt;=20,Input!B6358&lt;=700),Input!B6358,""),"")</f>
        <v/>
      </c>
      <c r="C6358">
        <f>IF(B6358="","",INT(A6358))</f>
        <v/>
      </c>
      <c r="D6358">
        <f>IF(B6358="","",HOUR(A6358))</f>
        <v/>
      </c>
    </row>
    <row r="6359">
      <c r="A6359">
        <f>Input!A6359</f>
        <v/>
      </c>
      <c r="B6359">
        <f>IF(ISNUMBER(Input!B6359),IF(AND(Input!B6359&gt;=20,Input!B6359&lt;=700),Input!B6359,""),"")</f>
        <v/>
      </c>
      <c r="C6359">
        <f>IF(B6359="","",INT(A6359))</f>
        <v/>
      </c>
      <c r="D6359">
        <f>IF(B6359="","",HOUR(A6359))</f>
        <v/>
      </c>
    </row>
    <row r="6360">
      <c r="A6360">
        <f>Input!A6360</f>
        <v/>
      </c>
      <c r="B6360">
        <f>IF(ISNUMBER(Input!B6360),IF(AND(Input!B6360&gt;=20,Input!B6360&lt;=700),Input!B6360,""),"")</f>
        <v/>
      </c>
      <c r="C6360">
        <f>IF(B6360="","",INT(A6360))</f>
        <v/>
      </c>
      <c r="D6360">
        <f>IF(B6360="","",HOUR(A6360))</f>
        <v/>
      </c>
    </row>
    <row r="6361">
      <c r="A6361">
        <f>Input!A6361</f>
        <v/>
      </c>
      <c r="B6361">
        <f>IF(ISNUMBER(Input!B6361),IF(AND(Input!B6361&gt;=20,Input!B6361&lt;=700),Input!B6361,""),"")</f>
        <v/>
      </c>
      <c r="C6361">
        <f>IF(B6361="","",INT(A6361))</f>
        <v/>
      </c>
      <c r="D6361">
        <f>IF(B6361="","",HOUR(A6361))</f>
        <v/>
      </c>
    </row>
    <row r="6362">
      <c r="A6362">
        <f>Input!A6362</f>
        <v/>
      </c>
      <c r="B6362">
        <f>IF(ISNUMBER(Input!B6362),IF(AND(Input!B6362&gt;=20,Input!B6362&lt;=700),Input!B6362,""),"")</f>
        <v/>
      </c>
      <c r="C6362">
        <f>IF(B6362="","",INT(A6362))</f>
        <v/>
      </c>
      <c r="D6362">
        <f>IF(B6362="","",HOUR(A6362))</f>
        <v/>
      </c>
    </row>
    <row r="6363">
      <c r="A6363">
        <f>Input!A6363</f>
        <v/>
      </c>
      <c r="B6363">
        <f>IF(ISNUMBER(Input!B6363),IF(AND(Input!B6363&gt;=20,Input!B6363&lt;=700),Input!B6363,""),"")</f>
        <v/>
      </c>
      <c r="C6363">
        <f>IF(B6363="","",INT(A6363))</f>
        <v/>
      </c>
      <c r="D6363">
        <f>IF(B6363="","",HOUR(A6363))</f>
        <v/>
      </c>
    </row>
    <row r="6364">
      <c r="A6364">
        <f>Input!A6364</f>
        <v/>
      </c>
      <c r="B6364">
        <f>IF(ISNUMBER(Input!B6364),IF(AND(Input!B6364&gt;=20,Input!B6364&lt;=700),Input!B6364,""),"")</f>
        <v/>
      </c>
      <c r="C6364">
        <f>IF(B6364="","",INT(A6364))</f>
        <v/>
      </c>
      <c r="D6364">
        <f>IF(B6364="","",HOUR(A6364))</f>
        <v/>
      </c>
    </row>
    <row r="6365">
      <c r="A6365">
        <f>Input!A6365</f>
        <v/>
      </c>
      <c r="B6365">
        <f>IF(ISNUMBER(Input!B6365),IF(AND(Input!B6365&gt;=20,Input!B6365&lt;=700),Input!B6365,""),"")</f>
        <v/>
      </c>
      <c r="C6365">
        <f>IF(B6365="","",INT(A6365))</f>
        <v/>
      </c>
      <c r="D6365">
        <f>IF(B6365="","",HOUR(A6365))</f>
        <v/>
      </c>
    </row>
    <row r="6366">
      <c r="A6366">
        <f>Input!A6366</f>
        <v/>
      </c>
      <c r="B6366">
        <f>IF(ISNUMBER(Input!B6366),IF(AND(Input!B6366&gt;=20,Input!B6366&lt;=700),Input!B6366,""),"")</f>
        <v/>
      </c>
      <c r="C6366">
        <f>IF(B6366="","",INT(A6366))</f>
        <v/>
      </c>
      <c r="D6366">
        <f>IF(B6366="","",HOUR(A6366))</f>
        <v/>
      </c>
    </row>
    <row r="6367">
      <c r="A6367">
        <f>Input!A6367</f>
        <v/>
      </c>
      <c r="B6367">
        <f>IF(ISNUMBER(Input!B6367),IF(AND(Input!B6367&gt;=20,Input!B6367&lt;=700),Input!B6367,""),"")</f>
        <v/>
      </c>
      <c r="C6367">
        <f>IF(B6367="","",INT(A6367))</f>
        <v/>
      </c>
      <c r="D6367">
        <f>IF(B6367="","",HOUR(A6367))</f>
        <v/>
      </c>
    </row>
    <row r="6368">
      <c r="A6368">
        <f>Input!A6368</f>
        <v/>
      </c>
      <c r="B6368">
        <f>IF(ISNUMBER(Input!B6368),IF(AND(Input!B6368&gt;=20,Input!B6368&lt;=700),Input!B6368,""),"")</f>
        <v/>
      </c>
      <c r="C6368">
        <f>IF(B6368="","",INT(A6368))</f>
        <v/>
      </c>
      <c r="D6368">
        <f>IF(B6368="","",HOUR(A6368))</f>
        <v/>
      </c>
    </row>
    <row r="6369">
      <c r="A6369">
        <f>Input!A6369</f>
        <v/>
      </c>
      <c r="B6369">
        <f>IF(ISNUMBER(Input!B6369),IF(AND(Input!B6369&gt;=20,Input!B6369&lt;=700),Input!B6369,""),"")</f>
        <v/>
      </c>
      <c r="C6369">
        <f>IF(B6369="","",INT(A6369))</f>
        <v/>
      </c>
      <c r="D6369">
        <f>IF(B6369="","",HOUR(A6369))</f>
        <v/>
      </c>
    </row>
    <row r="6370">
      <c r="A6370">
        <f>Input!A6370</f>
        <v/>
      </c>
      <c r="B6370">
        <f>IF(ISNUMBER(Input!B6370),IF(AND(Input!B6370&gt;=20,Input!B6370&lt;=700),Input!B6370,""),"")</f>
        <v/>
      </c>
      <c r="C6370">
        <f>IF(B6370="","",INT(A6370))</f>
        <v/>
      </c>
      <c r="D6370">
        <f>IF(B6370="","",HOUR(A6370))</f>
        <v/>
      </c>
    </row>
    <row r="6371">
      <c r="A6371">
        <f>Input!A6371</f>
        <v/>
      </c>
      <c r="B6371">
        <f>IF(ISNUMBER(Input!B6371),IF(AND(Input!B6371&gt;=20,Input!B6371&lt;=700),Input!B6371,""),"")</f>
        <v/>
      </c>
      <c r="C6371">
        <f>IF(B6371="","",INT(A6371))</f>
        <v/>
      </c>
      <c r="D6371">
        <f>IF(B6371="","",HOUR(A6371))</f>
        <v/>
      </c>
    </row>
    <row r="6372">
      <c r="A6372">
        <f>Input!A6372</f>
        <v/>
      </c>
      <c r="B6372">
        <f>IF(ISNUMBER(Input!B6372),IF(AND(Input!B6372&gt;=20,Input!B6372&lt;=700),Input!B6372,""),"")</f>
        <v/>
      </c>
      <c r="C6372">
        <f>IF(B6372="","",INT(A6372))</f>
        <v/>
      </c>
      <c r="D6372">
        <f>IF(B6372="","",HOUR(A6372))</f>
        <v/>
      </c>
    </row>
    <row r="6373">
      <c r="A6373">
        <f>Input!A6373</f>
        <v/>
      </c>
      <c r="B6373">
        <f>IF(ISNUMBER(Input!B6373),IF(AND(Input!B6373&gt;=20,Input!B6373&lt;=700),Input!B6373,""),"")</f>
        <v/>
      </c>
      <c r="C6373">
        <f>IF(B6373="","",INT(A6373))</f>
        <v/>
      </c>
      <c r="D6373">
        <f>IF(B6373="","",HOUR(A6373))</f>
        <v/>
      </c>
    </row>
    <row r="6374">
      <c r="A6374">
        <f>Input!A6374</f>
        <v/>
      </c>
      <c r="B6374">
        <f>IF(ISNUMBER(Input!B6374),IF(AND(Input!B6374&gt;=20,Input!B6374&lt;=700),Input!B6374,""),"")</f>
        <v/>
      </c>
      <c r="C6374">
        <f>IF(B6374="","",INT(A6374))</f>
        <v/>
      </c>
      <c r="D6374">
        <f>IF(B6374="","",HOUR(A6374))</f>
        <v/>
      </c>
    </row>
    <row r="6375">
      <c r="A6375">
        <f>Input!A6375</f>
        <v/>
      </c>
      <c r="B6375">
        <f>IF(ISNUMBER(Input!B6375),IF(AND(Input!B6375&gt;=20,Input!B6375&lt;=700),Input!B6375,""),"")</f>
        <v/>
      </c>
      <c r="C6375">
        <f>IF(B6375="","",INT(A6375))</f>
        <v/>
      </c>
      <c r="D6375">
        <f>IF(B6375="","",HOUR(A6375))</f>
        <v/>
      </c>
    </row>
    <row r="6376">
      <c r="A6376">
        <f>Input!A6376</f>
        <v/>
      </c>
      <c r="B6376">
        <f>IF(ISNUMBER(Input!B6376),IF(AND(Input!B6376&gt;=20,Input!B6376&lt;=700),Input!B6376,""),"")</f>
        <v/>
      </c>
      <c r="C6376">
        <f>IF(B6376="","",INT(A6376))</f>
        <v/>
      </c>
      <c r="D6376">
        <f>IF(B6376="","",HOUR(A6376))</f>
        <v/>
      </c>
    </row>
    <row r="6377">
      <c r="A6377">
        <f>Input!A6377</f>
        <v/>
      </c>
      <c r="B6377">
        <f>IF(ISNUMBER(Input!B6377),IF(AND(Input!B6377&gt;=20,Input!B6377&lt;=700),Input!B6377,""),"")</f>
        <v/>
      </c>
      <c r="C6377">
        <f>IF(B6377="","",INT(A6377))</f>
        <v/>
      </c>
      <c r="D6377">
        <f>IF(B6377="","",HOUR(A6377))</f>
        <v/>
      </c>
    </row>
    <row r="6378">
      <c r="A6378">
        <f>Input!A6378</f>
        <v/>
      </c>
      <c r="B6378">
        <f>IF(ISNUMBER(Input!B6378),IF(AND(Input!B6378&gt;=20,Input!B6378&lt;=700),Input!B6378,""),"")</f>
        <v/>
      </c>
      <c r="C6378">
        <f>IF(B6378="","",INT(A6378))</f>
        <v/>
      </c>
      <c r="D6378">
        <f>IF(B6378="","",HOUR(A6378))</f>
        <v/>
      </c>
    </row>
    <row r="6379">
      <c r="A6379">
        <f>Input!A6379</f>
        <v/>
      </c>
      <c r="B6379">
        <f>IF(ISNUMBER(Input!B6379),IF(AND(Input!B6379&gt;=20,Input!B6379&lt;=700),Input!B6379,""),"")</f>
        <v/>
      </c>
      <c r="C6379">
        <f>IF(B6379="","",INT(A6379))</f>
        <v/>
      </c>
      <c r="D6379">
        <f>IF(B6379="","",HOUR(A6379))</f>
        <v/>
      </c>
    </row>
    <row r="6380">
      <c r="A6380">
        <f>Input!A6380</f>
        <v/>
      </c>
      <c r="B6380">
        <f>IF(ISNUMBER(Input!B6380),IF(AND(Input!B6380&gt;=20,Input!B6380&lt;=700),Input!B6380,""),"")</f>
        <v/>
      </c>
      <c r="C6380">
        <f>IF(B6380="","",INT(A6380))</f>
        <v/>
      </c>
      <c r="D6380">
        <f>IF(B6380="","",HOUR(A6380))</f>
        <v/>
      </c>
    </row>
    <row r="6381">
      <c r="A6381">
        <f>Input!A6381</f>
        <v/>
      </c>
      <c r="B6381">
        <f>IF(ISNUMBER(Input!B6381),IF(AND(Input!B6381&gt;=20,Input!B6381&lt;=700),Input!B6381,""),"")</f>
        <v/>
      </c>
      <c r="C6381">
        <f>IF(B6381="","",INT(A6381))</f>
        <v/>
      </c>
      <c r="D6381">
        <f>IF(B6381="","",HOUR(A6381))</f>
        <v/>
      </c>
    </row>
    <row r="6382">
      <c r="A6382">
        <f>Input!A6382</f>
        <v/>
      </c>
      <c r="B6382">
        <f>IF(ISNUMBER(Input!B6382),IF(AND(Input!B6382&gt;=20,Input!B6382&lt;=700),Input!B6382,""),"")</f>
        <v/>
      </c>
      <c r="C6382">
        <f>IF(B6382="","",INT(A6382))</f>
        <v/>
      </c>
      <c r="D6382">
        <f>IF(B6382="","",HOUR(A6382))</f>
        <v/>
      </c>
    </row>
    <row r="6383">
      <c r="A6383">
        <f>Input!A6383</f>
        <v/>
      </c>
      <c r="B6383">
        <f>IF(ISNUMBER(Input!B6383),IF(AND(Input!B6383&gt;=20,Input!B6383&lt;=700),Input!B6383,""),"")</f>
        <v/>
      </c>
      <c r="C6383">
        <f>IF(B6383="","",INT(A6383))</f>
        <v/>
      </c>
      <c r="D6383">
        <f>IF(B6383="","",HOUR(A6383))</f>
        <v/>
      </c>
    </row>
    <row r="6384">
      <c r="A6384">
        <f>Input!A6384</f>
        <v/>
      </c>
      <c r="B6384">
        <f>IF(ISNUMBER(Input!B6384),IF(AND(Input!B6384&gt;=20,Input!B6384&lt;=700),Input!B6384,""),"")</f>
        <v/>
      </c>
      <c r="C6384">
        <f>IF(B6384="","",INT(A6384))</f>
        <v/>
      </c>
      <c r="D6384">
        <f>IF(B6384="","",HOUR(A6384))</f>
        <v/>
      </c>
    </row>
    <row r="6385">
      <c r="A6385">
        <f>Input!A6385</f>
        <v/>
      </c>
      <c r="B6385">
        <f>IF(ISNUMBER(Input!B6385),IF(AND(Input!B6385&gt;=20,Input!B6385&lt;=700),Input!B6385,""),"")</f>
        <v/>
      </c>
      <c r="C6385">
        <f>IF(B6385="","",INT(A6385))</f>
        <v/>
      </c>
      <c r="D6385">
        <f>IF(B6385="","",HOUR(A6385))</f>
        <v/>
      </c>
    </row>
    <row r="6386">
      <c r="A6386">
        <f>Input!A6386</f>
        <v/>
      </c>
      <c r="B6386">
        <f>IF(ISNUMBER(Input!B6386),IF(AND(Input!B6386&gt;=20,Input!B6386&lt;=700),Input!B6386,""),"")</f>
        <v/>
      </c>
      <c r="C6386">
        <f>IF(B6386="","",INT(A6386))</f>
        <v/>
      </c>
      <c r="D6386">
        <f>IF(B6386="","",HOUR(A6386))</f>
        <v/>
      </c>
    </row>
    <row r="6387">
      <c r="A6387">
        <f>Input!A6387</f>
        <v/>
      </c>
      <c r="B6387">
        <f>IF(ISNUMBER(Input!B6387),IF(AND(Input!B6387&gt;=20,Input!B6387&lt;=700),Input!B6387,""),"")</f>
        <v/>
      </c>
      <c r="C6387">
        <f>IF(B6387="","",INT(A6387))</f>
        <v/>
      </c>
      <c r="D6387">
        <f>IF(B6387="","",HOUR(A6387))</f>
        <v/>
      </c>
    </row>
    <row r="6388">
      <c r="A6388">
        <f>Input!A6388</f>
        <v/>
      </c>
      <c r="B6388">
        <f>IF(ISNUMBER(Input!B6388),IF(AND(Input!B6388&gt;=20,Input!B6388&lt;=700),Input!B6388,""),"")</f>
        <v/>
      </c>
      <c r="C6388">
        <f>IF(B6388="","",INT(A6388))</f>
        <v/>
      </c>
      <c r="D6388">
        <f>IF(B6388="","",HOUR(A6388))</f>
        <v/>
      </c>
    </row>
    <row r="6389">
      <c r="A6389">
        <f>Input!A6389</f>
        <v/>
      </c>
      <c r="B6389">
        <f>IF(ISNUMBER(Input!B6389),IF(AND(Input!B6389&gt;=20,Input!B6389&lt;=700),Input!B6389,""),"")</f>
        <v/>
      </c>
      <c r="C6389">
        <f>IF(B6389="","",INT(A6389))</f>
        <v/>
      </c>
      <c r="D6389">
        <f>IF(B6389="","",HOUR(A6389))</f>
        <v/>
      </c>
    </row>
    <row r="6390">
      <c r="A6390">
        <f>Input!A6390</f>
        <v/>
      </c>
      <c r="B6390">
        <f>IF(ISNUMBER(Input!B6390),IF(AND(Input!B6390&gt;=20,Input!B6390&lt;=700),Input!B6390,""),"")</f>
        <v/>
      </c>
      <c r="C6390">
        <f>IF(B6390="","",INT(A6390))</f>
        <v/>
      </c>
      <c r="D6390">
        <f>IF(B6390="","",HOUR(A6390))</f>
        <v/>
      </c>
    </row>
    <row r="6391">
      <c r="A6391">
        <f>Input!A6391</f>
        <v/>
      </c>
      <c r="B6391">
        <f>IF(ISNUMBER(Input!B6391),IF(AND(Input!B6391&gt;=20,Input!B6391&lt;=700),Input!B6391,""),"")</f>
        <v/>
      </c>
      <c r="C6391">
        <f>IF(B6391="","",INT(A6391))</f>
        <v/>
      </c>
      <c r="D6391">
        <f>IF(B6391="","",HOUR(A6391))</f>
        <v/>
      </c>
    </row>
    <row r="6392">
      <c r="A6392">
        <f>Input!A6392</f>
        <v/>
      </c>
      <c r="B6392">
        <f>IF(ISNUMBER(Input!B6392),IF(AND(Input!B6392&gt;=20,Input!B6392&lt;=700),Input!B6392,""),"")</f>
        <v/>
      </c>
      <c r="C6392">
        <f>IF(B6392="","",INT(A6392))</f>
        <v/>
      </c>
      <c r="D6392">
        <f>IF(B6392="","",HOUR(A6392))</f>
        <v/>
      </c>
    </row>
    <row r="6393">
      <c r="A6393">
        <f>Input!A6393</f>
        <v/>
      </c>
      <c r="B6393">
        <f>IF(ISNUMBER(Input!B6393),IF(AND(Input!B6393&gt;=20,Input!B6393&lt;=700),Input!B6393,""),"")</f>
        <v/>
      </c>
      <c r="C6393">
        <f>IF(B6393="","",INT(A6393))</f>
        <v/>
      </c>
      <c r="D6393">
        <f>IF(B6393="","",HOUR(A6393))</f>
        <v/>
      </c>
    </row>
    <row r="6394">
      <c r="A6394">
        <f>Input!A6394</f>
        <v/>
      </c>
      <c r="B6394">
        <f>IF(ISNUMBER(Input!B6394),IF(AND(Input!B6394&gt;=20,Input!B6394&lt;=700),Input!B6394,""),"")</f>
        <v/>
      </c>
      <c r="C6394">
        <f>IF(B6394="","",INT(A6394))</f>
        <v/>
      </c>
      <c r="D6394">
        <f>IF(B6394="","",HOUR(A6394))</f>
        <v/>
      </c>
    </row>
    <row r="6395">
      <c r="A6395">
        <f>Input!A6395</f>
        <v/>
      </c>
      <c r="B6395">
        <f>IF(ISNUMBER(Input!B6395),IF(AND(Input!B6395&gt;=20,Input!B6395&lt;=700),Input!B6395,""),"")</f>
        <v/>
      </c>
      <c r="C6395">
        <f>IF(B6395="","",INT(A6395))</f>
        <v/>
      </c>
      <c r="D6395">
        <f>IF(B6395="","",HOUR(A6395))</f>
        <v/>
      </c>
    </row>
    <row r="6396">
      <c r="A6396">
        <f>Input!A6396</f>
        <v/>
      </c>
      <c r="B6396">
        <f>IF(ISNUMBER(Input!B6396),IF(AND(Input!B6396&gt;=20,Input!B6396&lt;=700),Input!B6396,""),"")</f>
        <v/>
      </c>
      <c r="C6396">
        <f>IF(B6396="","",INT(A6396))</f>
        <v/>
      </c>
      <c r="D6396">
        <f>IF(B6396="","",HOUR(A6396))</f>
        <v/>
      </c>
    </row>
    <row r="6397">
      <c r="A6397">
        <f>Input!A6397</f>
        <v/>
      </c>
      <c r="B6397">
        <f>IF(ISNUMBER(Input!B6397),IF(AND(Input!B6397&gt;=20,Input!B6397&lt;=700),Input!B6397,""),"")</f>
        <v/>
      </c>
      <c r="C6397">
        <f>IF(B6397="","",INT(A6397))</f>
        <v/>
      </c>
      <c r="D6397">
        <f>IF(B6397="","",HOUR(A6397))</f>
        <v/>
      </c>
    </row>
    <row r="6398">
      <c r="A6398">
        <f>Input!A6398</f>
        <v/>
      </c>
      <c r="B6398">
        <f>IF(ISNUMBER(Input!B6398),IF(AND(Input!B6398&gt;=20,Input!B6398&lt;=700),Input!B6398,""),"")</f>
        <v/>
      </c>
      <c r="C6398">
        <f>IF(B6398="","",INT(A6398))</f>
        <v/>
      </c>
      <c r="D6398">
        <f>IF(B6398="","",HOUR(A6398))</f>
        <v/>
      </c>
    </row>
    <row r="6399">
      <c r="A6399">
        <f>Input!A6399</f>
        <v/>
      </c>
      <c r="B6399">
        <f>IF(ISNUMBER(Input!B6399),IF(AND(Input!B6399&gt;=20,Input!B6399&lt;=700),Input!B6399,""),"")</f>
        <v/>
      </c>
      <c r="C6399">
        <f>IF(B6399="","",INT(A6399))</f>
        <v/>
      </c>
      <c r="D6399">
        <f>IF(B6399="","",HOUR(A6399))</f>
        <v/>
      </c>
    </row>
    <row r="6400">
      <c r="A6400">
        <f>Input!A6400</f>
        <v/>
      </c>
      <c r="B6400">
        <f>IF(ISNUMBER(Input!B6400),IF(AND(Input!B6400&gt;=20,Input!B6400&lt;=700),Input!B6400,""),"")</f>
        <v/>
      </c>
      <c r="C6400">
        <f>IF(B6400="","",INT(A6400))</f>
        <v/>
      </c>
      <c r="D6400">
        <f>IF(B6400="","",HOUR(A6400))</f>
        <v/>
      </c>
    </row>
    <row r="6401">
      <c r="A6401">
        <f>Input!A6401</f>
        <v/>
      </c>
      <c r="B6401">
        <f>IF(ISNUMBER(Input!B6401),IF(AND(Input!B6401&gt;=20,Input!B6401&lt;=700),Input!B6401,""),"")</f>
        <v/>
      </c>
      <c r="C6401">
        <f>IF(B6401="","",INT(A6401))</f>
        <v/>
      </c>
      <c r="D6401">
        <f>IF(B6401="","",HOUR(A6401))</f>
        <v/>
      </c>
    </row>
    <row r="6402">
      <c r="A6402">
        <f>Input!A6402</f>
        <v/>
      </c>
      <c r="B6402">
        <f>IF(ISNUMBER(Input!B6402),IF(AND(Input!B6402&gt;=20,Input!B6402&lt;=700),Input!B6402,""),"")</f>
        <v/>
      </c>
      <c r="C6402">
        <f>IF(B6402="","",INT(A6402))</f>
        <v/>
      </c>
      <c r="D6402">
        <f>IF(B6402="","",HOUR(A6402))</f>
        <v/>
      </c>
    </row>
    <row r="6403">
      <c r="A6403">
        <f>Input!A6403</f>
        <v/>
      </c>
      <c r="B6403">
        <f>IF(ISNUMBER(Input!B6403),IF(AND(Input!B6403&gt;=20,Input!B6403&lt;=700),Input!B6403,""),"")</f>
        <v/>
      </c>
      <c r="C6403">
        <f>IF(B6403="","",INT(A6403))</f>
        <v/>
      </c>
      <c r="D6403">
        <f>IF(B6403="","",HOUR(A6403))</f>
        <v/>
      </c>
    </row>
    <row r="6404">
      <c r="A6404">
        <f>Input!A6404</f>
        <v/>
      </c>
      <c r="B6404">
        <f>IF(ISNUMBER(Input!B6404),IF(AND(Input!B6404&gt;=20,Input!B6404&lt;=700),Input!B6404,""),"")</f>
        <v/>
      </c>
      <c r="C6404">
        <f>IF(B6404="","",INT(A6404))</f>
        <v/>
      </c>
      <c r="D6404">
        <f>IF(B6404="","",HOUR(A6404))</f>
        <v/>
      </c>
    </row>
    <row r="6405">
      <c r="A6405">
        <f>Input!A6405</f>
        <v/>
      </c>
      <c r="B6405">
        <f>IF(ISNUMBER(Input!B6405),IF(AND(Input!B6405&gt;=20,Input!B6405&lt;=700),Input!B6405,""),"")</f>
        <v/>
      </c>
      <c r="C6405">
        <f>IF(B6405="","",INT(A6405))</f>
        <v/>
      </c>
      <c r="D6405">
        <f>IF(B6405="","",HOUR(A6405))</f>
        <v/>
      </c>
    </row>
    <row r="6406">
      <c r="A6406">
        <f>Input!A6406</f>
        <v/>
      </c>
      <c r="B6406">
        <f>IF(ISNUMBER(Input!B6406),IF(AND(Input!B6406&gt;=20,Input!B6406&lt;=700),Input!B6406,""),"")</f>
        <v/>
      </c>
      <c r="C6406">
        <f>IF(B6406="","",INT(A6406))</f>
        <v/>
      </c>
      <c r="D6406">
        <f>IF(B6406="","",HOUR(A6406))</f>
        <v/>
      </c>
    </row>
    <row r="6407">
      <c r="A6407">
        <f>Input!A6407</f>
        <v/>
      </c>
      <c r="B6407">
        <f>IF(ISNUMBER(Input!B6407),IF(AND(Input!B6407&gt;=20,Input!B6407&lt;=700),Input!B6407,""),"")</f>
        <v/>
      </c>
      <c r="C6407">
        <f>IF(B6407="","",INT(A6407))</f>
        <v/>
      </c>
      <c r="D6407">
        <f>IF(B6407="","",HOUR(A6407))</f>
        <v/>
      </c>
    </row>
    <row r="6408">
      <c r="A6408">
        <f>Input!A6408</f>
        <v/>
      </c>
      <c r="B6408">
        <f>IF(ISNUMBER(Input!B6408),IF(AND(Input!B6408&gt;=20,Input!B6408&lt;=700),Input!B6408,""),"")</f>
        <v/>
      </c>
      <c r="C6408">
        <f>IF(B6408="","",INT(A6408))</f>
        <v/>
      </c>
      <c r="D6408">
        <f>IF(B6408="","",HOUR(A6408))</f>
        <v/>
      </c>
    </row>
    <row r="6409">
      <c r="A6409">
        <f>Input!A6409</f>
        <v/>
      </c>
      <c r="B6409">
        <f>IF(ISNUMBER(Input!B6409),IF(AND(Input!B6409&gt;=20,Input!B6409&lt;=700),Input!B6409,""),"")</f>
        <v/>
      </c>
      <c r="C6409">
        <f>IF(B6409="","",INT(A6409))</f>
        <v/>
      </c>
      <c r="D6409">
        <f>IF(B6409="","",HOUR(A6409))</f>
        <v/>
      </c>
    </row>
    <row r="6410">
      <c r="A6410">
        <f>Input!A6410</f>
        <v/>
      </c>
      <c r="B6410">
        <f>IF(ISNUMBER(Input!B6410),IF(AND(Input!B6410&gt;=20,Input!B6410&lt;=700),Input!B6410,""),"")</f>
        <v/>
      </c>
      <c r="C6410">
        <f>IF(B6410="","",INT(A6410))</f>
        <v/>
      </c>
      <c r="D6410">
        <f>IF(B6410="","",HOUR(A6410))</f>
        <v/>
      </c>
    </row>
    <row r="6411">
      <c r="A6411">
        <f>Input!A6411</f>
        <v/>
      </c>
      <c r="B6411">
        <f>IF(ISNUMBER(Input!B6411),IF(AND(Input!B6411&gt;=20,Input!B6411&lt;=700),Input!B6411,""),"")</f>
        <v/>
      </c>
      <c r="C6411">
        <f>IF(B6411="","",INT(A6411))</f>
        <v/>
      </c>
      <c r="D6411">
        <f>IF(B6411="","",HOUR(A6411))</f>
        <v/>
      </c>
    </row>
    <row r="6412">
      <c r="A6412">
        <f>Input!A6412</f>
        <v/>
      </c>
      <c r="B6412">
        <f>IF(ISNUMBER(Input!B6412),IF(AND(Input!B6412&gt;=20,Input!B6412&lt;=700),Input!B6412,""),"")</f>
        <v/>
      </c>
      <c r="C6412">
        <f>IF(B6412="","",INT(A6412))</f>
        <v/>
      </c>
      <c r="D6412">
        <f>IF(B6412="","",HOUR(A6412))</f>
        <v/>
      </c>
    </row>
    <row r="6413">
      <c r="A6413">
        <f>Input!A6413</f>
        <v/>
      </c>
      <c r="B6413">
        <f>IF(ISNUMBER(Input!B6413),IF(AND(Input!B6413&gt;=20,Input!B6413&lt;=700),Input!B6413,""),"")</f>
        <v/>
      </c>
      <c r="C6413">
        <f>IF(B6413="","",INT(A6413))</f>
        <v/>
      </c>
      <c r="D6413">
        <f>IF(B6413="","",HOUR(A6413))</f>
        <v/>
      </c>
    </row>
    <row r="6414">
      <c r="A6414">
        <f>Input!A6414</f>
        <v/>
      </c>
      <c r="B6414">
        <f>IF(ISNUMBER(Input!B6414),IF(AND(Input!B6414&gt;=20,Input!B6414&lt;=700),Input!B6414,""),"")</f>
        <v/>
      </c>
      <c r="C6414">
        <f>IF(B6414="","",INT(A6414))</f>
        <v/>
      </c>
      <c r="D6414">
        <f>IF(B6414="","",HOUR(A6414))</f>
        <v/>
      </c>
    </row>
    <row r="6415">
      <c r="A6415">
        <f>Input!A6415</f>
        <v/>
      </c>
      <c r="B6415">
        <f>IF(ISNUMBER(Input!B6415),IF(AND(Input!B6415&gt;=20,Input!B6415&lt;=700),Input!B6415,""),"")</f>
        <v/>
      </c>
      <c r="C6415">
        <f>IF(B6415="","",INT(A6415))</f>
        <v/>
      </c>
      <c r="D6415">
        <f>IF(B6415="","",HOUR(A6415))</f>
        <v/>
      </c>
    </row>
    <row r="6416">
      <c r="A6416">
        <f>Input!A6416</f>
        <v/>
      </c>
      <c r="B6416">
        <f>IF(ISNUMBER(Input!B6416),IF(AND(Input!B6416&gt;=20,Input!B6416&lt;=700),Input!B6416,""),"")</f>
        <v/>
      </c>
      <c r="C6416">
        <f>IF(B6416="","",INT(A6416))</f>
        <v/>
      </c>
      <c r="D6416">
        <f>IF(B6416="","",HOUR(A6416))</f>
        <v/>
      </c>
    </row>
    <row r="6417">
      <c r="A6417">
        <f>Input!A6417</f>
        <v/>
      </c>
      <c r="B6417">
        <f>IF(ISNUMBER(Input!B6417),IF(AND(Input!B6417&gt;=20,Input!B6417&lt;=700),Input!B6417,""),"")</f>
        <v/>
      </c>
      <c r="C6417">
        <f>IF(B6417="","",INT(A6417))</f>
        <v/>
      </c>
      <c r="D6417">
        <f>IF(B6417="","",HOUR(A6417))</f>
        <v/>
      </c>
    </row>
    <row r="6418">
      <c r="A6418">
        <f>Input!A6418</f>
        <v/>
      </c>
      <c r="B6418">
        <f>IF(ISNUMBER(Input!B6418),IF(AND(Input!B6418&gt;=20,Input!B6418&lt;=700),Input!B6418,""),"")</f>
        <v/>
      </c>
      <c r="C6418">
        <f>IF(B6418="","",INT(A6418))</f>
        <v/>
      </c>
      <c r="D6418">
        <f>IF(B6418="","",HOUR(A6418))</f>
        <v/>
      </c>
    </row>
    <row r="6419">
      <c r="A6419">
        <f>Input!A6419</f>
        <v/>
      </c>
      <c r="B6419">
        <f>IF(ISNUMBER(Input!B6419),IF(AND(Input!B6419&gt;=20,Input!B6419&lt;=700),Input!B6419,""),"")</f>
        <v/>
      </c>
      <c r="C6419">
        <f>IF(B6419="","",INT(A6419))</f>
        <v/>
      </c>
      <c r="D6419">
        <f>IF(B6419="","",HOUR(A6419))</f>
        <v/>
      </c>
    </row>
    <row r="6420">
      <c r="A6420">
        <f>Input!A6420</f>
        <v/>
      </c>
      <c r="B6420">
        <f>IF(ISNUMBER(Input!B6420),IF(AND(Input!B6420&gt;=20,Input!B6420&lt;=700),Input!B6420,""),"")</f>
        <v/>
      </c>
      <c r="C6420">
        <f>IF(B6420="","",INT(A6420))</f>
        <v/>
      </c>
      <c r="D6420">
        <f>IF(B6420="","",HOUR(A6420))</f>
        <v/>
      </c>
    </row>
    <row r="6421">
      <c r="A6421">
        <f>Input!A6421</f>
        <v/>
      </c>
      <c r="B6421">
        <f>IF(ISNUMBER(Input!B6421),IF(AND(Input!B6421&gt;=20,Input!B6421&lt;=700),Input!B6421,""),"")</f>
        <v/>
      </c>
      <c r="C6421">
        <f>IF(B6421="","",INT(A6421))</f>
        <v/>
      </c>
      <c r="D6421">
        <f>IF(B6421="","",HOUR(A6421))</f>
        <v/>
      </c>
    </row>
    <row r="6422">
      <c r="A6422">
        <f>Input!A6422</f>
        <v/>
      </c>
      <c r="B6422">
        <f>IF(ISNUMBER(Input!B6422),IF(AND(Input!B6422&gt;=20,Input!B6422&lt;=700),Input!B6422,""),"")</f>
        <v/>
      </c>
      <c r="C6422">
        <f>IF(B6422="","",INT(A6422))</f>
        <v/>
      </c>
      <c r="D6422">
        <f>IF(B6422="","",HOUR(A6422))</f>
        <v/>
      </c>
    </row>
    <row r="6423">
      <c r="A6423">
        <f>Input!A6423</f>
        <v/>
      </c>
      <c r="B6423">
        <f>IF(ISNUMBER(Input!B6423),IF(AND(Input!B6423&gt;=20,Input!B6423&lt;=700),Input!B6423,""),"")</f>
        <v/>
      </c>
      <c r="C6423">
        <f>IF(B6423="","",INT(A6423))</f>
        <v/>
      </c>
      <c r="D6423">
        <f>IF(B6423="","",HOUR(A6423))</f>
        <v/>
      </c>
    </row>
    <row r="6424">
      <c r="A6424">
        <f>Input!A6424</f>
        <v/>
      </c>
      <c r="B6424">
        <f>IF(ISNUMBER(Input!B6424),IF(AND(Input!B6424&gt;=20,Input!B6424&lt;=700),Input!B6424,""),"")</f>
        <v/>
      </c>
      <c r="C6424">
        <f>IF(B6424="","",INT(A6424))</f>
        <v/>
      </c>
      <c r="D6424">
        <f>IF(B6424="","",HOUR(A6424))</f>
        <v/>
      </c>
    </row>
    <row r="6425">
      <c r="A6425">
        <f>Input!A6425</f>
        <v/>
      </c>
      <c r="B6425">
        <f>IF(ISNUMBER(Input!B6425),IF(AND(Input!B6425&gt;=20,Input!B6425&lt;=700),Input!B6425,""),"")</f>
        <v/>
      </c>
      <c r="C6425">
        <f>IF(B6425="","",INT(A6425))</f>
        <v/>
      </c>
      <c r="D6425">
        <f>IF(B6425="","",HOUR(A6425))</f>
        <v/>
      </c>
    </row>
    <row r="6426">
      <c r="A6426">
        <f>Input!A6426</f>
        <v/>
      </c>
      <c r="B6426">
        <f>IF(ISNUMBER(Input!B6426),IF(AND(Input!B6426&gt;=20,Input!B6426&lt;=700),Input!B6426,""),"")</f>
        <v/>
      </c>
      <c r="C6426">
        <f>IF(B6426="","",INT(A6426))</f>
        <v/>
      </c>
      <c r="D6426">
        <f>IF(B6426="","",HOUR(A6426))</f>
        <v/>
      </c>
    </row>
    <row r="6427">
      <c r="A6427">
        <f>Input!A6427</f>
        <v/>
      </c>
      <c r="B6427">
        <f>IF(ISNUMBER(Input!B6427),IF(AND(Input!B6427&gt;=20,Input!B6427&lt;=700),Input!B6427,""),"")</f>
        <v/>
      </c>
      <c r="C6427">
        <f>IF(B6427="","",INT(A6427))</f>
        <v/>
      </c>
      <c r="D6427">
        <f>IF(B6427="","",HOUR(A6427))</f>
        <v/>
      </c>
    </row>
    <row r="6428">
      <c r="A6428">
        <f>Input!A6428</f>
        <v/>
      </c>
      <c r="B6428">
        <f>IF(ISNUMBER(Input!B6428),IF(AND(Input!B6428&gt;=20,Input!B6428&lt;=700),Input!B6428,""),"")</f>
        <v/>
      </c>
      <c r="C6428">
        <f>IF(B6428="","",INT(A6428))</f>
        <v/>
      </c>
      <c r="D6428">
        <f>IF(B6428="","",HOUR(A6428))</f>
        <v/>
      </c>
    </row>
    <row r="6429">
      <c r="A6429">
        <f>Input!A6429</f>
        <v/>
      </c>
      <c r="B6429">
        <f>IF(ISNUMBER(Input!B6429),IF(AND(Input!B6429&gt;=20,Input!B6429&lt;=700),Input!B6429,""),"")</f>
        <v/>
      </c>
      <c r="C6429">
        <f>IF(B6429="","",INT(A6429))</f>
        <v/>
      </c>
      <c r="D6429">
        <f>IF(B6429="","",HOUR(A6429))</f>
        <v/>
      </c>
    </row>
    <row r="6430">
      <c r="A6430">
        <f>Input!A6430</f>
        <v/>
      </c>
      <c r="B6430">
        <f>IF(ISNUMBER(Input!B6430),IF(AND(Input!B6430&gt;=20,Input!B6430&lt;=700),Input!B6430,""),"")</f>
        <v/>
      </c>
      <c r="C6430">
        <f>IF(B6430="","",INT(A6430))</f>
        <v/>
      </c>
      <c r="D6430">
        <f>IF(B6430="","",HOUR(A6430))</f>
        <v/>
      </c>
    </row>
    <row r="6431">
      <c r="A6431">
        <f>Input!A6431</f>
        <v/>
      </c>
      <c r="B6431">
        <f>IF(ISNUMBER(Input!B6431),IF(AND(Input!B6431&gt;=20,Input!B6431&lt;=700),Input!B6431,""),"")</f>
        <v/>
      </c>
      <c r="C6431">
        <f>IF(B6431="","",INT(A6431))</f>
        <v/>
      </c>
      <c r="D6431">
        <f>IF(B6431="","",HOUR(A6431))</f>
        <v/>
      </c>
    </row>
    <row r="6432">
      <c r="A6432">
        <f>Input!A6432</f>
        <v/>
      </c>
      <c r="B6432">
        <f>IF(ISNUMBER(Input!B6432),IF(AND(Input!B6432&gt;=20,Input!B6432&lt;=700),Input!B6432,""),"")</f>
        <v/>
      </c>
      <c r="C6432">
        <f>IF(B6432="","",INT(A6432))</f>
        <v/>
      </c>
      <c r="D6432">
        <f>IF(B6432="","",HOUR(A6432))</f>
        <v/>
      </c>
    </row>
    <row r="6433">
      <c r="A6433">
        <f>Input!A6433</f>
        <v/>
      </c>
      <c r="B6433">
        <f>IF(ISNUMBER(Input!B6433),IF(AND(Input!B6433&gt;=20,Input!B6433&lt;=700),Input!B6433,""),"")</f>
        <v/>
      </c>
      <c r="C6433">
        <f>IF(B6433="","",INT(A6433))</f>
        <v/>
      </c>
      <c r="D6433">
        <f>IF(B6433="","",HOUR(A6433))</f>
        <v/>
      </c>
    </row>
    <row r="6434">
      <c r="A6434">
        <f>Input!A6434</f>
        <v/>
      </c>
      <c r="B6434">
        <f>IF(ISNUMBER(Input!B6434),IF(AND(Input!B6434&gt;=20,Input!B6434&lt;=700),Input!B6434,""),"")</f>
        <v/>
      </c>
      <c r="C6434">
        <f>IF(B6434="","",INT(A6434))</f>
        <v/>
      </c>
      <c r="D6434">
        <f>IF(B6434="","",HOUR(A6434))</f>
        <v/>
      </c>
    </row>
    <row r="6435">
      <c r="A6435">
        <f>Input!A6435</f>
        <v/>
      </c>
      <c r="B6435">
        <f>IF(ISNUMBER(Input!B6435),IF(AND(Input!B6435&gt;=20,Input!B6435&lt;=700),Input!B6435,""),"")</f>
        <v/>
      </c>
      <c r="C6435">
        <f>IF(B6435="","",INT(A6435))</f>
        <v/>
      </c>
      <c r="D6435">
        <f>IF(B6435="","",HOUR(A6435))</f>
        <v/>
      </c>
    </row>
    <row r="6436">
      <c r="A6436">
        <f>Input!A6436</f>
        <v/>
      </c>
      <c r="B6436">
        <f>IF(ISNUMBER(Input!B6436),IF(AND(Input!B6436&gt;=20,Input!B6436&lt;=700),Input!B6436,""),"")</f>
        <v/>
      </c>
      <c r="C6436">
        <f>IF(B6436="","",INT(A6436))</f>
        <v/>
      </c>
      <c r="D6436">
        <f>IF(B6436="","",HOUR(A6436))</f>
        <v/>
      </c>
    </row>
    <row r="6437">
      <c r="A6437">
        <f>Input!A6437</f>
        <v/>
      </c>
      <c r="B6437">
        <f>IF(ISNUMBER(Input!B6437),IF(AND(Input!B6437&gt;=20,Input!B6437&lt;=700),Input!B6437,""),"")</f>
        <v/>
      </c>
      <c r="C6437">
        <f>IF(B6437="","",INT(A6437))</f>
        <v/>
      </c>
      <c r="D6437">
        <f>IF(B6437="","",HOUR(A6437))</f>
        <v/>
      </c>
    </row>
    <row r="6438">
      <c r="A6438">
        <f>Input!A6438</f>
        <v/>
      </c>
      <c r="B6438">
        <f>IF(ISNUMBER(Input!B6438),IF(AND(Input!B6438&gt;=20,Input!B6438&lt;=700),Input!B6438,""),"")</f>
        <v/>
      </c>
      <c r="C6438">
        <f>IF(B6438="","",INT(A6438))</f>
        <v/>
      </c>
      <c r="D6438">
        <f>IF(B6438="","",HOUR(A6438))</f>
        <v/>
      </c>
    </row>
    <row r="6439">
      <c r="A6439">
        <f>Input!A6439</f>
        <v/>
      </c>
      <c r="B6439">
        <f>IF(ISNUMBER(Input!B6439),IF(AND(Input!B6439&gt;=20,Input!B6439&lt;=700),Input!B6439,""),"")</f>
        <v/>
      </c>
      <c r="C6439">
        <f>IF(B6439="","",INT(A6439))</f>
        <v/>
      </c>
      <c r="D6439">
        <f>IF(B6439="","",HOUR(A6439))</f>
        <v/>
      </c>
    </row>
    <row r="6440">
      <c r="A6440">
        <f>Input!A6440</f>
        <v/>
      </c>
      <c r="B6440">
        <f>IF(ISNUMBER(Input!B6440),IF(AND(Input!B6440&gt;=20,Input!B6440&lt;=700),Input!B6440,""),"")</f>
        <v/>
      </c>
      <c r="C6440">
        <f>IF(B6440="","",INT(A6440))</f>
        <v/>
      </c>
      <c r="D6440">
        <f>IF(B6440="","",HOUR(A6440))</f>
        <v/>
      </c>
    </row>
    <row r="6441">
      <c r="A6441">
        <f>Input!A6441</f>
        <v/>
      </c>
      <c r="B6441">
        <f>IF(ISNUMBER(Input!B6441),IF(AND(Input!B6441&gt;=20,Input!B6441&lt;=700),Input!B6441,""),"")</f>
        <v/>
      </c>
      <c r="C6441">
        <f>IF(B6441="","",INT(A6441))</f>
        <v/>
      </c>
      <c r="D6441">
        <f>IF(B6441="","",HOUR(A6441))</f>
        <v/>
      </c>
    </row>
    <row r="6442">
      <c r="A6442">
        <f>Input!A6442</f>
        <v/>
      </c>
      <c r="B6442">
        <f>IF(ISNUMBER(Input!B6442),IF(AND(Input!B6442&gt;=20,Input!B6442&lt;=700),Input!B6442,""),"")</f>
        <v/>
      </c>
      <c r="C6442">
        <f>IF(B6442="","",INT(A6442))</f>
        <v/>
      </c>
      <c r="D6442">
        <f>IF(B6442="","",HOUR(A6442))</f>
        <v/>
      </c>
    </row>
    <row r="6443">
      <c r="A6443">
        <f>Input!A6443</f>
        <v/>
      </c>
      <c r="B6443">
        <f>IF(ISNUMBER(Input!B6443),IF(AND(Input!B6443&gt;=20,Input!B6443&lt;=700),Input!B6443,""),"")</f>
        <v/>
      </c>
      <c r="C6443">
        <f>IF(B6443="","",INT(A6443))</f>
        <v/>
      </c>
      <c r="D6443">
        <f>IF(B6443="","",HOUR(A6443))</f>
        <v/>
      </c>
    </row>
    <row r="6444">
      <c r="A6444">
        <f>Input!A6444</f>
        <v/>
      </c>
      <c r="B6444">
        <f>IF(ISNUMBER(Input!B6444),IF(AND(Input!B6444&gt;=20,Input!B6444&lt;=700),Input!B6444,""),"")</f>
        <v/>
      </c>
      <c r="C6444">
        <f>IF(B6444="","",INT(A6444))</f>
        <v/>
      </c>
      <c r="D6444">
        <f>IF(B6444="","",HOUR(A6444))</f>
        <v/>
      </c>
    </row>
    <row r="6445">
      <c r="A6445">
        <f>Input!A6445</f>
        <v/>
      </c>
      <c r="B6445">
        <f>IF(ISNUMBER(Input!B6445),IF(AND(Input!B6445&gt;=20,Input!B6445&lt;=700),Input!B6445,""),"")</f>
        <v/>
      </c>
      <c r="C6445">
        <f>IF(B6445="","",INT(A6445))</f>
        <v/>
      </c>
      <c r="D6445">
        <f>IF(B6445="","",HOUR(A6445))</f>
        <v/>
      </c>
    </row>
    <row r="6446">
      <c r="A6446">
        <f>Input!A6446</f>
        <v/>
      </c>
      <c r="B6446">
        <f>IF(ISNUMBER(Input!B6446),IF(AND(Input!B6446&gt;=20,Input!B6446&lt;=700),Input!B6446,""),"")</f>
        <v/>
      </c>
      <c r="C6446">
        <f>IF(B6446="","",INT(A6446))</f>
        <v/>
      </c>
      <c r="D6446">
        <f>IF(B6446="","",HOUR(A6446))</f>
        <v/>
      </c>
    </row>
    <row r="6447">
      <c r="A6447">
        <f>Input!A6447</f>
        <v/>
      </c>
      <c r="B6447">
        <f>IF(ISNUMBER(Input!B6447),IF(AND(Input!B6447&gt;=20,Input!B6447&lt;=700),Input!B6447,""),"")</f>
        <v/>
      </c>
      <c r="C6447">
        <f>IF(B6447="","",INT(A6447))</f>
        <v/>
      </c>
      <c r="D6447">
        <f>IF(B6447="","",HOUR(A6447))</f>
        <v/>
      </c>
    </row>
    <row r="6448">
      <c r="A6448">
        <f>Input!A6448</f>
        <v/>
      </c>
      <c r="B6448">
        <f>IF(ISNUMBER(Input!B6448),IF(AND(Input!B6448&gt;=20,Input!B6448&lt;=700),Input!B6448,""),"")</f>
        <v/>
      </c>
      <c r="C6448">
        <f>IF(B6448="","",INT(A6448))</f>
        <v/>
      </c>
      <c r="D6448">
        <f>IF(B6448="","",HOUR(A6448))</f>
        <v/>
      </c>
    </row>
    <row r="6449">
      <c r="A6449">
        <f>Input!A6449</f>
        <v/>
      </c>
      <c r="B6449">
        <f>IF(ISNUMBER(Input!B6449),IF(AND(Input!B6449&gt;=20,Input!B6449&lt;=700),Input!B6449,""),"")</f>
        <v/>
      </c>
      <c r="C6449">
        <f>IF(B6449="","",INT(A6449))</f>
        <v/>
      </c>
      <c r="D6449">
        <f>IF(B6449="","",HOUR(A6449))</f>
        <v/>
      </c>
    </row>
    <row r="6450">
      <c r="A6450">
        <f>Input!A6450</f>
        <v/>
      </c>
      <c r="B6450">
        <f>IF(ISNUMBER(Input!B6450),IF(AND(Input!B6450&gt;=20,Input!B6450&lt;=700),Input!B6450,""),"")</f>
        <v/>
      </c>
      <c r="C6450">
        <f>IF(B6450="","",INT(A6450))</f>
        <v/>
      </c>
      <c r="D6450">
        <f>IF(B6450="","",HOUR(A6450))</f>
        <v/>
      </c>
    </row>
    <row r="6451">
      <c r="A6451">
        <f>Input!A6451</f>
        <v/>
      </c>
      <c r="B6451">
        <f>IF(ISNUMBER(Input!B6451),IF(AND(Input!B6451&gt;=20,Input!B6451&lt;=700),Input!B6451,""),"")</f>
        <v/>
      </c>
      <c r="C6451">
        <f>IF(B6451="","",INT(A6451))</f>
        <v/>
      </c>
      <c r="D6451">
        <f>IF(B6451="","",HOUR(A6451))</f>
        <v/>
      </c>
    </row>
    <row r="6452">
      <c r="A6452">
        <f>Input!A6452</f>
        <v/>
      </c>
      <c r="B6452">
        <f>IF(ISNUMBER(Input!B6452),IF(AND(Input!B6452&gt;=20,Input!B6452&lt;=700),Input!B6452,""),"")</f>
        <v/>
      </c>
      <c r="C6452">
        <f>IF(B6452="","",INT(A6452))</f>
        <v/>
      </c>
      <c r="D6452">
        <f>IF(B6452="","",HOUR(A6452))</f>
        <v/>
      </c>
    </row>
    <row r="6453">
      <c r="A6453">
        <f>Input!A6453</f>
        <v/>
      </c>
      <c r="B6453">
        <f>IF(ISNUMBER(Input!B6453),IF(AND(Input!B6453&gt;=20,Input!B6453&lt;=700),Input!B6453,""),"")</f>
        <v/>
      </c>
      <c r="C6453">
        <f>IF(B6453="","",INT(A6453))</f>
        <v/>
      </c>
      <c r="D6453">
        <f>IF(B6453="","",HOUR(A6453))</f>
        <v/>
      </c>
    </row>
    <row r="6454">
      <c r="A6454">
        <f>Input!A6454</f>
        <v/>
      </c>
      <c r="B6454">
        <f>IF(ISNUMBER(Input!B6454),IF(AND(Input!B6454&gt;=20,Input!B6454&lt;=700),Input!B6454,""),"")</f>
        <v/>
      </c>
      <c r="C6454">
        <f>IF(B6454="","",INT(A6454))</f>
        <v/>
      </c>
      <c r="D6454">
        <f>IF(B6454="","",HOUR(A6454))</f>
        <v/>
      </c>
    </row>
    <row r="6455">
      <c r="A6455">
        <f>Input!A6455</f>
        <v/>
      </c>
      <c r="B6455">
        <f>IF(ISNUMBER(Input!B6455),IF(AND(Input!B6455&gt;=20,Input!B6455&lt;=700),Input!B6455,""),"")</f>
        <v/>
      </c>
      <c r="C6455">
        <f>IF(B6455="","",INT(A6455))</f>
        <v/>
      </c>
      <c r="D6455">
        <f>IF(B6455="","",HOUR(A6455))</f>
        <v/>
      </c>
    </row>
    <row r="6456">
      <c r="A6456">
        <f>Input!A6456</f>
        <v/>
      </c>
      <c r="B6456">
        <f>IF(ISNUMBER(Input!B6456),IF(AND(Input!B6456&gt;=20,Input!B6456&lt;=700),Input!B6456,""),"")</f>
        <v/>
      </c>
      <c r="C6456">
        <f>IF(B6456="","",INT(A6456))</f>
        <v/>
      </c>
      <c r="D6456">
        <f>IF(B6456="","",HOUR(A6456))</f>
        <v/>
      </c>
    </row>
    <row r="6457">
      <c r="A6457">
        <f>Input!A6457</f>
        <v/>
      </c>
      <c r="B6457">
        <f>IF(ISNUMBER(Input!B6457),IF(AND(Input!B6457&gt;=20,Input!B6457&lt;=700),Input!B6457,""),"")</f>
        <v/>
      </c>
      <c r="C6457">
        <f>IF(B6457="","",INT(A6457))</f>
        <v/>
      </c>
      <c r="D6457">
        <f>IF(B6457="","",HOUR(A6457))</f>
        <v/>
      </c>
    </row>
    <row r="6458">
      <c r="A6458">
        <f>Input!A6458</f>
        <v/>
      </c>
      <c r="B6458">
        <f>IF(ISNUMBER(Input!B6458),IF(AND(Input!B6458&gt;=20,Input!B6458&lt;=700),Input!B6458,""),"")</f>
        <v/>
      </c>
      <c r="C6458">
        <f>IF(B6458="","",INT(A6458))</f>
        <v/>
      </c>
      <c r="D6458">
        <f>IF(B6458="","",HOUR(A6458))</f>
        <v/>
      </c>
    </row>
    <row r="6459">
      <c r="A6459">
        <f>Input!A6459</f>
        <v/>
      </c>
      <c r="B6459">
        <f>IF(ISNUMBER(Input!B6459),IF(AND(Input!B6459&gt;=20,Input!B6459&lt;=700),Input!B6459,""),"")</f>
        <v/>
      </c>
      <c r="C6459">
        <f>IF(B6459="","",INT(A6459))</f>
        <v/>
      </c>
      <c r="D6459">
        <f>IF(B6459="","",HOUR(A6459))</f>
        <v/>
      </c>
    </row>
    <row r="6460">
      <c r="A6460">
        <f>Input!A6460</f>
        <v/>
      </c>
      <c r="B6460">
        <f>IF(ISNUMBER(Input!B6460),IF(AND(Input!B6460&gt;=20,Input!B6460&lt;=700),Input!B6460,""),"")</f>
        <v/>
      </c>
      <c r="C6460">
        <f>IF(B6460="","",INT(A6460))</f>
        <v/>
      </c>
      <c r="D6460">
        <f>IF(B6460="","",HOUR(A6460))</f>
        <v/>
      </c>
    </row>
    <row r="6461">
      <c r="A6461">
        <f>Input!A6461</f>
        <v/>
      </c>
      <c r="B6461">
        <f>IF(ISNUMBER(Input!B6461),IF(AND(Input!B6461&gt;=20,Input!B6461&lt;=700),Input!B6461,""),"")</f>
        <v/>
      </c>
      <c r="C6461">
        <f>IF(B6461="","",INT(A6461))</f>
        <v/>
      </c>
      <c r="D6461">
        <f>IF(B6461="","",HOUR(A6461))</f>
        <v/>
      </c>
    </row>
    <row r="6462">
      <c r="A6462">
        <f>Input!A6462</f>
        <v/>
      </c>
      <c r="B6462">
        <f>IF(ISNUMBER(Input!B6462),IF(AND(Input!B6462&gt;=20,Input!B6462&lt;=700),Input!B6462,""),"")</f>
        <v/>
      </c>
      <c r="C6462">
        <f>IF(B6462="","",INT(A6462))</f>
        <v/>
      </c>
      <c r="D6462">
        <f>IF(B6462="","",HOUR(A6462))</f>
        <v/>
      </c>
    </row>
    <row r="6463">
      <c r="A6463">
        <f>Input!A6463</f>
        <v/>
      </c>
      <c r="B6463">
        <f>IF(ISNUMBER(Input!B6463),IF(AND(Input!B6463&gt;=20,Input!B6463&lt;=700),Input!B6463,""),"")</f>
        <v/>
      </c>
      <c r="C6463">
        <f>IF(B6463="","",INT(A6463))</f>
        <v/>
      </c>
      <c r="D6463">
        <f>IF(B6463="","",HOUR(A6463))</f>
        <v/>
      </c>
    </row>
    <row r="6464">
      <c r="A6464">
        <f>Input!A6464</f>
        <v/>
      </c>
      <c r="B6464">
        <f>IF(ISNUMBER(Input!B6464),IF(AND(Input!B6464&gt;=20,Input!B6464&lt;=700),Input!B6464,""),"")</f>
        <v/>
      </c>
      <c r="C6464">
        <f>IF(B6464="","",INT(A6464))</f>
        <v/>
      </c>
      <c r="D6464">
        <f>IF(B6464="","",HOUR(A6464))</f>
        <v/>
      </c>
    </row>
    <row r="6465">
      <c r="A6465">
        <f>Input!A6465</f>
        <v/>
      </c>
      <c r="B6465">
        <f>IF(ISNUMBER(Input!B6465),IF(AND(Input!B6465&gt;=20,Input!B6465&lt;=700),Input!B6465,""),"")</f>
        <v/>
      </c>
      <c r="C6465">
        <f>IF(B6465="","",INT(A6465))</f>
        <v/>
      </c>
      <c r="D6465">
        <f>IF(B6465="","",HOUR(A6465))</f>
        <v/>
      </c>
    </row>
    <row r="6466">
      <c r="A6466">
        <f>Input!A6466</f>
        <v/>
      </c>
      <c r="B6466">
        <f>IF(ISNUMBER(Input!B6466),IF(AND(Input!B6466&gt;=20,Input!B6466&lt;=700),Input!B6466,""),"")</f>
        <v/>
      </c>
      <c r="C6466">
        <f>IF(B6466="","",INT(A6466))</f>
        <v/>
      </c>
      <c r="D6466">
        <f>IF(B6466="","",HOUR(A6466))</f>
        <v/>
      </c>
    </row>
    <row r="6467">
      <c r="A6467">
        <f>Input!A6467</f>
        <v/>
      </c>
      <c r="B6467">
        <f>IF(ISNUMBER(Input!B6467),IF(AND(Input!B6467&gt;=20,Input!B6467&lt;=700),Input!B6467,""),"")</f>
        <v/>
      </c>
      <c r="C6467">
        <f>IF(B6467="","",INT(A6467))</f>
        <v/>
      </c>
      <c r="D6467">
        <f>IF(B6467="","",HOUR(A6467))</f>
        <v/>
      </c>
    </row>
    <row r="6468">
      <c r="A6468">
        <f>Input!A6468</f>
        <v/>
      </c>
      <c r="B6468">
        <f>IF(ISNUMBER(Input!B6468),IF(AND(Input!B6468&gt;=20,Input!B6468&lt;=700),Input!B6468,""),"")</f>
        <v/>
      </c>
      <c r="C6468">
        <f>IF(B6468="","",INT(A6468))</f>
        <v/>
      </c>
      <c r="D6468">
        <f>IF(B6468="","",HOUR(A6468))</f>
        <v/>
      </c>
    </row>
    <row r="6469">
      <c r="A6469">
        <f>Input!A6469</f>
        <v/>
      </c>
      <c r="B6469">
        <f>IF(ISNUMBER(Input!B6469),IF(AND(Input!B6469&gt;=20,Input!B6469&lt;=700),Input!B6469,""),"")</f>
        <v/>
      </c>
      <c r="C6469">
        <f>IF(B6469="","",INT(A6469))</f>
        <v/>
      </c>
      <c r="D6469">
        <f>IF(B6469="","",HOUR(A6469))</f>
        <v/>
      </c>
    </row>
    <row r="6470">
      <c r="A6470">
        <f>Input!A6470</f>
        <v/>
      </c>
      <c r="B6470">
        <f>IF(ISNUMBER(Input!B6470),IF(AND(Input!B6470&gt;=20,Input!B6470&lt;=700),Input!B6470,""),"")</f>
        <v/>
      </c>
      <c r="C6470">
        <f>IF(B6470="","",INT(A6470))</f>
        <v/>
      </c>
      <c r="D6470">
        <f>IF(B6470="","",HOUR(A6470))</f>
        <v/>
      </c>
    </row>
    <row r="6471">
      <c r="A6471">
        <f>Input!A6471</f>
        <v/>
      </c>
      <c r="B6471">
        <f>IF(ISNUMBER(Input!B6471),IF(AND(Input!B6471&gt;=20,Input!B6471&lt;=700),Input!B6471,""),"")</f>
        <v/>
      </c>
      <c r="C6471">
        <f>IF(B6471="","",INT(A6471))</f>
        <v/>
      </c>
      <c r="D6471">
        <f>IF(B6471="","",HOUR(A6471))</f>
        <v/>
      </c>
    </row>
    <row r="6472">
      <c r="A6472">
        <f>Input!A6472</f>
        <v/>
      </c>
      <c r="B6472">
        <f>IF(ISNUMBER(Input!B6472),IF(AND(Input!B6472&gt;=20,Input!B6472&lt;=700),Input!B6472,""),"")</f>
        <v/>
      </c>
      <c r="C6472">
        <f>IF(B6472="","",INT(A6472))</f>
        <v/>
      </c>
      <c r="D6472">
        <f>IF(B6472="","",HOUR(A6472))</f>
        <v/>
      </c>
    </row>
    <row r="6473">
      <c r="A6473">
        <f>Input!A6473</f>
        <v/>
      </c>
      <c r="B6473">
        <f>IF(ISNUMBER(Input!B6473),IF(AND(Input!B6473&gt;=20,Input!B6473&lt;=700),Input!B6473,""),"")</f>
        <v/>
      </c>
      <c r="C6473">
        <f>IF(B6473="","",INT(A6473))</f>
        <v/>
      </c>
      <c r="D6473">
        <f>IF(B6473="","",HOUR(A6473))</f>
        <v/>
      </c>
    </row>
    <row r="6474">
      <c r="A6474">
        <f>Input!A6474</f>
        <v/>
      </c>
      <c r="B6474">
        <f>IF(ISNUMBER(Input!B6474),IF(AND(Input!B6474&gt;=20,Input!B6474&lt;=700),Input!B6474,""),"")</f>
        <v/>
      </c>
      <c r="C6474">
        <f>IF(B6474="","",INT(A6474))</f>
        <v/>
      </c>
      <c r="D6474">
        <f>IF(B6474="","",HOUR(A6474))</f>
        <v/>
      </c>
    </row>
    <row r="6475">
      <c r="A6475">
        <f>Input!A6475</f>
        <v/>
      </c>
      <c r="B6475">
        <f>IF(ISNUMBER(Input!B6475),IF(AND(Input!B6475&gt;=20,Input!B6475&lt;=700),Input!B6475,""),"")</f>
        <v/>
      </c>
      <c r="C6475">
        <f>IF(B6475="","",INT(A6475))</f>
        <v/>
      </c>
      <c r="D6475">
        <f>IF(B6475="","",HOUR(A6475))</f>
        <v/>
      </c>
    </row>
    <row r="6476">
      <c r="A6476">
        <f>Input!A6476</f>
        <v/>
      </c>
      <c r="B6476">
        <f>IF(ISNUMBER(Input!B6476),IF(AND(Input!B6476&gt;=20,Input!B6476&lt;=700),Input!B6476,""),"")</f>
        <v/>
      </c>
      <c r="C6476">
        <f>IF(B6476="","",INT(A6476))</f>
        <v/>
      </c>
      <c r="D6476">
        <f>IF(B6476="","",HOUR(A6476))</f>
        <v/>
      </c>
    </row>
    <row r="6477">
      <c r="A6477">
        <f>Input!A6477</f>
        <v/>
      </c>
      <c r="B6477">
        <f>IF(ISNUMBER(Input!B6477),IF(AND(Input!B6477&gt;=20,Input!B6477&lt;=700),Input!B6477,""),"")</f>
        <v/>
      </c>
      <c r="C6477">
        <f>IF(B6477="","",INT(A6477))</f>
        <v/>
      </c>
      <c r="D6477">
        <f>IF(B6477="","",HOUR(A6477))</f>
        <v/>
      </c>
    </row>
    <row r="6478">
      <c r="A6478">
        <f>Input!A6478</f>
        <v/>
      </c>
      <c r="B6478">
        <f>IF(ISNUMBER(Input!B6478),IF(AND(Input!B6478&gt;=20,Input!B6478&lt;=700),Input!B6478,""),"")</f>
        <v/>
      </c>
      <c r="C6478">
        <f>IF(B6478="","",INT(A6478))</f>
        <v/>
      </c>
      <c r="D6478">
        <f>IF(B6478="","",HOUR(A6478))</f>
        <v/>
      </c>
    </row>
    <row r="6479">
      <c r="A6479">
        <f>Input!A6479</f>
        <v/>
      </c>
      <c r="B6479">
        <f>IF(ISNUMBER(Input!B6479),IF(AND(Input!B6479&gt;=20,Input!B6479&lt;=700),Input!B6479,""),"")</f>
        <v/>
      </c>
      <c r="C6479">
        <f>IF(B6479="","",INT(A6479))</f>
        <v/>
      </c>
      <c r="D6479">
        <f>IF(B6479="","",HOUR(A6479))</f>
        <v/>
      </c>
    </row>
    <row r="6480">
      <c r="A6480">
        <f>Input!A6480</f>
        <v/>
      </c>
      <c r="B6480">
        <f>IF(ISNUMBER(Input!B6480),IF(AND(Input!B6480&gt;=20,Input!B6480&lt;=700),Input!B6480,""),"")</f>
        <v/>
      </c>
      <c r="C6480">
        <f>IF(B6480="","",INT(A6480))</f>
        <v/>
      </c>
      <c r="D6480">
        <f>IF(B6480="","",HOUR(A6480))</f>
        <v/>
      </c>
    </row>
    <row r="6481">
      <c r="A6481">
        <f>Input!A6481</f>
        <v/>
      </c>
      <c r="B6481">
        <f>IF(ISNUMBER(Input!B6481),IF(AND(Input!B6481&gt;=20,Input!B6481&lt;=700),Input!B6481,""),"")</f>
        <v/>
      </c>
      <c r="C6481">
        <f>IF(B6481="","",INT(A6481))</f>
        <v/>
      </c>
      <c r="D6481">
        <f>IF(B6481="","",HOUR(A6481))</f>
        <v/>
      </c>
    </row>
    <row r="6482">
      <c r="A6482">
        <f>Input!A6482</f>
        <v/>
      </c>
      <c r="B6482">
        <f>IF(ISNUMBER(Input!B6482),IF(AND(Input!B6482&gt;=20,Input!B6482&lt;=700),Input!B6482,""),"")</f>
        <v/>
      </c>
      <c r="C6482">
        <f>IF(B6482="","",INT(A6482))</f>
        <v/>
      </c>
      <c r="D6482">
        <f>IF(B6482="","",HOUR(A6482))</f>
        <v/>
      </c>
    </row>
    <row r="6483">
      <c r="A6483">
        <f>Input!A6483</f>
        <v/>
      </c>
      <c r="B6483">
        <f>IF(ISNUMBER(Input!B6483),IF(AND(Input!B6483&gt;=20,Input!B6483&lt;=700),Input!B6483,""),"")</f>
        <v/>
      </c>
      <c r="C6483">
        <f>IF(B6483="","",INT(A6483))</f>
        <v/>
      </c>
      <c r="D6483">
        <f>IF(B6483="","",HOUR(A6483))</f>
        <v/>
      </c>
    </row>
    <row r="6484">
      <c r="A6484">
        <f>Input!A6484</f>
        <v/>
      </c>
      <c r="B6484">
        <f>IF(ISNUMBER(Input!B6484),IF(AND(Input!B6484&gt;=20,Input!B6484&lt;=700),Input!B6484,""),"")</f>
        <v/>
      </c>
      <c r="C6484">
        <f>IF(B6484="","",INT(A6484))</f>
        <v/>
      </c>
      <c r="D6484">
        <f>IF(B6484="","",HOUR(A6484))</f>
        <v/>
      </c>
    </row>
    <row r="6485">
      <c r="A6485">
        <f>Input!A6485</f>
        <v/>
      </c>
      <c r="B6485">
        <f>IF(ISNUMBER(Input!B6485),IF(AND(Input!B6485&gt;=20,Input!B6485&lt;=700),Input!B6485,""),"")</f>
        <v/>
      </c>
      <c r="C6485">
        <f>IF(B6485="","",INT(A6485))</f>
        <v/>
      </c>
      <c r="D6485">
        <f>IF(B6485="","",HOUR(A6485))</f>
        <v/>
      </c>
    </row>
    <row r="6486">
      <c r="A6486">
        <f>Input!A6486</f>
        <v/>
      </c>
      <c r="B6486">
        <f>IF(ISNUMBER(Input!B6486),IF(AND(Input!B6486&gt;=20,Input!B6486&lt;=700),Input!B6486,""),"")</f>
        <v/>
      </c>
      <c r="C6486">
        <f>IF(B6486="","",INT(A6486))</f>
        <v/>
      </c>
      <c r="D6486">
        <f>IF(B6486="","",HOUR(A6486))</f>
        <v/>
      </c>
    </row>
    <row r="6487">
      <c r="A6487">
        <f>Input!A6487</f>
        <v/>
      </c>
      <c r="B6487">
        <f>IF(ISNUMBER(Input!B6487),IF(AND(Input!B6487&gt;=20,Input!B6487&lt;=700),Input!B6487,""),"")</f>
        <v/>
      </c>
      <c r="C6487">
        <f>IF(B6487="","",INT(A6487))</f>
        <v/>
      </c>
      <c r="D6487">
        <f>IF(B6487="","",HOUR(A6487))</f>
        <v/>
      </c>
    </row>
    <row r="6488">
      <c r="A6488">
        <f>Input!A6488</f>
        <v/>
      </c>
      <c r="B6488">
        <f>IF(ISNUMBER(Input!B6488),IF(AND(Input!B6488&gt;=20,Input!B6488&lt;=700),Input!B6488,""),"")</f>
        <v/>
      </c>
      <c r="C6488">
        <f>IF(B6488="","",INT(A6488))</f>
        <v/>
      </c>
      <c r="D6488">
        <f>IF(B6488="","",HOUR(A6488))</f>
        <v/>
      </c>
    </row>
    <row r="6489">
      <c r="A6489">
        <f>Input!A6489</f>
        <v/>
      </c>
      <c r="B6489">
        <f>IF(ISNUMBER(Input!B6489),IF(AND(Input!B6489&gt;=20,Input!B6489&lt;=700),Input!B6489,""),"")</f>
        <v/>
      </c>
      <c r="C6489">
        <f>IF(B6489="","",INT(A6489))</f>
        <v/>
      </c>
      <c r="D6489">
        <f>IF(B6489="","",HOUR(A6489))</f>
        <v/>
      </c>
    </row>
    <row r="6490">
      <c r="A6490">
        <f>Input!A6490</f>
        <v/>
      </c>
      <c r="B6490">
        <f>IF(ISNUMBER(Input!B6490),IF(AND(Input!B6490&gt;=20,Input!B6490&lt;=700),Input!B6490,""),"")</f>
        <v/>
      </c>
      <c r="C6490">
        <f>IF(B6490="","",INT(A6490))</f>
        <v/>
      </c>
      <c r="D6490">
        <f>IF(B6490="","",HOUR(A6490))</f>
        <v/>
      </c>
    </row>
    <row r="6491">
      <c r="A6491">
        <f>Input!A6491</f>
        <v/>
      </c>
      <c r="B6491">
        <f>IF(ISNUMBER(Input!B6491),IF(AND(Input!B6491&gt;=20,Input!B6491&lt;=700),Input!B6491,""),"")</f>
        <v/>
      </c>
      <c r="C6491">
        <f>IF(B6491="","",INT(A6491))</f>
        <v/>
      </c>
      <c r="D6491">
        <f>IF(B6491="","",HOUR(A6491))</f>
        <v/>
      </c>
    </row>
    <row r="6492">
      <c r="A6492">
        <f>Input!A6492</f>
        <v/>
      </c>
      <c r="B6492">
        <f>IF(ISNUMBER(Input!B6492),IF(AND(Input!B6492&gt;=20,Input!B6492&lt;=700),Input!B6492,""),"")</f>
        <v/>
      </c>
      <c r="C6492">
        <f>IF(B6492="","",INT(A6492))</f>
        <v/>
      </c>
      <c r="D6492">
        <f>IF(B6492="","",HOUR(A6492))</f>
        <v/>
      </c>
    </row>
    <row r="6493">
      <c r="A6493">
        <f>Input!A6493</f>
        <v/>
      </c>
      <c r="B6493">
        <f>IF(ISNUMBER(Input!B6493),IF(AND(Input!B6493&gt;=20,Input!B6493&lt;=700),Input!B6493,""),"")</f>
        <v/>
      </c>
      <c r="C6493">
        <f>IF(B6493="","",INT(A6493))</f>
        <v/>
      </c>
      <c r="D6493">
        <f>IF(B6493="","",HOUR(A6493))</f>
        <v/>
      </c>
    </row>
    <row r="6494">
      <c r="A6494">
        <f>Input!A6494</f>
        <v/>
      </c>
      <c r="B6494">
        <f>IF(ISNUMBER(Input!B6494),IF(AND(Input!B6494&gt;=20,Input!B6494&lt;=700),Input!B6494,""),"")</f>
        <v/>
      </c>
      <c r="C6494">
        <f>IF(B6494="","",INT(A6494))</f>
        <v/>
      </c>
      <c r="D6494">
        <f>IF(B6494="","",HOUR(A6494))</f>
        <v/>
      </c>
    </row>
    <row r="6495">
      <c r="A6495">
        <f>Input!A6495</f>
        <v/>
      </c>
      <c r="B6495">
        <f>IF(ISNUMBER(Input!B6495),IF(AND(Input!B6495&gt;=20,Input!B6495&lt;=700),Input!B6495,""),"")</f>
        <v/>
      </c>
      <c r="C6495">
        <f>IF(B6495="","",INT(A6495))</f>
        <v/>
      </c>
      <c r="D6495">
        <f>IF(B6495="","",HOUR(A6495))</f>
        <v/>
      </c>
    </row>
    <row r="6496">
      <c r="A6496">
        <f>Input!A6496</f>
        <v/>
      </c>
      <c r="B6496">
        <f>IF(ISNUMBER(Input!B6496),IF(AND(Input!B6496&gt;=20,Input!B6496&lt;=700),Input!B6496,""),"")</f>
        <v/>
      </c>
      <c r="C6496">
        <f>IF(B6496="","",INT(A6496))</f>
        <v/>
      </c>
      <c r="D6496">
        <f>IF(B6496="","",HOUR(A6496))</f>
        <v/>
      </c>
    </row>
    <row r="6497">
      <c r="A6497">
        <f>Input!A6497</f>
        <v/>
      </c>
      <c r="B6497">
        <f>IF(ISNUMBER(Input!B6497),IF(AND(Input!B6497&gt;=20,Input!B6497&lt;=700),Input!B6497,""),"")</f>
        <v/>
      </c>
      <c r="C6497">
        <f>IF(B6497="","",INT(A6497))</f>
        <v/>
      </c>
      <c r="D6497">
        <f>IF(B6497="","",HOUR(A6497))</f>
        <v/>
      </c>
    </row>
    <row r="6498">
      <c r="A6498">
        <f>Input!A6498</f>
        <v/>
      </c>
      <c r="B6498">
        <f>IF(ISNUMBER(Input!B6498),IF(AND(Input!B6498&gt;=20,Input!B6498&lt;=700),Input!B6498,""),"")</f>
        <v/>
      </c>
      <c r="C6498">
        <f>IF(B6498="","",INT(A6498))</f>
        <v/>
      </c>
      <c r="D6498">
        <f>IF(B6498="","",HOUR(A6498))</f>
        <v/>
      </c>
    </row>
    <row r="6499">
      <c r="A6499">
        <f>Input!A6499</f>
        <v/>
      </c>
      <c r="B6499">
        <f>IF(ISNUMBER(Input!B6499),IF(AND(Input!B6499&gt;=20,Input!B6499&lt;=700),Input!B6499,""),"")</f>
        <v/>
      </c>
      <c r="C6499">
        <f>IF(B6499="","",INT(A6499))</f>
        <v/>
      </c>
      <c r="D6499">
        <f>IF(B6499="","",HOUR(A6499))</f>
        <v/>
      </c>
    </row>
    <row r="6500">
      <c r="A6500">
        <f>Input!A6500</f>
        <v/>
      </c>
      <c r="B6500">
        <f>IF(ISNUMBER(Input!B6500),IF(AND(Input!B6500&gt;=20,Input!B6500&lt;=700),Input!B6500,""),"")</f>
        <v/>
      </c>
      <c r="C6500">
        <f>IF(B6500="","",INT(A6500))</f>
        <v/>
      </c>
      <c r="D6500">
        <f>IF(B6500="","",HOUR(A6500))</f>
        <v/>
      </c>
    </row>
    <row r="6501">
      <c r="A6501">
        <f>Input!A6501</f>
        <v/>
      </c>
      <c r="B6501">
        <f>IF(ISNUMBER(Input!B6501),IF(AND(Input!B6501&gt;=20,Input!B6501&lt;=700),Input!B6501,""),"")</f>
        <v/>
      </c>
      <c r="C6501">
        <f>IF(B6501="","",INT(A6501))</f>
        <v/>
      </c>
      <c r="D6501">
        <f>IF(B6501="","",HOUR(A6501))</f>
        <v/>
      </c>
    </row>
    <row r="6502">
      <c r="A6502">
        <f>Input!A6502</f>
        <v/>
      </c>
      <c r="B6502">
        <f>IF(ISNUMBER(Input!B6502),IF(AND(Input!B6502&gt;=20,Input!B6502&lt;=700),Input!B6502,""),"")</f>
        <v/>
      </c>
      <c r="C6502">
        <f>IF(B6502="","",INT(A6502))</f>
        <v/>
      </c>
      <c r="D6502">
        <f>IF(B6502="","",HOUR(A6502))</f>
        <v/>
      </c>
    </row>
    <row r="6503">
      <c r="A6503">
        <f>Input!A6503</f>
        <v/>
      </c>
      <c r="B6503">
        <f>IF(ISNUMBER(Input!B6503),IF(AND(Input!B6503&gt;=20,Input!B6503&lt;=700),Input!B6503,""),"")</f>
        <v/>
      </c>
      <c r="C6503">
        <f>IF(B6503="","",INT(A6503))</f>
        <v/>
      </c>
      <c r="D6503">
        <f>IF(B6503="","",HOUR(A6503))</f>
        <v/>
      </c>
    </row>
    <row r="6504">
      <c r="A6504">
        <f>Input!A6504</f>
        <v/>
      </c>
      <c r="B6504">
        <f>IF(ISNUMBER(Input!B6504),IF(AND(Input!B6504&gt;=20,Input!B6504&lt;=700),Input!B6504,""),"")</f>
        <v/>
      </c>
      <c r="C6504">
        <f>IF(B6504="","",INT(A6504))</f>
        <v/>
      </c>
      <c r="D6504">
        <f>IF(B6504="","",HOUR(A6504))</f>
        <v/>
      </c>
    </row>
    <row r="6505">
      <c r="A6505">
        <f>Input!A6505</f>
        <v/>
      </c>
      <c r="B6505">
        <f>IF(ISNUMBER(Input!B6505),IF(AND(Input!B6505&gt;=20,Input!B6505&lt;=700),Input!B6505,""),"")</f>
        <v/>
      </c>
      <c r="C6505">
        <f>IF(B6505="","",INT(A6505))</f>
        <v/>
      </c>
      <c r="D6505">
        <f>IF(B6505="","",HOUR(A6505))</f>
        <v/>
      </c>
    </row>
    <row r="6506">
      <c r="A6506">
        <f>Input!A6506</f>
        <v/>
      </c>
      <c r="B6506">
        <f>IF(ISNUMBER(Input!B6506),IF(AND(Input!B6506&gt;=20,Input!B6506&lt;=700),Input!B6506,""),"")</f>
        <v/>
      </c>
      <c r="C6506">
        <f>IF(B6506="","",INT(A6506))</f>
        <v/>
      </c>
      <c r="D6506">
        <f>IF(B6506="","",HOUR(A6506))</f>
        <v/>
      </c>
    </row>
    <row r="6507">
      <c r="A6507">
        <f>Input!A6507</f>
        <v/>
      </c>
      <c r="B6507">
        <f>IF(ISNUMBER(Input!B6507),IF(AND(Input!B6507&gt;=20,Input!B6507&lt;=700),Input!B6507,""),"")</f>
        <v/>
      </c>
      <c r="C6507">
        <f>IF(B6507="","",INT(A6507))</f>
        <v/>
      </c>
      <c r="D6507">
        <f>IF(B6507="","",HOUR(A6507))</f>
        <v/>
      </c>
    </row>
    <row r="6508">
      <c r="A6508">
        <f>Input!A6508</f>
        <v/>
      </c>
      <c r="B6508">
        <f>IF(ISNUMBER(Input!B6508),IF(AND(Input!B6508&gt;=20,Input!B6508&lt;=700),Input!B6508,""),"")</f>
        <v/>
      </c>
      <c r="C6508">
        <f>IF(B6508="","",INT(A6508))</f>
        <v/>
      </c>
      <c r="D6508">
        <f>IF(B6508="","",HOUR(A6508))</f>
        <v/>
      </c>
    </row>
    <row r="6509">
      <c r="A6509">
        <f>Input!A6509</f>
        <v/>
      </c>
      <c r="B6509">
        <f>IF(ISNUMBER(Input!B6509),IF(AND(Input!B6509&gt;=20,Input!B6509&lt;=700),Input!B6509,""),"")</f>
        <v/>
      </c>
      <c r="C6509">
        <f>IF(B6509="","",INT(A6509))</f>
        <v/>
      </c>
      <c r="D6509">
        <f>IF(B6509="","",HOUR(A6509))</f>
        <v/>
      </c>
    </row>
    <row r="6510">
      <c r="A6510">
        <f>Input!A6510</f>
        <v/>
      </c>
      <c r="B6510">
        <f>IF(ISNUMBER(Input!B6510),IF(AND(Input!B6510&gt;=20,Input!B6510&lt;=700),Input!B6510,""),"")</f>
        <v/>
      </c>
      <c r="C6510">
        <f>IF(B6510="","",INT(A6510))</f>
        <v/>
      </c>
      <c r="D6510">
        <f>IF(B6510="","",HOUR(A6510))</f>
        <v/>
      </c>
    </row>
    <row r="6511">
      <c r="A6511">
        <f>Input!A6511</f>
        <v/>
      </c>
      <c r="B6511">
        <f>IF(ISNUMBER(Input!B6511),IF(AND(Input!B6511&gt;=20,Input!B6511&lt;=700),Input!B6511,""),"")</f>
        <v/>
      </c>
      <c r="C6511">
        <f>IF(B6511="","",INT(A6511))</f>
        <v/>
      </c>
      <c r="D6511">
        <f>IF(B6511="","",HOUR(A6511))</f>
        <v/>
      </c>
    </row>
    <row r="6512">
      <c r="A6512">
        <f>Input!A6512</f>
        <v/>
      </c>
      <c r="B6512">
        <f>IF(ISNUMBER(Input!B6512),IF(AND(Input!B6512&gt;=20,Input!B6512&lt;=700),Input!B6512,""),"")</f>
        <v/>
      </c>
      <c r="C6512">
        <f>IF(B6512="","",INT(A6512))</f>
        <v/>
      </c>
      <c r="D6512">
        <f>IF(B6512="","",HOUR(A6512))</f>
        <v/>
      </c>
    </row>
    <row r="6513">
      <c r="A6513">
        <f>Input!A6513</f>
        <v/>
      </c>
      <c r="B6513">
        <f>IF(ISNUMBER(Input!B6513),IF(AND(Input!B6513&gt;=20,Input!B6513&lt;=700),Input!B6513,""),"")</f>
        <v/>
      </c>
      <c r="C6513">
        <f>IF(B6513="","",INT(A6513))</f>
        <v/>
      </c>
      <c r="D6513">
        <f>IF(B6513="","",HOUR(A6513))</f>
        <v/>
      </c>
    </row>
    <row r="6514">
      <c r="A6514">
        <f>Input!A6514</f>
        <v/>
      </c>
      <c r="B6514">
        <f>IF(ISNUMBER(Input!B6514),IF(AND(Input!B6514&gt;=20,Input!B6514&lt;=700),Input!B6514,""),"")</f>
        <v/>
      </c>
      <c r="C6514">
        <f>IF(B6514="","",INT(A6514))</f>
        <v/>
      </c>
      <c r="D6514">
        <f>IF(B6514="","",HOUR(A6514))</f>
        <v/>
      </c>
    </row>
    <row r="6515">
      <c r="A6515">
        <f>Input!A6515</f>
        <v/>
      </c>
      <c r="B6515">
        <f>IF(ISNUMBER(Input!B6515),IF(AND(Input!B6515&gt;=20,Input!B6515&lt;=700),Input!B6515,""),"")</f>
        <v/>
      </c>
      <c r="C6515">
        <f>IF(B6515="","",INT(A6515))</f>
        <v/>
      </c>
      <c r="D6515">
        <f>IF(B6515="","",HOUR(A6515))</f>
        <v/>
      </c>
    </row>
    <row r="6516">
      <c r="A6516">
        <f>Input!A6516</f>
        <v/>
      </c>
      <c r="B6516">
        <f>IF(ISNUMBER(Input!B6516),IF(AND(Input!B6516&gt;=20,Input!B6516&lt;=700),Input!B6516,""),"")</f>
        <v/>
      </c>
      <c r="C6516">
        <f>IF(B6516="","",INT(A6516))</f>
        <v/>
      </c>
      <c r="D6516">
        <f>IF(B6516="","",HOUR(A6516))</f>
        <v/>
      </c>
    </row>
    <row r="6517">
      <c r="A6517">
        <f>Input!A6517</f>
        <v/>
      </c>
      <c r="B6517">
        <f>IF(ISNUMBER(Input!B6517),IF(AND(Input!B6517&gt;=20,Input!B6517&lt;=700),Input!B6517,""),"")</f>
        <v/>
      </c>
      <c r="C6517">
        <f>IF(B6517="","",INT(A6517))</f>
        <v/>
      </c>
      <c r="D6517">
        <f>IF(B6517="","",HOUR(A6517))</f>
        <v/>
      </c>
    </row>
    <row r="6518">
      <c r="A6518">
        <f>Input!A6518</f>
        <v/>
      </c>
      <c r="B6518">
        <f>IF(ISNUMBER(Input!B6518),IF(AND(Input!B6518&gt;=20,Input!B6518&lt;=700),Input!B6518,""),"")</f>
        <v/>
      </c>
      <c r="C6518">
        <f>IF(B6518="","",INT(A6518))</f>
        <v/>
      </c>
      <c r="D6518">
        <f>IF(B6518="","",HOUR(A6518))</f>
        <v/>
      </c>
    </row>
    <row r="6519">
      <c r="A6519">
        <f>Input!A6519</f>
        <v/>
      </c>
      <c r="B6519">
        <f>IF(ISNUMBER(Input!B6519),IF(AND(Input!B6519&gt;=20,Input!B6519&lt;=700),Input!B6519,""),"")</f>
        <v/>
      </c>
      <c r="C6519">
        <f>IF(B6519="","",INT(A6519))</f>
        <v/>
      </c>
      <c r="D6519">
        <f>IF(B6519="","",HOUR(A6519))</f>
        <v/>
      </c>
    </row>
    <row r="6520">
      <c r="A6520">
        <f>Input!A6520</f>
        <v/>
      </c>
      <c r="B6520">
        <f>IF(ISNUMBER(Input!B6520),IF(AND(Input!B6520&gt;=20,Input!B6520&lt;=700),Input!B6520,""),"")</f>
        <v/>
      </c>
      <c r="C6520">
        <f>IF(B6520="","",INT(A6520))</f>
        <v/>
      </c>
      <c r="D6520">
        <f>IF(B6520="","",HOUR(A6520))</f>
        <v/>
      </c>
    </row>
    <row r="6521">
      <c r="A6521">
        <f>Input!A6521</f>
        <v/>
      </c>
      <c r="B6521">
        <f>IF(ISNUMBER(Input!B6521),IF(AND(Input!B6521&gt;=20,Input!B6521&lt;=700),Input!B6521,""),"")</f>
        <v/>
      </c>
      <c r="C6521">
        <f>IF(B6521="","",INT(A6521))</f>
        <v/>
      </c>
      <c r="D6521">
        <f>IF(B6521="","",HOUR(A6521))</f>
        <v/>
      </c>
    </row>
    <row r="6522">
      <c r="A6522">
        <f>Input!A6522</f>
        <v/>
      </c>
      <c r="B6522">
        <f>IF(ISNUMBER(Input!B6522),IF(AND(Input!B6522&gt;=20,Input!B6522&lt;=700),Input!B6522,""),"")</f>
        <v/>
      </c>
      <c r="C6522">
        <f>IF(B6522="","",INT(A6522))</f>
        <v/>
      </c>
      <c r="D6522">
        <f>IF(B6522="","",HOUR(A6522))</f>
        <v/>
      </c>
    </row>
    <row r="6523">
      <c r="A6523">
        <f>Input!A6523</f>
        <v/>
      </c>
      <c r="B6523">
        <f>IF(ISNUMBER(Input!B6523),IF(AND(Input!B6523&gt;=20,Input!B6523&lt;=700),Input!B6523,""),"")</f>
        <v/>
      </c>
      <c r="C6523">
        <f>IF(B6523="","",INT(A6523))</f>
        <v/>
      </c>
      <c r="D6523">
        <f>IF(B6523="","",HOUR(A6523))</f>
        <v/>
      </c>
    </row>
    <row r="6524">
      <c r="A6524">
        <f>Input!A6524</f>
        <v/>
      </c>
      <c r="B6524">
        <f>IF(ISNUMBER(Input!B6524),IF(AND(Input!B6524&gt;=20,Input!B6524&lt;=700),Input!B6524,""),"")</f>
        <v/>
      </c>
      <c r="C6524">
        <f>IF(B6524="","",INT(A6524))</f>
        <v/>
      </c>
      <c r="D6524">
        <f>IF(B6524="","",HOUR(A6524))</f>
        <v/>
      </c>
    </row>
    <row r="6525">
      <c r="A6525">
        <f>Input!A6525</f>
        <v/>
      </c>
      <c r="B6525">
        <f>IF(ISNUMBER(Input!B6525),IF(AND(Input!B6525&gt;=20,Input!B6525&lt;=700),Input!B6525,""),"")</f>
        <v/>
      </c>
      <c r="C6525">
        <f>IF(B6525="","",INT(A6525))</f>
        <v/>
      </c>
      <c r="D6525">
        <f>IF(B6525="","",HOUR(A6525))</f>
        <v/>
      </c>
    </row>
    <row r="6526">
      <c r="A6526">
        <f>Input!A6526</f>
        <v/>
      </c>
      <c r="B6526">
        <f>IF(ISNUMBER(Input!B6526),IF(AND(Input!B6526&gt;=20,Input!B6526&lt;=700),Input!B6526,""),"")</f>
        <v/>
      </c>
      <c r="C6526">
        <f>IF(B6526="","",INT(A6526))</f>
        <v/>
      </c>
      <c r="D6526">
        <f>IF(B6526="","",HOUR(A6526))</f>
        <v/>
      </c>
    </row>
    <row r="6527">
      <c r="A6527">
        <f>Input!A6527</f>
        <v/>
      </c>
      <c r="B6527">
        <f>IF(ISNUMBER(Input!B6527),IF(AND(Input!B6527&gt;=20,Input!B6527&lt;=700),Input!B6527,""),"")</f>
        <v/>
      </c>
      <c r="C6527">
        <f>IF(B6527="","",INT(A6527))</f>
        <v/>
      </c>
      <c r="D6527">
        <f>IF(B6527="","",HOUR(A6527))</f>
        <v/>
      </c>
    </row>
    <row r="6528">
      <c r="A6528">
        <f>Input!A6528</f>
        <v/>
      </c>
      <c r="B6528">
        <f>IF(ISNUMBER(Input!B6528),IF(AND(Input!B6528&gt;=20,Input!B6528&lt;=700),Input!B6528,""),"")</f>
        <v/>
      </c>
      <c r="C6528">
        <f>IF(B6528="","",INT(A6528))</f>
        <v/>
      </c>
      <c r="D6528">
        <f>IF(B6528="","",HOUR(A6528))</f>
        <v/>
      </c>
    </row>
    <row r="6529">
      <c r="A6529">
        <f>Input!A6529</f>
        <v/>
      </c>
      <c r="B6529">
        <f>IF(ISNUMBER(Input!B6529),IF(AND(Input!B6529&gt;=20,Input!B6529&lt;=700),Input!B6529,""),"")</f>
        <v/>
      </c>
      <c r="C6529">
        <f>IF(B6529="","",INT(A6529))</f>
        <v/>
      </c>
      <c r="D6529">
        <f>IF(B6529="","",HOUR(A6529))</f>
        <v/>
      </c>
    </row>
    <row r="6530">
      <c r="A6530">
        <f>Input!A6530</f>
        <v/>
      </c>
      <c r="B6530">
        <f>IF(ISNUMBER(Input!B6530),IF(AND(Input!B6530&gt;=20,Input!B6530&lt;=700),Input!B6530,""),"")</f>
        <v/>
      </c>
      <c r="C6530">
        <f>IF(B6530="","",INT(A6530))</f>
        <v/>
      </c>
      <c r="D6530">
        <f>IF(B6530="","",HOUR(A6530))</f>
        <v/>
      </c>
    </row>
    <row r="6531">
      <c r="A6531">
        <f>Input!A6531</f>
        <v/>
      </c>
      <c r="B6531">
        <f>IF(ISNUMBER(Input!B6531),IF(AND(Input!B6531&gt;=20,Input!B6531&lt;=700),Input!B6531,""),"")</f>
        <v/>
      </c>
      <c r="C6531">
        <f>IF(B6531="","",INT(A6531))</f>
        <v/>
      </c>
      <c r="D6531">
        <f>IF(B6531="","",HOUR(A6531))</f>
        <v/>
      </c>
    </row>
    <row r="6532">
      <c r="A6532">
        <f>Input!A6532</f>
        <v/>
      </c>
      <c r="B6532">
        <f>IF(ISNUMBER(Input!B6532),IF(AND(Input!B6532&gt;=20,Input!B6532&lt;=700),Input!B6532,""),"")</f>
        <v/>
      </c>
      <c r="C6532">
        <f>IF(B6532="","",INT(A6532))</f>
        <v/>
      </c>
      <c r="D6532">
        <f>IF(B6532="","",HOUR(A6532))</f>
        <v/>
      </c>
    </row>
    <row r="6533">
      <c r="A6533">
        <f>Input!A6533</f>
        <v/>
      </c>
      <c r="B6533">
        <f>IF(ISNUMBER(Input!B6533),IF(AND(Input!B6533&gt;=20,Input!B6533&lt;=700),Input!B6533,""),"")</f>
        <v/>
      </c>
      <c r="C6533">
        <f>IF(B6533="","",INT(A6533))</f>
        <v/>
      </c>
      <c r="D6533">
        <f>IF(B6533="","",HOUR(A6533))</f>
        <v/>
      </c>
    </row>
    <row r="6534">
      <c r="A6534">
        <f>Input!A6534</f>
        <v/>
      </c>
      <c r="B6534">
        <f>IF(ISNUMBER(Input!B6534),IF(AND(Input!B6534&gt;=20,Input!B6534&lt;=700),Input!B6534,""),"")</f>
        <v/>
      </c>
      <c r="C6534">
        <f>IF(B6534="","",INT(A6534))</f>
        <v/>
      </c>
      <c r="D6534">
        <f>IF(B6534="","",HOUR(A6534))</f>
        <v/>
      </c>
    </row>
    <row r="6535">
      <c r="A6535">
        <f>Input!A6535</f>
        <v/>
      </c>
      <c r="B6535">
        <f>IF(ISNUMBER(Input!B6535),IF(AND(Input!B6535&gt;=20,Input!B6535&lt;=700),Input!B6535,""),"")</f>
        <v/>
      </c>
      <c r="C6535">
        <f>IF(B6535="","",INT(A6535))</f>
        <v/>
      </c>
      <c r="D6535">
        <f>IF(B6535="","",HOUR(A6535))</f>
        <v/>
      </c>
    </row>
    <row r="6536">
      <c r="A6536">
        <f>Input!A6536</f>
        <v/>
      </c>
      <c r="B6536">
        <f>IF(ISNUMBER(Input!B6536),IF(AND(Input!B6536&gt;=20,Input!B6536&lt;=700),Input!B6536,""),"")</f>
        <v/>
      </c>
      <c r="C6536">
        <f>IF(B6536="","",INT(A6536))</f>
        <v/>
      </c>
      <c r="D6536">
        <f>IF(B6536="","",HOUR(A6536))</f>
        <v/>
      </c>
    </row>
    <row r="6537">
      <c r="A6537">
        <f>Input!A6537</f>
        <v/>
      </c>
      <c r="B6537">
        <f>IF(ISNUMBER(Input!B6537),IF(AND(Input!B6537&gt;=20,Input!B6537&lt;=700),Input!B6537,""),"")</f>
        <v/>
      </c>
      <c r="C6537">
        <f>IF(B6537="","",INT(A6537))</f>
        <v/>
      </c>
      <c r="D6537">
        <f>IF(B6537="","",HOUR(A6537))</f>
        <v/>
      </c>
    </row>
    <row r="6538">
      <c r="A6538">
        <f>Input!A6538</f>
        <v/>
      </c>
      <c r="B6538">
        <f>IF(ISNUMBER(Input!B6538),IF(AND(Input!B6538&gt;=20,Input!B6538&lt;=700),Input!B6538,""),"")</f>
        <v/>
      </c>
      <c r="C6538">
        <f>IF(B6538="","",INT(A6538))</f>
        <v/>
      </c>
      <c r="D6538">
        <f>IF(B6538="","",HOUR(A6538))</f>
        <v/>
      </c>
    </row>
    <row r="6539">
      <c r="A6539">
        <f>Input!A6539</f>
        <v/>
      </c>
      <c r="B6539">
        <f>IF(ISNUMBER(Input!B6539),IF(AND(Input!B6539&gt;=20,Input!B6539&lt;=700),Input!B6539,""),"")</f>
        <v/>
      </c>
      <c r="C6539">
        <f>IF(B6539="","",INT(A6539))</f>
        <v/>
      </c>
      <c r="D6539">
        <f>IF(B6539="","",HOUR(A6539))</f>
        <v/>
      </c>
    </row>
    <row r="6540">
      <c r="A6540">
        <f>Input!A6540</f>
        <v/>
      </c>
      <c r="B6540">
        <f>IF(ISNUMBER(Input!B6540),IF(AND(Input!B6540&gt;=20,Input!B6540&lt;=700),Input!B6540,""),"")</f>
        <v/>
      </c>
      <c r="C6540">
        <f>IF(B6540="","",INT(A6540))</f>
        <v/>
      </c>
      <c r="D6540">
        <f>IF(B6540="","",HOUR(A6540))</f>
        <v/>
      </c>
    </row>
    <row r="6541">
      <c r="A6541">
        <f>Input!A6541</f>
        <v/>
      </c>
      <c r="B6541">
        <f>IF(ISNUMBER(Input!B6541),IF(AND(Input!B6541&gt;=20,Input!B6541&lt;=700),Input!B6541,""),"")</f>
        <v/>
      </c>
      <c r="C6541">
        <f>IF(B6541="","",INT(A6541))</f>
        <v/>
      </c>
      <c r="D6541">
        <f>IF(B6541="","",HOUR(A6541))</f>
        <v/>
      </c>
    </row>
    <row r="6542">
      <c r="A6542">
        <f>Input!A6542</f>
        <v/>
      </c>
      <c r="B6542">
        <f>IF(ISNUMBER(Input!B6542),IF(AND(Input!B6542&gt;=20,Input!B6542&lt;=700),Input!B6542,""),"")</f>
        <v/>
      </c>
      <c r="C6542">
        <f>IF(B6542="","",INT(A6542))</f>
        <v/>
      </c>
      <c r="D6542">
        <f>IF(B6542="","",HOUR(A6542))</f>
        <v/>
      </c>
    </row>
    <row r="6543">
      <c r="A6543">
        <f>Input!A6543</f>
        <v/>
      </c>
      <c r="B6543">
        <f>IF(ISNUMBER(Input!B6543),IF(AND(Input!B6543&gt;=20,Input!B6543&lt;=700),Input!B6543,""),"")</f>
        <v/>
      </c>
      <c r="C6543">
        <f>IF(B6543="","",INT(A6543))</f>
        <v/>
      </c>
      <c r="D6543">
        <f>IF(B6543="","",HOUR(A6543))</f>
        <v/>
      </c>
    </row>
    <row r="6544">
      <c r="A6544">
        <f>Input!A6544</f>
        <v/>
      </c>
      <c r="B6544">
        <f>IF(ISNUMBER(Input!B6544),IF(AND(Input!B6544&gt;=20,Input!B6544&lt;=700),Input!B6544,""),"")</f>
        <v/>
      </c>
      <c r="C6544">
        <f>IF(B6544="","",INT(A6544))</f>
        <v/>
      </c>
      <c r="D6544">
        <f>IF(B6544="","",HOUR(A6544))</f>
        <v/>
      </c>
    </row>
    <row r="6545">
      <c r="A6545">
        <f>Input!A6545</f>
        <v/>
      </c>
      <c r="B6545">
        <f>IF(ISNUMBER(Input!B6545),IF(AND(Input!B6545&gt;=20,Input!B6545&lt;=700),Input!B6545,""),"")</f>
        <v/>
      </c>
      <c r="C6545">
        <f>IF(B6545="","",INT(A6545))</f>
        <v/>
      </c>
      <c r="D6545">
        <f>IF(B6545="","",HOUR(A6545))</f>
        <v/>
      </c>
    </row>
    <row r="6546">
      <c r="A6546">
        <f>Input!A6546</f>
        <v/>
      </c>
      <c r="B6546">
        <f>IF(ISNUMBER(Input!B6546),IF(AND(Input!B6546&gt;=20,Input!B6546&lt;=700),Input!B6546,""),"")</f>
        <v/>
      </c>
      <c r="C6546">
        <f>IF(B6546="","",INT(A6546))</f>
        <v/>
      </c>
      <c r="D6546">
        <f>IF(B6546="","",HOUR(A6546))</f>
        <v/>
      </c>
    </row>
    <row r="6547">
      <c r="A6547">
        <f>Input!A6547</f>
        <v/>
      </c>
      <c r="B6547">
        <f>IF(ISNUMBER(Input!B6547),IF(AND(Input!B6547&gt;=20,Input!B6547&lt;=700),Input!B6547,""),"")</f>
        <v/>
      </c>
      <c r="C6547">
        <f>IF(B6547="","",INT(A6547))</f>
        <v/>
      </c>
      <c r="D6547">
        <f>IF(B6547="","",HOUR(A6547))</f>
        <v/>
      </c>
    </row>
    <row r="6548">
      <c r="A6548">
        <f>Input!A6548</f>
        <v/>
      </c>
      <c r="B6548">
        <f>IF(ISNUMBER(Input!B6548),IF(AND(Input!B6548&gt;=20,Input!B6548&lt;=700),Input!B6548,""),"")</f>
        <v/>
      </c>
      <c r="C6548">
        <f>IF(B6548="","",INT(A6548))</f>
        <v/>
      </c>
      <c r="D6548">
        <f>IF(B6548="","",HOUR(A6548))</f>
        <v/>
      </c>
    </row>
    <row r="6549">
      <c r="A6549">
        <f>Input!A6549</f>
        <v/>
      </c>
      <c r="B6549">
        <f>IF(ISNUMBER(Input!B6549),IF(AND(Input!B6549&gt;=20,Input!B6549&lt;=700),Input!B6549,""),"")</f>
        <v/>
      </c>
      <c r="C6549">
        <f>IF(B6549="","",INT(A6549))</f>
        <v/>
      </c>
      <c r="D6549">
        <f>IF(B6549="","",HOUR(A6549))</f>
        <v/>
      </c>
    </row>
    <row r="6550">
      <c r="A6550">
        <f>Input!A6550</f>
        <v/>
      </c>
      <c r="B6550">
        <f>IF(ISNUMBER(Input!B6550),IF(AND(Input!B6550&gt;=20,Input!B6550&lt;=700),Input!B6550,""),"")</f>
        <v/>
      </c>
      <c r="C6550">
        <f>IF(B6550="","",INT(A6550))</f>
        <v/>
      </c>
      <c r="D6550">
        <f>IF(B6550="","",HOUR(A6550))</f>
        <v/>
      </c>
    </row>
    <row r="6551">
      <c r="A6551">
        <f>Input!A6551</f>
        <v/>
      </c>
      <c r="B6551">
        <f>IF(ISNUMBER(Input!B6551),IF(AND(Input!B6551&gt;=20,Input!B6551&lt;=700),Input!B6551,""),"")</f>
        <v/>
      </c>
      <c r="C6551">
        <f>IF(B6551="","",INT(A6551))</f>
        <v/>
      </c>
      <c r="D6551">
        <f>IF(B6551="","",HOUR(A6551))</f>
        <v/>
      </c>
    </row>
    <row r="6552">
      <c r="A6552">
        <f>Input!A6552</f>
        <v/>
      </c>
      <c r="B6552">
        <f>IF(ISNUMBER(Input!B6552),IF(AND(Input!B6552&gt;=20,Input!B6552&lt;=700),Input!B6552,""),"")</f>
        <v/>
      </c>
      <c r="C6552">
        <f>IF(B6552="","",INT(A6552))</f>
        <v/>
      </c>
      <c r="D6552">
        <f>IF(B6552="","",HOUR(A6552))</f>
        <v/>
      </c>
    </row>
    <row r="6553">
      <c r="A6553">
        <f>Input!A6553</f>
        <v/>
      </c>
      <c r="B6553">
        <f>IF(ISNUMBER(Input!B6553),IF(AND(Input!B6553&gt;=20,Input!B6553&lt;=700),Input!B6553,""),"")</f>
        <v/>
      </c>
      <c r="C6553">
        <f>IF(B6553="","",INT(A6553))</f>
        <v/>
      </c>
      <c r="D6553">
        <f>IF(B6553="","",HOUR(A6553))</f>
        <v/>
      </c>
    </row>
    <row r="6554">
      <c r="A6554">
        <f>Input!A6554</f>
        <v/>
      </c>
      <c r="B6554">
        <f>IF(ISNUMBER(Input!B6554),IF(AND(Input!B6554&gt;=20,Input!B6554&lt;=700),Input!B6554,""),"")</f>
        <v/>
      </c>
      <c r="C6554">
        <f>IF(B6554="","",INT(A6554))</f>
        <v/>
      </c>
      <c r="D6554">
        <f>IF(B6554="","",HOUR(A6554))</f>
        <v/>
      </c>
    </row>
    <row r="6555">
      <c r="A6555">
        <f>Input!A6555</f>
        <v/>
      </c>
      <c r="B6555">
        <f>IF(ISNUMBER(Input!B6555),IF(AND(Input!B6555&gt;=20,Input!B6555&lt;=700),Input!B6555,""),"")</f>
        <v/>
      </c>
      <c r="C6555">
        <f>IF(B6555="","",INT(A6555))</f>
        <v/>
      </c>
      <c r="D6555">
        <f>IF(B6555="","",HOUR(A6555))</f>
        <v/>
      </c>
    </row>
    <row r="6556">
      <c r="A6556">
        <f>Input!A6556</f>
        <v/>
      </c>
      <c r="B6556">
        <f>IF(ISNUMBER(Input!B6556),IF(AND(Input!B6556&gt;=20,Input!B6556&lt;=700),Input!B6556,""),"")</f>
        <v/>
      </c>
      <c r="C6556">
        <f>IF(B6556="","",INT(A6556))</f>
        <v/>
      </c>
      <c r="D6556">
        <f>IF(B6556="","",HOUR(A6556))</f>
        <v/>
      </c>
    </row>
    <row r="6557">
      <c r="A6557">
        <f>Input!A6557</f>
        <v/>
      </c>
      <c r="B6557">
        <f>IF(ISNUMBER(Input!B6557),IF(AND(Input!B6557&gt;=20,Input!B6557&lt;=700),Input!B6557,""),"")</f>
        <v/>
      </c>
      <c r="C6557">
        <f>IF(B6557="","",INT(A6557))</f>
        <v/>
      </c>
      <c r="D6557">
        <f>IF(B6557="","",HOUR(A6557))</f>
        <v/>
      </c>
    </row>
    <row r="6558">
      <c r="A6558">
        <f>Input!A6558</f>
        <v/>
      </c>
      <c r="B6558">
        <f>IF(ISNUMBER(Input!B6558),IF(AND(Input!B6558&gt;=20,Input!B6558&lt;=700),Input!B6558,""),"")</f>
        <v/>
      </c>
      <c r="C6558">
        <f>IF(B6558="","",INT(A6558))</f>
        <v/>
      </c>
      <c r="D6558">
        <f>IF(B6558="","",HOUR(A6558))</f>
        <v/>
      </c>
    </row>
    <row r="6559">
      <c r="A6559">
        <f>Input!A6559</f>
        <v/>
      </c>
      <c r="B6559">
        <f>IF(ISNUMBER(Input!B6559),IF(AND(Input!B6559&gt;=20,Input!B6559&lt;=700),Input!B6559,""),"")</f>
        <v/>
      </c>
      <c r="C6559">
        <f>IF(B6559="","",INT(A6559))</f>
        <v/>
      </c>
      <c r="D6559">
        <f>IF(B6559="","",HOUR(A6559))</f>
        <v/>
      </c>
    </row>
    <row r="6560">
      <c r="A6560">
        <f>Input!A6560</f>
        <v/>
      </c>
      <c r="B6560">
        <f>IF(ISNUMBER(Input!B6560),IF(AND(Input!B6560&gt;=20,Input!B6560&lt;=700),Input!B6560,""),"")</f>
        <v/>
      </c>
      <c r="C6560">
        <f>IF(B6560="","",INT(A6560))</f>
        <v/>
      </c>
      <c r="D6560">
        <f>IF(B6560="","",HOUR(A6560))</f>
        <v/>
      </c>
    </row>
    <row r="6561">
      <c r="A6561">
        <f>Input!A6561</f>
        <v/>
      </c>
      <c r="B6561">
        <f>IF(ISNUMBER(Input!B6561),IF(AND(Input!B6561&gt;=20,Input!B6561&lt;=700),Input!B6561,""),"")</f>
        <v/>
      </c>
      <c r="C6561">
        <f>IF(B6561="","",INT(A6561))</f>
        <v/>
      </c>
      <c r="D6561">
        <f>IF(B6561="","",HOUR(A6561))</f>
        <v/>
      </c>
    </row>
    <row r="6562">
      <c r="A6562">
        <f>Input!A6562</f>
        <v/>
      </c>
      <c r="B6562">
        <f>IF(ISNUMBER(Input!B6562),IF(AND(Input!B6562&gt;=20,Input!B6562&lt;=700),Input!B6562,""),"")</f>
        <v/>
      </c>
      <c r="C6562">
        <f>IF(B6562="","",INT(A6562))</f>
        <v/>
      </c>
      <c r="D6562">
        <f>IF(B6562="","",HOUR(A6562))</f>
        <v/>
      </c>
    </row>
    <row r="6563">
      <c r="A6563">
        <f>Input!A6563</f>
        <v/>
      </c>
      <c r="B6563">
        <f>IF(ISNUMBER(Input!B6563),IF(AND(Input!B6563&gt;=20,Input!B6563&lt;=700),Input!B6563,""),"")</f>
        <v/>
      </c>
      <c r="C6563">
        <f>IF(B6563="","",INT(A6563))</f>
        <v/>
      </c>
      <c r="D6563">
        <f>IF(B6563="","",HOUR(A6563))</f>
        <v/>
      </c>
    </row>
    <row r="6564">
      <c r="A6564">
        <f>Input!A6564</f>
        <v/>
      </c>
      <c r="B6564">
        <f>IF(ISNUMBER(Input!B6564),IF(AND(Input!B6564&gt;=20,Input!B6564&lt;=700),Input!B6564,""),"")</f>
        <v/>
      </c>
      <c r="C6564">
        <f>IF(B6564="","",INT(A6564))</f>
        <v/>
      </c>
      <c r="D6564">
        <f>IF(B6564="","",HOUR(A6564))</f>
        <v/>
      </c>
    </row>
    <row r="6565">
      <c r="A6565">
        <f>Input!A6565</f>
        <v/>
      </c>
      <c r="B6565">
        <f>IF(ISNUMBER(Input!B6565),IF(AND(Input!B6565&gt;=20,Input!B6565&lt;=700),Input!B6565,""),"")</f>
        <v/>
      </c>
      <c r="C6565">
        <f>IF(B6565="","",INT(A6565))</f>
        <v/>
      </c>
      <c r="D6565">
        <f>IF(B6565="","",HOUR(A6565))</f>
        <v/>
      </c>
    </row>
    <row r="6566">
      <c r="A6566">
        <f>Input!A6566</f>
        <v/>
      </c>
      <c r="B6566">
        <f>IF(ISNUMBER(Input!B6566),IF(AND(Input!B6566&gt;=20,Input!B6566&lt;=700),Input!B6566,""),"")</f>
        <v/>
      </c>
      <c r="C6566">
        <f>IF(B6566="","",INT(A6566))</f>
        <v/>
      </c>
      <c r="D6566">
        <f>IF(B6566="","",HOUR(A6566))</f>
        <v/>
      </c>
    </row>
    <row r="6567">
      <c r="A6567">
        <f>Input!A6567</f>
        <v/>
      </c>
      <c r="B6567">
        <f>IF(ISNUMBER(Input!B6567),IF(AND(Input!B6567&gt;=20,Input!B6567&lt;=700),Input!B6567,""),"")</f>
        <v/>
      </c>
      <c r="C6567">
        <f>IF(B6567="","",INT(A6567))</f>
        <v/>
      </c>
      <c r="D6567">
        <f>IF(B6567="","",HOUR(A6567))</f>
        <v/>
      </c>
    </row>
    <row r="6568">
      <c r="A6568">
        <f>Input!A6568</f>
        <v/>
      </c>
      <c r="B6568">
        <f>IF(ISNUMBER(Input!B6568),IF(AND(Input!B6568&gt;=20,Input!B6568&lt;=700),Input!B6568,""),"")</f>
        <v/>
      </c>
      <c r="C6568">
        <f>IF(B6568="","",INT(A6568))</f>
        <v/>
      </c>
      <c r="D6568">
        <f>IF(B6568="","",HOUR(A6568))</f>
        <v/>
      </c>
    </row>
    <row r="6569">
      <c r="A6569">
        <f>Input!A6569</f>
        <v/>
      </c>
      <c r="B6569">
        <f>IF(ISNUMBER(Input!B6569),IF(AND(Input!B6569&gt;=20,Input!B6569&lt;=700),Input!B6569,""),"")</f>
        <v/>
      </c>
      <c r="C6569">
        <f>IF(B6569="","",INT(A6569))</f>
        <v/>
      </c>
      <c r="D6569">
        <f>IF(B6569="","",HOUR(A6569))</f>
        <v/>
      </c>
    </row>
    <row r="6570">
      <c r="A6570">
        <f>Input!A6570</f>
        <v/>
      </c>
      <c r="B6570">
        <f>IF(ISNUMBER(Input!B6570),IF(AND(Input!B6570&gt;=20,Input!B6570&lt;=700),Input!B6570,""),"")</f>
        <v/>
      </c>
      <c r="C6570">
        <f>IF(B6570="","",INT(A6570))</f>
        <v/>
      </c>
      <c r="D6570">
        <f>IF(B6570="","",HOUR(A6570))</f>
        <v/>
      </c>
    </row>
    <row r="6571">
      <c r="A6571">
        <f>Input!A6571</f>
        <v/>
      </c>
      <c r="B6571">
        <f>IF(ISNUMBER(Input!B6571),IF(AND(Input!B6571&gt;=20,Input!B6571&lt;=700),Input!B6571,""),"")</f>
        <v/>
      </c>
      <c r="C6571">
        <f>IF(B6571="","",INT(A6571))</f>
        <v/>
      </c>
      <c r="D6571">
        <f>IF(B6571="","",HOUR(A6571))</f>
        <v/>
      </c>
    </row>
    <row r="6572">
      <c r="A6572">
        <f>Input!A6572</f>
        <v/>
      </c>
      <c r="B6572">
        <f>IF(ISNUMBER(Input!B6572),IF(AND(Input!B6572&gt;=20,Input!B6572&lt;=700),Input!B6572,""),"")</f>
        <v/>
      </c>
      <c r="C6572">
        <f>IF(B6572="","",INT(A6572))</f>
        <v/>
      </c>
      <c r="D6572">
        <f>IF(B6572="","",HOUR(A6572))</f>
        <v/>
      </c>
    </row>
    <row r="6573">
      <c r="A6573">
        <f>Input!A6573</f>
        <v/>
      </c>
      <c r="B6573">
        <f>IF(ISNUMBER(Input!B6573),IF(AND(Input!B6573&gt;=20,Input!B6573&lt;=700),Input!B6573,""),"")</f>
        <v/>
      </c>
      <c r="C6573">
        <f>IF(B6573="","",INT(A6573))</f>
        <v/>
      </c>
      <c r="D6573">
        <f>IF(B6573="","",HOUR(A6573))</f>
        <v/>
      </c>
    </row>
    <row r="6574">
      <c r="A6574">
        <f>Input!A6574</f>
        <v/>
      </c>
      <c r="B6574">
        <f>IF(ISNUMBER(Input!B6574),IF(AND(Input!B6574&gt;=20,Input!B6574&lt;=700),Input!B6574,""),"")</f>
        <v/>
      </c>
      <c r="C6574">
        <f>IF(B6574="","",INT(A6574))</f>
        <v/>
      </c>
      <c r="D6574">
        <f>IF(B6574="","",HOUR(A6574))</f>
        <v/>
      </c>
    </row>
    <row r="6575">
      <c r="A6575">
        <f>Input!A6575</f>
        <v/>
      </c>
      <c r="B6575">
        <f>IF(ISNUMBER(Input!B6575),IF(AND(Input!B6575&gt;=20,Input!B6575&lt;=700),Input!B6575,""),"")</f>
        <v/>
      </c>
      <c r="C6575">
        <f>IF(B6575="","",INT(A6575))</f>
        <v/>
      </c>
      <c r="D6575">
        <f>IF(B6575="","",HOUR(A6575))</f>
        <v/>
      </c>
    </row>
    <row r="6576">
      <c r="A6576">
        <f>Input!A6576</f>
        <v/>
      </c>
      <c r="B6576">
        <f>IF(ISNUMBER(Input!B6576),IF(AND(Input!B6576&gt;=20,Input!B6576&lt;=700),Input!B6576,""),"")</f>
        <v/>
      </c>
      <c r="C6576">
        <f>IF(B6576="","",INT(A6576))</f>
        <v/>
      </c>
      <c r="D6576">
        <f>IF(B6576="","",HOUR(A6576))</f>
        <v/>
      </c>
    </row>
    <row r="6577">
      <c r="A6577">
        <f>Input!A6577</f>
        <v/>
      </c>
      <c r="B6577">
        <f>IF(ISNUMBER(Input!B6577),IF(AND(Input!B6577&gt;=20,Input!B6577&lt;=700),Input!B6577,""),"")</f>
        <v/>
      </c>
      <c r="C6577">
        <f>IF(B6577="","",INT(A6577))</f>
        <v/>
      </c>
      <c r="D6577">
        <f>IF(B6577="","",HOUR(A6577))</f>
        <v/>
      </c>
    </row>
    <row r="6578">
      <c r="A6578">
        <f>Input!A6578</f>
        <v/>
      </c>
      <c r="B6578">
        <f>IF(ISNUMBER(Input!B6578),IF(AND(Input!B6578&gt;=20,Input!B6578&lt;=700),Input!B6578,""),"")</f>
        <v/>
      </c>
      <c r="C6578">
        <f>IF(B6578="","",INT(A6578))</f>
        <v/>
      </c>
      <c r="D6578">
        <f>IF(B6578="","",HOUR(A6578))</f>
        <v/>
      </c>
    </row>
    <row r="6579">
      <c r="A6579">
        <f>Input!A6579</f>
        <v/>
      </c>
      <c r="B6579">
        <f>IF(ISNUMBER(Input!B6579),IF(AND(Input!B6579&gt;=20,Input!B6579&lt;=700),Input!B6579,""),"")</f>
        <v/>
      </c>
      <c r="C6579">
        <f>IF(B6579="","",INT(A6579))</f>
        <v/>
      </c>
      <c r="D6579">
        <f>IF(B6579="","",HOUR(A6579))</f>
        <v/>
      </c>
    </row>
    <row r="6580">
      <c r="A6580">
        <f>Input!A6580</f>
        <v/>
      </c>
      <c r="B6580">
        <f>IF(ISNUMBER(Input!B6580),IF(AND(Input!B6580&gt;=20,Input!B6580&lt;=700),Input!B6580,""),"")</f>
        <v/>
      </c>
      <c r="C6580">
        <f>IF(B6580="","",INT(A6580))</f>
        <v/>
      </c>
      <c r="D6580">
        <f>IF(B6580="","",HOUR(A6580))</f>
        <v/>
      </c>
    </row>
    <row r="6581">
      <c r="A6581">
        <f>Input!A6581</f>
        <v/>
      </c>
      <c r="B6581">
        <f>IF(ISNUMBER(Input!B6581),IF(AND(Input!B6581&gt;=20,Input!B6581&lt;=700),Input!B6581,""),"")</f>
        <v/>
      </c>
      <c r="C6581">
        <f>IF(B6581="","",INT(A6581))</f>
        <v/>
      </c>
      <c r="D6581">
        <f>IF(B6581="","",HOUR(A6581))</f>
        <v/>
      </c>
    </row>
    <row r="6582">
      <c r="A6582">
        <f>Input!A6582</f>
        <v/>
      </c>
      <c r="B6582">
        <f>IF(ISNUMBER(Input!B6582),IF(AND(Input!B6582&gt;=20,Input!B6582&lt;=700),Input!B6582,""),"")</f>
        <v/>
      </c>
      <c r="C6582">
        <f>IF(B6582="","",INT(A6582))</f>
        <v/>
      </c>
      <c r="D6582">
        <f>IF(B6582="","",HOUR(A6582))</f>
        <v/>
      </c>
    </row>
    <row r="6583">
      <c r="A6583">
        <f>Input!A6583</f>
        <v/>
      </c>
      <c r="B6583">
        <f>IF(ISNUMBER(Input!B6583),IF(AND(Input!B6583&gt;=20,Input!B6583&lt;=700),Input!B6583,""),"")</f>
        <v/>
      </c>
      <c r="C6583">
        <f>IF(B6583="","",INT(A6583))</f>
        <v/>
      </c>
      <c r="D6583">
        <f>IF(B6583="","",HOUR(A6583))</f>
        <v/>
      </c>
    </row>
    <row r="6584">
      <c r="A6584">
        <f>Input!A6584</f>
        <v/>
      </c>
      <c r="B6584">
        <f>IF(ISNUMBER(Input!B6584),IF(AND(Input!B6584&gt;=20,Input!B6584&lt;=700),Input!B6584,""),"")</f>
        <v/>
      </c>
      <c r="C6584">
        <f>IF(B6584="","",INT(A6584))</f>
        <v/>
      </c>
      <c r="D6584">
        <f>IF(B6584="","",HOUR(A6584))</f>
        <v/>
      </c>
    </row>
    <row r="6585">
      <c r="A6585">
        <f>Input!A6585</f>
        <v/>
      </c>
      <c r="B6585">
        <f>IF(ISNUMBER(Input!B6585),IF(AND(Input!B6585&gt;=20,Input!B6585&lt;=700),Input!B6585,""),"")</f>
        <v/>
      </c>
      <c r="C6585">
        <f>IF(B6585="","",INT(A6585))</f>
        <v/>
      </c>
      <c r="D6585">
        <f>IF(B6585="","",HOUR(A6585))</f>
        <v/>
      </c>
    </row>
    <row r="6586">
      <c r="A6586">
        <f>Input!A6586</f>
        <v/>
      </c>
      <c r="B6586">
        <f>IF(ISNUMBER(Input!B6586),IF(AND(Input!B6586&gt;=20,Input!B6586&lt;=700),Input!B6586,""),"")</f>
        <v/>
      </c>
      <c r="C6586">
        <f>IF(B6586="","",INT(A6586))</f>
        <v/>
      </c>
      <c r="D6586">
        <f>IF(B6586="","",HOUR(A6586))</f>
        <v/>
      </c>
    </row>
    <row r="6587">
      <c r="A6587">
        <f>Input!A6587</f>
        <v/>
      </c>
      <c r="B6587">
        <f>IF(ISNUMBER(Input!B6587),IF(AND(Input!B6587&gt;=20,Input!B6587&lt;=700),Input!B6587,""),"")</f>
        <v/>
      </c>
      <c r="C6587">
        <f>IF(B6587="","",INT(A6587))</f>
        <v/>
      </c>
      <c r="D6587">
        <f>IF(B6587="","",HOUR(A6587))</f>
        <v/>
      </c>
    </row>
    <row r="6588">
      <c r="A6588">
        <f>Input!A6588</f>
        <v/>
      </c>
      <c r="B6588">
        <f>IF(ISNUMBER(Input!B6588),IF(AND(Input!B6588&gt;=20,Input!B6588&lt;=700),Input!B6588,""),"")</f>
        <v/>
      </c>
      <c r="C6588">
        <f>IF(B6588="","",INT(A6588))</f>
        <v/>
      </c>
      <c r="D6588">
        <f>IF(B6588="","",HOUR(A6588))</f>
        <v/>
      </c>
    </row>
    <row r="6589">
      <c r="A6589">
        <f>Input!A6589</f>
        <v/>
      </c>
      <c r="B6589">
        <f>IF(ISNUMBER(Input!B6589),IF(AND(Input!B6589&gt;=20,Input!B6589&lt;=700),Input!B6589,""),"")</f>
        <v/>
      </c>
      <c r="C6589">
        <f>IF(B6589="","",INT(A6589))</f>
        <v/>
      </c>
      <c r="D6589">
        <f>IF(B6589="","",HOUR(A6589))</f>
        <v/>
      </c>
    </row>
    <row r="6590">
      <c r="A6590">
        <f>Input!A6590</f>
        <v/>
      </c>
      <c r="B6590">
        <f>IF(ISNUMBER(Input!B6590),IF(AND(Input!B6590&gt;=20,Input!B6590&lt;=700),Input!B6590,""),"")</f>
        <v/>
      </c>
      <c r="C6590">
        <f>IF(B6590="","",INT(A6590))</f>
        <v/>
      </c>
      <c r="D6590">
        <f>IF(B6590="","",HOUR(A6590))</f>
        <v/>
      </c>
    </row>
    <row r="6591">
      <c r="A6591">
        <f>Input!A6591</f>
        <v/>
      </c>
      <c r="B6591">
        <f>IF(ISNUMBER(Input!B6591),IF(AND(Input!B6591&gt;=20,Input!B6591&lt;=700),Input!B6591,""),"")</f>
        <v/>
      </c>
      <c r="C6591">
        <f>IF(B6591="","",INT(A6591))</f>
        <v/>
      </c>
      <c r="D6591">
        <f>IF(B6591="","",HOUR(A6591))</f>
        <v/>
      </c>
    </row>
    <row r="6592">
      <c r="A6592">
        <f>Input!A6592</f>
        <v/>
      </c>
      <c r="B6592">
        <f>IF(ISNUMBER(Input!B6592),IF(AND(Input!B6592&gt;=20,Input!B6592&lt;=700),Input!B6592,""),"")</f>
        <v/>
      </c>
      <c r="C6592">
        <f>IF(B6592="","",INT(A6592))</f>
        <v/>
      </c>
      <c r="D6592">
        <f>IF(B6592="","",HOUR(A6592))</f>
        <v/>
      </c>
    </row>
    <row r="6593">
      <c r="A6593">
        <f>Input!A6593</f>
        <v/>
      </c>
      <c r="B6593">
        <f>IF(ISNUMBER(Input!B6593),IF(AND(Input!B6593&gt;=20,Input!B6593&lt;=700),Input!B6593,""),"")</f>
        <v/>
      </c>
      <c r="C6593">
        <f>IF(B6593="","",INT(A6593))</f>
        <v/>
      </c>
      <c r="D6593">
        <f>IF(B6593="","",HOUR(A6593))</f>
        <v/>
      </c>
    </row>
    <row r="6594">
      <c r="A6594">
        <f>Input!A6594</f>
        <v/>
      </c>
      <c r="B6594">
        <f>IF(ISNUMBER(Input!B6594),IF(AND(Input!B6594&gt;=20,Input!B6594&lt;=700),Input!B6594,""),"")</f>
        <v/>
      </c>
      <c r="C6594">
        <f>IF(B6594="","",INT(A6594))</f>
        <v/>
      </c>
      <c r="D6594">
        <f>IF(B6594="","",HOUR(A6594))</f>
        <v/>
      </c>
    </row>
    <row r="6595">
      <c r="A6595">
        <f>Input!A6595</f>
        <v/>
      </c>
      <c r="B6595">
        <f>IF(ISNUMBER(Input!B6595),IF(AND(Input!B6595&gt;=20,Input!B6595&lt;=700),Input!B6595,""),"")</f>
        <v/>
      </c>
      <c r="C6595">
        <f>IF(B6595="","",INT(A6595))</f>
        <v/>
      </c>
      <c r="D6595">
        <f>IF(B6595="","",HOUR(A6595))</f>
        <v/>
      </c>
    </row>
    <row r="6596">
      <c r="A6596">
        <f>Input!A6596</f>
        <v/>
      </c>
      <c r="B6596">
        <f>IF(ISNUMBER(Input!B6596),IF(AND(Input!B6596&gt;=20,Input!B6596&lt;=700),Input!B6596,""),"")</f>
        <v/>
      </c>
      <c r="C6596">
        <f>IF(B6596="","",INT(A6596))</f>
        <v/>
      </c>
      <c r="D6596">
        <f>IF(B6596="","",HOUR(A6596))</f>
        <v/>
      </c>
    </row>
    <row r="6597">
      <c r="A6597">
        <f>Input!A6597</f>
        <v/>
      </c>
      <c r="B6597">
        <f>IF(ISNUMBER(Input!B6597),IF(AND(Input!B6597&gt;=20,Input!B6597&lt;=700),Input!B6597,""),"")</f>
        <v/>
      </c>
      <c r="C6597">
        <f>IF(B6597="","",INT(A6597))</f>
        <v/>
      </c>
      <c r="D6597">
        <f>IF(B6597="","",HOUR(A6597))</f>
        <v/>
      </c>
    </row>
    <row r="6598">
      <c r="A6598">
        <f>Input!A6598</f>
        <v/>
      </c>
      <c r="B6598">
        <f>IF(ISNUMBER(Input!B6598),IF(AND(Input!B6598&gt;=20,Input!B6598&lt;=700),Input!B6598,""),"")</f>
        <v/>
      </c>
      <c r="C6598">
        <f>IF(B6598="","",INT(A6598))</f>
        <v/>
      </c>
      <c r="D6598">
        <f>IF(B6598="","",HOUR(A6598))</f>
        <v/>
      </c>
    </row>
    <row r="6599">
      <c r="A6599">
        <f>Input!A6599</f>
        <v/>
      </c>
      <c r="B6599">
        <f>IF(ISNUMBER(Input!B6599),IF(AND(Input!B6599&gt;=20,Input!B6599&lt;=700),Input!B6599,""),"")</f>
        <v/>
      </c>
      <c r="C6599">
        <f>IF(B6599="","",INT(A6599))</f>
        <v/>
      </c>
      <c r="D6599">
        <f>IF(B6599="","",HOUR(A6599))</f>
        <v/>
      </c>
    </row>
    <row r="6600">
      <c r="A6600">
        <f>Input!A6600</f>
        <v/>
      </c>
      <c r="B6600">
        <f>IF(ISNUMBER(Input!B6600),IF(AND(Input!B6600&gt;=20,Input!B6600&lt;=700),Input!B6600,""),"")</f>
        <v/>
      </c>
      <c r="C6600">
        <f>IF(B6600="","",INT(A6600))</f>
        <v/>
      </c>
      <c r="D6600">
        <f>IF(B6600="","",HOUR(A6600))</f>
        <v/>
      </c>
    </row>
    <row r="6601">
      <c r="A6601">
        <f>Input!A6601</f>
        <v/>
      </c>
      <c r="B6601">
        <f>IF(ISNUMBER(Input!B6601),IF(AND(Input!B6601&gt;=20,Input!B6601&lt;=700),Input!B6601,""),"")</f>
        <v/>
      </c>
      <c r="C6601">
        <f>IF(B6601="","",INT(A6601))</f>
        <v/>
      </c>
      <c r="D6601">
        <f>IF(B6601="","",HOUR(A6601))</f>
        <v/>
      </c>
    </row>
    <row r="6602">
      <c r="A6602">
        <f>Input!A6602</f>
        <v/>
      </c>
      <c r="B6602">
        <f>IF(ISNUMBER(Input!B6602),IF(AND(Input!B6602&gt;=20,Input!B6602&lt;=700),Input!B6602,""),"")</f>
        <v/>
      </c>
      <c r="C6602">
        <f>IF(B6602="","",INT(A6602))</f>
        <v/>
      </c>
      <c r="D6602">
        <f>IF(B6602="","",HOUR(A6602))</f>
        <v/>
      </c>
    </row>
    <row r="6603">
      <c r="A6603">
        <f>Input!A6603</f>
        <v/>
      </c>
      <c r="B6603">
        <f>IF(ISNUMBER(Input!B6603),IF(AND(Input!B6603&gt;=20,Input!B6603&lt;=700),Input!B6603,""),"")</f>
        <v/>
      </c>
      <c r="C6603">
        <f>IF(B6603="","",INT(A6603))</f>
        <v/>
      </c>
      <c r="D6603">
        <f>IF(B6603="","",HOUR(A6603))</f>
        <v/>
      </c>
    </row>
    <row r="6604">
      <c r="A6604">
        <f>Input!A6604</f>
        <v/>
      </c>
      <c r="B6604">
        <f>IF(ISNUMBER(Input!B6604),IF(AND(Input!B6604&gt;=20,Input!B6604&lt;=700),Input!B6604,""),"")</f>
        <v/>
      </c>
      <c r="C6604">
        <f>IF(B6604="","",INT(A6604))</f>
        <v/>
      </c>
      <c r="D6604">
        <f>IF(B6604="","",HOUR(A6604))</f>
        <v/>
      </c>
    </row>
    <row r="6605">
      <c r="A6605">
        <f>Input!A6605</f>
        <v/>
      </c>
      <c r="B6605">
        <f>IF(ISNUMBER(Input!B6605),IF(AND(Input!B6605&gt;=20,Input!B6605&lt;=700),Input!B6605,""),"")</f>
        <v/>
      </c>
      <c r="C6605">
        <f>IF(B6605="","",INT(A6605))</f>
        <v/>
      </c>
      <c r="D6605">
        <f>IF(B6605="","",HOUR(A6605))</f>
        <v/>
      </c>
    </row>
    <row r="6606">
      <c r="A6606">
        <f>Input!A6606</f>
        <v/>
      </c>
      <c r="B6606">
        <f>IF(ISNUMBER(Input!B6606),IF(AND(Input!B6606&gt;=20,Input!B6606&lt;=700),Input!B6606,""),"")</f>
        <v/>
      </c>
      <c r="C6606">
        <f>IF(B6606="","",INT(A6606))</f>
        <v/>
      </c>
      <c r="D6606">
        <f>IF(B6606="","",HOUR(A6606))</f>
        <v/>
      </c>
    </row>
    <row r="6607">
      <c r="A6607">
        <f>Input!A6607</f>
        <v/>
      </c>
      <c r="B6607">
        <f>IF(ISNUMBER(Input!B6607),IF(AND(Input!B6607&gt;=20,Input!B6607&lt;=700),Input!B6607,""),"")</f>
        <v/>
      </c>
      <c r="C6607">
        <f>IF(B6607="","",INT(A6607))</f>
        <v/>
      </c>
      <c r="D6607">
        <f>IF(B6607="","",HOUR(A6607))</f>
        <v/>
      </c>
    </row>
    <row r="6608">
      <c r="A6608">
        <f>Input!A6608</f>
        <v/>
      </c>
      <c r="B6608">
        <f>IF(ISNUMBER(Input!B6608),IF(AND(Input!B6608&gt;=20,Input!B6608&lt;=700),Input!B6608,""),"")</f>
        <v/>
      </c>
      <c r="C6608">
        <f>IF(B6608="","",INT(A6608))</f>
        <v/>
      </c>
      <c r="D6608">
        <f>IF(B6608="","",HOUR(A6608))</f>
        <v/>
      </c>
    </row>
    <row r="6609">
      <c r="A6609">
        <f>Input!A6609</f>
        <v/>
      </c>
      <c r="B6609">
        <f>IF(ISNUMBER(Input!B6609),IF(AND(Input!B6609&gt;=20,Input!B6609&lt;=700),Input!B6609,""),"")</f>
        <v/>
      </c>
      <c r="C6609">
        <f>IF(B6609="","",INT(A6609))</f>
        <v/>
      </c>
      <c r="D6609">
        <f>IF(B6609="","",HOUR(A6609))</f>
        <v/>
      </c>
    </row>
    <row r="6610">
      <c r="A6610">
        <f>Input!A6610</f>
        <v/>
      </c>
      <c r="B6610">
        <f>IF(ISNUMBER(Input!B6610),IF(AND(Input!B6610&gt;=20,Input!B6610&lt;=700),Input!B6610,""),"")</f>
        <v/>
      </c>
      <c r="C6610">
        <f>IF(B6610="","",INT(A6610))</f>
        <v/>
      </c>
      <c r="D6610">
        <f>IF(B6610="","",HOUR(A6610))</f>
        <v/>
      </c>
    </row>
    <row r="6611">
      <c r="A6611">
        <f>Input!A6611</f>
        <v/>
      </c>
      <c r="B6611">
        <f>IF(ISNUMBER(Input!B6611),IF(AND(Input!B6611&gt;=20,Input!B6611&lt;=700),Input!B6611,""),"")</f>
        <v/>
      </c>
      <c r="C6611">
        <f>IF(B6611="","",INT(A6611))</f>
        <v/>
      </c>
      <c r="D6611">
        <f>IF(B6611="","",HOUR(A6611))</f>
        <v/>
      </c>
    </row>
    <row r="6612">
      <c r="A6612">
        <f>Input!A6612</f>
        <v/>
      </c>
      <c r="B6612">
        <f>IF(ISNUMBER(Input!B6612),IF(AND(Input!B6612&gt;=20,Input!B6612&lt;=700),Input!B6612,""),"")</f>
        <v/>
      </c>
      <c r="C6612">
        <f>IF(B6612="","",INT(A6612))</f>
        <v/>
      </c>
      <c r="D6612">
        <f>IF(B6612="","",HOUR(A6612))</f>
        <v/>
      </c>
    </row>
    <row r="6613">
      <c r="A6613">
        <f>Input!A6613</f>
        <v/>
      </c>
      <c r="B6613">
        <f>IF(ISNUMBER(Input!B6613),IF(AND(Input!B6613&gt;=20,Input!B6613&lt;=700),Input!B6613,""),"")</f>
        <v/>
      </c>
      <c r="C6613">
        <f>IF(B6613="","",INT(A6613))</f>
        <v/>
      </c>
      <c r="D6613">
        <f>IF(B6613="","",HOUR(A6613))</f>
        <v/>
      </c>
    </row>
    <row r="6614">
      <c r="A6614">
        <f>Input!A6614</f>
        <v/>
      </c>
      <c r="B6614">
        <f>IF(ISNUMBER(Input!B6614),IF(AND(Input!B6614&gt;=20,Input!B6614&lt;=700),Input!B6614,""),"")</f>
        <v/>
      </c>
      <c r="C6614">
        <f>IF(B6614="","",INT(A6614))</f>
        <v/>
      </c>
      <c r="D6614">
        <f>IF(B6614="","",HOUR(A6614))</f>
        <v/>
      </c>
    </row>
    <row r="6615">
      <c r="A6615">
        <f>Input!A6615</f>
        <v/>
      </c>
      <c r="B6615">
        <f>IF(ISNUMBER(Input!B6615),IF(AND(Input!B6615&gt;=20,Input!B6615&lt;=700),Input!B6615,""),"")</f>
        <v/>
      </c>
      <c r="C6615">
        <f>IF(B6615="","",INT(A6615))</f>
        <v/>
      </c>
      <c r="D6615">
        <f>IF(B6615="","",HOUR(A6615))</f>
        <v/>
      </c>
    </row>
    <row r="6616">
      <c r="A6616">
        <f>Input!A6616</f>
        <v/>
      </c>
      <c r="B6616">
        <f>IF(ISNUMBER(Input!B6616),IF(AND(Input!B6616&gt;=20,Input!B6616&lt;=700),Input!B6616,""),"")</f>
        <v/>
      </c>
      <c r="C6616">
        <f>IF(B6616="","",INT(A6616))</f>
        <v/>
      </c>
      <c r="D6616">
        <f>IF(B6616="","",HOUR(A6616))</f>
        <v/>
      </c>
    </row>
    <row r="6617">
      <c r="A6617">
        <f>Input!A6617</f>
        <v/>
      </c>
      <c r="B6617">
        <f>IF(ISNUMBER(Input!B6617),IF(AND(Input!B6617&gt;=20,Input!B6617&lt;=700),Input!B6617,""),"")</f>
        <v/>
      </c>
      <c r="C6617">
        <f>IF(B6617="","",INT(A6617))</f>
        <v/>
      </c>
      <c r="D6617">
        <f>IF(B6617="","",HOUR(A6617))</f>
        <v/>
      </c>
    </row>
    <row r="6618">
      <c r="A6618">
        <f>Input!A6618</f>
        <v/>
      </c>
      <c r="B6618">
        <f>IF(ISNUMBER(Input!B6618),IF(AND(Input!B6618&gt;=20,Input!B6618&lt;=700),Input!B6618,""),"")</f>
        <v/>
      </c>
      <c r="C6618">
        <f>IF(B6618="","",INT(A6618))</f>
        <v/>
      </c>
      <c r="D6618">
        <f>IF(B6618="","",HOUR(A6618))</f>
        <v/>
      </c>
    </row>
    <row r="6619">
      <c r="A6619">
        <f>Input!A6619</f>
        <v/>
      </c>
      <c r="B6619">
        <f>IF(ISNUMBER(Input!B6619),IF(AND(Input!B6619&gt;=20,Input!B6619&lt;=700),Input!B6619,""),"")</f>
        <v/>
      </c>
      <c r="C6619">
        <f>IF(B6619="","",INT(A6619))</f>
        <v/>
      </c>
      <c r="D6619">
        <f>IF(B6619="","",HOUR(A6619))</f>
        <v/>
      </c>
    </row>
    <row r="6620">
      <c r="A6620">
        <f>Input!A6620</f>
        <v/>
      </c>
      <c r="B6620">
        <f>IF(ISNUMBER(Input!B6620),IF(AND(Input!B6620&gt;=20,Input!B6620&lt;=700),Input!B6620,""),"")</f>
        <v/>
      </c>
      <c r="C6620">
        <f>IF(B6620="","",INT(A6620))</f>
        <v/>
      </c>
      <c r="D6620">
        <f>IF(B6620="","",HOUR(A6620))</f>
        <v/>
      </c>
    </row>
    <row r="6621">
      <c r="A6621">
        <f>Input!A6621</f>
        <v/>
      </c>
      <c r="B6621">
        <f>IF(ISNUMBER(Input!B6621),IF(AND(Input!B6621&gt;=20,Input!B6621&lt;=700),Input!B6621,""),"")</f>
        <v/>
      </c>
      <c r="C6621">
        <f>IF(B6621="","",INT(A6621))</f>
        <v/>
      </c>
      <c r="D6621">
        <f>IF(B6621="","",HOUR(A6621))</f>
        <v/>
      </c>
    </row>
    <row r="6622">
      <c r="A6622">
        <f>Input!A6622</f>
        <v/>
      </c>
      <c r="B6622">
        <f>IF(ISNUMBER(Input!B6622),IF(AND(Input!B6622&gt;=20,Input!B6622&lt;=700),Input!B6622,""),"")</f>
        <v/>
      </c>
      <c r="C6622">
        <f>IF(B6622="","",INT(A6622))</f>
        <v/>
      </c>
      <c r="D6622">
        <f>IF(B6622="","",HOUR(A6622))</f>
        <v/>
      </c>
    </row>
    <row r="6623">
      <c r="A6623">
        <f>Input!A6623</f>
        <v/>
      </c>
      <c r="B6623">
        <f>IF(ISNUMBER(Input!B6623),IF(AND(Input!B6623&gt;=20,Input!B6623&lt;=700),Input!B6623,""),"")</f>
        <v/>
      </c>
      <c r="C6623">
        <f>IF(B6623="","",INT(A6623))</f>
        <v/>
      </c>
      <c r="D6623">
        <f>IF(B6623="","",HOUR(A6623))</f>
        <v/>
      </c>
    </row>
    <row r="6624">
      <c r="A6624">
        <f>Input!A6624</f>
        <v/>
      </c>
      <c r="B6624">
        <f>IF(ISNUMBER(Input!B6624),IF(AND(Input!B6624&gt;=20,Input!B6624&lt;=700),Input!B6624,""),"")</f>
        <v/>
      </c>
      <c r="C6624">
        <f>IF(B6624="","",INT(A6624))</f>
        <v/>
      </c>
      <c r="D6624">
        <f>IF(B6624="","",HOUR(A6624))</f>
        <v/>
      </c>
    </row>
    <row r="6625">
      <c r="A6625">
        <f>Input!A6625</f>
        <v/>
      </c>
      <c r="B6625">
        <f>IF(ISNUMBER(Input!B6625),IF(AND(Input!B6625&gt;=20,Input!B6625&lt;=700),Input!B6625,""),"")</f>
        <v/>
      </c>
      <c r="C6625">
        <f>IF(B6625="","",INT(A6625))</f>
        <v/>
      </c>
      <c r="D6625">
        <f>IF(B6625="","",HOUR(A6625))</f>
        <v/>
      </c>
    </row>
    <row r="6626">
      <c r="A6626">
        <f>Input!A6626</f>
        <v/>
      </c>
      <c r="B6626">
        <f>IF(ISNUMBER(Input!B6626),IF(AND(Input!B6626&gt;=20,Input!B6626&lt;=700),Input!B6626,""),"")</f>
        <v/>
      </c>
      <c r="C6626">
        <f>IF(B6626="","",INT(A6626))</f>
        <v/>
      </c>
      <c r="D6626">
        <f>IF(B6626="","",HOUR(A6626))</f>
        <v/>
      </c>
    </row>
    <row r="6627">
      <c r="A6627">
        <f>Input!A6627</f>
        <v/>
      </c>
      <c r="B6627">
        <f>IF(ISNUMBER(Input!B6627),IF(AND(Input!B6627&gt;=20,Input!B6627&lt;=700),Input!B6627,""),"")</f>
        <v/>
      </c>
      <c r="C6627">
        <f>IF(B6627="","",INT(A6627))</f>
        <v/>
      </c>
      <c r="D6627">
        <f>IF(B6627="","",HOUR(A6627))</f>
        <v/>
      </c>
    </row>
    <row r="6628">
      <c r="A6628">
        <f>Input!A6628</f>
        <v/>
      </c>
      <c r="B6628">
        <f>IF(ISNUMBER(Input!B6628),IF(AND(Input!B6628&gt;=20,Input!B6628&lt;=700),Input!B6628,""),"")</f>
        <v/>
      </c>
      <c r="C6628">
        <f>IF(B6628="","",INT(A6628))</f>
        <v/>
      </c>
      <c r="D6628">
        <f>IF(B6628="","",HOUR(A6628))</f>
        <v/>
      </c>
    </row>
    <row r="6629">
      <c r="A6629">
        <f>Input!A6629</f>
        <v/>
      </c>
      <c r="B6629">
        <f>IF(ISNUMBER(Input!B6629),IF(AND(Input!B6629&gt;=20,Input!B6629&lt;=700),Input!B6629,""),"")</f>
        <v/>
      </c>
      <c r="C6629">
        <f>IF(B6629="","",INT(A6629))</f>
        <v/>
      </c>
      <c r="D6629">
        <f>IF(B6629="","",HOUR(A6629))</f>
        <v/>
      </c>
    </row>
    <row r="6630">
      <c r="A6630">
        <f>Input!A6630</f>
        <v/>
      </c>
      <c r="B6630">
        <f>IF(ISNUMBER(Input!B6630),IF(AND(Input!B6630&gt;=20,Input!B6630&lt;=700),Input!B6630,""),"")</f>
        <v/>
      </c>
      <c r="C6630">
        <f>IF(B6630="","",INT(A6630))</f>
        <v/>
      </c>
      <c r="D6630">
        <f>IF(B6630="","",HOUR(A6630))</f>
        <v/>
      </c>
    </row>
    <row r="6631">
      <c r="A6631">
        <f>Input!A6631</f>
        <v/>
      </c>
      <c r="B6631">
        <f>IF(ISNUMBER(Input!B6631),IF(AND(Input!B6631&gt;=20,Input!B6631&lt;=700),Input!B6631,""),"")</f>
        <v/>
      </c>
      <c r="C6631">
        <f>IF(B6631="","",INT(A6631))</f>
        <v/>
      </c>
      <c r="D6631">
        <f>IF(B6631="","",HOUR(A6631))</f>
        <v/>
      </c>
    </row>
    <row r="6632">
      <c r="A6632">
        <f>Input!A6632</f>
        <v/>
      </c>
      <c r="B6632">
        <f>IF(ISNUMBER(Input!B6632),IF(AND(Input!B6632&gt;=20,Input!B6632&lt;=700),Input!B6632,""),"")</f>
        <v/>
      </c>
      <c r="C6632">
        <f>IF(B6632="","",INT(A6632))</f>
        <v/>
      </c>
      <c r="D6632">
        <f>IF(B6632="","",HOUR(A6632))</f>
        <v/>
      </c>
    </row>
    <row r="6633">
      <c r="A6633">
        <f>Input!A6633</f>
        <v/>
      </c>
      <c r="B6633">
        <f>IF(ISNUMBER(Input!B6633),IF(AND(Input!B6633&gt;=20,Input!B6633&lt;=700),Input!B6633,""),"")</f>
        <v/>
      </c>
      <c r="C6633">
        <f>IF(B6633="","",INT(A6633))</f>
        <v/>
      </c>
      <c r="D6633">
        <f>IF(B6633="","",HOUR(A6633))</f>
        <v/>
      </c>
    </row>
    <row r="6634">
      <c r="A6634">
        <f>Input!A6634</f>
        <v/>
      </c>
      <c r="B6634">
        <f>IF(ISNUMBER(Input!B6634),IF(AND(Input!B6634&gt;=20,Input!B6634&lt;=700),Input!B6634,""),"")</f>
        <v/>
      </c>
      <c r="C6634">
        <f>IF(B6634="","",INT(A6634))</f>
        <v/>
      </c>
      <c r="D6634">
        <f>IF(B6634="","",HOUR(A6634))</f>
        <v/>
      </c>
    </row>
    <row r="6635">
      <c r="A6635">
        <f>Input!A6635</f>
        <v/>
      </c>
      <c r="B6635">
        <f>IF(ISNUMBER(Input!B6635),IF(AND(Input!B6635&gt;=20,Input!B6635&lt;=700),Input!B6635,""),"")</f>
        <v/>
      </c>
      <c r="C6635">
        <f>IF(B6635="","",INT(A6635))</f>
        <v/>
      </c>
      <c r="D6635">
        <f>IF(B6635="","",HOUR(A6635))</f>
        <v/>
      </c>
    </row>
    <row r="6636">
      <c r="A6636">
        <f>Input!A6636</f>
        <v/>
      </c>
      <c r="B6636">
        <f>IF(ISNUMBER(Input!B6636),IF(AND(Input!B6636&gt;=20,Input!B6636&lt;=700),Input!B6636,""),"")</f>
        <v/>
      </c>
      <c r="C6636">
        <f>IF(B6636="","",INT(A6636))</f>
        <v/>
      </c>
      <c r="D6636">
        <f>IF(B6636="","",HOUR(A6636))</f>
        <v/>
      </c>
    </row>
    <row r="6637">
      <c r="A6637">
        <f>Input!A6637</f>
        <v/>
      </c>
      <c r="B6637">
        <f>IF(ISNUMBER(Input!B6637),IF(AND(Input!B6637&gt;=20,Input!B6637&lt;=700),Input!B6637,""),"")</f>
        <v/>
      </c>
      <c r="C6637">
        <f>IF(B6637="","",INT(A6637))</f>
        <v/>
      </c>
      <c r="D6637">
        <f>IF(B6637="","",HOUR(A6637))</f>
        <v/>
      </c>
    </row>
    <row r="6638">
      <c r="A6638">
        <f>Input!A6638</f>
        <v/>
      </c>
      <c r="B6638">
        <f>IF(ISNUMBER(Input!B6638),IF(AND(Input!B6638&gt;=20,Input!B6638&lt;=700),Input!B6638,""),"")</f>
        <v/>
      </c>
      <c r="C6638">
        <f>IF(B6638="","",INT(A6638))</f>
        <v/>
      </c>
      <c r="D6638">
        <f>IF(B6638="","",HOUR(A6638))</f>
        <v/>
      </c>
    </row>
    <row r="6639">
      <c r="A6639">
        <f>Input!A6639</f>
        <v/>
      </c>
      <c r="B6639">
        <f>IF(ISNUMBER(Input!B6639),IF(AND(Input!B6639&gt;=20,Input!B6639&lt;=700),Input!B6639,""),"")</f>
        <v/>
      </c>
      <c r="C6639">
        <f>IF(B6639="","",INT(A6639))</f>
        <v/>
      </c>
      <c r="D6639">
        <f>IF(B6639="","",HOUR(A6639))</f>
        <v/>
      </c>
    </row>
    <row r="6640">
      <c r="A6640">
        <f>Input!A6640</f>
        <v/>
      </c>
      <c r="B6640">
        <f>IF(ISNUMBER(Input!B6640),IF(AND(Input!B6640&gt;=20,Input!B6640&lt;=700),Input!B6640,""),"")</f>
        <v/>
      </c>
      <c r="C6640">
        <f>IF(B6640="","",INT(A6640))</f>
        <v/>
      </c>
      <c r="D6640">
        <f>IF(B6640="","",HOUR(A6640))</f>
        <v/>
      </c>
    </row>
    <row r="6641">
      <c r="A6641">
        <f>Input!A6641</f>
        <v/>
      </c>
      <c r="B6641">
        <f>IF(ISNUMBER(Input!B6641),IF(AND(Input!B6641&gt;=20,Input!B6641&lt;=700),Input!B6641,""),"")</f>
        <v/>
      </c>
      <c r="C6641">
        <f>IF(B6641="","",INT(A6641))</f>
        <v/>
      </c>
      <c r="D6641">
        <f>IF(B6641="","",HOUR(A6641))</f>
        <v/>
      </c>
    </row>
    <row r="6642">
      <c r="A6642">
        <f>Input!A6642</f>
        <v/>
      </c>
      <c r="B6642">
        <f>IF(ISNUMBER(Input!B6642),IF(AND(Input!B6642&gt;=20,Input!B6642&lt;=700),Input!B6642,""),"")</f>
        <v/>
      </c>
      <c r="C6642">
        <f>IF(B6642="","",INT(A6642))</f>
        <v/>
      </c>
      <c r="D6642">
        <f>IF(B6642="","",HOUR(A6642))</f>
        <v/>
      </c>
    </row>
    <row r="6643">
      <c r="A6643">
        <f>Input!A6643</f>
        <v/>
      </c>
      <c r="B6643">
        <f>IF(ISNUMBER(Input!B6643),IF(AND(Input!B6643&gt;=20,Input!B6643&lt;=700),Input!B6643,""),"")</f>
        <v/>
      </c>
      <c r="C6643">
        <f>IF(B6643="","",INT(A6643))</f>
        <v/>
      </c>
      <c r="D6643">
        <f>IF(B6643="","",HOUR(A6643))</f>
        <v/>
      </c>
    </row>
    <row r="6644">
      <c r="A6644">
        <f>Input!A6644</f>
        <v/>
      </c>
      <c r="B6644">
        <f>IF(ISNUMBER(Input!B6644),IF(AND(Input!B6644&gt;=20,Input!B6644&lt;=700),Input!B6644,""),"")</f>
        <v/>
      </c>
      <c r="C6644">
        <f>IF(B6644="","",INT(A6644))</f>
        <v/>
      </c>
      <c r="D6644">
        <f>IF(B6644="","",HOUR(A6644))</f>
        <v/>
      </c>
    </row>
    <row r="6645">
      <c r="A6645">
        <f>Input!A6645</f>
        <v/>
      </c>
      <c r="B6645">
        <f>IF(ISNUMBER(Input!B6645),IF(AND(Input!B6645&gt;=20,Input!B6645&lt;=700),Input!B6645,""),"")</f>
        <v/>
      </c>
      <c r="C6645">
        <f>IF(B6645="","",INT(A6645))</f>
        <v/>
      </c>
      <c r="D6645">
        <f>IF(B6645="","",HOUR(A6645))</f>
        <v/>
      </c>
    </row>
    <row r="6646">
      <c r="A6646">
        <f>Input!A6646</f>
        <v/>
      </c>
      <c r="B6646">
        <f>IF(ISNUMBER(Input!B6646),IF(AND(Input!B6646&gt;=20,Input!B6646&lt;=700),Input!B6646,""),"")</f>
        <v/>
      </c>
      <c r="C6646">
        <f>IF(B6646="","",INT(A6646))</f>
        <v/>
      </c>
      <c r="D6646">
        <f>IF(B6646="","",HOUR(A6646))</f>
        <v/>
      </c>
    </row>
    <row r="6647">
      <c r="A6647">
        <f>Input!A6647</f>
        <v/>
      </c>
      <c r="B6647">
        <f>IF(ISNUMBER(Input!B6647),IF(AND(Input!B6647&gt;=20,Input!B6647&lt;=700),Input!B6647,""),"")</f>
        <v/>
      </c>
      <c r="C6647">
        <f>IF(B6647="","",INT(A6647))</f>
        <v/>
      </c>
      <c r="D6647">
        <f>IF(B6647="","",HOUR(A6647))</f>
        <v/>
      </c>
    </row>
    <row r="6648">
      <c r="A6648">
        <f>Input!A6648</f>
        <v/>
      </c>
      <c r="B6648">
        <f>IF(ISNUMBER(Input!B6648),IF(AND(Input!B6648&gt;=20,Input!B6648&lt;=700),Input!B6648,""),"")</f>
        <v/>
      </c>
      <c r="C6648">
        <f>IF(B6648="","",INT(A6648))</f>
        <v/>
      </c>
      <c r="D6648">
        <f>IF(B6648="","",HOUR(A6648))</f>
        <v/>
      </c>
    </row>
    <row r="6649">
      <c r="A6649">
        <f>Input!A6649</f>
        <v/>
      </c>
      <c r="B6649">
        <f>IF(ISNUMBER(Input!B6649),IF(AND(Input!B6649&gt;=20,Input!B6649&lt;=700),Input!B6649,""),"")</f>
        <v/>
      </c>
      <c r="C6649">
        <f>IF(B6649="","",INT(A6649))</f>
        <v/>
      </c>
      <c r="D6649">
        <f>IF(B6649="","",HOUR(A6649))</f>
        <v/>
      </c>
    </row>
    <row r="6650">
      <c r="A6650">
        <f>Input!A6650</f>
        <v/>
      </c>
      <c r="B6650">
        <f>IF(ISNUMBER(Input!B6650),IF(AND(Input!B6650&gt;=20,Input!B6650&lt;=700),Input!B6650,""),"")</f>
        <v/>
      </c>
      <c r="C6650">
        <f>IF(B6650="","",INT(A6650))</f>
        <v/>
      </c>
      <c r="D6650">
        <f>IF(B6650="","",HOUR(A6650))</f>
        <v/>
      </c>
    </row>
    <row r="6651">
      <c r="A6651">
        <f>Input!A6651</f>
        <v/>
      </c>
      <c r="B6651">
        <f>IF(ISNUMBER(Input!B6651),IF(AND(Input!B6651&gt;=20,Input!B6651&lt;=700),Input!B6651,""),"")</f>
        <v/>
      </c>
      <c r="C6651">
        <f>IF(B6651="","",INT(A6651))</f>
        <v/>
      </c>
      <c r="D6651">
        <f>IF(B6651="","",HOUR(A6651))</f>
        <v/>
      </c>
    </row>
    <row r="6652">
      <c r="A6652">
        <f>Input!A6652</f>
        <v/>
      </c>
      <c r="B6652">
        <f>IF(ISNUMBER(Input!B6652),IF(AND(Input!B6652&gt;=20,Input!B6652&lt;=700),Input!B6652,""),"")</f>
        <v/>
      </c>
      <c r="C6652">
        <f>IF(B6652="","",INT(A6652))</f>
        <v/>
      </c>
      <c r="D6652">
        <f>IF(B6652="","",HOUR(A6652))</f>
        <v/>
      </c>
    </row>
    <row r="6653">
      <c r="A6653">
        <f>Input!A6653</f>
        <v/>
      </c>
      <c r="B6653">
        <f>IF(ISNUMBER(Input!B6653),IF(AND(Input!B6653&gt;=20,Input!B6653&lt;=700),Input!B6653,""),"")</f>
        <v/>
      </c>
      <c r="C6653">
        <f>IF(B6653="","",INT(A6653))</f>
        <v/>
      </c>
      <c r="D6653">
        <f>IF(B6653="","",HOUR(A6653))</f>
        <v/>
      </c>
    </row>
    <row r="6654">
      <c r="A6654">
        <f>Input!A6654</f>
        <v/>
      </c>
      <c r="B6654">
        <f>IF(ISNUMBER(Input!B6654),IF(AND(Input!B6654&gt;=20,Input!B6654&lt;=700),Input!B6654,""),"")</f>
        <v/>
      </c>
      <c r="C6654">
        <f>IF(B6654="","",INT(A6654))</f>
        <v/>
      </c>
      <c r="D6654">
        <f>IF(B6654="","",HOUR(A6654))</f>
        <v/>
      </c>
    </row>
    <row r="6655">
      <c r="A6655">
        <f>Input!A6655</f>
        <v/>
      </c>
      <c r="B6655">
        <f>IF(ISNUMBER(Input!B6655),IF(AND(Input!B6655&gt;=20,Input!B6655&lt;=700),Input!B6655,""),"")</f>
        <v/>
      </c>
      <c r="C6655">
        <f>IF(B6655="","",INT(A6655))</f>
        <v/>
      </c>
      <c r="D6655">
        <f>IF(B6655="","",HOUR(A6655))</f>
        <v/>
      </c>
    </row>
    <row r="6656">
      <c r="A6656">
        <f>Input!A6656</f>
        <v/>
      </c>
      <c r="B6656">
        <f>IF(ISNUMBER(Input!B6656),IF(AND(Input!B6656&gt;=20,Input!B6656&lt;=700),Input!B6656,""),"")</f>
        <v/>
      </c>
      <c r="C6656">
        <f>IF(B6656="","",INT(A6656))</f>
        <v/>
      </c>
      <c r="D6656">
        <f>IF(B6656="","",HOUR(A6656))</f>
        <v/>
      </c>
    </row>
    <row r="6657">
      <c r="A6657">
        <f>Input!A6657</f>
        <v/>
      </c>
      <c r="B6657">
        <f>IF(ISNUMBER(Input!B6657),IF(AND(Input!B6657&gt;=20,Input!B6657&lt;=700),Input!B6657,""),"")</f>
        <v/>
      </c>
      <c r="C6657">
        <f>IF(B6657="","",INT(A6657))</f>
        <v/>
      </c>
      <c r="D6657">
        <f>IF(B6657="","",HOUR(A6657))</f>
        <v/>
      </c>
    </row>
    <row r="6658">
      <c r="A6658">
        <f>Input!A6658</f>
        <v/>
      </c>
      <c r="B6658">
        <f>IF(ISNUMBER(Input!B6658),IF(AND(Input!B6658&gt;=20,Input!B6658&lt;=700),Input!B6658,""),"")</f>
        <v/>
      </c>
      <c r="C6658">
        <f>IF(B6658="","",INT(A6658))</f>
        <v/>
      </c>
      <c r="D6658">
        <f>IF(B6658="","",HOUR(A6658))</f>
        <v/>
      </c>
    </row>
    <row r="6659">
      <c r="A6659">
        <f>Input!A6659</f>
        <v/>
      </c>
      <c r="B6659">
        <f>IF(ISNUMBER(Input!B6659),IF(AND(Input!B6659&gt;=20,Input!B6659&lt;=700),Input!B6659,""),"")</f>
        <v/>
      </c>
      <c r="C6659">
        <f>IF(B6659="","",INT(A6659))</f>
        <v/>
      </c>
      <c r="D6659">
        <f>IF(B6659="","",HOUR(A6659))</f>
        <v/>
      </c>
    </row>
    <row r="6660">
      <c r="A6660">
        <f>Input!A6660</f>
        <v/>
      </c>
      <c r="B6660">
        <f>IF(ISNUMBER(Input!B6660),IF(AND(Input!B6660&gt;=20,Input!B6660&lt;=700),Input!B6660,""),"")</f>
        <v/>
      </c>
      <c r="C6660">
        <f>IF(B6660="","",INT(A6660))</f>
        <v/>
      </c>
      <c r="D6660">
        <f>IF(B6660="","",HOUR(A6660))</f>
        <v/>
      </c>
    </row>
    <row r="6661">
      <c r="A6661">
        <f>Input!A6661</f>
        <v/>
      </c>
      <c r="B6661">
        <f>IF(ISNUMBER(Input!B6661),IF(AND(Input!B6661&gt;=20,Input!B6661&lt;=700),Input!B6661,""),"")</f>
        <v/>
      </c>
      <c r="C6661">
        <f>IF(B6661="","",INT(A6661))</f>
        <v/>
      </c>
      <c r="D6661">
        <f>IF(B6661="","",HOUR(A6661))</f>
        <v/>
      </c>
    </row>
    <row r="6662">
      <c r="A6662">
        <f>Input!A6662</f>
        <v/>
      </c>
      <c r="B6662">
        <f>IF(ISNUMBER(Input!B6662),IF(AND(Input!B6662&gt;=20,Input!B6662&lt;=700),Input!B6662,""),"")</f>
        <v/>
      </c>
      <c r="C6662">
        <f>IF(B6662="","",INT(A6662))</f>
        <v/>
      </c>
      <c r="D6662">
        <f>IF(B6662="","",HOUR(A6662))</f>
        <v/>
      </c>
    </row>
    <row r="6663">
      <c r="A6663">
        <f>Input!A6663</f>
        <v/>
      </c>
      <c r="B6663">
        <f>IF(ISNUMBER(Input!B6663),IF(AND(Input!B6663&gt;=20,Input!B6663&lt;=700),Input!B6663,""),"")</f>
        <v/>
      </c>
      <c r="C6663">
        <f>IF(B6663="","",INT(A6663))</f>
        <v/>
      </c>
      <c r="D6663">
        <f>IF(B6663="","",HOUR(A6663))</f>
        <v/>
      </c>
    </row>
    <row r="6664">
      <c r="A6664">
        <f>Input!A6664</f>
        <v/>
      </c>
      <c r="B6664">
        <f>IF(ISNUMBER(Input!B6664),IF(AND(Input!B6664&gt;=20,Input!B6664&lt;=700),Input!B6664,""),"")</f>
        <v/>
      </c>
      <c r="C6664">
        <f>IF(B6664="","",INT(A6664))</f>
        <v/>
      </c>
      <c r="D6664">
        <f>IF(B6664="","",HOUR(A6664))</f>
        <v/>
      </c>
    </row>
    <row r="6665">
      <c r="A6665">
        <f>Input!A6665</f>
        <v/>
      </c>
      <c r="B6665">
        <f>IF(ISNUMBER(Input!B6665),IF(AND(Input!B6665&gt;=20,Input!B6665&lt;=700),Input!B6665,""),"")</f>
        <v/>
      </c>
      <c r="C6665">
        <f>IF(B6665="","",INT(A6665))</f>
        <v/>
      </c>
      <c r="D6665">
        <f>IF(B6665="","",HOUR(A6665))</f>
        <v/>
      </c>
    </row>
    <row r="6666">
      <c r="A6666">
        <f>Input!A6666</f>
        <v/>
      </c>
      <c r="B6666">
        <f>IF(ISNUMBER(Input!B6666),IF(AND(Input!B6666&gt;=20,Input!B6666&lt;=700),Input!B6666,""),"")</f>
        <v/>
      </c>
      <c r="C6666">
        <f>IF(B6666="","",INT(A6666))</f>
        <v/>
      </c>
      <c r="D6666">
        <f>IF(B6666="","",HOUR(A6666))</f>
        <v/>
      </c>
    </row>
    <row r="6667">
      <c r="A6667">
        <f>Input!A6667</f>
        <v/>
      </c>
      <c r="B6667">
        <f>IF(ISNUMBER(Input!B6667),IF(AND(Input!B6667&gt;=20,Input!B6667&lt;=700),Input!B6667,""),"")</f>
        <v/>
      </c>
      <c r="C6667">
        <f>IF(B6667="","",INT(A6667))</f>
        <v/>
      </c>
      <c r="D6667">
        <f>IF(B6667="","",HOUR(A6667))</f>
        <v/>
      </c>
    </row>
    <row r="6668">
      <c r="A6668">
        <f>Input!A6668</f>
        <v/>
      </c>
      <c r="B6668">
        <f>IF(ISNUMBER(Input!B6668),IF(AND(Input!B6668&gt;=20,Input!B6668&lt;=700),Input!B6668,""),"")</f>
        <v/>
      </c>
      <c r="C6668">
        <f>IF(B6668="","",INT(A6668))</f>
        <v/>
      </c>
      <c r="D6668">
        <f>IF(B6668="","",HOUR(A6668))</f>
        <v/>
      </c>
    </row>
    <row r="6669">
      <c r="A6669">
        <f>Input!A6669</f>
        <v/>
      </c>
      <c r="B6669">
        <f>IF(ISNUMBER(Input!B6669),IF(AND(Input!B6669&gt;=20,Input!B6669&lt;=700),Input!B6669,""),"")</f>
        <v/>
      </c>
      <c r="C6669">
        <f>IF(B6669="","",INT(A6669))</f>
        <v/>
      </c>
      <c r="D6669">
        <f>IF(B6669="","",HOUR(A6669))</f>
        <v/>
      </c>
    </row>
    <row r="6670">
      <c r="A6670">
        <f>Input!A6670</f>
        <v/>
      </c>
      <c r="B6670">
        <f>IF(ISNUMBER(Input!B6670),IF(AND(Input!B6670&gt;=20,Input!B6670&lt;=700),Input!B6670,""),"")</f>
        <v/>
      </c>
      <c r="C6670">
        <f>IF(B6670="","",INT(A6670))</f>
        <v/>
      </c>
      <c r="D6670">
        <f>IF(B6670="","",HOUR(A6670))</f>
        <v/>
      </c>
    </row>
    <row r="6671">
      <c r="A6671">
        <f>Input!A6671</f>
        <v/>
      </c>
      <c r="B6671">
        <f>IF(ISNUMBER(Input!B6671),IF(AND(Input!B6671&gt;=20,Input!B6671&lt;=700),Input!B6671,""),"")</f>
        <v/>
      </c>
      <c r="C6671">
        <f>IF(B6671="","",INT(A6671))</f>
        <v/>
      </c>
      <c r="D6671">
        <f>IF(B6671="","",HOUR(A6671))</f>
        <v/>
      </c>
    </row>
    <row r="6672">
      <c r="A6672">
        <f>Input!A6672</f>
        <v/>
      </c>
      <c r="B6672">
        <f>IF(ISNUMBER(Input!B6672),IF(AND(Input!B6672&gt;=20,Input!B6672&lt;=700),Input!B6672,""),"")</f>
        <v/>
      </c>
      <c r="C6672">
        <f>IF(B6672="","",INT(A6672))</f>
        <v/>
      </c>
      <c r="D6672">
        <f>IF(B6672="","",HOUR(A6672))</f>
        <v/>
      </c>
    </row>
    <row r="6673">
      <c r="A6673">
        <f>Input!A6673</f>
        <v/>
      </c>
      <c r="B6673">
        <f>IF(ISNUMBER(Input!B6673),IF(AND(Input!B6673&gt;=20,Input!B6673&lt;=700),Input!B6673,""),"")</f>
        <v/>
      </c>
      <c r="C6673">
        <f>IF(B6673="","",INT(A6673))</f>
        <v/>
      </c>
      <c r="D6673">
        <f>IF(B6673="","",HOUR(A6673))</f>
        <v/>
      </c>
    </row>
    <row r="6674">
      <c r="A6674">
        <f>Input!A6674</f>
        <v/>
      </c>
      <c r="B6674">
        <f>IF(ISNUMBER(Input!B6674),IF(AND(Input!B6674&gt;=20,Input!B6674&lt;=700),Input!B6674,""),"")</f>
        <v/>
      </c>
      <c r="C6674">
        <f>IF(B6674="","",INT(A6674))</f>
        <v/>
      </c>
      <c r="D6674">
        <f>IF(B6674="","",HOUR(A6674))</f>
        <v/>
      </c>
    </row>
    <row r="6675">
      <c r="A6675">
        <f>Input!A6675</f>
        <v/>
      </c>
      <c r="B6675">
        <f>IF(ISNUMBER(Input!B6675),IF(AND(Input!B6675&gt;=20,Input!B6675&lt;=700),Input!B6675,""),"")</f>
        <v/>
      </c>
      <c r="C6675">
        <f>IF(B6675="","",INT(A6675))</f>
        <v/>
      </c>
      <c r="D6675">
        <f>IF(B6675="","",HOUR(A6675))</f>
        <v/>
      </c>
    </row>
    <row r="6676">
      <c r="A6676">
        <f>Input!A6676</f>
        <v/>
      </c>
      <c r="B6676">
        <f>IF(ISNUMBER(Input!B6676),IF(AND(Input!B6676&gt;=20,Input!B6676&lt;=700),Input!B6676,""),"")</f>
        <v/>
      </c>
      <c r="C6676">
        <f>IF(B6676="","",INT(A6676))</f>
        <v/>
      </c>
      <c r="D6676">
        <f>IF(B6676="","",HOUR(A6676))</f>
        <v/>
      </c>
    </row>
    <row r="6677">
      <c r="A6677">
        <f>Input!A6677</f>
        <v/>
      </c>
      <c r="B6677">
        <f>IF(ISNUMBER(Input!B6677),IF(AND(Input!B6677&gt;=20,Input!B6677&lt;=700),Input!B6677,""),"")</f>
        <v/>
      </c>
      <c r="C6677">
        <f>IF(B6677="","",INT(A6677))</f>
        <v/>
      </c>
      <c r="D6677">
        <f>IF(B6677="","",HOUR(A6677))</f>
        <v/>
      </c>
    </row>
    <row r="6678">
      <c r="A6678">
        <f>Input!A6678</f>
        <v/>
      </c>
      <c r="B6678">
        <f>IF(ISNUMBER(Input!B6678),IF(AND(Input!B6678&gt;=20,Input!B6678&lt;=700),Input!B6678,""),"")</f>
        <v/>
      </c>
      <c r="C6678">
        <f>IF(B6678="","",INT(A6678))</f>
        <v/>
      </c>
      <c r="D6678">
        <f>IF(B6678="","",HOUR(A6678))</f>
        <v/>
      </c>
    </row>
    <row r="6679">
      <c r="A6679">
        <f>Input!A6679</f>
        <v/>
      </c>
      <c r="B6679">
        <f>IF(ISNUMBER(Input!B6679),IF(AND(Input!B6679&gt;=20,Input!B6679&lt;=700),Input!B6679,""),"")</f>
        <v/>
      </c>
      <c r="C6679">
        <f>IF(B6679="","",INT(A6679))</f>
        <v/>
      </c>
      <c r="D6679">
        <f>IF(B6679="","",HOUR(A6679))</f>
        <v/>
      </c>
    </row>
    <row r="6680">
      <c r="A6680">
        <f>Input!A6680</f>
        <v/>
      </c>
      <c r="B6680">
        <f>IF(ISNUMBER(Input!B6680),IF(AND(Input!B6680&gt;=20,Input!B6680&lt;=700),Input!B6680,""),"")</f>
        <v/>
      </c>
      <c r="C6680">
        <f>IF(B6680="","",INT(A6680))</f>
        <v/>
      </c>
      <c r="D6680">
        <f>IF(B6680="","",HOUR(A6680))</f>
        <v/>
      </c>
    </row>
    <row r="6681">
      <c r="A6681">
        <f>Input!A6681</f>
        <v/>
      </c>
      <c r="B6681">
        <f>IF(ISNUMBER(Input!B6681),IF(AND(Input!B6681&gt;=20,Input!B6681&lt;=700),Input!B6681,""),"")</f>
        <v/>
      </c>
      <c r="C6681">
        <f>IF(B6681="","",INT(A6681))</f>
        <v/>
      </c>
      <c r="D6681">
        <f>IF(B6681="","",HOUR(A6681))</f>
        <v/>
      </c>
    </row>
    <row r="6682">
      <c r="A6682">
        <f>Input!A6682</f>
        <v/>
      </c>
      <c r="B6682">
        <f>IF(ISNUMBER(Input!B6682),IF(AND(Input!B6682&gt;=20,Input!B6682&lt;=700),Input!B6682,""),"")</f>
        <v/>
      </c>
      <c r="C6682">
        <f>IF(B6682="","",INT(A6682))</f>
        <v/>
      </c>
      <c r="D6682">
        <f>IF(B6682="","",HOUR(A6682))</f>
        <v/>
      </c>
    </row>
    <row r="6683">
      <c r="A6683">
        <f>Input!A6683</f>
        <v/>
      </c>
      <c r="B6683">
        <f>IF(ISNUMBER(Input!B6683),IF(AND(Input!B6683&gt;=20,Input!B6683&lt;=700),Input!B6683,""),"")</f>
        <v/>
      </c>
      <c r="C6683">
        <f>IF(B6683="","",INT(A6683))</f>
        <v/>
      </c>
      <c r="D6683">
        <f>IF(B6683="","",HOUR(A6683))</f>
        <v/>
      </c>
    </row>
    <row r="6684">
      <c r="A6684">
        <f>Input!A6684</f>
        <v/>
      </c>
      <c r="B6684">
        <f>IF(ISNUMBER(Input!B6684),IF(AND(Input!B6684&gt;=20,Input!B6684&lt;=700),Input!B6684,""),"")</f>
        <v/>
      </c>
      <c r="C6684">
        <f>IF(B6684="","",INT(A6684))</f>
        <v/>
      </c>
      <c r="D6684">
        <f>IF(B6684="","",HOUR(A6684))</f>
        <v/>
      </c>
    </row>
    <row r="6685">
      <c r="A6685">
        <f>Input!A6685</f>
        <v/>
      </c>
      <c r="B6685">
        <f>IF(ISNUMBER(Input!B6685),IF(AND(Input!B6685&gt;=20,Input!B6685&lt;=700),Input!B6685,""),"")</f>
        <v/>
      </c>
      <c r="C6685">
        <f>IF(B6685="","",INT(A6685))</f>
        <v/>
      </c>
      <c r="D6685">
        <f>IF(B6685="","",HOUR(A6685))</f>
        <v/>
      </c>
    </row>
    <row r="6686">
      <c r="A6686">
        <f>Input!A6686</f>
        <v/>
      </c>
      <c r="B6686">
        <f>IF(ISNUMBER(Input!B6686),IF(AND(Input!B6686&gt;=20,Input!B6686&lt;=700),Input!B6686,""),"")</f>
        <v/>
      </c>
      <c r="C6686">
        <f>IF(B6686="","",INT(A6686))</f>
        <v/>
      </c>
      <c r="D6686">
        <f>IF(B6686="","",HOUR(A6686))</f>
        <v/>
      </c>
    </row>
    <row r="6687">
      <c r="A6687">
        <f>Input!A6687</f>
        <v/>
      </c>
      <c r="B6687">
        <f>IF(ISNUMBER(Input!B6687),IF(AND(Input!B6687&gt;=20,Input!B6687&lt;=700),Input!B6687,""),"")</f>
        <v/>
      </c>
      <c r="C6687">
        <f>IF(B6687="","",INT(A6687))</f>
        <v/>
      </c>
      <c r="D6687">
        <f>IF(B6687="","",HOUR(A6687))</f>
        <v/>
      </c>
    </row>
    <row r="6688">
      <c r="A6688">
        <f>Input!A6688</f>
        <v/>
      </c>
      <c r="B6688">
        <f>IF(ISNUMBER(Input!B6688),IF(AND(Input!B6688&gt;=20,Input!B6688&lt;=700),Input!B6688,""),"")</f>
        <v/>
      </c>
      <c r="C6688">
        <f>IF(B6688="","",INT(A6688))</f>
        <v/>
      </c>
      <c r="D6688">
        <f>IF(B6688="","",HOUR(A6688))</f>
        <v/>
      </c>
    </row>
    <row r="6689">
      <c r="A6689">
        <f>Input!A6689</f>
        <v/>
      </c>
      <c r="B6689">
        <f>IF(ISNUMBER(Input!B6689),IF(AND(Input!B6689&gt;=20,Input!B6689&lt;=700),Input!B6689,""),"")</f>
        <v/>
      </c>
      <c r="C6689">
        <f>IF(B6689="","",INT(A6689))</f>
        <v/>
      </c>
      <c r="D6689">
        <f>IF(B6689="","",HOUR(A6689))</f>
        <v/>
      </c>
    </row>
    <row r="6690">
      <c r="A6690">
        <f>Input!A6690</f>
        <v/>
      </c>
      <c r="B6690">
        <f>IF(ISNUMBER(Input!B6690),IF(AND(Input!B6690&gt;=20,Input!B6690&lt;=700),Input!B6690,""),"")</f>
        <v/>
      </c>
      <c r="C6690">
        <f>IF(B6690="","",INT(A6690))</f>
        <v/>
      </c>
      <c r="D6690">
        <f>IF(B6690="","",HOUR(A6690))</f>
        <v/>
      </c>
    </row>
    <row r="6691">
      <c r="A6691">
        <f>Input!A6691</f>
        <v/>
      </c>
      <c r="B6691">
        <f>IF(ISNUMBER(Input!B6691),IF(AND(Input!B6691&gt;=20,Input!B6691&lt;=700),Input!B6691,""),"")</f>
        <v/>
      </c>
      <c r="C6691">
        <f>IF(B6691="","",INT(A6691))</f>
        <v/>
      </c>
      <c r="D6691">
        <f>IF(B6691="","",HOUR(A6691))</f>
        <v/>
      </c>
    </row>
    <row r="6692">
      <c r="A6692">
        <f>Input!A6692</f>
        <v/>
      </c>
      <c r="B6692">
        <f>IF(ISNUMBER(Input!B6692),IF(AND(Input!B6692&gt;=20,Input!B6692&lt;=700),Input!B6692,""),"")</f>
        <v/>
      </c>
      <c r="C6692">
        <f>IF(B6692="","",INT(A6692))</f>
        <v/>
      </c>
      <c r="D6692">
        <f>IF(B6692="","",HOUR(A6692))</f>
        <v/>
      </c>
    </row>
    <row r="6693">
      <c r="A6693">
        <f>Input!A6693</f>
        <v/>
      </c>
      <c r="B6693">
        <f>IF(ISNUMBER(Input!B6693),IF(AND(Input!B6693&gt;=20,Input!B6693&lt;=700),Input!B6693,""),"")</f>
        <v/>
      </c>
      <c r="C6693">
        <f>IF(B6693="","",INT(A6693))</f>
        <v/>
      </c>
      <c r="D6693">
        <f>IF(B6693="","",HOUR(A6693))</f>
        <v/>
      </c>
    </row>
    <row r="6694">
      <c r="A6694">
        <f>Input!A6694</f>
        <v/>
      </c>
      <c r="B6694">
        <f>IF(ISNUMBER(Input!B6694),IF(AND(Input!B6694&gt;=20,Input!B6694&lt;=700),Input!B6694,""),"")</f>
        <v/>
      </c>
      <c r="C6694">
        <f>IF(B6694="","",INT(A6694))</f>
        <v/>
      </c>
      <c r="D6694">
        <f>IF(B6694="","",HOUR(A6694))</f>
        <v/>
      </c>
    </row>
    <row r="6695">
      <c r="A6695">
        <f>Input!A6695</f>
        <v/>
      </c>
      <c r="B6695">
        <f>IF(ISNUMBER(Input!B6695),IF(AND(Input!B6695&gt;=20,Input!B6695&lt;=700),Input!B6695,""),"")</f>
        <v/>
      </c>
      <c r="C6695">
        <f>IF(B6695="","",INT(A6695))</f>
        <v/>
      </c>
      <c r="D6695">
        <f>IF(B6695="","",HOUR(A6695))</f>
        <v/>
      </c>
    </row>
    <row r="6696">
      <c r="A6696">
        <f>Input!A6696</f>
        <v/>
      </c>
      <c r="B6696">
        <f>IF(ISNUMBER(Input!B6696),IF(AND(Input!B6696&gt;=20,Input!B6696&lt;=700),Input!B6696,""),"")</f>
        <v/>
      </c>
      <c r="C6696">
        <f>IF(B6696="","",INT(A6696))</f>
        <v/>
      </c>
      <c r="D6696">
        <f>IF(B6696="","",HOUR(A6696))</f>
        <v/>
      </c>
    </row>
    <row r="6697">
      <c r="A6697">
        <f>Input!A6697</f>
        <v/>
      </c>
      <c r="B6697">
        <f>IF(ISNUMBER(Input!B6697),IF(AND(Input!B6697&gt;=20,Input!B6697&lt;=700),Input!B6697,""),"")</f>
        <v/>
      </c>
      <c r="C6697">
        <f>IF(B6697="","",INT(A6697))</f>
        <v/>
      </c>
      <c r="D6697">
        <f>IF(B6697="","",HOUR(A6697))</f>
        <v/>
      </c>
    </row>
    <row r="6698">
      <c r="A6698">
        <f>Input!A6698</f>
        <v/>
      </c>
      <c r="B6698">
        <f>IF(ISNUMBER(Input!B6698),IF(AND(Input!B6698&gt;=20,Input!B6698&lt;=700),Input!B6698,""),"")</f>
        <v/>
      </c>
      <c r="C6698">
        <f>IF(B6698="","",INT(A6698))</f>
        <v/>
      </c>
      <c r="D6698">
        <f>IF(B6698="","",HOUR(A6698))</f>
        <v/>
      </c>
    </row>
    <row r="6699">
      <c r="A6699">
        <f>Input!A6699</f>
        <v/>
      </c>
      <c r="B6699">
        <f>IF(ISNUMBER(Input!B6699),IF(AND(Input!B6699&gt;=20,Input!B6699&lt;=700),Input!B6699,""),"")</f>
        <v/>
      </c>
      <c r="C6699">
        <f>IF(B6699="","",INT(A6699))</f>
        <v/>
      </c>
      <c r="D6699">
        <f>IF(B6699="","",HOUR(A6699))</f>
        <v/>
      </c>
    </row>
    <row r="6700">
      <c r="A6700">
        <f>Input!A6700</f>
        <v/>
      </c>
      <c r="B6700">
        <f>IF(ISNUMBER(Input!B6700),IF(AND(Input!B6700&gt;=20,Input!B6700&lt;=700),Input!B6700,""),"")</f>
        <v/>
      </c>
      <c r="C6700">
        <f>IF(B6700="","",INT(A6700))</f>
        <v/>
      </c>
      <c r="D6700">
        <f>IF(B6700="","",HOUR(A6700))</f>
        <v/>
      </c>
    </row>
    <row r="6701">
      <c r="A6701">
        <f>Input!A6701</f>
        <v/>
      </c>
      <c r="B6701">
        <f>IF(ISNUMBER(Input!B6701),IF(AND(Input!B6701&gt;=20,Input!B6701&lt;=700),Input!B6701,""),"")</f>
        <v/>
      </c>
      <c r="C6701">
        <f>IF(B6701="","",INT(A6701))</f>
        <v/>
      </c>
      <c r="D6701">
        <f>IF(B6701="","",HOUR(A6701))</f>
        <v/>
      </c>
    </row>
    <row r="6702">
      <c r="A6702">
        <f>Input!A6702</f>
        <v/>
      </c>
      <c r="B6702">
        <f>IF(ISNUMBER(Input!B6702),IF(AND(Input!B6702&gt;=20,Input!B6702&lt;=700),Input!B6702,""),"")</f>
        <v/>
      </c>
      <c r="C6702">
        <f>IF(B6702="","",INT(A6702))</f>
        <v/>
      </c>
      <c r="D6702">
        <f>IF(B6702="","",HOUR(A6702))</f>
        <v/>
      </c>
    </row>
    <row r="6703">
      <c r="A6703">
        <f>Input!A6703</f>
        <v/>
      </c>
      <c r="B6703">
        <f>IF(ISNUMBER(Input!B6703),IF(AND(Input!B6703&gt;=20,Input!B6703&lt;=700),Input!B6703,""),"")</f>
        <v/>
      </c>
      <c r="C6703">
        <f>IF(B6703="","",INT(A6703))</f>
        <v/>
      </c>
      <c r="D6703">
        <f>IF(B6703="","",HOUR(A6703))</f>
        <v/>
      </c>
    </row>
    <row r="6704">
      <c r="A6704">
        <f>Input!A6704</f>
        <v/>
      </c>
      <c r="B6704">
        <f>IF(ISNUMBER(Input!B6704),IF(AND(Input!B6704&gt;=20,Input!B6704&lt;=700),Input!B6704,""),"")</f>
        <v/>
      </c>
      <c r="C6704">
        <f>IF(B6704="","",INT(A6704))</f>
        <v/>
      </c>
      <c r="D6704">
        <f>IF(B6704="","",HOUR(A6704))</f>
        <v/>
      </c>
    </row>
    <row r="6705">
      <c r="A6705">
        <f>Input!A6705</f>
        <v/>
      </c>
      <c r="B6705">
        <f>IF(ISNUMBER(Input!B6705),IF(AND(Input!B6705&gt;=20,Input!B6705&lt;=700),Input!B6705,""),"")</f>
        <v/>
      </c>
      <c r="C6705">
        <f>IF(B6705="","",INT(A6705))</f>
        <v/>
      </c>
      <c r="D6705">
        <f>IF(B6705="","",HOUR(A6705))</f>
        <v/>
      </c>
    </row>
    <row r="6706">
      <c r="A6706">
        <f>Input!A6706</f>
        <v/>
      </c>
      <c r="B6706">
        <f>IF(ISNUMBER(Input!B6706),IF(AND(Input!B6706&gt;=20,Input!B6706&lt;=700),Input!B6706,""),"")</f>
        <v/>
      </c>
      <c r="C6706">
        <f>IF(B6706="","",INT(A6706))</f>
        <v/>
      </c>
      <c r="D6706">
        <f>IF(B6706="","",HOUR(A6706))</f>
        <v/>
      </c>
    </row>
    <row r="6707">
      <c r="A6707">
        <f>Input!A6707</f>
        <v/>
      </c>
      <c r="B6707">
        <f>IF(ISNUMBER(Input!B6707),IF(AND(Input!B6707&gt;=20,Input!B6707&lt;=700),Input!B6707,""),"")</f>
        <v/>
      </c>
      <c r="C6707">
        <f>IF(B6707="","",INT(A6707))</f>
        <v/>
      </c>
      <c r="D6707">
        <f>IF(B6707="","",HOUR(A6707))</f>
        <v/>
      </c>
    </row>
    <row r="6708">
      <c r="A6708">
        <f>Input!A6708</f>
        <v/>
      </c>
      <c r="B6708">
        <f>IF(ISNUMBER(Input!B6708),IF(AND(Input!B6708&gt;=20,Input!B6708&lt;=700),Input!B6708,""),"")</f>
        <v/>
      </c>
      <c r="C6708">
        <f>IF(B6708="","",INT(A6708))</f>
        <v/>
      </c>
      <c r="D6708">
        <f>IF(B6708="","",HOUR(A6708))</f>
        <v/>
      </c>
    </row>
    <row r="6709">
      <c r="A6709">
        <f>Input!A6709</f>
        <v/>
      </c>
      <c r="B6709">
        <f>IF(ISNUMBER(Input!B6709),IF(AND(Input!B6709&gt;=20,Input!B6709&lt;=700),Input!B6709,""),"")</f>
        <v/>
      </c>
      <c r="C6709">
        <f>IF(B6709="","",INT(A6709))</f>
        <v/>
      </c>
      <c r="D6709">
        <f>IF(B6709="","",HOUR(A6709))</f>
        <v/>
      </c>
    </row>
    <row r="6710">
      <c r="A6710">
        <f>Input!A6710</f>
        <v/>
      </c>
      <c r="B6710">
        <f>IF(ISNUMBER(Input!B6710),IF(AND(Input!B6710&gt;=20,Input!B6710&lt;=700),Input!B6710,""),"")</f>
        <v/>
      </c>
      <c r="C6710">
        <f>IF(B6710="","",INT(A6710))</f>
        <v/>
      </c>
      <c r="D6710">
        <f>IF(B6710="","",HOUR(A6710))</f>
        <v/>
      </c>
    </row>
    <row r="6711">
      <c r="A6711">
        <f>Input!A6711</f>
        <v/>
      </c>
      <c r="B6711">
        <f>IF(ISNUMBER(Input!B6711),IF(AND(Input!B6711&gt;=20,Input!B6711&lt;=700),Input!B6711,""),"")</f>
        <v/>
      </c>
      <c r="C6711">
        <f>IF(B6711="","",INT(A6711))</f>
        <v/>
      </c>
      <c r="D6711">
        <f>IF(B6711="","",HOUR(A6711))</f>
        <v/>
      </c>
    </row>
    <row r="6712">
      <c r="A6712">
        <f>Input!A6712</f>
        <v/>
      </c>
      <c r="B6712">
        <f>IF(ISNUMBER(Input!B6712),IF(AND(Input!B6712&gt;=20,Input!B6712&lt;=700),Input!B6712,""),"")</f>
        <v/>
      </c>
      <c r="C6712">
        <f>IF(B6712="","",INT(A6712))</f>
        <v/>
      </c>
      <c r="D6712">
        <f>IF(B6712="","",HOUR(A6712))</f>
        <v/>
      </c>
    </row>
    <row r="6713">
      <c r="A6713">
        <f>Input!A6713</f>
        <v/>
      </c>
      <c r="B6713">
        <f>IF(ISNUMBER(Input!B6713),IF(AND(Input!B6713&gt;=20,Input!B6713&lt;=700),Input!B6713,""),"")</f>
        <v/>
      </c>
      <c r="C6713">
        <f>IF(B6713="","",INT(A6713))</f>
        <v/>
      </c>
      <c r="D6713">
        <f>IF(B6713="","",HOUR(A6713))</f>
        <v/>
      </c>
    </row>
    <row r="6714">
      <c r="A6714">
        <f>Input!A6714</f>
        <v/>
      </c>
      <c r="B6714">
        <f>IF(ISNUMBER(Input!B6714),IF(AND(Input!B6714&gt;=20,Input!B6714&lt;=700),Input!B6714,""),"")</f>
        <v/>
      </c>
      <c r="C6714">
        <f>IF(B6714="","",INT(A6714))</f>
        <v/>
      </c>
      <c r="D6714">
        <f>IF(B6714="","",HOUR(A6714))</f>
        <v/>
      </c>
    </row>
    <row r="6715">
      <c r="A6715">
        <f>Input!A6715</f>
        <v/>
      </c>
      <c r="B6715">
        <f>IF(ISNUMBER(Input!B6715),IF(AND(Input!B6715&gt;=20,Input!B6715&lt;=700),Input!B6715,""),"")</f>
        <v/>
      </c>
      <c r="C6715">
        <f>IF(B6715="","",INT(A6715))</f>
        <v/>
      </c>
      <c r="D6715">
        <f>IF(B6715="","",HOUR(A6715))</f>
        <v/>
      </c>
    </row>
    <row r="6716">
      <c r="A6716">
        <f>Input!A6716</f>
        <v/>
      </c>
      <c r="B6716">
        <f>IF(ISNUMBER(Input!B6716),IF(AND(Input!B6716&gt;=20,Input!B6716&lt;=700),Input!B6716,""),"")</f>
        <v/>
      </c>
      <c r="C6716">
        <f>IF(B6716="","",INT(A6716))</f>
        <v/>
      </c>
      <c r="D6716">
        <f>IF(B6716="","",HOUR(A6716))</f>
        <v/>
      </c>
    </row>
    <row r="6717">
      <c r="A6717">
        <f>Input!A6717</f>
        <v/>
      </c>
      <c r="B6717">
        <f>IF(ISNUMBER(Input!B6717),IF(AND(Input!B6717&gt;=20,Input!B6717&lt;=700),Input!B6717,""),"")</f>
        <v/>
      </c>
      <c r="C6717">
        <f>IF(B6717="","",INT(A6717))</f>
        <v/>
      </c>
      <c r="D6717">
        <f>IF(B6717="","",HOUR(A6717))</f>
        <v/>
      </c>
    </row>
    <row r="6718">
      <c r="A6718">
        <f>Input!A6718</f>
        <v/>
      </c>
      <c r="B6718">
        <f>IF(ISNUMBER(Input!B6718),IF(AND(Input!B6718&gt;=20,Input!B6718&lt;=700),Input!B6718,""),"")</f>
        <v/>
      </c>
      <c r="C6718">
        <f>IF(B6718="","",INT(A6718))</f>
        <v/>
      </c>
      <c r="D6718">
        <f>IF(B6718="","",HOUR(A6718))</f>
        <v/>
      </c>
    </row>
    <row r="6719">
      <c r="A6719">
        <f>Input!A6719</f>
        <v/>
      </c>
      <c r="B6719">
        <f>IF(ISNUMBER(Input!B6719),IF(AND(Input!B6719&gt;=20,Input!B6719&lt;=700),Input!B6719,""),"")</f>
        <v/>
      </c>
      <c r="C6719">
        <f>IF(B6719="","",INT(A6719))</f>
        <v/>
      </c>
      <c r="D6719">
        <f>IF(B6719="","",HOUR(A6719))</f>
        <v/>
      </c>
    </row>
    <row r="6720">
      <c r="A6720">
        <f>Input!A6720</f>
        <v/>
      </c>
      <c r="B6720">
        <f>IF(ISNUMBER(Input!B6720),IF(AND(Input!B6720&gt;=20,Input!B6720&lt;=700),Input!B6720,""),"")</f>
        <v/>
      </c>
      <c r="C6720">
        <f>IF(B6720="","",INT(A6720))</f>
        <v/>
      </c>
      <c r="D6720">
        <f>IF(B6720="","",HOUR(A6720))</f>
        <v/>
      </c>
    </row>
    <row r="6721">
      <c r="A6721">
        <f>Input!A6721</f>
        <v/>
      </c>
      <c r="B6721">
        <f>IF(ISNUMBER(Input!B6721),IF(AND(Input!B6721&gt;=20,Input!B6721&lt;=700),Input!B6721,""),"")</f>
        <v/>
      </c>
      <c r="C6721">
        <f>IF(B6721="","",INT(A6721))</f>
        <v/>
      </c>
      <c r="D6721">
        <f>IF(B6721="","",HOUR(A6721))</f>
        <v/>
      </c>
    </row>
    <row r="6722">
      <c r="A6722">
        <f>Input!A6722</f>
        <v/>
      </c>
      <c r="B6722">
        <f>IF(ISNUMBER(Input!B6722),IF(AND(Input!B6722&gt;=20,Input!B6722&lt;=700),Input!B6722,""),"")</f>
        <v/>
      </c>
      <c r="C6722">
        <f>IF(B6722="","",INT(A6722))</f>
        <v/>
      </c>
      <c r="D6722">
        <f>IF(B6722="","",HOUR(A6722))</f>
        <v/>
      </c>
    </row>
    <row r="6723">
      <c r="A6723">
        <f>Input!A6723</f>
        <v/>
      </c>
      <c r="B6723">
        <f>IF(ISNUMBER(Input!B6723),IF(AND(Input!B6723&gt;=20,Input!B6723&lt;=700),Input!B6723,""),"")</f>
        <v/>
      </c>
      <c r="C6723">
        <f>IF(B6723="","",INT(A6723))</f>
        <v/>
      </c>
      <c r="D6723">
        <f>IF(B6723="","",HOUR(A6723))</f>
        <v/>
      </c>
    </row>
    <row r="6724">
      <c r="A6724">
        <f>Input!A6724</f>
        <v/>
      </c>
      <c r="B6724">
        <f>IF(ISNUMBER(Input!B6724),IF(AND(Input!B6724&gt;=20,Input!B6724&lt;=700),Input!B6724,""),"")</f>
        <v/>
      </c>
      <c r="C6724">
        <f>IF(B6724="","",INT(A6724))</f>
        <v/>
      </c>
      <c r="D6724">
        <f>IF(B6724="","",HOUR(A6724))</f>
        <v/>
      </c>
    </row>
    <row r="6725">
      <c r="A6725">
        <f>Input!A6725</f>
        <v/>
      </c>
      <c r="B6725">
        <f>IF(ISNUMBER(Input!B6725),IF(AND(Input!B6725&gt;=20,Input!B6725&lt;=700),Input!B6725,""),"")</f>
        <v/>
      </c>
      <c r="C6725">
        <f>IF(B6725="","",INT(A6725))</f>
        <v/>
      </c>
      <c r="D6725">
        <f>IF(B6725="","",HOUR(A6725))</f>
        <v/>
      </c>
    </row>
    <row r="6726">
      <c r="A6726">
        <f>Input!A6726</f>
        <v/>
      </c>
      <c r="B6726">
        <f>IF(ISNUMBER(Input!B6726),IF(AND(Input!B6726&gt;=20,Input!B6726&lt;=700),Input!B6726,""),"")</f>
        <v/>
      </c>
      <c r="C6726">
        <f>IF(B6726="","",INT(A6726))</f>
        <v/>
      </c>
      <c r="D6726">
        <f>IF(B6726="","",HOUR(A6726))</f>
        <v/>
      </c>
    </row>
    <row r="6727">
      <c r="A6727">
        <f>Input!A6727</f>
        <v/>
      </c>
      <c r="B6727">
        <f>IF(ISNUMBER(Input!B6727),IF(AND(Input!B6727&gt;=20,Input!B6727&lt;=700),Input!B6727,""),"")</f>
        <v/>
      </c>
      <c r="C6727">
        <f>IF(B6727="","",INT(A6727))</f>
        <v/>
      </c>
      <c r="D6727">
        <f>IF(B6727="","",HOUR(A6727))</f>
        <v/>
      </c>
    </row>
    <row r="6728">
      <c r="A6728">
        <f>Input!A6728</f>
        <v/>
      </c>
      <c r="B6728">
        <f>IF(ISNUMBER(Input!B6728),IF(AND(Input!B6728&gt;=20,Input!B6728&lt;=700),Input!B6728,""),"")</f>
        <v/>
      </c>
      <c r="C6728">
        <f>IF(B6728="","",INT(A6728))</f>
        <v/>
      </c>
      <c r="D6728">
        <f>IF(B6728="","",HOUR(A6728))</f>
        <v/>
      </c>
    </row>
    <row r="6729">
      <c r="A6729">
        <f>Input!A6729</f>
        <v/>
      </c>
      <c r="B6729">
        <f>IF(ISNUMBER(Input!B6729),IF(AND(Input!B6729&gt;=20,Input!B6729&lt;=700),Input!B6729,""),"")</f>
        <v/>
      </c>
      <c r="C6729">
        <f>IF(B6729="","",INT(A6729))</f>
        <v/>
      </c>
      <c r="D6729">
        <f>IF(B6729="","",HOUR(A6729))</f>
        <v/>
      </c>
    </row>
    <row r="6730">
      <c r="A6730">
        <f>Input!A6730</f>
        <v/>
      </c>
      <c r="B6730">
        <f>IF(ISNUMBER(Input!B6730),IF(AND(Input!B6730&gt;=20,Input!B6730&lt;=700),Input!B6730,""),"")</f>
        <v/>
      </c>
      <c r="C6730">
        <f>IF(B6730="","",INT(A6730))</f>
        <v/>
      </c>
      <c r="D6730">
        <f>IF(B6730="","",HOUR(A6730))</f>
        <v/>
      </c>
    </row>
    <row r="6731">
      <c r="A6731">
        <f>Input!A6731</f>
        <v/>
      </c>
      <c r="B6731">
        <f>IF(ISNUMBER(Input!B6731),IF(AND(Input!B6731&gt;=20,Input!B6731&lt;=700),Input!B6731,""),"")</f>
        <v/>
      </c>
      <c r="C6731">
        <f>IF(B6731="","",INT(A6731))</f>
        <v/>
      </c>
      <c r="D6731">
        <f>IF(B6731="","",HOUR(A6731))</f>
        <v/>
      </c>
    </row>
    <row r="6732">
      <c r="A6732">
        <f>Input!A6732</f>
        <v/>
      </c>
      <c r="B6732">
        <f>IF(ISNUMBER(Input!B6732),IF(AND(Input!B6732&gt;=20,Input!B6732&lt;=700),Input!B6732,""),"")</f>
        <v/>
      </c>
      <c r="C6732">
        <f>IF(B6732="","",INT(A6732))</f>
        <v/>
      </c>
      <c r="D6732">
        <f>IF(B6732="","",HOUR(A6732))</f>
        <v/>
      </c>
    </row>
    <row r="6733">
      <c r="A6733">
        <f>Input!A6733</f>
        <v/>
      </c>
      <c r="B6733">
        <f>IF(ISNUMBER(Input!B6733),IF(AND(Input!B6733&gt;=20,Input!B6733&lt;=700),Input!B6733,""),"")</f>
        <v/>
      </c>
      <c r="C6733">
        <f>IF(B6733="","",INT(A6733))</f>
        <v/>
      </c>
      <c r="D6733">
        <f>IF(B6733="","",HOUR(A6733))</f>
        <v/>
      </c>
    </row>
    <row r="6734">
      <c r="A6734">
        <f>Input!A6734</f>
        <v/>
      </c>
      <c r="B6734">
        <f>IF(ISNUMBER(Input!B6734),IF(AND(Input!B6734&gt;=20,Input!B6734&lt;=700),Input!B6734,""),"")</f>
        <v/>
      </c>
      <c r="C6734">
        <f>IF(B6734="","",INT(A6734))</f>
        <v/>
      </c>
      <c r="D6734">
        <f>IF(B6734="","",HOUR(A6734))</f>
        <v/>
      </c>
    </row>
    <row r="6735">
      <c r="A6735">
        <f>Input!A6735</f>
        <v/>
      </c>
      <c r="B6735">
        <f>IF(ISNUMBER(Input!B6735),IF(AND(Input!B6735&gt;=20,Input!B6735&lt;=700),Input!B6735,""),"")</f>
        <v/>
      </c>
      <c r="C6735">
        <f>IF(B6735="","",INT(A6735))</f>
        <v/>
      </c>
      <c r="D6735">
        <f>IF(B6735="","",HOUR(A6735))</f>
        <v/>
      </c>
    </row>
    <row r="6736">
      <c r="A6736">
        <f>Input!A6736</f>
        <v/>
      </c>
      <c r="B6736">
        <f>IF(ISNUMBER(Input!B6736),IF(AND(Input!B6736&gt;=20,Input!B6736&lt;=700),Input!B6736,""),"")</f>
        <v/>
      </c>
      <c r="C6736">
        <f>IF(B6736="","",INT(A6736))</f>
        <v/>
      </c>
      <c r="D6736">
        <f>IF(B6736="","",HOUR(A6736))</f>
        <v/>
      </c>
    </row>
    <row r="6737">
      <c r="A6737">
        <f>Input!A6737</f>
        <v/>
      </c>
      <c r="B6737">
        <f>IF(ISNUMBER(Input!B6737),IF(AND(Input!B6737&gt;=20,Input!B6737&lt;=700),Input!B6737,""),"")</f>
        <v/>
      </c>
      <c r="C6737">
        <f>IF(B6737="","",INT(A6737))</f>
        <v/>
      </c>
      <c r="D6737">
        <f>IF(B6737="","",HOUR(A6737))</f>
        <v/>
      </c>
    </row>
    <row r="6738">
      <c r="A6738">
        <f>Input!A6738</f>
        <v/>
      </c>
      <c r="B6738">
        <f>IF(ISNUMBER(Input!B6738),IF(AND(Input!B6738&gt;=20,Input!B6738&lt;=700),Input!B6738,""),"")</f>
        <v/>
      </c>
      <c r="C6738">
        <f>IF(B6738="","",INT(A6738))</f>
        <v/>
      </c>
      <c r="D6738">
        <f>IF(B6738="","",HOUR(A6738))</f>
        <v/>
      </c>
    </row>
    <row r="6739">
      <c r="A6739">
        <f>Input!A6739</f>
        <v/>
      </c>
      <c r="B6739">
        <f>IF(ISNUMBER(Input!B6739),IF(AND(Input!B6739&gt;=20,Input!B6739&lt;=700),Input!B6739,""),"")</f>
        <v/>
      </c>
      <c r="C6739">
        <f>IF(B6739="","",INT(A6739))</f>
        <v/>
      </c>
      <c r="D6739">
        <f>IF(B6739="","",HOUR(A6739))</f>
        <v/>
      </c>
    </row>
    <row r="6740">
      <c r="A6740">
        <f>Input!A6740</f>
        <v/>
      </c>
      <c r="B6740">
        <f>IF(ISNUMBER(Input!B6740),IF(AND(Input!B6740&gt;=20,Input!B6740&lt;=700),Input!B6740,""),"")</f>
        <v/>
      </c>
      <c r="C6740">
        <f>IF(B6740="","",INT(A6740))</f>
        <v/>
      </c>
      <c r="D6740">
        <f>IF(B6740="","",HOUR(A6740))</f>
        <v/>
      </c>
    </row>
    <row r="6741">
      <c r="A6741">
        <f>Input!A6741</f>
        <v/>
      </c>
      <c r="B6741">
        <f>IF(ISNUMBER(Input!B6741),IF(AND(Input!B6741&gt;=20,Input!B6741&lt;=700),Input!B6741,""),"")</f>
        <v/>
      </c>
      <c r="C6741">
        <f>IF(B6741="","",INT(A6741))</f>
        <v/>
      </c>
      <c r="D6741">
        <f>IF(B6741="","",HOUR(A6741))</f>
        <v/>
      </c>
    </row>
    <row r="6742">
      <c r="A6742">
        <f>Input!A6742</f>
        <v/>
      </c>
      <c r="B6742">
        <f>IF(ISNUMBER(Input!B6742),IF(AND(Input!B6742&gt;=20,Input!B6742&lt;=700),Input!B6742,""),"")</f>
        <v/>
      </c>
      <c r="C6742">
        <f>IF(B6742="","",INT(A6742))</f>
        <v/>
      </c>
      <c r="D6742">
        <f>IF(B6742="","",HOUR(A6742))</f>
        <v/>
      </c>
    </row>
    <row r="6743">
      <c r="A6743">
        <f>Input!A6743</f>
        <v/>
      </c>
      <c r="B6743">
        <f>IF(ISNUMBER(Input!B6743),IF(AND(Input!B6743&gt;=20,Input!B6743&lt;=700),Input!B6743,""),"")</f>
        <v/>
      </c>
      <c r="C6743">
        <f>IF(B6743="","",INT(A6743))</f>
        <v/>
      </c>
      <c r="D6743">
        <f>IF(B6743="","",HOUR(A6743))</f>
        <v/>
      </c>
    </row>
    <row r="6744">
      <c r="A6744">
        <f>Input!A6744</f>
        <v/>
      </c>
      <c r="B6744">
        <f>IF(ISNUMBER(Input!B6744),IF(AND(Input!B6744&gt;=20,Input!B6744&lt;=700),Input!B6744,""),"")</f>
        <v/>
      </c>
      <c r="C6744">
        <f>IF(B6744="","",INT(A6744))</f>
        <v/>
      </c>
      <c r="D6744">
        <f>IF(B6744="","",HOUR(A6744))</f>
        <v/>
      </c>
    </row>
    <row r="6745">
      <c r="A6745">
        <f>Input!A6745</f>
        <v/>
      </c>
      <c r="B6745">
        <f>IF(ISNUMBER(Input!B6745),IF(AND(Input!B6745&gt;=20,Input!B6745&lt;=700),Input!B6745,""),"")</f>
        <v/>
      </c>
      <c r="C6745">
        <f>IF(B6745="","",INT(A6745))</f>
        <v/>
      </c>
      <c r="D6745">
        <f>IF(B6745="","",HOUR(A6745))</f>
        <v/>
      </c>
    </row>
    <row r="6746">
      <c r="A6746">
        <f>Input!A6746</f>
        <v/>
      </c>
      <c r="B6746">
        <f>IF(ISNUMBER(Input!B6746),IF(AND(Input!B6746&gt;=20,Input!B6746&lt;=700),Input!B6746,""),"")</f>
        <v/>
      </c>
      <c r="C6746">
        <f>IF(B6746="","",INT(A6746))</f>
        <v/>
      </c>
      <c r="D6746">
        <f>IF(B6746="","",HOUR(A6746))</f>
        <v/>
      </c>
    </row>
    <row r="6747">
      <c r="A6747">
        <f>Input!A6747</f>
        <v/>
      </c>
      <c r="B6747">
        <f>IF(ISNUMBER(Input!B6747),IF(AND(Input!B6747&gt;=20,Input!B6747&lt;=700),Input!B6747,""),"")</f>
        <v/>
      </c>
      <c r="C6747">
        <f>IF(B6747="","",INT(A6747))</f>
        <v/>
      </c>
      <c r="D6747">
        <f>IF(B6747="","",HOUR(A6747))</f>
        <v/>
      </c>
    </row>
    <row r="6748">
      <c r="A6748">
        <f>Input!A6748</f>
        <v/>
      </c>
      <c r="B6748">
        <f>IF(ISNUMBER(Input!B6748),IF(AND(Input!B6748&gt;=20,Input!B6748&lt;=700),Input!B6748,""),"")</f>
        <v/>
      </c>
      <c r="C6748">
        <f>IF(B6748="","",INT(A6748))</f>
        <v/>
      </c>
      <c r="D6748">
        <f>IF(B6748="","",HOUR(A6748))</f>
        <v/>
      </c>
    </row>
    <row r="6749">
      <c r="A6749">
        <f>Input!A6749</f>
        <v/>
      </c>
      <c r="B6749">
        <f>IF(ISNUMBER(Input!B6749),IF(AND(Input!B6749&gt;=20,Input!B6749&lt;=700),Input!B6749,""),"")</f>
        <v/>
      </c>
      <c r="C6749">
        <f>IF(B6749="","",INT(A6749))</f>
        <v/>
      </c>
      <c r="D6749">
        <f>IF(B6749="","",HOUR(A6749))</f>
        <v/>
      </c>
    </row>
    <row r="6750">
      <c r="A6750">
        <f>Input!A6750</f>
        <v/>
      </c>
      <c r="B6750">
        <f>IF(ISNUMBER(Input!B6750),IF(AND(Input!B6750&gt;=20,Input!B6750&lt;=700),Input!B6750,""),"")</f>
        <v/>
      </c>
      <c r="C6750">
        <f>IF(B6750="","",INT(A6750))</f>
        <v/>
      </c>
      <c r="D6750">
        <f>IF(B6750="","",HOUR(A6750))</f>
        <v/>
      </c>
    </row>
    <row r="6751">
      <c r="A6751">
        <f>Input!A6751</f>
        <v/>
      </c>
      <c r="B6751">
        <f>IF(ISNUMBER(Input!B6751),IF(AND(Input!B6751&gt;=20,Input!B6751&lt;=700),Input!B6751,""),"")</f>
        <v/>
      </c>
      <c r="C6751">
        <f>IF(B6751="","",INT(A6751))</f>
        <v/>
      </c>
      <c r="D6751">
        <f>IF(B6751="","",HOUR(A6751))</f>
        <v/>
      </c>
    </row>
    <row r="6752">
      <c r="A6752">
        <f>Input!A6752</f>
        <v/>
      </c>
      <c r="B6752">
        <f>IF(ISNUMBER(Input!B6752),IF(AND(Input!B6752&gt;=20,Input!B6752&lt;=700),Input!B6752,""),"")</f>
        <v/>
      </c>
      <c r="C6752">
        <f>IF(B6752="","",INT(A6752))</f>
        <v/>
      </c>
      <c r="D6752">
        <f>IF(B6752="","",HOUR(A6752))</f>
        <v/>
      </c>
    </row>
    <row r="6753">
      <c r="A6753">
        <f>Input!A6753</f>
        <v/>
      </c>
      <c r="B6753">
        <f>IF(ISNUMBER(Input!B6753),IF(AND(Input!B6753&gt;=20,Input!B6753&lt;=700),Input!B6753,""),"")</f>
        <v/>
      </c>
      <c r="C6753">
        <f>IF(B6753="","",INT(A6753))</f>
        <v/>
      </c>
      <c r="D6753">
        <f>IF(B6753="","",HOUR(A6753))</f>
        <v/>
      </c>
    </row>
    <row r="6754">
      <c r="A6754">
        <f>Input!A6754</f>
        <v/>
      </c>
      <c r="B6754">
        <f>IF(ISNUMBER(Input!B6754),IF(AND(Input!B6754&gt;=20,Input!B6754&lt;=700),Input!B6754,""),"")</f>
        <v/>
      </c>
      <c r="C6754">
        <f>IF(B6754="","",INT(A6754))</f>
        <v/>
      </c>
      <c r="D6754">
        <f>IF(B6754="","",HOUR(A6754))</f>
        <v/>
      </c>
    </row>
    <row r="6755">
      <c r="A6755">
        <f>Input!A6755</f>
        <v/>
      </c>
      <c r="B6755">
        <f>IF(ISNUMBER(Input!B6755),IF(AND(Input!B6755&gt;=20,Input!B6755&lt;=700),Input!B6755,""),"")</f>
        <v/>
      </c>
      <c r="C6755">
        <f>IF(B6755="","",INT(A6755))</f>
        <v/>
      </c>
      <c r="D6755">
        <f>IF(B6755="","",HOUR(A6755))</f>
        <v/>
      </c>
    </row>
    <row r="6756">
      <c r="A6756">
        <f>Input!A6756</f>
        <v/>
      </c>
      <c r="B6756">
        <f>IF(ISNUMBER(Input!B6756),IF(AND(Input!B6756&gt;=20,Input!B6756&lt;=700),Input!B6756,""),"")</f>
        <v/>
      </c>
      <c r="C6756">
        <f>IF(B6756="","",INT(A6756))</f>
        <v/>
      </c>
      <c r="D6756">
        <f>IF(B6756="","",HOUR(A6756))</f>
        <v/>
      </c>
    </row>
    <row r="6757">
      <c r="A6757">
        <f>Input!A6757</f>
        <v/>
      </c>
      <c r="B6757">
        <f>IF(ISNUMBER(Input!B6757),IF(AND(Input!B6757&gt;=20,Input!B6757&lt;=700),Input!B6757,""),"")</f>
        <v/>
      </c>
      <c r="C6757">
        <f>IF(B6757="","",INT(A6757))</f>
        <v/>
      </c>
      <c r="D6757">
        <f>IF(B6757="","",HOUR(A6757))</f>
        <v/>
      </c>
    </row>
    <row r="6758">
      <c r="A6758">
        <f>Input!A6758</f>
        <v/>
      </c>
      <c r="B6758">
        <f>IF(ISNUMBER(Input!B6758),IF(AND(Input!B6758&gt;=20,Input!B6758&lt;=700),Input!B6758,""),"")</f>
        <v/>
      </c>
      <c r="C6758">
        <f>IF(B6758="","",INT(A6758))</f>
        <v/>
      </c>
      <c r="D6758">
        <f>IF(B6758="","",HOUR(A6758))</f>
        <v/>
      </c>
    </row>
    <row r="6759">
      <c r="A6759">
        <f>Input!A6759</f>
        <v/>
      </c>
      <c r="B6759">
        <f>IF(ISNUMBER(Input!B6759),IF(AND(Input!B6759&gt;=20,Input!B6759&lt;=700),Input!B6759,""),"")</f>
        <v/>
      </c>
      <c r="C6759">
        <f>IF(B6759="","",INT(A6759))</f>
        <v/>
      </c>
      <c r="D6759">
        <f>IF(B6759="","",HOUR(A6759))</f>
        <v/>
      </c>
    </row>
    <row r="6760">
      <c r="A6760">
        <f>Input!A6760</f>
        <v/>
      </c>
      <c r="B6760">
        <f>IF(ISNUMBER(Input!B6760),IF(AND(Input!B6760&gt;=20,Input!B6760&lt;=700),Input!B6760,""),"")</f>
        <v/>
      </c>
      <c r="C6760">
        <f>IF(B6760="","",INT(A6760))</f>
        <v/>
      </c>
      <c r="D6760">
        <f>IF(B6760="","",HOUR(A6760))</f>
        <v/>
      </c>
    </row>
    <row r="6761">
      <c r="A6761">
        <f>Input!A6761</f>
        <v/>
      </c>
      <c r="B6761">
        <f>IF(ISNUMBER(Input!B6761),IF(AND(Input!B6761&gt;=20,Input!B6761&lt;=700),Input!B6761,""),"")</f>
        <v/>
      </c>
      <c r="C6761">
        <f>IF(B6761="","",INT(A6761))</f>
        <v/>
      </c>
      <c r="D6761">
        <f>IF(B6761="","",HOUR(A6761))</f>
        <v/>
      </c>
    </row>
    <row r="6762">
      <c r="A6762">
        <f>Input!A6762</f>
        <v/>
      </c>
      <c r="B6762">
        <f>IF(ISNUMBER(Input!B6762),IF(AND(Input!B6762&gt;=20,Input!B6762&lt;=700),Input!B6762,""),"")</f>
        <v/>
      </c>
      <c r="C6762">
        <f>IF(B6762="","",INT(A6762))</f>
        <v/>
      </c>
      <c r="D6762">
        <f>IF(B6762="","",HOUR(A6762))</f>
        <v/>
      </c>
    </row>
    <row r="6763">
      <c r="A6763">
        <f>Input!A6763</f>
        <v/>
      </c>
      <c r="B6763">
        <f>IF(ISNUMBER(Input!B6763),IF(AND(Input!B6763&gt;=20,Input!B6763&lt;=700),Input!B6763,""),"")</f>
        <v/>
      </c>
      <c r="C6763">
        <f>IF(B6763="","",INT(A6763))</f>
        <v/>
      </c>
      <c r="D6763">
        <f>IF(B6763="","",HOUR(A6763))</f>
        <v/>
      </c>
    </row>
    <row r="6764">
      <c r="A6764">
        <f>Input!A6764</f>
        <v/>
      </c>
      <c r="B6764">
        <f>IF(ISNUMBER(Input!B6764),IF(AND(Input!B6764&gt;=20,Input!B6764&lt;=700),Input!B6764,""),"")</f>
        <v/>
      </c>
      <c r="C6764">
        <f>IF(B6764="","",INT(A6764))</f>
        <v/>
      </c>
      <c r="D6764">
        <f>IF(B6764="","",HOUR(A6764))</f>
        <v/>
      </c>
    </row>
    <row r="6765">
      <c r="A6765">
        <f>Input!A6765</f>
        <v/>
      </c>
      <c r="B6765">
        <f>IF(ISNUMBER(Input!B6765),IF(AND(Input!B6765&gt;=20,Input!B6765&lt;=700),Input!B6765,""),"")</f>
        <v/>
      </c>
      <c r="C6765">
        <f>IF(B6765="","",INT(A6765))</f>
        <v/>
      </c>
      <c r="D6765">
        <f>IF(B6765="","",HOUR(A6765))</f>
        <v/>
      </c>
    </row>
    <row r="6766">
      <c r="A6766">
        <f>Input!A6766</f>
        <v/>
      </c>
      <c r="B6766">
        <f>IF(ISNUMBER(Input!B6766),IF(AND(Input!B6766&gt;=20,Input!B6766&lt;=700),Input!B6766,""),"")</f>
        <v/>
      </c>
      <c r="C6766">
        <f>IF(B6766="","",INT(A6766))</f>
        <v/>
      </c>
      <c r="D6766">
        <f>IF(B6766="","",HOUR(A6766))</f>
        <v/>
      </c>
    </row>
    <row r="6767">
      <c r="A6767">
        <f>Input!A6767</f>
        <v/>
      </c>
      <c r="B6767">
        <f>IF(ISNUMBER(Input!B6767),IF(AND(Input!B6767&gt;=20,Input!B6767&lt;=700),Input!B6767,""),"")</f>
        <v/>
      </c>
      <c r="C6767">
        <f>IF(B6767="","",INT(A6767))</f>
        <v/>
      </c>
      <c r="D6767">
        <f>IF(B6767="","",HOUR(A6767))</f>
        <v/>
      </c>
    </row>
    <row r="6768">
      <c r="A6768">
        <f>Input!A6768</f>
        <v/>
      </c>
      <c r="B6768">
        <f>IF(ISNUMBER(Input!B6768),IF(AND(Input!B6768&gt;=20,Input!B6768&lt;=700),Input!B6768,""),"")</f>
        <v/>
      </c>
      <c r="C6768">
        <f>IF(B6768="","",INT(A6768))</f>
        <v/>
      </c>
      <c r="D6768">
        <f>IF(B6768="","",HOUR(A6768))</f>
        <v/>
      </c>
    </row>
    <row r="6769">
      <c r="A6769">
        <f>Input!A6769</f>
        <v/>
      </c>
      <c r="B6769">
        <f>IF(ISNUMBER(Input!B6769),IF(AND(Input!B6769&gt;=20,Input!B6769&lt;=700),Input!B6769,""),"")</f>
        <v/>
      </c>
      <c r="C6769">
        <f>IF(B6769="","",INT(A6769))</f>
        <v/>
      </c>
      <c r="D6769">
        <f>IF(B6769="","",HOUR(A6769))</f>
        <v/>
      </c>
    </row>
    <row r="6770">
      <c r="A6770">
        <f>Input!A6770</f>
        <v/>
      </c>
      <c r="B6770">
        <f>IF(ISNUMBER(Input!B6770),IF(AND(Input!B6770&gt;=20,Input!B6770&lt;=700),Input!B6770,""),"")</f>
        <v/>
      </c>
      <c r="C6770">
        <f>IF(B6770="","",INT(A6770))</f>
        <v/>
      </c>
      <c r="D6770">
        <f>IF(B6770="","",HOUR(A6770))</f>
        <v/>
      </c>
    </row>
    <row r="6771">
      <c r="A6771">
        <f>Input!A6771</f>
        <v/>
      </c>
      <c r="B6771">
        <f>IF(ISNUMBER(Input!B6771),IF(AND(Input!B6771&gt;=20,Input!B6771&lt;=700),Input!B6771,""),"")</f>
        <v/>
      </c>
      <c r="C6771">
        <f>IF(B6771="","",INT(A6771))</f>
        <v/>
      </c>
      <c r="D6771">
        <f>IF(B6771="","",HOUR(A6771))</f>
        <v/>
      </c>
    </row>
    <row r="6772">
      <c r="A6772">
        <f>Input!A6772</f>
        <v/>
      </c>
      <c r="B6772">
        <f>IF(ISNUMBER(Input!B6772),IF(AND(Input!B6772&gt;=20,Input!B6772&lt;=700),Input!B6772,""),"")</f>
        <v/>
      </c>
      <c r="C6772">
        <f>IF(B6772="","",INT(A6772))</f>
        <v/>
      </c>
      <c r="D6772">
        <f>IF(B6772="","",HOUR(A6772))</f>
        <v/>
      </c>
    </row>
    <row r="6773">
      <c r="A6773">
        <f>Input!A6773</f>
        <v/>
      </c>
      <c r="B6773">
        <f>IF(ISNUMBER(Input!B6773),IF(AND(Input!B6773&gt;=20,Input!B6773&lt;=700),Input!B6773,""),"")</f>
        <v/>
      </c>
      <c r="C6773">
        <f>IF(B6773="","",INT(A6773))</f>
        <v/>
      </c>
      <c r="D6773">
        <f>IF(B6773="","",HOUR(A6773))</f>
        <v/>
      </c>
    </row>
    <row r="6774">
      <c r="A6774">
        <f>Input!A6774</f>
        <v/>
      </c>
      <c r="B6774">
        <f>IF(ISNUMBER(Input!B6774),IF(AND(Input!B6774&gt;=20,Input!B6774&lt;=700),Input!B6774,""),"")</f>
        <v/>
      </c>
      <c r="C6774">
        <f>IF(B6774="","",INT(A6774))</f>
        <v/>
      </c>
      <c r="D6774">
        <f>IF(B6774="","",HOUR(A6774))</f>
        <v/>
      </c>
    </row>
    <row r="6775">
      <c r="A6775">
        <f>Input!A6775</f>
        <v/>
      </c>
      <c r="B6775">
        <f>IF(ISNUMBER(Input!B6775),IF(AND(Input!B6775&gt;=20,Input!B6775&lt;=700),Input!B6775,""),"")</f>
        <v/>
      </c>
      <c r="C6775">
        <f>IF(B6775="","",INT(A6775))</f>
        <v/>
      </c>
      <c r="D6775">
        <f>IF(B6775="","",HOUR(A6775))</f>
        <v/>
      </c>
    </row>
    <row r="6776">
      <c r="A6776">
        <f>Input!A6776</f>
        <v/>
      </c>
      <c r="B6776">
        <f>IF(ISNUMBER(Input!B6776),IF(AND(Input!B6776&gt;=20,Input!B6776&lt;=700),Input!B6776,""),"")</f>
        <v/>
      </c>
      <c r="C6776">
        <f>IF(B6776="","",INT(A6776))</f>
        <v/>
      </c>
      <c r="D6776">
        <f>IF(B6776="","",HOUR(A6776))</f>
        <v/>
      </c>
    </row>
    <row r="6777">
      <c r="A6777">
        <f>Input!A6777</f>
        <v/>
      </c>
      <c r="B6777">
        <f>IF(ISNUMBER(Input!B6777),IF(AND(Input!B6777&gt;=20,Input!B6777&lt;=700),Input!B6777,""),"")</f>
        <v/>
      </c>
      <c r="C6777">
        <f>IF(B6777="","",INT(A6777))</f>
        <v/>
      </c>
      <c r="D6777">
        <f>IF(B6777="","",HOUR(A6777))</f>
        <v/>
      </c>
    </row>
    <row r="6778">
      <c r="A6778">
        <f>Input!A6778</f>
        <v/>
      </c>
      <c r="B6778">
        <f>IF(ISNUMBER(Input!B6778),IF(AND(Input!B6778&gt;=20,Input!B6778&lt;=700),Input!B6778,""),"")</f>
        <v/>
      </c>
      <c r="C6778">
        <f>IF(B6778="","",INT(A6778))</f>
        <v/>
      </c>
      <c r="D6778">
        <f>IF(B6778="","",HOUR(A6778))</f>
        <v/>
      </c>
    </row>
    <row r="6779">
      <c r="A6779">
        <f>Input!A6779</f>
        <v/>
      </c>
      <c r="B6779">
        <f>IF(ISNUMBER(Input!B6779),IF(AND(Input!B6779&gt;=20,Input!B6779&lt;=700),Input!B6779,""),"")</f>
        <v/>
      </c>
      <c r="C6779">
        <f>IF(B6779="","",INT(A6779))</f>
        <v/>
      </c>
      <c r="D6779">
        <f>IF(B6779="","",HOUR(A6779))</f>
        <v/>
      </c>
    </row>
    <row r="6780">
      <c r="A6780">
        <f>Input!A6780</f>
        <v/>
      </c>
      <c r="B6780">
        <f>IF(ISNUMBER(Input!B6780),IF(AND(Input!B6780&gt;=20,Input!B6780&lt;=700),Input!B6780,""),"")</f>
        <v/>
      </c>
      <c r="C6780">
        <f>IF(B6780="","",INT(A6780))</f>
        <v/>
      </c>
      <c r="D6780">
        <f>IF(B6780="","",HOUR(A6780))</f>
        <v/>
      </c>
    </row>
    <row r="6781">
      <c r="A6781">
        <f>Input!A6781</f>
        <v/>
      </c>
      <c r="B6781">
        <f>IF(ISNUMBER(Input!B6781),IF(AND(Input!B6781&gt;=20,Input!B6781&lt;=700),Input!B6781,""),"")</f>
        <v/>
      </c>
      <c r="C6781">
        <f>IF(B6781="","",INT(A6781))</f>
        <v/>
      </c>
      <c r="D6781">
        <f>IF(B6781="","",HOUR(A6781))</f>
        <v/>
      </c>
    </row>
    <row r="6782">
      <c r="A6782">
        <f>Input!A6782</f>
        <v/>
      </c>
      <c r="B6782">
        <f>IF(ISNUMBER(Input!B6782),IF(AND(Input!B6782&gt;=20,Input!B6782&lt;=700),Input!B6782,""),"")</f>
        <v/>
      </c>
      <c r="C6782">
        <f>IF(B6782="","",INT(A6782))</f>
        <v/>
      </c>
      <c r="D6782">
        <f>IF(B6782="","",HOUR(A6782))</f>
        <v/>
      </c>
    </row>
    <row r="6783">
      <c r="A6783">
        <f>Input!A6783</f>
        <v/>
      </c>
      <c r="B6783">
        <f>IF(ISNUMBER(Input!B6783),IF(AND(Input!B6783&gt;=20,Input!B6783&lt;=700),Input!B6783,""),"")</f>
        <v/>
      </c>
      <c r="C6783">
        <f>IF(B6783="","",INT(A6783))</f>
        <v/>
      </c>
      <c r="D6783">
        <f>IF(B6783="","",HOUR(A6783))</f>
        <v/>
      </c>
    </row>
    <row r="6784">
      <c r="A6784">
        <f>Input!A6784</f>
        <v/>
      </c>
      <c r="B6784">
        <f>IF(ISNUMBER(Input!B6784),IF(AND(Input!B6784&gt;=20,Input!B6784&lt;=700),Input!B6784,""),"")</f>
        <v/>
      </c>
      <c r="C6784">
        <f>IF(B6784="","",INT(A6784))</f>
        <v/>
      </c>
      <c r="D6784">
        <f>IF(B6784="","",HOUR(A6784))</f>
        <v/>
      </c>
    </row>
    <row r="6785">
      <c r="A6785">
        <f>Input!A6785</f>
        <v/>
      </c>
      <c r="B6785">
        <f>IF(ISNUMBER(Input!B6785),IF(AND(Input!B6785&gt;=20,Input!B6785&lt;=700),Input!B6785,""),"")</f>
        <v/>
      </c>
      <c r="C6785">
        <f>IF(B6785="","",INT(A6785))</f>
        <v/>
      </c>
      <c r="D6785">
        <f>IF(B6785="","",HOUR(A6785))</f>
        <v/>
      </c>
    </row>
    <row r="6786">
      <c r="A6786">
        <f>Input!A6786</f>
        <v/>
      </c>
      <c r="B6786">
        <f>IF(ISNUMBER(Input!B6786),IF(AND(Input!B6786&gt;=20,Input!B6786&lt;=700),Input!B6786,""),"")</f>
        <v/>
      </c>
      <c r="C6786">
        <f>IF(B6786="","",INT(A6786))</f>
        <v/>
      </c>
      <c r="D6786">
        <f>IF(B6786="","",HOUR(A6786))</f>
        <v/>
      </c>
    </row>
    <row r="6787">
      <c r="A6787">
        <f>Input!A6787</f>
        <v/>
      </c>
      <c r="B6787">
        <f>IF(ISNUMBER(Input!B6787),IF(AND(Input!B6787&gt;=20,Input!B6787&lt;=700),Input!B6787,""),"")</f>
        <v/>
      </c>
      <c r="C6787">
        <f>IF(B6787="","",INT(A6787))</f>
        <v/>
      </c>
      <c r="D6787">
        <f>IF(B6787="","",HOUR(A6787))</f>
        <v/>
      </c>
    </row>
    <row r="6788">
      <c r="A6788">
        <f>Input!A6788</f>
        <v/>
      </c>
      <c r="B6788">
        <f>IF(ISNUMBER(Input!B6788),IF(AND(Input!B6788&gt;=20,Input!B6788&lt;=700),Input!B6788,""),"")</f>
        <v/>
      </c>
      <c r="C6788">
        <f>IF(B6788="","",INT(A6788))</f>
        <v/>
      </c>
      <c r="D6788">
        <f>IF(B6788="","",HOUR(A6788))</f>
        <v/>
      </c>
    </row>
    <row r="6789">
      <c r="A6789">
        <f>Input!A6789</f>
        <v/>
      </c>
      <c r="B6789">
        <f>IF(ISNUMBER(Input!B6789),IF(AND(Input!B6789&gt;=20,Input!B6789&lt;=700),Input!B6789,""),"")</f>
        <v/>
      </c>
      <c r="C6789">
        <f>IF(B6789="","",INT(A6789))</f>
        <v/>
      </c>
      <c r="D6789">
        <f>IF(B6789="","",HOUR(A6789))</f>
        <v/>
      </c>
    </row>
    <row r="6790">
      <c r="A6790">
        <f>Input!A6790</f>
        <v/>
      </c>
      <c r="B6790">
        <f>IF(ISNUMBER(Input!B6790),IF(AND(Input!B6790&gt;=20,Input!B6790&lt;=700),Input!B6790,""),"")</f>
        <v/>
      </c>
      <c r="C6790">
        <f>IF(B6790="","",INT(A6790))</f>
        <v/>
      </c>
      <c r="D6790">
        <f>IF(B6790="","",HOUR(A6790))</f>
        <v/>
      </c>
    </row>
    <row r="6791">
      <c r="A6791">
        <f>Input!A6791</f>
        <v/>
      </c>
      <c r="B6791">
        <f>IF(ISNUMBER(Input!B6791),IF(AND(Input!B6791&gt;=20,Input!B6791&lt;=700),Input!B6791,""),"")</f>
        <v/>
      </c>
      <c r="C6791">
        <f>IF(B6791="","",INT(A6791))</f>
        <v/>
      </c>
      <c r="D6791">
        <f>IF(B6791="","",HOUR(A6791))</f>
        <v/>
      </c>
    </row>
    <row r="6792">
      <c r="A6792">
        <f>Input!A6792</f>
        <v/>
      </c>
      <c r="B6792">
        <f>IF(ISNUMBER(Input!B6792),IF(AND(Input!B6792&gt;=20,Input!B6792&lt;=700),Input!B6792,""),"")</f>
        <v/>
      </c>
      <c r="C6792">
        <f>IF(B6792="","",INT(A6792))</f>
        <v/>
      </c>
      <c r="D6792">
        <f>IF(B6792="","",HOUR(A6792))</f>
        <v/>
      </c>
    </row>
    <row r="6793">
      <c r="A6793">
        <f>Input!A6793</f>
        <v/>
      </c>
      <c r="B6793">
        <f>IF(ISNUMBER(Input!B6793),IF(AND(Input!B6793&gt;=20,Input!B6793&lt;=700),Input!B6793,""),"")</f>
        <v/>
      </c>
      <c r="C6793">
        <f>IF(B6793="","",INT(A6793))</f>
        <v/>
      </c>
      <c r="D6793">
        <f>IF(B6793="","",HOUR(A6793))</f>
        <v/>
      </c>
    </row>
    <row r="6794">
      <c r="A6794">
        <f>Input!A6794</f>
        <v/>
      </c>
      <c r="B6794">
        <f>IF(ISNUMBER(Input!B6794),IF(AND(Input!B6794&gt;=20,Input!B6794&lt;=700),Input!B6794,""),"")</f>
        <v/>
      </c>
      <c r="C6794">
        <f>IF(B6794="","",INT(A6794))</f>
        <v/>
      </c>
      <c r="D6794">
        <f>IF(B6794="","",HOUR(A6794))</f>
        <v/>
      </c>
    </row>
    <row r="6795">
      <c r="A6795">
        <f>Input!A6795</f>
        <v/>
      </c>
      <c r="B6795">
        <f>IF(ISNUMBER(Input!B6795),IF(AND(Input!B6795&gt;=20,Input!B6795&lt;=700),Input!B6795,""),"")</f>
        <v/>
      </c>
      <c r="C6795">
        <f>IF(B6795="","",INT(A6795))</f>
        <v/>
      </c>
      <c r="D6795">
        <f>IF(B6795="","",HOUR(A6795))</f>
        <v/>
      </c>
    </row>
    <row r="6796">
      <c r="A6796">
        <f>Input!A6796</f>
        <v/>
      </c>
      <c r="B6796">
        <f>IF(ISNUMBER(Input!B6796),IF(AND(Input!B6796&gt;=20,Input!B6796&lt;=700),Input!B6796,""),"")</f>
        <v/>
      </c>
      <c r="C6796">
        <f>IF(B6796="","",INT(A6796))</f>
        <v/>
      </c>
      <c r="D6796">
        <f>IF(B6796="","",HOUR(A6796))</f>
        <v/>
      </c>
    </row>
    <row r="6797">
      <c r="A6797">
        <f>Input!A6797</f>
        <v/>
      </c>
      <c r="B6797">
        <f>IF(ISNUMBER(Input!B6797),IF(AND(Input!B6797&gt;=20,Input!B6797&lt;=700),Input!B6797,""),"")</f>
        <v/>
      </c>
      <c r="C6797">
        <f>IF(B6797="","",INT(A6797))</f>
        <v/>
      </c>
      <c r="D6797">
        <f>IF(B6797="","",HOUR(A6797))</f>
        <v/>
      </c>
    </row>
    <row r="6798">
      <c r="A6798">
        <f>Input!A6798</f>
        <v/>
      </c>
      <c r="B6798">
        <f>IF(ISNUMBER(Input!B6798),IF(AND(Input!B6798&gt;=20,Input!B6798&lt;=700),Input!B6798,""),"")</f>
        <v/>
      </c>
      <c r="C6798">
        <f>IF(B6798="","",INT(A6798))</f>
        <v/>
      </c>
      <c r="D6798">
        <f>IF(B6798="","",HOUR(A6798))</f>
        <v/>
      </c>
    </row>
    <row r="6799">
      <c r="A6799">
        <f>Input!A6799</f>
        <v/>
      </c>
      <c r="B6799">
        <f>IF(ISNUMBER(Input!B6799),IF(AND(Input!B6799&gt;=20,Input!B6799&lt;=700),Input!B6799,""),"")</f>
        <v/>
      </c>
      <c r="C6799">
        <f>IF(B6799="","",INT(A6799))</f>
        <v/>
      </c>
      <c r="D6799">
        <f>IF(B6799="","",HOUR(A6799))</f>
        <v/>
      </c>
    </row>
    <row r="6800">
      <c r="A6800">
        <f>Input!A6800</f>
        <v/>
      </c>
      <c r="B6800">
        <f>IF(ISNUMBER(Input!B6800),IF(AND(Input!B6800&gt;=20,Input!B6800&lt;=700),Input!B6800,""),"")</f>
        <v/>
      </c>
      <c r="C6800">
        <f>IF(B6800="","",INT(A6800))</f>
        <v/>
      </c>
      <c r="D6800">
        <f>IF(B6800="","",HOUR(A6800))</f>
        <v/>
      </c>
    </row>
    <row r="6801">
      <c r="A6801">
        <f>Input!A6801</f>
        <v/>
      </c>
      <c r="B6801">
        <f>IF(ISNUMBER(Input!B6801),IF(AND(Input!B6801&gt;=20,Input!B6801&lt;=700),Input!B6801,""),"")</f>
        <v/>
      </c>
      <c r="C6801">
        <f>IF(B6801="","",INT(A6801))</f>
        <v/>
      </c>
      <c r="D6801">
        <f>IF(B6801="","",HOUR(A6801))</f>
        <v/>
      </c>
    </row>
    <row r="6802">
      <c r="A6802">
        <f>Input!A6802</f>
        <v/>
      </c>
      <c r="B6802">
        <f>IF(ISNUMBER(Input!B6802),IF(AND(Input!B6802&gt;=20,Input!B6802&lt;=700),Input!B6802,""),"")</f>
        <v/>
      </c>
      <c r="C6802">
        <f>IF(B6802="","",INT(A6802))</f>
        <v/>
      </c>
      <c r="D6802">
        <f>IF(B6802="","",HOUR(A6802))</f>
        <v/>
      </c>
    </row>
    <row r="6803">
      <c r="A6803">
        <f>Input!A6803</f>
        <v/>
      </c>
      <c r="B6803">
        <f>IF(ISNUMBER(Input!B6803),IF(AND(Input!B6803&gt;=20,Input!B6803&lt;=700),Input!B6803,""),"")</f>
        <v/>
      </c>
      <c r="C6803">
        <f>IF(B6803="","",INT(A6803))</f>
        <v/>
      </c>
      <c r="D6803">
        <f>IF(B6803="","",HOUR(A6803))</f>
        <v/>
      </c>
    </row>
    <row r="6804">
      <c r="A6804">
        <f>Input!A6804</f>
        <v/>
      </c>
      <c r="B6804">
        <f>IF(ISNUMBER(Input!B6804),IF(AND(Input!B6804&gt;=20,Input!B6804&lt;=700),Input!B6804,""),"")</f>
        <v/>
      </c>
      <c r="C6804">
        <f>IF(B6804="","",INT(A6804))</f>
        <v/>
      </c>
      <c r="D6804">
        <f>IF(B6804="","",HOUR(A6804))</f>
        <v/>
      </c>
    </row>
    <row r="6805">
      <c r="A6805">
        <f>Input!A6805</f>
        <v/>
      </c>
      <c r="B6805">
        <f>IF(ISNUMBER(Input!B6805),IF(AND(Input!B6805&gt;=20,Input!B6805&lt;=700),Input!B6805,""),"")</f>
        <v/>
      </c>
      <c r="C6805">
        <f>IF(B6805="","",INT(A6805))</f>
        <v/>
      </c>
      <c r="D6805">
        <f>IF(B6805="","",HOUR(A6805))</f>
        <v/>
      </c>
    </row>
    <row r="6806">
      <c r="A6806">
        <f>Input!A6806</f>
        <v/>
      </c>
      <c r="B6806">
        <f>IF(ISNUMBER(Input!B6806),IF(AND(Input!B6806&gt;=20,Input!B6806&lt;=700),Input!B6806,""),"")</f>
        <v/>
      </c>
      <c r="C6806">
        <f>IF(B6806="","",INT(A6806))</f>
        <v/>
      </c>
      <c r="D6806">
        <f>IF(B6806="","",HOUR(A6806))</f>
        <v/>
      </c>
    </row>
    <row r="6807">
      <c r="A6807">
        <f>Input!A6807</f>
        <v/>
      </c>
      <c r="B6807">
        <f>IF(ISNUMBER(Input!B6807),IF(AND(Input!B6807&gt;=20,Input!B6807&lt;=700),Input!B6807,""),"")</f>
        <v/>
      </c>
      <c r="C6807">
        <f>IF(B6807="","",INT(A6807))</f>
        <v/>
      </c>
      <c r="D6807">
        <f>IF(B6807="","",HOUR(A6807))</f>
        <v/>
      </c>
    </row>
    <row r="6808">
      <c r="A6808">
        <f>Input!A6808</f>
        <v/>
      </c>
      <c r="B6808">
        <f>IF(ISNUMBER(Input!B6808),IF(AND(Input!B6808&gt;=20,Input!B6808&lt;=700),Input!B6808,""),"")</f>
        <v/>
      </c>
      <c r="C6808">
        <f>IF(B6808="","",INT(A6808))</f>
        <v/>
      </c>
      <c r="D6808">
        <f>IF(B6808="","",HOUR(A6808))</f>
        <v/>
      </c>
    </row>
    <row r="6809">
      <c r="A6809">
        <f>Input!A6809</f>
        <v/>
      </c>
      <c r="B6809">
        <f>IF(ISNUMBER(Input!B6809),IF(AND(Input!B6809&gt;=20,Input!B6809&lt;=700),Input!B6809,""),"")</f>
        <v/>
      </c>
      <c r="C6809">
        <f>IF(B6809="","",INT(A6809))</f>
        <v/>
      </c>
      <c r="D6809">
        <f>IF(B6809="","",HOUR(A6809))</f>
        <v/>
      </c>
    </row>
    <row r="6810">
      <c r="A6810">
        <f>Input!A6810</f>
        <v/>
      </c>
      <c r="B6810">
        <f>IF(ISNUMBER(Input!B6810),IF(AND(Input!B6810&gt;=20,Input!B6810&lt;=700),Input!B6810,""),"")</f>
        <v/>
      </c>
      <c r="C6810">
        <f>IF(B6810="","",INT(A6810))</f>
        <v/>
      </c>
      <c r="D6810">
        <f>IF(B6810="","",HOUR(A6810))</f>
        <v/>
      </c>
    </row>
    <row r="6811">
      <c r="A6811">
        <f>Input!A6811</f>
        <v/>
      </c>
      <c r="B6811">
        <f>IF(ISNUMBER(Input!B6811),IF(AND(Input!B6811&gt;=20,Input!B6811&lt;=700),Input!B6811,""),"")</f>
        <v/>
      </c>
      <c r="C6811">
        <f>IF(B6811="","",INT(A6811))</f>
        <v/>
      </c>
      <c r="D6811">
        <f>IF(B6811="","",HOUR(A6811))</f>
        <v/>
      </c>
    </row>
    <row r="6812">
      <c r="A6812">
        <f>Input!A6812</f>
        <v/>
      </c>
      <c r="B6812">
        <f>IF(ISNUMBER(Input!B6812),IF(AND(Input!B6812&gt;=20,Input!B6812&lt;=700),Input!B6812,""),"")</f>
        <v/>
      </c>
      <c r="C6812">
        <f>IF(B6812="","",INT(A6812))</f>
        <v/>
      </c>
      <c r="D6812">
        <f>IF(B6812="","",HOUR(A6812))</f>
        <v/>
      </c>
    </row>
    <row r="6813">
      <c r="A6813">
        <f>Input!A6813</f>
        <v/>
      </c>
      <c r="B6813">
        <f>IF(ISNUMBER(Input!B6813),IF(AND(Input!B6813&gt;=20,Input!B6813&lt;=700),Input!B6813,""),"")</f>
        <v/>
      </c>
      <c r="C6813">
        <f>IF(B6813="","",INT(A6813))</f>
        <v/>
      </c>
      <c r="D6813">
        <f>IF(B6813="","",HOUR(A6813))</f>
        <v/>
      </c>
    </row>
    <row r="6814">
      <c r="A6814">
        <f>Input!A6814</f>
        <v/>
      </c>
      <c r="B6814">
        <f>IF(ISNUMBER(Input!B6814),IF(AND(Input!B6814&gt;=20,Input!B6814&lt;=700),Input!B6814,""),"")</f>
        <v/>
      </c>
      <c r="C6814">
        <f>IF(B6814="","",INT(A6814))</f>
        <v/>
      </c>
      <c r="D6814">
        <f>IF(B6814="","",HOUR(A6814))</f>
        <v/>
      </c>
    </row>
    <row r="6815">
      <c r="A6815">
        <f>Input!A6815</f>
        <v/>
      </c>
      <c r="B6815">
        <f>IF(ISNUMBER(Input!B6815),IF(AND(Input!B6815&gt;=20,Input!B6815&lt;=700),Input!B6815,""),"")</f>
        <v/>
      </c>
      <c r="C6815">
        <f>IF(B6815="","",INT(A6815))</f>
        <v/>
      </c>
      <c r="D6815">
        <f>IF(B6815="","",HOUR(A6815))</f>
        <v/>
      </c>
    </row>
    <row r="6816">
      <c r="A6816">
        <f>Input!A6816</f>
        <v/>
      </c>
      <c r="B6816">
        <f>IF(ISNUMBER(Input!B6816),IF(AND(Input!B6816&gt;=20,Input!B6816&lt;=700),Input!B6816,""),"")</f>
        <v/>
      </c>
      <c r="C6816">
        <f>IF(B6816="","",INT(A6816))</f>
        <v/>
      </c>
      <c r="D6816">
        <f>IF(B6816="","",HOUR(A6816))</f>
        <v/>
      </c>
    </row>
    <row r="6817">
      <c r="A6817">
        <f>Input!A6817</f>
        <v/>
      </c>
      <c r="B6817">
        <f>IF(ISNUMBER(Input!B6817),IF(AND(Input!B6817&gt;=20,Input!B6817&lt;=700),Input!B6817,""),"")</f>
        <v/>
      </c>
      <c r="C6817">
        <f>IF(B6817="","",INT(A6817))</f>
        <v/>
      </c>
      <c r="D6817">
        <f>IF(B6817="","",HOUR(A6817))</f>
        <v/>
      </c>
    </row>
    <row r="6818">
      <c r="A6818">
        <f>Input!A6818</f>
        <v/>
      </c>
      <c r="B6818">
        <f>IF(ISNUMBER(Input!B6818),IF(AND(Input!B6818&gt;=20,Input!B6818&lt;=700),Input!B6818,""),"")</f>
        <v/>
      </c>
      <c r="C6818">
        <f>IF(B6818="","",INT(A6818))</f>
        <v/>
      </c>
      <c r="D6818">
        <f>IF(B6818="","",HOUR(A6818))</f>
        <v/>
      </c>
    </row>
    <row r="6819">
      <c r="A6819">
        <f>Input!A6819</f>
        <v/>
      </c>
      <c r="B6819">
        <f>IF(ISNUMBER(Input!B6819),IF(AND(Input!B6819&gt;=20,Input!B6819&lt;=700),Input!B6819,""),"")</f>
        <v/>
      </c>
      <c r="C6819">
        <f>IF(B6819="","",INT(A6819))</f>
        <v/>
      </c>
      <c r="D6819">
        <f>IF(B6819="","",HOUR(A6819))</f>
        <v/>
      </c>
    </row>
    <row r="6820">
      <c r="A6820">
        <f>Input!A6820</f>
        <v/>
      </c>
      <c r="B6820">
        <f>IF(ISNUMBER(Input!B6820),IF(AND(Input!B6820&gt;=20,Input!B6820&lt;=700),Input!B6820,""),"")</f>
        <v/>
      </c>
      <c r="C6820">
        <f>IF(B6820="","",INT(A6820))</f>
        <v/>
      </c>
      <c r="D6820">
        <f>IF(B6820="","",HOUR(A6820))</f>
        <v/>
      </c>
    </row>
    <row r="6821">
      <c r="A6821">
        <f>Input!A6821</f>
        <v/>
      </c>
      <c r="B6821">
        <f>IF(ISNUMBER(Input!B6821),IF(AND(Input!B6821&gt;=20,Input!B6821&lt;=700),Input!B6821,""),"")</f>
        <v/>
      </c>
      <c r="C6821">
        <f>IF(B6821="","",INT(A6821))</f>
        <v/>
      </c>
      <c r="D6821">
        <f>IF(B6821="","",HOUR(A6821))</f>
        <v/>
      </c>
    </row>
    <row r="6822">
      <c r="A6822">
        <f>Input!A6822</f>
        <v/>
      </c>
      <c r="B6822">
        <f>IF(ISNUMBER(Input!B6822),IF(AND(Input!B6822&gt;=20,Input!B6822&lt;=700),Input!B6822,""),"")</f>
        <v/>
      </c>
      <c r="C6822">
        <f>IF(B6822="","",INT(A6822))</f>
        <v/>
      </c>
      <c r="D6822">
        <f>IF(B6822="","",HOUR(A6822))</f>
        <v/>
      </c>
    </row>
    <row r="6823">
      <c r="A6823">
        <f>Input!A6823</f>
        <v/>
      </c>
      <c r="B6823">
        <f>IF(ISNUMBER(Input!B6823),IF(AND(Input!B6823&gt;=20,Input!B6823&lt;=700),Input!B6823,""),"")</f>
        <v/>
      </c>
      <c r="C6823">
        <f>IF(B6823="","",INT(A6823))</f>
        <v/>
      </c>
      <c r="D6823">
        <f>IF(B6823="","",HOUR(A6823))</f>
        <v/>
      </c>
    </row>
    <row r="6824">
      <c r="A6824">
        <f>Input!A6824</f>
        <v/>
      </c>
      <c r="B6824">
        <f>IF(ISNUMBER(Input!B6824),IF(AND(Input!B6824&gt;=20,Input!B6824&lt;=700),Input!B6824,""),"")</f>
        <v/>
      </c>
      <c r="C6824">
        <f>IF(B6824="","",INT(A6824))</f>
        <v/>
      </c>
      <c r="D6824">
        <f>IF(B6824="","",HOUR(A6824))</f>
        <v/>
      </c>
    </row>
    <row r="6825">
      <c r="A6825">
        <f>Input!A6825</f>
        <v/>
      </c>
      <c r="B6825">
        <f>IF(ISNUMBER(Input!B6825),IF(AND(Input!B6825&gt;=20,Input!B6825&lt;=700),Input!B6825,""),"")</f>
        <v/>
      </c>
      <c r="C6825">
        <f>IF(B6825="","",INT(A6825))</f>
        <v/>
      </c>
      <c r="D6825">
        <f>IF(B6825="","",HOUR(A6825))</f>
        <v/>
      </c>
    </row>
    <row r="6826">
      <c r="A6826">
        <f>Input!A6826</f>
        <v/>
      </c>
      <c r="B6826">
        <f>IF(ISNUMBER(Input!B6826),IF(AND(Input!B6826&gt;=20,Input!B6826&lt;=700),Input!B6826,""),"")</f>
        <v/>
      </c>
      <c r="C6826">
        <f>IF(B6826="","",INT(A6826))</f>
        <v/>
      </c>
      <c r="D6826">
        <f>IF(B6826="","",HOUR(A6826))</f>
        <v/>
      </c>
    </row>
    <row r="6827">
      <c r="A6827">
        <f>Input!A6827</f>
        <v/>
      </c>
      <c r="B6827">
        <f>IF(ISNUMBER(Input!B6827),IF(AND(Input!B6827&gt;=20,Input!B6827&lt;=700),Input!B6827,""),"")</f>
        <v/>
      </c>
      <c r="C6827">
        <f>IF(B6827="","",INT(A6827))</f>
        <v/>
      </c>
      <c r="D6827">
        <f>IF(B6827="","",HOUR(A6827))</f>
        <v/>
      </c>
    </row>
    <row r="6828">
      <c r="A6828">
        <f>Input!A6828</f>
        <v/>
      </c>
      <c r="B6828">
        <f>IF(ISNUMBER(Input!B6828),IF(AND(Input!B6828&gt;=20,Input!B6828&lt;=700),Input!B6828,""),"")</f>
        <v/>
      </c>
      <c r="C6828">
        <f>IF(B6828="","",INT(A6828))</f>
        <v/>
      </c>
      <c r="D6828">
        <f>IF(B6828="","",HOUR(A6828))</f>
        <v/>
      </c>
    </row>
    <row r="6829">
      <c r="A6829">
        <f>Input!A6829</f>
        <v/>
      </c>
      <c r="B6829">
        <f>IF(ISNUMBER(Input!B6829),IF(AND(Input!B6829&gt;=20,Input!B6829&lt;=700),Input!B6829,""),"")</f>
        <v/>
      </c>
      <c r="C6829">
        <f>IF(B6829="","",INT(A6829))</f>
        <v/>
      </c>
      <c r="D6829">
        <f>IF(B6829="","",HOUR(A6829))</f>
        <v/>
      </c>
    </row>
    <row r="6830">
      <c r="A6830">
        <f>Input!A6830</f>
        <v/>
      </c>
      <c r="B6830">
        <f>IF(ISNUMBER(Input!B6830),IF(AND(Input!B6830&gt;=20,Input!B6830&lt;=700),Input!B6830,""),"")</f>
        <v/>
      </c>
      <c r="C6830">
        <f>IF(B6830="","",INT(A6830))</f>
        <v/>
      </c>
      <c r="D6830">
        <f>IF(B6830="","",HOUR(A6830))</f>
        <v/>
      </c>
    </row>
    <row r="6831">
      <c r="A6831">
        <f>Input!A6831</f>
        <v/>
      </c>
      <c r="B6831">
        <f>IF(ISNUMBER(Input!B6831),IF(AND(Input!B6831&gt;=20,Input!B6831&lt;=700),Input!B6831,""),"")</f>
        <v/>
      </c>
      <c r="C6831">
        <f>IF(B6831="","",INT(A6831))</f>
        <v/>
      </c>
      <c r="D6831">
        <f>IF(B6831="","",HOUR(A6831))</f>
        <v/>
      </c>
    </row>
    <row r="6832">
      <c r="A6832">
        <f>Input!A6832</f>
        <v/>
      </c>
      <c r="B6832">
        <f>IF(ISNUMBER(Input!B6832),IF(AND(Input!B6832&gt;=20,Input!B6832&lt;=700),Input!B6832,""),"")</f>
        <v/>
      </c>
      <c r="C6832">
        <f>IF(B6832="","",INT(A6832))</f>
        <v/>
      </c>
      <c r="D6832">
        <f>IF(B6832="","",HOUR(A6832))</f>
        <v/>
      </c>
    </row>
    <row r="6833">
      <c r="A6833">
        <f>Input!A6833</f>
        <v/>
      </c>
      <c r="B6833">
        <f>IF(ISNUMBER(Input!B6833),IF(AND(Input!B6833&gt;=20,Input!B6833&lt;=700),Input!B6833,""),"")</f>
        <v/>
      </c>
      <c r="C6833">
        <f>IF(B6833="","",INT(A6833))</f>
        <v/>
      </c>
      <c r="D6833">
        <f>IF(B6833="","",HOUR(A6833))</f>
        <v/>
      </c>
    </row>
    <row r="6834">
      <c r="A6834">
        <f>Input!A6834</f>
        <v/>
      </c>
      <c r="B6834">
        <f>IF(ISNUMBER(Input!B6834),IF(AND(Input!B6834&gt;=20,Input!B6834&lt;=700),Input!B6834,""),"")</f>
        <v/>
      </c>
      <c r="C6834">
        <f>IF(B6834="","",INT(A6834))</f>
        <v/>
      </c>
      <c r="D6834">
        <f>IF(B6834="","",HOUR(A6834))</f>
        <v/>
      </c>
    </row>
    <row r="6835">
      <c r="A6835">
        <f>Input!A6835</f>
        <v/>
      </c>
      <c r="B6835">
        <f>IF(ISNUMBER(Input!B6835),IF(AND(Input!B6835&gt;=20,Input!B6835&lt;=700),Input!B6835,""),"")</f>
        <v/>
      </c>
      <c r="C6835">
        <f>IF(B6835="","",INT(A6835))</f>
        <v/>
      </c>
      <c r="D6835">
        <f>IF(B6835="","",HOUR(A6835))</f>
        <v/>
      </c>
    </row>
    <row r="6836">
      <c r="A6836">
        <f>Input!A6836</f>
        <v/>
      </c>
      <c r="B6836">
        <f>IF(ISNUMBER(Input!B6836),IF(AND(Input!B6836&gt;=20,Input!B6836&lt;=700),Input!B6836,""),"")</f>
        <v/>
      </c>
      <c r="C6836">
        <f>IF(B6836="","",INT(A6836))</f>
        <v/>
      </c>
      <c r="D6836">
        <f>IF(B6836="","",HOUR(A6836))</f>
        <v/>
      </c>
    </row>
    <row r="6837">
      <c r="A6837">
        <f>Input!A6837</f>
        <v/>
      </c>
      <c r="B6837">
        <f>IF(ISNUMBER(Input!B6837),IF(AND(Input!B6837&gt;=20,Input!B6837&lt;=700),Input!B6837,""),"")</f>
        <v/>
      </c>
      <c r="C6837">
        <f>IF(B6837="","",INT(A6837))</f>
        <v/>
      </c>
      <c r="D6837">
        <f>IF(B6837="","",HOUR(A6837))</f>
        <v/>
      </c>
    </row>
    <row r="6838">
      <c r="A6838">
        <f>Input!A6838</f>
        <v/>
      </c>
      <c r="B6838">
        <f>IF(ISNUMBER(Input!B6838),IF(AND(Input!B6838&gt;=20,Input!B6838&lt;=700),Input!B6838,""),"")</f>
        <v/>
      </c>
      <c r="C6838">
        <f>IF(B6838="","",INT(A6838))</f>
        <v/>
      </c>
      <c r="D6838">
        <f>IF(B6838="","",HOUR(A6838))</f>
        <v/>
      </c>
    </row>
    <row r="6839">
      <c r="A6839">
        <f>Input!A6839</f>
        <v/>
      </c>
      <c r="B6839">
        <f>IF(ISNUMBER(Input!B6839),IF(AND(Input!B6839&gt;=20,Input!B6839&lt;=700),Input!B6839,""),"")</f>
        <v/>
      </c>
      <c r="C6839">
        <f>IF(B6839="","",INT(A6839))</f>
        <v/>
      </c>
      <c r="D6839">
        <f>IF(B6839="","",HOUR(A6839))</f>
        <v/>
      </c>
    </row>
    <row r="6840">
      <c r="A6840">
        <f>Input!A6840</f>
        <v/>
      </c>
      <c r="B6840">
        <f>IF(ISNUMBER(Input!B6840),IF(AND(Input!B6840&gt;=20,Input!B6840&lt;=700),Input!B6840,""),"")</f>
        <v/>
      </c>
      <c r="C6840">
        <f>IF(B6840="","",INT(A6840))</f>
        <v/>
      </c>
      <c r="D6840">
        <f>IF(B6840="","",HOUR(A6840))</f>
        <v/>
      </c>
    </row>
    <row r="6841">
      <c r="A6841">
        <f>Input!A6841</f>
        <v/>
      </c>
      <c r="B6841">
        <f>IF(ISNUMBER(Input!B6841),IF(AND(Input!B6841&gt;=20,Input!B6841&lt;=700),Input!B6841,""),"")</f>
        <v/>
      </c>
      <c r="C6841">
        <f>IF(B6841="","",INT(A6841))</f>
        <v/>
      </c>
      <c r="D6841">
        <f>IF(B6841="","",HOUR(A6841))</f>
        <v/>
      </c>
    </row>
    <row r="6842">
      <c r="A6842">
        <f>Input!A6842</f>
        <v/>
      </c>
      <c r="B6842">
        <f>IF(ISNUMBER(Input!B6842),IF(AND(Input!B6842&gt;=20,Input!B6842&lt;=700),Input!B6842,""),"")</f>
        <v/>
      </c>
      <c r="C6842">
        <f>IF(B6842="","",INT(A6842))</f>
        <v/>
      </c>
      <c r="D6842">
        <f>IF(B6842="","",HOUR(A6842))</f>
        <v/>
      </c>
    </row>
    <row r="6843">
      <c r="A6843">
        <f>Input!A6843</f>
        <v/>
      </c>
      <c r="B6843">
        <f>IF(ISNUMBER(Input!B6843),IF(AND(Input!B6843&gt;=20,Input!B6843&lt;=700),Input!B6843,""),"")</f>
        <v/>
      </c>
      <c r="C6843">
        <f>IF(B6843="","",INT(A6843))</f>
        <v/>
      </c>
      <c r="D6843">
        <f>IF(B6843="","",HOUR(A6843))</f>
        <v/>
      </c>
    </row>
    <row r="6844">
      <c r="A6844">
        <f>Input!A6844</f>
        <v/>
      </c>
      <c r="B6844">
        <f>IF(ISNUMBER(Input!B6844),IF(AND(Input!B6844&gt;=20,Input!B6844&lt;=700),Input!B6844,""),"")</f>
        <v/>
      </c>
      <c r="C6844">
        <f>IF(B6844="","",INT(A6844))</f>
        <v/>
      </c>
      <c r="D6844">
        <f>IF(B6844="","",HOUR(A6844))</f>
        <v/>
      </c>
    </row>
    <row r="6845">
      <c r="A6845">
        <f>Input!A6845</f>
        <v/>
      </c>
      <c r="B6845">
        <f>IF(ISNUMBER(Input!B6845),IF(AND(Input!B6845&gt;=20,Input!B6845&lt;=700),Input!B6845,""),"")</f>
        <v/>
      </c>
      <c r="C6845">
        <f>IF(B6845="","",INT(A6845))</f>
        <v/>
      </c>
      <c r="D6845">
        <f>IF(B6845="","",HOUR(A6845))</f>
        <v/>
      </c>
    </row>
    <row r="6846">
      <c r="A6846">
        <f>Input!A6846</f>
        <v/>
      </c>
      <c r="B6846">
        <f>IF(ISNUMBER(Input!B6846),IF(AND(Input!B6846&gt;=20,Input!B6846&lt;=700),Input!B6846,""),"")</f>
        <v/>
      </c>
      <c r="C6846">
        <f>IF(B6846="","",INT(A6846))</f>
        <v/>
      </c>
      <c r="D6846">
        <f>IF(B6846="","",HOUR(A6846))</f>
        <v/>
      </c>
    </row>
    <row r="6847">
      <c r="A6847">
        <f>Input!A6847</f>
        <v/>
      </c>
      <c r="B6847">
        <f>IF(ISNUMBER(Input!B6847),IF(AND(Input!B6847&gt;=20,Input!B6847&lt;=700),Input!B6847,""),"")</f>
        <v/>
      </c>
      <c r="C6847">
        <f>IF(B6847="","",INT(A6847))</f>
        <v/>
      </c>
      <c r="D6847">
        <f>IF(B6847="","",HOUR(A6847))</f>
        <v/>
      </c>
    </row>
    <row r="6848">
      <c r="A6848">
        <f>Input!A6848</f>
        <v/>
      </c>
      <c r="B6848">
        <f>IF(ISNUMBER(Input!B6848),IF(AND(Input!B6848&gt;=20,Input!B6848&lt;=700),Input!B6848,""),"")</f>
        <v/>
      </c>
      <c r="C6848">
        <f>IF(B6848="","",INT(A6848))</f>
        <v/>
      </c>
      <c r="D6848">
        <f>IF(B6848="","",HOUR(A6848))</f>
        <v/>
      </c>
    </row>
    <row r="6849">
      <c r="A6849">
        <f>Input!A6849</f>
        <v/>
      </c>
      <c r="B6849">
        <f>IF(ISNUMBER(Input!B6849),IF(AND(Input!B6849&gt;=20,Input!B6849&lt;=700),Input!B6849,""),"")</f>
        <v/>
      </c>
      <c r="C6849">
        <f>IF(B6849="","",INT(A6849))</f>
        <v/>
      </c>
      <c r="D6849">
        <f>IF(B6849="","",HOUR(A6849))</f>
        <v/>
      </c>
    </row>
    <row r="6850">
      <c r="A6850">
        <f>Input!A6850</f>
        <v/>
      </c>
      <c r="B6850">
        <f>IF(ISNUMBER(Input!B6850),IF(AND(Input!B6850&gt;=20,Input!B6850&lt;=700),Input!B6850,""),"")</f>
        <v/>
      </c>
      <c r="C6850">
        <f>IF(B6850="","",INT(A6850))</f>
        <v/>
      </c>
      <c r="D6850">
        <f>IF(B6850="","",HOUR(A6850))</f>
        <v/>
      </c>
    </row>
    <row r="6851">
      <c r="A6851">
        <f>Input!A6851</f>
        <v/>
      </c>
      <c r="B6851">
        <f>IF(ISNUMBER(Input!B6851),IF(AND(Input!B6851&gt;=20,Input!B6851&lt;=700),Input!B6851,""),"")</f>
        <v/>
      </c>
      <c r="C6851">
        <f>IF(B6851="","",INT(A6851))</f>
        <v/>
      </c>
      <c r="D6851">
        <f>IF(B6851="","",HOUR(A6851))</f>
        <v/>
      </c>
    </row>
    <row r="6852">
      <c r="A6852">
        <f>Input!A6852</f>
        <v/>
      </c>
      <c r="B6852">
        <f>IF(ISNUMBER(Input!B6852),IF(AND(Input!B6852&gt;=20,Input!B6852&lt;=700),Input!B6852,""),"")</f>
        <v/>
      </c>
      <c r="C6852">
        <f>IF(B6852="","",INT(A6852))</f>
        <v/>
      </c>
      <c r="D6852">
        <f>IF(B6852="","",HOUR(A6852))</f>
        <v/>
      </c>
    </row>
    <row r="6853">
      <c r="A6853">
        <f>Input!A6853</f>
        <v/>
      </c>
      <c r="B6853">
        <f>IF(ISNUMBER(Input!B6853),IF(AND(Input!B6853&gt;=20,Input!B6853&lt;=700),Input!B6853,""),"")</f>
        <v/>
      </c>
      <c r="C6853">
        <f>IF(B6853="","",INT(A6853))</f>
        <v/>
      </c>
      <c r="D6853">
        <f>IF(B6853="","",HOUR(A6853))</f>
        <v/>
      </c>
    </row>
    <row r="6854">
      <c r="A6854">
        <f>Input!A6854</f>
        <v/>
      </c>
      <c r="B6854">
        <f>IF(ISNUMBER(Input!B6854),IF(AND(Input!B6854&gt;=20,Input!B6854&lt;=700),Input!B6854,""),"")</f>
        <v/>
      </c>
      <c r="C6854">
        <f>IF(B6854="","",INT(A6854))</f>
        <v/>
      </c>
      <c r="D6854">
        <f>IF(B6854="","",HOUR(A6854))</f>
        <v/>
      </c>
    </row>
    <row r="6855">
      <c r="A6855">
        <f>Input!A6855</f>
        <v/>
      </c>
      <c r="B6855">
        <f>IF(ISNUMBER(Input!B6855),IF(AND(Input!B6855&gt;=20,Input!B6855&lt;=700),Input!B6855,""),"")</f>
        <v/>
      </c>
      <c r="C6855">
        <f>IF(B6855="","",INT(A6855))</f>
        <v/>
      </c>
      <c r="D6855">
        <f>IF(B6855="","",HOUR(A6855))</f>
        <v/>
      </c>
    </row>
    <row r="6856">
      <c r="A6856">
        <f>Input!A6856</f>
        <v/>
      </c>
      <c r="B6856">
        <f>IF(ISNUMBER(Input!B6856),IF(AND(Input!B6856&gt;=20,Input!B6856&lt;=700),Input!B6856,""),"")</f>
        <v/>
      </c>
      <c r="C6856">
        <f>IF(B6856="","",INT(A6856))</f>
        <v/>
      </c>
      <c r="D6856">
        <f>IF(B6856="","",HOUR(A6856))</f>
        <v/>
      </c>
    </row>
    <row r="6857">
      <c r="A6857">
        <f>Input!A6857</f>
        <v/>
      </c>
      <c r="B6857">
        <f>IF(ISNUMBER(Input!B6857),IF(AND(Input!B6857&gt;=20,Input!B6857&lt;=700),Input!B6857,""),"")</f>
        <v/>
      </c>
      <c r="C6857">
        <f>IF(B6857="","",INT(A6857))</f>
        <v/>
      </c>
      <c r="D6857">
        <f>IF(B6857="","",HOUR(A6857))</f>
        <v/>
      </c>
    </row>
    <row r="6858">
      <c r="A6858">
        <f>Input!A6858</f>
        <v/>
      </c>
      <c r="B6858">
        <f>IF(ISNUMBER(Input!B6858),IF(AND(Input!B6858&gt;=20,Input!B6858&lt;=700),Input!B6858,""),"")</f>
        <v/>
      </c>
      <c r="C6858">
        <f>IF(B6858="","",INT(A6858))</f>
        <v/>
      </c>
      <c r="D6858">
        <f>IF(B6858="","",HOUR(A6858))</f>
        <v/>
      </c>
    </row>
    <row r="6859">
      <c r="A6859">
        <f>Input!A6859</f>
        <v/>
      </c>
      <c r="B6859">
        <f>IF(ISNUMBER(Input!B6859),IF(AND(Input!B6859&gt;=20,Input!B6859&lt;=700),Input!B6859,""),"")</f>
        <v/>
      </c>
      <c r="C6859">
        <f>IF(B6859="","",INT(A6859))</f>
        <v/>
      </c>
      <c r="D6859">
        <f>IF(B6859="","",HOUR(A6859))</f>
        <v/>
      </c>
    </row>
    <row r="6860">
      <c r="A6860">
        <f>Input!A6860</f>
        <v/>
      </c>
      <c r="B6860">
        <f>IF(ISNUMBER(Input!B6860),IF(AND(Input!B6860&gt;=20,Input!B6860&lt;=700),Input!B6860,""),"")</f>
        <v/>
      </c>
      <c r="C6860">
        <f>IF(B6860="","",INT(A6860))</f>
        <v/>
      </c>
      <c r="D6860">
        <f>IF(B6860="","",HOUR(A6860))</f>
        <v/>
      </c>
    </row>
    <row r="6861">
      <c r="A6861">
        <f>Input!A6861</f>
        <v/>
      </c>
      <c r="B6861">
        <f>IF(ISNUMBER(Input!B6861),IF(AND(Input!B6861&gt;=20,Input!B6861&lt;=700),Input!B6861,""),"")</f>
        <v/>
      </c>
      <c r="C6861">
        <f>IF(B6861="","",INT(A6861))</f>
        <v/>
      </c>
      <c r="D6861">
        <f>IF(B6861="","",HOUR(A6861))</f>
        <v/>
      </c>
    </row>
    <row r="6862">
      <c r="A6862">
        <f>Input!A6862</f>
        <v/>
      </c>
      <c r="B6862">
        <f>IF(ISNUMBER(Input!B6862),IF(AND(Input!B6862&gt;=20,Input!B6862&lt;=700),Input!B6862,""),"")</f>
        <v/>
      </c>
      <c r="C6862">
        <f>IF(B6862="","",INT(A6862))</f>
        <v/>
      </c>
      <c r="D6862">
        <f>IF(B6862="","",HOUR(A6862))</f>
        <v/>
      </c>
    </row>
    <row r="6863">
      <c r="A6863">
        <f>Input!A6863</f>
        <v/>
      </c>
      <c r="B6863">
        <f>IF(ISNUMBER(Input!B6863),IF(AND(Input!B6863&gt;=20,Input!B6863&lt;=700),Input!B6863,""),"")</f>
        <v/>
      </c>
      <c r="C6863">
        <f>IF(B6863="","",INT(A6863))</f>
        <v/>
      </c>
      <c r="D6863">
        <f>IF(B6863="","",HOUR(A6863))</f>
        <v/>
      </c>
    </row>
    <row r="6864">
      <c r="A6864">
        <f>Input!A6864</f>
        <v/>
      </c>
      <c r="B6864">
        <f>IF(ISNUMBER(Input!B6864),IF(AND(Input!B6864&gt;=20,Input!B6864&lt;=700),Input!B6864,""),"")</f>
        <v/>
      </c>
      <c r="C6864">
        <f>IF(B6864="","",INT(A6864))</f>
        <v/>
      </c>
      <c r="D6864">
        <f>IF(B6864="","",HOUR(A6864))</f>
        <v/>
      </c>
    </row>
    <row r="6865">
      <c r="A6865">
        <f>Input!A6865</f>
        <v/>
      </c>
      <c r="B6865">
        <f>IF(ISNUMBER(Input!B6865),IF(AND(Input!B6865&gt;=20,Input!B6865&lt;=700),Input!B6865,""),"")</f>
        <v/>
      </c>
      <c r="C6865">
        <f>IF(B6865="","",INT(A6865))</f>
        <v/>
      </c>
      <c r="D6865">
        <f>IF(B6865="","",HOUR(A6865))</f>
        <v/>
      </c>
    </row>
    <row r="6866">
      <c r="A6866">
        <f>Input!A6866</f>
        <v/>
      </c>
      <c r="B6866">
        <f>IF(ISNUMBER(Input!B6866),IF(AND(Input!B6866&gt;=20,Input!B6866&lt;=700),Input!B6866,""),"")</f>
        <v/>
      </c>
      <c r="C6866">
        <f>IF(B6866="","",INT(A6866))</f>
        <v/>
      </c>
      <c r="D6866">
        <f>IF(B6866="","",HOUR(A6866))</f>
        <v/>
      </c>
    </row>
    <row r="6867">
      <c r="A6867">
        <f>Input!A6867</f>
        <v/>
      </c>
      <c r="B6867">
        <f>IF(ISNUMBER(Input!B6867),IF(AND(Input!B6867&gt;=20,Input!B6867&lt;=700),Input!B6867,""),"")</f>
        <v/>
      </c>
      <c r="C6867">
        <f>IF(B6867="","",INT(A6867))</f>
        <v/>
      </c>
      <c r="D6867">
        <f>IF(B6867="","",HOUR(A6867))</f>
        <v/>
      </c>
    </row>
    <row r="6868">
      <c r="A6868">
        <f>Input!A6868</f>
        <v/>
      </c>
      <c r="B6868">
        <f>IF(ISNUMBER(Input!B6868),IF(AND(Input!B6868&gt;=20,Input!B6868&lt;=700),Input!B6868,""),"")</f>
        <v/>
      </c>
      <c r="C6868">
        <f>IF(B6868="","",INT(A6868))</f>
        <v/>
      </c>
      <c r="D6868">
        <f>IF(B6868="","",HOUR(A6868))</f>
        <v/>
      </c>
    </row>
    <row r="6869">
      <c r="A6869">
        <f>Input!A6869</f>
        <v/>
      </c>
      <c r="B6869">
        <f>IF(ISNUMBER(Input!B6869),IF(AND(Input!B6869&gt;=20,Input!B6869&lt;=700),Input!B6869,""),"")</f>
        <v/>
      </c>
      <c r="C6869">
        <f>IF(B6869="","",INT(A6869))</f>
        <v/>
      </c>
      <c r="D6869">
        <f>IF(B6869="","",HOUR(A6869))</f>
        <v/>
      </c>
    </row>
    <row r="6870">
      <c r="A6870">
        <f>Input!A6870</f>
        <v/>
      </c>
      <c r="B6870">
        <f>IF(ISNUMBER(Input!B6870),IF(AND(Input!B6870&gt;=20,Input!B6870&lt;=700),Input!B6870,""),"")</f>
        <v/>
      </c>
      <c r="C6870">
        <f>IF(B6870="","",INT(A6870))</f>
        <v/>
      </c>
      <c r="D6870">
        <f>IF(B6870="","",HOUR(A6870))</f>
        <v/>
      </c>
    </row>
    <row r="6871">
      <c r="A6871">
        <f>Input!A6871</f>
        <v/>
      </c>
      <c r="B6871">
        <f>IF(ISNUMBER(Input!B6871),IF(AND(Input!B6871&gt;=20,Input!B6871&lt;=700),Input!B6871,""),"")</f>
        <v/>
      </c>
      <c r="C6871">
        <f>IF(B6871="","",INT(A6871))</f>
        <v/>
      </c>
      <c r="D6871">
        <f>IF(B6871="","",HOUR(A6871))</f>
        <v/>
      </c>
    </row>
    <row r="6872">
      <c r="A6872">
        <f>Input!A6872</f>
        <v/>
      </c>
      <c r="B6872">
        <f>IF(ISNUMBER(Input!B6872),IF(AND(Input!B6872&gt;=20,Input!B6872&lt;=700),Input!B6872,""),"")</f>
        <v/>
      </c>
      <c r="C6872">
        <f>IF(B6872="","",INT(A6872))</f>
        <v/>
      </c>
      <c r="D6872">
        <f>IF(B6872="","",HOUR(A6872))</f>
        <v/>
      </c>
    </row>
    <row r="6873">
      <c r="A6873">
        <f>Input!A6873</f>
        <v/>
      </c>
      <c r="B6873">
        <f>IF(ISNUMBER(Input!B6873),IF(AND(Input!B6873&gt;=20,Input!B6873&lt;=700),Input!B6873,""),"")</f>
        <v/>
      </c>
      <c r="C6873">
        <f>IF(B6873="","",INT(A6873))</f>
        <v/>
      </c>
      <c r="D6873">
        <f>IF(B6873="","",HOUR(A6873))</f>
        <v/>
      </c>
    </row>
    <row r="6874">
      <c r="A6874">
        <f>Input!A6874</f>
        <v/>
      </c>
      <c r="B6874">
        <f>IF(ISNUMBER(Input!B6874),IF(AND(Input!B6874&gt;=20,Input!B6874&lt;=700),Input!B6874,""),"")</f>
        <v/>
      </c>
      <c r="C6874">
        <f>IF(B6874="","",INT(A6874))</f>
        <v/>
      </c>
      <c r="D6874">
        <f>IF(B6874="","",HOUR(A6874))</f>
        <v/>
      </c>
    </row>
    <row r="6875">
      <c r="A6875">
        <f>Input!A6875</f>
        <v/>
      </c>
      <c r="B6875">
        <f>IF(ISNUMBER(Input!B6875),IF(AND(Input!B6875&gt;=20,Input!B6875&lt;=700),Input!B6875,""),"")</f>
        <v/>
      </c>
      <c r="C6875">
        <f>IF(B6875="","",INT(A6875))</f>
        <v/>
      </c>
      <c r="D6875">
        <f>IF(B6875="","",HOUR(A6875))</f>
        <v/>
      </c>
    </row>
    <row r="6876">
      <c r="A6876">
        <f>Input!A6876</f>
        <v/>
      </c>
      <c r="B6876">
        <f>IF(ISNUMBER(Input!B6876),IF(AND(Input!B6876&gt;=20,Input!B6876&lt;=700),Input!B6876,""),"")</f>
        <v/>
      </c>
      <c r="C6876">
        <f>IF(B6876="","",INT(A6876))</f>
        <v/>
      </c>
      <c r="D6876">
        <f>IF(B6876="","",HOUR(A6876))</f>
        <v/>
      </c>
    </row>
    <row r="6877">
      <c r="A6877">
        <f>Input!A6877</f>
        <v/>
      </c>
      <c r="B6877">
        <f>IF(ISNUMBER(Input!B6877),IF(AND(Input!B6877&gt;=20,Input!B6877&lt;=700),Input!B6877,""),"")</f>
        <v/>
      </c>
      <c r="C6877">
        <f>IF(B6877="","",INT(A6877))</f>
        <v/>
      </c>
      <c r="D6877">
        <f>IF(B6877="","",HOUR(A6877))</f>
        <v/>
      </c>
    </row>
    <row r="6878">
      <c r="A6878">
        <f>Input!A6878</f>
        <v/>
      </c>
      <c r="B6878">
        <f>IF(ISNUMBER(Input!B6878),IF(AND(Input!B6878&gt;=20,Input!B6878&lt;=700),Input!B6878,""),"")</f>
        <v/>
      </c>
      <c r="C6878">
        <f>IF(B6878="","",INT(A6878))</f>
        <v/>
      </c>
      <c r="D6878">
        <f>IF(B6878="","",HOUR(A6878))</f>
        <v/>
      </c>
    </row>
    <row r="6879">
      <c r="A6879">
        <f>Input!A6879</f>
        <v/>
      </c>
      <c r="B6879">
        <f>IF(ISNUMBER(Input!B6879),IF(AND(Input!B6879&gt;=20,Input!B6879&lt;=700),Input!B6879,""),"")</f>
        <v/>
      </c>
      <c r="C6879">
        <f>IF(B6879="","",INT(A6879))</f>
        <v/>
      </c>
      <c r="D6879">
        <f>IF(B6879="","",HOUR(A6879))</f>
        <v/>
      </c>
    </row>
    <row r="6880">
      <c r="A6880">
        <f>Input!A6880</f>
        <v/>
      </c>
      <c r="B6880">
        <f>IF(ISNUMBER(Input!B6880),IF(AND(Input!B6880&gt;=20,Input!B6880&lt;=700),Input!B6880,""),"")</f>
        <v/>
      </c>
      <c r="C6880">
        <f>IF(B6880="","",INT(A6880))</f>
        <v/>
      </c>
      <c r="D6880">
        <f>IF(B6880="","",HOUR(A6880))</f>
        <v/>
      </c>
    </row>
    <row r="6881">
      <c r="A6881">
        <f>Input!A6881</f>
        <v/>
      </c>
      <c r="B6881">
        <f>IF(ISNUMBER(Input!B6881),IF(AND(Input!B6881&gt;=20,Input!B6881&lt;=700),Input!B6881,""),"")</f>
        <v/>
      </c>
      <c r="C6881">
        <f>IF(B6881="","",INT(A6881))</f>
        <v/>
      </c>
      <c r="D6881">
        <f>IF(B6881="","",HOUR(A6881))</f>
        <v/>
      </c>
    </row>
    <row r="6882">
      <c r="A6882">
        <f>Input!A6882</f>
        <v/>
      </c>
      <c r="B6882">
        <f>IF(ISNUMBER(Input!B6882),IF(AND(Input!B6882&gt;=20,Input!B6882&lt;=700),Input!B6882,""),"")</f>
        <v/>
      </c>
      <c r="C6882">
        <f>IF(B6882="","",INT(A6882))</f>
        <v/>
      </c>
      <c r="D6882">
        <f>IF(B6882="","",HOUR(A6882))</f>
        <v/>
      </c>
    </row>
    <row r="6883">
      <c r="A6883">
        <f>Input!A6883</f>
        <v/>
      </c>
      <c r="B6883">
        <f>IF(ISNUMBER(Input!B6883),IF(AND(Input!B6883&gt;=20,Input!B6883&lt;=700),Input!B6883,""),"")</f>
        <v/>
      </c>
      <c r="C6883">
        <f>IF(B6883="","",INT(A6883))</f>
        <v/>
      </c>
      <c r="D6883">
        <f>IF(B6883="","",HOUR(A6883))</f>
        <v/>
      </c>
    </row>
    <row r="6884">
      <c r="A6884">
        <f>Input!A6884</f>
        <v/>
      </c>
      <c r="B6884">
        <f>IF(ISNUMBER(Input!B6884),IF(AND(Input!B6884&gt;=20,Input!B6884&lt;=700),Input!B6884,""),"")</f>
        <v/>
      </c>
      <c r="C6884">
        <f>IF(B6884="","",INT(A6884))</f>
        <v/>
      </c>
      <c r="D6884">
        <f>IF(B6884="","",HOUR(A6884))</f>
        <v/>
      </c>
    </row>
    <row r="6885">
      <c r="A6885">
        <f>Input!A6885</f>
        <v/>
      </c>
      <c r="B6885">
        <f>IF(ISNUMBER(Input!B6885),IF(AND(Input!B6885&gt;=20,Input!B6885&lt;=700),Input!B6885,""),"")</f>
        <v/>
      </c>
      <c r="C6885">
        <f>IF(B6885="","",INT(A6885))</f>
        <v/>
      </c>
      <c r="D6885">
        <f>IF(B6885="","",HOUR(A6885))</f>
        <v/>
      </c>
    </row>
    <row r="6886">
      <c r="A6886">
        <f>Input!A6886</f>
        <v/>
      </c>
      <c r="B6886">
        <f>IF(ISNUMBER(Input!B6886),IF(AND(Input!B6886&gt;=20,Input!B6886&lt;=700),Input!B6886,""),"")</f>
        <v/>
      </c>
      <c r="C6886">
        <f>IF(B6886="","",INT(A6886))</f>
        <v/>
      </c>
      <c r="D6886">
        <f>IF(B6886="","",HOUR(A6886))</f>
        <v/>
      </c>
    </row>
    <row r="6887">
      <c r="A6887">
        <f>Input!A6887</f>
        <v/>
      </c>
      <c r="B6887">
        <f>IF(ISNUMBER(Input!B6887),IF(AND(Input!B6887&gt;=20,Input!B6887&lt;=700),Input!B6887,""),"")</f>
        <v/>
      </c>
      <c r="C6887">
        <f>IF(B6887="","",INT(A6887))</f>
        <v/>
      </c>
      <c r="D6887">
        <f>IF(B6887="","",HOUR(A6887))</f>
        <v/>
      </c>
    </row>
    <row r="6888">
      <c r="A6888">
        <f>Input!A6888</f>
        <v/>
      </c>
      <c r="B6888">
        <f>IF(ISNUMBER(Input!B6888),IF(AND(Input!B6888&gt;=20,Input!B6888&lt;=700),Input!B6888,""),"")</f>
        <v/>
      </c>
      <c r="C6888">
        <f>IF(B6888="","",INT(A6888))</f>
        <v/>
      </c>
      <c r="D6888">
        <f>IF(B6888="","",HOUR(A6888))</f>
        <v/>
      </c>
    </row>
    <row r="6889">
      <c r="A6889">
        <f>Input!A6889</f>
        <v/>
      </c>
      <c r="B6889">
        <f>IF(ISNUMBER(Input!B6889),IF(AND(Input!B6889&gt;=20,Input!B6889&lt;=700),Input!B6889,""),"")</f>
        <v/>
      </c>
      <c r="C6889">
        <f>IF(B6889="","",INT(A6889))</f>
        <v/>
      </c>
      <c r="D6889">
        <f>IF(B6889="","",HOUR(A6889))</f>
        <v/>
      </c>
    </row>
    <row r="6890">
      <c r="A6890">
        <f>Input!A6890</f>
        <v/>
      </c>
      <c r="B6890">
        <f>IF(ISNUMBER(Input!B6890),IF(AND(Input!B6890&gt;=20,Input!B6890&lt;=700),Input!B6890,""),"")</f>
        <v/>
      </c>
      <c r="C6890">
        <f>IF(B6890="","",INT(A6890))</f>
        <v/>
      </c>
      <c r="D6890">
        <f>IF(B6890="","",HOUR(A6890))</f>
        <v/>
      </c>
    </row>
    <row r="6891">
      <c r="A6891">
        <f>Input!A6891</f>
        <v/>
      </c>
      <c r="B6891">
        <f>IF(ISNUMBER(Input!B6891),IF(AND(Input!B6891&gt;=20,Input!B6891&lt;=700),Input!B6891,""),"")</f>
        <v/>
      </c>
      <c r="C6891">
        <f>IF(B6891="","",INT(A6891))</f>
        <v/>
      </c>
      <c r="D6891">
        <f>IF(B6891="","",HOUR(A6891))</f>
        <v/>
      </c>
    </row>
    <row r="6892">
      <c r="A6892">
        <f>Input!A6892</f>
        <v/>
      </c>
      <c r="B6892">
        <f>IF(ISNUMBER(Input!B6892),IF(AND(Input!B6892&gt;=20,Input!B6892&lt;=700),Input!B6892,""),"")</f>
        <v/>
      </c>
      <c r="C6892">
        <f>IF(B6892="","",INT(A6892))</f>
        <v/>
      </c>
      <c r="D6892">
        <f>IF(B6892="","",HOUR(A6892))</f>
        <v/>
      </c>
    </row>
    <row r="6893">
      <c r="A6893">
        <f>Input!A6893</f>
        <v/>
      </c>
      <c r="B6893">
        <f>IF(ISNUMBER(Input!B6893),IF(AND(Input!B6893&gt;=20,Input!B6893&lt;=700),Input!B6893,""),"")</f>
        <v/>
      </c>
      <c r="C6893">
        <f>IF(B6893="","",INT(A6893))</f>
        <v/>
      </c>
      <c r="D6893">
        <f>IF(B6893="","",HOUR(A6893))</f>
        <v/>
      </c>
    </row>
    <row r="6894">
      <c r="A6894">
        <f>Input!A6894</f>
        <v/>
      </c>
      <c r="B6894">
        <f>IF(ISNUMBER(Input!B6894),IF(AND(Input!B6894&gt;=20,Input!B6894&lt;=700),Input!B6894,""),"")</f>
        <v/>
      </c>
      <c r="C6894">
        <f>IF(B6894="","",INT(A6894))</f>
        <v/>
      </c>
      <c r="D6894">
        <f>IF(B6894="","",HOUR(A6894))</f>
        <v/>
      </c>
    </row>
    <row r="6895">
      <c r="A6895">
        <f>Input!A6895</f>
        <v/>
      </c>
      <c r="B6895">
        <f>IF(ISNUMBER(Input!B6895),IF(AND(Input!B6895&gt;=20,Input!B6895&lt;=700),Input!B6895,""),"")</f>
        <v/>
      </c>
      <c r="C6895">
        <f>IF(B6895="","",INT(A6895))</f>
        <v/>
      </c>
      <c r="D6895">
        <f>IF(B6895="","",HOUR(A6895))</f>
        <v/>
      </c>
    </row>
    <row r="6896">
      <c r="A6896">
        <f>Input!A6896</f>
        <v/>
      </c>
      <c r="B6896">
        <f>IF(ISNUMBER(Input!B6896),IF(AND(Input!B6896&gt;=20,Input!B6896&lt;=700),Input!B6896,""),"")</f>
        <v/>
      </c>
      <c r="C6896">
        <f>IF(B6896="","",INT(A6896))</f>
        <v/>
      </c>
      <c r="D6896">
        <f>IF(B6896="","",HOUR(A6896))</f>
        <v/>
      </c>
    </row>
    <row r="6897">
      <c r="A6897">
        <f>Input!A6897</f>
        <v/>
      </c>
      <c r="B6897">
        <f>IF(ISNUMBER(Input!B6897),IF(AND(Input!B6897&gt;=20,Input!B6897&lt;=700),Input!B6897,""),"")</f>
        <v/>
      </c>
      <c r="C6897">
        <f>IF(B6897="","",INT(A6897))</f>
        <v/>
      </c>
      <c r="D6897">
        <f>IF(B6897="","",HOUR(A6897))</f>
        <v/>
      </c>
    </row>
    <row r="6898">
      <c r="A6898">
        <f>Input!A6898</f>
        <v/>
      </c>
      <c r="B6898">
        <f>IF(ISNUMBER(Input!B6898),IF(AND(Input!B6898&gt;=20,Input!B6898&lt;=700),Input!B6898,""),"")</f>
        <v/>
      </c>
      <c r="C6898">
        <f>IF(B6898="","",INT(A6898))</f>
        <v/>
      </c>
      <c r="D6898">
        <f>IF(B6898="","",HOUR(A6898))</f>
        <v/>
      </c>
    </row>
    <row r="6899">
      <c r="A6899">
        <f>Input!A6899</f>
        <v/>
      </c>
      <c r="B6899">
        <f>IF(ISNUMBER(Input!B6899),IF(AND(Input!B6899&gt;=20,Input!B6899&lt;=700),Input!B6899,""),"")</f>
        <v/>
      </c>
      <c r="C6899">
        <f>IF(B6899="","",INT(A6899))</f>
        <v/>
      </c>
      <c r="D6899">
        <f>IF(B6899="","",HOUR(A6899))</f>
        <v/>
      </c>
    </row>
    <row r="6900">
      <c r="A6900">
        <f>Input!A6900</f>
        <v/>
      </c>
      <c r="B6900">
        <f>IF(ISNUMBER(Input!B6900),IF(AND(Input!B6900&gt;=20,Input!B6900&lt;=700),Input!B6900,""),"")</f>
        <v/>
      </c>
      <c r="C6900">
        <f>IF(B6900="","",INT(A6900))</f>
        <v/>
      </c>
      <c r="D6900">
        <f>IF(B6900="","",HOUR(A6900))</f>
        <v/>
      </c>
    </row>
    <row r="6901">
      <c r="A6901">
        <f>Input!A6901</f>
        <v/>
      </c>
      <c r="B6901">
        <f>IF(ISNUMBER(Input!B6901),IF(AND(Input!B6901&gt;=20,Input!B6901&lt;=700),Input!B6901,""),"")</f>
        <v/>
      </c>
      <c r="C6901">
        <f>IF(B6901="","",INT(A6901))</f>
        <v/>
      </c>
      <c r="D6901">
        <f>IF(B6901="","",HOUR(A6901))</f>
        <v/>
      </c>
    </row>
    <row r="6902">
      <c r="A6902">
        <f>Input!A6902</f>
        <v/>
      </c>
      <c r="B6902">
        <f>IF(ISNUMBER(Input!B6902),IF(AND(Input!B6902&gt;=20,Input!B6902&lt;=700),Input!B6902,""),"")</f>
        <v/>
      </c>
      <c r="C6902">
        <f>IF(B6902="","",INT(A6902))</f>
        <v/>
      </c>
      <c r="D6902">
        <f>IF(B6902="","",HOUR(A6902))</f>
        <v/>
      </c>
    </row>
    <row r="6903">
      <c r="A6903">
        <f>Input!A6903</f>
        <v/>
      </c>
      <c r="B6903">
        <f>IF(ISNUMBER(Input!B6903),IF(AND(Input!B6903&gt;=20,Input!B6903&lt;=700),Input!B6903,""),"")</f>
        <v/>
      </c>
      <c r="C6903">
        <f>IF(B6903="","",INT(A6903))</f>
        <v/>
      </c>
      <c r="D6903">
        <f>IF(B6903="","",HOUR(A6903))</f>
        <v/>
      </c>
    </row>
    <row r="6904">
      <c r="A6904">
        <f>Input!A6904</f>
        <v/>
      </c>
      <c r="B6904">
        <f>IF(ISNUMBER(Input!B6904),IF(AND(Input!B6904&gt;=20,Input!B6904&lt;=700),Input!B6904,""),"")</f>
        <v/>
      </c>
      <c r="C6904">
        <f>IF(B6904="","",INT(A6904))</f>
        <v/>
      </c>
      <c r="D6904">
        <f>IF(B6904="","",HOUR(A6904))</f>
        <v/>
      </c>
    </row>
    <row r="6905">
      <c r="A6905">
        <f>Input!A6905</f>
        <v/>
      </c>
      <c r="B6905">
        <f>IF(ISNUMBER(Input!B6905),IF(AND(Input!B6905&gt;=20,Input!B6905&lt;=700),Input!B6905,""),"")</f>
        <v/>
      </c>
      <c r="C6905">
        <f>IF(B6905="","",INT(A6905))</f>
        <v/>
      </c>
      <c r="D6905">
        <f>IF(B6905="","",HOUR(A6905))</f>
        <v/>
      </c>
    </row>
    <row r="6906">
      <c r="A6906">
        <f>Input!A6906</f>
        <v/>
      </c>
      <c r="B6906">
        <f>IF(ISNUMBER(Input!B6906),IF(AND(Input!B6906&gt;=20,Input!B6906&lt;=700),Input!B6906,""),"")</f>
        <v/>
      </c>
      <c r="C6906">
        <f>IF(B6906="","",INT(A6906))</f>
        <v/>
      </c>
      <c r="D6906">
        <f>IF(B6906="","",HOUR(A6906))</f>
        <v/>
      </c>
    </row>
    <row r="6907">
      <c r="A6907">
        <f>Input!A6907</f>
        <v/>
      </c>
      <c r="B6907">
        <f>IF(ISNUMBER(Input!B6907),IF(AND(Input!B6907&gt;=20,Input!B6907&lt;=700),Input!B6907,""),"")</f>
        <v/>
      </c>
      <c r="C6907">
        <f>IF(B6907="","",INT(A6907))</f>
        <v/>
      </c>
      <c r="D6907">
        <f>IF(B6907="","",HOUR(A6907))</f>
        <v/>
      </c>
    </row>
    <row r="6908">
      <c r="A6908">
        <f>Input!A6908</f>
        <v/>
      </c>
      <c r="B6908">
        <f>IF(ISNUMBER(Input!B6908),IF(AND(Input!B6908&gt;=20,Input!B6908&lt;=700),Input!B6908,""),"")</f>
        <v/>
      </c>
      <c r="C6908">
        <f>IF(B6908="","",INT(A6908))</f>
        <v/>
      </c>
      <c r="D6908">
        <f>IF(B6908="","",HOUR(A6908))</f>
        <v/>
      </c>
    </row>
    <row r="6909">
      <c r="A6909">
        <f>Input!A6909</f>
        <v/>
      </c>
      <c r="B6909">
        <f>IF(ISNUMBER(Input!B6909),IF(AND(Input!B6909&gt;=20,Input!B6909&lt;=700),Input!B6909,""),"")</f>
        <v/>
      </c>
      <c r="C6909">
        <f>IF(B6909="","",INT(A6909))</f>
        <v/>
      </c>
      <c r="D6909">
        <f>IF(B6909="","",HOUR(A6909))</f>
        <v/>
      </c>
    </row>
    <row r="6910">
      <c r="A6910">
        <f>Input!A6910</f>
        <v/>
      </c>
      <c r="B6910">
        <f>IF(ISNUMBER(Input!B6910),IF(AND(Input!B6910&gt;=20,Input!B6910&lt;=700),Input!B6910,""),"")</f>
        <v/>
      </c>
      <c r="C6910">
        <f>IF(B6910="","",INT(A6910))</f>
        <v/>
      </c>
      <c r="D6910">
        <f>IF(B6910="","",HOUR(A6910))</f>
        <v/>
      </c>
    </row>
    <row r="6911">
      <c r="A6911">
        <f>Input!A6911</f>
        <v/>
      </c>
      <c r="B6911">
        <f>IF(ISNUMBER(Input!B6911),IF(AND(Input!B6911&gt;=20,Input!B6911&lt;=700),Input!B6911,""),"")</f>
        <v/>
      </c>
      <c r="C6911">
        <f>IF(B6911="","",INT(A6911))</f>
        <v/>
      </c>
      <c r="D6911">
        <f>IF(B6911="","",HOUR(A6911))</f>
        <v/>
      </c>
    </row>
    <row r="6912">
      <c r="A6912">
        <f>Input!A6912</f>
        <v/>
      </c>
      <c r="B6912">
        <f>IF(ISNUMBER(Input!B6912),IF(AND(Input!B6912&gt;=20,Input!B6912&lt;=700),Input!B6912,""),"")</f>
        <v/>
      </c>
      <c r="C6912">
        <f>IF(B6912="","",INT(A6912))</f>
        <v/>
      </c>
      <c r="D6912">
        <f>IF(B6912="","",HOUR(A6912))</f>
        <v/>
      </c>
    </row>
    <row r="6913">
      <c r="A6913">
        <f>Input!A6913</f>
        <v/>
      </c>
      <c r="B6913">
        <f>IF(ISNUMBER(Input!B6913),IF(AND(Input!B6913&gt;=20,Input!B6913&lt;=700),Input!B6913,""),"")</f>
        <v/>
      </c>
      <c r="C6913">
        <f>IF(B6913="","",INT(A6913))</f>
        <v/>
      </c>
      <c r="D6913">
        <f>IF(B6913="","",HOUR(A6913))</f>
        <v/>
      </c>
    </row>
    <row r="6914">
      <c r="A6914">
        <f>Input!A6914</f>
        <v/>
      </c>
      <c r="B6914">
        <f>IF(ISNUMBER(Input!B6914),IF(AND(Input!B6914&gt;=20,Input!B6914&lt;=700),Input!B6914,""),"")</f>
        <v/>
      </c>
      <c r="C6914">
        <f>IF(B6914="","",INT(A6914))</f>
        <v/>
      </c>
      <c r="D6914">
        <f>IF(B6914="","",HOUR(A6914))</f>
        <v/>
      </c>
    </row>
    <row r="6915">
      <c r="A6915">
        <f>Input!A6915</f>
        <v/>
      </c>
      <c r="B6915">
        <f>IF(ISNUMBER(Input!B6915),IF(AND(Input!B6915&gt;=20,Input!B6915&lt;=700),Input!B6915,""),"")</f>
        <v/>
      </c>
      <c r="C6915">
        <f>IF(B6915="","",INT(A6915))</f>
        <v/>
      </c>
      <c r="D6915">
        <f>IF(B6915="","",HOUR(A6915))</f>
        <v/>
      </c>
    </row>
    <row r="6916">
      <c r="A6916">
        <f>Input!A6916</f>
        <v/>
      </c>
      <c r="B6916">
        <f>IF(ISNUMBER(Input!B6916),IF(AND(Input!B6916&gt;=20,Input!B6916&lt;=700),Input!B6916,""),"")</f>
        <v/>
      </c>
      <c r="C6916">
        <f>IF(B6916="","",INT(A6916))</f>
        <v/>
      </c>
      <c r="D6916">
        <f>IF(B6916="","",HOUR(A6916))</f>
        <v/>
      </c>
    </row>
    <row r="6917">
      <c r="A6917">
        <f>Input!A6917</f>
        <v/>
      </c>
      <c r="B6917">
        <f>IF(ISNUMBER(Input!B6917),IF(AND(Input!B6917&gt;=20,Input!B6917&lt;=700),Input!B6917,""),"")</f>
        <v/>
      </c>
      <c r="C6917">
        <f>IF(B6917="","",INT(A6917))</f>
        <v/>
      </c>
      <c r="D6917">
        <f>IF(B6917="","",HOUR(A6917))</f>
        <v/>
      </c>
    </row>
    <row r="6918">
      <c r="A6918">
        <f>Input!A6918</f>
        <v/>
      </c>
      <c r="B6918">
        <f>IF(ISNUMBER(Input!B6918),IF(AND(Input!B6918&gt;=20,Input!B6918&lt;=700),Input!B6918,""),"")</f>
        <v/>
      </c>
      <c r="C6918">
        <f>IF(B6918="","",INT(A6918))</f>
        <v/>
      </c>
      <c r="D6918">
        <f>IF(B6918="","",HOUR(A6918))</f>
        <v/>
      </c>
    </row>
    <row r="6919">
      <c r="A6919">
        <f>Input!A6919</f>
        <v/>
      </c>
      <c r="B6919">
        <f>IF(ISNUMBER(Input!B6919),IF(AND(Input!B6919&gt;=20,Input!B6919&lt;=700),Input!B6919,""),"")</f>
        <v/>
      </c>
      <c r="C6919">
        <f>IF(B6919="","",INT(A6919))</f>
        <v/>
      </c>
      <c r="D6919">
        <f>IF(B6919="","",HOUR(A6919))</f>
        <v/>
      </c>
    </row>
    <row r="6920">
      <c r="A6920">
        <f>Input!A6920</f>
        <v/>
      </c>
      <c r="B6920">
        <f>IF(ISNUMBER(Input!B6920),IF(AND(Input!B6920&gt;=20,Input!B6920&lt;=700),Input!B6920,""),"")</f>
        <v/>
      </c>
      <c r="C6920">
        <f>IF(B6920="","",INT(A6920))</f>
        <v/>
      </c>
      <c r="D6920">
        <f>IF(B6920="","",HOUR(A6920))</f>
        <v/>
      </c>
    </row>
    <row r="6921">
      <c r="A6921">
        <f>Input!A6921</f>
        <v/>
      </c>
      <c r="B6921">
        <f>IF(ISNUMBER(Input!B6921),IF(AND(Input!B6921&gt;=20,Input!B6921&lt;=700),Input!B6921,""),"")</f>
        <v/>
      </c>
      <c r="C6921">
        <f>IF(B6921="","",INT(A6921))</f>
        <v/>
      </c>
      <c r="D6921">
        <f>IF(B6921="","",HOUR(A6921))</f>
        <v/>
      </c>
    </row>
    <row r="6922">
      <c r="A6922">
        <f>Input!A6922</f>
        <v/>
      </c>
      <c r="B6922">
        <f>IF(ISNUMBER(Input!B6922),IF(AND(Input!B6922&gt;=20,Input!B6922&lt;=700),Input!B6922,""),"")</f>
        <v/>
      </c>
      <c r="C6922">
        <f>IF(B6922="","",INT(A6922))</f>
        <v/>
      </c>
      <c r="D6922">
        <f>IF(B6922="","",HOUR(A6922))</f>
        <v/>
      </c>
    </row>
    <row r="6923">
      <c r="A6923">
        <f>Input!A6923</f>
        <v/>
      </c>
      <c r="B6923">
        <f>IF(ISNUMBER(Input!B6923),IF(AND(Input!B6923&gt;=20,Input!B6923&lt;=700),Input!B6923,""),"")</f>
        <v/>
      </c>
      <c r="C6923">
        <f>IF(B6923="","",INT(A6923))</f>
        <v/>
      </c>
      <c r="D6923">
        <f>IF(B6923="","",HOUR(A6923))</f>
        <v/>
      </c>
    </row>
    <row r="6924">
      <c r="A6924">
        <f>Input!A6924</f>
        <v/>
      </c>
      <c r="B6924">
        <f>IF(ISNUMBER(Input!B6924),IF(AND(Input!B6924&gt;=20,Input!B6924&lt;=700),Input!B6924,""),"")</f>
        <v/>
      </c>
      <c r="C6924">
        <f>IF(B6924="","",INT(A6924))</f>
        <v/>
      </c>
      <c r="D6924">
        <f>IF(B6924="","",HOUR(A6924))</f>
        <v/>
      </c>
    </row>
    <row r="6925">
      <c r="A6925">
        <f>Input!A6925</f>
        <v/>
      </c>
      <c r="B6925">
        <f>IF(ISNUMBER(Input!B6925),IF(AND(Input!B6925&gt;=20,Input!B6925&lt;=700),Input!B6925,""),"")</f>
        <v/>
      </c>
      <c r="C6925">
        <f>IF(B6925="","",INT(A6925))</f>
        <v/>
      </c>
      <c r="D6925">
        <f>IF(B6925="","",HOUR(A6925))</f>
        <v/>
      </c>
    </row>
    <row r="6926">
      <c r="A6926">
        <f>Input!A6926</f>
        <v/>
      </c>
      <c r="B6926">
        <f>IF(ISNUMBER(Input!B6926),IF(AND(Input!B6926&gt;=20,Input!B6926&lt;=700),Input!B6926,""),"")</f>
        <v/>
      </c>
      <c r="C6926">
        <f>IF(B6926="","",INT(A6926))</f>
        <v/>
      </c>
      <c r="D6926">
        <f>IF(B6926="","",HOUR(A6926))</f>
        <v/>
      </c>
    </row>
    <row r="6927">
      <c r="A6927">
        <f>Input!A6927</f>
        <v/>
      </c>
      <c r="B6927">
        <f>IF(ISNUMBER(Input!B6927),IF(AND(Input!B6927&gt;=20,Input!B6927&lt;=700),Input!B6927,""),"")</f>
        <v/>
      </c>
      <c r="C6927">
        <f>IF(B6927="","",INT(A6927))</f>
        <v/>
      </c>
      <c r="D6927">
        <f>IF(B6927="","",HOUR(A6927))</f>
        <v/>
      </c>
    </row>
    <row r="6928">
      <c r="A6928">
        <f>Input!A6928</f>
        <v/>
      </c>
      <c r="B6928">
        <f>IF(ISNUMBER(Input!B6928),IF(AND(Input!B6928&gt;=20,Input!B6928&lt;=700),Input!B6928,""),"")</f>
        <v/>
      </c>
      <c r="C6928">
        <f>IF(B6928="","",INT(A6928))</f>
        <v/>
      </c>
      <c r="D6928">
        <f>IF(B6928="","",HOUR(A6928))</f>
        <v/>
      </c>
    </row>
    <row r="6929">
      <c r="A6929">
        <f>Input!A6929</f>
        <v/>
      </c>
      <c r="B6929">
        <f>IF(ISNUMBER(Input!B6929),IF(AND(Input!B6929&gt;=20,Input!B6929&lt;=700),Input!B6929,""),"")</f>
        <v/>
      </c>
      <c r="C6929">
        <f>IF(B6929="","",INT(A6929))</f>
        <v/>
      </c>
      <c r="D6929">
        <f>IF(B6929="","",HOUR(A6929))</f>
        <v/>
      </c>
    </row>
    <row r="6930">
      <c r="A6930">
        <f>Input!A6930</f>
        <v/>
      </c>
      <c r="B6930">
        <f>IF(ISNUMBER(Input!B6930),IF(AND(Input!B6930&gt;=20,Input!B6930&lt;=700),Input!B6930,""),"")</f>
        <v/>
      </c>
      <c r="C6930">
        <f>IF(B6930="","",INT(A6930))</f>
        <v/>
      </c>
      <c r="D6930">
        <f>IF(B6930="","",HOUR(A6930))</f>
        <v/>
      </c>
    </row>
    <row r="6931">
      <c r="A6931">
        <f>Input!A6931</f>
        <v/>
      </c>
      <c r="B6931">
        <f>IF(ISNUMBER(Input!B6931),IF(AND(Input!B6931&gt;=20,Input!B6931&lt;=700),Input!B6931,""),"")</f>
        <v/>
      </c>
      <c r="C6931">
        <f>IF(B6931="","",INT(A6931))</f>
        <v/>
      </c>
      <c r="D6931">
        <f>IF(B6931="","",HOUR(A6931))</f>
        <v/>
      </c>
    </row>
    <row r="6932">
      <c r="A6932">
        <f>Input!A6932</f>
        <v/>
      </c>
      <c r="B6932">
        <f>IF(ISNUMBER(Input!B6932),IF(AND(Input!B6932&gt;=20,Input!B6932&lt;=700),Input!B6932,""),"")</f>
        <v/>
      </c>
      <c r="C6932">
        <f>IF(B6932="","",INT(A6932))</f>
        <v/>
      </c>
      <c r="D6932">
        <f>IF(B6932="","",HOUR(A6932))</f>
        <v/>
      </c>
    </row>
    <row r="6933">
      <c r="A6933">
        <f>Input!A6933</f>
        <v/>
      </c>
      <c r="B6933">
        <f>IF(ISNUMBER(Input!B6933),IF(AND(Input!B6933&gt;=20,Input!B6933&lt;=700),Input!B6933,""),"")</f>
        <v/>
      </c>
      <c r="C6933">
        <f>IF(B6933="","",INT(A6933))</f>
        <v/>
      </c>
      <c r="D6933">
        <f>IF(B6933="","",HOUR(A6933))</f>
        <v/>
      </c>
    </row>
    <row r="6934">
      <c r="A6934">
        <f>Input!A6934</f>
        <v/>
      </c>
      <c r="B6934">
        <f>IF(ISNUMBER(Input!B6934),IF(AND(Input!B6934&gt;=20,Input!B6934&lt;=700),Input!B6934,""),"")</f>
        <v/>
      </c>
      <c r="C6934">
        <f>IF(B6934="","",INT(A6934))</f>
        <v/>
      </c>
      <c r="D6934">
        <f>IF(B6934="","",HOUR(A6934))</f>
        <v/>
      </c>
    </row>
    <row r="6935">
      <c r="A6935">
        <f>Input!A6935</f>
        <v/>
      </c>
      <c r="B6935">
        <f>IF(ISNUMBER(Input!B6935),IF(AND(Input!B6935&gt;=20,Input!B6935&lt;=700),Input!B6935,""),"")</f>
        <v/>
      </c>
      <c r="C6935">
        <f>IF(B6935="","",INT(A6935))</f>
        <v/>
      </c>
      <c r="D6935">
        <f>IF(B6935="","",HOUR(A6935))</f>
        <v/>
      </c>
    </row>
    <row r="6936">
      <c r="A6936">
        <f>Input!A6936</f>
        <v/>
      </c>
      <c r="B6936">
        <f>IF(ISNUMBER(Input!B6936),IF(AND(Input!B6936&gt;=20,Input!B6936&lt;=700),Input!B6936,""),"")</f>
        <v/>
      </c>
      <c r="C6936">
        <f>IF(B6936="","",INT(A6936))</f>
        <v/>
      </c>
      <c r="D6936">
        <f>IF(B6936="","",HOUR(A6936))</f>
        <v/>
      </c>
    </row>
    <row r="6937">
      <c r="A6937">
        <f>Input!A6937</f>
        <v/>
      </c>
      <c r="B6937">
        <f>IF(ISNUMBER(Input!B6937),IF(AND(Input!B6937&gt;=20,Input!B6937&lt;=700),Input!B6937,""),"")</f>
        <v/>
      </c>
      <c r="C6937">
        <f>IF(B6937="","",INT(A6937))</f>
        <v/>
      </c>
      <c r="D6937">
        <f>IF(B6937="","",HOUR(A6937))</f>
        <v/>
      </c>
    </row>
    <row r="6938">
      <c r="A6938">
        <f>Input!A6938</f>
        <v/>
      </c>
      <c r="B6938">
        <f>IF(ISNUMBER(Input!B6938),IF(AND(Input!B6938&gt;=20,Input!B6938&lt;=700),Input!B6938,""),"")</f>
        <v/>
      </c>
      <c r="C6938">
        <f>IF(B6938="","",INT(A6938))</f>
        <v/>
      </c>
      <c r="D6938">
        <f>IF(B6938="","",HOUR(A6938))</f>
        <v/>
      </c>
    </row>
    <row r="6939">
      <c r="A6939">
        <f>Input!A6939</f>
        <v/>
      </c>
      <c r="B6939">
        <f>IF(ISNUMBER(Input!B6939),IF(AND(Input!B6939&gt;=20,Input!B6939&lt;=700),Input!B6939,""),"")</f>
        <v/>
      </c>
      <c r="C6939">
        <f>IF(B6939="","",INT(A6939))</f>
        <v/>
      </c>
      <c r="D6939">
        <f>IF(B6939="","",HOUR(A6939))</f>
        <v/>
      </c>
    </row>
    <row r="6940">
      <c r="A6940">
        <f>Input!A6940</f>
        <v/>
      </c>
      <c r="B6940">
        <f>IF(ISNUMBER(Input!B6940),IF(AND(Input!B6940&gt;=20,Input!B6940&lt;=700),Input!B6940,""),"")</f>
        <v/>
      </c>
      <c r="C6940">
        <f>IF(B6940="","",INT(A6940))</f>
        <v/>
      </c>
      <c r="D6940">
        <f>IF(B6940="","",HOUR(A6940))</f>
        <v/>
      </c>
    </row>
    <row r="6941">
      <c r="A6941">
        <f>Input!A6941</f>
        <v/>
      </c>
      <c r="B6941">
        <f>IF(ISNUMBER(Input!B6941),IF(AND(Input!B6941&gt;=20,Input!B6941&lt;=700),Input!B6941,""),"")</f>
        <v/>
      </c>
      <c r="C6941">
        <f>IF(B6941="","",INT(A6941))</f>
        <v/>
      </c>
      <c r="D6941">
        <f>IF(B6941="","",HOUR(A6941))</f>
        <v/>
      </c>
    </row>
    <row r="6942">
      <c r="A6942">
        <f>Input!A6942</f>
        <v/>
      </c>
      <c r="B6942">
        <f>IF(ISNUMBER(Input!B6942),IF(AND(Input!B6942&gt;=20,Input!B6942&lt;=700),Input!B6942,""),"")</f>
        <v/>
      </c>
      <c r="C6942">
        <f>IF(B6942="","",INT(A6942))</f>
        <v/>
      </c>
      <c r="D6942">
        <f>IF(B6942="","",HOUR(A6942))</f>
        <v/>
      </c>
    </row>
    <row r="6943">
      <c r="A6943">
        <f>Input!A6943</f>
        <v/>
      </c>
      <c r="B6943">
        <f>IF(ISNUMBER(Input!B6943),IF(AND(Input!B6943&gt;=20,Input!B6943&lt;=700),Input!B6943,""),"")</f>
        <v/>
      </c>
      <c r="C6943">
        <f>IF(B6943="","",INT(A6943))</f>
        <v/>
      </c>
      <c r="D6943">
        <f>IF(B6943="","",HOUR(A6943))</f>
        <v/>
      </c>
    </row>
    <row r="6944">
      <c r="A6944">
        <f>Input!A6944</f>
        <v/>
      </c>
      <c r="B6944">
        <f>IF(ISNUMBER(Input!B6944),IF(AND(Input!B6944&gt;=20,Input!B6944&lt;=700),Input!B6944,""),"")</f>
        <v/>
      </c>
      <c r="C6944">
        <f>IF(B6944="","",INT(A6944))</f>
        <v/>
      </c>
      <c r="D6944">
        <f>IF(B6944="","",HOUR(A6944))</f>
        <v/>
      </c>
    </row>
    <row r="6945">
      <c r="A6945">
        <f>Input!A6945</f>
        <v/>
      </c>
      <c r="B6945">
        <f>IF(ISNUMBER(Input!B6945),IF(AND(Input!B6945&gt;=20,Input!B6945&lt;=700),Input!B6945,""),"")</f>
        <v/>
      </c>
      <c r="C6945">
        <f>IF(B6945="","",INT(A6945))</f>
        <v/>
      </c>
      <c r="D6945">
        <f>IF(B6945="","",HOUR(A6945))</f>
        <v/>
      </c>
    </row>
    <row r="6946">
      <c r="A6946">
        <f>Input!A6946</f>
        <v/>
      </c>
      <c r="B6946">
        <f>IF(ISNUMBER(Input!B6946),IF(AND(Input!B6946&gt;=20,Input!B6946&lt;=700),Input!B6946,""),"")</f>
        <v/>
      </c>
      <c r="C6946">
        <f>IF(B6946="","",INT(A6946))</f>
        <v/>
      </c>
      <c r="D6946">
        <f>IF(B6946="","",HOUR(A6946))</f>
        <v/>
      </c>
    </row>
    <row r="6947">
      <c r="A6947">
        <f>Input!A6947</f>
        <v/>
      </c>
      <c r="B6947">
        <f>IF(ISNUMBER(Input!B6947),IF(AND(Input!B6947&gt;=20,Input!B6947&lt;=700),Input!B6947,""),"")</f>
        <v/>
      </c>
      <c r="C6947">
        <f>IF(B6947="","",INT(A6947))</f>
        <v/>
      </c>
      <c r="D6947">
        <f>IF(B6947="","",HOUR(A6947))</f>
        <v/>
      </c>
    </row>
    <row r="6948">
      <c r="A6948">
        <f>Input!A6948</f>
        <v/>
      </c>
      <c r="B6948">
        <f>IF(ISNUMBER(Input!B6948),IF(AND(Input!B6948&gt;=20,Input!B6948&lt;=700),Input!B6948,""),"")</f>
        <v/>
      </c>
      <c r="C6948">
        <f>IF(B6948="","",INT(A6948))</f>
        <v/>
      </c>
      <c r="D6948">
        <f>IF(B6948="","",HOUR(A6948))</f>
        <v/>
      </c>
    </row>
    <row r="6949">
      <c r="A6949">
        <f>Input!A6949</f>
        <v/>
      </c>
      <c r="B6949">
        <f>IF(ISNUMBER(Input!B6949),IF(AND(Input!B6949&gt;=20,Input!B6949&lt;=700),Input!B6949,""),"")</f>
        <v/>
      </c>
      <c r="C6949">
        <f>IF(B6949="","",INT(A6949))</f>
        <v/>
      </c>
      <c r="D6949">
        <f>IF(B6949="","",HOUR(A6949))</f>
        <v/>
      </c>
    </row>
    <row r="6950">
      <c r="A6950">
        <f>Input!A6950</f>
        <v/>
      </c>
      <c r="B6950">
        <f>IF(ISNUMBER(Input!B6950),IF(AND(Input!B6950&gt;=20,Input!B6950&lt;=700),Input!B6950,""),"")</f>
        <v/>
      </c>
      <c r="C6950">
        <f>IF(B6950="","",INT(A6950))</f>
        <v/>
      </c>
      <c r="D6950">
        <f>IF(B6950="","",HOUR(A6950))</f>
        <v/>
      </c>
    </row>
    <row r="6951">
      <c r="A6951">
        <f>Input!A6951</f>
        <v/>
      </c>
      <c r="B6951">
        <f>IF(ISNUMBER(Input!B6951),IF(AND(Input!B6951&gt;=20,Input!B6951&lt;=700),Input!B6951,""),"")</f>
        <v/>
      </c>
      <c r="C6951">
        <f>IF(B6951="","",INT(A6951))</f>
        <v/>
      </c>
      <c r="D6951">
        <f>IF(B6951="","",HOUR(A6951))</f>
        <v/>
      </c>
    </row>
    <row r="6952">
      <c r="A6952">
        <f>Input!A6952</f>
        <v/>
      </c>
      <c r="B6952">
        <f>IF(ISNUMBER(Input!B6952),IF(AND(Input!B6952&gt;=20,Input!B6952&lt;=700),Input!B6952,""),"")</f>
        <v/>
      </c>
      <c r="C6952">
        <f>IF(B6952="","",INT(A6952))</f>
        <v/>
      </c>
      <c r="D6952">
        <f>IF(B6952="","",HOUR(A6952))</f>
        <v/>
      </c>
    </row>
    <row r="6953">
      <c r="A6953">
        <f>Input!A6953</f>
        <v/>
      </c>
      <c r="B6953">
        <f>IF(ISNUMBER(Input!B6953),IF(AND(Input!B6953&gt;=20,Input!B6953&lt;=700),Input!B6953,""),"")</f>
        <v/>
      </c>
      <c r="C6953">
        <f>IF(B6953="","",INT(A6953))</f>
        <v/>
      </c>
      <c r="D6953">
        <f>IF(B6953="","",HOUR(A6953))</f>
        <v/>
      </c>
    </row>
    <row r="6954">
      <c r="A6954">
        <f>Input!A6954</f>
        <v/>
      </c>
      <c r="B6954">
        <f>IF(ISNUMBER(Input!B6954),IF(AND(Input!B6954&gt;=20,Input!B6954&lt;=700),Input!B6954,""),"")</f>
        <v/>
      </c>
      <c r="C6954">
        <f>IF(B6954="","",INT(A6954))</f>
        <v/>
      </c>
      <c r="D6954">
        <f>IF(B6954="","",HOUR(A6954))</f>
        <v/>
      </c>
    </row>
    <row r="6955">
      <c r="A6955">
        <f>Input!A6955</f>
        <v/>
      </c>
      <c r="B6955">
        <f>IF(ISNUMBER(Input!B6955),IF(AND(Input!B6955&gt;=20,Input!B6955&lt;=700),Input!B6955,""),"")</f>
        <v/>
      </c>
      <c r="C6955">
        <f>IF(B6955="","",INT(A6955))</f>
        <v/>
      </c>
      <c r="D6955">
        <f>IF(B6955="","",HOUR(A6955))</f>
        <v/>
      </c>
    </row>
    <row r="6956">
      <c r="A6956">
        <f>Input!A6956</f>
        <v/>
      </c>
      <c r="B6956">
        <f>IF(ISNUMBER(Input!B6956),IF(AND(Input!B6956&gt;=20,Input!B6956&lt;=700),Input!B6956,""),"")</f>
        <v/>
      </c>
      <c r="C6956">
        <f>IF(B6956="","",INT(A6956))</f>
        <v/>
      </c>
      <c r="D6956">
        <f>IF(B6956="","",HOUR(A6956))</f>
        <v/>
      </c>
    </row>
    <row r="6957">
      <c r="A6957">
        <f>Input!A6957</f>
        <v/>
      </c>
      <c r="B6957">
        <f>IF(ISNUMBER(Input!B6957),IF(AND(Input!B6957&gt;=20,Input!B6957&lt;=700),Input!B6957,""),"")</f>
        <v/>
      </c>
      <c r="C6957">
        <f>IF(B6957="","",INT(A6957))</f>
        <v/>
      </c>
      <c r="D6957">
        <f>IF(B6957="","",HOUR(A6957))</f>
        <v/>
      </c>
    </row>
    <row r="6958">
      <c r="A6958">
        <f>Input!A6958</f>
        <v/>
      </c>
      <c r="B6958">
        <f>IF(ISNUMBER(Input!B6958),IF(AND(Input!B6958&gt;=20,Input!B6958&lt;=700),Input!B6958,""),"")</f>
        <v/>
      </c>
      <c r="C6958">
        <f>IF(B6958="","",INT(A6958))</f>
        <v/>
      </c>
      <c r="D6958">
        <f>IF(B6958="","",HOUR(A6958))</f>
        <v/>
      </c>
    </row>
    <row r="6959">
      <c r="A6959">
        <f>Input!A6959</f>
        <v/>
      </c>
      <c r="B6959">
        <f>IF(ISNUMBER(Input!B6959),IF(AND(Input!B6959&gt;=20,Input!B6959&lt;=700),Input!B6959,""),"")</f>
        <v/>
      </c>
      <c r="C6959">
        <f>IF(B6959="","",INT(A6959))</f>
        <v/>
      </c>
      <c r="D6959">
        <f>IF(B6959="","",HOUR(A6959))</f>
        <v/>
      </c>
    </row>
    <row r="6960">
      <c r="A6960">
        <f>Input!A6960</f>
        <v/>
      </c>
      <c r="B6960">
        <f>IF(ISNUMBER(Input!B6960),IF(AND(Input!B6960&gt;=20,Input!B6960&lt;=700),Input!B6960,""),"")</f>
        <v/>
      </c>
      <c r="C6960">
        <f>IF(B6960="","",INT(A6960))</f>
        <v/>
      </c>
      <c r="D6960">
        <f>IF(B6960="","",HOUR(A6960))</f>
        <v/>
      </c>
    </row>
    <row r="6961">
      <c r="A6961">
        <f>Input!A6961</f>
        <v/>
      </c>
      <c r="B6961">
        <f>IF(ISNUMBER(Input!B6961),IF(AND(Input!B6961&gt;=20,Input!B6961&lt;=700),Input!B6961,""),"")</f>
        <v/>
      </c>
      <c r="C6961">
        <f>IF(B6961="","",INT(A6961))</f>
        <v/>
      </c>
      <c r="D6961">
        <f>IF(B6961="","",HOUR(A6961))</f>
        <v/>
      </c>
    </row>
    <row r="6962">
      <c r="A6962">
        <f>Input!A6962</f>
        <v/>
      </c>
      <c r="B6962">
        <f>IF(ISNUMBER(Input!B6962),IF(AND(Input!B6962&gt;=20,Input!B6962&lt;=700),Input!B6962,""),"")</f>
        <v/>
      </c>
      <c r="C6962">
        <f>IF(B6962="","",INT(A6962))</f>
        <v/>
      </c>
      <c r="D6962">
        <f>IF(B6962="","",HOUR(A6962))</f>
        <v/>
      </c>
    </row>
    <row r="6963">
      <c r="A6963">
        <f>Input!A6963</f>
        <v/>
      </c>
      <c r="B6963">
        <f>IF(ISNUMBER(Input!B6963),IF(AND(Input!B6963&gt;=20,Input!B6963&lt;=700),Input!B6963,""),"")</f>
        <v/>
      </c>
      <c r="C6963">
        <f>IF(B6963="","",INT(A6963))</f>
        <v/>
      </c>
      <c r="D6963">
        <f>IF(B6963="","",HOUR(A6963))</f>
        <v/>
      </c>
    </row>
    <row r="6964">
      <c r="A6964">
        <f>Input!A6964</f>
        <v/>
      </c>
      <c r="B6964">
        <f>IF(ISNUMBER(Input!B6964),IF(AND(Input!B6964&gt;=20,Input!B6964&lt;=700),Input!B6964,""),"")</f>
        <v/>
      </c>
      <c r="C6964">
        <f>IF(B6964="","",INT(A6964))</f>
        <v/>
      </c>
      <c r="D6964">
        <f>IF(B6964="","",HOUR(A6964))</f>
        <v/>
      </c>
    </row>
    <row r="6965">
      <c r="A6965">
        <f>Input!A6965</f>
        <v/>
      </c>
      <c r="B6965">
        <f>IF(ISNUMBER(Input!B6965),IF(AND(Input!B6965&gt;=20,Input!B6965&lt;=700),Input!B6965,""),"")</f>
        <v/>
      </c>
      <c r="C6965">
        <f>IF(B6965="","",INT(A6965))</f>
        <v/>
      </c>
      <c r="D6965">
        <f>IF(B6965="","",HOUR(A6965))</f>
        <v/>
      </c>
    </row>
    <row r="6966">
      <c r="A6966">
        <f>Input!A6966</f>
        <v/>
      </c>
      <c r="B6966">
        <f>IF(ISNUMBER(Input!B6966),IF(AND(Input!B6966&gt;=20,Input!B6966&lt;=700),Input!B6966,""),"")</f>
        <v/>
      </c>
      <c r="C6966">
        <f>IF(B6966="","",INT(A6966))</f>
        <v/>
      </c>
      <c r="D6966">
        <f>IF(B6966="","",HOUR(A6966))</f>
        <v/>
      </c>
    </row>
    <row r="6967">
      <c r="A6967">
        <f>Input!A6967</f>
        <v/>
      </c>
      <c r="B6967">
        <f>IF(ISNUMBER(Input!B6967),IF(AND(Input!B6967&gt;=20,Input!B6967&lt;=700),Input!B6967,""),"")</f>
        <v/>
      </c>
      <c r="C6967">
        <f>IF(B6967="","",INT(A6967))</f>
        <v/>
      </c>
      <c r="D6967">
        <f>IF(B6967="","",HOUR(A6967))</f>
        <v/>
      </c>
    </row>
    <row r="6968">
      <c r="A6968">
        <f>Input!A6968</f>
        <v/>
      </c>
      <c r="B6968">
        <f>IF(ISNUMBER(Input!B6968),IF(AND(Input!B6968&gt;=20,Input!B6968&lt;=700),Input!B6968,""),"")</f>
        <v/>
      </c>
      <c r="C6968">
        <f>IF(B6968="","",INT(A6968))</f>
        <v/>
      </c>
      <c r="D6968">
        <f>IF(B6968="","",HOUR(A6968))</f>
        <v/>
      </c>
    </row>
    <row r="6969">
      <c r="A6969">
        <f>Input!A6969</f>
        <v/>
      </c>
      <c r="B6969">
        <f>IF(ISNUMBER(Input!B6969),IF(AND(Input!B6969&gt;=20,Input!B6969&lt;=700),Input!B6969,""),"")</f>
        <v/>
      </c>
      <c r="C6969">
        <f>IF(B6969="","",INT(A6969))</f>
        <v/>
      </c>
      <c r="D6969">
        <f>IF(B6969="","",HOUR(A6969))</f>
        <v/>
      </c>
    </row>
    <row r="6970">
      <c r="A6970">
        <f>Input!A6970</f>
        <v/>
      </c>
      <c r="B6970">
        <f>IF(ISNUMBER(Input!B6970),IF(AND(Input!B6970&gt;=20,Input!B6970&lt;=700),Input!B6970,""),"")</f>
        <v/>
      </c>
      <c r="C6970">
        <f>IF(B6970="","",INT(A6970))</f>
        <v/>
      </c>
      <c r="D6970">
        <f>IF(B6970="","",HOUR(A6970))</f>
        <v/>
      </c>
    </row>
    <row r="6971">
      <c r="A6971">
        <f>Input!A6971</f>
        <v/>
      </c>
      <c r="B6971">
        <f>IF(ISNUMBER(Input!B6971),IF(AND(Input!B6971&gt;=20,Input!B6971&lt;=700),Input!B6971,""),"")</f>
        <v/>
      </c>
      <c r="C6971">
        <f>IF(B6971="","",INT(A6971))</f>
        <v/>
      </c>
      <c r="D6971">
        <f>IF(B6971="","",HOUR(A6971))</f>
        <v/>
      </c>
    </row>
    <row r="6972">
      <c r="A6972">
        <f>Input!A6972</f>
        <v/>
      </c>
      <c r="B6972">
        <f>IF(ISNUMBER(Input!B6972),IF(AND(Input!B6972&gt;=20,Input!B6972&lt;=700),Input!B6972,""),"")</f>
        <v/>
      </c>
      <c r="C6972">
        <f>IF(B6972="","",INT(A6972))</f>
        <v/>
      </c>
      <c r="D6972">
        <f>IF(B6972="","",HOUR(A6972))</f>
        <v/>
      </c>
    </row>
    <row r="6973">
      <c r="A6973">
        <f>Input!A6973</f>
        <v/>
      </c>
      <c r="B6973">
        <f>IF(ISNUMBER(Input!B6973),IF(AND(Input!B6973&gt;=20,Input!B6973&lt;=700),Input!B6973,""),"")</f>
        <v/>
      </c>
      <c r="C6973">
        <f>IF(B6973="","",INT(A6973))</f>
        <v/>
      </c>
      <c r="D6973">
        <f>IF(B6973="","",HOUR(A6973))</f>
        <v/>
      </c>
    </row>
    <row r="6974">
      <c r="A6974">
        <f>Input!A6974</f>
        <v/>
      </c>
      <c r="B6974">
        <f>IF(ISNUMBER(Input!B6974),IF(AND(Input!B6974&gt;=20,Input!B6974&lt;=700),Input!B6974,""),"")</f>
        <v/>
      </c>
      <c r="C6974">
        <f>IF(B6974="","",INT(A6974))</f>
        <v/>
      </c>
      <c r="D6974">
        <f>IF(B6974="","",HOUR(A6974))</f>
        <v/>
      </c>
    </row>
    <row r="6975">
      <c r="A6975">
        <f>Input!A6975</f>
        <v/>
      </c>
      <c r="B6975">
        <f>IF(ISNUMBER(Input!B6975),IF(AND(Input!B6975&gt;=20,Input!B6975&lt;=700),Input!B6975,""),"")</f>
        <v/>
      </c>
      <c r="C6975">
        <f>IF(B6975="","",INT(A6975))</f>
        <v/>
      </c>
      <c r="D6975">
        <f>IF(B6975="","",HOUR(A6975))</f>
        <v/>
      </c>
    </row>
    <row r="6976">
      <c r="A6976">
        <f>Input!A6976</f>
        <v/>
      </c>
      <c r="B6976">
        <f>IF(ISNUMBER(Input!B6976),IF(AND(Input!B6976&gt;=20,Input!B6976&lt;=700),Input!B6976,""),"")</f>
        <v/>
      </c>
      <c r="C6976">
        <f>IF(B6976="","",INT(A6976))</f>
        <v/>
      </c>
      <c r="D6976">
        <f>IF(B6976="","",HOUR(A6976))</f>
        <v/>
      </c>
    </row>
    <row r="6977">
      <c r="A6977">
        <f>Input!A6977</f>
        <v/>
      </c>
      <c r="B6977">
        <f>IF(ISNUMBER(Input!B6977),IF(AND(Input!B6977&gt;=20,Input!B6977&lt;=700),Input!B6977,""),"")</f>
        <v/>
      </c>
      <c r="C6977">
        <f>IF(B6977="","",INT(A6977))</f>
        <v/>
      </c>
      <c r="D6977">
        <f>IF(B6977="","",HOUR(A6977))</f>
        <v/>
      </c>
    </row>
    <row r="6978">
      <c r="A6978">
        <f>Input!A6978</f>
        <v/>
      </c>
      <c r="B6978">
        <f>IF(ISNUMBER(Input!B6978),IF(AND(Input!B6978&gt;=20,Input!B6978&lt;=700),Input!B6978,""),"")</f>
        <v/>
      </c>
      <c r="C6978">
        <f>IF(B6978="","",INT(A6978))</f>
        <v/>
      </c>
      <c r="D6978">
        <f>IF(B6978="","",HOUR(A6978))</f>
        <v/>
      </c>
    </row>
    <row r="6979">
      <c r="A6979">
        <f>Input!A6979</f>
        <v/>
      </c>
      <c r="B6979">
        <f>IF(ISNUMBER(Input!B6979),IF(AND(Input!B6979&gt;=20,Input!B6979&lt;=700),Input!B6979,""),"")</f>
        <v/>
      </c>
      <c r="C6979">
        <f>IF(B6979="","",INT(A6979))</f>
        <v/>
      </c>
      <c r="D6979">
        <f>IF(B6979="","",HOUR(A6979))</f>
        <v/>
      </c>
    </row>
    <row r="6980">
      <c r="A6980">
        <f>Input!A6980</f>
        <v/>
      </c>
      <c r="B6980">
        <f>IF(ISNUMBER(Input!B6980),IF(AND(Input!B6980&gt;=20,Input!B6980&lt;=700),Input!B6980,""),"")</f>
        <v/>
      </c>
      <c r="C6980">
        <f>IF(B6980="","",INT(A6980))</f>
        <v/>
      </c>
      <c r="D6980">
        <f>IF(B6980="","",HOUR(A6980))</f>
        <v/>
      </c>
    </row>
    <row r="6981">
      <c r="A6981">
        <f>Input!A6981</f>
        <v/>
      </c>
      <c r="B6981">
        <f>IF(ISNUMBER(Input!B6981),IF(AND(Input!B6981&gt;=20,Input!B6981&lt;=700),Input!B6981,""),"")</f>
        <v/>
      </c>
      <c r="C6981">
        <f>IF(B6981="","",INT(A6981))</f>
        <v/>
      </c>
      <c r="D6981">
        <f>IF(B6981="","",HOUR(A6981))</f>
        <v/>
      </c>
    </row>
    <row r="6982">
      <c r="A6982">
        <f>Input!A6982</f>
        <v/>
      </c>
      <c r="B6982">
        <f>IF(ISNUMBER(Input!B6982),IF(AND(Input!B6982&gt;=20,Input!B6982&lt;=700),Input!B6982,""),"")</f>
        <v/>
      </c>
      <c r="C6982">
        <f>IF(B6982="","",INT(A6982))</f>
        <v/>
      </c>
      <c r="D6982">
        <f>IF(B6982="","",HOUR(A6982))</f>
        <v/>
      </c>
    </row>
    <row r="6983">
      <c r="A6983">
        <f>Input!A6983</f>
        <v/>
      </c>
      <c r="B6983">
        <f>IF(ISNUMBER(Input!B6983),IF(AND(Input!B6983&gt;=20,Input!B6983&lt;=700),Input!B6983,""),"")</f>
        <v/>
      </c>
      <c r="C6983">
        <f>IF(B6983="","",INT(A6983))</f>
        <v/>
      </c>
      <c r="D6983">
        <f>IF(B6983="","",HOUR(A6983))</f>
        <v/>
      </c>
    </row>
    <row r="6984">
      <c r="A6984">
        <f>Input!A6984</f>
        <v/>
      </c>
      <c r="B6984">
        <f>IF(ISNUMBER(Input!B6984),IF(AND(Input!B6984&gt;=20,Input!B6984&lt;=700),Input!B6984,""),"")</f>
        <v/>
      </c>
      <c r="C6984">
        <f>IF(B6984="","",INT(A6984))</f>
        <v/>
      </c>
      <c r="D6984">
        <f>IF(B6984="","",HOUR(A6984))</f>
        <v/>
      </c>
    </row>
    <row r="6985">
      <c r="A6985">
        <f>Input!A6985</f>
        <v/>
      </c>
      <c r="B6985">
        <f>IF(ISNUMBER(Input!B6985),IF(AND(Input!B6985&gt;=20,Input!B6985&lt;=700),Input!B6985,""),"")</f>
        <v/>
      </c>
      <c r="C6985">
        <f>IF(B6985="","",INT(A6985))</f>
        <v/>
      </c>
      <c r="D6985">
        <f>IF(B6985="","",HOUR(A6985))</f>
        <v/>
      </c>
    </row>
    <row r="6986">
      <c r="A6986">
        <f>Input!A6986</f>
        <v/>
      </c>
      <c r="B6986">
        <f>IF(ISNUMBER(Input!B6986),IF(AND(Input!B6986&gt;=20,Input!B6986&lt;=700),Input!B6986,""),"")</f>
        <v/>
      </c>
      <c r="C6986">
        <f>IF(B6986="","",INT(A6986))</f>
        <v/>
      </c>
      <c r="D6986">
        <f>IF(B6986="","",HOUR(A6986))</f>
        <v/>
      </c>
    </row>
    <row r="6987">
      <c r="A6987">
        <f>Input!A6987</f>
        <v/>
      </c>
      <c r="B6987">
        <f>IF(ISNUMBER(Input!B6987),IF(AND(Input!B6987&gt;=20,Input!B6987&lt;=700),Input!B6987,""),"")</f>
        <v/>
      </c>
      <c r="C6987">
        <f>IF(B6987="","",INT(A6987))</f>
        <v/>
      </c>
      <c r="D6987">
        <f>IF(B6987="","",HOUR(A6987))</f>
        <v/>
      </c>
    </row>
    <row r="6988">
      <c r="A6988">
        <f>Input!A6988</f>
        <v/>
      </c>
      <c r="B6988">
        <f>IF(ISNUMBER(Input!B6988),IF(AND(Input!B6988&gt;=20,Input!B6988&lt;=700),Input!B6988,""),"")</f>
        <v/>
      </c>
      <c r="C6988">
        <f>IF(B6988="","",INT(A6988))</f>
        <v/>
      </c>
      <c r="D6988">
        <f>IF(B6988="","",HOUR(A6988))</f>
        <v/>
      </c>
    </row>
    <row r="6989">
      <c r="A6989">
        <f>Input!A6989</f>
        <v/>
      </c>
      <c r="B6989">
        <f>IF(ISNUMBER(Input!B6989),IF(AND(Input!B6989&gt;=20,Input!B6989&lt;=700),Input!B6989,""),"")</f>
        <v/>
      </c>
      <c r="C6989">
        <f>IF(B6989="","",INT(A6989))</f>
        <v/>
      </c>
      <c r="D6989">
        <f>IF(B6989="","",HOUR(A6989))</f>
        <v/>
      </c>
    </row>
    <row r="6990">
      <c r="A6990">
        <f>Input!A6990</f>
        <v/>
      </c>
      <c r="B6990">
        <f>IF(ISNUMBER(Input!B6990),IF(AND(Input!B6990&gt;=20,Input!B6990&lt;=700),Input!B6990,""),"")</f>
        <v/>
      </c>
      <c r="C6990">
        <f>IF(B6990="","",INT(A6990))</f>
        <v/>
      </c>
      <c r="D6990">
        <f>IF(B6990="","",HOUR(A6990))</f>
        <v/>
      </c>
    </row>
    <row r="6991">
      <c r="A6991">
        <f>Input!A6991</f>
        <v/>
      </c>
      <c r="B6991">
        <f>IF(ISNUMBER(Input!B6991),IF(AND(Input!B6991&gt;=20,Input!B6991&lt;=700),Input!B6991,""),"")</f>
        <v/>
      </c>
      <c r="C6991">
        <f>IF(B6991="","",INT(A6991))</f>
        <v/>
      </c>
      <c r="D6991">
        <f>IF(B6991="","",HOUR(A6991))</f>
        <v/>
      </c>
    </row>
    <row r="6992">
      <c r="A6992">
        <f>Input!A6992</f>
        <v/>
      </c>
      <c r="B6992">
        <f>IF(ISNUMBER(Input!B6992),IF(AND(Input!B6992&gt;=20,Input!B6992&lt;=700),Input!B6992,""),"")</f>
        <v/>
      </c>
      <c r="C6992">
        <f>IF(B6992="","",INT(A6992))</f>
        <v/>
      </c>
      <c r="D6992">
        <f>IF(B6992="","",HOUR(A6992))</f>
        <v/>
      </c>
    </row>
    <row r="6993">
      <c r="A6993">
        <f>Input!A6993</f>
        <v/>
      </c>
      <c r="B6993">
        <f>IF(ISNUMBER(Input!B6993),IF(AND(Input!B6993&gt;=20,Input!B6993&lt;=700),Input!B6993,""),"")</f>
        <v/>
      </c>
      <c r="C6993">
        <f>IF(B6993="","",INT(A6993))</f>
        <v/>
      </c>
      <c r="D6993">
        <f>IF(B6993="","",HOUR(A6993))</f>
        <v/>
      </c>
    </row>
    <row r="6994">
      <c r="A6994">
        <f>Input!A6994</f>
        <v/>
      </c>
      <c r="B6994">
        <f>IF(ISNUMBER(Input!B6994),IF(AND(Input!B6994&gt;=20,Input!B6994&lt;=700),Input!B6994,""),"")</f>
        <v/>
      </c>
      <c r="C6994">
        <f>IF(B6994="","",INT(A6994))</f>
        <v/>
      </c>
      <c r="D6994">
        <f>IF(B6994="","",HOUR(A6994))</f>
        <v/>
      </c>
    </row>
    <row r="6995">
      <c r="A6995">
        <f>Input!A6995</f>
        <v/>
      </c>
      <c r="B6995">
        <f>IF(ISNUMBER(Input!B6995),IF(AND(Input!B6995&gt;=20,Input!B6995&lt;=700),Input!B6995,""),"")</f>
        <v/>
      </c>
      <c r="C6995">
        <f>IF(B6995="","",INT(A6995))</f>
        <v/>
      </c>
      <c r="D6995">
        <f>IF(B6995="","",HOUR(A6995))</f>
        <v/>
      </c>
    </row>
    <row r="6996">
      <c r="A6996">
        <f>Input!A6996</f>
        <v/>
      </c>
      <c r="B6996">
        <f>IF(ISNUMBER(Input!B6996),IF(AND(Input!B6996&gt;=20,Input!B6996&lt;=700),Input!B6996,""),"")</f>
        <v/>
      </c>
      <c r="C6996">
        <f>IF(B6996="","",INT(A6996))</f>
        <v/>
      </c>
      <c r="D6996">
        <f>IF(B6996="","",HOUR(A6996))</f>
        <v/>
      </c>
    </row>
    <row r="6997">
      <c r="A6997">
        <f>Input!A6997</f>
        <v/>
      </c>
      <c r="B6997">
        <f>IF(ISNUMBER(Input!B6997),IF(AND(Input!B6997&gt;=20,Input!B6997&lt;=700),Input!B6997,""),"")</f>
        <v/>
      </c>
      <c r="C6997">
        <f>IF(B6997="","",INT(A6997))</f>
        <v/>
      </c>
      <c r="D6997">
        <f>IF(B6997="","",HOUR(A6997))</f>
        <v/>
      </c>
    </row>
    <row r="6998">
      <c r="A6998">
        <f>Input!A6998</f>
        <v/>
      </c>
      <c r="B6998">
        <f>IF(ISNUMBER(Input!B6998),IF(AND(Input!B6998&gt;=20,Input!B6998&lt;=700),Input!B6998,""),"")</f>
        <v/>
      </c>
      <c r="C6998">
        <f>IF(B6998="","",INT(A6998))</f>
        <v/>
      </c>
      <c r="D6998">
        <f>IF(B6998="","",HOUR(A6998))</f>
        <v/>
      </c>
    </row>
    <row r="6999">
      <c r="A6999">
        <f>Input!A6999</f>
        <v/>
      </c>
      <c r="B6999">
        <f>IF(ISNUMBER(Input!B6999),IF(AND(Input!B6999&gt;=20,Input!B6999&lt;=700),Input!B6999,""),"")</f>
        <v/>
      </c>
      <c r="C6999">
        <f>IF(B6999="","",INT(A6999))</f>
        <v/>
      </c>
      <c r="D6999">
        <f>IF(B6999="","",HOUR(A6999))</f>
        <v/>
      </c>
    </row>
    <row r="7000">
      <c r="A7000">
        <f>Input!A7000</f>
        <v/>
      </c>
      <c r="B7000">
        <f>IF(ISNUMBER(Input!B7000),IF(AND(Input!B7000&gt;=20,Input!B7000&lt;=700),Input!B7000,""),"")</f>
        <v/>
      </c>
      <c r="C7000">
        <f>IF(B7000="","",INT(A7000))</f>
        <v/>
      </c>
      <c r="D7000">
        <f>IF(B7000="","",HOUR(A7000))</f>
        <v/>
      </c>
    </row>
    <row r="7001">
      <c r="A7001">
        <f>Input!A7001</f>
        <v/>
      </c>
      <c r="B7001">
        <f>IF(ISNUMBER(Input!B7001),IF(AND(Input!B7001&gt;=20,Input!B7001&lt;=700),Input!B7001,""),"")</f>
        <v/>
      </c>
      <c r="C7001">
        <f>IF(B7001="","",INT(A7001))</f>
        <v/>
      </c>
      <c r="D7001">
        <f>IF(B7001="","",HOUR(A7001))</f>
        <v/>
      </c>
    </row>
    <row r="7002">
      <c r="A7002">
        <f>Input!A7002</f>
        <v/>
      </c>
      <c r="B7002">
        <f>IF(ISNUMBER(Input!B7002),IF(AND(Input!B7002&gt;=20,Input!B7002&lt;=700),Input!B7002,""),"")</f>
        <v/>
      </c>
      <c r="C7002">
        <f>IF(B7002="","",INT(A7002))</f>
        <v/>
      </c>
      <c r="D7002">
        <f>IF(B7002="","",HOUR(A7002))</f>
        <v/>
      </c>
    </row>
    <row r="7003">
      <c r="A7003">
        <f>Input!A7003</f>
        <v/>
      </c>
      <c r="B7003">
        <f>IF(ISNUMBER(Input!B7003),IF(AND(Input!B7003&gt;=20,Input!B7003&lt;=700),Input!B7003,""),"")</f>
        <v/>
      </c>
      <c r="C7003">
        <f>IF(B7003="","",INT(A7003))</f>
        <v/>
      </c>
      <c r="D7003">
        <f>IF(B7003="","",HOUR(A7003))</f>
        <v/>
      </c>
    </row>
    <row r="7004">
      <c r="A7004">
        <f>Input!A7004</f>
        <v/>
      </c>
      <c r="B7004">
        <f>IF(ISNUMBER(Input!B7004),IF(AND(Input!B7004&gt;=20,Input!B7004&lt;=700),Input!B7004,""),"")</f>
        <v/>
      </c>
      <c r="C7004">
        <f>IF(B7004="","",INT(A7004))</f>
        <v/>
      </c>
      <c r="D7004">
        <f>IF(B7004="","",HOUR(A7004))</f>
        <v/>
      </c>
    </row>
    <row r="7005">
      <c r="A7005">
        <f>Input!A7005</f>
        <v/>
      </c>
      <c r="B7005">
        <f>IF(ISNUMBER(Input!B7005),IF(AND(Input!B7005&gt;=20,Input!B7005&lt;=700),Input!B7005,""),"")</f>
        <v/>
      </c>
      <c r="C7005">
        <f>IF(B7005="","",INT(A7005))</f>
        <v/>
      </c>
      <c r="D7005">
        <f>IF(B7005="","",HOUR(A7005))</f>
        <v/>
      </c>
    </row>
    <row r="7006">
      <c r="A7006">
        <f>Input!A7006</f>
        <v/>
      </c>
      <c r="B7006">
        <f>IF(ISNUMBER(Input!B7006),IF(AND(Input!B7006&gt;=20,Input!B7006&lt;=700),Input!B7006,""),"")</f>
        <v/>
      </c>
      <c r="C7006">
        <f>IF(B7006="","",INT(A7006))</f>
        <v/>
      </c>
      <c r="D7006">
        <f>IF(B7006="","",HOUR(A7006))</f>
        <v/>
      </c>
    </row>
    <row r="7007">
      <c r="A7007">
        <f>Input!A7007</f>
        <v/>
      </c>
      <c r="B7007">
        <f>IF(ISNUMBER(Input!B7007),IF(AND(Input!B7007&gt;=20,Input!B7007&lt;=700),Input!B7007,""),"")</f>
        <v/>
      </c>
      <c r="C7007">
        <f>IF(B7007="","",INT(A7007))</f>
        <v/>
      </c>
      <c r="D7007">
        <f>IF(B7007="","",HOUR(A7007))</f>
        <v/>
      </c>
    </row>
    <row r="7008">
      <c r="A7008">
        <f>Input!A7008</f>
        <v/>
      </c>
      <c r="B7008">
        <f>IF(ISNUMBER(Input!B7008),IF(AND(Input!B7008&gt;=20,Input!B7008&lt;=700),Input!B7008,""),"")</f>
        <v/>
      </c>
      <c r="C7008">
        <f>IF(B7008="","",INT(A7008))</f>
        <v/>
      </c>
      <c r="D7008">
        <f>IF(B7008="","",HOUR(A7008))</f>
        <v/>
      </c>
    </row>
    <row r="7009">
      <c r="A7009">
        <f>Input!A7009</f>
        <v/>
      </c>
      <c r="B7009">
        <f>IF(ISNUMBER(Input!B7009),IF(AND(Input!B7009&gt;=20,Input!B7009&lt;=700),Input!B7009,""),"")</f>
        <v/>
      </c>
      <c r="C7009">
        <f>IF(B7009="","",INT(A7009))</f>
        <v/>
      </c>
      <c r="D7009">
        <f>IF(B7009="","",HOUR(A7009))</f>
        <v/>
      </c>
    </row>
    <row r="7010">
      <c r="A7010">
        <f>Input!A7010</f>
        <v/>
      </c>
      <c r="B7010">
        <f>IF(ISNUMBER(Input!B7010),IF(AND(Input!B7010&gt;=20,Input!B7010&lt;=700),Input!B7010,""),"")</f>
        <v/>
      </c>
      <c r="C7010">
        <f>IF(B7010="","",INT(A7010))</f>
        <v/>
      </c>
      <c r="D7010">
        <f>IF(B7010="","",HOUR(A7010))</f>
        <v/>
      </c>
    </row>
    <row r="7011">
      <c r="A7011">
        <f>Input!A7011</f>
        <v/>
      </c>
      <c r="B7011">
        <f>IF(ISNUMBER(Input!B7011),IF(AND(Input!B7011&gt;=20,Input!B7011&lt;=700),Input!B7011,""),"")</f>
        <v/>
      </c>
      <c r="C7011">
        <f>IF(B7011="","",INT(A7011))</f>
        <v/>
      </c>
      <c r="D7011">
        <f>IF(B7011="","",HOUR(A7011))</f>
        <v/>
      </c>
    </row>
    <row r="7012">
      <c r="A7012">
        <f>Input!A7012</f>
        <v/>
      </c>
      <c r="B7012">
        <f>IF(ISNUMBER(Input!B7012),IF(AND(Input!B7012&gt;=20,Input!B7012&lt;=700),Input!B7012,""),"")</f>
        <v/>
      </c>
      <c r="C7012">
        <f>IF(B7012="","",INT(A7012))</f>
        <v/>
      </c>
      <c r="D7012">
        <f>IF(B7012="","",HOUR(A7012))</f>
        <v/>
      </c>
    </row>
    <row r="7013">
      <c r="A7013">
        <f>Input!A7013</f>
        <v/>
      </c>
      <c r="B7013">
        <f>IF(ISNUMBER(Input!B7013),IF(AND(Input!B7013&gt;=20,Input!B7013&lt;=700),Input!B7013,""),"")</f>
        <v/>
      </c>
      <c r="C7013">
        <f>IF(B7013="","",INT(A7013))</f>
        <v/>
      </c>
      <c r="D7013">
        <f>IF(B7013="","",HOUR(A7013))</f>
        <v/>
      </c>
    </row>
    <row r="7014">
      <c r="A7014">
        <f>Input!A7014</f>
        <v/>
      </c>
      <c r="B7014">
        <f>IF(ISNUMBER(Input!B7014),IF(AND(Input!B7014&gt;=20,Input!B7014&lt;=700),Input!B7014,""),"")</f>
        <v/>
      </c>
      <c r="C7014">
        <f>IF(B7014="","",INT(A7014))</f>
        <v/>
      </c>
      <c r="D7014">
        <f>IF(B7014="","",HOUR(A7014))</f>
        <v/>
      </c>
    </row>
    <row r="7015">
      <c r="A7015">
        <f>Input!A7015</f>
        <v/>
      </c>
      <c r="B7015">
        <f>IF(ISNUMBER(Input!B7015),IF(AND(Input!B7015&gt;=20,Input!B7015&lt;=700),Input!B7015,""),"")</f>
        <v/>
      </c>
      <c r="C7015">
        <f>IF(B7015="","",INT(A7015))</f>
        <v/>
      </c>
      <c r="D7015">
        <f>IF(B7015="","",HOUR(A7015))</f>
        <v/>
      </c>
    </row>
    <row r="7016">
      <c r="A7016">
        <f>Input!A7016</f>
        <v/>
      </c>
      <c r="B7016">
        <f>IF(ISNUMBER(Input!B7016),IF(AND(Input!B7016&gt;=20,Input!B7016&lt;=700),Input!B7016,""),"")</f>
        <v/>
      </c>
      <c r="C7016">
        <f>IF(B7016="","",INT(A7016))</f>
        <v/>
      </c>
      <c r="D7016">
        <f>IF(B7016="","",HOUR(A7016))</f>
        <v/>
      </c>
    </row>
    <row r="7017">
      <c r="A7017">
        <f>Input!A7017</f>
        <v/>
      </c>
      <c r="B7017">
        <f>IF(ISNUMBER(Input!B7017),IF(AND(Input!B7017&gt;=20,Input!B7017&lt;=700),Input!B7017,""),"")</f>
        <v/>
      </c>
      <c r="C7017">
        <f>IF(B7017="","",INT(A7017))</f>
        <v/>
      </c>
      <c r="D7017">
        <f>IF(B7017="","",HOUR(A7017))</f>
        <v/>
      </c>
    </row>
    <row r="7018">
      <c r="A7018">
        <f>Input!A7018</f>
        <v/>
      </c>
      <c r="B7018">
        <f>IF(ISNUMBER(Input!B7018),IF(AND(Input!B7018&gt;=20,Input!B7018&lt;=700),Input!B7018,""),"")</f>
        <v/>
      </c>
      <c r="C7018">
        <f>IF(B7018="","",INT(A7018))</f>
        <v/>
      </c>
      <c r="D7018">
        <f>IF(B7018="","",HOUR(A7018))</f>
        <v/>
      </c>
    </row>
    <row r="7019">
      <c r="A7019">
        <f>Input!A7019</f>
        <v/>
      </c>
      <c r="B7019">
        <f>IF(ISNUMBER(Input!B7019),IF(AND(Input!B7019&gt;=20,Input!B7019&lt;=700),Input!B7019,""),"")</f>
        <v/>
      </c>
      <c r="C7019">
        <f>IF(B7019="","",INT(A7019))</f>
        <v/>
      </c>
      <c r="D7019">
        <f>IF(B7019="","",HOUR(A7019))</f>
        <v/>
      </c>
    </row>
    <row r="7020">
      <c r="A7020">
        <f>Input!A7020</f>
        <v/>
      </c>
      <c r="B7020">
        <f>IF(ISNUMBER(Input!B7020),IF(AND(Input!B7020&gt;=20,Input!B7020&lt;=700),Input!B7020,""),"")</f>
        <v/>
      </c>
      <c r="C7020">
        <f>IF(B7020="","",INT(A7020))</f>
        <v/>
      </c>
      <c r="D7020">
        <f>IF(B7020="","",HOUR(A7020))</f>
        <v/>
      </c>
    </row>
    <row r="7021">
      <c r="A7021">
        <f>Input!A7021</f>
        <v/>
      </c>
      <c r="B7021">
        <f>IF(ISNUMBER(Input!B7021),IF(AND(Input!B7021&gt;=20,Input!B7021&lt;=700),Input!B7021,""),"")</f>
        <v/>
      </c>
      <c r="C7021">
        <f>IF(B7021="","",INT(A7021))</f>
        <v/>
      </c>
      <c r="D7021">
        <f>IF(B7021="","",HOUR(A7021))</f>
        <v/>
      </c>
    </row>
    <row r="7022">
      <c r="A7022">
        <f>Input!A7022</f>
        <v/>
      </c>
      <c r="B7022">
        <f>IF(ISNUMBER(Input!B7022),IF(AND(Input!B7022&gt;=20,Input!B7022&lt;=700),Input!B7022,""),"")</f>
        <v/>
      </c>
      <c r="C7022">
        <f>IF(B7022="","",INT(A7022))</f>
        <v/>
      </c>
      <c r="D7022">
        <f>IF(B7022="","",HOUR(A7022))</f>
        <v/>
      </c>
    </row>
    <row r="7023">
      <c r="A7023">
        <f>Input!A7023</f>
        <v/>
      </c>
      <c r="B7023">
        <f>IF(ISNUMBER(Input!B7023),IF(AND(Input!B7023&gt;=20,Input!B7023&lt;=700),Input!B7023,""),"")</f>
        <v/>
      </c>
      <c r="C7023">
        <f>IF(B7023="","",INT(A7023))</f>
        <v/>
      </c>
      <c r="D7023">
        <f>IF(B7023="","",HOUR(A7023))</f>
        <v/>
      </c>
    </row>
    <row r="7024">
      <c r="A7024">
        <f>Input!A7024</f>
        <v/>
      </c>
      <c r="B7024">
        <f>IF(ISNUMBER(Input!B7024),IF(AND(Input!B7024&gt;=20,Input!B7024&lt;=700),Input!B7024,""),"")</f>
        <v/>
      </c>
      <c r="C7024">
        <f>IF(B7024="","",INT(A7024))</f>
        <v/>
      </c>
      <c r="D7024">
        <f>IF(B7024="","",HOUR(A7024))</f>
        <v/>
      </c>
    </row>
    <row r="7025">
      <c r="A7025">
        <f>Input!A7025</f>
        <v/>
      </c>
      <c r="B7025">
        <f>IF(ISNUMBER(Input!B7025),IF(AND(Input!B7025&gt;=20,Input!B7025&lt;=700),Input!B7025,""),"")</f>
        <v/>
      </c>
      <c r="C7025">
        <f>IF(B7025="","",INT(A7025))</f>
        <v/>
      </c>
      <c r="D7025">
        <f>IF(B7025="","",HOUR(A7025))</f>
        <v/>
      </c>
    </row>
    <row r="7026">
      <c r="A7026">
        <f>Input!A7026</f>
        <v/>
      </c>
      <c r="B7026">
        <f>IF(ISNUMBER(Input!B7026),IF(AND(Input!B7026&gt;=20,Input!B7026&lt;=700),Input!B7026,""),"")</f>
        <v/>
      </c>
      <c r="C7026">
        <f>IF(B7026="","",INT(A7026))</f>
        <v/>
      </c>
      <c r="D7026">
        <f>IF(B7026="","",HOUR(A7026))</f>
        <v/>
      </c>
    </row>
    <row r="7027">
      <c r="A7027">
        <f>Input!A7027</f>
        <v/>
      </c>
      <c r="B7027">
        <f>IF(ISNUMBER(Input!B7027),IF(AND(Input!B7027&gt;=20,Input!B7027&lt;=700),Input!B7027,""),"")</f>
        <v/>
      </c>
      <c r="C7027">
        <f>IF(B7027="","",INT(A7027))</f>
        <v/>
      </c>
      <c r="D7027">
        <f>IF(B7027="","",HOUR(A7027))</f>
        <v/>
      </c>
    </row>
    <row r="7028">
      <c r="A7028">
        <f>Input!A7028</f>
        <v/>
      </c>
      <c r="B7028">
        <f>IF(ISNUMBER(Input!B7028),IF(AND(Input!B7028&gt;=20,Input!B7028&lt;=700),Input!B7028,""),"")</f>
        <v/>
      </c>
      <c r="C7028">
        <f>IF(B7028="","",INT(A7028))</f>
        <v/>
      </c>
      <c r="D7028">
        <f>IF(B7028="","",HOUR(A7028))</f>
        <v/>
      </c>
    </row>
    <row r="7029">
      <c r="A7029">
        <f>Input!A7029</f>
        <v/>
      </c>
      <c r="B7029">
        <f>IF(ISNUMBER(Input!B7029),IF(AND(Input!B7029&gt;=20,Input!B7029&lt;=700),Input!B7029,""),"")</f>
        <v/>
      </c>
      <c r="C7029">
        <f>IF(B7029="","",INT(A7029))</f>
        <v/>
      </c>
      <c r="D7029">
        <f>IF(B7029="","",HOUR(A7029))</f>
        <v/>
      </c>
    </row>
    <row r="7030">
      <c r="A7030">
        <f>Input!A7030</f>
        <v/>
      </c>
      <c r="B7030">
        <f>IF(ISNUMBER(Input!B7030),IF(AND(Input!B7030&gt;=20,Input!B7030&lt;=700),Input!B7030,""),"")</f>
        <v/>
      </c>
      <c r="C7030">
        <f>IF(B7030="","",INT(A7030))</f>
        <v/>
      </c>
      <c r="D7030">
        <f>IF(B7030="","",HOUR(A7030))</f>
        <v/>
      </c>
    </row>
    <row r="7031">
      <c r="A7031">
        <f>Input!A7031</f>
        <v/>
      </c>
      <c r="B7031">
        <f>IF(ISNUMBER(Input!B7031),IF(AND(Input!B7031&gt;=20,Input!B7031&lt;=700),Input!B7031,""),"")</f>
        <v/>
      </c>
      <c r="C7031">
        <f>IF(B7031="","",INT(A7031))</f>
        <v/>
      </c>
      <c r="D7031">
        <f>IF(B7031="","",HOUR(A7031))</f>
        <v/>
      </c>
    </row>
    <row r="7032">
      <c r="A7032">
        <f>Input!A7032</f>
        <v/>
      </c>
      <c r="B7032">
        <f>IF(ISNUMBER(Input!B7032),IF(AND(Input!B7032&gt;=20,Input!B7032&lt;=700),Input!B7032,""),"")</f>
        <v/>
      </c>
      <c r="C7032">
        <f>IF(B7032="","",INT(A7032))</f>
        <v/>
      </c>
      <c r="D7032">
        <f>IF(B7032="","",HOUR(A7032))</f>
        <v/>
      </c>
    </row>
    <row r="7033">
      <c r="A7033">
        <f>Input!A7033</f>
        <v/>
      </c>
      <c r="B7033">
        <f>IF(ISNUMBER(Input!B7033),IF(AND(Input!B7033&gt;=20,Input!B7033&lt;=700),Input!B7033,""),"")</f>
        <v/>
      </c>
      <c r="C7033">
        <f>IF(B7033="","",INT(A7033))</f>
        <v/>
      </c>
      <c r="D7033">
        <f>IF(B7033="","",HOUR(A7033))</f>
        <v/>
      </c>
    </row>
    <row r="7034">
      <c r="A7034">
        <f>Input!A7034</f>
        <v/>
      </c>
      <c r="B7034">
        <f>IF(ISNUMBER(Input!B7034),IF(AND(Input!B7034&gt;=20,Input!B7034&lt;=700),Input!B7034,""),"")</f>
        <v/>
      </c>
      <c r="C7034">
        <f>IF(B7034="","",INT(A7034))</f>
        <v/>
      </c>
      <c r="D7034">
        <f>IF(B7034="","",HOUR(A7034))</f>
        <v/>
      </c>
    </row>
    <row r="7035">
      <c r="A7035">
        <f>Input!A7035</f>
        <v/>
      </c>
      <c r="B7035">
        <f>IF(ISNUMBER(Input!B7035),IF(AND(Input!B7035&gt;=20,Input!B7035&lt;=700),Input!B7035,""),"")</f>
        <v/>
      </c>
      <c r="C7035">
        <f>IF(B7035="","",INT(A7035))</f>
        <v/>
      </c>
      <c r="D7035">
        <f>IF(B7035="","",HOUR(A7035))</f>
        <v/>
      </c>
    </row>
    <row r="7036">
      <c r="A7036">
        <f>Input!A7036</f>
        <v/>
      </c>
      <c r="B7036">
        <f>IF(ISNUMBER(Input!B7036),IF(AND(Input!B7036&gt;=20,Input!B7036&lt;=700),Input!B7036,""),"")</f>
        <v/>
      </c>
      <c r="C7036">
        <f>IF(B7036="","",INT(A7036))</f>
        <v/>
      </c>
      <c r="D7036">
        <f>IF(B7036="","",HOUR(A7036))</f>
        <v/>
      </c>
    </row>
    <row r="7037">
      <c r="A7037">
        <f>Input!A7037</f>
        <v/>
      </c>
      <c r="B7037">
        <f>IF(ISNUMBER(Input!B7037),IF(AND(Input!B7037&gt;=20,Input!B7037&lt;=700),Input!B7037,""),"")</f>
        <v/>
      </c>
      <c r="C7037">
        <f>IF(B7037="","",INT(A7037))</f>
        <v/>
      </c>
      <c r="D7037">
        <f>IF(B7037="","",HOUR(A7037))</f>
        <v/>
      </c>
    </row>
    <row r="7038">
      <c r="A7038">
        <f>Input!A7038</f>
        <v/>
      </c>
      <c r="B7038">
        <f>IF(ISNUMBER(Input!B7038),IF(AND(Input!B7038&gt;=20,Input!B7038&lt;=700),Input!B7038,""),"")</f>
        <v/>
      </c>
      <c r="C7038">
        <f>IF(B7038="","",INT(A7038))</f>
        <v/>
      </c>
      <c r="D7038">
        <f>IF(B7038="","",HOUR(A7038))</f>
        <v/>
      </c>
    </row>
    <row r="7039">
      <c r="A7039">
        <f>Input!A7039</f>
        <v/>
      </c>
      <c r="B7039">
        <f>IF(ISNUMBER(Input!B7039),IF(AND(Input!B7039&gt;=20,Input!B7039&lt;=700),Input!B7039,""),"")</f>
        <v/>
      </c>
      <c r="C7039">
        <f>IF(B7039="","",INT(A7039))</f>
        <v/>
      </c>
      <c r="D7039">
        <f>IF(B7039="","",HOUR(A7039))</f>
        <v/>
      </c>
    </row>
    <row r="7040">
      <c r="A7040">
        <f>Input!A7040</f>
        <v/>
      </c>
      <c r="B7040">
        <f>IF(ISNUMBER(Input!B7040),IF(AND(Input!B7040&gt;=20,Input!B7040&lt;=700),Input!B7040,""),"")</f>
        <v/>
      </c>
      <c r="C7040">
        <f>IF(B7040="","",INT(A7040))</f>
        <v/>
      </c>
      <c r="D7040">
        <f>IF(B7040="","",HOUR(A7040))</f>
        <v/>
      </c>
    </row>
    <row r="7041">
      <c r="A7041">
        <f>Input!A7041</f>
        <v/>
      </c>
      <c r="B7041">
        <f>IF(ISNUMBER(Input!B7041),IF(AND(Input!B7041&gt;=20,Input!B7041&lt;=700),Input!B7041,""),"")</f>
        <v/>
      </c>
      <c r="C7041">
        <f>IF(B7041="","",INT(A7041))</f>
        <v/>
      </c>
      <c r="D7041">
        <f>IF(B7041="","",HOUR(A7041))</f>
        <v/>
      </c>
    </row>
    <row r="7042">
      <c r="A7042">
        <f>Input!A7042</f>
        <v/>
      </c>
      <c r="B7042">
        <f>IF(ISNUMBER(Input!B7042),IF(AND(Input!B7042&gt;=20,Input!B7042&lt;=700),Input!B7042,""),"")</f>
        <v/>
      </c>
      <c r="C7042">
        <f>IF(B7042="","",INT(A7042))</f>
        <v/>
      </c>
      <c r="D7042">
        <f>IF(B7042="","",HOUR(A7042))</f>
        <v/>
      </c>
    </row>
    <row r="7043">
      <c r="A7043">
        <f>Input!A7043</f>
        <v/>
      </c>
      <c r="B7043">
        <f>IF(ISNUMBER(Input!B7043),IF(AND(Input!B7043&gt;=20,Input!B7043&lt;=700),Input!B7043,""),"")</f>
        <v/>
      </c>
      <c r="C7043">
        <f>IF(B7043="","",INT(A7043))</f>
        <v/>
      </c>
      <c r="D7043">
        <f>IF(B7043="","",HOUR(A7043))</f>
        <v/>
      </c>
    </row>
    <row r="7044">
      <c r="A7044">
        <f>Input!A7044</f>
        <v/>
      </c>
      <c r="B7044">
        <f>IF(ISNUMBER(Input!B7044),IF(AND(Input!B7044&gt;=20,Input!B7044&lt;=700),Input!B7044,""),"")</f>
        <v/>
      </c>
      <c r="C7044">
        <f>IF(B7044="","",INT(A7044))</f>
        <v/>
      </c>
      <c r="D7044">
        <f>IF(B7044="","",HOUR(A7044))</f>
        <v/>
      </c>
    </row>
    <row r="7045">
      <c r="A7045">
        <f>Input!A7045</f>
        <v/>
      </c>
      <c r="B7045">
        <f>IF(ISNUMBER(Input!B7045),IF(AND(Input!B7045&gt;=20,Input!B7045&lt;=700),Input!B7045,""),"")</f>
        <v/>
      </c>
      <c r="C7045">
        <f>IF(B7045="","",INT(A7045))</f>
        <v/>
      </c>
      <c r="D7045">
        <f>IF(B7045="","",HOUR(A7045))</f>
        <v/>
      </c>
    </row>
    <row r="7046">
      <c r="A7046">
        <f>Input!A7046</f>
        <v/>
      </c>
      <c r="B7046">
        <f>IF(ISNUMBER(Input!B7046),IF(AND(Input!B7046&gt;=20,Input!B7046&lt;=700),Input!B7046,""),"")</f>
        <v/>
      </c>
      <c r="C7046">
        <f>IF(B7046="","",INT(A7046))</f>
        <v/>
      </c>
      <c r="D7046">
        <f>IF(B7046="","",HOUR(A7046))</f>
        <v/>
      </c>
    </row>
    <row r="7047">
      <c r="A7047">
        <f>Input!A7047</f>
        <v/>
      </c>
      <c r="B7047">
        <f>IF(ISNUMBER(Input!B7047),IF(AND(Input!B7047&gt;=20,Input!B7047&lt;=700),Input!B7047,""),"")</f>
        <v/>
      </c>
      <c r="C7047">
        <f>IF(B7047="","",INT(A7047))</f>
        <v/>
      </c>
      <c r="D7047">
        <f>IF(B7047="","",HOUR(A7047))</f>
        <v/>
      </c>
    </row>
    <row r="7048">
      <c r="A7048">
        <f>Input!A7048</f>
        <v/>
      </c>
      <c r="B7048">
        <f>IF(ISNUMBER(Input!B7048),IF(AND(Input!B7048&gt;=20,Input!B7048&lt;=700),Input!B7048,""),"")</f>
        <v/>
      </c>
      <c r="C7048">
        <f>IF(B7048="","",INT(A7048))</f>
        <v/>
      </c>
      <c r="D7048">
        <f>IF(B7048="","",HOUR(A7048))</f>
        <v/>
      </c>
    </row>
    <row r="7049">
      <c r="A7049">
        <f>Input!A7049</f>
        <v/>
      </c>
      <c r="B7049">
        <f>IF(ISNUMBER(Input!B7049),IF(AND(Input!B7049&gt;=20,Input!B7049&lt;=700),Input!B7049,""),"")</f>
        <v/>
      </c>
      <c r="C7049">
        <f>IF(B7049="","",INT(A7049))</f>
        <v/>
      </c>
      <c r="D7049">
        <f>IF(B7049="","",HOUR(A7049))</f>
        <v/>
      </c>
    </row>
    <row r="7050">
      <c r="A7050">
        <f>Input!A7050</f>
        <v/>
      </c>
      <c r="B7050">
        <f>IF(ISNUMBER(Input!B7050),IF(AND(Input!B7050&gt;=20,Input!B7050&lt;=700),Input!B7050,""),"")</f>
        <v/>
      </c>
      <c r="C7050">
        <f>IF(B7050="","",INT(A7050))</f>
        <v/>
      </c>
      <c r="D7050">
        <f>IF(B7050="","",HOUR(A7050))</f>
        <v/>
      </c>
    </row>
    <row r="7051">
      <c r="A7051">
        <f>Input!A7051</f>
        <v/>
      </c>
      <c r="B7051">
        <f>IF(ISNUMBER(Input!B7051),IF(AND(Input!B7051&gt;=20,Input!B7051&lt;=700),Input!B7051,""),"")</f>
        <v/>
      </c>
      <c r="C7051">
        <f>IF(B7051="","",INT(A7051))</f>
        <v/>
      </c>
      <c r="D7051">
        <f>IF(B7051="","",HOUR(A7051))</f>
        <v/>
      </c>
    </row>
    <row r="7052">
      <c r="A7052">
        <f>Input!A7052</f>
        <v/>
      </c>
      <c r="B7052">
        <f>IF(ISNUMBER(Input!B7052),IF(AND(Input!B7052&gt;=20,Input!B7052&lt;=700),Input!B7052,""),"")</f>
        <v/>
      </c>
      <c r="C7052">
        <f>IF(B7052="","",INT(A7052))</f>
        <v/>
      </c>
      <c r="D7052">
        <f>IF(B7052="","",HOUR(A7052))</f>
        <v/>
      </c>
    </row>
    <row r="7053">
      <c r="A7053">
        <f>Input!A7053</f>
        <v/>
      </c>
      <c r="B7053">
        <f>IF(ISNUMBER(Input!B7053),IF(AND(Input!B7053&gt;=20,Input!B7053&lt;=700),Input!B7053,""),"")</f>
        <v/>
      </c>
      <c r="C7053">
        <f>IF(B7053="","",INT(A7053))</f>
        <v/>
      </c>
      <c r="D7053">
        <f>IF(B7053="","",HOUR(A7053))</f>
        <v/>
      </c>
    </row>
    <row r="7054">
      <c r="A7054">
        <f>Input!A7054</f>
        <v/>
      </c>
      <c r="B7054">
        <f>IF(ISNUMBER(Input!B7054),IF(AND(Input!B7054&gt;=20,Input!B7054&lt;=700),Input!B7054,""),"")</f>
        <v/>
      </c>
      <c r="C7054">
        <f>IF(B7054="","",INT(A7054))</f>
        <v/>
      </c>
      <c r="D7054">
        <f>IF(B7054="","",HOUR(A7054))</f>
        <v/>
      </c>
    </row>
    <row r="7055">
      <c r="A7055">
        <f>Input!A7055</f>
        <v/>
      </c>
      <c r="B7055">
        <f>IF(ISNUMBER(Input!B7055),IF(AND(Input!B7055&gt;=20,Input!B7055&lt;=700),Input!B7055,""),"")</f>
        <v/>
      </c>
      <c r="C7055">
        <f>IF(B7055="","",INT(A7055))</f>
        <v/>
      </c>
      <c r="D7055">
        <f>IF(B7055="","",HOUR(A7055))</f>
        <v/>
      </c>
    </row>
    <row r="7056">
      <c r="A7056">
        <f>Input!A7056</f>
        <v/>
      </c>
      <c r="B7056">
        <f>IF(ISNUMBER(Input!B7056),IF(AND(Input!B7056&gt;=20,Input!B7056&lt;=700),Input!B7056,""),"")</f>
        <v/>
      </c>
      <c r="C7056">
        <f>IF(B7056="","",INT(A7056))</f>
        <v/>
      </c>
      <c r="D7056">
        <f>IF(B7056="","",HOUR(A7056))</f>
        <v/>
      </c>
    </row>
    <row r="7057">
      <c r="A7057">
        <f>Input!A7057</f>
        <v/>
      </c>
      <c r="B7057">
        <f>IF(ISNUMBER(Input!B7057),IF(AND(Input!B7057&gt;=20,Input!B7057&lt;=700),Input!B7057,""),"")</f>
        <v/>
      </c>
      <c r="C7057">
        <f>IF(B7057="","",INT(A7057))</f>
        <v/>
      </c>
      <c r="D7057">
        <f>IF(B7057="","",HOUR(A7057))</f>
        <v/>
      </c>
    </row>
    <row r="7058">
      <c r="A7058">
        <f>Input!A7058</f>
        <v/>
      </c>
      <c r="B7058">
        <f>IF(ISNUMBER(Input!B7058),IF(AND(Input!B7058&gt;=20,Input!B7058&lt;=700),Input!B7058,""),"")</f>
        <v/>
      </c>
      <c r="C7058">
        <f>IF(B7058="","",INT(A7058))</f>
        <v/>
      </c>
      <c r="D7058">
        <f>IF(B7058="","",HOUR(A7058))</f>
        <v/>
      </c>
    </row>
    <row r="7059">
      <c r="A7059">
        <f>Input!A7059</f>
        <v/>
      </c>
      <c r="B7059">
        <f>IF(ISNUMBER(Input!B7059),IF(AND(Input!B7059&gt;=20,Input!B7059&lt;=700),Input!B7059,""),"")</f>
        <v/>
      </c>
      <c r="C7059">
        <f>IF(B7059="","",INT(A7059))</f>
        <v/>
      </c>
      <c r="D7059">
        <f>IF(B7059="","",HOUR(A7059))</f>
        <v/>
      </c>
    </row>
    <row r="7060">
      <c r="A7060">
        <f>Input!A7060</f>
        <v/>
      </c>
      <c r="B7060">
        <f>IF(ISNUMBER(Input!B7060),IF(AND(Input!B7060&gt;=20,Input!B7060&lt;=700),Input!B7060,""),"")</f>
        <v/>
      </c>
      <c r="C7060">
        <f>IF(B7060="","",INT(A7060))</f>
        <v/>
      </c>
      <c r="D7060">
        <f>IF(B7060="","",HOUR(A7060))</f>
        <v/>
      </c>
    </row>
    <row r="7061">
      <c r="A7061">
        <f>Input!A7061</f>
        <v/>
      </c>
      <c r="B7061">
        <f>IF(ISNUMBER(Input!B7061),IF(AND(Input!B7061&gt;=20,Input!B7061&lt;=700),Input!B7061,""),"")</f>
        <v/>
      </c>
      <c r="C7061">
        <f>IF(B7061="","",INT(A7061))</f>
        <v/>
      </c>
      <c r="D7061">
        <f>IF(B7061="","",HOUR(A7061))</f>
        <v/>
      </c>
    </row>
    <row r="7062">
      <c r="A7062">
        <f>Input!A7062</f>
        <v/>
      </c>
      <c r="B7062">
        <f>IF(ISNUMBER(Input!B7062),IF(AND(Input!B7062&gt;=20,Input!B7062&lt;=700),Input!B7062,""),"")</f>
        <v/>
      </c>
      <c r="C7062">
        <f>IF(B7062="","",INT(A7062))</f>
        <v/>
      </c>
      <c r="D7062">
        <f>IF(B7062="","",HOUR(A7062))</f>
        <v/>
      </c>
    </row>
    <row r="7063">
      <c r="A7063">
        <f>Input!A7063</f>
        <v/>
      </c>
      <c r="B7063">
        <f>IF(ISNUMBER(Input!B7063),IF(AND(Input!B7063&gt;=20,Input!B7063&lt;=700),Input!B7063,""),"")</f>
        <v/>
      </c>
      <c r="C7063">
        <f>IF(B7063="","",INT(A7063))</f>
        <v/>
      </c>
      <c r="D7063">
        <f>IF(B7063="","",HOUR(A7063))</f>
        <v/>
      </c>
    </row>
    <row r="7064">
      <c r="A7064">
        <f>Input!A7064</f>
        <v/>
      </c>
      <c r="B7064">
        <f>IF(ISNUMBER(Input!B7064),IF(AND(Input!B7064&gt;=20,Input!B7064&lt;=700),Input!B7064,""),"")</f>
        <v/>
      </c>
      <c r="C7064">
        <f>IF(B7064="","",INT(A7064))</f>
        <v/>
      </c>
      <c r="D7064">
        <f>IF(B7064="","",HOUR(A7064))</f>
        <v/>
      </c>
    </row>
    <row r="7065">
      <c r="A7065">
        <f>Input!A7065</f>
        <v/>
      </c>
      <c r="B7065">
        <f>IF(ISNUMBER(Input!B7065),IF(AND(Input!B7065&gt;=20,Input!B7065&lt;=700),Input!B7065,""),"")</f>
        <v/>
      </c>
      <c r="C7065">
        <f>IF(B7065="","",INT(A7065))</f>
        <v/>
      </c>
      <c r="D7065">
        <f>IF(B7065="","",HOUR(A7065))</f>
        <v/>
      </c>
    </row>
    <row r="7066">
      <c r="A7066">
        <f>Input!A7066</f>
        <v/>
      </c>
      <c r="B7066">
        <f>IF(ISNUMBER(Input!B7066),IF(AND(Input!B7066&gt;=20,Input!B7066&lt;=700),Input!B7066,""),"")</f>
        <v/>
      </c>
      <c r="C7066">
        <f>IF(B7066="","",INT(A7066))</f>
        <v/>
      </c>
      <c r="D7066">
        <f>IF(B7066="","",HOUR(A7066))</f>
        <v/>
      </c>
    </row>
    <row r="7067">
      <c r="A7067">
        <f>Input!A7067</f>
        <v/>
      </c>
      <c r="B7067">
        <f>IF(ISNUMBER(Input!B7067),IF(AND(Input!B7067&gt;=20,Input!B7067&lt;=700),Input!B7067,""),"")</f>
        <v/>
      </c>
      <c r="C7067">
        <f>IF(B7067="","",INT(A7067))</f>
        <v/>
      </c>
      <c r="D7067">
        <f>IF(B7067="","",HOUR(A7067))</f>
        <v/>
      </c>
    </row>
    <row r="7068">
      <c r="A7068">
        <f>Input!A7068</f>
        <v/>
      </c>
      <c r="B7068">
        <f>IF(ISNUMBER(Input!B7068),IF(AND(Input!B7068&gt;=20,Input!B7068&lt;=700),Input!B7068,""),"")</f>
        <v/>
      </c>
      <c r="C7068">
        <f>IF(B7068="","",INT(A7068))</f>
        <v/>
      </c>
      <c r="D7068">
        <f>IF(B7068="","",HOUR(A7068))</f>
        <v/>
      </c>
    </row>
    <row r="7069">
      <c r="A7069">
        <f>Input!A7069</f>
        <v/>
      </c>
      <c r="B7069">
        <f>IF(ISNUMBER(Input!B7069),IF(AND(Input!B7069&gt;=20,Input!B7069&lt;=700),Input!B7069,""),"")</f>
        <v/>
      </c>
      <c r="C7069">
        <f>IF(B7069="","",INT(A7069))</f>
        <v/>
      </c>
      <c r="D7069">
        <f>IF(B7069="","",HOUR(A7069))</f>
        <v/>
      </c>
    </row>
    <row r="7070">
      <c r="A7070">
        <f>Input!A7070</f>
        <v/>
      </c>
      <c r="B7070">
        <f>IF(ISNUMBER(Input!B7070),IF(AND(Input!B7070&gt;=20,Input!B7070&lt;=700),Input!B7070,""),"")</f>
        <v/>
      </c>
      <c r="C7070">
        <f>IF(B7070="","",INT(A7070))</f>
        <v/>
      </c>
      <c r="D7070">
        <f>IF(B7070="","",HOUR(A7070))</f>
        <v/>
      </c>
    </row>
    <row r="7071">
      <c r="A7071">
        <f>Input!A7071</f>
        <v/>
      </c>
      <c r="B7071">
        <f>IF(ISNUMBER(Input!B7071),IF(AND(Input!B7071&gt;=20,Input!B7071&lt;=700),Input!B7071,""),"")</f>
        <v/>
      </c>
      <c r="C7071">
        <f>IF(B7071="","",INT(A7071))</f>
        <v/>
      </c>
      <c r="D7071">
        <f>IF(B7071="","",HOUR(A7071))</f>
        <v/>
      </c>
    </row>
    <row r="7072">
      <c r="A7072">
        <f>Input!A7072</f>
        <v/>
      </c>
      <c r="B7072">
        <f>IF(ISNUMBER(Input!B7072),IF(AND(Input!B7072&gt;=20,Input!B7072&lt;=700),Input!B7072,""),"")</f>
        <v/>
      </c>
      <c r="C7072">
        <f>IF(B7072="","",INT(A7072))</f>
        <v/>
      </c>
      <c r="D7072">
        <f>IF(B7072="","",HOUR(A7072))</f>
        <v/>
      </c>
    </row>
    <row r="7073">
      <c r="A7073">
        <f>Input!A7073</f>
        <v/>
      </c>
      <c r="B7073">
        <f>IF(ISNUMBER(Input!B7073),IF(AND(Input!B7073&gt;=20,Input!B7073&lt;=700),Input!B7073,""),"")</f>
        <v/>
      </c>
      <c r="C7073">
        <f>IF(B7073="","",INT(A7073))</f>
        <v/>
      </c>
      <c r="D7073">
        <f>IF(B7073="","",HOUR(A7073))</f>
        <v/>
      </c>
    </row>
    <row r="7074">
      <c r="A7074">
        <f>Input!A7074</f>
        <v/>
      </c>
      <c r="B7074">
        <f>IF(ISNUMBER(Input!B7074),IF(AND(Input!B7074&gt;=20,Input!B7074&lt;=700),Input!B7074,""),"")</f>
        <v/>
      </c>
      <c r="C7074">
        <f>IF(B7074="","",INT(A7074))</f>
        <v/>
      </c>
      <c r="D7074">
        <f>IF(B7074="","",HOUR(A7074))</f>
        <v/>
      </c>
    </row>
    <row r="7075">
      <c r="A7075">
        <f>Input!A7075</f>
        <v/>
      </c>
      <c r="B7075">
        <f>IF(ISNUMBER(Input!B7075),IF(AND(Input!B7075&gt;=20,Input!B7075&lt;=700),Input!B7075,""),"")</f>
        <v/>
      </c>
      <c r="C7075">
        <f>IF(B7075="","",INT(A7075))</f>
        <v/>
      </c>
      <c r="D7075">
        <f>IF(B7075="","",HOUR(A7075))</f>
        <v/>
      </c>
    </row>
    <row r="7076">
      <c r="A7076">
        <f>Input!A7076</f>
        <v/>
      </c>
      <c r="B7076">
        <f>IF(ISNUMBER(Input!B7076),IF(AND(Input!B7076&gt;=20,Input!B7076&lt;=700),Input!B7076,""),"")</f>
        <v/>
      </c>
      <c r="C7076">
        <f>IF(B7076="","",INT(A7076))</f>
        <v/>
      </c>
      <c r="D7076">
        <f>IF(B7076="","",HOUR(A7076))</f>
        <v/>
      </c>
    </row>
    <row r="7077">
      <c r="A7077">
        <f>Input!A7077</f>
        <v/>
      </c>
      <c r="B7077">
        <f>IF(ISNUMBER(Input!B7077),IF(AND(Input!B7077&gt;=20,Input!B7077&lt;=700),Input!B7077,""),"")</f>
        <v/>
      </c>
      <c r="C7077">
        <f>IF(B7077="","",INT(A7077))</f>
        <v/>
      </c>
      <c r="D7077">
        <f>IF(B7077="","",HOUR(A7077))</f>
        <v/>
      </c>
    </row>
    <row r="7078">
      <c r="A7078">
        <f>Input!A7078</f>
        <v/>
      </c>
      <c r="B7078">
        <f>IF(ISNUMBER(Input!B7078),IF(AND(Input!B7078&gt;=20,Input!B7078&lt;=700),Input!B7078,""),"")</f>
        <v/>
      </c>
      <c r="C7078">
        <f>IF(B7078="","",INT(A7078))</f>
        <v/>
      </c>
      <c r="D7078">
        <f>IF(B7078="","",HOUR(A7078))</f>
        <v/>
      </c>
    </row>
    <row r="7079">
      <c r="A7079">
        <f>Input!A7079</f>
        <v/>
      </c>
      <c r="B7079">
        <f>IF(ISNUMBER(Input!B7079),IF(AND(Input!B7079&gt;=20,Input!B7079&lt;=700),Input!B7079,""),"")</f>
        <v/>
      </c>
      <c r="C7079">
        <f>IF(B7079="","",INT(A7079))</f>
        <v/>
      </c>
      <c r="D7079">
        <f>IF(B7079="","",HOUR(A7079))</f>
        <v/>
      </c>
    </row>
    <row r="7080">
      <c r="A7080">
        <f>Input!A7080</f>
        <v/>
      </c>
      <c r="B7080">
        <f>IF(ISNUMBER(Input!B7080),IF(AND(Input!B7080&gt;=20,Input!B7080&lt;=700),Input!B7080,""),"")</f>
        <v/>
      </c>
      <c r="C7080">
        <f>IF(B7080="","",INT(A7080))</f>
        <v/>
      </c>
      <c r="D7080">
        <f>IF(B7080="","",HOUR(A7080))</f>
        <v/>
      </c>
    </row>
    <row r="7081">
      <c r="A7081">
        <f>Input!A7081</f>
        <v/>
      </c>
      <c r="B7081">
        <f>IF(ISNUMBER(Input!B7081),IF(AND(Input!B7081&gt;=20,Input!B7081&lt;=700),Input!B7081,""),"")</f>
        <v/>
      </c>
      <c r="C7081">
        <f>IF(B7081="","",INT(A7081))</f>
        <v/>
      </c>
      <c r="D7081">
        <f>IF(B7081="","",HOUR(A7081))</f>
        <v/>
      </c>
    </row>
    <row r="7082">
      <c r="A7082">
        <f>Input!A7082</f>
        <v/>
      </c>
      <c r="B7082">
        <f>IF(ISNUMBER(Input!B7082),IF(AND(Input!B7082&gt;=20,Input!B7082&lt;=700),Input!B7082,""),"")</f>
        <v/>
      </c>
      <c r="C7082">
        <f>IF(B7082="","",INT(A7082))</f>
        <v/>
      </c>
      <c r="D7082">
        <f>IF(B7082="","",HOUR(A7082))</f>
        <v/>
      </c>
    </row>
    <row r="7083">
      <c r="A7083">
        <f>Input!A7083</f>
        <v/>
      </c>
      <c r="B7083">
        <f>IF(ISNUMBER(Input!B7083),IF(AND(Input!B7083&gt;=20,Input!B7083&lt;=700),Input!B7083,""),"")</f>
        <v/>
      </c>
      <c r="C7083">
        <f>IF(B7083="","",INT(A7083))</f>
        <v/>
      </c>
      <c r="D7083">
        <f>IF(B7083="","",HOUR(A7083))</f>
        <v/>
      </c>
    </row>
    <row r="7084">
      <c r="A7084">
        <f>Input!A7084</f>
        <v/>
      </c>
      <c r="B7084">
        <f>IF(ISNUMBER(Input!B7084),IF(AND(Input!B7084&gt;=20,Input!B7084&lt;=700),Input!B7084,""),"")</f>
        <v/>
      </c>
      <c r="C7084">
        <f>IF(B7084="","",INT(A7084))</f>
        <v/>
      </c>
      <c r="D7084">
        <f>IF(B7084="","",HOUR(A7084))</f>
        <v/>
      </c>
    </row>
    <row r="7085">
      <c r="A7085">
        <f>Input!A7085</f>
        <v/>
      </c>
      <c r="B7085">
        <f>IF(ISNUMBER(Input!B7085),IF(AND(Input!B7085&gt;=20,Input!B7085&lt;=700),Input!B7085,""),"")</f>
        <v/>
      </c>
      <c r="C7085">
        <f>IF(B7085="","",INT(A7085))</f>
        <v/>
      </c>
      <c r="D7085">
        <f>IF(B7085="","",HOUR(A7085))</f>
        <v/>
      </c>
    </row>
    <row r="7086">
      <c r="A7086">
        <f>Input!A7086</f>
        <v/>
      </c>
      <c r="B7086">
        <f>IF(ISNUMBER(Input!B7086),IF(AND(Input!B7086&gt;=20,Input!B7086&lt;=700),Input!B7086,""),"")</f>
        <v/>
      </c>
      <c r="C7086">
        <f>IF(B7086="","",INT(A7086))</f>
        <v/>
      </c>
      <c r="D7086">
        <f>IF(B7086="","",HOUR(A7086))</f>
        <v/>
      </c>
    </row>
    <row r="7087">
      <c r="A7087">
        <f>Input!A7087</f>
        <v/>
      </c>
      <c r="B7087">
        <f>IF(ISNUMBER(Input!B7087),IF(AND(Input!B7087&gt;=20,Input!B7087&lt;=700),Input!B7087,""),"")</f>
        <v/>
      </c>
      <c r="C7087">
        <f>IF(B7087="","",INT(A7087))</f>
        <v/>
      </c>
      <c r="D7087">
        <f>IF(B7087="","",HOUR(A7087))</f>
        <v/>
      </c>
    </row>
    <row r="7088">
      <c r="A7088">
        <f>Input!A7088</f>
        <v/>
      </c>
      <c r="B7088">
        <f>IF(ISNUMBER(Input!B7088),IF(AND(Input!B7088&gt;=20,Input!B7088&lt;=700),Input!B7088,""),"")</f>
        <v/>
      </c>
      <c r="C7088">
        <f>IF(B7088="","",INT(A7088))</f>
        <v/>
      </c>
      <c r="D7088">
        <f>IF(B7088="","",HOUR(A7088))</f>
        <v/>
      </c>
    </row>
    <row r="7089">
      <c r="A7089">
        <f>Input!A7089</f>
        <v/>
      </c>
      <c r="B7089">
        <f>IF(ISNUMBER(Input!B7089),IF(AND(Input!B7089&gt;=20,Input!B7089&lt;=700),Input!B7089,""),"")</f>
        <v/>
      </c>
      <c r="C7089">
        <f>IF(B7089="","",INT(A7089))</f>
        <v/>
      </c>
      <c r="D7089">
        <f>IF(B7089="","",HOUR(A7089))</f>
        <v/>
      </c>
    </row>
    <row r="7090">
      <c r="A7090">
        <f>Input!A7090</f>
        <v/>
      </c>
      <c r="B7090">
        <f>IF(ISNUMBER(Input!B7090),IF(AND(Input!B7090&gt;=20,Input!B7090&lt;=700),Input!B7090,""),"")</f>
        <v/>
      </c>
      <c r="C7090">
        <f>IF(B7090="","",INT(A7090))</f>
        <v/>
      </c>
      <c r="D7090">
        <f>IF(B7090="","",HOUR(A7090))</f>
        <v/>
      </c>
    </row>
    <row r="7091">
      <c r="A7091">
        <f>Input!A7091</f>
        <v/>
      </c>
      <c r="B7091">
        <f>IF(ISNUMBER(Input!B7091),IF(AND(Input!B7091&gt;=20,Input!B7091&lt;=700),Input!B7091,""),"")</f>
        <v/>
      </c>
      <c r="C7091">
        <f>IF(B7091="","",INT(A7091))</f>
        <v/>
      </c>
      <c r="D7091">
        <f>IF(B7091="","",HOUR(A7091))</f>
        <v/>
      </c>
    </row>
    <row r="7092">
      <c r="A7092">
        <f>Input!A7092</f>
        <v/>
      </c>
      <c r="B7092">
        <f>IF(ISNUMBER(Input!B7092),IF(AND(Input!B7092&gt;=20,Input!B7092&lt;=700),Input!B7092,""),"")</f>
        <v/>
      </c>
      <c r="C7092">
        <f>IF(B7092="","",INT(A7092))</f>
        <v/>
      </c>
      <c r="D7092">
        <f>IF(B7092="","",HOUR(A7092))</f>
        <v/>
      </c>
    </row>
    <row r="7093">
      <c r="A7093">
        <f>Input!A7093</f>
        <v/>
      </c>
      <c r="B7093">
        <f>IF(ISNUMBER(Input!B7093),IF(AND(Input!B7093&gt;=20,Input!B7093&lt;=700),Input!B7093,""),"")</f>
        <v/>
      </c>
      <c r="C7093">
        <f>IF(B7093="","",INT(A7093))</f>
        <v/>
      </c>
      <c r="D7093">
        <f>IF(B7093="","",HOUR(A7093))</f>
        <v/>
      </c>
    </row>
    <row r="7094">
      <c r="A7094">
        <f>Input!A7094</f>
        <v/>
      </c>
      <c r="B7094">
        <f>IF(ISNUMBER(Input!B7094),IF(AND(Input!B7094&gt;=20,Input!B7094&lt;=700),Input!B7094,""),"")</f>
        <v/>
      </c>
      <c r="C7094">
        <f>IF(B7094="","",INT(A7094))</f>
        <v/>
      </c>
      <c r="D7094">
        <f>IF(B7094="","",HOUR(A7094))</f>
        <v/>
      </c>
    </row>
    <row r="7095">
      <c r="A7095">
        <f>Input!A7095</f>
        <v/>
      </c>
      <c r="B7095">
        <f>IF(ISNUMBER(Input!B7095),IF(AND(Input!B7095&gt;=20,Input!B7095&lt;=700),Input!B7095,""),"")</f>
        <v/>
      </c>
      <c r="C7095">
        <f>IF(B7095="","",INT(A7095))</f>
        <v/>
      </c>
      <c r="D7095">
        <f>IF(B7095="","",HOUR(A7095))</f>
        <v/>
      </c>
    </row>
    <row r="7096">
      <c r="A7096">
        <f>Input!A7096</f>
        <v/>
      </c>
      <c r="B7096">
        <f>IF(ISNUMBER(Input!B7096),IF(AND(Input!B7096&gt;=20,Input!B7096&lt;=700),Input!B7096,""),"")</f>
        <v/>
      </c>
      <c r="C7096">
        <f>IF(B7096="","",INT(A7096))</f>
        <v/>
      </c>
      <c r="D7096">
        <f>IF(B7096="","",HOUR(A7096))</f>
        <v/>
      </c>
    </row>
    <row r="7097">
      <c r="A7097">
        <f>Input!A7097</f>
        <v/>
      </c>
      <c r="B7097">
        <f>IF(ISNUMBER(Input!B7097),IF(AND(Input!B7097&gt;=20,Input!B7097&lt;=700),Input!B7097,""),"")</f>
        <v/>
      </c>
      <c r="C7097">
        <f>IF(B7097="","",INT(A7097))</f>
        <v/>
      </c>
      <c r="D7097">
        <f>IF(B7097="","",HOUR(A7097))</f>
        <v/>
      </c>
    </row>
    <row r="7098">
      <c r="A7098">
        <f>Input!A7098</f>
        <v/>
      </c>
      <c r="B7098">
        <f>IF(ISNUMBER(Input!B7098),IF(AND(Input!B7098&gt;=20,Input!B7098&lt;=700),Input!B7098,""),"")</f>
        <v/>
      </c>
      <c r="C7098">
        <f>IF(B7098="","",INT(A7098))</f>
        <v/>
      </c>
      <c r="D7098">
        <f>IF(B7098="","",HOUR(A7098))</f>
        <v/>
      </c>
    </row>
    <row r="7099">
      <c r="A7099">
        <f>Input!A7099</f>
        <v/>
      </c>
      <c r="B7099">
        <f>IF(ISNUMBER(Input!B7099),IF(AND(Input!B7099&gt;=20,Input!B7099&lt;=700),Input!B7099,""),"")</f>
        <v/>
      </c>
      <c r="C7099">
        <f>IF(B7099="","",INT(A7099))</f>
        <v/>
      </c>
      <c r="D7099">
        <f>IF(B7099="","",HOUR(A7099))</f>
        <v/>
      </c>
    </row>
    <row r="7100">
      <c r="A7100">
        <f>Input!A7100</f>
        <v/>
      </c>
      <c r="B7100">
        <f>IF(ISNUMBER(Input!B7100),IF(AND(Input!B7100&gt;=20,Input!B7100&lt;=700),Input!B7100,""),"")</f>
        <v/>
      </c>
      <c r="C7100">
        <f>IF(B7100="","",INT(A7100))</f>
        <v/>
      </c>
      <c r="D7100">
        <f>IF(B7100="","",HOUR(A7100))</f>
        <v/>
      </c>
    </row>
    <row r="7101">
      <c r="A7101">
        <f>Input!A7101</f>
        <v/>
      </c>
      <c r="B7101">
        <f>IF(ISNUMBER(Input!B7101),IF(AND(Input!B7101&gt;=20,Input!B7101&lt;=700),Input!B7101,""),"")</f>
        <v/>
      </c>
      <c r="C7101">
        <f>IF(B7101="","",INT(A7101))</f>
        <v/>
      </c>
      <c r="D7101">
        <f>IF(B7101="","",HOUR(A7101))</f>
        <v/>
      </c>
    </row>
    <row r="7102">
      <c r="A7102">
        <f>Input!A7102</f>
        <v/>
      </c>
      <c r="B7102">
        <f>IF(ISNUMBER(Input!B7102),IF(AND(Input!B7102&gt;=20,Input!B7102&lt;=700),Input!B7102,""),"")</f>
        <v/>
      </c>
      <c r="C7102">
        <f>IF(B7102="","",INT(A7102))</f>
        <v/>
      </c>
      <c r="D7102">
        <f>IF(B7102="","",HOUR(A7102))</f>
        <v/>
      </c>
    </row>
    <row r="7103">
      <c r="A7103">
        <f>Input!A7103</f>
        <v/>
      </c>
      <c r="B7103">
        <f>IF(ISNUMBER(Input!B7103),IF(AND(Input!B7103&gt;=20,Input!B7103&lt;=700),Input!B7103,""),"")</f>
        <v/>
      </c>
      <c r="C7103">
        <f>IF(B7103="","",INT(A7103))</f>
        <v/>
      </c>
      <c r="D7103">
        <f>IF(B7103="","",HOUR(A7103))</f>
        <v/>
      </c>
    </row>
    <row r="7104">
      <c r="A7104">
        <f>Input!A7104</f>
        <v/>
      </c>
      <c r="B7104">
        <f>IF(ISNUMBER(Input!B7104),IF(AND(Input!B7104&gt;=20,Input!B7104&lt;=700),Input!B7104,""),"")</f>
        <v/>
      </c>
      <c r="C7104">
        <f>IF(B7104="","",INT(A7104))</f>
        <v/>
      </c>
      <c r="D7104">
        <f>IF(B7104="","",HOUR(A7104))</f>
        <v/>
      </c>
    </row>
    <row r="7105">
      <c r="A7105">
        <f>Input!A7105</f>
        <v/>
      </c>
      <c r="B7105">
        <f>IF(ISNUMBER(Input!B7105),IF(AND(Input!B7105&gt;=20,Input!B7105&lt;=700),Input!B7105,""),"")</f>
        <v/>
      </c>
      <c r="C7105">
        <f>IF(B7105="","",INT(A7105))</f>
        <v/>
      </c>
      <c r="D7105">
        <f>IF(B7105="","",HOUR(A7105))</f>
        <v/>
      </c>
    </row>
    <row r="7106">
      <c r="A7106">
        <f>Input!A7106</f>
        <v/>
      </c>
      <c r="B7106">
        <f>IF(ISNUMBER(Input!B7106),IF(AND(Input!B7106&gt;=20,Input!B7106&lt;=700),Input!B7106,""),"")</f>
        <v/>
      </c>
      <c r="C7106">
        <f>IF(B7106="","",INT(A7106))</f>
        <v/>
      </c>
      <c r="D7106">
        <f>IF(B7106="","",HOUR(A7106))</f>
        <v/>
      </c>
    </row>
    <row r="7107">
      <c r="A7107">
        <f>Input!A7107</f>
        <v/>
      </c>
      <c r="B7107">
        <f>IF(ISNUMBER(Input!B7107),IF(AND(Input!B7107&gt;=20,Input!B7107&lt;=700),Input!B7107,""),"")</f>
        <v/>
      </c>
      <c r="C7107">
        <f>IF(B7107="","",INT(A7107))</f>
        <v/>
      </c>
      <c r="D7107">
        <f>IF(B7107="","",HOUR(A7107))</f>
        <v/>
      </c>
    </row>
    <row r="7108">
      <c r="A7108">
        <f>Input!A7108</f>
        <v/>
      </c>
      <c r="B7108">
        <f>IF(ISNUMBER(Input!B7108),IF(AND(Input!B7108&gt;=20,Input!B7108&lt;=700),Input!B7108,""),"")</f>
        <v/>
      </c>
      <c r="C7108">
        <f>IF(B7108="","",INT(A7108))</f>
        <v/>
      </c>
      <c r="D7108">
        <f>IF(B7108="","",HOUR(A7108))</f>
        <v/>
      </c>
    </row>
    <row r="7109">
      <c r="A7109">
        <f>Input!A7109</f>
        <v/>
      </c>
      <c r="B7109">
        <f>IF(ISNUMBER(Input!B7109),IF(AND(Input!B7109&gt;=20,Input!B7109&lt;=700),Input!B7109,""),"")</f>
        <v/>
      </c>
      <c r="C7109">
        <f>IF(B7109="","",INT(A7109))</f>
        <v/>
      </c>
      <c r="D7109">
        <f>IF(B7109="","",HOUR(A7109))</f>
        <v/>
      </c>
    </row>
    <row r="7110">
      <c r="A7110">
        <f>Input!A7110</f>
        <v/>
      </c>
      <c r="B7110">
        <f>IF(ISNUMBER(Input!B7110),IF(AND(Input!B7110&gt;=20,Input!B7110&lt;=700),Input!B7110,""),"")</f>
        <v/>
      </c>
      <c r="C7110">
        <f>IF(B7110="","",INT(A7110))</f>
        <v/>
      </c>
      <c r="D7110">
        <f>IF(B7110="","",HOUR(A7110))</f>
        <v/>
      </c>
    </row>
    <row r="7111">
      <c r="A7111">
        <f>Input!A7111</f>
        <v/>
      </c>
      <c r="B7111">
        <f>IF(ISNUMBER(Input!B7111),IF(AND(Input!B7111&gt;=20,Input!B7111&lt;=700),Input!B7111,""),"")</f>
        <v/>
      </c>
      <c r="C7111">
        <f>IF(B7111="","",INT(A7111))</f>
        <v/>
      </c>
      <c r="D7111">
        <f>IF(B7111="","",HOUR(A7111))</f>
        <v/>
      </c>
    </row>
    <row r="7112">
      <c r="A7112">
        <f>Input!A7112</f>
        <v/>
      </c>
      <c r="B7112">
        <f>IF(ISNUMBER(Input!B7112),IF(AND(Input!B7112&gt;=20,Input!B7112&lt;=700),Input!B7112,""),"")</f>
        <v/>
      </c>
      <c r="C7112">
        <f>IF(B7112="","",INT(A7112))</f>
        <v/>
      </c>
      <c r="D7112">
        <f>IF(B7112="","",HOUR(A7112))</f>
        <v/>
      </c>
    </row>
    <row r="7113">
      <c r="A7113">
        <f>Input!A7113</f>
        <v/>
      </c>
      <c r="B7113">
        <f>IF(ISNUMBER(Input!B7113),IF(AND(Input!B7113&gt;=20,Input!B7113&lt;=700),Input!B7113,""),"")</f>
        <v/>
      </c>
      <c r="C7113">
        <f>IF(B7113="","",INT(A7113))</f>
        <v/>
      </c>
      <c r="D7113">
        <f>IF(B7113="","",HOUR(A7113))</f>
        <v/>
      </c>
    </row>
    <row r="7114">
      <c r="A7114">
        <f>Input!A7114</f>
        <v/>
      </c>
      <c r="B7114">
        <f>IF(ISNUMBER(Input!B7114),IF(AND(Input!B7114&gt;=20,Input!B7114&lt;=700),Input!B7114,""),"")</f>
        <v/>
      </c>
      <c r="C7114">
        <f>IF(B7114="","",INT(A7114))</f>
        <v/>
      </c>
      <c r="D7114">
        <f>IF(B7114="","",HOUR(A7114))</f>
        <v/>
      </c>
    </row>
    <row r="7115">
      <c r="A7115">
        <f>Input!A7115</f>
        <v/>
      </c>
      <c r="B7115">
        <f>IF(ISNUMBER(Input!B7115),IF(AND(Input!B7115&gt;=20,Input!B7115&lt;=700),Input!B7115,""),"")</f>
        <v/>
      </c>
      <c r="C7115">
        <f>IF(B7115="","",INT(A7115))</f>
        <v/>
      </c>
      <c r="D7115">
        <f>IF(B7115="","",HOUR(A7115))</f>
        <v/>
      </c>
    </row>
    <row r="7116">
      <c r="A7116">
        <f>Input!A7116</f>
        <v/>
      </c>
      <c r="B7116">
        <f>IF(ISNUMBER(Input!B7116),IF(AND(Input!B7116&gt;=20,Input!B7116&lt;=700),Input!B7116,""),"")</f>
        <v/>
      </c>
      <c r="C7116">
        <f>IF(B7116="","",INT(A7116))</f>
        <v/>
      </c>
      <c r="D7116">
        <f>IF(B7116="","",HOUR(A7116))</f>
        <v/>
      </c>
    </row>
    <row r="7117">
      <c r="A7117">
        <f>Input!A7117</f>
        <v/>
      </c>
      <c r="B7117">
        <f>IF(ISNUMBER(Input!B7117),IF(AND(Input!B7117&gt;=20,Input!B7117&lt;=700),Input!B7117,""),"")</f>
        <v/>
      </c>
      <c r="C7117">
        <f>IF(B7117="","",INT(A7117))</f>
        <v/>
      </c>
      <c r="D7117">
        <f>IF(B7117="","",HOUR(A7117))</f>
        <v/>
      </c>
    </row>
    <row r="7118">
      <c r="A7118">
        <f>Input!A7118</f>
        <v/>
      </c>
      <c r="B7118">
        <f>IF(ISNUMBER(Input!B7118),IF(AND(Input!B7118&gt;=20,Input!B7118&lt;=700),Input!B7118,""),"")</f>
        <v/>
      </c>
      <c r="C7118">
        <f>IF(B7118="","",INT(A7118))</f>
        <v/>
      </c>
      <c r="D7118">
        <f>IF(B7118="","",HOUR(A7118))</f>
        <v/>
      </c>
    </row>
    <row r="7119">
      <c r="A7119">
        <f>Input!A7119</f>
        <v/>
      </c>
      <c r="B7119">
        <f>IF(ISNUMBER(Input!B7119),IF(AND(Input!B7119&gt;=20,Input!B7119&lt;=700),Input!B7119,""),"")</f>
        <v/>
      </c>
      <c r="C7119">
        <f>IF(B7119="","",INT(A7119))</f>
        <v/>
      </c>
      <c r="D7119">
        <f>IF(B7119="","",HOUR(A7119))</f>
        <v/>
      </c>
    </row>
    <row r="7120">
      <c r="A7120">
        <f>Input!A7120</f>
        <v/>
      </c>
      <c r="B7120">
        <f>IF(ISNUMBER(Input!B7120),IF(AND(Input!B7120&gt;=20,Input!B7120&lt;=700),Input!B7120,""),"")</f>
        <v/>
      </c>
      <c r="C7120">
        <f>IF(B7120="","",INT(A7120))</f>
        <v/>
      </c>
      <c r="D7120">
        <f>IF(B7120="","",HOUR(A7120))</f>
        <v/>
      </c>
    </row>
    <row r="7121">
      <c r="A7121">
        <f>Input!A7121</f>
        <v/>
      </c>
      <c r="B7121">
        <f>IF(ISNUMBER(Input!B7121),IF(AND(Input!B7121&gt;=20,Input!B7121&lt;=700),Input!B7121,""),"")</f>
        <v/>
      </c>
      <c r="C7121">
        <f>IF(B7121="","",INT(A7121))</f>
        <v/>
      </c>
      <c r="D7121">
        <f>IF(B7121="","",HOUR(A7121))</f>
        <v/>
      </c>
    </row>
    <row r="7122">
      <c r="A7122">
        <f>Input!A7122</f>
        <v/>
      </c>
      <c r="B7122">
        <f>IF(ISNUMBER(Input!B7122),IF(AND(Input!B7122&gt;=20,Input!B7122&lt;=700),Input!B7122,""),"")</f>
        <v/>
      </c>
      <c r="C7122">
        <f>IF(B7122="","",INT(A7122))</f>
        <v/>
      </c>
      <c r="D7122">
        <f>IF(B7122="","",HOUR(A7122))</f>
        <v/>
      </c>
    </row>
    <row r="7123">
      <c r="A7123">
        <f>Input!A7123</f>
        <v/>
      </c>
      <c r="B7123">
        <f>IF(ISNUMBER(Input!B7123),IF(AND(Input!B7123&gt;=20,Input!B7123&lt;=700),Input!B7123,""),"")</f>
        <v/>
      </c>
      <c r="C7123">
        <f>IF(B7123="","",INT(A7123))</f>
        <v/>
      </c>
      <c r="D7123">
        <f>IF(B7123="","",HOUR(A7123))</f>
        <v/>
      </c>
    </row>
    <row r="7124">
      <c r="A7124">
        <f>Input!A7124</f>
        <v/>
      </c>
      <c r="B7124">
        <f>IF(ISNUMBER(Input!B7124),IF(AND(Input!B7124&gt;=20,Input!B7124&lt;=700),Input!B7124,""),"")</f>
        <v/>
      </c>
      <c r="C7124">
        <f>IF(B7124="","",INT(A7124))</f>
        <v/>
      </c>
      <c r="D7124">
        <f>IF(B7124="","",HOUR(A7124))</f>
        <v/>
      </c>
    </row>
    <row r="7125">
      <c r="A7125">
        <f>Input!A7125</f>
        <v/>
      </c>
      <c r="B7125">
        <f>IF(ISNUMBER(Input!B7125),IF(AND(Input!B7125&gt;=20,Input!B7125&lt;=700),Input!B7125,""),"")</f>
        <v/>
      </c>
      <c r="C7125">
        <f>IF(B7125="","",INT(A7125))</f>
        <v/>
      </c>
      <c r="D7125">
        <f>IF(B7125="","",HOUR(A7125))</f>
        <v/>
      </c>
    </row>
    <row r="7126">
      <c r="A7126">
        <f>Input!A7126</f>
        <v/>
      </c>
      <c r="B7126">
        <f>IF(ISNUMBER(Input!B7126),IF(AND(Input!B7126&gt;=20,Input!B7126&lt;=700),Input!B7126,""),"")</f>
        <v/>
      </c>
      <c r="C7126">
        <f>IF(B7126="","",INT(A7126))</f>
        <v/>
      </c>
      <c r="D7126">
        <f>IF(B7126="","",HOUR(A7126))</f>
        <v/>
      </c>
    </row>
    <row r="7127">
      <c r="A7127">
        <f>Input!A7127</f>
        <v/>
      </c>
      <c r="B7127">
        <f>IF(ISNUMBER(Input!B7127),IF(AND(Input!B7127&gt;=20,Input!B7127&lt;=700),Input!B7127,""),"")</f>
        <v/>
      </c>
      <c r="C7127">
        <f>IF(B7127="","",INT(A7127))</f>
        <v/>
      </c>
      <c r="D7127">
        <f>IF(B7127="","",HOUR(A7127))</f>
        <v/>
      </c>
    </row>
    <row r="7128">
      <c r="A7128">
        <f>Input!A7128</f>
        <v/>
      </c>
      <c r="B7128">
        <f>IF(ISNUMBER(Input!B7128),IF(AND(Input!B7128&gt;=20,Input!B7128&lt;=700),Input!B7128,""),"")</f>
        <v/>
      </c>
      <c r="C7128">
        <f>IF(B7128="","",INT(A7128))</f>
        <v/>
      </c>
      <c r="D7128">
        <f>IF(B7128="","",HOUR(A7128))</f>
        <v/>
      </c>
    </row>
    <row r="7129">
      <c r="A7129">
        <f>Input!A7129</f>
        <v/>
      </c>
      <c r="B7129">
        <f>IF(ISNUMBER(Input!B7129),IF(AND(Input!B7129&gt;=20,Input!B7129&lt;=700),Input!B7129,""),"")</f>
        <v/>
      </c>
      <c r="C7129">
        <f>IF(B7129="","",INT(A7129))</f>
        <v/>
      </c>
      <c r="D7129">
        <f>IF(B7129="","",HOUR(A7129))</f>
        <v/>
      </c>
    </row>
    <row r="7130">
      <c r="A7130">
        <f>Input!A7130</f>
        <v/>
      </c>
      <c r="B7130">
        <f>IF(ISNUMBER(Input!B7130),IF(AND(Input!B7130&gt;=20,Input!B7130&lt;=700),Input!B7130,""),"")</f>
        <v/>
      </c>
      <c r="C7130">
        <f>IF(B7130="","",INT(A7130))</f>
        <v/>
      </c>
      <c r="D7130">
        <f>IF(B7130="","",HOUR(A7130))</f>
        <v/>
      </c>
    </row>
    <row r="7131">
      <c r="A7131">
        <f>Input!A7131</f>
        <v/>
      </c>
      <c r="B7131">
        <f>IF(ISNUMBER(Input!B7131),IF(AND(Input!B7131&gt;=20,Input!B7131&lt;=700),Input!B7131,""),"")</f>
        <v/>
      </c>
      <c r="C7131">
        <f>IF(B7131="","",INT(A7131))</f>
        <v/>
      </c>
      <c r="D7131">
        <f>IF(B7131="","",HOUR(A7131))</f>
        <v/>
      </c>
    </row>
    <row r="7132">
      <c r="A7132">
        <f>Input!A7132</f>
        <v/>
      </c>
      <c r="B7132">
        <f>IF(ISNUMBER(Input!B7132),IF(AND(Input!B7132&gt;=20,Input!B7132&lt;=700),Input!B7132,""),"")</f>
        <v/>
      </c>
      <c r="C7132">
        <f>IF(B7132="","",INT(A7132))</f>
        <v/>
      </c>
      <c r="D7132">
        <f>IF(B7132="","",HOUR(A7132))</f>
        <v/>
      </c>
    </row>
    <row r="7133">
      <c r="A7133">
        <f>Input!A7133</f>
        <v/>
      </c>
      <c r="B7133">
        <f>IF(ISNUMBER(Input!B7133),IF(AND(Input!B7133&gt;=20,Input!B7133&lt;=700),Input!B7133,""),"")</f>
        <v/>
      </c>
      <c r="C7133">
        <f>IF(B7133="","",INT(A7133))</f>
        <v/>
      </c>
      <c r="D7133">
        <f>IF(B7133="","",HOUR(A7133))</f>
        <v/>
      </c>
    </row>
    <row r="7134">
      <c r="A7134">
        <f>Input!A7134</f>
        <v/>
      </c>
      <c r="B7134">
        <f>IF(ISNUMBER(Input!B7134),IF(AND(Input!B7134&gt;=20,Input!B7134&lt;=700),Input!B7134,""),"")</f>
        <v/>
      </c>
      <c r="C7134">
        <f>IF(B7134="","",INT(A7134))</f>
        <v/>
      </c>
      <c r="D7134">
        <f>IF(B7134="","",HOUR(A7134))</f>
        <v/>
      </c>
    </row>
    <row r="7135">
      <c r="A7135">
        <f>Input!A7135</f>
        <v/>
      </c>
      <c r="B7135">
        <f>IF(ISNUMBER(Input!B7135),IF(AND(Input!B7135&gt;=20,Input!B7135&lt;=700),Input!B7135,""),"")</f>
        <v/>
      </c>
      <c r="C7135">
        <f>IF(B7135="","",INT(A7135))</f>
        <v/>
      </c>
      <c r="D7135">
        <f>IF(B7135="","",HOUR(A7135))</f>
        <v/>
      </c>
    </row>
    <row r="7136">
      <c r="A7136">
        <f>Input!A7136</f>
        <v/>
      </c>
      <c r="B7136">
        <f>IF(ISNUMBER(Input!B7136),IF(AND(Input!B7136&gt;=20,Input!B7136&lt;=700),Input!B7136,""),"")</f>
        <v/>
      </c>
      <c r="C7136">
        <f>IF(B7136="","",INT(A7136))</f>
        <v/>
      </c>
      <c r="D7136">
        <f>IF(B7136="","",HOUR(A7136))</f>
        <v/>
      </c>
    </row>
    <row r="7137">
      <c r="A7137">
        <f>Input!A7137</f>
        <v/>
      </c>
      <c r="B7137">
        <f>IF(ISNUMBER(Input!B7137),IF(AND(Input!B7137&gt;=20,Input!B7137&lt;=700),Input!B7137,""),"")</f>
        <v/>
      </c>
      <c r="C7137">
        <f>IF(B7137="","",INT(A7137))</f>
        <v/>
      </c>
      <c r="D7137">
        <f>IF(B7137="","",HOUR(A7137))</f>
        <v/>
      </c>
    </row>
    <row r="7138">
      <c r="A7138">
        <f>Input!A7138</f>
        <v/>
      </c>
      <c r="B7138">
        <f>IF(ISNUMBER(Input!B7138),IF(AND(Input!B7138&gt;=20,Input!B7138&lt;=700),Input!B7138,""),"")</f>
        <v/>
      </c>
      <c r="C7138">
        <f>IF(B7138="","",INT(A7138))</f>
        <v/>
      </c>
      <c r="D7138">
        <f>IF(B7138="","",HOUR(A7138))</f>
        <v/>
      </c>
    </row>
    <row r="7139">
      <c r="A7139">
        <f>Input!A7139</f>
        <v/>
      </c>
      <c r="B7139">
        <f>IF(ISNUMBER(Input!B7139),IF(AND(Input!B7139&gt;=20,Input!B7139&lt;=700),Input!B7139,""),"")</f>
        <v/>
      </c>
      <c r="C7139">
        <f>IF(B7139="","",INT(A7139))</f>
        <v/>
      </c>
      <c r="D7139">
        <f>IF(B7139="","",HOUR(A7139))</f>
        <v/>
      </c>
    </row>
    <row r="7140">
      <c r="A7140">
        <f>Input!A7140</f>
        <v/>
      </c>
      <c r="B7140">
        <f>IF(ISNUMBER(Input!B7140),IF(AND(Input!B7140&gt;=20,Input!B7140&lt;=700),Input!B7140,""),"")</f>
        <v/>
      </c>
      <c r="C7140">
        <f>IF(B7140="","",INT(A7140))</f>
        <v/>
      </c>
      <c r="D7140">
        <f>IF(B7140="","",HOUR(A7140))</f>
        <v/>
      </c>
    </row>
    <row r="7141">
      <c r="A7141">
        <f>Input!A7141</f>
        <v/>
      </c>
      <c r="B7141">
        <f>IF(ISNUMBER(Input!B7141),IF(AND(Input!B7141&gt;=20,Input!B7141&lt;=700),Input!B7141,""),"")</f>
        <v/>
      </c>
      <c r="C7141">
        <f>IF(B7141="","",INT(A7141))</f>
        <v/>
      </c>
      <c r="D7141">
        <f>IF(B7141="","",HOUR(A7141))</f>
        <v/>
      </c>
    </row>
    <row r="7142">
      <c r="A7142">
        <f>Input!A7142</f>
        <v/>
      </c>
      <c r="B7142">
        <f>IF(ISNUMBER(Input!B7142),IF(AND(Input!B7142&gt;=20,Input!B7142&lt;=700),Input!B7142,""),"")</f>
        <v/>
      </c>
      <c r="C7142">
        <f>IF(B7142="","",INT(A7142))</f>
        <v/>
      </c>
      <c r="D7142">
        <f>IF(B7142="","",HOUR(A7142))</f>
        <v/>
      </c>
    </row>
    <row r="7143">
      <c r="A7143">
        <f>Input!A7143</f>
        <v/>
      </c>
      <c r="B7143">
        <f>IF(ISNUMBER(Input!B7143),IF(AND(Input!B7143&gt;=20,Input!B7143&lt;=700),Input!B7143,""),"")</f>
        <v/>
      </c>
      <c r="C7143">
        <f>IF(B7143="","",INT(A7143))</f>
        <v/>
      </c>
      <c r="D7143">
        <f>IF(B7143="","",HOUR(A7143))</f>
        <v/>
      </c>
    </row>
    <row r="7144">
      <c r="A7144">
        <f>Input!A7144</f>
        <v/>
      </c>
      <c r="B7144">
        <f>IF(ISNUMBER(Input!B7144),IF(AND(Input!B7144&gt;=20,Input!B7144&lt;=700),Input!B7144,""),"")</f>
        <v/>
      </c>
      <c r="C7144">
        <f>IF(B7144="","",INT(A7144))</f>
        <v/>
      </c>
      <c r="D7144">
        <f>IF(B7144="","",HOUR(A7144))</f>
        <v/>
      </c>
    </row>
    <row r="7145">
      <c r="A7145">
        <f>Input!A7145</f>
        <v/>
      </c>
      <c r="B7145">
        <f>IF(ISNUMBER(Input!B7145),IF(AND(Input!B7145&gt;=20,Input!B7145&lt;=700),Input!B7145,""),"")</f>
        <v/>
      </c>
      <c r="C7145">
        <f>IF(B7145="","",INT(A7145))</f>
        <v/>
      </c>
      <c r="D7145">
        <f>IF(B7145="","",HOUR(A7145))</f>
        <v/>
      </c>
    </row>
    <row r="7146">
      <c r="A7146">
        <f>Input!A7146</f>
        <v/>
      </c>
      <c r="B7146">
        <f>IF(ISNUMBER(Input!B7146),IF(AND(Input!B7146&gt;=20,Input!B7146&lt;=700),Input!B7146,""),"")</f>
        <v/>
      </c>
      <c r="C7146">
        <f>IF(B7146="","",INT(A7146))</f>
        <v/>
      </c>
      <c r="D7146">
        <f>IF(B7146="","",HOUR(A7146))</f>
        <v/>
      </c>
    </row>
    <row r="7147">
      <c r="A7147">
        <f>Input!A7147</f>
        <v/>
      </c>
      <c r="B7147">
        <f>IF(ISNUMBER(Input!B7147),IF(AND(Input!B7147&gt;=20,Input!B7147&lt;=700),Input!B7147,""),"")</f>
        <v/>
      </c>
      <c r="C7147">
        <f>IF(B7147="","",INT(A7147))</f>
        <v/>
      </c>
      <c r="D7147">
        <f>IF(B7147="","",HOUR(A7147))</f>
        <v/>
      </c>
    </row>
    <row r="7148">
      <c r="A7148">
        <f>Input!A7148</f>
        <v/>
      </c>
      <c r="B7148">
        <f>IF(ISNUMBER(Input!B7148),IF(AND(Input!B7148&gt;=20,Input!B7148&lt;=700),Input!B7148,""),"")</f>
        <v/>
      </c>
      <c r="C7148">
        <f>IF(B7148="","",INT(A7148))</f>
        <v/>
      </c>
      <c r="D7148">
        <f>IF(B7148="","",HOUR(A7148))</f>
        <v/>
      </c>
    </row>
    <row r="7149">
      <c r="A7149">
        <f>Input!A7149</f>
        <v/>
      </c>
      <c r="B7149">
        <f>IF(ISNUMBER(Input!B7149),IF(AND(Input!B7149&gt;=20,Input!B7149&lt;=700),Input!B7149,""),"")</f>
        <v/>
      </c>
      <c r="C7149">
        <f>IF(B7149="","",INT(A7149))</f>
        <v/>
      </c>
      <c r="D7149">
        <f>IF(B7149="","",HOUR(A7149))</f>
        <v/>
      </c>
    </row>
    <row r="7150">
      <c r="A7150">
        <f>Input!A7150</f>
        <v/>
      </c>
      <c r="B7150">
        <f>IF(ISNUMBER(Input!B7150),IF(AND(Input!B7150&gt;=20,Input!B7150&lt;=700),Input!B7150,""),"")</f>
        <v/>
      </c>
      <c r="C7150">
        <f>IF(B7150="","",INT(A7150))</f>
        <v/>
      </c>
      <c r="D7150">
        <f>IF(B7150="","",HOUR(A7150))</f>
        <v/>
      </c>
    </row>
    <row r="7151">
      <c r="A7151">
        <f>Input!A7151</f>
        <v/>
      </c>
      <c r="B7151">
        <f>IF(ISNUMBER(Input!B7151),IF(AND(Input!B7151&gt;=20,Input!B7151&lt;=700),Input!B7151,""),"")</f>
        <v/>
      </c>
      <c r="C7151">
        <f>IF(B7151="","",INT(A7151))</f>
        <v/>
      </c>
      <c r="D7151">
        <f>IF(B7151="","",HOUR(A7151))</f>
        <v/>
      </c>
    </row>
    <row r="7152">
      <c r="A7152">
        <f>Input!A7152</f>
        <v/>
      </c>
      <c r="B7152">
        <f>IF(ISNUMBER(Input!B7152),IF(AND(Input!B7152&gt;=20,Input!B7152&lt;=700),Input!B7152,""),"")</f>
        <v/>
      </c>
      <c r="C7152">
        <f>IF(B7152="","",INT(A7152))</f>
        <v/>
      </c>
      <c r="D7152">
        <f>IF(B7152="","",HOUR(A7152))</f>
        <v/>
      </c>
    </row>
    <row r="7153">
      <c r="A7153">
        <f>Input!A7153</f>
        <v/>
      </c>
      <c r="B7153">
        <f>IF(ISNUMBER(Input!B7153),IF(AND(Input!B7153&gt;=20,Input!B7153&lt;=700),Input!B7153,""),"")</f>
        <v/>
      </c>
      <c r="C7153">
        <f>IF(B7153="","",INT(A7153))</f>
        <v/>
      </c>
      <c r="D7153">
        <f>IF(B7153="","",HOUR(A7153))</f>
        <v/>
      </c>
    </row>
    <row r="7154">
      <c r="A7154">
        <f>Input!A7154</f>
        <v/>
      </c>
      <c r="B7154">
        <f>IF(ISNUMBER(Input!B7154),IF(AND(Input!B7154&gt;=20,Input!B7154&lt;=700),Input!B7154,""),"")</f>
        <v/>
      </c>
      <c r="C7154">
        <f>IF(B7154="","",INT(A7154))</f>
        <v/>
      </c>
      <c r="D7154">
        <f>IF(B7154="","",HOUR(A7154))</f>
        <v/>
      </c>
    </row>
    <row r="7155">
      <c r="A7155">
        <f>Input!A7155</f>
        <v/>
      </c>
      <c r="B7155">
        <f>IF(ISNUMBER(Input!B7155),IF(AND(Input!B7155&gt;=20,Input!B7155&lt;=700),Input!B7155,""),"")</f>
        <v/>
      </c>
      <c r="C7155">
        <f>IF(B7155="","",INT(A7155))</f>
        <v/>
      </c>
      <c r="D7155">
        <f>IF(B7155="","",HOUR(A7155))</f>
        <v/>
      </c>
    </row>
    <row r="7156">
      <c r="A7156">
        <f>Input!A7156</f>
        <v/>
      </c>
      <c r="B7156">
        <f>IF(ISNUMBER(Input!B7156),IF(AND(Input!B7156&gt;=20,Input!B7156&lt;=700),Input!B7156,""),"")</f>
        <v/>
      </c>
      <c r="C7156">
        <f>IF(B7156="","",INT(A7156))</f>
        <v/>
      </c>
      <c r="D7156">
        <f>IF(B7156="","",HOUR(A7156))</f>
        <v/>
      </c>
    </row>
    <row r="7157">
      <c r="A7157">
        <f>Input!A7157</f>
        <v/>
      </c>
      <c r="B7157">
        <f>IF(ISNUMBER(Input!B7157),IF(AND(Input!B7157&gt;=20,Input!B7157&lt;=700),Input!B7157,""),"")</f>
        <v/>
      </c>
      <c r="C7157">
        <f>IF(B7157="","",INT(A7157))</f>
        <v/>
      </c>
      <c r="D7157">
        <f>IF(B7157="","",HOUR(A7157))</f>
        <v/>
      </c>
    </row>
    <row r="7158">
      <c r="A7158">
        <f>Input!A7158</f>
        <v/>
      </c>
      <c r="B7158">
        <f>IF(ISNUMBER(Input!B7158),IF(AND(Input!B7158&gt;=20,Input!B7158&lt;=700),Input!B7158,""),"")</f>
        <v/>
      </c>
      <c r="C7158">
        <f>IF(B7158="","",INT(A7158))</f>
        <v/>
      </c>
      <c r="D7158">
        <f>IF(B7158="","",HOUR(A7158))</f>
        <v/>
      </c>
    </row>
    <row r="7159">
      <c r="A7159">
        <f>Input!A7159</f>
        <v/>
      </c>
      <c r="B7159">
        <f>IF(ISNUMBER(Input!B7159),IF(AND(Input!B7159&gt;=20,Input!B7159&lt;=700),Input!B7159,""),"")</f>
        <v/>
      </c>
      <c r="C7159">
        <f>IF(B7159="","",INT(A7159))</f>
        <v/>
      </c>
      <c r="D7159">
        <f>IF(B7159="","",HOUR(A7159))</f>
        <v/>
      </c>
    </row>
    <row r="7160">
      <c r="A7160">
        <f>Input!A7160</f>
        <v/>
      </c>
      <c r="B7160">
        <f>IF(ISNUMBER(Input!B7160),IF(AND(Input!B7160&gt;=20,Input!B7160&lt;=700),Input!B7160,""),"")</f>
        <v/>
      </c>
      <c r="C7160">
        <f>IF(B7160="","",INT(A7160))</f>
        <v/>
      </c>
      <c r="D7160">
        <f>IF(B7160="","",HOUR(A7160))</f>
        <v/>
      </c>
    </row>
    <row r="7161">
      <c r="A7161">
        <f>Input!A7161</f>
        <v/>
      </c>
      <c r="B7161">
        <f>IF(ISNUMBER(Input!B7161),IF(AND(Input!B7161&gt;=20,Input!B7161&lt;=700),Input!B7161,""),"")</f>
        <v/>
      </c>
      <c r="C7161">
        <f>IF(B7161="","",INT(A7161))</f>
        <v/>
      </c>
      <c r="D7161">
        <f>IF(B7161="","",HOUR(A7161))</f>
        <v/>
      </c>
    </row>
    <row r="7162">
      <c r="A7162">
        <f>Input!A7162</f>
        <v/>
      </c>
      <c r="B7162">
        <f>IF(ISNUMBER(Input!B7162),IF(AND(Input!B7162&gt;=20,Input!B7162&lt;=700),Input!B7162,""),"")</f>
        <v/>
      </c>
      <c r="C7162">
        <f>IF(B7162="","",INT(A7162))</f>
        <v/>
      </c>
      <c r="D7162">
        <f>IF(B7162="","",HOUR(A7162))</f>
        <v/>
      </c>
    </row>
    <row r="7163">
      <c r="A7163">
        <f>Input!A7163</f>
        <v/>
      </c>
      <c r="B7163">
        <f>IF(ISNUMBER(Input!B7163),IF(AND(Input!B7163&gt;=20,Input!B7163&lt;=700),Input!B7163,""),"")</f>
        <v/>
      </c>
      <c r="C7163">
        <f>IF(B7163="","",INT(A7163))</f>
        <v/>
      </c>
      <c r="D7163">
        <f>IF(B7163="","",HOUR(A7163))</f>
        <v/>
      </c>
    </row>
    <row r="7164">
      <c r="A7164">
        <f>Input!A7164</f>
        <v/>
      </c>
      <c r="B7164">
        <f>IF(ISNUMBER(Input!B7164),IF(AND(Input!B7164&gt;=20,Input!B7164&lt;=700),Input!B7164,""),"")</f>
        <v/>
      </c>
      <c r="C7164">
        <f>IF(B7164="","",INT(A7164))</f>
        <v/>
      </c>
      <c r="D7164">
        <f>IF(B7164="","",HOUR(A7164))</f>
        <v/>
      </c>
    </row>
    <row r="7165">
      <c r="A7165">
        <f>Input!A7165</f>
        <v/>
      </c>
      <c r="B7165">
        <f>IF(ISNUMBER(Input!B7165),IF(AND(Input!B7165&gt;=20,Input!B7165&lt;=700),Input!B7165,""),"")</f>
        <v/>
      </c>
      <c r="C7165">
        <f>IF(B7165="","",INT(A7165))</f>
        <v/>
      </c>
      <c r="D7165">
        <f>IF(B7165="","",HOUR(A7165))</f>
        <v/>
      </c>
    </row>
    <row r="7166">
      <c r="A7166">
        <f>Input!A7166</f>
        <v/>
      </c>
      <c r="B7166">
        <f>IF(ISNUMBER(Input!B7166),IF(AND(Input!B7166&gt;=20,Input!B7166&lt;=700),Input!B7166,""),"")</f>
        <v/>
      </c>
      <c r="C7166">
        <f>IF(B7166="","",INT(A7166))</f>
        <v/>
      </c>
      <c r="D7166">
        <f>IF(B7166="","",HOUR(A7166))</f>
        <v/>
      </c>
    </row>
    <row r="7167">
      <c r="A7167">
        <f>Input!A7167</f>
        <v/>
      </c>
      <c r="B7167">
        <f>IF(ISNUMBER(Input!B7167),IF(AND(Input!B7167&gt;=20,Input!B7167&lt;=700),Input!B7167,""),"")</f>
        <v/>
      </c>
      <c r="C7167">
        <f>IF(B7167="","",INT(A7167))</f>
        <v/>
      </c>
      <c r="D7167">
        <f>IF(B7167="","",HOUR(A7167))</f>
        <v/>
      </c>
    </row>
    <row r="7168">
      <c r="A7168">
        <f>Input!A7168</f>
        <v/>
      </c>
      <c r="B7168">
        <f>IF(ISNUMBER(Input!B7168),IF(AND(Input!B7168&gt;=20,Input!B7168&lt;=700),Input!B7168,""),"")</f>
        <v/>
      </c>
      <c r="C7168">
        <f>IF(B7168="","",INT(A7168))</f>
        <v/>
      </c>
      <c r="D7168">
        <f>IF(B7168="","",HOUR(A7168))</f>
        <v/>
      </c>
    </row>
    <row r="7169">
      <c r="A7169">
        <f>Input!A7169</f>
        <v/>
      </c>
      <c r="B7169">
        <f>IF(ISNUMBER(Input!B7169),IF(AND(Input!B7169&gt;=20,Input!B7169&lt;=700),Input!B7169,""),"")</f>
        <v/>
      </c>
      <c r="C7169">
        <f>IF(B7169="","",INT(A7169))</f>
        <v/>
      </c>
      <c r="D7169">
        <f>IF(B7169="","",HOUR(A7169))</f>
        <v/>
      </c>
    </row>
    <row r="7170">
      <c r="A7170">
        <f>Input!A7170</f>
        <v/>
      </c>
      <c r="B7170">
        <f>IF(ISNUMBER(Input!B7170),IF(AND(Input!B7170&gt;=20,Input!B7170&lt;=700),Input!B7170,""),"")</f>
        <v/>
      </c>
      <c r="C7170">
        <f>IF(B7170="","",INT(A7170))</f>
        <v/>
      </c>
      <c r="D7170">
        <f>IF(B7170="","",HOUR(A7170))</f>
        <v/>
      </c>
    </row>
    <row r="7171">
      <c r="A7171">
        <f>Input!A7171</f>
        <v/>
      </c>
      <c r="B7171">
        <f>IF(ISNUMBER(Input!B7171),IF(AND(Input!B7171&gt;=20,Input!B7171&lt;=700),Input!B7171,""),"")</f>
        <v/>
      </c>
      <c r="C7171">
        <f>IF(B7171="","",INT(A7171))</f>
        <v/>
      </c>
      <c r="D7171">
        <f>IF(B7171="","",HOUR(A7171))</f>
        <v/>
      </c>
    </row>
    <row r="7172">
      <c r="A7172">
        <f>Input!A7172</f>
        <v/>
      </c>
      <c r="B7172">
        <f>IF(ISNUMBER(Input!B7172),IF(AND(Input!B7172&gt;=20,Input!B7172&lt;=700),Input!B7172,""),"")</f>
        <v/>
      </c>
      <c r="C7172">
        <f>IF(B7172="","",INT(A7172))</f>
        <v/>
      </c>
      <c r="D7172">
        <f>IF(B7172="","",HOUR(A7172))</f>
        <v/>
      </c>
    </row>
    <row r="7173">
      <c r="A7173">
        <f>Input!A7173</f>
        <v/>
      </c>
      <c r="B7173">
        <f>IF(ISNUMBER(Input!B7173),IF(AND(Input!B7173&gt;=20,Input!B7173&lt;=700),Input!B7173,""),"")</f>
        <v/>
      </c>
      <c r="C7173">
        <f>IF(B7173="","",INT(A7173))</f>
        <v/>
      </c>
      <c r="D7173">
        <f>IF(B7173="","",HOUR(A7173))</f>
        <v/>
      </c>
    </row>
    <row r="7174">
      <c r="A7174">
        <f>Input!A7174</f>
        <v/>
      </c>
      <c r="B7174">
        <f>IF(ISNUMBER(Input!B7174),IF(AND(Input!B7174&gt;=20,Input!B7174&lt;=700),Input!B7174,""),"")</f>
        <v/>
      </c>
      <c r="C7174">
        <f>IF(B7174="","",INT(A7174))</f>
        <v/>
      </c>
      <c r="D7174">
        <f>IF(B7174="","",HOUR(A7174))</f>
        <v/>
      </c>
    </row>
    <row r="7175">
      <c r="A7175">
        <f>Input!A7175</f>
        <v/>
      </c>
      <c r="B7175">
        <f>IF(ISNUMBER(Input!B7175),IF(AND(Input!B7175&gt;=20,Input!B7175&lt;=700),Input!B7175,""),"")</f>
        <v/>
      </c>
      <c r="C7175">
        <f>IF(B7175="","",INT(A7175))</f>
        <v/>
      </c>
      <c r="D7175">
        <f>IF(B7175="","",HOUR(A7175))</f>
        <v/>
      </c>
    </row>
    <row r="7176">
      <c r="A7176">
        <f>Input!A7176</f>
        <v/>
      </c>
      <c r="B7176">
        <f>IF(ISNUMBER(Input!B7176),IF(AND(Input!B7176&gt;=20,Input!B7176&lt;=700),Input!B7176,""),"")</f>
        <v/>
      </c>
      <c r="C7176">
        <f>IF(B7176="","",INT(A7176))</f>
        <v/>
      </c>
      <c r="D7176">
        <f>IF(B7176="","",HOUR(A7176))</f>
        <v/>
      </c>
    </row>
    <row r="7177">
      <c r="A7177">
        <f>Input!A7177</f>
        <v/>
      </c>
      <c r="B7177">
        <f>IF(ISNUMBER(Input!B7177),IF(AND(Input!B7177&gt;=20,Input!B7177&lt;=700),Input!B7177,""),"")</f>
        <v/>
      </c>
      <c r="C7177">
        <f>IF(B7177="","",INT(A7177))</f>
        <v/>
      </c>
      <c r="D7177">
        <f>IF(B7177="","",HOUR(A7177))</f>
        <v/>
      </c>
    </row>
    <row r="7178">
      <c r="A7178">
        <f>Input!A7178</f>
        <v/>
      </c>
      <c r="B7178">
        <f>IF(ISNUMBER(Input!B7178),IF(AND(Input!B7178&gt;=20,Input!B7178&lt;=700),Input!B7178,""),"")</f>
        <v/>
      </c>
      <c r="C7178">
        <f>IF(B7178="","",INT(A7178))</f>
        <v/>
      </c>
      <c r="D7178">
        <f>IF(B7178="","",HOUR(A7178))</f>
        <v/>
      </c>
    </row>
    <row r="7179">
      <c r="A7179">
        <f>Input!A7179</f>
        <v/>
      </c>
      <c r="B7179">
        <f>IF(ISNUMBER(Input!B7179),IF(AND(Input!B7179&gt;=20,Input!B7179&lt;=700),Input!B7179,""),"")</f>
        <v/>
      </c>
      <c r="C7179">
        <f>IF(B7179="","",INT(A7179))</f>
        <v/>
      </c>
      <c r="D7179">
        <f>IF(B7179="","",HOUR(A7179))</f>
        <v/>
      </c>
    </row>
    <row r="7180">
      <c r="A7180">
        <f>Input!A7180</f>
        <v/>
      </c>
      <c r="B7180">
        <f>IF(ISNUMBER(Input!B7180),IF(AND(Input!B7180&gt;=20,Input!B7180&lt;=700),Input!B7180,""),"")</f>
        <v/>
      </c>
      <c r="C7180">
        <f>IF(B7180="","",INT(A7180))</f>
        <v/>
      </c>
      <c r="D7180">
        <f>IF(B7180="","",HOUR(A7180))</f>
        <v/>
      </c>
    </row>
    <row r="7181">
      <c r="A7181">
        <f>Input!A7181</f>
        <v/>
      </c>
      <c r="B7181">
        <f>IF(ISNUMBER(Input!B7181),IF(AND(Input!B7181&gt;=20,Input!B7181&lt;=700),Input!B7181,""),"")</f>
        <v/>
      </c>
      <c r="C7181">
        <f>IF(B7181="","",INT(A7181))</f>
        <v/>
      </c>
      <c r="D7181">
        <f>IF(B7181="","",HOUR(A7181))</f>
        <v/>
      </c>
    </row>
    <row r="7182">
      <c r="A7182">
        <f>Input!A7182</f>
        <v/>
      </c>
      <c r="B7182">
        <f>IF(ISNUMBER(Input!B7182),IF(AND(Input!B7182&gt;=20,Input!B7182&lt;=700),Input!B7182,""),"")</f>
        <v/>
      </c>
      <c r="C7182">
        <f>IF(B7182="","",INT(A7182))</f>
        <v/>
      </c>
      <c r="D7182">
        <f>IF(B7182="","",HOUR(A7182))</f>
        <v/>
      </c>
    </row>
    <row r="7183">
      <c r="A7183">
        <f>Input!A7183</f>
        <v/>
      </c>
      <c r="B7183">
        <f>IF(ISNUMBER(Input!B7183),IF(AND(Input!B7183&gt;=20,Input!B7183&lt;=700),Input!B7183,""),"")</f>
        <v/>
      </c>
      <c r="C7183">
        <f>IF(B7183="","",INT(A7183))</f>
        <v/>
      </c>
      <c r="D7183">
        <f>IF(B7183="","",HOUR(A7183))</f>
        <v/>
      </c>
    </row>
    <row r="7184">
      <c r="A7184">
        <f>Input!A7184</f>
        <v/>
      </c>
      <c r="B7184">
        <f>IF(ISNUMBER(Input!B7184),IF(AND(Input!B7184&gt;=20,Input!B7184&lt;=700),Input!B7184,""),"")</f>
        <v/>
      </c>
      <c r="C7184">
        <f>IF(B7184="","",INT(A7184))</f>
        <v/>
      </c>
      <c r="D7184">
        <f>IF(B7184="","",HOUR(A7184))</f>
        <v/>
      </c>
    </row>
    <row r="7185">
      <c r="A7185">
        <f>Input!A7185</f>
        <v/>
      </c>
      <c r="B7185">
        <f>IF(ISNUMBER(Input!B7185),IF(AND(Input!B7185&gt;=20,Input!B7185&lt;=700),Input!B7185,""),"")</f>
        <v/>
      </c>
      <c r="C7185">
        <f>IF(B7185="","",INT(A7185))</f>
        <v/>
      </c>
      <c r="D7185">
        <f>IF(B7185="","",HOUR(A7185))</f>
        <v/>
      </c>
    </row>
    <row r="7186">
      <c r="A7186">
        <f>Input!A7186</f>
        <v/>
      </c>
      <c r="B7186">
        <f>IF(ISNUMBER(Input!B7186),IF(AND(Input!B7186&gt;=20,Input!B7186&lt;=700),Input!B7186,""),"")</f>
        <v/>
      </c>
      <c r="C7186">
        <f>IF(B7186="","",INT(A7186))</f>
        <v/>
      </c>
      <c r="D7186">
        <f>IF(B7186="","",HOUR(A7186))</f>
        <v/>
      </c>
    </row>
    <row r="7187">
      <c r="A7187">
        <f>Input!A7187</f>
        <v/>
      </c>
      <c r="B7187">
        <f>IF(ISNUMBER(Input!B7187),IF(AND(Input!B7187&gt;=20,Input!B7187&lt;=700),Input!B7187,""),"")</f>
        <v/>
      </c>
      <c r="C7187">
        <f>IF(B7187="","",INT(A7187))</f>
        <v/>
      </c>
      <c r="D7187">
        <f>IF(B7187="","",HOUR(A7187))</f>
        <v/>
      </c>
    </row>
    <row r="7188">
      <c r="A7188">
        <f>Input!A7188</f>
        <v/>
      </c>
      <c r="B7188">
        <f>IF(ISNUMBER(Input!B7188),IF(AND(Input!B7188&gt;=20,Input!B7188&lt;=700),Input!B7188,""),"")</f>
        <v/>
      </c>
      <c r="C7188">
        <f>IF(B7188="","",INT(A7188))</f>
        <v/>
      </c>
      <c r="D7188">
        <f>IF(B7188="","",HOUR(A7188))</f>
        <v/>
      </c>
    </row>
    <row r="7189">
      <c r="A7189">
        <f>Input!A7189</f>
        <v/>
      </c>
      <c r="B7189">
        <f>IF(ISNUMBER(Input!B7189),IF(AND(Input!B7189&gt;=20,Input!B7189&lt;=700),Input!B7189,""),"")</f>
        <v/>
      </c>
      <c r="C7189">
        <f>IF(B7189="","",INT(A7189))</f>
        <v/>
      </c>
      <c r="D7189">
        <f>IF(B7189="","",HOUR(A7189))</f>
        <v/>
      </c>
    </row>
    <row r="7190">
      <c r="A7190">
        <f>Input!A7190</f>
        <v/>
      </c>
      <c r="B7190">
        <f>IF(ISNUMBER(Input!B7190),IF(AND(Input!B7190&gt;=20,Input!B7190&lt;=700),Input!B7190,""),"")</f>
        <v/>
      </c>
      <c r="C7190">
        <f>IF(B7190="","",INT(A7190))</f>
        <v/>
      </c>
      <c r="D7190">
        <f>IF(B7190="","",HOUR(A7190))</f>
        <v/>
      </c>
    </row>
    <row r="7191">
      <c r="A7191">
        <f>Input!A7191</f>
        <v/>
      </c>
      <c r="B7191">
        <f>IF(ISNUMBER(Input!B7191),IF(AND(Input!B7191&gt;=20,Input!B7191&lt;=700),Input!B7191,""),"")</f>
        <v/>
      </c>
      <c r="C7191">
        <f>IF(B7191="","",INT(A7191))</f>
        <v/>
      </c>
      <c r="D7191">
        <f>IF(B7191="","",HOUR(A7191))</f>
        <v/>
      </c>
    </row>
    <row r="7192">
      <c r="A7192">
        <f>Input!A7192</f>
        <v/>
      </c>
      <c r="B7192">
        <f>IF(ISNUMBER(Input!B7192),IF(AND(Input!B7192&gt;=20,Input!B7192&lt;=700),Input!B7192,""),"")</f>
        <v/>
      </c>
      <c r="C7192">
        <f>IF(B7192="","",INT(A7192))</f>
        <v/>
      </c>
      <c r="D7192">
        <f>IF(B7192="","",HOUR(A7192))</f>
        <v/>
      </c>
    </row>
    <row r="7193">
      <c r="A7193">
        <f>Input!A7193</f>
        <v/>
      </c>
      <c r="B7193">
        <f>IF(ISNUMBER(Input!B7193),IF(AND(Input!B7193&gt;=20,Input!B7193&lt;=700),Input!B7193,""),"")</f>
        <v/>
      </c>
      <c r="C7193">
        <f>IF(B7193="","",INT(A7193))</f>
        <v/>
      </c>
      <c r="D7193">
        <f>IF(B7193="","",HOUR(A7193))</f>
        <v/>
      </c>
    </row>
    <row r="7194">
      <c r="A7194">
        <f>Input!A7194</f>
        <v/>
      </c>
      <c r="B7194">
        <f>IF(ISNUMBER(Input!B7194),IF(AND(Input!B7194&gt;=20,Input!B7194&lt;=700),Input!B7194,""),"")</f>
        <v/>
      </c>
      <c r="C7194">
        <f>IF(B7194="","",INT(A7194))</f>
        <v/>
      </c>
      <c r="D7194">
        <f>IF(B7194="","",HOUR(A7194))</f>
        <v/>
      </c>
    </row>
    <row r="7195">
      <c r="A7195">
        <f>Input!A7195</f>
        <v/>
      </c>
      <c r="B7195">
        <f>IF(ISNUMBER(Input!B7195),IF(AND(Input!B7195&gt;=20,Input!B7195&lt;=700),Input!B7195,""),"")</f>
        <v/>
      </c>
      <c r="C7195">
        <f>IF(B7195="","",INT(A7195))</f>
        <v/>
      </c>
      <c r="D7195">
        <f>IF(B7195="","",HOUR(A7195))</f>
        <v/>
      </c>
    </row>
    <row r="7196">
      <c r="A7196">
        <f>Input!A7196</f>
        <v/>
      </c>
      <c r="B7196">
        <f>IF(ISNUMBER(Input!B7196),IF(AND(Input!B7196&gt;=20,Input!B7196&lt;=700),Input!B7196,""),"")</f>
        <v/>
      </c>
      <c r="C7196">
        <f>IF(B7196="","",INT(A7196))</f>
        <v/>
      </c>
      <c r="D7196">
        <f>IF(B7196="","",HOUR(A7196))</f>
        <v/>
      </c>
    </row>
    <row r="7197">
      <c r="A7197">
        <f>Input!A7197</f>
        <v/>
      </c>
      <c r="B7197">
        <f>IF(ISNUMBER(Input!B7197),IF(AND(Input!B7197&gt;=20,Input!B7197&lt;=700),Input!B7197,""),"")</f>
        <v/>
      </c>
      <c r="C7197">
        <f>IF(B7197="","",INT(A7197))</f>
        <v/>
      </c>
      <c r="D7197">
        <f>IF(B7197="","",HOUR(A7197))</f>
        <v/>
      </c>
    </row>
    <row r="7198">
      <c r="A7198">
        <f>Input!A7198</f>
        <v/>
      </c>
      <c r="B7198">
        <f>IF(ISNUMBER(Input!B7198),IF(AND(Input!B7198&gt;=20,Input!B7198&lt;=700),Input!B7198,""),"")</f>
        <v/>
      </c>
      <c r="C7198">
        <f>IF(B7198="","",INT(A7198))</f>
        <v/>
      </c>
      <c r="D7198">
        <f>IF(B7198="","",HOUR(A7198))</f>
        <v/>
      </c>
    </row>
    <row r="7199">
      <c r="A7199">
        <f>Input!A7199</f>
        <v/>
      </c>
      <c r="B7199">
        <f>IF(ISNUMBER(Input!B7199),IF(AND(Input!B7199&gt;=20,Input!B7199&lt;=700),Input!B7199,""),"")</f>
        <v/>
      </c>
      <c r="C7199">
        <f>IF(B7199="","",INT(A7199))</f>
        <v/>
      </c>
      <c r="D7199">
        <f>IF(B7199="","",HOUR(A7199))</f>
        <v/>
      </c>
    </row>
    <row r="7200">
      <c r="A7200">
        <f>Input!A7200</f>
        <v/>
      </c>
      <c r="B7200">
        <f>IF(ISNUMBER(Input!B7200),IF(AND(Input!B7200&gt;=20,Input!B7200&lt;=700),Input!B7200,""),"")</f>
        <v/>
      </c>
      <c r="C7200">
        <f>IF(B7200="","",INT(A7200))</f>
        <v/>
      </c>
      <c r="D7200">
        <f>IF(B7200="","",HOUR(A7200))</f>
        <v/>
      </c>
    </row>
    <row r="7201">
      <c r="A7201">
        <f>Input!A7201</f>
        <v/>
      </c>
      <c r="B7201">
        <f>IF(ISNUMBER(Input!B7201),IF(AND(Input!B7201&gt;=20,Input!B7201&lt;=700),Input!B7201,""),"")</f>
        <v/>
      </c>
      <c r="C7201">
        <f>IF(B7201="","",INT(A7201))</f>
        <v/>
      </c>
      <c r="D7201">
        <f>IF(B7201="","",HOUR(A7201))</f>
        <v/>
      </c>
    </row>
    <row r="7202">
      <c r="A7202">
        <f>Input!A7202</f>
        <v/>
      </c>
      <c r="B7202">
        <f>IF(ISNUMBER(Input!B7202),IF(AND(Input!B7202&gt;=20,Input!B7202&lt;=700),Input!B7202,""),"")</f>
        <v/>
      </c>
      <c r="C7202">
        <f>IF(B7202="","",INT(A7202))</f>
        <v/>
      </c>
      <c r="D7202">
        <f>IF(B7202="","",HOUR(A7202))</f>
        <v/>
      </c>
    </row>
    <row r="7203">
      <c r="A7203">
        <f>Input!A7203</f>
        <v/>
      </c>
      <c r="B7203">
        <f>IF(ISNUMBER(Input!B7203),IF(AND(Input!B7203&gt;=20,Input!B7203&lt;=700),Input!B7203,""),"")</f>
        <v/>
      </c>
      <c r="C7203">
        <f>IF(B7203="","",INT(A7203))</f>
        <v/>
      </c>
      <c r="D7203">
        <f>IF(B7203="","",HOUR(A7203))</f>
        <v/>
      </c>
    </row>
    <row r="7204">
      <c r="A7204">
        <f>Input!A7204</f>
        <v/>
      </c>
      <c r="B7204">
        <f>IF(ISNUMBER(Input!B7204),IF(AND(Input!B7204&gt;=20,Input!B7204&lt;=700),Input!B7204,""),"")</f>
        <v/>
      </c>
      <c r="C7204">
        <f>IF(B7204="","",INT(A7204))</f>
        <v/>
      </c>
      <c r="D7204">
        <f>IF(B7204="","",HOUR(A7204))</f>
        <v/>
      </c>
    </row>
    <row r="7205">
      <c r="A7205">
        <f>Input!A7205</f>
        <v/>
      </c>
      <c r="B7205">
        <f>IF(ISNUMBER(Input!B7205),IF(AND(Input!B7205&gt;=20,Input!B7205&lt;=700),Input!B7205,""),"")</f>
        <v/>
      </c>
      <c r="C7205">
        <f>IF(B7205="","",INT(A7205))</f>
        <v/>
      </c>
      <c r="D7205">
        <f>IF(B7205="","",HOUR(A7205))</f>
        <v/>
      </c>
    </row>
    <row r="7206">
      <c r="A7206">
        <f>Input!A7206</f>
        <v/>
      </c>
      <c r="B7206">
        <f>IF(ISNUMBER(Input!B7206),IF(AND(Input!B7206&gt;=20,Input!B7206&lt;=700),Input!B7206,""),"")</f>
        <v/>
      </c>
      <c r="C7206">
        <f>IF(B7206="","",INT(A7206))</f>
        <v/>
      </c>
      <c r="D7206">
        <f>IF(B7206="","",HOUR(A7206))</f>
        <v/>
      </c>
    </row>
    <row r="7207">
      <c r="A7207">
        <f>Input!A7207</f>
        <v/>
      </c>
      <c r="B7207">
        <f>IF(ISNUMBER(Input!B7207),IF(AND(Input!B7207&gt;=20,Input!B7207&lt;=700),Input!B7207,""),"")</f>
        <v/>
      </c>
      <c r="C7207">
        <f>IF(B7207="","",INT(A7207))</f>
        <v/>
      </c>
      <c r="D7207">
        <f>IF(B7207="","",HOUR(A7207))</f>
        <v/>
      </c>
    </row>
    <row r="7208">
      <c r="A7208">
        <f>Input!A7208</f>
        <v/>
      </c>
      <c r="B7208">
        <f>IF(ISNUMBER(Input!B7208),IF(AND(Input!B7208&gt;=20,Input!B7208&lt;=700),Input!B7208,""),"")</f>
        <v/>
      </c>
      <c r="C7208">
        <f>IF(B7208="","",INT(A7208))</f>
        <v/>
      </c>
      <c r="D7208">
        <f>IF(B7208="","",HOUR(A7208))</f>
        <v/>
      </c>
    </row>
    <row r="7209">
      <c r="A7209">
        <f>Input!A7209</f>
        <v/>
      </c>
      <c r="B7209">
        <f>IF(ISNUMBER(Input!B7209),IF(AND(Input!B7209&gt;=20,Input!B7209&lt;=700),Input!B7209,""),"")</f>
        <v/>
      </c>
      <c r="C7209">
        <f>IF(B7209="","",INT(A7209))</f>
        <v/>
      </c>
      <c r="D7209">
        <f>IF(B7209="","",HOUR(A7209))</f>
        <v/>
      </c>
    </row>
    <row r="7210">
      <c r="A7210">
        <f>Input!A7210</f>
        <v/>
      </c>
      <c r="B7210">
        <f>IF(ISNUMBER(Input!B7210),IF(AND(Input!B7210&gt;=20,Input!B7210&lt;=700),Input!B7210,""),"")</f>
        <v/>
      </c>
      <c r="C7210">
        <f>IF(B7210="","",INT(A7210))</f>
        <v/>
      </c>
      <c r="D7210">
        <f>IF(B7210="","",HOUR(A7210))</f>
        <v/>
      </c>
    </row>
    <row r="7211">
      <c r="A7211">
        <f>Input!A7211</f>
        <v/>
      </c>
      <c r="B7211">
        <f>IF(ISNUMBER(Input!B7211),IF(AND(Input!B7211&gt;=20,Input!B7211&lt;=700),Input!B7211,""),"")</f>
        <v/>
      </c>
      <c r="C7211">
        <f>IF(B7211="","",INT(A7211))</f>
        <v/>
      </c>
      <c r="D7211">
        <f>IF(B7211="","",HOUR(A7211))</f>
        <v/>
      </c>
    </row>
    <row r="7212">
      <c r="A7212">
        <f>Input!A7212</f>
        <v/>
      </c>
      <c r="B7212">
        <f>IF(ISNUMBER(Input!B7212),IF(AND(Input!B7212&gt;=20,Input!B7212&lt;=700),Input!B7212,""),"")</f>
        <v/>
      </c>
      <c r="C7212">
        <f>IF(B7212="","",INT(A7212))</f>
        <v/>
      </c>
      <c r="D7212">
        <f>IF(B7212="","",HOUR(A7212))</f>
        <v/>
      </c>
    </row>
    <row r="7213">
      <c r="A7213">
        <f>Input!A7213</f>
        <v/>
      </c>
      <c r="B7213">
        <f>IF(ISNUMBER(Input!B7213),IF(AND(Input!B7213&gt;=20,Input!B7213&lt;=700),Input!B7213,""),"")</f>
        <v/>
      </c>
      <c r="C7213">
        <f>IF(B7213="","",INT(A7213))</f>
        <v/>
      </c>
      <c r="D7213">
        <f>IF(B7213="","",HOUR(A7213))</f>
        <v/>
      </c>
    </row>
    <row r="7214">
      <c r="A7214">
        <f>Input!A7214</f>
        <v/>
      </c>
      <c r="B7214">
        <f>IF(ISNUMBER(Input!B7214),IF(AND(Input!B7214&gt;=20,Input!B7214&lt;=700),Input!B7214,""),"")</f>
        <v/>
      </c>
      <c r="C7214">
        <f>IF(B7214="","",INT(A7214))</f>
        <v/>
      </c>
      <c r="D7214">
        <f>IF(B7214="","",HOUR(A7214))</f>
        <v/>
      </c>
    </row>
    <row r="7215">
      <c r="A7215">
        <f>Input!A7215</f>
        <v/>
      </c>
      <c r="B7215">
        <f>IF(ISNUMBER(Input!B7215),IF(AND(Input!B7215&gt;=20,Input!B7215&lt;=700),Input!B7215,""),"")</f>
        <v/>
      </c>
      <c r="C7215">
        <f>IF(B7215="","",INT(A7215))</f>
        <v/>
      </c>
      <c r="D7215">
        <f>IF(B7215="","",HOUR(A7215))</f>
        <v/>
      </c>
    </row>
    <row r="7216">
      <c r="A7216">
        <f>Input!A7216</f>
        <v/>
      </c>
      <c r="B7216">
        <f>IF(ISNUMBER(Input!B7216),IF(AND(Input!B7216&gt;=20,Input!B7216&lt;=700),Input!B7216,""),"")</f>
        <v/>
      </c>
      <c r="C7216">
        <f>IF(B7216="","",INT(A7216))</f>
        <v/>
      </c>
      <c r="D7216">
        <f>IF(B7216="","",HOUR(A7216))</f>
        <v/>
      </c>
    </row>
    <row r="7217">
      <c r="A7217">
        <f>Input!A7217</f>
        <v/>
      </c>
      <c r="B7217">
        <f>IF(ISNUMBER(Input!B7217),IF(AND(Input!B7217&gt;=20,Input!B7217&lt;=700),Input!B7217,""),"")</f>
        <v/>
      </c>
      <c r="C7217">
        <f>IF(B7217="","",INT(A7217))</f>
        <v/>
      </c>
      <c r="D7217">
        <f>IF(B7217="","",HOUR(A7217))</f>
        <v/>
      </c>
    </row>
    <row r="7218">
      <c r="A7218">
        <f>Input!A7218</f>
        <v/>
      </c>
      <c r="B7218">
        <f>IF(ISNUMBER(Input!B7218),IF(AND(Input!B7218&gt;=20,Input!B7218&lt;=700),Input!B7218,""),"")</f>
        <v/>
      </c>
      <c r="C7218">
        <f>IF(B7218="","",INT(A7218))</f>
        <v/>
      </c>
      <c r="D7218">
        <f>IF(B7218="","",HOUR(A7218))</f>
        <v/>
      </c>
    </row>
    <row r="7219">
      <c r="A7219">
        <f>Input!A7219</f>
        <v/>
      </c>
      <c r="B7219">
        <f>IF(ISNUMBER(Input!B7219),IF(AND(Input!B7219&gt;=20,Input!B7219&lt;=700),Input!B7219,""),"")</f>
        <v/>
      </c>
      <c r="C7219">
        <f>IF(B7219="","",INT(A7219))</f>
        <v/>
      </c>
      <c r="D7219">
        <f>IF(B7219="","",HOUR(A7219))</f>
        <v/>
      </c>
    </row>
    <row r="7220">
      <c r="A7220">
        <f>Input!A7220</f>
        <v/>
      </c>
      <c r="B7220">
        <f>IF(ISNUMBER(Input!B7220),IF(AND(Input!B7220&gt;=20,Input!B7220&lt;=700),Input!B7220,""),"")</f>
        <v/>
      </c>
      <c r="C7220">
        <f>IF(B7220="","",INT(A7220))</f>
        <v/>
      </c>
      <c r="D7220">
        <f>IF(B7220="","",HOUR(A7220))</f>
        <v/>
      </c>
    </row>
    <row r="7221">
      <c r="A7221">
        <f>Input!A7221</f>
        <v/>
      </c>
      <c r="B7221">
        <f>IF(ISNUMBER(Input!B7221),IF(AND(Input!B7221&gt;=20,Input!B7221&lt;=700),Input!B7221,""),"")</f>
        <v/>
      </c>
      <c r="C7221">
        <f>IF(B7221="","",INT(A7221))</f>
        <v/>
      </c>
      <c r="D7221">
        <f>IF(B7221="","",HOUR(A7221))</f>
        <v/>
      </c>
    </row>
    <row r="7222">
      <c r="A7222">
        <f>Input!A7222</f>
        <v/>
      </c>
      <c r="B7222">
        <f>IF(ISNUMBER(Input!B7222),IF(AND(Input!B7222&gt;=20,Input!B7222&lt;=700),Input!B7222,""),"")</f>
        <v/>
      </c>
      <c r="C7222">
        <f>IF(B7222="","",INT(A7222))</f>
        <v/>
      </c>
      <c r="D7222">
        <f>IF(B7222="","",HOUR(A7222))</f>
        <v/>
      </c>
    </row>
    <row r="7223">
      <c r="A7223">
        <f>Input!A7223</f>
        <v/>
      </c>
      <c r="B7223">
        <f>IF(ISNUMBER(Input!B7223),IF(AND(Input!B7223&gt;=20,Input!B7223&lt;=700),Input!B7223,""),"")</f>
        <v/>
      </c>
      <c r="C7223">
        <f>IF(B7223="","",INT(A7223))</f>
        <v/>
      </c>
      <c r="D7223">
        <f>IF(B7223="","",HOUR(A7223))</f>
        <v/>
      </c>
    </row>
    <row r="7224">
      <c r="A7224">
        <f>Input!A7224</f>
        <v/>
      </c>
      <c r="B7224">
        <f>IF(ISNUMBER(Input!B7224),IF(AND(Input!B7224&gt;=20,Input!B7224&lt;=700),Input!B7224,""),"")</f>
        <v/>
      </c>
      <c r="C7224">
        <f>IF(B7224="","",INT(A7224))</f>
        <v/>
      </c>
      <c r="D7224">
        <f>IF(B7224="","",HOUR(A7224))</f>
        <v/>
      </c>
    </row>
    <row r="7225">
      <c r="A7225">
        <f>Input!A7225</f>
        <v/>
      </c>
      <c r="B7225">
        <f>IF(ISNUMBER(Input!B7225),IF(AND(Input!B7225&gt;=20,Input!B7225&lt;=700),Input!B7225,""),"")</f>
        <v/>
      </c>
      <c r="C7225">
        <f>IF(B7225="","",INT(A7225))</f>
        <v/>
      </c>
      <c r="D7225">
        <f>IF(B7225="","",HOUR(A7225))</f>
        <v/>
      </c>
    </row>
    <row r="7226">
      <c r="A7226">
        <f>Input!A7226</f>
        <v/>
      </c>
      <c r="B7226">
        <f>IF(ISNUMBER(Input!B7226),IF(AND(Input!B7226&gt;=20,Input!B7226&lt;=700),Input!B7226,""),"")</f>
        <v/>
      </c>
      <c r="C7226">
        <f>IF(B7226="","",INT(A7226))</f>
        <v/>
      </c>
      <c r="D7226">
        <f>IF(B7226="","",HOUR(A7226))</f>
        <v/>
      </c>
    </row>
    <row r="7227">
      <c r="A7227">
        <f>Input!A7227</f>
        <v/>
      </c>
      <c r="B7227">
        <f>IF(ISNUMBER(Input!B7227),IF(AND(Input!B7227&gt;=20,Input!B7227&lt;=700),Input!B7227,""),"")</f>
        <v/>
      </c>
      <c r="C7227">
        <f>IF(B7227="","",INT(A7227))</f>
        <v/>
      </c>
      <c r="D7227">
        <f>IF(B7227="","",HOUR(A7227))</f>
        <v/>
      </c>
    </row>
    <row r="7228">
      <c r="A7228">
        <f>Input!A7228</f>
        <v/>
      </c>
      <c r="B7228">
        <f>IF(ISNUMBER(Input!B7228),IF(AND(Input!B7228&gt;=20,Input!B7228&lt;=700),Input!B7228,""),"")</f>
        <v/>
      </c>
      <c r="C7228">
        <f>IF(B7228="","",INT(A7228))</f>
        <v/>
      </c>
      <c r="D7228">
        <f>IF(B7228="","",HOUR(A7228))</f>
        <v/>
      </c>
    </row>
    <row r="7229">
      <c r="A7229">
        <f>Input!A7229</f>
        <v/>
      </c>
      <c r="B7229">
        <f>IF(ISNUMBER(Input!B7229),IF(AND(Input!B7229&gt;=20,Input!B7229&lt;=700),Input!B7229,""),"")</f>
        <v/>
      </c>
      <c r="C7229">
        <f>IF(B7229="","",INT(A7229))</f>
        <v/>
      </c>
      <c r="D7229">
        <f>IF(B7229="","",HOUR(A7229))</f>
        <v/>
      </c>
    </row>
    <row r="7230">
      <c r="A7230">
        <f>Input!A7230</f>
        <v/>
      </c>
      <c r="B7230">
        <f>IF(ISNUMBER(Input!B7230),IF(AND(Input!B7230&gt;=20,Input!B7230&lt;=700),Input!B7230,""),"")</f>
        <v/>
      </c>
      <c r="C7230">
        <f>IF(B7230="","",INT(A7230))</f>
        <v/>
      </c>
      <c r="D7230">
        <f>IF(B7230="","",HOUR(A7230))</f>
        <v/>
      </c>
    </row>
    <row r="7231">
      <c r="A7231">
        <f>Input!A7231</f>
        <v/>
      </c>
      <c r="B7231">
        <f>IF(ISNUMBER(Input!B7231),IF(AND(Input!B7231&gt;=20,Input!B7231&lt;=700),Input!B7231,""),"")</f>
        <v/>
      </c>
      <c r="C7231">
        <f>IF(B7231="","",INT(A7231))</f>
        <v/>
      </c>
      <c r="D7231">
        <f>IF(B7231="","",HOUR(A7231))</f>
        <v/>
      </c>
    </row>
    <row r="7232">
      <c r="A7232">
        <f>Input!A7232</f>
        <v/>
      </c>
      <c r="B7232">
        <f>IF(ISNUMBER(Input!B7232),IF(AND(Input!B7232&gt;=20,Input!B7232&lt;=700),Input!B7232,""),"")</f>
        <v/>
      </c>
      <c r="C7232">
        <f>IF(B7232="","",INT(A7232))</f>
        <v/>
      </c>
      <c r="D7232">
        <f>IF(B7232="","",HOUR(A7232))</f>
        <v/>
      </c>
    </row>
    <row r="7233">
      <c r="A7233">
        <f>Input!A7233</f>
        <v/>
      </c>
      <c r="B7233">
        <f>IF(ISNUMBER(Input!B7233),IF(AND(Input!B7233&gt;=20,Input!B7233&lt;=700),Input!B7233,""),"")</f>
        <v/>
      </c>
      <c r="C7233">
        <f>IF(B7233="","",INT(A7233))</f>
        <v/>
      </c>
      <c r="D7233">
        <f>IF(B7233="","",HOUR(A7233))</f>
        <v/>
      </c>
    </row>
    <row r="7234">
      <c r="A7234">
        <f>Input!A7234</f>
        <v/>
      </c>
      <c r="B7234">
        <f>IF(ISNUMBER(Input!B7234),IF(AND(Input!B7234&gt;=20,Input!B7234&lt;=700),Input!B7234,""),"")</f>
        <v/>
      </c>
      <c r="C7234">
        <f>IF(B7234="","",INT(A7234))</f>
        <v/>
      </c>
      <c r="D7234">
        <f>IF(B7234="","",HOUR(A7234))</f>
        <v/>
      </c>
    </row>
    <row r="7235">
      <c r="A7235">
        <f>Input!A7235</f>
        <v/>
      </c>
      <c r="B7235">
        <f>IF(ISNUMBER(Input!B7235),IF(AND(Input!B7235&gt;=20,Input!B7235&lt;=700),Input!B7235,""),"")</f>
        <v/>
      </c>
      <c r="C7235">
        <f>IF(B7235="","",INT(A7235))</f>
        <v/>
      </c>
      <c r="D7235">
        <f>IF(B7235="","",HOUR(A7235))</f>
        <v/>
      </c>
    </row>
    <row r="7236">
      <c r="A7236">
        <f>Input!A7236</f>
        <v/>
      </c>
      <c r="B7236">
        <f>IF(ISNUMBER(Input!B7236),IF(AND(Input!B7236&gt;=20,Input!B7236&lt;=700),Input!B7236,""),"")</f>
        <v/>
      </c>
      <c r="C7236">
        <f>IF(B7236="","",INT(A7236))</f>
        <v/>
      </c>
      <c r="D7236">
        <f>IF(B7236="","",HOUR(A7236))</f>
        <v/>
      </c>
    </row>
    <row r="7237">
      <c r="A7237">
        <f>Input!A7237</f>
        <v/>
      </c>
      <c r="B7237">
        <f>IF(ISNUMBER(Input!B7237),IF(AND(Input!B7237&gt;=20,Input!B7237&lt;=700),Input!B7237,""),"")</f>
        <v/>
      </c>
      <c r="C7237">
        <f>IF(B7237="","",INT(A7237))</f>
        <v/>
      </c>
      <c r="D7237">
        <f>IF(B7237="","",HOUR(A7237))</f>
        <v/>
      </c>
    </row>
    <row r="7238">
      <c r="A7238">
        <f>Input!A7238</f>
        <v/>
      </c>
      <c r="B7238">
        <f>IF(ISNUMBER(Input!B7238),IF(AND(Input!B7238&gt;=20,Input!B7238&lt;=700),Input!B7238,""),"")</f>
        <v/>
      </c>
      <c r="C7238">
        <f>IF(B7238="","",INT(A7238))</f>
        <v/>
      </c>
      <c r="D7238">
        <f>IF(B7238="","",HOUR(A7238))</f>
        <v/>
      </c>
    </row>
    <row r="7239">
      <c r="A7239">
        <f>Input!A7239</f>
        <v/>
      </c>
      <c r="B7239">
        <f>IF(ISNUMBER(Input!B7239),IF(AND(Input!B7239&gt;=20,Input!B7239&lt;=700),Input!B7239,""),"")</f>
        <v/>
      </c>
      <c r="C7239">
        <f>IF(B7239="","",INT(A7239))</f>
        <v/>
      </c>
      <c r="D7239">
        <f>IF(B7239="","",HOUR(A7239))</f>
        <v/>
      </c>
    </row>
    <row r="7240">
      <c r="A7240">
        <f>Input!A7240</f>
        <v/>
      </c>
      <c r="B7240">
        <f>IF(ISNUMBER(Input!B7240),IF(AND(Input!B7240&gt;=20,Input!B7240&lt;=700),Input!B7240,""),"")</f>
        <v/>
      </c>
      <c r="C7240">
        <f>IF(B7240="","",INT(A7240))</f>
        <v/>
      </c>
      <c r="D7240">
        <f>IF(B7240="","",HOUR(A7240))</f>
        <v/>
      </c>
    </row>
    <row r="7241">
      <c r="A7241">
        <f>Input!A7241</f>
        <v/>
      </c>
      <c r="B7241">
        <f>IF(ISNUMBER(Input!B7241),IF(AND(Input!B7241&gt;=20,Input!B7241&lt;=700),Input!B7241,""),"")</f>
        <v/>
      </c>
      <c r="C7241">
        <f>IF(B7241="","",INT(A7241))</f>
        <v/>
      </c>
      <c r="D7241">
        <f>IF(B7241="","",HOUR(A7241))</f>
        <v/>
      </c>
    </row>
    <row r="7242">
      <c r="A7242">
        <f>Input!A7242</f>
        <v/>
      </c>
      <c r="B7242">
        <f>IF(ISNUMBER(Input!B7242),IF(AND(Input!B7242&gt;=20,Input!B7242&lt;=700),Input!B7242,""),"")</f>
        <v/>
      </c>
      <c r="C7242">
        <f>IF(B7242="","",INT(A7242))</f>
        <v/>
      </c>
      <c r="D7242">
        <f>IF(B7242="","",HOUR(A7242))</f>
        <v/>
      </c>
    </row>
    <row r="7243">
      <c r="A7243">
        <f>Input!A7243</f>
        <v/>
      </c>
      <c r="B7243">
        <f>IF(ISNUMBER(Input!B7243),IF(AND(Input!B7243&gt;=20,Input!B7243&lt;=700),Input!B7243,""),"")</f>
        <v/>
      </c>
      <c r="C7243">
        <f>IF(B7243="","",INT(A7243))</f>
        <v/>
      </c>
      <c r="D7243">
        <f>IF(B7243="","",HOUR(A7243))</f>
        <v/>
      </c>
    </row>
    <row r="7244">
      <c r="A7244">
        <f>Input!A7244</f>
        <v/>
      </c>
      <c r="B7244">
        <f>IF(ISNUMBER(Input!B7244),IF(AND(Input!B7244&gt;=20,Input!B7244&lt;=700),Input!B7244,""),"")</f>
        <v/>
      </c>
      <c r="C7244">
        <f>IF(B7244="","",INT(A7244))</f>
        <v/>
      </c>
      <c r="D7244">
        <f>IF(B7244="","",HOUR(A7244))</f>
        <v/>
      </c>
    </row>
    <row r="7245">
      <c r="A7245">
        <f>Input!A7245</f>
        <v/>
      </c>
      <c r="B7245">
        <f>IF(ISNUMBER(Input!B7245),IF(AND(Input!B7245&gt;=20,Input!B7245&lt;=700),Input!B7245,""),"")</f>
        <v/>
      </c>
      <c r="C7245">
        <f>IF(B7245="","",INT(A7245))</f>
        <v/>
      </c>
      <c r="D7245">
        <f>IF(B7245="","",HOUR(A7245))</f>
        <v/>
      </c>
    </row>
    <row r="7246">
      <c r="A7246">
        <f>Input!A7246</f>
        <v/>
      </c>
      <c r="B7246">
        <f>IF(ISNUMBER(Input!B7246),IF(AND(Input!B7246&gt;=20,Input!B7246&lt;=700),Input!B7246,""),"")</f>
        <v/>
      </c>
      <c r="C7246">
        <f>IF(B7246="","",INT(A7246))</f>
        <v/>
      </c>
      <c r="D7246">
        <f>IF(B7246="","",HOUR(A7246))</f>
        <v/>
      </c>
    </row>
    <row r="7247">
      <c r="A7247">
        <f>Input!A7247</f>
        <v/>
      </c>
      <c r="B7247">
        <f>IF(ISNUMBER(Input!B7247),IF(AND(Input!B7247&gt;=20,Input!B7247&lt;=700),Input!B7247,""),"")</f>
        <v/>
      </c>
      <c r="C7247">
        <f>IF(B7247="","",INT(A7247))</f>
        <v/>
      </c>
      <c r="D7247">
        <f>IF(B7247="","",HOUR(A7247))</f>
        <v/>
      </c>
    </row>
    <row r="7248">
      <c r="A7248">
        <f>Input!A7248</f>
        <v/>
      </c>
      <c r="B7248">
        <f>IF(ISNUMBER(Input!B7248),IF(AND(Input!B7248&gt;=20,Input!B7248&lt;=700),Input!B7248,""),"")</f>
        <v/>
      </c>
      <c r="C7248">
        <f>IF(B7248="","",INT(A7248))</f>
        <v/>
      </c>
      <c r="D7248">
        <f>IF(B7248="","",HOUR(A7248))</f>
        <v/>
      </c>
    </row>
    <row r="7249">
      <c r="A7249">
        <f>Input!A7249</f>
        <v/>
      </c>
      <c r="B7249">
        <f>IF(ISNUMBER(Input!B7249),IF(AND(Input!B7249&gt;=20,Input!B7249&lt;=700),Input!B7249,""),"")</f>
        <v/>
      </c>
      <c r="C7249">
        <f>IF(B7249="","",INT(A7249))</f>
        <v/>
      </c>
      <c r="D7249">
        <f>IF(B7249="","",HOUR(A7249))</f>
        <v/>
      </c>
    </row>
    <row r="7250">
      <c r="A7250">
        <f>Input!A7250</f>
        <v/>
      </c>
      <c r="B7250">
        <f>IF(ISNUMBER(Input!B7250),IF(AND(Input!B7250&gt;=20,Input!B7250&lt;=700),Input!B7250,""),"")</f>
        <v/>
      </c>
      <c r="C7250">
        <f>IF(B7250="","",INT(A7250))</f>
        <v/>
      </c>
      <c r="D7250">
        <f>IF(B7250="","",HOUR(A7250))</f>
        <v/>
      </c>
    </row>
    <row r="7251">
      <c r="A7251">
        <f>Input!A7251</f>
        <v/>
      </c>
      <c r="B7251">
        <f>IF(ISNUMBER(Input!B7251),IF(AND(Input!B7251&gt;=20,Input!B7251&lt;=700),Input!B7251,""),"")</f>
        <v/>
      </c>
      <c r="C7251">
        <f>IF(B7251="","",INT(A7251))</f>
        <v/>
      </c>
      <c r="D7251">
        <f>IF(B7251="","",HOUR(A7251))</f>
        <v/>
      </c>
    </row>
    <row r="7252">
      <c r="A7252">
        <f>Input!A7252</f>
        <v/>
      </c>
      <c r="B7252">
        <f>IF(ISNUMBER(Input!B7252),IF(AND(Input!B7252&gt;=20,Input!B7252&lt;=700),Input!B7252,""),"")</f>
        <v/>
      </c>
      <c r="C7252">
        <f>IF(B7252="","",INT(A7252))</f>
        <v/>
      </c>
      <c r="D7252">
        <f>IF(B7252="","",HOUR(A7252))</f>
        <v/>
      </c>
    </row>
    <row r="7253">
      <c r="A7253">
        <f>Input!A7253</f>
        <v/>
      </c>
      <c r="B7253">
        <f>IF(ISNUMBER(Input!B7253),IF(AND(Input!B7253&gt;=20,Input!B7253&lt;=700),Input!B7253,""),"")</f>
        <v/>
      </c>
      <c r="C7253">
        <f>IF(B7253="","",INT(A7253))</f>
        <v/>
      </c>
      <c r="D7253">
        <f>IF(B7253="","",HOUR(A7253))</f>
        <v/>
      </c>
    </row>
    <row r="7254">
      <c r="A7254">
        <f>Input!A7254</f>
        <v/>
      </c>
      <c r="B7254">
        <f>IF(ISNUMBER(Input!B7254),IF(AND(Input!B7254&gt;=20,Input!B7254&lt;=700),Input!B7254,""),"")</f>
        <v/>
      </c>
      <c r="C7254">
        <f>IF(B7254="","",INT(A7254))</f>
        <v/>
      </c>
      <c r="D7254">
        <f>IF(B7254="","",HOUR(A7254))</f>
        <v/>
      </c>
    </row>
    <row r="7255">
      <c r="A7255">
        <f>Input!A7255</f>
        <v/>
      </c>
      <c r="B7255">
        <f>IF(ISNUMBER(Input!B7255),IF(AND(Input!B7255&gt;=20,Input!B7255&lt;=700),Input!B7255,""),"")</f>
        <v/>
      </c>
      <c r="C7255">
        <f>IF(B7255="","",INT(A7255))</f>
        <v/>
      </c>
      <c r="D7255">
        <f>IF(B7255="","",HOUR(A7255))</f>
        <v/>
      </c>
    </row>
    <row r="7256">
      <c r="A7256">
        <f>Input!A7256</f>
        <v/>
      </c>
      <c r="B7256">
        <f>IF(ISNUMBER(Input!B7256),IF(AND(Input!B7256&gt;=20,Input!B7256&lt;=700),Input!B7256,""),"")</f>
        <v/>
      </c>
      <c r="C7256">
        <f>IF(B7256="","",INT(A7256))</f>
        <v/>
      </c>
      <c r="D7256">
        <f>IF(B7256="","",HOUR(A7256))</f>
        <v/>
      </c>
    </row>
    <row r="7257">
      <c r="A7257">
        <f>Input!A7257</f>
        <v/>
      </c>
      <c r="B7257">
        <f>IF(ISNUMBER(Input!B7257),IF(AND(Input!B7257&gt;=20,Input!B7257&lt;=700),Input!B7257,""),"")</f>
        <v/>
      </c>
      <c r="C7257">
        <f>IF(B7257="","",INT(A7257))</f>
        <v/>
      </c>
      <c r="D7257">
        <f>IF(B7257="","",HOUR(A7257))</f>
        <v/>
      </c>
    </row>
    <row r="7258">
      <c r="A7258">
        <f>Input!A7258</f>
        <v/>
      </c>
      <c r="B7258">
        <f>IF(ISNUMBER(Input!B7258),IF(AND(Input!B7258&gt;=20,Input!B7258&lt;=700),Input!B7258,""),"")</f>
        <v/>
      </c>
      <c r="C7258">
        <f>IF(B7258="","",INT(A7258))</f>
        <v/>
      </c>
      <c r="D7258">
        <f>IF(B7258="","",HOUR(A7258))</f>
        <v/>
      </c>
    </row>
    <row r="7259">
      <c r="A7259">
        <f>Input!A7259</f>
        <v/>
      </c>
      <c r="B7259">
        <f>IF(ISNUMBER(Input!B7259),IF(AND(Input!B7259&gt;=20,Input!B7259&lt;=700),Input!B7259,""),"")</f>
        <v/>
      </c>
      <c r="C7259">
        <f>IF(B7259="","",INT(A7259))</f>
        <v/>
      </c>
      <c r="D7259">
        <f>IF(B7259="","",HOUR(A7259))</f>
        <v/>
      </c>
    </row>
    <row r="7260">
      <c r="A7260">
        <f>Input!A7260</f>
        <v/>
      </c>
      <c r="B7260">
        <f>IF(ISNUMBER(Input!B7260),IF(AND(Input!B7260&gt;=20,Input!B7260&lt;=700),Input!B7260,""),"")</f>
        <v/>
      </c>
      <c r="C7260">
        <f>IF(B7260="","",INT(A7260))</f>
        <v/>
      </c>
      <c r="D7260">
        <f>IF(B7260="","",HOUR(A7260))</f>
        <v/>
      </c>
    </row>
    <row r="7261">
      <c r="A7261">
        <f>Input!A7261</f>
        <v/>
      </c>
      <c r="B7261">
        <f>IF(ISNUMBER(Input!B7261),IF(AND(Input!B7261&gt;=20,Input!B7261&lt;=700),Input!B7261,""),"")</f>
        <v/>
      </c>
      <c r="C7261">
        <f>IF(B7261="","",INT(A7261))</f>
        <v/>
      </c>
      <c r="D7261">
        <f>IF(B7261="","",HOUR(A7261))</f>
        <v/>
      </c>
    </row>
    <row r="7262">
      <c r="A7262">
        <f>Input!A7262</f>
        <v/>
      </c>
      <c r="B7262">
        <f>IF(ISNUMBER(Input!B7262),IF(AND(Input!B7262&gt;=20,Input!B7262&lt;=700),Input!B7262,""),"")</f>
        <v/>
      </c>
      <c r="C7262">
        <f>IF(B7262="","",INT(A7262))</f>
        <v/>
      </c>
      <c r="D7262">
        <f>IF(B7262="","",HOUR(A7262))</f>
        <v/>
      </c>
    </row>
    <row r="7263">
      <c r="A7263">
        <f>Input!A7263</f>
        <v/>
      </c>
      <c r="B7263">
        <f>IF(ISNUMBER(Input!B7263),IF(AND(Input!B7263&gt;=20,Input!B7263&lt;=700),Input!B7263,""),"")</f>
        <v/>
      </c>
      <c r="C7263">
        <f>IF(B7263="","",INT(A7263))</f>
        <v/>
      </c>
      <c r="D7263">
        <f>IF(B7263="","",HOUR(A7263))</f>
        <v/>
      </c>
    </row>
    <row r="7264">
      <c r="A7264">
        <f>Input!A7264</f>
        <v/>
      </c>
      <c r="B7264">
        <f>IF(ISNUMBER(Input!B7264),IF(AND(Input!B7264&gt;=20,Input!B7264&lt;=700),Input!B7264,""),"")</f>
        <v/>
      </c>
      <c r="C7264">
        <f>IF(B7264="","",INT(A7264))</f>
        <v/>
      </c>
      <c r="D7264">
        <f>IF(B7264="","",HOUR(A7264))</f>
        <v/>
      </c>
    </row>
    <row r="7265">
      <c r="A7265">
        <f>Input!A7265</f>
        <v/>
      </c>
      <c r="B7265">
        <f>IF(ISNUMBER(Input!B7265),IF(AND(Input!B7265&gt;=20,Input!B7265&lt;=700),Input!B7265,""),"")</f>
        <v/>
      </c>
      <c r="C7265">
        <f>IF(B7265="","",INT(A7265))</f>
        <v/>
      </c>
      <c r="D7265">
        <f>IF(B7265="","",HOUR(A7265))</f>
        <v/>
      </c>
    </row>
    <row r="7266">
      <c r="A7266">
        <f>Input!A7266</f>
        <v/>
      </c>
      <c r="B7266">
        <f>IF(ISNUMBER(Input!B7266),IF(AND(Input!B7266&gt;=20,Input!B7266&lt;=700),Input!B7266,""),"")</f>
        <v/>
      </c>
      <c r="C7266">
        <f>IF(B7266="","",INT(A7266))</f>
        <v/>
      </c>
      <c r="D7266">
        <f>IF(B7266="","",HOUR(A7266))</f>
        <v/>
      </c>
    </row>
    <row r="7267">
      <c r="A7267">
        <f>Input!A7267</f>
        <v/>
      </c>
      <c r="B7267">
        <f>IF(ISNUMBER(Input!B7267),IF(AND(Input!B7267&gt;=20,Input!B7267&lt;=700),Input!B7267,""),"")</f>
        <v/>
      </c>
      <c r="C7267">
        <f>IF(B7267="","",INT(A7267))</f>
        <v/>
      </c>
      <c r="D7267">
        <f>IF(B7267="","",HOUR(A7267))</f>
        <v/>
      </c>
    </row>
    <row r="7268">
      <c r="A7268">
        <f>Input!A7268</f>
        <v/>
      </c>
      <c r="B7268">
        <f>IF(ISNUMBER(Input!B7268),IF(AND(Input!B7268&gt;=20,Input!B7268&lt;=700),Input!B7268,""),"")</f>
        <v/>
      </c>
      <c r="C7268">
        <f>IF(B7268="","",INT(A7268))</f>
        <v/>
      </c>
      <c r="D7268">
        <f>IF(B7268="","",HOUR(A7268))</f>
        <v/>
      </c>
    </row>
    <row r="7269">
      <c r="A7269">
        <f>Input!A7269</f>
        <v/>
      </c>
      <c r="B7269">
        <f>IF(ISNUMBER(Input!B7269),IF(AND(Input!B7269&gt;=20,Input!B7269&lt;=700),Input!B7269,""),"")</f>
        <v/>
      </c>
      <c r="C7269">
        <f>IF(B7269="","",INT(A7269))</f>
        <v/>
      </c>
      <c r="D7269">
        <f>IF(B7269="","",HOUR(A7269))</f>
        <v/>
      </c>
    </row>
    <row r="7270">
      <c r="A7270">
        <f>Input!A7270</f>
        <v/>
      </c>
      <c r="B7270">
        <f>IF(ISNUMBER(Input!B7270),IF(AND(Input!B7270&gt;=20,Input!B7270&lt;=700),Input!B7270,""),"")</f>
        <v/>
      </c>
      <c r="C7270">
        <f>IF(B7270="","",INT(A7270))</f>
        <v/>
      </c>
      <c r="D7270">
        <f>IF(B7270="","",HOUR(A7270))</f>
        <v/>
      </c>
    </row>
    <row r="7271">
      <c r="A7271">
        <f>Input!A7271</f>
        <v/>
      </c>
      <c r="B7271">
        <f>IF(ISNUMBER(Input!B7271),IF(AND(Input!B7271&gt;=20,Input!B7271&lt;=700),Input!B7271,""),"")</f>
        <v/>
      </c>
      <c r="C7271">
        <f>IF(B7271="","",INT(A7271))</f>
        <v/>
      </c>
      <c r="D7271">
        <f>IF(B7271="","",HOUR(A7271))</f>
        <v/>
      </c>
    </row>
    <row r="7272">
      <c r="A7272">
        <f>Input!A7272</f>
        <v/>
      </c>
      <c r="B7272">
        <f>IF(ISNUMBER(Input!B7272),IF(AND(Input!B7272&gt;=20,Input!B7272&lt;=700),Input!B7272,""),"")</f>
        <v/>
      </c>
      <c r="C7272">
        <f>IF(B7272="","",INT(A7272))</f>
        <v/>
      </c>
      <c r="D7272">
        <f>IF(B7272="","",HOUR(A7272))</f>
        <v/>
      </c>
    </row>
    <row r="7273">
      <c r="A7273">
        <f>Input!A7273</f>
        <v/>
      </c>
      <c r="B7273">
        <f>IF(ISNUMBER(Input!B7273),IF(AND(Input!B7273&gt;=20,Input!B7273&lt;=700),Input!B7273,""),"")</f>
        <v/>
      </c>
      <c r="C7273">
        <f>IF(B7273="","",INT(A7273))</f>
        <v/>
      </c>
      <c r="D7273">
        <f>IF(B7273="","",HOUR(A7273))</f>
        <v/>
      </c>
    </row>
    <row r="7274">
      <c r="A7274">
        <f>Input!A7274</f>
        <v/>
      </c>
      <c r="B7274">
        <f>IF(ISNUMBER(Input!B7274),IF(AND(Input!B7274&gt;=20,Input!B7274&lt;=700),Input!B7274,""),"")</f>
        <v/>
      </c>
      <c r="C7274">
        <f>IF(B7274="","",INT(A7274))</f>
        <v/>
      </c>
      <c r="D7274">
        <f>IF(B7274="","",HOUR(A7274))</f>
        <v/>
      </c>
    </row>
    <row r="7275">
      <c r="A7275">
        <f>Input!A7275</f>
        <v/>
      </c>
      <c r="B7275">
        <f>IF(ISNUMBER(Input!B7275),IF(AND(Input!B7275&gt;=20,Input!B7275&lt;=700),Input!B7275,""),"")</f>
        <v/>
      </c>
      <c r="C7275">
        <f>IF(B7275="","",INT(A7275))</f>
        <v/>
      </c>
      <c r="D7275">
        <f>IF(B7275="","",HOUR(A7275))</f>
        <v/>
      </c>
    </row>
    <row r="7276">
      <c r="A7276">
        <f>Input!A7276</f>
        <v/>
      </c>
      <c r="B7276">
        <f>IF(ISNUMBER(Input!B7276),IF(AND(Input!B7276&gt;=20,Input!B7276&lt;=700),Input!B7276,""),"")</f>
        <v/>
      </c>
      <c r="C7276">
        <f>IF(B7276="","",INT(A7276))</f>
        <v/>
      </c>
      <c r="D7276">
        <f>IF(B7276="","",HOUR(A7276))</f>
        <v/>
      </c>
    </row>
    <row r="7277">
      <c r="A7277">
        <f>Input!A7277</f>
        <v/>
      </c>
      <c r="B7277">
        <f>IF(ISNUMBER(Input!B7277),IF(AND(Input!B7277&gt;=20,Input!B7277&lt;=700),Input!B7277,""),"")</f>
        <v/>
      </c>
      <c r="C7277">
        <f>IF(B7277="","",INT(A7277))</f>
        <v/>
      </c>
      <c r="D7277">
        <f>IF(B7277="","",HOUR(A7277))</f>
        <v/>
      </c>
    </row>
    <row r="7278">
      <c r="A7278">
        <f>Input!A7278</f>
        <v/>
      </c>
      <c r="B7278">
        <f>IF(ISNUMBER(Input!B7278),IF(AND(Input!B7278&gt;=20,Input!B7278&lt;=700),Input!B7278,""),"")</f>
        <v/>
      </c>
      <c r="C7278">
        <f>IF(B7278="","",INT(A7278))</f>
        <v/>
      </c>
      <c r="D7278">
        <f>IF(B7278="","",HOUR(A7278))</f>
        <v/>
      </c>
    </row>
    <row r="7279">
      <c r="A7279">
        <f>Input!A7279</f>
        <v/>
      </c>
      <c r="B7279">
        <f>IF(ISNUMBER(Input!B7279),IF(AND(Input!B7279&gt;=20,Input!B7279&lt;=700),Input!B7279,""),"")</f>
        <v/>
      </c>
      <c r="C7279">
        <f>IF(B7279="","",INT(A7279))</f>
        <v/>
      </c>
      <c r="D7279">
        <f>IF(B7279="","",HOUR(A7279))</f>
        <v/>
      </c>
    </row>
    <row r="7280">
      <c r="A7280">
        <f>Input!A7280</f>
        <v/>
      </c>
      <c r="B7280">
        <f>IF(ISNUMBER(Input!B7280),IF(AND(Input!B7280&gt;=20,Input!B7280&lt;=700),Input!B7280,""),"")</f>
        <v/>
      </c>
      <c r="C7280">
        <f>IF(B7280="","",INT(A7280))</f>
        <v/>
      </c>
      <c r="D7280">
        <f>IF(B7280="","",HOUR(A7280))</f>
        <v/>
      </c>
    </row>
    <row r="7281">
      <c r="A7281">
        <f>Input!A7281</f>
        <v/>
      </c>
      <c r="B7281">
        <f>IF(ISNUMBER(Input!B7281),IF(AND(Input!B7281&gt;=20,Input!B7281&lt;=700),Input!B7281,""),"")</f>
        <v/>
      </c>
      <c r="C7281">
        <f>IF(B7281="","",INT(A7281))</f>
        <v/>
      </c>
      <c r="D7281">
        <f>IF(B7281="","",HOUR(A7281))</f>
        <v/>
      </c>
    </row>
    <row r="7282">
      <c r="A7282">
        <f>Input!A7282</f>
        <v/>
      </c>
      <c r="B7282">
        <f>IF(ISNUMBER(Input!B7282),IF(AND(Input!B7282&gt;=20,Input!B7282&lt;=700),Input!B7282,""),"")</f>
        <v/>
      </c>
      <c r="C7282">
        <f>IF(B7282="","",INT(A7282))</f>
        <v/>
      </c>
      <c r="D7282">
        <f>IF(B7282="","",HOUR(A7282))</f>
        <v/>
      </c>
    </row>
    <row r="7283">
      <c r="A7283">
        <f>Input!A7283</f>
        <v/>
      </c>
      <c r="B7283">
        <f>IF(ISNUMBER(Input!B7283),IF(AND(Input!B7283&gt;=20,Input!B7283&lt;=700),Input!B7283,""),"")</f>
        <v/>
      </c>
      <c r="C7283">
        <f>IF(B7283="","",INT(A7283))</f>
        <v/>
      </c>
      <c r="D7283">
        <f>IF(B7283="","",HOUR(A7283))</f>
        <v/>
      </c>
    </row>
    <row r="7284">
      <c r="A7284">
        <f>Input!A7284</f>
        <v/>
      </c>
      <c r="B7284">
        <f>IF(ISNUMBER(Input!B7284),IF(AND(Input!B7284&gt;=20,Input!B7284&lt;=700),Input!B7284,""),"")</f>
        <v/>
      </c>
      <c r="C7284">
        <f>IF(B7284="","",INT(A7284))</f>
        <v/>
      </c>
      <c r="D7284">
        <f>IF(B7284="","",HOUR(A7284))</f>
        <v/>
      </c>
    </row>
    <row r="7285">
      <c r="A7285">
        <f>Input!A7285</f>
        <v/>
      </c>
      <c r="B7285">
        <f>IF(ISNUMBER(Input!B7285),IF(AND(Input!B7285&gt;=20,Input!B7285&lt;=700),Input!B7285,""),"")</f>
        <v/>
      </c>
      <c r="C7285">
        <f>IF(B7285="","",INT(A7285))</f>
        <v/>
      </c>
      <c r="D7285">
        <f>IF(B7285="","",HOUR(A7285))</f>
        <v/>
      </c>
    </row>
    <row r="7286">
      <c r="A7286">
        <f>Input!A7286</f>
        <v/>
      </c>
      <c r="B7286">
        <f>IF(ISNUMBER(Input!B7286),IF(AND(Input!B7286&gt;=20,Input!B7286&lt;=700),Input!B7286,""),"")</f>
        <v/>
      </c>
      <c r="C7286">
        <f>IF(B7286="","",INT(A7286))</f>
        <v/>
      </c>
      <c r="D7286">
        <f>IF(B7286="","",HOUR(A7286))</f>
        <v/>
      </c>
    </row>
    <row r="7287">
      <c r="A7287">
        <f>Input!A7287</f>
        <v/>
      </c>
      <c r="B7287">
        <f>IF(ISNUMBER(Input!B7287),IF(AND(Input!B7287&gt;=20,Input!B7287&lt;=700),Input!B7287,""),"")</f>
        <v/>
      </c>
      <c r="C7287">
        <f>IF(B7287="","",INT(A7287))</f>
        <v/>
      </c>
      <c r="D7287">
        <f>IF(B7287="","",HOUR(A7287))</f>
        <v/>
      </c>
    </row>
    <row r="7288">
      <c r="A7288">
        <f>Input!A7288</f>
        <v/>
      </c>
      <c r="B7288">
        <f>IF(ISNUMBER(Input!B7288),IF(AND(Input!B7288&gt;=20,Input!B7288&lt;=700),Input!B7288,""),"")</f>
        <v/>
      </c>
      <c r="C7288">
        <f>IF(B7288="","",INT(A7288))</f>
        <v/>
      </c>
      <c r="D7288">
        <f>IF(B7288="","",HOUR(A7288))</f>
        <v/>
      </c>
    </row>
    <row r="7289">
      <c r="A7289">
        <f>Input!A7289</f>
        <v/>
      </c>
      <c r="B7289">
        <f>IF(ISNUMBER(Input!B7289),IF(AND(Input!B7289&gt;=20,Input!B7289&lt;=700),Input!B7289,""),"")</f>
        <v/>
      </c>
      <c r="C7289">
        <f>IF(B7289="","",INT(A7289))</f>
        <v/>
      </c>
      <c r="D7289">
        <f>IF(B7289="","",HOUR(A7289))</f>
        <v/>
      </c>
    </row>
    <row r="7290">
      <c r="A7290">
        <f>Input!A7290</f>
        <v/>
      </c>
      <c r="B7290">
        <f>IF(ISNUMBER(Input!B7290),IF(AND(Input!B7290&gt;=20,Input!B7290&lt;=700),Input!B7290,""),"")</f>
        <v/>
      </c>
      <c r="C7290">
        <f>IF(B7290="","",INT(A7290))</f>
        <v/>
      </c>
      <c r="D7290">
        <f>IF(B7290="","",HOUR(A7290))</f>
        <v/>
      </c>
    </row>
    <row r="7291">
      <c r="A7291">
        <f>Input!A7291</f>
        <v/>
      </c>
      <c r="B7291">
        <f>IF(ISNUMBER(Input!B7291),IF(AND(Input!B7291&gt;=20,Input!B7291&lt;=700),Input!B7291,""),"")</f>
        <v/>
      </c>
      <c r="C7291">
        <f>IF(B7291="","",INT(A7291))</f>
        <v/>
      </c>
      <c r="D7291">
        <f>IF(B7291="","",HOUR(A7291))</f>
        <v/>
      </c>
    </row>
    <row r="7292">
      <c r="A7292">
        <f>Input!A7292</f>
        <v/>
      </c>
      <c r="B7292">
        <f>IF(ISNUMBER(Input!B7292),IF(AND(Input!B7292&gt;=20,Input!B7292&lt;=700),Input!B7292,""),"")</f>
        <v/>
      </c>
      <c r="C7292">
        <f>IF(B7292="","",INT(A7292))</f>
        <v/>
      </c>
      <c r="D7292">
        <f>IF(B7292="","",HOUR(A7292))</f>
        <v/>
      </c>
    </row>
    <row r="7293">
      <c r="A7293">
        <f>Input!A7293</f>
        <v/>
      </c>
      <c r="B7293">
        <f>IF(ISNUMBER(Input!B7293),IF(AND(Input!B7293&gt;=20,Input!B7293&lt;=700),Input!B7293,""),"")</f>
        <v/>
      </c>
      <c r="C7293">
        <f>IF(B7293="","",INT(A7293))</f>
        <v/>
      </c>
      <c r="D7293">
        <f>IF(B7293="","",HOUR(A7293))</f>
        <v/>
      </c>
    </row>
    <row r="7294">
      <c r="A7294">
        <f>Input!A7294</f>
        <v/>
      </c>
      <c r="B7294">
        <f>IF(ISNUMBER(Input!B7294),IF(AND(Input!B7294&gt;=20,Input!B7294&lt;=700),Input!B7294,""),"")</f>
        <v/>
      </c>
      <c r="C7294">
        <f>IF(B7294="","",INT(A7294))</f>
        <v/>
      </c>
      <c r="D7294">
        <f>IF(B7294="","",HOUR(A7294))</f>
        <v/>
      </c>
    </row>
    <row r="7295">
      <c r="A7295">
        <f>Input!A7295</f>
        <v/>
      </c>
      <c r="B7295">
        <f>IF(ISNUMBER(Input!B7295),IF(AND(Input!B7295&gt;=20,Input!B7295&lt;=700),Input!B7295,""),"")</f>
        <v/>
      </c>
      <c r="C7295">
        <f>IF(B7295="","",INT(A7295))</f>
        <v/>
      </c>
      <c r="D7295">
        <f>IF(B7295="","",HOUR(A7295))</f>
        <v/>
      </c>
    </row>
    <row r="7296">
      <c r="A7296">
        <f>Input!A7296</f>
        <v/>
      </c>
      <c r="B7296">
        <f>IF(ISNUMBER(Input!B7296),IF(AND(Input!B7296&gt;=20,Input!B7296&lt;=700),Input!B7296,""),"")</f>
        <v/>
      </c>
      <c r="C7296">
        <f>IF(B7296="","",INT(A7296))</f>
        <v/>
      </c>
      <c r="D7296">
        <f>IF(B7296="","",HOUR(A7296))</f>
        <v/>
      </c>
    </row>
    <row r="7297">
      <c r="A7297">
        <f>Input!A7297</f>
        <v/>
      </c>
      <c r="B7297">
        <f>IF(ISNUMBER(Input!B7297),IF(AND(Input!B7297&gt;=20,Input!B7297&lt;=700),Input!B7297,""),"")</f>
        <v/>
      </c>
      <c r="C7297">
        <f>IF(B7297="","",INT(A7297))</f>
        <v/>
      </c>
      <c r="D7297">
        <f>IF(B7297="","",HOUR(A7297))</f>
        <v/>
      </c>
    </row>
    <row r="7298">
      <c r="A7298">
        <f>Input!A7298</f>
        <v/>
      </c>
      <c r="B7298">
        <f>IF(ISNUMBER(Input!B7298),IF(AND(Input!B7298&gt;=20,Input!B7298&lt;=700),Input!B7298,""),"")</f>
        <v/>
      </c>
      <c r="C7298">
        <f>IF(B7298="","",INT(A7298))</f>
        <v/>
      </c>
      <c r="D7298">
        <f>IF(B7298="","",HOUR(A7298))</f>
        <v/>
      </c>
    </row>
    <row r="7299">
      <c r="A7299">
        <f>Input!A7299</f>
        <v/>
      </c>
      <c r="B7299">
        <f>IF(ISNUMBER(Input!B7299),IF(AND(Input!B7299&gt;=20,Input!B7299&lt;=700),Input!B7299,""),"")</f>
        <v/>
      </c>
      <c r="C7299">
        <f>IF(B7299="","",INT(A7299))</f>
        <v/>
      </c>
      <c r="D7299">
        <f>IF(B7299="","",HOUR(A7299))</f>
        <v/>
      </c>
    </row>
    <row r="7300">
      <c r="A7300">
        <f>Input!A7300</f>
        <v/>
      </c>
      <c r="B7300">
        <f>IF(ISNUMBER(Input!B7300),IF(AND(Input!B7300&gt;=20,Input!B7300&lt;=700),Input!B7300,""),"")</f>
        <v/>
      </c>
      <c r="C7300">
        <f>IF(B7300="","",INT(A7300))</f>
        <v/>
      </c>
      <c r="D7300">
        <f>IF(B7300="","",HOUR(A7300))</f>
        <v/>
      </c>
    </row>
    <row r="7301">
      <c r="A7301">
        <f>Input!A7301</f>
        <v/>
      </c>
      <c r="B7301">
        <f>IF(ISNUMBER(Input!B7301),IF(AND(Input!B7301&gt;=20,Input!B7301&lt;=700),Input!B7301,""),"")</f>
        <v/>
      </c>
      <c r="C7301">
        <f>IF(B7301="","",INT(A7301))</f>
        <v/>
      </c>
      <c r="D7301">
        <f>IF(B7301="","",HOUR(A7301))</f>
        <v/>
      </c>
    </row>
    <row r="7302">
      <c r="A7302">
        <f>Input!A7302</f>
        <v/>
      </c>
      <c r="B7302">
        <f>IF(ISNUMBER(Input!B7302),IF(AND(Input!B7302&gt;=20,Input!B7302&lt;=700),Input!B7302,""),"")</f>
        <v/>
      </c>
      <c r="C7302">
        <f>IF(B7302="","",INT(A7302))</f>
        <v/>
      </c>
      <c r="D7302">
        <f>IF(B7302="","",HOUR(A7302))</f>
        <v/>
      </c>
    </row>
    <row r="7303">
      <c r="A7303">
        <f>Input!A7303</f>
        <v/>
      </c>
      <c r="B7303">
        <f>IF(ISNUMBER(Input!B7303),IF(AND(Input!B7303&gt;=20,Input!B7303&lt;=700),Input!B7303,""),"")</f>
        <v/>
      </c>
      <c r="C7303">
        <f>IF(B7303="","",INT(A7303))</f>
        <v/>
      </c>
      <c r="D7303">
        <f>IF(B7303="","",HOUR(A7303))</f>
        <v/>
      </c>
    </row>
    <row r="7304">
      <c r="A7304">
        <f>Input!A7304</f>
        <v/>
      </c>
      <c r="B7304">
        <f>IF(ISNUMBER(Input!B7304),IF(AND(Input!B7304&gt;=20,Input!B7304&lt;=700),Input!B7304,""),"")</f>
        <v/>
      </c>
      <c r="C7304">
        <f>IF(B7304="","",INT(A7304))</f>
        <v/>
      </c>
      <c r="D7304">
        <f>IF(B7304="","",HOUR(A7304))</f>
        <v/>
      </c>
    </row>
    <row r="7305">
      <c r="A7305">
        <f>Input!A7305</f>
        <v/>
      </c>
      <c r="B7305">
        <f>IF(ISNUMBER(Input!B7305),IF(AND(Input!B7305&gt;=20,Input!B7305&lt;=700),Input!B7305,""),"")</f>
        <v/>
      </c>
      <c r="C7305">
        <f>IF(B7305="","",INT(A7305))</f>
        <v/>
      </c>
      <c r="D7305">
        <f>IF(B7305="","",HOUR(A7305))</f>
        <v/>
      </c>
    </row>
    <row r="7306">
      <c r="A7306">
        <f>Input!A7306</f>
        <v/>
      </c>
      <c r="B7306">
        <f>IF(ISNUMBER(Input!B7306),IF(AND(Input!B7306&gt;=20,Input!B7306&lt;=700),Input!B7306,""),"")</f>
        <v/>
      </c>
      <c r="C7306">
        <f>IF(B7306="","",INT(A7306))</f>
        <v/>
      </c>
      <c r="D7306">
        <f>IF(B7306="","",HOUR(A7306))</f>
        <v/>
      </c>
    </row>
    <row r="7307">
      <c r="A7307">
        <f>Input!A7307</f>
        <v/>
      </c>
      <c r="B7307">
        <f>IF(ISNUMBER(Input!B7307),IF(AND(Input!B7307&gt;=20,Input!B7307&lt;=700),Input!B7307,""),"")</f>
        <v/>
      </c>
      <c r="C7307">
        <f>IF(B7307="","",INT(A7307))</f>
        <v/>
      </c>
      <c r="D7307">
        <f>IF(B7307="","",HOUR(A7307))</f>
        <v/>
      </c>
    </row>
    <row r="7308">
      <c r="A7308">
        <f>Input!A7308</f>
        <v/>
      </c>
      <c r="B7308">
        <f>IF(ISNUMBER(Input!B7308),IF(AND(Input!B7308&gt;=20,Input!B7308&lt;=700),Input!B7308,""),"")</f>
        <v/>
      </c>
      <c r="C7308">
        <f>IF(B7308="","",INT(A7308))</f>
        <v/>
      </c>
      <c r="D7308">
        <f>IF(B7308="","",HOUR(A7308))</f>
        <v/>
      </c>
    </row>
    <row r="7309">
      <c r="A7309">
        <f>Input!A7309</f>
        <v/>
      </c>
      <c r="B7309">
        <f>IF(ISNUMBER(Input!B7309),IF(AND(Input!B7309&gt;=20,Input!B7309&lt;=700),Input!B7309,""),"")</f>
        <v/>
      </c>
      <c r="C7309">
        <f>IF(B7309="","",INT(A7309))</f>
        <v/>
      </c>
      <c r="D7309">
        <f>IF(B7309="","",HOUR(A7309))</f>
        <v/>
      </c>
    </row>
    <row r="7310">
      <c r="A7310">
        <f>Input!A7310</f>
        <v/>
      </c>
      <c r="B7310">
        <f>IF(ISNUMBER(Input!B7310),IF(AND(Input!B7310&gt;=20,Input!B7310&lt;=700),Input!B7310,""),"")</f>
        <v/>
      </c>
      <c r="C7310">
        <f>IF(B7310="","",INT(A7310))</f>
        <v/>
      </c>
      <c r="D7310">
        <f>IF(B7310="","",HOUR(A7310))</f>
        <v/>
      </c>
    </row>
    <row r="7311">
      <c r="A7311">
        <f>Input!A7311</f>
        <v/>
      </c>
      <c r="B7311">
        <f>IF(ISNUMBER(Input!B7311),IF(AND(Input!B7311&gt;=20,Input!B7311&lt;=700),Input!B7311,""),"")</f>
        <v/>
      </c>
      <c r="C7311">
        <f>IF(B7311="","",INT(A7311))</f>
        <v/>
      </c>
      <c r="D7311">
        <f>IF(B7311="","",HOUR(A7311))</f>
        <v/>
      </c>
    </row>
    <row r="7312">
      <c r="A7312">
        <f>Input!A7312</f>
        <v/>
      </c>
      <c r="B7312">
        <f>IF(ISNUMBER(Input!B7312),IF(AND(Input!B7312&gt;=20,Input!B7312&lt;=700),Input!B7312,""),"")</f>
        <v/>
      </c>
      <c r="C7312">
        <f>IF(B7312="","",INT(A7312))</f>
        <v/>
      </c>
      <c r="D7312">
        <f>IF(B7312="","",HOUR(A7312))</f>
        <v/>
      </c>
    </row>
    <row r="7313">
      <c r="A7313">
        <f>Input!A7313</f>
        <v/>
      </c>
      <c r="B7313">
        <f>IF(ISNUMBER(Input!B7313),IF(AND(Input!B7313&gt;=20,Input!B7313&lt;=700),Input!B7313,""),"")</f>
        <v/>
      </c>
      <c r="C7313">
        <f>IF(B7313="","",INT(A7313))</f>
        <v/>
      </c>
      <c r="D7313">
        <f>IF(B7313="","",HOUR(A7313))</f>
        <v/>
      </c>
    </row>
    <row r="7314">
      <c r="A7314">
        <f>Input!A7314</f>
        <v/>
      </c>
      <c r="B7314">
        <f>IF(ISNUMBER(Input!B7314),IF(AND(Input!B7314&gt;=20,Input!B7314&lt;=700),Input!B7314,""),"")</f>
        <v/>
      </c>
      <c r="C7314">
        <f>IF(B7314="","",INT(A7314))</f>
        <v/>
      </c>
      <c r="D7314">
        <f>IF(B7314="","",HOUR(A7314))</f>
        <v/>
      </c>
    </row>
    <row r="7315">
      <c r="A7315">
        <f>Input!A7315</f>
        <v/>
      </c>
      <c r="B7315">
        <f>IF(ISNUMBER(Input!B7315),IF(AND(Input!B7315&gt;=20,Input!B7315&lt;=700),Input!B7315,""),"")</f>
        <v/>
      </c>
      <c r="C7315">
        <f>IF(B7315="","",INT(A7315))</f>
        <v/>
      </c>
      <c r="D7315">
        <f>IF(B7315="","",HOUR(A7315))</f>
        <v/>
      </c>
    </row>
    <row r="7316">
      <c r="A7316">
        <f>Input!A7316</f>
        <v/>
      </c>
      <c r="B7316">
        <f>IF(ISNUMBER(Input!B7316),IF(AND(Input!B7316&gt;=20,Input!B7316&lt;=700),Input!B7316,""),"")</f>
        <v/>
      </c>
      <c r="C7316">
        <f>IF(B7316="","",INT(A7316))</f>
        <v/>
      </c>
      <c r="D7316">
        <f>IF(B7316="","",HOUR(A7316))</f>
        <v/>
      </c>
    </row>
    <row r="7317">
      <c r="A7317">
        <f>Input!A7317</f>
        <v/>
      </c>
      <c r="B7317">
        <f>IF(ISNUMBER(Input!B7317),IF(AND(Input!B7317&gt;=20,Input!B7317&lt;=700),Input!B7317,""),"")</f>
        <v/>
      </c>
      <c r="C7317">
        <f>IF(B7317="","",INT(A7317))</f>
        <v/>
      </c>
      <c r="D7317">
        <f>IF(B7317="","",HOUR(A7317))</f>
        <v/>
      </c>
    </row>
    <row r="7318">
      <c r="A7318">
        <f>Input!A7318</f>
        <v/>
      </c>
      <c r="B7318">
        <f>IF(ISNUMBER(Input!B7318),IF(AND(Input!B7318&gt;=20,Input!B7318&lt;=700),Input!B7318,""),"")</f>
        <v/>
      </c>
      <c r="C7318">
        <f>IF(B7318="","",INT(A7318))</f>
        <v/>
      </c>
      <c r="D7318">
        <f>IF(B7318="","",HOUR(A7318))</f>
        <v/>
      </c>
    </row>
    <row r="7319">
      <c r="A7319">
        <f>Input!A7319</f>
        <v/>
      </c>
      <c r="B7319">
        <f>IF(ISNUMBER(Input!B7319),IF(AND(Input!B7319&gt;=20,Input!B7319&lt;=700),Input!B7319,""),"")</f>
        <v/>
      </c>
      <c r="C7319">
        <f>IF(B7319="","",INT(A7319))</f>
        <v/>
      </c>
      <c r="D7319">
        <f>IF(B7319="","",HOUR(A7319))</f>
        <v/>
      </c>
    </row>
    <row r="7320">
      <c r="A7320">
        <f>Input!A7320</f>
        <v/>
      </c>
      <c r="B7320">
        <f>IF(ISNUMBER(Input!B7320),IF(AND(Input!B7320&gt;=20,Input!B7320&lt;=700),Input!B7320,""),"")</f>
        <v/>
      </c>
      <c r="C7320">
        <f>IF(B7320="","",INT(A7320))</f>
        <v/>
      </c>
      <c r="D7320">
        <f>IF(B7320="","",HOUR(A7320))</f>
        <v/>
      </c>
    </row>
    <row r="7321">
      <c r="A7321">
        <f>Input!A7321</f>
        <v/>
      </c>
      <c r="B7321">
        <f>IF(ISNUMBER(Input!B7321),IF(AND(Input!B7321&gt;=20,Input!B7321&lt;=700),Input!B7321,""),"")</f>
        <v/>
      </c>
      <c r="C7321">
        <f>IF(B7321="","",INT(A7321))</f>
        <v/>
      </c>
      <c r="D7321">
        <f>IF(B7321="","",HOUR(A7321))</f>
        <v/>
      </c>
    </row>
    <row r="7322">
      <c r="A7322">
        <f>Input!A7322</f>
        <v/>
      </c>
      <c r="B7322">
        <f>IF(ISNUMBER(Input!B7322),IF(AND(Input!B7322&gt;=20,Input!B7322&lt;=700),Input!B7322,""),"")</f>
        <v/>
      </c>
      <c r="C7322">
        <f>IF(B7322="","",INT(A7322))</f>
        <v/>
      </c>
      <c r="D7322">
        <f>IF(B7322="","",HOUR(A7322))</f>
        <v/>
      </c>
    </row>
    <row r="7323">
      <c r="A7323">
        <f>Input!A7323</f>
        <v/>
      </c>
      <c r="B7323">
        <f>IF(ISNUMBER(Input!B7323),IF(AND(Input!B7323&gt;=20,Input!B7323&lt;=700),Input!B7323,""),"")</f>
        <v/>
      </c>
      <c r="C7323">
        <f>IF(B7323="","",INT(A7323))</f>
        <v/>
      </c>
      <c r="D7323">
        <f>IF(B7323="","",HOUR(A7323))</f>
        <v/>
      </c>
    </row>
    <row r="7324">
      <c r="A7324">
        <f>Input!A7324</f>
        <v/>
      </c>
      <c r="B7324">
        <f>IF(ISNUMBER(Input!B7324),IF(AND(Input!B7324&gt;=20,Input!B7324&lt;=700),Input!B7324,""),"")</f>
        <v/>
      </c>
      <c r="C7324">
        <f>IF(B7324="","",INT(A7324))</f>
        <v/>
      </c>
      <c r="D7324">
        <f>IF(B7324="","",HOUR(A7324))</f>
        <v/>
      </c>
    </row>
    <row r="7325">
      <c r="A7325">
        <f>Input!A7325</f>
        <v/>
      </c>
      <c r="B7325">
        <f>IF(ISNUMBER(Input!B7325),IF(AND(Input!B7325&gt;=20,Input!B7325&lt;=700),Input!B7325,""),"")</f>
        <v/>
      </c>
      <c r="C7325">
        <f>IF(B7325="","",INT(A7325))</f>
        <v/>
      </c>
      <c r="D7325">
        <f>IF(B7325="","",HOUR(A7325))</f>
        <v/>
      </c>
    </row>
    <row r="7326">
      <c r="A7326">
        <f>Input!A7326</f>
        <v/>
      </c>
      <c r="B7326">
        <f>IF(ISNUMBER(Input!B7326),IF(AND(Input!B7326&gt;=20,Input!B7326&lt;=700),Input!B7326,""),"")</f>
        <v/>
      </c>
      <c r="C7326">
        <f>IF(B7326="","",INT(A7326))</f>
        <v/>
      </c>
      <c r="D7326">
        <f>IF(B7326="","",HOUR(A7326))</f>
        <v/>
      </c>
    </row>
    <row r="7327">
      <c r="A7327">
        <f>Input!A7327</f>
        <v/>
      </c>
      <c r="B7327">
        <f>IF(ISNUMBER(Input!B7327),IF(AND(Input!B7327&gt;=20,Input!B7327&lt;=700),Input!B7327,""),"")</f>
        <v/>
      </c>
      <c r="C7327">
        <f>IF(B7327="","",INT(A7327))</f>
        <v/>
      </c>
      <c r="D7327">
        <f>IF(B7327="","",HOUR(A7327))</f>
        <v/>
      </c>
    </row>
    <row r="7328">
      <c r="A7328">
        <f>Input!A7328</f>
        <v/>
      </c>
      <c r="B7328">
        <f>IF(ISNUMBER(Input!B7328),IF(AND(Input!B7328&gt;=20,Input!B7328&lt;=700),Input!B7328,""),"")</f>
        <v/>
      </c>
      <c r="C7328">
        <f>IF(B7328="","",INT(A7328))</f>
        <v/>
      </c>
      <c r="D7328">
        <f>IF(B7328="","",HOUR(A7328))</f>
        <v/>
      </c>
    </row>
    <row r="7329">
      <c r="A7329">
        <f>Input!A7329</f>
        <v/>
      </c>
      <c r="B7329">
        <f>IF(ISNUMBER(Input!B7329),IF(AND(Input!B7329&gt;=20,Input!B7329&lt;=700),Input!B7329,""),"")</f>
        <v/>
      </c>
      <c r="C7329">
        <f>IF(B7329="","",INT(A7329))</f>
        <v/>
      </c>
      <c r="D7329">
        <f>IF(B7329="","",HOUR(A7329))</f>
        <v/>
      </c>
    </row>
    <row r="7330">
      <c r="A7330">
        <f>Input!A7330</f>
        <v/>
      </c>
      <c r="B7330">
        <f>IF(ISNUMBER(Input!B7330),IF(AND(Input!B7330&gt;=20,Input!B7330&lt;=700),Input!B7330,""),"")</f>
        <v/>
      </c>
      <c r="C7330">
        <f>IF(B7330="","",INT(A7330))</f>
        <v/>
      </c>
      <c r="D7330">
        <f>IF(B7330="","",HOUR(A7330))</f>
        <v/>
      </c>
    </row>
    <row r="7331">
      <c r="A7331">
        <f>Input!A7331</f>
        <v/>
      </c>
      <c r="B7331">
        <f>IF(ISNUMBER(Input!B7331),IF(AND(Input!B7331&gt;=20,Input!B7331&lt;=700),Input!B7331,""),"")</f>
        <v/>
      </c>
      <c r="C7331">
        <f>IF(B7331="","",INT(A7331))</f>
        <v/>
      </c>
      <c r="D7331">
        <f>IF(B7331="","",HOUR(A7331))</f>
        <v/>
      </c>
    </row>
    <row r="7332">
      <c r="A7332">
        <f>Input!A7332</f>
        <v/>
      </c>
      <c r="B7332">
        <f>IF(ISNUMBER(Input!B7332),IF(AND(Input!B7332&gt;=20,Input!B7332&lt;=700),Input!B7332,""),"")</f>
        <v/>
      </c>
      <c r="C7332">
        <f>IF(B7332="","",INT(A7332))</f>
        <v/>
      </c>
      <c r="D7332">
        <f>IF(B7332="","",HOUR(A7332))</f>
        <v/>
      </c>
    </row>
    <row r="7333">
      <c r="A7333">
        <f>Input!A7333</f>
        <v/>
      </c>
      <c r="B7333">
        <f>IF(ISNUMBER(Input!B7333),IF(AND(Input!B7333&gt;=20,Input!B7333&lt;=700),Input!B7333,""),"")</f>
        <v/>
      </c>
      <c r="C7333">
        <f>IF(B7333="","",INT(A7333))</f>
        <v/>
      </c>
      <c r="D7333">
        <f>IF(B7333="","",HOUR(A7333))</f>
        <v/>
      </c>
    </row>
    <row r="7334">
      <c r="A7334">
        <f>Input!A7334</f>
        <v/>
      </c>
      <c r="B7334">
        <f>IF(ISNUMBER(Input!B7334),IF(AND(Input!B7334&gt;=20,Input!B7334&lt;=700),Input!B7334,""),"")</f>
        <v/>
      </c>
      <c r="C7334">
        <f>IF(B7334="","",INT(A7334))</f>
        <v/>
      </c>
      <c r="D7334">
        <f>IF(B7334="","",HOUR(A7334))</f>
        <v/>
      </c>
    </row>
    <row r="7335">
      <c r="A7335">
        <f>Input!A7335</f>
        <v/>
      </c>
      <c r="B7335">
        <f>IF(ISNUMBER(Input!B7335),IF(AND(Input!B7335&gt;=20,Input!B7335&lt;=700),Input!B7335,""),"")</f>
        <v/>
      </c>
      <c r="C7335">
        <f>IF(B7335="","",INT(A7335))</f>
        <v/>
      </c>
      <c r="D7335">
        <f>IF(B7335="","",HOUR(A7335))</f>
        <v/>
      </c>
    </row>
    <row r="7336">
      <c r="A7336">
        <f>Input!A7336</f>
        <v/>
      </c>
      <c r="B7336">
        <f>IF(ISNUMBER(Input!B7336),IF(AND(Input!B7336&gt;=20,Input!B7336&lt;=700),Input!B7336,""),"")</f>
        <v/>
      </c>
      <c r="C7336">
        <f>IF(B7336="","",INT(A7336))</f>
        <v/>
      </c>
      <c r="D7336">
        <f>IF(B7336="","",HOUR(A7336))</f>
        <v/>
      </c>
    </row>
    <row r="7337">
      <c r="A7337">
        <f>Input!A7337</f>
        <v/>
      </c>
      <c r="B7337">
        <f>IF(ISNUMBER(Input!B7337),IF(AND(Input!B7337&gt;=20,Input!B7337&lt;=700),Input!B7337,""),"")</f>
        <v/>
      </c>
      <c r="C7337">
        <f>IF(B7337="","",INT(A7337))</f>
        <v/>
      </c>
      <c r="D7337">
        <f>IF(B7337="","",HOUR(A7337))</f>
        <v/>
      </c>
    </row>
    <row r="7338">
      <c r="A7338">
        <f>Input!A7338</f>
        <v/>
      </c>
      <c r="B7338">
        <f>IF(ISNUMBER(Input!B7338),IF(AND(Input!B7338&gt;=20,Input!B7338&lt;=700),Input!B7338,""),"")</f>
        <v/>
      </c>
      <c r="C7338">
        <f>IF(B7338="","",INT(A7338))</f>
        <v/>
      </c>
      <c r="D7338">
        <f>IF(B7338="","",HOUR(A7338))</f>
        <v/>
      </c>
    </row>
    <row r="7339">
      <c r="A7339">
        <f>Input!A7339</f>
        <v/>
      </c>
      <c r="B7339">
        <f>IF(ISNUMBER(Input!B7339),IF(AND(Input!B7339&gt;=20,Input!B7339&lt;=700),Input!B7339,""),"")</f>
        <v/>
      </c>
      <c r="C7339">
        <f>IF(B7339="","",INT(A7339))</f>
        <v/>
      </c>
      <c r="D7339">
        <f>IF(B7339="","",HOUR(A7339))</f>
        <v/>
      </c>
    </row>
    <row r="7340">
      <c r="A7340">
        <f>Input!A7340</f>
        <v/>
      </c>
      <c r="B7340">
        <f>IF(ISNUMBER(Input!B7340),IF(AND(Input!B7340&gt;=20,Input!B7340&lt;=700),Input!B7340,""),"")</f>
        <v/>
      </c>
      <c r="C7340">
        <f>IF(B7340="","",INT(A7340))</f>
        <v/>
      </c>
      <c r="D7340">
        <f>IF(B7340="","",HOUR(A7340))</f>
        <v/>
      </c>
    </row>
    <row r="7341">
      <c r="A7341">
        <f>Input!A7341</f>
        <v/>
      </c>
      <c r="B7341">
        <f>IF(ISNUMBER(Input!B7341),IF(AND(Input!B7341&gt;=20,Input!B7341&lt;=700),Input!B7341,""),"")</f>
        <v/>
      </c>
      <c r="C7341">
        <f>IF(B7341="","",INT(A7341))</f>
        <v/>
      </c>
      <c r="D7341">
        <f>IF(B7341="","",HOUR(A7341))</f>
        <v/>
      </c>
    </row>
    <row r="7342">
      <c r="A7342">
        <f>Input!A7342</f>
        <v/>
      </c>
      <c r="B7342">
        <f>IF(ISNUMBER(Input!B7342),IF(AND(Input!B7342&gt;=20,Input!B7342&lt;=700),Input!B7342,""),"")</f>
        <v/>
      </c>
      <c r="C7342">
        <f>IF(B7342="","",INT(A7342))</f>
        <v/>
      </c>
      <c r="D7342">
        <f>IF(B7342="","",HOUR(A7342))</f>
        <v/>
      </c>
    </row>
    <row r="7343">
      <c r="A7343">
        <f>Input!A7343</f>
        <v/>
      </c>
      <c r="B7343">
        <f>IF(ISNUMBER(Input!B7343),IF(AND(Input!B7343&gt;=20,Input!B7343&lt;=700),Input!B7343,""),"")</f>
        <v/>
      </c>
      <c r="C7343">
        <f>IF(B7343="","",INT(A7343))</f>
        <v/>
      </c>
      <c r="D7343">
        <f>IF(B7343="","",HOUR(A7343))</f>
        <v/>
      </c>
    </row>
    <row r="7344">
      <c r="A7344">
        <f>Input!A7344</f>
        <v/>
      </c>
      <c r="B7344">
        <f>IF(ISNUMBER(Input!B7344),IF(AND(Input!B7344&gt;=20,Input!B7344&lt;=700),Input!B7344,""),"")</f>
        <v/>
      </c>
      <c r="C7344">
        <f>IF(B7344="","",INT(A7344))</f>
        <v/>
      </c>
      <c r="D7344">
        <f>IF(B7344="","",HOUR(A7344))</f>
        <v/>
      </c>
    </row>
    <row r="7345">
      <c r="A7345">
        <f>Input!A7345</f>
        <v/>
      </c>
      <c r="B7345">
        <f>IF(ISNUMBER(Input!B7345),IF(AND(Input!B7345&gt;=20,Input!B7345&lt;=700),Input!B7345,""),"")</f>
        <v/>
      </c>
      <c r="C7345">
        <f>IF(B7345="","",INT(A7345))</f>
        <v/>
      </c>
      <c r="D7345">
        <f>IF(B7345="","",HOUR(A7345))</f>
        <v/>
      </c>
    </row>
    <row r="7346">
      <c r="A7346">
        <f>Input!A7346</f>
        <v/>
      </c>
      <c r="B7346">
        <f>IF(ISNUMBER(Input!B7346),IF(AND(Input!B7346&gt;=20,Input!B7346&lt;=700),Input!B7346,""),"")</f>
        <v/>
      </c>
      <c r="C7346">
        <f>IF(B7346="","",INT(A7346))</f>
        <v/>
      </c>
      <c r="D7346">
        <f>IF(B7346="","",HOUR(A7346))</f>
        <v/>
      </c>
    </row>
    <row r="7347">
      <c r="A7347">
        <f>Input!A7347</f>
        <v/>
      </c>
      <c r="B7347">
        <f>IF(ISNUMBER(Input!B7347),IF(AND(Input!B7347&gt;=20,Input!B7347&lt;=700),Input!B7347,""),"")</f>
        <v/>
      </c>
      <c r="C7347">
        <f>IF(B7347="","",INT(A7347))</f>
        <v/>
      </c>
      <c r="D7347">
        <f>IF(B7347="","",HOUR(A7347))</f>
        <v/>
      </c>
    </row>
    <row r="7348">
      <c r="A7348">
        <f>Input!A7348</f>
        <v/>
      </c>
      <c r="B7348">
        <f>IF(ISNUMBER(Input!B7348),IF(AND(Input!B7348&gt;=20,Input!B7348&lt;=700),Input!B7348,""),"")</f>
        <v/>
      </c>
      <c r="C7348">
        <f>IF(B7348="","",INT(A7348))</f>
        <v/>
      </c>
      <c r="D7348">
        <f>IF(B7348="","",HOUR(A7348))</f>
        <v/>
      </c>
    </row>
    <row r="7349">
      <c r="A7349">
        <f>Input!A7349</f>
        <v/>
      </c>
      <c r="B7349">
        <f>IF(ISNUMBER(Input!B7349),IF(AND(Input!B7349&gt;=20,Input!B7349&lt;=700),Input!B7349,""),"")</f>
        <v/>
      </c>
      <c r="C7349">
        <f>IF(B7349="","",INT(A7349))</f>
        <v/>
      </c>
      <c r="D7349">
        <f>IF(B7349="","",HOUR(A7349))</f>
        <v/>
      </c>
    </row>
    <row r="7350">
      <c r="A7350">
        <f>Input!A7350</f>
        <v/>
      </c>
      <c r="B7350">
        <f>IF(ISNUMBER(Input!B7350),IF(AND(Input!B7350&gt;=20,Input!B7350&lt;=700),Input!B7350,""),"")</f>
        <v/>
      </c>
      <c r="C7350">
        <f>IF(B7350="","",INT(A7350))</f>
        <v/>
      </c>
      <c r="D7350">
        <f>IF(B7350="","",HOUR(A7350))</f>
        <v/>
      </c>
    </row>
    <row r="7351">
      <c r="A7351">
        <f>Input!A7351</f>
        <v/>
      </c>
      <c r="B7351">
        <f>IF(ISNUMBER(Input!B7351),IF(AND(Input!B7351&gt;=20,Input!B7351&lt;=700),Input!B7351,""),"")</f>
        <v/>
      </c>
      <c r="C7351">
        <f>IF(B7351="","",INT(A7351))</f>
        <v/>
      </c>
      <c r="D7351">
        <f>IF(B7351="","",HOUR(A7351))</f>
        <v/>
      </c>
    </row>
    <row r="7352">
      <c r="A7352">
        <f>Input!A7352</f>
        <v/>
      </c>
      <c r="B7352">
        <f>IF(ISNUMBER(Input!B7352),IF(AND(Input!B7352&gt;=20,Input!B7352&lt;=700),Input!B7352,""),"")</f>
        <v/>
      </c>
      <c r="C7352">
        <f>IF(B7352="","",INT(A7352))</f>
        <v/>
      </c>
      <c r="D7352">
        <f>IF(B7352="","",HOUR(A7352))</f>
        <v/>
      </c>
    </row>
    <row r="7353">
      <c r="A7353">
        <f>Input!A7353</f>
        <v/>
      </c>
      <c r="B7353">
        <f>IF(ISNUMBER(Input!B7353),IF(AND(Input!B7353&gt;=20,Input!B7353&lt;=700),Input!B7353,""),"")</f>
        <v/>
      </c>
      <c r="C7353">
        <f>IF(B7353="","",INT(A7353))</f>
        <v/>
      </c>
      <c r="D7353">
        <f>IF(B7353="","",HOUR(A7353))</f>
        <v/>
      </c>
    </row>
    <row r="7354">
      <c r="A7354">
        <f>Input!A7354</f>
        <v/>
      </c>
      <c r="B7354">
        <f>IF(ISNUMBER(Input!B7354),IF(AND(Input!B7354&gt;=20,Input!B7354&lt;=700),Input!B7354,""),"")</f>
        <v/>
      </c>
      <c r="C7354">
        <f>IF(B7354="","",INT(A7354))</f>
        <v/>
      </c>
      <c r="D7354">
        <f>IF(B7354="","",HOUR(A7354))</f>
        <v/>
      </c>
    </row>
    <row r="7355">
      <c r="A7355">
        <f>Input!A7355</f>
        <v/>
      </c>
      <c r="B7355">
        <f>IF(ISNUMBER(Input!B7355),IF(AND(Input!B7355&gt;=20,Input!B7355&lt;=700),Input!B7355,""),"")</f>
        <v/>
      </c>
      <c r="C7355">
        <f>IF(B7355="","",INT(A7355))</f>
        <v/>
      </c>
      <c r="D7355">
        <f>IF(B7355="","",HOUR(A7355))</f>
        <v/>
      </c>
    </row>
    <row r="7356">
      <c r="A7356">
        <f>Input!A7356</f>
        <v/>
      </c>
      <c r="B7356">
        <f>IF(ISNUMBER(Input!B7356),IF(AND(Input!B7356&gt;=20,Input!B7356&lt;=700),Input!B7356,""),"")</f>
        <v/>
      </c>
      <c r="C7356">
        <f>IF(B7356="","",INT(A7356))</f>
        <v/>
      </c>
      <c r="D7356">
        <f>IF(B7356="","",HOUR(A7356))</f>
        <v/>
      </c>
    </row>
    <row r="7357">
      <c r="A7357">
        <f>Input!A7357</f>
        <v/>
      </c>
      <c r="B7357">
        <f>IF(ISNUMBER(Input!B7357),IF(AND(Input!B7357&gt;=20,Input!B7357&lt;=700),Input!B7357,""),"")</f>
        <v/>
      </c>
      <c r="C7357">
        <f>IF(B7357="","",INT(A7357))</f>
        <v/>
      </c>
      <c r="D7357">
        <f>IF(B7357="","",HOUR(A7357))</f>
        <v/>
      </c>
    </row>
    <row r="7358">
      <c r="A7358">
        <f>Input!A7358</f>
        <v/>
      </c>
      <c r="B7358">
        <f>IF(ISNUMBER(Input!B7358),IF(AND(Input!B7358&gt;=20,Input!B7358&lt;=700),Input!B7358,""),"")</f>
        <v/>
      </c>
      <c r="C7358">
        <f>IF(B7358="","",INT(A7358))</f>
        <v/>
      </c>
      <c r="D7358">
        <f>IF(B7358="","",HOUR(A7358))</f>
        <v/>
      </c>
    </row>
    <row r="7359">
      <c r="A7359">
        <f>Input!A7359</f>
        <v/>
      </c>
      <c r="B7359">
        <f>IF(ISNUMBER(Input!B7359),IF(AND(Input!B7359&gt;=20,Input!B7359&lt;=700),Input!B7359,""),"")</f>
        <v/>
      </c>
      <c r="C7359">
        <f>IF(B7359="","",INT(A7359))</f>
        <v/>
      </c>
      <c r="D7359">
        <f>IF(B7359="","",HOUR(A7359))</f>
        <v/>
      </c>
    </row>
    <row r="7360">
      <c r="A7360">
        <f>Input!A7360</f>
        <v/>
      </c>
      <c r="B7360">
        <f>IF(ISNUMBER(Input!B7360),IF(AND(Input!B7360&gt;=20,Input!B7360&lt;=700),Input!B7360,""),"")</f>
        <v/>
      </c>
      <c r="C7360">
        <f>IF(B7360="","",INT(A7360))</f>
        <v/>
      </c>
      <c r="D7360">
        <f>IF(B7360="","",HOUR(A7360))</f>
        <v/>
      </c>
    </row>
    <row r="7361">
      <c r="A7361">
        <f>Input!A7361</f>
        <v/>
      </c>
      <c r="B7361">
        <f>IF(ISNUMBER(Input!B7361),IF(AND(Input!B7361&gt;=20,Input!B7361&lt;=700),Input!B7361,""),"")</f>
        <v/>
      </c>
      <c r="C7361">
        <f>IF(B7361="","",INT(A7361))</f>
        <v/>
      </c>
      <c r="D7361">
        <f>IF(B7361="","",HOUR(A7361))</f>
        <v/>
      </c>
    </row>
    <row r="7362">
      <c r="A7362">
        <f>Input!A7362</f>
        <v/>
      </c>
      <c r="B7362">
        <f>IF(ISNUMBER(Input!B7362),IF(AND(Input!B7362&gt;=20,Input!B7362&lt;=700),Input!B7362,""),"")</f>
        <v/>
      </c>
      <c r="C7362">
        <f>IF(B7362="","",INT(A7362))</f>
        <v/>
      </c>
      <c r="D7362">
        <f>IF(B7362="","",HOUR(A7362))</f>
        <v/>
      </c>
    </row>
    <row r="7363">
      <c r="A7363">
        <f>Input!A7363</f>
        <v/>
      </c>
      <c r="B7363">
        <f>IF(ISNUMBER(Input!B7363),IF(AND(Input!B7363&gt;=20,Input!B7363&lt;=700),Input!B7363,""),"")</f>
        <v/>
      </c>
      <c r="C7363">
        <f>IF(B7363="","",INT(A7363))</f>
        <v/>
      </c>
      <c r="D7363">
        <f>IF(B7363="","",HOUR(A7363))</f>
        <v/>
      </c>
    </row>
    <row r="7364">
      <c r="A7364">
        <f>Input!A7364</f>
        <v/>
      </c>
      <c r="B7364">
        <f>IF(ISNUMBER(Input!B7364),IF(AND(Input!B7364&gt;=20,Input!B7364&lt;=700),Input!B7364,""),"")</f>
        <v/>
      </c>
      <c r="C7364">
        <f>IF(B7364="","",INT(A7364))</f>
        <v/>
      </c>
      <c r="D7364">
        <f>IF(B7364="","",HOUR(A7364))</f>
        <v/>
      </c>
    </row>
    <row r="7365">
      <c r="A7365">
        <f>Input!A7365</f>
        <v/>
      </c>
      <c r="B7365">
        <f>IF(ISNUMBER(Input!B7365),IF(AND(Input!B7365&gt;=20,Input!B7365&lt;=700),Input!B7365,""),"")</f>
        <v/>
      </c>
      <c r="C7365">
        <f>IF(B7365="","",INT(A7365))</f>
        <v/>
      </c>
      <c r="D7365">
        <f>IF(B7365="","",HOUR(A7365))</f>
        <v/>
      </c>
    </row>
    <row r="7366">
      <c r="A7366">
        <f>Input!A7366</f>
        <v/>
      </c>
      <c r="B7366">
        <f>IF(ISNUMBER(Input!B7366),IF(AND(Input!B7366&gt;=20,Input!B7366&lt;=700),Input!B7366,""),"")</f>
        <v/>
      </c>
      <c r="C7366">
        <f>IF(B7366="","",INT(A7366))</f>
        <v/>
      </c>
      <c r="D7366">
        <f>IF(B7366="","",HOUR(A7366))</f>
        <v/>
      </c>
    </row>
    <row r="7367">
      <c r="A7367">
        <f>Input!A7367</f>
        <v/>
      </c>
      <c r="B7367">
        <f>IF(ISNUMBER(Input!B7367),IF(AND(Input!B7367&gt;=20,Input!B7367&lt;=700),Input!B7367,""),"")</f>
        <v/>
      </c>
      <c r="C7367">
        <f>IF(B7367="","",INT(A7367))</f>
        <v/>
      </c>
      <c r="D7367">
        <f>IF(B7367="","",HOUR(A7367))</f>
        <v/>
      </c>
    </row>
    <row r="7368">
      <c r="A7368">
        <f>Input!A7368</f>
        <v/>
      </c>
      <c r="B7368">
        <f>IF(ISNUMBER(Input!B7368),IF(AND(Input!B7368&gt;=20,Input!B7368&lt;=700),Input!B7368,""),"")</f>
        <v/>
      </c>
      <c r="C7368">
        <f>IF(B7368="","",INT(A7368))</f>
        <v/>
      </c>
      <c r="D7368">
        <f>IF(B7368="","",HOUR(A7368))</f>
        <v/>
      </c>
    </row>
    <row r="7369">
      <c r="A7369">
        <f>Input!A7369</f>
        <v/>
      </c>
      <c r="B7369">
        <f>IF(ISNUMBER(Input!B7369),IF(AND(Input!B7369&gt;=20,Input!B7369&lt;=700),Input!B7369,""),"")</f>
        <v/>
      </c>
      <c r="C7369">
        <f>IF(B7369="","",INT(A7369))</f>
        <v/>
      </c>
      <c r="D7369">
        <f>IF(B7369="","",HOUR(A7369))</f>
        <v/>
      </c>
    </row>
    <row r="7370">
      <c r="A7370">
        <f>Input!A7370</f>
        <v/>
      </c>
      <c r="B7370">
        <f>IF(ISNUMBER(Input!B7370),IF(AND(Input!B7370&gt;=20,Input!B7370&lt;=700),Input!B7370,""),"")</f>
        <v/>
      </c>
      <c r="C7370">
        <f>IF(B7370="","",INT(A7370))</f>
        <v/>
      </c>
      <c r="D7370">
        <f>IF(B7370="","",HOUR(A7370))</f>
        <v/>
      </c>
    </row>
    <row r="7371">
      <c r="A7371">
        <f>Input!A7371</f>
        <v/>
      </c>
      <c r="B7371">
        <f>IF(ISNUMBER(Input!B7371),IF(AND(Input!B7371&gt;=20,Input!B7371&lt;=700),Input!B7371,""),"")</f>
        <v/>
      </c>
      <c r="C7371">
        <f>IF(B7371="","",INT(A7371))</f>
        <v/>
      </c>
      <c r="D7371">
        <f>IF(B7371="","",HOUR(A7371))</f>
        <v/>
      </c>
    </row>
    <row r="7372">
      <c r="A7372">
        <f>Input!A7372</f>
        <v/>
      </c>
      <c r="B7372">
        <f>IF(ISNUMBER(Input!B7372),IF(AND(Input!B7372&gt;=20,Input!B7372&lt;=700),Input!B7372,""),"")</f>
        <v/>
      </c>
      <c r="C7372">
        <f>IF(B7372="","",INT(A7372))</f>
        <v/>
      </c>
      <c r="D7372">
        <f>IF(B7372="","",HOUR(A7372))</f>
        <v/>
      </c>
    </row>
    <row r="7373">
      <c r="A7373">
        <f>Input!A7373</f>
        <v/>
      </c>
      <c r="B7373">
        <f>IF(ISNUMBER(Input!B7373),IF(AND(Input!B7373&gt;=20,Input!B7373&lt;=700),Input!B7373,""),"")</f>
        <v/>
      </c>
      <c r="C7373">
        <f>IF(B7373="","",INT(A7373))</f>
        <v/>
      </c>
      <c r="D7373">
        <f>IF(B7373="","",HOUR(A7373))</f>
        <v/>
      </c>
    </row>
    <row r="7374">
      <c r="A7374">
        <f>Input!A7374</f>
        <v/>
      </c>
      <c r="B7374">
        <f>IF(ISNUMBER(Input!B7374),IF(AND(Input!B7374&gt;=20,Input!B7374&lt;=700),Input!B7374,""),"")</f>
        <v/>
      </c>
      <c r="C7374">
        <f>IF(B7374="","",INT(A7374))</f>
        <v/>
      </c>
      <c r="D7374">
        <f>IF(B7374="","",HOUR(A7374))</f>
        <v/>
      </c>
    </row>
    <row r="7375">
      <c r="A7375">
        <f>Input!A7375</f>
        <v/>
      </c>
      <c r="B7375">
        <f>IF(ISNUMBER(Input!B7375),IF(AND(Input!B7375&gt;=20,Input!B7375&lt;=700),Input!B7375,""),"")</f>
        <v/>
      </c>
      <c r="C7375">
        <f>IF(B7375="","",INT(A7375))</f>
        <v/>
      </c>
      <c r="D7375">
        <f>IF(B7375="","",HOUR(A7375))</f>
        <v/>
      </c>
    </row>
    <row r="7376">
      <c r="A7376">
        <f>Input!A7376</f>
        <v/>
      </c>
      <c r="B7376">
        <f>IF(ISNUMBER(Input!B7376),IF(AND(Input!B7376&gt;=20,Input!B7376&lt;=700),Input!B7376,""),"")</f>
        <v/>
      </c>
      <c r="C7376">
        <f>IF(B7376="","",INT(A7376))</f>
        <v/>
      </c>
      <c r="D7376">
        <f>IF(B7376="","",HOUR(A7376))</f>
        <v/>
      </c>
    </row>
    <row r="7377">
      <c r="A7377">
        <f>Input!A7377</f>
        <v/>
      </c>
      <c r="B7377">
        <f>IF(ISNUMBER(Input!B7377),IF(AND(Input!B7377&gt;=20,Input!B7377&lt;=700),Input!B7377,""),"")</f>
        <v/>
      </c>
      <c r="C7377">
        <f>IF(B7377="","",INT(A7377))</f>
        <v/>
      </c>
      <c r="D7377">
        <f>IF(B7377="","",HOUR(A7377))</f>
        <v/>
      </c>
    </row>
    <row r="7378">
      <c r="A7378">
        <f>Input!A7378</f>
        <v/>
      </c>
      <c r="B7378">
        <f>IF(ISNUMBER(Input!B7378),IF(AND(Input!B7378&gt;=20,Input!B7378&lt;=700),Input!B7378,""),"")</f>
        <v/>
      </c>
      <c r="C7378">
        <f>IF(B7378="","",INT(A7378))</f>
        <v/>
      </c>
      <c r="D7378">
        <f>IF(B7378="","",HOUR(A7378))</f>
        <v/>
      </c>
    </row>
    <row r="7379">
      <c r="A7379">
        <f>Input!A7379</f>
        <v/>
      </c>
      <c r="B7379">
        <f>IF(ISNUMBER(Input!B7379),IF(AND(Input!B7379&gt;=20,Input!B7379&lt;=700),Input!B7379,""),"")</f>
        <v/>
      </c>
      <c r="C7379">
        <f>IF(B7379="","",INT(A7379))</f>
        <v/>
      </c>
      <c r="D7379">
        <f>IF(B7379="","",HOUR(A7379))</f>
        <v/>
      </c>
    </row>
    <row r="7380">
      <c r="A7380">
        <f>Input!A7380</f>
        <v/>
      </c>
      <c r="B7380">
        <f>IF(ISNUMBER(Input!B7380),IF(AND(Input!B7380&gt;=20,Input!B7380&lt;=700),Input!B7380,""),"")</f>
        <v/>
      </c>
      <c r="C7380">
        <f>IF(B7380="","",INT(A7380))</f>
        <v/>
      </c>
      <c r="D7380">
        <f>IF(B7380="","",HOUR(A7380))</f>
        <v/>
      </c>
    </row>
    <row r="7381">
      <c r="A7381">
        <f>Input!A7381</f>
        <v/>
      </c>
      <c r="B7381">
        <f>IF(ISNUMBER(Input!B7381),IF(AND(Input!B7381&gt;=20,Input!B7381&lt;=700),Input!B7381,""),"")</f>
        <v/>
      </c>
      <c r="C7381">
        <f>IF(B7381="","",INT(A7381))</f>
        <v/>
      </c>
      <c r="D7381">
        <f>IF(B7381="","",HOUR(A7381))</f>
        <v/>
      </c>
    </row>
    <row r="7382">
      <c r="A7382">
        <f>Input!A7382</f>
        <v/>
      </c>
      <c r="B7382">
        <f>IF(ISNUMBER(Input!B7382),IF(AND(Input!B7382&gt;=20,Input!B7382&lt;=700),Input!B7382,""),"")</f>
        <v/>
      </c>
      <c r="C7382">
        <f>IF(B7382="","",INT(A7382))</f>
        <v/>
      </c>
      <c r="D7382">
        <f>IF(B7382="","",HOUR(A7382))</f>
        <v/>
      </c>
    </row>
    <row r="7383">
      <c r="A7383">
        <f>Input!A7383</f>
        <v/>
      </c>
      <c r="B7383">
        <f>IF(ISNUMBER(Input!B7383),IF(AND(Input!B7383&gt;=20,Input!B7383&lt;=700),Input!B7383,""),"")</f>
        <v/>
      </c>
      <c r="C7383">
        <f>IF(B7383="","",INT(A7383))</f>
        <v/>
      </c>
      <c r="D7383">
        <f>IF(B7383="","",HOUR(A7383))</f>
        <v/>
      </c>
    </row>
    <row r="7384">
      <c r="A7384">
        <f>Input!A7384</f>
        <v/>
      </c>
      <c r="B7384">
        <f>IF(ISNUMBER(Input!B7384),IF(AND(Input!B7384&gt;=20,Input!B7384&lt;=700),Input!B7384,""),"")</f>
        <v/>
      </c>
      <c r="C7384">
        <f>IF(B7384="","",INT(A7384))</f>
        <v/>
      </c>
      <c r="D7384">
        <f>IF(B7384="","",HOUR(A7384))</f>
        <v/>
      </c>
    </row>
    <row r="7385">
      <c r="A7385">
        <f>Input!A7385</f>
        <v/>
      </c>
      <c r="B7385">
        <f>IF(ISNUMBER(Input!B7385),IF(AND(Input!B7385&gt;=20,Input!B7385&lt;=700),Input!B7385,""),"")</f>
        <v/>
      </c>
      <c r="C7385">
        <f>IF(B7385="","",INT(A7385))</f>
        <v/>
      </c>
      <c r="D7385">
        <f>IF(B7385="","",HOUR(A7385))</f>
        <v/>
      </c>
    </row>
    <row r="7386">
      <c r="A7386">
        <f>Input!A7386</f>
        <v/>
      </c>
      <c r="B7386">
        <f>IF(ISNUMBER(Input!B7386),IF(AND(Input!B7386&gt;=20,Input!B7386&lt;=700),Input!B7386,""),"")</f>
        <v/>
      </c>
      <c r="C7386">
        <f>IF(B7386="","",INT(A7386))</f>
        <v/>
      </c>
      <c r="D7386">
        <f>IF(B7386="","",HOUR(A7386))</f>
        <v/>
      </c>
    </row>
    <row r="7387">
      <c r="A7387">
        <f>Input!A7387</f>
        <v/>
      </c>
      <c r="B7387">
        <f>IF(ISNUMBER(Input!B7387),IF(AND(Input!B7387&gt;=20,Input!B7387&lt;=700),Input!B7387,""),"")</f>
        <v/>
      </c>
      <c r="C7387">
        <f>IF(B7387="","",INT(A7387))</f>
        <v/>
      </c>
      <c r="D7387">
        <f>IF(B7387="","",HOUR(A7387))</f>
        <v/>
      </c>
    </row>
    <row r="7388">
      <c r="A7388">
        <f>Input!A7388</f>
        <v/>
      </c>
      <c r="B7388">
        <f>IF(ISNUMBER(Input!B7388),IF(AND(Input!B7388&gt;=20,Input!B7388&lt;=700),Input!B7388,""),"")</f>
        <v/>
      </c>
      <c r="C7388">
        <f>IF(B7388="","",INT(A7388))</f>
        <v/>
      </c>
      <c r="D7388">
        <f>IF(B7388="","",HOUR(A7388))</f>
        <v/>
      </c>
    </row>
    <row r="7389">
      <c r="A7389">
        <f>Input!A7389</f>
        <v/>
      </c>
      <c r="B7389">
        <f>IF(ISNUMBER(Input!B7389),IF(AND(Input!B7389&gt;=20,Input!B7389&lt;=700),Input!B7389,""),"")</f>
        <v/>
      </c>
      <c r="C7389">
        <f>IF(B7389="","",INT(A7389))</f>
        <v/>
      </c>
      <c r="D7389">
        <f>IF(B7389="","",HOUR(A7389))</f>
        <v/>
      </c>
    </row>
    <row r="7390">
      <c r="A7390">
        <f>Input!A7390</f>
        <v/>
      </c>
      <c r="B7390">
        <f>IF(ISNUMBER(Input!B7390),IF(AND(Input!B7390&gt;=20,Input!B7390&lt;=700),Input!B7390,""),"")</f>
        <v/>
      </c>
      <c r="C7390">
        <f>IF(B7390="","",INT(A7390))</f>
        <v/>
      </c>
      <c r="D7390">
        <f>IF(B7390="","",HOUR(A7390))</f>
        <v/>
      </c>
    </row>
    <row r="7391">
      <c r="A7391">
        <f>Input!A7391</f>
        <v/>
      </c>
      <c r="B7391">
        <f>IF(ISNUMBER(Input!B7391),IF(AND(Input!B7391&gt;=20,Input!B7391&lt;=700),Input!B7391,""),"")</f>
        <v/>
      </c>
      <c r="C7391">
        <f>IF(B7391="","",INT(A7391))</f>
        <v/>
      </c>
      <c r="D7391">
        <f>IF(B7391="","",HOUR(A7391))</f>
        <v/>
      </c>
    </row>
    <row r="7392">
      <c r="A7392">
        <f>Input!A7392</f>
        <v/>
      </c>
      <c r="B7392">
        <f>IF(ISNUMBER(Input!B7392),IF(AND(Input!B7392&gt;=20,Input!B7392&lt;=700),Input!B7392,""),"")</f>
        <v/>
      </c>
      <c r="C7392">
        <f>IF(B7392="","",INT(A7392))</f>
        <v/>
      </c>
      <c r="D7392">
        <f>IF(B7392="","",HOUR(A7392))</f>
        <v/>
      </c>
    </row>
    <row r="7393">
      <c r="A7393">
        <f>Input!A7393</f>
        <v/>
      </c>
      <c r="B7393">
        <f>IF(ISNUMBER(Input!B7393),IF(AND(Input!B7393&gt;=20,Input!B7393&lt;=700),Input!B7393,""),"")</f>
        <v/>
      </c>
      <c r="C7393">
        <f>IF(B7393="","",INT(A7393))</f>
        <v/>
      </c>
      <c r="D7393">
        <f>IF(B7393="","",HOUR(A7393))</f>
        <v/>
      </c>
    </row>
    <row r="7394">
      <c r="A7394">
        <f>Input!A7394</f>
        <v/>
      </c>
      <c r="B7394">
        <f>IF(ISNUMBER(Input!B7394),IF(AND(Input!B7394&gt;=20,Input!B7394&lt;=700),Input!B7394,""),"")</f>
        <v/>
      </c>
      <c r="C7394">
        <f>IF(B7394="","",INT(A7394))</f>
        <v/>
      </c>
      <c r="D7394">
        <f>IF(B7394="","",HOUR(A7394))</f>
        <v/>
      </c>
    </row>
    <row r="7395">
      <c r="A7395">
        <f>Input!A7395</f>
        <v/>
      </c>
      <c r="B7395">
        <f>IF(ISNUMBER(Input!B7395),IF(AND(Input!B7395&gt;=20,Input!B7395&lt;=700),Input!B7395,""),"")</f>
        <v/>
      </c>
      <c r="C7395">
        <f>IF(B7395="","",INT(A7395))</f>
        <v/>
      </c>
      <c r="D7395">
        <f>IF(B7395="","",HOUR(A7395))</f>
        <v/>
      </c>
    </row>
    <row r="7396">
      <c r="A7396">
        <f>Input!A7396</f>
        <v/>
      </c>
      <c r="B7396">
        <f>IF(ISNUMBER(Input!B7396),IF(AND(Input!B7396&gt;=20,Input!B7396&lt;=700),Input!B7396,""),"")</f>
        <v/>
      </c>
      <c r="C7396">
        <f>IF(B7396="","",INT(A7396))</f>
        <v/>
      </c>
      <c r="D7396">
        <f>IF(B7396="","",HOUR(A7396))</f>
        <v/>
      </c>
    </row>
    <row r="7397">
      <c r="A7397">
        <f>Input!A7397</f>
        <v/>
      </c>
      <c r="B7397">
        <f>IF(ISNUMBER(Input!B7397),IF(AND(Input!B7397&gt;=20,Input!B7397&lt;=700),Input!B7397,""),"")</f>
        <v/>
      </c>
      <c r="C7397">
        <f>IF(B7397="","",INT(A7397))</f>
        <v/>
      </c>
      <c r="D7397">
        <f>IF(B7397="","",HOUR(A7397))</f>
        <v/>
      </c>
    </row>
    <row r="7398">
      <c r="A7398">
        <f>Input!A7398</f>
        <v/>
      </c>
      <c r="B7398">
        <f>IF(ISNUMBER(Input!B7398),IF(AND(Input!B7398&gt;=20,Input!B7398&lt;=700),Input!B7398,""),"")</f>
        <v/>
      </c>
      <c r="C7398">
        <f>IF(B7398="","",INT(A7398))</f>
        <v/>
      </c>
      <c r="D7398">
        <f>IF(B7398="","",HOUR(A7398))</f>
        <v/>
      </c>
    </row>
    <row r="7399">
      <c r="A7399">
        <f>Input!A7399</f>
        <v/>
      </c>
      <c r="B7399">
        <f>IF(ISNUMBER(Input!B7399),IF(AND(Input!B7399&gt;=20,Input!B7399&lt;=700),Input!B7399,""),"")</f>
        <v/>
      </c>
      <c r="C7399">
        <f>IF(B7399="","",INT(A7399))</f>
        <v/>
      </c>
      <c r="D7399">
        <f>IF(B7399="","",HOUR(A7399))</f>
        <v/>
      </c>
    </row>
    <row r="7400">
      <c r="A7400">
        <f>Input!A7400</f>
        <v/>
      </c>
      <c r="B7400">
        <f>IF(ISNUMBER(Input!B7400),IF(AND(Input!B7400&gt;=20,Input!B7400&lt;=700),Input!B7400,""),"")</f>
        <v/>
      </c>
      <c r="C7400">
        <f>IF(B7400="","",INT(A7400))</f>
        <v/>
      </c>
      <c r="D7400">
        <f>IF(B7400="","",HOUR(A7400))</f>
        <v/>
      </c>
    </row>
    <row r="7401">
      <c r="A7401">
        <f>Input!A7401</f>
        <v/>
      </c>
      <c r="B7401">
        <f>IF(ISNUMBER(Input!B7401),IF(AND(Input!B7401&gt;=20,Input!B7401&lt;=700),Input!B7401,""),"")</f>
        <v/>
      </c>
      <c r="C7401">
        <f>IF(B7401="","",INT(A7401))</f>
        <v/>
      </c>
      <c r="D7401">
        <f>IF(B7401="","",HOUR(A7401))</f>
        <v/>
      </c>
    </row>
    <row r="7402">
      <c r="A7402">
        <f>Input!A7402</f>
        <v/>
      </c>
      <c r="B7402">
        <f>IF(ISNUMBER(Input!B7402),IF(AND(Input!B7402&gt;=20,Input!B7402&lt;=700),Input!B7402,""),"")</f>
        <v/>
      </c>
      <c r="C7402">
        <f>IF(B7402="","",INT(A7402))</f>
        <v/>
      </c>
      <c r="D7402">
        <f>IF(B7402="","",HOUR(A7402))</f>
        <v/>
      </c>
    </row>
    <row r="7403">
      <c r="A7403">
        <f>Input!A7403</f>
        <v/>
      </c>
      <c r="B7403">
        <f>IF(ISNUMBER(Input!B7403),IF(AND(Input!B7403&gt;=20,Input!B7403&lt;=700),Input!B7403,""),"")</f>
        <v/>
      </c>
      <c r="C7403">
        <f>IF(B7403="","",INT(A7403))</f>
        <v/>
      </c>
      <c r="D7403">
        <f>IF(B7403="","",HOUR(A7403))</f>
        <v/>
      </c>
    </row>
    <row r="7404">
      <c r="A7404">
        <f>Input!A7404</f>
        <v/>
      </c>
      <c r="B7404">
        <f>IF(ISNUMBER(Input!B7404),IF(AND(Input!B7404&gt;=20,Input!B7404&lt;=700),Input!B7404,""),"")</f>
        <v/>
      </c>
      <c r="C7404">
        <f>IF(B7404="","",INT(A7404))</f>
        <v/>
      </c>
      <c r="D7404">
        <f>IF(B7404="","",HOUR(A7404))</f>
        <v/>
      </c>
    </row>
    <row r="7405">
      <c r="A7405">
        <f>Input!A7405</f>
        <v/>
      </c>
      <c r="B7405">
        <f>IF(ISNUMBER(Input!B7405),IF(AND(Input!B7405&gt;=20,Input!B7405&lt;=700),Input!B7405,""),"")</f>
        <v/>
      </c>
      <c r="C7405">
        <f>IF(B7405="","",INT(A7405))</f>
        <v/>
      </c>
      <c r="D7405">
        <f>IF(B7405="","",HOUR(A7405))</f>
        <v/>
      </c>
    </row>
    <row r="7406">
      <c r="A7406">
        <f>Input!A7406</f>
        <v/>
      </c>
      <c r="B7406">
        <f>IF(ISNUMBER(Input!B7406),IF(AND(Input!B7406&gt;=20,Input!B7406&lt;=700),Input!B7406,""),"")</f>
        <v/>
      </c>
      <c r="C7406">
        <f>IF(B7406="","",INT(A7406))</f>
        <v/>
      </c>
      <c r="D7406">
        <f>IF(B7406="","",HOUR(A7406))</f>
        <v/>
      </c>
    </row>
    <row r="7407">
      <c r="A7407">
        <f>Input!A7407</f>
        <v/>
      </c>
      <c r="B7407">
        <f>IF(ISNUMBER(Input!B7407),IF(AND(Input!B7407&gt;=20,Input!B7407&lt;=700),Input!B7407,""),"")</f>
        <v/>
      </c>
      <c r="C7407">
        <f>IF(B7407="","",INT(A7407))</f>
        <v/>
      </c>
      <c r="D7407">
        <f>IF(B7407="","",HOUR(A7407))</f>
        <v/>
      </c>
    </row>
    <row r="7408">
      <c r="A7408">
        <f>Input!A7408</f>
        <v/>
      </c>
      <c r="B7408">
        <f>IF(ISNUMBER(Input!B7408),IF(AND(Input!B7408&gt;=20,Input!B7408&lt;=700),Input!B7408,""),"")</f>
        <v/>
      </c>
      <c r="C7408">
        <f>IF(B7408="","",INT(A7408))</f>
        <v/>
      </c>
      <c r="D7408">
        <f>IF(B7408="","",HOUR(A7408))</f>
        <v/>
      </c>
    </row>
    <row r="7409">
      <c r="A7409">
        <f>Input!A7409</f>
        <v/>
      </c>
      <c r="B7409">
        <f>IF(ISNUMBER(Input!B7409),IF(AND(Input!B7409&gt;=20,Input!B7409&lt;=700),Input!B7409,""),"")</f>
        <v/>
      </c>
      <c r="C7409">
        <f>IF(B7409="","",INT(A7409))</f>
        <v/>
      </c>
      <c r="D7409">
        <f>IF(B7409="","",HOUR(A7409))</f>
        <v/>
      </c>
    </row>
    <row r="7410">
      <c r="A7410">
        <f>Input!A7410</f>
        <v/>
      </c>
      <c r="B7410">
        <f>IF(ISNUMBER(Input!B7410),IF(AND(Input!B7410&gt;=20,Input!B7410&lt;=700),Input!B7410,""),"")</f>
        <v/>
      </c>
      <c r="C7410">
        <f>IF(B7410="","",INT(A7410))</f>
        <v/>
      </c>
      <c r="D7410">
        <f>IF(B7410="","",HOUR(A7410))</f>
        <v/>
      </c>
    </row>
    <row r="7411">
      <c r="A7411">
        <f>Input!A7411</f>
        <v/>
      </c>
      <c r="B7411">
        <f>IF(ISNUMBER(Input!B7411),IF(AND(Input!B7411&gt;=20,Input!B7411&lt;=700),Input!B7411,""),"")</f>
        <v/>
      </c>
      <c r="C7411">
        <f>IF(B7411="","",INT(A7411))</f>
        <v/>
      </c>
      <c r="D7411">
        <f>IF(B7411="","",HOUR(A7411))</f>
        <v/>
      </c>
    </row>
    <row r="7412">
      <c r="A7412">
        <f>Input!A7412</f>
        <v/>
      </c>
      <c r="B7412">
        <f>IF(ISNUMBER(Input!B7412),IF(AND(Input!B7412&gt;=20,Input!B7412&lt;=700),Input!B7412,""),"")</f>
        <v/>
      </c>
      <c r="C7412">
        <f>IF(B7412="","",INT(A7412))</f>
        <v/>
      </c>
      <c r="D7412">
        <f>IF(B7412="","",HOUR(A7412))</f>
        <v/>
      </c>
    </row>
    <row r="7413">
      <c r="A7413">
        <f>Input!A7413</f>
        <v/>
      </c>
      <c r="B7413">
        <f>IF(ISNUMBER(Input!B7413),IF(AND(Input!B7413&gt;=20,Input!B7413&lt;=700),Input!B7413,""),"")</f>
        <v/>
      </c>
      <c r="C7413">
        <f>IF(B7413="","",INT(A7413))</f>
        <v/>
      </c>
      <c r="D7413">
        <f>IF(B7413="","",HOUR(A7413))</f>
        <v/>
      </c>
    </row>
    <row r="7414">
      <c r="A7414">
        <f>Input!A7414</f>
        <v/>
      </c>
      <c r="B7414">
        <f>IF(ISNUMBER(Input!B7414),IF(AND(Input!B7414&gt;=20,Input!B7414&lt;=700),Input!B7414,""),"")</f>
        <v/>
      </c>
      <c r="C7414">
        <f>IF(B7414="","",INT(A7414))</f>
        <v/>
      </c>
      <c r="D7414">
        <f>IF(B7414="","",HOUR(A7414))</f>
        <v/>
      </c>
    </row>
    <row r="7415">
      <c r="A7415">
        <f>Input!A7415</f>
        <v/>
      </c>
      <c r="B7415">
        <f>IF(ISNUMBER(Input!B7415),IF(AND(Input!B7415&gt;=20,Input!B7415&lt;=700),Input!B7415,""),"")</f>
        <v/>
      </c>
      <c r="C7415">
        <f>IF(B7415="","",INT(A7415))</f>
        <v/>
      </c>
      <c r="D7415">
        <f>IF(B7415="","",HOUR(A7415))</f>
        <v/>
      </c>
    </row>
    <row r="7416">
      <c r="A7416">
        <f>Input!A7416</f>
        <v/>
      </c>
      <c r="B7416">
        <f>IF(ISNUMBER(Input!B7416),IF(AND(Input!B7416&gt;=20,Input!B7416&lt;=700),Input!B7416,""),"")</f>
        <v/>
      </c>
      <c r="C7416">
        <f>IF(B7416="","",INT(A7416))</f>
        <v/>
      </c>
      <c r="D7416">
        <f>IF(B7416="","",HOUR(A7416))</f>
        <v/>
      </c>
    </row>
    <row r="7417">
      <c r="A7417">
        <f>Input!A7417</f>
        <v/>
      </c>
      <c r="B7417">
        <f>IF(ISNUMBER(Input!B7417),IF(AND(Input!B7417&gt;=20,Input!B7417&lt;=700),Input!B7417,""),"")</f>
        <v/>
      </c>
      <c r="C7417">
        <f>IF(B7417="","",INT(A7417))</f>
        <v/>
      </c>
      <c r="D7417">
        <f>IF(B7417="","",HOUR(A7417))</f>
        <v/>
      </c>
    </row>
    <row r="7418">
      <c r="A7418">
        <f>Input!A7418</f>
        <v/>
      </c>
      <c r="B7418">
        <f>IF(ISNUMBER(Input!B7418),IF(AND(Input!B7418&gt;=20,Input!B7418&lt;=700),Input!B7418,""),"")</f>
        <v/>
      </c>
      <c r="C7418">
        <f>IF(B7418="","",INT(A7418))</f>
        <v/>
      </c>
      <c r="D7418">
        <f>IF(B7418="","",HOUR(A7418))</f>
        <v/>
      </c>
    </row>
    <row r="7419">
      <c r="A7419">
        <f>Input!A7419</f>
        <v/>
      </c>
      <c r="B7419">
        <f>IF(ISNUMBER(Input!B7419),IF(AND(Input!B7419&gt;=20,Input!B7419&lt;=700),Input!B7419,""),"")</f>
        <v/>
      </c>
      <c r="C7419">
        <f>IF(B7419="","",INT(A7419))</f>
        <v/>
      </c>
      <c r="D7419">
        <f>IF(B7419="","",HOUR(A7419))</f>
        <v/>
      </c>
    </row>
    <row r="7420">
      <c r="A7420">
        <f>Input!A7420</f>
        <v/>
      </c>
      <c r="B7420">
        <f>IF(ISNUMBER(Input!B7420),IF(AND(Input!B7420&gt;=20,Input!B7420&lt;=700),Input!B7420,""),"")</f>
        <v/>
      </c>
      <c r="C7420">
        <f>IF(B7420="","",INT(A7420))</f>
        <v/>
      </c>
      <c r="D7420">
        <f>IF(B7420="","",HOUR(A7420))</f>
        <v/>
      </c>
    </row>
    <row r="7421">
      <c r="A7421">
        <f>Input!A7421</f>
        <v/>
      </c>
      <c r="B7421">
        <f>IF(ISNUMBER(Input!B7421),IF(AND(Input!B7421&gt;=20,Input!B7421&lt;=700),Input!B7421,""),"")</f>
        <v/>
      </c>
      <c r="C7421">
        <f>IF(B7421="","",INT(A7421))</f>
        <v/>
      </c>
      <c r="D7421">
        <f>IF(B7421="","",HOUR(A7421))</f>
        <v/>
      </c>
    </row>
    <row r="7422">
      <c r="A7422">
        <f>Input!A7422</f>
        <v/>
      </c>
      <c r="B7422">
        <f>IF(ISNUMBER(Input!B7422),IF(AND(Input!B7422&gt;=20,Input!B7422&lt;=700),Input!B7422,""),"")</f>
        <v/>
      </c>
      <c r="C7422">
        <f>IF(B7422="","",INT(A7422))</f>
        <v/>
      </c>
      <c r="D7422">
        <f>IF(B7422="","",HOUR(A7422))</f>
        <v/>
      </c>
    </row>
    <row r="7423">
      <c r="A7423">
        <f>Input!A7423</f>
        <v/>
      </c>
      <c r="B7423">
        <f>IF(ISNUMBER(Input!B7423),IF(AND(Input!B7423&gt;=20,Input!B7423&lt;=700),Input!B7423,""),"")</f>
        <v/>
      </c>
      <c r="C7423">
        <f>IF(B7423="","",INT(A7423))</f>
        <v/>
      </c>
      <c r="D7423">
        <f>IF(B7423="","",HOUR(A7423))</f>
        <v/>
      </c>
    </row>
    <row r="7424">
      <c r="A7424">
        <f>Input!A7424</f>
        <v/>
      </c>
      <c r="B7424">
        <f>IF(ISNUMBER(Input!B7424),IF(AND(Input!B7424&gt;=20,Input!B7424&lt;=700),Input!B7424,""),"")</f>
        <v/>
      </c>
      <c r="C7424">
        <f>IF(B7424="","",INT(A7424))</f>
        <v/>
      </c>
      <c r="D7424">
        <f>IF(B7424="","",HOUR(A7424))</f>
        <v/>
      </c>
    </row>
    <row r="7425">
      <c r="A7425">
        <f>Input!A7425</f>
        <v/>
      </c>
      <c r="B7425">
        <f>IF(ISNUMBER(Input!B7425),IF(AND(Input!B7425&gt;=20,Input!B7425&lt;=700),Input!B7425,""),"")</f>
        <v/>
      </c>
      <c r="C7425">
        <f>IF(B7425="","",INT(A7425))</f>
        <v/>
      </c>
      <c r="D7425">
        <f>IF(B7425="","",HOUR(A7425))</f>
        <v/>
      </c>
    </row>
    <row r="7426">
      <c r="A7426">
        <f>Input!A7426</f>
        <v/>
      </c>
      <c r="B7426">
        <f>IF(ISNUMBER(Input!B7426),IF(AND(Input!B7426&gt;=20,Input!B7426&lt;=700),Input!B7426,""),"")</f>
        <v/>
      </c>
      <c r="C7426">
        <f>IF(B7426="","",INT(A7426))</f>
        <v/>
      </c>
      <c r="D7426">
        <f>IF(B7426="","",HOUR(A7426))</f>
        <v/>
      </c>
    </row>
    <row r="7427">
      <c r="A7427">
        <f>Input!A7427</f>
        <v/>
      </c>
      <c r="B7427">
        <f>IF(ISNUMBER(Input!B7427),IF(AND(Input!B7427&gt;=20,Input!B7427&lt;=700),Input!B7427,""),"")</f>
        <v/>
      </c>
      <c r="C7427">
        <f>IF(B7427="","",INT(A7427))</f>
        <v/>
      </c>
      <c r="D7427">
        <f>IF(B7427="","",HOUR(A7427))</f>
        <v/>
      </c>
    </row>
    <row r="7428">
      <c r="A7428">
        <f>Input!A7428</f>
        <v/>
      </c>
      <c r="B7428">
        <f>IF(ISNUMBER(Input!B7428),IF(AND(Input!B7428&gt;=20,Input!B7428&lt;=700),Input!B7428,""),"")</f>
        <v/>
      </c>
      <c r="C7428">
        <f>IF(B7428="","",INT(A7428))</f>
        <v/>
      </c>
      <c r="D7428">
        <f>IF(B7428="","",HOUR(A7428))</f>
        <v/>
      </c>
    </row>
    <row r="7429">
      <c r="A7429">
        <f>Input!A7429</f>
        <v/>
      </c>
      <c r="B7429">
        <f>IF(ISNUMBER(Input!B7429),IF(AND(Input!B7429&gt;=20,Input!B7429&lt;=700),Input!B7429,""),"")</f>
        <v/>
      </c>
      <c r="C7429">
        <f>IF(B7429="","",INT(A7429))</f>
        <v/>
      </c>
      <c r="D7429">
        <f>IF(B7429="","",HOUR(A7429))</f>
        <v/>
      </c>
    </row>
    <row r="7430">
      <c r="A7430">
        <f>Input!A7430</f>
        <v/>
      </c>
      <c r="B7430">
        <f>IF(ISNUMBER(Input!B7430),IF(AND(Input!B7430&gt;=20,Input!B7430&lt;=700),Input!B7430,""),"")</f>
        <v/>
      </c>
      <c r="C7430">
        <f>IF(B7430="","",INT(A7430))</f>
        <v/>
      </c>
      <c r="D7430">
        <f>IF(B7430="","",HOUR(A7430))</f>
        <v/>
      </c>
    </row>
    <row r="7431">
      <c r="A7431">
        <f>Input!A7431</f>
        <v/>
      </c>
      <c r="B7431">
        <f>IF(ISNUMBER(Input!B7431),IF(AND(Input!B7431&gt;=20,Input!B7431&lt;=700),Input!B7431,""),"")</f>
        <v/>
      </c>
      <c r="C7431">
        <f>IF(B7431="","",INT(A7431))</f>
        <v/>
      </c>
      <c r="D7431">
        <f>IF(B7431="","",HOUR(A7431))</f>
        <v/>
      </c>
    </row>
    <row r="7432">
      <c r="A7432">
        <f>Input!A7432</f>
        <v/>
      </c>
      <c r="B7432">
        <f>IF(ISNUMBER(Input!B7432),IF(AND(Input!B7432&gt;=20,Input!B7432&lt;=700),Input!B7432,""),"")</f>
        <v/>
      </c>
      <c r="C7432">
        <f>IF(B7432="","",INT(A7432))</f>
        <v/>
      </c>
      <c r="D7432">
        <f>IF(B7432="","",HOUR(A7432))</f>
        <v/>
      </c>
    </row>
    <row r="7433">
      <c r="A7433">
        <f>Input!A7433</f>
        <v/>
      </c>
      <c r="B7433">
        <f>IF(ISNUMBER(Input!B7433),IF(AND(Input!B7433&gt;=20,Input!B7433&lt;=700),Input!B7433,""),"")</f>
        <v/>
      </c>
      <c r="C7433">
        <f>IF(B7433="","",INT(A7433))</f>
        <v/>
      </c>
      <c r="D7433">
        <f>IF(B7433="","",HOUR(A7433))</f>
        <v/>
      </c>
    </row>
    <row r="7434">
      <c r="A7434">
        <f>Input!A7434</f>
        <v/>
      </c>
      <c r="B7434">
        <f>IF(ISNUMBER(Input!B7434),IF(AND(Input!B7434&gt;=20,Input!B7434&lt;=700),Input!B7434,""),"")</f>
        <v/>
      </c>
      <c r="C7434">
        <f>IF(B7434="","",INT(A7434))</f>
        <v/>
      </c>
      <c r="D7434">
        <f>IF(B7434="","",HOUR(A7434))</f>
        <v/>
      </c>
    </row>
    <row r="7435">
      <c r="A7435">
        <f>Input!A7435</f>
        <v/>
      </c>
      <c r="B7435">
        <f>IF(ISNUMBER(Input!B7435),IF(AND(Input!B7435&gt;=20,Input!B7435&lt;=700),Input!B7435,""),"")</f>
        <v/>
      </c>
      <c r="C7435">
        <f>IF(B7435="","",INT(A7435))</f>
        <v/>
      </c>
      <c r="D7435">
        <f>IF(B7435="","",HOUR(A7435))</f>
        <v/>
      </c>
    </row>
    <row r="7436">
      <c r="A7436">
        <f>Input!A7436</f>
        <v/>
      </c>
      <c r="B7436">
        <f>IF(ISNUMBER(Input!B7436),IF(AND(Input!B7436&gt;=20,Input!B7436&lt;=700),Input!B7436,""),"")</f>
        <v/>
      </c>
      <c r="C7436">
        <f>IF(B7436="","",INT(A7436))</f>
        <v/>
      </c>
      <c r="D7436">
        <f>IF(B7436="","",HOUR(A7436))</f>
        <v/>
      </c>
    </row>
    <row r="7437">
      <c r="A7437">
        <f>Input!A7437</f>
        <v/>
      </c>
      <c r="B7437">
        <f>IF(ISNUMBER(Input!B7437),IF(AND(Input!B7437&gt;=20,Input!B7437&lt;=700),Input!B7437,""),"")</f>
        <v/>
      </c>
      <c r="C7437">
        <f>IF(B7437="","",INT(A7437))</f>
        <v/>
      </c>
      <c r="D7437">
        <f>IF(B7437="","",HOUR(A7437))</f>
        <v/>
      </c>
    </row>
    <row r="7438">
      <c r="A7438">
        <f>Input!A7438</f>
        <v/>
      </c>
      <c r="B7438">
        <f>IF(ISNUMBER(Input!B7438),IF(AND(Input!B7438&gt;=20,Input!B7438&lt;=700),Input!B7438,""),"")</f>
        <v/>
      </c>
      <c r="C7438">
        <f>IF(B7438="","",INT(A7438))</f>
        <v/>
      </c>
      <c r="D7438">
        <f>IF(B7438="","",HOUR(A7438))</f>
        <v/>
      </c>
    </row>
    <row r="7439">
      <c r="A7439">
        <f>Input!A7439</f>
        <v/>
      </c>
      <c r="B7439">
        <f>IF(ISNUMBER(Input!B7439),IF(AND(Input!B7439&gt;=20,Input!B7439&lt;=700),Input!B7439,""),"")</f>
        <v/>
      </c>
      <c r="C7439">
        <f>IF(B7439="","",INT(A7439))</f>
        <v/>
      </c>
      <c r="D7439">
        <f>IF(B7439="","",HOUR(A7439))</f>
        <v/>
      </c>
    </row>
    <row r="7440">
      <c r="A7440">
        <f>Input!A7440</f>
        <v/>
      </c>
      <c r="B7440">
        <f>IF(ISNUMBER(Input!B7440),IF(AND(Input!B7440&gt;=20,Input!B7440&lt;=700),Input!B7440,""),"")</f>
        <v/>
      </c>
      <c r="C7440">
        <f>IF(B7440="","",INT(A7440))</f>
        <v/>
      </c>
      <c r="D7440">
        <f>IF(B7440="","",HOUR(A7440))</f>
        <v/>
      </c>
    </row>
    <row r="7441">
      <c r="A7441">
        <f>Input!A7441</f>
        <v/>
      </c>
      <c r="B7441">
        <f>IF(ISNUMBER(Input!B7441),IF(AND(Input!B7441&gt;=20,Input!B7441&lt;=700),Input!B7441,""),"")</f>
        <v/>
      </c>
      <c r="C7441">
        <f>IF(B7441="","",INT(A7441))</f>
        <v/>
      </c>
      <c r="D7441">
        <f>IF(B7441="","",HOUR(A7441))</f>
        <v/>
      </c>
    </row>
    <row r="7442">
      <c r="A7442">
        <f>Input!A7442</f>
        <v/>
      </c>
      <c r="B7442">
        <f>IF(ISNUMBER(Input!B7442),IF(AND(Input!B7442&gt;=20,Input!B7442&lt;=700),Input!B7442,""),"")</f>
        <v/>
      </c>
      <c r="C7442">
        <f>IF(B7442="","",INT(A7442))</f>
        <v/>
      </c>
      <c r="D7442">
        <f>IF(B7442="","",HOUR(A7442))</f>
        <v/>
      </c>
    </row>
    <row r="7443">
      <c r="A7443">
        <f>Input!A7443</f>
        <v/>
      </c>
      <c r="B7443">
        <f>IF(ISNUMBER(Input!B7443),IF(AND(Input!B7443&gt;=20,Input!B7443&lt;=700),Input!B7443,""),"")</f>
        <v/>
      </c>
      <c r="C7443">
        <f>IF(B7443="","",INT(A7443))</f>
        <v/>
      </c>
      <c r="D7443">
        <f>IF(B7443="","",HOUR(A7443))</f>
        <v/>
      </c>
    </row>
    <row r="7444">
      <c r="A7444">
        <f>Input!A7444</f>
        <v/>
      </c>
      <c r="B7444">
        <f>IF(ISNUMBER(Input!B7444),IF(AND(Input!B7444&gt;=20,Input!B7444&lt;=700),Input!B7444,""),"")</f>
        <v/>
      </c>
      <c r="C7444">
        <f>IF(B7444="","",INT(A7444))</f>
        <v/>
      </c>
      <c r="D7444">
        <f>IF(B7444="","",HOUR(A7444))</f>
        <v/>
      </c>
    </row>
    <row r="7445">
      <c r="A7445">
        <f>Input!A7445</f>
        <v/>
      </c>
      <c r="B7445">
        <f>IF(ISNUMBER(Input!B7445),IF(AND(Input!B7445&gt;=20,Input!B7445&lt;=700),Input!B7445,""),"")</f>
        <v/>
      </c>
      <c r="C7445">
        <f>IF(B7445="","",INT(A7445))</f>
        <v/>
      </c>
      <c r="D7445">
        <f>IF(B7445="","",HOUR(A7445))</f>
        <v/>
      </c>
    </row>
    <row r="7446">
      <c r="A7446">
        <f>Input!A7446</f>
        <v/>
      </c>
      <c r="B7446">
        <f>IF(ISNUMBER(Input!B7446),IF(AND(Input!B7446&gt;=20,Input!B7446&lt;=700),Input!B7446,""),"")</f>
        <v/>
      </c>
      <c r="C7446">
        <f>IF(B7446="","",INT(A7446))</f>
        <v/>
      </c>
      <c r="D7446">
        <f>IF(B7446="","",HOUR(A7446))</f>
        <v/>
      </c>
    </row>
    <row r="7447">
      <c r="A7447">
        <f>Input!A7447</f>
        <v/>
      </c>
      <c r="B7447">
        <f>IF(ISNUMBER(Input!B7447),IF(AND(Input!B7447&gt;=20,Input!B7447&lt;=700),Input!B7447,""),"")</f>
        <v/>
      </c>
      <c r="C7447">
        <f>IF(B7447="","",INT(A7447))</f>
        <v/>
      </c>
      <c r="D7447">
        <f>IF(B7447="","",HOUR(A7447))</f>
        <v/>
      </c>
    </row>
    <row r="7448">
      <c r="A7448">
        <f>Input!A7448</f>
        <v/>
      </c>
      <c r="B7448">
        <f>IF(ISNUMBER(Input!B7448),IF(AND(Input!B7448&gt;=20,Input!B7448&lt;=700),Input!B7448,""),"")</f>
        <v/>
      </c>
      <c r="C7448">
        <f>IF(B7448="","",INT(A7448))</f>
        <v/>
      </c>
      <c r="D7448">
        <f>IF(B7448="","",HOUR(A7448))</f>
        <v/>
      </c>
    </row>
    <row r="7449">
      <c r="A7449">
        <f>Input!A7449</f>
        <v/>
      </c>
      <c r="B7449">
        <f>IF(ISNUMBER(Input!B7449),IF(AND(Input!B7449&gt;=20,Input!B7449&lt;=700),Input!B7449,""),"")</f>
        <v/>
      </c>
      <c r="C7449">
        <f>IF(B7449="","",INT(A7449))</f>
        <v/>
      </c>
      <c r="D7449">
        <f>IF(B7449="","",HOUR(A7449))</f>
        <v/>
      </c>
    </row>
    <row r="7450">
      <c r="A7450">
        <f>Input!A7450</f>
        <v/>
      </c>
      <c r="B7450">
        <f>IF(ISNUMBER(Input!B7450),IF(AND(Input!B7450&gt;=20,Input!B7450&lt;=700),Input!B7450,""),"")</f>
        <v/>
      </c>
      <c r="C7450">
        <f>IF(B7450="","",INT(A7450))</f>
        <v/>
      </c>
      <c r="D7450">
        <f>IF(B7450="","",HOUR(A7450))</f>
        <v/>
      </c>
    </row>
    <row r="7451">
      <c r="A7451">
        <f>Input!A7451</f>
        <v/>
      </c>
      <c r="B7451">
        <f>IF(ISNUMBER(Input!B7451),IF(AND(Input!B7451&gt;=20,Input!B7451&lt;=700),Input!B7451,""),"")</f>
        <v/>
      </c>
      <c r="C7451">
        <f>IF(B7451="","",INT(A7451))</f>
        <v/>
      </c>
      <c r="D7451">
        <f>IF(B7451="","",HOUR(A7451))</f>
        <v/>
      </c>
    </row>
    <row r="7452">
      <c r="A7452">
        <f>Input!A7452</f>
        <v/>
      </c>
      <c r="B7452">
        <f>IF(ISNUMBER(Input!B7452),IF(AND(Input!B7452&gt;=20,Input!B7452&lt;=700),Input!B7452,""),"")</f>
        <v/>
      </c>
      <c r="C7452">
        <f>IF(B7452="","",INT(A7452))</f>
        <v/>
      </c>
      <c r="D7452">
        <f>IF(B7452="","",HOUR(A7452))</f>
        <v/>
      </c>
    </row>
    <row r="7453">
      <c r="A7453">
        <f>Input!A7453</f>
        <v/>
      </c>
      <c r="B7453">
        <f>IF(ISNUMBER(Input!B7453),IF(AND(Input!B7453&gt;=20,Input!B7453&lt;=700),Input!B7453,""),"")</f>
        <v/>
      </c>
      <c r="C7453">
        <f>IF(B7453="","",INT(A7453))</f>
        <v/>
      </c>
      <c r="D7453">
        <f>IF(B7453="","",HOUR(A7453))</f>
        <v/>
      </c>
    </row>
    <row r="7454">
      <c r="A7454">
        <f>Input!A7454</f>
        <v/>
      </c>
      <c r="B7454">
        <f>IF(ISNUMBER(Input!B7454),IF(AND(Input!B7454&gt;=20,Input!B7454&lt;=700),Input!B7454,""),"")</f>
        <v/>
      </c>
      <c r="C7454">
        <f>IF(B7454="","",INT(A7454))</f>
        <v/>
      </c>
      <c r="D7454">
        <f>IF(B7454="","",HOUR(A7454))</f>
        <v/>
      </c>
    </row>
    <row r="7455">
      <c r="A7455">
        <f>Input!A7455</f>
        <v/>
      </c>
      <c r="B7455">
        <f>IF(ISNUMBER(Input!B7455),IF(AND(Input!B7455&gt;=20,Input!B7455&lt;=700),Input!B7455,""),"")</f>
        <v/>
      </c>
      <c r="C7455">
        <f>IF(B7455="","",INT(A7455))</f>
        <v/>
      </c>
      <c r="D7455">
        <f>IF(B7455="","",HOUR(A7455))</f>
        <v/>
      </c>
    </row>
    <row r="7456">
      <c r="A7456">
        <f>Input!A7456</f>
        <v/>
      </c>
      <c r="B7456">
        <f>IF(ISNUMBER(Input!B7456),IF(AND(Input!B7456&gt;=20,Input!B7456&lt;=700),Input!B7456,""),"")</f>
        <v/>
      </c>
      <c r="C7456">
        <f>IF(B7456="","",INT(A7456))</f>
        <v/>
      </c>
      <c r="D7456">
        <f>IF(B7456="","",HOUR(A7456))</f>
        <v/>
      </c>
    </row>
    <row r="7457">
      <c r="A7457">
        <f>Input!A7457</f>
        <v/>
      </c>
      <c r="B7457">
        <f>IF(ISNUMBER(Input!B7457),IF(AND(Input!B7457&gt;=20,Input!B7457&lt;=700),Input!B7457,""),"")</f>
        <v/>
      </c>
      <c r="C7457">
        <f>IF(B7457="","",INT(A7457))</f>
        <v/>
      </c>
      <c r="D7457">
        <f>IF(B7457="","",HOUR(A7457))</f>
        <v/>
      </c>
    </row>
    <row r="7458">
      <c r="A7458">
        <f>Input!A7458</f>
        <v/>
      </c>
      <c r="B7458">
        <f>IF(ISNUMBER(Input!B7458),IF(AND(Input!B7458&gt;=20,Input!B7458&lt;=700),Input!B7458,""),"")</f>
        <v/>
      </c>
      <c r="C7458">
        <f>IF(B7458="","",INT(A7458))</f>
        <v/>
      </c>
      <c r="D7458">
        <f>IF(B7458="","",HOUR(A7458))</f>
        <v/>
      </c>
    </row>
    <row r="7459">
      <c r="A7459">
        <f>Input!A7459</f>
        <v/>
      </c>
      <c r="B7459">
        <f>IF(ISNUMBER(Input!B7459),IF(AND(Input!B7459&gt;=20,Input!B7459&lt;=700),Input!B7459,""),"")</f>
        <v/>
      </c>
      <c r="C7459">
        <f>IF(B7459="","",INT(A7459))</f>
        <v/>
      </c>
      <c r="D7459">
        <f>IF(B7459="","",HOUR(A7459))</f>
        <v/>
      </c>
    </row>
    <row r="7460">
      <c r="A7460">
        <f>Input!A7460</f>
        <v/>
      </c>
      <c r="B7460">
        <f>IF(ISNUMBER(Input!B7460),IF(AND(Input!B7460&gt;=20,Input!B7460&lt;=700),Input!B7460,""),"")</f>
        <v/>
      </c>
      <c r="C7460">
        <f>IF(B7460="","",INT(A7460))</f>
        <v/>
      </c>
      <c r="D7460">
        <f>IF(B7460="","",HOUR(A7460))</f>
        <v/>
      </c>
    </row>
    <row r="7461">
      <c r="A7461">
        <f>Input!A7461</f>
        <v/>
      </c>
      <c r="B7461">
        <f>IF(ISNUMBER(Input!B7461),IF(AND(Input!B7461&gt;=20,Input!B7461&lt;=700),Input!B7461,""),"")</f>
        <v/>
      </c>
      <c r="C7461">
        <f>IF(B7461="","",INT(A7461))</f>
        <v/>
      </c>
      <c r="D7461">
        <f>IF(B7461="","",HOUR(A7461))</f>
        <v/>
      </c>
    </row>
    <row r="7462">
      <c r="A7462">
        <f>Input!A7462</f>
        <v/>
      </c>
      <c r="B7462">
        <f>IF(ISNUMBER(Input!B7462),IF(AND(Input!B7462&gt;=20,Input!B7462&lt;=700),Input!B7462,""),"")</f>
        <v/>
      </c>
      <c r="C7462">
        <f>IF(B7462="","",INT(A7462))</f>
        <v/>
      </c>
      <c r="D7462">
        <f>IF(B7462="","",HOUR(A7462))</f>
        <v/>
      </c>
    </row>
    <row r="7463">
      <c r="A7463">
        <f>Input!A7463</f>
        <v/>
      </c>
      <c r="B7463">
        <f>IF(ISNUMBER(Input!B7463),IF(AND(Input!B7463&gt;=20,Input!B7463&lt;=700),Input!B7463,""),"")</f>
        <v/>
      </c>
      <c r="C7463">
        <f>IF(B7463="","",INT(A7463))</f>
        <v/>
      </c>
      <c r="D7463">
        <f>IF(B7463="","",HOUR(A7463))</f>
        <v/>
      </c>
    </row>
    <row r="7464">
      <c r="A7464">
        <f>Input!A7464</f>
        <v/>
      </c>
      <c r="B7464">
        <f>IF(ISNUMBER(Input!B7464),IF(AND(Input!B7464&gt;=20,Input!B7464&lt;=700),Input!B7464,""),"")</f>
        <v/>
      </c>
      <c r="C7464">
        <f>IF(B7464="","",INT(A7464))</f>
        <v/>
      </c>
      <c r="D7464">
        <f>IF(B7464="","",HOUR(A7464))</f>
        <v/>
      </c>
    </row>
    <row r="7465">
      <c r="A7465">
        <f>Input!A7465</f>
        <v/>
      </c>
      <c r="B7465">
        <f>IF(ISNUMBER(Input!B7465),IF(AND(Input!B7465&gt;=20,Input!B7465&lt;=700),Input!B7465,""),"")</f>
        <v/>
      </c>
      <c r="C7465">
        <f>IF(B7465="","",INT(A7465))</f>
        <v/>
      </c>
      <c r="D7465">
        <f>IF(B7465="","",HOUR(A7465))</f>
        <v/>
      </c>
    </row>
    <row r="7466">
      <c r="A7466">
        <f>Input!A7466</f>
        <v/>
      </c>
      <c r="B7466">
        <f>IF(ISNUMBER(Input!B7466),IF(AND(Input!B7466&gt;=20,Input!B7466&lt;=700),Input!B7466,""),"")</f>
        <v/>
      </c>
      <c r="C7466">
        <f>IF(B7466="","",INT(A7466))</f>
        <v/>
      </c>
      <c r="D7466">
        <f>IF(B7466="","",HOUR(A7466))</f>
        <v/>
      </c>
    </row>
    <row r="7467">
      <c r="A7467">
        <f>Input!A7467</f>
        <v/>
      </c>
      <c r="B7467">
        <f>IF(ISNUMBER(Input!B7467),IF(AND(Input!B7467&gt;=20,Input!B7467&lt;=700),Input!B7467,""),"")</f>
        <v/>
      </c>
      <c r="C7467">
        <f>IF(B7467="","",INT(A7467))</f>
        <v/>
      </c>
      <c r="D7467">
        <f>IF(B7467="","",HOUR(A7467))</f>
        <v/>
      </c>
    </row>
    <row r="7468">
      <c r="A7468">
        <f>Input!A7468</f>
        <v/>
      </c>
      <c r="B7468">
        <f>IF(ISNUMBER(Input!B7468),IF(AND(Input!B7468&gt;=20,Input!B7468&lt;=700),Input!B7468,""),"")</f>
        <v/>
      </c>
      <c r="C7468">
        <f>IF(B7468="","",INT(A7468))</f>
        <v/>
      </c>
      <c r="D7468">
        <f>IF(B7468="","",HOUR(A7468))</f>
        <v/>
      </c>
    </row>
    <row r="7469">
      <c r="A7469">
        <f>Input!A7469</f>
        <v/>
      </c>
      <c r="B7469">
        <f>IF(ISNUMBER(Input!B7469),IF(AND(Input!B7469&gt;=20,Input!B7469&lt;=700),Input!B7469,""),"")</f>
        <v/>
      </c>
      <c r="C7469">
        <f>IF(B7469="","",INT(A7469))</f>
        <v/>
      </c>
      <c r="D7469">
        <f>IF(B7469="","",HOUR(A7469))</f>
        <v/>
      </c>
    </row>
    <row r="7470">
      <c r="A7470">
        <f>Input!A7470</f>
        <v/>
      </c>
      <c r="B7470">
        <f>IF(ISNUMBER(Input!B7470),IF(AND(Input!B7470&gt;=20,Input!B7470&lt;=700),Input!B7470,""),"")</f>
        <v/>
      </c>
      <c r="C7470">
        <f>IF(B7470="","",INT(A7470))</f>
        <v/>
      </c>
      <c r="D7470">
        <f>IF(B7470="","",HOUR(A7470))</f>
        <v/>
      </c>
    </row>
    <row r="7471">
      <c r="A7471">
        <f>Input!A7471</f>
        <v/>
      </c>
      <c r="B7471">
        <f>IF(ISNUMBER(Input!B7471),IF(AND(Input!B7471&gt;=20,Input!B7471&lt;=700),Input!B7471,""),"")</f>
        <v/>
      </c>
      <c r="C7471">
        <f>IF(B7471="","",INT(A7471))</f>
        <v/>
      </c>
      <c r="D7471">
        <f>IF(B7471="","",HOUR(A7471))</f>
        <v/>
      </c>
    </row>
    <row r="7472">
      <c r="A7472">
        <f>Input!A7472</f>
        <v/>
      </c>
      <c r="B7472">
        <f>IF(ISNUMBER(Input!B7472),IF(AND(Input!B7472&gt;=20,Input!B7472&lt;=700),Input!B7472,""),"")</f>
        <v/>
      </c>
      <c r="C7472">
        <f>IF(B7472="","",INT(A7472))</f>
        <v/>
      </c>
      <c r="D7472">
        <f>IF(B7472="","",HOUR(A7472))</f>
        <v/>
      </c>
    </row>
    <row r="7473">
      <c r="A7473">
        <f>Input!A7473</f>
        <v/>
      </c>
      <c r="B7473">
        <f>IF(ISNUMBER(Input!B7473),IF(AND(Input!B7473&gt;=20,Input!B7473&lt;=700),Input!B7473,""),"")</f>
        <v/>
      </c>
      <c r="C7473">
        <f>IF(B7473="","",INT(A7473))</f>
        <v/>
      </c>
      <c r="D7473">
        <f>IF(B7473="","",HOUR(A7473))</f>
        <v/>
      </c>
    </row>
    <row r="7474">
      <c r="A7474">
        <f>Input!A7474</f>
        <v/>
      </c>
      <c r="B7474">
        <f>IF(ISNUMBER(Input!B7474),IF(AND(Input!B7474&gt;=20,Input!B7474&lt;=700),Input!B7474,""),"")</f>
        <v/>
      </c>
      <c r="C7474">
        <f>IF(B7474="","",INT(A7474))</f>
        <v/>
      </c>
      <c r="D7474">
        <f>IF(B7474="","",HOUR(A7474))</f>
        <v/>
      </c>
    </row>
    <row r="7475">
      <c r="A7475">
        <f>Input!A7475</f>
        <v/>
      </c>
      <c r="B7475">
        <f>IF(ISNUMBER(Input!B7475),IF(AND(Input!B7475&gt;=20,Input!B7475&lt;=700),Input!B7475,""),"")</f>
        <v/>
      </c>
      <c r="C7475">
        <f>IF(B7475="","",INT(A7475))</f>
        <v/>
      </c>
      <c r="D7475">
        <f>IF(B7475="","",HOUR(A7475))</f>
        <v/>
      </c>
    </row>
    <row r="7476">
      <c r="A7476">
        <f>Input!A7476</f>
        <v/>
      </c>
      <c r="B7476">
        <f>IF(ISNUMBER(Input!B7476),IF(AND(Input!B7476&gt;=20,Input!B7476&lt;=700),Input!B7476,""),"")</f>
        <v/>
      </c>
      <c r="C7476">
        <f>IF(B7476="","",INT(A7476))</f>
        <v/>
      </c>
      <c r="D7476">
        <f>IF(B7476="","",HOUR(A7476))</f>
        <v/>
      </c>
    </row>
    <row r="7477">
      <c r="A7477">
        <f>Input!A7477</f>
        <v/>
      </c>
      <c r="B7477">
        <f>IF(ISNUMBER(Input!B7477),IF(AND(Input!B7477&gt;=20,Input!B7477&lt;=700),Input!B7477,""),"")</f>
        <v/>
      </c>
      <c r="C7477">
        <f>IF(B7477="","",INT(A7477))</f>
        <v/>
      </c>
      <c r="D7477">
        <f>IF(B7477="","",HOUR(A7477))</f>
        <v/>
      </c>
    </row>
    <row r="7478">
      <c r="A7478">
        <f>Input!A7478</f>
        <v/>
      </c>
      <c r="B7478">
        <f>IF(ISNUMBER(Input!B7478),IF(AND(Input!B7478&gt;=20,Input!B7478&lt;=700),Input!B7478,""),"")</f>
        <v/>
      </c>
      <c r="C7478">
        <f>IF(B7478="","",INT(A7478))</f>
        <v/>
      </c>
      <c r="D7478">
        <f>IF(B7478="","",HOUR(A7478))</f>
        <v/>
      </c>
    </row>
    <row r="7479">
      <c r="A7479">
        <f>Input!A7479</f>
        <v/>
      </c>
      <c r="B7479">
        <f>IF(ISNUMBER(Input!B7479),IF(AND(Input!B7479&gt;=20,Input!B7479&lt;=700),Input!B7479,""),"")</f>
        <v/>
      </c>
      <c r="C7479">
        <f>IF(B7479="","",INT(A7479))</f>
        <v/>
      </c>
      <c r="D7479">
        <f>IF(B7479="","",HOUR(A7479))</f>
        <v/>
      </c>
    </row>
    <row r="7480">
      <c r="A7480">
        <f>Input!A7480</f>
        <v/>
      </c>
      <c r="B7480">
        <f>IF(ISNUMBER(Input!B7480),IF(AND(Input!B7480&gt;=20,Input!B7480&lt;=700),Input!B7480,""),"")</f>
        <v/>
      </c>
      <c r="C7480">
        <f>IF(B7480="","",INT(A7480))</f>
        <v/>
      </c>
      <c r="D7480">
        <f>IF(B7480="","",HOUR(A7480))</f>
        <v/>
      </c>
    </row>
    <row r="7481">
      <c r="A7481">
        <f>Input!A7481</f>
        <v/>
      </c>
      <c r="B7481">
        <f>IF(ISNUMBER(Input!B7481),IF(AND(Input!B7481&gt;=20,Input!B7481&lt;=700),Input!B7481,""),"")</f>
        <v/>
      </c>
      <c r="C7481">
        <f>IF(B7481="","",INT(A7481))</f>
        <v/>
      </c>
      <c r="D7481">
        <f>IF(B7481="","",HOUR(A7481))</f>
        <v/>
      </c>
    </row>
    <row r="7482">
      <c r="A7482">
        <f>Input!A7482</f>
        <v/>
      </c>
      <c r="B7482">
        <f>IF(ISNUMBER(Input!B7482),IF(AND(Input!B7482&gt;=20,Input!B7482&lt;=700),Input!B7482,""),"")</f>
        <v/>
      </c>
      <c r="C7482">
        <f>IF(B7482="","",INT(A7482))</f>
        <v/>
      </c>
      <c r="D7482">
        <f>IF(B7482="","",HOUR(A7482))</f>
        <v/>
      </c>
    </row>
    <row r="7483">
      <c r="A7483">
        <f>Input!A7483</f>
        <v/>
      </c>
      <c r="B7483">
        <f>IF(ISNUMBER(Input!B7483),IF(AND(Input!B7483&gt;=20,Input!B7483&lt;=700),Input!B7483,""),"")</f>
        <v/>
      </c>
      <c r="C7483">
        <f>IF(B7483="","",INT(A7483))</f>
        <v/>
      </c>
      <c r="D7483">
        <f>IF(B7483="","",HOUR(A7483))</f>
        <v/>
      </c>
    </row>
    <row r="7484">
      <c r="A7484">
        <f>Input!A7484</f>
        <v/>
      </c>
      <c r="B7484">
        <f>IF(ISNUMBER(Input!B7484),IF(AND(Input!B7484&gt;=20,Input!B7484&lt;=700),Input!B7484,""),"")</f>
        <v/>
      </c>
      <c r="C7484">
        <f>IF(B7484="","",INT(A7484))</f>
        <v/>
      </c>
      <c r="D7484">
        <f>IF(B7484="","",HOUR(A7484))</f>
        <v/>
      </c>
    </row>
    <row r="7485">
      <c r="A7485">
        <f>Input!A7485</f>
        <v/>
      </c>
      <c r="B7485">
        <f>IF(ISNUMBER(Input!B7485),IF(AND(Input!B7485&gt;=20,Input!B7485&lt;=700),Input!B7485,""),"")</f>
        <v/>
      </c>
      <c r="C7485">
        <f>IF(B7485="","",INT(A7485))</f>
        <v/>
      </c>
      <c r="D7485">
        <f>IF(B7485="","",HOUR(A7485))</f>
        <v/>
      </c>
    </row>
    <row r="7486">
      <c r="A7486">
        <f>Input!A7486</f>
        <v/>
      </c>
      <c r="B7486">
        <f>IF(ISNUMBER(Input!B7486),IF(AND(Input!B7486&gt;=20,Input!B7486&lt;=700),Input!B7486,""),"")</f>
        <v/>
      </c>
      <c r="C7486">
        <f>IF(B7486="","",INT(A7486))</f>
        <v/>
      </c>
      <c r="D7486">
        <f>IF(B7486="","",HOUR(A7486))</f>
        <v/>
      </c>
    </row>
    <row r="7487">
      <c r="A7487">
        <f>Input!A7487</f>
        <v/>
      </c>
      <c r="B7487">
        <f>IF(ISNUMBER(Input!B7487),IF(AND(Input!B7487&gt;=20,Input!B7487&lt;=700),Input!B7487,""),"")</f>
        <v/>
      </c>
      <c r="C7487">
        <f>IF(B7487="","",INT(A7487))</f>
        <v/>
      </c>
      <c r="D7487">
        <f>IF(B7487="","",HOUR(A7487))</f>
        <v/>
      </c>
    </row>
    <row r="7488">
      <c r="A7488">
        <f>Input!A7488</f>
        <v/>
      </c>
      <c r="B7488">
        <f>IF(ISNUMBER(Input!B7488),IF(AND(Input!B7488&gt;=20,Input!B7488&lt;=700),Input!B7488,""),"")</f>
        <v/>
      </c>
      <c r="C7488">
        <f>IF(B7488="","",INT(A7488))</f>
        <v/>
      </c>
      <c r="D7488">
        <f>IF(B7488="","",HOUR(A7488))</f>
        <v/>
      </c>
    </row>
    <row r="7489">
      <c r="A7489">
        <f>Input!A7489</f>
        <v/>
      </c>
      <c r="B7489">
        <f>IF(ISNUMBER(Input!B7489),IF(AND(Input!B7489&gt;=20,Input!B7489&lt;=700),Input!B7489,""),"")</f>
        <v/>
      </c>
      <c r="C7489">
        <f>IF(B7489="","",INT(A7489))</f>
        <v/>
      </c>
      <c r="D7489">
        <f>IF(B7489="","",HOUR(A7489))</f>
        <v/>
      </c>
    </row>
    <row r="7490">
      <c r="A7490">
        <f>Input!A7490</f>
        <v/>
      </c>
      <c r="B7490">
        <f>IF(ISNUMBER(Input!B7490),IF(AND(Input!B7490&gt;=20,Input!B7490&lt;=700),Input!B7490,""),"")</f>
        <v/>
      </c>
      <c r="C7490">
        <f>IF(B7490="","",INT(A7490))</f>
        <v/>
      </c>
      <c r="D7490">
        <f>IF(B7490="","",HOUR(A7490))</f>
        <v/>
      </c>
    </row>
    <row r="7491">
      <c r="A7491">
        <f>Input!A7491</f>
        <v/>
      </c>
      <c r="B7491">
        <f>IF(ISNUMBER(Input!B7491),IF(AND(Input!B7491&gt;=20,Input!B7491&lt;=700),Input!B7491,""),"")</f>
        <v/>
      </c>
      <c r="C7491">
        <f>IF(B7491="","",INT(A7491))</f>
        <v/>
      </c>
      <c r="D7491">
        <f>IF(B7491="","",HOUR(A7491))</f>
        <v/>
      </c>
    </row>
    <row r="7492">
      <c r="A7492">
        <f>Input!A7492</f>
        <v/>
      </c>
      <c r="B7492">
        <f>IF(ISNUMBER(Input!B7492),IF(AND(Input!B7492&gt;=20,Input!B7492&lt;=700),Input!B7492,""),"")</f>
        <v/>
      </c>
      <c r="C7492">
        <f>IF(B7492="","",INT(A7492))</f>
        <v/>
      </c>
      <c r="D7492">
        <f>IF(B7492="","",HOUR(A7492))</f>
        <v/>
      </c>
    </row>
    <row r="7493">
      <c r="A7493">
        <f>Input!A7493</f>
        <v/>
      </c>
      <c r="B7493">
        <f>IF(ISNUMBER(Input!B7493),IF(AND(Input!B7493&gt;=20,Input!B7493&lt;=700),Input!B7493,""),"")</f>
        <v/>
      </c>
      <c r="C7493">
        <f>IF(B7493="","",INT(A7493))</f>
        <v/>
      </c>
      <c r="D7493">
        <f>IF(B7493="","",HOUR(A7493))</f>
        <v/>
      </c>
    </row>
    <row r="7494">
      <c r="A7494">
        <f>Input!A7494</f>
        <v/>
      </c>
      <c r="B7494">
        <f>IF(ISNUMBER(Input!B7494),IF(AND(Input!B7494&gt;=20,Input!B7494&lt;=700),Input!B7494,""),"")</f>
        <v/>
      </c>
      <c r="C7494">
        <f>IF(B7494="","",INT(A7494))</f>
        <v/>
      </c>
      <c r="D7494">
        <f>IF(B7494="","",HOUR(A7494))</f>
        <v/>
      </c>
    </row>
    <row r="7495">
      <c r="A7495">
        <f>Input!A7495</f>
        <v/>
      </c>
      <c r="B7495">
        <f>IF(ISNUMBER(Input!B7495),IF(AND(Input!B7495&gt;=20,Input!B7495&lt;=700),Input!B7495,""),"")</f>
        <v/>
      </c>
      <c r="C7495">
        <f>IF(B7495="","",INT(A7495))</f>
        <v/>
      </c>
      <c r="D7495">
        <f>IF(B7495="","",HOUR(A7495))</f>
        <v/>
      </c>
    </row>
    <row r="7496">
      <c r="A7496">
        <f>Input!A7496</f>
        <v/>
      </c>
      <c r="B7496">
        <f>IF(ISNUMBER(Input!B7496),IF(AND(Input!B7496&gt;=20,Input!B7496&lt;=700),Input!B7496,""),"")</f>
        <v/>
      </c>
      <c r="C7496">
        <f>IF(B7496="","",INT(A7496))</f>
        <v/>
      </c>
      <c r="D7496">
        <f>IF(B7496="","",HOUR(A7496))</f>
        <v/>
      </c>
    </row>
    <row r="7497">
      <c r="A7497">
        <f>Input!A7497</f>
        <v/>
      </c>
      <c r="B7497">
        <f>IF(ISNUMBER(Input!B7497),IF(AND(Input!B7497&gt;=20,Input!B7497&lt;=700),Input!B7497,""),"")</f>
        <v/>
      </c>
      <c r="C7497">
        <f>IF(B7497="","",INT(A7497))</f>
        <v/>
      </c>
      <c r="D7497">
        <f>IF(B7497="","",HOUR(A7497))</f>
        <v/>
      </c>
    </row>
    <row r="7498">
      <c r="A7498">
        <f>Input!A7498</f>
        <v/>
      </c>
      <c r="B7498">
        <f>IF(ISNUMBER(Input!B7498),IF(AND(Input!B7498&gt;=20,Input!B7498&lt;=700),Input!B7498,""),"")</f>
        <v/>
      </c>
      <c r="C7498">
        <f>IF(B7498="","",INT(A7498))</f>
        <v/>
      </c>
      <c r="D7498">
        <f>IF(B7498="","",HOUR(A7498))</f>
        <v/>
      </c>
    </row>
    <row r="7499">
      <c r="A7499">
        <f>Input!A7499</f>
        <v/>
      </c>
      <c r="B7499">
        <f>IF(ISNUMBER(Input!B7499),IF(AND(Input!B7499&gt;=20,Input!B7499&lt;=700),Input!B7499,""),"")</f>
        <v/>
      </c>
      <c r="C7499">
        <f>IF(B7499="","",INT(A7499))</f>
        <v/>
      </c>
      <c r="D7499">
        <f>IF(B7499="","",HOUR(A7499))</f>
        <v/>
      </c>
    </row>
    <row r="7500">
      <c r="A7500">
        <f>Input!A7500</f>
        <v/>
      </c>
      <c r="B7500">
        <f>IF(ISNUMBER(Input!B7500),IF(AND(Input!B7500&gt;=20,Input!B7500&lt;=700),Input!B7500,""),"")</f>
        <v/>
      </c>
      <c r="C7500">
        <f>IF(B7500="","",INT(A7500))</f>
        <v/>
      </c>
      <c r="D7500">
        <f>IF(B7500="","",HOUR(A7500))</f>
        <v/>
      </c>
    </row>
    <row r="7501">
      <c r="A7501">
        <f>Input!A7501</f>
        <v/>
      </c>
      <c r="B7501">
        <f>IF(ISNUMBER(Input!B7501),IF(AND(Input!B7501&gt;=20,Input!B7501&lt;=700),Input!B7501,""),"")</f>
        <v/>
      </c>
      <c r="C7501">
        <f>IF(B7501="","",INT(A7501))</f>
        <v/>
      </c>
      <c r="D7501">
        <f>IF(B7501="","",HOUR(A7501))</f>
        <v/>
      </c>
    </row>
    <row r="7502">
      <c r="A7502">
        <f>Input!A7502</f>
        <v/>
      </c>
      <c r="B7502">
        <f>IF(ISNUMBER(Input!B7502),IF(AND(Input!B7502&gt;=20,Input!B7502&lt;=700),Input!B7502,""),"")</f>
        <v/>
      </c>
      <c r="C7502">
        <f>IF(B7502="","",INT(A7502))</f>
        <v/>
      </c>
      <c r="D7502">
        <f>IF(B7502="","",HOUR(A7502))</f>
        <v/>
      </c>
    </row>
    <row r="7503">
      <c r="A7503">
        <f>Input!A7503</f>
        <v/>
      </c>
      <c r="B7503">
        <f>IF(ISNUMBER(Input!B7503),IF(AND(Input!B7503&gt;=20,Input!B7503&lt;=700),Input!B7503,""),"")</f>
        <v/>
      </c>
      <c r="C7503">
        <f>IF(B7503="","",INT(A7503))</f>
        <v/>
      </c>
      <c r="D7503">
        <f>IF(B7503="","",HOUR(A7503))</f>
        <v/>
      </c>
    </row>
    <row r="7504">
      <c r="A7504">
        <f>Input!A7504</f>
        <v/>
      </c>
      <c r="B7504">
        <f>IF(ISNUMBER(Input!B7504),IF(AND(Input!B7504&gt;=20,Input!B7504&lt;=700),Input!B7504,""),"")</f>
        <v/>
      </c>
      <c r="C7504">
        <f>IF(B7504="","",INT(A7504))</f>
        <v/>
      </c>
      <c r="D7504">
        <f>IF(B7504="","",HOUR(A7504))</f>
        <v/>
      </c>
    </row>
    <row r="7505">
      <c r="A7505">
        <f>Input!A7505</f>
        <v/>
      </c>
      <c r="B7505">
        <f>IF(ISNUMBER(Input!B7505),IF(AND(Input!B7505&gt;=20,Input!B7505&lt;=700),Input!B7505,""),"")</f>
        <v/>
      </c>
      <c r="C7505">
        <f>IF(B7505="","",INT(A7505))</f>
        <v/>
      </c>
      <c r="D7505">
        <f>IF(B7505="","",HOUR(A7505))</f>
        <v/>
      </c>
    </row>
    <row r="7506">
      <c r="A7506">
        <f>Input!A7506</f>
        <v/>
      </c>
      <c r="B7506">
        <f>IF(ISNUMBER(Input!B7506),IF(AND(Input!B7506&gt;=20,Input!B7506&lt;=700),Input!B7506,""),"")</f>
        <v/>
      </c>
      <c r="C7506">
        <f>IF(B7506="","",INT(A7506))</f>
        <v/>
      </c>
      <c r="D7506">
        <f>IF(B7506="","",HOUR(A7506))</f>
        <v/>
      </c>
    </row>
    <row r="7507">
      <c r="A7507">
        <f>Input!A7507</f>
        <v/>
      </c>
      <c r="B7507">
        <f>IF(ISNUMBER(Input!B7507),IF(AND(Input!B7507&gt;=20,Input!B7507&lt;=700),Input!B7507,""),"")</f>
        <v/>
      </c>
      <c r="C7507">
        <f>IF(B7507="","",INT(A7507))</f>
        <v/>
      </c>
      <c r="D7507">
        <f>IF(B7507="","",HOUR(A7507))</f>
        <v/>
      </c>
    </row>
    <row r="7508">
      <c r="A7508">
        <f>Input!A7508</f>
        <v/>
      </c>
      <c r="B7508">
        <f>IF(ISNUMBER(Input!B7508),IF(AND(Input!B7508&gt;=20,Input!B7508&lt;=700),Input!B7508,""),"")</f>
        <v/>
      </c>
      <c r="C7508">
        <f>IF(B7508="","",INT(A7508))</f>
        <v/>
      </c>
      <c r="D7508">
        <f>IF(B7508="","",HOUR(A7508))</f>
        <v/>
      </c>
    </row>
    <row r="7509">
      <c r="A7509">
        <f>Input!A7509</f>
        <v/>
      </c>
      <c r="B7509">
        <f>IF(ISNUMBER(Input!B7509),IF(AND(Input!B7509&gt;=20,Input!B7509&lt;=700),Input!B7509,""),"")</f>
        <v/>
      </c>
      <c r="C7509">
        <f>IF(B7509="","",INT(A7509))</f>
        <v/>
      </c>
      <c r="D7509">
        <f>IF(B7509="","",HOUR(A7509))</f>
        <v/>
      </c>
    </row>
    <row r="7510">
      <c r="A7510">
        <f>Input!A7510</f>
        <v/>
      </c>
      <c r="B7510">
        <f>IF(ISNUMBER(Input!B7510),IF(AND(Input!B7510&gt;=20,Input!B7510&lt;=700),Input!B7510,""),"")</f>
        <v/>
      </c>
      <c r="C7510">
        <f>IF(B7510="","",INT(A7510))</f>
        <v/>
      </c>
      <c r="D7510">
        <f>IF(B7510="","",HOUR(A7510))</f>
        <v/>
      </c>
    </row>
    <row r="7511">
      <c r="A7511">
        <f>Input!A7511</f>
        <v/>
      </c>
      <c r="B7511">
        <f>IF(ISNUMBER(Input!B7511),IF(AND(Input!B7511&gt;=20,Input!B7511&lt;=700),Input!B7511,""),"")</f>
        <v/>
      </c>
      <c r="C7511">
        <f>IF(B7511="","",INT(A7511))</f>
        <v/>
      </c>
      <c r="D7511">
        <f>IF(B7511="","",HOUR(A7511))</f>
        <v/>
      </c>
    </row>
    <row r="7512">
      <c r="A7512">
        <f>Input!A7512</f>
        <v/>
      </c>
      <c r="B7512">
        <f>IF(ISNUMBER(Input!B7512),IF(AND(Input!B7512&gt;=20,Input!B7512&lt;=700),Input!B7512,""),"")</f>
        <v/>
      </c>
      <c r="C7512">
        <f>IF(B7512="","",INT(A7512))</f>
        <v/>
      </c>
      <c r="D7512">
        <f>IF(B7512="","",HOUR(A7512))</f>
        <v/>
      </c>
    </row>
    <row r="7513">
      <c r="A7513">
        <f>Input!A7513</f>
        <v/>
      </c>
      <c r="B7513">
        <f>IF(ISNUMBER(Input!B7513),IF(AND(Input!B7513&gt;=20,Input!B7513&lt;=700),Input!B7513,""),"")</f>
        <v/>
      </c>
      <c r="C7513">
        <f>IF(B7513="","",INT(A7513))</f>
        <v/>
      </c>
      <c r="D7513">
        <f>IF(B7513="","",HOUR(A7513))</f>
        <v/>
      </c>
    </row>
    <row r="7514">
      <c r="A7514">
        <f>Input!A7514</f>
        <v/>
      </c>
      <c r="B7514">
        <f>IF(ISNUMBER(Input!B7514),IF(AND(Input!B7514&gt;=20,Input!B7514&lt;=700),Input!B7514,""),"")</f>
        <v/>
      </c>
      <c r="C7514">
        <f>IF(B7514="","",INT(A7514))</f>
        <v/>
      </c>
      <c r="D7514">
        <f>IF(B7514="","",HOUR(A7514))</f>
        <v/>
      </c>
    </row>
    <row r="7515">
      <c r="A7515">
        <f>Input!A7515</f>
        <v/>
      </c>
      <c r="B7515">
        <f>IF(ISNUMBER(Input!B7515),IF(AND(Input!B7515&gt;=20,Input!B7515&lt;=700),Input!B7515,""),"")</f>
        <v/>
      </c>
      <c r="C7515">
        <f>IF(B7515="","",INT(A7515))</f>
        <v/>
      </c>
      <c r="D7515">
        <f>IF(B7515="","",HOUR(A7515))</f>
        <v/>
      </c>
    </row>
    <row r="7516">
      <c r="A7516">
        <f>Input!A7516</f>
        <v/>
      </c>
      <c r="B7516">
        <f>IF(ISNUMBER(Input!B7516),IF(AND(Input!B7516&gt;=20,Input!B7516&lt;=700),Input!B7516,""),"")</f>
        <v/>
      </c>
      <c r="C7516">
        <f>IF(B7516="","",INT(A7516))</f>
        <v/>
      </c>
      <c r="D7516">
        <f>IF(B7516="","",HOUR(A7516))</f>
        <v/>
      </c>
    </row>
    <row r="7517">
      <c r="A7517">
        <f>Input!A7517</f>
        <v/>
      </c>
      <c r="B7517">
        <f>IF(ISNUMBER(Input!B7517),IF(AND(Input!B7517&gt;=20,Input!B7517&lt;=700),Input!B7517,""),"")</f>
        <v/>
      </c>
      <c r="C7517">
        <f>IF(B7517="","",INT(A7517))</f>
        <v/>
      </c>
      <c r="D7517">
        <f>IF(B7517="","",HOUR(A7517))</f>
        <v/>
      </c>
    </row>
    <row r="7518">
      <c r="A7518">
        <f>Input!A7518</f>
        <v/>
      </c>
      <c r="B7518">
        <f>IF(ISNUMBER(Input!B7518),IF(AND(Input!B7518&gt;=20,Input!B7518&lt;=700),Input!B7518,""),"")</f>
        <v/>
      </c>
      <c r="C7518">
        <f>IF(B7518="","",INT(A7518))</f>
        <v/>
      </c>
      <c r="D7518">
        <f>IF(B7518="","",HOUR(A7518))</f>
        <v/>
      </c>
    </row>
    <row r="7519">
      <c r="A7519">
        <f>Input!A7519</f>
        <v/>
      </c>
      <c r="B7519">
        <f>IF(ISNUMBER(Input!B7519),IF(AND(Input!B7519&gt;=20,Input!B7519&lt;=700),Input!B7519,""),"")</f>
        <v/>
      </c>
      <c r="C7519">
        <f>IF(B7519="","",INT(A7519))</f>
        <v/>
      </c>
      <c r="D7519">
        <f>IF(B7519="","",HOUR(A7519))</f>
        <v/>
      </c>
    </row>
    <row r="7520">
      <c r="A7520">
        <f>Input!A7520</f>
        <v/>
      </c>
      <c r="B7520">
        <f>IF(ISNUMBER(Input!B7520),IF(AND(Input!B7520&gt;=20,Input!B7520&lt;=700),Input!B7520,""),"")</f>
        <v/>
      </c>
      <c r="C7520">
        <f>IF(B7520="","",INT(A7520))</f>
        <v/>
      </c>
      <c r="D7520">
        <f>IF(B7520="","",HOUR(A7520))</f>
        <v/>
      </c>
    </row>
    <row r="7521">
      <c r="A7521">
        <f>Input!A7521</f>
        <v/>
      </c>
      <c r="B7521">
        <f>IF(ISNUMBER(Input!B7521),IF(AND(Input!B7521&gt;=20,Input!B7521&lt;=700),Input!B7521,""),"")</f>
        <v/>
      </c>
      <c r="C7521">
        <f>IF(B7521="","",INT(A7521))</f>
        <v/>
      </c>
      <c r="D7521">
        <f>IF(B7521="","",HOUR(A7521))</f>
        <v/>
      </c>
    </row>
    <row r="7522">
      <c r="A7522">
        <f>Input!A7522</f>
        <v/>
      </c>
      <c r="B7522">
        <f>IF(ISNUMBER(Input!B7522),IF(AND(Input!B7522&gt;=20,Input!B7522&lt;=700),Input!B7522,""),"")</f>
        <v/>
      </c>
      <c r="C7522">
        <f>IF(B7522="","",INT(A7522))</f>
        <v/>
      </c>
      <c r="D7522">
        <f>IF(B7522="","",HOUR(A7522))</f>
        <v/>
      </c>
    </row>
    <row r="7523">
      <c r="A7523">
        <f>Input!A7523</f>
        <v/>
      </c>
      <c r="B7523">
        <f>IF(ISNUMBER(Input!B7523),IF(AND(Input!B7523&gt;=20,Input!B7523&lt;=700),Input!B7523,""),"")</f>
        <v/>
      </c>
      <c r="C7523">
        <f>IF(B7523="","",INT(A7523))</f>
        <v/>
      </c>
      <c r="D7523">
        <f>IF(B7523="","",HOUR(A7523))</f>
        <v/>
      </c>
    </row>
    <row r="7524">
      <c r="A7524">
        <f>Input!A7524</f>
        <v/>
      </c>
      <c r="B7524">
        <f>IF(ISNUMBER(Input!B7524),IF(AND(Input!B7524&gt;=20,Input!B7524&lt;=700),Input!B7524,""),"")</f>
        <v/>
      </c>
      <c r="C7524">
        <f>IF(B7524="","",INT(A7524))</f>
        <v/>
      </c>
      <c r="D7524">
        <f>IF(B7524="","",HOUR(A7524))</f>
        <v/>
      </c>
    </row>
    <row r="7525">
      <c r="A7525">
        <f>Input!A7525</f>
        <v/>
      </c>
      <c r="B7525">
        <f>IF(ISNUMBER(Input!B7525),IF(AND(Input!B7525&gt;=20,Input!B7525&lt;=700),Input!B7525,""),"")</f>
        <v/>
      </c>
      <c r="C7525">
        <f>IF(B7525="","",INT(A7525))</f>
        <v/>
      </c>
      <c r="D7525">
        <f>IF(B7525="","",HOUR(A7525))</f>
        <v/>
      </c>
    </row>
    <row r="7526">
      <c r="A7526">
        <f>Input!A7526</f>
        <v/>
      </c>
      <c r="B7526">
        <f>IF(ISNUMBER(Input!B7526),IF(AND(Input!B7526&gt;=20,Input!B7526&lt;=700),Input!B7526,""),"")</f>
        <v/>
      </c>
      <c r="C7526">
        <f>IF(B7526="","",INT(A7526))</f>
        <v/>
      </c>
      <c r="D7526">
        <f>IF(B7526="","",HOUR(A7526))</f>
        <v/>
      </c>
    </row>
    <row r="7527">
      <c r="A7527">
        <f>Input!A7527</f>
        <v/>
      </c>
      <c r="B7527">
        <f>IF(ISNUMBER(Input!B7527),IF(AND(Input!B7527&gt;=20,Input!B7527&lt;=700),Input!B7527,""),"")</f>
        <v/>
      </c>
      <c r="C7527">
        <f>IF(B7527="","",INT(A7527))</f>
        <v/>
      </c>
      <c r="D7527">
        <f>IF(B7527="","",HOUR(A7527))</f>
        <v/>
      </c>
    </row>
    <row r="7528">
      <c r="A7528">
        <f>Input!A7528</f>
        <v/>
      </c>
      <c r="B7528">
        <f>IF(ISNUMBER(Input!B7528),IF(AND(Input!B7528&gt;=20,Input!B7528&lt;=700),Input!B7528,""),"")</f>
        <v/>
      </c>
      <c r="C7528">
        <f>IF(B7528="","",INT(A7528))</f>
        <v/>
      </c>
      <c r="D7528">
        <f>IF(B7528="","",HOUR(A7528))</f>
        <v/>
      </c>
    </row>
    <row r="7529">
      <c r="A7529">
        <f>Input!A7529</f>
        <v/>
      </c>
      <c r="B7529">
        <f>IF(ISNUMBER(Input!B7529),IF(AND(Input!B7529&gt;=20,Input!B7529&lt;=700),Input!B7529,""),"")</f>
        <v/>
      </c>
      <c r="C7529">
        <f>IF(B7529="","",INT(A7529))</f>
        <v/>
      </c>
      <c r="D7529">
        <f>IF(B7529="","",HOUR(A7529))</f>
        <v/>
      </c>
    </row>
    <row r="7530">
      <c r="A7530">
        <f>Input!A7530</f>
        <v/>
      </c>
      <c r="B7530">
        <f>IF(ISNUMBER(Input!B7530),IF(AND(Input!B7530&gt;=20,Input!B7530&lt;=700),Input!B7530,""),"")</f>
        <v/>
      </c>
      <c r="C7530">
        <f>IF(B7530="","",INT(A7530))</f>
        <v/>
      </c>
      <c r="D7530">
        <f>IF(B7530="","",HOUR(A7530))</f>
        <v/>
      </c>
    </row>
    <row r="7531">
      <c r="A7531">
        <f>Input!A7531</f>
        <v/>
      </c>
      <c r="B7531">
        <f>IF(ISNUMBER(Input!B7531),IF(AND(Input!B7531&gt;=20,Input!B7531&lt;=700),Input!B7531,""),"")</f>
        <v/>
      </c>
      <c r="C7531">
        <f>IF(B7531="","",INT(A7531))</f>
        <v/>
      </c>
      <c r="D7531">
        <f>IF(B7531="","",HOUR(A7531))</f>
        <v/>
      </c>
    </row>
    <row r="7532">
      <c r="A7532">
        <f>Input!A7532</f>
        <v/>
      </c>
      <c r="B7532">
        <f>IF(ISNUMBER(Input!B7532),IF(AND(Input!B7532&gt;=20,Input!B7532&lt;=700),Input!B7532,""),"")</f>
        <v/>
      </c>
      <c r="C7532">
        <f>IF(B7532="","",INT(A7532))</f>
        <v/>
      </c>
      <c r="D7532">
        <f>IF(B7532="","",HOUR(A7532))</f>
        <v/>
      </c>
    </row>
    <row r="7533">
      <c r="A7533">
        <f>Input!A7533</f>
        <v/>
      </c>
      <c r="B7533">
        <f>IF(ISNUMBER(Input!B7533),IF(AND(Input!B7533&gt;=20,Input!B7533&lt;=700),Input!B7533,""),"")</f>
        <v/>
      </c>
      <c r="C7533">
        <f>IF(B7533="","",INT(A7533))</f>
        <v/>
      </c>
      <c r="D7533">
        <f>IF(B7533="","",HOUR(A7533))</f>
        <v/>
      </c>
    </row>
    <row r="7534">
      <c r="A7534">
        <f>Input!A7534</f>
        <v/>
      </c>
      <c r="B7534">
        <f>IF(ISNUMBER(Input!B7534),IF(AND(Input!B7534&gt;=20,Input!B7534&lt;=700),Input!B7534,""),"")</f>
        <v/>
      </c>
      <c r="C7534">
        <f>IF(B7534="","",INT(A7534))</f>
        <v/>
      </c>
      <c r="D7534">
        <f>IF(B7534="","",HOUR(A7534))</f>
        <v/>
      </c>
    </row>
    <row r="7535">
      <c r="A7535">
        <f>Input!A7535</f>
        <v/>
      </c>
      <c r="B7535">
        <f>IF(ISNUMBER(Input!B7535),IF(AND(Input!B7535&gt;=20,Input!B7535&lt;=700),Input!B7535,""),"")</f>
        <v/>
      </c>
      <c r="C7535">
        <f>IF(B7535="","",INT(A7535))</f>
        <v/>
      </c>
      <c r="D7535">
        <f>IF(B7535="","",HOUR(A7535))</f>
        <v/>
      </c>
    </row>
    <row r="7536">
      <c r="A7536">
        <f>Input!A7536</f>
        <v/>
      </c>
      <c r="B7536">
        <f>IF(ISNUMBER(Input!B7536),IF(AND(Input!B7536&gt;=20,Input!B7536&lt;=700),Input!B7536,""),"")</f>
        <v/>
      </c>
      <c r="C7536">
        <f>IF(B7536="","",INT(A7536))</f>
        <v/>
      </c>
      <c r="D7536">
        <f>IF(B7536="","",HOUR(A7536))</f>
        <v/>
      </c>
    </row>
    <row r="7537">
      <c r="A7537">
        <f>Input!A7537</f>
        <v/>
      </c>
      <c r="B7537">
        <f>IF(ISNUMBER(Input!B7537),IF(AND(Input!B7537&gt;=20,Input!B7537&lt;=700),Input!B7537,""),"")</f>
        <v/>
      </c>
      <c r="C7537">
        <f>IF(B7537="","",INT(A7537))</f>
        <v/>
      </c>
      <c r="D7537">
        <f>IF(B7537="","",HOUR(A7537))</f>
        <v/>
      </c>
    </row>
    <row r="7538">
      <c r="A7538">
        <f>Input!A7538</f>
        <v/>
      </c>
      <c r="B7538">
        <f>IF(ISNUMBER(Input!B7538),IF(AND(Input!B7538&gt;=20,Input!B7538&lt;=700),Input!B7538,""),"")</f>
        <v/>
      </c>
      <c r="C7538">
        <f>IF(B7538="","",INT(A7538))</f>
        <v/>
      </c>
      <c r="D7538">
        <f>IF(B7538="","",HOUR(A7538))</f>
        <v/>
      </c>
    </row>
    <row r="7539">
      <c r="A7539">
        <f>Input!A7539</f>
        <v/>
      </c>
      <c r="B7539">
        <f>IF(ISNUMBER(Input!B7539),IF(AND(Input!B7539&gt;=20,Input!B7539&lt;=700),Input!B7539,""),"")</f>
        <v/>
      </c>
      <c r="C7539">
        <f>IF(B7539="","",INT(A7539))</f>
        <v/>
      </c>
      <c r="D7539">
        <f>IF(B7539="","",HOUR(A7539))</f>
        <v/>
      </c>
    </row>
    <row r="7540">
      <c r="A7540">
        <f>Input!A7540</f>
        <v/>
      </c>
      <c r="B7540">
        <f>IF(ISNUMBER(Input!B7540),IF(AND(Input!B7540&gt;=20,Input!B7540&lt;=700),Input!B7540,""),"")</f>
        <v/>
      </c>
      <c r="C7540">
        <f>IF(B7540="","",INT(A7540))</f>
        <v/>
      </c>
      <c r="D7540">
        <f>IF(B7540="","",HOUR(A7540))</f>
        <v/>
      </c>
    </row>
    <row r="7541">
      <c r="A7541">
        <f>Input!A7541</f>
        <v/>
      </c>
      <c r="B7541">
        <f>IF(ISNUMBER(Input!B7541),IF(AND(Input!B7541&gt;=20,Input!B7541&lt;=700),Input!B7541,""),"")</f>
        <v/>
      </c>
      <c r="C7541">
        <f>IF(B7541="","",INT(A7541))</f>
        <v/>
      </c>
      <c r="D7541">
        <f>IF(B7541="","",HOUR(A7541))</f>
        <v/>
      </c>
    </row>
    <row r="7542">
      <c r="A7542">
        <f>Input!A7542</f>
        <v/>
      </c>
      <c r="B7542">
        <f>IF(ISNUMBER(Input!B7542),IF(AND(Input!B7542&gt;=20,Input!B7542&lt;=700),Input!B7542,""),"")</f>
        <v/>
      </c>
      <c r="C7542">
        <f>IF(B7542="","",INT(A7542))</f>
        <v/>
      </c>
      <c r="D7542">
        <f>IF(B7542="","",HOUR(A7542))</f>
        <v/>
      </c>
    </row>
    <row r="7543">
      <c r="A7543">
        <f>Input!A7543</f>
        <v/>
      </c>
      <c r="B7543">
        <f>IF(ISNUMBER(Input!B7543),IF(AND(Input!B7543&gt;=20,Input!B7543&lt;=700),Input!B7543,""),"")</f>
        <v/>
      </c>
      <c r="C7543">
        <f>IF(B7543="","",INT(A7543))</f>
        <v/>
      </c>
      <c r="D7543">
        <f>IF(B7543="","",HOUR(A7543))</f>
        <v/>
      </c>
    </row>
    <row r="7544">
      <c r="A7544">
        <f>Input!A7544</f>
        <v/>
      </c>
      <c r="B7544">
        <f>IF(ISNUMBER(Input!B7544),IF(AND(Input!B7544&gt;=20,Input!B7544&lt;=700),Input!B7544,""),"")</f>
        <v/>
      </c>
      <c r="C7544">
        <f>IF(B7544="","",INT(A7544))</f>
        <v/>
      </c>
      <c r="D7544">
        <f>IF(B7544="","",HOUR(A7544))</f>
        <v/>
      </c>
    </row>
    <row r="7545">
      <c r="A7545">
        <f>Input!A7545</f>
        <v/>
      </c>
      <c r="B7545">
        <f>IF(ISNUMBER(Input!B7545),IF(AND(Input!B7545&gt;=20,Input!B7545&lt;=700),Input!B7545,""),"")</f>
        <v/>
      </c>
      <c r="C7545">
        <f>IF(B7545="","",INT(A7545))</f>
        <v/>
      </c>
      <c r="D7545">
        <f>IF(B7545="","",HOUR(A7545))</f>
        <v/>
      </c>
    </row>
    <row r="7546">
      <c r="A7546">
        <f>Input!A7546</f>
        <v/>
      </c>
      <c r="B7546">
        <f>IF(ISNUMBER(Input!B7546),IF(AND(Input!B7546&gt;=20,Input!B7546&lt;=700),Input!B7546,""),"")</f>
        <v/>
      </c>
      <c r="C7546">
        <f>IF(B7546="","",INT(A7546))</f>
        <v/>
      </c>
      <c r="D7546">
        <f>IF(B7546="","",HOUR(A7546))</f>
        <v/>
      </c>
    </row>
    <row r="7547">
      <c r="A7547">
        <f>Input!A7547</f>
        <v/>
      </c>
      <c r="B7547">
        <f>IF(ISNUMBER(Input!B7547),IF(AND(Input!B7547&gt;=20,Input!B7547&lt;=700),Input!B7547,""),"")</f>
        <v/>
      </c>
      <c r="C7547">
        <f>IF(B7547="","",INT(A7547))</f>
        <v/>
      </c>
      <c r="D7547">
        <f>IF(B7547="","",HOUR(A7547))</f>
        <v/>
      </c>
    </row>
    <row r="7548">
      <c r="A7548">
        <f>Input!A7548</f>
        <v/>
      </c>
      <c r="B7548">
        <f>IF(ISNUMBER(Input!B7548),IF(AND(Input!B7548&gt;=20,Input!B7548&lt;=700),Input!B7548,""),"")</f>
        <v/>
      </c>
      <c r="C7548">
        <f>IF(B7548="","",INT(A7548))</f>
        <v/>
      </c>
      <c r="D7548">
        <f>IF(B7548="","",HOUR(A7548))</f>
        <v/>
      </c>
    </row>
    <row r="7549">
      <c r="A7549">
        <f>Input!A7549</f>
        <v/>
      </c>
      <c r="B7549">
        <f>IF(ISNUMBER(Input!B7549),IF(AND(Input!B7549&gt;=20,Input!B7549&lt;=700),Input!B7549,""),"")</f>
        <v/>
      </c>
      <c r="C7549">
        <f>IF(B7549="","",INT(A7549))</f>
        <v/>
      </c>
      <c r="D7549">
        <f>IF(B7549="","",HOUR(A7549))</f>
        <v/>
      </c>
    </row>
    <row r="7550">
      <c r="A7550">
        <f>Input!A7550</f>
        <v/>
      </c>
      <c r="B7550">
        <f>IF(ISNUMBER(Input!B7550),IF(AND(Input!B7550&gt;=20,Input!B7550&lt;=700),Input!B7550,""),"")</f>
        <v/>
      </c>
      <c r="C7550">
        <f>IF(B7550="","",INT(A7550))</f>
        <v/>
      </c>
      <c r="D7550">
        <f>IF(B7550="","",HOUR(A7550))</f>
        <v/>
      </c>
    </row>
    <row r="7551">
      <c r="A7551">
        <f>Input!A7551</f>
        <v/>
      </c>
      <c r="B7551">
        <f>IF(ISNUMBER(Input!B7551),IF(AND(Input!B7551&gt;=20,Input!B7551&lt;=700),Input!B7551,""),"")</f>
        <v/>
      </c>
      <c r="C7551">
        <f>IF(B7551="","",INT(A7551))</f>
        <v/>
      </c>
      <c r="D7551">
        <f>IF(B7551="","",HOUR(A7551))</f>
        <v/>
      </c>
    </row>
    <row r="7552">
      <c r="A7552">
        <f>Input!A7552</f>
        <v/>
      </c>
      <c r="B7552">
        <f>IF(ISNUMBER(Input!B7552),IF(AND(Input!B7552&gt;=20,Input!B7552&lt;=700),Input!B7552,""),"")</f>
        <v/>
      </c>
      <c r="C7552">
        <f>IF(B7552="","",INT(A7552))</f>
        <v/>
      </c>
      <c r="D7552">
        <f>IF(B7552="","",HOUR(A7552))</f>
        <v/>
      </c>
    </row>
    <row r="7553">
      <c r="A7553">
        <f>Input!A7553</f>
        <v/>
      </c>
      <c r="B7553">
        <f>IF(ISNUMBER(Input!B7553),IF(AND(Input!B7553&gt;=20,Input!B7553&lt;=700),Input!B7553,""),"")</f>
        <v/>
      </c>
      <c r="C7553">
        <f>IF(B7553="","",INT(A7553))</f>
        <v/>
      </c>
      <c r="D7553">
        <f>IF(B7553="","",HOUR(A7553))</f>
        <v/>
      </c>
    </row>
    <row r="7554">
      <c r="A7554">
        <f>Input!A7554</f>
        <v/>
      </c>
      <c r="B7554">
        <f>IF(ISNUMBER(Input!B7554),IF(AND(Input!B7554&gt;=20,Input!B7554&lt;=700),Input!B7554,""),"")</f>
        <v/>
      </c>
      <c r="C7554">
        <f>IF(B7554="","",INT(A7554))</f>
        <v/>
      </c>
      <c r="D7554">
        <f>IF(B7554="","",HOUR(A7554))</f>
        <v/>
      </c>
    </row>
    <row r="7555">
      <c r="A7555">
        <f>Input!A7555</f>
        <v/>
      </c>
      <c r="B7555">
        <f>IF(ISNUMBER(Input!B7555),IF(AND(Input!B7555&gt;=20,Input!B7555&lt;=700),Input!B7555,""),"")</f>
        <v/>
      </c>
      <c r="C7555">
        <f>IF(B7555="","",INT(A7555))</f>
        <v/>
      </c>
      <c r="D7555">
        <f>IF(B7555="","",HOUR(A7555))</f>
        <v/>
      </c>
    </row>
    <row r="7556">
      <c r="A7556">
        <f>Input!A7556</f>
        <v/>
      </c>
      <c r="B7556">
        <f>IF(ISNUMBER(Input!B7556),IF(AND(Input!B7556&gt;=20,Input!B7556&lt;=700),Input!B7556,""),"")</f>
        <v/>
      </c>
      <c r="C7556">
        <f>IF(B7556="","",INT(A7556))</f>
        <v/>
      </c>
      <c r="D7556">
        <f>IF(B7556="","",HOUR(A7556))</f>
        <v/>
      </c>
    </row>
    <row r="7557">
      <c r="A7557">
        <f>Input!A7557</f>
        <v/>
      </c>
      <c r="B7557">
        <f>IF(ISNUMBER(Input!B7557),IF(AND(Input!B7557&gt;=20,Input!B7557&lt;=700),Input!B7557,""),"")</f>
        <v/>
      </c>
      <c r="C7557">
        <f>IF(B7557="","",INT(A7557))</f>
        <v/>
      </c>
      <c r="D7557">
        <f>IF(B7557="","",HOUR(A7557))</f>
        <v/>
      </c>
    </row>
    <row r="7558">
      <c r="A7558">
        <f>Input!A7558</f>
        <v/>
      </c>
      <c r="B7558">
        <f>IF(ISNUMBER(Input!B7558),IF(AND(Input!B7558&gt;=20,Input!B7558&lt;=700),Input!B7558,""),"")</f>
        <v/>
      </c>
      <c r="C7558">
        <f>IF(B7558="","",INT(A7558))</f>
        <v/>
      </c>
      <c r="D7558">
        <f>IF(B7558="","",HOUR(A7558))</f>
        <v/>
      </c>
    </row>
    <row r="7559">
      <c r="A7559">
        <f>Input!A7559</f>
        <v/>
      </c>
      <c r="B7559">
        <f>IF(ISNUMBER(Input!B7559),IF(AND(Input!B7559&gt;=20,Input!B7559&lt;=700),Input!B7559,""),"")</f>
        <v/>
      </c>
      <c r="C7559">
        <f>IF(B7559="","",INT(A7559))</f>
        <v/>
      </c>
      <c r="D7559">
        <f>IF(B7559="","",HOUR(A7559))</f>
        <v/>
      </c>
    </row>
    <row r="7560">
      <c r="A7560">
        <f>Input!A7560</f>
        <v/>
      </c>
      <c r="B7560">
        <f>IF(ISNUMBER(Input!B7560),IF(AND(Input!B7560&gt;=20,Input!B7560&lt;=700),Input!B7560,""),"")</f>
        <v/>
      </c>
      <c r="C7560">
        <f>IF(B7560="","",INT(A7560))</f>
        <v/>
      </c>
      <c r="D7560">
        <f>IF(B7560="","",HOUR(A7560))</f>
        <v/>
      </c>
    </row>
    <row r="7561">
      <c r="A7561">
        <f>Input!A7561</f>
        <v/>
      </c>
      <c r="B7561">
        <f>IF(ISNUMBER(Input!B7561),IF(AND(Input!B7561&gt;=20,Input!B7561&lt;=700),Input!B7561,""),"")</f>
        <v/>
      </c>
      <c r="C7561">
        <f>IF(B7561="","",INT(A7561))</f>
        <v/>
      </c>
      <c r="D7561">
        <f>IF(B7561="","",HOUR(A7561))</f>
        <v/>
      </c>
    </row>
    <row r="7562">
      <c r="A7562">
        <f>Input!A7562</f>
        <v/>
      </c>
      <c r="B7562">
        <f>IF(ISNUMBER(Input!B7562),IF(AND(Input!B7562&gt;=20,Input!B7562&lt;=700),Input!B7562,""),"")</f>
        <v/>
      </c>
      <c r="C7562">
        <f>IF(B7562="","",INT(A7562))</f>
        <v/>
      </c>
      <c r="D7562">
        <f>IF(B7562="","",HOUR(A7562))</f>
        <v/>
      </c>
    </row>
    <row r="7563">
      <c r="A7563">
        <f>Input!A7563</f>
        <v/>
      </c>
      <c r="B7563">
        <f>IF(ISNUMBER(Input!B7563),IF(AND(Input!B7563&gt;=20,Input!B7563&lt;=700),Input!B7563,""),"")</f>
        <v/>
      </c>
      <c r="C7563">
        <f>IF(B7563="","",INT(A7563))</f>
        <v/>
      </c>
      <c r="D7563">
        <f>IF(B7563="","",HOUR(A7563))</f>
        <v/>
      </c>
    </row>
    <row r="7564">
      <c r="A7564">
        <f>Input!A7564</f>
        <v/>
      </c>
      <c r="B7564">
        <f>IF(ISNUMBER(Input!B7564),IF(AND(Input!B7564&gt;=20,Input!B7564&lt;=700),Input!B7564,""),"")</f>
        <v/>
      </c>
      <c r="C7564">
        <f>IF(B7564="","",INT(A7564))</f>
        <v/>
      </c>
      <c r="D7564">
        <f>IF(B7564="","",HOUR(A7564))</f>
        <v/>
      </c>
    </row>
    <row r="7565">
      <c r="A7565">
        <f>Input!A7565</f>
        <v/>
      </c>
      <c r="B7565">
        <f>IF(ISNUMBER(Input!B7565),IF(AND(Input!B7565&gt;=20,Input!B7565&lt;=700),Input!B7565,""),"")</f>
        <v/>
      </c>
      <c r="C7565">
        <f>IF(B7565="","",INT(A7565))</f>
        <v/>
      </c>
      <c r="D7565">
        <f>IF(B7565="","",HOUR(A7565))</f>
        <v/>
      </c>
    </row>
    <row r="7566">
      <c r="A7566">
        <f>Input!A7566</f>
        <v/>
      </c>
      <c r="B7566">
        <f>IF(ISNUMBER(Input!B7566),IF(AND(Input!B7566&gt;=20,Input!B7566&lt;=700),Input!B7566,""),"")</f>
        <v/>
      </c>
      <c r="C7566">
        <f>IF(B7566="","",INT(A7566))</f>
        <v/>
      </c>
      <c r="D7566">
        <f>IF(B7566="","",HOUR(A7566))</f>
        <v/>
      </c>
    </row>
    <row r="7567">
      <c r="A7567">
        <f>Input!A7567</f>
        <v/>
      </c>
      <c r="B7567">
        <f>IF(ISNUMBER(Input!B7567),IF(AND(Input!B7567&gt;=20,Input!B7567&lt;=700),Input!B7567,""),"")</f>
        <v/>
      </c>
      <c r="C7567">
        <f>IF(B7567="","",INT(A7567))</f>
        <v/>
      </c>
      <c r="D7567">
        <f>IF(B7567="","",HOUR(A7567))</f>
        <v/>
      </c>
    </row>
    <row r="7568">
      <c r="A7568">
        <f>Input!A7568</f>
        <v/>
      </c>
      <c r="B7568">
        <f>IF(ISNUMBER(Input!B7568),IF(AND(Input!B7568&gt;=20,Input!B7568&lt;=700),Input!B7568,""),"")</f>
        <v/>
      </c>
      <c r="C7568">
        <f>IF(B7568="","",INT(A7568))</f>
        <v/>
      </c>
      <c r="D7568">
        <f>IF(B7568="","",HOUR(A7568))</f>
        <v/>
      </c>
    </row>
    <row r="7569">
      <c r="A7569">
        <f>Input!A7569</f>
        <v/>
      </c>
      <c r="B7569">
        <f>IF(ISNUMBER(Input!B7569),IF(AND(Input!B7569&gt;=20,Input!B7569&lt;=700),Input!B7569,""),"")</f>
        <v/>
      </c>
      <c r="C7569">
        <f>IF(B7569="","",INT(A7569))</f>
        <v/>
      </c>
      <c r="D7569">
        <f>IF(B7569="","",HOUR(A7569))</f>
        <v/>
      </c>
    </row>
    <row r="7570">
      <c r="A7570">
        <f>Input!A7570</f>
        <v/>
      </c>
      <c r="B7570">
        <f>IF(ISNUMBER(Input!B7570),IF(AND(Input!B7570&gt;=20,Input!B7570&lt;=700),Input!B7570,""),"")</f>
        <v/>
      </c>
      <c r="C7570">
        <f>IF(B7570="","",INT(A7570))</f>
        <v/>
      </c>
      <c r="D7570">
        <f>IF(B7570="","",HOUR(A7570))</f>
        <v/>
      </c>
    </row>
    <row r="7571">
      <c r="A7571">
        <f>Input!A7571</f>
        <v/>
      </c>
      <c r="B7571">
        <f>IF(ISNUMBER(Input!B7571),IF(AND(Input!B7571&gt;=20,Input!B7571&lt;=700),Input!B7571,""),"")</f>
        <v/>
      </c>
      <c r="C7571">
        <f>IF(B7571="","",INT(A7571))</f>
        <v/>
      </c>
      <c r="D7571">
        <f>IF(B7571="","",HOUR(A7571))</f>
        <v/>
      </c>
    </row>
    <row r="7572">
      <c r="A7572">
        <f>Input!A7572</f>
        <v/>
      </c>
      <c r="B7572">
        <f>IF(ISNUMBER(Input!B7572),IF(AND(Input!B7572&gt;=20,Input!B7572&lt;=700),Input!B7572,""),"")</f>
        <v/>
      </c>
      <c r="C7572">
        <f>IF(B7572="","",INT(A7572))</f>
        <v/>
      </c>
      <c r="D7572">
        <f>IF(B7572="","",HOUR(A7572))</f>
        <v/>
      </c>
    </row>
    <row r="7573">
      <c r="A7573">
        <f>Input!A7573</f>
        <v/>
      </c>
      <c r="B7573">
        <f>IF(ISNUMBER(Input!B7573),IF(AND(Input!B7573&gt;=20,Input!B7573&lt;=700),Input!B7573,""),"")</f>
        <v/>
      </c>
      <c r="C7573">
        <f>IF(B7573="","",INT(A7573))</f>
        <v/>
      </c>
      <c r="D7573">
        <f>IF(B7573="","",HOUR(A7573))</f>
        <v/>
      </c>
    </row>
    <row r="7574">
      <c r="A7574">
        <f>Input!A7574</f>
        <v/>
      </c>
      <c r="B7574">
        <f>IF(ISNUMBER(Input!B7574),IF(AND(Input!B7574&gt;=20,Input!B7574&lt;=700),Input!B7574,""),"")</f>
        <v/>
      </c>
      <c r="C7574">
        <f>IF(B7574="","",INT(A7574))</f>
        <v/>
      </c>
      <c r="D7574">
        <f>IF(B7574="","",HOUR(A7574))</f>
        <v/>
      </c>
    </row>
    <row r="7575">
      <c r="A7575">
        <f>Input!A7575</f>
        <v/>
      </c>
      <c r="B7575">
        <f>IF(ISNUMBER(Input!B7575),IF(AND(Input!B7575&gt;=20,Input!B7575&lt;=700),Input!B7575,""),"")</f>
        <v/>
      </c>
      <c r="C7575">
        <f>IF(B7575="","",INT(A7575))</f>
        <v/>
      </c>
      <c r="D7575">
        <f>IF(B7575="","",HOUR(A7575))</f>
        <v/>
      </c>
    </row>
    <row r="7576">
      <c r="A7576">
        <f>Input!A7576</f>
        <v/>
      </c>
      <c r="B7576">
        <f>IF(ISNUMBER(Input!B7576),IF(AND(Input!B7576&gt;=20,Input!B7576&lt;=700),Input!B7576,""),"")</f>
        <v/>
      </c>
      <c r="C7576">
        <f>IF(B7576="","",INT(A7576))</f>
        <v/>
      </c>
      <c r="D7576">
        <f>IF(B7576="","",HOUR(A7576))</f>
        <v/>
      </c>
    </row>
    <row r="7577">
      <c r="A7577">
        <f>Input!A7577</f>
        <v/>
      </c>
      <c r="B7577">
        <f>IF(ISNUMBER(Input!B7577),IF(AND(Input!B7577&gt;=20,Input!B7577&lt;=700),Input!B7577,""),"")</f>
        <v/>
      </c>
      <c r="C7577">
        <f>IF(B7577="","",INT(A7577))</f>
        <v/>
      </c>
      <c r="D7577">
        <f>IF(B7577="","",HOUR(A7577))</f>
        <v/>
      </c>
    </row>
    <row r="7578">
      <c r="A7578">
        <f>Input!A7578</f>
        <v/>
      </c>
      <c r="B7578">
        <f>IF(ISNUMBER(Input!B7578),IF(AND(Input!B7578&gt;=20,Input!B7578&lt;=700),Input!B7578,""),"")</f>
        <v/>
      </c>
      <c r="C7578">
        <f>IF(B7578="","",INT(A7578))</f>
        <v/>
      </c>
      <c r="D7578">
        <f>IF(B7578="","",HOUR(A7578))</f>
        <v/>
      </c>
    </row>
    <row r="7579">
      <c r="A7579">
        <f>Input!A7579</f>
        <v/>
      </c>
      <c r="B7579">
        <f>IF(ISNUMBER(Input!B7579),IF(AND(Input!B7579&gt;=20,Input!B7579&lt;=700),Input!B7579,""),"")</f>
        <v/>
      </c>
      <c r="C7579">
        <f>IF(B7579="","",INT(A7579))</f>
        <v/>
      </c>
      <c r="D7579">
        <f>IF(B7579="","",HOUR(A7579))</f>
        <v/>
      </c>
    </row>
    <row r="7580">
      <c r="A7580">
        <f>Input!A7580</f>
        <v/>
      </c>
      <c r="B7580">
        <f>IF(ISNUMBER(Input!B7580),IF(AND(Input!B7580&gt;=20,Input!B7580&lt;=700),Input!B7580,""),"")</f>
        <v/>
      </c>
      <c r="C7580">
        <f>IF(B7580="","",INT(A7580))</f>
        <v/>
      </c>
      <c r="D7580">
        <f>IF(B7580="","",HOUR(A7580))</f>
        <v/>
      </c>
    </row>
    <row r="7581">
      <c r="A7581">
        <f>Input!A7581</f>
        <v/>
      </c>
      <c r="B7581">
        <f>IF(ISNUMBER(Input!B7581),IF(AND(Input!B7581&gt;=20,Input!B7581&lt;=700),Input!B7581,""),"")</f>
        <v/>
      </c>
      <c r="C7581">
        <f>IF(B7581="","",INT(A7581))</f>
        <v/>
      </c>
      <c r="D7581">
        <f>IF(B7581="","",HOUR(A7581))</f>
        <v/>
      </c>
    </row>
    <row r="7582">
      <c r="A7582">
        <f>Input!A7582</f>
        <v/>
      </c>
      <c r="B7582">
        <f>IF(ISNUMBER(Input!B7582),IF(AND(Input!B7582&gt;=20,Input!B7582&lt;=700),Input!B7582,""),"")</f>
        <v/>
      </c>
      <c r="C7582">
        <f>IF(B7582="","",INT(A7582))</f>
        <v/>
      </c>
      <c r="D7582">
        <f>IF(B7582="","",HOUR(A7582))</f>
        <v/>
      </c>
    </row>
    <row r="7583">
      <c r="A7583">
        <f>Input!A7583</f>
        <v/>
      </c>
      <c r="B7583">
        <f>IF(ISNUMBER(Input!B7583),IF(AND(Input!B7583&gt;=20,Input!B7583&lt;=700),Input!B7583,""),"")</f>
        <v/>
      </c>
      <c r="C7583">
        <f>IF(B7583="","",INT(A7583))</f>
        <v/>
      </c>
      <c r="D7583">
        <f>IF(B7583="","",HOUR(A7583))</f>
        <v/>
      </c>
    </row>
    <row r="7584">
      <c r="A7584">
        <f>Input!A7584</f>
        <v/>
      </c>
      <c r="B7584">
        <f>IF(ISNUMBER(Input!B7584),IF(AND(Input!B7584&gt;=20,Input!B7584&lt;=700),Input!B7584,""),"")</f>
        <v/>
      </c>
      <c r="C7584">
        <f>IF(B7584="","",INT(A7584))</f>
        <v/>
      </c>
      <c r="D7584">
        <f>IF(B7584="","",HOUR(A7584))</f>
        <v/>
      </c>
    </row>
    <row r="7585">
      <c r="A7585">
        <f>Input!A7585</f>
        <v/>
      </c>
      <c r="B7585">
        <f>IF(ISNUMBER(Input!B7585),IF(AND(Input!B7585&gt;=20,Input!B7585&lt;=700),Input!B7585,""),"")</f>
        <v/>
      </c>
      <c r="C7585">
        <f>IF(B7585="","",INT(A7585))</f>
        <v/>
      </c>
      <c r="D7585">
        <f>IF(B7585="","",HOUR(A7585))</f>
        <v/>
      </c>
    </row>
    <row r="7586">
      <c r="A7586">
        <f>Input!A7586</f>
        <v/>
      </c>
      <c r="B7586">
        <f>IF(ISNUMBER(Input!B7586),IF(AND(Input!B7586&gt;=20,Input!B7586&lt;=700),Input!B7586,""),"")</f>
        <v/>
      </c>
      <c r="C7586">
        <f>IF(B7586="","",INT(A7586))</f>
        <v/>
      </c>
      <c r="D7586">
        <f>IF(B7586="","",HOUR(A7586))</f>
        <v/>
      </c>
    </row>
    <row r="7587">
      <c r="A7587">
        <f>Input!A7587</f>
        <v/>
      </c>
      <c r="B7587">
        <f>IF(ISNUMBER(Input!B7587),IF(AND(Input!B7587&gt;=20,Input!B7587&lt;=700),Input!B7587,""),"")</f>
        <v/>
      </c>
      <c r="C7587">
        <f>IF(B7587="","",INT(A7587))</f>
        <v/>
      </c>
      <c r="D7587">
        <f>IF(B7587="","",HOUR(A7587))</f>
        <v/>
      </c>
    </row>
    <row r="7588">
      <c r="A7588">
        <f>Input!A7588</f>
        <v/>
      </c>
      <c r="B7588">
        <f>IF(ISNUMBER(Input!B7588),IF(AND(Input!B7588&gt;=20,Input!B7588&lt;=700),Input!B7588,""),"")</f>
        <v/>
      </c>
      <c r="C7588">
        <f>IF(B7588="","",INT(A7588))</f>
        <v/>
      </c>
      <c r="D7588">
        <f>IF(B7588="","",HOUR(A7588))</f>
        <v/>
      </c>
    </row>
    <row r="7589">
      <c r="A7589">
        <f>Input!A7589</f>
        <v/>
      </c>
      <c r="B7589">
        <f>IF(ISNUMBER(Input!B7589),IF(AND(Input!B7589&gt;=20,Input!B7589&lt;=700),Input!B7589,""),"")</f>
        <v/>
      </c>
      <c r="C7589">
        <f>IF(B7589="","",INT(A7589))</f>
        <v/>
      </c>
      <c r="D7589">
        <f>IF(B7589="","",HOUR(A7589))</f>
        <v/>
      </c>
    </row>
    <row r="7590">
      <c r="A7590">
        <f>Input!A7590</f>
        <v/>
      </c>
      <c r="B7590">
        <f>IF(ISNUMBER(Input!B7590),IF(AND(Input!B7590&gt;=20,Input!B7590&lt;=700),Input!B7590,""),"")</f>
        <v/>
      </c>
      <c r="C7590">
        <f>IF(B7590="","",INT(A7590))</f>
        <v/>
      </c>
      <c r="D7590">
        <f>IF(B7590="","",HOUR(A7590))</f>
        <v/>
      </c>
    </row>
    <row r="7591">
      <c r="A7591">
        <f>Input!A7591</f>
        <v/>
      </c>
      <c r="B7591">
        <f>IF(ISNUMBER(Input!B7591),IF(AND(Input!B7591&gt;=20,Input!B7591&lt;=700),Input!B7591,""),"")</f>
        <v/>
      </c>
      <c r="C7591">
        <f>IF(B7591="","",INT(A7591))</f>
        <v/>
      </c>
      <c r="D7591">
        <f>IF(B7591="","",HOUR(A7591))</f>
        <v/>
      </c>
    </row>
    <row r="7592">
      <c r="A7592">
        <f>Input!A7592</f>
        <v/>
      </c>
      <c r="B7592">
        <f>IF(ISNUMBER(Input!B7592),IF(AND(Input!B7592&gt;=20,Input!B7592&lt;=700),Input!B7592,""),"")</f>
        <v/>
      </c>
      <c r="C7592">
        <f>IF(B7592="","",INT(A7592))</f>
        <v/>
      </c>
      <c r="D7592">
        <f>IF(B7592="","",HOUR(A7592))</f>
        <v/>
      </c>
    </row>
    <row r="7593">
      <c r="A7593">
        <f>Input!A7593</f>
        <v/>
      </c>
      <c r="B7593">
        <f>IF(ISNUMBER(Input!B7593),IF(AND(Input!B7593&gt;=20,Input!B7593&lt;=700),Input!B7593,""),"")</f>
        <v/>
      </c>
      <c r="C7593">
        <f>IF(B7593="","",INT(A7593))</f>
        <v/>
      </c>
      <c r="D7593">
        <f>IF(B7593="","",HOUR(A7593))</f>
        <v/>
      </c>
    </row>
    <row r="7594">
      <c r="A7594">
        <f>Input!A7594</f>
        <v/>
      </c>
      <c r="B7594">
        <f>IF(ISNUMBER(Input!B7594),IF(AND(Input!B7594&gt;=20,Input!B7594&lt;=700),Input!B7594,""),"")</f>
        <v/>
      </c>
      <c r="C7594">
        <f>IF(B7594="","",INT(A7594))</f>
        <v/>
      </c>
      <c r="D7594">
        <f>IF(B7594="","",HOUR(A7594))</f>
        <v/>
      </c>
    </row>
    <row r="7595">
      <c r="A7595">
        <f>Input!A7595</f>
        <v/>
      </c>
      <c r="B7595">
        <f>IF(ISNUMBER(Input!B7595),IF(AND(Input!B7595&gt;=20,Input!B7595&lt;=700),Input!B7595,""),"")</f>
        <v/>
      </c>
      <c r="C7595">
        <f>IF(B7595="","",INT(A7595))</f>
        <v/>
      </c>
      <c r="D7595">
        <f>IF(B7595="","",HOUR(A7595))</f>
        <v/>
      </c>
    </row>
    <row r="7596">
      <c r="A7596">
        <f>Input!A7596</f>
        <v/>
      </c>
      <c r="B7596">
        <f>IF(ISNUMBER(Input!B7596),IF(AND(Input!B7596&gt;=20,Input!B7596&lt;=700),Input!B7596,""),"")</f>
        <v/>
      </c>
      <c r="C7596">
        <f>IF(B7596="","",INT(A7596))</f>
        <v/>
      </c>
      <c r="D7596">
        <f>IF(B7596="","",HOUR(A7596))</f>
        <v/>
      </c>
    </row>
    <row r="7597">
      <c r="A7597">
        <f>Input!A7597</f>
        <v/>
      </c>
      <c r="B7597">
        <f>IF(ISNUMBER(Input!B7597),IF(AND(Input!B7597&gt;=20,Input!B7597&lt;=700),Input!B7597,""),"")</f>
        <v/>
      </c>
      <c r="C7597">
        <f>IF(B7597="","",INT(A7597))</f>
        <v/>
      </c>
      <c r="D7597">
        <f>IF(B7597="","",HOUR(A7597))</f>
        <v/>
      </c>
    </row>
    <row r="7598">
      <c r="A7598">
        <f>Input!A7598</f>
        <v/>
      </c>
      <c r="B7598">
        <f>IF(ISNUMBER(Input!B7598),IF(AND(Input!B7598&gt;=20,Input!B7598&lt;=700),Input!B7598,""),"")</f>
        <v/>
      </c>
      <c r="C7598">
        <f>IF(B7598="","",INT(A7598))</f>
        <v/>
      </c>
      <c r="D7598">
        <f>IF(B7598="","",HOUR(A7598))</f>
        <v/>
      </c>
    </row>
    <row r="7599">
      <c r="A7599">
        <f>Input!A7599</f>
        <v/>
      </c>
      <c r="B7599">
        <f>IF(ISNUMBER(Input!B7599),IF(AND(Input!B7599&gt;=20,Input!B7599&lt;=700),Input!B7599,""),"")</f>
        <v/>
      </c>
      <c r="C7599">
        <f>IF(B7599="","",INT(A7599))</f>
        <v/>
      </c>
      <c r="D7599">
        <f>IF(B7599="","",HOUR(A7599))</f>
        <v/>
      </c>
    </row>
    <row r="7600">
      <c r="A7600">
        <f>Input!A7600</f>
        <v/>
      </c>
      <c r="B7600">
        <f>IF(ISNUMBER(Input!B7600),IF(AND(Input!B7600&gt;=20,Input!B7600&lt;=700),Input!B7600,""),"")</f>
        <v/>
      </c>
      <c r="C7600">
        <f>IF(B7600="","",INT(A7600))</f>
        <v/>
      </c>
      <c r="D7600">
        <f>IF(B7600="","",HOUR(A7600))</f>
        <v/>
      </c>
    </row>
    <row r="7601">
      <c r="A7601">
        <f>Input!A7601</f>
        <v/>
      </c>
      <c r="B7601">
        <f>IF(ISNUMBER(Input!B7601),IF(AND(Input!B7601&gt;=20,Input!B7601&lt;=700),Input!B7601,""),"")</f>
        <v/>
      </c>
      <c r="C7601">
        <f>IF(B7601="","",INT(A7601))</f>
        <v/>
      </c>
      <c r="D7601">
        <f>IF(B7601="","",HOUR(A7601))</f>
        <v/>
      </c>
    </row>
    <row r="7602">
      <c r="A7602">
        <f>Input!A7602</f>
        <v/>
      </c>
      <c r="B7602">
        <f>IF(ISNUMBER(Input!B7602),IF(AND(Input!B7602&gt;=20,Input!B7602&lt;=700),Input!B7602,""),"")</f>
        <v/>
      </c>
      <c r="C7602">
        <f>IF(B7602="","",INT(A7602))</f>
        <v/>
      </c>
      <c r="D7602">
        <f>IF(B7602="","",HOUR(A7602))</f>
        <v/>
      </c>
    </row>
    <row r="7603">
      <c r="A7603">
        <f>Input!A7603</f>
        <v/>
      </c>
      <c r="B7603">
        <f>IF(ISNUMBER(Input!B7603),IF(AND(Input!B7603&gt;=20,Input!B7603&lt;=700),Input!B7603,""),"")</f>
        <v/>
      </c>
      <c r="C7603">
        <f>IF(B7603="","",INT(A7603))</f>
        <v/>
      </c>
      <c r="D7603">
        <f>IF(B7603="","",HOUR(A7603))</f>
        <v/>
      </c>
    </row>
    <row r="7604">
      <c r="A7604">
        <f>Input!A7604</f>
        <v/>
      </c>
      <c r="B7604">
        <f>IF(ISNUMBER(Input!B7604),IF(AND(Input!B7604&gt;=20,Input!B7604&lt;=700),Input!B7604,""),"")</f>
        <v/>
      </c>
      <c r="C7604">
        <f>IF(B7604="","",INT(A7604))</f>
        <v/>
      </c>
      <c r="D7604">
        <f>IF(B7604="","",HOUR(A7604))</f>
        <v/>
      </c>
    </row>
    <row r="7605">
      <c r="A7605">
        <f>Input!A7605</f>
        <v/>
      </c>
      <c r="B7605">
        <f>IF(ISNUMBER(Input!B7605),IF(AND(Input!B7605&gt;=20,Input!B7605&lt;=700),Input!B7605,""),"")</f>
        <v/>
      </c>
      <c r="C7605">
        <f>IF(B7605="","",INT(A7605))</f>
        <v/>
      </c>
      <c r="D7605">
        <f>IF(B7605="","",HOUR(A7605))</f>
        <v/>
      </c>
    </row>
    <row r="7606">
      <c r="A7606">
        <f>Input!A7606</f>
        <v/>
      </c>
      <c r="B7606">
        <f>IF(ISNUMBER(Input!B7606),IF(AND(Input!B7606&gt;=20,Input!B7606&lt;=700),Input!B7606,""),"")</f>
        <v/>
      </c>
      <c r="C7606">
        <f>IF(B7606="","",INT(A7606))</f>
        <v/>
      </c>
      <c r="D7606">
        <f>IF(B7606="","",HOUR(A7606))</f>
        <v/>
      </c>
    </row>
    <row r="7607">
      <c r="A7607">
        <f>Input!A7607</f>
        <v/>
      </c>
      <c r="B7607">
        <f>IF(ISNUMBER(Input!B7607),IF(AND(Input!B7607&gt;=20,Input!B7607&lt;=700),Input!B7607,""),"")</f>
        <v/>
      </c>
      <c r="C7607">
        <f>IF(B7607="","",INT(A7607))</f>
        <v/>
      </c>
      <c r="D7607">
        <f>IF(B7607="","",HOUR(A7607))</f>
        <v/>
      </c>
    </row>
    <row r="7608">
      <c r="A7608">
        <f>Input!A7608</f>
        <v/>
      </c>
      <c r="B7608">
        <f>IF(ISNUMBER(Input!B7608),IF(AND(Input!B7608&gt;=20,Input!B7608&lt;=700),Input!B7608,""),"")</f>
        <v/>
      </c>
      <c r="C7608">
        <f>IF(B7608="","",INT(A7608))</f>
        <v/>
      </c>
      <c r="D7608">
        <f>IF(B7608="","",HOUR(A7608))</f>
        <v/>
      </c>
    </row>
    <row r="7609">
      <c r="A7609">
        <f>Input!A7609</f>
        <v/>
      </c>
      <c r="B7609">
        <f>IF(ISNUMBER(Input!B7609),IF(AND(Input!B7609&gt;=20,Input!B7609&lt;=700),Input!B7609,""),"")</f>
        <v/>
      </c>
      <c r="C7609">
        <f>IF(B7609="","",INT(A7609))</f>
        <v/>
      </c>
      <c r="D7609">
        <f>IF(B7609="","",HOUR(A7609))</f>
        <v/>
      </c>
    </row>
    <row r="7610">
      <c r="A7610">
        <f>Input!A7610</f>
        <v/>
      </c>
      <c r="B7610">
        <f>IF(ISNUMBER(Input!B7610),IF(AND(Input!B7610&gt;=20,Input!B7610&lt;=700),Input!B7610,""),"")</f>
        <v/>
      </c>
      <c r="C7610">
        <f>IF(B7610="","",INT(A7610))</f>
        <v/>
      </c>
      <c r="D7610">
        <f>IF(B7610="","",HOUR(A7610))</f>
        <v/>
      </c>
    </row>
    <row r="7611">
      <c r="A7611">
        <f>Input!A7611</f>
        <v/>
      </c>
      <c r="B7611">
        <f>IF(ISNUMBER(Input!B7611),IF(AND(Input!B7611&gt;=20,Input!B7611&lt;=700),Input!B7611,""),"")</f>
        <v/>
      </c>
      <c r="C7611">
        <f>IF(B7611="","",INT(A7611))</f>
        <v/>
      </c>
      <c r="D7611">
        <f>IF(B7611="","",HOUR(A7611))</f>
        <v/>
      </c>
    </row>
    <row r="7612">
      <c r="A7612">
        <f>Input!A7612</f>
        <v/>
      </c>
      <c r="B7612">
        <f>IF(ISNUMBER(Input!B7612),IF(AND(Input!B7612&gt;=20,Input!B7612&lt;=700),Input!B7612,""),"")</f>
        <v/>
      </c>
      <c r="C7612">
        <f>IF(B7612="","",INT(A7612))</f>
        <v/>
      </c>
      <c r="D7612">
        <f>IF(B7612="","",HOUR(A7612))</f>
        <v/>
      </c>
    </row>
    <row r="7613">
      <c r="A7613">
        <f>Input!A7613</f>
        <v/>
      </c>
      <c r="B7613">
        <f>IF(ISNUMBER(Input!B7613),IF(AND(Input!B7613&gt;=20,Input!B7613&lt;=700),Input!B7613,""),"")</f>
        <v/>
      </c>
      <c r="C7613">
        <f>IF(B7613="","",INT(A7613))</f>
        <v/>
      </c>
      <c r="D7613">
        <f>IF(B7613="","",HOUR(A7613))</f>
        <v/>
      </c>
    </row>
    <row r="7614">
      <c r="A7614">
        <f>Input!A7614</f>
        <v/>
      </c>
      <c r="B7614">
        <f>IF(ISNUMBER(Input!B7614),IF(AND(Input!B7614&gt;=20,Input!B7614&lt;=700),Input!B7614,""),"")</f>
        <v/>
      </c>
      <c r="C7614">
        <f>IF(B7614="","",INT(A7614))</f>
        <v/>
      </c>
      <c r="D7614">
        <f>IF(B7614="","",HOUR(A7614))</f>
        <v/>
      </c>
    </row>
    <row r="7615">
      <c r="A7615">
        <f>Input!A7615</f>
        <v/>
      </c>
      <c r="B7615">
        <f>IF(ISNUMBER(Input!B7615),IF(AND(Input!B7615&gt;=20,Input!B7615&lt;=700),Input!B7615,""),"")</f>
        <v/>
      </c>
      <c r="C7615">
        <f>IF(B7615="","",INT(A7615))</f>
        <v/>
      </c>
      <c r="D7615">
        <f>IF(B7615="","",HOUR(A7615))</f>
        <v/>
      </c>
    </row>
    <row r="7616">
      <c r="A7616">
        <f>Input!A7616</f>
        <v/>
      </c>
      <c r="B7616">
        <f>IF(ISNUMBER(Input!B7616),IF(AND(Input!B7616&gt;=20,Input!B7616&lt;=700),Input!B7616,""),"")</f>
        <v/>
      </c>
      <c r="C7616">
        <f>IF(B7616="","",INT(A7616))</f>
        <v/>
      </c>
      <c r="D7616">
        <f>IF(B7616="","",HOUR(A7616))</f>
        <v/>
      </c>
    </row>
    <row r="7617">
      <c r="A7617">
        <f>Input!A7617</f>
        <v/>
      </c>
      <c r="B7617">
        <f>IF(ISNUMBER(Input!B7617),IF(AND(Input!B7617&gt;=20,Input!B7617&lt;=700),Input!B7617,""),"")</f>
        <v/>
      </c>
      <c r="C7617">
        <f>IF(B7617="","",INT(A7617))</f>
        <v/>
      </c>
      <c r="D7617">
        <f>IF(B7617="","",HOUR(A7617))</f>
        <v/>
      </c>
    </row>
    <row r="7618">
      <c r="A7618">
        <f>Input!A7618</f>
        <v/>
      </c>
      <c r="B7618">
        <f>IF(ISNUMBER(Input!B7618),IF(AND(Input!B7618&gt;=20,Input!B7618&lt;=700),Input!B7618,""),"")</f>
        <v/>
      </c>
      <c r="C7618">
        <f>IF(B7618="","",INT(A7618))</f>
        <v/>
      </c>
      <c r="D7618">
        <f>IF(B7618="","",HOUR(A7618))</f>
        <v/>
      </c>
    </row>
    <row r="7619">
      <c r="A7619">
        <f>Input!A7619</f>
        <v/>
      </c>
      <c r="B7619">
        <f>IF(ISNUMBER(Input!B7619),IF(AND(Input!B7619&gt;=20,Input!B7619&lt;=700),Input!B7619,""),"")</f>
        <v/>
      </c>
      <c r="C7619">
        <f>IF(B7619="","",INT(A7619))</f>
        <v/>
      </c>
      <c r="D7619">
        <f>IF(B7619="","",HOUR(A7619))</f>
        <v/>
      </c>
    </row>
    <row r="7620">
      <c r="A7620">
        <f>Input!A7620</f>
        <v/>
      </c>
      <c r="B7620">
        <f>IF(ISNUMBER(Input!B7620),IF(AND(Input!B7620&gt;=20,Input!B7620&lt;=700),Input!B7620,""),"")</f>
        <v/>
      </c>
      <c r="C7620">
        <f>IF(B7620="","",INT(A7620))</f>
        <v/>
      </c>
      <c r="D7620">
        <f>IF(B7620="","",HOUR(A7620))</f>
        <v/>
      </c>
    </row>
    <row r="7621">
      <c r="A7621">
        <f>Input!A7621</f>
        <v/>
      </c>
      <c r="B7621">
        <f>IF(ISNUMBER(Input!B7621),IF(AND(Input!B7621&gt;=20,Input!B7621&lt;=700),Input!B7621,""),"")</f>
        <v/>
      </c>
      <c r="C7621">
        <f>IF(B7621="","",INT(A7621))</f>
        <v/>
      </c>
      <c r="D7621">
        <f>IF(B7621="","",HOUR(A7621))</f>
        <v/>
      </c>
    </row>
    <row r="7622">
      <c r="A7622">
        <f>Input!A7622</f>
        <v/>
      </c>
      <c r="B7622">
        <f>IF(ISNUMBER(Input!B7622),IF(AND(Input!B7622&gt;=20,Input!B7622&lt;=700),Input!B7622,""),"")</f>
        <v/>
      </c>
      <c r="C7622">
        <f>IF(B7622="","",INT(A7622))</f>
        <v/>
      </c>
      <c r="D7622">
        <f>IF(B7622="","",HOUR(A7622))</f>
        <v/>
      </c>
    </row>
    <row r="7623">
      <c r="A7623">
        <f>Input!A7623</f>
        <v/>
      </c>
      <c r="B7623">
        <f>IF(ISNUMBER(Input!B7623),IF(AND(Input!B7623&gt;=20,Input!B7623&lt;=700),Input!B7623,""),"")</f>
        <v/>
      </c>
      <c r="C7623">
        <f>IF(B7623="","",INT(A7623))</f>
        <v/>
      </c>
      <c r="D7623">
        <f>IF(B7623="","",HOUR(A7623))</f>
        <v/>
      </c>
    </row>
    <row r="7624">
      <c r="A7624">
        <f>Input!A7624</f>
        <v/>
      </c>
      <c r="B7624">
        <f>IF(ISNUMBER(Input!B7624),IF(AND(Input!B7624&gt;=20,Input!B7624&lt;=700),Input!B7624,""),"")</f>
        <v/>
      </c>
      <c r="C7624">
        <f>IF(B7624="","",INT(A7624))</f>
        <v/>
      </c>
      <c r="D7624">
        <f>IF(B7624="","",HOUR(A7624))</f>
        <v/>
      </c>
    </row>
    <row r="7625">
      <c r="A7625">
        <f>Input!A7625</f>
        <v/>
      </c>
      <c r="B7625">
        <f>IF(ISNUMBER(Input!B7625),IF(AND(Input!B7625&gt;=20,Input!B7625&lt;=700),Input!B7625,""),"")</f>
        <v/>
      </c>
      <c r="C7625">
        <f>IF(B7625="","",INT(A7625))</f>
        <v/>
      </c>
      <c r="D7625">
        <f>IF(B7625="","",HOUR(A7625))</f>
        <v/>
      </c>
    </row>
    <row r="7626">
      <c r="A7626">
        <f>Input!A7626</f>
        <v/>
      </c>
      <c r="B7626">
        <f>IF(ISNUMBER(Input!B7626),IF(AND(Input!B7626&gt;=20,Input!B7626&lt;=700),Input!B7626,""),"")</f>
        <v/>
      </c>
      <c r="C7626">
        <f>IF(B7626="","",INT(A7626))</f>
        <v/>
      </c>
      <c r="D7626">
        <f>IF(B7626="","",HOUR(A7626))</f>
        <v/>
      </c>
    </row>
    <row r="7627">
      <c r="A7627">
        <f>Input!A7627</f>
        <v/>
      </c>
      <c r="B7627">
        <f>IF(ISNUMBER(Input!B7627),IF(AND(Input!B7627&gt;=20,Input!B7627&lt;=700),Input!B7627,""),"")</f>
        <v/>
      </c>
      <c r="C7627">
        <f>IF(B7627="","",INT(A7627))</f>
        <v/>
      </c>
      <c r="D7627">
        <f>IF(B7627="","",HOUR(A7627))</f>
        <v/>
      </c>
    </row>
    <row r="7628">
      <c r="A7628">
        <f>Input!A7628</f>
        <v/>
      </c>
      <c r="B7628">
        <f>IF(ISNUMBER(Input!B7628),IF(AND(Input!B7628&gt;=20,Input!B7628&lt;=700),Input!B7628,""),"")</f>
        <v/>
      </c>
      <c r="C7628">
        <f>IF(B7628="","",INT(A7628))</f>
        <v/>
      </c>
      <c r="D7628">
        <f>IF(B7628="","",HOUR(A7628))</f>
        <v/>
      </c>
    </row>
    <row r="7629">
      <c r="A7629">
        <f>Input!A7629</f>
        <v/>
      </c>
      <c r="B7629">
        <f>IF(ISNUMBER(Input!B7629),IF(AND(Input!B7629&gt;=20,Input!B7629&lt;=700),Input!B7629,""),"")</f>
        <v/>
      </c>
      <c r="C7629">
        <f>IF(B7629="","",INT(A7629))</f>
        <v/>
      </c>
      <c r="D7629">
        <f>IF(B7629="","",HOUR(A7629))</f>
        <v/>
      </c>
    </row>
    <row r="7630">
      <c r="A7630">
        <f>Input!A7630</f>
        <v/>
      </c>
      <c r="B7630">
        <f>IF(ISNUMBER(Input!B7630),IF(AND(Input!B7630&gt;=20,Input!B7630&lt;=700),Input!B7630,""),"")</f>
        <v/>
      </c>
      <c r="C7630">
        <f>IF(B7630="","",INT(A7630))</f>
        <v/>
      </c>
      <c r="D7630">
        <f>IF(B7630="","",HOUR(A7630))</f>
        <v/>
      </c>
    </row>
    <row r="7631">
      <c r="A7631">
        <f>Input!A7631</f>
        <v/>
      </c>
      <c r="B7631">
        <f>IF(ISNUMBER(Input!B7631),IF(AND(Input!B7631&gt;=20,Input!B7631&lt;=700),Input!B7631,""),"")</f>
        <v/>
      </c>
      <c r="C7631">
        <f>IF(B7631="","",INT(A7631))</f>
        <v/>
      </c>
      <c r="D7631">
        <f>IF(B7631="","",HOUR(A7631))</f>
        <v/>
      </c>
    </row>
    <row r="7632">
      <c r="A7632">
        <f>Input!A7632</f>
        <v/>
      </c>
      <c r="B7632">
        <f>IF(ISNUMBER(Input!B7632),IF(AND(Input!B7632&gt;=20,Input!B7632&lt;=700),Input!B7632,""),"")</f>
        <v/>
      </c>
      <c r="C7632">
        <f>IF(B7632="","",INT(A7632))</f>
        <v/>
      </c>
      <c r="D7632">
        <f>IF(B7632="","",HOUR(A7632))</f>
        <v/>
      </c>
    </row>
    <row r="7633">
      <c r="A7633">
        <f>Input!A7633</f>
        <v/>
      </c>
      <c r="B7633">
        <f>IF(ISNUMBER(Input!B7633),IF(AND(Input!B7633&gt;=20,Input!B7633&lt;=700),Input!B7633,""),"")</f>
        <v/>
      </c>
      <c r="C7633">
        <f>IF(B7633="","",INT(A7633))</f>
        <v/>
      </c>
      <c r="D7633">
        <f>IF(B7633="","",HOUR(A7633))</f>
        <v/>
      </c>
    </row>
    <row r="7634">
      <c r="A7634">
        <f>Input!A7634</f>
        <v/>
      </c>
      <c r="B7634">
        <f>IF(ISNUMBER(Input!B7634),IF(AND(Input!B7634&gt;=20,Input!B7634&lt;=700),Input!B7634,""),"")</f>
        <v/>
      </c>
      <c r="C7634">
        <f>IF(B7634="","",INT(A7634))</f>
        <v/>
      </c>
      <c r="D7634">
        <f>IF(B7634="","",HOUR(A7634))</f>
        <v/>
      </c>
    </row>
    <row r="7635">
      <c r="A7635">
        <f>Input!A7635</f>
        <v/>
      </c>
      <c r="B7635">
        <f>IF(ISNUMBER(Input!B7635),IF(AND(Input!B7635&gt;=20,Input!B7635&lt;=700),Input!B7635,""),"")</f>
        <v/>
      </c>
      <c r="C7635">
        <f>IF(B7635="","",INT(A7635))</f>
        <v/>
      </c>
      <c r="D7635">
        <f>IF(B7635="","",HOUR(A7635))</f>
        <v/>
      </c>
    </row>
    <row r="7636">
      <c r="A7636">
        <f>Input!A7636</f>
        <v/>
      </c>
      <c r="B7636">
        <f>IF(ISNUMBER(Input!B7636),IF(AND(Input!B7636&gt;=20,Input!B7636&lt;=700),Input!B7636,""),"")</f>
        <v/>
      </c>
      <c r="C7636">
        <f>IF(B7636="","",INT(A7636))</f>
        <v/>
      </c>
      <c r="D7636">
        <f>IF(B7636="","",HOUR(A7636))</f>
        <v/>
      </c>
    </row>
    <row r="7637">
      <c r="A7637">
        <f>Input!A7637</f>
        <v/>
      </c>
      <c r="B7637">
        <f>IF(ISNUMBER(Input!B7637),IF(AND(Input!B7637&gt;=20,Input!B7637&lt;=700),Input!B7637,""),"")</f>
        <v/>
      </c>
      <c r="C7637">
        <f>IF(B7637="","",INT(A7637))</f>
        <v/>
      </c>
      <c r="D7637">
        <f>IF(B7637="","",HOUR(A7637))</f>
        <v/>
      </c>
    </row>
    <row r="7638">
      <c r="A7638">
        <f>Input!A7638</f>
        <v/>
      </c>
      <c r="B7638">
        <f>IF(ISNUMBER(Input!B7638),IF(AND(Input!B7638&gt;=20,Input!B7638&lt;=700),Input!B7638,""),"")</f>
        <v/>
      </c>
      <c r="C7638">
        <f>IF(B7638="","",INT(A7638))</f>
        <v/>
      </c>
      <c r="D7638">
        <f>IF(B7638="","",HOUR(A7638))</f>
        <v/>
      </c>
    </row>
    <row r="7639">
      <c r="A7639">
        <f>Input!A7639</f>
        <v/>
      </c>
      <c r="B7639">
        <f>IF(ISNUMBER(Input!B7639),IF(AND(Input!B7639&gt;=20,Input!B7639&lt;=700),Input!B7639,""),"")</f>
        <v/>
      </c>
      <c r="C7639">
        <f>IF(B7639="","",INT(A7639))</f>
        <v/>
      </c>
      <c r="D7639">
        <f>IF(B7639="","",HOUR(A7639))</f>
        <v/>
      </c>
    </row>
    <row r="7640">
      <c r="A7640">
        <f>Input!A7640</f>
        <v/>
      </c>
      <c r="B7640">
        <f>IF(ISNUMBER(Input!B7640),IF(AND(Input!B7640&gt;=20,Input!B7640&lt;=700),Input!B7640,""),"")</f>
        <v/>
      </c>
      <c r="C7640">
        <f>IF(B7640="","",INT(A7640))</f>
        <v/>
      </c>
      <c r="D7640">
        <f>IF(B7640="","",HOUR(A7640))</f>
        <v/>
      </c>
    </row>
    <row r="7641">
      <c r="A7641">
        <f>Input!A7641</f>
        <v/>
      </c>
      <c r="B7641">
        <f>IF(ISNUMBER(Input!B7641),IF(AND(Input!B7641&gt;=20,Input!B7641&lt;=700),Input!B7641,""),"")</f>
        <v/>
      </c>
      <c r="C7641">
        <f>IF(B7641="","",INT(A7641))</f>
        <v/>
      </c>
      <c r="D7641">
        <f>IF(B7641="","",HOUR(A7641))</f>
        <v/>
      </c>
    </row>
    <row r="7642">
      <c r="A7642">
        <f>Input!A7642</f>
        <v/>
      </c>
      <c r="B7642">
        <f>IF(ISNUMBER(Input!B7642),IF(AND(Input!B7642&gt;=20,Input!B7642&lt;=700),Input!B7642,""),"")</f>
        <v/>
      </c>
      <c r="C7642">
        <f>IF(B7642="","",INT(A7642))</f>
        <v/>
      </c>
      <c r="D7642">
        <f>IF(B7642="","",HOUR(A7642))</f>
        <v/>
      </c>
    </row>
    <row r="7643">
      <c r="A7643">
        <f>Input!A7643</f>
        <v/>
      </c>
      <c r="B7643">
        <f>IF(ISNUMBER(Input!B7643),IF(AND(Input!B7643&gt;=20,Input!B7643&lt;=700),Input!B7643,""),"")</f>
        <v/>
      </c>
      <c r="C7643">
        <f>IF(B7643="","",INT(A7643))</f>
        <v/>
      </c>
      <c r="D7643">
        <f>IF(B7643="","",HOUR(A7643))</f>
        <v/>
      </c>
    </row>
    <row r="7644">
      <c r="A7644">
        <f>Input!A7644</f>
        <v/>
      </c>
      <c r="B7644">
        <f>IF(ISNUMBER(Input!B7644),IF(AND(Input!B7644&gt;=20,Input!B7644&lt;=700),Input!B7644,""),"")</f>
        <v/>
      </c>
      <c r="C7644">
        <f>IF(B7644="","",INT(A7644))</f>
        <v/>
      </c>
      <c r="D7644">
        <f>IF(B7644="","",HOUR(A7644))</f>
        <v/>
      </c>
    </row>
    <row r="7645">
      <c r="A7645">
        <f>Input!A7645</f>
        <v/>
      </c>
      <c r="B7645">
        <f>IF(ISNUMBER(Input!B7645),IF(AND(Input!B7645&gt;=20,Input!B7645&lt;=700),Input!B7645,""),"")</f>
        <v/>
      </c>
      <c r="C7645">
        <f>IF(B7645="","",INT(A7645))</f>
        <v/>
      </c>
      <c r="D7645">
        <f>IF(B7645="","",HOUR(A7645))</f>
        <v/>
      </c>
    </row>
    <row r="7646">
      <c r="A7646">
        <f>Input!A7646</f>
        <v/>
      </c>
      <c r="B7646">
        <f>IF(ISNUMBER(Input!B7646),IF(AND(Input!B7646&gt;=20,Input!B7646&lt;=700),Input!B7646,""),"")</f>
        <v/>
      </c>
      <c r="C7646">
        <f>IF(B7646="","",INT(A7646))</f>
        <v/>
      </c>
      <c r="D7646">
        <f>IF(B7646="","",HOUR(A7646))</f>
        <v/>
      </c>
    </row>
    <row r="7647">
      <c r="A7647">
        <f>Input!A7647</f>
        <v/>
      </c>
      <c r="B7647">
        <f>IF(ISNUMBER(Input!B7647),IF(AND(Input!B7647&gt;=20,Input!B7647&lt;=700),Input!B7647,""),"")</f>
        <v/>
      </c>
      <c r="C7647">
        <f>IF(B7647="","",INT(A7647))</f>
        <v/>
      </c>
      <c r="D7647">
        <f>IF(B7647="","",HOUR(A7647))</f>
        <v/>
      </c>
    </row>
    <row r="7648">
      <c r="A7648">
        <f>Input!A7648</f>
        <v/>
      </c>
      <c r="B7648">
        <f>IF(ISNUMBER(Input!B7648),IF(AND(Input!B7648&gt;=20,Input!B7648&lt;=700),Input!B7648,""),"")</f>
        <v/>
      </c>
      <c r="C7648">
        <f>IF(B7648="","",INT(A7648))</f>
        <v/>
      </c>
      <c r="D7648">
        <f>IF(B7648="","",HOUR(A7648))</f>
        <v/>
      </c>
    </row>
    <row r="7649">
      <c r="A7649">
        <f>Input!A7649</f>
        <v/>
      </c>
      <c r="B7649">
        <f>IF(ISNUMBER(Input!B7649),IF(AND(Input!B7649&gt;=20,Input!B7649&lt;=700),Input!B7649,""),"")</f>
        <v/>
      </c>
      <c r="C7649">
        <f>IF(B7649="","",INT(A7649))</f>
        <v/>
      </c>
      <c r="D7649">
        <f>IF(B7649="","",HOUR(A7649))</f>
        <v/>
      </c>
    </row>
    <row r="7650">
      <c r="A7650">
        <f>Input!A7650</f>
        <v/>
      </c>
      <c r="B7650">
        <f>IF(ISNUMBER(Input!B7650),IF(AND(Input!B7650&gt;=20,Input!B7650&lt;=700),Input!B7650,""),"")</f>
        <v/>
      </c>
      <c r="C7650">
        <f>IF(B7650="","",INT(A7650))</f>
        <v/>
      </c>
      <c r="D7650">
        <f>IF(B7650="","",HOUR(A7650))</f>
        <v/>
      </c>
    </row>
    <row r="7651">
      <c r="A7651">
        <f>Input!A7651</f>
        <v/>
      </c>
      <c r="B7651">
        <f>IF(ISNUMBER(Input!B7651),IF(AND(Input!B7651&gt;=20,Input!B7651&lt;=700),Input!B7651,""),"")</f>
        <v/>
      </c>
      <c r="C7651">
        <f>IF(B7651="","",INT(A7651))</f>
        <v/>
      </c>
      <c r="D7651">
        <f>IF(B7651="","",HOUR(A7651))</f>
        <v/>
      </c>
    </row>
    <row r="7652">
      <c r="A7652">
        <f>Input!A7652</f>
        <v/>
      </c>
      <c r="B7652">
        <f>IF(ISNUMBER(Input!B7652),IF(AND(Input!B7652&gt;=20,Input!B7652&lt;=700),Input!B7652,""),"")</f>
        <v/>
      </c>
      <c r="C7652">
        <f>IF(B7652="","",INT(A7652))</f>
        <v/>
      </c>
      <c r="D7652">
        <f>IF(B7652="","",HOUR(A7652))</f>
        <v/>
      </c>
    </row>
    <row r="7653">
      <c r="A7653">
        <f>Input!A7653</f>
        <v/>
      </c>
      <c r="B7653">
        <f>IF(ISNUMBER(Input!B7653),IF(AND(Input!B7653&gt;=20,Input!B7653&lt;=700),Input!B7653,""),"")</f>
        <v/>
      </c>
      <c r="C7653">
        <f>IF(B7653="","",INT(A7653))</f>
        <v/>
      </c>
      <c r="D7653">
        <f>IF(B7653="","",HOUR(A7653))</f>
        <v/>
      </c>
    </row>
    <row r="7654">
      <c r="A7654">
        <f>Input!A7654</f>
        <v/>
      </c>
      <c r="B7654">
        <f>IF(ISNUMBER(Input!B7654),IF(AND(Input!B7654&gt;=20,Input!B7654&lt;=700),Input!B7654,""),"")</f>
        <v/>
      </c>
      <c r="C7654">
        <f>IF(B7654="","",INT(A7654))</f>
        <v/>
      </c>
      <c r="D7654">
        <f>IF(B7654="","",HOUR(A7654))</f>
        <v/>
      </c>
    </row>
    <row r="7655">
      <c r="A7655">
        <f>Input!A7655</f>
        <v/>
      </c>
      <c r="B7655">
        <f>IF(ISNUMBER(Input!B7655),IF(AND(Input!B7655&gt;=20,Input!B7655&lt;=700),Input!B7655,""),"")</f>
        <v/>
      </c>
      <c r="C7655">
        <f>IF(B7655="","",INT(A7655))</f>
        <v/>
      </c>
      <c r="D7655">
        <f>IF(B7655="","",HOUR(A7655))</f>
        <v/>
      </c>
    </row>
    <row r="7656">
      <c r="A7656">
        <f>Input!A7656</f>
        <v/>
      </c>
      <c r="B7656">
        <f>IF(ISNUMBER(Input!B7656),IF(AND(Input!B7656&gt;=20,Input!B7656&lt;=700),Input!B7656,""),"")</f>
        <v/>
      </c>
      <c r="C7656">
        <f>IF(B7656="","",INT(A7656))</f>
        <v/>
      </c>
      <c r="D7656">
        <f>IF(B7656="","",HOUR(A7656))</f>
        <v/>
      </c>
    </row>
    <row r="7657">
      <c r="A7657">
        <f>Input!A7657</f>
        <v/>
      </c>
      <c r="B7657">
        <f>IF(ISNUMBER(Input!B7657),IF(AND(Input!B7657&gt;=20,Input!B7657&lt;=700),Input!B7657,""),"")</f>
        <v/>
      </c>
      <c r="C7657">
        <f>IF(B7657="","",INT(A7657))</f>
        <v/>
      </c>
      <c r="D7657">
        <f>IF(B7657="","",HOUR(A7657))</f>
        <v/>
      </c>
    </row>
    <row r="7658">
      <c r="A7658">
        <f>Input!A7658</f>
        <v/>
      </c>
      <c r="B7658">
        <f>IF(ISNUMBER(Input!B7658),IF(AND(Input!B7658&gt;=20,Input!B7658&lt;=700),Input!B7658,""),"")</f>
        <v/>
      </c>
      <c r="C7658">
        <f>IF(B7658="","",INT(A7658))</f>
        <v/>
      </c>
      <c r="D7658">
        <f>IF(B7658="","",HOUR(A7658))</f>
        <v/>
      </c>
    </row>
    <row r="7659">
      <c r="A7659">
        <f>Input!A7659</f>
        <v/>
      </c>
      <c r="B7659">
        <f>IF(ISNUMBER(Input!B7659),IF(AND(Input!B7659&gt;=20,Input!B7659&lt;=700),Input!B7659,""),"")</f>
        <v/>
      </c>
      <c r="C7659">
        <f>IF(B7659="","",INT(A7659))</f>
        <v/>
      </c>
      <c r="D7659">
        <f>IF(B7659="","",HOUR(A7659))</f>
        <v/>
      </c>
    </row>
    <row r="7660">
      <c r="A7660">
        <f>Input!A7660</f>
        <v/>
      </c>
      <c r="B7660">
        <f>IF(ISNUMBER(Input!B7660),IF(AND(Input!B7660&gt;=20,Input!B7660&lt;=700),Input!B7660,""),"")</f>
        <v/>
      </c>
      <c r="C7660">
        <f>IF(B7660="","",INT(A7660))</f>
        <v/>
      </c>
      <c r="D7660">
        <f>IF(B7660="","",HOUR(A7660))</f>
        <v/>
      </c>
    </row>
    <row r="7661">
      <c r="A7661">
        <f>Input!A7661</f>
        <v/>
      </c>
      <c r="B7661">
        <f>IF(ISNUMBER(Input!B7661),IF(AND(Input!B7661&gt;=20,Input!B7661&lt;=700),Input!B7661,""),"")</f>
        <v/>
      </c>
      <c r="C7661">
        <f>IF(B7661="","",INT(A7661))</f>
        <v/>
      </c>
      <c r="D7661">
        <f>IF(B7661="","",HOUR(A7661))</f>
        <v/>
      </c>
    </row>
    <row r="7662">
      <c r="A7662">
        <f>Input!A7662</f>
        <v/>
      </c>
      <c r="B7662">
        <f>IF(ISNUMBER(Input!B7662),IF(AND(Input!B7662&gt;=20,Input!B7662&lt;=700),Input!B7662,""),"")</f>
        <v/>
      </c>
      <c r="C7662">
        <f>IF(B7662="","",INT(A7662))</f>
        <v/>
      </c>
      <c r="D7662">
        <f>IF(B7662="","",HOUR(A7662))</f>
        <v/>
      </c>
    </row>
    <row r="7663">
      <c r="A7663">
        <f>Input!A7663</f>
        <v/>
      </c>
      <c r="B7663">
        <f>IF(ISNUMBER(Input!B7663),IF(AND(Input!B7663&gt;=20,Input!B7663&lt;=700),Input!B7663,""),"")</f>
        <v/>
      </c>
      <c r="C7663">
        <f>IF(B7663="","",INT(A7663))</f>
        <v/>
      </c>
      <c r="D7663">
        <f>IF(B7663="","",HOUR(A7663))</f>
        <v/>
      </c>
    </row>
    <row r="7664">
      <c r="A7664">
        <f>Input!A7664</f>
        <v/>
      </c>
      <c r="B7664">
        <f>IF(ISNUMBER(Input!B7664),IF(AND(Input!B7664&gt;=20,Input!B7664&lt;=700),Input!B7664,""),"")</f>
        <v/>
      </c>
      <c r="C7664">
        <f>IF(B7664="","",INT(A7664))</f>
        <v/>
      </c>
      <c r="D7664">
        <f>IF(B7664="","",HOUR(A7664))</f>
        <v/>
      </c>
    </row>
    <row r="7665">
      <c r="A7665">
        <f>Input!A7665</f>
        <v/>
      </c>
      <c r="B7665">
        <f>IF(ISNUMBER(Input!B7665),IF(AND(Input!B7665&gt;=20,Input!B7665&lt;=700),Input!B7665,""),"")</f>
        <v/>
      </c>
      <c r="C7665">
        <f>IF(B7665="","",INT(A7665))</f>
        <v/>
      </c>
      <c r="D7665">
        <f>IF(B7665="","",HOUR(A7665))</f>
        <v/>
      </c>
    </row>
    <row r="7666">
      <c r="A7666">
        <f>Input!A7666</f>
        <v/>
      </c>
      <c r="B7666">
        <f>IF(ISNUMBER(Input!B7666),IF(AND(Input!B7666&gt;=20,Input!B7666&lt;=700),Input!B7666,""),"")</f>
        <v/>
      </c>
      <c r="C7666">
        <f>IF(B7666="","",INT(A7666))</f>
        <v/>
      </c>
      <c r="D7666">
        <f>IF(B7666="","",HOUR(A7666))</f>
        <v/>
      </c>
    </row>
    <row r="7667">
      <c r="A7667">
        <f>Input!A7667</f>
        <v/>
      </c>
      <c r="B7667">
        <f>IF(ISNUMBER(Input!B7667),IF(AND(Input!B7667&gt;=20,Input!B7667&lt;=700),Input!B7667,""),"")</f>
        <v/>
      </c>
      <c r="C7667">
        <f>IF(B7667="","",INT(A7667))</f>
        <v/>
      </c>
      <c r="D7667">
        <f>IF(B7667="","",HOUR(A7667))</f>
        <v/>
      </c>
    </row>
    <row r="7668">
      <c r="A7668">
        <f>Input!A7668</f>
        <v/>
      </c>
      <c r="B7668">
        <f>IF(ISNUMBER(Input!B7668),IF(AND(Input!B7668&gt;=20,Input!B7668&lt;=700),Input!B7668,""),"")</f>
        <v/>
      </c>
      <c r="C7668">
        <f>IF(B7668="","",INT(A7668))</f>
        <v/>
      </c>
      <c r="D7668">
        <f>IF(B7668="","",HOUR(A7668))</f>
        <v/>
      </c>
    </row>
    <row r="7669">
      <c r="A7669">
        <f>Input!A7669</f>
        <v/>
      </c>
      <c r="B7669">
        <f>IF(ISNUMBER(Input!B7669),IF(AND(Input!B7669&gt;=20,Input!B7669&lt;=700),Input!B7669,""),"")</f>
        <v/>
      </c>
      <c r="C7669">
        <f>IF(B7669="","",INT(A7669))</f>
        <v/>
      </c>
      <c r="D7669">
        <f>IF(B7669="","",HOUR(A7669))</f>
        <v/>
      </c>
    </row>
    <row r="7670">
      <c r="A7670">
        <f>Input!A7670</f>
        <v/>
      </c>
      <c r="B7670">
        <f>IF(ISNUMBER(Input!B7670),IF(AND(Input!B7670&gt;=20,Input!B7670&lt;=700),Input!B7670,""),"")</f>
        <v/>
      </c>
      <c r="C7670">
        <f>IF(B7670="","",INT(A7670))</f>
        <v/>
      </c>
      <c r="D7670">
        <f>IF(B7670="","",HOUR(A7670))</f>
        <v/>
      </c>
    </row>
    <row r="7671">
      <c r="A7671">
        <f>Input!A7671</f>
        <v/>
      </c>
      <c r="B7671">
        <f>IF(ISNUMBER(Input!B7671),IF(AND(Input!B7671&gt;=20,Input!B7671&lt;=700),Input!B7671,""),"")</f>
        <v/>
      </c>
      <c r="C7671">
        <f>IF(B7671="","",INT(A7671))</f>
        <v/>
      </c>
      <c r="D7671">
        <f>IF(B7671="","",HOUR(A7671))</f>
        <v/>
      </c>
    </row>
    <row r="7672">
      <c r="A7672">
        <f>Input!A7672</f>
        <v/>
      </c>
      <c r="B7672">
        <f>IF(ISNUMBER(Input!B7672),IF(AND(Input!B7672&gt;=20,Input!B7672&lt;=700),Input!B7672,""),"")</f>
        <v/>
      </c>
      <c r="C7672">
        <f>IF(B7672="","",INT(A7672))</f>
        <v/>
      </c>
      <c r="D7672">
        <f>IF(B7672="","",HOUR(A7672))</f>
        <v/>
      </c>
    </row>
    <row r="7673">
      <c r="A7673">
        <f>Input!A7673</f>
        <v/>
      </c>
      <c r="B7673">
        <f>IF(ISNUMBER(Input!B7673),IF(AND(Input!B7673&gt;=20,Input!B7673&lt;=700),Input!B7673,""),"")</f>
        <v/>
      </c>
      <c r="C7673">
        <f>IF(B7673="","",INT(A7673))</f>
        <v/>
      </c>
      <c r="D7673">
        <f>IF(B7673="","",HOUR(A7673))</f>
        <v/>
      </c>
    </row>
    <row r="7674">
      <c r="A7674">
        <f>Input!A7674</f>
        <v/>
      </c>
      <c r="B7674">
        <f>IF(ISNUMBER(Input!B7674),IF(AND(Input!B7674&gt;=20,Input!B7674&lt;=700),Input!B7674,""),"")</f>
        <v/>
      </c>
      <c r="C7674">
        <f>IF(B7674="","",INT(A7674))</f>
        <v/>
      </c>
      <c r="D7674">
        <f>IF(B7674="","",HOUR(A7674))</f>
        <v/>
      </c>
    </row>
    <row r="7675">
      <c r="A7675">
        <f>Input!A7675</f>
        <v/>
      </c>
      <c r="B7675">
        <f>IF(ISNUMBER(Input!B7675),IF(AND(Input!B7675&gt;=20,Input!B7675&lt;=700),Input!B7675,""),"")</f>
        <v/>
      </c>
      <c r="C7675">
        <f>IF(B7675="","",INT(A7675))</f>
        <v/>
      </c>
      <c r="D7675">
        <f>IF(B7675="","",HOUR(A7675))</f>
        <v/>
      </c>
    </row>
    <row r="7676">
      <c r="A7676">
        <f>Input!A7676</f>
        <v/>
      </c>
      <c r="B7676">
        <f>IF(ISNUMBER(Input!B7676),IF(AND(Input!B7676&gt;=20,Input!B7676&lt;=700),Input!B7676,""),"")</f>
        <v/>
      </c>
      <c r="C7676">
        <f>IF(B7676="","",INT(A7676))</f>
        <v/>
      </c>
      <c r="D7676">
        <f>IF(B7676="","",HOUR(A7676))</f>
        <v/>
      </c>
    </row>
    <row r="7677">
      <c r="A7677">
        <f>Input!A7677</f>
        <v/>
      </c>
      <c r="B7677">
        <f>IF(ISNUMBER(Input!B7677),IF(AND(Input!B7677&gt;=20,Input!B7677&lt;=700),Input!B7677,""),"")</f>
        <v/>
      </c>
      <c r="C7677">
        <f>IF(B7677="","",INT(A7677))</f>
        <v/>
      </c>
      <c r="D7677">
        <f>IF(B7677="","",HOUR(A7677))</f>
        <v/>
      </c>
    </row>
    <row r="7678">
      <c r="A7678">
        <f>Input!A7678</f>
        <v/>
      </c>
      <c r="B7678">
        <f>IF(ISNUMBER(Input!B7678),IF(AND(Input!B7678&gt;=20,Input!B7678&lt;=700),Input!B7678,""),"")</f>
        <v/>
      </c>
      <c r="C7678">
        <f>IF(B7678="","",INT(A7678))</f>
        <v/>
      </c>
      <c r="D7678">
        <f>IF(B7678="","",HOUR(A7678))</f>
        <v/>
      </c>
    </row>
    <row r="7679">
      <c r="A7679">
        <f>Input!A7679</f>
        <v/>
      </c>
      <c r="B7679">
        <f>IF(ISNUMBER(Input!B7679),IF(AND(Input!B7679&gt;=20,Input!B7679&lt;=700),Input!B7679,""),"")</f>
        <v/>
      </c>
      <c r="C7679">
        <f>IF(B7679="","",INT(A7679))</f>
        <v/>
      </c>
      <c r="D7679">
        <f>IF(B7679="","",HOUR(A7679))</f>
        <v/>
      </c>
    </row>
    <row r="7680">
      <c r="A7680">
        <f>Input!A7680</f>
        <v/>
      </c>
      <c r="B7680">
        <f>IF(ISNUMBER(Input!B7680),IF(AND(Input!B7680&gt;=20,Input!B7680&lt;=700),Input!B7680,""),"")</f>
        <v/>
      </c>
      <c r="C7680">
        <f>IF(B7680="","",INT(A7680))</f>
        <v/>
      </c>
      <c r="D7680">
        <f>IF(B7680="","",HOUR(A7680))</f>
        <v/>
      </c>
    </row>
    <row r="7681">
      <c r="A7681">
        <f>Input!A7681</f>
        <v/>
      </c>
      <c r="B7681">
        <f>IF(ISNUMBER(Input!B7681),IF(AND(Input!B7681&gt;=20,Input!B7681&lt;=700),Input!B7681,""),"")</f>
        <v/>
      </c>
      <c r="C7681">
        <f>IF(B7681="","",INT(A7681))</f>
        <v/>
      </c>
      <c r="D7681">
        <f>IF(B7681="","",HOUR(A7681))</f>
        <v/>
      </c>
    </row>
    <row r="7682">
      <c r="A7682">
        <f>Input!A7682</f>
        <v/>
      </c>
      <c r="B7682">
        <f>IF(ISNUMBER(Input!B7682),IF(AND(Input!B7682&gt;=20,Input!B7682&lt;=700),Input!B7682,""),"")</f>
        <v/>
      </c>
      <c r="C7682">
        <f>IF(B7682="","",INT(A7682))</f>
        <v/>
      </c>
      <c r="D7682">
        <f>IF(B7682="","",HOUR(A7682))</f>
        <v/>
      </c>
    </row>
    <row r="7683">
      <c r="A7683">
        <f>Input!A7683</f>
        <v/>
      </c>
      <c r="B7683">
        <f>IF(ISNUMBER(Input!B7683),IF(AND(Input!B7683&gt;=20,Input!B7683&lt;=700),Input!B7683,""),"")</f>
        <v/>
      </c>
      <c r="C7683">
        <f>IF(B7683="","",INT(A7683))</f>
        <v/>
      </c>
      <c r="D7683">
        <f>IF(B7683="","",HOUR(A7683))</f>
        <v/>
      </c>
    </row>
    <row r="7684">
      <c r="A7684">
        <f>Input!A7684</f>
        <v/>
      </c>
      <c r="B7684">
        <f>IF(ISNUMBER(Input!B7684),IF(AND(Input!B7684&gt;=20,Input!B7684&lt;=700),Input!B7684,""),"")</f>
        <v/>
      </c>
      <c r="C7684">
        <f>IF(B7684="","",INT(A7684))</f>
        <v/>
      </c>
      <c r="D7684">
        <f>IF(B7684="","",HOUR(A7684))</f>
        <v/>
      </c>
    </row>
    <row r="7685">
      <c r="A7685">
        <f>Input!A7685</f>
        <v/>
      </c>
      <c r="B7685">
        <f>IF(ISNUMBER(Input!B7685),IF(AND(Input!B7685&gt;=20,Input!B7685&lt;=700),Input!B7685,""),"")</f>
        <v/>
      </c>
      <c r="C7685">
        <f>IF(B7685="","",INT(A7685))</f>
        <v/>
      </c>
      <c r="D7685">
        <f>IF(B7685="","",HOUR(A7685))</f>
        <v/>
      </c>
    </row>
    <row r="7686">
      <c r="A7686">
        <f>Input!A7686</f>
        <v/>
      </c>
      <c r="B7686">
        <f>IF(ISNUMBER(Input!B7686),IF(AND(Input!B7686&gt;=20,Input!B7686&lt;=700),Input!B7686,""),"")</f>
        <v/>
      </c>
      <c r="C7686">
        <f>IF(B7686="","",INT(A7686))</f>
        <v/>
      </c>
      <c r="D7686">
        <f>IF(B7686="","",HOUR(A7686))</f>
        <v/>
      </c>
    </row>
    <row r="7687">
      <c r="A7687">
        <f>Input!A7687</f>
        <v/>
      </c>
      <c r="B7687">
        <f>IF(ISNUMBER(Input!B7687),IF(AND(Input!B7687&gt;=20,Input!B7687&lt;=700),Input!B7687,""),"")</f>
        <v/>
      </c>
      <c r="C7687">
        <f>IF(B7687="","",INT(A7687))</f>
        <v/>
      </c>
      <c r="D7687">
        <f>IF(B7687="","",HOUR(A7687))</f>
        <v/>
      </c>
    </row>
    <row r="7688">
      <c r="A7688">
        <f>Input!A7688</f>
        <v/>
      </c>
      <c r="B7688">
        <f>IF(ISNUMBER(Input!B7688),IF(AND(Input!B7688&gt;=20,Input!B7688&lt;=700),Input!B7688,""),"")</f>
        <v/>
      </c>
      <c r="C7688">
        <f>IF(B7688="","",INT(A7688))</f>
        <v/>
      </c>
      <c r="D7688">
        <f>IF(B7688="","",HOUR(A7688))</f>
        <v/>
      </c>
    </row>
    <row r="7689">
      <c r="A7689">
        <f>Input!A7689</f>
        <v/>
      </c>
      <c r="B7689">
        <f>IF(ISNUMBER(Input!B7689),IF(AND(Input!B7689&gt;=20,Input!B7689&lt;=700),Input!B7689,""),"")</f>
        <v/>
      </c>
      <c r="C7689">
        <f>IF(B7689="","",INT(A7689))</f>
        <v/>
      </c>
      <c r="D7689">
        <f>IF(B7689="","",HOUR(A7689))</f>
        <v/>
      </c>
    </row>
    <row r="7690">
      <c r="A7690">
        <f>Input!A7690</f>
        <v/>
      </c>
      <c r="B7690">
        <f>IF(ISNUMBER(Input!B7690),IF(AND(Input!B7690&gt;=20,Input!B7690&lt;=700),Input!B7690,""),"")</f>
        <v/>
      </c>
      <c r="C7690">
        <f>IF(B7690="","",INT(A7690))</f>
        <v/>
      </c>
      <c r="D7690">
        <f>IF(B7690="","",HOUR(A7690))</f>
        <v/>
      </c>
    </row>
    <row r="7691">
      <c r="A7691">
        <f>Input!A7691</f>
        <v/>
      </c>
      <c r="B7691">
        <f>IF(ISNUMBER(Input!B7691),IF(AND(Input!B7691&gt;=20,Input!B7691&lt;=700),Input!B7691,""),"")</f>
        <v/>
      </c>
      <c r="C7691">
        <f>IF(B7691="","",INT(A7691))</f>
        <v/>
      </c>
      <c r="D7691">
        <f>IF(B7691="","",HOUR(A7691))</f>
        <v/>
      </c>
    </row>
    <row r="7692">
      <c r="A7692">
        <f>Input!A7692</f>
        <v/>
      </c>
      <c r="B7692">
        <f>IF(ISNUMBER(Input!B7692),IF(AND(Input!B7692&gt;=20,Input!B7692&lt;=700),Input!B7692,""),"")</f>
        <v/>
      </c>
      <c r="C7692">
        <f>IF(B7692="","",INT(A7692))</f>
        <v/>
      </c>
      <c r="D7692">
        <f>IF(B7692="","",HOUR(A7692))</f>
        <v/>
      </c>
    </row>
    <row r="7693">
      <c r="A7693">
        <f>Input!A7693</f>
        <v/>
      </c>
      <c r="B7693">
        <f>IF(ISNUMBER(Input!B7693),IF(AND(Input!B7693&gt;=20,Input!B7693&lt;=700),Input!B7693,""),"")</f>
        <v/>
      </c>
      <c r="C7693">
        <f>IF(B7693="","",INT(A7693))</f>
        <v/>
      </c>
      <c r="D7693">
        <f>IF(B7693="","",HOUR(A7693))</f>
        <v/>
      </c>
    </row>
    <row r="7694">
      <c r="A7694">
        <f>Input!A7694</f>
        <v/>
      </c>
      <c r="B7694">
        <f>IF(ISNUMBER(Input!B7694),IF(AND(Input!B7694&gt;=20,Input!B7694&lt;=700),Input!B7694,""),"")</f>
        <v/>
      </c>
      <c r="C7694">
        <f>IF(B7694="","",INT(A7694))</f>
        <v/>
      </c>
      <c r="D7694">
        <f>IF(B7694="","",HOUR(A7694))</f>
        <v/>
      </c>
    </row>
    <row r="7695">
      <c r="A7695">
        <f>Input!A7695</f>
        <v/>
      </c>
      <c r="B7695">
        <f>IF(ISNUMBER(Input!B7695),IF(AND(Input!B7695&gt;=20,Input!B7695&lt;=700),Input!B7695,""),"")</f>
        <v/>
      </c>
      <c r="C7695">
        <f>IF(B7695="","",INT(A7695))</f>
        <v/>
      </c>
      <c r="D7695">
        <f>IF(B7695="","",HOUR(A7695))</f>
        <v/>
      </c>
    </row>
    <row r="7696">
      <c r="A7696">
        <f>Input!A7696</f>
        <v/>
      </c>
      <c r="B7696">
        <f>IF(ISNUMBER(Input!B7696),IF(AND(Input!B7696&gt;=20,Input!B7696&lt;=700),Input!B7696,""),"")</f>
        <v/>
      </c>
      <c r="C7696">
        <f>IF(B7696="","",INT(A7696))</f>
        <v/>
      </c>
      <c r="D7696">
        <f>IF(B7696="","",HOUR(A7696))</f>
        <v/>
      </c>
    </row>
    <row r="7697">
      <c r="A7697">
        <f>Input!A7697</f>
        <v/>
      </c>
      <c r="B7697">
        <f>IF(ISNUMBER(Input!B7697),IF(AND(Input!B7697&gt;=20,Input!B7697&lt;=700),Input!B7697,""),"")</f>
        <v/>
      </c>
      <c r="C7697">
        <f>IF(B7697="","",INT(A7697))</f>
        <v/>
      </c>
      <c r="D7697">
        <f>IF(B7697="","",HOUR(A7697))</f>
        <v/>
      </c>
    </row>
    <row r="7698">
      <c r="A7698">
        <f>Input!A7698</f>
        <v/>
      </c>
      <c r="B7698">
        <f>IF(ISNUMBER(Input!B7698),IF(AND(Input!B7698&gt;=20,Input!B7698&lt;=700),Input!B7698,""),"")</f>
        <v/>
      </c>
      <c r="C7698">
        <f>IF(B7698="","",INT(A7698))</f>
        <v/>
      </c>
      <c r="D7698">
        <f>IF(B7698="","",HOUR(A7698))</f>
        <v/>
      </c>
    </row>
    <row r="7699">
      <c r="A7699">
        <f>Input!A7699</f>
        <v/>
      </c>
      <c r="B7699">
        <f>IF(ISNUMBER(Input!B7699),IF(AND(Input!B7699&gt;=20,Input!B7699&lt;=700),Input!B7699,""),"")</f>
        <v/>
      </c>
      <c r="C7699">
        <f>IF(B7699="","",INT(A7699))</f>
        <v/>
      </c>
      <c r="D7699">
        <f>IF(B7699="","",HOUR(A7699))</f>
        <v/>
      </c>
    </row>
    <row r="7700">
      <c r="A7700">
        <f>Input!A7700</f>
        <v/>
      </c>
      <c r="B7700">
        <f>IF(ISNUMBER(Input!B7700),IF(AND(Input!B7700&gt;=20,Input!B7700&lt;=700),Input!B7700,""),"")</f>
        <v/>
      </c>
      <c r="C7700">
        <f>IF(B7700="","",INT(A7700))</f>
        <v/>
      </c>
      <c r="D7700">
        <f>IF(B7700="","",HOUR(A7700))</f>
        <v/>
      </c>
    </row>
    <row r="7701">
      <c r="A7701">
        <f>Input!A7701</f>
        <v/>
      </c>
      <c r="B7701">
        <f>IF(ISNUMBER(Input!B7701),IF(AND(Input!B7701&gt;=20,Input!B7701&lt;=700),Input!B7701,""),"")</f>
        <v/>
      </c>
      <c r="C7701">
        <f>IF(B7701="","",INT(A7701))</f>
        <v/>
      </c>
      <c r="D7701">
        <f>IF(B7701="","",HOUR(A7701))</f>
        <v/>
      </c>
    </row>
    <row r="7702">
      <c r="A7702">
        <f>Input!A7702</f>
        <v/>
      </c>
      <c r="B7702">
        <f>IF(ISNUMBER(Input!B7702),IF(AND(Input!B7702&gt;=20,Input!B7702&lt;=700),Input!B7702,""),"")</f>
        <v/>
      </c>
      <c r="C7702">
        <f>IF(B7702="","",INT(A7702))</f>
        <v/>
      </c>
      <c r="D7702">
        <f>IF(B7702="","",HOUR(A7702))</f>
        <v/>
      </c>
    </row>
    <row r="7703">
      <c r="A7703">
        <f>Input!A7703</f>
        <v/>
      </c>
      <c r="B7703">
        <f>IF(ISNUMBER(Input!B7703),IF(AND(Input!B7703&gt;=20,Input!B7703&lt;=700),Input!B7703,""),"")</f>
        <v/>
      </c>
      <c r="C7703">
        <f>IF(B7703="","",INT(A7703))</f>
        <v/>
      </c>
      <c r="D7703">
        <f>IF(B7703="","",HOUR(A7703))</f>
        <v/>
      </c>
    </row>
    <row r="7704">
      <c r="A7704">
        <f>Input!A7704</f>
        <v/>
      </c>
      <c r="B7704">
        <f>IF(ISNUMBER(Input!B7704),IF(AND(Input!B7704&gt;=20,Input!B7704&lt;=700),Input!B7704,""),"")</f>
        <v/>
      </c>
      <c r="C7704">
        <f>IF(B7704="","",INT(A7704))</f>
        <v/>
      </c>
      <c r="D7704">
        <f>IF(B7704="","",HOUR(A7704))</f>
        <v/>
      </c>
    </row>
    <row r="7705">
      <c r="A7705">
        <f>Input!A7705</f>
        <v/>
      </c>
      <c r="B7705">
        <f>IF(ISNUMBER(Input!B7705),IF(AND(Input!B7705&gt;=20,Input!B7705&lt;=700),Input!B7705,""),"")</f>
        <v/>
      </c>
      <c r="C7705">
        <f>IF(B7705="","",INT(A7705))</f>
        <v/>
      </c>
      <c r="D7705">
        <f>IF(B7705="","",HOUR(A7705))</f>
        <v/>
      </c>
    </row>
    <row r="7706">
      <c r="A7706">
        <f>Input!A7706</f>
        <v/>
      </c>
      <c r="B7706">
        <f>IF(ISNUMBER(Input!B7706),IF(AND(Input!B7706&gt;=20,Input!B7706&lt;=700),Input!B7706,""),"")</f>
        <v/>
      </c>
      <c r="C7706">
        <f>IF(B7706="","",INT(A7706))</f>
        <v/>
      </c>
      <c r="D7706">
        <f>IF(B7706="","",HOUR(A7706))</f>
        <v/>
      </c>
    </row>
    <row r="7707">
      <c r="A7707">
        <f>Input!A7707</f>
        <v/>
      </c>
      <c r="B7707">
        <f>IF(ISNUMBER(Input!B7707),IF(AND(Input!B7707&gt;=20,Input!B7707&lt;=700),Input!B7707,""),"")</f>
        <v/>
      </c>
      <c r="C7707">
        <f>IF(B7707="","",INT(A7707))</f>
        <v/>
      </c>
      <c r="D7707">
        <f>IF(B7707="","",HOUR(A7707))</f>
        <v/>
      </c>
    </row>
    <row r="7708">
      <c r="A7708">
        <f>Input!A7708</f>
        <v/>
      </c>
      <c r="B7708">
        <f>IF(ISNUMBER(Input!B7708),IF(AND(Input!B7708&gt;=20,Input!B7708&lt;=700),Input!B7708,""),"")</f>
        <v/>
      </c>
      <c r="C7708">
        <f>IF(B7708="","",INT(A7708))</f>
        <v/>
      </c>
      <c r="D7708">
        <f>IF(B7708="","",HOUR(A7708))</f>
        <v/>
      </c>
    </row>
    <row r="7709">
      <c r="A7709">
        <f>Input!A7709</f>
        <v/>
      </c>
      <c r="B7709">
        <f>IF(ISNUMBER(Input!B7709),IF(AND(Input!B7709&gt;=20,Input!B7709&lt;=700),Input!B7709,""),"")</f>
        <v/>
      </c>
      <c r="C7709">
        <f>IF(B7709="","",INT(A7709))</f>
        <v/>
      </c>
      <c r="D7709">
        <f>IF(B7709="","",HOUR(A7709))</f>
        <v/>
      </c>
    </row>
    <row r="7710">
      <c r="A7710">
        <f>Input!A7710</f>
        <v/>
      </c>
      <c r="B7710">
        <f>IF(ISNUMBER(Input!B7710),IF(AND(Input!B7710&gt;=20,Input!B7710&lt;=700),Input!B7710,""),"")</f>
        <v/>
      </c>
      <c r="C7710">
        <f>IF(B7710="","",INT(A7710))</f>
        <v/>
      </c>
      <c r="D7710">
        <f>IF(B7710="","",HOUR(A7710))</f>
        <v/>
      </c>
    </row>
    <row r="7711">
      <c r="A7711">
        <f>Input!A7711</f>
        <v/>
      </c>
      <c r="B7711">
        <f>IF(ISNUMBER(Input!B7711),IF(AND(Input!B7711&gt;=20,Input!B7711&lt;=700),Input!B7711,""),"")</f>
        <v/>
      </c>
      <c r="C7711">
        <f>IF(B7711="","",INT(A7711))</f>
        <v/>
      </c>
      <c r="D7711">
        <f>IF(B7711="","",HOUR(A7711))</f>
        <v/>
      </c>
    </row>
    <row r="7712">
      <c r="A7712">
        <f>Input!A7712</f>
        <v/>
      </c>
      <c r="B7712">
        <f>IF(ISNUMBER(Input!B7712),IF(AND(Input!B7712&gt;=20,Input!B7712&lt;=700),Input!B7712,""),"")</f>
        <v/>
      </c>
      <c r="C7712">
        <f>IF(B7712="","",INT(A7712))</f>
        <v/>
      </c>
      <c r="D7712">
        <f>IF(B7712="","",HOUR(A7712))</f>
        <v/>
      </c>
    </row>
    <row r="7713">
      <c r="A7713">
        <f>Input!A7713</f>
        <v/>
      </c>
      <c r="B7713">
        <f>IF(ISNUMBER(Input!B7713),IF(AND(Input!B7713&gt;=20,Input!B7713&lt;=700),Input!B7713,""),"")</f>
        <v/>
      </c>
      <c r="C7713">
        <f>IF(B7713="","",INT(A7713))</f>
        <v/>
      </c>
      <c r="D7713">
        <f>IF(B7713="","",HOUR(A7713))</f>
        <v/>
      </c>
    </row>
    <row r="7714">
      <c r="A7714">
        <f>Input!A7714</f>
        <v/>
      </c>
      <c r="B7714">
        <f>IF(ISNUMBER(Input!B7714),IF(AND(Input!B7714&gt;=20,Input!B7714&lt;=700),Input!B7714,""),"")</f>
        <v/>
      </c>
      <c r="C7714">
        <f>IF(B7714="","",INT(A7714))</f>
        <v/>
      </c>
      <c r="D7714">
        <f>IF(B7714="","",HOUR(A7714))</f>
        <v/>
      </c>
    </row>
    <row r="7715">
      <c r="A7715">
        <f>Input!A7715</f>
        <v/>
      </c>
      <c r="B7715">
        <f>IF(ISNUMBER(Input!B7715),IF(AND(Input!B7715&gt;=20,Input!B7715&lt;=700),Input!B7715,""),"")</f>
        <v/>
      </c>
      <c r="C7715">
        <f>IF(B7715="","",INT(A7715))</f>
        <v/>
      </c>
      <c r="D7715">
        <f>IF(B7715="","",HOUR(A7715))</f>
        <v/>
      </c>
    </row>
    <row r="7716">
      <c r="A7716">
        <f>Input!A7716</f>
        <v/>
      </c>
      <c r="B7716">
        <f>IF(ISNUMBER(Input!B7716),IF(AND(Input!B7716&gt;=20,Input!B7716&lt;=700),Input!B7716,""),"")</f>
        <v/>
      </c>
      <c r="C7716">
        <f>IF(B7716="","",INT(A7716))</f>
        <v/>
      </c>
      <c r="D7716">
        <f>IF(B7716="","",HOUR(A7716))</f>
        <v/>
      </c>
    </row>
    <row r="7717">
      <c r="A7717">
        <f>Input!A7717</f>
        <v/>
      </c>
      <c r="B7717">
        <f>IF(ISNUMBER(Input!B7717),IF(AND(Input!B7717&gt;=20,Input!B7717&lt;=700),Input!B7717,""),"")</f>
        <v/>
      </c>
      <c r="C7717">
        <f>IF(B7717="","",INT(A7717))</f>
        <v/>
      </c>
      <c r="D7717">
        <f>IF(B7717="","",HOUR(A7717))</f>
        <v/>
      </c>
    </row>
    <row r="7718">
      <c r="A7718">
        <f>Input!A7718</f>
        <v/>
      </c>
      <c r="B7718">
        <f>IF(ISNUMBER(Input!B7718),IF(AND(Input!B7718&gt;=20,Input!B7718&lt;=700),Input!B7718,""),"")</f>
        <v/>
      </c>
      <c r="C7718">
        <f>IF(B7718="","",INT(A7718))</f>
        <v/>
      </c>
      <c r="D7718">
        <f>IF(B7718="","",HOUR(A7718))</f>
        <v/>
      </c>
    </row>
    <row r="7719">
      <c r="A7719">
        <f>Input!A7719</f>
        <v/>
      </c>
      <c r="B7719">
        <f>IF(ISNUMBER(Input!B7719),IF(AND(Input!B7719&gt;=20,Input!B7719&lt;=700),Input!B7719,""),"")</f>
        <v/>
      </c>
      <c r="C7719">
        <f>IF(B7719="","",INT(A7719))</f>
        <v/>
      </c>
      <c r="D7719">
        <f>IF(B7719="","",HOUR(A7719))</f>
        <v/>
      </c>
    </row>
    <row r="7720">
      <c r="A7720">
        <f>Input!A7720</f>
        <v/>
      </c>
      <c r="B7720">
        <f>IF(ISNUMBER(Input!B7720),IF(AND(Input!B7720&gt;=20,Input!B7720&lt;=700),Input!B7720,""),"")</f>
        <v/>
      </c>
      <c r="C7720">
        <f>IF(B7720="","",INT(A7720))</f>
        <v/>
      </c>
      <c r="D7720">
        <f>IF(B7720="","",HOUR(A7720))</f>
        <v/>
      </c>
    </row>
    <row r="7721">
      <c r="A7721">
        <f>Input!A7721</f>
        <v/>
      </c>
      <c r="B7721">
        <f>IF(ISNUMBER(Input!B7721),IF(AND(Input!B7721&gt;=20,Input!B7721&lt;=700),Input!B7721,""),"")</f>
        <v/>
      </c>
      <c r="C7721">
        <f>IF(B7721="","",INT(A7721))</f>
        <v/>
      </c>
      <c r="D7721">
        <f>IF(B7721="","",HOUR(A7721))</f>
        <v/>
      </c>
    </row>
    <row r="7722">
      <c r="A7722">
        <f>Input!A7722</f>
        <v/>
      </c>
      <c r="B7722">
        <f>IF(ISNUMBER(Input!B7722),IF(AND(Input!B7722&gt;=20,Input!B7722&lt;=700),Input!B7722,""),"")</f>
        <v/>
      </c>
      <c r="C7722">
        <f>IF(B7722="","",INT(A7722))</f>
        <v/>
      </c>
      <c r="D7722">
        <f>IF(B7722="","",HOUR(A7722))</f>
        <v/>
      </c>
    </row>
    <row r="7723">
      <c r="A7723">
        <f>Input!A7723</f>
        <v/>
      </c>
      <c r="B7723">
        <f>IF(ISNUMBER(Input!B7723),IF(AND(Input!B7723&gt;=20,Input!B7723&lt;=700),Input!B7723,""),"")</f>
        <v/>
      </c>
      <c r="C7723">
        <f>IF(B7723="","",INT(A7723))</f>
        <v/>
      </c>
      <c r="D7723">
        <f>IF(B7723="","",HOUR(A7723))</f>
        <v/>
      </c>
    </row>
    <row r="7724">
      <c r="A7724">
        <f>Input!A7724</f>
        <v/>
      </c>
      <c r="B7724">
        <f>IF(ISNUMBER(Input!B7724),IF(AND(Input!B7724&gt;=20,Input!B7724&lt;=700),Input!B7724,""),"")</f>
        <v/>
      </c>
      <c r="C7724">
        <f>IF(B7724="","",INT(A7724))</f>
        <v/>
      </c>
      <c r="D7724">
        <f>IF(B7724="","",HOUR(A7724))</f>
        <v/>
      </c>
    </row>
    <row r="7725">
      <c r="A7725">
        <f>Input!A7725</f>
        <v/>
      </c>
      <c r="B7725">
        <f>IF(ISNUMBER(Input!B7725),IF(AND(Input!B7725&gt;=20,Input!B7725&lt;=700),Input!B7725,""),"")</f>
        <v/>
      </c>
      <c r="C7725">
        <f>IF(B7725="","",INT(A7725))</f>
        <v/>
      </c>
      <c r="D7725">
        <f>IF(B7725="","",HOUR(A7725))</f>
        <v/>
      </c>
    </row>
    <row r="7726">
      <c r="A7726">
        <f>Input!A7726</f>
        <v/>
      </c>
      <c r="B7726">
        <f>IF(ISNUMBER(Input!B7726),IF(AND(Input!B7726&gt;=20,Input!B7726&lt;=700),Input!B7726,""),"")</f>
        <v/>
      </c>
      <c r="C7726">
        <f>IF(B7726="","",INT(A7726))</f>
        <v/>
      </c>
      <c r="D7726">
        <f>IF(B7726="","",HOUR(A7726))</f>
        <v/>
      </c>
    </row>
    <row r="7727">
      <c r="A7727">
        <f>Input!A7727</f>
        <v/>
      </c>
      <c r="B7727">
        <f>IF(ISNUMBER(Input!B7727),IF(AND(Input!B7727&gt;=20,Input!B7727&lt;=700),Input!B7727,""),"")</f>
        <v/>
      </c>
      <c r="C7727">
        <f>IF(B7727="","",INT(A7727))</f>
        <v/>
      </c>
      <c r="D7727">
        <f>IF(B7727="","",HOUR(A7727))</f>
        <v/>
      </c>
    </row>
    <row r="7728">
      <c r="A7728">
        <f>Input!A7728</f>
        <v/>
      </c>
      <c r="B7728">
        <f>IF(ISNUMBER(Input!B7728),IF(AND(Input!B7728&gt;=20,Input!B7728&lt;=700),Input!B7728,""),"")</f>
        <v/>
      </c>
      <c r="C7728">
        <f>IF(B7728="","",INT(A7728))</f>
        <v/>
      </c>
      <c r="D7728">
        <f>IF(B7728="","",HOUR(A7728))</f>
        <v/>
      </c>
    </row>
    <row r="7729">
      <c r="A7729">
        <f>Input!A7729</f>
        <v/>
      </c>
      <c r="B7729">
        <f>IF(ISNUMBER(Input!B7729),IF(AND(Input!B7729&gt;=20,Input!B7729&lt;=700),Input!B7729,""),"")</f>
        <v/>
      </c>
      <c r="C7729">
        <f>IF(B7729="","",INT(A7729))</f>
        <v/>
      </c>
      <c r="D7729">
        <f>IF(B7729="","",HOUR(A7729))</f>
        <v/>
      </c>
    </row>
    <row r="7730">
      <c r="A7730">
        <f>Input!A7730</f>
        <v/>
      </c>
      <c r="B7730">
        <f>IF(ISNUMBER(Input!B7730),IF(AND(Input!B7730&gt;=20,Input!B7730&lt;=700),Input!B7730,""),"")</f>
        <v/>
      </c>
      <c r="C7730">
        <f>IF(B7730="","",INT(A7730))</f>
        <v/>
      </c>
      <c r="D7730">
        <f>IF(B7730="","",HOUR(A7730))</f>
        <v/>
      </c>
    </row>
    <row r="7731">
      <c r="A7731">
        <f>Input!A7731</f>
        <v/>
      </c>
      <c r="B7731">
        <f>IF(ISNUMBER(Input!B7731),IF(AND(Input!B7731&gt;=20,Input!B7731&lt;=700),Input!B7731,""),"")</f>
        <v/>
      </c>
      <c r="C7731">
        <f>IF(B7731="","",INT(A7731))</f>
        <v/>
      </c>
      <c r="D7731">
        <f>IF(B7731="","",HOUR(A7731))</f>
        <v/>
      </c>
    </row>
    <row r="7732">
      <c r="A7732">
        <f>Input!A7732</f>
        <v/>
      </c>
      <c r="B7732">
        <f>IF(ISNUMBER(Input!B7732),IF(AND(Input!B7732&gt;=20,Input!B7732&lt;=700),Input!B7732,""),"")</f>
        <v/>
      </c>
      <c r="C7732">
        <f>IF(B7732="","",INT(A7732))</f>
        <v/>
      </c>
      <c r="D7732">
        <f>IF(B7732="","",HOUR(A7732))</f>
        <v/>
      </c>
    </row>
    <row r="7733">
      <c r="A7733">
        <f>Input!A7733</f>
        <v/>
      </c>
      <c r="B7733">
        <f>IF(ISNUMBER(Input!B7733),IF(AND(Input!B7733&gt;=20,Input!B7733&lt;=700),Input!B7733,""),"")</f>
        <v/>
      </c>
      <c r="C7733">
        <f>IF(B7733="","",INT(A7733))</f>
        <v/>
      </c>
      <c r="D7733">
        <f>IF(B7733="","",HOUR(A7733))</f>
        <v/>
      </c>
    </row>
    <row r="7734">
      <c r="A7734">
        <f>Input!A7734</f>
        <v/>
      </c>
      <c r="B7734">
        <f>IF(ISNUMBER(Input!B7734),IF(AND(Input!B7734&gt;=20,Input!B7734&lt;=700),Input!B7734,""),"")</f>
        <v/>
      </c>
      <c r="C7734">
        <f>IF(B7734="","",INT(A7734))</f>
        <v/>
      </c>
      <c r="D7734">
        <f>IF(B7734="","",HOUR(A7734))</f>
        <v/>
      </c>
    </row>
    <row r="7735">
      <c r="A7735">
        <f>Input!A7735</f>
        <v/>
      </c>
      <c r="B7735">
        <f>IF(ISNUMBER(Input!B7735),IF(AND(Input!B7735&gt;=20,Input!B7735&lt;=700),Input!B7735,""),"")</f>
        <v/>
      </c>
      <c r="C7735">
        <f>IF(B7735="","",INT(A7735))</f>
        <v/>
      </c>
      <c r="D7735">
        <f>IF(B7735="","",HOUR(A7735))</f>
        <v/>
      </c>
    </row>
    <row r="7736">
      <c r="A7736">
        <f>Input!A7736</f>
        <v/>
      </c>
      <c r="B7736">
        <f>IF(ISNUMBER(Input!B7736),IF(AND(Input!B7736&gt;=20,Input!B7736&lt;=700),Input!B7736,""),"")</f>
        <v/>
      </c>
      <c r="C7736">
        <f>IF(B7736="","",INT(A7736))</f>
        <v/>
      </c>
      <c r="D7736">
        <f>IF(B7736="","",HOUR(A7736))</f>
        <v/>
      </c>
    </row>
    <row r="7737">
      <c r="A7737">
        <f>Input!A7737</f>
        <v/>
      </c>
      <c r="B7737">
        <f>IF(ISNUMBER(Input!B7737),IF(AND(Input!B7737&gt;=20,Input!B7737&lt;=700),Input!B7737,""),"")</f>
        <v/>
      </c>
      <c r="C7737">
        <f>IF(B7737="","",INT(A7737))</f>
        <v/>
      </c>
      <c r="D7737">
        <f>IF(B7737="","",HOUR(A7737))</f>
        <v/>
      </c>
    </row>
    <row r="7738">
      <c r="A7738">
        <f>Input!A7738</f>
        <v/>
      </c>
      <c r="B7738">
        <f>IF(ISNUMBER(Input!B7738),IF(AND(Input!B7738&gt;=20,Input!B7738&lt;=700),Input!B7738,""),"")</f>
        <v/>
      </c>
      <c r="C7738">
        <f>IF(B7738="","",INT(A7738))</f>
        <v/>
      </c>
      <c r="D7738">
        <f>IF(B7738="","",HOUR(A7738))</f>
        <v/>
      </c>
    </row>
    <row r="7739">
      <c r="A7739">
        <f>Input!A7739</f>
        <v/>
      </c>
      <c r="B7739">
        <f>IF(ISNUMBER(Input!B7739),IF(AND(Input!B7739&gt;=20,Input!B7739&lt;=700),Input!B7739,""),"")</f>
        <v/>
      </c>
      <c r="C7739">
        <f>IF(B7739="","",INT(A7739))</f>
        <v/>
      </c>
      <c r="D7739">
        <f>IF(B7739="","",HOUR(A7739))</f>
        <v/>
      </c>
    </row>
    <row r="7740">
      <c r="A7740">
        <f>Input!A7740</f>
        <v/>
      </c>
      <c r="B7740">
        <f>IF(ISNUMBER(Input!B7740),IF(AND(Input!B7740&gt;=20,Input!B7740&lt;=700),Input!B7740,""),"")</f>
        <v/>
      </c>
      <c r="C7740">
        <f>IF(B7740="","",INT(A7740))</f>
        <v/>
      </c>
      <c r="D7740">
        <f>IF(B7740="","",HOUR(A7740))</f>
        <v/>
      </c>
    </row>
    <row r="7741">
      <c r="A7741">
        <f>Input!A7741</f>
        <v/>
      </c>
      <c r="B7741">
        <f>IF(ISNUMBER(Input!B7741),IF(AND(Input!B7741&gt;=20,Input!B7741&lt;=700),Input!B7741,""),"")</f>
        <v/>
      </c>
      <c r="C7741">
        <f>IF(B7741="","",INT(A7741))</f>
        <v/>
      </c>
      <c r="D7741">
        <f>IF(B7741="","",HOUR(A7741))</f>
        <v/>
      </c>
    </row>
    <row r="7742">
      <c r="A7742">
        <f>Input!A7742</f>
        <v/>
      </c>
      <c r="B7742">
        <f>IF(ISNUMBER(Input!B7742),IF(AND(Input!B7742&gt;=20,Input!B7742&lt;=700),Input!B7742,""),"")</f>
        <v/>
      </c>
      <c r="C7742">
        <f>IF(B7742="","",INT(A7742))</f>
        <v/>
      </c>
      <c r="D7742">
        <f>IF(B7742="","",HOUR(A7742))</f>
        <v/>
      </c>
    </row>
    <row r="7743">
      <c r="A7743">
        <f>Input!A7743</f>
        <v/>
      </c>
      <c r="B7743">
        <f>IF(ISNUMBER(Input!B7743),IF(AND(Input!B7743&gt;=20,Input!B7743&lt;=700),Input!B7743,""),"")</f>
        <v/>
      </c>
      <c r="C7743">
        <f>IF(B7743="","",INT(A7743))</f>
        <v/>
      </c>
      <c r="D7743">
        <f>IF(B7743="","",HOUR(A7743))</f>
        <v/>
      </c>
    </row>
    <row r="7744">
      <c r="A7744">
        <f>Input!A7744</f>
        <v/>
      </c>
      <c r="B7744">
        <f>IF(ISNUMBER(Input!B7744),IF(AND(Input!B7744&gt;=20,Input!B7744&lt;=700),Input!B7744,""),"")</f>
        <v/>
      </c>
      <c r="C7744">
        <f>IF(B7744="","",INT(A7744))</f>
        <v/>
      </c>
      <c r="D7744">
        <f>IF(B7744="","",HOUR(A7744))</f>
        <v/>
      </c>
    </row>
    <row r="7745">
      <c r="A7745">
        <f>Input!A7745</f>
        <v/>
      </c>
      <c r="B7745">
        <f>IF(ISNUMBER(Input!B7745),IF(AND(Input!B7745&gt;=20,Input!B7745&lt;=700),Input!B7745,""),"")</f>
        <v/>
      </c>
      <c r="C7745">
        <f>IF(B7745="","",INT(A7745))</f>
        <v/>
      </c>
      <c r="D7745">
        <f>IF(B7745="","",HOUR(A7745))</f>
        <v/>
      </c>
    </row>
    <row r="7746">
      <c r="A7746">
        <f>Input!A7746</f>
        <v/>
      </c>
      <c r="B7746">
        <f>IF(ISNUMBER(Input!B7746),IF(AND(Input!B7746&gt;=20,Input!B7746&lt;=700),Input!B7746,""),"")</f>
        <v/>
      </c>
      <c r="C7746">
        <f>IF(B7746="","",INT(A7746))</f>
        <v/>
      </c>
      <c r="D7746">
        <f>IF(B7746="","",HOUR(A7746))</f>
        <v/>
      </c>
    </row>
    <row r="7747">
      <c r="A7747">
        <f>Input!A7747</f>
        <v/>
      </c>
      <c r="B7747">
        <f>IF(ISNUMBER(Input!B7747),IF(AND(Input!B7747&gt;=20,Input!B7747&lt;=700),Input!B7747,""),"")</f>
        <v/>
      </c>
      <c r="C7747">
        <f>IF(B7747="","",INT(A7747))</f>
        <v/>
      </c>
      <c r="D7747">
        <f>IF(B7747="","",HOUR(A7747))</f>
        <v/>
      </c>
    </row>
    <row r="7748">
      <c r="A7748">
        <f>Input!A7748</f>
        <v/>
      </c>
      <c r="B7748">
        <f>IF(ISNUMBER(Input!B7748),IF(AND(Input!B7748&gt;=20,Input!B7748&lt;=700),Input!B7748,""),"")</f>
        <v/>
      </c>
      <c r="C7748">
        <f>IF(B7748="","",INT(A7748))</f>
        <v/>
      </c>
      <c r="D7748">
        <f>IF(B7748="","",HOUR(A7748))</f>
        <v/>
      </c>
    </row>
    <row r="7749">
      <c r="A7749">
        <f>Input!A7749</f>
        <v/>
      </c>
      <c r="B7749">
        <f>IF(ISNUMBER(Input!B7749),IF(AND(Input!B7749&gt;=20,Input!B7749&lt;=700),Input!B7749,""),"")</f>
        <v/>
      </c>
      <c r="C7749">
        <f>IF(B7749="","",INT(A7749))</f>
        <v/>
      </c>
      <c r="D7749">
        <f>IF(B7749="","",HOUR(A7749))</f>
        <v/>
      </c>
    </row>
    <row r="7750">
      <c r="A7750">
        <f>Input!A7750</f>
        <v/>
      </c>
      <c r="B7750">
        <f>IF(ISNUMBER(Input!B7750),IF(AND(Input!B7750&gt;=20,Input!B7750&lt;=700),Input!B7750,""),"")</f>
        <v/>
      </c>
      <c r="C7750">
        <f>IF(B7750="","",INT(A7750))</f>
        <v/>
      </c>
      <c r="D7750">
        <f>IF(B7750="","",HOUR(A7750))</f>
        <v/>
      </c>
    </row>
    <row r="7751">
      <c r="A7751">
        <f>Input!A7751</f>
        <v/>
      </c>
      <c r="B7751">
        <f>IF(ISNUMBER(Input!B7751),IF(AND(Input!B7751&gt;=20,Input!B7751&lt;=700),Input!B7751,""),"")</f>
        <v/>
      </c>
      <c r="C7751">
        <f>IF(B7751="","",INT(A7751))</f>
        <v/>
      </c>
      <c r="D7751">
        <f>IF(B7751="","",HOUR(A7751))</f>
        <v/>
      </c>
    </row>
    <row r="7752">
      <c r="A7752">
        <f>Input!A7752</f>
        <v/>
      </c>
      <c r="B7752">
        <f>IF(ISNUMBER(Input!B7752),IF(AND(Input!B7752&gt;=20,Input!B7752&lt;=700),Input!B7752,""),"")</f>
        <v/>
      </c>
      <c r="C7752">
        <f>IF(B7752="","",INT(A7752))</f>
        <v/>
      </c>
      <c r="D7752">
        <f>IF(B7752="","",HOUR(A7752))</f>
        <v/>
      </c>
    </row>
    <row r="7753">
      <c r="A7753">
        <f>Input!A7753</f>
        <v/>
      </c>
      <c r="B7753">
        <f>IF(ISNUMBER(Input!B7753),IF(AND(Input!B7753&gt;=20,Input!B7753&lt;=700),Input!B7753,""),"")</f>
        <v/>
      </c>
      <c r="C7753">
        <f>IF(B7753="","",INT(A7753))</f>
        <v/>
      </c>
      <c r="D7753">
        <f>IF(B7753="","",HOUR(A7753))</f>
        <v/>
      </c>
    </row>
    <row r="7754">
      <c r="A7754">
        <f>Input!A7754</f>
        <v/>
      </c>
      <c r="B7754">
        <f>IF(ISNUMBER(Input!B7754),IF(AND(Input!B7754&gt;=20,Input!B7754&lt;=700),Input!B7754,""),"")</f>
        <v/>
      </c>
      <c r="C7754">
        <f>IF(B7754="","",INT(A7754))</f>
        <v/>
      </c>
      <c r="D7754">
        <f>IF(B7754="","",HOUR(A7754))</f>
        <v/>
      </c>
    </row>
    <row r="7755">
      <c r="A7755">
        <f>Input!A7755</f>
        <v/>
      </c>
      <c r="B7755">
        <f>IF(ISNUMBER(Input!B7755),IF(AND(Input!B7755&gt;=20,Input!B7755&lt;=700),Input!B7755,""),"")</f>
        <v/>
      </c>
      <c r="C7755">
        <f>IF(B7755="","",INT(A7755))</f>
        <v/>
      </c>
      <c r="D7755">
        <f>IF(B7755="","",HOUR(A7755))</f>
        <v/>
      </c>
    </row>
    <row r="7756">
      <c r="A7756">
        <f>Input!A7756</f>
        <v/>
      </c>
      <c r="B7756">
        <f>IF(ISNUMBER(Input!B7756),IF(AND(Input!B7756&gt;=20,Input!B7756&lt;=700),Input!B7756,""),"")</f>
        <v/>
      </c>
      <c r="C7756">
        <f>IF(B7756="","",INT(A7756))</f>
        <v/>
      </c>
      <c r="D7756">
        <f>IF(B7756="","",HOUR(A7756))</f>
        <v/>
      </c>
    </row>
    <row r="7757">
      <c r="A7757">
        <f>Input!A7757</f>
        <v/>
      </c>
      <c r="B7757">
        <f>IF(ISNUMBER(Input!B7757),IF(AND(Input!B7757&gt;=20,Input!B7757&lt;=700),Input!B7757,""),"")</f>
        <v/>
      </c>
      <c r="C7757">
        <f>IF(B7757="","",INT(A7757))</f>
        <v/>
      </c>
      <c r="D7757">
        <f>IF(B7757="","",HOUR(A7757))</f>
        <v/>
      </c>
    </row>
    <row r="7758">
      <c r="A7758">
        <f>Input!A7758</f>
        <v/>
      </c>
      <c r="B7758">
        <f>IF(ISNUMBER(Input!B7758),IF(AND(Input!B7758&gt;=20,Input!B7758&lt;=700),Input!B7758,""),"")</f>
        <v/>
      </c>
      <c r="C7758">
        <f>IF(B7758="","",INT(A7758))</f>
        <v/>
      </c>
      <c r="D7758">
        <f>IF(B7758="","",HOUR(A7758))</f>
        <v/>
      </c>
    </row>
    <row r="7759">
      <c r="A7759">
        <f>Input!A7759</f>
        <v/>
      </c>
      <c r="B7759">
        <f>IF(ISNUMBER(Input!B7759),IF(AND(Input!B7759&gt;=20,Input!B7759&lt;=700),Input!B7759,""),"")</f>
        <v/>
      </c>
      <c r="C7759">
        <f>IF(B7759="","",INT(A7759))</f>
        <v/>
      </c>
      <c r="D7759">
        <f>IF(B7759="","",HOUR(A7759))</f>
        <v/>
      </c>
    </row>
    <row r="7760">
      <c r="A7760">
        <f>Input!A7760</f>
        <v/>
      </c>
      <c r="B7760">
        <f>IF(ISNUMBER(Input!B7760),IF(AND(Input!B7760&gt;=20,Input!B7760&lt;=700),Input!B7760,""),"")</f>
        <v/>
      </c>
      <c r="C7760">
        <f>IF(B7760="","",INT(A7760))</f>
        <v/>
      </c>
      <c r="D7760">
        <f>IF(B7760="","",HOUR(A7760))</f>
        <v/>
      </c>
    </row>
    <row r="7761">
      <c r="A7761">
        <f>Input!A7761</f>
        <v/>
      </c>
      <c r="B7761">
        <f>IF(ISNUMBER(Input!B7761),IF(AND(Input!B7761&gt;=20,Input!B7761&lt;=700),Input!B7761,""),"")</f>
        <v/>
      </c>
      <c r="C7761">
        <f>IF(B7761="","",INT(A7761))</f>
        <v/>
      </c>
      <c r="D7761">
        <f>IF(B7761="","",HOUR(A7761))</f>
        <v/>
      </c>
    </row>
    <row r="7762">
      <c r="A7762">
        <f>Input!A7762</f>
        <v/>
      </c>
      <c r="B7762">
        <f>IF(ISNUMBER(Input!B7762),IF(AND(Input!B7762&gt;=20,Input!B7762&lt;=700),Input!B7762,""),"")</f>
        <v/>
      </c>
      <c r="C7762">
        <f>IF(B7762="","",INT(A7762))</f>
        <v/>
      </c>
      <c r="D7762">
        <f>IF(B7762="","",HOUR(A7762))</f>
        <v/>
      </c>
    </row>
    <row r="7763">
      <c r="A7763">
        <f>Input!A7763</f>
        <v/>
      </c>
      <c r="B7763">
        <f>IF(ISNUMBER(Input!B7763),IF(AND(Input!B7763&gt;=20,Input!B7763&lt;=700),Input!B7763,""),"")</f>
        <v/>
      </c>
      <c r="C7763">
        <f>IF(B7763="","",INT(A7763))</f>
        <v/>
      </c>
      <c r="D7763">
        <f>IF(B7763="","",HOUR(A7763))</f>
        <v/>
      </c>
    </row>
    <row r="7764">
      <c r="A7764">
        <f>Input!A7764</f>
        <v/>
      </c>
      <c r="B7764">
        <f>IF(ISNUMBER(Input!B7764),IF(AND(Input!B7764&gt;=20,Input!B7764&lt;=700),Input!B7764,""),"")</f>
        <v/>
      </c>
      <c r="C7764">
        <f>IF(B7764="","",INT(A7764))</f>
        <v/>
      </c>
      <c r="D7764">
        <f>IF(B7764="","",HOUR(A7764))</f>
        <v/>
      </c>
    </row>
    <row r="7765">
      <c r="A7765">
        <f>Input!A7765</f>
        <v/>
      </c>
      <c r="B7765">
        <f>IF(ISNUMBER(Input!B7765),IF(AND(Input!B7765&gt;=20,Input!B7765&lt;=700),Input!B7765,""),"")</f>
        <v/>
      </c>
      <c r="C7765">
        <f>IF(B7765="","",INT(A7765))</f>
        <v/>
      </c>
      <c r="D7765">
        <f>IF(B7765="","",HOUR(A7765))</f>
        <v/>
      </c>
    </row>
    <row r="7766">
      <c r="A7766">
        <f>Input!A7766</f>
        <v/>
      </c>
      <c r="B7766">
        <f>IF(ISNUMBER(Input!B7766),IF(AND(Input!B7766&gt;=20,Input!B7766&lt;=700),Input!B7766,""),"")</f>
        <v/>
      </c>
      <c r="C7766">
        <f>IF(B7766="","",INT(A7766))</f>
        <v/>
      </c>
      <c r="D7766">
        <f>IF(B7766="","",HOUR(A7766))</f>
        <v/>
      </c>
    </row>
    <row r="7767">
      <c r="A7767">
        <f>Input!A7767</f>
        <v/>
      </c>
      <c r="B7767">
        <f>IF(ISNUMBER(Input!B7767),IF(AND(Input!B7767&gt;=20,Input!B7767&lt;=700),Input!B7767,""),"")</f>
        <v/>
      </c>
      <c r="C7767">
        <f>IF(B7767="","",INT(A7767))</f>
        <v/>
      </c>
      <c r="D7767">
        <f>IF(B7767="","",HOUR(A7767))</f>
        <v/>
      </c>
    </row>
    <row r="7768">
      <c r="A7768">
        <f>Input!A7768</f>
        <v/>
      </c>
      <c r="B7768">
        <f>IF(ISNUMBER(Input!B7768),IF(AND(Input!B7768&gt;=20,Input!B7768&lt;=700),Input!B7768,""),"")</f>
        <v/>
      </c>
      <c r="C7768">
        <f>IF(B7768="","",INT(A7768))</f>
        <v/>
      </c>
      <c r="D7768">
        <f>IF(B7768="","",HOUR(A7768))</f>
        <v/>
      </c>
    </row>
    <row r="7769">
      <c r="A7769">
        <f>Input!A7769</f>
        <v/>
      </c>
      <c r="B7769">
        <f>IF(ISNUMBER(Input!B7769),IF(AND(Input!B7769&gt;=20,Input!B7769&lt;=700),Input!B7769,""),"")</f>
        <v/>
      </c>
      <c r="C7769">
        <f>IF(B7769="","",INT(A7769))</f>
        <v/>
      </c>
      <c r="D7769">
        <f>IF(B7769="","",HOUR(A7769))</f>
        <v/>
      </c>
    </row>
    <row r="7770">
      <c r="A7770">
        <f>Input!A7770</f>
        <v/>
      </c>
      <c r="B7770">
        <f>IF(ISNUMBER(Input!B7770),IF(AND(Input!B7770&gt;=20,Input!B7770&lt;=700),Input!B7770,""),"")</f>
        <v/>
      </c>
      <c r="C7770">
        <f>IF(B7770="","",INT(A7770))</f>
        <v/>
      </c>
      <c r="D7770">
        <f>IF(B7770="","",HOUR(A7770))</f>
        <v/>
      </c>
    </row>
    <row r="7771">
      <c r="A7771">
        <f>Input!A7771</f>
        <v/>
      </c>
      <c r="B7771">
        <f>IF(ISNUMBER(Input!B7771),IF(AND(Input!B7771&gt;=20,Input!B7771&lt;=700),Input!B7771,""),"")</f>
        <v/>
      </c>
      <c r="C7771">
        <f>IF(B7771="","",INT(A7771))</f>
        <v/>
      </c>
      <c r="D7771">
        <f>IF(B7771="","",HOUR(A7771))</f>
        <v/>
      </c>
    </row>
    <row r="7772">
      <c r="A7772">
        <f>Input!A7772</f>
        <v/>
      </c>
      <c r="B7772">
        <f>IF(ISNUMBER(Input!B7772),IF(AND(Input!B7772&gt;=20,Input!B7772&lt;=700),Input!B7772,""),"")</f>
        <v/>
      </c>
      <c r="C7772">
        <f>IF(B7772="","",INT(A7772))</f>
        <v/>
      </c>
      <c r="D7772">
        <f>IF(B7772="","",HOUR(A7772))</f>
        <v/>
      </c>
    </row>
    <row r="7773">
      <c r="A7773">
        <f>Input!A7773</f>
        <v/>
      </c>
      <c r="B7773">
        <f>IF(ISNUMBER(Input!B7773),IF(AND(Input!B7773&gt;=20,Input!B7773&lt;=700),Input!B7773,""),"")</f>
        <v/>
      </c>
      <c r="C7773">
        <f>IF(B7773="","",INT(A7773))</f>
        <v/>
      </c>
      <c r="D7773">
        <f>IF(B7773="","",HOUR(A7773))</f>
        <v/>
      </c>
    </row>
    <row r="7774">
      <c r="A7774">
        <f>Input!A7774</f>
        <v/>
      </c>
      <c r="B7774">
        <f>IF(ISNUMBER(Input!B7774),IF(AND(Input!B7774&gt;=20,Input!B7774&lt;=700),Input!B7774,""),"")</f>
        <v/>
      </c>
      <c r="C7774">
        <f>IF(B7774="","",INT(A7774))</f>
        <v/>
      </c>
      <c r="D7774">
        <f>IF(B7774="","",HOUR(A7774))</f>
        <v/>
      </c>
    </row>
    <row r="7775">
      <c r="A7775">
        <f>Input!A7775</f>
        <v/>
      </c>
      <c r="B7775">
        <f>IF(ISNUMBER(Input!B7775),IF(AND(Input!B7775&gt;=20,Input!B7775&lt;=700),Input!B7775,""),"")</f>
        <v/>
      </c>
      <c r="C7775">
        <f>IF(B7775="","",INT(A7775))</f>
        <v/>
      </c>
      <c r="D7775">
        <f>IF(B7775="","",HOUR(A7775))</f>
        <v/>
      </c>
    </row>
    <row r="7776">
      <c r="A7776">
        <f>Input!A7776</f>
        <v/>
      </c>
      <c r="B7776">
        <f>IF(ISNUMBER(Input!B7776),IF(AND(Input!B7776&gt;=20,Input!B7776&lt;=700),Input!B7776,""),"")</f>
        <v/>
      </c>
      <c r="C7776">
        <f>IF(B7776="","",INT(A7776))</f>
        <v/>
      </c>
      <c r="D7776">
        <f>IF(B7776="","",HOUR(A7776))</f>
        <v/>
      </c>
    </row>
    <row r="7777">
      <c r="A7777">
        <f>Input!A7777</f>
        <v/>
      </c>
      <c r="B7777">
        <f>IF(ISNUMBER(Input!B7777),IF(AND(Input!B7777&gt;=20,Input!B7777&lt;=700),Input!B7777,""),"")</f>
        <v/>
      </c>
      <c r="C7777">
        <f>IF(B7777="","",INT(A7777))</f>
        <v/>
      </c>
      <c r="D7777">
        <f>IF(B7777="","",HOUR(A7777))</f>
        <v/>
      </c>
    </row>
    <row r="7778">
      <c r="A7778">
        <f>Input!A7778</f>
        <v/>
      </c>
      <c r="B7778">
        <f>IF(ISNUMBER(Input!B7778),IF(AND(Input!B7778&gt;=20,Input!B7778&lt;=700),Input!B7778,""),"")</f>
        <v/>
      </c>
      <c r="C7778">
        <f>IF(B7778="","",INT(A7778))</f>
        <v/>
      </c>
      <c r="D7778">
        <f>IF(B7778="","",HOUR(A7778))</f>
        <v/>
      </c>
    </row>
    <row r="7779">
      <c r="A7779">
        <f>Input!A7779</f>
        <v/>
      </c>
      <c r="B7779">
        <f>IF(ISNUMBER(Input!B7779),IF(AND(Input!B7779&gt;=20,Input!B7779&lt;=700),Input!B7779,""),"")</f>
        <v/>
      </c>
      <c r="C7779">
        <f>IF(B7779="","",INT(A7779))</f>
        <v/>
      </c>
      <c r="D7779">
        <f>IF(B7779="","",HOUR(A7779))</f>
        <v/>
      </c>
    </row>
    <row r="7780">
      <c r="A7780">
        <f>Input!A7780</f>
        <v/>
      </c>
      <c r="B7780">
        <f>IF(ISNUMBER(Input!B7780),IF(AND(Input!B7780&gt;=20,Input!B7780&lt;=700),Input!B7780,""),"")</f>
        <v/>
      </c>
      <c r="C7780">
        <f>IF(B7780="","",INT(A7780))</f>
        <v/>
      </c>
      <c r="D7780">
        <f>IF(B7780="","",HOUR(A7780))</f>
        <v/>
      </c>
    </row>
    <row r="7781">
      <c r="A7781">
        <f>Input!A7781</f>
        <v/>
      </c>
      <c r="B7781">
        <f>IF(ISNUMBER(Input!B7781),IF(AND(Input!B7781&gt;=20,Input!B7781&lt;=700),Input!B7781,""),"")</f>
        <v/>
      </c>
      <c r="C7781">
        <f>IF(B7781="","",INT(A7781))</f>
        <v/>
      </c>
      <c r="D7781">
        <f>IF(B7781="","",HOUR(A7781))</f>
        <v/>
      </c>
    </row>
    <row r="7782">
      <c r="A7782">
        <f>Input!A7782</f>
        <v/>
      </c>
      <c r="B7782">
        <f>IF(ISNUMBER(Input!B7782),IF(AND(Input!B7782&gt;=20,Input!B7782&lt;=700),Input!B7782,""),"")</f>
        <v/>
      </c>
      <c r="C7782">
        <f>IF(B7782="","",INT(A7782))</f>
        <v/>
      </c>
      <c r="D7782">
        <f>IF(B7782="","",HOUR(A7782))</f>
        <v/>
      </c>
    </row>
    <row r="7783">
      <c r="A7783">
        <f>Input!A7783</f>
        <v/>
      </c>
      <c r="B7783">
        <f>IF(ISNUMBER(Input!B7783),IF(AND(Input!B7783&gt;=20,Input!B7783&lt;=700),Input!B7783,""),"")</f>
        <v/>
      </c>
      <c r="C7783">
        <f>IF(B7783="","",INT(A7783))</f>
        <v/>
      </c>
      <c r="D7783">
        <f>IF(B7783="","",HOUR(A7783))</f>
        <v/>
      </c>
    </row>
    <row r="7784">
      <c r="A7784">
        <f>Input!A7784</f>
        <v/>
      </c>
      <c r="B7784">
        <f>IF(ISNUMBER(Input!B7784),IF(AND(Input!B7784&gt;=20,Input!B7784&lt;=700),Input!B7784,""),"")</f>
        <v/>
      </c>
      <c r="C7784">
        <f>IF(B7784="","",INT(A7784))</f>
        <v/>
      </c>
      <c r="D7784">
        <f>IF(B7784="","",HOUR(A7784))</f>
        <v/>
      </c>
    </row>
    <row r="7785">
      <c r="A7785">
        <f>Input!A7785</f>
        <v/>
      </c>
      <c r="B7785">
        <f>IF(ISNUMBER(Input!B7785),IF(AND(Input!B7785&gt;=20,Input!B7785&lt;=700),Input!B7785,""),"")</f>
        <v/>
      </c>
      <c r="C7785">
        <f>IF(B7785="","",INT(A7785))</f>
        <v/>
      </c>
      <c r="D7785">
        <f>IF(B7785="","",HOUR(A7785))</f>
        <v/>
      </c>
    </row>
    <row r="7786">
      <c r="A7786">
        <f>Input!A7786</f>
        <v/>
      </c>
      <c r="B7786">
        <f>IF(ISNUMBER(Input!B7786),IF(AND(Input!B7786&gt;=20,Input!B7786&lt;=700),Input!B7786,""),"")</f>
        <v/>
      </c>
      <c r="C7786">
        <f>IF(B7786="","",INT(A7786))</f>
        <v/>
      </c>
      <c r="D7786">
        <f>IF(B7786="","",HOUR(A7786))</f>
        <v/>
      </c>
    </row>
    <row r="7787">
      <c r="A7787">
        <f>Input!A7787</f>
        <v/>
      </c>
      <c r="B7787">
        <f>IF(ISNUMBER(Input!B7787),IF(AND(Input!B7787&gt;=20,Input!B7787&lt;=700),Input!B7787,""),"")</f>
        <v/>
      </c>
      <c r="C7787">
        <f>IF(B7787="","",INT(A7787))</f>
        <v/>
      </c>
      <c r="D7787">
        <f>IF(B7787="","",HOUR(A7787))</f>
        <v/>
      </c>
    </row>
    <row r="7788">
      <c r="A7788">
        <f>Input!A7788</f>
        <v/>
      </c>
      <c r="B7788">
        <f>IF(ISNUMBER(Input!B7788),IF(AND(Input!B7788&gt;=20,Input!B7788&lt;=700),Input!B7788,""),"")</f>
        <v/>
      </c>
      <c r="C7788">
        <f>IF(B7788="","",INT(A7788))</f>
        <v/>
      </c>
      <c r="D7788">
        <f>IF(B7788="","",HOUR(A7788))</f>
        <v/>
      </c>
    </row>
    <row r="7789">
      <c r="A7789">
        <f>Input!A7789</f>
        <v/>
      </c>
      <c r="B7789">
        <f>IF(ISNUMBER(Input!B7789),IF(AND(Input!B7789&gt;=20,Input!B7789&lt;=700),Input!B7789,""),"")</f>
        <v/>
      </c>
      <c r="C7789">
        <f>IF(B7789="","",INT(A7789))</f>
        <v/>
      </c>
      <c r="D7789">
        <f>IF(B7789="","",HOUR(A7789))</f>
        <v/>
      </c>
    </row>
    <row r="7790">
      <c r="A7790">
        <f>Input!A7790</f>
        <v/>
      </c>
      <c r="B7790">
        <f>IF(ISNUMBER(Input!B7790),IF(AND(Input!B7790&gt;=20,Input!B7790&lt;=700),Input!B7790,""),"")</f>
        <v/>
      </c>
      <c r="C7790">
        <f>IF(B7790="","",INT(A7790))</f>
        <v/>
      </c>
      <c r="D7790">
        <f>IF(B7790="","",HOUR(A7790))</f>
        <v/>
      </c>
    </row>
    <row r="7791">
      <c r="A7791">
        <f>Input!A7791</f>
        <v/>
      </c>
      <c r="B7791">
        <f>IF(ISNUMBER(Input!B7791),IF(AND(Input!B7791&gt;=20,Input!B7791&lt;=700),Input!B7791,""),"")</f>
        <v/>
      </c>
      <c r="C7791">
        <f>IF(B7791="","",INT(A7791))</f>
        <v/>
      </c>
      <c r="D7791">
        <f>IF(B7791="","",HOUR(A7791))</f>
        <v/>
      </c>
    </row>
    <row r="7792">
      <c r="A7792">
        <f>Input!A7792</f>
        <v/>
      </c>
      <c r="B7792">
        <f>IF(ISNUMBER(Input!B7792),IF(AND(Input!B7792&gt;=20,Input!B7792&lt;=700),Input!B7792,""),"")</f>
        <v/>
      </c>
      <c r="C7792">
        <f>IF(B7792="","",INT(A7792))</f>
        <v/>
      </c>
      <c r="D7792">
        <f>IF(B7792="","",HOUR(A7792))</f>
        <v/>
      </c>
    </row>
    <row r="7793">
      <c r="A7793">
        <f>Input!A7793</f>
        <v/>
      </c>
      <c r="B7793">
        <f>IF(ISNUMBER(Input!B7793),IF(AND(Input!B7793&gt;=20,Input!B7793&lt;=700),Input!B7793,""),"")</f>
        <v/>
      </c>
      <c r="C7793">
        <f>IF(B7793="","",INT(A7793))</f>
        <v/>
      </c>
      <c r="D7793">
        <f>IF(B7793="","",HOUR(A7793))</f>
        <v/>
      </c>
    </row>
    <row r="7794">
      <c r="A7794">
        <f>Input!A7794</f>
        <v/>
      </c>
      <c r="B7794">
        <f>IF(ISNUMBER(Input!B7794),IF(AND(Input!B7794&gt;=20,Input!B7794&lt;=700),Input!B7794,""),"")</f>
        <v/>
      </c>
      <c r="C7794">
        <f>IF(B7794="","",INT(A7794))</f>
        <v/>
      </c>
      <c r="D7794">
        <f>IF(B7794="","",HOUR(A7794))</f>
        <v/>
      </c>
    </row>
    <row r="7795">
      <c r="A7795">
        <f>Input!A7795</f>
        <v/>
      </c>
      <c r="B7795">
        <f>IF(ISNUMBER(Input!B7795),IF(AND(Input!B7795&gt;=20,Input!B7795&lt;=700),Input!B7795,""),"")</f>
        <v/>
      </c>
      <c r="C7795">
        <f>IF(B7795="","",INT(A7795))</f>
        <v/>
      </c>
      <c r="D7795">
        <f>IF(B7795="","",HOUR(A7795))</f>
        <v/>
      </c>
    </row>
    <row r="7796">
      <c r="A7796">
        <f>Input!A7796</f>
        <v/>
      </c>
      <c r="B7796">
        <f>IF(ISNUMBER(Input!B7796),IF(AND(Input!B7796&gt;=20,Input!B7796&lt;=700),Input!B7796,""),"")</f>
        <v/>
      </c>
      <c r="C7796">
        <f>IF(B7796="","",INT(A7796))</f>
        <v/>
      </c>
      <c r="D7796">
        <f>IF(B7796="","",HOUR(A7796))</f>
        <v/>
      </c>
    </row>
    <row r="7797">
      <c r="A7797">
        <f>Input!A7797</f>
        <v/>
      </c>
      <c r="B7797">
        <f>IF(ISNUMBER(Input!B7797),IF(AND(Input!B7797&gt;=20,Input!B7797&lt;=700),Input!B7797,""),"")</f>
        <v/>
      </c>
      <c r="C7797">
        <f>IF(B7797="","",INT(A7797))</f>
        <v/>
      </c>
      <c r="D7797">
        <f>IF(B7797="","",HOUR(A7797))</f>
        <v/>
      </c>
    </row>
    <row r="7798">
      <c r="A7798">
        <f>Input!A7798</f>
        <v/>
      </c>
      <c r="B7798">
        <f>IF(ISNUMBER(Input!B7798),IF(AND(Input!B7798&gt;=20,Input!B7798&lt;=700),Input!B7798,""),"")</f>
        <v/>
      </c>
      <c r="C7798">
        <f>IF(B7798="","",INT(A7798))</f>
        <v/>
      </c>
      <c r="D7798">
        <f>IF(B7798="","",HOUR(A7798))</f>
        <v/>
      </c>
    </row>
    <row r="7799">
      <c r="A7799">
        <f>Input!A7799</f>
        <v/>
      </c>
      <c r="B7799">
        <f>IF(ISNUMBER(Input!B7799),IF(AND(Input!B7799&gt;=20,Input!B7799&lt;=700),Input!B7799,""),"")</f>
        <v/>
      </c>
      <c r="C7799">
        <f>IF(B7799="","",INT(A7799))</f>
        <v/>
      </c>
      <c r="D7799">
        <f>IF(B7799="","",HOUR(A7799))</f>
        <v/>
      </c>
    </row>
    <row r="7800">
      <c r="A7800">
        <f>Input!A7800</f>
        <v/>
      </c>
      <c r="B7800">
        <f>IF(ISNUMBER(Input!B7800),IF(AND(Input!B7800&gt;=20,Input!B7800&lt;=700),Input!B7800,""),"")</f>
        <v/>
      </c>
      <c r="C7800">
        <f>IF(B7800="","",INT(A7800))</f>
        <v/>
      </c>
      <c r="D7800">
        <f>IF(B7800="","",HOUR(A7800))</f>
        <v/>
      </c>
    </row>
    <row r="7801">
      <c r="A7801">
        <f>Input!A7801</f>
        <v/>
      </c>
      <c r="B7801">
        <f>IF(ISNUMBER(Input!B7801),IF(AND(Input!B7801&gt;=20,Input!B7801&lt;=700),Input!B7801,""),"")</f>
        <v/>
      </c>
      <c r="C7801">
        <f>IF(B7801="","",INT(A7801))</f>
        <v/>
      </c>
      <c r="D7801">
        <f>IF(B7801="","",HOUR(A7801))</f>
        <v/>
      </c>
    </row>
    <row r="7802">
      <c r="A7802">
        <f>Input!A7802</f>
        <v/>
      </c>
      <c r="B7802">
        <f>IF(ISNUMBER(Input!B7802),IF(AND(Input!B7802&gt;=20,Input!B7802&lt;=700),Input!B7802,""),"")</f>
        <v/>
      </c>
      <c r="C7802">
        <f>IF(B7802="","",INT(A7802))</f>
        <v/>
      </c>
      <c r="D7802">
        <f>IF(B7802="","",HOUR(A7802))</f>
        <v/>
      </c>
    </row>
    <row r="7803">
      <c r="A7803">
        <f>Input!A7803</f>
        <v/>
      </c>
      <c r="B7803">
        <f>IF(ISNUMBER(Input!B7803),IF(AND(Input!B7803&gt;=20,Input!B7803&lt;=700),Input!B7803,""),"")</f>
        <v/>
      </c>
      <c r="C7803">
        <f>IF(B7803="","",INT(A7803))</f>
        <v/>
      </c>
      <c r="D7803">
        <f>IF(B7803="","",HOUR(A7803))</f>
        <v/>
      </c>
    </row>
    <row r="7804">
      <c r="A7804">
        <f>Input!A7804</f>
        <v/>
      </c>
      <c r="B7804">
        <f>IF(ISNUMBER(Input!B7804),IF(AND(Input!B7804&gt;=20,Input!B7804&lt;=700),Input!B7804,""),"")</f>
        <v/>
      </c>
      <c r="C7804">
        <f>IF(B7804="","",INT(A7804))</f>
        <v/>
      </c>
      <c r="D7804">
        <f>IF(B7804="","",HOUR(A7804))</f>
        <v/>
      </c>
    </row>
    <row r="7805">
      <c r="A7805">
        <f>Input!A7805</f>
        <v/>
      </c>
      <c r="B7805">
        <f>IF(ISNUMBER(Input!B7805),IF(AND(Input!B7805&gt;=20,Input!B7805&lt;=700),Input!B7805,""),"")</f>
        <v/>
      </c>
      <c r="C7805">
        <f>IF(B7805="","",INT(A7805))</f>
        <v/>
      </c>
      <c r="D7805">
        <f>IF(B7805="","",HOUR(A7805))</f>
        <v/>
      </c>
    </row>
    <row r="7806">
      <c r="A7806">
        <f>Input!A7806</f>
        <v/>
      </c>
      <c r="B7806">
        <f>IF(ISNUMBER(Input!B7806),IF(AND(Input!B7806&gt;=20,Input!B7806&lt;=700),Input!B7806,""),"")</f>
        <v/>
      </c>
      <c r="C7806">
        <f>IF(B7806="","",INT(A7806))</f>
        <v/>
      </c>
      <c r="D7806">
        <f>IF(B7806="","",HOUR(A7806))</f>
        <v/>
      </c>
    </row>
    <row r="7807">
      <c r="A7807">
        <f>Input!A7807</f>
        <v/>
      </c>
      <c r="B7807">
        <f>IF(ISNUMBER(Input!B7807),IF(AND(Input!B7807&gt;=20,Input!B7807&lt;=700),Input!B7807,""),"")</f>
        <v/>
      </c>
      <c r="C7807">
        <f>IF(B7807="","",INT(A7807))</f>
        <v/>
      </c>
      <c r="D7807">
        <f>IF(B7807="","",HOUR(A7807))</f>
        <v/>
      </c>
    </row>
    <row r="7808">
      <c r="A7808">
        <f>Input!A7808</f>
        <v/>
      </c>
      <c r="B7808">
        <f>IF(ISNUMBER(Input!B7808),IF(AND(Input!B7808&gt;=20,Input!B7808&lt;=700),Input!B7808,""),"")</f>
        <v/>
      </c>
      <c r="C7808">
        <f>IF(B7808="","",INT(A7808))</f>
        <v/>
      </c>
      <c r="D7808">
        <f>IF(B7808="","",HOUR(A7808))</f>
        <v/>
      </c>
    </row>
    <row r="7809">
      <c r="A7809">
        <f>Input!A7809</f>
        <v/>
      </c>
      <c r="B7809">
        <f>IF(ISNUMBER(Input!B7809),IF(AND(Input!B7809&gt;=20,Input!B7809&lt;=700),Input!B7809,""),"")</f>
        <v/>
      </c>
      <c r="C7809">
        <f>IF(B7809="","",INT(A7809))</f>
        <v/>
      </c>
      <c r="D7809">
        <f>IF(B7809="","",HOUR(A7809))</f>
        <v/>
      </c>
    </row>
    <row r="7810">
      <c r="A7810">
        <f>Input!A7810</f>
        <v/>
      </c>
      <c r="B7810">
        <f>IF(ISNUMBER(Input!B7810),IF(AND(Input!B7810&gt;=20,Input!B7810&lt;=700),Input!B7810,""),"")</f>
        <v/>
      </c>
      <c r="C7810">
        <f>IF(B7810="","",INT(A7810))</f>
        <v/>
      </c>
      <c r="D7810">
        <f>IF(B7810="","",HOUR(A7810))</f>
        <v/>
      </c>
    </row>
    <row r="7811">
      <c r="A7811">
        <f>Input!A7811</f>
        <v/>
      </c>
      <c r="B7811">
        <f>IF(ISNUMBER(Input!B7811),IF(AND(Input!B7811&gt;=20,Input!B7811&lt;=700),Input!B7811,""),"")</f>
        <v/>
      </c>
      <c r="C7811">
        <f>IF(B7811="","",INT(A7811))</f>
        <v/>
      </c>
      <c r="D7811">
        <f>IF(B7811="","",HOUR(A7811))</f>
        <v/>
      </c>
    </row>
    <row r="7812">
      <c r="A7812">
        <f>Input!A7812</f>
        <v/>
      </c>
      <c r="B7812">
        <f>IF(ISNUMBER(Input!B7812),IF(AND(Input!B7812&gt;=20,Input!B7812&lt;=700),Input!B7812,""),"")</f>
        <v/>
      </c>
      <c r="C7812">
        <f>IF(B7812="","",INT(A7812))</f>
        <v/>
      </c>
      <c r="D7812">
        <f>IF(B7812="","",HOUR(A7812))</f>
        <v/>
      </c>
    </row>
    <row r="7813">
      <c r="A7813">
        <f>Input!A7813</f>
        <v/>
      </c>
      <c r="B7813">
        <f>IF(ISNUMBER(Input!B7813),IF(AND(Input!B7813&gt;=20,Input!B7813&lt;=700),Input!B7813,""),"")</f>
        <v/>
      </c>
      <c r="C7813">
        <f>IF(B7813="","",INT(A7813))</f>
        <v/>
      </c>
      <c r="D7813">
        <f>IF(B7813="","",HOUR(A7813))</f>
        <v/>
      </c>
    </row>
    <row r="7814">
      <c r="A7814">
        <f>Input!A7814</f>
        <v/>
      </c>
      <c r="B7814">
        <f>IF(ISNUMBER(Input!B7814),IF(AND(Input!B7814&gt;=20,Input!B7814&lt;=700),Input!B7814,""),"")</f>
        <v/>
      </c>
      <c r="C7814">
        <f>IF(B7814="","",INT(A7814))</f>
        <v/>
      </c>
      <c r="D7814">
        <f>IF(B7814="","",HOUR(A7814))</f>
        <v/>
      </c>
    </row>
    <row r="7815">
      <c r="A7815">
        <f>Input!A7815</f>
        <v/>
      </c>
      <c r="B7815">
        <f>IF(ISNUMBER(Input!B7815),IF(AND(Input!B7815&gt;=20,Input!B7815&lt;=700),Input!B7815,""),"")</f>
        <v/>
      </c>
      <c r="C7815">
        <f>IF(B7815="","",INT(A7815))</f>
        <v/>
      </c>
      <c r="D7815">
        <f>IF(B7815="","",HOUR(A7815))</f>
        <v/>
      </c>
    </row>
    <row r="7816">
      <c r="A7816">
        <f>Input!A7816</f>
        <v/>
      </c>
      <c r="B7816">
        <f>IF(ISNUMBER(Input!B7816),IF(AND(Input!B7816&gt;=20,Input!B7816&lt;=700),Input!B7816,""),"")</f>
        <v/>
      </c>
      <c r="C7816">
        <f>IF(B7816="","",INT(A7816))</f>
        <v/>
      </c>
      <c r="D7816">
        <f>IF(B7816="","",HOUR(A7816))</f>
        <v/>
      </c>
    </row>
    <row r="7817">
      <c r="A7817">
        <f>Input!A7817</f>
        <v/>
      </c>
      <c r="B7817">
        <f>IF(ISNUMBER(Input!B7817),IF(AND(Input!B7817&gt;=20,Input!B7817&lt;=700),Input!B7817,""),"")</f>
        <v/>
      </c>
      <c r="C7817">
        <f>IF(B7817="","",INT(A7817))</f>
        <v/>
      </c>
      <c r="D7817">
        <f>IF(B7817="","",HOUR(A7817))</f>
        <v/>
      </c>
    </row>
    <row r="7818">
      <c r="A7818">
        <f>Input!A7818</f>
        <v/>
      </c>
      <c r="B7818">
        <f>IF(ISNUMBER(Input!B7818),IF(AND(Input!B7818&gt;=20,Input!B7818&lt;=700),Input!B7818,""),"")</f>
        <v/>
      </c>
      <c r="C7818">
        <f>IF(B7818="","",INT(A7818))</f>
        <v/>
      </c>
      <c r="D7818">
        <f>IF(B7818="","",HOUR(A7818))</f>
        <v/>
      </c>
    </row>
    <row r="7819">
      <c r="A7819">
        <f>Input!A7819</f>
        <v/>
      </c>
      <c r="B7819">
        <f>IF(ISNUMBER(Input!B7819),IF(AND(Input!B7819&gt;=20,Input!B7819&lt;=700),Input!B7819,""),"")</f>
        <v/>
      </c>
      <c r="C7819">
        <f>IF(B7819="","",INT(A7819))</f>
        <v/>
      </c>
      <c r="D7819">
        <f>IF(B7819="","",HOUR(A7819))</f>
        <v/>
      </c>
    </row>
    <row r="7820">
      <c r="A7820">
        <f>Input!A7820</f>
        <v/>
      </c>
      <c r="B7820">
        <f>IF(ISNUMBER(Input!B7820),IF(AND(Input!B7820&gt;=20,Input!B7820&lt;=700),Input!B7820,""),"")</f>
        <v/>
      </c>
      <c r="C7820">
        <f>IF(B7820="","",INT(A7820))</f>
        <v/>
      </c>
      <c r="D7820">
        <f>IF(B7820="","",HOUR(A7820))</f>
        <v/>
      </c>
    </row>
    <row r="7821">
      <c r="A7821">
        <f>Input!A7821</f>
        <v/>
      </c>
      <c r="B7821">
        <f>IF(ISNUMBER(Input!B7821),IF(AND(Input!B7821&gt;=20,Input!B7821&lt;=700),Input!B7821,""),"")</f>
        <v/>
      </c>
      <c r="C7821">
        <f>IF(B7821="","",INT(A7821))</f>
        <v/>
      </c>
      <c r="D7821">
        <f>IF(B7821="","",HOUR(A7821))</f>
        <v/>
      </c>
    </row>
    <row r="7822">
      <c r="A7822">
        <f>Input!A7822</f>
        <v/>
      </c>
      <c r="B7822">
        <f>IF(ISNUMBER(Input!B7822),IF(AND(Input!B7822&gt;=20,Input!B7822&lt;=700),Input!B7822,""),"")</f>
        <v/>
      </c>
      <c r="C7822">
        <f>IF(B7822="","",INT(A7822))</f>
        <v/>
      </c>
      <c r="D7822">
        <f>IF(B7822="","",HOUR(A7822))</f>
        <v/>
      </c>
    </row>
    <row r="7823">
      <c r="A7823">
        <f>Input!A7823</f>
        <v/>
      </c>
      <c r="B7823">
        <f>IF(ISNUMBER(Input!B7823),IF(AND(Input!B7823&gt;=20,Input!B7823&lt;=700),Input!B7823,""),"")</f>
        <v/>
      </c>
      <c r="C7823">
        <f>IF(B7823="","",INT(A7823))</f>
        <v/>
      </c>
      <c r="D7823">
        <f>IF(B7823="","",HOUR(A7823))</f>
        <v/>
      </c>
    </row>
    <row r="7824">
      <c r="A7824">
        <f>Input!A7824</f>
        <v/>
      </c>
      <c r="B7824">
        <f>IF(ISNUMBER(Input!B7824),IF(AND(Input!B7824&gt;=20,Input!B7824&lt;=700),Input!B7824,""),"")</f>
        <v/>
      </c>
      <c r="C7824">
        <f>IF(B7824="","",INT(A7824))</f>
        <v/>
      </c>
      <c r="D7824">
        <f>IF(B7824="","",HOUR(A7824))</f>
        <v/>
      </c>
    </row>
    <row r="7825">
      <c r="A7825">
        <f>Input!A7825</f>
        <v/>
      </c>
      <c r="B7825">
        <f>IF(ISNUMBER(Input!B7825),IF(AND(Input!B7825&gt;=20,Input!B7825&lt;=700),Input!B7825,""),"")</f>
        <v/>
      </c>
      <c r="C7825">
        <f>IF(B7825="","",INT(A7825))</f>
        <v/>
      </c>
      <c r="D7825">
        <f>IF(B7825="","",HOUR(A7825))</f>
        <v/>
      </c>
    </row>
    <row r="7826">
      <c r="A7826">
        <f>Input!A7826</f>
        <v/>
      </c>
      <c r="B7826">
        <f>IF(ISNUMBER(Input!B7826),IF(AND(Input!B7826&gt;=20,Input!B7826&lt;=700),Input!B7826,""),"")</f>
        <v/>
      </c>
      <c r="C7826">
        <f>IF(B7826="","",INT(A7826))</f>
        <v/>
      </c>
      <c r="D7826">
        <f>IF(B7826="","",HOUR(A7826))</f>
        <v/>
      </c>
    </row>
    <row r="7827">
      <c r="A7827">
        <f>Input!A7827</f>
        <v/>
      </c>
      <c r="B7827">
        <f>IF(ISNUMBER(Input!B7827),IF(AND(Input!B7827&gt;=20,Input!B7827&lt;=700),Input!B7827,""),"")</f>
        <v/>
      </c>
      <c r="C7827">
        <f>IF(B7827="","",INT(A7827))</f>
        <v/>
      </c>
      <c r="D7827">
        <f>IF(B7827="","",HOUR(A7827))</f>
        <v/>
      </c>
    </row>
    <row r="7828">
      <c r="A7828">
        <f>Input!A7828</f>
        <v/>
      </c>
      <c r="B7828">
        <f>IF(ISNUMBER(Input!B7828),IF(AND(Input!B7828&gt;=20,Input!B7828&lt;=700),Input!B7828,""),"")</f>
        <v/>
      </c>
      <c r="C7828">
        <f>IF(B7828="","",INT(A7828))</f>
        <v/>
      </c>
      <c r="D7828">
        <f>IF(B7828="","",HOUR(A7828))</f>
        <v/>
      </c>
    </row>
    <row r="7829">
      <c r="A7829">
        <f>Input!A7829</f>
        <v/>
      </c>
      <c r="B7829">
        <f>IF(ISNUMBER(Input!B7829),IF(AND(Input!B7829&gt;=20,Input!B7829&lt;=700),Input!B7829,""),"")</f>
        <v/>
      </c>
      <c r="C7829">
        <f>IF(B7829="","",INT(A7829))</f>
        <v/>
      </c>
      <c r="D7829">
        <f>IF(B7829="","",HOUR(A7829))</f>
        <v/>
      </c>
    </row>
    <row r="7830">
      <c r="A7830">
        <f>Input!A7830</f>
        <v/>
      </c>
      <c r="B7830">
        <f>IF(ISNUMBER(Input!B7830),IF(AND(Input!B7830&gt;=20,Input!B7830&lt;=700),Input!B7830,""),"")</f>
        <v/>
      </c>
      <c r="C7830">
        <f>IF(B7830="","",INT(A7830))</f>
        <v/>
      </c>
      <c r="D7830">
        <f>IF(B7830="","",HOUR(A7830))</f>
        <v/>
      </c>
    </row>
    <row r="7831">
      <c r="A7831">
        <f>Input!A7831</f>
        <v/>
      </c>
      <c r="B7831">
        <f>IF(ISNUMBER(Input!B7831),IF(AND(Input!B7831&gt;=20,Input!B7831&lt;=700),Input!B7831,""),"")</f>
        <v/>
      </c>
      <c r="C7831">
        <f>IF(B7831="","",INT(A7831))</f>
        <v/>
      </c>
      <c r="D7831">
        <f>IF(B7831="","",HOUR(A7831))</f>
        <v/>
      </c>
    </row>
    <row r="7832">
      <c r="A7832">
        <f>Input!A7832</f>
        <v/>
      </c>
      <c r="B7832">
        <f>IF(ISNUMBER(Input!B7832),IF(AND(Input!B7832&gt;=20,Input!B7832&lt;=700),Input!B7832,""),"")</f>
        <v/>
      </c>
      <c r="C7832">
        <f>IF(B7832="","",INT(A7832))</f>
        <v/>
      </c>
      <c r="D7832">
        <f>IF(B7832="","",HOUR(A7832))</f>
        <v/>
      </c>
    </row>
    <row r="7833">
      <c r="A7833">
        <f>Input!A7833</f>
        <v/>
      </c>
      <c r="B7833">
        <f>IF(ISNUMBER(Input!B7833),IF(AND(Input!B7833&gt;=20,Input!B7833&lt;=700),Input!B7833,""),"")</f>
        <v/>
      </c>
      <c r="C7833">
        <f>IF(B7833="","",INT(A7833))</f>
        <v/>
      </c>
      <c r="D7833">
        <f>IF(B7833="","",HOUR(A7833))</f>
        <v/>
      </c>
    </row>
    <row r="7834">
      <c r="A7834">
        <f>Input!A7834</f>
        <v/>
      </c>
      <c r="B7834">
        <f>IF(ISNUMBER(Input!B7834),IF(AND(Input!B7834&gt;=20,Input!B7834&lt;=700),Input!B7834,""),"")</f>
        <v/>
      </c>
      <c r="C7834">
        <f>IF(B7834="","",INT(A7834))</f>
        <v/>
      </c>
      <c r="D7834">
        <f>IF(B7834="","",HOUR(A7834))</f>
        <v/>
      </c>
    </row>
    <row r="7835">
      <c r="A7835">
        <f>Input!A7835</f>
        <v/>
      </c>
      <c r="B7835">
        <f>IF(ISNUMBER(Input!B7835),IF(AND(Input!B7835&gt;=20,Input!B7835&lt;=700),Input!B7835,""),"")</f>
        <v/>
      </c>
      <c r="C7835">
        <f>IF(B7835="","",INT(A7835))</f>
        <v/>
      </c>
      <c r="D7835">
        <f>IF(B7835="","",HOUR(A7835))</f>
        <v/>
      </c>
    </row>
    <row r="7836">
      <c r="A7836">
        <f>Input!A7836</f>
        <v/>
      </c>
      <c r="B7836">
        <f>IF(ISNUMBER(Input!B7836),IF(AND(Input!B7836&gt;=20,Input!B7836&lt;=700),Input!B7836,""),"")</f>
        <v/>
      </c>
      <c r="C7836">
        <f>IF(B7836="","",INT(A7836))</f>
        <v/>
      </c>
      <c r="D7836">
        <f>IF(B7836="","",HOUR(A7836))</f>
        <v/>
      </c>
    </row>
    <row r="7837">
      <c r="A7837">
        <f>Input!A7837</f>
        <v/>
      </c>
      <c r="B7837">
        <f>IF(ISNUMBER(Input!B7837),IF(AND(Input!B7837&gt;=20,Input!B7837&lt;=700),Input!B7837,""),"")</f>
        <v/>
      </c>
      <c r="C7837">
        <f>IF(B7837="","",INT(A7837))</f>
        <v/>
      </c>
      <c r="D7837">
        <f>IF(B7837="","",HOUR(A7837))</f>
        <v/>
      </c>
    </row>
    <row r="7838">
      <c r="A7838">
        <f>Input!A7838</f>
        <v/>
      </c>
      <c r="B7838">
        <f>IF(ISNUMBER(Input!B7838),IF(AND(Input!B7838&gt;=20,Input!B7838&lt;=700),Input!B7838,""),"")</f>
        <v/>
      </c>
      <c r="C7838">
        <f>IF(B7838="","",INT(A7838))</f>
        <v/>
      </c>
      <c r="D7838">
        <f>IF(B7838="","",HOUR(A7838))</f>
        <v/>
      </c>
    </row>
    <row r="7839">
      <c r="A7839">
        <f>Input!A7839</f>
        <v/>
      </c>
      <c r="B7839">
        <f>IF(ISNUMBER(Input!B7839),IF(AND(Input!B7839&gt;=20,Input!B7839&lt;=700),Input!B7839,""),"")</f>
        <v/>
      </c>
      <c r="C7839">
        <f>IF(B7839="","",INT(A7839))</f>
        <v/>
      </c>
      <c r="D7839">
        <f>IF(B7839="","",HOUR(A7839))</f>
        <v/>
      </c>
    </row>
    <row r="7840">
      <c r="A7840">
        <f>Input!A7840</f>
        <v/>
      </c>
      <c r="B7840">
        <f>IF(ISNUMBER(Input!B7840),IF(AND(Input!B7840&gt;=20,Input!B7840&lt;=700),Input!B7840,""),"")</f>
        <v/>
      </c>
      <c r="C7840">
        <f>IF(B7840="","",INT(A7840))</f>
        <v/>
      </c>
      <c r="D7840">
        <f>IF(B7840="","",HOUR(A7840))</f>
        <v/>
      </c>
    </row>
    <row r="7841">
      <c r="A7841">
        <f>Input!A7841</f>
        <v/>
      </c>
      <c r="B7841">
        <f>IF(ISNUMBER(Input!B7841),IF(AND(Input!B7841&gt;=20,Input!B7841&lt;=700),Input!B7841,""),"")</f>
        <v/>
      </c>
      <c r="C7841">
        <f>IF(B7841="","",INT(A7841))</f>
        <v/>
      </c>
      <c r="D7841">
        <f>IF(B7841="","",HOUR(A7841))</f>
        <v/>
      </c>
    </row>
    <row r="7842">
      <c r="A7842">
        <f>Input!A7842</f>
        <v/>
      </c>
      <c r="B7842">
        <f>IF(ISNUMBER(Input!B7842),IF(AND(Input!B7842&gt;=20,Input!B7842&lt;=700),Input!B7842,""),"")</f>
        <v/>
      </c>
      <c r="C7842">
        <f>IF(B7842="","",INT(A7842))</f>
        <v/>
      </c>
      <c r="D7842">
        <f>IF(B7842="","",HOUR(A7842))</f>
        <v/>
      </c>
    </row>
    <row r="7843">
      <c r="A7843">
        <f>Input!A7843</f>
        <v/>
      </c>
      <c r="B7843">
        <f>IF(ISNUMBER(Input!B7843),IF(AND(Input!B7843&gt;=20,Input!B7843&lt;=700),Input!B7843,""),"")</f>
        <v/>
      </c>
      <c r="C7843">
        <f>IF(B7843="","",INT(A7843))</f>
        <v/>
      </c>
      <c r="D7843">
        <f>IF(B7843="","",HOUR(A7843))</f>
        <v/>
      </c>
    </row>
    <row r="7844">
      <c r="A7844">
        <f>Input!A7844</f>
        <v/>
      </c>
      <c r="B7844">
        <f>IF(ISNUMBER(Input!B7844),IF(AND(Input!B7844&gt;=20,Input!B7844&lt;=700),Input!B7844,""),"")</f>
        <v/>
      </c>
      <c r="C7844">
        <f>IF(B7844="","",INT(A7844))</f>
        <v/>
      </c>
      <c r="D7844">
        <f>IF(B7844="","",HOUR(A7844))</f>
        <v/>
      </c>
    </row>
    <row r="7845">
      <c r="A7845">
        <f>Input!A7845</f>
        <v/>
      </c>
      <c r="B7845">
        <f>IF(ISNUMBER(Input!B7845),IF(AND(Input!B7845&gt;=20,Input!B7845&lt;=700),Input!B7845,""),"")</f>
        <v/>
      </c>
      <c r="C7845">
        <f>IF(B7845="","",INT(A7845))</f>
        <v/>
      </c>
      <c r="D7845">
        <f>IF(B7845="","",HOUR(A7845))</f>
        <v/>
      </c>
    </row>
    <row r="7846">
      <c r="A7846">
        <f>Input!A7846</f>
        <v/>
      </c>
      <c r="B7846">
        <f>IF(ISNUMBER(Input!B7846),IF(AND(Input!B7846&gt;=20,Input!B7846&lt;=700),Input!B7846,""),"")</f>
        <v/>
      </c>
      <c r="C7846">
        <f>IF(B7846="","",INT(A7846))</f>
        <v/>
      </c>
      <c r="D7846">
        <f>IF(B7846="","",HOUR(A7846))</f>
        <v/>
      </c>
    </row>
    <row r="7847">
      <c r="A7847">
        <f>Input!A7847</f>
        <v/>
      </c>
      <c r="B7847">
        <f>IF(ISNUMBER(Input!B7847),IF(AND(Input!B7847&gt;=20,Input!B7847&lt;=700),Input!B7847,""),"")</f>
        <v/>
      </c>
      <c r="C7847">
        <f>IF(B7847="","",INT(A7847))</f>
        <v/>
      </c>
      <c r="D7847">
        <f>IF(B7847="","",HOUR(A7847))</f>
        <v/>
      </c>
    </row>
    <row r="7848">
      <c r="A7848">
        <f>Input!A7848</f>
        <v/>
      </c>
      <c r="B7848">
        <f>IF(ISNUMBER(Input!B7848),IF(AND(Input!B7848&gt;=20,Input!B7848&lt;=700),Input!B7848,""),"")</f>
        <v/>
      </c>
      <c r="C7848">
        <f>IF(B7848="","",INT(A7848))</f>
        <v/>
      </c>
      <c r="D7848">
        <f>IF(B7848="","",HOUR(A7848))</f>
        <v/>
      </c>
    </row>
    <row r="7849">
      <c r="A7849">
        <f>Input!A7849</f>
        <v/>
      </c>
      <c r="B7849">
        <f>IF(ISNUMBER(Input!B7849),IF(AND(Input!B7849&gt;=20,Input!B7849&lt;=700),Input!B7849,""),"")</f>
        <v/>
      </c>
      <c r="C7849">
        <f>IF(B7849="","",INT(A7849))</f>
        <v/>
      </c>
      <c r="D7849">
        <f>IF(B7849="","",HOUR(A7849))</f>
        <v/>
      </c>
    </row>
    <row r="7850">
      <c r="A7850">
        <f>Input!A7850</f>
        <v/>
      </c>
      <c r="B7850">
        <f>IF(ISNUMBER(Input!B7850),IF(AND(Input!B7850&gt;=20,Input!B7850&lt;=700),Input!B7850,""),"")</f>
        <v/>
      </c>
      <c r="C7850">
        <f>IF(B7850="","",INT(A7850))</f>
        <v/>
      </c>
      <c r="D7850">
        <f>IF(B7850="","",HOUR(A7850))</f>
        <v/>
      </c>
    </row>
    <row r="7851">
      <c r="A7851">
        <f>Input!A7851</f>
        <v/>
      </c>
      <c r="B7851">
        <f>IF(ISNUMBER(Input!B7851),IF(AND(Input!B7851&gt;=20,Input!B7851&lt;=700),Input!B7851,""),"")</f>
        <v/>
      </c>
      <c r="C7851">
        <f>IF(B7851="","",INT(A7851))</f>
        <v/>
      </c>
      <c r="D7851">
        <f>IF(B7851="","",HOUR(A7851))</f>
        <v/>
      </c>
    </row>
    <row r="7852">
      <c r="A7852">
        <f>Input!A7852</f>
        <v/>
      </c>
      <c r="B7852">
        <f>IF(ISNUMBER(Input!B7852),IF(AND(Input!B7852&gt;=20,Input!B7852&lt;=700),Input!B7852,""),"")</f>
        <v/>
      </c>
      <c r="C7852">
        <f>IF(B7852="","",INT(A7852))</f>
        <v/>
      </c>
      <c r="D7852">
        <f>IF(B7852="","",HOUR(A7852))</f>
        <v/>
      </c>
    </row>
    <row r="7853">
      <c r="A7853">
        <f>Input!A7853</f>
        <v/>
      </c>
      <c r="B7853">
        <f>IF(ISNUMBER(Input!B7853),IF(AND(Input!B7853&gt;=20,Input!B7853&lt;=700),Input!B7853,""),"")</f>
        <v/>
      </c>
      <c r="C7853">
        <f>IF(B7853="","",INT(A7853))</f>
        <v/>
      </c>
      <c r="D7853">
        <f>IF(B7853="","",HOUR(A7853))</f>
        <v/>
      </c>
    </row>
    <row r="7854">
      <c r="A7854">
        <f>Input!A7854</f>
        <v/>
      </c>
      <c r="B7854">
        <f>IF(ISNUMBER(Input!B7854),IF(AND(Input!B7854&gt;=20,Input!B7854&lt;=700),Input!B7854,""),"")</f>
        <v/>
      </c>
      <c r="C7854">
        <f>IF(B7854="","",INT(A7854))</f>
        <v/>
      </c>
      <c r="D7854">
        <f>IF(B7854="","",HOUR(A7854))</f>
        <v/>
      </c>
    </row>
    <row r="7855">
      <c r="A7855">
        <f>Input!A7855</f>
        <v/>
      </c>
      <c r="B7855">
        <f>IF(ISNUMBER(Input!B7855),IF(AND(Input!B7855&gt;=20,Input!B7855&lt;=700),Input!B7855,""),"")</f>
        <v/>
      </c>
      <c r="C7855">
        <f>IF(B7855="","",INT(A7855))</f>
        <v/>
      </c>
      <c r="D7855">
        <f>IF(B7855="","",HOUR(A7855))</f>
        <v/>
      </c>
    </row>
    <row r="7856">
      <c r="A7856">
        <f>Input!A7856</f>
        <v/>
      </c>
      <c r="B7856">
        <f>IF(ISNUMBER(Input!B7856),IF(AND(Input!B7856&gt;=20,Input!B7856&lt;=700),Input!B7856,""),"")</f>
        <v/>
      </c>
      <c r="C7856">
        <f>IF(B7856="","",INT(A7856))</f>
        <v/>
      </c>
      <c r="D7856">
        <f>IF(B7856="","",HOUR(A7856))</f>
        <v/>
      </c>
    </row>
    <row r="7857">
      <c r="A7857">
        <f>Input!A7857</f>
        <v/>
      </c>
      <c r="B7857">
        <f>IF(ISNUMBER(Input!B7857),IF(AND(Input!B7857&gt;=20,Input!B7857&lt;=700),Input!B7857,""),"")</f>
        <v/>
      </c>
      <c r="C7857">
        <f>IF(B7857="","",INT(A7857))</f>
        <v/>
      </c>
      <c r="D7857">
        <f>IF(B7857="","",HOUR(A7857))</f>
        <v/>
      </c>
    </row>
    <row r="7858">
      <c r="A7858">
        <f>Input!A7858</f>
        <v/>
      </c>
      <c r="B7858">
        <f>IF(ISNUMBER(Input!B7858),IF(AND(Input!B7858&gt;=20,Input!B7858&lt;=700),Input!B7858,""),"")</f>
        <v/>
      </c>
      <c r="C7858">
        <f>IF(B7858="","",INT(A7858))</f>
        <v/>
      </c>
      <c r="D7858">
        <f>IF(B7858="","",HOUR(A7858))</f>
        <v/>
      </c>
    </row>
    <row r="7859">
      <c r="A7859">
        <f>Input!A7859</f>
        <v/>
      </c>
      <c r="B7859">
        <f>IF(ISNUMBER(Input!B7859),IF(AND(Input!B7859&gt;=20,Input!B7859&lt;=700),Input!B7859,""),"")</f>
        <v/>
      </c>
      <c r="C7859">
        <f>IF(B7859="","",INT(A7859))</f>
        <v/>
      </c>
      <c r="D7859">
        <f>IF(B7859="","",HOUR(A7859))</f>
        <v/>
      </c>
    </row>
    <row r="7860">
      <c r="A7860">
        <f>Input!A7860</f>
        <v/>
      </c>
      <c r="B7860">
        <f>IF(ISNUMBER(Input!B7860),IF(AND(Input!B7860&gt;=20,Input!B7860&lt;=700),Input!B7860,""),"")</f>
        <v/>
      </c>
      <c r="C7860">
        <f>IF(B7860="","",INT(A7860))</f>
        <v/>
      </c>
      <c r="D7860">
        <f>IF(B7860="","",HOUR(A7860))</f>
        <v/>
      </c>
    </row>
    <row r="7861">
      <c r="A7861">
        <f>Input!A7861</f>
        <v/>
      </c>
      <c r="B7861">
        <f>IF(ISNUMBER(Input!B7861),IF(AND(Input!B7861&gt;=20,Input!B7861&lt;=700),Input!B7861,""),"")</f>
        <v/>
      </c>
      <c r="C7861">
        <f>IF(B7861="","",INT(A7861))</f>
        <v/>
      </c>
      <c r="D7861">
        <f>IF(B7861="","",HOUR(A7861))</f>
        <v/>
      </c>
    </row>
    <row r="7862">
      <c r="A7862">
        <f>Input!A7862</f>
        <v/>
      </c>
      <c r="B7862">
        <f>IF(ISNUMBER(Input!B7862),IF(AND(Input!B7862&gt;=20,Input!B7862&lt;=700),Input!B7862,""),"")</f>
        <v/>
      </c>
      <c r="C7862">
        <f>IF(B7862="","",INT(A7862))</f>
        <v/>
      </c>
      <c r="D7862">
        <f>IF(B7862="","",HOUR(A7862))</f>
        <v/>
      </c>
    </row>
    <row r="7863">
      <c r="A7863">
        <f>Input!A7863</f>
        <v/>
      </c>
      <c r="B7863">
        <f>IF(ISNUMBER(Input!B7863),IF(AND(Input!B7863&gt;=20,Input!B7863&lt;=700),Input!B7863,""),"")</f>
        <v/>
      </c>
      <c r="C7863">
        <f>IF(B7863="","",INT(A7863))</f>
        <v/>
      </c>
      <c r="D7863">
        <f>IF(B7863="","",HOUR(A7863))</f>
        <v/>
      </c>
    </row>
    <row r="7864">
      <c r="A7864">
        <f>Input!A7864</f>
        <v/>
      </c>
      <c r="B7864">
        <f>IF(ISNUMBER(Input!B7864),IF(AND(Input!B7864&gt;=20,Input!B7864&lt;=700),Input!B7864,""),"")</f>
        <v/>
      </c>
      <c r="C7864">
        <f>IF(B7864="","",INT(A7864))</f>
        <v/>
      </c>
      <c r="D7864">
        <f>IF(B7864="","",HOUR(A7864))</f>
        <v/>
      </c>
    </row>
    <row r="7865">
      <c r="A7865">
        <f>Input!A7865</f>
        <v/>
      </c>
      <c r="B7865">
        <f>IF(ISNUMBER(Input!B7865),IF(AND(Input!B7865&gt;=20,Input!B7865&lt;=700),Input!B7865,""),"")</f>
        <v/>
      </c>
      <c r="C7865">
        <f>IF(B7865="","",INT(A7865))</f>
        <v/>
      </c>
      <c r="D7865">
        <f>IF(B7865="","",HOUR(A7865))</f>
        <v/>
      </c>
    </row>
    <row r="7866">
      <c r="A7866">
        <f>Input!A7866</f>
        <v/>
      </c>
      <c r="B7866">
        <f>IF(ISNUMBER(Input!B7866),IF(AND(Input!B7866&gt;=20,Input!B7866&lt;=700),Input!B7866,""),"")</f>
        <v/>
      </c>
      <c r="C7866">
        <f>IF(B7866="","",INT(A7866))</f>
        <v/>
      </c>
      <c r="D7866">
        <f>IF(B7866="","",HOUR(A7866))</f>
        <v/>
      </c>
    </row>
    <row r="7867">
      <c r="A7867">
        <f>Input!A7867</f>
        <v/>
      </c>
      <c r="B7867">
        <f>IF(ISNUMBER(Input!B7867),IF(AND(Input!B7867&gt;=20,Input!B7867&lt;=700),Input!B7867,""),"")</f>
        <v/>
      </c>
      <c r="C7867">
        <f>IF(B7867="","",INT(A7867))</f>
        <v/>
      </c>
      <c r="D7867">
        <f>IF(B7867="","",HOUR(A7867))</f>
        <v/>
      </c>
    </row>
    <row r="7868">
      <c r="A7868">
        <f>Input!A7868</f>
        <v/>
      </c>
      <c r="B7868">
        <f>IF(ISNUMBER(Input!B7868),IF(AND(Input!B7868&gt;=20,Input!B7868&lt;=700),Input!B7868,""),"")</f>
        <v/>
      </c>
      <c r="C7868">
        <f>IF(B7868="","",INT(A7868))</f>
        <v/>
      </c>
      <c r="D7868">
        <f>IF(B7868="","",HOUR(A7868))</f>
        <v/>
      </c>
    </row>
    <row r="7869">
      <c r="A7869">
        <f>Input!A7869</f>
        <v/>
      </c>
      <c r="B7869">
        <f>IF(ISNUMBER(Input!B7869),IF(AND(Input!B7869&gt;=20,Input!B7869&lt;=700),Input!B7869,""),"")</f>
        <v/>
      </c>
      <c r="C7869">
        <f>IF(B7869="","",INT(A7869))</f>
        <v/>
      </c>
      <c r="D7869">
        <f>IF(B7869="","",HOUR(A7869))</f>
        <v/>
      </c>
    </row>
    <row r="7870">
      <c r="A7870">
        <f>Input!A7870</f>
        <v/>
      </c>
      <c r="B7870">
        <f>IF(ISNUMBER(Input!B7870),IF(AND(Input!B7870&gt;=20,Input!B7870&lt;=700),Input!B7870,""),"")</f>
        <v/>
      </c>
      <c r="C7870">
        <f>IF(B7870="","",INT(A7870))</f>
        <v/>
      </c>
      <c r="D7870">
        <f>IF(B7870="","",HOUR(A7870))</f>
        <v/>
      </c>
    </row>
    <row r="7871">
      <c r="A7871">
        <f>Input!A7871</f>
        <v/>
      </c>
      <c r="B7871">
        <f>IF(ISNUMBER(Input!B7871),IF(AND(Input!B7871&gt;=20,Input!B7871&lt;=700),Input!B7871,""),"")</f>
        <v/>
      </c>
      <c r="C7871">
        <f>IF(B7871="","",INT(A7871))</f>
        <v/>
      </c>
      <c r="D7871">
        <f>IF(B7871="","",HOUR(A7871))</f>
        <v/>
      </c>
    </row>
    <row r="7872">
      <c r="A7872">
        <f>Input!A7872</f>
        <v/>
      </c>
      <c r="B7872">
        <f>IF(ISNUMBER(Input!B7872),IF(AND(Input!B7872&gt;=20,Input!B7872&lt;=700),Input!B7872,""),"")</f>
        <v/>
      </c>
      <c r="C7872">
        <f>IF(B7872="","",INT(A7872))</f>
        <v/>
      </c>
      <c r="D7872">
        <f>IF(B7872="","",HOUR(A7872))</f>
        <v/>
      </c>
    </row>
    <row r="7873">
      <c r="A7873">
        <f>Input!A7873</f>
        <v/>
      </c>
      <c r="B7873">
        <f>IF(ISNUMBER(Input!B7873),IF(AND(Input!B7873&gt;=20,Input!B7873&lt;=700),Input!B7873,""),"")</f>
        <v/>
      </c>
      <c r="C7873">
        <f>IF(B7873="","",INT(A7873))</f>
        <v/>
      </c>
      <c r="D7873">
        <f>IF(B7873="","",HOUR(A7873))</f>
        <v/>
      </c>
    </row>
    <row r="7874">
      <c r="A7874">
        <f>Input!A7874</f>
        <v/>
      </c>
      <c r="B7874">
        <f>IF(ISNUMBER(Input!B7874),IF(AND(Input!B7874&gt;=20,Input!B7874&lt;=700),Input!B7874,""),"")</f>
        <v/>
      </c>
      <c r="C7874">
        <f>IF(B7874="","",INT(A7874))</f>
        <v/>
      </c>
      <c r="D7874">
        <f>IF(B7874="","",HOUR(A7874))</f>
        <v/>
      </c>
    </row>
    <row r="7875">
      <c r="A7875">
        <f>Input!A7875</f>
        <v/>
      </c>
      <c r="B7875">
        <f>IF(ISNUMBER(Input!B7875),IF(AND(Input!B7875&gt;=20,Input!B7875&lt;=700),Input!B7875,""),"")</f>
        <v/>
      </c>
      <c r="C7875">
        <f>IF(B7875="","",INT(A7875))</f>
        <v/>
      </c>
      <c r="D7875">
        <f>IF(B7875="","",HOUR(A7875))</f>
        <v/>
      </c>
    </row>
    <row r="7876">
      <c r="A7876">
        <f>Input!A7876</f>
        <v/>
      </c>
      <c r="B7876">
        <f>IF(ISNUMBER(Input!B7876),IF(AND(Input!B7876&gt;=20,Input!B7876&lt;=700),Input!B7876,""),"")</f>
        <v/>
      </c>
      <c r="C7876">
        <f>IF(B7876="","",INT(A7876))</f>
        <v/>
      </c>
      <c r="D7876">
        <f>IF(B7876="","",HOUR(A7876))</f>
        <v/>
      </c>
    </row>
    <row r="7877">
      <c r="A7877">
        <f>Input!A7877</f>
        <v/>
      </c>
      <c r="B7877">
        <f>IF(ISNUMBER(Input!B7877),IF(AND(Input!B7877&gt;=20,Input!B7877&lt;=700),Input!B7877,""),"")</f>
        <v/>
      </c>
      <c r="C7877">
        <f>IF(B7877="","",INT(A7877))</f>
        <v/>
      </c>
      <c r="D7877">
        <f>IF(B7877="","",HOUR(A7877))</f>
        <v/>
      </c>
    </row>
    <row r="7878">
      <c r="A7878">
        <f>Input!A7878</f>
        <v/>
      </c>
      <c r="B7878">
        <f>IF(ISNUMBER(Input!B7878),IF(AND(Input!B7878&gt;=20,Input!B7878&lt;=700),Input!B7878,""),"")</f>
        <v/>
      </c>
      <c r="C7878">
        <f>IF(B7878="","",INT(A7878))</f>
        <v/>
      </c>
      <c r="D7878">
        <f>IF(B7878="","",HOUR(A7878))</f>
        <v/>
      </c>
    </row>
    <row r="7879">
      <c r="A7879">
        <f>Input!A7879</f>
        <v/>
      </c>
      <c r="B7879">
        <f>IF(ISNUMBER(Input!B7879),IF(AND(Input!B7879&gt;=20,Input!B7879&lt;=700),Input!B7879,""),"")</f>
        <v/>
      </c>
      <c r="C7879">
        <f>IF(B7879="","",INT(A7879))</f>
        <v/>
      </c>
      <c r="D7879">
        <f>IF(B7879="","",HOUR(A7879))</f>
        <v/>
      </c>
    </row>
    <row r="7880">
      <c r="A7880">
        <f>Input!A7880</f>
        <v/>
      </c>
      <c r="B7880">
        <f>IF(ISNUMBER(Input!B7880),IF(AND(Input!B7880&gt;=20,Input!B7880&lt;=700),Input!B7880,""),"")</f>
        <v/>
      </c>
      <c r="C7880">
        <f>IF(B7880="","",INT(A7880))</f>
        <v/>
      </c>
      <c r="D7880">
        <f>IF(B7880="","",HOUR(A7880))</f>
        <v/>
      </c>
    </row>
    <row r="7881">
      <c r="A7881">
        <f>Input!A7881</f>
        <v/>
      </c>
      <c r="B7881">
        <f>IF(ISNUMBER(Input!B7881),IF(AND(Input!B7881&gt;=20,Input!B7881&lt;=700),Input!B7881,""),"")</f>
        <v/>
      </c>
      <c r="C7881">
        <f>IF(B7881="","",INT(A7881))</f>
        <v/>
      </c>
      <c r="D7881">
        <f>IF(B7881="","",HOUR(A7881))</f>
        <v/>
      </c>
    </row>
    <row r="7882">
      <c r="A7882">
        <f>Input!A7882</f>
        <v/>
      </c>
      <c r="B7882">
        <f>IF(ISNUMBER(Input!B7882),IF(AND(Input!B7882&gt;=20,Input!B7882&lt;=700),Input!B7882,""),"")</f>
        <v/>
      </c>
      <c r="C7882">
        <f>IF(B7882="","",INT(A7882))</f>
        <v/>
      </c>
      <c r="D7882">
        <f>IF(B7882="","",HOUR(A7882))</f>
        <v/>
      </c>
    </row>
    <row r="7883">
      <c r="A7883">
        <f>Input!A7883</f>
        <v/>
      </c>
      <c r="B7883">
        <f>IF(ISNUMBER(Input!B7883),IF(AND(Input!B7883&gt;=20,Input!B7883&lt;=700),Input!B7883,""),"")</f>
        <v/>
      </c>
      <c r="C7883">
        <f>IF(B7883="","",INT(A7883))</f>
        <v/>
      </c>
      <c r="D7883">
        <f>IF(B7883="","",HOUR(A7883))</f>
        <v/>
      </c>
    </row>
    <row r="7884">
      <c r="A7884">
        <f>Input!A7884</f>
        <v/>
      </c>
      <c r="B7884">
        <f>IF(ISNUMBER(Input!B7884),IF(AND(Input!B7884&gt;=20,Input!B7884&lt;=700),Input!B7884,""),"")</f>
        <v/>
      </c>
      <c r="C7884">
        <f>IF(B7884="","",INT(A7884))</f>
        <v/>
      </c>
      <c r="D7884">
        <f>IF(B7884="","",HOUR(A7884))</f>
        <v/>
      </c>
    </row>
    <row r="7885">
      <c r="A7885">
        <f>Input!A7885</f>
        <v/>
      </c>
      <c r="B7885">
        <f>IF(ISNUMBER(Input!B7885),IF(AND(Input!B7885&gt;=20,Input!B7885&lt;=700),Input!B7885,""),"")</f>
        <v/>
      </c>
      <c r="C7885">
        <f>IF(B7885="","",INT(A7885))</f>
        <v/>
      </c>
      <c r="D7885">
        <f>IF(B7885="","",HOUR(A7885))</f>
        <v/>
      </c>
    </row>
    <row r="7886">
      <c r="A7886">
        <f>Input!A7886</f>
        <v/>
      </c>
      <c r="B7886">
        <f>IF(ISNUMBER(Input!B7886),IF(AND(Input!B7886&gt;=20,Input!B7886&lt;=700),Input!B7886,""),"")</f>
        <v/>
      </c>
      <c r="C7886">
        <f>IF(B7886="","",INT(A7886))</f>
        <v/>
      </c>
      <c r="D7886">
        <f>IF(B7886="","",HOUR(A7886))</f>
        <v/>
      </c>
    </row>
    <row r="7887">
      <c r="A7887">
        <f>Input!A7887</f>
        <v/>
      </c>
      <c r="B7887">
        <f>IF(ISNUMBER(Input!B7887),IF(AND(Input!B7887&gt;=20,Input!B7887&lt;=700),Input!B7887,""),"")</f>
        <v/>
      </c>
      <c r="C7887">
        <f>IF(B7887="","",INT(A7887))</f>
        <v/>
      </c>
      <c r="D7887">
        <f>IF(B7887="","",HOUR(A7887))</f>
        <v/>
      </c>
    </row>
    <row r="7888">
      <c r="A7888">
        <f>Input!A7888</f>
        <v/>
      </c>
      <c r="B7888">
        <f>IF(ISNUMBER(Input!B7888),IF(AND(Input!B7888&gt;=20,Input!B7888&lt;=700),Input!B7888,""),"")</f>
        <v/>
      </c>
      <c r="C7888">
        <f>IF(B7888="","",INT(A7888))</f>
        <v/>
      </c>
      <c r="D7888">
        <f>IF(B7888="","",HOUR(A7888))</f>
        <v/>
      </c>
    </row>
    <row r="7889">
      <c r="A7889">
        <f>Input!A7889</f>
        <v/>
      </c>
      <c r="B7889">
        <f>IF(ISNUMBER(Input!B7889),IF(AND(Input!B7889&gt;=20,Input!B7889&lt;=700),Input!B7889,""),"")</f>
        <v/>
      </c>
      <c r="C7889">
        <f>IF(B7889="","",INT(A7889))</f>
        <v/>
      </c>
      <c r="D7889">
        <f>IF(B7889="","",HOUR(A7889))</f>
        <v/>
      </c>
    </row>
    <row r="7890">
      <c r="A7890">
        <f>Input!A7890</f>
        <v/>
      </c>
      <c r="B7890">
        <f>IF(ISNUMBER(Input!B7890),IF(AND(Input!B7890&gt;=20,Input!B7890&lt;=700),Input!B7890,""),"")</f>
        <v/>
      </c>
      <c r="C7890">
        <f>IF(B7890="","",INT(A7890))</f>
        <v/>
      </c>
      <c r="D7890">
        <f>IF(B7890="","",HOUR(A7890))</f>
        <v/>
      </c>
    </row>
    <row r="7891">
      <c r="A7891">
        <f>Input!A7891</f>
        <v/>
      </c>
      <c r="B7891">
        <f>IF(ISNUMBER(Input!B7891),IF(AND(Input!B7891&gt;=20,Input!B7891&lt;=700),Input!B7891,""),"")</f>
        <v/>
      </c>
      <c r="C7891">
        <f>IF(B7891="","",INT(A7891))</f>
        <v/>
      </c>
      <c r="D7891">
        <f>IF(B7891="","",HOUR(A7891))</f>
        <v/>
      </c>
    </row>
    <row r="7892">
      <c r="A7892">
        <f>Input!A7892</f>
        <v/>
      </c>
      <c r="B7892">
        <f>IF(ISNUMBER(Input!B7892),IF(AND(Input!B7892&gt;=20,Input!B7892&lt;=700),Input!B7892,""),"")</f>
        <v/>
      </c>
      <c r="C7892">
        <f>IF(B7892="","",INT(A7892))</f>
        <v/>
      </c>
      <c r="D7892">
        <f>IF(B7892="","",HOUR(A7892))</f>
        <v/>
      </c>
    </row>
    <row r="7893">
      <c r="A7893">
        <f>Input!A7893</f>
        <v/>
      </c>
      <c r="B7893">
        <f>IF(ISNUMBER(Input!B7893),IF(AND(Input!B7893&gt;=20,Input!B7893&lt;=700),Input!B7893,""),"")</f>
        <v/>
      </c>
      <c r="C7893">
        <f>IF(B7893="","",INT(A7893))</f>
        <v/>
      </c>
      <c r="D7893">
        <f>IF(B7893="","",HOUR(A7893))</f>
        <v/>
      </c>
    </row>
    <row r="7894">
      <c r="A7894">
        <f>Input!A7894</f>
        <v/>
      </c>
      <c r="B7894">
        <f>IF(ISNUMBER(Input!B7894),IF(AND(Input!B7894&gt;=20,Input!B7894&lt;=700),Input!B7894,""),"")</f>
        <v/>
      </c>
      <c r="C7894">
        <f>IF(B7894="","",INT(A7894))</f>
        <v/>
      </c>
      <c r="D7894">
        <f>IF(B7894="","",HOUR(A7894))</f>
        <v/>
      </c>
    </row>
    <row r="7895">
      <c r="A7895">
        <f>Input!A7895</f>
        <v/>
      </c>
      <c r="B7895">
        <f>IF(ISNUMBER(Input!B7895),IF(AND(Input!B7895&gt;=20,Input!B7895&lt;=700),Input!B7895,""),"")</f>
        <v/>
      </c>
      <c r="C7895">
        <f>IF(B7895="","",INT(A7895))</f>
        <v/>
      </c>
      <c r="D7895">
        <f>IF(B7895="","",HOUR(A7895))</f>
        <v/>
      </c>
    </row>
    <row r="7896">
      <c r="A7896">
        <f>Input!A7896</f>
        <v/>
      </c>
      <c r="B7896">
        <f>IF(ISNUMBER(Input!B7896),IF(AND(Input!B7896&gt;=20,Input!B7896&lt;=700),Input!B7896,""),"")</f>
        <v/>
      </c>
      <c r="C7896">
        <f>IF(B7896="","",INT(A7896))</f>
        <v/>
      </c>
      <c r="D7896">
        <f>IF(B7896="","",HOUR(A7896))</f>
        <v/>
      </c>
    </row>
    <row r="7897">
      <c r="A7897">
        <f>Input!A7897</f>
        <v/>
      </c>
      <c r="B7897">
        <f>IF(ISNUMBER(Input!B7897),IF(AND(Input!B7897&gt;=20,Input!B7897&lt;=700),Input!B7897,""),"")</f>
        <v/>
      </c>
      <c r="C7897">
        <f>IF(B7897="","",INT(A7897))</f>
        <v/>
      </c>
      <c r="D7897">
        <f>IF(B7897="","",HOUR(A7897))</f>
        <v/>
      </c>
    </row>
    <row r="7898">
      <c r="A7898">
        <f>Input!A7898</f>
        <v/>
      </c>
      <c r="B7898">
        <f>IF(ISNUMBER(Input!B7898),IF(AND(Input!B7898&gt;=20,Input!B7898&lt;=700),Input!B7898,""),"")</f>
        <v/>
      </c>
      <c r="C7898">
        <f>IF(B7898="","",INT(A7898))</f>
        <v/>
      </c>
      <c r="D7898">
        <f>IF(B7898="","",HOUR(A7898))</f>
        <v/>
      </c>
    </row>
    <row r="7899">
      <c r="A7899">
        <f>Input!A7899</f>
        <v/>
      </c>
      <c r="B7899">
        <f>IF(ISNUMBER(Input!B7899),IF(AND(Input!B7899&gt;=20,Input!B7899&lt;=700),Input!B7899,""),"")</f>
        <v/>
      </c>
      <c r="C7899">
        <f>IF(B7899="","",INT(A7899))</f>
        <v/>
      </c>
      <c r="D7899">
        <f>IF(B7899="","",HOUR(A7899))</f>
        <v/>
      </c>
    </row>
    <row r="7900">
      <c r="A7900">
        <f>Input!A7900</f>
        <v/>
      </c>
      <c r="B7900">
        <f>IF(ISNUMBER(Input!B7900),IF(AND(Input!B7900&gt;=20,Input!B7900&lt;=700),Input!B7900,""),"")</f>
        <v/>
      </c>
      <c r="C7900">
        <f>IF(B7900="","",INT(A7900))</f>
        <v/>
      </c>
      <c r="D7900">
        <f>IF(B7900="","",HOUR(A7900))</f>
        <v/>
      </c>
    </row>
    <row r="7901">
      <c r="A7901">
        <f>Input!A7901</f>
        <v/>
      </c>
      <c r="B7901">
        <f>IF(ISNUMBER(Input!B7901),IF(AND(Input!B7901&gt;=20,Input!B7901&lt;=700),Input!B7901,""),"")</f>
        <v/>
      </c>
      <c r="C7901">
        <f>IF(B7901="","",INT(A7901))</f>
        <v/>
      </c>
      <c r="D7901">
        <f>IF(B7901="","",HOUR(A7901))</f>
        <v/>
      </c>
    </row>
    <row r="7902">
      <c r="A7902">
        <f>Input!A7902</f>
        <v/>
      </c>
      <c r="B7902">
        <f>IF(ISNUMBER(Input!B7902),IF(AND(Input!B7902&gt;=20,Input!B7902&lt;=700),Input!B7902,""),"")</f>
        <v/>
      </c>
      <c r="C7902">
        <f>IF(B7902="","",INT(A7902))</f>
        <v/>
      </c>
      <c r="D7902">
        <f>IF(B7902="","",HOUR(A7902))</f>
        <v/>
      </c>
    </row>
    <row r="7903">
      <c r="A7903">
        <f>Input!A7903</f>
        <v/>
      </c>
      <c r="B7903">
        <f>IF(ISNUMBER(Input!B7903),IF(AND(Input!B7903&gt;=20,Input!B7903&lt;=700),Input!B7903,""),"")</f>
        <v/>
      </c>
      <c r="C7903">
        <f>IF(B7903="","",INT(A7903))</f>
        <v/>
      </c>
      <c r="D7903">
        <f>IF(B7903="","",HOUR(A7903))</f>
        <v/>
      </c>
    </row>
    <row r="7904">
      <c r="A7904">
        <f>Input!A7904</f>
        <v/>
      </c>
      <c r="B7904">
        <f>IF(ISNUMBER(Input!B7904),IF(AND(Input!B7904&gt;=20,Input!B7904&lt;=700),Input!B7904,""),"")</f>
        <v/>
      </c>
      <c r="C7904">
        <f>IF(B7904="","",INT(A7904))</f>
        <v/>
      </c>
      <c r="D7904">
        <f>IF(B7904="","",HOUR(A7904))</f>
        <v/>
      </c>
    </row>
    <row r="7905">
      <c r="A7905">
        <f>Input!A7905</f>
        <v/>
      </c>
      <c r="B7905">
        <f>IF(ISNUMBER(Input!B7905),IF(AND(Input!B7905&gt;=20,Input!B7905&lt;=700),Input!B7905,""),"")</f>
        <v/>
      </c>
      <c r="C7905">
        <f>IF(B7905="","",INT(A7905))</f>
        <v/>
      </c>
      <c r="D7905">
        <f>IF(B7905="","",HOUR(A7905))</f>
        <v/>
      </c>
    </row>
    <row r="7906">
      <c r="A7906">
        <f>Input!A7906</f>
        <v/>
      </c>
      <c r="B7906">
        <f>IF(ISNUMBER(Input!B7906),IF(AND(Input!B7906&gt;=20,Input!B7906&lt;=700),Input!B7906,""),"")</f>
        <v/>
      </c>
      <c r="C7906">
        <f>IF(B7906="","",INT(A7906))</f>
        <v/>
      </c>
      <c r="D7906">
        <f>IF(B7906="","",HOUR(A7906))</f>
        <v/>
      </c>
    </row>
    <row r="7907">
      <c r="A7907">
        <f>Input!A7907</f>
        <v/>
      </c>
      <c r="B7907">
        <f>IF(ISNUMBER(Input!B7907),IF(AND(Input!B7907&gt;=20,Input!B7907&lt;=700),Input!B7907,""),"")</f>
        <v/>
      </c>
      <c r="C7907">
        <f>IF(B7907="","",INT(A7907))</f>
        <v/>
      </c>
      <c r="D7907">
        <f>IF(B7907="","",HOUR(A7907))</f>
        <v/>
      </c>
    </row>
    <row r="7908">
      <c r="A7908">
        <f>Input!A7908</f>
        <v/>
      </c>
      <c r="B7908">
        <f>IF(ISNUMBER(Input!B7908),IF(AND(Input!B7908&gt;=20,Input!B7908&lt;=700),Input!B7908,""),"")</f>
        <v/>
      </c>
      <c r="C7908">
        <f>IF(B7908="","",INT(A7908))</f>
        <v/>
      </c>
      <c r="D7908">
        <f>IF(B7908="","",HOUR(A7908))</f>
        <v/>
      </c>
    </row>
    <row r="7909">
      <c r="A7909">
        <f>Input!A7909</f>
        <v/>
      </c>
      <c r="B7909">
        <f>IF(ISNUMBER(Input!B7909),IF(AND(Input!B7909&gt;=20,Input!B7909&lt;=700),Input!B7909,""),"")</f>
        <v/>
      </c>
      <c r="C7909">
        <f>IF(B7909="","",INT(A7909))</f>
        <v/>
      </c>
      <c r="D7909">
        <f>IF(B7909="","",HOUR(A7909))</f>
        <v/>
      </c>
    </row>
    <row r="7910">
      <c r="A7910">
        <f>Input!A7910</f>
        <v/>
      </c>
      <c r="B7910">
        <f>IF(ISNUMBER(Input!B7910),IF(AND(Input!B7910&gt;=20,Input!B7910&lt;=700),Input!B7910,""),"")</f>
        <v/>
      </c>
      <c r="C7910">
        <f>IF(B7910="","",INT(A7910))</f>
        <v/>
      </c>
      <c r="D7910">
        <f>IF(B7910="","",HOUR(A7910))</f>
        <v/>
      </c>
    </row>
    <row r="7911">
      <c r="A7911">
        <f>Input!A7911</f>
        <v/>
      </c>
      <c r="B7911">
        <f>IF(ISNUMBER(Input!B7911),IF(AND(Input!B7911&gt;=20,Input!B7911&lt;=700),Input!B7911,""),"")</f>
        <v/>
      </c>
      <c r="C7911">
        <f>IF(B7911="","",INT(A7911))</f>
        <v/>
      </c>
      <c r="D7911">
        <f>IF(B7911="","",HOUR(A7911))</f>
        <v/>
      </c>
    </row>
    <row r="7912">
      <c r="A7912">
        <f>Input!A7912</f>
        <v/>
      </c>
      <c r="B7912">
        <f>IF(ISNUMBER(Input!B7912),IF(AND(Input!B7912&gt;=20,Input!B7912&lt;=700),Input!B7912,""),"")</f>
        <v/>
      </c>
      <c r="C7912">
        <f>IF(B7912="","",INT(A7912))</f>
        <v/>
      </c>
      <c r="D7912">
        <f>IF(B7912="","",HOUR(A7912))</f>
        <v/>
      </c>
    </row>
    <row r="7913">
      <c r="A7913">
        <f>Input!A7913</f>
        <v/>
      </c>
      <c r="B7913">
        <f>IF(ISNUMBER(Input!B7913),IF(AND(Input!B7913&gt;=20,Input!B7913&lt;=700),Input!B7913,""),"")</f>
        <v/>
      </c>
      <c r="C7913">
        <f>IF(B7913="","",INT(A7913))</f>
        <v/>
      </c>
      <c r="D7913">
        <f>IF(B7913="","",HOUR(A7913))</f>
        <v/>
      </c>
    </row>
    <row r="7914">
      <c r="A7914">
        <f>Input!A7914</f>
        <v/>
      </c>
      <c r="B7914">
        <f>IF(ISNUMBER(Input!B7914),IF(AND(Input!B7914&gt;=20,Input!B7914&lt;=700),Input!B7914,""),"")</f>
        <v/>
      </c>
      <c r="C7914">
        <f>IF(B7914="","",INT(A7914))</f>
        <v/>
      </c>
      <c r="D7914">
        <f>IF(B7914="","",HOUR(A7914))</f>
        <v/>
      </c>
    </row>
    <row r="7915">
      <c r="A7915">
        <f>Input!A7915</f>
        <v/>
      </c>
      <c r="B7915">
        <f>IF(ISNUMBER(Input!B7915),IF(AND(Input!B7915&gt;=20,Input!B7915&lt;=700),Input!B7915,""),"")</f>
        <v/>
      </c>
      <c r="C7915">
        <f>IF(B7915="","",INT(A7915))</f>
        <v/>
      </c>
      <c r="D7915">
        <f>IF(B7915="","",HOUR(A7915))</f>
        <v/>
      </c>
    </row>
    <row r="7916">
      <c r="A7916">
        <f>Input!A7916</f>
        <v/>
      </c>
      <c r="B7916">
        <f>IF(ISNUMBER(Input!B7916),IF(AND(Input!B7916&gt;=20,Input!B7916&lt;=700),Input!B7916,""),"")</f>
        <v/>
      </c>
      <c r="C7916">
        <f>IF(B7916="","",INT(A7916))</f>
        <v/>
      </c>
      <c r="D7916">
        <f>IF(B7916="","",HOUR(A7916))</f>
        <v/>
      </c>
    </row>
    <row r="7917">
      <c r="A7917">
        <f>Input!A7917</f>
        <v/>
      </c>
      <c r="B7917">
        <f>IF(ISNUMBER(Input!B7917),IF(AND(Input!B7917&gt;=20,Input!B7917&lt;=700),Input!B7917,""),"")</f>
        <v/>
      </c>
      <c r="C7917">
        <f>IF(B7917="","",INT(A7917))</f>
        <v/>
      </c>
      <c r="D7917">
        <f>IF(B7917="","",HOUR(A7917))</f>
        <v/>
      </c>
    </row>
    <row r="7918">
      <c r="A7918">
        <f>Input!A7918</f>
        <v/>
      </c>
      <c r="B7918">
        <f>IF(ISNUMBER(Input!B7918),IF(AND(Input!B7918&gt;=20,Input!B7918&lt;=700),Input!B7918,""),"")</f>
        <v/>
      </c>
      <c r="C7918">
        <f>IF(B7918="","",INT(A7918))</f>
        <v/>
      </c>
      <c r="D7918">
        <f>IF(B7918="","",HOUR(A7918))</f>
        <v/>
      </c>
    </row>
    <row r="7919">
      <c r="A7919">
        <f>Input!A7919</f>
        <v/>
      </c>
      <c r="B7919">
        <f>IF(ISNUMBER(Input!B7919),IF(AND(Input!B7919&gt;=20,Input!B7919&lt;=700),Input!B7919,""),"")</f>
        <v/>
      </c>
      <c r="C7919">
        <f>IF(B7919="","",INT(A7919))</f>
        <v/>
      </c>
      <c r="D7919">
        <f>IF(B7919="","",HOUR(A7919))</f>
        <v/>
      </c>
    </row>
    <row r="7920">
      <c r="A7920">
        <f>Input!A7920</f>
        <v/>
      </c>
      <c r="B7920">
        <f>IF(ISNUMBER(Input!B7920),IF(AND(Input!B7920&gt;=20,Input!B7920&lt;=700),Input!B7920,""),"")</f>
        <v/>
      </c>
      <c r="C7920">
        <f>IF(B7920="","",INT(A7920))</f>
        <v/>
      </c>
      <c r="D7920">
        <f>IF(B7920="","",HOUR(A7920))</f>
        <v/>
      </c>
    </row>
    <row r="7921">
      <c r="A7921">
        <f>Input!A7921</f>
        <v/>
      </c>
      <c r="B7921">
        <f>IF(ISNUMBER(Input!B7921),IF(AND(Input!B7921&gt;=20,Input!B7921&lt;=700),Input!B7921,""),"")</f>
        <v/>
      </c>
      <c r="C7921">
        <f>IF(B7921="","",INT(A7921))</f>
        <v/>
      </c>
      <c r="D7921">
        <f>IF(B7921="","",HOUR(A7921))</f>
        <v/>
      </c>
    </row>
    <row r="7922">
      <c r="A7922">
        <f>Input!A7922</f>
        <v/>
      </c>
      <c r="B7922">
        <f>IF(ISNUMBER(Input!B7922),IF(AND(Input!B7922&gt;=20,Input!B7922&lt;=700),Input!B7922,""),"")</f>
        <v/>
      </c>
      <c r="C7922">
        <f>IF(B7922="","",INT(A7922))</f>
        <v/>
      </c>
      <c r="D7922">
        <f>IF(B7922="","",HOUR(A7922))</f>
        <v/>
      </c>
    </row>
    <row r="7923">
      <c r="A7923">
        <f>Input!A7923</f>
        <v/>
      </c>
      <c r="B7923">
        <f>IF(ISNUMBER(Input!B7923),IF(AND(Input!B7923&gt;=20,Input!B7923&lt;=700),Input!B7923,""),"")</f>
        <v/>
      </c>
      <c r="C7923">
        <f>IF(B7923="","",INT(A7923))</f>
        <v/>
      </c>
      <c r="D7923">
        <f>IF(B7923="","",HOUR(A7923))</f>
        <v/>
      </c>
    </row>
    <row r="7924">
      <c r="A7924">
        <f>Input!A7924</f>
        <v/>
      </c>
      <c r="B7924">
        <f>IF(ISNUMBER(Input!B7924),IF(AND(Input!B7924&gt;=20,Input!B7924&lt;=700),Input!B7924,""),"")</f>
        <v/>
      </c>
      <c r="C7924">
        <f>IF(B7924="","",INT(A7924))</f>
        <v/>
      </c>
      <c r="D7924">
        <f>IF(B7924="","",HOUR(A7924))</f>
        <v/>
      </c>
    </row>
    <row r="7925">
      <c r="A7925">
        <f>Input!A7925</f>
        <v/>
      </c>
      <c r="B7925">
        <f>IF(ISNUMBER(Input!B7925),IF(AND(Input!B7925&gt;=20,Input!B7925&lt;=700),Input!B7925,""),"")</f>
        <v/>
      </c>
      <c r="C7925">
        <f>IF(B7925="","",INT(A7925))</f>
        <v/>
      </c>
      <c r="D7925">
        <f>IF(B7925="","",HOUR(A7925))</f>
        <v/>
      </c>
    </row>
    <row r="7926">
      <c r="A7926">
        <f>Input!A7926</f>
        <v/>
      </c>
      <c r="B7926">
        <f>IF(ISNUMBER(Input!B7926),IF(AND(Input!B7926&gt;=20,Input!B7926&lt;=700),Input!B7926,""),"")</f>
        <v/>
      </c>
      <c r="C7926">
        <f>IF(B7926="","",INT(A7926))</f>
        <v/>
      </c>
      <c r="D7926">
        <f>IF(B7926="","",HOUR(A7926))</f>
        <v/>
      </c>
    </row>
    <row r="7927">
      <c r="A7927">
        <f>Input!A7927</f>
        <v/>
      </c>
      <c r="B7927">
        <f>IF(ISNUMBER(Input!B7927),IF(AND(Input!B7927&gt;=20,Input!B7927&lt;=700),Input!B7927,""),"")</f>
        <v/>
      </c>
      <c r="C7927">
        <f>IF(B7927="","",INT(A7927))</f>
        <v/>
      </c>
      <c r="D7927">
        <f>IF(B7927="","",HOUR(A7927))</f>
        <v/>
      </c>
    </row>
    <row r="7928">
      <c r="A7928">
        <f>Input!A7928</f>
        <v/>
      </c>
      <c r="B7928">
        <f>IF(ISNUMBER(Input!B7928),IF(AND(Input!B7928&gt;=20,Input!B7928&lt;=700),Input!B7928,""),"")</f>
        <v/>
      </c>
      <c r="C7928">
        <f>IF(B7928="","",INT(A7928))</f>
        <v/>
      </c>
      <c r="D7928">
        <f>IF(B7928="","",HOUR(A7928))</f>
        <v/>
      </c>
    </row>
    <row r="7929">
      <c r="A7929">
        <f>Input!A7929</f>
        <v/>
      </c>
      <c r="B7929">
        <f>IF(ISNUMBER(Input!B7929),IF(AND(Input!B7929&gt;=20,Input!B7929&lt;=700),Input!B7929,""),"")</f>
        <v/>
      </c>
      <c r="C7929">
        <f>IF(B7929="","",INT(A7929))</f>
        <v/>
      </c>
      <c r="D7929">
        <f>IF(B7929="","",HOUR(A7929))</f>
        <v/>
      </c>
    </row>
    <row r="7930">
      <c r="A7930">
        <f>Input!A7930</f>
        <v/>
      </c>
      <c r="B7930">
        <f>IF(ISNUMBER(Input!B7930),IF(AND(Input!B7930&gt;=20,Input!B7930&lt;=700),Input!B7930,""),"")</f>
        <v/>
      </c>
      <c r="C7930">
        <f>IF(B7930="","",INT(A7930))</f>
        <v/>
      </c>
      <c r="D7930">
        <f>IF(B7930="","",HOUR(A7930))</f>
        <v/>
      </c>
    </row>
    <row r="7931">
      <c r="A7931">
        <f>Input!A7931</f>
        <v/>
      </c>
      <c r="B7931">
        <f>IF(ISNUMBER(Input!B7931),IF(AND(Input!B7931&gt;=20,Input!B7931&lt;=700),Input!B7931,""),"")</f>
        <v/>
      </c>
      <c r="C7931">
        <f>IF(B7931="","",INT(A7931))</f>
        <v/>
      </c>
      <c r="D7931">
        <f>IF(B7931="","",HOUR(A7931))</f>
        <v/>
      </c>
    </row>
    <row r="7932">
      <c r="A7932">
        <f>Input!A7932</f>
        <v/>
      </c>
      <c r="B7932">
        <f>IF(ISNUMBER(Input!B7932),IF(AND(Input!B7932&gt;=20,Input!B7932&lt;=700),Input!B7932,""),"")</f>
        <v/>
      </c>
      <c r="C7932">
        <f>IF(B7932="","",INT(A7932))</f>
        <v/>
      </c>
      <c r="D7932">
        <f>IF(B7932="","",HOUR(A7932))</f>
        <v/>
      </c>
    </row>
    <row r="7933">
      <c r="A7933">
        <f>Input!A7933</f>
        <v/>
      </c>
      <c r="B7933">
        <f>IF(ISNUMBER(Input!B7933),IF(AND(Input!B7933&gt;=20,Input!B7933&lt;=700),Input!B7933,""),"")</f>
        <v/>
      </c>
      <c r="C7933">
        <f>IF(B7933="","",INT(A7933))</f>
        <v/>
      </c>
      <c r="D7933">
        <f>IF(B7933="","",HOUR(A7933))</f>
        <v/>
      </c>
    </row>
    <row r="7934">
      <c r="A7934">
        <f>Input!A7934</f>
        <v/>
      </c>
      <c r="B7934">
        <f>IF(ISNUMBER(Input!B7934),IF(AND(Input!B7934&gt;=20,Input!B7934&lt;=700),Input!B7934,""),"")</f>
        <v/>
      </c>
      <c r="C7934">
        <f>IF(B7934="","",INT(A7934))</f>
        <v/>
      </c>
      <c r="D7934">
        <f>IF(B7934="","",HOUR(A7934))</f>
        <v/>
      </c>
    </row>
    <row r="7935">
      <c r="A7935">
        <f>Input!A7935</f>
        <v/>
      </c>
      <c r="B7935">
        <f>IF(ISNUMBER(Input!B7935),IF(AND(Input!B7935&gt;=20,Input!B7935&lt;=700),Input!B7935,""),"")</f>
        <v/>
      </c>
      <c r="C7935">
        <f>IF(B7935="","",INT(A7935))</f>
        <v/>
      </c>
      <c r="D7935">
        <f>IF(B7935="","",HOUR(A7935))</f>
        <v/>
      </c>
    </row>
    <row r="7936">
      <c r="A7936">
        <f>Input!A7936</f>
        <v/>
      </c>
      <c r="B7936">
        <f>IF(ISNUMBER(Input!B7936),IF(AND(Input!B7936&gt;=20,Input!B7936&lt;=700),Input!B7936,""),"")</f>
        <v/>
      </c>
      <c r="C7936">
        <f>IF(B7936="","",INT(A7936))</f>
        <v/>
      </c>
      <c r="D7936">
        <f>IF(B7936="","",HOUR(A7936))</f>
        <v/>
      </c>
    </row>
    <row r="7937">
      <c r="A7937">
        <f>Input!A7937</f>
        <v/>
      </c>
      <c r="B7937">
        <f>IF(ISNUMBER(Input!B7937),IF(AND(Input!B7937&gt;=20,Input!B7937&lt;=700),Input!B7937,""),"")</f>
        <v/>
      </c>
      <c r="C7937">
        <f>IF(B7937="","",INT(A7937))</f>
        <v/>
      </c>
      <c r="D7937">
        <f>IF(B7937="","",HOUR(A7937))</f>
        <v/>
      </c>
    </row>
    <row r="7938">
      <c r="A7938">
        <f>Input!A7938</f>
        <v/>
      </c>
      <c r="B7938">
        <f>IF(ISNUMBER(Input!B7938),IF(AND(Input!B7938&gt;=20,Input!B7938&lt;=700),Input!B7938,""),"")</f>
        <v/>
      </c>
      <c r="C7938">
        <f>IF(B7938="","",INT(A7938))</f>
        <v/>
      </c>
      <c r="D7938">
        <f>IF(B7938="","",HOUR(A7938))</f>
        <v/>
      </c>
    </row>
    <row r="7939">
      <c r="A7939">
        <f>Input!A7939</f>
        <v/>
      </c>
      <c r="B7939">
        <f>IF(ISNUMBER(Input!B7939),IF(AND(Input!B7939&gt;=20,Input!B7939&lt;=700),Input!B7939,""),"")</f>
        <v/>
      </c>
      <c r="C7939">
        <f>IF(B7939="","",INT(A7939))</f>
        <v/>
      </c>
      <c r="D7939">
        <f>IF(B7939="","",HOUR(A7939))</f>
        <v/>
      </c>
    </row>
    <row r="7940">
      <c r="A7940">
        <f>Input!A7940</f>
        <v/>
      </c>
      <c r="B7940">
        <f>IF(ISNUMBER(Input!B7940),IF(AND(Input!B7940&gt;=20,Input!B7940&lt;=700),Input!B7940,""),"")</f>
        <v/>
      </c>
      <c r="C7940">
        <f>IF(B7940="","",INT(A7940))</f>
        <v/>
      </c>
      <c r="D7940">
        <f>IF(B7940="","",HOUR(A7940))</f>
        <v/>
      </c>
    </row>
    <row r="7941">
      <c r="A7941">
        <f>Input!A7941</f>
        <v/>
      </c>
      <c r="B7941">
        <f>IF(ISNUMBER(Input!B7941),IF(AND(Input!B7941&gt;=20,Input!B7941&lt;=700),Input!B7941,""),"")</f>
        <v/>
      </c>
      <c r="C7941">
        <f>IF(B7941="","",INT(A7941))</f>
        <v/>
      </c>
      <c r="D7941">
        <f>IF(B7941="","",HOUR(A7941))</f>
        <v/>
      </c>
    </row>
    <row r="7942">
      <c r="A7942">
        <f>Input!A7942</f>
        <v/>
      </c>
      <c r="B7942">
        <f>IF(ISNUMBER(Input!B7942),IF(AND(Input!B7942&gt;=20,Input!B7942&lt;=700),Input!B7942,""),"")</f>
        <v/>
      </c>
      <c r="C7942">
        <f>IF(B7942="","",INT(A7942))</f>
        <v/>
      </c>
      <c r="D7942">
        <f>IF(B7942="","",HOUR(A7942))</f>
        <v/>
      </c>
    </row>
    <row r="7943">
      <c r="A7943">
        <f>Input!A7943</f>
        <v/>
      </c>
      <c r="B7943">
        <f>IF(ISNUMBER(Input!B7943),IF(AND(Input!B7943&gt;=20,Input!B7943&lt;=700),Input!B7943,""),"")</f>
        <v/>
      </c>
      <c r="C7943">
        <f>IF(B7943="","",INT(A7943))</f>
        <v/>
      </c>
      <c r="D7943">
        <f>IF(B7943="","",HOUR(A7943))</f>
        <v/>
      </c>
    </row>
    <row r="7944">
      <c r="A7944">
        <f>Input!A7944</f>
        <v/>
      </c>
      <c r="B7944">
        <f>IF(ISNUMBER(Input!B7944),IF(AND(Input!B7944&gt;=20,Input!B7944&lt;=700),Input!B7944,""),"")</f>
        <v/>
      </c>
      <c r="C7944">
        <f>IF(B7944="","",INT(A7944))</f>
        <v/>
      </c>
      <c r="D7944">
        <f>IF(B7944="","",HOUR(A7944))</f>
        <v/>
      </c>
    </row>
    <row r="7945">
      <c r="A7945">
        <f>Input!A7945</f>
        <v/>
      </c>
      <c r="B7945">
        <f>IF(ISNUMBER(Input!B7945),IF(AND(Input!B7945&gt;=20,Input!B7945&lt;=700),Input!B7945,""),"")</f>
        <v/>
      </c>
      <c r="C7945">
        <f>IF(B7945="","",INT(A7945))</f>
        <v/>
      </c>
      <c r="D7945">
        <f>IF(B7945="","",HOUR(A7945))</f>
        <v/>
      </c>
    </row>
    <row r="7946">
      <c r="A7946">
        <f>Input!A7946</f>
        <v/>
      </c>
      <c r="B7946">
        <f>IF(ISNUMBER(Input!B7946),IF(AND(Input!B7946&gt;=20,Input!B7946&lt;=700),Input!B7946,""),"")</f>
        <v/>
      </c>
      <c r="C7946">
        <f>IF(B7946="","",INT(A7946))</f>
        <v/>
      </c>
      <c r="D7946">
        <f>IF(B7946="","",HOUR(A7946))</f>
        <v/>
      </c>
    </row>
    <row r="7947">
      <c r="A7947">
        <f>Input!A7947</f>
        <v/>
      </c>
      <c r="B7947">
        <f>IF(ISNUMBER(Input!B7947),IF(AND(Input!B7947&gt;=20,Input!B7947&lt;=700),Input!B7947,""),"")</f>
        <v/>
      </c>
      <c r="C7947">
        <f>IF(B7947="","",INT(A7947))</f>
        <v/>
      </c>
      <c r="D7947">
        <f>IF(B7947="","",HOUR(A7947))</f>
        <v/>
      </c>
    </row>
    <row r="7948">
      <c r="A7948">
        <f>Input!A7948</f>
        <v/>
      </c>
      <c r="B7948">
        <f>IF(ISNUMBER(Input!B7948),IF(AND(Input!B7948&gt;=20,Input!B7948&lt;=700),Input!B7948,""),"")</f>
        <v/>
      </c>
      <c r="C7948">
        <f>IF(B7948="","",INT(A7948))</f>
        <v/>
      </c>
      <c r="D7948">
        <f>IF(B7948="","",HOUR(A7948))</f>
        <v/>
      </c>
    </row>
    <row r="7949">
      <c r="A7949">
        <f>Input!A7949</f>
        <v/>
      </c>
      <c r="B7949">
        <f>IF(ISNUMBER(Input!B7949),IF(AND(Input!B7949&gt;=20,Input!B7949&lt;=700),Input!B7949,""),"")</f>
        <v/>
      </c>
      <c r="C7949">
        <f>IF(B7949="","",INT(A7949))</f>
        <v/>
      </c>
      <c r="D7949">
        <f>IF(B7949="","",HOUR(A7949))</f>
        <v/>
      </c>
    </row>
    <row r="7950">
      <c r="A7950">
        <f>Input!A7950</f>
        <v/>
      </c>
      <c r="B7950">
        <f>IF(ISNUMBER(Input!B7950),IF(AND(Input!B7950&gt;=20,Input!B7950&lt;=700),Input!B7950,""),"")</f>
        <v/>
      </c>
      <c r="C7950">
        <f>IF(B7950="","",INT(A7950))</f>
        <v/>
      </c>
      <c r="D7950">
        <f>IF(B7950="","",HOUR(A7950))</f>
        <v/>
      </c>
    </row>
    <row r="7951">
      <c r="A7951">
        <f>Input!A7951</f>
        <v/>
      </c>
      <c r="B7951">
        <f>IF(ISNUMBER(Input!B7951),IF(AND(Input!B7951&gt;=20,Input!B7951&lt;=700),Input!B7951,""),"")</f>
        <v/>
      </c>
      <c r="C7951">
        <f>IF(B7951="","",INT(A7951))</f>
        <v/>
      </c>
      <c r="D7951">
        <f>IF(B7951="","",HOUR(A7951))</f>
        <v/>
      </c>
    </row>
    <row r="7952">
      <c r="A7952">
        <f>Input!A7952</f>
        <v/>
      </c>
      <c r="B7952">
        <f>IF(ISNUMBER(Input!B7952),IF(AND(Input!B7952&gt;=20,Input!B7952&lt;=700),Input!B7952,""),"")</f>
        <v/>
      </c>
      <c r="C7952">
        <f>IF(B7952="","",INT(A7952))</f>
        <v/>
      </c>
      <c r="D7952">
        <f>IF(B7952="","",HOUR(A7952))</f>
        <v/>
      </c>
    </row>
    <row r="7953">
      <c r="A7953">
        <f>Input!A7953</f>
        <v/>
      </c>
      <c r="B7953">
        <f>IF(ISNUMBER(Input!B7953),IF(AND(Input!B7953&gt;=20,Input!B7953&lt;=700),Input!B7953,""),"")</f>
        <v/>
      </c>
      <c r="C7953">
        <f>IF(B7953="","",INT(A7953))</f>
        <v/>
      </c>
      <c r="D7953">
        <f>IF(B7953="","",HOUR(A7953))</f>
        <v/>
      </c>
    </row>
    <row r="7954">
      <c r="A7954">
        <f>Input!A7954</f>
        <v/>
      </c>
      <c r="B7954">
        <f>IF(ISNUMBER(Input!B7954),IF(AND(Input!B7954&gt;=20,Input!B7954&lt;=700),Input!B7954,""),"")</f>
        <v/>
      </c>
      <c r="C7954">
        <f>IF(B7954="","",INT(A7954))</f>
        <v/>
      </c>
      <c r="D7954">
        <f>IF(B7954="","",HOUR(A7954))</f>
        <v/>
      </c>
    </row>
    <row r="7955">
      <c r="A7955">
        <f>Input!A7955</f>
        <v/>
      </c>
      <c r="B7955">
        <f>IF(ISNUMBER(Input!B7955),IF(AND(Input!B7955&gt;=20,Input!B7955&lt;=700),Input!B7955,""),"")</f>
        <v/>
      </c>
      <c r="C7955">
        <f>IF(B7955="","",INT(A7955))</f>
        <v/>
      </c>
      <c r="D7955">
        <f>IF(B7955="","",HOUR(A7955))</f>
        <v/>
      </c>
    </row>
    <row r="7956">
      <c r="A7956">
        <f>Input!A7956</f>
        <v/>
      </c>
      <c r="B7956">
        <f>IF(ISNUMBER(Input!B7956),IF(AND(Input!B7956&gt;=20,Input!B7956&lt;=700),Input!B7956,""),"")</f>
        <v/>
      </c>
      <c r="C7956">
        <f>IF(B7956="","",INT(A7956))</f>
        <v/>
      </c>
      <c r="D7956">
        <f>IF(B7956="","",HOUR(A7956))</f>
        <v/>
      </c>
    </row>
    <row r="7957">
      <c r="A7957">
        <f>Input!A7957</f>
        <v/>
      </c>
      <c r="B7957">
        <f>IF(ISNUMBER(Input!B7957),IF(AND(Input!B7957&gt;=20,Input!B7957&lt;=700),Input!B7957,""),"")</f>
        <v/>
      </c>
      <c r="C7957">
        <f>IF(B7957="","",INT(A7957))</f>
        <v/>
      </c>
      <c r="D7957">
        <f>IF(B7957="","",HOUR(A7957))</f>
        <v/>
      </c>
    </row>
    <row r="7958">
      <c r="A7958">
        <f>Input!A7958</f>
        <v/>
      </c>
      <c r="B7958">
        <f>IF(ISNUMBER(Input!B7958),IF(AND(Input!B7958&gt;=20,Input!B7958&lt;=700),Input!B7958,""),"")</f>
        <v/>
      </c>
      <c r="C7958">
        <f>IF(B7958="","",INT(A7958))</f>
        <v/>
      </c>
      <c r="D7958">
        <f>IF(B7958="","",HOUR(A7958))</f>
        <v/>
      </c>
    </row>
    <row r="7959">
      <c r="A7959">
        <f>Input!A7959</f>
        <v/>
      </c>
      <c r="B7959">
        <f>IF(ISNUMBER(Input!B7959),IF(AND(Input!B7959&gt;=20,Input!B7959&lt;=700),Input!B7959,""),"")</f>
        <v/>
      </c>
      <c r="C7959">
        <f>IF(B7959="","",INT(A7959))</f>
        <v/>
      </c>
      <c r="D7959">
        <f>IF(B7959="","",HOUR(A7959))</f>
        <v/>
      </c>
    </row>
    <row r="7960">
      <c r="A7960">
        <f>Input!A7960</f>
        <v/>
      </c>
      <c r="B7960">
        <f>IF(ISNUMBER(Input!B7960),IF(AND(Input!B7960&gt;=20,Input!B7960&lt;=700),Input!B7960,""),"")</f>
        <v/>
      </c>
      <c r="C7960">
        <f>IF(B7960="","",INT(A7960))</f>
        <v/>
      </c>
      <c r="D7960">
        <f>IF(B7960="","",HOUR(A7960))</f>
        <v/>
      </c>
    </row>
    <row r="7961">
      <c r="A7961">
        <f>Input!A7961</f>
        <v/>
      </c>
      <c r="B7961">
        <f>IF(ISNUMBER(Input!B7961),IF(AND(Input!B7961&gt;=20,Input!B7961&lt;=700),Input!B7961,""),"")</f>
        <v/>
      </c>
      <c r="C7961">
        <f>IF(B7961="","",INT(A7961))</f>
        <v/>
      </c>
      <c r="D7961">
        <f>IF(B7961="","",HOUR(A7961))</f>
        <v/>
      </c>
    </row>
    <row r="7962">
      <c r="A7962">
        <f>Input!A7962</f>
        <v/>
      </c>
      <c r="B7962">
        <f>IF(ISNUMBER(Input!B7962),IF(AND(Input!B7962&gt;=20,Input!B7962&lt;=700),Input!B7962,""),"")</f>
        <v/>
      </c>
      <c r="C7962">
        <f>IF(B7962="","",INT(A7962))</f>
        <v/>
      </c>
      <c r="D7962">
        <f>IF(B7962="","",HOUR(A7962))</f>
        <v/>
      </c>
    </row>
    <row r="7963">
      <c r="A7963">
        <f>Input!A7963</f>
        <v/>
      </c>
      <c r="B7963">
        <f>IF(ISNUMBER(Input!B7963),IF(AND(Input!B7963&gt;=20,Input!B7963&lt;=700),Input!B7963,""),"")</f>
        <v/>
      </c>
      <c r="C7963">
        <f>IF(B7963="","",INT(A7963))</f>
        <v/>
      </c>
      <c r="D7963">
        <f>IF(B7963="","",HOUR(A7963))</f>
        <v/>
      </c>
    </row>
    <row r="7964">
      <c r="A7964">
        <f>Input!A7964</f>
        <v/>
      </c>
      <c r="B7964">
        <f>IF(ISNUMBER(Input!B7964),IF(AND(Input!B7964&gt;=20,Input!B7964&lt;=700),Input!B7964,""),"")</f>
        <v/>
      </c>
      <c r="C7964">
        <f>IF(B7964="","",INT(A7964))</f>
        <v/>
      </c>
      <c r="D7964">
        <f>IF(B7964="","",HOUR(A7964))</f>
        <v/>
      </c>
    </row>
    <row r="7965">
      <c r="A7965">
        <f>Input!A7965</f>
        <v/>
      </c>
      <c r="B7965">
        <f>IF(ISNUMBER(Input!B7965),IF(AND(Input!B7965&gt;=20,Input!B7965&lt;=700),Input!B7965,""),"")</f>
        <v/>
      </c>
      <c r="C7965">
        <f>IF(B7965="","",INT(A7965))</f>
        <v/>
      </c>
      <c r="D7965">
        <f>IF(B7965="","",HOUR(A7965))</f>
        <v/>
      </c>
    </row>
    <row r="7966">
      <c r="A7966">
        <f>Input!A7966</f>
        <v/>
      </c>
      <c r="B7966">
        <f>IF(ISNUMBER(Input!B7966),IF(AND(Input!B7966&gt;=20,Input!B7966&lt;=700),Input!B7966,""),"")</f>
        <v/>
      </c>
      <c r="C7966">
        <f>IF(B7966="","",INT(A7966))</f>
        <v/>
      </c>
      <c r="D7966">
        <f>IF(B7966="","",HOUR(A7966))</f>
        <v/>
      </c>
    </row>
    <row r="7967">
      <c r="A7967">
        <f>Input!A7967</f>
        <v/>
      </c>
      <c r="B7967">
        <f>IF(ISNUMBER(Input!B7967),IF(AND(Input!B7967&gt;=20,Input!B7967&lt;=700),Input!B7967,""),"")</f>
        <v/>
      </c>
      <c r="C7967">
        <f>IF(B7967="","",INT(A7967))</f>
        <v/>
      </c>
      <c r="D7967">
        <f>IF(B7967="","",HOUR(A7967))</f>
        <v/>
      </c>
    </row>
    <row r="7968">
      <c r="A7968">
        <f>Input!A7968</f>
        <v/>
      </c>
      <c r="B7968">
        <f>IF(ISNUMBER(Input!B7968),IF(AND(Input!B7968&gt;=20,Input!B7968&lt;=700),Input!B7968,""),"")</f>
        <v/>
      </c>
      <c r="C7968">
        <f>IF(B7968="","",INT(A7968))</f>
        <v/>
      </c>
      <c r="D7968">
        <f>IF(B7968="","",HOUR(A7968))</f>
        <v/>
      </c>
    </row>
    <row r="7969">
      <c r="A7969">
        <f>Input!A7969</f>
        <v/>
      </c>
      <c r="B7969">
        <f>IF(ISNUMBER(Input!B7969),IF(AND(Input!B7969&gt;=20,Input!B7969&lt;=700),Input!B7969,""),"")</f>
        <v/>
      </c>
      <c r="C7969">
        <f>IF(B7969="","",INT(A7969))</f>
        <v/>
      </c>
      <c r="D7969">
        <f>IF(B7969="","",HOUR(A7969))</f>
        <v/>
      </c>
    </row>
    <row r="7970">
      <c r="A7970">
        <f>Input!A7970</f>
        <v/>
      </c>
      <c r="B7970">
        <f>IF(ISNUMBER(Input!B7970),IF(AND(Input!B7970&gt;=20,Input!B7970&lt;=700),Input!B7970,""),"")</f>
        <v/>
      </c>
      <c r="C7970">
        <f>IF(B7970="","",INT(A7970))</f>
        <v/>
      </c>
      <c r="D7970">
        <f>IF(B7970="","",HOUR(A7970))</f>
        <v/>
      </c>
    </row>
    <row r="7971">
      <c r="A7971">
        <f>Input!A7971</f>
        <v/>
      </c>
      <c r="B7971">
        <f>IF(ISNUMBER(Input!B7971),IF(AND(Input!B7971&gt;=20,Input!B7971&lt;=700),Input!B7971,""),"")</f>
        <v/>
      </c>
      <c r="C7971">
        <f>IF(B7971="","",INT(A7971))</f>
        <v/>
      </c>
      <c r="D7971">
        <f>IF(B7971="","",HOUR(A7971))</f>
        <v/>
      </c>
    </row>
    <row r="7972">
      <c r="A7972">
        <f>Input!A7972</f>
        <v/>
      </c>
      <c r="B7972">
        <f>IF(ISNUMBER(Input!B7972),IF(AND(Input!B7972&gt;=20,Input!B7972&lt;=700),Input!B7972,""),"")</f>
        <v/>
      </c>
      <c r="C7972">
        <f>IF(B7972="","",INT(A7972))</f>
        <v/>
      </c>
      <c r="D7972">
        <f>IF(B7972="","",HOUR(A7972))</f>
        <v/>
      </c>
    </row>
    <row r="7973">
      <c r="A7973">
        <f>Input!A7973</f>
        <v/>
      </c>
      <c r="B7973">
        <f>IF(ISNUMBER(Input!B7973),IF(AND(Input!B7973&gt;=20,Input!B7973&lt;=700),Input!B7973,""),"")</f>
        <v/>
      </c>
      <c r="C7973">
        <f>IF(B7973="","",INT(A7973))</f>
        <v/>
      </c>
      <c r="D7973">
        <f>IF(B7973="","",HOUR(A7973))</f>
        <v/>
      </c>
    </row>
    <row r="7974">
      <c r="A7974">
        <f>Input!A7974</f>
        <v/>
      </c>
      <c r="B7974">
        <f>IF(ISNUMBER(Input!B7974),IF(AND(Input!B7974&gt;=20,Input!B7974&lt;=700),Input!B7974,""),"")</f>
        <v/>
      </c>
      <c r="C7974">
        <f>IF(B7974="","",INT(A7974))</f>
        <v/>
      </c>
      <c r="D7974">
        <f>IF(B7974="","",HOUR(A7974))</f>
        <v/>
      </c>
    </row>
    <row r="7975">
      <c r="A7975">
        <f>Input!A7975</f>
        <v/>
      </c>
      <c r="B7975">
        <f>IF(ISNUMBER(Input!B7975),IF(AND(Input!B7975&gt;=20,Input!B7975&lt;=700),Input!B7975,""),"")</f>
        <v/>
      </c>
      <c r="C7975">
        <f>IF(B7975="","",INT(A7975))</f>
        <v/>
      </c>
      <c r="D7975">
        <f>IF(B7975="","",HOUR(A7975))</f>
        <v/>
      </c>
    </row>
    <row r="7976">
      <c r="A7976">
        <f>Input!A7976</f>
        <v/>
      </c>
      <c r="B7976">
        <f>IF(ISNUMBER(Input!B7976),IF(AND(Input!B7976&gt;=20,Input!B7976&lt;=700),Input!B7976,""),"")</f>
        <v/>
      </c>
      <c r="C7976">
        <f>IF(B7976="","",INT(A7976))</f>
        <v/>
      </c>
      <c r="D7976">
        <f>IF(B7976="","",HOUR(A7976))</f>
        <v/>
      </c>
    </row>
    <row r="7977">
      <c r="A7977">
        <f>Input!A7977</f>
        <v/>
      </c>
      <c r="B7977">
        <f>IF(ISNUMBER(Input!B7977),IF(AND(Input!B7977&gt;=20,Input!B7977&lt;=700),Input!B7977,""),"")</f>
        <v/>
      </c>
      <c r="C7977">
        <f>IF(B7977="","",INT(A7977))</f>
        <v/>
      </c>
      <c r="D7977">
        <f>IF(B7977="","",HOUR(A7977))</f>
        <v/>
      </c>
    </row>
    <row r="7978">
      <c r="A7978">
        <f>Input!A7978</f>
        <v/>
      </c>
      <c r="B7978">
        <f>IF(ISNUMBER(Input!B7978),IF(AND(Input!B7978&gt;=20,Input!B7978&lt;=700),Input!B7978,""),"")</f>
        <v/>
      </c>
      <c r="C7978">
        <f>IF(B7978="","",INT(A7978))</f>
        <v/>
      </c>
      <c r="D7978">
        <f>IF(B7978="","",HOUR(A7978))</f>
        <v/>
      </c>
    </row>
    <row r="7979">
      <c r="A7979">
        <f>Input!A7979</f>
        <v/>
      </c>
      <c r="B7979">
        <f>IF(ISNUMBER(Input!B7979),IF(AND(Input!B7979&gt;=20,Input!B7979&lt;=700),Input!B7979,""),"")</f>
        <v/>
      </c>
      <c r="C7979">
        <f>IF(B7979="","",INT(A7979))</f>
        <v/>
      </c>
      <c r="D7979">
        <f>IF(B7979="","",HOUR(A7979))</f>
        <v/>
      </c>
    </row>
    <row r="7980">
      <c r="A7980">
        <f>Input!A7980</f>
        <v/>
      </c>
      <c r="B7980">
        <f>IF(ISNUMBER(Input!B7980),IF(AND(Input!B7980&gt;=20,Input!B7980&lt;=700),Input!B7980,""),"")</f>
        <v/>
      </c>
      <c r="C7980">
        <f>IF(B7980="","",INT(A7980))</f>
        <v/>
      </c>
      <c r="D7980">
        <f>IF(B7980="","",HOUR(A7980))</f>
        <v/>
      </c>
    </row>
    <row r="7981">
      <c r="A7981">
        <f>Input!A7981</f>
        <v/>
      </c>
      <c r="B7981">
        <f>IF(ISNUMBER(Input!B7981),IF(AND(Input!B7981&gt;=20,Input!B7981&lt;=700),Input!B7981,""),"")</f>
        <v/>
      </c>
      <c r="C7981">
        <f>IF(B7981="","",INT(A7981))</f>
        <v/>
      </c>
      <c r="D7981">
        <f>IF(B7981="","",HOUR(A7981))</f>
        <v/>
      </c>
    </row>
    <row r="7982">
      <c r="A7982">
        <f>Input!A7982</f>
        <v/>
      </c>
      <c r="B7982">
        <f>IF(ISNUMBER(Input!B7982),IF(AND(Input!B7982&gt;=20,Input!B7982&lt;=700),Input!B7982,""),"")</f>
        <v/>
      </c>
      <c r="C7982">
        <f>IF(B7982="","",INT(A7982))</f>
        <v/>
      </c>
      <c r="D7982">
        <f>IF(B7982="","",HOUR(A7982))</f>
        <v/>
      </c>
    </row>
    <row r="7983">
      <c r="A7983">
        <f>Input!A7983</f>
        <v/>
      </c>
      <c r="B7983">
        <f>IF(ISNUMBER(Input!B7983),IF(AND(Input!B7983&gt;=20,Input!B7983&lt;=700),Input!B7983,""),"")</f>
        <v/>
      </c>
      <c r="C7983">
        <f>IF(B7983="","",INT(A7983))</f>
        <v/>
      </c>
      <c r="D7983">
        <f>IF(B7983="","",HOUR(A7983))</f>
        <v/>
      </c>
    </row>
    <row r="7984">
      <c r="A7984">
        <f>Input!A7984</f>
        <v/>
      </c>
      <c r="B7984">
        <f>IF(ISNUMBER(Input!B7984),IF(AND(Input!B7984&gt;=20,Input!B7984&lt;=700),Input!B7984,""),"")</f>
        <v/>
      </c>
      <c r="C7984">
        <f>IF(B7984="","",INT(A7984))</f>
        <v/>
      </c>
      <c r="D7984">
        <f>IF(B7984="","",HOUR(A7984))</f>
        <v/>
      </c>
    </row>
    <row r="7985">
      <c r="A7985">
        <f>Input!A7985</f>
        <v/>
      </c>
      <c r="B7985">
        <f>IF(ISNUMBER(Input!B7985),IF(AND(Input!B7985&gt;=20,Input!B7985&lt;=700),Input!B7985,""),"")</f>
        <v/>
      </c>
      <c r="C7985">
        <f>IF(B7985="","",INT(A7985))</f>
        <v/>
      </c>
      <c r="D7985">
        <f>IF(B7985="","",HOUR(A7985))</f>
        <v/>
      </c>
    </row>
    <row r="7986">
      <c r="A7986">
        <f>Input!A7986</f>
        <v/>
      </c>
      <c r="B7986">
        <f>IF(ISNUMBER(Input!B7986),IF(AND(Input!B7986&gt;=20,Input!B7986&lt;=700),Input!B7986,""),"")</f>
        <v/>
      </c>
      <c r="C7986">
        <f>IF(B7986="","",INT(A7986))</f>
        <v/>
      </c>
      <c r="D7986">
        <f>IF(B7986="","",HOUR(A7986))</f>
        <v/>
      </c>
    </row>
    <row r="7987">
      <c r="A7987">
        <f>Input!A7987</f>
        <v/>
      </c>
      <c r="B7987">
        <f>IF(ISNUMBER(Input!B7987),IF(AND(Input!B7987&gt;=20,Input!B7987&lt;=700),Input!B7987,""),"")</f>
        <v/>
      </c>
      <c r="C7987">
        <f>IF(B7987="","",INT(A7987))</f>
        <v/>
      </c>
      <c r="D7987">
        <f>IF(B7987="","",HOUR(A7987))</f>
        <v/>
      </c>
    </row>
    <row r="7988">
      <c r="A7988">
        <f>Input!A7988</f>
        <v/>
      </c>
      <c r="B7988">
        <f>IF(ISNUMBER(Input!B7988),IF(AND(Input!B7988&gt;=20,Input!B7988&lt;=700),Input!B7988,""),"")</f>
        <v/>
      </c>
      <c r="C7988">
        <f>IF(B7988="","",INT(A7988))</f>
        <v/>
      </c>
      <c r="D7988">
        <f>IF(B7988="","",HOUR(A7988))</f>
        <v/>
      </c>
    </row>
    <row r="7989">
      <c r="A7989">
        <f>Input!A7989</f>
        <v/>
      </c>
      <c r="B7989">
        <f>IF(ISNUMBER(Input!B7989),IF(AND(Input!B7989&gt;=20,Input!B7989&lt;=700),Input!B7989,""),"")</f>
        <v/>
      </c>
      <c r="C7989">
        <f>IF(B7989="","",INT(A7989))</f>
        <v/>
      </c>
      <c r="D7989">
        <f>IF(B7989="","",HOUR(A7989))</f>
        <v/>
      </c>
    </row>
    <row r="7990">
      <c r="A7990">
        <f>Input!A7990</f>
        <v/>
      </c>
      <c r="B7990">
        <f>IF(ISNUMBER(Input!B7990),IF(AND(Input!B7990&gt;=20,Input!B7990&lt;=700),Input!B7990,""),"")</f>
        <v/>
      </c>
      <c r="C7990">
        <f>IF(B7990="","",INT(A7990))</f>
        <v/>
      </c>
      <c r="D7990">
        <f>IF(B7990="","",HOUR(A7990))</f>
        <v/>
      </c>
    </row>
    <row r="7991">
      <c r="A7991">
        <f>Input!A7991</f>
        <v/>
      </c>
      <c r="B7991">
        <f>IF(ISNUMBER(Input!B7991),IF(AND(Input!B7991&gt;=20,Input!B7991&lt;=700),Input!B7991,""),"")</f>
        <v/>
      </c>
      <c r="C7991">
        <f>IF(B7991="","",INT(A7991))</f>
        <v/>
      </c>
      <c r="D7991">
        <f>IF(B7991="","",HOUR(A7991))</f>
        <v/>
      </c>
    </row>
    <row r="7992">
      <c r="A7992">
        <f>Input!A7992</f>
        <v/>
      </c>
      <c r="B7992">
        <f>IF(ISNUMBER(Input!B7992),IF(AND(Input!B7992&gt;=20,Input!B7992&lt;=700),Input!B7992,""),"")</f>
        <v/>
      </c>
      <c r="C7992">
        <f>IF(B7992="","",INT(A7992))</f>
        <v/>
      </c>
      <c r="D7992">
        <f>IF(B7992="","",HOUR(A7992))</f>
        <v/>
      </c>
    </row>
    <row r="7993">
      <c r="A7993">
        <f>Input!A7993</f>
        <v/>
      </c>
      <c r="B7993">
        <f>IF(ISNUMBER(Input!B7993),IF(AND(Input!B7993&gt;=20,Input!B7993&lt;=700),Input!B7993,""),"")</f>
        <v/>
      </c>
      <c r="C7993">
        <f>IF(B7993="","",INT(A7993))</f>
        <v/>
      </c>
      <c r="D7993">
        <f>IF(B7993="","",HOUR(A7993))</f>
        <v/>
      </c>
    </row>
    <row r="7994">
      <c r="A7994">
        <f>Input!A7994</f>
        <v/>
      </c>
      <c r="B7994">
        <f>IF(ISNUMBER(Input!B7994),IF(AND(Input!B7994&gt;=20,Input!B7994&lt;=700),Input!B7994,""),"")</f>
        <v/>
      </c>
      <c r="C7994">
        <f>IF(B7994="","",INT(A7994))</f>
        <v/>
      </c>
      <c r="D7994">
        <f>IF(B7994="","",HOUR(A7994))</f>
        <v/>
      </c>
    </row>
    <row r="7995">
      <c r="A7995">
        <f>Input!A7995</f>
        <v/>
      </c>
      <c r="B7995">
        <f>IF(ISNUMBER(Input!B7995),IF(AND(Input!B7995&gt;=20,Input!B7995&lt;=700),Input!B7995,""),"")</f>
        <v/>
      </c>
      <c r="C7995">
        <f>IF(B7995="","",INT(A7995))</f>
        <v/>
      </c>
      <c r="D7995">
        <f>IF(B7995="","",HOUR(A7995))</f>
        <v/>
      </c>
    </row>
    <row r="7996">
      <c r="A7996">
        <f>Input!A7996</f>
        <v/>
      </c>
      <c r="B7996">
        <f>IF(ISNUMBER(Input!B7996),IF(AND(Input!B7996&gt;=20,Input!B7996&lt;=700),Input!B7996,""),"")</f>
        <v/>
      </c>
      <c r="C7996">
        <f>IF(B7996="","",INT(A7996))</f>
        <v/>
      </c>
      <c r="D7996">
        <f>IF(B7996="","",HOUR(A7996))</f>
        <v/>
      </c>
    </row>
    <row r="7997">
      <c r="A7997">
        <f>Input!A7997</f>
        <v/>
      </c>
      <c r="B7997">
        <f>IF(ISNUMBER(Input!B7997),IF(AND(Input!B7997&gt;=20,Input!B7997&lt;=700),Input!B7997,""),"")</f>
        <v/>
      </c>
      <c r="C7997">
        <f>IF(B7997="","",INT(A7997))</f>
        <v/>
      </c>
      <c r="D7997">
        <f>IF(B7997="","",HOUR(A7997))</f>
        <v/>
      </c>
    </row>
    <row r="7998">
      <c r="A7998">
        <f>Input!A7998</f>
        <v/>
      </c>
      <c r="B7998">
        <f>IF(ISNUMBER(Input!B7998),IF(AND(Input!B7998&gt;=20,Input!B7998&lt;=700),Input!B7998,""),"")</f>
        <v/>
      </c>
      <c r="C7998">
        <f>IF(B7998="","",INT(A7998))</f>
        <v/>
      </c>
      <c r="D7998">
        <f>IF(B7998="","",HOUR(A7998))</f>
        <v/>
      </c>
    </row>
    <row r="7999">
      <c r="A7999">
        <f>Input!A7999</f>
        <v/>
      </c>
      <c r="B7999">
        <f>IF(ISNUMBER(Input!B7999),IF(AND(Input!B7999&gt;=20,Input!B7999&lt;=700),Input!B7999,""),"")</f>
        <v/>
      </c>
      <c r="C7999">
        <f>IF(B7999="","",INT(A7999))</f>
        <v/>
      </c>
      <c r="D7999">
        <f>IF(B7999="","",HOUR(A7999))</f>
        <v/>
      </c>
    </row>
    <row r="8000">
      <c r="A8000">
        <f>Input!A8000</f>
        <v/>
      </c>
      <c r="B8000">
        <f>IF(ISNUMBER(Input!B8000),IF(AND(Input!B8000&gt;=20,Input!B8000&lt;=700),Input!B8000,""),"")</f>
        <v/>
      </c>
      <c r="C8000">
        <f>IF(B8000="","",INT(A8000))</f>
        <v/>
      </c>
      <c r="D8000">
        <f>IF(B8000="","",HOUR(A8000))</f>
        <v/>
      </c>
    </row>
    <row r="8001">
      <c r="A8001">
        <f>Input!A8001</f>
        <v/>
      </c>
      <c r="B8001">
        <f>IF(ISNUMBER(Input!B8001),IF(AND(Input!B8001&gt;=20,Input!B8001&lt;=700),Input!B8001,""),"")</f>
        <v/>
      </c>
      <c r="C8001">
        <f>IF(B8001="","",INT(A8001))</f>
        <v/>
      </c>
      <c r="D8001">
        <f>IF(B8001="","",HOUR(A8001))</f>
        <v/>
      </c>
    </row>
    <row r="8002">
      <c r="A8002">
        <f>Input!A8002</f>
        <v/>
      </c>
      <c r="B8002">
        <f>IF(ISNUMBER(Input!B8002),IF(AND(Input!B8002&gt;=20,Input!B8002&lt;=700),Input!B8002,""),"")</f>
        <v/>
      </c>
      <c r="C8002">
        <f>IF(B8002="","",INT(A8002))</f>
        <v/>
      </c>
      <c r="D8002">
        <f>IF(B8002="","",HOUR(A8002))</f>
        <v/>
      </c>
    </row>
    <row r="8003">
      <c r="A8003">
        <f>Input!A8003</f>
        <v/>
      </c>
      <c r="B8003">
        <f>IF(ISNUMBER(Input!B8003),IF(AND(Input!B8003&gt;=20,Input!B8003&lt;=700),Input!B8003,""),"")</f>
        <v/>
      </c>
      <c r="C8003">
        <f>IF(B8003="","",INT(A8003))</f>
        <v/>
      </c>
      <c r="D8003">
        <f>IF(B8003="","",HOUR(A8003))</f>
        <v/>
      </c>
    </row>
    <row r="8004">
      <c r="A8004">
        <f>Input!A8004</f>
        <v/>
      </c>
      <c r="B8004">
        <f>IF(ISNUMBER(Input!B8004),IF(AND(Input!B8004&gt;=20,Input!B8004&lt;=700),Input!B8004,""),"")</f>
        <v/>
      </c>
      <c r="C8004">
        <f>IF(B8004="","",INT(A8004))</f>
        <v/>
      </c>
      <c r="D8004">
        <f>IF(B8004="","",HOUR(A8004))</f>
        <v/>
      </c>
    </row>
    <row r="8005">
      <c r="A8005">
        <f>Input!A8005</f>
        <v/>
      </c>
      <c r="B8005">
        <f>IF(ISNUMBER(Input!B8005),IF(AND(Input!B8005&gt;=20,Input!B8005&lt;=700),Input!B8005,""),"")</f>
        <v/>
      </c>
      <c r="C8005">
        <f>IF(B8005="","",INT(A8005))</f>
        <v/>
      </c>
      <c r="D8005">
        <f>IF(B8005="","",HOUR(A8005))</f>
        <v/>
      </c>
    </row>
    <row r="8006">
      <c r="A8006">
        <f>Input!A8006</f>
        <v/>
      </c>
      <c r="B8006">
        <f>IF(ISNUMBER(Input!B8006),IF(AND(Input!B8006&gt;=20,Input!B8006&lt;=700),Input!B8006,""),"")</f>
        <v/>
      </c>
      <c r="C8006">
        <f>IF(B8006="","",INT(A8006))</f>
        <v/>
      </c>
      <c r="D8006">
        <f>IF(B8006="","",HOUR(A8006))</f>
        <v/>
      </c>
    </row>
    <row r="8007">
      <c r="A8007">
        <f>Input!A8007</f>
        <v/>
      </c>
      <c r="B8007">
        <f>IF(ISNUMBER(Input!B8007),IF(AND(Input!B8007&gt;=20,Input!B8007&lt;=700),Input!B8007,""),"")</f>
        <v/>
      </c>
      <c r="C8007">
        <f>IF(B8007="","",INT(A8007))</f>
        <v/>
      </c>
      <c r="D8007">
        <f>IF(B8007="","",HOUR(A8007))</f>
        <v/>
      </c>
    </row>
    <row r="8008">
      <c r="A8008">
        <f>Input!A8008</f>
        <v/>
      </c>
      <c r="B8008">
        <f>IF(ISNUMBER(Input!B8008),IF(AND(Input!B8008&gt;=20,Input!B8008&lt;=700),Input!B8008,""),"")</f>
        <v/>
      </c>
      <c r="C8008">
        <f>IF(B8008="","",INT(A8008))</f>
        <v/>
      </c>
      <c r="D8008">
        <f>IF(B8008="","",HOUR(A8008))</f>
        <v/>
      </c>
    </row>
    <row r="8009">
      <c r="A8009">
        <f>Input!A8009</f>
        <v/>
      </c>
      <c r="B8009">
        <f>IF(ISNUMBER(Input!B8009),IF(AND(Input!B8009&gt;=20,Input!B8009&lt;=700),Input!B8009,""),"")</f>
        <v/>
      </c>
      <c r="C8009">
        <f>IF(B8009="","",INT(A8009))</f>
        <v/>
      </c>
      <c r="D8009">
        <f>IF(B8009="","",HOUR(A8009))</f>
        <v/>
      </c>
    </row>
    <row r="8010">
      <c r="A8010">
        <f>Input!A8010</f>
        <v/>
      </c>
      <c r="B8010">
        <f>IF(ISNUMBER(Input!B8010),IF(AND(Input!B8010&gt;=20,Input!B8010&lt;=700),Input!B8010,""),"")</f>
        <v/>
      </c>
      <c r="C8010">
        <f>IF(B8010="","",INT(A8010))</f>
        <v/>
      </c>
      <c r="D8010">
        <f>IF(B8010="","",HOUR(A8010))</f>
        <v/>
      </c>
    </row>
    <row r="8011">
      <c r="A8011">
        <f>Input!A8011</f>
        <v/>
      </c>
      <c r="B8011">
        <f>IF(ISNUMBER(Input!B8011),IF(AND(Input!B8011&gt;=20,Input!B8011&lt;=700),Input!B8011,""),"")</f>
        <v/>
      </c>
      <c r="C8011">
        <f>IF(B8011="","",INT(A8011))</f>
        <v/>
      </c>
      <c r="D8011">
        <f>IF(B8011="","",HOUR(A8011))</f>
        <v/>
      </c>
    </row>
    <row r="8012">
      <c r="A8012">
        <f>Input!A8012</f>
        <v/>
      </c>
      <c r="B8012">
        <f>IF(ISNUMBER(Input!B8012),IF(AND(Input!B8012&gt;=20,Input!B8012&lt;=700),Input!B8012,""),"")</f>
        <v/>
      </c>
      <c r="C8012">
        <f>IF(B8012="","",INT(A8012))</f>
        <v/>
      </c>
      <c r="D8012">
        <f>IF(B8012="","",HOUR(A8012))</f>
        <v/>
      </c>
    </row>
    <row r="8013">
      <c r="A8013">
        <f>Input!A8013</f>
        <v/>
      </c>
      <c r="B8013">
        <f>IF(ISNUMBER(Input!B8013),IF(AND(Input!B8013&gt;=20,Input!B8013&lt;=700),Input!B8013,""),"")</f>
        <v/>
      </c>
      <c r="C8013">
        <f>IF(B8013="","",INT(A8013))</f>
        <v/>
      </c>
      <c r="D8013">
        <f>IF(B8013="","",HOUR(A8013))</f>
        <v/>
      </c>
    </row>
    <row r="8014">
      <c r="A8014">
        <f>Input!A8014</f>
        <v/>
      </c>
      <c r="B8014">
        <f>IF(ISNUMBER(Input!B8014),IF(AND(Input!B8014&gt;=20,Input!B8014&lt;=700),Input!B8014,""),"")</f>
        <v/>
      </c>
      <c r="C8014">
        <f>IF(B8014="","",INT(A8014))</f>
        <v/>
      </c>
      <c r="D8014">
        <f>IF(B8014="","",HOUR(A8014))</f>
        <v/>
      </c>
    </row>
    <row r="8015">
      <c r="A8015">
        <f>Input!A8015</f>
        <v/>
      </c>
      <c r="B8015">
        <f>IF(ISNUMBER(Input!B8015),IF(AND(Input!B8015&gt;=20,Input!B8015&lt;=700),Input!B8015,""),"")</f>
        <v/>
      </c>
      <c r="C8015">
        <f>IF(B8015="","",INT(A8015))</f>
        <v/>
      </c>
      <c r="D8015">
        <f>IF(B8015="","",HOUR(A8015))</f>
        <v/>
      </c>
    </row>
    <row r="8016">
      <c r="A8016">
        <f>Input!A8016</f>
        <v/>
      </c>
      <c r="B8016">
        <f>IF(ISNUMBER(Input!B8016),IF(AND(Input!B8016&gt;=20,Input!B8016&lt;=700),Input!B8016,""),"")</f>
        <v/>
      </c>
      <c r="C8016">
        <f>IF(B8016="","",INT(A8016))</f>
        <v/>
      </c>
      <c r="D8016">
        <f>IF(B8016="","",HOUR(A8016))</f>
        <v/>
      </c>
    </row>
    <row r="8017">
      <c r="A8017">
        <f>Input!A8017</f>
        <v/>
      </c>
      <c r="B8017">
        <f>IF(ISNUMBER(Input!B8017),IF(AND(Input!B8017&gt;=20,Input!B8017&lt;=700),Input!B8017,""),"")</f>
        <v/>
      </c>
      <c r="C8017">
        <f>IF(B8017="","",INT(A8017))</f>
        <v/>
      </c>
      <c r="D8017">
        <f>IF(B8017="","",HOUR(A8017))</f>
        <v/>
      </c>
    </row>
    <row r="8018">
      <c r="A8018">
        <f>Input!A8018</f>
        <v/>
      </c>
      <c r="B8018">
        <f>IF(ISNUMBER(Input!B8018),IF(AND(Input!B8018&gt;=20,Input!B8018&lt;=700),Input!B8018,""),"")</f>
        <v/>
      </c>
      <c r="C8018">
        <f>IF(B8018="","",INT(A8018))</f>
        <v/>
      </c>
      <c r="D8018">
        <f>IF(B8018="","",HOUR(A8018))</f>
        <v/>
      </c>
    </row>
    <row r="8019">
      <c r="A8019">
        <f>Input!A8019</f>
        <v/>
      </c>
      <c r="B8019">
        <f>IF(ISNUMBER(Input!B8019),IF(AND(Input!B8019&gt;=20,Input!B8019&lt;=700),Input!B8019,""),"")</f>
        <v/>
      </c>
      <c r="C8019">
        <f>IF(B8019="","",INT(A8019))</f>
        <v/>
      </c>
      <c r="D8019">
        <f>IF(B8019="","",HOUR(A8019))</f>
        <v/>
      </c>
    </row>
    <row r="8020">
      <c r="A8020">
        <f>Input!A8020</f>
        <v/>
      </c>
      <c r="B8020">
        <f>IF(ISNUMBER(Input!B8020),IF(AND(Input!B8020&gt;=20,Input!B8020&lt;=700),Input!B8020,""),"")</f>
        <v/>
      </c>
      <c r="C8020">
        <f>IF(B8020="","",INT(A8020))</f>
        <v/>
      </c>
      <c r="D8020">
        <f>IF(B8020="","",HOUR(A8020))</f>
        <v/>
      </c>
    </row>
    <row r="8021">
      <c r="A8021">
        <f>Input!A8021</f>
        <v/>
      </c>
      <c r="B8021">
        <f>IF(ISNUMBER(Input!B8021),IF(AND(Input!B8021&gt;=20,Input!B8021&lt;=700),Input!B8021,""),"")</f>
        <v/>
      </c>
      <c r="C8021">
        <f>IF(B8021="","",INT(A8021))</f>
        <v/>
      </c>
      <c r="D8021">
        <f>IF(B8021="","",HOUR(A8021))</f>
        <v/>
      </c>
    </row>
    <row r="8022">
      <c r="A8022">
        <f>Input!A8022</f>
        <v/>
      </c>
      <c r="B8022">
        <f>IF(ISNUMBER(Input!B8022),IF(AND(Input!B8022&gt;=20,Input!B8022&lt;=700),Input!B8022,""),"")</f>
        <v/>
      </c>
      <c r="C8022">
        <f>IF(B8022="","",INT(A8022))</f>
        <v/>
      </c>
      <c r="D8022">
        <f>IF(B8022="","",HOUR(A8022))</f>
        <v/>
      </c>
    </row>
    <row r="8023">
      <c r="A8023">
        <f>Input!A8023</f>
        <v/>
      </c>
      <c r="B8023">
        <f>IF(ISNUMBER(Input!B8023),IF(AND(Input!B8023&gt;=20,Input!B8023&lt;=700),Input!B8023,""),"")</f>
        <v/>
      </c>
      <c r="C8023">
        <f>IF(B8023="","",INT(A8023))</f>
        <v/>
      </c>
      <c r="D8023">
        <f>IF(B8023="","",HOUR(A8023))</f>
        <v/>
      </c>
    </row>
    <row r="8024">
      <c r="A8024">
        <f>Input!A8024</f>
        <v/>
      </c>
      <c r="B8024">
        <f>IF(ISNUMBER(Input!B8024),IF(AND(Input!B8024&gt;=20,Input!B8024&lt;=700),Input!B8024,""),"")</f>
        <v/>
      </c>
      <c r="C8024">
        <f>IF(B8024="","",INT(A8024))</f>
        <v/>
      </c>
      <c r="D8024">
        <f>IF(B8024="","",HOUR(A8024))</f>
        <v/>
      </c>
    </row>
    <row r="8025">
      <c r="A8025">
        <f>Input!A8025</f>
        <v/>
      </c>
      <c r="B8025">
        <f>IF(ISNUMBER(Input!B8025),IF(AND(Input!B8025&gt;=20,Input!B8025&lt;=700),Input!B8025,""),"")</f>
        <v/>
      </c>
      <c r="C8025">
        <f>IF(B8025="","",INT(A8025))</f>
        <v/>
      </c>
      <c r="D8025">
        <f>IF(B8025="","",HOUR(A8025))</f>
        <v/>
      </c>
    </row>
    <row r="8026">
      <c r="A8026">
        <f>Input!A8026</f>
        <v/>
      </c>
      <c r="B8026">
        <f>IF(ISNUMBER(Input!B8026),IF(AND(Input!B8026&gt;=20,Input!B8026&lt;=700),Input!B8026,""),"")</f>
        <v/>
      </c>
      <c r="C8026">
        <f>IF(B8026="","",INT(A8026))</f>
        <v/>
      </c>
      <c r="D8026">
        <f>IF(B8026="","",HOUR(A8026))</f>
        <v/>
      </c>
    </row>
    <row r="8027">
      <c r="A8027">
        <f>Input!A8027</f>
        <v/>
      </c>
      <c r="B8027">
        <f>IF(ISNUMBER(Input!B8027),IF(AND(Input!B8027&gt;=20,Input!B8027&lt;=700),Input!B8027,""),"")</f>
        <v/>
      </c>
      <c r="C8027">
        <f>IF(B8027="","",INT(A8027))</f>
        <v/>
      </c>
      <c r="D8027">
        <f>IF(B8027="","",HOUR(A8027))</f>
        <v/>
      </c>
    </row>
    <row r="8028">
      <c r="A8028">
        <f>Input!A8028</f>
        <v/>
      </c>
      <c r="B8028">
        <f>IF(ISNUMBER(Input!B8028),IF(AND(Input!B8028&gt;=20,Input!B8028&lt;=700),Input!B8028,""),"")</f>
        <v/>
      </c>
      <c r="C8028">
        <f>IF(B8028="","",INT(A8028))</f>
        <v/>
      </c>
      <c r="D8028">
        <f>IF(B8028="","",HOUR(A8028))</f>
        <v/>
      </c>
    </row>
    <row r="8029">
      <c r="A8029">
        <f>Input!A8029</f>
        <v/>
      </c>
      <c r="B8029">
        <f>IF(ISNUMBER(Input!B8029),IF(AND(Input!B8029&gt;=20,Input!B8029&lt;=700),Input!B8029,""),"")</f>
        <v/>
      </c>
      <c r="C8029">
        <f>IF(B8029="","",INT(A8029))</f>
        <v/>
      </c>
      <c r="D8029">
        <f>IF(B8029="","",HOUR(A8029))</f>
        <v/>
      </c>
    </row>
    <row r="8030">
      <c r="A8030">
        <f>Input!A8030</f>
        <v/>
      </c>
      <c r="B8030">
        <f>IF(ISNUMBER(Input!B8030),IF(AND(Input!B8030&gt;=20,Input!B8030&lt;=700),Input!B8030,""),"")</f>
        <v/>
      </c>
      <c r="C8030">
        <f>IF(B8030="","",INT(A8030))</f>
        <v/>
      </c>
      <c r="D8030">
        <f>IF(B8030="","",HOUR(A8030))</f>
        <v/>
      </c>
    </row>
    <row r="8031">
      <c r="A8031">
        <f>Input!A8031</f>
        <v/>
      </c>
      <c r="B8031">
        <f>IF(ISNUMBER(Input!B8031),IF(AND(Input!B8031&gt;=20,Input!B8031&lt;=700),Input!B8031,""),"")</f>
        <v/>
      </c>
      <c r="C8031">
        <f>IF(B8031="","",INT(A8031))</f>
        <v/>
      </c>
      <c r="D8031">
        <f>IF(B8031="","",HOUR(A8031))</f>
        <v/>
      </c>
    </row>
    <row r="8032">
      <c r="A8032">
        <f>Input!A8032</f>
        <v/>
      </c>
      <c r="B8032">
        <f>IF(ISNUMBER(Input!B8032),IF(AND(Input!B8032&gt;=20,Input!B8032&lt;=700),Input!B8032,""),"")</f>
        <v/>
      </c>
      <c r="C8032">
        <f>IF(B8032="","",INT(A8032))</f>
        <v/>
      </c>
      <c r="D8032">
        <f>IF(B8032="","",HOUR(A8032))</f>
        <v/>
      </c>
    </row>
    <row r="8033">
      <c r="A8033">
        <f>Input!A8033</f>
        <v/>
      </c>
      <c r="B8033">
        <f>IF(ISNUMBER(Input!B8033),IF(AND(Input!B8033&gt;=20,Input!B8033&lt;=700),Input!B8033,""),"")</f>
        <v/>
      </c>
      <c r="C8033">
        <f>IF(B8033="","",INT(A8033))</f>
        <v/>
      </c>
      <c r="D8033">
        <f>IF(B8033="","",HOUR(A8033))</f>
        <v/>
      </c>
    </row>
    <row r="8034">
      <c r="A8034">
        <f>Input!A8034</f>
        <v/>
      </c>
      <c r="B8034">
        <f>IF(ISNUMBER(Input!B8034),IF(AND(Input!B8034&gt;=20,Input!B8034&lt;=700),Input!B8034,""),"")</f>
        <v/>
      </c>
      <c r="C8034">
        <f>IF(B8034="","",INT(A8034))</f>
        <v/>
      </c>
      <c r="D8034">
        <f>IF(B8034="","",HOUR(A8034))</f>
        <v/>
      </c>
    </row>
    <row r="8035">
      <c r="A8035">
        <f>Input!A8035</f>
        <v/>
      </c>
      <c r="B8035">
        <f>IF(ISNUMBER(Input!B8035),IF(AND(Input!B8035&gt;=20,Input!B8035&lt;=700),Input!B8035,""),"")</f>
        <v/>
      </c>
      <c r="C8035">
        <f>IF(B8035="","",INT(A8035))</f>
        <v/>
      </c>
      <c r="D8035">
        <f>IF(B8035="","",HOUR(A8035))</f>
        <v/>
      </c>
    </row>
    <row r="8036">
      <c r="A8036">
        <f>Input!A8036</f>
        <v/>
      </c>
      <c r="B8036">
        <f>IF(ISNUMBER(Input!B8036),IF(AND(Input!B8036&gt;=20,Input!B8036&lt;=700),Input!B8036,""),"")</f>
        <v/>
      </c>
      <c r="C8036">
        <f>IF(B8036="","",INT(A8036))</f>
        <v/>
      </c>
      <c r="D8036">
        <f>IF(B8036="","",HOUR(A8036))</f>
        <v/>
      </c>
    </row>
    <row r="8037">
      <c r="A8037">
        <f>Input!A8037</f>
        <v/>
      </c>
      <c r="B8037">
        <f>IF(ISNUMBER(Input!B8037),IF(AND(Input!B8037&gt;=20,Input!B8037&lt;=700),Input!B8037,""),"")</f>
        <v/>
      </c>
      <c r="C8037">
        <f>IF(B8037="","",INT(A8037))</f>
        <v/>
      </c>
      <c r="D8037">
        <f>IF(B8037="","",HOUR(A8037))</f>
        <v/>
      </c>
    </row>
    <row r="8038">
      <c r="A8038">
        <f>Input!A8038</f>
        <v/>
      </c>
      <c r="B8038">
        <f>IF(ISNUMBER(Input!B8038),IF(AND(Input!B8038&gt;=20,Input!B8038&lt;=700),Input!B8038,""),"")</f>
        <v/>
      </c>
      <c r="C8038">
        <f>IF(B8038="","",INT(A8038))</f>
        <v/>
      </c>
      <c r="D8038">
        <f>IF(B8038="","",HOUR(A8038))</f>
        <v/>
      </c>
    </row>
    <row r="8039">
      <c r="A8039">
        <f>Input!A8039</f>
        <v/>
      </c>
      <c r="B8039">
        <f>IF(ISNUMBER(Input!B8039),IF(AND(Input!B8039&gt;=20,Input!B8039&lt;=700),Input!B8039,""),"")</f>
        <v/>
      </c>
      <c r="C8039">
        <f>IF(B8039="","",INT(A8039))</f>
        <v/>
      </c>
      <c r="D8039">
        <f>IF(B8039="","",HOUR(A8039))</f>
        <v/>
      </c>
    </row>
    <row r="8040">
      <c r="A8040">
        <f>Input!A8040</f>
        <v/>
      </c>
      <c r="B8040">
        <f>IF(ISNUMBER(Input!B8040),IF(AND(Input!B8040&gt;=20,Input!B8040&lt;=700),Input!B8040,""),"")</f>
        <v/>
      </c>
      <c r="C8040">
        <f>IF(B8040="","",INT(A8040))</f>
        <v/>
      </c>
      <c r="D8040">
        <f>IF(B8040="","",HOUR(A8040))</f>
        <v/>
      </c>
    </row>
    <row r="8041">
      <c r="A8041">
        <f>Input!A8041</f>
        <v/>
      </c>
      <c r="B8041">
        <f>IF(ISNUMBER(Input!B8041),IF(AND(Input!B8041&gt;=20,Input!B8041&lt;=700),Input!B8041,""),"")</f>
        <v/>
      </c>
      <c r="C8041">
        <f>IF(B8041="","",INT(A8041))</f>
        <v/>
      </c>
      <c r="D8041">
        <f>IF(B8041="","",HOUR(A8041))</f>
        <v/>
      </c>
    </row>
    <row r="8042">
      <c r="A8042">
        <f>Input!A8042</f>
        <v/>
      </c>
      <c r="B8042">
        <f>IF(ISNUMBER(Input!B8042),IF(AND(Input!B8042&gt;=20,Input!B8042&lt;=700),Input!B8042,""),"")</f>
        <v/>
      </c>
      <c r="C8042">
        <f>IF(B8042="","",INT(A8042))</f>
        <v/>
      </c>
      <c r="D8042">
        <f>IF(B8042="","",HOUR(A8042))</f>
        <v/>
      </c>
    </row>
    <row r="8043">
      <c r="A8043">
        <f>Input!A8043</f>
        <v/>
      </c>
      <c r="B8043">
        <f>IF(ISNUMBER(Input!B8043),IF(AND(Input!B8043&gt;=20,Input!B8043&lt;=700),Input!B8043,""),"")</f>
        <v/>
      </c>
      <c r="C8043">
        <f>IF(B8043="","",INT(A8043))</f>
        <v/>
      </c>
      <c r="D8043">
        <f>IF(B8043="","",HOUR(A8043))</f>
        <v/>
      </c>
    </row>
    <row r="8044">
      <c r="A8044">
        <f>Input!A8044</f>
        <v/>
      </c>
      <c r="B8044">
        <f>IF(ISNUMBER(Input!B8044),IF(AND(Input!B8044&gt;=20,Input!B8044&lt;=700),Input!B8044,""),"")</f>
        <v/>
      </c>
      <c r="C8044">
        <f>IF(B8044="","",INT(A8044))</f>
        <v/>
      </c>
      <c r="D8044">
        <f>IF(B8044="","",HOUR(A8044))</f>
        <v/>
      </c>
    </row>
    <row r="8045">
      <c r="A8045">
        <f>Input!A8045</f>
        <v/>
      </c>
      <c r="B8045">
        <f>IF(ISNUMBER(Input!B8045),IF(AND(Input!B8045&gt;=20,Input!B8045&lt;=700),Input!B8045,""),"")</f>
        <v/>
      </c>
      <c r="C8045">
        <f>IF(B8045="","",INT(A8045))</f>
        <v/>
      </c>
      <c r="D8045">
        <f>IF(B8045="","",HOUR(A8045))</f>
        <v/>
      </c>
    </row>
    <row r="8046">
      <c r="A8046">
        <f>Input!A8046</f>
        <v/>
      </c>
      <c r="B8046">
        <f>IF(ISNUMBER(Input!B8046),IF(AND(Input!B8046&gt;=20,Input!B8046&lt;=700),Input!B8046,""),"")</f>
        <v/>
      </c>
      <c r="C8046">
        <f>IF(B8046="","",INT(A8046))</f>
        <v/>
      </c>
      <c r="D8046">
        <f>IF(B8046="","",HOUR(A8046))</f>
        <v/>
      </c>
    </row>
    <row r="8047">
      <c r="A8047">
        <f>Input!A8047</f>
        <v/>
      </c>
      <c r="B8047">
        <f>IF(ISNUMBER(Input!B8047),IF(AND(Input!B8047&gt;=20,Input!B8047&lt;=700),Input!B8047,""),"")</f>
        <v/>
      </c>
      <c r="C8047">
        <f>IF(B8047="","",INT(A8047))</f>
        <v/>
      </c>
      <c r="D8047">
        <f>IF(B8047="","",HOUR(A8047))</f>
        <v/>
      </c>
    </row>
    <row r="8048">
      <c r="A8048">
        <f>Input!A8048</f>
        <v/>
      </c>
      <c r="B8048">
        <f>IF(ISNUMBER(Input!B8048),IF(AND(Input!B8048&gt;=20,Input!B8048&lt;=700),Input!B8048,""),"")</f>
        <v/>
      </c>
      <c r="C8048">
        <f>IF(B8048="","",INT(A8048))</f>
        <v/>
      </c>
      <c r="D8048">
        <f>IF(B8048="","",HOUR(A8048))</f>
        <v/>
      </c>
    </row>
    <row r="8049">
      <c r="A8049">
        <f>Input!A8049</f>
        <v/>
      </c>
      <c r="B8049">
        <f>IF(ISNUMBER(Input!B8049),IF(AND(Input!B8049&gt;=20,Input!B8049&lt;=700),Input!B8049,""),"")</f>
        <v/>
      </c>
      <c r="C8049">
        <f>IF(B8049="","",INT(A8049))</f>
        <v/>
      </c>
      <c r="D8049">
        <f>IF(B8049="","",HOUR(A8049))</f>
        <v/>
      </c>
    </row>
    <row r="8050">
      <c r="A8050">
        <f>Input!A8050</f>
        <v/>
      </c>
      <c r="B8050">
        <f>IF(ISNUMBER(Input!B8050),IF(AND(Input!B8050&gt;=20,Input!B8050&lt;=700),Input!B8050,""),"")</f>
        <v/>
      </c>
      <c r="C8050">
        <f>IF(B8050="","",INT(A8050))</f>
        <v/>
      </c>
      <c r="D8050">
        <f>IF(B8050="","",HOUR(A8050))</f>
        <v/>
      </c>
    </row>
    <row r="8051">
      <c r="A8051">
        <f>Input!A8051</f>
        <v/>
      </c>
      <c r="B8051">
        <f>IF(ISNUMBER(Input!B8051),IF(AND(Input!B8051&gt;=20,Input!B8051&lt;=700),Input!B8051,""),"")</f>
        <v/>
      </c>
      <c r="C8051">
        <f>IF(B8051="","",INT(A8051))</f>
        <v/>
      </c>
      <c r="D8051">
        <f>IF(B8051="","",HOUR(A8051))</f>
        <v/>
      </c>
    </row>
    <row r="8052">
      <c r="A8052">
        <f>Input!A8052</f>
        <v/>
      </c>
      <c r="B8052">
        <f>IF(ISNUMBER(Input!B8052),IF(AND(Input!B8052&gt;=20,Input!B8052&lt;=700),Input!B8052,""),"")</f>
        <v/>
      </c>
      <c r="C8052">
        <f>IF(B8052="","",INT(A8052))</f>
        <v/>
      </c>
      <c r="D8052">
        <f>IF(B8052="","",HOUR(A8052))</f>
        <v/>
      </c>
    </row>
    <row r="8053">
      <c r="A8053">
        <f>Input!A8053</f>
        <v/>
      </c>
      <c r="B8053">
        <f>IF(ISNUMBER(Input!B8053),IF(AND(Input!B8053&gt;=20,Input!B8053&lt;=700),Input!B8053,""),"")</f>
        <v/>
      </c>
      <c r="C8053">
        <f>IF(B8053="","",INT(A8053))</f>
        <v/>
      </c>
      <c r="D8053">
        <f>IF(B8053="","",HOUR(A8053))</f>
        <v/>
      </c>
    </row>
    <row r="8054">
      <c r="A8054">
        <f>Input!A8054</f>
        <v/>
      </c>
      <c r="B8054">
        <f>IF(ISNUMBER(Input!B8054),IF(AND(Input!B8054&gt;=20,Input!B8054&lt;=700),Input!B8054,""),"")</f>
        <v/>
      </c>
      <c r="C8054">
        <f>IF(B8054="","",INT(A8054))</f>
        <v/>
      </c>
      <c r="D8054">
        <f>IF(B8054="","",HOUR(A8054))</f>
        <v/>
      </c>
    </row>
    <row r="8055">
      <c r="A8055">
        <f>Input!A8055</f>
        <v/>
      </c>
      <c r="B8055">
        <f>IF(ISNUMBER(Input!B8055),IF(AND(Input!B8055&gt;=20,Input!B8055&lt;=700),Input!B8055,""),"")</f>
        <v/>
      </c>
      <c r="C8055">
        <f>IF(B8055="","",INT(A8055))</f>
        <v/>
      </c>
      <c r="D8055">
        <f>IF(B8055="","",HOUR(A8055))</f>
        <v/>
      </c>
    </row>
    <row r="8056">
      <c r="A8056">
        <f>Input!A8056</f>
        <v/>
      </c>
      <c r="B8056">
        <f>IF(ISNUMBER(Input!B8056),IF(AND(Input!B8056&gt;=20,Input!B8056&lt;=700),Input!B8056,""),"")</f>
        <v/>
      </c>
      <c r="C8056">
        <f>IF(B8056="","",INT(A8056))</f>
        <v/>
      </c>
      <c r="D8056">
        <f>IF(B8056="","",HOUR(A8056))</f>
        <v/>
      </c>
    </row>
    <row r="8057">
      <c r="A8057">
        <f>Input!A8057</f>
        <v/>
      </c>
      <c r="B8057">
        <f>IF(ISNUMBER(Input!B8057),IF(AND(Input!B8057&gt;=20,Input!B8057&lt;=700),Input!B8057,""),"")</f>
        <v/>
      </c>
      <c r="C8057">
        <f>IF(B8057="","",INT(A8057))</f>
        <v/>
      </c>
      <c r="D8057">
        <f>IF(B8057="","",HOUR(A8057))</f>
        <v/>
      </c>
    </row>
    <row r="8058">
      <c r="A8058">
        <f>Input!A8058</f>
        <v/>
      </c>
      <c r="B8058">
        <f>IF(ISNUMBER(Input!B8058),IF(AND(Input!B8058&gt;=20,Input!B8058&lt;=700),Input!B8058,""),"")</f>
        <v/>
      </c>
      <c r="C8058">
        <f>IF(B8058="","",INT(A8058))</f>
        <v/>
      </c>
      <c r="D8058">
        <f>IF(B8058="","",HOUR(A8058))</f>
        <v/>
      </c>
    </row>
    <row r="8059">
      <c r="A8059">
        <f>Input!A8059</f>
        <v/>
      </c>
      <c r="B8059">
        <f>IF(ISNUMBER(Input!B8059),IF(AND(Input!B8059&gt;=20,Input!B8059&lt;=700),Input!B8059,""),"")</f>
        <v/>
      </c>
      <c r="C8059">
        <f>IF(B8059="","",INT(A8059))</f>
        <v/>
      </c>
      <c r="D8059">
        <f>IF(B8059="","",HOUR(A8059))</f>
        <v/>
      </c>
    </row>
    <row r="8060">
      <c r="A8060">
        <f>Input!A8060</f>
        <v/>
      </c>
      <c r="B8060">
        <f>IF(ISNUMBER(Input!B8060),IF(AND(Input!B8060&gt;=20,Input!B8060&lt;=700),Input!B8060,""),"")</f>
        <v/>
      </c>
      <c r="C8060">
        <f>IF(B8060="","",INT(A8060))</f>
        <v/>
      </c>
      <c r="D8060">
        <f>IF(B8060="","",HOUR(A8060))</f>
        <v/>
      </c>
    </row>
    <row r="8061">
      <c r="A8061">
        <f>Input!A8061</f>
        <v/>
      </c>
      <c r="B8061">
        <f>IF(ISNUMBER(Input!B8061),IF(AND(Input!B8061&gt;=20,Input!B8061&lt;=700),Input!B8061,""),"")</f>
        <v/>
      </c>
      <c r="C8061">
        <f>IF(B8061="","",INT(A8061))</f>
        <v/>
      </c>
      <c r="D8061">
        <f>IF(B8061="","",HOUR(A8061))</f>
        <v/>
      </c>
    </row>
    <row r="8062">
      <c r="A8062">
        <f>Input!A8062</f>
        <v/>
      </c>
      <c r="B8062">
        <f>IF(ISNUMBER(Input!B8062),IF(AND(Input!B8062&gt;=20,Input!B8062&lt;=700),Input!B8062,""),"")</f>
        <v/>
      </c>
      <c r="C8062">
        <f>IF(B8062="","",INT(A8062))</f>
        <v/>
      </c>
      <c r="D8062">
        <f>IF(B8062="","",HOUR(A8062))</f>
        <v/>
      </c>
    </row>
    <row r="8063">
      <c r="A8063">
        <f>Input!A8063</f>
        <v/>
      </c>
      <c r="B8063">
        <f>IF(ISNUMBER(Input!B8063),IF(AND(Input!B8063&gt;=20,Input!B8063&lt;=700),Input!B8063,""),"")</f>
        <v/>
      </c>
      <c r="C8063">
        <f>IF(B8063="","",INT(A8063))</f>
        <v/>
      </c>
      <c r="D8063">
        <f>IF(B8063="","",HOUR(A8063))</f>
        <v/>
      </c>
    </row>
    <row r="8064">
      <c r="A8064">
        <f>Input!A8064</f>
        <v/>
      </c>
      <c r="B8064">
        <f>IF(ISNUMBER(Input!B8064),IF(AND(Input!B8064&gt;=20,Input!B8064&lt;=700),Input!B8064,""),"")</f>
        <v/>
      </c>
      <c r="C8064">
        <f>IF(B8064="","",INT(A8064))</f>
        <v/>
      </c>
      <c r="D8064">
        <f>IF(B8064="","",HOUR(A8064))</f>
        <v/>
      </c>
    </row>
    <row r="8065">
      <c r="A8065">
        <f>Input!A8065</f>
        <v/>
      </c>
      <c r="B8065">
        <f>IF(ISNUMBER(Input!B8065),IF(AND(Input!B8065&gt;=20,Input!B8065&lt;=700),Input!B8065,""),"")</f>
        <v/>
      </c>
      <c r="C8065">
        <f>IF(B8065="","",INT(A8065))</f>
        <v/>
      </c>
      <c r="D8065">
        <f>IF(B8065="","",HOUR(A8065))</f>
        <v/>
      </c>
    </row>
    <row r="8066">
      <c r="A8066">
        <f>Input!A8066</f>
        <v/>
      </c>
      <c r="B8066">
        <f>IF(ISNUMBER(Input!B8066),IF(AND(Input!B8066&gt;=20,Input!B8066&lt;=700),Input!B8066,""),"")</f>
        <v/>
      </c>
      <c r="C8066">
        <f>IF(B8066="","",INT(A8066))</f>
        <v/>
      </c>
      <c r="D8066">
        <f>IF(B8066="","",HOUR(A8066))</f>
        <v/>
      </c>
    </row>
    <row r="8067">
      <c r="A8067">
        <f>Input!A8067</f>
        <v/>
      </c>
      <c r="B8067">
        <f>IF(ISNUMBER(Input!B8067),IF(AND(Input!B8067&gt;=20,Input!B8067&lt;=700),Input!B8067,""),"")</f>
        <v/>
      </c>
      <c r="C8067">
        <f>IF(B8067="","",INT(A8067))</f>
        <v/>
      </c>
      <c r="D8067">
        <f>IF(B8067="","",HOUR(A8067))</f>
        <v/>
      </c>
    </row>
    <row r="8068">
      <c r="A8068">
        <f>Input!A8068</f>
        <v/>
      </c>
      <c r="B8068">
        <f>IF(ISNUMBER(Input!B8068),IF(AND(Input!B8068&gt;=20,Input!B8068&lt;=700),Input!B8068,""),"")</f>
        <v/>
      </c>
      <c r="C8068">
        <f>IF(B8068="","",INT(A8068))</f>
        <v/>
      </c>
      <c r="D8068">
        <f>IF(B8068="","",HOUR(A8068))</f>
        <v/>
      </c>
    </row>
    <row r="8069">
      <c r="A8069">
        <f>Input!A8069</f>
        <v/>
      </c>
      <c r="B8069">
        <f>IF(ISNUMBER(Input!B8069),IF(AND(Input!B8069&gt;=20,Input!B8069&lt;=700),Input!B8069,""),"")</f>
        <v/>
      </c>
      <c r="C8069">
        <f>IF(B8069="","",INT(A8069))</f>
        <v/>
      </c>
      <c r="D8069">
        <f>IF(B8069="","",HOUR(A8069))</f>
        <v/>
      </c>
    </row>
    <row r="8070">
      <c r="A8070">
        <f>Input!A8070</f>
        <v/>
      </c>
      <c r="B8070">
        <f>IF(ISNUMBER(Input!B8070),IF(AND(Input!B8070&gt;=20,Input!B8070&lt;=700),Input!B8070,""),"")</f>
        <v/>
      </c>
      <c r="C8070">
        <f>IF(B8070="","",INT(A8070))</f>
        <v/>
      </c>
      <c r="D8070">
        <f>IF(B8070="","",HOUR(A8070))</f>
        <v/>
      </c>
    </row>
    <row r="8071">
      <c r="A8071">
        <f>Input!A8071</f>
        <v/>
      </c>
      <c r="B8071">
        <f>IF(ISNUMBER(Input!B8071),IF(AND(Input!B8071&gt;=20,Input!B8071&lt;=700),Input!B8071,""),"")</f>
        <v/>
      </c>
      <c r="C8071">
        <f>IF(B8071="","",INT(A8071))</f>
        <v/>
      </c>
      <c r="D8071">
        <f>IF(B8071="","",HOUR(A8071))</f>
        <v/>
      </c>
    </row>
    <row r="8072">
      <c r="A8072">
        <f>Input!A8072</f>
        <v/>
      </c>
      <c r="B8072">
        <f>IF(ISNUMBER(Input!B8072),IF(AND(Input!B8072&gt;=20,Input!B8072&lt;=700),Input!B8072,""),"")</f>
        <v/>
      </c>
      <c r="C8072">
        <f>IF(B8072="","",INT(A8072))</f>
        <v/>
      </c>
      <c r="D8072">
        <f>IF(B8072="","",HOUR(A8072))</f>
        <v/>
      </c>
    </row>
    <row r="8073">
      <c r="A8073">
        <f>Input!A8073</f>
        <v/>
      </c>
      <c r="B8073">
        <f>IF(ISNUMBER(Input!B8073),IF(AND(Input!B8073&gt;=20,Input!B8073&lt;=700),Input!B8073,""),"")</f>
        <v/>
      </c>
      <c r="C8073">
        <f>IF(B8073="","",INT(A8073))</f>
        <v/>
      </c>
      <c r="D8073">
        <f>IF(B8073="","",HOUR(A8073))</f>
        <v/>
      </c>
    </row>
    <row r="8074">
      <c r="A8074">
        <f>Input!A8074</f>
        <v/>
      </c>
      <c r="B8074">
        <f>IF(ISNUMBER(Input!B8074),IF(AND(Input!B8074&gt;=20,Input!B8074&lt;=700),Input!B8074,""),"")</f>
        <v/>
      </c>
      <c r="C8074">
        <f>IF(B8074="","",INT(A8074))</f>
        <v/>
      </c>
      <c r="D8074">
        <f>IF(B8074="","",HOUR(A8074))</f>
        <v/>
      </c>
    </row>
    <row r="8075">
      <c r="A8075">
        <f>Input!A8075</f>
        <v/>
      </c>
      <c r="B8075">
        <f>IF(ISNUMBER(Input!B8075),IF(AND(Input!B8075&gt;=20,Input!B8075&lt;=700),Input!B8075,""),"")</f>
        <v/>
      </c>
      <c r="C8075">
        <f>IF(B8075="","",INT(A8075))</f>
        <v/>
      </c>
      <c r="D8075">
        <f>IF(B8075="","",HOUR(A8075))</f>
        <v/>
      </c>
    </row>
    <row r="8076">
      <c r="A8076">
        <f>Input!A8076</f>
        <v/>
      </c>
      <c r="B8076">
        <f>IF(ISNUMBER(Input!B8076),IF(AND(Input!B8076&gt;=20,Input!B8076&lt;=700),Input!B8076,""),"")</f>
        <v/>
      </c>
      <c r="C8076">
        <f>IF(B8076="","",INT(A8076))</f>
        <v/>
      </c>
      <c r="D8076">
        <f>IF(B8076="","",HOUR(A8076))</f>
        <v/>
      </c>
    </row>
    <row r="8077">
      <c r="A8077">
        <f>Input!A8077</f>
        <v/>
      </c>
      <c r="B8077">
        <f>IF(ISNUMBER(Input!B8077),IF(AND(Input!B8077&gt;=20,Input!B8077&lt;=700),Input!B8077,""),"")</f>
        <v/>
      </c>
      <c r="C8077">
        <f>IF(B8077="","",INT(A8077))</f>
        <v/>
      </c>
      <c r="D8077">
        <f>IF(B8077="","",HOUR(A8077))</f>
        <v/>
      </c>
    </row>
    <row r="8078">
      <c r="A8078">
        <f>Input!A8078</f>
        <v/>
      </c>
      <c r="B8078">
        <f>IF(ISNUMBER(Input!B8078),IF(AND(Input!B8078&gt;=20,Input!B8078&lt;=700),Input!B8078,""),"")</f>
        <v/>
      </c>
      <c r="C8078">
        <f>IF(B8078="","",INT(A8078))</f>
        <v/>
      </c>
      <c r="D8078">
        <f>IF(B8078="","",HOUR(A8078))</f>
        <v/>
      </c>
    </row>
    <row r="8079">
      <c r="A8079">
        <f>Input!A8079</f>
        <v/>
      </c>
      <c r="B8079">
        <f>IF(ISNUMBER(Input!B8079),IF(AND(Input!B8079&gt;=20,Input!B8079&lt;=700),Input!B8079,""),"")</f>
        <v/>
      </c>
      <c r="C8079">
        <f>IF(B8079="","",INT(A8079))</f>
        <v/>
      </c>
      <c r="D8079">
        <f>IF(B8079="","",HOUR(A8079))</f>
        <v/>
      </c>
    </row>
    <row r="8080">
      <c r="A8080">
        <f>Input!A8080</f>
        <v/>
      </c>
      <c r="B8080">
        <f>IF(ISNUMBER(Input!B8080),IF(AND(Input!B8080&gt;=20,Input!B8080&lt;=700),Input!B8080,""),"")</f>
        <v/>
      </c>
      <c r="C8080">
        <f>IF(B8080="","",INT(A8080))</f>
        <v/>
      </c>
      <c r="D8080">
        <f>IF(B8080="","",HOUR(A8080))</f>
        <v/>
      </c>
    </row>
    <row r="8081">
      <c r="A8081">
        <f>Input!A8081</f>
        <v/>
      </c>
      <c r="B8081">
        <f>IF(ISNUMBER(Input!B8081),IF(AND(Input!B8081&gt;=20,Input!B8081&lt;=700),Input!B8081,""),"")</f>
        <v/>
      </c>
      <c r="C8081">
        <f>IF(B8081="","",INT(A8081))</f>
        <v/>
      </c>
      <c r="D8081">
        <f>IF(B8081="","",HOUR(A8081))</f>
        <v/>
      </c>
    </row>
    <row r="8082">
      <c r="A8082">
        <f>Input!A8082</f>
        <v/>
      </c>
      <c r="B8082">
        <f>IF(ISNUMBER(Input!B8082),IF(AND(Input!B8082&gt;=20,Input!B8082&lt;=700),Input!B8082,""),"")</f>
        <v/>
      </c>
      <c r="C8082">
        <f>IF(B8082="","",INT(A8082))</f>
        <v/>
      </c>
      <c r="D8082">
        <f>IF(B8082="","",HOUR(A8082))</f>
        <v/>
      </c>
    </row>
    <row r="8083">
      <c r="A8083">
        <f>Input!A8083</f>
        <v/>
      </c>
      <c r="B8083">
        <f>IF(ISNUMBER(Input!B8083),IF(AND(Input!B8083&gt;=20,Input!B8083&lt;=700),Input!B8083,""),"")</f>
        <v/>
      </c>
      <c r="C8083">
        <f>IF(B8083="","",INT(A8083))</f>
        <v/>
      </c>
      <c r="D8083">
        <f>IF(B8083="","",HOUR(A8083))</f>
        <v/>
      </c>
    </row>
    <row r="8084">
      <c r="A8084">
        <f>Input!A8084</f>
        <v/>
      </c>
      <c r="B8084">
        <f>IF(ISNUMBER(Input!B8084),IF(AND(Input!B8084&gt;=20,Input!B8084&lt;=700),Input!B8084,""),"")</f>
        <v/>
      </c>
      <c r="C8084">
        <f>IF(B8084="","",INT(A8084))</f>
        <v/>
      </c>
      <c r="D8084">
        <f>IF(B8084="","",HOUR(A8084))</f>
        <v/>
      </c>
    </row>
    <row r="8085">
      <c r="A8085">
        <f>Input!A8085</f>
        <v/>
      </c>
      <c r="B8085">
        <f>IF(ISNUMBER(Input!B8085),IF(AND(Input!B8085&gt;=20,Input!B8085&lt;=700),Input!B8085,""),"")</f>
        <v/>
      </c>
      <c r="C8085">
        <f>IF(B8085="","",INT(A8085))</f>
        <v/>
      </c>
      <c r="D8085">
        <f>IF(B8085="","",HOUR(A8085))</f>
        <v/>
      </c>
    </row>
    <row r="8086">
      <c r="A8086">
        <f>Input!A8086</f>
        <v/>
      </c>
      <c r="B8086">
        <f>IF(ISNUMBER(Input!B8086),IF(AND(Input!B8086&gt;=20,Input!B8086&lt;=700),Input!B8086,""),"")</f>
        <v/>
      </c>
      <c r="C8086">
        <f>IF(B8086="","",INT(A8086))</f>
        <v/>
      </c>
      <c r="D8086">
        <f>IF(B8086="","",HOUR(A8086))</f>
        <v/>
      </c>
    </row>
    <row r="8087">
      <c r="A8087">
        <f>Input!A8087</f>
        <v/>
      </c>
      <c r="B8087">
        <f>IF(ISNUMBER(Input!B8087),IF(AND(Input!B8087&gt;=20,Input!B8087&lt;=700),Input!B8087,""),"")</f>
        <v/>
      </c>
      <c r="C8087">
        <f>IF(B8087="","",INT(A8087))</f>
        <v/>
      </c>
      <c r="D8087">
        <f>IF(B8087="","",HOUR(A8087))</f>
        <v/>
      </c>
    </row>
    <row r="8088">
      <c r="A8088">
        <f>Input!A8088</f>
        <v/>
      </c>
      <c r="B8088">
        <f>IF(ISNUMBER(Input!B8088),IF(AND(Input!B8088&gt;=20,Input!B8088&lt;=700),Input!B8088,""),"")</f>
        <v/>
      </c>
      <c r="C8088">
        <f>IF(B8088="","",INT(A8088))</f>
        <v/>
      </c>
      <c r="D8088">
        <f>IF(B8088="","",HOUR(A8088))</f>
        <v/>
      </c>
    </row>
    <row r="8089">
      <c r="A8089">
        <f>Input!A8089</f>
        <v/>
      </c>
      <c r="B8089">
        <f>IF(ISNUMBER(Input!B8089),IF(AND(Input!B8089&gt;=20,Input!B8089&lt;=700),Input!B8089,""),"")</f>
        <v/>
      </c>
      <c r="C8089">
        <f>IF(B8089="","",INT(A8089))</f>
        <v/>
      </c>
      <c r="D8089">
        <f>IF(B8089="","",HOUR(A8089))</f>
        <v/>
      </c>
    </row>
    <row r="8090">
      <c r="A8090">
        <f>Input!A8090</f>
        <v/>
      </c>
      <c r="B8090">
        <f>IF(ISNUMBER(Input!B8090),IF(AND(Input!B8090&gt;=20,Input!B8090&lt;=700),Input!B8090,""),"")</f>
        <v/>
      </c>
      <c r="C8090">
        <f>IF(B8090="","",INT(A8090))</f>
        <v/>
      </c>
      <c r="D8090">
        <f>IF(B8090="","",HOUR(A8090))</f>
        <v/>
      </c>
    </row>
    <row r="8091">
      <c r="A8091">
        <f>Input!A8091</f>
        <v/>
      </c>
      <c r="B8091">
        <f>IF(ISNUMBER(Input!B8091),IF(AND(Input!B8091&gt;=20,Input!B8091&lt;=700),Input!B8091,""),"")</f>
        <v/>
      </c>
      <c r="C8091">
        <f>IF(B8091="","",INT(A8091))</f>
        <v/>
      </c>
      <c r="D8091">
        <f>IF(B8091="","",HOUR(A8091))</f>
        <v/>
      </c>
    </row>
    <row r="8092">
      <c r="A8092">
        <f>Input!A8092</f>
        <v/>
      </c>
      <c r="B8092">
        <f>IF(ISNUMBER(Input!B8092),IF(AND(Input!B8092&gt;=20,Input!B8092&lt;=700),Input!B8092,""),"")</f>
        <v/>
      </c>
      <c r="C8092">
        <f>IF(B8092="","",INT(A8092))</f>
        <v/>
      </c>
      <c r="D8092">
        <f>IF(B8092="","",HOUR(A8092))</f>
        <v/>
      </c>
    </row>
    <row r="8093">
      <c r="A8093">
        <f>Input!A8093</f>
        <v/>
      </c>
      <c r="B8093">
        <f>IF(ISNUMBER(Input!B8093),IF(AND(Input!B8093&gt;=20,Input!B8093&lt;=700),Input!B8093,""),"")</f>
        <v/>
      </c>
      <c r="C8093">
        <f>IF(B8093="","",INT(A8093))</f>
        <v/>
      </c>
      <c r="D8093">
        <f>IF(B8093="","",HOUR(A8093))</f>
        <v/>
      </c>
    </row>
    <row r="8094">
      <c r="A8094">
        <f>Input!A8094</f>
        <v/>
      </c>
      <c r="B8094">
        <f>IF(ISNUMBER(Input!B8094),IF(AND(Input!B8094&gt;=20,Input!B8094&lt;=700),Input!B8094,""),"")</f>
        <v/>
      </c>
      <c r="C8094">
        <f>IF(B8094="","",INT(A8094))</f>
        <v/>
      </c>
      <c r="D8094">
        <f>IF(B8094="","",HOUR(A8094))</f>
        <v/>
      </c>
    </row>
    <row r="8095">
      <c r="A8095">
        <f>Input!A8095</f>
        <v/>
      </c>
      <c r="B8095">
        <f>IF(ISNUMBER(Input!B8095),IF(AND(Input!B8095&gt;=20,Input!B8095&lt;=700),Input!B8095,""),"")</f>
        <v/>
      </c>
      <c r="C8095">
        <f>IF(B8095="","",INT(A8095))</f>
        <v/>
      </c>
      <c r="D8095">
        <f>IF(B8095="","",HOUR(A8095))</f>
        <v/>
      </c>
    </row>
    <row r="8096">
      <c r="A8096">
        <f>Input!A8096</f>
        <v/>
      </c>
      <c r="B8096">
        <f>IF(ISNUMBER(Input!B8096),IF(AND(Input!B8096&gt;=20,Input!B8096&lt;=700),Input!B8096,""),"")</f>
        <v/>
      </c>
      <c r="C8096">
        <f>IF(B8096="","",INT(A8096))</f>
        <v/>
      </c>
      <c r="D8096">
        <f>IF(B8096="","",HOUR(A8096))</f>
        <v/>
      </c>
    </row>
    <row r="8097">
      <c r="A8097">
        <f>Input!A8097</f>
        <v/>
      </c>
      <c r="B8097">
        <f>IF(ISNUMBER(Input!B8097),IF(AND(Input!B8097&gt;=20,Input!B8097&lt;=700),Input!B8097,""),"")</f>
        <v/>
      </c>
      <c r="C8097">
        <f>IF(B8097="","",INT(A8097))</f>
        <v/>
      </c>
      <c r="D8097">
        <f>IF(B8097="","",HOUR(A8097))</f>
        <v/>
      </c>
    </row>
    <row r="8098">
      <c r="A8098">
        <f>Input!A8098</f>
        <v/>
      </c>
      <c r="B8098">
        <f>IF(ISNUMBER(Input!B8098),IF(AND(Input!B8098&gt;=20,Input!B8098&lt;=700),Input!B8098,""),"")</f>
        <v/>
      </c>
      <c r="C8098">
        <f>IF(B8098="","",INT(A8098))</f>
        <v/>
      </c>
      <c r="D8098">
        <f>IF(B8098="","",HOUR(A8098))</f>
        <v/>
      </c>
    </row>
    <row r="8099">
      <c r="A8099">
        <f>Input!A8099</f>
        <v/>
      </c>
      <c r="B8099">
        <f>IF(ISNUMBER(Input!B8099),IF(AND(Input!B8099&gt;=20,Input!B8099&lt;=700),Input!B8099,""),"")</f>
        <v/>
      </c>
      <c r="C8099">
        <f>IF(B8099="","",INT(A8099))</f>
        <v/>
      </c>
      <c r="D8099">
        <f>IF(B8099="","",HOUR(A8099))</f>
        <v/>
      </c>
    </row>
    <row r="8100">
      <c r="A8100">
        <f>Input!A8100</f>
        <v/>
      </c>
      <c r="B8100">
        <f>IF(ISNUMBER(Input!B8100),IF(AND(Input!B8100&gt;=20,Input!B8100&lt;=700),Input!B8100,""),"")</f>
        <v/>
      </c>
      <c r="C8100">
        <f>IF(B8100="","",INT(A8100))</f>
        <v/>
      </c>
      <c r="D8100">
        <f>IF(B8100="","",HOUR(A8100))</f>
        <v/>
      </c>
    </row>
    <row r="8101">
      <c r="A8101">
        <f>Input!A8101</f>
        <v/>
      </c>
      <c r="B8101">
        <f>IF(ISNUMBER(Input!B8101),IF(AND(Input!B8101&gt;=20,Input!B8101&lt;=700),Input!B8101,""),"")</f>
        <v/>
      </c>
      <c r="C8101">
        <f>IF(B8101="","",INT(A8101))</f>
        <v/>
      </c>
      <c r="D8101">
        <f>IF(B8101="","",HOUR(A8101))</f>
        <v/>
      </c>
    </row>
    <row r="8102">
      <c r="A8102">
        <f>Input!A8102</f>
        <v/>
      </c>
      <c r="B8102">
        <f>IF(ISNUMBER(Input!B8102),IF(AND(Input!B8102&gt;=20,Input!B8102&lt;=700),Input!B8102,""),"")</f>
        <v/>
      </c>
      <c r="C8102">
        <f>IF(B8102="","",INT(A8102))</f>
        <v/>
      </c>
      <c r="D8102">
        <f>IF(B8102="","",HOUR(A8102))</f>
        <v/>
      </c>
    </row>
    <row r="8103">
      <c r="A8103">
        <f>Input!A8103</f>
        <v/>
      </c>
      <c r="B8103">
        <f>IF(ISNUMBER(Input!B8103),IF(AND(Input!B8103&gt;=20,Input!B8103&lt;=700),Input!B8103,""),"")</f>
        <v/>
      </c>
      <c r="C8103">
        <f>IF(B8103="","",INT(A8103))</f>
        <v/>
      </c>
      <c r="D8103">
        <f>IF(B8103="","",HOUR(A8103))</f>
        <v/>
      </c>
    </row>
    <row r="8104">
      <c r="A8104">
        <f>Input!A8104</f>
        <v/>
      </c>
      <c r="B8104">
        <f>IF(ISNUMBER(Input!B8104),IF(AND(Input!B8104&gt;=20,Input!B8104&lt;=700),Input!B8104,""),"")</f>
        <v/>
      </c>
      <c r="C8104">
        <f>IF(B8104="","",INT(A8104))</f>
        <v/>
      </c>
      <c r="D8104">
        <f>IF(B8104="","",HOUR(A8104))</f>
        <v/>
      </c>
    </row>
    <row r="8105">
      <c r="A8105">
        <f>Input!A8105</f>
        <v/>
      </c>
      <c r="B8105">
        <f>IF(ISNUMBER(Input!B8105),IF(AND(Input!B8105&gt;=20,Input!B8105&lt;=700),Input!B8105,""),"")</f>
        <v/>
      </c>
      <c r="C8105">
        <f>IF(B8105="","",INT(A8105))</f>
        <v/>
      </c>
      <c r="D8105">
        <f>IF(B8105="","",HOUR(A8105))</f>
        <v/>
      </c>
    </row>
    <row r="8106">
      <c r="A8106">
        <f>Input!A8106</f>
        <v/>
      </c>
      <c r="B8106">
        <f>IF(ISNUMBER(Input!B8106),IF(AND(Input!B8106&gt;=20,Input!B8106&lt;=700),Input!B8106,""),"")</f>
        <v/>
      </c>
      <c r="C8106">
        <f>IF(B8106="","",INT(A8106))</f>
        <v/>
      </c>
      <c r="D8106">
        <f>IF(B8106="","",HOUR(A8106))</f>
        <v/>
      </c>
    </row>
    <row r="8107">
      <c r="A8107">
        <f>Input!A8107</f>
        <v/>
      </c>
      <c r="B8107">
        <f>IF(ISNUMBER(Input!B8107),IF(AND(Input!B8107&gt;=20,Input!B8107&lt;=700),Input!B8107,""),"")</f>
        <v/>
      </c>
      <c r="C8107">
        <f>IF(B8107="","",INT(A8107))</f>
        <v/>
      </c>
      <c r="D8107">
        <f>IF(B8107="","",HOUR(A8107))</f>
        <v/>
      </c>
    </row>
    <row r="8108">
      <c r="A8108">
        <f>Input!A8108</f>
        <v/>
      </c>
      <c r="B8108">
        <f>IF(ISNUMBER(Input!B8108),IF(AND(Input!B8108&gt;=20,Input!B8108&lt;=700),Input!B8108,""),"")</f>
        <v/>
      </c>
      <c r="C8108">
        <f>IF(B8108="","",INT(A8108))</f>
        <v/>
      </c>
      <c r="D8108">
        <f>IF(B8108="","",HOUR(A8108))</f>
        <v/>
      </c>
    </row>
    <row r="8109">
      <c r="A8109">
        <f>Input!A8109</f>
        <v/>
      </c>
      <c r="B8109">
        <f>IF(ISNUMBER(Input!B8109),IF(AND(Input!B8109&gt;=20,Input!B8109&lt;=700),Input!B8109,""),"")</f>
        <v/>
      </c>
      <c r="C8109">
        <f>IF(B8109="","",INT(A8109))</f>
        <v/>
      </c>
      <c r="D8109">
        <f>IF(B8109="","",HOUR(A8109))</f>
        <v/>
      </c>
    </row>
    <row r="8110">
      <c r="A8110">
        <f>Input!A8110</f>
        <v/>
      </c>
      <c r="B8110">
        <f>IF(ISNUMBER(Input!B8110),IF(AND(Input!B8110&gt;=20,Input!B8110&lt;=700),Input!B8110,""),"")</f>
        <v/>
      </c>
      <c r="C8110">
        <f>IF(B8110="","",INT(A8110))</f>
        <v/>
      </c>
      <c r="D8110">
        <f>IF(B8110="","",HOUR(A8110))</f>
        <v/>
      </c>
    </row>
    <row r="8111">
      <c r="A8111">
        <f>Input!A8111</f>
        <v/>
      </c>
      <c r="B8111">
        <f>IF(ISNUMBER(Input!B8111),IF(AND(Input!B8111&gt;=20,Input!B8111&lt;=700),Input!B8111,""),"")</f>
        <v/>
      </c>
      <c r="C8111">
        <f>IF(B8111="","",INT(A8111))</f>
        <v/>
      </c>
      <c r="D8111">
        <f>IF(B8111="","",HOUR(A8111))</f>
        <v/>
      </c>
    </row>
    <row r="8112">
      <c r="A8112">
        <f>Input!A8112</f>
        <v/>
      </c>
      <c r="B8112">
        <f>IF(ISNUMBER(Input!B8112),IF(AND(Input!B8112&gt;=20,Input!B8112&lt;=700),Input!B8112,""),"")</f>
        <v/>
      </c>
      <c r="C8112">
        <f>IF(B8112="","",INT(A8112))</f>
        <v/>
      </c>
      <c r="D8112">
        <f>IF(B8112="","",HOUR(A8112))</f>
        <v/>
      </c>
    </row>
    <row r="8113">
      <c r="A8113">
        <f>Input!A8113</f>
        <v/>
      </c>
      <c r="B8113">
        <f>IF(ISNUMBER(Input!B8113),IF(AND(Input!B8113&gt;=20,Input!B8113&lt;=700),Input!B8113,""),"")</f>
        <v/>
      </c>
      <c r="C8113">
        <f>IF(B8113="","",INT(A8113))</f>
        <v/>
      </c>
      <c r="D8113">
        <f>IF(B8113="","",HOUR(A8113))</f>
        <v/>
      </c>
    </row>
    <row r="8114">
      <c r="A8114">
        <f>Input!A8114</f>
        <v/>
      </c>
      <c r="B8114">
        <f>IF(ISNUMBER(Input!B8114),IF(AND(Input!B8114&gt;=20,Input!B8114&lt;=700),Input!B8114,""),"")</f>
        <v/>
      </c>
      <c r="C8114">
        <f>IF(B8114="","",INT(A8114))</f>
        <v/>
      </c>
      <c r="D8114">
        <f>IF(B8114="","",HOUR(A8114))</f>
        <v/>
      </c>
    </row>
    <row r="8115">
      <c r="A8115">
        <f>Input!A8115</f>
        <v/>
      </c>
      <c r="B8115">
        <f>IF(ISNUMBER(Input!B8115),IF(AND(Input!B8115&gt;=20,Input!B8115&lt;=700),Input!B8115,""),"")</f>
        <v/>
      </c>
      <c r="C8115">
        <f>IF(B8115="","",INT(A8115))</f>
        <v/>
      </c>
      <c r="D8115">
        <f>IF(B8115="","",HOUR(A8115))</f>
        <v/>
      </c>
    </row>
    <row r="8116">
      <c r="A8116">
        <f>Input!A8116</f>
        <v/>
      </c>
      <c r="B8116">
        <f>IF(ISNUMBER(Input!B8116),IF(AND(Input!B8116&gt;=20,Input!B8116&lt;=700),Input!B8116,""),"")</f>
        <v/>
      </c>
      <c r="C8116">
        <f>IF(B8116="","",INT(A8116))</f>
        <v/>
      </c>
      <c r="D8116">
        <f>IF(B8116="","",HOUR(A8116))</f>
        <v/>
      </c>
    </row>
    <row r="8117">
      <c r="A8117">
        <f>Input!A8117</f>
        <v/>
      </c>
      <c r="B8117">
        <f>IF(ISNUMBER(Input!B8117),IF(AND(Input!B8117&gt;=20,Input!B8117&lt;=700),Input!B8117,""),"")</f>
        <v/>
      </c>
      <c r="C8117">
        <f>IF(B8117="","",INT(A8117))</f>
        <v/>
      </c>
      <c r="D8117">
        <f>IF(B8117="","",HOUR(A8117))</f>
        <v/>
      </c>
    </row>
    <row r="8118">
      <c r="A8118">
        <f>Input!A8118</f>
        <v/>
      </c>
      <c r="B8118">
        <f>IF(ISNUMBER(Input!B8118),IF(AND(Input!B8118&gt;=20,Input!B8118&lt;=700),Input!B8118,""),"")</f>
        <v/>
      </c>
      <c r="C8118">
        <f>IF(B8118="","",INT(A8118))</f>
        <v/>
      </c>
      <c r="D8118">
        <f>IF(B8118="","",HOUR(A8118))</f>
        <v/>
      </c>
    </row>
    <row r="8119">
      <c r="A8119">
        <f>Input!A8119</f>
        <v/>
      </c>
      <c r="B8119">
        <f>IF(ISNUMBER(Input!B8119),IF(AND(Input!B8119&gt;=20,Input!B8119&lt;=700),Input!B8119,""),"")</f>
        <v/>
      </c>
      <c r="C8119">
        <f>IF(B8119="","",INT(A8119))</f>
        <v/>
      </c>
      <c r="D8119">
        <f>IF(B8119="","",HOUR(A8119))</f>
        <v/>
      </c>
    </row>
    <row r="8120">
      <c r="A8120">
        <f>Input!A8120</f>
        <v/>
      </c>
      <c r="B8120">
        <f>IF(ISNUMBER(Input!B8120),IF(AND(Input!B8120&gt;=20,Input!B8120&lt;=700),Input!B8120,""),"")</f>
        <v/>
      </c>
      <c r="C8120">
        <f>IF(B8120="","",INT(A8120))</f>
        <v/>
      </c>
      <c r="D8120">
        <f>IF(B8120="","",HOUR(A8120))</f>
        <v/>
      </c>
    </row>
    <row r="8121">
      <c r="A8121">
        <f>Input!A8121</f>
        <v/>
      </c>
      <c r="B8121">
        <f>IF(ISNUMBER(Input!B8121),IF(AND(Input!B8121&gt;=20,Input!B8121&lt;=700),Input!B8121,""),"")</f>
        <v/>
      </c>
      <c r="C8121">
        <f>IF(B8121="","",INT(A8121))</f>
        <v/>
      </c>
      <c r="D8121">
        <f>IF(B8121="","",HOUR(A8121))</f>
        <v/>
      </c>
    </row>
    <row r="8122">
      <c r="A8122">
        <f>Input!A8122</f>
        <v/>
      </c>
      <c r="B8122">
        <f>IF(ISNUMBER(Input!B8122),IF(AND(Input!B8122&gt;=20,Input!B8122&lt;=700),Input!B8122,""),"")</f>
        <v/>
      </c>
      <c r="C8122">
        <f>IF(B8122="","",INT(A8122))</f>
        <v/>
      </c>
      <c r="D8122">
        <f>IF(B8122="","",HOUR(A8122))</f>
        <v/>
      </c>
    </row>
    <row r="8123">
      <c r="A8123">
        <f>Input!A8123</f>
        <v/>
      </c>
      <c r="B8123">
        <f>IF(ISNUMBER(Input!B8123),IF(AND(Input!B8123&gt;=20,Input!B8123&lt;=700),Input!B8123,""),"")</f>
        <v/>
      </c>
      <c r="C8123">
        <f>IF(B8123="","",INT(A8123))</f>
        <v/>
      </c>
      <c r="D8123">
        <f>IF(B8123="","",HOUR(A8123))</f>
        <v/>
      </c>
    </row>
    <row r="8124">
      <c r="A8124">
        <f>Input!A8124</f>
        <v/>
      </c>
      <c r="B8124">
        <f>IF(ISNUMBER(Input!B8124),IF(AND(Input!B8124&gt;=20,Input!B8124&lt;=700),Input!B8124,""),"")</f>
        <v/>
      </c>
      <c r="C8124">
        <f>IF(B8124="","",INT(A8124))</f>
        <v/>
      </c>
      <c r="D8124">
        <f>IF(B8124="","",HOUR(A8124))</f>
        <v/>
      </c>
    </row>
    <row r="8125">
      <c r="A8125">
        <f>Input!A8125</f>
        <v/>
      </c>
      <c r="B8125">
        <f>IF(ISNUMBER(Input!B8125),IF(AND(Input!B8125&gt;=20,Input!B8125&lt;=700),Input!B8125,""),"")</f>
        <v/>
      </c>
      <c r="C8125">
        <f>IF(B8125="","",INT(A8125))</f>
        <v/>
      </c>
      <c r="D8125">
        <f>IF(B8125="","",HOUR(A8125))</f>
        <v/>
      </c>
    </row>
    <row r="8126">
      <c r="A8126">
        <f>Input!A8126</f>
        <v/>
      </c>
      <c r="B8126">
        <f>IF(ISNUMBER(Input!B8126),IF(AND(Input!B8126&gt;=20,Input!B8126&lt;=700),Input!B8126,""),"")</f>
        <v/>
      </c>
      <c r="C8126">
        <f>IF(B8126="","",INT(A8126))</f>
        <v/>
      </c>
      <c r="D8126">
        <f>IF(B8126="","",HOUR(A8126))</f>
        <v/>
      </c>
    </row>
    <row r="8127">
      <c r="A8127">
        <f>Input!A8127</f>
        <v/>
      </c>
      <c r="B8127">
        <f>IF(ISNUMBER(Input!B8127),IF(AND(Input!B8127&gt;=20,Input!B8127&lt;=700),Input!B8127,""),"")</f>
        <v/>
      </c>
      <c r="C8127">
        <f>IF(B8127="","",INT(A8127))</f>
        <v/>
      </c>
      <c r="D8127">
        <f>IF(B8127="","",HOUR(A8127))</f>
        <v/>
      </c>
    </row>
    <row r="8128">
      <c r="A8128">
        <f>Input!A8128</f>
        <v/>
      </c>
      <c r="B8128">
        <f>IF(ISNUMBER(Input!B8128),IF(AND(Input!B8128&gt;=20,Input!B8128&lt;=700),Input!B8128,""),"")</f>
        <v/>
      </c>
      <c r="C8128">
        <f>IF(B8128="","",INT(A8128))</f>
        <v/>
      </c>
      <c r="D8128">
        <f>IF(B8128="","",HOUR(A8128))</f>
        <v/>
      </c>
    </row>
    <row r="8129">
      <c r="A8129">
        <f>Input!A8129</f>
        <v/>
      </c>
      <c r="B8129">
        <f>IF(ISNUMBER(Input!B8129),IF(AND(Input!B8129&gt;=20,Input!B8129&lt;=700),Input!B8129,""),"")</f>
        <v/>
      </c>
      <c r="C8129">
        <f>IF(B8129="","",INT(A8129))</f>
        <v/>
      </c>
      <c r="D8129">
        <f>IF(B8129="","",HOUR(A8129))</f>
        <v/>
      </c>
    </row>
    <row r="8130">
      <c r="A8130">
        <f>Input!A8130</f>
        <v/>
      </c>
      <c r="B8130">
        <f>IF(ISNUMBER(Input!B8130),IF(AND(Input!B8130&gt;=20,Input!B8130&lt;=700),Input!B8130,""),"")</f>
        <v/>
      </c>
      <c r="C8130">
        <f>IF(B8130="","",INT(A8130))</f>
        <v/>
      </c>
      <c r="D8130">
        <f>IF(B8130="","",HOUR(A8130))</f>
        <v/>
      </c>
    </row>
    <row r="8131">
      <c r="A8131">
        <f>Input!A8131</f>
        <v/>
      </c>
      <c r="B8131">
        <f>IF(ISNUMBER(Input!B8131),IF(AND(Input!B8131&gt;=20,Input!B8131&lt;=700),Input!B8131,""),"")</f>
        <v/>
      </c>
      <c r="C8131">
        <f>IF(B8131="","",INT(A8131))</f>
        <v/>
      </c>
      <c r="D8131">
        <f>IF(B8131="","",HOUR(A8131))</f>
        <v/>
      </c>
    </row>
    <row r="8132">
      <c r="A8132">
        <f>Input!A8132</f>
        <v/>
      </c>
      <c r="B8132">
        <f>IF(ISNUMBER(Input!B8132),IF(AND(Input!B8132&gt;=20,Input!B8132&lt;=700),Input!B8132,""),"")</f>
        <v/>
      </c>
      <c r="C8132">
        <f>IF(B8132="","",INT(A8132))</f>
        <v/>
      </c>
      <c r="D8132">
        <f>IF(B8132="","",HOUR(A8132))</f>
        <v/>
      </c>
    </row>
    <row r="8133">
      <c r="A8133">
        <f>Input!A8133</f>
        <v/>
      </c>
      <c r="B8133">
        <f>IF(ISNUMBER(Input!B8133),IF(AND(Input!B8133&gt;=20,Input!B8133&lt;=700),Input!B8133,""),"")</f>
        <v/>
      </c>
      <c r="C8133">
        <f>IF(B8133="","",INT(A8133))</f>
        <v/>
      </c>
      <c r="D8133">
        <f>IF(B8133="","",HOUR(A8133))</f>
        <v/>
      </c>
    </row>
    <row r="8134">
      <c r="A8134">
        <f>Input!A8134</f>
        <v/>
      </c>
      <c r="B8134">
        <f>IF(ISNUMBER(Input!B8134),IF(AND(Input!B8134&gt;=20,Input!B8134&lt;=700),Input!B8134,""),"")</f>
        <v/>
      </c>
      <c r="C8134">
        <f>IF(B8134="","",INT(A8134))</f>
        <v/>
      </c>
      <c r="D8134">
        <f>IF(B8134="","",HOUR(A8134))</f>
        <v/>
      </c>
    </row>
    <row r="8135">
      <c r="A8135">
        <f>Input!A8135</f>
        <v/>
      </c>
      <c r="B8135">
        <f>IF(ISNUMBER(Input!B8135),IF(AND(Input!B8135&gt;=20,Input!B8135&lt;=700),Input!B8135,""),"")</f>
        <v/>
      </c>
      <c r="C8135">
        <f>IF(B8135="","",INT(A8135))</f>
        <v/>
      </c>
      <c r="D8135">
        <f>IF(B8135="","",HOUR(A8135))</f>
        <v/>
      </c>
    </row>
    <row r="8136">
      <c r="A8136">
        <f>Input!A8136</f>
        <v/>
      </c>
      <c r="B8136">
        <f>IF(ISNUMBER(Input!B8136),IF(AND(Input!B8136&gt;=20,Input!B8136&lt;=700),Input!B8136,""),"")</f>
        <v/>
      </c>
      <c r="C8136">
        <f>IF(B8136="","",INT(A8136))</f>
        <v/>
      </c>
      <c r="D8136">
        <f>IF(B8136="","",HOUR(A8136))</f>
        <v/>
      </c>
    </row>
    <row r="8137">
      <c r="A8137">
        <f>Input!A8137</f>
        <v/>
      </c>
      <c r="B8137">
        <f>IF(ISNUMBER(Input!B8137),IF(AND(Input!B8137&gt;=20,Input!B8137&lt;=700),Input!B8137,""),"")</f>
        <v/>
      </c>
      <c r="C8137">
        <f>IF(B8137="","",INT(A8137))</f>
        <v/>
      </c>
      <c r="D8137">
        <f>IF(B8137="","",HOUR(A8137))</f>
        <v/>
      </c>
    </row>
    <row r="8138">
      <c r="A8138">
        <f>Input!A8138</f>
        <v/>
      </c>
      <c r="B8138">
        <f>IF(ISNUMBER(Input!B8138),IF(AND(Input!B8138&gt;=20,Input!B8138&lt;=700),Input!B8138,""),"")</f>
        <v/>
      </c>
      <c r="C8138">
        <f>IF(B8138="","",INT(A8138))</f>
        <v/>
      </c>
      <c r="D8138">
        <f>IF(B8138="","",HOUR(A8138))</f>
        <v/>
      </c>
    </row>
    <row r="8139">
      <c r="A8139">
        <f>Input!A8139</f>
        <v/>
      </c>
      <c r="B8139">
        <f>IF(ISNUMBER(Input!B8139),IF(AND(Input!B8139&gt;=20,Input!B8139&lt;=700),Input!B8139,""),"")</f>
        <v/>
      </c>
      <c r="C8139">
        <f>IF(B8139="","",INT(A8139))</f>
        <v/>
      </c>
      <c r="D8139">
        <f>IF(B8139="","",HOUR(A8139))</f>
        <v/>
      </c>
    </row>
    <row r="8140">
      <c r="A8140">
        <f>Input!A8140</f>
        <v/>
      </c>
      <c r="B8140">
        <f>IF(ISNUMBER(Input!B8140),IF(AND(Input!B8140&gt;=20,Input!B8140&lt;=700),Input!B8140,""),"")</f>
        <v/>
      </c>
      <c r="C8140">
        <f>IF(B8140="","",INT(A8140))</f>
        <v/>
      </c>
      <c r="D8140">
        <f>IF(B8140="","",HOUR(A8140))</f>
        <v/>
      </c>
    </row>
    <row r="8141">
      <c r="A8141">
        <f>Input!A8141</f>
        <v/>
      </c>
      <c r="B8141">
        <f>IF(ISNUMBER(Input!B8141),IF(AND(Input!B8141&gt;=20,Input!B8141&lt;=700),Input!B8141,""),"")</f>
        <v/>
      </c>
      <c r="C8141">
        <f>IF(B8141="","",INT(A8141))</f>
        <v/>
      </c>
      <c r="D8141">
        <f>IF(B8141="","",HOUR(A8141))</f>
        <v/>
      </c>
    </row>
    <row r="8142">
      <c r="A8142">
        <f>Input!A8142</f>
        <v/>
      </c>
      <c r="B8142">
        <f>IF(ISNUMBER(Input!B8142),IF(AND(Input!B8142&gt;=20,Input!B8142&lt;=700),Input!B8142,""),"")</f>
        <v/>
      </c>
      <c r="C8142">
        <f>IF(B8142="","",INT(A8142))</f>
        <v/>
      </c>
      <c r="D8142">
        <f>IF(B8142="","",HOUR(A8142))</f>
        <v/>
      </c>
    </row>
    <row r="8143">
      <c r="A8143">
        <f>Input!A8143</f>
        <v/>
      </c>
      <c r="B8143">
        <f>IF(ISNUMBER(Input!B8143),IF(AND(Input!B8143&gt;=20,Input!B8143&lt;=700),Input!B8143,""),"")</f>
        <v/>
      </c>
      <c r="C8143">
        <f>IF(B8143="","",INT(A8143))</f>
        <v/>
      </c>
      <c r="D8143">
        <f>IF(B8143="","",HOUR(A8143))</f>
        <v/>
      </c>
    </row>
    <row r="8144">
      <c r="A8144">
        <f>Input!A8144</f>
        <v/>
      </c>
      <c r="B8144">
        <f>IF(ISNUMBER(Input!B8144),IF(AND(Input!B8144&gt;=20,Input!B8144&lt;=700),Input!B8144,""),"")</f>
        <v/>
      </c>
      <c r="C8144">
        <f>IF(B8144="","",INT(A8144))</f>
        <v/>
      </c>
      <c r="D8144">
        <f>IF(B8144="","",HOUR(A8144))</f>
        <v/>
      </c>
    </row>
    <row r="8145">
      <c r="A8145">
        <f>Input!A8145</f>
        <v/>
      </c>
      <c r="B8145">
        <f>IF(ISNUMBER(Input!B8145),IF(AND(Input!B8145&gt;=20,Input!B8145&lt;=700),Input!B8145,""),"")</f>
        <v/>
      </c>
      <c r="C8145">
        <f>IF(B8145="","",INT(A8145))</f>
        <v/>
      </c>
      <c r="D8145">
        <f>IF(B8145="","",HOUR(A8145))</f>
        <v/>
      </c>
    </row>
    <row r="8146">
      <c r="A8146">
        <f>Input!A8146</f>
        <v/>
      </c>
      <c r="B8146">
        <f>IF(ISNUMBER(Input!B8146),IF(AND(Input!B8146&gt;=20,Input!B8146&lt;=700),Input!B8146,""),"")</f>
        <v/>
      </c>
      <c r="C8146">
        <f>IF(B8146="","",INT(A8146))</f>
        <v/>
      </c>
      <c r="D8146">
        <f>IF(B8146="","",HOUR(A8146))</f>
        <v/>
      </c>
    </row>
    <row r="8147">
      <c r="A8147">
        <f>Input!A8147</f>
        <v/>
      </c>
      <c r="B8147">
        <f>IF(ISNUMBER(Input!B8147),IF(AND(Input!B8147&gt;=20,Input!B8147&lt;=700),Input!B8147,""),"")</f>
        <v/>
      </c>
      <c r="C8147">
        <f>IF(B8147="","",INT(A8147))</f>
        <v/>
      </c>
      <c r="D8147">
        <f>IF(B8147="","",HOUR(A8147))</f>
        <v/>
      </c>
    </row>
    <row r="8148">
      <c r="A8148">
        <f>Input!A8148</f>
        <v/>
      </c>
      <c r="B8148">
        <f>IF(ISNUMBER(Input!B8148),IF(AND(Input!B8148&gt;=20,Input!B8148&lt;=700),Input!B8148,""),"")</f>
        <v/>
      </c>
      <c r="C8148">
        <f>IF(B8148="","",INT(A8148))</f>
        <v/>
      </c>
      <c r="D8148">
        <f>IF(B8148="","",HOUR(A8148))</f>
        <v/>
      </c>
    </row>
    <row r="8149">
      <c r="A8149">
        <f>Input!A8149</f>
        <v/>
      </c>
      <c r="B8149">
        <f>IF(ISNUMBER(Input!B8149),IF(AND(Input!B8149&gt;=20,Input!B8149&lt;=700),Input!B8149,""),"")</f>
        <v/>
      </c>
      <c r="C8149">
        <f>IF(B8149="","",INT(A8149))</f>
        <v/>
      </c>
      <c r="D8149">
        <f>IF(B8149="","",HOUR(A8149))</f>
        <v/>
      </c>
    </row>
    <row r="8150">
      <c r="A8150">
        <f>Input!A8150</f>
        <v/>
      </c>
      <c r="B8150">
        <f>IF(ISNUMBER(Input!B8150),IF(AND(Input!B8150&gt;=20,Input!B8150&lt;=700),Input!B8150,""),"")</f>
        <v/>
      </c>
      <c r="C8150">
        <f>IF(B8150="","",INT(A8150))</f>
        <v/>
      </c>
      <c r="D8150">
        <f>IF(B8150="","",HOUR(A8150))</f>
        <v/>
      </c>
    </row>
    <row r="8151">
      <c r="A8151">
        <f>Input!A8151</f>
        <v/>
      </c>
      <c r="B8151">
        <f>IF(ISNUMBER(Input!B8151),IF(AND(Input!B8151&gt;=20,Input!B8151&lt;=700),Input!B8151,""),"")</f>
        <v/>
      </c>
      <c r="C8151">
        <f>IF(B8151="","",INT(A8151))</f>
        <v/>
      </c>
      <c r="D8151">
        <f>IF(B8151="","",HOUR(A8151))</f>
        <v/>
      </c>
    </row>
    <row r="8152">
      <c r="A8152">
        <f>Input!A8152</f>
        <v/>
      </c>
      <c r="B8152">
        <f>IF(ISNUMBER(Input!B8152),IF(AND(Input!B8152&gt;=20,Input!B8152&lt;=700),Input!B8152,""),"")</f>
        <v/>
      </c>
      <c r="C8152">
        <f>IF(B8152="","",INT(A8152))</f>
        <v/>
      </c>
      <c r="D8152">
        <f>IF(B8152="","",HOUR(A8152))</f>
        <v/>
      </c>
    </row>
    <row r="8153">
      <c r="A8153">
        <f>Input!A8153</f>
        <v/>
      </c>
      <c r="B8153">
        <f>IF(ISNUMBER(Input!B8153),IF(AND(Input!B8153&gt;=20,Input!B8153&lt;=700),Input!B8153,""),"")</f>
        <v/>
      </c>
      <c r="C8153">
        <f>IF(B8153="","",INT(A8153))</f>
        <v/>
      </c>
      <c r="D8153">
        <f>IF(B8153="","",HOUR(A8153))</f>
        <v/>
      </c>
    </row>
    <row r="8154">
      <c r="A8154">
        <f>Input!A8154</f>
        <v/>
      </c>
      <c r="B8154">
        <f>IF(ISNUMBER(Input!B8154),IF(AND(Input!B8154&gt;=20,Input!B8154&lt;=700),Input!B8154,""),"")</f>
        <v/>
      </c>
      <c r="C8154">
        <f>IF(B8154="","",INT(A8154))</f>
        <v/>
      </c>
      <c r="D8154">
        <f>IF(B8154="","",HOUR(A8154))</f>
        <v/>
      </c>
    </row>
    <row r="8155">
      <c r="A8155">
        <f>Input!A8155</f>
        <v/>
      </c>
      <c r="B8155">
        <f>IF(ISNUMBER(Input!B8155),IF(AND(Input!B8155&gt;=20,Input!B8155&lt;=700),Input!B8155,""),"")</f>
        <v/>
      </c>
      <c r="C8155">
        <f>IF(B8155="","",INT(A8155))</f>
        <v/>
      </c>
      <c r="D8155">
        <f>IF(B8155="","",HOUR(A8155))</f>
        <v/>
      </c>
    </row>
    <row r="8156">
      <c r="A8156">
        <f>Input!A8156</f>
        <v/>
      </c>
      <c r="B8156">
        <f>IF(ISNUMBER(Input!B8156),IF(AND(Input!B8156&gt;=20,Input!B8156&lt;=700),Input!B8156,""),"")</f>
        <v/>
      </c>
      <c r="C8156">
        <f>IF(B8156="","",INT(A8156))</f>
        <v/>
      </c>
      <c r="D8156">
        <f>IF(B8156="","",HOUR(A8156))</f>
        <v/>
      </c>
    </row>
    <row r="8157">
      <c r="A8157">
        <f>Input!A8157</f>
        <v/>
      </c>
      <c r="B8157">
        <f>IF(ISNUMBER(Input!B8157),IF(AND(Input!B8157&gt;=20,Input!B8157&lt;=700),Input!B8157,""),"")</f>
        <v/>
      </c>
      <c r="C8157">
        <f>IF(B8157="","",INT(A8157))</f>
        <v/>
      </c>
      <c r="D8157">
        <f>IF(B8157="","",HOUR(A8157))</f>
        <v/>
      </c>
    </row>
    <row r="8158">
      <c r="A8158">
        <f>Input!A8158</f>
        <v/>
      </c>
      <c r="B8158">
        <f>IF(ISNUMBER(Input!B8158),IF(AND(Input!B8158&gt;=20,Input!B8158&lt;=700),Input!B8158,""),"")</f>
        <v/>
      </c>
      <c r="C8158">
        <f>IF(B8158="","",INT(A8158))</f>
        <v/>
      </c>
      <c r="D8158">
        <f>IF(B8158="","",HOUR(A8158))</f>
        <v/>
      </c>
    </row>
    <row r="8159">
      <c r="A8159">
        <f>Input!A8159</f>
        <v/>
      </c>
      <c r="B8159">
        <f>IF(ISNUMBER(Input!B8159),IF(AND(Input!B8159&gt;=20,Input!B8159&lt;=700),Input!B8159,""),"")</f>
        <v/>
      </c>
      <c r="C8159">
        <f>IF(B8159="","",INT(A8159))</f>
        <v/>
      </c>
      <c r="D8159">
        <f>IF(B8159="","",HOUR(A8159))</f>
        <v/>
      </c>
    </row>
    <row r="8160">
      <c r="A8160">
        <f>Input!A8160</f>
        <v/>
      </c>
      <c r="B8160">
        <f>IF(ISNUMBER(Input!B8160),IF(AND(Input!B8160&gt;=20,Input!B8160&lt;=700),Input!B8160,""),"")</f>
        <v/>
      </c>
      <c r="C8160">
        <f>IF(B8160="","",INT(A8160))</f>
        <v/>
      </c>
      <c r="D8160">
        <f>IF(B8160="","",HOUR(A8160))</f>
        <v/>
      </c>
    </row>
    <row r="8161">
      <c r="A8161">
        <f>Input!A8161</f>
        <v/>
      </c>
      <c r="B8161">
        <f>IF(ISNUMBER(Input!B8161),IF(AND(Input!B8161&gt;=20,Input!B8161&lt;=700),Input!B8161,""),"")</f>
        <v/>
      </c>
      <c r="C8161">
        <f>IF(B8161="","",INT(A8161))</f>
        <v/>
      </c>
      <c r="D8161">
        <f>IF(B8161="","",HOUR(A8161))</f>
        <v/>
      </c>
    </row>
    <row r="8162">
      <c r="A8162">
        <f>Input!A8162</f>
        <v/>
      </c>
      <c r="B8162">
        <f>IF(ISNUMBER(Input!B8162),IF(AND(Input!B8162&gt;=20,Input!B8162&lt;=700),Input!B8162,""),"")</f>
        <v/>
      </c>
      <c r="C8162">
        <f>IF(B8162="","",INT(A8162))</f>
        <v/>
      </c>
      <c r="D8162">
        <f>IF(B8162="","",HOUR(A8162))</f>
        <v/>
      </c>
    </row>
    <row r="8163">
      <c r="A8163">
        <f>Input!A8163</f>
        <v/>
      </c>
      <c r="B8163">
        <f>IF(ISNUMBER(Input!B8163),IF(AND(Input!B8163&gt;=20,Input!B8163&lt;=700),Input!B8163,""),"")</f>
        <v/>
      </c>
      <c r="C8163">
        <f>IF(B8163="","",INT(A8163))</f>
        <v/>
      </c>
      <c r="D8163">
        <f>IF(B8163="","",HOUR(A8163))</f>
        <v/>
      </c>
    </row>
    <row r="8164">
      <c r="A8164">
        <f>Input!A8164</f>
        <v/>
      </c>
      <c r="B8164">
        <f>IF(ISNUMBER(Input!B8164),IF(AND(Input!B8164&gt;=20,Input!B8164&lt;=700),Input!B8164,""),"")</f>
        <v/>
      </c>
      <c r="C8164">
        <f>IF(B8164="","",INT(A8164))</f>
        <v/>
      </c>
      <c r="D8164">
        <f>IF(B8164="","",HOUR(A8164))</f>
        <v/>
      </c>
    </row>
    <row r="8165">
      <c r="A8165">
        <f>Input!A8165</f>
        <v/>
      </c>
      <c r="B8165">
        <f>IF(ISNUMBER(Input!B8165),IF(AND(Input!B8165&gt;=20,Input!B8165&lt;=700),Input!B8165,""),"")</f>
        <v/>
      </c>
      <c r="C8165">
        <f>IF(B8165="","",INT(A8165))</f>
        <v/>
      </c>
      <c r="D8165">
        <f>IF(B8165="","",HOUR(A8165))</f>
        <v/>
      </c>
    </row>
    <row r="8166">
      <c r="A8166">
        <f>Input!A8166</f>
        <v/>
      </c>
      <c r="B8166">
        <f>IF(ISNUMBER(Input!B8166),IF(AND(Input!B8166&gt;=20,Input!B8166&lt;=700),Input!B8166,""),"")</f>
        <v/>
      </c>
      <c r="C8166">
        <f>IF(B8166="","",INT(A8166))</f>
        <v/>
      </c>
      <c r="D8166">
        <f>IF(B8166="","",HOUR(A8166))</f>
        <v/>
      </c>
    </row>
    <row r="8167">
      <c r="A8167">
        <f>Input!A8167</f>
        <v/>
      </c>
      <c r="B8167">
        <f>IF(ISNUMBER(Input!B8167),IF(AND(Input!B8167&gt;=20,Input!B8167&lt;=700),Input!B8167,""),"")</f>
        <v/>
      </c>
      <c r="C8167">
        <f>IF(B8167="","",INT(A8167))</f>
        <v/>
      </c>
      <c r="D8167">
        <f>IF(B8167="","",HOUR(A8167))</f>
        <v/>
      </c>
    </row>
    <row r="8168">
      <c r="A8168">
        <f>Input!A8168</f>
        <v/>
      </c>
      <c r="B8168">
        <f>IF(ISNUMBER(Input!B8168),IF(AND(Input!B8168&gt;=20,Input!B8168&lt;=700),Input!B8168,""),"")</f>
        <v/>
      </c>
      <c r="C8168">
        <f>IF(B8168="","",INT(A8168))</f>
        <v/>
      </c>
      <c r="D8168">
        <f>IF(B8168="","",HOUR(A8168))</f>
        <v/>
      </c>
    </row>
    <row r="8169">
      <c r="A8169">
        <f>Input!A8169</f>
        <v/>
      </c>
      <c r="B8169">
        <f>IF(ISNUMBER(Input!B8169),IF(AND(Input!B8169&gt;=20,Input!B8169&lt;=700),Input!B8169,""),"")</f>
        <v/>
      </c>
      <c r="C8169">
        <f>IF(B8169="","",INT(A8169))</f>
        <v/>
      </c>
      <c r="D8169">
        <f>IF(B8169="","",HOUR(A8169))</f>
        <v/>
      </c>
    </row>
    <row r="8170">
      <c r="A8170">
        <f>Input!A8170</f>
        <v/>
      </c>
      <c r="B8170">
        <f>IF(ISNUMBER(Input!B8170),IF(AND(Input!B8170&gt;=20,Input!B8170&lt;=700),Input!B8170,""),"")</f>
        <v/>
      </c>
      <c r="C8170">
        <f>IF(B8170="","",INT(A8170))</f>
        <v/>
      </c>
      <c r="D8170">
        <f>IF(B8170="","",HOUR(A8170))</f>
        <v/>
      </c>
    </row>
    <row r="8171">
      <c r="A8171">
        <f>Input!A8171</f>
        <v/>
      </c>
      <c r="B8171">
        <f>IF(ISNUMBER(Input!B8171),IF(AND(Input!B8171&gt;=20,Input!B8171&lt;=700),Input!B8171,""),"")</f>
        <v/>
      </c>
      <c r="C8171">
        <f>IF(B8171="","",INT(A8171))</f>
        <v/>
      </c>
      <c r="D8171">
        <f>IF(B8171="","",HOUR(A8171))</f>
        <v/>
      </c>
    </row>
    <row r="8172">
      <c r="A8172">
        <f>Input!A8172</f>
        <v/>
      </c>
      <c r="B8172">
        <f>IF(ISNUMBER(Input!B8172),IF(AND(Input!B8172&gt;=20,Input!B8172&lt;=700),Input!B8172,""),"")</f>
        <v/>
      </c>
      <c r="C8172">
        <f>IF(B8172="","",INT(A8172))</f>
        <v/>
      </c>
      <c r="D8172">
        <f>IF(B8172="","",HOUR(A8172))</f>
        <v/>
      </c>
    </row>
    <row r="8173">
      <c r="A8173">
        <f>Input!A8173</f>
        <v/>
      </c>
      <c r="B8173">
        <f>IF(ISNUMBER(Input!B8173),IF(AND(Input!B8173&gt;=20,Input!B8173&lt;=700),Input!B8173,""),"")</f>
        <v/>
      </c>
      <c r="C8173">
        <f>IF(B8173="","",INT(A8173))</f>
        <v/>
      </c>
      <c r="D8173">
        <f>IF(B8173="","",HOUR(A8173))</f>
        <v/>
      </c>
    </row>
    <row r="8174">
      <c r="A8174">
        <f>Input!A8174</f>
        <v/>
      </c>
      <c r="B8174">
        <f>IF(ISNUMBER(Input!B8174),IF(AND(Input!B8174&gt;=20,Input!B8174&lt;=700),Input!B8174,""),"")</f>
        <v/>
      </c>
      <c r="C8174">
        <f>IF(B8174="","",INT(A8174))</f>
        <v/>
      </c>
      <c r="D8174">
        <f>IF(B8174="","",HOUR(A8174))</f>
        <v/>
      </c>
    </row>
    <row r="8175">
      <c r="A8175">
        <f>Input!A8175</f>
        <v/>
      </c>
      <c r="B8175">
        <f>IF(ISNUMBER(Input!B8175),IF(AND(Input!B8175&gt;=20,Input!B8175&lt;=700),Input!B8175,""),"")</f>
        <v/>
      </c>
      <c r="C8175">
        <f>IF(B8175="","",INT(A8175))</f>
        <v/>
      </c>
      <c r="D8175">
        <f>IF(B8175="","",HOUR(A8175))</f>
        <v/>
      </c>
    </row>
    <row r="8176">
      <c r="A8176">
        <f>Input!A8176</f>
        <v/>
      </c>
      <c r="B8176">
        <f>IF(ISNUMBER(Input!B8176),IF(AND(Input!B8176&gt;=20,Input!B8176&lt;=700),Input!B8176,""),"")</f>
        <v/>
      </c>
      <c r="C8176">
        <f>IF(B8176="","",INT(A8176))</f>
        <v/>
      </c>
      <c r="D8176">
        <f>IF(B8176="","",HOUR(A8176))</f>
        <v/>
      </c>
    </row>
    <row r="8177">
      <c r="A8177">
        <f>Input!A8177</f>
        <v/>
      </c>
      <c r="B8177">
        <f>IF(ISNUMBER(Input!B8177),IF(AND(Input!B8177&gt;=20,Input!B8177&lt;=700),Input!B8177,""),"")</f>
        <v/>
      </c>
      <c r="C8177">
        <f>IF(B8177="","",INT(A8177))</f>
        <v/>
      </c>
      <c r="D8177">
        <f>IF(B8177="","",HOUR(A8177))</f>
        <v/>
      </c>
    </row>
    <row r="8178">
      <c r="A8178">
        <f>Input!A8178</f>
        <v/>
      </c>
      <c r="B8178">
        <f>IF(ISNUMBER(Input!B8178),IF(AND(Input!B8178&gt;=20,Input!B8178&lt;=700),Input!B8178,""),"")</f>
        <v/>
      </c>
      <c r="C8178">
        <f>IF(B8178="","",INT(A8178))</f>
        <v/>
      </c>
      <c r="D8178">
        <f>IF(B8178="","",HOUR(A8178))</f>
        <v/>
      </c>
    </row>
    <row r="8179">
      <c r="A8179">
        <f>Input!A8179</f>
        <v/>
      </c>
      <c r="B8179">
        <f>IF(ISNUMBER(Input!B8179),IF(AND(Input!B8179&gt;=20,Input!B8179&lt;=700),Input!B8179,""),"")</f>
        <v/>
      </c>
      <c r="C8179">
        <f>IF(B8179="","",INT(A8179))</f>
        <v/>
      </c>
      <c r="D8179">
        <f>IF(B8179="","",HOUR(A8179))</f>
        <v/>
      </c>
    </row>
    <row r="8180">
      <c r="A8180">
        <f>Input!A8180</f>
        <v/>
      </c>
      <c r="B8180">
        <f>IF(ISNUMBER(Input!B8180),IF(AND(Input!B8180&gt;=20,Input!B8180&lt;=700),Input!B8180,""),"")</f>
        <v/>
      </c>
      <c r="C8180">
        <f>IF(B8180="","",INT(A8180))</f>
        <v/>
      </c>
      <c r="D8180">
        <f>IF(B8180="","",HOUR(A8180))</f>
        <v/>
      </c>
    </row>
    <row r="8181">
      <c r="A8181">
        <f>Input!A8181</f>
        <v/>
      </c>
      <c r="B8181">
        <f>IF(ISNUMBER(Input!B8181),IF(AND(Input!B8181&gt;=20,Input!B8181&lt;=700),Input!B8181,""),"")</f>
        <v/>
      </c>
      <c r="C8181">
        <f>IF(B8181="","",INT(A8181))</f>
        <v/>
      </c>
      <c r="D8181">
        <f>IF(B8181="","",HOUR(A8181))</f>
        <v/>
      </c>
    </row>
    <row r="8182">
      <c r="A8182">
        <f>Input!A8182</f>
        <v/>
      </c>
      <c r="B8182">
        <f>IF(ISNUMBER(Input!B8182),IF(AND(Input!B8182&gt;=20,Input!B8182&lt;=700),Input!B8182,""),"")</f>
        <v/>
      </c>
      <c r="C8182">
        <f>IF(B8182="","",INT(A8182))</f>
        <v/>
      </c>
      <c r="D8182">
        <f>IF(B8182="","",HOUR(A8182))</f>
        <v/>
      </c>
    </row>
    <row r="8183">
      <c r="A8183">
        <f>Input!A8183</f>
        <v/>
      </c>
      <c r="B8183">
        <f>IF(ISNUMBER(Input!B8183),IF(AND(Input!B8183&gt;=20,Input!B8183&lt;=700),Input!B8183,""),"")</f>
        <v/>
      </c>
      <c r="C8183">
        <f>IF(B8183="","",INT(A8183))</f>
        <v/>
      </c>
      <c r="D8183">
        <f>IF(B8183="","",HOUR(A8183))</f>
        <v/>
      </c>
    </row>
    <row r="8184">
      <c r="A8184">
        <f>Input!A8184</f>
        <v/>
      </c>
      <c r="B8184">
        <f>IF(ISNUMBER(Input!B8184),IF(AND(Input!B8184&gt;=20,Input!B8184&lt;=700),Input!B8184,""),"")</f>
        <v/>
      </c>
      <c r="C8184">
        <f>IF(B8184="","",INT(A8184))</f>
        <v/>
      </c>
      <c r="D8184">
        <f>IF(B8184="","",HOUR(A8184))</f>
        <v/>
      </c>
    </row>
    <row r="8185">
      <c r="A8185">
        <f>Input!A8185</f>
        <v/>
      </c>
      <c r="B8185">
        <f>IF(ISNUMBER(Input!B8185),IF(AND(Input!B8185&gt;=20,Input!B8185&lt;=700),Input!B8185,""),"")</f>
        <v/>
      </c>
      <c r="C8185">
        <f>IF(B8185="","",INT(A8185))</f>
        <v/>
      </c>
      <c r="D8185">
        <f>IF(B8185="","",HOUR(A8185))</f>
        <v/>
      </c>
    </row>
    <row r="8186">
      <c r="A8186">
        <f>Input!A8186</f>
        <v/>
      </c>
      <c r="B8186">
        <f>IF(ISNUMBER(Input!B8186),IF(AND(Input!B8186&gt;=20,Input!B8186&lt;=700),Input!B8186,""),"")</f>
        <v/>
      </c>
      <c r="C8186">
        <f>IF(B8186="","",INT(A8186))</f>
        <v/>
      </c>
      <c r="D8186">
        <f>IF(B8186="","",HOUR(A8186))</f>
        <v/>
      </c>
    </row>
    <row r="8187">
      <c r="A8187">
        <f>Input!A8187</f>
        <v/>
      </c>
      <c r="B8187">
        <f>IF(ISNUMBER(Input!B8187),IF(AND(Input!B8187&gt;=20,Input!B8187&lt;=700),Input!B8187,""),"")</f>
        <v/>
      </c>
      <c r="C8187">
        <f>IF(B8187="","",INT(A8187))</f>
        <v/>
      </c>
      <c r="D8187">
        <f>IF(B8187="","",HOUR(A8187))</f>
        <v/>
      </c>
    </row>
    <row r="8188">
      <c r="A8188">
        <f>Input!A8188</f>
        <v/>
      </c>
      <c r="B8188">
        <f>IF(ISNUMBER(Input!B8188),IF(AND(Input!B8188&gt;=20,Input!B8188&lt;=700),Input!B8188,""),"")</f>
        <v/>
      </c>
      <c r="C8188">
        <f>IF(B8188="","",INT(A8188))</f>
        <v/>
      </c>
      <c r="D8188">
        <f>IF(B8188="","",HOUR(A8188))</f>
        <v/>
      </c>
    </row>
    <row r="8189">
      <c r="A8189">
        <f>Input!A8189</f>
        <v/>
      </c>
      <c r="B8189">
        <f>IF(ISNUMBER(Input!B8189),IF(AND(Input!B8189&gt;=20,Input!B8189&lt;=700),Input!B8189,""),"")</f>
        <v/>
      </c>
      <c r="C8189">
        <f>IF(B8189="","",INT(A8189))</f>
        <v/>
      </c>
      <c r="D8189">
        <f>IF(B8189="","",HOUR(A8189))</f>
        <v/>
      </c>
    </row>
    <row r="8190">
      <c r="A8190">
        <f>Input!A8190</f>
        <v/>
      </c>
      <c r="B8190">
        <f>IF(ISNUMBER(Input!B8190),IF(AND(Input!B8190&gt;=20,Input!B8190&lt;=700),Input!B8190,""),"")</f>
        <v/>
      </c>
      <c r="C8190">
        <f>IF(B8190="","",INT(A8190))</f>
        <v/>
      </c>
      <c r="D8190">
        <f>IF(B8190="","",HOUR(A8190))</f>
        <v/>
      </c>
    </row>
    <row r="8191">
      <c r="A8191">
        <f>Input!A8191</f>
        <v/>
      </c>
      <c r="B8191">
        <f>IF(ISNUMBER(Input!B8191),IF(AND(Input!B8191&gt;=20,Input!B8191&lt;=700),Input!B8191,""),"")</f>
        <v/>
      </c>
      <c r="C8191">
        <f>IF(B8191="","",INT(A8191))</f>
        <v/>
      </c>
      <c r="D8191">
        <f>IF(B8191="","",HOUR(A8191))</f>
        <v/>
      </c>
    </row>
    <row r="8192">
      <c r="A8192">
        <f>Input!A8192</f>
        <v/>
      </c>
      <c r="B8192">
        <f>IF(ISNUMBER(Input!B8192),IF(AND(Input!B8192&gt;=20,Input!B8192&lt;=700),Input!B8192,""),"")</f>
        <v/>
      </c>
      <c r="C8192">
        <f>IF(B8192="","",INT(A8192))</f>
        <v/>
      </c>
      <c r="D8192">
        <f>IF(B8192="","",HOUR(A8192))</f>
        <v/>
      </c>
    </row>
    <row r="8193">
      <c r="A8193">
        <f>Input!A8193</f>
        <v/>
      </c>
      <c r="B8193">
        <f>IF(ISNUMBER(Input!B8193),IF(AND(Input!B8193&gt;=20,Input!B8193&lt;=700),Input!B8193,""),"")</f>
        <v/>
      </c>
      <c r="C8193">
        <f>IF(B8193="","",INT(A8193))</f>
        <v/>
      </c>
      <c r="D8193">
        <f>IF(B8193="","",HOUR(A8193))</f>
        <v/>
      </c>
    </row>
    <row r="8194">
      <c r="A8194">
        <f>Input!A8194</f>
        <v/>
      </c>
      <c r="B8194">
        <f>IF(ISNUMBER(Input!B8194),IF(AND(Input!B8194&gt;=20,Input!B8194&lt;=700),Input!B8194,""),"")</f>
        <v/>
      </c>
      <c r="C8194">
        <f>IF(B8194="","",INT(A8194))</f>
        <v/>
      </c>
      <c r="D8194">
        <f>IF(B8194="","",HOUR(A8194))</f>
        <v/>
      </c>
    </row>
    <row r="8195">
      <c r="A8195">
        <f>Input!A8195</f>
        <v/>
      </c>
      <c r="B8195">
        <f>IF(ISNUMBER(Input!B8195),IF(AND(Input!B8195&gt;=20,Input!B8195&lt;=700),Input!B8195,""),"")</f>
        <v/>
      </c>
      <c r="C8195">
        <f>IF(B8195="","",INT(A8195))</f>
        <v/>
      </c>
      <c r="D8195">
        <f>IF(B8195="","",HOUR(A8195))</f>
        <v/>
      </c>
    </row>
    <row r="8196">
      <c r="A8196">
        <f>Input!A8196</f>
        <v/>
      </c>
      <c r="B8196">
        <f>IF(ISNUMBER(Input!B8196),IF(AND(Input!B8196&gt;=20,Input!B8196&lt;=700),Input!B8196,""),"")</f>
        <v/>
      </c>
      <c r="C8196">
        <f>IF(B8196="","",INT(A8196))</f>
        <v/>
      </c>
      <c r="D8196">
        <f>IF(B8196="","",HOUR(A8196))</f>
        <v/>
      </c>
    </row>
    <row r="8197">
      <c r="A8197">
        <f>Input!A8197</f>
        <v/>
      </c>
      <c r="B8197">
        <f>IF(ISNUMBER(Input!B8197),IF(AND(Input!B8197&gt;=20,Input!B8197&lt;=700),Input!B8197,""),"")</f>
        <v/>
      </c>
      <c r="C8197">
        <f>IF(B8197="","",INT(A8197))</f>
        <v/>
      </c>
      <c r="D8197">
        <f>IF(B8197="","",HOUR(A8197))</f>
        <v/>
      </c>
    </row>
    <row r="8198">
      <c r="A8198">
        <f>Input!A8198</f>
        <v/>
      </c>
      <c r="B8198">
        <f>IF(ISNUMBER(Input!B8198),IF(AND(Input!B8198&gt;=20,Input!B8198&lt;=700),Input!B8198,""),"")</f>
        <v/>
      </c>
      <c r="C8198">
        <f>IF(B8198="","",INT(A8198))</f>
        <v/>
      </c>
      <c r="D8198">
        <f>IF(B8198="","",HOUR(A8198))</f>
        <v/>
      </c>
    </row>
    <row r="8199">
      <c r="A8199">
        <f>Input!A8199</f>
        <v/>
      </c>
      <c r="B8199">
        <f>IF(ISNUMBER(Input!B8199),IF(AND(Input!B8199&gt;=20,Input!B8199&lt;=700),Input!B8199,""),"")</f>
        <v/>
      </c>
      <c r="C8199">
        <f>IF(B8199="","",INT(A8199))</f>
        <v/>
      </c>
      <c r="D8199">
        <f>IF(B8199="","",HOUR(A8199))</f>
        <v/>
      </c>
    </row>
    <row r="8200">
      <c r="A8200">
        <f>Input!A8200</f>
        <v/>
      </c>
      <c r="B8200">
        <f>IF(ISNUMBER(Input!B8200),IF(AND(Input!B8200&gt;=20,Input!B8200&lt;=700),Input!B8200,""),"")</f>
        <v/>
      </c>
      <c r="C8200">
        <f>IF(B8200="","",INT(A8200))</f>
        <v/>
      </c>
      <c r="D8200">
        <f>IF(B8200="","",HOUR(A8200))</f>
        <v/>
      </c>
    </row>
    <row r="8201">
      <c r="A8201">
        <f>Input!A8201</f>
        <v/>
      </c>
      <c r="B8201">
        <f>IF(ISNUMBER(Input!B8201),IF(AND(Input!B8201&gt;=20,Input!B8201&lt;=700),Input!B8201,""),"")</f>
        <v/>
      </c>
      <c r="C8201">
        <f>IF(B8201="","",INT(A8201))</f>
        <v/>
      </c>
      <c r="D8201">
        <f>IF(B8201="","",HOUR(A8201))</f>
        <v/>
      </c>
    </row>
    <row r="8202">
      <c r="A8202">
        <f>Input!A8202</f>
        <v/>
      </c>
      <c r="B8202">
        <f>IF(ISNUMBER(Input!B8202),IF(AND(Input!B8202&gt;=20,Input!B8202&lt;=700),Input!B8202,""),"")</f>
        <v/>
      </c>
      <c r="C8202">
        <f>IF(B8202="","",INT(A8202))</f>
        <v/>
      </c>
      <c r="D8202">
        <f>IF(B8202="","",HOUR(A8202))</f>
        <v/>
      </c>
    </row>
    <row r="8203">
      <c r="A8203">
        <f>Input!A8203</f>
        <v/>
      </c>
      <c r="B8203">
        <f>IF(ISNUMBER(Input!B8203),IF(AND(Input!B8203&gt;=20,Input!B8203&lt;=700),Input!B8203,""),"")</f>
        <v/>
      </c>
      <c r="C8203">
        <f>IF(B8203="","",INT(A8203))</f>
        <v/>
      </c>
      <c r="D8203">
        <f>IF(B8203="","",HOUR(A8203))</f>
        <v/>
      </c>
    </row>
    <row r="8204">
      <c r="A8204">
        <f>Input!A8204</f>
        <v/>
      </c>
      <c r="B8204">
        <f>IF(ISNUMBER(Input!B8204),IF(AND(Input!B8204&gt;=20,Input!B8204&lt;=700),Input!B8204,""),"")</f>
        <v/>
      </c>
      <c r="C8204">
        <f>IF(B8204="","",INT(A8204))</f>
        <v/>
      </c>
      <c r="D8204">
        <f>IF(B8204="","",HOUR(A8204))</f>
        <v/>
      </c>
    </row>
    <row r="8205">
      <c r="A8205">
        <f>Input!A8205</f>
        <v/>
      </c>
      <c r="B8205">
        <f>IF(ISNUMBER(Input!B8205),IF(AND(Input!B8205&gt;=20,Input!B8205&lt;=700),Input!B8205,""),"")</f>
        <v/>
      </c>
      <c r="C8205">
        <f>IF(B8205="","",INT(A8205))</f>
        <v/>
      </c>
      <c r="D8205">
        <f>IF(B8205="","",HOUR(A8205))</f>
        <v/>
      </c>
    </row>
    <row r="8206">
      <c r="A8206">
        <f>Input!A8206</f>
        <v/>
      </c>
      <c r="B8206">
        <f>IF(ISNUMBER(Input!B8206),IF(AND(Input!B8206&gt;=20,Input!B8206&lt;=700),Input!B8206,""),"")</f>
        <v/>
      </c>
      <c r="C8206">
        <f>IF(B8206="","",INT(A8206))</f>
        <v/>
      </c>
      <c r="D8206">
        <f>IF(B8206="","",HOUR(A8206))</f>
        <v/>
      </c>
    </row>
    <row r="8207">
      <c r="A8207">
        <f>Input!A8207</f>
        <v/>
      </c>
      <c r="B8207">
        <f>IF(ISNUMBER(Input!B8207),IF(AND(Input!B8207&gt;=20,Input!B8207&lt;=700),Input!B8207,""),"")</f>
        <v/>
      </c>
      <c r="C8207">
        <f>IF(B8207="","",INT(A8207))</f>
        <v/>
      </c>
      <c r="D8207">
        <f>IF(B8207="","",HOUR(A8207))</f>
        <v/>
      </c>
    </row>
    <row r="8208">
      <c r="A8208">
        <f>Input!A8208</f>
        <v/>
      </c>
      <c r="B8208">
        <f>IF(ISNUMBER(Input!B8208),IF(AND(Input!B8208&gt;=20,Input!B8208&lt;=700),Input!B8208,""),"")</f>
        <v/>
      </c>
      <c r="C8208">
        <f>IF(B8208="","",INT(A8208))</f>
        <v/>
      </c>
      <c r="D8208">
        <f>IF(B8208="","",HOUR(A8208))</f>
        <v/>
      </c>
    </row>
    <row r="8209">
      <c r="A8209">
        <f>Input!A8209</f>
        <v/>
      </c>
      <c r="B8209">
        <f>IF(ISNUMBER(Input!B8209),IF(AND(Input!B8209&gt;=20,Input!B8209&lt;=700),Input!B8209,""),"")</f>
        <v/>
      </c>
      <c r="C8209">
        <f>IF(B8209="","",INT(A8209))</f>
        <v/>
      </c>
      <c r="D8209">
        <f>IF(B8209="","",HOUR(A8209))</f>
        <v/>
      </c>
    </row>
    <row r="8210">
      <c r="A8210">
        <f>Input!A8210</f>
        <v/>
      </c>
      <c r="B8210">
        <f>IF(ISNUMBER(Input!B8210),IF(AND(Input!B8210&gt;=20,Input!B8210&lt;=700),Input!B8210,""),"")</f>
        <v/>
      </c>
      <c r="C8210">
        <f>IF(B8210="","",INT(A8210))</f>
        <v/>
      </c>
      <c r="D8210">
        <f>IF(B8210="","",HOUR(A8210))</f>
        <v/>
      </c>
    </row>
    <row r="8211">
      <c r="A8211">
        <f>Input!A8211</f>
        <v/>
      </c>
      <c r="B8211">
        <f>IF(ISNUMBER(Input!B8211),IF(AND(Input!B8211&gt;=20,Input!B8211&lt;=700),Input!B8211,""),"")</f>
        <v/>
      </c>
      <c r="C8211">
        <f>IF(B8211="","",INT(A8211))</f>
        <v/>
      </c>
      <c r="D8211">
        <f>IF(B8211="","",HOUR(A8211))</f>
        <v/>
      </c>
    </row>
    <row r="8212">
      <c r="A8212">
        <f>Input!A8212</f>
        <v/>
      </c>
      <c r="B8212">
        <f>IF(ISNUMBER(Input!B8212),IF(AND(Input!B8212&gt;=20,Input!B8212&lt;=700),Input!B8212,""),"")</f>
        <v/>
      </c>
      <c r="C8212">
        <f>IF(B8212="","",INT(A8212))</f>
        <v/>
      </c>
      <c r="D8212">
        <f>IF(B8212="","",HOUR(A8212))</f>
        <v/>
      </c>
    </row>
    <row r="8213">
      <c r="A8213">
        <f>Input!A8213</f>
        <v/>
      </c>
      <c r="B8213">
        <f>IF(ISNUMBER(Input!B8213),IF(AND(Input!B8213&gt;=20,Input!B8213&lt;=700),Input!B8213,""),"")</f>
        <v/>
      </c>
      <c r="C8213">
        <f>IF(B8213="","",INT(A8213))</f>
        <v/>
      </c>
      <c r="D8213">
        <f>IF(B8213="","",HOUR(A8213))</f>
        <v/>
      </c>
    </row>
    <row r="8214">
      <c r="A8214">
        <f>Input!A8214</f>
        <v/>
      </c>
      <c r="B8214">
        <f>IF(ISNUMBER(Input!B8214),IF(AND(Input!B8214&gt;=20,Input!B8214&lt;=700),Input!B8214,""),"")</f>
        <v/>
      </c>
      <c r="C8214">
        <f>IF(B8214="","",INT(A8214))</f>
        <v/>
      </c>
      <c r="D8214">
        <f>IF(B8214="","",HOUR(A8214))</f>
        <v/>
      </c>
    </row>
    <row r="8215">
      <c r="A8215">
        <f>Input!A8215</f>
        <v/>
      </c>
      <c r="B8215">
        <f>IF(ISNUMBER(Input!B8215),IF(AND(Input!B8215&gt;=20,Input!B8215&lt;=700),Input!B8215,""),"")</f>
        <v/>
      </c>
      <c r="C8215">
        <f>IF(B8215="","",INT(A8215))</f>
        <v/>
      </c>
      <c r="D8215">
        <f>IF(B8215="","",HOUR(A8215))</f>
        <v/>
      </c>
    </row>
    <row r="8216">
      <c r="A8216">
        <f>Input!A8216</f>
        <v/>
      </c>
      <c r="B8216">
        <f>IF(ISNUMBER(Input!B8216),IF(AND(Input!B8216&gt;=20,Input!B8216&lt;=700),Input!B8216,""),"")</f>
        <v/>
      </c>
      <c r="C8216">
        <f>IF(B8216="","",INT(A8216))</f>
        <v/>
      </c>
      <c r="D8216">
        <f>IF(B8216="","",HOUR(A8216))</f>
        <v/>
      </c>
    </row>
    <row r="8217">
      <c r="A8217">
        <f>Input!A8217</f>
        <v/>
      </c>
      <c r="B8217">
        <f>IF(ISNUMBER(Input!B8217),IF(AND(Input!B8217&gt;=20,Input!B8217&lt;=700),Input!B8217,""),"")</f>
        <v/>
      </c>
      <c r="C8217">
        <f>IF(B8217="","",INT(A8217))</f>
        <v/>
      </c>
      <c r="D8217">
        <f>IF(B8217="","",HOUR(A8217))</f>
        <v/>
      </c>
    </row>
    <row r="8218">
      <c r="A8218">
        <f>Input!A8218</f>
        <v/>
      </c>
      <c r="B8218">
        <f>IF(ISNUMBER(Input!B8218),IF(AND(Input!B8218&gt;=20,Input!B8218&lt;=700),Input!B8218,""),"")</f>
        <v/>
      </c>
      <c r="C8218">
        <f>IF(B8218="","",INT(A8218))</f>
        <v/>
      </c>
      <c r="D8218">
        <f>IF(B8218="","",HOUR(A8218))</f>
        <v/>
      </c>
    </row>
    <row r="8219">
      <c r="A8219">
        <f>Input!A8219</f>
        <v/>
      </c>
      <c r="B8219">
        <f>IF(ISNUMBER(Input!B8219),IF(AND(Input!B8219&gt;=20,Input!B8219&lt;=700),Input!B8219,""),"")</f>
        <v/>
      </c>
      <c r="C8219">
        <f>IF(B8219="","",INT(A8219))</f>
        <v/>
      </c>
      <c r="D8219">
        <f>IF(B8219="","",HOUR(A8219))</f>
        <v/>
      </c>
    </row>
    <row r="8220">
      <c r="A8220">
        <f>Input!A8220</f>
        <v/>
      </c>
      <c r="B8220">
        <f>IF(ISNUMBER(Input!B8220),IF(AND(Input!B8220&gt;=20,Input!B8220&lt;=700),Input!B8220,""),"")</f>
        <v/>
      </c>
      <c r="C8220">
        <f>IF(B8220="","",INT(A8220))</f>
        <v/>
      </c>
      <c r="D8220">
        <f>IF(B8220="","",HOUR(A8220))</f>
        <v/>
      </c>
    </row>
    <row r="8221">
      <c r="A8221">
        <f>Input!A8221</f>
        <v/>
      </c>
      <c r="B8221">
        <f>IF(ISNUMBER(Input!B8221),IF(AND(Input!B8221&gt;=20,Input!B8221&lt;=700),Input!B8221,""),"")</f>
        <v/>
      </c>
      <c r="C8221">
        <f>IF(B8221="","",INT(A8221))</f>
        <v/>
      </c>
      <c r="D8221">
        <f>IF(B8221="","",HOUR(A8221))</f>
        <v/>
      </c>
    </row>
    <row r="8222">
      <c r="A8222">
        <f>Input!A8222</f>
        <v/>
      </c>
      <c r="B8222">
        <f>IF(ISNUMBER(Input!B8222),IF(AND(Input!B8222&gt;=20,Input!B8222&lt;=700),Input!B8222,""),"")</f>
        <v/>
      </c>
      <c r="C8222">
        <f>IF(B8222="","",INT(A8222))</f>
        <v/>
      </c>
      <c r="D8222">
        <f>IF(B8222="","",HOUR(A8222))</f>
        <v/>
      </c>
    </row>
    <row r="8223">
      <c r="A8223">
        <f>Input!A8223</f>
        <v/>
      </c>
      <c r="B8223">
        <f>IF(ISNUMBER(Input!B8223),IF(AND(Input!B8223&gt;=20,Input!B8223&lt;=700),Input!B8223,""),"")</f>
        <v/>
      </c>
      <c r="C8223">
        <f>IF(B8223="","",INT(A8223))</f>
        <v/>
      </c>
      <c r="D8223">
        <f>IF(B8223="","",HOUR(A8223))</f>
        <v/>
      </c>
    </row>
    <row r="8224">
      <c r="A8224">
        <f>Input!A8224</f>
        <v/>
      </c>
      <c r="B8224">
        <f>IF(ISNUMBER(Input!B8224),IF(AND(Input!B8224&gt;=20,Input!B8224&lt;=700),Input!B8224,""),"")</f>
        <v/>
      </c>
      <c r="C8224">
        <f>IF(B8224="","",INT(A8224))</f>
        <v/>
      </c>
      <c r="D8224">
        <f>IF(B8224="","",HOUR(A8224))</f>
        <v/>
      </c>
    </row>
    <row r="8225">
      <c r="A8225">
        <f>Input!A8225</f>
        <v/>
      </c>
      <c r="B8225">
        <f>IF(ISNUMBER(Input!B8225),IF(AND(Input!B8225&gt;=20,Input!B8225&lt;=700),Input!B8225,""),"")</f>
        <v/>
      </c>
      <c r="C8225">
        <f>IF(B8225="","",INT(A8225))</f>
        <v/>
      </c>
      <c r="D8225">
        <f>IF(B8225="","",HOUR(A8225))</f>
        <v/>
      </c>
    </row>
    <row r="8226">
      <c r="A8226">
        <f>Input!A8226</f>
        <v/>
      </c>
      <c r="B8226">
        <f>IF(ISNUMBER(Input!B8226),IF(AND(Input!B8226&gt;=20,Input!B8226&lt;=700),Input!B8226,""),"")</f>
        <v/>
      </c>
      <c r="C8226">
        <f>IF(B8226="","",INT(A8226))</f>
        <v/>
      </c>
      <c r="D8226">
        <f>IF(B8226="","",HOUR(A8226))</f>
        <v/>
      </c>
    </row>
    <row r="8227">
      <c r="A8227">
        <f>Input!A8227</f>
        <v/>
      </c>
      <c r="B8227">
        <f>IF(ISNUMBER(Input!B8227),IF(AND(Input!B8227&gt;=20,Input!B8227&lt;=700),Input!B8227,""),"")</f>
        <v/>
      </c>
      <c r="C8227">
        <f>IF(B8227="","",INT(A8227))</f>
        <v/>
      </c>
      <c r="D8227">
        <f>IF(B8227="","",HOUR(A8227))</f>
        <v/>
      </c>
    </row>
    <row r="8228">
      <c r="A8228">
        <f>Input!A8228</f>
        <v/>
      </c>
      <c r="B8228">
        <f>IF(ISNUMBER(Input!B8228),IF(AND(Input!B8228&gt;=20,Input!B8228&lt;=700),Input!B8228,""),"")</f>
        <v/>
      </c>
      <c r="C8228">
        <f>IF(B8228="","",INT(A8228))</f>
        <v/>
      </c>
      <c r="D8228">
        <f>IF(B8228="","",HOUR(A8228))</f>
        <v/>
      </c>
    </row>
    <row r="8229">
      <c r="A8229">
        <f>Input!A8229</f>
        <v/>
      </c>
      <c r="B8229">
        <f>IF(ISNUMBER(Input!B8229),IF(AND(Input!B8229&gt;=20,Input!B8229&lt;=700),Input!B8229,""),"")</f>
        <v/>
      </c>
      <c r="C8229">
        <f>IF(B8229="","",INT(A8229))</f>
        <v/>
      </c>
      <c r="D8229">
        <f>IF(B8229="","",HOUR(A8229))</f>
        <v/>
      </c>
    </row>
    <row r="8230">
      <c r="A8230">
        <f>Input!A8230</f>
        <v/>
      </c>
      <c r="B8230">
        <f>IF(ISNUMBER(Input!B8230),IF(AND(Input!B8230&gt;=20,Input!B8230&lt;=700),Input!B8230,""),"")</f>
        <v/>
      </c>
      <c r="C8230">
        <f>IF(B8230="","",INT(A8230))</f>
        <v/>
      </c>
      <c r="D8230">
        <f>IF(B8230="","",HOUR(A8230))</f>
        <v/>
      </c>
    </row>
    <row r="8231">
      <c r="A8231">
        <f>Input!A8231</f>
        <v/>
      </c>
      <c r="B8231">
        <f>IF(ISNUMBER(Input!B8231),IF(AND(Input!B8231&gt;=20,Input!B8231&lt;=700),Input!B8231,""),"")</f>
        <v/>
      </c>
      <c r="C8231">
        <f>IF(B8231="","",INT(A8231))</f>
        <v/>
      </c>
      <c r="D8231">
        <f>IF(B8231="","",HOUR(A8231))</f>
        <v/>
      </c>
    </row>
    <row r="8232">
      <c r="A8232">
        <f>Input!A8232</f>
        <v/>
      </c>
      <c r="B8232">
        <f>IF(ISNUMBER(Input!B8232),IF(AND(Input!B8232&gt;=20,Input!B8232&lt;=700),Input!B8232,""),"")</f>
        <v/>
      </c>
      <c r="C8232">
        <f>IF(B8232="","",INT(A8232))</f>
        <v/>
      </c>
      <c r="D8232">
        <f>IF(B8232="","",HOUR(A8232))</f>
        <v/>
      </c>
    </row>
    <row r="8233">
      <c r="A8233">
        <f>Input!A8233</f>
        <v/>
      </c>
      <c r="B8233">
        <f>IF(ISNUMBER(Input!B8233),IF(AND(Input!B8233&gt;=20,Input!B8233&lt;=700),Input!B8233,""),"")</f>
        <v/>
      </c>
      <c r="C8233">
        <f>IF(B8233="","",INT(A8233))</f>
        <v/>
      </c>
      <c r="D8233">
        <f>IF(B8233="","",HOUR(A8233))</f>
        <v/>
      </c>
    </row>
    <row r="8234">
      <c r="A8234">
        <f>Input!A8234</f>
        <v/>
      </c>
      <c r="B8234">
        <f>IF(ISNUMBER(Input!B8234),IF(AND(Input!B8234&gt;=20,Input!B8234&lt;=700),Input!B8234,""),"")</f>
        <v/>
      </c>
      <c r="C8234">
        <f>IF(B8234="","",INT(A8234))</f>
        <v/>
      </c>
      <c r="D8234">
        <f>IF(B8234="","",HOUR(A8234))</f>
        <v/>
      </c>
    </row>
    <row r="8235">
      <c r="A8235">
        <f>Input!A8235</f>
        <v/>
      </c>
      <c r="B8235">
        <f>IF(ISNUMBER(Input!B8235),IF(AND(Input!B8235&gt;=20,Input!B8235&lt;=700),Input!B8235,""),"")</f>
        <v/>
      </c>
      <c r="C8235">
        <f>IF(B8235="","",INT(A8235))</f>
        <v/>
      </c>
      <c r="D8235">
        <f>IF(B8235="","",HOUR(A8235))</f>
        <v/>
      </c>
    </row>
    <row r="8236">
      <c r="A8236">
        <f>Input!A8236</f>
        <v/>
      </c>
      <c r="B8236">
        <f>IF(ISNUMBER(Input!B8236),IF(AND(Input!B8236&gt;=20,Input!B8236&lt;=700),Input!B8236,""),"")</f>
        <v/>
      </c>
      <c r="C8236">
        <f>IF(B8236="","",INT(A8236))</f>
        <v/>
      </c>
      <c r="D8236">
        <f>IF(B8236="","",HOUR(A8236))</f>
        <v/>
      </c>
    </row>
    <row r="8237">
      <c r="A8237">
        <f>Input!A8237</f>
        <v/>
      </c>
      <c r="B8237">
        <f>IF(ISNUMBER(Input!B8237),IF(AND(Input!B8237&gt;=20,Input!B8237&lt;=700),Input!B8237,""),"")</f>
        <v/>
      </c>
      <c r="C8237">
        <f>IF(B8237="","",INT(A8237))</f>
        <v/>
      </c>
      <c r="D8237">
        <f>IF(B8237="","",HOUR(A8237))</f>
        <v/>
      </c>
    </row>
    <row r="8238">
      <c r="A8238">
        <f>Input!A8238</f>
        <v/>
      </c>
      <c r="B8238">
        <f>IF(ISNUMBER(Input!B8238),IF(AND(Input!B8238&gt;=20,Input!B8238&lt;=700),Input!B8238,""),"")</f>
        <v/>
      </c>
      <c r="C8238">
        <f>IF(B8238="","",INT(A8238))</f>
        <v/>
      </c>
      <c r="D8238">
        <f>IF(B8238="","",HOUR(A8238))</f>
        <v/>
      </c>
    </row>
    <row r="8239">
      <c r="A8239">
        <f>Input!A8239</f>
        <v/>
      </c>
      <c r="B8239">
        <f>IF(ISNUMBER(Input!B8239),IF(AND(Input!B8239&gt;=20,Input!B8239&lt;=700),Input!B8239,""),"")</f>
        <v/>
      </c>
      <c r="C8239">
        <f>IF(B8239="","",INT(A8239))</f>
        <v/>
      </c>
      <c r="D8239">
        <f>IF(B8239="","",HOUR(A8239))</f>
        <v/>
      </c>
    </row>
    <row r="8240">
      <c r="A8240">
        <f>Input!A8240</f>
        <v/>
      </c>
      <c r="B8240">
        <f>IF(ISNUMBER(Input!B8240),IF(AND(Input!B8240&gt;=20,Input!B8240&lt;=700),Input!B8240,""),"")</f>
        <v/>
      </c>
      <c r="C8240">
        <f>IF(B8240="","",INT(A8240))</f>
        <v/>
      </c>
      <c r="D8240">
        <f>IF(B8240="","",HOUR(A8240))</f>
        <v/>
      </c>
    </row>
    <row r="8241">
      <c r="A8241">
        <f>Input!A8241</f>
        <v/>
      </c>
      <c r="B8241">
        <f>IF(ISNUMBER(Input!B8241),IF(AND(Input!B8241&gt;=20,Input!B8241&lt;=700),Input!B8241,""),"")</f>
        <v/>
      </c>
      <c r="C8241">
        <f>IF(B8241="","",INT(A8241))</f>
        <v/>
      </c>
      <c r="D8241">
        <f>IF(B8241="","",HOUR(A8241))</f>
        <v/>
      </c>
    </row>
    <row r="8242">
      <c r="A8242">
        <f>Input!A8242</f>
        <v/>
      </c>
      <c r="B8242">
        <f>IF(ISNUMBER(Input!B8242),IF(AND(Input!B8242&gt;=20,Input!B8242&lt;=700),Input!B8242,""),"")</f>
        <v/>
      </c>
      <c r="C8242">
        <f>IF(B8242="","",INT(A8242))</f>
        <v/>
      </c>
      <c r="D8242">
        <f>IF(B8242="","",HOUR(A8242))</f>
        <v/>
      </c>
    </row>
    <row r="8243">
      <c r="A8243">
        <f>Input!A8243</f>
        <v/>
      </c>
      <c r="B8243">
        <f>IF(ISNUMBER(Input!B8243),IF(AND(Input!B8243&gt;=20,Input!B8243&lt;=700),Input!B8243,""),"")</f>
        <v/>
      </c>
      <c r="C8243">
        <f>IF(B8243="","",INT(A8243))</f>
        <v/>
      </c>
      <c r="D8243">
        <f>IF(B8243="","",HOUR(A8243))</f>
        <v/>
      </c>
    </row>
    <row r="8244">
      <c r="A8244">
        <f>Input!A8244</f>
        <v/>
      </c>
      <c r="B8244">
        <f>IF(ISNUMBER(Input!B8244),IF(AND(Input!B8244&gt;=20,Input!B8244&lt;=700),Input!B8244,""),"")</f>
        <v/>
      </c>
      <c r="C8244">
        <f>IF(B8244="","",INT(A8244))</f>
        <v/>
      </c>
      <c r="D8244">
        <f>IF(B8244="","",HOUR(A8244))</f>
        <v/>
      </c>
    </row>
    <row r="8245">
      <c r="A8245">
        <f>Input!A8245</f>
        <v/>
      </c>
      <c r="B8245">
        <f>IF(ISNUMBER(Input!B8245),IF(AND(Input!B8245&gt;=20,Input!B8245&lt;=700),Input!B8245,""),"")</f>
        <v/>
      </c>
      <c r="C8245">
        <f>IF(B8245="","",INT(A8245))</f>
        <v/>
      </c>
      <c r="D8245">
        <f>IF(B8245="","",HOUR(A8245))</f>
        <v/>
      </c>
    </row>
    <row r="8246">
      <c r="A8246">
        <f>Input!A8246</f>
        <v/>
      </c>
      <c r="B8246">
        <f>IF(ISNUMBER(Input!B8246),IF(AND(Input!B8246&gt;=20,Input!B8246&lt;=700),Input!B8246,""),"")</f>
        <v/>
      </c>
      <c r="C8246">
        <f>IF(B8246="","",INT(A8246))</f>
        <v/>
      </c>
      <c r="D8246">
        <f>IF(B8246="","",HOUR(A8246))</f>
        <v/>
      </c>
    </row>
    <row r="8247">
      <c r="A8247">
        <f>Input!A8247</f>
        <v/>
      </c>
      <c r="B8247">
        <f>IF(ISNUMBER(Input!B8247),IF(AND(Input!B8247&gt;=20,Input!B8247&lt;=700),Input!B8247,""),"")</f>
        <v/>
      </c>
      <c r="C8247">
        <f>IF(B8247="","",INT(A8247))</f>
        <v/>
      </c>
      <c r="D8247">
        <f>IF(B8247="","",HOUR(A8247))</f>
        <v/>
      </c>
    </row>
    <row r="8248">
      <c r="A8248">
        <f>Input!A8248</f>
        <v/>
      </c>
      <c r="B8248">
        <f>IF(ISNUMBER(Input!B8248),IF(AND(Input!B8248&gt;=20,Input!B8248&lt;=700),Input!B8248,""),"")</f>
        <v/>
      </c>
      <c r="C8248">
        <f>IF(B8248="","",INT(A8248))</f>
        <v/>
      </c>
      <c r="D8248">
        <f>IF(B8248="","",HOUR(A8248))</f>
        <v/>
      </c>
    </row>
    <row r="8249">
      <c r="A8249">
        <f>Input!A8249</f>
        <v/>
      </c>
      <c r="B8249">
        <f>IF(ISNUMBER(Input!B8249),IF(AND(Input!B8249&gt;=20,Input!B8249&lt;=700),Input!B8249,""),"")</f>
        <v/>
      </c>
      <c r="C8249">
        <f>IF(B8249="","",INT(A8249))</f>
        <v/>
      </c>
      <c r="D8249">
        <f>IF(B8249="","",HOUR(A8249))</f>
        <v/>
      </c>
    </row>
    <row r="8250">
      <c r="A8250">
        <f>Input!A8250</f>
        <v/>
      </c>
      <c r="B8250">
        <f>IF(ISNUMBER(Input!B8250),IF(AND(Input!B8250&gt;=20,Input!B8250&lt;=700),Input!B8250,""),"")</f>
        <v/>
      </c>
      <c r="C8250">
        <f>IF(B8250="","",INT(A8250))</f>
        <v/>
      </c>
      <c r="D8250">
        <f>IF(B8250="","",HOUR(A8250))</f>
        <v/>
      </c>
    </row>
    <row r="8251">
      <c r="A8251">
        <f>Input!A8251</f>
        <v/>
      </c>
      <c r="B8251">
        <f>IF(ISNUMBER(Input!B8251),IF(AND(Input!B8251&gt;=20,Input!B8251&lt;=700),Input!B8251,""),"")</f>
        <v/>
      </c>
      <c r="C8251">
        <f>IF(B8251="","",INT(A8251))</f>
        <v/>
      </c>
      <c r="D8251">
        <f>IF(B8251="","",HOUR(A8251))</f>
        <v/>
      </c>
    </row>
    <row r="8252">
      <c r="A8252">
        <f>Input!A8252</f>
        <v/>
      </c>
      <c r="B8252">
        <f>IF(ISNUMBER(Input!B8252),IF(AND(Input!B8252&gt;=20,Input!B8252&lt;=700),Input!B8252,""),"")</f>
        <v/>
      </c>
      <c r="C8252">
        <f>IF(B8252="","",INT(A8252))</f>
        <v/>
      </c>
      <c r="D8252">
        <f>IF(B8252="","",HOUR(A8252))</f>
        <v/>
      </c>
    </row>
    <row r="8253">
      <c r="A8253">
        <f>Input!A8253</f>
        <v/>
      </c>
      <c r="B8253">
        <f>IF(ISNUMBER(Input!B8253),IF(AND(Input!B8253&gt;=20,Input!B8253&lt;=700),Input!B8253,""),"")</f>
        <v/>
      </c>
      <c r="C8253">
        <f>IF(B8253="","",INT(A8253))</f>
        <v/>
      </c>
      <c r="D8253">
        <f>IF(B8253="","",HOUR(A8253))</f>
        <v/>
      </c>
    </row>
    <row r="8254">
      <c r="A8254">
        <f>Input!A8254</f>
        <v/>
      </c>
      <c r="B8254">
        <f>IF(ISNUMBER(Input!B8254),IF(AND(Input!B8254&gt;=20,Input!B8254&lt;=700),Input!B8254,""),"")</f>
        <v/>
      </c>
      <c r="C8254">
        <f>IF(B8254="","",INT(A8254))</f>
        <v/>
      </c>
      <c r="D8254">
        <f>IF(B8254="","",HOUR(A8254))</f>
        <v/>
      </c>
    </row>
    <row r="8255">
      <c r="A8255">
        <f>Input!A8255</f>
        <v/>
      </c>
      <c r="B8255">
        <f>IF(ISNUMBER(Input!B8255),IF(AND(Input!B8255&gt;=20,Input!B8255&lt;=700),Input!B8255,""),"")</f>
        <v/>
      </c>
      <c r="C8255">
        <f>IF(B8255="","",INT(A8255))</f>
        <v/>
      </c>
      <c r="D8255">
        <f>IF(B8255="","",HOUR(A8255))</f>
        <v/>
      </c>
    </row>
    <row r="8256">
      <c r="A8256">
        <f>Input!A8256</f>
        <v/>
      </c>
      <c r="B8256">
        <f>IF(ISNUMBER(Input!B8256),IF(AND(Input!B8256&gt;=20,Input!B8256&lt;=700),Input!B8256,""),"")</f>
        <v/>
      </c>
      <c r="C8256">
        <f>IF(B8256="","",INT(A8256))</f>
        <v/>
      </c>
      <c r="D8256">
        <f>IF(B8256="","",HOUR(A8256))</f>
        <v/>
      </c>
    </row>
    <row r="8257">
      <c r="A8257">
        <f>Input!A8257</f>
        <v/>
      </c>
      <c r="B8257">
        <f>IF(ISNUMBER(Input!B8257),IF(AND(Input!B8257&gt;=20,Input!B8257&lt;=700),Input!B8257,""),"")</f>
        <v/>
      </c>
      <c r="C8257">
        <f>IF(B8257="","",INT(A8257))</f>
        <v/>
      </c>
      <c r="D8257">
        <f>IF(B8257="","",HOUR(A8257))</f>
        <v/>
      </c>
    </row>
    <row r="8258">
      <c r="A8258">
        <f>Input!A8258</f>
        <v/>
      </c>
      <c r="B8258">
        <f>IF(ISNUMBER(Input!B8258),IF(AND(Input!B8258&gt;=20,Input!B8258&lt;=700),Input!B8258,""),"")</f>
        <v/>
      </c>
      <c r="C8258">
        <f>IF(B8258="","",INT(A8258))</f>
        <v/>
      </c>
      <c r="D8258">
        <f>IF(B8258="","",HOUR(A8258))</f>
        <v/>
      </c>
    </row>
    <row r="8259">
      <c r="A8259">
        <f>Input!A8259</f>
        <v/>
      </c>
      <c r="B8259">
        <f>IF(ISNUMBER(Input!B8259),IF(AND(Input!B8259&gt;=20,Input!B8259&lt;=700),Input!B8259,""),"")</f>
        <v/>
      </c>
      <c r="C8259">
        <f>IF(B8259="","",INT(A8259))</f>
        <v/>
      </c>
      <c r="D8259">
        <f>IF(B8259="","",HOUR(A8259))</f>
        <v/>
      </c>
    </row>
    <row r="8260">
      <c r="A8260">
        <f>Input!A8260</f>
        <v/>
      </c>
      <c r="B8260">
        <f>IF(ISNUMBER(Input!B8260),IF(AND(Input!B8260&gt;=20,Input!B8260&lt;=700),Input!B8260,""),"")</f>
        <v/>
      </c>
      <c r="C8260">
        <f>IF(B8260="","",INT(A8260))</f>
        <v/>
      </c>
      <c r="D8260">
        <f>IF(B8260="","",HOUR(A8260))</f>
        <v/>
      </c>
    </row>
    <row r="8261">
      <c r="A8261">
        <f>Input!A8261</f>
        <v/>
      </c>
      <c r="B8261">
        <f>IF(ISNUMBER(Input!B8261),IF(AND(Input!B8261&gt;=20,Input!B8261&lt;=700),Input!B8261,""),"")</f>
        <v/>
      </c>
      <c r="C8261">
        <f>IF(B8261="","",INT(A8261))</f>
        <v/>
      </c>
      <c r="D8261">
        <f>IF(B8261="","",HOUR(A8261))</f>
        <v/>
      </c>
    </row>
    <row r="8262">
      <c r="A8262">
        <f>Input!A8262</f>
        <v/>
      </c>
      <c r="B8262">
        <f>IF(ISNUMBER(Input!B8262),IF(AND(Input!B8262&gt;=20,Input!B8262&lt;=700),Input!B8262,""),"")</f>
        <v/>
      </c>
      <c r="C8262">
        <f>IF(B8262="","",INT(A8262))</f>
        <v/>
      </c>
      <c r="D8262">
        <f>IF(B8262="","",HOUR(A8262))</f>
        <v/>
      </c>
    </row>
    <row r="8263">
      <c r="A8263">
        <f>Input!A8263</f>
        <v/>
      </c>
      <c r="B8263">
        <f>IF(ISNUMBER(Input!B8263),IF(AND(Input!B8263&gt;=20,Input!B8263&lt;=700),Input!B8263,""),"")</f>
        <v/>
      </c>
      <c r="C8263">
        <f>IF(B8263="","",INT(A8263))</f>
        <v/>
      </c>
      <c r="D8263">
        <f>IF(B8263="","",HOUR(A8263))</f>
        <v/>
      </c>
    </row>
    <row r="8264">
      <c r="A8264">
        <f>Input!A8264</f>
        <v/>
      </c>
      <c r="B8264">
        <f>IF(ISNUMBER(Input!B8264),IF(AND(Input!B8264&gt;=20,Input!B8264&lt;=700),Input!B8264,""),"")</f>
        <v/>
      </c>
      <c r="C8264">
        <f>IF(B8264="","",INT(A8264))</f>
        <v/>
      </c>
      <c r="D8264">
        <f>IF(B8264="","",HOUR(A8264))</f>
        <v/>
      </c>
    </row>
    <row r="8265">
      <c r="A8265">
        <f>Input!A8265</f>
        <v/>
      </c>
      <c r="B8265">
        <f>IF(ISNUMBER(Input!B8265),IF(AND(Input!B8265&gt;=20,Input!B8265&lt;=700),Input!B8265,""),"")</f>
        <v/>
      </c>
      <c r="C8265">
        <f>IF(B8265="","",INT(A8265))</f>
        <v/>
      </c>
      <c r="D8265">
        <f>IF(B8265="","",HOUR(A8265))</f>
        <v/>
      </c>
    </row>
    <row r="8266">
      <c r="A8266">
        <f>Input!A8266</f>
        <v/>
      </c>
      <c r="B8266">
        <f>IF(ISNUMBER(Input!B8266),IF(AND(Input!B8266&gt;=20,Input!B8266&lt;=700),Input!B8266,""),"")</f>
        <v/>
      </c>
      <c r="C8266">
        <f>IF(B8266="","",INT(A8266))</f>
        <v/>
      </c>
      <c r="D8266">
        <f>IF(B8266="","",HOUR(A8266))</f>
        <v/>
      </c>
    </row>
    <row r="8267">
      <c r="A8267">
        <f>Input!A8267</f>
        <v/>
      </c>
      <c r="B8267">
        <f>IF(ISNUMBER(Input!B8267),IF(AND(Input!B8267&gt;=20,Input!B8267&lt;=700),Input!B8267,""),"")</f>
        <v/>
      </c>
      <c r="C8267">
        <f>IF(B8267="","",INT(A8267))</f>
        <v/>
      </c>
      <c r="D8267">
        <f>IF(B8267="","",HOUR(A8267))</f>
        <v/>
      </c>
    </row>
    <row r="8268">
      <c r="A8268">
        <f>Input!A8268</f>
        <v/>
      </c>
      <c r="B8268">
        <f>IF(ISNUMBER(Input!B8268),IF(AND(Input!B8268&gt;=20,Input!B8268&lt;=700),Input!B8268,""),"")</f>
        <v/>
      </c>
      <c r="C8268">
        <f>IF(B8268="","",INT(A8268))</f>
        <v/>
      </c>
      <c r="D8268">
        <f>IF(B8268="","",HOUR(A8268))</f>
        <v/>
      </c>
    </row>
    <row r="8269">
      <c r="A8269">
        <f>Input!A8269</f>
        <v/>
      </c>
      <c r="B8269">
        <f>IF(ISNUMBER(Input!B8269),IF(AND(Input!B8269&gt;=20,Input!B8269&lt;=700),Input!B8269,""),"")</f>
        <v/>
      </c>
      <c r="C8269">
        <f>IF(B8269="","",INT(A8269))</f>
        <v/>
      </c>
      <c r="D8269">
        <f>IF(B8269="","",HOUR(A8269))</f>
        <v/>
      </c>
    </row>
    <row r="8270">
      <c r="A8270">
        <f>Input!A8270</f>
        <v/>
      </c>
      <c r="B8270">
        <f>IF(ISNUMBER(Input!B8270),IF(AND(Input!B8270&gt;=20,Input!B8270&lt;=700),Input!B8270,""),"")</f>
        <v/>
      </c>
      <c r="C8270">
        <f>IF(B8270="","",INT(A8270))</f>
        <v/>
      </c>
      <c r="D8270">
        <f>IF(B8270="","",HOUR(A8270))</f>
        <v/>
      </c>
    </row>
    <row r="8271">
      <c r="A8271">
        <f>Input!A8271</f>
        <v/>
      </c>
      <c r="B8271">
        <f>IF(ISNUMBER(Input!B8271),IF(AND(Input!B8271&gt;=20,Input!B8271&lt;=700),Input!B8271,""),"")</f>
        <v/>
      </c>
      <c r="C8271">
        <f>IF(B8271="","",INT(A8271))</f>
        <v/>
      </c>
      <c r="D8271">
        <f>IF(B8271="","",HOUR(A8271))</f>
        <v/>
      </c>
    </row>
    <row r="8272">
      <c r="A8272">
        <f>Input!A8272</f>
        <v/>
      </c>
      <c r="B8272">
        <f>IF(ISNUMBER(Input!B8272),IF(AND(Input!B8272&gt;=20,Input!B8272&lt;=700),Input!B8272,""),"")</f>
        <v/>
      </c>
      <c r="C8272">
        <f>IF(B8272="","",INT(A8272))</f>
        <v/>
      </c>
      <c r="D8272">
        <f>IF(B8272="","",HOUR(A8272))</f>
        <v/>
      </c>
    </row>
    <row r="8273">
      <c r="A8273">
        <f>Input!A8273</f>
        <v/>
      </c>
      <c r="B8273">
        <f>IF(ISNUMBER(Input!B8273),IF(AND(Input!B8273&gt;=20,Input!B8273&lt;=700),Input!B8273,""),"")</f>
        <v/>
      </c>
      <c r="C8273">
        <f>IF(B8273="","",INT(A8273))</f>
        <v/>
      </c>
      <c r="D8273">
        <f>IF(B8273="","",HOUR(A8273))</f>
        <v/>
      </c>
    </row>
    <row r="8274">
      <c r="A8274">
        <f>Input!A8274</f>
        <v/>
      </c>
      <c r="B8274">
        <f>IF(ISNUMBER(Input!B8274),IF(AND(Input!B8274&gt;=20,Input!B8274&lt;=700),Input!B8274,""),"")</f>
        <v/>
      </c>
      <c r="C8274">
        <f>IF(B8274="","",INT(A8274))</f>
        <v/>
      </c>
      <c r="D8274">
        <f>IF(B8274="","",HOUR(A8274))</f>
        <v/>
      </c>
    </row>
    <row r="8275">
      <c r="A8275">
        <f>Input!A8275</f>
        <v/>
      </c>
      <c r="B8275">
        <f>IF(ISNUMBER(Input!B8275),IF(AND(Input!B8275&gt;=20,Input!B8275&lt;=700),Input!B8275,""),"")</f>
        <v/>
      </c>
      <c r="C8275">
        <f>IF(B8275="","",INT(A8275))</f>
        <v/>
      </c>
      <c r="D8275">
        <f>IF(B8275="","",HOUR(A8275))</f>
        <v/>
      </c>
    </row>
    <row r="8276">
      <c r="A8276">
        <f>Input!A8276</f>
        <v/>
      </c>
      <c r="B8276">
        <f>IF(ISNUMBER(Input!B8276),IF(AND(Input!B8276&gt;=20,Input!B8276&lt;=700),Input!B8276,""),"")</f>
        <v/>
      </c>
      <c r="C8276">
        <f>IF(B8276="","",INT(A8276))</f>
        <v/>
      </c>
      <c r="D8276">
        <f>IF(B8276="","",HOUR(A8276))</f>
        <v/>
      </c>
    </row>
    <row r="8277">
      <c r="A8277">
        <f>Input!A8277</f>
        <v/>
      </c>
      <c r="B8277">
        <f>IF(ISNUMBER(Input!B8277),IF(AND(Input!B8277&gt;=20,Input!B8277&lt;=700),Input!B8277,""),"")</f>
        <v/>
      </c>
      <c r="C8277">
        <f>IF(B8277="","",INT(A8277))</f>
        <v/>
      </c>
      <c r="D8277">
        <f>IF(B8277="","",HOUR(A8277))</f>
        <v/>
      </c>
    </row>
    <row r="8278">
      <c r="A8278">
        <f>Input!A8278</f>
        <v/>
      </c>
      <c r="B8278">
        <f>IF(ISNUMBER(Input!B8278),IF(AND(Input!B8278&gt;=20,Input!B8278&lt;=700),Input!B8278,""),"")</f>
        <v/>
      </c>
      <c r="C8278">
        <f>IF(B8278="","",INT(A8278))</f>
        <v/>
      </c>
      <c r="D8278">
        <f>IF(B8278="","",HOUR(A8278))</f>
        <v/>
      </c>
    </row>
    <row r="8279">
      <c r="A8279">
        <f>Input!A8279</f>
        <v/>
      </c>
      <c r="B8279">
        <f>IF(ISNUMBER(Input!B8279),IF(AND(Input!B8279&gt;=20,Input!B8279&lt;=700),Input!B8279,""),"")</f>
        <v/>
      </c>
      <c r="C8279">
        <f>IF(B8279="","",INT(A8279))</f>
        <v/>
      </c>
      <c r="D8279">
        <f>IF(B8279="","",HOUR(A8279))</f>
        <v/>
      </c>
    </row>
    <row r="8280">
      <c r="A8280">
        <f>Input!A8280</f>
        <v/>
      </c>
      <c r="B8280">
        <f>IF(ISNUMBER(Input!B8280),IF(AND(Input!B8280&gt;=20,Input!B8280&lt;=700),Input!B8280,""),"")</f>
        <v/>
      </c>
      <c r="C8280">
        <f>IF(B8280="","",INT(A8280))</f>
        <v/>
      </c>
      <c r="D8280">
        <f>IF(B8280="","",HOUR(A8280))</f>
        <v/>
      </c>
    </row>
    <row r="8281">
      <c r="A8281">
        <f>Input!A8281</f>
        <v/>
      </c>
      <c r="B8281">
        <f>IF(ISNUMBER(Input!B8281),IF(AND(Input!B8281&gt;=20,Input!B8281&lt;=700),Input!B8281,""),"")</f>
        <v/>
      </c>
      <c r="C8281">
        <f>IF(B8281="","",INT(A8281))</f>
        <v/>
      </c>
      <c r="D8281">
        <f>IF(B8281="","",HOUR(A8281))</f>
        <v/>
      </c>
    </row>
    <row r="8282">
      <c r="A8282">
        <f>Input!A8282</f>
        <v/>
      </c>
      <c r="B8282">
        <f>IF(ISNUMBER(Input!B8282),IF(AND(Input!B8282&gt;=20,Input!B8282&lt;=700),Input!B8282,""),"")</f>
        <v/>
      </c>
      <c r="C8282">
        <f>IF(B8282="","",INT(A8282))</f>
        <v/>
      </c>
      <c r="D8282">
        <f>IF(B8282="","",HOUR(A8282))</f>
        <v/>
      </c>
    </row>
    <row r="8283">
      <c r="A8283">
        <f>Input!A8283</f>
        <v/>
      </c>
      <c r="B8283">
        <f>IF(ISNUMBER(Input!B8283),IF(AND(Input!B8283&gt;=20,Input!B8283&lt;=700),Input!B8283,""),"")</f>
        <v/>
      </c>
      <c r="C8283">
        <f>IF(B8283="","",INT(A8283))</f>
        <v/>
      </c>
      <c r="D8283">
        <f>IF(B8283="","",HOUR(A8283))</f>
        <v/>
      </c>
    </row>
    <row r="8284">
      <c r="A8284">
        <f>Input!A8284</f>
        <v/>
      </c>
      <c r="B8284">
        <f>IF(ISNUMBER(Input!B8284),IF(AND(Input!B8284&gt;=20,Input!B8284&lt;=700),Input!B8284,""),"")</f>
        <v/>
      </c>
      <c r="C8284">
        <f>IF(B8284="","",INT(A8284))</f>
        <v/>
      </c>
      <c r="D8284">
        <f>IF(B8284="","",HOUR(A8284))</f>
        <v/>
      </c>
    </row>
    <row r="8285">
      <c r="A8285">
        <f>Input!A8285</f>
        <v/>
      </c>
      <c r="B8285">
        <f>IF(ISNUMBER(Input!B8285),IF(AND(Input!B8285&gt;=20,Input!B8285&lt;=700),Input!B8285,""),"")</f>
        <v/>
      </c>
      <c r="C8285">
        <f>IF(B8285="","",INT(A8285))</f>
        <v/>
      </c>
      <c r="D8285">
        <f>IF(B8285="","",HOUR(A8285))</f>
        <v/>
      </c>
    </row>
    <row r="8286">
      <c r="A8286">
        <f>Input!A8286</f>
        <v/>
      </c>
      <c r="B8286">
        <f>IF(ISNUMBER(Input!B8286),IF(AND(Input!B8286&gt;=20,Input!B8286&lt;=700),Input!B8286,""),"")</f>
        <v/>
      </c>
      <c r="C8286">
        <f>IF(B8286="","",INT(A8286))</f>
        <v/>
      </c>
      <c r="D8286">
        <f>IF(B8286="","",HOUR(A8286))</f>
        <v/>
      </c>
    </row>
    <row r="8287">
      <c r="A8287">
        <f>Input!A8287</f>
        <v/>
      </c>
      <c r="B8287">
        <f>IF(ISNUMBER(Input!B8287),IF(AND(Input!B8287&gt;=20,Input!B8287&lt;=700),Input!B8287,""),"")</f>
        <v/>
      </c>
      <c r="C8287">
        <f>IF(B8287="","",INT(A8287))</f>
        <v/>
      </c>
      <c r="D8287">
        <f>IF(B8287="","",HOUR(A8287))</f>
        <v/>
      </c>
    </row>
    <row r="8288">
      <c r="A8288">
        <f>Input!A8288</f>
        <v/>
      </c>
      <c r="B8288">
        <f>IF(ISNUMBER(Input!B8288),IF(AND(Input!B8288&gt;=20,Input!B8288&lt;=700),Input!B8288,""),"")</f>
        <v/>
      </c>
      <c r="C8288">
        <f>IF(B8288="","",INT(A8288))</f>
        <v/>
      </c>
      <c r="D8288">
        <f>IF(B8288="","",HOUR(A8288))</f>
        <v/>
      </c>
    </row>
    <row r="8289">
      <c r="A8289">
        <f>Input!A8289</f>
        <v/>
      </c>
      <c r="B8289">
        <f>IF(ISNUMBER(Input!B8289),IF(AND(Input!B8289&gt;=20,Input!B8289&lt;=700),Input!B8289,""),"")</f>
        <v/>
      </c>
      <c r="C8289">
        <f>IF(B8289="","",INT(A8289))</f>
        <v/>
      </c>
      <c r="D8289">
        <f>IF(B8289="","",HOUR(A8289))</f>
        <v/>
      </c>
    </row>
    <row r="8290">
      <c r="A8290">
        <f>Input!A8290</f>
        <v/>
      </c>
      <c r="B8290">
        <f>IF(ISNUMBER(Input!B8290),IF(AND(Input!B8290&gt;=20,Input!B8290&lt;=700),Input!B8290,""),"")</f>
        <v/>
      </c>
      <c r="C8290">
        <f>IF(B8290="","",INT(A8290))</f>
        <v/>
      </c>
      <c r="D8290">
        <f>IF(B8290="","",HOUR(A8290))</f>
        <v/>
      </c>
    </row>
    <row r="8291">
      <c r="A8291">
        <f>Input!A8291</f>
        <v/>
      </c>
      <c r="B8291">
        <f>IF(ISNUMBER(Input!B8291),IF(AND(Input!B8291&gt;=20,Input!B8291&lt;=700),Input!B8291,""),"")</f>
        <v/>
      </c>
      <c r="C8291">
        <f>IF(B8291="","",INT(A8291))</f>
        <v/>
      </c>
      <c r="D8291">
        <f>IF(B8291="","",HOUR(A8291))</f>
        <v/>
      </c>
    </row>
    <row r="8292">
      <c r="A8292">
        <f>Input!A8292</f>
        <v/>
      </c>
      <c r="B8292">
        <f>IF(ISNUMBER(Input!B8292),IF(AND(Input!B8292&gt;=20,Input!B8292&lt;=700),Input!B8292,""),"")</f>
        <v/>
      </c>
      <c r="C8292">
        <f>IF(B8292="","",INT(A8292))</f>
        <v/>
      </c>
      <c r="D8292">
        <f>IF(B8292="","",HOUR(A8292))</f>
        <v/>
      </c>
    </row>
    <row r="8293">
      <c r="A8293">
        <f>Input!A8293</f>
        <v/>
      </c>
      <c r="B8293">
        <f>IF(ISNUMBER(Input!B8293),IF(AND(Input!B8293&gt;=20,Input!B8293&lt;=700),Input!B8293,""),"")</f>
        <v/>
      </c>
      <c r="C8293">
        <f>IF(B8293="","",INT(A8293))</f>
        <v/>
      </c>
      <c r="D8293">
        <f>IF(B8293="","",HOUR(A8293))</f>
        <v/>
      </c>
    </row>
    <row r="8294">
      <c r="A8294">
        <f>Input!A8294</f>
        <v/>
      </c>
      <c r="B8294">
        <f>IF(ISNUMBER(Input!B8294),IF(AND(Input!B8294&gt;=20,Input!B8294&lt;=700),Input!B8294,""),"")</f>
        <v/>
      </c>
      <c r="C8294">
        <f>IF(B8294="","",INT(A8294))</f>
        <v/>
      </c>
      <c r="D8294">
        <f>IF(B8294="","",HOUR(A8294))</f>
        <v/>
      </c>
    </row>
    <row r="8295">
      <c r="A8295">
        <f>Input!A8295</f>
        <v/>
      </c>
      <c r="B8295">
        <f>IF(ISNUMBER(Input!B8295),IF(AND(Input!B8295&gt;=20,Input!B8295&lt;=700),Input!B8295,""),"")</f>
        <v/>
      </c>
      <c r="C8295">
        <f>IF(B8295="","",INT(A8295))</f>
        <v/>
      </c>
      <c r="D8295">
        <f>IF(B8295="","",HOUR(A8295))</f>
        <v/>
      </c>
    </row>
    <row r="8296">
      <c r="A8296">
        <f>Input!A8296</f>
        <v/>
      </c>
      <c r="B8296">
        <f>IF(ISNUMBER(Input!B8296),IF(AND(Input!B8296&gt;=20,Input!B8296&lt;=700),Input!B8296,""),"")</f>
        <v/>
      </c>
      <c r="C8296">
        <f>IF(B8296="","",INT(A8296))</f>
        <v/>
      </c>
      <c r="D8296">
        <f>IF(B8296="","",HOUR(A8296))</f>
        <v/>
      </c>
    </row>
    <row r="8297">
      <c r="A8297">
        <f>Input!A8297</f>
        <v/>
      </c>
      <c r="B8297">
        <f>IF(ISNUMBER(Input!B8297),IF(AND(Input!B8297&gt;=20,Input!B8297&lt;=700),Input!B8297,""),"")</f>
        <v/>
      </c>
      <c r="C8297">
        <f>IF(B8297="","",INT(A8297))</f>
        <v/>
      </c>
      <c r="D8297">
        <f>IF(B8297="","",HOUR(A8297))</f>
        <v/>
      </c>
    </row>
    <row r="8298">
      <c r="A8298">
        <f>Input!A8298</f>
        <v/>
      </c>
      <c r="B8298">
        <f>IF(ISNUMBER(Input!B8298),IF(AND(Input!B8298&gt;=20,Input!B8298&lt;=700),Input!B8298,""),"")</f>
        <v/>
      </c>
      <c r="C8298">
        <f>IF(B8298="","",INT(A8298))</f>
        <v/>
      </c>
      <c r="D8298">
        <f>IF(B8298="","",HOUR(A8298))</f>
        <v/>
      </c>
    </row>
    <row r="8299">
      <c r="A8299">
        <f>Input!A8299</f>
        <v/>
      </c>
      <c r="B8299">
        <f>IF(ISNUMBER(Input!B8299),IF(AND(Input!B8299&gt;=20,Input!B8299&lt;=700),Input!B8299,""),"")</f>
        <v/>
      </c>
      <c r="C8299">
        <f>IF(B8299="","",INT(A8299))</f>
        <v/>
      </c>
      <c r="D8299">
        <f>IF(B8299="","",HOUR(A8299))</f>
        <v/>
      </c>
    </row>
    <row r="8300">
      <c r="A8300">
        <f>Input!A8300</f>
        <v/>
      </c>
      <c r="B8300">
        <f>IF(ISNUMBER(Input!B8300),IF(AND(Input!B8300&gt;=20,Input!B8300&lt;=700),Input!B8300,""),"")</f>
        <v/>
      </c>
      <c r="C8300">
        <f>IF(B8300="","",INT(A8300))</f>
        <v/>
      </c>
      <c r="D8300">
        <f>IF(B8300="","",HOUR(A8300))</f>
        <v/>
      </c>
    </row>
    <row r="8301">
      <c r="A8301">
        <f>Input!A8301</f>
        <v/>
      </c>
      <c r="B8301">
        <f>IF(ISNUMBER(Input!B8301),IF(AND(Input!B8301&gt;=20,Input!B8301&lt;=700),Input!B8301,""),"")</f>
        <v/>
      </c>
      <c r="C8301">
        <f>IF(B8301="","",INT(A8301))</f>
        <v/>
      </c>
      <c r="D8301">
        <f>IF(B8301="","",HOUR(A8301))</f>
        <v/>
      </c>
    </row>
    <row r="8302">
      <c r="A8302">
        <f>Input!A8302</f>
        <v/>
      </c>
      <c r="B8302">
        <f>IF(ISNUMBER(Input!B8302),IF(AND(Input!B8302&gt;=20,Input!B8302&lt;=700),Input!B8302,""),"")</f>
        <v/>
      </c>
      <c r="C8302">
        <f>IF(B8302="","",INT(A8302))</f>
        <v/>
      </c>
      <c r="D8302">
        <f>IF(B8302="","",HOUR(A8302))</f>
        <v/>
      </c>
    </row>
    <row r="8303">
      <c r="A8303">
        <f>Input!A8303</f>
        <v/>
      </c>
      <c r="B8303">
        <f>IF(ISNUMBER(Input!B8303),IF(AND(Input!B8303&gt;=20,Input!B8303&lt;=700),Input!B8303,""),"")</f>
        <v/>
      </c>
      <c r="C8303">
        <f>IF(B8303="","",INT(A8303))</f>
        <v/>
      </c>
      <c r="D8303">
        <f>IF(B8303="","",HOUR(A8303))</f>
        <v/>
      </c>
    </row>
    <row r="8304">
      <c r="A8304">
        <f>Input!A8304</f>
        <v/>
      </c>
      <c r="B8304">
        <f>IF(ISNUMBER(Input!B8304),IF(AND(Input!B8304&gt;=20,Input!B8304&lt;=700),Input!B8304,""),"")</f>
        <v/>
      </c>
      <c r="C8304">
        <f>IF(B8304="","",INT(A8304))</f>
        <v/>
      </c>
      <c r="D8304">
        <f>IF(B8304="","",HOUR(A8304))</f>
        <v/>
      </c>
    </row>
    <row r="8305">
      <c r="A8305">
        <f>Input!A8305</f>
        <v/>
      </c>
      <c r="B8305">
        <f>IF(ISNUMBER(Input!B8305),IF(AND(Input!B8305&gt;=20,Input!B8305&lt;=700),Input!B8305,""),"")</f>
        <v/>
      </c>
      <c r="C8305">
        <f>IF(B8305="","",INT(A8305))</f>
        <v/>
      </c>
      <c r="D8305">
        <f>IF(B8305="","",HOUR(A8305))</f>
        <v/>
      </c>
    </row>
    <row r="8306">
      <c r="A8306">
        <f>Input!A8306</f>
        <v/>
      </c>
      <c r="B8306">
        <f>IF(ISNUMBER(Input!B8306),IF(AND(Input!B8306&gt;=20,Input!B8306&lt;=700),Input!B8306,""),"")</f>
        <v/>
      </c>
      <c r="C8306">
        <f>IF(B8306="","",INT(A8306))</f>
        <v/>
      </c>
      <c r="D8306">
        <f>IF(B8306="","",HOUR(A8306))</f>
        <v/>
      </c>
    </row>
    <row r="8307">
      <c r="A8307">
        <f>Input!A8307</f>
        <v/>
      </c>
      <c r="B8307">
        <f>IF(ISNUMBER(Input!B8307),IF(AND(Input!B8307&gt;=20,Input!B8307&lt;=700),Input!B8307,""),"")</f>
        <v/>
      </c>
      <c r="C8307">
        <f>IF(B8307="","",INT(A8307))</f>
        <v/>
      </c>
      <c r="D8307">
        <f>IF(B8307="","",HOUR(A8307))</f>
        <v/>
      </c>
    </row>
    <row r="8308">
      <c r="A8308">
        <f>Input!A8308</f>
        <v/>
      </c>
      <c r="B8308">
        <f>IF(ISNUMBER(Input!B8308),IF(AND(Input!B8308&gt;=20,Input!B8308&lt;=700),Input!B8308,""),"")</f>
        <v/>
      </c>
      <c r="C8308">
        <f>IF(B8308="","",INT(A8308))</f>
        <v/>
      </c>
      <c r="D8308">
        <f>IF(B8308="","",HOUR(A8308))</f>
        <v/>
      </c>
    </row>
    <row r="8309">
      <c r="A8309">
        <f>Input!A8309</f>
        <v/>
      </c>
      <c r="B8309">
        <f>IF(ISNUMBER(Input!B8309),IF(AND(Input!B8309&gt;=20,Input!B8309&lt;=700),Input!B8309,""),"")</f>
        <v/>
      </c>
      <c r="C8309">
        <f>IF(B8309="","",INT(A8309))</f>
        <v/>
      </c>
      <c r="D8309">
        <f>IF(B8309="","",HOUR(A8309))</f>
        <v/>
      </c>
    </row>
    <row r="8310">
      <c r="A8310">
        <f>Input!A8310</f>
        <v/>
      </c>
      <c r="B8310">
        <f>IF(ISNUMBER(Input!B8310),IF(AND(Input!B8310&gt;=20,Input!B8310&lt;=700),Input!B8310,""),"")</f>
        <v/>
      </c>
      <c r="C8310">
        <f>IF(B8310="","",INT(A8310))</f>
        <v/>
      </c>
      <c r="D8310">
        <f>IF(B8310="","",HOUR(A8310))</f>
        <v/>
      </c>
    </row>
    <row r="8311">
      <c r="A8311">
        <f>Input!A8311</f>
        <v/>
      </c>
      <c r="B8311">
        <f>IF(ISNUMBER(Input!B8311),IF(AND(Input!B8311&gt;=20,Input!B8311&lt;=700),Input!B8311,""),"")</f>
        <v/>
      </c>
      <c r="C8311">
        <f>IF(B8311="","",INT(A8311))</f>
        <v/>
      </c>
      <c r="D8311">
        <f>IF(B8311="","",HOUR(A8311))</f>
        <v/>
      </c>
    </row>
    <row r="8312">
      <c r="A8312">
        <f>Input!A8312</f>
        <v/>
      </c>
      <c r="B8312">
        <f>IF(ISNUMBER(Input!B8312),IF(AND(Input!B8312&gt;=20,Input!B8312&lt;=700),Input!B8312,""),"")</f>
        <v/>
      </c>
      <c r="C8312">
        <f>IF(B8312="","",INT(A8312))</f>
        <v/>
      </c>
      <c r="D8312">
        <f>IF(B8312="","",HOUR(A8312))</f>
        <v/>
      </c>
    </row>
    <row r="8313">
      <c r="A8313">
        <f>Input!A8313</f>
        <v/>
      </c>
      <c r="B8313">
        <f>IF(ISNUMBER(Input!B8313),IF(AND(Input!B8313&gt;=20,Input!B8313&lt;=700),Input!B8313,""),"")</f>
        <v/>
      </c>
      <c r="C8313">
        <f>IF(B8313="","",INT(A8313))</f>
        <v/>
      </c>
      <c r="D8313">
        <f>IF(B8313="","",HOUR(A8313))</f>
        <v/>
      </c>
    </row>
    <row r="8314">
      <c r="A8314">
        <f>Input!A8314</f>
        <v/>
      </c>
      <c r="B8314">
        <f>IF(ISNUMBER(Input!B8314),IF(AND(Input!B8314&gt;=20,Input!B8314&lt;=700),Input!B8314,""),"")</f>
        <v/>
      </c>
      <c r="C8314">
        <f>IF(B8314="","",INT(A8314))</f>
        <v/>
      </c>
      <c r="D8314">
        <f>IF(B8314="","",HOUR(A8314))</f>
        <v/>
      </c>
    </row>
    <row r="8315">
      <c r="A8315">
        <f>Input!A8315</f>
        <v/>
      </c>
      <c r="B8315">
        <f>IF(ISNUMBER(Input!B8315),IF(AND(Input!B8315&gt;=20,Input!B8315&lt;=700),Input!B8315,""),"")</f>
        <v/>
      </c>
      <c r="C8315">
        <f>IF(B8315="","",INT(A8315))</f>
        <v/>
      </c>
      <c r="D8315">
        <f>IF(B8315="","",HOUR(A8315))</f>
        <v/>
      </c>
    </row>
    <row r="8316">
      <c r="A8316">
        <f>Input!A8316</f>
        <v/>
      </c>
      <c r="B8316">
        <f>IF(ISNUMBER(Input!B8316),IF(AND(Input!B8316&gt;=20,Input!B8316&lt;=700),Input!B8316,""),"")</f>
        <v/>
      </c>
      <c r="C8316">
        <f>IF(B8316="","",INT(A8316))</f>
        <v/>
      </c>
      <c r="D8316">
        <f>IF(B8316="","",HOUR(A8316))</f>
        <v/>
      </c>
    </row>
    <row r="8317">
      <c r="A8317">
        <f>Input!A8317</f>
        <v/>
      </c>
      <c r="B8317">
        <f>IF(ISNUMBER(Input!B8317),IF(AND(Input!B8317&gt;=20,Input!B8317&lt;=700),Input!B8317,""),"")</f>
        <v/>
      </c>
      <c r="C8317">
        <f>IF(B8317="","",INT(A8317))</f>
        <v/>
      </c>
      <c r="D8317">
        <f>IF(B8317="","",HOUR(A8317))</f>
        <v/>
      </c>
    </row>
    <row r="8318">
      <c r="A8318">
        <f>Input!A8318</f>
        <v/>
      </c>
      <c r="B8318">
        <f>IF(ISNUMBER(Input!B8318),IF(AND(Input!B8318&gt;=20,Input!B8318&lt;=700),Input!B8318,""),"")</f>
        <v/>
      </c>
      <c r="C8318">
        <f>IF(B8318="","",INT(A8318))</f>
        <v/>
      </c>
      <c r="D8318">
        <f>IF(B8318="","",HOUR(A8318))</f>
        <v/>
      </c>
    </row>
    <row r="8319">
      <c r="A8319">
        <f>Input!A8319</f>
        <v/>
      </c>
      <c r="B8319">
        <f>IF(ISNUMBER(Input!B8319),IF(AND(Input!B8319&gt;=20,Input!B8319&lt;=700),Input!B8319,""),"")</f>
        <v/>
      </c>
      <c r="C8319">
        <f>IF(B8319="","",INT(A8319))</f>
        <v/>
      </c>
      <c r="D8319">
        <f>IF(B8319="","",HOUR(A8319))</f>
        <v/>
      </c>
    </row>
    <row r="8320">
      <c r="A8320">
        <f>Input!A8320</f>
        <v/>
      </c>
      <c r="B8320">
        <f>IF(ISNUMBER(Input!B8320),IF(AND(Input!B8320&gt;=20,Input!B8320&lt;=700),Input!B8320,""),"")</f>
        <v/>
      </c>
      <c r="C8320">
        <f>IF(B8320="","",INT(A8320))</f>
        <v/>
      </c>
      <c r="D8320">
        <f>IF(B8320="","",HOUR(A8320))</f>
        <v/>
      </c>
    </row>
    <row r="8321">
      <c r="A8321">
        <f>Input!A8321</f>
        <v/>
      </c>
      <c r="B8321">
        <f>IF(ISNUMBER(Input!B8321),IF(AND(Input!B8321&gt;=20,Input!B8321&lt;=700),Input!B8321,""),"")</f>
        <v/>
      </c>
      <c r="C8321">
        <f>IF(B8321="","",INT(A8321))</f>
        <v/>
      </c>
      <c r="D8321">
        <f>IF(B8321="","",HOUR(A8321))</f>
        <v/>
      </c>
    </row>
    <row r="8322">
      <c r="A8322">
        <f>Input!A8322</f>
        <v/>
      </c>
      <c r="B8322">
        <f>IF(ISNUMBER(Input!B8322),IF(AND(Input!B8322&gt;=20,Input!B8322&lt;=700),Input!B8322,""),"")</f>
        <v/>
      </c>
      <c r="C8322">
        <f>IF(B8322="","",INT(A8322))</f>
        <v/>
      </c>
      <c r="D8322">
        <f>IF(B8322="","",HOUR(A8322))</f>
        <v/>
      </c>
    </row>
    <row r="8323">
      <c r="A8323">
        <f>Input!A8323</f>
        <v/>
      </c>
      <c r="B8323">
        <f>IF(ISNUMBER(Input!B8323),IF(AND(Input!B8323&gt;=20,Input!B8323&lt;=700),Input!B8323,""),"")</f>
        <v/>
      </c>
      <c r="C8323">
        <f>IF(B8323="","",INT(A8323))</f>
        <v/>
      </c>
      <c r="D8323">
        <f>IF(B8323="","",HOUR(A8323))</f>
        <v/>
      </c>
    </row>
    <row r="8324">
      <c r="A8324">
        <f>Input!A8324</f>
        <v/>
      </c>
      <c r="B8324">
        <f>IF(ISNUMBER(Input!B8324),IF(AND(Input!B8324&gt;=20,Input!B8324&lt;=700),Input!B8324,""),"")</f>
        <v/>
      </c>
      <c r="C8324">
        <f>IF(B8324="","",INT(A8324))</f>
        <v/>
      </c>
      <c r="D8324">
        <f>IF(B8324="","",HOUR(A8324))</f>
        <v/>
      </c>
    </row>
    <row r="8325">
      <c r="A8325">
        <f>Input!A8325</f>
        <v/>
      </c>
      <c r="B8325">
        <f>IF(ISNUMBER(Input!B8325),IF(AND(Input!B8325&gt;=20,Input!B8325&lt;=700),Input!B8325,""),"")</f>
        <v/>
      </c>
      <c r="C8325">
        <f>IF(B8325="","",INT(A8325))</f>
        <v/>
      </c>
      <c r="D8325">
        <f>IF(B8325="","",HOUR(A8325))</f>
        <v/>
      </c>
    </row>
    <row r="8326">
      <c r="A8326">
        <f>Input!A8326</f>
        <v/>
      </c>
      <c r="B8326">
        <f>IF(ISNUMBER(Input!B8326),IF(AND(Input!B8326&gt;=20,Input!B8326&lt;=700),Input!B8326,""),"")</f>
        <v/>
      </c>
      <c r="C8326">
        <f>IF(B8326="","",INT(A8326))</f>
        <v/>
      </c>
      <c r="D8326">
        <f>IF(B8326="","",HOUR(A8326))</f>
        <v/>
      </c>
    </row>
    <row r="8327">
      <c r="A8327">
        <f>Input!A8327</f>
        <v/>
      </c>
      <c r="B8327">
        <f>IF(ISNUMBER(Input!B8327),IF(AND(Input!B8327&gt;=20,Input!B8327&lt;=700),Input!B8327,""),"")</f>
        <v/>
      </c>
      <c r="C8327">
        <f>IF(B8327="","",INT(A8327))</f>
        <v/>
      </c>
      <c r="D8327">
        <f>IF(B8327="","",HOUR(A8327))</f>
        <v/>
      </c>
    </row>
    <row r="8328">
      <c r="A8328">
        <f>Input!A8328</f>
        <v/>
      </c>
      <c r="B8328">
        <f>IF(ISNUMBER(Input!B8328),IF(AND(Input!B8328&gt;=20,Input!B8328&lt;=700),Input!B8328,""),"")</f>
        <v/>
      </c>
      <c r="C8328">
        <f>IF(B8328="","",INT(A8328))</f>
        <v/>
      </c>
      <c r="D8328">
        <f>IF(B8328="","",HOUR(A8328))</f>
        <v/>
      </c>
    </row>
    <row r="8329">
      <c r="A8329">
        <f>Input!A8329</f>
        <v/>
      </c>
      <c r="B8329">
        <f>IF(ISNUMBER(Input!B8329),IF(AND(Input!B8329&gt;=20,Input!B8329&lt;=700),Input!B8329,""),"")</f>
        <v/>
      </c>
      <c r="C8329">
        <f>IF(B8329="","",INT(A8329))</f>
        <v/>
      </c>
      <c r="D8329">
        <f>IF(B8329="","",HOUR(A8329))</f>
        <v/>
      </c>
    </row>
    <row r="8330">
      <c r="A8330">
        <f>Input!A8330</f>
        <v/>
      </c>
      <c r="B8330">
        <f>IF(ISNUMBER(Input!B8330),IF(AND(Input!B8330&gt;=20,Input!B8330&lt;=700),Input!B8330,""),"")</f>
        <v/>
      </c>
      <c r="C8330">
        <f>IF(B8330="","",INT(A8330))</f>
        <v/>
      </c>
      <c r="D8330">
        <f>IF(B8330="","",HOUR(A8330))</f>
        <v/>
      </c>
    </row>
    <row r="8331">
      <c r="A8331">
        <f>Input!A8331</f>
        <v/>
      </c>
      <c r="B8331">
        <f>IF(ISNUMBER(Input!B8331),IF(AND(Input!B8331&gt;=20,Input!B8331&lt;=700),Input!B8331,""),"")</f>
        <v/>
      </c>
      <c r="C8331">
        <f>IF(B8331="","",INT(A8331))</f>
        <v/>
      </c>
      <c r="D8331">
        <f>IF(B8331="","",HOUR(A8331))</f>
        <v/>
      </c>
    </row>
    <row r="8332">
      <c r="A8332">
        <f>Input!A8332</f>
        <v/>
      </c>
      <c r="B8332">
        <f>IF(ISNUMBER(Input!B8332),IF(AND(Input!B8332&gt;=20,Input!B8332&lt;=700),Input!B8332,""),"")</f>
        <v/>
      </c>
      <c r="C8332">
        <f>IF(B8332="","",INT(A8332))</f>
        <v/>
      </c>
      <c r="D8332">
        <f>IF(B8332="","",HOUR(A8332))</f>
        <v/>
      </c>
    </row>
    <row r="8333">
      <c r="A8333">
        <f>Input!A8333</f>
        <v/>
      </c>
      <c r="B8333">
        <f>IF(ISNUMBER(Input!B8333),IF(AND(Input!B8333&gt;=20,Input!B8333&lt;=700),Input!B8333,""),"")</f>
        <v/>
      </c>
      <c r="C8333">
        <f>IF(B8333="","",INT(A8333))</f>
        <v/>
      </c>
      <c r="D8333">
        <f>IF(B8333="","",HOUR(A8333))</f>
        <v/>
      </c>
    </row>
    <row r="8334">
      <c r="A8334">
        <f>Input!A8334</f>
        <v/>
      </c>
      <c r="B8334">
        <f>IF(ISNUMBER(Input!B8334),IF(AND(Input!B8334&gt;=20,Input!B8334&lt;=700),Input!B8334,""),"")</f>
        <v/>
      </c>
      <c r="C8334">
        <f>IF(B8334="","",INT(A8334))</f>
        <v/>
      </c>
      <c r="D8334">
        <f>IF(B8334="","",HOUR(A8334))</f>
        <v/>
      </c>
    </row>
    <row r="8335">
      <c r="A8335">
        <f>Input!A8335</f>
        <v/>
      </c>
      <c r="B8335">
        <f>IF(ISNUMBER(Input!B8335),IF(AND(Input!B8335&gt;=20,Input!B8335&lt;=700),Input!B8335,""),"")</f>
        <v/>
      </c>
      <c r="C8335">
        <f>IF(B8335="","",INT(A8335))</f>
        <v/>
      </c>
      <c r="D8335">
        <f>IF(B8335="","",HOUR(A8335))</f>
        <v/>
      </c>
    </row>
    <row r="8336">
      <c r="A8336">
        <f>Input!A8336</f>
        <v/>
      </c>
      <c r="B8336">
        <f>IF(ISNUMBER(Input!B8336),IF(AND(Input!B8336&gt;=20,Input!B8336&lt;=700),Input!B8336,""),"")</f>
        <v/>
      </c>
      <c r="C8336">
        <f>IF(B8336="","",INT(A8336))</f>
        <v/>
      </c>
      <c r="D8336">
        <f>IF(B8336="","",HOUR(A8336))</f>
        <v/>
      </c>
    </row>
    <row r="8337">
      <c r="A8337">
        <f>Input!A8337</f>
        <v/>
      </c>
      <c r="B8337">
        <f>IF(ISNUMBER(Input!B8337),IF(AND(Input!B8337&gt;=20,Input!B8337&lt;=700),Input!B8337,""),"")</f>
        <v/>
      </c>
      <c r="C8337">
        <f>IF(B8337="","",INT(A8337))</f>
        <v/>
      </c>
      <c r="D8337">
        <f>IF(B8337="","",HOUR(A8337))</f>
        <v/>
      </c>
    </row>
    <row r="8338">
      <c r="A8338">
        <f>Input!A8338</f>
        <v/>
      </c>
      <c r="B8338">
        <f>IF(ISNUMBER(Input!B8338),IF(AND(Input!B8338&gt;=20,Input!B8338&lt;=700),Input!B8338,""),"")</f>
        <v/>
      </c>
      <c r="C8338">
        <f>IF(B8338="","",INT(A8338))</f>
        <v/>
      </c>
      <c r="D8338">
        <f>IF(B8338="","",HOUR(A8338))</f>
        <v/>
      </c>
    </row>
    <row r="8339">
      <c r="A8339">
        <f>Input!A8339</f>
        <v/>
      </c>
      <c r="B8339">
        <f>IF(ISNUMBER(Input!B8339),IF(AND(Input!B8339&gt;=20,Input!B8339&lt;=700),Input!B8339,""),"")</f>
        <v/>
      </c>
      <c r="C8339">
        <f>IF(B8339="","",INT(A8339))</f>
        <v/>
      </c>
      <c r="D8339">
        <f>IF(B8339="","",HOUR(A8339))</f>
        <v/>
      </c>
    </row>
    <row r="8340">
      <c r="A8340">
        <f>Input!A8340</f>
        <v/>
      </c>
      <c r="B8340">
        <f>IF(ISNUMBER(Input!B8340),IF(AND(Input!B8340&gt;=20,Input!B8340&lt;=700),Input!B8340,""),"")</f>
        <v/>
      </c>
      <c r="C8340">
        <f>IF(B8340="","",INT(A8340))</f>
        <v/>
      </c>
      <c r="D8340">
        <f>IF(B8340="","",HOUR(A8340))</f>
        <v/>
      </c>
    </row>
    <row r="8341">
      <c r="A8341">
        <f>Input!A8341</f>
        <v/>
      </c>
      <c r="B8341">
        <f>IF(ISNUMBER(Input!B8341),IF(AND(Input!B8341&gt;=20,Input!B8341&lt;=700),Input!B8341,""),"")</f>
        <v/>
      </c>
      <c r="C8341">
        <f>IF(B8341="","",INT(A8341))</f>
        <v/>
      </c>
      <c r="D8341">
        <f>IF(B8341="","",HOUR(A8341))</f>
        <v/>
      </c>
    </row>
    <row r="8342">
      <c r="A8342">
        <f>Input!A8342</f>
        <v/>
      </c>
      <c r="B8342">
        <f>IF(ISNUMBER(Input!B8342),IF(AND(Input!B8342&gt;=20,Input!B8342&lt;=700),Input!B8342,""),"")</f>
        <v/>
      </c>
      <c r="C8342">
        <f>IF(B8342="","",INT(A8342))</f>
        <v/>
      </c>
      <c r="D8342">
        <f>IF(B8342="","",HOUR(A8342))</f>
        <v/>
      </c>
    </row>
    <row r="8343">
      <c r="A8343">
        <f>Input!A8343</f>
        <v/>
      </c>
      <c r="B8343">
        <f>IF(ISNUMBER(Input!B8343),IF(AND(Input!B8343&gt;=20,Input!B8343&lt;=700),Input!B8343,""),"")</f>
        <v/>
      </c>
      <c r="C8343">
        <f>IF(B8343="","",INT(A8343))</f>
        <v/>
      </c>
      <c r="D8343">
        <f>IF(B8343="","",HOUR(A8343))</f>
        <v/>
      </c>
    </row>
    <row r="8344">
      <c r="A8344">
        <f>Input!A8344</f>
        <v/>
      </c>
      <c r="B8344">
        <f>IF(ISNUMBER(Input!B8344),IF(AND(Input!B8344&gt;=20,Input!B8344&lt;=700),Input!B8344,""),"")</f>
        <v/>
      </c>
      <c r="C8344">
        <f>IF(B8344="","",INT(A8344))</f>
        <v/>
      </c>
      <c r="D8344">
        <f>IF(B8344="","",HOUR(A8344))</f>
        <v/>
      </c>
    </row>
    <row r="8345">
      <c r="A8345">
        <f>Input!A8345</f>
        <v/>
      </c>
      <c r="B8345">
        <f>IF(ISNUMBER(Input!B8345),IF(AND(Input!B8345&gt;=20,Input!B8345&lt;=700),Input!B8345,""),"")</f>
        <v/>
      </c>
      <c r="C8345">
        <f>IF(B8345="","",INT(A8345))</f>
        <v/>
      </c>
      <c r="D8345">
        <f>IF(B8345="","",HOUR(A8345))</f>
        <v/>
      </c>
    </row>
    <row r="8346">
      <c r="A8346">
        <f>Input!A8346</f>
        <v/>
      </c>
      <c r="B8346">
        <f>IF(ISNUMBER(Input!B8346),IF(AND(Input!B8346&gt;=20,Input!B8346&lt;=700),Input!B8346,""),"")</f>
        <v/>
      </c>
      <c r="C8346">
        <f>IF(B8346="","",INT(A8346))</f>
        <v/>
      </c>
      <c r="D8346">
        <f>IF(B8346="","",HOUR(A8346))</f>
        <v/>
      </c>
    </row>
    <row r="8347">
      <c r="A8347">
        <f>Input!A8347</f>
        <v/>
      </c>
      <c r="B8347">
        <f>IF(ISNUMBER(Input!B8347),IF(AND(Input!B8347&gt;=20,Input!B8347&lt;=700),Input!B8347,""),"")</f>
        <v/>
      </c>
      <c r="C8347">
        <f>IF(B8347="","",INT(A8347))</f>
        <v/>
      </c>
      <c r="D8347">
        <f>IF(B8347="","",HOUR(A8347))</f>
        <v/>
      </c>
    </row>
    <row r="8348">
      <c r="A8348">
        <f>Input!A8348</f>
        <v/>
      </c>
      <c r="B8348">
        <f>IF(ISNUMBER(Input!B8348),IF(AND(Input!B8348&gt;=20,Input!B8348&lt;=700),Input!B8348,""),"")</f>
        <v/>
      </c>
      <c r="C8348">
        <f>IF(B8348="","",INT(A8348))</f>
        <v/>
      </c>
      <c r="D8348">
        <f>IF(B8348="","",HOUR(A8348))</f>
        <v/>
      </c>
    </row>
    <row r="8349">
      <c r="A8349">
        <f>Input!A8349</f>
        <v/>
      </c>
      <c r="B8349">
        <f>IF(ISNUMBER(Input!B8349),IF(AND(Input!B8349&gt;=20,Input!B8349&lt;=700),Input!B8349,""),"")</f>
        <v/>
      </c>
      <c r="C8349">
        <f>IF(B8349="","",INT(A8349))</f>
        <v/>
      </c>
      <c r="D8349">
        <f>IF(B8349="","",HOUR(A8349))</f>
        <v/>
      </c>
    </row>
    <row r="8350">
      <c r="A8350">
        <f>Input!A8350</f>
        <v/>
      </c>
      <c r="B8350">
        <f>IF(ISNUMBER(Input!B8350),IF(AND(Input!B8350&gt;=20,Input!B8350&lt;=700),Input!B8350,""),"")</f>
        <v/>
      </c>
      <c r="C8350">
        <f>IF(B8350="","",INT(A8350))</f>
        <v/>
      </c>
      <c r="D8350">
        <f>IF(B8350="","",HOUR(A8350))</f>
        <v/>
      </c>
    </row>
    <row r="8351">
      <c r="A8351">
        <f>Input!A8351</f>
        <v/>
      </c>
      <c r="B8351">
        <f>IF(ISNUMBER(Input!B8351),IF(AND(Input!B8351&gt;=20,Input!B8351&lt;=700),Input!B8351,""),"")</f>
        <v/>
      </c>
      <c r="C8351">
        <f>IF(B8351="","",INT(A8351))</f>
        <v/>
      </c>
      <c r="D8351">
        <f>IF(B8351="","",HOUR(A8351))</f>
        <v/>
      </c>
    </row>
    <row r="8352">
      <c r="A8352">
        <f>Input!A8352</f>
        <v/>
      </c>
      <c r="B8352">
        <f>IF(ISNUMBER(Input!B8352),IF(AND(Input!B8352&gt;=20,Input!B8352&lt;=700),Input!B8352,""),"")</f>
        <v/>
      </c>
      <c r="C8352">
        <f>IF(B8352="","",INT(A8352))</f>
        <v/>
      </c>
      <c r="D8352">
        <f>IF(B8352="","",HOUR(A8352))</f>
        <v/>
      </c>
    </row>
    <row r="8353">
      <c r="A8353">
        <f>Input!A8353</f>
        <v/>
      </c>
      <c r="B8353">
        <f>IF(ISNUMBER(Input!B8353),IF(AND(Input!B8353&gt;=20,Input!B8353&lt;=700),Input!B8353,""),"")</f>
        <v/>
      </c>
      <c r="C8353">
        <f>IF(B8353="","",INT(A8353))</f>
        <v/>
      </c>
      <c r="D8353">
        <f>IF(B8353="","",HOUR(A8353))</f>
        <v/>
      </c>
    </row>
    <row r="8354">
      <c r="A8354">
        <f>Input!A8354</f>
        <v/>
      </c>
      <c r="B8354">
        <f>IF(ISNUMBER(Input!B8354),IF(AND(Input!B8354&gt;=20,Input!B8354&lt;=700),Input!B8354,""),"")</f>
        <v/>
      </c>
      <c r="C8354">
        <f>IF(B8354="","",INT(A8354))</f>
        <v/>
      </c>
      <c r="D8354">
        <f>IF(B8354="","",HOUR(A8354))</f>
        <v/>
      </c>
    </row>
    <row r="8355">
      <c r="A8355">
        <f>Input!A8355</f>
        <v/>
      </c>
      <c r="B8355">
        <f>IF(ISNUMBER(Input!B8355),IF(AND(Input!B8355&gt;=20,Input!B8355&lt;=700),Input!B8355,""),"")</f>
        <v/>
      </c>
      <c r="C8355">
        <f>IF(B8355="","",INT(A8355))</f>
        <v/>
      </c>
      <c r="D8355">
        <f>IF(B8355="","",HOUR(A8355))</f>
        <v/>
      </c>
    </row>
    <row r="8356">
      <c r="A8356">
        <f>Input!A8356</f>
        <v/>
      </c>
      <c r="B8356">
        <f>IF(ISNUMBER(Input!B8356),IF(AND(Input!B8356&gt;=20,Input!B8356&lt;=700),Input!B8356,""),"")</f>
        <v/>
      </c>
      <c r="C8356">
        <f>IF(B8356="","",INT(A8356))</f>
        <v/>
      </c>
      <c r="D8356">
        <f>IF(B8356="","",HOUR(A8356))</f>
        <v/>
      </c>
    </row>
    <row r="8357">
      <c r="A8357">
        <f>Input!A8357</f>
        <v/>
      </c>
      <c r="B8357">
        <f>IF(ISNUMBER(Input!B8357),IF(AND(Input!B8357&gt;=20,Input!B8357&lt;=700),Input!B8357,""),"")</f>
        <v/>
      </c>
      <c r="C8357">
        <f>IF(B8357="","",INT(A8357))</f>
        <v/>
      </c>
      <c r="D8357">
        <f>IF(B8357="","",HOUR(A8357))</f>
        <v/>
      </c>
    </row>
    <row r="8358">
      <c r="A8358">
        <f>Input!A8358</f>
        <v/>
      </c>
      <c r="B8358">
        <f>IF(ISNUMBER(Input!B8358),IF(AND(Input!B8358&gt;=20,Input!B8358&lt;=700),Input!B8358,""),"")</f>
        <v/>
      </c>
      <c r="C8358">
        <f>IF(B8358="","",INT(A8358))</f>
        <v/>
      </c>
      <c r="D8358">
        <f>IF(B8358="","",HOUR(A8358))</f>
        <v/>
      </c>
    </row>
    <row r="8359">
      <c r="A8359">
        <f>Input!A8359</f>
        <v/>
      </c>
      <c r="B8359">
        <f>IF(ISNUMBER(Input!B8359),IF(AND(Input!B8359&gt;=20,Input!B8359&lt;=700),Input!B8359,""),"")</f>
        <v/>
      </c>
      <c r="C8359">
        <f>IF(B8359="","",INT(A8359))</f>
        <v/>
      </c>
      <c r="D8359">
        <f>IF(B8359="","",HOUR(A8359))</f>
        <v/>
      </c>
    </row>
    <row r="8360">
      <c r="A8360">
        <f>Input!A8360</f>
        <v/>
      </c>
      <c r="B8360">
        <f>IF(ISNUMBER(Input!B8360),IF(AND(Input!B8360&gt;=20,Input!B8360&lt;=700),Input!B8360,""),"")</f>
        <v/>
      </c>
      <c r="C8360">
        <f>IF(B8360="","",INT(A8360))</f>
        <v/>
      </c>
      <c r="D8360">
        <f>IF(B8360="","",HOUR(A8360))</f>
        <v/>
      </c>
    </row>
    <row r="8361">
      <c r="A8361">
        <f>Input!A8361</f>
        <v/>
      </c>
      <c r="B8361">
        <f>IF(ISNUMBER(Input!B8361),IF(AND(Input!B8361&gt;=20,Input!B8361&lt;=700),Input!B8361,""),"")</f>
        <v/>
      </c>
      <c r="C8361">
        <f>IF(B8361="","",INT(A8361))</f>
        <v/>
      </c>
      <c r="D8361">
        <f>IF(B8361="","",HOUR(A8361))</f>
        <v/>
      </c>
    </row>
    <row r="8362">
      <c r="A8362">
        <f>Input!A8362</f>
        <v/>
      </c>
      <c r="B8362">
        <f>IF(ISNUMBER(Input!B8362),IF(AND(Input!B8362&gt;=20,Input!B8362&lt;=700),Input!B8362,""),"")</f>
        <v/>
      </c>
      <c r="C8362">
        <f>IF(B8362="","",INT(A8362))</f>
        <v/>
      </c>
      <c r="D8362">
        <f>IF(B8362="","",HOUR(A8362))</f>
        <v/>
      </c>
    </row>
    <row r="8363">
      <c r="A8363">
        <f>Input!A8363</f>
        <v/>
      </c>
      <c r="B8363">
        <f>IF(ISNUMBER(Input!B8363),IF(AND(Input!B8363&gt;=20,Input!B8363&lt;=700),Input!B8363,""),"")</f>
        <v/>
      </c>
      <c r="C8363">
        <f>IF(B8363="","",INT(A8363))</f>
        <v/>
      </c>
      <c r="D8363">
        <f>IF(B8363="","",HOUR(A8363))</f>
        <v/>
      </c>
    </row>
    <row r="8364">
      <c r="A8364">
        <f>Input!A8364</f>
        <v/>
      </c>
      <c r="B8364">
        <f>IF(ISNUMBER(Input!B8364),IF(AND(Input!B8364&gt;=20,Input!B8364&lt;=700),Input!B8364,""),"")</f>
        <v/>
      </c>
      <c r="C8364">
        <f>IF(B8364="","",INT(A8364))</f>
        <v/>
      </c>
      <c r="D8364">
        <f>IF(B8364="","",HOUR(A8364))</f>
        <v/>
      </c>
    </row>
    <row r="8365">
      <c r="A8365">
        <f>Input!A8365</f>
        <v/>
      </c>
      <c r="B8365">
        <f>IF(ISNUMBER(Input!B8365),IF(AND(Input!B8365&gt;=20,Input!B8365&lt;=700),Input!B8365,""),"")</f>
        <v/>
      </c>
      <c r="C8365">
        <f>IF(B8365="","",INT(A8365))</f>
        <v/>
      </c>
      <c r="D8365">
        <f>IF(B8365="","",HOUR(A8365))</f>
        <v/>
      </c>
    </row>
    <row r="8366">
      <c r="A8366">
        <f>Input!A8366</f>
        <v/>
      </c>
      <c r="B8366">
        <f>IF(ISNUMBER(Input!B8366),IF(AND(Input!B8366&gt;=20,Input!B8366&lt;=700),Input!B8366,""),"")</f>
        <v/>
      </c>
      <c r="C8366">
        <f>IF(B8366="","",INT(A8366))</f>
        <v/>
      </c>
      <c r="D8366">
        <f>IF(B8366="","",HOUR(A8366))</f>
        <v/>
      </c>
    </row>
    <row r="8367">
      <c r="A8367">
        <f>Input!A8367</f>
        <v/>
      </c>
      <c r="B8367">
        <f>IF(ISNUMBER(Input!B8367),IF(AND(Input!B8367&gt;=20,Input!B8367&lt;=700),Input!B8367,""),"")</f>
        <v/>
      </c>
      <c r="C8367">
        <f>IF(B8367="","",INT(A8367))</f>
        <v/>
      </c>
      <c r="D8367">
        <f>IF(B8367="","",HOUR(A8367))</f>
        <v/>
      </c>
    </row>
    <row r="8368">
      <c r="A8368">
        <f>Input!A8368</f>
        <v/>
      </c>
      <c r="B8368">
        <f>IF(ISNUMBER(Input!B8368),IF(AND(Input!B8368&gt;=20,Input!B8368&lt;=700),Input!B8368,""),"")</f>
        <v/>
      </c>
      <c r="C8368">
        <f>IF(B8368="","",INT(A8368))</f>
        <v/>
      </c>
      <c r="D8368">
        <f>IF(B8368="","",HOUR(A8368))</f>
        <v/>
      </c>
    </row>
    <row r="8369">
      <c r="A8369">
        <f>Input!A8369</f>
        <v/>
      </c>
      <c r="B8369">
        <f>IF(ISNUMBER(Input!B8369),IF(AND(Input!B8369&gt;=20,Input!B8369&lt;=700),Input!B8369,""),"")</f>
        <v/>
      </c>
      <c r="C8369">
        <f>IF(B8369="","",INT(A8369))</f>
        <v/>
      </c>
      <c r="D8369">
        <f>IF(B8369="","",HOUR(A8369))</f>
        <v/>
      </c>
    </row>
    <row r="8370">
      <c r="A8370">
        <f>Input!A8370</f>
        <v/>
      </c>
      <c r="B8370">
        <f>IF(ISNUMBER(Input!B8370),IF(AND(Input!B8370&gt;=20,Input!B8370&lt;=700),Input!B8370,""),"")</f>
        <v/>
      </c>
      <c r="C8370">
        <f>IF(B8370="","",INT(A8370))</f>
        <v/>
      </c>
      <c r="D8370">
        <f>IF(B8370="","",HOUR(A8370))</f>
        <v/>
      </c>
    </row>
    <row r="8371">
      <c r="A8371">
        <f>Input!A8371</f>
        <v/>
      </c>
      <c r="B8371">
        <f>IF(ISNUMBER(Input!B8371),IF(AND(Input!B8371&gt;=20,Input!B8371&lt;=700),Input!B8371,""),"")</f>
        <v/>
      </c>
      <c r="C8371">
        <f>IF(B8371="","",INT(A8371))</f>
        <v/>
      </c>
      <c r="D8371">
        <f>IF(B8371="","",HOUR(A8371))</f>
        <v/>
      </c>
    </row>
    <row r="8372">
      <c r="A8372">
        <f>Input!A8372</f>
        <v/>
      </c>
      <c r="B8372">
        <f>IF(ISNUMBER(Input!B8372),IF(AND(Input!B8372&gt;=20,Input!B8372&lt;=700),Input!B8372,""),"")</f>
        <v/>
      </c>
      <c r="C8372">
        <f>IF(B8372="","",INT(A8372))</f>
        <v/>
      </c>
      <c r="D8372">
        <f>IF(B8372="","",HOUR(A8372))</f>
        <v/>
      </c>
    </row>
    <row r="8373">
      <c r="A8373">
        <f>Input!A8373</f>
        <v/>
      </c>
      <c r="B8373">
        <f>IF(ISNUMBER(Input!B8373),IF(AND(Input!B8373&gt;=20,Input!B8373&lt;=700),Input!B8373,""),"")</f>
        <v/>
      </c>
      <c r="C8373">
        <f>IF(B8373="","",INT(A8373))</f>
        <v/>
      </c>
      <c r="D8373">
        <f>IF(B8373="","",HOUR(A8373))</f>
        <v/>
      </c>
    </row>
    <row r="8374">
      <c r="A8374">
        <f>Input!A8374</f>
        <v/>
      </c>
      <c r="B8374">
        <f>IF(ISNUMBER(Input!B8374),IF(AND(Input!B8374&gt;=20,Input!B8374&lt;=700),Input!B8374,""),"")</f>
        <v/>
      </c>
      <c r="C8374">
        <f>IF(B8374="","",INT(A8374))</f>
        <v/>
      </c>
      <c r="D8374">
        <f>IF(B8374="","",HOUR(A8374))</f>
        <v/>
      </c>
    </row>
    <row r="8375">
      <c r="A8375">
        <f>Input!A8375</f>
        <v/>
      </c>
      <c r="B8375">
        <f>IF(ISNUMBER(Input!B8375),IF(AND(Input!B8375&gt;=20,Input!B8375&lt;=700),Input!B8375,""),"")</f>
        <v/>
      </c>
      <c r="C8375">
        <f>IF(B8375="","",INT(A8375))</f>
        <v/>
      </c>
      <c r="D8375">
        <f>IF(B8375="","",HOUR(A8375))</f>
        <v/>
      </c>
    </row>
    <row r="8376">
      <c r="A8376">
        <f>Input!A8376</f>
        <v/>
      </c>
      <c r="B8376">
        <f>IF(ISNUMBER(Input!B8376),IF(AND(Input!B8376&gt;=20,Input!B8376&lt;=700),Input!B8376,""),"")</f>
        <v/>
      </c>
      <c r="C8376">
        <f>IF(B8376="","",INT(A8376))</f>
        <v/>
      </c>
      <c r="D8376">
        <f>IF(B8376="","",HOUR(A8376))</f>
        <v/>
      </c>
    </row>
    <row r="8377">
      <c r="A8377">
        <f>Input!A8377</f>
        <v/>
      </c>
      <c r="B8377">
        <f>IF(ISNUMBER(Input!B8377),IF(AND(Input!B8377&gt;=20,Input!B8377&lt;=700),Input!B8377,""),"")</f>
        <v/>
      </c>
      <c r="C8377">
        <f>IF(B8377="","",INT(A8377))</f>
        <v/>
      </c>
      <c r="D8377">
        <f>IF(B8377="","",HOUR(A8377))</f>
        <v/>
      </c>
    </row>
    <row r="8378">
      <c r="A8378">
        <f>Input!A8378</f>
        <v/>
      </c>
      <c r="B8378">
        <f>IF(ISNUMBER(Input!B8378),IF(AND(Input!B8378&gt;=20,Input!B8378&lt;=700),Input!B8378,""),"")</f>
        <v/>
      </c>
      <c r="C8378">
        <f>IF(B8378="","",INT(A8378))</f>
        <v/>
      </c>
      <c r="D8378">
        <f>IF(B8378="","",HOUR(A8378))</f>
        <v/>
      </c>
    </row>
    <row r="8379">
      <c r="A8379">
        <f>Input!A8379</f>
        <v/>
      </c>
      <c r="B8379">
        <f>IF(ISNUMBER(Input!B8379),IF(AND(Input!B8379&gt;=20,Input!B8379&lt;=700),Input!B8379,""),"")</f>
        <v/>
      </c>
      <c r="C8379">
        <f>IF(B8379="","",INT(A8379))</f>
        <v/>
      </c>
      <c r="D8379">
        <f>IF(B8379="","",HOUR(A8379))</f>
        <v/>
      </c>
    </row>
    <row r="8380">
      <c r="A8380">
        <f>Input!A8380</f>
        <v/>
      </c>
      <c r="B8380">
        <f>IF(ISNUMBER(Input!B8380),IF(AND(Input!B8380&gt;=20,Input!B8380&lt;=700),Input!B8380,""),"")</f>
        <v/>
      </c>
      <c r="C8380">
        <f>IF(B8380="","",INT(A8380))</f>
        <v/>
      </c>
      <c r="D8380">
        <f>IF(B8380="","",HOUR(A8380))</f>
        <v/>
      </c>
    </row>
    <row r="8381">
      <c r="A8381">
        <f>Input!A8381</f>
        <v/>
      </c>
      <c r="B8381">
        <f>IF(ISNUMBER(Input!B8381),IF(AND(Input!B8381&gt;=20,Input!B8381&lt;=700),Input!B8381,""),"")</f>
        <v/>
      </c>
      <c r="C8381">
        <f>IF(B8381="","",INT(A8381))</f>
        <v/>
      </c>
      <c r="D8381">
        <f>IF(B8381="","",HOUR(A8381))</f>
        <v/>
      </c>
    </row>
    <row r="8382">
      <c r="A8382">
        <f>Input!A8382</f>
        <v/>
      </c>
      <c r="B8382">
        <f>IF(ISNUMBER(Input!B8382),IF(AND(Input!B8382&gt;=20,Input!B8382&lt;=700),Input!B8382,""),"")</f>
        <v/>
      </c>
      <c r="C8382">
        <f>IF(B8382="","",INT(A8382))</f>
        <v/>
      </c>
      <c r="D8382">
        <f>IF(B8382="","",HOUR(A8382))</f>
        <v/>
      </c>
    </row>
    <row r="8383">
      <c r="A8383">
        <f>Input!A8383</f>
        <v/>
      </c>
      <c r="B8383">
        <f>IF(ISNUMBER(Input!B8383),IF(AND(Input!B8383&gt;=20,Input!B8383&lt;=700),Input!B8383,""),"")</f>
        <v/>
      </c>
      <c r="C8383">
        <f>IF(B8383="","",INT(A8383))</f>
        <v/>
      </c>
      <c r="D8383">
        <f>IF(B8383="","",HOUR(A8383))</f>
        <v/>
      </c>
    </row>
    <row r="8384">
      <c r="A8384">
        <f>Input!A8384</f>
        <v/>
      </c>
      <c r="B8384">
        <f>IF(ISNUMBER(Input!B8384),IF(AND(Input!B8384&gt;=20,Input!B8384&lt;=700),Input!B8384,""),"")</f>
        <v/>
      </c>
      <c r="C8384">
        <f>IF(B8384="","",INT(A8384))</f>
        <v/>
      </c>
      <c r="D8384">
        <f>IF(B8384="","",HOUR(A8384))</f>
        <v/>
      </c>
    </row>
    <row r="8385">
      <c r="A8385">
        <f>Input!A8385</f>
        <v/>
      </c>
      <c r="B8385">
        <f>IF(ISNUMBER(Input!B8385),IF(AND(Input!B8385&gt;=20,Input!B8385&lt;=700),Input!B8385,""),"")</f>
        <v/>
      </c>
      <c r="C8385">
        <f>IF(B8385="","",INT(A8385))</f>
        <v/>
      </c>
      <c r="D8385">
        <f>IF(B8385="","",HOUR(A8385))</f>
        <v/>
      </c>
    </row>
    <row r="8386">
      <c r="A8386">
        <f>Input!A8386</f>
        <v/>
      </c>
      <c r="B8386">
        <f>IF(ISNUMBER(Input!B8386),IF(AND(Input!B8386&gt;=20,Input!B8386&lt;=700),Input!B8386,""),"")</f>
        <v/>
      </c>
      <c r="C8386">
        <f>IF(B8386="","",INT(A8386))</f>
        <v/>
      </c>
      <c r="D8386">
        <f>IF(B8386="","",HOUR(A8386))</f>
        <v/>
      </c>
    </row>
    <row r="8387">
      <c r="A8387">
        <f>Input!A8387</f>
        <v/>
      </c>
      <c r="B8387">
        <f>IF(ISNUMBER(Input!B8387),IF(AND(Input!B8387&gt;=20,Input!B8387&lt;=700),Input!B8387,""),"")</f>
        <v/>
      </c>
      <c r="C8387">
        <f>IF(B8387="","",INT(A8387))</f>
        <v/>
      </c>
      <c r="D8387">
        <f>IF(B8387="","",HOUR(A8387))</f>
        <v/>
      </c>
    </row>
    <row r="8388">
      <c r="A8388">
        <f>Input!A8388</f>
        <v/>
      </c>
      <c r="B8388">
        <f>IF(ISNUMBER(Input!B8388),IF(AND(Input!B8388&gt;=20,Input!B8388&lt;=700),Input!B8388,""),"")</f>
        <v/>
      </c>
      <c r="C8388">
        <f>IF(B8388="","",INT(A8388))</f>
        <v/>
      </c>
      <c r="D8388">
        <f>IF(B8388="","",HOUR(A8388))</f>
        <v/>
      </c>
    </row>
    <row r="8389">
      <c r="A8389">
        <f>Input!A8389</f>
        <v/>
      </c>
      <c r="B8389">
        <f>IF(ISNUMBER(Input!B8389),IF(AND(Input!B8389&gt;=20,Input!B8389&lt;=700),Input!B8389,""),"")</f>
        <v/>
      </c>
      <c r="C8389">
        <f>IF(B8389="","",INT(A8389))</f>
        <v/>
      </c>
      <c r="D8389">
        <f>IF(B8389="","",HOUR(A8389))</f>
        <v/>
      </c>
    </row>
    <row r="8390">
      <c r="A8390">
        <f>Input!A8390</f>
        <v/>
      </c>
      <c r="B8390">
        <f>IF(ISNUMBER(Input!B8390),IF(AND(Input!B8390&gt;=20,Input!B8390&lt;=700),Input!B8390,""),"")</f>
        <v/>
      </c>
      <c r="C8390">
        <f>IF(B8390="","",INT(A8390))</f>
        <v/>
      </c>
      <c r="D8390">
        <f>IF(B8390="","",HOUR(A8390))</f>
        <v/>
      </c>
    </row>
    <row r="8391">
      <c r="A8391">
        <f>Input!A8391</f>
        <v/>
      </c>
      <c r="B8391">
        <f>IF(ISNUMBER(Input!B8391),IF(AND(Input!B8391&gt;=20,Input!B8391&lt;=700),Input!B8391,""),"")</f>
        <v/>
      </c>
      <c r="C8391">
        <f>IF(B8391="","",INT(A8391))</f>
        <v/>
      </c>
      <c r="D8391">
        <f>IF(B8391="","",HOUR(A8391))</f>
        <v/>
      </c>
    </row>
    <row r="8392">
      <c r="A8392">
        <f>Input!A8392</f>
        <v/>
      </c>
      <c r="B8392">
        <f>IF(ISNUMBER(Input!B8392),IF(AND(Input!B8392&gt;=20,Input!B8392&lt;=700),Input!B8392,""),"")</f>
        <v/>
      </c>
      <c r="C8392">
        <f>IF(B8392="","",INT(A8392))</f>
        <v/>
      </c>
      <c r="D8392">
        <f>IF(B8392="","",HOUR(A8392))</f>
        <v/>
      </c>
    </row>
    <row r="8393">
      <c r="A8393">
        <f>Input!A8393</f>
        <v/>
      </c>
      <c r="B8393">
        <f>IF(ISNUMBER(Input!B8393),IF(AND(Input!B8393&gt;=20,Input!B8393&lt;=700),Input!B8393,""),"")</f>
        <v/>
      </c>
      <c r="C8393">
        <f>IF(B8393="","",INT(A8393))</f>
        <v/>
      </c>
      <c r="D8393">
        <f>IF(B8393="","",HOUR(A8393))</f>
        <v/>
      </c>
    </row>
    <row r="8394">
      <c r="A8394">
        <f>Input!A8394</f>
        <v/>
      </c>
      <c r="B8394">
        <f>IF(ISNUMBER(Input!B8394),IF(AND(Input!B8394&gt;=20,Input!B8394&lt;=700),Input!B8394,""),"")</f>
        <v/>
      </c>
      <c r="C8394">
        <f>IF(B8394="","",INT(A8394))</f>
        <v/>
      </c>
      <c r="D8394">
        <f>IF(B8394="","",HOUR(A8394))</f>
        <v/>
      </c>
    </row>
    <row r="8395">
      <c r="A8395">
        <f>Input!A8395</f>
        <v/>
      </c>
      <c r="B8395">
        <f>IF(ISNUMBER(Input!B8395),IF(AND(Input!B8395&gt;=20,Input!B8395&lt;=700),Input!B8395,""),"")</f>
        <v/>
      </c>
      <c r="C8395">
        <f>IF(B8395="","",INT(A8395))</f>
        <v/>
      </c>
      <c r="D8395">
        <f>IF(B8395="","",HOUR(A8395))</f>
        <v/>
      </c>
    </row>
    <row r="8396">
      <c r="A8396">
        <f>Input!A8396</f>
        <v/>
      </c>
      <c r="B8396">
        <f>IF(ISNUMBER(Input!B8396),IF(AND(Input!B8396&gt;=20,Input!B8396&lt;=700),Input!B8396,""),"")</f>
        <v/>
      </c>
      <c r="C8396">
        <f>IF(B8396="","",INT(A8396))</f>
        <v/>
      </c>
      <c r="D8396">
        <f>IF(B8396="","",HOUR(A8396))</f>
        <v/>
      </c>
    </row>
    <row r="8397">
      <c r="A8397">
        <f>Input!A8397</f>
        <v/>
      </c>
      <c r="B8397">
        <f>IF(ISNUMBER(Input!B8397),IF(AND(Input!B8397&gt;=20,Input!B8397&lt;=700),Input!B8397,""),"")</f>
        <v/>
      </c>
      <c r="C8397">
        <f>IF(B8397="","",INT(A8397))</f>
        <v/>
      </c>
      <c r="D8397">
        <f>IF(B8397="","",HOUR(A8397))</f>
        <v/>
      </c>
    </row>
    <row r="8398">
      <c r="A8398">
        <f>Input!A8398</f>
        <v/>
      </c>
      <c r="B8398">
        <f>IF(ISNUMBER(Input!B8398),IF(AND(Input!B8398&gt;=20,Input!B8398&lt;=700),Input!B8398,""),"")</f>
        <v/>
      </c>
      <c r="C8398">
        <f>IF(B8398="","",INT(A8398))</f>
        <v/>
      </c>
      <c r="D8398">
        <f>IF(B8398="","",HOUR(A8398))</f>
        <v/>
      </c>
    </row>
    <row r="8399">
      <c r="A8399">
        <f>Input!A8399</f>
        <v/>
      </c>
      <c r="B8399">
        <f>IF(ISNUMBER(Input!B8399),IF(AND(Input!B8399&gt;=20,Input!B8399&lt;=700),Input!B8399,""),"")</f>
        <v/>
      </c>
      <c r="C8399">
        <f>IF(B8399="","",INT(A8399))</f>
        <v/>
      </c>
      <c r="D8399">
        <f>IF(B8399="","",HOUR(A8399))</f>
        <v/>
      </c>
    </row>
    <row r="8400">
      <c r="A8400">
        <f>Input!A8400</f>
        <v/>
      </c>
      <c r="B8400">
        <f>IF(ISNUMBER(Input!B8400),IF(AND(Input!B8400&gt;=20,Input!B8400&lt;=700),Input!B8400,""),"")</f>
        <v/>
      </c>
      <c r="C8400">
        <f>IF(B8400="","",INT(A8400))</f>
        <v/>
      </c>
      <c r="D8400">
        <f>IF(B8400="","",HOUR(A8400))</f>
        <v/>
      </c>
    </row>
    <row r="8401">
      <c r="A8401">
        <f>Input!A8401</f>
        <v/>
      </c>
      <c r="B8401">
        <f>IF(ISNUMBER(Input!B8401),IF(AND(Input!B8401&gt;=20,Input!B8401&lt;=700),Input!B8401,""),"")</f>
        <v/>
      </c>
      <c r="C8401">
        <f>IF(B8401="","",INT(A8401))</f>
        <v/>
      </c>
      <c r="D8401">
        <f>IF(B8401="","",HOUR(A8401))</f>
        <v/>
      </c>
    </row>
    <row r="8402">
      <c r="A8402">
        <f>Input!A8402</f>
        <v/>
      </c>
      <c r="B8402">
        <f>IF(ISNUMBER(Input!B8402),IF(AND(Input!B8402&gt;=20,Input!B8402&lt;=700),Input!B8402,""),"")</f>
        <v/>
      </c>
      <c r="C8402">
        <f>IF(B8402="","",INT(A8402))</f>
        <v/>
      </c>
      <c r="D8402">
        <f>IF(B8402="","",HOUR(A8402))</f>
        <v/>
      </c>
    </row>
    <row r="8403">
      <c r="A8403">
        <f>Input!A8403</f>
        <v/>
      </c>
      <c r="B8403">
        <f>IF(ISNUMBER(Input!B8403),IF(AND(Input!B8403&gt;=20,Input!B8403&lt;=700),Input!B8403,""),"")</f>
        <v/>
      </c>
      <c r="C8403">
        <f>IF(B8403="","",INT(A8403))</f>
        <v/>
      </c>
      <c r="D8403">
        <f>IF(B8403="","",HOUR(A8403))</f>
        <v/>
      </c>
    </row>
    <row r="8404">
      <c r="A8404">
        <f>Input!A8404</f>
        <v/>
      </c>
      <c r="B8404">
        <f>IF(ISNUMBER(Input!B8404),IF(AND(Input!B8404&gt;=20,Input!B8404&lt;=700),Input!B8404,""),"")</f>
        <v/>
      </c>
      <c r="C8404">
        <f>IF(B8404="","",INT(A8404))</f>
        <v/>
      </c>
      <c r="D8404">
        <f>IF(B8404="","",HOUR(A8404))</f>
        <v/>
      </c>
    </row>
    <row r="8405">
      <c r="A8405">
        <f>Input!A8405</f>
        <v/>
      </c>
      <c r="B8405">
        <f>IF(ISNUMBER(Input!B8405),IF(AND(Input!B8405&gt;=20,Input!B8405&lt;=700),Input!B8405,""),"")</f>
        <v/>
      </c>
      <c r="C8405">
        <f>IF(B8405="","",INT(A8405))</f>
        <v/>
      </c>
      <c r="D8405">
        <f>IF(B8405="","",HOUR(A8405))</f>
        <v/>
      </c>
    </row>
    <row r="8406">
      <c r="A8406">
        <f>Input!A8406</f>
        <v/>
      </c>
      <c r="B8406">
        <f>IF(ISNUMBER(Input!B8406),IF(AND(Input!B8406&gt;=20,Input!B8406&lt;=700),Input!B8406,""),"")</f>
        <v/>
      </c>
      <c r="C8406">
        <f>IF(B8406="","",INT(A8406))</f>
        <v/>
      </c>
      <c r="D8406">
        <f>IF(B8406="","",HOUR(A8406))</f>
        <v/>
      </c>
    </row>
    <row r="8407">
      <c r="A8407">
        <f>Input!A8407</f>
        <v/>
      </c>
      <c r="B8407">
        <f>IF(ISNUMBER(Input!B8407),IF(AND(Input!B8407&gt;=20,Input!B8407&lt;=700),Input!B8407,""),"")</f>
        <v/>
      </c>
      <c r="C8407">
        <f>IF(B8407="","",INT(A8407))</f>
        <v/>
      </c>
      <c r="D8407">
        <f>IF(B8407="","",HOUR(A8407))</f>
        <v/>
      </c>
    </row>
    <row r="8408">
      <c r="A8408">
        <f>Input!A8408</f>
        <v/>
      </c>
      <c r="B8408">
        <f>IF(ISNUMBER(Input!B8408),IF(AND(Input!B8408&gt;=20,Input!B8408&lt;=700),Input!B8408,""),"")</f>
        <v/>
      </c>
      <c r="C8408">
        <f>IF(B8408="","",INT(A8408))</f>
        <v/>
      </c>
      <c r="D8408">
        <f>IF(B8408="","",HOUR(A8408))</f>
        <v/>
      </c>
    </row>
    <row r="8409">
      <c r="A8409">
        <f>Input!A8409</f>
        <v/>
      </c>
      <c r="B8409">
        <f>IF(ISNUMBER(Input!B8409),IF(AND(Input!B8409&gt;=20,Input!B8409&lt;=700),Input!B8409,""),"")</f>
        <v/>
      </c>
      <c r="C8409">
        <f>IF(B8409="","",INT(A8409))</f>
        <v/>
      </c>
      <c r="D8409">
        <f>IF(B8409="","",HOUR(A8409))</f>
        <v/>
      </c>
    </row>
    <row r="8410">
      <c r="A8410">
        <f>Input!A8410</f>
        <v/>
      </c>
      <c r="B8410">
        <f>IF(ISNUMBER(Input!B8410),IF(AND(Input!B8410&gt;=20,Input!B8410&lt;=700),Input!B8410,""),"")</f>
        <v/>
      </c>
      <c r="C8410">
        <f>IF(B8410="","",INT(A8410))</f>
        <v/>
      </c>
      <c r="D8410">
        <f>IF(B8410="","",HOUR(A8410))</f>
        <v/>
      </c>
    </row>
    <row r="8411">
      <c r="A8411">
        <f>Input!A8411</f>
        <v/>
      </c>
      <c r="B8411">
        <f>IF(ISNUMBER(Input!B8411),IF(AND(Input!B8411&gt;=20,Input!B8411&lt;=700),Input!B8411,""),"")</f>
        <v/>
      </c>
      <c r="C8411">
        <f>IF(B8411="","",INT(A8411))</f>
        <v/>
      </c>
      <c r="D8411">
        <f>IF(B8411="","",HOUR(A8411))</f>
        <v/>
      </c>
    </row>
    <row r="8412">
      <c r="A8412">
        <f>Input!A8412</f>
        <v/>
      </c>
      <c r="B8412">
        <f>IF(ISNUMBER(Input!B8412),IF(AND(Input!B8412&gt;=20,Input!B8412&lt;=700),Input!B8412,""),"")</f>
        <v/>
      </c>
      <c r="C8412">
        <f>IF(B8412="","",INT(A8412))</f>
        <v/>
      </c>
      <c r="D8412">
        <f>IF(B8412="","",HOUR(A8412))</f>
        <v/>
      </c>
    </row>
    <row r="8413">
      <c r="A8413">
        <f>Input!A8413</f>
        <v/>
      </c>
      <c r="B8413">
        <f>IF(ISNUMBER(Input!B8413),IF(AND(Input!B8413&gt;=20,Input!B8413&lt;=700),Input!B8413,""),"")</f>
        <v/>
      </c>
      <c r="C8413">
        <f>IF(B8413="","",INT(A8413))</f>
        <v/>
      </c>
      <c r="D8413">
        <f>IF(B8413="","",HOUR(A8413))</f>
        <v/>
      </c>
    </row>
    <row r="8414">
      <c r="A8414">
        <f>Input!A8414</f>
        <v/>
      </c>
      <c r="B8414">
        <f>IF(ISNUMBER(Input!B8414),IF(AND(Input!B8414&gt;=20,Input!B8414&lt;=700),Input!B8414,""),"")</f>
        <v/>
      </c>
      <c r="C8414">
        <f>IF(B8414="","",INT(A8414))</f>
        <v/>
      </c>
      <c r="D8414">
        <f>IF(B8414="","",HOUR(A8414))</f>
        <v/>
      </c>
    </row>
    <row r="8415">
      <c r="A8415">
        <f>Input!A8415</f>
        <v/>
      </c>
      <c r="B8415">
        <f>IF(ISNUMBER(Input!B8415),IF(AND(Input!B8415&gt;=20,Input!B8415&lt;=700),Input!B8415,""),"")</f>
        <v/>
      </c>
      <c r="C8415">
        <f>IF(B8415="","",INT(A8415))</f>
        <v/>
      </c>
      <c r="D8415">
        <f>IF(B8415="","",HOUR(A8415))</f>
        <v/>
      </c>
    </row>
    <row r="8416">
      <c r="A8416">
        <f>Input!A8416</f>
        <v/>
      </c>
      <c r="B8416">
        <f>IF(ISNUMBER(Input!B8416),IF(AND(Input!B8416&gt;=20,Input!B8416&lt;=700),Input!B8416,""),"")</f>
        <v/>
      </c>
      <c r="C8416">
        <f>IF(B8416="","",INT(A8416))</f>
        <v/>
      </c>
      <c r="D8416">
        <f>IF(B8416="","",HOUR(A8416))</f>
        <v/>
      </c>
    </row>
    <row r="8417">
      <c r="A8417">
        <f>Input!A8417</f>
        <v/>
      </c>
      <c r="B8417">
        <f>IF(ISNUMBER(Input!B8417),IF(AND(Input!B8417&gt;=20,Input!B8417&lt;=700),Input!B8417,""),"")</f>
        <v/>
      </c>
      <c r="C8417">
        <f>IF(B8417="","",INT(A8417))</f>
        <v/>
      </c>
      <c r="D8417">
        <f>IF(B8417="","",HOUR(A8417))</f>
        <v/>
      </c>
    </row>
    <row r="8418">
      <c r="A8418">
        <f>Input!A8418</f>
        <v/>
      </c>
      <c r="B8418">
        <f>IF(ISNUMBER(Input!B8418),IF(AND(Input!B8418&gt;=20,Input!B8418&lt;=700),Input!B8418,""),"")</f>
        <v/>
      </c>
      <c r="C8418">
        <f>IF(B8418="","",INT(A8418))</f>
        <v/>
      </c>
      <c r="D8418">
        <f>IF(B8418="","",HOUR(A8418))</f>
        <v/>
      </c>
    </row>
    <row r="8419">
      <c r="A8419">
        <f>Input!A8419</f>
        <v/>
      </c>
      <c r="B8419">
        <f>IF(ISNUMBER(Input!B8419),IF(AND(Input!B8419&gt;=20,Input!B8419&lt;=700),Input!B8419,""),"")</f>
        <v/>
      </c>
      <c r="C8419">
        <f>IF(B8419="","",INT(A8419))</f>
        <v/>
      </c>
      <c r="D8419">
        <f>IF(B8419="","",HOUR(A8419))</f>
        <v/>
      </c>
    </row>
    <row r="8420">
      <c r="A8420">
        <f>Input!A8420</f>
        <v/>
      </c>
      <c r="B8420">
        <f>IF(ISNUMBER(Input!B8420),IF(AND(Input!B8420&gt;=20,Input!B8420&lt;=700),Input!B8420,""),"")</f>
        <v/>
      </c>
      <c r="C8420">
        <f>IF(B8420="","",INT(A8420))</f>
        <v/>
      </c>
      <c r="D8420">
        <f>IF(B8420="","",HOUR(A8420))</f>
        <v/>
      </c>
    </row>
    <row r="8421">
      <c r="A8421">
        <f>Input!A8421</f>
        <v/>
      </c>
      <c r="B8421">
        <f>IF(ISNUMBER(Input!B8421),IF(AND(Input!B8421&gt;=20,Input!B8421&lt;=700),Input!B8421,""),"")</f>
        <v/>
      </c>
      <c r="C8421">
        <f>IF(B8421="","",INT(A8421))</f>
        <v/>
      </c>
      <c r="D8421">
        <f>IF(B8421="","",HOUR(A8421))</f>
        <v/>
      </c>
    </row>
    <row r="8422">
      <c r="A8422">
        <f>Input!A8422</f>
        <v/>
      </c>
      <c r="B8422">
        <f>IF(ISNUMBER(Input!B8422),IF(AND(Input!B8422&gt;=20,Input!B8422&lt;=700),Input!B8422,""),"")</f>
        <v/>
      </c>
      <c r="C8422">
        <f>IF(B8422="","",INT(A8422))</f>
        <v/>
      </c>
      <c r="D8422">
        <f>IF(B8422="","",HOUR(A8422))</f>
        <v/>
      </c>
    </row>
    <row r="8423">
      <c r="A8423">
        <f>Input!A8423</f>
        <v/>
      </c>
      <c r="B8423">
        <f>IF(ISNUMBER(Input!B8423),IF(AND(Input!B8423&gt;=20,Input!B8423&lt;=700),Input!B8423,""),"")</f>
        <v/>
      </c>
      <c r="C8423">
        <f>IF(B8423="","",INT(A8423))</f>
        <v/>
      </c>
      <c r="D8423">
        <f>IF(B8423="","",HOUR(A8423))</f>
        <v/>
      </c>
    </row>
    <row r="8424">
      <c r="A8424">
        <f>Input!A8424</f>
        <v/>
      </c>
      <c r="B8424">
        <f>IF(ISNUMBER(Input!B8424),IF(AND(Input!B8424&gt;=20,Input!B8424&lt;=700),Input!B8424,""),"")</f>
        <v/>
      </c>
      <c r="C8424">
        <f>IF(B8424="","",INT(A8424))</f>
        <v/>
      </c>
      <c r="D8424">
        <f>IF(B8424="","",HOUR(A8424))</f>
        <v/>
      </c>
    </row>
    <row r="8425">
      <c r="A8425">
        <f>Input!A8425</f>
        <v/>
      </c>
      <c r="B8425">
        <f>IF(ISNUMBER(Input!B8425),IF(AND(Input!B8425&gt;=20,Input!B8425&lt;=700),Input!B8425,""),"")</f>
        <v/>
      </c>
      <c r="C8425">
        <f>IF(B8425="","",INT(A8425))</f>
        <v/>
      </c>
      <c r="D8425">
        <f>IF(B8425="","",HOUR(A8425))</f>
        <v/>
      </c>
    </row>
    <row r="8426">
      <c r="A8426">
        <f>Input!A8426</f>
        <v/>
      </c>
      <c r="B8426">
        <f>IF(ISNUMBER(Input!B8426),IF(AND(Input!B8426&gt;=20,Input!B8426&lt;=700),Input!B8426,""),"")</f>
        <v/>
      </c>
      <c r="C8426">
        <f>IF(B8426="","",INT(A8426))</f>
        <v/>
      </c>
      <c r="D8426">
        <f>IF(B8426="","",HOUR(A8426))</f>
        <v/>
      </c>
    </row>
    <row r="8427">
      <c r="A8427">
        <f>Input!A8427</f>
        <v/>
      </c>
      <c r="B8427">
        <f>IF(ISNUMBER(Input!B8427),IF(AND(Input!B8427&gt;=20,Input!B8427&lt;=700),Input!B8427,""),"")</f>
        <v/>
      </c>
      <c r="C8427">
        <f>IF(B8427="","",INT(A8427))</f>
        <v/>
      </c>
      <c r="D8427">
        <f>IF(B8427="","",HOUR(A8427))</f>
        <v/>
      </c>
    </row>
    <row r="8428">
      <c r="A8428">
        <f>Input!A8428</f>
        <v/>
      </c>
      <c r="B8428">
        <f>IF(ISNUMBER(Input!B8428),IF(AND(Input!B8428&gt;=20,Input!B8428&lt;=700),Input!B8428,""),"")</f>
        <v/>
      </c>
      <c r="C8428">
        <f>IF(B8428="","",INT(A8428))</f>
        <v/>
      </c>
      <c r="D8428">
        <f>IF(B8428="","",HOUR(A8428))</f>
        <v/>
      </c>
    </row>
    <row r="8429">
      <c r="A8429">
        <f>Input!A8429</f>
        <v/>
      </c>
      <c r="B8429">
        <f>IF(ISNUMBER(Input!B8429),IF(AND(Input!B8429&gt;=20,Input!B8429&lt;=700),Input!B8429,""),"")</f>
        <v/>
      </c>
      <c r="C8429">
        <f>IF(B8429="","",INT(A8429))</f>
        <v/>
      </c>
      <c r="D8429">
        <f>IF(B8429="","",HOUR(A8429))</f>
        <v/>
      </c>
    </row>
    <row r="8430">
      <c r="A8430">
        <f>Input!A8430</f>
        <v/>
      </c>
      <c r="B8430">
        <f>IF(ISNUMBER(Input!B8430),IF(AND(Input!B8430&gt;=20,Input!B8430&lt;=700),Input!B8430,""),"")</f>
        <v/>
      </c>
      <c r="C8430">
        <f>IF(B8430="","",INT(A8430))</f>
        <v/>
      </c>
      <c r="D8430">
        <f>IF(B8430="","",HOUR(A8430))</f>
        <v/>
      </c>
    </row>
    <row r="8431">
      <c r="A8431">
        <f>Input!A8431</f>
        <v/>
      </c>
      <c r="B8431">
        <f>IF(ISNUMBER(Input!B8431),IF(AND(Input!B8431&gt;=20,Input!B8431&lt;=700),Input!B8431,""),"")</f>
        <v/>
      </c>
      <c r="C8431">
        <f>IF(B8431="","",INT(A8431))</f>
        <v/>
      </c>
      <c r="D8431">
        <f>IF(B8431="","",HOUR(A8431))</f>
        <v/>
      </c>
    </row>
    <row r="8432">
      <c r="A8432">
        <f>Input!A8432</f>
        <v/>
      </c>
      <c r="B8432">
        <f>IF(ISNUMBER(Input!B8432),IF(AND(Input!B8432&gt;=20,Input!B8432&lt;=700),Input!B8432,""),"")</f>
        <v/>
      </c>
      <c r="C8432">
        <f>IF(B8432="","",INT(A8432))</f>
        <v/>
      </c>
      <c r="D8432">
        <f>IF(B8432="","",HOUR(A8432))</f>
        <v/>
      </c>
    </row>
    <row r="8433">
      <c r="A8433">
        <f>Input!A8433</f>
        <v/>
      </c>
      <c r="B8433">
        <f>IF(ISNUMBER(Input!B8433),IF(AND(Input!B8433&gt;=20,Input!B8433&lt;=700),Input!B8433,""),"")</f>
        <v/>
      </c>
      <c r="C8433">
        <f>IF(B8433="","",INT(A8433))</f>
        <v/>
      </c>
      <c r="D8433">
        <f>IF(B8433="","",HOUR(A8433))</f>
        <v/>
      </c>
    </row>
    <row r="8434">
      <c r="A8434">
        <f>Input!A8434</f>
        <v/>
      </c>
      <c r="B8434">
        <f>IF(ISNUMBER(Input!B8434),IF(AND(Input!B8434&gt;=20,Input!B8434&lt;=700),Input!B8434,""),"")</f>
        <v/>
      </c>
      <c r="C8434">
        <f>IF(B8434="","",INT(A8434))</f>
        <v/>
      </c>
      <c r="D8434">
        <f>IF(B8434="","",HOUR(A8434))</f>
        <v/>
      </c>
    </row>
    <row r="8435">
      <c r="A8435">
        <f>Input!A8435</f>
        <v/>
      </c>
      <c r="B8435">
        <f>IF(ISNUMBER(Input!B8435),IF(AND(Input!B8435&gt;=20,Input!B8435&lt;=700),Input!B8435,""),"")</f>
        <v/>
      </c>
      <c r="C8435">
        <f>IF(B8435="","",INT(A8435))</f>
        <v/>
      </c>
      <c r="D8435">
        <f>IF(B8435="","",HOUR(A8435))</f>
        <v/>
      </c>
    </row>
    <row r="8436">
      <c r="A8436">
        <f>Input!A8436</f>
        <v/>
      </c>
      <c r="B8436">
        <f>IF(ISNUMBER(Input!B8436),IF(AND(Input!B8436&gt;=20,Input!B8436&lt;=700),Input!B8436,""),"")</f>
        <v/>
      </c>
      <c r="C8436">
        <f>IF(B8436="","",INT(A8436))</f>
        <v/>
      </c>
      <c r="D8436">
        <f>IF(B8436="","",HOUR(A8436))</f>
        <v/>
      </c>
    </row>
    <row r="8437">
      <c r="A8437">
        <f>Input!A8437</f>
        <v/>
      </c>
      <c r="B8437">
        <f>IF(ISNUMBER(Input!B8437),IF(AND(Input!B8437&gt;=20,Input!B8437&lt;=700),Input!B8437,""),"")</f>
        <v/>
      </c>
      <c r="C8437">
        <f>IF(B8437="","",INT(A8437))</f>
        <v/>
      </c>
      <c r="D8437">
        <f>IF(B8437="","",HOUR(A8437))</f>
        <v/>
      </c>
    </row>
    <row r="8438">
      <c r="A8438">
        <f>Input!A8438</f>
        <v/>
      </c>
      <c r="B8438">
        <f>IF(ISNUMBER(Input!B8438),IF(AND(Input!B8438&gt;=20,Input!B8438&lt;=700),Input!B8438,""),"")</f>
        <v/>
      </c>
      <c r="C8438">
        <f>IF(B8438="","",INT(A8438))</f>
        <v/>
      </c>
      <c r="D8438">
        <f>IF(B8438="","",HOUR(A8438))</f>
        <v/>
      </c>
    </row>
    <row r="8439">
      <c r="A8439">
        <f>Input!A8439</f>
        <v/>
      </c>
      <c r="B8439">
        <f>IF(ISNUMBER(Input!B8439),IF(AND(Input!B8439&gt;=20,Input!B8439&lt;=700),Input!B8439,""),"")</f>
        <v/>
      </c>
      <c r="C8439">
        <f>IF(B8439="","",INT(A8439))</f>
        <v/>
      </c>
      <c r="D8439">
        <f>IF(B8439="","",HOUR(A8439))</f>
        <v/>
      </c>
    </row>
    <row r="8440">
      <c r="A8440">
        <f>Input!A8440</f>
        <v/>
      </c>
      <c r="B8440">
        <f>IF(ISNUMBER(Input!B8440),IF(AND(Input!B8440&gt;=20,Input!B8440&lt;=700),Input!B8440,""),"")</f>
        <v/>
      </c>
      <c r="C8440">
        <f>IF(B8440="","",INT(A8440))</f>
        <v/>
      </c>
      <c r="D8440">
        <f>IF(B8440="","",HOUR(A8440))</f>
        <v/>
      </c>
    </row>
    <row r="8441">
      <c r="A8441">
        <f>Input!A8441</f>
        <v/>
      </c>
      <c r="B8441">
        <f>IF(ISNUMBER(Input!B8441),IF(AND(Input!B8441&gt;=20,Input!B8441&lt;=700),Input!B8441,""),"")</f>
        <v/>
      </c>
      <c r="C8441">
        <f>IF(B8441="","",INT(A8441))</f>
        <v/>
      </c>
      <c r="D8441">
        <f>IF(B8441="","",HOUR(A8441))</f>
        <v/>
      </c>
    </row>
    <row r="8442">
      <c r="A8442">
        <f>Input!A8442</f>
        <v/>
      </c>
      <c r="B8442">
        <f>IF(ISNUMBER(Input!B8442),IF(AND(Input!B8442&gt;=20,Input!B8442&lt;=700),Input!B8442,""),"")</f>
        <v/>
      </c>
      <c r="C8442">
        <f>IF(B8442="","",INT(A8442))</f>
        <v/>
      </c>
      <c r="D8442">
        <f>IF(B8442="","",HOUR(A8442))</f>
        <v/>
      </c>
    </row>
    <row r="8443">
      <c r="A8443">
        <f>Input!A8443</f>
        <v/>
      </c>
      <c r="B8443">
        <f>IF(ISNUMBER(Input!B8443),IF(AND(Input!B8443&gt;=20,Input!B8443&lt;=700),Input!B8443,""),"")</f>
        <v/>
      </c>
      <c r="C8443">
        <f>IF(B8443="","",INT(A8443))</f>
        <v/>
      </c>
      <c r="D8443">
        <f>IF(B8443="","",HOUR(A8443))</f>
        <v/>
      </c>
    </row>
    <row r="8444">
      <c r="A8444">
        <f>Input!A8444</f>
        <v/>
      </c>
      <c r="B8444">
        <f>IF(ISNUMBER(Input!B8444),IF(AND(Input!B8444&gt;=20,Input!B8444&lt;=700),Input!B8444,""),"")</f>
        <v/>
      </c>
      <c r="C8444">
        <f>IF(B8444="","",INT(A8444))</f>
        <v/>
      </c>
      <c r="D8444">
        <f>IF(B8444="","",HOUR(A8444))</f>
        <v/>
      </c>
    </row>
    <row r="8445">
      <c r="A8445">
        <f>Input!A8445</f>
        <v/>
      </c>
      <c r="B8445">
        <f>IF(ISNUMBER(Input!B8445),IF(AND(Input!B8445&gt;=20,Input!B8445&lt;=700),Input!B8445,""),"")</f>
        <v/>
      </c>
      <c r="C8445">
        <f>IF(B8445="","",INT(A8445))</f>
        <v/>
      </c>
      <c r="D8445">
        <f>IF(B8445="","",HOUR(A8445))</f>
        <v/>
      </c>
    </row>
    <row r="8446">
      <c r="A8446">
        <f>Input!A8446</f>
        <v/>
      </c>
      <c r="B8446">
        <f>IF(ISNUMBER(Input!B8446),IF(AND(Input!B8446&gt;=20,Input!B8446&lt;=700),Input!B8446,""),"")</f>
        <v/>
      </c>
      <c r="C8446">
        <f>IF(B8446="","",INT(A8446))</f>
        <v/>
      </c>
      <c r="D8446">
        <f>IF(B8446="","",HOUR(A8446))</f>
        <v/>
      </c>
    </row>
    <row r="8447">
      <c r="A8447">
        <f>Input!A8447</f>
        <v/>
      </c>
      <c r="B8447">
        <f>IF(ISNUMBER(Input!B8447),IF(AND(Input!B8447&gt;=20,Input!B8447&lt;=700),Input!B8447,""),"")</f>
        <v/>
      </c>
      <c r="C8447">
        <f>IF(B8447="","",INT(A8447))</f>
        <v/>
      </c>
      <c r="D8447">
        <f>IF(B8447="","",HOUR(A8447))</f>
        <v/>
      </c>
    </row>
    <row r="8448">
      <c r="A8448">
        <f>Input!A8448</f>
        <v/>
      </c>
      <c r="B8448">
        <f>IF(ISNUMBER(Input!B8448),IF(AND(Input!B8448&gt;=20,Input!B8448&lt;=700),Input!B8448,""),"")</f>
        <v/>
      </c>
      <c r="C8448">
        <f>IF(B8448="","",INT(A8448))</f>
        <v/>
      </c>
      <c r="D8448">
        <f>IF(B8448="","",HOUR(A8448))</f>
        <v/>
      </c>
    </row>
    <row r="8449">
      <c r="A8449">
        <f>Input!A8449</f>
        <v/>
      </c>
      <c r="B8449">
        <f>IF(ISNUMBER(Input!B8449),IF(AND(Input!B8449&gt;=20,Input!B8449&lt;=700),Input!B8449,""),"")</f>
        <v/>
      </c>
      <c r="C8449">
        <f>IF(B8449="","",INT(A8449))</f>
        <v/>
      </c>
      <c r="D8449">
        <f>IF(B8449="","",HOUR(A8449))</f>
        <v/>
      </c>
    </row>
    <row r="8450">
      <c r="A8450">
        <f>Input!A8450</f>
        <v/>
      </c>
      <c r="B8450">
        <f>IF(ISNUMBER(Input!B8450),IF(AND(Input!B8450&gt;=20,Input!B8450&lt;=700),Input!B8450,""),"")</f>
        <v/>
      </c>
      <c r="C8450">
        <f>IF(B8450="","",INT(A8450))</f>
        <v/>
      </c>
      <c r="D8450">
        <f>IF(B8450="","",HOUR(A8450))</f>
        <v/>
      </c>
    </row>
    <row r="8451">
      <c r="A8451">
        <f>Input!A8451</f>
        <v/>
      </c>
      <c r="B8451">
        <f>IF(ISNUMBER(Input!B8451),IF(AND(Input!B8451&gt;=20,Input!B8451&lt;=700),Input!B8451,""),"")</f>
        <v/>
      </c>
      <c r="C8451">
        <f>IF(B8451="","",INT(A8451))</f>
        <v/>
      </c>
      <c r="D8451">
        <f>IF(B8451="","",HOUR(A8451))</f>
        <v/>
      </c>
    </row>
    <row r="8452">
      <c r="A8452">
        <f>Input!A8452</f>
        <v/>
      </c>
      <c r="B8452">
        <f>IF(ISNUMBER(Input!B8452),IF(AND(Input!B8452&gt;=20,Input!B8452&lt;=700),Input!B8452,""),"")</f>
        <v/>
      </c>
      <c r="C8452">
        <f>IF(B8452="","",INT(A8452))</f>
        <v/>
      </c>
      <c r="D8452">
        <f>IF(B8452="","",HOUR(A8452))</f>
        <v/>
      </c>
    </row>
    <row r="8453">
      <c r="A8453">
        <f>Input!A8453</f>
        <v/>
      </c>
      <c r="B8453">
        <f>IF(ISNUMBER(Input!B8453),IF(AND(Input!B8453&gt;=20,Input!B8453&lt;=700),Input!B8453,""),"")</f>
        <v/>
      </c>
      <c r="C8453">
        <f>IF(B8453="","",INT(A8453))</f>
        <v/>
      </c>
      <c r="D8453">
        <f>IF(B8453="","",HOUR(A8453))</f>
        <v/>
      </c>
    </row>
    <row r="8454">
      <c r="A8454">
        <f>Input!A8454</f>
        <v/>
      </c>
      <c r="B8454">
        <f>IF(ISNUMBER(Input!B8454),IF(AND(Input!B8454&gt;=20,Input!B8454&lt;=700),Input!B8454,""),"")</f>
        <v/>
      </c>
      <c r="C8454">
        <f>IF(B8454="","",INT(A8454))</f>
        <v/>
      </c>
      <c r="D8454">
        <f>IF(B8454="","",HOUR(A8454))</f>
        <v/>
      </c>
    </row>
    <row r="8455">
      <c r="A8455">
        <f>Input!A8455</f>
        <v/>
      </c>
      <c r="B8455">
        <f>IF(ISNUMBER(Input!B8455),IF(AND(Input!B8455&gt;=20,Input!B8455&lt;=700),Input!B8455,""),"")</f>
        <v/>
      </c>
      <c r="C8455">
        <f>IF(B8455="","",INT(A8455))</f>
        <v/>
      </c>
      <c r="D8455">
        <f>IF(B8455="","",HOUR(A8455))</f>
        <v/>
      </c>
    </row>
    <row r="8456">
      <c r="A8456">
        <f>Input!A8456</f>
        <v/>
      </c>
      <c r="B8456">
        <f>IF(ISNUMBER(Input!B8456),IF(AND(Input!B8456&gt;=20,Input!B8456&lt;=700),Input!B8456,""),"")</f>
        <v/>
      </c>
      <c r="C8456">
        <f>IF(B8456="","",INT(A8456))</f>
        <v/>
      </c>
      <c r="D8456">
        <f>IF(B8456="","",HOUR(A8456))</f>
        <v/>
      </c>
    </row>
    <row r="8457">
      <c r="A8457">
        <f>Input!A8457</f>
        <v/>
      </c>
      <c r="B8457">
        <f>IF(ISNUMBER(Input!B8457),IF(AND(Input!B8457&gt;=20,Input!B8457&lt;=700),Input!B8457,""),"")</f>
        <v/>
      </c>
      <c r="C8457">
        <f>IF(B8457="","",INT(A8457))</f>
        <v/>
      </c>
      <c r="D8457">
        <f>IF(B8457="","",HOUR(A8457))</f>
        <v/>
      </c>
    </row>
    <row r="8458">
      <c r="A8458">
        <f>Input!A8458</f>
        <v/>
      </c>
      <c r="B8458">
        <f>IF(ISNUMBER(Input!B8458),IF(AND(Input!B8458&gt;=20,Input!B8458&lt;=700),Input!B8458,""),"")</f>
        <v/>
      </c>
      <c r="C8458">
        <f>IF(B8458="","",INT(A8458))</f>
        <v/>
      </c>
      <c r="D8458">
        <f>IF(B8458="","",HOUR(A8458))</f>
        <v/>
      </c>
    </row>
    <row r="8459">
      <c r="A8459">
        <f>Input!A8459</f>
        <v/>
      </c>
      <c r="B8459">
        <f>IF(ISNUMBER(Input!B8459),IF(AND(Input!B8459&gt;=20,Input!B8459&lt;=700),Input!B8459,""),"")</f>
        <v/>
      </c>
      <c r="C8459">
        <f>IF(B8459="","",INT(A8459))</f>
        <v/>
      </c>
      <c r="D8459">
        <f>IF(B8459="","",HOUR(A8459))</f>
        <v/>
      </c>
    </row>
    <row r="8460">
      <c r="A8460">
        <f>Input!A8460</f>
        <v/>
      </c>
      <c r="B8460">
        <f>IF(ISNUMBER(Input!B8460),IF(AND(Input!B8460&gt;=20,Input!B8460&lt;=700),Input!B8460,""),"")</f>
        <v/>
      </c>
      <c r="C8460">
        <f>IF(B8460="","",INT(A8460))</f>
        <v/>
      </c>
      <c r="D8460">
        <f>IF(B8460="","",HOUR(A8460))</f>
        <v/>
      </c>
    </row>
    <row r="8461">
      <c r="A8461">
        <f>Input!A8461</f>
        <v/>
      </c>
      <c r="B8461">
        <f>IF(ISNUMBER(Input!B8461),IF(AND(Input!B8461&gt;=20,Input!B8461&lt;=700),Input!B8461,""),"")</f>
        <v/>
      </c>
      <c r="C8461">
        <f>IF(B8461="","",INT(A8461))</f>
        <v/>
      </c>
      <c r="D8461">
        <f>IF(B8461="","",HOUR(A8461))</f>
        <v/>
      </c>
    </row>
    <row r="8462">
      <c r="A8462">
        <f>Input!A8462</f>
        <v/>
      </c>
      <c r="B8462">
        <f>IF(ISNUMBER(Input!B8462),IF(AND(Input!B8462&gt;=20,Input!B8462&lt;=700),Input!B8462,""),"")</f>
        <v/>
      </c>
      <c r="C8462">
        <f>IF(B8462="","",INT(A8462))</f>
        <v/>
      </c>
      <c r="D8462">
        <f>IF(B8462="","",HOUR(A8462))</f>
        <v/>
      </c>
    </row>
    <row r="8463">
      <c r="A8463">
        <f>Input!A8463</f>
        <v/>
      </c>
      <c r="B8463">
        <f>IF(ISNUMBER(Input!B8463),IF(AND(Input!B8463&gt;=20,Input!B8463&lt;=700),Input!B8463,""),"")</f>
        <v/>
      </c>
      <c r="C8463">
        <f>IF(B8463="","",INT(A8463))</f>
        <v/>
      </c>
      <c r="D8463">
        <f>IF(B8463="","",HOUR(A8463))</f>
        <v/>
      </c>
    </row>
    <row r="8464">
      <c r="A8464">
        <f>Input!A8464</f>
        <v/>
      </c>
      <c r="B8464">
        <f>IF(ISNUMBER(Input!B8464),IF(AND(Input!B8464&gt;=20,Input!B8464&lt;=700),Input!B8464,""),"")</f>
        <v/>
      </c>
      <c r="C8464">
        <f>IF(B8464="","",INT(A8464))</f>
        <v/>
      </c>
      <c r="D8464">
        <f>IF(B8464="","",HOUR(A8464))</f>
        <v/>
      </c>
    </row>
    <row r="8465">
      <c r="A8465">
        <f>Input!A8465</f>
        <v/>
      </c>
      <c r="B8465">
        <f>IF(ISNUMBER(Input!B8465),IF(AND(Input!B8465&gt;=20,Input!B8465&lt;=700),Input!B8465,""),"")</f>
        <v/>
      </c>
      <c r="C8465">
        <f>IF(B8465="","",INT(A8465))</f>
        <v/>
      </c>
      <c r="D8465">
        <f>IF(B8465="","",HOUR(A8465))</f>
        <v/>
      </c>
    </row>
    <row r="8466">
      <c r="A8466">
        <f>Input!A8466</f>
        <v/>
      </c>
      <c r="B8466">
        <f>IF(ISNUMBER(Input!B8466),IF(AND(Input!B8466&gt;=20,Input!B8466&lt;=700),Input!B8466,""),"")</f>
        <v/>
      </c>
      <c r="C8466">
        <f>IF(B8466="","",INT(A8466))</f>
        <v/>
      </c>
      <c r="D8466">
        <f>IF(B8466="","",HOUR(A8466))</f>
        <v/>
      </c>
    </row>
    <row r="8467">
      <c r="A8467">
        <f>Input!A8467</f>
        <v/>
      </c>
      <c r="B8467">
        <f>IF(ISNUMBER(Input!B8467),IF(AND(Input!B8467&gt;=20,Input!B8467&lt;=700),Input!B8467,""),"")</f>
        <v/>
      </c>
      <c r="C8467">
        <f>IF(B8467="","",INT(A8467))</f>
        <v/>
      </c>
      <c r="D8467">
        <f>IF(B8467="","",HOUR(A8467))</f>
        <v/>
      </c>
    </row>
    <row r="8468">
      <c r="A8468">
        <f>Input!A8468</f>
        <v/>
      </c>
      <c r="B8468">
        <f>IF(ISNUMBER(Input!B8468),IF(AND(Input!B8468&gt;=20,Input!B8468&lt;=700),Input!B8468,""),"")</f>
        <v/>
      </c>
      <c r="C8468">
        <f>IF(B8468="","",INT(A8468))</f>
        <v/>
      </c>
      <c r="D8468">
        <f>IF(B8468="","",HOUR(A8468))</f>
        <v/>
      </c>
    </row>
    <row r="8469">
      <c r="A8469">
        <f>Input!A8469</f>
        <v/>
      </c>
      <c r="B8469">
        <f>IF(ISNUMBER(Input!B8469),IF(AND(Input!B8469&gt;=20,Input!B8469&lt;=700),Input!B8469,""),"")</f>
        <v/>
      </c>
      <c r="C8469">
        <f>IF(B8469="","",INT(A8469))</f>
        <v/>
      </c>
      <c r="D8469">
        <f>IF(B8469="","",HOUR(A8469))</f>
        <v/>
      </c>
    </row>
    <row r="8470">
      <c r="A8470">
        <f>Input!A8470</f>
        <v/>
      </c>
      <c r="B8470">
        <f>IF(ISNUMBER(Input!B8470),IF(AND(Input!B8470&gt;=20,Input!B8470&lt;=700),Input!B8470,""),"")</f>
        <v/>
      </c>
      <c r="C8470">
        <f>IF(B8470="","",INT(A8470))</f>
        <v/>
      </c>
      <c r="D8470">
        <f>IF(B8470="","",HOUR(A8470))</f>
        <v/>
      </c>
    </row>
    <row r="8471">
      <c r="A8471">
        <f>Input!A8471</f>
        <v/>
      </c>
      <c r="B8471">
        <f>IF(ISNUMBER(Input!B8471),IF(AND(Input!B8471&gt;=20,Input!B8471&lt;=700),Input!B8471,""),"")</f>
        <v/>
      </c>
      <c r="C8471">
        <f>IF(B8471="","",INT(A8471))</f>
        <v/>
      </c>
      <c r="D8471">
        <f>IF(B8471="","",HOUR(A8471))</f>
        <v/>
      </c>
    </row>
    <row r="8472">
      <c r="A8472">
        <f>Input!A8472</f>
        <v/>
      </c>
      <c r="B8472">
        <f>IF(ISNUMBER(Input!B8472),IF(AND(Input!B8472&gt;=20,Input!B8472&lt;=700),Input!B8472,""),"")</f>
        <v/>
      </c>
      <c r="C8472">
        <f>IF(B8472="","",INT(A8472))</f>
        <v/>
      </c>
      <c r="D8472">
        <f>IF(B8472="","",HOUR(A8472))</f>
        <v/>
      </c>
    </row>
    <row r="8473">
      <c r="A8473">
        <f>Input!A8473</f>
        <v/>
      </c>
      <c r="B8473">
        <f>IF(ISNUMBER(Input!B8473),IF(AND(Input!B8473&gt;=20,Input!B8473&lt;=700),Input!B8473,""),"")</f>
        <v/>
      </c>
      <c r="C8473">
        <f>IF(B8473="","",INT(A8473))</f>
        <v/>
      </c>
      <c r="D8473">
        <f>IF(B8473="","",HOUR(A8473))</f>
        <v/>
      </c>
    </row>
    <row r="8474">
      <c r="A8474">
        <f>Input!A8474</f>
        <v/>
      </c>
      <c r="B8474">
        <f>IF(ISNUMBER(Input!B8474),IF(AND(Input!B8474&gt;=20,Input!B8474&lt;=700),Input!B8474,""),"")</f>
        <v/>
      </c>
      <c r="C8474">
        <f>IF(B8474="","",INT(A8474))</f>
        <v/>
      </c>
      <c r="D8474">
        <f>IF(B8474="","",HOUR(A8474))</f>
        <v/>
      </c>
    </row>
    <row r="8475">
      <c r="A8475">
        <f>Input!A8475</f>
        <v/>
      </c>
      <c r="B8475">
        <f>IF(ISNUMBER(Input!B8475),IF(AND(Input!B8475&gt;=20,Input!B8475&lt;=700),Input!B8475,""),"")</f>
        <v/>
      </c>
      <c r="C8475">
        <f>IF(B8475="","",INT(A8475))</f>
        <v/>
      </c>
      <c r="D8475">
        <f>IF(B8475="","",HOUR(A8475))</f>
        <v/>
      </c>
    </row>
    <row r="8476">
      <c r="A8476">
        <f>Input!A8476</f>
        <v/>
      </c>
      <c r="B8476">
        <f>IF(ISNUMBER(Input!B8476),IF(AND(Input!B8476&gt;=20,Input!B8476&lt;=700),Input!B8476,""),"")</f>
        <v/>
      </c>
      <c r="C8476">
        <f>IF(B8476="","",INT(A8476))</f>
        <v/>
      </c>
      <c r="D8476">
        <f>IF(B8476="","",HOUR(A8476))</f>
        <v/>
      </c>
    </row>
    <row r="8477">
      <c r="A8477">
        <f>Input!A8477</f>
        <v/>
      </c>
      <c r="B8477">
        <f>IF(ISNUMBER(Input!B8477),IF(AND(Input!B8477&gt;=20,Input!B8477&lt;=700),Input!B8477,""),"")</f>
        <v/>
      </c>
      <c r="C8477">
        <f>IF(B8477="","",INT(A8477))</f>
        <v/>
      </c>
      <c r="D8477">
        <f>IF(B8477="","",HOUR(A8477))</f>
        <v/>
      </c>
    </row>
    <row r="8478">
      <c r="A8478">
        <f>Input!A8478</f>
        <v/>
      </c>
      <c r="B8478">
        <f>IF(ISNUMBER(Input!B8478),IF(AND(Input!B8478&gt;=20,Input!B8478&lt;=700),Input!B8478,""),"")</f>
        <v/>
      </c>
      <c r="C8478">
        <f>IF(B8478="","",INT(A8478))</f>
        <v/>
      </c>
      <c r="D8478">
        <f>IF(B8478="","",HOUR(A8478))</f>
        <v/>
      </c>
    </row>
    <row r="8479">
      <c r="A8479">
        <f>Input!A8479</f>
        <v/>
      </c>
      <c r="B8479">
        <f>IF(ISNUMBER(Input!B8479),IF(AND(Input!B8479&gt;=20,Input!B8479&lt;=700),Input!B8479,""),"")</f>
        <v/>
      </c>
      <c r="C8479">
        <f>IF(B8479="","",INT(A8479))</f>
        <v/>
      </c>
      <c r="D8479">
        <f>IF(B8479="","",HOUR(A8479))</f>
        <v/>
      </c>
    </row>
    <row r="8480">
      <c r="A8480">
        <f>Input!A8480</f>
        <v/>
      </c>
      <c r="B8480">
        <f>IF(ISNUMBER(Input!B8480),IF(AND(Input!B8480&gt;=20,Input!B8480&lt;=700),Input!B8480,""),"")</f>
        <v/>
      </c>
      <c r="C8480">
        <f>IF(B8480="","",INT(A8480))</f>
        <v/>
      </c>
      <c r="D8480">
        <f>IF(B8480="","",HOUR(A8480))</f>
        <v/>
      </c>
    </row>
    <row r="8481">
      <c r="A8481">
        <f>Input!A8481</f>
        <v/>
      </c>
      <c r="B8481">
        <f>IF(ISNUMBER(Input!B8481),IF(AND(Input!B8481&gt;=20,Input!B8481&lt;=700),Input!B8481,""),"")</f>
        <v/>
      </c>
      <c r="C8481">
        <f>IF(B8481="","",INT(A8481))</f>
        <v/>
      </c>
      <c r="D8481">
        <f>IF(B8481="","",HOUR(A8481))</f>
        <v/>
      </c>
    </row>
    <row r="8482">
      <c r="A8482">
        <f>Input!A8482</f>
        <v/>
      </c>
      <c r="B8482">
        <f>IF(ISNUMBER(Input!B8482),IF(AND(Input!B8482&gt;=20,Input!B8482&lt;=700),Input!B8482,""),"")</f>
        <v/>
      </c>
      <c r="C8482">
        <f>IF(B8482="","",INT(A8482))</f>
        <v/>
      </c>
      <c r="D8482">
        <f>IF(B8482="","",HOUR(A8482))</f>
        <v/>
      </c>
    </row>
    <row r="8483">
      <c r="A8483">
        <f>Input!A8483</f>
        <v/>
      </c>
      <c r="B8483">
        <f>IF(ISNUMBER(Input!B8483),IF(AND(Input!B8483&gt;=20,Input!B8483&lt;=700),Input!B8483,""),"")</f>
        <v/>
      </c>
      <c r="C8483">
        <f>IF(B8483="","",INT(A8483))</f>
        <v/>
      </c>
      <c r="D8483">
        <f>IF(B8483="","",HOUR(A8483))</f>
        <v/>
      </c>
    </row>
    <row r="8484">
      <c r="A8484">
        <f>Input!A8484</f>
        <v/>
      </c>
      <c r="B8484">
        <f>IF(ISNUMBER(Input!B8484),IF(AND(Input!B8484&gt;=20,Input!B8484&lt;=700),Input!B8484,""),"")</f>
        <v/>
      </c>
      <c r="C8484">
        <f>IF(B8484="","",INT(A8484))</f>
        <v/>
      </c>
      <c r="D8484">
        <f>IF(B8484="","",HOUR(A8484))</f>
        <v/>
      </c>
    </row>
    <row r="8485">
      <c r="A8485">
        <f>Input!A8485</f>
        <v/>
      </c>
      <c r="B8485">
        <f>IF(ISNUMBER(Input!B8485),IF(AND(Input!B8485&gt;=20,Input!B8485&lt;=700),Input!B8485,""),"")</f>
        <v/>
      </c>
      <c r="C8485">
        <f>IF(B8485="","",INT(A8485))</f>
        <v/>
      </c>
      <c r="D8485">
        <f>IF(B8485="","",HOUR(A8485))</f>
        <v/>
      </c>
    </row>
    <row r="8486">
      <c r="A8486">
        <f>Input!A8486</f>
        <v/>
      </c>
      <c r="B8486">
        <f>IF(ISNUMBER(Input!B8486),IF(AND(Input!B8486&gt;=20,Input!B8486&lt;=700),Input!B8486,""),"")</f>
        <v/>
      </c>
      <c r="C8486">
        <f>IF(B8486="","",INT(A8486))</f>
        <v/>
      </c>
      <c r="D8486">
        <f>IF(B8486="","",HOUR(A8486))</f>
        <v/>
      </c>
    </row>
    <row r="8487">
      <c r="A8487">
        <f>Input!A8487</f>
        <v/>
      </c>
      <c r="B8487">
        <f>IF(ISNUMBER(Input!B8487),IF(AND(Input!B8487&gt;=20,Input!B8487&lt;=700),Input!B8487,""),"")</f>
        <v/>
      </c>
      <c r="C8487">
        <f>IF(B8487="","",INT(A8487))</f>
        <v/>
      </c>
      <c r="D8487">
        <f>IF(B8487="","",HOUR(A8487))</f>
        <v/>
      </c>
    </row>
    <row r="8488">
      <c r="A8488">
        <f>Input!A8488</f>
        <v/>
      </c>
      <c r="B8488">
        <f>IF(ISNUMBER(Input!B8488),IF(AND(Input!B8488&gt;=20,Input!B8488&lt;=700),Input!B8488,""),"")</f>
        <v/>
      </c>
      <c r="C8488">
        <f>IF(B8488="","",INT(A8488))</f>
        <v/>
      </c>
      <c r="D8488">
        <f>IF(B8488="","",HOUR(A8488))</f>
        <v/>
      </c>
    </row>
    <row r="8489">
      <c r="A8489">
        <f>Input!A8489</f>
        <v/>
      </c>
      <c r="B8489">
        <f>IF(ISNUMBER(Input!B8489),IF(AND(Input!B8489&gt;=20,Input!B8489&lt;=700),Input!B8489,""),"")</f>
        <v/>
      </c>
      <c r="C8489">
        <f>IF(B8489="","",INT(A8489))</f>
        <v/>
      </c>
      <c r="D8489">
        <f>IF(B8489="","",HOUR(A8489))</f>
        <v/>
      </c>
    </row>
    <row r="8490">
      <c r="A8490">
        <f>Input!A8490</f>
        <v/>
      </c>
      <c r="B8490">
        <f>IF(ISNUMBER(Input!B8490),IF(AND(Input!B8490&gt;=20,Input!B8490&lt;=700),Input!B8490,""),"")</f>
        <v/>
      </c>
      <c r="C8490">
        <f>IF(B8490="","",INT(A8490))</f>
        <v/>
      </c>
      <c r="D8490">
        <f>IF(B8490="","",HOUR(A8490))</f>
        <v/>
      </c>
    </row>
    <row r="8491">
      <c r="A8491">
        <f>Input!A8491</f>
        <v/>
      </c>
      <c r="B8491">
        <f>IF(ISNUMBER(Input!B8491),IF(AND(Input!B8491&gt;=20,Input!B8491&lt;=700),Input!B8491,""),"")</f>
        <v/>
      </c>
      <c r="C8491">
        <f>IF(B8491="","",INT(A8491))</f>
        <v/>
      </c>
      <c r="D8491">
        <f>IF(B8491="","",HOUR(A8491))</f>
        <v/>
      </c>
    </row>
    <row r="8492">
      <c r="A8492">
        <f>Input!A8492</f>
        <v/>
      </c>
      <c r="B8492">
        <f>IF(ISNUMBER(Input!B8492),IF(AND(Input!B8492&gt;=20,Input!B8492&lt;=700),Input!B8492,""),"")</f>
        <v/>
      </c>
      <c r="C8492">
        <f>IF(B8492="","",INT(A8492))</f>
        <v/>
      </c>
      <c r="D8492">
        <f>IF(B8492="","",HOUR(A8492))</f>
        <v/>
      </c>
    </row>
    <row r="8493">
      <c r="A8493">
        <f>Input!A8493</f>
        <v/>
      </c>
      <c r="B8493">
        <f>IF(ISNUMBER(Input!B8493),IF(AND(Input!B8493&gt;=20,Input!B8493&lt;=700),Input!B8493,""),"")</f>
        <v/>
      </c>
      <c r="C8493">
        <f>IF(B8493="","",INT(A8493))</f>
        <v/>
      </c>
      <c r="D8493">
        <f>IF(B8493="","",HOUR(A8493))</f>
        <v/>
      </c>
    </row>
    <row r="8494">
      <c r="A8494">
        <f>Input!A8494</f>
        <v/>
      </c>
      <c r="B8494">
        <f>IF(ISNUMBER(Input!B8494),IF(AND(Input!B8494&gt;=20,Input!B8494&lt;=700),Input!B8494,""),"")</f>
        <v/>
      </c>
      <c r="C8494">
        <f>IF(B8494="","",INT(A8494))</f>
        <v/>
      </c>
      <c r="D8494">
        <f>IF(B8494="","",HOUR(A8494))</f>
        <v/>
      </c>
    </row>
    <row r="8495">
      <c r="A8495">
        <f>Input!A8495</f>
        <v/>
      </c>
      <c r="B8495">
        <f>IF(ISNUMBER(Input!B8495),IF(AND(Input!B8495&gt;=20,Input!B8495&lt;=700),Input!B8495,""),"")</f>
        <v/>
      </c>
      <c r="C8495">
        <f>IF(B8495="","",INT(A8495))</f>
        <v/>
      </c>
      <c r="D8495">
        <f>IF(B8495="","",HOUR(A8495))</f>
        <v/>
      </c>
    </row>
    <row r="8496">
      <c r="A8496">
        <f>Input!A8496</f>
        <v/>
      </c>
      <c r="B8496">
        <f>IF(ISNUMBER(Input!B8496),IF(AND(Input!B8496&gt;=20,Input!B8496&lt;=700),Input!B8496,""),"")</f>
        <v/>
      </c>
      <c r="C8496">
        <f>IF(B8496="","",INT(A8496))</f>
        <v/>
      </c>
      <c r="D8496">
        <f>IF(B8496="","",HOUR(A8496))</f>
        <v/>
      </c>
    </row>
    <row r="8497">
      <c r="A8497">
        <f>Input!A8497</f>
        <v/>
      </c>
      <c r="B8497">
        <f>IF(ISNUMBER(Input!B8497),IF(AND(Input!B8497&gt;=20,Input!B8497&lt;=700),Input!B8497,""),"")</f>
        <v/>
      </c>
      <c r="C8497">
        <f>IF(B8497="","",INT(A8497))</f>
        <v/>
      </c>
      <c r="D8497">
        <f>IF(B8497="","",HOUR(A8497))</f>
        <v/>
      </c>
    </row>
    <row r="8498">
      <c r="A8498">
        <f>Input!A8498</f>
        <v/>
      </c>
      <c r="B8498">
        <f>IF(ISNUMBER(Input!B8498),IF(AND(Input!B8498&gt;=20,Input!B8498&lt;=700),Input!B8498,""),"")</f>
        <v/>
      </c>
      <c r="C8498">
        <f>IF(B8498="","",INT(A8498))</f>
        <v/>
      </c>
      <c r="D8498">
        <f>IF(B8498="","",HOUR(A8498))</f>
        <v/>
      </c>
    </row>
    <row r="8499">
      <c r="A8499">
        <f>Input!A8499</f>
        <v/>
      </c>
      <c r="B8499">
        <f>IF(ISNUMBER(Input!B8499),IF(AND(Input!B8499&gt;=20,Input!B8499&lt;=700),Input!B8499,""),"")</f>
        <v/>
      </c>
      <c r="C8499">
        <f>IF(B8499="","",INT(A8499))</f>
        <v/>
      </c>
      <c r="D8499">
        <f>IF(B8499="","",HOUR(A8499))</f>
        <v/>
      </c>
    </row>
    <row r="8500">
      <c r="A8500">
        <f>Input!A8500</f>
        <v/>
      </c>
      <c r="B8500">
        <f>IF(ISNUMBER(Input!B8500),IF(AND(Input!B8500&gt;=20,Input!B8500&lt;=700),Input!B8500,""),"")</f>
        <v/>
      </c>
      <c r="C8500">
        <f>IF(B8500="","",INT(A8500))</f>
        <v/>
      </c>
      <c r="D8500">
        <f>IF(B8500="","",HOUR(A8500))</f>
        <v/>
      </c>
    </row>
    <row r="8501">
      <c r="A8501">
        <f>Input!A8501</f>
        <v/>
      </c>
      <c r="B8501">
        <f>IF(ISNUMBER(Input!B8501),IF(AND(Input!B8501&gt;=20,Input!B8501&lt;=700),Input!B8501,""),"")</f>
        <v/>
      </c>
      <c r="C8501">
        <f>IF(B8501="","",INT(A8501))</f>
        <v/>
      </c>
      <c r="D8501">
        <f>IF(B8501="","",HOUR(A8501))</f>
        <v/>
      </c>
    </row>
    <row r="8502">
      <c r="A8502">
        <f>Input!A8502</f>
        <v/>
      </c>
      <c r="B8502">
        <f>IF(ISNUMBER(Input!B8502),IF(AND(Input!B8502&gt;=20,Input!B8502&lt;=700),Input!B8502,""),"")</f>
        <v/>
      </c>
      <c r="C8502">
        <f>IF(B8502="","",INT(A8502))</f>
        <v/>
      </c>
      <c r="D8502">
        <f>IF(B8502="","",HOUR(A8502))</f>
        <v/>
      </c>
    </row>
    <row r="8503">
      <c r="A8503">
        <f>Input!A8503</f>
        <v/>
      </c>
      <c r="B8503">
        <f>IF(ISNUMBER(Input!B8503),IF(AND(Input!B8503&gt;=20,Input!B8503&lt;=700),Input!B8503,""),"")</f>
        <v/>
      </c>
      <c r="C8503">
        <f>IF(B8503="","",INT(A8503))</f>
        <v/>
      </c>
      <c r="D8503">
        <f>IF(B8503="","",HOUR(A8503))</f>
        <v/>
      </c>
    </row>
    <row r="8504">
      <c r="A8504">
        <f>Input!A8504</f>
        <v/>
      </c>
      <c r="B8504">
        <f>IF(ISNUMBER(Input!B8504),IF(AND(Input!B8504&gt;=20,Input!B8504&lt;=700),Input!B8504,""),"")</f>
        <v/>
      </c>
      <c r="C8504">
        <f>IF(B8504="","",INT(A8504))</f>
        <v/>
      </c>
      <c r="D8504">
        <f>IF(B8504="","",HOUR(A8504))</f>
        <v/>
      </c>
    </row>
    <row r="8505">
      <c r="A8505">
        <f>Input!A8505</f>
        <v/>
      </c>
      <c r="B8505">
        <f>IF(ISNUMBER(Input!B8505),IF(AND(Input!B8505&gt;=20,Input!B8505&lt;=700),Input!B8505,""),"")</f>
        <v/>
      </c>
      <c r="C8505">
        <f>IF(B8505="","",INT(A8505))</f>
        <v/>
      </c>
      <c r="D8505">
        <f>IF(B8505="","",HOUR(A8505))</f>
        <v/>
      </c>
    </row>
    <row r="8506">
      <c r="A8506">
        <f>Input!A8506</f>
        <v/>
      </c>
      <c r="B8506">
        <f>IF(ISNUMBER(Input!B8506),IF(AND(Input!B8506&gt;=20,Input!B8506&lt;=700),Input!B8506,""),"")</f>
        <v/>
      </c>
      <c r="C8506">
        <f>IF(B8506="","",INT(A8506))</f>
        <v/>
      </c>
      <c r="D8506">
        <f>IF(B8506="","",HOUR(A8506))</f>
        <v/>
      </c>
    </row>
    <row r="8507">
      <c r="A8507">
        <f>Input!A8507</f>
        <v/>
      </c>
      <c r="B8507">
        <f>IF(ISNUMBER(Input!B8507),IF(AND(Input!B8507&gt;=20,Input!B8507&lt;=700),Input!B8507,""),"")</f>
        <v/>
      </c>
      <c r="C8507">
        <f>IF(B8507="","",INT(A8507))</f>
        <v/>
      </c>
      <c r="D8507">
        <f>IF(B8507="","",HOUR(A8507))</f>
        <v/>
      </c>
    </row>
    <row r="8508">
      <c r="A8508">
        <f>Input!A8508</f>
        <v/>
      </c>
      <c r="B8508">
        <f>IF(ISNUMBER(Input!B8508),IF(AND(Input!B8508&gt;=20,Input!B8508&lt;=700),Input!B8508,""),"")</f>
        <v/>
      </c>
      <c r="C8508">
        <f>IF(B8508="","",INT(A8508))</f>
        <v/>
      </c>
      <c r="D8508">
        <f>IF(B8508="","",HOUR(A8508))</f>
        <v/>
      </c>
    </row>
    <row r="8509">
      <c r="A8509">
        <f>Input!A8509</f>
        <v/>
      </c>
      <c r="B8509">
        <f>IF(ISNUMBER(Input!B8509),IF(AND(Input!B8509&gt;=20,Input!B8509&lt;=700),Input!B8509,""),"")</f>
        <v/>
      </c>
      <c r="C8509">
        <f>IF(B8509="","",INT(A8509))</f>
        <v/>
      </c>
      <c r="D8509">
        <f>IF(B8509="","",HOUR(A8509))</f>
        <v/>
      </c>
    </row>
    <row r="8510">
      <c r="A8510">
        <f>Input!A8510</f>
        <v/>
      </c>
      <c r="B8510">
        <f>IF(ISNUMBER(Input!B8510),IF(AND(Input!B8510&gt;=20,Input!B8510&lt;=700),Input!B8510,""),"")</f>
        <v/>
      </c>
      <c r="C8510">
        <f>IF(B8510="","",INT(A8510))</f>
        <v/>
      </c>
      <c r="D8510">
        <f>IF(B8510="","",HOUR(A8510))</f>
        <v/>
      </c>
    </row>
    <row r="8511">
      <c r="A8511">
        <f>Input!A8511</f>
        <v/>
      </c>
      <c r="B8511">
        <f>IF(ISNUMBER(Input!B8511),IF(AND(Input!B8511&gt;=20,Input!B8511&lt;=700),Input!B8511,""),"")</f>
        <v/>
      </c>
      <c r="C8511">
        <f>IF(B8511="","",INT(A8511))</f>
        <v/>
      </c>
      <c r="D8511">
        <f>IF(B8511="","",HOUR(A8511))</f>
        <v/>
      </c>
    </row>
    <row r="8512">
      <c r="A8512">
        <f>Input!A8512</f>
        <v/>
      </c>
      <c r="B8512">
        <f>IF(ISNUMBER(Input!B8512),IF(AND(Input!B8512&gt;=20,Input!B8512&lt;=700),Input!B8512,""),"")</f>
        <v/>
      </c>
      <c r="C8512">
        <f>IF(B8512="","",INT(A8512))</f>
        <v/>
      </c>
      <c r="D8512">
        <f>IF(B8512="","",HOUR(A8512))</f>
        <v/>
      </c>
    </row>
    <row r="8513">
      <c r="A8513">
        <f>Input!A8513</f>
        <v/>
      </c>
      <c r="B8513">
        <f>IF(ISNUMBER(Input!B8513),IF(AND(Input!B8513&gt;=20,Input!B8513&lt;=700),Input!B8513,""),"")</f>
        <v/>
      </c>
      <c r="C8513">
        <f>IF(B8513="","",INT(A8513))</f>
        <v/>
      </c>
      <c r="D8513">
        <f>IF(B8513="","",HOUR(A8513))</f>
        <v/>
      </c>
    </row>
    <row r="8514">
      <c r="A8514">
        <f>Input!A8514</f>
        <v/>
      </c>
      <c r="B8514">
        <f>IF(ISNUMBER(Input!B8514),IF(AND(Input!B8514&gt;=20,Input!B8514&lt;=700),Input!B8514,""),"")</f>
        <v/>
      </c>
      <c r="C8514">
        <f>IF(B8514="","",INT(A8514))</f>
        <v/>
      </c>
      <c r="D8514">
        <f>IF(B8514="","",HOUR(A8514))</f>
        <v/>
      </c>
    </row>
    <row r="8515">
      <c r="A8515">
        <f>Input!A8515</f>
        <v/>
      </c>
      <c r="B8515">
        <f>IF(ISNUMBER(Input!B8515),IF(AND(Input!B8515&gt;=20,Input!B8515&lt;=700),Input!B8515,""),"")</f>
        <v/>
      </c>
      <c r="C8515">
        <f>IF(B8515="","",INT(A8515))</f>
        <v/>
      </c>
      <c r="D8515">
        <f>IF(B8515="","",HOUR(A8515))</f>
        <v/>
      </c>
    </row>
    <row r="8516">
      <c r="A8516">
        <f>Input!A8516</f>
        <v/>
      </c>
      <c r="B8516">
        <f>IF(ISNUMBER(Input!B8516),IF(AND(Input!B8516&gt;=20,Input!B8516&lt;=700),Input!B8516,""),"")</f>
        <v/>
      </c>
      <c r="C8516">
        <f>IF(B8516="","",INT(A8516))</f>
        <v/>
      </c>
      <c r="D8516">
        <f>IF(B8516="","",HOUR(A8516))</f>
        <v/>
      </c>
    </row>
    <row r="8517">
      <c r="A8517">
        <f>Input!A8517</f>
        <v/>
      </c>
      <c r="B8517">
        <f>IF(ISNUMBER(Input!B8517),IF(AND(Input!B8517&gt;=20,Input!B8517&lt;=700),Input!B8517,""),"")</f>
        <v/>
      </c>
      <c r="C8517">
        <f>IF(B8517="","",INT(A8517))</f>
        <v/>
      </c>
      <c r="D8517">
        <f>IF(B8517="","",HOUR(A8517))</f>
        <v/>
      </c>
    </row>
    <row r="8518">
      <c r="A8518">
        <f>Input!A8518</f>
        <v/>
      </c>
      <c r="B8518">
        <f>IF(ISNUMBER(Input!B8518),IF(AND(Input!B8518&gt;=20,Input!B8518&lt;=700),Input!B8518,""),"")</f>
        <v/>
      </c>
      <c r="C8518">
        <f>IF(B8518="","",INT(A8518))</f>
        <v/>
      </c>
      <c r="D8518">
        <f>IF(B8518="","",HOUR(A8518))</f>
        <v/>
      </c>
    </row>
    <row r="8519">
      <c r="A8519">
        <f>Input!A8519</f>
        <v/>
      </c>
      <c r="B8519">
        <f>IF(ISNUMBER(Input!B8519),IF(AND(Input!B8519&gt;=20,Input!B8519&lt;=700),Input!B8519,""),"")</f>
        <v/>
      </c>
      <c r="C8519">
        <f>IF(B8519="","",INT(A8519))</f>
        <v/>
      </c>
      <c r="D8519">
        <f>IF(B8519="","",HOUR(A8519))</f>
        <v/>
      </c>
    </row>
    <row r="8520">
      <c r="A8520">
        <f>Input!A8520</f>
        <v/>
      </c>
      <c r="B8520">
        <f>IF(ISNUMBER(Input!B8520),IF(AND(Input!B8520&gt;=20,Input!B8520&lt;=700),Input!B8520,""),"")</f>
        <v/>
      </c>
      <c r="C8520">
        <f>IF(B8520="","",INT(A8520))</f>
        <v/>
      </c>
      <c r="D8520">
        <f>IF(B8520="","",HOUR(A8520))</f>
        <v/>
      </c>
    </row>
    <row r="8521">
      <c r="A8521">
        <f>Input!A8521</f>
        <v/>
      </c>
      <c r="B8521">
        <f>IF(ISNUMBER(Input!B8521),IF(AND(Input!B8521&gt;=20,Input!B8521&lt;=700),Input!B8521,""),"")</f>
        <v/>
      </c>
      <c r="C8521">
        <f>IF(B8521="","",INT(A8521))</f>
        <v/>
      </c>
      <c r="D8521">
        <f>IF(B8521="","",HOUR(A8521))</f>
        <v/>
      </c>
    </row>
    <row r="8522">
      <c r="A8522">
        <f>Input!A8522</f>
        <v/>
      </c>
      <c r="B8522">
        <f>IF(ISNUMBER(Input!B8522),IF(AND(Input!B8522&gt;=20,Input!B8522&lt;=700),Input!B8522,""),"")</f>
        <v/>
      </c>
      <c r="C8522">
        <f>IF(B8522="","",INT(A8522))</f>
        <v/>
      </c>
      <c r="D8522">
        <f>IF(B8522="","",HOUR(A8522))</f>
        <v/>
      </c>
    </row>
    <row r="8523">
      <c r="A8523">
        <f>Input!A8523</f>
        <v/>
      </c>
      <c r="B8523">
        <f>IF(ISNUMBER(Input!B8523),IF(AND(Input!B8523&gt;=20,Input!B8523&lt;=700),Input!B8523,""),"")</f>
        <v/>
      </c>
      <c r="C8523">
        <f>IF(B8523="","",INT(A8523))</f>
        <v/>
      </c>
      <c r="D8523">
        <f>IF(B8523="","",HOUR(A8523))</f>
        <v/>
      </c>
    </row>
    <row r="8524">
      <c r="A8524">
        <f>Input!A8524</f>
        <v/>
      </c>
      <c r="B8524">
        <f>IF(ISNUMBER(Input!B8524),IF(AND(Input!B8524&gt;=20,Input!B8524&lt;=700),Input!B8524,""),"")</f>
        <v/>
      </c>
      <c r="C8524">
        <f>IF(B8524="","",INT(A8524))</f>
        <v/>
      </c>
      <c r="D8524">
        <f>IF(B8524="","",HOUR(A8524))</f>
        <v/>
      </c>
    </row>
    <row r="8525">
      <c r="A8525">
        <f>Input!A8525</f>
        <v/>
      </c>
      <c r="B8525">
        <f>IF(ISNUMBER(Input!B8525),IF(AND(Input!B8525&gt;=20,Input!B8525&lt;=700),Input!B8525,""),"")</f>
        <v/>
      </c>
      <c r="C8525">
        <f>IF(B8525="","",INT(A8525))</f>
        <v/>
      </c>
      <c r="D8525">
        <f>IF(B8525="","",HOUR(A8525))</f>
        <v/>
      </c>
    </row>
    <row r="8526">
      <c r="A8526">
        <f>Input!A8526</f>
        <v/>
      </c>
      <c r="B8526">
        <f>IF(ISNUMBER(Input!B8526),IF(AND(Input!B8526&gt;=20,Input!B8526&lt;=700),Input!B8526,""),"")</f>
        <v/>
      </c>
      <c r="C8526">
        <f>IF(B8526="","",INT(A8526))</f>
        <v/>
      </c>
      <c r="D8526">
        <f>IF(B8526="","",HOUR(A8526))</f>
        <v/>
      </c>
    </row>
    <row r="8527">
      <c r="A8527">
        <f>Input!A8527</f>
        <v/>
      </c>
      <c r="B8527">
        <f>IF(ISNUMBER(Input!B8527),IF(AND(Input!B8527&gt;=20,Input!B8527&lt;=700),Input!B8527,""),"")</f>
        <v/>
      </c>
      <c r="C8527">
        <f>IF(B8527="","",INT(A8527))</f>
        <v/>
      </c>
      <c r="D8527">
        <f>IF(B8527="","",HOUR(A8527))</f>
        <v/>
      </c>
    </row>
    <row r="8528">
      <c r="A8528">
        <f>Input!A8528</f>
        <v/>
      </c>
      <c r="B8528">
        <f>IF(ISNUMBER(Input!B8528),IF(AND(Input!B8528&gt;=20,Input!B8528&lt;=700),Input!B8528,""),"")</f>
        <v/>
      </c>
      <c r="C8528">
        <f>IF(B8528="","",INT(A8528))</f>
        <v/>
      </c>
      <c r="D8528">
        <f>IF(B8528="","",HOUR(A8528))</f>
        <v/>
      </c>
    </row>
    <row r="8529">
      <c r="A8529">
        <f>Input!A8529</f>
        <v/>
      </c>
      <c r="B8529">
        <f>IF(ISNUMBER(Input!B8529),IF(AND(Input!B8529&gt;=20,Input!B8529&lt;=700),Input!B8529,""),"")</f>
        <v/>
      </c>
      <c r="C8529">
        <f>IF(B8529="","",INT(A8529))</f>
        <v/>
      </c>
      <c r="D8529">
        <f>IF(B8529="","",HOUR(A8529))</f>
        <v/>
      </c>
    </row>
    <row r="8530">
      <c r="A8530">
        <f>Input!A8530</f>
        <v/>
      </c>
      <c r="B8530">
        <f>IF(ISNUMBER(Input!B8530),IF(AND(Input!B8530&gt;=20,Input!B8530&lt;=700),Input!B8530,""),"")</f>
        <v/>
      </c>
      <c r="C8530">
        <f>IF(B8530="","",INT(A8530))</f>
        <v/>
      </c>
      <c r="D8530">
        <f>IF(B8530="","",HOUR(A8530))</f>
        <v/>
      </c>
    </row>
    <row r="8531">
      <c r="A8531">
        <f>Input!A8531</f>
        <v/>
      </c>
      <c r="B8531">
        <f>IF(ISNUMBER(Input!B8531),IF(AND(Input!B8531&gt;=20,Input!B8531&lt;=700),Input!B8531,""),"")</f>
        <v/>
      </c>
      <c r="C8531">
        <f>IF(B8531="","",INT(A8531))</f>
        <v/>
      </c>
      <c r="D8531">
        <f>IF(B8531="","",HOUR(A8531))</f>
        <v/>
      </c>
    </row>
    <row r="8532">
      <c r="A8532">
        <f>Input!A8532</f>
        <v/>
      </c>
      <c r="B8532">
        <f>IF(ISNUMBER(Input!B8532),IF(AND(Input!B8532&gt;=20,Input!B8532&lt;=700),Input!B8532,""),"")</f>
        <v/>
      </c>
      <c r="C8532">
        <f>IF(B8532="","",INT(A8532))</f>
        <v/>
      </c>
      <c r="D8532">
        <f>IF(B8532="","",HOUR(A8532))</f>
        <v/>
      </c>
    </row>
    <row r="8533">
      <c r="A8533">
        <f>Input!A8533</f>
        <v/>
      </c>
      <c r="B8533">
        <f>IF(ISNUMBER(Input!B8533),IF(AND(Input!B8533&gt;=20,Input!B8533&lt;=700),Input!B8533,""),"")</f>
        <v/>
      </c>
      <c r="C8533">
        <f>IF(B8533="","",INT(A8533))</f>
        <v/>
      </c>
      <c r="D8533">
        <f>IF(B8533="","",HOUR(A8533))</f>
        <v/>
      </c>
    </row>
    <row r="8534">
      <c r="A8534">
        <f>Input!A8534</f>
        <v/>
      </c>
      <c r="B8534">
        <f>IF(ISNUMBER(Input!B8534),IF(AND(Input!B8534&gt;=20,Input!B8534&lt;=700),Input!B8534,""),"")</f>
        <v/>
      </c>
      <c r="C8534">
        <f>IF(B8534="","",INT(A8534))</f>
        <v/>
      </c>
      <c r="D8534">
        <f>IF(B8534="","",HOUR(A8534))</f>
        <v/>
      </c>
    </row>
    <row r="8535">
      <c r="A8535">
        <f>Input!A8535</f>
        <v/>
      </c>
      <c r="B8535">
        <f>IF(ISNUMBER(Input!B8535),IF(AND(Input!B8535&gt;=20,Input!B8535&lt;=700),Input!B8535,""),"")</f>
        <v/>
      </c>
      <c r="C8535">
        <f>IF(B8535="","",INT(A8535))</f>
        <v/>
      </c>
      <c r="D8535">
        <f>IF(B8535="","",HOUR(A8535))</f>
        <v/>
      </c>
    </row>
    <row r="8536">
      <c r="A8536">
        <f>Input!A8536</f>
        <v/>
      </c>
      <c r="B8536">
        <f>IF(ISNUMBER(Input!B8536),IF(AND(Input!B8536&gt;=20,Input!B8536&lt;=700),Input!B8536,""),"")</f>
        <v/>
      </c>
      <c r="C8536">
        <f>IF(B8536="","",INT(A8536))</f>
        <v/>
      </c>
      <c r="D8536">
        <f>IF(B8536="","",HOUR(A8536))</f>
        <v/>
      </c>
    </row>
    <row r="8537">
      <c r="A8537">
        <f>Input!A8537</f>
        <v/>
      </c>
      <c r="B8537">
        <f>IF(ISNUMBER(Input!B8537),IF(AND(Input!B8537&gt;=20,Input!B8537&lt;=700),Input!B8537,""),"")</f>
        <v/>
      </c>
      <c r="C8537">
        <f>IF(B8537="","",INT(A8537))</f>
        <v/>
      </c>
      <c r="D8537">
        <f>IF(B8537="","",HOUR(A8537))</f>
        <v/>
      </c>
    </row>
    <row r="8538">
      <c r="A8538">
        <f>Input!A8538</f>
        <v/>
      </c>
      <c r="B8538">
        <f>IF(ISNUMBER(Input!B8538),IF(AND(Input!B8538&gt;=20,Input!B8538&lt;=700),Input!B8538,""),"")</f>
        <v/>
      </c>
      <c r="C8538">
        <f>IF(B8538="","",INT(A8538))</f>
        <v/>
      </c>
      <c r="D8538">
        <f>IF(B8538="","",HOUR(A8538))</f>
        <v/>
      </c>
    </row>
    <row r="8539">
      <c r="A8539">
        <f>Input!A8539</f>
        <v/>
      </c>
      <c r="B8539">
        <f>IF(ISNUMBER(Input!B8539),IF(AND(Input!B8539&gt;=20,Input!B8539&lt;=700),Input!B8539,""),"")</f>
        <v/>
      </c>
      <c r="C8539">
        <f>IF(B8539="","",INT(A8539))</f>
        <v/>
      </c>
      <c r="D8539">
        <f>IF(B8539="","",HOUR(A8539))</f>
        <v/>
      </c>
    </row>
    <row r="8540">
      <c r="A8540">
        <f>Input!A8540</f>
        <v/>
      </c>
      <c r="B8540">
        <f>IF(ISNUMBER(Input!B8540),IF(AND(Input!B8540&gt;=20,Input!B8540&lt;=700),Input!B8540,""),"")</f>
        <v/>
      </c>
      <c r="C8540">
        <f>IF(B8540="","",INT(A8540))</f>
        <v/>
      </c>
      <c r="D8540">
        <f>IF(B8540="","",HOUR(A8540))</f>
        <v/>
      </c>
    </row>
    <row r="8541">
      <c r="A8541">
        <f>Input!A8541</f>
        <v/>
      </c>
      <c r="B8541">
        <f>IF(ISNUMBER(Input!B8541),IF(AND(Input!B8541&gt;=20,Input!B8541&lt;=700),Input!B8541,""),"")</f>
        <v/>
      </c>
      <c r="C8541">
        <f>IF(B8541="","",INT(A8541))</f>
        <v/>
      </c>
      <c r="D8541">
        <f>IF(B8541="","",HOUR(A8541))</f>
        <v/>
      </c>
    </row>
    <row r="8542">
      <c r="A8542">
        <f>Input!A8542</f>
        <v/>
      </c>
      <c r="B8542">
        <f>IF(ISNUMBER(Input!B8542),IF(AND(Input!B8542&gt;=20,Input!B8542&lt;=700),Input!B8542,""),"")</f>
        <v/>
      </c>
      <c r="C8542">
        <f>IF(B8542="","",INT(A8542))</f>
        <v/>
      </c>
      <c r="D8542">
        <f>IF(B8542="","",HOUR(A8542))</f>
        <v/>
      </c>
    </row>
    <row r="8543">
      <c r="A8543">
        <f>Input!A8543</f>
        <v/>
      </c>
      <c r="B8543">
        <f>IF(ISNUMBER(Input!B8543),IF(AND(Input!B8543&gt;=20,Input!B8543&lt;=700),Input!B8543,""),"")</f>
        <v/>
      </c>
      <c r="C8543">
        <f>IF(B8543="","",INT(A8543))</f>
        <v/>
      </c>
      <c r="D8543">
        <f>IF(B8543="","",HOUR(A8543))</f>
        <v/>
      </c>
    </row>
    <row r="8544">
      <c r="A8544">
        <f>Input!A8544</f>
        <v/>
      </c>
      <c r="B8544">
        <f>IF(ISNUMBER(Input!B8544),IF(AND(Input!B8544&gt;=20,Input!B8544&lt;=700),Input!B8544,""),"")</f>
        <v/>
      </c>
      <c r="C8544">
        <f>IF(B8544="","",INT(A8544))</f>
        <v/>
      </c>
      <c r="D8544">
        <f>IF(B8544="","",HOUR(A8544))</f>
        <v/>
      </c>
    </row>
    <row r="8545">
      <c r="A8545">
        <f>Input!A8545</f>
        <v/>
      </c>
      <c r="B8545">
        <f>IF(ISNUMBER(Input!B8545),IF(AND(Input!B8545&gt;=20,Input!B8545&lt;=700),Input!B8545,""),"")</f>
        <v/>
      </c>
      <c r="C8545">
        <f>IF(B8545="","",INT(A8545))</f>
        <v/>
      </c>
      <c r="D8545">
        <f>IF(B8545="","",HOUR(A8545))</f>
        <v/>
      </c>
    </row>
    <row r="8546">
      <c r="A8546">
        <f>Input!A8546</f>
        <v/>
      </c>
      <c r="B8546">
        <f>IF(ISNUMBER(Input!B8546),IF(AND(Input!B8546&gt;=20,Input!B8546&lt;=700),Input!B8546,""),"")</f>
        <v/>
      </c>
      <c r="C8546">
        <f>IF(B8546="","",INT(A8546))</f>
        <v/>
      </c>
      <c r="D8546">
        <f>IF(B8546="","",HOUR(A8546))</f>
        <v/>
      </c>
    </row>
    <row r="8547">
      <c r="A8547">
        <f>Input!A8547</f>
        <v/>
      </c>
      <c r="B8547">
        <f>IF(ISNUMBER(Input!B8547),IF(AND(Input!B8547&gt;=20,Input!B8547&lt;=700),Input!B8547,""),"")</f>
        <v/>
      </c>
      <c r="C8547">
        <f>IF(B8547="","",INT(A8547))</f>
        <v/>
      </c>
      <c r="D8547">
        <f>IF(B8547="","",HOUR(A8547))</f>
        <v/>
      </c>
    </row>
    <row r="8548">
      <c r="A8548">
        <f>Input!A8548</f>
        <v/>
      </c>
      <c r="B8548">
        <f>IF(ISNUMBER(Input!B8548),IF(AND(Input!B8548&gt;=20,Input!B8548&lt;=700),Input!B8548,""),"")</f>
        <v/>
      </c>
      <c r="C8548">
        <f>IF(B8548="","",INT(A8548))</f>
        <v/>
      </c>
      <c r="D8548">
        <f>IF(B8548="","",HOUR(A8548))</f>
        <v/>
      </c>
    </row>
    <row r="8549">
      <c r="A8549">
        <f>Input!A8549</f>
        <v/>
      </c>
      <c r="B8549">
        <f>IF(ISNUMBER(Input!B8549),IF(AND(Input!B8549&gt;=20,Input!B8549&lt;=700),Input!B8549,""),"")</f>
        <v/>
      </c>
      <c r="C8549">
        <f>IF(B8549="","",INT(A8549))</f>
        <v/>
      </c>
      <c r="D8549">
        <f>IF(B8549="","",HOUR(A8549))</f>
        <v/>
      </c>
    </row>
    <row r="8550">
      <c r="A8550">
        <f>Input!A8550</f>
        <v/>
      </c>
      <c r="B8550">
        <f>IF(ISNUMBER(Input!B8550),IF(AND(Input!B8550&gt;=20,Input!B8550&lt;=700),Input!B8550,""),"")</f>
        <v/>
      </c>
      <c r="C8550">
        <f>IF(B8550="","",INT(A8550))</f>
        <v/>
      </c>
      <c r="D8550">
        <f>IF(B8550="","",HOUR(A8550))</f>
        <v/>
      </c>
    </row>
    <row r="8551">
      <c r="A8551">
        <f>Input!A8551</f>
        <v/>
      </c>
      <c r="B8551">
        <f>IF(ISNUMBER(Input!B8551),IF(AND(Input!B8551&gt;=20,Input!B8551&lt;=700),Input!B8551,""),"")</f>
        <v/>
      </c>
      <c r="C8551">
        <f>IF(B8551="","",INT(A8551))</f>
        <v/>
      </c>
      <c r="D8551">
        <f>IF(B8551="","",HOUR(A8551))</f>
        <v/>
      </c>
    </row>
    <row r="8552">
      <c r="A8552">
        <f>Input!A8552</f>
        <v/>
      </c>
      <c r="B8552">
        <f>IF(ISNUMBER(Input!B8552),IF(AND(Input!B8552&gt;=20,Input!B8552&lt;=700),Input!B8552,""),"")</f>
        <v/>
      </c>
      <c r="C8552">
        <f>IF(B8552="","",INT(A8552))</f>
        <v/>
      </c>
      <c r="D8552">
        <f>IF(B8552="","",HOUR(A8552))</f>
        <v/>
      </c>
    </row>
    <row r="8553">
      <c r="A8553">
        <f>Input!A8553</f>
        <v/>
      </c>
      <c r="B8553">
        <f>IF(ISNUMBER(Input!B8553),IF(AND(Input!B8553&gt;=20,Input!B8553&lt;=700),Input!B8553,""),"")</f>
        <v/>
      </c>
      <c r="C8553">
        <f>IF(B8553="","",INT(A8553))</f>
        <v/>
      </c>
      <c r="D8553">
        <f>IF(B8553="","",HOUR(A8553))</f>
        <v/>
      </c>
    </row>
    <row r="8554">
      <c r="A8554">
        <f>Input!A8554</f>
        <v/>
      </c>
      <c r="B8554">
        <f>IF(ISNUMBER(Input!B8554),IF(AND(Input!B8554&gt;=20,Input!B8554&lt;=700),Input!B8554,""),"")</f>
        <v/>
      </c>
      <c r="C8554">
        <f>IF(B8554="","",INT(A8554))</f>
        <v/>
      </c>
      <c r="D8554">
        <f>IF(B8554="","",HOUR(A8554))</f>
        <v/>
      </c>
    </row>
    <row r="8555">
      <c r="A8555">
        <f>Input!A8555</f>
        <v/>
      </c>
      <c r="B8555">
        <f>IF(ISNUMBER(Input!B8555),IF(AND(Input!B8555&gt;=20,Input!B8555&lt;=700),Input!B8555,""),"")</f>
        <v/>
      </c>
      <c r="C8555">
        <f>IF(B8555="","",INT(A8555))</f>
        <v/>
      </c>
      <c r="D8555">
        <f>IF(B8555="","",HOUR(A8555))</f>
        <v/>
      </c>
    </row>
    <row r="8556">
      <c r="A8556">
        <f>Input!A8556</f>
        <v/>
      </c>
      <c r="B8556">
        <f>IF(ISNUMBER(Input!B8556),IF(AND(Input!B8556&gt;=20,Input!B8556&lt;=700),Input!B8556,""),"")</f>
        <v/>
      </c>
      <c r="C8556">
        <f>IF(B8556="","",INT(A8556))</f>
        <v/>
      </c>
      <c r="D8556">
        <f>IF(B8556="","",HOUR(A8556))</f>
        <v/>
      </c>
    </row>
    <row r="8557">
      <c r="A8557">
        <f>Input!A8557</f>
        <v/>
      </c>
      <c r="B8557">
        <f>IF(ISNUMBER(Input!B8557),IF(AND(Input!B8557&gt;=20,Input!B8557&lt;=700),Input!B8557,""),"")</f>
        <v/>
      </c>
      <c r="C8557">
        <f>IF(B8557="","",INT(A8557))</f>
        <v/>
      </c>
      <c r="D8557">
        <f>IF(B8557="","",HOUR(A8557))</f>
        <v/>
      </c>
    </row>
    <row r="8558">
      <c r="A8558">
        <f>Input!A8558</f>
        <v/>
      </c>
      <c r="B8558">
        <f>IF(ISNUMBER(Input!B8558),IF(AND(Input!B8558&gt;=20,Input!B8558&lt;=700),Input!B8558,""),"")</f>
        <v/>
      </c>
      <c r="C8558">
        <f>IF(B8558="","",INT(A8558))</f>
        <v/>
      </c>
      <c r="D8558">
        <f>IF(B8558="","",HOUR(A8558))</f>
        <v/>
      </c>
    </row>
    <row r="8559">
      <c r="A8559">
        <f>Input!A8559</f>
        <v/>
      </c>
      <c r="B8559">
        <f>IF(ISNUMBER(Input!B8559),IF(AND(Input!B8559&gt;=20,Input!B8559&lt;=700),Input!B8559,""),"")</f>
        <v/>
      </c>
      <c r="C8559">
        <f>IF(B8559="","",INT(A8559))</f>
        <v/>
      </c>
      <c r="D8559">
        <f>IF(B8559="","",HOUR(A8559))</f>
        <v/>
      </c>
    </row>
    <row r="8560">
      <c r="A8560">
        <f>Input!A8560</f>
        <v/>
      </c>
      <c r="B8560">
        <f>IF(ISNUMBER(Input!B8560),IF(AND(Input!B8560&gt;=20,Input!B8560&lt;=700),Input!B8560,""),"")</f>
        <v/>
      </c>
      <c r="C8560">
        <f>IF(B8560="","",INT(A8560))</f>
        <v/>
      </c>
      <c r="D8560">
        <f>IF(B8560="","",HOUR(A8560))</f>
        <v/>
      </c>
    </row>
    <row r="8561">
      <c r="A8561">
        <f>Input!A8561</f>
        <v/>
      </c>
      <c r="B8561">
        <f>IF(ISNUMBER(Input!B8561),IF(AND(Input!B8561&gt;=20,Input!B8561&lt;=700),Input!B8561,""),"")</f>
        <v/>
      </c>
      <c r="C8561">
        <f>IF(B8561="","",INT(A8561))</f>
        <v/>
      </c>
      <c r="D8561">
        <f>IF(B8561="","",HOUR(A8561))</f>
        <v/>
      </c>
    </row>
    <row r="8562">
      <c r="A8562">
        <f>Input!A8562</f>
        <v/>
      </c>
      <c r="B8562">
        <f>IF(ISNUMBER(Input!B8562),IF(AND(Input!B8562&gt;=20,Input!B8562&lt;=700),Input!B8562,""),"")</f>
        <v/>
      </c>
      <c r="C8562">
        <f>IF(B8562="","",INT(A8562))</f>
        <v/>
      </c>
      <c r="D8562">
        <f>IF(B8562="","",HOUR(A8562))</f>
        <v/>
      </c>
    </row>
    <row r="8563">
      <c r="A8563">
        <f>Input!A8563</f>
        <v/>
      </c>
      <c r="B8563">
        <f>IF(ISNUMBER(Input!B8563),IF(AND(Input!B8563&gt;=20,Input!B8563&lt;=700),Input!B8563,""),"")</f>
        <v/>
      </c>
      <c r="C8563">
        <f>IF(B8563="","",INT(A8563))</f>
        <v/>
      </c>
      <c r="D8563">
        <f>IF(B8563="","",HOUR(A8563))</f>
        <v/>
      </c>
    </row>
    <row r="8564">
      <c r="A8564">
        <f>Input!A8564</f>
        <v/>
      </c>
      <c r="B8564">
        <f>IF(ISNUMBER(Input!B8564),IF(AND(Input!B8564&gt;=20,Input!B8564&lt;=700),Input!B8564,""),"")</f>
        <v/>
      </c>
      <c r="C8564">
        <f>IF(B8564="","",INT(A8564))</f>
        <v/>
      </c>
      <c r="D8564">
        <f>IF(B8564="","",HOUR(A8564))</f>
        <v/>
      </c>
    </row>
    <row r="8565">
      <c r="A8565">
        <f>Input!A8565</f>
        <v/>
      </c>
      <c r="B8565">
        <f>IF(ISNUMBER(Input!B8565),IF(AND(Input!B8565&gt;=20,Input!B8565&lt;=700),Input!B8565,""),"")</f>
        <v/>
      </c>
      <c r="C8565">
        <f>IF(B8565="","",INT(A8565))</f>
        <v/>
      </c>
      <c r="D8565">
        <f>IF(B8565="","",HOUR(A8565))</f>
        <v/>
      </c>
    </row>
    <row r="8566">
      <c r="A8566">
        <f>Input!A8566</f>
        <v/>
      </c>
      <c r="B8566">
        <f>IF(ISNUMBER(Input!B8566),IF(AND(Input!B8566&gt;=20,Input!B8566&lt;=700),Input!B8566,""),"")</f>
        <v/>
      </c>
      <c r="C8566">
        <f>IF(B8566="","",INT(A8566))</f>
        <v/>
      </c>
      <c r="D8566">
        <f>IF(B8566="","",HOUR(A8566))</f>
        <v/>
      </c>
    </row>
    <row r="8567">
      <c r="A8567">
        <f>Input!A8567</f>
        <v/>
      </c>
      <c r="B8567">
        <f>IF(ISNUMBER(Input!B8567),IF(AND(Input!B8567&gt;=20,Input!B8567&lt;=700),Input!B8567,""),"")</f>
        <v/>
      </c>
      <c r="C8567">
        <f>IF(B8567="","",INT(A8567))</f>
        <v/>
      </c>
      <c r="D8567">
        <f>IF(B8567="","",HOUR(A8567))</f>
        <v/>
      </c>
    </row>
    <row r="8568">
      <c r="A8568">
        <f>Input!A8568</f>
        <v/>
      </c>
      <c r="B8568">
        <f>IF(ISNUMBER(Input!B8568),IF(AND(Input!B8568&gt;=20,Input!B8568&lt;=700),Input!B8568,""),"")</f>
        <v/>
      </c>
      <c r="C8568">
        <f>IF(B8568="","",INT(A8568))</f>
        <v/>
      </c>
      <c r="D8568">
        <f>IF(B8568="","",HOUR(A8568))</f>
        <v/>
      </c>
    </row>
    <row r="8569">
      <c r="A8569">
        <f>Input!A8569</f>
        <v/>
      </c>
      <c r="B8569">
        <f>IF(ISNUMBER(Input!B8569),IF(AND(Input!B8569&gt;=20,Input!B8569&lt;=700),Input!B8569,""),"")</f>
        <v/>
      </c>
      <c r="C8569">
        <f>IF(B8569="","",INT(A8569))</f>
        <v/>
      </c>
      <c r="D8569">
        <f>IF(B8569="","",HOUR(A8569))</f>
        <v/>
      </c>
    </row>
    <row r="8570">
      <c r="A8570">
        <f>Input!A8570</f>
        <v/>
      </c>
      <c r="B8570">
        <f>IF(ISNUMBER(Input!B8570),IF(AND(Input!B8570&gt;=20,Input!B8570&lt;=700),Input!B8570,""),"")</f>
        <v/>
      </c>
      <c r="C8570">
        <f>IF(B8570="","",INT(A8570))</f>
        <v/>
      </c>
      <c r="D8570">
        <f>IF(B8570="","",HOUR(A8570))</f>
        <v/>
      </c>
    </row>
    <row r="8571">
      <c r="A8571">
        <f>Input!A8571</f>
        <v/>
      </c>
      <c r="B8571">
        <f>IF(ISNUMBER(Input!B8571),IF(AND(Input!B8571&gt;=20,Input!B8571&lt;=700),Input!B8571,""),"")</f>
        <v/>
      </c>
      <c r="C8571">
        <f>IF(B8571="","",INT(A8571))</f>
        <v/>
      </c>
      <c r="D8571">
        <f>IF(B8571="","",HOUR(A8571))</f>
        <v/>
      </c>
    </row>
    <row r="8572">
      <c r="A8572">
        <f>Input!A8572</f>
        <v/>
      </c>
      <c r="B8572">
        <f>IF(ISNUMBER(Input!B8572),IF(AND(Input!B8572&gt;=20,Input!B8572&lt;=700),Input!B8572,""),"")</f>
        <v/>
      </c>
      <c r="C8572">
        <f>IF(B8572="","",INT(A8572))</f>
        <v/>
      </c>
      <c r="D8572">
        <f>IF(B8572="","",HOUR(A8572))</f>
        <v/>
      </c>
    </row>
    <row r="8573">
      <c r="A8573">
        <f>Input!A8573</f>
        <v/>
      </c>
      <c r="B8573">
        <f>IF(ISNUMBER(Input!B8573),IF(AND(Input!B8573&gt;=20,Input!B8573&lt;=700),Input!B8573,""),"")</f>
        <v/>
      </c>
      <c r="C8573">
        <f>IF(B8573="","",INT(A8573))</f>
        <v/>
      </c>
      <c r="D8573">
        <f>IF(B8573="","",HOUR(A8573))</f>
        <v/>
      </c>
    </row>
    <row r="8574">
      <c r="A8574">
        <f>Input!A8574</f>
        <v/>
      </c>
      <c r="B8574">
        <f>IF(ISNUMBER(Input!B8574),IF(AND(Input!B8574&gt;=20,Input!B8574&lt;=700),Input!B8574,""),"")</f>
        <v/>
      </c>
      <c r="C8574">
        <f>IF(B8574="","",INT(A8574))</f>
        <v/>
      </c>
      <c r="D8574">
        <f>IF(B8574="","",HOUR(A8574))</f>
        <v/>
      </c>
    </row>
    <row r="8575">
      <c r="A8575">
        <f>Input!A8575</f>
        <v/>
      </c>
      <c r="B8575">
        <f>IF(ISNUMBER(Input!B8575),IF(AND(Input!B8575&gt;=20,Input!B8575&lt;=700),Input!B8575,""),"")</f>
        <v/>
      </c>
      <c r="C8575">
        <f>IF(B8575="","",INT(A8575))</f>
        <v/>
      </c>
      <c r="D8575">
        <f>IF(B8575="","",HOUR(A8575))</f>
        <v/>
      </c>
    </row>
    <row r="8576">
      <c r="A8576">
        <f>Input!A8576</f>
        <v/>
      </c>
      <c r="B8576">
        <f>IF(ISNUMBER(Input!B8576),IF(AND(Input!B8576&gt;=20,Input!B8576&lt;=700),Input!B8576,""),"")</f>
        <v/>
      </c>
      <c r="C8576">
        <f>IF(B8576="","",INT(A8576))</f>
        <v/>
      </c>
      <c r="D8576">
        <f>IF(B8576="","",HOUR(A8576))</f>
        <v/>
      </c>
    </row>
    <row r="8577">
      <c r="A8577">
        <f>Input!A8577</f>
        <v/>
      </c>
      <c r="B8577">
        <f>IF(ISNUMBER(Input!B8577),IF(AND(Input!B8577&gt;=20,Input!B8577&lt;=700),Input!B8577,""),"")</f>
        <v/>
      </c>
      <c r="C8577">
        <f>IF(B8577="","",INT(A8577))</f>
        <v/>
      </c>
      <c r="D8577">
        <f>IF(B8577="","",HOUR(A8577))</f>
        <v/>
      </c>
    </row>
    <row r="8578">
      <c r="A8578">
        <f>Input!A8578</f>
        <v/>
      </c>
      <c r="B8578">
        <f>IF(ISNUMBER(Input!B8578),IF(AND(Input!B8578&gt;=20,Input!B8578&lt;=700),Input!B8578,""),"")</f>
        <v/>
      </c>
      <c r="C8578">
        <f>IF(B8578="","",INT(A8578))</f>
        <v/>
      </c>
      <c r="D8578">
        <f>IF(B8578="","",HOUR(A8578))</f>
        <v/>
      </c>
    </row>
    <row r="8579">
      <c r="A8579">
        <f>Input!A8579</f>
        <v/>
      </c>
      <c r="B8579">
        <f>IF(ISNUMBER(Input!B8579),IF(AND(Input!B8579&gt;=20,Input!B8579&lt;=700),Input!B8579,""),"")</f>
        <v/>
      </c>
      <c r="C8579">
        <f>IF(B8579="","",INT(A8579))</f>
        <v/>
      </c>
      <c r="D8579">
        <f>IF(B8579="","",HOUR(A8579))</f>
        <v/>
      </c>
    </row>
    <row r="8580">
      <c r="A8580">
        <f>Input!A8580</f>
        <v/>
      </c>
      <c r="B8580">
        <f>IF(ISNUMBER(Input!B8580),IF(AND(Input!B8580&gt;=20,Input!B8580&lt;=700),Input!B8580,""),"")</f>
        <v/>
      </c>
      <c r="C8580">
        <f>IF(B8580="","",INT(A8580))</f>
        <v/>
      </c>
      <c r="D8580">
        <f>IF(B8580="","",HOUR(A8580))</f>
        <v/>
      </c>
    </row>
    <row r="8581">
      <c r="A8581">
        <f>Input!A8581</f>
        <v/>
      </c>
      <c r="B8581">
        <f>IF(ISNUMBER(Input!B8581),IF(AND(Input!B8581&gt;=20,Input!B8581&lt;=700),Input!B8581,""),"")</f>
        <v/>
      </c>
      <c r="C8581">
        <f>IF(B8581="","",INT(A8581))</f>
        <v/>
      </c>
      <c r="D8581">
        <f>IF(B8581="","",HOUR(A8581))</f>
        <v/>
      </c>
    </row>
    <row r="8582">
      <c r="A8582">
        <f>Input!A8582</f>
        <v/>
      </c>
      <c r="B8582">
        <f>IF(ISNUMBER(Input!B8582),IF(AND(Input!B8582&gt;=20,Input!B8582&lt;=700),Input!B8582,""),"")</f>
        <v/>
      </c>
      <c r="C8582">
        <f>IF(B8582="","",INT(A8582))</f>
        <v/>
      </c>
      <c r="D8582">
        <f>IF(B8582="","",HOUR(A8582))</f>
        <v/>
      </c>
    </row>
    <row r="8583">
      <c r="A8583">
        <f>Input!A8583</f>
        <v/>
      </c>
      <c r="B8583">
        <f>IF(ISNUMBER(Input!B8583),IF(AND(Input!B8583&gt;=20,Input!B8583&lt;=700),Input!B8583,""),"")</f>
        <v/>
      </c>
      <c r="C8583">
        <f>IF(B8583="","",INT(A8583))</f>
        <v/>
      </c>
      <c r="D8583">
        <f>IF(B8583="","",HOUR(A8583))</f>
        <v/>
      </c>
    </row>
    <row r="8584">
      <c r="A8584">
        <f>Input!A8584</f>
        <v/>
      </c>
      <c r="B8584">
        <f>IF(ISNUMBER(Input!B8584),IF(AND(Input!B8584&gt;=20,Input!B8584&lt;=700),Input!B8584,""),"")</f>
        <v/>
      </c>
      <c r="C8584">
        <f>IF(B8584="","",INT(A8584))</f>
        <v/>
      </c>
      <c r="D8584">
        <f>IF(B8584="","",HOUR(A8584))</f>
        <v/>
      </c>
    </row>
    <row r="8585">
      <c r="A8585">
        <f>Input!A8585</f>
        <v/>
      </c>
      <c r="B8585">
        <f>IF(ISNUMBER(Input!B8585),IF(AND(Input!B8585&gt;=20,Input!B8585&lt;=700),Input!B8585,""),"")</f>
        <v/>
      </c>
      <c r="C8585">
        <f>IF(B8585="","",INT(A8585))</f>
        <v/>
      </c>
      <c r="D8585">
        <f>IF(B8585="","",HOUR(A8585))</f>
        <v/>
      </c>
    </row>
    <row r="8586">
      <c r="A8586">
        <f>Input!A8586</f>
        <v/>
      </c>
      <c r="B8586">
        <f>IF(ISNUMBER(Input!B8586),IF(AND(Input!B8586&gt;=20,Input!B8586&lt;=700),Input!B8586,""),"")</f>
        <v/>
      </c>
      <c r="C8586">
        <f>IF(B8586="","",INT(A8586))</f>
        <v/>
      </c>
      <c r="D8586">
        <f>IF(B8586="","",HOUR(A8586))</f>
        <v/>
      </c>
    </row>
    <row r="8587">
      <c r="A8587">
        <f>Input!A8587</f>
        <v/>
      </c>
      <c r="B8587">
        <f>IF(ISNUMBER(Input!B8587),IF(AND(Input!B8587&gt;=20,Input!B8587&lt;=700),Input!B8587,""),"")</f>
        <v/>
      </c>
      <c r="C8587">
        <f>IF(B8587="","",INT(A8587))</f>
        <v/>
      </c>
      <c r="D8587">
        <f>IF(B8587="","",HOUR(A8587))</f>
        <v/>
      </c>
    </row>
    <row r="8588">
      <c r="A8588">
        <f>Input!A8588</f>
        <v/>
      </c>
      <c r="B8588">
        <f>IF(ISNUMBER(Input!B8588),IF(AND(Input!B8588&gt;=20,Input!B8588&lt;=700),Input!B8588,""),"")</f>
        <v/>
      </c>
      <c r="C8588">
        <f>IF(B8588="","",INT(A8588))</f>
        <v/>
      </c>
      <c r="D8588">
        <f>IF(B8588="","",HOUR(A8588))</f>
        <v/>
      </c>
    </row>
    <row r="8589">
      <c r="A8589">
        <f>Input!A8589</f>
        <v/>
      </c>
      <c r="B8589">
        <f>IF(ISNUMBER(Input!B8589),IF(AND(Input!B8589&gt;=20,Input!B8589&lt;=700),Input!B8589,""),"")</f>
        <v/>
      </c>
      <c r="C8589">
        <f>IF(B8589="","",INT(A8589))</f>
        <v/>
      </c>
      <c r="D8589">
        <f>IF(B8589="","",HOUR(A8589))</f>
        <v/>
      </c>
    </row>
    <row r="8590">
      <c r="A8590">
        <f>Input!A8590</f>
        <v/>
      </c>
      <c r="B8590">
        <f>IF(ISNUMBER(Input!B8590),IF(AND(Input!B8590&gt;=20,Input!B8590&lt;=700),Input!B8590,""),"")</f>
        <v/>
      </c>
      <c r="C8590">
        <f>IF(B8590="","",INT(A8590))</f>
        <v/>
      </c>
      <c r="D8590">
        <f>IF(B8590="","",HOUR(A8590))</f>
        <v/>
      </c>
    </row>
    <row r="8591">
      <c r="A8591">
        <f>Input!A8591</f>
        <v/>
      </c>
      <c r="B8591">
        <f>IF(ISNUMBER(Input!B8591),IF(AND(Input!B8591&gt;=20,Input!B8591&lt;=700),Input!B8591,""),"")</f>
        <v/>
      </c>
      <c r="C8591">
        <f>IF(B8591="","",INT(A8591))</f>
        <v/>
      </c>
      <c r="D8591">
        <f>IF(B8591="","",HOUR(A8591))</f>
        <v/>
      </c>
    </row>
    <row r="8592">
      <c r="A8592">
        <f>Input!A8592</f>
        <v/>
      </c>
      <c r="B8592">
        <f>IF(ISNUMBER(Input!B8592),IF(AND(Input!B8592&gt;=20,Input!B8592&lt;=700),Input!B8592,""),"")</f>
        <v/>
      </c>
      <c r="C8592">
        <f>IF(B8592="","",INT(A8592))</f>
        <v/>
      </c>
      <c r="D8592">
        <f>IF(B8592="","",HOUR(A8592))</f>
        <v/>
      </c>
    </row>
    <row r="8593">
      <c r="A8593">
        <f>Input!A8593</f>
        <v/>
      </c>
      <c r="B8593">
        <f>IF(ISNUMBER(Input!B8593),IF(AND(Input!B8593&gt;=20,Input!B8593&lt;=700),Input!B8593,""),"")</f>
        <v/>
      </c>
      <c r="C8593">
        <f>IF(B8593="","",INT(A8593))</f>
        <v/>
      </c>
      <c r="D8593">
        <f>IF(B8593="","",HOUR(A8593))</f>
        <v/>
      </c>
    </row>
    <row r="8594">
      <c r="A8594">
        <f>Input!A8594</f>
        <v/>
      </c>
      <c r="B8594">
        <f>IF(ISNUMBER(Input!B8594),IF(AND(Input!B8594&gt;=20,Input!B8594&lt;=700),Input!B8594,""),"")</f>
        <v/>
      </c>
      <c r="C8594">
        <f>IF(B8594="","",INT(A8594))</f>
        <v/>
      </c>
      <c r="D8594">
        <f>IF(B8594="","",HOUR(A8594))</f>
        <v/>
      </c>
    </row>
    <row r="8595">
      <c r="A8595">
        <f>Input!A8595</f>
        <v/>
      </c>
      <c r="B8595">
        <f>IF(ISNUMBER(Input!B8595),IF(AND(Input!B8595&gt;=20,Input!B8595&lt;=700),Input!B8595,""),"")</f>
        <v/>
      </c>
      <c r="C8595">
        <f>IF(B8595="","",INT(A8595))</f>
        <v/>
      </c>
      <c r="D8595">
        <f>IF(B8595="","",HOUR(A8595))</f>
        <v/>
      </c>
    </row>
    <row r="8596">
      <c r="A8596">
        <f>Input!A8596</f>
        <v/>
      </c>
      <c r="B8596">
        <f>IF(ISNUMBER(Input!B8596),IF(AND(Input!B8596&gt;=20,Input!B8596&lt;=700),Input!B8596,""),"")</f>
        <v/>
      </c>
      <c r="C8596">
        <f>IF(B8596="","",INT(A8596))</f>
        <v/>
      </c>
      <c r="D8596">
        <f>IF(B8596="","",HOUR(A8596))</f>
        <v/>
      </c>
    </row>
    <row r="8597">
      <c r="A8597">
        <f>Input!A8597</f>
        <v/>
      </c>
      <c r="B8597">
        <f>IF(ISNUMBER(Input!B8597),IF(AND(Input!B8597&gt;=20,Input!B8597&lt;=700),Input!B8597,""),"")</f>
        <v/>
      </c>
      <c r="C8597">
        <f>IF(B8597="","",INT(A8597))</f>
        <v/>
      </c>
      <c r="D8597">
        <f>IF(B8597="","",HOUR(A8597))</f>
        <v/>
      </c>
    </row>
    <row r="8598">
      <c r="A8598">
        <f>Input!A8598</f>
        <v/>
      </c>
      <c r="B8598">
        <f>IF(ISNUMBER(Input!B8598),IF(AND(Input!B8598&gt;=20,Input!B8598&lt;=700),Input!B8598,""),"")</f>
        <v/>
      </c>
      <c r="C8598">
        <f>IF(B8598="","",INT(A8598))</f>
        <v/>
      </c>
      <c r="D8598">
        <f>IF(B8598="","",HOUR(A8598))</f>
        <v/>
      </c>
    </row>
    <row r="8599">
      <c r="A8599">
        <f>Input!A8599</f>
        <v/>
      </c>
      <c r="B8599">
        <f>IF(ISNUMBER(Input!B8599),IF(AND(Input!B8599&gt;=20,Input!B8599&lt;=700),Input!B8599,""),"")</f>
        <v/>
      </c>
      <c r="C8599">
        <f>IF(B8599="","",INT(A8599))</f>
        <v/>
      </c>
      <c r="D8599">
        <f>IF(B8599="","",HOUR(A8599))</f>
        <v/>
      </c>
    </row>
    <row r="8600">
      <c r="A8600">
        <f>Input!A8600</f>
        <v/>
      </c>
      <c r="B8600">
        <f>IF(ISNUMBER(Input!B8600),IF(AND(Input!B8600&gt;=20,Input!B8600&lt;=700),Input!B8600,""),"")</f>
        <v/>
      </c>
      <c r="C8600">
        <f>IF(B8600="","",INT(A8600))</f>
        <v/>
      </c>
      <c r="D8600">
        <f>IF(B8600="","",HOUR(A8600))</f>
        <v/>
      </c>
    </row>
    <row r="8601">
      <c r="A8601">
        <f>Input!A8601</f>
        <v/>
      </c>
      <c r="B8601">
        <f>IF(ISNUMBER(Input!B8601),IF(AND(Input!B8601&gt;=20,Input!B8601&lt;=700),Input!B8601,""),"")</f>
        <v/>
      </c>
      <c r="C8601">
        <f>IF(B8601="","",INT(A8601))</f>
        <v/>
      </c>
      <c r="D8601">
        <f>IF(B8601="","",HOUR(A8601))</f>
        <v/>
      </c>
    </row>
    <row r="8602">
      <c r="A8602">
        <f>Input!A8602</f>
        <v/>
      </c>
      <c r="B8602">
        <f>IF(ISNUMBER(Input!B8602),IF(AND(Input!B8602&gt;=20,Input!B8602&lt;=700),Input!B8602,""),"")</f>
        <v/>
      </c>
      <c r="C8602">
        <f>IF(B8602="","",INT(A8602))</f>
        <v/>
      </c>
      <c r="D8602">
        <f>IF(B8602="","",HOUR(A8602))</f>
        <v/>
      </c>
    </row>
    <row r="8603">
      <c r="A8603">
        <f>Input!A8603</f>
        <v/>
      </c>
      <c r="B8603">
        <f>IF(ISNUMBER(Input!B8603),IF(AND(Input!B8603&gt;=20,Input!B8603&lt;=700),Input!B8603,""),"")</f>
        <v/>
      </c>
      <c r="C8603">
        <f>IF(B8603="","",INT(A8603))</f>
        <v/>
      </c>
      <c r="D8603">
        <f>IF(B8603="","",HOUR(A8603))</f>
        <v/>
      </c>
    </row>
    <row r="8604">
      <c r="A8604">
        <f>Input!A8604</f>
        <v/>
      </c>
      <c r="B8604">
        <f>IF(ISNUMBER(Input!B8604),IF(AND(Input!B8604&gt;=20,Input!B8604&lt;=700),Input!B8604,""),"")</f>
        <v/>
      </c>
      <c r="C8604">
        <f>IF(B8604="","",INT(A8604))</f>
        <v/>
      </c>
      <c r="D8604">
        <f>IF(B8604="","",HOUR(A8604))</f>
        <v/>
      </c>
    </row>
    <row r="8605">
      <c r="A8605">
        <f>Input!A8605</f>
        <v/>
      </c>
      <c r="B8605">
        <f>IF(ISNUMBER(Input!B8605),IF(AND(Input!B8605&gt;=20,Input!B8605&lt;=700),Input!B8605,""),"")</f>
        <v/>
      </c>
      <c r="C8605">
        <f>IF(B8605="","",INT(A8605))</f>
        <v/>
      </c>
      <c r="D8605">
        <f>IF(B8605="","",HOUR(A8605))</f>
        <v/>
      </c>
    </row>
    <row r="8606">
      <c r="A8606">
        <f>Input!A8606</f>
        <v/>
      </c>
      <c r="B8606">
        <f>IF(ISNUMBER(Input!B8606),IF(AND(Input!B8606&gt;=20,Input!B8606&lt;=700),Input!B8606,""),"")</f>
        <v/>
      </c>
      <c r="C8606">
        <f>IF(B8606="","",INT(A8606))</f>
        <v/>
      </c>
      <c r="D8606">
        <f>IF(B8606="","",HOUR(A8606))</f>
        <v/>
      </c>
    </row>
    <row r="8607">
      <c r="A8607">
        <f>Input!A8607</f>
        <v/>
      </c>
      <c r="B8607">
        <f>IF(ISNUMBER(Input!B8607),IF(AND(Input!B8607&gt;=20,Input!B8607&lt;=700),Input!B8607,""),"")</f>
        <v/>
      </c>
      <c r="C8607">
        <f>IF(B8607="","",INT(A8607))</f>
        <v/>
      </c>
      <c r="D8607">
        <f>IF(B8607="","",HOUR(A8607))</f>
        <v/>
      </c>
    </row>
    <row r="8608">
      <c r="A8608">
        <f>Input!A8608</f>
        <v/>
      </c>
      <c r="B8608">
        <f>IF(ISNUMBER(Input!B8608),IF(AND(Input!B8608&gt;=20,Input!B8608&lt;=700),Input!B8608,""),"")</f>
        <v/>
      </c>
      <c r="C8608">
        <f>IF(B8608="","",INT(A8608))</f>
        <v/>
      </c>
      <c r="D8608">
        <f>IF(B8608="","",HOUR(A8608))</f>
        <v/>
      </c>
    </row>
    <row r="8609">
      <c r="A8609">
        <f>Input!A8609</f>
        <v/>
      </c>
      <c r="B8609">
        <f>IF(ISNUMBER(Input!B8609),IF(AND(Input!B8609&gt;=20,Input!B8609&lt;=700),Input!B8609,""),"")</f>
        <v/>
      </c>
      <c r="C8609">
        <f>IF(B8609="","",INT(A8609))</f>
        <v/>
      </c>
      <c r="D8609">
        <f>IF(B8609="","",HOUR(A8609))</f>
        <v/>
      </c>
    </row>
    <row r="8610">
      <c r="A8610">
        <f>Input!A8610</f>
        <v/>
      </c>
      <c r="B8610">
        <f>IF(ISNUMBER(Input!B8610),IF(AND(Input!B8610&gt;=20,Input!B8610&lt;=700),Input!B8610,""),"")</f>
        <v/>
      </c>
      <c r="C8610">
        <f>IF(B8610="","",INT(A8610))</f>
        <v/>
      </c>
      <c r="D8610">
        <f>IF(B8610="","",HOUR(A8610))</f>
        <v/>
      </c>
    </row>
    <row r="8611">
      <c r="A8611">
        <f>Input!A8611</f>
        <v/>
      </c>
      <c r="B8611">
        <f>IF(ISNUMBER(Input!B8611),IF(AND(Input!B8611&gt;=20,Input!B8611&lt;=700),Input!B8611,""),"")</f>
        <v/>
      </c>
      <c r="C8611">
        <f>IF(B8611="","",INT(A8611))</f>
        <v/>
      </c>
      <c r="D8611">
        <f>IF(B8611="","",HOUR(A8611))</f>
        <v/>
      </c>
    </row>
    <row r="8612">
      <c r="A8612">
        <f>Input!A8612</f>
        <v/>
      </c>
      <c r="B8612">
        <f>IF(ISNUMBER(Input!B8612),IF(AND(Input!B8612&gt;=20,Input!B8612&lt;=700),Input!B8612,""),"")</f>
        <v/>
      </c>
      <c r="C8612">
        <f>IF(B8612="","",INT(A8612))</f>
        <v/>
      </c>
      <c r="D8612">
        <f>IF(B8612="","",HOUR(A8612))</f>
        <v/>
      </c>
    </row>
    <row r="8613">
      <c r="A8613">
        <f>Input!A8613</f>
        <v/>
      </c>
      <c r="B8613">
        <f>IF(ISNUMBER(Input!B8613),IF(AND(Input!B8613&gt;=20,Input!B8613&lt;=700),Input!B8613,""),"")</f>
        <v/>
      </c>
      <c r="C8613">
        <f>IF(B8613="","",INT(A8613))</f>
        <v/>
      </c>
      <c r="D8613">
        <f>IF(B8613="","",HOUR(A8613))</f>
        <v/>
      </c>
    </row>
    <row r="8614">
      <c r="A8614">
        <f>Input!A8614</f>
        <v/>
      </c>
      <c r="B8614">
        <f>IF(ISNUMBER(Input!B8614),IF(AND(Input!B8614&gt;=20,Input!B8614&lt;=700),Input!B8614,""),"")</f>
        <v/>
      </c>
      <c r="C8614">
        <f>IF(B8614="","",INT(A8614))</f>
        <v/>
      </c>
      <c r="D8614">
        <f>IF(B8614="","",HOUR(A8614))</f>
        <v/>
      </c>
    </row>
    <row r="8615">
      <c r="A8615">
        <f>Input!A8615</f>
        <v/>
      </c>
      <c r="B8615">
        <f>IF(ISNUMBER(Input!B8615),IF(AND(Input!B8615&gt;=20,Input!B8615&lt;=700),Input!B8615,""),"")</f>
        <v/>
      </c>
      <c r="C8615">
        <f>IF(B8615="","",INT(A8615))</f>
        <v/>
      </c>
      <c r="D8615">
        <f>IF(B8615="","",HOUR(A8615))</f>
        <v/>
      </c>
    </row>
    <row r="8616">
      <c r="A8616">
        <f>Input!A8616</f>
        <v/>
      </c>
      <c r="B8616">
        <f>IF(ISNUMBER(Input!B8616),IF(AND(Input!B8616&gt;=20,Input!B8616&lt;=700),Input!B8616,""),"")</f>
        <v/>
      </c>
      <c r="C8616">
        <f>IF(B8616="","",INT(A8616))</f>
        <v/>
      </c>
      <c r="D8616">
        <f>IF(B8616="","",HOUR(A8616))</f>
        <v/>
      </c>
    </row>
    <row r="8617">
      <c r="A8617">
        <f>Input!A8617</f>
        <v/>
      </c>
      <c r="B8617">
        <f>IF(ISNUMBER(Input!B8617),IF(AND(Input!B8617&gt;=20,Input!B8617&lt;=700),Input!B8617,""),"")</f>
        <v/>
      </c>
      <c r="C8617">
        <f>IF(B8617="","",INT(A8617))</f>
        <v/>
      </c>
      <c r="D8617">
        <f>IF(B8617="","",HOUR(A8617))</f>
        <v/>
      </c>
    </row>
    <row r="8618">
      <c r="A8618">
        <f>Input!A8618</f>
        <v/>
      </c>
      <c r="B8618">
        <f>IF(ISNUMBER(Input!B8618),IF(AND(Input!B8618&gt;=20,Input!B8618&lt;=700),Input!B8618,""),"")</f>
        <v/>
      </c>
      <c r="C8618">
        <f>IF(B8618="","",INT(A8618))</f>
        <v/>
      </c>
      <c r="D8618">
        <f>IF(B8618="","",HOUR(A8618))</f>
        <v/>
      </c>
    </row>
    <row r="8619">
      <c r="A8619">
        <f>Input!A8619</f>
        <v/>
      </c>
      <c r="B8619">
        <f>IF(ISNUMBER(Input!B8619),IF(AND(Input!B8619&gt;=20,Input!B8619&lt;=700),Input!B8619,""),"")</f>
        <v/>
      </c>
      <c r="C8619">
        <f>IF(B8619="","",INT(A8619))</f>
        <v/>
      </c>
      <c r="D8619">
        <f>IF(B8619="","",HOUR(A8619))</f>
        <v/>
      </c>
    </row>
    <row r="8620">
      <c r="A8620">
        <f>Input!A8620</f>
        <v/>
      </c>
      <c r="B8620">
        <f>IF(ISNUMBER(Input!B8620),IF(AND(Input!B8620&gt;=20,Input!B8620&lt;=700),Input!B8620,""),"")</f>
        <v/>
      </c>
      <c r="C8620">
        <f>IF(B8620="","",INT(A8620))</f>
        <v/>
      </c>
      <c r="D8620">
        <f>IF(B8620="","",HOUR(A8620))</f>
        <v/>
      </c>
    </row>
    <row r="8621">
      <c r="A8621">
        <f>Input!A8621</f>
        <v/>
      </c>
      <c r="B8621">
        <f>IF(ISNUMBER(Input!B8621),IF(AND(Input!B8621&gt;=20,Input!B8621&lt;=700),Input!B8621,""),"")</f>
        <v/>
      </c>
      <c r="C8621">
        <f>IF(B8621="","",INT(A8621))</f>
        <v/>
      </c>
      <c r="D8621">
        <f>IF(B8621="","",HOUR(A8621))</f>
        <v/>
      </c>
    </row>
    <row r="8622">
      <c r="A8622">
        <f>Input!A8622</f>
        <v/>
      </c>
      <c r="B8622">
        <f>IF(ISNUMBER(Input!B8622),IF(AND(Input!B8622&gt;=20,Input!B8622&lt;=700),Input!B8622,""),"")</f>
        <v/>
      </c>
      <c r="C8622">
        <f>IF(B8622="","",INT(A8622))</f>
        <v/>
      </c>
      <c r="D8622">
        <f>IF(B8622="","",HOUR(A8622))</f>
        <v/>
      </c>
    </row>
    <row r="8623">
      <c r="A8623">
        <f>Input!A8623</f>
        <v/>
      </c>
      <c r="B8623">
        <f>IF(ISNUMBER(Input!B8623),IF(AND(Input!B8623&gt;=20,Input!B8623&lt;=700),Input!B8623,""),"")</f>
        <v/>
      </c>
      <c r="C8623">
        <f>IF(B8623="","",INT(A8623))</f>
        <v/>
      </c>
      <c r="D8623">
        <f>IF(B8623="","",HOUR(A8623))</f>
        <v/>
      </c>
    </row>
    <row r="8624">
      <c r="A8624">
        <f>Input!A8624</f>
        <v/>
      </c>
      <c r="B8624">
        <f>IF(ISNUMBER(Input!B8624),IF(AND(Input!B8624&gt;=20,Input!B8624&lt;=700),Input!B8624,""),"")</f>
        <v/>
      </c>
      <c r="C8624">
        <f>IF(B8624="","",INT(A8624))</f>
        <v/>
      </c>
      <c r="D8624">
        <f>IF(B8624="","",HOUR(A8624))</f>
        <v/>
      </c>
    </row>
    <row r="8625">
      <c r="A8625">
        <f>Input!A8625</f>
        <v/>
      </c>
      <c r="B8625">
        <f>IF(ISNUMBER(Input!B8625),IF(AND(Input!B8625&gt;=20,Input!B8625&lt;=700),Input!B8625,""),"")</f>
        <v/>
      </c>
      <c r="C8625">
        <f>IF(B8625="","",INT(A8625))</f>
        <v/>
      </c>
      <c r="D8625">
        <f>IF(B8625="","",HOUR(A8625))</f>
        <v/>
      </c>
    </row>
    <row r="8626">
      <c r="A8626">
        <f>Input!A8626</f>
        <v/>
      </c>
      <c r="B8626">
        <f>IF(ISNUMBER(Input!B8626),IF(AND(Input!B8626&gt;=20,Input!B8626&lt;=700),Input!B8626,""),"")</f>
        <v/>
      </c>
      <c r="C8626">
        <f>IF(B8626="","",INT(A8626))</f>
        <v/>
      </c>
      <c r="D8626">
        <f>IF(B8626="","",HOUR(A8626))</f>
        <v/>
      </c>
    </row>
    <row r="8627">
      <c r="A8627">
        <f>Input!A8627</f>
        <v/>
      </c>
      <c r="B8627">
        <f>IF(ISNUMBER(Input!B8627),IF(AND(Input!B8627&gt;=20,Input!B8627&lt;=700),Input!B8627,""),"")</f>
        <v/>
      </c>
      <c r="C8627">
        <f>IF(B8627="","",INT(A8627))</f>
        <v/>
      </c>
      <c r="D8627">
        <f>IF(B8627="","",HOUR(A8627))</f>
        <v/>
      </c>
    </row>
    <row r="8628">
      <c r="A8628">
        <f>Input!A8628</f>
        <v/>
      </c>
      <c r="B8628">
        <f>IF(ISNUMBER(Input!B8628),IF(AND(Input!B8628&gt;=20,Input!B8628&lt;=700),Input!B8628,""),"")</f>
        <v/>
      </c>
      <c r="C8628">
        <f>IF(B8628="","",INT(A8628))</f>
        <v/>
      </c>
      <c r="D8628">
        <f>IF(B8628="","",HOUR(A8628))</f>
        <v/>
      </c>
    </row>
    <row r="8629">
      <c r="A8629">
        <f>Input!A8629</f>
        <v/>
      </c>
      <c r="B8629">
        <f>IF(ISNUMBER(Input!B8629),IF(AND(Input!B8629&gt;=20,Input!B8629&lt;=700),Input!B8629,""),"")</f>
        <v/>
      </c>
      <c r="C8629">
        <f>IF(B8629="","",INT(A8629))</f>
        <v/>
      </c>
      <c r="D8629">
        <f>IF(B8629="","",HOUR(A8629))</f>
        <v/>
      </c>
    </row>
    <row r="8630">
      <c r="A8630">
        <f>Input!A8630</f>
        <v/>
      </c>
      <c r="B8630">
        <f>IF(ISNUMBER(Input!B8630),IF(AND(Input!B8630&gt;=20,Input!B8630&lt;=700),Input!B8630,""),"")</f>
        <v/>
      </c>
      <c r="C8630">
        <f>IF(B8630="","",INT(A8630))</f>
        <v/>
      </c>
      <c r="D8630">
        <f>IF(B8630="","",HOUR(A8630))</f>
        <v/>
      </c>
    </row>
    <row r="8631">
      <c r="A8631">
        <f>Input!A8631</f>
        <v/>
      </c>
      <c r="B8631">
        <f>IF(ISNUMBER(Input!B8631),IF(AND(Input!B8631&gt;=20,Input!B8631&lt;=700),Input!B8631,""),"")</f>
        <v/>
      </c>
      <c r="C8631">
        <f>IF(B8631="","",INT(A8631))</f>
        <v/>
      </c>
      <c r="D8631">
        <f>IF(B8631="","",HOUR(A8631))</f>
        <v/>
      </c>
    </row>
    <row r="8632">
      <c r="A8632">
        <f>Input!A8632</f>
        <v/>
      </c>
      <c r="B8632">
        <f>IF(ISNUMBER(Input!B8632),IF(AND(Input!B8632&gt;=20,Input!B8632&lt;=700),Input!B8632,""),"")</f>
        <v/>
      </c>
      <c r="C8632">
        <f>IF(B8632="","",INT(A8632))</f>
        <v/>
      </c>
      <c r="D8632">
        <f>IF(B8632="","",HOUR(A8632))</f>
        <v/>
      </c>
    </row>
    <row r="8633">
      <c r="A8633">
        <f>Input!A8633</f>
        <v/>
      </c>
      <c r="B8633">
        <f>IF(ISNUMBER(Input!B8633),IF(AND(Input!B8633&gt;=20,Input!B8633&lt;=700),Input!B8633,""),"")</f>
        <v/>
      </c>
      <c r="C8633">
        <f>IF(B8633="","",INT(A8633))</f>
        <v/>
      </c>
      <c r="D8633">
        <f>IF(B8633="","",HOUR(A8633))</f>
        <v/>
      </c>
    </row>
    <row r="8634">
      <c r="A8634">
        <f>Input!A8634</f>
        <v/>
      </c>
      <c r="B8634">
        <f>IF(ISNUMBER(Input!B8634),IF(AND(Input!B8634&gt;=20,Input!B8634&lt;=700),Input!B8634,""),"")</f>
        <v/>
      </c>
      <c r="C8634">
        <f>IF(B8634="","",INT(A8634))</f>
        <v/>
      </c>
      <c r="D8634">
        <f>IF(B8634="","",HOUR(A8634))</f>
        <v/>
      </c>
    </row>
    <row r="8635">
      <c r="A8635">
        <f>Input!A8635</f>
        <v/>
      </c>
      <c r="B8635">
        <f>IF(ISNUMBER(Input!B8635),IF(AND(Input!B8635&gt;=20,Input!B8635&lt;=700),Input!B8635,""),"")</f>
        <v/>
      </c>
      <c r="C8635">
        <f>IF(B8635="","",INT(A8635))</f>
        <v/>
      </c>
      <c r="D8635">
        <f>IF(B8635="","",HOUR(A8635))</f>
        <v/>
      </c>
    </row>
    <row r="8636">
      <c r="A8636">
        <f>Input!A8636</f>
        <v/>
      </c>
      <c r="B8636">
        <f>IF(ISNUMBER(Input!B8636),IF(AND(Input!B8636&gt;=20,Input!B8636&lt;=700),Input!B8636,""),"")</f>
        <v/>
      </c>
      <c r="C8636">
        <f>IF(B8636="","",INT(A8636))</f>
        <v/>
      </c>
      <c r="D8636">
        <f>IF(B8636="","",HOUR(A8636))</f>
        <v/>
      </c>
    </row>
    <row r="8637">
      <c r="A8637">
        <f>Input!A8637</f>
        <v/>
      </c>
      <c r="B8637">
        <f>IF(ISNUMBER(Input!B8637),IF(AND(Input!B8637&gt;=20,Input!B8637&lt;=700),Input!B8637,""),"")</f>
        <v/>
      </c>
      <c r="C8637">
        <f>IF(B8637="","",INT(A8637))</f>
        <v/>
      </c>
      <c r="D8637">
        <f>IF(B8637="","",HOUR(A8637))</f>
        <v/>
      </c>
    </row>
    <row r="8638">
      <c r="A8638">
        <f>Input!A8638</f>
        <v/>
      </c>
      <c r="B8638">
        <f>IF(ISNUMBER(Input!B8638),IF(AND(Input!B8638&gt;=20,Input!B8638&lt;=700),Input!B8638,""),"")</f>
        <v/>
      </c>
      <c r="C8638">
        <f>IF(B8638="","",INT(A8638))</f>
        <v/>
      </c>
      <c r="D8638">
        <f>IF(B8638="","",HOUR(A8638))</f>
        <v/>
      </c>
    </row>
    <row r="8639">
      <c r="A8639">
        <f>Input!A8639</f>
        <v/>
      </c>
      <c r="B8639">
        <f>IF(ISNUMBER(Input!B8639),IF(AND(Input!B8639&gt;=20,Input!B8639&lt;=700),Input!B8639,""),"")</f>
        <v/>
      </c>
      <c r="C8639">
        <f>IF(B8639="","",INT(A8639))</f>
        <v/>
      </c>
      <c r="D8639">
        <f>IF(B8639="","",HOUR(A8639))</f>
        <v/>
      </c>
    </row>
    <row r="8640">
      <c r="A8640">
        <f>Input!A8640</f>
        <v/>
      </c>
      <c r="B8640">
        <f>IF(ISNUMBER(Input!B8640),IF(AND(Input!B8640&gt;=20,Input!B8640&lt;=700),Input!B8640,""),"")</f>
        <v/>
      </c>
      <c r="C8640">
        <f>IF(B8640="","",INT(A8640))</f>
        <v/>
      </c>
      <c r="D8640">
        <f>IF(B8640="","",HOUR(A8640))</f>
        <v/>
      </c>
    </row>
    <row r="8641">
      <c r="A8641">
        <f>Input!A8641</f>
        <v/>
      </c>
      <c r="B8641">
        <f>IF(ISNUMBER(Input!B8641),IF(AND(Input!B8641&gt;=20,Input!B8641&lt;=700),Input!B8641,""),"")</f>
        <v/>
      </c>
      <c r="C8641">
        <f>IF(B8641="","",INT(A8641))</f>
        <v/>
      </c>
      <c r="D8641">
        <f>IF(B8641="","",HOUR(A8641))</f>
        <v/>
      </c>
    </row>
    <row r="8642">
      <c r="A8642">
        <f>Input!A8642</f>
        <v/>
      </c>
      <c r="B8642">
        <f>IF(ISNUMBER(Input!B8642),IF(AND(Input!B8642&gt;=20,Input!B8642&lt;=700),Input!B8642,""),"")</f>
        <v/>
      </c>
      <c r="C8642">
        <f>IF(B8642="","",INT(A8642))</f>
        <v/>
      </c>
      <c r="D8642">
        <f>IF(B8642="","",HOUR(A8642))</f>
        <v/>
      </c>
    </row>
    <row r="8643">
      <c r="A8643">
        <f>Input!A8643</f>
        <v/>
      </c>
      <c r="B8643">
        <f>IF(ISNUMBER(Input!B8643),IF(AND(Input!B8643&gt;=20,Input!B8643&lt;=700),Input!B8643,""),"")</f>
        <v/>
      </c>
      <c r="C8643">
        <f>IF(B8643="","",INT(A8643))</f>
        <v/>
      </c>
      <c r="D8643">
        <f>IF(B8643="","",HOUR(A8643))</f>
        <v/>
      </c>
    </row>
    <row r="8644">
      <c r="A8644">
        <f>Input!A8644</f>
        <v/>
      </c>
      <c r="B8644">
        <f>IF(ISNUMBER(Input!B8644),IF(AND(Input!B8644&gt;=20,Input!B8644&lt;=700),Input!B8644,""),"")</f>
        <v/>
      </c>
      <c r="C8644">
        <f>IF(B8644="","",INT(A8644))</f>
        <v/>
      </c>
      <c r="D8644">
        <f>IF(B8644="","",HOUR(A8644))</f>
        <v/>
      </c>
    </row>
    <row r="8645">
      <c r="A8645">
        <f>Input!A8645</f>
        <v/>
      </c>
      <c r="B8645">
        <f>IF(ISNUMBER(Input!B8645),IF(AND(Input!B8645&gt;=20,Input!B8645&lt;=700),Input!B8645,""),"")</f>
        <v/>
      </c>
      <c r="C8645">
        <f>IF(B8645="","",INT(A8645))</f>
        <v/>
      </c>
      <c r="D8645">
        <f>IF(B8645="","",HOUR(A8645))</f>
        <v/>
      </c>
    </row>
    <row r="8646">
      <c r="A8646">
        <f>Input!A8646</f>
        <v/>
      </c>
      <c r="B8646">
        <f>IF(ISNUMBER(Input!B8646),IF(AND(Input!B8646&gt;=20,Input!B8646&lt;=700),Input!B8646,""),"")</f>
        <v/>
      </c>
      <c r="C8646">
        <f>IF(B8646="","",INT(A8646))</f>
        <v/>
      </c>
      <c r="D8646">
        <f>IF(B8646="","",HOUR(A8646))</f>
        <v/>
      </c>
    </row>
    <row r="8647">
      <c r="A8647">
        <f>Input!A8647</f>
        <v/>
      </c>
      <c r="B8647">
        <f>IF(ISNUMBER(Input!B8647),IF(AND(Input!B8647&gt;=20,Input!B8647&lt;=700),Input!B8647,""),"")</f>
        <v/>
      </c>
      <c r="C8647">
        <f>IF(B8647="","",INT(A8647))</f>
        <v/>
      </c>
      <c r="D8647">
        <f>IF(B8647="","",HOUR(A8647))</f>
        <v/>
      </c>
    </row>
    <row r="8648">
      <c r="A8648">
        <f>Input!A8648</f>
        <v/>
      </c>
      <c r="B8648">
        <f>IF(ISNUMBER(Input!B8648),IF(AND(Input!B8648&gt;=20,Input!B8648&lt;=700),Input!B8648,""),"")</f>
        <v/>
      </c>
      <c r="C8648">
        <f>IF(B8648="","",INT(A8648))</f>
        <v/>
      </c>
      <c r="D8648">
        <f>IF(B8648="","",HOUR(A8648))</f>
        <v/>
      </c>
    </row>
    <row r="8649">
      <c r="A8649">
        <f>Input!A8649</f>
        <v/>
      </c>
      <c r="B8649">
        <f>IF(ISNUMBER(Input!B8649),IF(AND(Input!B8649&gt;=20,Input!B8649&lt;=700),Input!B8649,""),"")</f>
        <v/>
      </c>
      <c r="C8649">
        <f>IF(B8649="","",INT(A8649))</f>
        <v/>
      </c>
      <c r="D8649">
        <f>IF(B8649="","",HOUR(A8649))</f>
        <v/>
      </c>
    </row>
    <row r="8650">
      <c r="A8650">
        <f>Input!A8650</f>
        <v/>
      </c>
      <c r="B8650">
        <f>IF(ISNUMBER(Input!B8650),IF(AND(Input!B8650&gt;=20,Input!B8650&lt;=700),Input!B8650,""),"")</f>
        <v/>
      </c>
      <c r="C8650">
        <f>IF(B8650="","",INT(A8650))</f>
        <v/>
      </c>
      <c r="D8650">
        <f>IF(B8650="","",HOUR(A8650))</f>
        <v/>
      </c>
    </row>
    <row r="8651">
      <c r="A8651">
        <f>Input!A8651</f>
        <v/>
      </c>
      <c r="B8651">
        <f>IF(ISNUMBER(Input!B8651),IF(AND(Input!B8651&gt;=20,Input!B8651&lt;=700),Input!B8651,""),"")</f>
        <v/>
      </c>
      <c r="C8651">
        <f>IF(B8651="","",INT(A8651))</f>
        <v/>
      </c>
      <c r="D8651">
        <f>IF(B8651="","",HOUR(A8651))</f>
        <v/>
      </c>
    </row>
    <row r="8652">
      <c r="A8652">
        <f>Input!A8652</f>
        <v/>
      </c>
      <c r="B8652">
        <f>IF(ISNUMBER(Input!B8652),IF(AND(Input!B8652&gt;=20,Input!B8652&lt;=700),Input!B8652,""),"")</f>
        <v/>
      </c>
      <c r="C8652">
        <f>IF(B8652="","",INT(A8652))</f>
        <v/>
      </c>
      <c r="D8652">
        <f>IF(B8652="","",HOUR(A8652))</f>
        <v/>
      </c>
    </row>
    <row r="8653">
      <c r="A8653">
        <f>Input!A8653</f>
        <v/>
      </c>
      <c r="B8653">
        <f>IF(ISNUMBER(Input!B8653),IF(AND(Input!B8653&gt;=20,Input!B8653&lt;=700),Input!B8653,""),"")</f>
        <v/>
      </c>
      <c r="C8653">
        <f>IF(B8653="","",INT(A8653))</f>
        <v/>
      </c>
      <c r="D8653">
        <f>IF(B8653="","",HOUR(A8653))</f>
        <v/>
      </c>
    </row>
    <row r="8654">
      <c r="A8654">
        <f>Input!A8654</f>
        <v/>
      </c>
      <c r="B8654">
        <f>IF(ISNUMBER(Input!B8654),IF(AND(Input!B8654&gt;=20,Input!B8654&lt;=700),Input!B8654,""),"")</f>
        <v/>
      </c>
      <c r="C8654">
        <f>IF(B8654="","",INT(A8654))</f>
        <v/>
      </c>
      <c r="D8654">
        <f>IF(B8654="","",HOUR(A8654))</f>
        <v/>
      </c>
    </row>
    <row r="8655">
      <c r="A8655">
        <f>Input!A8655</f>
        <v/>
      </c>
      <c r="B8655">
        <f>IF(ISNUMBER(Input!B8655),IF(AND(Input!B8655&gt;=20,Input!B8655&lt;=700),Input!B8655,""),"")</f>
        <v/>
      </c>
      <c r="C8655">
        <f>IF(B8655="","",INT(A8655))</f>
        <v/>
      </c>
      <c r="D8655">
        <f>IF(B8655="","",HOUR(A8655))</f>
        <v/>
      </c>
    </row>
    <row r="8656">
      <c r="A8656">
        <f>Input!A8656</f>
        <v/>
      </c>
      <c r="B8656">
        <f>IF(ISNUMBER(Input!B8656),IF(AND(Input!B8656&gt;=20,Input!B8656&lt;=700),Input!B8656,""),"")</f>
        <v/>
      </c>
      <c r="C8656">
        <f>IF(B8656="","",INT(A8656))</f>
        <v/>
      </c>
      <c r="D8656">
        <f>IF(B8656="","",HOUR(A8656))</f>
        <v/>
      </c>
    </row>
    <row r="8657">
      <c r="A8657">
        <f>Input!A8657</f>
        <v/>
      </c>
      <c r="B8657">
        <f>IF(ISNUMBER(Input!B8657),IF(AND(Input!B8657&gt;=20,Input!B8657&lt;=700),Input!B8657,""),"")</f>
        <v/>
      </c>
      <c r="C8657">
        <f>IF(B8657="","",INT(A8657))</f>
        <v/>
      </c>
      <c r="D8657">
        <f>IF(B8657="","",HOUR(A8657))</f>
        <v/>
      </c>
    </row>
    <row r="8658">
      <c r="A8658">
        <f>Input!A8658</f>
        <v/>
      </c>
      <c r="B8658">
        <f>IF(ISNUMBER(Input!B8658),IF(AND(Input!B8658&gt;=20,Input!B8658&lt;=700),Input!B8658,""),"")</f>
        <v/>
      </c>
      <c r="C8658">
        <f>IF(B8658="","",INT(A8658))</f>
        <v/>
      </c>
      <c r="D8658">
        <f>IF(B8658="","",HOUR(A8658))</f>
        <v/>
      </c>
    </row>
    <row r="8659">
      <c r="A8659">
        <f>Input!A8659</f>
        <v/>
      </c>
      <c r="B8659">
        <f>IF(ISNUMBER(Input!B8659),IF(AND(Input!B8659&gt;=20,Input!B8659&lt;=700),Input!B8659,""),"")</f>
        <v/>
      </c>
      <c r="C8659">
        <f>IF(B8659="","",INT(A8659))</f>
        <v/>
      </c>
      <c r="D8659">
        <f>IF(B8659="","",HOUR(A8659))</f>
        <v/>
      </c>
    </row>
    <row r="8660">
      <c r="A8660">
        <f>Input!A8660</f>
        <v/>
      </c>
      <c r="B8660">
        <f>IF(ISNUMBER(Input!B8660),IF(AND(Input!B8660&gt;=20,Input!B8660&lt;=700),Input!B8660,""),"")</f>
        <v/>
      </c>
      <c r="C8660">
        <f>IF(B8660="","",INT(A8660))</f>
        <v/>
      </c>
      <c r="D8660">
        <f>IF(B8660="","",HOUR(A8660))</f>
        <v/>
      </c>
    </row>
    <row r="8661">
      <c r="A8661">
        <f>Input!A8661</f>
        <v/>
      </c>
      <c r="B8661">
        <f>IF(ISNUMBER(Input!B8661),IF(AND(Input!B8661&gt;=20,Input!B8661&lt;=700),Input!B8661,""),"")</f>
        <v/>
      </c>
      <c r="C8661">
        <f>IF(B8661="","",INT(A8661))</f>
        <v/>
      </c>
      <c r="D8661">
        <f>IF(B8661="","",HOUR(A8661))</f>
        <v/>
      </c>
    </row>
    <row r="8662">
      <c r="A8662">
        <f>Input!A8662</f>
        <v/>
      </c>
      <c r="B8662">
        <f>IF(ISNUMBER(Input!B8662),IF(AND(Input!B8662&gt;=20,Input!B8662&lt;=700),Input!B8662,""),"")</f>
        <v/>
      </c>
      <c r="C8662">
        <f>IF(B8662="","",INT(A8662))</f>
        <v/>
      </c>
      <c r="D8662">
        <f>IF(B8662="","",HOUR(A8662))</f>
        <v/>
      </c>
    </row>
    <row r="8663">
      <c r="A8663">
        <f>Input!A8663</f>
        <v/>
      </c>
      <c r="B8663">
        <f>IF(ISNUMBER(Input!B8663),IF(AND(Input!B8663&gt;=20,Input!B8663&lt;=700),Input!B8663,""),"")</f>
        <v/>
      </c>
      <c r="C8663">
        <f>IF(B8663="","",INT(A8663))</f>
        <v/>
      </c>
      <c r="D8663">
        <f>IF(B8663="","",HOUR(A8663))</f>
        <v/>
      </c>
    </row>
    <row r="8664">
      <c r="A8664">
        <f>Input!A8664</f>
        <v/>
      </c>
      <c r="B8664">
        <f>IF(ISNUMBER(Input!B8664),IF(AND(Input!B8664&gt;=20,Input!B8664&lt;=700),Input!B8664,""),"")</f>
        <v/>
      </c>
      <c r="C8664">
        <f>IF(B8664="","",INT(A8664))</f>
        <v/>
      </c>
      <c r="D8664">
        <f>IF(B8664="","",HOUR(A8664))</f>
        <v/>
      </c>
    </row>
    <row r="8665">
      <c r="A8665">
        <f>Input!A8665</f>
        <v/>
      </c>
      <c r="B8665">
        <f>IF(ISNUMBER(Input!B8665),IF(AND(Input!B8665&gt;=20,Input!B8665&lt;=700),Input!B8665,""),"")</f>
        <v/>
      </c>
      <c r="C8665">
        <f>IF(B8665="","",INT(A8665))</f>
        <v/>
      </c>
      <c r="D8665">
        <f>IF(B8665="","",HOUR(A8665))</f>
        <v/>
      </c>
    </row>
    <row r="8666">
      <c r="A8666">
        <f>Input!A8666</f>
        <v/>
      </c>
      <c r="B8666">
        <f>IF(ISNUMBER(Input!B8666),IF(AND(Input!B8666&gt;=20,Input!B8666&lt;=700),Input!B8666,""),"")</f>
        <v/>
      </c>
      <c r="C8666">
        <f>IF(B8666="","",INT(A8666))</f>
        <v/>
      </c>
      <c r="D8666">
        <f>IF(B8666="","",HOUR(A8666))</f>
        <v/>
      </c>
    </row>
    <row r="8667">
      <c r="A8667">
        <f>Input!A8667</f>
        <v/>
      </c>
      <c r="B8667">
        <f>IF(ISNUMBER(Input!B8667),IF(AND(Input!B8667&gt;=20,Input!B8667&lt;=700),Input!B8667,""),"")</f>
        <v/>
      </c>
      <c r="C8667">
        <f>IF(B8667="","",INT(A8667))</f>
        <v/>
      </c>
      <c r="D8667">
        <f>IF(B8667="","",HOUR(A8667))</f>
        <v/>
      </c>
    </row>
    <row r="8668">
      <c r="A8668">
        <f>Input!A8668</f>
        <v/>
      </c>
      <c r="B8668">
        <f>IF(ISNUMBER(Input!B8668),IF(AND(Input!B8668&gt;=20,Input!B8668&lt;=700),Input!B8668,""),"")</f>
        <v/>
      </c>
      <c r="C8668">
        <f>IF(B8668="","",INT(A8668))</f>
        <v/>
      </c>
      <c r="D8668">
        <f>IF(B8668="","",HOUR(A8668))</f>
        <v/>
      </c>
    </row>
    <row r="8669">
      <c r="A8669">
        <f>Input!A8669</f>
        <v/>
      </c>
      <c r="B8669">
        <f>IF(ISNUMBER(Input!B8669),IF(AND(Input!B8669&gt;=20,Input!B8669&lt;=700),Input!B8669,""),"")</f>
        <v/>
      </c>
      <c r="C8669">
        <f>IF(B8669="","",INT(A8669))</f>
        <v/>
      </c>
      <c r="D8669">
        <f>IF(B8669="","",HOUR(A8669))</f>
        <v/>
      </c>
    </row>
    <row r="8670">
      <c r="A8670">
        <f>Input!A8670</f>
        <v/>
      </c>
      <c r="B8670">
        <f>IF(ISNUMBER(Input!B8670),IF(AND(Input!B8670&gt;=20,Input!B8670&lt;=700),Input!B8670,""),"")</f>
        <v/>
      </c>
      <c r="C8670">
        <f>IF(B8670="","",INT(A8670))</f>
        <v/>
      </c>
      <c r="D8670">
        <f>IF(B8670="","",HOUR(A8670))</f>
        <v/>
      </c>
    </row>
    <row r="8671">
      <c r="A8671">
        <f>Input!A8671</f>
        <v/>
      </c>
      <c r="B8671">
        <f>IF(ISNUMBER(Input!B8671),IF(AND(Input!B8671&gt;=20,Input!B8671&lt;=700),Input!B8671,""),"")</f>
        <v/>
      </c>
      <c r="C8671">
        <f>IF(B8671="","",INT(A8671))</f>
        <v/>
      </c>
      <c r="D8671">
        <f>IF(B8671="","",HOUR(A8671))</f>
        <v/>
      </c>
    </row>
    <row r="8672">
      <c r="A8672">
        <f>Input!A8672</f>
        <v/>
      </c>
      <c r="B8672">
        <f>IF(ISNUMBER(Input!B8672),IF(AND(Input!B8672&gt;=20,Input!B8672&lt;=700),Input!B8672,""),"")</f>
        <v/>
      </c>
      <c r="C8672">
        <f>IF(B8672="","",INT(A8672))</f>
        <v/>
      </c>
      <c r="D8672">
        <f>IF(B8672="","",HOUR(A8672))</f>
        <v/>
      </c>
    </row>
    <row r="8673">
      <c r="A8673">
        <f>Input!A8673</f>
        <v/>
      </c>
      <c r="B8673">
        <f>IF(ISNUMBER(Input!B8673),IF(AND(Input!B8673&gt;=20,Input!B8673&lt;=700),Input!B8673,""),"")</f>
        <v/>
      </c>
      <c r="C8673">
        <f>IF(B8673="","",INT(A8673))</f>
        <v/>
      </c>
      <c r="D8673">
        <f>IF(B8673="","",HOUR(A8673))</f>
        <v/>
      </c>
    </row>
    <row r="8674">
      <c r="A8674">
        <f>Input!A8674</f>
        <v/>
      </c>
      <c r="B8674">
        <f>IF(ISNUMBER(Input!B8674),IF(AND(Input!B8674&gt;=20,Input!B8674&lt;=700),Input!B8674,""),"")</f>
        <v/>
      </c>
      <c r="C8674">
        <f>IF(B8674="","",INT(A8674))</f>
        <v/>
      </c>
      <c r="D8674">
        <f>IF(B8674="","",HOUR(A8674))</f>
        <v/>
      </c>
    </row>
    <row r="8675">
      <c r="A8675">
        <f>Input!A8675</f>
        <v/>
      </c>
      <c r="B8675">
        <f>IF(ISNUMBER(Input!B8675),IF(AND(Input!B8675&gt;=20,Input!B8675&lt;=700),Input!B8675,""),"")</f>
        <v/>
      </c>
      <c r="C8675">
        <f>IF(B8675="","",INT(A8675))</f>
        <v/>
      </c>
      <c r="D8675">
        <f>IF(B8675="","",HOUR(A8675))</f>
        <v/>
      </c>
    </row>
    <row r="8676">
      <c r="A8676">
        <f>Input!A8676</f>
        <v/>
      </c>
      <c r="B8676">
        <f>IF(ISNUMBER(Input!B8676),IF(AND(Input!B8676&gt;=20,Input!B8676&lt;=700),Input!B8676,""),"")</f>
        <v/>
      </c>
      <c r="C8676">
        <f>IF(B8676="","",INT(A8676))</f>
        <v/>
      </c>
      <c r="D8676">
        <f>IF(B8676="","",HOUR(A8676))</f>
        <v/>
      </c>
    </row>
    <row r="8677">
      <c r="A8677">
        <f>Input!A8677</f>
        <v/>
      </c>
      <c r="B8677">
        <f>IF(ISNUMBER(Input!B8677),IF(AND(Input!B8677&gt;=20,Input!B8677&lt;=700),Input!B8677,""),"")</f>
        <v/>
      </c>
      <c r="C8677">
        <f>IF(B8677="","",INT(A8677))</f>
        <v/>
      </c>
      <c r="D8677">
        <f>IF(B8677="","",HOUR(A8677))</f>
        <v/>
      </c>
    </row>
    <row r="8678">
      <c r="A8678">
        <f>Input!A8678</f>
        <v/>
      </c>
      <c r="B8678">
        <f>IF(ISNUMBER(Input!B8678),IF(AND(Input!B8678&gt;=20,Input!B8678&lt;=700),Input!B8678,""),"")</f>
        <v/>
      </c>
      <c r="C8678">
        <f>IF(B8678="","",INT(A8678))</f>
        <v/>
      </c>
      <c r="D8678">
        <f>IF(B8678="","",HOUR(A8678))</f>
        <v/>
      </c>
    </row>
    <row r="8679">
      <c r="A8679">
        <f>Input!A8679</f>
        <v/>
      </c>
      <c r="B8679">
        <f>IF(ISNUMBER(Input!B8679),IF(AND(Input!B8679&gt;=20,Input!B8679&lt;=700),Input!B8679,""),"")</f>
        <v/>
      </c>
      <c r="C8679">
        <f>IF(B8679="","",INT(A8679))</f>
        <v/>
      </c>
      <c r="D8679">
        <f>IF(B8679="","",HOUR(A8679))</f>
        <v/>
      </c>
    </row>
    <row r="8680">
      <c r="A8680">
        <f>Input!A8680</f>
        <v/>
      </c>
      <c r="B8680">
        <f>IF(ISNUMBER(Input!B8680),IF(AND(Input!B8680&gt;=20,Input!B8680&lt;=700),Input!B8680,""),"")</f>
        <v/>
      </c>
      <c r="C8680">
        <f>IF(B8680="","",INT(A8680))</f>
        <v/>
      </c>
      <c r="D8680">
        <f>IF(B8680="","",HOUR(A8680))</f>
        <v/>
      </c>
    </row>
    <row r="8681">
      <c r="A8681">
        <f>Input!A8681</f>
        <v/>
      </c>
      <c r="B8681">
        <f>IF(ISNUMBER(Input!B8681),IF(AND(Input!B8681&gt;=20,Input!B8681&lt;=700),Input!B8681,""),"")</f>
        <v/>
      </c>
      <c r="C8681">
        <f>IF(B8681="","",INT(A8681))</f>
        <v/>
      </c>
      <c r="D8681">
        <f>IF(B8681="","",HOUR(A8681))</f>
        <v/>
      </c>
    </row>
    <row r="8682">
      <c r="A8682">
        <f>Input!A8682</f>
        <v/>
      </c>
      <c r="B8682">
        <f>IF(ISNUMBER(Input!B8682),IF(AND(Input!B8682&gt;=20,Input!B8682&lt;=700),Input!B8682,""),"")</f>
        <v/>
      </c>
      <c r="C8682">
        <f>IF(B8682="","",INT(A8682))</f>
        <v/>
      </c>
      <c r="D8682">
        <f>IF(B8682="","",HOUR(A8682))</f>
        <v/>
      </c>
    </row>
    <row r="8683">
      <c r="A8683">
        <f>Input!A8683</f>
        <v/>
      </c>
      <c r="B8683">
        <f>IF(ISNUMBER(Input!B8683),IF(AND(Input!B8683&gt;=20,Input!B8683&lt;=700),Input!B8683,""),"")</f>
        <v/>
      </c>
      <c r="C8683">
        <f>IF(B8683="","",INT(A8683))</f>
        <v/>
      </c>
      <c r="D8683">
        <f>IF(B8683="","",HOUR(A8683))</f>
        <v/>
      </c>
    </row>
    <row r="8684">
      <c r="A8684">
        <f>Input!A8684</f>
        <v/>
      </c>
      <c r="B8684">
        <f>IF(ISNUMBER(Input!B8684),IF(AND(Input!B8684&gt;=20,Input!B8684&lt;=700),Input!B8684,""),"")</f>
        <v/>
      </c>
      <c r="C8684">
        <f>IF(B8684="","",INT(A8684))</f>
        <v/>
      </c>
      <c r="D8684">
        <f>IF(B8684="","",HOUR(A8684))</f>
        <v/>
      </c>
    </row>
    <row r="8685">
      <c r="A8685">
        <f>Input!A8685</f>
        <v/>
      </c>
      <c r="B8685">
        <f>IF(ISNUMBER(Input!B8685),IF(AND(Input!B8685&gt;=20,Input!B8685&lt;=700),Input!B8685,""),"")</f>
        <v/>
      </c>
      <c r="C8685">
        <f>IF(B8685="","",INT(A8685))</f>
        <v/>
      </c>
      <c r="D8685">
        <f>IF(B8685="","",HOUR(A8685))</f>
        <v/>
      </c>
    </row>
    <row r="8686">
      <c r="A8686">
        <f>Input!A8686</f>
        <v/>
      </c>
      <c r="B8686">
        <f>IF(ISNUMBER(Input!B8686),IF(AND(Input!B8686&gt;=20,Input!B8686&lt;=700),Input!B8686,""),"")</f>
        <v/>
      </c>
      <c r="C8686">
        <f>IF(B8686="","",INT(A8686))</f>
        <v/>
      </c>
      <c r="D8686">
        <f>IF(B8686="","",HOUR(A8686))</f>
        <v/>
      </c>
    </row>
    <row r="8687">
      <c r="A8687">
        <f>Input!A8687</f>
        <v/>
      </c>
      <c r="B8687">
        <f>IF(ISNUMBER(Input!B8687),IF(AND(Input!B8687&gt;=20,Input!B8687&lt;=700),Input!B8687,""),"")</f>
        <v/>
      </c>
      <c r="C8687">
        <f>IF(B8687="","",INT(A8687))</f>
        <v/>
      </c>
      <c r="D8687">
        <f>IF(B8687="","",HOUR(A8687))</f>
        <v/>
      </c>
    </row>
    <row r="8688">
      <c r="A8688">
        <f>Input!A8688</f>
        <v/>
      </c>
      <c r="B8688">
        <f>IF(ISNUMBER(Input!B8688),IF(AND(Input!B8688&gt;=20,Input!B8688&lt;=700),Input!B8688,""),"")</f>
        <v/>
      </c>
      <c r="C8688">
        <f>IF(B8688="","",INT(A8688))</f>
        <v/>
      </c>
      <c r="D8688">
        <f>IF(B8688="","",HOUR(A8688))</f>
        <v/>
      </c>
    </row>
    <row r="8689">
      <c r="A8689">
        <f>Input!A8689</f>
        <v/>
      </c>
      <c r="B8689">
        <f>IF(ISNUMBER(Input!B8689),IF(AND(Input!B8689&gt;=20,Input!B8689&lt;=700),Input!B8689,""),"")</f>
        <v/>
      </c>
      <c r="C8689">
        <f>IF(B8689="","",INT(A8689))</f>
        <v/>
      </c>
      <c r="D8689">
        <f>IF(B8689="","",HOUR(A8689))</f>
        <v/>
      </c>
    </row>
    <row r="8690">
      <c r="A8690">
        <f>Input!A8690</f>
        <v/>
      </c>
      <c r="B8690">
        <f>IF(ISNUMBER(Input!B8690),IF(AND(Input!B8690&gt;=20,Input!B8690&lt;=700),Input!B8690,""),"")</f>
        <v/>
      </c>
      <c r="C8690">
        <f>IF(B8690="","",INT(A8690))</f>
        <v/>
      </c>
      <c r="D8690">
        <f>IF(B8690="","",HOUR(A8690))</f>
        <v/>
      </c>
    </row>
    <row r="8691">
      <c r="A8691">
        <f>Input!A8691</f>
        <v/>
      </c>
      <c r="B8691">
        <f>IF(ISNUMBER(Input!B8691),IF(AND(Input!B8691&gt;=20,Input!B8691&lt;=700),Input!B8691,""),"")</f>
        <v/>
      </c>
      <c r="C8691">
        <f>IF(B8691="","",INT(A8691))</f>
        <v/>
      </c>
      <c r="D8691">
        <f>IF(B8691="","",HOUR(A8691))</f>
        <v/>
      </c>
    </row>
    <row r="8692">
      <c r="A8692">
        <f>Input!A8692</f>
        <v/>
      </c>
      <c r="B8692">
        <f>IF(ISNUMBER(Input!B8692),IF(AND(Input!B8692&gt;=20,Input!B8692&lt;=700),Input!B8692,""),"")</f>
        <v/>
      </c>
      <c r="C8692">
        <f>IF(B8692="","",INT(A8692))</f>
        <v/>
      </c>
      <c r="D8692">
        <f>IF(B8692="","",HOUR(A8692))</f>
        <v/>
      </c>
    </row>
    <row r="8693">
      <c r="A8693">
        <f>Input!A8693</f>
        <v/>
      </c>
      <c r="B8693">
        <f>IF(ISNUMBER(Input!B8693),IF(AND(Input!B8693&gt;=20,Input!B8693&lt;=700),Input!B8693,""),"")</f>
        <v/>
      </c>
      <c r="C8693">
        <f>IF(B8693="","",INT(A8693))</f>
        <v/>
      </c>
      <c r="D8693">
        <f>IF(B8693="","",HOUR(A8693))</f>
        <v/>
      </c>
    </row>
    <row r="8694">
      <c r="A8694">
        <f>Input!A8694</f>
        <v/>
      </c>
      <c r="B8694">
        <f>IF(ISNUMBER(Input!B8694),IF(AND(Input!B8694&gt;=20,Input!B8694&lt;=700),Input!B8694,""),"")</f>
        <v/>
      </c>
      <c r="C8694">
        <f>IF(B8694="","",INT(A8694))</f>
        <v/>
      </c>
      <c r="D8694">
        <f>IF(B8694="","",HOUR(A8694))</f>
        <v/>
      </c>
    </row>
    <row r="8695">
      <c r="A8695">
        <f>Input!A8695</f>
        <v/>
      </c>
      <c r="B8695">
        <f>IF(ISNUMBER(Input!B8695),IF(AND(Input!B8695&gt;=20,Input!B8695&lt;=700),Input!B8695,""),"")</f>
        <v/>
      </c>
      <c r="C8695">
        <f>IF(B8695="","",INT(A8695))</f>
        <v/>
      </c>
      <c r="D8695">
        <f>IF(B8695="","",HOUR(A8695))</f>
        <v/>
      </c>
    </row>
    <row r="8696">
      <c r="A8696">
        <f>Input!A8696</f>
        <v/>
      </c>
      <c r="B8696">
        <f>IF(ISNUMBER(Input!B8696),IF(AND(Input!B8696&gt;=20,Input!B8696&lt;=700),Input!B8696,""),"")</f>
        <v/>
      </c>
      <c r="C8696">
        <f>IF(B8696="","",INT(A8696))</f>
        <v/>
      </c>
      <c r="D8696">
        <f>IF(B8696="","",HOUR(A8696))</f>
        <v/>
      </c>
    </row>
    <row r="8697">
      <c r="A8697">
        <f>Input!A8697</f>
        <v/>
      </c>
      <c r="B8697">
        <f>IF(ISNUMBER(Input!B8697),IF(AND(Input!B8697&gt;=20,Input!B8697&lt;=700),Input!B8697,""),"")</f>
        <v/>
      </c>
      <c r="C8697">
        <f>IF(B8697="","",INT(A8697))</f>
        <v/>
      </c>
      <c r="D8697">
        <f>IF(B8697="","",HOUR(A8697))</f>
        <v/>
      </c>
    </row>
    <row r="8698">
      <c r="A8698">
        <f>Input!A8698</f>
        <v/>
      </c>
      <c r="B8698">
        <f>IF(ISNUMBER(Input!B8698),IF(AND(Input!B8698&gt;=20,Input!B8698&lt;=700),Input!B8698,""),"")</f>
        <v/>
      </c>
      <c r="C8698">
        <f>IF(B8698="","",INT(A8698))</f>
        <v/>
      </c>
      <c r="D8698">
        <f>IF(B8698="","",HOUR(A8698))</f>
        <v/>
      </c>
    </row>
    <row r="8699">
      <c r="A8699">
        <f>Input!A8699</f>
        <v/>
      </c>
      <c r="B8699">
        <f>IF(ISNUMBER(Input!B8699),IF(AND(Input!B8699&gt;=20,Input!B8699&lt;=700),Input!B8699,""),"")</f>
        <v/>
      </c>
      <c r="C8699">
        <f>IF(B8699="","",INT(A8699))</f>
        <v/>
      </c>
      <c r="D8699">
        <f>IF(B8699="","",HOUR(A8699))</f>
        <v/>
      </c>
    </row>
    <row r="8700">
      <c r="A8700">
        <f>Input!A8700</f>
        <v/>
      </c>
      <c r="B8700">
        <f>IF(ISNUMBER(Input!B8700),IF(AND(Input!B8700&gt;=20,Input!B8700&lt;=700),Input!B8700,""),"")</f>
        <v/>
      </c>
      <c r="C8700">
        <f>IF(B8700="","",INT(A8700))</f>
        <v/>
      </c>
      <c r="D8700">
        <f>IF(B8700="","",HOUR(A8700))</f>
        <v/>
      </c>
    </row>
    <row r="8701">
      <c r="A8701">
        <f>Input!A8701</f>
        <v/>
      </c>
      <c r="B8701">
        <f>IF(ISNUMBER(Input!B8701),IF(AND(Input!B8701&gt;=20,Input!B8701&lt;=700),Input!B8701,""),"")</f>
        <v/>
      </c>
      <c r="C8701">
        <f>IF(B8701="","",INT(A8701))</f>
        <v/>
      </c>
      <c r="D8701">
        <f>IF(B8701="","",HOUR(A8701))</f>
        <v/>
      </c>
    </row>
    <row r="8702">
      <c r="A8702">
        <f>Input!A8702</f>
        <v/>
      </c>
      <c r="B8702">
        <f>IF(ISNUMBER(Input!B8702),IF(AND(Input!B8702&gt;=20,Input!B8702&lt;=700),Input!B8702,""),"")</f>
        <v/>
      </c>
      <c r="C8702">
        <f>IF(B8702="","",INT(A8702))</f>
        <v/>
      </c>
      <c r="D8702">
        <f>IF(B8702="","",HOUR(A8702))</f>
        <v/>
      </c>
    </row>
    <row r="8703">
      <c r="A8703">
        <f>Input!A8703</f>
        <v/>
      </c>
      <c r="B8703">
        <f>IF(ISNUMBER(Input!B8703),IF(AND(Input!B8703&gt;=20,Input!B8703&lt;=700),Input!B8703,""),"")</f>
        <v/>
      </c>
      <c r="C8703">
        <f>IF(B8703="","",INT(A8703))</f>
        <v/>
      </c>
      <c r="D8703">
        <f>IF(B8703="","",HOUR(A8703))</f>
        <v/>
      </c>
    </row>
    <row r="8704">
      <c r="A8704">
        <f>Input!A8704</f>
        <v/>
      </c>
      <c r="B8704">
        <f>IF(ISNUMBER(Input!B8704),IF(AND(Input!B8704&gt;=20,Input!B8704&lt;=700),Input!B8704,""),"")</f>
        <v/>
      </c>
      <c r="C8704">
        <f>IF(B8704="","",INT(A8704))</f>
        <v/>
      </c>
      <c r="D8704">
        <f>IF(B8704="","",HOUR(A8704))</f>
        <v/>
      </c>
    </row>
    <row r="8705">
      <c r="A8705">
        <f>Input!A8705</f>
        <v/>
      </c>
      <c r="B8705">
        <f>IF(ISNUMBER(Input!B8705),IF(AND(Input!B8705&gt;=20,Input!B8705&lt;=700),Input!B8705,""),"")</f>
        <v/>
      </c>
      <c r="C8705">
        <f>IF(B8705="","",INT(A8705))</f>
        <v/>
      </c>
      <c r="D8705">
        <f>IF(B8705="","",HOUR(A8705))</f>
        <v/>
      </c>
    </row>
    <row r="8706">
      <c r="A8706">
        <f>Input!A8706</f>
        <v/>
      </c>
      <c r="B8706">
        <f>IF(ISNUMBER(Input!B8706),IF(AND(Input!B8706&gt;=20,Input!B8706&lt;=700),Input!B8706,""),"")</f>
        <v/>
      </c>
      <c r="C8706">
        <f>IF(B8706="","",INT(A8706))</f>
        <v/>
      </c>
      <c r="D8706">
        <f>IF(B8706="","",HOUR(A8706))</f>
        <v/>
      </c>
    </row>
    <row r="8707">
      <c r="A8707">
        <f>Input!A8707</f>
        <v/>
      </c>
      <c r="B8707">
        <f>IF(ISNUMBER(Input!B8707),IF(AND(Input!B8707&gt;=20,Input!B8707&lt;=700),Input!B8707,""),"")</f>
        <v/>
      </c>
      <c r="C8707">
        <f>IF(B8707="","",INT(A8707))</f>
        <v/>
      </c>
      <c r="D8707">
        <f>IF(B8707="","",HOUR(A8707))</f>
        <v/>
      </c>
    </row>
    <row r="8708">
      <c r="A8708">
        <f>Input!A8708</f>
        <v/>
      </c>
      <c r="B8708">
        <f>IF(ISNUMBER(Input!B8708),IF(AND(Input!B8708&gt;=20,Input!B8708&lt;=700),Input!B8708,""),"")</f>
        <v/>
      </c>
      <c r="C8708">
        <f>IF(B8708="","",INT(A8708))</f>
        <v/>
      </c>
      <c r="D8708">
        <f>IF(B8708="","",HOUR(A8708))</f>
        <v/>
      </c>
    </row>
    <row r="8709">
      <c r="A8709">
        <f>Input!A8709</f>
        <v/>
      </c>
      <c r="B8709">
        <f>IF(ISNUMBER(Input!B8709),IF(AND(Input!B8709&gt;=20,Input!B8709&lt;=700),Input!B8709,""),"")</f>
        <v/>
      </c>
      <c r="C8709">
        <f>IF(B8709="","",INT(A8709))</f>
        <v/>
      </c>
      <c r="D8709">
        <f>IF(B8709="","",HOUR(A8709))</f>
        <v/>
      </c>
    </row>
    <row r="8710">
      <c r="A8710">
        <f>Input!A8710</f>
        <v/>
      </c>
      <c r="B8710">
        <f>IF(ISNUMBER(Input!B8710),IF(AND(Input!B8710&gt;=20,Input!B8710&lt;=700),Input!B8710,""),"")</f>
        <v/>
      </c>
      <c r="C8710">
        <f>IF(B8710="","",INT(A8710))</f>
        <v/>
      </c>
      <c r="D8710">
        <f>IF(B8710="","",HOUR(A8710))</f>
        <v/>
      </c>
    </row>
    <row r="8711">
      <c r="A8711">
        <f>Input!A8711</f>
        <v/>
      </c>
      <c r="B8711">
        <f>IF(ISNUMBER(Input!B8711),IF(AND(Input!B8711&gt;=20,Input!B8711&lt;=700),Input!B8711,""),"")</f>
        <v/>
      </c>
      <c r="C8711">
        <f>IF(B8711="","",INT(A8711))</f>
        <v/>
      </c>
      <c r="D8711">
        <f>IF(B8711="","",HOUR(A8711))</f>
        <v/>
      </c>
    </row>
    <row r="8712">
      <c r="A8712">
        <f>Input!A8712</f>
        <v/>
      </c>
      <c r="B8712">
        <f>IF(ISNUMBER(Input!B8712),IF(AND(Input!B8712&gt;=20,Input!B8712&lt;=700),Input!B8712,""),"")</f>
        <v/>
      </c>
      <c r="C8712">
        <f>IF(B8712="","",INT(A8712))</f>
        <v/>
      </c>
      <c r="D8712">
        <f>IF(B8712="","",HOUR(A8712))</f>
        <v/>
      </c>
    </row>
    <row r="8713">
      <c r="A8713">
        <f>Input!A8713</f>
        <v/>
      </c>
      <c r="B8713">
        <f>IF(ISNUMBER(Input!B8713),IF(AND(Input!B8713&gt;=20,Input!B8713&lt;=700),Input!B8713,""),"")</f>
        <v/>
      </c>
      <c r="C8713">
        <f>IF(B8713="","",INT(A8713))</f>
        <v/>
      </c>
      <c r="D8713">
        <f>IF(B8713="","",HOUR(A8713))</f>
        <v/>
      </c>
    </row>
    <row r="8714">
      <c r="A8714">
        <f>Input!A8714</f>
        <v/>
      </c>
      <c r="B8714">
        <f>IF(ISNUMBER(Input!B8714),IF(AND(Input!B8714&gt;=20,Input!B8714&lt;=700),Input!B8714,""),"")</f>
        <v/>
      </c>
      <c r="C8714">
        <f>IF(B8714="","",INT(A8714))</f>
        <v/>
      </c>
      <c r="D8714">
        <f>IF(B8714="","",HOUR(A8714))</f>
        <v/>
      </c>
    </row>
    <row r="8715">
      <c r="A8715">
        <f>Input!A8715</f>
        <v/>
      </c>
      <c r="B8715">
        <f>IF(ISNUMBER(Input!B8715),IF(AND(Input!B8715&gt;=20,Input!B8715&lt;=700),Input!B8715,""),"")</f>
        <v/>
      </c>
      <c r="C8715">
        <f>IF(B8715="","",INT(A8715))</f>
        <v/>
      </c>
      <c r="D8715">
        <f>IF(B8715="","",HOUR(A8715))</f>
        <v/>
      </c>
    </row>
    <row r="8716">
      <c r="A8716">
        <f>Input!A8716</f>
        <v/>
      </c>
      <c r="B8716">
        <f>IF(ISNUMBER(Input!B8716),IF(AND(Input!B8716&gt;=20,Input!B8716&lt;=700),Input!B8716,""),"")</f>
        <v/>
      </c>
      <c r="C8716">
        <f>IF(B8716="","",INT(A8716))</f>
        <v/>
      </c>
      <c r="D8716">
        <f>IF(B8716="","",HOUR(A8716))</f>
        <v/>
      </c>
    </row>
    <row r="8717">
      <c r="A8717">
        <f>Input!A8717</f>
        <v/>
      </c>
      <c r="B8717">
        <f>IF(ISNUMBER(Input!B8717),IF(AND(Input!B8717&gt;=20,Input!B8717&lt;=700),Input!B8717,""),"")</f>
        <v/>
      </c>
      <c r="C8717">
        <f>IF(B8717="","",INT(A8717))</f>
        <v/>
      </c>
      <c r="D8717">
        <f>IF(B8717="","",HOUR(A8717))</f>
        <v/>
      </c>
    </row>
    <row r="8718">
      <c r="A8718">
        <f>Input!A8718</f>
        <v/>
      </c>
      <c r="B8718">
        <f>IF(ISNUMBER(Input!B8718),IF(AND(Input!B8718&gt;=20,Input!B8718&lt;=700),Input!B8718,""),"")</f>
        <v/>
      </c>
      <c r="C8718">
        <f>IF(B8718="","",INT(A8718))</f>
        <v/>
      </c>
      <c r="D8718">
        <f>IF(B8718="","",HOUR(A8718))</f>
        <v/>
      </c>
    </row>
    <row r="8719">
      <c r="A8719">
        <f>Input!A8719</f>
        <v/>
      </c>
      <c r="B8719">
        <f>IF(ISNUMBER(Input!B8719),IF(AND(Input!B8719&gt;=20,Input!B8719&lt;=700),Input!B8719,""),"")</f>
        <v/>
      </c>
      <c r="C8719">
        <f>IF(B8719="","",INT(A8719))</f>
        <v/>
      </c>
      <c r="D8719">
        <f>IF(B8719="","",HOUR(A8719))</f>
        <v/>
      </c>
    </row>
    <row r="8720">
      <c r="A8720">
        <f>Input!A8720</f>
        <v/>
      </c>
      <c r="B8720">
        <f>IF(ISNUMBER(Input!B8720),IF(AND(Input!B8720&gt;=20,Input!B8720&lt;=700),Input!B8720,""),"")</f>
        <v/>
      </c>
      <c r="C8720">
        <f>IF(B8720="","",INT(A8720))</f>
        <v/>
      </c>
      <c r="D8720">
        <f>IF(B8720="","",HOUR(A8720))</f>
        <v/>
      </c>
    </row>
    <row r="8721">
      <c r="A8721">
        <f>Input!A8721</f>
        <v/>
      </c>
      <c r="B8721">
        <f>IF(ISNUMBER(Input!B8721),IF(AND(Input!B8721&gt;=20,Input!B8721&lt;=700),Input!B8721,""),"")</f>
        <v/>
      </c>
      <c r="C8721">
        <f>IF(B8721="","",INT(A8721))</f>
        <v/>
      </c>
      <c r="D8721">
        <f>IF(B8721="","",HOUR(A8721))</f>
        <v/>
      </c>
    </row>
    <row r="8722">
      <c r="A8722">
        <f>Input!A8722</f>
        <v/>
      </c>
      <c r="B8722">
        <f>IF(ISNUMBER(Input!B8722),IF(AND(Input!B8722&gt;=20,Input!B8722&lt;=700),Input!B8722,""),"")</f>
        <v/>
      </c>
      <c r="C8722">
        <f>IF(B8722="","",INT(A8722))</f>
        <v/>
      </c>
      <c r="D8722">
        <f>IF(B8722="","",HOUR(A8722))</f>
        <v/>
      </c>
    </row>
    <row r="8723">
      <c r="A8723">
        <f>Input!A8723</f>
        <v/>
      </c>
      <c r="B8723">
        <f>IF(ISNUMBER(Input!B8723),IF(AND(Input!B8723&gt;=20,Input!B8723&lt;=700),Input!B8723,""),"")</f>
        <v/>
      </c>
      <c r="C8723">
        <f>IF(B8723="","",INT(A8723))</f>
        <v/>
      </c>
      <c r="D8723">
        <f>IF(B8723="","",HOUR(A8723))</f>
        <v/>
      </c>
    </row>
    <row r="8724">
      <c r="A8724">
        <f>Input!A8724</f>
        <v/>
      </c>
      <c r="B8724">
        <f>IF(ISNUMBER(Input!B8724),IF(AND(Input!B8724&gt;=20,Input!B8724&lt;=700),Input!B8724,""),"")</f>
        <v/>
      </c>
      <c r="C8724">
        <f>IF(B8724="","",INT(A8724))</f>
        <v/>
      </c>
      <c r="D8724">
        <f>IF(B8724="","",HOUR(A8724))</f>
        <v/>
      </c>
    </row>
    <row r="8725">
      <c r="A8725">
        <f>Input!A8725</f>
        <v/>
      </c>
      <c r="B8725">
        <f>IF(ISNUMBER(Input!B8725),IF(AND(Input!B8725&gt;=20,Input!B8725&lt;=700),Input!B8725,""),"")</f>
        <v/>
      </c>
      <c r="C8725">
        <f>IF(B8725="","",INT(A8725))</f>
        <v/>
      </c>
      <c r="D8725">
        <f>IF(B8725="","",HOUR(A8725))</f>
        <v/>
      </c>
    </row>
    <row r="8726">
      <c r="A8726">
        <f>Input!A8726</f>
        <v/>
      </c>
      <c r="B8726">
        <f>IF(ISNUMBER(Input!B8726),IF(AND(Input!B8726&gt;=20,Input!B8726&lt;=700),Input!B8726,""),"")</f>
        <v/>
      </c>
      <c r="C8726">
        <f>IF(B8726="","",INT(A8726))</f>
        <v/>
      </c>
      <c r="D8726">
        <f>IF(B8726="","",HOUR(A8726))</f>
        <v/>
      </c>
    </row>
    <row r="8727">
      <c r="A8727">
        <f>Input!A8727</f>
        <v/>
      </c>
      <c r="B8727">
        <f>IF(ISNUMBER(Input!B8727),IF(AND(Input!B8727&gt;=20,Input!B8727&lt;=700),Input!B8727,""),"")</f>
        <v/>
      </c>
      <c r="C8727">
        <f>IF(B8727="","",INT(A8727))</f>
        <v/>
      </c>
      <c r="D8727">
        <f>IF(B8727="","",HOUR(A8727))</f>
        <v/>
      </c>
    </row>
    <row r="8728">
      <c r="A8728">
        <f>Input!A8728</f>
        <v/>
      </c>
      <c r="B8728">
        <f>IF(ISNUMBER(Input!B8728),IF(AND(Input!B8728&gt;=20,Input!B8728&lt;=700),Input!B8728,""),"")</f>
        <v/>
      </c>
      <c r="C8728">
        <f>IF(B8728="","",INT(A8728))</f>
        <v/>
      </c>
      <c r="D8728">
        <f>IF(B8728="","",HOUR(A8728))</f>
        <v/>
      </c>
    </row>
    <row r="8729">
      <c r="A8729">
        <f>Input!A8729</f>
        <v/>
      </c>
      <c r="B8729">
        <f>IF(ISNUMBER(Input!B8729),IF(AND(Input!B8729&gt;=20,Input!B8729&lt;=700),Input!B8729,""),"")</f>
        <v/>
      </c>
      <c r="C8729">
        <f>IF(B8729="","",INT(A8729))</f>
        <v/>
      </c>
      <c r="D8729">
        <f>IF(B8729="","",HOUR(A8729))</f>
        <v/>
      </c>
    </row>
    <row r="8730">
      <c r="A8730">
        <f>Input!A8730</f>
        <v/>
      </c>
      <c r="B8730">
        <f>IF(ISNUMBER(Input!B8730),IF(AND(Input!B8730&gt;=20,Input!B8730&lt;=700),Input!B8730,""),"")</f>
        <v/>
      </c>
      <c r="C8730">
        <f>IF(B8730="","",INT(A8730))</f>
        <v/>
      </c>
      <c r="D8730">
        <f>IF(B8730="","",HOUR(A8730))</f>
        <v/>
      </c>
    </row>
    <row r="8731">
      <c r="A8731">
        <f>Input!A8731</f>
        <v/>
      </c>
      <c r="B8731">
        <f>IF(ISNUMBER(Input!B8731),IF(AND(Input!B8731&gt;=20,Input!B8731&lt;=700),Input!B8731,""),"")</f>
        <v/>
      </c>
      <c r="C8731">
        <f>IF(B8731="","",INT(A8731))</f>
        <v/>
      </c>
      <c r="D8731">
        <f>IF(B8731="","",HOUR(A8731))</f>
        <v/>
      </c>
    </row>
    <row r="8732">
      <c r="A8732">
        <f>Input!A8732</f>
        <v/>
      </c>
      <c r="B8732">
        <f>IF(ISNUMBER(Input!B8732),IF(AND(Input!B8732&gt;=20,Input!B8732&lt;=700),Input!B8732,""),"")</f>
        <v/>
      </c>
      <c r="C8732">
        <f>IF(B8732="","",INT(A8732))</f>
        <v/>
      </c>
      <c r="D8732">
        <f>IF(B8732="","",HOUR(A8732))</f>
        <v/>
      </c>
    </row>
    <row r="8733">
      <c r="A8733">
        <f>Input!A8733</f>
        <v/>
      </c>
      <c r="B8733">
        <f>IF(ISNUMBER(Input!B8733),IF(AND(Input!B8733&gt;=20,Input!B8733&lt;=700),Input!B8733,""),"")</f>
        <v/>
      </c>
      <c r="C8733">
        <f>IF(B8733="","",INT(A8733))</f>
        <v/>
      </c>
      <c r="D8733">
        <f>IF(B8733="","",HOUR(A8733))</f>
        <v/>
      </c>
    </row>
    <row r="8734">
      <c r="A8734">
        <f>Input!A8734</f>
        <v/>
      </c>
      <c r="B8734">
        <f>IF(ISNUMBER(Input!B8734),IF(AND(Input!B8734&gt;=20,Input!B8734&lt;=700),Input!B8734,""),"")</f>
        <v/>
      </c>
      <c r="C8734">
        <f>IF(B8734="","",INT(A8734))</f>
        <v/>
      </c>
      <c r="D8734">
        <f>IF(B8734="","",HOUR(A8734))</f>
        <v/>
      </c>
    </row>
    <row r="8735">
      <c r="A8735">
        <f>Input!A8735</f>
        <v/>
      </c>
      <c r="B8735">
        <f>IF(ISNUMBER(Input!B8735),IF(AND(Input!B8735&gt;=20,Input!B8735&lt;=700),Input!B8735,""),"")</f>
        <v/>
      </c>
      <c r="C8735">
        <f>IF(B8735="","",INT(A8735))</f>
        <v/>
      </c>
      <c r="D8735">
        <f>IF(B8735="","",HOUR(A8735))</f>
        <v/>
      </c>
    </row>
    <row r="8736">
      <c r="A8736">
        <f>Input!A8736</f>
        <v/>
      </c>
      <c r="B8736">
        <f>IF(ISNUMBER(Input!B8736),IF(AND(Input!B8736&gt;=20,Input!B8736&lt;=700),Input!B8736,""),"")</f>
        <v/>
      </c>
      <c r="C8736">
        <f>IF(B8736="","",INT(A8736))</f>
        <v/>
      </c>
      <c r="D8736">
        <f>IF(B8736="","",HOUR(A8736))</f>
        <v/>
      </c>
    </row>
    <row r="8737">
      <c r="A8737">
        <f>Input!A8737</f>
        <v/>
      </c>
      <c r="B8737">
        <f>IF(ISNUMBER(Input!B8737),IF(AND(Input!B8737&gt;=20,Input!B8737&lt;=700),Input!B8737,""),"")</f>
        <v/>
      </c>
      <c r="C8737">
        <f>IF(B8737="","",INT(A8737))</f>
        <v/>
      </c>
      <c r="D8737">
        <f>IF(B8737="","",HOUR(A8737))</f>
        <v/>
      </c>
    </row>
    <row r="8738">
      <c r="A8738">
        <f>Input!A8738</f>
        <v/>
      </c>
      <c r="B8738">
        <f>IF(ISNUMBER(Input!B8738),IF(AND(Input!B8738&gt;=20,Input!B8738&lt;=700),Input!B8738,""),"")</f>
        <v/>
      </c>
      <c r="C8738">
        <f>IF(B8738="","",INT(A8738))</f>
        <v/>
      </c>
      <c r="D8738">
        <f>IF(B8738="","",HOUR(A8738))</f>
        <v/>
      </c>
    </row>
    <row r="8739">
      <c r="A8739">
        <f>Input!A8739</f>
        <v/>
      </c>
      <c r="B8739">
        <f>IF(ISNUMBER(Input!B8739),IF(AND(Input!B8739&gt;=20,Input!B8739&lt;=700),Input!B8739,""),"")</f>
        <v/>
      </c>
      <c r="C8739">
        <f>IF(B8739="","",INT(A8739))</f>
        <v/>
      </c>
      <c r="D8739">
        <f>IF(B8739="","",HOUR(A8739))</f>
        <v/>
      </c>
    </row>
    <row r="8740">
      <c r="A8740">
        <f>Input!A8740</f>
        <v/>
      </c>
      <c r="B8740">
        <f>IF(ISNUMBER(Input!B8740),IF(AND(Input!B8740&gt;=20,Input!B8740&lt;=700),Input!B8740,""),"")</f>
        <v/>
      </c>
      <c r="C8740">
        <f>IF(B8740="","",INT(A8740))</f>
        <v/>
      </c>
      <c r="D8740">
        <f>IF(B8740="","",HOUR(A8740))</f>
        <v/>
      </c>
    </row>
    <row r="8741">
      <c r="A8741">
        <f>Input!A8741</f>
        <v/>
      </c>
      <c r="B8741">
        <f>IF(ISNUMBER(Input!B8741),IF(AND(Input!B8741&gt;=20,Input!B8741&lt;=700),Input!B8741,""),"")</f>
        <v/>
      </c>
      <c r="C8741">
        <f>IF(B8741="","",INT(A8741))</f>
        <v/>
      </c>
      <c r="D8741">
        <f>IF(B8741="","",HOUR(A8741))</f>
        <v/>
      </c>
    </row>
    <row r="8742">
      <c r="A8742">
        <f>Input!A8742</f>
        <v/>
      </c>
      <c r="B8742">
        <f>IF(ISNUMBER(Input!B8742),IF(AND(Input!B8742&gt;=20,Input!B8742&lt;=700),Input!B8742,""),"")</f>
        <v/>
      </c>
      <c r="C8742">
        <f>IF(B8742="","",INT(A8742))</f>
        <v/>
      </c>
      <c r="D8742">
        <f>IF(B8742="","",HOUR(A8742))</f>
        <v/>
      </c>
    </row>
    <row r="8743">
      <c r="A8743">
        <f>Input!A8743</f>
        <v/>
      </c>
      <c r="B8743">
        <f>IF(ISNUMBER(Input!B8743),IF(AND(Input!B8743&gt;=20,Input!B8743&lt;=700),Input!B8743,""),"")</f>
        <v/>
      </c>
      <c r="C8743">
        <f>IF(B8743="","",INT(A8743))</f>
        <v/>
      </c>
      <c r="D8743">
        <f>IF(B8743="","",HOUR(A8743))</f>
        <v/>
      </c>
    </row>
    <row r="8744">
      <c r="A8744">
        <f>Input!A8744</f>
        <v/>
      </c>
      <c r="B8744">
        <f>IF(ISNUMBER(Input!B8744),IF(AND(Input!B8744&gt;=20,Input!B8744&lt;=700),Input!B8744,""),"")</f>
        <v/>
      </c>
      <c r="C8744">
        <f>IF(B8744="","",INT(A8744))</f>
        <v/>
      </c>
      <c r="D8744">
        <f>IF(B8744="","",HOUR(A8744))</f>
        <v/>
      </c>
    </row>
    <row r="8745">
      <c r="A8745">
        <f>Input!A8745</f>
        <v/>
      </c>
      <c r="B8745">
        <f>IF(ISNUMBER(Input!B8745),IF(AND(Input!B8745&gt;=20,Input!B8745&lt;=700),Input!B8745,""),"")</f>
        <v/>
      </c>
      <c r="C8745">
        <f>IF(B8745="","",INT(A8745))</f>
        <v/>
      </c>
      <c r="D8745">
        <f>IF(B8745="","",HOUR(A8745))</f>
        <v/>
      </c>
    </row>
    <row r="8746">
      <c r="A8746">
        <f>Input!A8746</f>
        <v/>
      </c>
      <c r="B8746">
        <f>IF(ISNUMBER(Input!B8746),IF(AND(Input!B8746&gt;=20,Input!B8746&lt;=700),Input!B8746,""),"")</f>
        <v/>
      </c>
      <c r="C8746">
        <f>IF(B8746="","",INT(A8746))</f>
        <v/>
      </c>
      <c r="D8746">
        <f>IF(B8746="","",HOUR(A8746))</f>
        <v/>
      </c>
    </row>
    <row r="8747">
      <c r="A8747">
        <f>Input!A8747</f>
        <v/>
      </c>
      <c r="B8747">
        <f>IF(ISNUMBER(Input!B8747),IF(AND(Input!B8747&gt;=20,Input!B8747&lt;=700),Input!B8747,""),"")</f>
        <v/>
      </c>
      <c r="C8747">
        <f>IF(B8747="","",INT(A8747))</f>
        <v/>
      </c>
      <c r="D8747">
        <f>IF(B8747="","",HOUR(A8747))</f>
        <v/>
      </c>
    </row>
    <row r="8748">
      <c r="A8748">
        <f>Input!A8748</f>
        <v/>
      </c>
      <c r="B8748">
        <f>IF(ISNUMBER(Input!B8748),IF(AND(Input!B8748&gt;=20,Input!B8748&lt;=700),Input!B8748,""),"")</f>
        <v/>
      </c>
      <c r="C8748">
        <f>IF(B8748="","",INT(A8748))</f>
        <v/>
      </c>
      <c r="D8748">
        <f>IF(B8748="","",HOUR(A8748))</f>
        <v/>
      </c>
    </row>
    <row r="8749">
      <c r="A8749">
        <f>Input!A8749</f>
        <v/>
      </c>
      <c r="B8749">
        <f>IF(ISNUMBER(Input!B8749),IF(AND(Input!B8749&gt;=20,Input!B8749&lt;=700),Input!B8749,""),"")</f>
        <v/>
      </c>
      <c r="C8749">
        <f>IF(B8749="","",INT(A8749))</f>
        <v/>
      </c>
      <c r="D8749">
        <f>IF(B8749="","",HOUR(A8749))</f>
        <v/>
      </c>
    </row>
    <row r="8750">
      <c r="A8750">
        <f>Input!A8750</f>
        <v/>
      </c>
      <c r="B8750">
        <f>IF(ISNUMBER(Input!B8750),IF(AND(Input!B8750&gt;=20,Input!B8750&lt;=700),Input!B8750,""),"")</f>
        <v/>
      </c>
      <c r="C8750">
        <f>IF(B8750="","",INT(A8750))</f>
        <v/>
      </c>
      <c r="D8750">
        <f>IF(B8750="","",HOUR(A8750))</f>
        <v/>
      </c>
    </row>
    <row r="8751">
      <c r="A8751">
        <f>Input!A8751</f>
        <v/>
      </c>
      <c r="B8751">
        <f>IF(ISNUMBER(Input!B8751),IF(AND(Input!B8751&gt;=20,Input!B8751&lt;=700),Input!B8751,""),"")</f>
        <v/>
      </c>
      <c r="C8751">
        <f>IF(B8751="","",INT(A8751))</f>
        <v/>
      </c>
      <c r="D8751">
        <f>IF(B8751="","",HOUR(A8751))</f>
        <v/>
      </c>
    </row>
    <row r="8752">
      <c r="A8752">
        <f>Input!A8752</f>
        <v/>
      </c>
      <c r="B8752">
        <f>IF(ISNUMBER(Input!B8752),IF(AND(Input!B8752&gt;=20,Input!B8752&lt;=700),Input!B8752,""),"")</f>
        <v/>
      </c>
      <c r="C8752">
        <f>IF(B8752="","",INT(A8752))</f>
        <v/>
      </c>
      <c r="D8752">
        <f>IF(B8752="","",HOUR(A8752))</f>
        <v/>
      </c>
    </row>
    <row r="8753">
      <c r="A8753">
        <f>Input!A8753</f>
        <v/>
      </c>
      <c r="B8753">
        <f>IF(ISNUMBER(Input!B8753),IF(AND(Input!B8753&gt;=20,Input!B8753&lt;=700),Input!B8753,""),"")</f>
        <v/>
      </c>
      <c r="C8753">
        <f>IF(B8753="","",INT(A8753))</f>
        <v/>
      </c>
      <c r="D8753">
        <f>IF(B8753="","",HOUR(A8753))</f>
        <v/>
      </c>
    </row>
    <row r="8754">
      <c r="A8754">
        <f>Input!A8754</f>
        <v/>
      </c>
      <c r="B8754">
        <f>IF(ISNUMBER(Input!B8754),IF(AND(Input!B8754&gt;=20,Input!B8754&lt;=700),Input!B8754,""),"")</f>
        <v/>
      </c>
      <c r="C8754">
        <f>IF(B8754="","",INT(A8754))</f>
        <v/>
      </c>
      <c r="D8754">
        <f>IF(B8754="","",HOUR(A8754))</f>
        <v/>
      </c>
    </row>
    <row r="8755">
      <c r="A8755">
        <f>Input!A8755</f>
        <v/>
      </c>
      <c r="B8755">
        <f>IF(ISNUMBER(Input!B8755),IF(AND(Input!B8755&gt;=20,Input!B8755&lt;=700),Input!B8755,""),"")</f>
        <v/>
      </c>
      <c r="C8755">
        <f>IF(B8755="","",INT(A8755))</f>
        <v/>
      </c>
      <c r="D8755">
        <f>IF(B8755="","",HOUR(A8755))</f>
        <v/>
      </c>
    </row>
    <row r="8756">
      <c r="A8756">
        <f>Input!A8756</f>
        <v/>
      </c>
      <c r="B8756">
        <f>IF(ISNUMBER(Input!B8756),IF(AND(Input!B8756&gt;=20,Input!B8756&lt;=700),Input!B8756,""),"")</f>
        <v/>
      </c>
      <c r="C8756">
        <f>IF(B8756="","",INT(A8756))</f>
        <v/>
      </c>
      <c r="D8756">
        <f>IF(B8756="","",HOUR(A8756))</f>
        <v/>
      </c>
    </row>
    <row r="8757">
      <c r="A8757">
        <f>Input!A8757</f>
        <v/>
      </c>
      <c r="B8757">
        <f>IF(ISNUMBER(Input!B8757),IF(AND(Input!B8757&gt;=20,Input!B8757&lt;=700),Input!B8757,""),"")</f>
        <v/>
      </c>
      <c r="C8757">
        <f>IF(B8757="","",INT(A8757))</f>
        <v/>
      </c>
      <c r="D8757">
        <f>IF(B8757="","",HOUR(A8757))</f>
        <v/>
      </c>
    </row>
    <row r="8758">
      <c r="A8758">
        <f>Input!A8758</f>
        <v/>
      </c>
      <c r="B8758">
        <f>IF(ISNUMBER(Input!B8758),IF(AND(Input!B8758&gt;=20,Input!B8758&lt;=700),Input!B8758,""),"")</f>
        <v/>
      </c>
      <c r="C8758">
        <f>IF(B8758="","",INT(A8758))</f>
        <v/>
      </c>
      <c r="D8758">
        <f>IF(B8758="","",HOUR(A8758))</f>
        <v/>
      </c>
    </row>
    <row r="8759">
      <c r="A8759">
        <f>Input!A8759</f>
        <v/>
      </c>
      <c r="B8759">
        <f>IF(ISNUMBER(Input!B8759),IF(AND(Input!B8759&gt;=20,Input!B8759&lt;=700),Input!B8759,""),"")</f>
        <v/>
      </c>
      <c r="C8759">
        <f>IF(B8759="","",INT(A8759))</f>
        <v/>
      </c>
      <c r="D8759">
        <f>IF(B8759="","",HOUR(A8759))</f>
        <v/>
      </c>
    </row>
    <row r="8760">
      <c r="A8760">
        <f>Input!A8760</f>
        <v/>
      </c>
      <c r="B8760">
        <f>IF(ISNUMBER(Input!B8760),IF(AND(Input!B8760&gt;=20,Input!B8760&lt;=700),Input!B8760,""),"")</f>
        <v/>
      </c>
      <c r="C8760">
        <f>IF(B8760="","",INT(A8760))</f>
        <v/>
      </c>
      <c r="D8760">
        <f>IF(B8760="","",HOUR(A8760))</f>
        <v/>
      </c>
    </row>
    <row r="8761">
      <c r="A8761">
        <f>Input!A8761</f>
        <v/>
      </c>
      <c r="B8761">
        <f>IF(ISNUMBER(Input!B8761),IF(AND(Input!B8761&gt;=20,Input!B8761&lt;=700),Input!B8761,""),"")</f>
        <v/>
      </c>
      <c r="C8761">
        <f>IF(B8761="","",INT(A8761))</f>
        <v/>
      </c>
      <c r="D8761">
        <f>IF(B8761="","",HOUR(A8761))</f>
        <v/>
      </c>
    </row>
    <row r="8762">
      <c r="A8762">
        <f>Input!A8762</f>
        <v/>
      </c>
      <c r="B8762">
        <f>IF(ISNUMBER(Input!B8762),IF(AND(Input!B8762&gt;=20,Input!B8762&lt;=700),Input!B8762,""),"")</f>
        <v/>
      </c>
      <c r="C8762">
        <f>IF(B8762="","",INT(A8762))</f>
        <v/>
      </c>
      <c r="D8762">
        <f>IF(B8762="","",HOUR(A8762))</f>
        <v/>
      </c>
    </row>
    <row r="8763">
      <c r="A8763">
        <f>Input!A8763</f>
        <v/>
      </c>
      <c r="B8763">
        <f>IF(ISNUMBER(Input!B8763),IF(AND(Input!B8763&gt;=20,Input!B8763&lt;=700),Input!B8763,""),"")</f>
        <v/>
      </c>
      <c r="C8763">
        <f>IF(B8763="","",INT(A8763))</f>
        <v/>
      </c>
      <c r="D8763">
        <f>IF(B8763="","",HOUR(A8763))</f>
        <v/>
      </c>
    </row>
    <row r="8764">
      <c r="A8764">
        <f>Input!A8764</f>
        <v/>
      </c>
      <c r="B8764">
        <f>IF(ISNUMBER(Input!B8764),IF(AND(Input!B8764&gt;=20,Input!B8764&lt;=700),Input!B8764,""),"")</f>
        <v/>
      </c>
      <c r="C8764">
        <f>IF(B8764="","",INT(A8764))</f>
        <v/>
      </c>
      <c r="D8764">
        <f>IF(B8764="","",HOUR(A8764))</f>
        <v/>
      </c>
    </row>
    <row r="8765">
      <c r="A8765">
        <f>Input!A8765</f>
        <v/>
      </c>
      <c r="B8765">
        <f>IF(ISNUMBER(Input!B8765),IF(AND(Input!B8765&gt;=20,Input!B8765&lt;=700),Input!B8765,""),"")</f>
        <v/>
      </c>
      <c r="C8765">
        <f>IF(B8765="","",INT(A8765))</f>
        <v/>
      </c>
      <c r="D8765">
        <f>IF(B8765="","",HOUR(A8765))</f>
        <v/>
      </c>
    </row>
    <row r="8766">
      <c r="A8766">
        <f>Input!A8766</f>
        <v/>
      </c>
      <c r="B8766">
        <f>IF(ISNUMBER(Input!B8766),IF(AND(Input!B8766&gt;=20,Input!B8766&lt;=700),Input!B8766,""),"")</f>
        <v/>
      </c>
      <c r="C8766">
        <f>IF(B8766="","",INT(A8766))</f>
        <v/>
      </c>
      <c r="D8766">
        <f>IF(B8766="","",HOUR(A8766))</f>
        <v/>
      </c>
    </row>
    <row r="8767">
      <c r="A8767">
        <f>Input!A8767</f>
        <v/>
      </c>
      <c r="B8767">
        <f>IF(ISNUMBER(Input!B8767),IF(AND(Input!B8767&gt;=20,Input!B8767&lt;=700),Input!B8767,""),"")</f>
        <v/>
      </c>
      <c r="C8767">
        <f>IF(B8767="","",INT(A8767))</f>
        <v/>
      </c>
      <c r="D8767">
        <f>IF(B8767="","",HOUR(A8767))</f>
        <v/>
      </c>
    </row>
    <row r="8768">
      <c r="A8768">
        <f>Input!A8768</f>
        <v/>
      </c>
      <c r="B8768">
        <f>IF(ISNUMBER(Input!B8768),IF(AND(Input!B8768&gt;=20,Input!B8768&lt;=700),Input!B8768,""),"")</f>
        <v/>
      </c>
      <c r="C8768">
        <f>IF(B8768="","",INT(A8768))</f>
        <v/>
      </c>
      <c r="D8768">
        <f>IF(B8768="","",HOUR(A8768))</f>
        <v/>
      </c>
    </row>
    <row r="8769">
      <c r="A8769">
        <f>Input!A8769</f>
        <v/>
      </c>
      <c r="B8769">
        <f>IF(ISNUMBER(Input!B8769),IF(AND(Input!B8769&gt;=20,Input!B8769&lt;=700),Input!B8769,""),"")</f>
        <v/>
      </c>
      <c r="C8769">
        <f>IF(B8769="","",INT(A8769))</f>
        <v/>
      </c>
      <c r="D8769">
        <f>IF(B8769="","",HOUR(A8769))</f>
        <v/>
      </c>
    </row>
    <row r="8770">
      <c r="A8770">
        <f>Input!A8770</f>
        <v/>
      </c>
      <c r="B8770">
        <f>IF(ISNUMBER(Input!B8770),IF(AND(Input!B8770&gt;=20,Input!B8770&lt;=700),Input!B8770,""),"")</f>
        <v/>
      </c>
      <c r="C8770">
        <f>IF(B8770="","",INT(A8770))</f>
        <v/>
      </c>
      <c r="D8770">
        <f>IF(B8770="","",HOUR(A8770))</f>
        <v/>
      </c>
    </row>
    <row r="8771">
      <c r="A8771">
        <f>Input!A8771</f>
        <v/>
      </c>
      <c r="B8771">
        <f>IF(ISNUMBER(Input!B8771),IF(AND(Input!B8771&gt;=20,Input!B8771&lt;=700),Input!B8771,""),"")</f>
        <v/>
      </c>
      <c r="C8771">
        <f>IF(B8771="","",INT(A8771))</f>
        <v/>
      </c>
      <c r="D8771">
        <f>IF(B8771="","",HOUR(A8771))</f>
        <v/>
      </c>
    </row>
    <row r="8772">
      <c r="A8772">
        <f>Input!A8772</f>
        <v/>
      </c>
      <c r="B8772">
        <f>IF(ISNUMBER(Input!B8772),IF(AND(Input!B8772&gt;=20,Input!B8772&lt;=700),Input!B8772,""),"")</f>
        <v/>
      </c>
      <c r="C8772">
        <f>IF(B8772="","",INT(A8772))</f>
        <v/>
      </c>
      <c r="D8772">
        <f>IF(B8772="","",HOUR(A8772))</f>
        <v/>
      </c>
    </row>
    <row r="8773">
      <c r="A8773">
        <f>Input!A8773</f>
        <v/>
      </c>
      <c r="B8773">
        <f>IF(ISNUMBER(Input!B8773),IF(AND(Input!B8773&gt;=20,Input!B8773&lt;=700),Input!B8773,""),"")</f>
        <v/>
      </c>
      <c r="C8773">
        <f>IF(B8773="","",INT(A8773))</f>
        <v/>
      </c>
      <c r="D8773">
        <f>IF(B8773="","",HOUR(A8773))</f>
        <v/>
      </c>
    </row>
    <row r="8774">
      <c r="A8774">
        <f>Input!A8774</f>
        <v/>
      </c>
      <c r="B8774">
        <f>IF(ISNUMBER(Input!B8774),IF(AND(Input!B8774&gt;=20,Input!B8774&lt;=700),Input!B8774,""),"")</f>
        <v/>
      </c>
      <c r="C8774">
        <f>IF(B8774="","",INT(A8774))</f>
        <v/>
      </c>
      <c r="D8774">
        <f>IF(B8774="","",HOUR(A8774))</f>
        <v/>
      </c>
    </row>
    <row r="8775">
      <c r="A8775">
        <f>Input!A8775</f>
        <v/>
      </c>
      <c r="B8775">
        <f>IF(ISNUMBER(Input!B8775),IF(AND(Input!B8775&gt;=20,Input!B8775&lt;=700),Input!B8775,""),"")</f>
        <v/>
      </c>
      <c r="C8775">
        <f>IF(B8775="","",INT(A8775))</f>
        <v/>
      </c>
      <c r="D8775">
        <f>IF(B8775="","",HOUR(A8775))</f>
        <v/>
      </c>
    </row>
    <row r="8776">
      <c r="A8776">
        <f>Input!A8776</f>
        <v/>
      </c>
      <c r="B8776">
        <f>IF(ISNUMBER(Input!B8776),IF(AND(Input!B8776&gt;=20,Input!B8776&lt;=700),Input!B8776,""),"")</f>
        <v/>
      </c>
      <c r="C8776">
        <f>IF(B8776="","",INT(A8776))</f>
        <v/>
      </c>
      <c r="D8776">
        <f>IF(B8776="","",HOUR(A8776))</f>
        <v/>
      </c>
    </row>
    <row r="8777">
      <c r="A8777">
        <f>Input!A8777</f>
        <v/>
      </c>
      <c r="B8777">
        <f>IF(ISNUMBER(Input!B8777),IF(AND(Input!B8777&gt;=20,Input!B8777&lt;=700),Input!B8777,""),"")</f>
        <v/>
      </c>
      <c r="C8777">
        <f>IF(B8777="","",INT(A8777))</f>
        <v/>
      </c>
      <c r="D8777">
        <f>IF(B8777="","",HOUR(A8777))</f>
        <v/>
      </c>
    </row>
    <row r="8778">
      <c r="A8778">
        <f>Input!A8778</f>
        <v/>
      </c>
      <c r="B8778">
        <f>IF(ISNUMBER(Input!B8778),IF(AND(Input!B8778&gt;=20,Input!B8778&lt;=700),Input!B8778,""),"")</f>
        <v/>
      </c>
      <c r="C8778">
        <f>IF(B8778="","",INT(A8778))</f>
        <v/>
      </c>
      <c r="D8778">
        <f>IF(B8778="","",HOUR(A8778))</f>
        <v/>
      </c>
    </row>
    <row r="8779">
      <c r="A8779">
        <f>Input!A8779</f>
        <v/>
      </c>
      <c r="B8779">
        <f>IF(ISNUMBER(Input!B8779),IF(AND(Input!B8779&gt;=20,Input!B8779&lt;=700),Input!B8779,""),"")</f>
        <v/>
      </c>
      <c r="C8779">
        <f>IF(B8779="","",INT(A8779))</f>
        <v/>
      </c>
      <c r="D8779">
        <f>IF(B8779="","",HOUR(A8779))</f>
        <v/>
      </c>
    </row>
    <row r="8780">
      <c r="A8780">
        <f>Input!A8780</f>
        <v/>
      </c>
      <c r="B8780">
        <f>IF(ISNUMBER(Input!B8780),IF(AND(Input!B8780&gt;=20,Input!B8780&lt;=700),Input!B8780,""),"")</f>
        <v/>
      </c>
      <c r="C8780">
        <f>IF(B8780="","",INT(A8780))</f>
        <v/>
      </c>
      <c r="D8780">
        <f>IF(B8780="","",HOUR(A8780))</f>
        <v/>
      </c>
    </row>
    <row r="8781">
      <c r="A8781">
        <f>Input!A8781</f>
        <v/>
      </c>
      <c r="B8781">
        <f>IF(ISNUMBER(Input!B8781),IF(AND(Input!B8781&gt;=20,Input!B8781&lt;=700),Input!B8781,""),"")</f>
        <v/>
      </c>
      <c r="C8781">
        <f>IF(B8781="","",INT(A8781))</f>
        <v/>
      </c>
      <c r="D8781">
        <f>IF(B8781="","",HOUR(A8781))</f>
        <v/>
      </c>
    </row>
    <row r="8782">
      <c r="A8782">
        <f>Input!A8782</f>
        <v/>
      </c>
      <c r="B8782">
        <f>IF(ISNUMBER(Input!B8782),IF(AND(Input!B8782&gt;=20,Input!B8782&lt;=700),Input!B8782,""),"")</f>
        <v/>
      </c>
      <c r="C8782">
        <f>IF(B8782="","",INT(A8782))</f>
        <v/>
      </c>
      <c r="D8782">
        <f>IF(B8782="","",HOUR(A8782))</f>
        <v/>
      </c>
    </row>
    <row r="8783">
      <c r="A8783">
        <f>Input!A8783</f>
        <v/>
      </c>
      <c r="B8783">
        <f>IF(ISNUMBER(Input!B8783),IF(AND(Input!B8783&gt;=20,Input!B8783&lt;=700),Input!B8783,""),"")</f>
        <v/>
      </c>
      <c r="C8783">
        <f>IF(B8783="","",INT(A8783))</f>
        <v/>
      </c>
      <c r="D8783">
        <f>IF(B8783="","",HOUR(A8783))</f>
        <v/>
      </c>
    </row>
    <row r="8784">
      <c r="A8784">
        <f>Input!A8784</f>
        <v/>
      </c>
      <c r="B8784">
        <f>IF(ISNUMBER(Input!B8784),IF(AND(Input!B8784&gt;=20,Input!B8784&lt;=700),Input!B8784,""),"")</f>
        <v/>
      </c>
      <c r="C8784">
        <f>IF(B8784="","",INT(A8784))</f>
        <v/>
      </c>
      <c r="D8784">
        <f>IF(B8784="","",HOUR(A8784))</f>
        <v/>
      </c>
    </row>
    <row r="8785">
      <c r="A8785">
        <f>Input!A8785</f>
        <v/>
      </c>
      <c r="B8785">
        <f>IF(ISNUMBER(Input!B8785),IF(AND(Input!B8785&gt;=20,Input!B8785&lt;=700),Input!B8785,""),"")</f>
        <v/>
      </c>
      <c r="C8785">
        <f>IF(B8785="","",INT(A8785))</f>
        <v/>
      </c>
      <c r="D8785">
        <f>IF(B8785="","",HOUR(A8785))</f>
        <v/>
      </c>
    </row>
    <row r="8786">
      <c r="A8786">
        <f>Input!A8786</f>
        <v/>
      </c>
      <c r="B8786">
        <f>IF(ISNUMBER(Input!B8786),IF(AND(Input!B8786&gt;=20,Input!B8786&lt;=700),Input!B8786,""),"")</f>
        <v/>
      </c>
      <c r="C8786">
        <f>IF(B8786="","",INT(A8786))</f>
        <v/>
      </c>
      <c r="D8786">
        <f>IF(B8786="","",HOUR(A8786))</f>
        <v/>
      </c>
    </row>
    <row r="8787">
      <c r="A8787">
        <f>Input!A8787</f>
        <v/>
      </c>
      <c r="B8787">
        <f>IF(ISNUMBER(Input!B8787),IF(AND(Input!B8787&gt;=20,Input!B8787&lt;=700),Input!B8787,""),"")</f>
        <v/>
      </c>
      <c r="C8787">
        <f>IF(B8787="","",INT(A8787))</f>
        <v/>
      </c>
      <c r="D8787">
        <f>IF(B8787="","",HOUR(A8787))</f>
        <v/>
      </c>
    </row>
    <row r="8788">
      <c r="A8788">
        <f>Input!A8788</f>
        <v/>
      </c>
      <c r="B8788">
        <f>IF(ISNUMBER(Input!B8788),IF(AND(Input!B8788&gt;=20,Input!B8788&lt;=700),Input!B8788,""),"")</f>
        <v/>
      </c>
      <c r="C8788">
        <f>IF(B8788="","",INT(A8788))</f>
        <v/>
      </c>
      <c r="D8788">
        <f>IF(B8788="","",HOUR(A8788))</f>
        <v/>
      </c>
    </row>
    <row r="8789">
      <c r="A8789">
        <f>Input!A8789</f>
        <v/>
      </c>
      <c r="B8789">
        <f>IF(ISNUMBER(Input!B8789),IF(AND(Input!B8789&gt;=20,Input!B8789&lt;=700),Input!B8789,""),"")</f>
        <v/>
      </c>
      <c r="C8789">
        <f>IF(B8789="","",INT(A8789))</f>
        <v/>
      </c>
      <c r="D8789">
        <f>IF(B8789="","",HOUR(A8789))</f>
        <v/>
      </c>
    </row>
    <row r="8790">
      <c r="A8790">
        <f>Input!A8790</f>
        <v/>
      </c>
      <c r="B8790">
        <f>IF(ISNUMBER(Input!B8790),IF(AND(Input!B8790&gt;=20,Input!B8790&lt;=700),Input!B8790,""),"")</f>
        <v/>
      </c>
      <c r="C8790">
        <f>IF(B8790="","",INT(A8790))</f>
        <v/>
      </c>
      <c r="D8790">
        <f>IF(B8790="","",HOUR(A8790))</f>
        <v/>
      </c>
    </row>
    <row r="8791">
      <c r="A8791">
        <f>Input!A8791</f>
        <v/>
      </c>
      <c r="B8791">
        <f>IF(ISNUMBER(Input!B8791),IF(AND(Input!B8791&gt;=20,Input!B8791&lt;=700),Input!B8791,""),"")</f>
        <v/>
      </c>
      <c r="C8791">
        <f>IF(B8791="","",INT(A8791))</f>
        <v/>
      </c>
      <c r="D8791">
        <f>IF(B8791="","",HOUR(A8791))</f>
        <v/>
      </c>
    </row>
    <row r="8792">
      <c r="A8792">
        <f>Input!A8792</f>
        <v/>
      </c>
      <c r="B8792">
        <f>IF(ISNUMBER(Input!B8792),IF(AND(Input!B8792&gt;=20,Input!B8792&lt;=700),Input!B8792,""),"")</f>
        <v/>
      </c>
      <c r="C8792">
        <f>IF(B8792="","",INT(A8792))</f>
        <v/>
      </c>
      <c r="D8792">
        <f>IF(B8792="","",HOUR(A8792))</f>
        <v/>
      </c>
    </row>
    <row r="8793">
      <c r="A8793">
        <f>Input!A8793</f>
        <v/>
      </c>
      <c r="B8793">
        <f>IF(ISNUMBER(Input!B8793),IF(AND(Input!B8793&gt;=20,Input!B8793&lt;=700),Input!B8793,""),"")</f>
        <v/>
      </c>
      <c r="C8793">
        <f>IF(B8793="","",INT(A8793))</f>
        <v/>
      </c>
      <c r="D8793">
        <f>IF(B8793="","",HOUR(A8793))</f>
        <v/>
      </c>
    </row>
    <row r="8794">
      <c r="A8794">
        <f>Input!A8794</f>
        <v/>
      </c>
      <c r="B8794">
        <f>IF(ISNUMBER(Input!B8794),IF(AND(Input!B8794&gt;=20,Input!B8794&lt;=700),Input!B8794,""),"")</f>
        <v/>
      </c>
      <c r="C8794">
        <f>IF(B8794="","",INT(A8794))</f>
        <v/>
      </c>
      <c r="D8794">
        <f>IF(B8794="","",HOUR(A8794))</f>
        <v/>
      </c>
    </row>
    <row r="8795">
      <c r="A8795">
        <f>Input!A8795</f>
        <v/>
      </c>
      <c r="B8795">
        <f>IF(ISNUMBER(Input!B8795),IF(AND(Input!B8795&gt;=20,Input!B8795&lt;=700),Input!B8795,""),"")</f>
        <v/>
      </c>
      <c r="C8795">
        <f>IF(B8795="","",INT(A8795))</f>
        <v/>
      </c>
      <c r="D8795">
        <f>IF(B8795="","",HOUR(A8795))</f>
        <v/>
      </c>
    </row>
    <row r="8796">
      <c r="A8796">
        <f>Input!A8796</f>
        <v/>
      </c>
      <c r="B8796">
        <f>IF(ISNUMBER(Input!B8796),IF(AND(Input!B8796&gt;=20,Input!B8796&lt;=700),Input!B8796,""),"")</f>
        <v/>
      </c>
      <c r="C8796">
        <f>IF(B8796="","",INT(A8796))</f>
        <v/>
      </c>
      <c r="D8796">
        <f>IF(B8796="","",HOUR(A8796))</f>
        <v/>
      </c>
    </row>
    <row r="8797">
      <c r="A8797">
        <f>Input!A8797</f>
        <v/>
      </c>
      <c r="B8797">
        <f>IF(ISNUMBER(Input!B8797),IF(AND(Input!B8797&gt;=20,Input!B8797&lt;=700),Input!B8797,""),"")</f>
        <v/>
      </c>
      <c r="C8797">
        <f>IF(B8797="","",INT(A8797))</f>
        <v/>
      </c>
      <c r="D8797">
        <f>IF(B8797="","",HOUR(A8797))</f>
        <v/>
      </c>
    </row>
    <row r="8798">
      <c r="A8798">
        <f>Input!A8798</f>
        <v/>
      </c>
      <c r="B8798">
        <f>IF(ISNUMBER(Input!B8798),IF(AND(Input!B8798&gt;=20,Input!B8798&lt;=700),Input!B8798,""),"")</f>
        <v/>
      </c>
      <c r="C8798">
        <f>IF(B8798="","",INT(A8798))</f>
        <v/>
      </c>
      <c r="D8798">
        <f>IF(B8798="","",HOUR(A8798))</f>
        <v/>
      </c>
    </row>
    <row r="8799">
      <c r="A8799">
        <f>Input!A8799</f>
        <v/>
      </c>
      <c r="B8799">
        <f>IF(ISNUMBER(Input!B8799),IF(AND(Input!B8799&gt;=20,Input!B8799&lt;=700),Input!B8799,""),"")</f>
        <v/>
      </c>
      <c r="C8799">
        <f>IF(B8799="","",INT(A8799))</f>
        <v/>
      </c>
      <c r="D8799">
        <f>IF(B8799="","",HOUR(A8799))</f>
        <v/>
      </c>
    </row>
    <row r="8800">
      <c r="A8800">
        <f>Input!A8800</f>
        <v/>
      </c>
      <c r="B8800">
        <f>IF(ISNUMBER(Input!B8800),IF(AND(Input!B8800&gt;=20,Input!B8800&lt;=700),Input!B8800,""),"")</f>
        <v/>
      </c>
      <c r="C8800">
        <f>IF(B8800="","",INT(A8800))</f>
        <v/>
      </c>
      <c r="D8800">
        <f>IF(B8800="","",HOUR(A8800))</f>
        <v/>
      </c>
    </row>
    <row r="8801">
      <c r="A8801">
        <f>Input!A8801</f>
        <v/>
      </c>
      <c r="B8801">
        <f>IF(ISNUMBER(Input!B8801),IF(AND(Input!B8801&gt;=20,Input!B8801&lt;=700),Input!B8801,""),"")</f>
        <v/>
      </c>
      <c r="C8801">
        <f>IF(B8801="","",INT(A8801))</f>
        <v/>
      </c>
      <c r="D8801">
        <f>IF(B8801="","",HOUR(A8801))</f>
        <v/>
      </c>
    </row>
    <row r="8802">
      <c r="A8802">
        <f>Input!A8802</f>
        <v/>
      </c>
      <c r="B8802">
        <f>IF(ISNUMBER(Input!B8802),IF(AND(Input!B8802&gt;=20,Input!B8802&lt;=700),Input!B8802,""),"")</f>
        <v/>
      </c>
      <c r="C8802">
        <f>IF(B8802="","",INT(A8802))</f>
        <v/>
      </c>
      <c r="D8802">
        <f>IF(B8802="","",HOUR(A8802))</f>
        <v/>
      </c>
    </row>
    <row r="8803">
      <c r="A8803">
        <f>Input!A8803</f>
        <v/>
      </c>
      <c r="B8803">
        <f>IF(ISNUMBER(Input!B8803),IF(AND(Input!B8803&gt;=20,Input!B8803&lt;=700),Input!B8803,""),"")</f>
        <v/>
      </c>
      <c r="C8803">
        <f>IF(B8803="","",INT(A8803))</f>
        <v/>
      </c>
      <c r="D8803">
        <f>IF(B8803="","",HOUR(A8803))</f>
        <v/>
      </c>
    </row>
    <row r="8804">
      <c r="A8804">
        <f>Input!A8804</f>
        <v/>
      </c>
      <c r="B8804">
        <f>IF(ISNUMBER(Input!B8804),IF(AND(Input!B8804&gt;=20,Input!B8804&lt;=700),Input!B8804,""),"")</f>
        <v/>
      </c>
      <c r="C8804">
        <f>IF(B8804="","",INT(A8804))</f>
        <v/>
      </c>
      <c r="D8804">
        <f>IF(B8804="","",HOUR(A8804))</f>
        <v/>
      </c>
    </row>
    <row r="8805">
      <c r="A8805">
        <f>Input!A8805</f>
        <v/>
      </c>
      <c r="B8805">
        <f>IF(ISNUMBER(Input!B8805),IF(AND(Input!B8805&gt;=20,Input!B8805&lt;=700),Input!B8805,""),"")</f>
        <v/>
      </c>
      <c r="C8805">
        <f>IF(B8805="","",INT(A8805))</f>
        <v/>
      </c>
      <c r="D8805">
        <f>IF(B8805="","",HOUR(A8805))</f>
        <v/>
      </c>
    </row>
    <row r="8806">
      <c r="A8806">
        <f>Input!A8806</f>
        <v/>
      </c>
      <c r="B8806">
        <f>IF(ISNUMBER(Input!B8806),IF(AND(Input!B8806&gt;=20,Input!B8806&lt;=700),Input!B8806,""),"")</f>
        <v/>
      </c>
      <c r="C8806">
        <f>IF(B8806="","",INT(A8806))</f>
        <v/>
      </c>
      <c r="D8806">
        <f>IF(B8806="","",HOUR(A8806))</f>
        <v/>
      </c>
    </row>
    <row r="8807">
      <c r="A8807">
        <f>Input!A8807</f>
        <v/>
      </c>
      <c r="B8807">
        <f>IF(ISNUMBER(Input!B8807),IF(AND(Input!B8807&gt;=20,Input!B8807&lt;=700),Input!B8807,""),"")</f>
        <v/>
      </c>
      <c r="C8807">
        <f>IF(B8807="","",INT(A8807))</f>
        <v/>
      </c>
      <c r="D8807">
        <f>IF(B8807="","",HOUR(A8807))</f>
        <v/>
      </c>
    </row>
    <row r="8808">
      <c r="A8808">
        <f>Input!A8808</f>
        <v/>
      </c>
      <c r="B8808">
        <f>IF(ISNUMBER(Input!B8808),IF(AND(Input!B8808&gt;=20,Input!B8808&lt;=700),Input!B8808,""),"")</f>
        <v/>
      </c>
      <c r="C8808">
        <f>IF(B8808="","",INT(A8808))</f>
        <v/>
      </c>
      <c r="D8808">
        <f>IF(B8808="","",HOUR(A8808))</f>
        <v/>
      </c>
    </row>
    <row r="8809">
      <c r="A8809">
        <f>Input!A8809</f>
        <v/>
      </c>
      <c r="B8809">
        <f>IF(ISNUMBER(Input!B8809),IF(AND(Input!B8809&gt;=20,Input!B8809&lt;=700),Input!B8809,""),"")</f>
        <v/>
      </c>
      <c r="C8809">
        <f>IF(B8809="","",INT(A8809))</f>
        <v/>
      </c>
      <c r="D8809">
        <f>IF(B8809="","",HOUR(A8809))</f>
        <v/>
      </c>
    </row>
    <row r="8810">
      <c r="A8810">
        <f>Input!A8810</f>
        <v/>
      </c>
      <c r="B8810">
        <f>IF(ISNUMBER(Input!B8810),IF(AND(Input!B8810&gt;=20,Input!B8810&lt;=700),Input!B8810,""),"")</f>
        <v/>
      </c>
      <c r="C8810">
        <f>IF(B8810="","",INT(A8810))</f>
        <v/>
      </c>
      <c r="D8810">
        <f>IF(B8810="","",HOUR(A8810))</f>
        <v/>
      </c>
    </row>
    <row r="8811">
      <c r="A8811">
        <f>Input!A8811</f>
        <v/>
      </c>
      <c r="B8811">
        <f>IF(ISNUMBER(Input!B8811),IF(AND(Input!B8811&gt;=20,Input!B8811&lt;=700),Input!B8811,""),"")</f>
        <v/>
      </c>
      <c r="C8811">
        <f>IF(B8811="","",INT(A8811))</f>
        <v/>
      </c>
      <c r="D8811">
        <f>IF(B8811="","",HOUR(A8811))</f>
        <v/>
      </c>
    </row>
    <row r="8812">
      <c r="A8812">
        <f>Input!A8812</f>
        <v/>
      </c>
      <c r="B8812">
        <f>IF(ISNUMBER(Input!B8812),IF(AND(Input!B8812&gt;=20,Input!B8812&lt;=700),Input!B8812,""),"")</f>
        <v/>
      </c>
      <c r="C8812">
        <f>IF(B8812="","",INT(A8812))</f>
        <v/>
      </c>
      <c r="D8812">
        <f>IF(B8812="","",HOUR(A8812))</f>
        <v/>
      </c>
    </row>
    <row r="8813">
      <c r="A8813">
        <f>Input!A8813</f>
        <v/>
      </c>
      <c r="B8813">
        <f>IF(ISNUMBER(Input!B8813),IF(AND(Input!B8813&gt;=20,Input!B8813&lt;=700),Input!B8813,""),"")</f>
        <v/>
      </c>
      <c r="C8813">
        <f>IF(B8813="","",INT(A8813))</f>
        <v/>
      </c>
      <c r="D8813">
        <f>IF(B8813="","",HOUR(A8813))</f>
        <v/>
      </c>
    </row>
    <row r="8814">
      <c r="A8814">
        <f>Input!A8814</f>
        <v/>
      </c>
      <c r="B8814">
        <f>IF(ISNUMBER(Input!B8814),IF(AND(Input!B8814&gt;=20,Input!B8814&lt;=700),Input!B8814,""),"")</f>
        <v/>
      </c>
      <c r="C8814">
        <f>IF(B8814="","",INT(A8814))</f>
        <v/>
      </c>
      <c r="D8814">
        <f>IF(B8814="","",HOUR(A8814))</f>
        <v/>
      </c>
    </row>
    <row r="8815">
      <c r="A8815">
        <f>Input!A8815</f>
        <v/>
      </c>
      <c r="B8815">
        <f>IF(ISNUMBER(Input!B8815),IF(AND(Input!B8815&gt;=20,Input!B8815&lt;=700),Input!B8815,""),"")</f>
        <v/>
      </c>
      <c r="C8815">
        <f>IF(B8815="","",INT(A8815))</f>
        <v/>
      </c>
      <c r="D8815">
        <f>IF(B8815="","",HOUR(A8815))</f>
        <v/>
      </c>
    </row>
    <row r="8816">
      <c r="A8816">
        <f>Input!A8816</f>
        <v/>
      </c>
      <c r="B8816">
        <f>IF(ISNUMBER(Input!B8816),IF(AND(Input!B8816&gt;=20,Input!B8816&lt;=700),Input!B8816,""),"")</f>
        <v/>
      </c>
      <c r="C8816">
        <f>IF(B8816="","",INT(A8816))</f>
        <v/>
      </c>
      <c r="D8816">
        <f>IF(B8816="","",HOUR(A8816))</f>
        <v/>
      </c>
    </row>
    <row r="8817">
      <c r="A8817">
        <f>Input!A8817</f>
        <v/>
      </c>
      <c r="B8817">
        <f>IF(ISNUMBER(Input!B8817),IF(AND(Input!B8817&gt;=20,Input!B8817&lt;=700),Input!B8817,""),"")</f>
        <v/>
      </c>
      <c r="C8817">
        <f>IF(B8817="","",INT(A8817))</f>
        <v/>
      </c>
      <c r="D8817">
        <f>IF(B8817="","",HOUR(A8817))</f>
        <v/>
      </c>
    </row>
    <row r="8818">
      <c r="A8818">
        <f>Input!A8818</f>
        <v/>
      </c>
      <c r="B8818">
        <f>IF(ISNUMBER(Input!B8818),IF(AND(Input!B8818&gt;=20,Input!B8818&lt;=700),Input!B8818,""),"")</f>
        <v/>
      </c>
      <c r="C8818">
        <f>IF(B8818="","",INT(A8818))</f>
        <v/>
      </c>
      <c r="D8818">
        <f>IF(B8818="","",HOUR(A8818))</f>
        <v/>
      </c>
    </row>
    <row r="8819">
      <c r="A8819">
        <f>Input!A8819</f>
        <v/>
      </c>
      <c r="B8819">
        <f>IF(ISNUMBER(Input!B8819),IF(AND(Input!B8819&gt;=20,Input!B8819&lt;=700),Input!B8819,""),"")</f>
        <v/>
      </c>
      <c r="C8819">
        <f>IF(B8819="","",INT(A8819))</f>
        <v/>
      </c>
      <c r="D8819">
        <f>IF(B8819="","",HOUR(A8819))</f>
        <v/>
      </c>
    </row>
    <row r="8820">
      <c r="A8820">
        <f>Input!A8820</f>
        <v/>
      </c>
      <c r="B8820">
        <f>IF(ISNUMBER(Input!B8820),IF(AND(Input!B8820&gt;=20,Input!B8820&lt;=700),Input!B8820,""),"")</f>
        <v/>
      </c>
      <c r="C8820">
        <f>IF(B8820="","",INT(A8820))</f>
        <v/>
      </c>
      <c r="D8820">
        <f>IF(B8820="","",HOUR(A8820))</f>
        <v/>
      </c>
    </row>
    <row r="8821">
      <c r="A8821">
        <f>Input!A8821</f>
        <v/>
      </c>
      <c r="B8821">
        <f>IF(ISNUMBER(Input!B8821),IF(AND(Input!B8821&gt;=20,Input!B8821&lt;=700),Input!B8821,""),"")</f>
        <v/>
      </c>
      <c r="C8821">
        <f>IF(B8821="","",INT(A8821))</f>
        <v/>
      </c>
      <c r="D8821">
        <f>IF(B8821="","",HOUR(A8821))</f>
        <v/>
      </c>
    </row>
    <row r="8822">
      <c r="A8822">
        <f>Input!A8822</f>
        <v/>
      </c>
      <c r="B8822">
        <f>IF(ISNUMBER(Input!B8822),IF(AND(Input!B8822&gt;=20,Input!B8822&lt;=700),Input!B8822,""),"")</f>
        <v/>
      </c>
      <c r="C8822">
        <f>IF(B8822="","",INT(A8822))</f>
        <v/>
      </c>
      <c r="D8822">
        <f>IF(B8822="","",HOUR(A8822))</f>
        <v/>
      </c>
    </row>
    <row r="8823">
      <c r="A8823">
        <f>Input!A8823</f>
        <v/>
      </c>
      <c r="B8823">
        <f>IF(ISNUMBER(Input!B8823),IF(AND(Input!B8823&gt;=20,Input!B8823&lt;=700),Input!B8823,""),"")</f>
        <v/>
      </c>
      <c r="C8823">
        <f>IF(B8823="","",INT(A8823))</f>
        <v/>
      </c>
      <c r="D8823">
        <f>IF(B8823="","",HOUR(A8823))</f>
        <v/>
      </c>
    </row>
    <row r="8824">
      <c r="A8824">
        <f>Input!A8824</f>
        <v/>
      </c>
      <c r="B8824">
        <f>IF(ISNUMBER(Input!B8824),IF(AND(Input!B8824&gt;=20,Input!B8824&lt;=700),Input!B8824,""),"")</f>
        <v/>
      </c>
      <c r="C8824">
        <f>IF(B8824="","",INT(A8824))</f>
        <v/>
      </c>
      <c r="D8824">
        <f>IF(B8824="","",HOUR(A8824))</f>
        <v/>
      </c>
    </row>
    <row r="8825">
      <c r="A8825">
        <f>Input!A8825</f>
        <v/>
      </c>
      <c r="B8825">
        <f>IF(ISNUMBER(Input!B8825),IF(AND(Input!B8825&gt;=20,Input!B8825&lt;=700),Input!B8825,""),"")</f>
        <v/>
      </c>
      <c r="C8825">
        <f>IF(B8825="","",INT(A8825))</f>
        <v/>
      </c>
      <c r="D8825">
        <f>IF(B8825="","",HOUR(A8825))</f>
        <v/>
      </c>
    </row>
    <row r="8826">
      <c r="A8826">
        <f>Input!A8826</f>
        <v/>
      </c>
      <c r="B8826">
        <f>IF(ISNUMBER(Input!B8826),IF(AND(Input!B8826&gt;=20,Input!B8826&lt;=700),Input!B8826,""),"")</f>
        <v/>
      </c>
      <c r="C8826">
        <f>IF(B8826="","",INT(A8826))</f>
        <v/>
      </c>
      <c r="D8826">
        <f>IF(B8826="","",HOUR(A8826))</f>
        <v/>
      </c>
    </row>
    <row r="8827">
      <c r="A8827">
        <f>Input!A8827</f>
        <v/>
      </c>
      <c r="B8827">
        <f>IF(ISNUMBER(Input!B8827),IF(AND(Input!B8827&gt;=20,Input!B8827&lt;=700),Input!B8827,""),"")</f>
        <v/>
      </c>
      <c r="C8827">
        <f>IF(B8827="","",INT(A8827))</f>
        <v/>
      </c>
      <c r="D8827">
        <f>IF(B8827="","",HOUR(A8827))</f>
        <v/>
      </c>
    </row>
    <row r="8828">
      <c r="A8828">
        <f>Input!A8828</f>
        <v/>
      </c>
      <c r="B8828">
        <f>IF(ISNUMBER(Input!B8828),IF(AND(Input!B8828&gt;=20,Input!B8828&lt;=700),Input!B8828,""),"")</f>
        <v/>
      </c>
      <c r="C8828">
        <f>IF(B8828="","",INT(A8828))</f>
        <v/>
      </c>
      <c r="D8828">
        <f>IF(B8828="","",HOUR(A8828))</f>
        <v/>
      </c>
    </row>
    <row r="8829">
      <c r="A8829">
        <f>Input!A8829</f>
        <v/>
      </c>
      <c r="B8829">
        <f>IF(ISNUMBER(Input!B8829),IF(AND(Input!B8829&gt;=20,Input!B8829&lt;=700),Input!B8829,""),"")</f>
        <v/>
      </c>
      <c r="C8829">
        <f>IF(B8829="","",INT(A8829))</f>
        <v/>
      </c>
      <c r="D8829">
        <f>IF(B8829="","",HOUR(A8829))</f>
        <v/>
      </c>
    </row>
    <row r="8830">
      <c r="A8830">
        <f>Input!A8830</f>
        <v/>
      </c>
      <c r="B8830">
        <f>IF(ISNUMBER(Input!B8830),IF(AND(Input!B8830&gt;=20,Input!B8830&lt;=700),Input!B8830,""),"")</f>
        <v/>
      </c>
      <c r="C8830">
        <f>IF(B8830="","",INT(A8830))</f>
        <v/>
      </c>
      <c r="D8830">
        <f>IF(B8830="","",HOUR(A8830))</f>
        <v/>
      </c>
    </row>
    <row r="8831">
      <c r="A8831">
        <f>Input!A8831</f>
        <v/>
      </c>
      <c r="B8831">
        <f>IF(ISNUMBER(Input!B8831),IF(AND(Input!B8831&gt;=20,Input!B8831&lt;=700),Input!B8831,""),"")</f>
        <v/>
      </c>
      <c r="C8831">
        <f>IF(B8831="","",INT(A8831))</f>
        <v/>
      </c>
      <c r="D8831">
        <f>IF(B8831="","",HOUR(A8831))</f>
        <v/>
      </c>
    </row>
    <row r="8832">
      <c r="A8832">
        <f>Input!A8832</f>
        <v/>
      </c>
      <c r="B8832">
        <f>IF(ISNUMBER(Input!B8832),IF(AND(Input!B8832&gt;=20,Input!B8832&lt;=700),Input!B8832,""),"")</f>
        <v/>
      </c>
      <c r="C8832">
        <f>IF(B8832="","",INT(A8832))</f>
        <v/>
      </c>
      <c r="D8832">
        <f>IF(B8832="","",HOUR(A8832))</f>
        <v/>
      </c>
    </row>
    <row r="8833">
      <c r="A8833">
        <f>Input!A8833</f>
        <v/>
      </c>
      <c r="B8833">
        <f>IF(ISNUMBER(Input!B8833),IF(AND(Input!B8833&gt;=20,Input!B8833&lt;=700),Input!B8833,""),"")</f>
        <v/>
      </c>
      <c r="C8833">
        <f>IF(B8833="","",INT(A8833))</f>
        <v/>
      </c>
      <c r="D8833">
        <f>IF(B8833="","",HOUR(A8833))</f>
        <v/>
      </c>
    </row>
    <row r="8834">
      <c r="A8834">
        <f>Input!A8834</f>
        <v/>
      </c>
      <c r="B8834">
        <f>IF(ISNUMBER(Input!B8834),IF(AND(Input!B8834&gt;=20,Input!B8834&lt;=700),Input!B8834,""),"")</f>
        <v/>
      </c>
      <c r="C8834">
        <f>IF(B8834="","",INT(A8834))</f>
        <v/>
      </c>
      <c r="D8834">
        <f>IF(B8834="","",HOUR(A8834))</f>
        <v/>
      </c>
    </row>
    <row r="8835">
      <c r="A8835">
        <f>Input!A8835</f>
        <v/>
      </c>
      <c r="B8835">
        <f>IF(ISNUMBER(Input!B8835),IF(AND(Input!B8835&gt;=20,Input!B8835&lt;=700),Input!B8835,""),"")</f>
        <v/>
      </c>
      <c r="C8835">
        <f>IF(B8835="","",INT(A8835))</f>
        <v/>
      </c>
      <c r="D8835">
        <f>IF(B8835="","",HOUR(A8835))</f>
        <v/>
      </c>
    </row>
    <row r="8836">
      <c r="A8836">
        <f>Input!A8836</f>
        <v/>
      </c>
      <c r="B8836">
        <f>IF(ISNUMBER(Input!B8836),IF(AND(Input!B8836&gt;=20,Input!B8836&lt;=700),Input!B8836,""),"")</f>
        <v/>
      </c>
      <c r="C8836">
        <f>IF(B8836="","",INT(A8836))</f>
        <v/>
      </c>
      <c r="D8836">
        <f>IF(B8836="","",HOUR(A8836))</f>
        <v/>
      </c>
    </row>
    <row r="8837">
      <c r="A8837">
        <f>Input!A8837</f>
        <v/>
      </c>
      <c r="B8837">
        <f>IF(ISNUMBER(Input!B8837),IF(AND(Input!B8837&gt;=20,Input!B8837&lt;=700),Input!B8837,""),"")</f>
        <v/>
      </c>
      <c r="C8837">
        <f>IF(B8837="","",INT(A8837))</f>
        <v/>
      </c>
      <c r="D8837">
        <f>IF(B8837="","",HOUR(A8837))</f>
        <v/>
      </c>
    </row>
    <row r="8838">
      <c r="A8838">
        <f>Input!A8838</f>
        <v/>
      </c>
      <c r="B8838">
        <f>IF(ISNUMBER(Input!B8838),IF(AND(Input!B8838&gt;=20,Input!B8838&lt;=700),Input!B8838,""),"")</f>
        <v/>
      </c>
      <c r="C8838">
        <f>IF(B8838="","",INT(A8838))</f>
        <v/>
      </c>
      <c r="D8838">
        <f>IF(B8838="","",HOUR(A8838))</f>
        <v/>
      </c>
    </row>
    <row r="8839">
      <c r="A8839">
        <f>Input!A8839</f>
        <v/>
      </c>
      <c r="B8839">
        <f>IF(ISNUMBER(Input!B8839),IF(AND(Input!B8839&gt;=20,Input!B8839&lt;=700),Input!B8839,""),"")</f>
        <v/>
      </c>
      <c r="C8839">
        <f>IF(B8839="","",INT(A8839))</f>
        <v/>
      </c>
      <c r="D8839">
        <f>IF(B8839="","",HOUR(A8839))</f>
        <v/>
      </c>
    </row>
    <row r="8840">
      <c r="A8840">
        <f>Input!A8840</f>
        <v/>
      </c>
      <c r="B8840">
        <f>IF(ISNUMBER(Input!B8840),IF(AND(Input!B8840&gt;=20,Input!B8840&lt;=700),Input!B8840,""),"")</f>
        <v/>
      </c>
      <c r="C8840">
        <f>IF(B8840="","",INT(A8840))</f>
        <v/>
      </c>
      <c r="D8840">
        <f>IF(B8840="","",HOUR(A8840))</f>
        <v/>
      </c>
    </row>
    <row r="8841">
      <c r="A8841">
        <f>Input!A8841</f>
        <v/>
      </c>
      <c r="B8841">
        <f>IF(ISNUMBER(Input!B8841),IF(AND(Input!B8841&gt;=20,Input!B8841&lt;=700),Input!B8841,""),"")</f>
        <v/>
      </c>
      <c r="C8841">
        <f>IF(B8841="","",INT(A8841))</f>
        <v/>
      </c>
      <c r="D8841">
        <f>IF(B8841="","",HOUR(A8841))</f>
        <v/>
      </c>
    </row>
    <row r="8842">
      <c r="A8842">
        <f>Input!A8842</f>
        <v/>
      </c>
      <c r="B8842">
        <f>IF(ISNUMBER(Input!B8842),IF(AND(Input!B8842&gt;=20,Input!B8842&lt;=700),Input!B8842,""),"")</f>
        <v/>
      </c>
      <c r="C8842">
        <f>IF(B8842="","",INT(A8842))</f>
        <v/>
      </c>
      <c r="D8842">
        <f>IF(B8842="","",HOUR(A8842))</f>
        <v/>
      </c>
    </row>
    <row r="8843">
      <c r="A8843">
        <f>Input!A8843</f>
        <v/>
      </c>
      <c r="B8843">
        <f>IF(ISNUMBER(Input!B8843),IF(AND(Input!B8843&gt;=20,Input!B8843&lt;=700),Input!B8843,""),"")</f>
        <v/>
      </c>
      <c r="C8843">
        <f>IF(B8843="","",INT(A8843))</f>
        <v/>
      </c>
      <c r="D8843">
        <f>IF(B8843="","",HOUR(A8843))</f>
        <v/>
      </c>
    </row>
    <row r="8844">
      <c r="A8844">
        <f>Input!A8844</f>
        <v/>
      </c>
      <c r="B8844">
        <f>IF(ISNUMBER(Input!B8844),IF(AND(Input!B8844&gt;=20,Input!B8844&lt;=700),Input!B8844,""),"")</f>
        <v/>
      </c>
      <c r="C8844">
        <f>IF(B8844="","",INT(A8844))</f>
        <v/>
      </c>
      <c r="D8844">
        <f>IF(B8844="","",HOUR(A8844))</f>
        <v/>
      </c>
    </row>
    <row r="8845">
      <c r="A8845">
        <f>Input!A8845</f>
        <v/>
      </c>
      <c r="B8845">
        <f>IF(ISNUMBER(Input!B8845),IF(AND(Input!B8845&gt;=20,Input!B8845&lt;=700),Input!B8845,""),"")</f>
        <v/>
      </c>
      <c r="C8845">
        <f>IF(B8845="","",INT(A8845))</f>
        <v/>
      </c>
      <c r="D8845">
        <f>IF(B8845="","",HOUR(A8845))</f>
        <v/>
      </c>
    </row>
    <row r="8846">
      <c r="A8846">
        <f>Input!A8846</f>
        <v/>
      </c>
      <c r="B8846">
        <f>IF(ISNUMBER(Input!B8846),IF(AND(Input!B8846&gt;=20,Input!B8846&lt;=700),Input!B8846,""),"")</f>
        <v/>
      </c>
      <c r="C8846">
        <f>IF(B8846="","",INT(A8846))</f>
        <v/>
      </c>
      <c r="D8846">
        <f>IF(B8846="","",HOUR(A8846))</f>
        <v/>
      </c>
    </row>
    <row r="8847">
      <c r="A8847">
        <f>Input!A8847</f>
        <v/>
      </c>
      <c r="B8847">
        <f>IF(ISNUMBER(Input!B8847),IF(AND(Input!B8847&gt;=20,Input!B8847&lt;=700),Input!B8847,""),"")</f>
        <v/>
      </c>
      <c r="C8847">
        <f>IF(B8847="","",INT(A8847))</f>
        <v/>
      </c>
      <c r="D8847">
        <f>IF(B8847="","",HOUR(A8847))</f>
        <v/>
      </c>
    </row>
    <row r="8848">
      <c r="A8848">
        <f>Input!A8848</f>
        <v/>
      </c>
      <c r="B8848">
        <f>IF(ISNUMBER(Input!B8848),IF(AND(Input!B8848&gt;=20,Input!B8848&lt;=700),Input!B8848,""),"")</f>
        <v/>
      </c>
      <c r="C8848">
        <f>IF(B8848="","",INT(A8848))</f>
        <v/>
      </c>
      <c r="D8848">
        <f>IF(B8848="","",HOUR(A8848))</f>
        <v/>
      </c>
    </row>
    <row r="8849">
      <c r="A8849">
        <f>Input!A8849</f>
        <v/>
      </c>
      <c r="B8849">
        <f>IF(ISNUMBER(Input!B8849),IF(AND(Input!B8849&gt;=20,Input!B8849&lt;=700),Input!B8849,""),"")</f>
        <v/>
      </c>
      <c r="C8849">
        <f>IF(B8849="","",INT(A8849))</f>
        <v/>
      </c>
      <c r="D8849">
        <f>IF(B8849="","",HOUR(A8849))</f>
        <v/>
      </c>
    </row>
    <row r="8850">
      <c r="A8850">
        <f>Input!A8850</f>
        <v/>
      </c>
      <c r="B8850">
        <f>IF(ISNUMBER(Input!B8850),IF(AND(Input!B8850&gt;=20,Input!B8850&lt;=700),Input!B8850,""),"")</f>
        <v/>
      </c>
      <c r="C8850">
        <f>IF(B8850="","",INT(A8850))</f>
        <v/>
      </c>
      <c r="D8850">
        <f>IF(B8850="","",HOUR(A8850))</f>
        <v/>
      </c>
    </row>
    <row r="8851">
      <c r="A8851">
        <f>Input!A8851</f>
        <v/>
      </c>
      <c r="B8851">
        <f>IF(ISNUMBER(Input!B8851),IF(AND(Input!B8851&gt;=20,Input!B8851&lt;=700),Input!B8851,""),"")</f>
        <v/>
      </c>
      <c r="C8851">
        <f>IF(B8851="","",INT(A8851))</f>
        <v/>
      </c>
      <c r="D8851">
        <f>IF(B8851="","",HOUR(A8851))</f>
        <v/>
      </c>
    </row>
    <row r="8852">
      <c r="A8852">
        <f>Input!A8852</f>
        <v/>
      </c>
      <c r="B8852">
        <f>IF(ISNUMBER(Input!B8852),IF(AND(Input!B8852&gt;=20,Input!B8852&lt;=700),Input!B8852,""),"")</f>
        <v/>
      </c>
      <c r="C8852">
        <f>IF(B8852="","",INT(A8852))</f>
        <v/>
      </c>
      <c r="D8852">
        <f>IF(B8852="","",HOUR(A8852))</f>
        <v/>
      </c>
    </row>
    <row r="8853">
      <c r="A8853">
        <f>Input!A8853</f>
        <v/>
      </c>
      <c r="B8853">
        <f>IF(ISNUMBER(Input!B8853),IF(AND(Input!B8853&gt;=20,Input!B8853&lt;=700),Input!B8853,""),"")</f>
        <v/>
      </c>
      <c r="C8853">
        <f>IF(B8853="","",INT(A8853))</f>
        <v/>
      </c>
      <c r="D8853">
        <f>IF(B8853="","",HOUR(A8853))</f>
        <v/>
      </c>
    </row>
    <row r="8854">
      <c r="A8854">
        <f>Input!A8854</f>
        <v/>
      </c>
      <c r="B8854">
        <f>IF(ISNUMBER(Input!B8854),IF(AND(Input!B8854&gt;=20,Input!B8854&lt;=700),Input!B8854,""),"")</f>
        <v/>
      </c>
      <c r="C8854">
        <f>IF(B8854="","",INT(A8854))</f>
        <v/>
      </c>
      <c r="D8854">
        <f>IF(B8854="","",HOUR(A8854))</f>
        <v/>
      </c>
    </row>
    <row r="8855">
      <c r="A8855">
        <f>Input!A8855</f>
        <v/>
      </c>
      <c r="B8855">
        <f>IF(ISNUMBER(Input!B8855),IF(AND(Input!B8855&gt;=20,Input!B8855&lt;=700),Input!B8855,""),"")</f>
        <v/>
      </c>
      <c r="C8855">
        <f>IF(B8855="","",INT(A8855))</f>
        <v/>
      </c>
      <c r="D8855">
        <f>IF(B8855="","",HOUR(A8855))</f>
        <v/>
      </c>
    </row>
    <row r="8856">
      <c r="A8856">
        <f>Input!A8856</f>
        <v/>
      </c>
      <c r="B8856">
        <f>IF(ISNUMBER(Input!B8856),IF(AND(Input!B8856&gt;=20,Input!B8856&lt;=700),Input!B8856,""),"")</f>
        <v/>
      </c>
      <c r="C8856">
        <f>IF(B8856="","",INT(A8856))</f>
        <v/>
      </c>
      <c r="D8856">
        <f>IF(B8856="","",HOUR(A8856))</f>
        <v/>
      </c>
    </row>
    <row r="8857">
      <c r="A8857">
        <f>Input!A8857</f>
        <v/>
      </c>
      <c r="B8857">
        <f>IF(ISNUMBER(Input!B8857),IF(AND(Input!B8857&gt;=20,Input!B8857&lt;=700),Input!B8857,""),"")</f>
        <v/>
      </c>
      <c r="C8857">
        <f>IF(B8857="","",INT(A8857))</f>
        <v/>
      </c>
      <c r="D8857">
        <f>IF(B8857="","",HOUR(A8857))</f>
        <v/>
      </c>
    </row>
    <row r="8858">
      <c r="A8858">
        <f>Input!A8858</f>
        <v/>
      </c>
      <c r="B8858">
        <f>IF(ISNUMBER(Input!B8858),IF(AND(Input!B8858&gt;=20,Input!B8858&lt;=700),Input!B8858,""),"")</f>
        <v/>
      </c>
      <c r="C8858">
        <f>IF(B8858="","",INT(A8858))</f>
        <v/>
      </c>
      <c r="D8858">
        <f>IF(B8858="","",HOUR(A8858))</f>
        <v/>
      </c>
    </row>
    <row r="8859">
      <c r="A8859">
        <f>Input!A8859</f>
        <v/>
      </c>
      <c r="B8859">
        <f>IF(ISNUMBER(Input!B8859),IF(AND(Input!B8859&gt;=20,Input!B8859&lt;=700),Input!B8859,""),"")</f>
        <v/>
      </c>
      <c r="C8859">
        <f>IF(B8859="","",INT(A8859))</f>
        <v/>
      </c>
      <c r="D8859">
        <f>IF(B8859="","",HOUR(A8859))</f>
        <v/>
      </c>
    </row>
    <row r="8860">
      <c r="A8860">
        <f>Input!A8860</f>
        <v/>
      </c>
      <c r="B8860">
        <f>IF(ISNUMBER(Input!B8860),IF(AND(Input!B8860&gt;=20,Input!B8860&lt;=700),Input!B8860,""),"")</f>
        <v/>
      </c>
      <c r="C8860">
        <f>IF(B8860="","",INT(A8860))</f>
        <v/>
      </c>
      <c r="D8860">
        <f>IF(B8860="","",HOUR(A8860))</f>
        <v/>
      </c>
    </row>
    <row r="8861">
      <c r="A8861">
        <f>Input!A8861</f>
        <v/>
      </c>
      <c r="B8861">
        <f>IF(ISNUMBER(Input!B8861),IF(AND(Input!B8861&gt;=20,Input!B8861&lt;=700),Input!B8861,""),"")</f>
        <v/>
      </c>
      <c r="C8861">
        <f>IF(B8861="","",INT(A8861))</f>
        <v/>
      </c>
      <c r="D8861">
        <f>IF(B8861="","",HOUR(A8861))</f>
        <v/>
      </c>
    </row>
    <row r="8862">
      <c r="A8862">
        <f>Input!A8862</f>
        <v/>
      </c>
      <c r="B8862">
        <f>IF(ISNUMBER(Input!B8862),IF(AND(Input!B8862&gt;=20,Input!B8862&lt;=700),Input!B8862,""),"")</f>
        <v/>
      </c>
      <c r="C8862">
        <f>IF(B8862="","",INT(A8862))</f>
        <v/>
      </c>
      <c r="D8862">
        <f>IF(B8862="","",HOUR(A8862))</f>
        <v/>
      </c>
    </row>
    <row r="8863">
      <c r="A8863">
        <f>Input!A8863</f>
        <v/>
      </c>
      <c r="B8863">
        <f>IF(ISNUMBER(Input!B8863),IF(AND(Input!B8863&gt;=20,Input!B8863&lt;=700),Input!B8863,""),"")</f>
        <v/>
      </c>
      <c r="C8863">
        <f>IF(B8863="","",INT(A8863))</f>
        <v/>
      </c>
      <c r="D8863">
        <f>IF(B8863="","",HOUR(A8863))</f>
        <v/>
      </c>
    </row>
    <row r="8864">
      <c r="A8864">
        <f>Input!A8864</f>
        <v/>
      </c>
      <c r="B8864">
        <f>IF(ISNUMBER(Input!B8864),IF(AND(Input!B8864&gt;=20,Input!B8864&lt;=700),Input!B8864,""),"")</f>
        <v/>
      </c>
      <c r="C8864">
        <f>IF(B8864="","",INT(A8864))</f>
        <v/>
      </c>
      <c r="D8864">
        <f>IF(B8864="","",HOUR(A8864))</f>
        <v/>
      </c>
    </row>
    <row r="8865">
      <c r="A8865">
        <f>Input!A8865</f>
        <v/>
      </c>
      <c r="B8865">
        <f>IF(ISNUMBER(Input!B8865),IF(AND(Input!B8865&gt;=20,Input!B8865&lt;=700),Input!B8865,""),"")</f>
        <v/>
      </c>
      <c r="C8865">
        <f>IF(B8865="","",INT(A8865))</f>
        <v/>
      </c>
      <c r="D8865">
        <f>IF(B8865="","",HOUR(A8865))</f>
        <v/>
      </c>
    </row>
    <row r="8866">
      <c r="A8866">
        <f>Input!A8866</f>
        <v/>
      </c>
      <c r="B8866">
        <f>IF(ISNUMBER(Input!B8866),IF(AND(Input!B8866&gt;=20,Input!B8866&lt;=700),Input!B8866,""),"")</f>
        <v/>
      </c>
      <c r="C8866">
        <f>IF(B8866="","",INT(A8866))</f>
        <v/>
      </c>
      <c r="D8866">
        <f>IF(B8866="","",HOUR(A8866))</f>
        <v/>
      </c>
    </row>
    <row r="8867">
      <c r="A8867">
        <f>Input!A8867</f>
        <v/>
      </c>
      <c r="B8867">
        <f>IF(ISNUMBER(Input!B8867),IF(AND(Input!B8867&gt;=20,Input!B8867&lt;=700),Input!B8867,""),"")</f>
        <v/>
      </c>
      <c r="C8867">
        <f>IF(B8867="","",INT(A8867))</f>
        <v/>
      </c>
      <c r="D8867">
        <f>IF(B8867="","",HOUR(A8867))</f>
        <v/>
      </c>
    </row>
    <row r="8868">
      <c r="A8868">
        <f>Input!A8868</f>
        <v/>
      </c>
      <c r="B8868">
        <f>IF(ISNUMBER(Input!B8868),IF(AND(Input!B8868&gt;=20,Input!B8868&lt;=700),Input!B8868,""),"")</f>
        <v/>
      </c>
      <c r="C8868">
        <f>IF(B8868="","",INT(A8868))</f>
        <v/>
      </c>
      <c r="D8868">
        <f>IF(B8868="","",HOUR(A8868))</f>
        <v/>
      </c>
    </row>
    <row r="8869">
      <c r="A8869">
        <f>Input!A8869</f>
        <v/>
      </c>
      <c r="B8869">
        <f>IF(ISNUMBER(Input!B8869),IF(AND(Input!B8869&gt;=20,Input!B8869&lt;=700),Input!B8869,""),"")</f>
        <v/>
      </c>
      <c r="C8869">
        <f>IF(B8869="","",INT(A8869))</f>
        <v/>
      </c>
      <c r="D8869">
        <f>IF(B8869="","",HOUR(A8869))</f>
        <v/>
      </c>
    </row>
    <row r="8870">
      <c r="A8870">
        <f>Input!A8870</f>
        <v/>
      </c>
      <c r="B8870">
        <f>IF(ISNUMBER(Input!B8870),IF(AND(Input!B8870&gt;=20,Input!B8870&lt;=700),Input!B8870,""),"")</f>
        <v/>
      </c>
      <c r="C8870">
        <f>IF(B8870="","",INT(A8870))</f>
        <v/>
      </c>
      <c r="D8870">
        <f>IF(B8870="","",HOUR(A8870))</f>
        <v/>
      </c>
    </row>
    <row r="8871">
      <c r="A8871">
        <f>Input!A8871</f>
        <v/>
      </c>
      <c r="B8871">
        <f>IF(ISNUMBER(Input!B8871),IF(AND(Input!B8871&gt;=20,Input!B8871&lt;=700),Input!B8871,""),"")</f>
        <v/>
      </c>
      <c r="C8871">
        <f>IF(B8871="","",INT(A8871))</f>
        <v/>
      </c>
      <c r="D8871">
        <f>IF(B8871="","",HOUR(A8871))</f>
        <v/>
      </c>
    </row>
    <row r="8872">
      <c r="A8872">
        <f>Input!A8872</f>
        <v/>
      </c>
      <c r="B8872">
        <f>IF(ISNUMBER(Input!B8872),IF(AND(Input!B8872&gt;=20,Input!B8872&lt;=700),Input!B8872,""),"")</f>
        <v/>
      </c>
      <c r="C8872">
        <f>IF(B8872="","",INT(A8872))</f>
        <v/>
      </c>
      <c r="D8872">
        <f>IF(B8872="","",HOUR(A8872))</f>
        <v/>
      </c>
    </row>
    <row r="8873">
      <c r="A8873">
        <f>Input!A8873</f>
        <v/>
      </c>
      <c r="B8873">
        <f>IF(ISNUMBER(Input!B8873),IF(AND(Input!B8873&gt;=20,Input!B8873&lt;=700),Input!B8873,""),"")</f>
        <v/>
      </c>
      <c r="C8873">
        <f>IF(B8873="","",INT(A8873))</f>
        <v/>
      </c>
      <c r="D8873">
        <f>IF(B8873="","",HOUR(A8873))</f>
        <v/>
      </c>
    </row>
    <row r="8874">
      <c r="A8874">
        <f>Input!A8874</f>
        <v/>
      </c>
      <c r="B8874">
        <f>IF(ISNUMBER(Input!B8874),IF(AND(Input!B8874&gt;=20,Input!B8874&lt;=700),Input!B8874,""),"")</f>
        <v/>
      </c>
      <c r="C8874">
        <f>IF(B8874="","",INT(A8874))</f>
        <v/>
      </c>
      <c r="D8874">
        <f>IF(B8874="","",HOUR(A8874))</f>
        <v/>
      </c>
    </row>
    <row r="8875">
      <c r="A8875">
        <f>Input!A8875</f>
        <v/>
      </c>
      <c r="B8875">
        <f>IF(ISNUMBER(Input!B8875),IF(AND(Input!B8875&gt;=20,Input!B8875&lt;=700),Input!B8875,""),"")</f>
        <v/>
      </c>
      <c r="C8875">
        <f>IF(B8875="","",INT(A8875))</f>
        <v/>
      </c>
      <c r="D8875">
        <f>IF(B8875="","",HOUR(A8875))</f>
        <v/>
      </c>
    </row>
    <row r="8876">
      <c r="A8876">
        <f>Input!A8876</f>
        <v/>
      </c>
      <c r="B8876">
        <f>IF(ISNUMBER(Input!B8876),IF(AND(Input!B8876&gt;=20,Input!B8876&lt;=700),Input!B8876,""),"")</f>
        <v/>
      </c>
      <c r="C8876">
        <f>IF(B8876="","",INT(A8876))</f>
        <v/>
      </c>
      <c r="D8876">
        <f>IF(B8876="","",HOUR(A8876))</f>
        <v/>
      </c>
    </row>
    <row r="8877">
      <c r="A8877">
        <f>Input!A8877</f>
        <v/>
      </c>
      <c r="B8877">
        <f>IF(ISNUMBER(Input!B8877),IF(AND(Input!B8877&gt;=20,Input!B8877&lt;=700),Input!B8877,""),"")</f>
        <v/>
      </c>
      <c r="C8877">
        <f>IF(B8877="","",INT(A8877))</f>
        <v/>
      </c>
      <c r="D8877">
        <f>IF(B8877="","",HOUR(A8877))</f>
        <v/>
      </c>
    </row>
    <row r="8878">
      <c r="A8878">
        <f>Input!A8878</f>
        <v/>
      </c>
      <c r="B8878">
        <f>IF(ISNUMBER(Input!B8878),IF(AND(Input!B8878&gt;=20,Input!B8878&lt;=700),Input!B8878,""),"")</f>
        <v/>
      </c>
      <c r="C8878">
        <f>IF(B8878="","",INT(A8878))</f>
        <v/>
      </c>
      <c r="D8878">
        <f>IF(B8878="","",HOUR(A8878))</f>
        <v/>
      </c>
    </row>
    <row r="8879">
      <c r="A8879">
        <f>Input!A8879</f>
        <v/>
      </c>
      <c r="B8879">
        <f>IF(ISNUMBER(Input!B8879),IF(AND(Input!B8879&gt;=20,Input!B8879&lt;=700),Input!B8879,""),"")</f>
        <v/>
      </c>
      <c r="C8879">
        <f>IF(B8879="","",INT(A8879))</f>
        <v/>
      </c>
      <c r="D8879">
        <f>IF(B8879="","",HOUR(A8879))</f>
        <v/>
      </c>
    </row>
    <row r="8880">
      <c r="A8880">
        <f>Input!A8880</f>
        <v/>
      </c>
      <c r="B8880">
        <f>IF(ISNUMBER(Input!B8880),IF(AND(Input!B8880&gt;=20,Input!B8880&lt;=700),Input!B8880,""),"")</f>
        <v/>
      </c>
      <c r="C8880">
        <f>IF(B8880="","",INT(A8880))</f>
        <v/>
      </c>
      <c r="D8880">
        <f>IF(B8880="","",HOUR(A8880))</f>
        <v/>
      </c>
    </row>
    <row r="8881">
      <c r="A8881">
        <f>Input!A8881</f>
        <v/>
      </c>
      <c r="B8881">
        <f>IF(ISNUMBER(Input!B8881),IF(AND(Input!B8881&gt;=20,Input!B8881&lt;=700),Input!B8881,""),"")</f>
        <v/>
      </c>
      <c r="C8881">
        <f>IF(B8881="","",INT(A8881))</f>
        <v/>
      </c>
      <c r="D8881">
        <f>IF(B8881="","",HOUR(A8881))</f>
        <v/>
      </c>
    </row>
    <row r="8882">
      <c r="A8882">
        <f>Input!A8882</f>
        <v/>
      </c>
      <c r="B8882">
        <f>IF(ISNUMBER(Input!B8882),IF(AND(Input!B8882&gt;=20,Input!B8882&lt;=700),Input!B8882,""),"")</f>
        <v/>
      </c>
      <c r="C8882">
        <f>IF(B8882="","",INT(A8882))</f>
        <v/>
      </c>
      <c r="D8882">
        <f>IF(B8882="","",HOUR(A8882))</f>
        <v/>
      </c>
    </row>
    <row r="8883">
      <c r="A8883">
        <f>Input!A8883</f>
        <v/>
      </c>
      <c r="B8883">
        <f>IF(ISNUMBER(Input!B8883),IF(AND(Input!B8883&gt;=20,Input!B8883&lt;=700),Input!B8883,""),"")</f>
        <v/>
      </c>
      <c r="C8883">
        <f>IF(B8883="","",INT(A8883))</f>
        <v/>
      </c>
      <c r="D8883">
        <f>IF(B8883="","",HOUR(A8883))</f>
        <v/>
      </c>
    </row>
    <row r="8884">
      <c r="A8884">
        <f>Input!A8884</f>
        <v/>
      </c>
      <c r="B8884">
        <f>IF(ISNUMBER(Input!B8884),IF(AND(Input!B8884&gt;=20,Input!B8884&lt;=700),Input!B8884,""),"")</f>
        <v/>
      </c>
      <c r="C8884">
        <f>IF(B8884="","",INT(A8884))</f>
        <v/>
      </c>
      <c r="D8884">
        <f>IF(B8884="","",HOUR(A8884))</f>
        <v/>
      </c>
    </row>
    <row r="8885">
      <c r="A8885">
        <f>Input!A8885</f>
        <v/>
      </c>
      <c r="B8885">
        <f>IF(ISNUMBER(Input!B8885),IF(AND(Input!B8885&gt;=20,Input!B8885&lt;=700),Input!B8885,""),"")</f>
        <v/>
      </c>
      <c r="C8885">
        <f>IF(B8885="","",INT(A8885))</f>
        <v/>
      </c>
      <c r="D8885">
        <f>IF(B8885="","",HOUR(A8885))</f>
        <v/>
      </c>
    </row>
    <row r="8886">
      <c r="A8886">
        <f>Input!A8886</f>
        <v/>
      </c>
      <c r="B8886">
        <f>IF(ISNUMBER(Input!B8886),IF(AND(Input!B8886&gt;=20,Input!B8886&lt;=700),Input!B8886,""),"")</f>
        <v/>
      </c>
      <c r="C8886">
        <f>IF(B8886="","",INT(A8886))</f>
        <v/>
      </c>
      <c r="D8886">
        <f>IF(B8886="","",HOUR(A8886))</f>
        <v/>
      </c>
    </row>
    <row r="8887">
      <c r="A8887">
        <f>Input!A8887</f>
        <v/>
      </c>
      <c r="B8887">
        <f>IF(ISNUMBER(Input!B8887),IF(AND(Input!B8887&gt;=20,Input!B8887&lt;=700),Input!B8887,""),"")</f>
        <v/>
      </c>
      <c r="C8887">
        <f>IF(B8887="","",INT(A8887))</f>
        <v/>
      </c>
      <c r="D8887">
        <f>IF(B8887="","",HOUR(A8887))</f>
        <v/>
      </c>
    </row>
    <row r="8888">
      <c r="A8888">
        <f>Input!A8888</f>
        <v/>
      </c>
      <c r="B8888">
        <f>IF(ISNUMBER(Input!B8888),IF(AND(Input!B8888&gt;=20,Input!B8888&lt;=700),Input!B8888,""),"")</f>
        <v/>
      </c>
      <c r="C8888">
        <f>IF(B8888="","",INT(A8888))</f>
        <v/>
      </c>
      <c r="D8888">
        <f>IF(B8888="","",HOUR(A8888))</f>
        <v/>
      </c>
    </row>
    <row r="8889">
      <c r="A8889">
        <f>Input!A8889</f>
        <v/>
      </c>
      <c r="B8889">
        <f>IF(ISNUMBER(Input!B8889),IF(AND(Input!B8889&gt;=20,Input!B8889&lt;=700),Input!B8889,""),"")</f>
        <v/>
      </c>
      <c r="C8889">
        <f>IF(B8889="","",INT(A8889))</f>
        <v/>
      </c>
      <c r="D8889">
        <f>IF(B8889="","",HOUR(A8889))</f>
        <v/>
      </c>
    </row>
    <row r="8890">
      <c r="A8890">
        <f>Input!A8890</f>
        <v/>
      </c>
      <c r="B8890">
        <f>IF(ISNUMBER(Input!B8890),IF(AND(Input!B8890&gt;=20,Input!B8890&lt;=700),Input!B8890,""),"")</f>
        <v/>
      </c>
      <c r="C8890">
        <f>IF(B8890="","",INT(A8890))</f>
        <v/>
      </c>
      <c r="D8890">
        <f>IF(B8890="","",HOUR(A8890))</f>
        <v/>
      </c>
    </row>
    <row r="8891">
      <c r="A8891">
        <f>Input!A8891</f>
        <v/>
      </c>
      <c r="B8891">
        <f>IF(ISNUMBER(Input!B8891),IF(AND(Input!B8891&gt;=20,Input!B8891&lt;=700),Input!B8891,""),"")</f>
        <v/>
      </c>
      <c r="C8891">
        <f>IF(B8891="","",INT(A8891))</f>
        <v/>
      </c>
      <c r="D8891">
        <f>IF(B8891="","",HOUR(A8891))</f>
        <v/>
      </c>
    </row>
    <row r="8892">
      <c r="A8892">
        <f>Input!A8892</f>
        <v/>
      </c>
      <c r="B8892">
        <f>IF(ISNUMBER(Input!B8892),IF(AND(Input!B8892&gt;=20,Input!B8892&lt;=700),Input!B8892,""),"")</f>
        <v/>
      </c>
      <c r="C8892">
        <f>IF(B8892="","",INT(A8892))</f>
        <v/>
      </c>
      <c r="D8892">
        <f>IF(B8892="","",HOUR(A8892))</f>
        <v/>
      </c>
    </row>
    <row r="8893">
      <c r="A8893">
        <f>Input!A8893</f>
        <v/>
      </c>
      <c r="B8893">
        <f>IF(ISNUMBER(Input!B8893),IF(AND(Input!B8893&gt;=20,Input!B8893&lt;=700),Input!B8893,""),"")</f>
        <v/>
      </c>
      <c r="C8893">
        <f>IF(B8893="","",INT(A8893))</f>
        <v/>
      </c>
      <c r="D8893">
        <f>IF(B8893="","",HOUR(A8893))</f>
        <v/>
      </c>
    </row>
    <row r="8894">
      <c r="A8894">
        <f>Input!A8894</f>
        <v/>
      </c>
      <c r="B8894">
        <f>IF(ISNUMBER(Input!B8894),IF(AND(Input!B8894&gt;=20,Input!B8894&lt;=700),Input!B8894,""),"")</f>
        <v/>
      </c>
      <c r="C8894">
        <f>IF(B8894="","",INT(A8894))</f>
        <v/>
      </c>
      <c r="D8894">
        <f>IF(B8894="","",HOUR(A8894))</f>
        <v/>
      </c>
    </row>
    <row r="8895">
      <c r="A8895">
        <f>Input!A8895</f>
        <v/>
      </c>
      <c r="B8895">
        <f>IF(ISNUMBER(Input!B8895),IF(AND(Input!B8895&gt;=20,Input!B8895&lt;=700),Input!B8895,""),"")</f>
        <v/>
      </c>
      <c r="C8895">
        <f>IF(B8895="","",INT(A8895))</f>
        <v/>
      </c>
      <c r="D8895">
        <f>IF(B8895="","",HOUR(A8895))</f>
        <v/>
      </c>
    </row>
    <row r="8896">
      <c r="A8896">
        <f>Input!A8896</f>
        <v/>
      </c>
      <c r="B8896">
        <f>IF(ISNUMBER(Input!B8896),IF(AND(Input!B8896&gt;=20,Input!B8896&lt;=700),Input!B8896,""),"")</f>
        <v/>
      </c>
      <c r="C8896">
        <f>IF(B8896="","",INT(A8896))</f>
        <v/>
      </c>
      <c r="D8896">
        <f>IF(B8896="","",HOUR(A8896))</f>
        <v/>
      </c>
    </row>
    <row r="8897">
      <c r="A8897">
        <f>Input!A8897</f>
        <v/>
      </c>
      <c r="B8897">
        <f>IF(ISNUMBER(Input!B8897),IF(AND(Input!B8897&gt;=20,Input!B8897&lt;=700),Input!B8897,""),"")</f>
        <v/>
      </c>
      <c r="C8897">
        <f>IF(B8897="","",INT(A8897))</f>
        <v/>
      </c>
      <c r="D8897">
        <f>IF(B8897="","",HOUR(A8897))</f>
        <v/>
      </c>
    </row>
    <row r="8898">
      <c r="A8898">
        <f>Input!A8898</f>
        <v/>
      </c>
      <c r="B8898">
        <f>IF(ISNUMBER(Input!B8898),IF(AND(Input!B8898&gt;=20,Input!B8898&lt;=700),Input!B8898,""),"")</f>
        <v/>
      </c>
      <c r="C8898">
        <f>IF(B8898="","",INT(A8898))</f>
        <v/>
      </c>
      <c r="D8898">
        <f>IF(B8898="","",HOUR(A8898))</f>
        <v/>
      </c>
    </row>
    <row r="8899">
      <c r="A8899">
        <f>Input!A8899</f>
        <v/>
      </c>
      <c r="B8899">
        <f>IF(ISNUMBER(Input!B8899),IF(AND(Input!B8899&gt;=20,Input!B8899&lt;=700),Input!B8899,""),"")</f>
        <v/>
      </c>
      <c r="C8899">
        <f>IF(B8899="","",INT(A8899))</f>
        <v/>
      </c>
      <c r="D8899">
        <f>IF(B8899="","",HOUR(A8899))</f>
        <v/>
      </c>
    </row>
    <row r="8900">
      <c r="A8900">
        <f>Input!A8900</f>
        <v/>
      </c>
      <c r="B8900">
        <f>IF(ISNUMBER(Input!B8900),IF(AND(Input!B8900&gt;=20,Input!B8900&lt;=700),Input!B8900,""),"")</f>
        <v/>
      </c>
      <c r="C8900">
        <f>IF(B8900="","",INT(A8900))</f>
        <v/>
      </c>
      <c r="D8900">
        <f>IF(B8900="","",HOUR(A8900))</f>
        <v/>
      </c>
    </row>
    <row r="8901">
      <c r="A8901">
        <f>Input!A8901</f>
        <v/>
      </c>
      <c r="B8901">
        <f>IF(ISNUMBER(Input!B8901),IF(AND(Input!B8901&gt;=20,Input!B8901&lt;=700),Input!B8901,""),"")</f>
        <v/>
      </c>
      <c r="C8901">
        <f>IF(B8901="","",INT(A8901))</f>
        <v/>
      </c>
      <c r="D8901">
        <f>IF(B8901="","",HOUR(A8901))</f>
        <v/>
      </c>
    </row>
    <row r="8902">
      <c r="A8902">
        <f>Input!A8902</f>
        <v/>
      </c>
      <c r="B8902">
        <f>IF(ISNUMBER(Input!B8902),IF(AND(Input!B8902&gt;=20,Input!B8902&lt;=700),Input!B8902,""),"")</f>
        <v/>
      </c>
      <c r="C8902">
        <f>IF(B8902="","",INT(A8902))</f>
        <v/>
      </c>
      <c r="D8902">
        <f>IF(B8902="","",HOUR(A8902))</f>
        <v/>
      </c>
    </row>
    <row r="8903">
      <c r="A8903">
        <f>Input!A8903</f>
        <v/>
      </c>
      <c r="B8903">
        <f>IF(ISNUMBER(Input!B8903),IF(AND(Input!B8903&gt;=20,Input!B8903&lt;=700),Input!B8903,""),"")</f>
        <v/>
      </c>
      <c r="C8903">
        <f>IF(B8903="","",INT(A8903))</f>
        <v/>
      </c>
      <c r="D8903">
        <f>IF(B8903="","",HOUR(A8903))</f>
        <v/>
      </c>
    </row>
    <row r="8904">
      <c r="A8904">
        <f>Input!A8904</f>
        <v/>
      </c>
      <c r="B8904">
        <f>IF(ISNUMBER(Input!B8904),IF(AND(Input!B8904&gt;=20,Input!B8904&lt;=700),Input!B8904,""),"")</f>
        <v/>
      </c>
      <c r="C8904">
        <f>IF(B8904="","",INT(A8904))</f>
        <v/>
      </c>
      <c r="D8904">
        <f>IF(B8904="","",HOUR(A8904))</f>
        <v/>
      </c>
    </row>
    <row r="8905">
      <c r="A8905">
        <f>Input!A8905</f>
        <v/>
      </c>
      <c r="B8905">
        <f>IF(ISNUMBER(Input!B8905),IF(AND(Input!B8905&gt;=20,Input!B8905&lt;=700),Input!B8905,""),"")</f>
        <v/>
      </c>
      <c r="C8905">
        <f>IF(B8905="","",INT(A8905))</f>
        <v/>
      </c>
      <c r="D8905">
        <f>IF(B8905="","",HOUR(A8905))</f>
        <v/>
      </c>
    </row>
    <row r="8906">
      <c r="A8906">
        <f>Input!A8906</f>
        <v/>
      </c>
      <c r="B8906">
        <f>IF(ISNUMBER(Input!B8906),IF(AND(Input!B8906&gt;=20,Input!B8906&lt;=700),Input!B8906,""),"")</f>
        <v/>
      </c>
      <c r="C8906">
        <f>IF(B8906="","",INT(A8906))</f>
        <v/>
      </c>
      <c r="D8906">
        <f>IF(B8906="","",HOUR(A8906))</f>
        <v/>
      </c>
    </row>
    <row r="8907">
      <c r="A8907">
        <f>Input!A8907</f>
        <v/>
      </c>
      <c r="B8907">
        <f>IF(ISNUMBER(Input!B8907),IF(AND(Input!B8907&gt;=20,Input!B8907&lt;=700),Input!B8907,""),"")</f>
        <v/>
      </c>
      <c r="C8907">
        <f>IF(B8907="","",INT(A8907))</f>
        <v/>
      </c>
      <c r="D8907">
        <f>IF(B8907="","",HOUR(A8907))</f>
        <v/>
      </c>
    </row>
    <row r="8908">
      <c r="A8908">
        <f>Input!A8908</f>
        <v/>
      </c>
      <c r="B8908">
        <f>IF(ISNUMBER(Input!B8908),IF(AND(Input!B8908&gt;=20,Input!B8908&lt;=700),Input!B8908,""),"")</f>
        <v/>
      </c>
      <c r="C8908">
        <f>IF(B8908="","",INT(A8908))</f>
        <v/>
      </c>
      <c r="D8908">
        <f>IF(B8908="","",HOUR(A8908))</f>
        <v/>
      </c>
    </row>
    <row r="8909">
      <c r="A8909">
        <f>Input!A8909</f>
        <v/>
      </c>
      <c r="B8909">
        <f>IF(ISNUMBER(Input!B8909),IF(AND(Input!B8909&gt;=20,Input!B8909&lt;=700),Input!B8909,""),"")</f>
        <v/>
      </c>
      <c r="C8909">
        <f>IF(B8909="","",INT(A8909))</f>
        <v/>
      </c>
      <c r="D8909">
        <f>IF(B8909="","",HOUR(A8909))</f>
        <v/>
      </c>
    </row>
    <row r="8910">
      <c r="A8910">
        <f>Input!A8910</f>
        <v/>
      </c>
      <c r="B8910">
        <f>IF(ISNUMBER(Input!B8910),IF(AND(Input!B8910&gt;=20,Input!B8910&lt;=700),Input!B8910,""),"")</f>
        <v/>
      </c>
      <c r="C8910">
        <f>IF(B8910="","",INT(A8910))</f>
        <v/>
      </c>
      <c r="D8910">
        <f>IF(B8910="","",HOUR(A8910))</f>
        <v/>
      </c>
    </row>
    <row r="8911">
      <c r="A8911">
        <f>Input!A8911</f>
        <v/>
      </c>
      <c r="B8911">
        <f>IF(ISNUMBER(Input!B8911),IF(AND(Input!B8911&gt;=20,Input!B8911&lt;=700),Input!B8911,""),"")</f>
        <v/>
      </c>
      <c r="C8911">
        <f>IF(B8911="","",INT(A8911))</f>
        <v/>
      </c>
      <c r="D8911">
        <f>IF(B8911="","",HOUR(A8911))</f>
        <v/>
      </c>
    </row>
    <row r="8912">
      <c r="A8912">
        <f>Input!A8912</f>
        <v/>
      </c>
      <c r="B8912">
        <f>IF(ISNUMBER(Input!B8912),IF(AND(Input!B8912&gt;=20,Input!B8912&lt;=700),Input!B8912,""),"")</f>
        <v/>
      </c>
      <c r="C8912">
        <f>IF(B8912="","",INT(A8912))</f>
        <v/>
      </c>
      <c r="D8912">
        <f>IF(B8912="","",HOUR(A8912))</f>
        <v/>
      </c>
    </row>
    <row r="8913">
      <c r="A8913">
        <f>Input!A8913</f>
        <v/>
      </c>
      <c r="B8913">
        <f>IF(ISNUMBER(Input!B8913),IF(AND(Input!B8913&gt;=20,Input!B8913&lt;=700),Input!B8913,""),"")</f>
        <v/>
      </c>
      <c r="C8913">
        <f>IF(B8913="","",INT(A8913))</f>
        <v/>
      </c>
      <c r="D8913">
        <f>IF(B8913="","",HOUR(A8913))</f>
        <v/>
      </c>
    </row>
    <row r="8914">
      <c r="A8914">
        <f>Input!A8914</f>
        <v/>
      </c>
      <c r="B8914">
        <f>IF(ISNUMBER(Input!B8914),IF(AND(Input!B8914&gt;=20,Input!B8914&lt;=700),Input!B8914,""),"")</f>
        <v/>
      </c>
      <c r="C8914">
        <f>IF(B8914="","",INT(A8914))</f>
        <v/>
      </c>
      <c r="D8914">
        <f>IF(B8914="","",HOUR(A8914))</f>
        <v/>
      </c>
    </row>
    <row r="8915">
      <c r="A8915">
        <f>Input!A8915</f>
        <v/>
      </c>
      <c r="B8915">
        <f>IF(ISNUMBER(Input!B8915),IF(AND(Input!B8915&gt;=20,Input!B8915&lt;=700),Input!B8915,""),"")</f>
        <v/>
      </c>
      <c r="C8915">
        <f>IF(B8915="","",INT(A8915))</f>
        <v/>
      </c>
      <c r="D8915">
        <f>IF(B8915="","",HOUR(A8915))</f>
        <v/>
      </c>
    </row>
    <row r="8916">
      <c r="A8916">
        <f>Input!A8916</f>
        <v/>
      </c>
      <c r="B8916">
        <f>IF(ISNUMBER(Input!B8916),IF(AND(Input!B8916&gt;=20,Input!B8916&lt;=700),Input!B8916,""),"")</f>
        <v/>
      </c>
      <c r="C8916">
        <f>IF(B8916="","",INT(A8916))</f>
        <v/>
      </c>
      <c r="D8916">
        <f>IF(B8916="","",HOUR(A8916))</f>
        <v/>
      </c>
    </row>
    <row r="8917">
      <c r="A8917">
        <f>Input!A8917</f>
        <v/>
      </c>
      <c r="B8917">
        <f>IF(ISNUMBER(Input!B8917),IF(AND(Input!B8917&gt;=20,Input!B8917&lt;=700),Input!B8917,""),"")</f>
        <v/>
      </c>
      <c r="C8917">
        <f>IF(B8917="","",INT(A8917))</f>
        <v/>
      </c>
      <c r="D8917">
        <f>IF(B8917="","",HOUR(A8917))</f>
        <v/>
      </c>
    </row>
    <row r="8918">
      <c r="A8918">
        <f>Input!A8918</f>
        <v/>
      </c>
      <c r="B8918">
        <f>IF(ISNUMBER(Input!B8918),IF(AND(Input!B8918&gt;=20,Input!B8918&lt;=700),Input!B8918,""),"")</f>
        <v/>
      </c>
      <c r="C8918">
        <f>IF(B8918="","",INT(A8918))</f>
        <v/>
      </c>
      <c r="D8918">
        <f>IF(B8918="","",HOUR(A8918))</f>
        <v/>
      </c>
    </row>
    <row r="8919">
      <c r="A8919">
        <f>Input!A8919</f>
        <v/>
      </c>
      <c r="B8919">
        <f>IF(ISNUMBER(Input!B8919),IF(AND(Input!B8919&gt;=20,Input!B8919&lt;=700),Input!B8919,""),"")</f>
        <v/>
      </c>
      <c r="C8919">
        <f>IF(B8919="","",INT(A8919))</f>
        <v/>
      </c>
      <c r="D8919">
        <f>IF(B8919="","",HOUR(A8919))</f>
        <v/>
      </c>
    </row>
    <row r="8920">
      <c r="A8920">
        <f>Input!A8920</f>
        <v/>
      </c>
      <c r="B8920">
        <f>IF(ISNUMBER(Input!B8920),IF(AND(Input!B8920&gt;=20,Input!B8920&lt;=700),Input!B8920,""),"")</f>
        <v/>
      </c>
      <c r="C8920">
        <f>IF(B8920="","",INT(A8920))</f>
        <v/>
      </c>
      <c r="D8920">
        <f>IF(B8920="","",HOUR(A8920))</f>
        <v/>
      </c>
    </row>
    <row r="8921">
      <c r="A8921">
        <f>Input!A8921</f>
        <v/>
      </c>
      <c r="B8921">
        <f>IF(ISNUMBER(Input!B8921),IF(AND(Input!B8921&gt;=20,Input!B8921&lt;=700),Input!B8921,""),"")</f>
        <v/>
      </c>
      <c r="C8921">
        <f>IF(B8921="","",INT(A8921))</f>
        <v/>
      </c>
      <c r="D8921">
        <f>IF(B8921="","",HOUR(A8921))</f>
        <v/>
      </c>
    </row>
    <row r="8922">
      <c r="A8922">
        <f>Input!A8922</f>
        <v/>
      </c>
      <c r="B8922">
        <f>IF(ISNUMBER(Input!B8922),IF(AND(Input!B8922&gt;=20,Input!B8922&lt;=700),Input!B8922,""),"")</f>
        <v/>
      </c>
      <c r="C8922">
        <f>IF(B8922="","",INT(A8922))</f>
        <v/>
      </c>
      <c r="D8922">
        <f>IF(B8922="","",HOUR(A8922))</f>
        <v/>
      </c>
    </row>
    <row r="8923">
      <c r="A8923">
        <f>Input!A8923</f>
        <v/>
      </c>
      <c r="B8923">
        <f>IF(ISNUMBER(Input!B8923),IF(AND(Input!B8923&gt;=20,Input!B8923&lt;=700),Input!B8923,""),"")</f>
        <v/>
      </c>
      <c r="C8923">
        <f>IF(B8923="","",INT(A8923))</f>
        <v/>
      </c>
      <c r="D8923">
        <f>IF(B8923="","",HOUR(A8923))</f>
        <v/>
      </c>
    </row>
    <row r="8924">
      <c r="A8924">
        <f>Input!A8924</f>
        <v/>
      </c>
      <c r="B8924">
        <f>IF(ISNUMBER(Input!B8924),IF(AND(Input!B8924&gt;=20,Input!B8924&lt;=700),Input!B8924,""),"")</f>
        <v/>
      </c>
      <c r="C8924">
        <f>IF(B8924="","",INT(A8924))</f>
        <v/>
      </c>
      <c r="D8924">
        <f>IF(B8924="","",HOUR(A8924))</f>
        <v/>
      </c>
    </row>
    <row r="8925">
      <c r="A8925">
        <f>Input!A8925</f>
        <v/>
      </c>
      <c r="B8925">
        <f>IF(ISNUMBER(Input!B8925),IF(AND(Input!B8925&gt;=20,Input!B8925&lt;=700),Input!B8925,""),"")</f>
        <v/>
      </c>
      <c r="C8925">
        <f>IF(B8925="","",INT(A8925))</f>
        <v/>
      </c>
      <c r="D8925">
        <f>IF(B8925="","",HOUR(A8925))</f>
        <v/>
      </c>
    </row>
    <row r="8926">
      <c r="A8926">
        <f>Input!A8926</f>
        <v/>
      </c>
      <c r="B8926">
        <f>IF(ISNUMBER(Input!B8926),IF(AND(Input!B8926&gt;=20,Input!B8926&lt;=700),Input!B8926,""),"")</f>
        <v/>
      </c>
      <c r="C8926">
        <f>IF(B8926="","",INT(A8926))</f>
        <v/>
      </c>
      <c r="D8926">
        <f>IF(B8926="","",HOUR(A8926))</f>
        <v/>
      </c>
    </row>
    <row r="8927">
      <c r="A8927">
        <f>Input!A8927</f>
        <v/>
      </c>
      <c r="B8927">
        <f>IF(ISNUMBER(Input!B8927),IF(AND(Input!B8927&gt;=20,Input!B8927&lt;=700),Input!B8927,""),"")</f>
        <v/>
      </c>
      <c r="C8927">
        <f>IF(B8927="","",INT(A8927))</f>
        <v/>
      </c>
      <c r="D8927">
        <f>IF(B8927="","",HOUR(A8927))</f>
        <v/>
      </c>
    </row>
    <row r="8928">
      <c r="A8928">
        <f>Input!A8928</f>
        <v/>
      </c>
      <c r="B8928">
        <f>IF(ISNUMBER(Input!B8928),IF(AND(Input!B8928&gt;=20,Input!B8928&lt;=700),Input!B8928,""),"")</f>
        <v/>
      </c>
      <c r="C8928">
        <f>IF(B8928="","",INT(A8928))</f>
        <v/>
      </c>
      <c r="D8928">
        <f>IF(B8928="","",HOUR(A8928))</f>
        <v/>
      </c>
    </row>
    <row r="8929">
      <c r="A8929">
        <f>Input!A8929</f>
        <v/>
      </c>
      <c r="B8929">
        <f>IF(ISNUMBER(Input!B8929),IF(AND(Input!B8929&gt;=20,Input!B8929&lt;=700),Input!B8929,""),"")</f>
        <v/>
      </c>
      <c r="C8929">
        <f>IF(B8929="","",INT(A8929))</f>
        <v/>
      </c>
      <c r="D8929">
        <f>IF(B8929="","",HOUR(A8929))</f>
        <v/>
      </c>
    </row>
    <row r="8930">
      <c r="A8930">
        <f>Input!A8930</f>
        <v/>
      </c>
      <c r="B8930">
        <f>IF(ISNUMBER(Input!B8930),IF(AND(Input!B8930&gt;=20,Input!B8930&lt;=700),Input!B8930,""),"")</f>
        <v/>
      </c>
      <c r="C8930">
        <f>IF(B8930="","",INT(A8930))</f>
        <v/>
      </c>
      <c r="D8930">
        <f>IF(B8930="","",HOUR(A8930))</f>
        <v/>
      </c>
    </row>
    <row r="8931">
      <c r="A8931">
        <f>Input!A8931</f>
        <v/>
      </c>
      <c r="B8931">
        <f>IF(ISNUMBER(Input!B8931),IF(AND(Input!B8931&gt;=20,Input!B8931&lt;=700),Input!B8931,""),"")</f>
        <v/>
      </c>
      <c r="C8931">
        <f>IF(B8931="","",INT(A8931))</f>
        <v/>
      </c>
      <c r="D8931">
        <f>IF(B8931="","",HOUR(A8931))</f>
        <v/>
      </c>
    </row>
    <row r="8932">
      <c r="A8932">
        <f>Input!A8932</f>
        <v/>
      </c>
      <c r="B8932">
        <f>IF(ISNUMBER(Input!B8932),IF(AND(Input!B8932&gt;=20,Input!B8932&lt;=700),Input!B8932,""),"")</f>
        <v/>
      </c>
      <c r="C8932">
        <f>IF(B8932="","",INT(A8932))</f>
        <v/>
      </c>
      <c r="D8932">
        <f>IF(B8932="","",HOUR(A8932))</f>
        <v/>
      </c>
    </row>
    <row r="8933">
      <c r="A8933">
        <f>Input!A8933</f>
        <v/>
      </c>
      <c r="B8933">
        <f>IF(ISNUMBER(Input!B8933),IF(AND(Input!B8933&gt;=20,Input!B8933&lt;=700),Input!B8933,""),"")</f>
        <v/>
      </c>
      <c r="C8933">
        <f>IF(B8933="","",INT(A8933))</f>
        <v/>
      </c>
      <c r="D8933">
        <f>IF(B8933="","",HOUR(A8933))</f>
        <v/>
      </c>
    </row>
    <row r="8934">
      <c r="A8934">
        <f>Input!A8934</f>
        <v/>
      </c>
      <c r="B8934">
        <f>IF(ISNUMBER(Input!B8934),IF(AND(Input!B8934&gt;=20,Input!B8934&lt;=700),Input!B8934,""),"")</f>
        <v/>
      </c>
      <c r="C8934">
        <f>IF(B8934="","",INT(A8934))</f>
        <v/>
      </c>
      <c r="D8934">
        <f>IF(B8934="","",HOUR(A8934))</f>
        <v/>
      </c>
    </row>
    <row r="8935">
      <c r="A8935">
        <f>Input!A8935</f>
        <v/>
      </c>
      <c r="B8935">
        <f>IF(ISNUMBER(Input!B8935),IF(AND(Input!B8935&gt;=20,Input!B8935&lt;=700),Input!B8935,""),"")</f>
        <v/>
      </c>
      <c r="C8935">
        <f>IF(B8935="","",INT(A8935))</f>
        <v/>
      </c>
      <c r="D8935">
        <f>IF(B8935="","",HOUR(A8935))</f>
        <v/>
      </c>
    </row>
    <row r="8936">
      <c r="A8936">
        <f>Input!A8936</f>
        <v/>
      </c>
      <c r="B8936">
        <f>IF(ISNUMBER(Input!B8936),IF(AND(Input!B8936&gt;=20,Input!B8936&lt;=700),Input!B8936,""),"")</f>
        <v/>
      </c>
      <c r="C8936">
        <f>IF(B8936="","",INT(A8936))</f>
        <v/>
      </c>
      <c r="D8936">
        <f>IF(B8936="","",HOUR(A8936))</f>
        <v/>
      </c>
    </row>
    <row r="8937">
      <c r="A8937">
        <f>Input!A8937</f>
        <v/>
      </c>
      <c r="B8937">
        <f>IF(ISNUMBER(Input!B8937),IF(AND(Input!B8937&gt;=20,Input!B8937&lt;=700),Input!B8937,""),"")</f>
        <v/>
      </c>
      <c r="C8937">
        <f>IF(B8937="","",INT(A8937))</f>
        <v/>
      </c>
      <c r="D8937">
        <f>IF(B8937="","",HOUR(A8937))</f>
        <v/>
      </c>
    </row>
    <row r="8938">
      <c r="A8938">
        <f>Input!A8938</f>
        <v/>
      </c>
      <c r="B8938">
        <f>IF(ISNUMBER(Input!B8938),IF(AND(Input!B8938&gt;=20,Input!B8938&lt;=700),Input!B8938,""),"")</f>
        <v/>
      </c>
      <c r="C8938">
        <f>IF(B8938="","",INT(A8938))</f>
        <v/>
      </c>
      <c r="D8938">
        <f>IF(B8938="","",HOUR(A8938))</f>
        <v/>
      </c>
    </row>
    <row r="8939">
      <c r="A8939">
        <f>Input!A8939</f>
        <v/>
      </c>
      <c r="B8939">
        <f>IF(ISNUMBER(Input!B8939),IF(AND(Input!B8939&gt;=20,Input!B8939&lt;=700),Input!B8939,""),"")</f>
        <v/>
      </c>
      <c r="C8939">
        <f>IF(B8939="","",INT(A8939))</f>
        <v/>
      </c>
      <c r="D8939">
        <f>IF(B8939="","",HOUR(A8939))</f>
        <v/>
      </c>
    </row>
    <row r="8940">
      <c r="A8940">
        <f>Input!A8940</f>
        <v/>
      </c>
      <c r="B8940">
        <f>IF(ISNUMBER(Input!B8940),IF(AND(Input!B8940&gt;=20,Input!B8940&lt;=700),Input!B8940,""),"")</f>
        <v/>
      </c>
      <c r="C8940">
        <f>IF(B8940="","",INT(A8940))</f>
        <v/>
      </c>
      <c r="D8940">
        <f>IF(B8940="","",HOUR(A8940))</f>
        <v/>
      </c>
    </row>
    <row r="8941">
      <c r="A8941">
        <f>Input!A8941</f>
        <v/>
      </c>
      <c r="B8941">
        <f>IF(ISNUMBER(Input!B8941),IF(AND(Input!B8941&gt;=20,Input!B8941&lt;=700),Input!B8941,""),"")</f>
        <v/>
      </c>
      <c r="C8941">
        <f>IF(B8941="","",INT(A8941))</f>
        <v/>
      </c>
      <c r="D8941">
        <f>IF(B8941="","",HOUR(A8941))</f>
        <v/>
      </c>
    </row>
    <row r="8942">
      <c r="A8942">
        <f>Input!A8942</f>
        <v/>
      </c>
      <c r="B8942">
        <f>IF(ISNUMBER(Input!B8942),IF(AND(Input!B8942&gt;=20,Input!B8942&lt;=700),Input!B8942,""),"")</f>
        <v/>
      </c>
      <c r="C8942">
        <f>IF(B8942="","",INT(A8942))</f>
        <v/>
      </c>
      <c r="D8942">
        <f>IF(B8942="","",HOUR(A8942))</f>
        <v/>
      </c>
    </row>
    <row r="8943">
      <c r="A8943">
        <f>Input!A8943</f>
        <v/>
      </c>
      <c r="B8943">
        <f>IF(ISNUMBER(Input!B8943),IF(AND(Input!B8943&gt;=20,Input!B8943&lt;=700),Input!B8943,""),"")</f>
        <v/>
      </c>
      <c r="C8943">
        <f>IF(B8943="","",INT(A8943))</f>
        <v/>
      </c>
      <c r="D8943">
        <f>IF(B8943="","",HOUR(A8943))</f>
        <v/>
      </c>
    </row>
    <row r="8944">
      <c r="A8944">
        <f>Input!A8944</f>
        <v/>
      </c>
      <c r="B8944">
        <f>IF(ISNUMBER(Input!B8944),IF(AND(Input!B8944&gt;=20,Input!B8944&lt;=700),Input!B8944,""),"")</f>
        <v/>
      </c>
      <c r="C8944">
        <f>IF(B8944="","",INT(A8944))</f>
        <v/>
      </c>
      <c r="D8944">
        <f>IF(B8944="","",HOUR(A8944))</f>
        <v/>
      </c>
    </row>
    <row r="8945">
      <c r="A8945">
        <f>Input!A8945</f>
        <v/>
      </c>
      <c r="B8945">
        <f>IF(ISNUMBER(Input!B8945),IF(AND(Input!B8945&gt;=20,Input!B8945&lt;=700),Input!B8945,""),"")</f>
        <v/>
      </c>
      <c r="C8945">
        <f>IF(B8945="","",INT(A8945))</f>
        <v/>
      </c>
      <c r="D8945">
        <f>IF(B8945="","",HOUR(A8945))</f>
        <v/>
      </c>
    </row>
    <row r="8946">
      <c r="A8946">
        <f>Input!A8946</f>
        <v/>
      </c>
      <c r="B8946">
        <f>IF(ISNUMBER(Input!B8946),IF(AND(Input!B8946&gt;=20,Input!B8946&lt;=700),Input!B8946,""),"")</f>
        <v/>
      </c>
      <c r="C8946">
        <f>IF(B8946="","",INT(A8946))</f>
        <v/>
      </c>
      <c r="D8946">
        <f>IF(B8946="","",HOUR(A8946))</f>
        <v/>
      </c>
    </row>
    <row r="8947">
      <c r="A8947">
        <f>Input!A8947</f>
        <v/>
      </c>
      <c r="B8947">
        <f>IF(ISNUMBER(Input!B8947),IF(AND(Input!B8947&gt;=20,Input!B8947&lt;=700),Input!B8947,""),"")</f>
        <v/>
      </c>
      <c r="C8947">
        <f>IF(B8947="","",INT(A8947))</f>
        <v/>
      </c>
      <c r="D8947">
        <f>IF(B8947="","",HOUR(A8947))</f>
        <v/>
      </c>
    </row>
    <row r="8948">
      <c r="A8948">
        <f>Input!A8948</f>
        <v/>
      </c>
      <c r="B8948">
        <f>IF(ISNUMBER(Input!B8948),IF(AND(Input!B8948&gt;=20,Input!B8948&lt;=700),Input!B8948,""),"")</f>
        <v/>
      </c>
      <c r="C8948">
        <f>IF(B8948="","",INT(A8948))</f>
        <v/>
      </c>
      <c r="D8948">
        <f>IF(B8948="","",HOUR(A8948))</f>
        <v/>
      </c>
    </row>
    <row r="8949">
      <c r="A8949">
        <f>Input!A8949</f>
        <v/>
      </c>
      <c r="B8949">
        <f>IF(ISNUMBER(Input!B8949),IF(AND(Input!B8949&gt;=20,Input!B8949&lt;=700),Input!B8949,""),"")</f>
        <v/>
      </c>
      <c r="C8949">
        <f>IF(B8949="","",INT(A8949))</f>
        <v/>
      </c>
      <c r="D8949">
        <f>IF(B8949="","",HOUR(A8949))</f>
        <v/>
      </c>
    </row>
    <row r="8950">
      <c r="A8950">
        <f>Input!A8950</f>
        <v/>
      </c>
      <c r="B8950">
        <f>IF(ISNUMBER(Input!B8950),IF(AND(Input!B8950&gt;=20,Input!B8950&lt;=700),Input!B8950,""),"")</f>
        <v/>
      </c>
      <c r="C8950">
        <f>IF(B8950="","",INT(A8950))</f>
        <v/>
      </c>
      <c r="D8950">
        <f>IF(B8950="","",HOUR(A8950))</f>
        <v/>
      </c>
    </row>
    <row r="8951">
      <c r="A8951">
        <f>Input!A8951</f>
        <v/>
      </c>
      <c r="B8951">
        <f>IF(ISNUMBER(Input!B8951),IF(AND(Input!B8951&gt;=20,Input!B8951&lt;=700),Input!B8951,""),"")</f>
        <v/>
      </c>
      <c r="C8951">
        <f>IF(B8951="","",INT(A8951))</f>
        <v/>
      </c>
      <c r="D8951">
        <f>IF(B8951="","",HOUR(A8951))</f>
        <v/>
      </c>
    </row>
    <row r="8952">
      <c r="A8952">
        <f>Input!A8952</f>
        <v/>
      </c>
      <c r="B8952">
        <f>IF(ISNUMBER(Input!B8952),IF(AND(Input!B8952&gt;=20,Input!B8952&lt;=700),Input!B8952,""),"")</f>
        <v/>
      </c>
      <c r="C8952">
        <f>IF(B8952="","",INT(A8952))</f>
        <v/>
      </c>
      <c r="D8952">
        <f>IF(B8952="","",HOUR(A8952))</f>
        <v/>
      </c>
    </row>
    <row r="8953">
      <c r="A8953">
        <f>Input!A8953</f>
        <v/>
      </c>
      <c r="B8953">
        <f>IF(ISNUMBER(Input!B8953),IF(AND(Input!B8953&gt;=20,Input!B8953&lt;=700),Input!B8953,""),"")</f>
        <v/>
      </c>
      <c r="C8953">
        <f>IF(B8953="","",INT(A8953))</f>
        <v/>
      </c>
      <c r="D8953">
        <f>IF(B8953="","",HOUR(A8953))</f>
        <v/>
      </c>
    </row>
    <row r="8954">
      <c r="A8954">
        <f>Input!A8954</f>
        <v/>
      </c>
      <c r="B8954">
        <f>IF(ISNUMBER(Input!B8954),IF(AND(Input!B8954&gt;=20,Input!B8954&lt;=700),Input!B8954,""),"")</f>
        <v/>
      </c>
      <c r="C8954">
        <f>IF(B8954="","",INT(A8954))</f>
        <v/>
      </c>
      <c r="D8954">
        <f>IF(B8954="","",HOUR(A8954))</f>
        <v/>
      </c>
    </row>
    <row r="8955">
      <c r="A8955">
        <f>Input!A8955</f>
        <v/>
      </c>
      <c r="B8955">
        <f>IF(ISNUMBER(Input!B8955),IF(AND(Input!B8955&gt;=20,Input!B8955&lt;=700),Input!B8955,""),"")</f>
        <v/>
      </c>
      <c r="C8955">
        <f>IF(B8955="","",INT(A8955))</f>
        <v/>
      </c>
      <c r="D8955">
        <f>IF(B8955="","",HOUR(A8955))</f>
        <v/>
      </c>
    </row>
    <row r="8956">
      <c r="A8956">
        <f>Input!A8956</f>
        <v/>
      </c>
      <c r="B8956">
        <f>IF(ISNUMBER(Input!B8956),IF(AND(Input!B8956&gt;=20,Input!B8956&lt;=700),Input!B8956,""),"")</f>
        <v/>
      </c>
      <c r="C8956">
        <f>IF(B8956="","",INT(A8956))</f>
        <v/>
      </c>
      <c r="D8956">
        <f>IF(B8956="","",HOUR(A8956))</f>
        <v/>
      </c>
    </row>
    <row r="8957">
      <c r="A8957">
        <f>Input!A8957</f>
        <v/>
      </c>
      <c r="B8957">
        <f>IF(ISNUMBER(Input!B8957),IF(AND(Input!B8957&gt;=20,Input!B8957&lt;=700),Input!B8957,""),"")</f>
        <v/>
      </c>
      <c r="C8957">
        <f>IF(B8957="","",INT(A8957))</f>
        <v/>
      </c>
      <c r="D8957">
        <f>IF(B8957="","",HOUR(A8957))</f>
        <v/>
      </c>
    </row>
    <row r="8958">
      <c r="A8958">
        <f>Input!A8958</f>
        <v/>
      </c>
      <c r="B8958">
        <f>IF(ISNUMBER(Input!B8958),IF(AND(Input!B8958&gt;=20,Input!B8958&lt;=700),Input!B8958,""),"")</f>
        <v/>
      </c>
      <c r="C8958">
        <f>IF(B8958="","",INT(A8958))</f>
        <v/>
      </c>
      <c r="D8958">
        <f>IF(B8958="","",HOUR(A8958))</f>
        <v/>
      </c>
    </row>
    <row r="8959">
      <c r="A8959">
        <f>Input!A8959</f>
        <v/>
      </c>
      <c r="B8959">
        <f>IF(ISNUMBER(Input!B8959),IF(AND(Input!B8959&gt;=20,Input!B8959&lt;=700),Input!B8959,""),"")</f>
        <v/>
      </c>
      <c r="C8959">
        <f>IF(B8959="","",INT(A8959))</f>
        <v/>
      </c>
      <c r="D8959">
        <f>IF(B8959="","",HOUR(A8959))</f>
        <v/>
      </c>
    </row>
    <row r="8960">
      <c r="A8960">
        <f>Input!A8960</f>
        <v/>
      </c>
      <c r="B8960">
        <f>IF(ISNUMBER(Input!B8960),IF(AND(Input!B8960&gt;=20,Input!B8960&lt;=700),Input!B8960,""),"")</f>
        <v/>
      </c>
      <c r="C8960">
        <f>IF(B8960="","",INT(A8960))</f>
        <v/>
      </c>
      <c r="D8960">
        <f>IF(B8960="","",HOUR(A8960))</f>
        <v/>
      </c>
    </row>
    <row r="8961">
      <c r="A8961">
        <f>Input!A8961</f>
        <v/>
      </c>
      <c r="B8961">
        <f>IF(ISNUMBER(Input!B8961),IF(AND(Input!B8961&gt;=20,Input!B8961&lt;=700),Input!B8961,""),"")</f>
        <v/>
      </c>
      <c r="C8961">
        <f>IF(B8961="","",INT(A8961))</f>
        <v/>
      </c>
      <c r="D8961">
        <f>IF(B8961="","",HOUR(A8961))</f>
        <v/>
      </c>
    </row>
    <row r="8962">
      <c r="A8962">
        <f>Input!A8962</f>
        <v/>
      </c>
      <c r="B8962">
        <f>IF(ISNUMBER(Input!B8962),IF(AND(Input!B8962&gt;=20,Input!B8962&lt;=700),Input!B8962,""),"")</f>
        <v/>
      </c>
      <c r="C8962">
        <f>IF(B8962="","",INT(A8962))</f>
        <v/>
      </c>
      <c r="D8962">
        <f>IF(B8962="","",HOUR(A8962))</f>
        <v/>
      </c>
    </row>
    <row r="8963">
      <c r="A8963">
        <f>Input!A8963</f>
        <v/>
      </c>
      <c r="B8963">
        <f>IF(ISNUMBER(Input!B8963),IF(AND(Input!B8963&gt;=20,Input!B8963&lt;=700),Input!B8963,""),"")</f>
        <v/>
      </c>
      <c r="C8963">
        <f>IF(B8963="","",INT(A8963))</f>
        <v/>
      </c>
      <c r="D8963">
        <f>IF(B8963="","",HOUR(A8963))</f>
        <v/>
      </c>
    </row>
    <row r="8964">
      <c r="A8964">
        <f>Input!A8964</f>
        <v/>
      </c>
      <c r="B8964">
        <f>IF(ISNUMBER(Input!B8964),IF(AND(Input!B8964&gt;=20,Input!B8964&lt;=700),Input!B8964,""),"")</f>
        <v/>
      </c>
      <c r="C8964">
        <f>IF(B8964="","",INT(A8964))</f>
        <v/>
      </c>
      <c r="D8964">
        <f>IF(B8964="","",HOUR(A8964))</f>
        <v/>
      </c>
    </row>
    <row r="8965">
      <c r="A8965">
        <f>Input!A8965</f>
        <v/>
      </c>
      <c r="B8965">
        <f>IF(ISNUMBER(Input!B8965),IF(AND(Input!B8965&gt;=20,Input!B8965&lt;=700),Input!B8965,""),"")</f>
        <v/>
      </c>
      <c r="C8965">
        <f>IF(B8965="","",INT(A8965))</f>
        <v/>
      </c>
      <c r="D8965">
        <f>IF(B8965="","",HOUR(A8965))</f>
        <v/>
      </c>
    </row>
    <row r="8966">
      <c r="A8966">
        <f>Input!A8966</f>
        <v/>
      </c>
      <c r="B8966">
        <f>IF(ISNUMBER(Input!B8966),IF(AND(Input!B8966&gt;=20,Input!B8966&lt;=700),Input!B8966,""),"")</f>
        <v/>
      </c>
      <c r="C8966">
        <f>IF(B8966="","",INT(A8966))</f>
        <v/>
      </c>
      <c r="D8966">
        <f>IF(B8966="","",HOUR(A8966))</f>
        <v/>
      </c>
    </row>
    <row r="8967">
      <c r="A8967">
        <f>Input!A8967</f>
        <v/>
      </c>
      <c r="B8967">
        <f>IF(ISNUMBER(Input!B8967),IF(AND(Input!B8967&gt;=20,Input!B8967&lt;=700),Input!B8967,""),"")</f>
        <v/>
      </c>
      <c r="C8967">
        <f>IF(B8967="","",INT(A8967))</f>
        <v/>
      </c>
      <c r="D8967">
        <f>IF(B8967="","",HOUR(A8967))</f>
        <v/>
      </c>
    </row>
    <row r="8968">
      <c r="A8968">
        <f>Input!A8968</f>
        <v/>
      </c>
      <c r="B8968">
        <f>IF(ISNUMBER(Input!B8968),IF(AND(Input!B8968&gt;=20,Input!B8968&lt;=700),Input!B8968,""),"")</f>
        <v/>
      </c>
      <c r="C8968">
        <f>IF(B8968="","",INT(A8968))</f>
        <v/>
      </c>
      <c r="D8968">
        <f>IF(B8968="","",HOUR(A8968))</f>
        <v/>
      </c>
    </row>
    <row r="8969">
      <c r="A8969">
        <f>Input!A8969</f>
        <v/>
      </c>
      <c r="B8969">
        <f>IF(ISNUMBER(Input!B8969),IF(AND(Input!B8969&gt;=20,Input!B8969&lt;=700),Input!B8969,""),"")</f>
        <v/>
      </c>
      <c r="C8969">
        <f>IF(B8969="","",INT(A8969))</f>
        <v/>
      </c>
      <c r="D8969">
        <f>IF(B8969="","",HOUR(A8969))</f>
        <v/>
      </c>
    </row>
    <row r="8970">
      <c r="A8970">
        <f>Input!A8970</f>
        <v/>
      </c>
      <c r="B8970">
        <f>IF(ISNUMBER(Input!B8970),IF(AND(Input!B8970&gt;=20,Input!B8970&lt;=700),Input!B8970,""),"")</f>
        <v/>
      </c>
      <c r="C8970">
        <f>IF(B8970="","",INT(A8970))</f>
        <v/>
      </c>
      <c r="D8970">
        <f>IF(B8970="","",HOUR(A8970))</f>
        <v/>
      </c>
    </row>
    <row r="8971">
      <c r="A8971">
        <f>Input!A8971</f>
        <v/>
      </c>
      <c r="B8971">
        <f>IF(ISNUMBER(Input!B8971),IF(AND(Input!B8971&gt;=20,Input!B8971&lt;=700),Input!B8971,""),"")</f>
        <v/>
      </c>
      <c r="C8971">
        <f>IF(B8971="","",INT(A8971))</f>
        <v/>
      </c>
      <c r="D8971">
        <f>IF(B8971="","",HOUR(A8971))</f>
        <v/>
      </c>
    </row>
    <row r="8972">
      <c r="A8972">
        <f>Input!A8972</f>
        <v/>
      </c>
      <c r="B8972">
        <f>IF(ISNUMBER(Input!B8972),IF(AND(Input!B8972&gt;=20,Input!B8972&lt;=700),Input!B8972,""),"")</f>
        <v/>
      </c>
      <c r="C8972">
        <f>IF(B8972="","",INT(A8972))</f>
        <v/>
      </c>
      <c r="D8972">
        <f>IF(B8972="","",HOUR(A8972))</f>
        <v/>
      </c>
    </row>
    <row r="8973">
      <c r="A8973">
        <f>Input!A8973</f>
        <v/>
      </c>
      <c r="B8973">
        <f>IF(ISNUMBER(Input!B8973),IF(AND(Input!B8973&gt;=20,Input!B8973&lt;=700),Input!B8973,""),"")</f>
        <v/>
      </c>
      <c r="C8973">
        <f>IF(B8973="","",INT(A8973))</f>
        <v/>
      </c>
      <c r="D8973">
        <f>IF(B8973="","",HOUR(A8973))</f>
        <v/>
      </c>
    </row>
    <row r="8974">
      <c r="A8974">
        <f>Input!A8974</f>
        <v/>
      </c>
      <c r="B8974">
        <f>IF(ISNUMBER(Input!B8974),IF(AND(Input!B8974&gt;=20,Input!B8974&lt;=700),Input!B8974,""),"")</f>
        <v/>
      </c>
      <c r="C8974">
        <f>IF(B8974="","",INT(A8974))</f>
        <v/>
      </c>
      <c r="D8974">
        <f>IF(B8974="","",HOUR(A8974))</f>
        <v/>
      </c>
    </row>
    <row r="8975">
      <c r="A8975">
        <f>Input!A8975</f>
        <v/>
      </c>
      <c r="B8975">
        <f>IF(ISNUMBER(Input!B8975),IF(AND(Input!B8975&gt;=20,Input!B8975&lt;=700),Input!B8975,""),"")</f>
        <v/>
      </c>
      <c r="C8975">
        <f>IF(B8975="","",INT(A8975))</f>
        <v/>
      </c>
      <c r="D8975">
        <f>IF(B8975="","",HOUR(A8975))</f>
        <v/>
      </c>
    </row>
    <row r="8976">
      <c r="A8976">
        <f>Input!A8976</f>
        <v/>
      </c>
      <c r="B8976">
        <f>IF(ISNUMBER(Input!B8976),IF(AND(Input!B8976&gt;=20,Input!B8976&lt;=700),Input!B8976,""),"")</f>
        <v/>
      </c>
      <c r="C8976">
        <f>IF(B8976="","",INT(A8976))</f>
        <v/>
      </c>
      <c r="D8976">
        <f>IF(B8976="","",HOUR(A8976))</f>
        <v/>
      </c>
    </row>
    <row r="8977">
      <c r="A8977">
        <f>Input!A8977</f>
        <v/>
      </c>
      <c r="B8977">
        <f>IF(ISNUMBER(Input!B8977),IF(AND(Input!B8977&gt;=20,Input!B8977&lt;=700),Input!B8977,""),"")</f>
        <v/>
      </c>
      <c r="C8977">
        <f>IF(B8977="","",INT(A8977))</f>
        <v/>
      </c>
      <c r="D8977">
        <f>IF(B8977="","",HOUR(A8977))</f>
        <v/>
      </c>
    </row>
    <row r="8978">
      <c r="A8978">
        <f>Input!A8978</f>
        <v/>
      </c>
      <c r="B8978">
        <f>IF(ISNUMBER(Input!B8978),IF(AND(Input!B8978&gt;=20,Input!B8978&lt;=700),Input!B8978,""),"")</f>
        <v/>
      </c>
      <c r="C8978">
        <f>IF(B8978="","",INT(A8978))</f>
        <v/>
      </c>
      <c r="D8978">
        <f>IF(B8978="","",HOUR(A8978))</f>
        <v/>
      </c>
    </row>
    <row r="8979">
      <c r="A8979">
        <f>Input!A8979</f>
        <v/>
      </c>
      <c r="B8979">
        <f>IF(ISNUMBER(Input!B8979),IF(AND(Input!B8979&gt;=20,Input!B8979&lt;=700),Input!B8979,""),"")</f>
        <v/>
      </c>
      <c r="C8979">
        <f>IF(B8979="","",INT(A8979))</f>
        <v/>
      </c>
      <c r="D8979">
        <f>IF(B8979="","",HOUR(A8979))</f>
        <v/>
      </c>
    </row>
    <row r="8980">
      <c r="A8980">
        <f>Input!A8980</f>
        <v/>
      </c>
      <c r="B8980">
        <f>IF(ISNUMBER(Input!B8980),IF(AND(Input!B8980&gt;=20,Input!B8980&lt;=700),Input!B8980,""),"")</f>
        <v/>
      </c>
      <c r="C8980">
        <f>IF(B8980="","",INT(A8980))</f>
        <v/>
      </c>
      <c r="D8980">
        <f>IF(B8980="","",HOUR(A8980))</f>
        <v/>
      </c>
    </row>
    <row r="8981">
      <c r="A8981">
        <f>Input!A8981</f>
        <v/>
      </c>
      <c r="B8981">
        <f>IF(ISNUMBER(Input!B8981),IF(AND(Input!B8981&gt;=20,Input!B8981&lt;=700),Input!B8981,""),"")</f>
        <v/>
      </c>
      <c r="C8981">
        <f>IF(B8981="","",INT(A8981))</f>
        <v/>
      </c>
      <c r="D8981">
        <f>IF(B8981="","",HOUR(A8981))</f>
        <v/>
      </c>
    </row>
    <row r="8982">
      <c r="A8982">
        <f>Input!A8982</f>
        <v/>
      </c>
      <c r="B8982">
        <f>IF(ISNUMBER(Input!B8982),IF(AND(Input!B8982&gt;=20,Input!B8982&lt;=700),Input!B8982,""),"")</f>
        <v/>
      </c>
      <c r="C8982">
        <f>IF(B8982="","",INT(A8982))</f>
        <v/>
      </c>
      <c r="D8982">
        <f>IF(B8982="","",HOUR(A8982))</f>
        <v/>
      </c>
    </row>
    <row r="8983">
      <c r="A8983">
        <f>Input!A8983</f>
        <v/>
      </c>
      <c r="B8983">
        <f>IF(ISNUMBER(Input!B8983),IF(AND(Input!B8983&gt;=20,Input!B8983&lt;=700),Input!B8983,""),"")</f>
        <v/>
      </c>
      <c r="C8983">
        <f>IF(B8983="","",INT(A8983))</f>
        <v/>
      </c>
      <c r="D8983">
        <f>IF(B8983="","",HOUR(A8983))</f>
        <v/>
      </c>
    </row>
    <row r="8984">
      <c r="A8984">
        <f>Input!A8984</f>
        <v/>
      </c>
      <c r="B8984">
        <f>IF(ISNUMBER(Input!B8984),IF(AND(Input!B8984&gt;=20,Input!B8984&lt;=700),Input!B8984,""),"")</f>
        <v/>
      </c>
      <c r="C8984">
        <f>IF(B8984="","",INT(A8984))</f>
        <v/>
      </c>
      <c r="D8984">
        <f>IF(B8984="","",HOUR(A8984))</f>
        <v/>
      </c>
    </row>
    <row r="8985">
      <c r="A8985">
        <f>Input!A8985</f>
        <v/>
      </c>
      <c r="B8985">
        <f>IF(ISNUMBER(Input!B8985),IF(AND(Input!B8985&gt;=20,Input!B8985&lt;=700),Input!B8985,""),"")</f>
        <v/>
      </c>
      <c r="C8985">
        <f>IF(B8985="","",INT(A8985))</f>
        <v/>
      </c>
      <c r="D8985">
        <f>IF(B8985="","",HOUR(A8985))</f>
        <v/>
      </c>
    </row>
    <row r="8986">
      <c r="A8986">
        <f>Input!A8986</f>
        <v/>
      </c>
      <c r="B8986">
        <f>IF(ISNUMBER(Input!B8986),IF(AND(Input!B8986&gt;=20,Input!B8986&lt;=700),Input!B8986,""),"")</f>
        <v/>
      </c>
      <c r="C8986">
        <f>IF(B8986="","",INT(A8986))</f>
        <v/>
      </c>
      <c r="D8986">
        <f>IF(B8986="","",HOUR(A8986))</f>
        <v/>
      </c>
    </row>
    <row r="8987">
      <c r="A8987">
        <f>Input!A8987</f>
        <v/>
      </c>
      <c r="B8987">
        <f>IF(ISNUMBER(Input!B8987),IF(AND(Input!B8987&gt;=20,Input!B8987&lt;=700),Input!B8987,""),"")</f>
        <v/>
      </c>
      <c r="C8987">
        <f>IF(B8987="","",INT(A8987))</f>
        <v/>
      </c>
      <c r="D8987">
        <f>IF(B8987="","",HOUR(A8987))</f>
        <v/>
      </c>
    </row>
    <row r="8988">
      <c r="A8988">
        <f>Input!A8988</f>
        <v/>
      </c>
      <c r="B8988">
        <f>IF(ISNUMBER(Input!B8988),IF(AND(Input!B8988&gt;=20,Input!B8988&lt;=700),Input!B8988,""),"")</f>
        <v/>
      </c>
      <c r="C8988">
        <f>IF(B8988="","",INT(A8988))</f>
        <v/>
      </c>
      <c r="D8988">
        <f>IF(B8988="","",HOUR(A8988))</f>
        <v/>
      </c>
    </row>
    <row r="8989">
      <c r="A8989">
        <f>Input!A8989</f>
        <v/>
      </c>
      <c r="B8989">
        <f>IF(ISNUMBER(Input!B8989),IF(AND(Input!B8989&gt;=20,Input!B8989&lt;=700),Input!B8989,""),"")</f>
        <v/>
      </c>
      <c r="C8989">
        <f>IF(B8989="","",INT(A8989))</f>
        <v/>
      </c>
      <c r="D8989">
        <f>IF(B8989="","",HOUR(A8989))</f>
        <v/>
      </c>
    </row>
    <row r="8990">
      <c r="A8990">
        <f>Input!A8990</f>
        <v/>
      </c>
      <c r="B8990">
        <f>IF(ISNUMBER(Input!B8990),IF(AND(Input!B8990&gt;=20,Input!B8990&lt;=700),Input!B8990,""),"")</f>
        <v/>
      </c>
      <c r="C8990">
        <f>IF(B8990="","",INT(A8990))</f>
        <v/>
      </c>
      <c r="D8990">
        <f>IF(B8990="","",HOUR(A8990))</f>
        <v/>
      </c>
    </row>
    <row r="8991">
      <c r="A8991">
        <f>Input!A8991</f>
        <v/>
      </c>
      <c r="B8991">
        <f>IF(ISNUMBER(Input!B8991),IF(AND(Input!B8991&gt;=20,Input!B8991&lt;=700),Input!B8991,""),"")</f>
        <v/>
      </c>
      <c r="C8991">
        <f>IF(B8991="","",INT(A8991))</f>
        <v/>
      </c>
      <c r="D8991">
        <f>IF(B8991="","",HOUR(A8991))</f>
        <v/>
      </c>
    </row>
    <row r="8992">
      <c r="A8992">
        <f>Input!A8992</f>
        <v/>
      </c>
      <c r="B8992">
        <f>IF(ISNUMBER(Input!B8992),IF(AND(Input!B8992&gt;=20,Input!B8992&lt;=700),Input!B8992,""),"")</f>
        <v/>
      </c>
      <c r="C8992">
        <f>IF(B8992="","",INT(A8992))</f>
        <v/>
      </c>
      <c r="D8992">
        <f>IF(B8992="","",HOUR(A8992))</f>
        <v/>
      </c>
    </row>
    <row r="8993">
      <c r="A8993">
        <f>Input!A8993</f>
        <v/>
      </c>
      <c r="B8993">
        <f>IF(ISNUMBER(Input!B8993),IF(AND(Input!B8993&gt;=20,Input!B8993&lt;=700),Input!B8993,""),"")</f>
        <v/>
      </c>
      <c r="C8993">
        <f>IF(B8993="","",INT(A8993))</f>
        <v/>
      </c>
      <c r="D8993">
        <f>IF(B8993="","",HOUR(A8993))</f>
        <v/>
      </c>
    </row>
    <row r="8994">
      <c r="A8994">
        <f>Input!A8994</f>
        <v/>
      </c>
      <c r="B8994">
        <f>IF(ISNUMBER(Input!B8994),IF(AND(Input!B8994&gt;=20,Input!B8994&lt;=700),Input!B8994,""),"")</f>
        <v/>
      </c>
      <c r="C8994">
        <f>IF(B8994="","",INT(A8994))</f>
        <v/>
      </c>
      <c r="D8994">
        <f>IF(B8994="","",HOUR(A8994))</f>
        <v/>
      </c>
    </row>
    <row r="8995">
      <c r="A8995">
        <f>Input!A8995</f>
        <v/>
      </c>
      <c r="B8995">
        <f>IF(ISNUMBER(Input!B8995),IF(AND(Input!B8995&gt;=20,Input!B8995&lt;=700),Input!B8995,""),"")</f>
        <v/>
      </c>
      <c r="C8995">
        <f>IF(B8995="","",INT(A8995))</f>
        <v/>
      </c>
      <c r="D8995">
        <f>IF(B8995="","",HOUR(A8995))</f>
        <v/>
      </c>
    </row>
    <row r="8996">
      <c r="A8996">
        <f>Input!A8996</f>
        <v/>
      </c>
      <c r="B8996">
        <f>IF(ISNUMBER(Input!B8996),IF(AND(Input!B8996&gt;=20,Input!B8996&lt;=700),Input!B8996,""),"")</f>
        <v/>
      </c>
      <c r="C8996">
        <f>IF(B8996="","",INT(A8996))</f>
        <v/>
      </c>
      <c r="D8996">
        <f>IF(B8996="","",HOUR(A8996))</f>
        <v/>
      </c>
    </row>
    <row r="8997">
      <c r="A8997">
        <f>Input!A8997</f>
        <v/>
      </c>
      <c r="B8997">
        <f>IF(ISNUMBER(Input!B8997),IF(AND(Input!B8997&gt;=20,Input!B8997&lt;=700),Input!B8997,""),"")</f>
        <v/>
      </c>
      <c r="C8997">
        <f>IF(B8997="","",INT(A8997))</f>
        <v/>
      </c>
      <c r="D8997">
        <f>IF(B8997="","",HOUR(A8997))</f>
        <v/>
      </c>
    </row>
    <row r="8998">
      <c r="A8998">
        <f>Input!A8998</f>
        <v/>
      </c>
      <c r="B8998">
        <f>IF(ISNUMBER(Input!B8998),IF(AND(Input!B8998&gt;=20,Input!B8998&lt;=700),Input!B8998,""),"")</f>
        <v/>
      </c>
      <c r="C8998">
        <f>IF(B8998="","",INT(A8998))</f>
        <v/>
      </c>
      <c r="D8998">
        <f>IF(B8998="","",HOUR(A8998))</f>
        <v/>
      </c>
    </row>
    <row r="8999">
      <c r="A8999">
        <f>Input!A8999</f>
        <v/>
      </c>
      <c r="B8999">
        <f>IF(ISNUMBER(Input!B8999),IF(AND(Input!B8999&gt;=20,Input!B8999&lt;=700),Input!B8999,""),"")</f>
        <v/>
      </c>
      <c r="C8999">
        <f>IF(B8999="","",INT(A8999))</f>
        <v/>
      </c>
      <c r="D8999">
        <f>IF(B8999="","",HOUR(A8999))</f>
        <v/>
      </c>
    </row>
    <row r="9000">
      <c r="A9000">
        <f>Input!A9000</f>
        <v/>
      </c>
      <c r="B9000">
        <f>IF(ISNUMBER(Input!B9000),IF(AND(Input!B9000&gt;=20,Input!B9000&lt;=700),Input!B9000,""),"")</f>
        <v/>
      </c>
      <c r="C9000">
        <f>IF(B9000="","",INT(A9000))</f>
        <v/>
      </c>
      <c r="D9000">
        <f>IF(B9000="","",HOUR(A9000))</f>
        <v/>
      </c>
    </row>
    <row r="9001">
      <c r="A9001">
        <f>Input!A9001</f>
        <v/>
      </c>
      <c r="B9001">
        <f>IF(ISNUMBER(Input!B9001),IF(AND(Input!B9001&gt;=20,Input!B9001&lt;=700),Input!B9001,""),"")</f>
        <v/>
      </c>
      <c r="C9001">
        <f>IF(B9001="","",INT(A9001))</f>
        <v/>
      </c>
      <c r="D9001">
        <f>IF(B9001="","",HOUR(A9001))</f>
        <v/>
      </c>
    </row>
    <row r="9002">
      <c r="A9002">
        <f>Input!A9002</f>
        <v/>
      </c>
      <c r="B9002">
        <f>IF(ISNUMBER(Input!B9002),IF(AND(Input!B9002&gt;=20,Input!B9002&lt;=700),Input!B9002,""),"")</f>
        <v/>
      </c>
      <c r="C9002">
        <f>IF(B9002="","",INT(A9002))</f>
        <v/>
      </c>
      <c r="D9002">
        <f>IF(B9002="","",HOUR(A9002))</f>
        <v/>
      </c>
    </row>
    <row r="9003">
      <c r="A9003">
        <f>Input!A9003</f>
        <v/>
      </c>
      <c r="B9003">
        <f>IF(ISNUMBER(Input!B9003),IF(AND(Input!B9003&gt;=20,Input!B9003&lt;=700),Input!B9003,""),"")</f>
        <v/>
      </c>
      <c r="C9003">
        <f>IF(B9003="","",INT(A9003))</f>
        <v/>
      </c>
      <c r="D9003">
        <f>IF(B9003="","",HOUR(A9003))</f>
        <v/>
      </c>
    </row>
    <row r="9004">
      <c r="A9004">
        <f>Input!A9004</f>
        <v/>
      </c>
      <c r="B9004">
        <f>IF(ISNUMBER(Input!B9004),IF(AND(Input!B9004&gt;=20,Input!B9004&lt;=700),Input!B9004,""),"")</f>
        <v/>
      </c>
      <c r="C9004">
        <f>IF(B9004="","",INT(A9004))</f>
        <v/>
      </c>
      <c r="D9004">
        <f>IF(B9004="","",HOUR(A9004))</f>
        <v/>
      </c>
    </row>
    <row r="9005">
      <c r="A9005">
        <f>Input!A9005</f>
        <v/>
      </c>
      <c r="B9005">
        <f>IF(ISNUMBER(Input!B9005),IF(AND(Input!B9005&gt;=20,Input!B9005&lt;=700),Input!B9005,""),"")</f>
        <v/>
      </c>
      <c r="C9005">
        <f>IF(B9005="","",INT(A9005))</f>
        <v/>
      </c>
      <c r="D9005">
        <f>IF(B9005="","",HOUR(A9005))</f>
        <v/>
      </c>
    </row>
    <row r="9006">
      <c r="A9006">
        <f>Input!A9006</f>
        <v/>
      </c>
      <c r="B9006">
        <f>IF(ISNUMBER(Input!B9006),IF(AND(Input!B9006&gt;=20,Input!B9006&lt;=700),Input!B9006,""),"")</f>
        <v/>
      </c>
      <c r="C9006">
        <f>IF(B9006="","",INT(A9006))</f>
        <v/>
      </c>
      <c r="D9006">
        <f>IF(B9006="","",HOUR(A9006))</f>
        <v/>
      </c>
    </row>
    <row r="9007">
      <c r="A9007">
        <f>Input!A9007</f>
        <v/>
      </c>
      <c r="B9007">
        <f>IF(ISNUMBER(Input!B9007),IF(AND(Input!B9007&gt;=20,Input!B9007&lt;=700),Input!B9007,""),"")</f>
        <v/>
      </c>
      <c r="C9007">
        <f>IF(B9007="","",INT(A9007))</f>
        <v/>
      </c>
      <c r="D9007">
        <f>IF(B9007="","",HOUR(A9007))</f>
        <v/>
      </c>
    </row>
    <row r="9008">
      <c r="A9008">
        <f>Input!A9008</f>
        <v/>
      </c>
      <c r="B9008">
        <f>IF(ISNUMBER(Input!B9008),IF(AND(Input!B9008&gt;=20,Input!B9008&lt;=700),Input!B9008,""),"")</f>
        <v/>
      </c>
      <c r="C9008">
        <f>IF(B9008="","",INT(A9008))</f>
        <v/>
      </c>
      <c r="D9008">
        <f>IF(B9008="","",HOUR(A9008))</f>
        <v/>
      </c>
    </row>
    <row r="9009">
      <c r="A9009">
        <f>Input!A9009</f>
        <v/>
      </c>
      <c r="B9009">
        <f>IF(ISNUMBER(Input!B9009),IF(AND(Input!B9009&gt;=20,Input!B9009&lt;=700),Input!B9009,""),"")</f>
        <v/>
      </c>
      <c r="C9009">
        <f>IF(B9009="","",INT(A9009))</f>
        <v/>
      </c>
      <c r="D9009">
        <f>IF(B9009="","",HOUR(A9009))</f>
        <v/>
      </c>
    </row>
    <row r="9010">
      <c r="A9010">
        <f>Input!A9010</f>
        <v/>
      </c>
      <c r="B9010">
        <f>IF(ISNUMBER(Input!B9010),IF(AND(Input!B9010&gt;=20,Input!B9010&lt;=700),Input!B9010,""),"")</f>
        <v/>
      </c>
      <c r="C9010">
        <f>IF(B9010="","",INT(A9010))</f>
        <v/>
      </c>
      <c r="D9010">
        <f>IF(B9010="","",HOUR(A9010))</f>
        <v/>
      </c>
    </row>
    <row r="9011">
      <c r="A9011">
        <f>Input!A9011</f>
        <v/>
      </c>
      <c r="B9011">
        <f>IF(ISNUMBER(Input!B9011),IF(AND(Input!B9011&gt;=20,Input!B9011&lt;=700),Input!B9011,""),"")</f>
        <v/>
      </c>
      <c r="C9011">
        <f>IF(B9011="","",INT(A9011))</f>
        <v/>
      </c>
      <c r="D9011">
        <f>IF(B9011="","",HOUR(A9011))</f>
        <v/>
      </c>
    </row>
    <row r="9012">
      <c r="A9012">
        <f>Input!A9012</f>
        <v/>
      </c>
      <c r="B9012">
        <f>IF(ISNUMBER(Input!B9012),IF(AND(Input!B9012&gt;=20,Input!B9012&lt;=700),Input!B9012,""),"")</f>
        <v/>
      </c>
      <c r="C9012">
        <f>IF(B9012="","",INT(A9012))</f>
        <v/>
      </c>
      <c r="D9012">
        <f>IF(B9012="","",HOUR(A9012))</f>
        <v/>
      </c>
    </row>
    <row r="9013">
      <c r="A9013">
        <f>Input!A9013</f>
        <v/>
      </c>
      <c r="B9013">
        <f>IF(ISNUMBER(Input!B9013),IF(AND(Input!B9013&gt;=20,Input!B9013&lt;=700),Input!B9013,""),"")</f>
        <v/>
      </c>
      <c r="C9013">
        <f>IF(B9013="","",INT(A9013))</f>
        <v/>
      </c>
      <c r="D9013">
        <f>IF(B9013="","",HOUR(A9013))</f>
        <v/>
      </c>
    </row>
    <row r="9014">
      <c r="A9014">
        <f>Input!A9014</f>
        <v/>
      </c>
      <c r="B9014">
        <f>IF(ISNUMBER(Input!B9014),IF(AND(Input!B9014&gt;=20,Input!B9014&lt;=700),Input!B9014,""),"")</f>
        <v/>
      </c>
      <c r="C9014">
        <f>IF(B9014="","",INT(A9014))</f>
        <v/>
      </c>
      <c r="D9014">
        <f>IF(B9014="","",HOUR(A9014))</f>
        <v/>
      </c>
    </row>
    <row r="9015">
      <c r="A9015">
        <f>Input!A9015</f>
        <v/>
      </c>
      <c r="B9015">
        <f>IF(ISNUMBER(Input!B9015),IF(AND(Input!B9015&gt;=20,Input!B9015&lt;=700),Input!B9015,""),"")</f>
        <v/>
      </c>
      <c r="C9015">
        <f>IF(B9015="","",INT(A9015))</f>
        <v/>
      </c>
      <c r="D9015">
        <f>IF(B9015="","",HOUR(A9015))</f>
        <v/>
      </c>
    </row>
    <row r="9016">
      <c r="A9016">
        <f>Input!A9016</f>
        <v/>
      </c>
      <c r="B9016">
        <f>IF(ISNUMBER(Input!B9016),IF(AND(Input!B9016&gt;=20,Input!B9016&lt;=700),Input!B9016,""),"")</f>
        <v/>
      </c>
      <c r="C9016">
        <f>IF(B9016="","",INT(A9016))</f>
        <v/>
      </c>
      <c r="D9016">
        <f>IF(B9016="","",HOUR(A9016))</f>
        <v/>
      </c>
    </row>
    <row r="9017">
      <c r="A9017">
        <f>Input!A9017</f>
        <v/>
      </c>
      <c r="B9017">
        <f>IF(ISNUMBER(Input!B9017),IF(AND(Input!B9017&gt;=20,Input!B9017&lt;=700),Input!B9017,""),"")</f>
        <v/>
      </c>
      <c r="C9017">
        <f>IF(B9017="","",INT(A9017))</f>
        <v/>
      </c>
      <c r="D9017">
        <f>IF(B9017="","",HOUR(A9017))</f>
        <v/>
      </c>
    </row>
    <row r="9018">
      <c r="A9018">
        <f>Input!A9018</f>
        <v/>
      </c>
      <c r="B9018">
        <f>IF(ISNUMBER(Input!B9018),IF(AND(Input!B9018&gt;=20,Input!B9018&lt;=700),Input!B9018,""),"")</f>
        <v/>
      </c>
      <c r="C9018">
        <f>IF(B9018="","",INT(A9018))</f>
        <v/>
      </c>
      <c r="D9018">
        <f>IF(B9018="","",HOUR(A9018))</f>
        <v/>
      </c>
    </row>
    <row r="9019">
      <c r="A9019">
        <f>Input!A9019</f>
        <v/>
      </c>
      <c r="B9019">
        <f>IF(ISNUMBER(Input!B9019),IF(AND(Input!B9019&gt;=20,Input!B9019&lt;=700),Input!B9019,""),"")</f>
        <v/>
      </c>
      <c r="C9019">
        <f>IF(B9019="","",INT(A9019))</f>
        <v/>
      </c>
      <c r="D9019">
        <f>IF(B9019="","",HOUR(A9019))</f>
        <v/>
      </c>
    </row>
    <row r="9020">
      <c r="A9020">
        <f>Input!A9020</f>
        <v/>
      </c>
      <c r="B9020">
        <f>IF(ISNUMBER(Input!B9020),IF(AND(Input!B9020&gt;=20,Input!B9020&lt;=700),Input!B9020,""),"")</f>
        <v/>
      </c>
      <c r="C9020">
        <f>IF(B9020="","",INT(A9020))</f>
        <v/>
      </c>
      <c r="D9020">
        <f>IF(B9020="","",HOUR(A9020))</f>
        <v/>
      </c>
    </row>
    <row r="9021">
      <c r="A9021">
        <f>Input!A9021</f>
        <v/>
      </c>
      <c r="B9021">
        <f>IF(ISNUMBER(Input!B9021),IF(AND(Input!B9021&gt;=20,Input!B9021&lt;=700),Input!B9021,""),"")</f>
        <v/>
      </c>
      <c r="C9021">
        <f>IF(B9021="","",INT(A9021))</f>
        <v/>
      </c>
      <c r="D9021">
        <f>IF(B9021="","",HOUR(A9021))</f>
        <v/>
      </c>
    </row>
    <row r="9022">
      <c r="A9022">
        <f>Input!A9022</f>
        <v/>
      </c>
      <c r="B9022">
        <f>IF(ISNUMBER(Input!B9022),IF(AND(Input!B9022&gt;=20,Input!B9022&lt;=700),Input!B9022,""),"")</f>
        <v/>
      </c>
      <c r="C9022">
        <f>IF(B9022="","",INT(A9022))</f>
        <v/>
      </c>
      <c r="D9022">
        <f>IF(B9022="","",HOUR(A9022))</f>
        <v/>
      </c>
    </row>
    <row r="9023">
      <c r="A9023">
        <f>Input!A9023</f>
        <v/>
      </c>
      <c r="B9023">
        <f>IF(ISNUMBER(Input!B9023),IF(AND(Input!B9023&gt;=20,Input!B9023&lt;=700),Input!B9023,""),"")</f>
        <v/>
      </c>
      <c r="C9023">
        <f>IF(B9023="","",INT(A9023))</f>
        <v/>
      </c>
      <c r="D9023">
        <f>IF(B9023="","",HOUR(A9023))</f>
        <v/>
      </c>
    </row>
    <row r="9024">
      <c r="A9024">
        <f>Input!A9024</f>
        <v/>
      </c>
      <c r="B9024">
        <f>IF(ISNUMBER(Input!B9024),IF(AND(Input!B9024&gt;=20,Input!B9024&lt;=700),Input!B9024,""),"")</f>
        <v/>
      </c>
      <c r="C9024">
        <f>IF(B9024="","",INT(A9024))</f>
        <v/>
      </c>
      <c r="D9024">
        <f>IF(B9024="","",HOUR(A9024))</f>
        <v/>
      </c>
    </row>
    <row r="9025">
      <c r="A9025">
        <f>Input!A9025</f>
        <v/>
      </c>
      <c r="B9025">
        <f>IF(ISNUMBER(Input!B9025),IF(AND(Input!B9025&gt;=20,Input!B9025&lt;=700),Input!B9025,""),"")</f>
        <v/>
      </c>
      <c r="C9025">
        <f>IF(B9025="","",INT(A9025))</f>
        <v/>
      </c>
      <c r="D9025">
        <f>IF(B9025="","",HOUR(A9025))</f>
        <v/>
      </c>
    </row>
    <row r="9026">
      <c r="A9026">
        <f>Input!A9026</f>
        <v/>
      </c>
      <c r="B9026">
        <f>IF(ISNUMBER(Input!B9026),IF(AND(Input!B9026&gt;=20,Input!B9026&lt;=700),Input!B9026,""),"")</f>
        <v/>
      </c>
      <c r="C9026">
        <f>IF(B9026="","",INT(A9026))</f>
        <v/>
      </c>
      <c r="D9026">
        <f>IF(B9026="","",HOUR(A9026))</f>
        <v/>
      </c>
    </row>
    <row r="9027">
      <c r="A9027">
        <f>Input!A9027</f>
        <v/>
      </c>
      <c r="B9027">
        <f>IF(ISNUMBER(Input!B9027),IF(AND(Input!B9027&gt;=20,Input!B9027&lt;=700),Input!B9027,""),"")</f>
        <v/>
      </c>
      <c r="C9027">
        <f>IF(B9027="","",INT(A9027))</f>
        <v/>
      </c>
      <c r="D9027">
        <f>IF(B9027="","",HOUR(A9027))</f>
        <v/>
      </c>
    </row>
    <row r="9028">
      <c r="A9028">
        <f>Input!A9028</f>
        <v/>
      </c>
      <c r="B9028">
        <f>IF(ISNUMBER(Input!B9028),IF(AND(Input!B9028&gt;=20,Input!B9028&lt;=700),Input!B9028,""),"")</f>
        <v/>
      </c>
      <c r="C9028">
        <f>IF(B9028="","",INT(A9028))</f>
        <v/>
      </c>
      <c r="D9028">
        <f>IF(B9028="","",HOUR(A9028))</f>
        <v/>
      </c>
    </row>
    <row r="9029">
      <c r="A9029">
        <f>Input!A9029</f>
        <v/>
      </c>
      <c r="B9029">
        <f>IF(ISNUMBER(Input!B9029),IF(AND(Input!B9029&gt;=20,Input!B9029&lt;=700),Input!B9029,""),"")</f>
        <v/>
      </c>
      <c r="C9029">
        <f>IF(B9029="","",INT(A9029))</f>
        <v/>
      </c>
      <c r="D9029">
        <f>IF(B9029="","",HOUR(A9029))</f>
        <v/>
      </c>
    </row>
    <row r="9030">
      <c r="A9030">
        <f>Input!A9030</f>
        <v/>
      </c>
      <c r="B9030">
        <f>IF(ISNUMBER(Input!B9030),IF(AND(Input!B9030&gt;=20,Input!B9030&lt;=700),Input!B9030,""),"")</f>
        <v/>
      </c>
      <c r="C9030">
        <f>IF(B9030="","",INT(A9030))</f>
        <v/>
      </c>
      <c r="D9030">
        <f>IF(B9030="","",HOUR(A9030))</f>
        <v/>
      </c>
    </row>
    <row r="9031">
      <c r="A9031">
        <f>Input!A9031</f>
        <v/>
      </c>
      <c r="B9031">
        <f>IF(ISNUMBER(Input!B9031),IF(AND(Input!B9031&gt;=20,Input!B9031&lt;=700),Input!B9031,""),"")</f>
        <v/>
      </c>
      <c r="C9031">
        <f>IF(B9031="","",INT(A9031))</f>
        <v/>
      </c>
      <c r="D9031">
        <f>IF(B9031="","",HOUR(A9031))</f>
        <v/>
      </c>
    </row>
    <row r="9032">
      <c r="A9032">
        <f>Input!A9032</f>
        <v/>
      </c>
      <c r="B9032">
        <f>IF(ISNUMBER(Input!B9032),IF(AND(Input!B9032&gt;=20,Input!B9032&lt;=700),Input!B9032,""),"")</f>
        <v/>
      </c>
      <c r="C9032">
        <f>IF(B9032="","",INT(A9032))</f>
        <v/>
      </c>
      <c r="D9032">
        <f>IF(B9032="","",HOUR(A9032))</f>
        <v/>
      </c>
    </row>
    <row r="9033">
      <c r="A9033">
        <f>Input!A9033</f>
        <v/>
      </c>
      <c r="B9033">
        <f>IF(ISNUMBER(Input!B9033),IF(AND(Input!B9033&gt;=20,Input!B9033&lt;=700),Input!B9033,""),"")</f>
        <v/>
      </c>
      <c r="C9033">
        <f>IF(B9033="","",INT(A9033))</f>
        <v/>
      </c>
      <c r="D9033">
        <f>IF(B9033="","",HOUR(A9033))</f>
        <v/>
      </c>
    </row>
    <row r="9034">
      <c r="A9034">
        <f>Input!A9034</f>
        <v/>
      </c>
      <c r="B9034">
        <f>IF(ISNUMBER(Input!B9034),IF(AND(Input!B9034&gt;=20,Input!B9034&lt;=700),Input!B9034,""),"")</f>
        <v/>
      </c>
      <c r="C9034">
        <f>IF(B9034="","",INT(A9034))</f>
        <v/>
      </c>
      <c r="D9034">
        <f>IF(B9034="","",HOUR(A9034))</f>
        <v/>
      </c>
    </row>
    <row r="9035">
      <c r="A9035">
        <f>Input!A9035</f>
        <v/>
      </c>
      <c r="B9035">
        <f>IF(ISNUMBER(Input!B9035),IF(AND(Input!B9035&gt;=20,Input!B9035&lt;=700),Input!B9035,""),"")</f>
        <v/>
      </c>
      <c r="C9035">
        <f>IF(B9035="","",INT(A9035))</f>
        <v/>
      </c>
      <c r="D9035">
        <f>IF(B9035="","",HOUR(A9035))</f>
        <v/>
      </c>
    </row>
    <row r="9036">
      <c r="A9036">
        <f>Input!A9036</f>
        <v/>
      </c>
      <c r="B9036">
        <f>IF(ISNUMBER(Input!B9036),IF(AND(Input!B9036&gt;=20,Input!B9036&lt;=700),Input!B9036,""),"")</f>
        <v/>
      </c>
      <c r="C9036">
        <f>IF(B9036="","",INT(A9036))</f>
        <v/>
      </c>
      <c r="D9036">
        <f>IF(B9036="","",HOUR(A9036))</f>
        <v/>
      </c>
    </row>
    <row r="9037">
      <c r="A9037">
        <f>Input!A9037</f>
        <v/>
      </c>
      <c r="B9037">
        <f>IF(ISNUMBER(Input!B9037),IF(AND(Input!B9037&gt;=20,Input!B9037&lt;=700),Input!B9037,""),"")</f>
        <v/>
      </c>
      <c r="C9037">
        <f>IF(B9037="","",INT(A9037))</f>
        <v/>
      </c>
      <c r="D9037">
        <f>IF(B9037="","",HOUR(A9037))</f>
        <v/>
      </c>
    </row>
    <row r="9038">
      <c r="A9038">
        <f>Input!A9038</f>
        <v/>
      </c>
      <c r="B9038">
        <f>IF(ISNUMBER(Input!B9038),IF(AND(Input!B9038&gt;=20,Input!B9038&lt;=700),Input!B9038,""),"")</f>
        <v/>
      </c>
      <c r="C9038">
        <f>IF(B9038="","",INT(A9038))</f>
        <v/>
      </c>
      <c r="D9038">
        <f>IF(B9038="","",HOUR(A9038))</f>
        <v/>
      </c>
    </row>
    <row r="9039">
      <c r="A9039">
        <f>Input!A9039</f>
        <v/>
      </c>
      <c r="B9039">
        <f>IF(ISNUMBER(Input!B9039),IF(AND(Input!B9039&gt;=20,Input!B9039&lt;=700),Input!B9039,""),"")</f>
        <v/>
      </c>
      <c r="C9039">
        <f>IF(B9039="","",INT(A9039))</f>
        <v/>
      </c>
      <c r="D9039">
        <f>IF(B9039="","",HOUR(A9039))</f>
        <v/>
      </c>
    </row>
    <row r="9040">
      <c r="A9040">
        <f>Input!A9040</f>
        <v/>
      </c>
      <c r="B9040">
        <f>IF(ISNUMBER(Input!B9040),IF(AND(Input!B9040&gt;=20,Input!B9040&lt;=700),Input!B9040,""),"")</f>
        <v/>
      </c>
      <c r="C9040">
        <f>IF(B9040="","",INT(A9040))</f>
        <v/>
      </c>
      <c r="D9040">
        <f>IF(B9040="","",HOUR(A9040))</f>
        <v/>
      </c>
    </row>
    <row r="9041">
      <c r="A9041">
        <f>Input!A9041</f>
        <v/>
      </c>
      <c r="B9041">
        <f>IF(ISNUMBER(Input!B9041),IF(AND(Input!B9041&gt;=20,Input!B9041&lt;=700),Input!B9041,""),"")</f>
        <v/>
      </c>
      <c r="C9041">
        <f>IF(B9041="","",INT(A9041))</f>
        <v/>
      </c>
      <c r="D9041">
        <f>IF(B9041="","",HOUR(A9041))</f>
        <v/>
      </c>
    </row>
    <row r="9042">
      <c r="A9042">
        <f>Input!A9042</f>
        <v/>
      </c>
      <c r="B9042">
        <f>IF(ISNUMBER(Input!B9042),IF(AND(Input!B9042&gt;=20,Input!B9042&lt;=700),Input!B9042,""),"")</f>
        <v/>
      </c>
      <c r="C9042">
        <f>IF(B9042="","",INT(A9042))</f>
        <v/>
      </c>
      <c r="D9042">
        <f>IF(B9042="","",HOUR(A9042))</f>
        <v/>
      </c>
    </row>
    <row r="9043">
      <c r="A9043">
        <f>Input!A9043</f>
        <v/>
      </c>
      <c r="B9043">
        <f>IF(ISNUMBER(Input!B9043),IF(AND(Input!B9043&gt;=20,Input!B9043&lt;=700),Input!B9043,""),"")</f>
        <v/>
      </c>
      <c r="C9043">
        <f>IF(B9043="","",INT(A9043))</f>
        <v/>
      </c>
      <c r="D9043">
        <f>IF(B9043="","",HOUR(A9043))</f>
        <v/>
      </c>
    </row>
    <row r="9044">
      <c r="A9044">
        <f>Input!A9044</f>
        <v/>
      </c>
      <c r="B9044">
        <f>IF(ISNUMBER(Input!B9044),IF(AND(Input!B9044&gt;=20,Input!B9044&lt;=700),Input!B9044,""),"")</f>
        <v/>
      </c>
      <c r="C9044">
        <f>IF(B9044="","",INT(A9044))</f>
        <v/>
      </c>
      <c r="D9044">
        <f>IF(B9044="","",HOUR(A9044))</f>
        <v/>
      </c>
    </row>
    <row r="9045">
      <c r="A9045">
        <f>Input!A9045</f>
        <v/>
      </c>
      <c r="B9045">
        <f>IF(ISNUMBER(Input!B9045),IF(AND(Input!B9045&gt;=20,Input!B9045&lt;=700),Input!B9045,""),"")</f>
        <v/>
      </c>
      <c r="C9045">
        <f>IF(B9045="","",INT(A9045))</f>
        <v/>
      </c>
      <c r="D9045">
        <f>IF(B9045="","",HOUR(A9045))</f>
        <v/>
      </c>
    </row>
    <row r="9046">
      <c r="A9046">
        <f>Input!A9046</f>
        <v/>
      </c>
      <c r="B9046">
        <f>IF(ISNUMBER(Input!B9046),IF(AND(Input!B9046&gt;=20,Input!B9046&lt;=700),Input!B9046,""),"")</f>
        <v/>
      </c>
      <c r="C9046">
        <f>IF(B9046="","",INT(A9046))</f>
        <v/>
      </c>
      <c r="D9046">
        <f>IF(B9046="","",HOUR(A9046))</f>
        <v/>
      </c>
    </row>
    <row r="9047">
      <c r="A9047">
        <f>Input!A9047</f>
        <v/>
      </c>
      <c r="B9047">
        <f>IF(ISNUMBER(Input!B9047),IF(AND(Input!B9047&gt;=20,Input!B9047&lt;=700),Input!B9047,""),"")</f>
        <v/>
      </c>
      <c r="C9047">
        <f>IF(B9047="","",INT(A9047))</f>
        <v/>
      </c>
      <c r="D9047">
        <f>IF(B9047="","",HOUR(A9047))</f>
        <v/>
      </c>
    </row>
    <row r="9048">
      <c r="A9048">
        <f>Input!A9048</f>
        <v/>
      </c>
      <c r="B9048">
        <f>IF(ISNUMBER(Input!B9048),IF(AND(Input!B9048&gt;=20,Input!B9048&lt;=700),Input!B9048,""),"")</f>
        <v/>
      </c>
      <c r="C9048">
        <f>IF(B9048="","",INT(A9048))</f>
        <v/>
      </c>
      <c r="D9048">
        <f>IF(B9048="","",HOUR(A9048))</f>
        <v/>
      </c>
    </row>
    <row r="9049">
      <c r="A9049">
        <f>Input!A9049</f>
        <v/>
      </c>
      <c r="B9049">
        <f>IF(ISNUMBER(Input!B9049),IF(AND(Input!B9049&gt;=20,Input!B9049&lt;=700),Input!B9049,""),"")</f>
        <v/>
      </c>
      <c r="C9049">
        <f>IF(B9049="","",INT(A9049))</f>
        <v/>
      </c>
      <c r="D9049">
        <f>IF(B9049="","",HOUR(A9049))</f>
        <v/>
      </c>
    </row>
    <row r="9050">
      <c r="A9050">
        <f>Input!A9050</f>
        <v/>
      </c>
      <c r="B9050">
        <f>IF(ISNUMBER(Input!B9050),IF(AND(Input!B9050&gt;=20,Input!B9050&lt;=700),Input!B9050,""),"")</f>
        <v/>
      </c>
      <c r="C9050">
        <f>IF(B9050="","",INT(A9050))</f>
        <v/>
      </c>
      <c r="D9050">
        <f>IF(B9050="","",HOUR(A9050))</f>
        <v/>
      </c>
    </row>
    <row r="9051">
      <c r="A9051">
        <f>Input!A9051</f>
        <v/>
      </c>
      <c r="B9051">
        <f>IF(ISNUMBER(Input!B9051),IF(AND(Input!B9051&gt;=20,Input!B9051&lt;=700),Input!B9051,""),"")</f>
        <v/>
      </c>
      <c r="C9051">
        <f>IF(B9051="","",INT(A9051))</f>
        <v/>
      </c>
      <c r="D9051">
        <f>IF(B9051="","",HOUR(A9051))</f>
        <v/>
      </c>
    </row>
    <row r="9052">
      <c r="A9052">
        <f>Input!A9052</f>
        <v/>
      </c>
      <c r="B9052">
        <f>IF(ISNUMBER(Input!B9052),IF(AND(Input!B9052&gt;=20,Input!B9052&lt;=700),Input!B9052,""),"")</f>
        <v/>
      </c>
      <c r="C9052">
        <f>IF(B9052="","",INT(A9052))</f>
        <v/>
      </c>
      <c r="D9052">
        <f>IF(B9052="","",HOUR(A9052))</f>
        <v/>
      </c>
    </row>
    <row r="9053">
      <c r="A9053">
        <f>Input!A9053</f>
        <v/>
      </c>
      <c r="B9053">
        <f>IF(ISNUMBER(Input!B9053),IF(AND(Input!B9053&gt;=20,Input!B9053&lt;=700),Input!B9053,""),"")</f>
        <v/>
      </c>
      <c r="C9053">
        <f>IF(B9053="","",INT(A9053))</f>
        <v/>
      </c>
      <c r="D9053">
        <f>IF(B9053="","",HOUR(A9053))</f>
        <v/>
      </c>
    </row>
    <row r="9054">
      <c r="A9054">
        <f>Input!A9054</f>
        <v/>
      </c>
      <c r="B9054">
        <f>IF(ISNUMBER(Input!B9054),IF(AND(Input!B9054&gt;=20,Input!B9054&lt;=700),Input!B9054,""),"")</f>
        <v/>
      </c>
      <c r="C9054">
        <f>IF(B9054="","",INT(A9054))</f>
        <v/>
      </c>
      <c r="D9054">
        <f>IF(B9054="","",HOUR(A9054))</f>
        <v/>
      </c>
    </row>
    <row r="9055">
      <c r="A9055">
        <f>Input!A9055</f>
        <v/>
      </c>
      <c r="B9055">
        <f>IF(ISNUMBER(Input!B9055),IF(AND(Input!B9055&gt;=20,Input!B9055&lt;=700),Input!B9055,""),"")</f>
        <v/>
      </c>
      <c r="C9055">
        <f>IF(B9055="","",INT(A9055))</f>
        <v/>
      </c>
      <c r="D9055">
        <f>IF(B9055="","",HOUR(A9055))</f>
        <v/>
      </c>
    </row>
    <row r="9056">
      <c r="A9056">
        <f>Input!A9056</f>
        <v/>
      </c>
      <c r="B9056">
        <f>IF(ISNUMBER(Input!B9056),IF(AND(Input!B9056&gt;=20,Input!B9056&lt;=700),Input!B9056,""),"")</f>
        <v/>
      </c>
      <c r="C9056">
        <f>IF(B9056="","",INT(A9056))</f>
        <v/>
      </c>
      <c r="D9056">
        <f>IF(B9056="","",HOUR(A9056))</f>
        <v/>
      </c>
    </row>
    <row r="9057">
      <c r="A9057">
        <f>Input!A9057</f>
        <v/>
      </c>
      <c r="B9057">
        <f>IF(ISNUMBER(Input!B9057),IF(AND(Input!B9057&gt;=20,Input!B9057&lt;=700),Input!B9057,""),"")</f>
        <v/>
      </c>
      <c r="C9057">
        <f>IF(B9057="","",INT(A9057))</f>
        <v/>
      </c>
      <c r="D9057">
        <f>IF(B9057="","",HOUR(A9057))</f>
        <v/>
      </c>
    </row>
    <row r="9058">
      <c r="A9058">
        <f>Input!A9058</f>
        <v/>
      </c>
      <c r="B9058">
        <f>IF(ISNUMBER(Input!B9058),IF(AND(Input!B9058&gt;=20,Input!B9058&lt;=700),Input!B9058,""),"")</f>
        <v/>
      </c>
      <c r="C9058">
        <f>IF(B9058="","",INT(A9058))</f>
        <v/>
      </c>
      <c r="D9058">
        <f>IF(B9058="","",HOUR(A9058))</f>
        <v/>
      </c>
    </row>
    <row r="9059">
      <c r="A9059">
        <f>Input!A9059</f>
        <v/>
      </c>
      <c r="B9059">
        <f>IF(ISNUMBER(Input!B9059),IF(AND(Input!B9059&gt;=20,Input!B9059&lt;=700),Input!B9059,""),"")</f>
        <v/>
      </c>
      <c r="C9059">
        <f>IF(B9059="","",INT(A9059))</f>
        <v/>
      </c>
      <c r="D9059">
        <f>IF(B9059="","",HOUR(A9059))</f>
        <v/>
      </c>
    </row>
    <row r="9060">
      <c r="A9060">
        <f>Input!A9060</f>
        <v/>
      </c>
      <c r="B9060">
        <f>IF(ISNUMBER(Input!B9060),IF(AND(Input!B9060&gt;=20,Input!B9060&lt;=700),Input!B9060,""),"")</f>
        <v/>
      </c>
      <c r="C9060">
        <f>IF(B9060="","",INT(A9060))</f>
        <v/>
      </c>
      <c r="D9060">
        <f>IF(B9060="","",HOUR(A9060))</f>
        <v/>
      </c>
    </row>
    <row r="9061">
      <c r="A9061">
        <f>Input!A9061</f>
        <v/>
      </c>
      <c r="B9061">
        <f>IF(ISNUMBER(Input!B9061),IF(AND(Input!B9061&gt;=20,Input!B9061&lt;=700),Input!B9061,""),"")</f>
        <v/>
      </c>
      <c r="C9061">
        <f>IF(B9061="","",INT(A9061))</f>
        <v/>
      </c>
      <c r="D9061">
        <f>IF(B9061="","",HOUR(A9061))</f>
        <v/>
      </c>
    </row>
    <row r="9062">
      <c r="A9062">
        <f>Input!A9062</f>
        <v/>
      </c>
      <c r="B9062">
        <f>IF(ISNUMBER(Input!B9062),IF(AND(Input!B9062&gt;=20,Input!B9062&lt;=700),Input!B9062,""),"")</f>
        <v/>
      </c>
      <c r="C9062">
        <f>IF(B9062="","",INT(A9062))</f>
        <v/>
      </c>
      <c r="D9062">
        <f>IF(B9062="","",HOUR(A9062))</f>
        <v/>
      </c>
    </row>
    <row r="9063">
      <c r="A9063">
        <f>Input!A9063</f>
        <v/>
      </c>
      <c r="B9063">
        <f>IF(ISNUMBER(Input!B9063),IF(AND(Input!B9063&gt;=20,Input!B9063&lt;=700),Input!B9063,""),"")</f>
        <v/>
      </c>
      <c r="C9063">
        <f>IF(B9063="","",INT(A9063))</f>
        <v/>
      </c>
      <c r="D9063">
        <f>IF(B9063="","",HOUR(A9063))</f>
        <v/>
      </c>
    </row>
    <row r="9064">
      <c r="A9064">
        <f>Input!A9064</f>
        <v/>
      </c>
      <c r="B9064">
        <f>IF(ISNUMBER(Input!B9064),IF(AND(Input!B9064&gt;=20,Input!B9064&lt;=700),Input!B9064,""),"")</f>
        <v/>
      </c>
      <c r="C9064">
        <f>IF(B9064="","",INT(A9064))</f>
        <v/>
      </c>
      <c r="D9064">
        <f>IF(B9064="","",HOUR(A9064))</f>
        <v/>
      </c>
    </row>
    <row r="9065">
      <c r="A9065">
        <f>Input!A9065</f>
        <v/>
      </c>
      <c r="B9065">
        <f>IF(ISNUMBER(Input!B9065),IF(AND(Input!B9065&gt;=20,Input!B9065&lt;=700),Input!B9065,""),"")</f>
        <v/>
      </c>
      <c r="C9065">
        <f>IF(B9065="","",INT(A9065))</f>
        <v/>
      </c>
      <c r="D9065">
        <f>IF(B9065="","",HOUR(A9065))</f>
        <v/>
      </c>
    </row>
    <row r="9066">
      <c r="A9066">
        <f>Input!A9066</f>
        <v/>
      </c>
      <c r="B9066">
        <f>IF(ISNUMBER(Input!B9066),IF(AND(Input!B9066&gt;=20,Input!B9066&lt;=700),Input!B9066,""),"")</f>
        <v/>
      </c>
      <c r="C9066">
        <f>IF(B9066="","",INT(A9066))</f>
        <v/>
      </c>
      <c r="D9066">
        <f>IF(B9066="","",HOUR(A9066))</f>
        <v/>
      </c>
    </row>
    <row r="9067">
      <c r="A9067">
        <f>Input!A9067</f>
        <v/>
      </c>
      <c r="B9067">
        <f>IF(ISNUMBER(Input!B9067),IF(AND(Input!B9067&gt;=20,Input!B9067&lt;=700),Input!B9067,""),"")</f>
        <v/>
      </c>
      <c r="C9067">
        <f>IF(B9067="","",INT(A9067))</f>
        <v/>
      </c>
      <c r="D9067">
        <f>IF(B9067="","",HOUR(A9067))</f>
        <v/>
      </c>
    </row>
    <row r="9068">
      <c r="A9068">
        <f>Input!A9068</f>
        <v/>
      </c>
      <c r="B9068">
        <f>IF(ISNUMBER(Input!B9068),IF(AND(Input!B9068&gt;=20,Input!B9068&lt;=700),Input!B9068,""),"")</f>
        <v/>
      </c>
      <c r="C9068">
        <f>IF(B9068="","",INT(A9068))</f>
        <v/>
      </c>
      <c r="D9068">
        <f>IF(B9068="","",HOUR(A9068))</f>
        <v/>
      </c>
    </row>
    <row r="9069">
      <c r="A9069">
        <f>Input!A9069</f>
        <v/>
      </c>
      <c r="B9069">
        <f>IF(ISNUMBER(Input!B9069),IF(AND(Input!B9069&gt;=20,Input!B9069&lt;=700),Input!B9069,""),"")</f>
        <v/>
      </c>
      <c r="C9069">
        <f>IF(B9069="","",INT(A9069))</f>
        <v/>
      </c>
      <c r="D9069">
        <f>IF(B9069="","",HOUR(A9069))</f>
        <v/>
      </c>
    </row>
    <row r="9070">
      <c r="A9070">
        <f>Input!A9070</f>
        <v/>
      </c>
      <c r="B9070">
        <f>IF(ISNUMBER(Input!B9070),IF(AND(Input!B9070&gt;=20,Input!B9070&lt;=700),Input!B9070,""),"")</f>
        <v/>
      </c>
      <c r="C9070">
        <f>IF(B9070="","",INT(A9070))</f>
        <v/>
      </c>
      <c r="D9070">
        <f>IF(B9070="","",HOUR(A9070))</f>
        <v/>
      </c>
    </row>
    <row r="9071">
      <c r="A9071">
        <f>Input!A9071</f>
        <v/>
      </c>
      <c r="B9071">
        <f>IF(ISNUMBER(Input!B9071),IF(AND(Input!B9071&gt;=20,Input!B9071&lt;=700),Input!B9071,""),"")</f>
        <v/>
      </c>
      <c r="C9071">
        <f>IF(B9071="","",INT(A9071))</f>
        <v/>
      </c>
      <c r="D9071">
        <f>IF(B9071="","",HOUR(A9071))</f>
        <v/>
      </c>
    </row>
    <row r="9072">
      <c r="A9072">
        <f>Input!A9072</f>
        <v/>
      </c>
      <c r="B9072">
        <f>IF(ISNUMBER(Input!B9072),IF(AND(Input!B9072&gt;=20,Input!B9072&lt;=700),Input!B9072,""),"")</f>
        <v/>
      </c>
      <c r="C9072">
        <f>IF(B9072="","",INT(A9072))</f>
        <v/>
      </c>
      <c r="D9072">
        <f>IF(B9072="","",HOUR(A9072))</f>
        <v/>
      </c>
    </row>
    <row r="9073">
      <c r="A9073">
        <f>Input!A9073</f>
        <v/>
      </c>
      <c r="B9073">
        <f>IF(ISNUMBER(Input!B9073),IF(AND(Input!B9073&gt;=20,Input!B9073&lt;=700),Input!B9073,""),"")</f>
        <v/>
      </c>
      <c r="C9073">
        <f>IF(B9073="","",INT(A9073))</f>
        <v/>
      </c>
      <c r="D9073">
        <f>IF(B9073="","",HOUR(A9073))</f>
        <v/>
      </c>
    </row>
    <row r="9074">
      <c r="A9074">
        <f>Input!A9074</f>
        <v/>
      </c>
      <c r="B9074">
        <f>IF(ISNUMBER(Input!B9074),IF(AND(Input!B9074&gt;=20,Input!B9074&lt;=700),Input!B9074,""),"")</f>
        <v/>
      </c>
      <c r="C9074">
        <f>IF(B9074="","",INT(A9074))</f>
        <v/>
      </c>
      <c r="D9074">
        <f>IF(B9074="","",HOUR(A9074))</f>
        <v/>
      </c>
    </row>
    <row r="9075">
      <c r="A9075">
        <f>Input!A9075</f>
        <v/>
      </c>
      <c r="B9075">
        <f>IF(ISNUMBER(Input!B9075),IF(AND(Input!B9075&gt;=20,Input!B9075&lt;=700),Input!B9075,""),"")</f>
        <v/>
      </c>
      <c r="C9075">
        <f>IF(B9075="","",INT(A9075))</f>
        <v/>
      </c>
      <c r="D9075">
        <f>IF(B9075="","",HOUR(A9075))</f>
        <v/>
      </c>
    </row>
    <row r="9076">
      <c r="A9076">
        <f>Input!A9076</f>
        <v/>
      </c>
      <c r="B9076">
        <f>IF(ISNUMBER(Input!B9076),IF(AND(Input!B9076&gt;=20,Input!B9076&lt;=700),Input!B9076,""),"")</f>
        <v/>
      </c>
      <c r="C9076">
        <f>IF(B9076="","",INT(A9076))</f>
        <v/>
      </c>
      <c r="D9076">
        <f>IF(B9076="","",HOUR(A9076))</f>
        <v/>
      </c>
    </row>
    <row r="9077">
      <c r="A9077">
        <f>Input!A9077</f>
        <v/>
      </c>
      <c r="B9077">
        <f>IF(ISNUMBER(Input!B9077),IF(AND(Input!B9077&gt;=20,Input!B9077&lt;=700),Input!B9077,""),"")</f>
        <v/>
      </c>
      <c r="C9077">
        <f>IF(B9077="","",INT(A9077))</f>
        <v/>
      </c>
      <c r="D9077">
        <f>IF(B9077="","",HOUR(A9077))</f>
        <v/>
      </c>
    </row>
    <row r="9078">
      <c r="A9078">
        <f>Input!A9078</f>
        <v/>
      </c>
      <c r="B9078">
        <f>IF(ISNUMBER(Input!B9078),IF(AND(Input!B9078&gt;=20,Input!B9078&lt;=700),Input!B9078,""),"")</f>
        <v/>
      </c>
      <c r="C9078">
        <f>IF(B9078="","",INT(A9078))</f>
        <v/>
      </c>
      <c r="D9078">
        <f>IF(B9078="","",HOUR(A9078))</f>
        <v/>
      </c>
    </row>
    <row r="9079">
      <c r="A9079">
        <f>Input!A9079</f>
        <v/>
      </c>
      <c r="B9079">
        <f>IF(ISNUMBER(Input!B9079),IF(AND(Input!B9079&gt;=20,Input!B9079&lt;=700),Input!B9079,""),"")</f>
        <v/>
      </c>
      <c r="C9079">
        <f>IF(B9079="","",INT(A9079))</f>
        <v/>
      </c>
      <c r="D9079">
        <f>IF(B9079="","",HOUR(A9079))</f>
        <v/>
      </c>
    </row>
    <row r="9080">
      <c r="A9080">
        <f>Input!A9080</f>
        <v/>
      </c>
      <c r="B9080">
        <f>IF(ISNUMBER(Input!B9080),IF(AND(Input!B9080&gt;=20,Input!B9080&lt;=700),Input!B9080,""),"")</f>
        <v/>
      </c>
      <c r="C9080">
        <f>IF(B9080="","",INT(A9080))</f>
        <v/>
      </c>
      <c r="D9080">
        <f>IF(B9080="","",HOUR(A9080))</f>
        <v/>
      </c>
    </row>
    <row r="9081">
      <c r="A9081">
        <f>Input!A9081</f>
        <v/>
      </c>
      <c r="B9081">
        <f>IF(ISNUMBER(Input!B9081),IF(AND(Input!B9081&gt;=20,Input!B9081&lt;=700),Input!B9081,""),"")</f>
        <v/>
      </c>
      <c r="C9081">
        <f>IF(B9081="","",INT(A9081))</f>
        <v/>
      </c>
      <c r="D9081">
        <f>IF(B9081="","",HOUR(A9081))</f>
        <v/>
      </c>
    </row>
    <row r="9082">
      <c r="A9082">
        <f>Input!A9082</f>
        <v/>
      </c>
      <c r="B9082">
        <f>IF(ISNUMBER(Input!B9082),IF(AND(Input!B9082&gt;=20,Input!B9082&lt;=700),Input!B9082,""),"")</f>
        <v/>
      </c>
      <c r="C9082">
        <f>IF(B9082="","",INT(A9082))</f>
        <v/>
      </c>
      <c r="D9082">
        <f>IF(B9082="","",HOUR(A9082))</f>
        <v/>
      </c>
    </row>
    <row r="9083">
      <c r="A9083">
        <f>Input!A9083</f>
        <v/>
      </c>
      <c r="B9083">
        <f>IF(ISNUMBER(Input!B9083),IF(AND(Input!B9083&gt;=20,Input!B9083&lt;=700),Input!B9083,""),"")</f>
        <v/>
      </c>
      <c r="C9083">
        <f>IF(B9083="","",INT(A9083))</f>
        <v/>
      </c>
      <c r="D9083">
        <f>IF(B9083="","",HOUR(A9083))</f>
        <v/>
      </c>
    </row>
    <row r="9084">
      <c r="A9084">
        <f>Input!A9084</f>
        <v/>
      </c>
      <c r="B9084">
        <f>IF(ISNUMBER(Input!B9084),IF(AND(Input!B9084&gt;=20,Input!B9084&lt;=700),Input!B9084,""),"")</f>
        <v/>
      </c>
      <c r="C9084">
        <f>IF(B9084="","",INT(A9084))</f>
        <v/>
      </c>
      <c r="D9084">
        <f>IF(B9084="","",HOUR(A9084))</f>
        <v/>
      </c>
    </row>
    <row r="9085">
      <c r="A9085">
        <f>Input!A9085</f>
        <v/>
      </c>
      <c r="B9085">
        <f>IF(ISNUMBER(Input!B9085),IF(AND(Input!B9085&gt;=20,Input!B9085&lt;=700),Input!B9085,""),"")</f>
        <v/>
      </c>
      <c r="C9085">
        <f>IF(B9085="","",INT(A9085))</f>
        <v/>
      </c>
      <c r="D9085">
        <f>IF(B9085="","",HOUR(A9085))</f>
        <v/>
      </c>
    </row>
    <row r="9086">
      <c r="A9086">
        <f>Input!A9086</f>
        <v/>
      </c>
      <c r="B9086">
        <f>IF(ISNUMBER(Input!B9086),IF(AND(Input!B9086&gt;=20,Input!B9086&lt;=700),Input!B9086,""),"")</f>
        <v/>
      </c>
      <c r="C9086">
        <f>IF(B9086="","",INT(A9086))</f>
        <v/>
      </c>
      <c r="D9086">
        <f>IF(B9086="","",HOUR(A9086))</f>
        <v/>
      </c>
    </row>
    <row r="9087">
      <c r="A9087">
        <f>Input!A9087</f>
        <v/>
      </c>
      <c r="B9087">
        <f>IF(ISNUMBER(Input!B9087),IF(AND(Input!B9087&gt;=20,Input!B9087&lt;=700),Input!B9087,""),"")</f>
        <v/>
      </c>
      <c r="C9087">
        <f>IF(B9087="","",INT(A9087))</f>
        <v/>
      </c>
      <c r="D9087">
        <f>IF(B9087="","",HOUR(A9087))</f>
        <v/>
      </c>
    </row>
    <row r="9088">
      <c r="A9088">
        <f>Input!A9088</f>
        <v/>
      </c>
      <c r="B9088">
        <f>IF(ISNUMBER(Input!B9088),IF(AND(Input!B9088&gt;=20,Input!B9088&lt;=700),Input!B9088,""),"")</f>
        <v/>
      </c>
      <c r="C9088">
        <f>IF(B9088="","",INT(A9088))</f>
        <v/>
      </c>
      <c r="D9088">
        <f>IF(B9088="","",HOUR(A9088))</f>
        <v/>
      </c>
    </row>
    <row r="9089">
      <c r="A9089">
        <f>Input!A9089</f>
        <v/>
      </c>
      <c r="B9089">
        <f>IF(ISNUMBER(Input!B9089),IF(AND(Input!B9089&gt;=20,Input!B9089&lt;=700),Input!B9089,""),"")</f>
        <v/>
      </c>
      <c r="C9089">
        <f>IF(B9089="","",INT(A9089))</f>
        <v/>
      </c>
      <c r="D9089">
        <f>IF(B9089="","",HOUR(A9089))</f>
        <v/>
      </c>
    </row>
    <row r="9090">
      <c r="A9090">
        <f>Input!A9090</f>
        <v/>
      </c>
      <c r="B9090">
        <f>IF(ISNUMBER(Input!B9090),IF(AND(Input!B9090&gt;=20,Input!B9090&lt;=700),Input!B9090,""),"")</f>
        <v/>
      </c>
      <c r="C9090">
        <f>IF(B9090="","",INT(A9090))</f>
        <v/>
      </c>
      <c r="D9090">
        <f>IF(B9090="","",HOUR(A9090))</f>
        <v/>
      </c>
    </row>
    <row r="9091">
      <c r="A9091">
        <f>Input!A9091</f>
        <v/>
      </c>
      <c r="B9091">
        <f>IF(ISNUMBER(Input!B9091),IF(AND(Input!B9091&gt;=20,Input!B9091&lt;=700),Input!B9091,""),"")</f>
        <v/>
      </c>
      <c r="C9091">
        <f>IF(B9091="","",INT(A9091))</f>
        <v/>
      </c>
      <c r="D9091">
        <f>IF(B9091="","",HOUR(A9091))</f>
        <v/>
      </c>
    </row>
    <row r="9092">
      <c r="A9092">
        <f>Input!A9092</f>
        <v/>
      </c>
      <c r="B9092">
        <f>IF(ISNUMBER(Input!B9092),IF(AND(Input!B9092&gt;=20,Input!B9092&lt;=700),Input!B9092,""),"")</f>
        <v/>
      </c>
      <c r="C9092">
        <f>IF(B9092="","",INT(A9092))</f>
        <v/>
      </c>
      <c r="D9092">
        <f>IF(B9092="","",HOUR(A9092))</f>
        <v/>
      </c>
    </row>
    <row r="9093">
      <c r="A9093">
        <f>Input!A9093</f>
        <v/>
      </c>
      <c r="B9093">
        <f>IF(ISNUMBER(Input!B9093),IF(AND(Input!B9093&gt;=20,Input!B9093&lt;=700),Input!B9093,""),"")</f>
        <v/>
      </c>
      <c r="C9093">
        <f>IF(B9093="","",INT(A9093))</f>
        <v/>
      </c>
      <c r="D9093">
        <f>IF(B9093="","",HOUR(A9093))</f>
        <v/>
      </c>
    </row>
    <row r="9094">
      <c r="A9094">
        <f>Input!A9094</f>
        <v/>
      </c>
      <c r="B9094">
        <f>IF(ISNUMBER(Input!B9094),IF(AND(Input!B9094&gt;=20,Input!B9094&lt;=700),Input!B9094,""),"")</f>
        <v/>
      </c>
      <c r="C9094">
        <f>IF(B9094="","",INT(A9094))</f>
        <v/>
      </c>
      <c r="D9094">
        <f>IF(B9094="","",HOUR(A9094))</f>
        <v/>
      </c>
    </row>
    <row r="9095">
      <c r="A9095">
        <f>Input!A9095</f>
        <v/>
      </c>
      <c r="B9095">
        <f>IF(ISNUMBER(Input!B9095),IF(AND(Input!B9095&gt;=20,Input!B9095&lt;=700),Input!B9095,""),"")</f>
        <v/>
      </c>
      <c r="C9095">
        <f>IF(B9095="","",INT(A9095))</f>
        <v/>
      </c>
      <c r="D9095">
        <f>IF(B9095="","",HOUR(A9095))</f>
        <v/>
      </c>
    </row>
    <row r="9096">
      <c r="A9096">
        <f>Input!A9096</f>
        <v/>
      </c>
      <c r="B9096">
        <f>IF(ISNUMBER(Input!B9096),IF(AND(Input!B9096&gt;=20,Input!B9096&lt;=700),Input!B9096,""),"")</f>
        <v/>
      </c>
      <c r="C9096">
        <f>IF(B9096="","",INT(A9096))</f>
        <v/>
      </c>
      <c r="D9096">
        <f>IF(B9096="","",HOUR(A9096))</f>
        <v/>
      </c>
    </row>
    <row r="9097">
      <c r="A9097">
        <f>Input!A9097</f>
        <v/>
      </c>
      <c r="B9097">
        <f>IF(ISNUMBER(Input!B9097),IF(AND(Input!B9097&gt;=20,Input!B9097&lt;=700),Input!B9097,""),"")</f>
        <v/>
      </c>
      <c r="C9097">
        <f>IF(B9097="","",INT(A9097))</f>
        <v/>
      </c>
      <c r="D9097">
        <f>IF(B9097="","",HOUR(A9097))</f>
        <v/>
      </c>
    </row>
    <row r="9098">
      <c r="A9098">
        <f>Input!A9098</f>
        <v/>
      </c>
      <c r="B9098">
        <f>IF(ISNUMBER(Input!B9098),IF(AND(Input!B9098&gt;=20,Input!B9098&lt;=700),Input!B9098,""),"")</f>
        <v/>
      </c>
      <c r="C9098">
        <f>IF(B9098="","",INT(A9098))</f>
        <v/>
      </c>
      <c r="D9098">
        <f>IF(B9098="","",HOUR(A9098))</f>
        <v/>
      </c>
    </row>
    <row r="9099">
      <c r="A9099">
        <f>Input!A9099</f>
        <v/>
      </c>
      <c r="B9099">
        <f>IF(ISNUMBER(Input!B9099),IF(AND(Input!B9099&gt;=20,Input!B9099&lt;=700),Input!B9099,""),"")</f>
        <v/>
      </c>
      <c r="C9099">
        <f>IF(B9099="","",INT(A9099))</f>
        <v/>
      </c>
      <c r="D9099">
        <f>IF(B9099="","",HOUR(A9099))</f>
        <v/>
      </c>
    </row>
    <row r="9100">
      <c r="A9100">
        <f>Input!A9100</f>
        <v/>
      </c>
      <c r="B9100">
        <f>IF(ISNUMBER(Input!B9100),IF(AND(Input!B9100&gt;=20,Input!B9100&lt;=700),Input!B9100,""),"")</f>
        <v/>
      </c>
      <c r="C9100">
        <f>IF(B9100="","",INT(A9100))</f>
        <v/>
      </c>
      <c r="D9100">
        <f>IF(B9100="","",HOUR(A9100))</f>
        <v/>
      </c>
    </row>
    <row r="9101">
      <c r="A9101">
        <f>Input!A9101</f>
        <v/>
      </c>
      <c r="B9101">
        <f>IF(ISNUMBER(Input!B9101),IF(AND(Input!B9101&gt;=20,Input!B9101&lt;=700),Input!B9101,""),"")</f>
        <v/>
      </c>
      <c r="C9101">
        <f>IF(B9101="","",INT(A9101))</f>
        <v/>
      </c>
      <c r="D9101">
        <f>IF(B9101="","",HOUR(A9101))</f>
        <v/>
      </c>
    </row>
    <row r="9102">
      <c r="A9102">
        <f>Input!A9102</f>
        <v/>
      </c>
      <c r="B9102">
        <f>IF(ISNUMBER(Input!B9102),IF(AND(Input!B9102&gt;=20,Input!B9102&lt;=700),Input!B9102,""),"")</f>
        <v/>
      </c>
      <c r="C9102">
        <f>IF(B9102="","",INT(A9102))</f>
        <v/>
      </c>
      <c r="D9102">
        <f>IF(B9102="","",HOUR(A9102))</f>
        <v/>
      </c>
    </row>
    <row r="9103">
      <c r="A9103">
        <f>Input!A9103</f>
        <v/>
      </c>
      <c r="B9103">
        <f>IF(ISNUMBER(Input!B9103),IF(AND(Input!B9103&gt;=20,Input!B9103&lt;=700),Input!B9103,""),"")</f>
        <v/>
      </c>
      <c r="C9103">
        <f>IF(B9103="","",INT(A9103))</f>
        <v/>
      </c>
      <c r="D9103">
        <f>IF(B9103="","",HOUR(A9103))</f>
        <v/>
      </c>
    </row>
    <row r="9104">
      <c r="A9104">
        <f>Input!A9104</f>
        <v/>
      </c>
      <c r="B9104">
        <f>IF(ISNUMBER(Input!B9104),IF(AND(Input!B9104&gt;=20,Input!B9104&lt;=700),Input!B9104,""),"")</f>
        <v/>
      </c>
      <c r="C9104">
        <f>IF(B9104="","",INT(A9104))</f>
        <v/>
      </c>
      <c r="D9104">
        <f>IF(B9104="","",HOUR(A9104))</f>
        <v/>
      </c>
    </row>
    <row r="9105">
      <c r="A9105">
        <f>Input!A9105</f>
        <v/>
      </c>
      <c r="B9105">
        <f>IF(ISNUMBER(Input!B9105),IF(AND(Input!B9105&gt;=20,Input!B9105&lt;=700),Input!B9105,""),"")</f>
        <v/>
      </c>
      <c r="C9105">
        <f>IF(B9105="","",INT(A9105))</f>
        <v/>
      </c>
      <c r="D9105">
        <f>IF(B9105="","",HOUR(A9105))</f>
        <v/>
      </c>
    </row>
    <row r="9106">
      <c r="A9106">
        <f>Input!A9106</f>
        <v/>
      </c>
      <c r="B9106">
        <f>IF(ISNUMBER(Input!B9106),IF(AND(Input!B9106&gt;=20,Input!B9106&lt;=700),Input!B9106,""),"")</f>
        <v/>
      </c>
      <c r="C9106">
        <f>IF(B9106="","",INT(A9106))</f>
        <v/>
      </c>
      <c r="D9106">
        <f>IF(B9106="","",HOUR(A9106))</f>
        <v/>
      </c>
    </row>
    <row r="9107">
      <c r="A9107">
        <f>Input!A9107</f>
        <v/>
      </c>
      <c r="B9107">
        <f>IF(ISNUMBER(Input!B9107),IF(AND(Input!B9107&gt;=20,Input!B9107&lt;=700),Input!B9107,""),"")</f>
        <v/>
      </c>
      <c r="C9107">
        <f>IF(B9107="","",INT(A9107))</f>
        <v/>
      </c>
      <c r="D9107">
        <f>IF(B9107="","",HOUR(A9107))</f>
        <v/>
      </c>
    </row>
    <row r="9108">
      <c r="A9108">
        <f>Input!A9108</f>
        <v/>
      </c>
      <c r="B9108">
        <f>IF(ISNUMBER(Input!B9108),IF(AND(Input!B9108&gt;=20,Input!B9108&lt;=700),Input!B9108,""),"")</f>
        <v/>
      </c>
      <c r="C9108">
        <f>IF(B9108="","",INT(A9108))</f>
        <v/>
      </c>
      <c r="D9108">
        <f>IF(B9108="","",HOUR(A9108))</f>
        <v/>
      </c>
    </row>
    <row r="9109">
      <c r="A9109">
        <f>Input!A9109</f>
        <v/>
      </c>
      <c r="B9109">
        <f>IF(ISNUMBER(Input!B9109),IF(AND(Input!B9109&gt;=20,Input!B9109&lt;=700),Input!B9109,""),"")</f>
        <v/>
      </c>
      <c r="C9109">
        <f>IF(B9109="","",INT(A9109))</f>
        <v/>
      </c>
      <c r="D9109">
        <f>IF(B9109="","",HOUR(A9109))</f>
        <v/>
      </c>
    </row>
    <row r="9110">
      <c r="A9110">
        <f>Input!A9110</f>
        <v/>
      </c>
      <c r="B9110">
        <f>IF(ISNUMBER(Input!B9110),IF(AND(Input!B9110&gt;=20,Input!B9110&lt;=700),Input!B9110,""),"")</f>
        <v/>
      </c>
      <c r="C9110">
        <f>IF(B9110="","",INT(A9110))</f>
        <v/>
      </c>
      <c r="D9110">
        <f>IF(B9110="","",HOUR(A9110))</f>
        <v/>
      </c>
    </row>
    <row r="9111">
      <c r="A9111">
        <f>Input!A9111</f>
        <v/>
      </c>
      <c r="B9111">
        <f>IF(ISNUMBER(Input!B9111),IF(AND(Input!B9111&gt;=20,Input!B9111&lt;=700),Input!B9111,""),"")</f>
        <v/>
      </c>
      <c r="C9111">
        <f>IF(B9111="","",INT(A9111))</f>
        <v/>
      </c>
      <c r="D9111">
        <f>IF(B9111="","",HOUR(A9111))</f>
        <v/>
      </c>
    </row>
    <row r="9112">
      <c r="A9112">
        <f>Input!A9112</f>
        <v/>
      </c>
      <c r="B9112">
        <f>IF(ISNUMBER(Input!B9112),IF(AND(Input!B9112&gt;=20,Input!B9112&lt;=700),Input!B9112,""),"")</f>
        <v/>
      </c>
      <c r="C9112">
        <f>IF(B9112="","",INT(A9112))</f>
        <v/>
      </c>
      <c r="D9112">
        <f>IF(B9112="","",HOUR(A9112))</f>
        <v/>
      </c>
    </row>
    <row r="9113">
      <c r="A9113">
        <f>Input!A9113</f>
        <v/>
      </c>
      <c r="B9113">
        <f>IF(ISNUMBER(Input!B9113),IF(AND(Input!B9113&gt;=20,Input!B9113&lt;=700),Input!B9113,""),"")</f>
        <v/>
      </c>
      <c r="C9113">
        <f>IF(B9113="","",INT(A9113))</f>
        <v/>
      </c>
      <c r="D9113">
        <f>IF(B9113="","",HOUR(A9113))</f>
        <v/>
      </c>
    </row>
    <row r="9114">
      <c r="A9114">
        <f>Input!A9114</f>
        <v/>
      </c>
      <c r="B9114">
        <f>IF(ISNUMBER(Input!B9114),IF(AND(Input!B9114&gt;=20,Input!B9114&lt;=700),Input!B9114,""),"")</f>
        <v/>
      </c>
      <c r="C9114">
        <f>IF(B9114="","",INT(A9114))</f>
        <v/>
      </c>
      <c r="D9114">
        <f>IF(B9114="","",HOUR(A9114))</f>
        <v/>
      </c>
    </row>
    <row r="9115">
      <c r="A9115">
        <f>Input!A9115</f>
        <v/>
      </c>
      <c r="B9115">
        <f>IF(ISNUMBER(Input!B9115),IF(AND(Input!B9115&gt;=20,Input!B9115&lt;=700),Input!B9115,""),"")</f>
        <v/>
      </c>
      <c r="C9115">
        <f>IF(B9115="","",INT(A9115))</f>
        <v/>
      </c>
      <c r="D9115">
        <f>IF(B9115="","",HOUR(A9115))</f>
        <v/>
      </c>
    </row>
    <row r="9116">
      <c r="A9116">
        <f>Input!A9116</f>
        <v/>
      </c>
      <c r="B9116">
        <f>IF(ISNUMBER(Input!B9116),IF(AND(Input!B9116&gt;=20,Input!B9116&lt;=700),Input!B9116,""),"")</f>
        <v/>
      </c>
      <c r="C9116">
        <f>IF(B9116="","",INT(A9116))</f>
        <v/>
      </c>
      <c r="D9116">
        <f>IF(B9116="","",HOUR(A9116))</f>
        <v/>
      </c>
    </row>
    <row r="9117">
      <c r="A9117">
        <f>Input!A9117</f>
        <v/>
      </c>
      <c r="B9117">
        <f>IF(ISNUMBER(Input!B9117),IF(AND(Input!B9117&gt;=20,Input!B9117&lt;=700),Input!B9117,""),"")</f>
        <v/>
      </c>
      <c r="C9117">
        <f>IF(B9117="","",INT(A9117))</f>
        <v/>
      </c>
      <c r="D9117">
        <f>IF(B9117="","",HOUR(A9117))</f>
        <v/>
      </c>
    </row>
    <row r="9118">
      <c r="A9118">
        <f>Input!A9118</f>
        <v/>
      </c>
      <c r="B9118">
        <f>IF(ISNUMBER(Input!B9118),IF(AND(Input!B9118&gt;=20,Input!B9118&lt;=700),Input!B9118,""),"")</f>
        <v/>
      </c>
      <c r="C9118">
        <f>IF(B9118="","",INT(A9118))</f>
        <v/>
      </c>
      <c r="D9118">
        <f>IF(B9118="","",HOUR(A9118))</f>
        <v/>
      </c>
    </row>
    <row r="9119">
      <c r="A9119">
        <f>Input!A9119</f>
        <v/>
      </c>
      <c r="B9119">
        <f>IF(ISNUMBER(Input!B9119),IF(AND(Input!B9119&gt;=20,Input!B9119&lt;=700),Input!B9119,""),"")</f>
        <v/>
      </c>
      <c r="C9119">
        <f>IF(B9119="","",INT(A9119))</f>
        <v/>
      </c>
      <c r="D9119">
        <f>IF(B9119="","",HOUR(A9119))</f>
        <v/>
      </c>
    </row>
    <row r="9120">
      <c r="A9120">
        <f>Input!A9120</f>
        <v/>
      </c>
      <c r="B9120">
        <f>IF(ISNUMBER(Input!B9120),IF(AND(Input!B9120&gt;=20,Input!B9120&lt;=700),Input!B9120,""),"")</f>
        <v/>
      </c>
      <c r="C9120">
        <f>IF(B9120="","",INT(A9120))</f>
        <v/>
      </c>
      <c r="D9120">
        <f>IF(B9120="","",HOUR(A9120))</f>
        <v/>
      </c>
    </row>
    <row r="9121">
      <c r="A9121">
        <f>Input!A9121</f>
        <v/>
      </c>
      <c r="B9121">
        <f>IF(ISNUMBER(Input!B9121),IF(AND(Input!B9121&gt;=20,Input!B9121&lt;=700),Input!B9121,""),"")</f>
        <v/>
      </c>
      <c r="C9121">
        <f>IF(B9121="","",INT(A9121))</f>
        <v/>
      </c>
      <c r="D9121">
        <f>IF(B9121="","",HOUR(A9121))</f>
        <v/>
      </c>
    </row>
    <row r="9122">
      <c r="A9122">
        <f>Input!A9122</f>
        <v/>
      </c>
      <c r="B9122">
        <f>IF(ISNUMBER(Input!B9122),IF(AND(Input!B9122&gt;=20,Input!B9122&lt;=700),Input!B9122,""),"")</f>
        <v/>
      </c>
      <c r="C9122">
        <f>IF(B9122="","",INT(A9122))</f>
        <v/>
      </c>
      <c r="D9122">
        <f>IF(B9122="","",HOUR(A9122))</f>
        <v/>
      </c>
    </row>
    <row r="9123">
      <c r="A9123">
        <f>Input!A9123</f>
        <v/>
      </c>
      <c r="B9123">
        <f>IF(ISNUMBER(Input!B9123),IF(AND(Input!B9123&gt;=20,Input!B9123&lt;=700),Input!B9123,""),"")</f>
        <v/>
      </c>
      <c r="C9123">
        <f>IF(B9123="","",INT(A9123))</f>
        <v/>
      </c>
      <c r="D9123">
        <f>IF(B9123="","",HOUR(A9123))</f>
        <v/>
      </c>
    </row>
    <row r="9124">
      <c r="A9124">
        <f>Input!A9124</f>
        <v/>
      </c>
      <c r="B9124">
        <f>IF(ISNUMBER(Input!B9124),IF(AND(Input!B9124&gt;=20,Input!B9124&lt;=700),Input!B9124,""),"")</f>
        <v/>
      </c>
      <c r="C9124">
        <f>IF(B9124="","",INT(A9124))</f>
        <v/>
      </c>
      <c r="D9124">
        <f>IF(B9124="","",HOUR(A9124))</f>
        <v/>
      </c>
    </row>
    <row r="9125">
      <c r="A9125">
        <f>Input!A9125</f>
        <v/>
      </c>
      <c r="B9125">
        <f>IF(ISNUMBER(Input!B9125),IF(AND(Input!B9125&gt;=20,Input!B9125&lt;=700),Input!B9125,""),"")</f>
        <v/>
      </c>
      <c r="C9125">
        <f>IF(B9125="","",INT(A9125))</f>
        <v/>
      </c>
      <c r="D9125">
        <f>IF(B9125="","",HOUR(A9125))</f>
        <v/>
      </c>
    </row>
    <row r="9126">
      <c r="A9126">
        <f>Input!A9126</f>
        <v/>
      </c>
      <c r="B9126">
        <f>IF(ISNUMBER(Input!B9126),IF(AND(Input!B9126&gt;=20,Input!B9126&lt;=700),Input!B9126,""),"")</f>
        <v/>
      </c>
      <c r="C9126">
        <f>IF(B9126="","",INT(A9126))</f>
        <v/>
      </c>
      <c r="D9126">
        <f>IF(B9126="","",HOUR(A9126))</f>
        <v/>
      </c>
    </row>
    <row r="9127">
      <c r="A9127">
        <f>Input!A9127</f>
        <v/>
      </c>
      <c r="B9127">
        <f>IF(ISNUMBER(Input!B9127),IF(AND(Input!B9127&gt;=20,Input!B9127&lt;=700),Input!B9127,""),"")</f>
        <v/>
      </c>
      <c r="C9127">
        <f>IF(B9127="","",INT(A9127))</f>
        <v/>
      </c>
      <c r="D9127">
        <f>IF(B9127="","",HOUR(A9127))</f>
        <v/>
      </c>
    </row>
    <row r="9128">
      <c r="A9128">
        <f>Input!A9128</f>
        <v/>
      </c>
      <c r="B9128">
        <f>IF(ISNUMBER(Input!B9128),IF(AND(Input!B9128&gt;=20,Input!B9128&lt;=700),Input!B9128,""),"")</f>
        <v/>
      </c>
      <c r="C9128">
        <f>IF(B9128="","",INT(A9128))</f>
        <v/>
      </c>
      <c r="D9128">
        <f>IF(B9128="","",HOUR(A9128))</f>
        <v/>
      </c>
    </row>
    <row r="9129">
      <c r="A9129">
        <f>Input!A9129</f>
        <v/>
      </c>
      <c r="B9129">
        <f>IF(ISNUMBER(Input!B9129),IF(AND(Input!B9129&gt;=20,Input!B9129&lt;=700),Input!B9129,""),"")</f>
        <v/>
      </c>
      <c r="C9129">
        <f>IF(B9129="","",INT(A9129))</f>
        <v/>
      </c>
      <c r="D9129">
        <f>IF(B9129="","",HOUR(A9129))</f>
        <v/>
      </c>
    </row>
    <row r="9130">
      <c r="A9130">
        <f>Input!A9130</f>
        <v/>
      </c>
      <c r="B9130">
        <f>IF(ISNUMBER(Input!B9130),IF(AND(Input!B9130&gt;=20,Input!B9130&lt;=700),Input!B9130,""),"")</f>
        <v/>
      </c>
      <c r="C9130">
        <f>IF(B9130="","",INT(A9130))</f>
        <v/>
      </c>
      <c r="D9130">
        <f>IF(B9130="","",HOUR(A9130))</f>
        <v/>
      </c>
    </row>
    <row r="9131">
      <c r="A9131">
        <f>Input!A9131</f>
        <v/>
      </c>
      <c r="B9131">
        <f>IF(ISNUMBER(Input!B9131),IF(AND(Input!B9131&gt;=20,Input!B9131&lt;=700),Input!B9131,""),"")</f>
        <v/>
      </c>
      <c r="C9131">
        <f>IF(B9131="","",INT(A9131))</f>
        <v/>
      </c>
      <c r="D9131">
        <f>IF(B9131="","",HOUR(A9131))</f>
        <v/>
      </c>
    </row>
    <row r="9132">
      <c r="A9132">
        <f>Input!A9132</f>
        <v/>
      </c>
      <c r="B9132">
        <f>IF(ISNUMBER(Input!B9132),IF(AND(Input!B9132&gt;=20,Input!B9132&lt;=700),Input!B9132,""),"")</f>
        <v/>
      </c>
      <c r="C9132">
        <f>IF(B9132="","",INT(A9132))</f>
        <v/>
      </c>
      <c r="D9132">
        <f>IF(B9132="","",HOUR(A9132))</f>
        <v/>
      </c>
    </row>
    <row r="9133">
      <c r="A9133">
        <f>Input!A9133</f>
        <v/>
      </c>
      <c r="B9133">
        <f>IF(ISNUMBER(Input!B9133),IF(AND(Input!B9133&gt;=20,Input!B9133&lt;=700),Input!B9133,""),"")</f>
        <v/>
      </c>
      <c r="C9133">
        <f>IF(B9133="","",INT(A9133))</f>
        <v/>
      </c>
      <c r="D9133">
        <f>IF(B9133="","",HOUR(A9133))</f>
        <v/>
      </c>
    </row>
    <row r="9134">
      <c r="A9134">
        <f>Input!A9134</f>
        <v/>
      </c>
      <c r="B9134">
        <f>IF(ISNUMBER(Input!B9134),IF(AND(Input!B9134&gt;=20,Input!B9134&lt;=700),Input!B9134,""),"")</f>
        <v/>
      </c>
      <c r="C9134">
        <f>IF(B9134="","",INT(A9134))</f>
        <v/>
      </c>
      <c r="D9134">
        <f>IF(B9134="","",HOUR(A9134))</f>
        <v/>
      </c>
    </row>
    <row r="9135">
      <c r="A9135">
        <f>Input!A9135</f>
        <v/>
      </c>
      <c r="B9135">
        <f>IF(ISNUMBER(Input!B9135),IF(AND(Input!B9135&gt;=20,Input!B9135&lt;=700),Input!B9135,""),"")</f>
        <v/>
      </c>
      <c r="C9135">
        <f>IF(B9135="","",INT(A9135))</f>
        <v/>
      </c>
      <c r="D9135">
        <f>IF(B9135="","",HOUR(A9135))</f>
        <v/>
      </c>
    </row>
    <row r="9136">
      <c r="A9136">
        <f>Input!A9136</f>
        <v/>
      </c>
      <c r="B9136">
        <f>IF(ISNUMBER(Input!B9136),IF(AND(Input!B9136&gt;=20,Input!B9136&lt;=700),Input!B9136,""),"")</f>
        <v/>
      </c>
      <c r="C9136">
        <f>IF(B9136="","",INT(A9136))</f>
        <v/>
      </c>
      <c r="D9136">
        <f>IF(B9136="","",HOUR(A9136))</f>
        <v/>
      </c>
    </row>
    <row r="9137">
      <c r="A9137">
        <f>Input!A9137</f>
        <v/>
      </c>
      <c r="B9137">
        <f>IF(ISNUMBER(Input!B9137),IF(AND(Input!B9137&gt;=20,Input!B9137&lt;=700),Input!B9137,""),"")</f>
        <v/>
      </c>
      <c r="C9137">
        <f>IF(B9137="","",INT(A9137))</f>
        <v/>
      </c>
      <c r="D9137">
        <f>IF(B9137="","",HOUR(A9137))</f>
        <v/>
      </c>
    </row>
    <row r="9138">
      <c r="A9138">
        <f>Input!A9138</f>
        <v/>
      </c>
      <c r="B9138">
        <f>IF(ISNUMBER(Input!B9138),IF(AND(Input!B9138&gt;=20,Input!B9138&lt;=700),Input!B9138,""),"")</f>
        <v/>
      </c>
      <c r="C9138">
        <f>IF(B9138="","",INT(A9138))</f>
        <v/>
      </c>
      <c r="D9138">
        <f>IF(B9138="","",HOUR(A9138))</f>
        <v/>
      </c>
    </row>
    <row r="9139">
      <c r="A9139">
        <f>Input!A9139</f>
        <v/>
      </c>
      <c r="B9139">
        <f>IF(ISNUMBER(Input!B9139),IF(AND(Input!B9139&gt;=20,Input!B9139&lt;=700),Input!B9139,""),"")</f>
        <v/>
      </c>
      <c r="C9139">
        <f>IF(B9139="","",INT(A9139))</f>
        <v/>
      </c>
      <c r="D9139">
        <f>IF(B9139="","",HOUR(A9139))</f>
        <v/>
      </c>
    </row>
    <row r="9140">
      <c r="A9140">
        <f>Input!A9140</f>
        <v/>
      </c>
      <c r="B9140">
        <f>IF(ISNUMBER(Input!B9140),IF(AND(Input!B9140&gt;=20,Input!B9140&lt;=700),Input!B9140,""),"")</f>
        <v/>
      </c>
      <c r="C9140">
        <f>IF(B9140="","",INT(A9140))</f>
        <v/>
      </c>
      <c r="D9140">
        <f>IF(B9140="","",HOUR(A9140))</f>
        <v/>
      </c>
    </row>
    <row r="9141">
      <c r="A9141">
        <f>Input!A9141</f>
        <v/>
      </c>
      <c r="B9141">
        <f>IF(ISNUMBER(Input!B9141),IF(AND(Input!B9141&gt;=20,Input!B9141&lt;=700),Input!B9141,""),"")</f>
        <v/>
      </c>
      <c r="C9141">
        <f>IF(B9141="","",INT(A9141))</f>
        <v/>
      </c>
      <c r="D9141">
        <f>IF(B9141="","",HOUR(A9141))</f>
        <v/>
      </c>
    </row>
    <row r="9142">
      <c r="A9142">
        <f>Input!A9142</f>
        <v/>
      </c>
      <c r="B9142">
        <f>IF(ISNUMBER(Input!B9142),IF(AND(Input!B9142&gt;=20,Input!B9142&lt;=700),Input!B9142,""),"")</f>
        <v/>
      </c>
      <c r="C9142">
        <f>IF(B9142="","",INT(A9142))</f>
        <v/>
      </c>
      <c r="D9142">
        <f>IF(B9142="","",HOUR(A9142))</f>
        <v/>
      </c>
    </row>
    <row r="9143">
      <c r="A9143">
        <f>Input!A9143</f>
        <v/>
      </c>
      <c r="B9143">
        <f>IF(ISNUMBER(Input!B9143),IF(AND(Input!B9143&gt;=20,Input!B9143&lt;=700),Input!B9143,""),"")</f>
        <v/>
      </c>
      <c r="C9143">
        <f>IF(B9143="","",INT(A9143))</f>
        <v/>
      </c>
      <c r="D9143">
        <f>IF(B9143="","",HOUR(A9143))</f>
        <v/>
      </c>
    </row>
    <row r="9144">
      <c r="A9144">
        <f>Input!A9144</f>
        <v/>
      </c>
      <c r="B9144">
        <f>IF(ISNUMBER(Input!B9144),IF(AND(Input!B9144&gt;=20,Input!B9144&lt;=700),Input!B9144,""),"")</f>
        <v/>
      </c>
      <c r="C9144">
        <f>IF(B9144="","",INT(A9144))</f>
        <v/>
      </c>
      <c r="D9144">
        <f>IF(B9144="","",HOUR(A9144))</f>
        <v/>
      </c>
    </row>
    <row r="9145">
      <c r="A9145">
        <f>Input!A9145</f>
        <v/>
      </c>
      <c r="B9145">
        <f>IF(ISNUMBER(Input!B9145),IF(AND(Input!B9145&gt;=20,Input!B9145&lt;=700),Input!B9145,""),"")</f>
        <v/>
      </c>
      <c r="C9145">
        <f>IF(B9145="","",INT(A9145))</f>
        <v/>
      </c>
      <c r="D9145">
        <f>IF(B9145="","",HOUR(A9145))</f>
        <v/>
      </c>
    </row>
    <row r="9146">
      <c r="A9146">
        <f>Input!A9146</f>
        <v/>
      </c>
      <c r="B9146">
        <f>IF(ISNUMBER(Input!B9146),IF(AND(Input!B9146&gt;=20,Input!B9146&lt;=700),Input!B9146,""),"")</f>
        <v/>
      </c>
      <c r="C9146">
        <f>IF(B9146="","",INT(A9146))</f>
        <v/>
      </c>
      <c r="D9146">
        <f>IF(B9146="","",HOUR(A9146))</f>
        <v/>
      </c>
    </row>
    <row r="9147">
      <c r="A9147">
        <f>Input!A9147</f>
        <v/>
      </c>
      <c r="B9147">
        <f>IF(ISNUMBER(Input!B9147),IF(AND(Input!B9147&gt;=20,Input!B9147&lt;=700),Input!B9147,""),"")</f>
        <v/>
      </c>
      <c r="C9147">
        <f>IF(B9147="","",INT(A9147))</f>
        <v/>
      </c>
      <c r="D9147">
        <f>IF(B9147="","",HOUR(A9147))</f>
        <v/>
      </c>
    </row>
    <row r="9148">
      <c r="A9148">
        <f>Input!A9148</f>
        <v/>
      </c>
      <c r="B9148">
        <f>IF(ISNUMBER(Input!B9148),IF(AND(Input!B9148&gt;=20,Input!B9148&lt;=700),Input!B9148,""),"")</f>
        <v/>
      </c>
      <c r="C9148">
        <f>IF(B9148="","",INT(A9148))</f>
        <v/>
      </c>
      <c r="D9148">
        <f>IF(B9148="","",HOUR(A9148))</f>
        <v/>
      </c>
    </row>
    <row r="9149">
      <c r="A9149">
        <f>Input!A9149</f>
        <v/>
      </c>
      <c r="B9149">
        <f>IF(ISNUMBER(Input!B9149),IF(AND(Input!B9149&gt;=20,Input!B9149&lt;=700),Input!B9149,""),"")</f>
        <v/>
      </c>
      <c r="C9149">
        <f>IF(B9149="","",INT(A9149))</f>
        <v/>
      </c>
      <c r="D9149">
        <f>IF(B9149="","",HOUR(A9149))</f>
        <v/>
      </c>
    </row>
    <row r="9150">
      <c r="A9150">
        <f>Input!A9150</f>
        <v/>
      </c>
      <c r="B9150">
        <f>IF(ISNUMBER(Input!B9150),IF(AND(Input!B9150&gt;=20,Input!B9150&lt;=700),Input!B9150,""),"")</f>
        <v/>
      </c>
      <c r="C9150">
        <f>IF(B9150="","",INT(A9150))</f>
        <v/>
      </c>
      <c r="D9150">
        <f>IF(B9150="","",HOUR(A9150))</f>
        <v/>
      </c>
    </row>
    <row r="9151">
      <c r="A9151">
        <f>Input!A9151</f>
        <v/>
      </c>
      <c r="B9151">
        <f>IF(ISNUMBER(Input!B9151),IF(AND(Input!B9151&gt;=20,Input!B9151&lt;=700),Input!B9151,""),"")</f>
        <v/>
      </c>
      <c r="C9151">
        <f>IF(B9151="","",INT(A9151))</f>
        <v/>
      </c>
      <c r="D9151">
        <f>IF(B9151="","",HOUR(A9151))</f>
        <v/>
      </c>
    </row>
    <row r="9152">
      <c r="A9152">
        <f>Input!A9152</f>
        <v/>
      </c>
      <c r="B9152">
        <f>IF(ISNUMBER(Input!B9152),IF(AND(Input!B9152&gt;=20,Input!B9152&lt;=700),Input!B9152,""),"")</f>
        <v/>
      </c>
      <c r="C9152">
        <f>IF(B9152="","",INT(A9152))</f>
        <v/>
      </c>
      <c r="D9152">
        <f>IF(B9152="","",HOUR(A9152))</f>
        <v/>
      </c>
    </row>
    <row r="9153">
      <c r="A9153">
        <f>Input!A9153</f>
        <v/>
      </c>
      <c r="B9153">
        <f>IF(ISNUMBER(Input!B9153),IF(AND(Input!B9153&gt;=20,Input!B9153&lt;=700),Input!B9153,""),"")</f>
        <v/>
      </c>
      <c r="C9153">
        <f>IF(B9153="","",INT(A9153))</f>
        <v/>
      </c>
      <c r="D9153">
        <f>IF(B9153="","",HOUR(A9153))</f>
        <v/>
      </c>
    </row>
    <row r="9154">
      <c r="A9154">
        <f>Input!A9154</f>
        <v/>
      </c>
      <c r="B9154">
        <f>IF(ISNUMBER(Input!B9154),IF(AND(Input!B9154&gt;=20,Input!B9154&lt;=700),Input!B9154,""),"")</f>
        <v/>
      </c>
      <c r="C9154">
        <f>IF(B9154="","",INT(A9154))</f>
        <v/>
      </c>
      <c r="D9154">
        <f>IF(B9154="","",HOUR(A9154))</f>
        <v/>
      </c>
    </row>
    <row r="9155">
      <c r="A9155">
        <f>Input!A9155</f>
        <v/>
      </c>
      <c r="B9155">
        <f>IF(ISNUMBER(Input!B9155),IF(AND(Input!B9155&gt;=20,Input!B9155&lt;=700),Input!B9155,""),"")</f>
        <v/>
      </c>
      <c r="C9155">
        <f>IF(B9155="","",INT(A9155))</f>
        <v/>
      </c>
      <c r="D9155">
        <f>IF(B9155="","",HOUR(A9155))</f>
        <v/>
      </c>
    </row>
    <row r="9156">
      <c r="A9156">
        <f>Input!A9156</f>
        <v/>
      </c>
      <c r="B9156">
        <f>IF(ISNUMBER(Input!B9156),IF(AND(Input!B9156&gt;=20,Input!B9156&lt;=700),Input!B9156,""),"")</f>
        <v/>
      </c>
      <c r="C9156">
        <f>IF(B9156="","",INT(A9156))</f>
        <v/>
      </c>
      <c r="D9156">
        <f>IF(B9156="","",HOUR(A9156))</f>
        <v/>
      </c>
    </row>
    <row r="9157">
      <c r="A9157">
        <f>Input!A9157</f>
        <v/>
      </c>
      <c r="B9157">
        <f>IF(ISNUMBER(Input!B9157),IF(AND(Input!B9157&gt;=20,Input!B9157&lt;=700),Input!B9157,""),"")</f>
        <v/>
      </c>
      <c r="C9157">
        <f>IF(B9157="","",INT(A9157))</f>
        <v/>
      </c>
      <c r="D9157">
        <f>IF(B9157="","",HOUR(A9157))</f>
        <v/>
      </c>
    </row>
    <row r="9158">
      <c r="A9158">
        <f>Input!A9158</f>
        <v/>
      </c>
      <c r="B9158">
        <f>IF(ISNUMBER(Input!B9158),IF(AND(Input!B9158&gt;=20,Input!B9158&lt;=700),Input!B9158,""),"")</f>
        <v/>
      </c>
      <c r="C9158">
        <f>IF(B9158="","",INT(A9158))</f>
        <v/>
      </c>
      <c r="D9158">
        <f>IF(B9158="","",HOUR(A9158))</f>
        <v/>
      </c>
    </row>
    <row r="9159">
      <c r="A9159">
        <f>Input!A9159</f>
        <v/>
      </c>
      <c r="B9159">
        <f>IF(ISNUMBER(Input!B9159),IF(AND(Input!B9159&gt;=20,Input!B9159&lt;=700),Input!B9159,""),"")</f>
        <v/>
      </c>
      <c r="C9159">
        <f>IF(B9159="","",INT(A9159))</f>
        <v/>
      </c>
      <c r="D9159">
        <f>IF(B9159="","",HOUR(A9159))</f>
        <v/>
      </c>
    </row>
    <row r="9160">
      <c r="A9160">
        <f>Input!A9160</f>
        <v/>
      </c>
      <c r="B9160">
        <f>IF(ISNUMBER(Input!B9160),IF(AND(Input!B9160&gt;=20,Input!B9160&lt;=700),Input!B9160,""),"")</f>
        <v/>
      </c>
      <c r="C9160">
        <f>IF(B9160="","",INT(A9160))</f>
        <v/>
      </c>
      <c r="D9160">
        <f>IF(B9160="","",HOUR(A9160))</f>
        <v/>
      </c>
    </row>
    <row r="9161">
      <c r="A9161">
        <f>Input!A9161</f>
        <v/>
      </c>
      <c r="B9161">
        <f>IF(ISNUMBER(Input!B9161),IF(AND(Input!B9161&gt;=20,Input!B9161&lt;=700),Input!B9161,""),"")</f>
        <v/>
      </c>
      <c r="C9161">
        <f>IF(B9161="","",INT(A9161))</f>
        <v/>
      </c>
      <c r="D9161">
        <f>IF(B9161="","",HOUR(A9161))</f>
        <v/>
      </c>
    </row>
    <row r="9162">
      <c r="A9162">
        <f>Input!A9162</f>
        <v/>
      </c>
      <c r="B9162">
        <f>IF(ISNUMBER(Input!B9162),IF(AND(Input!B9162&gt;=20,Input!B9162&lt;=700),Input!B9162,""),"")</f>
        <v/>
      </c>
      <c r="C9162">
        <f>IF(B9162="","",INT(A9162))</f>
        <v/>
      </c>
      <c r="D9162">
        <f>IF(B9162="","",HOUR(A9162))</f>
        <v/>
      </c>
    </row>
    <row r="9163">
      <c r="A9163">
        <f>Input!A9163</f>
        <v/>
      </c>
      <c r="B9163">
        <f>IF(ISNUMBER(Input!B9163),IF(AND(Input!B9163&gt;=20,Input!B9163&lt;=700),Input!B9163,""),"")</f>
        <v/>
      </c>
      <c r="C9163">
        <f>IF(B9163="","",INT(A9163))</f>
        <v/>
      </c>
      <c r="D9163">
        <f>IF(B9163="","",HOUR(A9163))</f>
        <v/>
      </c>
    </row>
    <row r="9164">
      <c r="A9164">
        <f>Input!A9164</f>
        <v/>
      </c>
      <c r="B9164">
        <f>IF(ISNUMBER(Input!B9164),IF(AND(Input!B9164&gt;=20,Input!B9164&lt;=700),Input!B9164,""),"")</f>
        <v/>
      </c>
      <c r="C9164">
        <f>IF(B9164="","",INT(A9164))</f>
        <v/>
      </c>
      <c r="D9164">
        <f>IF(B9164="","",HOUR(A9164))</f>
        <v/>
      </c>
    </row>
    <row r="9165">
      <c r="A9165">
        <f>Input!A9165</f>
        <v/>
      </c>
      <c r="B9165">
        <f>IF(ISNUMBER(Input!B9165),IF(AND(Input!B9165&gt;=20,Input!B9165&lt;=700),Input!B9165,""),"")</f>
        <v/>
      </c>
      <c r="C9165">
        <f>IF(B9165="","",INT(A9165))</f>
        <v/>
      </c>
      <c r="D9165">
        <f>IF(B9165="","",HOUR(A9165))</f>
        <v/>
      </c>
    </row>
    <row r="9166">
      <c r="A9166">
        <f>Input!A9166</f>
        <v/>
      </c>
      <c r="B9166">
        <f>IF(ISNUMBER(Input!B9166),IF(AND(Input!B9166&gt;=20,Input!B9166&lt;=700),Input!B9166,""),"")</f>
        <v/>
      </c>
      <c r="C9166">
        <f>IF(B9166="","",INT(A9166))</f>
        <v/>
      </c>
      <c r="D9166">
        <f>IF(B9166="","",HOUR(A9166))</f>
        <v/>
      </c>
    </row>
    <row r="9167">
      <c r="A9167">
        <f>Input!A9167</f>
        <v/>
      </c>
      <c r="B9167">
        <f>IF(ISNUMBER(Input!B9167),IF(AND(Input!B9167&gt;=20,Input!B9167&lt;=700),Input!B9167,""),"")</f>
        <v/>
      </c>
      <c r="C9167">
        <f>IF(B9167="","",INT(A9167))</f>
        <v/>
      </c>
      <c r="D9167">
        <f>IF(B9167="","",HOUR(A9167))</f>
        <v/>
      </c>
    </row>
    <row r="9168">
      <c r="A9168">
        <f>Input!A9168</f>
        <v/>
      </c>
      <c r="B9168">
        <f>IF(ISNUMBER(Input!B9168),IF(AND(Input!B9168&gt;=20,Input!B9168&lt;=700),Input!B9168,""),"")</f>
        <v/>
      </c>
      <c r="C9168">
        <f>IF(B9168="","",INT(A9168))</f>
        <v/>
      </c>
      <c r="D9168">
        <f>IF(B9168="","",HOUR(A9168))</f>
        <v/>
      </c>
    </row>
    <row r="9169">
      <c r="A9169">
        <f>Input!A9169</f>
        <v/>
      </c>
      <c r="B9169">
        <f>IF(ISNUMBER(Input!B9169),IF(AND(Input!B9169&gt;=20,Input!B9169&lt;=700),Input!B9169,""),"")</f>
        <v/>
      </c>
      <c r="C9169">
        <f>IF(B9169="","",INT(A9169))</f>
        <v/>
      </c>
      <c r="D9169">
        <f>IF(B9169="","",HOUR(A9169))</f>
        <v/>
      </c>
    </row>
    <row r="9170">
      <c r="A9170">
        <f>Input!A9170</f>
        <v/>
      </c>
      <c r="B9170">
        <f>IF(ISNUMBER(Input!B9170),IF(AND(Input!B9170&gt;=20,Input!B9170&lt;=700),Input!B9170,""),"")</f>
        <v/>
      </c>
      <c r="C9170">
        <f>IF(B9170="","",INT(A9170))</f>
        <v/>
      </c>
      <c r="D9170">
        <f>IF(B9170="","",HOUR(A9170))</f>
        <v/>
      </c>
    </row>
    <row r="9171">
      <c r="A9171">
        <f>Input!A9171</f>
        <v/>
      </c>
      <c r="B9171">
        <f>IF(ISNUMBER(Input!B9171),IF(AND(Input!B9171&gt;=20,Input!B9171&lt;=700),Input!B9171,""),"")</f>
        <v/>
      </c>
      <c r="C9171">
        <f>IF(B9171="","",INT(A9171))</f>
        <v/>
      </c>
      <c r="D9171">
        <f>IF(B9171="","",HOUR(A9171))</f>
        <v/>
      </c>
    </row>
    <row r="9172">
      <c r="A9172">
        <f>Input!A9172</f>
        <v/>
      </c>
      <c r="B9172">
        <f>IF(ISNUMBER(Input!B9172),IF(AND(Input!B9172&gt;=20,Input!B9172&lt;=700),Input!B9172,""),"")</f>
        <v/>
      </c>
      <c r="C9172">
        <f>IF(B9172="","",INT(A9172))</f>
        <v/>
      </c>
      <c r="D9172">
        <f>IF(B9172="","",HOUR(A9172))</f>
        <v/>
      </c>
    </row>
    <row r="9173">
      <c r="A9173">
        <f>Input!A9173</f>
        <v/>
      </c>
      <c r="B9173">
        <f>IF(ISNUMBER(Input!B9173),IF(AND(Input!B9173&gt;=20,Input!B9173&lt;=700),Input!B9173,""),"")</f>
        <v/>
      </c>
      <c r="C9173">
        <f>IF(B9173="","",INT(A9173))</f>
        <v/>
      </c>
      <c r="D9173">
        <f>IF(B9173="","",HOUR(A9173))</f>
        <v/>
      </c>
    </row>
    <row r="9174">
      <c r="A9174">
        <f>Input!A9174</f>
        <v/>
      </c>
      <c r="B9174">
        <f>IF(ISNUMBER(Input!B9174),IF(AND(Input!B9174&gt;=20,Input!B9174&lt;=700),Input!B9174,""),"")</f>
        <v/>
      </c>
      <c r="C9174">
        <f>IF(B9174="","",INT(A9174))</f>
        <v/>
      </c>
      <c r="D9174">
        <f>IF(B9174="","",HOUR(A9174))</f>
        <v/>
      </c>
    </row>
    <row r="9175">
      <c r="A9175">
        <f>Input!A9175</f>
        <v/>
      </c>
      <c r="B9175">
        <f>IF(ISNUMBER(Input!B9175),IF(AND(Input!B9175&gt;=20,Input!B9175&lt;=700),Input!B9175,""),"")</f>
        <v/>
      </c>
      <c r="C9175">
        <f>IF(B9175="","",INT(A9175))</f>
        <v/>
      </c>
      <c r="D9175">
        <f>IF(B9175="","",HOUR(A9175))</f>
        <v/>
      </c>
    </row>
    <row r="9176">
      <c r="A9176">
        <f>Input!A9176</f>
        <v/>
      </c>
      <c r="B9176">
        <f>IF(ISNUMBER(Input!B9176),IF(AND(Input!B9176&gt;=20,Input!B9176&lt;=700),Input!B9176,""),"")</f>
        <v/>
      </c>
      <c r="C9176">
        <f>IF(B9176="","",INT(A9176))</f>
        <v/>
      </c>
      <c r="D9176">
        <f>IF(B9176="","",HOUR(A9176))</f>
        <v/>
      </c>
    </row>
    <row r="9177">
      <c r="A9177">
        <f>Input!A9177</f>
        <v/>
      </c>
      <c r="B9177">
        <f>IF(ISNUMBER(Input!B9177),IF(AND(Input!B9177&gt;=20,Input!B9177&lt;=700),Input!B9177,""),"")</f>
        <v/>
      </c>
      <c r="C9177">
        <f>IF(B9177="","",INT(A9177))</f>
        <v/>
      </c>
      <c r="D9177">
        <f>IF(B9177="","",HOUR(A9177))</f>
        <v/>
      </c>
    </row>
    <row r="9178">
      <c r="A9178">
        <f>Input!A9178</f>
        <v/>
      </c>
      <c r="B9178">
        <f>IF(ISNUMBER(Input!B9178),IF(AND(Input!B9178&gt;=20,Input!B9178&lt;=700),Input!B9178,""),"")</f>
        <v/>
      </c>
      <c r="C9178">
        <f>IF(B9178="","",INT(A9178))</f>
        <v/>
      </c>
      <c r="D9178">
        <f>IF(B9178="","",HOUR(A9178))</f>
        <v/>
      </c>
    </row>
    <row r="9179">
      <c r="A9179">
        <f>Input!A9179</f>
        <v/>
      </c>
      <c r="B9179">
        <f>IF(ISNUMBER(Input!B9179),IF(AND(Input!B9179&gt;=20,Input!B9179&lt;=700),Input!B9179,""),"")</f>
        <v/>
      </c>
      <c r="C9179">
        <f>IF(B9179="","",INT(A9179))</f>
        <v/>
      </c>
      <c r="D9179">
        <f>IF(B9179="","",HOUR(A9179))</f>
        <v/>
      </c>
    </row>
    <row r="9180">
      <c r="A9180">
        <f>Input!A9180</f>
        <v/>
      </c>
      <c r="B9180">
        <f>IF(ISNUMBER(Input!B9180),IF(AND(Input!B9180&gt;=20,Input!B9180&lt;=700),Input!B9180,""),"")</f>
        <v/>
      </c>
      <c r="C9180">
        <f>IF(B9180="","",INT(A9180))</f>
        <v/>
      </c>
      <c r="D9180">
        <f>IF(B9180="","",HOUR(A9180))</f>
        <v/>
      </c>
    </row>
    <row r="9181">
      <c r="A9181">
        <f>Input!A9181</f>
        <v/>
      </c>
      <c r="B9181">
        <f>IF(ISNUMBER(Input!B9181),IF(AND(Input!B9181&gt;=20,Input!B9181&lt;=700),Input!B9181,""),"")</f>
        <v/>
      </c>
      <c r="C9181">
        <f>IF(B9181="","",INT(A9181))</f>
        <v/>
      </c>
      <c r="D9181">
        <f>IF(B9181="","",HOUR(A9181))</f>
        <v/>
      </c>
    </row>
    <row r="9182">
      <c r="A9182">
        <f>Input!A9182</f>
        <v/>
      </c>
      <c r="B9182">
        <f>IF(ISNUMBER(Input!B9182),IF(AND(Input!B9182&gt;=20,Input!B9182&lt;=700),Input!B9182,""),"")</f>
        <v/>
      </c>
      <c r="C9182">
        <f>IF(B9182="","",INT(A9182))</f>
        <v/>
      </c>
      <c r="D9182">
        <f>IF(B9182="","",HOUR(A9182))</f>
        <v/>
      </c>
    </row>
    <row r="9183">
      <c r="A9183">
        <f>Input!A9183</f>
        <v/>
      </c>
      <c r="B9183">
        <f>IF(ISNUMBER(Input!B9183),IF(AND(Input!B9183&gt;=20,Input!B9183&lt;=700),Input!B9183,""),"")</f>
        <v/>
      </c>
      <c r="C9183">
        <f>IF(B9183="","",INT(A9183))</f>
        <v/>
      </c>
      <c r="D9183">
        <f>IF(B9183="","",HOUR(A9183))</f>
        <v/>
      </c>
    </row>
    <row r="9184">
      <c r="A9184">
        <f>Input!A9184</f>
        <v/>
      </c>
      <c r="B9184">
        <f>IF(ISNUMBER(Input!B9184),IF(AND(Input!B9184&gt;=20,Input!B9184&lt;=700),Input!B9184,""),"")</f>
        <v/>
      </c>
      <c r="C9184">
        <f>IF(B9184="","",INT(A9184))</f>
        <v/>
      </c>
      <c r="D9184">
        <f>IF(B9184="","",HOUR(A9184))</f>
        <v/>
      </c>
    </row>
    <row r="9185">
      <c r="A9185">
        <f>Input!A9185</f>
        <v/>
      </c>
      <c r="B9185">
        <f>IF(ISNUMBER(Input!B9185),IF(AND(Input!B9185&gt;=20,Input!B9185&lt;=700),Input!B9185,""),"")</f>
        <v/>
      </c>
      <c r="C9185">
        <f>IF(B9185="","",INT(A9185))</f>
        <v/>
      </c>
      <c r="D9185">
        <f>IF(B9185="","",HOUR(A9185))</f>
        <v/>
      </c>
    </row>
    <row r="9186">
      <c r="A9186">
        <f>Input!A9186</f>
        <v/>
      </c>
      <c r="B9186">
        <f>IF(ISNUMBER(Input!B9186),IF(AND(Input!B9186&gt;=20,Input!B9186&lt;=700),Input!B9186,""),"")</f>
        <v/>
      </c>
      <c r="C9186">
        <f>IF(B9186="","",INT(A9186))</f>
        <v/>
      </c>
      <c r="D9186">
        <f>IF(B9186="","",HOUR(A9186))</f>
        <v/>
      </c>
    </row>
    <row r="9187">
      <c r="A9187">
        <f>Input!A9187</f>
        <v/>
      </c>
      <c r="B9187">
        <f>IF(ISNUMBER(Input!B9187),IF(AND(Input!B9187&gt;=20,Input!B9187&lt;=700),Input!B9187,""),"")</f>
        <v/>
      </c>
      <c r="C9187">
        <f>IF(B9187="","",INT(A9187))</f>
        <v/>
      </c>
      <c r="D9187">
        <f>IF(B9187="","",HOUR(A9187))</f>
        <v/>
      </c>
    </row>
    <row r="9188">
      <c r="A9188">
        <f>Input!A9188</f>
        <v/>
      </c>
      <c r="B9188">
        <f>IF(ISNUMBER(Input!B9188),IF(AND(Input!B9188&gt;=20,Input!B9188&lt;=700),Input!B9188,""),"")</f>
        <v/>
      </c>
      <c r="C9188">
        <f>IF(B9188="","",INT(A9188))</f>
        <v/>
      </c>
      <c r="D9188">
        <f>IF(B9188="","",HOUR(A9188))</f>
        <v/>
      </c>
    </row>
    <row r="9189">
      <c r="A9189">
        <f>Input!A9189</f>
        <v/>
      </c>
      <c r="B9189">
        <f>IF(ISNUMBER(Input!B9189),IF(AND(Input!B9189&gt;=20,Input!B9189&lt;=700),Input!B9189,""),"")</f>
        <v/>
      </c>
      <c r="C9189">
        <f>IF(B9189="","",INT(A9189))</f>
        <v/>
      </c>
      <c r="D9189">
        <f>IF(B9189="","",HOUR(A9189))</f>
        <v/>
      </c>
    </row>
    <row r="9190">
      <c r="A9190">
        <f>Input!A9190</f>
        <v/>
      </c>
      <c r="B9190">
        <f>IF(ISNUMBER(Input!B9190),IF(AND(Input!B9190&gt;=20,Input!B9190&lt;=700),Input!B9190,""),"")</f>
        <v/>
      </c>
      <c r="C9190">
        <f>IF(B9190="","",INT(A9190))</f>
        <v/>
      </c>
      <c r="D9190">
        <f>IF(B9190="","",HOUR(A9190))</f>
        <v/>
      </c>
    </row>
    <row r="9191">
      <c r="A9191">
        <f>Input!A9191</f>
        <v/>
      </c>
      <c r="B9191">
        <f>IF(ISNUMBER(Input!B9191),IF(AND(Input!B9191&gt;=20,Input!B9191&lt;=700),Input!B9191,""),"")</f>
        <v/>
      </c>
      <c r="C9191">
        <f>IF(B9191="","",INT(A9191))</f>
        <v/>
      </c>
      <c r="D9191">
        <f>IF(B9191="","",HOUR(A9191))</f>
        <v/>
      </c>
    </row>
    <row r="9192">
      <c r="A9192">
        <f>Input!A9192</f>
        <v/>
      </c>
      <c r="B9192">
        <f>IF(ISNUMBER(Input!B9192),IF(AND(Input!B9192&gt;=20,Input!B9192&lt;=700),Input!B9192,""),"")</f>
        <v/>
      </c>
      <c r="C9192">
        <f>IF(B9192="","",INT(A9192))</f>
        <v/>
      </c>
      <c r="D9192">
        <f>IF(B9192="","",HOUR(A9192))</f>
        <v/>
      </c>
    </row>
    <row r="9193">
      <c r="A9193">
        <f>Input!A9193</f>
        <v/>
      </c>
      <c r="B9193">
        <f>IF(ISNUMBER(Input!B9193),IF(AND(Input!B9193&gt;=20,Input!B9193&lt;=700),Input!B9193,""),"")</f>
        <v/>
      </c>
      <c r="C9193">
        <f>IF(B9193="","",INT(A9193))</f>
        <v/>
      </c>
      <c r="D9193">
        <f>IF(B9193="","",HOUR(A9193))</f>
        <v/>
      </c>
    </row>
    <row r="9194">
      <c r="A9194">
        <f>Input!A9194</f>
        <v/>
      </c>
      <c r="B9194">
        <f>IF(ISNUMBER(Input!B9194),IF(AND(Input!B9194&gt;=20,Input!B9194&lt;=700),Input!B9194,""),"")</f>
        <v/>
      </c>
      <c r="C9194">
        <f>IF(B9194="","",INT(A9194))</f>
        <v/>
      </c>
      <c r="D9194">
        <f>IF(B9194="","",HOUR(A9194))</f>
        <v/>
      </c>
    </row>
    <row r="9195">
      <c r="A9195">
        <f>Input!A9195</f>
        <v/>
      </c>
      <c r="B9195">
        <f>IF(ISNUMBER(Input!B9195),IF(AND(Input!B9195&gt;=20,Input!B9195&lt;=700),Input!B9195,""),"")</f>
        <v/>
      </c>
      <c r="C9195">
        <f>IF(B9195="","",INT(A9195))</f>
        <v/>
      </c>
      <c r="D9195">
        <f>IF(B9195="","",HOUR(A9195))</f>
        <v/>
      </c>
    </row>
    <row r="9196">
      <c r="A9196">
        <f>Input!A9196</f>
        <v/>
      </c>
      <c r="B9196">
        <f>IF(ISNUMBER(Input!B9196),IF(AND(Input!B9196&gt;=20,Input!B9196&lt;=700),Input!B9196,""),"")</f>
        <v/>
      </c>
      <c r="C9196">
        <f>IF(B9196="","",INT(A9196))</f>
        <v/>
      </c>
      <c r="D9196">
        <f>IF(B9196="","",HOUR(A9196))</f>
        <v/>
      </c>
    </row>
    <row r="9197">
      <c r="A9197">
        <f>Input!A9197</f>
        <v/>
      </c>
      <c r="B9197">
        <f>IF(ISNUMBER(Input!B9197),IF(AND(Input!B9197&gt;=20,Input!B9197&lt;=700),Input!B9197,""),"")</f>
        <v/>
      </c>
      <c r="C9197">
        <f>IF(B9197="","",INT(A9197))</f>
        <v/>
      </c>
      <c r="D9197">
        <f>IF(B9197="","",HOUR(A9197))</f>
        <v/>
      </c>
    </row>
    <row r="9198">
      <c r="A9198">
        <f>Input!A9198</f>
        <v/>
      </c>
      <c r="B9198">
        <f>IF(ISNUMBER(Input!B9198),IF(AND(Input!B9198&gt;=20,Input!B9198&lt;=700),Input!B9198,""),"")</f>
        <v/>
      </c>
      <c r="C9198">
        <f>IF(B9198="","",INT(A9198))</f>
        <v/>
      </c>
      <c r="D9198">
        <f>IF(B9198="","",HOUR(A9198))</f>
        <v/>
      </c>
    </row>
    <row r="9199">
      <c r="A9199">
        <f>Input!A9199</f>
        <v/>
      </c>
      <c r="B9199">
        <f>IF(ISNUMBER(Input!B9199),IF(AND(Input!B9199&gt;=20,Input!B9199&lt;=700),Input!B9199,""),"")</f>
        <v/>
      </c>
      <c r="C9199">
        <f>IF(B9199="","",INT(A9199))</f>
        <v/>
      </c>
      <c r="D9199">
        <f>IF(B9199="","",HOUR(A9199))</f>
        <v/>
      </c>
    </row>
    <row r="9200">
      <c r="A9200">
        <f>Input!A9200</f>
        <v/>
      </c>
      <c r="B9200">
        <f>IF(ISNUMBER(Input!B9200),IF(AND(Input!B9200&gt;=20,Input!B9200&lt;=700),Input!B9200,""),"")</f>
        <v/>
      </c>
      <c r="C9200">
        <f>IF(B9200="","",INT(A9200))</f>
        <v/>
      </c>
      <c r="D9200">
        <f>IF(B9200="","",HOUR(A9200))</f>
        <v/>
      </c>
    </row>
    <row r="9201">
      <c r="A9201">
        <f>Input!A9201</f>
        <v/>
      </c>
      <c r="B9201">
        <f>IF(ISNUMBER(Input!B9201),IF(AND(Input!B9201&gt;=20,Input!B9201&lt;=700),Input!B9201,""),"")</f>
        <v/>
      </c>
      <c r="C9201">
        <f>IF(B9201="","",INT(A9201))</f>
        <v/>
      </c>
      <c r="D9201">
        <f>IF(B9201="","",HOUR(A9201))</f>
        <v/>
      </c>
    </row>
    <row r="9202">
      <c r="A9202">
        <f>Input!A9202</f>
        <v/>
      </c>
      <c r="B9202">
        <f>IF(ISNUMBER(Input!B9202),IF(AND(Input!B9202&gt;=20,Input!B9202&lt;=700),Input!B9202,""),"")</f>
        <v/>
      </c>
      <c r="C9202">
        <f>IF(B9202="","",INT(A9202))</f>
        <v/>
      </c>
      <c r="D9202">
        <f>IF(B9202="","",HOUR(A9202))</f>
        <v/>
      </c>
    </row>
    <row r="9203">
      <c r="A9203">
        <f>Input!A9203</f>
        <v/>
      </c>
      <c r="B9203">
        <f>IF(ISNUMBER(Input!B9203),IF(AND(Input!B9203&gt;=20,Input!B9203&lt;=700),Input!B9203,""),"")</f>
        <v/>
      </c>
      <c r="C9203">
        <f>IF(B9203="","",INT(A9203))</f>
        <v/>
      </c>
      <c r="D9203">
        <f>IF(B9203="","",HOUR(A9203))</f>
        <v/>
      </c>
    </row>
    <row r="9204">
      <c r="A9204">
        <f>Input!A9204</f>
        <v/>
      </c>
      <c r="B9204">
        <f>IF(ISNUMBER(Input!B9204),IF(AND(Input!B9204&gt;=20,Input!B9204&lt;=700),Input!B9204,""),"")</f>
        <v/>
      </c>
      <c r="C9204">
        <f>IF(B9204="","",INT(A9204))</f>
        <v/>
      </c>
      <c r="D9204">
        <f>IF(B9204="","",HOUR(A9204))</f>
        <v/>
      </c>
    </row>
    <row r="9205">
      <c r="A9205">
        <f>Input!A9205</f>
        <v/>
      </c>
      <c r="B9205">
        <f>IF(ISNUMBER(Input!B9205),IF(AND(Input!B9205&gt;=20,Input!B9205&lt;=700),Input!B9205,""),"")</f>
        <v/>
      </c>
      <c r="C9205">
        <f>IF(B9205="","",INT(A9205))</f>
        <v/>
      </c>
      <c r="D9205">
        <f>IF(B9205="","",HOUR(A9205))</f>
        <v/>
      </c>
    </row>
    <row r="9206">
      <c r="A9206">
        <f>Input!A9206</f>
        <v/>
      </c>
      <c r="B9206">
        <f>IF(ISNUMBER(Input!B9206),IF(AND(Input!B9206&gt;=20,Input!B9206&lt;=700),Input!B9206,""),"")</f>
        <v/>
      </c>
      <c r="C9206">
        <f>IF(B9206="","",INT(A9206))</f>
        <v/>
      </c>
      <c r="D9206">
        <f>IF(B9206="","",HOUR(A9206))</f>
        <v/>
      </c>
    </row>
    <row r="9207">
      <c r="A9207">
        <f>Input!A9207</f>
        <v/>
      </c>
      <c r="B9207">
        <f>IF(ISNUMBER(Input!B9207),IF(AND(Input!B9207&gt;=20,Input!B9207&lt;=700),Input!B9207,""),"")</f>
        <v/>
      </c>
      <c r="C9207">
        <f>IF(B9207="","",INT(A9207))</f>
        <v/>
      </c>
      <c r="D9207">
        <f>IF(B9207="","",HOUR(A9207))</f>
        <v/>
      </c>
    </row>
    <row r="9208">
      <c r="A9208">
        <f>Input!A9208</f>
        <v/>
      </c>
      <c r="B9208">
        <f>IF(ISNUMBER(Input!B9208),IF(AND(Input!B9208&gt;=20,Input!B9208&lt;=700),Input!B9208,""),"")</f>
        <v/>
      </c>
      <c r="C9208">
        <f>IF(B9208="","",INT(A9208))</f>
        <v/>
      </c>
      <c r="D9208">
        <f>IF(B9208="","",HOUR(A9208))</f>
        <v/>
      </c>
    </row>
    <row r="9209">
      <c r="A9209">
        <f>Input!A9209</f>
        <v/>
      </c>
      <c r="B9209">
        <f>IF(ISNUMBER(Input!B9209),IF(AND(Input!B9209&gt;=20,Input!B9209&lt;=700),Input!B9209,""),"")</f>
        <v/>
      </c>
      <c r="C9209">
        <f>IF(B9209="","",INT(A9209))</f>
        <v/>
      </c>
      <c r="D9209">
        <f>IF(B9209="","",HOUR(A9209))</f>
        <v/>
      </c>
    </row>
    <row r="9210">
      <c r="A9210">
        <f>Input!A9210</f>
        <v/>
      </c>
      <c r="B9210">
        <f>IF(ISNUMBER(Input!B9210),IF(AND(Input!B9210&gt;=20,Input!B9210&lt;=700),Input!B9210,""),"")</f>
        <v/>
      </c>
      <c r="C9210">
        <f>IF(B9210="","",INT(A9210))</f>
        <v/>
      </c>
      <c r="D9210">
        <f>IF(B9210="","",HOUR(A9210))</f>
        <v/>
      </c>
    </row>
    <row r="9211">
      <c r="A9211">
        <f>Input!A9211</f>
        <v/>
      </c>
      <c r="B9211">
        <f>IF(ISNUMBER(Input!B9211),IF(AND(Input!B9211&gt;=20,Input!B9211&lt;=700),Input!B9211,""),"")</f>
        <v/>
      </c>
      <c r="C9211">
        <f>IF(B9211="","",INT(A9211))</f>
        <v/>
      </c>
      <c r="D9211">
        <f>IF(B9211="","",HOUR(A9211))</f>
        <v/>
      </c>
    </row>
    <row r="9212">
      <c r="A9212">
        <f>Input!A9212</f>
        <v/>
      </c>
      <c r="B9212">
        <f>IF(ISNUMBER(Input!B9212),IF(AND(Input!B9212&gt;=20,Input!B9212&lt;=700),Input!B9212,""),"")</f>
        <v/>
      </c>
      <c r="C9212">
        <f>IF(B9212="","",INT(A9212))</f>
        <v/>
      </c>
      <c r="D9212">
        <f>IF(B9212="","",HOUR(A9212))</f>
        <v/>
      </c>
    </row>
    <row r="9213">
      <c r="A9213">
        <f>Input!A9213</f>
        <v/>
      </c>
      <c r="B9213">
        <f>IF(ISNUMBER(Input!B9213),IF(AND(Input!B9213&gt;=20,Input!B9213&lt;=700),Input!B9213,""),"")</f>
        <v/>
      </c>
      <c r="C9213">
        <f>IF(B9213="","",INT(A9213))</f>
        <v/>
      </c>
      <c r="D9213">
        <f>IF(B9213="","",HOUR(A9213))</f>
        <v/>
      </c>
    </row>
    <row r="9214">
      <c r="A9214">
        <f>Input!A9214</f>
        <v/>
      </c>
      <c r="B9214">
        <f>IF(ISNUMBER(Input!B9214),IF(AND(Input!B9214&gt;=20,Input!B9214&lt;=700),Input!B9214,""),"")</f>
        <v/>
      </c>
      <c r="C9214">
        <f>IF(B9214="","",INT(A9214))</f>
        <v/>
      </c>
      <c r="D9214">
        <f>IF(B9214="","",HOUR(A9214))</f>
        <v/>
      </c>
    </row>
    <row r="9215">
      <c r="A9215">
        <f>Input!A9215</f>
        <v/>
      </c>
      <c r="B9215">
        <f>IF(ISNUMBER(Input!B9215),IF(AND(Input!B9215&gt;=20,Input!B9215&lt;=700),Input!B9215,""),"")</f>
        <v/>
      </c>
      <c r="C9215">
        <f>IF(B9215="","",INT(A9215))</f>
        <v/>
      </c>
      <c r="D9215">
        <f>IF(B9215="","",HOUR(A9215))</f>
        <v/>
      </c>
    </row>
    <row r="9216">
      <c r="A9216">
        <f>Input!A9216</f>
        <v/>
      </c>
      <c r="B9216">
        <f>IF(ISNUMBER(Input!B9216),IF(AND(Input!B9216&gt;=20,Input!B9216&lt;=700),Input!B9216,""),"")</f>
        <v/>
      </c>
      <c r="C9216">
        <f>IF(B9216="","",INT(A9216))</f>
        <v/>
      </c>
      <c r="D9216">
        <f>IF(B9216="","",HOUR(A9216))</f>
        <v/>
      </c>
    </row>
    <row r="9217">
      <c r="A9217">
        <f>Input!A9217</f>
        <v/>
      </c>
      <c r="B9217">
        <f>IF(ISNUMBER(Input!B9217),IF(AND(Input!B9217&gt;=20,Input!B9217&lt;=700),Input!B9217,""),"")</f>
        <v/>
      </c>
      <c r="C9217">
        <f>IF(B9217="","",INT(A9217))</f>
        <v/>
      </c>
      <c r="D9217">
        <f>IF(B9217="","",HOUR(A9217))</f>
        <v/>
      </c>
    </row>
    <row r="9218">
      <c r="A9218">
        <f>Input!A9218</f>
        <v/>
      </c>
      <c r="B9218">
        <f>IF(ISNUMBER(Input!B9218),IF(AND(Input!B9218&gt;=20,Input!B9218&lt;=700),Input!B9218,""),"")</f>
        <v/>
      </c>
      <c r="C9218">
        <f>IF(B9218="","",INT(A9218))</f>
        <v/>
      </c>
      <c r="D9218">
        <f>IF(B9218="","",HOUR(A9218))</f>
        <v/>
      </c>
    </row>
    <row r="9219">
      <c r="A9219">
        <f>Input!A9219</f>
        <v/>
      </c>
      <c r="B9219">
        <f>IF(ISNUMBER(Input!B9219),IF(AND(Input!B9219&gt;=20,Input!B9219&lt;=700),Input!B9219,""),"")</f>
        <v/>
      </c>
      <c r="C9219">
        <f>IF(B9219="","",INT(A9219))</f>
        <v/>
      </c>
      <c r="D9219">
        <f>IF(B9219="","",HOUR(A9219))</f>
        <v/>
      </c>
    </row>
    <row r="9220">
      <c r="A9220">
        <f>Input!A9220</f>
        <v/>
      </c>
      <c r="B9220">
        <f>IF(ISNUMBER(Input!B9220),IF(AND(Input!B9220&gt;=20,Input!B9220&lt;=700),Input!B9220,""),"")</f>
        <v/>
      </c>
      <c r="C9220">
        <f>IF(B9220="","",INT(A9220))</f>
        <v/>
      </c>
      <c r="D9220">
        <f>IF(B9220="","",HOUR(A9220))</f>
        <v/>
      </c>
    </row>
    <row r="9221">
      <c r="A9221">
        <f>Input!A9221</f>
        <v/>
      </c>
      <c r="B9221">
        <f>IF(ISNUMBER(Input!B9221),IF(AND(Input!B9221&gt;=20,Input!B9221&lt;=700),Input!B9221,""),"")</f>
        <v/>
      </c>
      <c r="C9221">
        <f>IF(B9221="","",INT(A9221))</f>
        <v/>
      </c>
      <c r="D9221">
        <f>IF(B9221="","",HOUR(A9221))</f>
        <v/>
      </c>
    </row>
    <row r="9222">
      <c r="A9222">
        <f>Input!A9222</f>
        <v/>
      </c>
      <c r="B9222">
        <f>IF(ISNUMBER(Input!B9222),IF(AND(Input!B9222&gt;=20,Input!B9222&lt;=700),Input!B9222,""),"")</f>
        <v/>
      </c>
      <c r="C9222">
        <f>IF(B9222="","",INT(A9222))</f>
        <v/>
      </c>
      <c r="D9222">
        <f>IF(B9222="","",HOUR(A9222))</f>
        <v/>
      </c>
    </row>
    <row r="9223">
      <c r="A9223">
        <f>Input!A9223</f>
        <v/>
      </c>
      <c r="B9223">
        <f>IF(ISNUMBER(Input!B9223),IF(AND(Input!B9223&gt;=20,Input!B9223&lt;=700),Input!B9223,""),"")</f>
        <v/>
      </c>
      <c r="C9223">
        <f>IF(B9223="","",INT(A9223))</f>
        <v/>
      </c>
      <c r="D9223">
        <f>IF(B9223="","",HOUR(A9223))</f>
        <v/>
      </c>
    </row>
    <row r="9224">
      <c r="A9224">
        <f>Input!A9224</f>
        <v/>
      </c>
      <c r="B9224">
        <f>IF(ISNUMBER(Input!B9224),IF(AND(Input!B9224&gt;=20,Input!B9224&lt;=700),Input!B9224,""),"")</f>
        <v/>
      </c>
      <c r="C9224">
        <f>IF(B9224="","",INT(A9224))</f>
        <v/>
      </c>
      <c r="D9224">
        <f>IF(B9224="","",HOUR(A9224))</f>
        <v/>
      </c>
    </row>
    <row r="9225">
      <c r="A9225">
        <f>Input!A9225</f>
        <v/>
      </c>
      <c r="B9225">
        <f>IF(ISNUMBER(Input!B9225),IF(AND(Input!B9225&gt;=20,Input!B9225&lt;=700),Input!B9225,""),"")</f>
        <v/>
      </c>
      <c r="C9225">
        <f>IF(B9225="","",INT(A9225))</f>
        <v/>
      </c>
      <c r="D9225">
        <f>IF(B9225="","",HOUR(A9225))</f>
        <v/>
      </c>
    </row>
    <row r="9226">
      <c r="A9226">
        <f>Input!A9226</f>
        <v/>
      </c>
      <c r="B9226">
        <f>IF(ISNUMBER(Input!B9226),IF(AND(Input!B9226&gt;=20,Input!B9226&lt;=700),Input!B9226,""),"")</f>
        <v/>
      </c>
      <c r="C9226">
        <f>IF(B9226="","",INT(A9226))</f>
        <v/>
      </c>
      <c r="D9226">
        <f>IF(B9226="","",HOUR(A9226))</f>
        <v/>
      </c>
    </row>
    <row r="9227">
      <c r="A9227">
        <f>Input!A9227</f>
        <v/>
      </c>
      <c r="B9227">
        <f>IF(ISNUMBER(Input!B9227),IF(AND(Input!B9227&gt;=20,Input!B9227&lt;=700),Input!B9227,""),"")</f>
        <v/>
      </c>
      <c r="C9227">
        <f>IF(B9227="","",INT(A9227))</f>
        <v/>
      </c>
      <c r="D9227">
        <f>IF(B9227="","",HOUR(A9227))</f>
        <v/>
      </c>
    </row>
    <row r="9228">
      <c r="A9228">
        <f>Input!A9228</f>
        <v/>
      </c>
      <c r="B9228">
        <f>IF(ISNUMBER(Input!B9228),IF(AND(Input!B9228&gt;=20,Input!B9228&lt;=700),Input!B9228,""),"")</f>
        <v/>
      </c>
      <c r="C9228">
        <f>IF(B9228="","",INT(A9228))</f>
        <v/>
      </c>
      <c r="D9228">
        <f>IF(B9228="","",HOUR(A9228))</f>
        <v/>
      </c>
    </row>
    <row r="9229">
      <c r="A9229">
        <f>Input!A9229</f>
        <v/>
      </c>
      <c r="B9229">
        <f>IF(ISNUMBER(Input!B9229),IF(AND(Input!B9229&gt;=20,Input!B9229&lt;=700),Input!B9229,""),"")</f>
        <v/>
      </c>
      <c r="C9229">
        <f>IF(B9229="","",INT(A9229))</f>
        <v/>
      </c>
      <c r="D9229">
        <f>IF(B9229="","",HOUR(A9229))</f>
        <v/>
      </c>
    </row>
    <row r="9230">
      <c r="A9230">
        <f>Input!A9230</f>
        <v/>
      </c>
      <c r="B9230">
        <f>IF(ISNUMBER(Input!B9230),IF(AND(Input!B9230&gt;=20,Input!B9230&lt;=700),Input!B9230,""),"")</f>
        <v/>
      </c>
      <c r="C9230">
        <f>IF(B9230="","",INT(A9230))</f>
        <v/>
      </c>
      <c r="D9230">
        <f>IF(B9230="","",HOUR(A9230))</f>
        <v/>
      </c>
    </row>
    <row r="9231">
      <c r="A9231">
        <f>Input!A9231</f>
        <v/>
      </c>
      <c r="B9231">
        <f>IF(ISNUMBER(Input!B9231),IF(AND(Input!B9231&gt;=20,Input!B9231&lt;=700),Input!B9231,""),"")</f>
        <v/>
      </c>
      <c r="C9231">
        <f>IF(B9231="","",INT(A9231))</f>
        <v/>
      </c>
      <c r="D9231">
        <f>IF(B9231="","",HOUR(A9231))</f>
        <v/>
      </c>
    </row>
    <row r="9232">
      <c r="A9232">
        <f>Input!A9232</f>
        <v/>
      </c>
      <c r="B9232">
        <f>IF(ISNUMBER(Input!B9232),IF(AND(Input!B9232&gt;=20,Input!B9232&lt;=700),Input!B9232,""),"")</f>
        <v/>
      </c>
      <c r="C9232">
        <f>IF(B9232="","",INT(A9232))</f>
        <v/>
      </c>
      <c r="D9232">
        <f>IF(B9232="","",HOUR(A9232))</f>
        <v/>
      </c>
    </row>
    <row r="9233">
      <c r="A9233">
        <f>Input!A9233</f>
        <v/>
      </c>
      <c r="B9233">
        <f>IF(ISNUMBER(Input!B9233),IF(AND(Input!B9233&gt;=20,Input!B9233&lt;=700),Input!B9233,""),"")</f>
        <v/>
      </c>
      <c r="C9233">
        <f>IF(B9233="","",INT(A9233))</f>
        <v/>
      </c>
      <c r="D9233">
        <f>IF(B9233="","",HOUR(A9233))</f>
        <v/>
      </c>
    </row>
    <row r="9234">
      <c r="A9234">
        <f>Input!A9234</f>
        <v/>
      </c>
      <c r="B9234">
        <f>IF(ISNUMBER(Input!B9234),IF(AND(Input!B9234&gt;=20,Input!B9234&lt;=700),Input!B9234,""),"")</f>
        <v/>
      </c>
      <c r="C9234">
        <f>IF(B9234="","",INT(A9234))</f>
        <v/>
      </c>
      <c r="D9234">
        <f>IF(B9234="","",HOUR(A9234))</f>
        <v/>
      </c>
    </row>
    <row r="9235">
      <c r="A9235">
        <f>Input!A9235</f>
        <v/>
      </c>
      <c r="B9235">
        <f>IF(ISNUMBER(Input!B9235),IF(AND(Input!B9235&gt;=20,Input!B9235&lt;=700),Input!B9235,""),"")</f>
        <v/>
      </c>
      <c r="C9235">
        <f>IF(B9235="","",INT(A9235))</f>
        <v/>
      </c>
      <c r="D9235">
        <f>IF(B9235="","",HOUR(A9235))</f>
        <v/>
      </c>
    </row>
    <row r="9236">
      <c r="A9236">
        <f>Input!A9236</f>
        <v/>
      </c>
      <c r="B9236">
        <f>IF(ISNUMBER(Input!B9236),IF(AND(Input!B9236&gt;=20,Input!B9236&lt;=700),Input!B9236,""),"")</f>
        <v/>
      </c>
      <c r="C9236">
        <f>IF(B9236="","",INT(A9236))</f>
        <v/>
      </c>
      <c r="D9236">
        <f>IF(B9236="","",HOUR(A9236))</f>
        <v/>
      </c>
    </row>
    <row r="9237">
      <c r="A9237">
        <f>Input!A9237</f>
        <v/>
      </c>
      <c r="B9237">
        <f>IF(ISNUMBER(Input!B9237),IF(AND(Input!B9237&gt;=20,Input!B9237&lt;=700),Input!B9237,""),"")</f>
        <v/>
      </c>
      <c r="C9237">
        <f>IF(B9237="","",INT(A9237))</f>
        <v/>
      </c>
      <c r="D9237">
        <f>IF(B9237="","",HOUR(A9237))</f>
        <v/>
      </c>
    </row>
    <row r="9238">
      <c r="A9238">
        <f>Input!A9238</f>
        <v/>
      </c>
      <c r="B9238">
        <f>IF(ISNUMBER(Input!B9238),IF(AND(Input!B9238&gt;=20,Input!B9238&lt;=700),Input!B9238,""),"")</f>
        <v/>
      </c>
      <c r="C9238">
        <f>IF(B9238="","",INT(A9238))</f>
        <v/>
      </c>
      <c r="D9238">
        <f>IF(B9238="","",HOUR(A9238))</f>
        <v/>
      </c>
    </row>
    <row r="9239">
      <c r="A9239">
        <f>Input!A9239</f>
        <v/>
      </c>
      <c r="B9239">
        <f>IF(ISNUMBER(Input!B9239),IF(AND(Input!B9239&gt;=20,Input!B9239&lt;=700),Input!B9239,""),"")</f>
        <v/>
      </c>
      <c r="C9239">
        <f>IF(B9239="","",INT(A9239))</f>
        <v/>
      </c>
      <c r="D9239">
        <f>IF(B9239="","",HOUR(A9239))</f>
        <v/>
      </c>
    </row>
    <row r="9240">
      <c r="A9240">
        <f>Input!A9240</f>
        <v/>
      </c>
      <c r="B9240">
        <f>IF(ISNUMBER(Input!B9240),IF(AND(Input!B9240&gt;=20,Input!B9240&lt;=700),Input!B9240,""),"")</f>
        <v/>
      </c>
      <c r="C9240">
        <f>IF(B9240="","",INT(A9240))</f>
        <v/>
      </c>
      <c r="D9240">
        <f>IF(B9240="","",HOUR(A9240))</f>
        <v/>
      </c>
    </row>
    <row r="9241">
      <c r="A9241">
        <f>Input!A9241</f>
        <v/>
      </c>
      <c r="B9241">
        <f>IF(ISNUMBER(Input!B9241),IF(AND(Input!B9241&gt;=20,Input!B9241&lt;=700),Input!B9241,""),"")</f>
        <v/>
      </c>
      <c r="C9241">
        <f>IF(B9241="","",INT(A9241))</f>
        <v/>
      </c>
      <c r="D9241">
        <f>IF(B9241="","",HOUR(A9241))</f>
        <v/>
      </c>
    </row>
    <row r="9242">
      <c r="A9242">
        <f>Input!A9242</f>
        <v/>
      </c>
      <c r="B9242">
        <f>IF(ISNUMBER(Input!B9242),IF(AND(Input!B9242&gt;=20,Input!B9242&lt;=700),Input!B9242,""),"")</f>
        <v/>
      </c>
      <c r="C9242">
        <f>IF(B9242="","",INT(A9242))</f>
        <v/>
      </c>
      <c r="D9242">
        <f>IF(B9242="","",HOUR(A9242))</f>
        <v/>
      </c>
    </row>
    <row r="9243">
      <c r="A9243">
        <f>Input!A9243</f>
        <v/>
      </c>
      <c r="B9243">
        <f>IF(ISNUMBER(Input!B9243),IF(AND(Input!B9243&gt;=20,Input!B9243&lt;=700),Input!B9243,""),"")</f>
        <v/>
      </c>
      <c r="C9243">
        <f>IF(B9243="","",INT(A9243))</f>
        <v/>
      </c>
      <c r="D9243">
        <f>IF(B9243="","",HOUR(A9243))</f>
        <v/>
      </c>
    </row>
    <row r="9244">
      <c r="A9244">
        <f>Input!A9244</f>
        <v/>
      </c>
      <c r="B9244">
        <f>IF(ISNUMBER(Input!B9244),IF(AND(Input!B9244&gt;=20,Input!B9244&lt;=700),Input!B9244,""),"")</f>
        <v/>
      </c>
      <c r="C9244">
        <f>IF(B9244="","",INT(A9244))</f>
        <v/>
      </c>
      <c r="D9244">
        <f>IF(B9244="","",HOUR(A9244))</f>
        <v/>
      </c>
    </row>
    <row r="9245">
      <c r="A9245">
        <f>Input!A9245</f>
        <v/>
      </c>
      <c r="B9245">
        <f>IF(ISNUMBER(Input!B9245),IF(AND(Input!B9245&gt;=20,Input!B9245&lt;=700),Input!B9245,""),"")</f>
        <v/>
      </c>
      <c r="C9245">
        <f>IF(B9245="","",INT(A9245))</f>
        <v/>
      </c>
      <c r="D9245">
        <f>IF(B9245="","",HOUR(A9245))</f>
        <v/>
      </c>
    </row>
    <row r="9246">
      <c r="A9246">
        <f>Input!A9246</f>
        <v/>
      </c>
      <c r="B9246">
        <f>IF(ISNUMBER(Input!B9246),IF(AND(Input!B9246&gt;=20,Input!B9246&lt;=700),Input!B9246,""),"")</f>
        <v/>
      </c>
      <c r="C9246">
        <f>IF(B9246="","",INT(A9246))</f>
        <v/>
      </c>
      <c r="D9246">
        <f>IF(B9246="","",HOUR(A9246))</f>
        <v/>
      </c>
    </row>
    <row r="9247">
      <c r="A9247">
        <f>Input!A9247</f>
        <v/>
      </c>
      <c r="B9247">
        <f>IF(ISNUMBER(Input!B9247),IF(AND(Input!B9247&gt;=20,Input!B9247&lt;=700),Input!B9247,""),"")</f>
        <v/>
      </c>
      <c r="C9247">
        <f>IF(B9247="","",INT(A9247))</f>
        <v/>
      </c>
      <c r="D9247">
        <f>IF(B9247="","",HOUR(A9247))</f>
        <v/>
      </c>
    </row>
    <row r="9248">
      <c r="A9248">
        <f>Input!A9248</f>
        <v/>
      </c>
      <c r="B9248">
        <f>IF(ISNUMBER(Input!B9248),IF(AND(Input!B9248&gt;=20,Input!B9248&lt;=700),Input!B9248,""),"")</f>
        <v/>
      </c>
      <c r="C9248">
        <f>IF(B9248="","",INT(A9248))</f>
        <v/>
      </c>
      <c r="D9248">
        <f>IF(B9248="","",HOUR(A9248))</f>
        <v/>
      </c>
    </row>
    <row r="9249">
      <c r="A9249">
        <f>Input!A9249</f>
        <v/>
      </c>
      <c r="B9249">
        <f>IF(ISNUMBER(Input!B9249),IF(AND(Input!B9249&gt;=20,Input!B9249&lt;=700),Input!B9249,""),"")</f>
        <v/>
      </c>
      <c r="C9249">
        <f>IF(B9249="","",INT(A9249))</f>
        <v/>
      </c>
      <c r="D9249">
        <f>IF(B9249="","",HOUR(A9249))</f>
        <v/>
      </c>
    </row>
    <row r="9250">
      <c r="A9250">
        <f>Input!A9250</f>
        <v/>
      </c>
      <c r="B9250">
        <f>IF(ISNUMBER(Input!B9250),IF(AND(Input!B9250&gt;=20,Input!B9250&lt;=700),Input!B9250,""),"")</f>
        <v/>
      </c>
      <c r="C9250">
        <f>IF(B9250="","",INT(A9250))</f>
        <v/>
      </c>
      <c r="D9250">
        <f>IF(B9250="","",HOUR(A9250))</f>
        <v/>
      </c>
    </row>
    <row r="9251">
      <c r="A9251">
        <f>Input!A9251</f>
        <v/>
      </c>
      <c r="B9251">
        <f>IF(ISNUMBER(Input!B9251),IF(AND(Input!B9251&gt;=20,Input!B9251&lt;=700),Input!B9251,""),"")</f>
        <v/>
      </c>
      <c r="C9251">
        <f>IF(B9251="","",INT(A9251))</f>
        <v/>
      </c>
      <c r="D9251">
        <f>IF(B9251="","",HOUR(A9251))</f>
        <v/>
      </c>
    </row>
    <row r="9252">
      <c r="A9252">
        <f>Input!A9252</f>
        <v/>
      </c>
      <c r="B9252">
        <f>IF(ISNUMBER(Input!B9252),IF(AND(Input!B9252&gt;=20,Input!B9252&lt;=700),Input!B9252,""),"")</f>
        <v/>
      </c>
      <c r="C9252">
        <f>IF(B9252="","",INT(A9252))</f>
        <v/>
      </c>
      <c r="D9252">
        <f>IF(B9252="","",HOUR(A9252))</f>
        <v/>
      </c>
    </row>
    <row r="9253">
      <c r="A9253">
        <f>Input!A9253</f>
        <v/>
      </c>
      <c r="B9253">
        <f>IF(ISNUMBER(Input!B9253),IF(AND(Input!B9253&gt;=20,Input!B9253&lt;=700),Input!B9253,""),"")</f>
        <v/>
      </c>
      <c r="C9253">
        <f>IF(B9253="","",INT(A9253))</f>
        <v/>
      </c>
      <c r="D9253">
        <f>IF(B9253="","",HOUR(A9253))</f>
        <v/>
      </c>
    </row>
    <row r="9254">
      <c r="A9254">
        <f>Input!A9254</f>
        <v/>
      </c>
      <c r="B9254">
        <f>IF(ISNUMBER(Input!B9254),IF(AND(Input!B9254&gt;=20,Input!B9254&lt;=700),Input!B9254,""),"")</f>
        <v/>
      </c>
      <c r="C9254">
        <f>IF(B9254="","",INT(A9254))</f>
        <v/>
      </c>
      <c r="D9254">
        <f>IF(B9254="","",HOUR(A9254))</f>
        <v/>
      </c>
    </row>
    <row r="9255">
      <c r="A9255">
        <f>Input!A9255</f>
        <v/>
      </c>
      <c r="B9255">
        <f>IF(ISNUMBER(Input!B9255),IF(AND(Input!B9255&gt;=20,Input!B9255&lt;=700),Input!B9255,""),"")</f>
        <v/>
      </c>
      <c r="C9255">
        <f>IF(B9255="","",INT(A9255))</f>
        <v/>
      </c>
      <c r="D9255">
        <f>IF(B9255="","",HOUR(A9255))</f>
        <v/>
      </c>
    </row>
    <row r="9256">
      <c r="A9256">
        <f>Input!A9256</f>
        <v/>
      </c>
      <c r="B9256">
        <f>IF(ISNUMBER(Input!B9256),IF(AND(Input!B9256&gt;=20,Input!B9256&lt;=700),Input!B9256,""),"")</f>
        <v/>
      </c>
      <c r="C9256">
        <f>IF(B9256="","",INT(A9256))</f>
        <v/>
      </c>
      <c r="D9256">
        <f>IF(B9256="","",HOUR(A9256))</f>
        <v/>
      </c>
    </row>
    <row r="9257">
      <c r="A9257">
        <f>Input!A9257</f>
        <v/>
      </c>
      <c r="B9257">
        <f>IF(ISNUMBER(Input!B9257),IF(AND(Input!B9257&gt;=20,Input!B9257&lt;=700),Input!B9257,""),"")</f>
        <v/>
      </c>
      <c r="C9257">
        <f>IF(B9257="","",INT(A9257))</f>
        <v/>
      </c>
      <c r="D9257">
        <f>IF(B9257="","",HOUR(A9257))</f>
        <v/>
      </c>
    </row>
    <row r="9258">
      <c r="A9258">
        <f>Input!A9258</f>
        <v/>
      </c>
      <c r="B9258">
        <f>IF(ISNUMBER(Input!B9258),IF(AND(Input!B9258&gt;=20,Input!B9258&lt;=700),Input!B9258,""),"")</f>
        <v/>
      </c>
      <c r="C9258">
        <f>IF(B9258="","",INT(A9258))</f>
        <v/>
      </c>
      <c r="D9258">
        <f>IF(B9258="","",HOUR(A9258))</f>
        <v/>
      </c>
    </row>
    <row r="9259">
      <c r="A9259">
        <f>Input!A9259</f>
        <v/>
      </c>
      <c r="B9259">
        <f>IF(ISNUMBER(Input!B9259),IF(AND(Input!B9259&gt;=20,Input!B9259&lt;=700),Input!B9259,""),"")</f>
        <v/>
      </c>
      <c r="C9259">
        <f>IF(B9259="","",INT(A9259))</f>
        <v/>
      </c>
      <c r="D9259">
        <f>IF(B9259="","",HOUR(A9259))</f>
        <v/>
      </c>
    </row>
    <row r="9260">
      <c r="A9260">
        <f>Input!A9260</f>
        <v/>
      </c>
      <c r="B9260">
        <f>IF(ISNUMBER(Input!B9260),IF(AND(Input!B9260&gt;=20,Input!B9260&lt;=700),Input!B9260,""),"")</f>
        <v/>
      </c>
      <c r="C9260">
        <f>IF(B9260="","",INT(A9260))</f>
        <v/>
      </c>
      <c r="D9260">
        <f>IF(B9260="","",HOUR(A9260))</f>
        <v/>
      </c>
    </row>
    <row r="9261">
      <c r="A9261">
        <f>Input!A9261</f>
        <v/>
      </c>
      <c r="B9261">
        <f>IF(ISNUMBER(Input!B9261),IF(AND(Input!B9261&gt;=20,Input!B9261&lt;=700),Input!B9261,""),"")</f>
        <v/>
      </c>
      <c r="C9261">
        <f>IF(B9261="","",INT(A9261))</f>
        <v/>
      </c>
      <c r="D9261">
        <f>IF(B9261="","",HOUR(A9261))</f>
        <v/>
      </c>
    </row>
    <row r="9262">
      <c r="A9262">
        <f>Input!A9262</f>
        <v/>
      </c>
      <c r="B9262">
        <f>IF(ISNUMBER(Input!B9262),IF(AND(Input!B9262&gt;=20,Input!B9262&lt;=700),Input!B9262,""),"")</f>
        <v/>
      </c>
      <c r="C9262">
        <f>IF(B9262="","",INT(A9262))</f>
        <v/>
      </c>
      <c r="D9262">
        <f>IF(B9262="","",HOUR(A9262))</f>
        <v/>
      </c>
    </row>
    <row r="9263">
      <c r="A9263">
        <f>Input!A9263</f>
        <v/>
      </c>
      <c r="B9263">
        <f>IF(ISNUMBER(Input!B9263),IF(AND(Input!B9263&gt;=20,Input!B9263&lt;=700),Input!B9263,""),"")</f>
        <v/>
      </c>
      <c r="C9263">
        <f>IF(B9263="","",INT(A9263))</f>
        <v/>
      </c>
      <c r="D9263">
        <f>IF(B9263="","",HOUR(A9263))</f>
        <v/>
      </c>
    </row>
    <row r="9264">
      <c r="A9264">
        <f>Input!A9264</f>
        <v/>
      </c>
      <c r="B9264">
        <f>IF(ISNUMBER(Input!B9264),IF(AND(Input!B9264&gt;=20,Input!B9264&lt;=700),Input!B9264,""),"")</f>
        <v/>
      </c>
      <c r="C9264">
        <f>IF(B9264="","",INT(A9264))</f>
        <v/>
      </c>
      <c r="D9264">
        <f>IF(B9264="","",HOUR(A9264))</f>
        <v/>
      </c>
    </row>
    <row r="9265">
      <c r="A9265">
        <f>Input!A9265</f>
        <v/>
      </c>
      <c r="B9265">
        <f>IF(ISNUMBER(Input!B9265),IF(AND(Input!B9265&gt;=20,Input!B9265&lt;=700),Input!B9265,""),"")</f>
        <v/>
      </c>
      <c r="C9265">
        <f>IF(B9265="","",INT(A9265))</f>
        <v/>
      </c>
      <c r="D9265">
        <f>IF(B9265="","",HOUR(A9265))</f>
        <v/>
      </c>
    </row>
    <row r="9266">
      <c r="A9266">
        <f>Input!A9266</f>
        <v/>
      </c>
      <c r="B9266">
        <f>IF(ISNUMBER(Input!B9266),IF(AND(Input!B9266&gt;=20,Input!B9266&lt;=700),Input!B9266,""),"")</f>
        <v/>
      </c>
      <c r="C9266">
        <f>IF(B9266="","",INT(A9266))</f>
        <v/>
      </c>
      <c r="D9266">
        <f>IF(B9266="","",HOUR(A9266))</f>
        <v/>
      </c>
    </row>
    <row r="9267">
      <c r="A9267">
        <f>Input!A9267</f>
        <v/>
      </c>
      <c r="B9267">
        <f>IF(ISNUMBER(Input!B9267),IF(AND(Input!B9267&gt;=20,Input!B9267&lt;=700),Input!B9267,""),"")</f>
        <v/>
      </c>
      <c r="C9267">
        <f>IF(B9267="","",INT(A9267))</f>
        <v/>
      </c>
      <c r="D9267">
        <f>IF(B9267="","",HOUR(A9267))</f>
        <v/>
      </c>
    </row>
    <row r="9268">
      <c r="A9268">
        <f>Input!A9268</f>
        <v/>
      </c>
      <c r="B9268">
        <f>IF(ISNUMBER(Input!B9268),IF(AND(Input!B9268&gt;=20,Input!B9268&lt;=700),Input!B9268,""),"")</f>
        <v/>
      </c>
      <c r="C9268">
        <f>IF(B9268="","",INT(A9268))</f>
        <v/>
      </c>
      <c r="D9268">
        <f>IF(B9268="","",HOUR(A9268))</f>
        <v/>
      </c>
    </row>
    <row r="9269">
      <c r="A9269">
        <f>Input!A9269</f>
        <v/>
      </c>
      <c r="B9269">
        <f>IF(ISNUMBER(Input!B9269),IF(AND(Input!B9269&gt;=20,Input!B9269&lt;=700),Input!B9269,""),"")</f>
        <v/>
      </c>
      <c r="C9269">
        <f>IF(B9269="","",INT(A9269))</f>
        <v/>
      </c>
      <c r="D9269">
        <f>IF(B9269="","",HOUR(A9269))</f>
        <v/>
      </c>
    </row>
    <row r="9270">
      <c r="A9270">
        <f>Input!A9270</f>
        <v/>
      </c>
      <c r="B9270">
        <f>IF(ISNUMBER(Input!B9270),IF(AND(Input!B9270&gt;=20,Input!B9270&lt;=700),Input!B9270,""),"")</f>
        <v/>
      </c>
      <c r="C9270">
        <f>IF(B9270="","",INT(A9270))</f>
        <v/>
      </c>
      <c r="D9270">
        <f>IF(B9270="","",HOUR(A9270))</f>
        <v/>
      </c>
    </row>
    <row r="9271">
      <c r="A9271">
        <f>Input!A9271</f>
        <v/>
      </c>
      <c r="B9271">
        <f>IF(ISNUMBER(Input!B9271),IF(AND(Input!B9271&gt;=20,Input!B9271&lt;=700),Input!B9271,""),"")</f>
        <v/>
      </c>
      <c r="C9271">
        <f>IF(B9271="","",INT(A9271))</f>
        <v/>
      </c>
      <c r="D9271">
        <f>IF(B9271="","",HOUR(A9271))</f>
        <v/>
      </c>
    </row>
    <row r="9272">
      <c r="A9272">
        <f>Input!A9272</f>
        <v/>
      </c>
      <c r="B9272">
        <f>IF(ISNUMBER(Input!B9272),IF(AND(Input!B9272&gt;=20,Input!B9272&lt;=700),Input!B9272,""),"")</f>
        <v/>
      </c>
      <c r="C9272">
        <f>IF(B9272="","",INT(A9272))</f>
        <v/>
      </c>
      <c r="D9272">
        <f>IF(B9272="","",HOUR(A9272))</f>
        <v/>
      </c>
    </row>
    <row r="9273">
      <c r="A9273">
        <f>Input!A9273</f>
        <v/>
      </c>
      <c r="B9273">
        <f>IF(ISNUMBER(Input!B9273),IF(AND(Input!B9273&gt;=20,Input!B9273&lt;=700),Input!B9273,""),"")</f>
        <v/>
      </c>
      <c r="C9273">
        <f>IF(B9273="","",INT(A9273))</f>
        <v/>
      </c>
      <c r="D9273">
        <f>IF(B9273="","",HOUR(A9273))</f>
        <v/>
      </c>
    </row>
    <row r="9274">
      <c r="A9274">
        <f>Input!A9274</f>
        <v/>
      </c>
      <c r="B9274">
        <f>IF(ISNUMBER(Input!B9274),IF(AND(Input!B9274&gt;=20,Input!B9274&lt;=700),Input!B9274,""),"")</f>
        <v/>
      </c>
      <c r="C9274">
        <f>IF(B9274="","",INT(A9274))</f>
        <v/>
      </c>
      <c r="D9274">
        <f>IF(B9274="","",HOUR(A9274))</f>
        <v/>
      </c>
    </row>
    <row r="9275">
      <c r="A9275">
        <f>Input!A9275</f>
        <v/>
      </c>
      <c r="B9275">
        <f>IF(ISNUMBER(Input!B9275),IF(AND(Input!B9275&gt;=20,Input!B9275&lt;=700),Input!B9275,""),"")</f>
        <v/>
      </c>
      <c r="C9275">
        <f>IF(B9275="","",INT(A9275))</f>
        <v/>
      </c>
      <c r="D9275">
        <f>IF(B9275="","",HOUR(A9275))</f>
        <v/>
      </c>
    </row>
    <row r="9276">
      <c r="A9276">
        <f>Input!A9276</f>
        <v/>
      </c>
      <c r="B9276">
        <f>IF(ISNUMBER(Input!B9276),IF(AND(Input!B9276&gt;=20,Input!B9276&lt;=700),Input!B9276,""),"")</f>
        <v/>
      </c>
      <c r="C9276">
        <f>IF(B9276="","",INT(A9276))</f>
        <v/>
      </c>
      <c r="D9276">
        <f>IF(B9276="","",HOUR(A9276))</f>
        <v/>
      </c>
    </row>
    <row r="9277">
      <c r="A9277">
        <f>Input!A9277</f>
        <v/>
      </c>
      <c r="B9277">
        <f>IF(ISNUMBER(Input!B9277),IF(AND(Input!B9277&gt;=20,Input!B9277&lt;=700),Input!B9277,""),"")</f>
        <v/>
      </c>
      <c r="C9277">
        <f>IF(B9277="","",INT(A9277))</f>
        <v/>
      </c>
      <c r="D9277">
        <f>IF(B9277="","",HOUR(A9277))</f>
        <v/>
      </c>
    </row>
    <row r="9278">
      <c r="A9278">
        <f>Input!A9278</f>
        <v/>
      </c>
      <c r="B9278">
        <f>IF(ISNUMBER(Input!B9278),IF(AND(Input!B9278&gt;=20,Input!B9278&lt;=700),Input!B9278,""),"")</f>
        <v/>
      </c>
      <c r="C9278">
        <f>IF(B9278="","",INT(A9278))</f>
        <v/>
      </c>
      <c r="D9278">
        <f>IF(B9278="","",HOUR(A9278))</f>
        <v/>
      </c>
    </row>
    <row r="9279">
      <c r="A9279">
        <f>Input!A9279</f>
        <v/>
      </c>
      <c r="B9279">
        <f>IF(ISNUMBER(Input!B9279),IF(AND(Input!B9279&gt;=20,Input!B9279&lt;=700),Input!B9279,""),"")</f>
        <v/>
      </c>
      <c r="C9279">
        <f>IF(B9279="","",INT(A9279))</f>
        <v/>
      </c>
      <c r="D9279">
        <f>IF(B9279="","",HOUR(A9279))</f>
        <v/>
      </c>
    </row>
    <row r="9280">
      <c r="A9280">
        <f>Input!A9280</f>
        <v/>
      </c>
      <c r="B9280">
        <f>IF(ISNUMBER(Input!B9280),IF(AND(Input!B9280&gt;=20,Input!B9280&lt;=700),Input!B9280,""),"")</f>
        <v/>
      </c>
      <c r="C9280">
        <f>IF(B9280="","",INT(A9280))</f>
        <v/>
      </c>
      <c r="D9280">
        <f>IF(B9280="","",HOUR(A9280))</f>
        <v/>
      </c>
    </row>
    <row r="9281">
      <c r="A9281">
        <f>Input!A9281</f>
        <v/>
      </c>
      <c r="B9281">
        <f>IF(ISNUMBER(Input!B9281),IF(AND(Input!B9281&gt;=20,Input!B9281&lt;=700),Input!B9281,""),"")</f>
        <v/>
      </c>
      <c r="C9281">
        <f>IF(B9281="","",INT(A9281))</f>
        <v/>
      </c>
      <c r="D9281">
        <f>IF(B9281="","",HOUR(A9281))</f>
        <v/>
      </c>
    </row>
    <row r="9282">
      <c r="A9282">
        <f>Input!A9282</f>
        <v/>
      </c>
      <c r="B9282">
        <f>IF(ISNUMBER(Input!B9282),IF(AND(Input!B9282&gt;=20,Input!B9282&lt;=700),Input!B9282,""),"")</f>
        <v/>
      </c>
      <c r="C9282">
        <f>IF(B9282="","",INT(A9282))</f>
        <v/>
      </c>
      <c r="D9282">
        <f>IF(B9282="","",HOUR(A9282))</f>
        <v/>
      </c>
    </row>
    <row r="9283">
      <c r="A9283">
        <f>Input!A9283</f>
        <v/>
      </c>
      <c r="B9283">
        <f>IF(ISNUMBER(Input!B9283),IF(AND(Input!B9283&gt;=20,Input!B9283&lt;=700),Input!B9283,""),"")</f>
        <v/>
      </c>
      <c r="C9283">
        <f>IF(B9283="","",INT(A9283))</f>
        <v/>
      </c>
      <c r="D9283">
        <f>IF(B9283="","",HOUR(A9283))</f>
        <v/>
      </c>
    </row>
    <row r="9284">
      <c r="A9284">
        <f>Input!A9284</f>
        <v/>
      </c>
      <c r="B9284">
        <f>IF(ISNUMBER(Input!B9284),IF(AND(Input!B9284&gt;=20,Input!B9284&lt;=700),Input!B9284,""),"")</f>
        <v/>
      </c>
      <c r="C9284">
        <f>IF(B9284="","",INT(A9284))</f>
        <v/>
      </c>
      <c r="D9284">
        <f>IF(B9284="","",HOUR(A9284))</f>
        <v/>
      </c>
    </row>
    <row r="9285">
      <c r="A9285">
        <f>Input!A9285</f>
        <v/>
      </c>
      <c r="B9285">
        <f>IF(ISNUMBER(Input!B9285),IF(AND(Input!B9285&gt;=20,Input!B9285&lt;=700),Input!B9285,""),"")</f>
        <v/>
      </c>
      <c r="C9285">
        <f>IF(B9285="","",INT(A9285))</f>
        <v/>
      </c>
      <c r="D9285">
        <f>IF(B9285="","",HOUR(A9285))</f>
        <v/>
      </c>
    </row>
    <row r="9286">
      <c r="A9286">
        <f>Input!A9286</f>
        <v/>
      </c>
      <c r="B9286">
        <f>IF(ISNUMBER(Input!B9286),IF(AND(Input!B9286&gt;=20,Input!B9286&lt;=700),Input!B9286,""),"")</f>
        <v/>
      </c>
      <c r="C9286">
        <f>IF(B9286="","",INT(A9286))</f>
        <v/>
      </c>
      <c r="D9286">
        <f>IF(B9286="","",HOUR(A9286))</f>
        <v/>
      </c>
    </row>
    <row r="9287">
      <c r="A9287">
        <f>Input!A9287</f>
        <v/>
      </c>
      <c r="B9287">
        <f>IF(ISNUMBER(Input!B9287),IF(AND(Input!B9287&gt;=20,Input!B9287&lt;=700),Input!B9287,""),"")</f>
        <v/>
      </c>
      <c r="C9287">
        <f>IF(B9287="","",INT(A9287))</f>
        <v/>
      </c>
      <c r="D9287">
        <f>IF(B9287="","",HOUR(A9287))</f>
        <v/>
      </c>
    </row>
    <row r="9288">
      <c r="A9288">
        <f>Input!A9288</f>
        <v/>
      </c>
      <c r="B9288">
        <f>IF(ISNUMBER(Input!B9288),IF(AND(Input!B9288&gt;=20,Input!B9288&lt;=700),Input!B9288,""),"")</f>
        <v/>
      </c>
      <c r="C9288">
        <f>IF(B9288="","",INT(A9288))</f>
        <v/>
      </c>
      <c r="D9288">
        <f>IF(B9288="","",HOUR(A9288))</f>
        <v/>
      </c>
    </row>
    <row r="9289">
      <c r="A9289">
        <f>Input!A9289</f>
        <v/>
      </c>
      <c r="B9289">
        <f>IF(ISNUMBER(Input!B9289),IF(AND(Input!B9289&gt;=20,Input!B9289&lt;=700),Input!B9289,""),"")</f>
        <v/>
      </c>
      <c r="C9289">
        <f>IF(B9289="","",INT(A9289))</f>
        <v/>
      </c>
      <c r="D9289">
        <f>IF(B9289="","",HOUR(A9289))</f>
        <v/>
      </c>
    </row>
    <row r="9290">
      <c r="A9290">
        <f>Input!A9290</f>
        <v/>
      </c>
      <c r="B9290">
        <f>IF(ISNUMBER(Input!B9290),IF(AND(Input!B9290&gt;=20,Input!B9290&lt;=700),Input!B9290,""),"")</f>
        <v/>
      </c>
      <c r="C9290">
        <f>IF(B9290="","",INT(A9290))</f>
        <v/>
      </c>
      <c r="D9290">
        <f>IF(B9290="","",HOUR(A9290))</f>
        <v/>
      </c>
    </row>
    <row r="9291">
      <c r="A9291">
        <f>Input!A9291</f>
        <v/>
      </c>
      <c r="B9291">
        <f>IF(ISNUMBER(Input!B9291),IF(AND(Input!B9291&gt;=20,Input!B9291&lt;=700),Input!B9291,""),"")</f>
        <v/>
      </c>
      <c r="C9291">
        <f>IF(B9291="","",INT(A9291))</f>
        <v/>
      </c>
      <c r="D9291">
        <f>IF(B9291="","",HOUR(A9291))</f>
        <v/>
      </c>
    </row>
    <row r="9292">
      <c r="A9292">
        <f>Input!A9292</f>
        <v/>
      </c>
      <c r="B9292">
        <f>IF(ISNUMBER(Input!B9292),IF(AND(Input!B9292&gt;=20,Input!B9292&lt;=700),Input!B9292,""),"")</f>
        <v/>
      </c>
      <c r="C9292">
        <f>IF(B9292="","",INT(A9292))</f>
        <v/>
      </c>
      <c r="D9292">
        <f>IF(B9292="","",HOUR(A9292))</f>
        <v/>
      </c>
    </row>
    <row r="9293">
      <c r="A9293">
        <f>Input!A9293</f>
        <v/>
      </c>
      <c r="B9293">
        <f>IF(ISNUMBER(Input!B9293),IF(AND(Input!B9293&gt;=20,Input!B9293&lt;=700),Input!B9293,""),"")</f>
        <v/>
      </c>
      <c r="C9293">
        <f>IF(B9293="","",INT(A9293))</f>
        <v/>
      </c>
      <c r="D9293">
        <f>IF(B9293="","",HOUR(A9293))</f>
        <v/>
      </c>
    </row>
    <row r="9294">
      <c r="A9294">
        <f>Input!A9294</f>
        <v/>
      </c>
      <c r="B9294">
        <f>IF(ISNUMBER(Input!B9294),IF(AND(Input!B9294&gt;=20,Input!B9294&lt;=700),Input!B9294,""),"")</f>
        <v/>
      </c>
      <c r="C9294">
        <f>IF(B9294="","",INT(A9294))</f>
        <v/>
      </c>
      <c r="D9294">
        <f>IF(B9294="","",HOUR(A9294))</f>
        <v/>
      </c>
    </row>
    <row r="9295">
      <c r="A9295">
        <f>Input!A9295</f>
        <v/>
      </c>
      <c r="B9295">
        <f>IF(ISNUMBER(Input!B9295),IF(AND(Input!B9295&gt;=20,Input!B9295&lt;=700),Input!B9295,""),"")</f>
        <v/>
      </c>
      <c r="C9295">
        <f>IF(B9295="","",INT(A9295))</f>
        <v/>
      </c>
      <c r="D9295">
        <f>IF(B9295="","",HOUR(A9295))</f>
        <v/>
      </c>
    </row>
    <row r="9296">
      <c r="A9296">
        <f>Input!A9296</f>
        <v/>
      </c>
      <c r="B9296">
        <f>IF(ISNUMBER(Input!B9296),IF(AND(Input!B9296&gt;=20,Input!B9296&lt;=700),Input!B9296,""),"")</f>
        <v/>
      </c>
      <c r="C9296">
        <f>IF(B9296="","",INT(A9296))</f>
        <v/>
      </c>
      <c r="D9296">
        <f>IF(B9296="","",HOUR(A9296))</f>
        <v/>
      </c>
    </row>
    <row r="9297">
      <c r="A9297">
        <f>Input!A9297</f>
        <v/>
      </c>
      <c r="B9297">
        <f>IF(ISNUMBER(Input!B9297),IF(AND(Input!B9297&gt;=20,Input!B9297&lt;=700),Input!B9297,""),"")</f>
        <v/>
      </c>
      <c r="C9297">
        <f>IF(B9297="","",INT(A9297))</f>
        <v/>
      </c>
      <c r="D9297">
        <f>IF(B9297="","",HOUR(A9297))</f>
        <v/>
      </c>
    </row>
    <row r="9298">
      <c r="A9298">
        <f>Input!A9298</f>
        <v/>
      </c>
      <c r="B9298">
        <f>IF(ISNUMBER(Input!B9298),IF(AND(Input!B9298&gt;=20,Input!B9298&lt;=700),Input!B9298,""),"")</f>
        <v/>
      </c>
      <c r="C9298">
        <f>IF(B9298="","",INT(A9298))</f>
        <v/>
      </c>
      <c r="D9298">
        <f>IF(B9298="","",HOUR(A9298))</f>
        <v/>
      </c>
    </row>
    <row r="9299">
      <c r="A9299">
        <f>Input!A9299</f>
        <v/>
      </c>
      <c r="B9299">
        <f>IF(ISNUMBER(Input!B9299),IF(AND(Input!B9299&gt;=20,Input!B9299&lt;=700),Input!B9299,""),"")</f>
        <v/>
      </c>
      <c r="C9299">
        <f>IF(B9299="","",INT(A9299))</f>
        <v/>
      </c>
      <c r="D9299">
        <f>IF(B9299="","",HOUR(A9299))</f>
        <v/>
      </c>
    </row>
    <row r="9300">
      <c r="A9300">
        <f>Input!A9300</f>
        <v/>
      </c>
      <c r="B9300">
        <f>IF(ISNUMBER(Input!B9300),IF(AND(Input!B9300&gt;=20,Input!B9300&lt;=700),Input!B9300,""),"")</f>
        <v/>
      </c>
      <c r="C9300">
        <f>IF(B9300="","",INT(A9300))</f>
        <v/>
      </c>
      <c r="D9300">
        <f>IF(B9300="","",HOUR(A9300))</f>
        <v/>
      </c>
    </row>
    <row r="9301">
      <c r="A9301">
        <f>Input!A9301</f>
        <v/>
      </c>
      <c r="B9301">
        <f>IF(ISNUMBER(Input!B9301),IF(AND(Input!B9301&gt;=20,Input!B9301&lt;=700),Input!B9301,""),"")</f>
        <v/>
      </c>
      <c r="C9301">
        <f>IF(B9301="","",INT(A9301))</f>
        <v/>
      </c>
      <c r="D9301">
        <f>IF(B9301="","",HOUR(A9301))</f>
        <v/>
      </c>
    </row>
    <row r="9302">
      <c r="A9302">
        <f>Input!A9302</f>
        <v/>
      </c>
      <c r="B9302">
        <f>IF(ISNUMBER(Input!B9302),IF(AND(Input!B9302&gt;=20,Input!B9302&lt;=700),Input!B9302,""),"")</f>
        <v/>
      </c>
      <c r="C9302">
        <f>IF(B9302="","",INT(A9302))</f>
        <v/>
      </c>
      <c r="D9302">
        <f>IF(B9302="","",HOUR(A9302))</f>
        <v/>
      </c>
    </row>
    <row r="9303">
      <c r="A9303">
        <f>Input!A9303</f>
        <v/>
      </c>
      <c r="B9303">
        <f>IF(ISNUMBER(Input!B9303),IF(AND(Input!B9303&gt;=20,Input!B9303&lt;=700),Input!B9303,""),"")</f>
        <v/>
      </c>
      <c r="C9303">
        <f>IF(B9303="","",INT(A9303))</f>
        <v/>
      </c>
      <c r="D9303">
        <f>IF(B9303="","",HOUR(A9303))</f>
        <v/>
      </c>
    </row>
    <row r="9304">
      <c r="A9304">
        <f>Input!A9304</f>
        <v/>
      </c>
      <c r="B9304">
        <f>IF(ISNUMBER(Input!B9304),IF(AND(Input!B9304&gt;=20,Input!B9304&lt;=700),Input!B9304,""),"")</f>
        <v/>
      </c>
      <c r="C9304">
        <f>IF(B9304="","",INT(A9304))</f>
        <v/>
      </c>
      <c r="D9304">
        <f>IF(B9304="","",HOUR(A9304))</f>
        <v/>
      </c>
    </row>
    <row r="9305">
      <c r="A9305">
        <f>Input!A9305</f>
        <v/>
      </c>
      <c r="B9305">
        <f>IF(ISNUMBER(Input!B9305),IF(AND(Input!B9305&gt;=20,Input!B9305&lt;=700),Input!B9305,""),"")</f>
        <v/>
      </c>
      <c r="C9305">
        <f>IF(B9305="","",INT(A9305))</f>
        <v/>
      </c>
      <c r="D9305">
        <f>IF(B9305="","",HOUR(A9305))</f>
        <v/>
      </c>
    </row>
    <row r="9306">
      <c r="A9306">
        <f>Input!A9306</f>
        <v/>
      </c>
      <c r="B9306">
        <f>IF(ISNUMBER(Input!B9306),IF(AND(Input!B9306&gt;=20,Input!B9306&lt;=700),Input!B9306,""),"")</f>
        <v/>
      </c>
      <c r="C9306">
        <f>IF(B9306="","",INT(A9306))</f>
        <v/>
      </c>
      <c r="D9306">
        <f>IF(B9306="","",HOUR(A9306))</f>
        <v/>
      </c>
    </row>
    <row r="9307">
      <c r="A9307">
        <f>Input!A9307</f>
        <v/>
      </c>
      <c r="B9307">
        <f>IF(ISNUMBER(Input!B9307),IF(AND(Input!B9307&gt;=20,Input!B9307&lt;=700),Input!B9307,""),"")</f>
        <v/>
      </c>
      <c r="C9307">
        <f>IF(B9307="","",INT(A9307))</f>
        <v/>
      </c>
      <c r="D9307">
        <f>IF(B9307="","",HOUR(A9307))</f>
        <v/>
      </c>
    </row>
    <row r="9308">
      <c r="A9308">
        <f>Input!A9308</f>
        <v/>
      </c>
      <c r="B9308">
        <f>IF(ISNUMBER(Input!B9308),IF(AND(Input!B9308&gt;=20,Input!B9308&lt;=700),Input!B9308,""),"")</f>
        <v/>
      </c>
      <c r="C9308">
        <f>IF(B9308="","",INT(A9308))</f>
        <v/>
      </c>
      <c r="D9308">
        <f>IF(B9308="","",HOUR(A9308))</f>
        <v/>
      </c>
    </row>
    <row r="9309">
      <c r="A9309">
        <f>Input!A9309</f>
        <v/>
      </c>
      <c r="B9309">
        <f>IF(ISNUMBER(Input!B9309),IF(AND(Input!B9309&gt;=20,Input!B9309&lt;=700),Input!B9309,""),"")</f>
        <v/>
      </c>
      <c r="C9309">
        <f>IF(B9309="","",INT(A9309))</f>
        <v/>
      </c>
      <c r="D9309">
        <f>IF(B9309="","",HOUR(A9309))</f>
        <v/>
      </c>
    </row>
    <row r="9310">
      <c r="A9310">
        <f>Input!A9310</f>
        <v/>
      </c>
      <c r="B9310">
        <f>IF(ISNUMBER(Input!B9310),IF(AND(Input!B9310&gt;=20,Input!B9310&lt;=700),Input!B9310,""),"")</f>
        <v/>
      </c>
      <c r="C9310">
        <f>IF(B9310="","",INT(A9310))</f>
        <v/>
      </c>
      <c r="D9310">
        <f>IF(B9310="","",HOUR(A9310))</f>
        <v/>
      </c>
    </row>
    <row r="9311">
      <c r="A9311">
        <f>Input!A9311</f>
        <v/>
      </c>
      <c r="B9311">
        <f>IF(ISNUMBER(Input!B9311),IF(AND(Input!B9311&gt;=20,Input!B9311&lt;=700),Input!B9311,""),"")</f>
        <v/>
      </c>
      <c r="C9311">
        <f>IF(B9311="","",INT(A9311))</f>
        <v/>
      </c>
      <c r="D9311">
        <f>IF(B9311="","",HOUR(A9311))</f>
        <v/>
      </c>
    </row>
    <row r="9312">
      <c r="A9312">
        <f>Input!A9312</f>
        <v/>
      </c>
      <c r="B9312">
        <f>IF(ISNUMBER(Input!B9312),IF(AND(Input!B9312&gt;=20,Input!B9312&lt;=700),Input!B9312,""),"")</f>
        <v/>
      </c>
      <c r="C9312">
        <f>IF(B9312="","",INT(A9312))</f>
        <v/>
      </c>
      <c r="D9312">
        <f>IF(B9312="","",HOUR(A9312))</f>
        <v/>
      </c>
    </row>
    <row r="9313">
      <c r="A9313">
        <f>Input!A9313</f>
        <v/>
      </c>
      <c r="B9313">
        <f>IF(ISNUMBER(Input!B9313),IF(AND(Input!B9313&gt;=20,Input!B9313&lt;=700),Input!B9313,""),"")</f>
        <v/>
      </c>
      <c r="C9313">
        <f>IF(B9313="","",INT(A9313))</f>
        <v/>
      </c>
      <c r="D9313">
        <f>IF(B9313="","",HOUR(A9313))</f>
        <v/>
      </c>
    </row>
    <row r="9314">
      <c r="A9314">
        <f>Input!A9314</f>
        <v/>
      </c>
      <c r="B9314">
        <f>IF(ISNUMBER(Input!B9314),IF(AND(Input!B9314&gt;=20,Input!B9314&lt;=700),Input!B9314,""),"")</f>
        <v/>
      </c>
      <c r="C9314">
        <f>IF(B9314="","",INT(A9314))</f>
        <v/>
      </c>
      <c r="D9314">
        <f>IF(B9314="","",HOUR(A9314))</f>
        <v/>
      </c>
    </row>
    <row r="9315">
      <c r="A9315">
        <f>Input!A9315</f>
        <v/>
      </c>
      <c r="B9315">
        <f>IF(ISNUMBER(Input!B9315),IF(AND(Input!B9315&gt;=20,Input!B9315&lt;=700),Input!B9315,""),"")</f>
        <v/>
      </c>
      <c r="C9315">
        <f>IF(B9315="","",INT(A9315))</f>
        <v/>
      </c>
      <c r="D9315">
        <f>IF(B9315="","",HOUR(A9315))</f>
        <v/>
      </c>
    </row>
    <row r="9316">
      <c r="A9316">
        <f>Input!A9316</f>
        <v/>
      </c>
      <c r="B9316">
        <f>IF(ISNUMBER(Input!B9316),IF(AND(Input!B9316&gt;=20,Input!B9316&lt;=700),Input!B9316,""),"")</f>
        <v/>
      </c>
      <c r="C9316">
        <f>IF(B9316="","",INT(A9316))</f>
        <v/>
      </c>
      <c r="D9316">
        <f>IF(B9316="","",HOUR(A9316))</f>
        <v/>
      </c>
    </row>
    <row r="9317">
      <c r="A9317">
        <f>Input!A9317</f>
        <v/>
      </c>
      <c r="B9317">
        <f>IF(ISNUMBER(Input!B9317),IF(AND(Input!B9317&gt;=20,Input!B9317&lt;=700),Input!B9317,""),"")</f>
        <v/>
      </c>
      <c r="C9317">
        <f>IF(B9317="","",INT(A9317))</f>
        <v/>
      </c>
      <c r="D9317">
        <f>IF(B9317="","",HOUR(A9317))</f>
        <v/>
      </c>
    </row>
    <row r="9318">
      <c r="A9318">
        <f>Input!A9318</f>
        <v/>
      </c>
      <c r="B9318">
        <f>IF(ISNUMBER(Input!B9318),IF(AND(Input!B9318&gt;=20,Input!B9318&lt;=700),Input!B9318,""),"")</f>
        <v/>
      </c>
      <c r="C9318">
        <f>IF(B9318="","",INT(A9318))</f>
        <v/>
      </c>
      <c r="D9318">
        <f>IF(B9318="","",HOUR(A9318))</f>
        <v/>
      </c>
    </row>
    <row r="9319">
      <c r="A9319">
        <f>Input!A9319</f>
        <v/>
      </c>
      <c r="B9319">
        <f>IF(ISNUMBER(Input!B9319),IF(AND(Input!B9319&gt;=20,Input!B9319&lt;=700),Input!B9319,""),"")</f>
        <v/>
      </c>
      <c r="C9319">
        <f>IF(B9319="","",INT(A9319))</f>
        <v/>
      </c>
      <c r="D9319">
        <f>IF(B9319="","",HOUR(A9319))</f>
        <v/>
      </c>
    </row>
    <row r="9320">
      <c r="A9320">
        <f>Input!A9320</f>
        <v/>
      </c>
      <c r="B9320">
        <f>IF(ISNUMBER(Input!B9320),IF(AND(Input!B9320&gt;=20,Input!B9320&lt;=700),Input!B9320,""),"")</f>
        <v/>
      </c>
      <c r="C9320">
        <f>IF(B9320="","",INT(A9320))</f>
        <v/>
      </c>
      <c r="D9320">
        <f>IF(B9320="","",HOUR(A9320))</f>
        <v/>
      </c>
    </row>
    <row r="9321">
      <c r="A9321">
        <f>Input!A9321</f>
        <v/>
      </c>
      <c r="B9321">
        <f>IF(ISNUMBER(Input!B9321),IF(AND(Input!B9321&gt;=20,Input!B9321&lt;=700),Input!B9321,""),"")</f>
        <v/>
      </c>
      <c r="C9321">
        <f>IF(B9321="","",INT(A9321))</f>
        <v/>
      </c>
      <c r="D9321">
        <f>IF(B9321="","",HOUR(A9321))</f>
        <v/>
      </c>
    </row>
    <row r="9322">
      <c r="A9322">
        <f>Input!A9322</f>
        <v/>
      </c>
      <c r="B9322">
        <f>IF(ISNUMBER(Input!B9322),IF(AND(Input!B9322&gt;=20,Input!B9322&lt;=700),Input!B9322,""),"")</f>
        <v/>
      </c>
      <c r="C9322">
        <f>IF(B9322="","",INT(A9322))</f>
        <v/>
      </c>
      <c r="D9322">
        <f>IF(B9322="","",HOUR(A9322))</f>
        <v/>
      </c>
    </row>
    <row r="9323">
      <c r="A9323">
        <f>Input!A9323</f>
        <v/>
      </c>
      <c r="B9323">
        <f>IF(ISNUMBER(Input!B9323),IF(AND(Input!B9323&gt;=20,Input!B9323&lt;=700),Input!B9323,""),"")</f>
        <v/>
      </c>
      <c r="C9323">
        <f>IF(B9323="","",INT(A9323))</f>
        <v/>
      </c>
      <c r="D9323">
        <f>IF(B9323="","",HOUR(A9323))</f>
        <v/>
      </c>
    </row>
    <row r="9324">
      <c r="A9324">
        <f>Input!A9324</f>
        <v/>
      </c>
      <c r="B9324">
        <f>IF(ISNUMBER(Input!B9324),IF(AND(Input!B9324&gt;=20,Input!B9324&lt;=700),Input!B9324,""),"")</f>
        <v/>
      </c>
      <c r="C9324">
        <f>IF(B9324="","",INT(A9324))</f>
        <v/>
      </c>
      <c r="D9324">
        <f>IF(B9324="","",HOUR(A9324))</f>
        <v/>
      </c>
    </row>
    <row r="9325">
      <c r="A9325">
        <f>Input!A9325</f>
        <v/>
      </c>
      <c r="B9325">
        <f>IF(ISNUMBER(Input!B9325),IF(AND(Input!B9325&gt;=20,Input!B9325&lt;=700),Input!B9325,""),"")</f>
        <v/>
      </c>
      <c r="C9325">
        <f>IF(B9325="","",INT(A9325))</f>
        <v/>
      </c>
      <c r="D9325">
        <f>IF(B9325="","",HOUR(A9325))</f>
        <v/>
      </c>
    </row>
    <row r="9326">
      <c r="A9326">
        <f>Input!A9326</f>
        <v/>
      </c>
      <c r="B9326">
        <f>IF(ISNUMBER(Input!B9326),IF(AND(Input!B9326&gt;=20,Input!B9326&lt;=700),Input!B9326,""),"")</f>
        <v/>
      </c>
      <c r="C9326">
        <f>IF(B9326="","",INT(A9326))</f>
        <v/>
      </c>
      <c r="D9326">
        <f>IF(B9326="","",HOUR(A9326))</f>
        <v/>
      </c>
    </row>
    <row r="9327">
      <c r="A9327">
        <f>Input!A9327</f>
        <v/>
      </c>
      <c r="B9327">
        <f>IF(ISNUMBER(Input!B9327),IF(AND(Input!B9327&gt;=20,Input!B9327&lt;=700),Input!B9327,""),"")</f>
        <v/>
      </c>
      <c r="C9327">
        <f>IF(B9327="","",INT(A9327))</f>
        <v/>
      </c>
      <c r="D9327">
        <f>IF(B9327="","",HOUR(A9327))</f>
        <v/>
      </c>
    </row>
    <row r="9328">
      <c r="A9328">
        <f>Input!A9328</f>
        <v/>
      </c>
      <c r="B9328">
        <f>IF(ISNUMBER(Input!B9328),IF(AND(Input!B9328&gt;=20,Input!B9328&lt;=700),Input!B9328,""),"")</f>
        <v/>
      </c>
      <c r="C9328">
        <f>IF(B9328="","",INT(A9328))</f>
        <v/>
      </c>
      <c r="D9328">
        <f>IF(B9328="","",HOUR(A9328))</f>
        <v/>
      </c>
    </row>
    <row r="9329">
      <c r="A9329">
        <f>Input!A9329</f>
        <v/>
      </c>
      <c r="B9329">
        <f>IF(ISNUMBER(Input!B9329),IF(AND(Input!B9329&gt;=20,Input!B9329&lt;=700),Input!B9329,""),"")</f>
        <v/>
      </c>
      <c r="C9329">
        <f>IF(B9329="","",INT(A9329))</f>
        <v/>
      </c>
      <c r="D9329">
        <f>IF(B9329="","",HOUR(A9329))</f>
        <v/>
      </c>
    </row>
    <row r="9330">
      <c r="A9330">
        <f>Input!A9330</f>
        <v/>
      </c>
      <c r="B9330">
        <f>IF(ISNUMBER(Input!B9330),IF(AND(Input!B9330&gt;=20,Input!B9330&lt;=700),Input!B9330,""),"")</f>
        <v/>
      </c>
      <c r="C9330">
        <f>IF(B9330="","",INT(A9330))</f>
        <v/>
      </c>
      <c r="D9330">
        <f>IF(B9330="","",HOUR(A9330))</f>
        <v/>
      </c>
    </row>
    <row r="9331">
      <c r="A9331">
        <f>Input!A9331</f>
        <v/>
      </c>
      <c r="B9331">
        <f>IF(ISNUMBER(Input!B9331),IF(AND(Input!B9331&gt;=20,Input!B9331&lt;=700),Input!B9331,""),"")</f>
        <v/>
      </c>
      <c r="C9331">
        <f>IF(B9331="","",INT(A9331))</f>
        <v/>
      </c>
      <c r="D9331">
        <f>IF(B9331="","",HOUR(A9331))</f>
        <v/>
      </c>
    </row>
    <row r="9332">
      <c r="A9332">
        <f>Input!A9332</f>
        <v/>
      </c>
      <c r="B9332">
        <f>IF(ISNUMBER(Input!B9332),IF(AND(Input!B9332&gt;=20,Input!B9332&lt;=700),Input!B9332,""),"")</f>
        <v/>
      </c>
      <c r="C9332">
        <f>IF(B9332="","",INT(A9332))</f>
        <v/>
      </c>
      <c r="D9332">
        <f>IF(B9332="","",HOUR(A9332))</f>
        <v/>
      </c>
    </row>
    <row r="9333">
      <c r="A9333">
        <f>Input!A9333</f>
        <v/>
      </c>
      <c r="B9333">
        <f>IF(ISNUMBER(Input!B9333),IF(AND(Input!B9333&gt;=20,Input!B9333&lt;=700),Input!B9333,""),"")</f>
        <v/>
      </c>
      <c r="C9333">
        <f>IF(B9333="","",INT(A9333))</f>
        <v/>
      </c>
      <c r="D9333">
        <f>IF(B9333="","",HOUR(A9333))</f>
        <v/>
      </c>
    </row>
    <row r="9334">
      <c r="A9334">
        <f>Input!A9334</f>
        <v/>
      </c>
      <c r="B9334">
        <f>IF(ISNUMBER(Input!B9334),IF(AND(Input!B9334&gt;=20,Input!B9334&lt;=700),Input!B9334,""),"")</f>
        <v/>
      </c>
      <c r="C9334">
        <f>IF(B9334="","",INT(A9334))</f>
        <v/>
      </c>
      <c r="D9334">
        <f>IF(B9334="","",HOUR(A9334))</f>
        <v/>
      </c>
    </row>
    <row r="9335">
      <c r="A9335">
        <f>Input!A9335</f>
        <v/>
      </c>
      <c r="B9335">
        <f>IF(ISNUMBER(Input!B9335),IF(AND(Input!B9335&gt;=20,Input!B9335&lt;=700),Input!B9335,""),"")</f>
        <v/>
      </c>
      <c r="C9335">
        <f>IF(B9335="","",INT(A9335))</f>
        <v/>
      </c>
      <c r="D9335">
        <f>IF(B9335="","",HOUR(A9335))</f>
        <v/>
      </c>
    </row>
    <row r="9336">
      <c r="A9336">
        <f>Input!A9336</f>
        <v/>
      </c>
      <c r="B9336">
        <f>IF(ISNUMBER(Input!B9336),IF(AND(Input!B9336&gt;=20,Input!B9336&lt;=700),Input!B9336,""),"")</f>
        <v/>
      </c>
      <c r="C9336">
        <f>IF(B9336="","",INT(A9336))</f>
        <v/>
      </c>
      <c r="D9336">
        <f>IF(B9336="","",HOUR(A9336))</f>
        <v/>
      </c>
    </row>
    <row r="9337">
      <c r="A9337">
        <f>Input!A9337</f>
        <v/>
      </c>
      <c r="B9337">
        <f>IF(ISNUMBER(Input!B9337),IF(AND(Input!B9337&gt;=20,Input!B9337&lt;=700),Input!B9337,""),"")</f>
        <v/>
      </c>
      <c r="C9337">
        <f>IF(B9337="","",INT(A9337))</f>
        <v/>
      </c>
      <c r="D9337">
        <f>IF(B9337="","",HOUR(A9337))</f>
        <v/>
      </c>
    </row>
    <row r="9338">
      <c r="A9338">
        <f>Input!A9338</f>
        <v/>
      </c>
      <c r="B9338">
        <f>IF(ISNUMBER(Input!B9338),IF(AND(Input!B9338&gt;=20,Input!B9338&lt;=700),Input!B9338,""),"")</f>
        <v/>
      </c>
      <c r="C9338">
        <f>IF(B9338="","",INT(A9338))</f>
        <v/>
      </c>
      <c r="D9338">
        <f>IF(B9338="","",HOUR(A9338))</f>
        <v/>
      </c>
    </row>
    <row r="9339">
      <c r="A9339">
        <f>Input!A9339</f>
        <v/>
      </c>
      <c r="B9339">
        <f>IF(ISNUMBER(Input!B9339),IF(AND(Input!B9339&gt;=20,Input!B9339&lt;=700),Input!B9339,""),"")</f>
        <v/>
      </c>
      <c r="C9339">
        <f>IF(B9339="","",INT(A9339))</f>
        <v/>
      </c>
      <c r="D9339">
        <f>IF(B9339="","",HOUR(A9339))</f>
        <v/>
      </c>
    </row>
    <row r="9340">
      <c r="A9340">
        <f>Input!A9340</f>
        <v/>
      </c>
      <c r="B9340">
        <f>IF(ISNUMBER(Input!B9340),IF(AND(Input!B9340&gt;=20,Input!B9340&lt;=700),Input!B9340,""),"")</f>
        <v/>
      </c>
      <c r="C9340">
        <f>IF(B9340="","",INT(A9340))</f>
        <v/>
      </c>
      <c r="D9340">
        <f>IF(B9340="","",HOUR(A9340))</f>
        <v/>
      </c>
    </row>
    <row r="9341">
      <c r="A9341">
        <f>Input!A9341</f>
        <v/>
      </c>
      <c r="B9341">
        <f>IF(ISNUMBER(Input!B9341),IF(AND(Input!B9341&gt;=20,Input!B9341&lt;=700),Input!B9341,""),"")</f>
        <v/>
      </c>
      <c r="C9341">
        <f>IF(B9341="","",INT(A9341))</f>
        <v/>
      </c>
      <c r="D9341">
        <f>IF(B9341="","",HOUR(A9341))</f>
        <v/>
      </c>
    </row>
    <row r="9342">
      <c r="A9342">
        <f>Input!A9342</f>
        <v/>
      </c>
      <c r="B9342">
        <f>IF(ISNUMBER(Input!B9342),IF(AND(Input!B9342&gt;=20,Input!B9342&lt;=700),Input!B9342,""),"")</f>
        <v/>
      </c>
      <c r="C9342">
        <f>IF(B9342="","",INT(A9342))</f>
        <v/>
      </c>
      <c r="D9342">
        <f>IF(B9342="","",HOUR(A9342))</f>
        <v/>
      </c>
    </row>
    <row r="9343">
      <c r="A9343">
        <f>Input!A9343</f>
        <v/>
      </c>
      <c r="B9343">
        <f>IF(ISNUMBER(Input!B9343),IF(AND(Input!B9343&gt;=20,Input!B9343&lt;=700),Input!B9343,""),"")</f>
        <v/>
      </c>
      <c r="C9343">
        <f>IF(B9343="","",INT(A9343))</f>
        <v/>
      </c>
      <c r="D9343">
        <f>IF(B9343="","",HOUR(A9343))</f>
        <v/>
      </c>
    </row>
    <row r="9344">
      <c r="A9344">
        <f>Input!A9344</f>
        <v/>
      </c>
      <c r="B9344">
        <f>IF(ISNUMBER(Input!B9344),IF(AND(Input!B9344&gt;=20,Input!B9344&lt;=700),Input!B9344,""),"")</f>
        <v/>
      </c>
      <c r="C9344">
        <f>IF(B9344="","",INT(A9344))</f>
        <v/>
      </c>
      <c r="D9344">
        <f>IF(B9344="","",HOUR(A9344))</f>
        <v/>
      </c>
    </row>
    <row r="9345">
      <c r="A9345">
        <f>Input!A9345</f>
        <v/>
      </c>
      <c r="B9345">
        <f>IF(ISNUMBER(Input!B9345),IF(AND(Input!B9345&gt;=20,Input!B9345&lt;=700),Input!B9345,""),"")</f>
        <v/>
      </c>
      <c r="C9345">
        <f>IF(B9345="","",INT(A9345))</f>
        <v/>
      </c>
      <c r="D9345">
        <f>IF(B9345="","",HOUR(A9345))</f>
        <v/>
      </c>
    </row>
    <row r="9346">
      <c r="A9346">
        <f>Input!A9346</f>
        <v/>
      </c>
      <c r="B9346">
        <f>IF(ISNUMBER(Input!B9346),IF(AND(Input!B9346&gt;=20,Input!B9346&lt;=700),Input!B9346,""),"")</f>
        <v/>
      </c>
      <c r="C9346">
        <f>IF(B9346="","",INT(A9346))</f>
        <v/>
      </c>
      <c r="D9346">
        <f>IF(B9346="","",HOUR(A9346))</f>
        <v/>
      </c>
    </row>
    <row r="9347">
      <c r="A9347">
        <f>Input!A9347</f>
        <v/>
      </c>
      <c r="B9347">
        <f>IF(ISNUMBER(Input!B9347),IF(AND(Input!B9347&gt;=20,Input!B9347&lt;=700),Input!B9347,""),"")</f>
        <v/>
      </c>
      <c r="C9347">
        <f>IF(B9347="","",INT(A9347))</f>
        <v/>
      </c>
      <c r="D9347">
        <f>IF(B9347="","",HOUR(A9347))</f>
        <v/>
      </c>
    </row>
    <row r="9348">
      <c r="A9348">
        <f>Input!A9348</f>
        <v/>
      </c>
      <c r="B9348">
        <f>IF(ISNUMBER(Input!B9348),IF(AND(Input!B9348&gt;=20,Input!B9348&lt;=700),Input!B9348,""),"")</f>
        <v/>
      </c>
      <c r="C9348">
        <f>IF(B9348="","",INT(A9348))</f>
        <v/>
      </c>
      <c r="D9348">
        <f>IF(B9348="","",HOUR(A9348))</f>
        <v/>
      </c>
    </row>
    <row r="9349">
      <c r="A9349">
        <f>Input!A9349</f>
        <v/>
      </c>
      <c r="B9349">
        <f>IF(ISNUMBER(Input!B9349),IF(AND(Input!B9349&gt;=20,Input!B9349&lt;=700),Input!B9349,""),"")</f>
        <v/>
      </c>
      <c r="C9349">
        <f>IF(B9349="","",INT(A9349))</f>
        <v/>
      </c>
      <c r="D9349">
        <f>IF(B9349="","",HOUR(A9349))</f>
        <v/>
      </c>
    </row>
    <row r="9350">
      <c r="A9350">
        <f>Input!A9350</f>
        <v/>
      </c>
      <c r="B9350">
        <f>IF(ISNUMBER(Input!B9350),IF(AND(Input!B9350&gt;=20,Input!B9350&lt;=700),Input!B9350,""),"")</f>
        <v/>
      </c>
      <c r="C9350">
        <f>IF(B9350="","",INT(A9350))</f>
        <v/>
      </c>
      <c r="D9350">
        <f>IF(B9350="","",HOUR(A9350))</f>
        <v/>
      </c>
    </row>
    <row r="9351">
      <c r="A9351">
        <f>Input!A9351</f>
        <v/>
      </c>
      <c r="B9351">
        <f>IF(ISNUMBER(Input!B9351),IF(AND(Input!B9351&gt;=20,Input!B9351&lt;=700),Input!B9351,""),"")</f>
        <v/>
      </c>
      <c r="C9351">
        <f>IF(B9351="","",INT(A9351))</f>
        <v/>
      </c>
      <c r="D9351">
        <f>IF(B9351="","",HOUR(A9351))</f>
        <v/>
      </c>
    </row>
    <row r="9352">
      <c r="A9352">
        <f>Input!A9352</f>
        <v/>
      </c>
      <c r="B9352">
        <f>IF(ISNUMBER(Input!B9352),IF(AND(Input!B9352&gt;=20,Input!B9352&lt;=700),Input!B9352,""),"")</f>
        <v/>
      </c>
      <c r="C9352">
        <f>IF(B9352="","",INT(A9352))</f>
        <v/>
      </c>
      <c r="D9352">
        <f>IF(B9352="","",HOUR(A9352))</f>
        <v/>
      </c>
    </row>
    <row r="9353">
      <c r="A9353">
        <f>Input!A9353</f>
        <v/>
      </c>
      <c r="B9353">
        <f>IF(ISNUMBER(Input!B9353),IF(AND(Input!B9353&gt;=20,Input!B9353&lt;=700),Input!B9353,""),"")</f>
        <v/>
      </c>
      <c r="C9353">
        <f>IF(B9353="","",INT(A9353))</f>
        <v/>
      </c>
      <c r="D9353">
        <f>IF(B9353="","",HOUR(A9353))</f>
        <v/>
      </c>
    </row>
    <row r="9354">
      <c r="A9354">
        <f>Input!A9354</f>
        <v/>
      </c>
      <c r="B9354">
        <f>IF(ISNUMBER(Input!B9354),IF(AND(Input!B9354&gt;=20,Input!B9354&lt;=700),Input!B9354,""),"")</f>
        <v/>
      </c>
      <c r="C9354">
        <f>IF(B9354="","",INT(A9354))</f>
        <v/>
      </c>
      <c r="D9354">
        <f>IF(B9354="","",HOUR(A9354))</f>
        <v/>
      </c>
    </row>
    <row r="9355">
      <c r="A9355">
        <f>Input!A9355</f>
        <v/>
      </c>
      <c r="B9355">
        <f>IF(ISNUMBER(Input!B9355),IF(AND(Input!B9355&gt;=20,Input!B9355&lt;=700),Input!B9355,""),"")</f>
        <v/>
      </c>
      <c r="C9355">
        <f>IF(B9355="","",INT(A9355))</f>
        <v/>
      </c>
      <c r="D9355">
        <f>IF(B9355="","",HOUR(A9355))</f>
        <v/>
      </c>
    </row>
    <row r="9356">
      <c r="A9356">
        <f>Input!A9356</f>
        <v/>
      </c>
      <c r="B9356">
        <f>IF(ISNUMBER(Input!B9356),IF(AND(Input!B9356&gt;=20,Input!B9356&lt;=700),Input!B9356,""),"")</f>
        <v/>
      </c>
      <c r="C9356">
        <f>IF(B9356="","",INT(A9356))</f>
        <v/>
      </c>
      <c r="D9356">
        <f>IF(B9356="","",HOUR(A9356))</f>
        <v/>
      </c>
    </row>
    <row r="9357">
      <c r="A9357">
        <f>Input!A9357</f>
        <v/>
      </c>
      <c r="B9357">
        <f>IF(ISNUMBER(Input!B9357),IF(AND(Input!B9357&gt;=20,Input!B9357&lt;=700),Input!B9357,""),"")</f>
        <v/>
      </c>
      <c r="C9357">
        <f>IF(B9357="","",INT(A9357))</f>
        <v/>
      </c>
      <c r="D9357">
        <f>IF(B9357="","",HOUR(A9357))</f>
        <v/>
      </c>
    </row>
    <row r="9358">
      <c r="A9358">
        <f>Input!A9358</f>
        <v/>
      </c>
      <c r="B9358">
        <f>IF(ISNUMBER(Input!B9358),IF(AND(Input!B9358&gt;=20,Input!B9358&lt;=700),Input!B9358,""),"")</f>
        <v/>
      </c>
      <c r="C9358">
        <f>IF(B9358="","",INT(A9358))</f>
        <v/>
      </c>
      <c r="D9358">
        <f>IF(B9358="","",HOUR(A9358))</f>
        <v/>
      </c>
    </row>
    <row r="9359">
      <c r="A9359">
        <f>Input!A9359</f>
        <v/>
      </c>
      <c r="B9359">
        <f>IF(ISNUMBER(Input!B9359),IF(AND(Input!B9359&gt;=20,Input!B9359&lt;=700),Input!B9359,""),"")</f>
        <v/>
      </c>
      <c r="C9359">
        <f>IF(B9359="","",INT(A9359))</f>
        <v/>
      </c>
      <c r="D9359">
        <f>IF(B9359="","",HOUR(A9359))</f>
        <v/>
      </c>
    </row>
    <row r="9360">
      <c r="A9360">
        <f>Input!A9360</f>
        <v/>
      </c>
      <c r="B9360">
        <f>IF(ISNUMBER(Input!B9360),IF(AND(Input!B9360&gt;=20,Input!B9360&lt;=700),Input!B9360,""),"")</f>
        <v/>
      </c>
      <c r="C9360">
        <f>IF(B9360="","",INT(A9360))</f>
        <v/>
      </c>
      <c r="D9360">
        <f>IF(B9360="","",HOUR(A9360))</f>
        <v/>
      </c>
    </row>
    <row r="9361">
      <c r="A9361">
        <f>Input!A9361</f>
        <v/>
      </c>
      <c r="B9361">
        <f>IF(ISNUMBER(Input!B9361),IF(AND(Input!B9361&gt;=20,Input!B9361&lt;=700),Input!B9361,""),"")</f>
        <v/>
      </c>
      <c r="C9361">
        <f>IF(B9361="","",INT(A9361))</f>
        <v/>
      </c>
      <c r="D9361">
        <f>IF(B9361="","",HOUR(A9361))</f>
        <v/>
      </c>
    </row>
    <row r="9362">
      <c r="A9362">
        <f>Input!A9362</f>
        <v/>
      </c>
      <c r="B9362">
        <f>IF(ISNUMBER(Input!B9362),IF(AND(Input!B9362&gt;=20,Input!B9362&lt;=700),Input!B9362,""),"")</f>
        <v/>
      </c>
      <c r="C9362">
        <f>IF(B9362="","",INT(A9362))</f>
        <v/>
      </c>
      <c r="D9362">
        <f>IF(B9362="","",HOUR(A9362))</f>
        <v/>
      </c>
    </row>
    <row r="9363">
      <c r="A9363">
        <f>Input!A9363</f>
        <v/>
      </c>
      <c r="B9363">
        <f>IF(ISNUMBER(Input!B9363),IF(AND(Input!B9363&gt;=20,Input!B9363&lt;=700),Input!B9363,""),"")</f>
        <v/>
      </c>
      <c r="C9363">
        <f>IF(B9363="","",INT(A9363))</f>
        <v/>
      </c>
      <c r="D9363">
        <f>IF(B9363="","",HOUR(A9363))</f>
        <v/>
      </c>
    </row>
    <row r="9364">
      <c r="A9364">
        <f>Input!A9364</f>
        <v/>
      </c>
      <c r="B9364">
        <f>IF(ISNUMBER(Input!B9364),IF(AND(Input!B9364&gt;=20,Input!B9364&lt;=700),Input!B9364,""),"")</f>
        <v/>
      </c>
      <c r="C9364">
        <f>IF(B9364="","",INT(A9364))</f>
        <v/>
      </c>
      <c r="D9364">
        <f>IF(B9364="","",HOUR(A9364))</f>
        <v/>
      </c>
    </row>
    <row r="9365">
      <c r="A9365">
        <f>Input!A9365</f>
        <v/>
      </c>
      <c r="B9365">
        <f>IF(ISNUMBER(Input!B9365),IF(AND(Input!B9365&gt;=20,Input!B9365&lt;=700),Input!B9365,""),"")</f>
        <v/>
      </c>
      <c r="C9365">
        <f>IF(B9365="","",INT(A9365))</f>
        <v/>
      </c>
      <c r="D9365">
        <f>IF(B9365="","",HOUR(A9365))</f>
        <v/>
      </c>
    </row>
    <row r="9366">
      <c r="A9366">
        <f>Input!A9366</f>
        <v/>
      </c>
      <c r="B9366">
        <f>IF(ISNUMBER(Input!B9366),IF(AND(Input!B9366&gt;=20,Input!B9366&lt;=700),Input!B9366,""),"")</f>
        <v/>
      </c>
      <c r="C9366">
        <f>IF(B9366="","",INT(A9366))</f>
        <v/>
      </c>
      <c r="D9366">
        <f>IF(B9366="","",HOUR(A9366))</f>
        <v/>
      </c>
    </row>
    <row r="9367">
      <c r="A9367">
        <f>Input!A9367</f>
        <v/>
      </c>
      <c r="B9367">
        <f>IF(ISNUMBER(Input!B9367),IF(AND(Input!B9367&gt;=20,Input!B9367&lt;=700),Input!B9367,""),"")</f>
        <v/>
      </c>
      <c r="C9367">
        <f>IF(B9367="","",INT(A9367))</f>
        <v/>
      </c>
      <c r="D9367">
        <f>IF(B9367="","",HOUR(A9367))</f>
        <v/>
      </c>
    </row>
    <row r="9368">
      <c r="A9368">
        <f>Input!A9368</f>
        <v/>
      </c>
      <c r="B9368">
        <f>IF(ISNUMBER(Input!B9368),IF(AND(Input!B9368&gt;=20,Input!B9368&lt;=700),Input!B9368,""),"")</f>
        <v/>
      </c>
      <c r="C9368">
        <f>IF(B9368="","",INT(A9368))</f>
        <v/>
      </c>
      <c r="D9368">
        <f>IF(B9368="","",HOUR(A9368))</f>
        <v/>
      </c>
    </row>
    <row r="9369">
      <c r="A9369">
        <f>Input!A9369</f>
        <v/>
      </c>
      <c r="B9369">
        <f>IF(ISNUMBER(Input!B9369),IF(AND(Input!B9369&gt;=20,Input!B9369&lt;=700),Input!B9369,""),"")</f>
        <v/>
      </c>
      <c r="C9369">
        <f>IF(B9369="","",INT(A9369))</f>
        <v/>
      </c>
      <c r="D9369">
        <f>IF(B9369="","",HOUR(A9369))</f>
        <v/>
      </c>
    </row>
    <row r="9370">
      <c r="A9370">
        <f>Input!A9370</f>
        <v/>
      </c>
      <c r="B9370">
        <f>IF(ISNUMBER(Input!B9370),IF(AND(Input!B9370&gt;=20,Input!B9370&lt;=700),Input!B9370,""),"")</f>
        <v/>
      </c>
      <c r="C9370">
        <f>IF(B9370="","",INT(A9370))</f>
        <v/>
      </c>
      <c r="D9370">
        <f>IF(B9370="","",HOUR(A9370))</f>
        <v/>
      </c>
    </row>
    <row r="9371">
      <c r="A9371">
        <f>Input!A9371</f>
        <v/>
      </c>
      <c r="B9371">
        <f>IF(ISNUMBER(Input!B9371),IF(AND(Input!B9371&gt;=20,Input!B9371&lt;=700),Input!B9371,""),"")</f>
        <v/>
      </c>
      <c r="C9371">
        <f>IF(B9371="","",INT(A9371))</f>
        <v/>
      </c>
      <c r="D9371">
        <f>IF(B9371="","",HOUR(A9371))</f>
        <v/>
      </c>
    </row>
    <row r="9372">
      <c r="A9372">
        <f>Input!A9372</f>
        <v/>
      </c>
      <c r="B9372">
        <f>IF(ISNUMBER(Input!B9372),IF(AND(Input!B9372&gt;=20,Input!B9372&lt;=700),Input!B9372,""),"")</f>
        <v/>
      </c>
      <c r="C9372">
        <f>IF(B9372="","",INT(A9372))</f>
        <v/>
      </c>
      <c r="D9372">
        <f>IF(B9372="","",HOUR(A9372))</f>
        <v/>
      </c>
    </row>
    <row r="9373">
      <c r="A9373">
        <f>Input!A9373</f>
        <v/>
      </c>
      <c r="B9373">
        <f>IF(ISNUMBER(Input!B9373),IF(AND(Input!B9373&gt;=20,Input!B9373&lt;=700),Input!B9373,""),"")</f>
        <v/>
      </c>
      <c r="C9373">
        <f>IF(B9373="","",INT(A9373))</f>
        <v/>
      </c>
      <c r="D9373">
        <f>IF(B9373="","",HOUR(A9373))</f>
        <v/>
      </c>
    </row>
    <row r="9374">
      <c r="A9374">
        <f>Input!A9374</f>
        <v/>
      </c>
      <c r="B9374">
        <f>IF(ISNUMBER(Input!B9374),IF(AND(Input!B9374&gt;=20,Input!B9374&lt;=700),Input!B9374,""),"")</f>
        <v/>
      </c>
      <c r="C9374">
        <f>IF(B9374="","",INT(A9374))</f>
        <v/>
      </c>
      <c r="D9374">
        <f>IF(B9374="","",HOUR(A9374))</f>
        <v/>
      </c>
    </row>
    <row r="9375">
      <c r="A9375">
        <f>Input!A9375</f>
        <v/>
      </c>
      <c r="B9375">
        <f>IF(ISNUMBER(Input!B9375),IF(AND(Input!B9375&gt;=20,Input!B9375&lt;=700),Input!B9375,""),"")</f>
        <v/>
      </c>
      <c r="C9375">
        <f>IF(B9375="","",INT(A9375))</f>
        <v/>
      </c>
      <c r="D9375">
        <f>IF(B9375="","",HOUR(A9375))</f>
        <v/>
      </c>
    </row>
    <row r="9376">
      <c r="A9376">
        <f>Input!A9376</f>
        <v/>
      </c>
      <c r="B9376">
        <f>IF(ISNUMBER(Input!B9376),IF(AND(Input!B9376&gt;=20,Input!B9376&lt;=700),Input!B9376,""),"")</f>
        <v/>
      </c>
      <c r="C9376">
        <f>IF(B9376="","",INT(A9376))</f>
        <v/>
      </c>
      <c r="D9376">
        <f>IF(B9376="","",HOUR(A9376))</f>
        <v/>
      </c>
    </row>
    <row r="9377">
      <c r="A9377">
        <f>Input!A9377</f>
        <v/>
      </c>
      <c r="B9377">
        <f>IF(ISNUMBER(Input!B9377),IF(AND(Input!B9377&gt;=20,Input!B9377&lt;=700),Input!B9377,""),"")</f>
        <v/>
      </c>
      <c r="C9377">
        <f>IF(B9377="","",INT(A9377))</f>
        <v/>
      </c>
      <c r="D9377">
        <f>IF(B9377="","",HOUR(A9377))</f>
        <v/>
      </c>
    </row>
    <row r="9378">
      <c r="A9378">
        <f>Input!A9378</f>
        <v/>
      </c>
      <c r="B9378">
        <f>IF(ISNUMBER(Input!B9378),IF(AND(Input!B9378&gt;=20,Input!B9378&lt;=700),Input!B9378,""),"")</f>
        <v/>
      </c>
      <c r="C9378">
        <f>IF(B9378="","",INT(A9378))</f>
        <v/>
      </c>
      <c r="D9378">
        <f>IF(B9378="","",HOUR(A9378))</f>
        <v/>
      </c>
    </row>
    <row r="9379">
      <c r="A9379">
        <f>Input!A9379</f>
        <v/>
      </c>
      <c r="B9379">
        <f>IF(ISNUMBER(Input!B9379),IF(AND(Input!B9379&gt;=20,Input!B9379&lt;=700),Input!B9379,""),"")</f>
        <v/>
      </c>
      <c r="C9379">
        <f>IF(B9379="","",INT(A9379))</f>
        <v/>
      </c>
      <c r="D9379">
        <f>IF(B9379="","",HOUR(A9379))</f>
        <v/>
      </c>
    </row>
    <row r="9380">
      <c r="A9380">
        <f>Input!A9380</f>
        <v/>
      </c>
      <c r="B9380">
        <f>IF(ISNUMBER(Input!B9380),IF(AND(Input!B9380&gt;=20,Input!B9380&lt;=700),Input!B9380,""),"")</f>
        <v/>
      </c>
      <c r="C9380">
        <f>IF(B9380="","",INT(A9380))</f>
        <v/>
      </c>
      <c r="D9380">
        <f>IF(B9380="","",HOUR(A9380))</f>
        <v/>
      </c>
    </row>
    <row r="9381">
      <c r="A9381">
        <f>Input!A9381</f>
        <v/>
      </c>
      <c r="B9381">
        <f>IF(ISNUMBER(Input!B9381),IF(AND(Input!B9381&gt;=20,Input!B9381&lt;=700),Input!B9381,""),"")</f>
        <v/>
      </c>
      <c r="C9381">
        <f>IF(B9381="","",INT(A9381))</f>
        <v/>
      </c>
      <c r="D9381">
        <f>IF(B9381="","",HOUR(A9381))</f>
        <v/>
      </c>
    </row>
    <row r="9382">
      <c r="A9382">
        <f>Input!A9382</f>
        <v/>
      </c>
      <c r="B9382">
        <f>IF(ISNUMBER(Input!B9382),IF(AND(Input!B9382&gt;=20,Input!B9382&lt;=700),Input!B9382,""),"")</f>
        <v/>
      </c>
      <c r="C9382">
        <f>IF(B9382="","",INT(A9382))</f>
        <v/>
      </c>
      <c r="D9382">
        <f>IF(B9382="","",HOUR(A9382))</f>
        <v/>
      </c>
    </row>
    <row r="9383">
      <c r="A9383">
        <f>Input!A9383</f>
        <v/>
      </c>
      <c r="B9383">
        <f>IF(ISNUMBER(Input!B9383),IF(AND(Input!B9383&gt;=20,Input!B9383&lt;=700),Input!B9383,""),"")</f>
        <v/>
      </c>
      <c r="C9383">
        <f>IF(B9383="","",INT(A9383))</f>
        <v/>
      </c>
      <c r="D9383">
        <f>IF(B9383="","",HOUR(A9383))</f>
        <v/>
      </c>
    </row>
    <row r="9384">
      <c r="A9384">
        <f>Input!A9384</f>
        <v/>
      </c>
      <c r="B9384">
        <f>IF(ISNUMBER(Input!B9384),IF(AND(Input!B9384&gt;=20,Input!B9384&lt;=700),Input!B9384,""),"")</f>
        <v/>
      </c>
      <c r="C9384">
        <f>IF(B9384="","",INT(A9384))</f>
        <v/>
      </c>
      <c r="D9384">
        <f>IF(B9384="","",HOUR(A9384))</f>
        <v/>
      </c>
    </row>
    <row r="9385">
      <c r="A9385">
        <f>Input!A9385</f>
        <v/>
      </c>
      <c r="B9385">
        <f>IF(ISNUMBER(Input!B9385),IF(AND(Input!B9385&gt;=20,Input!B9385&lt;=700),Input!B9385,""),"")</f>
        <v/>
      </c>
      <c r="C9385">
        <f>IF(B9385="","",INT(A9385))</f>
        <v/>
      </c>
      <c r="D9385">
        <f>IF(B9385="","",HOUR(A9385))</f>
        <v/>
      </c>
    </row>
    <row r="9386">
      <c r="A9386">
        <f>Input!A9386</f>
        <v/>
      </c>
      <c r="B9386">
        <f>IF(ISNUMBER(Input!B9386),IF(AND(Input!B9386&gt;=20,Input!B9386&lt;=700),Input!B9386,""),"")</f>
        <v/>
      </c>
      <c r="C9386">
        <f>IF(B9386="","",INT(A9386))</f>
        <v/>
      </c>
      <c r="D9386">
        <f>IF(B9386="","",HOUR(A9386))</f>
        <v/>
      </c>
    </row>
    <row r="9387">
      <c r="A9387">
        <f>Input!A9387</f>
        <v/>
      </c>
      <c r="B9387">
        <f>IF(ISNUMBER(Input!B9387),IF(AND(Input!B9387&gt;=20,Input!B9387&lt;=700),Input!B9387,""),"")</f>
        <v/>
      </c>
      <c r="C9387">
        <f>IF(B9387="","",INT(A9387))</f>
        <v/>
      </c>
      <c r="D9387">
        <f>IF(B9387="","",HOUR(A9387))</f>
        <v/>
      </c>
    </row>
    <row r="9388">
      <c r="A9388">
        <f>Input!A9388</f>
        <v/>
      </c>
      <c r="B9388">
        <f>IF(ISNUMBER(Input!B9388),IF(AND(Input!B9388&gt;=20,Input!B9388&lt;=700),Input!B9388,""),"")</f>
        <v/>
      </c>
      <c r="C9388">
        <f>IF(B9388="","",INT(A9388))</f>
        <v/>
      </c>
      <c r="D9388">
        <f>IF(B9388="","",HOUR(A9388))</f>
        <v/>
      </c>
    </row>
    <row r="9389">
      <c r="A9389">
        <f>Input!A9389</f>
        <v/>
      </c>
      <c r="B9389">
        <f>IF(ISNUMBER(Input!B9389),IF(AND(Input!B9389&gt;=20,Input!B9389&lt;=700),Input!B9389,""),"")</f>
        <v/>
      </c>
      <c r="C9389">
        <f>IF(B9389="","",INT(A9389))</f>
        <v/>
      </c>
      <c r="D9389">
        <f>IF(B9389="","",HOUR(A9389))</f>
        <v/>
      </c>
    </row>
    <row r="9390">
      <c r="A9390">
        <f>Input!A9390</f>
        <v/>
      </c>
      <c r="B9390">
        <f>IF(ISNUMBER(Input!B9390),IF(AND(Input!B9390&gt;=20,Input!B9390&lt;=700),Input!B9390,""),"")</f>
        <v/>
      </c>
      <c r="C9390">
        <f>IF(B9390="","",INT(A9390))</f>
        <v/>
      </c>
      <c r="D9390">
        <f>IF(B9390="","",HOUR(A9390))</f>
        <v/>
      </c>
    </row>
    <row r="9391">
      <c r="A9391">
        <f>Input!A9391</f>
        <v/>
      </c>
      <c r="B9391">
        <f>IF(ISNUMBER(Input!B9391),IF(AND(Input!B9391&gt;=20,Input!B9391&lt;=700),Input!B9391,""),"")</f>
        <v/>
      </c>
      <c r="C9391">
        <f>IF(B9391="","",INT(A9391))</f>
        <v/>
      </c>
      <c r="D9391">
        <f>IF(B9391="","",HOUR(A9391))</f>
        <v/>
      </c>
    </row>
    <row r="9392">
      <c r="A9392">
        <f>Input!A9392</f>
        <v/>
      </c>
      <c r="B9392">
        <f>IF(ISNUMBER(Input!B9392),IF(AND(Input!B9392&gt;=20,Input!B9392&lt;=700),Input!B9392,""),"")</f>
        <v/>
      </c>
      <c r="C9392">
        <f>IF(B9392="","",INT(A9392))</f>
        <v/>
      </c>
      <c r="D9392">
        <f>IF(B9392="","",HOUR(A9392))</f>
        <v/>
      </c>
    </row>
    <row r="9393">
      <c r="A9393">
        <f>Input!A9393</f>
        <v/>
      </c>
      <c r="B9393">
        <f>IF(ISNUMBER(Input!B9393),IF(AND(Input!B9393&gt;=20,Input!B9393&lt;=700),Input!B9393,""),"")</f>
        <v/>
      </c>
      <c r="C9393">
        <f>IF(B9393="","",INT(A9393))</f>
        <v/>
      </c>
      <c r="D9393">
        <f>IF(B9393="","",HOUR(A9393))</f>
        <v/>
      </c>
    </row>
    <row r="9394">
      <c r="A9394">
        <f>Input!A9394</f>
        <v/>
      </c>
      <c r="B9394">
        <f>IF(ISNUMBER(Input!B9394),IF(AND(Input!B9394&gt;=20,Input!B9394&lt;=700),Input!B9394,""),"")</f>
        <v/>
      </c>
      <c r="C9394">
        <f>IF(B9394="","",INT(A9394))</f>
        <v/>
      </c>
      <c r="D9394">
        <f>IF(B9394="","",HOUR(A9394))</f>
        <v/>
      </c>
    </row>
    <row r="9395">
      <c r="A9395">
        <f>Input!A9395</f>
        <v/>
      </c>
      <c r="B9395">
        <f>IF(ISNUMBER(Input!B9395),IF(AND(Input!B9395&gt;=20,Input!B9395&lt;=700),Input!B9395,""),"")</f>
        <v/>
      </c>
      <c r="C9395">
        <f>IF(B9395="","",INT(A9395))</f>
        <v/>
      </c>
      <c r="D9395">
        <f>IF(B9395="","",HOUR(A9395))</f>
        <v/>
      </c>
    </row>
    <row r="9396">
      <c r="A9396">
        <f>Input!A9396</f>
        <v/>
      </c>
      <c r="B9396">
        <f>IF(ISNUMBER(Input!B9396),IF(AND(Input!B9396&gt;=20,Input!B9396&lt;=700),Input!B9396,""),"")</f>
        <v/>
      </c>
      <c r="C9396">
        <f>IF(B9396="","",INT(A9396))</f>
        <v/>
      </c>
      <c r="D9396">
        <f>IF(B9396="","",HOUR(A9396))</f>
        <v/>
      </c>
    </row>
    <row r="9397">
      <c r="A9397">
        <f>Input!A9397</f>
        <v/>
      </c>
      <c r="B9397">
        <f>IF(ISNUMBER(Input!B9397),IF(AND(Input!B9397&gt;=20,Input!B9397&lt;=700),Input!B9397,""),"")</f>
        <v/>
      </c>
      <c r="C9397">
        <f>IF(B9397="","",INT(A9397))</f>
        <v/>
      </c>
      <c r="D9397">
        <f>IF(B9397="","",HOUR(A9397))</f>
        <v/>
      </c>
    </row>
    <row r="9398">
      <c r="A9398">
        <f>Input!A9398</f>
        <v/>
      </c>
      <c r="B9398">
        <f>IF(ISNUMBER(Input!B9398),IF(AND(Input!B9398&gt;=20,Input!B9398&lt;=700),Input!B9398,""),"")</f>
        <v/>
      </c>
      <c r="C9398">
        <f>IF(B9398="","",INT(A9398))</f>
        <v/>
      </c>
      <c r="D9398">
        <f>IF(B9398="","",HOUR(A9398))</f>
        <v/>
      </c>
    </row>
    <row r="9399">
      <c r="A9399">
        <f>Input!A9399</f>
        <v/>
      </c>
      <c r="B9399">
        <f>IF(ISNUMBER(Input!B9399),IF(AND(Input!B9399&gt;=20,Input!B9399&lt;=700),Input!B9399,""),"")</f>
        <v/>
      </c>
      <c r="C9399">
        <f>IF(B9399="","",INT(A9399))</f>
        <v/>
      </c>
      <c r="D9399">
        <f>IF(B9399="","",HOUR(A9399))</f>
        <v/>
      </c>
    </row>
    <row r="9400">
      <c r="A9400">
        <f>Input!A9400</f>
        <v/>
      </c>
      <c r="B9400">
        <f>IF(ISNUMBER(Input!B9400),IF(AND(Input!B9400&gt;=20,Input!B9400&lt;=700),Input!B9400,""),"")</f>
        <v/>
      </c>
      <c r="C9400">
        <f>IF(B9400="","",INT(A9400))</f>
        <v/>
      </c>
      <c r="D9400">
        <f>IF(B9400="","",HOUR(A9400))</f>
        <v/>
      </c>
    </row>
    <row r="9401">
      <c r="A9401">
        <f>Input!A9401</f>
        <v/>
      </c>
      <c r="B9401">
        <f>IF(ISNUMBER(Input!B9401),IF(AND(Input!B9401&gt;=20,Input!B9401&lt;=700),Input!B9401,""),"")</f>
        <v/>
      </c>
      <c r="C9401">
        <f>IF(B9401="","",INT(A9401))</f>
        <v/>
      </c>
      <c r="D9401">
        <f>IF(B9401="","",HOUR(A9401))</f>
        <v/>
      </c>
    </row>
    <row r="9402">
      <c r="A9402">
        <f>Input!A9402</f>
        <v/>
      </c>
      <c r="B9402">
        <f>IF(ISNUMBER(Input!B9402),IF(AND(Input!B9402&gt;=20,Input!B9402&lt;=700),Input!B9402,""),"")</f>
        <v/>
      </c>
      <c r="C9402">
        <f>IF(B9402="","",INT(A9402))</f>
        <v/>
      </c>
      <c r="D9402">
        <f>IF(B9402="","",HOUR(A9402))</f>
        <v/>
      </c>
    </row>
    <row r="9403">
      <c r="A9403">
        <f>Input!A9403</f>
        <v/>
      </c>
      <c r="B9403">
        <f>IF(ISNUMBER(Input!B9403),IF(AND(Input!B9403&gt;=20,Input!B9403&lt;=700),Input!B9403,""),"")</f>
        <v/>
      </c>
      <c r="C9403">
        <f>IF(B9403="","",INT(A9403))</f>
        <v/>
      </c>
      <c r="D9403">
        <f>IF(B9403="","",HOUR(A9403))</f>
        <v/>
      </c>
    </row>
    <row r="9404">
      <c r="A9404">
        <f>Input!A9404</f>
        <v/>
      </c>
      <c r="B9404">
        <f>IF(ISNUMBER(Input!B9404),IF(AND(Input!B9404&gt;=20,Input!B9404&lt;=700),Input!B9404,""),"")</f>
        <v/>
      </c>
      <c r="C9404">
        <f>IF(B9404="","",INT(A9404))</f>
        <v/>
      </c>
      <c r="D9404">
        <f>IF(B9404="","",HOUR(A9404))</f>
        <v/>
      </c>
    </row>
    <row r="9405">
      <c r="A9405">
        <f>Input!A9405</f>
        <v/>
      </c>
      <c r="B9405">
        <f>IF(ISNUMBER(Input!B9405),IF(AND(Input!B9405&gt;=20,Input!B9405&lt;=700),Input!B9405,""),"")</f>
        <v/>
      </c>
      <c r="C9405">
        <f>IF(B9405="","",INT(A9405))</f>
        <v/>
      </c>
      <c r="D9405">
        <f>IF(B9405="","",HOUR(A9405))</f>
        <v/>
      </c>
    </row>
    <row r="9406">
      <c r="A9406">
        <f>Input!A9406</f>
        <v/>
      </c>
      <c r="B9406">
        <f>IF(ISNUMBER(Input!B9406),IF(AND(Input!B9406&gt;=20,Input!B9406&lt;=700),Input!B9406,""),"")</f>
        <v/>
      </c>
      <c r="C9406">
        <f>IF(B9406="","",INT(A9406))</f>
        <v/>
      </c>
      <c r="D9406">
        <f>IF(B9406="","",HOUR(A9406))</f>
        <v/>
      </c>
    </row>
    <row r="9407">
      <c r="A9407">
        <f>Input!A9407</f>
        <v/>
      </c>
      <c r="B9407">
        <f>IF(ISNUMBER(Input!B9407),IF(AND(Input!B9407&gt;=20,Input!B9407&lt;=700),Input!B9407,""),"")</f>
        <v/>
      </c>
      <c r="C9407">
        <f>IF(B9407="","",INT(A9407))</f>
        <v/>
      </c>
      <c r="D9407">
        <f>IF(B9407="","",HOUR(A9407))</f>
        <v/>
      </c>
    </row>
    <row r="9408">
      <c r="A9408">
        <f>Input!A9408</f>
        <v/>
      </c>
      <c r="B9408">
        <f>IF(ISNUMBER(Input!B9408),IF(AND(Input!B9408&gt;=20,Input!B9408&lt;=700),Input!B9408,""),"")</f>
        <v/>
      </c>
      <c r="C9408">
        <f>IF(B9408="","",INT(A9408))</f>
        <v/>
      </c>
      <c r="D9408">
        <f>IF(B9408="","",HOUR(A9408))</f>
        <v/>
      </c>
    </row>
    <row r="9409">
      <c r="A9409">
        <f>Input!A9409</f>
        <v/>
      </c>
      <c r="B9409">
        <f>IF(ISNUMBER(Input!B9409),IF(AND(Input!B9409&gt;=20,Input!B9409&lt;=700),Input!B9409,""),"")</f>
        <v/>
      </c>
      <c r="C9409">
        <f>IF(B9409="","",INT(A9409))</f>
        <v/>
      </c>
      <c r="D9409">
        <f>IF(B9409="","",HOUR(A9409))</f>
        <v/>
      </c>
    </row>
    <row r="9410">
      <c r="A9410">
        <f>Input!A9410</f>
        <v/>
      </c>
      <c r="B9410">
        <f>IF(ISNUMBER(Input!B9410),IF(AND(Input!B9410&gt;=20,Input!B9410&lt;=700),Input!B9410,""),"")</f>
        <v/>
      </c>
      <c r="C9410">
        <f>IF(B9410="","",INT(A9410))</f>
        <v/>
      </c>
      <c r="D9410">
        <f>IF(B9410="","",HOUR(A9410))</f>
        <v/>
      </c>
    </row>
    <row r="9411">
      <c r="A9411">
        <f>Input!A9411</f>
        <v/>
      </c>
      <c r="B9411">
        <f>IF(ISNUMBER(Input!B9411),IF(AND(Input!B9411&gt;=20,Input!B9411&lt;=700),Input!B9411,""),"")</f>
        <v/>
      </c>
      <c r="C9411">
        <f>IF(B9411="","",INT(A9411))</f>
        <v/>
      </c>
      <c r="D9411">
        <f>IF(B9411="","",HOUR(A9411))</f>
        <v/>
      </c>
    </row>
    <row r="9412">
      <c r="A9412">
        <f>Input!A9412</f>
        <v/>
      </c>
      <c r="B9412">
        <f>IF(ISNUMBER(Input!B9412),IF(AND(Input!B9412&gt;=20,Input!B9412&lt;=700),Input!B9412,""),"")</f>
        <v/>
      </c>
      <c r="C9412">
        <f>IF(B9412="","",INT(A9412))</f>
        <v/>
      </c>
      <c r="D9412">
        <f>IF(B9412="","",HOUR(A9412))</f>
        <v/>
      </c>
    </row>
    <row r="9413">
      <c r="A9413">
        <f>Input!A9413</f>
        <v/>
      </c>
      <c r="B9413">
        <f>IF(ISNUMBER(Input!B9413),IF(AND(Input!B9413&gt;=20,Input!B9413&lt;=700),Input!B9413,""),"")</f>
        <v/>
      </c>
      <c r="C9413">
        <f>IF(B9413="","",INT(A9413))</f>
        <v/>
      </c>
      <c r="D9413">
        <f>IF(B9413="","",HOUR(A9413))</f>
        <v/>
      </c>
    </row>
    <row r="9414">
      <c r="A9414">
        <f>Input!A9414</f>
        <v/>
      </c>
      <c r="B9414">
        <f>IF(ISNUMBER(Input!B9414),IF(AND(Input!B9414&gt;=20,Input!B9414&lt;=700),Input!B9414,""),"")</f>
        <v/>
      </c>
      <c r="C9414">
        <f>IF(B9414="","",INT(A9414))</f>
        <v/>
      </c>
      <c r="D9414">
        <f>IF(B9414="","",HOUR(A9414))</f>
        <v/>
      </c>
    </row>
    <row r="9415">
      <c r="A9415">
        <f>Input!A9415</f>
        <v/>
      </c>
      <c r="B9415">
        <f>IF(ISNUMBER(Input!B9415),IF(AND(Input!B9415&gt;=20,Input!B9415&lt;=700),Input!B9415,""),"")</f>
        <v/>
      </c>
      <c r="C9415">
        <f>IF(B9415="","",INT(A9415))</f>
        <v/>
      </c>
      <c r="D9415">
        <f>IF(B9415="","",HOUR(A9415))</f>
        <v/>
      </c>
    </row>
    <row r="9416">
      <c r="A9416">
        <f>Input!A9416</f>
        <v/>
      </c>
      <c r="B9416">
        <f>IF(ISNUMBER(Input!B9416),IF(AND(Input!B9416&gt;=20,Input!B9416&lt;=700),Input!B9416,""),"")</f>
        <v/>
      </c>
      <c r="C9416">
        <f>IF(B9416="","",INT(A9416))</f>
        <v/>
      </c>
      <c r="D9416">
        <f>IF(B9416="","",HOUR(A9416))</f>
        <v/>
      </c>
    </row>
    <row r="9417">
      <c r="A9417">
        <f>Input!A9417</f>
        <v/>
      </c>
      <c r="B9417">
        <f>IF(ISNUMBER(Input!B9417),IF(AND(Input!B9417&gt;=20,Input!B9417&lt;=700),Input!B9417,""),"")</f>
        <v/>
      </c>
      <c r="C9417">
        <f>IF(B9417="","",INT(A9417))</f>
        <v/>
      </c>
      <c r="D9417">
        <f>IF(B9417="","",HOUR(A9417))</f>
        <v/>
      </c>
    </row>
    <row r="9418">
      <c r="A9418">
        <f>Input!A9418</f>
        <v/>
      </c>
      <c r="B9418">
        <f>IF(ISNUMBER(Input!B9418),IF(AND(Input!B9418&gt;=20,Input!B9418&lt;=700),Input!B9418,""),"")</f>
        <v/>
      </c>
      <c r="C9418">
        <f>IF(B9418="","",INT(A9418))</f>
        <v/>
      </c>
      <c r="D9418">
        <f>IF(B9418="","",HOUR(A9418))</f>
        <v/>
      </c>
    </row>
    <row r="9419">
      <c r="A9419">
        <f>Input!A9419</f>
        <v/>
      </c>
      <c r="B9419">
        <f>IF(ISNUMBER(Input!B9419),IF(AND(Input!B9419&gt;=20,Input!B9419&lt;=700),Input!B9419,""),"")</f>
        <v/>
      </c>
      <c r="C9419">
        <f>IF(B9419="","",INT(A9419))</f>
        <v/>
      </c>
      <c r="D9419">
        <f>IF(B9419="","",HOUR(A9419))</f>
        <v/>
      </c>
    </row>
    <row r="9420">
      <c r="A9420">
        <f>Input!A9420</f>
        <v/>
      </c>
      <c r="B9420">
        <f>IF(ISNUMBER(Input!B9420),IF(AND(Input!B9420&gt;=20,Input!B9420&lt;=700),Input!B9420,""),"")</f>
        <v/>
      </c>
      <c r="C9420">
        <f>IF(B9420="","",INT(A9420))</f>
        <v/>
      </c>
      <c r="D9420">
        <f>IF(B9420="","",HOUR(A9420))</f>
        <v/>
      </c>
    </row>
    <row r="9421">
      <c r="A9421">
        <f>Input!A9421</f>
        <v/>
      </c>
      <c r="B9421">
        <f>IF(ISNUMBER(Input!B9421),IF(AND(Input!B9421&gt;=20,Input!B9421&lt;=700),Input!B9421,""),"")</f>
        <v/>
      </c>
      <c r="C9421">
        <f>IF(B9421="","",INT(A9421))</f>
        <v/>
      </c>
      <c r="D9421">
        <f>IF(B9421="","",HOUR(A9421))</f>
        <v/>
      </c>
    </row>
    <row r="9422">
      <c r="A9422">
        <f>Input!A9422</f>
        <v/>
      </c>
      <c r="B9422">
        <f>IF(ISNUMBER(Input!B9422),IF(AND(Input!B9422&gt;=20,Input!B9422&lt;=700),Input!B9422,""),"")</f>
        <v/>
      </c>
      <c r="C9422">
        <f>IF(B9422="","",INT(A9422))</f>
        <v/>
      </c>
      <c r="D9422">
        <f>IF(B9422="","",HOUR(A9422))</f>
        <v/>
      </c>
    </row>
    <row r="9423">
      <c r="A9423">
        <f>Input!A9423</f>
        <v/>
      </c>
      <c r="B9423">
        <f>IF(ISNUMBER(Input!B9423),IF(AND(Input!B9423&gt;=20,Input!B9423&lt;=700),Input!B9423,""),"")</f>
        <v/>
      </c>
      <c r="C9423">
        <f>IF(B9423="","",INT(A9423))</f>
        <v/>
      </c>
      <c r="D9423">
        <f>IF(B9423="","",HOUR(A9423))</f>
        <v/>
      </c>
    </row>
    <row r="9424">
      <c r="A9424">
        <f>Input!A9424</f>
        <v/>
      </c>
      <c r="B9424">
        <f>IF(ISNUMBER(Input!B9424),IF(AND(Input!B9424&gt;=20,Input!B9424&lt;=700),Input!B9424,""),"")</f>
        <v/>
      </c>
      <c r="C9424">
        <f>IF(B9424="","",INT(A9424))</f>
        <v/>
      </c>
      <c r="D9424">
        <f>IF(B9424="","",HOUR(A9424))</f>
        <v/>
      </c>
    </row>
    <row r="9425">
      <c r="A9425">
        <f>Input!A9425</f>
        <v/>
      </c>
      <c r="B9425">
        <f>IF(ISNUMBER(Input!B9425),IF(AND(Input!B9425&gt;=20,Input!B9425&lt;=700),Input!B9425,""),"")</f>
        <v/>
      </c>
      <c r="C9425">
        <f>IF(B9425="","",INT(A9425))</f>
        <v/>
      </c>
      <c r="D9425">
        <f>IF(B9425="","",HOUR(A9425))</f>
        <v/>
      </c>
    </row>
    <row r="9426">
      <c r="A9426">
        <f>Input!A9426</f>
        <v/>
      </c>
      <c r="B9426">
        <f>IF(ISNUMBER(Input!B9426),IF(AND(Input!B9426&gt;=20,Input!B9426&lt;=700),Input!B9426,""),"")</f>
        <v/>
      </c>
      <c r="C9426">
        <f>IF(B9426="","",INT(A9426))</f>
        <v/>
      </c>
      <c r="D9426">
        <f>IF(B9426="","",HOUR(A9426))</f>
        <v/>
      </c>
    </row>
    <row r="9427">
      <c r="A9427">
        <f>Input!A9427</f>
        <v/>
      </c>
      <c r="B9427">
        <f>IF(ISNUMBER(Input!B9427),IF(AND(Input!B9427&gt;=20,Input!B9427&lt;=700),Input!B9427,""),"")</f>
        <v/>
      </c>
      <c r="C9427">
        <f>IF(B9427="","",INT(A9427))</f>
        <v/>
      </c>
      <c r="D9427">
        <f>IF(B9427="","",HOUR(A9427))</f>
        <v/>
      </c>
    </row>
    <row r="9428">
      <c r="A9428">
        <f>Input!A9428</f>
        <v/>
      </c>
      <c r="B9428">
        <f>IF(ISNUMBER(Input!B9428),IF(AND(Input!B9428&gt;=20,Input!B9428&lt;=700),Input!B9428,""),"")</f>
        <v/>
      </c>
      <c r="C9428">
        <f>IF(B9428="","",INT(A9428))</f>
        <v/>
      </c>
      <c r="D9428">
        <f>IF(B9428="","",HOUR(A9428))</f>
        <v/>
      </c>
    </row>
    <row r="9429">
      <c r="A9429">
        <f>Input!A9429</f>
        <v/>
      </c>
      <c r="B9429">
        <f>IF(ISNUMBER(Input!B9429),IF(AND(Input!B9429&gt;=20,Input!B9429&lt;=700),Input!B9429,""),"")</f>
        <v/>
      </c>
      <c r="C9429">
        <f>IF(B9429="","",INT(A9429))</f>
        <v/>
      </c>
      <c r="D9429">
        <f>IF(B9429="","",HOUR(A9429))</f>
        <v/>
      </c>
    </row>
    <row r="9430">
      <c r="A9430">
        <f>Input!A9430</f>
        <v/>
      </c>
      <c r="B9430">
        <f>IF(ISNUMBER(Input!B9430),IF(AND(Input!B9430&gt;=20,Input!B9430&lt;=700),Input!B9430,""),"")</f>
        <v/>
      </c>
      <c r="C9430">
        <f>IF(B9430="","",INT(A9430))</f>
        <v/>
      </c>
      <c r="D9430">
        <f>IF(B9430="","",HOUR(A9430))</f>
        <v/>
      </c>
    </row>
    <row r="9431">
      <c r="A9431">
        <f>Input!A9431</f>
        <v/>
      </c>
      <c r="B9431">
        <f>IF(ISNUMBER(Input!B9431),IF(AND(Input!B9431&gt;=20,Input!B9431&lt;=700),Input!B9431,""),"")</f>
        <v/>
      </c>
      <c r="C9431">
        <f>IF(B9431="","",INT(A9431))</f>
        <v/>
      </c>
      <c r="D9431">
        <f>IF(B9431="","",HOUR(A9431))</f>
        <v/>
      </c>
    </row>
    <row r="9432">
      <c r="A9432">
        <f>Input!A9432</f>
        <v/>
      </c>
      <c r="B9432">
        <f>IF(ISNUMBER(Input!B9432),IF(AND(Input!B9432&gt;=20,Input!B9432&lt;=700),Input!B9432,""),"")</f>
        <v/>
      </c>
      <c r="C9432">
        <f>IF(B9432="","",INT(A9432))</f>
        <v/>
      </c>
      <c r="D9432">
        <f>IF(B9432="","",HOUR(A9432))</f>
        <v/>
      </c>
    </row>
    <row r="9433">
      <c r="A9433">
        <f>Input!A9433</f>
        <v/>
      </c>
      <c r="B9433">
        <f>IF(ISNUMBER(Input!B9433),IF(AND(Input!B9433&gt;=20,Input!B9433&lt;=700),Input!B9433,""),"")</f>
        <v/>
      </c>
      <c r="C9433">
        <f>IF(B9433="","",INT(A9433))</f>
        <v/>
      </c>
      <c r="D9433">
        <f>IF(B9433="","",HOUR(A9433))</f>
        <v/>
      </c>
    </row>
    <row r="9434">
      <c r="A9434">
        <f>Input!A9434</f>
        <v/>
      </c>
      <c r="B9434">
        <f>IF(ISNUMBER(Input!B9434),IF(AND(Input!B9434&gt;=20,Input!B9434&lt;=700),Input!B9434,""),"")</f>
        <v/>
      </c>
      <c r="C9434">
        <f>IF(B9434="","",INT(A9434))</f>
        <v/>
      </c>
      <c r="D9434">
        <f>IF(B9434="","",HOUR(A9434))</f>
        <v/>
      </c>
    </row>
    <row r="9435">
      <c r="A9435">
        <f>Input!A9435</f>
        <v/>
      </c>
      <c r="B9435">
        <f>IF(ISNUMBER(Input!B9435),IF(AND(Input!B9435&gt;=20,Input!B9435&lt;=700),Input!B9435,""),"")</f>
        <v/>
      </c>
      <c r="C9435">
        <f>IF(B9435="","",INT(A9435))</f>
        <v/>
      </c>
      <c r="D9435">
        <f>IF(B9435="","",HOUR(A9435))</f>
        <v/>
      </c>
    </row>
    <row r="9436">
      <c r="A9436">
        <f>Input!A9436</f>
        <v/>
      </c>
      <c r="B9436">
        <f>IF(ISNUMBER(Input!B9436),IF(AND(Input!B9436&gt;=20,Input!B9436&lt;=700),Input!B9436,""),"")</f>
        <v/>
      </c>
      <c r="C9436">
        <f>IF(B9436="","",INT(A9436))</f>
        <v/>
      </c>
      <c r="D9436">
        <f>IF(B9436="","",HOUR(A9436))</f>
        <v/>
      </c>
    </row>
    <row r="9437">
      <c r="A9437">
        <f>Input!A9437</f>
        <v/>
      </c>
      <c r="B9437">
        <f>IF(ISNUMBER(Input!B9437),IF(AND(Input!B9437&gt;=20,Input!B9437&lt;=700),Input!B9437,""),"")</f>
        <v/>
      </c>
      <c r="C9437">
        <f>IF(B9437="","",INT(A9437))</f>
        <v/>
      </c>
      <c r="D9437">
        <f>IF(B9437="","",HOUR(A9437))</f>
        <v/>
      </c>
    </row>
    <row r="9438">
      <c r="A9438">
        <f>Input!A9438</f>
        <v/>
      </c>
      <c r="B9438">
        <f>IF(ISNUMBER(Input!B9438),IF(AND(Input!B9438&gt;=20,Input!B9438&lt;=700),Input!B9438,""),"")</f>
        <v/>
      </c>
      <c r="C9438">
        <f>IF(B9438="","",INT(A9438))</f>
        <v/>
      </c>
      <c r="D9438">
        <f>IF(B9438="","",HOUR(A9438))</f>
        <v/>
      </c>
    </row>
    <row r="9439">
      <c r="A9439">
        <f>Input!A9439</f>
        <v/>
      </c>
      <c r="B9439">
        <f>IF(ISNUMBER(Input!B9439),IF(AND(Input!B9439&gt;=20,Input!B9439&lt;=700),Input!B9439,""),"")</f>
        <v/>
      </c>
      <c r="C9439">
        <f>IF(B9439="","",INT(A9439))</f>
        <v/>
      </c>
      <c r="D9439">
        <f>IF(B9439="","",HOUR(A9439))</f>
        <v/>
      </c>
    </row>
    <row r="9440">
      <c r="A9440">
        <f>Input!A9440</f>
        <v/>
      </c>
      <c r="B9440">
        <f>IF(ISNUMBER(Input!B9440),IF(AND(Input!B9440&gt;=20,Input!B9440&lt;=700),Input!B9440,""),"")</f>
        <v/>
      </c>
      <c r="C9440">
        <f>IF(B9440="","",INT(A9440))</f>
        <v/>
      </c>
      <c r="D9440">
        <f>IF(B9440="","",HOUR(A9440))</f>
        <v/>
      </c>
    </row>
    <row r="9441">
      <c r="A9441">
        <f>Input!A9441</f>
        <v/>
      </c>
      <c r="B9441">
        <f>IF(ISNUMBER(Input!B9441),IF(AND(Input!B9441&gt;=20,Input!B9441&lt;=700),Input!B9441,""),"")</f>
        <v/>
      </c>
      <c r="C9441">
        <f>IF(B9441="","",INT(A9441))</f>
        <v/>
      </c>
      <c r="D9441">
        <f>IF(B9441="","",HOUR(A9441))</f>
        <v/>
      </c>
    </row>
    <row r="9442">
      <c r="A9442">
        <f>Input!A9442</f>
        <v/>
      </c>
      <c r="B9442">
        <f>IF(ISNUMBER(Input!B9442),IF(AND(Input!B9442&gt;=20,Input!B9442&lt;=700),Input!B9442,""),"")</f>
        <v/>
      </c>
      <c r="C9442">
        <f>IF(B9442="","",INT(A9442))</f>
        <v/>
      </c>
      <c r="D9442">
        <f>IF(B9442="","",HOUR(A9442))</f>
        <v/>
      </c>
    </row>
    <row r="9443">
      <c r="A9443">
        <f>Input!A9443</f>
        <v/>
      </c>
      <c r="B9443">
        <f>IF(ISNUMBER(Input!B9443),IF(AND(Input!B9443&gt;=20,Input!B9443&lt;=700),Input!B9443,""),"")</f>
        <v/>
      </c>
      <c r="C9443">
        <f>IF(B9443="","",INT(A9443))</f>
        <v/>
      </c>
      <c r="D9443">
        <f>IF(B9443="","",HOUR(A9443))</f>
        <v/>
      </c>
    </row>
    <row r="9444">
      <c r="A9444">
        <f>Input!A9444</f>
        <v/>
      </c>
      <c r="B9444">
        <f>IF(ISNUMBER(Input!B9444),IF(AND(Input!B9444&gt;=20,Input!B9444&lt;=700),Input!B9444,""),"")</f>
        <v/>
      </c>
      <c r="C9444">
        <f>IF(B9444="","",INT(A9444))</f>
        <v/>
      </c>
      <c r="D9444">
        <f>IF(B9444="","",HOUR(A9444))</f>
        <v/>
      </c>
    </row>
    <row r="9445">
      <c r="A9445">
        <f>Input!A9445</f>
        <v/>
      </c>
      <c r="B9445">
        <f>IF(ISNUMBER(Input!B9445),IF(AND(Input!B9445&gt;=20,Input!B9445&lt;=700),Input!B9445,""),"")</f>
        <v/>
      </c>
      <c r="C9445">
        <f>IF(B9445="","",INT(A9445))</f>
        <v/>
      </c>
      <c r="D9445">
        <f>IF(B9445="","",HOUR(A9445))</f>
        <v/>
      </c>
    </row>
    <row r="9446">
      <c r="A9446">
        <f>Input!A9446</f>
        <v/>
      </c>
      <c r="B9446">
        <f>IF(ISNUMBER(Input!B9446),IF(AND(Input!B9446&gt;=20,Input!B9446&lt;=700),Input!B9446,""),"")</f>
        <v/>
      </c>
      <c r="C9446">
        <f>IF(B9446="","",INT(A9446))</f>
        <v/>
      </c>
      <c r="D9446">
        <f>IF(B9446="","",HOUR(A9446))</f>
        <v/>
      </c>
    </row>
    <row r="9447">
      <c r="A9447">
        <f>Input!A9447</f>
        <v/>
      </c>
      <c r="B9447">
        <f>IF(ISNUMBER(Input!B9447),IF(AND(Input!B9447&gt;=20,Input!B9447&lt;=700),Input!B9447,""),"")</f>
        <v/>
      </c>
      <c r="C9447">
        <f>IF(B9447="","",INT(A9447))</f>
        <v/>
      </c>
      <c r="D9447">
        <f>IF(B9447="","",HOUR(A9447))</f>
        <v/>
      </c>
    </row>
    <row r="9448">
      <c r="A9448">
        <f>Input!A9448</f>
        <v/>
      </c>
      <c r="B9448">
        <f>IF(ISNUMBER(Input!B9448),IF(AND(Input!B9448&gt;=20,Input!B9448&lt;=700),Input!B9448,""),"")</f>
        <v/>
      </c>
      <c r="C9448">
        <f>IF(B9448="","",INT(A9448))</f>
        <v/>
      </c>
      <c r="D9448">
        <f>IF(B9448="","",HOUR(A9448))</f>
        <v/>
      </c>
    </row>
    <row r="9449">
      <c r="A9449">
        <f>Input!A9449</f>
        <v/>
      </c>
      <c r="B9449">
        <f>IF(ISNUMBER(Input!B9449),IF(AND(Input!B9449&gt;=20,Input!B9449&lt;=700),Input!B9449,""),"")</f>
        <v/>
      </c>
      <c r="C9449">
        <f>IF(B9449="","",INT(A9449))</f>
        <v/>
      </c>
      <c r="D9449">
        <f>IF(B9449="","",HOUR(A9449))</f>
        <v/>
      </c>
    </row>
    <row r="9450">
      <c r="A9450">
        <f>Input!A9450</f>
        <v/>
      </c>
      <c r="B9450">
        <f>IF(ISNUMBER(Input!B9450),IF(AND(Input!B9450&gt;=20,Input!B9450&lt;=700),Input!B9450,""),"")</f>
        <v/>
      </c>
      <c r="C9450">
        <f>IF(B9450="","",INT(A9450))</f>
        <v/>
      </c>
      <c r="D9450">
        <f>IF(B9450="","",HOUR(A9450))</f>
        <v/>
      </c>
    </row>
    <row r="9451">
      <c r="A9451">
        <f>Input!A9451</f>
        <v/>
      </c>
      <c r="B9451">
        <f>IF(ISNUMBER(Input!B9451),IF(AND(Input!B9451&gt;=20,Input!B9451&lt;=700),Input!B9451,""),"")</f>
        <v/>
      </c>
      <c r="C9451">
        <f>IF(B9451="","",INT(A9451))</f>
        <v/>
      </c>
      <c r="D9451">
        <f>IF(B9451="","",HOUR(A9451))</f>
        <v/>
      </c>
    </row>
    <row r="9452">
      <c r="A9452">
        <f>Input!A9452</f>
        <v/>
      </c>
      <c r="B9452">
        <f>IF(ISNUMBER(Input!B9452),IF(AND(Input!B9452&gt;=20,Input!B9452&lt;=700),Input!B9452,""),"")</f>
        <v/>
      </c>
      <c r="C9452">
        <f>IF(B9452="","",INT(A9452))</f>
        <v/>
      </c>
      <c r="D9452">
        <f>IF(B9452="","",HOUR(A9452))</f>
        <v/>
      </c>
    </row>
    <row r="9453">
      <c r="A9453">
        <f>Input!A9453</f>
        <v/>
      </c>
      <c r="B9453">
        <f>IF(ISNUMBER(Input!B9453),IF(AND(Input!B9453&gt;=20,Input!B9453&lt;=700),Input!B9453,""),"")</f>
        <v/>
      </c>
      <c r="C9453">
        <f>IF(B9453="","",INT(A9453))</f>
        <v/>
      </c>
      <c r="D9453">
        <f>IF(B9453="","",HOUR(A9453))</f>
        <v/>
      </c>
    </row>
    <row r="9454">
      <c r="A9454">
        <f>Input!A9454</f>
        <v/>
      </c>
      <c r="B9454">
        <f>IF(ISNUMBER(Input!B9454),IF(AND(Input!B9454&gt;=20,Input!B9454&lt;=700),Input!B9454,""),"")</f>
        <v/>
      </c>
      <c r="C9454">
        <f>IF(B9454="","",INT(A9454))</f>
        <v/>
      </c>
      <c r="D9454">
        <f>IF(B9454="","",HOUR(A9454))</f>
        <v/>
      </c>
    </row>
    <row r="9455">
      <c r="A9455">
        <f>Input!A9455</f>
        <v/>
      </c>
      <c r="B9455">
        <f>IF(ISNUMBER(Input!B9455),IF(AND(Input!B9455&gt;=20,Input!B9455&lt;=700),Input!B9455,""),"")</f>
        <v/>
      </c>
      <c r="C9455">
        <f>IF(B9455="","",INT(A9455))</f>
        <v/>
      </c>
      <c r="D9455">
        <f>IF(B9455="","",HOUR(A9455))</f>
        <v/>
      </c>
    </row>
    <row r="9456">
      <c r="A9456">
        <f>Input!A9456</f>
        <v/>
      </c>
      <c r="B9456">
        <f>IF(ISNUMBER(Input!B9456),IF(AND(Input!B9456&gt;=20,Input!B9456&lt;=700),Input!B9456,""),"")</f>
        <v/>
      </c>
      <c r="C9456">
        <f>IF(B9456="","",INT(A9456))</f>
        <v/>
      </c>
      <c r="D9456">
        <f>IF(B9456="","",HOUR(A9456))</f>
        <v/>
      </c>
    </row>
    <row r="9457">
      <c r="A9457">
        <f>Input!A9457</f>
        <v/>
      </c>
      <c r="B9457">
        <f>IF(ISNUMBER(Input!B9457),IF(AND(Input!B9457&gt;=20,Input!B9457&lt;=700),Input!B9457,""),"")</f>
        <v/>
      </c>
      <c r="C9457">
        <f>IF(B9457="","",INT(A9457))</f>
        <v/>
      </c>
      <c r="D9457">
        <f>IF(B9457="","",HOUR(A9457))</f>
        <v/>
      </c>
    </row>
    <row r="9458">
      <c r="A9458">
        <f>Input!A9458</f>
        <v/>
      </c>
      <c r="B9458">
        <f>IF(ISNUMBER(Input!B9458),IF(AND(Input!B9458&gt;=20,Input!B9458&lt;=700),Input!B9458,""),"")</f>
        <v/>
      </c>
      <c r="C9458">
        <f>IF(B9458="","",INT(A9458))</f>
        <v/>
      </c>
      <c r="D9458">
        <f>IF(B9458="","",HOUR(A9458))</f>
        <v/>
      </c>
    </row>
    <row r="9459">
      <c r="A9459">
        <f>Input!A9459</f>
        <v/>
      </c>
      <c r="B9459">
        <f>IF(ISNUMBER(Input!B9459),IF(AND(Input!B9459&gt;=20,Input!B9459&lt;=700),Input!B9459,""),"")</f>
        <v/>
      </c>
      <c r="C9459">
        <f>IF(B9459="","",INT(A9459))</f>
        <v/>
      </c>
      <c r="D9459">
        <f>IF(B9459="","",HOUR(A9459))</f>
        <v/>
      </c>
    </row>
    <row r="9460">
      <c r="A9460">
        <f>Input!A9460</f>
        <v/>
      </c>
      <c r="B9460">
        <f>IF(ISNUMBER(Input!B9460),IF(AND(Input!B9460&gt;=20,Input!B9460&lt;=700),Input!B9460,""),"")</f>
        <v/>
      </c>
      <c r="C9460">
        <f>IF(B9460="","",INT(A9460))</f>
        <v/>
      </c>
      <c r="D9460">
        <f>IF(B9460="","",HOUR(A9460))</f>
        <v/>
      </c>
    </row>
    <row r="9461">
      <c r="A9461">
        <f>Input!A9461</f>
        <v/>
      </c>
      <c r="B9461">
        <f>IF(ISNUMBER(Input!B9461),IF(AND(Input!B9461&gt;=20,Input!B9461&lt;=700),Input!B9461,""),"")</f>
        <v/>
      </c>
      <c r="C9461">
        <f>IF(B9461="","",INT(A9461))</f>
        <v/>
      </c>
      <c r="D9461">
        <f>IF(B9461="","",HOUR(A9461))</f>
        <v/>
      </c>
    </row>
    <row r="9462">
      <c r="A9462">
        <f>Input!A9462</f>
        <v/>
      </c>
      <c r="B9462">
        <f>IF(ISNUMBER(Input!B9462),IF(AND(Input!B9462&gt;=20,Input!B9462&lt;=700),Input!B9462,""),"")</f>
        <v/>
      </c>
      <c r="C9462">
        <f>IF(B9462="","",INT(A9462))</f>
        <v/>
      </c>
      <c r="D9462">
        <f>IF(B9462="","",HOUR(A9462))</f>
        <v/>
      </c>
    </row>
    <row r="9463">
      <c r="A9463">
        <f>Input!A9463</f>
        <v/>
      </c>
      <c r="B9463">
        <f>IF(ISNUMBER(Input!B9463),IF(AND(Input!B9463&gt;=20,Input!B9463&lt;=700),Input!B9463,""),"")</f>
        <v/>
      </c>
      <c r="C9463">
        <f>IF(B9463="","",INT(A9463))</f>
        <v/>
      </c>
      <c r="D9463">
        <f>IF(B9463="","",HOUR(A9463))</f>
        <v/>
      </c>
    </row>
    <row r="9464">
      <c r="A9464">
        <f>Input!A9464</f>
        <v/>
      </c>
      <c r="B9464">
        <f>IF(ISNUMBER(Input!B9464),IF(AND(Input!B9464&gt;=20,Input!B9464&lt;=700),Input!B9464,""),"")</f>
        <v/>
      </c>
      <c r="C9464">
        <f>IF(B9464="","",INT(A9464))</f>
        <v/>
      </c>
      <c r="D9464">
        <f>IF(B9464="","",HOUR(A9464))</f>
        <v/>
      </c>
    </row>
    <row r="9465">
      <c r="A9465">
        <f>Input!A9465</f>
        <v/>
      </c>
      <c r="B9465">
        <f>IF(ISNUMBER(Input!B9465),IF(AND(Input!B9465&gt;=20,Input!B9465&lt;=700),Input!B9465,""),"")</f>
        <v/>
      </c>
      <c r="C9465">
        <f>IF(B9465="","",INT(A9465))</f>
        <v/>
      </c>
      <c r="D9465">
        <f>IF(B9465="","",HOUR(A9465))</f>
        <v/>
      </c>
    </row>
    <row r="9466">
      <c r="A9466">
        <f>Input!A9466</f>
        <v/>
      </c>
      <c r="B9466">
        <f>IF(ISNUMBER(Input!B9466),IF(AND(Input!B9466&gt;=20,Input!B9466&lt;=700),Input!B9466,""),"")</f>
        <v/>
      </c>
      <c r="C9466">
        <f>IF(B9466="","",INT(A9466))</f>
        <v/>
      </c>
      <c r="D9466">
        <f>IF(B9466="","",HOUR(A9466))</f>
        <v/>
      </c>
    </row>
    <row r="9467">
      <c r="A9467">
        <f>Input!A9467</f>
        <v/>
      </c>
      <c r="B9467">
        <f>IF(ISNUMBER(Input!B9467),IF(AND(Input!B9467&gt;=20,Input!B9467&lt;=700),Input!B9467,""),"")</f>
        <v/>
      </c>
      <c r="C9467">
        <f>IF(B9467="","",INT(A9467))</f>
        <v/>
      </c>
      <c r="D9467">
        <f>IF(B9467="","",HOUR(A9467))</f>
        <v/>
      </c>
    </row>
    <row r="9468">
      <c r="A9468">
        <f>Input!A9468</f>
        <v/>
      </c>
      <c r="B9468">
        <f>IF(ISNUMBER(Input!B9468),IF(AND(Input!B9468&gt;=20,Input!B9468&lt;=700),Input!B9468,""),"")</f>
        <v/>
      </c>
      <c r="C9468">
        <f>IF(B9468="","",INT(A9468))</f>
        <v/>
      </c>
      <c r="D9468">
        <f>IF(B9468="","",HOUR(A9468))</f>
        <v/>
      </c>
    </row>
    <row r="9469">
      <c r="A9469">
        <f>Input!A9469</f>
        <v/>
      </c>
      <c r="B9469">
        <f>IF(ISNUMBER(Input!B9469),IF(AND(Input!B9469&gt;=20,Input!B9469&lt;=700),Input!B9469,""),"")</f>
        <v/>
      </c>
      <c r="C9469">
        <f>IF(B9469="","",INT(A9469))</f>
        <v/>
      </c>
      <c r="D9469">
        <f>IF(B9469="","",HOUR(A9469))</f>
        <v/>
      </c>
    </row>
    <row r="9470">
      <c r="A9470">
        <f>Input!A9470</f>
        <v/>
      </c>
      <c r="B9470">
        <f>IF(ISNUMBER(Input!B9470),IF(AND(Input!B9470&gt;=20,Input!B9470&lt;=700),Input!B9470,""),"")</f>
        <v/>
      </c>
      <c r="C9470">
        <f>IF(B9470="","",INT(A9470))</f>
        <v/>
      </c>
      <c r="D9470">
        <f>IF(B9470="","",HOUR(A9470))</f>
        <v/>
      </c>
    </row>
    <row r="9471">
      <c r="A9471">
        <f>Input!A9471</f>
        <v/>
      </c>
      <c r="B9471">
        <f>IF(ISNUMBER(Input!B9471),IF(AND(Input!B9471&gt;=20,Input!B9471&lt;=700),Input!B9471,""),"")</f>
        <v/>
      </c>
      <c r="C9471">
        <f>IF(B9471="","",INT(A9471))</f>
        <v/>
      </c>
      <c r="D9471">
        <f>IF(B9471="","",HOUR(A9471))</f>
        <v/>
      </c>
    </row>
    <row r="9472">
      <c r="A9472">
        <f>Input!A9472</f>
        <v/>
      </c>
      <c r="B9472">
        <f>IF(ISNUMBER(Input!B9472),IF(AND(Input!B9472&gt;=20,Input!B9472&lt;=700),Input!B9472,""),"")</f>
        <v/>
      </c>
      <c r="C9472">
        <f>IF(B9472="","",INT(A9472))</f>
        <v/>
      </c>
      <c r="D9472">
        <f>IF(B9472="","",HOUR(A9472))</f>
        <v/>
      </c>
    </row>
    <row r="9473">
      <c r="A9473">
        <f>Input!A9473</f>
        <v/>
      </c>
      <c r="B9473">
        <f>IF(ISNUMBER(Input!B9473),IF(AND(Input!B9473&gt;=20,Input!B9473&lt;=700),Input!B9473,""),"")</f>
        <v/>
      </c>
      <c r="C9473">
        <f>IF(B9473="","",INT(A9473))</f>
        <v/>
      </c>
      <c r="D9473">
        <f>IF(B9473="","",HOUR(A9473))</f>
        <v/>
      </c>
    </row>
    <row r="9474">
      <c r="A9474">
        <f>Input!A9474</f>
        <v/>
      </c>
      <c r="B9474">
        <f>IF(ISNUMBER(Input!B9474),IF(AND(Input!B9474&gt;=20,Input!B9474&lt;=700),Input!B9474,""),"")</f>
        <v/>
      </c>
      <c r="C9474">
        <f>IF(B9474="","",INT(A9474))</f>
        <v/>
      </c>
      <c r="D9474">
        <f>IF(B9474="","",HOUR(A9474))</f>
        <v/>
      </c>
    </row>
    <row r="9475">
      <c r="A9475">
        <f>Input!A9475</f>
        <v/>
      </c>
      <c r="B9475">
        <f>IF(ISNUMBER(Input!B9475),IF(AND(Input!B9475&gt;=20,Input!B9475&lt;=700),Input!B9475,""),"")</f>
        <v/>
      </c>
      <c r="C9475">
        <f>IF(B9475="","",INT(A9475))</f>
        <v/>
      </c>
      <c r="D9475">
        <f>IF(B9475="","",HOUR(A9475))</f>
        <v/>
      </c>
    </row>
    <row r="9476">
      <c r="A9476">
        <f>Input!A9476</f>
        <v/>
      </c>
      <c r="B9476">
        <f>IF(ISNUMBER(Input!B9476),IF(AND(Input!B9476&gt;=20,Input!B9476&lt;=700),Input!B9476,""),"")</f>
        <v/>
      </c>
      <c r="C9476">
        <f>IF(B9476="","",INT(A9476))</f>
        <v/>
      </c>
      <c r="D9476">
        <f>IF(B9476="","",HOUR(A9476))</f>
        <v/>
      </c>
    </row>
    <row r="9477">
      <c r="A9477">
        <f>Input!A9477</f>
        <v/>
      </c>
      <c r="B9477">
        <f>IF(ISNUMBER(Input!B9477),IF(AND(Input!B9477&gt;=20,Input!B9477&lt;=700),Input!B9477,""),"")</f>
        <v/>
      </c>
      <c r="C9477">
        <f>IF(B9477="","",INT(A9477))</f>
        <v/>
      </c>
      <c r="D9477">
        <f>IF(B9477="","",HOUR(A9477))</f>
        <v/>
      </c>
    </row>
    <row r="9478">
      <c r="A9478">
        <f>Input!A9478</f>
        <v/>
      </c>
      <c r="B9478">
        <f>IF(ISNUMBER(Input!B9478),IF(AND(Input!B9478&gt;=20,Input!B9478&lt;=700),Input!B9478,""),"")</f>
        <v/>
      </c>
      <c r="C9478">
        <f>IF(B9478="","",INT(A9478))</f>
        <v/>
      </c>
      <c r="D9478">
        <f>IF(B9478="","",HOUR(A9478))</f>
        <v/>
      </c>
    </row>
    <row r="9479">
      <c r="A9479">
        <f>Input!A9479</f>
        <v/>
      </c>
      <c r="B9479">
        <f>IF(ISNUMBER(Input!B9479),IF(AND(Input!B9479&gt;=20,Input!B9479&lt;=700),Input!B9479,""),"")</f>
        <v/>
      </c>
      <c r="C9479">
        <f>IF(B9479="","",INT(A9479))</f>
        <v/>
      </c>
      <c r="D9479">
        <f>IF(B9479="","",HOUR(A9479))</f>
        <v/>
      </c>
    </row>
    <row r="9480">
      <c r="A9480">
        <f>Input!A9480</f>
        <v/>
      </c>
      <c r="B9480">
        <f>IF(ISNUMBER(Input!B9480),IF(AND(Input!B9480&gt;=20,Input!B9480&lt;=700),Input!B9480,""),"")</f>
        <v/>
      </c>
      <c r="C9480">
        <f>IF(B9480="","",INT(A9480))</f>
        <v/>
      </c>
      <c r="D9480">
        <f>IF(B9480="","",HOUR(A9480))</f>
        <v/>
      </c>
    </row>
    <row r="9481">
      <c r="A9481">
        <f>Input!A9481</f>
        <v/>
      </c>
      <c r="B9481">
        <f>IF(ISNUMBER(Input!B9481),IF(AND(Input!B9481&gt;=20,Input!B9481&lt;=700),Input!B9481,""),"")</f>
        <v/>
      </c>
      <c r="C9481">
        <f>IF(B9481="","",INT(A9481))</f>
        <v/>
      </c>
      <c r="D9481">
        <f>IF(B9481="","",HOUR(A9481))</f>
        <v/>
      </c>
    </row>
    <row r="9482">
      <c r="A9482">
        <f>Input!A9482</f>
        <v/>
      </c>
      <c r="B9482">
        <f>IF(ISNUMBER(Input!B9482),IF(AND(Input!B9482&gt;=20,Input!B9482&lt;=700),Input!B9482,""),"")</f>
        <v/>
      </c>
      <c r="C9482">
        <f>IF(B9482="","",INT(A9482))</f>
        <v/>
      </c>
      <c r="D9482">
        <f>IF(B9482="","",HOUR(A9482))</f>
        <v/>
      </c>
    </row>
    <row r="9483">
      <c r="A9483">
        <f>Input!A9483</f>
        <v/>
      </c>
      <c r="B9483">
        <f>IF(ISNUMBER(Input!B9483),IF(AND(Input!B9483&gt;=20,Input!B9483&lt;=700),Input!B9483,""),"")</f>
        <v/>
      </c>
      <c r="C9483">
        <f>IF(B9483="","",INT(A9483))</f>
        <v/>
      </c>
      <c r="D9483">
        <f>IF(B9483="","",HOUR(A9483))</f>
        <v/>
      </c>
    </row>
    <row r="9484">
      <c r="A9484">
        <f>Input!A9484</f>
        <v/>
      </c>
      <c r="B9484">
        <f>IF(ISNUMBER(Input!B9484),IF(AND(Input!B9484&gt;=20,Input!B9484&lt;=700),Input!B9484,""),"")</f>
        <v/>
      </c>
      <c r="C9484">
        <f>IF(B9484="","",INT(A9484))</f>
        <v/>
      </c>
      <c r="D9484">
        <f>IF(B9484="","",HOUR(A9484))</f>
        <v/>
      </c>
    </row>
    <row r="9485">
      <c r="A9485">
        <f>Input!A9485</f>
        <v/>
      </c>
      <c r="B9485">
        <f>IF(ISNUMBER(Input!B9485),IF(AND(Input!B9485&gt;=20,Input!B9485&lt;=700),Input!B9485,""),"")</f>
        <v/>
      </c>
      <c r="C9485">
        <f>IF(B9485="","",INT(A9485))</f>
        <v/>
      </c>
      <c r="D9485">
        <f>IF(B9485="","",HOUR(A9485))</f>
        <v/>
      </c>
    </row>
    <row r="9486">
      <c r="A9486">
        <f>Input!A9486</f>
        <v/>
      </c>
      <c r="B9486">
        <f>IF(ISNUMBER(Input!B9486),IF(AND(Input!B9486&gt;=20,Input!B9486&lt;=700),Input!B9486,""),"")</f>
        <v/>
      </c>
      <c r="C9486">
        <f>IF(B9486="","",INT(A9486))</f>
        <v/>
      </c>
      <c r="D9486">
        <f>IF(B9486="","",HOUR(A9486))</f>
        <v/>
      </c>
    </row>
    <row r="9487">
      <c r="A9487">
        <f>Input!A9487</f>
        <v/>
      </c>
      <c r="B9487">
        <f>IF(ISNUMBER(Input!B9487),IF(AND(Input!B9487&gt;=20,Input!B9487&lt;=700),Input!B9487,""),"")</f>
        <v/>
      </c>
      <c r="C9487">
        <f>IF(B9487="","",INT(A9487))</f>
        <v/>
      </c>
      <c r="D9487">
        <f>IF(B9487="","",HOUR(A9487))</f>
        <v/>
      </c>
    </row>
    <row r="9488">
      <c r="A9488">
        <f>Input!A9488</f>
        <v/>
      </c>
      <c r="B9488">
        <f>IF(ISNUMBER(Input!B9488),IF(AND(Input!B9488&gt;=20,Input!B9488&lt;=700),Input!B9488,""),"")</f>
        <v/>
      </c>
      <c r="C9488">
        <f>IF(B9488="","",INT(A9488))</f>
        <v/>
      </c>
      <c r="D9488">
        <f>IF(B9488="","",HOUR(A9488))</f>
        <v/>
      </c>
    </row>
    <row r="9489">
      <c r="A9489">
        <f>Input!A9489</f>
        <v/>
      </c>
      <c r="B9489">
        <f>IF(ISNUMBER(Input!B9489),IF(AND(Input!B9489&gt;=20,Input!B9489&lt;=700),Input!B9489,""),"")</f>
        <v/>
      </c>
      <c r="C9489">
        <f>IF(B9489="","",INT(A9489))</f>
        <v/>
      </c>
      <c r="D9489">
        <f>IF(B9489="","",HOUR(A9489))</f>
        <v/>
      </c>
    </row>
    <row r="9490">
      <c r="A9490">
        <f>Input!A9490</f>
        <v/>
      </c>
      <c r="B9490">
        <f>IF(ISNUMBER(Input!B9490),IF(AND(Input!B9490&gt;=20,Input!B9490&lt;=700),Input!B9490,""),"")</f>
        <v/>
      </c>
      <c r="C9490">
        <f>IF(B9490="","",INT(A9490))</f>
        <v/>
      </c>
      <c r="D9490">
        <f>IF(B9490="","",HOUR(A9490))</f>
        <v/>
      </c>
    </row>
    <row r="9491">
      <c r="A9491">
        <f>Input!A9491</f>
        <v/>
      </c>
      <c r="B9491">
        <f>IF(ISNUMBER(Input!B9491),IF(AND(Input!B9491&gt;=20,Input!B9491&lt;=700),Input!B9491,""),"")</f>
        <v/>
      </c>
      <c r="C9491">
        <f>IF(B9491="","",INT(A9491))</f>
        <v/>
      </c>
      <c r="D9491">
        <f>IF(B9491="","",HOUR(A9491))</f>
        <v/>
      </c>
    </row>
    <row r="9492">
      <c r="A9492">
        <f>Input!A9492</f>
        <v/>
      </c>
      <c r="B9492">
        <f>IF(ISNUMBER(Input!B9492),IF(AND(Input!B9492&gt;=20,Input!B9492&lt;=700),Input!B9492,""),"")</f>
        <v/>
      </c>
      <c r="C9492">
        <f>IF(B9492="","",INT(A9492))</f>
        <v/>
      </c>
      <c r="D9492">
        <f>IF(B9492="","",HOUR(A9492))</f>
        <v/>
      </c>
    </row>
    <row r="9493">
      <c r="A9493">
        <f>Input!A9493</f>
        <v/>
      </c>
      <c r="B9493">
        <f>IF(ISNUMBER(Input!B9493),IF(AND(Input!B9493&gt;=20,Input!B9493&lt;=700),Input!B9493,""),"")</f>
        <v/>
      </c>
      <c r="C9493">
        <f>IF(B9493="","",INT(A9493))</f>
        <v/>
      </c>
      <c r="D9493">
        <f>IF(B9493="","",HOUR(A9493))</f>
        <v/>
      </c>
    </row>
    <row r="9494">
      <c r="A9494">
        <f>Input!A9494</f>
        <v/>
      </c>
      <c r="B9494">
        <f>IF(ISNUMBER(Input!B9494),IF(AND(Input!B9494&gt;=20,Input!B9494&lt;=700),Input!B9494,""),"")</f>
        <v/>
      </c>
      <c r="C9494">
        <f>IF(B9494="","",INT(A9494))</f>
        <v/>
      </c>
      <c r="D9494">
        <f>IF(B9494="","",HOUR(A9494))</f>
        <v/>
      </c>
    </row>
    <row r="9495">
      <c r="A9495">
        <f>Input!A9495</f>
        <v/>
      </c>
      <c r="B9495">
        <f>IF(ISNUMBER(Input!B9495),IF(AND(Input!B9495&gt;=20,Input!B9495&lt;=700),Input!B9495,""),"")</f>
        <v/>
      </c>
      <c r="C9495">
        <f>IF(B9495="","",INT(A9495))</f>
        <v/>
      </c>
      <c r="D9495">
        <f>IF(B9495="","",HOUR(A9495))</f>
        <v/>
      </c>
    </row>
    <row r="9496">
      <c r="A9496">
        <f>Input!A9496</f>
        <v/>
      </c>
      <c r="B9496">
        <f>IF(ISNUMBER(Input!B9496),IF(AND(Input!B9496&gt;=20,Input!B9496&lt;=700),Input!B9496,""),"")</f>
        <v/>
      </c>
      <c r="C9496">
        <f>IF(B9496="","",INT(A9496))</f>
        <v/>
      </c>
      <c r="D9496">
        <f>IF(B9496="","",HOUR(A9496))</f>
        <v/>
      </c>
    </row>
    <row r="9497">
      <c r="A9497">
        <f>Input!A9497</f>
        <v/>
      </c>
      <c r="B9497">
        <f>IF(ISNUMBER(Input!B9497),IF(AND(Input!B9497&gt;=20,Input!B9497&lt;=700),Input!B9497,""),"")</f>
        <v/>
      </c>
      <c r="C9497">
        <f>IF(B9497="","",INT(A9497))</f>
        <v/>
      </c>
      <c r="D9497">
        <f>IF(B9497="","",HOUR(A9497))</f>
        <v/>
      </c>
    </row>
    <row r="9498">
      <c r="A9498">
        <f>Input!A9498</f>
        <v/>
      </c>
      <c r="B9498">
        <f>IF(ISNUMBER(Input!B9498),IF(AND(Input!B9498&gt;=20,Input!B9498&lt;=700),Input!B9498,""),"")</f>
        <v/>
      </c>
      <c r="C9498">
        <f>IF(B9498="","",INT(A9498))</f>
        <v/>
      </c>
      <c r="D9498">
        <f>IF(B9498="","",HOUR(A9498))</f>
        <v/>
      </c>
    </row>
    <row r="9499">
      <c r="A9499">
        <f>Input!A9499</f>
        <v/>
      </c>
      <c r="B9499">
        <f>IF(ISNUMBER(Input!B9499),IF(AND(Input!B9499&gt;=20,Input!B9499&lt;=700),Input!B9499,""),"")</f>
        <v/>
      </c>
      <c r="C9499">
        <f>IF(B9499="","",INT(A9499))</f>
        <v/>
      </c>
      <c r="D9499">
        <f>IF(B9499="","",HOUR(A9499))</f>
        <v/>
      </c>
    </row>
    <row r="9500">
      <c r="A9500">
        <f>Input!A9500</f>
        <v/>
      </c>
      <c r="B9500">
        <f>IF(ISNUMBER(Input!B9500),IF(AND(Input!B9500&gt;=20,Input!B9500&lt;=700),Input!B9500,""),"")</f>
        <v/>
      </c>
      <c r="C9500">
        <f>IF(B9500="","",INT(A9500))</f>
        <v/>
      </c>
      <c r="D9500">
        <f>IF(B9500="","",HOUR(A9500))</f>
        <v/>
      </c>
    </row>
    <row r="9501">
      <c r="A9501">
        <f>Input!A9501</f>
        <v/>
      </c>
      <c r="B9501">
        <f>IF(ISNUMBER(Input!B9501),IF(AND(Input!B9501&gt;=20,Input!B9501&lt;=700),Input!B9501,""),"")</f>
        <v/>
      </c>
      <c r="C9501">
        <f>IF(B9501="","",INT(A9501))</f>
        <v/>
      </c>
      <c r="D9501">
        <f>IF(B9501="","",HOUR(A9501))</f>
        <v/>
      </c>
    </row>
    <row r="9502">
      <c r="A9502">
        <f>Input!A9502</f>
        <v/>
      </c>
      <c r="B9502">
        <f>IF(ISNUMBER(Input!B9502),IF(AND(Input!B9502&gt;=20,Input!B9502&lt;=700),Input!B9502,""),"")</f>
        <v/>
      </c>
      <c r="C9502">
        <f>IF(B9502="","",INT(A9502))</f>
        <v/>
      </c>
      <c r="D9502">
        <f>IF(B9502="","",HOUR(A9502))</f>
        <v/>
      </c>
    </row>
    <row r="9503">
      <c r="A9503">
        <f>Input!A9503</f>
        <v/>
      </c>
      <c r="B9503">
        <f>IF(ISNUMBER(Input!B9503),IF(AND(Input!B9503&gt;=20,Input!B9503&lt;=700),Input!B9503,""),"")</f>
        <v/>
      </c>
      <c r="C9503">
        <f>IF(B9503="","",INT(A9503))</f>
        <v/>
      </c>
      <c r="D9503">
        <f>IF(B9503="","",HOUR(A9503))</f>
        <v/>
      </c>
    </row>
    <row r="9504">
      <c r="A9504">
        <f>Input!A9504</f>
        <v/>
      </c>
      <c r="B9504">
        <f>IF(ISNUMBER(Input!B9504),IF(AND(Input!B9504&gt;=20,Input!B9504&lt;=700),Input!B9504,""),"")</f>
        <v/>
      </c>
      <c r="C9504">
        <f>IF(B9504="","",INT(A9504))</f>
        <v/>
      </c>
      <c r="D9504">
        <f>IF(B9504="","",HOUR(A9504))</f>
        <v/>
      </c>
    </row>
    <row r="9505">
      <c r="A9505">
        <f>Input!A9505</f>
        <v/>
      </c>
      <c r="B9505">
        <f>IF(ISNUMBER(Input!B9505),IF(AND(Input!B9505&gt;=20,Input!B9505&lt;=700),Input!B9505,""),"")</f>
        <v/>
      </c>
      <c r="C9505">
        <f>IF(B9505="","",INT(A9505))</f>
        <v/>
      </c>
      <c r="D9505">
        <f>IF(B9505="","",HOUR(A9505))</f>
        <v/>
      </c>
    </row>
    <row r="9506">
      <c r="A9506">
        <f>Input!A9506</f>
        <v/>
      </c>
      <c r="B9506">
        <f>IF(ISNUMBER(Input!B9506),IF(AND(Input!B9506&gt;=20,Input!B9506&lt;=700),Input!B9506,""),"")</f>
        <v/>
      </c>
      <c r="C9506">
        <f>IF(B9506="","",INT(A9506))</f>
        <v/>
      </c>
      <c r="D9506">
        <f>IF(B9506="","",HOUR(A9506))</f>
        <v/>
      </c>
    </row>
    <row r="9507">
      <c r="A9507">
        <f>Input!A9507</f>
        <v/>
      </c>
      <c r="B9507">
        <f>IF(ISNUMBER(Input!B9507),IF(AND(Input!B9507&gt;=20,Input!B9507&lt;=700),Input!B9507,""),"")</f>
        <v/>
      </c>
      <c r="C9507">
        <f>IF(B9507="","",INT(A9507))</f>
        <v/>
      </c>
      <c r="D9507">
        <f>IF(B9507="","",HOUR(A9507))</f>
        <v/>
      </c>
    </row>
    <row r="9508">
      <c r="A9508">
        <f>Input!A9508</f>
        <v/>
      </c>
      <c r="B9508">
        <f>IF(ISNUMBER(Input!B9508),IF(AND(Input!B9508&gt;=20,Input!B9508&lt;=700),Input!B9508,""),"")</f>
        <v/>
      </c>
      <c r="C9508">
        <f>IF(B9508="","",INT(A9508))</f>
        <v/>
      </c>
      <c r="D9508">
        <f>IF(B9508="","",HOUR(A9508))</f>
        <v/>
      </c>
    </row>
    <row r="9509">
      <c r="A9509">
        <f>Input!A9509</f>
        <v/>
      </c>
      <c r="B9509">
        <f>IF(ISNUMBER(Input!B9509),IF(AND(Input!B9509&gt;=20,Input!B9509&lt;=700),Input!B9509,""),"")</f>
        <v/>
      </c>
      <c r="C9509">
        <f>IF(B9509="","",INT(A9509))</f>
        <v/>
      </c>
      <c r="D9509">
        <f>IF(B9509="","",HOUR(A9509))</f>
        <v/>
      </c>
    </row>
    <row r="9510">
      <c r="A9510">
        <f>Input!A9510</f>
        <v/>
      </c>
      <c r="B9510">
        <f>IF(ISNUMBER(Input!B9510),IF(AND(Input!B9510&gt;=20,Input!B9510&lt;=700),Input!B9510,""),"")</f>
        <v/>
      </c>
      <c r="C9510">
        <f>IF(B9510="","",INT(A9510))</f>
        <v/>
      </c>
      <c r="D9510">
        <f>IF(B9510="","",HOUR(A9510))</f>
        <v/>
      </c>
    </row>
    <row r="9511">
      <c r="A9511">
        <f>Input!A9511</f>
        <v/>
      </c>
      <c r="B9511">
        <f>IF(ISNUMBER(Input!B9511),IF(AND(Input!B9511&gt;=20,Input!B9511&lt;=700),Input!B9511,""),"")</f>
        <v/>
      </c>
      <c r="C9511">
        <f>IF(B9511="","",INT(A9511))</f>
        <v/>
      </c>
      <c r="D9511">
        <f>IF(B9511="","",HOUR(A9511))</f>
        <v/>
      </c>
    </row>
    <row r="9512">
      <c r="A9512">
        <f>Input!A9512</f>
        <v/>
      </c>
      <c r="B9512">
        <f>IF(ISNUMBER(Input!B9512),IF(AND(Input!B9512&gt;=20,Input!B9512&lt;=700),Input!B9512,""),"")</f>
        <v/>
      </c>
      <c r="C9512">
        <f>IF(B9512="","",INT(A9512))</f>
        <v/>
      </c>
      <c r="D9512">
        <f>IF(B9512="","",HOUR(A9512))</f>
        <v/>
      </c>
    </row>
    <row r="9513">
      <c r="A9513">
        <f>Input!A9513</f>
        <v/>
      </c>
      <c r="B9513">
        <f>IF(ISNUMBER(Input!B9513),IF(AND(Input!B9513&gt;=20,Input!B9513&lt;=700),Input!B9513,""),"")</f>
        <v/>
      </c>
      <c r="C9513">
        <f>IF(B9513="","",INT(A9513))</f>
        <v/>
      </c>
      <c r="D9513">
        <f>IF(B9513="","",HOUR(A9513))</f>
        <v/>
      </c>
    </row>
    <row r="9514">
      <c r="A9514">
        <f>Input!A9514</f>
        <v/>
      </c>
      <c r="B9514">
        <f>IF(ISNUMBER(Input!B9514),IF(AND(Input!B9514&gt;=20,Input!B9514&lt;=700),Input!B9514,""),"")</f>
        <v/>
      </c>
      <c r="C9514">
        <f>IF(B9514="","",INT(A9514))</f>
        <v/>
      </c>
      <c r="D9514">
        <f>IF(B9514="","",HOUR(A9514))</f>
        <v/>
      </c>
    </row>
    <row r="9515">
      <c r="A9515">
        <f>Input!A9515</f>
        <v/>
      </c>
      <c r="B9515">
        <f>IF(ISNUMBER(Input!B9515),IF(AND(Input!B9515&gt;=20,Input!B9515&lt;=700),Input!B9515,""),"")</f>
        <v/>
      </c>
      <c r="C9515">
        <f>IF(B9515="","",INT(A9515))</f>
        <v/>
      </c>
      <c r="D9515">
        <f>IF(B9515="","",HOUR(A9515))</f>
        <v/>
      </c>
    </row>
    <row r="9516">
      <c r="A9516">
        <f>Input!A9516</f>
        <v/>
      </c>
      <c r="B9516">
        <f>IF(ISNUMBER(Input!B9516),IF(AND(Input!B9516&gt;=20,Input!B9516&lt;=700),Input!B9516,""),"")</f>
        <v/>
      </c>
      <c r="C9516">
        <f>IF(B9516="","",INT(A9516))</f>
        <v/>
      </c>
      <c r="D9516">
        <f>IF(B9516="","",HOUR(A9516))</f>
        <v/>
      </c>
    </row>
    <row r="9517">
      <c r="A9517">
        <f>Input!A9517</f>
        <v/>
      </c>
      <c r="B9517">
        <f>IF(ISNUMBER(Input!B9517),IF(AND(Input!B9517&gt;=20,Input!B9517&lt;=700),Input!B9517,""),"")</f>
        <v/>
      </c>
      <c r="C9517">
        <f>IF(B9517="","",INT(A9517))</f>
        <v/>
      </c>
      <c r="D9517">
        <f>IF(B9517="","",HOUR(A9517))</f>
        <v/>
      </c>
    </row>
    <row r="9518">
      <c r="A9518">
        <f>Input!A9518</f>
        <v/>
      </c>
      <c r="B9518">
        <f>IF(ISNUMBER(Input!B9518),IF(AND(Input!B9518&gt;=20,Input!B9518&lt;=700),Input!B9518,""),"")</f>
        <v/>
      </c>
      <c r="C9518">
        <f>IF(B9518="","",INT(A9518))</f>
        <v/>
      </c>
      <c r="D9518">
        <f>IF(B9518="","",HOUR(A9518))</f>
        <v/>
      </c>
    </row>
    <row r="9519">
      <c r="A9519">
        <f>Input!A9519</f>
        <v/>
      </c>
      <c r="B9519">
        <f>IF(ISNUMBER(Input!B9519),IF(AND(Input!B9519&gt;=20,Input!B9519&lt;=700),Input!B9519,""),"")</f>
        <v/>
      </c>
      <c r="C9519">
        <f>IF(B9519="","",INT(A9519))</f>
        <v/>
      </c>
      <c r="D9519">
        <f>IF(B9519="","",HOUR(A9519))</f>
        <v/>
      </c>
    </row>
    <row r="9520">
      <c r="A9520">
        <f>Input!A9520</f>
        <v/>
      </c>
      <c r="B9520">
        <f>IF(ISNUMBER(Input!B9520),IF(AND(Input!B9520&gt;=20,Input!B9520&lt;=700),Input!B9520,""),"")</f>
        <v/>
      </c>
      <c r="C9520">
        <f>IF(B9520="","",INT(A9520))</f>
        <v/>
      </c>
      <c r="D9520">
        <f>IF(B9520="","",HOUR(A9520))</f>
        <v/>
      </c>
    </row>
    <row r="9521">
      <c r="A9521">
        <f>Input!A9521</f>
        <v/>
      </c>
      <c r="B9521">
        <f>IF(ISNUMBER(Input!B9521),IF(AND(Input!B9521&gt;=20,Input!B9521&lt;=700),Input!B9521,""),"")</f>
        <v/>
      </c>
      <c r="C9521">
        <f>IF(B9521="","",INT(A9521))</f>
        <v/>
      </c>
      <c r="D9521">
        <f>IF(B9521="","",HOUR(A9521))</f>
        <v/>
      </c>
    </row>
    <row r="9522">
      <c r="A9522">
        <f>Input!A9522</f>
        <v/>
      </c>
      <c r="B9522">
        <f>IF(ISNUMBER(Input!B9522),IF(AND(Input!B9522&gt;=20,Input!B9522&lt;=700),Input!B9522,""),"")</f>
        <v/>
      </c>
      <c r="C9522">
        <f>IF(B9522="","",INT(A9522))</f>
        <v/>
      </c>
      <c r="D9522">
        <f>IF(B9522="","",HOUR(A9522))</f>
        <v/>
      </c>
    </row>
    <row r="9523">
      <c r="A9523">
        <f>Input!A9523</f>
        <v/>
      </c>
      <c r="B9523">
        <f>IF(ISNUMBER(Input!B9523),IF(AND(Input!B9523&gt;=20,Input!B9523&lt;=700),Input!B9523,""),"")</f>
        <v/>
      </c>
      <c r="C9523">
        <f>IF(B9523="","",INT(A9523))</f>
        <v/>
      </c>
      <c r="D9523">
        <f>IF(B9523="","",HOUR(A9523))</f>
        <v/>
      </c>
    </row>
    <row r="9524">
      <c r="A9524">
        <f>Input!A9524</f>
        <v/>
      </c>
      <c r="B9524">
        <f>IF(ISNUMBER(Input!B9524),IF(AND(Input!B9524&gt;=20,Input!B9524&lt;=700),Input!B9524,""),"")</f>
        <v/>
      </c>
      <c r="C9524">
        <f>IF(B9524="","",INT(A9524))</f>
        <v/>
      </c>
      <c r="D9524">
        <f>IF(B9524="","",HOUR(A9524))</f>
        <v/>
      </c>
    </row>
    <row r="9525">
      <c r="A9525">
        <f>Input!A9525</f>
        <v/>
      </c>
      <c r="B9525">
        <f>IF(ISNUMBER(Input!B9525),IF(AND(Input!B9525&gt;=20,Input!B9525&lt;=700),Input!B9525,""),"")</f>
        <v/>
      </c>
      <c r="C9525">
        <f>IF(B9525="","",INT(A9525))</f>
        <v/>
      </c>
      <c r="D9525">
        <f>IF(B9525="","",HOUR(A9525))</f>
        <v/>
      </c>
    </row>
    <row r="9526">
      <c r="A9526">
        <f>Input!A9526</f>
        <v/>
      </c>
      <c r="B9526">
        <f>IF(ISNUMBER(Input!B9526),IF(AND(Input!B9526&gt;=20,Input!B9526&lt;=700),Input!B9526,""),"")</f>
        <v/>
      </c>
      <c r="C9526">
        <f>IF(B9526="","",INT(A9526))</f>
        <v/>
      </c>
      <c r="D9526">
        <f>IF(B9526="","",HOUR(A9526))</f>
        <v/>
      </c>
    </row>
    <row r="9527">
      <c r="A9527">
        <f>Input!A9527</f>
        <v/>
      </c>
      <c r="B9527">
        <f>IF(ISNUMBER(Input!B9527),IF(AND(Input!B9527&gt;=20,Input!B9527&lt;=700),Input!B9527,""),"")</f>
        <v/>
      </c>
      <c r="C9527">
        <f>IF(B9527="","",INT(A9527))</f>
        <v/>
      </c>
      <c r="D9527">
        <f>IF(B9527="","",HOUR(A9527))</f>
        <v/>
      </c>
    </row>
    <row r="9528">
      <c r="A9528">
        <f>Input!A9528</f>
        <v/>
      </c>
      <c r="B9528">
        <f>IF(ISNUMBER(Input!B9528),IF(AND(Input!B9528&gt;=20,Input!B9528&lt;=700),Input!B9528,""),"")</f>
        <v/>
      </c>
      <c r="C9528">
        <f>IF(B9528="","",INT(A9528))</f>
        <v/>
      </c>
      <c r="D9528">
        <f>IF(B9528="","",HOUR(A9528))</f>
        <v/>
      </c>
    </row>
    <row r="9529">
      <c r="A9529">
        <f>Input!A9529</f>
        <v/>
      </c>
      <c r="B9529">
        <f>IF(ISNUMBER(Input!B9529),IF(AND(Input!B9529&gt;=20,Input!B9529&lt;=700),Input!B9529,""),"")</f>
        <v/>
      </c>
      <c r="C9529">
        <f>IF(B9529="","",INT(A9529))</f>
        <v/>
      </c>
      <c r="D9529">
        <f>IF(B9529="","",HOUR(A9529))</f>
        <v/>
      </c>
    </row>
    <row r="9530">
      <c r="A9530">
        <f>Input!A9530</f>
        <v/>
      </c>
      <c r="B9530">
        <f>IF(ISNUMBER(Input!B9530),IF(AND(Input!B9530&gt;=20,Input!B9530&lt;=700),Input!B9530,""),"")</f>
        <v/>
      </c>
      <c r="C9530">
        <f>IF(B9530="","",INT(A9530))</f>
        <v/>
      </c>
      <c r="D9530">
        <f>IF(B9530="","",HOUR(A9530))</f>
        <v/>
      </c>
    </row>
    <row r="9531">
      <c r="A9531">
        <f>Input!A9531</f>
        <v/>
      </c>
      <c r="B9531">
        <f>IF(ISNUMBER(Input!B9531),IF(AND(Input!B9531&gt;=20,Input!B9531&lt;=700),Input!B9531,""),"")</f>
        <v/>
      </c>
      <c r="C9531">
        <f>IF(B9531="","",INT(A9531))</f>
        <v/>
      </c>
      <c r="D9531">
        <f>IF(B9531="","",HOUR(A9531))</f>
        <v/>
      </c>
    </row>
    <row r="9532">
      <c r="A9532">
        <f>Input!A9532</f>
        <v/>
      </c>
      <c r="B9532">
        <f>IF(ISNUMBER(Input!B9532),IF(AND(Input!B9532&gt;=20,Input!B9532&lt;=700),Input!B9532,""),"")</f>
        <v/>
      </c>
      <c r="C9532">
        <f>IF(B9532="","",INT(A9532))</f>
        <v/>
      </c>
      <c r="D9532">
        <f>IF(B9532="","",HOUR(A9532))</f>
        <v/>
      </c>
    </row>
    <row r="9533">
      <c r="A9533">
        <f>Input!A9533</f>
        <v/>
      </c>
      <c r="B9533">
        <f>IF(ISNUMBER(Input!B9533),IF(AND(Input!B9533&gt;=20,Input!B9533&lt;=700),Input!B9533,""),"")</f>
        <v/>
      </c>
      <c r="C9533">
        <f>IF(B9533="","",INT(A9533))</f>
        <v/>
      </c>
      <c r="D9533">
        <f>IF(B9533="","",HOUR(A9533))</f>
        <v/>
      </c>
    </row>
    <row r="9534">
      <c r="A9534">
        <f>Input!A9534</f>
        <v/>
      </c>
      <c r="B9534">
        <f>IF(ISNUMBER(Input!B9534),IF(AND(Input!B9534&gt;=20,Input!B9534&lt;=700),Input!B9534,""),"")</f>
        <v/>
      </c>
      <c r="C9534">
        <f>IF(B9534="","",INT(A9534))</f>
        <v/>
      </c>
      <c r="D9534">
        <f>IF(B9534="","",HOUR(A9534))</f>
        <v/>
      </c>
    </row>
    <row r="9535">
      <c r="A9535">
        <f>Input!A9535</f>
        <v/>
      </c>
      <c r="B9535">
        <f>IF(ISNUMBER(Input!B9535),IF(AND(Input!B9535&gt;=20,Input!B9535&lt;=700),Input!B9535,""),"")</f>
        <v/>
      </c>
      <c r="C9535">
        <f>IF(B9535="","",INT(A9535))</f>
        <v/>
      </c>
      <c r="D9535">
        <f>IF(B9535="","",HOUR(A9535))</f>
        <v/>
      </c>
    </row>
    <row r="9536">
      <c r="A9536">
        <f>Input!A9536</f>
        <v/>
      </c>
      <c r="B9536">
        <f>IF(ISNUMBER(Input!B9536),IF(AND(Input!B9536&gt;=20,Input!B9536&lt;=700),Input!B9536,""),"")</f>
        <v/>
      </c>
      <c r="C9536">
        <f>IF(B9536="","",INT(A9536))</f>
        <v/>
      </c>
      <c r="D9536">
        <f>IF(B9536="","",HOUR(A9536))</f>
        <v/>
      </c>
    </row>
    <row r="9537">
      <c r="A9537">
        <f>Input!A9537</f>
        <v/>
      </c>
      <c r="B9537">
        <f>IF(ISNUMBER(Input!B9537),IF(AND(Input!B9537&gt;=20,Input!B9537&lt;=700),Input!B9537,""),"")</f>
        <v/>
      </c>
      <c r="C9537">
        <f>IF(B9537="","",INT(A9537))</f>
        <v/>
      </c>
      <c r="D9537">
        <f>IF(B9537="","",HOUR(A9537))</f>
        <v/>
      </c>
    </row>
    <row r="9538">
      <c r="A9538">
        <f>Input!A9538</f>
        <v/>
      </c>
      <c r="B9538">
        <f>IF(ISNUMBER(Input!B9538),IF(AND(Input!B9538&gt;=20,Input!B9538&lt;=700),Input!B9538,""),"")</f>
        <v/>
      </c>
      <c r="C9538">
        <f>IF(B9538="","",INT(A9538))</f>
        <v/>
      </c>
      <c r="D9538">
        <f>IF(B9538="","",HOUR(A9538))</f>
        <v/>
      </c>
    </row>
    <row r="9539">
      <c r="A9539">
        <f>Input!A9539</f>
        <v/>
      </c>
      <c r="B9539">
        <f>IF(ISNUMBER(Input!B9539),IF(AND(Input!B9539&gt;=20,Input!B9539&lt;=700),Input!B9539,""),"")</f>
        <v/>
      </c>
      <c r="C9539">
        <f>IF(B9539="","",INT(A9539))</f>
        <v/>
      </c>
      <c r="D9539">
        <f>IF(B9539="","",HOUR(A9539))</f>
        <v/>
      </c>
    </row>
    <row r="9540">
      <c r="A9540">
        <f>Input!A9540</f>
        <v/>
      </c>
      <c r="B9540">
        <f>IF(ISNUMBER(Input!B9540),IF(AND(Input!B9540&gt;=20,Input!B9540&lt;=700),Input!B9540,""),"")</f>
        <v/>
      </c>
      <c r="C9540">
        <f>IF(B9540="","",INT(A9540))</f>
        <v/>
      </c>
      <c r="D9540">
        <f>IF(B9540="","",HOUR(A9540))</f>
        <v/>
      </c>
    </row>
    <row r="9541">
      <c r="A9541">
        <f>Input!A9541</f>
        <v/>
      </c>
      <c r="B9541">
        <f>IF(ISNUMBER(Input!B9541),IF(AND(Input!B9541&gt;=20,Input!B9541&lt;=700),Input!B9541,""),"")</f>
        <v/>
      </c>
      <c r="C9541">
        <f>IF(B9541="","",INT(A9541))</f>
        <v/>
      </c>
      <c r="D9541">
        <f>IF(B9541="","",HOUR(A9541))</f>
        <v/>
      </c>
    </row>
    <row r="9542">
      <c r="A9542">
        <f>Input!A9542</f>
        <v/>
      </c>
      <c r="B9542">
        <f>IF(ISNUMBER(Input!B9542),IF(AND(Input!B9542&gt;=20,Input!B9542&lt;=700),Input!B9542,""),"")</f>
        <v/>
      </c>
      <c r="C9542">
        <f>IF(B9542="","",INT(A9542))</f>
        <v/>
      </c>
      <c r="D9542">
        <f>IF(B9542="","",HOUR(A9542))</f>
        <v/>
      </c>
    </row>
    <row r="9543">
      <c r="A9543">
        <f>Input!A9543</f>
        <v/>
      </c>
      <c r="B9543">
        <f>IF(ISNUMBER(Input!B9543),IF(AND(Input!B9543&gt;=20,Input!B9543&lt;=700),Input!B9543,""),"")</f>
        <v/>
      </c>
      <c r="C9543">
        <f>IF(B9543="","",INT(A9543))</f>
        <v/>
      </c>
      <c r="D9543">
        <f>IF(B9543="","",HOUR(A9543))</f>
        <v/>
      </c>
    </row>
    <row r="9544">
      <c r="A9544">
        <f>Input!A9544</f>
        <v/>
      </c>
      <c r="B9544">
        <f>IF(ISNUMBER(Input!B9544),IF(AND(Input!B9544&gt;=20,Input!B9544&lt;=700),Input!B9544,""),"")</f>
        <v/>
      </c>
      <c r="C9544">
        <f>IF(B9544="","",INT(A9544))</f>
        <v/>
      </c>
      <c r="D9544">
        <f>IF(B9544="","",HOUR(A9544))</f>
        <v/>
      </c>
    </row>
    <row r="9545">
      <c r="A9545">
        <f>Input!A9545</f>
        <v/>
      </c>
      <c r="B9545">
        <f>IF(ISNUMBER(Input!B9545),IF(AND(Input!B9545&gt;=20,Input!B9545&lt;=700),Input!B9545,""),"")</f>
        <v/>
      </c>
      <c r="C9545">
        <f>IF(B9545="","",INT(A9545))</f>
        <v/>
      </c>
      <c r="D9545">
        <f>IF(B9545="","",HOUR(A9545))</f>
        <v/>
      </c>
    </row>
    <row r="9546">
      <c r="A9546">
        <f>Input!A9546</f>
        <v/>
      </c>
      <c r="B9546">
        <f>IF(ISNUMBER(Input!B9546),IF(AND(Input!B9546&gt;=20,Input!B9546&lt;=700),Input!B9546,""),"")</f>
        <v/>
      </c>
      <c r="C9546">
        <f>IF(B9546="","",INT(A9546))</f>
        <v/>
      </c>
      <c r="D9546">
        <f>IF(B9546="","",HOUR(A9546))</f>
        <v/>
      </c>
    </row>
    <row r="9547">
      <c r="A9547">
        <f>Input!A9547</f>
        <v/>
      </c>
      <c r="B9547">
        <f>IF(ISNUMBER(Input!B9547),IF(AND(Input!B9547&gt;=20,Input!B9547&lt;=700),Input!B9547,""),"")</f>
        <v/>
      </c>
      <c r="C9547">
        <f>IF(B9547="","",INT(A9547))</f>
        <v/>
      </c>
      <c r="D9547">
        <f>IF(B9547="","",HOUR(A9547))</f>
        <v/>
      </c>
    </row>
    <row r="9548">
      <c r="A9548">
        <f>Input!A9548</f>
        <v/>
      </c>
      <c r="B9548">
        <f>IF(ISNUMBER(Input!B9548),IF(AND(Input!B9548&gt;=20,Input!B9548&lt;=700),Input!B9548,""),"")</f>
        <v/>
      </c>
      <c r="C9548">
        <f>IF(B9548="","",INT(A9548))</f>
        <v/>
      </c>
      <c r="D9548">
        <f>IF(B9548="","",HOUR(A9548))</f>
        <v/>
      </c>
    </row>
    <row r="9549">
      <c r="A9549">
        <f>Input!A9549</f>
        <v/>
      </c>
      <c r="B9549">
        <f>IF(ISNUMBER(Input!B9549),IF(AND(Input!B9549&gt;=20,Input!B9549&lt;=700),Input!B9549,""),"")</f>
        <v/>
      </c>
      <c r="C9549">
        <f>IF(B9549="","",INT(A9549))</f>
        <v/>
      </c>
      <c r="D9549">
        <f>IF(B9549="","",HOUR(A9549))</f>
        <v/>
      </c>
    </row>
    <row r="9550">
      <c r="A9550">
        <f>Input!A9550</f>
        <v/>
      </c>
      <c r="B9550">
        <f>IF(ISNUMBER(Input!B9550),IF(AND(Input!B9550&gt;=20,Input!B9550&lt;=700),Input!B9550,""),"")</f>
        <v/>
      </c>
      <c r="C9550">
        <f>IF(B9550="","",INT(A9550))</f>
        <v/>
      </c>
      <c r="D9550">
        <f>IF(B9550="","",HOUR(A9550))</f>
        <v/>
      </c>
    </row>
    <row r="9551">
      <c r="A9551">
        <f>Input!A9551</f>
        <v/>
      </c>
      <c r="B9551">
        <f>IF(ISNUMBER(Input!B9551),IF(AND(Input!B9551&gt;=20,Input!B9551&lt;=700),Input!B9551,""),"")</f>
        <v/>
      </c>
      <c r="C9551">
        <f>IF(B9551="","",INT(A9551))</f>
        <v/>
      </c>
      <c r="D9551">
        <f>IF(B9551="","",HOUR(A9551))</f>
        <v/>
      </c>
    </row>
    <row r="9552">
      <c r="A9552">
        <f>Input!A9552</f>
        <v/>
      </c>
      <c r="B9552">
        <f>IF(ISNUMBER(Input!B9552),IF(AND(Input!B9552&gt;=20,Input!B9552&lt;=700),Input!B9552,""),"")</f>
        <v/>
      </c>
      <c r="C9552">
        <f>IF(B9552="","",INT(A9552))</f>
        <v/>
      </c>
      <c r="D9552">
        <f>IF(B9552="","",HOUR(A9552))</f>
        <v/>
      </c>
    </row>
    <row r="9553">
      <c r="A9553">
        <f>Input!A9553</f>
        <v/>
      </c>
      <c r="B9553">
        <f>IF(ISNUMBER(Input!B9553),IF(AND(Input!B9553&gt;=20,Input!B9553&lt;=700),Input!B9553,""),"")</f>
        <v/>
      </c>
      <c r="C9553">
        <f>IF(B9553="","",INT(A9553))</f>
        <v/>
      </c>
      <c r="D9553">
        <f>IF(B9553="","",HOUR(A9553))</f>
        <v/>
      </c>
    </row>
    <row r="9554">
      <c r="A9554">
        <f>Input!A9554</f>
        <v/>
      </c>
      <c r="B9554">
        <f>IF(ISNUMBER(Input!B9554),IF(AND(Input!B9554&gt;=20,Input!B9554&lt;=700),Input!B9554,""),"")</f>
        <v/>
      </c>
      <c r="C9554">
        <f>IF(B9554="","",INT(A9554))</f>
        <v/>
      </c>
      <c r="D9554">
        <f>IF(B9554="","",HOUR(A9554))</f>
        <v/>
      </c>
    </row>
    <row r="9555">
      <c r="A9555">
        <f>Input!A9555</f>
        <v/>
      </c>
      <c r="B9555">
        <f>IF(ISNUMBER(Input!B9555),IF(AND(Input!B9555&gt;=20,Input!B9555&lt;=700),Input!B9555,""),"")</f>
        <v/>
      </c>
      <c r="C9555">
        <f>IF(B9555="","",INT(A9555))</f>
        <v/>
      </c>
      <c r="D9555">
        <f>IF(B9555="","",HOUR(A9555))</f>
        <v/>
      </c>
    </row>
    <row r="9556">
      <c r="A9556">
        <f>Input!A9556</f>
        <v/>
      </c>
      <c r="B9556">
        <f>IF(ISNUMBER(Input!B9556),IF(AND(Input!B9556&gt;=20,Input!B9556&lt;=700),Input!B9556,""),"")</f>
        <v/>
      </c>
      <c r="C9556">
        <f>IF(B9556="","",INT(A9556))</f>
        <v/>
      </c>
      <c r="D9556">
        <f>IF(B9556="","",HOUR(A9556))</f>
        <v/>
      </c>
    </row>
    <row r="9557">
      <c r="A9557">
        <f>Input!A9557</f>
        <v/>
      </c>
      <c r="B9557">
        <f>IF(ISNUMBER(Input!B9557),IF(AND(Input!B9557&gt;=20,Input!B9557&lt;=700),Input!B9557,""),"")</f>
        <v/>
      </c>
      <c r="C9557">
        <f>IF(B9557="","",INT(A9557))</f>
        <v/>
      </c>
      <c r="D9557">
        <f>IF(B9557="","",HOUR(A9557))</f>
        <v/>
      </c>
    </row>
    <row r="9558">
      <c r="A9558">
        <f>Input!A9558</f>
        <v/>
      </c>
      <c r="B9558">
        <f>IF(ISNUMBER(Input!B9558),IF(AND(Input!B9558&gt;=20,Input!B9558&lt;=700),Input!B9558,""),"")</f>
        <v/>
      </c>
      <c r="C9558">
        <f>IF(B9558="","",INT(A9558))</f>
        <v/>
      </c>
      <c r="D9558">
        <f>IF(B9558="","",HOUR(A9558))</f>
        <v/>
      </c>
    </row>
    <row r="9559">
      <c r="A9559">
        <f>Input!A9559</f>
        <v/>
      </c>
      <c r="B9559">
        <f>IF(ISNUMBER(Input!B9559),IF(AND(Input!B9559&gt;=20,Input!B9559&lt;=700),Input!B9559,""),"")</f>
        <v/>
      </c>
      <c r="C9559">
        <f>IF(B9559="","",INT(A9559))</f>
        <v/>
      </c>
      <c r="D9559">
        <f>IF(B9559="","",HOUR(A9559))</f>
        <v/>
      </c>
    </row>
    <row r="9560">
      <c r="A9560">
        <f>Input!A9560</f>
        <v/>
      </c>
      <c r="B9560">
        <f>IF(ISNUMBER(Input!B9560),IF(AND(Input!B9560&gt;=20,Input!B9560&lt;=700),Input!B9560,""),"")</f>
        <v/>
      </c>
      <c r="C9560">
        <f>IF(B9560="","",INT(A9560))</f>
        <v/>
      </c>
      <c r="D9560">
        <f>IF(B9560="","",HOUR(A9560))</f>
        <v/>
      </c>
    </row>
    <row r="9561">
      <c r="A9561">
        <f>Input!A9561</f>
        <v/>
      </c>
      <c r="B9561">
        <f>IF(ISNUMBER(Input!B9561),IF(AND(Input!B9561&gt;=20,Input!B9561&lt;=700),Input!B9561,""),"")</f>
        <v/>
      </c>
      <c r="C9561">
        <f>IF(B9561="","",INT(A9561))</f>
        <v/>
      </c>
      <c r="D9561">
        <f>IF(B9561="","",HOUR(A9561))</f>
        <v/>
      </c>
    </row>
    <row r="9562">
      <c r="A9562">
        <f>Input!A9562</f>
        <v/>
      </c>
      <c r="B9562">
        <f>IF(ISNUMBER(Input!B9562),IF(AND(Input!B9562&gt;=20,Input!B9562&lt;=700),Input!B9562,""),"")</f>
        <v/>
      </c>
      <c r="C9562">
        <f>IF(B9562="","",INT(A9562))</f>
        <v/>
      </c>
      <c r="D9562">
        <f>IF(B9562="","",HOUR(A9562))</f>
        <v/>
      </c>
    </row>
    <row r="9563">
      <c r="A9563">
        <f>Input!A9563</f>
        <v/>
      </c>
      <c r="B9563">
        <f>IF(ISNUMBER(Input!B9563),IF(AND(Input!B9563&gt;=20,Input!B9563&lt;=700),Input!B9563,""),"")</f>
        <v/>
      </c>
      <c r="C9563">
        <f>IF(B9563="","",INT(A9563))</f>
        <v/>
      </c>
      <c r="D9563">
        <f>IF(B9563="","",HOUR(A9563))</f>
        <v/>
      </c>
    </row>
    <row r="9564">
      <c r="A9564">
        <f>Input!A9564</f>
        <v/>
      </c>
      <c r="B9564">
        <f>IF(ISNUMBER(Input!B9564),IF(AND(Input!B9564&gt;=20,Input!B9564&lt;=700),Input!B9564,""),"")</f>
        <v/>
      </c>
      <c r="C9564">
        <f>IF(B9564="","",INT(A9564))</f>
        <v/>
      </c>
      <c r="D9564">
        <f>IF(B9564="","",HOUR(A9564))</f>
        <v/>
      </c>
    </row>
    <row r="9565">
      <c r="A9565">
        <f>Input!A9565</f>
        <v/>
      </c>
      <c r="B9565">
        <f>IF(ISNUMBER(Input!B9565),IF(AND(Input!B9565&gt;=20,Input!B9565&lt;=700),Input!B9565,""),"")</f>
        <v/>
      </c>
      <c r="C9565">
        <f>IF(B9565="","",INT(A9565))</f>
        <v/>
      </c>
      <c r="D9565">
        <f>IF(B9565="","",HOUR(A9565))</f>
        <v/>
      </c>
    </row>
    <row r="9566">
      <c r="A9566">
        <f>Input!A9566</f>
        <v/>
      </c>
      <c r="B9566">
        <f>IF(ISNUMBER(Input!B9566),IF(AND(Input!B9566&gt;=20,Input!B9566&lt;=700),Input!B9566,""),"")</f>
        <v/>
      </c>
      <c r="C9566">
        <f>IF(B9566="","",INT(A9566))</f>
        <v/>
      </c>
      <c r="D9566">
        <f>IF(B9566="","",HOUR(A9566))</f>
        <v/>
      </c>
    </row>
    <row r="9567">
      <c r="A9567">
        <f>Input!A9567</f>
        <v/>
      </c>
      <c r="B9567">
        <f>IF(ISNUMBER(Input!B9567),IF(AND(Input!B9567&gt;=20,Input!B9567&lt;=700),Input!B9567,""),"")</f>
        <v/>
      </c>
      <c r="C9567">
        <f>IF(B9567="","",INT(A9567))</f>
        <v/>
      </c>
      <c r="D9567">
        <f>IF(B9567="","",HOUR(A9567))</f>
        <v/>
      </c>
    </row>
    <row r="9568">
      <c r="A9568">
        <f>Input!A9568</f>
        <v/>
      </c>
      <c r="B9568">
        <f>IF(ISNUMBER(Input!B9568),IF(AND(Input!B9568&gt;=20,Input!B9568&lt;=700),Input!B9568,""),"")</f>
        <v/>
      </c>
      <c r="C9568">
        <f>IF(B9568="","",INT(A9568))</f>
        <v/>
      </c>
      <c r="D9568">
        <f>IF(B9568="","",HOUR(A9568))</f>
        <v/>
      </c>
    </row>
    <row r="9569">
      <c r="A9569">
        <f>Input!A9569</f>
        <v/>
      </c>
      <c r="B9569">
        <f>IF(ISNUMBER(Input!B9569),IF(AND(Input!B9569&gt;=20,Input!B9569&lt;=700),Input!B9569,""),"")</f>
        <v/>
      </c>
      <c r="C9569">
        <f>IF(B9569="","",INT(A9569))</f>
        <v/>
      </c>
      <c r="D9569">
        <f>IF(B9569="","",HOUR(A9569))</f>
        <v/>
      </c>
    </row>
    <row r="9570">
      <c r="A9570">
        <f>Input!A9570</f>
        <v/>
      </c>
      <c r="B9570">
        <f>IF(ISNUMBER(Input!B9570),IF(AND(Input!B9570&gt;=20,Input!B9570&lt;=700),Input!B9570,""),"")</f>
        <v/>
      </c>
      <c r="C9570">
        <f>IF(B9570="","",INT(A9570))</f>
        <v/>
      </c>
      <c r="D9570">
        <f>IF(B9570="","",HOUR(A9570))</f>
        <v/>
      </c>
    </row>
    <row r="9571">
      <c r="A9571">
        <f>Input!A9571</f>
        <v/>
      </c>
      <c r="B9571">
        <f>IF(ISNUMBER(Input!B9571),IF(AND(Input!B9571&gt;=20,Input!B9571&lt;=700),Input!B9571,""),"")</f>
        <v/>
      </c>
      <c r="C9571">
        <f>IF(B9571="","",INT(A9571))</f>
        <v/>
      </c>
      <c r="D9571">
        <f>IF(B9571="","",HOUR(A9571))</f>
        <v/>
      </c>
    </row>
    <row r="9572">
      <c r="A9572">
        <f>Input!A9572</f>
        <v/>
      </c>
      <c r="B9572">
        <f>IF(ISNUMBER(Input!B9572),IF(AND(Input!B9572&gt;=20,Input!B9572&lt;=700),Input!B9572,""),"")</f>
        <v/>
      </c>
      <c r="C9572">
        <f>IF(B9572="","",INT(A9572))</f>
        <v/>
      </c>
      <c r="D9572">
        <f>IF(B9572="","",HOUR(A9572))</f>
        <v/>
      </c>
    </row>
    <row r="9573">
      <c r="A9573">
        <f>Input!A9573</f>
        <v/>
      </c>
      <c r="B9573">
        <f>IF(ISNUMBER(Input!B9573),IF(AND(Input!B9573&gt;=20,Input!B9573&lt;=700),Input!B9573,""),"")</f>
        <v/>
      </c>
      <c r="C9573">
        <f>IF(B9573="","",INT(A9573))</f>
        <v/>
      </c>
      <c r="D9573">
        <f>IF(B9573="","",HOUR(A9573))</f>
        <v/>
      </c>
    </row>
    <row r="9574">
      <c r="A9574">
        <f>Input!A9574</f>
        <v/>
      </c>
      <c r="B9574">
        <f>IF(ISNUMBER(Input!B9574),IF(AND(Input!B9574&gt;=20,Input!B9574&lt;=700),Input!B9574,""),"")</f>
        <v/>
      </c>
      <c r="C9574">
        <f>IF(B9574="","",INT(A9574))</f>
        <v/>
      </c>
      <c r="D9574">
        <f>IF(B9574="","",HOUR(A9574))</f>
        <v/>
      </c>
    </row>
    <row r="9575">
      <c r="A9575">
        <f>Input!A9575</f>
        <v/>
      </c>
      <c r="B9575">
        <f>IF(ISNUMBER(Input!B9575),IF(AND(Input!B9575&gt;=20,Input!B9575&lt;=700),Input!B9575,""),"")</f>
        <v/>
      </c>
      <c r="C9575">
        <f>IF(B9575="","",INT(A9575))</f>
        <v/>
      </c>
      <c r="D9575">
        <f>IF(B9575="","",HOUR(A9575))</f>
        <v/>
      </c>
    </row>
    <row r="9576">
      <c r="A9576">
        <f>Input!A9576</f>
        <v/>
      </c>
      <c r="B9576">
        <f>IF(ISNUMBER(Input!B9576),IF(AND(Input!B9576&gt;=20,Input!B9576&lt;=700),Input!B9576,""),"")</f>
        <v/>
      </c>
      <c r="C9576">
        <f>IF(B9576="","",INT(A9576))</f>
        <v/>
      </c>
      <c r="D9576">
        <f>IF(B9576="","",HOUR(A9576))</f>
        <v/>
      </c>
    </row>
    <row r="9577">
      <c r="A9577">
        <f>Input!A9577</f>
        <v/>
      </c>
      <c r="B9577">
        <f>IF(ISNUMBER(Input!B9577),IF(AND(Input!B9577&gt;=20,Input!B9577&lt;=700),Input!B9577,""),"")</f>
        <v/>
      </c>
      <c r="C9577">
        <f>IF(B9577="","",INT(A9577))</f>
        <v/>
      </c>
      <c r="D9577">
        <f>IF(B9577="","",HOUR(A9577))</f>
        <v/>
      </c>
    </row>
    <row r="9578">
      <c r="A9578">
        <f>Input!A9578</f>
        <v/>
      </c>
      <c r="B9578">
        <f>IF(ISNUMBER(Input!B9578),IF(AND(Input!B9578&gt;=20,Input!B9578&lt;=700),Input!B9578,""),"")</f>
        <v/>
      </c>
      <c r="C9578">
        <f>IF(B9578="","",INT(A9578))</f>
        <v/>
      </c>
      <c r="D9578">
        <f>IF(B9578="","",HOUR(A9578))</f>
        <v/>
      </c>
    </row>
    <row r="9579">
      <c r="A9579">
        <f>Input!A9579</f>
        <v/>
      </c>
      <c r="B9579">
        <f>IF(ISNUMBER(Input!B9579),IF(AND(Input!B9579&gt;=20,Input!B9579&lt;=700),Input!B9579,""),"")</f>
        <v/>
      </c>
      <c r="C9579">
        <f>IF(B9579="","",INT(A9579))</f>
        <v/>
      </c>
      <c r="D9579">
        <f>IF(B9579="","",HOUR(A9579))</f>
        <v/>
      </c>
    </row>
    <row r="9580">
      <c r="A9580">
        <f>Input!A9580</f>
        <v/>
      </c>
      <c r="B9580">
        <f>IF(ISNUMBER(Input!B9580),IF(AND(Input!B9580&gt;=20,Input!B9580&lt;=700),Input!B9580,""),"")</f>
        <v/>
      </c>
      <c r="C9580">
        <f>IF(B9580="","",INT(A9580))</f>
        <v/>
      </c>
      <c r="D9580">
        <f>IF(B9580="","",HOUR(A9580))</f>
        <v/>
      </c>
    </row>
    <row r="9581">
      <c r="A9581">
        <f>Input!A9581</f>
        <v/>
      </c>
      <c r="B9581">
        <f>IF(ISNUMBER(Input!B9581),IF(AND(Input!B9581&gt;=20,Input!B9581&lt;=700),Input!B9581,""),"")</f>
        <v/>
      </c>
      <c r="C9581">
        <f>IF(B9581="","",INT(A9581))</f>
        <v/>
      </c>
      <c r="D9581">
        <f>IF(B9581="","",HOUR(A9581))</f>
        <v/>
      </c>
    </row>
    <row r="9582">
      <c r="A9582">
        <f>Input!A9582</f>
        <v/>
      </c>
      <c r="B9582">
        <f>IF(ISNUMBER(Input!B9582),IF(AND(Input!B9582&gt;=20,Input!B9582&lt;=700),Input!B9582,""),"")</f>
        <v/>
      </c>
      <c r="C9582">
        <f>IF(B9582="","",INT(A9582))</f>
        <v/>
      </c>
      <c r="D9582">
        <f>IF(B9582="","",HOUR(A9582))</f>
        <v/>
      </c>
    </row>
    <row r="9583">
      <c r="A9583">
        <f>Input!A9583</f>
        <v/>
      </c>
      <c r="B9583">
        <f>IF(ISNUMBER(Input!B9583),IF(AND(Input!B9583&gt;=20,Input!B9583&lt;=700),Input!B9583,""),"")</f>
        <v/>
      </c>
      <c r="C9583">
        <f>IF(B9583="","",INT(A9583))</f>
        <v/>
      </c>
      <c r="D9583">
        <f>IF(B9583="","",HOUR(A9583))</f>
        <v/>
      </c>
    </row>
    <row r="9584">
      <c r="A9584">
        <f>Input!A9584</f>
        <v/>
      </c>
      <c r="B9584">
        <f>IF(ISNUMBER(Input!B9584),IF(AND(Input!B9584&gt;=20,Input!B9584&lt;=700),Input!B9584,""),"")</f>
        <v/>
      </c>
      <c r="C9584">
        <f>IF(B9584="","",INT(A9584))</f>
        <v/>
      </c>
      <c r="D9584">
        <f>IF(B9584="","",HOUR(A9584))</f>
        <v/>
      </c>
    </row>
    <row r="9585">
      <c r="A9585">
        <f>Input!A9585</f>
        <v/>
      </c>
      <c r="B9585">
        <f>IF(ISNUMBER(Input!B9585),IF(AND(Input!B9585&gt;=20,Input!B9585&lt;=700),Input!B9585,""),"")</f>
        <v/>
      </c>
      <c r="C9585">
        <f>IF(B9585="","",INT(A9585))</f>
        <v/>
      </c>
      <c r="D9585">
        <f>IF(B9585="","",HOUR(A9585))</f>
        <v/>
      </c>
    </row>
    <row r="9586">
      <c r="A9586">
        <f>Input!A9586</f>
        <v/>
      </c>
      <c r="B9586">
        <f>IF(ISNUMBER(Input!B9586),IF(AND(Input!B9586&gt;=20,Input!B9586&lt;=700),Input!B9586,""),"")</f>
        <v/>
      </c>
      <c r="C9586">
        <f>IF(B9586="","",INT(A9586))</f>
        <v/>
      </c>
      <c r="D9586">
        <f>IF(B9586="","",HOUR(A9586))</f>
        <v/>
      </c>
    </row>
    <row r="9587">
      <c r="A9587">
        <f>Input!A9587</f>
        <v/>
      </c>
      <c r="B9587">
        <f>IF(ISNUMBER(Input!B9587),IF(AND(Input!B9587&gt;=20,Input!B9587&lt;=700),Input!B9587,""),"")</f>
        <v/>
      </c>
      <c r="C9587">
        <f>IF(B9587="","",INT(A9587))</f>
        <v/>
      </c>
      <c r="D9587">
        <f>IF(B9587="","",HOUR(A9587))</f>
        <v/>
      </c>
    </row>
    <row r="9588">
      <c r="A9588">
        <f>Input!A9588</f>
        <v/>
      </c>
      <c r="B9588">
        <f>IF(ISNUMBER(Input!B9588),IF(AND(Input!B9588&gt;=20,Input!B9588&lt;=700),Input!B9588,""),"")</f>
        <v/>
      </c>
      <c r="C9588">
        <f>IF(B9588="","",INT(A9588))</f>
        <v/>
      </c>
      <c r="D9588">
        <f>IF(B9588="","",HOUR(A9588))</f>
        <v/>
      </c>
    </row>
    <row r="9589">
      <c r="A9589">
        <f>Input!A9589</f>
        <v/>
      </c>
      <c r="B9589">
        <f>IF(ISNUMBER(Input!B9589),IF(AND(Input!B9589&gt;=20,Input!B9589&lt;=700),Input!B9589,""),"")</f>
        <v/>
      </c>
      <c r="C9589">
        <f>IF(B9589="","",INT(A9589))</f>
        <v/>
      </c>
      <c r="D9589">
        <f>IF(B9589="","",HOUR(A9589))</f>
        <v/>
      </c>
    </row>
    <row r="9590">
      <c r="A9590">
        <f>Input!A9590</f>
        <v/>
      </c>
      <c r="B9590">
        <f>IF(ISNUMBER(Input!B9590),IF(AND(Input!B9590&gt;=20,Input!B9590&lt;=700),Input!B9590,""),"")</f>
        <v/>
      </c>
      <c r="C9590">
        <f>IF(B9590="","",INT(A9590))</f>
        <v/>
      </c>
      <c r="D9590">
        <f>IF(B9590="","",HOUR(A9590))</f>
        <v/>
      </c>
    </row>
    <row r="9591">
      <c r="A9591">
        <f>Input!A9591</f>
        <v/>
      </c>
      <c r="B9591">
        <f>IF(ISNUMBER(Input!B9591),IF(AND(Input!B9591&gt;=20,Input!B9591&lt;=700),Input!B9591,""),"")</f>
        <v/>
      </c>
      <c r="C9591">
        <f>IF(B9591="","",INT(A9591))</f>
        <v/>
      </c>
      <c r="D9591">
        <f>IF(B9591="","",HOUR(A9591))</f>
        <v/>
      </c>
    </row>
    <row r="9592">
      <c r="A9592">
        <f>Input!A9592</f>
        <v/>
      </c>
      <c r="B9592">
        <f>IF(ISNUMBER(Input!B9592),IF(AND(Input!B9592&gt;=20,Input!B9592&lt;=700),Input!B9592,""),"")</f>
        <v/>
      </c>
      <c r="C9592">
        <f>IF(B9592="","",INT(A9592))</f>
        <v/>
      </c>
      <c r="D9592">
        <f>IF(B9592="","",HOUR(A9592))</f>
        <v/>
      </c>
    </row>
    <row r="9593">
      <c r="A9593">
        <f>Input!A9593</f>
        <v/>
      </c>
      <c r="B9593">
        <f>IF(ISNUMBER(Input!B9593),IF(AND(Input!B9593&gt;=20,Input!B9593&lt;=700),Input!B9593,""),"")</f>
        <v/>
      </c>
      <c r="C9593">
        <f>IF(B9593="","",INT(A9593))</f>
        <v/>
      </c>
      <c r="D9593">
        <f>IF(B9593="","",HOUR(A9593))</f>
        <v/>
      </c>
    </row>
    <row r="9594">
      <c r="A9594">
        <f>Input!A9594</f>
        <v/>
      </c>
      <c r="B9594">
        <f>IF(ISNUMBER(Input!B9594),IF(AND(Input!B9594&gt;=20,Input!B9594&lt;=700),Input!B9594,""),"")</f>
        <v/>
      </c>
      <c r="C9594">
        <f>IF(B9594="","",INT(A9594))</f>
        <v/>
      </c>
      <c r="D9594">
        <f>IF(B9594="","",HOUR(A9594))</f>
        <v/>
      </c>
    </row>
    <row r="9595">
      <c r="A9595">
        <f>Input!A9595</f>
        <v/>
      </c>
      <c r="B9595">
        <f>IF(ISNUMBER(Input!B9595),IF(AND(Input!B9595&gt;=20,Input!B9595&lt;=700),Input!B9595,""),"")</f>
        <v/>
      </c>
      <c r="C9595">
        <f>IF(B9595="","",INT(A9595))</f>
        <v/>
      </c>
      <c r="D9595">
        <f>IF(B9595="","",HOUR(A9595))</f>
        <v/>
      </c>
    </row>
    <row r="9596">
      <c r="A9596">
        <f>Input!A9596</f>
        <v/>
      </c>
      <c r="B9596">
        <f>IF(ISNUMBER(Input!B9596),IF(AND(Input!B9596&gt;=20,Input!B9596&lt;=700),Input!B9596,""),"")</f>
        <v/>
      </c>
      <c r="C9596">
        <f>IF(B9596="","",INT(A9596))</f>
        <v/>
      </c>
      <c r="D9596">
        <f>IF(B9596="","",HOUR(A9596))</f>
        <v/>
      </c>
    </row>
    <row r="9597">
      <c r="A9597">
        <f>Input!A9597</f>
        <v/>
      </c>
      <c r="B9597">
        <f>IF(ISNUMBER(Input!B9597),IF(AND(Input!B9597&gt;=20,Input!B9597&lt;=700),Input!B9597,""),"")</f>
        <v/>
      </c>
      <c r="C9597">
        <f>IF(B9597="","",INT(A9597))</f>
        <v/>
      </c>
      <c r="D9597">
        <f>IF(B9597="","",HOUR(A9597))</f>
        <v/>
      </c>
    </row>
    <row r="9598">
      <c r="A9598">
        <f>Input!A9598</f>
        <v/>
      </c>
      <c r="B9598">
        <f>IF(ISNUMBER(Input!B9598),IF(AND(Input!B9598&gt;=20,Input!B9598&lt;=700),Input!B9598,""),"")</f>
        <v/>
      </c>
      <c r="C9598">
        <f>IF(B9598="","",INT(A9598))</f>
        <v/>
      </c>
      <c r="D9598">
        <f>IF(B9598="","",HOUR(A9598))</f>
        <v/>
      </c>
    </row>
    <row r="9599">
      <c r="A9599">
        <f>Input!A9599</f>
        <v/>
      </c>
      <c r="B9599">
        <f>IF(ISNUMBER(Input!B9599),IF(AND(Input!B9599&gt;=20,Input!B9599&lt;=700),Input!B9599,""),"")</f>
        <v/>
      </c>
      <c r="C9599">
        <f>IF(B9599="","",INT(A9599))</f>
        <v/>
      </c>
      <c r="D9599">
        <f>IF(B9599="","",HOUR(A9599))</f>
        <v/>
      </c>
    </row>
    <row r="9600">
      <c r="A9600">
        <f>Input!A9600</f>
        <v/>
      </c>
      <c r="B9600">
        <f>IF(ISNUMBER(Input!B9600),IF(AND(Input!B9600&gt;=20,Input!B9600&lt;=700),Input!B9600,""),"")</f>
        <v/>
      </c>
      <c r="C9600">
        <f>IF(B9600="","",INT(A9600))</f>
        <v/>
      </c>
      <c r="D9600">
        <f>IF(B9600="","",HOUR(A9600))</f>
        <v/>
      </c>
    </row>
    <row r="9601">
      <c r="A9601">
        <f>Input!A9601</f>
        <v/>
      </c>
      <c r="B9601">
        <f>IF(ISNUMBER(Input!B9601),IF(AND(Input!B9601&gt;=20,Input!B9601&lt;=700),Input!B9601,""),"")</f>
        <v/>
      </c>
      <c r="C9601">
        <f>IF(B9601="","",INT(A9601))</f>
        <v/>
      </c>
      <c r="D9601">
        <f>IF(B9601="","",HOUR(A9601))</f>
        <v/>
      </c>
    </row>
    <row r="9602">
      <c r="A9602">
        <f>Input!A9602</f>
        <v/>
      </c>
      <c r="B9602">
        <f>IF(ISNUMBER(Input!B9602),IF(AND(Input!B9602&gt;=20,Input!B9602&lt;=700),Input!B9602,""),"")</f>
        <v/>
      </c>
      <c r="C9602">
        <f>IF(B9602="","",INT(A9602))</f>
        <v/>
      </c>
      <c r="D9602">
        <f>IF(B9602="","",HOUR(A9602))</f>
        <v/>
      </c>
    </row>
    <row r="9603">
      <c r="A9603">
        <f>Input!A9603</f>
        <v/>
      </c>
      <c r="B9603">
        <f>IF(ISNUMBER(Input!B9603),IF(AND(Input!B9603&gt;=20,Input!B9603&lt;=700),Input!B9603,""),"")</f>
        <v/>
      </c>
      <c r="C9603">
        <f>IF(B9603="","",INT(A9603))</f>
        <v/>
      </c>
      <c r="D9603">
        <f>IF(B9603="","",HOUR(A9603))</f>
        <v/>
      </c>
    </row>
    <row r="9604">
      <c r="A9604">
        <f>Input!A9604</f>
        <v/>
      </c>
      <c r="B9604">
        <f>IF(ISNUMBER(Input!B9604),IF(AND(Input!B9604&gt;=20,Input!B9604&lt;=700),Input!B9604,""),"")</f>
        <v/>
      </c>
      <c r="C9604">
        <f>IF(B9604="","",INT(A9604))</f>
        <v/>
      </c>
      <c r="D9604">
        <f>IF(B9604="","",HOUR(A9604))</f>
        <v/>
      </c>
    </row>
    <row r="9605">
      <c r="A9605">
        <f>Input!A9605</f>
        <v/>
      </c>
      <c r="B9605">
        <f>IF(ISNUMBER(Input!B9605),IF(AND(Input!B9605&gt;=20,Input!B9605&lt;=700),Input!B9605,""),"")</f>
        <v/>
      </c>
      <c r="C9605">
        <f>IF(B9605="","",INT(A9605))</f>
        <v/>
      </c>
      <c r="D9605">
        <f>IF(B9605="","",HOUR(A9605))</f>
        <v/>
      </c>
    </row>
    <row r="9606">
      <c r="A9606">
        <f>Input!A9606</f>
        <v/>
      </c>
      <c r="B9606">
        <f>IF(ISNUMBER(Input!B9606),IF(AND(Input!B9606&gt;=20,Input!B9606&lt;=700),Input!B9606,""),"")</f>
        <v/>
      </c>
      <c r="C9606">
        <f>IF(B9606="","",INT(A9606))</f>
        <v/>
      </c>
      <c r="D9606">
        <f>IF(B9606="","",HOUR(A9606))</f>
        <v/>
      </c>
    </row>
    <row r="9607">
      <c r="A9607">
        <f>Input!A9607</f>
        <v/>
      </c>
      <c r="B9607">
        <f>IF(ISNUMBER(Input!B9607),IF(AND(Input!B9607&gt;=20,Input!B9607&lt;=700),Input!B9607,""),"")</f>
        <v/>
      </c>
      <c r="C9607">
        <f>IF(B9607="","",INT(A9607))</f>
        <v/>
      </c>
      <c r="D9607">
        <f>IF(B9607="","",HOUR(A9607))</f>
        <v/>
      </c>
    </row>
    <row r="9608">
      <c r="A9608">
        <f>Input!A9608</f>
        <v/>
      </c>
      <c r="B9608">
        <f>IF(ISNUMBER(Input!B9608),IF(AND(Input!B9608&gt;=20,Input!B9608&lt;=700),Input!B9608,""),"")</f>
        <v/>
      </c>
      <c r="C9608">
        <f>IF(B9608="","",INT(A9608))</f>
        <v/>
      </c>
      <c r="D9608">
        <f>IF(B9608="","",HOUR(A9608))</f>
        <v/>
      </c>
    </row>
    <row r="9609">
      <c r="A9609">
        <f>Input!A9609</f>
        <v/>
      </c>
      <c r="B9609">
        <f>IF(ISNUMBER(Input!B9609),IF(AND(Input!B9609&gt;=20,Input!B9609&lt;=700),Input!B9609,""),"")</f>
        <v/>
      </c>
      <c r="C9609">
        <f>IF(B9609="","",INT(A9609))</f>
        <v/>
      </c>
      <c r="D9609">
        <f>IF(B9609="","",HOUR(A9609))</f>
        <v/>
      </c>
    </row>
    <row r="9610">
      <c r="A9610">
        <f>Input!A9610</f>
        <v/>
      </c>
      <c r="B9610">
        <f>IF(ISNUMBER(Input!B9610),IF(AND(Input!B9610&gt;=20,Input!B9610&lt;=700),Input!B9610,""),"")</f>
        <v/>
      </c>
      <c r="C9610">
        <f>IF(B9610="","",INT(A9610))</f>
        <v/>
      </c>
      <c r="D9610">
        <f>IF(B9610="","",HOUR(A9610))</f>
        <v/>
      </c>
    </row>
    <row r="9611">
      <c r="A9611">
        <f>Input!A9611</f>
        <v/>
      </c>
      <c r="B9611">
        <f>IF(ISNUMBER(Input!B9611),IF(AND(Input!B9611&gt;=20,Input!B9611&lt;=700),Input!B9611,""),"")</f>
        <v/>
      </c>
      <c r="C9611">
        <f>IF(B9611="","",INT(A9611))</f>
        <v/>
      </c>
      <c r="D9611">
        <f>IF(B9611="","",HOUR(A9611))</f>
        <v/>
      </c>
    </row>
    <row r="9612">
      <c r="A9612">
        <f>Input!A9612</f>
        <v/>
      </c>
      <c r="B9612">
        <f>IF(ISNUMBER(Input!B9612),IF(AND(Input!B9612&gt;=20,Input!B9612&lt;=700),Input!B9612,""),"")</f>
        <v/>
      </c>
      <c r="C9612">
        <f>IF(B9612="","",INT(A9612))</f>
        <v/>
      </c>
      <c r="D9612">
        <f>IF(B9612="","",HOUR(A9612))</f>
        <v/>
      </c>
    </row>
    <row r="9613">
      <c r="A9613">
        <f>Input!A9613</f>
        <v/>
      </c>
      <c r="B9613">
        <f>IF(ISNUMBER(Input!B9613),IF(AND(Input!B9613&gt;=20,Input!B9613&lt;=700),Input!B9613,""),"")</f>
        <v/>
      </c>
      <c r="C9613">
        <f>IF(B9613="","",INT(A9613))</f>
        <v/>
      </c>
      <c r="D9613">
        <f>IF(B9613="","",HOUR(A9613))</f>
        <v/>
      </c>
    </row>
    <row r="9614">
      <c r="A9614">
        <f>Input!A9614</f>
        <v/>
      </c>
      <c r="B9614">
        <f>IF(ISNUMBER(Input!B9614),IF(AND(Input!B9614&gt;=20,Input!B9614&lt;=700),Input!B9614,""),"")</f>
        <v/>
      </c>
      <c r="C9614">
        <f>IF(B9614="","",INT(A9614))</f>
        <v/>
      </c>
      <c r="D9614">
        <f>IF(B9614="","",HOUR(A9614))</f>
        <v/>
      </c>
    </row>
    <row r="9615">
      <c r="A9615">
        <f>Input!A9615</f>
        <v/>
      </c>
      <c r="B9615">
        <f>IF(ISNUMBER(Input!B9615),IF(AND(Input!B9615&gt;=20,Input!B9615&lt;=700),Input!B9615,""),"")</f>
        <v/>
      </c>
      <c r="C9615">
        <f>IF(B9615="","",INT(A9615))</f>
        <v/>
      </c>
      <c r="D9615">
        <f>IF(B9615="","",HOUR(A9615))</f>
        <v/>
      </c>
    </row>
    <row r="9616">
      <c r="A9616">
        <f>Input!A9616</f>
        <v/>
      </c>
      <c r="B9616">
        <f>IF(ISNUMBER(Input!B9616),IF(AND(Input!B9616&gt;=20,Input!B9616&lt;=700),Input!B9616,""),"")</f>
        <v/>
      </c>
      <c r="C9616">
        <f>IF(B9616="","",INT(A9616))</f>
        <v/>
      </c>
      <c r="D9616">
        <f>IF(B9616="","",HOUR(A9616))</f>
        <v/>
      </c>
    </row>
    <row r="9617">
      <c r="A9617">
        <f>Input!A9617</f>
        <v/>
      </c>
      <c r="B9617">
        <f>IF(ISNUMBER(Input!B9617),IF(AND(Input!B9617&gt;=20,Input!B9617&lt;=700),Input!B9617,""),"")</f>
        <v/>
      </c>
      <c r="C9617">
        <f>IF(B9617="","",INT(A9617))</f>
        <v/>
      </c>
      <c r="D9617">
        <f>IF(B9617="","",HOUR(A9617))</f>
        <v/>
      </c>
    </row>
    <row r="9618">
      <c r="A9618">
        <f>Input!A9618</f>
        <v/>
      </c>
      <c r="B9618">
        <f>IF(ISNUMBER(Input!B9618),IF(AND(Input!B9618&gt;=20,Input!B9618&lt;=700),Input!B9618,""),"")</f>
        <v/>
      </c>
      <c r="C9618">
        <f>IF(B9618="","",INT(A9618))</f>
        <v/>
      </c>
      <c r="D9618">
        <f>IF(B9618="","",HOUR(A9618))</f>
        <v/>
      </c>
    </row>
    <row r="9619">
      <c r="A9619">
        <f>Input!A9619</f>
        <v/>
      </c>
      <c r="B9619">
        <f>IF(ISNUMBER(Input!B9619),IF(AND(Input!B9619&gt;=20,Input!B9619&lt;=700),Input!B9619,""),"")</f>
        <v/>
      </c>
      <c r="C9619">
        <f>IF(B9619="","",INT(A9619))</f>
        <v/>
      </c>
      <c r="D9619">
        <f>IF(B9619="","",HOUR(A9619))</f>
        <v/>
      </c>
    </row>
    <row r="9620">
      <c r="A9620">
        <f>Input!A9620</f>
        <v/>
      </c>
      <c r="B9620">
        <f>IF(ISNUMBER(Input!B9620),IF(AND(Input!B9620&gt;=20,Input!B9620&lt;=700),Input!B9620,""),"")</f>
        <v/>
      </c>
      <c r="C9620">
        <f>IF(B9620="","",INT(A9620))</f>
        <v/>
      </c>
      <c r="D9620">
        <f>IF(B9620="","",HOUR(A9620))</f>
        <v/>
      </c>
    </row>
    <row r="9621">
      <c r="A9621">
        <f>Input!A9621</f>
        <v/>
      </c>
      <c r="B9621">
        <f>IF(ISNUMBER(Input!B9621),IF(AND(Input!B9621&gt;=20,Input!B9621&lt;=700),Input!B9621,""),"")</f>
        <v/>
      </c>
      <c r="C9621">
        <f>IF(B9621="","",INT(A9621))</f>
        <v/>
      </c>
      <c r="D9621">
        <f>IF(B9621="","",HOUR(A9621))</f>
        <v/>
      </c>
    </row>
    <row r="9622">
      <c r="A9622">
        <f>Input!A9622</f>
        <v/>
      </c>
      <c r="B9622">
        <f>IF(ISNUMBER(Input!B9622),IF(AND(Input!B9622&gt;=20,Input!B9622&lt;=700),Input!B9622,""),"")</f>
        <v/>
      </c>
      <c r="C9622">
        <f>IF(B9622="","",INT(A9622))</f>
        <v/>
      </c>
      <c r="D9622">
        <f>IF(B9622="","",HOUR(A9622))</f>
        <v/>
      </c>
    </row>
    <row r="9623">
      <c r="A9623">
        <f>Input!A9623</f>
        <v/>
      </c>
      <c r="B9623">
        <f>IF(ISNUMBER(Input!B9623),IF(AND(Input!B9623&gt;=20,Input!B9623&lt;=700),Input!B9623,""),"")</f>
        <v/>
      </c>
      <c r="C9623">
        <f>IF(B9623="","",INT(A9623))</f>
        <v/>
      </c>
      <c r="D9623">
        <f>IF(B9623="","",HOUR(A9623))</f>
        <v/>
      </c>
    </row>
    <row r="9624">
      <c r="A9624">
        <f>Input!A9624</f>
        <v/>
      </c>
      <c r="B9624">
        <f>IF(ISNUMBER(Input!B9624),IF(AND(Input!B9624&gt;=20,Input!B9624&lt;=700),Input!B9624,""),"")</f>
        <v/>
      </c>
      <c r="C9624">
        <f>IF(B9624="","",INT(A9624))</f>
        <v/>
      </c>
      <c r="D9624">
        <f>IF(B9624="","",HOUR(A9624))</f>
        <v/>
      </c>
    </row>
    <row r="9625">
      <c r="A9625">
        <f>Input!A9625</f>
        <v/>
      </c>
      <c r="B9625">
        <f>IF(ISNUMBER(Input!B9625),IF(AND(Input!B9625&gt;=20,Input!B9625&lt;=700),Input!B9625,""),"")</f>
        <v/>
      </c>
      <c r="C9625">
        <f>IF(B9625="","",INT(A9625))</f>
        <v/>
      </c>
      <c r="D9625">
        <f>IF(B9625="","",HOUR(A9625))</f>
        <v/>
      </c>
    </row>
    <row r="9626">
      <c r="A9626">
        <f>Input!A9626</f>
        <v/>
      </c>
      <c r="B9626">
        <f>IF(ISNUMBER(Input!B9626),IF(AND(Input!B9626&gt;=20,Input!B9626&lt;=700),Input!B9626,""),"")</f>
        <v/>
      </c>
      <c r="C9626">
        <f>IF(B9626="","",INT(A9626))</f>
        <v/>
      </c>
      <c r="D9626">
        <f>IF(B9626="","",HOUR(A9626))</f>
        <v/>
      </c>
    </row>
    <row r="9627">
      <c r="A9627">
        <f>Input!A9627</f>
        <v/>
      </c>
      <c r="B9627">
        <f>IF(ISNUMBER(Input!B9627),IF(AND(Input!B9627&gt;=20,Input!B9627&lt;=700),Input!B9627,""),"")</f>
        <v/>
      </c>
      <c r="C9627">
        <f>IF(B9627="","",INT(A9627))</f>
        <v/>
      </c>
      <c r="D9627">
        <f>IF(B9627="","",HOUR(A9627))</f>
        <v/>
      </c>
    </row>
    <row r="9628">
      <c r="A9628">
        <f>Input!A9628</f>
        <v/>
      </c>
      <c r="B9628">
        <f>IF(ISNUMBER(Input!B9628),IF(AND(Input!B9628&gt;=20,Input!B9628&lt;=700),Input!B9628,""),"")</f>
        <v/>
      </c>
      <c r="C9628">
        <f>IF(B9628="","",INT(A9628))</f>
        <v/>
      </c>
      <c r="D9628">
        <f>IF(B9628="","",HOUR(A9628))</f>
        <v/>
      </c>
    </row>
    <row r="9629">
      <c r="A9629">
        <f>Input!A9629</f>
        <v/>
      </c>
      <c r="B9629">
        <f>IF(ISNUMBER(Input!B9629),IF(AND(Input!B9629&gt;=20,Input!B9629&lt;=700),Input!B9629,""),"")</f>
        <v/>
      </c>
      <c r="C9629">
        <f>IF(B9629="","",INT(A9629))</f>
        <v/>
      </c>
      <c r="D9629">
        <f>IF(B9629="","",HOUR(A9629))</f>
        <v/>
      </c>
    </row>
    <row r="9630">
      <c r="A9630">
        <f>Input!A9630</f>
        <v/>
      </c>
      <c r="B9630">
        <f>IF(ISNUMBER(Input!B9630),IF(AND(Input!B9630&gt;=20,Input!B9630&lt;=700),Input!B9630,""),"")</f>
        <v/>
      </c>
      <c r="C9630">
        <f>IF(B9630="","",INT(A9630))</f>
        <v/>
      </c>
      <c r="D9630">
        <f>IF(B9630="","",HOUR(A9630))</f>
        <v/>
      </c>
    </row>
    <row r="9631">
      <c r="A9631">
        <f>Input!A9631</f>
        <v/>
      </c>
      <c r="B9631">
        <f>IF(ISNUMBER(Input!B9631),IF(AND(Input!B9631&gt;=20,Input!B9631&lt;=700),Input!B9631,""),"")</f>
        <v/>
      </c>
      <c r="C9631">
        <f>IF(B9631="","",INT(A9631))</f>
        <v/>
      </c>
      <c r="D9631">
        <f>IF(B9631="","",HOUR(A9631))</f>
        <v/>
      </c>
    </row>
    <row r="9632">
      <c r="A9632">
        <f>Input!A9632</f>
        <v/>
      </c>
      <c r="B9632">
        <f>IF(ISNUMBER(Input!B9632),IF(AND(Input!B9632&gt;=20,Input!B9632&lt;=700),Input!B9632,""),"")</f>
        <v/>
      </c>
      <c r="C9632">
        <f>IF(B9632="","",INT(A9632))</f>
        <v/>
      </c>
      <c r="D9632">
        <f>IF(B9632="","",HOUR(A9632))</f>
        <v/>
      </c>
    </row>
    <row r="9633">
      <c r="A9633">
        <f>Input!A9633</f>
        <v/>
      </c>
      <c r="B9633">
        <f>IF(ISNUMBER(Input!B9633),IF(AND(Input!B9633&gt;=20,Input!B9633&lt;=700),Input!B9633,""),"")</f>
        <v/>
      </c>
      <c r="C9633">
        <f>IF(B9633="","",INT(A9633))</f>
        <v/>
      </c>
      <c r="D9633">
        <f>IF(B9633="","",HOUR(A9633))</f>
        <v/>
      </c>
    </row>
    <row r="9634">
      <c r="A9634">
        <f>Input!A9634</f>
        <v/>
      </c>
      <c r="B9634">
        <f>IF(ISNUMBER(Input!B9634),IF(AND(Input!B9634&gt;=20,Input!B9634&lt;=700),Input!B9634,""),"")</f>
        <v/>
      </c>
      <c r="C9634">
        <f>IF(B9634="","",INT(A9634))</f>
        <v/>
      </c>
      <c r="D9634">
        <f>IF(B9634="","",HOUR(A9634))</f>
        <v/>
      </c>
    </row>
    <row r="9635">
      <c r="A9635">
        <f>Input!A9635</f>
        <v/>
      </c>
      <c r="B9635">
        <f>IF(ISNUMBER(Input!B9635),IF(AND(Input!B9635&gt;=20,Input!B9635&lt;=700),Input!B9635,""),"")</f>
        <v/>
      </c>
      <c r="C9635">
        <f>IF(B9635="","",INT(A9635))</f>
        <v/>
      </c>
      <c r="D9635">
        <f>IF(B9635="","",HOUR(A9635))</f>
        <v/>
      </c>
    </row>
    <row r="9636">
      <c r="A9636">
        <f>Input!A9636</f>
        <v/>
      </c>
      <c r="B9636">
        <f>IF(ISNUMBER(Input!B9636),IF(AND(Input!B9636&gt;=20,Input!B9636&lt;=700),Input!B9636,""),"")</f>
        <v/>
      </c>
      <c r="C9636">
        <f>IF(B9636="","",INT(A9636))</f>
        <v/>
      </c>
      <c r="D9636">
        <f>IF(B9636="","",HOUR(A9636))</f>
        <v/>
      </c>
    </row>
    <row r="9637">
      <c r="A9637">
        <f>Input!A9637</f>
        <v/>
      </c>
      <c r="B9637">
        <f>IF(ISNUMBER(Input!B9637),IF(AND(Input!B9637&gt;=20,Input!B9637&lt;=700),Input!B9637,""),"")</f>
        <v/>
      </c>
      <c r="C9637">
        <f>IF(B9637="","",INT(A9637))</f>
        <v/>
      </c>
      <c r="D9637">
        <f>IF(B9637="","",HOUR(A9637))</f>
        <v/>
      </c>
    </row>
    <row r="9638">
      <c r="A9638">
        <f>Input!A9638</f>
        <v/>
      </c>
      <c r="B9638">
        <f>IF(ISNUMBER(Input!B9638),IF(AND(Input!B9638&gt;=20,Input!B9638&lt;=700),Input!B9638,""),"")</f>
        <v/>
      </c>
      <c r="C9638">
        <f>IF(B9638="","",INT(A9638))</f>
        <v/>
      </c>
      <c r="D9638">
        <f>IF(B9638="","",HOUR(A9638))</f>
        <v/>
      </c>
    </row>
    <row r="9639">
      <c r="A9639">
        <f>Input!A9639</f>
        <v/>
      </c>
      <c r="B9639">
        <f>IF(ISNUMBER(Input!B9639),IF(AND(Input!B9639&gt;=20,Input!B9639&lt;=700),Input!B9639,""),"")</f>
        <v/>
      </c>
      <c r="C9639">
        <f>IF(B9639="","",INT(A9639))</f>
        <v/>
      </c>
      <c r="D9639">
        <f>IF(B9639="","",HOUR(A9639))</f>
        <v/>
      </c>
    </row>
    <row r="9640">
      <c r="A9640">
        <f>Input!A9640</f>
        <v/>
      </c>
      <c r="B9640">
        <f>IF(ISNUMBER(Input!B9640),IF(AND(Input!B9640&gt;=20,Input!B9640&lt;=700),Input!B9640,""),"")</f>
        <v/>
      </c>
      <c r="C9640">
        <f>IF(B9640="","",INT(A9640))</f>
        <v/>
      </c>
      <c r="D9640">
        <f>IF(B9640="","",HOUR(A9640))</f>
        <v/>
      </c>
    </row>
    <row r="9641">
      <c r="A9641">
        <f>Input!A9641</f>
        <v/>
      </c>
      <c r="B9641">
        <f>IF(ISNUMBER(Input!B9641),IF(AND(Input!B9641&gt;=20,Input!B9641&lt;=700),Input!B9641,""),"")</f>
        <v/>
      </c>
      <c r="C9641">
        <f>IF(B9641="","",INT(A9641))</f>
        <v/>
      </c>
      <c r="D9641">
        <f>IF(B9641="","",HOUR(A9641))</f>
        <v/>
      </c>
    </row>
    <row r="9642">
      <c r="A9642">
        <f>Input!A9642</f>
        <v/>
      </c>
      <c r="B9642">
        <f>IF(ISNUMBER(Input!B9642),IF(AND(Input!B9642&gt;=20,Input!B9642&lt;=700),Input!B9642,""),"")</f>
        <v/>
      </c>
      <c r="C9642">
        <f>IF(B9642="","",INT(A9642))</f>
        <v/>
      </c>
      <c r="D9642">
        <f>IF(B9642="","",HOUR(A9642))</f>
        <v/>
      </c>
    </row>
    <row r="9643">
      <c r="A9643">
        <f>Input!A9643</f>
        <v/>
      </c>
      <c r="B9643">
        <f>IF(ISNUMBER(Input!B9643),IF(AND(Input!B9643&gt;=20,Input!B9643&lt;=700),Input!B9643,""),"")</f>
        <v/>
      </c>
      <c r="C9643">
        <f>IF(B9643="","",INT(A9643))</f>
        <v/>
      </c>
      <c r="D9643">
        <f>IF(B9643="","",HOUR(A9643))</f>
        <v/>
      </c>
    </row>
    <row r="9644">
      <c r="A9644">
        <f>Input!A9644</f>
        <v/>
      </c>
      <c r="B9644">
        <f>IF(ISNUMBER(Input!B9644),IF(AND(Input!B9644&gt;=20,Input!B9644&lt;=700),Input!B9644,""),"")</f>
        <v/>
      </c>
      <c r="C9644">
        <f>IF(B9644="","",INT(A9644))</f>
        <v/>
      </c>
      <c r="D9644">
        <f>IF(B9644="","",HOUR(A9644))</f>
        <v/>
      </c>
    </row>
    <row r="9645">
      <c r="A9645">
        <f>Input!A9645</f>
        <v/>
      </c>
      <c r="B9645">
        <f>IF(ISNUMBER(Input!B9645),IF(AND(Input!B9645&gt;=20,Input!B9645&lt;=700),Input!B9645,""),"")</f>
        <v/>
      </c>
      <c r="C9645">
        <f>IF(B9645="","",INT(A9645))</f>
        <v/>
      </c>
      <c r="D9645">
        <f>IF(B9645="","",HOUR(A9645))</f>
        <v/>
      </c>
    </row>
    <row r="9646">
      <c r="A9646">
        <f>Input!A9646</f>
        <v/>
      </c>
      <c r="B9646">
        <f>IF(ISNUMBER(Input!B9646),IF(AND(Input!B9646&gt;=20,Input!B9646&lt;=700),Input!B9646,""),"")</f>
        <v/>
      </c>
      <c r="C9646">
        <f>IF(B9646="","",INT(A9646))</f>
        <v/>
      </c>
      <c r="D9646">
        <f>IF(B9646="","",HOUR(A9646))</f>
        <v/>
      </c>
    </row>
    <row r="9647">
      <c r="A9647">
        <f>Input!A9647</f>
        <v/>
      </c>
      <c r="B9647">
        <f>IF(ISNUMBER(Input!B9647),IF(AND(Input!B9647&gt;=20,Input!B9647&lt;=700),Input!B9647,""),"")</f>
        <v/>
      </c>
      <c r="C9647">
        <f>IF(B9647="","",INT(A9647))</f>
        <v/>
      </c>
      <c r="D9647">
        <f>IF(B9647="","",HOUR(A9647))</f>
        <v/>
      </c>
    </row>
    <row r="9648">
      <c r="A9648">
        <f>Input!A9648</f>
        <v/>
      </c>
      <c r="B9648">
        <f>IF(ISNUMBER(Input!B9648),IF(AND(Input!B9648&gt;=20,Input!B9648&lt;=700),Input!B9648,""),"")</f>
        <v/>
      </c>
      <c r="C9648">
        <f>IF(B9648="","",INT(A9648))</f>
        <v/>
      </c>
      <c r="D9648">
        <f>IF(B9648="","",HOUR(A9648))</f>
        <v/>
      </c>
    </row>
    <row r="9649">
      <c r="A9649">
        <f>Input!A9649</f>
        <v/>
      </c>
      <c r="B9649">
        <f>IF(ISNUMBER(Input!B9649),IF(AND(Input!B9649&gt;=20,Input!B9649&lt;=700),Input!B9649,""),"")</f>
        <v/>
      </c>
      <c r="C9649">
        <f>IF(B9649="","",INT(A9649))</f>
        <v/>
      </c>
      <c r="D9649">
        <f>IF(B9649="","",HOUR(A9649))</f>
        <v/>
      </c>
    </row>
    <row r="9650">
      <c r="A9650">
        <f>Input!A9650</f>
        <v/>
      </c>
      <c r="B9650">
        <f>IF(ISNUMBER(Input!B9650),IF(AND(Input!B9650&gt;=20,Input!B9650&lt;=700),Input!B9650,""),"")</f>
        <v/>
      </c>
      <c r="C9650">
        <f>IF(B9650="","",INT(A9650))</f>
        <v/>
      </c>
      <c r="D9650">
        <f>IF(B9650="","",HOUR(A9650))</f>
        <v/>
      </c>
    </row>
    <row r="9651">
      <c r="A9651">
        <f>Input!A9651</f>
        <v/>
      </c>
      <c r="B9651">
        <f>IF(ISNUMBER(Input!B9651),IF(AND(Input!B9651&gt;=20,Input!B9651&lt;=700),Input!B9651,""),"")</f>
        <v/>
      </c>
      <c r="C9651">
        <f>IF(B9651="","",INT(A9651))</f>
        <v/>
      </c>
      <c r="D9651">
        <f>IF(B9651="","",HOUR(A9651))</f>
        <v/>
      </c>
    </row>
    <row r="9652">
      <c r="A9652">
        <f>Input!A9652</f>
        <v/>
      </c>
      <c r="B9652">
        <f>IF(ISNUMBER(Input!B9652),IF(AND(Input!B9652&gt;=20,Input!B9652&lt;=700),Input!B9652,""),"")</f>
        <v/>
      </c>
      <c r="C9652">
        <f>IF(B9652="","",INT(A9652))</f>
        <v/>
      </c>
      <c r="D9652">
        <f>IF(B9652="","",HOUR(A9652))</f>
        <v/>
      </c>
    </row>
    <row r="9653">
      <c r="A9653">
        <f>Input!A9653</f>
        <v/>
      </c>
      <c r="B9653">
        <f>IF(ISNUMBER(Input!B9653),IF(AND(Input!B9653&gt;=20,Input!B9653&lt;=700),Input!B9653,""),"")</f>
        <v/>
      </c>
      <c r="C9653">
        <f>IF(B9653="","",INT(A9653))</f>
        <v/>
      </c>
      <c r="D9653">
        <f>IF(B9653="","",HOUR(A9653))</f>
        <v/>
      </c>
    </row>
    <row r="9654">
      <c r="A9654">
        <f>Input!A9654</f>
        <v/>
      </c>
      <c r="B9654">
        <f>IF(ISNUMBER(Input!B9654),IF(AND(Input!B9654&gt;=20,Input!B9654&lt;=700),Input!B9654,""),"")</f>
        <v/>
      </c>
      <c r="C9654">
        <f>IF(B9654="","",INT(A9654))</f>
        <v/>
      </c>
      <c r="D9654">
        <f>IF(B9654="","",HOUR(A9654))</f>
        <v/>
      </c>
    </row>
    <row r="9655">
      <c r="A9655">
        <f>Input!A9655</f>
        <v/>
      </c>
      <c r="B9655">
        <f>IF(ISNUMBER(Input!B9655),IF(AND(Input!B9655&gt;=20,Input!B9655&lt;=700),Input!B9655,""),"")</f>
        <v/>
      </c>
      <c r="C9655">
        <f>IF(B9655="","",INT(A9655))</f>
        <v/>
      </c>
      <c r="D9655">
        <f>IF(B9655="","",HOUR(A9655))</f>
        <v/>
      </c>
    </row>
    <row r="9656">
      <c r="A9656">
        <f>Input!A9656</f>
        <v/>
      </c>
      <c r="B9656">
        <f>IF(ISNUMBER(Input!B9656),IF(AND(Input!B9656&gt;=20,Input!B9656&lt;=700),Input!B9656,""),"")</f>
        <v/>
      </c>
      <c r="C9656">
        <f>IF(B9656="","",INT(A9656))</f>
        <v/>
      </c>
      <c r="D9656">
        <f>IF(B9656="","",HOUR(A9656))</f>
        <v/>
      </c>
    </row>
    <row r="9657">
      <c r="A9657">
        <f>Input!A9657</f>
        <v/>
      </c>
      <c r="B9657">
        <f>IF(ISNUMBER(Input!B9657),IF(AND(Input!B9657&gt;=20,Input!B9657&lt;=700),Input!B9657,""),"")</f>
        <v/>
      </c>
      <c r="C9657">
        <f>IF(B9657="","",INT(A9657))</f>
        <v/>
      </c>
      <c r="D9657">
        <f>IF(B9657="","",HOUR(A9657))</f>
        <v/>
      </c>
    </row>
    <row r="9658">
      <c r="A9658">
        <f>Input!A9658</f>
        <v/>
      </c>
      <c r="B9658">
        <f>IF(ISNUMBER(Input!B9658),IF(AND(Input!B9658&gt;=20,Input!B9658&lt;=700),Input!B9658,""),"")</f>
        <v/>
      </c>
      <c r="C9658">
        <f>IF(B9658="","",INT(A9658))</f>
        <v/>
      </c>
      <c r="D9658">
        <f>IF(B9658="","",HOUR(A9658))</f>
        <v/>
      </c>
    </row>
    <row r="9659">
      <c r="A9659">
        <f>Input!A9659</f>
        <v/>
      </c>
      <c r="B9659">
        <f>IF(ISNUMBER(Input!B9659),IF(AND(Input!B9659&gt;=20,Input!B9659&lt;=700),Input!B9659,""),"")</f>
        <v/>
      </c>
      <c r="C9659">
        <f>IF(B9659="","",INT(A9659))</f>
        <v/>
      </c>
      <c r="D9659">
        <f>IF(B9659="","",HOUR(A9659))</f>
        <v/>
      </c>
    </row>
    <row r="9660">
      <c r="A9660">
        <f>Input!A9660</f>
        <v/>
      </c>
      <c r="B9660">
        <f>IF(ISNUMBER(Input!B9660),IF(AND(Input!B9660&gt;=20,Input!B9660&lt;=700),Input!B9660,""),"")</f>
        <v/>
      </c>
      <c r="C9660">
        <f>IF(B9660="","",INT(A9660))</f>
        <v/>
      </c>
      <c r="D9660">
        <f>IF(B9660="","",HOUR(A9660))</f>
        <v/>
      </c>
    </row>
    <row r="9661">
      <c r="A9661">
        <f>Input!A9661</f>
        <v/>
      </c>
      <c r="B9661">
        <f>IF(ISNUMBER(Input!B9661),IF(AND(Input!B9661&gt;=20,Input!B9661&lt;=700),Input!B9661,""),"")</f>
        <v/>
      </c>
      <c r="C9661">
        <f>IF(B9661="","",INT(A9661))</f>
        <v/>
      </c>
      <c r="D9661">
        <f>IF(B9661="","",HOUR(A9661))</f>
        <v/>
      </c>
    </row>
    <row r="9662">
      <c r="A9662">
        <f>Input!A9662</f>
        <v/>
      </c>
      <c r="B9662">
        <f>IF(ISNUMBER(Input!B9662),IF(AND(Input!B9662&gt;=20,Input!B9662&lt;=700),Input!B9662,""),"")</f>
        <v/>
      </c>
      <c r="C9662">
        <f>IF(B9662="","",INT(A9662))</f>
        <v/>
      </c>
      <c r="D9662">
        <f>IF(B9662="","",HOUR(A9662))</f>
        <v/>
      </c>
    </row>
    <row r="9663">
      <c r="A9663">
        <f>Input!A9663</f>
        <v/>
      </c>
      <c r="B9663">
        <f>IF(ISNUMBER(Input!B9663),IF(AND(Input!B9663&gt;=20,Input!B9663&lt;=700),Input!B9663,""),"")</f>
        <v/>
      </c>
      <c r="C9663">
        <f>IF(B9663="","",INT(A9663))</f>
        <v/>
      </c>
      <c r="D9663">
        <f>IF(B9663="","",HOUR(A9663))</f>
        <v/>
      </c>
    </row>
    <row r="9664">
      <c r="A9664">
        <f>Input!A9664</f>
        <v/>
      </c>
      <c r="B9664">
        <f>IF(ISNUMBER(Input!B9664),IF(AND(Input!B9664&gt;=20,Input!B9664&lt;=700),Input!B9664,""),"")</f>
        <v/>
      </c>
      <c r="C9664">
        <f>IF(B9664="","",INT(A9664))</f>
        <v/>
      </c>
      <c r="D9664">
        <f>IF(B9664="","",HOUR(A9664))</f>
        <v/>
      </c>
    </row>
    <row r="9665">
      <c r="A9665">
        <f>Input!A9665</f>
        <v/>
      </c>
      <c r="B9665">
        <f>IF(ISNUMBER(Input!B9665),IF(AND(Input!B9665&gt;=20,Input!B9665&lt;=700),Input!B9665,""),"")</f>
        <v/>
      </c>
      <c r="C9665">
        <f>IF(B9665="","",INT(A9665))</f>
        <v/>
      </c>
      <c r="D9665">
        <f>IF(B9665="","",HOUR(A9665))</f>
        <v/>
      </c>
    </row>
    <row r="9666">
      <c r="A9666">
        <f>Input!A9666</f>
        <v/>
      </c>
      <c r="B9666">
        <f>IF(ISNUMBER(Input!B9666),IF(AND(Input!B9666&gt;=20,Input!B9666&lt;=700),Input!B9666,""),"")</f>
        <v/>
      </c>
      <c r="C9666">
        <f>IF(B9666="","",INT(A9666))</f>
        <v/>
      </c>
      <c r="D9666">
        <f>IF(B9666="","",HOUR(A9666))</f>
        <v/>
      </c>
    </row>
    <row r="9667">
      <c r="A9667">
        <f>Input!A9667</f>
        <v/>
      </c>
      <c r="B9667">
        <f>IF(ISNUMBER(Input!B9667),IF(AND(Input!B9667&gt;=20,Input!B9667&lt;=700),Input!B9667,""),"")</f>
        <v/>
      </c>
      <c r="C9667">
        <f>IF(B9667="","",INT(A9667))</f>
        <v/>
      </c>
      <c r="D9667">
        <f>IF(B9667="","",HOUR(A9667))</f>
        <v/>
      </c>
    </row>
    <row r="9668">
      <c r="A9668">
        <f>Input!A9668</f>
        <v/>
      </c>
      <c r="B9668">
        <f>IF(ISNUMBER(Input!B9668),IF(AND(Input!B9668&gt;=20,Input!B9668&lt;=700),Input!B9668,""),"")</f>
        <v/>
      </c>
      <c r="C9668">
        <f>IF(B9668="","",INT(A9668))</f>
        <v/>
      </c>
      <c r="D9668">
        <f>IF(B9668="","",HOUR(A9668))</f>
        <v/>
      </c>
    </row>
    <row r="9669">
      <c r="A9669">
        <f>Input!A9669</f>
        <v/>
      </c>
      <c r="B9669">
        <f>IF(ISNUMBER(Input!B9669),IF(AND(Input!B9669&gt;=20,Input!B9669&lt;=700),Input!B9669,""),"")</f>
        <v/>
      </c>
      <c r="C9669">
        <f>IF(B9669="","",INT(A9669))</f>
        <v/>
      </c>
      <c r="D9669">
        <f>IF(B9669="","",HOUR(A9669))</f>
        <v/>
      </c>
    </row>
    <row r="9670">
      <c r="A9670">
        <f>Input!A9670</f>
        <v/>
      </c>
      <c r="B9670">
        <f>IF(ISNUMBER(Input!B9670),IF(AND(Input!B9670&gt;=20,Input!B9670&lt;=700),Input!B9670,""),"")</f>
        <v/>
      </c>
      <c r="C9670">
        <f>IF(B9670="","",INT(A9670))</f>
        <v/>
      </c>
      <c r="D9670">
        <f>IF(B9670="","",HOUR(A9670))</f>
        <v/>
      </c>
    </row>
    <row r="9671">
      <c r="A9671">
        <f>Input!A9671</f>
        <v/>
      </c>
      <c r="B9671">
        <f>IF(ISNUMBER(Input!B9671),IF(AND(Input!B9671&gt;=20,Input!B9671&lt;=700),Input!B9671,""),"")</f>
        <v/>
      </c>
      <c r="C9671">
        <f>IF(B9671="","",INT(A9671))</f>
        <v/>
      </c>
      <c r="D9671">
        <f>IF(B9671="","",HOUR(A9671))</f>
        <v/>
      </c>
    </row>
    <row r="9672">
      <c r="A9672">
        <f>Input!A9672</f>
        <v/>
      </c>
      <c r="B9672">
        <f>IF(ISNUMBER(Input!B9672),IF(AND(Input!B9672&gt;=20,Input!B9672&lt;=700),Input!B9672,""),"")</f>
        <v/>
      </c>
      <c r="C9672">
        <f>IF(B9672="","",INT(A9672))</f>
        <v/>
      </c>
      <c r="D9672">
        <f>IF(B9672="","",HOUR(A9672))</f>
        <v/>
      </c>
    </row>
    <row r="9673">
      <c r="A9673">
        <f>Input!A9673</f>
        <v/>
      </c>
      <c r="B9673">
        <f>IF(ISNUMBER(Input!B9673),IF(AND(Input!B9673&gt;=20,Input!B9673&lt;=700),Input!B9673,""),"")</f>
        <v/>
      </c>
      <c r="C9673">
        <f>IF(B9673="","",INT(A9673))</f>
        <v/>
      </c>
      <c r="D9673">
        <f>IF(B9673="","",HOUR(A9673))</f>
        <v/>
      </c>
    </row>
    <row r="9674">
      <c r="A9674">
        <f>Input!A9674</f>
        <v/>
      </c>
      <c r="B9674">
        <f>IF(ISNUMBER(Input!B9674),IF(AND(Input!B9674&gt;=20,Input!B9674&lt;=700),Input!B9674,""),"")</f>
        <v/>
      </c>
      <c r="C9674">
        <f>IF(B9674="","",INT(A9674))</f>
        <v/>
      </c>
      <c r="D9674">
        <f>IF(B9674="","",HOUR(A9674))</f>
        <v/>
      </c>
    </row>
    <row r="9675">
      <c r="A9675">
        <f>Input!A9675</f>
        <v/>
      </c>
      <c r="B9675">
        <f>IF(ISNUMBER(Input!B9675),IF(AND(Input!B9675&gt;=20,Input!B9675&lt;=700),Input!B9675,""),"")</f>
        <v/>
      </c>
      <c r="C9675">
        <f>IF(B9675="","",INT(A9675))</f>
        <v/>
      </c>
      <c r="D9675">
        <f>IF(B9675="","",HOUR(A9675))</f>
        <v/>
      </c>
    </row>
    <row r="9676">
      <c r="A9676">
        <f>Input!A9676</f>
        <v/>
      </c>
      <c r="B9676">
        <f>IF(ISNUMBER(Input!B9676),IF(AND(Input!B9676&gt;=20,Input!B9676&lt;=700),Input!B9676,""),"")</f>
        <v/>
      </c>
      <c r="C9676">
        <f>IF(B9676="","",INT(A9676))</f>
        <v/>
      </c>
      <c r="D9676">
        <f>IF(B9676="","",HOUR(A9676))</f>
        <v/>
      </c>
    </row>
    <row r="9677">
      <c r="A9677">
        <f>Input!A9677</f>
        <v/>
      </c>
      <c r="B9677">
        <f>IF(ISNUMBER(Input!B9677),IF(AND(Input!B9677&gt;=20,Input!B9677&lt;=700),Input!B9677,""),"")</f>
        <v/>
      </c>
      <c r="C9677">
        <f>IF(B9677="","",INT(A9677))</f>
        <v/>
      </c>
      <c r="D9677">
        <f>IF(B9677="","",HOUR(A9677))</f>
        <v/>
      </c>
    </row>
    <row r="9678">
      <c r="A9678">
        <f>Input!A9678</f>
        <v/>
      </c>
      <c r="B9678">
        <f>IF(ISNUMBER(Input!B9678),IF(AND(Input!B9678&gt;=20,Input!B9678&lt;=700),Input!B9678,""),"")</f>
        <v/>
      </c>
      <c r="C9678">
        <f>IF(B9678="","",INT(A9678))</f>
        <v/>
      </c>
      <c r="D9678">
        <f>IF(B9678="","",HOUR(A9678))</f>
        <v/>
      </c>
    </row>
    <row r="9679">
      <c r="A9679">
        <f>Input!A9679</f>
        <v/>
      </c>
      <c r="B9679">
        <f>IF(ISNUMBER(Input!B9679),IF(AND(Input!B9679&gt;=20,Input!B9679&lt;=700),Input!B9679,""),"")</f>
        <v/>
      </c>
      <c r="C9679">
        <f>IF(B9679="","",INT(A9679))</f>
        <v/>
      </c>
      <c r="D9679">
        <f>IF(B9679="","",HOUR(A9679))</f>
        <v/>
      </c>
    </row>
    <row r="9680">
      <c r="A9680">
        <f>Input!A9680</f>
        <v/>
      </c>
      <c r="B9680">
        <f>IF(ISNUMBER(Input!B9680),IF(AND(Input!B9680&gt;=20,Input!B9680&lt;=700),Input!B9680,""),"")</f>
        <v/>
      </c>
      <c r="C9680">
        <f>IF(B9680="","",INT(A9680))</f>
        <v/>
      </c>
      <c r="D9680">
        <f>IF(B9680="","",HOUR(A9680))</f>
        <v/>
      </c>
    </row>
    <row r="9681">
      <c r="A9681">
        <f>Input!A9681</f>
        <v/>
      </c>
      <c r="B9681">
        <f>IF(ISNUMBER(Input!B9681),IF(AND(Input!B9681&gt;=20,Input!B9681&lt;=700),Input!B9681,""),"")</f>
        <v/>
      </c>
      <c r="C9681">
        <f>IF(B9681="","",INT(A9681))</f>
        <v/>
      </c>
      <c r="D9681">
        <f>IF(B9681="","",HOUR(A9681))</f>
        <v/>
      </c>
    </row>
    <row r="9682">
      <c r="A9682">
        <f>Input!A9682</f>
        <v/>
      </c>
      <c r="B9682">
        <f>IF(ISNUMBER(Input!B9682),IF(AND(Input!B9682&gt;=20,Input!B9682&lt;=700),Input!B9682,""),"")</f>
        <v/>
      </c>
      <c r="C9682">
        <f>IF(B9682="","",INT(A9682))</f>
        <v/>
      </c>
      <c r="D9682">
        <f>IF(B9682="","",HOUR(A9682))</f>
        <v/>
      </c>
    </row>
    <row r="9683">
      <c r="A9683">
        <f>Input!A9683</f>
        <v/>
      </c>
      <c r="B9683">
        <f>IF(ISNUMBER(Input!B9683),IF(AND(Input!B9683&gt;=20,Input!B9683&lt;=700),Input!B9683,""),"")</f>
        <v/>
      </c>
      <c r="C9683">
        <f>IF(B9683="","",INT(A9683))</f>
        <v/>
      </c>
      <c r="D9683">
        <f>IF(B9683="","",HOUR(A9683))</f>
        <v/>
      </c>
    </row>
    <row r="9684">
      <c r="A9684">
        <f>Input!A9684</f>
        <v/>
      </c>
      <c r="B9684">
        <f>IF(ISNUMBER(Input!B9684),IF(AND(Input!B9684&gt;=20,Input!B9684&lt;=700),Input!B9684,""),"")</f>
        <v/>
      </c>
      <c r="C9684">
        <f>IF(B9684="","",INT(A9684))</f>
        <v/>
      </c>
      <c r="D9684">
        <f>IF(B9684="","",HOUR(A9684))</f>
        <v/>
      </c>
    </row>
    <row r="9685">
      <c r="A9685">
        <f>Input!A9685</f>
        <v/>
      </c>
      <c r="B9685">
        <f>IF(ISNUMBER(Input!B9685),IF(AND(Input!B9685&gt;=20,Input!B9685&lt;=700),Input!B9685,""),"")</f>
        <v/>
      </c>
      <c r="C9685">
        <f>IF(B9685="","",INT(A9685))</f>
        <v/>
      </c>
      <c r="D9685">
        <f>IF(B9685="","",HOUR(A9685))</f>
        <v/>
      </c>
    </row>
    <row r="9686">
      <c r="A9686">
        <f>Input!A9686</f>
        <v/>
      </c>
      <c r="B9686">
        <f>IF(ISNUMBER(Input!B9686),IF(AND(Input!B9686&gt;=20,Input!B9686&lt;=700),Input!B9686,""),"")</f>
        <v/>
      </c>
      <c r="C9686">
        <f>IF(B9686="","",INT(A9686))</f>
        <v/>
      </c>
      <c r="D9686">
        <f>IF(B9686="","",HOUR(A9686))</f>
        <v/>
      </c>
    </row>
    <row r="9687">
      <c r="A9687">
        <f>Input!A9687</f>
        <v/>
      </c>
      <c r="B9687">
        <f>IF(ISNUMBER(Input!B9687),IF(AND(Input!B9687&gt;=20,Input!B9687&lt;=700),Input!B9687,""),"")</f>
        <v/>
      </c>
      <c r="C9687">
        <f>IF(B9687="","",INT(A9687))</f>
        <v/>
      </c>
      <c r="D9687">
        <f>IF(B9687="","",HOUR(A9687))</f>
        <v/>
      </c>
    </row>
    <row r="9688">
      <c r="A9688">
        <f>Input!A9688</f>
        <v/>
      </c>
      <c r="B9688">
        <f>IF(ISNUMBER(Input!B9688),IF(AND(Input!B9688&gt;=20,Input!B9688&lt;=700),Input!B9688,""),"")</f>
        <v/>
      </c>
      <c r="C9688">
        <f>IF(B9688="","",INT(A9688))</f>
        <v/>
      </c>
      <c r="D9688">
        <f>IF(B9688="","",HOUR(A9688))</f>
        <v/>
      </c>
    </row>
    <row r="9689">
      <c r="A9689">
        <f>Input!A9689</f>
        <v/>
      </c>
      <c r="B9689">
        <f>IF(ISNUMBER(Input!B9689),IF(AND(Input!B9689&gt;=20,Input!B9689&lt;=700),Input!B9689,""),"")</f>
        <v/>
      </c>
      <c r="C9689">
        <f>IF(B9689="","",INT(A9689))</f>
        <v/>
      </c>
      <c r="D9689">
        <f>IF(B9689="","",HOUR(A9689))</f>
        <v/>
      </c>
    </row>
    <row r="9690">
      <c r="A9690">
        <f>Input!A9690</f>
        <v/>
      </c>
      <c r="B9690">
        <f>IF(ISNUMBER(Input!B9690),IF(AND(Input!B9690&gt;=20,Input!B9690&lt;=700),Input!B9690,""),"")</f>
        <v/>
      </c>
      <c r="C9690">
        <f>IF(B9690="","",INT(A9690))</f>
        <v/>
      </c>
      <c r="D9690">
        <f>IF(B9690="","",HOUR(A9690))</f>
        <v/>
      </c>
    </row>
    <row r="9691">
      <c r="A9691">
        <f>Input!A9691</f>
        <v/>
      </c>
      <c r="B9691">
        <f>IF(ISNUMBER(Input!B9691),IF(AND(Input!B9691&gt;=20,Input!B9691&lt;=700),Input!B9691,""),"")</f>
        <v/>
      </c>
      <c r="C9691">
        <f>IF(B9691="","",INT(A9691))</f>
        <v/>
      </c>
      <c r="D9691">
        <f>IF(B9691="","",HOUR(A9691))</f>
        <v/>
      </c>
    </row>
    <row r="9692">
      <c r="A9692">
        <f>Input!A9692</f>
        <v/>
      </c>
      <c r="B9692">
        <f>IF(ISNUMBER(Input!B9692),IF(AND(Input!B9692&gt;=20,Input!B9692&lt;=700),Input!B9692,""),"")</f>
        <v/>
      </c>
      <c r="C9692">
        <f>IF(B9692="","",INT(A9692))</f>
        <v/>
      </c>
      <c r="D9692">
        <f>IF(B9692="","",HOUR(A9692))</f>
        <v/>
      </c>
    </row>
    <row r="9693">
      <c r="A9693">
        <f>Input!A9693</f>
        <v/>
      </c>
      <c r="B9693">
        <f>IF(ISNUMBER(Input!B9693),IF(AND(Input!B9693&gt;=20,Input!B9693&lt;=700),Input!B9693,""),"")</f>
        <v/>
      </c>
      <c r="C9693">
        <f>IF(B9693="","",INT(A9693))</f>
        <v/>
      </c>
      <c r="D9693">
        <f>IF(B9693="","",HOUR(A9693))</f>
        <v/>
      </c>
    </row>
    <row r="9694">
      <c r="A9694">
        <f>Input!A9694</f>
        <v/>
      </c>
      <c r="B9694">
        <f>IF(ISNUMBER(Input!B9694),IF(AND(Input!B9694&gt;=20,Input!B9694&lt;=700),Input!B9694,""),"")</f>
        <v/>
      </c>
      <c r="C9694">
        <f>IF(B9694="","",INT(A9694))</f>
        <v/>
      </c>
      <c r="D9694">
        <f>IF(B9694="","",HOUR(A9694))</f>
        <v/>
      </c>
    </row>
    <row r="9695">
      <c r="A9695">
        <f>Input!A9695</f>
        <v/>
      </c>
      <c r="B9695">
        <f>IF(ISNUMBER(Input!B9695),IF(AND(Input!B9695&gt;=20,Input!B9695&lt;=700),Input!B9695,""),"")</f>
        <v/>
      </c>
      <c r="C9695">
        <f>IF(B9695="","",INT(A9695))</f>
        <v/>
      </c>
      <c r="D9695">
        <f>IF(B9695="","",HOUR(A9695))</f>
        <v/>
      </c>
    </row>
    <row r="9696">
      <c r="A9696">
        <f>Input!A9696</f>
        <v/>
      </c>
      <c r="B9696">
        <f>IF(ISNUMBER(Input!B9696),IF(AND(Input!B9696&gt;=20,Input!B9696&lt;=700),Input!B9696,""),"")</f>
        <v/>
      </c>
      <c r="C9696">
        <f>IF(B9696="","",INT(A9696))</f>
        <v/>
      </c>
      <c r="D9696">
        <f>IF(B9696="","",HOUR(A9696))</f>
        <v/>
      </c>
    </row>
    <row r="9697">
      <c r="A9697">
        <f>Input!A9697</f>
        <v/>
      </c>
      <c r="B9697">
        <f>IF(ISNUMBER(Input!B9697),IF(AND(Input!B9697&gt;=20,Input!B9697&lt;=700),Input!B9697,""),"")</f>
        <v/>
      </c>
      <c r="C9697">
        <f>IF(B9697="","",INT(A9697))</f>
        <v/>
      </c>
      <c r="D9697">
        <f>IF(B9697="","",HOUR(A9697))</f>
        <v/>
      </c>
    </row>
    <row r="9698">
      <c r="A9698">
        <f>Input!A9698</f>
        <v/>
      </c>
      <c r="B9698">
        <f>IF(ISNUMBER(Input!B9698),IF(AND(Input!B9698&gt;=20,Input!B9698&lt;=700),Input!B9698,""),"")</f>
        <v/>
      </c>
      <c r="C9698">
        <f>IF(B9698="","",INT(A9698))</f>
        <v/>
      </c>
      <c r="D9698">
        <f>IF(B9698="","",HOUR(A9698))</f>
        <v/>
      </c>
    </row>
    <row r="9699">
      <c r="A9699">
        <f>Input!A9699</f>
        <v/>
      </c>
      <c r="B9699">
        <f>IF(ISNUMBER(Input!B9699),IF(AND(Input!B9699&gt;=20,Input!B9699&lt;=700),Input!B9699,""),"")</f>
        <v/>
      </c>
      <c r="C9699">
        <f>IF(B9699="","",INT(A9699))</f>
        <v/>
      </c>
      <c r="D9699">
        <f>IF(B9699="","",HOUR(A9699))</f>
        <v/>
      </c>
    </row>
    <row r="9700">
      <c r="A9700">
        <f>Input!A9700</f>
        <v/>
      </c>
      <c r="B9700">
        <f>IF(ISNUMBER(Input!B9700),IF(AND(Input!B9700&gt;=20,Input!B9700&lt;=700),Input!B9700,""),"")</f>
        <v/>
      </c>
      <c r="C9700">
        <f>IF(B9700="","",INT(A9700))</f>
        <v/>
      </c>
      <c r="D9700">
        <f>IF(B9700="","",HOUR(A9700))</f>
        <v/>
      </c>
    </row>
    <row r="9701">
      <c r="A9701">
        <f>Input!A9701</f>
        <v/>
      </c>
      <c r="B9701">
        <f>IF(ISNUMBER(Input!B9701),IF(AND(Input!B9701&gt;=20,Input!B9701&lt;=700),Input!B9701,""),"")</f>
        <v/>
      </c>
      <c r="C9701">
        <f>IF(B9701="","",INT(A9701))</f>
        <v/>
      </c>
      <c r="D9701">
        <f>IF(B9701="","",HOUR(A9701))</f>
        <v/>
      </c>
    </row>
    <row r="9702">
      <c r="A9702">
        <f>Input!A9702</f>
        <v/>
      </c>
      <c r="B9702">
        <f>IF(ISNUMBER(Input!B9702),IF(AND(Input!B9702&gt;=20,Input!B9702&lt;=700),Input!B9702,""),"")</f>
        <v/>
      </c>
      <c r="C9702">
        <f>IF(B9702="","",INT(A9702))</f>
        <v/>
      </c>
      <c r="D9702">
        <f>IF(B9702="","",HOUR(A9702))</f>
        <v/>
      </c>
    </row>
    <row r="9703">
      <c r="A9703">
        <f>Input!A9703</f>
        <v/>
      </c>
      <c r="B9703">
        <f>IF(ISNUMBER(Input!B9703),IF(AND(Input!B9703&gt;=20,Input!B9703&lt;=700),Input!B9703,""),"")</f>
        <v/>
      </c>
      <c r="C9703">
        <f>IF(B9703="","",INT(A9703))</f>
        <v/>
      </c>
      <c r="D9703">
        <f>IF(B9703="","",HOUR(A9703))</f>
        <v/>
      </c>
    </row>
    <row r="9704">
      <c r="A9704">
        <f>Input!A9704</f>
        <v/>
      </c>
      <c r="B9704">
        <f>IF(ISNUMBER(Input!B9704),IF(AND(Input!B9704&gt;=20,Input!B9704&lt;=700),Input!B9704,""),"")</f>
        <v/>
      </c>
      <c r="C9704">
        <f>IF(B9704="","",INT(A9704))</f>
        <v/>
      </c>
      <c r="D9704">
        <f>IF(B9704="","",HOUR(A9704))</f>
        <v/>
      </c>
    </row>
    <row r="9705">
      <c r="A9705">
        <f>Input!A9705</f>
        <v/>
      </c>
      <c r="B9705">
        <f>IF(ISNUMBER(Input!B9705),IF(AND(Input!B9705&gt;=20,Input!B9705&lt;=700),Input!B9705,""),"")</f>
        <v/>
      </c>
      <c r="C9705">
        <f>IF(B9705="","",INT(A9705))</f>
        <v/>
      </c>
      <c r="D9705">
        <f>IF(B9705="","",HOUR(A9705))</f>
        <v/>
      </c>
    </row>
    <row r="9706">
      <c r="A9706">
        <f>Input!A9706</f>
        <v/>
      </c>
      <c r="B9706">
        <f>IF(ISNUMBER(Input!B9706),IF(AND(Input!B9706&gt;=20,Input!B9706&lt;=700),Input!B9706,""),"")</f>
        <v/>
      </c>
      <c r="C9706">
        <f>IF(B9706="","",INT(A9706))</f>
        <v/>
      </c>
      <c r="D9706">
        <f>IF(B9706="","",HOUR(A9706))</f>
        <v/>
      </c>
    </row>
    <row r="9707">
      <c r="A9707">
        <f>Input!A9707</f>
        <v/>
      </c>
      <c r="B9707">
        <f>IF(ISNUMBER(Input!B9707),IF(AND(Input!B9707&gt;=20,Input!B9707&lt;=700),Input!B9707,""),"")</f>
        <v/>
      </c>
      <c r="C9707">
        <f>IF(B9707="","",INT(A9707))</f>
        <v/>
      </c>
      <c r="D9707">
        <f>IF(B9707="","",HOUR(A9707))</f>
        <v/>
      </c>
    </row>
    <row r="9708">
      <c r="A9708">
        <f>Input!A9708</f>
        <v/>
      </c>
      <c r="B9708">
        <f>IF(ISNUMBER(Input!B9708),IF(AND(Input!B9708&gt;=20,Input!B9708&lt;=700),Input!B9708,""),"")</f>
        <v/>
      </c>
      <c r="C9708">
        <f>IF(B9708="","",INT(A9708))</f>
        <v/>
      </c>
      <c r="D9708">
        <f>IF(B9708="","",HOUR(A9708))</f>
        <v/>
      </c>
    </row>
    <row r="9709">
      <c r="A9709">
        <f>Input!A9709</f>
        <v/>
      </c>
      <c r="B9709">
        <f>IF(ISNUMBER(Input!B9709),IF(AND(Input!B9709&gt;=20,Input!B9709&lt;=700),Input!B9709,""),"")</f>
        <v/>
      </c>
      <c r="C9709">
        <f>IF(B9709="","",INT(A9709))</f>
        <v/>
      </c>
      <c r="D9709">
        <f>IF(B9709="","",HOUR(A9709))</f>
        <v/>
      </c>
    </row>
    <row r="9710">
      <c r="A9710">
        <f>Input!A9710</f>
        <v/>
      </c>
      <c r="B9710">
        <f>IF(ISNUMBER(Input!B9710),IF(AND(Input!B9710&gt;=20,Input!B9710&lt;=700),Input!B9710,""),"")</f>
        <v/>
      </c>
      <c r="C9710">
        <f>IF(B9710="","",INT(A9710))</f>
        <v/>
      </c>
      <c r="D9710">
        <f>IF(B9710="","",HOUR(A9710))</f>
        <v/>
      </c>
    </row>
    <row r="9711">
      <c r="A9711">
        <f>Input!A9711</f>
        <v/>
      </c>
      <c r="B9711">
        <f>IF(ISNUMBER(Input!B9711),IF(AND(Input!B9711&gt;=20,Input!B9711&lt;=700),Input!B9711,""),"")</f>
        <v/>
      </c>
      <c r="C9711">
        <f>IF(B9711="","",INT(A9711))</f>
        <v/>
      </c>
      <c r="D9711">
        <f>IF(B9711="","",HOUR(A9711))</f>
        <v/>
      </c>
    </row>
    <row r="9712">
      <c r="A9712">
        <f>Input!A9712</f>
        <v/>
      </c>
      <c r="B9712">
        <f>IF(ISNUMBER(Input!B9712),IF(AND(Input!B9712&gt;=20,Input!B9712&lt;=700),Input!B9712,""),"")</f>
        <v/>
      </c>
      <c r="C9712">
        <f>IF(B9712="","",INT(A9712))</f>
        <v/>
      </c>
      <c r="D9712">
        <f>IF(B9712="","",HOUR(A9712))</f>
        <v/>
      </c>
    </row>
    <row r="9713">
      <c r="A9713">
        <f>Input!A9713</f>
        <v/>
      </c>
      <c r="B9713">
        <f>IF(ISNUMBER(Input!B9713),IF(AND(Input!B9713&gt;=20,Input!B9713&lt;=700),Input!B9713,""),"")</f>
        <v/>
      </c>
      <c r="C9713">
        <f>IF(B9713="","",INT(A9713))</f>
        <v/>
      </c>
      <c r="D9713">
        <f>IF(B9713="","",HOUR(A9713))</f>
        <v/>
      </c>
    </row>
    <row r="9714">
      <c r="A9714">
        <f>Input!A9714</f>
        <v/>
      </c>
      <c r="B9714">
        <f>IF(ISNUMBER(Input!B9714),IF(AND(Input!B9714&gt;=20,Input!B9714&lt;=700),Input!B9714,""),"")</f>
        <v/>
      </c>
      <c r="C9714">
        <f>IF(B9714="","",INT(A9714))</f>
        <v/>
      </c>
      <c r="D9714">
        <f>IF(B9714="","",HOUR(A9714))</f>
        <v/>
      </c>
    </row>
    <row r="9715">
      <c r="A9715">
        <f>Input!A9715</f>
        <v/>
      </c>
      <c r="B9715">
        <f>IF(ISNUMBER(Input!B9715),IF(AND(Input!B9715&gt;=20,Input!B9715&lt;=700),Input!B9715,""),"")</f>
        <v/>
      </c>
      <c r="C9715">
        <f>IF(B9715="","",INT(A9715))</f>
        <v/>
      </c>
      <c r="D9715">
        <f>IF(B9715="","",HOUR(A9715))</f>
        <v/>
      </c>
    </row>
    <row r="9716">
      <c r="A9716">
        <f>Input!A9716</f>
        <v/>
      </c>
      <c r="B9716">
        <f>IF(ISNUMBER(Input!B9716),IF(AND(Input!B9716&gt;=20,Input!B9716&lt;=700),Input!B9716,""),"")</f>
        <v/>
      </c>
      <c r="C9716">
        <f>IF(B9716="","",INT(A9716))</f>
        <v/>
      </c>
      <c r="D9716">
        <f>IF(B9716="","",HOUR(A9716))</f>
        <v/>
      </c>
    </row>
    <row r="9717">
      <c r="A9717">
        <f>Input!A9717</f>
        <v/>
      </c>
      <c r="B9717">
        <f>IF(ISNUMBER(Input!B9717),IF(AND(Input!B9717&gt;=20,Input!B9717&lt;=700),Input!B9717,""),"")</f>
        <v/>
      </c>
      <c r="C9717">
        <f>IF(B9717="","",INT(A9717))</f>
        <v/>
      </c>
      <c r="D9717">
        <f>IF(B9717="","",HOUR(A9717))</f>
        <v/>
      </c>
    </row>
    <row r="9718">
      <c r="A9718">
        <f>Input!A9718</f>
        <v/>
      </c>
      <c r="B9718">
        <f>IF(ISNUMBER(Input!B9718),IF(AND(Input!B9718&gt;=20,Input!B9718&lt;=700),Input!B9718,""),"")</f>
        <v/>
      </c>
      <c r="C9718">
        <f>IF(B9718="","",INT(A9718))</f>
        <v/>
      </c>
      <c r="D9718">
        <f>IF(B9718="","",HOUR(A9718))</f>
        <v/>
      </c>
    </row>
    <row r="9719">
      <c r="A9719">
        <f>Input!A9719</f>
        <v/>
      </c>
      <c r="B9719">
        <f>IF(ISNUMBER(Input!B9719),IF(AND(Input!B9719&gt;=20,Input!B9719&lt;=700),Input!B9719,""),"")</f>
        <v/>
      </c>
      <c r="C9719">
        <f>IF(B9719="","",INT(A9719))</f>
        <v/>
      </c>
      <c r="D9719">
        <f>IF(B9719="","",HOUR(A9719))</f>
        <v/>
      </c>
    </row>
    <row r="9720">
      <c r="A9720">
        <f>Input!A9720</f>
        <v/>
      </c>
      <c r="B9720">
        <f>IF(ISNUMBER(Input!B9720),IF(AND(Input!B9720&gt;=20,Input!B9720&lt;=700),Input!B9720,""),"")</f>
        <v/>
      </c>
      <c r="C9720">
        <f>IF(B9720="","",INT(A9720))</f>
        <v/>
      </c>
      <c r="D9720">
        <f>IF(B9720="","",HOUR(A9720))</f>
        <v/>
      </c>
    </row>
    <row r="9721">
      <c r="A9721">
        <f>Input!A9721</f>
        <v/>
      </c>
      <c r="B9721">
        <f>IF(ISNUMBER(Input!B9721),IF(AND(Input!B9721&gt;=20,Input!B9721&lt;=700),Input!B9721,""),"")</f>
        <v/>
      </c>
      <c r="C9721">
        <f>IF(B9721="","",INT(A9721))</f>
        <v/>
      </c>
      <c r="D9721">
        <f>IF(B9721="","",HOUR(A9721))</f>
        <v/>
      </c>
    </row>
    <row r="9722">
      <c r="A9722">
        <f>Input!A9722</f>
        <v/>
      </c>
      <c r="B9722">
        <f>IF(ISNUMBER(Input!B9722),IF(AND(Input!B9722&gt;=20,Input!B9722&lt;=700),Input!B9722,""),"")</f>
        <v/>
      </c>
      <c r="C9722">
        <f>IF(B9722="","",INT(A9722))</f>
        <v/>
      </c>
      <c r="D9722">
        <f>IF(B9722="","",HOUR(A9722))</f>
        <v/>
      </c>
    </row>
    <row r="9723">
      <c r="A9723">
        <f>Input!A9723</f>
        <v/>
      </c>
      <c r="B9723">
        <f>IF(ISNUMBER(Input!B9723),IF(AND(Input!B9723&gt;=20,Input!B9723&lt;=700),Input!B9723,""),"")</f>
        <v/>
      </c>
      <c r="C9723">
        <f>IF(B9723="","",INT(A9723))</f>
        <v/>
      </c>
      <c r="D9723">
        <f>IF(B9723="","",HOUR(A9723))</f>
        <v/>
      </c>
    </row>
    <row r="9724">
      <c r="A9724">
        <f>Input!A9724</f>
        <v/>
      </c>
      <c r="B9724">
        <f>IF(ISNUMBER(Input!B9724),IF(AND(Input!B9724&gt;=20,Input!B9724&lt;=700),Input!B9724,""),"")</f>
        <v/>
      </c>
      <c r="C9724">
        <f>IF(B9724="","",INT(A9724))</f>
        <v/>
      </c>
      <c r="D9724">
        <f>IF(B9724="","",HOUR(A9724))</f>
        <v/>
      </c>
    </row>
    <row r="9725">
      <c r="A9725">
        <f>Input!A9725</f>
        <v/>
      </c>
      <c r="B9725">
        <f>IF(ISNUMBER(Input!B9725),IF(AND(Input!B9725&gt;=20,Input!B9725&lt;=700),Input!B9725,""),"")</f>
        <v/>
      </c>
      <c r="C9725">
        <f>IF(B9725="","",INT(A9725))</f>
        <v/>
      </c>
      <c r="D9725">
        <f>IF(B9725="","",HOUR(A9725))</f>
        <v/>
      </c>
    </row>
    <row r="9726">
      <c r="A9726">
        <f>Input!A9726</f>
        <v/>
      </c>
      <c r="B9726">
        <f>IF(ISNUMBER(Input!B9726),IF(AND(Input!B9726&gt;=20,Input!B9726&lt;=700),Input!B9726,""),"")</f>
        <v/>
      </c>
      <c r="C9726">
        <f>IF(B9726="","",INT(A9726))</f>
        <v/>
      </c>
      <c r="D9726">
        <f>IF(B9726="","",HOUR(A9726))</f>
        <v/>
      </c>
    </row>
    <row r="9727">
      <c r="A9727">
        <f>Input!A9727</f>
        <v/>
      </c>
      <c r="B9727">
        <f>IF(ISNUMBER(Input!B9727),IF(AND(Input!B9727&gt;=20,Input!B9727&lt;=700),Input!B9727,""),"")</f>
        <v/>
      </c>
      <c r="C9727">
        <f>IF(B9727="","",INT(A9727))</f>
        <v/>
      </c>
      <c r="D9727">
        <f>IF(B9727="","",HOUR(A9727))</f>
        <v/>
      </c>
    </row>
    <row r="9728">
      <c r="A9728">
        <f>Input!A9728</f>
        <v/>
      </c>
      <c r="B9728">
        <f>IF(ISNUMBER(Input!B9728),IF(AND(Input!B9728&gt;=20,Input!B9728&lt;=700),Input!B9728,""),"")</f>
        <v/>
      </c>
      <c r="C9728">
        <f>IF(B9728="","",INT(A9728))</f>
        <v/>
      </c>
      <c r="D9728">
        <f>IF(B9728="","",HOUR(A9728))</f>
        <v/>
      </c>
    </row>
    <row r="9729">
      <c r="A9729">
        <f>Input!A9729</f>
        <v/>
      </c>
      <c r="B9729">
        <f>IF(ISNUMBER(Input!B9729),IF(AND(Input!B9729&gt;=20,Input!B9729&lt;=700),Input!B9729,""),"")</f>
        <v/>
      </c>
      <c r="C9729">
        <f>IF(B9729="","",INT(A9729))</f>
        <v/>
      </c>
      <c r="D9729">
        <f>IF(B9729="","",HOUR(A9729))</f>
        <v/>
      </c>
    </row>
    <row r="9730">
      <c r="A9730">
        <f>Input!A9730</f>
        <v/>
      </c>
      <c r="B9730">
        <f>IF(ISNUMBER(Input!B9730),IF(AND(Input!B9730&gt;=20,Input!B9730&lt;=700),Input!B9730,""),"")</f>
        <v/>
      </c>
      <c r="C9730">
        <f>IF(B9730="","",INT(A9730))</f>
        <v/>
      </c>
      <c r="D9730">
        <f>IF(B9730="","",HOUR(A9730))</f>
        <v/>
      </c>
    </row>
    <row r="9731">
      <c r="A9731">
        <f>Input!A9731</f>
        <v/>
      </c>
      <c r="B9731">
        <f>IF(ISNUMBER(Input!B9731),IF(AND(Input!B9731&gt;=20,Input!B9731&lt;=700),Input!B9731,""),"")</f>
        <v/>
      </c>
      <c r="C9731">
        <f>IF(B9731="","",INT(A9731))</f>
        <v/>
      </c>
      <c r="D9731">
        <f>IF(B9731="","",HOUR(A9731))</f>
        <v/>
      </c>
    </row>
    <row r="9732">
      <c r="A9732">
        <f>Input!A9732</f>
        <v/>
      </c>
      <c r="B9732">
        <f>IF(ISNUMBER(Input!B9732),IF(AND(Input!B9732&gt;=20,Input!B9732&lt;=700),Input!B9732,""),"")</f>
        <v/>
      </c>
      <c r="C9732">
        <f>IF(B9732="","",INT(A9732))</f>
        <v/>
      </c>
      <c r="D9732">
        <f>IF(B9732="","",HOUR(A9732))</f>
        <v/>
      </c>
    </row>
    <row r="9733">
      <c r="A9733">
        <f>Input!A9733</f>
        <v/>
      </c>
      <c r="B9733">
        <f>IF(ISNUMBER(Input!B9733),IF(AND(Input!B9733&gt;=20,Input!B9733&lt;=700),Input!B9733,""),"")</f>
        <v/>
      </c>
      <c r="C9733">
        <f>IF(B9733="","",INT(A9733))</f>
        <v/>
      </c>
      <c r="D9733">
        <f>IF(B9733="","",HOUR(A9733))</f>
        <v/>
      </c>
    </row>
    <row r="9734">
      <c r="A9734">
        <f>Input!A9734</f>
        <v/>
      </c>
      <c r="B9734">
        <f>IF(ISNUMBER(Input!B9734),IF(AND(Input!B9734&gt;=20,Input!B9734&lt;=700),Input!B9734,""),"")</f>
        <v/>
      </c>
      <c r="C9734">
        <f>IF(B9734="","",INT(A9734))</f>
        <v/>
      </c>
      <c r="D9734">
        <f>IF(B9734="","",HOUR(A9734))</f>
        <v/>
      </c>
    </row>
    <row r="9735">
      <c r="A9735">
        <f>Input!A9735</f>
        <v/>
      </c>
      <c r="B9735">
        <f>IF(ISNUMBER(Input!B9735),IF(AND(Input!B9735&gt;=20,Input!B9735&lt;=700),Input!B9735,""),"")</f>
        <v/>
      </c>
      <c r="C9735">
        <f>IF(B9735="","",INT(A9735))</f>
        <v/>
      </c>
      <c r="D9735">
        <f>IF(B9735="","",HOUR(A9735))</f>
        <v/>
      </c>
    </row>
    <row r="9736">
      <c r="A9736">
        <f>Input!A9736</f>
        <v/>
      </c>
      <c r="B9736">
        <f>IF(ISNUMBER(Input!B9736),IF(AND(Input!B9736&gt;=20,Input!B9736&lt;=700),Input!B9736,""),"")</f>
        <v/>
      </c>
      <c r="C9736">
        <f>IF(B9736="","",INT(A9736))</f>
        <v/>
      </c>
      <c r="D9736">
        <f>IF(B9736="","",HOUR(A9736))</f>
        <v/>
      </c>
    </row>
    <row r="9737">
      <c r="A9737">
        <f>Input!A9737</f>
        <v/>
      </c>
      <c r="B9737">
        <f>IF(ISNUMBER(Input!B9737),IF(AND(Input!B9737&gt;=20,Input!B9737&lt;=700),Input!B9737,""),"")</f>
        <v/>
      </c>
      <c r="C9737">
        <f>IF(B9737="","",INT(A9737))</f>
        <v/>
      </c>
      <c r="D9737">
        <f>IF(B9737="","",HOUR(A9737))</f>
        <v/>
      </c>
    </row>
    <row r="9738">
      <c r="A9738">
        <f>Input!A9738</f>
        <v/>
      </c>
      <c r="B9738">
        <f>IF(ISNUMBER(Input!B9738),IF(AND(Input!B9738&gt;=20,Input!B9738&lt;=700),Input!B9738,""),"")</f>
        <v/>
      </c>
      <c r="C9738">
        <f>IF(B9738="","",INT(A9738))</f>
        <v/>
      </c>
      <c r="D9738">
        <f>IF(B9738="","",HOUR(A9738))</f>
        <v/>
      </c>
    </row>
    <row r="9739">
      <c r="A9739">
        <f>Input!A9739</f>
        <v/>
      </c>
      <c r="B9739">
        <f>IF(ISNUMBER(Input!B9739),IF(AND(Input!B9739&gt;=20,Input!B9739&lt;=700),Input!B9739,""),"")</f>
        <v/>
      </c>
      <c r="C9739">
        <f>IF(B9739="","",INT(A9739))</f>
        <v/>
      </c>
      <c r="D9739">
        <f>IF(B9739="","",HOUR(A9739))</f>
        <v/>
      </c>
    </row>
    <row r="9740">
      <c r="A9740">
        <f>Input!A9740</f>
        <v/>
      </c>
      <c r="B9740">
        <f>IF(ISNUMBER(Input!B9740),IF(AND(Input!B9740&gt;=20,Input!B9740&lt;=700),Input!B9740,""),"")</f>
        <v/>
      </c>
      <c r="C9740">
        <f>IF(B9740="","",INT(A9740))</f>
        <v/>
      </c>
      <c r="D9740">
        <f>IF(B9740="","",HOUR(A9740))</f>
        <v/>
      </c>
    </row>
    <row r="9741">
      <c r="A9741">
        <f>Input!A9741</f>
        <v/>
      </c>
      <c r="B9741">
        <f>IF(ISNUMBER(Input!B9741),IF(AND(Input!B9741&gt;=20,Input!B9741&lt;=700),Input!B9741,""),"")</f>
        <v/>
      </c>
      <c r="C9741">
        <f>IF(B9741="","",INT(A9741))</f>
        <v/>
      </c>
      <c r="D9741">
        <f>IF(B9741="","",HOUR(A9741))</f>
        <v/>
      </c>
    </row>
    <row r="9742">
      <c r="A9742">
        <f>Input!A9742</f>
        <v/>
      </c>
      <c r="B9742">
        <f>IF(ISNUMBER(Input!B9742),IF(AND(Input!B9742&gt;=20,Input!B9742&lt;=700),Input!B9742,""),"")</f>
        <v/>
      </c>
      <c r="C9742">
        <f>IF(B9742="","",INT(A9742))</f>
        <v/>
      </c>
      <c r="D9742">
        <f>IF(B9742="","",HOUR(A9742))</f>
        <v/>
      </c>
    </row>
    <row r="9743">
      <c r="A9743">
        <f>Input!A9743</f>
        <v/>
      </c>
      <c r="B9743">
        <f>IF(ISNUMBER(Input!B9743),IF(AND(Input!B9743&gt;=20,Input!B9743&lt;=700),Input!B9743,""),"")</f>
        <v/>
      </c>
      <c r="C9743">
        <f>IF(B9743="","",INT(A9743))</f>
        <v/>
      </c>
      <c r="D9743">
        <f>IF(B9743="","",HOUR(A9743))</f>
        <v/>
      </c>
    </row>
    <row r="9744">
      <c r="A9744">
        <f>Input!A9744</f>
        <v/>
      </c>
      <c r="B9744">
        <f>IF(ISNUMBER(Input!B9744),IF(AND(Input!B9744&gt;=20,Input!B9744&lt;=700),Input!B9744,""),"")</f>
        <v/>
      </c>
      <c r="C9744">
        <f>IF(B9744="","",INT(A9744))</f>
        <v/>
      </c>
      <c r="D9744">
        <f>IF(B9744="","",HOUR(A9744))</f>
        <v/>
      </c>
    </row>
    <row r="9745">
      <c r="A9745">
        <f>Input!A9745</f>
        <v/>
      </c>
      <c r="B9745">
        <f>IF(ISNUMBER(Input!B9745),IF(AND(Input!B9745&gt;=20,Input!B9745&lt;=700),Input!B9745,""),"")</f>
        <v/>
      </c>
      <c r="C9745">
        <f>IF(B9745="","",INT(A9745))</f>
        <v/>
      </c>
      <c r="D9745">
        <f>IF(B9745="","",HOUR(A9745))</f>
        <v/>
      </c>
    </row>
    <row r="9746">
      <c r="A9746">
        <f>Input!A9746</f>
        <v/>
      </c>
      <c r="B9746">
        <f>IF(ISNUMBER(Input!B9746),IF(AND(Input!B9746&gt;=20,Input!B9746&lt;=700),Input!B9746,""),"")</f>
        <v/>
      </c>
      <c r="C9746">
        <f>IF(B9746="","",INT(A9746))</f>
        <v/>
      </c>
      <c r="D9746">
        <f>IF(B9746="","",HOUR(A9746))</f>
        <v/>
      </c>
    </row>
    <row r="9747">
      <c r="A9747">
        <f>Input!A9747</f>
        <v/>
      </c>
      <c r="B9747">
        <f>IF(ISNUMBER(Input!B9747),IF(AND(Input!B9747&gt;=20,Input!B9747&lt;=700),Input!B9747,""),"")</f>
        <v/>
      </c>
      <c r="C9747">
        <f>IF(B9747="","",INT(A9747))</f>
        <v/>
      </c>
      <c r="D9747">
        <f>IF(B9747="","",HOUR(A9747))</f>
        <v/>
      </c>
    </row>
    <row r="9748">
      <c r="A9748">
        <f>Input!A9748</f>
        <v/>
      </c>
      <c r="B9748">
        <f>IF(ISNUMBER(Input!B9748),IF(AND(Input!B9748&gt;=20,Input!B9748&lt;=700),Input!B9748,""),"")</f>
        <v/>
      </c>
      <c r="C9748">
        <f>IF(B9748="","",INT(A9748))</f>
        <v/>
      </c>
      <c r="D9748">
        <f>IF(B9748="","",HOUR(A9748))</f>
        <v/>
      </c>
    </row>
    <row r="9749">
      <c r="A9749">
        <f>Input!A9749</f>
        <v/>
      </c>
      <c r="B9749">
        <f>IF(ISNUMBER(Input!B9749),IF(AND(Input!B9749&gt;=20,Input!B9749&lt;=700),Input!B9749,""),"")</f>
        <v/>
      </c>
      <c r="C9749">
        <f>IF(B9749="","",INT(A9749))</f>
        <v/>
      </c>
      <c r="D9749">
        <f>IF(B9749="","",HOUR(A9749))</f>
        <v/>
      </c>
    </row>
    <row r="9750">
      <c r="A9750">
        <f>Input!A9750</f>
        <v/>
      </c>
      <c r="B9750">
        <f>IF(ISNUMBER(Input!B9750),IF(AND(Input!B9750&gt;=20,Input!B9750&lt;=700),Input!B9750,""),"")</f>
        <v/>
      </c>
      <c r="C9750">
        <f>IF(B9750="","",INT(A9750))</f>
        <v/>
      </c>
      <c r="D9750">
        <f>IF(B9750="","",HOUR(A9750))</f>
        <v/>
      </c>
    </row>
    <row r="9751">
      <c r="A9751">
        <f>Input!A9751</f>
        <v/>
      </c>
      <c r="B9751">
        <f>IF(ISNUMBER(Input!B9751),IF(AND(Input!B9751&gt;=20,Input!B9751&lt;=700),Input!B9751,""),"")</f>
        <v/>
      </c>
      <c r="C9751">
        <f>IF(B9751="","",INT(A9751))</f>
        <v/>
      </c>
      <c r="D9751">
        <f>IF(B9751="","",HOUR(A9751))</f>
        <v/>
      </c>
    </row>
    <row r="9752">
      <c r="A9752">
        <f>Input!A9752</f>
        <v/>
      </c>
      <c r="B9752">
        <f>IF(ISNUMBER(Input!B9752),IF(AND(Input!B9752&gt;=20,Input!B9752&lt;=700),Input!B9752,""),"")</f>
        <v/>
      </c>
      <c r="C9752">
        <f>IF(B9752="","",INT(A9752))</f>
        <v/>
      </c>
      <c r="D9752">
        <f>IF(B9752="","",HOUR(A9752))</f>
        <v/>
      </c>
    </row>
    <row r="9753">
      <c r="A9753">
        <f>Input!A9753</f>
        <v/>
      </c>
      <c r="B9753">
        <f>IF(ISNUMBER(Input!B9753),IF(AND(Input!B9753&gt;=20,Input!B9753&lt;=700),Input!B9753,""),"")</f>
        <v/>
      </c>
      <c r="C9753">
        <f>IF(B9753="","",INT(A9753))</f>
        <v/>
      </c>
      <c r="D9753">
        <f>IF(B9753="","",HOUR(A9753))</f>
        <v/>
      </c>
    </row>
    <row r="9754">
      <c r="A9754">
        <f>Input!A9754</f>
        <v/>
      </c>
      <c r="B9754">
        <f>IF(ISNUMBER(Input!B9754),IF(AND(Input!B9754&gt;=20,Input!B9754&lt;=700),Input!B9754,""),"")</f>
        <v/>
      </c>
      <c r="C9754">
        <f>IF(B9754="","",INT(A9754))</f>
        <v/>
      </c>
      <c r="D9754">
        <f>IF(B9754="","",HOUR(A9754))</f>
        <v/>
      </c>
    </row>
    <row r="9755">
      <c r="A9755">
        <f>Input!A9755</f>
        <v/>
      </c>
      <c r="B9755">
        <f>IF(ISNUMBER(Input!B9755),IF(AND(Input!B9755&gt;=20,Input!B9755&lt;=700),Input!B9755,""),"")</f>
        <v/>
      </c>
      <c r="C9755">
        <f>IF(B9755="","",INT(A9755))</f>
        <v/>
      </c>
      <c r="D9755">
        <f>IF(B9755="","",HOUR(A9755))</f>
        <v/>
      </c>
    </row>
    <row r="9756">
      <c r="A9756">
        <f>Input!A9756</f>
        <v/>
      </c>
      <c r="B9756">
        <f>IF(ISNUMBER(Input!B9756),IF(AND(Input!B9756&gt;=20,Input!B9756&lt;=700),Input!B9756,""),"")</f>
        <v/>
      </c>
      <c r="C9756">
        <f>IF(B9756="","",INT(A9756))</f>
        <v/>
      </c>
      <c r="D9756">
        <f>IF(B9756="","",HOUR(A9756))</f>
        <v/>
      </c>
    </row>
    <row r="9757">
      <c r="A9757">
        <f>Input!A9757</f>
        <v/>
      </c>
      <c r="B9757">
        <f>IF(ISNUMBER(Input!B9757),IF(AND(Input!B9757&gt;=20,Input!B9757&lt;=700),Input!B9757,""),"")</f>
        <v/>
      </c>
      <c r="C9757">
        <f>IF(B9757="","",INT(A9757))</f>
        <v/>
      </c>
      <c r="D9757">
        <f>IF(B9757="","",HOUR(A9757))</f>
        <v/>
      </c>
    </row>
    <row r="9758">
      <c r="A9758">
        <f>Input!A9758</f>
        <v/>
      </c>
      <c r="B9758">
        <f>IF(ISNUMBER(Input!B9758),IF(AND(Input!B9758&gt;=20,Input!B9758&lt;=700),Input!B9758,""),"")</f>
        <v/>
      </c>
      <c r="C9758">
        <f>IF(B9758="","",INT(A9758))</f>
        <v/>
      </c>
      <c r="D9758">
        <f>IF(B9758="","",HOUR(A9758))</f>
        <v/>
      </c>
    </row>
    <row r="9759">
      <c r="A9759">
        <f>Input!A9759</f>
        <v/>
      </c>
      <c r="B9759">
        <f>IF(ISNUMBER(Input!B9759),IF(AND(Input!B9759&gt;=20,Input!B9759&lt;=700),Input!B9759,""),"")</f>
        <v/>
      </c>
      <c r="C9759">
        <f>IF(B9759="","",INT(A9759))</f>
        <v/>
      </c>
      <c r="D9759">
        <f>IF(B9759="","",HOUR(A9759))</f>
        <v/>
      </c>
    </row>
    <row r="9760">
      <c r="A9760">
        <f>Input!A9760</f>
        <v/>
      </c>
      <c r="B9760">
        <f>IF(ISNUMBER(Input!B9760),IF(AND(Input!B9760&gt;=20,Input!B9760&lt;=700),Input!B9760,""),"")</f>
        <v/>
      </c>
      <c r="C9760">
        <f>IF(B9760="","",INT(A9760))</f>
        <v/>
      </c>
      <c r="D9760">
        <f>IF(B9760="","",HOUR(A9760))</f>
        <v/>
      </c>
    </row>
    <row r="9761">
      <c r="A9761">
        <f>Input!A9761</f>
        <v/>
      </c>
      <c r="B9761">
        <f>IF(ISNUMBER(Input!B9761),IF(AND(Input!B9761&gt;=20,Input!B9761&lt;=700),Input!B9761,""),"")</f>
        <v/>
      </c>
      <c r="C9761">
        <f>IF(B9761="","",INT(A9761))</f>
        <v/>
      </c>
      <c r="D9761">
        <f>IF(B9761="","",HOUR(A9761))</f>
        <v/>
      </c>
    </row>
    <row r="9762">
      <c r="A9762">
        <f>Input!A9762</f>
        <v/>
      </c>
      <c r="B9762">
        <f>IF(ISNUMBER(Input!B9762),IF(AND(Input!B9762&gt;=20,Input!B9762&lt;=700),Input!B9762,""),"")</f>
        <v/>
      </c>
      <c r="C9762">
        <f>IF(B9762="","",INT(A9762))</f>
        <v/>
      </c>
      <c r="D9762">
        <f>IF(B9762="","",HOUR(A9762))</f>
        <v/>
      </c>
    </row>
    <row r="9763">
      <c r="A9763">
        <f>Input!A9763</f>
        <v/>
      </c>
      <c r="B9763">
        <f>IF(ISNUMBER(Input!B9763),IF(AND(Input!B9763&gt;=20,Input!B9763&lt;=700),Input!B9763,""),"")</f>
        <v/>
      </c>
      <c r="C9763">
        <f>IF(B9763="","",INT(A9763))</f>
        <v/>
      </c>
      <c r="D9763">
        <f>IF(B9763="","",HOUR(A9763))</f>
        <v/>
      </c>
    </row>
    <row r="9764">
      <c r="A9764">
        <f>Input!A9764</f>
        <v/>
      </c>
      <c r="B9764">
        <f>IF(ISNUMBER(Input!B9764),IF(AND(Input!B9764&gt;=20,Input!B9764&lt;=700),Input!B9764,""),"")</f>
        <v/>
      </c>
      <c r="C9764">
        <f>IF(B9764="","",INT(A9764))</f>
        <v/>
      </c>
      <c r="D9764">
        <f>IF(B9764="","",HOUR(A9764))</f>
        <v/>
      </c>
    </row>
    <row r="9765">
      <c r="A9765">
        <f>Input!A9765</f>
        <v/>
      </c>
      <c r="B9765">
        <f>IF(ISNUMBER(Input!B9765),IF(AND(Input!B9765&gt;=20,Input!B9765&lt;=700),Input!B9765,""),"")</f>
        <v/>
      </c>
      <c r="C9765">
        <f>IF(B9765="","",INT(A9765))</f>
        <v/>
      </c>
      <c r="D9765">
        <f>IF(B9765="","",HOUR(A9765))</f>
        <v/>
      </c>
    </row>
    <row r="9766">
      <c r="A9766">
        <f>Input!A9766</f>
        <v/>
      </c>
      <c r="B9766">
        <f>IF(ISNUMBER(Input!B9766),IF(AND(Input!B9766&gt;=20,Input!B9766&lt;=700),Input!B9766,""),"")</f>
        <v/>
      </c>
      <c r="C9766">
        <f>IF(B9766="","",INT(A9766))</f>
        <v/>
      </c>
      <c r="D9766">
        <f>IF(B9766="","",HOUR(A9766))</f>
        <v/>
      </c>
    </row>
    <row r="9767">
      <c r="A9767">
        <f>Input!A9767</f>
        <v/>
      </c>
      <c r="B9767">
        <f>IF(ISNUMBER(Input!B9767),IF(AND(Input!B9767&gt;=20,Input!B9767&lt;=700),Input!B9767,""),"")</f>
        <v/>
      </c>
      <c r="C9767">
        <f>IF(B9767="","",INT(A9767))</f>
        <v/>
      </c>
      <c r="D9767">
        <f>IF(B9767="","",HOUR(A9767))</f>
        <v/>
      </c>
    </row>
    <row r="9768">
      <c r="A9768">
        <f>Input!A9768</f>
        <v/>
      </c>
      <c r="B9768">
        <f>IF(ISNUMBER(Input!B9768),IF(AND(Input!B9768&gt;=20,Input!B9768&lt;=700),Input!B9768,""),"")</f>
        <v/>
      </c>
      <c r="C9768">
        <f>IF(B9768="","",INT(A9768))</f>
        <v/>
      </c>
      <c r="D9768">
        <f>IF(B9768="","",HOUR(A9768))</f>
        <v/>
      </c>
    </row>
    <row r="9769">
      <c r="A9769">
        <f>Input!A9769</f>
        <v/>
      </c>
      <c r="B9769">
        <f>IF(ISNUMBER(Input!B9769),IF(AND(Input!B9769&gt;=20,Input!B9769&lt;=700),Input!B9769,""),"")</f>
        <v/>
      </c>
      <c r="C9769">
        <f>IF(B9769="","",INT(A9769))</f>
        <v/>
      </c>
      <c r="D9769">
        <f>IF(B9769="","",HOUR(A9769))</f>
        <v/>
      </c>
    </row>
    <row r="9770">
      <c r="A9770">
        <f>Input!A9770</f>
        <v/>
      </c>
      <c r="B9770">
        <f>IF(ISNUMBER(Input!B9770),IF(AND(Input!B9770&gt;=20,Input!B9770&lt;=700),Input!B9770,""),"")</f>
        <v/>
      </c>
      <c r="C9770">
        <f>IF(B9770="","",INT(A9770))</f>
        <v/>
      </c>
      <c r="D9770">
        <f>IF(B9770="","",HOUR(A9770))</f>
        <v/>
      </c>
    </row>
    <row r="9771">
      <c r="A9771">
        <f>Input!A9771</f>
        <v/>
      </c>
      <c r="B9771">
        <f>IF(ISNUMBER(Input!B9771),IF(AND(Input!B9771&gt;=20,Input!B9771&lt;=700),Input!B9771,""),"")</f>
        <v/>
      </c>
      <c r="C9771">
        <f>IF(B9771="","",INT(A9771))</f>
        <v/>
      </c>
      <c r="D9771">
        <f>IF(B9771="","",HOUR(A9771))</f>
        <v/>
      </c>
    </row>
    <row r="9772">
      <c r="A9772">
        <f>Input!A9772</f>
        <v/>
      </c>
      <c r="B9772">
        <f>IF(ISNUMBER(Input!B9772),IF(AND(Input!B9772&gt;=20,Input!B9772&lt;=700),Input!B9772,""),"")</f>
        <v/>
      </c>
      <c r="C9772">
        <f>IF(B9772="","",INT(A9772))</f>
        <v/>
      </c>
      <c r="D9772">
        <f>IF(B9772="","",HOUR(A9772))</f>
        <v/>
      </c>
    </row>
    <row r="9773">
      <c r="A9773">
        <f>Input!A9773</f>
        <v/>
      </c>
      <c r="B9773">
        <f>IF(ISNUMBER(Input!B9773),IF(AND(Input!B9773&gt;=20,Input!B9773&lt;=700),Input!B9773,""),"")</f>
        <v/>
      </c>
      <c r="C9773">
        <f>IF(B9773="","",INT(A9773))</f>
        <v/>
      </c>
      <c r="D9773">
        <f>IF(B9773="","",HOUR(A9773))</f>
        <v/>
      </c>
    </row>
    <row r="9774">
      <c r="A9774">
        <f>Input!A9774</f>
        <v/>
      </c>
      <c r="B9774">
        <f>IF(ISNUMBER(Input!B9774),IF(AND(Input!B9774&gt;=20,Input!B9774&lt;=700),Input!B9774,""),"")</f>
        <v/>
      </c>
      <c r="C9774">
        <f>IF(B9774="","",INT(A9774))</f>
        <v/>
      </c>
      <c r="D9774">
        <f>IF(B9774="","",HOUR(A9774))</f>
        <v/>
      </c>
    </row>
    <row r="9775">
      <c r="A9775">
        <f>Input!A9775</f>
        <v/>
      </c>
      <c r="B9775">
        <f>IF(ISNUMBER(Input!B9775),IF(AND(Input!B9775&gt;=20,Input!B9775&lt;=700),Input!B9775,""),"")</f>
        <v/>
      </c>
      <c r="C9775">
        <f>IF(B9775="","",INT(A9775))</f>
        <v/>
      </c>
      <c r="D9775">
        <f>IF(B9775="","",HOUR(A9775))</f>
        <v/>
      </c>
    </row>
    <row r="9776">
      <c r="A9776">
        <f>Input!A9776</f>
        <v/>
      </c>
      <c r="B9776">
        <f>IF(ISNUMBER(Input!B9776),IF(AND(Input!B9776&gt;=20,Input!B9776&lt;=700),Input!B9776,""),"")</f>
        <v/>
      </c>
      <c r="C9776">
        <f>IF(B9776="","",INT(A9776))</f>
        <v/>
      </c>
      <c r="D9776">
        <f>IF(B9776="","",HOUR(A9776))</f>
        <v/>
      </c>
    </row>
    <row r="9777">
      <c r="A9777">
        <f>Input!A9777</f>
        <v/>
      </c>
      <c r="B9777">
        <f>IF(ISNUMBER(Input!B9777),IF(AND(Input!B9777&gt;=20,Input!B9777&lt;=700),Input!B9777,""),"")</f>
        <v/>
      </c>
      <c r="C9777">
        <f>IF(B9777="","",INT(A9777))</f>
        <v/>
      </c>
      <c r="D9777">
        <f>IF(B9777="","",HOUR(A9777))</f>
        <v/>
      </c>
    </row>
    <row r="9778">
      <c r="A9778">
        <f>Input!A9778</f>
        <v/>
      </c>
      <c r="B9778">
        <f>IF(ISNUMBER(Input!B9778),IF(AND(Input!B9778&gt;=20,Input!B9778&lt;=700),Input!B9778,""),"")</f>
        <v/>
      </c>
      <c r="C9778">
        <f>IF(B9778="","",INT(A9778))</f>
        <v/>
      </c>
      <c r="D9778">
        <f>IF(B9778="","",HOUR(A9778))</f>
        <v/>
      </c>
    </row>
    <row r="9779">
      <c r="A9779">
        <f>Input!A9779</f>
        <v/>
      </c>
      <c r="B9779">
        <f>IF(ISNUMBER(Input!B9779),IF(AND(Input!B9779&gt;=20,Input!B9779&lt;=700),Input!B9779,""),"")</f>
        <v/>
      </c>
      <c r="C9779">
        <f>IF(B9779="","",INT(A9779))</f>
        <v/>
      </c>
      <c r="D9779">
        <f>IF(B9779="","",HOUR(A9779))</f>
        <v/>
      </c>
    </row>
    <row r="9780">
      <c r="A9780">
        <f>Input!A9780</f>
        <v/>
      </c>
      <c r="B9780">
        <f>IF(ISNUMBER(Input!B9780),IF(AND(Input!B9780&gt;=20,Input!B9780&lt;=700),Input!B9780,""),"")</f>
        <v/>
      </c>
      <c r="C9780">
        <f>IF(B9780="","",INT(A9780))</f>
        <v/>
      </c>
      <c r="D9780">
        <f>IF(B9780="","",HOUR(A9780))</f>
        <v/>
      </c>
    </row>
    <row r="9781">
      <c r="A9781">
        <f>Input!A9781</f>
        <v/>
      </c>
      <c r="B9781">
        <f>IF(ISNUMBER(Input!B9781),IF(AND(Input!B9781&gt;=20,Input!B9781&lt;=700),Input!B9781,""),"")</f>
        <v/>
      </c>
      <c r="C9781">
        <f>IF(B9781="","",INT(A9781))</f>
        <v/>
      </c>
      <c r="D9781">
        <f>IF(B9781="","",HOUR(A9781))</f>
        <v/>
      </c>
    </row>
    <row r="9782">
      <c r="A9782">
        <f>Input!A9782</f>
        <v/>
      </c>
      <c r="B9782">
        <f>IF(ISNUMBER(Input!B9782),IF(AND(Input!B9782&gt;=20,Input!B9782&lt;=700),Input!B9782,""),"")</f>
        <v/>
      </c>
      <c r="C9782">
        <f>IF(B9782="","",INT(A9782))</f>
        <v/>
      </c>
      <c r="D9782">
        <f>IF(B9782="","",HOUR(A9782))</f>
        <v/>
      </c>
    </row>
    <row r="9783">
      <c r="A9783">
        <f>Input!A9783</f>
        <v/>
      </c>
      <c r="B9783">
        <f>IF(ISNUMBER(Input!B9783),IF(AND(Input!B9783&gt;=20,Input!B9783&lt;=700),Input!B9783,""),"")</f>
        <v/>
      </c>
      <c r="C9783">
        <f>IF(B9783="","",INT(A9783))</f>
        <v/>
      </c>
      <c r="D9783">
        <f>IF(B9783="","",HOUR(A9783))</f>
        <v/>
      </c>
    </row>
    <row r="9784">
      <c r="A9784">
        <f>Input!A9784</f>
        <v/>
      </c>
      <c r="B9784">
        <f>IF(ISNUMBER(Input!B9784),IF(AND(Input!B9784&gt;=20,Input!B9784&lt;=700),Input!B9784,""),"")</f>
        <v/>
      </c>
      <c r="C9784">
        <f>IF(B9784="","",INT(A9784))</f>
        <v/>
      </c>
      <c r="D9784">
        <f>IF(B9784="","",HOUR(A9784))</f>
        <v/>
      </c>
    </row>
    <row r="9785">
      <c r="A9785">
        <f>Input!A9785</f>
        <v/>
      </c>
      <c r="B9785">
        <f>IF(ISNUMBER(Input!B9785),IF(AND(Input!B9785&gt;=20,Input!B9785&lt;=700),Input!B9785,""),"")</f>
        <v/>
      </c>
      <c r="C9785">
        <f>IF(B9785="","",INT(A9785))</f>
        <v/>
      </c>
      <c r="D9785">
        <f>IF(B9785="","",HOUR(A9785))</f>
        <v/>
      </c>
    </row>
    <row r="9786">
      <c r="A9786">
        <f>Input!A9786</f>
        <v/>
      </c>
      <c r="B9786">
        <f>IF(ISNUMBER(Input!B9786),IF(AND(Input!B9786&gt;=20,Input!B9786&lt;=700),Input!B9786,""),"")</f>
        <v/>
      </c>
      <c r="C9786">
        <f>IF(B9786="","",INT(A9786))</f>
        <v/>
      </c>
      <c r="D9786">
        <f>IF(B9786="","",HOUR(A9786))</f>
        <v/>
      </c>
    </row>
    <row r="9787">
      <c r="A9787">
        <f>Input!A9787</f>
        <v/>
      </c>
      <c r="B9787">
        <f>IF(ISNUMBER(Input!B9787),IF(AND(Input!B9787&gt;=20,Input!B9787&lt;=700),Input!B9787,""),"")</f>
        <v/>
      </c>
      <c r="C9787">
        <f>IF(B9787="","",INT(A9787))</f>
        <v/>
      </c>
      <c r="D9787">
        <f>IF(B9787="","",HOUR(A9787))</f>
        <v/>
      </c>
    </row>
    <row r="9788">
      <c r="A9788">
        <f>Input!A9788</f>
        <v/>
      </c>
      <c r="B9788">
        <f>IF(ISNUMBER(Input!B9788),IF(AND(Input!B9788&gt;=20,Input!B9788&lt;=700),Input!B9788,""),"")</f>
        <v/>
      </c>
      <c r="C9788">
        <f>IF(B9788="","",INT(A9788))</f>
        <v/>
      </c>
      <c r="D9788">
        <f>IF(B9788="","",HOUR(A9788))</f>
        <v/>
      </c>
    </row>
    <row r="9789">
      <c r="A9789">
        <f>Input!A9789</f>
        <v/>
      </c>
      <c r="B9789">
        <f>IF(ISNUMBER(Input!B9789),IF(AND(Input!B9789&gt;=20,Input!B9789&lt;=700),Input!B9789,""),"")</f>
        <v/>
      </c>
      <c r="C9789">
        <f>IF(B9789="","",INT(A9789))</f>
        <v/>
      </c>
      <c r="D9789">
        <f>IF(B9789="","",HOUR(A9789))</f>
        <v/>
      </c>
    </row>
    <row r="9790">
      <c r="A9790">
        <f>Input!A9790</f>
        <v/>
      </c>
      <c r="B9790">
        <f>IF(ISNUMBER(Input!B9790),IF(AND(Input!B9790&gt;=20,Input!B9790&lt;=700),Input!B9790,""),"")</f>
        <v/>
      </c>
      <c r="C9790">
        <f>IF(B9790="","",INT(A9790))</f>
        <v/>
      </c>
      <c r="D9790">
        <f>IF(B9790="","",HOUR(A9790))</f>
        <v/>
      </c>
    </row>
    <row r="9791">
      <c r="A9791">
        <f>Input!A9791</f>
        <v/>
      </c>
      <c r="B9791">
        <f>IF(ISNUMBER(Input!B9791),IF(AND(Input!B9791&gt;=20,Input!B9791&lt;=700),Input!B9791,""),"")</f>
        <v/>
      </c>
      <c r="C9791">
        <f>IF(B9791="","",INT(A9791))</f>
        <v/>
      </c>
      <c r="D9791">
        <f>IF(B9791="","",HOUR(A9791))</f>
        <v/>
      </c>
    </row>
    <row r="9792">
      <c r="A9792">
        <f>Input!A9792</f>
        <v/>
      </c>
      <c r="B9792">
        <f>IF(ISNUMBER(Input!B9792),IF(AND(Input!B9792&gt;=20,Input!B9792&lt;=700),Input!B9792,""),"")</f>
        <v/>
      </c>
      <c r="C9792">
        <f>IF(B9792="","",INT(A9792))</f>
        <v/>
      </c>
      <c r="D9792">
        <f>IF(B9792="","",HOUR(A9792))</f>
        <v/>
      </c>
    </row>
    <row r="9793">
      <c r="A9793">
        <f>Input!A9793</f>
        <v/>
      </c>
      <c r="B9793">
        <f>IF(ISNUMBER(Input!B9793),IF(AND(Input!B9793&gt;=20,Input!B9793&lt;=700),Input!B9793,""),"")</f>
        <v/>
      </c>
      <c r="C9793">
        <f>IF(B9793="","",INT(A9793))</f>
        <v/>
      </c>
      <c r="D9793">
        <f>IF(B9793="","",HOUR(A9793))</f>
        <v/>
      </c>
    </row>
    <row r="9794">
      <c r="A9794">
        <f>Input!A9794</f>
        <v/>
      </c>
      <c r="B9794">
        <f>IF(ISNUMBER(Input!B9794),IF(AND(Input!B9794&gt;=20,Input!B9794&lt;=700),Input!B9794,""),"")</f>
        <v/>
      </c>
      <c r="C9794">
        <f>IF(B9794="","",INT(A9794))</f>
        <v/>
      </c>
      <c r="D9794">
        <f>IF(B9794="","",HOUR(A9794))</f>
        <v/>
      </c>
    </row>
    <row r="9795">
      <c r="A9795">
        <f>Input!A9795</f>
        <v/>
      </c>
      <c r="B9795">
        <f>IF(ISNUMBER(Input!B9795),IF(AND(Input!B9795&gt;=20,Input!B9795&lt;=700),Input!B9795,""),"")</f>
        <v/>
      </c>
      <c r="C9795">
        <f>IF(B9795="","",INT(A9795))</f>
        <v/>
      </c>
      <c r="D9795">
        <f>IF(B9795="","",HOUR(A9795))</f>
        <v/>
      </c>
    </row>
    <row r="9796">
      <c r="A9796">
        <f>Input!A9796</f>
        <v/>
      </c>
      <c r="B9796">
        <f>IF(ISNUMBER(Input!B9796),IF(AND(Input!B9796&gt;=20,Input!B9796&lt;=700),Input!B9796,""),"")</f>
        <v/>
      </c>
      <c r="C9796">
        <f>IF(B9796="","",INT(A9796))</f>
        <v/>
      </c>
      <c r="D9796">
        <f>IF(B9796="","",HOUR(A9796))</f>
        <v/>
      </c>
    </row>
    <row r="9797">
      <c r="A9797">
        <f>Input!A9797</f>
        <v/>
      </c>
      <c r="B9797">
        <f>IF(ISNUMBER(Input!B9797),IF(AND(Input!B9797&gt;=20,Input!B9797&lt;=700),Input!B9797,""),"")</f>
        <v/>
      </c>
      <c r="C9797">
        <f>IF(B9797="","",INT(A9797))</f>
        <v/>
      </c>
      <c r="D9797">
        <f>IF(B9797="","",HOUR(A9797))</f>
        <v/>
      </c>
    </row>
    <row r="9798">
      <c r="A9798">
        <f>Input!A9798</f>
        <v/>
      </c>
      <c r="B9798">
        <f>IF(ISNUMBER(Input!B9798),IF(AND(Input!B9798&gt;=20,Input!B9798&lt;=700),Input!B9798,""),"")</f>
        <v/>
      </c>
      <c r="C9798">
        <f>IF(B9798="","",INT(A9798))</f>
        <v/>
      </c>
      <c r="D9798">
        <f>IF(B9798="","",HOUR(A9798))</f>
        <v/>
      </c>
    </row>
    <row r="9799">
      <c r="A9799">
        <f>Input!A9799</f>
        <v/>
      </c>
      <c r="B9799">
        <f>IF(ISNUMBER(Input!B9799),IF(AND(Input!B9799&gt;=20,Input!B9799&lt;=700),Input!B9799,""),"")</f>
        <v/>
      </c>
      <c r="C9799">
        <f>IF(B9799="","",INT(A9799))</f>
        <v/>
      </c>
      <c r="D9799">
        <f>IF(B9799="","",HOUR(A9799))</f>
        <v/>
      </c>
    </row>
    <row r="9800">
      <c r="A9800">
        <f>Input!A9800</f>
        <v/>
      </c>
      <c r="B9800">
        <f>IF(ISNUMBER(Input!B9800),IF(AND(Input!B9800&gt;=20,Input!B9800&lt;=700),Input!B9800,""),"")</f>
        <v/>
      </c>
      <c r="C9800">
        <f>IF(B9800="","",INT(A9800))</f>
        <v/>
      </c>
      <c r="D9800">
        <f>IF(B9800="","",HOUR(A9800))</f>
        <v/>
      </c>
    </row>
    <row r="9801">
      <c r="A9801">
        <f>Input!A9801</f>
        <v/>
      </c>
      <c r="B9801">
        <f>IF(ISNUMBER(Input!B9801),IF(AND(Input!B9801&gt;=20,Input!B9801&lt;=700),Input!B9801,""),"")</f>
        <v/>
      </c>
      <c r="C9801">
        <f>IF(B9801="","",INT(A9801))</f>
        <v/>
      </c>
      <c r="D9801">
        <f>IF(B9801="","",HOUR(A9801))</f>
        <v/>
      </c>
    </row>
    <row r="9802">
      <c r="A9802">
        <f>Input!A9802</f>
        <v/>
      </c>
      <c r="B9802">
        <f>IF(ISNUMBER(Input!B9802),IF(AND(Input!B9802&gt;=20,Input!B9802&lt;=700),Input!B9802,""),"")</f>
        <v/>
      </c>
      <c r="C9802">
        <f>IF(B9802="","",INT(A9802))</f>
        <v/>
      </c>
      <c r="D9802">
        <f>IF(B9802="","",HOUR(A9802))</f>
        <v/>
      </c>
    </row>
    <row r="9803">
      <c r="A9803">
        <f>Input!A9803</f>
        <v/>
      </c>
      <c r="B9803">
        <f>IF(ISNUMBER(Input!B9803),IF(AND(Input!B9803&gt;=20,Input!B9803&lt;=700),Input!B9803,""),"")</f>
        <v/>
      </c>
      <c r="C9803">
        <f>IF(B9803="","",INT(A9803))</f>
        <v/>
      </c>
      <c r="D9803">
        <f>IF(B9803="","",HOUR(A9803))</f>
        <v/>
      </c>
    </row>
    <row r="9804">
      <c r="A9804">
        <f>Input!A9804</f>
        <v/>
      </c>
      <c r="B9804">
        <f>IF(ISNUMBER(Input!B9804),IF(AND(Input!B9804&gt;=20,Input!B9804&lt;=700),Input!B9804,""),"")</f>
        <v/>
      </c>
      <c r="C9804">
        <f>IF(B9804="","",INT(A9804))</f>
        <v/>
      </c>
      <c r="D9804">
        <f>IF(B9804="","",HOUR(A9804))</f>
        <v/>
      </c>
    </row>
    <row r="9805">
      <c r="A9805">
        <f>Input!A9805</f>
        <v/>
      </c>
      <c r="B9805">
        <f>IF(ISNUMBER(Input!B9805),IF(AND(Input!B9805&gt;=20,Input!B9805&lt;=700),Input!B9805,""),"")</f>
        <v/>
      </c>
      <c r="C9805">
        <f>IF(B9805="","",INT(A9805))</f>
        <v/>
      </c>
      <c r="D9805">
        <f>IF(B9805="","",HOUR(A9805))</f>
        <v/>
      </c>
    </row>
    <row r="9806">
      <c r="A9806">
        <f>Input!A9806</f>
        <v/>
      </c>
      <c r="B9806">
        <f>IF(ISNUMBER(Input!B9806),IF(AND(Input!B9806&gt;=20,Input!B9806&lt;=700),Input!B9806,""),"")</f>
        <v/>
      </c>
      <c r="C9806">
        <f>IF(B9806="","",INT(A9806))</f>
        <v/>
      </c>
      <c r="D9806">
        <f>IF(B9806="","",HOUR(A9806))</f>
        <v/>
      </c>
    </row>
    <row r="9807">
      <c r="A9807">
        <f>Input!A9807</f>
        <v/>
      </c>
      <c r="B9807">
        <f>IF(ISNUMBER(Input!B9807),IF(AND(Input!B9807&gt;=20,Input!B9807&lt;=700),Input!B9807,""),"")</f>
        <v/>
      </c>
      <c r="C9807">
        <f>IF(B9807="","",INT(A9807))</f>
        <v/>
      </c>
      <c r="D9807">
        <f>IF(B9807="","",HOUR(A9807))</f>
        <v/>
      </c>
    </row>
    <row r="9808">
      <c r="A9808">
        <f>Input!A9808</f>
        <v/>
      </c>
      <c r="B9808">
        <f>IF(ISNUMBER(Input!B9808),IF(AND(Input!B9808&gt;=20,Input!B9808&lt;=700),Input!B9808,""),"")</f>
        <v/>
      </c>
      <c r="C9808">
        <f>IF(B9808="","",INT(A9808))</f>
        <v/>
      </c>
      <c r="D9808">
        <f>IF(B9808="","",HOUR(A9808))</f>
        <v/>
      </c>
    </row>
    <row r="9809">
      <c r="A9809">
        <f>Input!A9809</f>
        <v/>
      </c>
      <c r="B9809">
        <f>IF(ISNUMBER(Input!B9809),IF(AND(Input!B9809&gt;=20,Input!B9809&lt;=700),Input!B9809,""),"")</f>
        <v/>
      </c>
      <c r="C9809">
        <f>IF(B9809="","",INT(A9809))</f>
        <v/>
      </c>
      <c r="D9809">
        <f>IF(B9809="","",HOUR(A9809))</f>
        <v/>
      </c>
    </row>
    <row r="9810">
      <c r="A9810">
        <f>Input!A9810</f>
        <v/>
      </c>
      <c r="B9810">
        <f>IF(ISNUMBER(Input!B9810),IF(AND(Input!B9810&gt;=20,Input!B9810&lt;=700),Input!B9810,""),"")</f>
        <v/>
      </c>
      <c r="C9810">
        <f>IF(B9810="","",INT(A9810))</f>
        <v/>
      </c>
      <c r="D9810">
        <f>IF(B9810="","",HOUR(A9810))</f>
        <v/>
      </c>
    </row>
    <row r="9811">
      <c r="A9811">
        <f>Input!A9811</f>
        <v/>
      </c>
      <c r="B9811">
        <f>IF(ISNUMBER(Input!B9811),IF(AND(Input!B9811&gt;=20,Input!B9811&lt;=700),Input!B9811,""),"")</f>
        <v/>
      </c>
      <c r="C9811">
        <f>IF(B9811="","",INT(A9811))</f>
        <v/>
      </c>
      <c r="D9811">
        <f>IF(B9811="","",HOUR(A9811))</f>
        <v/>
      </c>
    </row>
    <row r="9812">
      <c r="A9812">
        <f>Input!A9812</f>
        <v/>
      </c>
      <c r="B9812">
        <f>IF(ISNUMBER(Input!B9812),IF(AND(Input!B9812&gt;=20,Input!B9812&lt;=700),Input!B9812,""),"")</f>
        <v/>
      </c>
      <c r="C9812">
        <f>IF(B9812="","",INT(A9812))</f>
        <v/>
      </c>
      <c r="D9812">
        <f>IF(B9812="","",HOUR(A9812))</f>
        <v/>
      </c>
    </row>
    <row r="9813">
      <c r="A9813">
        <f>Input!A9813</f>
        <v/>
      </c>
      <c r="B9813">
        <f>IF(ISNUMBER(Input!B9813),IF(AND(Input!B9813&gt;=20,Input!B9813&lt;=700),Input!B9813,""),"")</f>
        <v/>
      </c>
      <c r="C9813">
        <f>IF(B9813="","",INT(A9813))</f>
        <v/>
      </c>
      <c r="D9813">
        <f>IF(B9813="","",HOUR(A9813))</f>
        <v/>
      </c>
    </row>
    <row r="9814">
      <c r="A9814">
        <f>Input!A9814</f>
        <v/>
      </c>
      <c r="B9814">
        <f>IF(ISNUMBER(Input!B9814),IF(AND(Input!B9814&gt;=20,Input!B9814&lt;=700),Input!B9814,""),"")</f>
        <v/>
      </c>
      <c r="C9814">
        <f>IF(B9814="","",INT(A9814))</f>
        <v/>
      </c>
      <c r="D9814">
        <f>IF(B9814="","",HOUR(A9814))</f>
        <v/>
      </c>
    </row>
    <row r="9815">
      <c r="A9815">
        <f>Input!A9815</f>
        <v/>
      </c>
      <c r="B9815">
        <f>IF(ISNUMBER(Input!B9815),IF(AND(Input!B9815&gt;=20,Input!B9815&lt;=700),Input!B9815,""),"")</f>
        <v/>
      </c>
      <c r="C9815">
        <f>IF(B9815="","",INT(A9815))</f>
        <v/>
      </c>
      <c r="D9815">
        <f>IF(B9815="","",HOUR(A9815))</f>
        <v/>
      </c>
    </row>
    <row r="9816">
      <c r="A9816">
        <f>Input!A9816</f>
        <v/>
      </c>
      <c r="B9816">
        <f>IF(ISNUMBER(Input!B9816),IF(AND(Input!B9816&gt;=20,Input!B9816&lt;=700),Input!B9816,""),"")</f>
        <v/>
      </c>
      <c r="C9816">
        <f>IF(B9816="","",INT(A9816))</f>
        <v/>
      </c>
      <c r="D9816">
        <f>IF(B9816="","",HOUR(A9816))</f>
        <v/>
      </c>
    </row>
    <row r="9817">
      <c r="A9817">
        <f>Input!A9817</f>
        <v/>
      </c>
      <c r="B9817">
        <f>IF(ISNUMBER(Input!B9817),IF(AND(Input!B9817&gt;=20,Input!B9817&lt;=700),Input!B9817,""),"")</f>
        <v/>
      </c>
      <c r="C9817">
        <f>IF(B9817="","",INT(A9817))</f>
        <v/>
      </c>
      <c r="D9817">
        <f>IF(B9817="","",HOUR(A9817))</f>
        <v/>
      </c>
    </row>
    <row r="9818">
      <c r="A9818">
        <f>Input!A9818</f>
        <v/>
      </c>
      <c r="B9818">
        <f>IF(ISNUMBER(Input!B9818),IF(AND(Input!B9818&gt;=20,Input!B9818&lt;=700),Input!B9818,""),"")</f>
        <v/>
      </c>
      <c r="C9818">
        <f>IF(B9818="","",INT(A9818))</f>
        <v/>
      </c>
      <c r="D9818">
        <f>IF(B9818="","",HOUR(A9818))</f>
        <v/>
      </c>
    </row>
    <row r="9819">
      <c r="A9819">
        <f>Input!A9819</f>
        <v/>
      </c>
      <c r="B9819">
        <f>IF(ISNUMBER(Input!B9819),IF(AND(Input!B9819&gt;=20,Input!B9819&lt;=700),Input!B9819,""),"")</f>
        <v/>
      </c>
      <c r="C9819">
        <f>IF(B9819="","",INT(A9819))</f>
        <v/>
      </c>
      <c r="D9819">
        <f>IF(B9819="","",HOUR(A9819))</f>
        <v/>
      </c>
    </row>
    <row r="9820">
      <c r="A9820">
        <f>Input!A9820</f>
        <v/>
      </c>
      <c r="B9820">
        <f>IF(ISNUMBER(Input!B9820),IF(AND(Input!B9820&gt;=20,Input!B9820&lt;=700),Input!B9820,""),"")</f>
        <v/>
      </c>
      <c r="C9820">
        <f>IF(B9820="","",INT(A9820))</f>
        <v/>
      </c>
      <c r="D9820">
        <f>IF(B9820="","",HOUR(A9820))</f>
        <v/>
      </c>
    </row>
    <row r="9821">
      <c r="A9821">
        <f>Input!A9821</f>
        <v/>
      </c>
      <c r="B9821">
        <f>IF(ISNUMBER(Input!B9821),IF(AND(Input!B9821&gt;=20,Input!B9821&lt;=700),Input!B9821,""),"")</f>
        <v/>
      </c>
      <c r="C9821">
        <f>IF(B9821="","",INT(A9821))</f>
        <v/>
      </c>
      <c r="D9821">
        <f>IF(B9821="","",HOUR(A9821))</f>
        <v/>
      </c>
    </row>
    <row r="9822">
      <c r="A9822">
        <f>Input!A9822</f>
        <v/>
      </c>
      <c r="B9822">
        <f>IF(ISNUMBER(Input!B9822),IF(AND(Input!B9822&gt;=20,Input!B9822&lt;=700),Input!B9822,""),"")</f>
        <v/>
      </c>
      <c r="C9822">
        <f>IF(B9822="","",INT(A9822))</f>
        <v/>
      </c>
      <c r="D9822">
        <f>IF(B9822="","",HOUR(A9822))</f>
        <v/>
      </c>
    </row>
    <row r="9823">
      <c r="A9823">
        <f>Input!A9823</f>
        <v/>
      </c>
      <c r="B9823">
        <f>IF(ISNUMBER(Input!B9823),IF(AND(Input!B9823&gt;=20,Input!B9823&lt;=700),Input!B9823,""),"")</f>
        <v/>
      </c>
      <c r="C9823">
        <f>IF(B9823="","",INT(A9823))</f>
        <v/>
      </c>
      <c r="D9823">
        <f>IF(B9823="","",HOUR(A9823))</f>
        <v/>
      </c>
    </row>
    <row r="9824">
      <c r="A9824">
        <f>Input!A9824</f>
        <v/>
      </c>
      <c r="B9824">
        <f>IF(ISNUMBER(Input!B9824),IF(AND(Input!B9824&gt;=20,Input!B9824&lt;=700),Input!B9824,""),"")</f>
        <v/>
      </c>
      <c r="C9824">
        <f>IF(B9824="","",INT(A9824))</f>
        <v/>
      </c>
      <c r="D9824">
        <f>IF(B9824="","",HOUR(A9824))</f>
        <v/>
      </c>
    </row>
    <row r="9825">
      <c r="A9825">
        <f>Input!A9825</f>
        <v/>
      </c>
      <c r="B9825">
        <f>IF(ISNUMBER(Input!B9825),IF(AND(Input!B9825&gt;=20,Input!B9825&lt;=700),Input!B9825,""),"")</f>
        <v/>
      </c>
      <c r="C9825">
        <f>IF(B9825="","",INT(A9825))</f>
        <v/>
      </c>
      <c r="D9825">
        <f>IF(B9825="","",HOUR(A9825))</f>
        <v/>
      </c>
    </row>
    <row r="9826">
      <c r="A9826">
        <f>Input!A9826</f>
        <v/>
      </c>
      <c r="B9826">
        <f>IF(ISNUMBER(Input!B9826),IF(AND(Input!B9826&gt;=20,Input!B9826&lt;=700),Input!B9826,""),"")</f>
        <v/>
      </c>
      <c r="C9826">
        <f>IF(B9826="","",INT(A9826))</f>
        <v/>
      </c>
      <c r="D9826">
        <f>IF(B9826="","",HOUR(A9826))</f>
        <v/>
      </c>
    </row>
    <row r="9827">
      <c r="A9827">
        <f>Input!A9827</f>
        <v/>
      </c>
      <c r="B9827">
        <f>IF(ISNUMBER(Input!B9827),IF(AND(Input!B9827&gt;=20,Input!B9827&lt;=700),Input!B9827,""),"")</f>
        <v/>
      </c>
      <c r="C9827">
        <f>IF(B9827="","",INT(A9827))</f>
        <v/>
      </c>
      <c r="D9827">
        <f>IF(B9827="","",HOUR(A9827))</f>
        <v/>
      </c>
    </row>
    <row r="9828">
      <c r="A9828">
        <f>Input!A9828</f>
        <v/>
      </c>
      <c r="B9828">
        <f>IF(ISNUMBER(Input!B9828),IF(AND(Input!B9828&gt;=20,Input!B9828&lt;=700),Input!B9828,""),"")</f>
        <v/>
      </c>
      <c r="C9828">
        <f>IF(B9828="","",INT(A9828))</f>
        <v/>
      </c>
      <c r="D9828">
        <f>IF(B9828="","",HOUR(A9828))</f>
        <v/>
      </c>
    </row>
    <row r="9829">
      <c r="A9829">
        <f>Input!A9829</f>
        <v/>
      </c>
      <c r="B9829">
        <f>IF(ISNUMBER(Input!B9829),IF(AND(Input!B9829&gt;=20,Input!B9829&lt;=700),Input!B9829,""),"")</f>
        <v/>
      </c>
      <c r="C9829">
        <f>IF(B9829="","",INT(A9829))</f>
        <v/>
      </c>
      <c r="D9829">
        <f>IF(B9829="","",HOUR(A9829))</f>
        <v/>
      </c>
    </row>
    <row r="9830">
      <c r="A9830">
        <f>Input!A9830</f>
        <v/>
      </c>
      <c r="B9830">
        <f>IF(ISNUMBER(Input!B9830),IF(AND(Input!B9830&gt;=20,Input!B9830&lt;=700),Input!B9830,""),"")</f>
        <v/>
      </c>
      <c r="C9830">
        <f>IF(B9830="","",INT(A9830))</f>
        <v/>
      </c>
      <c r="D9830">
        <f>IF(B9830="","",HOUR(A9830))</f>
        <v/>
      </c>
    </row>
    <row r="9831">
      <c r="A9831">
        <f>Input!A9831</f>
        <v/>
      </c>
      <c r="B9831">
        <f>IF(ISNUMBER(Input!B9831),IF(AND(Input!B9831&gt;=20,Input!B9831&lt;=700),Input!B9831,""),"")</f>
        <v/>
      </c>
      <c r="C9831">
        <f>IF(B9831="","",INT(A9831))</f>
        <v/>
      </c>
      <c r="D9831">
        <f>IF(B9831="","",HOUR(A9831))</f>
        <v/>
      </c>
    </row>
    <row r="9832">
      <c r="A9832">
        <f>Input!A9832</f>
        <v/>
      </c>
      <c r="B9832">
        <f>IF(ISNUMBER(Input!B9832),IF(AND(Input!B9832&gt;=20,Input!B9832&lt;=700),Input!B9832,""),"")</f>
        <v/>
      </c>
      <c r="C9832">
        <f>IF(B9832="","",INT(A9832))</f>
        <v/>
      </c>
      <c r="D9832">
        <f>IF(B9832="","",HOUR(A9832))</f>
        <v/>
      </c>
    </row>
    <row r="9833">
      <c r="A9833">
        <f>Input!A9833</f>
        <v/>
      </c>
      <c r="B9833">
        <f>IF(ISNUMBER(Input!B9833),IF(AND(Input!B9833&gt;=20,Input!B9833&lt;=700),Input!B9833,""),"")</f>
        <v/>
      </c>
      <c r="C9833">
        <f>IF(B9833="","",INT(A9833))</f>
        <v/>
      </c>
      <c r="D9833">
        <f>IF(B9833="","",HOUR(A9833))</f>
        <v/>
      </c>
    </row>
    <row r="9834">
      <c r="A9834">
        <f>Input!A9834</f>
        <v/>
      </c>
      <c r="B9834">
        <f>IF(ISNUMBER(Input!B9834),IF(AND(Input!B9834&gt;=20,Input!B9834&lt;=700),Input!B9834,""),"")</f>
        <v/>
      </c>
      <c r="C9834">
        <f>IF(B9834="","",INT(A9834))</f>
        <v/>
      </c>
      <c r="D9834">
        <f>IF(B9834="","",HOUR(A9834))</f>
        <v/>
      </c>
    </row>
    <row r="9835">
      <c r="A9835">
        <f>Input!A9835</f>
        <v/>
      </c>
      <c r="B9835">
        <f>IF(ISNUMBER(Input!B9835),IF(AND(Input!B9835&gt;=20,Input!B9835&lt;=700),Input!B9835,""),"")</f>
        <v/>
      </c>
      <c r="C9835">
        <f>IF(B9835="","",INT(A9835))</f>
        <v/>
      </c>
      <c r="D9835">
        <f>IF(B9835="","",HOUR(A9835))</f>
        <v/>
      </c>
    </row>
    <row r="9836">
      <c r="A9836">
        <f>Input!A9836</f>
        <v/>
      </c>
      <c r="B9836">
        <f>IF(ISNUMBER(Input!B9836),IF(AND(Input!B9836&gt;=20,Input!B9836&lt;=700),Input!B9836,""),"")</f>
        <v/>
      </c>
      <c r="C9836">
        <f>IF(B9836="","",INT(A9836))</f>
        <v/>
      </c>
      <c r="D9836">
        <f>IF(B9836="","",HOUR(A9836))</f>
        <v/>
      </c>
    </row>
    <row r="9837">
      <c r="A9837">
        <f>Input!A9837</f>
        <v/>
      </c>
      <c r="B9837">
        <f>IF(ISNUMBER(Input!B9837),IF(AND(Input!B9837&gt;=20,Input!B9837&lt;=700),Input!B9837,""),"")</f>
        <v/>
      </c>
      <c r="C9837">
        <f>IF(B9837="","",INT(A9837))</f>
        <v/>
      </c>
      <c r="D9837">
        <f>IF(B9837="","",HOUR(A9837))</f>
        <v/>
      </c>
    </row>
    <row r="9838">
      <c r="A9838">
        <f>Input!A9838</f>
        <v/>
      </c>
      <c r="B9838">
        <f>IF(ISNUMBER(Input!B9838),IF(AND(Input!B9838&gt;=20,Input!B9838&lt;=700),Input!B9838,""),"")</f>
        <v/>
      </c>
      <c r="C9838">
        <f>IF(B9838="","",INT(A9838))</f>
        <v/>
      </c>
      <c r="D9838">
        <f>IF(B9838="","",HOUR(A9838))</f>
        <v/>
      </c>
    </row>
    <row r="9839">
      <c r="A9839">
        <f>Input!A9839</f>
        <v/>
      </c>
      <c r="B9839">
        <f>IF(ISNUMBER(Input!B9839),IF(AND(Input!B9839&gt;=20,Input!B9839&lt;=700),Input!B9839,""),"")</f>
        <v/>
      </c>
      <c r="C9839">
        <f>IF(B9839="","",INT(A9839))</f>
        <v/>
      </c>
      <c r="D9839">
        <f>IF(B9839="","",HOUR(A9839))</f>
        <v/>
      </c>
    </row>
    <row r="9840">
      <c r="A9840">
        <f>Input!A9840</f>
        <v/>
      </c>
      <c r="B9840">
        <f>IF(ISNUMBER(Input!B9840),IF(AND(Input!B9840&gt;=20,Input!B9840&lt;=700),Input!B9840,""),"")</f>
        <v/>
      </c>
      <c r="C9840">
        <f>IF(B9840="","",INT(A9840))</f>
        <v/>
      </c>
      <c r="D9840">
        <f>IF(B9840="","",HOUR(A9840))</f>
        <v/>
      </c>
    </row>
    <row r="9841">
      <c r="A9841">
        <f>Input!A9841</f>
        <v/>
      </c>
      <c r="B9841">
        <f>IF(ISNUMBER(Input!B9841),IF(AND(Input!B9841&gt;=20,Input!B9841&lt;=700),Input!B9841,""),"")</f>
        <v/>
      </c>
      <c r="C9841">
        <f>IF(B9841="","",INT(A9841))</f>
        <v/>
      </c>
      <c r="D9841">
        <f>IF(B9841="","",HOUR(A9841))</f>
        <v/>
      </c>
    </row>
    <row r="9842">
      <c r="A9842">
        <f>Input!A9842</f>
        <v/>
      </c>
      <c r="B9842">
        <f>IF(ISNUMBER(Input!B9842),IF(AND(Input!B9842&gt;=20,Input!B9842&lt;=700),Input!B9842,""),"")</f>
        <v/>
      </c>
      <c r="C9842">
        <f>IF(B9842="","",INT(A9842))</f>
        <v/>
      </c>
      <c r="D9842">
        <f>IF(B9842="","",HOUR(A9842))</f>
        <v/>
      </c>
    </row>
    <row r="9843">
      <c r="A9843">
        <f>Input!A9843</f>
        <v/>
      </c>
      <c r="B9843">
        <f>IF(ISNUMBER(Input!B9843),IF(AND(Input!B9843&gt;=20,Input!B9843&lt;=700),Input!B9843,""),"")</f>
        <v/>
      </c>
      <c r="C9843">
        <f>IF(B9843="","",INT(A9843))</f>
        <v/>
      </c>
      <c r="D9843">
        <f>IF(B9843="","",HOUR(A9843))</f>
        <v/>
      </c>
    </row>
    <row r="9844">
      <c r="A9844">
        <f>Input!A9844</f>
        <v/>
      </c>
      <c r="B9844">
        <f>IF(ISNUMBER(Input!B9844),IF(AND(Input!B9844&gt;=20,Input!B9844&lt;=700),Input!B9844,""),"")</f>
        <v/>
      </c>
      <c r="C9844">
        <f>IF(B9844="","",INT(A9844))</f>
        <v/>
      </c>
      <c r="D9844">
        <f>IF(B9844="","",HOUR(A9844))</f>
        <v/>
      </c>
    </row>
    <row r="9845">
      <c r="A9845">
        <f>Input!A9845</f>
        <v/>
      </c>
      <c r="B9845">
        <f>IF(ISNUMBER(Input!B9845),IF(AND(Input!B9845&gt;=20,Input!B9845&lt;=700),Input!B9845,""),"")</f>
        <v/>
      </c>
      <c r="C9845">
        <f>IF(B9845="","",INT(A9845))</f>
        <v/>
      </c>
      <c r="D9845">
        <f>IF(B9845="","",HOUR(A9845))</f>
        <v/>
      </c>
    </row>
    <row r="9846">
      <c r="A9846">
        <f>Input!A9846</f>
        <v/>
      </c>
      <c r="B9846">
        <f>IF(ISNUMBER(Input!B9846),IF(AND(Input!B9846&gt;=20,Input!B9846&lt;=700),Input!B9846,""),"")</f>
        <v/>
      </c>
      <c r="C9846">
        <f>IF(B9846="","",INT(A9846))</f>
        <v/>
      </c>
      <c r="D9846">
        <f>IF(B9846="","",HOUR(A9846))</f>
        <v/>
      </c>
    </row>
    <row r="9847">
      <c r="A9847">
        <f>Input!A9847</f>
        <v/>
      </c>
      <c r="B9847">
        <f>IF(ISNUMBER(Input!B9847),IF(AND(Input!B9847&gt;=20,Input!B9847&lt;=700),Input!B9847,""),"")</f>
        <v/>
      </c>
      <c r="C9847">
        <f>IF(B9847="","",INT(A9847))</f>
        <v/>
      </c>
      <c r="D9847">
        <f>IF(B9847="","",HOUR(A9847))</f>
        <v/>
      </c>
    </row>
    <row r="9848">
      <c r="A9848">
        <f>Input!A9848</f>
        <v/>
      </c>
      <c r="B9848">
        <f>IF(ISNUMBER(Input!B9848),IF(AND(Input!B9848&gt;=20,Input!B9848&lt;=700),Input!B9848,""),"")</f>
        <v/>
      </c>
      <c r="C9848">
        <f>IF(B9848="","",INT(A9848))</f>
        <v/>
      </c>
      <c r="D9848">
        <f>IF(B9848="","",HOUR(A9848))</f>
        <v/>
      </c>
    </row>
    <row r="9849">
      <c r="A9849">
        <f>Input!A9849</f>
        <v/>
      </c>
      <c r="B9849">
        <f>IF(ISNUMBER(Input!B9849),IF(AND(Input!B9849&gt;=20,Input!B9849&lt;=700),Input!B9849,""),"")</f>
        <v/>
      </c>
      <c r="C9849">
        <f>IF(B9849="","",INT(A9849))</f>
        <v/>
      </c>
      <c r="D9849">
        <f>IF(B9849="","",HOUR(A9849))</f>
        <v/>
      </c>
    </row>
    <row r="9850">
      <c r="A9850">
        <f>Input!A9850</f>
        <v/>
      </c>
      <c r="B9850">
        <f>IF(ISNUMBER(Input!B9850),IF(AND(Input!B9850&gt;=20,Input!B9850&lt;=700),Input!B9850,""),"")</f>
        <v/>
      </c>
      <c r="C9850">
        <f>IF(B9850="","",INT(A9850))</f>
        <v/>
      </c>
      <c r="D9850">
        <f>IF(B9850="","",HOUR(A9850))</f>
        <v/>
      </c>
    </row>
    <row r="9851">
      <c r="A9851">
        <f>Input!A9851</f>
        <v/>
      </c>
      <c r="B9851">
        <f>IF(ISNUMBER(Input!B9851),IF(AND(Input!B9851&gt;=20,Input!B9851&lt;=700),Input!B9851,""),"")</f>
        <v/>
      </c>
      <c r="C9851">
        <f>IF(B9851="","",INT(A9851))</f>
        <v/>
      </c>
      <c r="D9851">
        <f>IF(B9851="","",HOUR(A9851))</f>
        <v/>
      </c>
    </row>
    <row r="9852">
      <c r="A9852">
        <f>Input!A9852</f>
        <v/>
      </c>
      <c r="B9852">
        <f>IF(ISNUMBER(Input!B9852),IF(AND(Input!B9852&gt;=20,Input!B9852&lt;=700),Input!B9852,""),"")</f>
        <v/>
      </c>
      <c r="C9852">
        <f>IF(B9852="","",INT(A9852))</f>
        <v/>
      </c>
      <c r="D9852">
        <f>IF(B9852="","",HOUR(A9852))</f>
        <v/>
      </c>
    </row>
    <row r="9853">
      <c r="A9853">
        <f>Input!A9853</f>
        <v/>
      </c>
      <c r="B9853">
        <f>IF(ISNUMBER(Input!B9853),IF(AND(Input!B9853&gt;=20,Input!B9853&lt;=700),Input!B9853,""),"")</f>
        <v/>
      </c>
      <c r="C9853">
        <f>IF(B9853="","",INT(A9853))</f>
        <v/>
      </c>
      <c r="D9853">
        <f>IF(B9853="","",HOUR(A9853))</f>
        <v/>
      </c>
    </row>
    <row r="9854">
      <c r="A9854">
        <f>Input!A9854</f>
        <v/>
      </c>
      <c r="B9854">
        <f>IF(ISNUMBER(Input!B9854),IF(AND(Input!B9854&gt;=20,Input!B9854&lt;=700),Input!B9854,""),"")</f>
        <v/>
      </c>
      <c r="C9854">
        <f>IF(B9854="","",INT(A9854))</f>
        <v/>
      </c>
      <c r="D9854">
        <f>IF(B9854="","",HOUR(A9854))</f>
        <v/>
      </c>
    </row>
    <row r="9855">
      <c r="A9855">
        <f>Input!A9855</f>
        <v/>
      </c>
      <c r="B9855">
        <f>IF(ISNUMBER(Input!B9855),IF(AND(Input!B9855&gt;=20,Input!B9855&lt;=700),Input!B9855,""),"")</f>
        <v/>
      </c>
      <c r="C9855">
        <f>IF(B9855="","",INT(A9855))</f>
        <v/>
      </c>
      <c r="D9855">
        <f>IF(B9855="","",HOUR(A9855))</f>
        <v/>
      </c>
    </row>
    <row r="9856">
      <c r="A9856">
        <f>Input!A9856</f>
        <v/>
      </c>
      <c r="B9856">
        <f>IF(ISNUMBER(Input!B9856),IF(AND(Input!B9856&gt;=20,Input!B9856&lt;=700),Input!B9856,""),"")</f>
        <v/>
      </c>
      <c r="C9856">
        <f>IF(B9856="","",INT(A9856))</f>
        <v/>
      </c>
      <c r="D9856">
        <f>IF(B9856="","",HOUR(A9856))</f>
        <v/>
      </c>
    </row>
    <row r="9857">
      <c r="A9857">
        <f>Input!A9857</f>
        <v/>
      </c>
      <c r="B9857">
        <f>IF(ISNUMBER(Input!B9857),IF(AND(Input!B9857&gt;=20,Input!B9857&lt;=700),Input!B9857,""),"")</f>
        <v/>
      </c>
      <c r="C9857">
        <f>IF(B9857="","",INT(A9857))</f>
        <v/>
      </c>
      <c r="D9857">
        <f>IF(B9857="","",HOUR(A9857))</f>
        <v/>
      </c>
    </row>
    <row r="9858">
      <c r="A9858">
        <f>Input!A9858</f>
        <v/>
      </c>
      <c r="B9858">
        <f>IF(ISNUMBER(Input!B9858),IF(AND(Input!B9858&gt;=20,Input!B9858&lt;=700),Input!B9858,""),"")</f>
        <v/>
      </c>
      <c r="C9858">
        <f>IF(B9858="","",INT(A9858))</f>
        <v/>
      </c>
      <c r="D9858">
        <f>IF(B9858="","",HOUR(A9858))</f>
        <v/>
      </c>
    </row>
    <row r="9859">
      <c r="A9859">
        <f>Input!A9859</f>
        <v/>
      </c>
      <c r="B9859">
        <f>IF(ISNUMBER(Input!B9859),IF(AND(Input!B9859&gt;=20,Input!B9859&lt;=700),Input!B9859,""),"")</f>
        <v/>
      </c>
      <c r="C9859">
        <f>IF(B9859="","",INT(A9859))</f>
        <v/>
      </c>
      <c r="D9859">
        <f>IF(B9859="","",HOUR(A9859))</f>
        <v/>
      </c>
    </row>
    <row r="9860">
      <c r="A9860">
        <f>Input!A9860</f>
        <v/>
      </c>
      <c r="B9860">
        <f>IF(ISNUMBER(Input!B9860),IF(AND(Input!B9860&gt;=20,Input!B9860&lt;=700),Input!B9860,""),"")</f>
        <v/>
      </c>
      <c r="C9860">
        <f>IF(B9860="","",INT(A9860))</f>
        <v/>
      </c>
      <c r="D9860">
        <f>IF(B9860="","",HOUR(A9860))</f>
        <v/>
      </c>
    </row>
    <row r="9861">
      <c r="A9861">
        <f>Input!A9861</f>
        <v/>
      </c>
      <c r="B9861">
        <f>IF(ISNUMBER(Input!B9861),IF(AND(Input!B9861&gt;=20,Input!B9861&lt;=700),Input!B9861,""),"")</f>
        <v/>
      </c>
      <c r="C9861">
        <f>IF(B9861="","",INT(A9861))</f>
        <v/>
      </c>
      <c r="D9861">
        <f>IF(B9861="","",HOUR(A9861))</f>
        <v/>
      </c>
    </row>
    <row r="9862">
      <c r="A9862">
        <f>Input!A9862</f>
        <v/>
      </c>
      <c r="B9862">
        <f>IF(ISNUMBER(Input!B9862),IF(AND(Input!B9862&gt;=20,Input!B9862&lt;=700),Input!B9862,""),"")</f>
        <v/>
      </c>
      <c r="C9862">
        <f>IF(B9862="","",INT(A9862))</f>
        <v/>
      </c>
      <c r="D9862">
        <f>IF(B9862="","",HOUR(A9862))</f>
        <v/>
      </c>
    </row>
    <row r="9863">
      <c r="A9863">
        <f>Input!A9863</f>
        <v/>
      </c>
      <c r="B9863">
        <f>IF(ISNUMBER(Input!B9863),IF(AND(Input!B9863&gt;=20,Input!B9863&lt;=700),Input!B9863,""),"")</f>
        <v/>
      </c>
      <c r="C9863">
        <f>IF(B9863="","",INT(A9863))</f>
        <v/>
      </c>
      <c r="D9863">
        <f>IF(B9863="","",HOUR(A9863))</f>
        <v/>
      </c>
    </row>
    <row r="9864">
      <c r="A9864">
        <f>Input!A9864</f>
        <v/>
      </c>
      <c r="B9864">
        <f>IF(ISNUMBER(Input!B9864),IF(AND(Input!B9864&gt;=20,Input!B9864&lt;=700),Input!B9864,""),"")</f>
        <v/>
      </c>
      <c r="C9864">
        <f>IF(B9864="","",INT(A9864))</f>
        <v/>
      </c>
      <c r="D9864">
        <f>IF(B9864="","",HOUR(A9864))</f>
        <v/>
      </c>
    </row>
    <row r="9865">
      <c r="A9865">
        <f>Input!A9865</f>
        <v/>
      </c>
      <c r="B9865">
        <f>IF(ISNUMBER(Input!B9865),IF(AND(Input!B9865&gt;=20,Input!B9865&lt;=700),Input!B9865,""),"")</f>
        <v/>
      </c>
      <c r="C9865">
        <f>IF(B9865="","",INT(A9865))</f>
        <v/>
      </c>
      <c r="D9865">
        <f>IF(B9865="","",HOUR(A9865))</f>
        <v/>
      </c>
    </row>
    <row r="9866">
      <c r="A9866">
        <f>Input!A9866</f>
        <v/>
      </c>
      <c r="B9866">
        <f>IF(ISNUMBER(Input!B9866),IF(AND(Input!B9866&gt;=20,Input!B9866&lt;=700),Input!B9866,""),"")</f>
        <v/>
      </c>
      <c r="C9866">
        <f>IF(B9866="","",INT(A9866))</f>
        <v/>
      </c>
      <c r="D9866">
        <f>IF(B9866="","",HOUR(A9866))</f>
        <v/>
      </c>
    </row>
    <row r="9867">
      <c r="A9867">
        <f>Input!A9867</f>
        <v/>
      </c>
      <c r="B9867">
        <f>IF(ISNUMBER(Input!B9867),IF(AND(Input!B9867&gt;=20,Input!B9867&lt;=700),Input!B9867,""),"")</f>
        <v/>
      </c>
      <c r="C9867">
        <f>IF(B9867="","",INT(A9867))</f>
        <v/>
      </c>
      <c r="D9867">
        <f>IF(B9867="","",HOUR(A9867))</f>
        <v/>
      </c>
    </row>
    <row r="9868">
      <c r="A9868">
        <f>Input!A9868</f>
        <v/>
      </c>
      <c r="B9868">
        <f>IF(ISNUMBER(Input!B9868),IF(AND(Input!B9868&gt;=20,Input!B9868&lt;=700),Input!B9868,""),"")</f>
        <v/>
      </c>
      <c r="C9868">
        <f>IF(B9868="","",INT(A9868))</f>
        <v/>
      </c>
      <c r="D9868">
        <f>IF(B9868="","",HOUR(A9868))</f>
        <v/>
      </c>
    </row>
    <row r="9869">
      <c r="A9869">
        <f>Input!A9869</f>
        <v/>
      </c>
      <c r="B9869">
        <f>IF(ISNUMBER(Input!B9869),IF(AND(Input!B9869&gt;=20,Input!B9869&lt;=700),Input!B9869,""),"")</f>
        <v/>
      </c>
      <c r="C9869">
        <f>IF(B9869="","",INT(A9869))</f>
        <v/>
      </c>
      <c r="D9869">
        <f>IF(B9869="","",HOUR(A9869))</f>
        <v/>
      </c>
    </row>
    <row r="9870">
      <c r="A9870">
        <f>Input!A9870</f>
        <v/>
      </c>
      <c r="B9870">
        <f>IF(ISNUMBER(Input!B9870),IF(AND(Input!B9870&gt;=20,Input!B9870&lt;=700),Input!B9870,""),"")</f>
        <v/>
      </c>
      <c r="C9870">
        <f>IF(B9870="","",INT(A9870))</f>
        <v/>
      </c>
      <c r="D9870">
        <f>IF(B9870="","",HOUR(A9870))</f>
        <v/>
      </c>
    </row>
    <row r="9871">
      <c r="A9871">
        <f>Input!A9871</f>
        <v/>
      </c>
      <c r="B9871">
        <f>IF(ISNUMBER(Input!B9871),IF(AND(Input!B9871&gt;=20,Input!B9871&lt;=700),Input!B9871,""),"")</f>
        <v/>
      </c>
      <c r="C9871">
        <f>IF(B9871="","",INT(A9871))</f>
        <v/>
      </c>
      <c r="D9871">
        <f>IF(B9871="","",HOUR(A9871))</f>
        <v/>
      </c>
    </row>
    <row r="9872">
      <c r="A9872">
        <f>Input!A9872</f>
        <v/>
      </c>
      <c r="B9872">
        <f>IF(ISNUMBER(Input!B9872),IF(AND(Input!B9872&gt;=20,Input!B9872&lt;=700),Input!B9872,""),"")</f>
        <v/>
      </c>
      <c r="C9872">
        <f>IF(B9872="","",INT(A9872))</f>
        <v/>
      </c>
      <c r="D9872">
        <f>IF(B9872="","",HOUR(A9872))</f>
        <v/>
      </c>
    </row>
    <row r="9873">
      <c r="A9873">
        <f>Input!A9873</f>
        <v/>
      </c>
      <c r="B9873">
        <f>IF(ISNUMBER(Input!B9873),IF(AND(Input!B9873&gt;=20,Input!B9873&lt;=700),Input!B9873,""),"")</f>
        <v/>
      </c>
      <c r="C9873">
        <f>IF(B9873="","",INT(A9873))</f>
        <v/>
      </c>
      <c r="D9873">
        <f>IF(B9873="","",HOUR(A9873))</f>
        <v/>
      </c>
    </row>
    <row r="9874">
      <c r="A9874">
        <f>Input!A9874</f>
        <v/>
      </c>
      <c r="B9874">
        <f>IF(ISNUMBER(Input!B9874),IF(AND(Input!B9874&gt;=20,Input!B9874&lt;=700),Input!B9874,""),"")</f>
        <v/>
      </c>
      <c r="C9874">
        <f>IF(B9874="","",INT(A9874))</f>
        <v/>
      </c>
      <c r="D9874">
        <f>IF(B9874="","",HOUR(A9874))</f>
        <v/>
      </c>
    </row>
    <row r="9875">
      <c r="A9875">
        <f>Input!A9875</f>
        <v/>
      </c>
      <c r="B9875">
        <f>IF(ISNUMBER(Input!B9875),IF(AND(Input!B9875&gt;=20,Input!B9875&lt;=700),Input!B9875,""),"")</f>
        <v/>
      </c>
      <c r="C9875">
        <f>IF(B9875="","",INT(A9875))</f>
        <v/>
      </c>
      <c r="D9875">
        <f>IF(B9875="","",HOUR(A9875))</f>
        <v/>
      </c>
    </row>
    <row r="9876">
      <c r="A9876">
        <f>Input!A9876</f>
        <v/>
      </c>
      <c r="B9876">
        <f>IF(ISNUMBER(Input!B9876),IF(AND(Input!B9876&gt;=20,Input!B9876&lt;=700),Input!B9876,""),"")</f>
        <v/>
      </c>
      <c r="C9876">
        <f>IF(B9876="","",INT(A9876))</f>
        <v/>
      </c>
      <c r="D9876">
        <f>IF(B9876="","",HOUR(A9876))</f>
        <v/>
      </c>
    </row>
    <row r="9877">
      <c r="A9877">
        <f>Input!A9877</f>
        <v/>
      </c>
      <c r="B9877">
        <f>IF(ISNUMBER(Input!B9877),IF(AND(Input!B9877&gt;=20,Input!B9877&lt;=700),Input!B9877,""),"")</f>
        <v/>
      </c>
      <c r="C9877">
        <f>IF(B9877="","",INT(A9877))</f>
        <v/>
      </c>
      <c r="D9877">
        <f>IF(B9877="","",HOUR(A9877))</f>
        <v/>
      </c>
    </row>
    <row r="9878">
      <c r="A9878">
        <f>Input!A9878</f>
        <v/>
      </c>
      <c r="B9878">
        <f>IF(ISNUMBER(Input!B9878),IF(AND(Input!B9878&gt;=20,Input!B9878&lt;=700),Input!B9878,""),"")</f>
        <v/>
      </c>
      <c r="C9878">
        <f>IF(B9878="","",INT(A9878))</f>
        <v/>
      </c>
      <c r="D9878">
        <f>IF(B9878="","",HOUR(A9878))</f>
        <v/>
      </c>
    </row>
    <row r="9879">
      <c r="A9879">
        <f>Input!A9879</f>
        <v/>
      </c>
      <c r="B9879">
        <f>IF(ISNUMBER(Input!B9879),IF(AND(Input!B9879&gt;=20,Input!B9879&lt;=700),Input!B9879,""),"")</f>
        <v/>
      </c>
      <c r="C9879">
        <f>IF(B9879="","",INT(A9879))</f>
        <v/>
      </c>
      <c r="D9879">
        <f>IF(B9879="","",HOUR(A9879))</f>
        <v/>
      </c>
    </row>
    <row r="9880">
      <c r="A9880">
        <f>Input!A9880</f>
        <v/>
      </c>
      <c r="B9880">
        <f>IF(ISNUMBER(Input!B9880),IF(AND(Input!B9880&gt;=20,Input!B9880&lt;=700),Input!B9880,""),"")</f>
        <v/>
      </c>
      <c r="C9880">
        <f>IF(B9880="","",INT(A9880))</f>
        <v/>
      </c>
      <c r="D9880">
        <f>IF(B9880="","",HOUR(A9880))</f>
        <v/>
      </c>
    </row>
    <row r="9881">
      <c r="A9881">
        <f>Input!A9881</f>
        <v/>
      </c>
      <c r="B9881">
        <f>IF(ISNUMBER(Input!B9881),IF(AND(Input!B9881&gt;=20,Input!B9881&lt;=700),Input!B9881,""),"")</f>
        <v/>
      </c>
      <c r="C9881">
        <f>IF(B9881="","",INT(A9881))</f>
        <v/>
      </c>
      <c r="D9881">
        <f>IF(B9881="","",HOUR(A9881))</f>
        <v/>
      </c>
    </row>
    <row r="9882">
      <c r="A9882">
        <f>Input!A9882</f>
        <v/>
      </c>
      <c r="B9882">
        <f>IF(ISNUMBER(Input!B9882),IF(AND(Input!B9882&gt;=20,Input!B9882&lt;=700),Input!B9882,""),"")</f>
        <v/>
      </c>
      <c r="C9882">
        <f>IF(B9882="","",INT(A9882))</f>
        <v/>
      </c>
      <c r="D9882">
        <f>IF(B9882="","",HOUR(A9882))</f>
        <v/>
      </c>
    </row>
    <row r="9883">
      <c r="A9883">
        <f>Input!A9883</f>
        <v/>
      </c>
      <c r="B9883">
        <f>IF(ISNUMBER(Input!B9883),IF(AND(Input!B9883&gt;=20,Input!B9883&lt;=700),Input!B9883,""),"")</f>
        <v/>
      </c>
      <c r="C9883">
        <f>IF(B9883="","",INT(A9883))</f>
        <v/>
      </c>
      <c r="D9883">
        <f>IF(B9883="","",HOUR(A9883))</f>
        <v/>
      </c>
    </row>
    <row r="9884">
      <c r="A9884">
        <f>Input!A9884</f>
        <v/>
      </c>
      <c r="B9884">
        <f>IF(ISNUMBER(Input!B9884),IF(AND(Input!B9884&gt;=20,Input!B9884&lt;=700),Input!B9884,""),"")</f>
        <v/>
      </c>
      <c r="C9884">
        <f>IF(B9884="","",INT(A9884))</f>
        <v/>
      </c>
      <c r="D9884">
        <f>IF(B9884="","",HOUR(A9884))</f>
        <v/>
      </c>
    </row>
    <row r="9885">
      <c r="A9885">
        <f>Input!A9885</f>
        <v/>
      </c>
      <c r="B9885">
        <f>IF(ISNUMBER(Input!B9885),IF(AND(Input!B9885&gt;=20,Input!B9885&lt;=700),Input!B9885,""),"")</f>
        <v/>
      </c>
      <c r="C9885">
        <f>IF(B9885="","",INT(A9885))</f>
        <v/>
      </c>
      <c r="D9885">
        <f>IF(B9885="","",HOUR(A9885))</f>
        <v/>
      </c>
    </row>
    <row r="9886">
      <c r="A9886">
        <f>Input!A9886</f>
        <v/>
      </c>
      <c r="B9886">
        <f>IF(ISNUMBER(Input!B9886),IF(AND(Input!B9886&gt;=20,Input!B9886&lt;=700),Input!B9886,""),"")</f>
        <v/>
      </c>
      <c r="C9886">
        <f>IF(B9886="","",INT(A9886))</f>
        <v/>
      </c>
      <c r="D9886">
        <f>IF(B9886="","",HOUR(A9886))</f>
        <v/>
      </c>
    </row>
    <row r="9887">
      <c r="A9887">
        <f>Input!A9887</f>
        <v/>
      </c>
      <c r="B9887">
        <f>IF(ISNUMBER(Input!B9887),IF(AND(Input!B9887&gt;=20,Input!B9887&lt;=700),Input!B9887,""),"")</f>
        <v/>
      </c>
      <c r="C9887">
        <f>IF(B9887="","",INT(A9887))</f>
        <v/>
      </c>
      <c r="D9887">
        <f>IF(B9887="","",HOUR(A9887))</f>
        <v/>
      </c>
    </row>
    <row r="9888">
      <c r="A9888">
        <f>Input!A9888</f>
        <v/>
      </c>
      <c r="B9888">
        <f>IF(ISNUMBER(Input!B9888),IF(AND(Input!B9888&gt;=20,Input!B9888&lt;=700),Input!B9888,""),"")</f>
        <v/>
      </c>
      <c r="C9888">
        <f>IF(B9888="","",INT(A9888))</f>
        <v/>
      </c>
      <c r="D9888">
        <f>IF(B9888="","",HOUR(A9888))</f>
        <v/>
      </c>
    </row>
    <row r="9889">
      <c r="A9889">
        <f>Input!A9889</f>
        <v/>
      </c>
      <c r="B9889">
        <f>IF(ISNUMBER(Input!B9889),IF(AND(Input!B9889&gt;=20,Input!B9889&lt;=700),Input!B9889,""),"")</f>
        <v/>
      </c>
      <c r="C9889">
        <f>IF(B9889="","",INT(A9889))</f>
        <v/>
      </c>
      <c r="D9889">
        <f>IF(B9889="","",HOUR(A9889))</f>
        <v/>
      </c>
    </row>
    <row r="9890">
      <c r="A9890">
        <f>Input!A9890</f>
        <v/>
      </c>
      <c r="B9890">
        <f>IF(ISNUMBER(Input!B9890),IF(AND(Input!B9890&gt;=20,Input!B9890&lt;=700),Input!B9890,""),"")</f>
        <v/>
      </c>
      <c r="C9890">
        <f>IF(B9890="","",INT(A9890))</f>
        <v/>
      </c>
      <c r="D9890">
        <f>IF(B9890="","",HOUR(A9890))</f>
        <v/>
      </c>
    </row>
    <row r="9891">
      <c r="A9891">
        <f>Input!A9891</f>
        <v/>
      </c>
      <c r="B9891">
        <f>IF(ISNUMBER(Input!B9891),IF(AND(Input!B9891&gt;=20,Input!B9891&lt;=700),Input!B9891,""),"")</f>
        <v/>
      </c>
      <c r="C9891">
        <f>IF(B9891="","",INT(A9891))</f>
        <v/>
      </c>
      <c r="D9891">
        <f>IF(B9891="","",HOUR(A9891))</f>
        <v/>
      </c>
    </row>
    <row r="9892">
      <c r="A9892">
        <f>Input!A9892</f>
        <v/>
      </c>
      <c r="B9892">
        <f>IF(ISNUMBER(Input!B9892),IF(AND(Input!B9892&gt;=20,Input!B9892&lt;=700),Input!B9892,""),"")</f>
        <v/>
      </c>
      <c r="C9892">
        <f>IF(B9892="","",INT(A9892))</f>
        <v/>
      </c>
      <c r="D9892">
        <f>IF(B9892="","",HOUR(A9892))</f>
        <v/>
      </c>
    </row>
    <row r="9893">
      <c r="A9893">
        <f>Input!A9893</f>
        <v/>
      </c>
      <c r="B9893">
        <f>IF(ISNUMBER(Input!B9893),IF(AND(Input!B9893&gt;=20,Input!B9893&lt;=700),Input!B9893,""),"")</f>
        <v/>
      </c>
      <c r="C9893">
        <f>IF(B9893="","",INT(A9893))</f>
        <v/>
      </c>
      <c r="D9893">
        <f>IF(B9893="","",HOUR(A9893))</f>
        <v/>
      </c>
    </row>
    <row r="9894">
      <c r="A9894">
        <f>Input!A9894</f>
        <v/>
      </c>
      <c r="B9894">
        <f>IF(ISNUMBER(Input!B9894),IF(AND(Input!B9894&gt;=20,Input!B9894&lt;=700),Input!B9894,""),"")</f>
        <v/>
      </c>
      <c r="C9894">
        <f>IF(B9894="","",INT(A9894))</f>
        <v/>
      </c>
      <c r="D9894">
        <f>IF(B9894="","",HOUR(A9894))</f>
        <v/>
      </c>
    </row>
    <row r="9895">
      <c r="A9895">
        <f>Input!A9895</f>
        <v/>
      </c>
      <c r="B9895">
        <f>IF(ISNUMBER(Input!B9895),IF(AND(Input!B9895&gt;=20,Input!B9895&lt;=700),Input!B9895,""),"")</f>
        <v/>
      </c>
      <c r="C9895">
        <f>IF(B9895="","",INT(A9895))</f>
        <v/>
      </c>
      <c r="D9895">
        <f>IF(B9895="","",HOUR(A9895))</f>
        <v/>
      </c>
    </row>
    <row r="9896">
      <c r="A9896">
        <f>Input!A9896</f>
        <v/>
      </c>
      <c r="B9896">
        <f>IF(ISNUMBER(Input!B9896),IF(AND(Input!B9896&gt;=20,Input!B9896&lt;=700),Input!B9896,""),"")</f>
        <v/>
      </c>
      <c r="C9896">
        <f>IF(B9896="","",INT(A9896))</f>
        <v/>
      </c>
      <c r="D9896">
        <f>IF(B9896="","",HOUR(A9896))</f>
        <v/>
      </c>
    </row>
    <row r="9897">
      <c r="A9897">
        <f>Input!A9897</f>
        <v/>
      </c>
      <c r="B9897">
        <f>IF(ISNUMBER(Input!B9897),IF(AND(Input!B9897&gt;=20,Input!B9897&lt;=700),Input!B9897,""),"")</f>
        <v/>
      </c>
      <c r="C9897">
        <f>IF(B9897="","",INT(A9897))</f>
        <v/>
      </c>
      <c r="D9897">
        <f>IF(B9897="","",HOUR(A9897))</f>
        <v/>
      </c>
    </row>
    <row r="9898">
      <c r="A9898">
        <f>Input!A9898</f>
        <v/>
      </c>
      <c r="B9898">
        <f>IF(ISNUMBER(Input!B9898),IF(AND(Input!B9898&gt;=20,Input!B9898&lt;=700),Input!B9898,""),"")</f>
        <v/>
      </c>
      <c r="C9898">
        <f>IF(B9898="","",INT(A9898))</f>
        <v/>
      </c>
      <c r="D9898">
        <f>IF(B9898="","",HOUR(A9898))</f>
        <v/>
      </c>
    </row>
    <row r="9899">
      <c r="A9899">
        <f>Input!A9899</f>
        <v/>
      </c>
      <c r="B9899">
        <f>IF(ISNUMBER(Input!B9899),IF(AND(Input!B9899&gt;=20,Input!B9899&lt;=700),Input!B9899,""),"")</f>
        <v/>
      </c>
      <c r="C9899">
        <f>IF(B9899="","",INT(A9899))</f>
        <v/>
      </c>
      <c r="D9899">
        <f>IF(B9899="","",HOUR(A9899))</f>
        <v/>
      </c>
    </row>
    <row r="9900">
      <c r="A9900">
        <f>Input!A9900</f>
        <v/>
      </c>
      <c r="B9900">
        <f>IF(ISNUMBER(Input!B9900),IF(AND(Input!B9900&gt;=20,Input!B9900&lt;=700),Input!B9900,""),"")</f>
        <v/>
      </c>
      <c r="C9900">
        <f>IF(B9900="","",INT(A9900))</f>
        <v/>
      </c>
      <c r="D9900">
        <f>IF(B9900="","",HOUR(A9900))</f>
        <v/>
      </c>
    </row>
    <row r="9901">
      <c r="A9901">
        <f>Input!A9901</f>
        <v/>
      </c>
      <c r="B9901">
        <f>IF(ISNUMBER(Input!B9901),IF(AND(Input!B9901&gt;=20,Input!B9901&lt;=700),Input!B9901,""),"")</f>
        <v/>
      </c>
      <c r="C9901">
        <f>IF(B9901="","",INT(A9901))</f>
        <v/>
      </c>
      <c r="D9901">
        <f>IF(B9901="","",HOUR(A9901))</f>
        <v/>
      </c>
    </row>
    <row r="9902">
      <c r="A9902">
        <f>Input!A9902</f>
        <v/>
      </c>
      <c r="B9902">
        <f>IF(ISNUMBER(Input!B9902),IF(AND(Input!B9902&gt;=20,Input!B9902&lt;=700),Input!B9902,""),"")</f>
        <v/>
      </c>
      <c r="C9902">
        <f>IF(B9902="","",INT(A9902))</f>
        <v/>
      </c>
      <c r="D9902">
        <f>IF(B9902="","",HOUR(A9902))</f>
        <v/>
      </c>
    </row>
    <row r="9903">
      <c r="A9903">
        <f>Input!A9903</f>
        <v/>
      </c>
      <c r="B9903">
        <f>IF(ISNUMBER(Input!B9903),IF(AND(Input!B9903&gt;=20,Input!B9903&lt;=700),Input!B9903,""),"")</f>
        <v/>
      </c>
      <c r="C9903">
        <f>IF(B9903="","",INT(A9903))</f>
        <v/>
      </c>
      <c r="D9903">
        <f>IF(B9903="","",HOUR(A9903))</f>
        <v/>
      </c>
    </row>
    <row r="9904">
      <c r="A9904">
        <f>Input!A9904</f>
        <v/>
      </c>
      <c r="B9904">
        <f>IF(ISNUMBER(Input!B9904),IF(AND(Input!B9904&gt;=20,Input!B9904&lt;=700),Input!B9904,""),"")</f>
        <v/>
      </c>
      <c r="C9904">
        <f>IF(B9904="","",INT(A9904))</f>
        <v/>
      </c>
      <c r="D9904">
        <f>IF(B9904="","",HOUR(A9904))</f>
        <v/>
      </c>
    </row>
    <row r="9905">
      <c r="A9905">
        <f>Input!A9905</f>
        <v/>
      </c>
      <c r="B9905">
        <f>IF(ISNUMBER(Input!B9905),IF(AND(Input!B9905&gt;=20,Input!B9905&lt;=700),Input!B9905,""),"")</f>
        <v/>
      </c>
      <c r="C9905">
        <f>IF(B9905="","",INT(A9905))</f>
        <v/>
      </c>
      <c r="D9905">
        <f>IF(B9905="","",HOUR(A9905))</f>
        <v/>
      </c>
    </row>
    <row r="9906">
      <c r="A9906">
        <f>Input!A9906</f>
        <v/>
      </c>
      <c r="B9906">
        <f>IF(ISNUMBER(Input!B9906),IF(AND(Input!B9906&gt;=20,Input!B9906&lt;=700),Input!B9906,""),"")</f>
        <v/>
      </c>
      <c r="C9906">
        <f>IF(B9906="","",INT(A9906))</f>
        <v/>
      </c>
      <c r="D9906">
        <f>IF(B9906="","",HOUR(A9906))</f>
        <v/>
      </c>
    </row>
    <row r="9907">
      <c r="A9907">
        <f>Input!A9907</f>
        <v/>
      </c>
      <c r="B9907">
        <f>IF(ISNUMBER(Input!B9907),IF(AND(Input!B9907&gt;=20,Input!B9907&lt;=700),Input!B9907,""),"")</f>
        <v/>
      </c>
      <c r="C9907">
        <f>IF(B9907="","",INT(A9907))</f>
        <v/>
      </c>
      <c r="D9907">
        <f>IF(B9907="","",HOUR(A9907))</f>
        <v/>
      </c>
    </row>
    <row r="9908">
      <c r="A9908">
        <f>Input!A9908</f>
        <v/>
      </c>
      <c r="B9908">
        <f>IF(ISNUMBER(Input!B9908),IF(AND(Input!B9908&gt;=20,Input!B9908&lt;=700),Input!B9908,""),"")</f>
        <v/>
      </c>
      <c r="C9908">
        <f>IF(B9908="","",INT(A9908))</f>
        <v/>
      </c>
      <c r="D9908">
        <f>IF(B9908="","",HOUR(A9908))</f>
        <v/>
      </c>
    </row>
    <row r="9909">
      <c r="A9909">
        <f>Input!A9909</f>
        <v/>
      </c>
      <c r="B9909">
        <f>IF(ISNUMBER(Input!B9909),IF(AND(Input!B9909&gt;=20,Input!B9909&lt;=700),Input!B9909,""),"")</f>
        <v/>
      </c>
      <c r="C9909">
        <f>IF(B9909="","",INT(A9909))</f>
        <v/>
      </c>
      <c r="D9909">
        <f>IF(B9909="","",HOUR(A9909))</f>
        <v/>
      </c>
    </row>
    <row r="9910">
      <c r="A9910">
        <f>Input!A9910</f>
        <v/>
      </c>
      <c r="B9910">
        <f>IF(ISNUMBER(Input!B9910),IF(AND(Input!B9910&gt;=20,Input!B9910&lt;=700),Input!B9910,""),"")</f>
        <v/>
      </c>
      <c r="C9910">
        <f>IF(B9910="","",INT(A9910))</f>
        <v/>
      </c>
      <c r="D9910">
        <f>IF(B9910="","",HOUR(A9910))</f>
        <v/>
      </c>
    </row>
    <row r="9911">
      <c r="A9911">
        <f>Input!A9911</f>
        <v/>
      </c>
      <c r="B9911">
        <f>IF(ISNUMBER(Input!B9911),IF(AND(Input!B9911&gt;=20,Input!B9911&lt;=700),Input!B9911,""),"")</f>
        <v/>
      </c>
      <c r="C9911">
        <f>IF(B9911="","",INT(A9911))</f>
        <v/>
      </c>
      <c r="D9911">
        <f>IF(B9911="","",HOUR(A9911))</f>
        <v/>
      </c>
    </row>
    <row r="9912">
      <c r="A9912">
        <f>Input!A9912</f>
        <v/>
      </c>
      <c r="B9912">
        <f>IF(ISNUMBER(Input!B9912),IF(AND(Input!B9912&gt;=20,Input!B9912&lt;=700),Input!B9912,""),"")</f>
        <v/>
      </c>
      <c r="C9912">
        <f>IF(B9912="","",INT(A9912))</f>
        <v/>
      </c>
      <c r="D9912">
        <f>IF(B9912="","",HOUR(A9912))</f>
        <v/>
      </c>
    </row>
    <row r="9913">
      <c r="A9913">
        <f>Input!A9913</f>
        <v/>
      </c>
      <c r="B9913">
        <f>IF(ISNUMBER(Input!B9913),IF(AND(Input!B9913&gt;=20,Input!B9913&lt;=700),Input!B9913,""),"")</f>
        <v/>
      </c>
      <c r="C9913">
        <f>IF(B9913="","",INT(A9913))</f>
        <v/>
      </c>
      <c r="D9913">
        <f>IF(B9913="","",HOUR(A9913))</f>
        <v/>
      </c>
    </row>
    <row r="9914">
      <c r="A9914">
        <f>Input!A9914</f>
        <v/>
      </c>
      <c r="B9914">
        <f>IF(ISNUMBER(Input!B9914),IF(AND(Input!B9914&gt;=20,Input!B9914&lt;=700),Input!B9914,""),"")</f>
        <v/>
      </c>
      <c r="C9914">
        <f>IF(B9914="","",INT(A9914))</f>
        <v/>
      </c>
      <c r="D9914">
        <f>IF(B9914="","",HOUR(A9914))</f>
        <v/>
      </c>
    </row>
    <row r="9915">
      <c r="A9915">
        <f>Input!A9915</f>
        <v/>
      </c>
      <c r="B9915">
        <f>IF(ISNUMBER(Input!B9915),IF(AND(Input!B9915&gt;=20,Input!B9915&lt;=700),Input!B9915,""),"")</f>
        <v/>
      </c>
      <c r="C9915">
        <f>IF(B9915="","",INT(A9915))</f>
        <v/>
      </c>
      <c r="D9915">
        <f>IF(B9915="","",HOUR(A9915))</f>
        <v/>
      </c>
    </row>
    <row r="9916">
      <c r="A9916">
        <f>Input!A9916</f>
        <v/>
      </c>
      <c r="B9916">
        <f>IF(ISNUMBER(Input!B9916),IF(AND(Input!B9916&gt;=20,Input!B9916&lt;=700),Input!B9916,""),"")</f>
        <v/>
      </c>
      <c r="C9916">
        <f>IF(B9916="","",INT(A9916))</f>
        <v/>
      </c>
      <c r="D9916">
        <f>IF(B9916="","",HOUR(A9916))</f>
        <v/>
      </c>
    </row>
    <row r="9917">
      <c r="A9917">
        <f>Input!A9917</f>
        <v/>
      </c>
      <c r="B9917">
        <f>IF(ISNUMBER(Input!B9917),IF(AND(Input!B9917&gt;=20,Input!B9917&lt;=700),Input!B9917,""),"")</f>
        <v/>
      </c>
      <c r="C9917">
        <f>IF(B9917="","",INT(A9917))</f>
        <v/>
      </c>
      <c r="D9917">
        <f>IF(B9917="","",HOUR(A9917))</f>
        <v/>
      </c>
    </row>
    <row r="9918">
      <c r="A9918">
        <f>Input!A9918</f>
        <v/>
      </c>
      <c r="B9918">
        <f>IF(ISNUMBER(Input!B9918),IF(AND(Input!B9918&gt;=20,Input!B9918&lt;=700),Input!B9918,""),"")</f>
        <v/>
      </c>
      <c r="C9918">
        <f>IF(B9918="","",INT(A9918))</f>
        <v/>
      </c>
      <c r="D9918">
        <f>IF(B9918="","",HOUR(A9918))</f>
        <v/>
      </c>
    </row>
    <row r="9919">
      <c r="A9919">
        <f>Input!A9919</f>
        <v/>
      </c>
      <c r="B9919">
        <f>IF(ISNUMBER(Input!B9919),IF(AND(Input!B9919&gt;=20,Input!B9919&lt;=700),Input!B9919,""),"")</f>
        <v/>
      </c>
      <c r="C9919">
        <f>IF(B9919="","",INT(A9919))</f>
        <v/>
      </c>
      <c r="D9919">
        <f>IF(B9919="","",HOUR(A9919))</f>
        <v/>
      </c>
    </row>
    <row r="9920">
      <c r="A9920">
        <f>Input!A9920</f>
        <v/>
      </c>
      <c r="B9920">
        <f>IF(ISNUMBER(Input!B9920),IF(AND(Input!B9920&gt;=20,Input!B9920&lt;=700),Input!B9920,""),"")</f>
        <v/>
      </c>
      <c r="C9920">
        <f>IF(B9920="","",INT(A9920))</f>
        <v/>
      </c>
      <c r="D9920">
        <f>IF(B9920="","",HOUR(A9920))</f>
        <v/>
      </c>
    </row>
    <row r="9921">
      <c r="A9921">
        <f>Input!A9921</f>
        <v/>
      </c>
      <c r="B9921">
        <f>IF(ISNUMBER(Input!B9921),IF(AND(Input!B9921&gt;=20,Input!B9921&lt;=700),Input!B9921,""),"")</f>
        <v/>
      </c>
      <c r="C9921">
        <f>IF(B9921="","",INT(A9921))</f>
        <v/>
      </c>
      <c r="D9921">
        <f>IF(B9921="","",HOUR(A9921))</f>
        <v/>
      </c>
    </row>
    <row r="9922">
      <c r="A9922">
        <f>Input!A9922</f>
        <v/>
      </c>
      <c r="B9922">
        <f>IF(ISNUMBER(Input!B9922),IF(AND(Input!B9922&gt;=20,Input!B9922&lt;=700),Input!B9922,""),"")</f>
        <v/>
      </c>
      <c r="C9922">
        <f>IF(B9922="","",INT(A9922))</f>
        <v/>
      </c>
      <c r="D9922">
        <f>IF(B9922="","",HOUR(A9922))</f>
        <v/>
      </c>
    </row>
    <row r="9923">
      <c r="A9923">
        <f>Input!A9923</f>
        <v/>
      </c>
      <c r="B9923">
        <f>IF(ISNUMBER(Input!B9923),IF(AND(Input!B9923&gt;=20,Input!B9923&lt;=700),Input!B9923,""),"")</f>
        <v/>
      </c>
      <c r="C9923">
        <f>IF(B9923="","",INT(A9923))</f>
        <v/>
      </c>
      <c r="D9923">
        <f>IF(B9923="","",HOUR(A9923))</f>
        <v/>
      </c>
    </row>
    <row r="9924">
      <c r="A9924">
        <f>Input!A9924</f>
        <v/>
      </c>
      <c r="B9924">
        <f>IF(ISNUMBER(Input!B9924),IF(AND(Input!B9924&gt;=20,Input!B9924&lt;=700),Input!B9924,""),"")</f>
        <v/>
      </c>
      <c r="C9924">
        <f>IF(B9924="","",INT(A9924))</f>
        <v/>
      </c>
      <c r="D9924">
        <f>IF(B9924="","",HOUR(A9924))</f>
        <v/>
      </c>
    </row>
    <row r="9925">
      <c r="A9925">
        <f>Input!A9925</f>
        <v/>
      </c>
      <c r="B9925">
        <f>IF(ISNUMBER(Input!B9925),IF(AND(Input!B9925&gt;=20,Input!B9925&lt;=700),Input!B9925,""),"")</f>
        <v/>
      </c>
      <c r="C9925">
        <f>IF(B9925="","",INT(A9925))</f>
        <v/>
      </c>
      <c r="D9925">
        <f>IF(B9925="","",HOUR(A9925))</f>
        <v/>
      </c>
    </row>
    <row r="9926">
      <c r="A9926">
        <f>Input!A9926</f>
        <v/>
      </c>
      <c r="B9926">
        <f>IF(ISNUMBER(Input!B9926),IF(AND(Input!B9926&gt;=20,Input!B9926&lt;=700),Input!B9926,""),"")</f>
        <v/>
      </c>
      <c r="C9926">
        <f>IF(B9926="","",INT(A9926))</f>
        <v/>
      </c>
      <c r="D9926">
        <f>IF(B9926="","",HOUR(A9926))</f>
        <v/>
      </c>
    </row>
    <row r="9927">
      <c r="A9927">
        <f>Input!A9927</f>
        <v/>
      </c>
      <c r="B9927">
        <f>IF(ISNUMBER(Input!B9927),IF(AND(Input!B9927&gt;=20,Input!B9927&lt;=700),Input!B9927,""),"")</f>
        <v/>
      </c>
      <c r="C9927">
        <f>IF(B9927="","",INT(A9927))</f>
        <v/>
      </c>
      <c r="D9927">
        <f>IF(B9927="","",HOUR(A9927))</f>
        <v/>
      </c>
    </row>
    <row r="9928">
      <c r="A9928">
        <f>Input!A9928</f>
        <v/>
      </c>
      <c r="B9928">
        <f>IF(ISNUMBER(Input!B9928),IF(AND(Input!B9928&gt;=20,Input!B9928&lt;=700),Input!B9928,""),"")</f>
        <v/>
      </c>
      <c r="C9928">
        <f>IF(B9928="","",INT(A9928))</f>
        <v/>
      </c>
      <c r="D9928">
        <f>IF(B9928="","",HOUR(A9928))</f>
        <v/>
      </c>
    </row>
    <row r="9929">
      <c r="A9929">
        <f>Input!A9929</f>
        <v/>
      </c>
      <c r="B9929">
        <f>IF(ISNUMBER(Input!B9929),IF(AND(Input!B9929&gt;=20,Input!B9929&lt;=700),Input!B9929,""),"")</f>
        <v/>
      </c>
      <c r="C9929">
        <f>IF(B9929="","",INT(A9929))</f>
        <v/>
      </c>
      <c r="D9929">
        <f>IF(B9929="","",HOUR(A9929))</f>
        <v/>
      </c>
    </row>
    <row r="9930">
      <c r="A9930">
        <f>Input!A9930</f>
        <v/>
      </c>
      <c r="B9930">
        <f>IF(ISNUMBER(Input!B9930),IF(AND(Input!B9930&gt;=20,Input!B9930&lt;=700),Input!B9930,""),"")</f>
        <v/>
      </c>
      <c r="C9930">
        <f>IF(B9930="","",INT(A9930))</f>
        <v/>
      </c>
      <c r="D9930">
        <f>IF(B9930="","",HOUR(A9930))</f>
        <v/>
      </c>
    </row>
    <row r="9931">
      <c r="A9931">
        <f>Input!A9931</f>
        <v/>
      </c>
      <c r="B9931">
        <f>IF(ISNUMBER(Input!B9931),IF(AND(Input!B9931&gt;=20,Input!B9931&lt;=700),Input!B9931,""),"")</f>
        <v/>
      </c>
      <c r="C9931">
        <f>IF(B9931="","",INT(A9931))</f>
        <v/>
      </c>
      <c r="D9931">
        <f>IF(B9931="","",HOUR(A9931))</f>
        <v/>
      </c>
    </row>
    <row r="9932">
      <c r="A9932">
        <f>Input!A9932</f>
        <v/>
      </c>
      <c r="B9932">
        <f>IF(ISNUMBER(Input!B9932),IF(AND(Input!B9932&gt;=20,Input!B9932&lt;=700),Input!B9932,""),"")</f>
        <v/>
      </c>
      <c r="C9932">
        <f>IF(B9932="","",INT(A9932))</f>
        <v/>
      </c>
      <c r="D9932">
        <f>IF(B9932="","",HOUR(A9932))</f>
        <v/>
      </c>
    </row>
    <row r="9933">
      <c r="A9933">
        <f>Input!A9933</f>
        <v/>
      </c>
      <c r="B9933">
        <f>IF(ISNUMBER(Input!B9933),IF(AND(Input!B9933&gt;=20,Input!B9933&lt;=700),Input!B9933,""),"")</f>
        <v/>
      </c>
      <c r="C9933">
        <f>IF(B9933="","",INT(A9933))</f>
        <v/>
      </c>
      <c r="D9933">
        <f>IF(B9933="","",HOUR(A9933))</f>
        <v/>
      </c>
    </row>
    <row r="9934">
      <c r="A9934">
        <f>Input!A9934</f>
        <v/>
      </c>
      <c r="B9934">
        <f>IF(ISNUMBER(Input!B9934),IF(AND(Input!B9934&gt;=20,Input!B9934&lt;=700),Input!B9934,""),"")</f>
        <v/>
      </c>
      <c r="C9934">
        <f>IF(B9934="","",INT(A9934))</f>
        <v/>
      </c>
      <c r="D9934">
        <f>IF(B9934="","",HOUR(A9934))</f>
        <v/>
      </c>
    </row>
    <row r="9935">
      <c r="A9935">
        <f>Input!A9935</f>
        <v/>
      </c>
      <c r="B9935">
        <f>IF(ISNUMBER(Input!B9935),IF(AND(Input!B9935&gt;=20,Input!B9935&lt;=700),Input!B9935,""),"")</f>
        <v/>
      </c>
      <c r="C9935">
        <f>IF(B9935="","",INT(A9935))</f>
        <v/>
      </c>
      <c r="D9935">
        <f>IF(B9935="","",HOUR(A9935))</f>
        <v/>
      </c>
    </row>
    <row r="9936">
      <c r="A9936">
        <f>Input!A9936</f>
        <v/>
      </c>
      <c r="B9936">
        <f>IF(ISNUMBER(Input!B9936),IF(AND(Input!B9936&gt;=20,Input!B9936&lt;=700),Input!B9936,""),"")</f>
        <v/>
      </c>
      <c r="C9936">
        <f>IF(B9936="","",INT(A9936))</f>
        <v/>
      </c>
      <c r="D9936">
        <f>IF(B9936="","",HOUR(A9936))</f>
        <v/>
      </c>
    </row>
    <row r="9937">
      <c r="A9937">
        <f>Input!A9937</f>
        <v/>
      </c>
      <c r="B9937">
        <f>IF(ISNUMBER(Input!B9937),IF(AND(Input!B9937&gt;=20,Input!B9937&lt;=700),Input!B9937,""),"")</f>
        <v/>
      </c>
      <c r="C9937">
        <f>IF(B9937="","",INT(A9937))</f>
        <v/>
      </c>
      <c r="D9937">
        <f>IF(B9937="","",HOUR(A9937))</f>
        <v/>
      </c>
    </row>
    <row r="9938">
      <c r="A9938">
        <f>Input!A9938</f>
        <v/>
      </c>
      <c r="B9938">
        <f>IF(ISNUMBER(Input!B9938),IF(AND(Input!B9938&gt;=20,Input!B9938&lt;=700),Input!B9938,""),"")</f>
        <v/>
      </c>
      <c r="C9938">
        <f>IF(B9938="","",INT(A9938))</f>
        <v/>
      </c>
      <c r="D9938">
        <f>IF(B9938="","",HOUR(A9938))</f>
        <v/>
      </c>
    </row>
    <row r="9939">
      <c r="A9939">
        <f>Input!A9939</f>
        <v/>
      </c>
      <c r="B9939">
        <f>IF(ISNUMBER(Input!B9939),IF(AND(Input!B9939&gt;=20,Input!B9939&lt;=700),Input!B9939,""),"")</f>
        <v/>
      </c>
      <c r="C9939">
        <f>IF(B9939="","",INT(A9939))</f>
        <v/>
      </c>
      <c r="D9939">
        <f>IF(B9939="","",HOUR(A9939))</f>
        <v/>
      </c>
    </row>
    <row r="9940">
      <c r="A9940">
        <f>Input!A9940</f>
        <v/>
      </c>
      <c r="B9940">
        <f>IF(ISNUMBER(Input!B9940),IF(AND(Input!B9940&gt;=20,Input!B9940&lt;=700),Input!B9940,""),"")</f>
        <v/>
      </c>
      <c r="C9940">
        <f>IF(B9940="","",INT(A9940))</f>
        <v/>
      </c>
      <c r="D9940">
        <f>IF(B9940="","",HOUR(A9940))</f>
        <v/>
      </c>
    </row>
    <row r="9941">
      <c r="A9941">
        <f>Input!A9941</f>
        <v/>
      </c>
      <c r="B9941">
        <f>IF(ISNUMBER(Input!B9941),IF(AND(Input!B9941&gt;=20,Input!B9941&lt;=700),Input!B9941,""),"")</f>
        <v/>
      </c>
      <c r="C9941">
        <f>IF(B9941="","",INT(A9941))</f>
        <v/>
      </c>
      <c r="D9941">
        <f>IF(B9941="","",HOUR(A9941))</f>
        <v/>
      </c>
    </row>
    <row r="9942">
      <c r="A9942">
        <f>Input!A9942</f>
        <v/>
      </c>
      <c r="B9942">
        <f>IF(ISNUMBER(Input!B9942),IF(AND(Input!B9942&gt;=20,Input!B9942&lt;=700),Input!B9942,""),"")</f>
        <v/>
      </c>
      <c r="C9942">
        <f>IF(B9942="","",INT(A9942))</f>
        <v/>
      </c>
      <c r="D9942">
        <f>IF(B9942="","",HOUR(A9942))</f>
        <v/>
      </c>
    </row>
    <row r="9943">
      <c r="A9943">
        <f>Input!A9943</f>
        <v/>
      </c>
      <c r="B9943">
        <f>IF(ISNUMBER(Input!B9943),IF(AND(Input!B9943&gt;=20,Input!B9943&lt;=700),Input!B9943,""),"")</f>
        <v/>
      </c>
      <c r="C9943">
        <f>IF(B9943="","",INT(A9943))</f>
        <v/>
      </c>
      <c r="D9943">
        <f>IF(B9943="","",HOUR(A9943))</f>
        <v/>
      </c>
    </row>
    <row r="9944">
      <c r="A9944">
        <f>Input!A9944</f>
        <v/>
      </c>
      <c r="B9944">
        <f>IF(ISNUMBER(Input!B9944),IF(AND(Input!B9944&gt;=20,Input!B9944&lt;=700),Input!B9944,""),"")</f>
        <v/>
      </c>
      <c r="C9944">
        <f>IF(B9944="","",INT(A9944))</f>
        <v/>
      </c>
      <c r="D9944">
        <f>IF(B9944="","",HOUR(A9944))</f>
        <v/>
      </c>
    </row>
    <row r="9945">
      <c r="A9945">
        <f>Input!A9945</f>
        <v/>
      </c>
      <c r="B9945">
        <f>IF(ISNUMBER(Input!B9945),IF(AND(Input!B9945&gt;=20,Input!B9945&lt;=700),Input!B9945,""),"")</f>
        <v/>
      </c>
      <c r="C9945">
        <f>IF(B9945="","",INT(A9945))</f>
        <v/>
      </c>
      <c r="D9945">
        <f>IF(B9945="","",HOUR(A9945))</f>
        <v/>
      </c>
    </row>
    <row r="9946">
      <c r="A9946">
        <f>Input!A9946</f>
        <v/>
      </c>
      <c r="B9946">
        <f>IF(ISNUMBER(Input!B9946),IF(AND(Input!B9946&gt;=20,Input!B9946&lt;=700),Input!B9946,""),"")</f>
        <v/>
      </c>
      <c r="C9946">
        <f>IF(B9946="","",INT(A9946))</f>
        <v/>
      </c>
      <c r="D9946">
        <f>IF(B9946="","",HOUR(A9946))</f>
        <v/>
      </c>
    </row>
    <row r="9947">
      <c r="A9947">
        <f>Input!A9947</f>
        <v/>
      </c>
      <c r="B9947">
        <f>IF(ISNUMBER(Input!B9947),IF(AND(Input!B9947&gt;=20,Input!B9947&lt;=700),Input!B9947,""),"")</f>
        <v/>
      </c>
      <c r="C9947">
        <f>IF(B9947="","",INT(A9947))</f>
        <v/>
      </c>
      <c r="D9947">
        <f>IF(B9947="","",HOUR(A9947))</f>
        <v/>
      </c>
    </row>
    <row r="9948">
      <c r="A9948">
        <f>Input!A9948</f>
        <v/>
      </c>
      <c r="B9948">
        <f>IF(ISNUMBER(Input!B9948),IF(AND(Input!B9948&gt;=20,Input!B9948&lt;=700),Input!B9948,""),"")</f>
        <v/>
      </c>
      <c r="C9948">
        <f>IF(B9948="","",INT(A9948))</f>
        <v/>
      </c>
      <c r="D9948">
        <f>IF(B9948="","",HOUR(A9948))</f>
        <v/>
      </c>
    </row>
    <row r="9949">
      <c r="A9949">
        <f>Input!A9949</f>
        <v/>
      </c>
      <c r="B9949">
        <f>IF(ISNUMBER(Input!B9949),IF(AND(Input!B9949&gt;=20,Input!B9949&lt;=700),Input!B9949,""),"")</f>
        <v/>
      </c>
      <c r="C9949">
        <f>IF(B9949="","",INT(A9949))</f>
        <v/>
      </c>
      <c r="D9949">
        <f>IF(B9949="","",HOUR(A9949))</f>
        <v/>
      </c>
    </row>
    <row r="9950">
      <c r="A9950">
        <f>Input!A9950</f>
        <v/>
      </c>
      <c r="B9950">
        <f>IF(ISNUMBER(Input!B9950),IF(AND(Input!B9950&gt;=20,Input!B9950&lt;=700),Input!B9950,""),"")</f>
        <v/>
      </c>
      <c r="C9950">
        <f>IF(B9950="","",INT(A9950))</f>
        <v/>
      </c>
      <c r="D9950">
        <f>IF(B9950="","",HOUR(A9950))</f>
        <v/>
      </c>
    </row>
    <row r="9951">
      <c r="A9951">
        <f>Input!A9951</f>
        <v/>
      </c>
      <c r="B9951">
        <f>IF(ISNUMBER(Input!B9951),IF(AND(Input!B9951&gt;=20,Input!B9951&lt;=700),Input!B9951,""),"")</f>
        <v/>
      </c>
      <c r="C9951">
        <f>IF(B9951="","",INT(A9951))</f>
        <v/>
      </c>
      <c r="D9951">
        <f>IF(B9951="","",HOUR(A9951))</f>
        <v/>
      </c>
    </row>
    <row r="9952">
      <c r="A9952">
        <f>Input!A9952</f>
        <v/>
      </c>
      <c r="B9952">
        <f>IF(ISNUMBER(Input!B9952),IF(AND(Input!B9952&gt;=20,Input!B9952&lt;=700),Input!B9952,""),"")</f>
        <v/>
      </c>
      <c r="C9952">
        <f>IF(B9952="","",INT(A9952))</f>
        <v/>
      </c>
      <c r="D9952">
        <f>IF(B9952="","",HOUR(A9952))</f>
        <v/>
      </c>
    </row>
    <row r="9953">
      <c r="A9953">
        <f>Input!A9953</f>
        <v/>
      </c>
      <c r="B9953">
        <f>IF(ISNUMBER(Input!B9953),IF(AND(Input!B9953&gt;=20,Input!B9953&lt;=700),Input!B9953,""),"")</f>
        <v/>
      </c>
      <c r="C9953">
        <f>IF(B9953="","",INT(A9953))</f>
        <v/>
      </c>
      <c r="D9953">
        <f>IF(B9953="","",HOUR(A9953))</f>
        <v/>
      </c>
    </row>
    <row r="9954">
      <c r="A9954">
        <f>Input!A9954</f>
        <v/>
      </c>
      <c r="B9954">
        <f>IF(ISNUMBER(Input!B9954),IF(AND(Input!B9954&gt;=20,Input!B9954&lt;=700),Input!B9954,""),"")</f>
        <v/>
      </c>
      <c r="C9954">
        <f>IF(B9954="","",INT(A9954))</f>
        <v/>
      </c>
      <c r="D9954">
        <f>IF(B9954="","",HOUR(A9954))</f>
        <v/>
      </c>
    </row>
    <row r="9955">
      <c r="A9955">
        <f>Input!A9955</f>
        <v/>
      </c>
      <c r="B9955">
        <f>IF(ISNUMBER(Input!B9955),IF(AND(Input!B9955&gt;=20,Input!B9955&lt;=700),Input!B9955,""),"")</f>
        <v/>
      </c>
      <c r="C9955">
        <f>IF(B9955="","",INT(A9955))</f>
        <v/>
      </c>
      <c r="D9955">
        <f>IF(B9955="","",HOUR(A9955))</f>
        <v/>
      </c>
    </row>
    <row r="9956">
      <c r="A9956">
        <f>Input!A9956</f>
        <v/>
      </c>
      <c r="B9956">
        <f>IF(ISNUMBER(Input!B9956),IF(AND(Input!B9956&gt;=20,Input!B9956&lt;=700),Input!B9956,""),"")</f>
        <v/>
      </c>
      <c r="C9956">
        <f>IF(B9956="","",INT(A9956))</f>
        <v/>
      </c>
      <c r="D9956">
        <f>IF(B9956="","",HOUR(A9956))</f>
        <v/>
      </c>
    </row>
    <row r="9957">
      <c r="A9957">
        <f>Input!A9957</f>
        <v/>
      </c>
      <c r="B9957">
        <f>IF(ISNUMBER(Input!B9957),IF(AND(Input!B9957&gt;=20,Input!B9957&lt;=700),Input!B9957,""),"")</f>
        <v/>
      </c>
      <c r="C9957">
        <f>IF(B9957="","",INT(A9957))</f>
        <v/>
      </c>
      <c r="D9957">
        <f>IF(B9957="","",HOUR(A9957))</f>
        <v/>
      </c>
    </row>
    <row r="9958">
      <c r="A9958">
        <f>Input!A9958</f>
        <v/>
      </c>
      <c r="B9958">
        <f>IF(ISNUMBER(Input!B9958),IF(AND(Input!B9958&gt;=20,Input!B9958&lt;=700),Input!B9958,""),"")</f>
        <v/>
      </c>
      <c r="C9958">
        <f>IF(B9958="","",INT(A9958))</f>
        <v/>
      </c>
      <c r="D9958">
        <f>IF(B9958="","",HOUR(A9958))</f>
        <v/>
      </c>
    </row>
    <row r="9959">
      <c r="A9959">
        <f>Input!A9959</f>
        <v/>
      </c>
      <c r="B9959">
        <f>IF(ISNUMBER(Input!B9959),IF(AND(Input!B9959&gt;=20,Input!B9959&lt;=700),Input!B9959,""),"")</f>
        <v/>
      </c>
      <c r="C9959">
        <f>IF(B9959="","",INT(A9959))</f>
        <v/>
      </c>
      <c r="D9959">
        <f>IF(B9959="","",HOUR(A9959))</f>
        <v/>
      </c>
    </row>
    <row r="9960">
      <c r="A9960">
        <f>Input!A9960</f>
        <v/>
      </c>
      <c r="B9960">
        <f>IF(ISNUMBER(Input!B9960),IF(AND(Input!B9960&gt;=20,Input!B9960&lt;=700),Input!B9960,""),"")</f>
        <v/>
      </c>
      <c r="C9960">
        <f>IF(B9960="","",INT(A9960))</f>
        <v/>
      </c>
      <c r="D9960">
        <f>IF(B9960="","",HOUR(A9960))</f>
        <v/>
      </c>
    </row>
    <row r="9961">
      <c r="A9961">
        <f>Input!A9961</f>
        <v/>
      </c>
      <c r="B9961">
        <f>IF(ISNUMBER(Input!B9961),IF(AND(Input!B9961&gt;=20,Input!B9961&lt;=700),Input!B9961,""),"")</f>
        <v/>
      </c>
      <c r="C9961">
        <f>IF(B9961="","",INT(A9961))</f>
        <v/>
      </c>
      <c r="D9961">
        <f>IF(B9961="","",HOUR(A9961))</f>
        <v/>
      </c>
    </row>
    <row r="9962">
      <c r="A9962">
        <f>Input!A9962</f>
        <v/>
      </c>
      <c r="B9962">
        <f>IF(ISNUMBER(Input!B9962),IF(AND(Input!B9962&gt;=20,Input!B9962&lt;=700),Input!B9962,""),"")</f>
        <v/>
      </c>
      <c r="C9962">
        <f>IF(B9962="","",INT(A9962))</f>
        <v/>
      </c>
      <c r="D9962">
        <f>IF(B9962="","",HOUR(A9962))</f>
        <v/>
      </c>
    </row>
    <row r="9963">
      <c r="A9963">
        <f>Input!A9963</f>
        <v/>
      </c>
      <c r="B9963">
        <f>IF(ISNUMBER(Input!B9963),IF(AND(Input!B9963&gt;=20,Input!B9963&lt;=700),Input!B9963,""),"")</f>
        <v/>
      </c>
      <c r="C9963">
        <f>IF(B9963="","",INT(A9963))</f>
        <v/>
      </c>
      <c r="D9963">
        <f>IF(B9963="","",HOUR(A9963))</f>
        <v/>
      </c>
    </row>
    <row r="9964">
      <c r="A9964">
        <f>Input!A9964</f>
        <v/>
      </c>
      <c r="B9964">
        <f>IF(ISNUMBER(Input!B9964),IF(AND(Input!B9964&gt;=20,Input!B9964&lt;=700),Input!B9964,""),"")</f>
        <v/>
      </c>
      <c r="C9964">
        <f>IF(B9964="","",INT(A9964))</f>
        <v/>
      </c>
      <c r="D9964">
        <f>IF(B9964="","",HOUR(A9964))</f>
        <v/>
      </c>
    </row>
    <row r="9965">
      <c r="A9965">
        <f>Input!A9965</f>
        <v/>
      </c>
      <c r="B9965">
        <f>IF(ISNUMBER(Input!B9965),IF(AND(Input!B9965&gt;=20,Input!B9965&lt;=700),Input!B9965,""),"")</f>
        <v/>
      </c>
      <c r="C9965">
        <f>IF(B9965="","",INT(A9965))</f>
        <v/>
      </c>
      <c r="D9965">
        <f>IF(B9965="","",HOUR(A9965))</f>
        <v/>
      </c>
    </row>
    <row r="9966">
      <c r="A9966">
        <f>Input!A9966</f>
        <v/>
      </c>
      <c r="B9966">
        <f>IF(ISNUMBER(Input!B9966),IF(AND(Input!B9966&gt;=20,Input!B9966&lt;=700),Input!B9966,""),"")</f>
        <v/>
      </c>
      <c r="C9966">
        <f>IF(B9966="","",INT(A9966))</f>
        <v/>
      </c>
      <c r="D9966">
        <f>IF(B9966="","",HOUR(A9966))</f>
        <v/>
      </c>
    </row>
    <row r="9967">
      <c r="A9967">
        <f>Input!A9967</f>
        <v/>
      </c>
      <c r="B9967">
        <f>IF(ISNUMBER(Input!B9967),IF(AND(Input!B9967&gt;=20,Input!B9967&lt;=700),Input!B9967,""),"")</f>
        <v/>
      </c>
      <c r="C9967">
        <f>IF(B9967="","",INT(A9967))</f>
        <v/>
      </c>
      <c r="D9967">
        <f>IF(B9967="","",HOUR(A9967))</f>
        <v/>
      </c>
    </row>
    <row r="9968">
      <c r="A9968">
        <f>Input!A9968</f>
        <v/>
      </c>
      <c r="B9968">
        <f>IF(ISNUMBER(Input!B9968),IF(AND(Input!B9968&gt;=20,Input!B9968&lt;=700),Input!B9968,""),"")</f>
        <v/>
      </c>
      <c r="C9968">
        <f>IF(B9968="","",INT(A9968))</f>
        <v/>
      </c>
      <c r="D9968">
        <f>IF(B9968="","",HOUR(A9968))</f>
        <v/>
      </c>
    </row>
    <row r="9969">
      <c r="A9969">
        <f>Input!A9969</f>
        <v/>
      </c>
      <c r="B9969">
        <f>IF(ISNUMBER(Input!B9969),IF(AND(Input!B9969&gt;=20,Input!B9969&lt;=700),Input!B9969,""),"")</f>
        <v/>
      </c>
      <c r="C9969">
        <f>IF(B9969="","",INT(A9969))</f>
        <v/>
      </c>
      <c r="D9969">
        <f>IF(B9969="","",HOUR(A9969))</f>
        <v/>
      </c>
    </row>
    <row r="9970">
      <c r="A9970">
        <f>Input!A9970</f>
        <v/>
      </c>
      <c r="B9970">
        <f>IF(ISNUMBER(Input!B9970),IF(AND(Input!B9970&gt;=20,Input!B9970&lt;=700),Input!B9970,""),"")</f>
        <v/>
      </c>
      <c r="C9970">
        <f>IF(B9970="","",INT(A9970))</f>
        <v/>
      </c>
      <c r="D9970">
        <f>IF(B9970="","",HOUR(A9970))</f>
        <v/>
      </c>
    </row>
    <row r="9971">
      <c r="A9971">
        <f>Input!A9971</f>
        <v/>
      </c>
      <c r="B9971">
        <f>IF(ISNUMBER(Input!B9971),IF(AND(Input!B9971&gt;=20,Input!B9971&lt;=700),Input!B9971,""),"")</f>
        <v/>
      </c>
      <c r="C9971">
        <f>IF(B9971="","",INT(A9971))</f>
        <v/>
      </c>
      <c r="D9971">
        <f>IF(B9971="","",HOUR(A9971))</f>
        <v/>
      </c>
    </row>
    <row r="9972">
      <c r="A9972">
        <f>Input!A9972</f>
        <v/>
      </c>
      <c r="B9972">
        <f>IF(ISNUMBER(Input!B9972),IF(AND(Input!B9972&gt;=20,Input!B9972&lt;=700),Input!B9972,""),"")</f>
        <v/>
      </c>
      <c r="C9972">
        <f>IF(B9972="","",INT(A9972))</f>
        <v/>
      </c>
      <c r="D9972">
        <f>IF(B9972="","",HOUR(A9972))</f>
        <v/>
      </c>
    </row>
    <row r="9973">
      <c r="A9973">
        <f>Input!A9973</f>
        <v/>
      </c>
      <c r="B9973">
        <f>IF(ISNUMBER(Input!B9973),IF(AND(Input!B9973&gt;=20,Input!B9973&lt;=700),Input!B9973,""),"")</f>
        <v/>
      </c>
      <c r="C9973">
        <f>IF(B9973="","",INT(A9973))</f>
        <v/>
      </c>
      <c r="D9973">
        <f>IF(B9973="","",HOUR(A9973))</f>
        <v/>
      </c>
    </row>
    <row r="9974">
      <c r="A9974">
        <f>Input!A9974</f>
        <v/>
      </c>
      <c r="B9974">
        <f>IF(ISNUMBER(Input!B9974),IF(AND(Input!B9974&gt;=20,Input!B9974&lt;=700),Input!B9974,""),"")</f>
        <v/>
      </c>
      <c r="C9974">
        <f>IF(B9974="","",INT(A9974))</f>
        <v/>
      </c>
      <c r="D9974">
        <f>IF(B9974="","",HOUR(A9974))</f>
        <v/>
      </c>
    </row>
    <row r="9975">
      <c r="A9975">
        <f>Input!A9975</f>
        <v/>
      </c>
      <c r="B9975">
        <f>IF(ISNUMBER(Input!B9975),IF(AND(Input!B9975&gt;=20,Input!B9975&lt;=700),Input!B9975,""),"")</f>
        <v/>
      </c>
      <c r="C9975">
        <f>IF(B9975="","",INT(A9975))</f>
        <v/>
      </c>
      <c r="D9975">
        <f>IF(B9975="","",HOUR(A9975))</f>
        <v/>
      </c>
    </row>
    <row r="9976">
      <c r="A9976">
        <f>Input!A9976</f>
        <v/>
      </c>
      <c r="B9976">
        <f>IF(ISNUMBER(Input!B9976),IF(AND(Input!B9976&gt;=20,Input!B9976&lt;=700),Input!B9976,""),"")</f>
        <v/>
      </c>
      <c r="C9976">
        <f>IF(B9976="","",INT(A9976))</f>
        <v/>
      </c>
      <c r="D9976">
        <f>IF(B9976="","",HOUR(A9976))</f>
        <v/>
      </c>
    </row>
    <row r="9977">
      <c r="A9977">
        <f>Input!A9977</f>
        <v/>
      </c>
      <c r="B9977">
        <f>IF(ISNUMBER(Input!B9977),IF(AND(Input!B9977&gt;=20,Input!B9977&lt;=700),Input!B9977,""),"")</f>
        <v/>
      </c>
      <c r="C9977">
        <f>IF(B9977="","",INT(A9977))</f>
        <v/>
      </c>
      <c r="D9977">
        <f>IF(B9977="","",HOUR(A9977))</f>
        <v/>
      </c>
    </row>
    <row r="9978">
      <c r="A9978">
        <f>Input!A9978</f>
        <v/>
      </c>
      <c r="B9978">
        <f>IF(ISNUMBER(Input!B9978),IF(AND(Input!B9978&gt;=20,Input!B9978&lt;=700),Input!B9978,""),"")</f>
        <v/>
      </c>
      <c r="C9978">
        <f>IF(B9978="","",INT(A9978))</f>
        <v/>
      </c>
      <c r="D9978">
        <f>IF(B9978="","",HOUR(A9978))</f>
        <v/>
      </c>
    </row>
    <row r="9979">
      <c r="A9979">
        <f>Input!A9979</f>
        <v/>
      </c>
      <c r="B9979">
        <f>IF(ISNUMBER(Input!B9979),IF(AND(Input!B9979&gt;=20,Input!B9979&lt;=700),Input!B9979,""),"")</f>
        <v/>
      </c>
      <c r="C9979">
        <f>IF(B9979="","",INT(A9979))</f>
        <v/>
      </c>
      <c r="D9979">
        <f>IF(B9979="","",HOUR(A9979))</f>
        <v/>
      </c>
    </row>
    <row r="9980">
      <c r="A9980">
        <f>Input!A9980</f>
        <v/>
      </c>
      <c r="B9980">
        <f>IF(ISNUMBER(Input!B9980),IF(AND(Input!B9980&gt;=20,Input!B9980&lt;=700),Input!B9980,""),"")</f>
        <v/>
      </c>
      <c r="C9980">
        <f>IF(B9980="","",INT(A9980))</f>
        <v/>
      </c>
      <c r="D9980">
        <f>IF(B9980="","",HOUR(A9980))</f>
        <v/>
      </c>
    </row>
    <row r="9981">
      <c r="A9981">
        <f>Input!A9981</f>
        <v/>
      </c>
      <c r="B9981">
        <f>IF(ISNUMBER(Input!B9981),IF(AND(Input!B9981&gt;=20,Input!B9981&lt;=700),Input!B9981,""),"")</f>
        <v/>
      </c>
      <c r="C9981">
        <f>IF(B9981="","",INT(A9981))</f>
        <v/>
      </c>
      <c r="D9981">
        <f>IF(B9981="","",HOUR(A9981))</f>
        <v/>
      </c>
    </row>
    <row r="9982">
      <c r="A9982">
        <f>Input!A9982</f>
        <v/>
      </c>
      <c r="B9982">
        <f>IF(ISNUMBER(Input!B9982),IF(AND(Input!B9982&gt;=20,Input!B9982&lt;=700),Input!B9982,""),"")</f>
        <v/>
      </c>
      <c r="C9982">
        <f>IF(B9982="","",INT(A9982))</f>
        <v/>
      </c>
      <c r="D9982">
        <f>IF(B9982="","",HOUR(A9982))</f>
        <v/>
      </c>
    </row>
    <row r="9983">
      <c r="A9983">
        <f>Input!A9983</f>
        <v/>
      </c>
      <c r="B9983">
        <f>IF(ISNUMBER(Input!B9983),IF(AND(Input!B9983&gt;=20,Input!B9983&lt;=700),Input!B9983,""),"")</f>
        <v/>
      </c>
      <c r="C9983">
        <f>IF(B9983="","",INT(A9983))</f>
        <v/>
      </c>
      <c r="D9983">
        <f>IF(B9983="","",HOUR(A9983))</f>
        <v/>
      </c>
    </row>
    <row r="9984">
      <c r="A9984">
        <f>Input!A9984</f>
        <v/>
      </c>
      <c r="B9984">
        <f>IF(ISNUMBER(Input!B9984),IF(AND(Input!B9984&gt;=20,Input!B9984&lt;=700),Input!B9984,""),"")</f>
        <v/>
      </c>
      <c r="C9984">
        <f>IF(B9984="","",INT(A9984))</f>
        <v/>
      </c>
      <c r="D9984">
        <f>IF(B9984="","",HOUR(A9984))</f>
        <v/>
      </c>
    </row>
    <row r="9985">
      <c r="A9985">
        <f>Input!A9985</f>
        <v/>
      </c>
      <c r="B9985">
        <f>IF(ISNUMBER(Input!B9985),IF(AND(Input!B9985&gt;=20,Input!B9985&lt;=700),Input!B9985,""),"")</f>
        <v/>
      </c>
      <c r="C9985">
        <f>IF(B9985="","",INT(A9985))</f>
        <v/>
      </c>
      <c r="D9985">
        <f>IF(B9985="","",HOUR(A9985))</f>
        <v/>
      </c>
    </row>
    <row r="9986">
      <c r="A9986">
        <f>Input!A9986</f>
        <v/>
      </c>
      <c r="B9986">
        <f>IF(ISNUMBER(Input!B9986),IF(AND(Input!B9986&gt;=20,Input!B9986&lt;=700),Input!B9986,""),"")</f>
        <v/>
      </c>
      <c r="C9986">
        <f>IF(B9986="","",INT(A9986))</f>
        <v/>
      </c>
      <c r="D9986">
        <f>IF(B9986="","",HOUR(A9986))</f>
        <v/>
      </c>
    </row>
    <row r="9987">
      <c r="A9987">
        <f>Input!A9987</f>
        <v/>
      </c>
      <c r="B9987">
        <f>IF(ISNUMBER(Input!B9987),IF(AND(Input!B9987&gt;=20,Input!B9987&lt;=700),Input!B9987,""),"")</f>
        <v/>
      </c>
      <c r="C9987">
        <f>IF(B9987="","",INT(A9987))</f>
        <v/>
      </c>
      <c r="D9987">
        <f>IF(B9987="","",HOUR(A9987))</f>
        <v/>
      </c>
    </row>
    <row r="9988">
      <c r="A9988">
        <f>Input!A9988</f>
        <v/>
      </c>
      <c r="B9988">
        <f>IF(ISNUMBER(Input!B9988),IF(AND(Input!B9988&gt;=20,Input!B9988&lt;=700),Input!B9988,""),"")</f>
        <v/>
      </c>
      <c r="C9988">
        <f>IF(B9988="","",INT(A9988))</f>
        <v/>
      </c>
      <c r="D9988">
        <f>IF(B9988="","",HOUR(A9988))</f>
        <v/>
      </c>
    </row>
    <row r="9989">
      <c r="A9989">
        <f>Input!A9989</f>
        <v/>
      </c>
      <c r="B9989">
        <f>IF(ISNUMBER(Input!B9989),IF(AND(Input!B9989&gt;=20,Input!B9989&lt;=700),Input!B9989,""),"")</f>
        <v/>
      </c>
      <c r="C9989">
        <f>IF(B9989="","",INT(A9989))</f>
        <v/>
      </c>
      <c r="D9989">
        <f>IF(B9989="","",HOUR(A9989))</f>
        <v/>
      </c>
    </row>
    <row r="9990">
      <c r="A9990">
        <f>Input!A9990</f>
        <v/>
      </c>
      <c r="B9990">
        <f>IF(ISNUMBER(Input!B9990),IF(AND(Input!B9990&gt;=20,Input!B9990&lt;=700),Input!B9990,""),"")</f>
        <v/>
      </c>
      <c r="C9990">
        <f>IF(B9990="","",INT(A9990))</f>
        <v/>
      </c>
      <c r="D9990">
        <f>IF(B9990="","",HOUR(A9990))</f>
        <v/>
      </c>
    </row>
    <row r="9991">
      <c r="A9991">
        <f>Input!A9991</f>
        <v/>
      </c>
      <c r="B9991">
        <f>IF(ISNUMBER(Input!B9991),IF(AND(Input!B9991&gt;=20,Input!B9991&lt;=700),Input!B9991,""),"")</f>
        <v/>
      </c>
      <c r="C9991">
        <f>IF(B9991="","",INT(A9991))</f>
        <v/>
      </c>
      <c r="D9991">
        <f>IF(B9991="","",HOUR(A9991))</f>
        <v/>
      </c>
    </row>
    <row r="9992">
      <c r="A9992">
        <f>Input!A9992</f>
        <v/>
      </c>
      <c r="B9992">
        <f>IF(ISNUMBER(Input!B9992),IF(AND(Input!B9992&gt;=20,Input!B9992&lt;=700),Input!B9992,""),"")</f>
        <v/>
      </c>
      <c r="C9992">
        <f>IF(B9992="","",INT(A9992))</f>
        <v/>
      </c>
      <c r="D9992">
        <f>IF(B9992="","",HOUR(A9992))</f>
        <v/>
      </c>
    </row>
    <row r="9993">
      <c r="A9993">
        <f>Input!A9993</f>
        <v/>
      </c>
      <c r="B9993">
        <f>IF(ISNUMBER(Input!B9993),IF(AND(Input!B9993&gt;=20,Input!B9993&lt;=700),Input!B9993,""),"")</f>
        <v/>
      </c>
      <c r="C9993">
        <f>IF(B9993="","",INT(A9993))</f>
        <v/>
      </c>
      <c r="D9993">
        <f>IF(B9993="","",HOUR(A9993))</f>
        <v/>
      </c>
    </row>
    <row r="9994">
      <c r="A9994">
        <f>Input!A9994</f>
        <v/>
      </c>
      <c r="B9994">
        <f>IF(ISNUMBER(Input!B9994),IF(AND(Input!B9994&gt;=20,Input!B9994&lt;=700),Input!B9994,""),"")</f>
        <v/>
      </c>
      <c r="C9994">
        <f>IF(B9994="","",INT(A9994))</f>
        <v/>
      </c>
      <c r="D9994">
        <f>IF(B9994="","",HOUR(A9994))</f>
        <v/>
      </c>
    </row>
    <row r="9995">
      <c r="A9995">
        <f>Input!A9995</f>
        <v/>
      </c>
      <c r="B9995">
        <f>IF(ISNUMBER(Input!B9995),IF(AND(Input!B9995&gt;=20,Input!B9995&lt;=700),Input!B9995,""),"")</f>
        <v/>
      </c>
      <c r="C9995">
        <f>IF(B9995="","",INT(A9995))</f>
        <v/>
      </c>
      <c r="D9995">
        <f>IF(B9995="","",HOUR(A9995))</f>
        <v/>
      </c>
    </row>
    <row r="9996">
      <c r="A9996">
        <f>Input!A9996</f>
        <v/>
      </c>
      <c r="B9996">
        <f>IF(ISNUMBER(Input!B9996),IF(AND(Input!B9996&gt;=20,Input!B9996&lt;=700),Input!B9996,""),"")</f>
        <v/>
      </c>
      <c r="C9996">
        <f>IF(B9996="","",INT(A9996))</f>
        <v/>
      </c>
      <c r="D9996">
        <f>IF(B9996="","",HOUR(A9996))</f>
        <v/>
      </c>
    </row>
    <row r="9997">
      <c r="A9997">
        <f>Input!A9997</f>
        <v/>
      </c>
      <c r="B9997">
        <f>IF(ISNUMBER(Input!B9997),IF(AND(Input!B9997&gt;=20,Input!B9997&lt;=700),Input!B9997,""),"")</f>
        <v/>
      </c>
      <c r="C9997">
        <f>IF(B9997="","",INT(A9997))</f>
        <v/>
      </c>
      <c r="D9997">
        <f>IF(B9997="","",HOUR(A9997))</f>
        <v/>
      </c>
    </row>
    <row r="9998">
      <c r="A9998">
        <f>Input!A9998</f>
        <v/>
      </c>
      <c r="B9998">
        <f>IF(ISNUMBER(Input!B9998),IF(AND(Input!B9998&gt;=20,Input!B9998&lt;=700),Input!B9998,""),"")</f>
        <v/>
      </c>
      <c r="C9998">
        <f>IF(B9998="","",INT(A9998))</f>
        <v/>
      </c>
      <c r="D9998">
        <f>IF(B9998="","",HOUR(A9998))</f>
        <v/>
      </c>
    </row>
    <row r="9999">
      <c r="A9999">
        <f>Input!A9999</f>
        <v/>
      </c>
      <c r="B9999">
        <f>IF(ISNUMBER(Input!B9999),IF(AND(Input!B9999&gt;=20,Input!B9999&lt;=700),Input!B9999,""),"")</f>
        <v/>
      </c>
      <c r="C9999">
        <f>IF(B9999="","",INT(A9999))</f>
        <v/>
      </c>
      <c r="D9999">
        <f>IF(B9999="","",HOUR(A9999))</f>
        <v/>
      </c>
    </row>
    <row r="10000">
      <c r="A10000">
        <f>Input!A10000</f>
        <v/>
      </c>
      <c r="B10000">
        <f>IF(ISNUMBER(Input!B10000),IF(AND(Input!B10000&gt;=20,Input!B10000&lt;=700),Input!B10000,""),"")</f>
        <v/>
      </c>
      <c r="C10000">
        <f>IF(B10000="","",INT(A10000))</f>
        <v/>
      </c>
      <c r="D10000">
        <f>IF(B10000="","",HOUR(A10000))</f>
        <v/>
      </c>
    </row>
    <row r="10001">
      <c r="A10001">
        <f>Input!A10001</f>
        <v/>
      </c>
      <c r="B10001">
        <f>IF(ISNUMBER(Input!B10001),IF(AND(Input!B10001&gt;=20,Input!B10001&lt;=700),Input!B10001,""),"")</f>
        <v/>
      </c>
      <c r="C10001">
        <f>IF(B10001="","",INT(A10001))</f>
        <v/>
      </c>
      <c r="D10001">
        <f>IF(B10001="","",HOUR(A10001))</f>
        <v/>
      </c>
    </row>
    <row r="10002">
      <c r="A10002">
        <f>Input!A10002</f>
        <v/>
      </c>
      <c r="B10002">
        <f>IF(ISNUMBER(Input!B10002),IF(AND(Input!B10002&gt;=20,Input!B10002&lt;=700),Input!B10002,""),"")</f>
        <v/>
      </c>
      <c r="C10002">
        <f>IF(B10002="","",INT(A10002))</f>
        <v/>
      </c>
      <c r="D10002">
        <f>IF(B10002="","",HOUR(A10002))</f>
        <v/>
      </c>
    </row>
    <row r="10003">
      <c r="A10003">
        <f>Input!A10003</f>
        <v/>
      </c>
      <c r="B10003">
        <f>IF(ISNUMBER(Input!B10003),IF(AND(Input!B10003&gt;=20,Input!B10003&lt;=700),Input!B10003,""),"")</f>
        <v/>
      </c>
      <c r="C10003">
        <f>IF(B10003="","",INT(A10003))</f>
        <v/>
      </c>
      <c r="D10003">
        <f>IF(B10003="","",HOUR(A10003))</f>
        <v/>
      </c>
    </row>
    <row r="10004">
      <c r="A10004">
        <f>Input!A10004</f>
        <v/>
      </c>
      <c r="B10004">
        <f>IF(ISNUMBER(Input!B10004),IF(AND(Input!B10004&gt;=20,Input!B10004&lt;=700),Input!B10004,""),"")</f>
        <v/>
      </c>
      <c r="C10004">
        <f>IF(B10004="","",INT(A10004))</f>
        <v/>
      </c>
      <c r="D10004">
        <f>IF(B10004="","",HOUR(A10004))</f>
        <v/>
      </c>
    </row>
    <row r="10005">
      <c r="A10005">
        <f>Input!A10005</f>
        <v/>
      </c>
      <c r="B10005">
        <f>IF(ISNUMBER(Input!B10005),IF(AND(Input!B10005&gt;=20,Input!B10005&lt;=700),Input!B10005,""),"")</f>
        <v/>
      </c>
      <c r="C10005">
        <f>IF(B10005="","",INT(A10005))</f>
        <v/>
      </c>
      <c r="D10005">
        <f>IF(B10005="","",HOUR(A10005))</f>
        <v/>
      </c>
    </row>
    <row r="10006">
      <c r="A10006">
        <f>Input!A10006</f>
        <v/>
      </c>
      <c r="B10006">
        <f>IF(ISNUMBER(Input!B10006),IF(AND(Input!B10006&gt;=20,Input!B10006&lt;=700),Input!B10006,""),"")</f>
        <v/>
      </c>
      <c r="C10006">
        <f>IF(B10006="","",INT(A10006))</f>
        <v/>
      </c>
      <c r="D10006">
        <f>IF(B10006="","",HOUR(A10006))</f>
        <v/>
      </c>
    </row>
    <row r="10007">
      <c r="A10007">
        <f>Input!A10007</f>
        <v/>
      </c>
      <c r="B10007">
        <f>IF(ISNUMBER(Input!B10007),IF(AND(Input!B10007&gt;=20,Input!B10007&lt;=700),Input!B10007,""),"")</f>
        <v/>
      </c>
      <c r="C10007">
        <f>IF(B10007="","",INT(A10007))</f>
        <v/>
      </c>
      <c r="D10007">
        <f>IF(B10007="","",HOUR(A10007))</f>
        <v/>
      </c>
    </row>
    <row r="10008">
      <c r="A10008">
        <f>Input!A10008</f>
        <v/>
      </c>
      <c r="B10008">
        <f>IF(ISNUMBER(Input!B10008),IF(AND(Input!B10008&gt;=20,Input!B10008&lt;=700),Input!B10008,""),"")</f>
        <v/>
      </c>
      <c r="C10008">
        <f>IF(B10008="","",INT(A10008))</f>
        <v/>
      </c>
      <c r="D10008">
        <f>IF(B10008="","",HOUR(A10008))</f>
        <v/>
      </c>
    </row>
    <row r="10009">
      <c r="A10009">
        <f>Input!A10009</f>
        <v/>
      </c>
      <c r="B10009">
        <f>IF(ISNUMBER(Input!B10009),IF(AND(Input!B10009&gt;=20,Input!B10009&lt;=700),Input!B10009,""),"")</f>
        <v/>
      </c>
      <c r="C10009">
        <f>IF(B10009="","",INT(A10009))</f>
        <v/>
      </c>
      <c r="D10009">
        <f>IF(B10009="","",HOUR(A10009))</f>
        <v/>
      </c>
    </row>
    <row r="10010">
      <c r="A10010">
        <f>Input!A10010</f>
        <v/>
      </c>
      <c r="B10010">
        <f>IF(ISNUMBER(Input!B10010),IF(AND(Input!B10010&gt;=20,Input!B10010&lt;=700),Input!B10010,""),"")</f>
        <v/>
      </c>
      <c r="C10010">
        <f>IF(B10010="","",INT(A10010))</f>
        <v/>
      </c>
      <c r="D10010">
        <f>IF(B10010="","",HOUR(A10010))</f>
        <v/>
      </c>
    </row>
    <row r="10011">
      <c r="A10011">
        <f>Input!A10011</f>
        <v/>
      </c>
      <c r="B10011">
        <f>IF(ISNUMBER(Input!B10011),IF(AND(Input!B10011&gt;=20,Input!B10011&lt;=700),Input!B10011,""),"")</f>
        <v/>
      </c>
      <c r="C10011">
        <f>IF(B10011="","",INT(A10011))</f>
        <v/>
      </c>
      <c r="D10011">
        <f>IF(B10011="","",HOUR(A10011))</f>
        <v/>
      </c>
    </row>
    <row r="10012">
      <c r="A10012">
        <f>Input!A10012</f>
        <v/>
      </c>
      <c r="B10012">
        <f>IF(ISNUMBER(Input!B10012),IF(AND(Input!B10012&gt;=20,Input!B10012&lt;=700),Input!B10012,""),"")</f>
        <v/>
      </c>
      <c r="C10012">
        <f>IF(B10012="","",INT(A10012))</f>
        <v/>
      </c>
      <c r="D10012">
        <f>IF(B10012="","",HOUR(A10012))</f>
        <v/>
      </c>
    </row>
    <row r="10013">
      <c r="A10013">
        <f>Input!A10013</f>
        <v/>
      </c>
      <c r="B10013">
        <f>IF(ISNUMBER(Input!B10013),IF(AND(Input!B10013&gt;=20,Input!B10013&lt;=700),Input!B10013,""),"")</f>
        <v/>
      </c>
      <c r="C10013">
        <f>IF(B10013="","",INT(A10013))</f>
        <v/>
      </c>
      <c r="D10013">
        <f>IF(B10013="","",HOUR(A10013))</f>
        <v/>
      </c>
    </row>
    <row r="10014">
      <c r="A10014">
        <f>Input!A10014</f>
        <v/>
      </c>
      <c r="B10014">
        <f>IF(ISNUMBER(Input!B10014),IF(AND(Input!B10014&gt;=20,Input!B10014&lt;=700),Input!B10014,""),"")</f>
        <v/>
      </c>
      <c r="C10014">
        <f>IF(B10014="","",INT(A10014))</f>
        <v/>
      </c>
      <c r="D10014">
        <f>IF(B10014="","",HOUR(A10014))</f>
        <v/>
      </c>
    </row>
    <row r="10015">
      <c r="A10015">
        <f>Input!A10015</f>
        <v/>
      </c>
      <c r="B10015">
        <f>IF(ISNUMBER(Input!B10015),IF(AND(Input!B10015&gt;=20,Input!B10015&lt;=700),Input!B10015,""),"")</f>
        <v/>
      </c>
      <c r="C10015">
        <f>IF(B10015="","",INT(A10015))</f>
        <v/>
      </c>
      <c r="D10015">
        <f>IF(B10015="","",HOUR(A10015))</f>
        <v/>
      </c>
    </row>
    <row r="10016">
      <c r="A10016">
        <f>Input!A10016</f>
        <v/>
      </c>
      <c r="B10016">
        <f>IF(ISNUMBER(Input!B10016),IF(AND(Input!B10016&gt;=20,Input!B10016&lt;=700),Input!B10016,""),"")</f>
        <v/>
      </c>
      <c r="C10016">
        <f>IF(B10016="","",INT(A10016))</f>
        <v/>
      </c>
      <c r="D10016">
        <f>IF(B10016="","",HOUR(A10016))</f>
        <v/>
      </c>
    </row>
    <row r="10017">
      <c r="A10017">
        <f>Input!A10017</f>
        <v/>
      </c>
      <c r="B10017">
        <f>IF(ISNUMBER(Input!B10017),IF(AND(Input!B10017&gt;=20,Input!B10017&lt;=700),Input!B10017,""),"")</f>
        <v/>
      </c>
      <c r="C10017">
        <f>IF(B10017="","",INT(A10017))</f>
        <v/>
      </c>
      <c r="D10017">
        <f>IF(B10017="","",HOUR(A10017))</f>
        <v/>
      </c>
    </row>
    <row r="10018">
      <c r="A10018">
        <f>Input!A10018</f>
        <v/>
      </c>
      <c r="B10018">
        <f>IF(ISNUMBER(Input!B10018),IF(AND(Input!B10018&gt;=20,Input!B10018&lt;=700),Input!B10018,""),"")</f>
        <v/>
      </c>
      <c r="C10018">
        <f>IF(B10018="","",INT(A10018))</f>
        <v/>
      </c>
      <c r="D10018">
        <f>IF(B10018="","",HOUR(A10018))</f>
        <v/>
      </c>
    </row>
    <row r="10019">
      <c r="A10019">
        <f>Input!A10019</f>
        <v/>
      </c>
      <c r="B10019">
        <f>IF(ISNUMBER(Input!B10019),IF(AND(Input!B10019&gt;=20,Input!B10019&lt;=700),Input!B10019,""),"")</f>
        <v/>
      </c>
      <c r="C10019">
        <f>IF(B10019="","",INT(A10019))</f>
        <v/>
      </c>
      <c r="D10019">
        <f>IF(B10019="","",HOUR(A10019))</f>
        <v/>
      </c>
    </row>
    <row r="10020">
      <c r="A10020">
        <f>Input!A10020</f>
        <v/>
      </c>
      <c r="B10020">
        <f>IF(ISNUMBER(Input!B10020),IF(AND(Input!B10020&gt;=20,Input!B10020&lt;=700),Input!B10020,""),"")</f>
        <v/>
      </c>
      <c r="C10020">
        <f>IF(B10020="","",INT(A10020))</f>
        <v/>
      </c>
      <c r="D10020">
        <f>IF(B10020="","",HOUR(A10020))</f>
        <v/>
      </c>
    </row>
    <row r="10021">
      <c r="A10021">
        <f>Input!A10021</f>
        <v/>
      </c>
      <c r="B10021">
        <f>IF(ISNUMBER(Input!B10021),IF(AND(Input!B10021&gt;=20,Input!B10021&lt;=700),Input!B10021,""),"")</f>
        <v/>
      </c>
      <c r="C10021">
        <f>IF(B10021="","",INT(A10021))</f>
        <v/>
      </c>
      <c r="D10021">
        <f>IF(B10021="","",HOUR(A10021))</f>
        <v/>
      </c>
    </row>
    <row r="10022">
      <c r="A10022">
        <f>Input!A10022</f>
        <v/>
      </c>
      <c r="B10022">
        <f>IF(ISNUMBER(Input!B10022),IF(AND(Input!B10022&gt;=20,Input!B10022&lt;=700),Input!B10022,""),"")</f>
        <v/>
      </c>
      <c r="C10022">
        <f>IF(B10022="","",INT(A10022))</f>
        <v/>
      </c>
      <c r="D10022">
        <f>IF(B10022="","",HOUR(A10022))</f>
        <v/>
      </c>
    </row>
    <row r="10023">
      <c r="A10023">
        <f>Input!A10023</f>
        <v/>
      </c>
      <c r="B10023">
        <f>IF(ISNUMBER(Input!B10023),IF(AND(Input!B10023&gt;=20,Input!B10023&lt;=700),Input!B10023,""),"")</f>
        <v/>
      </c>
      <c r="C10023">
        <f>IF(B10023="","",INT(A10023))</f>
        <v/>
      </c>
      <c r="D10023">
        <f>IF(B10023="","",HOUR(A10023))</f>
        <v/>
      </c>
    </row>
    <row r="10024">
      <c r="A10024">
        <f>Input!A10024</f>
        <v/>
      </c>
      <c r="B10024">
        <f>IF(ISNUMBER(Input!B10024),IF(AND(Input!B10024&gt;=20,Input!B10024&lt;=700),Input!B10024,""),"")</f>
        <v/>
      </c>
      <c r="C10024">
        <f>IF(B10024="","",INT(A10024))</f>
        <v/>
      </c>
      <c r="D10024">
        <f>IF(B10024="","",HOUR(A10024))</f>
        <v/>
      </c>
    </row>
    <row r="10025">
      <c r="A10025">
        <f>Input!A10025</f>
        <v/>
      </c>
      <c r="B10025">
        <f>IF(ISNUMBER(Input!B10025),IF(AND(Input!B10025&gt;=20,Input!B10025&lt;=700),Input!B10025,""),"")</f>
        <v/>
      </c>
      <c r="C10025">
        <f>IF(B10025="","",INT(A10025))</f>
        <v/>
      </c>
      <c r="D10025">
        <f>IF(B10025="","",HOUR(A10025))</f>
        <v/>
      </c>
    </row>
    <row r="10026">
      <c r="A10026">
        <f>Input!A10026</f>
        <v/>
      </c>
      <c r="B10026">
        <f>IF(ISNUMBER(Input!B10026),IF(AND(Input!B10026&gt;=20,Input!B10026&lt;=700),Input!B10026,""),"")</f>
        <v/>
      </c>
      <c r="C10026">
        <f>IF(B10026="","",INT(A10026))</f>
        <v/>
      </c>
      <c r="D10026">
        <f>IF(B10026="","",HOUR(A10026))</f>
        <v/>
      </c>
    </row>
    <row r="10027">
      <c r="A10027">
        <f>Input!A10027</f>
        <v/>
      </c>
      <c r="B10027">
        <f>IF(ISNUMBER(Input!B10027),IF(AND(Input!B10027&gt;=20,Input!B10027&lt;=700),Input!B10027,""),"")</f>
        <v/>
      </c>
      <c r="C10027">
        <f>IF(B10027="","",INT(A10027))</f>
        <v/>
      </c>
      <c r="D10027">
        <f>IF(B10027="","",HOUR(A10027))</f>
        <v/>
      </c>
    </row>
    <row r="10028">
      <c r="A10028">
        <f>Input!A10028</f>
        <v/>
      </c>
      <c r="B10028">
        <f>IF(ISNUMBER(Input!B10028),IF(AND(Input!B10028&gt;=20,Input!B10028&lt;=700),Input!B10028,""),"")</f>
        <v/>
      </c>
      <c r="C10028">
        <f>IF(B10028="","",INT(A10028))</f>
        <v/>
      </c>
      <c r="D10028">
        <f>IF(B10028="","",HOUR(A10028))</f>
        <v/>
      </c>
    </row>
    <row r="10029">
      <c r="A10029">
        <f>Input!A10029</f>
        <v/>
      </c>
      <c r="B10029">
        <f>IF(ISNUMBER(Input!B10029),IF(AND(Input!B10029&gt;=20,Input!B10029&lt;=700),Input!B10029,""),"")</f>
        <v/>
      </c>
      <c r="C10029">
        <f>IF(B10029="","",INT(A10029))</f>
        <v/>
      </c>
      <c r="D10029">
        <f>IF(B10029="","",HOUR(A10029))</f>
        <v/>
      </c>
    </row>
    <row r="10030">
      <c r="A10030">
        <f>Input!A10030</f>
        <v/>
      </c>
      <c r="B10030">
        <f>IF(ISNUMBER(Input!B10030),IF(AND(Input!B10030&gt;=20,Input!B10030&lt;=700),Input!B10030,""),"")</f>
        <v/>
      </c>
      <c r="C10030">
        <f>IF(B10030="","",INT(A10030))</f>
        <v/>
      </c>
      <c r="D10030">
        <f>IF(B10030="","",HOUR(A10030))</f>
        <v/>
      </c>
    </row>
    <row r="10031">
      <c r="A10031">
        <f>Input!A10031</f>
        <v/>
      </c>
      <c r="B10031">
        <f>IF(ISNUMBER(Input!B10031),IF(AND(Input!B10031&gt;=20,Input!B10031&lt;=700),Input!B10031,""),"")</f>
        <v/>
      </c>
      <c r="C10031">
        <f>IF(B10031="","",INT(A10031))</f>
        <v/>
      </c>
      <c r="D10031">
        <f>IF(B10031="","",HOUR(A10031))</f>
        <v/>
      </c>
    </row>
    <row r="10032">
      <c r="A10032">
        <f>Input!A10032</f>
        <v/>
      </c>
      <c r="B10032">
        <f>IF(ISNUMBER(Input!B10032),IF(AND(Input!B10032&gt;=20,Input!B10032&lt;=700),Input!B10032,""),"")</f>
        <v/>
      </c>
      <c r="C10032">
        <f>IF(B10032="","",INT(A10032))</f>
        <v/>
      </c>
      <c r="D10032">
        <f>IF(B10032="","",HOUR(A10032))</f>
        <v/>
      </c>
    </row>
    <row r="10033">
      <c r="A10033">
        <f>Input!A10033</f>
        <v/>
      </c>
      <c r="B10033">
        <f>IF(ISNUMBER(Input!B10033),IF(AND(Input!B10033&gt;=20,Input!B10033&lt;=700),Input!B10033,""),"")</f>
        <v/>
      </c>
      <c r="C10033">
        <f>IF(B10033="","",INT(A10033))</f>
        <v/>
      </c>
      <c r="D10033">
        <f>IF(B10033="","",HOUR(A10033))</f>
        <v/>
      </c>
    </row>
    <row r="10034">
      <c r="A10034">
        <f>Input!A10034</f>
        <v/>
      </c>
      <c r="B10034">
        <f>IF(ISNUMBER(Input!B10034),IF(AND(Input!B10034&gt;=20,Input!B10034&lt;=700),Input!B10034,""),"")</f>
        <v/>
      </c>
      <c r="C10034">
        <f>IF(B10034="","",INT(A10034))</f>
        <v/>
      </c>
      <c r="D10034">
        <f>IF(B10034="","",HOUR(A10034))</f>
        <v/>
      </c>
    </row>
    <row r="10035">
      <c r="A10035">
        <f>Input!A10035</f>
        <v/>
      </c>
      <c r="B10035">
        <f>IF(ISNUMBER(Input!B10035),IF(AND(Input!B10035&gt;=20,Input!B10035&lt;=700),Input!B10035,""),"")</f>
        <v/>
      </c>
      <c r="C10035">
        <f>IF(B10035="","",INT(A10035))</f>
        <v/>
      </c>
      <c r="D10035">
        <f>IF(B10035="","",HOUR(A10035))</f>
        <v/>
      </c>
    </row>
    <row r="10036">
      <c r="A10036">
        <f>Input!A10036</f>
        <v/>
      </c>
      <c r="B10036">
        <f>IF(ISNUMBER(Input!B10036),IF(AND(Input!B10036&gt;=20,Input!B10036&lt;=700),Input!B10036,""),"")</f>
        <v/>
      </c>
      <c r="C10036">
        <f>IF(B10036="","",INT(A10036))</f>
        <v/>
      </c>
      <c r="D10036">
        <f>IF(B10036="","",HOUR(A10036))</f>
        <v/>
      </c>
    </row>
    <row r="10037">
      <c r="A10037">
        <f>Input!A10037</f>
        <v/>
      </c>
      <c r="B10037">
        <f>IF(ISNUMBER(Input!B10037),IF(AND(Input!B10037&gt;=20,Input!B10037&lt;=700),Input!B10037,""),"")</f>
        <v/>
      </c>
      <c r="C10037">
        <f>IF(B10037="","",INT(A10037))</f>
        <v/>
      </c>
      <c r="D10037">
        <f>IF(B10037="","",HOUR(A10037))</f>
        <v/>
      </c>
    </row>
    <row r="10038">
      <c r="A10038">
        <f>Input!A10038</f>
        <v/>
      </c>
      <c r="B10038">
        <f>IF(ISNUMBER(Input!B10038),IF(AND(Input!B10038&gt;=20,Input!B10038&lt;=700),Input!B10038,""),"")</f>
        <v/>
      </c>
      <c r="C10038">
        <f>IF(B10038="","",INT(A10038))</f>
        <v/>
      </c>
      <c r="D10038">
        <f>IF(B10038="","",HOUR(A10038))</f>
        <v/>
      </c>
    </row>
    <row r="10039">
      <c r="A10039">
        <f>Input!A10039</f>
        <v/>
      </c>
      <c r="B10039">
        <f>IF(ISNUMBER(Input!B10039),IF(AND(Input!B10039&gt;=20,Input!B10039&lt;=700),Input!B10039,""),"")</f>
        <v/>
      </c>
      <c r="C10039">
        <f>IF(B10039="","",INT(A10039))</f>
        <v/>
      </c>
      <c r="D10039">
        <f>IF(B10039="","",HOUR(A10039))</f>
        <v/>
      </c>
    </row>
    <row r="10040">
      <c r="A10040">
        <f>Input!A10040</f>
        <v/>
      </c>
      <c r="B10040">
        <f>IF(ISNUMBER(Input!B10040),IF(AND(Input!B10040&gt;=20,Input!B10040&lt;=700),Input!B10040,""),"")</f>
        <v/>
      </c>
      <c r="C10040">
        <f>IF(B10040="","",INT(A10040))</f>
        <v/>
      </c>
      <c r="D10040">
        <f>IF(B10040="","",HOUR(A10040))</f>
        <v/>
      </c>
    </row>
    <row r="10041">
      <c r="A10041">
        <f>Input!A10041</f>
        <v/>
      </c>
      <c r="B10041">
        <f>IF(ISNUMBER(Input!B10041),IF(AND(Input!B10041&gt;=20,Input!B10041&lt;=700),Input!B10041,""),"")</f>
        <v/>
      </c>
      <c r="C10041">
        <f>IF(B10041="","",INT(A10041))</f>
        <v/>
      </c>
      <c r="D10041">
        <f>IF(B10041="","",HOUR(A10041))</f>
        <v/>
      </c>
    </row>
    <row r="10042">
      <c r="A10042">
        <f>Input!A10042</f>
        <v/>
      </c>
      <c r="B10042">
        <f>IF(ISNUMBER(Input!B10042),IF(AND(Input!B10042&gt;=20,Input!B10042&lt;=700),Input!B10042,""),"")</f>
        <v/>
      </c>
      <c r="C10042">
        <f>IF(B10042="","",INT(A10042))</f>
        <v/>
      </c>
      <c r="D10042">
        <f>IF(B10042="","",HOUR(A10042))</f>
        <v/>
      </c>
    </row>
    <row r="10043">
      <c r="A10043">
        <f>Input!A10043</f>
        <v/>
      </c>
      <c r="B10043">
        <f>IF(ISNUMBER(Input!B10043),IF(AND(Input!B10043&gt;=20,Input!B10043&lt;=700),Input!B10043,""),"")</f>
        <v/>
      </c>
      <c r="C10043">
        <f>IF(B10043="","",INT(A10043))</f>
        <v/>
      </c>
      <c r="D10043">
        <f>IF(B10043="","",HOUR(A10043))</f>
        <v/>
      </c>
    </row>
    <row r="10044">
      <c r="A10044">
        <f>Input!A10044</f>
        <v/>
      </c>
      <c r="B10044">
        <f>IF(ISNUMBER(Input!B10044),IF(AND(Input!B10044&gt;=20,Input!B10044&lt;=700),Input!B10044,""),"")</f>
        <v/>
      </c>
      <c r="C10044">
        <f>IF(B10044="","",INT(A10044))</f>
        <v/>
      </c>
      <c r="D10044">
        <f>IF(B10044="","",HOUR(A10044))</f>
        <v/>
      </c>
    </row>
    <row r="10045">
      <c r="A10045">
        <f>Input!A10045</f>
        <v/>
      </c>
      <c r="B10045">
        <f>IF(ISNUMBER(Input!B10045),IF(AND(Input!B10045&gt;=20,Input!B10045&lt;=700),Input!B10045,""),"")</f>
        <v/>
      </c>
      <c r="C10045">
        <f>IF(B10045="","",INT(A10045))</f>
        <v/>
      </c>
      <c r="D10045">
        <f>IF(B10045="","",HOUR(A10045))</f>
        <v/>
      </c>
    </row>
    <row r="10046">
      <c r="A10046">
        <f>Input!A10046</f>
        <v/>
      </c>
      <c r="B10046">
        <f>IF(ISNUMBER(Input!B10046),IF(AND(Input!B10046&gt;=20,Input!B10046&lt;=700),Input!B10046,""),"")</f>
        <v/>
      </c>
      <c r="C10046">
        <f>IF(B10046="","",INT(A10046))</f>
        <v/>
      </c>
      <c r="D10046">
        <f>IF(B10046="","",HOUR(A10046))</f>
        <v/>
      </c>
    </row>
    <row r="10047">
      <c r="A10047">
        <f>Input!A10047</f>
        <v/>
      </c>
      <c r="B10047">
        <f>IF(ISNUMBER(Input!B10047),IF(AND(Input!B10047&gt;=20,Input!B10047&lt;=700),Input!B10047,""),"")</f>
        <v/>
      </c>
      <c r="C10047">
        <f>IF(B10047="","",INT(A10047))</f>
        <v/>
      </c>
      <c r="D10047">
        <f>IF(B10047="","",HOUR(A10047))</f>
        <v/>
      </c>
    </row>
    <row r="10048">
      <c r="A10048">
        <f>Input!A10048</f>
        <v/>
      </c>
      <c r="B10048">
        <f>IF(ISNUMBER(Input!B10048),IF(AND(Input!B10048&gt;=20,Input!B10048&lt;=700),Input!B10048,""),"")</f>
        <v/>
      </c>
      <c r="C10048">
        <f>IF(B10048="","",INT(A10048))</f>
        <v/>
      </c>
      <c r="D10048">
        <f>IF(B10048="","",HOUR(A10048))</f>
        <v/>
      </c>
    </row>
    <row r="10049">
      <c r="A10049">
        <f>Input!A10049</f>
        <v/>
      </c>
      <c r="B10049">
        <f>IF(ISNUMBER(Input!B10049),IF(AND(Input!B10049&gt;=20,Input!B10049&lt;=700),Input!B10049,""),"")</f>
        <v/>
      </c>
      <c r="C10049">
        <f>IF(B10049="","",INT(A10049))</f>
        <v/>
      </c>
      <c r="D10049">
        <f>IF(B10049="","",HOUR(A10049))</f>
        <v/>
      </c>
    </row>
    <row r="10050">
      <c r="A10050">
        <f>Input!A10050</f>
        <v/>
      </c>
      <c r="B10050">
        <f>IF(ISNUMBER(Input!B10050),IF(AND(Input!B10050&gt;=20,Input!B10050&lt;=700),Input!B10050,""),"")</f>
        <v/>
      </c>
      <c r="C10050">
        <f>IF(B10050="","",INT(A10050))</f>
        <v/>
      </c>
      <c r="D10050">
        <f>IF(B10050="","",HOUR(A10050))</f>
        <v/>
      </c>
    </row>
    <row r="10051">
      <c r="A10051">
        <f>Input!A10051</f>
        <v/>
      </c>
      <c r="B10051">
        <f>IF(ISNUMBER(Input!B10051),IF(AND(Input!B10051&gt;=20,Input!B10051&lt;=700),Input!B10051,""),"")</f>
        <v/>
      </c>
      <c r="C10051">
        <f>IF(B10051="","",INT(A10051))</f>
        <v/>
      </c>
      <c r="D10051">
        <f>IF(B10051="","",HOUR(A10051))</f>
        <v/>
      </c>
    </row>
    <row r="10052">
      <c r="A10052">
        <f>Input!A10052</f>
        <v/>
      </c>
      <c r="B10052">
        <f>IF(ISNUMBER(Input!B10052),IF(AND(Input!B10052&gt;=20,Input!B10052&lt;=700),Input!B10052,""),"")</f>
        <v/>
      </c>
      <c r="C10052">
        <f>IF(B10052="","",INT(A10052))</f>
        <v/>
      </c>
      <c r="D10052">
        <f>IF(B10052="","",HOUR(A10052))</f>
        <v/>
      </c>
    </row>
    <row r="10053">
      <c r="A10053">
        <f>Input!A10053</f>
        <v/>
      </c>
      <c r="B10053">
        <f>IF(ISNUMBER(Input!B10053),IF(AND(Input!B10053&gt;=20,Input!B10053&lt;=700),Input!B10053,""),"")</f>
        <v/>
      </c>
      <c r="C10053">
        <f>IF(B10053="","",INT(A10053))</f>
        <v/>
      </c>
      <c r="D10053">
        <f>IF(B10053="","",HOUR(A10053))</f>
        <v/>
      </c>
    </row>
    <row r="10054">
      <c r="A10054">
        <f>Input!A10054</f>
        <v/>
      </c>
      <c r="B10054">
        <f>IF(ISNUMBER(Input!B10054),IF(AND(Input!B10054&gt;=20,Input!B10054&lt;=700),Input!B10054,""),"")</f>
        <v/>
      </c>
      <c r="C10054">
        <f>IF(B10054="","",INT(A10054))</f>
        <v/>
      </c>
      <c r="D10054">
        <f>IF(B10054="","",HOUR(A10054))</f>
        <v/>
      </c>
    </row>
    <row r="10055">
      <c r="A10055">
        <f>Input!A10055</f>
        <v/>
      </c>
      <c r="B10055">
        <f>IF(ISNUMBER(Input!B10055),IF(AND(Input!B10055&gt;=20,Input!B10055&lt;=700),Input!B10055,""),"")</f>
        <v/>
      </c>
      <c r="C10055">
        <f>IF(B10055="","",INT(A10055))</f>
        <v/>
      </c>
      <c r="D10055">
        <f>IF(B10055="","",HOUR(A10055))</f>
        <v/>
      </c>
    </row>
    <row r="10056">
      <c r="A10056">
        <f>Input!A10056</f>
        <v/>
      </c>
      <c r="B10056">
        <f>IF(ISNUMBER(Input!B10056),IF(AND(Input!B10056&gt;=20,Input!B10056&lt;=700),Input!B10056,""),"")</f>
        <v/>
      </c>
      <c r="C10056">
        <f>IF(B10056="","",INT(A10056))</f>
        <v/>
      </c>
      <c r="D10056">
        <f>IF(B10056="","",HOUR(A10056))</f>
        <v/>
      </c>
    </row>
    <row r="10057">
      <c r="A10057">
        <f>Input!A10057</f>
        <v/>
      </c>
      <c r="B10057">
        <f>IF(ISNUMBER(Input!B10057),IF(AND(Input!B10057&gt;=20,Input!B10057&lt;=700),Input!B10057,""),"")</f>
        <v/>
      </c>
      <c r="C10057">
        <f>IF(B10057="","",INT(A10057))</f>
        <v/>
      </c>
      <c r="D10057">
        <f>IF(B10057="","",HOUR(A10057))</f>
        <v/>
      </c>
    </row>
    <row r="10058">
      <c r="A10058">
        <f>Input!A10058</f>
        <v/>
      </c>
      <c r="B10058">
        <f>IF(ISNUMBER(Input!B10058),IF(AND(Input!B10058&gt;=20,Input!B10058&lt;=700),Input!B10058,""),"")</f>
        <v/>
      </c>
      <c r="C10058">
        <f>IF(B10058="","",INT(A10058))</f>
        <v/>
      </c>
      <c r="D10058">
        <f>IF(B10058="","",HOUR(A10058))</f>
        <v/>
      </c>
    </row>
    <row r="10059">
      <c r="A10059">
        <f>Input!A10059</f>
        <v/>
      </c>
      <c r="B10059">
        <f>IF(ISNUMBER(Input!B10059),IF(AND(Input!B10059&gt;=20,Input!B10059&lt;=700),Input!B10059,""),"")</f>
        <v/>
      </c>
      <c r="C10059">
        <f>IF(B10059="","",INT(A10059))</f>
        <v/>
      </c>
      <c r="D10059">
        <f>IF(B10059="","",HOUR(A10059))</f>
        <v/>
      </c>
    </row>
    <row r="10060">
      <c r="A10060">
        <f>Input!A10060</f>
        <v/>
      </c>
      <c r="B10060">
        <f>IF(ISNUMBER(Input!B10060),IF(AND(Input!B10060&gt;=20,Input!B10060&lt;=700),Input!B10060,""),"")</f>
        <v/>
      </c>
      <c r="C10060">
        <f>IF(B10060="","",INT(A10060))</f>
        <v/>
      </c>
      <c r="D10060">
        <f>IF(B10060="","",HOUR(A10060))</f>
        <v/>
      </c>
    </row>
    <row r="10061">
      <c r="A10061">
        <f>Input!A10061</f>
        <v/>
      </c>
      <c r="B10061">
        <f>IF(ISNUMBER(Input!B10061),IF(AND(Input!B10061&gt;=20,Input!B10061&lt;=700),Input!B10061,""),"")</f>
        <v/>
      </c>
      <c r="C10061">
        <f>IF(B10061="","",INT(A10061))</f>
        <v/>
      </c>
      <c r="D10061">
        <f>IF(B10061="","",HOUR(A10061))</f>
        <v/>
      </c>
    </row>
    <row r="10062">
      <c r="A10062">
        <f>Input!A10062</f>
        <v/>
      </c>
      <c r="B10062">
        <f>IF(ISNUMBER(Input!B10062),IF(AND(Input!B10062&gt;=20,Input!B10062&lt;=700),Input!B10062,""),"")</f>
        <v/>
      </c>
      <c r="C10062">
        <f>IF(B10062="","",INT(A10062))</f>
        <v/>
      </c>
      <c r="D10062">
        <f>IF(B10062="","",HOUR(A10062))</f>
        <v/>
      </c>
    </row>
    <row r="10063">
      <c r="A10063">
        <f>Input!A10063</f>
        <v/>
      </c>
      <c r="B10063">
        <f>IF(ISNUMBER(Input!B10063),IF(AND(Input!B10063&gt;=20,Input!B10063&lt;=700),Input!B10063,""),"")</f>
        <v/>
      </c>
      <c r="C10063">
        <f>IF(B10063="","",INT(A10063))</f>
        <v/>
      </c>
      <c r="D10063">
        <f>IF(B10063="","",HOUR(A10063))</f>
        <v/>
      </c>
    </row>
    <row r="10064">
      <c r="A10064">
        <f>Input!A10064</f>
        <v/>
      </c>
      <c r="B10064">
        <f>IF(ISNUMBER(Input!B10064),IF(AND(Input!B10064&gt;=20,Input!B10064&lt;=700),Input!B10064,""),"")</f>
        <v/>
      </c>
      <c r="C10064">
        <f>IF(B10064="","",INT(A10064))</f>
        <v/>
      </c>
      <c r="D10064">
        <f>IF(B10064="","",HOUR(A10064))</f>
        <v/>
      </c>
    </row>
    <row r="10065">
      <c r="A10065">
        <f>Input!A10065</f>
        <v/>
      </c>
      <c r="B10065">
        <f>IF(ISNUMBER(Input!B10065),IF(AND(Input!B10065&gt;=20,Input!B10065&lt;=700),Input!B10065,""),"")</f>
        <v/>
      </c>
      <c r="C10065">
        <f>IF(B10065="","",INT(A10065))</f>
        <v/>
      </c>
      <c r="D10065">
        <f>IF(B10065="","",HOUR(A10065))</f>
        <v/>
      </c>
    </row>
    <row r="10066">
      <c r="A10066">
        <f>Input!A10066</f>
        <v/>
      </c>
      <c r="B10066">
        <f>IF(ISNUMBER(Input!B10066),IF(AND(Input!B10066&gt;=20,Input!B10066&lt;=700),Input!B10066,""),"")</f>
        <v/>
      </c>
      <c r="C10066">
        <f>IF(B10066="","",INT(A10066))</f>
        <v/>
      </c>
      <c r="D10066">
        <f>IF(B10066="","",HOUR(A10066))</f>
        <v/>
      </c>
    </row>
    <row r="10067">
      <c r="A10067">
        <f>Input!A10067</f>
        <v/>
      </c>
      <c r="B10067">
        <f>IF(ISNUMBER(Input!B10067),IF(AND(Input!B10067&gt;=20,Input!B10067&lt;=700),Input!B10067,""),"")</f>
        <v/>
      </c>
      <c r="C10067">
        <f>IF(B10067="","",INT(A10067))</f>
        <v/>
      </c>
      <c r="D10067">
        <f>IF(B10067="","",HOUR(A10067))</f>
        <v/>
      </c>
    </row>
    <row r="10068">
      <c r="A10068">
        <f>Input!A10068</f>
        <v/>
      </c>
      <c r="B10068">
        <f>IF(ISNUMBER(Input!B10068),IF(AND(Input!B10068&gt;=20,Input!B10068&lt;=700),Input!B10068,""),"")</f>
        <v/>
      </c>
      <c r="C10068">
        <f>IF(B10068="","",INT(A10068))</f>
        <v/>
      </c>
      <c r="D10068">
        <f>IF(B10068="","",HOUR(A10068))</f>
        <v/>
      </c>
    </row>
    <row r="10069">
      <c r="A10069">
        <f>Input!A10069</f>
        <v/>
      </c>
      <c r="B10069">
        <f>IF(ISNUMBER(Input!B10069),IF(AND(Input!B10069&gt;=20,Input!B10069&lt;=700),Input!B10069,""),"")</f>
        <v/>
      </c>
      <c r="C10069">
        <f>IF(B10069="","",INT(A10069))</f>
        <v/>
      </c>
      <c r="D10069">
        <f>IF(B10069="","",HOUR(A10069))</f>
        <v/>
      </c>
    </row>
    <row r="10070">
      <c r="A10070">
        <f>Input!A10070</f>
        <v/>
      </c>
      <c r="B10070">
        <f>IF(ISNUMBER(Input!B10070),IF(AND(Input!B10070&gt;=20,Input!B10070&lt;=700),Input!B10070,""),"")</f>
        <v/>
      </c>
      <c r="C10070">
        <f>IF(B10070="","",INT(A10070))</f>
        <v/>
      </c>
      <c r="D10070">
        <f>IF(B10070="","",HOUR(A10070))</f>
        <v/>
      </c>
    </row>
    <row r="10071">
      <c r="A10071">
        <f>Input!A10071</f>
        <v/>
      </c>
      <c r="B10071">
        <f>IF(ISNUMBER(Input!B10071),IF(AND(Input!B10071&gt;=20,Input!B10071&lt;=700),Input!B10071,""),"")</f>
        <v/>
      </c>
      <c r="C10071">
        <f>IF(B10071="","",INT(A10071))</f>
        <v/>
      </c>
      <c r="D10071">
        <f>IF(B10071="","",HOUR(A10071))</f>
        <v/>
      </c>
    </row>
    <row r="10072">
      <c r="A10072">
        <f>Input!A10072</f>
        <v/>
      </c>
      <c r="B10072">
        <f>IF(ISNUMBER(Input!B10072),IF(AND(Input!B10072&gt;=20,Input!B10072&lt;=700),Input!B10072,""),"")</f>
        <v/>
      </c>
      <c r="C10072">
        <f>IF(B10072="","",INT(A10072))</f>
        <v/>
      </c>
      <c r="D10072">
        <f>IF(B10072="","",HOUR(A10072))</f>
        <v/>
      </c>
    </row>
    <row r="10073">
      <c r="A10073">
        <f>Input!A10073</f>
        <v/>
      </c>
      <c r="B10073">
        <f>IF(ISNUMBER(Input!B10073),IF(AND(Input!B10073&gt;=20,Input!B10073&lt;=700),Input!B10073,""),"")</f>
        <v/>
      </c>
      <c r="C10073">
        <f>IF(B10073="","",INT(A10073))</f>
        <v/>
      </c>
      <c r="D10073">
        <f>IF(B10073="","",HOUR(A10073))</f>
        <v/>
      </c>
    </row>
    <row r="10074">
      <c r="A10074">
        <f>Input!A10074</f>
        <v/>
      </c>
      <c r="B10074">
        <f>IF(ISNUMBER(Input!B10074),IF(AND(Input!B10074&gt;=20,Input!B10074&lt;=700),Input!B10074,""),"")</f>
        <v/>
      </c>
      <c r="C10074">
        <f>IF(B10074="","",INT(A10074))</f>
        <v/>
      </c>
      <c r="D10074">
        <f>IF(B10074="","",HOUR(A10074))</f>
        <v/>
      </c>
    </row>
    <row r="10075">
      <c r="A10075">
        <f>Input!A10075</f>
        <v/>
      </c>
      <c r="B10075">
        <f>IF(ISNUMBER(Input!B10075),IF(AND(Input!B10075&gt;=20,Input!B10075&lt;=700),Input!B10075,""),"")</f>
        <v/>
      </c>
      <c r="C10075">
        <f>IF(B10075="","",INT(A10075))</f>
        <v/>
      </c>
      <c r="D10075">
        <f>IF(B10075="","",HOUR(A10075))</f>
        <v/>
      </c>
    </row>
    <row r="10076">
      <c r="A10076">
        <f>Input!A10076</f>
        <v/>
      </c>
      <c r="B10076">
        <f>IF(ISNUMBER(Input!B10076),IF(AND(Input!B10076&gt;=20,Input!B10076&lt;=700),Input!B10076,""),"")</f>
        <v/>
      </c>
      <c r="C10076">
        <f>IF(B10076="","",INT(A10076))</f>
        <v/>
      </c>
      <c r="D10076">
        <f>IF(B10076="","",HOUR(A10076))</f>
        <v/>
      </c>
    </row>
    <row r="10077">
      <c r="A10077">
        <f>Input!A10077</f>
        <v/>
      </c>
      <c r="B10077">
        <f>IF(ISNUMBER(Input!B10077),IF(AND(Input!B10077&gt;=20,Input!B10077&lt;=700),Input!B10077,""),"")</f>
        <v/>
      </c>
      <c r="C10077">
        <f>IF(B10077="","",INT(A10077))</f>
        <v/>
      </c>
      <c r="D10077">
        <f>IF(B10077="","",HOUR(A10077))</f>
        <v/>
      </c>
    </row>
    <row r="10078">
      <c r="A10078">
        <f>Input!A10078</f>
        <v/>
      </c>
      <c r="B10078">
        <f>IF(ISNUMBER(Input!B10078),IF(AND(Input!B10078&gt;=20,Input!B10078&lt;=700),Input!B10078,""),"")</f>
        <v/>
      </c>
      <c r="C10078">
        <f>IF(B10078="","",INT(A10078))</f>
        <v/>
      </c>
      <c r="D10078">
        <f>IF(B10078="","",HOUR(A10078))</f>
        <v/>
      </c>
    </row>
    <row r="10079">
      <c r="A10079">
        <f>Input!A10079</f>
        <v/>
      </c>
      <c r="B10079">
        <f>IF(ISNUMBER(Input!B10079),IF(AND(Input!B10079&gt;=20,Input!B10079&lt;=700),Input!B10079,""),"")</f>
        <v/>
      </c>
      <c r="C10079">
        <f>IF(B10079="","",INT(A10079))</f>
        <v/>
      </c>
      <c r="D10079">
        <f>IF(B10079="","",HOUR(A10079))</f>
        <v/>
      </c>
    </row>
    <row r="10080">
      <c r="A10080">
        <f>Input!A10080</f>
        <v/>
      </c>
      <c r="B10080">
        <f>IF(ISNUMBER(Input!B10080),IF(AND(Input!B10080&gt;=20,Input!B10080&lt;=700),Input!B10080,""),"")</f>
        <v/>
      </c>
      <c r="C10080">
        <f>IF(B10080="","",INT(A10080))</f>
        <v/>
      </c>
      <c r="D10080">
        <f>IF(B10080="","",HOUR(A10080))</f>
        <v/>
      </c>
    </row>
    <row r="10081">
      <c r="A10081">
        <f>Input!A10081</f>
        <v/>
      </c>
      <c r="B10081">
        <f>IF(ISNUMBER(Input!B10081),IF(AND(Input!B10081&gt;=20,Input!B10081&lt;=700),Input!B10081,""),"")</f>
        <v/>
      </c>
      <c r="C10081">
        <f>IF(B10081="","",INT(A10081))</f>
        <v/>
      </c>
      <c r="D10081">
        <f>IF(B10081="","",HOUR(A10081))</f>
        <v/>
      </c>
    </row>
    <row r="10082">
      <c r="A10082">
        <f>Input!A10082</f>
        <v/>
      </c>
      <c r="B10082">
        <f>IF(ISNUMBER(Input!B10082),IF(AND(Input!B10082&gt;=20,Input!B10082&lt;=700),Input!B10082,""),"")</f>
        <v/>
      </c>
      <c r="C10082">
        <f>IF(B10082="","",INT(A10082))</f>
        <v/>
      </c>
      <c r="D10082">
        <f>IF(B10082="","",HOUR(A10082))</f>
        <v/>
      </c>
    </row>
    <row r="10083">
      <c r="A10083">
        <f>Input!A10083</f>
        <v/>
      </c>
      <c r="B10083">
        <f>IF(ISNUMBER(Input!B10083),IF(AND(Input!B10083&gt;=20,Input!B10083&lt;=700),Input!B10083,""),"")</f>
        <v/>
      </c>
      <c r="C10083">
        <f>IF(B10083="","",INT(A10083))</f>
        <v/>
      </c>
      <c r="D10083">
        <f>IF(B10083="","",HOUR(A10083))</f>
        <v/>
      </c>
    </row>
    <row r="10084">
      <c r="A10084">
        <f>Input!A10084</f>
        <v/>
      </c>
      <c r="B10084">
        <f>IF(ISNUMBER(Input!B10084),IF(AND(Input!B10084&gt;=20,Input!B10084&lt;=700),Input!B10084,""),"")</f>
        <v/>
      </c>
      <c r="C10084">
        <f>IF(B10084="","",INT(A10084))</f>
        <v/>
      </c>
      <c r="D10084">
        <f>IF(B10084="","",HOUR(A10084))</f>
        <v/>
      </c>
    </row>
    <row r="10085">
      <c r="A10085">
        <f>Input!A10085</f>
        <v/>
      </c>
      <c r="B10085">
        <f>IF(ISNUMBER(Input!B10085),IF(AND(Input!B10085&gt;=20,Input!B10085&lt;=700),Input!B10085,""),"")</f>
        <v/>
      </c>
      <c r="C10085">
        <f>IF(B10085="","",INT(A10085))</f>
        <v/>
      </c>
      <c r="D10085">
        <f>IF(B10085="","",HOUR(A10085))</f>
        <v/>
      </c>
    </row>
    <row r="10086">
      <c r="A10086">
        <f>Input!A10086</f>
        <v/>
      </c>
      <c r="B10086">
        <f>IF(ISNUMBER(Input!B10086),IF(AND(Input!B10086&gt;=20,Input!B10086&lt;=700),Input!B10086,""),"")</f>
        <v/>
      </c>
      <c r="C10086">
        <f>IF(B10086="","",INT(A10086))</f>
        <v/>
      </c>
      <c r="D10086">
        <f>IF(B10086="","",HOUR(A10086))</f>
        <v/>
      </c>
    </row>
    <row r="10087">
      <c r="A10087">
        <f>Input!A10087</f>
        <v/>
      </c>
      <c r="B10087">
        <f>IF(ISNUMBER(Input!B10087),IF(AND(Input!B10087&gt;=20,Input!B10087&lt;=700),Input!B10087,""),"")</f>
        <v/>
      </c>
      <c r="C10087">
        <f>IF(B10087="","",INT(A10087))</f>
        <v/>
      </c>
      <c r="D10087">
        <f>IF(B10087="","",HOUR(A10087))</f>
        <v/>
      </c>
    </row>
    <row r="10088">
      <c r="A10088">
        <f>Input!A10088</f>
        <v/>
      </c>
      <c r="B10088">
        <f>IF(ISNUMBER(Input!B10088),IF(AND(Input!B10088&gt;=20,Input!B10088&lt;=700),Input!B10088,""),"")</f>
        <v/>
      </c>
      <c r="C10088">
        <f>IF(B10088="","",INT(A10088))</f>
        <v/>
      </c>
      <c r="D10088">
        <f>IF(B10088="","",HOUR(A10088))</f>
        <v/>
      </c>
    </row>
    <row r="10089">
      <c r="A10089">
        <f>Input!A10089</f>
        <v/>
      </c>
      <c r="B10089">
        <f>IF(ISNUMBER(Input!B10089),IF(AND(Input!B10089&gt;=20,Input!B10089&lt;=700),Input!B10089,""),"")</f>
        <v/>
      </c>
      <c r="C10089">
        <f>IF(B10089="","",INT(A10089))</f>
        <v/>
      </c>
      <c r="D10089">
        <f>IF(B10089="","",HOUR(A10089))</f>
        <v/>
      </c>
    </row>
    <row r="10090">
      <c r="A10090">
        <f>Input!A10090</f>
        <v/>
      </c>
      <c r="B10090">
        <f>IF(ISNUMBER(Input!B10090),IF(AND(Input!B10090&gt;=20,Input!B10090&lt;=700),Input!B10090,""),"")</f>
        <v/>
      </c>
      <c r="C10090">
        <f>IF(B10090="","",INT(A10090))</f>
        <v/>
      </c>
      <c r="D10090">
        <f>IF(B10090="","",HOUR(A10090))</f>
        <v/>
      </c>
    </row>
    <row r="10091">
      <c r="A10091">
        <f>Input!A10091</f>
        <v/>
      </c>
      <c r="B10091">
        <f>IF(ISNUMBER(Input!B10091),IF(AND(Input!B10091&gt;=20,Input!B10091&lt;=700),Input!B10091,""),"")</f>
        <v/>
      </c>
      <c r="C10091">
        <f>IF(B10091="","",INT(A10091))</f>
        <v/>
      </c>
      <c r="D10091">
        <f>IF(B10091="","",HOUR(A10091))</f>
        <v/>
      </c>
    </row>
    <row r="10092">
      <c r="A10092">
        <f>Input!A10092</f>
        <v/>
      </c>
      <c r="B10092">
        <f>IF(ISNUMBER(Input!B10092),IF(AND(Input!B10092&gt;=20,Input!B10092&lt;=700),Input!B10092,""),"")</f>
        <v/>
      </c>
      <c r="C10092">
        <f>IF(B10092="","",INT(A10092))</f>
        <v/>
      </c>
      <c r="D10092">
        <f>IF(B10092="","",HOUR(A10092))</f>
        <v/>
      </c>
    </row>
    <row r="10093">
      <c r="A10093">
        <f>Input!A10093</f>
        <v/>
      </c>
      <c r="B10093">
        <f>IF(ISNUMBER(Input!B10093),IF(AND(Input!B10093&gt;=20,Input!B10093&lt;=700),Input!B10093,""),"")</f>
        <v/>
      </c>
      <c r="C10093">
        <f>IF(B10093="","",INT(A10093))</f>
        <v/>
      </c>
      <c r="D10093">
        <f>IF(B10093="","",HOUR(A10093))</f>
        <v/>
      </c>
    </row>
    <row r="10094">
      <c r="A10094">
        <f>Input!A10094</f>
        <v/>
      </c>
      <c r="B10094">
        <f>IF(ISNUMBER(Input!B10094),IF(AND(Input!B10094&gt;=20,Input!B10094&lt;=700),Input!B10094,""),"")</f>
        <v/>
      </c>
      <c r="C10094">
        <f>IF(B10094="","",INT(A10094))</f>
        <v/>
      </c>
      <c r="D10094">
        <f>IF(B10094="","",HOUR(A10094))</f>
        <v/>
      </c>
    </row>
    <row r="10095">
      <c r="A10095">
        <f>Input!A10095</f>
        <v/>
      </c>
      <c r="B10095">
        <f>IF(ISNUMBER(Input!B10095),IF(AND(Input!B10095&gt;=20,Input!B10095&lt;=700),Input!B10095,""),"")</f>
        <v/>
      </c>
      <c r="C10095">
        <f>IF(B10095="","",INT(A10095))</f>
        <v/>
      </c>
      <c r="D10095">
        <f>IF(B10095="","",HOUR(A10095))</f>
        <v/>
      </c>
    </row>
    <row r="10096">
      <c r="A10096">
        <f>Input!A10096</f>
        <v/>
      </c>
      <c r="B10096">
        <f>IF(ISNUMBER(Input!B10096),IF(AND(Input!B10096&gt;=20,Input!B10096&lt;=700),Input!B10096,""),"")</f>
        <v/>
      </c>
      <c r="C10096">
        <f>IF(B10096="","",INT(A10096))</f>
        <v/>
      </c>
      <c r="D10096">
        <f>IF(B10096="","",HOUR(A10096))</f>
        <v/>
      </c>
    </row>
    <row r="10097">
      <c r="A10097">
        <f>Input!A10097</f>
        <v/>
      </c>
      <c r="B10097">
        <f>IF(ISNUMBER(Input!B10097),IF(AND(Input!B10097&gt;=20,Input!B10097&lt;=700),Input!B10097,""),"")</f>
        <v/>
      </c>
      <c r="C10097">
        <f>IF(B10097="","",INT(A10097))</f>
        <v/>
      </c>
      <c r="D10097">
        <f>IF(B10097="","",HOUR(A10097))</f>
        <v/>
      </c>
    </row>
    <row r="10098">
      <c r="A10098">
        <f>Input!A10098</f>
        <v/>
      </c>
      <c r="B10098">
        <f>IF(ISNUMBER(Input!B10098),IF(AND(Input!B10098&gt;=20,Input!B10098&lt;=700),Input!B10098,""),"")</f>
        <v/>
      </c>
      <c r="C10098">
        <f>IF(B10098="","",INT(A10098))</f>
        <v/>
      </c>
      <c r="D10098">
        <f>IF(B10098="","",HOUR(A10098))</f>
        <v/>
      </c>
    </row>
    <row r="10099">
      <c r="A10099">
        <f>Input!A10099</f>
        <v/>
      </c>
      <c r="B10099">
        <f>IF(ISNUMBER(Input!B10099),IF(AND(Input!B10099&gt;=20,Input!B10099&lt;=700),Input!B10099,""),"")</f>
        <v/>
      </c>
      <c r="C10099">
        <f>IF(B10099="","",INT(A10099))</f>
        <v/>
      </c>
      <c r="D10099">
        <f>IF(B10099="","",HOUR(A10099))</f>
        <v/>
      </c>
    </row>
    <row r="10100">
      <c r="A10100">
        <f>Input!A10100</f>
        <v/>
      </c>
      <c r="B10100">
        <f>IF(ISNUMBER(Input!B10100),IF(AND(Input!B10100&gt;=20,Input!B10100&lt;=700),Input!B10100,""),"")</f>
        <v/>
      </c>
      <c r="C10100">
        <f>IF(B10100="","",INT(A10100))</f>
        <v/>
      </c>
      <c r="D10100">
        <f>IF(B10100="","",HOUR(A10100))</f>
        <v/>
      </c>
    </row>
    <row r="10101">
      <c r="A10101">
        <f>Input!A10101</f>
        <v/>
      </c>
      <c r="B10101">
        <f>IF(ISNUMBER(Input!B10101),IF(AND(Input!B10101&gt;=20,Input!B10101&lt;=700),Input!B10101,""),"")</f>
        <v/>
      </c>
      <c r="C10101">
        <f>IF(B10101="","",INT(A10101))</f>
        <v/>
      </c>
      <c r="D10101">
        <f>IF(B10101="","",HOUR(A10101))</f>
        <v/>
      </c>
    </row>
    <row r="10102">
      <c r="A10102">
        <f>Input!A10102</f>
        <v/>
      </c>
      <c r="B10102">
        <f>IF(ISNUMBER(Input!B10102),IF(AND(Input!B10102&gt;=20,Input!B10102&lt;=700),Input!B10102,""),"")</f>
        <v/>
      </c>
      <c r="C10102">
        <f>IF(B10102="","",INT(A10102))</f>
        <v/>
      </c>
      <c r="D10102">
        <f>IF(B10102="","",HOUR(A10102))</f>
        <v/>
      </c>
    </row>
    <row r="10103">
      <c r="A10103">
        <f>Input!A10103</f>
        <v/>
      </c>
      <c r="B10103">
        <f>IF(ISNUMBER(Input!B10103),IF(AND(Input!B10103&gt;=20,Input!B10103&lt;=700),Input!B10103,""),"")</f>
        <v/>
      </c>
      <c r="C10103">
        <f>IF(B10103="","",INT(A10103))</f>
        <v/>
      </c>
      <c r="D10103">
        <f>IF(B10103="","",HOUR(A10103))</f>
        <v/>
      </c>
    </row>
    <row r="10104">
      <c r="A10104">
        <f>Input!A10104</f>
        <v/>
      </c>
      <c r="B10104">
        <f>IF(ISNUMBER(Input!B10104),IF(AND(Input!B10104&gt;=20,Input!B10104&lt;=700),Input!B10104,""),"")</f>
        <v/>
      </c>
      <c r="C10104">
        <f>IF(B10104="","",INT(A10104))</f>
        <v/>
      </c>
      <c r="D10104">
        <f>IF(B10104="","",HOUR(A10104))</f>
        <v/>
      </c>
    </row>
    <row r="10105">
      <c r="A10105">
        <f>Input!A10105</f>
        <v/>
      </c>
      <c r="B10105">
        <f>IF(ISNUMBER(Input!B10105),IF(AND(Input!B10105&gt;=20,Input!B10105&lt;=700),Input!B10105,""),"")</f>
        <v/>
      </c>
      <c r="C10105">
        <f>IF(B10105="","",INT(A10105))</f>
        <v/>
      </c>
      <c r="D10105">
        <f>IF(B10105="","",HOUR(A10105))</f>
        <v/>
      </c>
    </row>
    <row r="10106">
      <c r="A10106">
        <f>Input!A10106</f>
        <v/>
      </c>
      <c r="B10106">
        <f>IF(ISNUMBER(Input!B10106),IF(AND(Input!B10106&gt;=20,Input!B10106&lt;=700),Input!B10106,""),"")</f>
        <v/>
      </c>
      <c r="C10106">
        <f>IF(B10106="","",INT(A10106))</f>
        <v/>
      </c>
      <c r="D10106">
        <f>IF(B10106="","",HOUR(A10106))</f>
        <v/>
      </c>
    </row>
    <row r="10107">
      <c r="A10107">
        <f>Input!A10107</f>
        <v/>
      </c>
      <c r="B10107">
        <f>IF(ISNUMBER(Input!B10107),IF(AND(Input!B10107&gt;=20,Input!B10107&lt;=700),Input!B10107,""),"")</f>
        <v/>
      </c>
      <c r="C10107">
        <f>IF(B10107="","",INT(A10107))</f>
        <v/>
      </c>
      <c r="D10107">
        <f>IF(B10107="","",HOUR(A10107))</f>
        <v/>
      </c>
    </row>
    <row r="10108">
      <c r="A10108">
        <f>Input!A10108</f>
        <v/>
      </c>
      <c r="B10108">
        <f>IF(ISNUMBER(Input!B10108),IF(AND(Input!B10108&gt;=20,Input!B10108&lt;=700),Input!B10108,""),"")</f>
        <v/>
      </c>
      <c r="C10108">
        <f>IF(B10108="","",INT(A10108))</f>
        <v/>
      </c>
      <c r="D10108">
        <f>IF(B10108="","",HOUR(A10108))</f>
        <v/>
      </c>
    </row>
    <row r="10109">
      <c r="A10109">
        <f>Input!A10109</f>
        <v/>
      </c>
      <c r="B10109">
        <f>IF(ISNUMBER(Input!B10109),IF(AND(Input!B10109&gt;=20,Input!B10109&lt;=700),Input!B10109,""),"")</f>
        <v/>
      </c>
      <c r="C10109">
        <f>IF(B10109="","",INT(A10109))</f>
        <v/>
      </c>
      <c r="D10109">
        <f>IF(B10109="","",HOUR(A10109))</f>
        <v/>
      </c>
    </row>
    <row r="10110">
      <c r="A10110">
        <f>Input!A10110</f>
        <v/>
      </c>
      <c r="B10110">
        <f>IF(ISNUMBER(Input!B10110),IF(AND(Input!B10110&gt;=20,Input!B10110&lt;=700),Input!B10110,""),"")</f>
        <v/>
      </c>
      <c r="C10110">
        <f>IF(B10110="","",INT(A10110))</f>
        <v/>
      </c>
      <c r="D10110">
        <f>IF(B10110="","",HOUR(A10110))</f>
        <v/>
      </c>
    </row>
    <row r="10111">
      <c r="A10111">
        <f>Input!A10111</f>
        <v/>
      </c>
      <c r="B10111">
        <f>IF(ISNUMBER(Input!B10111),IF(AND(Input!B10111&gt;=20,Input!B10111&lt;=700),Input!B10111,""),"")</f>
        <v/>
      </c>
      <c r="C10111">
        <f>IF(B10111="","",INT(A10111))</f>
        <v/>
      </c>
      <c r="D10111">
        <f>IF(B10111="","",HOUR(A10111))</f>
        <v/>
      </c>
    </row>
    <row r="10112">
      <c r="A10112">
        <f>Input!A10112</f>
        <v/>
      </c>
      <c r="B10112">
        <f>IF(ISNUMBER(Input!B10112),IF(AND(Input!B10112&gt;=20,Input!B10112&lt;=700),Input!B10112,""),"")</f>
        <v/>
      </c>
      <c r="C10112">
        <f>IF(B10112="","",INT(A10112))</f>
        <v/>
      </c>
      <c r="D10112">
        <f>IF(B10112="","",HOUR(A10112))</f>
        <v/>
      </c>
    </row>
    <row r="10113">
      <c r="A10113">
        <f>Input!A10113</f>
        <v/>
      </c>
      <c r="B10113">
        <f>IF(ISNUMBER(Input!B10113),IF(AND(Input!B10113&gt;=20,Input!B10113&lt;=700),Input!B10113,""),"")</f>
        <v/>
      </c>
      <c r="C10113">
        <f>IF(B10113="","",INT(A10113))</f>
        <v/>
      </c>
      <c r="D10113">
        <f>IF(B10113="","",HOUR(A10113))</f>
        <v/>
      </c>
    </row>
    <row r="10114">
      <c r="A10114">
        <f>Input!A10114</f>
        <v/>
      </c>
      <c r="B10114">
        <f>IF(ISNUMBER(Input!B10114),IF(AND(Input!B10114&gt;=20,Input!B10114&lt;=700),Input!B10114,""),"")</f>
        <v/>
      </c>
      <c r="C10114">
        <f>IF(B10114="","",INT(A10114))</f>
        <v/>
      </c>
      <c r="D10114">
        <f>IF(B10114="","",HOUR(A10114))</f>
        <v/>
      </c>
    </row>
    <row r="10115">
      <c r="A10115">
        <f>Input!A10115</f>
        <v/>
      </c>
      <c r="B10115">
        <f>IF(ISNUMBER(Input!B10115),IF(AND(Input!B10115&gt;=20,Input!B10115&lt;=700),Input!B10115,""),"")</f>
        <v/>
      </c>
      <c r="C10115">
        <f>IF(B10115="","",INT(A10115))</f>
        <v/>
      </c>
      <c r="D10115">
        <f>IF(B10115="","",HOUR(A10115))</f>
        <v/>
      </c>
    </row>
    <row r="10116">
      <c r="A10116">
        <f>Input!A10116</f>
        <v/>
      </c>
      <c r="B10116">
        <f>IF(ISNUMBER(Input!B10116),IF(AND(Input!B10116&gt;=20,Input!B10116&lt;=700),Input!B10116,""),"")</f>
        <v/>
      </c>
      <c r="C10116">
        <f>IF(B10116="","",INT(A10116))</f>
        <v/>
      </c>
      <c r="D10116">
        <f>IF(B10116="","",HOUR(A10116))</f>
        <v/>
      </c>
    </row>
    <row r="10117">
      <c r="A10117">
        <f>Input!A10117</f>
        <v/>
      </c>
      <c r="B10117">
        <f>IF(ISNUMBER(Input!B10117),IF(AND(Input!B10117&gt;=20,Input!B10117&lt;=700),Input!B10117,""),"")</f>
        <v/>
      </c>
      <c r="C10117">
        <f>IF(B10117="","",INT(A10117))</f>
        <v/>
      </c>
      <c r="D10117">
        <f>IF(B10117="","",HOUR(A10117))</f>
        <v/>
      </c>
    </row>
    <row r="10118">
      <c r="A10118">
        <f>Input!A10118</f>
        <v/>
      </c>
      <c r="B10118">
        <f>IF(ISNUMBER(Input!B10118),IF(AND(Input!B10118&gt;=20,Input!B10118&lt;=700),Input!B10118,""),"")</f>
        <v/>
      </c>
      <c r="C10118">
        <f>IF(B10118="","",INT(A10118))</f>
        <v/>
      </c>
      <c r="D10118">
        <f>IF(B10118="","",HOUR(A10118))</f>
        <v/>
      </c>
    </row>
    <row r="10119">
      <c r="A10119">
        <f>Input!A10119</f>
        <v/>
      </c>
      <c r="B10119">
        <f>IF(ISNUMBER(Input!B10119),IF(AND(Input!B10119&gt;=20,Input!B10119&lt;=700),Input!B10119,""),"")</f>
        <v/>
      </c>
      <c r="C10119">
        <f>IF(B10119="","",INT(A10119))</f>
        <v/>
      </c>
      <c r="D10119">
        <f>IF(B10119="","",HOUR(A10119))</f>
        <v/>
      </c>
    </row>
    <row r="10120">
      <c r="A10120">
        <f>Input!A10120</f>
        <v/>
      </c>
      <c r="B10120">
        <f>IF(ISNUMBER(Input!B10120),IF(AND(Input!B10120&gt;=20,Input!B10120&lt;=700),Input!B10120,""),"")</f>
        <v/>
      </c>
      <c r="C10120">
        <f>IF(B10120="","",INT(A10120))</f>
        <v/>
      </c>
      <c r="D10120">
        <f>IF(B10120="","",HOUR(A10120))</f>
        <v/>
      </c>
    </row>
    <row r="10121">
      <c r="A10121">
        <f>Input!A10121</f>
        <v/>
      </c>
      <c r="B10121">
        <f>IF(ISNUMBER(Input!B10121),IF(AND(Input!B10121&gt;=20,Input!B10121&lt;=700),Input!B10121,""),"")</f>
        <v/>
      </c>
      <c r="C10121">
        <f>IF(B10121="","",INT(A10121))</f>
        <v/>
      </c>
      <c r="D10121">
        <f>IF(B10121="","",HOUR(A10121))</f>
        <v/>
      </c>
    </row>
    <row r="10122">
      <c r="A10122">
        <f>Input!A10122</f>
        <v/>
      </c>
      <c r="B10122">
        <f>IF(ISNUMBER(Input!B10122),IF(AND(Input!B10122&gt;=20,Input!B10122&lt;=700),Input!B10122,""),"")</f>
        <v/>
      </c>
      <c r="C10122">
        <f>IF(B10122="","",INT(A10122))</f>
        <v/>
      </c>
      <c r="D10122">
        <f>IF(B10122="","",HOUR(A10122))</f>
        <v/>
      </c>
    </row>
    <row r="10123">
      <c r="A10123">
        <f>Input!A10123</f>
        <v/>
      </c>
      <c r="B10123">
        <f>IF(ISNUMBER(Input!B10123),IF(AND(Input!B10123&gt;=20,Input!B10123&lt;=700),Input!B10123,""),"")</f>
        <v/>
      </c>
      <c r="C10123">
        <f>IF(B10123="","",INT(A10123))</f>
        <v/>
      </c>
      <c r="D10123">
        <f>IF(B10123="","",HOUR(A10123))</f>
        <v/>
      </c>
    </row>
    <row r="10124">
      <c r="A10124">
        <f>Input!A10124</f>
        <v/>
      </c>
      <c r="B10124">
        <f>IF(ISNUMBER(Input!B10124),IF(AND(Input!B10124&gt;=20,Input!B10124&lt;=700),Input!B10124,""),"")</f>
        <v/>
      </c>
      <c r="C10124">
        <f>IF(B10124="","",INT(A10124))</f>
        <v/>
      </c>
      <c r="D10124">
        <f>IF(B10124="","",HOUR(A10124))</f>
        <v/>
      </c>
    </row>
    <row r="10125">
      <c r="A10125">
        <f>Input!A10125</f>
        <v/>
      </c>
      <c r="B10125">
        <f>IF(ISNUMBER(Input!B10125),IF(AND(Input!B10125&gt;=20,Input!B10125&lt;=700),Input!B10125,""),"")</f>
        <v/>
      </c>
      <c r="C10125">
        <f>IF(B10125="","",INT(A10125))</f>
        <v/>
      </c>
      <c r="D10125">
        <f>IF(B10125="","",HOUR(A10125))</f>
        <v/>
      </c>
    </row>
    <row r="10126">
      <c r="A10126">
        <f>Input!A10126</f>
        <v/>
      </c>
      <c r="B10126">
        <f>IF(ISNUMBER(Input!B10126),IF(AND(Input!B10126&gt;=20,Input!B10126&lt;=700),Input!B10126,""),"")</f>
        <v/>
      </c>
      <c r="C10126">
        <f>IF(B10126="","",INT(A10126))</f>
        <v/>
      </c>
      <c r="D10126">
        <f>IF(B10126="","",HOUR(A10126))</f>
        <v/>
      </c>
    </row>
    <row r="10127">
      <c r="A10127">
        <f>Input!A10127</f>
        <v/>
      </c>
      <c r="B10127">
        <f>IF(ISNUMBER(Input!B10127),IF(AND(Input!B10127&gt;=20,Input!B10127&lt;=700),Input!B10127,""),"")</f>
        <v/>
      </c>
      <c r="C10127">
        <f>IF(B10127="","",INT(A10127))</f>
        <v/>
      </c>
      <c r="D10127">
        <f>IF(B10127="","",HOUR(A10127))</f>
        <v/>
      </c>
    </row>
    <row r="10128">
      <c r="A10128">
        <f>Input!A10128</f>
        <v/>
      </c>
      <c r="B10128">
        <f>IF(ISNUMBER(Input!B10128),IF(AND(Input!B10128&gt;=20,Input!B10128&lt;=700),Input!B10128,""),"")</f>
        <v/>
      </c>
      <c r="C10128">
        <f>IF(B10128="","",INT(A10128))</f>
        <v/>
      </c>
      <c r="D10128">
        <f>IF(B10128="","",HOUR(A10128))</f>
        <v/>
      </c>
    </row>
    <row r="10129">
      <c r="A10129">
        <f>Input!A10129</f>
        <v/>
      </c>
      <c r="B10129">
        <f>IF(ISNUMBER(Input!B10129),IF(AND(Input!B10129&gt;=20,Input!B10129&lt;=700),Input!B10129,""),"")</f>
        <v/>
      </c>
      <c r="C10129">
        <f>IF(B10129="","",INT(A10129))</f>
        <v/>
      </c>
      <c r="D10129">
        <f>IF(B10129="","",HOUR(A10129))</f>
        <v/>
      </c>
    </row>
    <row r="10130">
      <c r="A10130">
        <f>Input!A10130</f>
        <v/>
      </c>
      <c r="B10130">
        <f>IF(ISNUMBER(Input!B10130),IF(AND(Input!B10130&gt;=20,Input!B10130&lt;=700),Input!B10130,""),"")</f>
        <v/>
      </c>
      <c r="C10130">
        <f>IF(B10130="","",INT(A10130))</f>
        <v/>
      </c>
      <c r="D10130">
        <f>IF(B10130="","",HOUR(A10130))</f>
        <v/>
      </c>
    </row>
    <row r="10131">
      <c r="A10131">
        <f>Input!A10131</f>
        <v/>
      </c>
      <c r="B10131">
        <f>IF(ISNUMBER(Input!B10131),IF(AND(Input!B10131&gt;=20,Input!B10131&lt;=700),Input!B10131,""),"")</f>
        <v/>
      </c>
      <c r="C10131">
        <f>IF(B10131="","",INT(A10131))</f>
        <v/>
      </c>
      <c r="D10131">
        <f>IF(B10131="","",HOUR(A10131))</f>
        <v/>
      </c>
    </row>
    <row r="10132">
      <c r="A10132">
        <f>Input!A10132</f>
        <v/>
      </c>
      <c r="B10132">
        <f>IF(ISNUMBER(Input!B10132),IF(AND(Input!B10132&gt;=20,Input!B10132&lt;=700),Input!B10132,""),"")</f>
        <v/>
      </c>
      <c r="C10132">
        <f>IF(B10132="","",INT(A10132))</f>
        <v/>
      </c>
      <c r="D10132">
        <f>IF(B10132="","",HOUR(A10132))</f>
        <v/>
      </c>
    </row>
    <row r="10133">
      <c r="A10133">
        <f>Input!A10133</f>
        <v/>
      </c>
      <c r="B10133">
        <f>IF(ISNUMBER(Input!B10133),IF(AND(Input!B10133&gt;=20,Input!B10133&lt;=700),Input!B10133,""),"")</f>
        <v/>
      </c>
      <c r="C10133">
        <f>IF(B10133="","",INT(A10133))</f>
        <v/>
      </c>
      <c r="D10133">
        <f>IF(B10133="","",HOUR(A10133))</f>
        <v/>
      </c>
    </row>
    <row r="10134">
      <c r="A10134">
        <f>Input!A10134</f>
        <v/>
      </c>
      <c r="B10134">
        <f>IF(ISNUMBER(Input!B10134),IF(AND(Input!B10134&gt;=20,Input!B10134&lt;=700),Input!B10134,""),"")</f>
        <v/>
      </c>
      <c r="C10134">
        <f>IF(B10134="","",INT(A10134))</f>
        <v/>
      </c>
      <c r="D10134">
        <f>IF(B10134="","",HOUR(A10134))</f>
        <v/>
      </c>
    </row>
    <row r="10135">
      <c r="A10135">
        <f>Input!A10135</f>
        <v/>
      </c>
      <c r="B10135">
        <f>IF(ISNUMBER(Input!B10135),IF(AND(Input!B10135&gt;=20,Input!B10135&lt;=700),Input!B10135,""),"")</f>
        <v/>
      </c>
      <c r="C10135">
        <f>IF(B10135="","",INT(A10135))</f>
        <v/>
      </c>
      <c r="D10135">
        <f>IF(B10135="","",HOUR(A10135))</f>
        <v/>
      </c>
    </row>
    <row r="10136">
      <c r="A10136">
        <f>Input!A10136</f>
        <v/>
      </c>
      <c r="B10136">
        <f>IF(ISNUMBER(Input!B10136),IF(AND(Input!B10136&gt;=20,Input!B10136&lt;=700),Input!B10136,""),"")</f>
        <v/>
      </c>
      <c r="C10136">
        <f>IF(B10136="","",INT(A10136))</f>
        <v/>
      </c>
      <c r="D10136">
        <f>IF(B10136="","",HOUR(A10136))</f>
        <v/>
      </c>
    </row>
    <row r="10137">
      <c r="A10137">
        <f>Input!A10137</f>
        <v/>
      </c>
      <c r="B10137">
        <f>IF(ISNUMBER(Input!B10137),IF(AND(Input!B10137&gt;=20,Input!B10137&lt;=700),Input!B10137,""),"")</f>
        <v/>
      </c>
      <c r="C10137">
        <f>IF(B10137="","",INT(A10137))</f>
        <v/>
      </c>
      <c r="D10137">
        <f>IF(B10137="","",HOUR(A10137))</f>
        <v/>
      </c>
    </row>
    <row r="10138">
      <c r="A10138">
        <f>Input!A10138</f>
        <v/>
      </c>
      <c r="B10138">
        <f>IF(ISNUMBER(Input!B10138),IF(AND(Input!B10138&gt;=20,Input!B10138&lt;=700),Input!B10138,""),"")</f>
        <v/>
      </c>
      <c r="C10138">
        <f>IF(B10138="","",INT(A10138))</f>
        <v/>
      </c>
      <c r="D10138">
        <f>IF(B10138="","",HOUR(A10138))</f>
        <v/>
      </c>
    </row>
    <row r="10139">
      <c r="A10139">
        <f>Input!A10139</f>
        <v/>
      </c>
      <c r="B10139">
        <f>IF(ISNUMBER(Input!B10139),IF(AND(Input!B10139&gt;=20,Input!B10139&lt;=700),Input!B10139,""),"")</f>
        <v/>
      </c>
      <c r="C10139">
        <f>IF(B10139="","",INT(A10139))</f>
        <v/>
      </c>
      <c r="D10139">
        <f>IF(B10139="","",HOUR(A10139))</f>
        <v/>
      </c>
    </row>
    <row r="10140">
      <c r="A10140">
        <f>Input!A10140</f>
        <v/>
      </c>
      <c r="B10140">
        <f>IF(ISNUMBER(Input!B10140),IF(AND(Input!B10140&gt;=20,Input!B10140&lt;=700),Input!B10140,""),"")</f>
        <v/>
      </c>
      <c r="C10140">
        <f>IF(B10140="","",INT(A10140))</f>
        <v/>
      </c>
      <c r="D10140">
        <f>IF(B10140="","",HOUR(A10140))</f>
        <v/>
      </c>
    </row>
    <row r="10141">
      <c r="A10141">
        <f>Input!A10141</f>
        <v/>
      </c>
      <c r="B10141">
        <f>IF(ISNUMBER(Input!B10141),IF(AND(Input!B10141&gt;=20,Input!B10141&lt;=700),Input!B10141,""),"")</f>
        <v/>
      </c>
      <c r="C10141">
        <f>IF(B10141="","",INT(A10141))</f>
        <v/>
      </c>
      <c r="D10141">
        <f>IF(B10141="","",HOUR(A10141))</f>
        <v/>
      </c>
    </row>
    <row r="10142">
      <c r="A10142">
        <f>Input!A10142</f>
        <v/>
      </c>
      <c r="B10142">
        <f>IF(ISNUMBER(Input!B10142),IF(AND(Input!B10142&gt;=20,Input!B10142&lt;=700),Input!B10142,""),"")</f>
        <v/>
      </c>
      <c r="C10142">
        <f>IF(B10142="","",INT(A10142))</f>
        <v/>
      </c>
      <c r="D10142">
        <f>IF(B10142="","",HOUR(A10142))</f>
        <v/>
      </c>
    </row>
    <row r="10143">
      <c r="A10143">
        <f>Input!A10143</f>
        <v/>
      </c>
      <c r="B10143">
        <f>IF(ISNUMBER(Input!B10143),IF(AND(Input!B10143&gt;=20,Input!B10143&lt;=700),Input!B10143,""),"")</f>
        <v/>
      </c>
      <c r="C10143">
        <f>IF(B10143="","",INT(A10143))</f>
        <v/>
      </c>
      <c r="D10143">
        <f>IF(B10143="","",HOUR(A10143))</f>
        <v/>
      </c>
    </row>
    <row r="10144">
      <c r="A10144">
        <f>Input!A10144</f>
        <v/>
      </c>
      <c r="B10144">
        <f>IF(ISNUMBER(Input!B10144),IF(AND(Input!B10144&gt;=20,Input!B10144&lt;=700),Input!B10144,""),"")</f>
        <v/>
      </c>
      <c r="C10144">
        <f>IF(B10144="","",INT(A10144))</f>
        <v/>
      </c>
      <c r="D10144">
        <f>IF(B10144="","",HOUR(A10144))</f>
        <v/>
      </c>
    </row>
    <row r="10145">
      <c r="A10145">
        <f>Input!A10145</f>
        <v/>
      </c>
      <c r="B10145">
        <f>IF(ISNUMBER(Input!B10145),IF(AND(Input!B10145&gt;=20,Input!B10145&lt;=700),Input!B10145,""),"")</f>
        <v/>
      </c>
      <c r="C10145">
        <f>IF(B10145="","",INT(A10145))</f>
        <v/>
      </c>
      <c r="D10145">
        <f>IF(B10145="","",HOUR(A10145))</f>
        <v/>
      </c>
    </row>
    <row r="10146">
      <c r="A10146">
        <f>Input!A10146</f>
        <v/>
      </c>
      <c r="B10146">
        <f>IF(ISNUMBER(Input!B10146),IF(AND(Input!B10146&gt;=20,Input!B10146&lt;=700),Input!B10146,""),"")</f>
        <v/>
      </c>
      <c r="C10146">
        <f>IF(B10146="","",INT(A10146))</f>
        <v/>
      </c>
      <c r="D10146">
        <f>IF(B10146="","",HOUR(A10146))</f>
        <v/>
      </c>
    </row>
    <row r="10147">
      <c r="A10147">
        <f>Input!A10147</f>
        <v/>
      </c>
      <c r="B10147">
        <f>IF(ISNUMBER(Input!B10147),IF(AND(Input!B10147&gt;=20,Input!B10147&lt;=700),Input!B10147,""),"")</f>
        <v/>
      </c>
      <c r="C10147">
        <f>IF(B10147="","",INT(A10147))</f>
        <v/>
      </c>
      <c r="D10147">
        <f>IF(B10147="","",HOUR(A10147))</f>
        <v/>
      </c>
    </row>
    <row r="10148">
      <c r="A10148">
        <f>Input!A10148</f>
        <v/>
      </c>
      <c r="B10148">
        <f>IF(ISNUMBER(Input!B10148),IF(AND(Input!B10148&gt;=20,Input!B10148&lt;=700),Input!B10148,""),"")</f>
        <v/>
      </c>
      <c r="C10148">
        <f>IF(B10148="","",INT(A10148))</f>
        <v/>
      </c>
      <c r="D10148">
        <f>IF(B10148="","",HOUR(A10148))</f>
        <v/>
      </c>
    </row>
    <row r="10149">
      <c r="A10149">
        <f>Input!A10149</f>
        <v/>
      </c>
      <c r="B10149">
        <f>IF(ISNUMBER(Input!B10149),IF(AND(Input!B10149&gt;=20,Input!B10149&lt;=700),Input!B10149,""),"")</f>
        <v/>
      </c>
      <c r="C10149">
        <f>IF(B10149="","",INT(A10149))</f>
        <v/>
      </c>
      <c r="D10149">
        <f>IF(B10149="","",HOUR(A10149))</f>
        <v/>
      </c>
    </row>
    <row r="10150">
      <c r="A10150">
        <f>Input!A10150</f>
        <v/>
      </c>
      <c r="B10150">
        <f>IF(ISNUMBER(Input!B10150),IF(AND(Input!B10150&gt;=20,Input!B10150&lt;=700),Input!B10150,""),"")</f>
        <v/>
      </c>
      <c r="C10150">
        <f>IF(B10150="","",INT(A10150))</f>
        <v/>
      </c>
      <c r="D10150">
        <f>IF(B10150="","",HOUR(A10150))</f>
        <v/>
      </c>
    </row>
    <row r="10151">
      <c r="A10151">
        <f>Input!A10151</f>
        <v/>
      </c>
      <c r="B10151">
        <f>IF(ISNUMBER(Input!B10151),IF(AND(Input!B10151&gt;=20,Input!B10151&lt;=700),Input!B10151,""),"")</f>
        <v/>
      </c>
      <c r="C10151">
        <f>IF(B10151="","",INT(A10151))</f>
        <v/>
      </c>
      <c r="D10151">
        <f>IF(B10151="","",HOUR(A10151))</f>
        <v/>
      </c>
    </row>
    <row r="10152">
      <c r="A10152">
        <f>Input!A10152</f>
        <v/>
      </c>
      <c r="B10152">
        <f>IF(ISNUMBER(Input!B10152),IF(AND(Input!B10152&gt;=20,Input!B10152&lt;=700),Input!B10152,""),"")</f>
        <v/>
      </c>
      <c r="C10152">
        <f>IF(B10152="","",INT(A10152))</f>
        <v/>
      </c>
      <c r="D10152">
        <f>IF(B10152="","",HOUR(A10152))</f>
        <v/>
      </c>
    </row>
    <row r="10153">
      <c r="A10153">
        <f>Input!A10153</f>
        <v/>
      </c>
      <c r="B10153">
        <f>IF(ISNUMBER(Input!B10153),IF(AND(Input!B10153&gt;=20,Input!B10153&lt;=700),Input!B10153,""),"")</f>
        <v/>
      </c>
      <c r="C10153">
        <f>IF(B10153="","",INT(A10153))</f>
        <v/>
      </c>
      <c r="D10153">
        <f>IF(B10153="","",HOUR(A10153))</f>
        <v/>
      </c>
    </row>
    <row r="10154">
      <c r="A10154">
        <f>Input!A10154</f>
        <v/>
      </c>
      <c r="B10154">
        <f>IF(ISNUMBER(Input!B10154),IF(AND(Input!B10154&gt;=20,Input!B10154&lt;=700),Input!B10154,""),"")</f>
        <v/>
      </c>
      <c r="C10154">
        <f>IF(B10154="","",INT(A10154))</f>
        <v/>
      </c>
      <c r="D10154">
        <f>IF(B10154="","",HOUR(A10154))</f>
        <v/>
      </c>
    </row>
    <row r="10155">
      <c r="A10155">
        <f>Input!A10155</f>
        <v/>
      </c>
      <c r="B10155">
        <f>IF(ISNUMBER(Input!B10155),IF(AND(Input!B10155&gt;=20,Input!B10155&lt;=700),Input!B10155,""),"")</f>
        <v/>
      </c>
      <c r="C10155">
        <f>IF(B10155="","",INT(A10155))</f>
        <v/>
      </c>
      <c r="D10155">
        <f>IF(B10155="","",HOUR(A10155))</f>
        <v/>
      </c>
    </row>
    <row r="10156">
      <c r="A10156">
        <f>Input!A10156</f>
        <v/>
      </c>
      <c r="B10156">
        <f>IF(ISNUMBER(Input!B10156),IF(AND(Input!B10156&gt;=20,Input!B10156&lt;=700),Input!B10156,""),"")</f>
        <v/>
      </c>
      <c r="C10156">
        <f>IF(B10156="","",INT(A10156))</f>
        <v/>
      </c>
      <c r="D10156">
        <f>IF(B10156="","",HOUR(A10156))</f>
        <v/>
      </c>
    </row>
    <row r="10157">
      <c r="A10157">
        <f>Input!A10157</f>
        <v/>
      </c>
      <c r="B10157">
        <f>IF(ISNUMBER(Input!B10157),IF(AND(Input!B10157&gt;=20,Input!B10157&lt;=700),Input!B10157,""),"")</f>
        <v/>
      </c>
      <c r="C10157">
        <f>IF(B10157="","",INT(A10157))</f>
        <v/>
      </c>
      <c r="D10157">
        <f>IF(B10157="","",HOUR(A10157))</f>
        <v/>
      </c>
    </row>
    <row r="10158">
      <c r="A10158">
        <f>Input!A10158</f>
        <v/>
      </c>
      <c r="B10158">
        <f>IF(ISNUMBER(Input!B10158),IF(AND(Input!B10158&gt;=20,Input!B10158&lt;=700),Input!B10158,""),"")</f>
        <v/>
      </c>
      <c r="C10158">
        <f>IF(B10158="","",INT(A10158))</f>
        <v/>
      </c>
      <c r="D10158">
        <f>IF(B10158="","",HOUR(A10158))</f>
        <v/>
      </c>
    </row>
    <row r="10159">
      <c r="A10159">
        <f>Input!A10159</f>
        <v/>
      </c>
      <c r="B10159">
        <f>IF(ISNUMBER(Input!B10159),IF(AND(Input!B10159&gt;=20,Input!B10159&lt;=700),Input!B10159,""),"")</f>
        <v/>
      </c>
      <c r="C10159">
        <f>IF(B10159="","",INT(A10159))</f>
        <v/>
      </c>
      <c r="D10159">
        <f>IF(B10159="","",HOUR(A10159))</f>
        <v/>
      </c>
    </row>
    <row r="10160">
      <c r="A10160">
        <f>Input!A10160</f>
        <v/>
      </c>
      <c r="B10160">
        <f>IF(ISNUMBER(Input!B10160),IF(AND(Input!B10160&gt;=20,Input!B10160&lt;=700),Input!B10160,""),"")</f>
        <v/>
      </c>
      <c r="C10160">
        <f>IF(B10160="","",INT(A10160))</f>
        <v/>
      </c>
      <c r="D10160">
        <f>IF(B10160="","",HOUR(A10160))</f>
        <v/>
      </c>
    </row>
    <row r="10161">
      <c r="A10161">
        <f>Input!A10161</f>
        <v/>
      </c>
      <c r="B10161">
        <f>IF(ISNUMBER(Input!B10161),IF(AND(Input!B10161&gt;=20,Input!B10161&lt;=700),Input!B10161,""),"")</f>
        <v/>
      </c>
      <c r="C10161">
        <f>IF(B10161="","",INT(A10161))</f>
        <v/>
      </c>
      <c r="D10161">
        <f>IF(B10161="","",HOUR(A10161))</f>
        <v/>
      </c>
    </row>
    <row r="10162">
      <c r="A10162">
        <f>Input!A10162</f>
        <v/>
      </c>
      <c r="B10162">
        <f>IF(ISNUMBER(Input!B10162),IF(AND(Input!B10162&gt;=20,Input!B10162&lt;=700),Input!B10162,""),"")</f>
        <v/>
      </c>
      <c r="C10162">
        <f>IF(B10162="","",INT(A10162))</f>
        <v/>
      </c>
      <c r="D10162">
        <f>IF(B10162="","",HOUR(A10162))</f>
        <v/>
      </c>
    </row>
    <row r="10163">
      <c r="A10163">
        <f>Input!A10163</f>
        <v/>
      </c>
      <c r="B10163">
        <f>IF(ISNUMBER(Input!B10163),IF(AND(Input!B10163&gt;=20,Input!B10163&lt;=700),Input!B10163,""),"")</f>
        <v/>
      </c>
      <c r="C10163">
        <f>IF(B10163="","",INT(A10163))</f>
        <v/>
      </c>
      <c r="D10163">
        <f>IF(B10163="","",HOUR(A10163))</f>
        <v/>
      </c>
    </row>
    <row r="10164">
      <c r="A10164">
        <f>Input!A10164</f>
        <v/>
      </c>
      <c r="B10164">
        <f>IF(ISNUMBER(Input!B10164),IF(AND(Input!B10164&gt;=20,Input!B10164&lt;=700),Input!B10164,""),"")</f>
        <v/>
      </c>
      <c r="C10164">
        <f>IF(B10164="","",INT(A10164))</f>
        <v/>
      </c>
      <c r="D10164">
        <f>IF(B10164="","",HOUR(A10164))</f>
        <v/>
      </c>
    </row>
    <row r="10165">
      <c r="A10165">
        <f>Input!A10165</f>
        <v/>
      </c>
      <c r="B10165">
        <f>IF(ISNUMBER(Input!B10165),IF(AND(Input!B10165&gt;=20,Input!B10165&lt;=700),Input!B10165,""),"")</f>
        <v/>
      </c>
      <c r="C10165">
        <f>IF(B10165="","",INT(A10165))</f>
        <v/>
      </c>
      <c r="D10165">
        <f>IF(B10165="","",HOUR(A10165))</f>
        <v/>
      </c>
    </row>
    <row r="10166">
      <c r="A10166">
        <f>Input!A10166</f>
        <v/>
      </c>
      <c r="B10166">
        <f>IF(ISNUMBER(Input!B10166),IF(AND(Input!B10166&gt;=20,Input!B10166&lt;=700),Input!B10166,""),"")</f>
        <v/>
      </c>
      <c r="C10166">
        <f>IF(B10166="","",INT(A10166))</f>
        <v/>
      </c>
      <c r="D10166">
        <f>IF(B10166="","",HOUR(A10166))</f>
        <v/>
      </c>
    </row>
    <row r="10167">
      <c r="A10167">
        <f>Input!A10167</f>
        <v/>
      </c>
      <c r="B10167">
        <f>IF(ISNUMBER(Input!B10167),IF(AND(Input!B10167&gt;=20,Input!B10167&lt;=700),Input!B10167,""),"")</f>
        <v/>
      </c>
      <c r="C10167">
        <f>IF(B10167="","",INT(A10167))</f>
        <v/>
      </c>
      <c r="D10167">
        <f>IF(B10167="","",HOUR(A10167))</f>
        <v/>
      </c>
    </row>
    <row r="10168">
      <c r="A10168">
        <f>Input!A10168</f>
        <v/>
      </c>
      <c r="B10168">
        <f>IF(ISNUMBER(Input!B10168),IF(AND(Input!B10168&gt;=20,Input!B10168&lt;=700),Input!B10168,""),"")</f>
        <v/>
      </c>
      <c r="C10168">
        <f>IF(B10168="","",INT(A10168))</f>
        <v/>
      </c>
      <c r="D10168">
        <f>IF(B10168="","",HOUR(A10168))</f>
        <v/>
      </c>
    </row>
    <row r="10169">
      <c r="A10169">
        <f>Input!A10169</f>
        <v/>
      </c>
      <c r="B10169">
        <f>IF(ISNUMBER(Input!B10169),IF(AND(Input!B10169&gt;=20,Input!B10169&lt;=700),Input!B10169,""),"")</f>
        <v/>
      </c>
      <c r="C10169">
        <f>IF(B10169="","",INT(A10169))</f>
        <v/>
      </c>
      <c r="D10169">
        <f>IF(B10169="","",HOUR(A10169))</f>
        <v/>
      </c>
    </row>
    <row r="10170">
      <c r="A10170">
        <f>Input!A10170</f>
        <v/>
      </c>
      <c r="B10170">
        <f>IF(ISNUMBER(Input!B10170),IF(AND(Input!B10170&gt;=20,Input!B10170&lt;=700),Input!B10170,""),"")</f>
        <v/>
      </c>
      <c r="C10170">
        <f>IF(B10170="","",INT(A10170))</f>
        <v/>
      </c>
      <c r="D10170">
        <f>IF(B10170="","",HOUR(A10170))</f>
        <v/>
      </c>
    </row>
    <row r="10171">
      <c r="A10171">
        <f>Input!A10171</f>
        <v/>
      </c>
      <c r="B10171">
        <f>IF(ISNUMBER(Input!B10171),IF(AND(Input!B10171&gt;=20,Input!B10171&lt;=700),Input!B10171,""),"")</f>
        <v/>
      </c>
      <c r="C10171">
        <f>IF(B10171="","",INT(A10171))</f>
        <v/>
      </c>
      <c r="D10171">
        <f>IF(B10171="","",HOUR(A10171))</f>
        <v/>
      </c>
    </row>
    <row r="10172">
      <c r="A10172">
        <f>Input!A10172</f>
        <v/>
      </c>
      <c r="B10172">
        <f>IF(ISNUMBER(Input!B10172),IF(AND(Input!B10172&gt;=20,Input!B10172&lt;=700),Input!B10172,""),"")</f>
        <v/>
      </c>
      <c r="C10172">
        <f>IF(B10172="","",INT(A10172))</f>
        <v/>
      </c>
      <c r="D10172">
        <f>IF(B10172="","",HOUR(A10172))</f>
        <v/>
      </c>
    </row>
    <row r="10173">
      <c r="A10173">
        <f>Input!A10173</f>
        <v/>
      </c>
      <c r="B10173">
        <f>IF(ISNUMBER(Input!B10173),IF(AND(Input!B10173&gt;=20,Input!B10173&lt;=700),Input!B10173,""),"")</f>
        <v/>
      </c>
      <c r="C10173">
        <f>IF(B10173="","",INT(A10173))</f>
        <v/>
      </c>
      <c r="D10173">
        <f>IF(B10173="","",HOUR(A10173))</f>
        <v/>
      </c>
    </row>
    <row r="10174">
      <c r="A10174">
        <f>Input!A10174</f>
        <v/>
      </c>
      <c r="B10174">
        <f>IF(ISNUMBER(Input!B10174),IF(AND(Input!B10174&gt;=20,Input!B10174&lt;=700),Input!B10174,""),"")</f>
        <v/>
      </c>
      <c r="C10174">
        <f>IF(B10174="","",INT(A10174))</f>
        <v/>
      </c>
      <c r="D10174">
        <f>IF(B10174="","",HOUR(A10174))</f>
        <v/>
      </c>
    </row>
    <row r="10175">
      <c r="A10175">
        <f>Input!A10175</f>
        <v/>
      </c>
      <c r="B10175">
        <f>IF(ISNUMBER(Input!B10175),IF(AND(Input!B10175&gt;=20,Input!B10175&lt;=700),Input!B10175,""),"")</f>
        <v/>
      </c>
      <c r="C10175">
        <f>IF(B10175="","",INT(A10175))</f>
        <v/>
      </c>
      <c r="D10175">
        <f>IF(B10175="","",HOUR(A10175))</f>
        <v/>
      </c>
    </row>
    <row r="10176">
      <c r="A10176">
        <f>Input!A10176</f>
        <v/>
      </c>
      <c r="B10176">
        <f>IF(ISNUMBER(Input!B10176),IF(AND(Input!B10176&gt;=20,Input!B10176&lt;=700),Input!B10176,""),"")</f>
        <v/>
      </c>
      <c r="C10176">
        <f>IF(B10176="","",INT(A10176))</f>
        <v/>
      </c>
      <c r="D10176">
        <f>IF(B10176="","",HOUR(A10176))</f>
        <v/>
      </c>
    </row>
    <row r="10177">
      <c r="A10177">
        <f>Input!A10177</f>
        <v/>
      </c>
      <c r="B10177">
        <f>IF(ISNUMBER(Input!B10177),IF(AND(Input!B10177&gt;=20,Input!B10177&lt;=700),Input!B10177,""),"")</f>
        <v/>
      </c>
      <c r="C10177">
        <f>IF(B10177="","",INT(A10177))</f>
        <v/>
      </c>
      <c r="D10177">
        <f>IF(B10177="","",HOUR(A10177))</f>
        <v/>
      </c>
    </row>
    <row r="10178">
      <c r="A10178">
        <f>Input!A10178</f>
        <v/>
      </c>
      <c r="B10178">
        <f>IF(ISNUMBER(Input!B10178),IF(AND(Input!B10178&gt;=20,Input!B10178&lt;=700),Input!B10178,""),"")</f>
        <v/>
      </c>
      <c r="C10178">
        <f>IF(B10178="","",INT(A10178))</f>
        <v/>
      </c>
      <c r="D10178">
        <f>IF(B10178="","",HOUR(A10178))</f>
        <v/>
      </c>
    </row>
    <row r="10179">
      <c r="A10179">
        <f>Input!A10179</f>
        <v/>
      </c>
      <c r="B10179">
        <f>IF(ISNUMBER(Input!B10179),IF(AND(Input!B10179&gt;=20,Input!B10179&lt;=700),Input!B10179,""),"")</f>
        <v/>
      </c>
      <c r="C10179">
        <f>IF(B10179="","",INT(A10179))</f>
        <v/>
      </c>
      <c r="D10179">
        <f>IF(B10179="","",HOUR(A10179))</f>
        <v/>
      </c>
    </row>
    <row r="10180">
      <c r="A10180">
        <f>Input!A10180</f>
        <v/>
      </c>
      <c r="B10180">
        <f>IF(ISNUMBER(Input!B10180),IF(AND(Input!B10180&gt;=20,Input!B10180&lt;=700),Input!B10180,""),"")</f>
        <v/>
      </c>
      <c r="C10180">
        <f>IF(B10180="","",INT(A10180))</f>
        <v/>
      </c>
      <c r="D10180">
        <f>IF(B10180="","",HOUR(A10180))</f>
        <v/>
      </c>
    </row>
    <row r="10181">
      <c r="A10181">
        <f>Input!A10181</f>
        <v/>
      </c>
      <c r="B10181">
        <f>IF(ISNUMBER(Input!B10181),IF(AND(Input!B10181&gt;=20,Input!B10181&lt;=700),Input!B10181,""),"")</f>
        <v/>
      </c>
      <c r="C10181">
        <f>IF(B10181="","",INT(A10181))</f>
        <v/>
      </c>
      <c r="D10181">
        <f>IF(B10181="","",HOUR(A10181))</f>
        <v/>
      </c>
    </row>
    <row r="10182">
      <c r="A10182">
        <f>Input!A10182</f>
        <v/>
      </c>
      <c r="B10182">
        <f>IF(ISNUMBER(Input!B10182),IF(AND(Input!B10182&gt;=20,Input!B10182&lt;=700),Input!B10182,""),"")</f>
        <v/>
      </c>
      <c r="C10182">
        <f>IF(B10182="","",INT(A10182))</f>
        <v/>
      </c>
      <c r="D10182">
        <f>IF(B10182="","",HOUR(A10182))</f>
        <v/>
      </c>
    </row>
    <row r="10183">
      <c r="A10183">
        <f>Input!A10183</f>
        <v/>
      </c>
      <c r="B10183">
        <f>IF(ISNUMBER(Input!B10183),IF(AND(Input!B10183&gt;=20,Input!B10183&lt;=700),Input!B10183,""),"")</f>
        <v/>
      </c>
      <c r="C10183">
        <f>IF(B10183="","",INT(A10183))</f>
        <v/>
      </c>
      <c r="D10183">
        <f>IF(B10183="","",HOUR(A10183))</f>
        <v/>
      </c>
    </row>
    <row r="10184">
      <c r="A10184">
        <f>Input!A10184</f>
        <v/>
      </c>
      <c r="B10184">
        <f>IF(ISNUMBER(Input!B10184),IF(AND(Input!B10184&gt;=20,Input!B10184&lt;=700),Input!B10184,""),"")</f>
        <v/>
      </c>
      <c r="C10184">
        <f>IF(B10184="","",INT(A10184))</f>
        <v/>
      </c>
      <c r="D10184">
        <f>IF(B10184="","",HOUR(A10184))</f>
        <v/>
      </c>
    </row>
    <row r="10185">
      <c r="A10185">
        <f>Input!A10185</f>
        <v/>
      </c>
      <c r="B10185">
        <f>IF(ISNUMBER(Input!B10185),IF(AND(Input!B10185&gt;=20,Input!B10185&lt;=700),Input!B10185,""),"")</f>
        <v/>
      </c>
      <c r="C10185">
        <f>IF(B10185="","",INT(A10185))</f>
        <v/>
      </c>
      <c r="D10185">
        <f>IF(B10185="","",HOUR(A10185))</f>
        <v/>
      </c>
    </row>
    <row r="10186">
      <c r="A10186">
        <f>Input!A10186</f>
        <v/>
      </c>
      <c r="B10186">
        <f>IF(ISNUMBER(Input!B10186),IF(AND(Input!B10186&gt;=20,Input!B10186&lt;=700),Input!B10186,""),"")</f>
        <v/>
      </c>
      <c r="C10186">
        <f>IF(B10186="","",INT(A10186))</f>
        <v/>
      </c>
      <c r="D10186">
        <f>IF(B10186="","",HOUR(A10186))</f>
        <v/>
      </c>
    </row>
    <row r="10187">
      <c r="A10187">
        <f>Input!A10187</f>
        <v/>
      </c>
      <c r="B10187">
        <f>IF(ISNUMBER(Input!B10187),IF(AND(Input!B10187&gt;=20,Input!B10187&lt;=700),Input!B10187,""),"")</f>
        <v/>
      </c>
      <c r="C10187">
        <f>IF(B10187="","",INT(A10187))</f>
        <v/>
      </c>
      <c r="D10187">
        <f>IF(B10187="","",HOUR(A10187))</f>
        <v/>
      </c>
    </row>
    <row r="10188">
      <c r="A10188">
        <f>Input!A10188</f>
        <v/>
      </c>
      <c r="B10188">
        <f>IF(ISNUMBER(Input!B10188),IF(AND(Input!B10188&gt;=20,Input!B10188&lt;=700),Input!B10188,""),"")</f>
        <v/>
      </c>
      <c r="C10188">
        <f>IF(B10188="","",INT(A10188))</f>
        <v/>
      </c>
      <c r="D10188">
        <f>IF(B10188="","",HOUR(A10188))</f>
        <v/>
      </c>
    </row>
    <row r="10189">
      <c r="A10189">
        <f>Input!A10189</f>
        <v/>
      </c>
      <c r="B10189">
        <f>IF(ISNUMBER(Input!B10189),IF(AND(Input!B10189&gt;=20,Input!B10189&lt;=700),Input!B10189,""),"")</f>
        <v/>
      </c>
      <c r="C10189">
        <f>IF(B10189="","",INT(A10189))</f>
        <v/>
      </c>
      <c r="D10189">
        <f>IF(B10189="","",HOUR(A10189))</f>
        <v/>
      </c>
    </row>
    <row r="10190">
      <c r="A10190">
        <f>Input!A10190</f>
        <v/>
      </c>
      <c r="B10190">
        <f>IF(ISNUMBER(Input!B10190),IF(AND(Input!B10190&gt;=20,Input!B10190&lt;=700),Input!B10190,""),"")</f>
        <v/>
      </c>
      <c r="C10190">
        <f>IF(B10190="","",INT(A10190))</f>
        <v/>
      </c>
      <c r="D10190">
        <f>IF(B10190="","",HOUR(A10190))</f>
        <v/>
      </c>
    </row>
    <row r="10191">
      <c r="A10191">
        <f>Input!A10191</f>
        <v/>
      </c>
      <c r="B10191">
        <f>IF(ISNUMBER(Input!B10191),IF(AND(Input!B10191&gt;=20,Input!B10191&lt;=700),Input!B10191,""),"")</f>
        <v/>
      </c>
      <c r="C10191">
        <f>IF(B10191="","",INT(A10191))</f>
        <v/>
      </c>
      <c r="D10191">
        <f>IF(B10191="","",HOUR(A10191))</f>
        <v/>
      </c>
    </row>
    <row r="10192">
      <c r="A10192">
        <f>Input!A10192</f>
        <v/>
      </c>
      <c r="B10192">
        <f>IF(ISNUMBER(Input!B10192),IF(AND(Input!B10192&gt;=20,Input!B10192&lt;=700),Input!B10192,""),"")</f>
        <v/>
      </c>
      <c r="C10192">
        <f>IF(B10192="","",INT(A10192))</f>
        <v/>
      </c>
      <c r="D10192">
        <f>IF(B10192="","",HOUR(A10192))</f>
        <v/>
      </c>
    </row>
    <row r="10193">
      <c r="A10193">
        <f>Input!A10193</f>
        <v/>
      </c>
      <c r="B10193">
        <f>IF(ISNUMBER(Input!B10193),IF(AND(Input!B10193&gt;=20,Input!B10193&lt;=700),Input!B10193,""),"")</f>
        <v/>
      </c>
      <c r="C10193">
        <f>IF(B10193="","",INT(A10193))</f>
        <v/>
      </c>
      <c r="D10193">
        <f>IF(B10193="","",HOUR(A10193))</f>
        <v/>
      </c>
    </row>
    <row r="10194">
      <c r="A10194">
        <f>Input!A10194</f>
        <v/>
      </c>
      <c r="B10194">
        <f>IF(ISNUMBER(Input!B10194),IF(AND(Input!B10194&gt;=20,Input!B10194&lt;=700),Input!B10194,""),"")</f>
        <v/>
      </c>
      <c r="C10194">
        <f>IF(B10194="","",INT(A10194))</f>
        <v/>
      </c>
      <c r="D10194">
        <f>IF(B10194="","",HOUR(A10194))</f>
        <v/>
      </c>
    </row>
    <row r="10195">
      <c r="A10195">
        <f>Input!A10195</f>
        <v/>
      </c>
      <c r="B10195">
        <f>IF(ISNUMBER(Input!B10195),IF(AND(Input!B10195&gt;=20,Input!B10195&lt;=700),Input!B10195,""),"")</f>
        <v/>
      </c>
      <c r="C10195">
        <f>IF(B10195="","",INT(A10195))</f>
        <v/>
      </c>
      <c r="D10195">
        <f>IF(B10195="","",HOUR(A10195))</f>
        <v/>
      </c>
    </row>
    <row r="10196">
      <c r="A10196">
        <f>Input!A10196</f>
        <v/>
      </c>
      <c r="B10196">
        <f>IF(ISNUMBER(Input!B10196),IF(AND(Input!B10196&gt;=20,Input!B10196&lt;=700),Input!B10196,""),"")</f>
        <v/>
      </c>
      <c r="C10196">
        <f>IF(B10196="","",INT(A10196))</f>
        <v/>
      </c>
      <c r="D10196">
        <f>IF(B10196="","",HOUR(A10196))</f>
        <v/>
      </c>
    </row>
    <row r="10197">
      <c r="A10197">
        <f>Input!A10197</f>
        <v/>
      </c>
      <c r="B10197">
        <f>IF(ISNUMBER(Input!B10197),IF(AND(Input!B10197&gt;=20,Input!B10197&lt;=700),Input!B10197,""),"")</f>
        <v/>
      </c>
      <c r="C10197">
        <f>IF(B10197="","",INT(A10197))</f>
        <v/>
      </c>
      <c r="D10197">
        <f>IF(B10197="","",HOUR(A10197))</f>
        <v/>
      </c>
    </row>
    <row r="10198">
      <c r="A10198">
        <f>Input!A10198</f>
        <v/>
      </c>
      <c r="B10198">
        <f>IF(ISNUMBER(Input!B10198),IF(AND(Input!B10198&gt;=20,Input!B10198&lt;=700),Input!B10198,""),"")</f>
        <v/>
      </c>
      <c r="C10198">
        <f>IF(B10198="","",INT(A10198))</f>
        <v/>
      </c>
      <c r="D10198">
        <f>IF(B10198="","",HOUR(A10198))</f>
        <v/>
      </c>
    </row>
    <row r="10199">
      <c r="A10199">
        <f>Input!A10199</f>
        <v/>
      </c>
      <c r="B10199">
        <f>IF(ISNUMBER(Input!B10199),IF(AND(Input!B10199&gt;=20,Input!B10199&lt;=700),Input!B10199,""),"")</f>
        <v/>
      </c>
      <c r="C10199">
        <f>IF(B10199="","",INT(A10199))</f>
        <v/>
      </c>
      <c r="D10199">
        <f>IF(B10199="","",HOUR(A10199))</f>
        <v/>
      </c>
    </row>
    <row r="10200">
      <c r="A10200">
        <f>Input!A10200</f>
        <v/>
      </c>
      <c r="B10200">
        <f>IF(ISNUMBER(Input!B10200),IF(AND(Input!B10200&gt;=20,Input!B10200&lt;=700),Input!B10200,""),"")</f>
        <v/>
      </c>
      <c r="C10200">
        <f>IF(B10200="","",INT(A10200))</f>
        <v/>
      </c>
      <c r="D10200">
        <f>IF(B10200="","",HOUR(A10200))</f>
        <v/>
      </c>
    </row>
    <row r="10201">
      <c r="A10201">
        <f>Input!A10201</f>
        <v/>
      </c>
      <c r="B10201">
        <f>IF(ISNUMBER(Input!B10201),IF(AND(Input!B10201&gt;=20,Input!B10201&lt;=700),Input!B10201,""),"")</f>
        <v/>
      </c>
      <c r="C10201">
        <f>IF(B10201="","",INT(A10201))</f>
        <v/>
      </c>
      <c r="D10201">
        <f>IF(B10201="","",HOUR(A10201))</f>
        <v/>
      </c>
    </row>
    <row r="10202">
      <c r="A10202">
        <f>Input!A10202</f>
        <v/>
      </c>
      <c r="B10202">
        <f>IF(ISNUMBER(Input!B10202),IF(AND(Input!B10202&gt;=20,Input!B10202&lt;=700),Input!B10202,""),"")</f>
        <v/>
      </c>
      <c r="C10202">
        <f>IF(B10202="","",INT(A10202))</f>
        <v/>
      </c>
      <c r="D10202">
        <f>IF(B10202="","",HOUR(A10202))</f>
        <v/>
      </c>
    </row>
    <row r="10203">
      <c r="A10203">
        <f>Input!A10203</f>
        <v/>
      </c>
      <c r="B10203">
        <f>IF(ISNUMBER(Input!B10203),IF(AND(Input!B10203&gt;=20,Input!B10203&lt;=700),Input!B10203,""),"")</f>
        <v/>
      </c>
      <c r="C10203">
        <f>IF(B10203="","",INT(A10203))</f>
        <v/>
      </c>
      <c r="D10203">
        <f>IF(B10203="","",HOUR(A10203))</f>
        <v/>
      </c>
    </row>
    <row r="10204">
      <c r="A10204">
        <f>Input!A10204</f>
        <v/>
      </c>
      <c r="B10204">
        <f>IF(ISNUMBER(Input!B10204),IF(AND(Input!B10204&gt;=20,Input!B10204&lt;=700),Input!B10204,""),"")</f>
        <v/>
      </c>
      <c r="C10204">
        <f>IF(B10204="","",INT(A10204))</f>
        <v/>
      </c>
      <c r="D10204">
        <f>IF(B10204="","",HOUR(A10204))</f>
        <v/>
      </c>
    </row>
    <row r="10205">
      <c r="A10205">
        <f>Input!A10205</f>
        <v/>
      </c>
      <c r="B10205">
        <f>IF(ISNUMBER(Input!B10205),IF(AND(Input!B10205&gt;=20,Input!B10205&lt;=700),Input!B10205,""),"")</f>
        <v/>
      </c>
      <c r="C10205">
        <f>IF(B10205="","",INT(A10205))</f>
        <v/>
      </c>
      <c r="D10205">
        <f>IF(B10205="","",HOUR(A10205))</f>
        <v/>
      </c>
    </row>
    <row r="10206">
      <c r="A10206">
        <f>Input!A10206</f>
        <v/>
      </c>
      <c r="B10206">
        <f>IF(ISNUMBER(Input!B10206),IF(AND(Input!B10206&gt;=20,Input!B10206&lt;=700),Input!B10206,""),"")</f>
        <v/>
      </c>
      <c r="C10206">
        <f>IF(B10206="","",INT(A10206))</f>
        <v/>
      </c>
      <c r="D10206">
        <f>IF(B10206="","",HOUR(A10206))</f>
        <v/>
      </c>
    </row>
    <row r="10207">
      <c r="A10207">
        <f>Input!A10207</f>
        <v/>
      </c>
      <c r="B10207">
        <f>IF(ISNUMBER(Input!B10207),IF(AND(Input!B10207&gt;=20,Input!B10207&lt;=700),Input!B10207,""),"")</f>
        <v/>
      </c>
      <c r="C10207">
        <f>IF(B10207="","",INT(A10207))</f>
        <v/>
      </c>
      <c r="D10207">
        <f>IF(B10207="","",HOUR(A10207))</f>
        <v/>
      </c>
    </row>
    <row r="10208">
      <c r="A10208">
        <f>Input!A10208</f>
        <v/>
      </c>
      <c r="B10208">
        <f>IF(ISNUMBER(Input!B10208),IF(AND(Input!B10208&gt;=20,Input!B10208&lt;=700),Input!B10208,""),"")</f>
        <v/>
      </c>
      <c r="C10208">
        <f>IF(B10208="","",INT(A10208))</f>
        <v/>
      </c>
      <c r="D10208">
        <f>IF(B10208="","",HOUR(A10208))</f>
        <v/>
      </c>
    </row>
    <row r="10209">
      <c r="A10209">
        <f>Input!A10209</f>
        <v/>
      </c>
      <c r="B10209">
        <f>IF(ISNUMBER(Input!B10209),IF(AND(Input!B10209&gt;=20,Input!B10209&lt;=700),Input!B10209,""),"")</f>
        <v/>
      </c>
      <c r="C10209">
        <f>IF(B10209="","",INT(A10209))</f>
        <v/>
      </c>
      <c r="D10209">
        <f>IF(B10209="","",HOUR(A10209))</f>
        <v/>
      </c>
    </row>
    <row r="10210">
      <c r="A10210">
        <f>Input!A10210</f>
        <v/>
      </c>
      <c r="B10210">
        <f>IF(ISNUMBER(Input!B10210),IF(AND(Input!B10210&gt;=20,Input!B10210&lt;=700),Input!B10210,""),"")</f>
        <v/>
      </c>
      <c r="C10210">
        <f>IF(B10210="","",INT(A10210))</f>
        <v/>
      </c>
      <c r="D10210">
        <f>IF(B10210="","",HOUR(A10210))</f>
        <v/>
      </c>
    </row>
    <row r="10211">
      <c r="A10211">
        <f>Input!A10211</f>
        <v/>
      </c>
      <c r="B10211">
        <f>IF(ISNUMBER(Input!B10211),IF(AND(Input!B10211&gt;=20,Input!B10211&lt;=700),Input!B10211,""),"")</f>
        <v/>
      </c>
      <c r="C10211">
        <f>IF(B10211="","",INT(A10211))</f>
        <v/>
      </c>
      <c r="D10211">
        <f>IF(B10211="","",HOUR(A10211))</f>
        <v/>
      </c>
    </row>
    <row r="10212">
      <c r="A10212">
        <f>Input!A10212</f>
        <v/>
      </c>
      <c r="B10212">
        <f>IF(ISNUMBER(Input!B10212),IF(AND(Input!B10212&gt;=20,Input!B10212&lt;=700),Input!B10212,""),"")</f>
        <v/>
      </c>
      <c r="C10212">
        <f>IF(B10212="","",INT(A10212))</f>
        <v/>
      </c>
      <c r="D10212">
        <f>IF(B10212="","",HOUR(A10212))</f>
        <v/>
      </c>
    </row>
    <row r="10213">
      <c r="A10213">
        <f>Input!A10213</f>
        <v/>
      </c>
      <c r="B10213">
        <f>IF(ISNUMBER(Input!B10213),IF(AND(Input!B10213&gt;=20,Input!B10213&lt;=700),Input!B10213,""),"")</f>
        <v/>
      </c>
      <c r="C10213">
        <f>IF(B10213="","",INT(A10213))</f>
        <v/>
      </c>
      <c r="D10213">
        <f>IF(B10213="","",HOUR(A10213))</f>
        <v/>
      </c>
    </row>
    <row r="10214">
      <c r="A10214">
        <f>Input!A10214</f>
        <v/>
      </c>
      <c r="B10214">
        <f>IF(ISNUMBER(Input!B10214),IF(AND(Input!B10214&gt;=20,Input!B10214&lt;=700),Input!B10214,""),"")</f>
        <v/>
      </c>
      <c r="C10214">
        <f>IF(B10214="","",INT(A10214))</f>
        <v/>
      </c>
      <c r="D10214">
        <f>IF(B10214="","",HOUR(A10214))</f>
        <v/>
      </c>
    </row>
    <row r="10215">
      <c r="A10215">
        <f>Input!A10215</f>
        <v/>
      </c>
      <c r="B10215">
        <f>IF(ISNUMBER(Input!B10215),IF(AND(Input!B10215&gt;=20,Input!B10215&lt;=700),Input!B10215,""),"")</f>
        <v/>
      </c>
      <c r="C10215">
        <f>IF(B10215="","",INT(A10215))</f>
        <v/>
      </c>
      <c r="D10215">
        <f>IF(B10215="","",HOUR(A10215))</f>
        <v/>
      </c>
    </row>
    <row r="10216">
      <c r="A10216">
        <f>Input!A10216</f>
        <v/>
      </c>
      <c r="B10216">
        <f>IF(ISNUMBER(Input!B10216),IF(AND(Input!B10216&gt;=20,Input!B10216&lt;=700),Input!B10216,""),"")</f>
        <v/>
      </c>
      <c r="C10216">
        <f>IF(B10216="","",INT(A10216))</f>
        <v/>
      </c>
      <c r="D10216">
        <f>IF(B10216="","",HOUR(A10216))</f>
        <v/>
      </c>
    </row>
    <row r="10217">
      <c r="A10217">
        <f>Input!A10217</f>
        <v/>
      </c>
      <c r="B10217">
        <f>IF(ISNUMBER(Input!B10217),IF(AND(Input!B10217&gt;=20,Input!B10217&lt;=700),Input!B10217,""),"")</f>
        <v/>
      </c>
      <c r="C10217">
        <f>IF(B10217="","",INT(A10217))</f>
        <v/>
      </c>
      <c r="D10217">
        <f>IF(B10217="","",HOUR(A10217))</f>
        <v/>
      </c>
    </row>
    <row r="10218">
      <c r="A10218">
        <f>Input!A10218</f>
        <v/>
      </c>
      <c r="B10218">
        <f>IF(ISNUMBER(Input!B10218),IF(AND(Input!B10218&gt;=20,Input!B10218&lt;=700),Input!B10218,""),"")</f>
        <v/>
      </c>
      <c r="C10218">
        <f>IF(B10218="","",INT(A10218))</f>
        <v/>
      </c>
      <c r="D10218">
        <f>IF(B10218="","",HOUR(A10218))</f>
        <v/>
      </c>
    </row>
    <row r="10219">
      <c r="A10219">
        <f>Input!A10219</f>
        <v/>
      </c>
      <c r="B10219">
        <f>IF(ISNUMBER(Input!B10219),IF(AND(Input!B10219&gt;=20,Input!B10219&lt;=700),Input!B10219,""),"")</f>
        <v/>
      </c>
      <c r="C10219">
        <f>IF(B10219="","",INT(A10219))</f>
        <v/>
      </c>
      <c r="D10219">
        <f>IF(B10219="","",HOUR(A10219))</f>
        <v/>
      </c>
    </row>
    <row r="10220">
      <c r="A10220">
        <f>Input!A10220</f>
        <v/>
      </c>
      <c r="B10220">
        <f>IF(ISNUMBER(Input!B10220),IF(AND(Input!B10220&gt;=20,Input!B10220&lt;=700),Input!B10220,""),"")</f>
        <v/>
      </c>
      <c r="C10220">
        <f>IF(B10220="","",INT(A10220))</f>
        <v/>
      </c>
      <c r="D10220">
        <f>IF(B10220="","",HOUR(A10220))</f>
        <v/>
      </c>
    </row>
    <row r="10221">
      <c r="A10221">
        <f>Input!A10221</f>
        <v/>
      </c>
      <c r="B10221">
        <f>IF(ISNUMBER(Input!B10221),IF(AND(Input!B10221&gt;=20,Input!B10221&lt;=700),Input!B10221,""),"")</f>
        <v/>
      </c>
      <c r="C10221">
        <f>IF(B10221="","",INT(A10221))</f>
        <v/>
      </c>
      <c r="D10221">
        <f>IF(B10221="","",HOUR(A10221))</f>
        <v/>
      </c>
    </row>
    <row r="10222">
      <c r="A10222">
        <f>Input!A10222</f>
        <v/>
      </c>
      <c r="B10222">
        <f>IF(ISNUMBER(Input!B10222),IF(AND(Input!B10222&gt;=20,Input!B10222&lt;=700),Input!B10222,""),"")</f>
        <v/>
      </c>
      <c r="C10222">
        <f>IF(B10222="","",INT(A10222))</f>
        <v/>
      </c>
      <c r="D10222">
        <f>IF(B10222="","",HOUR(A10222))</f>
        <v/>
      </c>
    </row>
    <row r="10223">
      <c r="A10223">
        <f>Input!A10223</f>
        <v/>
      </c>
      <c r="B10223">
        <f>IF(ISNUMBER(Input!B10223),IF(AND(Input!B10223&gt;=20,Input!B10223&lt;=700),Input!B10223,""),"")</f>
        <v/>
      </c>
      <c r="C10223">
        <f>IF(B10223="","",INT(A10223))</f>
        <v/>
      </c>
      <c r="D10223">
        <f>IF(B10223="","",HOUR(A10223))</f>
        <v/>
      </c>
    </row>
    <row r="10224">
      <c r="A10224">
        <f>Input!A10224</f>
        <v/>
      </c>
      <c r="B10224">
        <f>IF(ISNUMBER(Input!B10224),IF(AND(Input!B10224&gt;=20,Input!B10224&lt;=700),Input!B10224,""),"")</f>
        <v/>
      </c>
      <c r="C10224">
        <f>IF(B10224="","",INT(A10224))</f>
        <v/>
      </c>
      <c r="D10224">
        <f>IF(B10224="","",HOUR(A10224))</f>
        <v/>
      </c>
    </row>
    <row r="10225">
      <c r="A10225">
        <f>Input!A10225</f>
        <v/>
      </c>
      <c r="B10225">
        <f>IF(ISNUMBER(Input!B10225),IF(AND(Input!B10225&gt;=20,Input!B10225&lt;=700),Input!B10225,""),"")</f>
        <v/>
      </c>
      <c r="C10225">
        <f>IF(B10225="","",INT(A10225))</f>
        <v/>
      </c>
      <c r="D10225">
        <f>IF(B10225="","",HOUR(A10225))</f>
        <v/>
      </c>
    </row>
    <row r="10226">
      <c r="A10226">
        <f>Input!A10226</f>
        <v/>
      </c>
      <c r="B10226">
        <f>IF(ISNUMBER(Input!B10226),IF(AND(Input!B10226&gt;=20,Input!B10226&lt;=700),Input!B10226,""),"")</f>
        <v/>
      </c>
      <c r="C10226">
        <f>IF(B10226="","",INT(A10226))</f>
        <v/>
      </c>
      <c r="D10226">
        <f>IF(B10226="","",HOUR(A10226))</f>
        <v/>
      </c>
    </row>
    <row r="10227">
      <c r="A10227">
        <f>Input!A10227</f>
        <v/>
      </c>
      <c r="B10227">
        <f>IF(ISNUMBER(Input!B10227),IF(AND(Input!B10227&gt;=20,Input!B10227&lt;=700),Input!B10227,""),"")</f>
        <v/>
      </c>
      <c r="C10227">
        <f>IF(B10227="","",INT(A10227))</f>
        <v/>
      </c>
      <c r="D10227">
        <f>IF(B10227="","",HOUR(A10227))</f>
        <v/>
      </c>
    </row>
    <row r="10228">
      <c r="A10228">
        <f>Input!A10228</f>
        <v/>
      </c>
      <c r="B10228">
        <f>IF(ISNUMBER(Input!B10228),IF(AND(Input!B10228&gt;=20,Input!B10228&lt;=700),Input!B10228,""),"")</f>
        <v/>
      </c>
      <c r="C10228">
        <f>IF(B10228="","",INT(A10228))</f>
        <v/>
      </c>
      <c r="D10228">
        <f>IF(B10228="","",HOUR(A10228))</f>
        <v/>
      </c>
    </row>
    <row r="10229">
      <c r="A10229">
        <f>Input!A10229</f>
        <v/>
      </c>
      <c r="B10229">
        <f>IF(ISNUMBER(Input!B10229),IF(AND(Input!B10229&gt;=20,Input!B10229&lt;=700),Input!B10229,""),"")</f>
        <v/>
      </c>
      <c r="C10229">
        <f>IF(B10229="","",INT(A10229))</f>
        <v/>
      </c>
      <c r="D10229">
        <f>IF(B10229="","",HOUR(A10229))</f>
        <v/>
      </c>
    </row>
    <row r="10230">
      <c r="A10230">
        <f>Input!A10230</f>
        <v/>
      </c>
      <c r="B10230">
        <f>IF(ISNUMBER(Input!B10230),IF(AND(Input!B10230&gt;=20,Input!B10230&lt;=700),Input!B10230,""),"")</f>
        <v/>
      </c>
      <c r="C10230">
        <f>IF(B10230="","",INT(A10230))</f>
        <v/>
      </c>
      <c r="D10230">
        <f>IF(B10230="","",HOUR(A10230))</f>
        <v/>
      </c>
    </row>
    <row r="10231">
      <c r="A10231">
        <f>Input!A10231</f>
        <v/>
      </c>
      <c r="B10231">
        <f>IF(ISNUMBER(Input!B10231),IF(AND(Input!B10231&gt;=20,Input!B10231&lt;=700),Input!B10231,""),"")</f>
        <v/>
      </c>
      <c r="C10231">
        <f>IF(B10231="","",INT(A10231))</f>
        <v/>
      </c>
      <c r="D10231">
        <f>IF(B10231="","",HOUR(A10231))</f>
        <v/>
      </c>
    </row>
    <row r="10232">
      <c r="A10232">
        <f>Input!A10232</f>
        <v/>
      </c>
      <c r="B10232">
        <f>IF(ISNUMBER(Input!B10232),IF(AND(Input!B10232&gt;=20,Input!B10232&lt;=700),Input!B10232,""),"")</f>
        <v/>
      </c>
      <c r="C10232">
        <f>IF(B10232="","",INT(A10232))</f>
        <v/>
      </c>
      <c r="D10232">
        <f>IF(B10232="","",HOUR(A10232))</f>
        <v/>
      </c>
    </row>
    <row r="10233">
      <c r="A10233">
        <f>Input!A10233</f>
        <v/>
      </c>
      <c r="B10233">
        <f>IF(ISNUMBER(Input!B10233),IF(AND(Input!B10233&gt;=20,Input!B10233&lt;=700),Input!B10233,""),"")</f>
        <v/>
      </c>
      <c r="C10233">
        <f>IF(B10233="","",INT(A10233))</f>
        <v/>
      </c>
      <c r="D10233">
        <f>IF(B10233="","",HOUR(A10233))</f>
        <v/>
      </c>
    </row>
    <row r="10234">
      <c r="A10234">
        <f>Input!A10234</f>
        <v/>
      </c>
      <c r="B10234">
        <f>IF(ISNUMBER(Input!B10234),IF(AND(Input!B10234&gt;=20,Input!B10234&lt;=700),Input!B10234,""),"")</f>
        <v/>
      </c>
      <c r="C10234">
        <f>IF(B10234="","",INT(A10234))</f>
        <v/>
      </c>
      <c r="D10234">
        <f>IF(B10234="","",HOUR(A10234))</f>
        <v/>
      </c>
    </row>
    <row r="10235">
      <c r="A10235">
        <f>Input!A10235</f>
        <v/>
      </c>
      <c r="B10235">
        <f>IF(ISNUMBER(Input!B10235),IF(AND(Input!B10235&gt;=20,Input!B10235&lt;=700),Input!B10235,""),"")</f>
        <v/>
      </c>
      <c r="C10235">
        <f>IF(B10235="","",INT(A10235))</f>
        <v/>
      </c>
      <c r="D10235">
        <f>IF(B10235="","",HOUR(A10235))</f>
        <v/>
      </c>
    </row>
    <row r="10236">
      <c r="A10236">
        <f>Input!A10236</f>
        <v/>
      </c>
      <c r="B10236">
        <f>IF(ISNUMBER(Input!B10236),IF(AND(Input!B10236&gt;=20,Input!B10236&lt;=700),Input!B10236,""),"")</f>
        <v/>
      </c>
      <c r="C10236">
        <f>IF(B10236="","",INT(A10236))</f>
        <v/>
      </c>
      <c r="D10236">
        <f>IF(B10236="","",HOUR(A10236))</f>
        <v/>
      </c>
    </row>
    <row r="10237">
      <c r="A10237">
        <f>Input!A10237</f>
        <v/>
      </c>
      <c r="B10237">
        <f>IF(ISNUMBER(Input!B10237),IF(AND(Input!B10237&gt;=20,Input!B10237&lt;=700),Input!B10237,""),"")</f>
        <v/>
      </c>
      <c r="C10237">
        <f>IF(B10237="","",INT(A10237))</f>
        <v/>
      </c>
      <c r="D10237">
        <f>IF(B10237="","",HOUR(A10237))</f>
        <v/>
      </c>
    </row>
    <row r="10238">
      <c r="A10238">
        <f>Input!A10238</f>
        <v/>
      </c>
      <c r="B10238">
        <f>IF(ISNUMBER(Input!B10238),IF(AND(Input!B10238&gt;=20,Input!B10238&lt;=700),Input!B10238,""),"")</f>
        <v/>
      </c>
      <c r="C10238">
        <f>IF(B10238="","",INT(A10238))</f>
        <v/>
      </c>
      <c r="D10238">
        <f>IF(B10238="","",HOUR(A10238))</f>
        <v/>
      </c>
    </row>
    <row r="10239">
      <c r="A10239">
        <f>Input!A10239</f>
        <v/>
      </c>
      <c r="B10239">
        <f>IF(ISNUMBER(Input!B10239),IF(AND(Input!B10239&gt;=20,Input!B10239&lt;=700),Input!B10239,""),"")</f>
        <v/>
      </c>
      <c r="C10239">
        <f>IF(B10239="","",INT(A10239))</f>
        <v/>
      </c>
      <c r="D10239">
        <f>IF(B10239="","",HOUR(A10239))</f>
        <v/>
      </c>
    </row>
    <row r="10240">
      <c r="A10240">
        <f>Input!A10240</f>
        <v/>
      </c>
      <c r="B10240">
        <f>IF(ISNUMBER(Input!B10240),IF(AND(Input!B10240&gt;=20,Input!B10240&lt;=700),Input!B10240,""),"")</f>
        <v/>
      </c>
      <c r="C10240">
        <f>IF(B10240="","",INT(A10240))</f>
        <v/>
      </c>
      <c r="D10240">
        <f>IF(B10240="","",HOUR(A10240))</f>
        <v/>
      </c>
    </row>
    <row r="10241">
      <c r="A10241">
        <f>Input!A10241</f>
        <v/>
      </c>
      <c r="B10241">
        <f>IF(ISNUMBER(Input!B10241),IF(AND(Input!B10241&gt;=20,Input!B10241&lt;=700),Input!B10241,""),"")</f>
        <v/>
      </c>
      <c r="C10241">
        <f>IF(B10241="","",INT(A10241))</f>
        <v/>
      </c>
      <c r="D10241">
        <f>IF(B10241="","",HOUR(A10241))</f>
        <v/>
      </c>
    </row>
    <row r="10242">
      <c r="A10242">
        <f>Input!A10242</f>
        <v/>
      </c>
      <c r="B10242">
        <f>IF(ISNUMBER(Input!B10242),IF(AND(Input!B10242&gt;=20,Input!B10242&lt;=700),Input!B10242,""),"")</f>
        <v/>
      </c>
      <c r="C10242">
        <f>IF(B10242="","",INT(A10242))</f>
        <v/>
      </c>
      <c r="D10242">
        <f>IF(B10242="","",HOUR(A10242))</f>
        <v/>
      </c>
    </row>
    <row r="10243">
      <c r="A10243">
        <f>Input!A10243</f>
        <v/>
      </c>
      <c r="B10243">
        <f>IF(ISNUMBER(Input!B10243),IF(AND(Input!B10243&gt;=20,Input!B10243&lt;=700),Input!B10243,""),"")</f>
        <v/>
      </c>
      <c r="C10243">
        <f>IF(B10243="","",INT(A10243))</f>
        <v/>
      </c>
      <c r="D10243">
        <f>IF(B10243="","",HOUR(A10243))</f>
        <v/>
      </c>
    </row>
    <row r="10244">
      <c r="A10244">
        <f>Input!A10244</f>
        <v/>
      </c>
      <c r="B10244">
        <f>IF(ISNUMBER(Input!B10244),IF(AND(Input!B10244&gt;=20,Input!B10244&lt;=700),Input!B10244,""),"")</f>
        <v/>
      </c>
      <c r="C10244">
        <f>IF(B10244="","",INT(A10244))</f>
        <v/>
      </c>
      <c r="D10244">
        <f>IF(B10244="","",HOUR(A10244))</f>
        <v/>
      </c>
    </row>
    <row r="10245">
      <c r="A10245">
        <f>Input!A10245</f>
        <v/>
      </c>
      <c r="B10245">
        <f>IF(ISNUMBER(Input!B10245),IF(AND(Input!B10245&gt;=20,Input!B10245&lt;=700),Input!B10245,""),"")</f>
        <v/>
      </c>
      <c r="C10245">
        <f>IF(B10245="","",INT(A10245))</f>
        <v/>
      </c>
      <c r="D10245">
        <f>IF(B10245="","",HOUR(A10245))</f>
        <v/>
      </c>
    </row>
    <row r="10246">
      <c r="A10246">
        <f>Input!A10246</f>
        <v/>
      </c>
      <c r="B10246">
        <f>IF(ISNUMBER(Input!B10246),IF(AND(Input!B10246&gt;=20,Input!B10246&lt;=700),Input!B10246,""),"")</f>
        <v/>
      </c>
      <c r="C10246">
        <f>IF(B10246="","",INT(A10246))</f>
        <v/>
      </c>
      <c r="D10246">
        <f>IF(B10246="","",HOUR(A10246))</f>
        <v/>
      </c>
    </row>
    <row r="10247">
      <c r="A10247">
        <f>Input!A10247</f>
        <v/>
      </c>
      <c r="B10247">
        <f>IF(ISNUMBER(Input!B10247),IF(AND(Input!B10247&gt;=20,Input!B10247&lt;=700),Input!B10247,""),"")</f>
        <v/>
      </c>
      <c r="C10247">
        <f>IF(B10247="","",INT(A10247))</f>
        <v/>
      </c>
      <c r="D10247">
        <f>IF(B10247="","",HOUR(A10247))</f>
        <v/>
      </c>
    </row>
    <row r="10248">
      <c r="A10248">
        <f>Input!A10248</f>
        <v/>
      </c>
      <c r="B10248">
        <f>IF(ISNUMBER(Input!B10248),IF(AND(Input!B10248&gt;=20,Input!B10248&lt;=700),Input!B10248,""),"")</f>
        <v/>
      </c>
      <c r="C10248">
        <f>IF(B10248="","",INT(A10248))</f>
        <v/>
      </c>
      <c r="D10248">
        <f>IF(B10248="","",HOUR(A10248))</f>
        <v/>
      </c>
    </row>
    <row r="10249">
      <c r="A10249">
        <f>Input!A10249</f>
        <v/>
      </c>
      <c r="B10249">
        <f>IF(ISNUMBER(Input!B10249),IF(AND(Input!B10249&gt;=20,Input!B10249&lt;=700),Input!B10249,""),"")</f>
        <v/>
      </c>
      <c r="C10249">
        <f>IF(B10249="","",INT(A10249))</f>
        <v/>
      </c>
      <c r="D10249">
        <f>IF(B10249="","",HOUR(A10249))</f>
        <v/>
      </c>
    </row>
    <row r="10250">
      <c r="A10250">
        <f>Input!A10250</f>
        <v/>
      </c>
      <c r="B10250">
        <f>IF(ISNUMBER(Input!B10250),IF(AND(Input!B10250&gt;=20,Input!B10250&lt;=700),Input!B10250,""),"")</f>
        <v/>
      </c>
      <c r="C10250">
        <f>IF(B10250="","",INT(A10250))</f>
        <v/>
      </c>
      <c r="D10250">
        <f>IF(B10250="","",HOUR(A10250))</f>
        <v/>
      </c>
    </row>
    <row r="10251">
      <c r="A10251">
        <f>Input!A10251</f>
        <v/>
      </c>
      <c r="B10251">
        <f>IF(ISNUMBER(Input!B10251),IF(AND(Input!B10251&gt;=20,Input!B10251&lt;=700),Input!B10251,""),"")</f>
        <v/>
      </c>
      <c r="C10251">
        <f>IF(B10251="","",INT(A10251))</f>
        <v/>
      </c>
      <c r="D10251">
        <f>IF(B10251="","",HOUR(A10251))</f>
        <v/>
      </c>
    </row>
    <row r="10252">
      <c r="A10252">
        <f>Input!A10252</f>
        <v/>
      </c>
      <c r="B10252">
        <f>IF(ISNUMBER(Input!B10252),IF(AND(Input!B10252&gt;=20,Input!B10252&lt;=700),Input!B10252,""),"")</f>
        <v/>
      </c>
      <c r="C10252">
        <f>IF(B10252="","",INT(A10252))</f>
        <v/>
      </c>
      <c r="D10252">
        <f>IF(B10252="","",HOUR(A10252))</f>
        <v/>
      </c>
    </row>
    <row r="10253">
      <c r="A10253">
        <f>Input!A10253</f>
        <v/>
      </c>
      <c r="B10253">
        <f>IF(ISNUMBER(Input!B10253),IF(AND(Input!B10253&gt;=20,Input!B10253&lt;=700),Input!B10253,""),"")</f>
        <v/>
      </c>
      <c r="C10253">
        <f>IF(B10253="","",INT(A10253))</f>
        <v/>
      </c>
      <c r="D10253">
        <f>IF(B10253="","",HOUR(A10253))</f>
        <v/>
      </c>
    </row>
    <row r="10254">
      <c r="A10254">
        <f>Input!A10254</f>
        <v/>
      </c>
      <c r="B10254">
        <f>IF(ISNUMBER(Input!B10254),IF(AND(Input!B10254&gt;=20,Input!B10254&lt;=700),Input!B10254,""),"")</f>
        <v/>
      </c>
      <c r="C10254">
        <f>IF(B10254="","",INT(A10254))</f>
        <v/>
      </c>
      <c r="D10254">
        <f>IF(B10254="","",HOUR(A10254))</f>
        <v/>
      </c>
    </row>
    <row r="10255">
      <c r="A10255">
        <f>Input!A10255</f>
        <v/>
      </c>
      <c r="B10255">
        <f>IF(ISNUMBER(Input!B10255),IF(AND(Input!B10255&gt;=20,Input!B10255&lt;=700),Input!B10255,""),"")</f>
        <v/>
      </c>
      <c r="C10255">
        <f>IF(B10255="","",INT(A10255))</f>
        <v/>
      </c>
      <c r="D10255">
        <f>IF(B10255="","",HOUR(A10255))</f>
        <v/>
      </c>
    </row>
    <row r="10256">
      <c r="A10256">
        <f>Input!A10256</f>
        <v/>
      </c>
      <c r="B10256">
        <f>IF(ISNUMBER(Input!B10256),IF(AND(Input!B10256&gt;=20,Input!B10256&lt;=700),Input!B10256,""),"")</f>
        <v/>
      </c>
      <c r="C10256">
        <f>IF(B10256="","",INT(A10256))</f>
        <v/>
      </c>
      <c r="D10256">
        <f>IF(B10256="","",HOUR(A10256))</f>
        <v/>
      </c>
    </row>
    <row r="10257">
      <c r="A10257">
        <f>Input!A10257</f>
        <v/>
      </c>
      <c r="B10257">
        <f>IF(ISNUMBER(Input!B10257),IF(AND(Input!B10257&gt;=20,Input!B10257&lt;=700),Input!B10257,""),"")</f>
        <v/>
      </c>
      <c r="C10257">
        <f>IF(B10257="","",INT(A10257))</f>
        <v/>
      </c>
      <c r="D10257">
        <f>IF(B10257="","",HOUR(A10257))</f>
        <v/>
      </c>
    </row>
    <row r="10258">
      <c r="A10258">
        <f>Input!A10258</f>
        <v/>
      </c>
      <c r="B10258">
        <f>IF(ISNUMBER(Input!B10258),IF(AND(Input!B10258&gt;=20,Input!B10258&lt;=700),Input!B10258,""),"")</f>
        <v/>
      </c>
      <c r="C10258">
        <f>IF(B10258="","",INT(A10258))</f>
        <v/>
      </c>
      <c r="D10258">
        <f>IF(B10258="","",HOUR(A10258))</f>
        <v/>
      </c>
    </row>
    <row r="10259">
      <c r="A10259">
        <f>Input!A10259</f>
        <v/>
      </c>
      <c r="B10259">
        <f>IF(ISNUMBER(Input!B10259),IF(AND(Input!B10259&gt;=20,Input!B10259&lt;=700),Input!B10259,""),"")</f>
        <v/>
      </c>
      <c r="C10259">
        <f>IF(B10259="","",INT(A10259))</f>
        <v/>
      </c>
      <c r="D10259">
        <f>IF(B10259="","",HOUR(A10259))</f>
        <v/>
      </c>
    </row>
    <row r="10260">
      <c r="A10260">
        <f>Input!A10260</f>
        <v/>
      </c>
      <c r="B10260">
        <f>IF(ISNUMBER(Input!B10260),IF(AND(Input!B10260&gt;=20,Input!B10260&lt;=700),Input!B10260,""),"")</f>
        <v/>
      </c>
      <c r="C10260">
        <f>IF(B10260="","",INT(A10260))</f>
        <v/>
      </c>
      <c r="D10260">
        <f>IF(B10260="","",HOUR(A10260))</f>
        <v/>
      </c>
    </row>
    <row r="10261">
      <c r="A10261">
        <f>Input!A10261</f>
        <v/>
      </c>
      <c r="B10261">
        <f>IF(ISNUMBER(Input!B10261),IF(AND(Input!B10261&gt;=20,Input!B10261&lt;=700),Input!B10261,""),"")</f>
        <v/>
      </c>
      <c r="C10261">
        <f>IF(B10261="","",INT(A10261))</f>
        <v/>
      </c>
      <c r="D10261">
        <f>IF(B10261="","",HOUR(A10261))</f>
        <v/>
      </c>
    </row>
    <row r="10262">
      <c r="A10262">
        <f>Input!A10262</f>
        <v/>
      </c>
      <c r="B10262">
        <f>IF(ISNUMBER(Input!B10262),IF(AND(Input!B10262&gt;=20,Input!B10262&lt;=700),Input!B10262,""),"")</f>
        <v/>
      </c>
      <c r="C10262">
        <f>IF(B10262="","",INT(A10262))</f>
        <v/>
      </c>
      <c r="D10262">
        <f>IF(B10262="","",HOUR(A10262))</f>
        <v/>
      </c>
    </row>
    <row r="10263">
      <c r="A10263">
        <f>Input!A10263</f>
        <v/>
      </c>
      <c r="B10263">
        <f>IF(ISNUMBER(Input!B10263),IF(AND(Input!B10263&gt;=20,Input!B10263&lt;=700),Input!B10263,""),"")</f>
        <v/>
      </c>
      <c r="C10263">
        <f>IF(B10263="","",INT(A10263))</f>
        <v/>
      </c>
      <c r="D10263">
        <f>IF(B10263="","",HOUR(A10263))</f>
        <v/>
      </c>
    </row>
    <row r="10264">
      <c r="A10264">
        <f>Input!A10264</f>
        <v/>
      </c>
      <c r="B10264">
        <f>IF(ISNUMBER(Input!B10264),IF(AND(Input!B10264&gt;=20,Input!B10264&lt;=700),Input!B10264,""),"")</f>
        <v/>
      </c>
      <c r="C10264">
        <f>IF(B10264="","",INT(A10264))</f>
        <v/>
      </c>
      <c r="D10264">
        <f>IF(B10264="","",HOUR(A10264))</f>
        <v/>
      </c>
    </row>
    <row r="10265">
      <c r="A10265">
        <f>Input!A10265</f>
        <v/>
      </c>
      <c r="B10265">
        <f>IF(ISNUMBER(Input!B10265),IF(AND(Input!B10265&gt;=20,Input!B10265&lt;=700),Input!B10265,""),"")</f>
        <v/>
      </c>
      <c r="C10265">
        <f>IF(B10265="","",INT(A10265))</f>
        <v/>
      </c>
      <c r="D10265">
        <f>IF(B10265="","",HOUR(A10265))</f>
        <v/>
      </c>
    </row>
    <row r="10266">
      <c r="A10266">
        <f>Input!A10266</f>
        <v/>
      </c>
      <c r="B10266">
        <f>IF(ISNUMBER(Input!B10266),IF(AND(Input!B10266&gt;=20,Input!B10266&lt;=700),Input!B10266,""),"")</f>
        <v/>
      </c>
      <c r="C10266">
        <f>IF(B10266="","",INT(A10266))</f>
        <v/>
      </c>
      <c r="D10266">
        <f>IF(B10266="","",HOUR(A10266))</f>
        <v/>
      </c>
    </row>
    <row r="10267">
      <c r="A10267">
        <f>Input!A10267</f>
        <v/>
      </c>
      <c r="B10267">
        <f>IF(ISNUMBER(Input!B10267),IF(AND(Input!B10267&gt;=20,Input!B10267&lt;=700),Input!B10267,""),"")</f>
        <v/>
      </c>
      <c r="C10267">
        <f>IF(B10267="","",INT(A10267))</f>
        <v/>
      </c>
      <c r="D10267">
        <f>IF(B10267="","",HOUR(A10267))</f>
        <v/>
      </c>
    </row>
    <row r="10268">
      <c r="A10268">
        <f>Input!A10268</f>
        <v/>
      </c>
      <c r="B10268">
        <f>IF(ISNUMBER(Input!B10268),IF(AND(Input!B10268&gt;=20,Input!B10268&lt;=700),Input!B10268,""),"")</f>
        <v/>
      </c>
      <c r="C10268">
        <f>IF(B10268="","",INT(A10268))</f>
        <v/>
      </c>
      <c r="D10268">
        <f>IF(B10268="","",HOUR(A10268))</f>
        <v/>
      </c>
    </row>
    <row r="10269">
      <c r="A10269">
        <f>Input!A10269</f>
        <v/>
      </c>
      <c r="B10269">
        <f>IF(ISNUMBER(Input!B10269),IF(AND(Input!B10269&gt;=20,Input!B10269&lt;=700),Input!B10269,""),"")</f>
        <v/>
      </c>
      <c r="C10269">
        <f>IF(B10269="","",INT(A10269))</f>
        <v/>
      </c>
      <c r="D10269">
        <f>IF(B10269="","",HOUR(A10269))</f>
        <v/>
      </c>
    </row>
    <row r="10270">
      <c r="A10270">
        <f>Input!A10270</f>
        <v/>
      </c>
      <c r="B10270">
        <f>IF(ISNUMBER(Input!B10270),IF(AND(Input!B10270&gt;=20,Input!B10270&lt;=700),Input!B10270,""),"")</f>
        <v/>
      </c>
      <c r="C10270">
        <f>IF(B10270="","",INT(A10270))</f>
        <v/>
      </c>
      <c r="D10270">
        <f>IF(B10270="","",HOUR(A10270))</f>
        <v/>
      </c>
    </row>
    <row r="10271">
      <c r="A10271">
        <f>Input!A10271</f>
        <v/>
      </c>
      <c r="B10271">
        <f>IF(ISNUMBER(Input!B10271),IF(AND(Input!B10271&gt;=20,Input!B10271&lt;=700),Input!B10271,""),"")</f>
        <v/>
      </c>
      <c r="C10271">
        <f>IF(B10271="","",INT(A10271))</f>
        <v/>
      </c>
      <c r="D10271">
        <f>IF(B10271="","",HOUR(A10271))</f>
        <v/>
      </c>
    </row>
    <row r="10272">
      <c r="A10272">
        <f>Input!A10272</f>
        <v/>
      </c>
      <c r="B10272">
        <f>IF(ISNUMBER(Input!B10272),IF(AND(Input!B10272&gt;=20,Input!B10272&lt;=700),Input!B10272,""),"")</f>
        <v/>
      </c>
      <c r="C10272">
        <f>IF(B10272="","",INT(A10272))</f>
        <v/>
      </c>
      <c r="D10272">
        <f>IF(B10272="","",HOUR(A10272))</f>
        <v/>
      </c>
    </row>
    <row r="10273">
      <c r="A10273">
        <f>Input!A10273</f>
        <v/>
      </c>
      <c r="B10273">
        <f>IF(ISNUMBER(Input!B10273),IF(AND(Input!B10273&gt;=20,Input!B10273&lt;=700),Input!B10273,""),"")</f>
        <v/>
      </c>
      <c r="C10273">
        <f>IF(B10273="","",INT(A10273))</f>
        <v/>
      </c>
      <c r="D10273">
        <f>IF(B10273="","",HOUR(A10273))</f>
        <v/>
      </c>
    </row>
    <row r="10274">
      <c r="A10274">
        <f>Input!A10274</f>
        <v/>
      </c>
      <c r="B10274">
        <f>IF(ISNUMBER(Input!B10274),IF(AND(Input!B10274&gt;=20,Input!B10274&lt;=700),Input!B10274,""),"")</f>
        <v/>
      </c>
      <c r="C10274">
        <f>IF(B10274="","",INT(A10274))</f>
        <v/>
      </c>
      <c r="D10274">
        <f>IF(B10274="","",HOUR(A10274))</f>
        <v/>
      </c>
    </row>
    <row r="10275">
      <c r="A10275">
        <f>Input!A10275</f>
        <v/>
      </c>
      <c r="B10275">
        <f>IF(ISNUMBER(Input!B10275),IF(AND(Input!B10275&gt;=20,Input!B10275&lt;=700),Input!B10275,""),"")</f>
        <v/>
      </c>
      <c r="C10275">
        <f>IF(B10275="","",INT(A10275))</f>
        <v/>
      </c>
      <c r="D10275">
        <f>IF(B10275="","",HOUR(A10275))</f>
        <v/>
      </c>
    </row>
    <row r="10276">
      <c r="A10276">
        <f>Input!A10276</f>
        <v/>
      </c>
      <c r="B10276">
        <f>IF(ISNUMBER(Input!B10276),IF(AND(Input!B10276&gt;=20,Input!B10276&lt;=700),Input!B10276,""),"")</f>
        <v/>
      </c>
      <c r="C10276">
        <f>IF(B10276="","",INT(A10276))</f>
        <v/>
      </c>
      <c r="D10276">
        <f>IF(B10276="","",HOUR(A10276))</f>
        <v/>
      </c>
    </row>
    <row r="10277">
      <c r="A10277">
        <f>Input!A10277</f>
        <v/>
      </c>
      <c r="B10277">
        <f>IF(ISNUMBER(Input!B10277),IF(AND(Input!B10277&gt;=20,Input!B10277&lt;=700),Input!B10277,""),"")</f>
        <v/>
      </c>
      <c r="C10277">
        <f>IF(B10277="","",INT(A10277))</f>
        <v/>
      </c>
      <c r="D10277">
        <f>IF(B10277="","",HOUR(A10277))</f>
        <v/>
      </c>
    </row>
    <row r="10278">
      <c r="A10278">
        <f>Input!A10278</f>
        <v/>
      </c>
      <c r="B10278">
        <f>IF(ISNUMBER(Input!B10278),IF(AND(Input!B10278&gt;=20,Input!B10278&lt;=700),Input!B10278,""),"")</f>
        <v/>
      </c>
      <c r="C10278">
        <f>IF(B10278="","",INT(A10278))</f>
        <v/>
      </c>
      <c r="D10278">
        <f>IF(B10278="","",HOUR(A10278))</f>
        <v/>
      </c>
    </row>
    <row r="10279">
      <c r="A10279">
        <f>Input!A10279</f>
        <v/>
      </c>
      <c r="B10279">
        <f>IF(ISNUMBER(Input!B10279),IF(AND(Input!B10279&gt;=20,Input!B10279&lt;=700),Input!B10279,""),"")</f>
        <v/>
      </c>
      <c r="C10279">
        <f>IF(B10279="","",INT(A10279))</f>
        <v/>
      </c>
      <c r="D10279">
        <f>IF(B10279="","",HOUR(A10279))</f>
        <v/>
      </c>
    </row>
    <row r="10280">
      <c r="A10280">
        <f>Input!A10280</f>
        <v/>
      </c>
      <c r="B10280">
        <f>IF(ISNUMBER(Input!B10280),IF(AND(Input!B10280&gt;=20,Input!B10280&lt;=700),Input!B10280,""),"")</f>
        <v/>
      </c>
      <c r="C10280">
        <f>IF(B10280="","",INT(A10280))</f>
        <v/>
      </c>
      <c r="D10280">
        <f>IF(B10280="","",HOUR(A10280))</f>
        <v/>
      </c>
    </row>
    <row r="10281">
      <c r="A10281">
        <f>Input!A10281</f>
        <v/>
      </c>
      <c r="B10281">
        <f>IF(ISNUMBER(Input!B10281),IF(AND(Input!B10281&gt;=20,Input!B10281&lt;=700),Input!B10281,""),"")</f>
        <v/>
      </c>
      <c r="C10281">
        <f>IF(B10281="","",INT(A10281))</f>
        <v/>
      </c>
      <c r="D10281">
        <f>IF(B10281="","",HOUR(A10281))</f>
        <v/>
      </c>
    </row>
    <row r="10282">
      <c r="A10282">
        <f>Input!A10282</f>
        <v/>
      </c>
      <c r="B10282">
        <f>IF(ISNUMBER(Input!B10282),IF(AND(Input!B10282&gt;=20,Input!B10282&lt;=700),Input!B10282,""),"")</f>
        <v/>
      </c>
      <c r="C10282">
        <f>IF(B10282="","",INT(A10282))</f>
        <v/>
      </c>
      <c r="D10282">
        <f>IF(B10282="","",HOUR(A10282))</f>
        <v/>
      </c>
    </row>
    <row r="10283">
      <c r="A10283">
        <f>Input!A10283</f>
        <v/>
      </c>
      <c r="B10283">
        <f>IF(ISNUMBER(Input!B10283),IF(AND(Input!B10283&gt;=20,Input!B10283&lt;=700),Input!B10283,""),"")</f>
        <v/>
      </c>
      <c r="C10283">
        <f>IF(B10283="","",INT(A10283))</f>
        <v/>
      </c>
      <c r="D10283">
        <f>IF(B10283="","",HOUR(A10283))</f>
        <v/>
      </c>
    </row>
    <row r="10284">
      <c r="A10284">
        <f>Input!A10284</f>
        <v/>
      </c>
      <c r="B10284">
        <f>IF(ISNUMBER(Input!B10284),IF(AND(Input!B10284&gt;=20,Input!B10284&lt;=700),Input!B10284,""),"")</f>
        <v/>
      </c>
      <c r="C10284">
        <f>IF(B10284="","",INT(A10284))</f>
        <v/>
      </c>
      <c r="D10284">
        <f>IF(B10284="","",HOUR(A10284))</f>
        <v/>
      </c>
    </row>
    <row r="10285">
      <c r="A10285">
        <f>Input!A10285</f>
        <v/>
      </c>
      <c r="B10285">
        <f>IF(ISNUMBER(Input!B10285),IF(AND(Input!B10285&gt;=20,Input!B10285&lt;=700),Input!B10285,""),"")</f>
        <v/>
      </c>
      <c r="C10285">
        <f>IF(B10285="","",INT(A10285))</f>
        <v/>
      </c>
      <c r="D10285">
        <f>IF(B10285="","",HOUR(A10285))</f>
        <v/>
      </c>
    </row>
    <row r="10286">
      <c r="A10286">
        <f>Input!A10286</f>
        <v/>
      </c>
      <c r="B10286">
        <f>IF(ISNUMBER(Input!B10286),IF(AND(Input!B10286&gt;=20,Input!B10286&lt;=700),Input!B10286,""),"")</f>
        <v/>
      </c>
      <c r="C10286">
        <f>IF(B10286="","",INT(A10286))</f>
        <v/>
      </c>
      <c r="D10286">
        <f>IF(B10286="","",HOUR(A10286))</f>
        <v/>
      </c>
    </row>
    <row r="10287">
      <c r="A10287">
        <f>Input!A10287</f>
        <v/>
      </c>
      <c r="B10287">
        <f>IF(ISNUMBER(Input!B10287),IF(AND(Input!B10287&gt;=20,Input!B10287&lt;=700),Input!B10287,""),"")</f>
        <v/>
      </c>
      <c r="C10287">
        <f>IF(B10287="","",INT(A10287))</f>
        <v/>
      </c>
      <c r="D10287">
        <f>IF(B10287="","",HOUR(A10287))</f>
        <v/>
      </c>
    </row>
    <row r="10288">
      <c r="A10288">
        <f>Input!A10288</f>
        <v/>
      </c>
      <c r="B10288">
        <f>IF(ISNUMBER(Input!B10288),IF(AND(Input!B10288&gt;=20,Input!B10288&lt;=700),Input!B10288,""),"")</f>
        <v/>
      </c>
      <c r="C10288">
        <f>IF(B10288="","",INT(A10288))</f>
        <v/>
      </c>
      <c r="D10288">
        <f>IF(B10288="","",HOUR(A10288))</f>
        <v/>
      </c>
    </row>
    <row r="10289">
      <c r="A10289">
        <f>Input!A10289</f>
        <v/>
      </c>
      <c r="B10289">
        <f>IF(ISNUMBER(Input!B10289),IF(AND(Input!B10289&gt;=20,Input!B10289&lt;=700),Input!B10289,""),"")</f>
        <v/>
      </c>
      <c r="C10289">
        <f>IF(B10289="","",INT(A10289))</f>
        <v/>
      </c>
      <c r="D10289">
        <f>IF(B10289="","",HOUR(A10289))</f>
        <v/>
      </c>
    </row>
    <row r="10290">
      <c r="A10290">
        <f>Input!A10290</f>
        <v/>
      </c>
      <c r="B10290">
        <f>IF(ISNUMBER(Input!B10290),IF(AND(Input!B10290&gt;=20,Input!B10290&lt;=700),Input!B10290,""),"")</f>
        <v/>
      </c>
      <c r="C10290">
        <f>IF(B10290="","",INT(A10290))</f>
        <v/>
      </c>
      <c r="D10290">
        <f>IF(B10290="","",HOUR(A10290))</f>
        <v/>
      </c>
    </row>
    <row r="10291">
      <c r="A10291">
        <f>Input!A10291</f>
        <v/>
      </c>
      <c r="B10291">
        <f>IF(ISNUMBER(Input!B10291),IF(AND(Input!B10291&gt;=20,Input!B10291&lt;=700),Input!B10291,""),"")</f>
        <v/>
      </c>
      <c r="C10291">
        <f>IF(B10291="","",INT(A10291))</f>
        <v/>
      </c>
      <c r="D10291">
        <f>IF(B10291="","",HOUR(A10291))</f>
        <v/>
      </c>
    </row>
    <row r="10292">
      <c r="A10292">
        <f>Input!A10292</f>
        <v/>
      </c>
      <c r="B10292">
        <f>IF(ISNUMBER(Input!B10292),IF(AND(Input!B10292&gt;=20,Input!B10292&lt;=700),Input!B10292,""),"")</f>
        <v/>
      </c>
      <c r="C10292">
        <f>IF(B10292="","",INT(A10292))</f>
        <v/>
      </c>
      <c r="D10292">
        <f>IF(B10292="","",HOUR(A10292))</f>
        <v/>
      </c>
    </row>
    <row r="10293">
      <c r="A10293">
        <f>Input!A10293</f>
        <v/>
      </c>
      <c r="B10293">
        <f>IF(ISNUMBER(Input!B10293),IF(AND(Input!B10293&gt;=20,Input!B10293&lt;=700),Input!B10293,""),"")</f>
        <v/>
      </c>
      <c r="C10293">
        <f>IF(B10293="","",INT(A10293))</f>
        <v/>
      </c>
      <c r="D10293">
        <f>IF(B10293="","",HOUR(A10293))</f>
        <v/>
      </c>
    </row>
    <row r="10294">
      <c r="A10294">
        <f>Input!A10294</f>
        <v/>
      </c>
      <c r="B10294">
        <f>IF(ISNUMBER(Input!B10294),IF(AND(Input!B10294&gt;=20,Input!B10294&lt;=700),Input!B10294,""),"")</f>
        <v/>
      </c>
      <c r="C10294">
        <f>IF(B10294="","",INT(A10294))</f>
        <v/>
      </c>
      <c r="D10294">
        <f>IF(B10294="","",HOUR(A10294))</f>
        <v/>
      </c>
    </row>
    <row r="10295">
      <c r="A10295">
        <f>Input!A10295</f>
        <v/>
      </c>
      <c r="B10295">
        <f>IF(ISNUMBER(Input!B10295),IF(AND(Input!B10295&gt;=20,Input!B10295&lt;=700),Input!B10295,""),"")</f>
        <v/>
      </c>
      <c r="C10295">
        <f>IF(B10295="","",INT(A10295))</f>
        <v/>
      </c>
      <c r="D10295">
        <f>IF(B10295="","",HOUR(A10295))</f>
        <v/>
      </c>
    </row>
    <row r="10296">
      <c r="A10296">
        <f>Input!A10296</f>
        <v/>
      </c>
      <c r="B10296">
        <f>IF(ISNUMBER(Input!B10296),IF(AND(Input!B10296&gt;=20,Input!B10296&lt;=700),Input!B10296,""),"")</f>
        <v/>
      </c>
      <c r="C10296">
        <f>IF(B10296="","",INT(A10296))</f>
        <v/>
      </c>
      <c r="D10296">
        <f>IF(B10296="","",HOUR(A10296))</f>
        <v/>
      </c>
    </row>
    <row r="10297">
      <c r="A10297">
        <f>Input!A10297</f>
        <v/>
      </c>
      <c r="B10297">
        <f>IF(ISNUMBER(Input!B10297),IF(AND(Input!B10297&gt;=20,Input!B10297&lt;=700),Input!B10297,""),"")</f>
        <v/>
      </c>
      <c r="C10297">
        <f>IF(B10297="","",INT(A10297))</f>
        <v/>
      </c>
      <c r="D10297">
        <f>IF(B10297="","",HOUR(A10297))</f>
        <v/>
      </c>
    </row>
    <row r="10298">
      <c r="A10298">
        <f>Input!A10298</f>
        <v/>
      </c>
      <c r="B10298">
        <f>IF(ISNUMBER(Input!B10298),IF(AND(Input!B10298&gt;=20,Input!B10298&lt;=700),Input!B10298,""),"")</f>
        <v/>
      </c>
      <c r="C10298">
        <f>IF(B10298="","",INT(A10298))</f>
        <v/>
      </c>
      <c r="D10298">
        <f>IF(B10298="","",HOUR(A10298))</f>
        <v/>
      </c>
    </row>
    <row r="10299">
      <c r="A10299">
        <f>Input!A10299</f>
        <v/>
      </c>
      <c r="B10299">
        <f>IF(ISNUMBER(Input!B10299),IF(AND(Input!B10299&gt;=20,Input!B10299&lt;=700),Input!B10299,""),"")</f>
        <v/>
      </c>
      <c r="C10299">
        <f>IF(B10299="","",INT(A10299))</f>
        <v/>
      </c>
      <c r="D10299">
        <f>IF(B10299="","",HOUR(A10299))</f>
        <v/>
      </c>
    </row>
    <row r="10300">
      <c r="A10300">
        <f>Input!A10300</f>
        <v/>
      </c>
      <c r="B10300">
        <f>IF(ISNUMBER(Input!B10300),IF(AND(Input!B10300&gt;=20,Input!B10300&lt;=700),Input!B10300,""),"")</f>
        <v/>
      </c>
      <c r="C10300">
        <f>IF(B10300="","",INT(A10300))</f>
        <v/>
      </c>
      <c r="D10300">
        <f>IF(B10300="","",HOUR(A10300))</f>
        <v/>
      </c>
    </row>
    <row r="10301">
      <c r="A10301">
        <f>Input!A10301</f>
        <v/>
      </c>
      <c r="B10301">
        <f>IF(ISNUMBER(Input!B10301),IF(AND(Input!B10301&gt;=20,Input!B10301&lt;=700),Input!B10301,""),"")</f>
        <v/>
      </c>
      <c r="C10301">
        <f>IF(B10301="","",INT(A10301))</f>
        <v/>
      </c>
      <c r="D10301">
        <f>IF(B10301="","",HOUR(A10301))</f>
        <v/>
      </c>
    </row>
    <row r="10302">
      <c r="A10302">
        <f>Input!A10302</f>
        <v/>
      </c>
      <c r="B10302">
        <f>IF(ISNUMBER(Input!B10302),IF(AND(Input!B10302&gt;=20,Input!B10302&lt;=700),Input!B10302,""),"")</f>
        <v/>
      </c>
      <c r="C10302">
        <f>IF(B10302="","",INT(A10302))</f>
        <v/>
      </c>
      <c r="D10302">
        <f>IF(B10302="","",HOUR(A10302))</f>
        <v/>
      </c>
    </row>
    <row r="10303">
      <c r="A10303">
        <f>Input!A10303</f>
        <v/>
      </c>
      <c r="B10303">
        <f>IF(ISNUMBER(Input!B10303),IF(AND(Input!B10303&gt;=20,Input!B10303&lt;=700),Input!B10303,""),"")</f>
        <v/>
      </c>
      <c r="C10303">
        <f>IF(B10303="","",INT(A10303))</f>
        <v/>
      </c>
      <c r="D10303">
        <f>IF(B10303="","",HOUR(A10303))</f>
        <v/>
      </c>
    </row>
    <row r="10304">
      <c r="A10304">
        <f>Input!A10304</f>
        <v/>
      </c>
      <c r="B10304">
        <f>IF(ISNUMBER(Input!B10304),IF(AND(Input!B10304&gt;=20,Input!B10304&lt;=700),Input!B10304,""),"")</f>
        <v/>
      </c>
      <c r="C10304">
        <f>IF(B10304="","",INT(A10304))</f>
        <v/>
      </c>
      <c r="D10304">
        <f>IF(B10304="","",HOUR(A10304))</f>
        <v/>
      </c>
    </row>
    <row r="10305">
      <c r="A10305">
        <f>Input!A10305</f>
        <v/>
      </c>
      <c r="B10305">
        <f>IF(ISNUMBER(Input!B10305),IF(AND(Input!B10305&gt;=20,Input!B10305&lt;=700),Input!B10305,""),"")</f>
        <v/>
      </c>
      <c r="C10305">
        <f>IF(B10305="","",INT(A10305))</f>
        <v/>
      </c>
      <c r="D10305">
        <f>IF(B10305="","",HOUR(A10305))</f>
        <v/>
      </c>
    </row>
    <row r="10306">
      <c r="A10306">
        <f>Input!A10306</f>
        <v/>
      </c>
      <c r="B10306">
        <f>IF(ISNUMBER(Input!B10306),IF(AND(Input!B10306&gt;=20,Input!B10306&lt;=700),Input!B10306,""),"")</f>
        <v/>
      </c>
      <c r="C10306">
        <f>IF(B10306="","",INT(A10306))</f>
        <v/>
      </c>
      <c r="D10306">
        <f>IF(B10306="","",HOUR(A10306))</f>
        <v/>
      </c>
    </row>
    <row r="10307">
      <c r="A10307">
        <f>Input!A10307</f>
        <v/>
      </c>
      <c r="B10307">
        <f>IF(ISNUMBER(Input!B10307),IF(AND(Input!B10307&gt;=20,Input!B10307&lt;=700),Input!B10307,""),"")</f>
        <v/>
      </c>
      <c r="C10307">
        <f>IF(B10307="","",INT(A10307))</f>
        <v/>
      </c>
      <c r="D10307">
        <f>IF(B10307="","",HOUR(A10307))</f>
        <v/>
      </c>
    </row>
    <row r="10308">
      <c r="A10308">
        <f>Input!A10308</f>
        <v/>
      </c>
      <c r="B10308">
        <f>IF(ISNUMBER(Input!B10308),IF(AND(Input!B10308&gt;=20,Input!B10308&lt;=700),Input!B10308,""),"")</f>
        <v/>
      </c>
      <c r="C10308">
        <f>IF(B10308="","",INT(A10308))</f>
        <v/>
      </c>
      <c r="D10308">
        <f>IF(B10308="","",HOUR(A10308))</f>
        <v/>
      </c>
    </row>
    <row r="10309">
      <c r="A10309">
        <f>Input!A10309</f>
        <v/>
      </c>
      <c r="B10309">
        <f>IF(ISNUMBER(Input!B10309),IF(AND(Input!B10309&gt;=20,Input!B10309&lt;=700),Input!B10309,""),"")</f>
        <v/>
      </c>
      <c r="C10309">
        <f>IF(B10309="","",INT(A10309))</f>
        <v/>
      </c>
      <c r="D10309">
        <f>IF(B10309="","",HOUR(A10309))</f>
        <v/>
      </c>
    </row>
    <row r="10310">
      <c r="A10310">
        <f>Input!A10310</f>
        <v/>
      </c>
      <c r="B10310">
        <f>IF(ISNUMBER(Input!B10310),IF(AND(Input!B10310&gt;=20,Input!B10310&lt;=700),Input!B10310,""),"")</f>
        <v/>
      </c>
      <c r="C10310">
        <f>IF(B10310="","",INT(A10310))</f>
        <v/>
      </c>
      <c r="D10310">
        <f>IF(B10310="","",HOUR(A10310))</f>
        <v/>
      </c>
    </row>
    <row r="10311">
      <c r="A10311">
        <f>Input!A10311</f>
        <v/>
      </c>
      <c r="B10311">
        <f>IF(ISNUMBER(Input!B10311),IF(AND(Input!B10311&gt;=20,Input!B10311&lt;=700),Input!B10311,""),"")</f>
        <v/>
      </c>
      <c r="C10311">
        <f>IF(B10311="","",INT(A10311))</f>
        <v/>
      </c>
      <c r="D10311">
        <f>IF(B10311="","",HOUR(A10311))</f>
        <v/>
      </c>
    </row>
    <row r="10312">
      <c r="A10312">
        <f>Input!A10312</f>
        <v/>
      </c>
      <c r="B10312">
        <f>IF(ISNUMBER(Input!B10312),IF(AND(Input!B10312&gt;=20,Input!B10312&lt;=700),Input!B10312,""),"")</f>
        <v/>
      </c>
      <c r="C10312">
        <f>IF(B10312="","",INT(A10312))</f>
        <v/>
      </c>
      <c r="D10312">
        <f>IF(B10312="","",HOUR(A10312))</f>
        <v/>
      </c>
    </row>
    <row r="10313">
      <c r="A10313">
        <f>Input!A10313</f>
        <v/>
      </c>
      <c r="B10313">
        <f>IF(ISNUMBER(Input!B10313),IF(AND(Input!B10313&gt;=20,Input!B10313&lt;=700),Input!B10313,""),"")</f>
        <v/>
      </c>
      <c r="C10313">
        <f>IF(B10313="","",INT(A10313))</f>
        <v/>
      </c>
      <c r="D10313">
        <f>IF(B10313="","",HOUR(A10313))</f>
        <v/>
      </c>
    </row>
    <row r="10314">
      <c r="A10314">
        <f>Input!A10314</f>
        <v/>
      </c>
      <c r="B10314">
        <f>IF(ISNUMBER(Input!B10314),IF(AND(Input!B10314&gt;=20,Input!B10314&lt;=700),Input!B10314,""),"")</f>
        <v/>
      </c>
      <c r="C10314">
        <f>IF(B10314="","",INT(A10314))</f>
        <v/>
      </c>
      <c r="D10314">
        <f>IF(B10314="","",HOUR(A10314))</f>
        <v/>
      </c>
    </row>
    <row r="10315">
      <c r="A10315">
        <f>Input!A10315</f>
        <v/>
      </c>
      <c r="B10315">
        <f>IF(ISNUMBER(Input!B10315),IF(AND(Input!B10315&gt;=20,Input!B10315&lt;=700),Input!B10315,""),"")</f>
        <v/>
      </c>
      <c r="C10315">
        <f>IF(B10315="","",INT(A10315))</f>
        <v/>
      </c>
      <c r="D10315">
        <f>IF(B10315="","",HOUR(A10315))</f>
        <v/>
      </c>
    </row>
    <row r="10316">
      <c r="A10316">
        <f>Input!A10316</f>
        <v/>
      </c>
      <c r="B10316">
        <f>IF(ISNUMBER(Input!B10316),IF(AND(Input!B10316&gt;=20,Input!B10316&lt;=700),Input!B10316,""),"")</f>
        <v/>
      </c>
      <c r="C10316">
        <f>IF(B10316="","",INT(A10316))</f>
        <v/>
      </c>
      <c r="D10316">
        <f>IF(B10316="","",HOUR(A10316))</f>
        <v/>
      </c>
    </row>
    <row r="10317">
      <c r="A10317">
        <f>Input!A10317</f>
        <v/>
      </c>
      <c r="B10317">
        <f>IF(ISNUMBER(Input!B10317),IF(AND(Input!B10317&gt;=20,Input!B10317&lt;=700),Input!B10317,""),"")</f>
        <v/>
      </c>
      <c r="C10317">
        <f>IF(B10317="","",INT(A10317))</f>
        <v/>
      </c>
      <c r="D10317">
        <f>IF(B10317="","",HOUR(A10317))</f>
        <v/>
      </c>
    </row>
    <row r="10318">
      <c r="A10318">
        <f>Input!A10318</f>
        <v/>
      </c>
      <c r="B10318">
        <f>IF(ISNUMBER(Input!B10318),IF(AND(Input!B10318&gt;=20,Input!B10318&lt;=700),Input!B10318,""),"")</f>
        <v/>
      </c>
      <c r="C10318">
        <f>IF(B10318="","",INT(A10318))</f>
        <v/>
      </c>
      <c r="D10318">
        <f>IF(B10318="","",HOUR(A10318))</f>
        <v/>
      </c>
    </row>
    <row r="10319">
      <c r="A10319">
        <f>Input!A10319</f>
        <v/>
      </c>
      <c r="B10319">
        <f>IF(ISNUMBER(Input!B10319),IF(AND(Input!B10319&gt;=20,Input!B10319&lt;=700),Input!B10319,""),"")</f>
        <v/>
      </c>
      <c r="C10319">
        <f>IF(B10319="","",INT(A10319))</f>
        <v/>
      </c>
      <c r="D10319">
        <f>IF(B10319="","",HOUR(A10319))</f>
        <v/>
      </c>
    </row>
    <row r="10320">
      <c r="A10320">
        <f>Input!A10320</f>
        <v/>
      </c>
      <c r="B10320">
        <f>IF(ISNUMBER(Input!B10320),IF(AND(Input!B10320&gt;=20,Input!B10320&lt;=700),Input!B10320,""),"")</f>
        <v/>
      </c>
      <c r="C10320">
        <f>IF(B10320="","",INT(A10320))</f>
        <v/>
      </c>
      <c r="D10320">
        <f>IF(B10320="","",HOUR(A10320))</f>
        <v/>
      </c>
    </row>
    <row r="10321">
      <c r="A10321">
        <f>Input!A10321</f>
        <v/>
      </c>
      <c r="B10321">
        <f>IF(ISNUMBER(Input!B10321),IF(AND(Input!B10321&gt;=20,Input!B10321&lt;=700),Input!B10321,""),"")</f>
        <v/>
      </c>
      <c r="C10321">
        <f>IF(B10321="","",INT(A10321))</f>
        <v/>
      </c>
      <c r="D10321">
        <f>IF(B10321="","",HOUR(A10321))</f>
        <v/>
      </c>
    </row>
    <row r="10322">
      <c r="A10322">
        <f>Input!A10322</f>
        <v/>
      </c>
      <c r="B10322">
        <f>IF(ISNUMBER(Input!B10322),IF(AND(Input!B10322&gt;=20,Input!B10322&lt;=700),Input!B10322,""),"")</f>
        <v/>
      </c>
      <c r="C10322">
        <f>IF(B10322="","",INT(A10322))</f>
        <v/>
      </c>
      <c r="D10322">
        <f>IF(B10322="","",HOUR(A10322))</f>
        <v/>
      </c>
    </row>
    <row r="10323">
      <c r="A10323">
        <f>Input!A10323</f>
        <v/>
      </c>
      <c r="B10323">
        <f>IF(ISNUMBER(Input!B10323),IF(AND(Input!B10323&gt;=20,Input!B10323&lt;=700),Input!B10323,""),"")</f>
        <v/>
      </c>
      <c r="C10323">
        <f>IF(B10323="","",INT(A10323))</f>
        <v/>
      </c>
      <c r="D10323">
        <f>IF(B10323="","",HOUR(A10323))</f>
        <v/>
      </c>
    </row>
    <row r="10324">
      <c r="A10324">
        <f>Input!A10324</f>
        <v/>
      </c>
      <c r="B10324">
        <f>IF(ISNUMBER(Input!B10324),IF(AND(Input!B10324&gt;=20,Input!B10324&lt;=700),Input!B10324,""),"")</f>
        <v/>
      </c>
      <c r="C10324">
        <f>IF(B10324="","",INT(A10324))</f>
        <v/>
      </c>
      <c r="D10324">
        <f>IF(B10324="","",HOUR(A10324))</f>
        <v/>
      </c>
    </row>
    <row r="10325">
      <c r="A10325">
        <f>Input!A10325</f>
        <v/>
      </c>
      <c r="B10325">
        <f>IF(ISNUMBER(Input!B10325),IF(AND(Input!B10325&gt;=20,Input!B10325&lt;=700),Input!B10325,""),"")</f>
        <v/>
      </c>
      <c r="C10325">
        <f>IF(B10325="","",INT(A10325))</f>
        <v/>
      </c>
      <c r="D10325">
        <f>IF(B10325="","",HOUR(A10325))</f>
        <v/>
      </c>
    </row>
    <row r="10326">
      <c r="A10326">
        <f>Input!A10326</f>
        <v/>
      </c>
      <c r="B10326">
        <f>IF(ISNUMBER(Input!B10326),IF(AND(Input!B10326&gt;=20,Input!B10326&lt;=700),Input!B10326,""),"")</f>
        <v/>
      </c>
      <c r="C10326">
        <f>IF(B10326="","",INT(A10326))</f>
        <v/>
      </c>
      <c r="D10326">
        <f>IF(B10326="","",HOUR(A10326))</f>
        <v/>
      </c>
    </row>
    <row r="10327">
      <c r="A10327">
        <f>Input!A10327</f>
        <v/>
      </c>
      <c r="B10327">
        <f>IF(ISNUMBER(Input!B10327),IF(AND(Input!B10327&gt;=20,Input!B10327&lt;=700),Input!B10327,""),"")</f>
        <v/>
      </c>
      <c r="C10327">
        <f>IF(B10327="","",INT(A10327))</f>
        <v/>
      </c>
      <c r="D10327">
        <f>IF(B10327="","",HOUR(A10327))</f>
        <v/>
      </c>
    </row>
    <row r="10328">
      <c r="A10328">
        <f>Input!A10328</f>
        <v/>
      </c>
      <c r="B10328">
        <f>IF(ISNUMBER(Input!B10328),IF(AND(Input!B10328&gt;=20,Input!B10328&lt;=700),Input!B10328,""),"")</f>
        <v/>
      </c>
      <c r="C10328">
        <f>IF(B10328="","",INT(A10328))</f>
        <v/>
      </c>
      <c r="D10328">
        <f>IF(B10328="","",HOUR(A10328))</f>
        <v/>
      </c>
    </row>
    <row r="10329">
      <c r="A10329">
        <f>Input!A10329</f>
        <v/>
      </c>
      <c r="B10329">
        <f>IF(ISNUMBER(Input!B10329),IF(AND(Input!B10329&gt;=20,Input!B10329&lt;=700),Input!B10329,""),"")</f>
        <v/>
      </c>
      <c r="C10329">
        <f>IF(B10329="","",INT(A10329))</f>
        <v/>
      </c>
      <c r="D10329">
        <f>IF(B10329="","",HOUR(A10329))</f>
        <v/>
      </c>
    </row>
    <row r="10330">
      <c r="A10330">
        <f>Input!A10330</f>
        <v/>
      </c>
      <c r="B10330">
        <f>IF(ISNUMBER(Input!B10330),IF(AND(Input!B10330&gt;=20,Input!B10330&lt;=700),Input!B10330,""),"")</f>
        <v/>
      </c>
      <c r="C10330">
        <f>IF(B10330="","",INT(A10330))</f>
        <v/>
      </c>
      <c r="D10330">
        <f>IF(B10330="","",HOUR(A10330))</f>
        <v/>
      </c>
    </row>
    <row r="10331">
      <c r="A10331">
        <f>Input!A10331</f>
        <v/>
      </c>
      <c r="B10331">
        <f>IF(ISNUMBER(Input!B10331),IF(AND(Input!B10331&gt;=20,Input!B10331&lt;=700),Input!B10331,""),"")</f>
        <v/>
      </c>
      <c r="C10331">
        <f>IF(B10331="","",INT(A10331))</f>
        <v/>
      </c>
      <c r="D10331">
        <f>IF(B10331="","",HOUR(A10331))</f>
        <v/>
      </c>
    </row>
    <row r="10332">
      <c r="A10332">
        <f>Input!A10332</f>
        <v/>
      </c>
      <c r="B10332">
        <f>IF(ISNUMBER(Input!B10332),IF(AND(Input!B10332&gt;=20,Input!B10332&lt;=700),Input!B10332,""),"")</f>
        <v/>
      </c>
      <c r="C10332">
        <f>IF(B10332="","",INT(A10332))</f>
        <v/>
      </c>
      <c r="D10332">
        <f>IF(B10332="","",HOUR(A10332))</f>
        <v/>
      </c>
    </row>
    <row r="10333">
      <c r="A10333">
        <f>Input!A10333</f>
        <v/>
      </c>
      <c r="B10333">
        <f>IF(ISNUMBER(Input!B10333),IF(AND(Input!B10333&gt;=20,Input!B10333&lt;=700),Input!B10333,""),"")</f>
        <v/>
      </c>
      <c r="C10333">
        <f>IF(B10333="","",INT(A10333))</f>
        <v/>
      </c>
      <c r="D10333">
        <f>IF(B10333="","",HOUR(A10333))</f>
        <v/>
      </c>
    </row>
    <row r="10334">
      <c r="A10334">
        <f>Input!A10334</f>
        <v/>
      </c>
      <c r="B10334">
        <f>IF(ISNUMBER(Input!B10334),IF(AND(Input!B10334&gt;=20,Input!B10334&lt;=700),Input!B10334,""),"")</f>
        <v/>
      </c>
      <c r="C10334">
        <f>IF(B10334="","",INT(A10334))</f>
        <v/>
      </c>
      <c r="D10334">
        <f>IF(B10334="","",HOUR(A10334))</f>
        <v/>
      </c>
    </row>
    <row r="10335">
      <c r="A10335">
        <f>Input!A10335</f>
        <v/>
      </c>
      <c r="B10335">
        <f>IF(ISNUMBER(Input!B10335),IF(AND(Input!B10335&gt;=20,Input!B10335&lt;=700),Input!B10335,""),"")</f>
        <v/>
      </c>
      <c r="C10335">
        <f>IF(B10335="","",INT(A10335))</f>
        <v/>
      </c>
      <c r="D10335">
        <f>IF(B10335="","",HOUR(A10335))</f>
        <v/>
      </c>
    </row>
    <row r="10336">
      <c r="A10336">
        <f>Input!A10336</f>
        <v/>
      </c>
      <c r="B10336">
        <f>IF(ISNUMBER(Input!B10336),IF(AND(Input!B10336&gt;=20,Input!B10336&lt;=700),Input!B10336,""),"")</f>
        <v/>
      </c>
      <c r="C10336">
        <f>IF(B10336="","",INT(A10336))</f>
        <v/>
      </c>
      <c r="D10336">
        <f>IF(B10336="","",HOUR(A10336))</f>
        <v/>
      </c>
    </row>
    <row r="10337">
      <c r="A10337">
        <f>Input!A10337</f>
        <v/>
      </c>
      <c r="B10337">
        <f>IF(ISNUMBER(Input!B10337),IF(AND(Input!B10337&gt;=20,Input!B10337&lt;=700),Input!B10337,""),"")</f>
        <v/>
      </c>
      <c r="C10337">
        <f>IF(B10337="","",INT(A10337))</f>
        <v/>
      </c>
      <c r="D10337">
        <f>IF(B10337="","",HOUR(A10337))</f>
        <v/>
      </c>
    </row>
    <row r="10338">
      <c r="A10338">
        <f>Input!A10338</f>
        <v/>
      </c>
      <c r="B10338">
        <f>IF(ISNUMBER(Input!B10338),IF(AND(Input!B10338&gt;=20,Input!B10338&lt;=700),Input!B10338,""),"")</f>
        <v/>
      </c>
      <c r="C10338">
        <f>IF(B10338="","",INT(A10338))</f>
        <v/>
      </c>
      <c r="D10338">
        <f>IF(B10338="","",HOUR(A10338))</f>
        <v/>
      </c>
    </row>
    <row r="10339">
      <c r="A10339">
        <f>Input!A10339</f>
        <v/>
      </c>
      <c r="B10339">
        <f>IF(ISNUMBER(Input!B10339),IF(AND(Input!B10339&gt;=20,Input!B10339&lt;=700),Input!B10339,""),"")</f>
        <v/>
      </c>
      <c r="C10339">
        <f>IF(B10339="","",INT(A10339))</f>
        <v/>
      </c>
      <c r="D10339">
        <f>IF(B10339="","",HOUR(A10339))</f>
        <v/>
      </c>
    </row>
    <row r="10340">
      <c r="A10340">
        <f>Input!A10340</f>
        <v/>
      </c>
      <c r="B10340">
        <f>IF(ISNUMBER(Input!B10340),IF(AND(Input!B10340&gt;=20,Input!B10340&lt;=700),Input!B10340,""),"")</f>
        <v/>
      </c>
      <c r="C10340">
        <f>IF(B10340="","",INT(A10340))</f>
        <v/>
      </c>
      <c r="D10340">
        <f>IF(B10340="","",HOUR(A10340))</f>
        <v/>
      </c>
    </row>
    <row r="10341">
      <c r="A10341">
        <f>Input!A10341</f>
        <v/>
      </c>
      <c r="B10341">
        <f>IF(ISNUMBER(Input!B10341),IF(AND(Input!B10341&gt;=20,Input!B10341&lt;=700),Input!B10341,""),"")</f>
        <v/>
      </c>
      <c r="C10341">
        <f>IF(B10341="","",INT(A10341))</f>
        <v/>
      </c>
      <c r="D10341">
        <f>IF(B10341="","",HOUR(A10341))</f>
        <v/>
      </c>
    </row>
    <row r="10342">
      <c r="A10342">
        <f>Input!A10342</f>
        <v/>
      </c>
      <c r="B10342">
        <f>IF(ISNUMBER(Input!B10342),IF(AND(Input!B10342&gt;=20,Input!B10342&lt;=700),Input!B10342,""),"")</f>
        <v/>
      </c>
      <c r="C10342">
        <f>IF(B10342="","",INT(A10342))</f>
        <v/>
      </c>
      <c r="D10342">
        <f>IF(B10342="","",HOUR(A10342))</f>
        <v/>
      </c>
    </row>
    <row r="10343">
      <c r="A10343">
        <f>Input!A10343</f>
        <v/>
      </c>
      <c r="B10343">
        <f>IF(ISNUMBER(Input!B10343),IF(AND(Input!B10343&gt;=20,Input!B10343&lt;=700),Input!B10343,""),"")</f>
        <v/>
      </c>
      <c r="C10343">
        <f>IF(B10343="","",INT(A10343))</f>
        <v/>
      </c>
      <c r="D10343">
        <f>IF(B10343="","",HOUR(A10343))</f>
        <v/>
      </c>
    </row>
    <row r="10344">
      <c r="A10344">
        <f>Input!A10344</f>
        <v/>
      </c>
      <c r="B10344">
        <f>IF(ISNUMBER(Input!B10344),IF(AND(Input!B10344&gt;=20,Input!B10344&lt;=700),Input!B10344,""),"")</f>
        <v/>
      </c>
      <c r="C10344">
        <f>IF(B10344="","",INT(A10344))</f>
        <v/>
      </c>
      <c r="D10344">
        <f>IF(B10344="","",HOUR(A10344))</f>
        <v/>
      </c>
    </row>
    <row r="10345">
      <c r="A10345">
        <f>Input!A10345</f>
        <v/>
      </c>
      <c r="B10345">
        <f>IF(ISNUMBER(Input!B10345),IF(AND(Input!B10345&gt;=20,Input!B10345&lt;=700),Input!B10345,""),"")</f>
        <v/>
      </c>
      <c r="C10345">
        <f>IF(B10345="","",INT(A10345))</f>
        <v/>
      </c>
      <c r="D10345">
        <f>IF(B10345="","",HOUR(A10345))</f>
        <v/>
      </c>
    </row>
    <row r="10346">
      <c r="A10346">
        <f>Input!A10346</f>
        <v/>
      </c>
      <c r="B10346">
        <f>IF(ISNUMBER(Input!B10346),IF(AND(Input!B10346&gt;=20,Input!B10346&lt;=700),Input!B10346,""),"")</f>
        <v/>
      </c>
      <c r="C10346">
        <f>IF(B10346="","",INT(A10346))</f>
        <v/>
      </c>
      <c r="D10346">
        <f>IF(B10346="","",HOUR(A10346))</f>
        <v/>
      </c>
    </row>
    <row r="10347">
      <c r="A10347">
        <f>Input!A10347</f>
        <v/>
      </c>
      <c r="B10347">
        <f>IF(ISNUMBER(Input!B10347),IF(AND(Input!B10347&gt;=20,Input!B10347&lt;=700),Input!B10347,""),"")</f>
        <v/>
      </c>
      <c r="C10347">
        <f>IF(B10347="","",INT(A10347))</f>
        <v/>
      </c>
      <c r="D10347">
        <f>IF(B10347="","",HOUR(A10347))</f>
        <v/>
      </c>
    </row>
    <row r="10348">
      <c r="A10348">
        <f>Input!A10348</f>
        <v/>
      </c>
      <c r="B10348">
        <f>IF(ISNUMBER(Input!B10348),IF(AND(Input!B10348&gt;=20,Input!B10348&lt;=700),Input!B10348,""),"")</f>
        <v/>
      </c>
      <c r="C10348">
        <f>IF(B10348="","",INT(A10348))</f>
        <v/>
      </c>
      <c r="D10348">
        <f>IF(B10348="","",HOUR(A10348))</f>
        <v/>
      </c>
    </row>
    <row r="10349">
      <c r="A10349">
        <f>Input!A10349</f>
        <v/>
      </c>
      <c r="B10349">
        <f>IF(ISNUMBER(Input!B10349),IF(AND(Input!B10349&gt;=20,Input!B10349&lt;=700),Input!B10349,""),"")</f>
        <v/>
      </c>
      <c r="C10349">
        <f>IF(B10349="","",INT(A10349))</f>
        <v/>
      </c>
      <c r="D10349">
        <f>IF(B10349="","",HOUR(A10349))</f>
        <v/>
      </c>
    </row>
    <row r="10350">
      <c r="A10350">
        <f>Input!A10350</f>
        <v/>
      </c>
      <c r="B10350">
        <f>IF(ISNUMBER(Input!B10350),IF(AND(Input!B10350&gt;=20,Input!B10350&lt;=700),Input!B10350,""),"")</f>
        <v/>
      </c>
      <c r="C10350">
        <f>IF(B10350="","",INT(A10350))</f>
        <v/>
      </c>
      <c r="D10350">
        <f>IF(B10350="","",HOUR(A10350))</f>
        <v/>
      </c>
    </row>
    <row r="10351">
      <c r="A10351">
        <f>Input!A10351</f>
        <v/>
      </c>
      <c r="B10351">
        <f>IF(ISNUMBER(Input!B10351),IF(AND(Input!B10351&gt;=20,Input!B10351&lt;=700),Input!B10351,""),"")</f>
        <v/>
      </c>
      <c r="C10351">
        <f>IF(B10351="","",INT(A10351))</f>
        <v/>
      </c>
      <c r="D10351">
        <f>IF(B10351="","",HOUR(A10351))</f>
        <v/>
      </c>
    </row>
    <row r="10352">
      <c r="A10352">
        <f>Input!A10352</f>
        <v/>
      </c>
      <c r="B10352">
        <f>IF(ISNUMBER(Input!B10352),IF(AND(Input!B10352&gt;=20,Input!B10352&lt;=700),Input!B10352,""),"")</f>
        <v/>
      </c>
      <c r="C10352">
        <f>IF(B10352="","",INT(A10352))</f>
        <v/>
      </c>
      <c r="D10352">
        <f>IF(B10352="","",HOUR(A10352))</f>
        <v/>
      </c>
    </row>
    <row r="10353">
      <c r="A10353">
        <f>Input!A10353</f>
        <v/>
      </c>
      <c r="B10353">
        <f>IF(ISNUMBER(Input!B10353),IF(AND(Input!B10353&gt;=20,Input!B10353&lt;=700),Input!B10353,""),"")</f>
        <v/>
      </c>
      <c r="C10353">
        <f>IF(B10353="","",INT(A10353))</f>
        <v/>
      </c>
      <c r="D10353">
        <f>IF(B10353="","",HOUR(A10353))</f>
        <v/>
      </c>
    </row>
    <row r="10354">
      <c r="A10354">
        <f>Input!A10354</f>
        <v/>
      </c>
      <c r="B10354">
        <f>IF(ISNUMBER(Input!B10354),IF(AND(Input!B10354&gt;=20,Input!B10354&lt;=700),Input!B10354,""),"")</f>
        <v/>
      </c>
      <c r="C10354">
        <f>IF(B10354="","",INT(A10354))</f>
        <v/>
      </c>
      <c r="D10354">
        <f>IF(B10354="","",HOUR(A10354))</f>
        <v/>
      </c>
    </row>
    <row r="10355">
      <c r="A10355">
        <f>Input!A10355</f>
        <v/>
      </c>
      <c r="B10355">
        <f>IF(ISNUMBER(Input!B10355),IF(AND(Input!B10355&gt;=20,Input!B10355&lt;=700),Input!B10355,""),"")</f>
        <v/>
      </c>
      <c r="C10355">
        <f>IF(B10355="","",INT(A10355))</f>
        <v/>
      </c>
      <c r="D10355">
        <f>IF(B10355="","",HOUR(A10355))</f>
        <v/>
      </c>
    </row>
    <row r="10356">
      <c r="A10356">
        <f>Input!A10356</f>
        <v/>
      </c>
      <c r="B10356">
        <f>IF(ISNUMBER(Input!B10356),IF(AND(Input!B10356&gt;=20,Input!B10356&lt;=700),Input!B10356,""),"")</f>
        <v/>
      </c>
      <c r="C10356">
        <f>IF(B10356="","",INT(A10356))</f>
        <v/>
      </c>
      <c r="D10356">
        <f>IF(B10356="","",HOUR(A10356))</f>
        <v/>
      </c>
    </row>
    <row r="10357">
      <c r="A10357">
        <f>Input!A10357</f>
        <v/>
      </c>
      <c r="B10357">
        <f>IF(ISNUMBER(Input!B10357),IF(AND(Input!B10357&gt;=20,Input!B10357&lt;=700),Input!B10357,""),"")</f>
        <v/>
      </c>
      <c r="C10357">
        <f>IF(B10357="","",INT(A10357))</f>
        <v/>
      </c>
      <c r="D10357">
        <f>IF(B10357="","",HOUR(A10357))</f>
        <v/>
      </c>
    </row>
    <row r="10358">
      <c r="A10358">
        <f>Input!A10358</f>
        <v/>
      </c>
      <c r="B10358">
        <f>IF(ISNUMBER(Input!B10358),IF(AND(Input!B10358&gt;=20,Input!B10358&lt;=700),Input!B10358,""),"")</f>
        <v/>
      </c>
      <c r="C10358">
        <f>IF(B10358="","",INT(A10358))</f>
        <v/>
      </c>
      <c r="D10358">
        <f>IF(B10358="","",HOUR(A10358))</f>
        <v/>
      </c>
    </row>
    <row r="10359">
      <c r="A10359">
        <f>Input!A10359</f>
        <v/>
      </c>
      <c r="B10359">
        <f>IF(ISNUMBER(Input!B10359),IF(AND(Input!B10359&gt;=20,Input!B10359&lt;=700),Input!B10359,""),"")</f>
        <v/>
      </c>
      <c r="C10359">
        <f>IF(B10359="","",INT(A10359))</f>
        <v/>
      </c>
      <c r="D10359">
        <f>IF(B10359="","",HOUR(A10359))</f>
        <v/>
      </c>
    </row>
    <row r="10360">
      <c r="A10360">
        <f>Input!A10360</f>
        <v/>
      </c>
      <c r="B10360">
        <f>IF(ISNUMBER(Input!B10360),IF(AND(Input!B10360&gt;=20,Input!B10360&lt;=700),Input!B10360,""),"")</f>
        <v/>
      </c>
      <c r="C10360">
        <f>IF(B10360="","",INT(A10360))</f>
        <v/>
      </c>
      <c r="D10360">
        <f>IF(B10360="","",HOUR(A10360))</f>
        <v/>
      </c>
    </row>
    <row r="10361">
      <c r="A10361">
        <f>Input!A10361</f>
        <v/>
      </c>
      <c r="B10361">
        <f>IF(ISNUMBER(Input!B10361),IF(AND(Input!B10361&gt;=20,Input!B10361&lt;=700),Input!B10361,""),"")</f>
        <v/>
      </c>
      <c r="C10361">
        <f>IF(B10361="","",INT(A10361))</f>
        <v/>
      </c>
      <c r="D10361">
        <f>IF(B10361="","",HOUR(A10361))</f>
        <v/>
      </c>
    </row>
    <row r="10362">
      <c r="A10362">
        <f>Input!A10362</f>
        <v/>
      </c>
      <c r="B10362">
        <f>IF(ISNUMBER(Input!B10362),IF(AND(Input!B10362&gt;=20,Input!B10362&lt;=700),Input!B10362,""),"")</f>
        <v/>
      </c>
      <c r="C10362">
        <f>IF(B10362="","",INT(A10362))</f>
        <v/>
      </c>
      <c r="D10362">
        <f>IF(B10362="","",HOUR(A10362))</f>
        <v/>
      </c>
    </row>
    <row r="10363">
      <c r="A10363">
        <f>Input!A10363</f>
        <v/>
      </c>
      <c r="B10363">
        <f>IF(ISNUMBER(Input!B10363),IF(AND(Input!B10363&gt;=20,Input!B10363&lt;=700),Input!B10363,""),"")</f>
        <v/>
      </c>
      <c r="C10363">
        <f>IF(B10363="","",INT(A10363))</f>
        <v/>
      </c>
      <c r="D10363">
        <f>IF(B10363="","",HOUR(A10363))</f>
        <v/>
      </c>
    </row>
    <row r="10364">
      <c r="A10364">
        <f>Input!A10364</f>
        <v/>
      </c>
      <c r="B10364">
        <f>IF(ISNUMBER(Input!B10364),IF(AND(Input!B10364&gt;=20,Input!B10364&lt;=700),Input!B10364,""),"")</f>
        <v/>
      </c>
      <c r="C10364">
        <f>IF(B10364="","",INT(A10364))</f>
        <v/>
      </c>
      <c r="D10364">
        <f>IF(B10364="","",HOUR(A10364))</f>
        <v/>
      </c>
    </row>
    <row r="10365">
      <c r="A10365">
        <f>Input!A10365</f>
        <v/>
      </c>
      <c r="B10365">
        <f>IF(ISNUMBER(Input!B10365),IF(AND(Input!B10365&gt;=20,Input!B10365&lt;=700),Input!B10365,""),"")</f>
        <v/>
      </c>
      <c r="C10365">
        <f>IF(B10365="","",INT(A10365))</f>
        <v/>
      </c>
      <c r="D10365">
        <f>IF(B10365="","",HOUR(A10365))</f>
        <v/>
      </c>
    </row>
    <row r="10366">
      <c r="A10366">
        <f>Input!A10366</f>
        <v/>
      </c>
      <c r="B10366">
        <f>IF(ISNUMBER(Input!B10366),IF(AND(Input!B10366&gt;=20,Input!B10366&lt;=700),Input!B10366,""),"")</f>
        <v/>
      </c>
      <c r="C10366">
        <f>IF(B10366="","",INT(A10366))</f>
        <v/>
      </c>
      <c r="D10366">
        <f>IF(B10366="","",HOUR(A10366))</f>
        <v/>
      </c>
    </row>
    <row r="10367">
      <c r="A10367">
        <f>Input!A10367</f>
        <v/>
      </c>
      <c r="B10367">
        <f>IF(ISNUMBER(Input!B10367),IF(AND(Input!B10367&gt;=20,Input!B10367&lt;=700),Input!B10367,""),"")</f>
        <v/>
      </c>
      <c r="C10367">
        <f>IF(B10367="","",INT(A10367))</f>
        <v/>
      </c>
      <c r="D10367">
        <f>IF(B10367="","",HOUR(A10367))</f>
        <v/>
      </c>
    </row>
    <row r="10368">
      <c r="A10368">
        <f>Input!A10368</f>
        <v/>
      </c>
      <c r="B10368">
        <f>IF(ISNUMBER(Input!B10368),IF(AND(Input!B10368&gt;=20,Input!B10368&lt;=700),Input!B10368,""),"")</f>
        <v/>
      </c>
      <c r="C10368">
        <f>IF(B10368="","",INT(A10368))</f>
        <v/>
      </c>
      <c r="D10368">
        <f>IF(B10368="","",HOUR(A10368))</f>
        <v/>
      </c>
    </row>
    <row r="10369">
      <c r="A10369">
        <f>Input!A10369</f>
        <v/>
      </c>
      <c r="B10369">
        <f>IF(ISNUMBER(Input!B10369),IF(AND(Input!B10369&gt;=20,Input!B10369&lt;=700),Input!B10369,""),"")</f>
        <v/>
      </c>
      <c r="C10369">
        <f>IF(B10369="","",INT(A10369))</f>
        <v/>
      </c>
      <c r="D10369">
        <f>IF(B10369="","",HOUR(A10369))</f>
        <v/>
      </c>
    </row>
    <row r="10370">
      <c r="A10370">
        <f>Input!A10370</f>
        <v/>
      </c>
      <c r="B10370">
        <f>IF(ISNUMBER(Input!B10370),IF(AND(Input!B10370&gt;=20,Input!B10370&lt;=700),Input!B10370,""),"")</f>
        <v/>
      </c>
      <c r="C10370">
        <f>IF(B10370="","",INT(A10370))</f>
        <v/>
      </c>
      <c r="D10370">
        <f>IF(B10370="","",HOUR(A10370))</f>
        <v/>
      </c>
    </row>
    <row r="10371">
      <c r="A10371">
        <f>Input!A10371</f>
        <v/>
      </c>
      <c r="B10371">
        <f>IF(ISNUMBER(Input!B10371),IF(AND(Input!B10371&gt;=20,Input!B10371&lt;=700),Input!B10371,""),"")</f>
        <v/>
      </c>
      <c r="C10371">
        <f>IF(B10371="","",INT(A10371))</f>
        <v/>
      </c>
      <c r="D10371">
        <f>IF(B10371="","",HOUR(A10371))</f>
        <v/>
      </c>
    </row>
    <row r="10372">
      <c r="A10372">
        <f>Input!A10372</f>
        <v/>
      </c>
      <c r="B10372">
        <f>IF(ISNUMBER(Input!B10372),IF(AND(Input!B10372&gt;=20,Input!B10372&lt;=700),Input!B10372,""),"")</f>
        <v/>
      </c>
      <c r="C10372">
        <f>IF(B10372="","",INT(A10372))</f>
        <v/>
      </c>
      <c r="D10372">
        <f>IF(B10372="","",HOUR(A10372))</f>
        <v/>
      </c>
    </row>
    <row r="10373">
      <c r="A10373">
        <f>Input!A10373</f>
        <v/>
      </c>
      <c r="B10373">
        <f>IF(ISNUMBER(Input!B10373),IF(AND(Input!B10373&gt;=20,Input!B10373&lt;=700),Input!B10373,""),"")</f>
        <v/>
      </c>
      <c r="C10373">
        <f>IF(B10373="","",INT(A10373))</f>
        <v/>
      </c>
      <c r="D10373">
        <f>IF(B10373="","",HOUR(A10373))</f>
        <v/>
      </c>
    </row>
    <row r="10374">
      <c r="A10374">
        <f>Input!A10374</f>
        <v/>
      </c>
      <c r="B10374">
        <f>IF(ISNUMBER(Input!B10374),IF(AND(Input!B10374&gt;=20,Input!B10374&lt;=700),Input!B10374,""),"")</f>
        <v/>
      </c>
      <c r="C10374">
        <f>IF(B10374="","",INT(A10374))</f>
        <v/>
      </c>
      <c r="D10374">
        <f>IF(B10374="","",HOUR(A10374))</f>
        <v/>
      </c>
    </row>
    <row r="10375">
      <c r="A10375">
        <f>Input!A10375</f>
        <v/>
      </c>
      <c r="B10375">
        <f>IF(ISNUMBER(Input!B10375),IF(AND(Input!B10375&gt;=20,Input!B10375&lt;=700),Input!B10375,""),"")</f>
        <v/>
      </c>
      <c r="C10375">
        <f>IF(B10375="","",INT(A10375))</f>
        <v/>
      </c>
      <c r="D10375">
        <f>IF(B10375="","",HOUR(A10375))</f>
        <v/>
      </c>
    </row>
    <row r="10376">
      <c r="A10376">
        <f>Input!A10376</f>
        <v/>
      </c>
      <c r="B10376">
        <f>IF(ISNUMBER(Input!B10376),IF(AND(Input!B10376&gt;=20,Input!B10376&lt;=700),Input!B10376,""),"")</f>
        <v/>
      </c>
      <c r="C10376">
        <f>IF(B10376="","",INT(A10376))</f>
        <v/>
      </c>
      <c r="D10376">
        <f>IF(B10376="","",HOUR(A10376))</f>
        <v/>
      </c>
    </row>
    <row r="10377">
      <c r="A10377">
        <f>Input!A10377</f>
        <v/>
      </c>
      <c r="B10377">
        <f>IF(ISNUMBER(Input!B10377),IF(AND(Input!B10377&gt;=20,Input!B10377&lt;=700),Input!B10377,""),"")</f>
        <v/>
      </c>
      <c r="C10377">
        <f>IF(B10377="","",INT(A10377))</f>
        <v/>
      </c>
      <c r="D10377">
        <f>IF(B10377="","",HOUR(A10377))</f>
        <v/>
      </c>
    </row>
    <row r="10378">
      <c r="A10378">
        <f>Input!A10378</f>
        <v/>
      </c>
      <c r="B10378">
        <f>IF(ISNUMBER(Input!B10378),IF(AND(Input!B10378&gt;=20,Input!B10378&lt;=700),Input!B10378,""),"")</f>
        <v/>
      </c>
      <c r="C10378">
        <f>IF(B10378="","",INT(A10378))</f>
        <v/>
      </c>
      <c r="D10378">
        <f>IF(B10378="","",HOUR(A10378))</f>
        <v/>
      </c>
    </row>
    <row r="10379">
      <c r="A10379">
        <f>Input!A10379</f>
        <v/>
      </c>
      <c r="B10379">
        <f>IF(ISNUMBER(Input!B10379),IF(AND(Input!B10379&gt;=20,Input!B10379&lt;=700),Input!B10379,""),"")</f>
        <v/>
      </c>
      <c r="C10379">
        <f>IF(B10379="","",INT(A10379))</f>
        <v/>
      </c>
      <c r="D10379">
        <f>IF(B10379="","",HOUR(A10379))</f>
        <v/>
      </c>
    </row>
    <row r="10380">
      <c r="A10380">
        <f>Input!A10380</f>
        <v/>
      </c>
      <c r="B10380">
        <f>IF(ISNUMBER(Input!B10380),IF(AND(Input!B10380&gt;=20,Input!B10380&lt;=700),Input!B10380,""),"")</f>
        <v/>
      </c>
      <c r="C10380">
        <f>IF(B10380="","",INT(A10380))</f>
        <v/>
      </c>
      <c r="D10380">
        <f>IF(B10380="","",HOUR(A10380))</f>
        <v/>
      </c>
    </row>
    <row r="10381">
      <c r="A10381">
        <f>Input!A10381</f>
        <v/>
      </c>
      <c r="B10381">
        <f>IF(ISNUMBER(Input!B10381),IF(AND(Input!B10381&gt;=20,Input!B10381&lt;=700),Input!B10381,""),"")</f>
        <v/>
      </c>
      <c r="C10381">
        <f>IF(B10381="","",INT(A10381))</f>
        <v/>
      </c>
      <c r="D10381">
        <f>IF(B10381="","",HOUR(A10381))</f>
        <v/>
      </c>
    </row>
    <row r="10382">
      <c r="A10382">
        <f>Input!A10382</f>
        <v/>
      </c>
      <c r="B10382">
        <f>IF(ISNUMBER(Input!B10382),IF(AND(Input!B10382&gt;=20,Input!B10382&lt;=700),Input!B10382,""),"")</f>
        <v/>
      </c>
      <c r="C10382">
        <f>IF(B10382="","",INT(A10382))</f>
        <v/>
      </c>
      <c r="D10382">
        <f>IF(B10382="","",HOUR(A10382))</f>
        <v/>
      </c>
    </row>
    <row r="10383">
      <c r="A10383">
        <f>Input!A10383</f>
        <v/>
      </c>
      <c r="B10383">
        <f>IF(ISNUMBER(Input!B10383),IF(AND(Input!B10383&gt;=20,Input!B10383&lt;=700),Input!B10383,""),"")</f>
        <v/>
      </c>
      <c r="C10383">
        <f>IF(B10383="","",INT(A10383))</f>
        <v/>
      </c>
      <c r="D10383">
        <f>IF(B10383="","",HOUR(A10383))</f>
        <v/>
      </c>
    </row>
    <row r="10384">
      <c r="A10384">
        <f>Input!A10384</f>
        <v/>
      </c>
      <c r="B10384">
        <f>IF(ISNUMBER(Input!B10384),IF(AND(Input!B10384&gt;=20,Input!B10384&lt;=700),Input!B10384,""),"")</f>
        <v/>
      </c>
      <c r="C10384">
        <f>IF(B10384="","",INT(A10384))</f>
        <v/>
      </c>
      <c r="D10384">
        <f>IF(B10384="","",HOUR(A10384))</f>
        <v/>
      </c>
    </row>
    <row r="10385">
      <c r="A10385">
        <f>Input!A10385</f>
        <v/>
      </c>
      <c r="B10385">
        <f>IF(ISNUMBER(Input!B10385),IF(AND(Input!B10385&gt;=20,Input!B10385&lt;=700),Input!B10385,""),"")</f>
        <v/>
      </c>
      <c r="C10385">
        <f>IF(B10385="","",INT(A10385))</f>
        <v/>
      </c>
      <c r="D10385">
        <f>IF(B10385="","",HOUR(A10385))</f>
        <v/>
      </c>
    </row>
    <row r="10386">
      <c r="A10386">
        <f>Input!A10386</f>
        <v/>
      </c>
      <c r="B10386">
        <f>IF(ISNUMBER(Input!B10386),IF(AND(Input!B10386&gt;=20,Input!B10386&lt;=700),Input!B10386,""),"")</f>
        <v/>
      </c>
      <c r="C10386">
        <f>IF(B10386="","",INT(A10386))</f>
        <v/>
      </c>
      <c r="D10386">
        <f>IF(B10386="","",HOUR(A10386))</f>
        <v/>
      </c>
    </row>
    <row r="10387">
      <c r="A10387">
        <f>Input!A10387</f>
        <v/>
      </c>
      <c r="B10387">
        <f>IF(ISNUMBER(Input!B10387),IF(AND(Input!B10387&gt;=20,Input!B10387&lt;=700),Input!B10387,""),"")</f>
        <v/>
      </c>
      <c r="C10387">
        <f>IF(B10387="","",INT(A10387))</f>
        <v/>
      </c>
      <c r="D10387">
        <f>IF(B10387="","",HOUR(A10387))</f>
        <v/>
      </c>
    </row>
    <row r="10388">
      <c r="A10388">
        <f>Input!A10388</f>
        <v/>
      </c>
      <c r="B10388">
        <f>IF(ISNUMBER(Input!B10388),IF(AND(Input!B10388&gt;=20,Input!B10388&lt;=700),Input!B10388,""),"")</f>
        <v/>
      </c>
      <c r="C10388">
        <f>IF(B10388="","",INT(A10388))</f>
        <v/>
      </c>
      <c r="D10388">
        <f>IF(B10388="","",HOUR(A10388))</f>
        <v/>
      </c>
    </row>
    <row r="10389">
      <c r="A10389">
        <f>Input!A10389</f>
        <v/>
      </c>
      <c r="B10389">
        <f>IF(ISNUMBER(Input!B10389),IF(AND(Input!B10389&gt;=20,Input!B10389&lt;=700),Input!B10389,""),"")</f>
        <v/>
      </c>
      <c r="C10389">
        <f>IF(B10389="","",INT(A10389))</f>
        <v/>
      </c>
      <c r="D10389">
        <f>IF(B10389="","",HOUR(A10389))</f>
        <v/>
      </c>
    </row>
    <row r="10390">
      <c r="A10390">
        <f>Input!A10390</f>
        <v/>
      </c>
      <c r="B10390">
        <f>IF(ISNUMBER(Input!B10390),IF(AND(Input!B10390&gt;=20,Input!B10390&lt;=700),Input!B10390,""),"")</f>
        <v/>
      </c>
      <c r="C10390">
        <f>IF(B10390="","",INT(A10390))</f>
        <v/>
      </c>
      <c r="D10390">
        <f>IF(B10390="","",HOUR(A10390))</f>
        <v/>
      </c>
    </row>
    <row r="10391">
      <c r="A10391">
        <f>Input!A10391</f>
        <v/>
      </c>
      <c r="B10391">
        <f>IF(ISNUMBER(Input!B10391),IF(AND(Input!B10391&gt;=20,Input!B10391&lt;=700),Input!B10391,""),"")</f>
        <v/>
      </c>
      <c r="C10391">
        <f>IF(B10391="","",INT(A10391))</f>
        <v/>
      </c>
      <c r="D10391">
        <f>IF(B10391="","",HOUR(A10391))</f>
        <v/>
      </c>
    </row>
    <row r="10392">
      <c r="A10392">
        <f>Input!A10392</f>
        <v/>
      </c>
      <c r="B10392">
        <f>IF(ISNUMBER(Input!B10392),IF(AND(Input!B10392&gt;=20,Input!B10392&lt;=700),Input!B10392,""),"")</f>
        <v/>
      </c>
      <c r="C10392">
        <f>IF(B10392="","",INT(A10392))</f>
        <v/>
      </c>
      <c r="D10392">
        <f>IF(B10392="","",HOUR(A10392))</f>
        <v/>
      </c>
    </row>
    <row r="10393">
      <c r="A10393">
        <f>Input!A10393</f>
        <v/>
      </c>
      <c r="B10393">
        <f>IF(ISNUMBER(Input!B10393),IF(AND(Input!B10393&gt;=20,Input!B10393&lt;=700),Input!B10393,""),"")</f>
        <v/>
      </c>
      <c r="C10393">
        <f>IF(B10393="","",INT(A10393))</f>
        <v/>
      </c>
      <c r="D10393">
        <f>IF(B10393="","",HOUR(A10393))</f>
        <v/>
      </c>
    </row>
    <row r="10394">
      <c r="A10394">
        <f>Input!A10394</f>
        <v/>
      </c>
      <c r="B10394">
        <f>IF(ISNUMBER(Input!B10394),IF(AND(Input!B10394&gt;=20,Input!B10394&lt;=700),Input!B10394,""),"")</f>
        <v/>
      </c>
      <c r="C10394">
        <f>IF(B10394="","",INT(A10394))</f>
        <v/>
      </c>
      <c r="D10394">
        <f>IF(B10394="","",HOUR(A10394))</f>
        <v/>
      </c>
    </row>
    <row r="10395">
      <c r="A10395">
        <f>Input!A10395</f>
        <v/>
      </c>
      <c r="B10395">
        <f>IF(ISNUMBER(Input!B10395),IF(AND(Input!B10395&gt;=20,Input!B10395&lt;=700),Input!B10395,""),"")</f>
        <v/>
      </c>
      <c r="C10395">
        <f>IF(B10395="","",INT(A10395))</f>
        <v/>
      </c>
      <c r="D10395">
        <f>IF(B10395="","",HOUR(A10395))</f>
        <v/>
      </c>
    </row>
    <row r="10396">
      <c r="A10396">
        <f>Input!A10396</f>
        <v/>
      </c>
      <c r="B10396">
        <f>IF(ISNUMBER(Input!B10396),IF(AND(Input!B10396&gt;=20,Input!B10396&lt;=700),Input!B10396,""),"")</f>
        <v/>
      </c>
      <c r="C10396">
        <f>IF(B10396="","",INT(A10396))</f>
        <v/>
      </c>
      <c r="D10396">
        <f>IF(B10396="","",HOUR(A10396))</f>
        <v/>
      </c>
    </row>
    <row r="10397">
      <c r="A10397">
        <f>Input!A10397</f>
        <v/>
      </c>
      <c r="B10397">
        <f>IF(ISNUMBER(Input!B10397),IF(AND(Input!B10397&gt;=20,Input!B10397&lt;=700),Input!B10397,""),"")</f>
        <v/>
      </c>
      <c r="C10397">
        <f>IF(B10397="","",INT(A10397))</f>
        <v/>
      </c>
      <c r="D10397">
        <f>IF(B10397="","",HOUR(A10397))</f>
        <v/>
      </c>
    </row>
    <row r="10398">
      <c r="A10398">
        <f>Input!A10398</f>
        <v/>
      </c>
      <c r="B10398">
        <f>IF(ISNUMBER(Input!B10398),IF(AND(Input!B10398&gt;=20,Input!B10398&lt;=700),Input!B10398,""),"")</f>
        <v/>
      </c>
      <c r="C10398">
        <f>IF(B10398="","",INT(A10398))</f>
        <v/>
      </c>
      <c r="D10398">
        <f>IF(B10398="","",HOUR(A10398))</f>
        <v/>
      </c>
    </row>
    <row r="10399">
      <c r="A10399">
        <f>Input!A10399</f>
        <v/>
      </c>
      <c r="B10399">
        <f>IF(ISNUMBER(Input!B10399),IF(AND(Input!B10399&gt;=20,Input!B10399&lt;=700),Input!B10399,""),"")</f>
        <v/>
      </c>
      <c r="C10399">
        <f>IF(B10399="","",INT(A10399))</f>
        <v/>
      </c>
      <c r="D10399">
        <f>IF(B10399="","",HOUR(A10399))</f>
        <v/>
      </c>
    </row>
    <row r="10400">
      <c r="A10400">
        <f>Input!A10400</f>
        <v/>
      </c>
      <c r="B10400">
        <f>IF(ISNUMBER(Input!B10400),IF(AND(Input!B10400&gt;=20,Input!B10400&lt;=700),Input!B10400,""),"")</f>
        <v/>
      </c>
      <c r="C10400">
        <f>IF(B10400="","",INT(A10400))</f>
        <v/>
      </c>
      <c r="D10400">
        <f>IF(B10400="","",HOUR(A10400))</f>
        <v/>
      </c>
    </row>
    <row r="10401">
      <c r="A10401">
        <f>Input!A10401</f>
        <v/>
      </c>
      <c r="B10401">
        <f>IF(ISNUMBER(Input!B10401),IF(AND(Input!B10401&gt;=20,Input!B10401&lt;=700),Input!B10401,""),"")</f>
        <v/>
      </c>
      <c r="C10401">
        <f>IF(B10401="","",INT(A10401))</f>
        <v/>
      </c>
      <c r="D10401">
        <f>IF(B10401="","",HOUR(A10401))</f>
        <v/>
      </c>
    </row>
    <row r="10402">
      <c r="A10402">
        <f>Input!A10402</f>
        <v/>
      </c>
      <c r="B10402">
        <f>IF(ISNUMBER(Input!B10402),IF(AND(Input!B10402&gt;=20,Input!B10402&lt;=700),Input!B10402,""),"")</f>
        <v/>
      </c>
      <c r="C10402">
        <f>IF(B10402="","",INT(A10402))</f>
        <v/>
      </c>
      <c r="D10402">
        <f>IF(B10402="","",HOUR(A10402))</f>
        <v/>
      </c>
    </row>
    <row r="10403">
      <c r="A10403">
        <f>Input!A10403</f>
        <v/>
      </c>
      <c r="B10403">
        <f>IF(ISNUMBER(Input!B10403),IF(AND(Input!B10403&gt;=20,Input!B10403&lt;=700),Input!B10403,""),"")</f>
        <v/>
      </c>
      <c r="C10403">
        <f>IF(B10403="","",INT(A10403))</f>
        <v/>
      </c>
      <c r="D10403">
        <f>IF(B10403="","",HOUR(A10403))</f>
        <v/>
      </c>
    </row>
    <row r="10404">
      <c r="A10404">
        <f>Input!A10404</f>
        <v/>
      </c>
      <c r="B10404">
        <f>IF(ISNUMBER(Input!B10404),IF(AND(Input!B10404&gt;=20,Input!B10404&lt;=700),Input!B10404,""),"")</f>
        <v/>
      </c>
      <c r="C10404">
        <f>IF(B10404="","",INT(A10404))</f>
        <v/>
      </c>
      <c r="D10404">
        <f>IF(B10404="","",HOUR(A10404))</f>
        <v/>
      </c>
    </row>
    <row r="10405">
      <c r="A10405">
        <f>Input!A10405</f>
        <v/>
      </c>
      <c r="B10405">
        <f>IF(ISNUMBER(Input!B10405),IF(AND(Input!B10405&gt;=20,Input!B10405&lt;=700),Input!B10405,""),"")</f>
        <v/>
      </c>
      <c r="C10405">
        <f>IF(B10405="","",INT(A10405))</f>
        <v/>
      </c>
      <c r="D10405">
        <f>IF(B10405="","",HOUR(A10405))</f>
        <v/>
      </c>
    </row>
    <row r="10406">
      <c r="A10406">
        <f>Input!A10406</f>
        <v/>
      </c>
      <c r="B10406">
        <f>IF(ISNUMBER(Input!B10406),IF(AND(Input!B10406&gt;=20,Input!B10406&lt;=700),Input!B10406,""),"")</f>
        <v/>
      </c>
      <c r="C10406">
        <f>IF(B10406="","",INT(A10406))</f>
        <v/>
      </c>
      <c r="D10406">
        <f>IF(B10406="","",HOUR(A10406))</f>
        <v/>
      </c>
    </row>
    <row r="10407">
      <c r="A10407">
        <f>Input!A10407</f>
        <v/>
      </c>
      <c r="B10407">
        <f>IF(ISNUMBER(Input!B10407),IF(AND(Input!B10407&gt;=20,Input!B10407&lt;=700),Input!B10407,""),"")</f>
        <v/>
      </c>
      <c r="C10407">
        <f>IF(B10407="","",INT(A10407))</f>
        <v/>
      </c>
      <c r="D10407">
        <f>IF(B10407="","",HOUR(A10407))</f>
        <v/>
      </c>
    </row>
    <row r="10408">
      <c r="A10408">
        <f>Input!A10408</f>
        <v/>
      </c>
      <c r="B10408">
        <f>IF(ISNUMBER(Input!B10408),IF(AND(Input!B10408&gt;=20,Input!B10408&lt;=700),Input!B10408,""),"")</f>
        <v/>
      </c>
      <c r="C10408">
        <f>IF(B10408="","",INT(A10408))</f>
        <v/>
      </c>
      <c r="D10408">
        <f>IF(B10408="","",HOUR(A10408))</f>
        <v/>
      </c>
    </row>
    <row r="10409">
      <c r="A10409">
        <f>Input!A10409</f>
        <v/>
      </c>
      <c r="B10409">
        <f>IF(ISNUMBER(Input!B10409),IF(AND(Input!B10409&gt;=20,Input!B10409&lt;=700),Input!B10409,""),"")</f>
        <v/>
      </c>
      <c r="C10409">
        <f>IF(B10409="","",INT(A10409))</f>
        <v/>
      </c>
      <c r="D10409">
        <f>IF(B10409="","",HOUR(A10409))</f>
        <v/>
      </c>
    </row>
    <row r="10410">
      <c r="A10410">
        <f>Input!A10410</f>
        <v/>
      </c>
      <c r="B10410">
        <f>IF(ISNUMBER(Input!B10410),IF(AND(Input!B10410&gt;=20,Input!B10410&lt;=700),Input!B10410,""),"")</f>
        <v/>
      </c>
      <c r="C10410">
        <f>IF(B10410="","",INT(A10410))</f>
        <v/>
      </c>
      <c r="D10410">
        <f>IF(B10410="","",HOUR(A10410))</f>
        <v/>
      </c>
    </row>
    <row r="10411">
      <c r="A10411">
        <f>Input!A10411</f>
        <v/>
      </c>
      <c r="B10411">
        <f>IF(ISNUMBER(Input!B10411),IF(AND(Input!B10411&gt;=20,Input!B10411&lt;=700),Input!B10411,""),"")</f>
        <v/>
      </c>
      <c r="C10411">
        <f>IF(B10411="","",INT(A10411))</f>
        <v/>
      </c>
      <c r="D10411">
        <f>IF(B10411="","",HOUR(A10411))</f>
        <v/>
      </c>
    </row>
    <row r="10412">
      <c r="A10412">
        <f>Input!A10412</f>
        <v/>
      </c>
      <c r="B10412">
        <f>IF(ISNUMBER(Input!B10412),IF(AND(Input!B10412&gt;=20,Input!B10412&lt;=700),Input!B10412,""),"")</f>
        <v/>
      </c>
      <c r="C10412">
        <f>IF(B10412="","",INT(A10412))</f>
        <v/>
      </c>
      <c r="D10412">
        <f>IF(B10412="","",HOUR(A10412))</f>
        <v/>
      </c>
    </row>
    <row r="10413">
      <c r="A10413">
        <f>Input!A10413</f>
        <v/>
      </c>
      <c r="B10413">
        <f>IF(ISNUMBER(Input!B10413),IF(AND(Input!B10413&gt;=20,Input!B10413&lt;=700),Input!B10413,""),"")</f>
        <v/>
      </c>
      <c r="C10413">
        <f>IF(B10413="","",INT(A10413))</f>
        <v/>
      </c>
      <c r="D10413">
        <f>IF(B10413="","",HOUR(A10413))</f>
        <v/>
      </c>
    </row>
    <row r="10414">
      <c r="A10414">
        <f>Input!A10414</f>
        <v/>
      </c>
      <c r="B10414">
        <f>IF(ISNUMBER(Input!B10414),IF(AND(Input!B10414&gt;=20,Input!B10414&lt;=700),Input!B10414,""),"")</f>
        <v/>
      </c>
      <c r="C10414">
        <f>IF(B10414="","",INT(A10414))</f>
        <v/>
      </c>
      <c r="D10414">
        <f>IF(B10414="","",HOUR(A10414))</f>
        <v/>
      </c>
    </row>
    <row r="10415">
      <c r="A10415">
        <f>Input!A10415</f>
        <v/>
      </c>
      <c r="B10415">
        <f>IF(ISNUMBER(Input!B10415),IF(AND(Input!B10415&gt;=20,Input!B10415&lt;=700),Input!B10415,""),"")</f>
        <v/>
      </c>
      <c r="C10415">
        <f>IF(B10415="","",INT(A10415))</f>
        <v/>
      </c>
      <c r="D10415">
        <f>IF(B10415="","",HOUR(A10415))</f>
        <v/>
      </c>
    </row>
    <row r="10416">
      <c r="A10416">
        <f>Input!A10416</f>
        <v/>
      </c>
      <c r="B10416">
        <f>IF(ISNUMBER(Input!B10416),IF(AND(Input!B10416&gt;=20,Input!B10416&lt;=700),Input!B10416,""),"")</f>
        <v/>
      </c>
      <c r="C10416">
        <f>IF(B10416="","",INT(A10416))</f>
        <v/>
      </c>
      <c r="D10416">
        <f>IF(B10416="","",HOUR(A10416))</f>
        <v/>
      </c>
    </row>
    <row r="10417">
      <c r="A10417">
        <f>Input!A10417</f>
        <v/>
      </c>
      <c r="B10417">
        <f>IF(ISNUMBER(Input!B10417),IF(AND(Input!B10417&gt;=20,Input!B10417&lt;=700),Input!B10417,""),"")</f>
        <v/>
      </c>
      <c r="C10417">
        <f>IF(B10417="","",INT(A10417))</f>
        <v/>
      </c>
      <c r="D10417">
        <f>IF(B10417="","",HOUR(A10417))</f>
        <v/>
      </c>
    </row>
    <row r="10418">
      <c r="A10418">
        <f>Input!A10418</f>
        <v/>
      </c>
      <c r="B10418">
        <f>IF(ISNUMBER(Input!B10418),IF(AND(Input!B10418&gt;=20,Input!B10418&lt;=700),Input!B10418,""),"")</f>
        <v/>
      </c>
      <c r="C10418">
        <f>IF(B10418="","",INT(A10418))</f>
        <v/>
      </c>
      <c r="D10418">
        <f>IF(B10418="","",HOUR(A10418))</f>
        <v/>
      </c>
    </row>
    <row r="10419">
      <c r="A10419">
        <f>Input!A10419</f>
        <v/>
      </c>
      <c r="B10419">
        <f>IF(ISNUMBER(Input!B10419),IF(AND(Input!B10419&gt;=20,Input!B10419&lt;=700),Input!B10419,""),"")</f>
        <v/>
      </c>
      <c r="C10419">
        <f>IF(B10419="","",INT(A10419))</f>
        <v/>
      </c>
      <c r="D10419">
        <f>IF(B10419="","",HOUR(A10419))</f>
        <v/>
      </c>
    </row>
    <row r="10420">
      <c r="A10420">
        <f>Input!A10420</f>
        <v/>
      </c>
      <c r="B10420">
        <f>IF(ISNUMBER(Input!B10420),IF(AND(Input!B10420&gt;=20,Input!B10420&lt;=700),Input!B10420,""),"")</f>
        <v/>
      </c>
      <c r="C10420">
        <f>IF(B10420="","",INT(A10420))</f>
        <v/>
      </c>
      <c r="D10420">
        <f>IF(B10420="","",HOUR(A10420))</f>
        <v/>
      </c>
    </row>
    <row r="10421">
      <c r="A10421">
        <f>Input!A10421</f>
        <v/>
      </c>
      <c r="B10421">
        <f>IF(ISNUMBER(Input!B10421),IF(AND(Input!B10421&gt;=20,Input!B10421&lt;=700),Input!B10421,""),"")</f>
        <v/>
      </c>
      <c r="C10421">
        <f>IF(B10421="","",INT(A10421))</f>
        <v/>
      </c>
      <c r="D10421">
        <f>IF(B10421="","",HOUR(A10421))</f>
        <v/>
      </c>
    </row>
    <row r="10422">
      <c r="A10422">
        <f>Input!A10422</f>
        <v/>
      </c>
      <c r="B10422">
        <f>IF(ISNUMBER(Input!B10422),IF(AND(Input!B10422&gt;=20,Input!B10422&lt;=700),Input!B10422,""),"")</f>
        <v/>
      </c>
      <c r="C10422">
        <f>IF(B10422="","",INT(A10422))</f>
        <v/>
      </c>
      <c r="D10422">
        <f>IF(B10422="","",HOUR(A10422))</f>
        <v/>
      </c>
    </row>
    <row r="10423">
      <c r="A10423">
        <f>Input!A10423</f>
        <v/>
      </c>
      <c r="B10423">
        <f>IF(ISNUMBER(Input!B10423),IF(AND(Input!B10423&gt;=20,Input!B10423&lt;=700),Input!B10423,""),"")</f>
        <v/>
      </c>
      <c r="C10423">
        <f>IF(B10423="","",INT(A10423))</f>
        <v/>
      </c>
      <c r="D10423">
        <f>IF(B10423="","",HOUR(A10423))</f>
        <v/>
      </c>
    </row>
    <row r="10424">
      <c r="A10424">
        <f>Input!A10424</f>
        <v/>
      </c>
      <c r="B10424">
        <f>IF(ISNUMBER(Input!B10424),IF(AND(Input!B10424&gt;=20,Input!B10424&lt;=700),Input!B10424,""),"")</f>
        <v/>
      </c>
      <c r="C10424">
        <f>IF(B10424="","",INT(A10424))</f>
        <v/>
      </c>
      <c r="D10424">
        <f>IF(B10424="","",HOUR(A10424))</f>
        <v/>
      </c>
    </row>
    <row r="10425">
      <c r="A10425">
        <f>Input!A10425</f>
        <v/>
      </c>
      <c r="B10425">
        <f>IF(ISNUMBER(Input!B10425),IF(AND(Input!B10425&gt;=20,Input!B10425&lt;=700),Input!B10425,""),"")</f>
        <v/>
      </c>
      <c r="C10425">
        <f>IF(B10425="","",INT(A10425))</f>
        <v/>
      </c>
      <c r="D10425">
        <f>IF(B10425="","",HOUR(A10425))</f>
        <v/>
      </c>
    </row>
    <row r="10426">
      <c r="A10426">
        <f>Input!A10426</f>
        <v/>
      </c>
      <c r="B10426">
        <f>IF(ISNUMBER(Input!B10426),IF(AND(Input!B10426&gt;=20,Input!B10426&lt;=700),Input!B10426,""),"")</f>
        <v/>
      </c>
      <c r="C10426">
        <f>IF(B10426="","",INT(A10426))</f>
        <v/>
      </c>
      <c r="D10426">
        <f>IF(B10426="","",HOUR(A10426))</f>
        <v/>
      </c>
    </row>
    <row r="10427">
      <c r="A10427">
        <f>Input!A10427</f>
        <v/>
      </c>
      <c r="B10427">
        <f>IF(ISNUMBER(Input!B10427),IF(AND(Input!B10427&gt;=20,Input!B10427&lt;=700),Input!B10427,""),"")</f>
        <v/>
      </c>
      <c r="C10427">
        <f>IF(B10427="","",INT(A10427))</f>
        <v/>
      </c>
      <c r="D10427">
        <f>IF(B10427="","",HOUR(A10427))</f>
        <v/>
      </c>
    </row>
    <row r="10428">
      <c r="A10428">
        <f>Input!A10428</f>
        <v/>
      </c>
      <c r="B10428">
        <f>IF(ISNUMBER(Input!B10428),IF(AND(Input!B10428&gt;=20,Input!B10428&lt;=700),Input!B10428,""),"")</f>
        <v/>
      </c>
      <c r="C10428">
        <f>IF(B10428="","",INT(A10428))</f>
        <v/>
      </c>
      <c r="D10428">
        <f>IF(B10428="","",HOUR(A10428))</f>
        <v/>
      </c>
    </row>
    <row r="10429">
      <c r="A10429">
        <f>Input!A10429</f>
        <v/>
      </c>
      <c r="B10429">
        <f>IF(ISNUMBER(Input!B10429),IF(AND(Input!B10429&gt;=20,Input!B10429&lt;=700),Input!B10429,""),"")</f>
        <v/>
      </c>
      <c r="C10429">
        <f>IF(B10429="","",INT(A10429))</f>
        <v/>
      </c>
      <c r="D10429">
        <f>IF(B10429="","",HOUR(A10429))</f>
        <v/>
      </c>
    </row>
    <row r="10430">
      <c r="A10430">
        <f>Input!A10430</f>
        <v/>
      </c>
      <c r="B10430">
        <f>IF(ISNUMBER(Input!B10430),IF(AND(Input!B10430&gt;=20,Input!B10430&lt;=700),Input!B10430,""),"")</f>
        <v/>
      </c>
      <c r="C10430">
        <f>IF(B10430="","",INT(A10430))</f>
        <v/>
      </c>
      <c r="D10430">
        <f>IF(B10430="","",HOUR(A10430))</f>
        <v/>
      </c>
    </row>
    <row r="10431">
      <c r="A10431">
        <f>Input!A10431</f>
        <v/>
      </c>
      <c r="B10431">
        <f>IF(ISNUMBER(Input!B10431),IF(AND(Input!B10431&gt;=20,Input!B10431&lt;=700),Input!B10431,""),"")</f>
        <v/>
      </c>
      <c r="C10431">
        <f>IF(B10431="","",INT(A10431))</f>
        <v/>
      </c>
      <c r="D10431">
        <f>IF(B10431="","",HOUR(A10431))</f>
        <v/>
      </c>
    </row>
    <row r="10432">
      <c r="A10432">
        <f>Input!A10432</f>
        <v/>
      </c>
      <c r="B10432">
        <f>IF(ISNUMBER(Input!B10432),IF(AND(Input!B10432&gt;=20,Input!B10432&lt;=700),Input!B10432,""),"")</f>
        <v/>
      </c>
      <c r="C10432">
        <f>IF(B10432="","",INT(A10432))</f>
        <v/>
      </c>
      <c r="D10432">
        <f>IF(B10432="","",HOUR(A10432))</f>
        <v/>
      </c>
    </row>
    <row r="10433">
      <c r="A10433">
        <f>Input!A10433</f>
        <v/>
      </c>
      <c r="B10433">
        <f>IF(ISNUMBER(Input!B10433),IF(AND(Input!B10433&gt;=20,Input!B10433&lt;=700),Input!B10433,""),"")</f>
        <v/>
      </c>
      <c r="C10433">
        <f>IF(B10433="","",INT(A10433))</f>
        <v/>
      </c>
      <c r="D10433">
        <f>IF(B10433="","",HOUR(A10433))</f>
        <v/>
      </c>
    </row>
    <row r="10434">
      <c r="A10434">
        <f>Input!A10434</f>
        <v/>
      </c>
      <c r="B10434">
        <f>IF(ISNUMBER(Input!B10434),IF(AND(Input!B10434&gt;=20,Input!B10434&lt;=700),Input!B10434,""),"")</f>
        <v/>
      </c>
      <c r="C10434">
        <f>IF(B10434="","",INT(A10434))</f>
        <v/>
      </c>
      <c r="D10434">
        <f>IF(B10434="","",HOUR(A10434))</f>
        <v/>
      </c>
    </row>
    <row r="10435">
      <c r="A10435">
        <f>Input!A10435</f>
        <v/>
      </c>
      <c r="B10435">
        <f>IF(ISNUMBER(Input!B10435),IF(AND(Input!B10435&gt;=20,Input!B10435&lt;=700),Input!B10435,""),"")</f>
        <v/>
      </c>
      <c r="C10435">
        <f>IF(B10435="","",INT(A10435))</f>
        <v/>
      </c>
      <c r="D10435">
        <f>IF(B10435="","",HOUR(A10435))</f>
        <v/>
      </c>
    </row>
    <row r="10436">
      <c r="A10436">
        <f>Input!A10436</f>
        <v/>
      </c>
      <c r="B10436">
        <f>IF(ISNUMBER(Input!B10436),IF(AND(Input!B10436&gt;=20,Input!B10436&lt;=700),Input!B10436,""),"")</f>
        <v/>
      </c>
      <c r="C10436">
        <f>IF(B10436="","",INT(A10436))</f>
        <v/>
      </c>
      <c r="D10436">
        <f>IF(B10436="","",HOUR(A10436))</f>
        <v/>
      </c>
    </row>
    <row r="10437">
      <c r="A10437">
        <f>Input!A10437</f>
        <v/>
      </c>
      <c r="B10437">
        <f>IF(ISNUMBER(Input!B10437),IF(AND(Input!B10437&gt;=20,Input!B10437&lt;=700),Input!B10437,""),"")</f>
        <v/>
      </c>
      <c r="C10437">
        <f>IF(B10437="","",INT(A10437))</f>
        <v/>
      </c>
      <c r="D10437">
        <f>IF(B10437="","",HOUR(A10437))</f>
        <v/>
      </c>
    </row>
    <row r="10438">
      <c r="A10438">
        <f>Input!A10438</f>
        <v/>
      </c>
      <c r="B10438">
        <f>IF(ISNUMBER(Input!B10438),IF(AND(Input!B10438&gt;=20,Input!B10438&lt;=700),Input!B10438,""),"")</f>
        <v/>
      </c>
      <c r="C10438">
        <f>IF(B10438="","",INT(A10438))</f>
        <v/>
      </c>
      <c r="D10438">
        <f>IF(B10438="","",HOUR(A10438))</f>
        <v/>
      </c>
    </row>
    <row r="10439">
      <c r="A10439">
        <f>Input!A10439</f>
        <v/>
      </c>
      <c r="B10439">
        <f>IF(ISNUMBER(Input!B10439),IF(AND(Input!B10439&gt;=20,Input!B10439&lt;=700),Input!B10439,""),"")</f>
        <v/>
      </c>
      <c r="C10439">
        <f>IF(B10439="","",INT(A10439))</f>
        <v/>
      </c>
      <c r="D10439">
        <f>IF(B10439="","",HOUR(A10439))</f>
        <v/>
      </c>
    </row>
    <row r="10440">
      <c r="A10440">
        <f>Input!A10440</f>
        <v/>
      </c>
      <c r="B10440">
        <f>IF(ISNUMBER(Input!B10440),IF(AND(Input!B10440&gt;=20,Input!B10440&lt;=700),Input!B10440,""),"")</f>
        <v/>
      </c>
      <c r="C10440">
        <f>IF(B10440="","",INT(A10440))</f>
        <v/>
      </c>
      <c r="D10440">
        <f>IF(B10440="","",HOUR(A10440))</f>
        <v/>
      </c>
    </row>
    <row r="10441">
      <c r="A10441">
        <f>Input!A10441</f>
        <v/>
      </c>
      <c r="B10441">
        <f>IF(ISNUMBER(Input!B10441),IF(AND(Input!B10441&gt;=20,Input!B10441&lt;=700),Input!B10441,""),"")</f>
        <v/>
      </c>
      <c r="C10441">
        <f>IF(B10441="","",INT(A10441))</f>
        <v/>
      </c>
      <c r="D10441">
        <f>IF(B10441="","",HOUR(A10441))</f>
        <v/>
      </c>
    </row>
    <row r="10442">
      <c r="A10442">
        <f>Input!A10442</f>
        <v/>
      </c>
      <c r="B10442">
        <f>IF(ISNUMBER(Input!B10442),IF(AND(Input!B10442&gt;=20,Input!B10442&lt;=700),Input!B10442,""),"")</f>
        <v/>
      </c>
      <c r="C10442">
        <f>IF(B10442="","",INT(A10442))</f>
        <v/>
      </c>
      <c r="D10442">
        <f>IF(B10442="","",HOUR(A10442))</f>
        <v/>
      </c>
    </row>
    <row r="10443">
      <c r="A10443">
        <f>Input!A10443</f>
        <v/>
      </c>
      <c r="B10443">
        <f>IF(ISNUMBER(Input!B10443),IF(AND(Input!B10443&gt;=20,Input!B10443&lt;=700),Input!B10443,""),"")</f>
        <v/>
      </c>
      <c r="C10443">
        <f>IF(B10443="","",INT(A10443))</f>
        <v/>
      </c>
      <c r="D10443">
        <f>IF(B10443="","",HOUR(A10443))</f>
        <v/>
      </c>
    </row>
    <row r="10444">
      <c r="A10444">
        <f>Input!A10444</f>
        <v/>
      </c>
      <c r="B10444">
        <f>IF(ISNUMBER(Input!B10444),IF(AND(Input!B10444&gt;=20,Input!B10444&lt;=700),Input!B10444,""),"")</f>
        <v/>
      </c>
      <c r="C10444">
        <f>IF(B10444="","",INT(A10444))</f>
        <v/>
      </c>
      <c r="D10444">
        <f>IF(B10444="","",HOUR(A10444))</f>
        <v/>
      </c>
    </row>
    <row r="10445">
      <c r="A10445">
        <f>Input!A10445</f>
        <v/>
      </c>
      <c r="B10445">
        <f>IF(ISNUMBER(Input!B10445),IF(AND(Input!B10445&gt;=20,Input!B10445&lt;=700),Input!B10445,""),"")</f>
        <v/>
      </c>
      <c r="C10445">
        <f>IF(B10445="","",INT(A10445))</f>
        <v/>
      </c>
      <c r="D10445">
        <f>IF(B10445="","",HOUR(A10445))</f>
        <v/>
      </c>
    </row>
    <row r="10446">
      <c r="A10446">
        <f>Input!A10446</f>
        <v/>
      </c>
      <c r="B10446">
        <f>IF(ISNUMBER(Input!B10446),IF(AND(Input!B10446&gt;=20,Input!B10446&lt;=700),Input!B10446,""),"")</f>
        <v/>
      </c>
      <c r="C10446">
        <f>IF(B10446="","",INT(A10446))</f>
        <v/>
      </c>
      <c r="D10446">
        <f>IF(B10446="","",HOUR(A10446))</f>
        <v/>
      </c>
    </row>
    <row r="10447">
      <c r="A10447">
        <f>Input!A10447</f>
        <v/>
      </c>
      <c r="B10447">
        <f>IF(ISNUMBER(Input!B10447),IF(AND(Input!B10447&gt;=20,Input!B10447&lt;=700),Input!B10447,""),"")</f>
        <v/>
      </c>
      <c r="C10447">
        <f>IF(B10447="","",INT(A10447))</f>
        <v/>
      </c>
      <c r="D10447">
        <f>IF(B10447="","",HOUR(A10447))</f>
        <v/>
      </c>
    </row>
    <row r="10448">
      <c r="A10448">
        <f>Input!A10448</f>
        <v/>
      </c>
      <c r="B10448">
        <f>IF(ISNUMBER(Input!B10448),IF(AND(Input!B10448&gt;=20,Input!B10448&lt;=700),Input!B10448,""),"")</f>
        <v/>
      </c>
      <c r="C10448">
        <f>IF(B10448="","",INT(A10448))</f>
        <v/>
      </c>
      <c r="D10448">
        <f>IF(B10448="","",HOUR(A10448))</f>
        <v/>
      </c>
    </row>
    <row r="10449">
      <c r="A10449">
        <f>Input!A10449</f>
        <v/>
      </c>
      <c r="B10449">
        <f>IF(ISNUMBER(Input!B10449),IF(AND(Input!B10449&gt;=20,Input!B10449&lt;=700),Input!B10449,""),"")</f>
        <v/>
      </c>
      <c r="C10449">
        <f>IF(B10449="","",INT(A10449))</f>
        <v/>
      </c>
      <c r="D10449">
        <f>IF(B10449="","",HOUR(A10449))</f>
        <v/>
      </c>
    </row>
    <row r="10450">
      <c r="A10450">
        <f>Input!A10450</f>
        <v/>
      </c>
      <c r="B10450">
        <f>IF(ISNUMBER(Input!B10450),IF(AND(Input!B10450&gt;=20,Input!B10450&lt;=700),Input!B10450,""),"")</f>
        <v/>
      </c>
      <c r="C10450">
        <f>IF(B10450="","",INT(A10450))</f>
        <v/>
      </c>
      <c r="D10450">
        <f>IF(B10450="","",HOUR(A10450))</f>
        <v/>
      </c>
    </row>
    <row r="10451">
      <c r="A10451">
        <f>Input!A10451</f>
        <v/>
      </c>
      <c r="B10451">
        <f>IF(ISNUMBER(Input!B10451),IF(AND(Input!B10451&gt;=20,Input!B10451&lt;=700),Input!B10451,""),"")</f>
        <v/>
      </c>
      <c r="C10451">
        <f>IF(B10451="","",INT(A10451))</f>
        <v/>
      </c>
      <c r="D10451">
        <f>IF(B10451="","",HOUR(A10451))</f>
        <v/>
      </c>
    </row>
    <row r="10452">
      <c r="A10452">
        <f>Input!A10452</f>
        <v/>
      </c>
      <c r="B10452">
        <f>IF(ISNUMBER(Input!B10452),IF(AND(Input!B10452&gt;=20,Input!B10452&lt;=700),Input!B10452,""),"")</f>
        <v/>
      </c>
      <c r="C10452">
        <f>IF(B10452="","",INT(A10452))</f>
        <v/>
      </c>
      <c r="D10452">
        <f>IF(B10452="","",HOUR(A10452))</f>
        <v/>
      </c>
    </row>
    <row r="10453">
      <c r="A10453">
        <f>Input!A10453</f>
        <v/>
      </c>
      <c r="B10453">
        <f>IF(ISNUMBER(Input!B10453),IF(AND(Input!B10453&gt;=20,Input!B10453&lt;=700),Input!B10453,""),"")</f>
        <v/>
      </c>
      <c r="C10453">
        <f>IF(B10453="","",INT(A10453))</f>
        <v/>
      </c>
      <c r="D10453">
        <f>IF(B10453="","",HOUR(A10453))</f>
        <v/>
      </c>
    </row>
    <row r="10454">
      <c r="A10454">
        <f>Input!A10454</f>
        <v/>
      </c>
      <c r="B10454">
        <f>IF(ISNUMBER(Input!B10454),IF(AND(Input!B10454&gt;=20,Input!B10454&lt;=700),Input!B10454,""),"")</f>
        <v/>
      </c>
      <c r="C10454">
        <f>IF(B10454="","",INT(A10454))</f>
        <v/>
      </c>
      <c r="D10454">
        <f>IF(B10454="","",HOUR(A10454))</f>
        <v/>
      </c>
    </row>
    <row r="10455">
      <c r="A10455">
        <f>Input!A10455</f>
        <v/>
      </c>
      <c r="B10455">
        <f>IF(ISNUMBER(Input!B10455),IF(AND(Input!B10455&gt;=20,Input!B10455&lt;=700),Input!B10455,""),"")</f>
        <v/>
      </c>
      <c r="C10455">
        <f>IF(B10455="","",INT(A10455))</f>
        <v/>
      </c>
      <c r="D10455">
        <f>IF(B10455="","",HOUR(A10455))</f>
        <v/>
      </c>
    </row>
    <row r="10456">
      <c r="A10456">
        <f>Input!A10456</f>
        <v/>
      </c>
      <c r="B10456">
        <f>IF(ISNUMBER(Input!B10456),IF(AND(Input!B10456&gt;=20,Input!B10456&lt;=700),Input!B10456,""),"")</f>
        <v/>
      </c>
      <c r="C10456">
        <f>IF(B10456="","",INT(A10456))</f>
        <v/>
      </c>
      <c r="D10456">
        <f>IF(B10456="","",HOUR(A10456))</f>
        <v/>
      </c>
    </row>
    <row r="10457">
      <c r="A10457">
        <f>Input!A10457</f>
        <v/>
      </c>
      <c r="B10457">
        <f>IF(ISNUMBER(Input!B10457),IF(AND(Input!B10457&gt;=20,Input!B10457&lt;=700),Input!B10457,""),"")</f>
        <v/>
      </c>
      <c r="C10457">
        <f>IF(B10457="","",INT(A10457))</f>
        <v/>
      </c>
      <c r="D10457">
        <f>IF(B10457="","",HOUR(A10457))</f>
        <v/>
      </c>
    </row>
    <row r="10458">
      <c r="A10458">
        <f>Input!A10458</f>
        <v/>
      </c>
      <c r="B10458">
        <f>IF(ISNUMBER(Input!B10458),IF(AND(Input!B10458&gt;=20,Input!B10458&lt;=700),Input!B10458,""),"")</f>
        <v/>
      </c>
      <c r="C10458">
        <f>IF(B10458="","",INT(A10458))</f>
        <v/>
      </c>
      <c r="D10458">
        <f>IF(B10458="","",HOUR(A10458))</f>
        <v/>
      </c>
    </row>
    <row r="10459">
      <c r="A10459">
        <f>Input!A10459</f>
        <v/>
      </c>
      <c r="B10459">
        <f>IF(ISNUMBER(Input!B10459),IF(AND(Input!B10459&gt;=20,Input!B10459&lt;=700),Input!B10459,""),"")</f>
        <v/>
      </c>
      <c r="C10459">
        <f>IF(B10459="","",INT(A10459))</f>
        <v/>
      </c>
      <c r="D10459">
        <f>IF(B10459="","",HOUR(A10459))</f>
        <v/>
      </c>
    </row>
    <row r="10460">
      <c r="A10460">
        <f>Input!A10460</f>
        <v/>
      </c>
      <c r="B10460">
        <f>IF(ISNUMBER(Input!B10460),IF(AND(Input!B10460&gt;=20,Input!B10460&lt;=700),Input!B10460,""),"")</f>
        <v/>
      </c>
      <c r="C10460">
        <f>IF(B10460="","",INT(A10460))</f>
        <v/>
      </c>
      <c r="D10460">
        <f>IF(B10460="","",HOUR(A10460))</f>
        <v/>
      </c>
    </row>
    <row r="10461">
      <c r="A10461">
        <f>Input!A10461</f>
        <v/>
      </c>
      <c r="B10461">
        <f>IF(ISNUMBER(Input!B10461),IF(AND(Input!B10461&gt;=20,Input!B10461&lt;=700),Input!B10461,""),"")</f>
        <v/>
      </c>
      <c r="C10461">
        <f>IF(B10461="","",INT(A10461))</f>
        <v/>
      </c>
      <c r="D10461">
        <f>IF(B10461="","",HOUR(A10461))</f>
        <v/>
      </c>
    </row>
    <row r="10462">
      <c r="A10462">
        <f>Input!A10462</f>
        <v/>
      </c>
      <c r="B10462">
        <f>IF(ISNUMBER(Input!B10462),IF(AND(Input!B10462&gt;=20,Input!B10462&lt;=700),Input!B10462,""),"")</f>
        <v/>
      </c>
      <c r="C10462">
        <f>IF(B10462="","",INT(A10462))</f>
        <v/>
      </c>
      <c r="D10462">
        <f>IF(B10462="","",HOUR(A10462))</f>
        <v/>
      </c>
    </row>
    <row r="10463">
      <c r="A10463">
        <f>Input!A10463</f>
        <v/>
      </c>
      <c r="B10463">
        <f>IF(ISNUMBER(Input!B10463),IF(AND(Input!B10463&gt;=20,Input!B10463&lt;=700),Input!B10463,""),"")</f>
        <v/>
      </c>
      <c r="C10463">
        <f>IF(B10463="","",INT(A10463))</f>
        <v/>
      </c>
      <c r="D10463">
        <f>IF(B10463="","",HOUR(A10463))</f>
        <v/>
      </c>
    </row>
    <row r="10464">
      <c r="A10464">
        <f>Input!A10464</f>
        <v/>
      </c>
      <c r="B10464">
        <f>IF(ISNUMBER(Input!B10464),IF(AND(Input!B10464&gt;=20,Input!B10464&lt;=700),Input!B10464,""),"")</f>
        <v/>
      </c>
      <c r="C10464">
        <f>IF(B10464="","",INT(A10464))</f>
        <v/>
      </c>
      <c r="D10464">
        <f>IF(B10464="","",HOUR(A10464))</f>
        <v/>
      </c>
    </row>
    <row r="10465">
      <c r="A10465">
        <f>Input!A10465</f>
        <v/>
      </c>
      <c r="B10465">
        <f>IF(ISNUMBER(Input!B10465),IF(AND(Input!B10465&gt;=20,Input!B10465&lt;=700),Input!B10465,""),"")</f>
        <v/>
      </c>
      <c r="C10465">
        <f>IF(B10465="","",INT(A10465))</f>
        <v/>
      </c>
      <c r="D10465">
        <f>IF(B10465="","",HOUR(A10465))</f>
        <v/>
      </c>
    </row>
    <row r="10466">
      <c r="A10466">
        <f>Input!A10466</f>
        <v/>
      </c>
      <c r="B10466">
        <f>IF(ISNUMBER(Input!B10466),IF(AND(Input!B10466&gt;=20,Input!B10466&lt;=700),Input!B10466,""),"")</f>
        <v/>
      </c>
      <c r="C10466">
        <f>IF(B10466="","",INT(A10466))</f>
        <v/>
      </c>
      <c r="D10466">
        <f>IF(B10466="","",HOUR(A10466))</f>
        <v/>
      </c>
    </row>
    <row r="10467">
      <c r="A10467">
        <f>Input!A10467</f>
        <v/>
      </c>
      <c r="B10467">
        <f>IF(ISNUMBER(Input!B10467),IF(AND(Input!B10467&gt;=20,Input!B10467&lt;=700),Input!B10467,""),"")</f>
        <v/>
      </c>
      <c r="C10467">
        <f>IF(B10467="","",INT(A10467))</f>
        <v/>
      </c>
      <c r="D10467">
        <f>IF(B10467="","",HOUR(A10467))</f>
        <v/>
      </c>
    </row>
    <row r="10468">
      <c r="A10468">
        <f>Input!A10468</f>
        <v/>
      </c>
      <c r="B10468">
        <f>IF(ISNUMBER(Input!B10468),IF(AND(Input!B10468&gt;=20,Input!B10468&lt;=700),Input!B10468,""),"")</f>
        <v/>
      </c>
      <c r="C10468">
        <f>IF(B10468="","",INT(A10468))</f>
        <v/>
      </c>
      <c r="D10468">
        <f>IF(B10468="","",HOUR(A10468))</f>
        <v/>
      </c>
    </row>
    <row r="10469">
      <c r="A10469">
        <f>Input!A10469</f>
        <v/>
      </c>
      <c r="B10469">
        <f>IF(ISNUMBER(Input!B10469),IF(AND(Input!B10469&gt;=20,Input!B10469&lt;=700),Input!B10469,""),"")</f>
        <v/>
      </c>
      <c r="C10469">
        <f>IF(B10469="","",INT(A10469))</f>
        <v/>
      </c>
      <c r="D10469">
        <f>IF(B10469="","",HOUR(A10469))</f>
        <v/>
      </c>
    </row>
    <row r="10470">
      <c r="A10470">
        <f>Input!A10470</f>
        <v/>
      </c>
      <c r="B10470">
        <f>IF(ISNUMBER(Input!B10470),IF(AND(Input!B10470&gt;=20,Input!B10470&lt;=700),Input!B10470,""),"")</f>
        <v/>
      </c>
      <c r="C10470">
        <f>IF(B10470="","",INT(A10470))</f>
        <v/>
      </c>
      <c r="D10470">
        <f>IF(B10470="","",HOUR(A10470))</f>
        <v/>
      </c>
    </row>
    <row r="10471">
      <c r="A10471">
        <f>Input!A10471</f>
        <v/>
      </c>
      <c r="B10471">
        <f>IF(ISNUMBER(Input!B10471),IF(AND(Input!B10471&gt;=20,Input!B10471&lt;=700),Input!B10471,""),"")</f>
        <v/>
      </c>
      <c r="C10471">
        <f>IF(B10471="","",INT(A10471))</f>
        <v/>
      </c>
      <c r="D10471">
        <f>IF(B10471="","",HOUR(A10471))</f>
        <v/>
      </c>
    </row>
    <row r="10472">
      <c r="A10472">
        <f>Input!A10472</f>
        <v/>
      </c>
      <c r="B10472">
        <f>IF(ISNUMBER(Input!B10472),IF(AND(Input!B10472&gt;=20,Input!B10472&lt;=700),Input!B10472,""),"")</f>
        <v/>
      </c>
      <c r="C10472">
        <f>IF(B10472="","",INT(A10472))</f>
        <v/>
      </c>
      <c r="D10472">
        <f>IF(B10472="","",HOUR(A10472))</f>
        <v/>
      </c>
    </row>
    <row r="10473">
      <c r="A10473">
        <f>Input!A10473</f>
        <v/>
      </c>
      <c r="B10473">
        <f>IF(ISNUMBER(Input!B10473),IF(AND(Input!B10473&gt;=20,Input!B10473&lt;=700),Input!B10473,""),"")</f>
        <v/>
      </c>
      <c r="C10473">
        <f>IF(B10473="","",INT(A10473))</f>
        <v/>
      </c>
      <c r="D10473">
        <f>IF(B10473="","",HOUR(A10473))</f>
        <v/>
      </c>
    </row>
    <row r="10474">
      <c r="A10474">
        <f>Input!A10474</f>
        <v/>
      </c>
      <c r="B10474">
        <f>IF(ISNUMBER(Input!B10474),IF(AND(Input!B10474&gt;=20,Input!B10474&lt;=700),Input!B10474,""),"")</f>
        <v/>
      </c>
      <c r="C10474">
        <f>IF(B10474="","",INT(A10474))</f>
        <v/>
      </c>
      <c r="D10474">
        <f>IF(B10474="","",HOUR(A10474))</f>
        <v/>
      </c>
    </row>
    <row r="10475">
      <c r="A10475">
        <f>Input!A10475</f>
        <v/>
      </c>
      <c r="B10475">
        <f>IF(ISNUMBER(Input!B10475),IF(AND(Input!B10475&gt;=20,Input!B10475&lt;=700),Input!B10475,""),"")</f>
        <v/>
      </c>
      <c r="C10475">
        <f>IF(B10475="","",INT(A10475))</f>
        <v/>
      </c>
      <c r="D10475">
        <f>IF(B10475="","",HOUR(A10475))</f>
        <v/>
      </c>
    </row>
    <row r="10476">
      <c r="A10476">
        <f>Input!A10476</f>
        <v/>
      </c>
      <c r="B10476">
        <f>IF(ISNUMBER(Input!B10476),IF(AND(Input!B10476&gt;=20,Input!B10476&lt;=700),Input!B10476,""),"")</f>
        <v/>
      </c>
      <c r="C10476">
        <f>IF(B10476="","",INT(A10476))</f>
        <v/>
      </c>
      <c r="D10476">
        <f>IF(B10476="","",HOUR(A10476))</f>
        <v/>
      </c>
    </row>
    <row r="10477">
      <c r="A10477">
        <f>Input!A10477</f>
        <v/>
      </c>
      <c r="B10477">
        <f>IF(ISNUMBER(Input!B10477),IF(AND(Input!B10477&gt;=20,Input!B10477&lt;=700),Input!B10477,""),"")</f>
        <v/>
      </c>
      <c r="C10477">
        <f>IF(B10477="","",INT(A10477))</f>
        <v/>
      </c>
      <c r="D10477">
        <f>IF(B10477="","",HOUR(A10477))</f>
        <v/>
      </c>
    </row>
    <row r="10478">
      <c r="A10478">
        <f>Input!A10478</f>
        <v/>
      </c>
      <c r="B10478">
        <f>IF(ISNUMBER(Input!B10478),IF(AND(Input!B10478&gt;=20,Input!B10478&lt;=700),Input!B10478,""),"")</f>
        <v/>
      </c>
      <c r="C10478">
        <f>IF(B10478="","",INT(A10478))</f>
        <v/>
      </c>
      <c r="D10478">
        <f>IF(B10478="","",HOUR(A10478))</f>
        <v/>
      </c>
    </row>
    <row r="10479">
      <c r="A10479">
        <f>Input!A10479</f>
        <v/>
      </c>
      <c r="B10479">
        <f>IF(ISNUMBER(Input!B10479),IF(AND(Input!B10479&gt;=20,Input!B10479&lt;=700),Input!B10479,""),"")</f>
        <v/>
      </c>
      <c r="C10479">
        <f>IF(B10479="","",INT(A10479))</f>
        <v/>
      </c>
      <c r="D10479">
        <f>IF(B10479="","",HOUR(A10479))</f>
        <v/>
      </c>
    </row>
    <row r="10480">
      <c r="A10480">
        <f>Input!A10480</f>
        <v/>
      </c>
      <c r="B10480">
        <f>IF(ISNUMBER(Input!B10480),IF(AND(Input!B10480&gt;=20,Input!B10480&lt;=700),Input!B10480,""),"")</f>
        <v/>
      </c>
      <c r="C10480">
        <f>IF(B10480="","",INT(A10480))</f>
        <v/>
      </c>
      <c r="D10480">
        <f>IF(B10480="","",HOUR(A10480))</f>
        <v/>
      </c>
    </row>
    <row r="10481">
      <c r="A10481">
        <f>Input!A10481</f>
        <v/>
      </c>
      <c r="B10481">
        <f>IF(ISNUMBER(Input!B10481),IF(AND(Input!B10481&gt;=20,Input!B10481&lt;=700),Input!B10481,""),"")</f>
        <v/>
      </c>
      <c r="C10481">
        <f>IF(B10481="","",INT(A10481))</f>
        <v/>
      </c>
      <c r="D10481">
        <f>IF(B10481="","",HOUR(A10481))</f>
        <v/>
      </c>
    </row>
    <row r="10482">
      <c r="A10482">
        <f>Input!A10482</f>
        <v/>
      </c>
      <c r="B10482">
        <f>IF(ISNUMBER(Input!B10482),IF(AND(Input!B10482&gt;=20,Input!B10482&lt;=700),Input!B10482,""),"")</f>
        <v/>
      </c>
      <c r="C10482">
        <f>IF(B10482="","",INT(A10482))</f>
        <v/>
      </c>
      <c r="D10482">
        <f>IF(B10482="","",HOUR(A10482))</f>
        <v/>
      </c>
    </row>
    <row r="10483">
      <c r="A10483">
        <f>Input!A10483</f>
        <v/>
      </c>
      <c r="B10483">
        <f>IF(ISNUMBER(Input!B10483),IF(AND(Input!B10483&gt;=20,Input!B10483&lt;=700),Input!B10483,""),"")</f>
        <v/>
      </c>
      <c r="C10483">
        <f>IF(B10483="","",INT(A10483))</f>
        <v/>
      </c>
      <c r="D10483">
        <f>IF(B10483="","",HOUR(A10483))</f>
        <v/>
      </c>
    </row>
    <row r="10484">
      <c r="A10484">
        <f>Input!A10484</f>
        <v/>
      </c>
      <c r="B10484">
        <f>IF(ISNUMBER(Input!B10484),IF(AND(Input!B10484&gt;=20,Input!B10484&lt;=700),Input!B10484,""),"")</f>
        <v/>
      </c>
      <c r="C10484">
        <f>IF(B10484="","",INT(A10484))</f>
        <v/>
      </c>
      <c r="D10484">
        <f>IF(B10484="","",HOUR(A10484))</f>
        <v/>
      </c>
    </row>
    <row r="10485">
      <c r="A10485">
        <f>Input!A10485</f>
        <v/>
      </c>
      <c r="B10485">
        <f>IF(ISNUMBER(Input!B10485),IF(AND(Input!B10485&gt;=20,Input!B10485&lt;=700),Input!B10485,""),"")</f>
        <v/>
      </c>
      <c r="C10485">
        <f>IF(B10485="","",INT(A10485))</f>
        <v/>
      </c>
      <c r="D10485">
        <f>IF(B10485="","",HOUR(A10485))</f>
        <v/>
      </c>
    </row>
    <row r="10486">
      <c r="A10486">
        <f>Input!A10486</f>
        <v/>
      </c>
      <c r="B10486">
        <f>IF(ISNUMBER(Input!B10486),IF(AND(Input!B10486&gt;=20,Input!B10486&lt;=700),Input!B10486,""),"")</f>
        <v/>
      </c>
      <c r="C10486">
        <f>IF(B10486="","",INT(A10486))</f>
        <v/>
      </c>
      <c r="D10486">
        <f>IF(B10486="","",HOUR(A10486))</f>
        <v/>
      </c>
    </row>
    <row r="10487">
      <c r="A10487">
        <f>Input!A10487</f>
        <v/>
      </c>
      <c r="B10487">
        <f>IF(ISNUMBER(Input!B10487),IF(AND(Input!B10487&gt;=20,Input!B10487&lt;=700),Input!B10487,""),"")</f>
        <v/>
      </c>
      <c r="C10487">
        <f>IF(B10487="","",INT(A10487))</f>
        <v/>
      </c>
      <c r="D10487">
        <f>IF(B10487="","",HOUR(A10487))</f>
        <v/>
      </c>
    </row>
    <row r="10488">
      <c r="A10488">
        <f>Input!A10488</f>
        <v/>
      </c>
      <c r="B10488">
        <f>IF(ISNUMBER(Input!B10488),IF(AND(Input!B10488&gt;=20,Input!B10488&lt;=700),Input!B10488,""),"")</f>
        <v/>
      </c>
      <c r="C10488">
        <f>IF(B10488="","",INT(A10488))</f>
        <v/>
      </c>
      <c r="D10488">
        <f>IF(B10488="","",HOUR(A10488))</f>
        <v/>
      </c>
    </row>
    <row r="10489">
      <c r="A10489">
        <f>Input!A10489</f>
        <v/>
      </c>
      <c r="B10489">
        <f>IF(ISNUMBER(Input!B10489),IF(AND(Input!B10489&gt;=20,Input!B10489&lt;=700),Input!B10489,""),"")</f>
        <v/>
      </c>
      <c r="C10489">
        <f>IF(B10489="","",INT(A10489))</f>
        <v/>
      </c>
      <c r="D10489">
        <f>IF(B10489="","",HOUR(A10489))</f>
        <v/>
      </c>
    </row>
    <row r="10490">
      <c r="A10490">
        <f>Input!A10490</f>
        <v/>
      </c>
      <c r="B10490">
        <f>IF(ISNUMBER(Input!B10490),IF(AND(Input!B10490&gt;=20,Input!B10490&lt;=700),Input!B10490,""),"")</f>
        <v/>
      </c>
      <c r="C10490">
        <f>IF(B10490="","",INT(A10490))</f>
        <v/>
      </c>
      <c r="D10490">
        <f>IF(B10490="","",HOUR(A10490))</f>
        <v/>
      </c>
    </row>
    <row r="10491">
      <c r="A10491">
        <f>Input!A10491</f>
        <v/>
      </c>
      <c r="B10491">
        <f>IF(ISNUMBER(Input!B10491),IF(AND(Input!B10491&gt;=20,Input!B10491&lt;=700),Input!B10491,""),"")</f>
        <v/>
      </c>
      <c r="C10491">
        <f>IF(B10491="","",INT(A10491))</f>
        <v/>
      </c>
      <c r="D10491">
        <f>IF(B10491="","",HOUR(A10491))</f>
        <v/>
      </c>
    </row>
    <row r="10492">
      <c r="A10492">
        <f>Input!A10492</f>
        <v/>
      </c>
      <c r="B10492">
        <f>IF(ISNUMBER(Input!B10492),IF(AND(Input!B10492&gt;=20,Input!B10492&lt;=700),Input!B10492,""),"")</f>
        <v/>
      </c>
      <c r="C10492">
        <f>IF(B10492="","",INT(A10492))</f>
        <v/>
      </c>
      <c r="D10492">
        <f>IF(B10492="","",HOUR(A10492))</f>
        <v/>
      </c>
    </row>
    <row r="10493">
      <c r="A10493">
        <f>Input!A10493</f>
        <v/>
      </c>
      <c r="B10493">
        <f>IF(ISNUMBER(Input!B10493),IF(AND(Input!B10493&gt;=20,Input!B10493&lt;=700),Input!B10493,""),"")</f>
        <v/>
      </c>
      <c r="C10493">
        <f>IF(B10493="","",INT(A10493))</f>
        <v/>
      </c>
      <c r="D10493">
        <f>IF(B10493="","",HOUR(A10493))</f>
        <v/>
      </c>
    </row>
    <row r="10494">
      <c r="A10494">
        <f>Input!A10494</f>
        <v/>
      </c>
      <c r="B10494">
        <f>IF(ISNUMBER(Input!B10494),IF(AND(Input!B10494&gt;=20,Input!B10494&lt;=700),Input!B10494,""),"")</f>
        <v/>
      </c>
      <c r="C10494">
        <f>IF(B10494="","",INT(A10494))</f>
        <v/>
      </c>
      <c r="D10494">
        <f>IF(B10494="","",HOUR(A10494))</f>
        <v/>
      </c>
    </row>
    <row r="10495">
      <c r="A10495">
        <f>Input!A10495</f>
        <v/>
      </c>
      <c r="B10495">
        <f>IF(ISNUMBER(Input!B10495),IF(AND(Input!B10495&gt;=20,Input!B10495&lt;=700),Input!B10495,""),"")</f>
        <v/>
      </c>
      <c r="C10495">
        <f>IF(B10495="","",INT(A10495))</f>
        <v/>
      </c>
      <c r="D10495">
        <f>IF(B10495="","",HOUR(A10495))</f>
        <v/>
      </c>
    </row>
    <row r="10496">
      <c r="A10496">
        <f>Input!A10496</f>
        <v/>
      </c>
      <c r="B10496">
        <f>IF(ISNUMBER(Input!B10496),IF(AND(Input!B10496&gt;=20,Input!B10496&lt;=700),Input!B10496,""),"")</f>
        <v/>
      </c>
      <c r="C10496">
        <f>IF(B10496="","",INT(A10496))</f>
        <v/>
      </c>
      <c r="D10496">
        <f>IF(B10496="","",HOUR(A10496))</f>
        <v/>
      </c>
    </row>
    <row r="10497">
      <c r="A10497">
        <f>Input!A10497</f>
        <v/>
      </c>
      <c r="B10497">
        <f>IF(ISNUMBER(Input!B10497),IF(AND(Input!B10497&gt;=20,Input!B10497&lt;=700),Input!B10497,""),"")</f>
        <v/>
      </c>
      <c r="C10497">
        <f>IF(B10497="","",INT(A10497))</f>
        <v/>
      </c>
      <c r="D10497">
        <f>IF(B10497="","",HOUR(A10497))</f>
        <v/>
      </c>
    </row>
    <row r="10498">
      <c r="A10498">
        <f>Input!A10498</f>
        <v/>
      </c>
      <c r="B10498">
        <f>IF(ISNUMBER(Input!B10498),IF(AND(Input!B10498&gt;=20,Input!B10498&lt;=700),Input!B10498,""),"")</f>
        <v/>
      </c>
      <c r="C10498">
        <f>IF(B10498="","",INT(A10498))</f>
        <v/>
      </c>
      <c r="D10498">
        <f>IF(B10498="","",HOUR(A10498))</f>
        <v/>
      </c>
    </row>
    <row r="10499">
      <c r="A10499">
        <f>Input!A10499</f>
        <v/>
      </c>
      <c r="B10499">
        <f>IF(ISNUMBER(Input!B10499),IF(AND(Input!B10499&gt;=20,Input!B10499&lt;=700),Input!B10499,""),"")</f>
        <v/>
      </c>
      <c r="C10499">
        <f>IF(B10499="","",INT(A10499))</f>
        <v/>
      </c>
      <c r="D10499">
        <f>IF(B10499="","",HOUR(A10499))</f>
        <v/>
      </c>
    </row>
    <row r="10500">
      <c r="A10500">
        <f>Input!A10500</f>
        <v/>
      </c>
      <c r="B10500">
        <f>IF(ISNUMBER(Input!B10500),IF(AND(Input!B10500&gt;=20,Input!B10500&lt;=700),Input!B10500,""),"")</f>
        <v/>
      </c>
      <c r="C10500">
        <f>IF(B10500="","",INT(A10500))</f>
        <v/>
      </c>
      <c r="D10500">
        <f>IF(B10500="","",HOUR(A10500))</f>
        <v/>
      </c>
    </row>
    <row r="10501">
      <c r="A10501">
        <f>Input!A10501</f>
        <v/>
      </c>
      <c r="B10501">
        <f>IF(ISNUMBER(Input!B10501),IF(AND(Input!B10501&gt;=20,Input!B10501&lt;=700),Input!B10501,""),"")</f>
        <v/>
      </c>
      <c r="C10501">
        <f>IF(B10501="","",INT(A10501))</f>
        <v/>
      </c>
      <c r="D10501">
        <f>IF(B10501="","",HOUR(A10501))</f>
        <v/>
      </c>
    </row>
    <row r="10502">
      <c r="A10502">
        <f>Input!A10502</f>
        <v/>
      </c>
      <c r="B10502">
        <f>IF(ISNUMBER(Input!B10502),IF(AND(Input!B10502&gt;=20,Input!B10502&lt;=700),Input!B10502,""),"")</f>
        <v/>
      </c>
      <c r="C10502">
        <f>IF(B10502="","",INT(A10502))</f>
        <v/>
      </c>
      <c r="D10502">
        <f>IF(B10502="","",HOUR(A10502))</f>
        <v/>
      </c>
    </row>
    <row r="10503">
      <c r="A10503">
        <f>Input!A10503</f>
        <v/>
      </c>
      <c r="B10503">
        <f>IF(ISNUMBER(Input!B10503),IF(AND(Input!B10503&gt;=20,Input!B10503&lt;=700),Input!B10503,""),"")</f>
        <v/>
      </c>
      <c r="C10503">
        <f>IF(B10503="","",INT(A10503))</f>
        <v/>
      </c>
      <c r="D10503">
        <f>IF(B10503="","",HOUR(A10503))</f>
        <v/>
      </c>
    </row>
    <row r="10504">
      <c r="A10504">
        <f>Input!A10504</f>
        <v/>
      </c>
      <c r="B10504">
        <f>IF(ISNUMBER(Input!B10504),IF(AND(Input!B10504&gt;=20,Input!B10504&lt;=700),Input!B10504,""),"")</f>
        <v/>
      </c>
      <c r="C10504">
        <f>IF(B10504="","",INT(A10504))</f>
        <v/>
      </c>
      <c r="D10504">
        <f>IF(B10504="","",HOUR(A10504))</f>
        <v/>
      </c>
    </row>
    <row r="10505">
      <c r="A10505">
        <f>Input!A10505</f>
        <v/>
      </c>
      <c r="B10505">
        <f>IF(ISNUMBER(Input!B10505),IF(AND(Input!B10505&gt;=20,Input!B10505&lt;=700),Input!B10505,""),"")</f>
        <v/>
      </c>
      <c r="C10505">
        <f>IF(B10505="","",INT(A10505))</f>
        <v/>
      </c>
      <c r="D10505">
        <f>IF(B10505="","",HOUR(A10505))</f>
        <v/>
      </c>
    </row>
    <row r="10506">
      <c r="A10506">
        <f>Input!A10506</f>
        <v/>
      </c>
      <c r="B10506">
        <f>IF(ISNUMBER(Input!B10506),IF(AND(Input!B10506&gt;=20,Input!B10506&lt;=700),Input!B10506,""),"")</f>
        <v/>
      </c>
      <c r="C10506">
        <f>IF(B10506="","",INT(A10506))</f>
        <v/>
      </c>
      <c r="D10506">
        <f>IF(B10506="","",HOUR(A10506))</f>
        <v/>
      </c>
    </row>
    <row r="10507">
      <c r="A10507">
        <f>Input!A10507</f>
        <v/>
      </c>
      <c r="B10507">
        <f>IF(ISNUMBER(Input!B10507),IF(AND(Input!B10507&gt;=20,Input!B10507&lt;=700),Input!B10507,""),"")</f>
        <v/>
      </c>
      <c r="C10507">
        <f>IF(B10507="","",INT(A10507))</f>
        <v/>
      </c>
      <c r="D10507">
        <f>IF(B10507="","",HOUR(A10507))</f>
        <v/>
      </c>
    </row>
    <row r="10508">
      <c r="A10508">
        <f>Input!A10508</f>
        <v/>
      </c>
      <c r="B10508">
        <f>IF(ISNUMBER(Input!B10508),IF(AND(Input!B10508&gt;=20,Input!B10508&lt;=700),Input!B10508,""),"")</f>
        <v/>
      </c>
      <c r="C10508">
        <f>IF(B10508="","",INT(A10508))</f>
        <v/>
      </c>
      <c r="D10508">
        <f>IF(B10508="","",HOUR(A10508))</f>
        <v/>
      </c>
    </row>
    <row r="10509">
      <c r="A10509">
        <f>Input!A10509</f>
        <v/>
      </c>
      <c r="B10509">
        <f>IF(ISNUMBER(Input!B10509),IF(AND(Input!B10509&gt;=20,Input!B10509&lt;=700),Input!B10509,""),"")</f>
        <v/>
      </c>
      <c r="C10509">
        <f>IF(B10509="","",INT(A10509))</f>
        <v/>
      </c>
      <c r="D10509">
        <f>IF(B10509="","",HOUR(A10509))</f>
        <v/>
      </c>
    </row>
    <row r="10510">
      <c r="A10510">
        <f>Input!A10510</f>
        <v/>
      </c>
      <c r="B10510">
        <f>IF(ISNUMBER(Input!B10510),IF(AND(Input!B10510&gt;=20,Input!B10510&lt;=700),Input!B10510,""),"")</f>
        <v/>
      </c>
      <c r="C10510">
        <f>IF(B10510="","",INT(A10510))</f>
        <v/>
      </c>
      <c r="D10510">
        <f>IF(B10510="","",HOUR(A10510))</f>
        <v/>
      </c>
    </row>
    <row r="10511">
      <c r="A10511">
        <f>Input!A10511</f>
        <v/>
      </c>
      <c r="B10511">
        <f>IF(ISNUMBER(Input!B10511),IF(AND(Input!B10511&gt;=20,Input!B10511&lt;=700),Input!B10511,""),"")</f>
        <v/>
      </c>
      <c r="C10511">
        <f>IF(B10511="","",INT(A10511))</f>
        <v/>
      </c>
      <c r="D10511">
        <f>IF(B10511="","",HOUR(A10511))</f>
        <v/>
      </c>
    </row>
    <row r="10512">
      <c r="A10512">
        <f>Input!A10512</f>
        <v/>
      </c>
      <c r="B10512">
        <f>IF(ISNUMBER(Input!B10512),IF(AND(Input!B10512&gt;=20,Input!B10512&lt;=700),Input!B10512,""),"")</f>
        <v/>
      </c>
      <c r="C10512">
        <f>IF(B10512="","",INT(A10512))</f>
        <v/>
      </c>
      <c r="D10512">
        <f>IF(B10512="","",HOUR(A10512))</f>
        <v/>
      </c>
    </row>
    <row r="10513">
      <c r="A10513">
        <f>Input!A10513</f>
        <v/>
      </c>
      <c r="B10513">
        <f>IF(ISNUMBER(Input!B10513),IF(AND(Input!B10513&gt;=20,Input!B10513&lt;=700),Input!B10513,""),"")</f>
        <v/>
      </c>
      <c r="C10513">
        <f>IF(B10513="","",INT(A10513))</f>
        <v/>
      </c>
      <c r="D10513">
        <f>IF(B10513="","",HOUR(A10513))</f>
        <v/>
      </c>
    </row>
    <row r="10514">
      <c r="A10514">
        <f>Input!A10514</f>
        <v/>
      </c>
      <c r="B10514">
        <f>IF(ISNUMBER(Input!B10514),IF(AND(Input!B10514&gt;=20,Input!B10514&lt;=700),Input!B10514,""),"")</f>
        <v/>
      </c>
      <c r="C10514">
        <f>IF(B10514="","",INT(A10514))</f>
        <v/>
      </c>
      <c r="D10514">
        <f>IF(B10514="","",HOUR(A10514))</f>
        <v/>
      </c>
    </row>
    <row r="10515">
      <c r="A10515">
        <f>Input!A10515</f>
        <v/>
      </c>
      <c r="B10515">
        <f>IF(ISNUMBER(Input!B10515),IF(AND(Input!B10515&gt;=20,Input!B10515&lt;=700),Input!B10515,""),"")</f>
        <v/>
      </c>
      <c r="C10515">
        <f>IF(B10515="","",INT(A10515))</f>
        <v/>
      </c>
      <c r="D10515">
        <f>IF(B10515="","",HOUR(A10515))</f>
        <v/>
      </c>
    </row>
    <row r="10516">
      <c r="A10516">
        <f>Input!A10516</f>
        <v/>
      </c>
      <c r="B10516">
        <f>IF(ISNUMBER(Input!B10516),IF(AND(Input!B10516&gt;=20,Input!B10516&lt;=700),Input!B10516,""),"")</f>
        <v/>
      </c>
      <c r="C10516">
        <f>IF(B10516="","",INT(A10516))</f>
        <v/>
      </c>
      <c r="D10516">
        <f>IF(B10516="","",HOUR(A10516))</f>
        <v/>
      </c>
    </row>
    <row r="10517">
      <c r="A10517">
        <f>Input!A10517</f>
        <v/>
      </c>
      <c r="B10517">
        <f>IF(ISNUMBER(Input!B10517),IF(AND(Input!B10517&gt;=20,Input!B10517&lt;=700),Input!B10517,""),"")</f>
        <v/>
      </c>
      <c r="C10517">
        <f>IF(B10517="","",INT(A10517))</f>
        <v/>
      </c>
      <c r="D10517">
        <f>IF(B10517="","",HOUR(A10517))</f>
        <v/>
      </c>
    </row>
    <row r="10518">
      <c r="A10518">
        <f>Input!A10518</f>
        <v/>
      </c>
      <c r="B10518">
        <f>IF(ISNUMBER(Input!B10518),IF(AND(Input!B10518&gt;=20,Input!B10518&lt;=700),Input!B10518,""),"")</f>
        <v/>
      </c>
      <c r="C10518">
        <f>IF(B10518="","",INT(A10518))</f>
        <v/>
      </c>
      <c r="D10518">
        <f>IF(B10518="","",HOUR(A10518))</f>
        <v/>
      </c>
    </row>
    <row r="10519">
      <c r="A10519">
        <f>Input!A10519</f>
        <v/>
      </c>
      <c r="B10519">
        <f>IF(ISNUMBER(Input!B10519),IF(AND(Input!B10519&gt;=20,Input!B10519&lt;=700),Input!B10519,""),"")</f>
        <v/>
      </c>
      <c r="C10519">
        <f>IF(B10519="","",INT(A10519))</f>
        <v/>
      </c>
      <c r="D10519">
        <f>IF(B10519="","",HOUR(A10519))</f>
        <v/>
      </c>
    </row>
    <row r="10520">
      <c r="A10520">
        <f>Input!A10520</f>
        <v/>
      </c>
      <c r="B10520">
        <f>IF(ISNUMBER(Input!B10520),IF(AND(Input!B10520&gt;=20,Input!B10520&lt;=700),Input!B10520,""),"")</f>
        <v/>
      </c>
      <c r="C10520">
        <f>IF(B10520="","",INT(A10520))</f>
        <v/>
      </c>
      <c r="D10520">
        <f>IF(B10520="","",HOUR(A10520))</f>
        <v/>
      </c>
    </row>
    <row r="10521">
      <c r="A10521">
        <f>Input!A10521</f>
        <v/>
      </c>
      <c r="B10521">
        <f>IF(ISNUMBER(Input!B10521),IF(AND(Input!B10521&gt;=20,Input!B10521&lt;=700),Input!B10521,""),"")</f>
        <v/>
      </c>
      <c r="C10521">
        <f>IF(B10521="","",INT(A10521))</f>
        <v/>
      </c>
      <c r="D10521">
        <f>IF(B10521="","",HOUR(A10521))</f>
        <v/>
      </c>
    </row>
    <row r="10522">
      <c r="A10522">
        <f>Input!A10522</f>
        <v/>
      </c>
      <c r="B10522">
        <f>IF(ISNUMBER(Input!B10522),IF(AND(Input!B10522&gt;=20,Input!B10522&lt;=700),Input!B10522,""),"")</f>
        <v/>
      </c>
      <c r="C10522">
        <f>IF(B10522="","",INT(A10522))</f>
        <v/>
      </c>
      <c r="D10522">
        <f>IF(B10522="","",HOUR(A10522))</f>
        <v/>
      </c>
    </row>
    <row r="10523">
      <c r="A10523">
        <f>Input!A10523</f>
        <v/>
      </c>
      <c r="B10523">
        <f>IF(ISNUMBER(Input!B10523),IF(AND(Input!B10523&gt;=20,Input!B10523&lt;=700),Input!B10523,""),"")</f>
        <v/>
      </c>
      <c r="C10523">
        <f>IF(B10523="","",INT(A10523))</f>
        <v/>
      </c>
      <c r="D10523">
        <f>IF(B10523="","",HOUR(A10523))</f>
        <v/>
      </c>
    </row>
    <row r="10524">
      <c r="A10524">
        <f>Input!A10524</f>
        <v/>
      </c>
      <c r="B10524">
        <f>IF(ISNUMBER(Input!B10524),IF(AND(Input!B10524&gt;=20,Input!B10524&lt;=700),Input!B10524,""),"")</f>
        <v/>
      </c>
      <c r="C10524">
        <f>IF(B10524="","",INT(A10524))</f>
        <v/>
      </c>
      <c r="D10524">
        <f>IF(B10524="","",HOUR(A10524))</f>
        <v/>
      </c>
    </row>
    <row r="10525">
      <c r="A10525">
        <f>Input!A10525</f>
        <v/>
      </c>
      <c r="B10525">
        <f>IF(ISNUMBER(Input!B10525),IF(AND(Input!B10525&gt;=20,Input!B10525&lt;=700),Input!B10525,""),"")</f>
        <v/>
      </c>
      <c r="C10525">
        <f>IF(B10525="","",INT(A10525))</f>
        <v/>
      </c>
      <c r="D10525">
        <f>IF(B10525="","",HOUR(A10525))</f>
        <v/>
      </c>
    </row>
    <row r="10526">
      <c r="A10526">
        <f>Input!A10526</f>
        <v/>
      </c>
      <c r="B10526">
        <f>IF(ISNUMBER(Input!B10526),IF(AND(Input!B10526&gt;=20,Input!B10526&lt;=700),Input!B10526,""),"")</f>
        <v/>
      </c>
      <c r="C10526">
        <f>IF(B10526="","",INT(A10526))</f>
        <v/>
      </c>
      <c r="D10526">
        <f>IF(B10526="","",HOUR(A10526))</f>
        <v/>
      </c>
    </row>
    <row r="10527">
      <c r="A10527">
        <f>Input!A10527</f>
        <v/>
      </c>
      <c r="B10527">
        <f>IF(ISNUMBER(Input!B10527),IF(AND(Input!B10527&gt;=20,Input!B10527&lt;=700),Input!B10527,""),"")</f>
        <v/>
      </c>
      <c r="C10527">
        <f>IF(B10527="","",INT(A10527))</f>
        <v/>
      </c>
      <c r="D10527">
        <f>IF(B10527="","",HOUR(A10527))</f>
        <v/>
      </c>
    </row>
    <row r="10528">
      <c r="A10528">
        <f>Input!A10528</f>
        <v/>
      </c>
      <c r="B10528">
        <f>IF(ISNUMBER(Input!B10528),IF(AND(Input!B10528&gt;=20,Input!B10528&lt;=700),Input!B10528,""),"")</f>
        <v/>
      </c>
      <c r="C10528">
        <f>IF(B10528="","",INT(A10528))</f>
        <v/>
      </c>
      <c r="D10528">
        <f>IF(B10528="","",HOUR(A10528))</f>
        <v/>
      </c>
    </row>
    <row r="10529">
      <c r="A10529">
        <f>Input!A10529</f>
        <v/>
      </c>
      <c r="B10529">
        <f>IF(ISNUMBER(Input!B10529),IF(AND(Input!B10529&gt;=20,Input!B10529&lt;=700),Input!B10529,""),"")</f>
        <v/>
      </c>
      <c r="C10529">
        <f>IF(B10529="","",INT(A10529))</f>
        <v/>
      </c>
      <c r="D10529">
        <f>IF(B10529="","",HOUR(A10529))</f>
        <v/>
      </c>
    </row>
    <row r="10530">
      <c r="A10530">
        <f>Input!A10530</f>
        <v/>
      </c>
      <c r="B10530">
        <f>IF(ISNUMBER(Input!B10530),IF(AND(Input!B10530&gt;=20,Input!B10530&lt;=700),Input!B10530,""),"")</f>
        <v/>
      </c>
      <c r="C10530">
        <f>IF(B10530="","",INT(A10530))</f>
        <v/>
      </c>
      <c r="D10530">
        <f>IF(B10530="","",HOUR(A10530))</f>
        <v/>
      </c>
    </row>
    <row r="10531">
      <c r="A10531">
        <f>Input!A10531</f>
        <v/>
      </c>
      <c r="B10531">
        <f>IF(ISNUMBER(Input!B10531),IF(AND(Input!B10531&gt;=20,Input!B10531&lt;=700),Input!B10531,""),"")</f>
        <v/>
      </c>
      <c r="C10531">
        <f>IF(B10531="","",INT(A10531))</f>
        <v/>
      </c>
      <c r="D10531">
        <f>IF(B10531="","",HOUR(A10531))</f>
        <v/>
      </c>
    </row>
    <row r="10532">
      <c r="A10532">
        <f>Input!A10532</f>
        <v/>
      </c>
      <c r="B10532">
        <f>IF(ISNUMBER(Input!B10532),IF(AND(Input!B10532&gt;=20,Input!B10532&lt;=700),Input!B10532,""),"")</f>
        <v/>
      </c>
      <c r="C10532">
        <f>IF(B10532="","",INT(A10532))</f>
        <v/>
      </c>
      <c r="D10532">
        <f>IF(B10532="","",HOUR(A10532))</f>
        <v/>
      </c>
    </row>
    <row r="10533">
      <c r="A10533">
        <f>Input!A10533</f>
        <v/>
      </c>
      <c r="B10533">
        <f>IF(ISNUMBER(Input!B10533),IF(AND(Input!B10533&gt;=20,Input!B10533&lt;=700),Input!B10533,""),"")</f>
        <v/>
      </c>
      <c r="C10533">
        <f>IF(B10533="","",INT(A10533))</f>
        <v/>
      </c>
      <c r="D10533">
        <f>IF(B10533="","",HOUR(A10533))</f>
        <v/>
      </c>
    </row>
    <row r="10534">
      <c r="A10534">
        <f>Input!A10534</f>
        <v/>
      </c>
      <c r="B10534">
        <f>IF(ISNUMBER(Input!B10534),IF(AND(Input!B10534&gt;=20,Input!B10534&lt;=700),Input!B10534,""),"")</f>
        <v/>
      </c>
      <c r="C10534">
        <f>IF(B10534="","",INT(A10534))</f>
        <v/>
      </c>
      <c r="D10534">
        <f>IF(B10534="","",HOUR(A10534))</f>
        <v/>
      </c>
    </row>
    <row r="10535">
      <c r="A10535">
        <f>Input!A10535</f>
        <v/>
      </c>
      <c r="B10535">
        <f>IF(ISNUMBER(Input!B10535),IF(AND(Input!B10535&gt;=20,Input!B10535&lt;=700),Input!B10535,""),"")</f>
        <v/>
      </c>
      <c r="C10535">
        <f>IF(B10535="","",INT(A10535))</f>
        <v/>
      </c>
      <c r="D10535">
        <f>IF(B10535="","",HOUR(A10535))</f>
        <v/>
      </c>
    </row>
    <row r="10536">
      <c r="A10536">
        <f>Input!A10536</f>
        <v/>
      </c>
      <c r="B10536">
        <f>IF(ISNUMBER(Input!B10536),IF(AND(Input!B10536&gt;=20,Input!B10536&lt;=700),Input!B10536,""),"")</f>
        <v/>
      </c>
      <c r="C10536">
        <f>IF(B10536="","",INT(A10536))</f>
        <v/>
      </c>
      <c r="D10536">
        <f>IF(B10536="","",HOUR(A10536))</f>
        <v/>
      </c>
    </row>
    <row r="10537">
      <c r="A10537">
        <f>Input!A10537</f>
        <v/>
      </c>
      <c r="B10537">
        <f>IF(ISNUMBER(Input!B10537),IF(AND(Input!B10537&gt;=20,Input!B10537&lt;=700),Input!B10537,""),"")</f>
        <v/>
      </c>
      <c r="C10537">
        <f>IF(B10537="","",INT(A10537))</f>
        <v/>
      </c>
      <c r="D10537">
        <f>IF(B10537="","",HOUR(A10537))</f>
        <v/>
      </c>
    </row>
    <row r="10538">
      <c r="A10538">
        <f>Input!A10538</f>
        <v/>
      </c>
      <c r="B10538">
        <f>IF(ISNUMBER(Input!B10538),IF(AND(Input!B10538&gt;=20,Input!B10538&lt;=700),Input!B10538,""),"")</f>
        <v/>
      </c>
      <c r="C10538">
        <f>IF(B10538="","",INT(A10538))</f>
        <v/>
      </c>
      <c r="D10538">
        <f>IF(B10538="","",HOUR(A10538))</f>
        <v/>
      </c>
    </row>
    <row r="10539">
      <c r="A10539">
        <f>Input!A10539</f>
        <v/>
      </c>
      <c r="B10539">
        <f>IF(ISNUMBER(Input!B10539),IF(AND(Input!B10539&gt;=20,Input!B10539&lt;=700),Input!B10539,""),"")</f>
        <v/>
      </c>
      <c r="C10539">
        <f>IF(B10539="","",INT(A10539))</f>
        <v/>
      </c>
      <c r="D10539">
        <f>IF(B10539="","",HOUR(A10539))</f>
        <v/>
      </c>
    </row>
    <row r="10540">
      <c r="A10540">
        <f>Input!A10540</f>
        <v/>
      </c>
      <c r="B10540">
        <f>IF(ISNUMBER(Input!B10540),IF(AND(Input!B10540&gt;=20,Input!B10540&lt;=700),Input!B10540,""),"")</f>
        <v/>
      </c>
      <c r="C10540">
        <f>IF(B10540="","",INT(A10540))</f>
        <v/>
      </c>
      <c r="D10540">
        <f>IF(B10540="","",HOUR(A10540))</f>
        <v/>
      </c>
    </row>
    <row r="10541">
      <c r="A10541">
        <f>Input!A10541</f>
        <v/>
      </c>
      <c r="B10541">
        <f>IF(ISNUMBER(Input!B10541),IF(AND(Input!B10541&gt;=20,Input!B10541&lt;=700),Input!B10541,""),"")</f>
        <v/>
      </c>
      <c r="C10541">
        <f>IF(B10541="","",INT(A10541))</f>
        <v/>
      </c>
      <c r="D10541">
        <f>IF(B10541="","",HOUR(A10541))</f>
        <v/>
      </c>
    </row>
    <row r="10542">
      <c r="A10542">
        <f>Input!A10542</f>
        <v/>
      </c>
      <c r="B10542">
        <f>IF(ISNUMBER(Input!B10542),IF(AND(Input!B10542&gt;=20,Input!B10542&lt;=700),Input!B10542,""),"")</f>
        <v/>
      </c>
      <c r="C10542">
        <f>IF(B10542="","",INT(A10542))</f>
        <v/>
      </c>
      <c r="D10542">
        <f>IF(B10542="","",HOUR(A10542))</f>
        <v/>
      </c>
    </row>
    <row r="10543">
      <c r="A10543">
        <f>Input!A10543</f>
        <v/>
      </c>
      <c r="B10543">
        <f>IF(ISNUMBER(Input!B10543),IF(AND(Input!B10543&gt;=20,Input!B10543&lt;=700),Input!B10543,""),"")</f>
        <v/>
      </c>
      <c r="C10543">
        <f>IF(B10543="","",INT(A10543))</f>
        <v/>
      </c>
      <c r="D10543">
        <f>IF(B10543="","",HOUR(A10543))</f>
        <v/>
      </c>
    </row>
    <row r="10544">
      <c r="A10544">
        <f>Input!A10544</f>
        <v/>
      </c>
      <c r="B10544">
        <f>IF(ISNUMBER(Input!B10544),IF(AND(Input!B10544&gt;=20,Input!B10544&lt;=700),Input!B10544,""),"")</f>
        <v/>
      </c>
      <c r="C10544">
        <f>IF(B10544="","",INT(A10544))</f>
        <v/>
      </c>
      <c r="D10544">
        <f>IF(B10544="","",HOUR(A10544))</f>
        <v/>
      </c>
    </row>
    <row r="10545">
      <c r="A10545">
        <f>Input!A10545</f>
        <v/>
      </c>
      <c r="B10545">
        <f>IF(ISNUMBER(Input!B10545),IF(AND(Input!B10545&gt;=20,Input!B10545&lt;=700),Input!B10545,""),"")</f>
        <v/>
      </c>
      <c r="C10545">
        <f>IF(B10545="","",INT(A10545))</f>
        <v/>
      </c>
      <c r="D10545">
        <f>IF(B10545="","",HOUR(A10545))</f>
        <v/>
      </c>
    </row>
    <row r="10546">
      <c r="A10546">
        <f>Input!A10546</f>
        <v/>
      </c>
      <c r="B10546">
        <f>IF(ISNUMBER(Input!B10546),IF(AND(Input!B10546&gt;=20,Input!B10546&lt;=700),Input!B10546,""),"")</f>
        <v/>
      </c>
      <c r="C10546">
        <f>IF(B10546="","",INT(A10546))</f>
        <v/>
      </c>
      <c r="D10546">
        <f>IF(B10546="","",HOUR(A10546))</f>
        <v/>
      </c>
    </row>
    <row r="10547">
      <c r="A10547">
        <f>Input!A10547</f>
        <v/>
      </c>
      <c r="B10547">
        <f>IF(ISNUMBER(Input!B10547),IF(AND(Input!B10547&gt;=20,Input!B10547&lt;=700),Input!B10547,""),"")</f>
        <v/>
      </c>
      <c r="C10547">
        <f>IF(B10547="","",INT(A10547))</f>
        <v/>
      </c>
      <c r="D10547">
        <f>IF(B10547="","",HOUR(A10547))</f>
        <v/>
      </c>
    </row>
    <row r="10548">
      <c r="A10548">
        <f>Input!A10548</f>
        <v/>
      </c>
      <c r="B10548">
        <f>IF(ISNUMBER(Input!B10548),IF(AND(Input!B10548&gt;=20,Input!B10548&lt;=700),Input!B10548,""),"")</f>
        <v/>
      </c>
      <c r="C10548">
        <f>IF(B10548="","",INT(A10548))</f>
        <v/>
      </c>
      <c r="D10548">
        <f>IF(B10548="","",HOUR(A10548))</f>
        <v/>
      </c>
    </row>
    <row r="10549">
      <c r="A10549">
        <f>Input!A10549</f>
        <v/>
      </c>
      <c r="B10549">
        <f>IF(ISNUMBER(Input!B10549),IF(AND(Input!B10549&gt;=20,Input!B10549&lt;=700),Input!B10549,""),"")</f>
        <v/>
      </c>
      <c r="C10549">
        <f>IF(B10549="","",INT(A10549))</f>
        <v/>
      </c>
      <c r="D10549">
        <f>IF(B10549="","",HOUR(A10549))</f>
        <v/>
      </c>
    </row>
    <row r="10550">
      <c r="A10550">
        <f>Input!A10550</f>
        <v/>
      </c>
      <c r="B10550">
        <f>IF(ISNUMBER(Input!B10550),IF(AND(Input!B10550&gt;=20,Input!B10550&lt;=700),Input!B10550,""),"")</f>
        <v/>
      </c>
      <c r="C10550">
        <f>IF(B10550="","",INT(A10550))</f>
        <v/>
      </c>
      <c r="D10550">
        <f>IF(B10550="","",HOUR(A10550))</f>
        <v/>
      </c>
    </row>
    <row r="10551">
      <c r="A10551">
        <f>Input!A10551</f>
        <v/>
      </c>
      <c r="B10551">
        <f>IF(ISNUMBER(Input!B10551),IF(AND(Input!B10551&gt;=20,Input!B10551&lt;=700),Input!B10551,""),"")</f>
        <v/>
      </c>
      <c r="C10551">
        <f>IF(B10551="","",INT(A10551))</f>
        <v/>
      </c>
      <c r="D10551">
        <f>IF(B10551="","",HOUR(A10551))</f>
        <v/>
      </c>
    </row>
    <row r="10552">
      <c r="A10552">
        <f>Input!A10552</f>
        <v/>
      </c>
      <c r="B10552">
        <f>IF(ISNUMBER(Input!B10552),IF(AND(Input!B10552&gt;=20,Input!B10552&lt;=700),Input!B10552,""),"")</f>
        <v/>
      </c>
      <c r="C10552">
        <f>IF(B10552="","",INT(A10552))</f>
        <v/>
      </c>
      <c r="D10552">
        <f>IF(B10552="","",HOUR(A10552))</f>
        <v/>
      </c>
    </row>
    <row r="10553">
      <c r="A10553">
        <f>Input!A10553</f>
        <v/>
      </c>
      <c r="B10553">
        <f>IF(ISNUMBER(Input!B10553),IF(AND(Input!B10553&gt;=20,Input!B10553&lt;=700),Input!B10553,""),"")</f>
        <v/>
      </c>
      <c r="C10553">
        <f>IF(B10553="","",INT(A10553))</f>
        <v/>
      </c>
      <c r="D10553">
        <f>IF(B10553="","",HOUR(A10553))</f>
        <v/>
      </c>
    </row>
    <row r="10554">
      <c r="A10554">
        <f>Input!A10554</f>
        <v/>
      </c>
      <c r="B10554">
        <f>IF(ISNUMBER(Input!B10554),IF(AND(Input!B10554&gt;=20,Input!B10554&lt;=700),Input!B10554,""),"")</f>
        <v/>
      </c>
      <c r="C10554">
        <f>IF(B10554="","",INT(A10554))</f>
        <v/>
      </c>
      <c r="D10554">
        <f>IF(B10554="","",HOUR(A10554))</f>
        <v/>
      </c>
    </row>
    <row r="10555">
      <c r="A10555">
        <f>Input!A10555</f>
        <v/>
      </c>
      <c r="B10555">
        <f>IF(ISNUMBER(Input!B10555),IF(AND(Input!B10555&gt;=20,Input!B10555&lt;=700),Input!B10555,""),"")</f>
        <v/>
      </c>
      <c r="C10555">
        <f>IF(B10555="","",INT(A10555))</f>
        <v/>
      </c>
      <c r="D10555">
        <f>IF(B10555="","",HOUR(A10555))</f>
        <v/>
      </c>
    </row>
    <row r="10556">
      <c r="A10556">
        <f>Input!A10556</f>
        <v/>
      </c>
      <c r="B10556">
        <f>IF(ISNUMBER(Input!B10556),IF(AND(Input!B10556&gt;=20,Input!B10556&lt;=700),Input!B10556,""),"")</f>
        <v/>
      </c>
      <c r="C10556">
        <f>IF(B10556="","",INT(A10556))</f>
        <v/>
      </c>
      <c r="D10556">
        <f>IF(B10556="","",HOUR(A10556))</f>
        <v/>
      </c>
    </row>
    <row r="10557">
      <c r="A10557">
        <f>Input!A10557</f>
        <v/>
      </c>
      <c r="B10557">
        <f>IF(ISNUMBER(Input!B10557),IF(AND(Input!B10557&gt;=20,Input!B10557&lt;=700),Input!B10557,""),"")</f>
        <v/>
      </c>
      <c r="C10557">
        <f>IF(B10557="","",INT(A10557))</f>
        <v/>
      </c>
      <c r="D10557">
        <f>IF(B10557="","",HOUR(A10557))</f>
        <v/>
      </c>
    </row>
    <row r="10558">
      <c r="A10558">
        <f>Input!A10558</f>
        <v/>
      </c>
      <c r="B10558">
        <f>IF(ISNUMBER(Input!B10558),IF(AND(Input!B10558&gt;=20,Input!B10558&lt;=700),Input!B10558,""),"")</f>
        <v/>
      </c>
      <c r="C10558">
        <f>IF(B10558="","",INT(A10558))</f>
        <v/>
      </c>
      <c r="D10558">
        <f>IF(B10558="","",HOUR(A10558))</f>
        <v/>
      </c>
    </row>
    <row r="10559">
      <c r="A10559">
        <f>Input!A10559</f>
        <v/>
      </c>
      <c r="B10559">
        <f>IF(ISNUMBER(Input!B10559),IF(AND(Input!B10559&gt;=20,Input!B10559&lt;=700),Input!B10559,""),"")</f>
        <v/>
      </c>
      <c r="C10559">
        <f>IF(B10559="","",INT(A10559))</f>
        <v/>
      </c>
      <c r="D10559">
        <f>IF(B10559="","",HOUR(A10559))</f>
        <v/>
      </c>
    </row>
    <row r="10560">
      <c r="A10560">
        <f>Input!A10560</f>
        <v/>
      </c>
      <c r="B10560">
        <f>IF(ISNUMBER(Input!B10560),IF(AND(Input!B10560&gt;=20,Input!B10560&lt;=700),Input!B10560,""),"")</f>
        <v/>
      </c>
      <c r="C10560">
        <f>IF(B10560="","",INT(A10560))</f>
        <v/>
      </c>
      <c r="D10560">
        <f>IF(B10560="","",HOUR(A10560))</f>
        <v/>
      </c>
    </row>
    <row r="10561">
      <c r="A10561">
        <f>Input!A10561</f>
        <v/>
      </c>
      <c r="B10561">
        <f>IF(ISNUMBER(Input!B10561),IF(AND(Input!B10561&gt;=20,Input!B10561&lt;=700),Input!B10561,""),"")</f>
        <v/>
      </c>
      <c r="C10561">
        <f>IF(B10561="","",INT(A10561))</f>
        <v/>
      </c>
      <c r="D10561">
        <f>IF(B10561="","",HOUR(A10561))</f>
        <v/>
      </c>
    </row>
    <row r="10562">
      <c r="A10562">
        <f>Input!A10562</f>
        <v/>
      </c>
      <c r="B10562">
        <f>IF(ISNUMBER(Input!B10562),IF(AND(Input!B10562&gt;=20,Input!B10562&lt;=700),Input!B10562,""),"")</f>
        <v/>
      </c>
      <c r="C10562">
        <f>IF(B10562="","",INT(A10562))</f>
        <v/>
      </c>
      <c r="D10562">
        <f>IF(B10562="","",HOUR(A10562))</f>
        <v/>
      </c>
    </row>
    <row r="10563">
      <c r="A10563">
        <f>Input!A10563</f>
        <v/>
      </c>
      <c r="B10563">
        <f>IF(ISNUMBER(Input!B10563),IF(AND(Input!B10563&gt;=20,Input!B10563&lt;=700),Input!B10563,""),"")</f>
        <v/>
      </c>
      <c r="C10563">
        <f>IF(B10563="","",INT(A10563))</f>
        <v/>
      </c>
      <c r="D10563">
        <f>IF(B10563="","",HOUR(A10563))</f>
        <v/>
      </c>
    </row>
    <row r="10564">
      <c r="A10564">
        <f>Input!A10564</f>
        <v/>
      </c>
      <c r="B10564">
        <f>IF(ISNUMBER(Input!B10564),IF(AND(Input!B10564&gt;=20,Input!B10564&lt;=700),Input!B10564,""),"")</f>
        <v/>
      </c>
      <c r="C10564">
        <f>IF(B10564="","",INT(A10564))</f>
        <v/>
      </c>
      <c r="D10564">
        <f>IF(B10564="","",HOUR(A10564))</f>
        <v/>
      </c>
    </row>
    <row r="10565">
      <c r="A10565">
        <f>Input!A10565</f>
        <v/>
      </c>
      <c r="B10565">
        <f>IF(ISNUMBER(Input!B10565),IF(AND(Input!B10565&gt;=20,Input!B10565&lt;=700),Input!B10565,""),"")</f>
        <v/>
      </c>
      <c r="C10565">
        <f>IF(B10565="","",INT(A10565))</f>
        <v/>
      </c>
      <c r="D10565">
        <f>IF(B10565="","",HOUR(A10565))</f>
        <v/>
      </c>
    </row>
    <row r="10566">
      <c r="A10566">
        <f>Input!A10566</f>
        <v/>
      </c>
      <c r="B10566">
        <f>IF(ISNUMBER(Input!B10566),IF(AND(Input!B10566&gt;=20,Input!B10566&lt;=700),Input!B10566,""),"")</f>
        <v/>
      </c>
      <c r="C10566">
        <f>IF(B10566="","",INT(A10566))</f>
        <v/>
      </c>
      <c r="D10566">
        <f>IF(B10566="","",HOUR(A10566))</f>
        <v/>
      </c>
    </row>
    <row r="10567">
      <c r="A10567">
        <f>Input!A10567</f>
        <v/>
      </c>
      <c r="B10567">
        <f>IF(ISNUMBER(Input!B10567),IF(AND(Input!B10567&gt;=20,Input!B10567&lt;=700),Input!B10567,""),"")</f>
        <v/>
      </c>
      <c r="C10567">
        <f>IF(B10567="","",INT(A10567))</f>
        <v/>
      </c>
      <c r="D10567">
        <f>IF(B10567="","",HOUR(A10567))</f>
        <v/>
      </c>
    </row>
    <row r="10568">
      <c r="A10568">
        <f>Input!A10568</f>
        <v/>
      </c>
      <c r="B10568">
        <f>IF(ISNUMBER(Input!B10568),IF(AND(Input!B10568&gt;=20,Input!B10568&lt;=700),Input!B10568,""),"")</f>
        <v/>
      </c>
      <c r="C10568">
        <f>IF(B10568="","",INT(A10568))</f>
        <v/>
      </c>
      <c r="D10568">
        <f>IF(B10568="","",HOUR(A10568))</f>
        <v/>
      </c>
    </row>
    <row r="10569">
      <c r="A10569">
        <f>Input!A10569</f>
        <v/>
      </c>
      <c r="B10569">
        <f>IF(ISNUMBER(Input!B10569),IF(AND(Input!B10569&gt;=20,Input!B10569&lt;=700),Input!B10569,""),"")</f>
        <v/>
      </c>
      <c r="C10569">
        <f>IF(B10569="","",INT(A10569))</f>
        <v/>
      </c>
      <c r="D10569">
        <f>IF(B10569="","",HOUR(A10569))</f>
        <v/>
      </c>
    </row>
    <row r="10570">
      <c r="A10570">
        <f>Input!A10570</f>
        <v/>
      </c>
      <c r="B10570">
        <f>IF(ISNUMBER(Input!B10570),IF(AND(Input!B10570&gt;=20,Input!B10570&lt;=700),Input!B10570,""),"")</f>
        <v/>
      </c>
      <c r="C10570">
        <f>IF(B10570="","",INT(A10570))</f>
        <v/>
      </c>
      <c r="D10570">
        <f>IF(B10570="","",HOUR(A10570))</f>
        <v/>
      </c>
    </row>
    <row r="10571">
      <c r="A10571">
        <f>Input!A10571</f>
        <v/>
      </c>
      <c r="B10571">
        <f>IF(ISNUMBER(Input!B10571),IF(AND(Input!B10571&gt;=20,Input!B10571&lt;=700),Input!B10571,""),"")</f>
        <v/>
      </c>
      <c r="C10571">
        <f>IF(B10571="","",INT(A10571))</f>
        <v/>
      </c>
      <c r="D10571">
        <f>IF(B10571="","",HOUR(A10571))</f>
        <v/>
      </c>
    </row>
    <row r="10572">
      <c r="A10572">
        <f>Input!A10572</f>
        <v/>
      </c>
      <c r="B10572">
        <f>IF(ISNUMBER(Input!B10572),IF(AND(Input!B10572&gt;=20,Input!B10572&lt;=700),Input!B10572,""),"")</f>
        <v/>
      </c>
      <c r="C10572">
        <f>IF(B10572="","",INT(A10572))</f>
        <v/>
      </c>
      <c r="D10572">
        <f>IF(B10572="","",HOUR(A10572))</f>
        <v/>
      </c>
    </row>
    <row r="10573">
      <c r="A10573">
        <f>Input!A10573</f>
        <v/>
      </c>
      <c r="B10573">
        <f>IF(ISNUMBER(Input!B10573),IF(AND(Input!B10573&gt;=20,Input!B10573&lt;=700),Input!B10573,""),"")</f>
        <v/>
      </c>
      <c r="C10573">
        <f>IF(B10573="","",INT(A10573))</f>
        <v/>
      </c>
      <c r="D10573">
        <f>IF(B10573="","",HOUR(A10573))</f>
        <v/>
      </c>
    </row>
    <row r="10574">
      <c r="A10574">
        <f>Input!A10574</f>
        <v/>
      </c>
      <c r="B10574">
        <f>IF(ISNUMBER(Input!B10574),IF(AND(Input!B10574&gt;=20,Input!B10574&lt;=700),Input!B10574,""),"")</f>
        <v/>
      </c>
      <c r="C10574">
        <f>IF(B10574="","",INT(A10574))</f>
        <v/>
      </c>
      <c r="D10574">
        <f>IF(B10574="","",HOUR(A10574))</f>
        <v/>
      </c>
    </row>
    <row r="10575">
      <c r="A10575">
        <f>Input!A10575</f>
        <v/>
      </c>
      <c r="B10575">
        <f>IF(ISNUMBER(Input!B10575),IF(AND(Input!B10575&gt;=20,Input!B10575&lt;=700),Input!B10575,""),"")</f>
        <v/>
      </c>
      <c r="C10575">
        <f>IF(B10575="","",INT(A10575))</f>
        <v/>
      </c>
      <c r="D10575">
        <f>IF(B10575="","",HOUR(A10575))</f>
        <v/>
      </c>
    </row>
    <row r="10576">
      <c r="A10576">
        <f>Input!A10576</f>
        <v/>
      </c>
      <c r="B10576">
        <f>IF(ISNUMBER(Input!B10576),IF(AND(Input!B10576&gt;=20,Input!B10576&lt;=700),Input!B10576,""),"")</f>
        <v/>
      </c>
      <c r="C10576">
        <f>IF(B10576="","",INT(A10576))</f>
        <v/>
      </c>
      <c r="D10576">
        <f>IF(B10576="","",HOUR(A10576))</f>
        <v/>
      </c>
    </row>
    <row r="10577">
      <c r="A10577">
        <f>Input!A10577</f>
        <v/>
      </c>
      <c r="B10577">
        <f>IF(ISNUMBER(Input!B10577),IF(AND(Input!B10577&gt;=20,Input!B10577&lt;=700),Input!B10577,""),"")</f>
        <v/>
      </c>
      <c r="C10577">
        <f>IF(B10577="","",INT(A10577))</f>
        <v/>
      </c>
      <c r="D10577">
        <f>IF(B10577="","",HOUR(A10577))</f>
        <v/>
      </c>
    </row>
    <row r="10578">
      <c r="A10578">
        <f>Input!A10578</f>
        <v/>
      </c>
      <c r="B10578">
        <f>IF(ISNUMBER(Input!B10578),IF(AND(Input!B10578&gt;=20,Input!B10578&lt;=700),Input!B10578,""),"")</f>
        <v/>
      </c>
      <c r="C10578">
        <f>IF(B10578="","",INT(A10578))</f>
        <v/>
      </c>
      <c r="D10578">
        <f>IF(B10578="","",HOUR(A10578))</f>
        <v/>
      </c>
    </row>
    <row r="10579">
      <c r="A10579">
        <f>Input!A10579</f>
        <v/>
      </c>
      <c r="B10579">
        <f>IF(ISNUMBER(Input!B10579),IF(AND(Input!B10579&gt;=20,Input!B10579&lt;=700),Input!B10579,""),"")</f>
        <v/>
      </c>
      <c r="C10579">
        <f>IF(B10579="","",INT(A10579))</f>
        <v/>
      </c>
      <c r="D10579">
        <f>IF(B10579="","",HOUR(A10579))</f>
        <v/>
      </c>
    </row>
    <row r="10580">
      <c r="A10580">
        <f>Input!A10580</f>
        <v/>
      </c>
      <c r="B10580">
        <f>IF(ISNUMBER(Input!B10580),IF(AND(Input!B10580&gt;=20,Input!B10580&lt;=700),Input!B10580,""),"")</f>
        <v/>
      </c>
      <c r="C10580">
        <f>IF(B10580="","",INT(A10580))</f>
        <v/>
      </c>
      <c r="D10580">
        <f>IF(B10580="","",HOUR(A10580))</f>
        <v/>
      </c>
    </row>
    <row r="10581">
      <c r="A10581">
        <f>Input!A10581</f>
        <v/>
      </c>
      <c r="B10581">
        <f>IF(ISNUMBER(Input!B10581),IF(AND(Input!B10581&gt;=20,Input!B10581&lt;=700),Input!B10581,""),"")</f>
        <v/>
      </c>
      <c r="C10581">
        <f>IF(B10581="","",INT(A10581))</f>
        <v/>
      </c>
      <c r="D10581">
        <f>IF(B10581="","",HOUR(A10581))</f>
        <v/>
      </c>
    </row>
    <row r="10582">
      <c r="A10582">
        <f>Input!A10582</f>
        <v/>
      </c>
      <c r="B10582">
        <f>IF(ISNUMBER(Input!B10582),IF(AND(Input!B10582&gt;=20,Input!B10582&lt;=700),Input!B10582,""),"")</f>
        <v/>
      </c>
      <c r="C10582">
        <f>IF(B10582="","",INT(A10582))</f>
        <v/>
      </c>
      <c r="D10582">
        <f>IF(B10582="","",HOUR(A10582))</f>
        <v/>
      </c>
    </row>
    <row r="10583">
      <c r="A10583">
        <f>Input!A10583</f>
        <v/>
      </c>
      <c r="B10583">
        <f>IF(ISNUMBER(Input!B10583),IF(AND(Input!B10583&gt;=20,Input!B10583&lt;=700),Input!B10583,""),"")</f>
        <v/>
      </c>
      <c r="C10583">
        <f>IF(B10583="","",INT(A10583))</f>
        <v/>
      </c>
      <c r="D10583">
        <f>IF(B10583="","",HOUR(A10583))</f>
        <v/>
      </c>
    </row>
    <row r="10584">
      <c r="A10584">
        <f>Input!A10584</f>
        <v/>
      </c>
      <c r="B10584">
        <f>IF(ISNUMBER(Input!B10584),IF(AND(Input!B10584&gt;=20,Input!B10584&lt;=700),Input!B10584,""),"")</f>
        <v/>
      </c>
      <c r="C10584">
        <f>IF(B10584="","",INT(A10584))</f>
        <v/>
      </c>
      <c r="D10584">
        <f>IF(B10584="","",HOUR(A10584))</f>
        <v/>
      </c>
    </row>
    <row r="10585">
      <c r="A10585">
        <f>Input!A10585</f>
        <v/>
      </c>
      <c r="B10585">
        <f>IF(ISNUMBER(Input!B10585),IF(AND(Input!B10585&gt;=20,Input!B10585&lt;=700),Input!B10585,""),"")</f>
        <v/>
      </c>
      <c r="C10585">
        <f>IF(B10585="","",INT(A10585))</f>
        <v/>
      </c>
      <c r="D10585">
        <f>IF(B10585="","",HOUR(A10585))</f>
        <v/>
      </c>
    </row>
    <row r="10586">
      <c r="A10586">
        <f>Input!A10586</f>
        <v/>
      </c>
      <c r="B10586">
        <f>IF(ISNUMBER(Input!B10586),IF(AND(Input!B10586&gt;=20,Input!B10586&lt;=700),Input!B10586,""),"")</f>
        <v/>
      </c>
      <c r="C10586">
        <f>IF(B10586="","",INT(A10586))</f>
        <v/>
      </c>
      <c r="D10586">
        <f>IF(B10586="","",HOUR(A10586))</f>
        <v/>
      </c>
    </row>
    <row r="10587">
      <c r="A10587">
        <f>Input!A10587</f>
        <v/>
      </c>
      <c r="B10587">
        <f>IF(ISNUMBER(Input!B10587),IF(AND(Input!B10587&gt;=20,Input!B10587&lt;=700),Input!B10587,""),"")</f>
        <v/>
      </c>
      <c r="C10587">
        <f>IF(B10587="","",INT(A10587))</f>
        <v/>
      </c>
      <c r="D10587">
        <f>IF(B10587="","",HOUR(A10587))</f>
        <v/>
      </c>
    </row>
    <row r="10588">
      <c r="A10588">
        <f>Input!A10588</f>
        <v/>
      </c>
      <c r="B10588">
        <f>IF(ISNUMBER(Input!B10588),IF(AND(Input!B10588&gt;=20,Input!B10588&lt;=700),Input!B10588,""),"")</f>
        <v/>
      </c>
      <c r="C10588">
        <f>IF(B10588="","",INT(A10588))</f>
        <v/>
      </c>
      <c r="D10588">
        <f>IF(B10588="","",HOUR(A10588))</f>
        <v/>
      </c>
    </row>
    <row r="10589">
      <c r="A10589">
        <f>Input!A10589</f>
        <v/>
      </c>
      <c r="B10589">
        <f>IF(ISNUMBER(Input!B10589),IF(AND(Input!B10589&gt;=20,Input!B10589&lt;=700),Input!B10589,""),"")</f>
        <v/>
      </c>
      <c r="C10589">
        <f>IF(B10589="","",INT(A10589))</f>
        <v/>
      </c>
      <c r="D10589">
        <f>IF(B10589="","",HOUR(A10589))</f>
        <v/>
      </c>
    </row>
    <row r="10590">
      <c r="A10590">
        <f>Input!A10590</f>
        <v/>
      </c>
      <c r="B10590">
        <f>IF(ISNUMBER(Input!B10590),IF(AND(Input!B10590&gt;=20,Input!B10590&lt;=700),Input!B10590,""),"")</f>
        <v/>
      </c>
      <c r="C10590">
        <f>IF(B10590="","",INT(A10590))</f>
        <v/>
      </c>
      <c r="D10590">
        <f>IF(B10590="","",HOUR(A10590))</f>
        <v/>
      </c>
    </row>
    <row r="10591">
      <c r="A10591">
        <f>Input!A10591</f>
        <v/>
      </c>
      <c r="B10591">
        <f>IF(ISNUMBER(Input!B10591),IF(AND(Input!B10591&gt;=20,Input!B10591&lt;=700),Input!B10591,""),"")</f>
        <v/>
      </c>
      <c r="C10591">
        <f>IF(B10591="","",INT(A10591))</f>
        <v/>
      </c>
      <c r="D10591">
        <f>IF(B10591="","",HOUR(A10591))</f>
        <v/>
      </c>
    </row>
    <row r="10592">
      <c r="A10592">
        <f>Input!A10592</f>
        <v/>
      </c>
      <c r="B10592">
        <f>IF(ISNUMBER(Input!B10592),IF(AND(Input!B10592&gt;=20,Input!B10592&lt;=700),Input!B10592,""),"")</f>
        <v/>
      </c>
      <c r="C10592">
        <f>IF(B10592="","",INT(A10592))</f>
        <v/>
      </c>
      <c r="D10592">
        <f>IF(B10592="","",HOUR(A10592))</f>
        <v/>
      </c>
    </row>
    <row r="10593">
      <c r="A10593">
        <f>Input!A10593</f>
        <v/>
      </c>
      <c r="B10593">
        <f>IF(ISNUMBER(Input!B10593),IF(AND(Input!B10593&gt;=20,Input!B10593&lt;=700),Input!B10593,""),"")</f>
        <v/>
      </c>
      <c r="C10593">
        <f>IF(B10593="","",INT(A10593))</f>
        <v/>
      </c>
      <c r="D10593">
        <f>IF(B10593="","",HOUR(A10593))</f>
        <v/>
      </c>
    </row>
    <row r="10594">
      <c r="A10594">
        <f>Input!A10594</f>
        <v/>
      </c>
      <c r="B10594">
        <f>IF(ISNUMBER(Input!B10594),IF(AND(Input!B10594&gt;=20,Input!B10594&lt;=700),Input!B10594,""),"")</f>
        <v/>
      </c>
      <c r="C10594">
        <f>IF(B10594="","",INT(A10594))</f>
        <v/>
      </c>
      <c r="D10594">
        <f>IF(B10594="","",HOUR(A10594))</f>
        <v/>
      </c>
    </row>
    <row r="10595">
      <c r="A10595">
        <f>Input!A10595</f>
        <v/>
      </c>
      <c r="B10595">
        <f>IF(ISNUMBER(Input!B10595),IF(AND(Input!B10595&gt;=20,Input!B10595&lt;=700),Input!B10595,""),"")</f>
        <v/>
      </c>
      <c r="C10595">
        <f>IF(B10595="","",INT(A10595))</f>
        <v/>
      </c>
      <c r="D10595">
        <f>IF(B10595="","",HOUR(A10595))</f>
        <v/>
      </c>
    </row>
    <row r="10596">
      <c r="A10596">
        <f>Input!A10596</f>
        <v/>
      </c>
      <c r="B10596">
        <f>IF(ISNUMBER(Input!B10596),IF(AND(Input!B10596&gt;=20,Input!B10596&lt;=700),Input!B10596,""),"")</f>
        <v/>
      </c>
      <c r="C10596">
        <f>IF(B10596="","",INT(A10596))</f>
        <v/>
      </c>
      <c r="D10596">
        <f>IF(B10596="","",HOUR(A10596))</f>
        <v/>
      </c>
    </row>
    <row r="10597">
      <c r="A10597">
        <f>Input!A10597</f>
        <v/>
      </c>
      <c r="B10597">
        <f>IF(ISNUMBER(Input!B10597),IF(AND(Input!B10597&gt;=20,Input!B10597&lt;=700),Input!B10597,""),"")</f>
        <v/>
      </c>
      <c r="C10597">
        <f>IF(B10597="","",INT(A10597))</f>
        <v/>
      </c>
      <c r="D10597">
        <f>IF(B10597="","",HOUR(A10597))</f>
        <v/>
      </c>
    </row>
    <row r="10598">
      <c r="A10598">
        <f>Input!A10598</f>
        <v/>
      </c>
      <c r="B10598">
        <f>IF(ISNUMBER(Input!B10598),IF(AND(Input!B10598&gt;=20,Input!B10598&lt;=700),Input!B10598,""),"")</f>
        <v/>
      </c>
      <c r="C10598">
        <f>IF(B10598="","",INT(A10598))</f>
        <v/>
      </c>
      <c r="D10598">
        <f>IF(B10598="","",HOUR(A10598))</f>
        <v/>
      </c>
    </row>
    <row r="10599">
      <c r="A10599">
        <f>Input!A10599</f>
        <v/>
      </c>
      <c r="B10599">
        <f>IF(ISNUMBER(Input!B10599),IF(AND(Input!B10599&gt;=20,Input!B10599&lt;=700),Input!B10599,""),"")</f>
        <v/>
      </c>
      <c r="C10599">
        <f>IF(B10599="","",INT(A10599))</f>
        <v/>
      </c>
      <c r="D10599">
        <f>IF(B10599="","",HOUR(A10599))</f>
        <v/>
      </c>
    </row>
    <row r="10600">
      <c r="A10600">
        <f>Input!A10600</f>
        <v/>
      </c>
      <c r="B10600">
        <f>IF(ISNUMBER(Input!B10600),IF(AND(Input!B10600&gt;=20,Input!B10600&lt;=700),Input!B10600,""),"")</f>
        <v/>
      </c>
      <c r="C10600">
        <f>IF(B10600="","",INT(A10600))</f>
        <v/>
      </c>
      <c r="D10600">
        <f>IF(B10600="","",HOUR(A10600))</f>
        <v/>
      </c>
    </row>
    <row r="10601">
      <c r="A10601">
        <f>Input!A10601</f>
        <v/>
      </c>
      <c r="B10601">
        <f>IF(ISNUMBER(Input!B10601),IF(AND(Input!B10601&gt;=20,Input!B10601&lt;=700),Input!B10601,""),"")</f>
        <v/>
      </c>
      <c r="C10601">
        <f>IF(B10601="","",INT(A10601))</f>
        <v/>
      </c>
      <c r="D10601">
        <f>IF(B10601="","",HOUR(A10601))</f>
        <v/>
      </c>
    </row>
    <row r="10602">
      <c r="A10602">
        <f>Input!A10602</f>
        <v/>
      </c>
      <c r="B10602">
        <f>IF(ISNUMBER(Input!B10602),IF(AND(Input!B10602&gt;=20,Input!B10602&lt;=700),Input!B10602,""),"")</f>
        <v/>
      </c>
      <c r="C10602">
        <f>IF(B10602="","",INT(A10602))</f>
        <v/>
      </c>
      <c r="D10602">
        <f>IF(B10602="","",HOUR(A10602))</f>
        <v/>
      </c>
    </row>
    <row r="10603">
      <c r="A10603">
        <f>Input!A10603</f>
        <v/>
      </c>
      <c r="B10603">
        <f>IF(ISNUMBER(Input!B10603),IF(AND(Input!B10603&gt;=20,Input!B10603&lt;=700),Input!B10603,""),"")</f>
        <v/>
      </c>
      <c r="C10603">
        <f>IF(B10603="","",INT(A10603))</f>
        <v/>
      </c>
      <c r="D10603">
        <f>IF(B10603="","",HOUR(A10603))</f>
        <v/>
      </c>
    </row>
    <row r="10604">
      <c r="A10604">
        <f>Input!A10604</f>
        <v/>
      </c>
      <c r="B10604">
        <f>IF(ISNUMBER(Input!B10604),IF(AND(Input!B10604&gt;=20,Input!B10604&lt;=700),Input!B10604,""),"")</f>
        <v/>
      </c>
      <c r="C10604">
        <f>IF(B10604="","",INT(A10604))</f>
        <v/>
      </c>
      <c r="D10604">
        <f>IF(B10604="","",HOUR(A10604))</f>
        <v/>
      </c>
    </row>
    <row r="10605">
      <c r="A10605">
        <f>Input!A10605</f>
        <v/>
      </c>
      <c r="B10605">
        <f>IF(ISNUMBER(Input!B10605),IF(AND(Input!B10605&gt;=20,Input!B10605&lt;=700),Input!B10605,""),"")</f>
        <v/>
      </c>
      <c r="C10605">
        <f>IF(B10605="","",INT(A10605))</f>
        <v/>
      </c>
      <c r="D10605">
        <f>IF(B10605="","",HOUR(A10605))</f>
        <v/>
      </c>
    </row>
    <row r="10606">
      <c r="A10606">
        <f>Input!A10606</f>
        <v/>
      </c>
      <c r="B10606">
        <f>IF(ISNUMBER(Input!B10606),IF(AND(Input!B10606&gt;=20,Input!B10606&lt;=700),Input!B10606,""),"")</f>
        <v/>
      </c>
      <c r="C10606">
        <f>IF(B10606="","",INT(A10606))</f>
        <v/>
      </c>
      <c r="D10606">
        <f>IF(B10606="","",HOUR(A10606))</f>
        <v/>
      </c>
    </row>
    <row r="10607">
      <c r="A10607">
        <f>Input!A10607</f>
        <v/>
      </c>
      <c r="B10607">
        <f>IF(ISNUMBER(Input!B10607),IF(AND(Input!B10607&gt;=20,Input!B10607&lt;=700),Input!B10607,""),"")</f>
        <v/>
      </c>
      <c r="C10607">
        <f>IF(B10607="","",INT(A10607))</f>
        <v/>
      </c>
      <c r="D10607">
        <f>IF(B10607="","",HOUR(A10607))</f>
        <v/>
      </c>
    </row>
    <row r="10608">
      <c r="A10608">
        <f>Input!A10608</f>
        <v/>
      </c>
      <c r="B10608">
        <f>IF(ISNUMBER(Input!B10608),IF(AND(Input!B10608&gt;=20,Input!B10608&lt;=700),Input!B10608,""),"")</f>
        <v/>
      </c>
      <c r="C10608">
        <f>IF(B10608="","",INT(A10608))</f>
        <v/>
      </c>
      <c r="D10608">
        <f>IF(B10608="","",HOUR(A10608))</f>
        <v/>
      </c>
    </row>
    <row r="10609">
      <c r="A10609">
        <f>Input!A10609</f>
        <v/>
      </c>
      <c r="B10609">
        <f>IF(ISNUMBER(Input!B10609),IF(AND(Input!B10609&gt;=20,Input!B10609&lt;=700),Input!B10609,""),"")</f>
        <v/>
      </c>
      <c r="C10609">
        <f>IF(B10609="","",INT(A10609))</f>
        <v/>
      </c>
      <c r="D10609">
        <f>IF(B10609="","",HOUR(A10609))</f>
        <v/>
      </c>
    </row>
    <row r="10610">
      <c r="A10610">
        <f>Input!A10610</f>
        <v/>
      </c>
      <c r="B10610">
        <f>IF(ISNUMBER(Input!B10610),IF(AND(Input!B10610&gt;=20,Input!B10610&lt;=700),Input!B10610,""),"")</f>
        <v/>
      </c>
      <c r="C10610">
        <f>IF(B10610="","",INT(A10610))</f>
        <v/>
      </c>
      <c r="D10610">
        <f>IF(B10610="","",HOUR(A10610))</f>
        <v/>
      </c>
    </row>
    <row r="10611">
      <c r="A10611">
        <f>Input!A10611</f>
        <v/>
      </c>
      <c r="B10611">
        <f>IF(ISNUMBER(Input!B10611),IF(AND(Input!B10611&gt;=20,Input!B10611&lt;=700),Input!B10611,""),"")</f>
        <v/>
      </c>
      <c r="C10611">
        <f>IF(B10611="","",INT(A10611))</f>
        <v/>
      </c>
      <c r="D10611">
        <f>IF(B10611="","",HOUR(A10611))</f>
        <v/>
      </c>
    </row>
    <row r="10612">
      <c r="A10612">
        <f>Input!A10612</f>
        <v/>
      </c>
      <c r="B10612">
        <f>IF(ISNUMBER(Input!B10612),IF(AND(Input!B10612&gt;=20,Input!B10612&lt;=700),Input!B10612,""),"")</f>
        <v/>
      </c>
      <c r="C10612">
        <f>IF(B10612="","",INT(A10612))</f>
        <v/>
      </c>
      <c r="D10612">
        <f>IF(B10612="","",HOUR(A10612))</f>
        <v/>
      </c>
    </row>
    <row r="10613">
      <c r="A10613">
        <f>Input!A10613</f>
        <v/>
      </c>
      <c r="B10613">
        <f>IF(ISNUMBER(Input!B10613),IF(AND(Input!B10613&gt;=20,Input!B10613&lt;=700),Input!B10613,""),"")</f>
        <v/>
      </c>
      <c r="C10613">
        <f>IF(B10613="","",INT(A10613))</f>
        <v/>
      </c>
      <c r="D10613">
        <f>IF(B10613="","",HOUR(A10613))</f>
        <v/>
      </c>
    </row>
    <row r="10614">
      <c r="A10614">
        <f>Input!A10614</f>
        <v/>
      </c>
      <c r="B10614">
        <f>IF(ISNUMBER(Input!B10614),IF(AND(Input!B10614&gt;=20,Input!B10614&lt;=700),Input!B10614,""),"")</f>
        <v/>
      </c>
      <c r="C10614">
        <f>IF(B10614="","",INT(A10614))</f>
        <v/>
      </c>
      <c r="D10614">
        <f>IF(B10614="","",HOUR(A10614))</f>
        <v/>
      </c>
    </row>
    <row r="10615">
      <c r="A10615">
        <f>Input!A10615</f>
        <v/>
      </c>
      <c r="B10615">
        <f>IF(ISNUMBER(Input!B10615),IF(AND(Input!B10615&gt;=20,Input!B10615&lt;=700),Input!B10615,""),"")</f>
        <v/>
      </c>
      <c r="C10615">
        <f>IF(B10615="","",INT(A10615))</f>
        <v/>
      </c>
      <c r="D10615">
        <f>IF(B10615="","",HOUR(A10615))</f>
        <v/>
      </c>
    </row>
    <row r="10616">
      <c r="A10616">
        <f>Input!A10616</f>
        <v/>
      </c>
      <c r="B10616">
        <f>IF(ISNUMBER(Input!B10616),IF(AND(Input!B10616&gt;=20,Input!B10616&lt;=700),Input!B10616,""),"")</f>
        <v/>
      </c>
      <c r="C10616">
        <f>IF(B10616="","",INT(A10616))</f>
        <v/>
      </c>
      <c r="D10616">
        <f>IF(B10616="","",HOUR(A10616))</f>
        <v/>
      </c>
    </row>
    <row r="10617">
      <c r="A10617">
        <f>Input!A10617</f>
        <v/>
      </c>
      <c r="B10617">
        <f>IF(ISNUMBER(Input!B10617),IF(AND(Input!B10617&gt;=20,Input!B10617&lt;=700),Input!B10617,""),"")</f>
        <v/>
      </c>
      <c r="C10617">
        <f>IF(B10617="","",INT(A10617))</f>
        <v/>
      </c>
      <c r="D10617">
        <f>IF(B10617="","",HOUR(A10617))</f>
        <v/>
      </c>
    </row>
    <row r="10618">
      <c r="A10618">
        <f>Input!A10618</f>
        <v/>
      </c>
      <c r="B10618">
        <f>IF(ISNUMBER(Input!B10618),IF(AND(Input!B10618&gt;=20,Input!B10618&lt;=700),Input!B10618,""),"")</f>
        <v/>
      </c>
      <c r="C10618">
        <f>IF(B10618="","",INT(A10618))</f>
        <v/>
      </c>
      <c r="D10618">
        <f>IF(B10618="","",HOUR(A10618))</f>
        <v/>
      </c>
    </row>
    <row r="10619">
      <c r="A10619">
        <f>Input!A10619</f>
        <v/>
      </c>
      <c r="B10619">
        <f>IF(ISNUMBER(Input!B10619),IF(AND(Input!B10619&gt;=20,Input!B10619&lt;=700),Input!B10619,""),"")</f>
        <v/>
      </c>
      <c r="C10619">
        <f>IF(B10619="","",INT(A10619))</f>
        <v/>
      </c>
      <c r="D10619">
        <f>IF(B10619="","",HOUR(A10619))</f>
        <v/>
      </c>
    </row>
    <row r="10620">
      <c r="A10620">
        <f>Input!A10620</f>
        <v/>
      </c>
      <c r="B10620">
        <f>IF(ISNUMBER(Input!B10620),IF(AND(Input!B10620&gt;=20,Input!B10620&lt;=700),Input!B10620,""),"")</f>
        <v/>
      </c>
      <c r="C10620">
        <f>IF(B10620="","",INT(A10620))</f>
        <v/>
      </c>
      <c r="D10620">
        <f>IF(B10620="","",HOUR(A10620))</f>
        <v/>
      </c>
    </row>
    <row r="10621">
      <c r="A10621">
        <f>Input!A10621</f>
        <v/>
      </c>
      <c r="B10621">
        <f>IF(ISNUMBER(Input!B10621),IF(AND(Input!B10621&gt;=20,Input!B10621&lt;=700),Input!B10621,""),"")</f>
        <v/>
      </c>
      <c r="C10621">
        <f>IF(B10621="","",INT(A10621))</f>
        <v/>
      </c>
      <c r="D10621">
        <f>IF(B10621="","",HOUR(A10621))</f>
        <v/>
      </c>
    </row>
    <row r="10622">
      <c r="A10622">
        <f>Input!A10622</f>
        <v/>
      </c>
      <c r="B10622">
        <f>IF(ISNUMBER(Input!B10622),IF(AND(Input!B10622&gt;=20,Input!B10622&lt;=700),Input!B10622,""),"")</f>
        <v/>
      </c>
      <c r="C10622">
        <f>IF(B10622="","",INT(A10622))</f>
        <v/>
      </c>
      <c r="D10622">
        <f>IF(B10622="","",HOUR(A10622))</f>
        <v/>
      </c>
    </row>
    <row r="10623">
      <c r="A10623">
        <f>Input!A10623</f>
        <v/>
      </c>
      <c r="B10623">
        <f>IF(ISNUMBER(Input!B10623),IF(AND(Input!B10623&gt;=20,Input!B10623&lt;=700),Input!B10623,""),"")</f>
        <v/>
      </c>
      <c r="C10623">
        <f>IF(B10623="","",INT(A10623))</f>
        <v/>
      </c>
      <c r="D10623">
        <f>IF(B10623="","",HOUR(A10623))</f>
        <v/>
      </c>
    </row>
    <row r="10624">
      <c r="A10624">
        <f>Input!A10624</f>
        <v/>
      </c>
      <c r="B10624">
        <f>IF(ISNUMBER(Input!B10624),IF(AND(Input!B10624&gt;=20,Input!B10624&lt;=700),Input!B10624,""),"")</f>
        <v/>
      </c>
      <c r="C10624">
        <f>IF(B10624="","",INT(A10624))</f>
        <v/>
      </c>
      <c r="D10624">
        <f>IF(B10624="","",HOUR(A10624))</f>
        <v/>
      </c>
    </row>
    <row r="10625">
      <c r="A10625">
        <f>Input!A10625</f>
        <v/>
      </c>
      <c r="B10625">
        <f>IF(ISNUMBER(Input!B10625),IF(AND(Input!B10625&gt;=20,Input!B10625&lt;=700),Input!B10625,""),"")</f>
        <v/>
      </c>
      <c r="C10625">
        <f>IF(B10625="","",INT(A10625))</f>
        <v/>
      </c>
      <c r="D10625">
        <f>IF(B10625="","",HOUR(A10625))</f>
        <v/>
      </c>
    </row>
    <row r="10626">
      <c r="A10626">
        <f>Input!A10626</f>
        <v/>
      </c>
      <c r="B10626">
        <f>IF(ISNUMBER(Input!B10626),IF(AND(Input!B10626&gt;=20,Input!B10626&lt;=700),Input!B10626,""),"")</f>
        <v/>
      </c>
      <c r="C10626">
        <f>IF(B10626="","",INT(A10626))</f>
        <v/>
      </c>
      <c r="D10626">
        <f>IF(B10626="","",HOUR(A10626))</f>
        <v/>
      </c>
    </row>
    <row r="10627">
      <c r="A10627">
        <f>Input!A10627</f>
        <v/>
      </c>
      <c r="B10627">
        <f>IF(ISNUMBER(Input!B10627),IF(AND(Input!B10627&gt;=20,Input!B10627&lt;=700),Input!B10627,""),"")</f>
        <v/>
      </c>
      <c r="C10627">
        <f>IF(B10627="","",INT(A10627))</f>
        <v/>
      </c>
      <c r="D10627">
        <f>IF(B10627="","",HOUR(A10627))</f>
        <v/>
      </c>
    </row>
    <row r="10628">
      <c r="A10628">
        <f>Input!A10628</f>
        <v/>
      </c>
      <c r="B10628">
        <f>IF(ISNUMBER(Input!B10628),IF(AND(Input!B10628&gt;=20,Input!B10628&lt;=700),Input!B10628,""),"")</f>
        <v/>
      </c>
      <c r="C10628">
        <f>IF(B10628="","",INT(A10628))</f>
        <v/>
      </c>
      <c r="D10628">
        <f>IF(B10628="","",HOUR(A10628))</f>
        <v/>
      </c>
    </row>
    <row r="10629">
      <c r="A10629">
        <f>Input!A10629</f>
        <v/>
      </c>
      <c r="B10629">
        <f>IF(ISNUMBER(Input!B10629),IF(AND(Input!B10629&gt;=20,Input!B10629&lt;=700),Input!B10629,""),"")</f>
        <v/>
      </c>
      <c r="C10629">
        <f>IF(B10629="","",INT(A10629))</f>
        <v/>
      </c>
      <c r="D10629">
        <f>IF(B10629="","",HOUR(A10629))</f>
        <v/>
      </c>
    </row>
    <row r="10630">
      <c r="A10630">
        <f>Input!A10630</f>
        <v/>
      </c>
      <c r="B10630">
        <f>IF(ISNUMBER(Input!B10630),IF(AND(Input!B10630&gt;=20,Input!B10630&lt;=700),Input!B10630,""),"")</f>
        <v/>
      </c>
      <c r="C10630">
        <f>IF(B10630="","",INT(A10630))</f>
        <v/>
      </c>
      <c r="D10630">
        <f>IF(B10630="","",HOUR(A10630))</f>
        <v/>
      </c>
    </row>
    <row r="10631">
      <c r="A10631">
        <f>Input!A10631</f>
        <v/>
      </c>
      <c r="B10631">
        <f>IF(ISNUMBER(Input!B10631),IF(AND(Input!B10631&gt;=20,Input!B10631&lt;=700),Input!B10631,""),"")</f>
        <v/>
      </c>
      <c r="C10631">
        <f>IF(B10631="","",INT(A10631))</f>
        <v/>
      </c>
      <c r="D10631">
        <f>IF(B10631="","",HOUR(A10631))</f>
        <v/>
      </c>
    </row>
    <row r="10632">
      <c r="A10632">
        <f>Input!A10632</f>
        <v/>
      </c>
      <c r="B10632">
        <f>IF(ISNUMBER(Input!B10632),IF(AND(Input!B10632&gt;=20,Input!B10632&lt;=700),Input!B10632,""),"")</f>
        <v/>
      </c>
      <c r="C10632">
        <f>IF(B10632="","",INT(A10632))</f>
        <v/>
      </c>
      <c r="D10632">
        <f>IF(B10632="","",HOUR(A10632))</f>
        <v/>
      </c>
    </row>
    <row r="10633">
      <c r="A10633">
        <f>Input!A10633</f>
        <v/>
      </c>
      <c r="B10633">
        <f>IF(ISNUMBER(Input!B10633),IF(AND(Input!B10633&gt;=20,Input!B10633&lt;=700),Input!B10633,""),"")</f>
        <v/>
      </c>
      <c r="C10633">
        <f>IF(B10633="","",INT(A10633))</f>
        <v/>
      </c>
      <c r="D10633">
        <f>IF(B10633="","",HOUR(A10633))</f>
        <v/>
      </c>
    </row>
    <row r="10634">
      <c r="A10634">
        <f>Input!A10634</f>
        <v/>
      </c>
      <c r="B10634">
        <f>IF(ISNUMBER(Input!B10634),IF(AND(Input!B10634&gt;=20,Input!B10634&lt;=700),Input!B10634,""),"")</f>
        <v/>
      </c>
      <c r="C10634">
        <f>IF(B10634="","",INT(A10634))</f>
        <v/>
      </c>
      <c r="D10634">
        <f>IF(B10634="","",HOUR(A10634))</f>
        <v/>
      </c>
    </row>
    <row r="10635">
      <c r="A10635">
        <f>Input!A10635</f>
        <v/>
      </c>
      <c r="B10635">
        <f>IF(ISNUMBER(Input!B10635),IF(AND(Input!B10635&gt;=20,Input!B10635&lt;=700),Input!B10635,""),"")</f>
        <v/>
      </c>
      <c r="C10635">
        <f>IF(B10635="","",INT(A10635))</f>
        <v/>
      </c>
      <c r="D10635">
        <f>IF(B10635="","",HOUR(A10635))</f>
        <v/>
      </c>
    </row>
    <row r="10636">
      <c r="A10636">
        <f>Input!A10636</f>
        <v/>
      </c>
      <c r="B10636">
        <f>IF(ISNUMBER(Input!B10636),IF(AND(Input!B10636&gt;=20,Input!B10636&lt;=700),Input!B10636,""),"")</f>
        <v/>
      </c>
      <c r="C10636">
        <f>IF(B10636="","",INT(A10636))</f>
        <v/>
      </c>
      <c r="D10636">
        <f>IF(B10636="","",HOUR(A10636))</f>
        <v/>
      </c>
    </row>
    <row r="10637">
      <c r="A10637">
        <f>Input!A10637</f>
        <v/>
      </c>
      <c r="B10637">
        <f>IF(ISNUMBER(Input!B10637),IF(AND(Input!B10637&gt;=20,Input!B10637&lt;=700),Input!B10637,""),"")</f>
        <v/>
      </c>
      <c r="C10637">
        <f>IF(B10637="","",INT(A10637))</f>
        <v/>
      </c>
      <c r="D10637">
        <f>IF(B10637="","",HOUR(A10637))</f>
        <v/>
      </c>
    </row>
    <row r="10638">
      <c r="A10638">
        <f>Input!A10638</f>
        <v/>
      </c>
      <c r="B10638">
        <f>IF(ISNUMBER(Input!B10638),IF(AND(Input!B10638&gt;=20,Input!B10638&lt;=700),Input!B10638,""),"")</f>
        <v/>
      </c>
      <c r="C10638">
        <f>IF(B10638="","",INT(A10638))</f>
        <v/>
      </c>
      <c r="D10638">
        <f>IF(B10638="","",HOUR(A10638))</f>
        <v/>
      </c>
    </row>
    <row r="10639">
      <c r="A10639">
        <f>Input!A10639</f>
        <v/>
      </c>
      <c r="B10639">
        <f>IF(ISNUMBER(Input!B10639),IF(AND(Input!B10639&gt;=20,Input!B10639&lt;=700),Input!B10639,""),"")</f>
        <v/>
      </c>
      <c r="C10639">
        <f>IF(B10639="","",INT(A10639))</f>
        <v/>
      </c>
      <c r="D10639">
        <f>IF(B10639="","",HOUR(A10639))</f>
        <v/>
      </c>
    </row>
    <row r="10640">
      <c r="A10640">
        <f>Input!A10640</f>
        <v/>
      </c>
      <c r="B10640">
        <f>IF(ISNUMBER(Input!B10640),IF(AND(Input!B10640&gt;=20,Input!B10640&lt;=700),Input!B10640,""),"")</f>
        <v/>
      </c>
      <c r="C10640">
        <f>IF(B10640="","",INT(A10640))</f>
        <v/>
      </c>
      <c r="D10640">
        <f>IF(B10640="","",HOUR(A10640))</f>
        <v/>
      </c>
    </row>
    <row r="10641">
      <c r="A10641">
        <f>Input!A10641</f>
        <v/>
      </c>
      <c r="B10641">
        <f>IF(ISNUMBER(Input!B10641),IF(AND(Input!B10641&gt;=20,Input!B10641&lt;=700),Input!B10641,""),"")</f>
        <v/>
      </c>
      <c r="C10641">
        <f>IF(B10641="","",INT(A10641))</f>
        <v/>
      </c>
      <c r="D10641">
        <f>IF(B10641="","",HOUR(A10641))</f>
        <v/>
      </c>
    </row>
    <row r="10642">
      <c r="A10642">
        <f>Input!A10642</f>
        <v/>
      </c>
      <c r="B10642">
        <f>IF(ISNUMBER(Input!B10642),IF(AND(Input!B10642&gt;=20,Input!B10642&lt;=700),Input!B10642,""),"")</f>
        <v/>
      </c>
      <c r="C10642">
        <f>IF(B10642="","",INT(A10642))</f>
        <v/>
      </c>
      <c r="D10642">
        <f>IF(B10642="","",HOUR(A10642))</f>
        <v/>
      </c>
    </row>
    <row r="10643">
      <c r="A10643">
        <f>Input!A10643</f>
        <v/>
      </c>
      <c r="B10643">
        <f>IF(ISNUMBER(Input!B10643),IF(AND(Input!B10643&gt;=20,Input!B10643&lt;=700),Input!B10643,""),"")</f>
        <v/>
      </c>
      <c r="C10643">
        <f>IF(B10643="","",INT(A10643))</f>
        <v/>
      </c>
      <c r="D10643">
        <f>IF(B10643="","",HOUR(A10643))</f>
        <v/>
      </c>
    </row>
    <row r="10644">
      <c r="A10644">
        <f>Input!A10644</f>
        <v/>
      </c>
      <c r="B10644">
        <f>IF(ISNUMBER(Input!B10644),IF(AND(Input!B10644&gt;=20,Input!B10644&lt;=700),Input!B10644,""),"")</f>
        <v/>
      </c>
      <c r="C10644">
        <f>IF(B10644="","",INT(A10644))</f>
        <v/>
      </c>
      <c r="D10644">
        <f>IF(B10644="","",HOUR(A10644))</f>
        <v/>
      </c>
    </row>
    <row r="10645">
      <c r="A10645">
        <f>Input!A10645</f>
        <v/>
      </c>
      <c r="B10645">
        <f>IF(ISNUMBER(Input!B10645),IF(AND(Input!B10645&gt;=20,Input!B10645&lt;=700),Input!B10645,""),"")</f>
        <v/>
      </c>
      <c r="C10645">
        <f>IF(B10645="","",INT(A10645))</f>
        <v/>
      </c>
      <c r="D10645">
        <f>IF(B10645="","",HOUR(A10645))</f>
        <v/>
      </c>
    </row>
    <row r="10646">
      <c r="A10646">
        <f>Input!A10646</f>
        <v/>
      </c>
      <c r="B10646">
        <f>IF(ISNUMBER(Input!B10646),IF(AND(Input!B10646&gt;=20,Input!B10646&lt;=700),Input!B10646,""),"")</f>
        <v/>
      </c>
      <c r="C10646">
        <f>IF(B10646="","",INT(A10646))</f>
        <v/>
      </c>
      <c r="D10646">
        <f>IF(B10646="","",HOUR(A10646))</f>
        <v/>
      </c>
    </row>
    <row r="10647">
      <c r="A10647">
        <f>Input!A10647</f>
        <v/>
      </c>
      <c r="B10647">
        <f>IF(ISNUMBER(Input!B10647),IF(AND(Input!B10647&gt;=20,Input!B10647&lt;=700),Input!B10647,""),"")</f>
        <v/>
      </c>
      <c r="C10647">
        <f>IF(B10647="","",INT(A10647))</f>
        <v/>
      </c>
      <c r="D10647">
        <f>IF(B10647="","",HOUR(A10647))</f>
        <v/>
      </c>
    </row>
    <row r="10648">
      <c r="A10648">
        <f>Input!A10648</f>
        <v/>
      </c>
      <c r="B10648">
        <f>IF(ISNUMBER(Input!B10648),IF(AND(Input!B10648&gt;=20,Input!B10648&lt;=700),Input!B10648,""),"")</f>
        <v/>
      </c>
      <c r="C10648">
        <f>IF(B10648="","",INT(A10648))</f>
        <v/>
      </c>
      <c r="D10648">
        <f>IF(B10648="","",HOUR(A10648))</f>
        <v/>
      </c>
    </row>
    <row r="10649">
      <c r="A10649">
        <f>Input!A10649</f>
        <v/>
      </c>
      <c r="B10649">
        <f>IF(ISNUMBER(Input!B10649),IF(AND(Input!B10649&gt;=20,Input!B10649&lt;=700),Input!B10649,""),"")</f>
        <v/>
      </c>
      <c r="C10649">
        <f>IF(B10649="","",INT(A10649))</f>
        <v/>
      </c>
      <c r="D10649">
        <f>IF(B10649="","",HOUR(A10649))</f>
        <v/>
      </c>
    </row>
    <row r="10650">
      <c r="A10650">
        <f>Input!A10650</f>
        <v/>
      </c>
      <c r="B10650">
        <f>IF(ISNUMBER(Input!B10650),IF(AND(Input!B10650&gt;=20,Input!B10650&lt;=700),Input!B10650,""),"")</f>
        <v/>
      </c>
      <c r="C10650">
        <f>IF(B10650="","",INT(A10650))</f>
        <v/>
      </c>
      <c r="D10650">
        <f>IF(B10650="","",HOUR(A10650))</f>
        <v/>
      </c>
    </row>
    <row r="10651">
      <c r="A10651">
        <f>Input!A10651</f>
        <v/>
      </c>
      <c r="B10651">
        <f>IF(ISNUMBER(Input!B10651),IF(AND(Input!B10651&gt;=20,Input!B10651&lt;=700),Input!B10651,""),"")</f>
        <v/>
      </c>
      <c r="C10651">
        <f>IF(B10651="","",INT(A10651))</f>
        <v/>
      </c>
      <c r="D10651">
        <f>IF(B10651="","",HOUR(A10651))</f>
        <v/>
      </c>
    </row>
    <row r="10652">
      <c r="A10652">
        <f>Input!A10652</f>
        <v/>
      </c>
      <c r="B10652">
        <f>IF(ISNUMBER(Input!B10652),IF(AND(Input!B10652&gt;=20,Input!B10652&lt;=700),Input!B10652,""),"")</f>
        <v/>
      </c>
      <c r="C10652">
        <f>IF(B10652="","",INT(A10652))</f>
        <v/>
      </c>
      <c r="D10652">
        <f>IF(B10652="","",HOUR(A10652))</f>
        <v/>
      </c>
    </row>
    <row r="10653">
      <c r="A10653">
        <f>Input!A10653</f>
        <v/>
      </c>
      <c r="B10653">
        <f>IF(ISNUMBER(Input!B10653),IF(AND(Input!B10653&gt;=20,Input!B10653&lt;=700),Input!B10653,""),"")</f>
        <v/>
      </c>
      <c r="C10653">
        <f>IF(B10653="","",INT(A10653))</f>
        <v/>
      </c>
      <c r="D10653">
        <f>IF(B10653="","",HOUR(A10653))</f>
        <v/>
      </c>
    </row>
    <row r="10654">
      <c r="A10654">
        <f>Input!A10654</f>
        <v/>
      </c>
      <c r="B10654">
        <f>IF(ISNUMBER(Input!B10654),IF(AND(Input!B10654&gt;=20,Input!B10654&lt;=700),Input!B10654,""),"")</f>
        <v/>
      </c>
      <c r="C10654">
        <f>IF(B10654="","",INT(A10654))</f>
        <v/>
      </c>
      <c r="D10654">
        <f>IF(B10654="","",HOUR(A10654))</f>
        <v/>
      </c>
    </row>
    <row r="10655">
      <c r="A10655">
        <f>Input!A10655</f>
        <v/>
      </c>
      <c r="B10655">
        <f>IF(ISNUMBER(Input!B10655),IF(AND(Input!B10655&gt;=20,Input!B10655&lt;=700),Input!B10655,""),"")</f>
        <v/>
      </c>
      <c r="C10655">
        <f>IF(B10655="","",INT(A10655))</f>
        <v/>
      </c>
      <c r="D10655">
        <f>IF(B10655="","",HOUR(A10655))</f>
        <v/>
      </c>
    </row>
    <row r="10656">
      <c r="A10656">
        <f>Input!A10656</f>
        <v/>
      </c>
      <c r="B10656">
        <f>IF(ISNUMBER(Input!B10656),IF(AND(Input!B10656&gt;=20,Input!B10656&lt;=700),Input!B10656,""),"")</f>
        <v/>
      </c>
      <c r="C10656">
        <f>IF(B10656="","",INT(A10656))</f>
        <v/>
      </c>
      <c r="D10656">
        <f>IF(B10656="","",HOUR(A10656))</f>
        <v/>
      </c>
    </row>
    <row r="10657">
      <c r="A10657">
        <f>Input!A10657</f>
        <v/>
      </c>
      <c r="B10657">
        <f>IF(ISNUMBER(Input!B10657),IF(AND(Input!B10657&gt;=20,Input!B10657&lt;=700),Input!B10657,""),"")</f>
        <v/>
      </c>
      <c r="C10657">
        <f>IF(B10657="","",INT(A10657))</f>
        <v/>
      </c>
      <c r="D10657">
        <f>IF(B10657="","",HOUR(A10657))</f>
        <v/>
      </c>
    </row>
    <row r="10658">
      <c r="A10658">
        <f>Input!A10658</f>
        <v/>
      </c>
      <c r="B10658">
        <f>IF(ISNUMBER(Input!B10658),IF(AND(Input!B10658&gt;=20,Input!B10658&lt;=700),Input!B10658,""),"")</f>
        <v/>
      </c>
      <c r="C10658">
        <f>IF(B10658="","",INT(A10658))</f>
        <v/>
      </c>
      <c r="D10658">
        <f>IF(B10658="","",HOUR(A10658))</f>
        <v/>
      </c>
    </row>
    <row r="10659">
      <c r="A10659">
        <f>Input!A10659</f>
        <v/>
      </c>
      <c r="B10659">
        <f>IF(ISNUMBER(Input!B10659),IF(AND(Input!B10659&gt;=20,Input!B10659&lt;=700),Input!B10659,""),"")</f>
        <v/>
      </c>
      <c r="C10659">
        <f>IF(B10659="","",INT(A10659))</f>
        <v/>
      </c>
      <c r="D10659">
        <f>IF(B10659="","",HOUR(A10659))</f>
        <v/>
      </c>
    </row>
    <row r="10660">
      <c r="A10660">
        <f>Input!A10660</f>
        <v/>
      </c>
      <c r="B10660">
        <f>IF(ISNUMBER(Input!B10660),IF(AND(Input!B10660&gt;=20,Input!B10660&lt;=700),Input!B10660,""),"")</f>
        <v/>
      </c>
      <c r="C10660">
        <f>IF(B10660="","",INT(A10660))</f>
        <v/>
      </c>
      <c r="D10660">
        <f>IF(B10660="","",HOUR(A10660))</f>
        <v/>
      </c>
    </row>
    <row r="10661">
      <c r="A10661">
        <f>Input!A10661</f>
        <v/>
      </c>
      <c r="B10661">
        <f>IF(ISNUMBER(Input!B10661),IF(AND(Input!B10661&gt;=20,Input!B10661&lt;=700),Input!B10661,""),"")</f>
        <v/>
      </c>
      <c r="C10661">
        <f>IF(B10661="","",INT(A10661))</f>
        <v/>
      </c>
      <c r="D10661">
        <f>IF(B10661="","",HOUR(A10661))</f>
        <v/>
      </c>
    </row>
    <row r="10662">
      <c r="A10662">
        <f>Input!A10662</f>
        <v/>
      </c>
      <c r="B10662">
        <f>IF(ISNUMBER(Input!B10662),IF(AND(Input!B10662&gt;=20,Input!B10662&lt;=700),Input!B10662,""),"")</f>
        <v/>
      </c>
      <c r="C10662">
        <f>IF(B10662="","",INT(A10662))</f>
        <v/>
      </c>
      <c r="D10662">
        <f>IF(B10662="","",HOUR(A10662))</f>
        <v/>
      </c>
    </row>
    <row r="10663">
      <c r="A10663">
        <f>Input!A10663</f>
        <v/>
      </c>
      <c r="B10663">
        <f>IF(ISNUMBER(Input!B10663),IF(AND(Input!B10663&gt;=20,Input!B10663&lt;=700),Input!B10663,""),"")</f>
        <v/>
      </c>
      <c r="C10663">
        <f>IF(B10663="","",INT(A10663))</f>
        <v/>
      </c>
      <c r="D10663">
        <f>IF(B10663="","",HOUR(A10663))</f>
        <v/>
      </c>
    </row>
    <row r="10664">
      <c r="A10664">
        <f>Input!A10664</f>
        <v/>
      </c>
      <c r="B10664">
        <f>IF(ISNUMBER(Input!B10664),IF(AND(Input!B10664&gt;=20,Input!B10664&lt;=700),Input!B10664,""),"")</f>
        <v/>
      </c>
      <c r="C10664">
        <f>IF(B10664="","",INT(A10664))</f>
        <v/>
      </c>
      <c r="D10664">
        <f>IF(B10664="","",HOUR(A10664))</f>
        <v/>
      </c>
    </row>
    <row r="10665">
      <c r="A10665">
        <f>Input!A10665</f>
        <v/>
      </c>
      <c r="B10665">
        <f>IF(ISNUMBER(Input!B10665),IF(AND(Input!B10665&gt;=20,Input!B10665&lt;=700),Input!B10665,""),"")</f>
        <v/>
      </c>
      <c r="C10665">
        <f>IF(B10665="","",INT(A10665))</f>
        <v/>
      </c>
      <c r="D10665">
        <f>IF(B10665="","",HOUR(A10665))</f>
        <v/>
      </c>
    </row>
    <row r="10666">
      <c r="A10666">
        <f>Input!A10666</f>
        <v/>
      </c>
      <c r="B10666">
        <f>IF(ISNUMBER(Input!B10666),IF(AND(Input!B10666&gt;=20,Input!B10666&lt;=700),Input!B10666,""),"")</f>
        <v/>
      </c>
      <c r="C10666">
        <f>IF(B10666="","",INT(A10666))</f>
        <v/>
      </c>
      <c r="D10666">
        <f>IF(B10666="","",HOUR(A10666))</f>
        <v/>
      </c>
    </row>
    <row r="10667">
      <c r="A10667">
        <f>Input!A10667</f>
        <v/>
      </c>
      <c r="B10667">
        <f>IF(ISNUMBER(Input!B10667),IF(AND(Input!B10667&gt;=20,Input!B10667&lt;=700),Input!B10667,""),"")</f>
        <v/>
      </c>
      <c r="C10667">
        <f>IF(B10667="","",INT(A10667))</f>
        <v/>
      </c>
      <c r="D10667">
        <f>IF(B10667="","",HOUR(A10667))</f>
        <v/>
      </c>
    </row>
    <row r="10668">
      <c r="A10668">
        <f>Input!A10668</f>
        <v/>
      </c>
      <c r="B10668">
        <f>IF(ISNUMBER(Input!B10668),IF(AND(Input!B10668&gt;=20,Input!B10668&lt;=700),Input!B10668,""),"")</f>
        <v/>
      </c>
      <c r="C10668">
        <f>IF(B10668="","",INT(A10668))</f>
        <v/>
      </c>
      <c r="D10668">
        <f>IF(B10668="","",HOUR(A10668))</f>
        <v/>
      </c>
    </row>
    <row r="10669">
      <c r="A10669">
        <f>Input!A10669</f>
        <v/>
      </c>
      <c r="B10669">
        <f>IF(ISNUMBER(Input!B10669),IF(AND(Input!B10669&gt;=20,Input!B10669&lt;=700),Input!B10669,""),"")</f>
        <v/>
      </c>
      <c r="C10669">
        <f>IF(B10669="","",INT(A10669))</f>
        <v/>
      </c>
      <c r="D10669">
        <f>IF(B10669="","",HOUR(A10669))</f>
        <v/>
      </c>
    </row>
    <row r="10670">
      <c r="A10670">
        <f>Input!A10670</f>
        <v/>
      </c>
      <c r="B10670">
        <f>IF(ISNUMBER(Input!B10670),IF(AND(Input!B10670&gt;=20,Input!B10670&lt;=700),Input!B10670,""),"")</f>
        <v/>
      </c>
      <c r="C10670">
        <f>IF(B10670="","",INT(A10670))</f>
        <v/>
      </c>
      <c r="D10670">
        <f>IF(B10670="","",HOUR(A10670))</f>
        <v/>
      </c>
    </row>
    <row r="10671">
      <c r="A10671">
        <f>Input!A10671</f>
        <v/>
      </c>
      <c r="B10671">
        <f>IF(ISNUMBER(Input!B10671),IF(AND(Input!B10671&gt;=20,Input!B10671&lt;=700),Input!B10671,""),"")</f>
        <v/>
      </c>
      <c r="C10671">
        <f>IF(B10671="","",INT(A10671))</f>
        <v/>
      </c>
      <c r="D10671">
        <f>IF(B10671="","",HOUR(A10671))</f>
        <v/>
      </c>
    </row>
    <row r="10672">
      <c r="A10672">
        <f>Input!A10672</f>
        <v/>
      </c>
      <c r="B10672">
        <f>IF(ISNUMBER(Input!B10672),IF(AND(Input!B10672&gt;=20,Input!B10672&lt;=700),Input!B10672,""),"")</f>
        <v/>
      </c>
      <c r="C10672">
        <f>IF(B10672="","",INT(A10672))</f>
        <v/>
      </c>
      <c r="D10672">
        <f>IF(B10672="","",HOUR(A10672))</f>
        <v/>
      </c>
    </row>
    <row r="10673">
      <c r="A10673">
        <f>Input!A10673</f>
        <v/>
      </c>
      <c r="B10673">
        <f>IF(ISNUMBER(Input!B10673),IF(AND(Input!B10673&gt;=20,Input!B10673&lt;=700),Input!B10673,""),"")</f>
        <v/>
      </c>
      <c r="C10673">
        <f>IF(B10673="","",INT(A10673))</f>
        <v/>
      </c>
      <c r="D10673">
        <f>IF(B10673="","",HOUR(A10673))</f>
        <v/>
      </c>
    </row>
    <row r="10674">
      <c r="A10674">
        <f>Input!A10674</f>
        <v/>
      </c>
      <c r="B10674">
        <f>IF(ISNUMBER(Input!B10674),IF(AND(Input!B10674&gt;=20,Input!B10674&lt;=700),Input!B10674,""),"")</f>
        <v/>
      </c>
      <c r="C10674">
        <f>IF(B10674="","",INT(A10674))</f>
        <v/>
      </c>
      <c r="D10674">
        <f>IF(B10674="","",HOUR(A10674))</f>
        <v/>
      </c>
    </row>
    <row r="10675">
      <c r="A10675">
        <f>Input!A10675</f>
        <v/>
      </c>
      <c r="B10675">
        <f>IF(ISNUMBER(Input!B10675),IF(AND(Input!B10675&gt;=20,Input!B10675&lt;=700),Input!B10675,""),"")</f>
        <v/>
      </c>
      <c r="C10675">
        <f>IF(B10675="","",INT(A10675))</f>
        <v/>
      </c>
      <c r="D10675">
        <f>IF(B10675="","",HOUR(A10675))</f>
        <v/>
      </c>
    </row>
    <row r="10676">
      <c r="A10676">
        <f>Input!A10676</f>
        <v/>
      </c>
      <c r="B10676">
        <f>IF(ISNUMBER(Input!B10676),IF(AND(Input!B10676&gt;=20,Input!B10676&lt;=700),Input!B10676,""),"")</f>
        <v/>
      </c>
      <c r="C10676">
        <f>IF(B10676="","",INT(A10676))</f>
        <v/>
      </c>
      <c r="D10676">
        <f>IF(B10676="","",HOUR(A10676))</f>
        <v/>
      </c>
    </row>
    <row r="10677">
      <c r="A10677">
        <f>Input!A10677</f>
        <v/>
      </c>
      <c r="B10677">
        <f>IF(ISNUMBER(Input!B10677),IF(AND(Input!B10677&gt;=20,Input!B10677&lt;=700),Input!B10677,""),"")</f>
        <v/>
      </c>
      <c r="C10677">
        <f>IF(B10677="","",INT(A10677))</f>
        <v/>
      </c>
      <c r="D10677">
        <f>IF(B10677="","",HOUR(A10677))</f>
        <v/>
      </c>
    </row>
    <row r="10678">
      <c r="A10678">
        <f>Input!A10678</f>
        <v/>
      </c>
      <c r="B10678">
        <f>IF(ISNUMBER(Input!B10678),IF(AND(Input!B10678&gt;=20,Input!B10678&lt;=700),Input!B10678,""),"")</f>
        <v/>
      </c>
      <c r="C10678">
        <f>IF(B10678="","",INT(A10678))</f>
        <v/>
      </c>
      <c r="D10678">
        <f>IF(B10678="","",HOUR(A10678))</f>
        <v/>
      </c>
    </row>
    <row r="10679">
      <c r="A10679">
        <f>Input!A10679</f>
        <v/>
      </c>
      <c r="B10679">
        <f>IF(ISNUMBER(Input!B10679),IF(AND(Input!B10679&gt;=20,Input!B10679&lt;=700),Input!B10679,""),"")</f>
        <v/>
      </c>
      <c r="C10679">
        <f>IF(B10679="","",INT(A10679))</f>
        <v/>
      </c>
      <c r="D10679">
        <f>IF(B10679="","",HOUR(A10679))</f>
        <v/>
      </c>
    </row>
    <row r="10680">
      <c r="A10680">
        <f>Input!A10680</f>
        <v/>
      </c>
      <c r="B10680">
        <f>IF(ISNUMBER(Input!B10680),IF(AND(Input!B10680&gt;=20,Input!B10680&lt;=700),Input!B10680,""),"")</f>
        <v/>
      </c>
      <c r="C10680">
        <f>IF(B10680="","",INT(A10680))</f>
        <v/>
      </c>
      <c r="D10680">
        <f>IF(B10680="","",HOUR(A10680))</f>
        <v/>
      </c>
    </row>
    <row r="10681">
      <c r="A10681">
        <f>Input!A10681</f>
        <v/>
      </c>
      <c r="B10681">
        <f>IF(ISNUMBER(Input!B10681),IF(AND(Input!B10681&gt;=20,Input!B10681&lt;=700),Input!B10681,""),"")</f>
        <v/>
      </c>
      <c r="C10681">
        <f>IF(B10681="","",INT(A10681))</f>
        <v/>
      </c>
      <c r="D10681">
        <f>IF(B10681="","",HOUR(A10681))</f>
        <v/>
      </c>
    </row>
    <row r="10682">
      <c r="A10682">
        <f>Input!A10682</f>
        <v/>
      </c>
      <c r="B10682">
        <f>IF(ISNUMBER(Input!B10682),IF(AND(Input!B10682&gt;=20,Input!B10682&lt;=700),Input!B10682,""),"")</f>
        <v/>
      </c>
      <c r="C10682">
        <f>IF(B10682="","",INT(A10682))</f>
        <v/>
      </c>
      <c r="D10682">
        <f>IF(B10682="","",HOUR(A10682))</f>
        <v/>
      </c>
    </row>
    <row r="10683">
      <c r="A10683">
        <f>Input!A10683</f>
        <v/>
      </c>
      <c r="B10683">
        <f>IF(ISNUMBER(Input!B10683),IF(AND(Input!B10683&gt;=20,Input!B10683&lt;=700),Input!B10683,""),"")</f>
        <v/>
      </c>
      <c r="C10683">
        <f>IF(B10683="","",INT(A10683))</f>
        <v/>
      </c>
      <c r="D10683">
        <f>IF(B10683="","",HOUR(A10683))</f>
        <v/>
      </c>
    </row>
    <row r="10684">
      <c r="A10684">
        <f>Input!A10684</f>
        <v/>
      </c>
      <c r="B10684">
        <f>IF(ISNUMBER(Input!B10684),IF(AND(Input!B10684&gt;=20,Input!B10684&lt;=700),Input!B10684,""),"")</f>
        <v/>
      </c>
      <c r="C10684">
        <f>IF(B10684="","",INT(A10684))</f>
        <v/>
      </c>
      <c r="D10684">
        <f>IF(B10684="","",HOUR(A10684))</f>
        <v/>
      </c>
    </row>
    <row r="10685">
      <c r="A10685">
        <f>Input!A10685</f>
        <v/>
      </c>
      <c r="B10685">
        <f>IF(ISNUMBER(Input!B10685),IF(AND(Input!B10685&gt;=20,Input!B10685&lt;=700),Input!B10685,""),"")</f>
        <v/>
      </c>
      <c r="C10685">
        <f>IF(B10685="","",INT(A10685))</f>
        <v/>
      </c>
      <c r="D10685">
        <f>IF(B10685="","",HOUR(A10685))</f>
        <v/>
      </c>
    </row>
    <row r="10686">
      <c r="A10686">
        <f>Input!A10686</f>
        <v/>
      </c>
      <c r="B10686">
        <f>IF(ISNUMBER(Input!B10686),IF(AND(Input!B10686&gt;=20,Input!B10686&lt;=700),Input!B10686,""),"")</f>
        <v/>
      </c>
      <c r="C10686">
        <f>IF(B10686="","",INT(A10686))</f>
        <v/>
      </c>
      <c r="D10686">
        <f>IF(B10686="","",HOUR(A10686))</f>
        <v/>
      </c>
    </row>
    <row r="10687">
      <c r="A10687">
        <f>Input!A10687</f>
        <v/>
      </c>
      <c r="B10687">
        <f>IF(ISNUMBER(Input!B10687),IF(AND(Input!B10687&gt;=20,Input!B10687&lt;=700),Input!B10687,""),"")</f>
        <v/>
      </c>
      <c r="C10687">
        <f>IF(B10687="","",INT(A10687))</f>
        <v/>
      </c>
      <c r="D10687">
        <f>IF(B10687="","",HOUR(A10687))</f>
        <v/>
      </c>
    </row>
    <row r="10688">
      <c r="A10688">
        <f>Input!A10688</f>
        <v/>
      </c>
      <c r="B10688">
        <f>IF(ISNUMBER(Input!B10688),IF(AND(Input!B10688&gt;=20,Input!B10688&lt;=700),Input!B10688,""),"")</f>
        <v/>
      </c>
      <c r="C10688">
        <f>IF(B10688="","",INT(A10688))</f>
        <v/>
      </c>
      <c r="D10688">
        <f>IF(B10688="","",HOUR(A10688))</f>
        <v/>
      </c>
    </row>
    <row r="10689">
      <c r="A10689">
        <f>Input!A10689</f>
        <v/>
      </c>
      <c r="B10689">
        <f>IF(ISNUMBER(Input!B10689),IF(AND(Input!B10689&gt;=20,Input!B10689&lt;=700),Input!B10689,""),"")</f>
        <v/>
      </c>
      <c r="C10689">
        <f>IF(B10689="","",INT(A10689))</f>
        <v/>
      </c>
      <c r="D10689">
        <f>IF(B10689="","",HOUR(A10689))</f>
        <v/>
      </c>
    </row>
    <row r="10690">
      <c r="A10690">
        <f>Input!A10690</f>
        <v/>
      </c>
      <c r="B10690">
        <f>IF(ISNUMBER(Input!B10690),IF(AND(Input!B10690&gt;=20,Input!B10690&lt;=700),Input!B10690,""),"")</f>
        <v/>
      </c>
      <c r="C10690">
        <f>IF(B10690="","",INT(A10690))</f>
        <v/>
      </c>
      <c r="D10690">
        <f>IF(B10690="","",HOUR(A10690))</f>
        <v/>
      </c>
    </row>
    <row r="10691">
      <c r="A10691">
        <f>Input!A10691</f>
        <v/>
      </c>
      <c r="B10691">
        <f>IF(ISNUMBER(Input!B10691),IF(AND(Input!B10691&gt;=20,Input!B10691&lt;=700),Input!B10691,""),"")</f>
        <v/>
      </c>
      <c r="C10691">
        <f>IF(B10691="","",INT(A10691))</f>
        <v/>
      </c>
      <c r="D10691">
        <f>IF(B10691="","",HOUR(A10691))</f>
        <v/>
      </c>
    </row>
    <row r="10692">
      <c r="A10692">
        <f>Input!A10692</f>
        <v/>
      </c>
      <c r="B10692">
        <f>IF(ISNUMBER(Input!B10692),IF(AND(Input!B10692&gt;=20,Input!B10692&lt;=700),Input!B10692,""),"")</f>
        <v/>
      </c>
      <c r="C10692">
        <f>IF(B10692="","",INT(A10692))</f>
        <v/>
      </c>
      <c r="D10692">
        <f>IF(B10692="","",HOUR(A10692))</f>
        <v/>
      </c>
    </row>
    <row r="10693">
      <c r="A10693">
        <f>Input!A10693</f>
        <v/>
      </c>
      <c r="B10693">
        <f>IF(ISNUMBER(Input!B10693),IF(AND(Input!B10693&gt;=20,Input!B10693&lt;=700),Input!B10693,""),"")</f>
        <v/>
      </c>
      <c r="C10693">
        <f>IF(B10693="","",INT(A10693))</f>
        <v/>
      </c>
      <c r="D10693">
        <f>IF(B10693="","",HOUR(A10693))</f>
        <v/>
      </c>
    </row>
    <row r="10694">
      <c r="A10694">
        <f>Input!A10694</f>
        <v/>
      </c>
      <c r="B10694">
        <f>IF(ISNUMBER(Input!B10694),IF(AND(Input!B10694&gt;=20,Input!B10694&lt;=700),Input!B10694,""),"")</f>
        <v/>
      </c>
      <c r="C10694">
        <f>IF(B10694="","",INT(A10694))</f>
        <v/>
      </c>
      <c r="D10694">
        <f>IF(B10694="","",HOUR(A10694))</f>
        <v/>
      </c>
    </row>
    <row r="10695">
      <c r="A10695">
        <f>Input!A10695</f>
        <v/>
      </c>
      <c r="B10695">
        <f>IF(ISNUMBER(Input!B10695),IF(AND(Input!B10695&gt;=20,Input!B10695&lt;=700),Input!B10695,""),"")</f>
        <v/>
      </c>
      <c r="C10695">
        <f>IF(B10695="","",INT(A10695))</f>
        <v/>
      </c>
      <c r="D10695">
        <f>IF(B10695="","",HOUR(A10695))</f>
        <v/>
      </c>
    </row>
    <row r="10696">
      <c r="A10696">
        <f>Input!A10696</f>
        <v/>
      </c>
      <c r="B10696">
        <f>IF(ISNUMBER(Input!B10696),IF(AND(Input!B10696&gt;=20,Input!B10696&lt;=700),Input!B10696,""),"")</f>
        <v/>
      </c>
      <c r="C10696">
        <f>IF(B10696="","",INT(A10696))</f>
        <v/>
      </c>
      <c r="D10696">
        <f>IF(B10696="","",HOUR(A10696))</f>
        <v/>
      </c>
    </row>
    <row r="10697">
      <c r="A10697">
        <f>Input!A10697</f>
        <v/>
      </c>
      <c r="B10697">
        <f>IF(ISNUMBER(Input!B10697),IF(AND(Input!B10697&gt;=20,Input!B10697&lt;=700),Input!B10697,""),"")</f>
        <v/>
      </c>
      <c r="C10697">
        <f>IF(B10697="","",INT(A10697))</f>
        <v/>
      </c>
      <c r="D10697">
        <f>IF(B10697="","",HOUR(A10697))</f>
        <v/>
      </c>
    </row>
    <row r="10698">
      <c r="A10698">
        <f>Input!A10698</f>
        <v/>
      </c>
      <c r="B10698">
        <f>IF(ISNUMBER(Input!B10698),IF(AND(Input!B10698&gt;=20,Input!B10698&lt;=700),Input!B10698,""),"")</f>
        <v/>
      </c>
      <c r="C10698">
        <f>IF(B10698="","",INT(A10698))</f>
        <v/>
      </c>
      <c r="D10698">
        <f>IF(B10698="","",HOUR(A10698))</f>
        <v/>
      </c>
    </row>
    <row r="10699">
      <c r="A10699">
        <f>Input!A10699</f>
        <v/>
      </c>
      <c r="B10699">
        <f>IF(ISNUMBER(Input!B10699),IF(AND(Input!B10699&gt;=20,Input!B10699&lt;=700),Input!B10699,""),"")</f>
        <v/>
      </c>
      <c r="C10699">
        <f>IF(B10699="","",INT(A10699))</f>
        <v/>
      </c>
      <c r="D10699">
        <f>IF(B10699="","",HOUR(A10699))</f>
        <v/>
      </c>
    </row>
    <row r="10700">
      <c r="A10700">
        <f>Input!A10700</f>
        <v/>
      </c>
      <c r="B10700">
        <f>IF(ISNUMBER(Input!B10700),IF(AND(Input!B10700&gt;=20,Input!B10700&lt;=700),Input!B10700,""),"")</f>
        <v/>
      </c>
      <c r="C10700">
        <f>IF(B10700="","",INT(A10700))</f>
        <v/>
      </c>
      <c r="D10700">
        <f>IF(B10700="","",HOUR(A10700))</f>
        <v/>
      </c>
    </row>
    <row r="10701">
      <c r="A10701">
        <f>Input!A10701</f>
        <v/>
      </c>
      <c r="B10701">
        <f>IF(ISNUMBER(Input!B10701),IF(AND(Input!B10701&gt;=20,Input!B10701&lt;=700),Input!B10701,""),"")</f>
        <v/>
      </c>
      <c r="C10701">
        <f>IF(B10701="","",INT(A10701))</f>
        <v/>
      </c>
      <c r="D10701">
        <f>IF(B10701="","",HOUR(A10701))</f>
        <v/>
      </c>
    </row>
    <row r="10702">
      <c r="A10702">
        <f>Input!A10702</f>
        <v/>
      </c>
      <c r="B10702">
        <f>IF(ISNUMBER(Input!B10702),IF(AND(Input!B10702&gt;=20,Input!B10702&lt;=700),Input!B10702,""),"")</f>
        <v/>
      </c>
      <c r="C10702">
        <f>IF(B10702="","",INT(A10702))</f>
        <v/>
      </c>
      <c r="D10702">
        <f>IF(B10702="","",HOUR(A10702))</f>
        <v/>
      </c>
    </row>
    <row r="10703">
      <c r="A10703">
        <f>Input!A10703</f>
        <v/>
      </c>
      <c r="B10703">
        <f>IF(ISNUMBER(Input!B10703),IF(AND(Input!B10703&gt;=20,Input!B10703&lt;=700),Input!B10703,""),"")</f>
        <v/>
      </c>
      <c r="C10703">
        <f>IF(B10703="","",INT(A10703))</f>
        <v/>
      </c>
      <c r="D10703">
        <f>IF(B10703="","",HOUR(A10703))</f>
        <v/>
      </c>
    </row>
    <row r="10704">
      <c r="A10704">
        <f>Input!A10704</f>
        <v/>
      </c>
      <c r="B10704">
        <f>IF(ISNUMBER(Input!B10704),IF(AND(Input!B10704&gt;=20,Input!B10704&lt;=700),Input!B10704,""),"")</f>
        <v/>
      </c>
      <c r="C10704">
        <f>IF(B10704="","",INT(A10704))</f>
        <v/>
      </c>
      <c r="D10704">
        <f>IF(B10704="","",HOUR(A10704))</f>
        <v/>
      </c>
    </row>
    <row r="10705">
      <c r="A10705">
        <f>Input!A10705</f>
        <v/>
      </c>
      <c r="B10705">
        <f>IF(ISNUMBER(Input!B10705),IF(AND(Input!B10705&gt;=20,Input!B10705&lt;=700),Input!B10705,""),"")</f>
        <v/>
      </c>
      <c r="C10705">
        <f>IF(B10705="","",INT(A10705))</f>
        <v/>
      </c>
      <c r="D10705">
        <f>IF(B10705="","",HOUR(A10705))</f>
        <v/>
      </c>
    </row>
    <row r="10706">
      <c r="A10706">
        <f>Input!A10706</f>
        <v/>
      </c>
      <c r="B10706">
        <f>IF(ISNUMBER(Input!B10706),IF(AND(Input!B10706&gt;=20,Input!B10706&lt;=700),Input!B10706,""),"")</f>
        <v/>
      </c>
      <c r="C10706">
        <f>IF(B10706="","",INT(A10706))</f>
        <v/>
      </c>
      <c r="D10706">
        <f>IF(B10706="","",HOUR(A10706))</f>
        <v/>
      </c>
    </row>
    <row r="10707">
      <c r="A10707">
        <f>Input!A10707</f>
        <v/>
      </c>
      <c r="B10707">
        <f>IF(ISNUMBER(Input!B10707),IF(AND(Input!B10707&gt;=20,Input!B10707&lt;=700),Input!B10707,""),"")</f>
        <v/>
      </c>
      <c r="C10707">
        <f>IF(B10707="","",INT(A10707))</f>
        <v/>
      </c>
      <c r="D10707">
        <f>IF(B10707="","",HOUR(A10707))</f>
        <v/>
      </c>
    </row>
    <row r="10708">
      <c r="A10708">
        <f>Input!A10708</f>
        <v/>
      </c>
      <c r="B10708">
        <f>IF(ISNUMBER(Input!B10708),IF(AND(Input!B10708&gt;=20,Input!B10708&lt;=700),Input!B10708,""),"")</f>
        <v/>
      </c>
      <c r="C10708">
        <f>IF(B10708="","",INT(A10708))</f>
        <v/>
      </c>
      <c r="D10708">
        <f>IF(B10708="","",HOUR(A10708))</f>
        <v/>
      </c>
    </row>
    <row r="10709">
      <c r="A10709">
        <f>Input!A10709</f>
        <v/>
      </c>
      <c r="B10709">
        <f>IF(ISNUMBER(Input!B10709),IF(AND(Input!B10709&gt;=20,Input!B10709&lt;=700),Input!B10709,""),"")</f>
        <v/>
      </c>
      <c r="C10709">
        <f>IF(B10709="","",INT(A10709))</f>
        <v/>
      </c>
      <c r="D10709">
        <f>IF(B10709="","",HOUR(A10709))</f>
        <v/>
      </c>
    </row>
    <row r="10710">
      <c r="A10710">
        <f>Input!A10710</f>
        <v/>
      </c>
      <c r="B10710">
        <f>IF(ISNUMBER(Input!B10710),IF(AND(Input!B10710&gt;=20,Input!B10710&lt;=700),Input!B10710,""),"")</f>
        <v/>
      </c>
      <c r="C10710">
        <f>IF(B10710="","",INT(A10710))</f>
        <v/>
      </c>
      <c r="D10710">
        <f>IF(B10710="","",HOUR(A10710))</f>
        <v/>
      </c>
    </row>
    <row r="10711">
      <c r="A10711">
        <f>Input!A10711</f>
        <v/>
      </c>
      <c r="B10711">
        <f>IF(ISNUMBER(Input!B10711),IF(AND(Input!B10711&gt;=20,Input!B10711&lt;=700),Input!B10711,""),"")</f>
        <v/>
      </c>
      <c r="C10711">
        <f>IF(B10711="","",INT(A10711))</f>
        <v/>
      </c>
      <c r="D10711">
        <f>IF(B10711="","",HOUR(A10711))</f>
        <v/>
      </c>
    </row>
    <row r="10712">
      <c r="A10712">
        <f>Input!A10712</f>
        <v/>
      </c>
      <c r="B10712">
        <f>IF(ISNUMBER(Input!B10712),IF(AND(Input!B10712&gt;=20,Input!B10712&lt;=700),Input!B10712,""),"")</f>
        <v/>
      </c>
      <c r="C10712">
        <f>IF(B10712="","",INT(A10712))</f>
        <v/>
      </c>
      <c r="D10712">
        <f>IF(B10712="","",HOUR(A10712))</f>
        <v/>
      </c>
    </row>
    <row r="10713">
      <c r="A10713">
        <f>Input!A10713</f>
        <v/>
      </c>
      <c r="B10713">
        <f>IF(ISNUMBER(Input!B10713),IF(AND(Input!B10713&gt;=20,Input!B10713&lt;=700),Input!B10713,""),"")</f>
        <v/>
      </c>
      <c r="C10713">
        <f>IF(B10713="","",INT(A10713))</f>
        <v/>
      </c>
      <c r="D10713">
        <f>IF(B10713="","",HOUR(A10713))</f>
        <v/>
      </c>
    </row>
    <row r="10714">
      <c r="A10714">
        <f>Input!A10714</f>
        <v/>
      </c>
      <c r="B10714">
        <f>IF(ISNUMBER(Input!B10714),IF(AND(Input!B10714&gt;=20,Input!B10714&lt;=700),Input!B10714,""),"")</f>
        <v/>
      </c>
      <c r="C10714">
        <f>IF(B10714="","",INT(A10714))</f>
        <v/>
      </c>
      <c r="D10714">
        <f>IF(B10714="","",HOUR(A10714))</f>
        <v/>
      </c>
    </row>
    <row r="10715">
      <c r="A10715">
        <f>Input!A10715</f>
        <v/>
      </c>
      <c r="B10715">
        <f>IF(ISNUMBER(Input!B10715),IF(AND(Input!B10715&gt;=20,Input!B10715&lt;=700),Input!B10715,""),"")</f>
        <v/>
      </c>
      <c r="C10715">
        <f>IF(B10715="","",INT(A10715))</f>
        <v/>
      </c>
      <c r="D10715">
        <f>IF(B10715="","",HOUR(A10715))</f>
        <v/>
      </c>
    </row>
    <row r="10716">
      <c r="A10716">
        <f>Input!A10716</f>
        <v/>
      </c>
      <c r="B10716">
        <f>IF(ISNUMBER(Input!B10716),IF(AND(Input!B10716&gt;=20,Input!B10716&lt;=700),Input!B10716,""),"")</f>
        <v/>
      </c>
      <c r="C10716">
        <f>IF(B10716="","",INT(A10716))</f>
        <v/>
      </c>
      <c r="D10716">
        <f>IF(B10716="","",HOUR(A10716))</f>
        <v/>
      </c>
    </row>
    <row r="10717">
      <c r="A10717">
        <f>Input!A10717</f>
        <v/>
      </c>
      <c r="B10717">
        <f>IF(ISNUMBER(Input!B10717),IF(AND(Input!B10717&gt;=20,Input!B10717&lt;=700),Input!B10717,""),"")</f>
        <v/>
      </c>
      <c r="C10717">
        <f>IF(B10717="","",INT(A10717))</f>
        <v/>
      </c>
      <c r="D10717">
        <f>IF(B10717="","",HOUR(A10717))</f>
        <v/>
      </c>
    </row>
    <row r="10718">
      <c r="A10718">
        <f>Input!A10718</f>
        <v/>
      </c>
      <c r="B10718">
        <f>IF(ISNUMBER(Input!B10718),IF(AND(Input!B10718&gt;=20,Input!B10718&lt;=700),Input!B10718,""),"")</f>
        <v/>
      </c>
      <c r="C10718">
        <f>IF(B10718="","",INT(A10718))</f>
        <v/>
      </c>
      <c r="D10718">
        <f>IF(B10718="","",HOUR(A10718))</f>
        <v/>
      </c>
    </row>
    <row r="10719">
      <c r="A10719">
        <f>Input!A10719</f>
        <v/>
      </c>
      <c r="B10719">
        <f>IF(ISNUMBER(Input!B10719),IF(AND(Input!B10719&gt;=20,Input!B10719&lt;=700),Input!B10719,""),"")</f>
        <v/>
      </c>
      <c r="C10719">
        <f>IF(B10719="","",INT(A10719))</f>
        <v/>
      </c>
      <c r="D10719">
        <f>IF(B10719="","",HOUR(A10719))</f>
        <v/>
      </c>
    </row>
    <row r="10720">
      <c r="A10720">
        <f>Input!A10720</f>
        <v/>
      </c>
      <c r="B10720">
        <f>IF(ISNUMBER(Input!B10720),IF(AND(Input!B10720&gt;=20,Input!B10720&lt;=700),Input!B10720,""),"")</f>
        <v/>
      </c>
      <c r="C10720">
        <f>IF(B10720="","",INT(A10720))</f>
        <v/>
      </c>
      <c r="D10720">
        <f>IF(B10720="","",HOUR(A10720))</f>
        <v/>
      </c>
    </row>
    <row r="10721">
      <c r="A10721">
        <f>Input!A10721</f>
        <v/>
      </c>
      <c r="B10721">
        <f>IF(ISNUMBER(Input!B10721),IF(AND(Input!B10721&gt;=20,Input!B10721&lt;=700),Input!B10721,""),"")</f>
        <v/>
      </c>
      <c r="C10721">
        <f>IF(B10721="","",INT(A10721))</f>
        <v/>
      </c>
      <c r="D10721">
        <f>IF(B10721="","",HOUR(A10721))</f>
        <v/>
      </c>
    </row>
    <row r="10722">
      <c r="A10722">
        <f>Input!A10722</f>
        <v/>
      </c>
      <c r="B10722">
        <f>IF(ISNUMBER(Input!B10722),IF(AND(Input!B10722&gt;=20,Input!B10722&lt;=700),Input!B10722,""),"")</f>
        <v/>
      </c>
      <c r="C10722">
        <f>IF(B10722="","",INT(A10722))</f>
        <v/>
      </c>
      <c r="D10722">
        <f>IF(B10722="","",HOUR(A10722))</f>
        <v/>
      </c>
    </row>
    <row r="10723">
      <c r="A10723">
        <f>Input!A10723</f>
        <v/>
      </c>
      <c r="B10723">
        <f>IF(ISNUMBER(Input!B10723),IF(AND(Input!B10723&gt;=20,Input!B10723&lt;=700),Input!B10723,""),"")</f>
        <v/>
      </c>
      <c r="C10723">
        <f>IF(B10723="","",INT(A10723))</f>
        <v/>
      </c>
      <c r="D10723">
        <f>IF(B10723="","",HOUR(A10723))</f>
        <v/>
      </c>
    </row>
    <row r="10724">
      <c r="A10724">
        <f>Input!A10724</f>
        <v/>
      </c>
      <c r="B10724">
        <f>IF(ISNUMBER(Input!B10724),IF(AND(Input!B10724&gt;=20,Input!B10724&lt;=700),Input!B10724,""),"")</f>
        <v/>
      </c>
      <c r="C10724">
        <f>IF(B10724="","",INT(A10724))</f>
        <v/>
      </c>
      <c r="D10724">
        <f>IF(B10724="","",HOUR(A10724))</f>
        <v/>
      </c>
    </row>
    <row r="10725">
      <c r="A10725">
        <f>Input!A10725</f>
        <v/>
      </c>
      <c r="B10725">
        <f>IF(ISNUMBER(Input!B10725),IF(AND(Input!B10725&gt;=20,Input!B10725&lt;=700),Input!B10725,""),"")</f>
        <v/>
      </c>
      <c r="C10725">
        <f>IF(B10725="","",INT(A10725))</f>
        <v/>
      </c>
      <c r="D10725">
        <f>IF(B10725="","",HOUR(A10725))</f>
        <v/>
      </c>
    </row>
    <row r="10726">
      <c r="A10726">
        <f>Input!A10726</f>
        <v/>
      </c>
      <c r="B10726">
        <f>IF(ISNUMBER(Input!B10726),IF(AND(Input!B10726&gt;=20,Input!B10726&lt;=700),Input!B10726,""),"")</f>
        <v/>
      </c>
      <c r="C10726">
        <f>IF(B10726="","",INT(A10726))</f>
        <v/>
      </c>
      <c r="D10726">
        <f>IF(B10726="","",HOUR(A10726))</f>
        <v/>
      </c>
    </row>
    <row r="10727">
      <c r="A10727">
        <f>Input!A10727</f>
        <v/>
      </c>
      <c r="B10727">
        <f>IF(ISNUMBER(Input!B10727),IF(AND(Input!B10727&gt;=20,Input!B10727&lt;=700),Input!B10727,""),"")</f>
        <v/>
      </c>
      <c r="C10727">
        <f>IF(B10727="","",INT(A10727))</f>
        <v/>
      </c>
      <c r="D10727">
        <f>IF(B10727="","",HOUR(A10727))</f>
        <v/>
      </c>
    </row>
    <row r="10728">
      <c r="A10728">
        <f>Input!A10728</f>
        <v/>
      </c>
      <c r="B10728">
        <f>IF(ISNUMBER(Input!B10728),IF(AND(Input!B10728&gt;=20,Input!B10728&lt;=700),Input!B10728,""),"")</f>
        <v/>
      </c>
      <c r="C10728">
        <f>IF(B10728="","",INT(A10728))</f>
        <v/>
      </c>
      <c r="D10728">
        <f>IF(B10728="","",HOUR(A10728))</f>
        <v/>
      </c>
    </row>
    <row r="10729">
      <c r="A10729">
        <f>Input!A10729</f>
        <v/>
      </c>
      <c r="B10729">
        <f>IF(ISNUMBER(Input!B10729),IF(AND(Input!B10729&gt;=20,Input!B10729&lt;=700),Input!B10729,""),"")</f>
        <v/>
      </c>
      <c r="C10729">
        <f>IF(B10729="","",INT(A10729))</f>
        <v/>
      </c>
      <c r="D10729">
        <f>IF(B10729="","",HOUR(A10729))</f>
        <v/>
      </c>
    </row>
    <row r="10730">
      <c r="A10730">
        <f>Input!A10730</f>
        <v/>
      </c>
      <c r="B10730">
        <f>IF(ISNUMBER(Input!B10730),IF(AND(Input!B10730&gt;=20,Input!B10730&lt;=700),Input!B10730,""),"")</f>
        <v/>
      </c>
      <c r="C10730">
        <f>IF(B10730="","",INT(A10730))</f>
        <v/>
      </c>
      <c r="D10730">
        <f>IF(B10730="","",HOUR(A10730))</f>
        <v/>
      </c>
    </row>
    <row r="10731">
      <c r="A10731">
        <f>Input!A10731</f>
        <v/>
      </c>
      <c r="B10731">
        <f>IF(ISNUMBER(Input!B10731),IF(AND(Input!B10731&gt;=20,Input!B10731&lt;=700),Input!B10731,""),"")</f>
        <v/>
      </c>
      <c r="C10731">
        <f>IF(B10731="","",INT(A10731))</f>
        <v/>
      </c>
      <c r="D10731">
        <f>IF(B10731="","",HOUR(A10731))</f>
        <v/>
      </c>
    </row>
    <row r="10732">
      <c r="A10732">
        <f>Input!A10732</f>
        <v/>
      </c>
      <c r="B10732">
        <f>IF(ISNUMBER(Input!B10732),IF(AND(Input!B10732&gt;=20,Input!B10732&lt;=700),Input!B10732,""),"")</f>
        <v/>
      </c>
      <c r="C10732">
        <f>IF(B10732="","",INT(A10732))</f>
        <v/>
      </c>
      <c r="D10732">
        <f>IF(B10732="","",HOUR(A10732))</f>
        <v/>
      </c>
    </row>
    <row r="10733">
      <c r="A10733">
        <f>Input!A10733</f>
        <v/>
      </c>
      <c r="B10733">
        <f>IF(ISNUMBER(Input!B10733),IF(AND(Input!B10733&gt;=20,Input!B10733&lt;=700),Input!B10733,""),"")</f>
        <v/>
      </c>
      <c r="C10733">
        <f>IF(B10733="","",INT(A10733))</f>
        <v/>
      </c>
      <c r="D10733">
        <f>IF(B10733="","",HOUR(A10733))</f>
        <v/>
      </c>
    </row>
    <row r="10734">
      <c r="A10734">
        <f>Input!A10734</f>
        <v/>
      </c>
      <c r="B10734">
        <f>IF(ISNUMBER(Input!B10734),IF(AND(Input!B10734&gt;=20,Input!B10734&lt;=700),Input!B10734,""),"")</f>
        <v/>
      </c>
      <c r="C10734">
        <f>IF(B10734="","",INT(A10734))</f>
        <v/>
      </c>
      <c r="D10734">
        <f>IF(B10734="","",HOUR(A10734))</f>
        <v/>
      </c>
    </row>
    <row r="10735">
      <c r="A10735">
        <f>Input!A10735</f>
        <v/>
      </c>
      <c r="B10735">
        <f>IF(ISNUMBER(Input!B10735),IF(AND(Input!B10735&gt;=20,Input!B10735&lt;=700),Input!B10735,""),"")</f>
        <v/>
      </c>
      <c r="C10735">
        <f>IF(B10735="","",INT(A10735))</f>
        <v/>
      </c>
      <c r="D10735">
        <f>IF(B10735="","",HOUR(A10735))</f>
        <v/>
      </c>
    </row>
    <row r="10736">
      <c r="A10736">
        <f>Input!A10736</f>
        <v/>
      </c>
      <c r="B10736">
        <f>IF(ISNUMBER(Input!B10736),IF(AND(Input!B10736&gt;=20,Input!B10736&lt;=700),Input!B10736,""),"")</f>
        <v/>
      </c>
      <c r="C10736">
        <f>IF(B10736="","",INT(A10736))</f>
        <v/>
      </c>
      <c r="D10736">
        <f>IF(B10736="","",HOUR(A10736))</f>
        <v/>
      </c>
    </row>
    <row r="10737">
      <c r="A10737">
        <f>Input!A10737</f>
        <v/>
      </c>
      <c r="B10737">
        <f>IF(ISNUMBER(Input!B10737),IF(AND(Input!B10737&gt;=20,Input!B10737&lt;=700),Input!B10737,""),"")</f>
        <v/>
      </c>
      <c r="C10737">
        <f>IF(B10737="","",INT(A10737))</f>
        <v/>
      </c>
      <c r="D10737">
        <f>IF(B10737="","",HOUR(A10737))</f>
        <v/>
      </c>
    </row>
    <row r="10738">
      <c r="A10738">
        <f>Input!A10738</f>
        <v/>
      </c>
      <c r="B10738">
        <f>IF(ISNUMBER(Input!B10738),IF(AND(Input!B10738&gt;=20,Input!B10738&lt;=700),Input!B10738,""),"")</f>
        <v/>
      </c>
      <c r="C10738">
        <f>IF(B10738="","",INT(A10738))</f>
        <v/>
      </c>
      <c r="D10738">
        <f>IF(B10738="","",HOUR(A10738))</f>
        <v/>
      </c>
    </row>
    <row r="10739">
      <c r="A10739">
        <f>Input!A10739</f>
        <v/>
      </c>
      <c r="B10739">
        <f>IF(ISNUMBER(Input!B10739),IF(AND(Input!B10739&gt;=20,Input!B10739&lt;=700),Input!B10739,""),"")</f>
        <v/>
      </c>
      <c r="C10739">
        <f>IF(B10739="","",INT(A10739))</f>
        <v/>
      </c>
      <c r="D10739">
        <f>IF(B10739="","",HOUR(A10739))</f>
        <v/>
      </c>
    </row>
    <row r="10740">
      <c r="A10740">
        <f>Input!A10740</f>
        <v/>
      </c>
      <c r="B10740">
        <f>IF(ISNUMBER(Input!B10740),IF(AND(Input!B10740&gt;=20,Input!B10740&lt;=700),Input!B10740,""),"")</f>
        <v/>
      </c>
      <c r="C10740">
        <f>IF(B10740="","",INT(A10740))</f>
        <v/>
      </c>
      <c r="D10740">
        <f>IF(B10740="","",HOUR(A10740))</f>
        <v/>
      </c>
    </row>
    <row r="10741">
      <c r="A10741">
        <f>Input!A10741</f>
        <v/>
      </c>
      <c r="B10741">
        <f>IF(ISNUMBER(Input!B10741),IF(AND(Input!B10741&gt;=20,Input!B10741&lt;=700),Input!B10741,""),"")</f>
        <v/>
      </c>
      <c r="C10741">
        <f>IF(B10741="","",INT(A10741))</f>
        <v/>
      </c>
      <c r="D10741">
        <f>IF(B10741="","",HOUR(A10741))</f>
        <v/>
      </c>
    </row>
    <row r="10742">
      <c r="A10742">
        <f>Input!A10742</f>
        <v/>
      </c>
      <c r="B10742">
        <f>IF(ISNUMBER(Input!B10742),IF(AND(Input!B10742&gt;=20,Input!B10742&lt;=700),Input!B10742,""),"")</f>
        <v/>
      </c>
      <c r="C10742">
        <f>IF(B10742="","",INT(A10742))</f>
        <v/>
      </c>
      <c r="D10742">
        <f>IF(B10742="","",HOUR(A10742))</f>
        <v/>
      </c>
    </row>
    <row r="10743">
      <c r="A10743">
        <f>Input!A10743</f>
        <v/>
      </c>
      <c r="B10743">
        <f>IF(ISNUMBER(Input!B10743),IF(AND(Input!B10743&gt;=20,Input!B10743&lt;=700),Input!B10743,""),"")</f>
        <v/>
      </c>
      <c r="C10743">
        <f>IF(B10743="","",INT(A10743))</f>
        <v/>
      </c>
      <c r="D10743">
        <f>IF(B10743="","",HOUR(A10743))</f>
        <v/>
      </c>
    </row>
    <row r="10744">
      <c r="A10744">
        <f>Input!A10744</f>
        <v/>
      </c>
      <c r="B10744">
        <f>IF(ISNUMBER(Input!B10744),IF(AND(Input!B10744&gt;=20,Input!B10744&lt;=700),Input!B10744,""),"")</f>
        <v/>
      </c>
      <c r="C10744">
        <f>IF(B10744="","",INT(A10744))</f>
        <v/>
      </c>
      <c r="D10744">
        <f>IF(B10744="","",HOUR(A10744))</f>
        <v/>
      </c>
    </row>
    <row r="10745">
      <c r="A10745">
        <f>Input!A10745</f>
        <v/>
      </c>
      <c r="B10745">
        <f>IF(ISNUMBER(Input!B10745),IF(AND(Input!B10745&gt;=20,Input!B10745&lt;=700),Input!B10745,""),"")</f>
        <v/>
      </c>
      <c r="C10745">
        <f>IF(B10745="","",INT(A10745))</f>
        <v/>
      </c>
      <c r="D10745">
        <f>IF(B10745="","",HOUR(A10745))</f>
        <v/>
      </c>
    </row>
    <row r="10746">
      <c r="A10746">
        <f>Input!A10746</f>
        <v/>
      </c>
      <c r="B10746">
        <f>IF(ISNUMBER(Input!B10746),IF(AND(Input!B10746&gt;=20,Input!B10746&lt;=700),Input!B10746,""),"")</f>
        <v/>
      </c>
      <c r="C10746">
        <f>IF(B10746="","",INT(A10746))</f>
        <v/>
      </c>
      <c r="D10746">
        <f>IF(B10746="","",HOUR(A10746))</f>
        <v/>
      </c>
    </row>
    <row r="10747">
      <c r="A10747">
        <f>Input!A10747</f>
        <v/>
      </c>
      <c r="B10747">
        <f>IF(ISNUMBER(Input!B10747),IF(AND(Input!B10747&gt;=20,Input!B10747&lt;=700),Input!B10747,""),"")</f>
        <v/>
      </c>
      <c r="C10747">
        <f>IF(B10747="","",INT(A10747))</f>
        <v/>
      </c>
      <c r="D10747">
        <f>IF(B10747="","",HOUR(A10747))</f>
        <v/>
      </c>
    </row>
    <row r="10748">
      <c r="A10748">
        <f>Input!A10748</f>
        <v/>
      </c>
      <c r="B10748">
        <f>IF(ISNUMBER(Input!B10748),IF(AND(Input!B10748&gt;=20,Input!B10748&lt;=700),Input!B10748,""),"")</f>
        <v/>
      </c>
      <c r="C10748">
        <f>IF(B10748="","",INT(A10748))</f>
        <v/>
      </c>
      <c r="D10748">
        <f>IF(B10748="","",HOUR(A10748))</f>
        <v/>
      </c>
    </row>
    <row r="10749">
      <c r="A10749">
        <f>Input!A10749</f>
        <v/>
      </c>
      <c r="B10749">
        <f>IF(ISNUMBER(Input!B10749),IF(AND(Input!B10749&gt;=20,Input!B10749&lt;=700),Input!B10749,""),"")</f>
        <v/>
      </c>
      <c r="C10749">
        <f>IF(B10749="","",INT(A10749))</f>
        <v/>
      </c>
      <c r="D10749">
        <f>IF(B10749="","",HOUR(A10749))</f>
        <v/>
      </c>
    </row>
    <row r="10750">
      <c r="A10750">
        <f>Input!A10750</f>
        <v/>
      </c>
      <c r="B10750">
        <f>IF(ISNUMBER(Input!B10750),IF(AND(Input!B10750&gt;=20,Input!B10750&lt;=700),Input!B10750,""),"")</f>
        <v/>
      </c>
      <c r="C10750">
        <f>IF(B10750="","",INT(A10750))</f>
        <v/>
      </c>
      <c r="D10750">
        <f>IF(B10750="","",HOUR(A10750))</f>
        <v/>
      </c>
    </row>
    <row r="10751">
      <c r="A10751">
        <f>Input!A10751</f>
        <v/>
      </c>
      <c r="B10751">
        <f>IF(ISNUMBER(Input!B10751),IF(AND(Input!B10751&gt;=20,Input!B10751&lt;=700),Input!B10751,""),"")</f>
        <v/>
      </c>
      <c r="C10751">
        <f>IF(B10751="","",INT(A10751))</f>
        <v/>
      </c>
      <c r="D10751">
        <f>IF(B10751="","",HOUR(A10751))</f>
        <v/>
      </c>
    </row>
    <row r="10752">
      <c r="A10752">
        <f>Input!A10752</f>
        <v/>
      </c>
      <c r="B10752">
        <f>IF(ISNUMBER(Input!B10752),IF(AND(Input!B10752&gt;=20,Input!B10752&lt;=700),Input!B10752,""),"")</f>
        <v/>
      </c>
      <c r="C10752">
        <f>IF(B10752="","",INT(A10752))</f>
        <v/>
      </c>
      <c r="D10752">
        <f>IF(B10752="","",HOUR(A10752))</f>
        <v/>
      </c>
    </row>
    <row r="10753">
      <c r="A10753">
        <f>Input!A10753</f>
        <v/>
      </c>
      <c r="B10753">
        <f>IF(ISNUMBER(Input!B10753),IF(AND(Input!B10753&gt;=20,Input!B10753&lt;=700),Input!B10753,""),"")</f>
        <v/>
      </c>
      <c r="C10753">
        <f>IF(B10753="","",INT(A10753))</f>
        <v/>
      </c>
      <c r="D10753">
        <f>IF(B10753="","",HOUR(A10753))</f>
        <v/>
      </c>
    </row>
    <row r="10754">
      <c r="A10754">
        <f>Input!A10754</f>
        <v/>
      </c>
      <c r="B10754">
        <f>IF(ISNUMBER(Input!B10754),IF(AND(Input!B10754&gt;=20,Input!B10754&lt;=700),Input!B10754,""),"")</f>
        <v/>
      </c>
      <c r="C10754">
        <f>IF(B10754="","",INT(A10754))</f>
        <v/>
      </c>
      <c r="D10754">
        <f>IF(B10754="","",HOUR(A10754))</f>
        <v/>
      </c>
    </row>
    <row r="10755">
      <c r="A10755">
        <f>Input!A10755</f>
        <v/>
      </c>
      <c r="B10755">
        <f>IF(ISNUMBER(Input!B10755),IF(AND(Input!B10755&gt;=20,Input!B10755&lt;=700),Input!B10755,""),"")</f>
        <v/>
      </c>
      <c r="C10755">
        <f>IF(B10755="","",INT(A10755))</f>
        <v/>
      </c>
      <c r="D10755">
        <f>IF(B10755="","",HOUR(A10755))</f>
        <v/>
      </c>
    </row>
    <row r="10756">
      <c r="A10756">
        <f>Input!A10756</f>
        <v/>
      </c>
      <c r="B10756">
        <f>IF(ISNUMBER(Input!B10756),IF(AND(Input!B10756&gt;=20,Input!B10756&lt;=700),Input!B10756,""),"")</f>
        <v/>
      </c>
      <c r="C10756">
        <f>IF(B10756="","",INT(A10756))</f>
        <v/>
      </c>
      <c r="D10756">
        <f>IF(B10756="","",HOUR(A10756))</f>
        <v/>
      </c>
    </row>
    <row r="10757">
      <c r="A10757">
        <f>Input!A10757</f>
        <v/>
      </c>
      <c r="B10757">
        <f>IF(ISNUMBER(Input!B10757),IF(AND(Input!B10757&gt;=20,Input!B10757&lt;=700),Input!B10757,""),"")</f>
        <v/>
      </c>
      <c r="C10757">
        <f>IF(B10757="","",INT(A10757))</f>
        <v/>
      </c>
      <c r="D10757">
        <f>IF(B10757="","",HOUR(A10757))</f>
        <v/>
      </c>
    </row>
    <row r="10758">
      <c r="A10758">
        <f>Input!A10758</f>
        <v/>
      </c>
      <c r="B10758">
        <f>IF(ISNUMBER(Input!B10758),IF(AND(Input!B10758&gt;=20,Input!B10758&lt;=700),Input!B10758,""),"")</f>
        <v/>
      </c>
      <c r="C10758">
        <f>IF(B10758="","",INT(A10758))</f>
        <v/>
      </c>
      <c r="D10758">
        <f>IF(B10758="","",HOUR(A10758))</f>
        <v/>
      </c>
    </row>
    <row r="10759">
      <c r="A10759">
        <f>Input!A10759</f>
        <v/>
      </c>
      <c r="B10759">
        <f>IF(ISNUMBER(Input!B10759),IF(AND(Input!B10759&gt;=20,Input!B10759&lt;=700),Input!B10759,""),"")</f>
        <v/>
      </c>
      <c r="C10759">
        <f>IF(B10759="","",INT(A10759))</f>
        <v/>
      </c>
      <c r="D10759">
        <f>IF(B10759="","",HOUR(A10759))</f>
        <v/>
      </c>
    </row>
    <row r="10760">
      <c r="A10760">
        <f>Input!A10760</f>
        <v/>
      </c>
      <c r="B10760">
        <f>IF(ISNUMBER(Input!B10760),IF(AND(Input!B10760&gt;=20,Input!B10760&lt;=700),Input!B10760,""),"")</f>
        <v/>
      </c>
      <c r="C10760">
        <f>IF(B10760="","",INT(A10760))</f>
        <v/>
      </c>
      <c r="D10760">
        <f>IF(B10760="","",HOUR(A10760))</f>
        <v/>
      </c>
    </row>
    <row r="10761">
      <c r="A10761">
        <f>Input!A10761</f>
        <v/>
      </c>
      <c r="B10761">
        <f>IF(ISNUMBER(Input!B10761),IF(AND(Input!B10761&gt;=20,Input!B10761&lt;=700),Input!B10761,""),"")</f>
        <v/>
      </c>
      <c r="C10761">
        <f>IF(B10761="","",INT(A10761))</f>
        <v/>
      </c>
      <c r="D10761">
        <f>IF(B10761="","",HOUR(A10761))</f>
        <v/>
      </c>
    </row>
    <row r="10762">
      <c r="A10762">
        <f>Input!A10762</f>
        <v/>
      </c>
      <c r="B10762">
        <f>IF(ISNUMBER(Input!B10762),IF(AND(Input!B10762&gt;=20,Input!B10762&lt;=700),Input!B10762,""),"")</f>
        <v/>
      </c>
      <c r="C10762">
        <f>IF(B10762="","",INT(A10762))</f>
        <v/>
      </c>
      <c r="D10762">
        <f>IF(B10762="","",HOUR(A10762))</f>
        <v/>
      </c>
    </row>
    <row r="10763">
      <c r="A10763">
        <f>Input!A10763</f>
        <v/>
      </c>
      <c r="B10763">
        <f>IF(ISNUMBER(Input!B10763),IF(AND(Input!B10763&gt;=20,Input!B10763&lt;=700),Input!B10763,""),"")</f>
        <v/>
      </c>
      <c r="C10763">
        <f>IF(B10763="","",INT(A10763))</f>
        <v/>
      </c>
      <c r="D10763">
        <f>IF(B10763="","",HOUR(A10763))</f>
        <v/>
      </c>
    </row>
    <row r="10764">
      <c r="A10764">
        <f>Input!A10764</f>
        <v/>
      </c>
      <c r="B10764">
        <f>IF(ISNUMBER(Input!B10764),IF(AND(Input!B10764&gt;=20,Input!B10764&lt;=700),Input!B10764,""),"")</f>
        <v/>
      </c>
      <c r="C10764">
        <f>IF(B10764="","",INT(A10764))</f>
        <v/>
      </c>
      <c r="D10764">
        <f>IF(B10764="","",HOUR(A10764))</f>
        <v/>
      </c>
    </row>
    <row r="10765">
      <c r="A10765">
        <f>Input!A10765</f>
        <v/>
      </c>
      <c r="B10765">
        <f>IF(ISNUMBER(Input!B10765),IF(AND(Input!B10765&gt;=20,Input!B10765&lt;=700),Input!B10765,""),"")</f>
        <v/>
      </c>
      <c r="C10765">
        <f>IF(B10765="","",INT(A10765))</f>
        <v/>
      </c>
      <c r="D10765">
        <f>IF(B10765="","",HOUR(A10765))</f>
        <v/>
      </c>
    </row>
    <row r="10766">
      <c r="A10766">
        <f>Input!A10766</f>
        <v/>
      </c>
      <c r="B10766">
        <f>IF(ISNUMBER(Input!B10766),IF(AND(Input!B10766&gt;=20,Input!B10766&lt;=700),Input!B10766,""),"")</f>
        <v/>
      </c>
      <c r="C10766">
        <f>IF(B10766="","",INT(A10766))</f>
        <v/>
      </c>
      <c r="D10766">
        <f>IF(B10766="","",HOUR(A10766))</f>
        <v/>
      </c>
    </row>
    <row r="10767">
      <c r="A10767">
        <f>Input!A10767</f>
        <v/>
      </c>
      <c r="B10767">
        <f>IF(ISNUMBER(Input!B10767),IF(AND(Input!B10767&gt;=20,Input!B10767&lt;=700),Input!B10767,""),"")</f>
        <v/>
      </c>
      <c r="C10767">
        <f>IF(B10767="","",INT(A10767))</f>
        <v/>
      </c>
      <c r="D10767">
        <f>IF(B10767="","",HOUR(A10767))</f>
        <v/>
      </c>
    </row>
    <row r="10768">
      <c r="A10768">
        <f>Input!A10768</f>
        <v/>
      </c>
      <c r="B10768">
        <f>IF(ISNUMBER(Input!B10768),IF(AND(Input!B10768&gt;=20,Input!B10768&lt;=700),Input!B10768,""),"")</f>
        <v/>
      </c>
      <c r="C10768">
        <f>IF(B10768="","",INT(A10768))</f>
        <v/>
      </c>
      <c r="D10768">
        <f>IF(B10768="","",HOUR(A10768))</f>
        <v/>
      </c>
    </row>
    <row r="10769">
      <c r="A10769">
        <f>Input!A10769</f>
        <v/>
      </c>
      <c r="B10769">
        <f>IF(ISNUMBER(Input!B10769),IF(AND(Input!B10769&gt;=20,Input!B10769&lt;=700),Input!B10769,""),"")</f>
        <v/>
      </c>
      <c r="C10769">
        <f>IF(B10769="","",INT(A10769))</f>
        <v/>
      </c>
      <c r="D10769">
        <f>IF(B10769="","",HOUR(A10769))</f>
        <v/>
      </c>
    </row>
    <row r="10770">
      <c r="A10770">
        <f>Input!A10770</f>
        <v/>
      </c>
      <c r="B10770">
        <f>IF(ISNUMBER(Input!B10770),IF(AND(Input!B10770&gt;=20,Input!B10770&lt;=700),Input!B10770,""),"")</f>
        <v/>
      </c>
      <c r="C10770">
        <f>IF(B10770="","",INT(A10770))</f>
        <v/>
      </c>
      <c r="D10770">
        <f>IF(B10770="","",HOUR(A10770))</f>
        <v/>
      </c>
    </row>
    <row r="10771">
      <c r="A10771">
        <f>Input!A10771</f>
        <v/>
      </c>
      <c r="B10771">
        <f>IF(ISNUMBER(Input!B10771),IF(AND(Input!B10771&gt;=20,Input!B10771&lt;=700),Input!B10771,""),"")</f>
        <v/>
      </c>
      <c r="C10771">
        <f>IF(B10771="","",INT(A10771))</f>
        <v/>
      </c>
      <c r="D10771">
        <f>IF(B10771="","",HOUR(A10771))</f>
        <v/>
      </c>
    </row>
    <row r="10772">
      <c r="A10772">
        <f>Input!A10772</f>
        <v/>
      </c>
      <c r="B10772">
        <f>IF(ISNUMBER(Input!B10772),IF(AND(Input!B10772&gt;=20,Input!B10772&lt;=700),Input!B10772,""),"")</f>
        <v/>
      </c>
      <c r="C10772">
        <f>IF(B10772="","",INT(A10772))</f>
        <v/>
      </c>
      <c r="D10772">
        <f>IF(B10772="","",HOUR(A10772))</f>
        <v/>
      </c>
    </row>
    <row r="10773">
      <c r="A10773">
        <f>Input!A10773</f>
        <v/>
      </c>
      <c r="B10773">
        <f>IF(ISNUMBER(Input!B10773),IF(AND(Input!B10773&gt;=20,Input!B10773&lt;=700),Input!B10773,""),"")</f>
        <v/>
      </c>
      <c r="C10773">
        <f>IF(B10773="","",INT(A10773))</f>
        <v/>
      </c>
      <c r="D10773">
        <f>IF(B10773="","",HOUR(A10773))</f>
        <v/>
      </c>
    </row>
    <row r="10774">
      <c r="A10774">
        <f>Input!A10774</f>
        <v/>
      </c>
      <c r="B10774">
        <f>IF(ISNUMBER(Input!B10774),IF(AND(Input!B10774&gt;=20,Input!B10774&lt;=700),Input!B10774,""),"")</f>
        <v/>
      </c>
      <c r="C10774">
        <f>IF(B10774="","",INT(A10774))</f>
        <v/>
      </c>
      <c r="D10774">
        <f>IF(B10774="","",HOUR(A10774))</f>
        <v/>
      </c>
    </row>
    <row r="10775">
      <c r="A10775">
        <f>Input!A10775</f>
        <v/>
      </c>
      <c r="B10775">
        <f>IF(ISNUMBER(Input!B10775),IF(AND(Input!B10775&gt;=20,Input!B10775&lt;=700),Input!B10775,""),"")</f>
        <v/>
      </c>
      <c r="C10775">
        <f>IF(B10775="","",INT(A10775))</f>
        <v/>
      </c>
      <c r="D10775">
        <f>IF(B10775="","",HOUR(A10775))</f>
        <v/>
      </c>
    </row>
    <row r="10776">
      <c r="A10776">
        <f>Input!A10776</f>
        <v/>
      </c>
      <c r="B10776">
        <f>IF(ISNUMBER(Input!B10776),IF(AND(Input!B10776&gt;=20,Input!B10776&lt;=700),Input!B10776,""),"")</f>
        <v/>
      </c>
      <c r="C10776">
        <f>IF(B10776="","",INT(A10776))</f>
        <v/>
      </c>
      <c r="D10776">
        <f>IF(B10776="","",HOUR(A10776))</f>
        <v/>
      </c>
    </row>
    <row r="10777">
      <c r="A10777">
        <f>Input!A10777</f>
        <v/>
      </c>
      <c r="B10777">
        <f>IF(ISNUMBER(Input!B10777),IF(AND(Input!B10777&gt;=20,Input!B10777&lt;=700),Input!B10777,""),"")</f>
        <v/>
      </c>
      <c r="C10777">
        <f>IF(B10777="","",INT(A10777))</f>
        <v/>
      </c>
      <c r="D10777">
        <f>IF(B10777="","",HOUR(A10777))</f>
        <v/>
      </c>
    </row>
    <row r="10778">
      <c r="A10778">
        <f>Input!A10778</f>
        <v/>
      </c>
      <c r="B10778">
        <f>IF(ISNUMBER(Input!B10778),IF(AND(Input!B10778&gt;=20,Input!B10778&lt;=700),Input!B10778,""),"")</f>
        <v/>
      </c>
      <c r="C10778">
        <f>IF(B10778="","",INT(A10778))</f>
        <v/>
      </c>
      <c r="D10778">
        <f>IF(B10778="","",HOUR(A10778))</f>
        <v/>
      </c>
    </row>
    <row r="10779">
      <c r="A10779">
        <f>Input!A10779</f>
        <v/>
      </c>
      <c r="B10779">
        <f>IF(ISNUMBER(Input!B10779),IF(AND(Input!B10779&gt;=20,Input!B10779&lt;=700),Input!B10779,""),"")</f>
        <v/>
      </c>
      <c r="C10779">
        <f>IF(B10779="","",INT(A10779))</f>
        <v/>
      </c>
      <c r="D10779">
        <f>IF(B10779="","",HOUR(A10779))</f>
        <v/>
      </c>
    </row>
    <row r="10780">
      <c r="A10780">
        <f>Input!A10780</f>
        <v/>
      </c>
      <c r="B10780">
        <f>IF(ISNUMBER(Input!B10780),IF(AND(Input!B10780&gt;=20,Input!B10780&lt;=700),Input!B10780,""),"")</f>
        <v/>
      </c>
      <c r="C10780">
        <f>IF(B10780="","",INT(A10780))</f>
        <v/>
      </c>
      <c r="D10780">
        <f>IF(B10780="","",HOUR(A10780))</f>
        <v/>
      </c>
    </row>
    <row r="10781">
      <c r="A10781">
        <f>Input!A10781</f>
        <v/>
      </c>
      <c r="B10781">
        <f>IF(ISNUMBER(Input!B10781),IF(AND(Input!B10781&gt;=20,Input!B10781&lt;=700),Input!B10781,""),"")</f>
        <v/>
      </c>
      <c r="C10781">
        <f>IF(B10781="","",INT(A10781))</f>
        <v/>
      </c>
      <c r="D10781">
        <f>IF(B10781="","",HOUR(A10781))</f>
        <v/>
      </c>
    </row>
    <row r="10782">
      <c r="A10782">
        <f>Input!A10782</f>
        <v/>
      </c>
      <c r="B10782">
        <f>IF(ISNUMBER(Input!B10782),IF(AND(Input!B10782&gt;=20,Input!B10782&lt;=700),Input!B10782,""),"")</f>
        <v/>
      </c>
      <c r="C10782">
        <f>IF(B10782="","",INT(A10782))</f>
        <v/>
      </c>
      <c r="D10782">
        <f>IF(B10782="","",HOUR(A10782))</f>
        <v/>
      </c>
    </row>
    <row r="10783">
      <c r="A10783">
        <f>Input!A10783</f>
        <v/>
      </c>
      <c r="B10783">
        <f>IF(ISNUMBER(Input!B10783),IF(AND(Input!B10783&gt;=20,Input!B10783&lt;=700),Input!B10783,""),"")</f>
        <v/>
      </c>
      <c r="C10783">
        <f>IF(B10783="","",INT(A10783))</f>
        <v/>
      </c>
      <c r="D10783">
        <f>IF(B10783="","",HOUR(A10783))</f>
        <v/>
      </c>
    </row>
    <row r="10784">
      <c r="A10784">
        <f>Input!A10784</f>
        <v/>
      </c>
      <c r="B10784">
        <f>IF(ISNUMBER(Input!B10784),IF(AND(Input!B10784&gt;=20,Input!B10784&lt;=700),Input!B10784,""),"")</f>
        <v/>
      </c>
      <c r="C10784">
        <f>IF(B10784="","",INT(A10784))</f>
        <v/>
      </c>
      <c r="D10784">
        <f>IF(B10784="","",HOUR(A10784))</f>
        <v/>
      </c>
    </row>
    <row r="10785">
      <c r="A10785">
        <f>Input!A10785</f>
        <v/>
      </c>
      <c r="B10785">
        <f>IF(ISNUMBER(Input!B10785),IF(AND(Input!B10785&gt;=20,Input!B10785&lt;=700),Input!B10785,""),"")</f>
        <v/>
      </c>
      <c r="C10785">
        <f>IF(B10785="","",INT(A10785))</f>
        <v/>
      </c>
      <c r="D10785">
        <f>IF(B10785="","",HOUR(A10785))</f>
        <v/>
      </c>
    </row>
    <row r="10786">
      <c r="A10786">
        <f>Input!A10786</f>
        <v/>
      </c>
      <c r="B10786">
        <f>IF(ISNUMBER(Input!B10786),IF(AND(Input!B10786&gt;=20,Input!B10786&lt;=700),Input!B10786,""),"")</f>
        <v/>
      </c>
      <c r="C10786">
        <f>IF(B10786="","",INT(A10786))</f>
        <v/>
      </c>
      <c r="D10786">
        <f>IF(B10786="","",HOUR(A10786))</f>
        <v/>
      </c>
    </row>
    <row r="10787">
      <c r="A10787">
        <f>Input!A10787</f>
        <v/>
      </c>
      <c r="B10787">
        <f>IF(ISNUMBER(Input!B10787),IF(AND(Input!B10787&gt;=20,Input!B10787&lt;=700),Input!B10787,""),"")</f>
        <v/>
      </c>
      <c r="C10787">
        <f>IF(B10787="","",INT(A10787))</f>
        <v/>
      </c>
      <c r="D10787">
        <f>IF(B10787="","",HOUR(A10787))</f>
        <v/>
      </c>
    </row>
    <row r="10788">
      <c r="A10788">
        <f>Input!A10788</f>
        <v/>
      </c>
      <c r="B10788">
        <f>IF(ISNUMBER(Input!B10788),IF(AND(Input!B10788&gt;=20,Input!B10788&lt;=700),Input!B10788,""),"")</f>
        <v/>
      </c>
      <c r="C10788">
        <f>IF(B10788="","",INT(A10788))</f>
        <v/>
      </c>
      <c r="D10788">
        <f>IF(B10788="","",HOUR(A10788))</f>
        <v/>
      </c>
    </row>
    <row r="10789">
      <c r="A10789">
        <f>Input!A10789</f>
        <v/>
      </c>
      <c r="B10789">
        <f>IF(ISNUMBER(Input!B10789),IF(AND(Input!B10789&gt;=20,Input!B10789&lt;=700),Input!B10789,""),"")</f>
        <v/>
      </c>
      <c r="C10789">
        <f>IF(B10789="","",INT(A10789))</f>
        <v/>
      </c>
      <c r="D10789">
        <f>IF(B10789="","",HOUR(A10789))</f>
        <v/>
      </c>
    </row>
    <row r="10790">
      <c r="A10790">
        <f>Input!A10790</f>
        <v/>
      </c>
      <c r="B10790">
        <f>IF(ISNUMBER(Input!B10790),IF(AND(Input!B10790&gt;=20,Input!B10790&lt;=700),Input!B10790,""),"")</f>
        <v/>
      </c>
      <c r="C10790">
        <f>IF(B10790="","",INT(A10790))</f>
        <v/>
      </c>
      <c r="D10790">
        <f>IF(B10790="","",HOUR(A10790))</f>
        <v/>
      </c>
    </row>
    <row r="10791">
      <c r="A10791">
        <f>Input!A10791</f>
        <v/>
      </c>
      <c r="B10791">
        <f>IF(ISNUMBER(Input!B10791),IF(AND(Input!B10791&gt;=20,Input!B10791&lt;=700),Input!B10791,""),"")</f>
        <v/>
      </c>
      <c r="C10791">
        <f>IF(B10791="","",INT(A10791))</f>
        <v/>
      </c>
      <c r="D10791">
        <f>IF(B10791="","",HOUR(A10791))</f>
        <v/>
      </c>
    </row>
    <row r="10792">
      <c r="A10792">
        <f>Input!A10792</f>
        <v/>
      </c>
      <c r="B10792">
        <f>IF(ISNUMBER(Input!B10792),IF(AND(Input!B10792&gt;=20,Input!B10792&lt;=700),Input!B10792,""),"")</f>
        <v/>
      </c>
      <c r="C10792">
        <f>IF(B10792="","",INT(A10792))</f>
        <v/>
      </c>
      <c r="D10792">
        <f>IF(B10792="","",HOUR(A10792))</f>
        <v/>
      </c>
    </row>
    <row r="10793">
      <c r="A10793">
        <f>Input!A10793</f>
        <v/>
      </c>
      <c r="B10793">
        <f>IF(ISNUMBER(Input!B10793),IF(AND(Input!B10793&gt;=20,Input!B10793&lt;=700),Input!B10793,""),"")</f>
        <v/>
      </c>
      <c r="C10793">
        <f>IF(B10793="","",INT(A10793))</f>
        <v/>
      </c>
      <c r="D10793">
        <f>IF(B10793="","",HOUR(A10793))</f>
        <v/>
      </c>
    </row>
    <row r="10794">
      <c r="A10794">
        <f>Input!A10794</f>
        <v/>
      </c>
      <c r="B10794">
        <f>IF(ISNUMBER(Input!B10794),IF(AND(Input!B10794&gt;=20,Input!B10794&lt;=700),Input!B10794,""),"")</f>
        <v/>
      </c>
      <c r="C10794">
        <f>IF(B10794="","",INT(A10794))</f>
        <v/>
      </c>
      <c r="D10794">
        <f>IF(B10794="","",HOUR(A10794))</f>
        <v/>
      </c>
    </row>
    <row r="10795">
      <c r="A10795">
        <f>Input!A10795</f>
        <v/>
      </c>
      <c r="B10795">
        <f>IF(ISNUMBER(Input!B10795),IF(AND(Input!B10795&gt;=20,Input!B10795&lt;=700),Input!B10795,""),"")</f>
        <v/>
      </c>
      <c r="C10795">
        <f>IF(B10795="","",INT(A10795))</f>
        <v/>
      </c>
      <c r="D10795">
        <f>IF(B10795="","",HOUR(A10795))</f>
        <v/>
      </c>
    </row>
    <row r="10796">
      <c r="A10796">
        <f>Input!A10796</f>
        <v/>
      </c>
      <c r="B10796">
        <f>IF(ISNUMBER(Input!B10796),IF(AND(Input!B10796&gt;=20,Input!B10796&lt;=700),Input!B10796,""),"")</f>
        <v/>
      </c>
      <c r="C10796">
        <f>IF(B10796="","",INT(A10796))</f>
        <v/>
      </c>
      <c r="D10796">
        <f>IF(B10796="","",HOUR(A10796))</f>
        <v/>
      </c>
    </row>
    <row r="10797">
      <c r="A10797">
        <f>Input!A10797</f>
        <v/>
      </c>
      <c r="B10797">
        <f>IF(ISNUMBER(Input!B10797),IF(AND(Input!B10797&gt;=20,Input!B10797&lt;=700),Input!B10797,""),"")</f>
        <v/>
      </c>
      <c r="C10797">
        <f>IF(B10797="","",INT(A10797))</f>
        <v/>
      </c>
      <c r="D10797">
        <f>IF(B10797="","",HOUR(A10797))</f>
        <v/>
      </c>
    </row>
    <row r="10798">
      <c r="A10798">
        <f>Input!A10798</f>
        <v/>
      </c>
      <c r="B10798">
        <f>IF(ISNUMBER(Input!B10798),IF(AND(Input!B10798&gt;=20,Input!B10798&lt;=700),Input!B10798,""),"")</f>
        <v/>
      </c>
      <c r="C10798">
        <f>IF(B10798="","",INT(A10798))</f>
        <v/>
      </c>
      <c r="D10798">
        <f>IF(B10798="","",HOUR(A10798))</f>
        <v/>
      </c>
    </row>
    <row r="10799">
      <c r="A10799">
        <f>Input!A10799</f>
        <v/>
      </c>
      <c r="B10799">
        <f>IF(ISNUMBER(Input!B10799),IF(AND(Input!B10799&gt;=20,Input!B10799&lt;=700),Input!B10799,""),"")</f>
        <v/>
      </c>
      <c r="C10799">
        <f>IF(B10799="","",INT(A10799))</f>
        <v/>
      </c>
      <c r="D10799">
        <f>IF(B10799="","",HOUR(A10799))</f>
        <v/>
      </c>
    </row>
    <row r="10800">
      <c r="A10800">
        <f>Input!A10800</f>
        <v/>
      </c>
      <c r="B10800">
        <f>IF(ISNUMBER(Input!B10800),IF(AND(Input!B10800&gt;=20,Input!B10800&lt;=700),Input!B10800,""),"")</f>
        <v/>
      </c>
      <c r="C10800">
        <f>IF(B10800="","",INT(A10800))</f>
        <v/>
      </c>
      <c r="D10800">
        <f>IF(B10800="","",HOUR(A10800))</f>
        <v/>
      </c>
    </row>
    <row r="10801">
      <c r="A10801">
        <f>Input!A10801</f>
        <v/>
      </c>
      <c r="B10801">
        <f>IF(ISNUMBER(Input!B10801),IF(AND(Input!B10801&gt;=20,Input!B10801&lt;=700),Input!B10801,""),"")</f>
        <v/>
      </c>
      <c r="C10801">
        <f>IF(B10801="","",INT(A10801))</f>
        <v/>
      </c>
      <c r="D10801">
        <f>IF(B10801="","",HOUR(A10801))</f>
        <v/>
      </c>
    </row>
    <row r="10802">
      <c r="A10802">
        <f>Input!A10802</f>
        <v/>
      </c>
      <c r="B10802">
        <f>IF(ISNUMBER(Input!B10802),IF(AND(Input!B10802&gt;=20,Input!B10802&lt;=700),Input!B10802,""),"")</f>
        <v/>
      </c>
      <c r="C10802">
        <f>IF(B10802="","",INT(A10802))</f>
        <v/>
      </c>
      <c r="D10802">
        <f>IF(B10802="","",HOUR(A10802))</f>
        <v/>
      </c>
    </row>
    <row r="10803">
      <c r="A10803">
        <f>Input!A10803</f>
        <v/>
      </c>
      <c r="B10803">
        <f>IF(ISNUMBER(Input!B10803),IF(AND(Input!B10803&gt;=20,Input!B10803&lt;=700),Input!B10803,""),"")</f>
        <v/>
      </c>
      <c r="C10803">
        <f>IF(B10803="","",INT(A10803))</f>
        <v/>
      </c>
      <c r="D10803">
        <f>IF(B10803="","",HOUR(A10803))</f>
        <v/>
      </c>
    </row>
    <row r="10804">
      <c r="A10804">
        <f>Input!A10804</f>
        <v/>
      </c>
      <c r="B10804">
        <f>IF(ISNUMBER(Input!B10804),IF(AND(Input!B10804&gt;=20,Input!B10804&lt;=700),Input!B10804,""),"")</f>
        <v/>
      </c>
      <c r="C10804">
        <f>IF(B10804="","",INT(A10804))</f>
        <v/>
      </c>
      <c r="D10804">
        <f>IF(B10804="","",HOUR(A10804))</f>
        <v/>
      </c>
    </row>
    <row r="10805">
      <c r="A10805">
        <f>Input!A10805</f>
        <v/>
      </c>
      <c r="B10805">
        <f>IF(ISNUMBER(Input!B10805),IF(AND(Input!B10805&gt;=20,Input!B10805&lt;=700),Input!B10805,""),"")</f>
        <v/>
      </c>
      <c r="C10805">
        <f>IF(B10805="","",INT(A10805))</f>
        <v/>
      </c>
      <c r="D10805">
        <f>IF(B10805="","",HOUR(A10805))</f>
        <v/>
      </c>
    </row>
    <row r="10806">
      <c r="A10806">
        <f>Input!A10806</f>
        <v/>
      </c>
      <c r="B10806">
        <f>IF(ISNUMBER(Input!B10806),IF(AND(Input!B10806&gt;=20,Input!B10806&lt;=700),Input!B10806,""),"")</f>
        <v/>
      </c>
      <c r="C10806">
        <f>IF(B10806="","",INT(A10806))</f>
        <v/>
      </c>
      <c r="D10806">
        <f>IF(B10806="","",HOUR(A10806))</f>
        <v/>
      </c>
    </row>
    <row r="10807">
      <c r="A10807">
        <f>Input!A10807</f>
        <v/>
      </c>
      <c r="B10807">
        <f>IF(ISNUMBER(Input!B10807),IF(AND(Input!B10807&gt;=20,Input!B10807&lt;=700),Input!B10807,""),"")</f>
        <v/>
      </c>
      <c r="C10807">
        <f>IF(B10807="","",INT(A10807))</f>
        <v/>
      </c>
      <c r="D10807">
        <f>IF(B10807="","",HOUR(A10807))</f>
        <v/>
      </c>
    </row>
    <row r="10808">
      <c r="A10808">
        <f>Input!A10808</f>
        <v/>
      </c>
      <c r="B10808">
        <f>IF(ISNUMBER(Input!B10808),IF(AND(Input!B10808&gt;=20,Input!B10808&lt;=700),Input!B10808,""),"")</f>
        <v/>
      </c>
      <c r="C10808">
        <f>IF(B10808="","",INT(A10808))</f>
        <v/>
      </c>
      <c r="D10808">
        <f>IF(B10808="","",HOUR(A10808))</f>
        <v/>
      </c>
    </row>
    <row r="10809">
      <c r="A10809">
        <f>Input!A10809</f>
        <v/>
      </c>
      <c r="B10809">
        <f>IF(ISNUMBER(Input!B10809),IF(AND(Input!B10809&gt;=20,Input!B10809&lt;=700),Input!B10809,""),"")</f>
        <v/>
      </c>
      <c r="C10809">
        <f>IF(B10809="","",INT(A10809))</f>
        <v/>
      </c>
      <c r="D10809">
        <f>IF(B10809="","",HOUR(A10809))</f>
        <v/>
      </c>
    </row>
    <row r="10810">
      <c r="A10810">
        <f>Input!A10810</f>
        <v/>
      </c>
      <c r="B10810">
        <f>IF(ISNUMBER(Input!B10810),IF(AND(Input!B10810&gt;=20,Input!B10810&lt;=700),Input!B10810,""),"")</f>
        <v/>
      </c>
      <c r="C10810">
        <f>IF(B10810="","",INT(A10810))</f>
        <v/>
      </c>
      <c r="D10810">
        <f>IF(B10810="","",HOUR(A10810))</f>
        <v/>
      </c>
    </row>
    <row r="10811">
      <c r="A10811">
        <f>Input!A10811</f>
        <v/>
      </c>
      <c r="B10811">
        <f>IF(ISNUMBER(Input!B10811),IF(AND(Input!B10811&gt;=20,Input!B10811&lt;=700),Input!B10811,""),"")</f>
        <v/>
      </c>
      <c r="C10811">
        <f>IF(B10811="","",INT(A10811))</f>
        <v/>
      </c>
      <c r="D10811">
        <f>IF(B10811="","",HOUR(A10811))</f>
        <v/>
      </c>
    </row>
    <row r="10812">
      <c r="A10812">
        <f>Input!A10812</f>
        <v/>
      </c>
      <c r="B10812">
        <f>IF(ISNUMBER(Input!B10812),IF(AND(Input!B10812&gt;=20,Input!B10812&lt;=700),Input!B10812,""),"")</f>
        <v/>
      </c>
      <c r="C10812">
        <f>IF(B10812="","",INT(A10812))</f>
        <v/>
      </c>
      <c r="D10812">
        <f>IF(B10812="","",HOUR(A10812))</f>
        <v/>
      </c>
    </row>
    <row r="10813">
      <c r="A10813">
        <f>Input!A10813</f>
        <v/>
      </c>
      <c r="B10813">
        <f>IF(ISNUMBER(Input!B10813),IF(AND(Input!B10813&gt;=20,Input!B10813&lt;=700),Input!B10813,""),"")</f>
        <v/>
      </c>
      <c r="C10813">
        <f>IF(B10813="","",INT(A10813))</f>
        <v/>
      </c>
      <c r="D10813">
        <f>IF(B10813="","",HOUR(A10813))</f>
        <v/>
      </c>
    </row>
    <row r="10814">
      <c r="A10814">
        <f>Input!A10814</f>
        <v/>
      </c>
      <c r="B10814">
        <f>IF(ISNUMBER(Input!B10814),IF(AND(Input!B10814&gt;=20,Input!B10814&lt;=700),Input!B10814,""),"")</f>
        <v/>
      </c>
      <c r="C10814">
        <f>IF(B10814="","",INT(A10814))</f>
        <v/>
      </c>
      <c r="D10814">
        <f>IF(B10814="","",HOUR(A10814))</f>
        <v/>
      </c>
    </row>
    <row r="10815">
      <c r="A10815">
        <f>Input!A10815</f>
        <v/>
      </c>
      <c r="B10815">
        <f>IF(ISNUMBER(Input!B10815),IF(AND(Input!B10815&gt;=20,Input!B10815&lt;=700),Input!B10815,""),"")</f>
        <v/>
      </c>
      <c r="C10815">
        <f>IF(B10815="","",INT(A10815))</f>
        <v/>
      </c>
      <c r="D10815">
        <f>IF(B10815="","",HOUR(A10815))</f>
        <v/>
      </c>
    </row>
    <row r="10816">
      <c r="A10816">
        <f>Input!A10816</f>
        <v/>
      </c>
      <c r="B10816">
        <f>IF(ISNUMBER(Input!B10816),IF(AND(Input!B10816&gt;=20,Input!B10816&lt;=700),Input!B10816,""),"")</f>
        <v/>
      </c>
      <c r="C10816">
        <f>IF(B10816="","",INT(A10816))</f>
        <v/>
      </c>
      <c r="D10816">
        <f>IF(B10816="","",HOUR(A10816))</f>
        <v/>
      </c>
    </row>
    <row r="10817">
      <c r="A10817">
        <f>Input!A10817</f>
        <v/>
      </c>
      <c r="B10817">
        <f>IF(ISNUMBER(Input!B10817),IF(AND(Input!B10817&gt;=20,Input!B10817&lt;=700),Input!B10817,""),"")</f>
        <v/>
      </c>
      <c r="C10817">
        <f>IF(B10817="","",INT(A10817))</f>
        <v/>
      </c>
      <c r="D10817">
        <f>IF(B10817="","",HOUR(A10817))</f>
        <v/>
      </c>
    </row>
    <row r="10818">
      <c r="A10818">
        <f>Input!A10818</f>
        <v/>
      </c>
      <c r="B10818">
        <f>IF(ISNUMBER(Input!B10818),IF(AND(Input!B10818&gt;=20,Input!B10818&lt;=700),Input!B10818,""),"")</f>
        <v/>
      </c>
      <c r="C10818">
        <f>IF(B10818="","",INT(A10818))</f>
        <v/>
      </c>
      <c r="D10818">
        <f>IF(B10818="","",HOUR(A10818))</f>
        <v/>
      </c>
    </row>
    <row r="10819">
      <c r="A10819">
        <f>Input!A10819</f>
        <v/>
      </c>
      <c r="B10819">
        <f>IF(ISNUMBER(Input!B10819),IF(AND(Input!B10819&gt;=20,Input!B10819&lt;=700),Input!B10819,""),"")</f>
        <v/>
      </c>
      <c r="C10819">
        <f>IF(B10819="","",INT(A10819))</f>
        <v/>
      </c>
      <c r="D10819">
        <f>IF(B10819="","",HOUR(A10819))</f>
        <v/>
      </c>
    </row>
    <row r="10820">
      <c r="A10820">
        <f>Input!A10820</f>
        <v/>
      </c>
      <c r="B10820">
        <f>IF(ISNUMBER(Input!B10820),IF(AND(Input!B10820&gt;=20,Input!B10820&lt;=700),Input!B10820,""),"")</f>
        <v/>
      </c>
      <c r="C10820">
        <f>IF(B10820="","",INT(A10820))</f>
        <v/>
      </c>
      <c r="D10820">
        <f>IF(B10820="","",HOUR(A10820))</f>
        <v/>
      </c>
    </row>
    <row r="10821">
      <c r="A10821">
        <f>Input!A10821</f>
        <v/>
      </c>
      <c r="B10821">
        <f>IF(ISNUMBER(Input!B10821),IF(AND(Input!B10821&gt;=20,Input!B10821&lt;=700),Input!B10821,""),"")</f>
        <v/>
      </c>
      <c r="C10821">
        <f>IF(B10821="","",INT(A10821))</f>
        <v/>
      </c>
      <c r="D10821">
        <f>IF(B10821="","",HOUR(A10821))</f>
        <v/>
      </c>
    </row>
    <row r="10822">
      <c r="A10822">
        <f>Input!A10822</f>
        <v/>
      </c>
      <c r="B10822">
        <f>IF(ISNUMBER(Input!B10822),IF(AND(Input!B10822&gt;=20,Input!B10822&lt;=700),Input!B10822,""),"")</f>
        <v/>
      </c>
      <c r="C10822">
        <f>IF(B10822="","",INT(A10822))</f>
        <v/>
      </c>
      <c r="D10822">
        <f>IF(B10822="","",HOUR(A10822))</f>
        <v/>
      </c>
    </row>
    <row r="10823">
      <c r="A10823">
        <f>Input!A10823</f>
        <v/>
      </c>
      <c r="B10823">
        <f>IF(ISNUMBER(Input!B10823),IF(AND(Input!B10823&gt;=20,Input!B10823&lt;=700),Input!B10823,""),"")</f>
        <v/>
      </c>
      <c r="C10823">
        <f>IF(B10823="","",INT(A10823))</f>
        <v/>
      </c>
      <c r="D10823">
        <f>IF(B10823="","",HOUR(A10823))</f>
        <v/>
      </c>
    </row>
    <row r="10824">
      <c r="A10824">
        <f>Input!A10824</f>
        <v/>
      </c>
      <c r="B10824">
        <f>IF(ISNUMBER(Input!B10824),IF(AND(Input!B10824&gt;=20,Input!B10824&lt;=700),Input!B10824,""),"")</f>
        <v/>
      </c>
      <c r="C10824">
        <f>IF(B10824="","",INT(A10824))</f>
        <v/>
      </c>
      <c r="D10824">
        <f>IF(B10824="","",HOUR(A10824))</f>
        <v/>
      </c>
    </row>
    <row r="10825">
      <c r="A10825">
        <f>Input!A10825</f>
        <v/>
      </c>
      <c r="B10825">
        <f>IF(ISNUMBER(Input!B10825),IF(AND(Input!B10825&gt;=20,Input!B10825&lt;=700),Input!B10825,""),"")</f>
        <v/>
      </c>
      <c r="C10825">
        <f>IF(B10825="","",INT(A10825))</f>
        <v/>
      </c>
      <c r="D10825">
        <f>IF(B10825="","",HOUR(A10825))</f>
        <v/>
      </c>
    </row>
    <row r="10826">
      <c r="A10826">
        <f>Input!A10826</f>
        <v/>
      </c>
      <c r="B10826">
        <f>IF(ISNUMBER(Input!B10826),IF(AND(Input!B10826&gt;=20,Input!B10826&lt;=700),Input!B10826,""),"")</f>
        <v/>
      </c>
      <c r="C10826">
        <f>IF(B10826="","",INT(A10826))</f>
        <v/>
      </c>
      <c r="D10826">
        <f>IF(B10826="","",HOUR(A10826))</f>
        <v/>
      </c>
    </row>
    <row r="10827">
      <c r="A10827">
        <f>Input!A10827</f>
        <v/>
      </c>
      <c r="B10827">
        <f>IF(ISNUMBER(Input!B10827),IF(AND(Input!B10827&gt;=20,Input!B10827&lt;=700),Input!B10827,""),"")</f>
        <v/>
      </c>
      <c r="C10827">
        <f>IF(B10827="","",INT(A10827))</f>
        <v/>
      </c>
      <c r="D10827">
        <f>IF(B10827="","",HOUR(A10827))</f>
        <v/>
      </c>
    </row>
    <row r="10828">
      <c r="A10828">
        <f>Input!A10828</f>
        <v/>
      </c>
      <c r="B10828">
        <f>IF(ISNUMBER(Input!B10828),IF(AND(Input!B10828&gt;=20,Input!B10828&lt;=700),Input!B10828,""),"")</f>
        <v/>
      </c>
      <c r="C10828">
        <f>IF(B10828="","",INT(A10828))</f>
        <v/>
      </c>
      <c r="D10828">
        <f>IF(B10828="","",HOUR(A10828))</f>
        <v/>
      </c>
    </row>
    <row r="10829">
      <c r="A10829">
        <f>Input!A10829</f>
        <v/>
      </c>
      <c r="B10829">
        <f>IF(ISNUMBER(Input!B10829),IF(AND(Input!B10829&gt;=20,Input!B10829&lt;=700),Input!B10829,""),"")</f>
        <v/>
      </c>
      <c r="C10829">
        <f>IF(B10829="","",INT(A10829))</f>
        <v/>
      </c>
      <c r="D10829">
        <f>IF(B10829="","",HOUR(A10829))</f>
        <v/>
      </c>
    </row>
    <row r="10830">
      <c r="A10830">
        <f>Input!A10830</f>
        <v/>
      </c>
      <c r="B10830">
        <f>IF(ISNUMBER(Input!B10830),IF(AND(Input!B10830&gt;=20,Input!B10830&lt;=700),Input!B10830,""),"")</f>
        <v/>
      </c>
      <c r="C10830">
        <f>IF(B10830="","",INT(A10830))</f>
        <v/>
      </c>
      <c r="D10830">
        <f>IF(B10830="","",HOUR(A10830))</f>
        <v/>
      </c>
    </row>
    <row r="10831">
      <c r="A10831">
        <f>Input!A10831</f>
        <v/>
      </c>
      <c r="B10831">
        <f>IF(ISNUMBER(Input!B10831),IF(AND(Input!B10831&gt;=20,Input!B10831&lt;=700),Input!B10831,""),"")</f>
        <v/>
      </c>
      <c r="C10831">
        <f>IF(B10831="","",INT(A10831))</f>
        <v/>
      </c>
      <c r="D10831">
        <f>IF(B10831="","",HOUR(A10831))</f>
        <v/>
      </c>
    </row>
    <row r="10832">
      <c r="A10832">
        <f>Input!A10832</f>
        <v/>
      </c>
      <c r="B10832">
        <f>IF(ISNUMBER(Input!B10832),IF(AND(Input!B10832&gt;=20,Input!B10832&lt;=700),Input!B10832,""),"")</f>
        <v/>
      </c>
      <c r="C10832">
        <f>IF(B10832="","",INT(A10832))</f>
        <v/>
      </c>
      <c r="D10832">
        <f>IF(B10832="","",HOUR(A10832))</f>
        <v/>
      </c>
    </row>
    <row r="10833">
      <c r="A10833">
        <f>Input!A10833</f>
        <v/>
      </c>
      <c r="B10833">
        <f>IF(ISNUMBER(Input!B10833),IF(AND(Input!B10833&gt;=20,Input!B10833&lt;=700),Input!B10833,""),"")</f>
        <v/>
      </c>
      <c r="C10833">
        <f>IF(B10833="","",INT(A10833))</f>
        <v/>
      </c>
      <c r="D10833">
        <f>IF(B10833="","",HOUR(A10833))</f>
        <v/>
      </c>
    </row>
    <row r="10834">
      <c r="A10834">
        <f>Input!A10834</f>
        <v/>
      </c>
      <c r="B10834">
        <f>IF(ISNUMBER(Input!B10834),IF(AND(Input!B10834&gt;=20,Input!B10834&lt;=700),Input!B10834,""),"")</f>
        <v/>
      </c>
      <c r="C10834">
        <f>IF(B10834="","",INT(A10834))</f>
        <v/>
      </c>
      <c r="D10834">
        <f>IF(B10834="","",HOUR(A10834))</f>
        <v/>
      </c>
    </row>
    <row r="10835">
      <c r="A10835">
        <f>Input!A10835</f>
        <v/>
      </c>
      <c r="B10835">
        <f>IF(ISNUMBER(Input!B10835),IF(AND(Input!B10835&gt;=20,Input!B10835&lt;=700),Input!B10835,""),"")</f>
        <v/>
      </c>
      <c r="C10835">
        <f>IF(B10835="","",INT(A10835))</f>
        <v/>
      </c>
      <c r="D10835">
        <f>IF(B10835="","",HOUR(A10835))</f>
        <v/>
      </c>
    </row>
    <row r="10836">
      <c r="A10836">
        <f>Input!A10836</f>
        <v/>
      </c>
      <c r="B10836">
        <f>IF(ISNUMBER(Input!B10836),IF(AND(Input!B10836&gt;=20,Input!B10836&lt;=700),Input!B10836,""),"")</f>
        <v/>
      </c>
      <c r="C10836">
        <f>IF(B10836="","",INT(A10836))</f>
        <v/>
      </c>
      <c r="D10836">
        <f>IF(B10836="","",HOUR(A10836))</f>
        <v/>
      </c>
    </row>
    <row r="10837">
      <c r="A10837">
        <f>Input!A10837</f>
        <v/>
      </c>
      <c r="B10837">
        <f>IF(ISNUMBER(Input!B10837),IF(AND(Input!B10837&gt;=20,Input!B10837&lt;=700),Input!B10837,""),"")</f>
        <v/>
      </c>
      <c r="C10837">
        <f>IF(B10837="","",INT(A10837))</f>
        <v/>
      </c>
      <c r="D10837">
        <f>IF(B10837="","",HOUR(A10837))</f>
        <v/>
      </c>
    </row>
    <row r="10838">
      <c r="A10838">
        <f>Input!A10838</f>
        <v/>
      </c>
      <c r="B10838">
        <f>IF(ISNUMBER(Input!B10838),IF(AND(Input!B10838&gt;=20,Input!B10838&lt;=700),Input!B10838,""),"")</f>
        <v/>
      </c>
      <c r="C10838">
        <f>IF(B10838="","",INT(A10838))</f>
        <v/>
      </c>
      <c r="D10838">
        <f>IF(B10838="","",HOUR(A10838))</f>
        <v/>
      </c>
    </row>
    <row r="10839">
      <c r="A10839">
        <f>Input!A10839</f>
        <v/>
      </c>
      <c r="B10839">
        <f>IF(ISNUMBER(Input!B10839),IF(AND(Input!B10839&gt;=20,Input!B10839&lt;=700),Input!B10839,""),"")</f>
        <v/>
      </c>
      <c r="C10839">
        <f>IF(B10839="","",INT(A10839))</f>
        <v/>
      </c>
      <c r="D10839">
        <f>IF(B10839="","",HOUR(A10839))</f>
        <v/>
      </c>
    </row>
    <row r="10840">
      <c r="A10840">
        <f>Input!A10840</f>
        <v/>
      </c>
      <c r="B10840">
        <f>IF(ISNUMBER(Input!B10840),IF(AND(Input!B10840&gt;=20,Input!B10840&lt;=700),Input!B10840,""),"")</f>
        <v/>
      </c>
      <c r="C10840">
        <f>IF(B10840="","",INT(A10840))</f>
        <v/>
      </c>
      <c r="D10840">
        <f>IF(B10840="","",HOUR(A10840))</f>
        <v/>
      </c>
    </row>
    <row r="10841">
      <c r="A10841">
        <f>Input!A10841</f>
        <v/>
      </c>
      <c r="B10841">
        <f>IF(ISNUMBER(Input!B10841),IF(AND(Input!B10841&gt;=20,Input!B10841&lt;=700),Input!B10841,""),"")</f>
        <v/>
      </c>
      <c r="C10841">
        <f>IF(B10841="","",INT(A10841))</f>
        <v/>
      </c>
      <c r="D10841">
        <f>IF(B10841="","",HOUR(A10841))</f>
        <v/>
      </c>
    </row>
    <row r="10842">
      <c r="A10842">
        <f>Input!A10842</f>
        <v/>
      </c>
      <c r="B10842">
        <f>IF(ISNUMBER(Input!B10842),IF(AND(Input!B10842&gt;=20,Input!B10842&lt;=700),Input!B10842,""),"")</f>
        <v/>
      </c>
      <c r="C10842">
        <f>IF(B10842="","",INT(A10842))</f>
        <v/>
      </c>
      <c r="D10842">
        <f>IF(B10842="","",HOUR(A10842))</f>
        <v/>
      </c>
    </row>
    <row r="10843">
      <c r="A10843">
        <f>Input!A10843</f>
        <v/>
      </c>
      <c r="B10843">
        <f>IF(ISNUMBER(Input!B10843),IF(AND(Input!B10843&gt;=20,Input!B10843&lt;=700),Input!B10843,""),"")</f>
        <v/>
      </c>
      <c r="C10843">
        <f>IF(B10843="","",INT(A10843))</f>
        <v/>
      </c>
      <c r="D10843">
        <f>IF(B10843="","",HOUR(A10843))</f>
        <v/>
      </c>
    </row>
    <row r="10844">
      <c r="A10844">
        <f>Input!A10844</f>
        <v/>
      </c>
      <c r="B10844">
        <f>IF(ISNUMBER(Input!B10844),IF(AND(Input!B10844&gt;=20,Input!B10844&lt;=700),Input!B10844,""),"")</f>
        <v/>
      </c>
      <c r="C10844">
        <f>IF(B10844="","",INT(A10844))</f>
        <v/>
      </c>
      <c r="D10844">
        <f>IF(B10844="","",HOUR(A10844))</f>
        <v/>
      </c>
    </row>
    <row r="10845">
      <c r="A10845">
        <f>Input!A10845</f>
        <v/>
      </c>
      <c r="B10845">
        <f>IF(ISNUMBER(Input!B10845),IF(AND(Input!B10845&gt;=20,Input!B10845&lt;=700),Input!B10845,""),"")</f>
        <v/>
      </c>
      <c r="C10845">
        <f>IF(B10845="","",INT(A10845))</f>
        <v/>
      </c>
      <c r="D10845">
        <f>IF(B10845="","",HOUR(A10845))</f>
        <v/>
      </c>
    </row>
    <row r="10846">
      <c r="A10846">
        <f>Input!A10846</f>
        <v/>
      </c>
      <c r="B10846">
        <f>IF(ISNUMBER(Input!B10846),IF(AND(Input!B10846&gt;=20,Input!B10846&lt;=700),Input!B10846,""),"")</f>
        <v/>
      </c>
      <c r="C10846">
        <f>IF(B10846="","",INT(A10846))</f>
        <v/>
      </c>
      <c r="D10846">
        <f>IF(B10846="","",HOUR(A10846))</f>
        <v/>
      </c>
    </row>
    <row r="10847">
      <c r="A10847">
        <f>Input!A10847</f>
        <v/>
      </c>
      <c r="B10847">
        <f>IF(ISNUMBER(Input!B10847),IF(AND(Input!B10847&gt;=20,Input!B10847&lt;=700),Input!B10847,""),"")</f>
        <v/>
      </c>
      <c r="C10847">
        <f>IF(B10847="","",INT(A10847))</f>
        <v/>
      </c>
      <c r="D10847">
        <f>IF(B10847="","",HOUR(A10847))</f>
        <v/>
      </c>
    </row>
    <row r="10848">
      <c r="A10848">
        <f>Input!A10848</f>
        <v/>
      </c>
      <c r="B10848">
        <f>IF(ISNUMBER(Input!B10848),IF(AND(Input!B10848&gt;=20,Input!B10848&lt;=700),Input!B10848,""),"")</f>
        <v/>
      </c>
      <c r="C10848">
        <f>IF(B10848="","",INT(A10848))</f>
        <v/>
      </c>
      <c r="D10848">
        <f>IF(B10848="","",HOUR(A10848))</f>
        <v/>
      </c>
    </row>
    <row r="10849">
      <c r="A10849">
        <f>Input!A10849</f>
        <v/>
      </c>
      <c r="B10849">
        <f>IF(ISNUMBER(Input!B10849),IF(AND(Input!B10849&gt;=20,Input!B10849&lt;=700),Input!B10849,""),"")</f>
        <v/>
      </c>
      <c r="C10849">
        <f>IF(B10849="","",INT(A10849))</f>
        <v/>
      </c>
      <c r="D10849">
        <f>IF(B10849="","",HOUR(A10849))</f>
        <v/>
      </c>
    </row>
    <row r="10850">
      <c r="A10850">
        <f>Input!A10850</f>
        <v/>
      </c>
      <c r="B10850">
        <f>IF(ISNUMBER(Input!B10850),IF(AND(Input!B10850&gt;=20,Input!B10850&lt;=700),Input!B10850,""),"")</f>
        <v/>
      </c>
      <c r="C10850">
        <f>IF(B10850="","",INT(A10850))</f>
        <v/>
      </c>
      <c r="D10850">
        <f>IF(B10850="","",HOUR(A10850))</f>
        <v/>
      </c>
    </row>
    <row r="10851">
      <c r="A10851">
        <f>Input!A10851</f>
        <v/>
      </c>
      <c r="B10851">
        <f>IF(ISNUMBER(Input!B10851),IF(AND(Input!B10851&gt;=20,Input!B10851&lt;=700),Input!B10851,""),"")</f>
        <v/>
      </c>
      <c r="C10851">
        <f>IF(B10851="","",INT(A10851))</f>
        <v/>
      </c>
      <c r="D10851">
        <f>IF(B10851="","",HOUR(A10851))</f>
        <v/>
      </c>
    </row>
    <row r="10852">
      <c r="A10852">
        <f>Input!A10852</f>
        <v/>
      </c>
      <c r="B10852">
        <f>IF(ISNUMBER(Input!B10852),IF(AND(Input!B10852&gt;=20,Input!B10852&lt;=700),Input!B10852,""),"")</f>
        <v/>
      </c>
      <c r="C10852">
        <f>IF(B10852="","",INT(A10852))</f>
        <v/>
      </c>
      <c r="D10852">
        <f>IF(B10852="","",HOUR(A10852))</f>
        <v/>
      </c>
    </row>
    <row r="10853">
      <c r="A10853">
        <f>Input!A10853</f>
        <v/>
      </c>
      <c r="B10853">
        <f>IF(ISNUMBER(Input!B10853),IF(AND(Input!B10853&gt;=20,Input!B10853&lt;=700),Input!B10853,""),"")</f>
        <v/>
      </c>
      <c r="C10853">
        <f>IF(B10853="","",INT(A10853))</f>
        <v/>
      </c>
      <c r="D10853">
        <f>IF(B10853="","",HOUR(A10853))</f>
        <v/>
      </c>
    </row>
    <row r="10854">
      <c r="A10854">
        <f>Input!A10854</f>
        <v/>
      </c>
      <c r="B10854">
        <f>IF(ISNUMBER(Input!B10854),IF(AND(Input!B10854&gt;=20,Input!B10854&lt;=700),Input!B10854,""),"")</f>
        <v/>
      </c>
      <c r="C10854">
        <f>IF(B10854="","",INT(A10854))</f>
        <v/>
      </c>
      <c r="D10854">
        <f>IF(B10854="","",HOUR(A10854))</f>
        <v/>
      </c>
    </row>
    <row r="10855">
      <c r="A10855">
        <f>Input!A10855</f>
        <v/>
      </c>
      <c r="B10855">
        <f>IF(ISNUMBER(Input!B10855),IF(AND(Input!B10855&gt;=20,Input!B10855&lt;=700),Input!B10855,""),"")</f>
        <v/>
      </c>
      <c r="C10855">
        <f>IF(B10855="","",INT(A10855))</f>
        <v/>
      </c>
      <c r="D10855">
        <f>IF(B10855="","",HOUR(A10855))</f>
        <v/>
      </c>
    </row>
    <row r="10856">
      <c r="A10856">
        <f>Input!A10856</f>
        <v/>
      </c>
      <c r="B10856">
        <f>IF(ISNUMBER(Input!B10856),IF(AND(Input!B10856&gt;=20,Input!B10856&lt;=700),Input!B10856,""),"")</f>
        <v/>
      </c>
      <c r="C10856">
        <f>IF(B10856="","",INT(A10856))</f>
        <v/>
      </c>
      <c r="D10856">
        <f>IF(B10856="","",HOUR(A10856))</f>
        <v/>
      </c>
    </row>
    <row r="10857">
      <c r="A10857">
        <f>Input!A10857</f>
        <v/>
      </c>
      <c r="B10857">
        <f>IF(ISNUMBER(Input!B10857),IF(AND(Input!B10857&gt;=20,Input!B10857&lt;=700),Input!B10857,""),"")</f>
        <v/>
      </c>
      <c r="C10857">
        <f>IF(B10857="","",INT(A10857))</f>
        <v/>
      </c>
      <c r="D10857">
        <f>IF(B10857="","",HOUR(A10857))</f>
        <v/>
      </c>
    </row>
    <row r="10858">
      <c r="A10858">
        <f>Input!A10858</f>
        <v/>
      </c>
      <c r="B10858">
        <f>IF(ISNUMBER(Input!B10858),IF(AND(Input!B10858&gt;=20,Input!B10858&lt;=700),Input!B10858,""),"")</f>
        <v/>
      </c>
      <c r="C10858">
        <f>IF(B10858="","",INT(A10858))</f>
        <v/>
      </c>
      <c r="D10858">
        <f>IF(B10858="","",HOUR(A10858))</f>
        <v/>
      </c>
    </row>
    <row r="10859">
      <c r="A10859">
        <f>Input!A10859</f>
        <v/>
      </c>
      <c r="B10859">
        <f>IF(ISNUMBER(Input!B10859),IF(AND(Input!B10859&gt;=20,Input!B10859&lt;=700),Input!B10859,""),"")</f>
        <v/>
      </c>
      <c r="C10859">
        <f>IF(B10859="","",INT(A10859))</f>
        <v/>
      </c>
      <c r="D10859">
        <f>IF(B10859="","",HOUR(A10859))</f>
        <v/>
      </c>
    </row>
    <row r="10860">
      <c r="A10860">
        <f>Input!A10860</f>
        <v/>
      </c>
      <c r="B10860">
        <f>IF(ISNUMBER(Input!B10860),IF(AND(Input!B10860&gt;=20,Input!B10860&lt;=700),Input!B10860,""),"")</f>
        <v/>
      </c>
      <c r="C10860">
        <f>IF(B10860="","",INT(A10860))</f>
        <v/>
      </c>
      <c r="D10860">
        <f>IF(B10860="","",HOUR(A10860))</f>
        <v/>
      </c>
    </row>
    <row r="10861">
      <c r="A10861">
        <f>Input!A10861</f>
        <v/>
      </c>
      <c r="B10861">
        <f>IF(ISNUMBER(Input!B10861),IF(AND(Input!B10861&gt;=20,Input!B10861&lt;=700),Input!B10861,""),"")</f>
        <v/>
      </c>
      <c r="C10861">
        <f>IF(B10861="","",INT(A10861))</f>
        <v/>
      </c>
      <c r="D10861">
        <f>IF(B10861="","",HOUR(A10861))</f>
        <v/>
      </c>
    </row>
    <row r="10862">
      <c r="A10862">
        <f>Input!A10862</f>
        <v/>
      </c>
      <c r="B10862">
        <f>IF(ISNUMBER(Input!B10862),IF(AND(Input!B10862&gt;=20,Input!B10862&lt;=700),Input!B10862,""),"")</f>
        <v/>
      </c>
      <c r="C10862">
        <f>IF(B10862="","",INT(A10862))</f>
        <v/>
      </c>
      <c r="D10862">
        <f>IF(B10862="","",HOUR(A10862))</f>
        <v/>
      </c>
    </row>
    <row r="10863">
      <c r="A10863">
        <f>Input!A10863</f>
        <v/>
      </c>
      <c r="B10863">
        <f>IF(ISNUMBER(Input!B10863),IF(AND(Input!B10863&gt;=20,Input!B10863&lt;=700),Input!B10863,""),"")</f>
        <v/>
      </c>
      <c r="C10863">
        <f>IF(B10863="","",INT(A10863))</f>
        <v/>
      </c>
      <c r="D10863">
        <f>IF(B10863="","",HOUR(A10863))</f>
        <v/>
      </c>
    </row>
    <row r="10864">
      <c r="A10864">
        <f>Input!A10864</f>
        <v/>
      </c>
      <c r="B10864">
        <f>IF(ISNUMBER(Input!B10864),IF(AND(Input!B10864&gt;=20,Input!B10864&lt;=700),Input!B10864,""),"")</f>
        <v/>
      </c>
      <c r="C10864">
        <f>IF(B10864="","",INT(A10864))</f>
        <v/>
      </c>
      <c r="D10864">
        <f>IF(B10864="","",HOUR(A10864))</f>
        <v/>
      </c>
    </row>
    <row r="10865">
      <c r="A10865">
        <f>Input!A10865</f>
        <v/>
      </c>
      <c r="B10865">
        <f>IF(ISNUMBER(Input!B10865),IF(AND(Input!B10865&gt;=20,Input!B10865&lt;=700),Input!B10865,""),"")</f>
        <v/>
      </c>
      <c r="C10865">
        <f>IF(B10865="","",INT(A10865))</f>
        <v/>
      </c>
      <c r="D10865">
        <f>IF(B10865="","",HOUR(A10865))</f>
        <v/>
      </c>
    </row>
    <row r="10866">
      <c r="A10866">
        <f>Input!A10866</f>
        <v/>
      </c>
      <c r="B10866">
        <f>IF(ISNUMBER(Input!B10866),IF(AND(Input!B10866&gt;=20,Input!B10866&lt;=700),Input!B10866,""),"")</f>
        <v/>
      </c>
      <c r="C10866">
        <f>IF(B10866="","",INT(A10866))</f>
        <v/>
      </c>
      <c r="D10866">
        <f>IF(B10866="","",HOUR(A10866))</f>
        <v/>
      </c>
    </row>
    <row r="10867">
      <c r="A10867">
        <f>Input!A10867</f>
        <v/>
      </c>
      <c r="B10867">
        <f>IF(ISNUMBER(Input!B10867),IF(AND(Input!B10867&gt;=20,Input!B10867&lt;=700),Input!B10867,""),"")</f>
        <v/>
      </c>
      <c r="C10867">
        <f>IF(B10867="","",INT(A10867))</f>
        <v/>
      </c>
      <c r="D10867">
        <f>IF(B10867="","",HOUR(A10867))</f>
        <v/>
      </c>
    </row>
    <row r="10868">
      <c r="A10868">
        <f>Input!A10868</f>
        <v/>
      </c>
      <c r="B10868">
        <f>IF(ISNUMBER(Input!B10868),IF(AND(Input!B10868&gt;=20,Input!B10868&lt;=700),Input!B10868,""),"")</f>
        <v/>
      </c>
      <c r="C10868">
        <f>IF(B10868="","",INT(A10868))</f>
        <v/>
      </c>
      <c r="D10868">
        <f>IF(B10868="","",HOUR(A10868))</f>
        <v/>
      </c>
    </row>
    <row r="10869">
      <c r="A10869">
        <f>Input!A10869</f>
        <v/>
      </c>
      <c r="B10869">
        <f>IF(ISNUMBER(Input!B10869),IF(AND(Input!B10869&gt;=20,Input!B10869&lt;=700),Input!B10869,""),"")</f>
        <v/>
      </c>
      <c r="C10869">
        <f>IF(B10869="","",INT(A10869))</f>
        <v/>
      </c>
      <c r="D10869">
        <f>IF(B10869="","",HOUR(A10869))</f>
        <v/>
      </c>
    </row>
    <row r="10870">
      <c r="A10870">
        <f>Input!A10870</f>
        <v/>
      </c>
      <c r="B10870">
        <f>IF(ISNUMBER(Input!B10870),IF(AND(Input!B10870&gt;=20,Input!B10870&lt;=700),Input!B10870,""),"")</f>
        <v/>
      </c>
      <c r="C10870">
        <f>IF(B10870="","",INT(A10870))</f>
        <v/>
      </c>
      <c r="D10870">
        <f>IF(B10870="","",HOUR(A10870))</f>
        <v/>
      </c>
    </row>
    <row r="10871">
      <c r="A10871">
        <f>Input!A10871</f>
        <v/>
      </c>
      <c r="B10871">
        <f>IF(ISNUMBER(Input!B10871),IF(AND(Input!B10871&gt;=20,Input!B10871&lt;=700),Input!B10871,""),"")</f>
        <v/>
      </c>
      <c r="C10871">
        <f>IF(B10871="","",INT(A10871))</f>
        <v/>
      </c>
      <c r="D10871">
        <f>IF(B10871="","",HOUR(A10871))</f>
        <v/>
      </c>
    </row>
    <row r="10872">
      <c r="A10872">
        <f>Input!A10872</f>
        <v/>
      </c>
      <c r="B10872">
        <f>IF(ISNUMBER(Input!B10872),IF(AND(Input!B10872&gt;=20,Input!B10872&lt;=700),Input!B10872,""),"")</f>
        <v/>
      </c>
      <c r="C10872">
        <f>IF(B10872="","",INT(A10872))</f>
        <v/>
      </c>
      <c r="D10872">
        <f>IF(B10872="","",HOUR(A10872))</f>
        <v/>
      </c>
    </row>
    <row r="10873">
      <c r="A10873">
        <f>Input!A10873</f>
        <v/>
      </c>
      <c r="B10873">
        <f>IF(ISNUMBER(Input!B10873),IF(AND(Input!B10873&gt;=20,Input!B10873&lt;=700),Input!B10873,""),"")</f>
        <v/>
      </c>
      <c r="C10873">
        <f>IF(B10873="","",INT(A10873))</f>
        <v/>
      </c>
      <c r="D10873">
        <f>IF(B10873="","",HOUR(A10873))</f>
        <v/>
      </c>
    </row>
    <row r="10874">
      <c r="A10874">
        <f>Input!A10874</f>
        <v/>
      </c>
      <c r="B10874">
        <f>IF(ISNUMBER(Input!B10874),IF(AND(Input!B10874&gt;=20,Input!B10874&lt;=700),Input!B10874,""),"")</f>
        <v/>
      </c>
      <c r="C10874">
        <f>IF(B10874="","",INT(A10874))</f>
        <v/>
      </c>
      <c r="D10874">
        <f>IF(B10874="","",HOUR(A10874))</f>
        <v/>
      </c>
    </row>
    <row r="10875">
      <c r="A10875">
        <f>Input!A10875</f>
        <v/>
      </c>
      <c r="B10875">
        <f>IF(ISNUMBER(Input!B10875),IF(AND(Input!B10875&gt;=20,Input!B10875&lt;=700),Input!B10875,""),"")</f>
        <v/>
      </c>
      <c r="C10875">
        <f>IF(B10875="","",INT(A10875))</f>
        <v/>
      </c>
      <c r="D10875">
        <f>IF(B10875="","",HOUR(A10875))</f>
        <v/>
      </c>
    </row>
    <row r="10876">
      <c r="A10876">
        <f>Input!A10876</f>
        <v/>
      </c>
      <c r="B10876">
        <f>IF(ISNUMBER(Input!B10876),IF(AND(Input!B10876&gt;=20,Input!B10876&lt;=700),Input!B10876,""),"")</f>
        <v/>
      </c>
      <c r="C10876">
        <f>IF(B10876="","",INT(A10876))</f>
        <v/>
      </c>
      <c r="D10876">
        <f>IF(B10876="","",HOUR(A10876))</f>
        <v/>
      </c>
    </row>
    <row r="10877">
      <c r="A10877">
        <f>Input!A10877</f>
        <v/>
      </c>
      <c r="B10877">
        <f>IF(ISNUMBER(Input!B10877),IF(AND(Input!B10877&gt;=20,Input!B10877&lt;=700),Input!B10877,""),"")</f>
        <v/>
      </c>
      <c r="C10877">
        <f>IF(B10877="","",INT(A10877))</f>
        <v/>
      </c>
      <c r="D10877">
        <f>IF(B10877="","",HOUR(A10877))</f>
        <v/>
      </c>
    </row>
    <row r="10878">
      <c r="A10878">
        <f>Input!A10878</f>
        <v/>
      </c>
      <c r="B10878">
        <f>IF(ISNUMBER(Input!B10878),IF(AND(Input!B10878&gt;=20,Input!B10878&lt;=700),Input!B10878,""),"")</f>
        <v/>
      </c>
      <c r="C10878">
        <f>IF(B10878="","",INT(A10878))</f>
        <v/>
      </c>
      <c r="D10878">
        <f>IF(B10878="","",HOUR(A10878))</f>
        <v/>
      </c>
    </row>
    <row r="10879">
      <c r="A10879">
        <f>Input!A10879</f>
        <v/>
      </c>
      <c r="B10879">
        <f>IF(ISNUMBER(Input!B10879),IF(AND(Input!B10879&gt;=20,Input!B10879&lt;=700),Input!B10879,""),"")</f>
        <v/>
      </c>
      <c r="C10879">
        <f>IF(B10879="","",INT(A10879))</f>
        <v/>
      </c>
      <c r="D10879">
        <f>IF(B10879="","",HOUR(A10879))</f>
        <v/>
      </c>
    </row>
    <row r="10880">
      <c r="A10880">
        <f>Input!A10880</f>
        <v/>
      </c>
      <c r="B10880">
        <f>IF(ISNUMBER(Input!B10880),IF(AND(Input!B10880&gt;=20,Input!B10880&lt;=700),Input!B10880,""),"")</f>
        <v/>
      </c>
      <c r="C10880">
        <f>IF(B10880="","",INT(A10880))</f>
        <v/>
      </c>
      <c r="D10880">
        <f>IF(B10880="","",HOUR(A10880))</f>
        <v/>
      </c>
    </row>
    <row r="10881">
      <c r="A10881">
        <f>Input!A10881</f>
        <v/>
      </c>
      <c r="B10881">
        <f>IF(ISNUMBER(Input!B10881),IF(AND(Input!B10881&gt;=20,Input!B10881&lt;=700),Input!B10881,""),"")</f>
        <v/>
      </c>
      <c r="C10881">
        <f>IF(B10881="","",INT(A10881))</f>
        <v/>
      </c>
      <c r="D10881">
        <f>IF(B10881="","",HOUR(A10881))</f>
        <v/>
      </c>
    </row>
    <row r="10882">
      <c r="A10882">
        <f>Input!A10882</f>
        <v/>
      </c>
      <c r="B10882">
        <f>IF(ISNUMBER(Input!B10882),IF(AND(Input!B10882&gt;=20,Input!B10882&lt;=700),Input!B10882,""),"")</f>
        <v/>
      </c>
      <c r="C10882">
        <f>IF(B10882="","",INT(A10882))</f>
        <v/>
      </c>
      <c r="D10882">
        <f>IF(B10882="","",HOUR(A10882))</f>
        <v/>
      </c>
    </row>
    <row r="10883">
      <c r="A10883">
        <f>Input!A10883</f>
        <v/>
      </c>
      <c r="B10883">
        <f>IF(ISNUMBER(Input!B10883),IF(AND(Input!B10883&gt;=20,Input!B10883&lt;=700),Input!B10883,""),"")</f>
        <v/>
      </c>
      <c r="C10883">
        <f>IF(B10883="","",INT(A10883))</f>
        <v/>
      </c>
      <c r="D10883">
        <f>IF(B10883="","",HOUR(A10883))</f>
        <v/>
      </c>
    </row>
    <row r="10884">
      <c r="A10884">
        <f>Input!A10884</f>
        <v/>
      </c>
      <c r="B10884">
        <f>IF(ISNUMBER(Input!B10884),IF(AND(Input!B10884&gt;=20,Input!B10884&lt;=700),Input!B10884,""),"")</f>
        <v/>
      </c>
      <c r="C10884">
        <f>IF(B10884="","",INT(A10884))</f>
        <v/>
      </c>
      <c r="D10884">
        <f>IF(B10884="","",HOUR(A10884))</f>
        <v/>
      </c>
    </row>
    <row r="10885">
      <c r="A10885">
        <f>Input!A10885</f>
        <v/>
      </c>
      <c r="B10885">
        <f>IF(ISNUMBER(Input!B10885),IF(AND(Input!B10885&gt;=20,Input!B10885&lt;=700),Input!B10885,""),"")</f>
        <v/>
      </c>
      <c r="C10885">
        <f>IF(B10885="","",INT(A10885))</f>
        <v/>
      </c>
      <c r="D10885">
        <f>IF(B10885="","",HOUR(A10885))</f>
        <v/>
      </c>
    </row>
    <row r="10886">
      <c r="A10886">
        <f>Input!A10886</f>
        <v/>
      </c>
      <c r="B10886">
        <f>IF(ISNUMBER(Input!B10886),IF(AND(Input!B10886&gt;=20,Input!B10886&lt;=700),Input!B10886,""),"")</f>
        <v/>
      </c>
      <c r="C10886">
        <f>IF(B10886="","",INT(A10886))</f>
        <v/>
      </c>
      <c r="D10886">
        <f>IF(B10886="","",HOUR(A10886))</f>
        <v/>
      </c>
    </row>
    <row r="10887">
      <c r="A10887">
        <f>Input!A10887</f>
        <v/>
      </c>
      <c r="B10887">
        <f>IF(ISNUMBER(Input!B10887),IF(AND(Input!B10887&gt;=20,Input!B10887&lt;=700),Input!B10887,""),"")</f>
        <v/>
      </c>
      <c r="C10887">
        <f>IF(B10887="","",INT(A10887))</f>
        <v/>
      </c>
      <c r="D10887">
        <f>IF(B10887="","",HOUR(A10887))</f>
        <v/>
      </c>
    </row>
    <row r="10888">
      <c r="A10888">
        <f>Input!A10888</f>
        <v/>
      </c>
      <c r="B10888">
        <f>IF(ISNUMBER(Input!B10888),IF(AND(Input!B10888&gt;=20,Input!B10888&lt;=700),Input!B10888,""),"")</f>
        <v/>
      </c>
      <c r="C10888">
        <f>IF(B10888="","",INT(A10888))</f>
        <v/>
      </c>
      <c r="D10888">
        <f>IF(B10888="","",HOUR(A10888))</f>
        <v/>
      </c>
    </row>
    <row r="10889">
      <c r="A10889">
        <f>Input!A10889</f>
        <v/>
      </c>
      <c r="B10889">
        <f>IF(ISNUMBER(Input!B10889),IF(AND(Input!B10889&gt;=20,Input!B10889&lt;=700),Input!B10889,""),"")</f>
        <v/>
      </c>
      <c r="C10889">
        <f>IF(B10889="","",INT(A10889))</f>
        <v/>
      </c>
      <c r="D10889">
        <f>IF(B10889="","",HOUR(A10889))</f>
        <v/>
      </c>
    </row>
    <row r="10890">
      <c r="A10890">
        <f>Input!A10890</f>
        <v/>
      </c>
      <c r="B10890">
        <f>IF(ISNUMBER(Input!B10890),IF(AND(Input!B10890&gt;=20,Input!B10890&lt;=700),Input!B10890,""),"")</f>
        <v/>
      </c>
      <c r="C10890">
        <f>IF(B10890="","",INT(A10890))</f>
        <v/>
      </c>
      <c r="D10890">
        <f>IF(B10890="","",HOUR(A10890))</f>
        <v/>
      </c>
    </row>
    <row r="10891">
      <c r="A10891">
        <f>Input!A10891</f>
        <v/>
      </c>
      <c r="B10891">
        <f>IF(ISNUMBER(Input!B10891),IF(AND(Input!B10891&gt;=20,Input!B10891&lt;=700),Input!B10891,""),"")</f>
        <v/>
      </c>
      <c r="C10891">
        <f>IF(B10891="","",INT(A10891))</f>
        <v/>
      </c>
      <c r="D10891">
        <f>IF(B10891="","",HOUR(A10891))</f>
        <v/>
      </c>
    </row>
    <row r="10892">
      <c r="A10892">
        <f>Input!A10892</f>
        <v/>
      </c>
      <c r="B10892">
        <f>IF(ISNUMBER(Input!B10892),IF(AND(Input!B10892&gt;=20,Input!B10892&lt;=700),Input!B10892,""),"")</f>
        <v/>
      </c>
      <c r="C10892">
        <f>IF(B10892="","",INT(A10892))</f>
        <v/>
      </c>
      <c r="D10892">
        <f>IF(B10892="","",HOUR(A10892))</f>
        <v/>
      </c>
    </row>
    <row r="10893">
      <c r="A10893">
        <f>Input!A10893</f>
        <v/>
      </c>
      <c r="B10893">
        <f>IF(ISNUMBER(Input!B10893),IF(AND(Input!B10893&gt;=20,Input!B10893&lt;=700),Input!B10893,""),"")</f>
        <v/>
      </c>
      <c r="C10893">
        <f>IF(B10893="","",INT(A10893))</f>
        <v/>
      </c>
      <c r="D10893">
        <f>IF(B10893="","",HOUR(A10893))</f>
        <v/>
      </c>
    </row>
    <row r="10894">
      <c r="A10894">
        <f>Input!A10894</f>
        <v/>
      </c>
      <c r="B10894">
        <f>IF(ISNUMBER(Input!B10894),IF(AND(Input!B10894&gt;=20,Input!B10894&lt;=700),Input!B10894,""),"")</f>
        <v/>
      </c>
      <c r="C10894">
        <f>IF(B10894="","",INT(A10894))</f>
        <v/>
      </c>
      <c r="D10894">
        <f>IF(B10894="","",HOUR(A10894))</f>
        <v/>
      </c>
    </row>
    <row r="10895">
      <c r="A10895">
        <f>Input!A10895</f>
        <v/>
      </c>
      <c r="B10895">
        <f>IF(ISNUMBER(Input!B10895),IF(AND(Input!B10895&gt;=20,Input!B10895&lt;=700),Input!B10895,""),"")</f>
        <v/>
      </c>
      <c r="C10895">
        <f>IF(B10895="","",INT(A10895))</f>
        <v/>
      </c>
      <c r="D10895">
        <f>IF(B10895="","",HOUR(A10895))</f>
        <v/>
      </c>
    </row>
    <row r="10896">
      <c r="A10896">
        <f>Input!A10896</f>
        <v/>
      </c>
      <c r="B10896">
        <f>IF(ISNUMBER(Input!B10896),IF(AND(Input!B10896&gt;=20,Input!B10896&lt;=700),Input!B10896,""),"")</f>
        <v/>
      </c>
      <c r="C10896">
        <f>IF(B10896="","",INT(A10896))</f>
        <v/>
      </c>
      <c r="D10896">
        <f>IF(B10896="","",HOUR(A10896))</f>
        <v/>
      </c>
    </row>
    <row r="10897">
      <c r="A10897">
        <f>Input!A10897</f>
        <v/>
      </c>
      <c r="B10897">
        <f>IF(ISNUMBER(Input!B10897),IF(AND(Input!B10897&gt;=20,Input!B10897&lt;=700),Input!B10897,""),"")</f>
        <v/>
      </c>
      <c r="C10897">
        <f>IF(B10897="","",INT(A10897))</f>
        <v/>
      </c>
      <c r="D10897">
        <f>IF(B10897="","",HOUR(A10897))</f>
        <v/>
      </c>
    </row>
    <row r="10898">
      <c r="A10898">
        <f>Input!A10898</f>
        <v/>
      </c>
      <c r="B10898">
        <f>IF(ISNUMBER(Input!B10898),IF(AND(Input!B10898&gt;=20,Input!B10898&lt;=700),Input!B10898,""),"")</f>
        <v/>
      </c>
      <c r="C10898">
        <f>IF(B10898="","",INT(A10898))</f>
        <v/>
      </c>
      <c r="D10898">
        <f>IF(B10898="","",HOUR(A10898))</f>
        <v/>
      </c>
    </row>
    <row r="10899">
      <c r="A10899">
        <f>Input!A10899</f>
        <v/>
      </c>
      <c r="B10899">
        <f>IF(ISNUMBER(Input!B10899),IF(AND(Input!B10899&gt;=20,Input!B10899&lt;=700),Input!B10899,""),"")</f>
        <v/>
      </c>
      <c r="C10899">
        <f>IF(B10899="","",INT(A10899))</f>
        <v/>
      </c>
      <c r="D10899">
        <f>IF(B10899="","",HOUR(A10899))</f>
        <v/>
      </c>
    </row>
    <row r="10900">
      <c r="A10900">
        <f>Input!A10900</f>
        <v/>
      </c>
      <c r="B10900">
        <f>IF(ISNUMBER(Input!B10900),IF(AND(Input!B10900&gt;=20,Input!B10900&lt;=700),Input!B10900,""),"")</f>
        <v/>
      </c>
      <c r="C10900">
        <f>IF(B10900="","",INT(A10900))</f>
        <v/>
      </c>
      <c r="D10900">
        <f>IF(B10900="","",HOUR(A10900))</f>
        <v/>
      </c>
    </row>
    <row r="10901">
      <c r="A10901">
        <f>Input!A10901</f>
        <v/>
      </c>
      <c r="B10901">
        <f>IF(ISNUMBER(Input!B10901),IF(AND(Input!B10901&gt;=20,Input!B10901&lt;=700),Input!B10901,""),"")</f>
        <v/>
      </c>
      <c r="C10901">
        <f>IF(B10901="","",INT(A10901))</f>
        <v/>
      </c>
      <c r="D10901">
        <f>IF(B10901="","",HOUR(A10901))</f>
        <v/>
      </c>
    </row>
    <row r="10902">
      <c r="A10902">
        <f>Input!A10902</f>
        <v/>
      </c>
      <c r="B10902">
        <f>IF(ISNUMBER(Input!B10902),IF(AND(Input!B10902&gt;=20,Input!B10902&lt;=700),Input!B10902,""),"")</f>
        <v/>
      </c>
      <c r="C10902">
        <f>IF(B10902="","",INT(A10902))</f>
        <v/>
      </c>
      <c r="D10902">
        <f>IF(B10902="","",HOUR(A10902))</f>
        <v/>
      </c>
    </row>
    <row r="10903">
      <c r="A10903">
        <f>Input!A10903</f>
        <v/>
      </c>
      <c r="B10903">
        <f>IF(ISNUMBER(Input!B10903),IF(AND(Input!B10903&gt;=20,Input!B10903&lt;=700),Input!B10903,""),"")</f>
        <v/>
      </c>
      <c r="C10903">
        <f>IF(B10903="","",INT(A10903))</f>
        <v/>
      </c>
      <c r="D10903">
        <f>IF(B10903="","",HOUR(A10903))</f>
        <v/>
      </c>
    </row>
    <row r="10904">
      <c r="A10904">
        <f>Input!A10904</f>
        <v/>
      </c>
      <c r="B10904">
        <f>IF(ISNUMBER(Input!B10904),IF(AND(Input!B10904&gt;=20,Input!B10904&lt;=700),Input!B10904,""),"")</f>
        <v/>
      </c>
      <c r="C10904">
        <f>IF(B10904="","",INT(A10904))</f>
        <v/>
      </c>
      <c r="D10904">
        <f>IF(B10904="","",HOUR(A10904))</f>
        <v/>
      </c>
    </row>
    <row r="10905">
      <c r="A10905">
        <f>Input!A10905</f>
        <v/>
      </c>
      <c r="B10905">
        <f>IF(ISNUMBER(Input!B10905),IF(AND(Input!B10905&gt;=20,Input!B10905&lt;=700),Input!B10905,""),"")</f>
        <v/>
      </c>
      <c r="C10905">
        <f>IF(B10905="","",INT(A10905))</f>
        <v/>
      </c>
      <c r="D10905">
        <f>IF(B10905="","",HOUR(A10905))</f>
        <v/>
      </c>
    </row>
    <row r="10906">
      <c r="A10906">
        <f>Input!A10906</f>
        <v/>
      </c>
      <c r="B10906">
        <f>IF(ISNUMBER(Input!B10906),IF(AND(Input!B10906&gt;=20,Input!B10906&lt;=700),Input!B10906,""),"")</f>
        <v/>
      </c>
      <c r="C10906">
        <f>IF(B10906="","",INT(A10906))</f>
        <v/>
      </c>
      <c r="D10906">
        <f>IF(B10906="","",HOUR(A10906))</f>
        <v/>
      </c>
    </row>
    <row r="10907">
      <c r="A10907">
        <f>Input!A10907</f>
        <v/>
      </c>
      <c r="B10907">
        <f>IF(ISNUMBER(Input!B10907),IF(AND(Input!B10907&gt;=20,Input!B10907&lt;=700),Input!B10907,""),"")</f>
        <v/>
      </c>
      <c r="C10907">
        <f>IF(B10907="","",INT(A10907))</f>
        <v/>
      </c>
      <c r="D10907">
        <f>IF(B10907="","",HOUR(A10907))</f>
        <v/>
      </c>
    </row>
    <row r="10908">
      <c r="A10908">
        <f>Input!A10908</f>
        <v/>
      </c>
      <c r="B10908">
        <f>IF(ISNUMBER(Input!B10908),IF(AND(Input!B10908&gt;=20,Input!B10908&lt;=700),Input!B10908,""),"")</f>
        <v/>
      </c>
      <c r="C10908">
        <f>IF(B10908="","",INT(A10908))</f>
        <v/>
      </c>
      <c r="D10908">
        <f>IF(B10908="","",HOUR(A10908))</f>
        <v/>
      </c>
    </row>
    <row r="10909">
      <c r="A10909">
        <f>Input!A10909</f>
        <v/>
      </c>
      <c r="B10909">
        <f>IF(ISNUMBER(Input!B10909),IF(AND(Input!B10909&gt;=20,Input!B10909&lt;=700),Input!B10909,""),"")</f>
        <v/>
      </c>
      <c r="C10909">
        <f>IF(B10909="","",INT(A10909))</f>
        <v/>
      </c>
      <c r="D10909">
        <f>IF(B10909="","",HOUR(A10909))</f>
        <v/>
      </c>
    </row>
    <row r="10910">
      <c r="A10910">
        <f>Input!A10910</f>
        <v/>
      </c>
      <c r="B10910">
        <f>IF(ISNUMBER(Input!B10910),IF(AND(Input!B10910&gt;=20,Input!B10910&lt;=700),Input!B10910,""),"")</f>
        <v/>
      </c>
      <c r="C10910">
        <f>IF(B10910="","",INT(A10910))</f>
        <v/>
      </c>
      <c r="D10910">
        <f>IF(B10910="","",HOUR(A10910))</f>
        <v/>
      </c>
    </row>
    <row r="10911">
      <c r="A10911">
        <f>Input!A10911</f>
        <v/>
      </c>
      <c r="B10911">
        <f>IF(ISNUMBER(Input!B10911),IF(AND(Input!B10911&gt;=20,Input!B10911&lt;=700),Input!B10911,""),"")</f>
        <v/>
      </c>
      <c r="C10911">
        <f>IF(B10911="","",INT(A10911))</f>
        <v/>
      </c>
      <c r="D10911">
        <f>IF(B10911="","",HOUR(A10911))</f>
        <v/>
      </c>
    </row>
    <row r="10912">
      <c r="A10912">
        <f>Input!A10912</f>
        <v/>
      </c>
      <c r="B10912">
        <f>IF(ISNUMBER(Input!B10912),IF(AND(Input!B10912&gt;=20,Input!B10912&lt;=700),Input!B10912,""),"")</f>
        <v/>
      </c>
      <c r="C10912">
        <f>IF(B10912="","",INT(A10912))</f>
        <v/>
      </c>
      <c r="D10912">
        <f>IF(B10912="","",HOUR(A10912))</f>
        <v/>
      </c>
    </row>
    <row r="10913">
      <c r="A10913">
        <f>Input!A10913</f>
        <v/>
      </c>
      <c r="B10913">
        <f>IF(ISNUMBER(Input!B10913),IF(AND(Input!B10913&gt;=20,Input!B10913&lt;=700),Input!B10913,""),"")</f>
        <v/>
      </c>
      <c r="C10913">
        <f>IF(B10913="","",INT(A10913))</f>
        <v/>
      </c>
      <c r="D10913">
        <f>IF(B10913="","",HOUR(A10913))</f>
        <v/>
      </c>
    </row>
    <row r="10914">
      <c r="A10914">
        <f>Input!A10914</f>
        <v/>
      </c>
      <c r="B10914">
        <f>IF(ISNUMBER(Input!B10914),IF(AND(Input!B10914&gt;=20,Input!B10914&lt;=700),Input!B10914,""),"")</f>
        <v/>
      </c>
      <c r="C10914">
        <f>IF(B10914="","",INT(A10914))</f>
        <v/>
      </c>
      <c r="D10914">
        <f>IF(B10914="","",HOUR(A10914))</f>
        <v/>
      </c>
    </row>
    <row r="10915">
      <c r="A10915">
        <f>Input!A10915</f>
        <v/>
      </c>
      <c r="B10915">
        <f>IF(ISNUMBER(Input!B10915),IF(AND(Input!B10915&gt;=20,Input!B10915&lt;=700),Input!B10915,""),"")</f>
        <v/>
      </c>
      <c r="C10915">
        <f>IF(B10915="","",INT(A10915))</f>
        <v/>
      </c>
      <c r="D10915">
        <f>IF(B10915="","",HOUR(A10915))</f>
        <v/>
      </c>
    </row>
    <row r="10916">
      <c r="A10916">
        <f>Input!A10916</f>
        <v/>
      </c>
      <c r="B10916">
        <f>IF(ISNUMBER(Input!B10916),IF(AND(Input!B10916&gt;=20,Input!B10916&lt;=700),Input!B10916,""),"")</f>
        <v/>
      </c>
      <c r="C10916">
        <f>IF(B10916="","",INT(A10916))</f>
        <v/>
      </c>
      <c r="D10916">
        <f>IF(B10916="","",HOUR(A10916))</f>
        <v/>
      </c>
    </row>
    <row r="10917">
      <c r="A10917">
        <f>Input!A10917</f>
        <v/>
      </c>
      <c r="B10917">
        <f>IF(ISNUMBER(Input!B10917),IF(AND(Input!B10917&gt;=20,Input!B10917&lt;=700),Input!B10917,""),"")</f>
        <v/>
      </c>
      <c r="C10917">
        <f>IF(B10917="","",INT(A10917))</f>
        <v/>
      </c>
      <c r="D10917">
        <f>IF(B10917="","",HOUR(A10917))</f>
        <v/>
      </c>
    </row>
    <row r="10918">
      <c r="A10918">
        <f>Input!A10918</f>
        <v/>
      </c>
      <c r="B10918">
        <f>IF(ISNUMBER(Input!B10918),IF(AND(Input!B10918&gt;=20,Input!B10918&lt;=700),Input!B10918,""),"")</f>
        <v/>
      </c>
      <c r="C10918">
        <f>IF(B10918="","",INT(A10918))</f>
        <v/>
      </c>
      <c r="D10918">
        <f>IF(B10918="","",HOUR(A10918))</f>
        <v/>
      </c>
    </row>
    <row r="10919">
      <c r="A10919">
        <f>Input!A10919</f>
        <v/>
      </c>
      <c r="B10919">
        <f>IF(ISNUMBER(Input!B10919),IF(AND(Input!B10919&gt;=20,Input!B10919&lt;=700),Input!B10919,""),"")</f>
        <v/>
      </c>
      <c r="C10919">
        <f>IF(B10919="","",INT(A10919))</f>
        <v/>
      </c>
      <c r="D10919">
        <f>IF(B10919="","",HOUR(A10919))</f>
        <v/>
      </c>
    </row>
    <row r="10920">
      <c r="A10920">
        <f>Input!A10920</f>
        <v/>
      </c>
      <c r="B10920">
        <f>IF(ISNUMBER(Input!B10920),IF(AND(Input!B10920&gt;=20,Input!B10920&lt;=700),Input!B10920,""),"")</f>
        <v/>
      </c>
      <c r="C10920">
        <f>IF(B10920="","",INT(A10920))</f>
        <v/>
      </c>
      <c r="D10920">
        <f>IF(B10920="","",HOUR(A10920))</f>
        <v/>
      </c>
    </row>
    <row r="10921">
      <c r="A10921">
        <f>Input!A10921</f>
        <v/>
      </c>
      <c r="B10921">
        <f>IF(ISNUMBER(Input!B10921),IF(AND(Input!B10921&gt;=20,Input!B10921&lt;=700),Input!B10921,""),"")</f>
        <v/>
      </c>
      <c r="C10921">
        <f>IF(B10921="","",INT(A10921))</f>
        <v/>
      </c>
      <c r="D10921">
        <f>IF(B10921="","",HOUR(A10921))</f>
        <v/>
      </c>
    </row>
    <row r="10922">
      <c r="A10922">
        <f>Input!A10922</f>
        <v/>
      </c>
      <c r="B10922">
        <f>IF(ISNUMBER(Input!B10922),IF(AND(Input!B10922&gt;=20,Input!B10922&lt;=700),Input!B10922,""),"")</f>
        <v/>
      </c>
      <c r="C10922">
        <f>IF(B10922="","",INT(A10922))</f>
        <v/>
      </c>
      <c r="D10922">
        <f>IF(B10922="","",HOUR(A10922))</f>
        <v/>
      </c>
    </row>
    <row r="10923">
      <c r="A10923">
        <f>Input!A10923</f>
        <v/>
      </c>
      <c r="B10923">
        <f>IF(ISNUMBER(Input!B10923),IF(AND(Input!B10923&gt;=20,Input!B10923&lt;=700),Input!B10923,""),"")</f>
        <v/>
      </c>
      <c r="C10923">
        <f>IF(B10923="","",INT(A10923))</f>
        <v/>
      </c>
      <c r="D10923">
        <f>IF(B10923="","",HOUR(A10923))</f>
        <v/>
      </c>
    </row>
    <row r="10924">
      <c r="A10924">
        <f>Input!A10924</f>
        <v/>
      </c>
      <c r="B10924">
        <f>IF(ISNUMBER(Input!B10924),IF(AND(Input!B10924&gt;=20,Input!B10924&lt;=700),Input!B10924,""),"")</f>
        <v/>
      </c>
      <c r="C10924">
        <f>IF(B10924="","",INT(A10924))</f>
        <v/>
      </c>
      <c r="D10924">
        <f>IF(B10924="","",HOUR(A10924))</f>
        <v/>
      </c>
    </row>
    <row r="10925">
      <c r="A10925">
        <f>Input!A10925</f>
        <v/>
      </c>
      <c r="B10925">
        <f>IF(ISNUMBER(Input!B10925),IF(AND(Input!B10925&gt;=20,Input!B10925&lt;=700),Input!B10925,""),"")</f>
        <v/>
      </c>
      <c r="C10925">
        <f>IF(B10925="","",INT(A10925))</f>
        <v/>
      </c>
      <c r="D10925">
        <f>IF(B10925="","",HOUR(A10925))</f>
        <v/>
      </c>
    </row>
    <row r="10926">
      <c r="A10926">
        <f>Input!A10926</f>
        <v/>
      </c>
      <c r="B10926">
        <f>IF(ISNUMBER(Input!B10926),IF(AND(Input!B10926&gt;=20,Input!B10926&lt;=700),Input!B10926,""),"")</f>
        <v/>
      </c>
      <c r="C10926">
        <f>IF(B10926="","",INT(A10926))</f>
        <v/>
      </c>
      <c r="D10926">
        <f>IF(B10926="","",HOUR(A10926))</f>
        <v/>
      </c>
    </row>
    <row r="10927">
      <c r="A10927">
        <f>Input!A10927</f>
        <v/>
      </c>
      <c r="B10927">
        <f>IF(ISNUMBER(Input!B10927),IF(AND(Input!B10927&gt;=20,Input!B10927&lt;=700),Input!B10927,""),"")</f>
        <v/>
      </c>
      <c r="C10927">
        <f>IF(B10927="","",INT(A10927))</f>
        <v/>
      </c>
      <c r="D10927">
        <f>IF(B10927="","",HOUR(A10927))</f>
        <v/>
      </c>
    </row>
    <row r="10928">
      <c r="A10928">
        <f>Input!A10928</f>
        <v/>
      </c>
      <c r="B10928">
        <f>IF(ISNUMBER(Input!B10928),IF(AND(Input!B10928&gt;=20,Input!B10928&lt;=700),Input!B10928,""),"")</f>
        <v/>
      </c>
      <c r="C10928">
        <f>IF(B10928="","",INT(A10928))</f>
        <v/>
      </c>
      <c r="D10928">
        <f>IF(B10928="","",HOUR(A10928))</f>
        <v/>
      </c>
    </row>
    <row r="10929">
      <c r="A10929">
        <f>Input!A10929</f>
        <v/>
      </c>
      <c r="B10929">
        <f>IF(ISNUMBER(Input!B10929),IF(AND(Input!B10929&gt;=20,Input!B10929&lt;=700),Input!B10929,""),"")</f>
        <v/>
      </c>
      <c r="C10929">
        <f>IF(B10929="","",INT(A10929))</f>
        <v/>
      </c>
      <c r="D10929">
        <f>IF(B10929="","",HOUR(A10929))</f>
        <v/>
      </c>
    </row>
    <row r="10930">
      <c r="A10930">
        <f>Input!A10930</f>
        <v/>
      </c>
      <c r="B10930">
        <f>IF(ISNUMBER(Input!B10930),IF(AND(Input!B10930&gt;=20,Input!B10930&lt;=700),Input!B10930,""),"")</f>
        <v/>
      </c>
      <c r="C10930">
        <f>IF(B10930="","",INT(A10930))</f>
        <v/>
      </c>
      <c r="D10930">
        <f>IF(B10930="","",HOUR(A10930))</f>
        <v/>
      </c>
    </row>
    <row r="10931">
      <c r="A10931">
        <f>Input!A10931</f>
        <v/>
      </c>
      <c r="B10931">
        <f>IF(ISNUMBER(Input!B10931),IF(AND(Input!B10931&gt;=20,Input!B10931&lt;=700),Input!B10931,""),"")</f>
        <v/>
      </c>
      <c r="C10931">
        <f>IF(B10931="","",INT(A10931))</f>
        <v/>
      </c>
      <c r="D10931">
        <f>IF(B10931="","",HOUR(A10931))</f>
        <v/>
      </c>
    </row>
    <row r="10932">
      <c r="A10932">
        <f>Input!A10932</f>
        <v/>
      </c>
      <c r="B10932">
        <f>IF(ISNUMBER(Input!B10932),IF(AND(Input!B10932&gt;=20,Input!B10932&lt;=700),Input!B10932,""),"")</f>
        <v/>
      </c>
      <c r="C10932">
        <f>IF(B10932="","",INT(A10932))</f>
        <v/>
      </c>
      <c r="D10932">
        <f>IF(B10932="","",HOUR(A10932))</f>
        <v/>
      </c>
    </row>
    <row r="10933">
      <c r="A10933">
        <f>Input!A10933</f>
        <v/>
      </c>
      <c r="B10933">
        <f>IF(ISNUMBER(Input!B10933),IF(AND(Input!B10933&gt;=20,Input!B10933&lt;=700),Input!B10933,""),"")</f>
        <v/>
      </c>
      <c r="C10933">
        <f>IF(B10933="","",INT(A10933))</f>
        <v/>
      </c>
      <c r="D10933">
        <f>IF(B10933="","",HOUR(A10933))</f>
        <v/>
      </c>
    </row>
    <row r="10934">
      <c r="A10934">
        <f>Input!A10934</f>
        <v/>
      </c>
      <c r="B10934">
        <f>IF(ISNUMBER(Input!B10934),IF(AND(Input!B10934&gt;=20,Input!B10934&lt;=700),Input!B10934,""),"")</f>
        <v/>
      </c>
      <c r="C10934">
        <f>IF(B10934="","",INT(A10934))</f>
        <v/>
      </c>
      <c r="D10934">
        <f>IF(B10934="","",HOUR(A10934))</f>
        <v/>
      </c>
    </row>
    <row r="10935">
      <c r="A10935">
        <f>Input!A10935</f>
        <v/>
      </c>
      <c r="B10935">
        <f>IF(ISNUMBER(Input!B10935),IF(AND(Input!B10935&gt;=20,Input!B10935&lt;=700),Input!B10935,""),"")</f>
        <v/>
      </c>
      <c r="C10935">
        <f>IF(B10935="","",INT(A10935))</f>
        <v/>
      </c>
      <c r="D10935">
        <f>IF(B10935="","",HOUR(A10935))</f>
        <v/>
      </c>
    </row>
    <row r="10936">
      <c r="A10936">
        <f>Input!A10936</f>
        <v/>
      </c>
      <c r="B10936">
        <f>IF(ISNUMBER(Input!B10936),IF(AND(Input!B10936&gt;=20,Input!B10936&lt;=700),Input!B10936,""),"")</f>
        <v/>
      </c>
      <c r="C10936">
        <f>IF(B10936="","",INT(A10936))</f>
        <v/>
      </c>
      <c r="D10936">
        <f>IF(B10936="","",HOUR(A10936))</f>
        <v/>
      </c>
    </row>
    <row r="10937">
      <c r="A10937">
        <f>Input!A10937</f>
        <v/>
      </c>
      <c r="B10937">
        <f>IF(ISNUMBER(Input!B10937),IF(AND(Input!B10937&gt;=20,Input!B10937&lt;=700),Input!B10937,""),"")</f>
        <v/>
      </c>
      <c r="C10937">
        <f>IF(B10937="","",INT(A10937))</f>
        <v/>
      </c>
      <c r="D10937">
        <f>IF(B10937="","",HOUR(A10937))</f>
        <v/>
      </c>
    </row>
    <row r="10938">
      <c r="A10938">
        <f>Input!A10938</f>
        <v/>
      </c>
      <c r="B10938">
        <f>IF(ISNUMBER(Input!B10938),IF(AND(Input!B10938&gt;=20,Input!B10938&lt;=700),Input!B10938,""),"")</f>
        <v/>
      </c>
      <c r="C10938">
        <f>IF(B10938="","",INT(A10938))</f>
        <v/>
      </c>
      <c r="D10938">
        <f>IF(B10938="","",HOUR(A10938))</f>
        <v/>
      </c>
    </row>
    <row r="10939">
      <c r="A10939">
        <f>Input!A10939</f>
        <v/>
      </c>
      <c r="B10939">
        <f>IF(ISNUMBER(Input!B10939),IF(AND(Input!B10939&gt;=20,Input!B10939&lt;=700),Input!B10939,""),"")</f>
        <v/>
      </c>
      <c r="C10939">
        <f>IF(B10939="","",INT(A10939))</f>
        <v/>
      </c>
      <c r="D10939">
        <f>IF(B10939="","",HOUR(A10939))</f>
        <v/>
      </c>
    </row>
    <row r="10940">
      <c r="A10940">
        <f>Input!A10940</f>
        <v/>
      </c>
      <c r="B10940">
        <f>IF(ISNUMBER(Input!B10940),IF(AND(Input!B10940&gt;=20,Input!B10940&lt;=700),Input!B10940,""),"")</f>
        <v/>
      </c>
      <c r="C10940">
        <f>IF(B10940="","",INT(A10940))</f>
        <v/>
      </c>
      <c r="D10940">
        <f>IF(B10940="","",HOUR(A10940))</f>
        <v/>
      </c>
    </row>
    <row r="10941">
      <c r="A10941">
        <f>Input!A10941</f>
        <v/>
      </c>
      <c r="B10941">
        <f>IF(ISNUMBER(Input!B10941),IF(AND(Input!B10941&gt;=20,Input!B10941&lt;=700),Input!B10941,""),"")</f>
        <v/>
      </c>
      <c r="C10941">
        <f>IF(B10941="","",INT(A10941))</f>
        <v/>
      </c>
      <c r="D10941">
        <f>IF(B10941="","",HOUR(A10941))</f>
        <v/>
      </c>
    </row>
    <row r="10942">
      <c r="A10942">
        <f>Input!A10942</f>
        <v/>
      </c>
      <c r="B10942">
        <f>IF(ISNUMBER(Input!B10942),IF(AND(Input!B10942&gt;=20,Input!B10942&lt;=700),Input!B10942,""),"")</f>
        <v/>
      </c>
      <c r="C10942">
        <f>IF(B10942="","",INT(A10942))</f>
        <v/>
      </c>
      <c r="D10942">
        <f>IF(B10942="","",HOUR(A10942))</f>
        <v/>
      </c>
    </row>
    <row r="10943">
      <c r="A10943">
        <f>Input!A10943</f>
        <v/>
      </c>
      <c r="B10943">
        <f>IF(ISNUMBER(Input!B10943),IF(AND(Input!B10943&gt;=20,Input!B10943&lt;=700),Input!B10943,""),"")</f>
        <v/>
      </c>
      <c r="C10943">
        <f>IF(B10943="","",INT(A10943))</f>
        <v/>
      </c>
      <c r="D10943">
        <f>IF(B10943="","",HOUR(A10943))</f>
        <v/>
      </c>
    </row>
    <row r="10944">
      <c r="A10944">
        <f>Input!A10944</f>
        <v/>
      </c>
      <c r="B10944">
        <f>IF(ISNUMBER(Input!B10944),IF(AND(Input!B10944&gt;=20,Input!B10944&lt;=700),Input!B10944,""),"")</f>
        <v/>
      </c>
      <c r="C10944">
        <f>IF(B10944="","",INT(A10944))</f>
        <v/>
      </c>
      <c r="D10944">
        <f>IF(B10944="","",HOUR(A10944))</f>
        <v/>
      </c>
    </row>
    <row r="10945">
      <c r="A10945">
        <f>Input!A10945</f>
        <v/>
      </c>
      <c r="B10945">
        <f>IF(ISNUMBER(Input!B10945),IF(AND(Input!B10945&gt;=20,Input!B10945&lt;=700),Input!B10945,""),"")</f>
        <v/>
      </c>
      <c r="C10945">
        <f>IF(B10945="","",INT(A10945))</f>
        <v/>
      </c>
      <c r="D10945">
        <f>IF(B10945="","",HOUR(A10945))</f>
        <v/>
      </c>
    </row>
    <row r="10946">
      <c r="A10946">
        <f>Input!A10946</f>
        <v/>
      </c>
      <c r="B10946">
        <f>IF(ISNUMBER(Input!B10946),IF(AND(Input!B10946&gt;=20,Input!B10946&lt;=700),Input!B10946,""),"")</f>
        <v/>
      </c>
      <c r="C10946">
        <f>IF(B10946="","",INT(A10946))</f>
        <v/>
      </c>
      <c r="D10946">
        <f>IF(B10946="","",HOUR(A10946))</f>
        <v/>
      </c>
    </row>
    <row r="10947">
      <c r="A10947">
        <f>Input!A10947</f>
        <v/>
      </c>
      <c r="B10947">
        <f>IF(ISNUMBER(Input!B10947),IF(AND(Input!B10947&gt;=20,Input!B10947&lt;=700),Input!B10947,""),"")</f>
        <v/>
      </c>
      <c r="C10947">
        <f>IF(B10947="","",INT(A10947))</f>
        <v/>
      </c>
      <c r="D10947">
        <f>IF(B10947="","",HOUR(A10947))</f>
        <v/>
      </c>
    </row>
    <row r="10948">
      <c r="A10948">
        <f>Input!A10948</f>
        <v/>
      </c>
      <c r="B10948">
        <f>IF(ISNUMBER(Input!B10948),IF(AND(Input!B10948&gt;=20,Input!B10948&lt;=700),Input!B10948,""),"")</f>
        <v/>
      </c>
      <c r="C10948">
        <f>IF(B10948="","",INT(A10948))</f>
        <v/>
      </c>
      <c r="D10948">
        <f>IF(B10948="","",HOUR(A10948))</f>
        <v/>
      </c>
    </row>
    <row r="10949">
      <c r="A10949">
        <f>Input!A10949</f>
        <v/>
      </c>
      <c r="B10949">
        <f>IF(ISNUMBER(Input!B10949),IF(AND(Input!B10949&gt;=20,Input!B10949&lt;=700),Input!B10949,""),"")</f>
        <v/>
      </c>
      <c r="C10949">
        <f>IF(B10949="","",INT(A10949))</f>
        <v/>
      </c>
      <c r="D10949">
        <f>IF(B10949="","",HOUR(A10949))</f>
        <v/>
      </c>
    </row>
    <row r="10950">
      <c r="A10950">
        <f>Input!A10950</f>
        <v/>
      </c>
      <c r="B10950">
        <f>IF(ISNUMBER(Input!B10950),IF(AND(Input!B10950&gt;=20,Input!B10950&lt;=700),Input!B10950,""),"")</f>
        <v/>
      </c>
      <c r="C10950">
        <f>IF(B10950="","",INT(A10950))</f>
        <v/>
      </c>
      <c r="D10950">
        <f>IF(B10950="","",HOUR(A10950))</f>
        <v/>
      </c>
    </row>
    <row r="10951">
      <c r="A10951">
        <f>Input!A10951</f>
        <v/>
      </c>
      <c r="B10951">
        <f>IF(ISNUMBER(Input!B10951),IF(AND(Input!B10951&gt;=20,Input!B10951&lt;=700),Input!B10951,""),"")</f>
        <v/>
      </c>
      <c r="C10951">
        <f>IF(B10951="","",INT(A10951))</f>
        <v/>
      </c>
      <c r="D10951">
        <f>IF(B10951="","",HOUR(A10951))</f>
        <v/>
      </c>
    </row>
    <row r="10952">
      <c r="A10952">
        <f>Input!A10952</f>
        <v/>
      </c>
      <c r="B10952">
        <f>IF(ISNUMBER(Input!B10952),IF(AND(Input!B10952&gt;=20,Input!B10952&lt;=700),Input!B10952,""),"")</f>
        <v/>
      </c>
      <c r="C10952">
        <f>IF(B10952="","",INT(A10952))</f>
        <v/>
      </c>
      <c r="D10952">
        <f>IF(B10952="","",HOUR(A10952))</f>
        <v/>
      </c>
    </row>
    <row r="10953">
      <c r="A10953">
        <f>Input!A10953</f>
        <v/>
      </c>
      <c r="B10953">
        <f>IF(ISNUMBER(Input!B10953),IF(AND(Input!B10953&gt;=20,Input!B10953&lt;=700),Input!B10953,""),"")</f>
        <v/>
      </c>
      <c r="C10953">
        <f>IF(B10953="","",INT(A10953))</f>
        <v/>
      </c>
      <c r="D10953">
        <f>IF(B10953="","",HOUR(A10953))</f>
        <v/>
      </c>
    </row>
    <row r="10954">
      <c r="A10954">
        <f>Input!A10954</f>
        <v/>
      </c>
      <c r="B10954">
        <f>IF(ISNUMBER(Input!B10954),IF(AND(Input!B10954&gt;=20,Input!B10954&lt;=700),Input!B10954,""),"")</f>
        <v/>
      </c>
      <c r="C10954">
        <f>IF(B10954="","",INT(A10954))</f>
        <v/>
      </c>
      <c r="D10954">
        <f>IF(B10954="","",HOUR(A10954))</f>
        <v/>
      </c>
    </row>
    <row r="10955">
      <c r="A10955">
        <f>Input!A10955</f>
        <v/>
      </c>
      <c r="B10955">
        <f>IF(ISNUMBER(Input!B10955),IF(AND(Input!B10955&gt;=20,Input!B10955&lt;=700),Input!B10955,""),"")</f>
        <v/>
      </c>
      <c r="C10955">
        <f>IF(B10955="","",INT(A10955))</f>
        <v/>
      </c>
      <c r="D10955">
        <f>IF(B10955="","",HOUR(A10955))</f>
        <v/>
      </c>
    </row>
    <row r="10956">
      <c r="A10956">
        <f>Input!A10956</f>
        <v/>
      </c>
      <c r="B10956">
        <f>IF(ISNUMBER(Input!B10956),IF(AND(Input!B10956&gt;=20,Input!B10956&lt;=700),Input!B10956,""),"")</f>
        <v/>
      </c>
      <c r="C10956">
        <f>IF(B10956="","",INT(A10956))</f>
        <v/>
      </c>
      <c r="D10956">
        <f>IF(B10956="","",HOUR(A10956))</f>
        <v/>
      </c>
    </row>
    <row r="10957">
      <c r="A10957">
        <f>Input!A10957</f>
        <v/>
      </c>
      <c r="B10957">
        <f>IF(ISNUMBER(Input!B10957),IF(AND(Input!B10957&gt;=20,Input!B10957&lt;=700),Input!B10957,""),"")</f>
        <v/>
      </c>
      <c r="C10957">
        <f>IF(B10957="","",INT(A10957))</f>
        <v/>
      </c>
      <c r="D10957">
        <f>IF(B10957="","",HOUR(A10957))</f>
        <v/>
      </c>
    </row>
    <row r="10958">
      <c r="A10958">
        <f>Input!A10958</f>
        <v/>
      </c>
      <c r="B10958">
        <f>IF(ISNUMBER(Input!B10958),IF(AND(Input!B10958&gt;=20,Input!B10958&lt;=700),Input!B10958,""),"")</f>
        <v/>
      </c>
      <c r="C10958">
        <f>IF(B10958="","",INT(A10958))</f>
        <v/>
      </c>
      <c r="D10958">
        <f>IF(B10958="","",HOUR(A10958))</f>
        <v/>
      </c>
    </row>
    <row r="10959">
      <c r="A10959">
        <f>Input!A10959</f>
        <v/>
      </c>
      <c r="B10959">
        <f>IF(ISNUMBER(Input!B10959),IF(AND(Input!B10959&gt;=20,Input!B10959&lt;=700),Input!B10959,""),"")</f>
        <v/>
      </c>
      <c r="C10959">
        <f>IF(B10959="","",INT(A10959))</f>
        <v/>
      </c>
      <c r="D10959">
        <f>IF(B10959="","",HOUR(A10959))</f>
        <v/>
      </c>
    </row>
    <row r="10960">
      <c r="A10960">
        <f>Input!A10960</f>
        <v/>
      </c>
      <c r="B10960">
        <f>IF(ISNUMBER(Input!B10960),IF(AND(Input!B10960&gt;=20,Input!B10960&lt;=700),Input!B10960,""),"")</f>
        <v/>
      </c>
      <c r="C10960">
        <f>IF(B10960="","",INT(A10960))</f>
        <v/>
      </c>
      <c r="D10960">
        <f>IF(B10960="","",HOUR(A10960))</f>
        <v/>
      </c>
    </row>
    <row r="10961">
      <c r="A10961">
        <f>Input!A10961</f>
        <v/>
      </c>
      <c r="B10961">
        <f>IF(ISNUMBER(Input!B10961),IF(AND(Input!B10961&gt;=20,Input!B10961&lt;=700),Input!B10961,""),"")</f>
        <v/>
      </c>
      <c r="C10961">
        <f>IF(B10961="","",INT(A10961))</f>
        <v/>
      </c>
      <c r="D10961">
        <f>IF(B10961="","",HOUR(A10961))</f>
        <v/>
      </c>
    </row>
    <row r="10962">
      <c r="A10962">
        <f>Input!A10962</f>
        <v/>
      </c>
      <c r="B10962">
        <f>IF(ISNUMBER(Input!B10962),IF(AND(Input!B10962&gt;=20,Input!B10962&lt;=700),Input!B10962,""),"")</f>
        <v/>
      </c>
      <c r="C10962">
        <f>IF(B10962="","",INT(A10962))</f>
        <v/>
      </c>
      <c r="D10962">
        <f>IF(B10962="","",HOUR(A10962))</f>
        <v/>
      </c>
    </row>
    <row r="10963">
      <c r="A10963">
        <f>Input!A10963</f>
        <v/>
      </c>
      <c r="B10963">
        <f>IF(ISNUMBER(Input!B10963),IF(AND(Input!B10963&gt;=20,Input!B10963&lt;=700),Input!B10963,""),"")</f>
        <v/>
      </c>
      <c r="C10963">
        <f>IF(B10963="","",INT(A10963))</f>
        <v/>
      </c>
      <c r="D10963">
        <f>IF(B10963="","",HOUR(A10963))</f>
        <v/>
      </c>
    </row>
    <row r="10964">
      <c r="A10964">
        <f>Input!A10964</f>
        <v/>
      </c>
      <c r="B10964">
        <f>IF(ISNUMBER(Input!B10964),IF(AND(Input!B10964&gt;=20,Input!B10964&lt;=700),Input!B10964,""),"")</f>
        <v/>
      </c>
      <c r="C10964">
        <f>IF(B10964="","",INT(A10964))</f>
        <v/>
      </c>
      <c r="D10964">
        <f>IF(B10964="","",HOUR(A10964))</f>
        <v/>
      </c>
    </row>
    <row r="10965">
      <c r="A10965">
        <f>Input!A10965</f>
        <v/>
      </c>
      <c r="B10965">
        <f>IF(ISNUMBER(Input!B10965),IF(AND(Input!B10965&gt;=20,Input!B10965&lt;=700),Input!B10965,""),"")</f>
        <v/>
      </c>
      <c r="C10965">
        <f>IF(B10965="","",INT(A10965))</f>
        <v/>
      </c>
      <c r="D10965">
        <f>IF(B10965="","",HOUR(A10965))</f>
        <v/>
      </c>
    </row>
    <row r="10966">
      <c r="A10966">
        <f>Input!A10966</f>
        <v/>
      </c>
      <c r="B10966">
        <f>IF(ISNUMBER(Input!B10966),IF(AND(Input!B10966&gt;=20,Input!B10966&lt;=700),Input!B10966,""),"")</f>
        <v/>
      </c>
      <c r="C10966">
        <f>IF(B10966="","",INT(A10966))</f>
        <v/>
      </c>
      <c r="D10966">
        <f>IF(B10966="","",HOUR(A10966))</f>
        <v/>
      </c>
    </row>
    <row r="10967">
      <c r="A10967">
        <f>Input!A10967</f>
        <v/>
      </c>
      <c r="B10967">
        <f>IF(ISNUMBER(Input!B10967),IF(AND(Input!B10967&gt;=20,Input!B10967&lt;=700),Input!B10967,""),"")</f>
        <v/>
      </c>
      <c r="C10967">
        <f>IF(B10967="","",INT(A10967))</f>
        <v/>
      </c>
      <c r="D10967">
        <f>IF(B10967="","",HOUR(A10967))</f>
        <v/>
      </c>
    </row>
    <row r="10968">
      <c r="A10968">
        <f>Input!A10968</f>
        <v/>
      </c>
      <c r="B10968">
        <f>IF(ISNUMBER(Input!B10968),IF(AND(Input!B10968&gt;=20,Input!B10968&lt;=700),Input!B10968,""),"")</f>
        <v/>
      </c>
      <c r="C10968">
        <f>IF(B10968="","",INT(A10968))</f>
        <v/>
      </c>
      <c r="D10968">
        <f>IF(B10968="","",HOUR(A10968))</f>
        <v/>
      </c>
    </row>
    <row r="10969">
      <c r="A10969">
        <f>Input!A10969</f>
        <v/>
      </c>
      <c r="B10969">
        <f>IF(ISNUMBER(Input!B10969),IF(AND(Input!B10969&gt;=20,Input!B10969&lt;=700),Input!B10969,""),"")</f>
        <v/>
      </c>
      <c r="C10969">
        <f>IF(B10969="","",INT(A10969))</f>
        <v/>
      </c>
      <c r="D10969">
        <f>IF(B10969="","",HOUR(A10969))</f>
        <v/>
      </c>
    </row>
    <row r="10970">
      <c r="A10970">
        <f>Input!A10970</f>
        <v/>
      </c>
      <c r="B10970">
        <f>IF(ISNUMBER(Input!B10970),IF(AND(Input!B10970&gt;=20,Input!B10970&lt;=700),Input!B10970,""),"")</f>
        <v/>
      </c>
      <c r="C10970">
        <f>IF(B10970="","",INT(A10970))</f>
        <v/>
      </c>
      <c r="D10970">
        <f>IF(B10970="","",HOUR(A10970))</f>
        <v/>
      </c>
    </row>
    <row r="10971">
      <c r="A10971">
        <f>Input!A10971</f>
        <v/>
      </c>
      <c r="B10971">
        <f>IF(ISNUMBER(Input!B10971),IF(AND(Input!B10971&gt;=20,Input!B10971&lt;=700),Input!B10971,""),"")</f>
        <v/>
      </c>
      <c r="C10971">
        <f>IF(B10971="","",INT(A10971))</f>
        <v/>
      </c>
      <c r="D10971">
        <f>IF(B10971="","",HOUR(A10971))</f>
        <v/>
      </c>
    </row>
    <row r="10972">
      <c r="A10972">
        <f>Input!A10972</f>
        <v/>
      </c>
      <c r="B10972">
        <f>IF(ISNUMBER(Input!B10972),IF(AND(Input!B10972&gt;=20,Input!B10972&lt;=700),Input!B10972,""),"")</f>
        <v/>
      </c>
      <c r="C10972">
        <f>IF(B10972="","",INT(A10972))</f>
        <v/>
      </c>
      <c r="D10972">
        <f>IF(B10972="","",HOUR(A10972))</f>
        <v/>
      </c>
    </row>
    <row r="10973">
      <c r="A10973">
        <f>Input!A10973</f>
        <v/>
      </c>
      <c r="B10973">
        <f>IF(ISNUMBER(Input!B10973),IF(AND(Input!B10973&gt;=20,Input!B10973&lt;=700),Input!B10973,""),"")</f>
        <v/>
      </c>
      <c r="C10973">
        <f>IF(B10973="","",INT(A10973))</f>
        <v/>
      </c>
      <c r="D10973">
        <f>IF(B10973="","",HOUR(A10973))</f>
        <v/>
      </c>
    </row>
    <row r="10974">
      <c r="A10974">
        <f>Input!A10974</f>
        <v/>
      </c>
      <c r="B10974">
        <f>IF(ISNUMBER(Input!B10974),IF(AND(Input!B10974&gt;=20,Input!B10974&lt;=700),Input!B10974,""),"")</f>
        <v/>
      </c>
      <c r="C10974">
        <f>IF(B10974="","",INT(A10974))</f>
        <v/>
      </c>
      <c r="D10974">
        <f>IF(B10974="","",HOUR(A10974))</f>
        <v/>
      </c>
    </row>
    <row r="10975">
      <c r="A10975">
        <f>Input!A10975</f>
        <v/>
      </c>
      <c r="B10975">
        <f>IF(ISNUMBER(Input!B10975),IF(AND(Input!B10975&gt;=20,Input!B10975&lt;=700),Input!B10975,""),"")</f>
        <v/>
      </c>
      <c r="C10975">
        <f>IF(B10975="","",INT(A10975))</f>
        <v/>
      </c>
      <c r="D10975">
        <f>IF(B10975="","",HOUR(A10975))</f>
        <v/>
      </c>
    </row>
    <row r="10976">
      <c r="A10976">
        <f>Input!A10976</f>
        <v/>
      </c>
      <c r="B10976">
        <f>IF(ISNUMBER(Input!B10976),IF(AND(Input!B10976&gt;=20,Input!B10976&lt;=700),Input!B10976,""),"")</f>
        <v/>
      </c>
      <c r="C10976">
        <f>IF(B10976="","",INT(A10976))</f>
        <v/>
      </c>
      <c r="D10976">
        <f>IF(B10976="","",HOUR(A10976))</f>
        <v/>
      </c>
    </row>
    <row r="10977">
      <c r="A10977">
        <f>Input!A10977</f>
        <v/>
      </c>
      <c r="B10977">
        <f>IF(ISNUMBER(Input!B10977),IF(AND(Input!B10977&gt;=20,Input!B10977&lt;=700),Input!B10977,""),"")</f>
        <v/>
      </c>
      <c r="C10977">
        <f>IF(B10977="","",INT(A10977))</f>
        <v/>
      </c>
      <c r="D10977">
        <f>IF(B10977="","",HOUR(A10977))</f>
        <v/>
      </c>
    </row>
    <row r="10978">
      <c r="A10978">
        <f>Input!A10978</f>
        <v/>
      </c>
      <c r="B10978">
        <f>IF(ISNUMBER(Input!B10978),IF(AND(Input!B10978&gt;=20,Input!B10978&lt;=700),Input!B10978,""),"")</f>
        <v/>
      </c>
      <c r="C10978">
        <f>IF(B10978="","",INT(A10978))</f>
        <v/>
      </c>
      <c r="D10978">
        <f>IF(B10978="","",HOUR(A10978))</f>
        <v/>
      </c>
    </row>
    <row r="10979">
      <c r="A10979">
        <f>Input!A10979</f>
        <v/>
      </c>
      <c r="B10979">
        <f>IF(ISNUMBER(Input!B10979),IF(AND(Input!B10979&gt;=20,Input!B10979&lt;=700),Input!B10979,""),"")</f>
        <v/>
      </c>
      <c r="C10979">
        <f>IF(B10979="","",INT(A10979))</f>
        <v/>
      </c>
      <c r="D10979">
        <f>IF(B10979="","",HOUR(A10979))</f>
        <v/>
      </c>
    </row>
    <row r="10980">
      <c r="A10980">
        <f>Input!A10980</f>
        <v/>
      </c>
      <c r="B10980">
        <f>IF(ISNUMBER(Input!B10980),IF(AND(Input!B10980&gt;=20,Input!B10980&lt;=700),Input!B10980,""),"")</f>
        <v/>
      </c>
      <c r="C10980">
        <f>IF(B10980="","",INT(A10980))</f>
        <v/>
      </c>
      <c r="D10980">
        <f>IF(B10980="","",HOUR(A10980))</f>
        <v/>
      </c>
    </row>
    <row r="10981">
      <c r="A10981">
        <f>Input!A10981</f>
        <v/>
      </c>
      <c r="B10981">
        <f>IF(ISNUMBER(Input!B10981),IF(AND(Input!B10981&gt;=20,Input!B10981&lt;=700),Input!B10981,""),"")</f>
        <v/>
      </c>
      <c r="C10981">
        <f>IF(B10981="","",INT(A10981))</f>
        <v/>
      </c>
      <c r="D10981">
        <f>IF(B10981="","",HOUR(A10981))</f>
        <v/>
      </c>
    </row>
    <row r="10982">
      <c r="A10982">
        <f>Input!A10982</f>
        <v/>
      </c>
      <c r="B10982">
        <f>IF(ISNUMBER(Input!B10982),IF(AND(Input!B10982&gt;=20,Input!B10982&lt;=700),Input!B10982,""),"")</f>
        <v/>
      </c>
      <c r="C10982">
        <f>IF(B10982="","",INT(A10982))</f>
        <v/>
      </c>
      <c r="D10982">
        <f>IF(B10982="","",HOUR(A10982))</f>
        <v/>
      </c>
    </row>
    <row r="10983">
      <c r="A10983">
        <f>Input!A10983</f>
        <v/>
      </c>
      <c r="B10983">
        <f>IF(ISNUMBER(Input!B10983),IF(AND(Input!B10983&gt;=20,Input!B10983&lt;=700),Input!B10983,""),"")</f>
        <v/>
      </c>
      <c r="C10983">
        <f>IF(B10983="","",INT(A10983))</f>
        <v/>
      </c>
      <c r="D10983">
        <f>IF(B10983="","",HOUR(A10983))</f>
        <v/>
      </c>
    </row>
    <row r="10984">
      <c r="A10984">
        <f>Input!A10984</f>
        <v/>
      </c>
      <c r="B10984">
        <f>IF(ISNUMBER(Input!B10984),IF(AND(Input!B10984&gt;=20,Input!B10984&lt;=700),Input!B10984,""),"")</f>
        <v/>
      </c>
      <c r="C10984">
        <f>IF(B10984="","",INT(A10984))</f>
        <v/>
      </c>
      <c r="D10984">
        <f>IF(B10984="","",HOUR(A10984))</f>
        <v/>
      </c>
    </row>
    <row r="10985">
      <c r="A10985">
        <f>Input!A10985</f>
        <v/>
      </c>
      <c r="B10985">
        <f>IF(ISNUMBER(Input!B10985),IF(AND(Input!B10985&gt;=20,Input!B10985&lt;=700),Input!B10985,""),"")</f>
        <v/>
      </c>
      <c r="C10985">
        <f>IF(B10985="","",INT(A10985))</f>
        <v/>
      </c>
      <c r="D10985">
        <f>IF(B10985="","",HOUR(A10985))</f>
        <v/>
      </c>
    </row>
    <row r="10986">
      <c r="A10986">
        <f>Input!A10986</f>
        <v/>
      </c>
      <c r="B10986">
        <f>IF(ISNUMBER(Input!B10986),IF(AND(Input!B10986&gt;=20,Input!B10986&lt;=700),Input!B10986,""),"")</f>
        <v/>
      </c>
      <c r="C10986">
        <f>IF(B10986="","",INT(A10986))</f>
        <v/>
      </c>
      <c r="D10986">
        <f>IF(B10986="","",HOUR(A10986))</f>
        <v/>
      </c>
    </row>
    <row r="10987">
      <c r="A10987">
        <f>Input!A10987</f>
        <v/>
      </c>
      <c r="B10987">
        <f>IF(ISNUMBER(Input!B10987),IF(AND(Input!B10987&gt;=20,Input!B10987&lt;=700),Input!B10987,""),"")</f>
        <v/>
      </c>
      <c r="C10987">
        <f>IF(B10987="","",INT(A10987))</f>
        <v/>
      </c>
      <c r="D10987">
        <f>IF(B10987="","",HOUR(A10987))</f>
        <v/>
      </c>
    </row>
    <row r="10988">
      <c r="A10988">
        <f>Input!A10988</f>
        <v/>
      </c>
      <c r="B10988">
        <f>IF(ISNUMBER(Input!B10988),IF(AND(Input!B10988&gt;=20,Input!B10988&lt;=700),Input!B10988,""),"")</f>
        <v/>
      </c>
      <c r="C10988">
        <f>IF(B10988="","",INT(A10988))</f>
        <v/>
      </c>
      <c r="D10988">
        <f>IF(B10988="","",HOUR(A10988))</f>
        <v/>
      </c>
    </row>
    <row r="10989">
      <c r="A10989">
        <f>Input!A10989</f>
        <v/>
      </c>
      <c r="B10989">
        <f>IF(ISNUMBER(Input!B10989),IF(AND(Input!B10989&gt;=20,Input!B10989&lt;=700),Input!B10989,""),"")</f>
        <v/>
      </c>
      <c r="C10989">
        <f>IF(B10989="","",INT(A10989))</f>
        <v/>
      </c>
      <c r="D10989">
        <f>IF(B10989="","",HOUR(A10989))</f>
        <v/>
      </c>
    </row>
    <row r="10990">
      <c r="A10990">
        <f>Input!A10990</f>
        <v/>
      </c>
      <c r="B10990">
        <f>IF(ISNUMBER(Input!B10990),IF(AND(Input!B10990&gt;=20,Input!B10990&lt;=700),Input!B10990,""),"")</f>
        <v/>
      </c>
      <c r="C10990">
        <f>IF(B10990="","",INT(A10990))</f>
        <v/>
      </c>
      <c r="D10990">
        <f>IF(B10990="","",HOUR(A10990))</f>
        <v/>
      </c>
    </row>
    <row r="10991">
      <c r="A10991">
        <f>Input!A10991</f>
        <v/>
      </c>
      <c r="B10991">
        <f>IF(ISNUMBER(Input!B10991),IF(AND(Input!B10991&gt;=20,Input!B10991&lt;=700),Input!B10991,""),"")</f>
        <v/>
      </c>
      <c r="C10991">
        <f>IF(B10991="","",INT(A10991))</f>
        <v/>
      </c>
      <c r="D10991">
        <f>IF(B10991="","",HOUR(A10991))</f>
        <v/>
      </c>
    </row>
    <row r="10992">
      <c r="A10992">
        <f>Input!A10992</f>
        <v/>
      </c>
      <c r="B10992">
        <f>IF(ISNUMBER(Input!B10992),IF(AND(Input!B10992&gt;=20,Input!B10992&lt;=700),Input!B10992,""),"")</f>
        <v/>
      </c>
      <c r="C10992">
        <f>IF(B10992="","",INT(A10992))</f>
        <v/>
      </c>
      <c r="D10992">
        <f>IF(B10992="","",HOUR(A10992))</f>
        <v/>
      </c>
    </row>
    <row r="10993">
      <c r="A10993">
        <f>Input!A10993</f>
        <v/>
      </c>
      <c r="B10993">
        <f>IF(ISNUMBER(Input!B10993),IF(AND(Input!B10993&gt;=20,Input!B10993&lt;=700),Input!B10993,""),"")</f>
        <v/>
      </c>
      <c r="C10993">
        <f>IF(B10993="","",INT(A10993))</f>
        <v/>
      </c>
      <c r="D10993">
        <f>IF(B10993="","",HOUR(A10993))</f>
        <v/>
      </c>
    </row>
    <row r="10994">
      <c r="A10994">
        <f>Input!A10994</f>
        <v/>
      </c>
      <c r="B10994">
        <f>IF(ISNUMBER(Input!B10994),IF(AND(Input!B10994&gt;=20,Input!B10994&lt;=700),Input!B10994,""),"")</f>
        <v/>
      </c>
      <c r="C10994">
        <f>IF(B10994="","",INT(A10994))</f>
        <v/>
      </c>
      <c r="D10994">
        <f>IF(B10994="","",HOUR(A10994))</f>
        <v/>
      </c>
    </row>
    <row r="10995">
      <c r="A10995">
        <f>Input!A10995</f>
        <v/>
      </c>
      <c r="B10995">
        <f>IF(ISNUMBER(Input!B10995),IF(AND(Input!B10995&gt;=20,Input!B10995&lt;=700),Input!B10995,""),"")</f>
        <v/>
      </c>
      <c r="C10995">
        <f>IF(B10995="","",INT(A10995))</f>
        <v/>
      </c>
      <c r="D10995">
        <f>IF(B10995="","",HOUR(A10995))</f>
        <v/>
      </c>
    </row>
    <row r="10996">
      <c r="A10996">
        <f>Input!A10996</f>
        <v/>
      </c>
      <c r="B10996">
        <f>IF(ISNUMBER(Input!B10996),IF(AND(Input!B10996&gt;=20,Input!B10996&lt;=700),Input!B10996,""),"")</f>
        <v/>
      </c>
      <c r="C10996">
        <f>IF(B10996="","",INT(A10996))</f>
        <v/>
      </c>
      <c r="D10996">
        <f>IF(B10996="","",HOUR(A10996))</f>
        <v/>
      </c>
    </row>
    <row r="10997">
      <c r="A10997">
        <f>Input!A10997</f>
        <v/>
      </c>
      <c r="B10997">
        <f>IF(ISNUMBER(Input!B10997),IF(AND(Input!B10997&gt;=20,Input!B10997&lt;=700),Input!B10997,""),"")</f>
        <v/>
      </c>
      <c r="C10997">
        <f>IF(B10997="","",INT(A10997))</f>
        <v/>
      </c>
      <c r="D10997">
        <f>IF(B10997="","",HOUR(A10997))</f>
        <v/>
      </c>
    </row>
    <row r="10998">
      <c r="A10998">
        <f>Input!A10998</f>
        <v/>
      </c>
      <c r="B10998">
        <f>IF(ISNUMBER(Input!B10998),IF(AND(Input!B10998&gt;=20,Input!B10998&lt;=700),Input!B10998,""),"")</f>
        <v/>
      </c>
      <c r="C10998">
        <f>IF(B10998="","",INT(A10998))</f>
        <v/>
      </c>
      <c r="D10998">
        <f>IF(B10998="","",HOUR(A10998))</f>
        <v/>
      </c>
    </row>
    <row r="10999">
      <c r="A10999">
        <f>Input!A10999</f>
        <v/>
      </c>
      <c r="B10999">
        <f>IF(ISNUMBER(Input!B10999),IF(AND(Input!B10999&gt;=20,Input!B10999&lt;=700),Input!B10999,""),"")</f>
        <v/>
      </c>
      <c r="C10999">
        <f>IF(B10999="","",INT(A10999))</f>
        <v/>
      </c>
      <c r="D10999">
        <f>IF(B10999="","",HOUR(A10999))</f>
        <v/>
      </c>
    </row>
    <row r="11000">
      <c r="A11000">
        <f>Input!A11000</f>
        <v/>
      </c>
      <c r="B11000">
        <f>IF(ISNUMBER(Input!B11000),IF(AND(Input!B11000&gt;=20,Input!B11000&lt;=700),Input!B11000,""),"")</f>
        <v/>
      </c>
      <c r="C11000">
        <f>IF(B11000="","",INT(A11000))</f>
        <v/>
      </c>
      <c r="D11000">
        <f>IF(B11000="","",HOUR(A11000))</f>
        <v/>
      </c>
    </row>
    <row r="11001">
      <c r="A11001">
        <f>Input!A11001</f>
        <v/>
      </c>
      <c r="B11001">
        <f>IF(ISNUMBER(Input!B11001),IF(AND(Input!B11001&gt;=20,Input!B11001&lt;=700),Input!B11001,""),"")</f>
        <v/>
      </c>
      <c r="C11001">
        <f>IF(B11001="","",INT(A11001))</f>
        <v/>
      </c>
      <c r="D11001">
        <f>IF(B11001="","",HOUR(A11001))</f>
        <v/>
      </c>
    </row>
    <row r="11002">
      <c r="A11002">
        <f>Input!A11002</f>
        <v/>
      </c>
      <c r="B11002">
        <f>IF(ISNUMBER(Input!B11002),IF(AND(Input!B11002&gt;=20,Input!B11002&lt;=700),Input!B11002,""),"")</f>
        <v/>
      </c>
      <c r="C11002">
        <f>IF(B11002="","",INT(A11002))</f>
        <v/>
      </c>
      <c r="D11002">
        <f>IF(B11002="","",HOUR(A11002))</f>
        <v/>
      </c>
    </row>
    <row r="11003">
      <c r="A11003">
        <f>Input!A11003</f>
        <v/>
      </c>
      <c r="B11003">
        <f>IF(ISNUMBER(Input!B11003),IF(AND(Input!B11003&gt;=20,Input!B11003&lt;=700),Input!B11003,""),"")</f>
        <v/>
      </c>
      <c r="C11003">
        <f>IF(B11003="","",INT(A11003))</f>
        <v/>
      </c>
      <c r="D11003">
        <f>IF(B11003="","",HOUR(A11003))</f>
        <v/>
      </c>
    </row>
    <row r="11004">
      <c r="A11004">
        <f>Input!A11004</f>
        <v/>
      </c>
      <c r="B11004">
        <f>IF(ISNUMBER(Input!B11004),IF(AND(Input!B11004&gt;=20,Input!B11004&lt;=700),Input!B11004,""),"")</f>
        <v/>
      </c>
      <c r="C11004">
        <f>IF(B11004="","",INT(A11004))</f>
        <v/>
      </c>
      <c r="D11004">
        <f>IF(B11004="","",HOUR(A11004))</f>
        <v/>
      </c>
    </row>
    <row r="11005">
      <c r="A11005">
        <f>Input!A11005</f>
        <v/>
      </c>
      <c r="B11005">
        <f>IF(ISNUMBER(Input!B11005),IF(AND(Input!B11005&gt;=20,Input!B11005&lt;=700),Input!B11005,""),"")</f>
        <v/>
      </c>
      <c r="C11005">
        <f>IF(B11005="","",INT(A11005))</f>
        <v/>
      </c>
      <c r="D11005">
        <f>IF(B11005="","",HOUR(A11005))</f>
        <v/>
      </c>
    </row>
    <row r="11006">
      <c r="A11006">
        <f>Input!A11006</f>
        <v/>
      </c>
      <c r="B11006">
        <f>IF(ISNUMBER(Input!B11006),IF(AND(Input!B11006&gt;=20,Input!B11006&lt;=700),Input!B11006,""),"")</f>
        <v/>
      </c>
      <c r="C11006">
        <f>IF(B11006="","",INT(A11006))</f>
        <v/>
      </c>
      <c r="D11006">
        <f>IF(B11006="","",HOUR(A11006))</f>
        <v/>
      </c>
    </row>
    <row r="11007">
      <c r="A11007">
        <f>Input!A11007</f>
        <v/>
      </c>
      <c r="B11007">
        <f>IF(ISNUMBER(Input!B11007),IF(AND(Input!B11007&gt;=20,Input!B11007&lt;=700),Input!B11007,""),"")</f>
        <v/>
      </c>
      <c r="C11007">
        <f>IF(B11007="","",INT(A11007))</f>
        <v/>
      </c>
      <c r="D11007">
        <f>IF(B11007="","",HOUR(A11007))</f>
        <v/>
      </c>
    </row>
    <row r="11008">
      <c r="A11008">
        <f>Input!A11008</f>
        <v/>
      </c>
      <c r="B11008">
        <f>IF(ISNUMBER(Input!B11008),IF(AND(Input!B11008&gt;=20,Input!B11008&lt;=700),Input!B11008,""),"")</f>
        <v/>
      </c>
      <c r="C11008">
        <f>IF(B11008="","",INT(A11008))</f>
        <v/>
      </c>
      <c r="D11008">
        <f>IF(B11008="","",HOUR(A11008))</f>
        <v/>
      </c>
    </row>
    <row r="11009">
      <c r="A11009">
        <f>Input!A11009</f>
        <v/>
      </c>
      <c r="B11009">
        <f>IF(ISNUMBER(Input!B11009),IF(AND(Input!B11009&gt;=20,Input!B11009&lt;=700),Input!B11009,""),"")</f>
        <v/>
      </c>
      <c r="C11009">
        <f>IF(B11009="","",INT(A11009))</f>
        <v/>
      </c>
      <c r="D11009">
        <f>IF(B11009="","",HOUR(A11009))</f>
        <v/>
      </c>
    </row>
    <row r="11010">
      <c r="A11010">
        <f>Input!A11010</f>
        <v/>
      </c>
      <c r="B11010">
        <f>IF(ISNUMBER(Input!B11010),IF(AND(Input!B11010&gt;=20,Input!B11010&lt;=700),Input!B11010,""),"")</f>
        <v/>
      </c>
      <c r="C11010">
        <f>IF(B11010="","",INT(A11010))</f>
        <v/>
      </c>
      <c r="D11010">
        <f>IF(B11010="","",HOUR(A11010))</f>
        <v/>
      </c>
    </row>
    <row r="11011">
      <c r="A11011">
        <f>Input!A11011</f>
        <v/>
      </c>
      <c r="B11011">
        <f>IF(ISNUMBER(Input!B11011),IF(AND(Input!B11011&gt;=20,Input!B11011&lt;=700),Input!B11011,""),"")</f>
        <v/>
      </c>
      <c r="C11011">
        <f>IF(B11011="","",INT(A11011))</f>
        <v/>
      </c>
      <c r="D11011">
        <f>IF(B11011="","",HOUR(A11011))</f>
        <v/>
      </c>
    </row>
    <row r="11012">
      <c r="A11012">
        <f>Input!A11012</f>
        <v/>
      </c>
      <c r="B11012">
        <f>IF(ISNUMBER(Input!B11012),IF(AND(Input!B11012&gt;=20,Input!B11012&lt;=700),Input!B11012,""),"")</f>
        <v/>
      </c>
      <c r="C11012">
        <f>IF(B11012="","",INT(A11012))</f>
        <v/>
      </c>
      <c r="D11012">
        <f>IF(B11012="","",HOUR(A11012))</f>
        <v/>
      </c>
    </row>
    <row r="11013">
      <c r="A11013">
        <f>Input!A11013</f>
        <v/>
      </c>
      <c r="B11013">
        <f>IF(ISNUMBER(Input!B11013),IF(AND(Input!B11013&gt;=20,Input!B11013&lt;=700),Input!B11013,""),"")</f>
        <v/>
      </c>
      <c r="C11013">
        <f>IF(B11013="","",INT(A11013))</f>
        <v/>
      </c>
      <c r="D11013">
        <f>IF(B11013="","",HOUR(A11013))</f>
        <v/>
      </c>
    </row>
    <row r="11014">
      <c r="A11014">
        <f>Input!A11014</f>
        <v/>
      </c>
      <c r="B11014">
        <f>IF(ISNUMBER(Input!B11014),IF(AND(Input!B11014&gt;=20,Input!B11014&lt;=700),Input!B11014,""),"")</f>
        <v/>
      </c>
      <c r="C11014">
        <f>IF(B11014="","",INT(A11014))</f>
        <v/>
      </c>
      <c r="D11014">
        <f>IF(B11014="","",HOUR(A11014))</f>
        <v/>
      </c>
    </row>
    <row r="11015">
      <c r="A11015">
        <f>Input!A11015</f>
        <v/>
      </c>
      <c r="B11015">
        <f>IF(ISNUMBER(Input!B11015),IF(AND(Input!B11015&gt;=20,Input!B11015&lt;=700),Input!B11015,""),"")</f>
        <v/>
      </c>
      <c r="C11015">
        <f>IF(B11015="","",INT(A11015))</f>
        <v/>
      </c>
      <c r="D11015">
        <f>IF(B11015="","",HOUR(A11015))</f>
        <v/>
      </c>
    </row>
    <row r="11016">
      <c r="A11016">
        <f>Input!A11016</f>
        <v/>
      </c>
      <c r="B11016">
        <f>IF(ISNUMBER(Input!B11016),IF(AND(Input!B11016&gt;=20,Input!B11016&lt;=700),Input!B11016,""),"")</f>
        <v/>
      </c>
      <c r="C11016">
        <f>IF(B11016="","",INT(A11016))</f>
        <v/>
      </c>
      <c r="D11016">
        <f>IF(B11016="","",HOUR(A11016))</f>
        <v/>
      </c>
    </row>
    <row r="11017">
      <c r="A11017">
        <f>Input!A11017</f>
        <v/>
      </c>
      <c r="B11017">
        <f>IF(ISNUMBER(Input!B11017),IF(AND(Input!B11017&gt;=20,Input!B11017&lt;=700),Input!B11017,""),"")</f>
        <v/>
      </c>
      <c r="C11017">
        <f>IF(B11017="","",INT(A11017))</f>
        <v/>
      </c>
      <c r="D11017">
        <f>IF(B11017="","",HOUR(A11017))</f>
        <v/>
      </c>
    </row>
    <row r="11018">
      <c r="A11018">
        <f>Input!A11018</f>
        <v/>
      </c>
      <c r="B11018">
        <f>IF(ISNUMBER(Input!B11018),IF(AND(Input!B11018&gt;=20,Input!B11018&lt;=700),Input!B11018,""),"")</f>
        <v/>
      </c>
      <c r="C11018">
        <f>IF(B11018="","",INT(A11018))</f>
        <v/>
      </c>
      <c r="D11018">
        <f>IF(B11018="","",HOUR(A11018))</f>
        <v/>
      </c>
    </row>
    <row r="11019">
      <c r="A11019">
        <f>Input!A11019</f>
        <v/>
      </c>
      <c r="B11019">
        <f>IF(ISNUMBER(Input!B11019),IF(AND(Input!B11019&gt;=20,Input!B11019&lt;=700),Input!B11019,""),"")</f>
        <v/>
      </c>
      <c r="C11019">
        <f>IF(B11019="","",INT(A11019))</f>
        <v/>
      </c>
      <c r="D11019">
        <f>IF(B11019="","",HOUR(A11019))</f>
        <v/>
      </c>
    </row>
    <row r="11020">
      <c r="A11020">
        <f>Input!A11020</f>
        <v/>
      </c>
      <c r="B11020">
        <f>IF(ISNUMBER(Input!B11020),IF(AND(Input!B11020&gt;=20,Input!B11020&lt;=700),Input!B11020,""),"")</f>
        <v/>
      </c>
      <c r="C11020">
        <f>IF(B11020="","",INT(A11020))</f>
        <v/>
      </c>
      <c r="D11020">
        <f>IF(B11020="","",HOUR(A11020))</f>
        <v/>
      </c>
    </row>
    <row r="11021">
      <c r="A11021">
        <f>Input!A11021</f>
        <v/>
      </c>
      <c r="B11021">
        <f>IF(ISNUMBER(Input!B11021),IF(AND(Input!B11021&gt;=20,Input!B11021&lt;=700),Input!B11021,""),"")</f>
        <v/>
      </c>
      <c r="C11021">
        <f>IF(B11021="","",INT(A11021))</f>
        <v/>
      </c>
      <c r="D11021">
        <f>IF(B11021="","",HOUR(A11021))</f>
        <v/>
      </c>
    </row>
    <row r="11022">
      <c r="A11022">
        <f>Input!A11022</f>
        <v/>
      </c>
      <c r="B11022">
        <f>IF(ISNUMBER(Input!B11022),IF(AND(Input!B11022&gt;=20,Input!B11022&lt;=700),Input!B11022,""),"")</f>
        <v/>
      </c>
      <c r="C11022">
        <f>IF(B11022="","",INT(A11022))</f>
        <v/>
      </c>
      <c r="D11022">
        <f>IF(B11022="","",HOUR(A11022))</f>
        <v/>
      </c>
    </row>
    <row r="11023">
      <c r="A11023">
        <f>Input!A11023</f>
        <v/>
      </c>
      <c r="B11023">
        <f>IF(ISNUMBER(Input!B11023),IF(AND(Input!B11023&gt;=20,Input!B11023&lt;=700),Input!B11023,""),"")</f>
        <v/>
      </c>
      <c r="C11023">
        <f>IF(B11023="","",INT(A11023))</f>
        <v/>
      </c>
      <c r="D11023">
        <f>IF(B11023="","",HOUR(A11023))</f>
        <v/>
      </c>
    </row>
    <row r="11024">
      <c r="A11024">
        <f>Input!A11024</f>
        <v/>
      </c>
      <c r="B11024">
        <f>IF(ISNUMBER(Input!B11024),IF(AND(Input!B11024&gt;=20,Input!B11024&lt;=700),Input!B11024,""),"")</f>
        <v/>
      </c>
      <c r="C11024">
        <f>IF(B11024="","",INT(A11024))</f>
        <v/>
      </c>
      <c r="D11024">
        <f>IF(B11024="","",HOUR(A11024))</f>
        <v/>
      </c>
    </row>
    <row r="11025">
      <c r="A11025">
        <f>Input!A11025</f>
        <v/>
      </c>
      <c r="B11025">
        <f>IF(ISNUMBER(Input!B11025),IF(AND(Input!B11025&gt;=20,Input!B11025&lt;=700),Input!B11025,""),"")</f>
        <v/>
      </c>
      <c r="C11025">
        <f>IF(B11025="","",INT(A11025))</f>
        <v/>
      </c>
      <c r="D11025">
        <f>IF(B11025="","",HOUR(A11025))</f>
        <v/>
      </c>
    </row>
    <row r="11026">
      <c r="A11026">
        <f>Input!A11026</f>
        <v/>
      </c>
      <c r="B11026">
        <f>IF(ISNUMBER(Input!B11026),IF(AND(Input!B11026&gt;=20,Input!B11026&lt;=700),Input!B11026,""),"")</f>
        <v/>
      </c>
      <c r="C11026">
        <f>IF(B11026="","",INT(A11026))</f>
        <v/>
      </c>
      <c r="D11026">
        <f>IF(B11026="","",HOUR(A11026))</f>
        <v/>
      </c>
    </row>
    <row r="11027">
      <c r="A11027">
        <f>Input!A11027</f>
        <v/>
      </c>
      <c r="B11027">
        <f>IF(ISNUMBER(Input!B11027),IF(AND(Input!B11027&gt;=20,Input!B11027&lt;=700),Input!B11027,""),"")</f>
        <v/>
      </c>
      <c r="C11027">
        <f>IF(B11027="","",INT(A11027))</f>
        <v/>
      </c>
      <c r="D11027">
        <f>IF(B11027="","",HOUR(A11027))</f>
        <v/>
      </c>
    </row>
    <row r="11028">
      <c r="A11028">
        <f>Input!A11028</f>
        <v/>
      </c>
      <c r="B11028">
        <f>IF(ISNUMBER(Input!B11028),IF(AND(Input!B11028&gt;=20,Input!B11028&lt;=700),Input!B11028,""),"")</f>
        <v/>
      </c>
      <c r="C11028">
        <f>IF(B11028="","",INT(A11028))</f>
        <v/>
      </c>
      <c r="D11028">
        <f>IF(B11028="","",HOUR(A11028))</f>
        <v/>
      </c>
    </row>
    <row r="11029">
      <c r="A11029">
        <f>Input!A11029</f>
        <v/>
      </c>
      <c r="B11029">
        <f>IF(ISNUMBER(Input!B11029),IF(AND(Input!B11029&gt;=20,Input!B11029&lt;=700),Input!B11029,""),"")</f>
        <v/>
      </c>
      <c r="C11029">
        <f>IF(B11029="","",INT(A11029))</f>
        <v/>
      </c>
      <c r="D11029">
        <f>IF(B11029="","",HOUR(A11029))</f>
        <v/>
      </c>
    </row>
    <row r="11030">
      <c r="A11030">
        <f>Input!A11030</f>
        <v/>
      </c>
      <c r="B11030">
        <f>IF(ISNUMBER(Input!B11030),IF(AND(Input!B11030&gt;=20,Input!B11030&lt;=700),Input!B11030,""),"")</f>
        <v/>
      </c>
      <c r="C11030">
        <f>IF(B11030="","",INT(A11030))</f>
        <v/>
      </c>
      <c r="D11030">
        <f>IF(B11030="","",HOUR(A11030))</f>
        <v/>
      </c>
    </row>
    <row r="11031">
      <c r="A11031">
        <f>Input!A11031</f>
        <v/>
      </c>
      <c r="B11031">
        <f>IF(ISNUMBER(Input!B11031),IF(AND(Input!B11031&gt;=20,Input!B11031&lt;=700),Input!B11031,""),"")</f>
        <v/>
      </c>
      <c r="C11031">
        <f>IF(B11031="","",INT(A11031))</f>
        <v/>
      </c>
      <c r="D11031">
        <f>IF(B11031="","",HOUR(A11031))</f>
        <v/>
      </c>
    </row>
    <row r="11032">
      <c r="A11032">
        <f>Input!A11032</f>
        <v/>
      </c>
      <c r="B11032">
        <f>IF(ISNUMBER(Input!B11032),IF(AND(Input!B11032&gt;=20,Input!B11032&lt;=700),Input!B11032,""),"")</f>
        <v/>
      </c>
      <c r="C11032">
        <f>IF(B11032="","",INT(A11032))</f>
        <v/>
      </c>
      <c r="D11032">
        <f>IF(B11032="","",HOUR(A11032))</f>
        <v/>
      </c>
    </row>
    <row r="11033">
      <c r="A11033">
        <f>Input!A11033</f>
        <v/>
      </c>
      <c r="B11033">
        <f>IF(ISNUMBER(Input!B11033),IF(AND(Input!B11033&gt;=20,Input!B11033&lt;=700),Input!B11033,""),"")</f>
        <v/>
      </c>
      <c r="C11033">
        <f>IF(B11033="","",INT(A11033))</f>
        <v/>
      </c>
      <c r="D11033">
        <f>IF(B11033="","",HOUR(A11033))</f>
        <v/>
      </c>
    </row>
    <row r="11034">
      <c r="A11034">
        <f>Input!A11034</f>
        <v/>
      </c>
      <c r="B11034">
        <f>IF(ISNUMBER(Input!B11034),IF(AND(Input!B11034&gt;=20,Input!B11034&lt;=700),Input!B11034,""),"")</f>
        <v/>
      </c>
      <c r="C11034">
        <f>IF(B11034="","",INT(A11034))</f>
        <v/>
      </c>
      <c r="D11034">
        <f>IF(B11034="","",HOUR(A11034))</f>
        <v/>
      </c>
    </row>
    <row r="11035">
      <c r="A11035">
        <f>Input!A11035</f>
        <v/>
      </c>
      <c r="B11035">
        <f>IF(ISNUMBER(Input!B11035),IF(AND(Input!B11035&gt;=20,Input!B11035&lt;=700),Input!B11035,""),"")</f>
        <v/>
      </c>
      <c r="C11035">
        <f>IF(B11035="","",INT(A11035))</f>
        <v/>
      </c>
      <c r="D11035">
        <f>IF(B11035="","",HOUR(A11035))</f>
        <v/>
      </c>
    </row>
    <row r="11036">
      <c r="A11036">
        <f>Input!A11036</f>
        <v/>
      </c>
      <c r="B11036">
        <f>IF(ISNUMBER(Input!B11036),IF(AND(Input!B11036&gt;=20,Input!B11036&lt;=700),Input!B11036,""),"")</f>
        <v/>
      </c>
      <c r="C11036">
        <f>IF(B11036="","",INT(A11036))</f>
        <v/>
      </c>
      <c r="D11036">
        <f>IF(B11036="","",HOUR(A11036))</f>
        <v/>
      </c>
    </row>
    <row r="11037">
      <c r="A11037">
        <f>Input!A11037</f>
        <v/>
      </c>
      <c r="B11037">
        <f>IF(ISNUMBER(Input!B11037),IF(AND(Input!B11037&gt;=20,Input!B11037&lt;=700),Input!B11037,""),"")</f>
        <v/>
      </c>
      <c r="C11037">
        <f>IF(B11037="","",INT(A11037))</f>
        <v/>
      </c>
      <c r="D11037">
        <f>IF(B11037="","",HOUR(A11037))</f>
        <v/>
      </c>
    </row>
    <row r="11038">
      <c r="A11038">
        <f>Input!A11038</f>
        <v/>
      </c>
      <c r="B11038">
        <f>IF(ISNUMBER(Input!B11038),IF(AND(Input!B11038&gt;=20,Input!B11038&lt;=700),Input!B11038,""),"")</f>
        <v/>
      </c>
      <c r="C11038">
        <f>IF(B11038="","",INT(A11038))</f>
        <v/>
      </c>
      <c r="D11038">
        <f>IF(B11038="","",HOUR(A11038))</f>
        <v/>
      </c>
    </row>
    <row r="11039">
      <c r="A11039">
        <f>Input!A11039</f>
        <v/>
      </c>
      <c r="B11039">
        <f>IF(ISNUMBER(Input!B11039),IF(AND(Input!B11039&gt;=20,Input!B11039&lt;=700),Input!B11039,""),"")</f>
        <v/>
      </c>
      <c r="C11039">
        <f>IF(B11039="","",INT(A11039))</f>
        <v/>
      </c>
      <c r="D11039">
        <f>IF(B11039="","",HOUR(A11039))</f>
        <v/>
      </c>
    </row>
    <row r="11040">
      <c r="A11040">
        <f>Input!A11040</f>
        <v/>
      </c>
      <c r="B11040">
        <f>IF(ISNUMBER(Input!B11040),IF(AND(Input!B11040&gt;=20,Input!B11040&lt;=700),Input!B11040,""),"")</f>
        <v/>
      </c>
      <c r="C11040">
        <f>IF(B11040="","",INT(A11040))</f>
        <v/>
      </c>
      <c r="D11040">
        <f>IF(B11040="","",HOUR(A11040))</f>
        <v/>
      </c>
    </row>
    <row r="11041">
      <c r="A11041">
        <f>Input!A11041</f>
        <v/>
      </c>
      <c r="B11041">
        <f>IF(ISNUMBER(Input!B11041),IF(AND(Input!B11041&gt;=20,Input!B11041&lt;=700),Input!B11041,""),"")</f>
        <v/>
      </c>
      <c r="C11041">
        <f>IF(B11041="","",INT(A11041))</f>
        <v/>
      </c>
      <c r="D11041">
        <f>IF(B11041="","",HOUR(A11041))</f>
        <v/>
      </c>
    </row>
    <row r="11042">
      <c r="A11042">
        <f>Input!A11042</f>
        <v/>
      </c>
      <c r="B11042">
        <f>IF(ISNUMBER(Input!B11042),IF(AND(Input!B11042&gt;=20,Input!B11042&lt;=700),Input!B11042,""),"")</f>
        <v/>
      </c>
      <c r="C11042">
        <f>IF(B11042="","",INT(A11042))</f>
        <v/>
      </c>
      <c r="D11042">
        <f>IF(B11042="","",HOUR(A11042))</f>
        <v/>
      </c>
    </row>
    <row r="11043">
      <c r="A11043">
        <f>Input!A11043</f>
        <v/>
      </c>
      <c r="B11043">
        <f>IF(ISNUMBER(Input!B11043),IF(AND(Input!B11043&gt;=20,Input!B11043&lt;=700),Input!B11043,""),"")</f>
        <v/>
      </c>
      <c r="C11043">
        <f>IF(B11043="","",INT(A11043))</f>
        <v/>
      </c>
      <c r="D11043">
        <f>IF(B11043="","",HOUR(A11043))</f>
        <v/>
      </c>
    </row>
    <row r="11044">
      <c r="A11044">
        <f>Input!A11044</f>
        <v/>
      </c>
      <c r="B11044">
        <f>IF(ISNUMBER(Input!B11044),IF(AND(Input!B11044&gt;=20,Input!B11044&lt;=700),Input!B11044,""),"")</f>
        <v/>
      </c>
      <c r="C11044">
        <f>IF(B11044="","",INT(A11044))</f>
        <v/>
      </c>
      <c r="D11044">
        <f>IF(B11044="","",HOUR(A11044))</f>
        <v/>
      </c>
    </row>
    <row r="11045">
      <c r="A11045">
        <f>Input!A11045</f>
        <v/>
      </c>
      <c r="B11045">
        <f>IF(ISNUMBER(Input!B11045),IF(AND(Input!B11045&gt;=20,Input!B11045&lt;=700),Input!B11045,""),"")</f>
        <v/>
      </c>
      <c r="C11045">
        <f>IF(B11045="","",INT(A11045))</f>
        <v/>
      </c>
      <c r="D11045">
        <f>IF(B11045="","",HOUR(A11045))</f>
        <v/>
      </c>
    </row>
    <row r="11046">
      <c r="A11046">
        <f>Input!A11046</f>
        <v/>
      </c>
      <c r="B11046">
        <f>IF(ISNUMBER(Input!B11046),IF(AND(Input!B11046&gt;=20,Input!B11046&lt;=700),Input!B11046,""),"")</f>
        <v/>
      </c>
      <c r="C11046">
        <f>IF(B11046="","",INT(A11046))</f>
        <v/>
      </c>
      <c r="D11046">
        <f>IF(B11046="","",HOUR(A11046))</f>
        <v/>
      </c>
    </row>
    <row r="11047">
      <c r="A11047">
        <f>Input!A11047</f>
        <v/>
      </c>
      <c r="B11047">
        <f>IF(ISNUMBER(Input!B11047),IF(AND(Input!B11047&gt;=20,Input!B11047&lt;=700),Input!B11047,""),"")</f>
        <v/>
      </c>
      <c r="C11047">
        <f>IF(B11047="","",INT(A11047))</f>
        <v/>
      </c>
      <c r="D11047">
        <f>IF(B11047="","",HOUR(A11047))</f>
        <v/>
      </c>
    </row>
    <row r="11048">
      <c r="A11048">
        <f>Input!A11048</f>
        <v/>
      </c>
      <c r="B11048">
        <f>IF(ISNUMBER(Input!B11048),IF(AND(Input!B11048&gt;=20,Input!B11048&lt;=700),Input!B11048,""),"")</f>
        <v/>
      </c>
      <c r="C11048">
        <f>IF(B11048="","",INT(A11048))</f>
        <v/>
      </c>
      <c r="D11048">
        <f>IF(B11048="","",HOUR(A11048))</f>
        <v/>
      </c>
    </row>
    <row r="11049">
      <c r="A11049">
        <f>Input!A11049</f>
        <v/>
      </c>
      <c r="B11049">
        <f>IF(ISNUMBER(Input!B11049),IF(AND(Input!B11049&gt;=20,Input!B11049&lt;=700),Input!B11049,""),"")</f>
        <v/>
      </c>
      <c r="C11049">
        <f>IF(B11049="","",INT(A11049))</f>
        <v/>
      </c>
      <c r="D11049">
        <f>IF(B11049="","",HOUR(A11049))</f>
        <v/>
      </c>
    </row>
    <row r="11050">
      <c r="A11050">
        <f>Input!A11050</f>
        <v/>
      </c>
      <c r="B11050">
        <f>IF(ISNUMBER(Input!B11050),IF(AND(Input!B11050&gt;=20,Input!B11050&lt;=700),Input!B11050,""),"")</f>
        <v/>
      </c>
      <c r="C11050">
        <f>IF(B11050="","",INT(A11050))</f>
        <v/>
      </c>
      <c r="D11050">
        <f>IF(B11050="","",HOUR(A11050))</f>
        <v/>
      </c>
    </row>
    <row r="11051">
      <c r="A11051">
        <f>Input!A11051</f>
        <v/>
      </c>
      <c r="B11051">
        <f>IF(ISNUMBER(Input!B11051),IF(AND(Input!B11051&gt;=20,Input!B11051&lt;=700),Input!B11051,""),"")</f>
        <v/>
      </c>
      <c r="C11051">
        <f>IF(B11051="","",INT(A11051))</f>
        <v/>
      </c>
      <c r="D11051">
        <f>IF(B11051="","",HOUR(A11051))</f>
        <v/>
      </c>
    </row>
    <row r="11052">
      <c r="A11052">
        <f>Input!A11052</f>
        <v/>
      </c>
      <c r="B11052">
        <f>IF(ISNUMBER(Input!B11052),IF(AND(Input!B11052&gt;=20,Input!B11052&lt;=700),Input!B11052,""),"")</f>
        <v/>
      </c>
      <c r="C11052">
        <f>IF(B11052="","",INT(A11052))</f>
        <v/>
      </c>
      <c r="D11052">
        <f>IF(B11052="","",HOUR(A11052))</f>
        <v/>
      </c>
    </row>
    <row r="11053">
      <c r="A11053">
        <f>Input!A11053</f>
        <v/>
      </c>
      <c r="B11053">
        <f>IF(ISNUMBER(Input!B11053),IF(AND(Input!B11053&gt;=20,Input!B11053&lt;=700),Input!B11053,""),"")</f>
        <v/>
      </c>
      <c r="C11053">
        <f>IF(B11053="","",INT(A11053))</f>
        <v/>
      </c>
      <c r="D11053">
        <f>IF(B11053="","",HOUR(A11053))</f>
        <v/>
      </c>
    </row>
    <row r="11054">
      <c r="A11054">
        <f>Input!A11054</f>
        <v/>
      </c>
      <c r="B11054">
        <f>IF(ISNUMBER(Input!B11054),IF(AND(Input!B11054&gt;=20,Input!B11054&lt;=700),Input!B11054,""),"")</f>
        <v/>
      </c>
      <c r="C11054">
        <f>IF(B11054="","",INT(A11054))</f>
        <v/>
      </c>
      <c r="D11054">
        <f>IF(B11054="","",HOUR(A11054))</f>
        <v/>
      </c>
    </row>
    <row r="11055">
      <c r="A11055">
        <f>Input!A11055</f>
        <v/>
      </c>
      <c r="B11055">
        <f>IF(ISNUMBER(Input!B11055),IF(AND(Input!B11055&gt;=20,Input!B11055&lt;=700),Input!B11055,""),"")</f>
        <v/>
      </c>
      <c r="C11055">
        <f>IF(B11055="","",INT(A11055))</f>
        <v/>
      </c>
      <c r="D11055">
        <f>IF(B11055="","",HOUR(A11055))</f>
        <v/>
      </c>
    </row>
    <row r="11056">
      <c r="A11056">
        <f>Input!A11056</f>
        <v/>
      </c>
      <c r="B11056">
        <f>IF(ISNUMBER(Input!B11056),IF(AND(Input!B11056&gt;=20,Input!B11056&lt;=700),Input!B11056,""),"")</f>
        <v/>
      </c>
      <c r="C11056">
        <f>IF(B11056="","",INT(A11056))</f>
        <v/>
      </c>
      <c r="D11056">
        <f>IF(B11056="","",HOUR(A11056))</f>
        <v/>
      </c>
    </row>
    <row r="11057">
      <c r="A11057">
        <f>Input!A11057</f>
        <v/>
      </c>
      <c r="B11057">
        <f>IF(ISNUMBER(Input!B11057),IF(AND(Input!B11057&gt;=20,Input!B11057&lt;=700),Input!B11057,""),"")</f>
        <v/>
      </c>
      <c r="C11057">
        <f>IF(B11057="","",INT(A11057))</f>
        <v/>
      </c>
      <c r="D11057">
        <f>IF(B11057="","",HOUR(A11057))</f>
        <v/>
      </c>
    </row>
    <row r="11058">
      <c r="A11058">
        <f>Input!A11058</f>
        <v/>
      </c>
      <c r="B11058">
        <f>IF(ISNUMBER(Input!B11058),IF(AND(Input!B11058&gt;=20,Input!B11058&lt;=700),Input!B11058,""),"")</f>
        <v/>
      </c>
      <c r="C11058">
        <f>IF(B11058="","",INT(A11058))</f>
        <v/>
      </c>
      <c r="D11058">
        <f>IF(B11058="","",HOUR(A11058))</f>
        <v/>
      </c>
    </row>
    <row r="11059">
      <c r="A11059">
        <f>Input!A11059</f>
        <v/>
      </c>
      <c r="B11059">
        <f>IF(ISNUMBER(Input!B11059),IF(AND(Input!B11059&gt;=20,Input!B11059&lt;=700),Input!B11059,""),"")</f>
        <v/>
      </c>
      <c r="C11059">
        <f>IF(B11059="","",INT(A11059))</f>
        <v/>
      </c>
      <c r="D11059">
        <f>IF(B11059="","",HOUR(A11059))</f>
        <v/>
      </c>
    </row>
    <row r="11060">
      <c r="A11060">
        <f>Input!A11060</f>
        <v/>
      </c>
      <c r="B11060">
        <f>IF(ISNUMBER(Input!B11060),IF(AND(Input!B11060&gt;=20,Input!B11060&lt;=700),Input!B11060,""),"")</f>
        <v/>
      </c>
      <c r="C11060">
        <f>IF(B11060="","",INT(A11060))</f>
        <v/>
      </c>
      <c r="D11060">
        <f>IF(B11060="","",HOUR(A11060))</f>
        <v/>
      </c>
    </row>
    <row r="11061">
      <c r="A11061">
        <f>Input!A11061</f>
        <v/>
      </c>
      <c r="B11061">
        <f>IF(ISNUMBER(Input!B11061),IF(AND(Input!B11061&gt;=20,Input!B11061&lt;=700),Input!B11061,""),"")</f>
        <v/>
      </c>
      <c r="C11061">
        <f>IF(B11061="","",INT(A11061))</f>
        <v/>
      </c>
      <c r="D11061">
        <f>IF(B11061="","",HOUR(A11061))</f>
        <v/>
      </c>
    </row>
    <row r="11062">
      <c r="A11062">
        <f>Input!A11062</f>
        <v/>
      </c>
      <c r="B11062">
        <f>IF(ISNUMBER(Input!B11062),IF(AND(Input!B11062&gt;=20,Input!B11062&lt;=700),Input!B11062,""),"")</f>
        <v/>
      </c>
      <c r="C11062">
        <f>IF(B11062="","",INT(A11062))</f>
        <v/>
      </c>
      <c r="D11062">
        <f>IF(B11062="","",HOUR(A11062))</f>
        <v/>
      </c>
    </row>
    <row r="11063">
      <c r="A11063">
        <f>Input!A11063</f>
        <v/>
      </c>
      <c r="B11063">
        <f>IF(ISNUMBER(Input!B11063),IF(AND(Input!B11063&gt;=20,Input!B11063&lt;=700),Input!B11063,""),"")</f>
        <v/>
      </c>
      <c r="C11063">
        <f>IF(B11063="","",INT(A11063))</f>
        <v/>
      </c>
      <c r="D11063">
        <f>IF(B11063="","",HOUR(A11063))</f>
        <v/>
      </c>
    </row>
    <row r="11064">
      <c r="A11064">
        <f>Input!A11064</f>
        <v/>
      </c>
      <c r="B11064">
        <f>IF(ISNUMBER(Input!B11064),IF(AND(Input!B11064&gt;=20,Input!B11064&lt;=700),Input!B11064,""),"")</f>
        <v/>
      </c>
      <c r="C11064">
        <f>IF(B11064="","",INT(A11064))</f>
        <v/>
      </c>
      <c r="D11064">
        <f>IF(B11064="","",HOUR(A11064))</f>
        <v/>
      </c>
    </row>
    <row r="11065">
      <c r="A11065">
        <f>Input!A11065</f>
        <v/>
      </c>
      <c r="B11065">
        <f>IF(ISNUMBER(Input!B11065),IF(AND(Input!B11065&gt;=20,Input!B11065&lt;=700),Input!B11065,""),"")</f>
        <v/>
      </c>
      <c r="C11065">
        <f>IF(B11065="","",INT(A11065))</f>
        <v/>
      </c>
      <c r="D11065">
        <f>IF(B11065="","",HOUR(A11065))</f>
        <v/>
      </c>
    </row>
    <row r="11066">
      <c r="A11066">
        <f>Input!A11066</f>
        <v/>
      </c>
      <c r="B11066">
        <f>IF(ISNUMBER(Input!B11066),IF(AND(Input!B11066&gt;=20,Input!B11066&lt;=700),Input!B11066,""),"")</f>
        <v/>
      </c>
      <c r="C11066">
        <f>IF(B11066="","",INT(A11066))</f>
        <v/>
      </c>
      <c r="D11066">
        <f>IF(B11066="","",HOUR(A11066))</f>
        <v/>
      </c>
    </row>
    <row r="11067">
      <c r="A11067">
        <f>Input!A11067</f>
        <v/>
      </c>
      <c r="B11067">
        <f>IF(ISNUMBER(Input!B11067),IF(AND(Input!B11067&gt;=20,Input!B11067&lt;=700),Input!B11067,""),"")</f>
        <v/>
      </c>
      <c r="C11067">
        <f>IF(B11067="","",INT(A11067))</f>
        <v/>
      </c>
      <c r="D11067">
        <f>IF(B11067="","",HOUR(A11067))</f>
        <v/>
      </c>
    </row>
    <row r="11068">
      <c r="A11068">
        <f>Input!A11068</f>
        <v/>
      </c>
      <c r="B11068">
        <f>IF(ISNUMBER(Input!B11068),IF(AND(Input!B11068&gt;=20,Input!B11068&lt;=700),Input!B11068,""),"")</f>
        <v/>
      </c>
      <c r="C11068">
        <f>IF(B11068="","",INT(A11068))</f>
        <v/>
      </c>
      <c r="D11068">
        <f>IF(B11068="","",HOUR(A11068))</f>
        <v/>
      </c>
    </row>
    <row r="11069">
      <c r="A11069">
        <f>Input!A11069</f>
        <v/>
      </c>
      <c r="B11069">
        <f>IF(ISNUMBER(Input!B11069),IF(AND(Input!B11069&gt;=20,Input!B11069&lt;=700),Input!B11069,""),"")</f>
        <v/>
      </c>
      <c r="C11069">
        <f>IF(B11069="","",INT(A11069))</f>
        <v/>
      </c>
      <c r="D11069">
        <f>IF(B11069="","",HOUR(A11069))</f>
        <v/>
      </c>
    </row>
    <row r="11070">
      <c r="A11070">
        <f>Input!A11070</f>
        <v/>
      </c>
      <c r="B11070">
        <f>IF(ISNUMBER(Input!B11070),IF(AND(Input!B11070&gt;=20,Input!B11070&lt;=700),Input!B11070,""),"")</f>
        <v/>
      </c>
      <c r="C11070">
        <f>IF(B11070="","",INT(A11070))</f>
        <v/>
      </c>
      <c r="D11070">
        <f>IF(B11070="","",HOUR(A11070))</f>
        <v/>
      </c>
    </row>
    <row r="11071">
      <c r="A11071">
        <f>Input!A11071</f>
        <v/>
      </c>
      <c r="B11071">
        <f>IF(ISNUMBER(Input!B11071),IF(AND(Input!B11071&gt;=20,Input!B11071&lt;=700),Input!B11071,""),"")</f>
        <v/>
      </c>
      <c r="C11071">
        <f>IF(B11071="","",INT(A11071))</f>
        <v/>
      </c>
      <c r="D11071">
        <f>IF(B11071="","",HOUR(A11071))</f>
        <v/>
      </c>
    </row>
    <row r="11072">
      <c r="A11072">
        <f>Input!A11072</f>
        <v/>
      </c>
      <c r="B11072">
        <f>IF(ISNUMBER(Input!B11072),IF(AND(Input!B11072&gt;=20,Input!B11072&lt;=700),Input!B11072,""),"")</f>
        <v/>
      </c>
      <c r="C11072">
        <f>IF(B11072="","",INT(A11072))</f>
        <v/>
      </c>
      <c r="D11072">
        <f>IF(B11072="","",HOUR(A11072))</f>
        <v/>
      </c>
    </row>
    <row r="11073">
      <c r="A11073">
        <f>Input!A11073</f>
        <v/>
      </c>
      <c r="B11073">
        <f>IF(ISNUMBER(Input!B11073),IF(AND(Input!B11073&gt;=20,Input!B11073&lt;=700),Input!B11073,""),"")</f>
        <v/>
      </c>
      <c r="C11073">
        <f>IF(B11073="","",INT(A11073))</f>
        <v/>
      </c>
      <c r="D11073">
        <f>IF(B11073="","",HOUR(A11073))</f>
        <v/>
      </c>
    </row>
    <row r="11074">
      <c r="A11074">
        <f>Input!A11074</f>
        <v/>
      </c>
      <c r="B11074">
        <f>IF(ISNUMBER(Input!B11074),IF(AND(Input!B11074&gt;=20,Input!B11074&lt;=700),Input!B11074,""),"")</f>
        <v/>
      </c>
      <c r="C11074">
        <f>IF(B11074="","",INT(A11074))</f>
        <v/>
      </c>
      <c r="D11074">
        <f>IF(B11074="","",HOUR(A11074))</f>
        <v/>
      </c>
    </row>
    <row r="11075">
      <c r="A11075">
        <f>Input!A11075</f>
        <v/>
      </c>
      <c r="B11075">
        <f>IF(ISNUMBER(Input!B11075),IF(AND(Input!B11075&gt;=20,Input!B11075&lt;=700),Input!B11075,""),"")</f>
        <v/>
      </c>
      <c r="C11075">
        <f>IF(B11075="","",INT(A11075))</f>
        <v/>
      </c>
      <c r="D11075">
        <f>IF(B11075="","",HOUR(A11075))</f>
        <v/>
      </c>
    </row>
    <row r="11076">
      <c r="A11076">
        <f>Input!A11076</f>
        <v/>
      </c>
      <c r="B11076">
        <f>IF(ISNUMBER(Input!B11076),IF(AND(Input!B11076&gt;=20,Input!B11076&lt;=700),Input!B11076,""),"")</f>
        <v/>
      </c>
      <c r="C11076">
        <f>IF(B11076="","",INT(A11076))</f>
        <v/>
      </c>
      <c r="D11076">
        <f>IF(B11076="","",HOUR(A11076))</f>
        <v/>
      </c>
    </row>
    <row r="11077">
      <c r="A11077">
        <f>Input!A11077</f>
        <v/>
      </c>
      <c r="B11077">
        <f>IF(ISNUMBER(Input!B11077),IF(AND(Input!B11077&gt;=20,Input!B11077&lt;=700),Input!B11077,""),"")</f>
        <v/>
      </c>
      <c r="C11077">
        <f>IF(B11077="","",INT(A11077))</f>
        <v/>
      </c>
      <c r="D11077">
        <f>IF(B11077="","",HOUR(A11077))</f>
        <v/>
      </c>
    </row>
    <row r="11078">
      <c r="A11078">
        <f>Input!A11078</f>
        <v/>
      </c>
      <c r="B11078">
        <f>IF(ISNUMBER(Input!B11078),IF(AND(Input!B11078&gt;=20,Input!B11078&lt;=700),Input!B11078,""),"")</f>
        <v/>
      </c>
      <c r="C11078">
        <f>IF(B11078="","",INT(A11078))</f>
        <v/>
      </c>
      <c r="D11078">
        <f>IF(B11078="","",HOUR(A11078))</f>
        <v/>
      </c>
    </row>
    <row r="11079">
      <c r="A11079">
        <f>Input!A11079</f>
        <v/>
      </c>
      <c r="B11079">
        <f>IF(ISNUMBER(Input!B11079),IF(AND(Input!B11079&gt;=20,Input!B11079&lt;=700),Input!B11079,""),"")</f>
        <v/>
      </c>
      <c r="C11079">
        <f>IF(B11079="","",INT(A11079))</f>
        <v/>
      </c>
      <c r="D11079">
        <f>IF(B11079="","",HOUR(A11079))</f>
        <v/>
      </c>
    </row>
    <row r="11080">
      <c r="A11080">
        <f>Input!A11080</f>
        <v/>
      </c>
      <c r="B11080">
        <f>IF(ISNUMBER(Input!B11080),IF(AND(Input!B11080&gt;=20,Input!B11080&lt;=700),Input!B11080,""),"")</f>
        <v/>
      </c>
      <c r="C11080">
        <f>IF(B11080="","",INT(A11080))</f>
        <v/>
      </c>
      <c r="D11080">
        <f>IF(B11080="","",HOUR(A11080))</f>
        <v/>
      </c>
    </row>
    <row r="11081">
      <c r="A11081">
        <f>Input!A11081</f>
        <v/>
      </c>
      <c r="B11081">
        <f>IF(ISNUMBER(Input!B11081),IF(AND(Input!B11081&gt;=20,Input!B11081&lt;=700),Input!B11081,""),"")</f>
        <v/>
      </c>
      <c r="C11081">
        <f>IF(B11081="","",INT(A11081))</f>
        <v/>
      </c>
      <c r="D11081">
        <f>IF(B11081="","",HOUR(A11081))</f>
        <v/>
      </c>
    </row>
    <row r="11082">
      <c r="A11082">
        <f>Input!A11082</f>
        <v/>
      </c>
      <c r="B11082">
        <f>IF(ISNUMBER(Input!B11082),IF(AND(Input!B11082&gt;=20,Input!B11082&lt;=700),Input!B11082,""),"")</f>
        <v/>
      </c>
      <c r="C11082">
        <f>IF(B11082="","",INT(A11082))</f>
        <v/>
      </c>
      <c r="D11082">
        <f>IF(B11082="","",HOUR(A11082))</f>
        <v/>
      </c>
    </row>
    <row r="11083">
      <c r="A11083">
        <f>Input!A11083</f>
        <v/>
      </c>
      <c r="B11083">
        <f>IF(ISNUMBER(Input!B11083),IF(AND(Input!B11083&gt;=20,Input!B11083&lt;=700),Input!B11083,""),"")</f>
        <v/>
      </c>
      <c r="C11083">
        <f>IF(B11083="","",INT(A11083))</f>
        <v/>
      </c>
      <c r="D11083">
        <f>IF(B11083="","",HOUR(A11083))</f>
        <v/>
      </c>
    </row>
    <row r="11084">
      <c r="A11084">
        <f>Input!A11084</f>
        <v/>
      </c>
      <c r="B11084">
        <f>IF(ISNUMBER(Input!B11084),IF(AND(Input!B11084&gt;=20,Input!B11084&lt;=700),Input!B11084,""),"")</f>
        <v/>
      </c>
      <c r="C11084">
        <f>IF(B11084="","",INT(A11084))</f>
        <v/>
      </c>
      <c r="D11084">
        <f>IF(B11084="","",HOUR(A11084))</f>
        <v/>
      </c>
    </row>
    <row r="11085">
      <c r="A11085">
        <f>Input!A11085</f>
        <v/>
      </c>
      <c r="B11085">
        <f>IF(ISNUMBER(Input!B11085),IF(AND(Input!B11085&gt;=20,Input!B11085&lt;=700),Input!B11085,""),"")</f>
        <v/>
      </c>
      <c r="C11085">
        <f>IF(B11085="","",INT(A11085))</f>
        <v/>
      </c>
      <c r="D11085">
        <f>IF(B11085="","",HOUR(A11085))</f>
        <v/>
      </c>
    </row>
    <row r="11086">
      <c r="A11086">
        <f>Input!A11086</f>
        <v/>
      </c>
      <c r="B11086">
        <f>IF(ISNUMBER(Input!B11086),IF(AND(Input!B11086&gt;=20,Input!B11086&lt;=700),Input!B11086,""),"")</f>
        <v/>
      </c>
      <c r="C11086">
        <f>IF(B11086="","",INT(A11086))</f>
        <v/>
      </c>
      <c r="D11086">
        <f>IF(B11086="","",HOUR(A11086))</f>
        <v/>
      </c>
    </row>
    <row r="11087">
      <c r="A11087">
        <f>Input!A11087</f>
        <v/>
      </c>
      <c r="B11087">
        <f>IF(ISNUMBER(Input!B11087),IF(AND(Input!B11087&gt;=20,Input!B11087&lt;=700),Input!B11087,""),"")</f>
        <v/>
      </c>
      <c r="C11087">
        <f>IF(B11087="","",INT(A11087))</f>
        <v/>
      </c>
      <c r="D11087">
        <f>IF(B11087="","",HOUR(A11087))</f>
        <v/>
      </c>
    </row>
    <row r="11088">
      <c r="A11088">
        <f>Input!A11088</f>
        <v/>
      </c>
      <c r="B11088">
        <f>IF(ISNUMBER(Input!B11088),IF(AND(Input!B11088&gt;=20,Input!B11088&lt;=700),Input!B11088,""),"")</f>
        <v/>
      </c>
      <c r="C11088">
        <f>IF(B11088="","",INT(A11088))</f>
        <v/>
      </c>
      <c r="D11088">
        <f>IF(B11088="","",HOUR(A11088))</f>
        <v/>
      </c>
    </row>
    <row r="11089">
      <c r="A11089">
        <f>Input!A11089</f>
        <v/>
      </c>
      <c r="B11089">
        <f>IF(ISNUMBER(Input!B11089),IF(AND(Input!B11089&gt;=20,Input!B11089&lt;=700),Input!B11089,""),"")</f>
        <v/>
      </c>
      <c r="C11089">
        <f>IF(B11089="","",INT(A11089))</f>
        <v/>
      </c>
      <c r="D11089">
        <f>IF(B11089="","",HOUR(A11089))</f>
        <v/>
      </c>
    </row>
    <row r="11090">
      <c r="A11090">
        <f>Input!A11090</f>
        <v/>
      </c>
      <c r="B11090">
        <f>IF(ISNUMBER(Input!B11090),IF(AND(Input!B11090&gt;=20,Input!B11090&lt;=700),Input!B11090,""),"")</f>
        <v/>
      </c>
      <c r="C11090">
        <f>IF(B11090="","",INT(A11090))</f>
        <v/>
      </c>
      <c r="D11090">
        <f>IF(B11090="","",HOUR(A11090))</f>
        <v/>
      </c>
    </row>
    <row r="11091">
      <c r="A11091">
        <f>Input!A11091</f>
        <v/>
      </c>
      <c r="B11091">
        <f>IF(ISNUMBER(Input!B11091),IF(AND(Input!B11091&gt;=20,Input!B11091&lt;=700),Input!B11091,""),"")</f>
        <v/>
      </c>
      <c r="C11091">
        <f>IF(B11091="","",INT(A11091))</f>
        <v/>
      </c>
      <c r="D11091">
        <f>IF(B11091="","",HOUR(A11091))</f>
        <v/>
      </c>
    </row>
    <row r="11092">
      <c r="A11092">
        <f>Input!A11092</f>
        <v/>
      </c>
      <c r="B11092">
        <f>IF(ISNUMBER(Input!B11092),IF(AND(Input!B11092&gt;=20,Input!B11092&lt;=700),Input!B11092,""),"")</f>
        <v/>
      </c>
      <c r="C11092">
        <f>IF(B11092="","",INT(A11092))</f>
        <v/>
      </c>
      <c r="D11092">
        <f>IF(B11092="","",HOUR(A11092))</f>
        <v/>
      </c>
    </row>
    <row r="11093">
      <c r="A11093">
        <f>Input!A11093</f>
        <v/>
      </c>
      <c r="B11093">
        <f>IF(ISNUMBER(Input!B11093),IF(AND(Input!B11093&gt;=20,Input!B11093&lt;=700),Input!B11093,""),"")</f>
        <v/>
      </c>
      <c r="C11093">
        <f>IF(B11093="","",INT(A11093))</f>
        <v/>
      </c>
      <c r="D11093">
        <f>IF(B11093="","",HOUR(A11093))</f>
        <v/>
      </c>
    </row>
    <row r="11094">
      <c r="A11094">
        <f>Input!A11094</f>
        <v/>
      </c>
      <c r="B11094">
        <f>IF(ISNUMBER(Input!B11094),IF(AND(Input!B11094&gt;=20,Input!B11094&lt;=700),Input!B11094,""),"")</f>
        <v/>
      </c>
      <c r="C11094">
        <f>IF(B11094="","",INT(A11094))</f>
        <v/>
      </c>
      <c r="D11094">
        <f>IF(B11094="","",HOUR(A11094))</f>
        <v/>
      </c>
    </row>
    <row r="11095">
      <c r="A11095">
        <f>Input!A11095</f>
        <v/>
      </c>
      <c r="B11095">
        <f>IF(ISNUMBER(Input!B11095),IF(AND(Input!B11095&gt;=20,Input!B11095&lt;=700),Input!B11095,""),"")</f>
        <v/>
      </c>
      <c r="C11095">
        <f>IF(B11095="","",INT(A11095))</f>
        <v/>
      </c>
      <c r="D11095">
        <f>IF(B11095="","",HOUR(A11095))</f>
        <v/>
      </c>
    </row>
    <row r="11096">
      <c r="A11096">
        <f>Input!A11096</f>
        <v/>
      </c>
      <c r="B11096">
        <f>IF(ISNUMBER(Input!B11096),IF(AND(Input!B11096&gt;=20,Input!B11096&lt;=700),Input!B11096,""),"")</f>
        <v/>
      </c>
      <c r="C11096">
        <f>IF(B11096="","",INT(A11096))</f>
        <v/>
      </c>
      <c r="D11096">
        <f>IF(B11096="","",HOUR(A11096))</f>
        <v/>
      </c>
    </row>
    <row r="11097">
      <c r="A11097">
        <f>Input!A11097</f>
        <v/>
      </c>
      <c r="B11097">
        <f>IF(ISNUMBER(Input!B11097),IF(AND(Input!B11097&gt;=20,Input!B11097&lt;=700),Input!B11097,""),"")</f>
        <v/>
      </c>
      <c r="C11097">
        <f>IF(B11097="","",INT(A11097))</f>
        <v/>
      </c>
      <c r="D11097">
        <f>IF(B11097="","",HOUR(A11097))</f>
        <v/>
      </c>
    </row>
    <row r="11098">
      <c r="A11098">
        <f>Input!A11098</f>
        <v/>
      </c>
      <c r="B11098">
        <f>IF(ISNUMBER(Input!B11098),IF(AND(Input!B11098&gt;=20,Input!B11098&lt;=700),Input!B11098,""),"")</f>
        <v/>
      </c>
      <c r="C11098">
        <f>IF(B11098="","",INT(A11098))</f>
        <v/>
      </c>
      <c r="D11098">
        <f>IF(B11098="","",HOUR(A11098))</f>
        <v/>
      </c>
    </row>
    <row r="11099">
      <c r="A11099">
        <f>Input!A11099</f>
        <v/>
      </c>
      <c r="B11099">
        <f>IF(ISNUMBER(Input!B11099),IF(AND(Input!B11099&gt;=20,Input!B11099&lt;=700),Input!B11099,""),"")</f>
        <v/>
      </c>
      <c r="C11099">
        <f>IF(B11099="","",INT(A11099))</f>
        <v/>
      </c>
      <c r="D11099">
        <f>IF(B11099="","",HOUR(A11099))</f>
        <v/>
      </c>
    </row>
    <row r="11100">
      <c r="A11100">
        <f>Input!A11100</f>
        <v/>
      </c>
      <c r="B11100">
        <f>IF(ISNUMBER(Input!B11100),IF(AND(Input!B11100&gt;=20,Input!B11100&lt;=700),Input!B11100,""),"")</f>
        <v/>
      </c>
      <c r="C11100">
        <f>IF(B11100="","",INT(A11100))</f>
        <v/>
      </c>
      <c r="D11100">
        <f>IF(B11100="","",HOUR(A11100))</f>
        <v/>
      </c>
    </row>
    <row r="11101">
      <c r="A11101">
        <f>Input!A11101</f>
        <v/>
      </c>
      <c r="B11101">
        <f>IF(ISNUMBER(Input!B11101),IF(AND(Input!B11101&gt;=20,Input!B11101&lt;=700),Input!B11101,""),"")</f>
        <v/>
      </c>
      <c r="C11101">
        <f>IF(B11101="","",INT(A11101))</f>
        <v/>
      </c>
      <c r="D11101">
        <f>IF(B11101="","",HOUR(A11101))</f>
        <v/>
      </c>
    </row>
    <row r="11102">
      <c r="A11102">
        <f>Input!A11102</f>
        <v/>
      </c>
      <c r="B11102">
        <f>IF(ISNUMBER(Input!B11102),IF(AND(Input!B11102&gt;=20,Input!B11102&lt;=700),Input!B11102,""),"")</f>
        <v/>
      </c>
      <c r="C11102">
        <f>IF(B11102="","",INT(A11102))</f>
        <v/>
      </c>
      <c r="D11102">
        <f>IF(B11102="","",HOUR(A11102))</f>
        <v/>
      </c>
    </row>
    <row r="11103">
      <c r="A11103">
        <f>Input!A11103</f>
        <v/>
      </c>
      <c r="B11103">
        <f>IF(ISNUMBER(Input!B11103),IF(AND(Input!B11103&gt;=20,Input!B11103&lt;=700),Input!B11103,""),"")</f>
        <v/>
      </c>
      <c r="C11103">
        <f>IF(B11103="","",INT(A11103))</f>
        <v/>
      </c>
      <c r="D11103">
        <f>IF(B11103="","",HOUR(A11103))</f>
        <v/>
      </c>
    </row>
    <row r="11104">
      <c r="A11104">
        <f>Input!A11104</f>
        <v/>
      </c>
      <c r="B11104">
        <f>IF(ISNUMBER(Input!B11104),IF(AND(Input!B11104&gt;=20,Input!B11104&lt;=700),Input!B11104,""),"")</f>
        <v/>
      </c>
      <c r="C11104">
        <f>IF(B11104="","",INT(A11104))</f>
        <v/>
      </c>
      <c r="D11104">
        <f>IF(B11104="","",HOUR(A11104))</f>
        <v/>
      </c>
    </row>
    <row r="11105">
      <c r="A11105">
        <f>Input!A11105</f>
        <v/>
      </c>
      <c r="B11105">
        <f>IF(ISNUMBER(Input!B11105),IF(AND(Input!B11105&gt;=20,Input!B11105&lt;=700),Input!B11105,""),"")</f>
        <v/>
      </c>
      <c r="C11105">
        <f>IF(B11105="","",INT(A11105))</f>
        <v/>
      </c>
      <c r="D11105">
        <f>IF(B11105="","",HOUR(A11105))</f>
        <v/>
      </c>
    </row>
    <row r="11106">
      <c r="A11106">
        <f>Input!A11106</f>
        <v/>
      </c>
      <c r="B11106">
        <f>IF(ISNUMBER(Input!B11106),IF(AND(Input!B11106&gt;=20,Input!B11106&lt;=700),Input!B11106,""),"")</f>
        <v/>
      </c>
      <c r="C11106">
        <f>IF(B11106="","",INT(A11106))</f>
        <v/>
      </c>
      <c r="D11106">
        <f>IF(B11106="","",HOUR(A11106))</f>
        <v/>
      </c>
    </row>
    <row r="11107">
      <c r="A11107">
        <f>Input!A11107</f>
        <v/>
      </c>
      <c r="B11107">
        <f>IF(ISNUMBER(Input!B11107),IF(AND(Input!B11107&gt;=20,Input!B11107&lt;=700),Input!B11107,""),"")</f>
        <v/>
      </c>
      <c r="C11107">
        <f>IF(B11107="","",INT(A11107))</f>
        <v/>
      </c>
      <c r="D11107">
        <f>IF(B11107="","",HOUR(A11107))</f>
        <v/>
      </c>
    </row>
    <row r="11108">
      <c r="A11108">
        <f>Input!A11108</f>
        <v/>
      </c>
      <c r="B11108">
        <f>IF(ISNUMBER(Input!B11108),IF(AND(Input!B11108&gt;=20,Input!B11108&lt;=700),Input!B11108,""),"")</f>
        <v/>
      </c>
      <c r="C11108">
        <f>IF(B11108="","",INT(A11108))</f>
        <v/>
      </c>
      <c r="D11108">
        <f>IF(B11108="","",HOUR(A11108))</f>
        <v/>
      </c>
    </row>
    <row r="11109">
      <c r="A11109">
        <f>Input!A11109</f>
        <v/>
      </c>
      <c r="B11109">
        <f>IF(ISNUMBER(Input!B11109),IF(AND(Input!B11109&gt;=20,Input!B11109&lt;=700),Input!B11109,""),"")</f>
        <v/>
      </c>
      <c r="C11109">
        <f>IF(B11109="","",INT(A11109))</f>
        <v/>
      </c>
      <c r="D11109">
        <f>IF(B11109="","",HOUR(A11109))</f>
        <v/>
      </c>
    </row>
    <row r="11110">
      <c r="A11110">
        <f>Input!A11110</f>
        <v/>
      </c>
      <c r="B11110">
        <f>IF(ISNUMBER(Input!B11110),IF(AND(Input!B11110&gt;=20,Input!B11110&lt;=700),Input!B11110,""),"")</f>
        <v/>
      </c>
      <c r="C11110">
        <f>IF(B11110="","",INT(A11110))</f>
        <v/>
      </c>
      <c r="D11110">
        <f>IF(B11110="","",HOUR(A11110))</f>
        <v/>
      </c>
    </row>
    <row r="11111">
      <c r="A11111">
        <f>Input!A11111</f>
        <v/>
      </c>
      <c r="B11111">
        <f>IF(ISNUMBER(Input!B11111),IF(AND(Input!B11111&gt;=20,Input!B11111&lt;=700),Input!B11111,""),"")</f>
        <v/>
      </c>
      <c r="C11111">
        <f>IF(B11111="","",INT(A11111))</f>
        <v/>
      </c>
      <c r="D11111">
        <f>IF(B11111="","",HOUR(A11111))</f>
        <v/>
      </c>
    </row>
    <row r="11112">
      <c r="A11112">
        <f>Input!A11112</f>
        <v/>
      </c>
      <c r="B11112">
        <f>IF(ISNUMBER(Input!B11112),IF(AND(Input!B11112&gt;=20,Input!B11112&lt;=700),Input!B11112,""),"")</f>
        <v/>
      </c>
      <c r="C11112">
        <f>IF(B11112="","",INT(A11112))</f>
        <v/>
      </c>
      <c r="D11112">
        <f>IF(B11112="","",HOUR(A11112))</f>
        <v/>
      </c>
    </row>
    <row r="11113">
      <c r="A11113">
        <f>Input!A11113</f>
        <v/>
      </c>
      <c r="B11113">
        <f>IF(ISNUMBER(Input!B11113),IF(AND(Input!B11113&gt;=20,Input!B11113&lt;=700),Input!B11113,""),"")</f>
        <v/>
      </c>
      <c r="C11113">
        <f>IF(B11113="","",INT(A11113))</f>
        <v/>
      </c>
      <c r="D11113">
        <f>IF(B11113="","",HOUR(A11113))</f>
        <v/>
      </c>
    </row>
    <row r="11114">
      <c r="A11114">
        <f>Input!A11114</f>
        <v/>
      </c>
      <c r="B11114">
        <f>IF(ISNUMBER(Input!B11114),IF(AND(Input!B11114&gt;=20,Input!B11114&lt;=700),Input!B11114,""),"")</f>
        <v/>
      </c>
      <c r="C11114">
        <f>IF(B11114="","",INT(A11114))</f>
        <v/>
      </c>
      <c r="D11114">
        <f>IF(B11114="","",HOUR(A11114))</f>
        <v/>
      </c>
    </row>
    <row r="11115">
      <c r="A11115">
        <f>Input!A11115</f>
        <v/>
      </c>
      <c r="B11115">
        <f>IF(ISNUMBER(Input!B11115),IF(AND(Input!B11115&gt;=20,Input!B11115&lt;=700),Input!B11115,""),"")</f>
        <v/>
      </c>
      <c r="C11115">
        <f>IF(B11115="","",INT(A11115))</f>
        <v/>
      </c>
      <c r="D11115">
        <f>IF(B11115="","",HOUR(A11115))</f>
        <v/>
      </c>
    </row>
    <row r="11116">
      <c r="A11116">
        <f>Input!A11116</f>
        <v/>
      </c>
      <c r="B11116">
        <f>IF(ISNUMBER(Input!B11116),IF(AND(Input!B11116&gt;=20,Input!B11116&lt;=700),Input!B11116,""),"")</f>
        <v/>
      </c>
      <c r="C11116">
        <f>IF(B11116="","",INT(A11116))</f>
        <v/>
      </c>
      <c r="D11116">
        <f>IF(B11116="","",HOUR(A11116))</f>
        <v/>
      </c>
    </row>
    <row r="11117">
      <c r="A11117">
        <f>Input!A11117</f>
        <v/>
      </c>
      <c r="B11117">
        <f>IF(ISNUMBER(Input!B11117),IF(AND(Input!B11117&gt;=20,Input!B11117&lt;=700),Input!B11117,""),"")</f>
        <v/>
      </c>
      <c r="C11117">
        <f>IF(B11117="","",INT(A11117))</f>
        <v/>
      </c>
      <c r="D11117">
        <f>IF(B11117="","",HOUR(A11117))</f>
        <v/>
      </c>
    </row>
    <row r="11118">
      <c r="A11118">
        <f>Input!A11118</f>
        <v/>
      </c>
      <c r="B11118">
        <f>IF(ISNUMBER(Input!B11118),IF(AND(Input!B11118&gt;=20,Input!B11118&lt;=700),Input!B11118,""),"")</f>
        <v/>
      </c>
      <c r="C11118">
        <f>IF(B11118="","",INT(A11118))</f>
        <v/>
      </c>
      <c r="D11118">
        <f>IF(B11118="","",HOUR(A11118))</f>
        <v/>
      </c>
    </row>
    <row r="11119">
      <c r="A11119">
        <f>Input!A11119</f>
        <v/>
      </c>
      <c r="B11119">
        <f>IF(ISNUMBER(Input!B11119),IF(AND(Input!B11119&gt;=20,Input!B11119&lt;=700),Input!B11119,""),"")</f>
        <v/>
      </c>
      <c r="C11119">
        <f>IF(B11119="","",INT(A11119))</f>
        <v/>
      </c>
      <c r="D11119">
        <f>IF(B11119="","",HOUR(A11119))</f>
        <v/>
      </c>
    </row>
    <row r="11120">
      <c r="A11120">
        <f>Input!A11120</f>
        <v/>
      </c>
      <c r="B11120">
        <f>IF(ISNUMBER(Input!B11120),IF(AND(Input!B11120&gt;=20,Input!B11120&lt;=700),Input!B11120,""),"")</f>
        <v/>
      </c>
      <c r="C11120">
        <f>IF(B11120="","",INT(A11120))</f>
        <v/>
      </c>
      <c r="D11120">
        <f>IF(B11120="","",HOUR(A11120))</f>
        <v/>
      </c>
    </row>
    <row r="11121">
      <c r="A11121">
        <f>Input!A11121</f>
        <v/>
      </c>
      <c r="B11121">
        <f>IF(ISNUMBER(Input!B11121),IF(AND(Input!B11121&gt;=20,Input!B11121&lt;=700),Input!B11121,""),"")</f>
        <v/>
      </c>
      <c r="C11121">
        <f>IF(B11121="","",INT(A11121))</f>
        <v/>
      </c>
      <c r="D11121">
        <f>IF(B11121="","",HOUR(A11121))</f>
        <v/>
      </c>
    </row>
    <row r="11122">
      <c r="A11122">
        <f>Input!A11122</f>
        <v/>
      </c>
      <c r="B11122">
        <f>IF(ISNUMBER(Input!B11122),IF(AND(Input!B11122&gt;=20,Input!B11122&lt;=700),Input!B11122,""),"")</f>
        <v/>
      </c>
      <c r="C11122">
        <f>IF(B11122="","",INT(A11122))</f>
        <v/>
      </c>
      <c r="D11122">
        <f>IF(B11122="","",HOUR(A11122))</f>
        <v/>
      </c>
    </row>
    <row r="11123">
      <c r="A11123">
        <f>Input!A11123</f>
        <v/>
      </c>
      <c r="B11123">
        <f>IF(ISNUMBER(Input!B11123),IF(AND(Input!B11123&gt;=20,Input!B11123&lt;=700),Input!B11123,""),"")</f>
        <v/>
      </c>
      <c r="C11123">
        <f>IF(B11123="","",INT(A11123))</f>
        <v/>
      </c>
      <c r="D11123">
        <f>IF(B11123="","",HOUR(A11123))</f>
        <v/>
      </c>
    </row>
    <row r="11124">
      <c r="A11124">
        <f>Input!A11124</f>
        <v/>
      </c>
      <c r="B11124">
        <f>IF(ISNUMBER(Input!B11124),IF(AND(Input!B11124&gt;=20,Input!B11124&lt;=700),Input!B11124,""),"")</f>
        <v/>
      </c>
      <c r="C11124">
        <f>IF(B11124="","",INT(A11124))</f>
        <v/>
      </c>
      <c r="D11124">
        <f>IF(B11124="","",HOUR(A11124))</f>
        <v/>
      </c>
    </row>
    <row r="11125">
      <c r="A11125">
        <f>Input!A11125</f>
        <v/>
      </c>
      <c r="B11125">
        <f>IF(ISNUMBER(Input!B11125),IF(AND(Input!B11125&gt;=20,Input!B11125&lt;=700),Input!B11125,""),"")</f>
        <v/>
      </c>
      <c r="C11125">
        <f>IF(B11125="","",INT(A11125))</f>
        <v/>
      </c>
      <c r="D11125">
        <f>IF(B11125="","",HOUR(A11125))</f>
        <v/>
      </c>
    </row>
    <row r="11126">
      <c r="A11126">
        <f>Input!A11126</f>
        <v/>
      </c>
      <c r="B11126">
        <f>IF(ISNUMBER(Input!B11126),IF(AND(Input!B11126&gt;=20,Input!B11126&lt;=700),Input!B11126,""),"")</f>
        <v/>
      </c>
      <c r="C11126">
        <f>IF(B11126="","",INT(A11126))</f>
        <v/>
      </c>
      <c r="D11126">
        <f>IF(B11126="","",HOUR(A11126))</f>
        <v/>
      </c>
    </row>
    <row r="11127">
      <c r="A11127">
        <f>Input!A11127</f>
        <v/>
      </c>
      <c r="B11127">
        <f>IF(ISNUMBER(Input!B11127),IF(AND(Input!B11127&gt;=20,Input!B11127&lt;=700),Input!B11127,""),"")</f>
        <v/>
      </c>
      <c r="C11127">
        <f>IF(B11127="","",INT(A11127))</f>
        <v/>
      </c>
      <c r="D11127">
        <f>IF(B11127="","",HOUR(A11127))</f>
        <v/>
      </c>
    </row>
    <row r="11128">
      <c r="A11128">
        <f>Input!A11128</f>
        <v/>
      </c>
      <c r="B11128">
        <f>IF(ISNUMBER(Input!B11128),IF(AND(Input!B11128&gt;=20,Input!B11128&lt;=700),Input!B11128,""),"")</f>
        <v/>
      </c>
      <c r="C11128">
        <f>IF(B11128="","",INT(A11128))</f>
        <v/>
      </c>
      <c r="D11128">
        <f>IF(B11128="","",HOUR(A11128))</f>
        <v/>
      </c>
    </row>
    <row r="11129">
      <c r="A11129">
        <f>Input!A11129</f>
        <v/>
      </c>
      <c r="B11129">
        <f>IF(ISNUMBER(Input!B11129),IF(AND(Input!B11129&gt;=20,Input!B11129&lt;=700),Input!B11129,""),"")</f>
        <v/>
      </c>
      <c r="C11129">
        <f>IF(B11129="","",INT(A11129))</f>
        <v/>
      </c>
      <c r="D11129">
        <f>IF(B11129="","",HOUR(A11129))</f>
        <v/>
      </c>
    </row>
    <row r="11130">
      <c r="A11130">
        <f>Input!A11130</f>
        <v/>
      </c>
      <c r="B11130">
        <f>IF(ISNUMBER(Input!B11130),IF(AND(Input!B11130&gt;=20,Input!B11130&lt;=700),Input!B11130,""),"")</f>
        <v/>
      </c>
      <c r="C11130">
        <f>IF(B11130="","",INT(A11130))</f>
        <v/>
      </c>
      <c r="D11130">
        <f>IF(B11130="","",HOUR(A11130))</f>
        <v/>
      </c>
    </row>
    <row r="11131">
      <c r="A11131">
        <f>Input!A11131</f>
        <v/>
      </c>
      <c r="B11131">
        <f>IF(ISNUMBER(Input!B11131),IF(AND(Input!B11131&gt;=20,Input!B11131&lt;=700),Input!B11131,""),"")</f>
        <v/>
      </c>
      <c r="C11131">
        <f>IF(B11131="","",INT(A11131))</f>
        <v/>
      </c>
      <c r="D11131">
        <f>IF(B11131="","",HOUR(A11131))</f>
        <v/>
      </c>
    </row>
    <row r="11132">
      <c r="A11132">
        <f>Input!A11132</f>
        <v/>
      </c>
      <c r="B11132">
        <f>IF(ISNUMBER(Input!B11132),IF(AND(Input!B11132&gt;=20,Input!B11132&lt;=700),Input!B11132,""),"")</f>
        <v/>
      </c>
      <c r="C11132">
        <f>IF(B11132="","",INT(A11132))</f>
        <v/>
      </c>
      <c r="D11132">
        <f>IF(B11132="","",HOUR(A11132))</f>
        <v/>
      </c>
    </row>
    <row r="11133">
      <c r="A11133">
        <f>Input!A11133</f>
        <v/>
      </c>
      <c r="B11133">
        <f>IF(ISNUMBER(Input!B11133),IF(AND(Input!B11133&gt;=20,Input!B11133&lt;=700),Input!B11133,""),"")</f>
        <v/>
      </c>
      <c r="C11133">
        <f>IF(B11133="","",INT(A11133))</f>
        <v/>
      </c>
      <c r="D11133">
        <f>IF(B11133="","",HOUR(A11133))</f>
        <v/>
      </c>
    </row>
    <row r="11134">
      <c r="A11134">
        <f>Input!A11134</f>
        <v/>
      </c>
      <c r="B11134">
        <f>IF(ISNUMBER(Input!B11134),IF(AND(Input!B11134&gt;=20,Input!B11134&lt;=700),Input!B11134,""),"")</f>
        <v/>
      </c>
      <c r="C11134">
        <f>IF(B11134="","",INT(A11134))</f>
        <v/>
      </c>
      <c r="D11134">
        <f>IF(B11134="","",HOUR(A11134))</f>
        <v/>
      </c>
    </row>
    <row r="11135">
      <c r="A11135">
        <f>Input!A11135</f>
        <v/>
      </c>
      <c r="B11135">
        <f>IF(ISNUMBER(Input!B11135),IF(AND(Input!B11135&gt;=20,Input!B11135&lt;=700),Input!B11135,""),"")</f>
        <v/>
      </c>
      <c r="C11135">
        <f>IF(B11135="","",INT(A11135))</f>
        <v/>
      </c>
      <c r="D11135">
        <f>IF(B11135="","",HOUR(A11135))</f>
        <v/>
      </c>
    </row>
    <row r="11136">
      <c r="A11136">
        <f>Input!A11136</f>
        <v/>
      </c>
      <c r="B11136">
        <f>IF(ISNUMBER(Input!B11136),IF(AND(Input!B11136&gt;=20,Input!B11136&lt;=700),Input!B11136,""),"")</f>
        <v/>
      </c>
      <c r="C11136">
        <f>IF(B11136="","",INT(A11136))</f>
        <v/>
      </c>
      <c r="D11136">
        <f>IF(B11136="","",HOUR(A11136))</f>
        <v/>
      </c>
    </row>
    <row r="11137">
      <c r="A11137">
        <f>Input!A11137</f>
        <v/>
      </c>
      <c r="B11137">
        <f>IF(ISNUMBER(Input!B11137),IF(AND(Input!B11137&gt;=20,Input!B11137&lt;=700),Input!B11137,""),"")</f>
        <v/>
      </c>
      <c r="C11137">
        <f>IF(B11137="","",INT(A11137))</f>
        <v/>
      </c>
      <c r="D11137">
        <f>IF(B11137="","",HOUR(A11137))</f>
        <v/>
      </c>
    </row>
    <row r="11138">
      <c r="A11138">
        <f>Input!A11138</f>
        <v/>
      </c>
      <c r="B11138">
        <f>IF(ISNUMBER(Input!B11138),IF(AND(Input!B11138&gt;=20,Input!B11138&lt;=700),Input!B11138,""),"")</f>
        <v/>
      </c>
      <c r="C11138">
        <f>IF(B11138="","",INT(A11138))</f>
        <v/>
      </c>
      <c r="D11138">
        <f>IF(B11138="","",HOUR(A11138))</f>
        <v/>
      </c>
    </row>
    <row r="11139">
      <c r="A11139">
        <f>Input!A11139</f>
        <v/>
      </c>
      <c r="B11139">
        <f>IF(ISNUMBER(Input!B11139),IF(AND(Input!B11139&gt;=20,Input!B11139&lt;=700),Input!B11139,""),"")</f>
        <v/>
      </c>
      <c r="C11139">
        <f>IF(B11139="","",INT(A11139))</f>
        <v/>
      </c>
      <c r="D11139">
        <f>IF(B11139="","",HOUR(A11139))</f>
        <v/>
      </c>
    </row>
    <row r="11140">
      <c r="A11140">
        <f>Input!A11140</f>
        <v/>
      </c>
      <c r="B11140">
        <f>IF(ISNUMBER(Input!B11140),IF(AND(Input!B11140&gt;=20,Input!B11140&lt;=700),Input!B11140,""),"")</f>
        <v/>
      </c>
      <c r="C11140">
        <f>IF(B11140="","",INT(A11140))</f>
        <v/>
      </c>
      <c r="D11140">
        <f>IF(B11140="","",HOUR(A11140))</f>
        <v/>
      </c>
    </row>
    <row r="11141">
      <c r="A11141">
        <f>Input!A11141</f>
        <v/>
      </c>
      <c r="B11141">
        <f>IF(ISNUMBER(Input!B11141),IF(AND(Input!B11141&gt;=20,Input!B11141&lt;=700),Input!B11141,""),"")</f>
        <v/>
      </c>
      <c r="C11141">
        <f>IF(B11141="","",INT(A11141))</f>
        <v/>
      </c>
      <c r="D11141">
        <f>IF(B11141="","",HOUR(A11141))</f>
        <v/>
      </c>
    </row>
    <row r="11142">
      <c r="A11142">
        <f>Input!A11142</f>
        <v/>
      </c>
      <c r="B11142">
        <f>IF(ISNUMBER(Input!B11142),IF(AND(Input!B11142&gt;=20,Input!B11142&lt;=700),Input!B11142,""),"")</f>
        <v/>
      </c>
      <c r="C11142">
        <f>IF(B11142="","",INT(A11142))</f>
        <v/>
      </c>
      <c r="D11142">
        <f>IF(B11142="","",HOUR(A11142))</f>
        <v/>
      </c>
    </row>
    <row r="11143">
      <c r="A11143">
        <f>Input!A11143</f>
        <v/>
      </c>
      <c r="B11143">
        <f>IF(ISNUMBER(Input!B11143),IF(AND(Input!B11143&gt;=20,Input!B11143&lt;=700),Input!B11143,""),"")</f>
        <v/>
      </c>
      <c r="C11143">
        <f>IF(B11143="","",INT(A11143))</f>
        <v/>
      </c>
      <c r="D11143">
        <f>IF(B11143="","",HOUR(A11143))</f>
        <v/>
      </c>
    </row>
    <row r="11144">
      <c r="A11144">
        <f>Input!A11144</f>
        <v/>
      </c>
      <c r="B11144">
        <f>IF(ISNUMBER(Input!B11144),IF(AND(Input!B11144&gt;=20,Input!B11144&lt;=700),Input!B11144,""),"")</f>
        <v/>
      </c>
      <c r="C11144">
        <f>IF(B11144="","",INT(A11144))</f>
        <v/>
      </c>
      <c r="D11144">
        <f>IF(B11144="","",HOUR(A11144))</f>
        <v/>
      </c>
    </row>
    <row r="11145">
      <c r="A11145">
        <f>Input!A11145</f>
        <v/>
      </c>
      <c r="B11145">
        <f>IF(ISNUMBER(Input!B11145),IF(AND(Input!B11145&gt;=20,Input!B11145&lt;=700),Input!B11145,""),"")</f>
        <v/>
      </c>
      <c r="C11145">
        <f>IF(B11145="","",INT(A11145))</f>
        <v/>
      </c>
      <c r="D11145">
        <f>IF(B11145="","",HOUR(A11145))</f>
        <v/>
      </c>
    </row>
    <row r="11146">
      <c r="A11146">
        <f>Input!A11146</f>
        <v/>
      </c>
      <c r="B11146">
        <f>IF(ISNUMBER(Input!B11146),IF(AND(Input!B11146&gt;=20,Input!B11146&lt;=700),Input!B11146,""),"")</f>
        <v/>
      </c>
      <c r="C11146">
        <f>IF(B11146="","",INT(A11146))</f>
        <v/>
      </c>
      <c r="D11146">
        <f>IF(B11146="","",HOUR(A11146))</f>
        <v/>
      </c>
    </row>
    <row r="11147">
      <c r="A11147">
        <f>Input!A11147</f>
        <v/>
      </c>
      <c r="B11147">
        <f>IF(ISNUMBER(Input!B11147),IF(AND(Input!B11147&gt;=20,Input!B11147&lt;=700),Input!B11147,""),"")</f>
        <v/>
      </c>
      <c r="C11147">
        <f>IF(B11147="","",INT(A11147))</f>
        <v/>
      </c>
      <c r="D11147">
        <f>IF(B11147="","",HOUR(A11147))</f>
        <v/>
      </c>
    </row>
    <row r="11148">
      <c r="A11148">
        <f>Input!A11148</f>
        <v/>
      </c>
      <c r="B11148">
        <f>IF(ISNUMBER(Input!B11148),IF(AND(Input!B11148&gt;=20,Input!B11148&lt;=700),Input!B11148,""),"")</f>
        <v/>
      </c>
      <c r="C11148">
        <f>IF(B11148="","",INT(A11148))</f>
        <v/>
      </c>
      <c r="D11148">
        <f>IF(B11148="","",HOUR(A11148))</f>
        <v/>
      </c>
    </row>
    <row r="11149">
      <c r="A11149">
        <f>Input!A11149</f>
        <v/>
      </c>
      <c r="B11149">
        <f>IF(ISNUMBER(Input!B11149),IF(AND(Input!B11149&gt;=20,Input!B11149&lt;=700),Input!B11149,""),"")</f>
        <v/>
      </c>
      <c r="C11149">
        <f>IF(B11149="","",INT(A11149))</f>
        <v/>
      </c>
      <c r="D11149">
        <f>IF(B11149="","",HOUR(A11149))</f>
        <v/>
      </c>
    </row>
    <row r="11150">
      <c r="A11150">
        <f>Input!A11150</f>
        <v/>
      </c>
      <c r="B11150">
        <f>IF(ISNUMBER(Input!B11150),IF(AND(Input!B11150&gt;=20,Input!B11150&lt;=700),Input!B11150,""),"")</f>
        <v/>
      </c>
      <c r="C11150">
        <f>IF(B11150="","",INT(A11150))</f>
        <v/>
      </c>
      <c r="D11150">
        <f>IF(B11150="","",HOUR(A11150))</f>
        <v/>
      </c>
    </row>
    <row r="11151">
      <c r="A11151">
        <f>Input!A11151</f>
        <v/>
      </c>
      <c r="B11151">
        <f>IF(ISNUMBER(Input!B11151),IF(AND(Input!B11151&gt;=20,Input!B11151&lt;=700),Input!B11151,""),"")</f>
        <v/>
      </c>
      <c r="C11151">
        <f>IF(B11151="","",INT(A11151))</f>
        <v/>
      </c>
      <c r="D11151">
        <f>IF(B11151="","",HOUR(A11151))</f>
        <v/>
      </c>
    </row>
    <row r="11152">
      <c r="A11152">
        <f>Input!A11152</f>
        <v/>
      </c>
      <c r="B11152">
        <f>IF(ISNUMBER(Input!B11152),IF(AND(Input!B11152&gt;=20,Input!B11152&lt;=700),Input!B11152,""),"")</f>
        <v/>
      </c>
      <c r="C11152">
        <f>IF(B11152="","",INT(A11152))</f>
        <v/>
      </c>
      <c r="D11152">
        <f>IF(B11152="","",HOUR(A11152))</f>
        <v/>
      </c>
    </row>
    <row r="11153">
      <c r="A11153">
        <f>Input!A11153</f>
        <v/>
      </c>
      <c r="B11153">
        <f>IF(ISNUMBER(Input!B11153),IF(AND(Input!B11153&gt;=20,Input!B11153&lt;=700),Input!B11153,""),"")</f>
        <v/>
      </c>
      <c r="C11153">
        <f>IF(B11153="","",INT(A11153))</f>
        <v/>
      </c>
      <c r="D11153">
        <f>IF(B11153="","",HOUR(A11153))</f>
        <v/>
      </c>
    </row>
    <row r="11154">
      <c r="A11154">
        <f>Input!A11154</f>
        <v/>
      </c>
      <c r="B11154">
        <f>IF(ISNUMBER(Input!B11154),IF(AND(Input!B11154&gt;=20,Input!B11154&lt;=700),Input!B11154,""),"")</f>
        <v/>
      </c>
      <c r="C11154">
        <f>IF(B11154="","",INT(A11154))</f>
        <v/>
      </c>
      <c r="D11154">
        <f>IF(B11154="","",HOUR(A11154))</f>
        <v/>
      </c>
    </row>
    <row r="11155">
      <c r="A11155">
        <f>Input!A11155</f>
        <v/>
      </c>
      <c r="B11155">
        <f>IF(ISNUMBER(Input!B11155),IF(AND(Input!B11155&gt;=20,Input!B11155&lt;=700),Input!B11155,""),"")</f>
        <v/>
      </c>
      <c r="C11155">
        <f>IF(B11155="","",INT(A11155))</f>
        <v/>
      </c>
      <c r="D11155">
        <f>IF(B11155="","",HOUR(A11155))</f>
        <v/>
      </c>
    </row>
    <row r="11156">
      <c r="A11156">
        <f>Input!A11156</f>
        <v/>
      </c>
      <c r="B11156">
        <f>IF(ISNUMBER(Input!B11156),IF(AND(Input!B11156&gt;=20,Input!B11156&lt;=700),Input!B11156,""),"")</f>
        <v/>
      </c>
      <c r="C11156">
        <f>IF(B11156="","",INT(A11156))</f>
        <v/>
      </c>
      <c r="D11156">
        <f>IF(B11156="","",HOUR(A11156))</f>
        <v/>
      </c>
    </row>
    <row r="11157">
      <c r="A11157">
        <f>Input!A11157</f>
        <v/>
      </c>
      <c r="B11157">
        <f>IF(ISNUMBER(Input!B11157),IF(AND(Input!B11157&gt;=20,Input!B11157&lt;=700),Input!B11157,""),"")</f>
        <v/>
      </c>
      <c r="C11157">
        <f>IF(B11157="","",INT(A11157))</f>
        <v/>
      </c>
      <c r="D11157">
        <f>IF(B11157="","",HOUR(A11157))</f>
        <v/>
      </c>
    </row>
    <row r="11158">
      <c r="A11158">
        <f>Input!A11158</f>
        <v/>
      </c>
      <c r="B11158">
        <f>IF(ISNUMBER(Input!B11158),IF(AND(Input!B11158&gt;=20,Input!B11158&lt;=700),Input!B11158,""),"")</f>
        <v/>
      </c>
      <c r="C11158">
        <f>IF(B11158="","",INT(A11158))</f>
        <v/>
      </c>
      <c r="D11158">
        <f>IF(B11158="","",HOUR(A11158))</f>
        <v/>
      </c>
    </row>
    <row r="11159">
      <c r="A11159">
        <f>Input!A11159</f>
        <v/>
      </c>
      <c r="B11159">
        <f>IF(ISNUMBER(Input!B11159),IF(AND(Input!B11159&gt;=20,Input!B11159&lt;=700),Input!B11159,""),"")</f>
        <v/>
      </c>
      <c r="C11159">
        <f>IF(B11159="","",INT(A11159))</f>
        <v/>
      </c>
      <c r="D11159">
        <f>IF(B11159="","",HOUR(A11159))</f>
        <v/>
      </c>
    </row>
    <row r="11160">
      <c r="A11160">
        <f>Input!A11160</f>
        <v/>
      </c>
      <c r="B11160">
        <f>IF(ISNUMBER(Input!B11160),IF(AND(Input!B11160&gt;=20,Input!B11160&lt;=700),Input!B11160,""),"")</f>
        <v/>
      </c>
      <c r="C11160">
        <f>IF(B11160="","",INT(A11160))</f>
        <v/>
      </c>
      <c r="D11160">
        <f>IF(B11160="","",HOUR(A11160))</f>
        <v/>
      </c>
    </row>
    <row r="11161">
      <c r="A11161">
        <f>Input!A11161</f>
        <v/>
      </c>
      <c r="B11161">
        <f>IF(ISNUMBER(Input!B11161),IF(AND(Input!B11161&gt;=20,Input!B11161&lt;=700),Input!B11161,""),"")</f>
        <v/>
      </c>
      <c r="C11161">
        <f>IF(B11161="","",INT(A11161))</f>
        <v/>
      </c>
      <c r="D11161">
        <f>IF(B11161="","",HOUR(A11161))</f>
        <v/>
      </c>
    </row>
    <row r="11162">
      <c r="A11162">
        <f>Input!A11162</f>
        <v/>
      </c>
      <c r="B11162">
        <f>IF(ISNUMBER(Input!B11162),IF(AND(Input!B11162&gt;=20,Input!B11162&lt;=700),Input!B11162,""),"")</f>
        <v/>
      </c>
      <c r="C11162">
        <f>IF(B11162="","",INT(A11162))</f>
        <v/>
      </c>
      <c r="D11162">
        <f>IF(B11162="","",HOUR(A11162))</f>
        <v/>
      </c>
    </row>
    <row r="11163">
      <c r="A11163">
        <f>Input!A11163</f>
        <v/>
      </c>
      <c r="B11163">
        <f>IF(ISNUMBER(Input!B11163),IF(AND(Input!B11163&gt;=20,Input!B11163&lt;=700),Input!B11163,""),"")</f>
        <v/>
      </c>
      <c r="C11163">
        <f>IF(B11163="","",INT(A11163))</f>
        <v/>
      </c>
      <c r="D11163">
        <f>IF(B11163="","",HOUR(A11163))</f>
        <v/>
      </c>
    </row>
    <row r="11164">
      <c r="A11164">
        <f>Input!A11164</f>
        <v/>
      </c>
      <c r="B11164">
        <f>IF(ISNUMBER(Input!B11164),IF(AND(Input!B11164&gt;=20,Input!B11164&lt;=700),Input!B11164,""),"")</f>
        <v/>
      </c>
      <c r="C11164">
        <f>IF(B11164="","",INT(A11164))</f>
        <v/>
      </c>
      <c r="D11164">
        <f>IF(B11164="","",HOUR(A11164))</f>
        <v/>
      </c>
    </row>
    <row r="11165">
      <c r="A11165">
        <f>Input!A11165</f>
        <v/>
      </c>
      <c r="B11165">
        <f>IF(ISNUMBER(Input!B11165),IF(AND(Input!B11165&gt;=20,Input!B11165&lt;=700),Input!B11165,""),"")</f>
        <v/>
      </c>
      <c r="C11165">
        <f>IF(B11165="","",INT(A11165))</f>
        <v/>
      </c>
      <c r="D11165">
        <f>IF(B11165="","",HOUR(A11165))</f>
        <v/>
      </c>
    </row>
    <row r="11166">
      <c r="A11166">
        <f>Input!A11166</f>
        <v/>
      </c>
      <c r="B11166">
        <f>IF(ISNUMBER(Input!B11166),IF(AND(Input!B11166&gt;=20,Input!B11166&lt;=700),Input!B11166,""),"")</f>
        <v/>
      </c>
      <c r="C11166">
        <f>IF(B11166="","",INT(A11166))</f>
        <v/>
      </c>
      <c r="D11166">
        <f>IF(B11166="","",HOUR(A11166))</f>
        <v/>
      </c>
    </row>
    <row r="11167">
      <c r="A11167">
        <f>Input!A11167</f>
        <v/>
      </c>
      <c r="B11167">
        <f>IF(ISNUMBER(Input!B11167),IF(AND(Input!B11167&gt;=20,Input!B11167&lt;=700),Input!B11167,""),"")</f>
        <v/>
      </c>
      <c r="C11167">
        <f>IF(B11167="","",INT(A11167))</f>
        <v/>
      </c>
      <c r="D11167">
        <f>IF(B11167="","",HOUR(A11167))</f>
        <v/>
      </c>
    </row>
    <row r="11168">
      <c r="A11168">
        <f>Input!A11168</f>
        <v/>
      </c>
      <c r="B11168">
        <f>IF(ISNUMBER(Input!B11168),IF(AND(Input!B11168&gt;=20,Input!B11168&lt;=700),Input!B11168,""),"")</f>
        <v/>
      </c>
      <c r="C11168">
        <f>IF(B11168="","",INT(A11168))</f>
        <v/>
      </c>
      <c r="D11168">
        <f>IF(B11168="","",HOUR(A11168))</f>
        <v/>
      </c>
    </row>
    <row r="11169">
      <c r="A11169">
        <f>Input!A11169</f>
        <v/>
      </c>
      <c r="B11169">
        <f>IF(ISNUMBER(Input!B11169),IF(AND(Input!B11169&gt;=20,Input!B11169&lt;=700),Input!B11169,""),"")</f>
        <v/>
      </c>
      <c r="C11169">
        <f>IF(B11169="","",INT(A11169))</f>
        <v/>
      </c>
      <c r="D11169">
        <f>IF(B11169="","",HOUR(A11169))</f>
        <v/>
      </c>
    </row>
    <row r="11170">
      <c r="A11170">
        <f>Input!A11170</f>
        <v/>
      </c>
      <c r="B11170">
        <f>IF(ISNUMBER(Input!B11170),IF(AND(Input!B11170&gt;=20,Input!B11170&lt;=700),Input!B11170,""),"")</f>
        <v/>
      </c>
      <c r="C11170">
        <f>IF(B11170="","",INT(A11170))</f>
        <v/>
      </c>
      <c r="D11170">
        <f>IF(B11170="","",HOUR(A11170))</f>
        <v/>
      </c>
    </row>
    <row r="11171">
      <c r="A11171">
        <f>Input!A11171</f>
        <v/>
      </c>
      <c r="B11171">
        <f>IF(ISNUMBER(Input!B11171),IF(AND(Input!B11171&gt;=20,Input!B11171&lt;=700),Input!B11171,""),"")</f>
        <v/>
      </c>
      <c r="C11171">
        <f>IF(B11171="","",INT(A11171))</f>
        <v/>
      </c>
      <c r="D11171">
        <f>IF(B11171="","",HOUR(A11171))</f>
        <v/>
      </c>
    </row>
    <row r="11172">
      <c r="A11172">
        <f>Input!A11172</f>
        <v/>
      </c>
      <c r="B11172">
        <f>IF(ISNUMBER(Input!B11172),IF(AND(Input!B11172&gt;=20,Input!B11172&lt;=700),Input!B11172,""),"")</f>
        <v/>
      </c>
      <c r="C11172">
        <f>IF(B11172="","",INT(A11172))</f>
        <v/>
      </c>
      <c r="D11172">
        <f>IF(B11172="","",HOUR(A11172))</f>
        <v/>
      </c>
    </row>
    <row r="11173">
      <c r="A11173">
        <f>Input!A11173</f>
        <v/>
      </c>
      <c r="B11173">
        <f>IF(ISNUMBER(Input!B11173),IF(AND(Input!B11173&gt;=20,Input!B11173&lt;=700),Input!B11173,""),"")</f>
        <v/>
      </c>
      <c r="C11173">
        <f>IF(B11173="","",INT(A11173))</f>
        <v/>
      </c>
      <c r="D11173">
        <f>IF(B11173="","",HOUR(A11173))</f>
        <v/>
      </c>
    </row>
    <row r="11174">
      <c r="A11174">
        <f>Input!A11174</f>
        <v/>
      </c>
      <c r="B11174">
        <f>IF(ISNUMBER(Input!B11174),IF(AND(Input!B11174&gt;=20,Input!B11174&lt;=700),Input!B11174,""),"")</f>
        <v/>
      </c>
      <c r="C11174">
        <f>IF(B11174="","",INT(A11174))</f>
        <v/>
      </c>
      <c r="D11174">
        <f>IF(B11174="","",HOUR(A11174))</f>
        <v/>
      </c>
    </row>
    <row r="11175">
      <c r="A11175">
        <f>Input!A11175</f>
        <v/>
      </c>
      <c r="B11175">
        <f>IF(ISNUMBER(Input!B11175),IF(AND(Input!B11175&gt;=20,Input!B11175&lt;=700),Input!B11175,""),"")</f>
        <v/>
      </c>
      <c r="C11175">
        <f>IF(B11175="","",INT(A11175))</f>
        <v/>
      </c>
      <c r="D11175">
        <f>IF(B11175="","",HOUR(A11175))</f>
        <v/>
      </c>
    </row>
    <row r="11176">
      <c r="A11176">
        <f>Input!A11176</f>
        <v/>
      </c>
      <c r="B11176">
        <f>IF(ISNUMBER(Input!B11176),IF(AND(Input!B11176&gt;=20,Input!B11176&lt;=700),Input!B11176,""),"")</f>
        <v/>
      </c>
      <c r="C11176">
        <f>IF(B11176="","",INT(A11176))</f>
        <v/>
      </c>
      <c r="D11176">
        <f>IF(B11176="","",HOUR(A11176))</f>
        <v/>
      </c>
    </row>
    <row r="11177">
      <c r="A11177">
        <f>Input!A11177</f>
        <v/>
      </c>
      <c r="B11177">
        <f>IF(ISNUMBER(Input!B11177),IF(AND(Input!B11177&gt;=20,Input!B11177&lt;=700),Input!B11177,""),"")</f>
        <v/>
      </c>
      <c r="C11177">
        <f>IF(B11177="","",INT(A11177))</f>
        <v/>
      </c>
      <c r="D11177">
        <f>IF(B11177="","",HOUR(A11177))</f>
        <v/>
      </c>
    </row>
    <row r="11178">
      <c r="A11178">
        <f>Input!A11178</f>
        <v/>
      </c>
      <c r="B11178">
        <f>IF(ISNUMBER(Input!B11178),IF(AND(Input!B11178&gt;=20,Input!B11178&lt;=700),Input!B11178,""),"")</f>
        <v/>
      </c>
      <c r="C11178">
        <f>IF(B11178="","",INT(A11178))</f>
        <v/>
      </c>
      <c r="D11178">
        <f>IF(B11178="","",HOUR(A11178))</f>
        <v/>
      </c>
    </row>
    <row r="11179">
      <c r="A11179">
        <f>Input!A11179</f>
        <v/>
      </c>
      <c r="B11179">
        <f>IF(ISNUMBER(Input!B11179),IF(AND(Input!B11179&gt;=20,Input!B11179&lt;=700),Input!B11179,""),"")</f>
        <v/>
      </c>
      <c r="C11179">
        <f>IF(B11179="","",INT(A11179))</f>
        <v/>
      </c>
      <c r="D11179">
        <f>IF(B11179="","",HOUR(A11179))</f>
        <v/>
      </c>
    </row>
    <row r="11180">
      <c r="A11180">
        <f>Input!A11180</f>
        <v/>
      </c>
      <c r="B11180">
        <f>IF(ISNUMBER(Input!B11180),IF(AND(Input!B11180&gt;=20,Input!B11180&lt;=700),Input!B11180,""),"")</f>
        <v/>
      </c>
      <c r="C11180">
        <f>IF(B11180="","",INT(A11180))</f>
        <v/>
      </c>
      <c r="D11180">
        <f>IF(B11180="","",HOUR(A11180))</f>
        <v/>
      </c>
    </row>
    <row r="11181">
      <c r="A11181">
        <f>Input!A11181</f>
        <v/>
      </c>
      <c r="B11181">
        <f>IF(ISNUMBER(Input!B11181),IF(AND(Input!B11181&gt;=20,Input!B11181&lt;=700),Input!B11181,""),"")</f>
        <v/>
      </c>
      <c r="C11181">
        <f>IF(B11181="","",INT(A11181))</f>
        <v/>
      </c>
      <c r="D11181">
        <f>IF(B11181="","",HOUR(A11181))</f>
        <v/>
      </c>
    </row>
    <row r="11182">
      <c r="A11182">
        <f>Input!A11182</f>
        <v/>
      </c>
      <c r="B11182">
        <f>IF(ISNUMBER(Input!B11182),IF(AND(Input!B11182&gt;=20,Input!B11182&lt;=700),Input!B11182,""),"")</f>
        <v/>
      </c>
      <c r="C11182">
        <f>IF(B11182="","",INT(A11182))</f>
        <v/>
      </c>
      <c r="D11182">
        <f>IF(B11182="","",HOUR(A11182))</f>
        <v/>
      </c>
    </row>
    <row r="11183">
      <c r="A11183">
        <f>Input!A11183</f>
        <v/>
      </c>
      <c r="B11183">
        <f>IF(ISNUMBER(Input!B11183),IF(AND(Input!B11183&gt;=20,Input!B11183&lt;=700),Input!B11183,""),"")</f>
        <v/>
      </c>
      <c r="C11183">
        <f>IF(B11183="","",INT(A11183))</f>
        <v/>
      </c>
      <c r="D11183">
        <f>IF(B11183="","",HOUR(A11183))</f>
        <v/>
      </c>
    </row>
    <row r="11184">
      <c r="A11184">
        <f>Input!A11184</f>
        <v/>
      </c>
      <c r="B11184">
        <f>IF(ISNUMBER(Input!B11184),IF(AND(Input!B11184&gt;=20,Input!B11184&lt;=700),Input!B11184,""),"")</f>
        <v/>
      </c>
      <c r="C11184">
        <f>IF(B11184="","",INT(A11184))</f>
        <v/>
      </c>
      <c r="D11184">
        <f>IF(B11184="","",HOUR(A11184))</f>
        <v/>
      </c>
    </row>
    <row r="11185">
      <c r="A11185">
        <f>Input!A11185</f>
        <v/>
      </c>
      <c r="B11185">
        <f>IF(ISNUMBER(Input!B11185),IF(AND(Input!B11185&gt;=20,Input!B11185&lt;=700),Input!B11185,""),"")</f>
        <v/>
      </c>
      <c r="C11185">
        <f>IF(B11185="","",INT(A11185))</f>
        <v/>
      </c>
      <c r="D11185">
        <f>IF(B11185="","",HOUR(A11185))</f>
        <v/>
      </c>
    </row>
    <row r="11186">
      <c r="A11186">
        <f>Input!A11186</f>
        <v/>
      </c>
      <c r="B11186">
        <f>IF(ISNUMBER(Input!B11186),IF(AND(Input!B11186&gt;=20,Input!B11186&lt;=700),Input!B11186,""),"")</f>
        <v/>
      </c>
      <c r="C11186">
        <f>IF(B11186="","",INT(A11186))</f>
        <v/>
      </c>
      <c r="D11186">
        <f>IF(B11186="","",HOUR(A11186))</f>
        <v/>
      </c>
    </row>
    <row r="11187">
      <c r="A11187">
        <f>Input!A11187</f>
        <v/>
      </c>
      <c r="B11187">
        <f>IF(ISNUMBER(Input!B11187),IF(AND(Input!B11187&gt;=20,Input!B11187&lt;=700),Input!B11187,""),"")</f>
        <v/>
      </c>
      <c r="C11187">
        <f>IF(B11187="","",INT(A11187))</f>
        <v/>
      </c>
      <c r="D11187">
        <f>IF(B11187="","",HOUR(A11187))</f>
        <v/>
      </c>
    </row>
    <row r="11188">
      <c r="A11188">
        <f>Input!A11188</f>
        <v/>
      </c>
      <c r="B11188">
        <f>IF(ISNUMBER(Input!B11188),IF(AND(Input!B11188&gt;=20,Input!B11188&lt;=700),Input!B11188,""),"")</f>
        <v/>
      </c>
      <c r="C11188">
        <f>IF(B11188="","",INT(A11188))</f>
        <v/>
      </c>
      <c r="D11188">
        <f>IF(B11188="","",HOUR(A11188))</f>
        <v/>
      </c>
    </row>
    <row r="11189">
      <c r="A11189">
        <f>Input!A11189</f>
        <v/>
      </c>
      <c r="B11189">
        <f>IF(ISNUMBER(Input!B11189),IF(AND(Input!B11189&gt;=20,Input!B11189&lt;=700),Input!B11189,""),"")</f>
        <v/>
      </c>
      <c r="C11189">
        <f>IF(B11189="","",INT(A11189))</f>
        <v/>
      </c>
      <c r="D11189">
        <f>IF(B11189="","",HOUR(A11189))</f>
        <v/>
      </c>
    </row>
    <row r="11190">
      <c r="A11190">
        <f>Input!A11190</f>
        <v/>
      </c>
      <c r="B11190">
        <f>IF(ISNUMBER(Input!B11190),IF(AND(Input!B11190&gt;=20,Input!B11190&lt;=700),Input!B11190,""),"")</f>
        <v/>
      </c>
      <c r="C11190">
        <f>IF(B11190="","",INT(A11190))</f>
        <v/>
      </c>
      <c r="D11190">
        <f>IF(B11190="","",HOUR(A11190))</f>
        <v/>
      </c>
    </row>
    <row r="11191">
      <c r="A11191">
        <f>Input!A11191</f>
        <v/>
      </c>
      <c r="B11191">
        <f>IF(ISNUMBER(Input!B11191),IF(AND(Input!B11191&gt;=20,Input!B11191&lt;=700),Input!B11191,""),"")</f>
        <v/>
      </c>
      <c r="C11191">
        <f>IF(B11191="","",INT(A11191))</f>
        <v/>
      </c>
      <c r="D11191">
        <f>IF(B11191="","",HOUR(A11191))</f>
        <v/>
      </c>
    </row>
    <row r="11192">
      <c r="A11192">
        <f>Input!A11192</f>
        <v/>
      </c>
      <c r="B11192">
        <f>IF(ISNUMBER(Input!B11192),IF(AND(Input!B11192&gt;=20,Input!B11192&lt;=700),Input!B11192,""),"")</f>
        <v/>
      </c>
      <c r="C11192">
        <f>IF(B11192="","",INT(A11192))</f>
        <v/>
      </c>
      <c r="D11192">
        <f>IF(B11192="","",HOUR(A11192))</f>
        <v/>
      </c>
    </row>
    <row r="11193">
      <c r="A11193">
        <f>Input!A11193</f>
        <v/>
      </c>
      <c r="B11193">
        <f>IF(ISNUMBER(Input!B11193),IF(AND(Input!B11193&gt;=20,Input!B11193&lt;=700),Input!B11193,""),"")</f>
        <v/>
      </c>
      <c r="C11193">
        <f>IF(B11193="","",INT(A11193))</f>
        <v/>
      </c>
      <c r="D11193">
        <f>IF(B11193="","",HOUR(A11193))</f>
        <v/>
      </c>
    </row>
    <row r="11194">
      <c r="A11194">
        <f>Input!A11194</f>
        <v/>
      </c>
      <c r="B11194">
        <f>IF(ISNUMBER(Input!B11194),IF(AND(Input!B11194&gt;=20,Input!B11194&lt;=700),Input!B11194,""),"")</f>
        <v/>
      </c>
      <c r="C11194">
        <f>IF(B11194="","",INT(A11194))</f>
        <v/>
      </c>
      <c r="D11194">
        <f>IF(B11194="","",HOUR(A11194))</f>
        <v/>
      </c>
    </row>
    <row r="11195">
      <c r="A11195">
        <f>Input!A11195</f>
        <v/>
      </c>
      <c r="B11195">
        <f>IF(ISNUMBER(Input!B11195),IF(AND(Input!B11195&gt;=20,Input!B11195&lt;=700),Input!B11195,""),"")</f>
        <v/>
      </c>
      <c r="C11195">
        <f>IF(B11195="","",INT(A11195))</f>
        <v/>
      </c>
      <c r="D11195">
        <f>IF(B11195="","",HOUR(A11195))</f>
        <v/>
      </c>
    </row>
    <row r="11196">
      <c r="A11196">
        <f>Input!A11196</f>
        <v/>
      </c>
      <c r="B11196">
        <f>IF(ISNUMBER(Input!B11196),IF(AND(Input!B11196&gt;=20,Input!B11196&lt;=700),Input!B11196,""),"")</f>
        <v/>
      </c>
      <c r="C11196">
        <f>IF(B11196="","",INT(A11196))</f>
        <v/>
      </c>
      <c r="D11196">
        <f>IF(B11196="","",HOUR(A11196))</f>
        <v/>
      </c>
    </row>
    <row r="11197">
      <c r="A11197">
        <f>Input!A11197</f>
        <v/>
      </c>
      <c r="B11197">
        <f>IF(ISNUMBER(Input!B11197),IF(AND(Input!B11197&gt;=20,Input!B11197&lt;=700),Input!B11197,""),"")</f>
        <v/>
      </c>
      <c r="C11197">
        <f>IF(B11197="","",INT(A11197))</f>
        <v/>
      </c>
      <c r="D11197">
        <f>IF(B11197="","",HOUR(A11197))</f>
        <v/>
      </c>
    </row>
    <row r="11198">
      <c r="A11198">
        <f>Input!A11198</f>
        <v/>
      </c>
      <c r="B11198">
        <f>IF(ISNUMBER(Input!B11198),IF(AND(Input!B11198&gt;=20,Input!B11198&lt;=700),Input!B11198,""),"")</f>
        <v/>
      </c>
      <c r="C11198">
        <f>IF(B11198="","",INT(A11198))</f>
        <v/>
      </c>
      <c r="D11198">
        <f>IF(B11198="","",HOUR(A11198))</f>
        <v/>
      </c>
    </row>
    <row r="11199">
      <c r="A11199">
        <f>Input!A11199</f>
        <v/>
      </c>
      <c r="B11199">
        <f>IF(ISNUMBER(Input!B11199),IF(AND(Input!B11199&gt;=20,Input!B11199&lt;=700),Input!B11199,""),"")</f>
        <v/>
      </c>
      <c r="C11199">
        <f>IF(B11199="","",INT(A11199))</f>
        <v/>
      </c>
      <c r="D11199">
        <f>IF(B11199="","",HOUR(A11199))</f>
        <v/>
      </c>
    </row>
    <row r="11200">
      <c r="A11200">
        <f>Input!A11200</f>
        <v/>
      </c>
      <c r="B11200">
        <f>IF(ISNUMBER(Input!B11200),IF(AND(Input!B11200&gt;=20,Input!B11200&lt;=700),Input!B11200,""),"")</f>
        <v/>
      </c>
      <c r="C11200">
        <f>IF(B11200="","",INT(A11200))</f>
        <v/>
      </c>
      <c r="D11200">
        <f>IF(B11200="","",HOUR(A11200))</f>
        <v/>
      </c>
    </row>
    <row r="11201">
      <c r="A11201">
        <f>Input!A11201</f>
        <v/>
      </c>
      <c r="B11201">
        <f>IF(ISNUMBER(Input!B11201),IF(AND(Input!B11201&gt;=20,Input!B11201&lt;=700),Input!B11201,""),"")</f>
        <v/>
      </c>
      <c r="C11201">
        <f>IF(B11201="","",INT(A11201))</f>
        <v/>
      </c>
      <c r="D11201">
        <f>IF(B11201="","",HOUR(A11201))</f>
        <v/>
      </c>
    </row>
    <row r="11202">
      <c r="A11202">
        <f>Input!A11202</f>
        <v/>
      </c>
      <c r="B11202">
        <f>IF(ISNUMBER(Input!B11202),IF(AND(Input!B11202&gt;=20,Input!B11202&lt;=700),Input!B11202,""),"")</f>
        <v/>
      </c>
      <c r="C11202">
        <f>IF(B11202="","",INT(A11202))</f>
        <v/>
      </c>
      <c r="D11202">
        <f>IF(B11202="","",HOUR(A11202))</f>
        <v/>
      </c>
    </row>
    <row r="11203">
      <c r="A11203">
        <f>Input!A11203</f>
        <v/>
      </c>
      <c r="B11203">
        <f>IF(ISNUMBER(Input!B11203),IF(AND(Input!B11203&gt;=20,Input!B11203&lt;=700),Input!B11203,""),"")</f>
        <v/>
      </c>
      <c r="C11203">
        <f>IF(B11203="","",INT(A11203))</f>
        <v/>
      </c>
      <c r="D11203">
        <f>IF(B11203="","",HOUR(A11203))</f>
        <v/>
      </c>
    </row>
    <row r="11204">
      <c r="A11204">
        <f>Input!A11204</f>
        <v/>
      </c>
      <c r="B11204">
        <f>IF(ISNUMBER(Input!B11204),IF(AND(Input!B11204&gt;=20,Input!B11204&lt;=700),Input!B11204,""),"")</f>
        <v/>
      </c>
      <c r="C11204">
        <f>IF(B11204="","",INT(A11204))</f>
        <v/>
      </c>
      <c r="D11204">
        <f>IF(B11204="","",HOUR(A11204))</f>
        <v/>
      </c>
    </row>
    <row r="11205">
      <c r="A11205">
        <f>Input!A11205</f>
        <v/>
      </c>
      <c r="B11205">
        <f>IF(ISNUMBER(Input!B11205),IF(AND(Input!B11205&gt;=20,Input!B11205&lt;=700),Input!B11205,""),"")</f>
        <v/>
      </c>
      <c r="C11205">
        <f>IF(B11205="","",INT(A11205))</f>
        <v/>
      </c>
      <c r="D11205">
        <f>IF(B11205="","",HOUR(A11205))</f>
        <v/>
      </c>
    </row>
    <row r="11206">
      <c r="A11206">
        <f>Input!A11206</f>
        <v/>
      </c>
      <c r="B11206">
        <f>IF(ISNUMBER(Input!B11206),IF(AND(Input!B11206&gt;=20,Input!B11206&lt;=700),Input!B11206,""),"")</f>
        <v/>
      </c>
      <c r="C11206">
        <f>IF(B11206="","",INT(A11206))</f>
        <v/>
      </c>
      <c r="D11206">
        <f>IF(B11206="","",HOUR(A11206))</f>
        <v/>
      </c>
    </row>
    <row r="11207">
      <c r="A11207">
        <f>Input!A11207</f>
        <v/>
      </c>
      <c r="B11207">
        <f>IF(ISNUMBER(Input!B11207),IF(AND(Input!B11207&gt;=20,Input!B11207&lt;=700),Input!B11207,""),"")</f>
        <v/>
      </c>
      <c r="C11207">
        <f>IF(B11207="","",INT(A11207))</f>
        <v/>
      </c>
      <c r="D11207">
        <f>IF(B11207="","",HOUR(A11207))</f>
        <v/>
      </c>
    </row>
    <row r="11208">
      <c r="A11208">
        <f>Input!A11208</f>
        <v/>
      </c>
      <c r="B11208">
        <f>IF(ISNUMBER(Input!B11208),IF(AND(Input!B11208&gt;=20,Input!B11208&lt;=700),Input!B11208,""),"")</f>
        <v/>
      </c>
      <c r="C11208">
        <f>IF(B11208="","",INT(A11208))</f>
        <v/>
      </c>
      <c r="D11208">
        <f>IF(B11208="","",HOUR(A11208))</f>
        <v/>
      </c>
    </row>
    <row r="11209">
      <c r="A11209">
        <f>Input!A11209</f>
        <v/>
      </c>
      <c r="B11209">
        <f>IF(ISNUMBER(Input!B11209),IF(AND(Input!B11209&gt;=20,Input!B11209&lt;=700),Input!B11209,""),"")</f>
        <v/>
      </c>
      <c r="C11209">
        <f>IF(B11209="","",INT(A11209))</f>
        <v/>
      </c>
      <c r="D11209">
        <f>IF(B11209="","",HOUR(A11209))</f>
        <v/>
      </c>
    </row>
    <row r="11210">
      <c r="A11210">
        <f>Input!A11210</f>
        <v/>
      </c>
      <c r="B11210">
        <f>IF(ISNUMBER(Input!B11210),IF(AND(Input!B11210&gt;=20,Input!B11210&lt;=700),Input!B11210,""),"")</f>
        <v/>
      </c>
      <c r="C11210">
        <f>IF(B11210="","",INT(A11210))</f>
        <v/>
      </c>
      <c r="D11210">
        <f>IF(B11210="","",HOUR(A11210))</f>
        <v/>
      </c>
    </row>
    <row r="11211">
      <c r="A11211">
        <f>Input!A11211</f>
        <v/>
      </c>
      <c r="B11211">
        <f>IF(ISNUMBER(Input!B11211),IF(AND(Input!B11211&gt;=20,Input!B11211&lt;=700),Input!B11211,""),"")</f>
        <v/>
      </c>
      <c r="C11211">
        <f>IF(B11211="","",INT(A11211))</f>
        <v/>
      </c>
      <c r="D11211">
        <f>IF(B11211="","",HOUR(A11211))</f>
        <v/>
      </c>
    </row>
    <row r="11212">
      <c r="A11212">
        <f>Input!A11212</f>
        <v/>
      </c>
      <c r="B11212">
        <f>IF(ISNUMBER(Input!B11212),IF(AND(Input!B11212&gt;=20,Input!B11212&lt;=700),Input!B11212,""),"")</f>
        <v/>
      </c>
      <c r="C11212">
        <f>IF(B11212="","",INT(A11212))</f>
        <v/>
      </c>
      <c r="D11212">
        <f>IF(B11212="","",HOUR(A11212))</f>
        <v/>
      </c>
    </row>
    <row r="11213">
      <c r="A11213">
        <f>Input!A11213</f>
        <v/>
      </c>
      <c r="B11213">
        <f>IF(ISNUMBER(Input!B11213),IF(AND(Input!B11213&gt;=20,Input!B11213&lt;=700),Input!B11213,""),"")</f>
        <v/>
      </c>
      <c r="C11213">
        <f>IF(B11213="","",INT(A11213))</f>
        <v/>
      </c>
      <c r="D11213">
        <f>IF(B11213="","",HOUR(A11213))</f>
        <v/>
      </c>
    </row>
    <row r="11214">
      <c r="A11214">
        <f>Input!A11214</f>
        <v/>
      </c>
      <c r="B11214">
        <f>IF(ISNUMBER(Input!B11214),IF(AND(Input!B11214&gt;=20,Input!B11214&lt;=700),Input!B11214,""),"")</f>
        <v/>
      </c>
      <c r="C11214">
        <f>IF(B11214="","",INT(A11214))</f>
        <v/>
      </c>
      <c r="D11214">
        <f>IF(B11214="","",HOUR(A11214))</f>
        <v/>
      </c>
    </row>
    <row r="11215">
      <c r="A11215">
        <f>Input!A11215</f>
        <v/>
      </c>
      <c r="B11215">
        <f>IF(ISNUMBER(Input!B11215),IF(AND(Input!B11215&gt;=20,Input!B11215&lt;=700),Input!B11215,""),"")</f>
        <v/>
      </c>
      <c r="C11215">
        <f>IF(B11215="","",INT(A11215))</f>
        <v/>
      </c>
      <c r="D11215">
        <f>IF(B11215="","",HOUR(A11215))</f>
        <v/>
      </c>
    </row>
    <row r="11216">
      <c r="A11216">
        <f>Input!A11216</f>
        <v/>
      </c>
      <c r="B11216">
        <f>IF(ISNUMBER(Input!B11216),IF(AND(Input!B11216&gt;=20,Input!B11216&lt;=700),Input!B11216,""),"")</f>
        <v/>
      </c>
      <c r="C11216">
        <f>IF(B11216="","",INT(A11216))</f>
        <v/>
      </c>
      <c r="D11216">
        <f>IF(B11216="","",HOUR(A11216))</f>
        <v/>
      </c>
    </row>
    <row r="11217">
      <c r="A11217">
        <f>Input!A11217</f>
        <v/>
      </c>
      <c r="B11217">
        <f>IF(ISNUMBER(Input!B11217),IF(AND(Input!B11217&gt;=20,Input!B11217&lt;=700),Input!B11217,""),"")</f>
        <v/>
      </c>
      <c r="C11217">
        <f>IF(B11217="","",INT(A11217))</f>
        <v/>
      </c>
      <c r="D11217">
        <f>IF(B11217="","",HOUR(A11217))</f>
        <v/>
      </c>
    </row>
    <row r="11218">
      <c r="A11218">
        <f>Input!A11218</f>
        <v/>
      </c>
      <c r="B11218">
        <f>IF(ISNUMBER(Input!B11218),IF(AND(Input!B11218&gt;=20,Input!B11218&lt;=700),Input!B11218,""),"")</f>
        <v/>
      </c>
      <c r="C11218">
        <f>IF(B11218="","",INT(A11218))</f>
        <v/>
      </c>
      <c r="D11218">
        <f>IF(B11218="","",HOUR(A11218))</f>
        <v/>
      </c>
    </row>
    <row r="11219">
      <c r="A11219">
        <f>Input!A11219</f>
        <v/>
      </c>
      <c r="B11219">
        <f>IF(ISNUMBER(Input!B11219),IF(AND(Input!B11219&gt;=20,Input!B11219&lt;=700),Input!B11219,""),"")</f>
        <v/>
      </c>
      <c r="C11219">
        <f>IF(B11219="","",INT(A11219))</f>
        <v/>
      </c>
      <c r="D11219">
        <f>IF(B11219="","",HOUR(A11219))</f>
        <v/>
      </c>
    </row>
    <row r="11220">
      <c r="A11220">
        <f>Input!A11220</f>
        <v/>
      </c>
      <c r="B11220">
        <f>IF(ISNUMBER(Input!B11220),IF(AND(Input!B11220&gt;=20,Input!B11220&lt;=700),Input!B11220,""),"")</f>
        <v/>
      </c>
      <c r="C11220">
        <f>IF(B11220="","",INT(A11220))</f>
        <v/>
      </c>
      <c r="D11220">
        <f>IF(B11220="","",HOUR(A11220))</f>
        <v/>
      </c>
    </row>
    <row r="11221">
      <c r="A11221">
        <f>Input!A11221</f>
        <v/>
      </c>
      <c r="B11221">
        <f>IF(ISNUMBER(Input!B11221),IF(AND(Input!B11221&gt;=20,Input!B11221&lt;=700),Input!B11221,""),"")</f>
        <v/>
      </c>
      <c r="C11221">
        <f>IF(B11221="","",INT(A11221))</f>
        <v/>
      </c>
      <c r="D11221">
        <f>IF(B11221="","",HOUR(A11221))</f>
        <v/>
      </c>
    </row>
    <row r="11222">
      <c r="A11222">
        <f>Input!A11222</f>
        <v/>
      </c>
      <c r="B11222">
        <f>IF(ISNUMBER(Input!B11222),IF(AND(Input!B11222&gt;=20,Input!B11222&lt;=700),Input!B11222,""),"")</f>
        <v/>
      </c>
      <c r="C11222">
        <f>IF(B11222="","",INT(A11222))</f>
        <v/>
      </c>
      <c r="D11222">
        <f>IF(B11222="","",HOUR(A11222))</f>
        <v/>
      </c>
    </row>
    <row r="11223">
      <c r="A11223">
        <f>Input!A11223</f>
        <v/>
      </c>
      <c r="B11223">
        <f>IF(ISNUMBER(Input!B11223),IF(AND(Input!B11223&gt;=20,Input!B11223&lt;=700),Input!B11223,""),"")</f>
        <v/>
      </c>
      <c r="C11223">
        <f>IF(B11223="","",INT(A11223))</f>
        <v/>
      </c>
      <c r="D11223">
        <f>IF(B11223="","",HOUR(A11223))</f>
        <v/>
      </c>
    </row>
    <row r="11224">
      <c r="A11224">
        <f>Input!A11224</f>
        <v/>
      </c>
      <c r="B11224">
        <f>IF(ISNUMBER(Input!B11224),IF(AND(Input!B11224&gt;=20,Input!B11224&lt;=700),Input!B11224,""),"")</f>
        <v/>
      </c>
      <c r="C11224">
        <f>IF(B11224="","",INT(A11224))</f>
        <v/>
      </c>
      <c r="D11224">
        <f>IF(B11224="","",HOUR(A11224))</f>
        <v/>
      </c>
    </row>
    <row r="11225">
      <c r="A11225">
        <f>Input!A11225</f>
        <v/>
      </c>
      <c r="B11225">
        <f>IF(ISNUMBER(Input!B11225),IF(AND(Input!B11225&gt;=20,Input!B11225&lt;=700),Input!B11225,""),"")</f>
        <v/>
      </c>
      <c r="C11225">
        <f>IF(B11225="","",INT(A11225))</f>
        <v/>
      </c>
      <c r="D11225">
        <f>IF(B11225="","",HOUR(A11225))</f>
        <v/>
      </c>
    </row>
    <row r="11226">
      <c r="A11226">
        <f>Input!A11226</f>
        <v/>
      </c>
      <c r="B11226">
        <f>IF(ISNUMBER(Input!B11226),IF(AND(Input!B11226&gt;=20,Input!B11226&lt;=700),Input!B11226,""),"")</f>
        <v/>
      </c>
      <c r="C11226">
        <f>IF(B11226="","",INT(A11226))</f>
        <v/>
      </c>
      <c r="D11226">
        <f>IF(B11226="","",HOUR(A11226))</f>
        <v/>
      </c>
    </row>
    <row r="11227">
      <c r="A11227">
        <f>Input!A11227</f>
        <v/>
      </c>
      <c r="B11227">
        <f>IF(ISNUMBER(Input!B11227),IF(AND(Input!B11227&gt;=20,Input!B11227&lt;=700),Input!B11227,""),"")</f>
        <v/>
      </c>
      <c r="C11227">
        <f>IF(B11227="","",INT(A11227))</f>
        <v/>
      </c>
      <c r="D11227">
        <f>IF(B11227="","",HOUR(A11227))</f>
        <v/>
      </c>
    </row>
    <row r="11228">
      <c r="A11228">
        <f>Input!A11228</f>
        <v/>
      </c>
      <c r="B11228">
        <f>IF(ISNUMBER(Input!B11228),IF(AND(Input!B11228&gt;=20,Input!B11228&lt;=700),Input!B11228,""),"")</f>
        <v/>
      </c>
      <c r="C11228">
        <f>IF(B11228="","",INT(A11228))</f>
        <v/>
      </c>
      <c r="D11228">
        <f>IF(B11228="","",HOUR(A11228))</f>
        <v/>
      </c>
    </row>
    <row r="11229">
      <c r="A11229">
        <f>Input!A11229</f>
        <v/>
      </c>
      <c r="B11229">
        <f>IF(ISNUMBER(Input!B11229),IF(AND(Input!B11229&gt;=20,Input!B11229&lt;=700),Input!B11229,""),"")</f>
        <v/>
      </c>
      <c r="C11229">
        <f>IF(B11229="","",INT(A11229))</f>
        <v/>
      </c>
      <c r="D11229">
        <f>IF(B11229="","",HOUR(A11229))</f>
        <v/>
      </c>
    </row>
    <row r="11230">
      <c r="A11230">
        <f>Input!A11230</f>
        <v/>
      </c>
      <c r="B11230">
        <f>IF(ISNUMBER(Input!B11230),IF(AND(Input!B11230&gt;=20,Input!B11230&lt;=700),Input!B11230,""),"")</f>
        <v/>
      </c>
      <c r="C11230">
        <f>IF(B11230="","",INT(A11230))</f>
        <v/>
      </c>
      <c r="D11230">
        <f>IF(B11230="","",HOUR(A11230))</f>
        <v/>
      </c>
    </row>
    <row r="11231">
      <c r="A11231">
        <f>Input!A11231</f>
        <v/>
      </c>
      <c r="B11231">
        <f>IF(ISNUMBER(Input!B11231),IF(AND(Input!B11231&gt;=20,Input!B11231&lt;=700),Input!B11231,""),"")</f>
        <v/>
      </c>
      <c r="C11231">
        <f>IF(B11231="","",INT(A11231))</f>
        <v/>
      </c>
      <c r="D11231">
        <f>IF(B11231="","",HOUR(A11231))</f>
        <v/>
      </c>
    </row>
    <row r="11232">
      <c r="A11232">
        <f>Input!A11232</f>
        <v/>
      </c>
      <c r="B11232">
        <f>IF(ISNUMBER(Input!B11232),IF(AND(Input!B11232&gt;=20,Input!B11232&lt;=700),Input!B11232,""),"")</f>
        <v/>
      </c>
      <c r="C11232">
        <f>IF(B11232="","",INT(A11232))</f>
        <v/>
      </c>
      <c r="D11232">
        <f>IF(B11232="","",HOUR(A11232))</f>
        <v/>
      </c>
    </row>
    <row r="11233">
      <c r="A11233">
        <f>Input!A11233</f>
        <v/>
      </c>
      <c r="B11233">
        <f>IF(ISNUMBER(Input!B11233),IF(AND(Input!B11233&gt;=20,Input!B11233&lt;=700),Input!B11233,""),"")</f>
        <v/>
      </c>
      <c r="C11233">
        <f>IF(B11233="","",INT(A11233))</f>
        <v/>
      </c>
      <c r="D11233">
        <f>IF(B11233="","",HOUR(A11233))</f>
        <v/>
      </c>
    </row>
    <row r="11234">
      <c r="A11234">
        <f>Input!A11234</f>
        <v/>
      </c>
      <c r="B11234">
        <f>IF(ISNUMBER(Input!B11234),IF(AND(Input!B11234&gt;=20,Input!B11234&lt;=700),Input!B11234,""),"")</f>
        <v/>
      </c>
      <c r="C11234">
        <f>IF(B11234="","",INT(A11234))</f>
        <v/>
      </c>
      <c r="D11234">
        <f>IF(B11234="","",HOUR(A11234))</f>
        <v/>
      </c>
    </row>
    <row r="11235">
      <c r="A11235">
        <f>Input!A11235</f>
        <v/>
      </c>
      <c r="B11235">
        <f>IF(ISNUMBER(Input!B11235),IF(AND(Input!B11235&gt;=20,Input!B11235&lt;=700),Input!B11235,""),"")</f>
        <v/>
      </c>
      <c r="C11235">
        <f>IF(B11235="","",INT(A11235))</f>
        <v/>
      </c>
      <c r="D11235">
        <f>IF(B11235="","",HOUR(A11235))</f>
        <v/>
      </c>
    </row>
    <row r="11236">
      <c r="A11236">
        <f>Input!A11236</f>
        <v/>
      </c>
      <c r="B11236">
        <f>IF(ISNUMBER(Input!B11236),IF(AND(Input!B11236&gt;=20,Input!B11236&lt;=700),Input!B11236,""),"")</f>
        <v/>
      </c>
      <c r="C11236">
        <f>IF(B11236="","",INT(A11236))</f>
        <v/>
      </c>
      <c r="D11236">
        <f>IF(B11236="","",HOUR(A11236))</f>
        <v/>
      </c>
    </row>
    <row r="11237">
      <c r="A11237">
        <f>Input!A11237</f>
        <v/>
      </c>
      <c r="B11237">
        <f>IF(ISNUMBER(Input!B11237),IF(AND(Input!B11237&gt;=20,Input!B11237&lt;=700),Input!B11237,""),"")</f>
        <v/>
      </c>
      <c r="C11237">
        <f>IF(B11237="","",INT(A11237))</f>
        <v/>
      </c>
      <c r="D11237">
        <f>IF(B11237="","",HOUR(A11237))</f>
        <v/>
      </c>
    </row>
    <row r="11238">
      <c r="A11238">
        <f>Input!A11238</f>
        <v/>
      </c>
      <c r="B11238">
        <f>IF(ISNUMBER(Input!B11238),IF(AND(Input!B11238&gt;=20,Input!B11238&lt;=700),Input!B11238,""),"")</f>
        <v/>
      </c>
      <c r="C11238">
        <f>IF(B11238="","",INT(A11238))</f>
        <v/>
      </c>
      <c r="D11238">
        <f>IF(B11238="","",HOUR(A11238))</f>
        <v/>
      </c>
    </row>
    <row r="11239">
      <c r="A11239">
        <f>Input!A11239</f>
        <v/>
      </c>
      <c r="B11239">
        <f>IF(ISNUMBER(Input!B11239),IF(AND(Input!B11239&gt;=20,Input!B11239&lt;=700),Input!B11239,""),"")</f>
        <v/>
      </c>
      <c r="C11239">
        <f>IF(B11239="","",INT(A11239))</f>
        <v/>
      </c>
      <c r="D11239">
        <f>IF(B11239="","",HOUR(A11239))</f>
        <v/>
      </c>
    </row>
    <row r="11240">
      <c r="A11240">
        <f>Input!A11240</f>
        <v/>
      </c>
      <c r="B11240">
        <f>IF(ISNUMBER(Input!B11240),IF(AND(Input!B11240&gt;=20,Input!B11240&lt;=700),Input!B11240,""),"")</f>
        <v/>
      </c>
      <c r="C11240">
        <f>IF(B11240="","",INT(A11240))</f>
        <v/>
      </c>
      <c r="D11240">
        <f>IF(B11240="","",HOUR(A11240))</f>
        <v/>
      </c>
    </row>
    <row r="11241">
      <c r="A11241">
        <f>Input!A11241</f>
        <v/>
      </c>
      <c r="B11241">
        <f>IF(ISNUMBER(Input!B11241),IF(AND(Input!B11241&gt;=20,Input!B11241&lt;=700),Input!B11241,""),"")</f>
        <v/>
      </c>
      <c r="C11241">
        <f>IF(B11241="","",INT(A11241))</f>
        <v/>
      </c>
      <c r="D11241">
        <f>IF(B11241="","",HOUR(A11241))</f>
        <v/>
      </c>
    </row>
    <row r="11242">
      <c r="A11242">
        <f>Input!A11242</f>
        <v/>
      </c>
      <c r="B11242">
        <f>IF(ISNUMBER(Input!B11242),IF(AND(Input!B11242&gt;=20,Input!B11242&lt;=700),Input!B11242,""),"")</f>
        <v/>
      </c>
      <c r="C11242">
        <f>IF(B11242="","",INT(A11242))</f>
        <v/>
      </c>
      <c r="D11242">
        <f>IF(B11242="","",HOUR(A11242))</f>
        <v/>
      </c>
    </row>
    <row r="11243">
      <c r="A11243">
        <f>Input!A11243</f>
        <v/>
      </c>
      <c r="B11243">
        <f>IF(ISNUMBER(Input!B11243),IF(AND(Input!B11243&gt;=20,Input!B11243&lt;=700),Input!B11243,""),"")</f>
        <v/>
      </c>
      <c r="C11243">
        <f>IF(B11243="","",INT(A11243))</f>
        <v/>
      </c>
      <c r="D11243">
        <f>IF(B11243="","",HOUR(A11243))</f>
        <v/>
      </c>
    </row>
    <row r="11244">
      <c r="A11244">
        <f>Input!A11244</f>
        <v/>
      </c>
      <c r="B11244">
        <f>IF(ISNUMBER(Input!B11244),IF(AND(Input!B11244&gt;=20,Input!B11244&lt;=700),Input!B11244,""),"")</f>
        <v/>
      </c>
      <c r="C11244">
        <f>IF(B11244="","",INT(A11244))</f>
        <v/>
      </c>
      <c r="D11244">
        <f>IF(B11244="","",HOUR(A11244))</f>
        <v/>
      </c>
    </row>
    <row r="11245">
      <c r="A11245">
        <f>Input!A11245</f>
        <v/>
      </c>
      <c r="B11245">
        <f>IF(ISNUMBER(Input!B11245),IF(AND(Input!B11245&gt;=20,Input!B11245&lt;=700),Input!B11245,""),"")</f>
        <v/>
      </c>
      <c r="C11245">
        <f>IF(B11245="","",INT(A11245))</f>
        <v/>
      </c>
      <c r="D11245">
        <f>IF(B11245="","",HOUR(A11245))</f>
        <v/>
      </c>
    </row>
    <row r="11246">
      <c r="A11246">
        <f>Input!A11246</f>
        <v/>
      </c>
      <c r="B11246">
        <f>IF(ISNUMBER(Input!B11246),IF(AND(Input!B11246&gt;=20,Input!B11246&lt;=700),Input!B11246,""),"")</f>
        <v/>
      </c>
      <c r="C11246">
        <f>IF(B11246="","",INT(A11246))</f>
        <v/>
      </c>
      <c r="D11246">
        <f>IF(B11246="","",HOUR(A11246))</f>
        <v/>
      </c>
    </row>
    <row r="11247">
      <c r="A11247">
        <f>Input!A11247</f>
        <v/>
      </c>
      <c r="B11247">
        <f>IF(ISNUMBER(Input!B11247),IF(AND(Input!B11247&gt;=20,Input!B11247&lt;=700),Input!B11247,""),"")</f>
        <v/>
      </c>
      <c r="C11247">
        <f>IF(B11247="","",INT(A11247))</f>
        <v/>
      </c>
      <c r="D11247">
        <f>IF(B11247="","",HOUR(A11247))</f>
        <v/>
      </c>
    </row>
    <row r="11248">
      <c r="A11248">
        <f>Input!A11248</f>
        <v/>
      </c>
      <c r="B11248">
        <f>IF(ISNUMBER(Input!B11248),IF(AND(Input!B11248&gt;=20,Input!B11248&lt;=700),Input!B11248,""),"")</f>
        <v/>
      </c>
      <c r="C11248">
        <f>IF(B11248="","",INT(A11248))</f>
        <v/>
      </c>
      <c r="D11248">
        <f>IF(B11248="","",HOUR(A11248))</f>
        <v/>
      </c>
    </row>
    <row r="11249">
      <c r="A11249">
        <f>Input!A11249</f>
        <v/>
      </c>
      <c r="B11249">
        <f>IF(ISNUMBER(Input!B11249),IF(AND(Input!B11249&gt;=20,Input!B11249&lt;=700),Input!B11249,""),"")</f>
        <v/>
      </c>
      <c r="C11249">
        <f>IF(B11249="","",INT(A11249))</f>
        <v/>
      </c>
      <c r="D11249">
        <f>IF(B11249="","",HOUR(A11249))</f>
        <v/>
      </c>
    </row>
    <row r="11250">
      <c r="A11250">
        <f>Input!A11250</f>
        <v/>
      </c>
      <c r="B11250">
        <f>IF(ISNUMBER(Input!B11250),IF(AND(Input!B11250&gt;=20,Input!B11250&lt;=700),Input!B11250,""),"")</f>
        <v/>
      </c>
      <c r="C11250">
        <f>IF(B11250="","",INT(A11250))</f>
        <v/>
      </c>
      <c r="D11250">
        <f>IF(B11250="","",HOUR(A11250))</f>
        <v/>
      </c>
    </row>
    <row r="11251">
      <c r="A11251">
        <f>Input!A11251</f>
        <v/>
      </c>
      <c r="B11251">
        <f>IF(ISNUMBER(Input!B11251),IF(AND(Input!B11251&gt;=20,Input!B11251&lt;=700),Input!B11251,""),"")</f>
        <v/>
      </c>
      <c r="C11251">
        <f>IF(B11251="","",INT(A11251))</f>
        <v/>
      </c>
      <c r="D11251">
        <f>IF(B11251="","",HOUR(A11251))</f>
        <v/>
      </c>
    </row>
    <row r="11252">
      <c r="A11252">
        <f>Input!A11252</f>
        <v/>
      </c>
      <c r="B11252">
        <f>IF(ISNUMBER(Input!B11252),IF(AND(Input!B11252&gt;=20,Input!B11252&lt;=700),Input!B11252,""),"")</f>
        <v/>
      </c>
      <c r="C11252">
        <f>IF(B11252="","",INT(A11252))</f>
        <v/>
      </c>
      <c r="D11252">
        <f>IF(B11252="","",HOUR(A11252))</f>
        <v/>
      </c>
    </row>
    <row r="11253">
      <c r="A11253">
        <f>Input!A11253</f>
        <v/>
      </c>
      <c r="B11253">
        <f>IF(ISNUMBER(Input!B11253),IF(AND(Input!B11253&gt;=20,Input!B11253&lt;=700),Input!B11253,""),"")</f>
        <v/>
      </c>
      <c r="C11253">
        <f>IF(B11253="","",INT(A11253))</f>
        <v/>
      </c>
      <c r="D11253">
        <f>IF(B11253="","",HOUR(A11253))</f>
        <v/>
      </c>
    </row>
    <row r="11254">
      <c r="A11254">
        <f>Input!A11254</f>
        <v/>
      </c>
      <c r="B11254">
        <f>IF(ISNUMBER(Input!B11254),IF(AND(Input!B11254&gt;=20,Input!B11254&lt;=700),Input!B11254,""),"")</f>
        <v/>
      </c>
      <c r="C11254">
        <f>IF(B11254="","",INT(A11254))</f>
        <v/>
      </c>
      <c r="D11254">
        <f>IF(B11254="","",HOUR(A11254))</f>
        <v/>
      </c>
    </row>
    <row r="11255">
      <c r="A11255">
        <f>Input!A11255</f>
        <v/>
      </c>
      <c r="B11255">
        <f>IF(ISNUMBER(Input!B11255),IF(AND(Input!B11255&gt;=20,Input!B11255&lt;=700),Input!B11255,""),"")</f>
        <v/>
      </c>
      <c r="C11255">
        <f>IF(B11255="","",INT(A11255))</f>
        <v/>
      </c>
      <c r="D11255">
        <f>IF(B11255="","",HOUR(A11255))</f>
        <v/>
      </c>
    </row>
    <row r="11256">
      <c r="A11256">
        <f>Input!A11256</f>
        <v/>
      </c>
      <c r="B11256">
        <f>IF(ISNUMBER(Input!B11256),IF(AND(Input!B11256&gt;=20,Input!B11256&lt;=700),Input!B11256,""),"")</f>
        <v/>
      </c>
      <c r="C11256">
        <f>IF(B11256="","",INT(A11256))</f>
        <v/>
      </c>
      <c r="D11256">
        <f>IF(B11256="","",HOUR(A11256))</f>
        <v/>
      </c>
    </row>
    <row r="11257">
      <c r="A11257">
        <f>Input!A11257</f>
        <v/>
      </c>
      <c r="B11257">
        <f>IF(ISNUMBER(Input!B11257),IF(AND(Input!B11257&gt;=20,Input!B11257&lt;=700),Input!B11257,""),"")</f>
        <v/>
      </c>
      <c r="C11257">
        <f>IF(B11257="","",INT(A11257))</f>
        <v/>
      </c>
      <c r="D11257">
        <f>IF(B11257="","",HOUR(A11257))</f>
        <v/>
      </c>
    </row>
    <row r="11258">
      <c r="A11258">
        <f>Input!A11258</f>
        <v/>
      </c>
      <c r="B11258">
        <f>IF(ISNUMBER(Input!B11258),IF(AND(Input!B11258&gt;=20,Input!B11258&lt;=700),Input!B11258,""),"")</f>
        <v/>
      </c>
      <c r="C11258">
        <f>IF(B11258="","",INT(A11258))</f>
        <v/>
      </c>
      <c r="D11258">
        <f>IF(B11258="","",HOUR(A11258))</f>
        <v/>
      </c>
    </row>
    <row r="11259">
      <c r="A11259">
        <f>Input!A11259</f>
        <v/>
      </c>
      <c r="B11259">
        <f>IF(ISNUMBER(Input!B11259),IF(AND(Input!B11259&gt;=20,Input!B11259&lt;=700),Input!B11259,""),"")</f>
        <v/>
      </c>
      <c r="C11259">
        <f>IF(B11259="","",INT(A11259))</f>
        <v/>
      </c>
      <c r="D11259">
        <f>IF(B11259="","",HOUR(A11259))</f>
        <v/>
      </c>
    </row>
    <row r="11260">
      <c r="A11260">
        <f>Input!A11260</f>
        <v/>
      </c>
      <c r="B11260">
        <f>IF(ISNUMBER(Input!B11260),IF(AND(Input!B11260&gt;=20,Input!B11260&lt;=700),Input!B11260,""),"")</f>
        <v/>
      </c>
      <c r="C11260">
        <f>IF(B11260="","",INT(A11260))</f>
        <v/>
      </c>
      <c r="D11260">
        <f>IF(B11260="","",HOUR(A11260))</f>
        <v/>
      </c>
    </row>
    <row r="11261">
      <c r="A11261">
        <f>Input!A11261</f>
        <v/>
      </c>
      <c r="B11261">
        <f>IF(ISNUMBER(Input!B11261),IF(AND(Input!B11261&gt;=20,Input!B11261&lt;=700),Input!B11261,""),"")</f>
        <v/>
      </c>
      <c r="C11261">
        <f>IF(B11261="","",INT(A11261))</f>
        <v/>
      </c>
      <c r="D11261">
        <f>IF(B11261="","",HOUR(A11261))</f>
        <v/>
      </c>
    </row>
    <row r="11262">
      <c r="A11262">
        <f>Input!A11262</f>
        <v/>
      </c>
      <c r="B11262">
        <f>IF(ISNUMBER(Input!B11262),IF(AND(Input!B11262&gt;=20,Input!B11262&lt;=700),Input!B11262,""),"")</f>
        <v/>
      </c>
      <c r="C11262">
        <f>IF(B11262="","",INT(A11262))</f>
        <v/>
      </c>
      <c r="D11262">
        <f>IF(B11262="","",HOUR(A11262))</f>
        <v/>
      </c>
    </row>
    <row r="11263">
      <c r="A11263">
        <f>Input!A11263</f>
        <v/>
      </c>
      <c r="B11263">
        <f>IF(ISNUMBER(Input!B11263),IF(AND(Input!B11263&gt;=20,Input!B11263&lt;=700),Input!B11263,""),"")</f>
        <v/>
      </c>
      <c r="C11263">
        <f>IF(B11263="","",INT(A11263))</f>
        <v/>
      </c>
      <c r="D11263">
        <f>IF(B11263="","",HOUR(A11263))</f>
        <v/>
      </c>
    </row>
    <row r="11264">
      <c r="A11264">
        <f>Input!A11264</f>
        <v/>
      </c>
      <c r="B11264">
        <f>IF(ISNUMBER(Input!B11264),IF(AND(Input!B11264&gt;=20,Input!B11264&lt;=700),Input!B11264,""),"")</f>
        <v/>
      </c>
      <c r="C11264">
        <f>IF(B11264="","",INT(A11264))</f>
        <v/>
      </c>
      <c r="D11264">
        <f>IF(B11264="","",HOUR(A11264))</f>
        <v/>
      </c>
    </row>
    <row r="11265">
      <c r="A11265">
        <f>Input!A11265</f>
        <v/>
      </c>
      <c r="B11265">
        <f>IF(ISNUMBER(Input!B11265),IF(AND(Input!B11265&gt;=20,Input!B11265&lt;=700),Input!B11265,""),"")</f>
        <v/>
      </c>
      <c r="C11265">
        <f>IF(B11265="","",INT(A11265))</f>
        <v/>
      </c>
      <c r="D11265">
        <f>IF(B11265="","",HOUR(A11265))</f>
        <v/>
      </c>
    </row>
    <row r="11266">
      <c r="A11266">
        <f>Input!A11266</f>
        <v/>
      </c>
      <c r="B11266">
        <f>IF(ISNUMBER(Input!B11266),IF(AND(Input!B11266&gt;=20,Input!B11266&lt;=700),Input!B11266,""),"")</f>
        <v/>
      </c>
      <c r="C11266">
        <f>IF(B11266="","",INT(A11266))</f>
        <v/>
      </c>
      <c r="D11266">
        <f>IF(B11266="","",HOUR(A11266))</f>
        <v/>
      </c>
    </row>
    <row r="11267">
      <c r="A11267">
        <f>Input!A11267</f>
        <v/>
      </c>
      <c r="B11267">
        <f>IF(ISNUMBER(Input!B11267),IF(AND(Input!B11267&gt;=20,Input!B11267&lt;=700),Input!B11267,""),"")</f>
        <v/>
      </c>
      <c r="C11267">
        <f>IF(B11267="","",INT(A11267))</f>
        <v/>
      </c>
      <c r="D11267">
        <f>IF(B11267="","",HOUR(A11267))</f>
        <v/>
      </c>
    </row>
    <row r="11268">
      <c r="A11268">
        <f>Input!A11268</f>
        <v/>
      </c>
      <c r="B11268">
        <f>IF(ISNUMBER(Input!B11268),IF(AND(Input!B11268&gt;=20,Input!B11268&lt;=700),Input!B11268,""),"")</f>
        <v/>
      </c>
      <c r="C11268">
        <f>IF(B11268="","",INT(A11268))</f>
        <v/>
      </c>
      <c r="D11268">
        <f>IF(B11268="","",HOUR(A11268))</f>
        <v/>
      </c>
    </row>
    <row r="11269">
      <c r="A11269">
        <f>Input!A11269</f>
        <v/>
      </c>
      <c r="B11269">
        <f>IF(ISNUMBER(Input!B11269),IF(AND(Input!B11269&gt;=20,Input!B11269&lt;=700),Input!B11269,""),"")</f>
        <v/>
      </c>
      <c r="C11269">
        <f>IF(B11269="","",INT(A11269))</f>
        <v/>
      </c>
      <c r="D11269">
        <f>IF(B11269="","",HOUR(A11269))</f>
        <v/>
      </c>
    </row>
    <row r="11270">
      <c r="A11270">
        <f>Input!A11270</f>
        <v/>
      </c>
      <c r="B11270">
        <f>IF(ISNUMBER(Input!B11270),IF(AND(Input!B11270&gt;=20,Input!B11270&lt;=700),Input!B11270,""),"")</f>
        <v/>
      </c>
      <c r="C11270">
        <f>IF(B11270="","",INT(A11270))</f>
        <v/>
      </c>
      <c r="D11270">
        <f>IF(B11270="","",HOUR(A11270))</f>
        <v/>
      </c>
    </row>
    <row r="11271">
      <c r="A11271">
        <f>Input!A11271</f>
        <v/>
      </c>
      <c r="B11271">
        <f>IF(ISNUMBER(Input!B11271),IF(AND(Input!B11271&gt;=20,Input!B11271&lt;=700),Input!B11271,""),"")</f>
        <v/>
      </c>
      <c r="C11271">
        <f>IF(B11271="","",INT(A11271))</f>
        <v/>
      </c>
      <c r="D11271">
        <f>IF(B11271="","",HOUR(A11271))</f>
        <v/>
      </c>
    </row>
    <row r="11272">
      <c r="A11272">
        <f>Input!A11272</f>
        <v/>
      </c>
      <c r="B11272">
        <f>IF(ISNUMBER(Input!B11272),IF(AND(Input!B11272&gt;=20,Input!B11272&lt;=700),Input!B11272,""),"")</f>
        <v/>
      </c>
      <c r="C11272">
        <f>IF(B11272="","",INT(A11272))</f>
        <v/>
      </c>
      <c r="D11272">
        <f>IF(B11272="","",HOUR(A11272))</f>
        <v/>
      </c>
    </row>
    <row r="11273">
      <c r="A11273">
        <f>Input!A11273</f>
        <v/>
      </c>
      <c r="B11273">
        <f>IF(ISNUMBER(Input!B11273),IF(AND(Input!B11273&gt;=20,Input!B11273&lt;=700),Input!B11273,""),"")</f>
        <v/>
      </c>
      <c r="C11273">
        <f>IF(B11273="","",INT(A11273))</f>
        <v/>
      </c>
      <c r="D11273">
        <f>IF(B11273="","",HOUR(A11273))</f>
        <v/>
      </c>
    </row>
    <row r="11274">
      <c r="A11274">
        <f>Input!A11274</f>
        <v/>
      </c>
      <c r="B11274">
        <f>IF(ISNUMBER(Input!B11274),IF(AND(Input!B11274&gt;=20,Input!B11274&lt;=700),Input!B11274,""),"")</f>
        <v/>
      </c>
      <c r="C11274">
        <f>IF(B11274="","",INT(A11274))</f>
        <v/>
      </c>
      <c r="D11274">
        <f>IF(B11274="","",HOUR(A11274))</f>
        <v/>
      </c>
    </row>
    <row r="11275">
      <c r="A11275">
        <f>Input!A11275</f>
        <v/>
      </c>
      <c r="B11275">
        <f>IF(ISNUMBER(Input!B11275),IF(AND(Input!B11275&gt;=20,Input!B11275&lt;=700),Input!B11275,""),"")</f>
        <v/>
      </c>
      <c r="C11275">
        <f>IF(B11275="","",INT(A11275))</f>
        <v/>
      </c>
      <c r="D11275">
        <f>IF(B11275="","",HOUR(A11275))</f>
        <v/>
      </c>
    </row>
    <row r="11276">
      <c r="A11276">
        <f>Input!A11276</f>
        <v/>
      </c>
      <c r="B11276">
        <f>IF(ISNUMBER(Input!B11276),IF(AND(Input!B11276&gt;=20,Input!B11276&lt;=700),Input!B11276,""),"")</f>
        <v/>
      </c>
      <c r="C11276">
        <f>IF(B11276="","",INT(A11276))</f>
        <v/>
      </c>
      <c r="D11276">
        <f>IF(B11276="","",HOUR(A11276))</f>
        <v/>
      </c>
    </row>
    <row r="11277">
      <c r="A11277">
        <f>Input!A11277</f>
        <v/>
      </c>
      <c r="B11277">
        <f>IF(ISNUMBER(Input!B11277),IF(AND(Input!B11277&gt;=20,Input!B11277&lt;=700),Input!B11277,""),"")</f>
        <v/>
      </c>
      <c r="C11277">
        <f>IF(B11277="","",INT(A11277))</f>
        <v/>
      </c>
      <c r="D11277">
        <f>IF(B11277="","",HOUR(A11277))</f>
        <v/>
      </c>
    </row>
    <row r="11278">
      <c r="A11278">
        <f>Input!A11278</f>
        <v/>
      </c>
      <c r="B11278">
        <f>IF(ISNUMBER(Input!B11278),IF(AND(Input!B11278&gt;=20,Input!B11278&lt;=700),Input!B11278,""),"")</f>
        <v/>
      </c>
      <c r="C11278">
        <f>IF(B11278="","",INT(A11278))</f>
        <v/>
      </c>
      <c r="D11278">
        <f>IF(B11278="","",HOUR(A11278))</f>
        <v/>
      </c>
    </row>
    <row r="11279">
      <c r="A11279">
        <f>Input!A11279</f>
        <v/>
      </c>
      <c r="B11279">
        <f>IF(ISNUMBER(Input!B11279),IF(AND(Input!B11279&gt;=20,Input!B11279&lt;=700),Input!B11279,""),"")</f>
        <v/>
      </c>
      <c r="C11279">
        <f>IF(B11279="","",INT(A11279))</f>
        <v/>
      </c>
      <c r="D11279">
        <f>IF(B11279="","",HOUR(A11279))</f>
        <v/>
      </c>
    </row>
    <row r="11280">
      <c r="A11280">
        <f>Input!A11280</f>
        <v/>
      </c>
      <c r="B11280">
        <f>IF(ISNUMBER(Input!B11280),IF(AND(Input!B11280&gt;=20,Input!B11280&lt;=700),Input!B11280,""),"")</f>
        <v/>
      </c>
      <c r="C11280">
        <f>IF(B11280="","",INT(A11280))</f>
        <v/>
      </c>
      <c r="D11280">
        <f>IF(B11280="","",HOUR(A11280))</f>
        <v/>
      </c>
    </row>
    <row r="11281">
      <c r="A11281">
        <f>Input!A11281</f>
        <v/>
      </c>
      <c r="B11281">
        <f>IF(ISNUMBER(Input!B11281),IF(AND(Input!B11281&gt;=20,Input!B11281&lt;=700),Input!B11281,""),"")</f>
        <v/>
      </c>
      <c r="C11281">
        <f>IF(B11281="","",INT(A11281))</f>
        <v/>
      </c>
      <c r="D11281">
        <f>IF(B11281="","",HOUR(A11281))</f>
        <v/>
      </c>
    </row>
    <row r="11282">
      <c r="A11282">
        <f>Input!A11282</f>
        <v/>
      </c>
      <c r="B11282">
        <f>IF(ISNUMBER(Input!B11282),IF(AND(Input!B11282&gt;=20,Input!B11282&lt;=700),Input!B11282,""),"")</f>
        <v/>
      </c>
      <c r="C11282">
        <f>IF(B11282="","",INT(A11282))</f>
        <v/>
      </c>
      <c r="D11282">
        <f>IF(B11282="","",HOUR(A11282))</f>
        <v/>
      </c>
    </row>
    <row r="11283">
      <c r="A11283">
        <f>Input!A11283</f>
        <v/>
      </c>
      <c r="B11283">
        <f>IF(ISNUMBER(Input!B11283),IF(AND(Input!B11283&gt;=20,Input!B11283&lt;=700),Input!B11283,""),"")</f>
        <v/>
      </c>
      <c r="C11283">
        <f>IF(B11283="","",INT(A11283))</f>
        <v/>
      </c>
      <c r="D11283">
        <f>IF(B11283="","",HOUR(A11283))</f>
        <v/>
      </c>
    </row>
    <row r="11284">
      <c r="A11284">
        <f>Input!A11284</f>
        <v/>
      </c>
      <c r="B11284">
        <f>IF(ISNUMBER(Input!B11284),IF(AND(Input!B11284&gt;=20,Input!B11284&lt;=700),Input!B11284,""),"")</f>
        <v/>
      </c>
      <c r="C11284">
        <f>IF(B11284="","",INT(A11284))</f>
        <v/>
      </c>
      <c r="D11284">
        <f>IF(B11284="","",HOUR(A11284))</f>
        <v/>
      </c>
    </row>
    <row r="11285">
      <c r="A11285">
        <f>Input!A11285</f>
        <v/>
      </c>
      <c r="B11285">
        <f>IF(ISNUMBER(Input!B11285),IF(AND(Input!B11285&gt;=20,Input!B11285&lt;=700),Input!B11285,""),"")</f>
        <v/>
      </c>
      <c r="C11285">
        <f>IF(B11285="","",INT(A11285))</f>
        <v/>
      </c>
      <c r="D11285">
        <f>IF(B11285="","",HOUR(A11285))</f>
        <v/>
      </c>
    </row>
    <row r="11286">
      <c r="A11286">
        <f>Input!A11286</f>
        <v/>
      </c>
      <c r="B11286">
        <f>IF(ISNUMBER(Input!B11286),IF(AND(Input!B11286&gt;=20,Input!B11286&lt;=700),Input!B11286,""),"")</f>
        <v/>
      </c>
      <c r="C11286">
        <f>IF(B11286="","",INT(A11286))</f>
        <v/>
      </c>
      <c r="D11286">
        <f>IF(B11286="","",HOUR(A11286))</f>
        <v/>
      </c>
    </row>
    <row r="11287">
      <c r="A11287">
        <f>Input!A11287</f>
        <v/>
      </c>
      <c r="B11287">
        <f>IF(ISNUMBER(Input!B11287),IF(AND(Input!B11287&gt;=20,Input!B11287&lt;=700),Input!B11287,""),"")</f>
        <v/>
      </c>
      <c r="C11287">
        <f>IF(B11287="","",INT(A11287))</f>
        <v/>
      </c>
      <c r="D11287">
        <f>IF(B11287="","",HOUR(A11287))</f>
        <v/>
      </c>
    </row>
    <row r="11288">
      <c r="A11288">
        <f>Input!A11288</f>
        <v/>
      </c>
      <c r="B11288">
        <f>IF(ISNUMBER(Input!B11288),IF(AND(Input!B11288&gt;=20,Input!B11288&lt;=700),Input!B11288,""),"")</f>
        <v/>
      </c>
      <c r="C11288">
        <f>IF(B11288="","",INT(A11288))</f>
        <v/>
      </c>
      <c r="D11288">
        <f>IF(B11288="","",HOUR(A11288))</f>
        <v/>
      </c>
    </row>
    <row r="11289">
      <c r="A11289">
        <f>Input!A11289</f>
        <v/>
      </c>
      <c r="B11289">
        <f>IF(ISNUMBER(Input!B11289),IF(AND(Input!B11289&gt;=20,Input!B11289&lt;=700),Input!B11289,""),"")</f>
        <v/>
      </c>
      <c r="C11289">
        <f>IF(B11289="","",INT(A11289))</f>
        <v/>
      </c>
      <c r="D11289">
        <f>IF(B11289="","",HOUR(A11289))</f>
        <v/>
      </c>
    </row>
    <row r="11290">
      <c r="A11290">
        <f>Input!A11290</f>
        <v/>
      </c>
      <c r="B11290">
        <f>IF(ISNUMBER(Input!B11290),IF(AND(Input!B11290&gt;=20,Input!B11290&lt;=700),Input!B11290,""),"")</f>
        <v/>
      </c>
      <c r="C11290">
        <f>IF(B11290="","",INT(A11290))</f>
        <v/>
      </c>
      <c r="D11290">
        <f>IF(B11290="","",HOUR(A11290))</f>
        <v/>
      </c>
    </row>
    <row r="11291">
      <c r="A11291">
        <f>Input!A11291</f>
        <v/>
      </c>
      <c r="B11291">
        <f>IF(ISNUMBER(Input!B11291),IF(AND(Input!B11291&gt;=20,Input!B11291&lt;=700),Input!B11291,""),"")</f>
        <v/>
      </c>
      <c r="C11291">
        <f>IF(B11291="","",INT(A11291))</f>
        <v/>
      </c>
      <c r="D11291">
        <f>IF(B11291="","",HOUR(A11291))</f>
        <v/>
      </c>
    </row>
    <row r="11292">
      <c r="A11292">
        <f>Input!A11292</f>
        <v/>
      </c>
      <c r="B11292">
        <f>IF(ISNUMBER(Input!B11292),IF(AND(Input!B11292&gt;=20,Input!B11292&lt;=700),Input!B11292,""),"")</f>
        <v/>
      </c>
      <c r="C11292">
        <f>IF(B11292="","",INT(A11292))</f>
        <v/>
      </c>
      <c r="D11292">
        <f>IF(B11292="","",HOUR(A11292))</f>
        <v/>
      </c>
    </row>
    <row r="11293">
      <c r="A11293">
        <f>Input!A11293</f>
        <v/>
      </c>
      <c r="B11293">
        <f>IF(ISNUMBER(Input!B11293),IF(AND(Input!B11293&gt;=20,Input!B11293&lt;=700),Input!B11293,""),"")</f>
        <v/>
      </c>
      <c r="C11293">
        <f>IF(B11293="","",INT(A11293))</f>
        <v/>
      </c>
      <c r="D11293">
        <f>IF(B11293="","",HOUR(A11293))</f>
        <v/>
      </c>
    </row>
    <row r="11294">
      <c r="A11294">
        <f>Input!A11294</f>
        <v/>
      </c>
      <c r="B11294">
        <f>IF(ISNUMBER(Input!B11294),IF(AND(Input!B11294&gt;=20,Input!B11294&lt;=700),Input!B11294,""),"")</f>
        <v/>
      </c>
      <c r="C11294">
        <f>IF(B11294="","",INT(A11294))</f>
        <v/>
      </c>
      <c r="D11294">
        <f>IF(B11294="","",HOUR(A11294))</f>
        <v/>
      </c>
    </row>
    <row r="11295">
      <c r="A11295">
        <f>Input!A11295</f>
        <v/>
      </c>
      <c r="B11295">
        <f>IF(ISNUMBER(Input!B11295),IF(AND(Input!B11295&gt;=20,Input!B11295&lt;=700),Input!B11295,""),"")</f>
        <v/>
      </c>
      <c r="C11295">
        <f>IF(B11295="","",INT(A11295))</f>
        <v/>
      </c>
      <c r="D11295">
        <f>IF(B11295="","",HOUR(A11295))</f>
        <v/>
      </c>
    </row>
    <row r="11296">
      <c r="A11296">
        <f>Input!A11296</f>
        <v/>
      </c>
      <c r="B11296">
        <f>IF(ISNUMBER(Input!B11296),IF(AND(Input!B11296&gt;=20,Input!B11296&lt;=700),Input!B11296,""),"")</f>
        <v/>
      </c>
      <c r="C11296">
        <f>IF(B11296="","",INT(A11296))</f>
        <v/>
      </c>
      <c r="D11296">
        <f>IF(B11296="","",HOUR(A11296))</f>
        <v/>
      </c>
    </row>
    <row r="11297">
      <c r="A11297">
        <f>Input!A11297</f>
        <v/>
      </c>
      <c r="B11297">
        <f>IF(ISNUMBER(Input!B11297),IF(AND(Input!B11297&gt;=20,Input!B11297&lt;=700),Input!B11297,""),"")</f>
        <v/>
      </c>
      <c r="C11297">
        <f>IF(B11297="","",INT(A11297))</f>
        <v/>
      </c>
      <c r="D11297">
        <f>IF(B11297="","",HOUR(A11297))</f>
        <v/>
      </c>
    </row>
    <row r="11298">
      <c r="A11298">
        <f>Input!A11298</f>
        <v/>
      </c>
      <c r="B11298">
        <f>IF(ISNUMBER(Input!B11298),IF(AND(Input!B11298&gt;=20,Input!B11298&lt;=700),Input!B11298,""),"")</f>
        <v/>
      </c>
      <c r="C11298">
        <f>IF(B11298="","",INT(A11298))</f>
        <v/>
      </c>
      <c r="D11298">
        <f>IF(B11298="","",HOUR(A11298))</f>
        <v/>
      </c>
    </row>
    <row r="11299">
      <c r="A11299">
        <f>Input!A11299</f>
        <v/>
      </c>
      <c r="B11299">
        <f>IF(ISNUMBER(Input!B11299),IF(AND(Input!B11299&gt;=20,Input!B11299&lt;=700),Input!B11299,""),"")</f>
        <v/>
      </c>
      <c r="C11299">
        <f>IF(B11299="","",INT(A11299))</f>
        <v/>
      </c>
      <c r="D11299">
        <f>IF(B11299="","",HOUR(A11299))</f>
        <v/>
      </c>
    </row>
    <row r="11300">
      <c r="A11300">
        <f>Input!A11300</f>
        <v/>
      </c>
      <c r="B11300">
        <f>IF(ISNUMBER(Input!B11300),IF(AND(Input!B11300&gt;=20,Input!B11300&lt;=700),Input!B11300,""),"")</f>
        <v/>
      </c>
      <c r="C11300">
        <f>IF(B11300="","",INT(A11300))</f>
        <v/>
      </c>
      <c r="D11300">
        <f>IF(B11300="","",HOUR(A11300))</f>
        <v/>
      </c>
    </row>
    <row r="11301">
      <c r="A11301">
        <f>Input!A11301</f>
        <v/>
      </c>
      <c r="B11301">
        <f>IF(ISNUMBER(Input!B11301),IF(AND(Input!B11301&gt;=20,Input!B11301&lt;=700),Input!B11301,""),"")</f>
        <v/>
      </c>
      <c r="C11301">
        <f>IF(B11301="","",INT(A11301))</f>
        <v/>
      </c>
      <c r="D11301">
        <f>IF(B11301="","",HOUR(A11301))</f>
        <v/>
      </c>
    </row>
    <row r="11302">
      <c r="A11302">
        <f>Input!A11302</f>
        <v/>
      </c>
      <c r="B11302">
        <f>IF(ISNUMBER(Input!B11302),IF(AND(Input!B11302&gt;=20,Input!B11302&lt;=700),Input!B11302,""),"")</f>
        <v/>
      </c>
      <c r="C11302">
        <f>IF(B11302="","",INT(A11302))</f>
        <v/>
      </c>
      <c r="D11302">
        <f>IF(B11302="","",HOUR(A11302))</f>
        <v/>
      </c>
    </row>
    <row r="11303">
      <c r="A11303">
        <f>Input!A11303</f>
        <v/>
      </c>
      <c r="B11303">
        <f>IF(ISNUMBER(Input!B11303),IF(AND(Input!B11303&gt;=20,Input!B11303&lt;=700),Input!B11303,""),"")</f>
        <v/>
      </c>
      <c r="C11303">
        <f>IF(B11303="","",INT(A11303))</f>
        <v/>
      </c>
      <c r="D11303">
        <f>IF(B11303="","",HOUR(A11303))</f>
        <v/>
      </c>
    </row>
    <row r="11304">
      <c r="A11304">
        <f>Input!A11304</f>
        <v/>
      </c>
      <c r="B11304">
        <f>IF(ISNUMBER(Input!B11304),IF(AND(Input!B11304&gt;=20,Input!B11304&lt;=700),Input!B11304,""),"")</f>
        <v/>
      </c>
      <c r="C11304">
        <f>IF(B11304="","",INT(A11304))</f>
        <v/>
      </c>
      <c r="D11304">
        <f>IF(B11304="","",HOUR(A11304))</f>
        <v/>
      </c>
    </row>
    <row r="11305">
      <c r="A11305">
        <f>Input!A11305</f>
        <v/>
      </c>
      <c r="B11305">
        <f>IF(ISNUMBER(Input!B11305),IF(AND(Input!B11305&gt;=20,Input!B11305&lt;=700),Input!B11305,""),"")</f>
        <v/>
      </c>
      <c r="C11305">
        <f>IF(B11305="","",INT(A11305))</f>
        <v/>
      </c>
      <c r="D11305">
        <f>IF(B11305="","",HOUR(A11305))</f>
        <v/>
      </c>
    </row>
    <row r="11306">
      <c r="A11306">
        <f>Input!A11306</f>
        <v/>
      </c>
      <c r="B11306">
        <f>IF(ISNUMBER(Input!B11306),IF(AND(Input!B11306&gt;=20,Input!B11306&lt;=700),Input!B11306,""),"")</f>
        <v/>
      </c>
      <c r="C11306">
        <f>IF(B11306="","",INT(A11306))</f>
        <v/>
      </c>
      <c r="D11306">
        <f>IF(B11306="","",HOUR(A11306))</f>
        <v/>
      </c>
    </row>
    <row r="11307">
      <c r="A11307">
        <f>Input!A11307</f>
        <v/>
      </c>
      <c r="B11307">
        <f>IF(ISNUMBER(Input!B11307),IF(AND(Input!B11307&gt;=20,Input!B11307&lt;=700),Input!B11307,""),"")</f>
        <v/>
      </c>
      <c r="C11307">
        <f>IF(B11307="","",INT(A11307))</f>
        <v/>
      </c>
      <c r="D11307">
        <f>IF(B11307="","",HOUR(A11307))</f>
        <v/>
      </c>
    </row>
    <row r="11308">
      <c r="A11308">
        <f>Input!A11308</f>
        <v/>
      </c>
      <c r="B11308">
        <f>IF(ISNUMBER(Input!B11308),IF(AND(Input!B11308&gt;=20,Input!B11308&lt;=700),Input!B11308,""),"")</f>
        <v/>
      </c>
      <c r="C11308">
        <f>IF(B11308="","",INT(A11308))</f>
        <v/>
      </c>
      <c r="D11308">
        <f>IF(B11308="","",HOUR(A11308))</f>
        <v/>
      </c>
    </row>
    <row r="11309">
      <c r="A11309">
        <f>Input!A11309</f>
        <v/>
      </c>
      <c r="B11309">
        <f>IF(ISNUMBER(Input!B11309),IF(AND(Input!B11309&gt;=20,Input!B11309&lt;=700),Input!B11309,""),"")</f>
        <v/>
      </c>
      <c r="C11309">
        <f>IF(B11309="","",INT(A11309))</f>
        <v/>
      </c>
      <c r="D11309">
        <f>IF(B11309="","",HOUR(A11309))</f>
        <v/>
      </c>
    </row>
    <row r="11310">
      <c r="A11310">
        <f>Input!A11310</f>
        <v/>
      </c>
      <c r="B11310">
        <f>IF(ISNUMBER(Input!B11310),IF(AND(Input!B11310&gt;=20,Input!B11310&lt;=700),Input!B11310,""),"")</f>
        <v/>
      </c>
      <c r="C11310">
        <f>IF(B11310="","",INT(A11310))</f>
        <v/>
      </c>
      <c r="D11310">
        <f>IF(B11310="","",HOUR(A11310))</f>
        <v/>
      </c>
    </row>
    <row r="11311">
      <c r="A11311">
        <f>Input!A11311</f>
        <v/>
      </c>
      <c r="B11311">
        <f>IF(ISNUMBER(Input!B11311),IF(AND(Input!B11311&gt;=20,Input!B11311&lt;=700),Input!B11311,""),"")</f>
        <v/>
      </c>
      <c r="C11311">
        <f>IF(B11311="","",INT(A11311))</f>
        <v/>
      </c>
      <c r="D11311">
        <f>IF(B11311="","",HOUR(A11311))</f>
        <v/>
      </c>
    </row>
    <row r="11312">
      <c r="A11312">
        <f>Input!A11312</f>
        <v/>
      </c>
      <c r="B11312">
        <f>IF(ISNUMBER(Input!B11312),IF(AND(Input!B11312&gt;=20,Input!B11312&lt;=700),Input!B11312,""),"")</f>
        <v/>
      </c>
      <c r="C11312">
        <f>IF(B11312="","",INT(A11312))</f>
        <v/>
      </c>
      <c r="D11312">
        <f>IF(B11312="","",HOUR(A11312))</f>
        <v/>
      </c>
    </row>
    <row r="11313">
      <c r="A11313">
        <f>Input!A11313</f>
        <v/>
      </c>
      <c r="B11313">
        <f>IF(ISNUMBER(Input!B11313),IF(AND(Input!B11313&gt;=20,Input!B11313&lt;=700),Input!B11313,""),"")</f>
        <v/>
      </c>
      <c r="C11313">
        <f>IF(B11313="","",INT(A11313))</f>
        <v/>
      </c>
      <c r="D11313">
        <f>IF(B11313="","",HOUR(A11313))</f>
        <v/>
      </c>
    </row>
    <row r="11314">
      <c r="A11314">
        <f>Input!A11314</f>
        <v/>
      </c>
      <c r="B11314">
        <f>IF(ISNUMBER(Input!B11314),IF(AND(Input!B11314&gt;=20,Input!B11314&lt;=700),Input!B11314,""),"")</f>
        <v/>
      </c>
      <c r="C11314">
        <f>IF(B11314="","",INT(A11314))</f>
        <v/>
      </c>
      <c r="D11314">
        <f>IF(B11314="","",HOUR(A11314))</f>
        <v/>
      </c>
    </row>
    <row r="11315">
      <c r="A11315">
        <f>Input!A11315</f>
        <v/>
      </c>
      <c r="B11315">
        <f>IF(ISNUMBER(Input!B11315),IF(AND(Input!B11315&gt;=20,Input!B11315&lt;=700),Input!B11315,""),"")</f>
        <v/>
      </c>
      <c r="C11315">
        <f>IF(B11315="","",INT(A11315))</f>
        <v/>
      </c>
      <c r="D11315">
        <f>IF(B11315="","",HOUR(A11315))</f>
        <v/>
      </c>
    </row>
    <row r="11316">
      <c r="A11316">
        <f>Input!A11316</f>
        <v/>
      </c>
      <c r="B11316">
        <f>IF(ISNUMBER(Input!B11316),IF(AND(Input!B11316&gt;=20,Input!B11316&lt;=700),Input!B11316,""),"")</f>
        <v/>
      </c>
      <c r="C11316">
        <f>IF(B11316="","",INT(A11316))</f>
        <v/>
      </c>
      <c r="D11316">
        <f>IF(B11316="","",HOUR(A11316))</f>
        <v/>
      </c>
    </row>
    <row r="11317">
      <c r="A11317">
        <f>Input!A11317</f>
        <v/>
      </c>
      <c r="B11317">
        <f>IF(ISNUMBER(Input!B11317),IF(AND(Input!B11317&gt;=20,Input!B11317&lt;=700),Input!B11317,""),"")</f>
        <v/>
      </c>
      <c r="C11317">
        <f>IF(B11317="","",INT(A11317))</f>
        <v/>
      </c>
      <c r="D11317">
        <f>IF(B11317="","",HOUR(A11317))</f>
        <v/>
      </c>
    </row>
    <row r="11318">
      <c r="A11318">
        <f>Input!A11318</f>
        <v/>
      </c>
      <c r="B11318">
        <f>IF(ISNUMBER(Input!B11318),IF(AND(Input!B11318&gt;=20,Input!B11318&lt;=700),Input!B11318,""),"")</f>
        <v/>
      </c>
      <c r="C11318">
        <f>IF(B11318="","",INT(A11318))</f>
        <v/>
      </c>
      <c r="D11318">
        <f>IF(B11318="","",HOUR(A11318))</f>
        <v/>
      </c>
    </row>
    <row r="11319">
      <c r="A11319">
        <f>Input!A11319</f>
        <v/>
      </c>
      <c r="B11319">
        <f>IF(ISNUMBER(Input!B11319),IF(AND(Input!B11319&gt;=20,Input!B11319&lt;=700),Input!B11319,""),"")</f>
        <v/>
      </c>
      <c r="C11319">
        <f>IF(B11319="","",INT(A11319))</f>
        <v/>
      </c>
      <c r="D11319">
        <f>IF(B11319="","",HOUR(A11319))</f>
        <v/>
      </c>
    </row>
    <row r="11320">
      <c r="A11320">
        <f>Input!A11320</f>
        <v/>
      </c>
      <c r="B11320">
        <f>IF(ISNUMBER(Input!B11320),IF(AND(Input!B11320&gt;=20,Input!B11320&lt;=700),Input!B11320,""),"")</f>
        <v/>
      </c>
      <c r="C11320">
        <f>IF(B11320="","",INT(A11320))</f>
        <v/>
      </c>
      <c r="D11320">
        <f>IF(B11320="","",HOUR(A11320))</f>
        <v/>
      </c>
    </row>
    <row r="11321">
      <c r="A11321">
        <f>Input!A11321</f>
        <v/>
      </c>
      <c r="B11321">
        <f>IF(ISNUMBER(Input!B11321),IF(AND(Input!B11321&gt;=20,Input!B11321&lt;=700),Input!B11321,""),"")</f>
        <v/>
      </c>
      <c r="C11321">
        <f>IF(B11321="","",INT(A11321))</f>
        <v/>
      </c>
      <c r="D11321">
        <f>IF(B11321="","",HOUR(A11321))</f>
        <v/>
      </c>
    </row>
    <row r="11322">
      <c r="A11322">
        <f>Input!A11322</f>
        <v/>
      </c>
      <c r="B11322">
        <f>IF(ISNUMBER(Input!B11322),IF(AND(Input!B11322&gt;=20,Input!B11322&lt;=700),Input!B11322,""),"")</f>
        <v/>
      </c>
      <c r="C11322">
        <f>IF(B11322="","",INT(A11322))</f>
        <v/>
      </c>
      <c r="D11322">
        <f>IF(B11322="","",HOUR(A11322))</f>
        <v/>
      </c>
    </row>
    <row r="11323">
      <c r="A11323">
        <f>Input!A11323</f>
        <v/>
      </c>
      <c r="B11323">
        <f>IF(ISNUMBER(Input!B11323),IF(AND(Input!B11323&gt;=20,Input!B11323&lt;=700),Input!B11323,""),"")</f>
        <v/>
      </c>
      <c r="C11323">
        <f>IF(B11323="","",INT(A11323))</f>
        <v/>
      </c>
      <c r="D11323">
        <f>IF(B11323="","",HOUR(A11323))</f>
        <v/>
      </c>
    </row>
    <row r="11324">
      <c r="A11324">
        <f>Input!A11324</f>
        <v/>
      </c>
      <c r="B11324">
        <f>IF(ISNUMBER(Input!B11324),IF(AND(Input!B11324&gt;=20,Input!B11324&lt;=700),Input!B11324,""),"")</f>
        <v/>
      </c>
      <c r="C11324">
        <f>IF(B11324="","",INT(A11324))</f>
        <v/>
      </c>
      <c r="D11324">
        <f>IF(B11324="","",HOUR(A11324))</f>
        <v/>
      </c>
    </row>
    <row r="11325">
      <c r="A11325">
        <f>Input!A11325</f>
        <v/>
      </c>
      <c r="B11325">
        <f>IF(ISNUMBER(Input!B11325),IF(AND(Input!B11325&gt;=20,Input!B11325&lt;=700),Input!B11325,""),"")</f>
        <v/>
      </c>
      <c r="C11325">
        <f>IF(B11325="","",INT(A11325))</f>
        <v/>
      </c>
      <c r="D11325">
        <f>IF(B11325="","",HOUR(A11325))</f>
        <v/>
      </c>
    </row>
    <row r="11326">
      <c r="A11326">
        <f>Input!A11326</f>
        <v/>
      </c>
      <c r="B11326">
        <f>IF(ISNUMBER(Input!B11326),IF(AND(Input!B11326&gt;=20,Input!B11326&lt;=700),Input!B11326,""),"")</f>
        <v/>
      </c>
      <c r="C11326">
        <f>IF(B11326="","",INT(A11326))</f>
        <v/>
      </c>
      <c r="D11326">
        <f>IF(B11326="","",HOUR(A11326))</f>
        <v/>
      </c>
    </row>
    <row r="11327">
      <c r="A11327">
        <f>Input!A11327</f>
        <v/>
      </c>
      <c r="B11327">
        <f>IF(ISNUMBER(Input!B11327),IF(AND(Input!B11327&gt;=20,Input!B11327&lt;=700),Input!B11327,""),"")</f>
        <v/>
      </c>
      <c r="C11327">
        <f>IF(B11327="","",INT(A11327))</f>
        <v/>
      </c>
      <c r="D11327">
        <f>IF(B11327="","",HOUR(A11327))</f>
        <v/>
      </c>
    </row>
    <row r="11328">
      <c r="A11328">
        <f>Input!A11328</f>
        <v/>
      </c>
      <c r="B11328">
        <f>IF(ISNUMBER(Input!B11328),IF(AND(Input!B11328&gt;=20,Input!B11328&lt;=700),Input!B11328,""),"")</f>
        <v/>
      </c>
      <c r="C11328">
        <f>IF(B11328="","",INT(A11328))</f>
        <v/>
      </c>
      <c r="D11328">
        <f>IF(B11328="","",HOUR(A11328))</f>
        <v/>
      </c>
    </row>
    <row r="11329">
      <c r="A11329">
        <f>Input!A11329</f>
        <v/>
      </c>
      <c r="B11329">
        <f>IF(ISNUMBER(Input!B11329),IF(AND(Input!B11329&gt;=20,Input!B11329&lt;=700),Input!B11329,""),"")</f>
        <v/>
      </c>
      <c r="C11329">
        <f>IF(B11329="","",INT(A11329))</f>
        <v/>
      </c>
      <c r="D11329">
        <f>IF(B11329="","",HOUR(A11329))</f>
        <v/>
      </c>
    </row>
    <row r="11330">
      <c r="A11330">
        <f>Input!A11330</f>
        <v/>
      </c>
      <c r="B11330">
        <f>IF(ISNUMBER(Input!B11330),IF(AND(Input!B11330&gt;=20,Input!B11330&lt;=700),Input!B11330,""),"")</f>
        <v/>
      </c>
      <c r="C11330">
        <f>IF(B11330="","",INT(A11330))</f>
        <v/>
      </c>
      <c r="D11330">
        <f>IF(B11330="","",HOUR(A11330))</f>
        <v/>
      </c>
    </row>
    <row r="11331">
      <c r="A11331">
        <f>Input!A11331</f>
        <v/>
      </c>
      <c r="B11331">
        <f>IF(ISNUMBER(Input!B11331),IF(AND(Input!B11331&gt;=20,Input!B11331&lt;=700),Input!B11331,""),"")</f>
        <v/>
      </c>
      <c r="C11331">
        <f>IF(B11331="","",INT(A11331))</f>
        <v/>
      </c>
      <c r="D11331">
        <f>IF(B11331="","",HOUR(A11331))</f>
        <v/>
      </c>
    </row>
    <row r="11332">
      <c r="A11332">
        <f>Input!A11332</f>
        <v/>
      </c>
      <c r="B11332">
        <f>IF(ISNUMBER(Input!B11332),IF(AND(Input!B11332&gt;=20,Input!B11332&lt;=700),Input!B11332,""),"")</f>
        <v/>
      </c>
      <c r="C11332">
        <f>IF(B11332="","",INT(A11332))</f>
        <v/>
      </c>
      <c r="D11332">
        <f>IF(B11332="","",HOUR(A11332))</f>
        <v/>
      </c>
    </row>
    <row r="11333">
      <c r="A11333">
        <f>Input!A11333</f>
        <v/>
      </c>
      <c r="B11333">
        <f>IF(ISNUMBER(Input!B11333),IF(AND(Input!B11333&gt;=20,Input!B11333&lt;=700),Input!B11333,""),"")</f>
        <v/>
      </c>
      <c r="C11333">
        <f>IF(B11333="","",INT(A11333))</f>
        <v/>
      </c>
      <c r="D11333">
        <f>IF(B11333="","",HOUR(A11333))</f>
        <v/>
      </c>
    </row>
    <row r="11334">
      <c r="A11334">
        <f>Input!A11334</f>
        <v/>
      </c>
      <c r="B11334">
        <f>IF(ISNUMBER(Input!B11334),IF(AND(Input!B11334&gt;=20,Input!B11334&lt;=700),Input!B11334,""),"")</f>
        <v/>
      </c>
      <c r="C11334">
        <f>IF(B11334="","",INT(A11334))</f>
        <v/>
      </c>
      <c r="D11334">
        <f>IF(B11334="","",HOUR(A11334))</f>
        <v/>
      </c>
    </row>
    <row r="11335">
      <c r="A11335">
        <f>Input!A11335</f>
        <v/>
      </c>
      <c r="B11335">
        <f>IF(ISNUMBER(Input!B11335),IF(AND(Input!B11335&gt;=20,Input!B11335&lt;=700),Input!B11335,""),"")</f>
        <v/>
      </c>
      <c r="C11335">
        <f>IF(B11335="","",INT(A11335))</f>
        <v/>
      </c>
      <c r="D11335">
        <f>IF(B11335="","",HOUR(A11335))</f>
        <v/>
      </c>
    </row>
    <row r="11336">
      <c r="A11336">
        <f>Input!A11336</f>
        <v/>
      </c>
      <c r="B11336">
        <f>IF(ISNUMBER(Input!B11336),IF(AND(Input!B11336&gt;=20,Input!B11336&lt;=700),Input!B11336,""),"")</f>
        <v/>
      </c>
      <c r="C11336">
        <f>IF(B11336="","",INT(A11336))</f>
        <v/>
      </c>
      <c r="D11336">
        <f>IF(B11336="","",HOUR(A11336))</f>
        <v/>
      </c>
    </row>
    <row r="11337">
      <c r="A11337">
        <f>Input!A11337</f>
        <v/>
      </c>
      <c r="B11337">
        <f>IF(ISNUMBER(Input!B11337),IF(AND(Input!B11337&gt;=20,Input!B11337&lt;=700),Input!B11337,""),"")</f>
        <v/>
      </c>
      <c r="C11337">
        <f>IF(B11337="","",INT(A11337))</f>
        <v/>
      </c>
      <c r="D11337">
        <f>IF(B11337="","",HOUR(A11337))</f>
        <v/>
      </c>
    </row>
    <row r="11338">
      <c r="A11338">
        <f>Input!A11338</f>
        <v/>
      </c>
      <c r="B11338">
        <f>IF(ISNUMBER(Input!B11338),IF(AND(Input!B11338&gt;=20,Input!B11338&lt;=700),Input!B11338,""),"")</f>
        <v/>
      </c>
      <c r="C11338">
        <f>IF(B11338="","",INT(A11338))</f>
        <v/>
      </c>
      <c r="D11338">
        <f>IF(B11338="","",HOUR(A11338))</f>
        <v/>
      </c>
    </row>
    <row r="11339">
      <c r="A11339">
        <f>Input!A11339</f>
        <v/>
      </c>
      <c r="B11339">
        <f>IF(ISNUMBER(Input!B11339),IF(AND(Input!B11339&gt;=20,Input!B11339&lt;=700),Input!B11339,""),"")</f>
        <v/>
      </c>
      <c r="C11339">
        <f>IF(B11339="","",INT(A11339))</f>
        <v/>
      </c>
      <c r="D11339">
        <f>IF(B11339="","",HOUR(A11339))</f>
        <v/>
      </c>
    </row>
    <row r="11340">
      <c r="A11340">
        <f>Input!A11340</f>
        <v/>
      </c>
      <c r="B11340">
        <f>IF(ISNUMBER(Input!B11340),IF(AND(Input!B11340&gt;=20,Input!B11340&lt;=700),Input!B11340,""),"")</f>
        <v/>
      </c>
      <c r="C11340">
        <f>IF(B11340="","",INT(A11340))</f>
        <v/>
      </c>
      <c r="D11340">
        <f>IF(B11340="","",HOUR(A11340))</f>
        <v/>
      </c>
    </row>
    <row r="11341">
      <c r="A11341">
        <f>Input!A11341</f>
        <v/>
      </c>
      <c r="B11341">
        <f>IF(ISNUMBER(Input!B11341),IF(AND(Input!B11341&gt;=20,Input!B11341&lt;=700),Input!B11341,""),"")</f>
        <v/>
      </c>
      <c r="C11341">
        <f>IF(B11341="","",INT(A11341))</f>
        <v/>
      </c>
      <c r="D11341">
        <f>IF(B11341="","",HOUR(A11341))</f>
        <v/>
      </c>
    </row>
    <row r="11342">
      <c r="A11342">
        <f>Input!A11342</f>
        <v/>
      </c>
      <c r="B11342">
        <f>IF(ISNUMBER(Input!B11342),IF(AND(Input!B11342&gt;=20,Input!B11342&lt;=700),Input!B11342,""),"")</f>
        <v/>
      </c>
      <c r="C11342">
        <f>IF(B11342="","",INT(A11342))</f>
        <v/>
      </c>
      <c r="D11342">
        <f>IF(B11342="","",HOUR(A11342))</f>
        <v/>
      </c>
    </row>
    <row r="11343">
      <c r="A11343">
        <f>Input!A11343</f>
        <v/>
      </c>
      <c r="B11343">
        <f>IF(ISNUMBER(Input!B11343),IF(AND(Input!B11343&gt;=20,Input!B11343&lt;=700),Input!B11343,""),"")</f>
        <v/>
      </c>
      <c r="C11343">
        <f>IF(B11343="","",INT(A11343))</f>
        <v/>
      </c>
      <c r="D11343">
        <f>IF(B11343="","",HOUR(A11343))</f>
        <v/>
      </c>
    </row>
    <row r="11344">
      <c r="A11344">
        <f>Input!A11344</f>
        <v/>
      </c>
      <c r="B11344">
        <f>IF(ISNUMBER(Input!B11344),IF(AND(Input!B11344&gt;=20,Input!B11344&lt;=700),Input!B11344,""),"")</f>
        <v/>
      </c>
      <c r="C11344">
        <f>IF(B11344="","",INT(A11344))</f>
        <v/>
      </c>
      <c r="D11344">
        <f>IF(B11344="","",HOUR(A11344))</f>
        <v/>
      </c>
    </row>
    <row r="11345">
      <c r="A11345">
        <f>Input!A11345</f>
        <v/>
      </c>
      <c r="B11345">
        <f>IF(ISNUMBER(Input!B11345),IF(AND(Input!B11345&gt;=20,Input!B11345&lt;=700),Input!B11345,""),"")</f>
        <v/>
      </c>
      <c r="C11345">
        <f>IF(B11345="","",INT(A11345))</f>
        <v/>
      </c>
      <c r="D11345">
        <f>IF(B11345="","",HOUR(A11345))</f>
        <v/>
      </c>
    </row>
    <row r="11346">
      <c r="A11346">
        <f>Input!A11346</f>
        <v/>
      </c>
      <c r="B11346">
        <f>IF(ISNUMBER(Input!B11346),IF(AND(Input!B11346&gt;=20,Input!B11346&lt;=700),Input!B11346,""),"")</f>
        <v/>
      </c>
      <c r="C11346">
        <f>IF(B11346="","",INT(A11346))</f>
        <v/>
      </c>
      <c r="D11346">
        <f>IF(B11346="","",HOUR(A11346))</f>
        <v/>
      </c>
    </row>
    <row r="11347">
      <c r="A11347">
        <f>Input!A11347</f>
        <v/>
      </c>
      <c r="B11347">
        <f>IF(ISNUMBER(Input!B11347),IF(AND(Input!B11347&gt;=20,Input!B11347&lt;=700),Input!B11347,""),"")</f>
        <v/>
      </c>
      <c r="C11347">
        <f>IF(B11347="","",INT(A11347))</f>
        <v/>
      </c>
      <c r="D11347">
        <f>IF(B11347="","",HOUR(A11347))</f>
        <v/>
      </c>
    </row>
    <row r="11348">
      <c r="A11348">
        <f>Input!A11348</f>
        <v/>
      </c>
      <c r="B11348">
        <f>IF(ISNUMBER(Input!B11348),IF(AND(Input!B11348&gt;=20,Input!B11348&lt;=700),Input!B11348,""),"")</f>
        <v/>
      </c>
      <c r="C11348">
        <f>IF(B11348="","",INT(A11348))</f>
        <v/>
      </c>
      <c r="D11348">
        <f>IF(B11348="","",HOUR(A11348))</f>
        <v/>
      </c>
    </row>
    <row r="11349">
      <c r="A11349">
        <f>Input!A11349</f>
        <v/>
      </c>
      <c r="B11349">
        <f>IF(ISNUMBER(Input!B11349),IF(AND(Input!B11349&gt;=20,Input!B11349&lt;=700),Input!B11349,""),"")</f>
        <v/>
      </c>
      <c r="C11349">
        <f>IF(B11349="","",INT(A11349))</f>
        <v/>
      </c>
      <c r="D11349">
        <f>IF(B11349="","",HOUR(A11349))</f>
        <v/>
      </c>
    </row>
    <row r="11350">
      <c r="A11350">
        <f>Input!A11350</f>
        <v/>
      </c>
      <c r="B11350">
        <f>IF(ISNUMBER(Input!B11350),IF(AND(Input!B11350&gt;=20,Input!B11350&lt;=700),Input!B11350,""),"")</f>
        <v/>
      </c>
      <c r="C11350">
        <f>IF(B11350="","",INT(A11350))</f>
        <v/>
      </c>
      <c r="D11350">
        <f>IF(B11350="","",HOUR(A11350))</f>
        <v/>
      </c>
    </row>
    <row r="11351">
      <c r="A11351">
        <f>Input!A11351</f>
        <v/>
      </c>
      <c r="B11351">
        <f>IF(ISNUMBER(Input!B11351),IF(AND(Input!B11351&gt;=20,Input!B11351&lt;=700),Input!B11351,""),"")</f>
        <v/>
      </c>
      <c r="C11351">
        <f>IF(B11351="","",INT(A11351))</f>
        <v/>
      </c>
      <c r="D11351">
        <f>IF(B11351="","",HOUR(A11351))</f>
        <v/>
      </c>
    </row>
    <row r="11352">
      <c r="A11352">
        <f>Input!A11352</f>
        <v/>
      </c>
      <c r="B11352">
        <f>IF(ISNUMBER(Input!B11352),IF(AND(Input!B11352&gt;=20,Input!B11352&lt;=700),Input!B11352,""),"")</f>
        <v/>
      </c>
      <c r="C11352">
        <f>IF(B11352="","",INT(A11352))</f>
        <v/>
      </c>
      <c r="D11352">
        <f>IF(B11352="","",HOUR(A11352))</f>
        <v/>
      </c>
    </row>
    <row r="11353">
      <c r="A11353">
        <f>Input!A11353</f>
        <v/>
      </c>
      <c r="B11353">
        <f>IF(ISNUMBER(Input!B11353),IF(AND(Input!B11353&gt;=20,Input!B11353&lt;=700),Input!B11353,""),"")</f>
        <v/>
      </c>
      <c r="C11353">
        <f>IF(B11353="","",INT(A11353))</f>
        <v/>
      </c>
      <c r="D11353">
        <f>IF(B11353="","",HOUR(A11353))</f>
        <v/>
      </c>
    </row>
    <row r="11354">
      <c r="A11354">
        <f>Input!A11354</f>
        <v/>
      </c>
      <c r="B11354">
        <f>IF(ISNUMBER(Input!B11354),IF(AND(Input!B11354&gt;=20,Input!B11354&lt;=700),Input!B11354,""),"")</f>
        <v/>
      </c>
      <c r="C11354">
        <f>IF(B11354="","",INT(A11354))</f>
        <v/>
      </c>
      <c r="D11354">
        <f>IF(B11354="","",HOUR(A11354))</f>
        <v/>
      </c>
    </row>
    <row r="11355">
      <c r="A11355">
        <f>Input!A11355</f>
        <v/>
      </c>
      <c r="B11355">
        <f>IF(ISNUMBER(Input!B11355),IF(AND(Input!B11355&gt;=20,Input!B11355&lt;=700),Input!B11355,""),"")</f>
        <v/>
      </c>
      <c r="C11355">
        <f>IF(B11355="","",INT(A11355))</f>
        <v/>
      </c>
      <c r="D11355">
        <f>IF(B11355="","",HOUR(A11355))</f>
        <v/>
      </c>
    </row>
    <row r="11356">
      <c r="A11356">
        <f>Input!A11356</f>
        <v/>
      </c>
      <c r="B11356">
        <f>IF(ISNUMBER(Input!B11356),IF(AND(Input!B11356&gt;=20,Input!B11356&lt;=700),Input!B11356,""),"")</f>
        <v/>
      </c>
      <c r="C11356">
        <f>IF(B11356="","",INT(A11356))</f>
        <v/>
      </c>
      <c r="D11356">
        <f>IF(B11356="","",HOUR(A11356))</f>
        <v/>
      </c>
    </row>
    <row r="11357">
      <c r="A11357">
        <f>Input!A11357</f>
        <v/>
      </c>
      <c r="B11357">
        <f>IF(ISNUMBER(Input!B11357),IF(AND(Input!B11357&gt;=20,Input!B11357&lt;=700),Input!B11357,""),"")</f>
        <v/>
      </c>
      <c r="C11357">
        <f>IF(B11357="","",INT(A11357))</f>
        <v/>
      </c>
      <c r="D11357">
        <f>IF(B11357="","",HOUR(A11357))</f>
        <v/>
      </c>
    </row>
    <row r="11358">
      <c r="A11358">
        <f>Input!A11358</f>
        <v/>
      </c>
      <c r="B11358">
        <f>IF(ISNUMBER(Input!B11358),IF(AND(Input!B11358&gt;=20,Input!B11358&lt;=700),Input!B11358,""),"")</f>
        <v/>
      </c>
      <c r="C11358">
        <f>IF(B11358="","",INT(A11358))</f>
        <v/>
      </c>
      <c r="D11358">
        <f>IF(B11358="","",HOUR(A11358))</f>
        <v/>
      </c>
    </row>
    <row r="11359">
      <c r="A11359">
        <f>Input!A11359</f>
        <v/>
      </c>
      <c r="B11359">
        <f>IF(ISNUMBER(Input!B11359),IF(AND(Input!B11359&gt;=20,Input!B11359&lt;=700),Input!B11359,""),"")</f>
        <v/>
      </c>
      <c r="C11359">
        <f>IF(B11359="","",INT(A11359))</f>
        <v/>
      </c>
      <c r="D11359">
        <f>IF(B11359="","",HOUR(A11359))</f>
        <v/>
      </c>
    </row>
    <row r="11360">
      <c r="A11360">
        <f>Input!A11360</f>
        <v/>
      </c>
      <c r="B11360">
        <f>IF(ISNUMBER(Input!B11360),IF(AND(Input!B11360&gt;=20,Input!B11360&lt;=700),Input!B11360,""),"")</f>
        <v/>
      </c>
      <c r="C11360">
        <f>IF(B11360="","",INT(A11360))</f>
        <v/>
      </c>
      <c r="D11360">
        <f>IF(B11360="","",HOUR(A11360))</f>
        <v/>
      </c>
    </row>
    <row r="11361">
      <c r="A11361">
        <f>Input!A11361</f>
        <v/>
      </c>
      <c r="B11361">
        <f>IF(ISNUMBER(Input!B11361),IF(AND(Input!B11361&gt;=20,Input!B11361&lt;=700),Input!B11361,""),"")</f>
        <v/>
      </c>
      <c r="C11361">
        <f>IF(B11361="","",INT(A11361))</f>
        <v/>
      </c>
      <c r="D11361">
        <f>IF(B11361="","",HOUR(A11361))</f>
        <v/>
      </c>
    </row>
    <row r="11362">
      <c r="A11362">
        <f>Input!A11362</f>
        <v/>
      </c>
      <c r="B11362">
        <f>IF(ISNUMBER(Input!B11362),IF(AND(Input!B11362&gt;=20,Input!B11362&lt;=700),Input!B11362,""),"")</f>
        <v/>
      </c>
      <c r="C11362">
        <f>IF(B11362="","",INT(A11362))</f>
        <v/>
      </c>
      <c r="D11362">
        <f>IF(B11362="","",HOUR(A11362))</f>
        <v/>
      </c>
    </row>
    <row r="11363">
      <c r="A11363">
        <f>Input!A11363</f>
        <v/>
      </c>
      <c r="B11363">
        <f>IF(ISNUMBER(Input!B11363),IF(AND(Input!B11363&gt;=20,Input!B11363&lt;=700),Input!B11363,""),"")</f>
        <v/>
      </c>
      <c r="C11363">
        <f>IF(B11363="","",INT(A11363))</f>
        <v/>
      </c>
      <c r="D11363">
        <f>IF(B11363="","",HOUR(A11363))</f>
        <v/>
      </c>
    </row>
    <row r="11364">
      <c r="A11364">
        <f>Input!A11364</f>
        <v/>
      </c>
      <c r="B11364">
        <f>IF(ISNUMBER(Input!B11364),IF(AND(Input!B11364&gt;=20,Input!B11364&lt;=700),Input!B11364,""),"")</f>
        <v/>
      </c>
      <c r="C11364">
        <f>IF(B11364="","",INT(A11364))</f>
        <v/>
      </c>
      <c r="D11364">
        <f>IF(B11364="","",HOUR(A11364))</f>
        <v/>
      </c>
    </row>
    <row r="11365">
      <c r="A11365">
        <f>Input!A11365</f>
        <v/>
      </c>
      <c r="B11365">
        <f>IF(ISNUMBER(Input!B11365),IF(AND(Input!B11365&gt;=20,Input!B11365&lt;=700),Input!B11365,""),"")</f>
        <v/>
      </c>
      <c r="C11365">
        <f>IF(B11365="","",INT(A11365))</f>
        <v/>
      </c>
      <c r="D11365">
        <f>IF(B11365="","",HOUR(A11365))</f>
        <v/>
      </c>
    </row>
    <row r="11366">
      <c r="A11366">
        <f>Input!A11366</f>
        <v/>
      </c>
      <c r="B11366">
        <f>IF(ISNUMBER(Input!B11366),IF(AND(Input!B11366&gt;=20,Input!B11366&lt;=700),Input!B11366,""),"")</f>
        <v/>
      </c>
      <c r="C11366">
        <f>IF(B11366="","",INT(A11366))</f>
        <v/>
      </c>
      <c r="D11366">
        <f>IF(B11366="","",HOUR(A11366))</f>
        <v/>
      </c>
    </row>
    <row r="11367">
      <c r="A11367">
        <f>Input!A11367</f>
        <v/>
      </c>
      <c r="B11367">
        <f>IF(ISNUMBER(Input!B11367),IF(AND(Input!B11367&gt;=20,Input!B11367&lt;=700),Input!B11367,""),"")</f>
        <v/>
      </c>
      <c r="C11367">
        <f>IF(B11367="","",INT(A11367))</f>
        <v/>
      </c>
      <c r="D11367">
        <f>IF(B11367="","",HOUR(A11367))</f>
        <v/>
      </c>
    </row>
    <row r="11368">
      <c r="A11368">
        <f>Input!A11368</f>
        <v/>
      </c>
      <c r="B11368">
        <f>IF(ISNUMBER(Input!B11368),IF(AND(Input!B11368&gt;=20,Input!B11368&lt;=700),Input!B11368,""),"")</f>
        <v/>
      </c>
      <c r="C11368">
        <f>IF(B11368="","",INT(A11368))</f>
        <v/>
      </c>
      <c r="D11368">
        <f>IF(B11368="","",HOUR(A11368))</f>
        <v/>
      </c>
    </row>
    <row r="11369">
      <c r="A11369">
        <f>Input!A11369</f>
        <v/>
      </c>
      <c r="B11369">
        <f>IF(ISNUMBER(Input!B11369),IF(AND(Input!B11369&gt;=20,Input!B11369&lt;=700),Input!B11369,""),"")</f>
        <v/>
      </c>
      <c r="C11369">
        <f>IF(B11369="","",INT(A11369))</f>
        <v/>
      </c>
      <c r="D11369">
        <f>IF(B11369="","",HOUR(A11369))</f>
        <v/>
      </c>
    </row>
    <row r="11370">
      <c r="A11370">
        <f>Input!A11370</f>
        <v/>
      </c>
      <c r="B11370">
        <f>IF(ISNUMBER(Input!B11370),IF(AND(Input!B11370&gt;=20,Input!B11370&lt;=700),Input!B11370,""),"")</f>
        <v/>
      </c>
      <c r="C11370">
        <f>IF(B11370="","",INT(A11370))</f>
        <v/>
      </c>
      <c r="D11370">
        <f>IF(B11370="","",HOUR(A11370))</f>
        <v/>
      </c>
    </row>
    <row r="11371">
      <c r="A11371">
        <f>Input!A11371</f>
        <v/>
      </c>
      <c r="B11371">
        <f>IF(ISNUMBER(Input!B11371),IF(AND(Input!B11371&gt;=20,Input!B11371&lt;=700),Input!B11371,""),"")</f>
        <v/>
      </c>
      <c r="C11371">
        <f>IF(B11371="","",INT(A11371))</f>
        <v/>
      </c>
      <c r="D11371">
        <f>IF(B11371="","",HOUR(A11371))</f>
        <v/>
      </c>
    </row>
    <row r="11372">
      <c r="A11372">
        <f>Input!A11372</f>
        <v/>
      </c>
      <c r="B11372">
        <f>IF(ISNUMBER(Input!B11372),IF(AND(Input!B11372&gt;=20,Input!B11372&lt;=700),Input!B11372,""),"")</f>
        <v/>
      </c>
      <c r="C11372">
        <f>IF(B11372="","",INT(A11372))</f>
        <v/>
      </c>
      <c r="D11372">
        <f>IF(B11372="","",HOUR(A11372))</f>
        <v/>
      </c>
    </row>
    <row r="11373">
      <c r="A11373">
        <f>Input!A11373</f>
        <v/>
      </c>
      <c r="B11373">
        <f>IF(ISNUMBER(Input!B11373),IF(AND(Input!B11373&gt;=20,Input!B11373&lt;=700),Input!B11373,""),"")</f>
        <v/>
      </c>
      <c r="C11373">
        <f>IF(B11373="","",INT(A11373))</f>
        <v/>
      </c>
      <c r="D11373">
        <f>IF(B11373="","",HOUR(A11373))</f>
        <v/>
      </c>
    </row>
    <row r="11374">
      <c r="A11374">
        <f>Input!A11374</f>
        <v/>
      </c>
      <c r="B11374">
        <f>IF(ISNUMBER(Input!B11374),IF(AND(Input!B11374&gt;=20,Input!B11374&lt;=700),Input!B11374,""),"")</f>
        <v/>
      </c>
      <c r="C11374">
        <f>IF(B11374="","",INT(A11374))</f>
        <v/>
      </c>
      <c r="D11374">
        <f>IF(B11374="","",HOUR(A11374))</f>
        <v/>
      </c>
    </row>
    <row r="11375">
      <c r="A11375">
        <f>Input!A11375</f>
        <v/>
      </c>
      <c r="B11375">
        <f>IF(ISNUMBER(Input!B11375),IF(AND(Input!B11375&gt;=20,Input!B11375&lt;=700),Input!B11375,""),"")</f>
        <v/>
      </c>
      <c r="C11375">
        <f>IF(B11375="","",INT(A11375))</f>
        <v/>
      </c>
      <c r="D11375">
        <f>IF(B11375="","",HOUR(A11375))</f>
        <v/>
      </c>
    </row>
    <row r="11376">
      <c r="A11376">
        <f>Input!A11376</f>
        <v/>
      </c>
      <c r="B11376">
        <f>IF(ISNUMBER(Input!B11376),IF(AND(Input!B11376&gt;=20,Input!B11376&lt;=700),Input!B11376,""),"")</f>
        <v/>
      </c>
      <c r="C11376">
        <f>IF(B11376="","",INT(A11376))</f>
        <v/>
      </c>
      <c r="D11376">
        <f>IF(B11376="","",HOUR(A11376))</f>
        <v/>
      </c>
    </row>
    <row r="11377">
      <c r="A11377">
        <f>Input!A11377</f>
        <v/>
      </c>
      <c r="B11377">
        <f>IF(ISNUMBER(Input!B11377),IF(AND(Input!B11377&gt;=20,Input!B11377&lt;=700),Input!B11377,""),"")</f>
        <v/>
      </c>
      <c r="C11377">
        <f>IF(B11377="","",INT(A11377))</f>
        <v/>
      </c>
      <c r="D11377">
        <f>IF(B11377="","",HOUR(A11377))</f>
        <v/>
      </c>
    </row>
    <row r="11378">
      <c r="A11378">
        <f>Input!A11378</f>
        <v/>
      </c>
      <c r="B11378">
        <f>IF(ISNUMBER(Input!B11378),IF(AND(Input!B11378&gt;=20,Input!B11378&lt;=700),Input!B11378,""),"")</f>
        <v/>
      </c>
      <c r="C11378">
        <f>IF(B11378="","",INT(A11378))</f>
        <v/>
      </c>
      <c r="D11378">
        <f>IF(B11378="","",HOUR(A11378))</f>
        <v/>
      </c>
    </row>
    <row r="11379">
      <c r="A11379">
        <f>Input!A11379</f>
        <v/>
      </c>
      <c r="B11379">
        <f>IF(ISNUMBER(Input!B11379),IF(AND(Input!B11379&gt;=20,Input!B11379&lt;=700),Input!B11379,""),"")</f>
        <v/>
      </c>
      <c r="C11379">
        <f>IF(B11379="","",INT(A11379))</f>
        <v/>
      </c>
      <c r="D11379">
        <f>IF(B11379="","",HOUR(A11379))</f>
        <v/>
      </c>
    </row>
    <row r="11380">
      <c r="A11380">
        <f>Input!A11380</f>
        <v/>
      </c>
      <c r="B11380">
        <f>IF(ISNUMBER(Input!B11380),IF(AND(Input!B11380&gt;=20,Input!B11380&lt;=700),Input!B11380,""),"")</f>
        <v/>
      </c>
      <c r="C11380">
        <f>IF(B11380="","",INT(A11380))</f>
        <v/>
      </c>
      <c r="D11380">
        <f>IF(B11380="","",HOUR(A11380))</f>
        <v/>
      </c>
    </row>
    <row r="11381">
      <c r="A11381">
        <f>Input!A11381</f>
        <v/>
      </c>
      <c r="B11381">
        <f>IF(ISNUMBER(Input!B11381),IF(AND(Input!B11381&gt;=20,Input!B11381&lt;=700),Input!B11381,""),"")</f>
        <v/>
      </c>
      <c r="C11381">
        <f>IF(B11381="","",INT(A11381))</f>
        <v/>
      </c>
      <c r="D11381">
        <f>IF(B11381="","",HOUR(A11381))</f>
        <v/>
      </c>
    </row>
    <row r="11382">
      <c r="A11382">
        <f>Input!A11382</f>
        <v/>
      </c>
      <c r="B11382">
        <f>IF(ISNUMBER(Input!B11382),IF(AND(Input!B11382&gt;=20,Input!B11382&lt;=700),Input!B11382,""),"")</f>
        <v/>
      </c>
      <c r="C11382">
        <f>IF(B11382="","",INT(A11382))</f>
        <v/>
      </c>
      <c r="D11382">
        <f>IF(B11382="","",HOUR(A11382))</f>
        <v/>
      </c>
    </row>
    <row r="11383">
      <c r="A11383">
        <f>Input!A11383</f>
        <v/>
      </c>
      <c r="B11383">
        <f>IF(ISNUMBER(Input!B11383),IF(AND(Input!B11383&gt;=20,Input!B11383&lt;=700),Input!B11383,""),"")</f>
        <v/>
      </c>
      <c r="C11383">
        <f>IF(B11383="","",INT(A11383))</f>
        <v/>
      </c>
      <c r="D11383">
        <f>IF(B11383="","",HOUR(A11383))</f>
        <v/>
      </c>
    </row>
    <row r="11384">
      <c r="A11384">
        <f>Input!A11384</f>
        <v/>
      </c>
      <c r="B11384">
        <f>IF(ISNUMBER(Input!B11384),IF(AND(Input!B11384&gt;=20,Input!B11384&lt;=700),Input!B11384,""),"")</f>
        <v/>
      </c>
      <c r="C11384">
        <f>IF(B11384="","",INT(A11384))</f>
        <v/>
      </c>
      <c r="D11384">
        <f>IF(B11384="","",HOUR(A11384))</f>
        <v/>
      </c>
    </row>
    <row r="11385">
      <c r="A11385">
        <f>Input!A11385</f>
        <v/>
      </c>
      <c r="B11385">
        <f>IF(ISNUMBER(Input!B11385),IF(AND(Input!B11385&gt;=20,Input!B11385&lt;=700),Input!B11385,""),"")</f>
        <v/>
      </c>
      <c r="C11385">
        <f>IF(B11385="","",INT(A11385))</f>
        <v/>
      </c>
      <c r="D11385">
        <f>IF(B11385="","",HOUR(A11385))</f>
        <v/>
      </c>
    </row>
    <row r="11386">
      <c r="A11386">
        <f>Input!A11386</f>
        <v/>
      </c>
      <c r="B11386">
        <f>IF(ISNUMBER(Input!B11386),IF(AND(Input!B11386&gt;=20,Input!B11386&lt;=700),Input!B11386,""),"")</f>
        <v/>
      </c>
      <c r="C11386">
        <f>IF(B11386="","",INT(A11386))</f>
        <v/>
      </c>
      <c r="D11386">
        <f>IF(B11386="","",HOUR(A11386))</f>
        <v/>
      </c>
    </row>
    <row r="11387">
      <c r="A11387">
        <f>Input!A11387</f>
        <v/>
      </c>
      <c r="B11387">
        <f>IF(ISNUMBER(Input!B11387),IF(AND(Input!B11387&gt;=20,Input!B11387&lt;=700),Input!B11387,""),"")</f>
        <v/>
      </c>
      <c r="C11387">
        <f>IF(B11387="","",INT(A11387))</f>
        <v/>
      </c>
      <c r="D11387">
        <f>IF(B11387="","",HOUR(A11387))</f>
        <v/>
      </c>
    </row>
    <row r="11388">
      <c r="A11388">
        <f>Input!A11388</f>
        <v/>
      </c>
      <c r="B11388">
        <f>IF(ISNUMBER(Input!B11388),IF(AND(Input!B11388&gt;=20,Input!B11388&lt;=700),Input!B11388,""),"")</f>
        <v/>
      </c>
      <c r="C11388">
        <f>IF(B11388="","",INT(A11388))</f>
        <v/>
      </c>
      <c r="D11388">
        <f>IF(B11388="","",HOUR(A11388))</f>
        <v/>
      </c>
    </row>
    <row r="11389">
      <c r="A11389">
        <f>Input!A11389</f>
        <v/>
      </c>
      <c r="B11389">
        <f>IF(ISNUMBER(Input!B11389),IF(AND(Input!B11389&gt;=20,Input!B11389&lt;=700),Input!B11389,""),"")</f>
        <v/>
      </c>
      <c r="C11389">
        <f>IF(B11389="","",INT(A11389))</f>
        <v/>
      </c>
      <c r="D11389">
        <f>IF(B11389="","",HOUR(A11389))</f>
        <v/>
      </c>
    </row>
    <row r="11390">
      <c r="A11390">
        <f>Input!A11390</f>
        <v/>
      </c>
      <c r="B11390">
        <f>IF(ISNUMBER(Input!B11390),IF(AND(Input!B11390&gt;=20,Input!B11390&lt;=700),Input!B11390,""),"")</f>
        <v/>
      </c>
      <c r="C11390">
        <f>IF(B11390="","",INT(A11390))</f>
        <v/>
      </c>
      <c r="D11390">
        <f>IF(B11390="","",HOUR(A11390))</f>
        <v/>
      </c>
    </row>
    <row r="11391">
      <c r="A11391">
        <f>Input!A11391</f>
        <v/>
      </c>
      <c r="B11391">
        <f>IF(ISNUMBER(Input!B11391),IF(AND(Input!B11391&gt;=20,Input!B11391&lt;=700),Input!B11391,""),"")</f>
        <v/>
      </c>
      <c r="C11391">
        <f>IF(B11391="","",INT(A11391))</f>
        <v/>
      </c>
      <c r="D11391">
        <f>IF(B11391="","",HOUR(A11391))</f>
        <v/>
      </c>
    </row>
    <row r="11392">
      <c r="A11392">
        <f>Input!A11392</f>
        <v/>
      </c>
      <c r="B11392">
        <f>IF(ISNUMBER(Input!B11392),IF(AND(Input!B11392&gt;=20,Input!B11392&lt;=700),Input!B11392,""),"")</f>
        <v/>
      </c>
      <c r="C11392">
        <f>IF(B11392="","",INT(A11392))</f>
        <v/>
      </c>
      <c r="D11392">
        <f>IF(B11392="","",HOUR(A11392))</f>
        <v/>
      </c>
    </row>
    <row r="11393">
      <c r="A11393">
        <f>Input!A11393</f>
        <v/>
      </c>
      <c r="B11393">
        <f>IF(ISNUMBER(Input!B11393),IF(AND(Input!B11393&gt;=20,Input!B11393&lt;=700),Input!B11393,""),"")</f>
        <v/>
      </c>
      <c r="C11393">
        <f>IF(B11393="","",INT(A11393))</f>
        <v/>
      </c>
      <c r="D11393">
        <f>IF(B11393="","",HOUR(A11393))</f>
        <v/>
      </c>
    </row>
    <row r="11394">
      <c r="A11394">
        <f>Input!A11394</f>
        <v/>
      </c>
      <c r="B11394">
        <f>IF(ISNUMBER(Input!B11394),IF(AND(Input!B11394&gt;=20,Input!B11394&lt;=700),Input!B11394,""),"")</f>
        <v/>
      </c>
      <c r="C11394">
        <f>IF(B11394="","",INT(A11394))</f>
        <v/>
      </c>
      <c r="D11394">
        <f>IF(B11394="","",HOUR(A11394))</f>
        <v/>
      </c>
    </row>
    <row r="11395">
      <c r="A11395">
        <f>Input!A11395</f>
        <v/>
      </c>
      <c r="B11395">
        <f>IF(ISNUMBER(Input!B11395),IF(AND(Input!B11395&gt;=20,Input!B11395&lt;=700),Input!B11395,""),"")</f>
        <v/>
      </c>
      <c r="C11395">
        <f>IF(B11395="","",INT(A11395))</f>
        <v/>
      </c>
      <c r="D11395">
        <f>IF(B11395="","",HOUR(A11395))</f>
        <v/>
      </c>
    </row>
    <row r="11396">
      <c r="A11396">
        <f>Input!A11396</f>
        <v/>
      </c>
      <c r="B11396">
        <f>IF(ISNUMBER(Input!B11396),IF(AND(Input!B11396&gt;=20,Input!B11396&lt;=700),Input!B11396,""),"")</f>
        <v/>
      </c>
      <c r="C11396">
        <f>IF(B11396="","",INT(A11396))</f>
        <v/>
      </c>
      <c r="D11396">
        <f>IF(B11396="","",HOUR(A11396))</f>
        <v/>
      </c>
    </row>
    <row r="11397">
      <c r="A11397">
        <f>Input!A11397</f>
        <v/>
      </c>
      <c r="B11397">
        <f>IF(ISNUMBER(Input!B11397),IF(AND(Input!B11397&gt;=20,Input!B11397&lt;=700),Input!B11397,""),"")</f>
        <v/>
      </c>
      <c r="C11397">
        <f>IF(B11397="","",INT(A11397))</f>
        <v/>
      </c>
      <c r="D11397">
        <f>IF(B11397="","",HOUR(A11397))</f>
        <v/>
      </c>
    </row>
    <row r="11398">
      <c r="A11398">
        <f>Input!A11398</f>
        <v/>
      </c>
      <c r="B11398">
        <f>IF(ISNUMBER(Input!B11398),IF(AND(Input!B11398&gt;=20,Input!B11398&lt;=700),Input!B11398,""),"")</f>
        <v/>
      </c>
      <c r="C11398">
        <f>IF(B11398="","",INT(A11398))</f>
        <v/>
      </c>
      <c r="D11398">
        <f>IF(B11398="","",HOUR(A11398))</f>
        <v/>
      </c>
    </row>
    <row r="11399">
      <c r="A11399">
        <f>Input!A11399</f>
        <v/>
      </c>
      <c r="B11399">
        <f>IF(ISNUMBER(Input!B11399),IF(AND(Input!B11399&gt;=20,Input!B11399&lt;=700),Input!B11399,""),"")</f>
        <v/>
      </c>
      <c r="C11399">
        <f>IF(B11399="","",INT(A11399))</f>
        <v/>
      </c>
      <c r="D11399">
        <f>IF(B11399="","",HOUR(A11399))</f>
        <v/>
      </c>
    </row>
    <row r="11400">
      <c r="A11400">
        <f>Input!A11400</f>
        <v/>
      </c>
      <c r="B11400">
        <f>IF(ISNUMBER(Input!B11400),IF(AND(Input!B11400&gt;=20,Input!B11400&lt;=700),Input!B11400,""),"")</f>
        <v/>
      </c>
      <c r="C11400">
        <f>IF(B11400="","",INT(A11400))</f>
        <v/>
      </c>
      <c r="D11400">
        <f>IF(B11400="","",HOUR(A11400))</f>
        <v/>
      </c>
    </row>
    <row r="11401">
      <c r="A11401">
        <f>Input!A11401</f>
        <v/>
      </c>
      <c r="B11401">
        <f>IF(ISNUMBER(Input!B11401),IF(AND(Input!B11401&gt;=20,Input!B11401&lt;=700),Input!B11401,""),"")</f>
        <v/>
      </c>
      <c r="C11401">
        <f>IF(B11401="","",INT(A11401))</f>
        <v/>
      </c>
      <c r="D11401">
        <f>IF(B11401="","",HOUR(A11401))</f>
        <v/>
      </c>
    </row>
    <row r="11402">
      <c r="A11402">
        <f>Input!A11402</f>
        <v/>
      </c>
      <c r="B11402">
        <f>IF(ISNUMBER(Input!B11402),IF(AND(Input!B11402&gt;=20,Input!B11402&lt;=700),Input!B11402,""),"")</f>
        <v/>
      </c>
      <c r="C11402">
        <f>IF(B11402="","",INT(A11402))</f>
        <v/>
      </c>
      <c r="D11402">
        <f>IF(B11402="","",HOUR(A11402))</f>
        <v/>
      </c>
    </row>
    <row r="11403">
      <c r="A11403">
        <f>Input!A11403</f>
        <v/>
      </c>
      <c r="B11403">
        <f>IF(ISNUMBER(Input!B11403),IF(AND(Input!B11403&gt;=20,Input!B11403&lt;=700),Input!B11403,""),"")</f>
        <v/>
      </c>
      <c r="C11403">
        <f>IF(B11403="","",INT(A11403))</f>
        <v/>
      </c>
      <c r="D11403">
        <f>IF(B11403="","",HOUR(A11403))</f>
        <v/>
      </c>
    </row>
    <row r="11404">
      <c r="A11404">
        <f>Input!A11404</f>
        <v/>
      </c>
      <c r="B11404">
        <f>IF(ISNUMBER(Input!B11404),IF(AND(Input!B11404&gt;=20,Input!B11404&lt;=700),Input!B11404,""),"")</f>
        <v/>
      </c>
      <c r="C11404">
        <f>IF(B11404="","",INT(A11404))</f>
        <v/>
      </c>
      <c r="D11404">
        <f>IF(B11404="","",HOUR(A11404))</f>
        <v/>
      </c>
    </row>
    <row r="11405">
      <c r="A11405">
        <f>Input!A11405</f>
        <v/>
      </c>
      <c r="B11405">
        <f>IF(ISNUMBER(Input!B11405),IF(AND(Input!B11405&gt;=20,Input!B11405&lt;=700),Input!B11405,""),"")</f>
        <v/>
      </c>
      <c r="C11405">
        <f>IF(B11405="","",INT(A11405))</f>
        <v/>
      </c>
      <c r="D11405">
        <f>IF(B11405="","",HOUR(A11405))</f>
        <v/>
      </c>
    </row>
    <row r="11406">
      <c r="A11406">
        <f>Input!A11406</f>
        <v/>
      </c>
      <c r="B11406">
        <f>IF(ISNUMBER(Input!B11406),IF(AND(Input!B11406&gt;=20,Input!B11406&lt;=700),Input!B11406,""),"")</f>
        <v/>
      </c>
      <c r="C11406">
        <f>IF(B11406="","",INT(A11406))</f>
        <v/>
      </c>
      <c r="D11406">
        <f>IF(B11406="","",HOUR(A11406))</f>
        <v/>
      </c>
    </row>
    <row r="11407">
      <c r="A11407">
        <f>Input!A11407</f>
        <v/>
      </c>
      <c r="B11407">
        <f>IF(ISNUMBER(Input!B11407),IF(AND(Input!B11407&gt;=20,Input!B11407&lt;=700),Input!B11407,""),"")</f>
        <v/>
      </c>
      <c r="C11407">
        <f>IF(B11407="","",INT(A11407))</f>
        <v/>
      </c>
      <c r="D11407">
        <f>IF(B11407="","",HOUR(A11407))</f>
        <v/>
      </c>
    </row>
    <row r="11408">
      <c r="A11408">
        <f>Input!A11408</f>
        <v/>
      </c>
      <c r="B11408">
        <f>IF(ISNUMBER(Input!B11408),IF(AND(Input!B11408&gt;=20,Input!B11408&lt;=700),Input!B11408,""),"")</f>
        <v/>
      </c>
      <c r="C11408">
        <f>IF(B11408="","",INT(A11408))</f>
        <v/>
      </c>
      <c r="D11408">
        <f>IF(B11408="","",HOUR(A11408))</f>
        <v/>
      </c>
    </row>
    <row r="11409">
      <c r="A11409">
        <f>Input!A11409</f>
        <v/>
      </c>
      <c r="B11409">
        <f>IF(ISNUMBER(Input!B11409),IF(AND(Input!B11409&gt;=20,Input!B11409&lt;=700),Input!B11409,""),"")</f>
        <v/>
      </c>
      <c r="C11409">
        <f>IF(B11409="","",INT(A11409))</f>
        <v/>
      </c>
      <c r="D11409">
        <f>IF(B11409="","",HOUR(A11409))</f>
        <v/>
      </c>
    </row>
    <row r="11410">
      <c r="A11410">
        <f>Input!A11410</f>
        <v/>
      </c>
      <c r="B11410">
        <f>IF(ISNUMBER(Input!B11410),IF(AND(Input!B11410&gt;=20,Input!B11410&lt;=700),Input!B11410,""),"")</f>
        <v/>
      </c>
      <c r="C11410">
        <f>IF(B11410="","",INT(A11410))</f>
        <v/>
      </c>
      <c r="D11410">
        <f>IF(B11410="","",HOUR(A11410))</f>
        <v/>
      </c>
    </row>
    <row r="11411">
      <c r="A11411">
        <f>Input!A11411</f>
        <v/>
      </c>
      <c r="B11411">
        <f>IF(ISNUMBER(Input!B11411),IF(AND(Input!B11411&gt;=20,Input!B11411&lt;=700),Input!B11411,""),"")</f>
        <v/>
      </c>
      <c r="C11411">
        <f>IF(B11411="","",INT(A11411))</f>
        <v/>
      </c>
      <c r="D11411">
        <f>IF(B11411="","",HOUR(A11411))</f>
        <v/>
      </c>
    </row>
    <row r="11412">
      <c r="A11412">
        <f>Input!A11412</f>
        <v/>
      </c>
      <c r="B11412">
        <f>IF(ISNUMBER(Input!B11412),IF(AND(Input!B11412&gt;=20,Input!B11412&lt;=700),Input!B11412,""),"")</f>
        <v/>
      </c>
      <c r="C11412">
        <f>IF(B11412="","",INT(A11412))</f>
        <v/>
      </c>
      <c r="D11412">
        <f>IF(B11412="","",HOUR(A11412))</f>
        <v/>
      </c>
    </row>
    <row r="11413">
      <c r="A11413">
        <f>Input!A11413</f>
        <v/>
      </c>
      <c r="B11413">
        <f>IF(ISNUMBER(Input!B11413),IF(AND(Input!B11413&gt;=20,Input!B11413&lt;=700),Input!B11413,""),"")</f>
        <v/>
      </c>
      <c r="C11413">
        <f>IF(B11413="","",INT(A11413))</f>
        <v/>
      </c>
      <c r="D11413">
        <f>IF(B11413="","",HOUR(A11413))</f>
        <v/>
      </c>
    </row>
    <row r="11414">
      <c r="A11414">
        <f>Input!A11414</f>
        <v/>
      </c>
      <c r="B11414">
        <f>IF(ISNUMBER(Input!B11414),IF(AND(Input!B11414&gt;=20,Input!B11414&lt;=700),Input!B11414,""),"")</f>
        <v/>
      </c>
      <c r="C11414">
        <f>IF(B11414="","",INT(A11414))</f>
        <v/>
      </c>
      <c r="D11414">
        <f>IF(B11414="","",HOUR(A11414))</f>
        <v/>
      </c>
    </row>
    <row r="11415">
      <c r="A11415">
        <f>Input!A11415</f>
        <v/>
      </c>
      <c r="B11415">
        <f>IF(ISNUMBER(Input!B11415),IF(AND(Input!B11415&gt;=20,Input!B11415&lt;=700),Input!B11415,""),"")</f>
        <v/>
      </c>
      <c r="C11415">
        <f>IF(B11415="","",INT(A11415))</f>
        <v/>
      </c>
      <c r="D11415">
        <f>IF(B11415="","",HOUR(A11415))</f>
        <v/>
      </c>
    </row>
    <row r="11416">
      <c r="A11416">
        <f>Input!A11416</f>
        <v/>
      </c>
      <c r="B11416">
        <f>IF(ISNUMBER(Input!B11416),IF(AND(Input!B11416&gt;=20,Input!B11416&lt;=700),Input!B11416,""),"")</f>
        <v/>
      </c>
      <c r="C11416">
        <f>IF(B11416="","",INT(A11416))</f>
        <v/>
      </c>
      <c r="D11416">
        <f>IF(B11416="","",HOUR(A11416))</f>
        <v/>
      </c>
    </row>
    <row r="11417">
      <c r="A11417">
        <f>Input!A11417</f>
        <v/>
      </c>
      <c r="B11417">
        <f>IF(ISNUMBER(Input!B11417),IF(AND(Input!B11417&gt;=20,Input!B11417&lt;=700),Input!B11417,""),"")</f>
        <v/>
      </c>
      <c r="C11417">
        <f>IF(B11417="","",INT(A11417))</f>
        <v/>
      </c>
      <c r="D11417">
        <f>IF(B11417="","",HOUR(A11417))</f>
        <v/>
      </c>
    </row>
    <row r="11418">
      <c r="A11418">
        <f>Input!A11418</f>
        <v/>
      </c>
      <c r="B11418">
        <f>IF(ISNUMBER(Input!B11418),IF(AND(Input!B11418&gt;=20,Input!B11418&lt;=700),Input!B11418,""),"")</f>
        <v/>
      </c>
      <c r="C11418">
        <f>IF(B11418="","",INT(A11418))</f>
        <v/>
      </c>
      <c r="D11418">
        <f>IF(B11418="","",HOUR(A11418))</f>
        <v/>
      </c>
    </row>
    <row r="11419">
      <c r="A11419">
        <f>Input!A11419</f>
        <v/>
      </c>
      <c r="B11419">
        <f>IF(ISNUMBER(Input!B11419),IF(AND(Input!B11419&gt;=20,Input!B11419&lt;=700),Input!B11419,""),"")</f>
        <v/>
      </c>
      <c r="C11419">
        <f>IF(B11419="","",INT(A11419))</f>
        <v/>
      </c>
      <c r="D11419">
        <f>IF(B11419="","",HOUR(A11419))</f>
        <v/>
      </c>
    </row>
    <row r="11420">
      <c r="A11420">
        <f>Input!A11420</f>
        <v/>
      </c>
      <c r="B11420">
        <f>IF(ISNUMBER(Input!B11420),IF(AND(Input!B11420&gt;=20,Input!B11420&lt;=700),Input!B11420,""),"")</f>
        <v/>
      </c>
      <c r="C11420">
        <f>IF(B11420="","",INT(A11420))</f>
        <v/>
      </c>
      <c r="D11420">
        <f>IF(B11420="","",HOUR(A11420))</f>
        <v/>
      </c>
    </row>
    <row r="11421">
      <c r="A11421">
        <f>Input!A11421</f>
        <v/>
      </c>
      <c r="B11421">
        <f>IF(ISNUMBER(Input!B11421),IF(AND(Input!B11421&gt;=20,Input!B11421&lt;=700),Input!B11421,""),"")</f>
        <v/>
      </c>
      <c r="C11421">
        <f>IF(B11421="","",INT(A11421))</f>
        <v/>
      </c>
      <c r="D11421">
        <f>IF(B11421="","",HOUR(A11421))</f>
        <v/>
      </c>
    </row>
    <row r="11422">
      <c r="A11422">
        <f>Input!A11422</f>
        <v/>
      </c>
      <c r="B11422">
        <f>IF(ISNUMBER(Input!B11422),IF(AND(Input!B11422&gt;=20,Input!B11422&lt;=700),Input!B11422,""),"")</f>
        <v/>
      </c>
      <c r="C11422">
        <f>IF(B11422="","",INT(A11422))</f>
        <v/>
      </c>
      <c r="D11422">
        <f>IF(B11422="","",HOUR(A11422))</f>
        <v/>
      </c>
    </row>
    <row r="11423">
      <c r="A11423">
        <f>Input!A11423</f>
        <v/>
      </c>
      <c r="B11423">
        <f>IF(ISNUMBER(Input!B11423),IF(AND(Input!B11423&gt;=20,Input!B11423&lt;=700),Input!B11423,""),"")</f>
        <v/>
      </c>
      <c r="C11423">
        <f>IF(B11423="","",INT(A11423))</f>
        <v/>
      </c>
      <c r="D11423">
        <f>IF(B11423="","",HOUR(A11423))</f>
        <v/>
      </c>
    </row>
    <row r="11424">
      <c r="A11424">
        <f>Input!A11424</f>
        <v/>
      </c>
      <c r="B11424">
        <f>IF(ISNUMBER(Input!B11424),IF(AND(Input!B11424&gt;=20,Input!B11424&lt;=700),Input!B11424,""),"")</f>
        <v/>
      </c>
      <c r="C11424">
        <f>IF(B11424="","",INT(A11424))</f>
        <v/>
      </c>
      <c r="D11424">
        <f>IF(B11424="","",HOUR(A11424))</f>
        <v/>
      </c>
    </row>
    <row r="11425">
      <c r="A11425">
        <f>Input!A11425</f>
        <v/>
      </c>
      <c r="B11425">
        <f>IF(ISNUMBER(Input!B11425),IF(AND(Input!B11425&gt;=20,Input!B11425&lt;=700),Input!B11425,""),"")</f>
        <v/>
      </c>
      <c r="C11425">
        <f>IF(B11425="","",INT(A11425))</f>
        <v/>
      </c>
      <c r="D11425">
        <f>IF(B11425="","",HOUR(A11425))</f>
        <v/>
      </c>
    </row>
    <row r="11426">
      <c r="A11426">
        <f>Input!A11426</f>
        <v/>
      </c>
      <c r="B11426">
        <f>IF(ISNUMBER(Input!B11426),IF(AND(Input!B11426&gt;=20,Input!B11426&lt;=700),Input!B11426,""),"")</f>
        <v/>
      </c>
      <c r="C11426">
        <f>IF(B11426="","",INT(A11426))</f>
        <v/>
      </c>
      <c r="D11426">
        <f>IF(B11426="","",HOUR(A11426))</f>
        <v/>
      </c>
    </row>
    <row r="11427">
      <c r="A11427">
        <f>Input!A11427</f>
        <v/>
      </c>
      <c r="B11427">
        <f>IF(ISNUMBER(Input!B11427),IF(AND(Input!B11427&gt;=20,Input!B11427&lt;=700),Input!B11427,""),"")</f>
        <v/>
      </c>
      <c r="C11427">
        <f>IF(B11427="","",INT(A11427))</f>
        <v/>
      </c>
      <c r="D11427">
        <f>IF(B11427="","",HOUR(A11427))</f>
        <v/>
      </c>
    </row>
    <row r="11428">
      <c r="A11428">
        <f>Input!A11428</f>
        <v/>
      </c>
      <c r="B11428">
        <f>IF(ISNUMBER(Input!B11428),IF(AND(Input!B11428&gt;=20,Input!B11428&lt;=700),Input!B11428,""),"")</f>
        <v/>
      </c>
      <c r="C11428">
        <f>IF(B11428="","",INT(A11428))</f>
        <v/>
      </c>
      <c r="D11428">
        <f>IF(B11428="","",HOUR(A11428))</f>
        <v/>
      </c>
    </row>
    <row r="11429">
      <c r="A11429">
        <f>Input!A11429</f>
        <v/>
      </c>
      <c r="B11429">
        <f>IF(ISNUMBER(Input!B11429),IF(AND(Input!B11429&gt;=20,Input!B11429&lt;=700),Input!B11429,""),"")</f>
        <v/>
      </c>
      <c r="C11429">
        <f>IF(B11429="","",INT(A11429))</f>
        <v/>
      </c>
      <c r="D11429">
        <f>IF(B11429="","",HOUR(A11429))</f>
        <v/>
      </c>
    </row>
    <row r="11430">
      <c r="A11430">
        <f>Input!A11430</f>
        <v/>
      </c>
      <c r="B11430">
        <f>IF(ISNUMBER(Input!B11430),IF(AND(Input!B11430&gt;=20,Input!B11430&lt;=700),Input!B11430,""),"")</f>
        <v/>
      </c>
      <c r="C11430">
        <f>IF(B11430="","",INT(A11430))</f>
        <v/>
      </c>
      <c r="D11430">
        <f>IF(B11430="","",HOUR(A11430))</f>
        <v/>
      </c>
    </row>
    <row r="11431">
      <c r="A11431">
        <f>Input!A11431</f>
        <v/>
      </c>
      <c r="B11431">
        <f>IF(ISNUMBER(Input!B11431),IF(AND(Input!B11431&gt;=20,Input!B11431&lt;=700),Input!B11431,""),"")</f>
        <v/>
      </c>
      <c r="C11431">
        <f>IF(B11431="","",INT(A11431))</f>
        <v/>
      </c>
      <c r="D11431">
        <f>IF(B11431="","",HOUR(A11431))</f>
        <v/>
      </c>
    </row>
    <row r="11432">
      <c r="A11432">
        <f>Input!A11432</f>
        <v/>
      </c>
      <c r="B11432">
        <f>IF(ISNUMBER(Input!B11432),IF(AND(Input!B11432&gt;=20,Input!B11432&lt;=700),Input!B11432,""),"")</f>
        <v/>
      </c>
      <c r="C11432">
        <f>IF(B11432="","",INT(A11432))</f>
        <v/>
      </c>
      <c r="D11432">
        <f>IF(B11432="","",HOUR(A11432))</f>
        <v/>
      </c>
    </row>
    <row r="11433">
      <c r="A11433">
        <f>Input!A11433</f>
        <v/>
      </c>
      <c r="B11433">
        <f>IF(ISNUMBER(Input!B11433),IF(AND(Input!B11433&gt;=20,Input!B11433&lt;=700),Input!B11433,""),"")</f>
        <v/>
      </c>
      <c r="C11433">
        <f>IF(B11433="","",INT(A11433))</f>
        <v/>
      </c>
      <c r="D11433">
        <f>IF(B11433="","",HOUR(A11433))</f>
        <v/>
      </c>
    </row>
    <row r="11434">
      <c r="A11434">
        <f>Input!A11434</f>
        <v/>
      </c>
      <c r="B11434">
        <f>IF(ISNUMBER(Input!B11434),IF(AND(Input!B11434&gt;=20,Input!B11434&lt;=700),Input!B11434,""),"")</f>
        <v/>
      </c>
      <c r="C11434">
        <f>IF(B11434="","",INT(A11434))</f>
        <v/>
      </c>
      <c r="D11434">
        <f>IF(B11434="","",HOUR(A11434))</f>
        <v/>
      </c>
    </row>
    <row r="11435">
      <c r="A11435">
        <f>Input!A11435</f>
        <v/>
      </c>
      <c r="B11435">
        <f>IF(ISNUMBER(Input!B11435),IF(AND(Input!B11435&gt;=20,Input!B11435&lt;=700),Input!B11435,""),"")</f>
        <v/>
      </c>
      <c r="C11435">
        <f>IF(B11435="","",INT(A11435))</f>
        <v/>
      </c>
      <c r="D11435">
        <f>IF(B11435="","",HOUR(A11435))</f>
        <v/>
      </c>
    </row>
    <row r="11436">
      <c r="A11436">
        <f>Input!A11436</f>
        <v/>
      </c>
      <c r="B11436">
        <f>IF(ISNUMBER(Input!B11436),IF(AND(Input!B11436&gt;=20,Input!B11436&lt;=700),Input!B11436,""),"")</f>
        <v/>
      </c>
      <c r="C11436">
        <f>IF(B11436="","",INT(A11436))</f>
        <v/>
      </c>
      <c r="D11436">
        <f>IF(B11436="","",HOUR(A11436))</f>
        <v/>
      </c>
    </row>
    <row r="11437">
      <c r="A11437">
        <f>Input!A11437</f>
        <v/>
      </c>
      <c r="B11437">
        <f>IF(ISNUMBER(Input!B11437),IF(AND(Input!B11437&gt;=20,Input!B11437&lt;=700),Input!B11437,""),"")</f>
        <v/>
      </c>
      <c r="C11437">
        <f>IF(B11437="","",INT(A11437))</f>
        <v/>
      </c>
      <c r="D11437">
        <f>IF(B11437="","",HOUR(A11437))</f>
        <v/>
      </c>
    </row>
    <row r="11438">
      <c r="A11438">
        <f>Input!A11438</f>
        <v/>
      </c>
      <c r="B11438">
        <f>IF(ISNUMBER(Input!B11438),IF(AND(Input!B11438&gt;=20,Input!B11438&lt;=700),Input!B11438,""),"")</f>
        <v/>
      </c>
      <c r="C11438">
        <f>IF(B11438="","",INT(A11438))</f>
        <v/>
      </c>
      <c r="D11438">
        <f>IF(B11438="","",HOUR(A11438))</f>
        <v/>
      </c>
    </row>
    <row r="11439">
      <c r="A11439">
        <f>Input!A11439</f>
        <v/>
      </c>
      <c r="B11439">
        <f>IF(ISNUMBER(Input!B11439),IF(AND(Input!B11439&gt;=20,Input!B11439&lt;=700),Input!B11439,""),"")</f>
        <v/>
      </c>
      <c r="C11439">
        <f>IF(B11439="","",INT(A11439))</f>
        <v/>
      </c>
      <c r="D11439">
        <f>IF(B11439="","",HOUR(A11439))</f>
        <v/>
      </c>
    </row>
    <row r="11440">
      <c r="A11440">
        <f>Input!A11440</f>
        <v/>
      </c>
      <c r="B11440">
        <f>IF(ISNUMBER(Input!B11440),IF(AND(Input!B11440&gt;=20,Input!B11440&lt;=700),Input!B11440,""),"")</f>
        <v/>
      </c>
      <c r="C11440">
        <f>IF(B11440="","",INT(A11440))</f>
        <v/>
      </c>
      <c r="D11440">
        <f>IF(B11440="","",HOUR(A11440))</f>
        <v/>
      </c>
    </row>
    <row r="11441">
      <c r="A11441">
        <f>Input!A11441</f>
        <v/>
      </c>
      <c r="B11441">
        <f>IF(ISNUMBER(Input!B11441),IF(AND(Input!B11441&gt;=20,Input!B11441&lt;=700),Input!B11441,""),"")</f>
        <v/>
      </c>
      <c r="C11441">
        <f>IF(B11441="","",INT(A11441))</f>
        <v/>
      </c>
      <c r="D11441">
        <f>IF(B11441="","",HOUR(A11441))</f>
        <v/>
      </c>
    </row>
    <row r="11442">
      <c r="A11442">
        <f>Input!A11442</f>
        <v/>
      </c>
      <c r="B11442">
        <f>IF(ISNUMBER(Input!B11442),IF(AND(Input!B11442&gt;=20,Input!B11442&lt;=700),Input!B11442,""),"")</f>
        <v/>
      </c>
      <c r="C11442">
        <f>IF(B11442="","",INT(A11442))</f>
        <v/>
      </c>
      <c r="D11442">
        <f>IF(B11442="","",HOUR(A11442))</f>
        <v/>
      </c>
    </row>
    <row r="11443">
      <c r="A11443">
        <f>Input!A11443</f>
        <v/>
      </c>
      <c r="B11443">
        <f>IF(ISNUMBER(Input!B11443),IF(AND(Input!B11443&gt;=20,Input!B11443&lt;=700),Input!B11443,""),"")</f>
        <v/>
      </c>
      <c r="C11443">
        <f>IF(B11443="","",INT(A11443))</f>
        <v/>
      </c>
      <c r="D11443">
        <f>IF(B11443="","",HOUR(A11443))</f>
        <v/>
      </c>
    </row>
    <row r="11444">
      <c r="A11444">
        <f>Input!A11444</f>
        <v/>
      </c>
      <c r="B11444">
        <f>IF(ISNUMBER(Input!B11444),IF(AND(Input!B11444&gt;=20,Input!B11444&lt;=700),Input!B11444,""),"")</f>
        <v/>
      </c>
      <c r="C11444">
        <f>IF(B11444="","",INT(A11444))</f>
        <v/>
      </c>
      <c r="D11444">
        <f>IF(B11444="","",HOUR(A11444))</f>
        <v/>
      </c>
    </row>
    <row r="11445">
      <c r="A11445">
        <f>Input!A11445</f>
        <v/>
      </c>
      <c r="B11445">
        <f>IF(ISNUMBER(Input!B11445),IF(AND(Input!B11445&gt;=20,Input!B11445&lt;=700),Input!B11445,""),"")</f>
        <v/>
      </c>
      <c r="C11445">
        <f>IF(B11445="","",INT(A11445))</f>
        <v/>
      </c>
      <c r="D11445">
        <f>IF(B11445="","",HOUR(A11445))</f>
        <v/>
      </c>
    </row>
    <row r="11446">
      <c r="A11446">
        <f>Input!A11446</f>
        <v/>
      </c>
      <c r="B11446">
        <f>IF(ISNUMBER(Input!B11446),IF(AND(Input!B11446&gt;=20,Input!B11446&lt;=700),Input!B11446,""),"")</f>
        <v/>
      </c>
      <c r="C11446">
        <f>IF(B11446="","",INT(A11446))</f>
        <v/>
      </c>
      <c r="D11446">
        <f>IF(B11446="","",HOUR(A11446))</f>
        <v/>
      </c>
    </row>
    <row r="11447">
      <c r="A11447">
        <f>Input!A11447</f>
        <v/>
      </c>
      <c r="B11447">
        <f>IF(ISNUMBER(Input!B11447),IF(AND(Input!B11447&gt;=20,Input!B11447&lt;=700),Input!B11447,""),"")</f>
        <v/>
      </c>
      <c r="C11447">
        <f>IF(B11447="","",INT(A11447))</f>
        <v/>
      </c>
      <c r="D11447">
        <f>IF(B11447="","",HOUR(A11447))</f>
        <v/>
      </c>
    </row>
    <row r="11448">
      <c r="A11448">
        <f>Input!A11448</f>
        <v/>
      </c>
      <c r="B11448">
        <f>IF(ISNUMBER(Input!B11448),IF(AND(Input!B11448&gt;=20,Input!B11448&lt;=700),Input!B11448,""),"")</f>
        <v/>
      </c>
      <c r="C11448">
        <f>IF(B11448="","",INT(A11448))</f>
        <v/>
      </c>
      <c r="D11448">
        <f>IF(B11448="","",HOUR(A11448))</f>
        <v/>
      </c>
    </row>
    <row r="11449">
      <c r="A11449">
        <f>Input!A11449</f>
        <v/>
      </c>
      <c r="B11449">
        <f>IF(ISNUMBER(Input!B11449),IF(AND(Input!B11449&gt;=20,Input!B11449&lt;=700),Input!B11449,""),"")</f>
        <v/>
      </c>
      <c r="C11449">
        <f>IF(B11449="","",INT(A11449))</f>
        <v/>
      </c>
      <c r="D11449">
        <f>IF(B11449="","",HOUR(A11449))</f>
        <v/>
      </c>
    </row>
    <row r="11450">
      <c r="A11450">
        <f>Input!A11450</f>
        <v/>
      </c>
      <c r="B11450">
        <f>IF(ISNUMBER(Input!B11450),IF(AND(Input!B11450&gt;=20,Input!B11450&lt;=700),Input!B11450,""),"")</f>
        <v/>
      </c>
      <c r="C11450">
        <f>IF(B11450="","",INT(A11450))</f>
        <v/>
      </c>
      <c r="D11450">
        <f>IF(B11450="","",HOUR(A11450))</f>
        <v/>
      </c>
    </row>
    <row r="11451">
      <c r="A11451">
        <f>Input!A11451</f>
        <v/>
      </c>
      <c r="B11451">
        <f>IF(ISNUMBER(Input!B11451),IF(AND(Input!B11451&gt;=20,Input!B11451&lt;=700),Input!B11451,""),"")</f>
        <v/>
      </c>
      <c r="C11451">
        <f>IF(B11451="","",INT(A11451))</f>
        <v/>
      </c>
      <c r="D11451">
        <f>IF(B11451="","",HOUR(A11451))</f>
        <v/>
      </c>
    </row>
    <row r="11452">
      <c r="A11452">
        <f>Input!A11452</f>
        <v/>
      </c>
      <c r="B11452">
        <f>IF(ISNUMBER(Input!B11452),IF(AND(Input!B11452&gt;=20,Input!B11452&lt;=700),Input!B11452,""),"")</f>
        <v/>
      </c>
      <c r="C11452">
        <f>IF(B11452="","",INT(A11452))</f>
        <v/>
      </c>
      <c r="D11452">
        <f>IF(B11452="","",HOUR(A11452))</f>
        <v/>
      </c>
    </row>
    <row r="11453">
      <c r="A11453">
        <f>Input!A11453</f>
        <v/>
      </c>
      <c r="B11453">
        <f>IF(ISNUMBER(Input!B11453),IF(AND(Input!B11453&gt;=20,Input!B11453&lt;=700),Input!B11453,""),"")</f>
        <v/>
      </c>
      <c r="C11453">
        <f>IF(B11453="","",INT(A11453))</f>
        <v/>
      </c>
      <c r="D11453">
        <f>IF(B11453="","",HOUR(A11453))</f>
        <v/>
      </c>
    </row>
    <row r="11454">
      <c r="A11454">
        <f>Input!A11454</f>
        <v/>
      </c>
      <c r="B11454">
        <f>IF(ISNUMBER(Input!B11454),IF(AND(Input!B11454&gt;=20,Input!B11454&lt;=700),Input!B11454,""),"")</f>
        <v/>
      </c>
      <c r="C11454">
        <f>IF(B11454="","",INT(A11454))</f>
        <v/>
      </c>
      <c r="D11454">
        <f>IF(B11454="","",HOUR(A11454))</f>
        <v/>
      </c>
    </row>
    <row r="11455">
      <c r="A11455">
        <f>Input!A11455</f>
        <v/>
      </c>
      <c r="B11455">
        <f>IF(ISNUMBER(Input!B11455),IF(AND(Input!B11455&gt;=20,Input!B11455&lt;=700),Input!B11455,""),"")</f>
        <v/>
      </c>
      <c r="C11455">
        <f>IF(B11455="","",INT(A11455))</f>
        <v/>
      </c>
      <c r="D11455">
        <f>IF(B11455="","",HOUR(A11455))</f>
        <v/>
      </c>
    </row>
    <row r="11456">
      <c r="A11456">
        <f>Input!A11456</f>
        <v/>
      </c>
      <c r="B11456">
        <f>IF(ISNUMBER(Input!B11456),IF(AND(Input!B11456&gt;=20,Input!B11456&lt;=700),Input!B11456,""),"")</f>
        <v/>
      </c>
      <c r="C11456">
        <f>IF(B11456="","",INT(A11456))</f>
        <v/>
      </c>
      <c r="D11456">
        <f>IF(B11456="","",HOUR(A11456))</f>
        <v/>
      </c>
    </row>
    <row r="11457">
      <c r="A11457">
        <f>Input!A11457</f>
        <v/>
      </c>
      <c r="B11457">
        <f>IF(ISNUMBER(Input!B11457),IF(AND(Input!B11457&gt;=20,Input!B11457&lt;=700),Input!B11457,""),"")</f>
        <v/>
      </c>
      <c r="C11457">
        <f>IF(B11457="","",INT(A11457))</f>
        <v/>
      </c>
      <c r="D11457">
        <f>IF(B11457="","",HOUR(A11457))</f>
        <v/>
      </c>
    </row>
    <row r="11458">
      <c r="A11458">
        <f>Input!A11458</f>
        <v/>
      </c>
      <c r="B11458">
        <f>IF(ISNUMBER(Input!B11458),IF(AND(Input!B11458&gt;=20,Input!B11458&lt;=700),Input!B11458,""),"")</f>
        <v/>
      </c>
      <c r="C11458">
        <f>IF(B11458="","",INT(A11458))</f>
        <v/>
      </c>
      <c r="D11458">
        <f>IF(B11458="","",HOUR(A11458))</f>
        <v/>
      </c>
    </row>
    <row r="11459">
      <c r="A11459">
        <f>Input!A11459</f>
        <v/>
      </c>
      <c r="B11459">
        <f>IF(ISNUMBER(Input!B11459),IF(AND(Input!B11459&gt;=20,Input!B11459&lt;=700),Input!B11459,""),"")</f>
        <v/>
      </c>
      <c r="C11459">
        <f>IF(B11459="","",INT(A11459))</f>
        <v/>
      </c>
      <c r="D11459">
        <f>IF(B11459="","",HOUR(A11459))</f>
        <v/>
      </c>
    </row>
    <row r="11460">
      <c r="A11460">
        <f>Input!A11460</f>
        <v/>
      </c>
      <c r="B11460">
        <f>IF(ISNUMBER(Input!B11460),IF(AND(Input!B11460&gt;=20,Input!B11460&lt;=700),Input!B11460,""),"")</f>
        <v/>
      </c>
      <c r="C11460">
        <f>IF(B11460="","",INT(A11460))</f>
        <v/>
      </c>
      <c r="D11460">
        <f>IF(B11460="","",HOUR(A11460))</f>
        <v/>
      </c>
    </row>
    <row r="11461">
      <c r="A11461">
        <f>Input!A11461</f>
        <v/>
      </c>
      <c r="B11461">
        <f>IF(ISNUMBER(Input!B11461),IF(AND(Input!B11461&gt;=20,Input!B11461&lt;=700),Input!B11461,""),"")</f>
        <v/>
      </c>
      <c r="C11461">
        <f>IF(B11461="","",INT(A11461))</f>
        <v/>
      </c>
      <c r="D11461">
        <f>IF(B11461="","",HOUR(A11461))</f>
        <v/>
      </c>
    </row>
    <row r="11462">
      <c r="A11462">
        <f>Input!A11462</f>
        <v/>
      </c>
      <c r="B11462">
        <f>IF(ISNUMBER(Input!B11462),IF(AND(Input!B11462&gt;=20,Input!B11462&lt;=700),Input!B11462,""),"")</f>
        <v/>
      </c>
      <c r="C11462">
        <f>IF(B11462="","",INT(A11462))</f>
        <v/>
      </c>
      <c r="D11462">
        <f>IF(B11462="","",HOUR(A11462))</f>
        <v/>
      </c>
    </row>
    <row r="11463">
      <c r="A11463">
        <f>Input!A11463</f>
        <v/>
      </c>
      <c r="B11463">
        <f>IF(ISNUMBER(Input!B11463),IF(AND(Input!B11463&gt;=20,Input!B11463&lt;=700),Input!B11463,""),"")</f>
        <v/>
      </c>
      <c r="C11463">
        <f>IF(B11463="","",INT(A11463))</f>
        <v/>
      </c>
      <c r="D11463">
        <f>IF(B11463="","",HOUR(A11463))</f>
        <v/>
      </c>
    </row>
    <row r="11464">
      <c r="A11464">
        <f>Input!A11464</f>
        <v/>
      </c>
      <c r="B11464">
        <f>IF(ISNUMBER(Input!B11464),IF(AND(Input!B11464&gt;=20,Input!B11464&lt;=700),Input!B11464,""),"")</f>
        <v/>
      </c>
      <c r="C11464">
        <f>IF(B11464="","",INT(A11464))</f>
        <v/>
      </c>
      <c r="D11464">
        <f>IF(B11464="","",HOUR(A11464))</f>
        <v/>
      </c>
    </row>
    <row r="11465">
      <c r="A11465">
        <f>Input!A11465</f>
        <v/>
      </c>
      <c r="B11465">
        <f>IF(ISNUMBER(Input!B11465),IF(AND(Input!B11465&gt;=20,Input!B11465&lt;=700),Input!B11465,""),"")</f>
        <v/>
      </c>
      <c r="C11465">
        <f>IF(B11465="","",INT(A11465))</f>
        <v/>
      </c>
      <c r="D11465">
        <f>IF(B11465="","",HOUR(A11465))</f>
        <v/>
      </c>
    </row>
    <row r="11466">
      <c r="A11466">
        <f>Input!A11466</f>
        <v/>
      </c>
      <c r="B11466">
        <f>IF(ISNUMBER(Input!B11466),IF(AND(Input!B11466&gt;=20,Input!B11466&lt;=700),Input!B11466,""),"")</f>
        <v/>
      </c>
      <c r="C11466">
        <f>IF(B11466="","",INT(A11466))</f>
        <v/>
      </c>
      <c r="D11466">
        <f>IF(B11466="","",HOUR(A11466))</f>
        <v/>
      </c>
    </row>
    <row r="11467">
      <c r="A11467">
        <f>Input!A11467</f>
        <v/>
      </c>
      <c r="B11467">
        <f>IF(ISNUMBER(Input!B11467),IF(AND(Input!B11467&gt;=20,Input!B11467&lt;=700),Input!B11467,""),"")</f>
        <v/>
      </c>
      <c r="C11467">
        <f>IF(B11467="","",INT(A11467))</f>
        <v/>
      </c>
      <c r="D11467">
        <f>IF(B11467="","",HOUR(A11467))</f>
        <v/>
      </c>
    </row>
    <row r="11468">
      <c r="A11468">
        <f>Input!A11468</f>
        <v/>
      </c>
      <c r="B11468">
        <f>IF(ISNUMBER(Input!B11468),IF(AND(Input!B11468&gt;=20,Input!B11468&lt;=700),Input!B11468,""),"")</f>
        <v/>
      </c>
      <c r="C11468">
        <f>IF(B11468="","",INT(A11468))</f>
        <v/>
      </c>
      <c r="D11468">
        <f>IF(B11468="","",HOUR(A11468))</f>
        <v/>
      </c>
    </row>
    <row r="11469">
      <c r="A11469">
        <f>Input!A11469</f>
        <v/>
      </c>
      <c r="B11469">
        <f>IF(ISNUMBER(Input!B11469),IF(AND(Input!B11469&gt;=20,Input!B11469&lt;=700),Input!B11469,""),"")</f>
        <v/>
      </c>
      <c r="C11469">
        <f>IF(B11469="","",INT(A11469))</f>
        <v/>
      </c>
      <c r="D11469">
        <f>IF(B11469="","",HOUR(A11469))</f>
        <v/>
      </c>
    </row>
    <row r="11470">
      <c r="A11470">
        <f>Input!A11470</f>
        <v/>
      </c>
      <c r="B11470">
        <f>IF(ISNUMBER(Input!B11470),IF(AND(Input!B11470&gt;=20,Input!B11470&lt;=700),Input!B11470,""),"")</f>
        <v/>
      </c>
      <c r="C11470">
        <f>IF(B11470="","",INT(A11470))</f>
        <v/>
      </c>
      <c r="D11470">
        <f>IF(B11470="","",HOUR(A11470))</f>
        <v/>
      </c>
    </row>
    <row r="11471">
      <c r="A11471">
        <f>Input!A11471</f>
        <v/>
      </c>
      <c r="B11471">
        <f>IF(ISNUMBER(Input!B11471),IF(AND(Input!B11471&gt;=20,Input!B11471&lt;=700),Input!B11471,""),"")</f>
        <v/>
      </c>
      <c r="C11471">
        <f>IF(B11471="","",INT(A11471))</f>
        <v/>
      </c>
      <c r="D11471">
        <f>IF(B11471="","",HOUR(A11471))</f>
        <v/>
      </c>
    </row>
    <row r="11472">
      <c r="A11472">
        <f>Input!A11472</f>
        <v/>
      </c>
      <c r="B11472">
        <f>IF(ISNUMBER(Input!B11472),IF(AND(Input!B11472&gt;=20,Input!B11472&lt;=700),Input!B11472,""),"")</f>
        <v/>
      </c>
      <c r="C11472">
        <f>IF(B11472="","",INT(A11472))</f>
        <v/>
      </c>
      <c r="D11472">
        <f>IF(B11472="","",HOUR(A11472))</f>
        <v/>
      </c>
    </row>
    <row r="11473">
      <c r="A11473">
        <f>Input!A11473</f>
        <v/>
      </c>
      <c r="B11473">
        <f>IF(ISNUMBER(Input!B11473),IF(AND(Input!B11473&gt;=20,Input!B11473&lt;=700),Input!B11473,""),"")</f>
        <v/>
      </c>
      <c r="C11473">
        <f>IF(B11473="","",INT(A11473))</f>
        <v/>
      </c>
      <c r="D11473">
        <f>IF(B11473="","",HOUR(A11473))</f>
        <v/>
      </c>
    </row>
    <row r="11474">
      <c r="A11474">
        <f>Input!A11474</f>
        <v/>
      </c>
      <c r="B11474">
        <f>IF(ISNUMBER(Input!B11474),IF(AND(Input!B11474&gt;=20,Input!B11474&lt;=700),Input!B11474,""),"")</f>
        <v/>
      </c>
      <c r="C11474">
        <f>IF(B11474="","",INT(A11474))</f>
        <v/>
      </c>
      <c r="D11474">
        <f>IF(B11474="","",HOUR(A11474))</f>
        <v/>
      </c>
    </row>
    <row r="11475">
      <c r="A11475">
        <f>Input!A11475</f>
        <v/>
      </c>
      <c r="B11475">
        <f>IF(ISNUMBER(Input!B11475),IF(AND(Input!B11475&gt;=20,Input!B11475&lt;=700),Input!B11475,""),"")</f>
        <v/>
      </c>
      <c r="C11475">
        <f>IF(B11475="","",INT(A11475))</f>
        <v/>
      </c>
      <c r="D11475">
        <f>IF(B11475="","",HOUR(A11475))</f>
        <v/>
      </c>
    </row>
    <row r="11476">
      <c r="A11476">
        <f>Input!A11476</f>
        <v/>
      </c>
      <c r="B11476">
        <f>IF(ISNUMBER(Input!B11476),IF(AND(Input!B11476&gt;=20,Input!B11476&lt;=700),Input!B11476,""),"")</f>
        <v/>
      </c>
      <c r="C11476">
        <f>IF(B11476="","",INT(A11476))</f>
        <v/>
      </c>
      <c r="D11476">
        <f>IF(B11476="","",HOUR(A11476))</f>
        <v/>
      </c>
    </row>
    <row r="11477">
      <c r="A11477">
        <f>Input!A11477</f>
        <v/>
      </c>
      <c r="B11477">
        <f>IF(ISNUMBER(Input!B11477),IF(AND(Input!B11477&gt;=20,Input!B11477&lt;=700),Input!B11477,""),"")</f>
        <v/>
      </c>
      <c r="C11477">
        <f>IF(B11477="","",INT(A11477))</f>
        <v/>
      </c>
      <c r="D11477">
        <f>IF(B11477="","",HOUR(A11477))</f>
        <v/>
      </c>
    </row>
    <row r="11478">
      <c r="A11478">
        <f>Input!A11478</f>
        <v/>
      </c>
      <c r="B11478">
        <f>IF(ISNUMBER(Input!B11478),IF(AND(Input!B11478&gt;=20,Input!B11478&lt;=700),Input!B11478,""),"")</f>
        <v/>
      </c>
      <c r="C11478">
        <f>IF(B11478="","",INT(A11478))</f>
        <v/>
      </c>
      <c r="D11478">
        <f>IF(B11478="","",HOUR(A11478))</f>
        <v/>
      </c>
    </row>
    <row r="11479">
      <c r="A11479">
        <f>Input!A11479</f>
        <v/>
      </c>
      <c r="B11479">
        <f>IF(ISNUMBER(Input!B11479),IF(AND(Input!B11479&gt;=20,Input!B11479&lt;=700),Input!B11479,""),"")</f>
        <v/>
      </c>
      <c r="C11479">
        <f>IF(B11479="","",INT(A11479))</f>
        <v/>
      </c>
      <c r="D11479">
        <f>IF(B11479="","",HOUR(A11479))</f>
        <v/>
      </c>
    </row>
    <row r="11480">
      <c r="A11480">
        <f>Input!A11480</f>
        <v/>
      </c>
      <c r="B11480">
        <f>IF(ISNUMBER(Input!B11480),IF(AND(Input!B11480&gt;=20,Input!B11480&lt;=700),Input!B11480,""),"")</f>
        <v/>
      </c>
      <c r="C11480">
        <f>IF(B11480="","",INT(A11480))</f>
        <v/>
      </c>
      <c r="D11480">
        <f>IF(B11480="","",HOUR(A11480))</f>
        <v/>
      </c>
    </row>
    <row r="11481">
      <c r="A11481">
        <f>Input!A11481</f>
        <v/>
      </c>
      <c r="B11481">
        <f>IF(ISNUMBER(Input!B11481),IF(AND(Input!B11481&gt;=20,Input!B11481&lt;=700),Input!B11481,""),"")</f>
        <v/>
      </c>
      <c r="C11481">
        <f>IF(B11481="","",INT(A11481))</f>
        <v/>
      </c>
      <c r="D11481">
        <f>IF(B11481="","",HOUR(A11481))</f>
        <v/>
      </c>
    </row>
    <row r="11482">
      <c r="A11482">
        <f>Input!A11482</f>
        <v/>
      </c>
      <c r="B11482">
        <f>IF(ISNUMBER(Input!B11482),IF(AND(Input!B11482&gt;=20,Input!B11482&lt;=700),Input!B11482,""),"")</f>
        <v/>
      </c>
      <c r="C11482">
        <f>IF(B11482="","",INT(A11482))</f>
        <v/>
      </c>
      <c r="D11482">
        <f>IF(B11482="","",HOUR(A11482))</f>
        <v/>
      </c>
    </row>
    <row r="11483">
      <c r="A11483">
        <f>Input!A11483</f>
        <v/>
      </c>
      <c r="B11483">
        <f>IF(ISNUMBER(Input!B11483),IF(AND(Input!B11483&gt;=20,Input!B11483&lt;=700),Input!B11483,""),"")</f>
        <v/>
      </c>
      <c r="C11483">
        <f>IF(B11483="","",INT(A11483))</f>
        <v/>
      </c>
      <c r="D11483">
        <f>IF(B11483="","",HOUR(A11483))</f>
        <v/>
      </c>
    </row>
    <row r="11484">
      <c r="A11484">
        <f>Input!A11484</f>
        <v/>
      </c>
      <c r="B11484">
        <f>IF(ISNUMBER(Input!B11484),IF(AND(Input!B11484&gt;=20,Input!B11484&lt;=700),Input!B11484,""),"")</f>
        <v/>
      </c>
      <c r="C11484">
        <f>IF(B11484="","",INT(A11484))</f>
        <v/>
      </c>
      <c r="D11484">
        <f>IF(B11484="","",HOUR(A11484))</f>
        <v/>
      </c>
    </row>
    <row r="11485">
      <c r="A11485">
        <f>Input!A11485</f>
        <v/>
      </c>
      <c r="B11485">
        <f>IF(ISNUMBER(Input!B11485),IF(AND(Input!B11485&gt;=20,Input!B11485&lt;=700),Input!B11485,""),"")</f>
        <v/>
      </c>
      <c r="C11485">
        <f>IF(B11485="","",INT(A11485))</f>
        <v/>
      </c>
      <c r="D11485">
        <f>IF(B11485="","",HOUR(A11485))</f>
        <v/>
      </c>
    </row>
    <row r="11486">
      <c r="A11486">
        <f>Input!A11486</f>
        <v/>
      </c>
      <c r="B11486">
        <f>IF(ISNUMBER(Input!B11486),IF(AND(Input!B11486&gt;=20,Input!B11486&lt;=700),Input!B11486,""),"")</f>
        <v/>
      </c>
      <c r="C11486">
        <f>IF(B11486="","",INT(A11486))</f>
        <v/>
      </c>
      <c r="D11486">
        <f>IF(B11486="","",HOUR(A11486))</f>
        <v/>
      </c>
    </row>
    <row r="11487">
      <c r="A11487">
        <f>Input!A11487</f>
        <v/>
      </c>
      <c r="B11487">
        <f>IF(ISNUMBER(Input!B11487),IF(AND(Input!B11487&gt;=20,Input!B11487&lt;=700),Input!B11487,""),"")</f>
        <v/>
      </c>
      <c r="C11487">
        <f>IF(B11487="","",INT(A11487))</f>
        <v/>
      </c>
      <c r="D11487">
        <f>IF(B11487="","",HOUR(A11487))</f>
        <v/>
      </c>
    </row>
    <row r="11488">
      <c r="A11488">
        <f>Input!A11488</f>
        <v/>
      </c>
      <c r="B11488">
        <f>IF(ISNUMBER(Input!B11488),IF(AND(Input!B11488&gt;=20,Input!B11488&lt;=700),Input!B11488,""),"")</f>
        <v/>
      </c>
      <c r="C11488">
        <f>IF(B11488="","",INT(A11488))</f>
        <v/>
      </c>
      <c r="D11488">
        <f>IF(B11488="","",HOUR(A11488))</f>
        <v/>
      </c>
    </row>
    <row r="11489">
      <c r="A11489">
        <f>Input!A11489</f>
        <v/>
      </c>
      <c r="B11489">
        <f>IF(ISNUMBER(Input!B11489),IF(AND(Input!B11489&gt;=20,Input!B11489&lt;=700),Input!B11489,""),"")</f>
        <v/>
      </c>
      <c r="C11489">
        <f>IF(B11489="","",INT(A11489))</f>
        <v/>
      </c>
      <c r="D11489">
        <f>IF(B11489="","",HOUR(A11489))</f>
        <v/>
      </c>
    </row>
    <row r="11490">
      <c r="A11490">
        <f>Input!A11490</f>
        <v/>
      </c>
      <c r="B11490">
        <f>IF(ISNUMBER(Input!B11490),IF(AND(Input!B11490&gt;=20,Input!B11490&lt;=700),Input!B11490,""),"")</f>
        <v/>
      </c>
      <c r="C11490">
        <f>IF(B11490="","",INT(A11490))</f>
        <v/>
      </c>
      <c r="D11490">
        <f>IF(B11490="","",HOUR(A11490))</f>
        <v/>
      </c>
    </row>
    <row r="11491">
      <c r="A11491">
        <f>Input!A11491</f>
        <v/>
      </c>
      <c r="B11491">
        <f>IF(ISNUMBER(Input!B11491),IF(AND(Input!B11491&gt;=20,Input!B11491&lt;=700),Input!B11491,""),"")</f>
        <v/>
      </c>
      <c r="C11491">
        <f>IF(B11491="","",INT(A11491))</f>
        <v/>
      </c>
      <c r="D11491">
        <f>IF(B11491="","",HOUR(A11491))</f>
        <v/>
      </c>
    </row>
    <row r="11492">
      <c r="A11492">
        <f>Input!A11492</f>
        <v/>
      </c>
      <c r="B11492">
        <f>IF(ISNUMBER(Input!B11492),IF(AND(Input!B11492&gt;=20,Input!B11492&lt;=700),Input!B11492,""),"")</f>
        <v/>
      </c>
      <c r="C11492">
        <f>IF(B11492="","",INT(A11492))</f>
        <v/>
      </c>
      <c r="D11492">
        <f>IF(B11492="","",HOUR(A11492))</f>
        <v/>
      </c>
    </row>
    <row r="11493">
      <c r="A11493">
        <f>Input!A11493</f>
        <v/>
      </c>
      <c r="B11493">
        <f>IF(ISNUMBER(Input!B11493),IF(AND(Input!B11493&gt;=20,Input!B11493&lt;=700),Input!B11493,""),"")</f>
        <v/>
      </c>
      <c r="C11493">
        <f>IF(B11493="","",INT(A11493))</f>
        <v/>
      </c>
      <c r="D11493">
        <f>IF(B11493="","",HOUR(A11493))</f>
        <v/>
      </c>
    </row>
    <row r="11494">
      <c r="A11494">
        <f>Input!A11494</f>
        <v/>
      </c>
      <c r="B11494">
        <f>IF(ISNUMBER(Input!B11494),IF(AND(Input!B11494&gt;=20,Input!B11494&lt;=700),Input!B11494,""),"")</f>
        <v/>
      </c>
      <c r="C11494">
        <f>IF(B11494="","",INT(A11494))</f>
        <v/>
      </c>
      <c r="D11494">
        <f>IF(B11494="","",HOUR(A11494))</f>
        <v/>
      </c>
    </row>
    <row r="11495">
      <c r="A11495">
        <f>Input!A11495</f>
        <v/>
      </c>
      <c r="B11495">
        <f>IF(ISNUMBER(Input!B11495),IF(AND(Input!B11495&gt;=20,Input!B11495&lt;=700),Input!B11495,""),"")</f>
        <v/>
      </c>
      <c r="C11495">
        <f>IF(B11495="","",INT(A11495))</f>
        <v/>
      </c>
      <c r="D11495">
        <f>IF(B11495="","",HOUR(A11495))</f>
        <v/>
      </c>
    </row>
    <row r="11496">
      <c r="A11496">
        <f>Input!A11496</f>
        <v/>
      </c>
      <c r="B11496">
        <f>IF(ISNUMBER(Input!B11496),IF(AND(Input!B11496&gt;=20,Input!B11496&lt;=700),Input!B11496,""),"")</f>
        <v/>
      </c>
      <c r="C11496">
        <f>IF(B11496="","",INT(A11496))</f>
        <v/>
      </c>
      <c r="D11496">
        <f>IF(B11496="","",HOUR(A11496))</f>
        <v/>
      </c>
    </row>
    <row r="11497">
      <c r="A11497">
        <f>Input!A11497</f>
        <v/>
      </c>
      <c r="B11497">
        <f>IF(ISNUMBER(Input!B11497),IF(AND(Input!B11497&gt;=20,Input!B11497&lt;=700),Input!B11497,""),"")</f>
        <v/>
      </c>
      <c r="C11497">
        <f>IF(B11497="","",INT(A11497))</f>
        <v/>
      </c>
      <c r="D11497">
        <f>IF(B11497="","",HOUR(A11497))</f>
        <v/>
      </c>
    </row>
    <row r="11498">
      <c r="A11498">
        <f>Input!A11498</f>
        <v/>
      </c>
      <c r="B11498">
        <f>IF(ISNUMBER(Input!B11498),IF(AND(Input!B11498&gt;=20,Input!B11498&lt;=700),Input!B11498,""),"")</f>
        <v/>
      </c>
      <c r="C11498">
        <f>IF(B11498="","",INT(A11498))</f>
        <v/>
      </c>
      <c r="D11498">
        <f>IF(B11498="","",HOUR(A11498))</f>
        <v/>
      </c>
    </row>
    <row r="11499">
      <c r="A11499">
        <f>Input!A11499</f>
        <v/>
      </c>
      <c r="B11499">
        <f>IF(ISNUMBER(Input!B11499),IF(AND(Input!B11499&gt;=20,Input!B11499&lt;=700),Input!B11499,""),"")</f>
        <v/>
      </c>
      <c r="C11499">
        <f>IF(B11499="","",INT(A11499))</f>
        <v/>
      </c>
      <c r="D11499">
        <f>IF(B11499="","",HOUR(A11499))</f>
        <v/>
      </c>
    </row>
    <row r="11500">
      <c r="A11500">
        <f>Input!A11500</f>
        <v/>
      </c>
      <c r="B11500">
        <f>IF(ISNUMBER(Input!B11500),IF(AND(Input!B11500&gt;=20,Input!B11500&lt;=700),Input!B11500,""),"")</f>
        <v/>
      </c>
      <c r="C11500">
        <f>IF(B11500="","",INT(A11500))</f>
        <v/>
      </c>
      <c r="D11500">
        <f>IF(B11500="","",HOUR(A11500))</f>
        <v/>
      </c>
    </row>
    <row r="11501">
      <c r="A11501">
        <f>Input!A11501</f>
        <v/>
      </c>
      <c r="B11501">
        <f>IF(ISNUMBER(Input!B11501),IF(AND(Input!B11501&gt;=20,Input!B11501&lt;=700),Input!B11501,""),"")</f>
        <v/>
      </c>
      <c r="C11501">
        <f>IF(B11501="","",INT(A11501))</f>
        <v/>
      </c>
      <c r="D11501">
        <f>IF(B11501="","",HOUR(A11501))</f>
        <v/>
      </c>
    </row>
    <row r="11502">
      <c r="A11502">
        <f>Input!A11502</f>
        <v/>
      </c>
      <c r="B11502">
        <f>IF(ISNUMBER(Input!B11502),IF(AND(Input!B11502&gt;=20,Input!B11502&lt;=700),Input!B11502,""),"")</f>
        <v/>
      </c>
      <c r="C11502">
        <f>IF(B11502="","",INT(A11502))</f>
        <v/>
      </c>
      <c r="D11502">
        <f>IF(B11502="","",HOUR(A11502))</f>
        <v/>
      </c>
    </row>
    <row r="11503">
      <c r="A11503">
        <f>Input!A11503</f>
        <v/>
      </c>
      <c r="B11503">
        <f>IF(ISNUMBER(Input!B11503),IF(AND(Input!B11503&gt;=20,Input!B11503&lt;=700),Input!B11503,""),"")</f>
        <v/>
      </c>
      <c r="C11503">
        <f>IF(B11503="","",INT(A11503))</f>
        <v/>
      </c>
      <c r="D11503">
        <f>IF(B11503="","",HOUR(A11503))</f>
        <v/>
      </c>
    </row>
    <row r="11504">
      <c r="A11504">
        <f>Input!A11504</f>
        <v/>
      </c>
      <c r="B11504">
        <f>IF(ISNUMBER(Input!B11504),IF(AND(Input!B11504&gt;=20,Input!B11504&lt;=700),Input!B11504,""),"")</f>
        <v/>
      </c>
      <c r="C11504">
        <f>IF(B11504="","",INT(A11504))</f>
        <v/>
      </c>
      <c r="D11504">
        <f>IF(B11504="","",HOUR(A11504))</f>
        <v/>
      </c>
    </row>
    <row r="11505">
      <c r="A11505">
        <f>Input!A11505</f>
        <v/>
      </c>
      <c r="B11505">
        <f>IF(ISNUMBER(Input!B11505),IF(AND(Input!B11505&gt;=20,Input!B11505&lt;=700),Input!B11505,""),"")</f>
        <v/>
      </c>
      <c r="C11505">
        <f>IF(B11505="","",INT(A11505))</f>
        <v/>
      </c>
      <c r="D11505">
        <f>IF(B11505="","",HOUR(A11505))</f>
        <v/>
      </c>
    </row>
    <row r="11506">
      <c r="A11506">
        <f>Input!A11506</f>
        <v/>
      </c>
      <c r="B11506">
        <f>IF(ISNUMBER(Input!B11506),IF(AND(Input!B11506&gt;=20,Input!B11506&lt;=700),Input!B11506,""),"")</f>
        <v/>
      </c>
      <c r="C11506">
        <f>IF(B11506="","",INT(A11506))</f>
        <v/>
      </c>
      <c r="D11506">
        <f>IF(B11506="","",HOUR(A11506))</f>
        <v/>
      </c>
    </row>
    <row r="11507">
      <c r="A11507">
        <f>Input!A11507</f>
        <v/>
      </c>
      <c r="B11507">
        <f>IF(ISNUMBER(Input!B11507),IF(AND(Input!B11507&gt;=20,Input!B11507&lt;=700),Input!B11507,""),"")</f>
        <v/>
      </c>
      <c r="C11507">
        <f>IF(B11507="","",INT(A11507))</f>
        <v/>
      </c>
      <c r="D11507">
        <f>IF(B11507="","",HOUR(A11507))</f>
        <v/>
      </c>
    </row>
    <row r="11508">
      <c r="A11508">
        <f>Input!A11508</f>
        <v/>
      </c>
      <c r="B11508">
        <f>IF(ISNUMBER(Input!B11508),IF(AND(Input!B11508&gt;=20,Input!B11508&lt;=700),Input!B11508,""),"")</f>
        <v/>
      </c>
      <c r="C11508">
        <f>IF(B11508="","",INT(A11508))</f>
        <v/>
      </c>
      <c r="D11508">
        <f>IF(B11508="","",HOUR(A11508))</f>
        <v/>
      </c>
    </row>
    <row r="11509">
      <c r="A11509">
        <f>Input!A11509</f>
        <v/>
      </c>
      <c r="B11509">
        <f>IF(ISNUMBER(Input!B11509),IF(AND(Input!B11509&gt;=20,Input!B11509&lt;=700),Input!B11509,""),"")</f>
        <v/>
      </c>
      <c r="C11509">
        <f>IF(B11509="","",INT(A11509))</f>
        <v/>
      </c>
      <c r="D11509">
        <f>IF(B11509="","",HOUR(A11509))</f>
        <v/>
      </c>
    </row>
    <row r="11510">
      <c r="A11510">
        <f>Input!A11510</f>
        <v/>
      </c>
      <c r="B11510">
        <f>IF(ISNUMBER(Input!B11510),IF(AND(Input!B11510&gt;=20,Input!B11510&lt;=700),Input!B11510,""),"")</f>
        <v/>
      </c>
      <c r="C11510">
        <f>IF(B11510="","",INT(A11510))</f>
        <v/>
      </c>
      <c r="D11510">
        <f>IF(B11510="","",HOUR(A11510))</f>
        <v/>
      </c>
    </row>
    <row r="11511">
      <c r="A11511">
        <f>Input!A11511</f>
        <v/>
      </c>
      <c r="B11511">
        <f>IF(ISNUMBER(Input!B11511),IF(AND(Input!B11511&gt;=20,Input!B11511&lt;=700),Input!B11511,""),"")</f>
        <v/>
      </c>
      <c r="C11511">
        <f>IF(B11511="","",INT(A11511))</f>
        <v/>
      </c>
      <c r="D11511">
        <f>IF(B11511="","",HOUR(A11511))</f>
        <v/>
      </c>
    </row>
    <row r="11512">
      <c r="A11512">
        <f>Input!A11512</f>
        <v/>
      </c>
      <c r="B11512">
        <f>IF(ISNUMBER(Input!B11512),IF(AND(Input!B11512&gt;=20,Input!B11512&lt;=700),Input!B11512,""),"")</f>
        <v/>
      </c>
      <c r="C11512">
        <f>IF(B11512="","",INT(A11512))</f>
        <v/>
      </c>
      <c r="D11512">
        <f>IF(B11512="","",HOUR(A11512))</f>
        <v/>
      </c>
    </row>
    <row r="11513">
      <c r="A11513">
        <f>Input!A11513</f>
        <v/>
      </c>
      <c r="B11513">
        <f>IF(ISNUMBER(Input!B11513),IF(AND(Input!B11513&gt;=20,Input!B11513&lt;=700),Input!B11513,""),"")</f>
        <v/>
      </c>
      <c r="C11513">
        <f>IF(B11513="","",INT(A11513))</f>
        <v/>
      </c>
      <c r="D11513">
        <f>IF(B11513="","",HOUR(A11513))</f>
        <v/>
      </c>
    </row>
    <row r="11514">
      <c r="A11514">
        <f>Input!A11514</f>
        <v/>
      </c>
      <c r="B11514">
        <f>IF(ISNUMBER(Input!B11514),IF(AND(Input!B11514&gt;=20,Input!B11514&lt;=700),Input!B11514,""),"")</f>
        <v/>
      </c>
      <c r="C11514">
        <f>IF(B11514="","",INT(A11514))</f>
        <v/>
      </c>
      <c r="D11514">
        <f>IF(B11514="","",HOUR(A11514))</f>
        <v/>
      </c>
    </row>
    <row r="11515">
      <c r="A11515">
        <f>Input!A11515</f>
        <v/>
      </c>
      <c r="B11515">
        <f>IF(ISNUMBER(Input!B11515),IF(AND(Input!B11515&gt;=20,Input!B11515&lt;=700),Input!B11515,""),"")</f>
        <v/>
      </c>
      <c r="C11515">
        <f>IF(B11515="","",INT(A11515))</f>
        <v/>
      </c>
      <c r="D11515">
        <f>IF(B11515="","",HOUR(A11515))</f>
        <v/>
      </c>
    </row>
    <row r="11516">
      <c r="A11516">
        <f>Input!A11516</f>
        <v/>
      </c>
      <c r="B11516">
        <f>IF(ISNUMBER(Input!B11516),IF(AND(Input!B11516&gt;=20,Input!B11516&lt;=700),Input!B11516,""),"")</f>
        <v/>
      </c>
      <c r="C11516">
        <f>IF(B11516="","",INT(A11516))</f>
        <v/>
      </c>
      <c r="D11516">
        <f>IF(B11516="","",HOUR(A11516))</f>
        <v/>
      </c>
    </row>
    <row r="11517">
      <c r="A11517">
        <f>Input!A11517</f>
        <v/>
      </c>
      <c r="B11517">
        <f>IF(ISNUMBER(Input!B11517),IF(AND(Input!B11517&gt;=20,Input!B11517&lt;=700),Input!B11517,""),"")</f>
        <v/>
      </c>
      <c r="C11517">
        <f>IF(B11517="","",INT(A11517))</f>
        <v/>
      </c>
      <c r="D11517">
        <f>IF(B11517="","",HOUR(A11517))</f>
        <v/>
      </c>
    </row>
    <row r="11518">
      <c r="A11518">
        <f>Input!A11518</f>
        <v/>
      </c>
      <c r="B11518">
        <f>IF(ISNUMBER(Input!B11518),IF(AND(Input!B11518&gt;=20,Input!B11518&lt;=700),Input!B11518,""),"")</f>
        <v/>
      </c>
      <c r="C11518">
        <f>IF(B11518="","",INT(A11518))</f>
        <v/>
      </c>
      <c r="D11518">
        <f>IF(B11518="","",HOUR(A11518))</f>
        <v/>
      </c>
    </row>
    <row r="11519">
      <c r="A11519">
        <f>Input!A11519</f>
        <v/>
      </c>
      <c r="B11519">
        <f>IF(ISNUMBER(Input!B11519),IF(AND(Input!B11519&gt;=20,Input!B11519&lt;=700),Input!B11519,""),"")</f>
        <v/>
      </c>
      <c r="C11519">
        <f>IF(B11519="","",INT(A11519))</f>
        <v/>
      </c>
      <c r="D11519">
        <f>IF(B11519="","",HOUR(A11519))</f>
        <v/>
      </c>
    </row>
    <row r="11520">
      <c r="A11520">
        <f>Input!A11520</f>
        <v/>
      </c>
      <c r="B11520">
        <f>IF(ISNUMBER(Input!B11520),IF(AND(Input!B11520&gt;=20,Input!B11520&lt;=700),Input!B11520,""),"")</f>
        <v/>
      </c>
      <c r="C11520">
        <f>IF(B11520="","",INT(A11520))</f>
        <v/>
      </c>
      <c r="D11520">
        <f>IF(B11520="","",HOUR(A11520))</f>
        <v/>
      </c>
    </row>
    <row r="11521">
      <c r="A11521">
        <f>Input!A11521</f>
        <v/>
      </c>
      <c r="B11521">
        <f>IF(ISNUMBER(Input!B11521),IF(AND(Input!B11521&gt;=20,Input!B11521&lt;=700),Input!B11521,""),"")</f>
        <v/>
      </c>
      <c r="C11521">
        <f>IF(B11521="","",INT(A11521))</f>
        <v/>
      </c>
      <c r="D11521">
        <f>IF(B11521="","",HOUR(A11521))</f>
        <v/>
      </c>
    </row>
    <row r="11522">
      <c r="A11522">
        <f>Input!A11522</f>
        <v/>
      </c>
      <c r="B11522">
        <f>IF(ISNUMBER(Input!B11522),IF(AND(Input!B11522&gt;=20,Input!B11522&lt;=700),Input!B11522,""),"")</f>
        <v/>
      </c>
      <c r="C11522">
        <f>IF(B11522="","",INT(A11522))</f>
        <v/>
      </c>
      <c r="D11522">
        <f>IF(B11522="","",HOUR(A11522))</f>
        <v/>
      </c>
    </row>
    <row r="11523">
      <c r="A11523">
        <f>Input!A11523</f>
        <v/>
      </c>
      <c r="B11523">
        <f>IF(ISNUMBER(Input!B11523),IF(AND(Input!B11523&gt;=20,Input!B11523&lt;=700),Input!B11523,""),"")</f>
        <v/>
      </c>
      <c r="C11523">
        <f>IF(B11523="","",INT(A11523))</f>
        <v/>
      </c>
      <c r="D11523">
        <f>IF(B11523="","",HOUR(A11523))</f>
        <v/>
      </c>
    </row>
    <row r="11524">
      <c r="A11524">
        <f>Input!A11524</f>
        <v/>
      </c>
      <c r="B11524">
        <f>IF(ISNUMBER(Input!B11524),IF(AND(Input!B11524&gt;=20,Input!B11524&lt;=700),Input!B11524,""),"")</f>
        <v/>
      </c>
      <c r="C11524">
        <f>IF(B11524="","",INT(A11524))</f>
        <v/>
      </c>
      <c r="D11524">
        <f>IF(B11524="","",HOUR(A11524))</f>
        <v/>
      </c>
    </row>
    <row r="11525">
      <c r="A11525">
        <f>Input!A11525</f>
        <v/>
      </c>
      <c r="B11525">
        <f>IF(ISNUMBER(Input!B11525),IF(AND(Input!B11525&gt;=20,Input!B11525&lt;=700),Input!B11525,""),"")</f>
        <v/>
      </c>
      <c r="C11525">
        <f>IF(B11525="","",INT(A11525))</f>
        <v/>
      </c>
      <c r="D11525">
        <f>IF(B11525="","",HOUR(A11525))</f>
        <v/>
      </c>
    </row>
    <row r="11526">
      <c r="A11526">
        <f>Input!A11526</f>
        <v/>
      </c>
      <c r="B11526">
        <f>IF(ISNUMBER(Input!B11526),IF(AND(Input!B11526&gt;=20,Input!B11526&lt;=700),Input!B11526,""),"")</f>
        <v/>
      </c>
      <c r="C11526">
        <f>IF(B11526="","",INT(A11526))</f>
        <v/>
      </c>
      <c r="D11526">
        <f>IF(B11526="","",HOUR(A11526))</f>
        <v/>
      </c>
    </row>
    <row r="11527">
      <c r="A11527">
        <f>Input!A11527</f>
        <v/>
      </c>
      <c r="B11527">
        <f>IF(ISNUMBER(Input!B11527),IF(AND(Input!B11527&gt;=20,Input!B11527&lt;=700),Input!B11527,""),"")</f>
        <v/>
      </c>
      <c r="C11527">
        <f>IF(B11527="","",INT(A11527))</f>
        <v/>
      </c>
      <c r="D11527">
        <f>IF(B11527="","",HOUR(A11527))</f>
        <v/>
      </c>
    </row>
    <row r="11528">
      <c r="A11528">
        <f>Input!A11528</f>
        <v/>
      </c>
      <c r="B11528">
        <f>IF(ISNUMBER(Input!B11528),IF(AND(Input!B11528&gt;=20,Input!B11528&lt;=700),Input!B11528,""),"")</f>
        <v/>
      </c>
      <c r="C11528">
        <f>IF(B11528="","",INT(A11528))</f>
        <v/>
      </c>
      <c r="D11528">
        <f>IF(B11528="","",HOUR(A11528))</f>
        <v/>
      </c>
    </row>
    <row r="11529">
      <c r="A11529">
        <f>Input!A11529</f>
        <v/>
      </c>
      <c r="B11529">
        <f>IF(ISNUMBER(Input!B11529),IF(AND(Input!B11529&gt;=20,Input!B11529&lt;=700),Input!B11529,""),"")</f>
        <v/>
      </c>
      <c r="C11529">
        <f>IF(B11529="","",INT(A11529))</f>
        <v/>
      </c>
      <c r="D11529">
        <f>IF(B11529="","",HOUR(A11529))</f>
        <v/>
      </c>
    </row>
    <row r="11530">
      <c r="A11530">
        <f>Input!A11530</f>
        <v/>
      </c>
      <c r="B11530">
        <f>IF(ISNUMBER(Input!B11530),IF(AND(Input!B11530&gt;=20,Input!B11530&lt;=700),Input!B11530,""),"")</f>
        <v/>
      </c>
      <c r="C11530">
        <f>IF(B11530="","",INT(A11530))</f>
        <v/>
      </c>
      <c r="D11530">
        <f>IF(B11530="","",HOUR(A11530))</f>
        <v/>
      </c>
    </row>
    <row r="11531">
      <c r="A11531">
        <f>Input!A11531</f>
        <v/>
      </c>
      <c r="B11531">
        <f>IF(ISNUMBER(Input!B11531),IF(AND(Input!B11531&gt;=20,Input!B11531&lt;=700),Input!B11531,""),"")</f>
        <v/>
      </c>
      <c r="C11531">
        <f>IF(B11531="","",INT(A11531))</f>
        <v/>
      </c>
      <c r="D11531">
        <f>IF(B11531="","",HOUR(A11531))</f>
        <v/>
      </c>
    </row>
    <row r="11532">
      <c r="A11532">
        <f>Input!A11532</f>
        <v/>
      </c>
      <c r="B11532">
        <f>IF(ISNUMBER(Input!B11532),IF(AND(Input!B11532&gt;=20,Input!B11532&lt;=700),Input!B11532,""),"")</f>
        <v/>
      </c>
      <c r="C11532">
        <f>IF(B11532="","",INT(A11532))</f>
        <v/>
      </c>
      <c r="D11532">
        <f>IF(B11532="","",HOUR(A11532))</f>
        <v/>
      </c>
    </row>
    <row r="11533">
      <c r="A11533">
        <f>Input!A11533</f>
        <v/>
      </c>
      <c r="B11533">
        <f>IF(ISNUMBER(Input!B11533),IF(AND(Input!B11533&gt;=20,Input!B11533&lt;=700),Input!B11533,""),"")</f>
        <v/>
      </c>
      <c r="C11533">
        <f>IF(B11533="","",INT(A11533))</f>
        <v/>
      </c>
      <c r="D11533">
        <f>IF(B11533="","",HOUR(A11533))</f>
        <v/>
      </c>
    </row>
    <row r="11534">
      <c r="A11534">
        <f>Input!A11534</f>
        <v/>
      </c>
      <c r="B11534">
        <f>IF(ISNUMBER(Input!B11534),IF(AND(Input!B11534&gt;=20,Input!B11534&lt;=700),Input!B11534,""),"")</f>
        <v/>
      </c>
      <c r="C11534">
        <f>IF(B11534="","",INT(A11534))</f>
        <v/>
      </c>
      <c r="D11534">
        <f>IF(B11534="","",HOUR(A11534))</f>
        <v/>
      </c>
    </row>
    <row r="11535">
      <c r="A11535">
        <f>Input!A11535</f>
        <v/>
      </c>
      <c r="B11535">
        <f>IF(ISNUMBER(Input!B11535),IF(AND(Input!B11535&gt;=20,Input!B11535&lt;=700),Input!B11535,""),"")</f>
        <v/>
      </c>
      <c r="C11535">
        <f>IF(B11535="","",INT(A11535))</f>
        <v/>
      </c>
      <c r="D11535">
        <f>IF(B11535="","",HOUR(A11535))</f>
        <v/>
      </c>
    </row>
    <row r="11536">
      <c r="A11536">
        <f>Input!A11536</f>
        <v/>
      </c>
      <c r="B11536">
        <f>IF(ISNUMBER(Input!B11536),IF(AND(Input!B11536&gt;=20,Input!B11536&lt;=700),Input!B11536,""),"")</f>
        <v/>
      </c>
      <c r="C11536">
        <f>IF(B11536="","",INT(A11536))</f>
        <v/>
      </c>
      <c r="D11536">
        <f>IF(B11536="","",HOUR(A11536))</f>
        <v/>
      </c>
    </row>
    <row r="11537">
      <c r="A11537">
        <f>Input!A11537</f>
        <v/>
      </c>
      <c r="B11537">
        <f>IF(ISNUMBER(Input!B11537),IF(AND(Input!B11537&gt;=20,Input!B11537&lt;=700),Input!B11537,""),"")</f>
        <v/>
      </c>
      <c r="C11537">
        <f>IF(B11537="","",INT(A11537))</f>
        <v/>
      </c>
      <c r="D11537">
        <f>IF(B11537="","",HOUR(A11537))</f>
        <v/>
      </c>
    </row>
    <row r="11538">
      <c r="A11538">
        <f>Input!A11538</f>
        <v/>
      </c>
      <c r="B11538">
        <f>IF(ISNUMBER(Input!B11538),IF(AND(Input!B11538&gt;=20,Input!B11538&lt;=700),Input!B11538,""),"")</f>
        <v/>
      </c>
      <c r="C11538">
        <f>IF(B11538="","",INT(A11538))</f>
        <v/>
      </c>
      <c r="D11538">
        <f>IF(B11538="","",HOUR(A11538))</f>
        <v/>
      </c>
    </row>
    <row r="11539">
      <c r="A11539">
        <f>Input!A11539</f>
        <v/>
      </c>
      <c r="B11539">
        <f>IF(ISNUMBER(Input!B11539),IF(AND(Input!B11539&gt;=20,Input!B11539&lt;=700),Input!B11539,""),"")</f>
        <v/>
      </c>
      <c r="C11539">
        <f>IF(B11539="","",INT(A11539))</f>
        <v/>
      </c>
      <c r="D11539">
        <f>IF(B11539="","",HOUR(A11539))</f>
        <v/>
      </c>
    </row>
    <row r="11540">
      <c r="A11540">
        <f>Input!A11540</f>
        <v/>
      </c>
      <c r="B11540">
        <f>IF(ISNUMBER(Input!B11540),IF(AND(Input!B11540&gt;=20,Input!B11540&lt;=700),Input!B11540,""),"")</f>
        <v/>
      </c>
      <c r="C11540">
        <f>IF(B11540="","",INT(A11540))</f>
        <v/>
      </c>
      <c r="D11540">
        <f>IF(B11540="","",HOUR(A11540))</f>
        <v/>
      </c>
    </row>
    <row r="11541">
      <c r="A11541">
        <f>Input!A11541</f>
        <v/>
      </c>
      <c r="B11541">
        <f>IF(ISNUMBER(Input!B11541),IF(AND(Input!B11541&gt;=20,Input!B11541&lt;=700),Input!B11541,""),"")</f>
        <v/>
      </c>
      <c r="C11541">
        <f>IF(B11541="","",INT(A11541))</f>
        <v/>
      </c>
      <c r="D11541">
        <f>IF(B11541="","",HOUR(A11541))</f>
        <v/>
      </c>
    </row>
    <row r="11542">
      <c r="A11542">
        <f>Input!A11542</f>
        <v/>
      </c>
      <c r="B11542">
        <f>IF(ISNUMBER(Input!B11542),IF(AND(Input!B11542&gt;=20,Input!B11542&lt;=700),Input!B11542,""),"")</f>
        <v/>
      </c>
      <c r="C11542">
        <f>IF(B11542="","",INT(A11542))</f>
        <v/>
      </c>
      <c r="D11542">
        <f>IF(B11542="","",HOUR(A11542))</f>
        <v/>
      </c>
    </row>
    <row r="11543">
      <c r="A11543">
        <f>Input!A11543</f>
        <v/>
      </c>
      <c r="B11543">
        <f>IF(ISNUMBER(Input!B11543),IF(AND(Input!B11543&gt;=20,Input!B11543&lt;=700),Input!B11543,""),"")</f>
        <v/>
      </c>
      <c r="C11543">
        <f>IF(B11543="","",INT(A11543))</f>
        <v/>
      </c>
      <c r="D11543">
        <f>IF(B11543="","",HOUR(A11543))</f>
        <v/>
      </c>
    </row>
    <row r="11544">
      <c r="A11544">
        <f>Input!A11544</f>
        <v/>
      </c>
      <c r="B11544">
        <f>IF(ISNUMBER(Input!B11544),IF(AND(Input!B11544&gt;=20,Input!B11544&lt;=700),Input!B11544,""),"")</f>
        <v/>
      </c>
      <c r="C11544">
        <f>IF(B11544="","",INT(A11544))</f>
        <v/>
      </c>
      <c r="D11544">
        <f>IF(B11544="","",HOUR(A11544))</f>
        <v/>
      </c>
    </row>
    <row r="11545">
      <c r="A11545">
        <f>Input!A11545</f>
        <v/>
      </c>
      <c r="B11545">
        <f>IF(ISNUMBER(Input!B11545),IF(AND(Input!B11545&gt;=20,Input!B11545&lt;=700),Input!B11545,""),"")</f>
        <v/>
      </c>
      <c r="C11545">
        <f>IF(B11545="","",INT(A11545))</f>
        <v/>
      </c>
      <c r="D11545">
        <f>IF(B11545="","",HOUR(A11545))</f>
        <v/>
      </c>
    </row>
    <row r="11546">
      <c r="A11546">
        <f>Input!A11546</f>
        <v/>
      </c>
      <c r="B11546">
        <f>IF(ISNUMBER(Input!B11546),IF(AND(Input!B11546&gt;=20,Input!B11546&lt;=700),Input!B11546,""),"")</f>
        <v/>
      </c>
      <c r="C11546">
        <f>IF(B11546="","",INT(A11546))</f>
        <v/>
      </c>
      <c r="D11546">
        <f>IF(B11546="","",HOUR(A11546))</f>
        <v/>
      </c>
    </row>
    <row r="11547">
      <c r="A11547">
        <f>Input!A11547</f>
        <v/>
      </c>
      <c r="B11547">
        <f>IF(ISNUMBER(Input!B11547),IF(AND(Input!B11547&gt;=20,Input!B11547&lt;=700),Input!B11547,""),"")</f>
        <v/>
      </c>
      <c r="C11547">
        <f>IF(B11547="","",INT(A11547))</f>
        <v/>
      </c>
      <c r="D11547">
        <f>IF(B11547="","",HOUR(A11547))</f>
        <v/>
      </c>
    </row>
    <row r="11548">
      <c r="A11548">
        <f>Input!A11548</f>
        <v/>
      </c>
      <c r="B11548">
        <f>IF(ISNUMBER(Input!B11548),IF(AND(Input!B11548&gt;=20,Input!B11548&lt;=700),Input!B11548,""),"")</f>
        <v/>
      </c>
      <c r="C11548">
        <f>IF(B11548="","",INT(A11548))</f>
        <v/>
      </c>
      <c r="D11548">
        <f>IF(B11548="","",HOUR(A11548))</f>
        <v/>
      </c>
    </row>
    <row r="11549">
      <c r="A11549">
        <f>Input!A11549</f>
        <v/>
      </c>
      <c r="B11549">
        <f>IF(ISNUMBER(Input!B11549),IF(AND(Input!B11549&gt;=20,Input!B11549&lt;=700),Input!B11549,""),"")</f>
        <v/>
      </c>
      <c r="C11549">
        <f>IF(B11549="","",INT(A11549))</f>
        <v/>
      </c>
      <c r="D11549">
        <f>IF(B11549="","",HOUR(A11549))</f>
        <v/>
      </c>
    </row>
    <row r="11550">
      <c r="A11550">
        <f>Input!A11550</f>
        <v/>
      </c>
      <c r="B11550">
        <f>IF(ISNUMBER(Input!B11550),IF(AND(Input!B11550&gt;=20,Input!B11550&lt;=700),Input!B11550,""),"")</f>
        <v/>
      </c>
      <c r="C11550">
        <f>IF(B11550="","",INT(A11550))</f>
        <v/>
      </c>
      <c r="D11550">
        <f>IF(B11550="","",HOUR(A11550))</f>
        <v/>
      </c>
    </row>
    <row r="11551">
      <c r="A11551">
        <f>Input!A11551</f>
        <v/>
      </c>
      <c r="B11551">
        <f>IF(ISNUMBER(Input!B11551),IF(AND(Input!B11551&gt;=20,Input!B11551&lt;=700),Input!B11551,""),"")</f>
        <v/>
      </c>
      <c r="C11551">
        <f>IF(B11551="","",INT(A11551))</f>
        <v/>
      </c>
      <c r="D11551">
        <f>IF(B11551="","",HOUR(A11551))</f>
        <v/>
      </c>
    </row>
    <row r="11552">
      <c r="A11552">
        <f>Input!A11552</f>
        <v/>
      </c>
      <c r="B11552">
        <f>IF(ISNUMBER(Input!B11552),IF(AND(Input!B11552&gt;=20,Input!B11552&lt;=700),Input!B11552,""),"")</f>
        <v/>
      </c>
      <c r="C11552">
        <f>IF(B11552="","",INT(A11552))</f>
        <v/>
      </c>
      <c r="D11552">
        <f>IF(B11552="","",HOUR(A11552))</f>
        <v/>
      </c>
    </row>
    <row r="11553">
      <c r="A11553">
        <f>Input!A11553</f>
        <v/>
      </c>
      <c r="B11553">
        <f>IF(ISNUMBER(Input!B11553),IF(AND(Input!B11553&gt;=20,Input!B11553&lt;=700),Input!B11553,""),"")</f>
        <v/>
      </c>
      <c r="C11553">
        <f>IF(B11553="","",INT(A11553))</f>
        <v/>
      </c>
      <c r="D11553">
        <f>IF(B11553="","",HOUR(A11553))</f>
        <v/>
      </c>
    </row>
    <row r="11554">
      <c r="A11554">
        <f>Input!A11554</f>
        <v/>
      </c>
      <c r="B11554">
        <f>IF(ISNUMBER(Input!B11554),IF(AND(Input!B11554&gt;=20,Input!B11554&lt;=700),Input!B11554,""),"")</f>
        <v/>
      </c>
      <c r="C11554">
        <f>IF(B11554="","",INT(A11554))</f>
        <v/>
      </c>
      <c r="D11554">
        <f>IF(B11554="","",HOUR(A11554))</f>
        <v/>
      </c>
    </row>
    <row r="11555">
      <c r="A11555">
        <f>Input!A11555</f>
        <v/>
      </c>
      <c r="B11555">
        <f>IF(ISNUMBER(Input!B11555),IF(AND(Input!B11555&gt;=20,Input!B11555&lt;=700),Input!B11555,""),"")</f>
        <v/>
      </c>
      <c r="C11555">
        <f>IF(B11555="","",INT(A11555))</f>
        <v/>
      </c>
      <c r="D11555">
        <f>IF(B11555="","",HOUR(A11555))</f>
        <v/>
      </c>
    </row>
    <row r="11556">
      <c r="A11556">
        <f>Input!A11556</f>
        <v/>
      </c>
      <c r="B11556">
        <f>IF(ISNUMBER(Input!B11556),IF(AND(Input!B11556&gt;=20,Input!B11556&lt;=700),Input!B11556,""),"")</f>
        <v/>
      </c>
      <c r="C11556">
        <f>IF(B11556="","",INT(A11556))</f>
        <v/>
      </c>
      <c r="D11556">
        <f>IF(B11556="","",HOUR(A11556))</f>
        <v/>
      </c>
    </row>
    <row r="11557">
      <c r="A11557">
        <f>Input!A11557</f>
        <v/>
      </c>
      <c r="B11557">
        <f>IF(ISNUMBER(Input!B11557),IF(AND(Input!B11557&gt;=20,Input!B11557&lt;=700),Input!B11557,""),"")</f>
        <v/>
      </c>
      <c r="C11557">
        <f>IF(B11557="","",INT(A11557))</f>
        <v/>
      </c>
      <c r="D11557">
        <f>IF(B11557="","",HOUR(A11557))</f>
        <v/>
      </c>
    </row>
    <row r="11558">
      <c r="A11558">
        <f>Input!A11558</f>
        <v/>
      </c>
      <c r="B11558">
        <f>IF(ISNUMBER(Input!B11558),IF(AND(Input!B11558&gt;=20,Input!B11558&lt;=700),Input!B11558,""),"")</f>
        <v/>
      </c>
      <c r="C11558">
        <f>IF(B11558="","",INT(A11558))</f>
        <v/>
      </c>
      <c r="D11558">
        <f>IF(B11558="","",HOUR(A11558))</f>
        <v/>
      </c>
    </row>
    <row r="11559">
      <c r="A11559">
        <f>Input!A11559</f>
        <v/>
      </c>
      <c r="B11559">
        <f>IF(ISNUMBER(Input!B11559),IF(AND(Input!B11559&gt;=20,Input!B11559&lt;=700),Input!B11559,""),"")</f>
        <v/>
      </c>
      <c r="C11559">
        <f>IF(B11559="","",INT(A11559))</f>
        <v/>
      </c>
      <c r="D11559">
        <f>IF(B11559="","",HOUR(A11559))</f>
        <v/>
      </c>
    </row>
    <row r="11560">
      <c r="A11560">
        <f>Input!A11560</f>
        <v/>
      </c>
      <c r="B11560">
        <f>IF(ISNUMBER(Input!B11560),IF(AND(Input!B11560&gt;=20,Input!B11560&lt;=700),Input!B11560,""),"")</f>
        <v/>
      </c>
      <c r="C11560">
        <f>IF(B11560="","",INT(A11560))</f>
        <v/>
      </c>
      <c r="D11560">
        <f>IF(B11560="","",HOUR(A11560))</f>
        <v/>
      </c>
    </row>
    <row r="11561">
      <c r="A11561">
        <f>Input!A11561</f>
        <v/>
      </c>
      <c r="B11561">
        <f>IF(ISNUMBER(Input!B11561),IF(AND(Input!B11561&gt;=20,Input!B11561&lt;=700),Input!B11561,""),"")</f>
        <v/>
      </c>
      <c r="C11561">
        <f>IF(B11561="","",INT(A11561))</f>
        <v/>
      </c>
      <c r="D11561">
        <f>IF(B11561="","",HOUR(A11561))</f>
        <v/>
      </c>
    </row>
    <row r="11562">
      <c r="A11562">
        <f>Input!A11562</f>
        <v/>
      </c>
      <c r="B11562">
        <f>IF(ISNUMBER(Input!B11562),IF(AND(Input!B11562&gt;=20,Input!B11562&lt;=700),Input!B11562,""),"")</f>
        <v/>
      </c>
      <c r="C11562">
        <f>IF(B11562="","",INT(A11562))</f>
        <v/>
      </c>
      <c r="D11562">
        <f>IF(B11562="","",HOUR(A11562))</f>
        <v/>
      </c>
    </row>
    <row r="11563">
      <c r="A11563">
        <f>Input!A11563</f>
        <v/>
      </c>
      <c r="B11563">
        <f>IF(ISNUMBER(Input!B11563),IF(AND(Input!B11563&gt;=20,Input!B11563&lt;=700),Input!B11563,""),"")</f>
        <v/>
      </c>
      <c r="C11563">
        <f>IF(B11563="","",INT(A11563))</f>
        <v/>
      </c>
      <c r="D11563">
        <f>IF(B11563="","",HOUR(A11563))</f>
        <v/>
      </c>
    </row>
    <row r="11564">
      <c r="A11564">
        <f>Input!A11564</f>
        <v/>
      </c>
      <c r="B11564">
        <f>IF(ISNUMBER(Input!B11564),IF(AND(Input!B11564&gt;=20,Input!B11564&lt;=700),Input!B11564,""),"")</f>
        <v/>
      </c>
      <c r="C11564">
        <f>IF(B11564="","",INT(A11564))</f>
        <v/>
      </c>
      <c r="D11564">
        <f>IF(B11564="","",HOUR(A11564))</f>
        <v/>
      </c>
    </row>
    <row r="11565">
      <c r="A11565">
        <f>Input!A11565</f>
        <v/>
      </c>
      <c r="B11565">
        <f>IF(ISNUMBER(Input!B11565),IF(AND(Input!B11565&gt;=20,Input!B11565&lt;=700),Input!B11565,""),"")</f>
        <v/>
      </c>
      <c r="C11565">
        <f>IF(B11565="","",INT(A11565))</f>
        <v/>
      </c>
      <c r="D11565">
        <f>IF(B11565="","",HOUR(A11565))</f>
        <v/>
      </c>
    </row>
    <row r="11566">
      <c r="A11566">
        <f>Input!A11566</f>
        <v/>
      </c>
      <c r="B11566">
        <f>IF(ISNUMBER(Input!B11566),IF(AND(Input!B11566&gt;=20,Input!B11566&lt;=700),Input!B11566,""),"")</f>
        <v/>
      </c>
      <c r="C11566">
        <f>IF(B11566="","",INT(A11566))</f>
        <v/>
      </c>
      <c r="D11566">
        <f>IF(B11566="","",HOUR(A11566))</f>
        <v/>
      </c>
    </row>
    <row r="11567">
      <c r="A11567">
        <f>Input!A11567</f>
        <v/>
      </c>
      <c r="B11567">
        <f>IF(ISNUMBER(Input!B11567),IF(AND(Input!B11567&gt;=20,Input!B11567&lt;=700),Input!B11567,""),"")</f>
        <v/>
      </c>
      <c r="C11567">
        <f>IF(B11567="","",INT(A11567))</f>
        <v/>
      </c>
      <c r="D11567">
        <f>IF(B11567="","",HOUR(A11567))</f>
        <v/>
      </c>
    </row>
    <row r="11568">
      <c r="A11568">
        <f>Input!A11568</f>
        <v/>
      </c>
      <c r="B11568">
        <f>IF(ISNUMBER(Input!B11568),IF(AND(Input!B11568&gt;=20,Input!B11568&lt;=700),Input!B11568,""),"")</f>
        <v/>
      </c>
      <c r="C11568">
        <f>IF(B11568="","",INT(A11568))</f>
        <v/>
      </c>
      <c r="D11568">
        <f>IF(B11568="","",HOUR(A11568))</f>
        <v/>
      </c>
    </row>
    <row r="11569">
      <c r="A11569">
        <f>Input!A11569</f>
        <v/>
      </c>
      <c r="B11569">
        <f>IF(ISNUMBER(Input!B11569),IF(AND(Input!B11569&gt;=20,Input!B11569&lt;=700),Input!B11569,""),"")</f>
        <v/>
      </c>
      <c r="C11569">
        <f>IF(B11569="","",INT(A11569))</f>
        <v/>
      </c>
      <c r="D11569">
        <f>IF(B11569="","",HOUR(A11569))</f>
        <v/>
      </c>
    </row>
    <row r="11570">
      <c r="A11570">
        <f>Input!A11570</f>
        <v/>
      </c>
      <c r="B11570">
        <f>IF(ISNUMBER(Input!B11570),IF(AND(Input!B11570&gt;=20,Input!B11570&lt;=700),Input!B11570,""),"")</f>
        <v/>
      </c>
      <c r="C11570">
        <f>IF(B11570="","",INT(A11570))</f>
        <v/>
      </c>
      <c r="D11570">
        <f>IF(B11570="","",HOUR(A11570))</f>
        <v/>
      </c>
    </row>
    <row r="11571">
      <c r="A11571">
        <f>Input!A11571</f>
        <v/>
      </c>
      <c r="B11571">
        <f>IF(ISNUMBER(Input!B11571),IF(AND(Input!B11571&gt;=20,Input!B11571&lt;=700),Input!B11571,""),"")</f>
        <v/>
      </c>
      <c r="C11571">
        <f>IF(B11571="","",INT(A11571))</f>
        <v/>
      </c>
      <c r="D11571">
        <f>IF(B11571="","",HOUR(A11571))</f>
        <v/>
      </c>
    </row>
    <row r="11572">
      <c r="A11572">
        <f>Input!A11572</f>
        <v/>
      </c>
      <c r="B11572">
        <f>IF(ISNUMBER(Input!B11572),IF(AND(Input!B11572&gt;=20,Input!B11572&lt;=700),Input!B11572,""),"")</f>
        <v/>
      </c>
      <c r="C11572">
        <f>IF(B11572="","",INT(A11572))</f>
        <v/>
      </c>
      <c r="D11572">
        <f>IF(B11572="","",HOUR(A11572))</f>
        <v/>
      </c>
    </row>
    <row r="11573">
      <c r="A11573">
        <f>Input!A11573</f>
        <v/>
      </c>
      <c r="B11573">
        <f>IF(ISNUMBER(Input!B11573),IF(AND(Input!B11573&gt;=20,Input!B11573&lt;=700),Input!B11573,""),"")</f>
        <v/>
      </c>
      <c r="C11573">
        <f>IF(B11573="","",INT(A11573))</f>
        <v/>
      </c>
      <c r="D11573">
        <f>IF(B11573="","",HOUR(A11573))</f>
        <v/>
      </c>
    </row>
    <row r="11574">
      <c r="A11574">
        <f>Input!A11574</f>
        <v/>
      </c>
      <c r="B11574">
        <f>IF(ISNUMBER(Input!B11574),IF(AND(Input!B11574&gt;=20,Input!B11574&lt;=700),Input!B11574,""),"")</f>
        <v/>
      </c>
      <c r="C11574">
        <f>IF(B11574="","",INT(A11574))</f>
        <v/>
      </c>
      <c r="D11574">
        <f>IF(B11574="","",HOUR(A11574))</f>
        <v/>
      </c>
    </row>
    <row r="11575">
      <c r="A11575">
        <f>Input!A11575</f>
        <v/>
      </c>
      <c r="B11575">
        <f>IF(ISNUMBER(Input!B11575),IF(AND(Input!B11575&gt;=20,Input!B11575&lt;=700),Input!B11575,""),"")</f>
        <v/>
      </c>
      <c r="C11575">
        <f>IF(B11575="","",INT(A11575))</f>
        <v/>
      </c>
      <c r="D11575">
        <f>IF(B11575="","",HOUR(A11575))</f>
        <v/>
      </c>
    </row>
    <row r="11576">
      <c r="A11576">
        <f>Input!A11576</f>
        <v/>
      </c>
      <c r="B11576">
        <f>IF(ISNUMBER(Input!B11576),IF(AND(Input!B11576&gt;=20,Input!B11576&lt;=700),Input!B11576,""),"")</f>
        <v/>
      </c>
      <c r="C11576">
        <f>IF(B11576="","",INT(A11576))</f>
        <v/>
      </c>
      <c r="D11576">
        <f>IF(B11576="","",HOUR(A11576))</f>
        <v/>
      </c>
    </row>
    <row r="11577">
      <c r="A11577">
        <f>Input!A11577</f>
        <v/>
      </c>
      <c r="B11577">
        <f>IF(ISNUMBER(Input!B11577),IF(AND(Input!B11577&gt;=20,Input!B11577&lt;=700),Input!B11577,""),"")</f>
        <v/>
      </c>
      <c r="C11577">
        <f>IF(B11577="","",INT(A11577))</f>
        <v/>
      </c>
      <c r="D11577">
        <f>IF(B11577="","",HOUR(A11577))</f>
        <v/>
      </c>
    </row>
    <row r="11578">
      <c r="A11578">
        <f>Input!A11578</f>
        <v/>
      </c>
      <c r="B11578">
        <f>IF(ISNUMBER(Input!B11578),IF(AND(Input!B11578&gt;=20,Input!B11578&lt;=700),Input!B11578,""),"")</f>
        <v/>
      </c>
      <c r="C11578">
        <f>IF(B11578="","",INT(A11578))</f>
        <v/>
      </c>
      <c r="D11578">
        <f>IF(B11578="","",HOUR(A11578))</f>
        <v/>
      </c>
    </row>
    <row r="11579">
      <c r="A11579">
        <f>Input!A11579</f>
        <v/>
      </c>
      <c r="B11579">
        <f>IF(ISNUMBER(Input!B11579),IF(AND(Input!B11579&gt;=20,Input!B11579&lt;=700),Input!B11579,""),"")</f>
        <v/>
      </c>
      <c r="C11579">
        <f>IF(B11579="","",INT(A11579))</f>
        <v/>
      </c>
      <c r="D11579">
        <f>IF(B11579="","",HOUR(A11579))</f>
        <v/>
      </c>
    </row>
    <row r="11580">
      <c r="A11580">
        <f>Input!A11580</f>
        <v/>
      </c>
      <c r="B11580">
        <f>IF(ISNUMBER(Input!B11580),IF(AND(Input!B11580&gt;=20,Input!B11580&lt;=700),Input!B11580,""),"")</f>
        <v/>
      </c>
      <c r="C11580">
        <f>IF(B11580="","",INT(A11580))</f>
        <v/>
      </c>
      <c r="D11580">
        <f>IF(B11580="","",HOUR(A11580))</f>
        <v/>
      </c>
    </row>
    <row r="11581">
      <c r="A11581">
        <f>Input!A11581</f>
        <v/>
      </c>
      <c r="B11581">
        <f>IF(ISNUMBER(Input!B11581),IF(AND(Input!B11581&gt;=20,Input!B11581&lt;=700),Input!B11581,""),"")</f>
        <v/>
      </c>
      <c r="C11581">
        <f>IF(B11581="","",INT(A11581))</f>
        <v/>
      </c>
      <c r="D11581">
        <f>IF(B11581="","",HOUR(A11581))</f>
        <v/>
      </c>
    </row>
    <row r="11582">
      <c r="A11582">
        <f>Input!A11582</f>
        <v/>
      </c>
      <c r="B11582">
        <f>IF(ISNUMBER(Input!B11582),IF(AND(Input!B11582&gt;=20,Input!B11582&lt;=700),Input!B11582,""),"")</f>
        <v/>
      </c>
      <c r="C11582">
        <f>IF(B11582="","",INT(A11582))</f>
        <v/>
      </c>
      <c r="D11582">
        <f>IF(B11582="","",HOUR(A11582))</f>
        <v/>
      </c>
    </row>
    <row r="11583">
      <c r="A11583">
        <f>Input!A11583</f>
        <v/>
      </c>
      <c r="B11583">
        <f>IF(ISNUMBER(Input!B11583),IF(AND(Input!B11583&gt;=20,Input!B11583&lt;=700),Input!B11583,""),"")</f>
        <v/>
      </c>
      <c r="C11583">
        <f>IF(B11583="","",INT(A11583))</f>
        <v/>
      </c>
      <c r="D11583">
        <f>IF(B11583="","",HOUR(A11583))</f>
        <v/>
      </c>
    </row>
    <row r="11584">
      <c r="A11584">
        <f>Input!A11584</f>
        <v/>
      </c>
      <c r="B11584">
        <f>IF(ISNUMBER(Input!B11584),IF(AND(Input!B11584&gt;=20,Input!B11584&lt;=700),Input!B11584,""),"")</f>
        <v/>
      </c>
      <c r="C11584">
        <f>IF(B11584="","",INT(A11584))</f>
        <v/>
      </c>
      <c r="D11584">
        <f>IF(B11584="","",HOUR(A11584))</f>
        <v/>
      </c>
    </row>
    <row r="11585">
      <c r="A11585">
        <f>Input!A11585</f>
        <v/>
      </c>
      <c r="B11585">
        <f>IF(ISNUMBER(Input!B11585),IF(AND(Input!B11585&gt;=20,Input!B11585&lt;=700),Input!B11585,""),"")</f>
        <v/>
      </c>
      <c r="C11585">
        <f>IF(B11585="","",INT(A11585))</f>
        <v/>
      </c>
      <c r="D11585">
        <f>IF(B11585="","",HOUR(A11585))</f>
        <v/>
      </c>
    </row>
    <row r="11586">
      <c r="A11586">
        <f>Input!A11586</f>
        <v/>
      </c>
      <c r="B11586">
        <f>IF(ISNUMBER(Input!B11586),IF(AND(Input!B11586&gt;=20,Input!B11586&lt;=700),Input!B11586,""),"")</f>
        <v/>
      </c>
      <c r="C11586">
        <f>IF(B11586="","",INT(A11586))</f>
        <v/>
      </c>
      <c r="D11586">
        <f>IF(B11586="","",HOUR(A11586))</f>
        <v/>
      </c>
    </row>
    <row r="11587">
      <c r="A11587">
        <f>Input!A11587</f>
        <v/>
      </c>
      <c r="B11587">
        <f>IF(ISNUMBER(Input!B11587),IF(AND(Input!B11587&gt;=20,Input!B11587&lt;=700),Input!B11587,""),"")</f>
        <v/>
      </c>
      <c r="C11587">
        <f>IF(B11587="","",INT(A11587))</f>
        <v/>
      </c>
      <c r="D11587">
        <f>IF(B11587="","",HOUR(A11587))</f>
        <v/>
      </c>
    </row>
    <row r="11588">
      <c r="A11588">
        <f>Input!A11588</f>
        <v/>
      </c>
      <c r="B11588">
        <f>IF(ISNUMBER(Input!B11588),IF(AND(Input!B11588&gt;=20,Input!B11588&lt;=700),Input!B11588,""),"")</f>
        <v/>
      </c>
      <c r="C11588">
        <f>IF(B11588="","",INT(A11588))</f>
        <v/>
      </c>
      <c r="D11588">
        <f>IF(B11588="","",HOUR(A11588))</f>
        <v/>
      </c>
    </row>
    <row r="11589">
      <c r="A11589">
        <f>Input!A11589</f>
        <v/>
      </c>
      <c r="B11589">
        <f>IF(ISNUMBER(Input!B11589),IF(AND(Input!B11589&gt;=20,Input!B11589&lt;=700),Input!B11589,""),"")</f>
        <v/>
      </c>
      <c r="C11589">
        <f>IF(B11589="","",INT(A11589))</f>
        <v/>
      </c>
      <c r="D11589">
        <f>IF(B11589="","",HOUR(A11589))</f>
        <v/>
      </c>
    </row>
    <row r="11590">
      <c r="A11590">
        <f>Input!A11590</f>
        <v/>
      </c>
      <c r="B11590">
        <f>IF(ISNUMBER(Input!B11590),IF(AND(Input!B11590&gt;=20,Input!B11590&lt;=700),Input!B11590,""),"")</f>
        <v/>
      </c>
      <c r="C11590">
        <f>IF(B11590="","",INT(A11590))</f>
        <v/>
      </c>
      <c r="D11590">
        <f>IF(B11590="","",HOUR(A11590))</f>
        <v/>
      </c>
    </row>
    <row r="11591">
      <c r="A11591">
        <f>Input!A11591</f>
        <v/>
      </c>
      <c r="B11591">
        <f>IF(ISNUMBER(Input!B11591),IF(AND(Input!B11591&gt;=20,Input!B11591&lt;=700),Input!B11591,""),"")</f>
        <v/>
      </c>
      <c r="C11591">
        <f>IF(B11591="","",INT(A11591))</f>
        <v/>
      </c>
      <c r="D11591">
        <f>IF(B11591="","",HOUR(A11591))</f>
        <v/>
      </c>
    </row>
    <row r="11592">
      <c r="A11592">
        <f>Input!A11592</f>
        <v/>
      </c>
      <c r="B11592">
        <f>IF(ISNUMBER(Input!B11592),IF(AND(Input!B11592&gt;=20,Input!B11592&lt;=700),Input!B11592,""),"")</f>
        <v/>
      </c>
      <c r="C11592">
        <f>IF(B11592="","",INT(A11592))</f>
        <v/>
      </c>
      <c r="D11592">
        <f>IF(B11592="","",HOUR(A11592))</f>
        <v/>
      </c>
    </row>
    <row r="11593">
      <c r="A11593">
        <f>Input!A11593</f>
        <v/>
      </c>
      <c r="B11593">
        <f>IF(ISNUMBER(Input!B11593),IF(AND(Input!B11593&gt;=20,Input!B11593&lt;=700),Input!B11593,""),"")</f>
        <v/>
      </c>
      <c r="C11593">
        <f>IF(B11593="","",INT(A11593))</f>
        <v/>
      </c>
      <c r="D11593">
        <f>IF(B11593="","",HOUR(A11593))</f>
        <v/>
      </c>
    </row>
    <row r="11594">
      <c r="A11594">
        <f>Input!A11594</f>
        <v/>
      </c>
      <c r="B11594">
        <f>IF(ISNUMBER(Input!B11594),IF(AND(Input!B11594&gt;=20,Input!B11594&lt;=700),Input!B11594,""),"")</f>
        <v/>
      </c>
      <c r="C11594">
        <f>IF(B11594="","",INT(A11594))</f>
        <v/>
      </c>
      <c r="D11594">
        <f>IF(B11594="","",HOUR(A11594))</f>
        <v/>
      </c>
    </row>
    <row r="11595">
      <c r="A11595">
        <f>Input!A11595</f>
        <v/>
      </c>
      <c r="B11595">
        <f>IF(ISNUMBER(Input!B11595),IF(AND(Input!B11595&gt;=20,Input!B11595&lt;=700),Input!B11595,""),"")</f>
        <v/>
      </c>
      <c r="C11595">
        <f>IF(B11595="","",INT(A11595))</f>
        <v/>
      </c>
      <c r="D11595">
        <f>IF(B11595="","",HOUR(A11595))</f>
        <v/>
      </c>
    </row>
    <row r="11596">
      <c r="A11596">
        <f>Input!A11596</f>
        <v/>
      </c>
      <c r="B11596">
        <f>IF(ISNUMBER(Input!B11596),IF(AND(Input!B11596&gt;=20,Input!B11596&lt;=700),Input!B11596,""),"")</f>
        <v/>
      </c>
      <c r="C11596">
        <f>IF(B11596="","",INT(A11596))</f>
        <v/>
      </c>
      <c r="D11596">
        <f>IF(B11596="","",HOUR(A11596))</f>
        <v/>
      </c>
    </row>
    <row r="11597">
      <c r="A11597">
        <f>Input!A11597</f>
        <v/>
      </c>
      <c r="B11597">
        <f>IF(ISNUMBER(Input!B11597),IF(AND(Input!B11597&gt;=20,Input!B11597&lt;=700),Input!B11597,""),"")</f>
        <v/>
      </c>
      <c r="C11597">
        <f>IF(B11597="","",INT(A11597))</f>
        <v/>
      </c>
      <c r="D11597">
        <f>IF(B11597="","",HOUR(A11597))</f>
        <v/>
      </c>
    </row>
    <row r="11598">
      <c r="A11598">
        <f>Input!A11598</f>
        <v/>
      </c>
      <c r="B11598">
        <f>IF(ISNUMBER(Input!B11598),IF(AND(Input!B11598&gt;=20,Input!B11598&lt;=700),Input!B11598,""),"")</f>
        <v/>
      </c>
      <c r="C11598">
        <f>IF(B11598="","",INT(A11598))</f>
        <v/>
      </c>
      <c r="D11598">
        <f>IF(B11598="","",HOUR(A11598))</f>
        <v/>
      </c>
    </row>
    <row r="11599">
      <c r="A11599">
        <f>Input!A11599</f>
        <v/>
      </c>
      <c r="B11599">
        <f>IF(ISNUMBER(Input!B11599),IF(AND(Input!B11599&gt;=20,Input!B11599&lt;=700),Input!B11599,""),"")</f>
        <v/>
      </c>
      <c r="C11599">
        <f>IF(B11599="","",INT(A11599))</f>
        <v/>
      </c>
      <c r="D11599">
        <f>IF(B11599="","",HOUR(A11599))</f>
        <v/>
      </c>
    </row>
    <row r="11600">
      <c r="A11600">
        <f>Input!A11600</f>
        <v/>
      </c>
      <c r="B11600">
        <f>IF(ISNUMBER(Input!B11600),IF(AND(Input!B11600&gt;=20,Input!B11600&lt;=700),Input!B11600,""),"")</f>
        <v/>
      </c>
      <c r="C11600">
        <f>IF(B11600="","",INT(A11600))</f>
        <v/>
      </c>
      <c r="D11600">
        <f>IF(B11600="","",HOUR(A11600))</f>
        <v/>
      </c>
    </row>
    <row r="11601">
      <c r="A11601">
        <f>Input!A11601</f>
        <v/>
      </c>
      <c r="B11601">
        <f>IF(ISNUMBER(Input!B11601),IF(AND(Input!B11601&gt;=20,Input!B11601&lt;=700),Input!B11601,""),"")</f>
        <v/>
      </c>
      <c r="C11601">
        <f>IF(B11601="","",INT(A11601))</f>
        <v/>
      </c>
      <c r="D11601">
        <f>IF(B11601="","",HOUR(A11601))</f>
        <v/>
      </c>
    </row>
    <row r="11602">
      <c r="A11602">
        <f>Input!A11602</f>
        <v/>
      </c>
      <c r="B11602">
        <f>IF(ISNUMBER(Input!B11602),IF(AND(Input!B11602&gt;=20,Input!B11602&lt;=700),Input!B11602,""),"")</f>
        <v/>
      </c>
      <c r="C11602">
        <f>IF(B11602="","",INT(A11602))</f>
        <v/>
      </c>
      <c r="D11602">
        <f>IF(B11602="","",HOUR(A11602))</f>
        <v/>
      </c>
    </row>
    <row r="11603">
      <c r="A11603">
        <f>Input!A11603</f>
        <v/>
      </c>
      <c r="B11603">
        <f>IF(ISNUMBER(Input!B11603),IF(AND(Input!B11603&gt;=20,Input!B11603&lt;=700),Input!B11603,""),"")</f>
        <v/>
      </c>
      <c r="C11603">
        <f>IF(B11603="","",INT(A11603))</f>
        <v/>
      </c>
      <c r="D11603">
        <f>IF(B11603="","",HOUR(A11603))</f>
        <v/>
      </c>
    </row>
    <row r="11604">
      <c r="A11604">
        <f>Input!A11604</f>
        <v/>
      </c>
      <c r="B11604">
        <f>IF(ISNUMBER(Input!B11604),IF(AND(Input!B11604&gt;=20,Input!B11604&lt;=700),Input!B11604,""),"")</f>
        <v/>
      </c>
      <c r="C11604">
        <f>IF(B11604="","",INT(A11604))</f>
        <v/>
      </c>
      <c r="D11604">
        <f>IF(B11604="","",HOUR(A11604))</f>
        <v/>
      </c>
    </row>
    <row r="11605">
      <c r="A11605">
        <f>Input!A11605</f>
        <v/>
      </c>
      <c r="B11605">
        <f>IF(ISNUMBER(Input!B11605),IF(AND(Input!B11605&gt;=20,Input!B11605&lt;=700),Input!B11605,""),"")</f>
        <v/>
      </c>
      <c r="C11605">
        <f>IF(B11605="","",INT(A11605))</f>
        <v/>
      </c>
      <c r="D11605">
        <f>IF(B11605="","",HOUR(A11605))</f>
        <v/>
      </c>
    </row>
    <row r="11606">
      <c r="A11606">
        <f>Input!A11606</f>
        <v/>
      </c>
      <c r="B11606">
        <f>IF(ISNUMBER(Input!B11606),IF(AND(Input!B11606&gt;=20,Input!B11606&lt;=700),Input!B11606,""),"")</f>
        <v/>
      </c>
      <c r="C11606">
        <f>IF(B11606="","",INT(A11606))</f>
        <v/>
      </c>
      <c r="D11606">
        <f>IF(B11606="","",HOUR(A11606))</f>
        <v/>
      </c>
    </row>
    <row r="11607">
      <c r="A11607">
        <f>Input!A11607</f>
        <v/>
      </c>
      <c r="B11607">
        <f>IF(ISNUMBER(Input!B11607),IF(AND(Input!B11607&gt;=20,Input!B11607&lt;=700),Input!B11607,""),"")</f>
        <v/>
      </c>
      <c r="C11607">
        <f>IF(B11607="","",INT(A11607))</f>
        <v/>
      </c>
      <c r="D11607">
        <f>IF(B11607="","",HOUR(A11607))</f>
        <v/>
      </c>
    </row>
    <row r="11608">
      <c r="A11608">
        <f>Input!A11608</f>
        <v/>
      </c>
      <c r="B11608">
        <f>IF(ISNUMBER(Input!B11608),IF(AND(Input!B11608&gt;=20,Input!B11608&lt;=700),Input!B11608,""),"")</f>
        <v/>
      </c>
      <c r="C11608">
        <f>IF(B11608="","",INT(A11608))</f>
        <v/>
      </c>
      <c r="D11608">
        <f>IF(B11608="","",HOUR(A11608))</f>
        <v/>
      </c>
    </row>
    <row r="11609">
      <c r="A11609">
        <f>Input!A11609</f>
        <v/>
      </c>
      <c r="B11609">
        <f>IF(ISNUMBER(Input!B11609),IF(AND(Input!B11609&gt;=20,Input!B11609&lt;=700),Input!B11609,""),"")</f>
        <v/>
      </c>
      <c r="C11609">
        <f>IF(B11609="","",INT(A11609))</f>
        <v/>
      </c>
      <c r="D11609">
        <f>IF(B11609="","",HOUR(A11609))</f>
        <v/>
      </c>
    </row>
    <row r="11610">
      <c r="A11610">
        <f>Input!A11610</f>
        <v/>
      </c>
      <c r="B11610">
        <f>IF(ISNUMBER(Input!B11610),IF(AND(Input!B11610&gt;=20,Input!B11610&lt;=700),Input!B11610,""),"")</f>
        <v/>
      </c>
      <c r="C11610">
        <f>IF(B11610="","",INT(A11610))</f>
        <v/>
      </c>
      <c r="D11610">
        <f>IF(B11610="","",HOUR(A11610))</f>
        <v/>
      </c>
    </row>
    <row r="11611">
      <c r="A11611">
        <f>Input!A11611</f>
        <v/>
      </c>
      <c r="B11611">
        <f>IF(ISNUMBER(Input!B11611),IF(AND(Input!B11611&gt;=20,Input!B11611&lt;=700),Input!B11611,""),"")</f>
        <v/>
      </c>
      <c r="C11611">
        <f>IF(B11611="","",INT(A11611))</f>
        <v/>
      </c>
      <c r="D11611">
        <f>IF(B11611="","",HOUR(A11611))</f>
        <v/>
      </c>
    </row>
    <row r="11612">
      <c r="A11612">
        <f>Input!A11612</f>
        <v/>
      </c>
      <c r="B11612">
        <f>IF(ISNUMBER(Input!B11612),IF(AND(Input!B11612&gt;=20,Input!B11612&lt;=700),Input!B11612,""),"")</f>
        <v/>
      </c>
      <c r="C11612">
        <f>IF(B11612="","",INT(A11612))</f>
        <v/>
      </c>
      <c r="D11612">
        <f>IF(B11612="","",HOUR(A11612))</f>
        <v/>
      </c>
    </row>
    <row r="11613">
      <c r="A11613">
        <f>Input!A11613</f>
        <v/>
      </c>
      <c r="B11613">
        <f>IF(ISNUMBER(Input!B11613),IF(AND(Input!B11613&gt;=20,Input!B11613&lt;=700),Input!B11613,""),"")</f>
        <v/>
      </c>
      <c r="C11613">
        <f>IF(B11613="","",INT(A11613))</f>
        <v/>
      </c>
      <c r="D11613">
        <f>IF(B11613="","",HOUR(A11613))</f>
        <v/>
      </c>
    </row>
    <row r="11614">
      <c r="A11614">
        <f>Input!A11614</f>
        <v/>
      </c>
      <c r="B11614">
        <f>IF(ISNUMBER(Input!B11614),IF(AND(Input!B11614&gt;=20,Input!B11614&lt;=700),Input!B11614,""),"")</f>
        <v/>
      </c>
      <c r="C11614">
        <f>IF(B11614="","",INT(A11614))</f>
        <v/>
      </c>
      <c r="D11614">
        <f>IF(B11614="","",HOUR(A11614))</f>
        <v/>
      </c>
    </row>
    <row r="11615">
      <c r="A11615">
        <f>Input!A11615</f>
        <v/>
      </c>
      <c r="B11615">
        <f>IF(ISNUMBER(Input!B11615),IF(AND(Input!B11615&gt;=20,Input!B11615&lt;=700),Input!B11615,""),"")</f>
        <v/>
      </c>
      <c r="C11615">
        <f>IF(B11615="","",INT(A11615))</f>
        <v/>
      </c>
      <c r="D11615">
        <f>IF(B11615="","",HOUR(A11615))</f>
        <v/>
      </c>
    </row>
    <row r="11616">
      <c r="A11616">
        <f>Input!A11616</f>
        <v/>
      </c>
      <c r="B11616">
        <f>IF(ISNUMBER(Input!B11616),IF(AND(Input!B11616&gt;=20,Input!B11616&lt;=700),Input!B11616,""),"")</f>
        <v/>
      </c>
      <c r="C11616">
        <f>IF(B11616="","",INT(A11616))</f>
        <v/>
      </c>
      <c r="D11616">
        <f>IF(B11616="","",HOUR(A11616))</f>
        <v/>
      </c>
    </row>
    <row r="11617">
      <c r="A11617">
        <f>Input!A11617</f>
        <v/>
      </c>
      <c r="B11617">
        <f>IF(ISNUMBER(Input!B11617),IF(AND(Input!B11617&gt;=20,Input!B11617&lt;=700),Input!B11617,""),"")</f>
        <v/>
      </c>
      <c r="C11617">
        <f>IF(B11617="","",INT(A11617))</f>
        <v/>
      </c>
      <c r="D11617">
        <f>IF(B11617="","",HOUR(A11617))</f>
        <v/>
      </c>
    </row>
    <row r="11618">
      <c r="A11618">
        <f>Input!A11618</f>
        <v/>
      </c>
      <c r="B11618">
        <f>IF(ISNUMBER(Input!B11618),IF(AND(Input!B11618&gt;=20,Input!B11618&lt;=700),Input!B11618,""),"")</f>
        <v/>
      </c>
      <c r="C11618">
        <f>IF(B11618="","",INT(A11618))</f>
        <v/>
      </c>
      <c r="D11618">
        <f>IF(B11618="","",HOUR(A11618))</f>
        <v/>
      </c>
    </row>
    <row r="11619">
      <c r="A11619">
        <f>Input!A11619</f>
        <v/>
      </c>
      <c r="B11619">
        <f>IF(ISNUMBER(Input!B11619),IF(AND(Input!B11619&gt;=20,Input!B11619&lt;=700),Input!B11619,""),"")</f>
        <v/>
      </c>
      <c r="C11619">
        <f>IF(B11619="","",INT(A11619))</f>
        <v/>
      </c>
      <c r="D11619">
        <f>IF(B11619="","",HOUR(A11619))</f>
        <v/>
      </c>
    </row>
    <row r="11620">
      <c r="A11620">
        <f>Input!A11620</f>
        <v/>
      </c>
      <c r="B11620">
        <f>IF(ISNUMBER(Input!B11620),IF(AND(Input!B11620&gt;=20,Input!B11620&lt;=700),Input!B11620,""),"")</f>
        <v/>
      </c>
      <c r="C11620">
        <f>IF(B11620="","",INT(A11620))</f>
        <v/>
      </c>
      <c r="D11620">
        <f>IF(B11620="","",HOUR(A11620))</f>
        <v/>
      </c>
    </row>
    <row r="11621">
      <c r="A11621">
        <f>Input!A11621</f>
        <v/>
      </c>
      <c r="B11621">
        <f>IF(ISNUMBER(Input!B11621),IF(AND(Input!B11621&gt;=20,Input!B11621&lt;=700),Input!B11621,""),"")</f>
        <v/>
      </c>
      <c r="C11621">
        <f>IF(B11621="","",INT(A11621))</f>
        <v/>
      </c>
      <c r="D11621">
        <f>IF(B11621="","",HOUR(A11621))</f>
        <v/>
      </c>
    </row>
    <row r="11622">
      <c r="A11622">
        <f>Input!A11622</f>
        <v/>
      </c>
      <c r="B11622">
        <f>IF(ISNUMBER(Input!B11622),IF(AND(Input!B11622&gt;=20,Input!B11622&lt;=700),Input!B11622,""),"")</f>
        <v/>
      </c>
      <c r="C11622">
        <f>IF(B11622="","",INT(A11622))</f>
        <v/>
      </c>
      <c r="D11622">
        <f>IF(B11622="","",HOUR(A11622))</f>
        <v/>
      </c>
    </row>
    <row r="11623">
      <c r="A11623">
        <f>Input!A11623</f>
        <v/>
      </c>
      <c r="B11623">
        <f>IF(ISNUMBER(Input!B11623),IF(AND(Input!B11623&gt;=20,Input!B11623&lt;=700),Input!B11623,""),"")</f>
        <v/>
      </c>
      <c r="C11623">
        <f>IF(B11623="","",INT(A11623))</f>
        <v/>
      </c>
      <c r="D11623">
        <f>IF(B11623="","",HOUR(A11623))</f>
        <v/>
      </c>
    </row>
    <row r="11624">
      <c r="A11624">
        <f>Input!A11624</f>
        <v/>
      </c>
      <c r="B11624">
        <f>IF(ISNUMBER(Input!B11624),IF(AND(Input!B11624&gt;=20,Input!B11624&lt;=700),Input!B11624,""),"")</f>
        <v/>
      </c>
      <c r="C11624">
        <f>IF(B11624="","",INT(A11624))</f>
        <v/>
      </c>
      <c r="D11624">
        <f>IF(B11624="","",HOUR(A11624))</f>
        <v/>
      </c>
    </row>
    <row r="11625">
      <c r="A11625">
        <f>Input!A11625</f>
        <v/>
      </c>
      <c r="B11625">
        <f>IF(ISNUMBER(Input!B11625),IF(AND(Input!B11625&gt;=20,Input!B11625&lt;=700),Input!B11625,""),"")</f>
        <v/>
      </c>
      <c r="C11625">
        <f>IF(B11625="","",INT(A11625))</f>
        <v/>
      </c>
      <c r="D11625">
        <f>IF(B11625="","",HOUR(A11625))</f>
        <v/>
      </c>
    </row>
    <row r="11626">
      <c r="A11626">
        <f>Input!A11626</f>
        <v/>
      </c>
      <c r="B11626">
        <f>IF(ISNUMBER(Input!B11626),IF(AND(Input!B11626&gt;=20,Input!B11626&lt;=700),Input!B11626,""),"")</f>
        <v/>
      </c>
      <c r="C11626">
        <f>IF(B11626="","",INT(A11626))</f>
        <v/>
      </c>
      <c r="D11626">
        <f>IF(B11626="","",HOUR(A11626))</f>
        <v/>
      </c>
    </row>
    <row r="11627">
      <c r="A11627">
        <f>Input!A11627</f>
        <v/>
      </c>
      <c r="B11627">
        <f>IF(ISNUMBER(Input!B11627),IF(AND(Input!B11627&gt;=20,Input!B11627&lt;=700),Input!B11627,""),"")</f>
        <v/>
      </c>
      <c r="C11627">
        <f>IF(B11627="","",INT(A11627))</f>
        <v/>
      </c>
      <c r="D11627">
        <f>IF(B11627="","",HOUR(A11627))</f>
        <v/>
      </c>
    </row>
    <row r="11628">
      <c r="A11628">
        <f>Input!A11628</f>
        <v/>
      </c>
      <c r="B11628">
        <f>IF(ISNUMBER(Input!B11628),IF(AND(Input!B11628&gt;=20,Input!B11628&lt;=700),Input!B11628,""),"")</f>
        <v/>
      </c>
      <c r="C11628">
        <f>IF(B11628="","",INT(A11628))</f>
        <v/>
      </c>
      <c r="D11628">
        <f>IF(B11628="","",HOUR(A11628))</f>
        <v/>
      </c>
    </row>
    <row r="11629">
      <c r="A11629">
        <f>Input!A11629</f>
        <v/>
      </c>
      <c r="B11629">
        <f>IF(ISNUMBER(Input!B11629),IF(AND(Input!B11629&gt;=20,Input!B11629&lt;=700),Input!B11629,""),"")</f>
        <v/>
      </c>
      <c r="C11629">
        <f>IF(B11629="","",INT(A11629))</f>
        <v/>
      </c>
      <c r="D11629">
        <f>IF(B11629="","",HOUR(A11629))</f>
        <v/>
      </c>
    </row>
    <row r="11630">
      <c r="A11630">
        <f>Input!A11630</f>
        <v/>
      </c>
      <c r="B11630">
        <f>IF(ISNUMBER(Input!B11630),IF(AND(Input!B11630&gt;=20,Input!B11630&lt;=700),Input!B11630,""),"")</f>
        <v/>
      </c>
      <c r="C11630">
        <f>IF(B11630="","",INT(A11630))</f>
        <v/>
      </c>
      <c r="D11630">
        <f>IF(B11630="","",HOUR(A11630))</f>
        <v/>
      </c>
    </row>
    <row r="11631">
      <c r="A11631">
        <f>Input!A11631</f>
        <v/>
      </c>
      <c r="B11631">
        <f>IF(ISNUMBER(Input!B11631),IF(AND(Input!B11631&gt;=20,Input!B11631&lt;=700),Input!B11631,""),"")</f>
        <v/>
      </c>
      <c r="C11631">
        <f>IF(B11631="","",INT(A11631))</f>
        <v/>
      </c>
      <c r="D11631">
        <f>IF(B11631="","",HOUR(A11631))</f>
        <v/>
      </c>
    </row>
    <row r="11632">
      <c r="A11632">
        <f>Input!A11632</f>
        <v/>
      </c>
      <c r="B11632">
        <f>IF(ISNUMBER(Input!B11632),IF(AND(Input!B11632&gt;=20,Input!B11632&lt;=700),Input!B11632,""),"")</f>
        <v/>
      </c>
      <c r="C11632">
        <f>IF(B11632="","",INT(A11632))</f>
        <v/>
      </c>
      <c r="D11632">
        <f>IF(B11632="","",HOUR(A11632))</f>
        <v/>
      </c>
    </row>
    <row r="11633">
      <c r="A11633">
        <f>Input!A11633</f>
        <v/>
      </c>
      <c r="B11633">
        <f>IF(ISNUMBER(Input!B11633),IF(AND(Input!B11633&gt;=20,Input!B11633&lt;=700),Input!B11633,""),"")</f>
        <v/>
      </c>
      <c r="C11633">
        <f>IF(B11633="","",INT(A11633))</f>
        <v/>
      </c>
      <c r="D11633">
        <f>IF(B11633="","",HOUR(A11633))</f>
        <v/>
      </c>
    </row>
    <row r="11634">
      <c r="A11634">
        <f>Input!A11634</f>
        <v/>
      </c>
      <c r="B11634">
        <f>IF(ISNUMBER(Input!B11634),IF(AND(Input!B11634&gt;=20,Input!B11634&lt;=700),Input!B11634,""),"")</f>
        <v/>
      </c>
      <c r="C11634">
        <f>IF(B11634="","",INT(A11634))</f>
        <v/>
      </c>
      <c r="D11634">
        <f>IF(B11634="","",HOUR(A11634))</f>
        <v/>
      </c>
    </row>
    <row r="11635">
      <c r="A11635">
        <f>Input!A11635</f>
        <v/>
      </c>
      <c r="B11635">
        <f>IF(ISNUMBER(Input!B11635),IF(AND(Input!B11635&gt;=20,Input!B11635&lt;=700),Input!B11635,""),"")</f>
        <v/>
      </c>
      <c r="C11635">
        <f>IF(B11635="","",INT(A11635))</f>
        <v/>
      </c>
      <c r="D11635">
        <f>IF(B11635="","",HOUR(A11635))</f>
        <v/>
      </c>
    </row>
    <row r="11636">
      <c r="A11636">
        <f>Input!A11636</f>
        <v/>
      </c>
      <c r="B11636">
        <f>IF(ISNUMBER(Input!B11636),IF(AND(Input!B11636&gt;=20,Input!B11636&lt;=700),Input!B11636,""),"")</f>
        <v/>
      </c>
      <c r="C11636">
        <f>IF(B11636="","",INT(A11636))</f>
        <v/>
      </c>
      <c r="D11636">
        <f>IF(B11636="","",HOUR(A11636))</f>
        <v/>
      </c>
    </row>
    <row r="11637">
      <c r="A11637">
        <f>Input!A11637</f>
        <v/>
      </c>
      <c r="B11637">
        <f>IF(ISNUMBER(Input!B11637),IF(AND(Input!B11637&gt;=20,Input!B11637&lt;=700),Input!B11637,""),"")</f>
        <v/>
      </c>
      <c r="C11637">
        <f>IF(B11637="","",INT(A11637))</f>
        <v/>
      </c>
      <c r="D11637">
        <f>IF(B11637="","",HOUR(A11637))</f>
        <v/>
      </c>
    </row>
    <row r="11638">
      <c r="A11638">
        <f>Input!A11638</f>
        <v/>
      </c>
      <c r="B11638">
        <f>IF(ISNUMBER(Input!B11638),IF(AND(Input!B11638&gt;=20,Input!B11638&lt;=700),Input!B11638,""),"")</f>
        <v/>
      </c>
      <c r="C11638">
        <f>IF(B11638="","",INT(A11638))</f>
        <v/>
      </c>
      <c r="D11638">
        <f>IF(B11638="","",HOUR(A11638))</f>
        <v/>
      </c>
    </row>
    <row r="11639">
      <c r="A11639">
        <f>Input!A11639</f>
        <v/>
      </c>
      <c r="B11639">
        <f>IF(ISNUMBER(Input!B11639),IF(AND(Input!B11639&gt;=20,Input!B11639&lt;=700),Input!B11639,""),"")</f>
        <v/>
      </c>
      <c r="C11639">
        <f>IF(B11639="","",INT(A11639))</f>
        <v/>
      </c>
      <c r="D11639">
        <f>IF(B11639="","",HOUR(A11639))</f>
        <v/>
      </c>
    </row>
    <row r="11640">
      <c r="A11640">
        <f>Input!A11640</f>
        <v/>
      </c>
      <c r="B11640">
        <f>IF(ISNUMBER(Input!B11640),IF(AND(Input!B11640&gt;=20,Input!B11640&lt;=700),Input!B11640,""),"")</f>
        <v/>
      </c>
      <c r="C11640">
        <f>IF(B11640="","",INT(A11640))</f>
        <v/>
      </c>
      <c r="D11640">
        <f>IF(B11640="","",HOUR(A11640))</f>
        <v/>
      </c>
    </row>
    <row r="11641">
      <c r="A11641">
        <f>Input!A11641</f>
        <v/>
      </c>
      <c r="B11641">
        <f>IF(ISNUMBER(Input!B11641),IF(AND(Input!B11641&gt;=20,Input!B11641&lt;=700),Input!B11641,""),"")</f>
        <v/>
      </c>
      <c r="C11641">
        <f>IF(B11641="","",INT(A11641))</f>
        <v/>
      </c>
      <c r="D11641">
        <f>IF(B11641="","",HOUR(A11641))</f>
        <v/>
      </c>
    </row>
    <row r="11642">
      <c r="A11642">
        <f>Input!A11642</f>
        <v/>
      </c>
      <c r="B11642">
        <f>IF(ISNUMBER(Input!B11642),IF(AND(Input!B11642&gt;=20,Input!B11642&lt;=700),Input!B11642,""),"")</f>
        <v/>
      </c>
      <c r="C11642">
        <f>IF(B11642="","",INT(A11642))</f>
        <v/>
      </c>
      <c r="D11642">
        <f>IF(B11642="","",HOUR(A11642))</f>
        <v/>
      </c>
    </row>
    <row r="11643">
      <c r="A11643">
        <f>Input!A11643</f>
        <v/>
      </c>
      <c r="B11643">
        <f>IF(ISNUMBER(Input!B11643),IF(AND(Input!B11643&gt;=20,Input!B11643&lt;=700),Input!B11643,""),"")</f>
        <v/>
      </c>
      <c r="C11643">
        <f>IF(B11643="","",INT(A11643))</f>
        <v/>
      </c>
      <c r="D11643">
        <f>IF(B11643="","",HOUR(A11643))</f>
        <v/>
      </c>
    </row>
    <row r="11644">
      <c r="A11644">
        <f>Input!A11644</f>
        <v/>
      </c>
      <c r="B11644">
        <f>IF(ISNUMBER(Input!B11644),IF(AND(Input!B11644&gt;=20,Input!B11644&lt;=700),Input!B11644,""),"")</f>
        <v/>
      </c>
      <c r="C11644">
        <f>IF(B11644="","",INT(A11644))</f>
        <v/>
      </c>
      <c r="D11644">
        <f>IF(B11644="","",HOUR(A11644))</f>
        <v/>
      </c>
    </row>
    <row r="11645">
      <c r="A11645">
        <f>Input!A11645</f>
        <v/>
      </c>
      <c r="B11645">
        <f>IF(ISNUMBER(Input!B11645),IF(AND(Input!B11645&gt;=20,Input!B11645&lt;=700),Input!B11645,""),"")</f>
        <v/>
      </c>
      <c r="C11645">
        <f>IF(B11645="","",INT(A11645))</f>
        <v/>
      </c>
      <c r="D11645">
        <f>IF(B11645="","",HOUR(A11645))</f>
        <v/>
      </c>
    </row>
    <row r="11646">
      <c r="A11646">
        <f>Input!A11646</f>
        <v/>
      </c>
      <c r="B11646">
        <f>IF(ISNUMBER(Input!B11646),IF(AND(Input!B11646&gt;=20,Input!B11646&lt;=700),Input!B11646,""),"")</f>
        <v/>
      </c>
      <c r="C11646">
        <f>IF(B11646="","",INT(A11646))</f>
        <v/>
      </c>
      <c r="D11646">
        <f>IF(B11646="","",HOUR(A11646))</f>
        <v/>
      </c>
    </row>
    <row r="11647">
      <c r="A11647">
        <f>Input!A11647</f>
        <v/>
      </c>
      <c r="B11647">
        <f>IF(ISNUMBER(Input!B11647),IF(AND(Input!B11647&gt;=20,Input!B11647&lt;=700),Input!B11647,""),"")</f>
        <v/>
      </c>
      <c r="C11647">
        <f>IF(B11647="","",INT(A11647))</f>
        <v/>
      </c>
      <c r="D11647">
        <f>IF(B11647="","",HOUR(A11647))</f>
        <v/>
      </c>
    </row>
    <row r="11648">
      <c r="A11648">
        <f>Input!A11648</f>
        <v/>
      </c>
      <c r="B11648">
        <f>IF(ISNUMBER(Input!B11648),IF(AND(Input!B11648&gt;=20,Input!B11648&lt;=700),Input!B11648,""),"")</f>
        <v/>
      </c>
      <c r="C11648">
        <f>IF(B11648="","",INT(A11648))</f>
        <v/>
      </c>
      <c r="D11648">
        <f>IF(B11648="","",HOUR(A11648))</f>
        <v/>
      </c>
    </row>
    <row r="11649">
      <c r="A11649">
        <f>Input!A11649</f>
        <v/>
      </c>
      <c r="B11649">
        <f>IF(ISNUMBER(Input!B11649),IF(AND(Input!B11649&gt;=20,Input!B11649&lt;=700),Input!B11649,""),"")</f>
        <v/>
      </c>
      <c r="C11649">
        <f>IF(B11649="","",INT(A11649))</f>
        <v/>
      </c>
      <c r="D11649">
        <f>IF(B11649="","",HOUR(A11649))</f>
        <v/>
      </c>
    </row>
    <row r="11650">
      <c r="A11650">
        <f>Input!A11650</f>
        <v/>
      </c>
      <c r="B11650">
        <f>IF(ISNUMBER(Input!B11650),IF(AND(Input!B11650&gt;=20,Input!B11650&lt;=700),Input!B11650,""),"")</f>
        <v/>
      </c>
      <c r="C11650">
        <f>IF(B11650="","",INT(A11650))</f>
        <v/>
      </c>
      <c r="D11650">
        <f>IF(B11650="","",HOUR(A11650))</f>
        <v/>
      </c>
    </row>
    <row r="11651">
      <c r="A11651">
        <f>Input!A11651</f>
        <v/>
      </c>
      <c r="B11651">
        <f>IF(ISNUMBER(Input!B11651),IF(AND(Input!B11651&gt;=20,Input!B11651&lt;=700),Input!B11651,""),"")</f>
        <v/>
      </c>
      <c r="C11651">
        <f>IF(B11651="","",INT(A11651))</f>
        <v/>
      </c>
      <c r="D11651">
        <f>IF(B11651="","",HOUR(A11651))</f>
        <v/>
      </c>
    </row>
    <row r="11652">
      <c r="A11652">
        <f>Input!A11652</f>
        <v/>
      </c>
      <c r="B11652">
        <f>IF(ISNUMBER(Input!B11652),IF(AND(Input!B11652&gt;=20,Input!B11652&lt;=700),Input!B11652,""),"")</f>
        <v/>
      </c>
      <c r="C11652">
        <f>IF(B11652="","",INT(A11652))</f>
        <v/>
      </c>
      <c r="D11652">
        <f>IF(B11652="","",HOUR(A11652))</f>
        <v/>
      </c>
    </row>
    <row r="11653">
      <c r="A11653">
        <f>Input!A11653</f>
        <v/>
      </c>
      <c r="B11653">
        <f>IF(ISNUMBER(Input!B11653),IF(AND(Input!B11653&gt;=20,Input!B11653&lt;=700),Input!B11653,""),"")</f>
        <v/>
      </c>
      <c r="C11653">
        <f>IF(B11653="","",INT(A11653))</f>
        <v/>
      </c>
      <c r="D11653">
        <f>IF(B11653="","",HOUR(A11653))</f>
        <v/>
      </c>
    </row>
    <row r="11654">
      <c r="A11654">
        <f>Input!A11654</f>
        <v/>
      </c>
      <c r="B11654">
        <f>IF(ISNUMBER(Input!B11654),IF(AND(Input!B11654&gt;=20,Input!B11654&lt;=700),Input!B11654,""),"")</f>
        <v/>
      </c>
      <c r="C11654">
        <f>IF(B11654="","",INT(A11654))</f>
        <v/>
      </c>
      <c r="D11654">
        <f>IF(B11654="","",HOUR(A11654))</f>
        <v/>
      </c>
    </row>
    <row r="11655">
      <c r="A11655">
        <f>Input!A11655</f>
        <v/>
      </c>
      <c r="B11655">
        <f>IF(ISNUMBER(Input!B11655),IF(AND(Input!B11655&gt;=20,Input!B11655&lt;=700),Input!B11655,""),"")</f>
        <v/>
      </c>
      <c r="C11655">
        <f>IF(B11655="","",INT(A11655))</f>
        <v/>
      </c>
      <c r="D11655">
        <f>IF(B11655="","",HOUR(A11655))</f>
        <v/>
      </c>
    </row>
    <row r="11656">
      <c r="A11656">
        <f>Input!A11656</f>
        <v/>
      </c>
      <c r="B11656">
        <f>IF(ISNUMBER(Input!B11656),IF(AND(Input!B11656&gt;=20,Input!B11656&lt;=700),Input!B11656,""),"")</f>
        <v/>
      </c>
      <c r="C11656">
        <f>IF(B11656="","",INT(A11656))</f>
        <v/>
      </c>
      <c r="D11656">
        <f>IF(B11656="","",HOUR(A11656))</f>
        <v/>
      </c>
    </row>
    <row r="11657">
      <c r="A11657">
        <f>Input!A11657</f>
        <v/>
      </c>
      <c r="B11657">
        <f>IF(ISNUMBER(Input!B11657),IF(AND(Input!B11657&gt;=20,Input!B11657&lt;=700),Input!B11657,""),"")</f>
        <v/>
      </c>
      <c r="C11657">
        <f>IF(B11657="","",INT(A11657))</f>
        <v/>
      </c>
      <c r="D11657">
        <f>IF(B11657="","",HOUR(A11657))</f>
        <v/>
      </c>
    </row>
    <row r="11658">
      <c r="A11658">
        <f>Input!A11658</f>
        <v/>
      </c>
      <c r="B11658">
        <f>IF(ISNUMBER(Input!B11658),IF(AND(Input!B11658&gt;=20,Input!B11658&lt;=700),Input!B11658,""),"")</f>
        <v/>
      </c>
      <c r="C11658">
        <f>IF(B11658="","",INT(A11658))</f>
        <v/>
      </c>
      <c r="D11658">
        <f>IF(B11658="","",HOUR(A11658))</f>
        <v/>
      </c>
    </row>
    <row r="11659">
      <c r="A11659">
        <f>Input!A11659</f>
        <v/>
      </c>
      <c r="B11659">
        <f>IF(ISNUMBER(Input!B11659),IF(AND(Input!B11659&gt;=20,Input!B11659&lt;=700),Input!B11659,""),"")</f>
        <v/>
      </c>
      <c r="C11659">
        <f>IF(B11659="","",INT(A11659))</f>
        <v/>
      </c>
      <c r="D11659">
        <f>IF(B11659="","",HOUR(A11659))</f>
        <v/>
      </c>
    </row>
    <row r="11660">
      <c r="A11660">
        <f>Input!A11660</f>
        <v/>
      </c>
      <c r="B11660">
        <f>IF(ISNUMBER(Input!B11660),IF(AND(Input!B11660&gt;=20,Input!B11660&lt;=700),Input!B11660,""),"")</f>
        <v/>
      </c>
      <c r="C11660">
        <f>IF(B11660="","",INT(A11660))</f>
        <v/>
      </c>
      <c r="D11660">
        <f>IF(B11660="","",HOUR(A11660))</f>
        <v/>
      </c>
    </row>
    <row r="11661">
      <c r="A11661">
        <f>Input!A11661</f>
        <v/>
      </c>
      <c r="B11661">
        <f>IF(ISNUMBER(Input!B11661),IF(AND(Input!B11661&gt;=20,Input!B11661&lt;=700),Input!B11661,""),"")</f>
        <v/>
      </c>
      <c r="C11661">
        <f>IF(B11661="","",INT(A11661))</f>
        <v/>
      </c>
      <c r="D11661">
        <f>IF(B11661="","",HOUR(A11661))</f>
        <v/>
      </c>
    </row>
    <row r="11662">
      <c r="A11662">
        <f>Input!A11662</f>
        <v/>
      </c>
      <c r="B11662">
        <f>IF(ISNUMBER(Input!B11662),IF(AND(Input!B11662&gt;=20,Input!B11662&lt;=700),Input!B11662,""),"")</f>
        <v/>
      </c>
      <c r="C11662">
        <f>IF(B11662="","",INT(A11662))</f>
        <v/>
      </c>
      <c r="D11662">
        <f>IF(B11662="","",HOUR(A11662))</f>
        <v/>
      </c>
    </row>
    <row r="11663">
      <c r="A11663">
        <f>Input!A11663</f>
        <v/>
      </c>
      <c r="B11663">
        <f>IF(ISNUMBER(Input!B11663),IF(AND(Input!B11663&gt;=20,Input!B11663&lt;=700),Input!B11663,""),"")</f>
        <v/>
      </c>
      <c r="C11663">
        <f>IF(B11663="","",INT(A11663))</f>
        <v/>
      </c>
      <c r="D11663">
        <f>IF(B11663="","",HOUR(A11663))</f>
        <v/>
      </c>
    </row>
    <row r="11664">
      <c r="A11664">
        <f>Input!A11664</f>
        <v/>
      </c>
      <c r="B11664">
        <f>IF(ISNUMBER(Input!B11664),IF(AND(Input!B11664&gt;=20,Input!B11664&lt;=700),Input!B11664,""),"")</f>
        <v/>
      </c>
      <c r="C11664">
        <f>IF(B11664="","",INT(A11664))</f>
        <v/>
      </c>
      <c r="D11664">
        <f>IF(B11664="","",HOUR(A11664))</f>
        <v/>
      </c>
    </row>
    <row r="11665">
      <c r="A11665">
        <f>Input!A11665</f>
        <v/>
      </c>
      <c r="B11665">
        <f>IF(ISNUMBER(Input!B11665),IF(AND(Input!B11665&gt;=20,Input!B11665&lt;=700),Input!B11665,""),"")</f>
        <v/>
      </c>
      <c r="C11665">
        <f>IF(B11665="","",INT(A11665))</f>
        <v/>
      </c>
      <c r="D11665">
        <f>IF(B11665="","",HOUR(A11665))</f>
        <v/>
      </c>
    </row>
    <row r="11666">
      <c r="A11666">
        <f>Input!A11666</f>
        <v/>
      </c>
      <c r="B11666">
        <f>IF(ISNUMBER(Input!B11666),IF(AND(Input!B11666&gt;=20,Input!B11666&lt;=700),Input!B11666,""),"")</f>
        <v/>
      </c>
      <c r="C11666">
        <f>IF(B11666="","",INT(A11666))</f>
        <v/>
      </c>
      <c r="D11666">
        <f>IF(B11666="","",HOUR(A11666))</f>
        <v/>
      </c>
    </row>
    <row r="11667">
      <c r="A11667">
        <f>Input!A11667</f>
        <v/>
      </c>
      <c r="B11667">
        <f>IF(ISNUMBER(Input!B11667),IF(AND(Input!B11667&gt;=20,Input!B11667&lt;=700),Input!B11667,""),"")</f>
        <v/>
      </c>
      <c r="C11667">
        <f>IF(B11667="","",INT(A11667))</f>
        <v/>
      </c>
      <c r="D11667">
        <f>IF(B11667="","",HOUR(A11667))</f>
        <v/>
      </c>
    </row>
    <row r="11668">
      <c r="A11668">
        <f>Input!A11668</f>
        <v/>
      </c>
      <c r="B11668">
        <f>IF(ISNUMBER(Input!B11668),IF(AND(Input!B11668&gt;=20,Input!B11668&lt;=700),Input!B11668,""),"")</f>
        <v/>
      </c>
      <c r="C11668">
        <f>IF(B11668="","",INT(A11668))</f>
        <v/>
      </c>
      <c r="D11668">
        <f>IF(B11668="","",HOUR(A11668))</f>
        <v/>
      </c>
    </row>
    <row r="11669">
      <c r="A11669">
        <f>Input!A11669</f>
        <v/>
      </c>
      <c r="B11669">
        <f>IF(ISNUMBER(Input!B11669),IF(AND(Input!B11669&gt;=20,Input!B11669&lt;=700),Input!B11669,""),"")</f>
        <v/>
      </c>
      <c r="C11669">
        <f>IF(B11669="","",INT(A11669))</f>
        <v/>
      </c>
      <c r="D11669">
        <f>IF(B11669="","",HOUR(A11669))</f>
        <v/>
      </c>
    </row>
    <row r="11670">
      <c r="A11670">
        <f>Input!A11670</f>
        <v/>
      </c>
      <c r="B11670">
        <f>IF(ISNUMBER(Input!B11670),IF(AND(Input!B11670&gt;=20,Input!B11670&lt;=700),Input!B11670,""),"")</f>
        <v/>
      </c>
      <c r="C11670">
        <f>IF(B11670="","",INT(A11670))</f>
        <v/>
      </c>
      <c r="D11670">
        <f>IF(B11670="","",HOUR(A11670))</f>
        <v/>
      </c>
    </row>
    <row r="11671">
      <c r="A11671">
        <f>Input!A11671</f>
        <v/>
      </c>
      <c r="B11671">
        <f>IF(ISNUMBER(Input!B11671),IF(AND(Input!B11671&gt;=20,Input!B11671&lt;=700),Input!B11671,""),"")</f>
        <v/>
      </c>
      <c r="C11671">
        <f>IF(B11671="","",INT(A11671))</f>
        <v/>
      </c>
      <c r="D11671">
        <f>IF(B11671="","",HOUR(A11671))</f>
        <v/>
      </c>
    </row>
    <row r="11672">
      <c r="A11672">
        <f>Input!A11672</f>
        <v/>
      </c>
      <c r="B11672">
        <f>IF(ISNUMBER(Input!B11672),IF(AND(Input!B11672&gt;=20,Input!B11672&lt;=700),Input!B11672,""),"")</f>
        <v/>
      </c>
      <c r="C11672">
        <f>IF(B11672="","",INT(A11672))</f>
        <v/>
      </c>
      <c r="D11672">
        <f>IF(B11672="","",HOUR(A11672))</f>
        <v/>
      </c>
    </row>
    <row r="11673">
      <c r="A11673">
        <f>Input!A11673</f>
        <v/>
      </c>
      <c r="B11673">
        <f>IF(ISNUMBER(Input!B11673),IF(AND(Input!B11673&gt;=20,Input!B11673&lt;=700),Input!B11673,""),"")</f>
        <v/>
      </c>
      <c r="C11673">
        <f>IF(B11673="","",INT(A11673))</f>
        <v/>
      </c>
      <c r="D11673">
        <f>IF(B11673="","",HOUR(A11673))</f>
        <v/>
      </c>
    </row>
    <row r="11674">
      <c r="A11674">
        <f>Input!A11674</f>
        <v/>
      </c>
      <c r="B11674">
        <f>IF(ISNUMBER(Input!B11674),IF(AND(Input!B11674&gt;=20,Input!B11674&lt;=700),Input!B11674,""),"")</f>
        <v/>
      </c>
      <c r="C11674">
        <f>IF(B11674="","",INT(A11674))</f>
        <v/>
      </c>
      <c r="D11674">
        <f>IF(B11674="","",HOUR(A11674))</f>
        <v/>
      </c>
    </row>
    <row r="11675">
      <c r="A11675">
        <f>Input!A11675</f>
        <v/>
      </c>
      <c r="B11675">
        <f>IF(ISNUMBER(Input!B11675),IF(AND(Input!B11675&gt;=20,Input!B11675&lt;=700),Input!B11675,""),"")</f>
        <v/>
      </c>
      <c r="C11675">
        <f>IF(B11675="","",INT(A11675))</f>
        <v/>
      </c>
      <c r="D11675">
        <f>IF(B11675="","",HOUR(A11675))</f>
        <v/>
      </c>
    </row>
    <row r="11676">
      <c r="A11676">
        <f>Input!A11676</f>
        <v/>
      </c>
      <c r="B11676">
        <f>IF(ISNUMBER(Input!B11676),IF(AND(Input!B11676&gt;=20,Input!B11676&lt;=700),Input!B11676,""),"")</f>
        <v/>
      </c>
      <c r="C11676">
        <f>IF(B11676="","",INT(A11676))</f>
        <v/>
      </c>
      <c r="D11676">
        <f>IF(B11676="","",HOUR(A11676))</f>
        <v/>
      </c>
    </row>
    <row r="11677">
      <c r="A11677">
        <f>Input!A11677</f>
        <v/>
      </c>
      <c r="B11677">
        <f>IF(ISNUMBER(Input!B11677),IF(AND(Input!B11677&gt;=20,Input!B11677&lt;=700),Input!B11677,""),"")</f>
        <v/>
      </c>
      <c r="C11677">
        <f>IF(B11677="","",INT(A11677))</f>
        <v/>
      </c>
      <c r="D11677">
        <f>IF(B11677="","",HOUR(A11677))</f>
        <v/>
      </c>
    </row>
    <row r="11678">
      <c r="A11678">
        <f>Input!A11678</f>
        <v/>
      </c>
      <c r="B11678">
        <f>IF(ISNUMBER(Input!B11678),IF(AND(Input!B11678&gt;=20,Input!B11678&lt;=700),Input!B11678,""),"")</f>
        <v/>
      </c>
      <c r="C11678">
        <f>IF(B11678="","",INT(A11678))</f>
        <v/>
      </c>
      <c r="D11678">
        <f>IF(B11678="","",HOUR(A11678))</f>
        <v/>
      </c>
    </row>
    <row r="11679">
      <c r="A11679">
        <f>Input!A11679</f>
        <v/>
      </c>
      <c r="B11679">
        <f>IF(ISNUMBER(Input!B11679),IF(AND(Input!B11679&gt;=20,Input!B11679&lt;=700),Input!B11679,""),"")</f>
        <v/>
      </c>
      <c r="C11679">
        <f>IF(B11679="","",INT(A11679))</f>
        <v/>
      </c>
      <c r="D11679">
        <f>IF(B11679="","",HOUR(A11679))</f>
        <v/>
      </c>
    </row>
    <row r="11680">
      <c r="A11680">
        <f>Input!A11680</f>
        <v/>
      </c>
      <c r="B11680">
        <f>IF(ISNUMBER(Input!B11680),IF(AND(Input!B11680&gt;=20,Input!B11680&lt;=700),Input!B11680,""),"")</f>
        <v/>
      </c>
      <c r="C11680">
        <f>IF(B11680="","",INT(A11680))</f>
        <v/>
      </c>
      <c r="D11680">
        <f>IF(B11680="","",HOUR(A11680))</f>
        <v/>
      </c>
    </row>
    <row r="11681">
      <c r="A11681">
        <f>Input!A11681</f>
        <v/>
      </c>
      <c r="B11681">
        <f>IF(ISNUMBER(Input!B11681),IF(AND(Input!B11681&gt;=20,Input!B11681&lt;=700),Input!B11681,""),"")</f>
        <v/>
      </c>
      <c r="C11681">
        <f>IF(B11681="","",INT(A11681))</f>
        <v/>
      </c>
      <c r="D11681">
        <f>IF(B11681="","",HOUR(A11681))</f>
        <v/>
      </c>
    </row>
    <row r="11682">
      <c r="A11682">
        <f>Input!A11682</f>
        <v/>
      </c>
      <c r="B11682">
        <f>IF(ISNUMBER(Input!B11682),IF(AND(Input!B11682&gt;=20,Input!B11682&lt;=700),Input!B11682,""),"")</f>
        <v/>
      </c>
      <c r="C11682">
        <f>IF(B11682="","",INT(A11682))</f>
        <v/>
      </c>
      <c r="D11682">
        <f>IF(B11682="","",HOUR(A11682))</f>
        <v/>
      </c>
    </row>
    <row r="11683">
      <c r="A11683">
        <f>Input!A11683</f>
        <v/>
      </c>
      <c r="B11683">
        <f>IF(ISNUMBER(Input!B11683),IF(AND(Input!B11683&gt;=20,Input!B11683&lt;=700),Input!B11683,""),"")</f>
        <v/>
      </c>
      <c r="C11683">
        <f>IF(B11683="","",INT(A11683))</f>
        <v/>
      </c>
      <c r="D11683">
        <f>IF(B11683="","",HOUR(A11683))</f>
        <v/>
      </c>
    </row>
    <row r="11684">
      <c r="A11684">
        <f>Input!A11684</f>
        <v/>
      </c>
      <c r="B11684">
        <f>IF(ISNUMBER(Input!B11684),IF(AND(Input!B11684&gt;=20,Input!B11684&lt;=700),Input!B11684,""),"")</f>
        <v/>
      </c>
      <c r="C11684">
        <f>IF(B11684="","",INT(A11684))</f>
        <v/>
      </c>
      <c r="D11684">
        <f>IF(B11684="","",HOUR(A11684))</f>
        <v/>
      </c>
    </row>
    <row r="11685">
      <c r="A11685">
        <f>Input!A11685</f>
        <v/>
      </c>
      <c r="B11685">
        <f>IF(ISNUMBER(Input!B11685),IF(AND(Input!B11685&gt;=20,Input!B11685&lt;=700),Input!B11685,""),"")</f>
        <v/>
      </c>
      <c r="C11685">
        <f>IF(B11685="","",INT(A11685))</f>
        <v/>
      </c>
      <c r="D11685">
        <f>IF(B11685="","",HOUR(A11685))</f>
        <v/>
      </c>
    </row>
    <row r="11686">
      <c r="A11686">
        <f>Input!A11686</f>
        <v/>
      </c>
      <c r="B11686">
        <f>IF(ISNUMBER(Input!B11686),IF(AND(Input!B11686&gt;=20,Input!B11686&lt;=700),Input!B11686,""),"")</f>
        <v/>
      </c>
      <c r="C11686">
        <f>IF(B11686="","",INT(A11686))</f>
        <v/>
      </c>
      <c r="D11686">
        <f>IF(B11686="","",HOUR(A11686))</f>
        <v/>
      </c>
    </row>
    <row r="11687">
      <c r="A11687">
        <f>Input!A11687</f>
        <v/>
      </c>
      <c r="B11687">
        <f>IF(ISNUMBER(Input!B11687),IF(AND(Input!B11687&gt;=20,Input!B11687&lt;=700),Input!B11687,""),"")</f>
        <v/>
      </c>
      <c r="C11687">
        <f>IF(B11687="","",INT(A11687))</f>
        <v/>
      </c>
      <c r="D11687">
        <f>IF(B11687="","",HOUR(A11687))</f>
        <v/>
      </c>
    </row>
    <row r="11688">
      <c r="A11688">
        <f>Input!A11688</f>
        <v/>
      </c>
      <c r="B11688">
        <f>IF(ISNUMBER(Input!B11688),IF(AND(Input!B11688&gt;=20,Input!B11688&lt;=700),Input!B11688,""),"")</f>
        <v/>
      </c>
      <c r="C11688">
        <f>IF(B11688="","",INT(A11688))</f>
        <v/>
      </c>
      <c r="D11688">
        <f>IF(B11688="","",HOUR(A11688))</f>
        <v/>
      </c>
    </row>
    <row r="11689">
      <c r="A11689">
        <f>Input!A11689</f>
        <v/>
      </c>
      <c r="B11689">
        <f>IF(ISNUMBER(Input!B11689),IF(AND(Input!B11689&gt;=20,Input!B11689&lt;=700),Input!B11689,""),"")</f>
        <v/>
      </c>
      <c r="C11689">
        <f>IF(B11689="","",INT(A11689))</f>
        <v/>
      </c>
      <c r="D11689">
        <f>IF(B11689="","",HOUR(A11689))</f>
        <v/>
      </c>
    </row>
    <row r="11690">
      <c r="A11690">
        <f>Input!A11690</f>
        <v/>
      </c>
      <c r="B11690">
        <f>IF(ISNUMBER(Input!B11690),IF(AND(Input!B11690&gt;=20,Input!B11690&lt;=700),Input!B11690,""),"")</f>
        <v/>
      </c>
      <c r="C11690">
        <f>IF(B11690="","",INT(A11690))</f>
        <v/>
      </c>
      <c r="D11690">
        <f>IF(B11690="","",HOUR(A11690))</f>
        <v/>
      </c>
    </row>
    <row r="11691">
      <c r="A11691">
        <f>Input!A11691</f>
        <v/>
      </c>
      <c r="B11691">
        <f>IF(ISNUMBER(Input!B11691),IF(AND(Input!B11691&gt;=20,Input!B11691&lt;=700),Input!B11691,""),"")</f>
        <v/>
      </c>
      <c r="C11691">
        <f>IF(B11691="","",INT(A11691))</f>
        <v/>
      </c>
      <c r="D11691">
        <f>IF(B11691="","",HOUR(A11691))</f>
        <v/>
      </c>
    </row>
    <row r="11692">
      <c r="A11692">
        <f>Input!A11692</f>
        <v/>
      </c>
      <c r="B11692">
        <f>IF(ISNUMBER(Input!B11692),IF(AND(Input!B11692&gt;=20,Input!B11692&lt;=700),Input!B11692,""),"")</f>
        <v/>
      </c>
      <c r="C11692">
        <f>IF(B11692="","",INT(A11692))</f>
        <v/>
      </c>
      <c r="D11692">
        <f>IF(B11692="","",HOUR(A11692))</f>
        <v/>
      </c>
    </row>
    <row r="11693">
      <c r="A11693">
        <f>Input!A11693</f>
        <v/>
      </c>
      <c r="B11693">
        <f>IF(ISNUMBER(Input!B11693),IF(AND(Input!B11693&gt;=20,Input!B11693&lt;=700),Input!B11693,""),"")</f>
        <v/>
      </c>
      <c r="C11693">
        <f>IF(B11693="","",INT(A11693))</f>
        <v/>
      </c>
      <c r="D11693">
        <f>IF(B11693="","",HOUR(A11693))</f>
        <v/>
      </c>
    </row>
    <row r="11694">
      <c r="A11694">
        <f>Input!A11694</f>
        <v/>
      </c>
      <c r="B11694">
        <f>IF(ISNUMBER(Input!B11694),IF(AND(Input!B11694&gt;=20,Input!B11694&lt;=700),Input!B11694,""),"")</f>
        <v/>
      </c>
      <c r="C11694">
        <f>IF(B11694="","",INT(A11694))</f>
        <v/>
      </c>
      <c r="D11694">
        <f>IF(B11694="","",HOUR(A11694))</f>
        <v/>
      </c>
    </row>
    <row r="11695">
      <c r="A11695">
        <f>Input!A11695</f>
        <v/>
      </c>
      <c r="B11695">
        <f>IF(ISNUMBER(Input!B11695),IF(AND(Input!B11695&gt;=20,Input!B11695&lt;=700),Input!B11695,""),"")</f>
        <v/>
      </c>
      <c r="C11695">
        <f>IF(B11695="","",INT(A11695))</f>
        <v/>
      </c>
      <c r="D11695">
        <f>IF(B11695="","",HOUR(A11695))</f>
        <v/>
      </c>
    </row>
    <row r="11696">
      <c r="A11696">
        <f>Input!A11696</f>
        <v/>
      </c>
      <c r="B11696">
        <f>IF(ISNUMBER(Input!B11696),IF(AND(Input!B11696&gt;=20,Input!B11696&lt;=700),Input!B11696,""),"")</f>
        <v/>
      </c>
      <c r="C11696">
        <f>IF(B11696="","",INT(A11696))</f>
        <v/>
      </c>
      <c r="D11696">
        <f>IF(B11696="","",HOUR(A11696))</f>
        <v/>
      </c>
    </row>
    <row r="11697">
      <c r="A11697">
        <f>Input!A11697</f>
        <v/>
      </c>
      <c r="B11697">
        <f>IF(ISNUMBER(Input!B11697),IF(AND(Input!B11697&gt;=20,Input!B11697&lt;=700),Input!B11697,""),"")</f>
        <v/>
      </c>
      <c r="C11697">
        <f>IF(B11697="","",INT(A11697))</f>
        <v/>
      </c>
      <c r="D11697">
        <f>IF(B11697="","",HOUR(A11697))</f>
        <v/>
      </c>
    </row>
    <row r="11698">
      <c r="A11698">
        <f>Input!A11698</f>
        <v/>
      </c>
      <c r="B11698">
        <f>IF(ISNUMBER(Input!B11698),IF(AND(Input!B11698&gt;=20,Input!B11698&lt;=700),Input!B11698,""),"")</f>
        <v/>
      </c>
      <c r="C11698">
        <f>IF(B11698="","",INT(A11698))</f>
        <v/>
      </c>
      <c r="D11698">
        <f>IF(B11698="","",HOUR(A11698))</f>
        <v/>
      </c>
    </row>
    <row r="11699">
      <c r="A11699">
        <f>Input!A11699</f>
        <v/>
      </c>
      <c r="B11699">
        <f>IF(ISNUMBER(Input!B11699),IF(AND(Input!B11699&gt;=20,Input!B11699&lt;=700),Input!B11699,""),"")</f>
        <v/>
      </c>
      <c r="C11699">
        <f>IF(B11699="","",INT(A11699))</f>
        <v/>
      </c>
      <c r="D11699">
        <f>IF(B11699="","",HOUR(A11699))</f>
        <v/>
      </c>
    </row>
    <row r="11700">
      <c r="A11700">
        <f>Input!A11700</f>
        <v/>
      </c>
      <c r="B11700">
        <f>IF(ISNUMBER(Input!B11700),IF(AND(Input!B11700&gt;=20,Input!B11700&lt;=700),Input!B11700,""),"")</f>
        <v/>
      </c>
      <c r="C11700">
        <f>IF(B11700="","",INT(A11700))</f>
        <v/>
      </c>
      <c r="D11700">
        <f>IF(B11700="","",HOUR(A11700))</f>
        <v/>
      </c>
    </row>
    <row r="11701">
      <c r="A11701">
        <f>Input!A11701</f>
        <v/>
      </c>
      <c r="B11701">
        <f>IF(ISNUMBER(Input!B11701),IF(AND(Input!B11701&gt;=20,Input!B11701&lt;=700),Input!B11701,""),"")</f>
        <v/>
      </c>
      <c r="C11701">
        <f>IF(B11701="","",INT(A11701))</f>
        <v/>
      </c>
      <c r="D11701">
        <f>IF(B11701="","",HOUR(A11701))</f>
        <v/>
      </c>
    </row>
    <row r="11702">
      <c r="A11702">
        <f>Input!A11702</f>
        <v/>
      </c>
      <c r="B11702">
        <f>IF(ISNUMBER(Input!B11702),IF(AND(Input!B11702&gt;=20,Input!B11702&lt;=700),Input!B11702,""),"")</f>
        <v/>
      </c>
      <c r="C11702">
        <f>IF(B11702="","",INT(A11702))</f>
        <v/>
      </c>
      <c r="D11702">
        <f>IF(B11702="","",HOUR(A11702))</f>
        <v/>
      </c>
    </row>
    <row r="11703">
      <c r="A11703">
        <f>Input!A11703</f>
        <v/>
      </c>
      <c r="B11703">
        <f>IF(ISNUMBER(Input!B11703),IF(AND(Input!B11703&gt;=20,Input!B11703&lt;=700),Input!B11703,""),"")</f>
        <v/>
      </c>
      <c r="C11703">
        <f>IF(B11703="","",INT(A11703))</f>
        <v/>
      </c>
      <c r="D11703">
        <f>IF(B11703="","",HOUR(A11703))</f>
        <v/>
      </c>
    </row>
    <row r="11704">
      <c r="A11704">
        <f>Input!A11704</f>
        <v/>
      </c>
      <c r="B11704">
        <f>IF(ISNUMBER(Input!B11704),IF(AND(Input!B11704&gt;=20,Input!B11704&lt;=700),Input!B11704,""),"")</f>
        <v/>
      </c>
      <c r="C11704">
        <f>IF(B11704="","",INT(A11704))</f>
        <v/>
      </c>
      <c r="D11704">
        <f>IF(B11704="","",HOUR(A11704))</f>
        <v/>
      </c>
    </row>
    <row r="11705">
      <c r="A11705">
        <f>Input!A11705</f>
        <v/>
      </c>
      <c r="B11705">
        <f>IF(ISNUMBER(Input!B11705),IF(AND(Input!B11705&gt;=20,Input!B11705&lt;=700),Input!B11705,""),"")</f>
        <v/>
      </c>
      <c r="C11705">
        <f>IF(B11705="","",INT(A11705))</f>
        <v/>
      </c>
      <c r="D11705">
        <f>IF(B11705="","",HOUR(A11705))</f>
        <v/>
      </c>
    </row>
    <row r="11706">
      <c r="A11706">
        <f>Input!A11706</f>
        <v/>
      </c>
      <c r="B11706">
        <f>IF(ISNUMBER(Input!B11706),IF(AND(Input!B11706&gt;=20,Input!B11706&lt;=700),Input!B11706,""),"")</f>
        <v/>
      </c>
      <c r="C11706">
        <f>IF(B11706="","",INT(A11706))</f>
        <v/>
      </c>
      <c r="D11706">
        <f>IF(B11706="","",HOUR(A11706))</f>
        <v/>
      </c>
    </row>
    <row r="11707">
      <c r="A11707">
        <f>Input!A11707</f>
        <v/>
      </c>
      <c r="B11707">
        <f>IF(ISNUMBER(Input!B11707),IF(AND(Input!B11707&gt;=20,Input!B11707&lt;=700),Input!B11707,""),"")</f>
        <v/>
      </c>
      <c r="C11707">
        <f>IF(B11707="","",INT(A11707))</f>
        <v/>
      </c>
      <c r="D11707">
        <f>IF(B11707="","",HOUR(A11707))</f>
        <v/>
      </c>
    </row>
    <row r="11708">
      <c r="A11708">
        <f>Input!A11708</f>
        <v/>
      </c>
      <c r="B11708">
        <f>IF(ISNUMBER(Input!B11708),IF(AND(Input!B11708&gt;=20,Input!B11708&lt;=700),Input!B11708,""),"")</f>
        <v/>
      </c>
      <c r="C11708">
        <f>IF(B11708="","",INT(A11708))</f>
        <v/>
      </c>
      <c r="D11708">
        <f>IF(B11708="","",HOUR(A11708))</f>
        <v/>
      </c>
    </row>
    <row r="11709">
      <c r="A11709">
        <f>Input!A11709</f>
        <v/>
      </c>
      <c r="B11709">
        <f>IF(ISNUMBER(Input!B11709),IF(AND(Input!B11709&gt;=20,Input!B11709&lt;=700),Input!B11709,""),"")</f>
        <v/>
      </c>
      <c r="C11709">
        <f>IF(B11709="","",INT(A11709))</f>
        <v/>
      </c>
      <c r="D11709">
        <f>IF(B11709="","",HOUR(A11709))</f>
        <v/>
      </c>
    </row>
    <row r="11710">
      <c r="A11710">
        <f>Input!A11710</f>
        <v/>
      </c>
      <c r="B11710">
        <f>IF(ISNUMBER(Input!B11710),IF(AND(Input!B11710&gt;=20,Input!B11710&lt;=700),Input!B11710,""),"")</f>
        <v/>
      </c>
      <c r="C11710">
        <f>IF(B11710="","",INT(A11710))</f>
        <v/>
      </c>
      <c r="D11710">
        <f>IF(B11710="","",HOUR(A11710))</f>
        <v/>
      </c>
    </row>
    <row r="11711">
      <c r="A11711">
        <f>Input!A11711</f>
        <v/>
      </c>
      <c r="B11711">
        <f>IF(ISNUMBER(Input!B11711),IF(AND(Input!B11711&gt;=20,Input!B11711&lt;=700),Input!B11711,""),"")</f>
        <v/>
      </c>
      <c r="C11711">
        <f>IF(B11711="","",INT(A11711))</f>
        <v/>
      </c>
      <c r="D11711">
        <f>IF(B11711="","",HOUR(A11711))</f>
        <v/>
      </c>
    </row>
    <row r="11712">
      <c r="A11712">
        <f>Input!A11712</f>
        <v/>
      </c>
      <c r="B11712">
        <f>IF(ISNUMBER(Input!B11712),IF(AND(Input!B11712&gt;=20,Input!B11712&lt;=700),Input!B11712,""),"")</f>
        <v/>
      </c>
      <c r="C11712">
        <f>IF(B11712="","",INT(A11712))</f>
        <v/>
      </c>
      <c r="D11712">
        <f>IF(B11712="","",HOUR(A11712))</f>
        <v/>
      </c>
    </row>
    <row r="11713">
      <c r="A11713">
        <f>Input!A11713</f>
        <v/>
      </c>
      <c r="B11713">
        <f>IF(ISNUMBER(Input!B11713),IF(AND(Input!B11713&gt;=20,Input!B11713&lt;=700),Input!B11713,""),"")</f>
        <v/>
      </c>
      <c r="C11713">
        <f>IF(B11713="","",INT(A11713))</f>
        <v/>
      </c>
      <c r="D11713">
        <f>IF(B11713="","",HOUR(A11713))</f>
        <v/>
      </c>
    </row>
    <row r="11714">
      <c r="A11714">
        <f>Input!A11714</f>
        <v/>
      </c>
      <c r="B11714">
        <f>IF(ISNUMBER(Input!B11714),IF(AND(Input!B11714&gt;=20,Input!B11714&lt;=700),Input!B11714,""),"")</f>
        <v/>
      </c>
      <c r="C11714">
        <f>IF(B11714="","",INT(A11714))</f>
        <v/>
      </c>
      <c r="D11714">
        <f>IF(B11714="","",HOUR(A11714))</f>
        <v/>
      </c>
    </row>
    <row r="11715">
      <c r="A11715">
        <f>Input!A11715</f>
        <v/>
      </c>
      <c r="B11715">
        <f>IF(ISNUMBER(Input!B11715),IF(AND(Input!B11715&gt;=20,Input!B11715&lt;=700),Input!B11715,""),"")</f>
        <v/>
      </c>
      <c r="C11715">
        <f>IF(B11715="","",INT(A11715))</f>
        <v/>
      </c>
      <c r="D11715">
        <f>IF(B11715="","",HOUR(A11715))</f>
        <v/>
      </c>
    </row>
    <row r="11716">
      <c r="A11716">
        <f>Input!A11716</f>
        <v/>
      </c>
      <c r="B11716">
        <f>IF(ISNUMBER(Input!B11716),IF(AND(Input!B11716&gt;=20,Input!B11716&lt;=700),Input!B11716,""),"")</f>
        <v/>
      </c>
      <c r="C11716">
        <f>IF(B11716="","",INT(A11716))</f>
        <v/>
      </c>
      <c r="D11716">
        <f>IF(B11716="","",HOUR(A11716))</f>
        <v/>
      </c>
    </row>
    <row r="11717">
      <c r="A11717">
        <f>Input!A11717</f>
        <v/>
      </c>
      <c r="B11717">
        <f>IF(ISNUMBER(Input!B11717),IF(AND(Input!B11717&gt;=20,Input!B11717&lt;=700),Input!B11717,""),"")</f>
        <v/>
      </c>
      <c r="C11717">
        <f>IF(B11717="","",INT(A11717))</f>
        <v/>
      </c>
      <c r="D11717">
        <f>IF(B11717="","",HOUR(A11717))</f>
        <v/>
      </c>
    </row>
    <row r="11718">
      <c r="A11718">
        <f>Input!A11718</f>
        <v/>
      </c>
      <c r="B11718">
        <f>IF(ISNUMBER(Input!B11718),IF(AND(Input!B11718&gt;=20,Input!B11718&lt;=700),Input!B11718,""),"")</f>
        <v/>
      </c>
      <c r="C11718">
        <f>IF(B11718="","",INT(A11718))</f>
        <v/>
      </c>
      <c r="D11718">
        <f>IF(B11718="","",HOUR(A11718))</f>
        <v/>
      </c>
    </row>
    <row r="11719">
      <c r="A11719">
        <f>Input!A11719</f>
        <v/>
      </c>
      <c r="B11719">
        <f>IF(ISNUMBER(Input!B11719),IF(AND(Input!B11719&gt;=20,Input!B11719&lt;=700),Input!B11719,""),"")</f>
        <v/>
      </c>
      <c r="C11719">
        <f>IF(B11719="","",INT(A11719))</f>
        <v/>
      </c>
      <c r="D11719">
        <f>IF(B11719="","",HOUR(A11719))</f>
        <v/>
      </c>
    </row>
    <row r="11720">
      <c r="A11720">
        <f>Input!A11720</f>
        <v/>
      </c>
      <c r="B11720">
        <f>IF(ISNUMBER(Input!B11720),IF(AND(Input!B11720&gt;=20,Input!B11720&lt;=700),Input!B11720,""),"")</f>
        <v/>
      </c>
      <c r="C11720">
        <f>IF(B11720="","",INT(A11720))</f>
        <v/>
      </c>
      <c r="D11720">
        <f>IF(B11720="","",HOUR(A11720))</f>
        <v/>
      </c>
    </row>
    <row r="11721">
      <c r="A11721">
        <f>Input!A11721</f>
        <v/>
      </c>
      <c r="B11721">
        <f>IF(ISNUMBER(Input!B11721),IF(AND(Input!B11721&gt;=20,Input!B11721&lt;=700),Input!B11721,""),"")</f>
        <v/>
      </c>
      <c r="C11721">
        <f>IF(B11721="","",INT(A11721))</f>
        <v/>
      </c>
      <c r="D11721">
        <f>IF(B11721="","",HOUR(A11721))</f>
        <v/>
      </c>
    </row>
    <row r="11722">
      <c r="A11722">
        <f>Input!A11722</f>
        <v/>
      </c>
      <c r="B11722">
        <f>IF(ISNUMBER(Input!B11722),IF(AND(Input!B11722&gt;=20,Input!B11722&lt;=700),Input!B11722,""),"")</f>
        <v/>
      </c>
      <c r="C11722">
        <f>IF(B11722="","",INT(A11722))</f>
        <v/>
      </c>
      <c r="D11722">
        <f>IF(B11722="","",HOUR(A11722))</f>
        <v/>
      </c>
    </row>
    <row r="11723">
      <c r="A11723">
        <f>Input!A11723</f>
        <v/>
      </c>
      <c r="B11723">
        <f>IF(ISNUMBER(Input!B11723),IF(AND(Input!B11723&gt;=20,Input!B11723&lt;=700),Input!B11723,""),"")</f>
        <v/>
      </c>
      <c r="C11723">
        <f>IF(B11723="","",INT(A11723))</f>
        <v/>
      </c>
      <c r="D11723">
        <f>IF(B11723="","",HOUR(A11723))</f>
        <v/>
      </c>
    </row>
    <row r="11724">
      <c r="A11724">
        <f>Input!A11724</f>
        <v/>
      </c>
      <c r="B11724">
        <f>IF(ISNUMBER(Input!B11724),IF(AND(Input!B11724&gt;=20,Input!B11724&lt;=700),Input!B11724,""),"")</f>
        <v/>
      </c>
      <c r="C11724">
        <f>IF(B11724="","",INT(A11724))</f>
        <v/>
      </c>
      <c r="D11724">
        <f>IF(B11724="","",HOUR(A11724))</f>
        <v/>
      </c>
    </row>
    <row r="11725">
      <c r="A11725">
        <f>Input!A11725</f>
        <v/>
      </c>
      <c r="B11725">
        <f>IF(ISNUMBER(Input!B11725),IF(AND(Input!B11725&gt;=20,Input!B11725&lt;=700),Input!B11725,""),"")</f>
        <v/>
      </c>
      <c r="C11725">
        <f>IF(B11725="","",INT(A11725))</f>
        <v/>
      </c>
      <c r="D11725">
        <f>IF(B11725="","",HOUR(A11725))</f>
        <v/>
      </c>
    </row>
    <row r="11726">
      <c r="A11726">
        <f>Input!A11726</f>
        <v/>
      </c>
      <c r="B11726">
        <f>IF(ISNUMBER(Input!B11726),IF(AND(Input!B11726&gt;=20,Input!B11726&lt;=700),Input!B11726,""),"")</f>
        <v/>
      </c>
      <c r="C11726">
        <f>IF(B11726="","",INT(A11726))</f>
        <v/>
      </c>
      <c r="D11726">
        <f>IF(B11726="","",HOUR(A11726))</f>
        <v/>
      </c>
    </row>
    <row r="11727">
      <c r="A11727">
        <f>Input!A11727</f>
        <v/>
      </c>
      <c r="B11727">
        <f>IF(ISNUMBER(Input!B11727),IF(AND(Input!B11727&gt;=20,Input!B11727&lt;=700),Input!B11727,""),"")</f>
        <v/>
      </c>
      <c r="C11727">
        <f>IF(B11727="","",INT(A11727))</f>
        <v/>
      </c>
      <c r="D11727">
        <f>IF(B11727="","",HOUR(A11727))</f>
        <v/>
      </c>
    </row>
    <row r="11728">
      <c r="A11728">
        <f>Input!A11728</f>
        <v/>
      </c>
      <c r="B11728">
        <f>IF(ISNUMBER(Input!B11728),IF(AND(Input!B11728&gt;=20,Input!B11728&lt;=700),Input!B11728,""),"")</f>
        <v/>
      </c>
      <c r="C11728">
        <f>IF(B11728="","",INT(A11728))</f>
        <v/>
      </c>
      <c r="D11728">
        <f>IF(B11728="","",HOUR(A11728))</f>
        <v/>
      </c>
    </row>
    <row r="11729">
      <c r="A11729">
        <f>Input!A11729</f>
        <v/>
      </c>
      <c r="B11729">
        <f>IF(ISNUMBER(Input!B11729),IF(AND(Input!B11729&gt;=20,Input!B11729&lt;=700),Input!B11729,""),"")</f>
        <v/>
      </c>
      <c r="C11729">
        <f>IF(B11729="","",INT(A11729))</f>
        <v/>
      </c>
      <c r="D11729">
        <f>IF(B11729="","",HOUR(A11729))</f>
        <v/>
      </c>
    </row>
    <row r="11730">
      <c r="A11730">
        <f>Input!A11730</f>
        <v/>
      </c>
      <c r="B11730">
        <f>IF(ISNUMBER(Input!B11730),IF(AND(Input!B11730&gt;=20,Input!B11730&lt;=700),Input!B11730,""),"")</f>
        <v/>
      </c>
      <c r="C11730">
        <f>IF(B11730="","",INT(A11730))</f>
        <v/>
      </c>
      <c r="D11730">
        <f>IF(B11730="","",HOUR(A11730))</f>
        <v/>
      </c>
    </row>
    <row r="11731">
      <c r="A11731">
        <f>Input!A11731</f>
        <v/>
      </c>
      <c r="B11731">
        <f>IF(ISNUMBER(Input!B11731),IF(AND(Input!B11731&gt;=20,Input!B11731&lt;=700),Input!B11731,""),"")</f>
        <v/>
      </c>
      <c r="C11731">
        <f>IF(B11731="","",INT(A11731))</f>
        <v/>
      </c>
      <c r="D11731">
        <f>IF(B11731="","",HOUR(A11731))</f>
        <v/>
      </c>
    </row>
    <row r="11732">
      <c r="A11732">
        <f>Input!A11732</f>
        <v/>
      </c>
      <c r="B11732">
        <f>IF(ISNUMBER(Input!B11732),IF(AND(Input!B11732&gt;=20,Input!B11732&lt;=700),Input!B11732,""),"")</f>
        <v/>
      </c>
      <c r="C11732">
        <f>IF(B11732="","",INT(A11732))</f>
        <v/>
      </c>
      <c r="D11732">
        <f>IF(B11732="","",HOUR(A11732))</f>
        <v/>
      </c>
    </row>
    <row r="11733">
      <c r="A11733">
        <f>Input!A11733</f>
        <v/>
      </c>
      <c r="B11733">
        <f>IF(ISNUMBER(Input!B11733),IF(AND(Input!B11733&gt;=20,Input!B11733&lt;=700),Input!B11733,""),"")</f>
        <v/>
      </c>
      <c r="C11733">
        <f>IF(B11733="","",INT(A11733))</f>
        <v/>
      </c>
      <c r="D11733">
        <f>IF(B11733="","",HOUR(A11733))</f>
        <v/>
      </c>
    </row>
    <row r="11734">
      <c r="A11734">
        <f>Input!A11734</f>
        <v/>
      </c>
      <c r="B11734">
        <f>IF(ISNUMBER(Input!B11734),IF(AND(Input!B11734&gt;=20,Input!B11734&lt;=700),Input!B11734,""),"")</f>
        <v/>
      </c>
      <c r="C11734">
        <f>IF(B11734="","",INT(A11734))</f>
        <v/>
      </c>
      <c r="D11734">
        <f>IF(B11734="","",HOUR(A11734))</f>
        <v/>
      </c>
    </row>
    <row r="11735">
      <c r="A11735">
        <f>Input!A11735</f>
        <v/>
      </c>
      <c r="B11735">
        <f>IF(ISNUMBER(Input!B11735),IF(AND(Input!B11735&gt;=20,Input!B11735&lt;=700),Input!B11735,""),"")</f>
        <v/>
      </c>
      <c r="C11735">
        <f>IF(B11735="","",INT(A11735))</f>
        <v/>
      </c>
      <c r="D11735">
        <f>IF(B11735="","",HOUR(A11735))</f>
        <v/>
      </c>
    </row>
    <row r="11736">
      <c r="A11736">
        <f>Input!A11736</f>
        <v/>
      </c>
      <c r="B11736">
        <f>IF(ISNUMBER(Input!B11736),IF(AND(Input!B11736&gt;=20,Input!B11736&lt;=700),Input!B11736,""),"")</f>
        <v/>
      </c>
      <c r="C11736">
        <f>IF(B11736="","",INT(A11736))</f>
        <v/>
      </c>
      <c r="D11736">
        <f>IF(B11736="","",HOUR(A11736))</f>
        <v/>
      </c>
    </row>
    <row r="11737">
      <c r="A11737">
        <f>Input!A11737</f>
        <v/>
      </c>
      <c r="B11737">
        <f>IF(ISNUMBER(Input!B11737),IF(AND(Input!B11737&gt;=20,Input!B11737&lt;=700),Input!B11737,""),"")</f>
        <v/>
      </c>
      <c r="C11737">
        <f>IF(B11737="","",INT(A11737))</f>
        <v/>
      </c>
      <c r="D11737">
        <f>IF(B11737="","",HOUR(A11737))</f>
        <v/>
      </c>
    </row>
    <row r="11738">
      <c r="A11738">
        <f>Input!A11738</f>
        <v/>
      </c>
      <c r="B11738">
        <f>IF(ISNUMBER(Input!B11738),IF(AND(Input!B11738&gt;=20,Input!B11738&lt;=700),Input!B11738,""),"")</f>
        <v/>
      </c>
      <c r="C11738">
        <f>IF(B11738="","",INT(A11738))</f>
        <v/>
      </c>
      <c r="D11738">
        <f>IF(B11738="","",HOUR(A11738))</f>
        <v/>
      </c>
    </row>
    <row r="11739">
      <c r="A11739">
        <f>Input!A11739</f>
        <v/>
      </c>
      <c r="B11739">
        <f>IF(ISNUMBER(Input!B11739),IF(AND(Input!B11739&gt;=20,Input!B11739&lt;=700),Input!B11739,""),"")</f>
        <v/>
      </c>
      <c r="C11739">
        <f>IF(B11739="","",INT(A11739))</f>
        <v/>
      </c>
      <c r="D11739">
        <f>IF(B11739="","",HOUR(A11739))</f>
        <v/>
      </c>
    </row>
    <row r="11740">
      <c r="A11740">
        <f>Input!A11740</f>
        <v/>
      </c>
      <c r="B11740">
        <f>IF(ISNUMBER(Input!B11740),IF(AND(Input!B11740&gt;=20,Input!B11740&lt;=700),Input!B11740,""),"")</f>
        <v/>
      </c>
      <c r="C11740">
        <f>IF(B11740="","",INT(A11740))</f>
        <v/>
      </c>
      <c r="D11740">
        <f>IF(B11740="","",HOUR(A11740))</f>
        <v/>
      </c>
    </row>
    <row r="11741">
      <c r="A11741">
        <f>Input!A11741</f>
        <v/>
      </c>
      <c r="B11741">
        <f>IF(ISNUMBER(Input!B11741),IF(AND(Input!B11741&gt;=20,Input!B11741&lt;=700),Input!B11741,""),"")</f>
        <v/>
      </c>
      <c r="C11741">
        <f>IF(B11741="","",INT(A11741))</f>
        <v/>
      </c>
      <c r="D11741">
        <f>IF(B11741="","",HOUR(A11741))</f>
        <v/>
      </c>
    </row>
    <row r="11742">
      <c r="A11742">
        <f>Input!A11742</f>
        <v/>
      </c>
      <c r="B11742">
        <f>IF(ISNUMBER(Input!B11742),IF(AND(Input!B11742&gt;=20,Input!B11742&lt;=700),Input!B11742,""),"")</f>
        <v/>
      </c>
      <c r="C11742">
        <f>IF(B11742="","",INT(A11742))</f>
        <v/>
      </c>
      <c r="D11742">
        <f>IF(B11742="","",HOUR(A11742))</f>
        <v/>
      </c>
    </row>
    <row r="11743">
      <c r="A11743">
        <f>Input!A11743</f>
        <v/>
      </c>
      <c r="B11743">
        <f>IF(ISNUMBER(Input!B11743),IF(AND(Input!B11743&gt;=20,Input!B11743&lt;=700),Input!B11743,""),"")</f>
        <v/>
      </c>
      <c r="C11743">
        <f>IF(B11743="","",INT(A11743))</f>
        <v/>
      </c>
      <c r="D11743">
        <f>IF(B11743="","",HOUR(A11743))</f>
        <v/>
      </c>
    </row>
    <row r="11744">
      <c r="A11744">
        <f>Input!A11744</f>
        <v/>
      </c>
      <c r="B11744">
        <f>IF(ISNUMBER(Input!B11744),IF(AND(Input!B11744&gt;=20,Input!B11744&lt;=700),Input!B11744,""),"")</f>
        <v/>
      </c>
      <c r="C11744">
        <f>IF(B11744="","",INT(A11744))</f>
        <v/>
      </c>
      <c r="D11744">
        <f>IF(B11744="","",HOUR(A11744))</f>
        <v/>
      </c>
    </row>
    <row r="11745">
      <c r="A11745">
        <f>Input!A11745</f>
        <v/>
      </c>
      <c r="B11745">
        <f>IF(ISNUMBER(Input!B11745),IF(AND(Input!B11745&gt;=20,Input!B11745&lt;=700),Input!B11745,""),"")</f>
        <v/>
      </c>
      <c r="C11745">
        <f>IF(B11745="","",INT(A11745))</f>
        <v/>
      </c>
      <c r="D11745">
        <f>IF(B11745="","",HOUR(A11745))</f>
        <v/>
      </c>
    </row>
    <row r="11746">
      <c r="A11746">
        <f>Input!A11746</f>
        <v/>
      </c>
      <c r="B11746">
        <f>IF(ISNUMBER(Input!B11746),IF(AND(Input!B11746&gt;=20,Input!B11746&lt;=700),Input!B11746,""),"")</f>
        <v/>
      </c>
      <c r="C11746">
        <f>IF(B11746="","",INT(A11746))</f>
        <v/>
      </c>
      <c r="D11746">
        <f>IF(B11746="","",HOUR(A11746))</f>
        <v/>
      </c>
    </row>
    <row r="11747">
      <c r="A11747">
        <f>Input!A11747</f>
        <v/>
      </c>
      <c r="B11747">
        <f>IF(ISNUMBER(Input!B11747),IF(AND(Input!B11747&gt;=20,Input!B11747&lt;=700),Input!B11747,""),"")</f>
        <v/>
      </c>
      <c r="C11747">
        <f>IF(B11747="","",INT(A11747))</f>
        <v/>
      </c>
      <c r="D11747">
        <f>IF(B11747="","",HOUR(A11747))</f>
        <v/>
      </c>
    </row>
    <row r="11748">
      <c r="A11748">
        <f>Input!A11748</f>
        <v/>
      </c>
      <c r="B11748">
        <f>IF(ISNUMBER(Input!B11748),IF(AND(Input!B11748&gt;=20,Input!B11748&lt;=700),Input!B11748,""),"")</f>
        <v/>
      </c>
      <c r="C11748">
        <f>IF(B11748="","",INT(A11748))</f>
        <v/>
      </c>
      <c r="D11748">
        <f>IF(B11748="","",HOUR(A11748))</f>
        <v/>
      </c>
    </row>
    <row r="11749">
      <c r="A11749">
        <f>Input!A11749</f>
        <v/>
      </c>
      <c r="B11749">
        <f>IF(ISNUMBER(Input!B11749),IF(AND(Input!B11749&gt;=20,Input!B11749&lt;=700),Input!B11749,""),"")</f>
        <v/>
      </c>
      <c r="C11749">
        <f>IF(B11749="","",INT(A11749))</f>
        <v/>
      </c>
      <c r="D11749">
        <f>IF(B11749="","",HOUR(A11749))</f>
        <v/>
      </c>
    </row>
    <row r="11750">
      <c r="A11750">
        <f>Input!A11750</f>
        <v/>
      </c>
      <c r="B11750">
        <f>IF(ISNUMBER(Input!B11750),IF(AND(Input!B11750&gt;=20,Input!B11750&lt;=700),Input!B11750,""),"")</f>
        <v/>
      </c>
      <c r="C11750">
        <f>IF(B11750="","",INT(A11750))</f>
        <v/>
      </c>
      <c r="D11750">
        <f>IF(B11750="","",HOUR(A11750))</f>
        <v/>
      </c>
    </row>
    <row r="11751">
      <c r="A11751">
        <f>Input!A11751</f>
        <v/>
      </c>
      <c r="B11751">
        <f>IF(ISNUMBER(Input!B11751),IF(AND(Input!B11751&gt;=20,Input!B11751&lt;=700),Input!B11751,""),"")</f>
        <v/>
      </c>
      <c r="C11751">
        <f>IF(B11751="","",INT(A11751))</f>
        <v/>
      </c>
      <c r="D11751">
        <f>IF(B11751="","",HOUR(A11751))</f>
        <v/>
      </c>
    </row>
    <row r="11752">
      <c r="A11752">
        <f>Input!A11752</f>
        <v/>
      </c>
      <c r="B11752">
        <f>IF(ISNUMBER(Input!B11752),IF(AND(Input!B11752&gt;=20,Input!B11752&lt;=700),Input!B11752,""),"")</f>
        <v/>
      </c>
      <c r="C11752">
        <f>IF(B11752="","",INT(A11752))</f>
        <v/>
      </c>
      <c r="D11752">
        <f>IF(B11752="","",HOUR(A11752))</f>
        <v/>
      </c>
    </row>
    <row r="11753">
      <c r="A11753">
        <f>Input!A11753</f>
        <v/>
      </c>
      <c r="B11753">
        <f>IF(ISNUMBER(Input!B11753),IF(AND(Input!B11753&gt;=20,Input!B11753&lt;=700),Input!B11753,""),"")</f>
        <v/>
      </c>
      <c r="C11753">
        <f>IF(B11753="","",INT(A11753))</f>
        <v/>
      </c>
      <c r="D11753">
        <f>IF(B11753="","",HOUR(A11753))</f>
        <v/>
      </c>
    </row>
    <row r="11754">
      <c r="A11754">
        <f>Input!A11754</f>
        <v/>
      </c>
      <c r="B11754">
        <f>IF(ISNUMBER(Input!B11754),IF(AND(Input!B11754&gt;=20,Input!B11754&lt;=700),Input!B11754,""),"")</f>
        <v/>
      </c>
      <c r="C11754">
        <f>IF(B11754="","",INT(A11754))</f>
        <v/>
      </c>
      <c r="D11754">
        <f>IF(B11754="","",HOUR(A11754))</f>
        <v/>
      </c>
    </row>
    <row r="11755">
      <c r="A11755">
        <f>Input!A11755</f>
        <v/>
      </c>
      <c r="B11755">
        <f>IF(ISNUMBER(Input!B11755),IF(AND(Input!B11755&gt;=20,Input!B11755&lt;=700),Input!B11755,""),"")</f>
        <v/>
      </c>
      <c r="C11755">
        <f>IF(B11755="","",INT(A11755))</f>
        <v/>
      </c>
      <c r="D11755">
        <f>IF(B11755="","",HOUR(A11755))</f>
        <v/>
      </c>
    </row>
    <row r="11756">
      <c r="A11756">
        <f>Input!A11756</f>
        <v/>
      </c>
      <c r="B11756">
        <f>IF(ISNUMBER(Input!B11756),IF(AND(Input!B11756&gt;=20,Input!B11756&lt;=700),Input!B11756,""),"")</f>
        <v/>
      </c>
      <c r="C11756">
        <f>IF(B11756="","",INT(A11756))</f>
        <v/>
      </c>
      <c r="D11756">
        <f>IF(B11756="","",HOUR(A11756))</f>
        <v/>
      </c>
    </row>
    <row r="11757">
      <c r="A11757">
        <f>Input!A11757</f>
        <v/>
      </c>
      <c r="B11757">
        <f>IF(ISNUMBER(Input!B11757),IF(AND(Input!B11757&gt;=20,Input!B11757&lt;=700),Input!B11757,""),"")</f>
        <v/>
      </c>
      <c r="C11757">
        <f>IF(B11757="","",INT(A11757))</f>
        <v/>
      </c>
      <c r="D11757">
        <f>IF(B11757="","",HOUR(A11757))</f>
        <v/>
      </c>
    </row>
    <row r="11758">
      <c r="A11758">
        <f>Input!A11758</f>
        <v/>
      </c>
      <c r="B11758">
        <f>IF(ISNUMBER(Input!B11758),IF(AND(Input!B11758&gt;=20,Input!B11758&lt;=700),Input!B11758,""),"")</f>
        <v/>
      </c>
      <c r="C11758">
        <f>IF(B11758="","",INT(A11758))</f>
        <v/>
      </c>
      <c r="D11758">
        <f>IF(B11758="","",HOUR(A11758))</f>
        <v/>
      </c>
    </row>
    <row r="11759">
      <c r="A11759">
        <f>Input!A11759</f>
        <v/>
      </c>
      <c r="B11759">
        <f>IF(ISNUMBER(Input!B11759),IF(AND(Input!B11759&gt;=20,Input!B11759&lt;=700),Input!B11759,""),"")</f>
        <v/>
      </c>
      <c r="C11759">
        <f>IF(B11759="","",INT(A11759))</f>
        <v/>
      </c>
      <c r="D11759">
        <f>IF(B11759="","",HOUR(A11759))</f>
        <v/>
      </c>
    </row>
    <row r="11760">
      <c r="A11760">
        <f>Input!A11760</f>
        <v/>
      </c>
      <c r="B11760">
        <f>IF(ISNUMBER(Input!B11760),IF(AND(Input!B11760&gt;=20,Input!B11760&lt;=700),Input!B11760,""),"")</f>
        <v/>
      </c>
      <c r="C11760">
        <f>IF(B11760="","",INT(A11760))</f>
        <v/>
      </c>
      <c r="D11760">
        <f>IF(B11760="","",HOUR(A11760))</f>
        <v/>
      </c>
    </row>
    <row r="11761">
      <c r="A11761">
        <f>Input!A11761</f>
        <v/>
      </c>
      <c r="B11761">
        <f>IF(ISNUMBER(Input!B11761),IF(AND(Input!B11761&gt;=20,Input!B11761&lt;=700),Input!B11761,""),"")</f>
        <v/>
      </c>
      <c r="C11761">
        <f>IF(B11761="","",INT(A11761))</f>
        <v/>
      </c>
      <c r="D11761">
        <f>IF(B11761="","",HOUR(A11761))</f>
        <v/>
      </c>
    </row>
    <row r="11762">
      <c r="A11762">
        <f>Input!A11762</f>
        <v/>
      </c>
      <c r="B11762">
        <f>IF(ISNUMBER(Input!B11762),IF(AND(Input!B11762&gt;=20,Input!B11762&lt;=700),Input!B11762,""),"")</f>
        <v/>
      </c>
      <c r="C11762">
        <f>IF(B11762="","",INT(A11762))</f>
        <v/>
      </c>
      <c r="D11762">
        <f>IF(B11762="","",HOUR(A11762))</f>
        <v/>
      </c>
    </row>
    <row r="11763">
      <c r="A11763">
        <f>Input!A11763</f>
        <v/>
      </c>
      <c r="B11763">
        <f>IF(ISNUMBER(Input!B11763),IF(AND(Input!B11763&gt;=20,Input!B11763&lt;=700),Input!B11763,""),"")</f>
        <v/>
      </c>
      <c r="C11763">
        <f>IF(B11763="","",INT(A11763))</f>
        <v/>
      </c>
      <c r="D11763">
        <f>IF(B11763="","",HOUR(A11763))</f>
        <v/>
      </c>
    </row>
    <row r="11764">
      <c r="A11764">
        <f>Input!A11764</f>
        <v/>
      </c>
      <c r="B11764">
        <f>IF(ISNUMBER(Input!B11764),IF(AND(Input!B11764&gt;=20,Input!B11764&lt;=700),Input!B11764,""),"")</f>
        <v/>
      </c>
      <c r="C11764">
        <f>IF(B11764="","",INT(A11764))</f>
        <v/>
      </c>
      <c r="D11764">
        <f>IF(B11764="","",HOUR(A11764))</f>
        <v/>
      </c>
    </row>
    <row r="11765">
      <c r="A11765">
        <f>Input!A11765</f>
        <v/>
      </c>
      <c r="B11765">
        <f>IF(ISNUMBER(Input!B11765),IF(AND(Input!B11765&gt;=20,Input!B11765&lt;=700),Input!B11765,""),"")</f>
        <v/>
      </c>
      <c r="C11765">
        <f>IF(B11765="","",INT(A11765))</f>
        <v/>
      </c>
      <c r="D11765">
        <f>IF(B11765="","",HOUR(A11765))</f>
        <v/>
      </c>
    </row>
    <row r="11766">
      <c r="A11766">
        <f>Input!A11766</f>
        <v/>
      </c>
      <c r="B11766">
        <f>IF(ISNUMBER(Input!B11766),IF(AND(Input!B11766&gt;=20,Input!B11766&lt;=700),Input!B11766,""),"")</f>
        <v/>
      </c>
      <c r="C11766">
        <f>IF(B11766="","",INT(A11766))</f>
        <v/>
      </c>
      <c r="D11766">
        <f>IF(B11766="","",HOUR(A11766))</f>
        <v/>
      </c>
    </row>
    <row r="11767">
      <c r="A11767">
        <f>Input!A11767</f>
        <v/>
      </c>
      <c r="B11767">
        <f>IF(ISNUMBER(Input!B11767),IF(AND(Input!B11767&gt;=20,Input!B11767&lt;=700),Input!B11767,""),"")</f>
        <v/>
      </c>
      <c r="C11767">
        <f>IF(B11767="","",INT(A11767))</f>
        <v/>
      </c>
      <c r="D11767">
        <f>IF(B11767="","",HOUR(A11767))</f>
        <v/>
      </c>
    </row>
    <row r="11768">
      <c r="A11768">
        <f>Input!A11768</f>
        <v/>
      </c>
      <c r="B11768">
        <f>IF(ISNUMBER(Input!B11768),IF(AND(Input!B11768&gt;=20,Input!B11768&lt;=700),Input!B11768,""),"")</f>
        <v/>
      </c>
      <c r="C11768">
        <f>IF(B11768="","",INT(A11768))</f>
        <v/>
      </c>
      <c r="D11768">
        <f>IF(B11768="","",HOUR(A11768))</f>
        <v/>
      </c>
    </row>
    <row r="11769">
      <c r="A11769">
        <f>Input!A11769</f>
        <v/>
      </c>
      <c r="B11769">
        <f>IF(ISNUMBER(Input!B11769),IF(AND(Input!B11769&gt;=20,Input!B11769&lt;=700),Input!B11769,""),"")</f>
        <v/>
      </c>
      <c r="C11769">
        <f>IF(B11769="","",INT(A11769))</f>
        <v/>
      </c>
      <c r="D11769">
        <f>IF(B11769="","",HOUR(A11769))</f>
        <v/>
      </c>
    </row>
    <row r="11770">
      <c r="A11770">
        <f>Input!A11770</f>
        <v/>
      </c>
      <c r="B11770">
        <f>IF(ISNUMBER(Input!B11770),IF(AND(Input!B11770&gt;=20,Input!B11770&lt;=700),Input!B11770,""),"")</f>
        <v/>
      </c>
      <c r="C11770">
        <f>IF(B11770="","",INT(A11770))</f>
        <v/>
      </c>
      <c r="D11770">
        <f>IF(B11770="","",HOUR(A11770))</f>
        <v/>
      </c>
    </row>
    <row r="11771">
      <c r="A11771">
        <f>Input!A11771</f>
        <v/>
      </c>
      <c r="B11771">
        <f>IF(ISNUMBER(Input!B11771),IF(AND(Input!B11771&gt;=20,Input!B11771&lt;=700),Input!B11771,""),"")</f>
        <v/>
      </c>
      <c r="C11771">
        <f>IF(B11771="","",INT(A11771))</f>
        <v/>
      </c>
      <c r="D11771">
        <f>IF(B11771="","",HOUR(A11771))</f>
        <v/>
      </c>
    </row>
    <row r="11772">
      <c r="A11772">
        <f>Input!A11772</f>
        <v/>
      </c>
      <c r="B11772">
        <f>IF(ISNUMBER(Input!B11772),IF(AND(Input!B11772&gt;=20,Input!B11772&lt;=700),Input!B11772,""),"")</f>
        <v/>
      </c>
      <c r="C11772">
        <f>IF(B11772="","",INT(A11772))</f>
        <v/>
      </c>
      <c r="D11772">
        <f>IF(B11772="","",HOUR(A11772))</f>
        <v/>
      </c>
    </row>
    <row r="11773">
      <c r="A11773">
        <f>Input!A11773</f>
        <v/>
      </c>
      <c r="B11773">
        <f>IF(ISNUMBER(Input!B11773),IF(AND(Input!B11773&gt;=20,Input!B11773&lt;=700),Input!B11773,""),"")</f>
        <v/>
      </c>
      <c r="C11773">
        <f>IF(B11773="","",INT(A11773))</f>
        <v/>
      </c>
      <c r="D11773">
        <f>IF(B11773="","",HOUR(A11773))</f>
        <v/>
      </c>
    </row>
    <row r="11774">
      <c r="A11774">
        <f>Input!A11774</f>
        <v/>
      </c>
      <c r="B11774">
        <f>IF(ISNUMBER(Input!B11774),IF(AND(Input!B11774&gt;=20,Input!B11774&lt;=700),Input!B11774,""),"")</f>
        <v/>
      </c>
      <c r="C11774">
        <f>IF(B11774="","",INT(A11774))</f>
        <v/>
      </c>
      <c r="D11774">
        <f>IF(B11774="","",HOUR(A11774))</f>
        <v/>
      </c>
    </row>
    <row r="11775">
      <c r="A11775">
        <f>Input!A11775</f>
        <v/>
      </c>
      <c r="B11775">
        <f>IF(ISNUMBER(Input!B11775),IF(AND(Input!B11775&gt;=20,Input!B11775&lt;=700),Input!B11775,""),"")</f>
        <v/>
      </c>
      <c r="C11775">
        <f>IF(B11775="","",INT(A11775))</f>
        <v/>
      </c>
      <c r="D11775">
        <f>IF(B11775="","",HOUR(A11775))</f>
        <v/>
      </c>
    </row>
    <row r="11776">
      <c r="A11776">
        <f>Input!A11776</f>
        <v/>
      </c>
      <c r="B11776">
        <f>IF(ISNUMBER(Input!B11776),IF(AND(Input!B11776&gt;=20,Input!B11776&lt;=700),Input!B11776,""),"")</f>
        <v/>
      </c>
      <c r="C11776">
        <f>IF(B11776="","",INT(A11776))</f>
        <v/>
      </c>
      <c r="D11776">
        <f>IF(B11776="","",HOUR(A11776))</f>
        <v/>
      </c>
    </row>
    <row r="11777">
      <c r="A11777">
        <f>Input!A11777</f>
        <v/>
      </c>
      <c r="B11777">
        <f>IF(ISNUMBER(Input!B11777),IF(AND(Input!B11777&gt;=20,Input!B11777&lt;=700),Input!B11777,""),"")</f>
        <v/>
      </c>
      <c r="C11777">
        <f>IF(B11777="","",INT(A11777))</f>
        <v/>
      </c>
      <c r="D11777">
        <f>IF(B11777="","",HOUR(A11777))</f>
        <v/>
      </c>
    </row>
    <row r="11778">
      <c r="A11778">
        <f>Input!A11778</f>
        <v/>
      </c>
      <c r="B11778">
        <f>IF(ISNUMBER(Input!B11778),IF(AND(Input!B11778&gt;=20,Input!B11778&lt;=700),Input!B11778,""),"")</f>
        <v/>
      </c>
      <c r="C11778">
        <f>IF(B11778="","",INT(A11778))</f>
        <v/>
      </c>
      <c r="D11778">
        <f>IF(B11778="","",HOUR(A11778))</f>
        <v/>
      </c>
    </row>
    <row r="11779">
      <c r="A11779">
        <f>Input!A11779</f>
        <v/>
      </c>
      <c r="B11779">
        <f>IF(ISNUMBER(Input!B11779),IF(AND(Input!B11779&gt;=20,Input!B11779&lt;=700),Input!B11779,""),"")</f>
        <v/>
      </c>
      <c r="C11779">
        <f>IF(B11779="","",INT(A11779))</f>
        <v/>
      </c>
      <c r="D11779">
        <f>IF(B11779="","",HOUR(A11779))</f>
        <v/>
      </c>
    </row>
    <row r="11780">
      <c r="A11780">
        <f>Input!A11780</f>
        <v/>
      </c>
      <c r="B11780">
        <f>IF(ISNUMBER(Input!B11780),IF(AND(Input!B11780&gt;=20,Input!B11780&lt;=700),Input!B11780,""),"")</f>
        <v/>
      </c>
      <c r="C11780">
        <f>IF(B11780="","",INT(A11780))</f>
        <v/>
      </c>
      <c r="D11780">
        <f>IF(B11780="","",HOUR(A11780))</f>
        <v/>
      </c>
    </row>
    <row r="11781">
      <c r="A11781">
        <f>Input!A11781</f>
        <v/>
      </c>
      <c r="B11781">
        <f>IF(ISNUMBER(Input!B11781),IF(AND(Input!B11781&gt;=20,Input!B11781&lt;=700),Input!B11781,""),"")</f>
        <v/>
      </c>
      <c r="C11781">
        <f>IF(B11781="","",INT(A11781))</f>
        <v/>
      </c>
      <c r="D11781">
        <f>IF(B11781="","",HOUR(A11781))</f>
        <v/>
      </c>
    </row>
    <row r="11782">
      <c r="A11782">
        <f>Input!A11782</f>
        <v/>
      </c>
      <c r="B11782">
        <f>IF(ISNUMBER(Input!B11782),IF(AND(Input!B11782&gt;=20,Input!B11782&lt;=700),Input!B11782,""),"")</f>
        <v/>
      </c>
      <c r="C11782">
        <f>IF(B11782="","",INT(A11782))</f>
        <v/>
      </c>
      <c r="D11782">
        <f>IF(B11782="","",HOUR(A11782))</f>
        <v/>
      </c>
    </row>
    <row r="11783">
      <c r="A11783">
        <f>Input!A11783</f>
        <v/>
      </c>
      <c r="B11783">
        <f>IF(ISNUMBER(Input!B11783),IF(AND(Input!B11783&gt;=20,Input!B11783&lt;=700),Input!B11783,""),"")</f>
        <v/>
      </c>
      <c r="C11783">
        <f>IF(B11783="","",INT(A11783))</f>
        <v/>
      </c>
      <c r="D11783">
        <f>IF(B11783="","",HOUR(A11783))</f>
        <v/>
      </c>
    </row>
    <row r="11784">
      <c r="A11784">
        <f>Input!A11784</f>
        <v/>
      </c>
      <c r="B11784">
        <f>IF(ISNUMBER(Input!B11784),IF(AND(Input!B11784&gt;=20,Input!B11784&lt;=700),Input!B11784,""),"")</f>
        <v/>
      </c>
      <c r="C11784">
        <f>IF(B11784="","",INT(A11784))</f>
        <v/>
      </c>
      <c r="D11784">
        <f>IF(B11784="","",HOUR(A11784))</f>
        <v/>
      </c>
    </row>
    <row r="11785">
      <c r="A11785">
        <f>Input!A11785</f>
        <v/>
      </c>
      <c r="B11785">
        <f>IF(ISNUMBER(Input!B11785),IF(AND(Input!B11785&gt;=20,Input!B11785&lt;=700),Input!B11785,""),"")</f>
        <v/>
      </c>
      <c r="C11785">
        <f>IF(B11785="","",INT(A11785))</f>
        <v/>
      </c>
      <c r="D11785">
        <f>IF(B11785="","",HOUR(A11785))</f>
        <v/>
      </c>
    </row>
    <row r="11786">
      <c r="A11786">
        <f>Input!A11786</f>
        <v/>
      </c>
      <c r="B11786">
        <f>IF(ISNUMBER(Input!B11786),IF(AND(Input!B11786&gt;=20,Input!B11786&lt;=700),Input!B11786,""),"")</f>
        <v/>
      </c>
      <c r="C11786">
        <f>IF(B11786="","",INT(A11786))</f>
        <v/>
      </c>
      <c r="D11786">
        <f>IF(B11786="","",HOUR(A11786))</f>
        <v/>
      </c>
    </row>
    <row r="11787">
      <c r="A11787">
        <f>Input!A11787</f>
        <v/>
      </c>
      <c r="B11787">
        <f>IF(ISNUMBER(Input!B11787),IF(AND(Input!B11787&gt;=20,Input!B11787&lt;=700),Input!B11787,""),"")</f>
        <v/>
      </c>
      <c r="C11787">
        <f>IF(B11787="","",INT(A11787))</f>
        <v/>
      </c>
      <c r="D11787">
        <f>IF(B11787="","",HOUR(A11787))</f>
        <v/>
      </c>
    </row>
    <row r="11788">
      <c r="A11788">
        <f>Input!A11788</f>
        <v/>
      </c>
      <c r="B11788">
        <f>IF(ISNUMBER(Input!B11788),IF(AND(Input!B11788&gt;=20,Input!B11788&lt;=700),Input!B11788,""),"")</f>
        <v/>
      </c>
      <c r="C11788">
        <f>IF(B11788="","",INT(A11788))</f>
        <v/>
      </c>
      <c r="D11788">
        <f>IF(B11788="","",HOUR(A11788))</f>
        <v/>
      </c>
    </row>
    <row r="11789">
      <c r="A11789">
        <f>Input!A11789</f>
        <v/>
      </c>
      <c r="B11789">
        <f>IF(ISNUMBER(Input!B11789),IF(AND(Input!B11789&gt;=20,Input!B11789&lt;=700),Input!B11789,""),"")</f>
        <v/>
      </c>
      <c r="C11789">
        <f>IF(B11789="","",INT(A11789))</f>
        <v/>
      </c>
      <c r="D11789">
        <f>IF(B11789="","",HOUR(A11789))</f>
        <v/>
      </c>
    </row>
    <row r="11790">
      <c r="A11790">
        <f>Input!A11790</f>
        <v/>
      </c>
      <c r="B11790">
        <f>IF(ISNUMBER(Input!B11790),IF(AND(Input!B11790&gt;=20,Input!B11790&lt;=700),Input!B11790,""),"")</f>
        <v/>
      </c>
      <c r="C11790">
        <f>IF(B11790="","",INT(A11790))</f>
        <v/>
      </c>
      <c r="D11790">
        <f>IF(B11790="","",HOUR(A11790))</f>
        <v/>
      </c>
    </row>
    <row r="11791">
      <c r="A11791">
        <f>Input!A11791</f>
        <v/>
      </c>
      <c r="B11791">
        <f>IF(ISNUMBER(Input!B11791),IF(AND(Input!B11791&gt;=20,Input!B11791&lt;=700),Input!B11791,""),"")</f>
        <v/>
      </c>
      <c r="C11791">
        <f>IF(B11791="","",INT(A11791))</f>
        <v/>
      </c>
      <c r="D11791">
        <f>IF(B11791="","",HOUR(A11791))</f>
        <v/>
      </c>
    </row>
    <row r="11792">
      <c r="A11792">
        <f>Input!A11792</f>
        <v/>
      </c>
      <c r="B11792">
        <f>IF(ISNUMBER(Input!B11792),IF(AND(Input!B11792&gt;=20,Input!B11792&lt;=700),Input!B11792,""),"")</f>
        <v/>
      </c>
      <c r="C11792">
        <f>IF(B11792="","",INT(A11792))</f>
        <v/>
      </c>
      <c r="D11792">
        <f>IF(B11792="","",HOUR(A11792))</f>
        <v/>
      </c>
    </row>
    <row r="11793">
      <c r="A11793">
        <f>Input!A11793</f>
        <v/>
      </c>
      <c r="B11793">
        <f>IF(ISNUMBER(Input!B11793),IF(AND(Input!B11793&gt;=20,Input!B11793&lt;=700),Input!B11793,""),"")</f>
        <v/>
      </c>
      <c r="C11793">
        <f>IF(B11793="","",INT(A11793))</f>
        <v/>
      </c>
      <c r="D11793">
        <f>IF(B11793="","",HOUR(A11793))</f>
        <v/>
      </c>
    </row>
    <row r="11794">
      <c r="A11794">
        <f>Input!A11794</f>
        <v/>
      </c>
      <c r="B11794">
        <f>IF(ISNUMBER(Input!B11794),IF(AND(Input!B11794&gt;=20,Input!B11794&lt;=700),Input!B11794,""),"")</f>
        <v/>
      </c>
      <c r="C11794">
        <f>IF(B11794="","",INT(A11794))</f>
        <v/>
      </c>
      <c r="D11794">
        <f>IF(B11794="","",HOUR(A11794))</f>
        <v/>
      </c>
    </row>
    <row r="11795">
      <c r="A11795">
        <f>Input!A11795</f>
        <v/>
      </c>
      <c r="B11795">
        <f>IF(ISNUMBER(Input!B11795),IF(AND(Input!B11795&gt;=20,Input!B11795&lt;=700),Input!B11795,""),"")</f>
        <v/>
      </c>
      <c r="C11795">
        <f>IF(B11795="","",INT(A11795))</f>
        <v/>
      </c>
      <c r="D11795">
        <f>IF(B11795="","",HOUR(A11795))</f>
        <v/>
      </c>
    </row>
    <row r="11796">
      <c r="A11796">
        <f>Input!A11796</f>
        <v/>
      </c>
      <c r="B11796">
        <f>IF(ISNUMBER(Input!B11796),IF(AND(Input!B11796&gt;=20,Input!B11796&lt;=700),Input!B11796,""),"")</f>
        <v/>
      </c>
      <c r="C11796">
        <f>IF(B11796="","",INT(A11796))</f>
        <v/>
      </c>
      <c r="D11796">
        <f>IF(B11796="","",HOUR(A11796))</f>
        <v/>
      </c>
    </row>
    <row r="11797">
      <c r="A11797">
        <f>Input!A11797</f>
        <v/>
      </c>
      <c r="B11797">
        <f>IF(ISNUMBER(Input!B11797),IF(AND(Input!B11797&gt;=20,Input!B11797&lt;=700),Input!B11797,""),"")</f>
        <v/>
      </c>
      <c r="C11797">
        <f>IF(B11797="","",INT(A11797))</f>
        <v/>
      </c>
      <c r="D11797">
        <f>IF(B11797="","",HOUR(A11797))</f>
        <v/>
      </c>
    </row>
    <row r="11798">
      <c r="A11798">
        <f>Input!A11798</f>
        <v/>
      </c>
      <c r="B11798">
        <f>IF(ISNUMBER(Input!B11798),IF(AND(Input!B11798&gt;=20,Input!B11798&lt;=700),Input!B11798,""),"")</f>
        <v/>
      </c>
      <c r="C11798">
        <f>IF(B11798="","",INT(A11798))</f>
        <v/>
      </c>
      <c r="D11798">
        <f>IF(B11798="","",HOUR(A11798))</f>
        <v/>
      </c>
    </row>
    <row r="11799">
      <c r="A11799">
        <f>Input!A11799</f>
        <v/>
      </c>
      <c r="B11799">
        <f>IF(ISNUMBER(Input!B11799),IF(AND(Input!B11799&gt;=20,Input!B11799&lt;=700),Input!B11799,""),"")</f>
        <v/>
      </c>
      <c r="C11799">
        <f>IF(B11799="","",INT(A11799))</f>
        <v/>
      </c>
      <c r="D11799">
        <f>IF(B11799="","",HOUR(A11799))</f>
        <v/>
      </c>
    </row>
    <row r="11800">
      <c r="A11800">
        <f>Input!A11800</f>
        <v/>
      </c>
      <c r="B11800">
        <f>IF(ISNUMBER(Input!B11800),IF(AND(Input!B11800&gt;=20,Input!B11800&lt;=700),Input!B11800,""),"")</f>
        <v/>
      </c>
      <c r="C11800">
        <f>IF(B11800="","",INT(A11800))</f>
        <v/>
      </c>
      <c r="D11800">
        <f>IF(B11800="","",HOUR(A11800))</f>
        <v/>
      </c>
    </row>
    <row r="11801">
      <c r="A11801">
        <f>Input!A11801</f>
        <v/>
      </c>
      <c r="B11801">
        <f>IF(ISNUMBER(Input!B11801),IF(AND(Input!B11801&gt;=20,Input!B11801&lt;=700),Input!B11801,""),"")</f>
        <v/>
      </c>
      <c r="C11801">
        <f>IF(B11801="","",INT(A11801))</f>
        <v/>
      </c>
      <c r="D11801">
        <f>IF(B11801="","",HOUR(A11801))</f>
        <v/>
      </c>
    </row>
    <row r="11802">
      <c r="A11802">
        <f>Input!A11802</f>
        <v/>
      </c>
      <c r="B11802">
        <f>IF(ISNUMBER(Input!B11802),IF(AND(Input!B11802&gt;=20,Input!B11802&lt;=700),Input!B11802,""),"")</f>
        <v/>
      </c>
      <c r="C11802">
        <f>IF(B11802="","",INT(A11802))</f>
        <v/>
      </c>
      <c r="D11802">
        <f>IF(B11802="","",HOUR(A11802))</f>
        <v/>
      </c>
    </row>
    <row r="11803">
      <c r="A11803">
        <f>Input!A11803</f>
        <v/>
      </c>
      <c r="B11803">
        <f>IF(ISNUMBER(Input!B11803),IF(AND(Input!B11803&gt;=20,Input!B11803&lt;=700),Input!B11803,""),"")</f>
        <v/>
      </c>
      <c r="C11803">
        <f>IF(B11803="","",INT(A11803))</f>
        <v/>
      </c>
      <c r="D11803">
        <f>IF(B11803="","",HOUR(A11803))</f>
        <v/>
      </c>
    </row>
    <row r="11804">
      <c r="A11804">
        <f>Input!A11804</f>
        <v/>
      </c>
      <c r="B11804">
        <f>IF(ISNUMBER(Input!B11804),IF(AND(Input!B11804&gt;=20,Input!B11804&lt;=700),Input!B11804,""),"")</f>
        <v/>
      </c>
      <c r="C11804">
        <f>IF(B11804="","",INT(A11804))</f>
        <v/>
      </c>
      <c r="D11804">
        <f>IF(B11804="","",HOUR(A11804))</f>
        <v/>
      </c>
    </row>
    <row r="11805">
      <c r="A11805">
        <f>Input!A11805</f>
        <v/>
      </c>
      <c r="B11805">
        <f>IF(ISNUMBER(Input!B11805),IF(AND(Input!B11805&gt;=20,Input!B11805&lt;=700),Input!B11805,""),"")</f>
        <v/>
      </c>
      <c r="C11805">
        <f>IF(B11805="","",INT(A11805))</f>
        <v/>
      </c>
      <c r="D11805">
        <f>IF(B11805="","",HOUR(A11805))</f>
        <v/>
      </c>
    </row>
    <row r="11806">
      <c r="A11806">
        <f>Input!A11806</f>
        <v/>
      </c>
      <c r="B11806">
        <f>IF(ISNUMBER(Input!B11806),IF(AND(Input!B11806&gt;=20,Input!B11806&lt;=700),Input!B11806,""),"")</f>
        <v/>
      </c>
      <c r="C11806">
        <f>IF(B11806="","",INT(A11806))</f>
        <v/>
      </c>
      <c r="D11806">
        <f>IF(B11806="","",HOUR(A11806))</f>
        <v/>
      </c>
    </row>
    <row r="11807">
      <c r="A11807">
        <f>Input!A11807</f>
        <v/>
      </c>
      <c r="B11807">
        <f>IF(ISNUMBER(Input!B11807),IF(AND(Input!B11807&gt;=20,Input!B11807&lt;=700),Input!B11807,""),"")</f>
        <v/>
      </c>
      <c r="C11807">
        <f>IF(B11807="","",INT(A11807))</f>
        <v/>
      </c>
      <c r="D11807">
        <f>IF(B11807="","",HOUR(A11807))</f>
        <v/>
      </c>
    </row>
    <row r="11808">
      <c r="A11808">
        <f>Input!A11808</f>
        <v/>
      </c>
      <c r="B11808">
        <f>IF(ISNUMBER(Input!B11808),IF(AND(Input!B11808&gt;=20,Input!B11808&lt;=700),Input!B11808,""),"")</f>
        <v/>
      </c>
      <c r="C11808">
        <f>IF(B11808="","",INT(A11808))</f>
        <v/>
      </c>
      <c r="D11808">
        <f>IF(B11808="","",HOUR(A11808))</f>
        <v/>
      </c>
    </row>
    <row r="11809">
      <c r="A11809">
        <f>Input!A11809</f>
        <v/>
      </c>
      <c r="B11809">
        <f>IF(ISNUMBER(Input!B11809),IF(AND(Input!B11809&gt;=20,Input!B11809&lt;=700),Input!B11809,""),"")</f>
        <v/>
      </c>
      <c r="C11809">
        <f>IF(B11809="","",INT(A11809))</f>
        <v/>
      </c>
      <c r="D11809">
        <f>IF(B11809="","",HOUR(A11809))</f>
        <v/>
      </c>
    </row>
    <row r="11810">
      <c r="A11810">
        <f>Input!A11810</f>
        <v/>
      </c>
      <c r="B11810">
        <f>IF(ISNUMBER(Input!B11810),IF(AND(Input!B11810&gt;=20,Input!B11810&lt;=700),Input!B11810,""),"")</f>
        <v/>
      </c>
      <c r="C11810">
        <f>IF(B11810="","",INT(A11810))</f>
        <v/>
      </c>
      <c r="D11810">
        <f>IF(B11810="","",HOUR(A11810))</f>
        <v/>
      </c>
    </row>
    <row r="11811">
      <c r="A11811">
        <f>Input!A11811</f>
        <v/>
      </c>
      <c r="B11811">
        <f>IF(ISNUMBER(Input!B11811),IF(AND(Input!B11811&gt;=20,Input!B11811&lt;=700),Input!B11811,""),"")</f>
        <v/>
      </c>
      <c r="C11811">
        <f>IF(B11811="","",INT(A11811))</f>
        <v/>
      </c>
      <c r="D11811">
        <f>IF(B11811="","",HOUR(A11811))</f>
        <v/>
      </c>
    </row>
    <row r="11812">
      <c r="A11812">
        <f>Input!A11812</f>
        <v/>
      </c>
      <c r="B11812">
        <f>IF(ISNUMBER(Input!B11812),IF(AND(Input!B11812&gt;=20,Input!B11812&lt;=700),Input!B11812,""),"")</f>
        <v/>
      </c>
      <c r="C11812">
        <f>IF(B11812="","",INT(A11812))</f>
        <v/>
      </c>
      <c r="D11812">
        <f>IF(B11812="","",HOUR(A11812))</f>
        <v/>
      </c>
    </row>
    <row r="11813">
      <c r="A11813">
        <f>Input!A11813</f>
        <v/>
      </c>
      <c r="B11813">
        <f>IF(ISNUMBER(Input!B11813),IF(AND(Input!B11813&gt;=20,Input!B11813&lt;=700),Input!B11813,""),"")</f>
        <v/>
      </c>
      <c r="C11813">
        <f>IF(B11813="","",INT(A11813))</f>
        <v/>
      </c>
      <c r="D11813">
        <f>IF(B11813="","",HOUR(A11813))</f>
        <v/>
      </c>
    </row>
    <row r="11814">
      <c r="A11814">
        <f>Input!A11814</f>
        <v/>
      </c>
      <c r="B11814">
        <f>IF(ISNUMBER(Input!B11814),IF(AND(Input!B11814&gt;=20,Input!B11814&lt;=700),Input!B11814,""),"")</f>
        <v/>
      </c>
      <c r="C11814">
        <f>IF(B11814="","",INT(A11814))</f>
        <v/>
      </c>
      <c r="D11814">
        <f>IF(B11814="","",HOUR(A11814))</f>
        <v/>
      </c>
    </row>
    <row r="11815">
      <c r="A11815">
        <f>Input!A11815</f>
        <v/>
      </c>
      <c r="B11815">
        <f>IF(ISNUMBER(Input!B11815),IF(AND(Input!B11815&gt;=20,Input!B11815&lt;=700),Input!B11815,""),"")</f>
        <v/>
      </c>
      <c r="C11815">
        <f>IF(B11815="","",INT(A11815))</f>
        <v/>
      </c>
      <c r="D11815">
        <f>IF(B11815="","",HOUR(A11815))</f>
        <v/>
      </c>
    </row>
    <row r="11816">
      <c r="A11816">
        <f>Input!A11816</f>
        <v/>
      </c>
      <c r="B11816">
        <f>IF(ISNUMBER(Input!B11816),IF(AND(Input!B11816&gt;=20,Input!B11816&lt;=700),Input!B11816,""),"")</f>
        <v/>
      </c>
      <c r="C11816">
        <f>IF(B11816="","",INT(A11816))</f>
        <v/>
      </c>
      <c r="D11816">
        <f>IF(B11816="","",HOUR(A11816))</f>
        <v/>
      </c>
    </row>
    <row r="11817">
      <c r="A11817">
        <f>Input!A11817</f>
        <v/>
      </c>
      <c r="B11817">
        <f>IF(ISNUMBER(Input!B11817),IF(AND(Input!B11817&gt;=20,Input!B11817&lt;=700),Input!B11817,""),"")</f>
        <v/>
      </c>
      <c r="C11817">
        <f>IF(B11817="","",INT(A11817))</f>
        <v/>
      </c>
      <c r="D11817">
        <f>IF(B11817="","",HOUR(A11817))</f>
        <v/>
      </c>
    </row>
    <row r="11818">
      <c r="A11818">
        <f>Input!A11818</f>
        <v/>
      </c>
      <c r="B11818">
        <f>IF(ISNUMBER(Input!B11818),IF(AND(Input!B11818&gt;=20,Input!B11818&lt;=700),Input!B11818,""),"")</f>
        <v/>
      </c>
      <c r="C11818">
        <f>IF(B11818="","",INT(A11818))</f>
        <v/>
      </c>
      <c r="D11818">
        <f>IF(B11818="","",HOUR(A11818))</f>
        <v/>
      </c>
    </row>
    <row r="11819">
      <c r="A11819">
        <f>Input!A11819</f>
        <v/>
      </c>
      <c r="B11819">
        <f>IF(ISNUMBER(Input!B11819),IF(AND(Input!B11819&gt;=20,Input!B11819&lt;=700),Input!B11819,""),"")</f>
        <v/>
      </c>
      <c r="C11819">
        <f>IF(B11819="","",INT(A11819))</f>
        <v/>
      </c>
      <c r="D11819">
        <f>IF(B11819="","",HOUR(A11819))</f>
        <v/>
      </c>
    </row>
    <row r="11820">
      <c r="A11820">
        <f>Input!A11820</f>
        <v/>
      </c>
      <c r="B11820">
        <f>IF(ISNUMBER(Input!B11820),IF(AND(Input!B11820&gt;=20,Input!B11820&lt;=700),Input!B11820,""),"")</f>
        <v/>
      </c>
      <c r="C11820">
        <f>IF(B11820="","",INT(A11820))</f>
        <v/>
      </c>
      <c r="D11820">
        <f>IF(B11820="","",HOUR(A11820))</f>
        <v/>
      </c>
    </row>
    <row r="11821">
      <c r="A11821">
        <f>Input!A11821</f>
        <v/>
      </c>
      <c r="B11821">
        <f>IF(ISNUMBER(Input!B11821),IF(AND(Input!B11821&gt;=20,Input!B11821&lt;=700),Input!B11821,""),"")</f>
        <v/>
      </c>
      <c r="C11821">
        <f>IF(B11821="","",INT(A11821))</f>
        <v/>
      </c>
      <c r="D11821">
        <f>IF(B11821="","",HOUR(A11821))</f>
        <v/>
      </c>
    </row>
    <row r="11822">
      <c r="A11822">
        <f>Input!A11822</f>
        <v/>
      </c>
      <c r="B11822">
        <f>IF(ISNUMBER(Input!B11822),IF(AND(Input!B11822&gt;=20,Input!B11822&lt;=700),Input!B11822,""),"")</f>
        <v/>
      </c>
      <c r="C11822">
        <f>IF(B11822="","",INT(A11822))</f>
        <v/>
      </c>
      <c r="D11822">
        <f>IF(B11822="","",HOUR(A11822))</f>
        <v/>
      </c>
    </row>
    <row r="11823">
      <c r="A11823">
        <f>Input!A11823</f>
        <v/>
      </c>
      <c r="B11823">
        <f>IF(ISNUMBER(Input!B11823),IF(AND(Input!B11823&gt;=20,Input!B11823&lt;=700),Input!B11823,""),"")</f>
        <v/>
      </c>
      <c r="C11823">
        <f>IF(B11823="","",INT(A11823))</f>
        <v/>
      </c>
      <c r="D11823">
        <f>IF(B11823="","",HOUR(A11823))</f>
        <v/>
      </c>
    </row>
    <row r="11824">
      <c r="A11824">
        <f>Input!A11824</f>
        <v/>
      </c>
      <c r="B11824">
        <f>IF(ISNUMBER(Input!B11824),IF(AND(Input!B11824&gt;=20,Input!B11824&lt;=700),Input!B11824,""),"")</f>
        <v/>
      </c>
      <c r="C11824">
        <f>IF(B11824="","",INT(A11824))</f>
        <v/>
      </c>
      <c r="D11824">
        <f>IF(B11824="","",HOUR(A11824))</f>
        <v/>
      </c>
    </row>
    <row r="11825">
      <c r="A11825">
        <f>Input!A11825</f>
        <v/>
      </c>
      <c r="B11825">
        <f>IF(ISNUMBER(Input!B11825),IF(AND(Input!B11825&gt;=20,Input!B11825&lt;=700),Input!B11825,""),"")</f>
        <v/>
      </c>
      <c r="C11825">
        <f>IF(B11825="","",INT(A11825))</f>
        <v/>
      </c>
      <c r="D11825">
        <f>IF(B11825="","",HOUR(A11825))</f>
        <v/>
      </c>
    </row>
    <row r="11826">
      <c r="A11826">
        <f>Input!A11826</f>
        <v/>
      </c>
      <c r="B11826">
        <f>IF(ISNUMBER(Input!B11826),IF(AND(Input!B11826&gt;=20,Input!B11826&lt;=700),Input!B11826,""),"")</f>
        <v/>
      </c>
      <c r="C11826">
        <f>IF(B11826="","",INT(A11826))</f>
        <v/>
      </c>
      <c r="D11826">
        <f>IF(B11826="","",HOUR(A11826))</f>
        <v/>
      </c>
    </row>
    <row r="11827">
      <c r="A11827">
        <f>Input!A11827</f>
        <v/>
      </c>
      <c r="B11827">
        <f>IF(ISNUMBER(Input!B11827),IF(AND(Input!B11827&gt;=20,Input!B11827&lt;=700),Input!B11827,""),"")</f>
        <v/>
      </c>
      <c r="C11827">
        <f>IF(B11827="","",INT(A11827))</f>
        <v/>
      </c>
      <c r="D11827">
        <f>IF(B11827="","",HOUR(A11827))</f>
        <v/>
      </c>
    </row>
    <row r="11828">
      <c r="A11828">
        <f>Input!A11828</f>
        <v/>
      </c>
      <c r="B11828">
        <f>IF(ISNUMBER(Input!B11828),IF(AND(Input!B11828&gt;=20,Input!B11828&lt;=700),Input!B11828,""),"")</f>
        <v/>
      </c>
      <c r="C11828">
        <f>IF(B11828="","",INT(A11828))</f>
        <v/>
      </c>
      <c r="D11828">
        <f>IF(B11828="","",HOUR(A11828))</f>
        <v/>
      </c>
    </row>
    <row r="11829">
      <c r="A11829">
        <f>Input!A11829</f>
        <v/>
      </c>
      <c r="B11829">
        <f>IF(ISNUMBER(Input!B11829),IF(AND(Input!B11829&gt;=20,Input!B11829&lt;=700),Input!B11829,""),"")</f>
        <v/>
      </c>
      <c r="C11829">
        <f>IF(B11829="","",INT(A11829))</f>
        <v/>
      </c>
      <c r="D11829">
        <f>IF(B11829="","",HOUR(A11829))</f>
        <v/>
      </c>
    </row>
    <row r="11830">
      <c r="A11830">
        <f>Input!A11830</f>
        <v/>
      </c>
      <c r="B11830">
        <f>IF(ISNUMBER(Input!B11830),IF(AND(Input!B11830&gt;=20,Input!B11830&lt;=700),Input!B11830,""),"")</f>
        <v/>
      </c>
      <c r="C11830">
        <f>IF(B11830="","",INT(A11830))</f>
        <v/>
      </c>
      <c r="D11830">
        <f>IF(B11830="","",HOUR(A11830))</f>
        <v/>
      </c>
    </row>
    <row r="11831">
      <c r="A11831">
        <f>Input!A11831</f>
        <v/>
      </c>
      <c r="B11831">
        <f>IF(ISNUMBER(Input!B11831),IF(AND(Input!B11831&gt;=20,Input!B11831&lt;=700),Input!B11831,""),"")</f>
        <v/>
      </c>
      <c r="C11831">
        <f>IF(B11831="","",INT(A11831))</f>
        <v/>
      </c>
      <c r="D11831">
        <f>IF(B11831="","",HOUR(A11831))</f>
        <v/>
      </c>
    </row>
    <row r="11832">
      <c r="A11832">
        <f>Input!A11832</f>
        <v/>
      </c>
      <c r="B11832">
        <f>IF(ISNUMBER(Input!B11832),IF(AND(Input!B11832&gt;=20,Input!B11832&lt;=700),Input!B11832,""),"")</f>
        <v/>
      </c>
      <c r="C11832">
        <f>IF(B11832="","",INT(A11832))</f>
        <v/>
      </c>
      <c r="D11832">
        <f>IF(B11832="","",HOUR(A11832))</f>
        <v/>
      </c>
    </row>
    <row r="11833">
      <c r="A11833">
        <f>Input!A11833</f>
        <v/>
      </c>
      <c r="B11833">
        <f>IF(ISNUMBER(Input!B11833),IF(AND(Input!B11833&gt;=20,Input!B11833&lt;=700),Input!B11833,""),"")</f>
        <v/>
      </c>
      <c r="C11833">
        <f>IF(B11833="","",INT(A11833))</f>
        <v/>
      </c>
      <c r="D11833">
        <f>IF(B11833="","",HOUR(A11833))</f>
        <v/>
      </c>
    </row>
    <row r="11834">
      <c r="A11834">
        <f>Input!A11834</f>
        <v/>
      </c>
      <c r="B11834">
        <f>IF(ISNUMBER(Input!B11834),IF(AND(Input!B11834&gt;=20,Input!B11834&lt;=700),Input!B11834,""),"")</f>
        <v/>
      </c>
      <c r="C11834">
        <f>IF(B11834="","",INT(A11834))</f>
        <v/>
      </c>
      <c r="D11834">
        <f>IF(B11834="","",HOUR(A11834))</f>
        <v/>
      </c>
    </row>
    <row r="11835">
      <c r="A11835">
        <f>Input!A11835</f>
        <v/>
      </c>
      <c r="B11835">
        <f>IF(ISNUMBER(Input!B11835),IF(AND(Input!B11835&gt;=20,Input!B11835&lt;=700),Input!B11835,""),"")</f>
        <v/>
      </c>
      <c r="C11835">
        <f>IF(B11835="","",INT(A11835))</f>
        <v/>
      </c>
      <c r="D11835">
        <f>IF(B11835="","",HOUR(A11835))</f>
        <v/>
      </c>
    </row>
    <row r="11836">
      <c r="A11836">
        <f>Input!A11836</f>
        <v/>
      </c>
      <c r="B11836">
        <f>IF(ISNUMBER(Input!B11836),IF(AND(Input!B11836&gt;=20,Input!B11836&lt;=700),Input!B11836,""),"")</f>
        <v/>
      </c>
      <c r="C11836">
        <f>IF(B11836="","",INT(A11836))</f>
        <v/>
      </c>
      <c r="D11836">
        <f>IF(B11836="","",HOUR(A11836))</f>
        <v/>
      </c>
    </row>
    <row r="11837">
      <c r="A11837">
        <f>Input!A11837</f>
        <v/>
      </c>
      <c r="B11837">
        <f>IF(ISNUMBER(Input!B11837),IF(AND(Input!B11837&gt;=20,Input!B11837&lt;=700),Input!B11837,""),"")</f>
        <v/>
      </c>
      <c r="C11837">
        <f>IF(B11837="","",INT(A11837))</f>
        <v/>
      </c>
      <c r="D11837">
        <f>IF(B11837="","",HOUR(A11837))</f>
        <v/>
      </c>
    </row>
    <row r="11838">
      <c r="A11838">
        <f>Input!A11838</f>
        <v/>
      </c>
      <c r="B11838">
        <f>IF(ISNUMBER(Input!B11838),IF(AND(Input!B11838&gt;=20,Input!B11838&lt;=700),Input!B11838,""),"")</f>
        <v/>
      </c>
      <c r="C11838">
        <f>IF(B11838="","",INT(A11838))</f>
        <v/>
      </c>
      <c r="D11838">
        <f>IF(B11838="","",HOUR(A11838))</f>
        <v/>
      </c>
    </row>
    <row r="11839">
      <c r="A11839">
        <f>Input!A11839</f>
        <v/>
      </c>
      <c r="B11839">
        <f>IF(ISNUMBER(Input!B11839),IF(AND(Input!B11839&gt;=20,Input!B11839&lt;=700),Input!B11839,""),"")</f>
        <v/>
      </c>
      <c r="C11839">
        <f>IF(B11839="","",INT(A11839))</f>
        <v/>
      </c>
      <c r="D11839">
        <f>IF(B11839="","",HOUR(A11839))</f>
        <v/>
      </c>
    </row>
    <row r="11840">
      <c r="A11840">
        <f>Input!A11840</f>
        <v/>
      </c>
      <c r="B11840">
        <f>IF(ISNUMBER(Input!B11840),IF(AND(Input!B11840&gt;=20,Input!B11840&lt;=700),Input!B11840,""),"")</f>
        <v/>
      </c>
      <c r="C11840">
        <f>IF(B11840="","",INT(A11840))</f>
        <v/>
      </c>
      <c r="D11840">
        <f>IF(B11840="","",HOUR(A11840))</f>
        <v/>
      </c>
    </row>
    <row r="11841">
      <c r="A11841">
        <f>Input!A11841</f>
        <v/>
      </c>
      <c r="B11841">
        <f>IF(ISNUMBER(Input!B11841),IF(AND(Input!B11841&gt;=20,Input!B11841&lt;=700),Input!B11841,""),"")</f>
        <v/>
      </c>
      <c r="C11841">
        <f>IF(B11841="","",INT(A11841))</f>
        <v/>
      </c>
      <c r="D11841">
        <f>IF(B11841="","",HOUR(A11841))</f>
        <v/>
      </c>
    </row>
    <row r="11842">
      <c r="A11842">
        <f>Input!A11842</f>
        <v/>
      </c>
      <c r="B11842">
        <f>IF(ISNUMBER(Input!B11842),IF(AND(Input!B11842&gt;=20,Input!B11842&lt;=700),Input!B11842,""),"")</f>
        <v/>
      </c>
      <c r="C11842">
        <f>IF(B11842="","",INT(A11842))</f>
        <v/>
      </c>
      <c r="D11842">
        <f>IF(B11842="","",HOUR(A11842))</f>
        <v/>
      </c>
    </row>
    <row r="11843">
      <c r="A11843">
        <f>Input!A11843</f>
        <v/>
      </c>
      <c r="B11843">
        <f>IF(ISNUMBER(Input!B11843),IF(AND(Input!B11843&gt;=20,Input!B11843&lt;=700),Input!B11843,""),"")</f>
        <v/>
      </c>
      <c r="C11843">
        <f>IF(B11843="","",INT(A11843))</f>
        <v/>
      </c>
      <c r="D11843">
        <f>IF(B11843="","",HOUR(A11843))</f>
        <v/>
      </c>
    </row>
    <row r="11844">
      <c r="A11844">
        <f>Input!A11844</f>
        <v/>
      </c>
      <c r="B11844">
        <f>IF(ISNUMBER(Input!B11844),IF(AND(Input!B11844&gt;=20,Input!B11844&lt;=700),Input!B11844,""),"")</f>
        <v/>
      </c>
      <c r="C11844">
        <f>IF(B11844="","",INT(A11844))</f>
        <v/>
      </c>
      <c r="D11844">
        <f>IF(B11844="","",HOUR(A11844))</f>
        <v/>
      </c>
    </row>
    <row r="11845">
      <c r="A11845">
        <f>Input!A11845</f>
        <v/>
      </c>
      <c r="B11845">
        <f>IF(ISNUMBER(Input!B11845),IF(AND(Input!B11845&gt;=20,Input!B11845&lt;=700),Input!B11845,""),"")</f>
        <v/>
      </c>
      <c r="C11845">
        <f>IF(B11845="","",INT(A11845))</f>
        <v/>
      </c>
      <c r="D11845">
        <f>IF(B11845="","",HOUR(A11845))</f>
        <v/>
      </c>
    </row>
    <row r="11846">
      <c r="A11846">
        <f>Input!A11846</f>
        <v/>
      </c>
      <c r="B11846">
        <f>IF(ISNUMBER(Input!B11846),IF(AND(Input!B11846&gt;=20,Input!B11846&lt;=700),Input!B11846,""),"")</f>
        <v/>
      </c>
      <c r="C11846">
        <f>IF(B11846="","",INT(A11846))</f>
        <v/>
      </c>
      <c r="D11846">
        <f>IF(B11846="","",HOUR(A11846))</f>
        <v/>
      </c>
    </row>
    <row r="11847">
      <c r="A11847">
        <f>Input!A11847</f>
        <v/>
      </c>
      <c r="B11847">
        <f>IF(ISNUMBER(Input!B11847),IF(AND(Input!B11847&gt;=20,Input!B11847&lt;=700),Input!B11847,""),"")</f>
        <v/>
      </c>
      <c r="C11847">
        <f>IF(B11847="","",INT(A11847))</f>
        <v/>
      </c>
      <c r="D11847">
        <f>IF(B11847="","",HOUR(A11847))</f>
        <v/>
      </c>
    </row>
    <row r="11848">
      <c r="A11848">
        <f>Input!A11848</f>
        <v/>
      </c>
      <c r="B11848">
        <f>IF(ISNUMBER(Input!B11848),IF(AND(Input!B11848&gt;=20,Input!B11848&lt;=700),Input!B11848,""),"")</f>
        <v/>
      </c>
      <c r="C11848">
        <f>IF(B11848="","",INT(A11848))</f>
        <v/>
      </c>
      <c r="D11848">
        <f>IF(B11848="","",HOUR(A11848))</f>
        <v/>
      </c>
    </row>
    <row r="11849">
      <c r="A11849">
        <f>Input!A11849</f>
        <v/>
      </c>
      <c r="B11849">
        <f>IF(ISNUMBER(Input!B11849),IF(AND(Input!B11849&gt;=20,Input!B11849&lt;=700),Input!B11849,""),"")</f>
        <v/>
      </c>
      <c r="C11849">
        <f>IF(B11849="","",INT(A11849))</f>
        <v/>
      </c>
      <c r="D11849">
        <f>IF(B11849="","",HOUR(A11849))</f>
        <v/>
      </c>
    </row>
    <row r="11850">
      <c r="A11850">
        <f>Input!A11850</f>
        <v/>
      </c>
      <c r="B11850">
        <f>IF(ISNUMBER(Input!B11850),IF(AND(Input!B11850&gt;=20,Input!B11850&lt;=700),Input!B11850,""),"")</f>
        <v/>
      </c>
      <c r="C11850">
        <f>IF(B11850="","",INT(A11850))</f>
        <v/>
      </c>
      <c r="D11850">
        <f>IF(B11850="","",HOUR(A11850))</f>
        <v/>
      </c>
    </row>
    <row r="11851">
      <c r="A11851">
        <f>Input!A11851</f>
        <v/>
      </c>
      <c r="B11851">
        <f>IF(ISNUMBER(Input!B11851),IF(AND(Input!B11851&gt;=20,Input!B11851&lt;=700),Input!B11851,""),"")</f>
        <v/>
      </c>
      <c r="C11851">
        <f>IF(B11851="","",INT(A11851))</f>
        <v/>
      </c>
      <c r="D11851">
        <f>IF(B11851="","",HOUR(A11851))</f>
        <v/>
      </c>
    </row>
    <row r="11852">
      <c r="A11852">
        <f>Input!A11852</f>
        <v/>
      </c>
      <c r="B11852">
        <f>IF(ISNUMBER(Input!B11852),IF(AND(Input!B11852&gt;=20,Input!B11852&lt;=700),Input!B11852,""),"")</f>
        <v/>
      </c>
      <c r="C11852">
        <f>IF(B11852="","",INT(A11852))</f>
        <v/>
      </c>
      <c r="D11852">
        <f>IF(B11852="","",HOUR(A11852))</f>
        <v/>
      </c>
    </row>
    <row r="11853">
      <c r="A11853">
        <f>Input!A11853</f>
        <v/>
      </c>
      <c r="B11853">
        <f>IF(ISNUMBER(Input!B11853),IF(AND(Input!B11853&gt;=20,Input!B11853&lt;=700),Input!B11853,""),"")</f>
        <v/>
      </c>
      <c r="C11853">
        <f>IF(B11853="","",INT(A11853))</f>
        <v/>
      </c>
      <c r="D11853">
        <f>IF(B11853="","",HOUR(A11853))</f>
        <v/>
      </c>
    </row>
    <row r="11854">
      <c r="A11854">
        <f>Input!A11854</f>
        <v/>
      </c>
      <c r="B11854">
        <f>IF(ISNUMBER(Input!B11854),IF(AND(Input!B11854&gt;=20,Input!B11854&lt;=700),Input!B11854,""),"")</f>
        <v/>
      </c>
      <c r="C11854">
        <f>IF(B11854="","",INT(A11854))</f>
        <v/>
      </c>
      <c r="D11854">
        <f>IF(B11854="","",HOUR(A11854))</f>
        <v/>
      </c>
    </row>
    <row r="11855">
      <c r="A11855">
        <f>Input!A11855</f>
        <v/>
      </c>
      <c r="B11855">
        <f>IF(ISNUMBER(Input!B11855),IF(AND(Input!B11855&gt;=20,Input!B11855&lt;=700),Input!B11855,""),"")</f>
        <v/>
      </c>
      <c r="C11855">
        <f>IF(B11855="","",INT(A11855))</f>
        <v/>
      </c>
      <c r="D11855">
        <f>IF(B11855="","",HOUR(A11855))</f>
        <v/>
      </c>
    </row>
    <row r="11856">
      <c r="A11856">
        <f>Input!A11856</f>
        <v/>
      </c>
      <c r="B11856">
        <f>IF(ISNUMBER(Input!B11856),IF(AND(Input!B11856&gt;=20,Input!B11856&lt;=700),Input!B11856,""),"")</f>
        <v/>
      </c>
      <c r="C11856">
        <f>IF(B11856="","",INT(A11856))</f>
        <v/>
      </c>
      <c r="D11856">
        <f>IF(B11856="","",HOUR(A11856))</f>
        <v/>
      </c>
    </row>
    <row r="11857">
      <c r="A11857">
        <f>Input!A11857</f>
        <v/>
      </c>
      <c r="B11857">
        <f>IF(ISNUMBER(Input!B11857),IF(AND(Input!B11857&gt;=20,Input!B11857&lt;=700),Input!B11857,""),"")</f>
        <v/>
      </c>
      <c r="C11857">
        <f>IF(B11857="","",INT(A11857))</f>
        <v/>
      </c>
      <c r="D11857">
        <f>IF(B11857="","",HOUR(A11857))</f>
        <v/>
      </c>
    </row>
    <row r="11858">
      <c r="A11858">
        <f>Input!A11858</f>
        <v/>
      </c>
      <c r="B11858">
        <f>IF(ISNUMBER(Input!B11858),IF(AND(Input!B11858&gt;=20,Input!B11858&lt;=700),Input!B11858,""),"")</f>
        <v/>
      </c>
      <c r="C11858">
        <f>IF(B11858="","",INT(A11858))</f>
        <v/>
      </c>
      <c r="D11858">
        <f>IF(B11858="","",HOUR(A11858))</f>
        <v/>
      </c>
    </row>
    <row r="11859">
      <c r="A11859">
        <f>Input!A11859</f>
        <v/>
      </c>
      <c r="B11859">
        <f>IF(ISNUMBER(Input!B11859),IF(AND(Input!B11859&gt;=20,Input!B11859&lt;=700),Input!B11859,""),"")</f>
        <v/>
      </c>
      <c r="C11859">
        <f>IF(B11859="","",INT(A11859))</f>
        <v/>
      </c>
      <c r="D11859">
        <f>IF(B11859="","",HOUR(A11859))</f>
        <v/>
      </c>
    </row>
    <row r="11860">
      <c r="A11860">
        <f>Input!A11860</f>
        <v/>
      </c>
      <c r="B11860">
        <f>IF(ISNUMBER(Input!B11860),IF(AND(Input!B11860&gt;=20,Input!B11860&lt;=700),Input!B11860,""),"")</f>
        <v/>
      </c>
      <c r="C11860">
        <f>IF(B11860="","",INT(A11860))</f>
        <v/>
      </c>
      <c r="D11860">
        <f>IF(B11860="","",HOUR(A11860))</f>
        <v/>
      </c>
    </row>
    <row r="11861">
      <c r="A11861">
        <f>Input!A11861</f>
        <v/>
      </c>
      <c r="B11861">
        <f>IF(ISNUMBER(Input!B11861),IF(AND(Input!B11861&gt;=20,Input!B11861&lt;=700),Input!B11861,""),"")</f>
        <v/>
      </c>
      <c r="C11861">
        <f>IF(B11861="","",INT(A11861))</f>
        <v/>
      </c>
      <c r="D11861">
        <f>IF(B11861="","",HOUR(A11861))</f>
        <v/>
      </c>
    </row>
    <row r="11862">
      <c r="A11862">
        <f>Input!A11862</f>
        <v/>
      </c>
      <c r="B11862">
        <f>IF(ISNUMBER(Input!B11862),IF(AND(Input!B11862&gt;=20,Input!B11862&lt;=700),Input!B11862,""),"")</f>
        <v/>
      </c>
      <c r="C11862">
        <f>IF(B11862="","",INT(A11862))</f>
        <v/>
      </c>
      <c r="D11862">
        <f>IF(B11862="","",HOUR(A11862))</f>
        <v/>
      </c>
    </row>
    <row r="11863">
      <c r="A11863">
        <f>Input!A11863</f>
        <v/>
      </c>
      <c r="B11863">
        <f>IF(ISNUMBER(Input!B11863),IF(AND(Input!B11863&gt;=20,Input!B11863&lt;=700),Input!B11863,""),"")</f>
        <v/>
      </c>
      <c r="C11863">
        <f>IF(B11863="","",INT(A11863))</f>
        <v/>
      </c>
      <c r="D11863">
        <f>IF(B11863="","",HOUR(A11863))</f>
        <v/>
      </c>
    </row>
    <row r="11864">
      <c r="A11864">
        <f>Input!A11864</f>
        <v/>
      </c>
      <c r="B11864">
        <f>IF(ISNUMBER(Input!B11864),IF(AND(Input!B11864&gt;=20,Input!B11864&lt;=700),Input!B11864,""),"")</f>
        <v/>
      </c>
      <c r="C11864">
        <f>IF(B11864="","",INT(A11864))</f>
        <v/>
      </c>
      <c r="D11864">
        <f>IF(B11864="","",HOUR(A11864))</f>
        <v/>
      </c>
    </row>
    <row r="11865">
      <c r="A11865">
        <f>Input!A11865</f>
        <v/>
      </c>
      <c r="B11865">
        <f>IF(ISNUMBER(Input!B11865),IF(AND(Input!B11865&gt;=20,Input!B11865&lt;=700),Input!B11865,""),"")</f>
        <v/>
      </c>
      <c r="C11865">
        <f>IF(B11865="","",INT(A11865))</f>
        <v/>
      </c>
      <c r="D11865">
        <f>IF(B11865="","",HOUR(A11865))</f>
        <v/>
      </c>
    </row>
    <row r="11866">
      <c r="A11866">
        <f>Input!A11866</f>
        <v/>
      </c>
      <c r="B11866">
        <f>IF(ISNUMBER(Input!B11866),IF(AND(Input!B11866&gt;=20,Input!B11866&lt;=700),Input!B11866,""),"")</f>
        <v/>
      </c>
      <c r="C11866">
        <f>IF(B11866="","",INT(A11866))</f>
        <v/>
      </c>
      <c r="D11866">
        <f>IF(B11866="","",HOUR(A11866))</f>
        <v/>
      </c>
    </row>
    <row r="11867">
      <c r="A11867">
        <f>Input!A11867</f>
        <v/>
      </c>
      <c r="B11867">
        <f>IF(ISNUMBER(Input!B11867),IF(AND(Input!B11867&gt;=20,Input!B11867&lt;=700),Input!B11867,""),"")</f>
        <v/>
      </c>
      <c r="C11867">
        <f>IF(B11867="","",INT(A11867))</f>
        <v/>
      </c>
      <c r="D11867">
        <f>IF(B11867="","",HOUR(A11867))</f>
        <v/>
      </c>
    </row>
    <row r="11868">
      <c r="A11868">
        <f>Input!A11868</f>
        <v/>
      </c>
      <c r="B11868">
        <f>IF(ISNUMBER(Input!B11868),IF(AND(Input!B11868&gt;=20,Input!B11868&lt;=700),Input!B11868,""),"")</f>
        <v/>
      </c>
      <c r="C11868">
        <f>IF(B11868="","",INT(A11868))</f>
        <v/>
      </c>
      <c r="D11868">
        <f>IF(B11868="","",HOUR(A11868))</f>
        <v/>
      </c>
    </row>
    <row r="11869">
      <c r="A11869">
        <f>Input!A11869</f>
        <v/>
      </c>
      <c r="B11869">
        <f>IF(ISNUMBER(Input!B11869),IF(AND(Input!B11869&gt;=20,Input!B11869&lt;=700),Input!B11869,""),"")</f>
        <v/>
      </c>
      <c r="C11869">
        <f>IF(B11869="","",INT(A11869))</f>
        <v/>
      </c>
      <c r="D11869">
        <f>IF(B11869="","",HOUR(A11869))</f>
        <v/>
      </c>
    </row>
    <row r="11870">
      <c r="A11870">
        <f>Input!A11870</f>
        <v/>
      </c>
      <c r="B11870">
        <f>IF(ISNUMBER(Input!B11870),IF(AND(Input!B11870&gt;=20,Input!B11870&lt;=700),Input!B11870,""),"")</f>
        <v/>
      </c>
      <c r="C11870">
        <f>IF(B11870="","",INT(A11870))</f>
        <v/>
      </c>
      <c r="D11870">
        <f>IF(B11870="","",HOUR(A11870))</f>
        <v/>
      </c>
    </row>
    <row r="11871">
      <c r="A11871">
        <f>Input!A11871</f>
        <v/>
      </c>
      <c r="B11871">
        <f>IF(ISNUMBER(Input!B11871),IF(AND(Input!B11871&gt;=20,Input!B11871&lt;=700),Input!B11871,""),"")</f>
        <v/>
      </c>
      <c r="C11871">
        <f>IF(B11871="","",INT(A11871))</f>
        <v/>
      </c>
      <c r="D11871">
        <f>IF(B11871="","",HOUR(A11871))</f>
        <v/>
      </c>
    </row>
    <row r="11872">
      <c r="A11872">
        <f>Input!A11872</f>
        <v/>
      </c>
      <c r="B11872">
        <f>IF(ISNUMBER(Input!B11872),IF(AND(Input!B11872&gt;=20,Input!B11872&lt;=700),Input!B11872,""),"")</f>
        <v/>
      </c>
      <c r="C11872">
        <f>IF(B11872="","",INT(A11872))</f>
        <v/>
      </c>
      <c r="D11872">
        <f>IF(B11872="","",HOUR(A11872))</f>
        <v/>
      </c>
    </row>
    <row r="11873">
      <c r="A11873">
        <f>Input!A11873</f>
        <v/>
      </c>
      <c r="B11873">
        <f>IF(ISNUMBER(Input!B11873),IF(AND(Input!B11873&gt;=20,Input!B11873&lt;=700),Input!B11873,""),"")</f>
        <v/>
      </c>
      <c r="C11873">
        <f>IF(B11873="","",INT(A11873))</f>
        <v/>
      </c>
      <c r="D11873">
        <f>IF(B11873="","",HOUR(A11873))</f>
        <v/>
      </c>
    </row>
    <row r="11874">
      <c r="A11874">
        <f>Input!A11874</f>
        <v/>
      </c>
      <c r="B11874">
        <f>IF(ISNUMBER(Input!B11874),IF(AND(Input!B11874&gt;=20,Input!B11874&lt;=700),Input!B11874,""),"")</f>
        <v/>
      </c>
      <c r="C11874">
        <f>IF(B11874="","",INT(A11874))</f>
        <v/>
      </c>
      <c r="D11874">
        <f>IF(B11874="","",HOUR(A11874))</f>
        <v/>
      </c>
    </row>
    <row r="11875">
      <c r="A11875">
        <f>Input!A11875</f>
        <v/>
      </c>
      <c r="B11875">
        <f>IF(ISNUMBER(Input!B11875),IF(AND(Input!B11875&gt;=20,Input!B11875&lt;=700),Input!B11875,""),"")</f>
        <v/>
      </c>
      <c r="C11875">
        <f>IF(B11875="","",INT(A11875))</f>
        <v/>
      </c>
      <c r="D11875">
        <f>IF(B11875="","",HOUR(A11875))</f>
        <v/>
      </c>
    </row>
    <row r="11876">
      <c r="A11876">
        <f>Input!A11876</f>
        <v/>
      </c>
      <c r="B11876">
        <f>IF(ISNUMBER(Input!B11876),IF(AND(Input!B11876&gt;=20,Input!B11876&lt;=700),Input!B11876,""),"")</f>
        <v/>
      </c>
      <c r="C11876">
        <f>IF(B11876="","",INT(A11876))</f>
        <v/>
      </c>
      <c r="D11876">
        <f>IF(B11876="","",HOUR(A11876))</f>
        <v/>
      </c>
    </row>
    <row r="11877">
      <c r="A11877">
        <f>Input!A11877</f>
        <v/>
      </c>
      <c r="B11877">
        <f>IF(ISNUMBER(Input!B11877),IF(AND(Input!B11877&gt;=20,Input!B11877&lt;=700),Input!B11877,""),"")</f>
        <v/>
      </c>
      <c r="C11877">
        <f>IF(B11877="","",INT(A11877))</f>
        <v/>
      </c>
      <c r="D11877">
        <f>IF(B11877="","",HOUR(A11877))</f>
        <v/>
      </c>
    </row>
    <row r="11878">
      <c r="A11878">
        <f>Input!A11878</f>
        <v/>
      </c>
      <c r="B11878">
        <f>IF(ISNUMBER(Input!B11878),IF(AND(Input!B11878&gt;=20,Input!B11878&lt;=700),Input!B11878,""),"")</f>
        <v/>
      </c>
      <c r="C11878">
        <f>IF(B11878="","",INT(A11878))</f>
        <v/>
      </c>
      <c r="D11878">
        <f>IF(B11878="","",HOUR(A11878))</f>
        <v/>
      </c>
    </row>
    <row r="11879">
      <c r="A11879">
        <f>Input!A11879</f>
        <v/>
      </c>
      <c r="B11879">
        <f>IF(ISNUMBER(Input!B11879),IF(AND(Input!B11879&gt;=20,Input!B11879&lt;=700),Input!B11879,""),"")</f>
        <v/>
      </c>
      <c r="C11879">
        <f>IF(B11879="","",INT(A11879))</f>
        <v/>
      </c>
      <c r="D11879">
        <f>IF(B11879="","",HOUR(A11879))</f>
        <v/>
      </c>
    </row>
    <row r="11880">
      <c r="A11880">
        <f>Input!A11880</f>
        <v/>
      </c>
      <c r="B11880">
        <f>IF(ISNUMBER(Input!B11880),IF(AND(Input!B11880&gt;=20,Input!B11880&lt;=700),Input!B11880,""),"")</f>
        <v/>
      </c>
      <c r="C11880">
        <f>IF(B11880="","",INT(A11880))</f>
        <v/>
      </c>
      <c r="D11880">
        <f>IF(B11880="","",HOUR(A11880))</f>
        <v/>
      </c>
    </row>
    <row r="11881">
      <c r="A11881">
        <f>Input!A11881</f>
        <v/>
      </c>
      <c r="B11881">
        <f>IF(ISNUMBER(Input!B11881),IF(AND(Input!B11881&gt;=20,Input!B11881&lt;=700),Input!B11881,""),"")</f>
        <v/>
      </c>
      <c r="C11881">
        <f>IF(B11881="","",INT(A11881))</f>
        <v/>
      </c>
      <c r="D11881">
        <f>IF(B11881="","",HOUR(A11881))</f>
        <v/>
      </c>
    </row>
    <row r="11882">
      <c r="A11882">
        <f>Input!A11882</f>
        <v/>
      </c>
      <c r="B11882">
        <f>IF(ISNUMBER(Input!B11882),IF(AND(Input!B11882&gt;=20,Input!B11882&lt;=700),Input!B11882,""),"")</f>
        <v/>
      </c>
      <c r="C11882">
        <f>IF(B11882="","",INT(A11882))</f>
        <v/>
      </c>
      <c r="D11882">
        <f>IF(B11882="","",HOUR(A11882))</f>
        <v/>
      </c>
    </row>
    <row r="11883">
      <c r="A11883">
        <f>Input!A11883</f>
        <v/>
      </c>
      <c r="B11883">
        <f>IF(ISNUMBER(Input!B11883),IF(AND(Input!B11883&gt;=20,Input!B11883&lt;=700),Input!B11883,""),"")</f>
        <v/>
      </c>
      <c r="C11883">
        <f>IF(B11883="","",INT(A11883))</f>
        <v/>
      </c>
      <c r="D11883">
        <f>IF(B11883="","",HOUR(A11883))</f>
        <v/>
      </c>
    </row>
    <row r="11884">
      <c r="A11884">
        <f>Input!A11884</f>
        <v/>
      </c>
      <c r="B11884">
        <f>IF(ISNUMBER(Input!B11884),IF(AND(Input!B11884&gt;=20,Input!B11884&lt;=700),Input!B11884,""),"")</f>
        <v/>
      </c>
      <c r="C11884">
        <f>IF(B11884="","",INT(A11884))</f>
        <v/>
      </c>
      <c r="D11884">
        <f>IF(B11884="","",HOUR(A11884))</f>
        <v/>
      </c>
    </row>
    <row r="11885">
      <c r="A11885">
        <f>Input!A11885</f>
        <v/>
      </c>
      <c r="B11885">
        <f>IF(ISNUMBER(Input!B11885),IF(AND(Input!B11885&gt;=20,Input!B11885&lt;=700),Input!B11885,""),"")</f>
        <v/>
      </c>
      <c r="C11885">
        <f>IF(B11885="","",INT(A11885))</f>
        <v/>
      </c>
      <c r="D11885">
        <f>IF(B11885="","",HOUR(A11885))</f>
        <v/>
      </c>
    </row>
    <row r="11886">
      <c r="A11886">
        <f>Input!A11886</f>
        <v/>
      </c>
      <c r="B11886">
        <f>IF(ISNUMBER(Input!B11886),IF(AND(Input!B11886&gt;=20,Input!B11886&lt;=700),Input!B11886,""),"")</f>
        <v/>
      </c>
      <c r="C11886">
        <f>IF(B11886="","",INT(A11886))</f>
        <v/>
      </c>
      <c r="D11886">
        <f>IF(B11886="","",HOUR(A11886))</f>
        <v/>
      </c>
    </row>
    <row r="11887">
      <c r="A11887">
        <f>Input!A11887</f>
        <v/>
      </c>
      <c r="B11887">
        <f>IF(ISNUMBER(Input!B11887),IF(AND(Input!B11887&gt;=20,Input!B11887&lt;=700),Input!B11887,""),"")</f>
        <v/>
      </c>
      <c r="C11887">
        <f>IF(B11887="","",INT(A11887))</f>
        <v/>
      </c>
      <c r="D11887">
        <f>IF(B11887="","",HOUR(A11887))</f>
        <v/>
      </c>
    </row>
    <row r="11888">
      <c r="A11888">
        <f>Input!A11888</f>
        <v/>
      </c>
      <c r="B11888">
        <f>IF(ISNUMBER(Input!B11888),IF(AND(Input!B11888&gt;=20,Input!B11888&lt;=700),Input!B11888,""),"")</f>
        <v/>
      </c>
      <c r="C11888">
        <f>IF(B11888="","",INT(A11888))</f>
        <v/>
      </c>
      <c r="D11888">
        <f>IF(B11888="","",HOUR(A11888))</f>
        <v/>
      </c>
    </row>
    <row r="11889">
      <c r="A11889">
        <f>Input!A11889</f>
        <v/>
      </c>
      <c r="B11889">
        <f>IF(ISNUMBER(Input!B11889),IF(AND(Input!B11889&gt;=20,Input!B11889&lt;=700),Input!B11889,""),"")</f>
        <v/>
      </c>
      <c r="C11889">
        <f>IF(B11889="","",INT(A11889))</f>
        <v/>
      </c>
      <c r="D11889">
        <f>IF(B11889="","",HOUR(A11889))</f>
        <v/>
      </c>
    </row>
    <row r="11890">
      <c r="A11890">
        <f>Input!A11890</f>
        <v/>
      </c>
      <c r="B11890">
        <f>IF(ISNUMBER(Input!B11890),IF(AND(Input!B11890&gt;=20,Input!B11890&lt;=700),Input!B11890,""),"")</f>
        <v/>
      </c>
      <c r="C11890">
        <f>IF(B11890="","",INT(A11890))</f>
        <v/>
      </c>
      <c r="D11890">
        <f>IF(B11890="","",HOUR(A11890))</f>
        <v/>
      </c>
    </row>
    <row r="11891">
      <c r="A11891">
        <f>Input!A11891</f>
        <v/>
      </c>
      <c r="B11891">
        <f>IF(ISNUMBER(Input!B11891),IF(AND(Input!B11891&gt;=20,Input!B11891&lt;=700),Input!B11891,""),"")</f>
        <v/>
      </c>
      <c r="C11891">
        <f>IF(B11891="","",INT(A11891))</f>
        <v/>
      </c>
      <c r="D11891">
        <f>IF(B11891="","",HOUR(A11891))</f>
        <v/>
      </c>
    </row>
    <row r="11892">
      <c r="A11892">
        <f>Input!A11892</f>
        <v/>
      </c>
      <c r="B11892">
        <f>IF(ISNUMBER(Input!B11892),IF(AND(Input!B11892&gt;=20,Input!B11892&lt;=700),Input!B11892,""),"")</f>
        <v/>
      </c>
      <c r="C11892">
        <f>IF(B11892="","",INT(A11892))</f>
        <v/>
      </c>
      <c r="D11892">
        <f>IF(B11892="","",HOUR(A11892))</f>
        <v/>
      </c>
    </row>
    <row r="11893">
      <c r="A11893">
        <f>Input!A11893</f>
        <v/>
      </c>
      <c r="B11893">
        <f>IF(ISNUMBER(Input!B11893),IF(AND(Input!B11893&gt;=20,Input!B11893&lt;=700),Input!B11893,""),"")</f>
        <v/>
      </c>
      <c r="C11893">
        <f>IF(B11893="","",INT(A11893))</f>
        <v/>
      </c>
      <c r="D11893">
        <f>IF(B11893="","",HOUR(A11893))</f>
        <v/>
      </c>
    </row>
    <row r="11894">
      <c r="A11894">
        <f>Input!A11894</f>
        <v/>
      </c>
      <c r="B11894">
        <f>IF(ISNUMBER(Input!B11894),IF(AND(Input!B11894&gt;=20,Input!B11894&lt;=700),Input!B11894,""),"")</f>
        <v/>
      </c>
      <c r="C11894">
        <f>IF(B11894="","",INT(A11894))</f>
        <v/>
      </c>
      <c r="D11894">
        <f>IF(B11894="","",HOUR(A11894))</f>
        <v/>
      </c>
    </row>
    <row r="11895">
      <c r="A11895">
        <f>Input!A11895</f>
        <v/>
      </c>
      <c r="B11895">
        <f>IF(ISNUMBER(Input!B11895),IF(AND(Input!B11895&gt;=20,Input!B11895&lt;=700),Input!B11895,""),"")</f>
        <v/>
      </c>
      <c r="C11895">
        <f>IF(B11895="","",INT(A11895))</f>
        <v/>
      </c>
      <c r="D11895">
        <f>IF(B11895="","",HOUR(A11895))</f>
        <v/>
      </c>
    </row>
    <row r="11896">
      <c r="A11896">
        <f>Input!A11896</f>
        <v/>
      </c>
      <c r="B11896">
        <f>IF(ISNUMBER(Input!B11896),IF(AND(Input!B11896&gt;=20,Input!B11896&lt;=700),Input!B11896,""),"")</f>
        <v/>
      </c>
      <c r="C11896">
        <f>IF(B11896="","",INT(A11896))</f>
        <v/>
      </c>
      <c r="D11896">
        <f>IF(B11896="","",HOUR(A11896))</f>
        <v/>
      </c>
    </row>
    <row r="11897">
      <c r="A11897">
        <f>Input!A11897</f>
        <v/>
      </c>
      <c r="B11897">
        <f>IF(ISNUMBER(Input!B11897),IF(AND(Input!B11897&gt;=20,Input!B11897&lt;=700),Input!B11897,""),"")</f>
        <v/>
      </c>
      <c r="C11897">
        <f>IF(B11897="","",INT(A11897))</f>
        <v/>
      </c>
      <c r="D11897">
        <f>IF(B11897="","",HOUR(A11897))</f>
        <v/>
      </c>
    </row>
    <row r="11898">
      <c r="A11898">
        <f>Input!A11898</f>
        <v/>
      </c>
      <c r="B11898">
        <f>IF(ISNUMBER(Input!B11898),IF(AND(Input!B11898&gt;=20,Input!B11898&lt;=700),Input!B11898,""),"")</f>
        <v/>
      </c>
      <c r="C11898">
        <f>IF(B11898="","",INT(A11898))</f>
        <v/>
      </c>
      <c r="D11898">
        <f>IF(B11898="","",HOUR(A11898))</f>
        <v/>
      </c>
    </row>
    <row r="11899">
      <c r="A11899">
        <f>Input!A11899</f>
        <v/>
      </c>
      <c r="B11899">
        <f>IF(ISNUMBER(Input!B11899),IF(AND(Input!B11899&gt;=20,Input!B11899&lt;=700),Input!B11899,""),"")</f>
        <v/>
      </c>
      <c r="C11899">
        <f>IF(B11899="","",INT(A11899))</f>
        <v/>
      </c>
      <c r="D11899">
        <f>IF(B11899="","",HOUR(A11899))</f>
        <v/>
      </c>
    </row>
    <row r="11900">
      <c r="A11900">
        <f>Input!A11900</f>
        <v/>
      </c>
      <c r="B11900">
        <f>IF(ISNUMBER(Input!B11900),IF(AND(Input!B11900&gt;=20,Input!B11900&lt;=700),Input!B11900,""),"")</f>
        <v/>
      </c>
      <c r="C11900">
        <f>IF(B11900="","",INT(A11900))</f>
        <v/>
      </c>
      <c r="D11900">
        <f>IF(B11900="","",HOUR(A11900))</f>
        <v/>
      </c>
    </row>
    <row r="11901">
      <c r="A11901">
        <f>Input!A11901</f>
        <v/>
      </c>
      <c r="B11901">
        <f>IF(ISNUMBER(Input!B11901),IF(AND(Input!B11901&gt;=20,Input!B11901&lt;=700),Input!B11901,""),"")</f>
        <v/>
      </c>
      <c r="C11901">
        <f>IF(B11901="","",INT(A11901))</f>
        <v/>
      </c>
      <c r="D11901">
        <f>IF(B11901="","",HOUR(A11901))</f>
        <v/>
      </c>
    </row>
    <row r="11902">
      <c r="A11902">
        <f>Input!A11902</f>
        <v/>
      </c>
      <c r="B11902">
        <f>IF(ISNUMBER(Input!B11902),IF(AND(Input!B11902&gt;=20,Input!B11902&lt;=700),Input!B11902,""),"")</f>
        <v/>
      </c>
      <c r="C11902">
        <f>IF(B11902="","",INT(A11902))</f>
        <v/>
      </c>
      <c r="D11902">
        <f>IF(B11902="","",HOUR(A11902))</f>
        <v/>
      </c>
    </row>
    <row r="11903">
      <c r="A11903">
        <f>Input!A11903</f>
        <v/>
      </c>
      <c r="B11903">
        <f>IF(ISNUMBER(Input!B11903),IF(AND(Input!B11903&gt;=20,Input!B11903&lt;=700),Input!B11903,""),"")</f>
        <v/>
      </c>
      <c r="C11903">
        <f>IF(B11903="","",INT(A11903))</f>
        <v/>
      </c>
      <c r="D11903">
        <f>IF(B11903="","",HOUR(A11903))</f>
        <v/>
      </c>
    </row>
    <row r="11904">
      <c r="A11904">
        <f>Input!A11904</f>
        <v/>
      </c>
      <c r="B11904">
        <f>IF(ISNUMBER(Input!B11904),IF(AND(Input!B11904&gt;=20,Input!B11904&lt;=700),Input!B11904,""),"")</f>
        <v/>
      </c>
      <c r="C11904">
        <f>IF(B11904="","",INT(A11904))</f>
        <v/>
      </c>
      <c r="D11904">
        <f>IF(B11904="","",HOUR(A11904))</f>
        <v/>
      </c>
    </row>
    <row r="11905">
      <c r="A11905">
        <f>Input!A11905</f>
        <v/>
      </c>
      <c r="B11905">
        <f>IF(ISNUMBER(Input!B11905),IF(AND(Input!B11905&gt;=20,Input!B11905&lt;=700),Input!B11905,""),"")</f>
        <v/>
      </c>
      <c r="C11905">
        <f>IF(B11905="","",INT(A11905))</f>
        <v/>
      </c>
      <c r="D11905">
        <f>IF(B11905="","",HOUR(A11905))</f>
        <v/>
      </c>
    </row>
    <row r="11906">
      <c r="A11906">
        <f>Input!A11906</f>
        <v/>
      </c>
      <c r="B11906">
        <f>IF(ISNUMBER(Input!B11906),IF(AND(Input!B11906&gt;=20,Input!B11906&lt;=700),Input!B11906,""),"")</f>
        <v/>
      </c>
      <c r="C11906">
        <f>IF(B11906="","",INT(A11906))</f>
        <v/>
      </c>
      <c r="D11906">
        <f>IF(B11906="","",HOUR(A11906))</f>
        <v/>
      </c>
    </row>
    <row r="11907">
      <c r="A11907">
        <f>Input!A11907</f>
        <v/>
      </c>
      <c r="B11907">
        <f>IF(ISNUMBER(Input!B11907),IF(AND(Input!B11907&gt;=20,Input!B11907&lt;=700),Input!B11907,""),"")</f>
        <v/>
      </c>
      <c r="C11907">
        <f>IF(B11907="","",INT(A11907))</f>
        <v/>
      </c>
      <c r="D11907">
        <f>IF(B11907="","",HOUR(A11907))</f>
        <v/>
      </c>
    </row>
    <row r="11908">
      <c r="A11908">
        <f>Input!A11908</f>
        <v/>
      </c>
      <c r="B11908">
        <f>IF(ISNUMBER(Input!B11908),IF(AND(Input!B11908&gt;=20,Input!B11908&lt;=700),Input!B11908,""),"")</f>
        <v/>
      </c>
      <c r="C11908">
        <f>IF(B11908="","",INT(A11908))</f>
        <v/>
      </c>
      <c r="D11908">
        <f>IF(B11908="","",HOUR(A11908))</f>
        <v/>
      </c>
    </row>
    <row r="11909">
      <c r="A11909">
        <f>Input!A11909</f>
        <v/>
      </c>
      <c r="B11909">
        <f>IF(ISNUMBER(Input!B11909),IF(AND(Input!B11909&gt;=20,Input!B11909&lt;=700),Input!B11909,""),"")</f>
        <v/>
      </c>
      <c r="C11909">
        <f>IF(B11909="","",INT(A11909))</f>
        <v/>
      </c>
      <c r="D11909">
        <f>IF(B11909="","",HOUR(A11909))</f>
        <v/>
      </c>
    </row>
    <row r="11910">
      <c r="A11910">
        <f>Input!A11910</f>
        <v/>
      </c>
      <c r="B11910">
        <f>IF(ISNUMBER(Input!B11910),IF(AND(Input!B11910&gt;=20,Input!B11910&lt;=700),Input!B11910,""),"")</f>
        <v/>
      </c>
      <c r="C11910">
        <f>IF(B11910="","",INT(A11910))</f>
        <v/>
      </c>
      <c r="D11910">
        <f>IF(B11910="","",HOUR(A11910))</f>
        <v/>
      </c>
    </row>
    <row r="11911">
      <c r="A11911">
        <f>Input!A11911</f>
        <v/>
      </c>
      <c r="B11911">
        <f>IF(ISNUMBER(Input!B11911),IF(AND(Input!B11911&gt;=20,Input!B11911&lt;=700),Input!B11911,""),"")</f>
        <v/>
      </c>
      <c r="C11911">
        <f>IF(B11911="","",INT(A11911))</f>
        <v/>
      </c>
      <c r="D11911">
        <f>IF(B11911="","",HOUR(A11911))</f>
        <v/>
      </c>
    </row>
    <row r="11912">
      <c r="A11912">
        <f>Input!A11912</f>
        <v/>
      </c>
      <c r="B11912">
        <f>IF(ISNUMBER(Input!B11912),IF(AND(Input!B11912&gt;=20,Input!B11912&lt;=700),Input!B11912,""),"")</f>
        <v/>
      </c>
      <c r="C11912">
        <f>IF(B11912="","",INT(A11912))</f>
        <v/>
      </c>
      <c r="D11912">
        <f>IF(B11912="","",HOUR(A11912))</f>
        <v/>
      </c>
    </row>
    <row r="11913">
      <c r="A11913">
        <f>Input!A11913</f>
        <v/>
      </c>
      <c r="B11913">
        <f>IF(ISNUMBER(Input!B11913),IF(AND(Input!B11913&gt;=20,Input!B11913&lt;=700),Input!B11913,""),"")</f>
        <v/>
      </c>
      <c r="C11913">
        <f>IF(B11913="","",INT(A11913))</f>
        <v/>
      </c>
      <c r="D11913">
        <f>IF(B11913="","",HOUR(A11913))</f>
        <v/>
      </c>
    </row>
    <row r="11914">
      <c r="A11914">
        <f>Input!A11914</f>
        <v/>
      </c>
      <c r="B11914">
        <f>IF(ISNUMBER(Input!B11914),IF(AND(Input!B11914&gt;=20,Input!B11914&lt;=700),Input!B11914,""),"")</f>
        <v/>
      </c>
      <c r="C11914">
        <f>IF(B11914="","",INT(A11914))</f>
        <v/>
      </c>
      <c r="D11914">
        <f>IF(B11914="","",HOUR(A11914))</f>
        <v/>
      </c>
    </row>
    <row r="11915">
      <c r="A11915">
        <f>Input!A11915</f>
        <v/>
      </c>
      <c r="B11915">
        <f>IF(ISNUMBER(Input!B11915),IF(AND(Input!B11915&gt;=20,Input!B11915&lt;=700),Input!B11915,""),"")</f>
        <v/>
      </c>
      <c r="C11915">
        <f>IF(B11915="","",INT(A11915))</f>
        <v/>
      </c>
      <c r="D11915">
        <f>IF(B11915="","",HOUR(A11915))</f>
        <v/>
      </c>
    </row>
    <row r="11916">
      <c r="A11916">
        <f>Input!A11916</f>
        <v/>
      </c>
      <c r="B11916">
        <f>IF(ISNUMBER(Input!B11916),IF(AND(Input!B11916&gt;=20,Input!B11916&lt;=700),Input!B11916,""),"")</f>
        <v/>
      </c>
      <c r="C11916">
        <f>IF(B11916="","",INT(A11916))</f>
        <v/>
      </c>
      <c r="D11916">
        <f>IF(B11916="","",HOUR(A11916))</f>
        <v/>
      </c>
    </row>
    <row r="11917">
      <c r="A11917">
        <f>Input!A11917</f>
        <v/>
      </c>
      <c r="B11917">
        <f>IF(ISNUMBER(Input!B11917),IF(AND(Input!B11917&gt;=20,Input!B11917&lt;=700),Input!B11917,""),"")</f>
        <v/>
      </c>
      <c r="C11917">
        <f>IF(B11917="","",INT(A11917))</f>
        <v/>
      </c>
      <c r="D11917">
        <f>IF(B11917="","",HOUR(A11917))</f>
        <v/>
      </c>
    </row>
    <row r="11918">
      <c r="A11918">
        <f>Input!A11918</f>
        <v/>
      </c>
      <c r="B11918">
        <f>IF(ISNUMBER(Input!B11918),IF(AND(Input!B11918&gt;=20,Input!B11918&lt;=700),Input!B11918,""),"")</f>
        <v/>
      </c>
      <c r="C11918">
        <f>IF(B11918="","",INT(A11918))</f>
        <v/>
      </c>
      <c r="D11918">
        <f>IF(B11918="","",HOUR(A11918))</f>
        <v/>
      </c>
    </row>
    <row r="11919">
      <c r="A11919">
        <f>Input!A11919</f>
        <v/>
      </c>
      <c r="B11919">
        <f>IF(ISNUMBER(Input!B11919),IF(AND(Input!B11919&gt;=20,Input!B11919&lt;=700),Input!B11919,""),"")</f>
        <v/>
      </c>
      <c r="C11919">
        <f>IF(B11919="","",INT(A11919))</f>
        <v/>
      </c>
      <c r="D11919">
        <f>IF(B11919="","",HOUR(A11919))</f>
        <v/>
      </c>
    </row>
    <row r="11920">
      <c r="A11920">
        <f>Input!A11920</f>
        <v/>
      </c>
      <c r="B11920">
        <f>IF(ISNUMBER(Input!B11920),IF(AND(Input!B11920&gt;=20,Input!B11920&lt;=700),Input!B11920,""),"")</f>
        <v/>
      </c>
      <c r="C11920">
        <f>IF(B11920="","",INT(A11920))</f>
        <v/>
      </c>
      <c r="D11920">
        <f>IF(B11920="","",HOUR(A11920))</f>
        <v/>
      </c>
    </row>
    <row r="11921">
      <c r="A11921">
        <f>Input!A11921</f>
        <v/>
      </c>
      <c r="B11921">
        <f>IF(ISNUMBER(Input!B11921),IF(AND(Input!B11921&gt;=20,Input!B11921&lt;=700),Input!B11921,""),"")</f>
        <v/>
      </c>
      <c r="C11921">
        <f>IF(B11921="","",INT(A11921))</f>
        <v/>
      </c>
      <c r="D11921">
        <f>IF(B11921="","",HOUR(A11921))</f>
        <v/>
      </c>
    </row>
    <row r="11922">
      <c r="A11922">
        <f>Input!A11922</f>
        <v/>
      </c>
      <c r="B11922">
        <f>IF(ISNUMBER(Input!B11922),IF(AND(Input!B11922&gt;=20,Input!B11922&lt;=700),Input!B11922,""),"")</f>
        <v/>
      </c>
      <c r="C11922">
        <f>IF(B11922="","",INT(A11922))</f>
        <v/>
      </c>
      <c r="D11922">
        <f>IF(B11922="","",HOUR(A11922))</f>
        <v/>
      </c>
    </row>
    <row r="11923">
      <c r="A11923">
        <f>Input!A11923</f>
        <v/>
      </c>
      <c r="B11923">
        <f>IF(ISNUMBER(Input!B11923),IF(AND(Input!B11923&gt;=20,Input!B11923&lt;=700),Input!B11923,""),"")</f>
        <v/>
      </c>
      <c r="C11923">
        <f>IF(B11923="","",INT(A11923))</f>
        <v/>
      </c>
      <c r="D11923">
        <f>IF(B11923="","",HOUR(A11923))</f>
        <v/>
      </c>
    </row>
    <row r="11924">
      <c r="A11924">
        <f>Input!A11924</f>
        <v/>
      </c>
      <c r="B11924">
        <f>IF(ISNUMBER(Input!B11924),IF(AND(Input!B11924&gt;=20,Input!B11924&lt;=700),Input!B11924,""),"")</f>
        <v/>
      </c>
      <c r="C11924">
        <f>IF(B11924="","",INT(A11924))</f>
        <v/>
      </c>
      <c r="D11924">
        <f>IF(B11924="","",HOUR(A11924))</f>
        <v/>
      </c>
    </row>
    <row r="11925">
      <c r="A11925">
        <f>Input!A11925</f>
        <v/>
      </c>
      <c r="B11925">
        <f>IF(ISNUMBER(Input!B11925),IF(AND(Input!B11925&gt;=20,Input!B11925&lt;=700),Input!B11925,""),"")</f>
        <v/>
      </c>
      <c r="C11925">
        <f>IF(B11925="","",INT(A11925))</f>
        <v/>
      </c>
      <c r="D11925">
        <f>IF(B11925="","",HOUR(A11925))</f>
        <v/>
      </c>
    </row>
    <row r="11926">
      <c r="A11926">
        <f>Input!A11926</f>
        <v/>
      </c>
      <c r="B11926">
        <f>IF(ISNUMBER(Input!B11926),IF(AND(Input!B11926&gt;=20,Input!B11926&lt;=700),Input!B11926,""),"")</f>
        <v/>
      </c>
      <c r="C11926">
        <f>IF(B11926="","",INT(A11926))</f>
        <v/>
      </c>
      <c r="D11926">
        <f>IF(B11926="","",HOUR(A11926))</f>
        <v/>
      </c>
    </row>
    <row r="11927">
      <c r="A11927">
        <f>Input!A11927</f>
        <v/>
      </c>
      <c r="B11927">
        <f>IF(ISNUMBER(Input!B11927),IF(AND(Input!B11927&gt;=20,Input!B11927&lt;=700),Input!B11927,""),"")</f>
        <v/>
      </c>
      <c r="C11927">
        <f>IF(B11927="","",INT(A11927))</f>
        <v/>
      </c>
      <c r="D11927">
        <f>IF(B11927="","",HOUR(A11927))</f>
        <v/>
      </c>
    </row>
    <row r="11928">
      <c r="A11928">
        <f>Input!A11928</f>
        <v/>
      </c>
      <c r="B11928">
        <f>IF(ISNUMBER(Input!B11928),IF(AND(Input!B11928&gt;=20,Input!B11928&lt;=700),Input!B11928,""),"")</f>
        <v/>
      </c>
      <c r="C11928">
        <f>IF(B11928="","",INT(A11928))</f>
        <v/>
      </c>
      <c r="D11928">
        <f>IF(B11928="","",HOUR(A11928))</f>
        <v/>
      </c>
    </row>
    <row r="11929">
      <c r="A11929">
        <f>Input!A11929</f>
        <v/>
      </c>
      <c r="B11929">
        <f>IF(ISNUMBER(Input!B11929),IF(AND(Input!B11929&gt;=20,Input!B11929&lt;=700),Input!B11929,""),"")</f>
        <v/>
      </c>
      <c r="C11929">
        <f>IF(B11929="","",INT(A11929))</f>
        <v/>
      </c>
      <c r="D11929">
        <f>IF(B11929="","",HOUR(A11929))</f>
        <v/>
      </c>
    </row>
    <row r="11930">
      <c r="A11930">
        <f>Input!A11930</f>
        <v/>
      </c>
      <c r="B11930">
        <f>IF(ISNUMBER(Input!B11930),IF(AND(Input!B11930&gt;=20,Input!B11930&lt;=700),Input!B11930,""),"")</f>
        <v/>
      </c>
      <c r="C11930">
        <f>IF(B11930="","",INT(A11930))</f>
        <v/>
      </c>
      <c r="D11930">
        <f>IF(B11930="","",HOUR(A11930))</f>
        <v/>
      </c>
    </row>
    <row r="11931">
      <c r="A11931">
        <f>Input!A11931</f>
        <v/>
      </c>
      <c r="B11931">
        <f>IF(ISNUMBER(Input!B11931),IF(AND(Input!B11931&gt;=20,Input!B11931&lt;=700),Input!B11931,""),"")</f>
        <v/>
      </c>
      <c r="C11931">
        <f>IF(B11931="","",INT(A11931))</f>
        <v/>
      </c>
      <c r="D11931">
        <f>IF(B11931="","",HOUR(A11931))</f>
        <v/>
      </c>
    </row>
    <row r="11932">
      <c r="A11932">
        <f>Input!A11932</f>
        <v/>
      </c>
      <c r="B11932">
        <f>IF(ISNUMBER(Input!B11932),IF(AND(Input!B11932&gt;=20,Input!B11932&lt;=700),Input!B11932,""),"")</f>
        <v/>
      </c>
      <c r="C11932">
        <f>IF(B11932="","",INT(A11932))</f>
        <v/>
      </c>
      <c r="D11932">
        <f>IF(B11932="","",HOUR(A11932))</f>
        <v/>
      </c>
    </row>
    <row r="11933">
      <c r="A11933">
        <f>Input!A11933</f>
        <v/>
      </c>
      <c r="B11933">
        <f>IF(ISNUMBER(Input!B11933),IF(AND(Input!B11933&gt;=20,Input!B11933&lt;=700),Input!B11933,""),"")</f>
        <v/>
      </c>
      <c r="C11933">
        <f>IF(B11933="","",INT(A11933))</f>
        <v/>
      </c>
      <c r="D11933">
        <f>IF(B11933="","",HOUR(A11933))</f>
        <v/>
      </c>
    </row>
    <row r="11934">
      <c r="A11934">
        <f>Input!A11934</f>
        <v/>
      </c>
      <c r="B11934">
        <f>IF(ISNUMBER(Input!B11934),IF(AND(Input!B11934&gt;=20,Input!B11934&lt;=700),Input!B11934,""),"")</f>
        <v/>
      </c>
      <c r="C11934">
        <f>IF(B11934="","",INT(A11934))</f>
        <v/>
      </c>
      <c r="D11934">
        <f>IF(B11934="","",HOUR(A11934))</f>
        <v/>
      </c>
    </row>
    <row r="11935">
      <c r="A11935">
        <f>Input!A11935</f>
        <v/>
      </c>
      <c r="B11935">
        <f>IF(ISNUMBER(Input!B11935),IF(AND(Input!B11935&gt;=20,Input!B11935&lt;=700),Input!B11935,""),"")</f>
        <v/>
      </c>
      <c r="C11935">
        <f>IF(B11935="","",INT(A11935))</f>
        <v/>
      </c>
      <c r="D11935">
        <f>IF(B11935="","",HOUR(A11935))</f>
        <v/>
      </c>
    </row>
    <row r="11936">
      <c r="A11936">
        <f>Input!A11936</f>
        <v/>
      </c>
      <c r="B11936">
        <f>IF(ISNUMBER(Input!B11936),IF(AND(Input!B11936&gt;=20,Input!B11936&lt;=700),Input!B11936,""),"")</f>
        <v/>
      </c>
      <c r="C11936">
        <f>IF(B11936="","",INT(A11936))</f>
        <v/>
      </c>
      <c r="D11936">
        <f>IF(B11936="","",HOUR(A11936))</f>
        <v/>
      </c>
    </row>
    <row r="11937">
      <c r="A11937">
        <f>Input!A11937</f>
        <v/>
      </c>
      <c r="B11937">
        <f>IF(ISNUMBER(Input!B11937),IF(AND(Input!B11937&gt;=20,Input!B11937&lt;=700),Input!B11937,""),"")</f>
        <v/>
      </c>
      <c r="C11937">
        <f>IF(B11937="","",INT(A11937))</f>
        <v/>
      </c>
      <c r="D11937">
        <f>IF(B11937="","",HOUR(A11937))</f>
        <v/>
      </c>
    </row>
    <row r="11938">
      <c r="A11938">
        <f>Input!A11938</f>
        <v/>
      </c>
      <c r="B11938">
        <f>IF(ISNUMBER(Input!B11938),IF(AND(Input!B11938&gt;=20,Input!B11938&lt;=700),Input!B11938,""),"")</f>
        <v/>
      </c>
      <c r="C11938">
        <f>IF(B11938="","",INT(A11938))</f>
        <v/>
      </c>
      <c r="D11938">
        <f>IF(B11938="","",HOUR(A11938))</f>
        <v/>
      </c>
    </row>
    <row r="11939">
      <c r="A11939">
        <f>Input!A11939</f>
        <v/>
      </c>
      <c r="B11939">
        <f>IF(ISNUMBER(Input!B11939),IF(AND(Input!B11939&gt;=20,Input!B11939&lt;=700),Input!B11939,""),"")</f>
        <v/>
      </c>
      <c r="C11939">
        <f>IF(B11939="","",INT(A11939))</f>
        <v/>
      </c>
      <c r="D11939">
        <f>IF(B11939="","",HOUR(A11939))</f>
        <v/>
      </c>
    </row>
    <row r="11940">
      <c r="A11940">
        <f>Input!A11940</f>
        <v/>
      </c>
      <c r="B11940">
        <f>IF(ISNUMBER(Input!B11940),IF(AND(Input!B11940&gt;=20,Input!B11940&lt;=700),Input!B11940,""),"")</f>
        <v/>
      </c>
      <c r="C11940">
        <f>IF(B11940="","",INT(A11940))</f>
        <v/>
      </c>
      <c r="D11940">
        <f>IF(B11940="","",HOUR(A11940))</f>
        <v/>
      </c>
    </row>
    <row r="11941">
      <c r="A11941">
        <f>Input!A11941</f>
        <v/>
      </c>
      <c r="B11941">
        <f>IF(ISNUMBER(Input!B11941),IF(AND(Input!B11941&gt;=20,Input!B11941&lt;=700),Input!B11941,""),"")</f>
        <v/>
      </c>
      <c r="C11941">
        <f>IF(B11941="","",INT(A11941))</f>
        <v/>
      </c>
      <c r="D11941">
        <f>IF(B11941="","",HOUR(A11941))</f>
        <v/>
      </c>
    </row>
    <row r="11942">
      <c r="A11942">
        <f>Input!A11942</f>
        <v/>
      </c>
      <c r="B11942">
        <f>IF(ISNUMBER(Input!B11942),IF(AND(Input!B11942&gt;=20,Input!B11942&lt;=700),Input!B11942,""),"")</f>
        <v/>
      </c>
      <c r="C11942">
        <f>IF(B11942="","",INT(A11942))</f>
        <v/>
      </c>
      <c r="D11942">
        <f>IF(B11942="","",HOUR(A11942))</f>
        <v/>
      </c>
    </row>
    <row r="11943">
      <c r="A11943">
        <f>Input!A11943</f>
        <v/>
      </c>
      <c r="B11943">
        <f>IF(ISNUMBER(Input!B11943),IF(AND(Input!B11943&gt;=20,Input!B11943&lt;=700),Input!B11943,""),"")</f>
        <v/>
      </c>
      <c r="C11943">
        <f>IF(B11943="","",INT(A11943))</f>
        <v/>
      </c>
      <c r="D11943">
        <f>IF(B11943="","",HOUR(A11943))</f>
        <v/>
      </c>
    </row>
    <row r="11944">
      <c r="A11944">
        <f>Input!A11944</f>
        <v/>
      </c>
      <c r="B11944">
        <f>IF(ISNUMBER(Input!B11944),IF(AND(Input!B11944&gt;=20,Input!B11944&lt;=700),Input!B11944,""),"")</f>
        <v/>
      </c>
      <c r="C11944">
        <f>IF(B11944="","",INT(A11944))</f>
        <v/>
      </c>
      <c r="D11944">
        <f>IF(B11944="","",HOUR(A11944))</f>
        <v/>
      </c>
    </row>
    <row r="11945">
      <c r="A11945">
        <f>Input!A11945</f>
        <v/>
      </c>
      <c r="B11945">
        <f>IF(ISNUMBER(Input!B11945),IF(AND(Input!B11945&gt;=20,Input!B11945&lt;=700),Input!B11945,""),"")</f>
        <v/>
      </c>
      <c r="C11945">
        <f>IF(B11945="","",INT(A11945))</f>
        <v/>
      </c>
      <c r="D11945">
        <f>IF(B11945="","",HOUR(A11945))</f>
        <v/>
      </c>
    </row>
    <row r="11946">
      <c r="A11946">
        <f>Input!A11946</f>
        <v/>
      </c>
      <c r="B11946">
        <f>IF(ISNUMBER(Input!B11946),IF(AND(Input!B11946&gt;=20,Input!B11946&lt;=700),Input!B11946,""),"")</f>
        <v/>
      </c>
      <c r="C11946">
        <f>IF(B11946="","",INT(A11946))</f>
        <v/>
      </c>
      <c r="D11946">
        <f>IF(B11946="","",HOUR(A11946))</f>
        <v/>
      </c>
    </row>
    <row r="11947">
      <c r="A11947">
        <f>Input!A11947</f>
        <v/>
      </c>
      <c r="B11947">
        <f>IF(ISNUMBER(Input!B11947),IF(AND(Input!B11947&gt;=20,Input!B11947&lt;=700),Input!B11947,""),"")</f>
        <v/>
      </c>
      <c r="C11947">
        <f>IF(B11947="","",INT(A11947))</f>
        <v/>
      </c>
      <c r="D11947">
        <f>IF(B11947="","",HOUR(A11947))</f>
        <v/>
      </c>
    </row>
    <row r="11948">
      <c r="A11948">
        <f>Input!A11948</f>
        <v/>
      </c>
      <c r="B11948">
        <f>IF(ISNUMBER(Input!B11948),IF(AND(Input!B11948&gt;=20,Input!B11948&lt;=700),Input!B11948,""),"")</f>
        <v/>
      </c>
      <c r="C11948">
        <f>IF(B11948="","",INT(A11948))</f>
        <v/>
      </c>
      <c r="D11948">
        <f>IF(B11948="","",HOUR(A11948))</f>
        <v/>
      </c>
    </row>
    <row r="11949">
      <c r="A11949">
        <f>Input!A11949</f>
        <v/>
      </c>
      <c r="B11949">
        <f>IF(ISNUMBER(Input!B11949),IF(AND(Input!B11949&gt;=20,Input!B11949&lt;=700),Input!B11949,""),"")</f>
        <v/>
      </c>
      <c r="C11949">
        <f>IF(B11949="","",INT(A11949))</f>
        <v/>
      </c>
      <c r="D11949">
        <f>IF(B11949="","",HOUR(A11949))</f>
        <v/>
      </c>
    </row>
    <row r="11950">
      <c r="A11950">
        <f>Input!A11950</f>
        <v/>
      </c>
      <c r="B11950">
        <f>IF(ISNUMBER(Input!B11950),IF(AND(Input!B11950&gt;=20,Input!B11950&lt;=700),Input!B11950,""),"")</f>
        <v/>
      </c>
      <c r="C11950">
        <f>IF(B11950="","",INT(A11950))</f>
        <v/>
      </c>
      <c r="D11950">
        <f>IF(B11950="","",HOUR(A11950))</f>
        <v/>
      </c>
    </row>
    <row r="11951">
      <c r="A11951">
        <f>Input!A11951</f>
        <v/>
      </c>
      <c r="B11951">
        <f>IF(ISNUMBER(Input!B11951),IF(AND(Input!B11951&gt;=20,Input!B11951&lt;=700),Input!B11951,""),"")</f>
        <v/>
      </c>
      <c r="C11951">
        <f>IF(B11951="","",INT(A11951))</f>
        <v/>
      </c>
      <c r="D11951">
        <f>IF(B11951="","",HOUR(A11951))</f>
        <v/>
      </c>
    </row>
    <row r="11952">
      <c r="A11952">
        <f>Input!A11952</f>
        <v/>
      </c>
      <c r="B11952">
        <f>IF(ISNUMBER(Input!B11952),IF(AND(Input!B11952&gt;=20,Input!B11952&lt;=700),Input!B11952,""),"")</f>
        <v/>
      </c>
      <c r="C11952">
        <f>IF(B11952="","",INT(A11952))</f>
        <v/>
      </c>
      <c r="D11952">
        <f>IF(B11952="","",HOUR(A11952))</f>
        <v/>
      </c>
    </row>
    <row r="11953">
      <c r="A11953">
        <f>Input!A11953</f>
        <v/>
      </c>
      <c r="B11953">
        <f>IF(ISNUMBER(Input!B11953),IF(AND(Input!B11953&gt;=20,Input!B11953&lt;=700),Input!B11953,""),"")</f>
        <v/>
      </c>
      <c r="C11953">
        <f>IF(B11953="","",INT(A11953))</f>
        <v/>
      </c>
      <c r="D11953">
        <f>IF(B11953="","",HOUR(A11953))</f>
        <v/>
      </c>
    </row>
    <row r="11954">
      <c r="A11954">
        <f>Input!A11954</f>
        <v/>
      </c>
      <c r="B11954">
        <f>IF(ISNUMBER(Input!B11954),IF(AND(Input!B11954&gt;=20,Input!B11954&lt;=700),Input!B11954,""),"")</f>
        <v/>
      </c>
      <c r="C11954">
        <f>IF(B11954="","",INT(A11954))</f>
        <v/>
      </c>
      <c r="D11954">
        <f>IF(B11954="","",HOUR(A11954))</f>
        <v/>
      </c>
    </row>
    <row r="11955">
      <c r="A11955">
        <f>Input!A11955</f>
        <v/>
      </c>
      <c r="B11955">
        <f>IF(ISNUMBER(Input!B11955),IF(AND(Input!B11955&gt;=20,Input!B11955&lt;=700),Input!B11955,""),"")</f>
        <v/>
      </c>
      <c r="C11955">
        <f>IF(B11955="","",INT(A11955))</f>
        <v/>
      </c>
      <c r="D11955">
        <f>IF(B11955="","",HOUR(A11955))</f>
        <v/>
      </c>
    </row>
    <row r="11956">
      <c r="A11956">
        <f>Input!A11956</f>
        <v/>
      </c>
      <c r="B11956">
        <f>IF(ISNUMBER(Input!B11956),IF(AND(Input!B11956&gt;=20,Input!B11956&lt;=700),Input!B11956,""),"")</f>
        <v/>
      </c>
      <c r="C11956">
        <f>IF(B11956="","",INT(A11956))</f>
        <v/>
      </c>
      <c r="D11956">
        <f>IF(B11956="","",HOUR(A11956))</f>
        <v/>
      </c>
    </row>
    <row r="11957">
      <c r="A11957">
        <f>Input!A11957</f>
        <v/>
      </c>
      <c r="B11957">
        <f>IF(ISNUMBER(Input!B11957),IF(AND(Input!B11957&gt;=20,Input!B11957&lt;=700),Input!B11957,""),"")</f>
        <v/>
      </c>
      <c r="C11957">
        <f>IF(B11957="","",INT(A11957))</f>
        <v/>
      </c>
      <c r="D11957">
        <f>IF(B11957="","",HOUR(A11957))</f>
        <v/>
      </c>
    </row>
    <row r="11958">
      <c r="A11958">
        <f>Input!A11958</f>
        <v/>
      </c>
      <c r="B11958">
        <f>IF(ISNUMBER(Input!B11958),IF(AND(Input!B11958&gt;=20,Input!B11958&lt;=700),Input!B11958,""),"")</f>
        <v/>
      </c>
      <c r="C11958">
        <f>IF(B11958="","",INT(A11958))</f>
        <v/>
      </c>
      <c r="D11958">
        <f>IF(B11958="","",HOUR(A11958))</f>
        <v/>
      </c>
    </row>
    <row r="11959">
      <c r="A11959">
        <f>Input!A11959</f>
        <v/>
      </c>
      <c r="B11959">
        <f>IF(ISNUMBER(Input!B11959),IF(AND(Input!B11959&gt;=20,Input!B11959&lt;=700),Input!B11959,""),"")</f>
        <v/>
      </c>
      <c r="C11959">
        <f>IF(B11959="","",INT(A11959))</f>
        <v/>
      </c>
      <c r="D11959">
        <f>IF(B11959="","",HOUR(A11959))</f>
        <v/>
      </c>
    </row>
    <row r="11960">
      <c r="A11960">
        <f>Input!A11960</f>
        <v/>
      </c>
      <c r="B11960">
        <f>IF(ISNUMBER(Input!B11960),IF(AND(Input!B11960&gt;=20,Input!B11960&lt;=700),Input!B11960,""),"")</f>
        <v/>
      </c>
      <c r="C11960">
        <f>IF(B11960="","",INT(A11960))</f>
        <v/>
      </c>
      <c r="D11960">
        <f>IF(B11960="","",HOUR(A11960))</f>
        <v/>
      </c>
    </row>
    <row r="11961">
      <c r="A11961">
        <f>Input!A11961</f>
        <v/>
      </c>
      <c r="B11961">
        <f>IF(ISNUMBER(Input!B11961),IF(AND(Input!B11961&gt;=20,Input!B11961&lt;=700),Input!B11961,""),"")</f>
        <v/>
      </c>
      <c r="C11961">
        <f>IF(B11961="","",INT(A11961))</f>
        <v/>
      </c>
      <c r="D11961">
        <f>IF(B11961="","",HOUR(A11961))</f>
        <v/>
      </c>
    </row>
    <row r="11962">
      <c r="A11962">
        <f>Input!A11962</f>
        <v/>
      </c>
      <c r="B11962">
        <f>IF(ISNUMBER(Input!B11962),IF(AND(Input!B11962&gt;=20,Input!B11962&lt;=700),Input!B11962,""),"")</f>
        <v/>
      </c>
      <c r="C11962">
        <f>IF(B11962="","",INT(A11962))</f>
        <v/>
      </c>
      <c r="D11962">
        <f>IF(B11962="","",HOUR(A11962))</f>
        <v/>
      </c>
    </row>
    <row r="11963">
      <c r="A11963">
        <f>Input!A11963</f>
        <v/>
      </c>
      <c r="B11963">
        <f>IF(ISNUMBER(Input!B11963),IF(AND(Input!B11963&gt;=20,Input!B11963&lt;=700),Input!B11963,""),"")</f>
        <v/>
      </c>
      <c r="C11963">
        <f>IF(B11963="","",INT(A11963))</f>
        <v/>
      </c>
      <c r="D11963">
        <f>IF(B11963="","",HOUR(A11963))</f>
        <v/>
      </c>
    </row>
    <row r="11964">
      <c r="A11964">
        <f>Input!A11964</f>
        <v/>
      </c>
      <c r="B11964">
        <f>IF(ISNUMBER(Input!B11964),IF(AND(Input!B11964&gt;=20,Input!B11964&lt;=700),Input!B11964,""),"")</f>
        <v/>
      </c>
      <c r="C11964">
        <f>IF(B11964="","",INT(A11964))</f>
        <v/>
      </c>
      <c r="D11964">
        <f>IF(B11964="","",HOUR(A11964))</f>
        <v/>
      </c>
    </row>
    <row r="11965">
      <c r="A11965">
        <f>Input!A11965</f>
        <v/>
      </c>
      <c r="B11965">
        <f>IF(ISNUMBER(Input!B11965),IF(AND(Input!B11965&gt;=20,Input!B11965&lt;=700),Input!B11965,""),"")</f>
        <v/>
      </c>
      <c r="C11965">
        <f>IF(B11965="","",INT(A11965))</f>
        <v/>
      </c>
      <c r="D11965">
        <f>IF(B11965="","",HOUR(A11965))</f>
        <v/>
      </c>
    </row>
    <row r="11966">
      <c r="A11966">
        <f>Input!A11966</f>
        <v/>
      </c>
      <c r="B11966">
        <f>IF(ISNUMBER(Input!B11966),IF(AND(Input!B11966&gt;=20,Input!B11966&lt;=700),Input!B11966,""),"")</f>
        <v/>
      </c>
      <c r="C11966">
        <f>IF(B11966="","",INT(A11966))</f>
        <v/>
      </c>
      <c r="D11966">
        <f>IF(B11966="","",HOUR(A11966))</f>
        <v/>
      </c>
    </row>
    <row r="11967">
      <c r="A11967">
        <f>Input!A11967</f>
        <v/>
      </c>
      <c r="B11967">
        <f>IF(ISNUMBER(Input!B11967),IF(AND(Input!B11967&gt;=20,Input!B11967&lt;=700),Input!B11967,""),"")</f>
        <v/>
      </c>
      <c r="C11967">
        <f>IF(B11967="","",INT(A11967))</f>
        <v/>
      </c>
      <c r="D11967">
        <f>IF(B11967="","",HOUR(A11967))</f>
        <v/>
      </c>
    </row>
    <row r="11968">
      <c r="A11968">
        <f>Input!A11968</f>
        <v/>
      </c>
      <c r="B11968">
        <f>IF(ISNUMBER(Input!B11968),IF(AND(Input!B11968&gt;=20,Input!B11968&lt;=700),Input!B11968,""),"")</f>
        <v/>
      </c>
      <c r="C11968">
        <f>IF(B11968="","",INT(A11968))</f>
        <v/>
      </c>
      <c r="D11968">
        <f>IF(B11968="","",HOUR(A11968))</f>
        <v/>
      </c>
    </row>
    <row r="11969">
      <c r="A11969">
        <f>Input!A11969</f>
        <v/>
      </c>
      <c r="B11969">
        <f>IF(ISNUMBER(Input!B11969),IF(AND(Input!B11969&gt;=20,Input!B11969&lt;=700),Input!B11969,""),"")</f>
        <v/>
      </c>
      <c r="C11969">
        <f>IF(B11969="","",INT(A11969))</f>
        <v/>
      </c>
      <c r="D11969">
        <f>IF(B11969="","",HOUR(A11969))</f>
        <v/>
      </c>
    </row>
    <row r="11970">
      <c r="A11970">
        <f>Input!A11970</f>
        <v/>
      </c>
      <c r="B11970">
        <f>IF(ISNUMBER(Input!B11970),IF(AND(Input!B11970&gt;=20,Input!B11970&lt;=700),Input!B11970,""),"")</f>
        <v/>
      </c>
      <c r="C11970">
        <f>IF(B11970="","",INT(A11970))</f>
        <v/>
      </c>
      <c r="D11970">
        <f>IF(B11970="","",HOUR(A11970))</f>
        <v/>
      </c>
    </row>
    <row r="11971">
      <c r="A11971">
        <f>Input!A11971</f>
        <v/>
      </c>
      <c r="B11971">
        <f>IF(ISNUMBER(Input!B11971),IF(AND(Input!B11971&gt;=20,Input!B11971&lt;=700),Input!B11971,""),"")</f>
        <v/>
      </c>
      <c r="C11971">
        <f>IF(B11971="","",INT(A11971))</f>
        <v/>
      </c>
      <c r="D11971">
        <f>IF(B11971="","",HOUR(A11971))</f>
        <v/>
      </c>
    </row>
    <row r="11972">
      <c r="A11972">
        <f>Input!A11972</f>
        <v/>
      </c>
      <c r="B11972">
        <f>IF(ISNUMBER(Input!B11972),IF(AND(Input!B11972&gt;=20,Input!B11972&lt;=700),Input!B11972,""),"")</f>
        <v/>
      </c>
      <c r="C11972">
        <f>IF(B11972="","",INT(A11972))</f>
        <v/>
      </c>
      <c r="D11972">
        <f>IF(B11972="","",HOUR(A11972))</f>
        <v/>
      </c>
    </row>
    <row r="11973">
      <c r="A11973">
        <f>Input!A11973</f>
        <v/>
      </c>
      <c r="B11973">
        <f>IF(ISNUMBER(Input!B11973),IF(AND(Input!B11973&gt;=20,Input!B11973&lt;=700),Input!B11973,""),"")</f>
        <v/>
      </c>
      <c r="C11973">
        <f>IF(B11973="","",INT(A11973))</f>
        <v/>
      </c>
      <c r="D11973">
        <f>IF(B11973="","",HOUR(A11973))</f>
        <v/>
      </c>
    </row>
    <row r="11974">
      <c r="A11974">
        <f>Input!A11974</f>
        <v/>
      </c>
      <c r="B11974">
        <f>IF(ISNUMBER(Input!B11974),IF(AND(Input!B11974&gt;=20,Input!B11974&lt;=700),Input!B11974,""),"")</f>
        <v/>
      </c>
      <c r="C11974">
        <f>IF(B11974="","",INT(A11974))</f>
        <v/>
      </c>
      <c r="D11974">
        <f>IF(B11974="","",HOUR(A11974))</f>
        <v/>
      </c>
    </row>
    <row r="11975">
      <c r="A11975">
        <f>Input!A11975</f>
        <v/>
      </c>
      <c r="B11975">
        <f>IF(ISNUMBER(Input!B11975),IF(AND(Input!B11975&gt;=20,Input!B11975&lt;=700),Input!B11975,""),"")</f>
        <v/>
      </c>
      <c r="C11975">
        <f>IF(B11975="","",INT(A11975))</f>
        <v/>
      </c>
      <c r="D11975">
        <f>IF(B11975="","",HOUR(A11975))</f>
        <v/>
      </c>
    </row>
    <row r="11976">
      <c r="A11976">
        <f>Input!A11976</f>
        <v/>
      </c>
      <c r="B11976">
        <f>IF(ISNUMBER(Input!B11976),IF(AND(Input!B11976&gt;=20,Input!B11976&lt;=700),Input!B11976,""),"")</f>
        <v/>
      </c>
      <c r="C11976">
        <f>IF(B11976="","",INT(A11976))</f>
        <v/>
      </c>
      <c r="D11976">
        <f>IF(B11976="","",HOUR(A11976))</f>
        <v/>
      </c>
    </row>
    <row r="11977">
      <c r="A11977">
        <f>Input!A11977</f>
        <v/>
      </c>
      <c r="B11977">
        <f>IF(ISNUMBER(Input!B11977),IF(AND(Input!B11977&gt;=20,Input!B11977&lt;=700),Input!B11977,""),"")</f>
        <v/>
      </c>
      <c r="C11977">
        <f>IF(B11977="","",INT(A11977))</f>
        <v/>
      </c>
      <c r="D11977">
        <f>IF(B11977="","",HOUR(A11977))</f>
        <v/>
      </c>
    </row>
    <row r="11978">
      <c r="A11978">
        <f>Input!A11978</f>
        <v/>
      </c>
      <c r="B11978">
        <f>IF(ISNUMBER(Input!B11978),IF(AND(Input!B11978&gt;=20,Input!B11978&lt;=700),Input!B11978,""),"")</f>
        <v/>
      </c>
      <c r="C11978">
        <f>IF(B11978="","",INT(A11978))</f>
        <v/>
      </c>
      <c r="D11978">
        <f>IF(B11978="","",HOUR(A11978))</f>
        <v/>
      </c>
    </row>
    <row r="11979">
      <c r="A11979">
        <f>Input!A11979</f>
        <v/>
      </c>
      <c r="B11979">
        <f>IF(ISNUMBER(Input!B11979),IF(AND(Input!B11979&gt;=20,Input!B11979&lt;=700),Input!B11979,""),"")</f>
        <v/>
      </c>
      <c r="C11979">
        <f>IF(B11979="","",INT(A11979))</f>
        <v/>
      </c>
      <c r="D11979">
        <f>IF(B11979="","",HOUR(A11979))</f>
        <v/>
      </c>
    </row>
    <row r="11980">
      <c r="A11980">
        <f>Input!A11980</f>
        <v/>
      </c>
      <c r="B11980">
        <f>IF(ISNUMBER(Input!B11980),IF(AND(Input!B11980&gt;=20,Input!B11980&lt;=700),Input!B11980,""),"")</f>
        <v/>
      </c>
      <c r="C11980">
        <f>IF(B11980="","",INT(A11980))</f>
        <v/>
      </c>
      <c r="D11980">
        <f>IF(B11980="","",HOUR(A11980))</f>
        <v/>
      </c>
    </row>
    <row r="11981">
      <c r="A11981">
        <f>Input!A11981</f>
        <v/>
      </c>
      <c r="B11981">
        <f>IF(ISNUMBER(Input!B11981),IF(AND(Input!B11981&gt;=20,Input!B11981&lt;=700),Input!B11981,""),"")</f>
        <v/>
      </c>
      <c r="C11981">
        <f>IF(B11981="","",INT(A11981))</f>
        <v/>
      </c>
      <c r="D11981">
        <f>IF(B11981="","",HOUR(A11981))</f>
        <v/>
      </c>
    </row>
    <row r="11982">
      <c r="A11982">
        <f>Input!A11982</f>
        <v/>
      </c>
      <c r="B11982">
        <f>IF(ISNUMBER(Input!B11982),IF(AND(Input!B11982&gt;=20,Input!B11982&lt;=700),Input!B11982,""),"")</f>
        <v/>
      </c>
      <c r="C11982">
        <f>IF(B11982="","",INT(A11982))</f>
        <v/>
      </c>
      <c r="D11982">
        <f>IF(B11982="","",HOUR(A11982))</f>
        <v/>
      </c>
    </row>
    <row r="11983">
      <c r="A11983">
        <f>Input!A11983</f>
        <v/>
      </c>
      <c r="B11983">
        <f>IF(ISNUMBER(Input!B11983),IF(AND(Input!B11983&gt;=20,Input!B11983&lt;=700),Input!B11983,""),"")</f>
        <v/>
      </c>
      <c r="C11983">
        <f>IF(B11983="","",INT(A11983))</f>
        <v/>
      </c>
      <c r="D11983">
        <f>IF(B11983="","",HOUR(A11983))</f>
        <v/>
      </c>
    </row>
    <row r="11984">
      <c r="A11984">
        <f>Input!A11984</f>
        <v/>
      </c>
      <c r="B11984">
        <f>IF(ISNUMBER(Input!B11984),IF(AND(Input!B11984&gt;=20,Input!B11984&lt;=700),Input!B11984,""),"")</f>
        <v/>
      </c>
      <c r="C11984">
        <f>IF(B11984="","",INT(A11984))</f>
        <v/>
      </c>
      <c r="D11984">
        <f>IF(B11984="","",HOUR(A11984))</f>
        <v/>
      </c>
    </row>
    <row r="11985">
      <c r="A11985">
        <f>Input!A11985</f>
        <v/>
      </c>
      <c r="B11985">
        <f>IF(ISNUMBER(Input!B11985),IF(AND(Input!B11985&gt;=20,Input!B11985&lt;=700),Input!B11985,""),"")</f>
        <v/>
      </c>
      <c r="C11985">
        <f>IF(B11985="","",INT(A11985))</f>
        <v/>
      </c>
      <c r="D11985">
        <f>IF(B11985="","",HOUR(A11985))</f>
        <v/>
      </c>
    </row>
    <row r="11986">
      <c r="A11986">
        <f>Input!A11986</f>
        <v/>
      </c>
      <c r="B11986">
        <f>IF(ISNUMBER(Input!B11986),IF(AND(Input!B11986&gt;=20,Input!B11986&lt;=700),Input!B11986,""),"")</f>
        <v/>
      </c>
      <c r="C11986">
        <f>IF(B11986="","",INT(A11986))</f>
        <v/>
      </c>
      <c r="D11986">
        <f>IF(B11986="","",HOUR(A11986))</f>
        <v/>
      </c>
    </row>
    <row r="11987">
      <c r="A11987">
        <f>Input!A11987</f>
        <v/>
      </c>
      <c r="B11987">
        <f>IF(ISNUMBER(Input!B11987),IF(AND(Input!B11987&gt;=20,Input!B11987&lt;=700),Input!B11987,""),"")</f>
        <v/>
      </c>
      <c r="C11987">
        <f>IF(B11987="","",INT(A11987))</f>
        <v/>
      </c>
      <c r="D11987">
        <f>IF(B11987="","",HOUR(A11987))</f>
        <v/>
      </c>
    </row>
    <row r="11988">
      <c r="A11988">
        <f>Input!A11988</f>
        <v/>
      </c>
      <c r="B11988">
        <f>IF(ISNUMBER(Input!B11988),IF(AND(Input!B11988&gt;=20,Input!B11988&lt;=700),Input!B11988,""),"")</f>
        <v/>
      </c>
      <c r="C11988">
        <f>IF(B11988="","",INT(A11988))</f>
        <v/>
      </c>
      <c r="D11988">
        <f>IF(B11988="","",HOUR(A11988))</f>
        <v/>
      </c>
    </row>
    <row r="11989">
      <c r="A11989">
        <f>Input!A11989</f>
        <v/>
      </c>
      <c r="B11989">
        <f>IF(ISNUMBER(Input!B11989),IF(AND(Input!B11989&gt;=20,Input!B11989&lt;=700),Input!B11989,""),"")</f>
        <v/>
      </c>
      <c r="C11989">
        <f>IF(B11989="","",INT(A11989))</f>
        <v/>
      </c>
      <c r="D11989">
        <f>IF(B11989="","",HOUR(A11989))</f>
        <v/>
      </c>
    </row>
    <row r="11990">
      <c r="A11990">
        <f>Input!A11990</f>
        <v/>
      </c>
      <c r="B11990">
        <f>IF(ISNUMBER(Input!B11990),IF(AND(Input!B11990&gt;=20,Input!B11990&lt;=700),Input!B11990,""),"")</f>
        <v/>
      </c>
      <c r="C11990">
        <f>IF(B11990="","",INT(A11990))</f>
        <v/>
      </c>
      <c r="D11990">
        <f>IF(B11990="","",HOUR(A11990))</f>
        <v/>
      </c>
    </row>
    <row r="11991">
      <c r="A11991">
        <f>Input!A11991</f>
        <v/>
      </c>
      <c r="B11991">
        <f>IF(ISNUMBER(Input!B11991),IF(AND(Input!B11991&gt;=20,Input!B11991&lt;=700),Input!B11991,""),"")</f>
        <v/>
      </c>
      <c r="C11991">
        <f>IF(B11991="","",INT(A11991))</f>
        <v/>
      </c>
      <c r="D11991">
        <f>IF(B11991="","",HOUR(A11991))</f>
        <v/>
      </c>
    </row>
    <row r="11992">
      <c r="A11992">
        <f>Input!A11992</f>
        <v/>
      </c>
      <c r="B11992">
        <f>IF(ISNUMBER(Input!B11992),IF(AND(Input!B11992&gt;=20,Input!B11992&lt;=700),Input!B11992,""),"")</f>
        <v/>
      </c>
      <c r="C11992">
        <f>IF(B11992="","",INT(A11992))</f>
        <v/>
      </c>
      <c r="D11992">
        <f>IF(B11992="","",HOUR(A11992))</f>
        <v/>
      </c>
    </row>
    <row r="11993">
      <c r="A11993">
        <f>Input!A11993</f>
        <v/>
      </c>
      <c r="B11993">
        <f>IF(ISNUMBER(Input!B11993),IF(AND(Input!B11993&gt;=20,Input!B11993&lt;=700),Input!B11993,""),"")</f>
        <v/>
      </c>
      <c r="C11993">
        <f>IF(B11993="","",INT(A11993))</f>
        <v/>
      </c>
      <c r="D11993">
        <f>IF(B11993="","",HOUR(A11993))</f>
        <v/>
      </c>
    </row>
    <row r="11994">
      <c r="A11994">
        <f>Input!A11994</f>
        <v/>
      </c>
      <c r="B11994">
        <f>IF(ISNUMBER(Input!B11994),IF(AND(Input!B11994&gt;=20,Input!B11994&lt;=700),Input!B11994,""),"")</f>
        <v/>
      </c>
      <c r="C11994">
        <f>IF(B11994="","",INT(A11994))</f>
        <v/>
      </c>
      <c r="D11994">
        <f>IF(B11994="","",HOUR(A11994))</f>
        <v/>
      </c>
    </row>
    <row r="11995">
      <c r="A11995">
        <f>Input!A11995</f>
        <v/>
      </c>
      <c r="B11995">
        <f>IF(ISNUMBER(Input!B11995),IF(AND(Input!B11995&gt;=20,Input!B11995&lt;=700),Input!B11995,""),"")</f>
        <v/>
      </c>
      <c r="C11995">
        <f>IF(B11995="","",INT(A11995))</f>
        <v/>
      </c>
      <c r="D11995">
        <f>IF(B11995="","",HOUR(A11995))</f>
        <v/>
      </c>
    </row>
    <row r="11996">
      <c r="A11996">
        <f>Input!A11996</f>
        <v/>
      </c>
      <c r="B11996">
        <f>IF(ISNUMBER(Input!B11996),IF(AND(Input!B11996&gt;=20,Input!B11996&lt;=700),Input!B11996,""),"")</f>
        <v/>
      </c>
      <c r="C11996">
        <f>IF(B11996="","",INT(A11996))</f>
        <v/>
      </c>
      <c r="D11996">
        <f>IF(B11996="","",HOUR(A11996))</f>
        <v/>
      </c>
    </row>
    <row r="11997">
      <c r="A11997">
        <f>Input!A11997</f>
        <v/>
      </c>
      <c r="B11997">
        <f>IF(ISNUMBER(Input!B11997),IF(AND(Input!B11997&gt;=20,Input!B11997&lt;=700),Input!B11997,""),"")</f>
        <v/>
      </c>
      <c r="C11997">
        <f>IF(B11997="","",INT(A11997))</f>
        <v/>
      </c>
      <c r="D11997">
        <f>IF(B11997="","",HOUR(A11997))</f>
        <v/>
      </c>
    </row>
    <row r="11998">
      <c r="A11998">
        <f>Input!A11998</f>
        <v/>
      </c>
      <c r="B11998">
        <f>IF(ISNUMBER(Input!B11998),IF(AND(Input!B11998&gt;=20,Input!B11998&lt;=700),Input!B11998,""),"")</f>
        <v/>
      </c>
      <c r="C11998">
        <f>IF(B11998="","",INT(A11998))</f>
        <v/>
      </c>
      <c r="D11998">
        <f>IF(B11998="","",HOUR(A11998))</f>
        <v/>
      </c>
    </row>
    <row r="11999">
      <c r="A11999">
        <f>Input!A11999</f>
        <v/>
      </c>
      <c r="B11999">
        <f>IF(ISNUMBER(Input!B11999),IF(AND(Input!B11999&gt;=20,Input!B11999&lt;=700),Input!B11999,""),"")</f>
        <v/>
      </c>
      <c r="C11999">
        <f>IF(B11999="","",INT(A11999))</f>
        <v/>
      </c>
      <c r="D11999">
        <f>IF(B11999="","",HOUR(A11999))</f>
        <v/>
      </c>
    </row>
    <row r="12000">
      <c r="A12000">
        <f>Input!A12000</f>
        <v/>
      </c>
      <c r="B12000">
        <f>IF(ISNUMBER(Input!B12000),IF(AND(Input!B12000&gt;=20,Input!B12000&lt;=700),Input!B12000,""),"")</f>
        <v/>
      </c>
      <c r="C12000">
        <f>IF(B12000="","",INT(A12000))</f>
        <v/>
      </c>
      <c r="D12000">
        <f>IF(B12000="","",HOUR(A12000))</f>
        <v/>
      </c>
    </row>
    <row r="12001">
      <c r="A12001">
        <f>Input!A12001</f>
        <v/>
      </c>
      <c r="B12001">
        <f>IF(ISNUMBER(Input!B12001),IF(AND(Input!B12001&gt;=20,Input!B12001&lt;=700),Input!B12001,""),"")</f>
        <v/>
      </c>
      <c r="C12001">
        <f>IF(B12001="","",INT(A12001))</f>
        <v/>
      </c>
      <c r="D12001">
        <f>IF(B12001="","",HOUR(A12001))</f>
        <v/>
      </c>
    </row>
    <row r="12002">
      <c r="A12002">
        <f>Input!A12002</f>
        <v/>
      </c>
      <c r="B12002">
        <f>IF(ISNUMBER(Input!B12002),IF(AND(Input!B12002&gt;=20,Input!B12002&lt;=700),Input!B12002,""),"")</f>
        <v/>
      </c>
      <c r="C12002">
        <f>IF(B12002="","",INT(A12002))</f>
        <v/>
      </c>
      <c r="D12002">
        <f>IF(B12002="","",HOUR(A12002))</f>
        <v/>
      </c>
    </row>
    <row r="12003">
      <c r="A12003">
        <f>Input!A12003</f>
        <v/>
      </c>
      <c r="B12003">
        <f>IF(ISNUMBER(Input!B12003),IF(AND(Input!B12003&gt;=20,Input!B12003&lt;=700),Input!B12003,""),"")</f>
        <v/>
      </c>
      <c r="C12003">
        <f>IF(B12003="","",INT(A12003))</f>
        <v/>
      </c>
      <c r="D12003">
        <f>IF(B12003="","",HOUR(A12003))</f>
        <v/>
      </c>
    </row>
    <row r="12004">
      <c r="A12004">
        <f>Input!A12004</f>
        <v/>
      </c>
      <c r="B12004">
        <f>IF(ISNUMBER(Input!B12004),IF(AND(Input!B12004&gt;=20,Input!B12004&lt;=700),Input!B12004,""),"")</f>
        <v/>
      </c>
      <c r="C12004">
        <f>IF(B12004="","",INT(A12004))</f>
        <v/>
      </c>
      <c r="D12004">
        <f>IF(B12004="","",HOUR(A12004))</f>
        <v/>
      </c>
    </row>
    <row r="12005">
      <c r="A12005">
        <f>Input!A12005</f>
        <v/>
      </c>
      <c r="B12005">
        <f>IF(ISNUMBER(Input!B12005),IF(AND(Input!B12005&gt;=20,Input!B12005&lt;=700),Input!B12005,""),"")</f>
        <v/>
      </c>
      <c r="C12005">
        <f>IF(B12005="","",INT(A12005))</f>
        <v/>
      </c>
      <c r="D12005">
        <f>IF(B12005="","",HOUR(A12005))</f>
        <v/>
      </c>
    </row>
    <row r="12006">
      <c r="A12006">
        <f>Input!A12006</f>
        <v/>
      </c>
      <c r="B12006">
        <f>IF(ISNUMBER(Input!B12006),IF(AND(Input!B12006&gt;=20,Input!B12006&lt;=700),Input!B12006,""),"")</f>
        <v/>
      </c>
      <c r="C12006">
        <f>IF(B12006="","",INT(A12006))</f>
        <v/>
      </c>
      <c r="D12006">
        <f>IF(B12006="","",HOUR(A12006))</f>
        <v/>
      </c>
    </row>
    <row r="12007">
      <c r="A12007">
        <f>Input!A12007</f>
        <v/>
      </c>
      <c r="B12007">
        <f>IF(ISNUMBER(Input!B12007),IF(AND(Input!B12007&gt;=20,Input!B12007&lt;=700),Input!B12007,""),"")</f>
        <v/>
      </c>
      <c r="C12007">
        <f>IF(B12007="","",INT(A12007))</f>
        <v/>
      </c>
      <c r="D12007">
        <f>IF(B12007="","",HOUR(A12007))</f>
        <v/>
      </c>
    </row>
    <row r="12008">
      <c r="A12008">
        <f>Input!A12008</f>
        <v/>
      </c>
      <c r="B12008">
        <f>IF(ISNUMBER(Input!B12008),IF(AND(Input!B12008&gt;=20,Input!B12008&lt;=700),Input!B12008,""),"")</f>
        <v/>
      </c>
      <c r="C12008">
        <f>IF(B12008="","",INT(A12008))</f>
        <v/>
      </c>
      <c r="D12008">
        <f>IF(B12008="","",HOUR(A12008))</f>
        <v/>
      </c>
    </row>
    <row r="12009">
      <c r="A12009">
        <f>Input!A12009</f>
        <v/>
      </c>
      <c r="B12009">
        <f>IF(ISNUMBER(Input!B12009),IF(AND(Input!B12009&gt;=20,Input!B12009&lt;=700),Input!B12009,""),"")</f>
        <v/>
      </c>
      <c r="C12009">
        <f>IF(B12009="","",INT(A12009))</f>
        <v/>
      </c>
      <c r="D12009">
        <f>IF(B12009="","",HOUR(A12009))</f>
        <v/>
      </c>
    </row>
    <row r="12010">
      <c r="A12010">
        <f>Input!A12010</f>
        <v/>
      </c>
      <c r="B12010">
        <f>IF(ISNUMBER(Input!B12010),IF(AND(Input!B12010&gt;=20,Input!B12010&lt;=700),Input!B12010,""),"")</f>
        <v/>
      </c>
      <c r="C12010">
        <f>IF(B12010="","",INT(A12010))</f>
        <v/>
      </c>
      <c r="D12010">
        <f>IF(B12010="","",HOUR(A12010))</f>
        <v/>
      </c>
    </row>
    <row r="12011">
      <c r="A12011">
        <f>Input!A12011</f>
        <v/>
      </c>
      <c r="B12011">
        <f>IF(ISNUMBER(Input!B12011),IF(AND(Input!B12011&gt;=20,Input!B12011&lt;=700),Input!B12011,""),"")</f>
        <v/>
      </c>
      <c r="C12011">
        <f>IF(B12011="","",INT(A12011))</f>
        <v/>
      </c>
      <c r="D12011">
        <f>IF(B12011="","",HOUR(A12011))</f>
        <v/>
      </c>
    </row>
    <row r="12012">
      <c r="A12012">
        <f>Input!A12012</f>
        <v/>
      </c>
      <c r="B12012">
        <f>IF(ISNUMBER(Input!B12012),IF(AND(Input!B12012&gt;=20,Input!B12012&lt;=700),Input!B12012,""),"")</f>
        <v/>
      </c>
      <c r="C12012">
        <f>IF(B12012="","",INT(A12012))</f>
        <v/>
      </c>
      <c r="D12012">
        <f>IF(B12012="","",HOUR(A12012))</f>
        <v/>
      </c>
    </row>
    <row r="12013">
      <c r="A12013">
        <f>Input!A12013</f>
        <v/>
      </c>
      <c r="B12013">
        <f>IF(ISNUMBER(Input!B12013),IF(AND(Input!B12013&gt;=20,Input!B12013&lt;=700),Input!B12013,""),"")</f>
        <v/>
      </c>
      <c r="C12013">
        <f>IF(B12013="","",INT(A12013))</f>
        <v/>
      </c>
      <c r="D12013">
        <f>IF(B12013="","",HOUR(A12013))</f>
        <v/>
      </c>
    </row>
    <row r="12014">
      <c r="A12014">
        <f>Input!A12014</f>
        <v/>
      </c>
      <c r="B12014">
        <f>IF(ISNUMBER(Input!B12014),IF(AND(Input!B12014&gt;=20,Input!B12014&lt;=700),Input!B12014,""),"")</f>
        <v/>
      </c>
      <c r="C12014">
        <f>IF(B12014="","",INT(A12014))</f>
        <v/>
      </c>
      <c r="D12014">
        <f>IF(B12014="","",HOUR(A12014))</f>
        <v/>
      </c>
    </row>
    <row r="12015">
      <c r="A12015">
        <f>Input!A12015</f>
        <v/>
      </c>
      <c r="B12015">
        <f>IF(ISNUMBER(Input!B12015),IF(AND(Input!B12015&gt;=20,Input!B12015&lt;=700),Input!B12015,""),"")</f>
        <v/>
      </c>
      <c r="C12015">
        <f>IF(B12015="","",INT(A12015))</f>
        <v/>
      </c>
      <c r="D12015">
        <f>IF(B12015="","",HOUR(A12015))</f>
        <v/>
      </c>
    </row>
    <row r="12016">
      <c r="A12016">
        <f>Input!A12016</f>
        <v/>
      </c>
      <c r="B12016">
        <f>IF(ISNUMBER(Input!B12016),IF(AND(Input!B12016&gt;=20,Input!B12016&lt;=700),Input!B12016,""),"")</f>
        <v/>
      </c>
      <c r="C12016">
        <f>IF(B12016="","",INT(A12016))</f>
        <v/>
      </c>
      <c r="D12016">
        <f>IF(B12016="","",HOUR(A12016))</f>
        <v/>
      </c>
    </row>
    <row r="12017">
      <c r="A12017">
        <f>Input!A12017</f>
        <v/>
      </c>
      <c r="B12017">
        <f>IF(ISNUMBER(Input!B12017),IF(AND(Input!B12017&gt;=20,Input!B12017&lt;=700),Input!B12017,""),"")</f>
        <v/>
      </c>
      <c r="C12017">
        <f>IF(B12017="","",INT(A12017))</f>
        <v/>
      </c>
      <c r="D12017">
        <f>IF(B12017="","",HOUR(A12017))</f>
        <v/>
      </c>
    </row>
    <row r="12018">
      <c r="A12018">
        <f>Input!A12018</f>
        <v/>
      </c>
      <c r="B12018">
        <f>IF(ISNUMBER(Input!B12018),IF(AND(Input!B12018&gt;=20,Input!B12018&lt;=700),Input!B12018,""),"")</f>
        <v/>
      </c>
      <c r="C12018">
        <f>IF(B12018="","",INT(A12018))</f>
        <v/>
      </c>
      <c r="D12018">
        <f>IF(B12018="","",HOUR(A12018))</f>
        <v/>
      </c>
    </row>
    <row r="12019">
      <c r="A12019">
        <f>Input!A12019</f>
        <v/>
      </c>
      <c r="B12019">
        <f>IF(ISNUMBER(Input!B12019),IF(AND(Input!B12019&gt;=20,Input!B12019&lt;=700),Input!B12019,""),"")</f>
        <v/>
      </c>
      <c r="C12019">
        <f>IF(B12019="","",INT(A12019))</f>
        <v/>
      </c>
      <c r="D12019">
        <f>IF(B12019="","",HOUR(A12019))</f>
        <v/>
      </c>
    </row>
    <row r="12020">
      <c r="A12020">
        <f>Input!A12020</f>
        <v/>
      </c>
      <c r="B12020">
        <f>IF(ISNUMBER(Input!B12020),IF(AND(Input!B12020&gt;=20,Input!B12020&lt;=700),Input!B12020,""),"")</f>
        <v/>
      </c>
      <c r="C12020">
        <f>IF(B12020="","",INT(A12020))</f>
        <v/>
      </c>
      <c r="D12020">
        <f>IF(B12020="","",HOUR(A12020))</f>
        <v/>
      </c>
    </row>
    <row r="12021">
      <c r="A12021">
        <f>Input!A12021</f>
        <v/>
      </c>
      <c r="B12021">
        <f>IF(ISNUMBER(Input!B12021),IF(AND(Input!B12021&gt;=20,Input!B12021&lt;=700),Input!B12021,""),"")</f>
        <v/>
      </c>
      <c r="C12021">
        <f>IF(B12021="","",INT(A12021))</f>
        <v/>
      </c>
      <c r="D12021">
        <f>IF(B12021="","",HOUR(A12021))</f>
        <v/>
      </c>
    </row>
    <row r="12022">
      <c r="A12022">
        <f>Input!A12022</f>
        <v/>
      </c>
      <c r="B12022">
        <f>IF(ISNUMBER(Input!B12022),IF(AND(Input!B12022&gt;=20,Input!B12022&lt;=700),Input!B12022,""),"")</f>
        <v/>
      </c>
      <c r="C12022">
        <f>IF(B12022="","",INT(A12022))</f>
        <v/>
      </c>
      <c r="D12022">
        <f>IF(B12022="","",HOUR(A12022))</f>
        <v/>
      </c>
    </row>
    <row r="12023">
      <c r="A12023">
        <f>Input!A12023</f>
        <v/>
      </c>
      <c r="B12023">
        <f>IF(ISNUMBER(Input!B12023),IF(AND(Input!B12023&gt;=20,Input!B12023&lt;=700),Input!B12023,""),"")</f>
        <v/>
      </c>
      <c r="C12023">
        <f>IF(B12023="","",INT(A12023))</f>
        <v/>
      </c>
      <c r="D12023">
        <f>IF(B12023="","",HOUR(A12023))</f>
        <v/>
      </c>
    </row>
    <row r="12024">
      <c r="A12024">
        <f>Input!A12024</f>
        <v/>
      </c>
      <c r="B12024">
        <f>IF(ISNUMBER(Input!B12024),IF(AND(Input!B12024&gt;=20,Input!B12024&lt;=700),Input!B12024,""),"")</f>
        <v/>
      </c>
      <c r="C12024">
        <f>IF(B12024="","",INT(A12024))</f>
        <v/>
      </c>
      <c r="D12024">
        <f>IF(B12024="","",HOUR(A12024))</f>
        <v/>
      </c>
    </row>
    <row r="12025">
      <c r="A12025">
        <f>Input!A12025</f>
        <v/>
      </c>
      <c r="B12025">
        <f>IF(ISNUMBER(Input!B12025),IF(AND(Input!B12025&gt;=20,Input!B12025&lt;=700),Input!B12025,""),"")</f>
        <v/>
      </c>
      <c r="C12025">
        <f>IF(B12025="","",INT(A12025))</f>
        <v/>
      </c>
      <c r="D12025">
        <f>IF(B12025="","",HOUR(A12025))</f>
        <v/>
      </c>
    </row>
    <row r="12026">
      <c r="A12026">
        <f>Input!A12026</f>
        <v/>
      </c>
      <c r="B12026">
        <f>IF(ISNUMBER(Input!B12026),IF(AND(Input!B12026&gt;=20,Input!B12026&lt;=700),Input!B12026,""),"")</f>
        <v/>
      </c>
      <c r="C12026">
        <f>IF(B12026="","",INT(A12026))</f>
        <v/>
      </c>
      <c r="D12026">
        <f>IF(B12026="","",HOUR(A12026))</f>
        <v/>
      </c>
    </row>
    <row r="12027">
      <c r="A12027">
        <f>Input!A12027</f>
        <v/>
      </c>
      <c r="B12027">
        <f>IF(ISNUMBER(Input!B12027),IF(AND(Input!B12027&gt;=20,Input!B12027&lt;=700),Input!B12027,""),"")</f>
        <v/>
      </c>
      <c r="C12027">
        <f>IF(B12027="","",INT(A12027))</f>
        <v/>
      </c>
      <c r="D12027">
        <f>IF(B12027="","",HOUR(A12027))</f>
        <v/>
      </c>
    </row>
    <row r="12028">
      <c r="A12028">
        <f>Input!A12028</f>
        <v/>
      </c>
      <c r="B12028">
        <f>IF(ISNUMBER(Input!B12028),IF(AND(Input!B12028&gt;=20,Input!B12028&lt;=700),Input!B12028,""),"")</f>
        <v/>
      </c>
      <c r="C12028">
        <f>IF(B12028="","",INT(A12028))</f>
        <v/>
      </c>
      <c r="D12028">
        <f>IF(B12028="","",HOUR(A12028))</f>
        <v/>
      </c>
    </row>
    <row r="12029">
      <c r="A12029">
        <f>Input!A12029</f>
        <v/>
      </c>
      <c r="B12029">
        <f>IF(ISNUMBER(Input!B12029),IF(AND(Input!B12029&gt;=20,Input!B12029&lt;=700),Input!B12029,""),"")</f>
        <v/>
      </c>
      <c r="C12029">
        <f>IF(B12029="","",INT(A12029))</f>
        <v/>
      </c>
      <c r="D12029">
        <f>IF(B12029="","",HOUR(A12029))</f>
        <v/>
      </c>
    </row>
    <row r="12030">
      <c r="A12030">
        <f>Input!A12030</f>
        <v/>
      </c>
      <c r="B12030">
        <f>IF(ISNUMBER(Input!B12030),IF(AND(Input!B12030&gt;=20,Input!B12030&lt;=700),Input!B12030,""),"")</f>
        <v/>
      </c>
      <c r="C12030">
        <f>IF(B12030="","",INT(A12030))</f>
        <v/>
      </c>
      <c r="D12030">
        <f>IF(B12030="","",HOUR(A12030))</f>
        <v/>
      </c>
    </row>
    <row r="12031">
      <c r="A12031">
        <f>Input!A12031</f>
        <v/>
      </c>
      <c r="B12031">
        <f>IF(ISNUMBER(Input!B12031),IF(AND(Input!B12031&gt;=20,Input!B12031&lt;=700),Input!B12031,""),"")</f>
        <v/>
      </c>
      <c r="C12031">
        <f>IF(B12031="","",INT(A12031))</f>
        <v/>
      </c>
      <c r="D12031">
        <f>IF(B12031="","",HOUR(A12031))</f>
        <v/>
      </c>
    </row>
    <row r="12032">
      <c r="A12032">
        <f>Input!A12032</f>
        <v/>
      </c>
      <c r="B12032">
        <f>IF(ISNUMBER(Input!B12032),IF(AND(Input!B12032&gt;=20,Input!B12032&lt;=700),Input!B12032,""),"")</f>
        <v/>
      </c>
      <c r="C12032">
        <f>IF(B12032="","",INT(A12032))</f>
        <v/>
      </c>
      <c r="D12032">
        <f>IF(B12032="","",HOUR(A12032))</f>
        <v/>
      </c>
    </row>
    <row r="12033">
      <c r="A12033">
        <f>Input!A12033</f>
        <v/>
      </c>
      <c r="B12033">
        <f>IF(ISNUMBER(Input!B12033),IF(AND(Input!B12033&gt;=20,Input!B12033&lt;=700),Input!B12033,""),"")</f>
        <v/>
      </c>
      <c r="C12033">
        <f>IF(B12033="","",INT(A12033))</f>
        <v/>
      </c>
      <c r="D12033">
        <f>IF(B12033="","",HOUR(A12033))</f>
        <v/>
      </c>
    </row>
    <row r="12034">
      <c r="A12034">
        <f>Input!A12034</f>
        <v/>
      </c>
      <c r="B12034">
        <f>IF(ISNUMBER(Input!B12034),IF(AND(Input!B12034&gt;=20,Input!B12034&lt;=700),Input!B12034,""),"")</f>
        <v/>
      </c>
      <c r="C12034">
        <f>IF(B12034="","",INT(A12034))</f>
        <v/>
      </c>
      <c r="D12034">
        <f>IF(B12034="","",HOUR(A12034))</f>
        <v/>
      </c>
    </row>
    <row r="12035">
      <c r="A12035">
        <f>Input!A12035</f>
        <v/>
      </c>
      <c r="B12035">
        <f>IF(ISNUMBER(Input!B12035),IF(AND(Input!B12035&gt;=20,Input!B12035&lt;=700),Input!B12035,""),"")</f>
        <v/>
      </c>
      <c r="C12035">
        <f>IF(B12035="","",INT(A12035))</f>
        <v/>
      </c>
      <c r="D12035">
        <f>IF(B12035="","",HOUR(A12035))</f>
        <v/>
      </c>
    </row>
    <row r="12036">
      <c r="A12036">
        <f>Input!A12036</f>
        <v/>
      </c>
      <c r="B12036">
        <f>IF(ISNUMBER(Input!B12036),IF(AND(Input!B12036&gt;=20,Input!B12036&lt;=700),Input!B12036,""),"")</f>
        <v/>
      </c>
      <c r="C12036">
        <f>IF(B12036="","",INT(A12036))</f>
        <v/>
      </c>
      <c r="D12036">
        <f>IF(B12036="","",HOUR(A12036))</f>
        <v/>
      </c>
    </row>
    <row r="12037">
      <c r="A12037">
        <f>Input!A12037</f>
        <v/>
      </c>
      <c r="B12037">
        <f>IF(ISNUMBER(Input!B12037),IF(AND(Input!B12037&gt;=20,Input!B12037&lt;=700),Input!B12037,""),"")</f>
        <v/>
      </c>
      <c r="C12037">
        <f>IF(B12037="","",INT(A12037))</f>
        <v/>
      </c>
      <c r="D12037">
        <f>IF(B12037="","",HOUR(A12037))</f>
        <v/>
      </c>
    </row>
    <row r="12038">
      <c r="A12038">
        <f>Input!A12038</f>
        <v/>
      </c>
      <c r="B12038">
        <f>IF(ISNUMBER(Input!B12038),IF(AND(Input!B12038&gt;=20,Input!B12038&lt;=700),Input!B12038,""),"")</f>
        <v/>
      </c>
      <c r="C12038">
        <f>IF(B12038="","",INT(A12038))</f>
        <v/>
      </c>
      <c r="D12038">
        <f>IF(B12038="","",HOUR(A12038))</f>
        <v/>
      </c>
    </row>
    <row r="12039">
      <c r="A12039">
        <f>Input!A12039</f>
        <v/>
      </c>
      <c r="B12039">
        <f>IF(ISNUMBER(Input!B12039),IF(AND(Input!B12039&gt;=20,Input!B12039&lt;=700),Input!B12039,""),"")</f>
        <v/>
      </c>
      <c r="C12039">
        <f>IF(B12039="","",INT(A12039))</f>
        <v/>
      </c>
      <c r="D12039">
        <f>IF(B12039="","",HOUR(A12039))</f>
        <v/>
      </c>
    </row>
    <row r="12040">
      <c r="A12040">
        <f>Input!A12040</f>
        <v/>
      </c>
      <c r="B12040">
        <f>IF(ISNUMBER(Input!B12040),IF(AND(Input!B12040&gt;=20,Input!B12040&lt;=700),Input!B12040,""),"")</f>
        <v/>
      </c>
      <c r="C12040">
        <f>IF(B12040="","",INT(A12040))</f>
        <v/>
      </c>
      <c r="D12040">
        <f>IF(B12040="","",HOUR(A12040))</f>
        <v/>
      </c>
    </row>
    <row r="12041">
      <c r="A12041">
        <f>Input!A12041</f>
        <v/>
      </c>
      <c r="B12041">
        <f>IF(ISNUMBER(Input!B12041),IF(AND(Input!B12041&gt;=20,Input!B12041&lt;=700),Input!B12041,""),"")</f>
        <v/>
      </c>
      <c r="C12041">
        <f>IF(B12041="","",INT(A12041))</f>
        <v/>
      </c>
      <c r="D12041">
        <f>IF(B12041="","",HOUR(A12041))</f>
        <v/>
      </c>
    </row>
    <row r="12042">
      <c r="A12042">
        <f>Input!A12042</f>
        <v/>
      </c>
      <c r="B12042">
        <f>IF(ISNUMBER(Input!B12042),IF(AND(Input!B12042&gt;=20,Input!B12042&lt;=700),Input!B12042,""),"")</f>
        <v/>
      </c>
      <c r="C12042">
        <f>IF(B12042="","",INT(A12042))</f>
        <v/>
      </c>
      <c r="D12042">
        <f>IF(B12042="","",HOUR(A12042))</f>
        <v/>
      </c>
    </row>
    <row r="12043">
      <c r="A12043">
        <f>Input!A12043</f>
        <v/>
      </c>
      <c r="B12043">
        <f>IF(ISNUMBER(Input!B12043),IF(AND(Input!B12043&gt;=20,Input!B12043&lt;=700),Input!B12043,""),"")</f>
        <v/>
      </c>
      <c r="C12043">
        <f>IF(B12043="","",INT(A12043))</f>
        <v/>
      </c>
      <c r="D12043">
        <f>IF(B12043="","",HOUR(A12043))</f>
        <v/>
      </c>
    </row>
    <row r="12044">
      <c r="A12044">
        <f>Input!A12044</f>
        <v/>
      </c>
      <c r="B12044">
        <f>IF(ISNUMBER(Input!B12044),IF(AND(Input!B12044&gt;=20,Input!B12044&lt;=700),Input!B12044,""),"")</f>
        <v/>
      </c>
      <c r="C12044">
        <f>IF(B12044="","",INT(A12044))</f>
        <v/>
      </c>
      <c r="D12044">
        <f>IF(B12044="","",HOUR(A12044))</f>
        <v/>
      </c>
    </row>
    <row r="12045">
      <c r="A12045">
        <f>Input!A12045</f>
        <v/>
      </c>
      <c r="B12045">
        <f>IF(ISNUMBER(Input!B12045),IF(AND(Input!B12045&gt;=20,Input!B12045&lt;=700),Input!B12045,""),"")</f>
        <v/>
      </c>
      <c r="C12045">
        <f>IF(B12045="","",INT(A12045))</f>
        <v/>
      </c>
      <c r="D12045">
        <f>IF(B12045="","",HOUR(A12045))</f>
        <v/>
      </c>
    </row>
    <row r="12046">
      <c r="A12046">
        <f>Input!A12046</f>
        <v/>
      </c>
      <c r="B12046">
        <f>IF(ISNUMBER(Input!B12046),IF(AND(Input!B12046&gt;=20,Input!B12046&lt;=700),Input!B12046,""),"")</f>
        <v/>
      </c>
      <c r="C12046">
        <f>IF(B12046="","",INT(A12046))</f>
        <v/>
      </c>
      <c r="D12046">
        <f>IF(B12046="","",HOUR(A12046))</f>
        <v/>
      </c>
    </row>
    <row r="12047">
      <c r="A12047">
        <f>Input!A12047</f>
        <v/>
      </c>
      <c r="B12047">
        <f>IF(ISNUMBER(Input!B12047),IF(AND(Input!B12047&gt;=20,Input!B12047&lt;=700),Input!B12047,""),"")</f>
        <v/>
      </c>
      <c r="C12047">
        <f>IF(B12047="","",INT(A12047))</f>
        <v/>
      </c>
      <c r="D12047">
        <f>IF(B12047="","",HOUR(A12047))</f>
        <v/>
      </c>
    </row>
    <row r="12048">
      <c r="A12048">
        <f>Input!A12048</f>
        <v/>
      </c>
      <c r="B12048">
        <f>IF(ISNUMBER(Input!B12048),IF(AND(Input!B12048&gt;=20,Input!B12048&lt;=700),Input!B12048,""),"")</f>
        <v/>
      </c>
      <c r="C12048">
        <f>IF(B12048="","",INT(A12048))</f>
        <v/>
      </c>
      <c r="D12048">
        <f>IF(B12048="","",HOUR(A12048))</f>
        <v/>
      </c>
    </row>
    <row r="12049">
      <c r="A12049">
        <f>Input!A12049</f>
        <v/>
      </c>
      <c r="B12049">
        <f>IF(ISNUMBER(Input!B12049),IF(AND(Input!B12049&gt;=20,Input!B12049&lt;=700),Input!B12049,""),"")</f>
        <v/>
      </c>
      <c r="C12049">
        <f>IF(B12049="","",INT(A12049))</f>
        <v/>
      </c>
      <c r="D12049">
        <f>IF(B12049="","",HOUR(A12049))</f>
        <v/>
      </c>
    </row>
    <row r="12050">
      <c r="A12050">
        <f>Input!A12050</f>
        <v/>
      </c>
      <c r="B12050">
        <f>IF(ISNUMBER(Input!B12050),IF(AND(Input!B12050&gt;=20,Input!B12050&lt;=700),Input!B12050,""),"")</f>
        <v/>
      </c>
      <c r="C12050">
        <f>IF(B12050="","",INT(A12050))</f>
        <v/>
      </c>
      <c r="D12050">
        <f>IF(B12050="","",HOUR(A12050))</f>
        <v/>
      </c>
    </row>
    <row r="12051">
      <c r="A12051">
        <f>Input!A12051</f>
        <v/>
      </c>
      <c r="B12051">
        <f>IF(ISNUMBER(Input!B12051),IF(AND(Input!B12051&gt;=20,Input!B12051&lt;=700),Input!B12051,""),"")</f>
        <v/>
      </c>
      <c r="C12051">
        <f>IF(B12051="","",INT(A12051))</f>
        <v/>
      </c>
      <c r="D12051">
        <f>IF(B12051="","",HOUR(A12051))</f>
        <v/>
      </c>
    </row>
    <row r="12052">
      <c r="A12052">
        <f>Input!A12052</f>
        <v/>
      </c>
      <c r="B12052">
        <f>IF(ISNUMBER(Input!B12052),IF(AND(Input!B12052&gt;=20,Input!B12052&lt;=700),Input!B12052,""),"")</f>
        <v/>
      </c>
      <c r="C12052">
        <f>IF(B12052="","",INT(A12052))</f>
        <v/>
      </c>
      <c r="D12052">
        <f>IF(B12052="","",HOUR(A12052))</f>
        <v/>
      </c>
    </row>
    <row r="12053">
      <c r="A12053">
        <f>Input!A12053</f>
        <v/>
      </c>
      <c r="B12053">
        <f>IF(ISNUMBER(Input!B12053),IF(AND(Input!B12053&gt;=20,Input!B12053&lt;=700),Input!B12053,""),"")</f>
        <v/>
      </c>
      <c r="C12053">
        <f>IF(B12053="","",INT(A12053))</f>
        <v/>
      </c>
      <c r="D12053">
        <f>IF(B12053="","",HOUR(A12053))</f>
        <v/>
      </c>
    </row>
    <row r="12054">
      <c r="A12054">
        <f>Input!A12054</f>
        <v/>
      </c>
      <c r="B12054">
        <f>IF(ISNUMBER(Input!B12054),IF(AND(Input!B12054&gt;=20,Input!B12054&lt;=700),Input!B12054,""),"")</f>
        <v/>
      </c>
      <c r="C12054">
        <f>IF(B12054="","",INT(A12054))</f>
        <v/>
      </c>
      <c r="D12054">
        <f>IF(B12054="","",HOUR(A12054))</f>
        <v/>
      </c>
    </row>
    <row r="12055">
      <c r="A12055">
        <f>Input!A12055</f>
        <v/>
      </c>
      <c r="B12055">
        <f>IF(ISNUMBER(Input!B12055),IF(AND(Input!B12055&gt;=20,Input!B12055&lt;=700),Input!B12055,""),"")</f>
        <v/>
      </c>
      <c r="C12055">
        <f>IF(B12055="","",INT(A12055))</f>
        <v/>
      </c>
      <c r="D12055">
        <f>IF(B12055="","",HOUR(A12055))</f>
        <v/>
      </c>
    </row>
    <row r="12056">
      <c r="A12056">
        <f>Input!A12056</f>
        <v/>
      </c>
      <c r="B12056">
        <f>IF(ISNUMBER(Input!B12056),IF(AND(Input!B12056&gt;=20,Input!B12056&lt;=700),Input!B12056,""),"")</f>
        <v/>
      </c>
      <c r="C12056">
        <f>IF(B12056="","",INT(A12056))</f>
        <v/>
      </c>
      <c r="D12056">
        <f>IF(B12056="","",HOUR(A12056))</f>
        <v/>
      </c>
    </row>
    <row r="12057">
      <c r="A12057">
        <f>Input!A12057</f>
        <v/>
      </c>
      <c r="B12057">
        <f>IF(ISNUMBER(Input!B12057),IF(AND(Input!B12057&gt;=20,Input!B12057&lt;=700),Input!B12057,""),"")</f>
        <v/>
      </c>
      <c r="C12057">
        <f>IF(B12057="","",INT(A12057))</f>
        <v/>
      </c>
      <c r="D12057">
        <f>IF(B12057="","",HOUR(A12057))</f>
        <v/>
      </c>
    </row>
    <row r="12058">
      <c r="A12058">
        <f>Input!A12058</f>
        <v/>
      </c>
      <c r="B12058">
        <f>IF(ISNUMBER(Input!B12058),IF(AND(Input!B12058&gt;=20,Input!B12058&lt;=700),Input!B12058,""),"")</f>
        <v/>
      </c>
      <c r="C12058">
        <f>IF(B12058="","",INT(A12058))</f>
        <v/>
      </c>
      <c r="D12058">
        <f>IF(B12058="","",HOUR(A12058))</f>
        <v/>
      </c>
    </row>
    <row r="12059">
      <c r="A12059">
        <f>Input!A12059</f>
        <v/>
      </c>
      <c r="B12059">
        <f>IF(ISNUMBER(Input!B12059),IF(AND(Input!B12059&gt;=20,Input!B12059&lt;=700),Input!B12059,""),"")</f>
        <v/>
      </c>
      <c r="C12059">
        <f>IF(B12059="","",INT(A12059))</f>
        <v/>
      </c>
      <c r="D12059">
        <f>IF(B12059="","",HOUR(A12059))</f>
        <v/>
      </c>
    </row>
    <row r="12060">
      <c r="A12060">
        <f>Input!A12060</f>
        <v/>
      </c>
      <c r="B12060">
        <f>IF(ISNUMBER(Input!B12060),IF(AND(Input!B12060&gt;=20,Input!B12060&lt;=700),Input!B12060,""),"")</f>
        <v/>
      </c>
      <c r="C12060">
        <f>IF(B12060="","",INT(A12060))</f>
        <v/>
      </c>
      <c r="D12060">
        <f>IF(B12060="","",HOUR(A12060))</f>
        <v/>
      </c>
    </row>
    <row r="12061">
      <c r="A12061">
        <f>Input!A12061</f>
        <v/>
      </c>
      <c r="B12061">
        <f>IF(ISNUMBER(Input!B12061),IF(AND(Input!B12061&gt;=20,Input!B12061&lt;=700),Input!B12061,""),"")</f>
        <v/>
      </c>
      <c r="C12061">
        <f>IF(B12061="","",INT(A12061))</f>
        <v/>
      </c>
      <c r="D12061">
        <f>IF(B12061="","",HOUR(A12061))</f>
        <v/>
      </c>
    </row>
    <row r="12062">
      <c r="A12062">
        <f>Input!A12062</f>
        <v/>
      </c>
      <c r="B12062">
        <f>IF(ISNUMBER(Input!B12062),IF(AND(Input!B12062&gt;=20,Input!B12062&lt;=700),Input!B12062,""),"")</f>
        <v/>
      </c>
      <c r="C12062">
        <f>IF(B12062="","",INT(A12062))</f>
        <v/>
      </c>
      <c r="D12062">
        <f>IF(B12062="","",HOUR(A12062))</f>
        <v/>
      </c>
    </row>
    <row r="12063">
      <c r="A12063">
        <f>Input!A12063</f>
        <v/>
      </c>
      <c r="B12063">
        <f>IF(ISNUMBER(Input!B12063),IF(AND(Input!B12063&gt;=20,Input!B12063&lt;=700),Input!B12063,""),"")</f>
        <v/>
      </c>
      <c r="C12063">
        <f>IF(B12063="","",INT(A12063))</f>
        <v/>
      </c>
      <c r="D12063">
        <f>IF(B12063="","",HOUR(A12063))</f>
        <v/>
      </c>
    </row>
    <row r="12064">
      <c r="A12064">
        <f>Input!A12064</f>
        <v/>
      </c>
      <c r="B12064">
        <f>IF(ISNUMBER(Input!B12064),IF(AND(Input!B12064&gt;=20,Input!B12064&lt;=700),Input!B12064,""),"")</f>
        <v/>
      </c>
      <c r="C12064">
        <f>IF(B12064="","",INT(A12064))</f>
        <v/>
      </c>
      <c r="D12064">
        <f>IF(B12064="","",HOUR(A12064))</f>
        <v/>
      </c>
    </row>
    <row r="12065">
      <c r="A12065">
        <f>Input!A12065</f>
        <v/>
      </c>
      <c r="B12065">
        <f>IF(ISNUMBER(Input!B12065),IF(AND(Input!B12065&gt;=20,Input!B12065&lt;=700),Input!B12065,""),"")</f>
        <v/>
      </c>
      <c r="C12065">
        <f>IF(B12065="","",INT(A12065))</f>
        <v/>
      </c>
      <c r="D12065">
        <f>IF(B12065="","",HOUR(A12065))</f>
        <v/>
      </c>
    </row>
    <row r="12066">
      <c r="A12066">
        <f>Input!A12066</f>
        <v/>
      </c>
      <c r="B12066">
        <f>IF(ISNUMBER(Input!B12066),IF(AND(Input!B12066&gt;=20,Input!B12066&lt;=700),Input!B12066,""),"")</f>
        <v/>
      </c>
      <c r="C12066">
        <f>IF(B12066="","",INT(A12066))</f>
        <v/>
      </c>
      <c r="D12066">
        <f>IF(B12066="","",HOUR(A12066))</f>
        <v/>
      </c>
    </row>
    <row r="12067">
      <c r="A12067">
        <f>Input!A12067</f>
        <v/>
      </c>
      <c r="B12067">
        <f>IF(ISNUMBER(Input!B12067),IF(AND(Input!B12067&gt;=20,Input!B12067&lt;=700),Input!B12067,""),"")</f>
        <v/>
      </c>
      <c r="C12067">
        <f>IF(B12067="","",INT(A12067))</f>
        <v/>
      </c>
      <c r="D12067">
        <f>IF(B12067="","",HOUR(A12067))</f>
        <v/>
      </c>
    </row>
    <row r="12068">
      <c r="A12068">
        <f>Input!A12068</f>
        <v/>
      </c>
      <c r="B12068">
        <f>IF(ISNUMBER(Input!B12068),IF(AND(Input!B12068&gt;=20,Input!B12068&lt;=700),Input!B12068,""),"")</f>
        <v/>
      </c>
      <c r="C12068">
        <f>IF(B12068="","",INT(A12068))</f>
        <v/>
      </c>
      <c r="D12068">
        <f>IF(B12068="","",HOUR(A12068))</f>
        <v/>
      </c>
    </row>
    <row r="12069">
      <c r="A12069">
        <f>Input!A12069</f>
        <v/>
      </c>
      <c r="B12069">
        <f>IF(ISNUMBER(Input!B12069),IF(AND(Input!B12069&gt;=20,Input!B12069&lt;=700),Input!B12069,""),"")</f>
        <v/>
      </c>
      <c r="C12069">
        <f>IF(B12069="","",INT(A12069))</f>
        <v/>
      </c>
      <c r="D12069">
        <f>IF(B12069="","",HOUR(A12069))</f>
        <v/>
      </c>
    </row>
    <row r="12070">
      <c r="A12070">
        <f>Input!A12070</f>
        <v/>
      </c>
      <c r="B12070">
        <f>IF(ISNUMBER(Input!B12070),IF(AND(Input!B12070&gt;=20,Input!B12070&lt;=700),Input!B12070,""),"")</f>
        <v/>
      </c>
      <c r="C12070">
        <f>IF(B12070="","",INT(A12070))</f>
        <v/>
      </c>
      <c r="D12070">
        <f>IF(B12070="","",HOUR(A12070))</f>
        <v/>
      </c>
    </row>
    <row r="12071">
      <c r="A12071">
        <f>Input!A12071</f>
        <v/>
      </c>
      <c r="B12071">
        <f>IF(ISNUMBER(Input!B12071),IF(AND(Input!B12071&gt;=20,Input!B12071&lt;=700),Input!B12071,""),"")</f>
        <v/>
      </c>
      <c r="C12071">
        <f>IF(B12071="","",INT(A12071))</f>
        <v/>
      </c>
      <c r="D12071">
        <f>IF(B12071="","",HOUR(A12071))</f>
        <v/>
      </c>
    </row>
    <row r="12072">
      <c r="A12072">
        <f>Input!A12072</f>
        <v/>
      </c>
      <c r="B12072">
        <f>IF(ISNUMBER(Input!B12072),IF(AND(Input!B12072&gt;=20,Input!B12072&lt;=700),Input!B12072,""),"")</f>
        <v/>
      </c>
      <c r="C12072">
        <f>IF(B12072="","",INT(A12072))</f>
        <v/>
      </c>
      <c r="D12072">
        <f>IF(B12072="","",HOUR(A12072))</f>
        <v/>
      </c>
    </row>
    <row r="12073">
      <c r="A12073">
        <f>Input!A12073</f>
        <v/>
      </c>
      <c r="B12073">
        <f>IF(ISNUMBER(Input!B12073),IF(AND(Input!B12073&gt;=20,Input!B12073&lt;=700),Input!B12073,""),"")</f>
        <v/>
      </c>
      <c r="C12073">
        <f>IF(B12073="","",INT(A12073))</f>
        <v/>
      </c>
      <c r="D12073">
        <f>IF(B12073="","",HOUR(A12073))</f>
        <v/>
      </c>
    </row>
    <row r="12074">
      <c r="A12074">
        <f>Input!A12074</f>
        <v/>
      </c>
      <c r="B12074">
        <f>IF(ISNUMBER(Input!B12074),IF(AND(Input!B12074&gt;=20,Input!B12074&lt;=700),Input!B12074,""),"")</f>
        <v/>
      </c>
      <c r="C12074">
        <f>IF(B12074="","",INT(A12074))</f>
        <v/>
      </c>
      <c r="D12074">
        <f>IF(B12074="","",HOUR(A12074))</f>
        <v/>
      </c>
    </row>
    <row r="12075">
      <c r="A12075">
        <f>Input!A12075</f>
        <v/>
      </c>
      <c r="B12075">
        <f>IF(ISNUMBER(Input!B12075),IF(AND(Input!B12075&gt;=20,Input!B12075&lt;=700),Input!B12075,""),"")</f>
        <v/>
      </c>
      <c r="C12075">
        <f>IF(B12075="","",INT(A12075))</f>
        <v/>
      </c>
      <c r="D12075">
        <f>IF(B12075="","",HOUR(A12075))</f>
        <v/>
      </c>
    </row>
    <row r="12076">
      <c r="A12076">
        <f>Input!A12076</f>
        <v/>
      </c>
      <c r="B12076">
        <f>IF(ISNUMBER(Input!B12076),IF(AND(Input!B12076&gt;=20,Input!B12076&lt;=700),Input!B12076,""),"")</f>
        <v/>
      </c>
      <c r="C12076">
        <f>IF(B12076="","",INT(A12076))</f>
        <v/>
      </c>
      <c r="D12076">
        <f>IF(B12076="","",HOUR(A12076))</f>
        <v/>
      </c>
    </row>
    <row r="12077">
      <c r="A12077">
        <f>Input!A12077</f>
        <v/>
      </c>
      <c r="B12077">
        <f>IF(ISNUMBER(Input!B12077),IF(AND(Input!B12077&gt;=20,Input!B12077&lt;=700),Input!B12077,""),"")</f>
        <v/>
      </c>
      <c r="C12077">
        <f>IF(B12077="","",INT(A12077))</f>
        <v/>
      </c>
      <c r="D12077">
        <f>IF(B12077="","",HOUR(A12077))</f>
        <v/>
      </c>
    </row>
    <row r="12078">
      <c r="A12078">
        <f>Input!A12078</f>
        <v/>
      </c>
      <c r="B12078">
        <f>IF(ISNUMBER(Input!B12078),IF(AND(Input!B12078&gt;=20,Input!B12078&lt;=700),Input!B12078,""),"")</f>
        <v/>
      </c>
      <c r="C12078">
        <f>IF(B12078="","",INT(A12078))</f>
        <v/>
      </c>
      <c r="D12078">
        <f>IF(B12078="","",HOUR(A12078))</f>
        <v/>
      </c>
    </row>
    <row r="12079">
      <c r="A12079">
        <f>Input!A12079</f>
        <v/>
      </c>
      <c r="B12079">
        <f>IF(ISNUMBER(Input!B12079),IF(AND(Input!B12079&gt;=20,Input!B12079&lt;=700),Input!B12079,""),"")</f>
        <v/>
      </c>
      <c r="C12079">
        <f>IF(B12079="","",INT(A12079))</f>
        <v/>
      </c>
      <c r="D12079">
        <f>IF(B12079="","",HOUR(A12079))</f>
        <v/>
      </c>
    </row>
    <row r="12080">
      <c r="A12080">
        <f>Input!A12080</f>
        <v/>
      </c>
      <c r="B12080">
        <f>IF(ISNUMBER(Input!B12080),IF(AND(Input!B12080&gt;=20,Input!B12080&lt;=700),Input!B12080,""),"")</f>
        <v/>
      </c>
      <c r="C12080">
        <f>IF(B12080="","",INT(A12080))</f>
        <v/>
      </c>
      <c r="D12080">
        <f>IF(B12080="","",HOUR(A12080))</f>
        <v/>
      </c>
    </row>
    <row r="12081">
      <c r="A12081">
        <f>Input!A12081</f>
        <v/>
      </c>
      <c r="B12081">
        <f>IF(ISNUMBER(Input!B12081),IF(AND(Input!B12081&gt;=20,Input!B12081&lt;=700),Input!B12081,""),"")</f>
        <v/>
      </c>
      <c r="C12081">
        <f>IF(B12081="","",INT(A12081))</f>
        <v/>
      </c>
      <c r="D12081">
        <f>IF(B12081="","",HOUR(A12081))</f>
        <v/>
      </c>
    </row>
    <row r="12082">
      <c r="A12082">
        <f>Input!A12082</f>
        <v/>
      </c>
      <c r="B12082">
        <f>IF(ISNUMBER(Input!B12082),IF(AND(Input!B12082&gt;=20,Input!B12082&lt;=700),Input!B12082,""),"")</f>
        <v/>
      </c>
      <c r="C12082">
        <f>IF(B12082="","",INT(A12082))</f>
        <v/>
      </c>
      <c r="D12082">
        <f>IF(B12082="","",HOUR(A12082))</f>
        <v/>
      </c>
    </row>
    <row r="12083">
      <c r="A12083">
        <f>Input!A12083</f>
        <v/>
      </c>
      <c r="B12083">
        <f>IF(ISNUMBER(Input!B12083),IF(AND(Input!B12083&gt;=20,Input!B12083&lt;=700),Input!B12083,""),"")</f>
        <v/>
      </c>
      <c r="C12083">
        <f>IF(B12083="","",INT(A12083))</f>
        <v/>
      </c>
      <c r="D12083">
        <f>IF(B12083="","",HOUR(A12083))</f>
        <v/>
      </c>
    </row>
    <row r="12084">
      <c r="A12084">
        <f>Input!A12084</f>
        <v/>
      </c>
      <c r="B12084">
        <f>IF(ISNUMBER(Input!B12084),IF(AND(Input!B12084&gt;=20,Input!B12084&lt;=700),Input!B12084,""),"")</f>
        <v/>
      </c>
      <c r="C12084">
        <f>IF(B12084="","",INT(A12084))</f>
        <v/>
      </c>
      <c r="D12084">
        <f>IF(B12084="","",HOUR(A12084))</f>
        <v/>
      </c>
    </row>
    <row r="12085">
      <c r="A12085">
        <f>Input!A12085</f>
        <v/>
      </c>
      <c r="B12085">
        <f>IF(ISNUMBER(Input!B12085),IF(AND(Input!B12085&gt;=20,Input!B12085&lt;=700),Input!B12085,""),"")</f>
        <v/>
      </c>
      <c r="C12085">
        <f>IF(B12085="","",INT(A12085))</f>
        <v/>
      </c>
      <c r="D12085">
        <f>IF(B12085="","",HOUR(A12085))</f>
        <v/>
      </c>
    </row>
    <row r="12086">
      <c r="A12086">
        <f>Input!A12086</f>
        <v/>
      </c>
      <c r="B12086">
        <f>IF(ISNUMBER(Input!B12086),IF(AND(Input!B12086&gt;=20,Input!B12086&lt;=700),Input!B12086,""),"")</f>
        <v/>
      </c>
      <c r="C12086">
        <f>IF(B12086="","",INT(A12086))</f>
        <v/>
      </c>
      <c r="D12086">
        <f>IF(B12086="","",HOUR(A12086))</f>
        <v/>
      </c>
    </row>
    <row r="12087">
      <c r="A12087">
        <f>Input!A12087</f>
        <v/>
      </c>
      <c r="B12087">
        <f>IF(ISNUMBER(Input!B12087),IF(AND(Input!B12087&gt;=20,Input!B12087&lt;=700),Input!B12087,""),"")</f>
        <v/>
      </c>
      <c r="C12087">
        <f>IF(B12087="","",INT(A12087))</f>
        <v/>
      </c>
      <c r="D12087">
        <f>IF(B12087="","",HOUR(A12087))</f>
        <v/>
      </c>
    </row>
    <row r="12088">
      <c r="A12088">
        <f>Input!A12088</f>
        <v/>
      </c>
      <c r="B12088">
        <f>IF(ISNUMBER(Input!B12088),IF(AND(Input!B12088&gt;=20,Input!B12088&lt;=700),Input!B12088,""),"")</f>
        <v/>
      </c>
      <c r="C12088">
        <f>IF(B12088="","",INT(A12088))</f>
        <v/>
      </c>
      <c r="D12088">
        <f>IF(B12088="","",HOUR(A12088))</f>
        <v/>
      </c>
    </row>
    <row r="12089">
      <c r="A12089">
        <f>Input!A12089</f>
        <v/>
      </c>
      <c r="B12089">
        <f>IF(ISNUMBER(Input!B12089),IF(AND(Input!B12089&gt;=20,Input!B12089&lt;=700),Input!B12089,""),"")</f>
        <v/>
      </c>
      <c r="C12089">
        <f>IF(B12089="","",INT(A12089))</f>
        <v/>
      </c>
      <c r="D12089">
        <f>IF(B12089="","",HOUR(A12089))</f>
        <v/>
      </c>
    </row>
    <row r="12090">
      <c r="A12090">
        <f>Input!A12090</f>
        <v/>
      </c>
      <c r="B12090">
        <f>IF(ISNUMBER(Input!B12090),IF(AND(Input!B12090&gt;=20,Input!B12090&lt;=700),Input!B12090,""),"")</f>
        <v/>
      </c>
      <c r="C12090">
        <f>IF(B12090="","",INT(A12090))</f>
        <v/>
      </c>
      <c r="D12090">
        <f>IF(B12090="","",HOUR(A12090))</f>
        <v/>
      </c>
    </row>
    <row r="12091">
      <c r="A12091">
        <f>Input!A12091</f>
        <v/>
      </c>
      <c r="B12091">
        <f>IF(ISNUMBER(Input!B12091),IF(AND(Input!B12091&gt;=20,Input!B12091&lt;=700),Input!B12091,""),"")</f>
        <v/>
      </c>
      <c r="C12091">
        <f>IF(B12091="","",INT(A12091))</f>
        <v/>
      </c>
      <c r="D12091">
        <f>IF(B12091="","",HOUR(A12091))</f>
        <v/>
      </c>
    </row>
    <row r="12092">
      <c r="A12092">
        <f>Input!A12092</f>
        <v/>
      </c>
      <c r="B12092">
        <f>IF(ISNUMBER(Input!B12092),IF(AND(Input!B12092&gt;=20,Input!B12092&lt;=700),Input!B12092,""),"")</f>
        <v/>
      </c>
      <c r="C12092">
        <f>IF(B12092="","",INT(A12092))</f>
        <v/>
      </c>
      <c r="D12092">
        <f>IF(B12092="","",HOUR(A12092))</f>
        <v/>
      </c>
    </row>
    <row r="12093">
      <c r="A12093">
        <f>Input!A12093</f>
        <v/>
      </c>
      <c r="B12093">
        <f>IF(ISNUMBER(Input!B12093),IF(AND(Input!B12093&gt;=20,Input!B12093&lt;=700),Input!B12093,""),"")</f>
        <v/>
      </c>
      <c r="C12093">
        <f>IF(B12093="","",INT(A12093))</f>
        <v/>
      </c>
      <c r="D12093">
        <f>IF(B12093="","",HOUR(A12093))</f>
        <v/>
      </c>
    </row>
    <row r="12094">
      <c r="A12094">
        <f>Input!A12094</f>
        <v/>
      </c>
      <c r="B12094">
        <f>IF(ISNUMBER(Input!B12094),IF(AND(Input!B12094&gt;=20,Input!B12094&lt;=700),Input!B12094,""),"")</f>
        <v/>
      </c>
      <c r="C12094">
        <f>IF(B12094="","",INT(A12094))</f>
        <v/>
      </c>
      <c r="D12094">
        <f>IF(B12094="","",HOUR(A12094))</f>
        <v/>
      </c>
    </row>
    <row r="12095">
      <c r="A12095">
        <f>Input!A12095</f>
        <v/>
      </c>
      <c r="B12095">
        <f>IF(ISNUMBER(Input!B12095),IF(AND(Input!B12095&gt;=20,Input!B12095&lt;=700),Input!B12095,""),"")</f>
        <v/>
      </c>
      <c r="C12095">
        <f>IF(B12095="","",INT(A12095))</f>
        <v/>
      </c>
      <c r="D12095">
        <f>IF(B12095="","",HOUR(A12095))</f>
        <v/>
      </c>
    </row>
    <row r="12096">
      <c r="A12096">
        <f>Input!A12096</f>
        <v/>
      </c>
      <c r="B12096">
        <f>IF(ISNUMBER(Input!B12096),IF(AND(Input!B12096&gt;=20,Input!B12096&lt;=700),Input!B12096,""),"")</f>
        <v/>
      </c>
      <c r="C12096">
        <f>IF(B12096="","",INT(A12096))</f>
        <v/>
      </c>
      <c r="D12096">
        <f>IF(B12096="","",HOUR(A12096))</f>
        <v/>
      </c>
    </row>
    <row r="12097">
      <c r="A12097">
        <f>Input!A12097</f>
        <v/>
      </c>
      <c r="B12097">
        <f>IF(ISNUMBER(Input!B12097),IF(AND(Input!B12097&gt;=20,Input!B12097&lt;=700),Input!B12097,""),"")</f>
        <v/>
      </c>
      <c r="C12097">
        <f>IF(B12097="","",INT(A12097))</f>
        <v/>
      </c>
      <c r="D12097">
        <f>IF(B12097="","",HOUR(A12097))</f>
        <v/>
      </c>
    </row>
    <row r="12098">
      <c r="A12098">
        <f>Input!A12098</f>
        <v/>
      </c>
      <c r="B12098">
        <f>IF(ISNUMBER(Input!B12098),IF(AND(Input!B12098&gt;=20,Input!B12098&lt;=700),Input!B12098,""),"")</f>
        <v/>
      </c>
      <c r="C12098">
        <f>IF(B12098="","",INT(A12098))</f>
        <v/>
      </c>
      <c r="D12098">
        <f>IF(B12098="","",HOUR(A12098))</f>
        <v/>
      </c>
    </row>
    <row r="12099">
      <c r="A12099">
        <f>Input!A12099</f>
        <v/>
      </c>
      <c r="B12099">
        <f>IF(ISNUMBER(Input!B12099),IF(AND(Input!B12099&gt;=20,Input!B12099&lt;=700),Input!B12099,""),"")</f>
        <v/>
      </c>
      <c r="C12099">
        <f>IF(B12099="","",INT(A12099))</f>
        <v/>
      </c>
      <c r="D12099">
        <f>IF(B12099="","",HOUR(A12099))</f>
        <v/>
      </c>
    </row>
    <row r="12100">
      <c r="A12100">
        <f>Input!A12100</f>
        <v/>
      </c>
      <c r="B12100">
        <f>IF(ISNUMBER(Input!B12100),IF(AND(Input!B12100&gt;=20,Input!B12100&lt;=700),Input!B12100,""),"")</f>
        <v/>
      </c>
      <c r="C12100">
        <f>IF(B12100="","",INT(A12100))</f>
        <v/>
      </c>
      <c r="D12100">
        <f>IF(B12100="","",HOUR(A12100))</f>
        <v/>
      </c>
    </row>
    <row r="12101">
      <c r="A12101">
        <f>Input!A12101</f>
        <v/>
      </c>
      <c r="B12101">
        <f>IF(ISNUMBER(Input!B12101),IF(AND(Input!B12101&gt;=20,Input!B12101&lt;=700),Input!B12101,""),"")</f>
        <v/>
      </c>
      <c r="C12101">
        <f>IF(B12101="","",INT(A12101))</f>
        <v/>
      </c>
      <c r="D12101">
        <f>IF(B12101="","",HOUR(A12101))</f>
        <v/>
      </c>
    </row>
    <row r="12102">
      <c r="A12102">
        <f>Input!A12102</f>
        <v/>
      </c>
      <c r="B12102">
        <f>IF(ISNUMBER(Input!B12102),IF(AND(Input!B12102&gt;=20,Input!B12102&lt;=700),Input!B12102,""),"")</f>
        <v/>
      </c>
      <c r="C12102">
        <f>IF(B12102="","",INT(A12102))</f>
        <v/>
      </c>
      <c r="D12102">
        <f>IF(B12102="","",HOUR(A12102))</f>
        <v/>
      </c>
    </row>
    <row r="12103">
      <c r="A12103">
        <f>Input!A12103</f>
        <v/>
      </c>
      <c r="B12103">
        <f>IF(ISNUMBER(Input!B12103),IF(AND(Input!B12103&gt;=20,Input!B12103&lt;=700),Input!B12103,""),"")</f>
        <v/>
      </c>
      <c r="C12103">
        <f>IF(B12103="","",INT(A12103))</f>
        <v/>
      </c>
      <c r="D12103">
        <f>IF(B12103="","",HOUR(A12103))</f>
        <v/>
      </c>
    </row>
    <row r="12104">
      <c r="A12104">
        <f>Input!A12104</f>
        <v/>
      </c>
      <c r="B12104">
        <f>IF(ISNUMBER(Input!B12104),IF(AND(Input!B12104&gt;=20,Input!B12104&lt;=700),Input!B12104,""),"")</f>
        <v/>
      </c>
      <c r="C12104">
        <f>IF(B12104="","",INT(A12104))</f>
        <v/>
      </c>
      <c r="D12104">
        <f>IF(B12104="","",HOUR(A12104))</f>
        <v/>
      </c>
    </row>
    <row r="12105">
      <c r="A12105">
        <f>Input!A12105</f>
        <v/>
      </c>
      <c r="B12105">
        <f>IF(ISNUMBER(Input!B12105),IF(AND(Input!B12105&gt;=20,Input!B12105&lt;=700),Input!B12105,""),"")</f>
        <v/>
      </c>
      <c r="C12105">
        <f>IF(B12105="","",INT(A12105))</f>
        <v/>
      </c>
      <c r="D12105">
        <f>IF(B12105="","",HOUR(A12105))</f>
        <v/>
      </c>
    </row>
    <row r="12106">
      <c r="A12106">
        <f>Input!A12106</f>
        <v/>
      </c>
      <c r="B12106">
        <f>IF(ISNUMBER(Input!B12106),IF(AND(Input!B12106&gt;=20,Input!B12106&lt;=700),Input!B12106,""),"")</f>
        <v/>
      </c>
      <c r="C12106">
        <f>IF(B12106="","",INT(A12106))</f>
        <v/>
      </c>
      <c r="D12106">
        <f>IF(B12106="","",HOUR(A12106))</f>
        <v/>
      </c>
    </row>
    <row r="12107">
      <c r="A12107">
        <f>Input!A12107</f>
        <v/>
      </c>
      <c r="B12107">
        <f>IF(ISNUMBER(Input!B12107),IF(AND(Input!B12107&gt;=20,Input!B12107&lt;=700),Input!B12107,""),"")</f>
        <v/>
      </c>
      <c r="C12107">
        <f>IF(B12107="","",INT(A12107))</f>
        <v/>
      </c>
      <c r="D12107">
        <f>IF(B12107="","",HOUR(A12107))</f>
        <v/>
      </c>
    </row>
    <row r="12108">
      <c r="A12108">
        <f>Input!A12108</f>
        <v/>
      </c>
      <c r="B12108">
        <f>IF(ISNUMBER(Input!B12108),IF(AND(Input!B12108&gt;=20,Input!B12108&lt;=700),Input!B12108,""),"")</f>
        <v/>
      </c>
      <c r="C12108">
        <f>IF(B12108="","",INT(A12108))</f>
        <v/>
      </c>
      <c r="D12108">
        <f>IF(B12108="","",HOUR(A12108))</f>
        <v/>
      </c>
    </row>
    <row r="12109">
      <c r="A12109">
        <f>Input!A12109</f>
        <v/>
      </c>
      <c r="B12109">
        <f>IF(ISNUMBER(Input!B12109),IF(AND(Input!B12109&gt;=20,Input!B12109&lt;=700),Input!B12109,""),"")</f>
        <v/>
      </c>
      <c r="C12109">
        <f>IF(B12109="","",INT(A12109))</f>
        <v/>
      </c>
      <c r="D12109">
        <f>IF(B12109="","",HOUR(A12109))</f>
        <v/>
      </c>
    </row>
    <row r="12110">
      <c r="A12110">
        <f>Input!A12110</f>
        <v/>
      </c>
      <c r="B12110">
        <f>IF(ISNUMBER(Input!B12110),IF(AND(Input!B12110&gt;=20,Input!B12110&lt;=700),Input!B12110,""),"")</f>
        <v/>
      </c>
      <c r="C12110">
        <f>IF(B12110="","",INT(A12110))</f>
        <v/>
      </c>
      <c r="D12110">
        <f>IF(B12110="","",HOUR(A12110))</f>
        <v/>
      </c>
    </row>
    <row r="12111">
      <c r="A12111">
        <f>Input!A12111</f>
        <v/>
      </c>
      <c r="B12111">
        <f>IF(ISNUMBER(Input!B12111),IF(AND(Input!B12111&gt;=20,Input!B12111&lt;=700),Input!B12111,""),"")</f>
        <v/>
      </c>
      <c r="C12111">
        <f>IF(B12111="","",INT(A12111))</f>
        <v/>
      </c>
      <c r="D12111">
        <f>IF(B12111="","",HOUR(A12111))</f>
        <v/>
      </c>
    </row>
    <row r="12112">
      <c r="A12112">
        <f>Input!A12112</f>
        <v/>
      </c>
      <c r="B12112">
        <f>IF(ISNUMBER(Input!B12112),IF(AND(Input!B12112&gt;=20,Input!B12112&lt;=700),Input!B12112,""),"")</f>
        <v/>
      </c>
      <c r="C12112">
        <f>IF(B12112="","",INT(A12112))</f>
        <v/>
      </c>
      <c r="D12112">
        <f>IF(B12112="","",HOUR(A12112))</f>
        <v/>
      </c>
    </row>
    <row r="12113">
      <c r="A12113">
        <f>Input!A12113</f>
        <v/>
      </c>
      <c r="B12113">
        <f>IF(ISNUMBER(Input!B12113),IF(AND(Input!B12113&gt;=20,Input!B12113&lt;=700),Input!B12113,""),"")</f>
        <v/>
      </c>
      <c r="C12113">
        <f>IF(B12113="","",INT(A12113))</f>
        <v/>
      </c>
      <c r="D12113">
        <f>IF(B12113="","",HOUR(A12113))</f>
        <v/>
      </c>
    </row>
    <row r="12114">
      <c r="A12114">
        <f>Input!A12114</f>
        <v/>
      </c>
      <c r="B12114">
        <f>IF(ISNUMBER(Input!B12114),IF(AND(Input!B12114&gt;=20,Input!B12114&lt;=700),Input!B12114,""),"")</f>
        <v/>
      </c>
      <c r="C12114">
        <f>IF(B12114="","",INT(A12114))</f>
        <v/>
      </c>
      <c r="D12114">
        <f>IF(B12114="","",HOUR(A12114))</f>
        <v/>
      </c>
    </row>
    <row r="12115">
      <c r="A12115">
        <f>Input!A12115</f>
        <v/>
      </c>
      <c r="B12115">
        <f>IF(ISNUMBER(Input!B12115),IF(AND(Input!B12115&gt;=20,Input!B12115&lt;=700),Input!B12115,""),"")</f>
        <v/>
      </c>
      <c r="C12115">
        <f>IF(B12115="","",INT(A12115))</f>
        <v/>
      </c>
      <c r="D12115">
        <f>IF(B12115="","",HOUR(A12115))</f>
        <v/>
      </c>
    </row>
    <row r="12116">
      <c r="A12116">
        <f>Input!A12116</f>
        <v/>
      </c>
      <c r="B12116">
        <f>IF(ISNUMBER(Input!B12116),IF(AND(Input!B12116&gt;=20,Input!B12116&lt;=700),Input!B12116,""),"")</f>
        <v/>
      </c>
      <c r="C12116">
        <f>IF(B12116="","",INT(A12116))</f>
        <v/>
      </c>
      <c r="D12116">
        <f>IF(B12116="","",HOUR(A12116))</f>
        <v/>
      </c>
    </row>
    <row r="12117">
      <c r="A12117">
        <f>Input!A12117</f>
        <v/>
      </c>
      <c r="B12117">
        <f>IF(ISNUMBER(Input!B12117),IF(AND(Input!B12117&gt;=20,Input!B12117&lt;=700),Input!B12117,""),"")</f>
        <v/>
      </c>
      <c r="C12117">
        <f>IF(B12117="","",INT(A12117))</f>
        <v/>
      </c>
      <c r="D12117">
        <f>IF(B12117="","",HOUR(A12117))</f>
        <v/>
      </c>
    </row>
    <row r="12118">
      <c r="A12118">
        <f>Input!A12118</f>
        <v/>
      </c>
      <c r="B12118">
        <f>IF(ISNUMBER(Input!B12118),IF(AND(Input!B12118&gt;=20,Input!B12118&lt;=700),Input!B12118,""),"")</f>
        <v/>
      </c>
      <c r="C12118">
        <f>IF(B12118="","",INT(A12118))</f>
        <v/>
      </c>
      <c r="D12118">
        <f>IF(B12118="","",HOUR(A12118))</f>
        <v/>
      </c>
    </row>
    <row r="12119">
      <c r="A12119">
        <f>Input!A12119</f>
        <v/>
      </c>
      <c r="B12119">
        <f>IF(ISNUMBER(Input!B12119),IF(AND(Input!B12119&gt;=20,Input!B12119&lt;=700),Input!B12119,""),"")</f>
        <v/>
      </c>
      <c r="C12119">
        <f>IF(B12119="","",INT(A12119))</f>
        <v/>
      </c>
      <c r="D12119">
        <f>IF(B12119="","",HOUR(A12119))</f>
        <v/>
      </c>
    </row>
    <row r="12120">
      <c r="A12120">
        <f>Input!A12120</f>
        <v/>
      </c>
      <c r="B12120">
        <f>IF(ISNUMBER(Input!B12120),IF(AND(Input!B12120&gt;=20,Input!B12120&lt;=700),Input!B12120,""),"")</f>
        <v/>
      </c>
      <c r="C12120">
        <f>IF(B12120="","",INT(A12120))</f>
        <v/>
      </c>
      <c r="D12120">
        <f>IF(B12120="","",HOUR(A12120))</f>
        <v/>
      </c>
    </row>
    <row r="12121">
      <c r="A12121">
        <f>Input!A12121</f>
        <v/>
      </c>
      <c r="B12121">
        <f>IF(ISNUMBER(Input!B12121),IF(AND(Input!B12121&gt;=20,Input!B12121&lt;=700),Input!B12121,""),"")</f>
        <v/>
      </c>
      <c r="C12121">
        <f>IF(B12121="","",INT(A12121))</f>
        <v/>
      </c>
      <c r="D12121">
        <f>IF(B12121="","",HOUR(A12121))</f>
        <v/>
      </c>
    </row>
    <row r="12122">
      <c r="A12122">
        <f>Input!A12122</f>
        <v/>
      </c>
      <c r="B12122">
        <f>IF(ISNUMBER(Input!B12122),IF(AND(Input!B12122&gt;=20,Input!B12122&lt;=700),Input!B12122,""),"")</f>
        <v/>
      </c>
      <c r="C12122">
        <f>IF(B12122="","",INT(A12122))</f>
        <v/>
      </c>
      <c r="D12122">
        <f>IF(B12122="","",HOUR(A12122))</f>
        <v/>
      </c>
    </row>
    <row r="12123">
      <c r="A12123">
        <f>Input!A12123</f>
        <v/>
      </c>
      <c r="B12123">
        <f>IF(ISNUMBER(Input!B12123),IF(AND(Input!B12123&gt;=20,Input!B12123&lt;=700),Input!B12123,""),"")</f>
        <v/>
      </c>
      <c r="C12123">
        <f>IF(B12123="","",INT(A12123))</f>
        <v/>
      </c>
      <c r="D12123">
        <f>IF(B12123="","",HOUR(A12123))</f>
        <v/>
      </c>
    </row>
    <row r="12124">
      <c r="A12124">
        <f>Input!A12124</f>
        <v/>
      </c>
      <c r="B12124">
        <f>IF(ISNUMBER(Input!B12124),IF(AND(Input!B12124&gt;=20,Input!B12124&lt;=700),Input!B12124,""),"")</f>
        <v/>
      </c>
      <c r="C12124">
        <f>IF(B12124="","",INT(A12124))</f>
        <v/>
      </c>
      <c r="D12124">
        <f>IF(B12124="","",HOUR(A12124))</f>
        <v/>
      </c>
    </row>
    <row r="12125">
      <c r="A12125">
        <f>Input!A12125</f>
        <v/>
      </c>
      <c r="B12125">
        <f>IF(ISNUMBER(Input!B12125),IF(AND(Input!B12125&gt;=20,Input!B12125&lt;=700),Input!B12125,""),"")</f>
        <v/>
      </c>
      <c r="C12125">
        <f>IF(B12125="","",INT(A12125))</f>
        <v/>
      </c>
      <c r="D12125">
        <f>IF(B12125="","",HOUR(A12125))</f>
        <v/>
      </c>
    </row>
    <row r="12126">
      <c r="A12126">
        <f>Input!A12126</f>
        <v/>
      </c>
      <c r="B12126">
        <f>IF(ISNUMBER(Input!B12126),IF(AND(Input!B12126&gt;=20,Input!B12126&lt;=700),Input!B12126,""),"")</f>
        <v/>
      </c>
      <c r="C12126">
        <f>IF(B12126="","",INT(A12126))</f>
        <v/>
      </c>
      <c r="D12126">
        <f>IF(B12126="","",HOUR(A12126))</f>
        <v/>
      </c>
    </row>
    <row r="12127">
      <c r="A12127">
        <f>Input!A12127</f>
        <v/>
      </c>
      <c r="B12127">
        <f>IF(ISNUMBER(Input!B12127),IF(AND(Input!B12127&gt;=20,Input!B12127&lt;=700),Input!B12127,""),"")</f>
        <v/>
      </c>
      <c r="C12127">
        <f>IF(B12127="","",INT(A12127))</f>
        <v/>
      </c>
      <c r="D12127">
        <f>IF(B12127="","",HOUR(A12127))</f>
        <v/>
      </c>
    </row>
    <row r="12128">
      <c r="A12128">
        <f>Input!A12128</f>
        <v/>
      </c>
      <c r="B12128">
        <f>IF(ISNUMBER(Input!B12128),IF(AND(Input!B12128&gt;=20,Input!B12128&lt;=700),Input!B12128,""),"")</f>
        <v/>
      </c>
      <c r="C12128">
        <f>IF(B12128="","",INT(A12128))</f>
        <v/>
      </c>
      <c r="D12128">
        <f>IF(B12128="","",HOUR(A12128))</f>
        <v/>
      </c>
    </row>
    <row r="12129">
      <c r="A12129">
        <f>Input!A12129</f>
        <v/>
      </c>
      <c r="B12129">
        <f>IF(ISNUMBER(Input!B12129),IF(AND(Input!B12129&gt;=20,Input!B12129&lt;=700),Input!B12129,""),"")</f>
        <v/>
      </c>
      <c r="C12129">
        <f>IF(B12129="","",INT(A12129))</f>
        <v/>
      </c>
      <c r="D12129">
        <f>IF(B12129="","",HOUR(A12129))</f>
        <v/>
      </c>
    </row>
    <row r="12130">
      <c r="A12130">
        <f>Input!A12130</f>
        <v/>
      </c>
      <c r="B12130">
        <f>IF(ISNUMBER(Input!B12130),IF(AND(Input!B12130&gt;=20,Input!B12130&lt;=700),Input!B12130,""),"")</f>
        <v/>
      </c>
      <c r="C12130">
        <f>IF(B12130="","",INT(A12130))</f>
        <v/>
      </c>
      <c r="D12130">
        <f>IF(B12130="","",HOUR(A12130))</f>
        <v/>
      </c>
    </row>
    <row r="12131">
      <c r="A12131">
        <f>Input!A12131</f>
        <v/>
      </c>
      <c r="B12131">
        <f>IF(ISNUMBER(Input!B12131),IF(AND(Input!B12131&gt;=20,Input!B12131&lt;=700),Input!B12131,""),"")</f>
        <v/>
      </c>
      <c r="C12131">
        <f>IF(B12131="","",INT(A12131))</f>
        <v/>
      </c>
      <c r="D12131">
        <f>IF(B12131="","",HOUR(A12131))</f>
        <v/>
      </c>
    </row>
    <row r="12132">
      <c r="A12132">
        <f>Input!A12132</f>
        <v/>
      </c>
      <c r="B12132">
        <f>IF(ISNUMBER(Input!B12132),IF(AND(Input!B12132&gt;=20,Input!B12132&lt;=700),Input!B12132,""),"")</f>
        <v/>
      </c>
      <c r="C12132">
        <f>IF(B12132="","",INT(A12132))</f>
        <v/>
      </c>
      <c r="D12132">
        <f>IF(B12132="","",HOUR(A12132))</f>
        <v/>
      </c>
    </row>
    <row r="12133">
      <c r="A12133">
        <f>Input!A12133</f>
        <v/>
      </c>
      <c r="B12133">
        <f>IF(ISNUMBER(Input!B12133),IF(AND(Input!B12133&gt;=20,Input!B12133&lt;=700),Input!B12133,""),"")</f>
        <v/>
      </c>
      <c r="C12133">
        <f>IF(B12133="","",INT(A12133))</f>
        <v/>
      </c>
      <c r="D12133">
        <f>IF(B12133="","",HOUR(A12133))</f>
        <v/>
      </c>
    </row>
    <row r="12134">
      <c r="A12134">
        <f>Input!A12134</f>
        <v/>
      </c>
      <c r="B12134">
        <f>IF(ISNUMBER(Input!B12134),IF(AND(Input!B12134&gt;=20,Input!B12134&lt;=700),Input!B12134,""),"")</f>
        <v/>
      </c>
      <c r="C12134">
        <f>IF(B12134="","",INT(A12134))</f>
        <v/>
      </c>
      <c r="D12134">
        <f>IF(B12134="","",HOUR(A12134))</f>
        <v/>
      </c>
    </row>
    <row r="12135">
      <c r="A12135">
        <f>Input!A12135</f>
        <v/>
      </c>
      <c r="B12135">
        <f>IF(ISNUMBER(Input!B12135),IF(AND(Input!B12135&gt;=20,Input!B12135&lt;=700),Input!B12135,""),"")</f>
        <v/>
      </c>
      <c r="C12135">
        <f>IF(B12135="","",INT(A12135))</f>
        <v/>
      </c>
      <c r="D12135">
        <f>IF(B12135="","",HOUR(A12135))</f>
        <v/>
      </c>
    </row>
    <row r="12136">
      <c r="A12136">
        <f>Input!A12136</f>
        <v/>
      </c>
      <c r="B12136">
        <f>IF(ISNUMBER(Input!B12136),IF(AND(Input!B12136&gt;=20,Input!B12136&lt;=700),Input!B12136,""),"")</f>
        <v/>
      </c>
      <c r="C12136">
        <f>IF(B12136="","",INT(A12136))</f>
        <v/>
      </c>
      <c r="D12136">
        <f>IF(B12136="","",HOUR(A12136))</f>
        <v/>
      </c>
    </row>
    <row r="12137">
      <c r="A12137">
        <f>Input!A12137</f>
        <v/>
      </c>
      <c r="B12137">
        <f>IF(ISNUMBER(Input!B12137),IF(AND(Input!B12137&gt;=20,Input!B12137&lt;=700),Input!B12137,""),"")</f>
        <v/>
      </c>
      <c r="C12137">
        <f>IF(B12137="","",INT(A12137))</f>
        <v/>
      </c>
      <c r="D12137">
        <f>IF(B12137="","",HOUR(A12137))</f>
        <v/>
      </c>
    </row>
    <row r="12138">
      <c r="A12138">
        <f>Input!A12138</f>
        <v/>
      </c>
      <c r="B12138">
        <f>IF(ISNUMBER(Input!B12138),IF(AND(Input!B12138&gt;=20,Input!B12138&lt;=700),Input!B12138,""),"")</f>
        <v/>
      </c>
      <c r="C12138">
        <f>IF(B12138="","",INT(A12138))</f>
        <v/>
      </c>
      <c r="D12138">
        <f>IF(B12138="","",HOUR(A12138))</f>
        <v/>
      </c>
    </row>
    <row r="12139">
      <c r="A12139">
        <f>Input!A12139</f>
        <v/>
      </c>
      <c r="B12139">
        <f>IF(ISNUMBER(Input!B12139),IF(AND(Input!B12139&gt;=20,Input!B12139&lt;=700),Input!B12139,""),"")</f>
        <v/>
      </c>
      <c r="C12139">
        <f>IF(B12139="","",INT(A12139))</f>
        <v/>
      </c>
      <c r="D12139">
        <f>IF(B12139="","",HOUR(A12139))</f>
        <v/>
      </c>
    </row>
    <row r="12140">
      <c r="A12140">
        <f>Input!A12140</f>
        <v/>
      </c>
      <c r="B12140">
        <f>IF(ISNUMBER(Input!B12140),IF(AND(Input!B12140&gt;=20,Input!B12140&lt;=700),Input!B12140,""),"")</f>
        <v/>
      </c>
      <c r="C12140">
        <f>IF(B12140="","",INT(A12140))</f>
        <v/>
      </c>
      <c r="D12140">
        <f>IF(B12140="","",HOUR(A12140))</f>
        <v/>
      </c>
    </row>
    <row r="12141">
      <c r="A12141">
        <f>Input!A12141</f>
        <v/>
      </c>
      <c r="B12141">
        <f>IF(ISNUMBER(Input!B12141),IF(AND(Input!B12141&gt;=20,Input!B12141&lt;=700),Input!B12141,""),"")</f>
        <v/>
      </c>
      <c r="C12141">
        <f>IF(B12141="","",INT(A12141))</f>
        <v/>
      </c>
      <c r="D12141">
        <f>IF(B12141="","",HOUR(A12141))</f>
        <v/>
      </c>
    </row>
    <row r="12142">
      <c r="A12142">
        <f>Input!A12142</f>
        <v/>
      </c>
      <c r="B12142">
        <f>IF(ISNUMBER(Input!B12142),IF(AND(Input!B12142&gt;=20,Input!B12142&lt;=700),Input!B12142,""),"")</f>
        <v/>
      </c>
      <c r="C12142">
        <f>IF(B12142="","",INT(A12142))</f>
        <v/>
      </c>
      <c r="D12142">
        <f>IF(B12142="","",HOUR(A12142))</f>
        <v/>
      </c>
    </row>
    <row r="12143">
      <c r="A12143">
        <f>Input!A12143</f>
        <v/>
      </c>
      <c r="B12143">
        <f>IF(ISNUMBER(Input!B12143),IF(AND(Input!B12143&gt;=20,Input!B12143&lt;=700),Input!B12143,""),"")</f>
        <v/>
      </c>
      <c r="C12143">
        <f>IF(B12143="","",INT(A12143))</f>
        <v/>
      </c>
      <c r="D12143">
        <f>IF(B12143="","",HOUR(A12143))</f>
        <v/>
      </c>
    </row>
    <row r="12144">
      <c r="A12144">
        <f>Input!A12144</f>
        <v/>
      </c>
      <c r="B12144">
        <f>IF(ISNUMBER(Input!B12144),IF(AND(Input!B12144&gt;=20,Input!B12144&lt;=700),Input!B12144,""),"")</f>
        <v/>
      </c>
      <c r="C12144">
        <f>IF(B12144="","",INT(A12144))</f>
        <v/>
      </c>
      <c r="D12144">
        <f>IF(B12144="","",HOUR(A12144))</f>
        <v/>
      </c>
    </row>
    <row r="12145">
      <c r="A12145">
        <f>Input!A12145</f>
        <v/>
      </c>
      <c r="B12145">
        <f>IF(ISNUMBER(Input!B12145),IF(AND(Input!B12145&gt;=20,Input!B12145&lt;=700),Input!B12145,""),"")</f>
        <v/>
      </c>
      <c r="C12145">
        <f>IF(B12145="","",INT(A12145))</f>
        <v/>
      </c>
      <c r="D12145">
        <f>IF(B12145="","",HOUR(A12145))</f>
        <v/>
      </c>
    </row>
    <row r="12146">
      <c r="A12146">
        <f>Input!A12146</f>
        <v/>
      </c>
      <c r="B12146">
        <f>IF(ISNUMBER(Input!B12146),IF(AND(Input!B12146&gt;=20,Input!B12146&lt;=700),Input!B12146,""),"")</f>
        <v/>
      </c>
      <c r="C12146">
        <f>IF(B12146="","",INT(A12146))</f>
        <v/>
      </c>
      <c r="D12146">
        <f>IF(B12146="","",HOUR(A12146))</f>
        <v/>
      </c>
    </row>
    <row r="12147">
      <c r="A12147">
        <f>Input!A12147</f>
        <v/>
      </c>
      <c r="B12147">
        <f>IF(ISNUMBER(Input!B12147),IF(AND(Input!B12147&gt;=20,Input!B12147&lt;=700),Input!B12147,""),"")</f>
        <v/>
      </c>
      <c r="C12147">
        <f>IF(B12147="","",INT(A12147))</f>
        <v/>
      </c>
      <c r="D12147">
        <f>IF(B12147="","",HOUR(A12147))</f>
        <v/>
      </c>
    </row>
    <row r="12148">
      <c r="A12148">
        <f>Input!A12148</f>
        <v/>
      </c>
      <c r="B12148">
        <f>IF(ISNUMBER(Input!B12148),IF(AND(Input!B12148&gt;=20,Input!B12148&lt;=700),Input!B12148,""),"")</f>
        <v/>
      </c>
      <c r="C12148">
        <f>IF(B12148="","",INT(A12148))</f>
        <v/>
      </c>
      <c r="D12148">
        <f>IF(B12148="","",HOUR(A12148))</f>
        <v/>
      </c>
    </row>
    <row r="12149">
      <c r="A12149">
        <f>Input!A12149</f>
        <v/>
      </c>
      <c r="B12149">
        <f>IF(ISNUMBER(Input!B12149),IF(AND(Input!B12149&gt;=20,Input!B12149&lt;=700),Input!B12149,""),"")</f>
        <v/>
      </c>
      <c r="C12149">
        <f>IF(B12149="","",INT(A12149))</f>
        <v/>
      </c>
      <c r="D12149">
        <f>IF(B12149="","",HOUR(A12149))</f>
        <v/>
      </c>
    </row>
    <row r="12150">
      <c r="A12150">
        <f>Input!A12150</f>
        <v/>
      </c>
      <c r="B12150">
        <f>IF(ISNUMBER(Input!B12150),IF(AND(Input!B12150&gt;=20,Input!B12150&lt;=700),Input!B12150,""),"")</f>
        <v/>
      </c>
      <c r="C12150">
        <f>IF(B12150="","",INT(A12150))</f>
        <v/>
      </c>
      <c r="D12150">
        <f>IF(B12150="","",HOUR(A12150))</f>
        <v/>
      </c>
    </row>
    <row r="12151">
      <c r="A12151">
        <f>Input!A12151</f>
        <v/>
      </c>
      <c r="B12151">
        <f>IF(ISNUMBER(Input!B12151),IF(AND(Input!B12151&gt;=20,Input!B12151&lt;=700),Input!B12151,""),"")</f>
        <v/>
      </c>
      <c r="C12151">
        <f>IF(B12151="","",INT(A12151))</f>
        <v/>
      </c>
      <c r="D12151">
        <f>IF(B12151="","",HOUR(A12151))</f>
        <v/>
      </c>
    </row>
    <row r="12152">
      <c r="A12152">
        <f>Input!A12152</f>
        <v/>
      </c>
      <c r="B12152">
        <f>IF(ISNUMBER(Input!B12152),IF(AND(Input!B12152&gt;=20,Input!B12152&lt;=700),Input!B12152,""),"")</f>
        <v/>
      </c>
      <c r="C12152">
        <f>IF(B12152="","",INT(A12152))</f>
        <v/>
      </c>
      <c r="D12152">
        <f>IF(B12152="","",HOUR(A12152))</f>
        <v/>
      </c>
    </row>
    <row r="12153">
      <c r="A12153">
        <f>Input!A12153</f>
        <v/>
      </c>
      <c r="B12153">
        <f>IF(ISNUMBER(Input!B12153),IF(AND(Input!B12153&gt;=20,Input!B12153&lt;=700),Input!B12153,""),"")</f>
        <v/>
      </c>
      <c r="C12153">
        <f>IF(B12153="","",INT(A12153))</f>
        <v/>
      </c>
      <c r="D12153">
        <f>IF(B12153="","",HOUR(A12153))</f>
        <v/>
      </c>
    </row>
    <row r="12154">
      <c r="A12154">
        <f>Input!A12154</f>
        <v/>
      </c>
      <c r="B12154">
        <f>IF(ISNUMBER(Input!B12154),IF(AND(Input!B12154&gt;=20,Input!B12154&lt;=700),Input!B12154,""),"")</f>
        <v/>
      </c>
      <c r="C12154">
        <f>IF(B12154="","",INT(A12154))</f>
        <v/>
      </c>
      <c r="D12154">
        <f>IF(B12154="","",HOUR(A12154))</f>
        <v/>
      </c>
    </row>
    <row r="12155">
      <c r="A12155">
        <f>Input!A12155</f>
        <v/>
      </c>
      <c r="B12155">
        <f>IF(ISNUMBER(Input!B12155),IF(AND(Input!B12155&gt;=20,Input!B12155&lt;=700),Input!B12155,""),"")</f>
        <v/>
      </c>
      <c r="C12155">
        <f>IF(B12155="","",INT(A12155))</f>
        <v/>
      </c>
      <c r="D12155">
        <f>IF(B12155="","",HOUR(A12155))</f>
        <v/>
      </c>
    </row>
    <row r="12156">
      <c r="A12156">
        <f>Input!A12156</f>
        <v/>
      </c>
      <c r="B12156">
        <f>IF(ISNUMBER(Input!B12156),IF(AND(Input!B12156&gt;=20,Input!B12156&lt;=700),Input!B12156,""),"")</f>
        <v/>
      </c>
      <c r="C12156">
        <f>IF(B12156="","",INT(A12156))</f>
        <v/>
      </c>
      <c r="D12156">
        <f>IF(B12156="","",HOUR(A12156))</f>
        <v/>
      </c>
    </row>
    <row r="12157">
      <c r="A12157">
        <f>Input!A12157</f>
        <v/>
      </c>
      <c r="B12157">
        <f>IF(ISNUMBER(Input!B12157),IF(AND(Input!B12157&gt;=20,Input!B12157&lt;=700),Input!B12157,""),"")</f>
        <v/>
      </c>
      <c r="C12157">
        <f>IF(B12157="","",INT(A12157))</f>
        <v/>
      </c>
      <c r="D12157">
        <f>IF(B12157="","",HOUR(A12157))</f>
        <v/>
      </c>
    </row>
    <row r="12158">
      <c r="A12158">
        <f>Input!A12158</f>
        <v/>
      </c>
      <c r="B12158">
        <f>IF(ISNUMBER(Input!B12158),IF(AND(Input!B12158&gt;=20,Input!B12158&lt;=700),Input!B12158,""),"")</f>
        <v/>
      </c>
      <c r="C12158">
        <f>IF(B12158="","",INT(A12158))</f>
        <v/>
      </c>
      <c r="D12158">
        <f>IF(B12158="","",HOUR(A12158))</f>
        <v/>
      </c>
    </row>
    <row r="12159">
      <c r="A12159">
        <f>Input!A12159</f>
        <v/>
      </c>
      <c r="B12159">
        <f>IF(ISNUMBER(Input!B12159),IF(AND(Input!B12159&gt;=20,Input!B12159&lt;=700),Input!B12159,""),"")</f>
        <v/>
      </c>
      <c r="C12159">
        <f>IF(B12159="","",INT(A12159))</f>
        <v/>
      </c>
      <c r="D12159">
        <f>IF(B12159="","",HOUR(A12159))</f>
        <v/>
      </c>
    </row>
    <row r="12160">
      <c r="A12160">
        <f>Input!A12160</f>
        <v/>
      </c>
      <c r="B12160">
        <f>IF(ISNUMBER(Input!B12160),IF(AND(Input!B12160&gt;=20,Input!B12160&lt;=700),Input!B12160,""),"")</f>
        <v/>
      </c>
      <c r="C12160">
        <f>IF(B12160="","",INT(A12160))</f>
        <v/>
      </c>
      <c r="D12160">
        <f>IF(B12160="","",HOUR(A12160))</f>
        <v/>
      </c>
    </row>
    <row r="12161">
      <c r="A12161">
        <f>Input!A12161</f>
        <v/>
      </c>
      <c r="B12161">
        <f>IF(ISNUMBER(Input!B12161),IF(AND(Input!B12161&gt;=20,Input!B12161&lt;=700),Input!B12161,""),"")</f>
        <v/>
      </c>
      <c r="C12161">
        <f>IF(B12161="","",INT(A12161))</f>
        <v/>
      </c>
      <c r="D12161">
        <f>IF(B12161="","",HOUR(A12161))</f>
        <v/>
      </c>
    </row>
    <row r="12162">
      <c r="A12162">
        <f>Input!A12162</f>
        <v/>
      </c>
      <c r="B12162">
        <f>IF(ISNUMBER(Input!B12162),IF(AND(Input!B12162&gt;=20,Input!B12162&lt;=700),Input!B12162,""),"")</f>
        <v/>
      </c>
      <c r="C12162">
        <f>IF(B12162="","",INT(A12162))</f>
        <v/>
      </c>
      <c r="D12162">
        <f>IF(B12162="","",HOUR(A12162))</f>
        <v/>
      </c>
    </row>
    <row r="12163">
      <c r="A12163">
        <f>Input!A12163</f>
        <v/>
      </c>
      <c r="B12163">
        <f>IF(ISNUMBER(Input!B12163),IF(AND(Input!B12163&gt;=20,Input!B12163&lt;=700),Input!B12163,""),"")</f>
        <v/>
      </c>
      <c r="C12163">
        <f>IF(B12163="","",INT(A12163))</f>
        <v/>
      </c>
      <c r="D12163">
        <f>IF(B12163="","",HOUR(A12163))</f>
        <v/>
      </c>
    </row>
    <row r="12164">
      <c r="A12164">
        <f>Input!A12164</f>
        <v/>
      </c>
      <c r="B12164">
        <f>IF(ISNUMBER(Input!B12164),IF(AND(Input!B12164&gt;=20,Input!B12164&lt;=700),Input!B12164,""),"")</f>
        <v/>
      </c>
      <c r="C12164">
        <f>IF(B12164="","",INT(A12164))</f>
        <v/>
      </c>
      <c r="D12164">
        <f>IF(B12164="","",HOUR(A12164))</f>
        <v/>
      </c>
    </row>
    <row r="12165">
      <c r="A12165">
        <f>Input!A12165</f>
        <v/>
      </c>
      <c r="B12165">
        <f>IF(ISNUMBER(Input!B12165),IF(AND(Input!B12165&gt;=20,Input!B12165&lt;=700),Input!B12165,""),"")</f>
        <v/>
      </c>
      <c r="C12165">
        <f>IF(B12165="","",INT(A12165))</f>
        <v/>
      </c>
      <c r="D12165">
        <f>IF(B12165="","",HOUR(A12165))</f>
        <v/>
      </c>
    </row>
    <row r="12166">
      <c r="A12166">
        <f>Input!A12166</f>
        <v/>
      </c>
      <c r="B12166">
        <f>IF(ISNUMBER(Input!B12166),IF(AND(Input!B12166&gt;=20,Input!B12166&lt;=700),Input!B12166,""),"")</f>
        <v/>
      </c>
      <c r="C12166">
        <f>IF(B12166="","",INT(A12166))</f>
        <v/>
      </c>
      <c r="D12166">
        <f>IF(B12166="","",HOUR(A12166))</f>
        <v/>
      </c>
    </row>
    <row r="12167">
      <c r="A12167">
        <f>Input!A12167</f>
        <v/>
      </c>
      <c r="B12167">
        <f>IF(ISNUMBER(Input!B12167),IF(AND(Input!B12167&gt;=20,Input!B12167&lt;=700),Input!B12167,""),"")</f>
        <v/>
      </c>
      <c r="C12167">
        <f>IF(B12167="","",INT(A12167))</f>
        <v/>
      </c>
      <c r="D12167">
        <f>IF(B12167="","",HOUR(A12167))</f>
        <v/>
      </c>
    </row>
    <row r="12168">
      <c r="A12168">
        <f>Input!A12168</f>
        <v/>
      </c>
      <c r="B12168">
        <f>IF(ISNUMBER(Input!B12168),IF(AND(Input!B12168&gt;=20,Input!B12168&lt;=700),Input!B12168,""),"")</f>
        <v/>
      </c>
      <c r="C12168">
        <f>IF(B12168="","",INT(A12168))</f>
        <v/>
      </c>
      <c r="D12168">
        <f>IF(B12168="","",HOUR(A12168))</f>
        <v/>
      </c>
    </row>
    <row r="12169">
      <c r="A12169">
        <f>Input!A12169</f>
        <v/>
      </c>
      <c r="B12169">
        <f>IF(ISNUMBER(Input!B12169),IF(AND(Input!B12169&gt;=20,Input!B12169&lt;=700),Input!B12169,""),"")</f>
        <v/>
      </c>
      <c r="C12169">
        <f>IF(B12169="","",INT(A12169))</f>
        <v/>
      </c>
      <c r="D12169">
        <f>IF(B12169="","",HOUR(A12169))</f>
        <v/>
      </c>
    </row>
    <row r="12170">
      <c r="A12170">
        <f>Input!A12170</f>
        <v/>
      </c>
      <c r="B12170">
        <f>IF(ISNUMBER(Input!B12170),IF(AND(Input!B12170&gt;=20,Input!B12170&lt;=700),Input!B12170,""),"")</f>
        <v/>
      </c>
      <c r="C12170">
        <f>IF(B12170="","",INT(A12170))</f>
        <v/>
      </c>
      <c r="D12170">
        <f>IF(B12170="","",HOUR(A12170))</f>
        <v/>
      </c>
    </row>
    <row r="12171">
      <c r="A12171">
        <f>Input!A12171</f>
        <v/>
      </c>
      <c r="B12171">
        <f>IF(ISNUMBER(Input!B12171),IF(AND(Input!B12171&gt;=20,Input!B12171&lt;=700),Input!B12171,""),"")</f>
        <v/>
      </c>
      <c r="C12171">
        <f>IF(B12171="","",INT(A12171))</f>
        <v/>
      </c>
      <c r="D12171">
        <f>IF(B12171="","",HOUR(A12171))</f>
        <v/>
      </c>
    </row>
    <row r="12172">
      <c r="A12172">
        <f>Input!A12172</f>
        <v/>
      </c>
      <c r="B12172">
        <f>IF(ISNUMBER(Input!B12172),IF(AND(Input!B12172&gt;=20,Input!B12172&lt;=700),Input!B12172,""),"")</f>
        <v/>
      </c>
      <c r="C12172">
        <f>IF(B12172="","",INT(A12172))</f>
        <v/>
      </c>
      <c r="D12172">
        <f>IF(B12172="","",HOUR(A12172))</f>
        <v/>
      </c>
    </row>
    <row r="12173">
      <c r="A12173">
        <f>Input!A12173</f>
        <v/>
      </c>
      <c r="B12173">
        <f>IF(ISNUMBER(Input!B12173),IF(AND(Input!B12173&gt;=20,Input!B12173&lt;=700),Input!B12173,""),"")</f>
        <v/>
      </c>
      <c r="C12173">
        <f>IF(B12173="","",INT(A12173))</f>
        <v/>
      </c>
      <c r="D12173">
        <f>IF(B12173="","",HOUR(A12173))</f>
        <v/>
      </c>
    </row>
    <row r="12174">
      <c r="A12174">
        <f>Input!A12174</f>
        <v/>
      </c>
      <c r="B12174">
        <f>IF(ISNUMBER(Input!B12174),IF(AND(Input!B12174&gt;=20,Input!B12174&lt;=700),Input!B12174,""),"")</f>
        <v/>
      </c>
      <c r="C12174">
        <f>IF(B12174="","",INT(A12174))</f>
        <v/>
      </c>
      <c r="D12174">
        <f>IF(B12174="","",HOUR(A12174))</f>
        <v/>
      </c>
    </row>
    <row r="12175">
      <c r="A12175">
        <f>Input!A12175</f>
        <v/>
      </c>
      <c r="B12175">
        <f>IF(ISNUMBER(Input!B12175),IF(AND(Input!B12175&gt;=20,Input!B12175&lt;=700),Input!B12175,""),"")</f>
        <v/>
      </c>
      <c r="C12175">
        <f>IF(B12175="","",INT(A12175))</f>
        <v/>
      </c>
      <c r="D12175">
        <f>IF(B12175="","",HOUR(A12175))</f>
        <v/>
      </c>
    </row>
    <row r="12176">
      <c r="A12176">
        <f>Input!A12176</f>
        <v/>
      </c>
      <c r="B12176">
        <f>IF(ISNUMBER(Input!B12176),IF(AND(Input!B12176&gt;=20,Input!B12176&lt;=700),Input!B12176,""),"")</f>
        <v/>
      </c>
      <c r="C12176">
        <f>IF(B12176="","",INT(A12176))</f>
        <v/>
      </c>
      <c r="D12176">
        <f>IF(B12176="","",HOUR(A12176))</f>
        <v/>
      </c>
    </row>
    <row r="12177">
      <c r="A12177">
        <f>Input!A12177</f>
        <v/>
      </c>
      <c r="B12177">
        <f>IF(ISNUMBER(Input!B12177),IF(AND(Input!B12177&gt;=20,Input!B12177&lt;=700),Input!B12177,""),"")</f>
        <v/>
      </c>
      <c r="C12177">
        <f>IF(B12177="","",INT(A12177))</f>
        <v/>
      </c>
      <c r="D12177">
        <f>IF(B12177="","",HOUR(A12177))</f>
        <v/>
      </c>
    </row>
    <row r="12178">
      <c r="A12178">
        <f>Input!A12178</f>
        <v/>
      </c>
      <c r="B12178">
        <f>IF(ISNUMBER(Input!B12178),IF(AND(Input!B12178&gt;=20,Input!B12178&lt;=700),Input!B12178,""),"")</f>
        <v/>
      </c>
      <c r="C12178">
        <f>IF(B12178="","",INT(A12178))</f>
        <v/>
      </c>
      <c r="D12178">
        <f>IF(B12178="","",HOUR(A12178))</f>
        <v/>
      </c>
    </row>
    <row r="12179">
      <c r="A12179">
        <f>Input!A12179</f>
        <v/>
      </c>
      <c r="B12179">
        <f>IF(ISNUMBER(Input!B12179),IF(AND(Input!B12179&gt;=20,Input!B12179&lt;=700),Input!B12179,""),"")</f>
        <v/>
      </c>
      <c r="C12179">
        <f>IF(B12179="","",INT(A12179))</f>
        <v/>
      </c>
      <c r="D12179">
        <f>IF(B12179="","",HOUR(A12179))</f>
        <v/>
      </c>
    </row>
    <row r="12180">
      <c r="A12180">
        <f>Input!A12180</f>
        <v/>
      </c>
      <c r="B12180">
        <f>IF(ISNUMBER(Input!B12180),IF(AND(Input!B12180&gt;=20,Input!B12180&lt;=700),Input!B12180,""),"")</f>
        <v/>
      </c>
      <c r="C12180">
        <f>IF(B12180="","",INT(A12180))</f>
        <v/>
      </c>
      <c r="D12180">
        <f>IF(B12180="","",HOUR(A12180))</f>
        <v/>
      </c>
    </row>
    <row r="12181">
      <c r="A12181">
        <f>Input!A12181</f>
        <v/>
      </c>
      <c r="B12181">
        <f>IF(ISNUMBER(Input!B12181),IF(AND(Input!B12181&gt;=20,Input!B12181&lt;=700),Input!B12181,""),"")</f>
        <v/>
      </c>
      <c r="C12181">
        <f>IF(B12181="","",INT(A12181))</f>
        <v/>
      </c>
      <c r="D12181">
        <f>IF(B12181="","",HOUR(A12181))</f>
        <v/>
      </c>
    </row>
    <row r="12182">
      <c r="A12182">
        <f>Input!A12182</f>
        <v/>
      </c>
      <c r="B12182">
        <f>IF(ISNUMBER(Input!B12182),IF(AND(Input!B12182&gt;=20,Input!B12182&lt;=700),Input!B12182,""),"")</f>
        <v/>
      </c>
      <c r="C12182">
        <f>IF(B12182="","",INT(A12182))</f>
        <v/>
      </c>
      <c r="D12182">
        <f>IF(B12182="","",HOUR(A12182))</f>
        <v/>
      </c>
    </row>
    <row r="12183">
      <c r="A12183">
        <f>Input!A12183</f>
        <v/>
      </c>
      <c r="B12183">
        <f>IF(ISNUMBER(Input!B12183),IF(AND(Input!B12183&gt;=20,Input!B12183&lt;=700),Input!B12183,""),"")</f>
        <v/>
      </c>
      <c r="C12183">
        <f>IF(B12183="","",INT(A12183))</f>
        <v/>
      </c>
      <c r="D12183">
        <f>IF(B12183="","",HOUR(A12183))</f>
        <v/>
      </c>
    </row>
    <row r="12184">
      <c r="A12184">
        <f>Input!A12184</f>
        <v/>
      </c>
      <c r="B12184">
        <f>IF(ISNUMBER(Input!B12184),IF(AND(Input!B12184&gt;=20,Input!B12184&lt;=700),Input!B12184,""),"")</f>
        <v/>
      </c>
      <c r="C12184">
        <f>IF(B12184="","",INT(A12184))</f>
        <v/>
      </c>
      <c r="D12184">
        <f>IF(B12184="","",HOUR(A12184))</f>
        <v/>
      </c>
    </row>
    <row r="12185">
      <c r="A12185">
        <f>Input!A12185</f>
        <v/>
      </c>
      <c r="B12185">
        <f>IF(ISNUMBER(Input!B12185),IF(AND(Input!B12185&gt;=20,Input!B12185&lt;=700),Input!B12185,""),"")</f>
        <v/>
      </c>
      <c r="C12185">
        <f>IF(B12185="","",INT(A12185))</f>
        <v/>
      </c>
      <c r="D12185">
        <f>IF(B12185="","",HOUR(A12185))</f>
        <v/>
      </c>
    </row>
    <row r="12186">
      <c r="A12186">
        <f>Input!A12186</f>
        <v/>
      </c>
      <c r="B12186">
        <f>IF(ISNUMBER(Input!B12186),IF(AND(Input!B12186&gt;=20,Input!B12186&lt;=700),Input!B12186,""),"")</f>
        <v/>
      </c>
      <c r="C12186">
        <f>IF(B12186="","",INT(A12186))</f>
        <v/>
      </c>
      <c r="D12186">
        <f>IF(B12186="","",HOUR(A12186))</f>
        <v/>
      </c>
    </row>
    <row r="12187">
      <c r="A12187">
        <f>Input!A12187</f>
        <v/>
      </c>
      <c r="B12187">
        <f>IF(ISNUMBER(Input!B12187),IF(AND(Input!B12187&gt;=20,Input!B12187&lt;=700),Input!B12187,""),"")</f>
        <v/>
      </c>
      <c r="C12187">
        <f>IF(B12187="","",INT(A12187))</f>
        <v/>
      </c>
      <c r="D12187">
        <f>IF(B12187="","",HOUR(A12187))</f>
        <v/>
      </c>
    </row>
    <row r="12188">
      <c r="A12188">
        <f>Input!A12188</f>
        <v/>
      </c>
      <c r="B12188">
        <f>IF(ISNUMBER(Input!B12188),IF(AND(Input!B12188&gt;=20,Input!B12188&lt;=700),Input!B12188,""),"")</f>
        <v/>
      </c>
      <c r="C12188">
        <f>IF(B12188="","",INT(A12188))</f>
        <v/>
      </c>
      <c r="D12188">
        <f>IF(B12188="","",HOUR(A12188))</f>
        <v/>
      </c>
    </row>
    <row r="12189">
      <c r="A12189">
        <f>Input!A12189</f>
        <v/>
      </c>
      <c r="B12189">
        <f>IF(ISNUMBER(Input!B12189),IF(AND(Input!B12189&gt;=20,Input!B12189&lt;=700),Input!B12189,""),"")</f>
        <v/>
      </c>
      <c r="C12189">
        <f>IF(B12189="","",INT(A12189))</f>
        <v/>
      </c>
      <c r="D12189">
        <f>IF(B12189="","",HOUR(A12189))</f>
        <v/>
      </c>
    </row>
    <row r="12190">
      <c r="A12190">
        <f>Input!A12190</f>
        <v/>
      </c>
      <c r="B12190">
        <f>IF(ISNUMBER(Input!B12190),IF(AND(Input!B12190&gt;=20,Input!B12190&lt;=700),Input!B12190,""),"")</f>
        <v/>
      </c>
      <c r="C12190">
        <f>IF(B12190="","",INT(A12190))</f>
        <v/>
      </c>
      <c r="D12190">
        <f>IF(B12190="","",HOUR(A12190))</f>
        <v/>
      </c>
    </row>
    <row r="12191">
      <c r="A12191">
        <f>Input!A12191</f>
        <v/>
      </c>
      <c r="B12191">
        <f>IF(ISNUMBER(Input!B12191),IF(AND(Input!B12191&gt;=20,Input!B12191&lt;=700),Input!B12191,""),"")</f>
        <v/>
      </c>
      <c r="C12191">
        <f>IF(B12191="","",INT(A12191))</f>
        <v/>
      </c>
      <c r="D12191">
        <f>IF(B12191="","",HOUR(A12191))</f>
        <v/>
      </c>
    </row>
    <row r="12192">
      <c r="A12192">
        <f>Input!A12192</f>
        <v/>
      </c>
      <c r="B12192">
        <f>IF(ISNUMBER(Input!B12192),IF(AND(Input!B12192&gt;=20,Input!B12192&lt;=700),Input!B12192,""),"")</f>
        <v/>
      </c>
      <c r="C12192">
        <f>IF(B12192="","",INT(A12192))</f>
        <v/>
      </c>
      <c r="D12192">
        <f>IF(B12192="","",HOUR(A12192))</f>
        <v/>
      </c>
    </row>
    <row r="12193">
      <c r="A12193">
        <f>Input!A12193</f>
        <v/>
      </c>
      <c r="B12193">
        <f>IF(ISNUMBER(Input!B12193),IF(AND(Input!B12193&gt;=20,Input!B12193&lt;=700),Input!B12193,""),"")</f>
        <v/>
      </c>
      <c r="C12193">
        <f>IF(B12193="","",INT(A12193))</f>
        <v/>
      </c>
      <c r="D12193">
        <f>IF(B12193="","",HOUR(A12193))</f>
        <v/>
      </c>
    </row>
    <row r="12194">
      <c r="A12194">
        <f>Input!A12194</f>
        <v/>
      </c>
      <c r="B12194">
        <f>IF(ISNUMBER(Input!B12194),IF(AND(Input!B12194&gt;=20,Input!B12194&lt;=700),Input!B12194,""),"")</f>
        <v/>
      </c>
      <c r="C12194">
        <f>IF(B12194="","",INT(A12194))</f>
        <v/>
      </c>
      <c r="D12194">
        <f>IF(B12194="","",HOUR(A12194))</f>
        <v/>
      </c>
    </row>
    <row r="12195">
      <c r="A12195">
        <f>Input!A12195</f>
        <v/>
      </c>
      <c r="B12195">
        <f>IF(ISNUMBER(Input!B12195),IF(AND(Input!B12195&gt;=20,Input!B12195&lt;=700),Input!B12195,""),"")</f>
        <v/>
      </c>
      <c r="C12195">
        <f>IF(B12195="","",INT(A12195))</f>
        <v/>
      </c>
      <c r="D12195">
        <f>IF(B12195="","",HOUR(A12195))</f>
        <v/>
      </c>
    </row>
    <row r="12196">
      <c r="A12196">
        <f>Input!A12196</f>
        <v/>
      </c>
      <c r="B12196">
        <f>IF(ISNUMBER(Input!B12196),IF(AND(Input!B12196&gt;=20,Input!B12196&lt;=700),Input!B12196,""),"")</f>
        <v/>
      </c>
      <c r="C12196">
        <f>IF(B12196="","",INT(A12196))</f>
        <v/>
      </c>
      <c r="D12196">
        <f>IF(B12196="","",HOUR(A12196))</f>
        <v/>
      </c>
    </row>
    <row r="12197">
      <c r="A12197">
        <f>Input!A12197</f>
        <v/>
      </c>
      <c r="B12197">
        <f>IF(ISNUMBER(Input!B12197),IF(AND(Input!B12197&gt;=20,Input!B12197&lt;=700),Input!B12197,""),"")</f>
        <v/>
      </c>
      <c r="C12197">
        <f>IF(B12197="","",INT(A12197))</f>
        <v/>
      </c>
      <c r="D12197">
        <f>IF(B12197="","",HOUR(A12197))</f>
        <v/>
      </c>
    </row>
    <row r="12198">
      <c r="A12198">
        <f>Input!A12198</f>
        <v/>
      </c>
      <c r="B12198">
        <f>IF(ISNUMBER(Input!B12198),IF(AND(Input!B12198&gt;=20,Input!B12198&lt;=700),Input!B12198,""),"")</f>
        <v/>
      </c>
      <c r="C12198">
        <f>IF(B12198="","",INT(A12198))</f>
        <v/>
      </c>
      <c r="D12198">
        <f>IF(B12198="","",HOUR(A12198))</f>
        <v/>
      </c>
    </row>
    <row r="12199">
      <c r="A12199">
        <f>Input!A12199</f>
        <v/>
      </c>
      <c r="B12199">
        <f>IF(ISNUMBER(Input!B12199),IF(AND(Input!B12199&gt;=20,Input!B12199&lt;=700),Input!B12199,""),"")</f>
        <v/>
      </c>
      <c r="C12199">
        <f>IF(B12199="","",INT(A12199))</f>
        <v/>
      </c>
      <c r="D12199">
        <f>IF(B12199="","",HOUR(A12199))</f>
        <v/>
      </c>
    </row>
    <row r="12200">
      <c r="A12200">
        <f>Input!A12200</f>
        <v/>
      </c>
      <c r="B12200">
        <f>IF(ISNUMBER(Input!B12200),IF(AND(Input!B12200&gt;=20,Input!B12200&lt;=700),Input!B12200,""),"")</f>
        <v/>
      </c>
      <c r="C12200">
        <f>IF(B12200="","",INT(A12200))</f>
        <v/>
      </c>
      <c r="D12200">
        <f>IF(B12200="","",HOUR(A12200))</f>
        <v/>
      </c>
    </row>
    <row r="12201">
      <c r="A12201">
        <f>Input!A12201</f>
        <v/>
      </c>
      <c r="B12201">
        <f>IF(ISNUMBER(Input!B12201),IF(AND(Input!B12201&gt;=20,Input!B12201&lt;=700),Input!B12201,""),"")</f>
        <v/>
      </c>
      <c r="C12201">
        <f>IF(B12201="","",INT(A12201))</f>
        <v/>
      </c>
      <c r="D12201">
        <f>IF(B12201="","",HOUR(A12201))</f>
        <v/>
      </c>
    </row>
    <row r="12202">
      <c r="A12202">
        <f>Input!A12202</f>
        <v/>
      </c>
      <c r="B12202">
        <f>IF(ISNUMBER(Input!B12202),IF(AND(Input!B12202&gt;=20,Input!B12202&lt;=700),Input!B12202,""),"")</f>
        <v/>
      </c>
      <c r="C12202">
        <f>IF(B12202="","",INT(A12202))</f>
        <v/>
      </c>
      <c r="D12202">
        <f>IF(B12202="","",HOUR(A12202))</f>
        <v/>
      </c>
    </row>
    <row r="12203">
      <c r="A12203">
        <f>Input!A12203</f>
        <v/>
      </c>
      <c r="B12203">
        <f>IF(ISNUMBER(Input!B12203),IF(AND(Input!B12203&gt;=20,Input!B12203&lt;=700),Input!B12203,""),"")</f>
        <v/>
      </c>
      <c r="C12203">
        <f>IF(B12203="","",INT(A12203))</f>
        <v/>
      </c>
      <c r="D12203">
        <f>IF(B12203="","",HOUR(A12203))</f>
        <v/>
      </c>
    </row>
    <row r="12204">
      <c r="A12204">
        <f>Input!A12204</f>
        <v/>
      </c>
      <c r="B12204">
        <f>IF(ISNUMBER(Input!B12204),IF(AND(Input!B12204&gt;=20,Input!B12204&lt;=700),Input!B12204,""),"")</f>
        <v/>
      </c>
      <c r="C12204">
        <f>IF(B12204="","",INT(A12204))</f>
        <v/>
      </c>
      <c r="D12204">
        <f>IF(B12204="","",HOUR(A12204))</f>
        <v/>
      </c>
    </row>
    <row r="12205">
      <c r="A12205">
        <f>Input!A12205</f>
        <v/>
      </c>
      <c r="B12205">
        <f>IF(ISNUMBER(Input!B12205),IF(AND(Input!B12205&gt;=20,Input!B12205&lt;=700),Input!B12205,""),"")</f>
        <v/>
      </c>
      <c r="C12205">
        <f>IF(B12205="","",INT(A12205))</f>
        <v/>
      </c>
      <c r="D12205">
        <f>IF(B12205="","",HOUR(A12205))</f>
        <v/>
      </c>
    </row>
    <row r="12206">
      <c r="A12206">
        <f>Input!A12206</f>
        <v/>
      </c>
      <c r="B12206">
        <f>IF(ISNUMBER(Input!B12206),IF(AND(Input!B12206&gt;=20,Input!B12206&lt;=700),Input!B12206,""),"")</f>
        <v/>
      </c>
      <c r="C12206">
        <f>IF(B12206="","",INT(A12206))</f>
        <v/>
      </c>
      <c r="D12206">
        <f>IF(B12206="","",HOUR(A12206))</f>
        <v/>
      </c>
    </row>
    <row r="12207">
      <c r="A12207">
        <f>Input!A12207</f>
        <v/>
      </c>
      <c r="B12207">
        <f>IF(ISNUMBER(Input!B12207),IF(AND(Input!B12207&gt;=20,Input!B12207&lt;=700),Input!B12207,""),"")</f>
        <v/>
      </c>
      <c r="C12207">
        <f>IF(B12207="","",INT(A12207))</f>
        <v/>
      </c>
      <c r="D12207">
        <f>IF(B12207="","",HOUR(A12207))</f>
        <v/>
      </c>
    </row>
    <row r="12208">
      <c r="A12208">
        <f>Input!A12208</f>
        <v/>
      </c>
      <c r="B12208">
        <f>IF(ISNUMBER(Input!B12208),IF(AND(Input!B12208&gt;=20,Input!B12208&lt;=700),Input!B12208,""),"")</f>
        <v/>
      </c>
      <c r="C12208">
        <f>IF(B12208="","",INT(A12208))</f>
        <v/>
      </c>
      <c r="D12208">
        <f>IF(B12208="","",HOUR(A12208))</f>
        <v/>
      </c>
    </row>
    <row r="12209">
      <c r="A12209">
        <f>Input!A12209</f>
        <v/>
      </c>
      <c r="B12209">
        <f>IF(ISNUMBER(Input!B12209),IF(AND(Input!B12209&gt;=20,Input!B12209&lt;=700),Input!B12209,""),"")</f>
        <v/>
      </c>
      <c r="C12209">
        <f>IF(B12209="","",INT(A12209))</f>
        <v/>
      </c>
      <c r="D12209">
        <f>IF(B12209="","",HOUR(A12209))</f>
        <v/>
      </c>
    </row>
    <row r="12210">
      <c r="A12210">
        <f>Input!A12210</f>
        <v/>
      </c>
      <c r="B12210">
        <f>IF(ISNUMBER(Input!B12210),IF(AND(Input!B12210&gt;=20,Input!B12210&lt;=700),Input!B12210,""),"")</f>
        <v/>
      </c>
      <c r="C12210">
        <f>IF(B12210="","",INT(A12210))</f>
        <v/>
      </c>
      <c r="D12210">
        <f>IF(B12210="","",HOUR(A12210))</f>
        <v/>
      </c>
    </row>
    <row r="12211">
      <c r="A12211">
        <f>Input!A12211</f>
        <v/>
      </c>
      <c r="B12211">
        <f>IF(ISNUMBER(Input!B12211),IF(AND(Input!B12211&gt;=20,Input!B12211&lt;=700),Input!B12211,""),"")</f>
        <v/>
      </c>
      <c r="C12211">
        <f>IF(B12211="","",INT(A12211))</f>
        <v/>
      </c>
      <c r="D12211">
        <f>IF(B12211="","",HOUR(A12211))</f>
        <v/>
      </c>
    </row>
    <row r="12212">
      <c r="A12212">
        <f>Input!A12212</f>
        <v/>
      </c>
      <c r="B12212">
        <f>IF(ISNUMBER(Input!B12212),IF(AND(Input!B12212&gt;=20,Input!B12212&lt;=700),Input!B12212,""),"")</f>
        <v/>
      </c>
      <c r="C12212">
        <f>IF(B12212="","",INT(A12212))</f>
        <v/>
      </c>
      <c r="D12212">
        <f>IF(B12212="","",HOUR(A12212))</f>
        <v/>
      </c>
    </row>
    <row r="12213">
      <c r="A12213">
        <f>Input!A12213</f>
        <v/>
      </c>
      <c r="B12213">
        <f>IF(ISNUMBER(Input!B12213),IF(AND(Input!B12213&gt;=20,Input!B12213&lt;=700),Input!B12213,""),"")</f>
        <v/>
      </c>
      <c r="C12213">
        <f>IF(B12213="","",INT(A12213))</f>
        <v/>
      </c>
      <c r="D12213">
        <f>IF(B12213="","",HOUR(A12213))</f>
        <v/>
      </c>
    </row>
    <row r="12214">
      <c r="A12214">
        <f>Input!A12214</f>
        <v/>
      </c>
      <c r="B12214">
        <f>IF(ISNUMBER(Input!B12214),IF(AND(Input!B12214&gt;=20,Input!B12214&lt;=700),Input!B12214,""),"")</f>
        <v/>
      </c>
      <c r="C12214">
        <f>IF(B12214="","",INT(A12214))</f>
        <v/>
      </c>
      <c r="D12214">
        <f>IF(B12214="","",HOUR(A12214))</f>
        <v/>
      </c>
    </row>
    <row r="12215">
      <c r="A12215">
        <f>Input!A12215</f>
        <v/>
      </c>
      <c r="B12215">
        <f>IF(ISNUMBER(Input!B12215),IF(AND(Input!B12215&gt;=20,Input!B12215&lt;=700),Input!B12215,""),"")</f>
        <v/>
      </c>
      <c r="C12215">
        <f>IF(B12215="","",INT(A12215))</f>
        <v/>
      </c>
      <c r="D12215">
        <f>IF(B12215="","",HOUR(A12215))</f>
        <v/>
      </c>
    </row>
    <row r="12216">
      <c r="A12216">
        <f>Input!A12216</f>
        <v/>
      </c>
      <c r="B12216">
        <f>IF(ISNUMBER(Input!B12216),IF(AND(Input!B12216&gt;=20,Input!B12216&lt;=700),Input!B12216,""),"")</f>
        <v/>
      </c>
      <c r="C12216">
        <f>IF(B12216="","",INT(A12216))</f>
        <v/>
      </c>
      <c r="D12216">
        <f>IF(B12216="","",HOUR(A12216))</f>
        <v/>
      </c>
    </row>
    <row r="12217">
      <c r="A12217">
        <f>Input!A12217</f>
        <v/>
      </c>
      <c r="B12217">
        <f>IF(ISNUMBER(Input!B12217),IF(AND(Input!B12217&gt;=20,Input!B12217&lt;=700),Input!B12217,""),"")</f>
        <v/>
      </c>
      <c r="C12217">
        <f>IF(B12217="","",INT(A12217))</f>
        <v/>
      </c>
      <c r="D12217">
        <f>IF(B12217="","",HOUR(A12217))</f>
        <v/>
      </c>
    </row>
    <row r="12218">
      <c r="A12218">
        <f>Input!A12218</f>
        <v/>
      </c>
      <c r="B12218">
        <f>IF(ISNUMBER(Input!B12218),IF(AND(Input!B12218&gt;=20,Input!B12218&lt;=700),Input!B12218,""),"")</f>
        <v/>
      </c>
      <c r="C12218">
        <f>IF(B12218="","",INT(A12218))</f>
        <v/>
      </c>
      <c r="D12218">
        <f>IF(B12218="","",HOUR(A12218))</f>
        <v/>
      </c>
    </row>
    <row r="12219">
      <c r="A12219">
        <f>Input!A12219</f>
        <v/>
      </c>
      <c r="B12219">
        <f>IF(ISNUMBER(Input!B12219),IF(AND(Input!B12219&gt;=20,Input!B12219&lt;=700),Input!B12219,""),"")</f>
        <v/>
      </c>
      <c r="C12219">
        <f>IF(B12219="","",INT(A12219))</f>
        <v/>
      </c>
      <c r="D12219">
        <f>IF(B12219="","",HOUR(A12219))</f>
        <v/>
      </c>
    </row>
    <row r="12220">
      <c r="A12220">
        <f>Input!A12220</f>
        <v/>
      </c>
      <c r="B12220">
        <f>IF(ISNUMBER(Input!B12220),IF(AND(Input!B12220&gt;=20,Input!B12220&lt;=700),Input!B12220,""),"")</f>
        <v/>
      </c>
      <c r="C12220">
        <f>IF(B12220="","",INT(A12220))</f>
        <v/>
      </c>
      <c r="D12220">
        <f>IF(B12220="","",HOUR(A12220))</f>
        <v/>
      </c>
    </row>
    <row r="12221">
      <c r="A12221">
        <f>Input!A12221</f>
        <v/>
      </c>
      <c r="B12221">
        <f>IF(ISNUMBER(Input!B12221),IF(AND(Input!B12221&gt;=20,Input!B12221&lt;=700),Input!B12221,""),"")</f>
        <v/>
      </c>
      <c r="C12221">
        <f>IF(B12221="","",INT(A12221))</f>
        <v/>
      </c>
      <c r="D12221">
        <f>IF(B12221="","",HOUR(A12221))</f>
        <v/>
      </c>
    </row>
    <row r="12222">
      <c r="A12222">
        <f>Input!A12222</f>
        <v/>
      </c>
      <c r="B12222">
        <f>IF(ISNUMBER(Input!B12222),IF(AND(Input!B12222&gt;=20,Input!B12222&lt;=700),Input!B12222,""),"")</f>
        <v/>
      </c>
      <c r="C12222">
        <f>IF(B12222="","",INT(A12222))</f>
        <v/>
      </c>
      <c r="D12222">
        <f>IF(B12222="","",HOUR(A12222))</f>
        <v/>
      </c>
    </row>
    <row r="12223">
      <c r="A12223">
        <f>Input!A12223</f>
        <v/>
      </c>
      <c r="B12223">
        <f>IF(ISNUMBER(Input!B12223),IF(AND(Input!B12223&gt;=20,Input!B12223&lt;=700),Input!B12223,""),"")</f>
        <v/>
      </c>
      <c r="C12223">
        <f>IF(B12223="","",INT(A12223))</f>
        <v/>
      </c>
      <c r="D12223">
        <f>IF(B12223="","",HOUR(A12223))</f>
        <v/>
      </c>
    </row>
    <row r="12224">
      <c r="A12224">
        <f>Input!A12224</f>
        <v/>
      </c>
      <c r="B12224">
        <f>IF(ISNUMBER(Input!B12224),IF(AND(Input!B12224&gt;=20,Input!B12224&lt;=700),Input!B12224,""),"")</f>
        <v/>
      </c>
      <c r="C12224">
        <f>IF(B12224="","",INT(A12224))</f>
        <v/>
      </c>
      <c r="D12224">
        <f>IF(B12224="","",HOUR(A12224))</f>
        <v/>
      </c>
    </row>
    <row r="12225">
      <c r="A12225">
        <f>Input!A12225</f>
        <v/>
      </c>
      <c r="B12225">
        <f>IF(ISNUMBER(Input!B12225),IF(AND(Input!B12225&gt;=20,Input!B12225&lt;=700),Input!B12225,""),"")</f>
        <v/>
      </c>
      <c r="C12225">
        <f>IF(B12225="","",INT(A12225))</f>
        <v/>
      </c>
      <c r="D12225">
        <f>IF(B12225="","",HOUR(A12225))</f>
        <v/>
      </c>
    </row>
    <row r="12226">
      <c r="A12226">
        <f>Input!A12226</f>
        <v/>
      </c>
      <c r="B12226">
        <f>IF(ISNUMBER(Input!B12226),IF(AND(Input!B12226&gt;=20,Input!B12226&lt;=700),Input!B12226,""),"")</f>
        <v/>
      </c>
      <c r="C12226">
        <f>IF(B12226="","",INT(A12226))</f>
        <v/>
      </c>
      <c r="D12226">
        <f>IF(B12226="","",HOUR(A12226))</f>
        <v/>
      </c>
    </row>
    <row r="12227">
      <c r="A12227">
        <f>Input!A12227</f>
        <v/>
      </c>
      <c r="B12227">
        <f>IF(ISNUMBER(Input!B12227),IF(AND(Input!B12227&gt;=20,Input!B12227&lt;=700),Input!B12227,""),"")</f>
        <v/>
      </c>
      <c r="C12227">
        <f>IF(B12227="","",INT(A12227))</f>
        <v/>
      </c>
      <c r="D12227">
        <f>IF(B12227="","",HOUR(A12227))</f>
        <v/>
      </c>
    </row>
    <row r="12228">
      <c r="A12228">
        <f>Input!A12228</f>
        <v/>
      </c>
      <c r="B12228">
        <f>IF(ISNUMBER(Input!B12228),IF(AND(Input!B12228&gt;=20,Input!B12228&lt;=700),Input!B12228,""),"")</f>
        <v/>
      </c>
      <c r="C12228">
        <f>IF(B12228="","",INT(A12228))</f>
        <v/>
      </c>
      <c r="D12228">
        <f>IF(B12228="","",HOUR(A12228))</f>
        <v/>
      </c>
    </row>
    <row r="12229">
      <c r="A12229">
        <f>Input!A12229</f>
        <v/>
      </c>
      <c r="B12229">
        <f>IF(ISNUMBER(Input!B12229),IF(AND(Input!B12229&gt;=20,Input!B12229&lt;=700),Input!B12229,""),"")</f>
        <v/>
      </c>
      <c r="C12229">
        <f>IF(B12229="","",INT(A12229))</f>
        <v/>
      </c>
      <c r="D12229">
        <f>IF(B12229="","",HOUR(A12229))</f>
        <v/>
      </c>
    </row>
    <row r="12230">
      <c r="A12230">
        <f>Input!A12230</f>
        <v/>
      </c>
      <c r="B12230">
        <f>IF(ISNUMBER(Input!B12230),IF(AND(Input!B12230&gt;=20,Input!B12230&lt;=700),Input!B12230,""),"")</f>
        <v/>
      </c>
      <c r="C12230">
        <f>IF(B12230="","",INT(A12230))</f>
        <v/>
      </c>
      <c r="D12230">
        <f>IF(B12230="","",HOUR(A12230))</f>
        <v/>
      </c>
    </row>
    <row r="12231">
      <c r="A12231">
        <f>Input!A12231</f>
        <v/>
      </c>
      <c r="B12231">
        <f>IF(ISNUMBER(Input!B12231),IF(AND(Input!B12231&gt;=20,Input!B12231&lt;=700),Input!B12231,""),"")</f>
        <v/>
      </c>
      <c r="C12231">
        <f>IF(B12231="","",INT(A12231))</f>
        <v/>
      </c>
      <c r="D12231">
        <f>IF(B12231="","",HOUR(A12231))</f>
        <v/>
      </c>
    </row>
    <row r="12232">
      <c r="A12232">
        <f>Input!A12232</f>
        <v/>
      </c>
      <c r="B12232">
        <f>IF(ISNUMBER(Input!B12232),IF(AND(Input!B12232&gt;=20,Input!B12232&lt;=700),Input!B12232,""),"")</f>
        <v/>
      </c>
      <c r="C12232">
        <f>IF(B12232="","",INT(A12232))</f>
        <v/>
      </c>
      <c r="D12232">
        <f>IF(B12232="","",HOUR(A12232))</f>
        <v/>
      </c>
    </row>
    <row r="12233">
      <c r="A12233">
        <f>Input!A12233</f>
        <v/>
      </c>
      <c r="B12233">
        <f>IF(ISNUMBER(Input!B12233),IF(AND(Input!B12233&gt;=20,Input!B12233&lt;=700),Input!B12233,""),"")</f>
        <v/>
      </c>
      <c r="C12233">
        <f>IF(B12233="","",INT(A12233))</f>
        <v/>
      </c>
      <c r="D12233">
        <f>IF(B12233="","",HOUR(A12233))</f>
        <v/>
      </c>
    </row>
    <row r="12234">
      <c r="A12234">
        <f>Input!A12234</f>
        <v/>
      </c>
      <c r="B12234">
        <f>IF(ISNUMBER(Input!B12234),IF(AND(Input!B12234&gt;=20,Input!B12234&lt;=700),Input!B12234,""),"")</f>
        <v/>
      </c>
      <c r="C12234">
        <f>IF(B12234="","",INT(A12234))</f>
        <v/>
      </c>
      <c r="D12234">
        <f>IF(B12234="","",HOUR(A12234))</f>
        <v/>
      </c>
    </row>
    <row r="12235">
      <c r="A12235">
        <f>Input!A12235</f>
        <v/>
      </c>
      <c r="B12235">
        <f>IF(ISNUMBER(Input!B12235),IF(AND(Input!B12235&gt;=20,Input!B12235&lt;=700),Input!B12235,""),"")</f>
        <v/>
      </c>
      <c r="C12235">
        <f>IF(B12235="","",INT(A12235))</f>
        <v/>
      </c>
      <c r="D12235">
        <f>IF(B12235="","",HOUR(A12235))</f>
        <v/>
      </c>
    </row>
    <row r="12236">
      <c r="A12236">
        <f>Input!A12236</f>
        <v/>
      </c>
      <c r="B12236">
        <f>IF(ISNUMBER(Input!B12236),IF(AND(Input!B12236&gt;=20,Input!B12236&lt;=700),Input!B12236,""),"")</f>
        <v/>
      </c>
      <c r="C12236">
        <f>IF(B12236="","",INT(A12236))</f>
        <v/>
      </c>
      <c r="D12236">
        <f>IF(B12236="","",HOUR(A12236))</f>
        <v/>
      </c>
    </row>
    <row r="12237">
      <c r="A12237">
        <f>Input!A12237</f>
        <v/>
      </c>
      <c r="B12237">
        <f>IF(ISNUMBER(Input!B12237),IF(AND(Input!B12237&gt;=20,Input!B12237&lt;=700),Input!B12237,""),"")</f>
        <v/>
      </c>
      <c r="C12237">
        <f>IF(B12237="","",INT(A12237))</f>
        <v/>
      </c>
      <c r="D12237">
        <f>IF(B12237="","",HOUR(A12237))</f>
        <v/>
      </c>
    </row>
    <row r="12238">
      <c r="A12238">
        <f>Input!A12238</f>
        <v/>
      </c>
      <c r="B12238">
        <f>IF(ISNUMBER(Input!B12238),IF(AND(Input!B12238&gt;=20,Input!B12238&lt;=700),Input!B12238,""),"")</f>
        <v/>
      </c>
      <c r="C12238">
        <f>IF(B12238="","",INT(A12238))</f>
        <v/>
      </c>
      <c r="D12238">
        <f>IF(B12238="","",HOUR(A12238))</f>
        <v/>
      </c>
    </row>
    <row r="12239">
      <c r="A12239">
        <f>Input!A12239</f>
        <v/>
      </c>
      <c r="B12239">
        <f>IF(ISNUMBER(Input!B12239),IF(AND(Input!B12239&gt;=20,Input!B12239&lt;=700),Input!B12239,""),"")</f>
        <v/>
      </c>
      <c r="C12239">
        <f>IF(B12239="","",INT(A12239))</f>
        <v/>
      </c>
      <c r="D12239">
        <f>IF(B12239="","",HOUR(A12239))</f>
        <v/>
      </c>
    </row>
    <row r="12240">
      <c r="A12240">
        <f>Input!A12240</f>
        <v/>
      </c>
      <c r="B12240">
        <f>IF(ISNUMBER(Input!B12240),IF(AND(Input!B12240&gt;=20,Input!B12240&lt;=700),Input!B12240,""),"")</f>
        <v/>
      </c>
      <c r="C12240">
        <f>IF(B12240="","",INT(A12240))</f>
        <v/>
      </c>
      <c r="D12240">
        <f>IF(B12240="","",HOUR(A12240))</f>
        <v/>
      </c>
    </row>
    <row r="12241">
      <c r="A12241">
        <f>Input!A12241</f>
        <v/>
      </c>
      <c r="B12241">
        <f>IF(ISNUMBER(Input!B12241),IF(AND(Input!B12241&gt;=20,Input!B12241&lt;=700),Input!B12241,""),"")</f>
        <v/>
      </c>
      <c r="C12241">
        <f>IF(B12241="","",INT(A12241))</f>
        <v/>
      </c>
      <c r="D12241">
        <f>IF(B12241="","",HOUR(A12241))</f>
        <v/>
      </c>
    </row>
    <row r="12242">
      <c r="A12242">
        <f>Input!A12242</f>
        <v/>
      </c>
      <c r="B12242">
        <f>IF(ISNUMBER(Input!B12242),IF(AND(Input!B12242&gt;=20,Input!B12242&lt;=700),Input!B12242,""),"")</f>
        <v/>
      </c>
      <c r="C12242">
        <f>IF(B12242="","",INT(A12242))</f>
        <v/>
      </c>
      <c r="D12242">
        <f>IF(B12242="","",HOUR(A12242))</f>
        <v/>
      </c>
    </row>
    <row r="12243">
      <c r="A12243">
        <f>Input!A12243</f>
        <v/>
      </c>
      <c r="B12243">
        <f>IF(ISNUMBER(Input!B12243),IF(AND(Input!B12243&gt;=20,Input!B12243&lt;=700),Input!B12243,""),"")</f>
        <v/>
      </c>
      <c r="C12243">
        <f>IF(B12243="","",INT(A12243))</f>
        <v/>
      </c>
      <c r="D12243">
        <f>IF(B12243="","",HOUR(A12243))</f>
        <v/>
      </c>
    </row>
    <row r="12244">
      <c r="A12244">
        <f>Input!A12244</f>
        <v/>
      </c>
      <c r="B12244">
        <f>IF(ISNUMBER(Input!B12244),IF(AND(Input!B12244&gt;=20,Input!B12244&lt;=700),Input!B12244,""),"")</f>
        <v/>
      </c>
      <c r="C12244">
        <f>IF(B12244="","",INT(A12244))</f>
        <v/>
      </c>
      <c r="D12244">
        <f>IF(B12244="","",HOUR(A12244))</f>
        <v/>
      </c>
    </row>
    <row r="12245">
      <c r="A12245">
        <f>Input!A12245</f>
        <v/>
      </c>
      <c r="B12245">
        <f>IF(ISNUMBER(Input!B12245),IF(AND(Input!B12245&gt;=20,Input!B12245&lt;=700),Input!B12245,""),"")</f>
        <v/>
      </c>
      <c r="C12245">
        <f>IF(B12245="","",INT(A12245))</f>
        <v/>
      </c>
      <c r="D12245">
        <f>IF(B12245="","",HOUR(A12245))</f>
        <v/>
      </c>
    </row>
    <row r="12246">
      <c r="A12246">
        <f>Input!A12246</f>
        <v/>
      </c>
      <c r="B12246">
        <f>IF(ISNUMBER(Input!B12246),IF(AND(Input!B12246&gt;=20,Input!B12246&lt;=700),Input!B12246,""),"")</f>
        <v/>
      </c>
      <c r="C12246">
        <f>IF(B12246="","",INT(A12246))</f>
        <v/>
      </c>
      <c r="D12246">
        <f>IF(B12246="","",HOUR(A12246))</f>
        <v/>
      </c>
    </row>
    <row r="12247">
      <c r="A12247">
        <f>Input!A12247</f>
        <v/>
      </c>
      <c r="B12247">
        <f>IF(ISNUMBER(Input!B12247),IF(AND(Input!B12247&gt;=20,Input!B12247&lt;=700),Input!B12247,""),"")</f>
        <v/>
      </c>
      <c r="C12247">
        <f>IF(B12247="","",INT(A12247))</f>
        <v/>
      </c>
      <c r="D12247">
        <f>IF(B12247="","",HOUR(A12247))</f>
        <v/>
      </c>
    </row>
    <row r="12248">
      <c r="A12248">
        <f>Input!A12248</f>
        <v/>
      </c>
      <c r="B12248">
        <f>IF(ISNUMBER(Input!B12248),IF(AND(Input!B12248&gt;=20,Input!B12248&lt;=700),Input!B12248,""),"")</f>
        <v/>
      </c>
      <c r="C12248">
        <f>IF(B12248="","",INT(A12248))</f>
        <v/>
      </c>
      <c r="D12248">
        <f>IF(B12248="","",HOUR(A12248))</f>
        <v/>
      </c>
    </row>
    <row r="12249">
      <c r="A12249">
        <f>Input!A12249</f>
        <v/>
      </c>
      <c r="B12249">
        <f>IF(ISNUMBER(Input!B12249),IF(AND(Input!B12249&gt;=20,Input!B12249&lt;=700),Input!B12249,""),"")</f>
        <v/>
      </c>
      <c r="C12249">
        <f>IF(B12249="","",INT(A12249))</f>
        <v/>
      </c>
      <c r="D12249">
        <f>IF(B12249="","",HOUR(A12249))</f>
        <v/>
      </c>
    </row>
    <row r="12250">
      <c r="A12250">
        <f>Input!A12250</f>
        <v/>
      </c>
      <c r="B12250">
        <f>IF(ISNUMBER(Input!B12250),IF(AND(Input!B12250&gt;=20,Input!B12250&lt;=700),Input!B12250,""),"")</f>
        <v/>
      </c>
      <c r="C12250">
        <f>IF(B12250="","",INT(A12250))</f>
        <v/>
      </c>
      <c r="D12250">
        <f>IF(B12250="","",HOUR(A12250))</f>
        <v/>
      </c>
    </row>
    <row r="12251">
      <c r="A12251">
        <f>Input!A12251</f>
        <v/>
      </c>
      <c r="B12251">
        <f>IF(ISNUMBER(Input!B12251),IF(AND(Input!B12251&gt;=20,Input!B12251&lt;=700),Input!B12251,""),"")</f>
        <v/>
      </c>
      <c r="C12251">
        <f>IF(B12251="","",INT(A12251))</f>
        <v/>
      </c>
      <c r="D12251">
        <f>IF(B12251="","",HOUR(A12251))</f>
        <v/>
      </c>
    </row>
    <row r="12252">
      <c r="A12252">
        <f>Input!A12252</f>
        <v/>
      </c>
      <c r="B12252">
        <f>IF(ISNUMBER(Input!B12252),IF(AND(Input!B12252&gt;=20,Input!B12252&lt;=700),Input!B12252,""),"")</f>
        <v/>
      </c>
      <c r="C12252">
        <f>IF(B12252="","",INT(A12252))</f>
        <v/>
      </c>
      <c r="D12252">
        <f>IF(B12252="","",HOUR(A12252))</f>
        <v/>
      </c>
    </row>
    <row r="12253">
      <c r="A12253">
        <f>Input!A12253</f>
        <v/>
      </c>
      <c r="B12253">
        <f>IF(ISNUMBER(Input!B12253),IF(AND(Input!B12253&gt;=20,Input!B12253&lt;=700),Input!B12253,""),"")</f>
        <v/>
      </c>
      <c r="C12253">
        <f>IF(B12253="","",INT(A12253))</f>
        <v/>
      </c>
      <c r="D12253">
        <f>IF(B12253="","",HOUR(A12253))</f>
        <v/>
      </c>
    </row>
    <row r="12254">
      <c r="A12254">
        <f>Input!A12254</f>
        <v/>
      </c>
      <c r="B12254">
        <f>IF(ISNUMBER(Input!B12254),IF(AND(Input!B12254&gt;=20,Input!B12254&lt;=700),Input!B12254,""),"")</f>
        <v/>
      </c>
      <c r="C12254">
        <f>IF(B12254="","",INT(A12254))</f>
        <v/>
      </c>
      <c r="D12254">
        <f>IF(B12254="","",HOUR(A12254))</f>
        <v/>
      </c>
    </row>
    <row r="12255">
      <c r="A12255">
        <f>Input!A12255</f>
        <v/>
      </c>
      <c r="B12255">
        <f>IF(ISNUMBER(Input!B12255),IF(AND(Input!B12255&gt;=20,Input!B12255&lt;=700),Input!B12255,""),"")</f>
        <v/>
      </c>
      <c r="C12255">
        <f>IF(B12255="","",INT(A12255))</f>
        <v/>
      </c>
      <c r="D12255">
        <f>IF(B12255="","",HOUR(A12255))</f>
        <v/>
      </c>
    </row>
    <row r="12256">
      <c r="A12256">
        <f>Input!A12256</f>
        <v/>
      </c>
      <c r="B12256">
        <f>IF(ISNUMBER(Input!B12256),IF(AND(Input!B12256&gt;=20,Input!B12256&lt;=700),Input!B12256,""),"")</f>
        <v/>
      </c>
      <c r="C12256">
        <f>IF(B12256="","",INT(A12256))</f>
        <v/>
      </c>
      <c r="D12256">
        <f>IF(B12256="","",HOUR(A12256))</f>
        <v/>
      </c>
    </row>
    <row r="12257">
      <c r="A12257">
        <f>Input!A12257</f>
        <v/>
      </c>
      <c r="B12257">
        <f>IF(ISNUMBER(Input!B12257),IF(AND(Input!B12257&gt;=20,Input!B12257&lt;=700),Input!B12257,""),"")</f>
        <v/>
      </c>
      <c r="C12257">
        <f>IF(B12257="","",INT(A12257))</f>
        <v/>
      </c>
      <c r="D12257">
        <f>IF(B12257="","",HOUR(A12257))</f>
        <v/>
      </c>
    </row>
    <row r="12258">
      <c r="A12258">
        <f>Input!A12258</f>
        <v/>
      </c>
      <c r="B12258">
        <f>IF(ISNUMBER(Input!B12258),IF(AND(Input!B12258&gt;=20,Input!B12258&lt;=700),Input!B12258,""),"")</f>
        <v/>
      </c>
      <c r="C12258">
        <f>IF(B12258="","",INT(A12258))</f>
        <v/>
      </c>
      <c r="D12258">
        <f>IF(B12258="","",HOUR(A12258))</f>
        <v/>
      </c>
    </row>
    <row r="12259">
      <c r="A12259">
        <f>Input!A12259</f>
        <v/>
      </c>
      <c r="B12259">
        <f>IF(ISNUMBER(Input!B12259),IF(AND(Input!B12259&gt;=20,Input!B12259&lt;=700),Input!B12259,""),"")</f>
        <v/>
      </c>
      <c r="C12259">
        <f>IF(B12259="","",INT(A12259))</f>
        <v/>
      </c>
      <c r="D12259">
        <f>IF(B12259="","",HOUR(A12259))</f>
        <v/>
      </c>
    </row>
    <row r="12260">
      <c r="A12260">
        <f>Input!A12260</f>
        <v/>
      </c>
      <c r="B12260">
        <f>IF(ISNUMBER(Input!B12260),IF(AND(Input!B12260&gt;=20,Input!B12260&lt;=700),Input!B12260,""),"")</f>
        <v/>
      </c>
      <c r="C12260">
        <f>IF(B12260="","",INT(A12260))</f>
        <v/>
      </c>
      <c r="D12260">
        <f>IF(B12260="","",HOUR(A12260))</f>
        <v/>
      </c>
    </row>
    <row r="12261">
      <c r="A12261">
        <f>Input!A12261</f>
        <v/>
      </c>
      <c r="B12261">
        <f>IF(ISNUMBER(Input!B12261),IF(AND(Input!B12261&gt;=20,Input!B12261&lt;=700),Input!B12261,""),"")</f>
        <v/>
      </c>
      <c r="C12261">
        <f>IF(B12261="","",INT(A12261))</f>
        <v/>
      </c>
      <c r="D12261">
        <f>IF(B12261="","",HOUR(A12261))</f>
        <v/>
      </c>
    </row>
    <row r="12262">
      <c r="A12262">
        <f>Input!A12262</f>
        <v/>
      </c>
      <c r="B12262">
        <f>IF(ISNUMBER(Input!B12262),IF(AND(Input!B12262&gt;=20,Input!B12262&lt;=700),Input!B12262,""),"")</f>
        <v/>
      </c>
      <c r="C12262">
        <f>IF(B12262="","",INT(A12262))</f>
        <v/>
      </c>
      <c r="D12262">
        <f>IF(B12262="","",HOUR(A12262))</f>
        <v/>
      </c>
    </row>
    <row r="12263">
      <c r="A12263">
        <f>Input!A12263</f>
        <v/>
      </c>
      <c r="B12263">
        <f>IF(ISNUMBER(Input!B12263),IF(AND(Input!B12263&gt;=20,Input!B12263&lt;=700),Input!B12263,""),"")</f>
        <v/>
      </c>
      <c r="C12263">
        <f>IF(B12263="","",INT(A12263))</f>
        <v/>
      </c>
      <c r="D12263">
        <f>IF(B12263="","",HOUR(A12263))</f>
        <v/>
      </c>
    </row>
    <row r="12264">
      <c r="A12264">
        <f>Input!A12264</f>
        <v/>
      </c>
      <c r="B12264">
        <f>IF(ISNUMBER(Input!B12264),IF(AND(Input!B12264&gt;=20,Input!B12264&lt;=700),Input!B12264,""),"")</f>
        <v/>
      </c>
      <c r="C12264">
        <f>IF(B12264="","",INT(A12264))</f>
        <v/>
      </c>
      <c r="D12264">
        <f>IF(B12264="","",HOUR(A12264))</f>
        <v/>
      </c>
    </row>
    <row r="12265">
      <c r="A12265">
        <f>Input!A12265</f>
        <v/>
      </c>
      <c r="B12265">
        <f>IF(ISNUMBER(Input!B12265),IF(AND(Input!B12265&gt;=20,Input!B12265&lt;=700),Input!B12265,""),"")</f>
        <v/>
      </c>
      <c r="C12265">
        <f>IF(B12265="","",INT(A12265))</f>
        <v/>
      </c>
      <c r="D12265">
        <f>IF(B12265="","",HOUR(A12265))</f>
        <v/>
      </c>
    </row>
    <row r="12266">
      <c r="A12266">
        <f>Input!A12266</f>
        <v/>
      </c>
      <c r="B12266">
        <f>IF(ISNUMBER(Input!B12266),IF(AND(Input!B12266&gt;=20,Input!B12266&lt;=700),Input!B12266,""),"")</f>
        <v/>
      </c>
      <c r="C12266">
        <f>IF(B12266="","",INT(A12266))</f>
        <v/>
      </c>
      <c r="D12266">
        <f>IF(B12266="","",HOUR(A12266))</f>
        <v/>
      </c>
    </row>
    <row r="12267">
      <c r="A12267">
        <f>Input!A12267</f>
        <v/>
      </c>
      <c r="B12267">
        <f>IF(ISNUMBER(Input!B12267),IF(AND(Input!B12267&gt;=20,Input!B12267&lt;=700),Input!B12267,""),"")</f>
        <v/>
      </c>
      <c r="C12267">
        <f>IF(B12267="","",INT(A12267))</f>
        <v/>
      </c>
      <c r="D12267">
        <f>IF(B12267="","",HOUR(A12267))</f>
        <v/>
      </c>
    </row>
    <row r="12268">
      <c r="A12268">
        <f>Input!A12268</f>
        <v/>
      </c>
      <c r="B12268">
        <f>IF(ISNUMBER(Input!B12268),IF(AND(Input!B12268&gt;=20,Input!B12268&lt;=700),Input!B12268,""),"")</f>
        <v/>
      </c>
      <c r="C12268">
        <f>IF(B12268="","",INT(A12268))</f>
        <v/>
      </c>
      <c r="D12268">
        <f>IF(B12268="","",HOUR(A12268))</f>
        <v/>
      </c>
    </row>
    <row r="12269">
      <c r="A12269">
        <f>Input!A12269</f>
        <v/>
      </c>
      <c r="B12269">
        <f>IF(ISNUMBER(Input!B12269),IF(AND(Input!B12269&gt;=20,Input!B12269&lt;=700),Input!B12269,""),"")</f>
        <v/>
      </c>
      <c r="C12269">
        <f>IF(B12269="","",INT(A12269))</f>
        <v/>
      </c>
      <c r="D12269">
        <f>IF(B12269="","",HOUR(A12269))</f>
        <v/>
      </c>
    </row>
    <row r="12270">
      <c r="A12270">
        <f>Input!A12270</f>
        <v/>
      </c>
      <c r="B12270">
        <f>IF(ISNUMBER(Input!B12270),IF(AND(Input!B12270&gt;=20,Input!B12270&lt;=700),Input!B12270,""),"")</f>
        <v/>
      </c>
      <c r="C12270">
        <f>IF(B12270="","",INT(A12270))</f>
        <v/>
      </c>
      <c r="D12270">
        <f>IF(B12270="","",HOUR(A12270))</f>
        <v/>
      </c>
    </row>
    <row r="12271">
      <c r="A12271">
        <f>Input!A12271</f>
        <v/>
      </c>
      <c r="B12271">
        <f>IF(ISNUMBER(Input!B12271),IF(AND(Input!B12271&gt;=20,Input!B12271&lt;=700),Input!B12271,""),"")</f>
        <v/>
      </c>
      <c r="C12271">
        <f>IF(B12271="","",INT(A12271))</f>
        <v/>
      </c>
      <c r="D12271">
        <f>IF(B12271="","",HOUR(A12271))</f>
        <v/>
      </c>
    </row>
    <row r="12272">
      <c r="A12272">
        <f>Input!A12272</f>
        <v/>
      </c>
      <c r="B12272">
        <f>IF(ISNUMBER(Input!B12272),IF(AND(Input!B12272&gt;=20,Input!B12272&lt;=700),Input!B12272,""),"")</f>
        <v/>
      </c>
      <c r="C12272">
        <f>IF(B12272="","",INT(A12272))</f>
        <v/>
      </c>
      <c r="D12272">
        <f>IF(B12272="","",HOUR(A12272))</f>
        <v/>
      </c>
    </row>
    <row r="12273">
      <c r="A12273">
        <f>Input!A12273</f>
        <v/>
      </c>
      <c r="B12273">
        <f>IF(ISNUMBER(Input!B12273),IF(AND(Input!B12273&gt;=20,Input!B12273&lt;=700),Input!B12273,""),"")</f>
        <v/>
      </c>
      <c r="C12273">
        <f>IF(B12273="","",INT(A12273))</f>
        <v/>
      </c>
      <c r="D12273">
        <f>IF(B12273="","",HOUR(A12273))</f>
        <v/>
      </c>
    </row>
    <row r="12274">
      <c r="A12274">
        <f>Input!A12274</f>
        <v/>
      </c>
      <c r="B12274">
        <f>IF(ISNUMBER(Input!B12274),IF(AND(Input!B12274&gt;=20,Input!B12274&lt;=700),Input!B12274,""),"")</f>
        <v/>
      </c>
      <c r="C12274">
        <f>IF(B12274="","",INT(A12274))</f>
        <v/>
      </c>
      <c r="D12274">
        <f>IF(B12274="","",HOUR(A12274))</f>
        <v/>
      </c>
    </row>
    <row r="12275">
      <c r="A12275">
        <f>Input!A12275</f>
        <v/>
      </c>
      <c r="B12275">
        <f>IF(ISNUMBER(Input!B12275),IF(AND(Input!B12275&gt;=20,Input!B12275&lt;=700),Input!B12275,""),"")</f>
        <v/>
      </c>
      <c r="C12275">
        <f>IF(B12275="","",INT(A12275))</f>
        <v/>
      </c>
      <c r="D12275">
        <f>IF(B12275="","",HOUR(A12275))</f>
        <v/>
      </c>
    </row>
    <row r="12276">
      <c r="A12276">
        <f>Input!A12276</f>
        <v/>
      </c>
      <c r="B12276">
        <f>IF(ISNUMBER(Input!B12276),IF(AND(Input!B12276&gt;=20,Input!B12276&lt;=700),Input!B12276,""),"")</f>
        <v/>
      </c>
      <c r="C12276">
        <f>IF(B12276="","",INT(A12276))</f>
        <v/>
      </c>
      <c r="D12276">
        <f>IF(B12276="","",HOUR(A12276))</f>
        <v/>
      </c>
    </row>
    <row r="12277">
      <c r="A12277">
        <f>Input!A12277</f>
        <v/>
      </c>
      <c r="B12277">
        <f>IF(ISNUMBER(Input!B12277),IF(AND(Input!B12277&gt;=20,Input!B12277&lt;=700),Input!B12277,""),"")</f>
        <v/>
      </c>
      <c r="C12277">
        <f>IF(B12277="","",INT(A12277))</f>
        <v/>
      </c>
      <c r="D12277">
        <f>IF(B12277="","",HOUR(A12277))</f>
        <v/>
      </c>
    </row>
    <row r="12278">
      <c r="A12278">
        <f>Input!A12278</f>
        <v/>
      </c>
      <c r="B12278">
        <f>IF(ISNUMBER(Input!B12278),IF(AND(Input!B12278&gt;=20,Input!B12278&lt;=700),Input!B12278,""),"")</f>
        <v/>
      </c>
      <c r="C12278">
        <f>IF(B12278="","",INT(A12278))</f>
        <v/>
      </c>
      <c r="D12278">
        <f>IF(B12278="","",HOUR(A12278))</f>
        <v/>
      </c>
    </row>
    <row r="12279">
      <c r="A12279">
        <f>Input!A12279</f>
        <v/>
      </c>
      <c r="B12279">
        <f>IF(ISNUMBER(Input!B12279),IF(AND(Input!B12279&gt;=20,Input!B12279&lt;=700),Input!B12279,""),"")</f>
        <v/>
      </c>
      <c r="C12279">
        <f>IF(B12279="","",INT(A12279))</f>
        <v/>
      </c>
      <c r="D12279">
        <f>IF(B12279="","",HOUR(A12279))</f>
        <v/>
      </c>
    </row>
    <row r="12280">
      <c r="A12280">
        <f>Input!A12280</f>
        <v/>
      </c>
      <c r="B12280">
        <f>IF(ISNUMBER(Input!B12280),IF(AND(Input!B12280&gt;=20,Input!B12280&lt;=700),Input!B12280,""),"")</f>
        <v/>
      </c>
      <c r="C12280">
        <f>IF(B12280="","",INT(A12280))</f>
        <v/>
      </c>
      <c r="D12280">
        <f>IF(B12280="","",HOUR(A12280))</f>
        <v/>
      </c>
    </row>
    <row r="12281">
      <c r="A12281">
        <f>Input!A12281</f>
        <v/>
      </c>
      <c r="B12281">
        <f>IF(ISNUMBER(Input!B12281),IF(AND(Input!B12281&gt;=20,Input!B12281&lt;=700),Input!B12281,""),"")</f>
        <v/>
      </c>
      <c r="C12281">
        <f>IF(B12281="","",INT(A12281))</f>
        <v/>
      </c>
      <c r="D12281">
        <f>IF(B12281="","",HOUR(A12281))</f>
        <v/>
      </c>
    </row>
    <row r="12282">
      <c r="A12282">
        <f>Input!A12282</f>
        <v/>
      </c>
      <c r="B12282">
        <f>IF(ISNUMBER(Input!B12282),IF(AND(Input!B12282&gt;=20,Input!B12282&lt;=700),Input!B12282,""),"")</f>
        <v/>
      </c>
      <c r="C12282">
        <f>IF(B12282="","",INT(A12282))</f>
        <v/>
      </c>
      <c r="D12282">
        <f>IF(B12282="","",HOUR(A12282))</f>
        <v/>
      </c>
    </row>
    <row r="12283">
      <c r="A12283">
        <f>Input!A12283</f>
        <v/>
      </c>
      <c r="B12283">
        <f>IF(ISNUMBER(Input!B12283),IF(AND(Input!B12283&gt;=20,Input!B12283&lt;=700),Input!B12283,""),"")</f>
        <v/>
      </c>
      <c r="C12283">
        <f>IF(B12283="","",INT(A12283))</f>
        <v/>
      </c>
      <c r="D12283">
        <f>IF(B12283="","",HOUR(A12283))</f>
        <v/>
      </c>
    </row>
    <row r="12284">
      <c r="A12284">
        <f>Input!A12284</f>
        <v/>
      </c>
      <c r="B12284">
        <f>IF(ISNUMBER(Input!B12284),IF(AND(Input!B12284&gt;=20,Input!B12284&lt;=700),Input!B12284,""),"")</f>
        <v/>
      </c>
      <c r="C12284">
        <f>IF(B12284="","",INT(A12284))</f>
        <v/>
      </c>
      <c r="D12284">
        <f>IF(B12284="","",HOUR(A12284))</f>
        <v/>
      </c>
    </row>
    <row r="12285">
      <c r="A12285">
        <f>Input!A12285</f>
        <v/>
      </c>
      <c r="B12285">
        <f>IF(ISNUMBER(Input!B12285),IF(AND(Input!B12285&gt;=20,Input!B12285&lt;=700),Input!B12285,""),"")</f>
        <v/>
      </c>
      <c r="C12285">
        <f>IF(B12285="","",INT(A12285))</f>
        <v/>
      </c>
      <c r="D12285">
        <f>IF(B12285="","",HOUR(A12285))</f>
        <v/>
      </c>
    </row>
    <row r="12286">
      <c r="A12286">
        <f>Input!A12286</f>
        <v/>
      </c>
      <c r="B12286">
        <f>IF(ISNUMBER(Input!B12286),IF(AND(Input!B12286&gt;=20,Input!B12286&lt;=700),Input!B12286,""),"")</f>
        <v/>
      </c>
      <c r="C12286">
        <f>IF(B12286="","",INT(A12286))</f>
        <v/>
      </c>
      <c r="D12286">
        <f>IF(B12286="","",HOUR(A12286))</f>
        <v/>
      </c>
    </row>
    <row r="12287">
      <c r="A12287">
        <f>Input!A12287</f>
        <v/>
      </c>
      <c r="B12287">
        <f>IF(ISNUMBER(Input!B12287),IF(AND(Input!B12287&gt;=20,Input!B12287&lt;=700),Input!B12287,""),"")</f>
        <v/>
      </c>
      <c r="C12287">
        <f>IF(B12287="","",INT(A12287))</f>
        <v/>
      </c>
      <c r="D12287">
        <f>IF(B12287="","",HOUR(A12287))</f>
        <v/>
      </c>
    </row>
    <row r="12288">
      <c r="A12288">
        <f>Input!A12288</f>
        <v/>
      </c>
      <c r="B12288">
        <f>IF(ISNUMBER(Input!B12288),IF(AND(Input!B12288&gt;=20,Input!B12288&lt;=700),Input!B12288,""),"")</f>
        <v/>
      </c>
      <c r="C12288">
        <f>IF(B12288="","",INT(A12288))</f>
        <v/>
      </c>
      <c r="D12288">
        <f>IF(B12288="","",HOUR(A12288))</f>
        <v/>
      </c>
    </row>
    <row r="12289">
      <c r="A12289">
        <f>Input!A12289</f>
        <v/>
      </c>
      <c r="B12289">
        <f>IF(ISNUMBER(Input!B12289),IF(AND(Input!B12289&gt;=20,Input!B12289&lt;=700),Input!B12289,""),"")</f>
        <v/>
      </c>
      <c r="C12289">
        <f>IF(B12289="","",INT(A12289))</f>
        <v/>
      </c>
      <c r="D12289">
        <f>IF(B12289="","",HOUR(A12289))</f>
        <v/>
      </c>
    </row>
    <row r="12290">
      <c r="A12290">
        <f>Input!A12290</f>
        <v/>
      </c>
      <c r="B12290">
        <f>IF(ISNUMBER(Input!B12290),IF(AND(Input!B12290&gt;=20,Input!B12290&lt;=700),Input!B12290,""),"")</f>
        <v/>
      </c>
      <c r="C12290">
        <f>IF(B12290="","",INT(A12290))</f>
        <v/>
      </c>
      <c r="D12290">
        <f>IF(B12290="","",HOUR(A12290))</f>
        <v/>
      </c>
    </row>
    <row r="12291">
      <c r="A12291">
        <f>Input!A12291</f>
        <v/>
      </c>
      <c r="B12291">
        <f>IF(ISNUMBER(Input!B12291),IF(AND(Input!B12291&gt;=20,Input!B12291&lt;=700),Input!B12291,""),"")</f>
        <v/>
      </c>
      <c r="C12291">
        <f>IF(B12291="","",INT(A12291))</f>
        <v/>
      </c>
      <c r="D12291">
        <f>IF(B12291="","",HOUR(A12291))</f>
        <v/>
      </c>
    </row>
    <row r="12292">
      <c r="A12292">
        <f>Input!A12292</f>
        <v/>
      </c>
      <c r="B12292">
        <f>IF(ISNUMBER(Input!B12292),IF(AND(Input!B12292&gt;=20,Input!B12292&lt;=700),Input!B12292,""),"")</f>
        <v/>
      </c>
      <c r="C12292">
        <f>IF(B12292="","",INT(A12292))</f>
        <v/>
      </c>
      <c r="D12292">
        <f>IF(B12292="","",HOUR(A12292))</f>
        <v/>
      </c>
    </row>
    <row r="12293">
      <c r="A12293">
        <f>Input!A12293</f>
        <v/>
      </c>
      <c r="B12293">
        <f>IF(ISNUMBER(Input!B12293),IF(AND(Input!B12293&gt;=20,Input!B12293&lt;=700),Input!B12293,""),"")</f>
        <v/>
      </c>
      <c r="C12293">
        <f>IF(B12293="","",INT(A12293))</f>
        <v/>
      </c>
      <c r="D12293">
        <f>IF(B12293="","",HOUR(A12293))</f>
        <v/>
      </c>
    </row>
    <row r="12294">
      <c r="A12294">
        <f>Input!A12294</f>
        <v/>
      </c>
      <c r="B12294">
        <f>IF(ISNUMBER(Input!B12294),IF(AND(Input!B12294&gt;=20,Input!B12294&lt;=700),Input!B12294,""),"")</f>
        <v/>
      </c>
      <c r="C12294">
        <f>IF(B12294="","",INT(A12294))</f>
        <v/>
      </c>
      <c r="D12294">
        <f>IF(B12294="","",HOUR(A12294))</f>
        <v/>
      </c>
    </row>
    <row r="12295">
      <c r="A12295">
        <f>Input!A12295</f>
        <v/>
      </c>
      <c r="B12295">
        <f>IF(ISNUMBER(Input!B12295),IF(AND(Input!B12295&gt;=20,Input!B12295&lt;=700),Input!B12295,""),"")</f>
        <v/>
      </c>
      <c r="C12295">
        <f>IF(B12295="","",INT(A12295))</f>
        <v/>
      </c>
      <c r="D12295">
        <f>IF(B12295="","",HOUR(A12295))</f>
        <v/>
      </c>
    </row>
    <row r="12296">
      <c r="A12296">
        <f>Input!A12296</f>
        <v/>
      </c>
      <c r="B12296">
        <f>IF(ISNUMBER(Input!B12296),IF(AND(Input!B12296&gt;=20,Input!B12296&lt;=700),Input!B12296,""),"")</f>
        <v/>
      </c>
      <c r="C12296">
        <f>IF(B12296="","",INT(A12296))</f>
        <v/>
      </c>
      <c r="D12296">
        <f>IF(B12296="","",HOUR(A12296))</f>
        <v/>
      </c>
    </row>
    <row r="12297">
      <c r="A12297">
        <f>Input!A12297</f>
        <v/>
      </c>
      <c r="B12297">
        <f>IF(ISNUMBER(Input!B12297),IF(AND(Input!B12297&gt;=20,Input!B12297&lt;=700),Input!B12297,""),"")</f>
        <v/>
      </c>
      <c r="C12297">
        <f>IF(B12297="","",INT(A12297))</f>
        <v/>
      </c>
      <c r="D12297">
        <f>IF(B12297="","",HOUR(A12297))</f>
        <v/>
      </c>
    </row>
    <row r="12298">
      <c r="A12298">
        <f>Input!A12298</f>
        <v/>
      </c>
      <c r="B12298">
        <f>IF(ISNUMBER(Input!B12298),IF(AND(Input!B12298&gt;=20,Input!B12298&lt;=700),Input!B12298,""),"")</f>
        <v/>
      </c>
      <c r="C12298">
        <f>IF(B12298="","",INT(A12298))</f>
        <v/>
      </c>
      <c r="D12298">
        <f>IF(B12298="","",HOUR(A12298))</f>
        <v/>
      </c>
    </row>
    <row r="12299">
      <c r="A12299">
        <f>Input!A12299</f>
        <v/>
      </c>
      <c r="B12299">
        <f>IF(ISNUMBER(Input!B12299),IF(AND(Input!B12299&gt;=20,Input!B12299&lt;=700),Input!B12299,""),"")</f>
        <v/>
      </c>
      <c r="C12299">
        <f>IF(B12299="","",INT(A12299))</f>
        <v/>
      </c>
      <c r="D12299">
        <f>IF(B12299="","",HOUR(A12299))</f>
        <v/>
      </c>
    </row>
    <row r="12300">
      <c r="A12300">
        <f>Input!A12300</f>
        <v/>
      </c>
      <c r="B12300">
        <f>IF(ISNUMBER(Input!B12300),IF(AND(Input!B12300&gt;=20,Input!B12300&lt;=700),Input!B12300,""),"")</f>
        <v/>
      </c>
      <c r="C12300">
        <f>IF(B12300="","",INT(A12300))</f>
        <v/>
      </c>
      <c r="D12300">
        <f>IF(B12300="","",HOUR(A12300))</f>
        <v/>
      </c>
    </row>
    <row r="12301">
      <c r="A12301">
        <f>Input!A12301</f>
        <v/>
      </c>
      <c r="B12301">
        <f>IF(ISNUMBER(Input!B12301),IF(AND(Input!B12301&gt;=20,Input!B12301&lt;=700),Input!B12301,""),"")</f>
        <v/>
      </c>
      <c r="C12301">
        <f>IF(B12301="","",INT(A12301))</f>
        <v/>
      </c>
      <c r="D12301">
        <f>IF(B12301="","",HOUR(A12301))</f>
        <v/>
      </c>
    </row>
    <row r="12302">
      <c r="A12302">
        <f>Input!A12302</f>
        <v/>
      </c>
      <c r="B12302">
        <f>IF(ISNUMBER(Input!B12302),IF(AND(Input!B12302&gt;=20,Input!B12302&lt;=700),Input!B12302,""),"")</f>
        <v/>
      </c>
      <c r="C12302">
        <f>IF(B12302="","",INT(A12302))</f>
        <v/>
      </c>
      <c r="D12302">
        <f>IF(B12302="","",HOUR(A12302))</f>
        <v/>
      </c>
    </row>
    <row r="12303">
      <c r="A12303">
        <f>Input!A12303</f>
        <v/>
      </c>
      <c r="B12303">
        <f>IF(ISNUMBER(Input!B12303),IF(AND(Input!B12303&gt;=20,Input!B12303&lt;=700),Input!B12303,""),"")</f>
        <v/>
      </c>
      <c r="C12303">
        <f>IF(B12303="","",INT(A12303))</f>
        <v/>
      </c>
      <c r="D12303">
        <f>IF(B12303="","",HOUR(A12303))</f>
        <v/>
      </c>
    </row>
    <row r="12304">
      <c r="A12304">
        <f>Input!A12304</f>
        <v/>
      </c>
      <c r="B12304">
        <f>IF(ISNUMBER(Input!B12304),IF(AND(Input!B12304&gt;=20,Input!B12304&lt;=700),Input!B12304,""),"")</f>
        <v/>
      </c>
      <c r="C12304">
        <f>IF(B12304="","",INT(A12304))</f>
        <v/>
      </c>
      <c r="D12304">
        <f>IF(B12304="","",HOUR(A12304))</f>
        <v/>
      </c>
    </row>
    <row r="12305">
      <c r="A12305">
        <f>Input!A12305</f>
        <v/>
      </c>
      <c r="B12305">
        <f>IF(ISNUMBER(Input!B12305),IF(AND(Input!B12305&gt;=20,Input!B12305&lt;=700),Input!B12305,""),"")</f>
        <v/>
      </c>
      <c r="C12305">
        <f>IF(B12305="","",INT(A12305))</f>
        <v/>
      </c>
      <c r="D12305">
        <f>IF(B12305="","",HOUR(A12305))</f>
        <v/>
      </c>
    </row>
    <row r="12306">
      <c r="A12306">
        <f>Input!A12306</f>
        <v/>
      </c>
      <c r="B12306">
        <f>IF(ISNUMBER(Input!B12306),IF(AND(Input!B12306&gt;=20,Input!B12306&lt;=700),Input!B12306,""),"")</f>
        <v/>
      </c>
      <c r="C12306">
        <f>IF(B12306="","",INT(A12306))</f>
        <v/>
      </c>
      <c r="D12306">
        <f>IF(B12306="","",HOUR(A12306))</f>
        <v/>
      </c>
    </row>
    <row r="12307">
      <c r="A12307">
        <f>Input!A12307</f>
        <v/>
      </c>
      <c r="B12307">
        <f>IF(ISNUMBER(Input!B12307),IF(AND(Input!B12307&gt;=20,Input!B12307&lt;=700),Input!B12307,""),"")</f>
        <v/>
      </c>
      <c r="C12307">
        <f>IF(B12307="","",INT(A12307))</f>
        <v/>
      </c>
      <c r="D12307">
        <f>IF(B12307="","",HOUR(A12307))</f>
        <v/>
      </c>
    </row>
    <row r="12308">
      <c r="A12308">
        <f>Input!A12308</f>
        <v/>
      </c>
      <c r="B12308">
        <f>IF(ISNUMBER(Input!B12308),IF(AND(Input!B12308&gt;=20,Input!B12308&lt;=700),Input!B12308,""),"")</f>
        <v/>
      </c>
      <c r="C12308">
        <f>IF(B12308="","",INT(A12308))</f>
        <v/>
      </c>
      <c r="D12308">
        <f>IF(B12308="","",HOUR(A12308))</f>
        <v/>
      </c>
    </row>
    <row r="12309">
      <c r="A12309">
        <f>Input!A12309</f>
        <v/>
      </c>
      <c r="B12309">
        <f>IF(ISNUMBER(Input!B12309),IF(AND(Input!B12309&gt;=20,Input!B12309&lt;=700),Input!B12309,""),"")</f>
        <v/>
      </c>
      <c r="C12309">
        <f>IF(B12309="","",INT(A12309))</f>
        <v/>
      </c>
      <c r="D12309">
        <f>IF(B12309="","",HOUR(A12309))</f>
        <v/>
      </c>
    </row>
    <row r="12310">
      <c r="A12310">
        <f>Input!A12310</f>
        <v/>
      </c>
      <c r="B12310">
        <f>IF(ISNUMBER(Input!B12310),IF(AND(Input!B12310&gt;=20,Input!B12310&lt;=700),Input!B12310,""),"")</f>
        <v/>
      </c>
      <c r="C12310">
        <f>IF(B12310="","",INT(A12310))</f>
        <v/>
      </c>
      <c r="D12310">
        <f>IF(B12310="","",HOUR(A12310))</f>
        <v/>
      </c>
    </row>
    <row r="12311">
      <c r="A12311">
        <f>Input!A12311</f>
        <v/>
      </c>
      <c r="B12311">
        <f>IF(ISNUMBER(Input!B12311),IF(AND(Input!B12311&gt;=20,Input!B12311&lt;=700),Input!B12311,""),"")</f>
        <v/>
      </c>
      <c r="C12311">
        <f>IF(B12311="","",INT(A12311))</f>
        <v/>
      </c>
      <c r="D12311">
        <f>IF(B12311="","",HOUR(A12311))</f>
        <v/>
      </c>
    </row>
    <row r="12312">
      <c r="A12312">
        <f>Input!A12312</f>
        <v/>
      </c>
      <c r="B12312">
        <f>IF(ISNUMBER(Input!B12312),IF(AND(Input!B12312&gt;=20,Input!B12312&lt;=700),Input!B12312,""),"")</f>
        <v/>
      </c>
      <c r="C12312">
        <f>IF(B12312="","",INT(A12312))</f>
        <v/>
      </c>
      <c r="D12312">
        <f>IF(B12312="","",HOUR(A12312))</f>
        <v/>
      </c>
    </row>
    <row r="12313">
      <c r="A12313">
        <f>Input!A12313</f>
        <v/>
      </c>
      <c r="B12313">
        <f>IF(ISNUMBER(Input!B12313),IF(AND(Input!B12313&gt;=20,Input!B12313&lt;=700),Input!B12313,""),"")</f>
        <v/>
      </c>
      <c r="C12313">
        <f>IF(B12313="","",INT(A12313))</f>
        <v/>
      </c>
      <c r="D12313">
        <f>IF(B12313="","",HOUR(A12313))</f>
        <v/>
      </c>
    </row>
    <row r="12314">
      <c r="A12314">
        <f>Input!A12314</f>
        <v/>
      </c>
      <c r="B12314">
        <f>IF(ISNUMBER(Input!B12314),IF(AND(Input!B12314&gt;=20,Input!B12314&lt;=700),Input!B12314,""),"")</f>
        <v/>
      </c>
      <c r="C12314">
        <f>IF(B12314="","",INT(A12314))</f>
        <v/>
      </c>
      <c r="D12314">
        <f>IF(B12314="","",HOUR(A12314))</f>
        <v/>
      </c>
    </row>
    <row r="12315">
      <c r="A12315">
        <f>Input!A12315</f>
        <v/>
      </c>
      <c r="B12315">
        <f>IF(ISNUMBER(Input!B12315),IF(AND(Input!B12315&gt;=20,Input!B12315&lt;=700),Input!B12315,""),"")</f>
        <v/>
      </c>
      <c r="C12315">
        <f>IF(B12315="","",INT(A12315))</f>
        <v/>
      </c>
      <c r="D12315">
        <f>IF(B12315="","",HOUR(A12315))</f>
        <v/>
      </c>
    </row>
    <row r="12316">
      <c r="A12316">
        <f>Input!A12316</f>
        <v/>
      </c>
      <c r="B12316">
        <f>IF(ISNUMBER(Input!B12316),IF(AND(Input!B12316&gt;=20,Input!B12316&lt;=700),Input!B12316,""),"")</f>
        <v/>
      </c>
      <c r="C12316">
        <f>IF(B12316="","",INT(A12316))</f>
        <v/>
      </c>
      <c r="D12316">
        <f>IF(B12316="","",HOUR(A12316))</f>
        <v/>
      </c>
    </row>
    <row r="12317">
      <c r="A12317">
        <f>Input!A12317</f>
        <v/>
      </c>
      <c r="B12317">
        <f>IF(ISNUMBER(Input!B12317),IF(AND(Input!B12317&gt;=20,Input!B12317&lt;=700),Input!B12317,""),"")</f>
        <v/>
      </c>
      <c r="C12317">
        <f>IF(B12317="","",INT(A12317))</f>
        <v/>
      </c>
      <c r="D12317">
        <f>IF(B12317="","",HOUR(A12317))</f>
        <v/>
      </c>
    </row>
    <row r="12318">
      <c r="A12318">
        <f>Input!A12318</f>
        <v/>
      </c>
      <c r="B12318">
        <f>IF(ISNUMBER(Input!B12318),IF(AND(Input!B12318&gt;=20,Input!B12318&lt;=700),Input!B12318,""),"")</f>
        <v/>
      </c>
      <c r="C12318">
        <f>IF(B12318="","",INT(A12318))</f>
        <v/>
      </c>
      <c r="D12318">
        <f>IF(B12318="","",HOUR(A12318))</f>
        <v/>
      </c>
    </row>
    <row r="12319">
      <c r="A12319">
        <f>Input!A12319</f>
        <v/>
      </c>
      <c r="B12319">
        <f>IF(ISNUMBER(Input!B12319),IF(AND(Input!B12319&gt;=20,Input!B12319&lt;=700),Input!B12319,""),"")</f>
        <v/>
      </c>
      <c r="C12319">
        <f>IF(B12319="","",INT(A12319))</f>
        <v/>
      </c>
      <c r="D12319">
        <f>IF(B12319="","",HOUR(A12319))</f>
        <v/>
      </c>
    </row>
    <row r="12320">
      <c r="A12320">
        <f>Input!A12320</f>
        <v/>
      </c>
      <c r="B12320">
        <f>IF(ISNUMBER(Input!B12320),IF(AND(Input!B12320&gt;=20,Input!B12320&lt;=700),Input!B12320,""),"")</f>
        <v/>
      </c>
      <c r="C12320">
        <f>IF(B12320="","",INT(A12320))</f>
        <v/>
      </c>
      <c r="D12320">
        <f>IF(B12320="","",HOUR(A12320))</f>
        <v/>
      </c>
    </row>
    <row r="12321">
      <c r="A12321">
        <f>Input!A12321</f>
        <v/>
      </c>
      <c r="B12321">
        <f>IF(ISNUMBER(Input!B12321),IF(AND(Input!B12321&gt;=20,Input!B12321&lt;=700),Input!B12321,""),"")</f>
        <v/>
      </c>
      <c r="C12321">
        <f>IF(B12321="","",INT(A12321))</f>
        <v/>
      </c>
      <c r="D12321">
        <f>IF(B12321="","",HOUR(A12321))</f>
        <v/>
      </c>
    </row>
    <row r="12322">
      <c r="A12322">
        <f>Input!A12322</f>
        <v/>
      </c>
      <c r="B12322">
        <f>IF(ISNUMBER(Input!B12322),IF(AND(Input!B12322&gt;=20,Input!B12322&lt;=700),Input!B12322,""),"")</f>
        <v/>
      </c>
      <c r="C12322">
        <f>IF(B12322="","",INT(A12322))</f>
        <v/>
      </c>
      <c r="D12322">
        <f>IF(B12322="","",HOUR(A12322))</f>
        <v/>
      </c>
    </row>
    <row r="12323">
      <c r="A12323">
        <f>Input!A12323</f>
        <v/>
      </c>
      <c r="B12323">
        <f>IF(ISNUMBER(Input!B12323),IF(AND(Input!B12323&gt;=20,Input!B12323&lt;=700),Input!B12323,""),"")</f>
        <v/>
      </c>
      <c r="C12323">
        <f>IF(B12323="","",INT(A12323))</f>
        <v/>
      </c>
      <c r="D12323">
        <f>IF(B12323="","",HOUR(A12323))</f>
        <v/>
      </c>
    </row>
    <row r="12324">
      <c r="A12324">
        <f>Input!A12324</f>
        <v/>
      </c>
      <c r="B12324">
        <f>IF(ISNUMBER(Input!B12324),IF(AND(Input!B12324&gt;=20,Input!B12324&lt;=700),Input!B12324,""),"")</f>
        <v/>
      </c>
      <c r="C12324">
        <f>IF(B12324="","",INT(A12324))</f>
        <v/>
      </c>
      <c r="D12324">
        <f>IF(B12324="","",HOUR(A12324))</f>
        <v/>
      </c>
    </row>
    <row r="12325">
      <c r="A12325">
        <f>Input!A12325</f>
        <v/>
      </c>
      <c r="B12325">
        <f>IF(ISNUMBER(Input!B12325),IF(AND(Input!B12325&gt;=20,Input!B12325&lt;=700),Input!B12325,""),"")</f>
        <v/>
      </c>
      <c r="C12325">
        <f>IF(B12325="","",INT(A12325))</f>
        <v/>
      </c>
      <c r="D12325">
        <f>IF(B12325="","",HOUR(A12325))</f>
        <v/>
      </c>
    </row>
    <row r="12326">
      <c r="A12326">
        <f>Input!A12326</f>
        <v/>
      </c>
      <c r="B12326">
        <f>IF(ISNUMBER(Input!B12326),IF(AND(Input!B12326&gt;=20,Input!B12326&lt;=700),Input!B12326,""),"")</f>
        <v/>
      </c>
      <c r="C12326">
        <f>IF(B12326="","",INT(A12326))</f>
        <v/>
      </c>
      <c r="D12326">
        <f>IF(B12326="","",HOUR(A12326))</f>
        <v/>
      </c>
    </row>
    <row r="12327">
      <c r="A12327">
        <f>Input!A12327</f>
        <v/>
      </c>
      <c r="B12327">
        <f>IF(ISNUMBER(Input!B12327),IF(AND(Input!B12327&gt;=20,Input!B12327&lt;=700),Input!B12327,""),"")</f>
        <v/>
      </c>
      <c r="C12327">
        <f>IF(B12327="","",INT(A12327))</f>
        <v/>
      </c>
      <c r="D12327">
        <f>IF(B12327="","",HOUR(A12327))</f>
        <v/>
      </c>
    </row>
    <row r="12328">
      <c r="A12328">
        <f>Input!A12328</f>
        <v/>
      </c>
      <c r="B12328">
        <f>IF(ISNUMBER(Input!B12328),IF(AND(Input!B12328&gt;=20,Input!B12328&lt;=700),Input!B12328,""),"")</f>
        <v/>
      </c>
      <c r="C12328">
        <f>IF(B12328="","",INT(A12328))</f>
        <v/>
      </c>
      <c r="D12328">
        <f>IF(B12328="","",HOUR(A12328))</f>
        <v/>
      </c>
    </row>
    <row r="12329">
      <c r="A12329">
        <f>Input!A12329</f>
        <v/>
      </c>
      <c r="B12329">
        <f>IF(ISNUMBER(Input!B12329),IF(AND(Input!B12329&gt;=20,Input!B12329&lt;=700),Input!B12329,""),"")</f>
        <v/>
      </c>
      <c r="C12329">
        <f>IF(B12329="","",INT(A12329))</f>
        <v/>
      </c>
      <c r="D12329">
        <f>IF(B12329="","",HOUR(A12329))</f>
        <v/>
      </c>
    </row>
    <row r="12330">
      <c r="A12330">
        <f>Input!A12330</f>
        <v/>
      </c>
      <c r="B12330">
        <f>IF(ISNUMBER(Input!B12330),IF(AND(Input!B12330&gt;=20,Input!B12330&lt;=700),Input!B12330,""),"")</f>
        <v/>
      </c>
      <c r="C12330">
        <f>IF(B12330="","",INT(A12330))</f>
        <v/>
      </c>
      <c r="D12330">
        <f>IF(B12330="","",HOUR(A12330))</f>
        <v/>
      </c>
    </row>
    <row r="12331">
      <c r="A12331">
        <f>Input!A12331</f>
        <v/>
      </c>
      <c r="B12331">
        <f>IF(ISNUMBER(Input!B12331),IF(AND(Input!B12331&gt;=20,Input!B12331&lt;=700),Input!B12331,""),"")</f>
        <v/>
      </c>
      <c r="C12331">
        <f>IF(B12331="","",INT(A12331))</f>
        <v/>
      </c>
      <c r="D12331">
        <f>IF(B12331="","",HOUR(A12331))</f>
        <v/>
      </c>
    </row>
    <row r="12332">
      <c r="A12332">
        <f>Input!A12332</f>
        <v/>
      </c>
      <c r="B12332">
        <f>IF(ISNUMBER(Input!B12332),IF(AND(Input!B12332&gt;=20,Input!B12332&lt;=700),Input!B12332,""),"")</f>
        <v/>
      </c>
      <c r="C12332">
        <f>IF(B12332="","",INT(A12332))</f>
        <v/>
      </c>
      <c r="D12332">
        <f>IF(B12332="","",HOUR(A12332))</f>
        <v/>
      </c>
    </row>
    <row r="12333">
      <c r="A12333">
        <f>Input!A12333</f>
        <v/>
      </c>
      <c r="B12333">
        <f>IF(ISNUMBER(Input!B12333),IF(AND(Input!B12333&gt;=20,Input!B12333&lt;=700),Input!B12333,""),"")</f>
        <v/>
      </c>
      <c r="C12333">
        <f>IF(B12333="","",INT(A12333))</f>
        <v/>
      </c>
      <c r="D12333">
        <f>IF(B12333="","",HOUR(A12333))</f>
        <v/>
      </c>
    </row>
    <row r="12334">
      <c r="A12334">
        <f>Input!A12334</f>
        <v/>
      </c>
      <c r="B12334">
        <f>IF(ISNUMBER(Input!B12334),IF(AND(Input!B12334&gt;=20,Input!B12334&lt;=700),Input!B12334,""),"")</f>
        <v/>
      </c>
      <c r="C12334">
        <f>IF(B12334="","",INT(A12334))</f>
        <v/>
      </c>
      <c r="D12334">
        <f>IF(B12334="","",HOUR(A12334))</f>
        <v/>
      </c>
    </row>
    <row r="12335">
      <c r="A12335">
        <f>Input!A12335</f>
        <v/>
      </c>
      <c r="B12335">
        <f>IF(ISNUMBER(Input!B12335),IF(AND(Input!B12335&gt;=20,Input!B12335&lt;=700),Input!B12335,""),"")</f>
        <v/>
      </c>
      <c r="C12335">
        <f>IF(B12335="","",INT(A12335))</f>
        <v/>
      </c>
      <c r="D12335">
        <f>IF(B12335="","",HOUR(A12335))</f>
        <v/>
      </c>
    </row>
    <row r="12336">
      <c r="A12336">
        <f>Input!A12336</f>
        <v/>
      </c>
      <c r="B12336">
        <f>IF(ISNUMBER(Input!B12336),IF(AND(Input!B12336&gt;=20,Input!B12336&lt;=700),Input!B12336,""),"")</f>
        <v/>
      </c>
      <c r="C12336">
        <f>IF(B12336="","",INT(A12336))</f>
        <v/>
      </c>
      <c r="D12336">
        <f>IF(B12336="","",HOUR(A12336))</f>
        <v/>
      </c>
    </row>
    <row r="12337">
      <c r="A12337">
        <f>Input!A12337</f>
        <v/>
      </c>
      <c r="B12337">
        <f>IF(ISNUMBER(Input!B12337),IF(AND(Input!B12337&gt;=20,Input!B12337&lt;=700),Input!B12337,""),"")</f>
        <v/>
      </c>
      <c r="C12337">
        <f>IF(B12337="","",INT(A12337))</f>
        <v/>
      </c>
      <c r="D12337">
        <f>IF(B12337="","",HOUR(A12337))</f>
        <v/>
      </c>
    </row>
    <row r="12338">
      <c r="A12338">
        <f>Input!A12338</f>
        <v/>
      </c>
      <c r="B12338">
        <f>IF(ISNUMBER(Input!B12338),IF(AND(Input!B12338&gt;=20,Input!B12338&lt;=700),Input!B12338,""),"")</f>
        <v/>
      </c>
      <c r="C12338">
        <f>IF(B12338="","",INT(A12338))</f>
        <v/>
      </c>
      <c r="D12338">
        <f>IF(B12338="","",HOUR(A12338))</f>
        <v/>
      </c>
    </row>
    <row r="12339">
      <c r="A12339">
        <f>Input!A12339</f>
        <v/>
      </c>
      <c r="B12339">
        <f>IF(ISNUMBER(Input!B12339),IF(AND(Input!B12339&gt;=20,Input!B12339&lt;=700),Input!B12339,""),"")</f>
        <v/>
      </c>
      <c r="C12339">
        <f>IF(B12339="","",INT(A12339))</f>
        <v/>
      </c>
      <c r="D12339">
        <f>IF(B12339="","",HOUR(A12339))</f>
        <v/>
      </c>
    </row>
    <row r="12340">
      <c r="A12340">
        <f>Input!A12340</f>
        <v/>
      </c>
      <c r="B12340">
        <f>IF(ISNUMBER(Input!B12340),IF(AND(Input!B12340&gt;=20,Input!B12340&lt;=700),Input!B12340,""),"")</f>
        <v/>
      </c>
      <c r="C12340">
        <f>IF(B12340="","",INT(A12340))</f>
        <v/>
      </c>
      <c r="D12340">
        <f>IF(B12340="","",HOUR(A12340))</f>
        <v/>
      </c>
    </row>
    <row r="12341">
      <c r="A12341">
        <f>Input!A12341</f>
        <v/>
      </c>
      <c r="B12341">
        <f>IF(ISNUMBER(Input!B12341),IF(AND(Input!B12341&gt;=20,Input!B12341&lt;=700),Input!B12341,""),"")</f>
        <v/>
      </c>
      <c r="C12341">
        <f>IF(B12341="","",INT(A12341))</f>
        <v/>
      </c>
      <c r="D12341">
        <f>IF(B12341="","",HOUR(A12341))</f>
        <v/>
      </c>
    </row>
    <row r="12342">
      <c r="A12342">
        <f>Input!A12342</f>
        <v/>
      </c>
      <c r="B12342">
        <f>IF(ISNUMBER(Input!B12342),IF(AND(Input!B12342&gt;=20,Input!B12342&lt;=700),Input!B12342,""),"")</f>
        <v/>
      </c>
      <c r="C12342">
        <f>IF(B12342="","",INT(A12342))</f>
        <v/>
      </c>
      <c r="D12342">
        <f>IF(B12342="","",HOUR(A12342))</f>
        <v/>
      </c>
    </row>
    <row r="12343">
      <c r="A12343">
        <f>Input!A12343</f>
        <v/>
      </c>
      <c r="B12343">
        <f>IF(ISNUMBER(Input!B12343),IF(AND(Input!B12343&gt;=20,Input!B12343&lt;=700),Input!B12343,""),"")</f>
        <v/>
      </c>
      <c r="C12343">
        <f>IF(B12343="","",INT(A12343))</f>
        <v/>
      </c>
      <c r="D12343">
        <f>IF(B12343="","",HOUR(A12343))</f>
        <v/>
      </c>
    </row>
    <row r="12344">
      <c r="A12344">
        <f>Input!A12344</f>
        <v/>
      </c>
      <c r="B12344">
        <f>IF(ISNUMBER(Input!B12344),IF(AND(Input!B12344&gt;=20,Input!B12344&lt;=700),Input!B12344,""),"")</f>
        <v/>
      </c>
      <c r="C12344">
        <f>IF(B12344="","",INT(A12344))</f>
        <v/>
      </c>
      <c r="D12344">
        <f>IF(B12344="","",HOUR(A12344))</f>
        <v/>
      </c>
    </row>
    <row r="12345">
      <c r="A12345">
        <f>Input!A12345</f>
        <v/>
      </c>
      <c r="B12345">
        <f>IF(ISNUMBER(Input!B12345),IF(AND(Input!B12345&gt;=20,Input!B12345&lt;=700),Input!B12345,""),"")</f>
        <v/>
      </c>
      <c r="C12345">
        <f>IF(B12345="","",INT(A12345))</f>
        <v/>
      </c>
      <c r="D12345">
        <f>IF(B12345="","",HOUR(A12345))</f>
        <v/>
      </c>
    </row>
    <row r="12346">
      <c r="A12346">
        <f>Input!A12346</f>
        <v/>
      </c>
      <c r="B12346">
        <f>IF(ISNUMBER(Input!B12346),IF(AND(Input!B12346&gt;=20,Input!B12346&lt;=700),Input!B12346,""),"")</f>
        <v/>
      </c>
      <c r="C12346">
        <f>IF(B12346="","",INT(A12346))</f>
        <v/>
      </c>
      <c r="D12346">
        <f>IF(B12346="","",HOUR(A12346))</f>
        <v/>
      </c>
    </row>
    <row r="12347">
      <c r="A12347">
        <f>Input!A12347</f>
        <v/>
      </c>
      <c r="B12347">
        <f>IF(ISNUMBER(Input!B12347),IF(AND(Input!B12347&gt;=20,Input!B12347&lt;=700),Input!B12347,""),"")</f>
        <v/>
      </c>
      <c r="C12347">
        <f>IF(B12347="","",INT(A12347))</f>
        <v/>
      </c>
      <c r="D12347">
        <f>IF(B12347="","",HOUR(A12347))</f>
        <v/>
      </c>
    </row>
    <row r="12348">
      <c r="A12348">
        <f>Input!A12348</f>
        <v/>
      </c>
      <c r="B12348">
        <f>IF(ISNUMBER(Input!B12348),IF(AND(Input!B12348&gt;=20,Input!B12348&lt;=700),Input!B12348,""),"")</f>
        <v/>
      </c>
      <c r="C12348">
        <f>IF(B12348="","",INT(A12348))</f>
        <v/>
      </c>
      <c r="D12348">
        <f>IF(B12348="","",HOUR(A12348))</f>
        <v/>
      </c>
    </row>
    <row r="12349">
      <c r="A12349">
        <f>Input!A12349</f>
        <v/>
      </c>
      <c r="B12349">
        <f>IF(ISNUMBER(Input!B12349),IF(AND(Input!B12349&gt;=20,Input!B12349&lt;=700),Input!B12349,""),"")</f>
        <v/>
      </c>
      <c r="C12349">
        <f>IF(B12349="","",INT(A12349))</f>
        <v/>
      </c>
      <c r="D12349">
        <f>IF(B12349="","",HOUR(A12349))</f>
        <v/>
      </c>
    </row>
    <row r="12350">
      <c r="A12350">
        <f>Input!A12350</f>
        <v/>
      </c>
      <c r="B12350">
        <f>IF(ISNUMBER(Input!B12350),IF(AND(Input!B12350&gt;=20,Input!B12350&lt;=700),Input!B12350,""),"")</f>
        <v/>
      </c>
      <c r="C12350">
        <f>IF(B12350="","",INT(A12350))</f>
        <v/>
      </c>
      <c r="D12350">
        <f>IF(B12350="","",HOUR(A12350))</f>
        <v/>
      </c>
    </row>
    <row r="12351">
      <c r="A12351">
        <f>Input!A12351</f>
        <v/>
      </c>
      <c r="B12351">
        <f>IF(ISNUMBER(Input!B12351),IF(AND(Input!B12351&gt;=20,Input!B12351&lt;=700),Input!B12351,""),"")</f>
        <v/>
      </c>
      <c r="C12351">
        <f>IF(B12351="","",INT(A12351))</f>
        <v/>
      </c>
      <c r="D12351">
        <f>IF(B12351="","",HOUR(A12351))</f>
        <v/>
      </c>
    </row>
    <row r="12352">
      <c r="A12352">
        <f>Input!A12352</f>
        <v/>
      </c>
      <c r="B12352">
        <f>IF(ISNUMBER(Input!B12352),IF(AND(Input!B12352&gt;=20,Input!B12352&lt;=700),Input!B12352,""),"")</f>
        <v/>
      </c>
      <c r="C12352">
        <f>IF(B12352="","",INT(A12352))</f>
        <v/>
      </c>
      <c r="D12352">
        <f>IF(B12352="","",HOUR(A12352))</f>
        <v/>
      </c>
    </row>
    <row r="12353">
      <c r="A12353">
        <f>Input!A12353</f>
        <v/>
      </c>
      <c r="B12353">
        <f>IF(ISNUMBER(Input!B12353),IF(AND(Input!B12353&gt;=20,Input!B12353&lt;=700),Input!B12353,""),"")</f>
        <v/>
      </c>
      <c r="C12353">
        <f>IF(B12353="","",INT(A12353))</f>
        <v/>
      </c>
      <c r="D12353">
        <f>IF(B12353="","",HOUR(A12353))</f>
        <v/>
      </c>
    </row>
    <row r="12354">
      <c r="A12354">
        <f>Input!A12354</f>
        <v/>
      </c>
      <c r="B12354">
        <f>IF(ISNUMBER(Input!B12354),IF(AND(Input!B12354&gt;=20,Input!B12354&lt;=700),Input!B12354,""),"")</f>
        <v/>
      </c>
      <c r="C12354">
        <f>IF(B12354="","",INT(A12354))</f>
        <v/>
      </c>
      <c r="D12354">
        <f>IF(B12354="","",HOUR(A12354))</f>
        <v/>
      </c>
    </row>
    <row r="12355">
      <c r="A12355">
        <f>Input!A12355</f>
        <v/>
      </c>
      <c r="B12355">
        <f>IF(ISNUMBER(Input!B12355),IF(AND(Input!B12355&gt;=20,Input!B12355&lt;=700),Input!B12355,""),"")</f>
        <v/>
      </c>
      <c r="C12355">
        <f>IF(B12355="","",INT(A12355))</f>
        <v/>
      </c>
      <c r="D12355">
        <f>IF(B12355="","",HOUR(A12355))</f>
        <v/>
      </c>
    </row>
    <row r="12356">
      <c r="A12356">
        <f>Input!A12356</f>
        <v/>
      </c>
      <c r="B12356">
        <f>IF(ISNUMBER(Input!B12356),IF(AND(Input!B12356&gt;=20,Input!B12356&lt;=700),Input!B12356,""),"")</f>
        <v/>
      </c>
      <c r="C12356">
        <f>IF(B12356="","",INT(A12356))</f>
        <v/>
      </c>
      <c r="D12356">
        <f>IF(B12356="","",HOUR(A12356))</f>
        <v/>
      </c>
    </row>
    <row r="12357">
      <c r="A12357">
        <f>Input!A12357</f>
        <v/>
      </c>
      <c r="B12357">
        <f>IF(ISNUMBER(Input!B12357),IF(AND(Input!B12357&gt;=20,Input!B12357&lt;=700),Input!B12357,""),"")</f>
        <v/>
      </c>
      <c r="C12357">
        <f>IF(B12357="","",INT(A12357))</f>
        <v/>
      </c>
      <c r="D12357">
        <f>IF(B12357="","",HOUR(A12357))</f>
        <v/>
      </c>
    </row>
    <row r="12358">
      <c r="A12358">
        <f>Input!A12358</f>
        <v/>
      </c>
      <c r="B12358">
        <f>IF(ISNUMBER(Input!B12358),IF(AND(Input!B12358&gt;=20,Input!B12358&lt;=700),Input!B12358,""),"")</f>
        <v/>
      </c>
      <c r="C12358">
        <f>IF(B12358="","",INT(A12358))</f>
        <v/>
      </c>
      <c r="D12358">
        <f>IF(B12358="","",HOUR(A12358))</f>
        <v/>
      </c>
    </row>
    <row r="12359">
      <c r="A12359">
        <f>Input!A12359</f>
        <v/>
      </c>
      <c r="B12359">
        <f>IF(ISNUMBER(Input!B12359),IF(AND(Input!B12359&gt;=20,Input!B12359&lt;=700),Input!B12359,""),"")</f>
        <v/>
      </c>
      <c r="C12359">
        <f>IF(B12359="","",INT(A12359))</f>
        <v/>
      </c>
      <c r="D12359">
        <f>IF(B12359="","",HOUR(A12359))</f>
        <v/>
      </c>
    </row>
    <row r="12360">
      <c r="A12360">
        <f>Input!A12360</f>
        <v/>
      </c>
      <c r="B12360">
        <f>IF(ISNUMBER(Input!B12360),IF(AND(Input!B12360&gt;=20,Input!B12360&lt;=700),Input!B12360,""),"")</f>
        <v/>
      </c>
      <c r="C12360">
        <f>IF(B12360="","",INT(A12360))</f>
        <v/>
      </c>
      <c r="D12360">
        <f>IF(B12360="","",HOUR(A12360))</f>
        <v/>
      </c>
    </row>
    <row r="12361">
      <c r="A12361">
        <f>Input!A12361</f>
        <v/>
      </c>
      <c r="B12361">
        <f>IF(ISNUMBER(Input!B12361),IF(AND(Input!B12361&gt;=20,Input!B12361&lt;=700),Input!B12361,""),"")</f>
        <v/>
      </c>
      <c r="C12361">
        <f>IF(B12361="","",INT(A12361))</f>
        <v/>
      </c>
      <c r="D12361">
        <f>IF(B12361="","",HOUR(A12361))</f>
        <v/>
      </c>
    </row>
    <row r="12362">
      <c r="A12362">
        <f>Input!A12362</f>
        <v/>
      </c>
      <c r="B12362">
        <f>IF(ISNUMBER(Input!B12362),IF(AND(Input!B12362&gt;=20,Input!B12362&lt;=700),Input!B12362,""),"")</f>
        <v/>
      </c>
      <c r="C12362">
        <f>IF(B12362="","",INT(A12362))</f>
        <v/>
      </c>
      <c r="D12362">
        <f>IF(B12362="","",HOUR(A12362))</f>
        <v/>
      </c>
    </row>
    <row r="12363">
      <c r="A12363">
        <f>Input!A12363</f>
        <v/>
      </c>
      <c r="B12363">
        <f>IF(ISNUMBER(Input!B12363),IF(AND(Input!B12363&gt;=20,Input!B12363&lt;=700),Input!B12363,""),"")</f>
        <v/>
      </c>
      <c r="C12363">
        <f>IF(B12363="","",INT(A12363))</f>
        <v/>
      </c>
      <c r="D12363">
        <f>IF(B12363="","",HOUR(A12363))</f>
        <v/>
      </c>
    </row>
    <row r="12364">
      <c r="A12364">
        <f>Input!A12364</f>
        <v/>
      </c>
      <c r="B12364">
        <f>IF(ISNUMBER(Input!B12364),IF(AND(Input!B12364&gt;=20,Input!B12364&lt;=700),Input!B12364,""),"")</f>
        <v/>
      </c>
      <c r="C12364">
        <f>IF(B12364="","",INT(A12364))</f>
        <v/>
      </c>
      <c r="D12364">
        <f>IF(B12364="","",HOUR(A12364))</f>
        <v/>
      </c>
    </row>
    <row r="12365">
      <c r="A12365">
        <f>Input!A12365</f>
        <v/>
      </c>
      <c r="B12365">
        <f>IF(ISNUMBER(Input!B12365),IF(AND(Input!B12365&gt;=20,Input!B12365&lt;=700),Input!B12365,""),"")</f>
        <v/>
      </c>
      <c r="C12365">
        <f>IF(B12365="","",INT(A12365))</f>
        <v/>
      </c>
      <c r="D12365">
        <f>IF(B12365="","",HOUR(A12365))</f>
        <v/>
      </c>
    </row>
    <row r="12366">
      <c r="A12366">
        <f>Input!A12366</f>
        <v/>
      </c>
      <c r="B12366">
        <f>IF(ISNUMBER(Input!B12366),IF(AND(Input!B12366&gt;=20,Input!B12366&lt;=700),Input!B12366,""),"")</f>
        <v/>
      </c>
      <c r="C12366">
        <f>IF(B12366="","",INT(A12366))</f>
        <v/>
      </c>
      <c r="D12366">
        <f>IF(B12366="","",HOUR(A12366))</f>
        <v/>
      </c>
    </row>
    <row r="12367">
      <c r="A12367">
        <f>Input!A12367</f>
        <v/>
      </c>
      <c r="B12367">
        <f>IF(ISNUMBER(Input!B12367),IF(AND(Input!B12367&gt;=20,Input!B12367&lt;=700),Input!B12367,""),"")</f>
        <v/>
      </c>
      <c r="C12367">
        <f>IF(B12367="","",INT(A12367))</f>
        <v/>
      </c>
      <c r="D12367">
        <f>IF(B12367="","",HOUR(A12367))</f>
        <v/>
      </c>
    </row>
    <row r="12368">
      <c r="A12368">
        <f>Input!A12368</f>
        <v/>
      </c>
      <c r="B12368">
        <f>IF(ISNUMBER(Input!B12368),IF(AND(Input!B12368&gt;=20,Input!B12368&lt;=700),Input!B12368,""),"")</f>
        <v/>
      </c>
      <c r="C12368">
        <f>IF(B12368="","",INT(A12368))</f>
        <v/>
      </c>
      <c r="D12368">
        <f>IF(B12368="","",HOUR(A12368))</f>
        <v/>
      </c>
    </row>
    <row r="12369">
      <c r="A12369">
        <f>Input!A12369</f>
        <v/>
      </c>
      <c r="B12369">
        <f>IF(ISNUMBER(Input!B12369),IF(AND(Input!B12369&gt;=20,Input!B12369&lt;=700),Input!B12369,""),"")</f>
        <v/>
      </c>
      <c r="C12369">
        <f>IF(B12369="","",INT(A12369))</f>
        <v/>
      </c>
      <c r="D12369">
        <f>IF(B12369="","",HOUR(A12369))</f>
        <v/>
      </c>
    </row>
    <row r="12370">
      <c r="A12370">
        <f>Input!A12370</f>
        <v/>
      </c>
      <c r="B12370">
        <f>IF(ISNUMBER(Input!B12370),IF(AND(Input!B12370&gt;=20,Input!B12370&lt;=700),Input!B12370,""),"")</f>
        <v/>
      </c>
      <c r="C12370">
        <f>IF(B12370="","",INT(A12370))</f>
        <v/>
      </c>
      <c r="D12370">
        <f>IF(B12370="","",HOUR(A12370))</f>
        <v/>
      </c>
    </row>
    <row r="12371">
      <c r="A12371">
        <f>Input!A12371</f>
        <v/>
      </c>
      <c r="B12371">
        <f>IF(ISNUMBER(Input!B12371),IF(AND(Input!B12371&gt;=20,Input!B12371&lt;=700),Input!B12371,""),"")</f>
        <v/>
      </c>
      <c r="C12371">
        <f>IF(B12371="","",INT(A12371))</f>
        <v/>
      </c>
      <c r="D12371">
        <f>IF(B12371="","",HOUR(A12371))</f>
        <v/>
      </c>
    </row>
    <row r="12372">
      <c r="A12372">
        <f>Input!A12372</f>
        <v/>
      </c>
      <c r="B12372">
        <f>IF(ISNUMBER(Input!B12372),IF(AND(Input!B12372&gt;=20,Input!B12372&lt;=700),Input!B12372,""),"")</f>
        <v/>
      </c>
      <c r="C12372">
        <f>IF(B12372="","",INT(A12372))</f>
        <v/>
      </c>
      <c r="D12372">
        <f>IF(B12372="","",HOUR(A12372))</f>
        <v/>
      </c>
    </row>
    <row r="12373">
      <c r="A12373">
        <f>Input!A12373</f>
        <v/>
      </c>
      <c r="B12373">
        <f>IF(ISNUMBER(Input!B12373),IF(AND(Input!B12373&gt;=20,Input!B12373&lt;=700),Input!B12373,""),"")</f>
        <v/>
      </c>
      <c r="C12373">
        <f>IF(B12373="","",INT(A12373))</f>
        <v/>
      </c>
      <c r="D12373">
        <f>IF(B12373="","",HOUR(A12373))</f>
        <v/>
      </c>
    </row>
    <row r="12374">
      <c r="A12374">
        <f>Input!A12374</f>
        <v/>
      </c>
      <c r="B12374">
        <f>IF(ISNUMBER(Input!B12374),IF(AND(Input!B12374&gt;=20,Input!B12374&lt;=700),Input!B12374,""),"")</f>
        <v/>
      </c>
      <c r="C12374">
        <f>IF(B12374="","",INT(A12374))</f>
        <v/>
      </c>
      <c r="D12374">
        <f>IF(B12374="","",HOUR(A12374))</f>
        <v/>
      </c>
    </row>
    <row r="12375">
      <c r="A12375">
        <f>Input!A12375</f>
        <v/>
      </c>
      <c r="B12375">
        <f>IF(ISNUMBER(Input!B12375),IF(AND(Input!B12375&gt;=20,Input!B12375&lt;=700),Input!B12375,""),"")</f>
        <v/>
      </c>
      <c r="C12375">
        <f>IF(B12375="","",INT(A12375))</f>
        <v/>
      </c>
      <c r="D12375">
        <f>IF(B12375="","",HOUR(A12375))</f>
        <v/>
      </c>
    </row>
    <row r="12376">
      <c r="A12376">
        <f>Input!A12376</f>
        <v/>
      </c>
      <c r="B12376">
        <f>IF(ISNUMBER(Input!B12376),IF(AND(Input!B12376&gt;=20,Input!B12376&lt;=700),Input!B12376,""),"")</f>
        <v/>
      </c>
      <c r="C12376">
        <f>IF(B12376="","",INT(A12376))</f>
        <v/>
      </c>
      <c r="D12376">
        <f>IF(B12376="","",HOUR(A12376))</f>
        <v/>
      </c>
    </row>
    <row r="12377">
      <c r="A12377">
        <f>Input!A12377</f>
        <v/>
      </c>
      <c r="B12377">
        <f>IF(ISNUMBER(Input!B12377),IF(AND(Input!B12377&gt;=20,Input!B12377&lt;=700),Input!B12377,""),"")</f>
        <v/>
      </c>
      <c r="C12377">
        <f>IF(B12377="","",INT(A12377))</f>
        <v/>
      </c>
      <c r="D12377">
        <f>IF(B12377="","",HOUR(A12377))</f>
        <v/>
      </c>
    </row>
    <row r="12378">
      <c r="A12378">
        <f>Input!A12378</f>
        <v/>
      </c>
      <c r="B12378">
        <f>IF(ISNUMBER(Input!B12378),IF(AND(Input!B12378&gt;=20,Input!B12378&lt;=700),Input!B12378,""),"")</f>
        <v/>
      </c>
      <c r="C12378">
        <f>IF(B12378="","",INT(A12378))</f>
        <v/>
      </c>
      <c r="D12378">
        <f>IF(B12378="","",HOUR(A12378))</f>
        <v/>
      </c>
    </row>
    <row r="12379">
      <c r="A12379">
        <f>Input!A12379</f>
        <v/>
      </c>
      <c r="B12379">
        <f>IF(ISNUMBER(Input!B12379),IF(AND(Input!B12379&gt;=20,Input!B12379&lt;=700),Input!B12379,""),"")</f>
        <v/>
      </c>
      <c r="C12379">
        <f>IF(B12379="","",INT(A12379))</f>
        <v/>
      </c>
      <c r="D12379">
        <f>IF(B12379="","",HOUR(A12379))</f>
        <v/>
      </c>
    </row>
    <row r="12380">
      <c r="A12380">
        <f>Input!A12380</f>
        <v/>
      </c>
      <c r="B12380">
        <f>IF(ISNUMBER(Input!B12380),IF(AND(Input!B12380&gt;=20,Input!B12380&lt;=700),Input!B12380,""),"")</f>
        <v/>
      </c>
      <c r="C12380">
        <f>IF(B12380="","",INT(A12380))</f>
        <v/>
      </c>
      <c r="D12380">
        <f>IF(B12380="","",HOUR(A12380))</f>
        <v/>
      </c>
    </row>
    <row r="12381">
      <c r="A12381">
        <f>Input!A12381</f>
        <v/>
      </c>
      <c r="B12381">
        <f>IF(ISNUMBER(Input!B12381),IF(AND(Input!B12381&gt;=20,Input!B12381&lt;=700),Input!B12381,""),"")</f>
        <v/>
      </c>
      <c r="C12381">
        <f>IF(B12381="","",INT(A12381))</f>
        <v/>
      </c>
      <c r="D12381">
        <f>IF(B12381="","",HOUR(A12381))</f>
        <v/>
      </c>
    </row>
    <row r="12382">
      <c r="A12382">
        <f>Input!A12382</f>
        <v/>
      </c>
      <c r="B12382">
        <f>IF(ISNUMBER(Input!B12382),IF(AND(Input!B12382&gt;=20,Input!B12382&lt;=700),Input!B12382,""),"")</f>
        <v/>
      </c>
      <c r="C12382">
        <f>IF(B12382="","",INT(A12382))</f>
        <v/>
      </c>
      <c r="D12382">
        <f>IF(B12382="","",HOUR(A12382))</f>
        <v/>
      </c>
    </row>
    <row r="12383">
      <c r="A12383">
        <f>Input!A12383</f>
        <v/>
      </c>
      <c r="B12383">
        <f>IF(ISNUMBER(Input!B12383),IF(AND(Input!B12383&gt;=20,Input!B12383&lt;=700),Input!B12383,""),"")</f>
        <v/>
      </c>
      <c r="C12383">
        <f>IF(B12383="","",INT(A12383))</f>
        <v/>
      </c>
      <c r="D12383">
        <f>IF(B12383="","",HOUR(A12383))</f>
        <v/>
      </c>
    </row>
    <row r="12384">
      <c r="A12384">
        <f>Input!A12384</f>
        <v/>
      </c>
      <c r="B12384">
        <f>IF(ISNUMBER(Input!B12384),IF(AND(Input!B12384&gt;=20,Input!B12384&lt;=700),Input!B12384,""),"")</f>
        <v/>
      </c>
      <c r="C12384">
        <f>IF(B12384="","",INT(A12384))</f>
        <v/>
      </c>
      <c r="D12384">
        <f>IF(B12384="","",HOUR(A12384))</f>
        <v/>
      </c>
    </row>
    <row r="12385">
      <c r="A12385">
        <f>Input!A12385</f>
        <v/>
      </c>
      <c r="B12385">
        <f>IF(ISNUMBER(Input!B12385),IF(AND(Input!B12385&gt;=20,Input!B12385&lt;=700),Input!B12385,""),"")</f>
        <v/>
      </c>
      <c r="C12385">
        <f>IF(B12385="","",INT(A12385))</f>
        <v/>
      </c>
      <c r="D12385">
        <f>IF(B12385="","",HOUR(A12385))</f>
        <v/>
      </c>
    </row>
    <row r="12386">
      <c r="A12386">
        <f>Input!A12386</f>
        <v/>
      </c>
      <c r="B12386">
        <f>IF(ISNUMBER(Input!B12386),IF(AND(Input!B12386&gt;=20,Input!B12386&lt;=700),Input!B12386,""),"")</f>
        <v/>
      </c>
      <c r="C12386">
        <f>IF(B12386="","",INT(A12386))</f>
        <v/>
      </c>
      <c r="D12386">
        <f>IF(B12386="","",HOUR(A12386))</f>
        <v/>
      </c>
    </row>
    <row r="12387">
      <c r="A12387">
        <f>Input!A12387</f>
        <v/>
      </c>
      <c r="B12387">
        <f>IF(ISNUMBER(Input!B12387),IF(AND(Input!B12387&gt;=20,Input!B12387&lt;=700),Input!B12387,""),"")</f>
        <v/>
      </c>
      <c r="C12387">
        <f>IF(B12387="","",INT(A12387))</f>
        <v/>
      </c>
      <c r="D12387">
        <f>IF(B12387="","",HOUR(A12387))</f>
        <v/>
      </c>
    </row>
    <row r="12388">
      <c r="A12388">
        <f>Input!A12388</f>
        <v/>
      </c>
      <c r="B12388">
        <f>IF(ISNUMBER(Input!B12388),IF(AND(Input!B12388&gt;=20,Input!B12388&lt;=700),Input!B12388,""),"")</f>
        <v/>
      </c>
      <c r="C12388">
        <f>IF(B12388="","",INT(A12388))</f>
        <v/>
      </c>
      <c r="D12388">
        <f>IF(B12388="","",HOUR(A12388))</f>
        <v/>
      </c>
    </row>
    <row r="12389">
      <c r="A12389">
        <f>Input!A12389</f>
        <v/>
      </c>
      <c r="B12389">
        <f>IF(ISNUMBER(Input!B12389),IF(AND(Input!B12389&gt;=20,Input!B12389&lt;=700),Input!B12389,""),"")</f>
        <v/>
      </c>
      <c r="C12389">
        <f>IF(B12389="","",INT(A12389))</f>
        <v/>
      </c>
      <c r="D12389">
        <f>IF(B12389="","",HOUR(A12389))</f>
        <v/>
      </c>
    </row>
    <row r="12390">
      <c r="A12390">
        <f>Input!A12390</f>
        <v/>
      </c>
      <c r="B12390">
        <f>IF(ISNUMBER(Input!B12390),IF(AND(Input!B12390&gt;=20,Input!B12390&lt;=700),Input!B12390,""),"")</f>
        <v/>
      </c>
      <c r="C12390">
        <f>IF(B12390="","",INT(A12390))</f>
        <v/>
      </c>
      <c r="D12390">
        <f>IF(B12390="","",HOUR(A12390))</f>
        <v/>
      </c>
    </row>
    <row r="12391">
      <c r="A12391">
        <f>Input!A12391</f>
        <v/>
      </c>
      <c r="B12391">
        <f>IF(ISNUMBER(Input!B12391),IF(AND(Input!B12391&gt;=20,Input!B12391&lt;=700),Input!B12391,""),"")</f>
        <v/>
      </c>
      <c r="C12391">
        <f>IF(B12391="","",INT(A12391))</f>
        <v/>
      </c>
      <c r="D12391">
        <f>IF(B12391="","",HOUR(A12391))</f>
        <v/>
      </c>
    </row>
    <row r="12392">
      <c r="A12392">
        <f>Input!A12392</f>
        <v/>
      </c>
      <c r="B12392">
        <f>IF(ISNUMBER(Input!B12392),IF(AND(Input!B12392&gt;=20,Input!B12392&lt;=700),Input!B12392,""),"")</f>
        <v/>
      </c>
      <c r="C12392">
        <f>IF(B12392="","",INT(A12392))</f>
        <v/>
      </c>
      <c r="D12392">
        <f>IF(B12392="","",HOUR(A12392))</f>
        <v/>
      </c>
    </row>
    <row r="12393">
      <c r="A12393">
        <f>Input!A12393</f>
        <v/>
      </c>
      <c r="B12393">
        <f>IF(ISNUMBER(Input!B12393),IF(AND(Input!B12393&gt;=20,Input!B12393&lt;=700),Input!B12393,""),"")</f>
        <v/>
      </c>
      <c r="C12393">
        <f>IF(B12393="","",INT(A12393))</f>
        <v/>
      </c>
      <c r="D12393">
        <f>IF(B12393="","",HOUR(A12393))</f>
        <v/>
      </c>
    </row>
    <row r="12394">
      <c r="A12394">
        <f>Input!A12394</f>
        <v/>
      </c>
      <c r="B12394">
        <f>IF(ISNUMBER(Input!B12394),IF(AND(Input!B12394&gt;=20,Input!B12394&lt;=700),Input!B12394,""),"")</f>
        <v/>
      </c>
      <c r="C12394">
        <f>IF(B12394="","",INT(A12394))</f>
        <v/>
      </c>
      <c r="D12394">
        <f>IF(B12394="","",HOUR(A12394))</f>
        <v/>
      </c>
    </row>
    <row r="12395">
      <c r="A12395">
        <f>Input!A12395</f>
        <v/>
      </c>
      <c r="B12395">
        <f>IF(ISNUMBER(Input!B12395),IF(AND(Input!B12395&gt;=20,Input!B12395&lt;=700),Input!B12395,""),"")</f>
        <v/>
      </c>
      <c r="C12395">
        <f>IF(B12395="","",INT(A12395))</f>
        <v/>
      </c>
      <c r="D12395">
        <f>IF(B12395="","",HOUR(A12395))</f>
        <v/>
      </c>
    </row>
    <row r="12396">
      <c r="A12396">
        <f>Input!A12396</f>
        <v/>
      </c>
      <c r="B12396">
        <f>IF(ISNUMBER(Input!B12396),IF(AND(Input!B12396&gt;=20,Input!B12396&lt;=700),Input!B12396,""),"")</f>
        <v/>
      </c>
      <c r="C12396">
        <f>IF(B12396="","",INT(A12396))</f>
        <v/>
      </c>
      <c r="D12396">
        <f>IF(B12396="","",HOUR(A12396))</f>
        <v/>
      </c>
    </row>
    <row r="12397">
      <c r="A12397">
        <f>Input!A12397</f>
        <v/>
      </c>
      <c r="B12397">
        <f>IF(ISNUMBER(Input!B12397),IF(AND(Input!B12397&gt;=20,Input!B12397&lt;=700),Input!B12397,""),"")</f>
        <v/>
      </c>
      <c r="C12397">
        <f>IF(B12397="","",INT(A12397))</f>
        <v/>
      </c>
      <c r="D12397">
        <f>IF(B12397="","",HOUR(A12397))</f>
        <v/>
      </c>
    </row>
    <row r="12398">
      <c r="A12398">
        <f>Input!A12398</f>
        <v/>
      </c>
      <c r="B12398">
        <f>IF(ISNUMBER(Input!B12398),IF(AND(Input!B12398&gt;=20,Input!B12398&lt;=700),Input!B12398,""),"")</f>
        <v/>
      </c>
      <c r="C12398">
        <f>IF(B12398="","",INT(A12398))</f>
        <v/>
      </c>
      <c r="D12398">
        <f>IF(B12398="","",HOUR(A12398))</f>
        <v/>
      </c>
    </row>
    <row r="12399">
      <c r="A12399">
        <f>Input!A12399</f>
        <v/>
      </c>
      <c r="B12399">
        <f>IF(ISNUMBER(Input!B12399),IF(AND(Input!B12399&gt;=20,Input!B12399&lt;=700),Input!B12399,""),"")</f>
        <v/>
      </c>
      <c r="C12399">
        <f>IF(B12399="","",INT(A12399))</f>
        <v/>
      </c>
      <c r="D12399">
        <f>IF(B12399="","",HOUR(A12399))</f>
        <v/>
      </c>
    </row>
    <row r="12400">
      <c r="A12400">
        <f>Input!A12400</f>
        <v/>
      </c>
      <c r="B12400">
        <f>IF(ISNUMBER(Input!B12400),IF(AND(Input!B12400&gt;=20,Input!B12400&lt;=700),Input!B12400,""),"")</f>
        <v/>
      </c>
      <c r="C12400">
        <f>IF(B12400="","",INT(A12400))</f>
        <v/>
      </c>
      <c r="D12400">
        <f>IF(B12400="","",HOUR(A12400))</f>
        <v/>
      </c>
    </row>
    <row r="12401">
      <c r="A12401">
        <f>Input!A12401</f>
        <v/>
      </c>
      <c r="B12401">
        <f>IF(ISNUMBER(Input!B12401),IF(AND(Input!B12401&gt;=20,Input!B12401&lt;=700),Input!B12401,""),"")</f>
        <v/>
      </c>
      <c r="C12401">
        <f>IF(B12401="","",INT(A12401))</f>
        <v/>
      </c>
      <c r="D12401">
        <f>IF(B12401="","",HOUR(A12401))</f>
        <v/>
      </c>
    </row>
    <row r="12402">
      <c r="A12402">
        <f>Input!A12402</f>
        <v/>
      </c>
      <c r="B12402">
        <f>IF(ISNUMBER(Input!B12402),IF(AND(Input!B12402&gt;=20,Input!B12402&lt;=700),Input!B12402,""),"")</f>
        <v/>
      </c>
      <c r="C12402">
        <f>IF(B12402="","",INT(A12402))</f>
        <v/>
      </c>
      <c r="D12402">
        <f>IF(B12402="","",HOUR(A12402))</f>
        <v/>
      </c>
    </row>
    <row r="12403">
      <c r="A12403">
        <f>Input!A12403</f>
        <v/>
      </c>
      <c r="B12403">
        <f>IF(ISNUMBER(Input!B12403),IF(AND(Input!B12403&gt;=20,Input!B12403&lt;=700),Input!B12403,""),"")</f>
        <v/>
      </c>
      <c r="C12403">
        <f>IF(B12403="","",INT(A12403))</f>
        <v/>
      </c>
      <c r="D12403">
        <f>IF(B12403="","",HOUR(A12403))</f>
        <v/>
      </c>
    </row>
    <row r="12404">
      <c r="A12404">
        <f>Input!A12404</f>
        <v/>
      </c>
      <c r="B12404">
        <f>IF(ISNUMBER(Input!B12404),IF(AND(Input!B12404&gt;=20,Input!B12404&lt;=700),Input!B12404,""),"")</f>
        <v/>
      </c>
      <c r="C12404">
        <f>IF(B12404="","",INT(A12404))</f>
        <v/>
      </c>
      <c r="D12404">
        <f>IF(B12404="","",HOUR(A12404))</f>
        <v/>
      </c>
    </row>
    <row r="12405">
      <c r="A12405">
        <f>Input!A12405</f>
        <v/>
      </c>
      <c r="B12405">
        <f>IF(ISNUMBER(Input!B12405),IF(AND(Input!B12405&gt;=20,Input!B12405&lt;=700),Input!B12405,""),"")</f>
        <v/>
      </c>
      <c r="C12405">
        <f>IF(B12405="","",INT(A12405))</f>
        <v/>
      </c>
      <c r="D12405">
        <f>IF(B12405="","",HOUR(A12405))</f>
        <v/>
      </c>
    </row>
    <row r="12406">
      <c r="A12406">
        <f>Input!A12406</f>
        <v/>
      </c>
      <c r="B12406">
        <f>IF(ISNUMBER(Input!B12406),IF(AND(Input!B12406&gt;=20,Input!B12406&lt;=700),Input!B12406,""),"")</f>
        <v/>
      </c>
      <c r="C12406">
        <f>IF(B12406="","",INT(A12406))</f>
        <v/>
      </c>
      <c r="D12406">
        <f>IF(B12406="","",HOUR(A12406))</f>
        <v/>
      </c>
    </row>
    <row r="12407">
      <c r="A12407">
        <f>Input!A12407</f>
        <v/>
      </c>
      <c r="B12407">
        <f>IF(ISNUMBER(Input!B12407),IF(AND(Input!B12407&gt;=20,Input!B12407&lt;=700),Input!B12407,""),"")</f>
        <v/>
      </c>
      <c r="C12407">
        <f>IF(B12407="","",INT(A12407))</f>
        <v/>
      </c>
      <c r="D12407">
        <f>IF(B12407="","",HOUR(A12407))</f>
        <v/>
      </c>
    </row>
    <row r="12408">
      <c r="A12408">
        <f>Input!A12408</f>
        <v/>
      </c>
      <c r="B12408">
        <f>IF(ISNUMBER(Input!B12408),IF(AND(Input!B12408&gt;=20,Input!B12408&lt;=700),Input!B12408,""),"")</f>
        <v/>
      </c>
      <c r="C12408">
        <f>IF(B12408="","",INT(A12408))</f>
        <v/>
      </c>
      <c r="D12408">
        <f>IF(B12408="","",HOUR(A12408))</f>
        <v/>
      </c>
    </row>
    <row r="12409">
      <c r="A12409">
        <f>Input!A12409</f>
        <v/>
      </c>
      <c r="B12409">
        <f>IF(ISNUMBER(Input!B12409),IF(AND(Input!B12409&gt;=20,Input!B12409&lt;=700),Input!B12409,""),"")</f>
        <v/>
      </c>
      <c r="C12409">
        <f>IF(B12409="","",INT(A12409))</f>
        <v/>
      </c>
      <c r="D12409">
        <f>IF(B12409="","",HOUR(A12409))</f>
        <v/>
      </c>
    </row>
    <row r="12410">
      <c r="A12410">
        <f>Input!A12410</f>
        <v/>
      </c>
      <c r="B12410">
        <f>IF(ISNUMBER(Input!B12410),IF(AND(Input!B12410&gt;=20,Input!B12410&lt;=700),Input!B12410,""),"")</f>
        <v/>
      </c>
      <c r="C12410">
        <f>IF(B12410="","",INT(A12410))</f>
        <v/>
      </c>
      <c r="D12410">
        <f>IF(B12410="","",HOUR(A12410))</f>
        <v/>
      </c>
    </row>
    <row r="12411">
      <c r="A12411">
        <f>Input!A12411</f>
        <v/>
      </c>
      <c r="B12411">
        <f>IF(ISNUMBER(Input!B12411),IF(AND(Input!B12411&gt;=20,Input!B12411&lt;=700),Input!B12411,""),"")</f>
        <v/>
      </c>
      <c r="C12411">
        <f>IF(B12411="","",INT(A12411))</f>
        <v/>
      </c>
      <c r="D12411">
        <f>IF(B12411="","",HOUR(A12411))</f>
        <v/>
      </c>
    </row>
    <row r="12412">
      <c r="A12412">
        <f>Input!A12412</f>
        <v/>
      </c>
      <c r="B12412">
        <f>IF(ISNUMBER(Input!B12412),IF(AND(Input!B12412&gt;=20,Input!B12412&lt;=700),Input!B12412,""),"")</f>
        <v/>
      </c>
      <c r="C12412">
        <f>IF(B12412="","",INT(A12412))</f>
        <v/>
      </c>
      <c r="D12412">
        <f>IF(B12412="","",HOUR(A12412))</f>
        <v/>
      </c>
    </row>
    <row r="12413">
      <c r="A12413">
        <f>Input!A12413</f>
        <v/>
      </c>
      <c r="B12413">
        <f>IF(ISNUMBER(Input!B12413),IF(AND(Input!B12413&gt;=20,Input!B12413&lt;=700),Input!B12413,""),"")</f>
        <v/>
      </c>
      <c r="C12413">
        <f>IF(B12413="","",INT(A12413))</f>
        <v/>
      </c>
      <c r="D12413">
        <f>IF(B12413="","",HOUR(A12413))</f>
        <v/>
      </c>
    </row>
    <row r="12414">
      <c r="A12414">
        <f>Input!A12414</f>
        <v/>
      </c>
      <c r="B12414">
        <f>IF(ISNUMBER(Input!B12414),IF(AND(Input!B12414&gt;=20,Input!B12414&lt;=700),Input!B12414,""),"")</f>
        <v/>
      </c>
      <c r="C12414">
        <f>IF(B12414="","",INT(A12414))</f>
        <v/>
      </c>
      <c r="D12414">
        <f>IF(B12414="","",HOUR(A12414))</f>
        <v/>
      </c>
    </row>
    <row r="12415">
      <c r="A12415">
        <f>Input!A12415</f>
        <v/>
      </c>
      <c r="B12415">
        <f>IF(ISNUMBER(Input!B12415),IF(AND(Input!B12415&gt;=20,Input!B12415&lt;=700),Input!B12415,""),"")</f>
        <v/>
      </c>
      <c r="C12415">
        <f>IF(B12415="","",INT(A12415))</f>
        <v/>
      </c>
      <c r="D12415">
        <f>IF(B12415="","",HOUR(A12415))</f>
        <v/>
      </c>
    </row>
    <row r="12416">
      <c r="A12416">
        <f>Input!A12416</f>
        <v/>
      </c>
      <c r="B12416">
        <f>IF(ISNUMBER(Input!B12416),IF(AND(Input!B12416&gt;=20,Input!B12416&lt;=700),Input!B12416,""),"")</f>
        <v/>
      </c>
      <c r="C12416">
        <f>IF(B12416="","",INT(A12416))</f>
        <v/>
      </c>
      <c r="D12416">
        <f>IF(B12416="","",HOUR(A12416))</f>
        <v/>
      </c>
    </row>
    <row r="12417">
      <c r="A12417">
        <f>Input!A12417</f>
        <v/>
      </c>
      <c r="B12417">
        <f>IF(ISNUMBER(Input!B12417),IF(AND(Input!B12417&gt;=20,Input!B12417&lt;=700),Input!B12417,""),"")</f>
        <v/>
      </c>
      <c r="C12417">
        <f>IF(B12417="","",INT(A12417))</f>
        <v/>
      </c>
      <c r="D12417">
        <f>IF(B12417="","",HOUR(A12417))</f>
        <v/>
      </c>
    </row>
    <row r="12418">
      <c r="A12418">
        <f>Input!A12418</f>
        <v/>
      </c>
      <c r="B12418">
        <f>IF(ISNUMBER(Input!B12418),IF(AND(Input!B12418&gt;=20,Input!B12418&lt;=700),Input!B12418,""),"")</f>
        <v/>
      </c>
      <c r="C12418">
        <f>IF(B12418="","",INT(A12418))</f>
        <v/>
      </c>
      <c r="D12418">
        <f>IF(B12418="","",HOUR(A12418))</f>
        <v/>
      </c>
    </row>
    <row r="12419">
      <c r="A12419">
        <f>Input!A12419</f>
        <v/>
      </c>
      <c r="B12419">
        <f>IF(ISNUMBER(Input!B12419),IF(AND(Input!B12419&gt;=20,Input!B12419&lt;=700),Input!B12419,""),"")</f>
        <v/>
      </c>
      <c r="C12419">
        <f>IF(B12419="","",INT(A12419))</f>
        <v/>
      </c>
      <c r="D12419">
        <f>IF(B12419="","",HOUR(A12419))</f>
        <v/>
      </c>
    </row>
    <row r="12420">
      <c r="A12420">
        <f>Input!A12420</f>
        <v/>
      </c>
      <c r="B12420">
        <f>IF(ISNUMBER(Input!B12420),IF(AND(Input!B12420&gt;=20,Input!B12420&lt;=700),Input!B12420,""),"")</f>
        <v/>
      </c>
      <c r="C12420">
        <f>IF(B12420="","",INT(A12420))</f>
        <v/>
      </c>
      <c r="D12420">
        <f>IF(B12420="","",HOUR(A12420))</f>
        <v/>
      </c>
    </row>
    <row r="12421">
      <c r="A12421">
        <f>Input!A12421</f>
        <v/>
      </c>
      <c r="B12421">
        <f>IF(ISNUMBER(Input!B12421),IF(AND(Input!B12421&gt;=20,Input!B12421&lt;=700),Input!B12421,""),"")</f>
        <v/>
      </c>
      <c r="C12421">
        <f>IF(B12421="","",INT(A12421))</f>
        <v/>
      </c>
      <c r="D12421">
        <f>IF(B12421="","",HOUR(A12421))</f>
        <v/>
      </c>
    </row>
    <row r="12422">
      <c r="A12422">
        <f>Input!A12422</f>
        <v/>
      </c>
      <c r="B12422">
        <f>IF(ISNUMBER(Input!B12422),IF(AND(Input!B12422&gt;=20,Input!B12422&lt;=700),Input!B12422,""),"")</f>
        <v/>
      </c>
      <c r="C12422">
        <f>IF(B12422="","",INT(A12422))</f>
        <v/>
      </c>
      <c r="D12422">
        <f>IF(B12422="","",HOUR(A12422))</f>
        <v/>
      </c>
    </row>
    <row r="12423">
      <c r="A12423">
        <f>Input!A12423</f>
        <v/>
      </c>
      <c r="B12423">
        <f>IF(ISNUMBER(Input!B12423),IF(AND(Input!B12423&gt;=20,Input!B12423&lt;=700),Input!B12423,""),"")</f>
        <v/>
      </c>
      <c r="C12423">
        <f>IF(B12423="","",INT(A12423))</f>
        <v/>
      </c>
      <c r="D12423">
        <f>IF(B12423="","",HOUR(A12423))</f>
        <v/>
      </c>
    </row>
    <row r="12424">
      <c r="A12424">
        <f>Input!A12424</f>
        <v/>
      </c>
      <c r="B12424">
        <f>IF(ISNUMBER(Input!B12424),IF(AND(Input!B12424&gt;=20,Input!B12424&lt;=700),Input!B12424,""),"")</f>
        <v/>
      </c>
      <c r="C12424">
        <f>IF(B12424="","",INT(A12424))</f>
        <v/>
      </c>
      <c r="D12424">
        <f>IF(B12424="","",HOUR(A12424))</f>
        <v/>
      </c>
    </row>
    <row r="12425">
      <c r="A12425">
        <f>Input!A12425</f>
        <v/>
      </c>
      <c r="B12425">
        <f>IF(ISNUMBER(Input!B12425),IF(AND(Input!B12425&gt;=20,Input!B12425&lt;=700),Input!B12425,""),"")</f>
        <v/>
      </c>
      <c r="C12425">
        <f>IF(B12425="","",INT(A12425))</f>
        <v/>
      </c>
      <c r="D12425">
        <f>IF(B12425="","",HOUR(A12425))</f>
        <v/>
      </c>
    </row>
    <row r="12426">
      <c r="A12426">
        <f>Input!A12426</f>
        <v/>
      </c>
      <c r="B12426">
        <f>IF(ISNUMBER(Input!B12426),IF(AND(Input!B12426&gt;=20,Input!B12426&lt;=700),Input!B12426,""),"")</f>
        <v/>
      </c>
      <c r="C12426">
        <f>IF(B12426="","",INT(A12426))</f>
        <v/>
      </c>
      <c r="D12426">
        <f>IF(B12426="","",HOUR(A12426))</f>
        <v/>
      </c>
    </row>
    <row r="12427">
      <c r="A12427">
        <f>Input!A12427</f>
        <v/>
      </c>
      <c r="B12427">
        <f>IF(ISNUMBER(Input!B12427),IF(AND(Input!B12427&gt;=20,Input!B12427&lt;=700),Input!B12427,""),"")</f>
        <v/>
      </c>
      <c r="C12427">
        <f>IF(B12427="","",INT(A12427))</f>
        <v/>
      </c>
      <c r="D12427">
        <f>IF(B12427="","",HOUR(A12427))</f>
        <v/>
      </c>
    </row>
    <row r="12428">
      <c r="A12428">
        <f>Input!A12428</f>
        <v/>
      </c>
      <c r="B12428">
        <f>IF(ISNUMBER(Input!B12428),IF(AND(Input!B12428&gt;=20,Input!B12428&lt;=700),Input!B12428,""),"")</f>
        <v/>
      </c>
      <c r="C12428">
        <f>IF(B12428="","",INT(A12428))</f>
        <v/>
      </c>
      <c r="D12428">
        <f>IF(B12428="","",HOUR(A12428))</f>
        <v/>
      </c>
    </row>
    <row r="12429">
      <c r="A12429">
        <f>Input!A12429</f>
        <v/>
      </c>
      <c r="B12429">
        <f>IF(ISNUMBER(Input!B12429),IF(AND(Input!B12429&gt;=20,Input!B12429&lt;=700),Input!B12429,""),"")</f>
        <v/>
      </c>
      <c r="C12429">
        <f>IF(B12429="","",INT(A12429))</f>
        <v/>
      </c>
      <c r="D12429">
        <f>IF(B12429="","",HOUR(A12429))</f>
        <v/>
      </c>
    </row>
    <row r="12430">
      <c r="A12430">
        <f>Input!A12430</f>
        <v/>
      </c>
      <c r="B12430">
        <f>IF(ISNUMBER(Input!B12430),IF(AND(Input!B12430&gt;=20,Input!B12430&lt;=700),Input!B12430,""),"")</f>
        <v/>
      </c>
      <c r="C12430">
        <f>IF(B12430="","",INT(A12430))</f>
        <v/>
      </c>
      <c r="D12430">
        <f>IF(B12430="","",HOUR(A12430))</f>
        <v/>
      </c>
    </row>
    <row r="12431">
      <c r="A12431">
        <f>Input!A12431</f>
        <v/>
      </c>
      <c r="B12431">
        <f>IF(ISNUMBER(Input!B12431),IF(AND(Input!B12431&gt;=20,Input!B12431&lt;=700),Input!B12431,""),"")</f>
        <v/>
      </c>
      <c r="C12431">
        <f>IF(B12431="","",INT(A12431))</f>
        <v/>
      </c>
      <c r="D12431">
        <f>IF(B12431="","",HOUR(A12431))</f>
        <v/>
      </c>
    </row>
    <row r="12432">
      <c r="A12432">
        <f>Input!A12432</f>
        <v/>
      </c>
      <c r="B12432">
        <f>IF(ISNUMBER(Input!B12432),IF(AND(Input!B12432&gt;=20,Input!B12432&lt;=700),Input!B12432,""),"")</f>
        <v/>
      </c>
      <c r="C12432">
        <f>IF(B12432="","",INT(A12432))</f>
        <v/>
      </c>
      <c r="D12432">
        <f>IF(B12432="","",HOUR(A12432))</f>
        <v/>
      </c>
    </row>
    <row r="12433">
      <c r="A12433">
        <f>Input!A12433</f>
        <v/>
      </c>
      <c r="B12433">
        <f>IF(ISNUMBER(Input!B12433),IF(AND(Input!B12433&gt;=20,Input!B12433&lt;=700),Input!B12433,""),"")</f>
        <v/>
      </c>
      <c r="C12433">
        <f>IF(B12433="","",INT(A12433))</f>
        <v/>
      </c>
      <c r="D12433">
        <f>IF(B12433="","",HOUR(A12433))</f>
        <v/>
      </c>
    </row>
    <row r="12434">
      <c r="A12434">
        <f>Input!A12434</f>
        <v/>
      </c>
      <c r="B12434">
        <f>IF(ISNUMBER(Input!B12434),IF(AND(Input!B12434&gt;=20,Input!B12434&lt;=700),Input!B12434,""),"")</f>
        <v/>
      </c>
      <c r="C12434">
        <f>IF(B12434="","",INT(A12434))</f>
        <v/>
      </c>
      <c r="D12434">
        <f>IF(B12434="","",HOUR(A12434))</f>
        <v/>
      </c>
    </row>
    <row r="12435">
      <c r="A12435">
        <f>Input!A12435</f>
        <v/>
      </c>
      <c r="B12435">
        <f>IF(ISNUMBER(Input!B12435),IF(AND(Input!B12435&gt;=20,Input!B12435&lt;=700),Input!B12435,""),"")</f>
        <v/>
      </c>
      <c r="C12435">
        <f>IF(B12435="","",INT(A12435))</f>
        <v/>
      </c>
      <c r="D12435">
        <f>IF(B12435="","",HOUR(A12435))</f>
        <v/>
      </c>
    </row>
    <row r="12436">
      <c r="A12436">
        <f>Input!A12436</f>
        <v/>
      </c>
      <c r="B12436">
        <f>IF(ISNUMBER(Input!B12436),IF(AND(Input!B12436&gt;=20,Input!B12436&lt;=700),Input!B12436,""),"")</f>
        <v/>
      </c>
      <c r="C12436">
        <f>IF(B12436="","",INT(A12436))</f>
        <v/>
      </c>
      <c r="D12436">
        <f>IF(B12436="","",HOUR(A12436))</f>
        <v/>
      </c>
    </row>
    <row r="12437">
      <c r="A12437">
        <f>Input!A12437</f>
        <v/>
      </c>
      <c r="B12437">
        <f>IF(ISNUMBER(Input!B12437),IF(AND(Input!B12437&gt;=20,Input!B12437&lt;=700),Input!B12437,""),"")</f>
        <v/>
      </c>
      <c r="C12437">
        <f>IF(B12437="","",INT(A12437))</f>
        <v/>
      </c>
      <c r="D12437">
        <f>IF(B12437="","",HOUR(A12437))</f>
        <v/>
      </c>
    </row>
    <row r="12438">
      <c r="A12438">
        <f>Input!A12438</f>
        <v/>
      </c>
      <c r="B12438">
        <f>IF(ISNUMBER(Input!B12438),IF(AND(Input!B12438&gt;=20,Input!B12438&lt;=700),Input!B12438,""),"")</f>
        <v/>
      </c>
      <c r="C12438">
        <f>IF(B12438="","",INT(A12438))</f>
        <v/>
      </c>
      <c r="D12438">
        <f>IF(B12438="","",HOUR(A12438))</f>
        <v/>
      </c>
    </row>
    <row r="12439">
      <c r="A12439">
        <f>Input!A12439</f>
        <v/>
      </c>
      <c r="B12439">
        <f>IF(ISNUMBER(Input!B12439),IF(AND(Input!B12439&gt;=20,Input!B12439&lt;=700),Input!B12439,""),"")</f>
        <v/>
      </c>
      <c r="C12439">
        <f>IF(B12439="","",INT(A12439))</f>
        <v/>
      </c>
      <c r="D12439">
        <f>IF(B12439="","",HOUR(A12439))</f>
        <v/>
      </c>
    </row>
    <row r="12440">
      <c r="A12440">
        <f>Input!A12440</f>
        <v/>
      </c>
      <c r="B12440">
        <f>IF(ISNUMBER(Input!B12440),IF(AND(Input!B12440&gt;=20,Input!B12440&lt;=700),Input!B12440,""),"")</f>
        <v/>
      </c>
      <c r="C12440">
        <f>IF(B12440="","",INT(A12440))</f>
        <v/>
      </c>
      <c r="D12440">
        <f>IF(B12440="","",HOUR(A12440))</f>
        <v/>
      </c>
    </row>
    <row r="12441">
      <c r="A12441">
        <f>Input!A12441</f>
        <v/>
      </c>
      <c r="B12441">
        <f>IF(ISNUMBER(Input!B12441),IF(AND(Input!B12441&gt;=20,Input!B12441&lt;=700),Input!B12441,""),"")</f>
        <v/>
      </c>
      <c r="C12441">
        <f>IF(B12441="","",INT(A12441))</f>
        <v/>
      </c>
      <c r="D12441">
        <f>IF(B12441="","",HOUR(A12441))</f>
        <v/>
      </c>
    </row>
    <row r="12442">
      <c r="A12442">
        <f>Input!A12442</f>
        <v/>
      </c>
      <c r="B12442">
        <f>IF(ISNUMBER(Input!B12442),IF(AND(Input!B12442&gt;=20,Input!B12442&lt;=700),Input!B12442,""),"")</f>
        <v/>
      </c>
      <c r="C12442">
        <f>IF(B12442="","",INT(A12442))</f>
        <v/>
      </c>
      <c r="D12442">
        <f>IF(B12442="","",HOUR(A12442))</f>
        <v/>
      </c>
    </row>
    <row r="12443">
      <c r="A12443">
        <f>Input!A12443</f>
        <v/>
      </c>
      <c r="B12443">
        <f>IF(ISNUMBER(Input!B12443),IF(AND(Input!B12443&gt;=20,Input!B12443&lt;=700),Input!B12443,""),"")</f>
        <v/>
      </c>
      <c r="C12443">
        <f>IF(B12443="","",INT(A12443))</f>
        <v/>
      </c>
      <c r="D12443">
        <f>IF(B12443="","",HOUR(A12443))</f>
        <v/>
      </c>
    </row>
    <row r="12444">
      <c r="A12444">
        <f>Input!A12444</f>
        <v/>
      </c>
      <c r="B12444">
        <f>IF(ISNUMBER(Input!B12444),IF(AND(Input!B12444&gt;=20,Input!B12444&lt;=700),Input!B12444,""),"")</f>
        <v/>
      </c>
      <c r="C12444">
        <f>IF(B12444="","",INT(A12444))</f>
        <v/>
      </c>
      <c r="D12444">
        <f>IF(B12444="","",HOUR(A12444))</f>
        <v/>
      </c>
    </row>
    <row r="12445">
      <c r="A12445">
        <f>Input!A12445</f>
        <v/>
      </c>
      <c r="B12445">
        <f>IF(ISNUMBER(Input!B12445),IF(AND(Input!B12445&gt;=20,Input!B12445&lt;=700),Input!B12445,""),"")</f>
        <v/>
      </c>
      <c r="C12445">
        <f>IF(B12445="","",INT(A12445))</f>
        <v/>
      </c>
      <c r="D12445">
        <f>IF(B12445="","",HOUR(A12445))</f>
        <v/>
      </c>
    </row>
    <row r="12446">
      <c r="A12446">
        <f>Input!A12446</f>
        <v/>
      </c>
      <c r="B12446">
        <f>IF(ISNUMBER(Input!B12446),IF(AND(Input!B12446&gt;=20,Input!B12446&lt;=700),Input!B12446,""),"")</f>
        <v/>
      </c>
      <c r="C12446">
        <f>IF(B12446="","",INT(A12446))</f>
        <v/>
      </c>
      <c r="D12446">
        <f>IF(B12446="","",HOUR(A12446))</f>
        <v/>
      </c>
    </row>
    <row r="12447">
      <c r="A12447">
        <f>Input!A12447</f>
        <v/>
      </c>
      <c r="B12447">
        <f>IF(ISNUMBER(Input!B12447),IF(AND(Input!B12447&gt;=20,Input!B12447&lt;=700),Input!B12447,""),"")</f>
        <v/>
      </c>
      <c r="C12447">
        <f>IF(B12447="","",INT(A12447))</f>
        <v/>
      </c>
      <c r="D12447">
        <f>IF(B12447="","",HOUR(A12447))</f>
        <v/>
      </c>
    </row>
    <row r="12448">
      <c r="A12448">
        <f>Input!A12448</f>
        <v/>
      </c>
      <c r="B12448">
        <f>IF(ISNUMBER(Input!B12448),IF(AND(Input!B12448&gt;=20,Input!B12448&lt;=700),Input!B12448,""),"")</f>
        <v/>
      </c>
      <c r="C12448">
        <f>IF(B12448="","",INT(A12448))</f>
        <v/>
      </c>
      <c r="D12448">
        <f>IF(B12448="","",HOUR(A12448))</f>
        <v/>
      </c>
    </row>
    <row r="12449">
      <c r="A12449">
        <f>Input!A12449</f>
        <v/>
      </c>
      <c r="B12449">
        <f>IF(ISNUMBER(Input!B12449),IF(AND(Input!B12449&gt;=20,Input!B12449&lt;=700),Input!B12449,""),"")</f>
        <v/>
      </c>
      <c r="C12449">
        <f>IF(B12449="","",INT(A12449))</f>
        <v/>
      </c>
      <c r="D12449">
        <f>IF(B12449="","",HOUR(A12449))</f>
        <v/>
      </c>
    </row>
    <row r="12450">
      <c r="A12450">
        <f>Input!A12450</f>
        <v/>
      </c>
      <c r="B12450">
        <f>IF(ISNUMBER(Input!B12450),IF(AND(Input!B12450&gt;=20,Input!B12450&lt;=700),Input!B12450,""),"")</f>
        <v/>
      </c>
      <c r="C12450">
        <f>IF(B12450="","",INT(A12450))</f>
        <v/>
      </c>
      <c r="D12450">
        <f>IF(B12450="","",HOUR(A12450))</f>
        <v/>
      </c>
    </row>
    <row r="12451">
      <c r="A12451">
        <f>Input!A12451</f>
        <v/>
      </c>
      <c r="B12451">
        <f>IF(ISNUMBER(Input!B12451),IF(AND(Input!B12451&gt;=20,Input!B12451&lt;=700),Input!B12451,""),"")</f>
        <v/>
      </c>
      <c r="C12451">
        <f>IF(B12451="","",INT(A12451))</f>
        <v/>
      </c>
      <c r="D12451">
        <f>IF(B12451="","",HOUR(A12451))</f>
        <v/>
      </c>
    </row>
    <row r="12452">
      <c r="A12452">
        <f>Input!A12452</f>
        <v/>
      </c>
      <c r="B12452">
        <f>IF(ISNUMBER(Input!B12452),IF(AND(Input!B12452&gt;=20,Input!B12452&lt;=700),Input!B12452,""),"")</f>
        <v/>
      </c>
      <c r="C12452">
        <f>IF(B12452="","",INT(A12452))</f>
        <v/>
      </c>
      <c r="D12452">
        <f>IF(B12452="","",HOUR(A12452))</f>
        <v/>
      </c>
    </row>
    <row r="12453">
      <c r="A12453">
        <f>Input!A12453</f>
        <v/>
      </c>
      <c r="B12453">
        <f>IF(ISNUMBER(Input!B12453),IF(AND(Input!B12453&gt;=20,Input!B12453&lt;=700),Input!B12453,""),"")</f>
        <v/>
      </c>
      <c r="C12453">
        <f>IF(B12453="","",INT(A12453))</f>
        <v/>
      </c>
      <c r="D12453">
        <f>IF(B12453="","",HOUR(A12453))</f>
        <v/>
      </c>
    </row>
    <row r="12454">
      <c r="A12454">
        <f>Input!A12454</f>
        <v/>
      </c>
      <c r="B12454">
        <f>IF(ISNUMBER(Input!B12454),IF(AND(Input!B12454&gt;=20,Input!B12454&lt;=700),Input!B12454,""),"")</f>
        <v/>
      </c>
      <c r="C12454">
        <f>IF(B12454="","",INT(A12454))</f>
        <v/>
      </c>
      <c r="D12454">
        <f>IF(B12454="","",HOUR(A12454))</f>
        <v/>
      </c>
    </row>
    <row r="12455">
      <c r="A12455">
        <f>Input!A12455</f>
        <v/>
      </c>
      <c r="B12455">
        <f>IF(ISNUMBER(Input!B12455),IF(AND(Input!B12455&gt;=20,Input!B12455&lt;=700),Input!B12455,""),"")</f>
        <v/>
      </c>
      <c r="C12455">
        <f>IF(B12455="","",INT(A12455))</f>
        <v/>
      </c>
      <c r="D12455">
        <f>IF(B12455="","",HOUR(A12455))</f>
        <v/>
      </c>
    </row>
    <row r="12456">
      <c r="A12456">
        <f>Input!A12456</f>
        <v/>
      </c>
      <c r="B12456">
        <f>IF(ISNUMBER(Input!B12456),IF(AND(Input!B12456&gt;=20,Input!B12456&lt;=700),Input!B12456,""),"")</f>
        <v/>
      </c>
      <c r="C12456">
        <f>IF(B12456="","",INT(A12456))</f>
        <v/>
      </c>
      <c r="D12456">
        <f>IF(B12456="","",HOUR(A12456))</f>
        <v/>
      </c>
    </row>
    <row r="12457">
      <c r="A12457">
        <f>Input!A12457</f>
        <v/>
      </c>
      <c r="B12457">
        <f>IF(ISNUMBER(Input!B12457),IF(AND(Input!B12457&gt;=20,Input!B12457&lt;=700),Input!B12457,""),"")</f>
        <v/>
      </c>
      <c r="C12457">
        <f>IF(B12457="","",INT(A12457))</f>
        <v/>
      </c>
      <c r="D12457">
        <f>IF(B12457="","",HOUR(A12457))</f>
        <v/>
      </c>
    </row>
    <row r="12458">
      <c r="A12458">
        <f>Input!A12458</f>
        <v/>
      </c>
      <c r="B12458">
        <f>IF(ISNUMBER(Input!B12458),IF(AND(Input!B12458&gt;=20,Input!B12458&lt;=700),Input!B12458,""),"")</f>
        <v/>
      </c>
      <c r="C12458">
        <f>IF(B12458="","",INT(A12458))</f>
        <v/>
      </c>
      <c r="D12458">
        <f>IF(B12458="","",HOUR(A12458))</f>
        <v/>
      </c>
    </row>
    <row r="12459">
      <c r="A12459">
        <f>Input!A12459</f>
        <v/>
      </c>
      <c r="B12459">
        <f>IF(ISNUMBER(Input!B12459),IF(AND(Input!B12459&gt;=20,Input!B12459&lt;=700),Input!B12459,""),"")</f>
        <v/>
      </c>
      <c r="C12459">
        <f>IF(B12459="","",INT(A12459))</f>
        <v/>
      </c>
      <c r="D12459">
        <f>IF(B12459="","",HOUR(A12459))</f>
        <v/>
      </c>
    </row>
    <row r="12460">
      <c r="A12460">
        <f>Input!A12460</f>
        <v/>
      </c>
      <c r="B12460">
        <f>IF(ISNUMBER(Input!B12460),IF(AND(Input!B12460&gt;=20,Input!B12460&lt;=700),Input!B12460,""),"")</f>
        <v/>
      </c>
      <c r="C12460">
        <f>IF(B12460="","",INT(A12460))</f>
        <v/>
      </c>
      <c r="D12460">
        <f>IF(B12460="","",HOUR(A12460))</f>
        <v/>
      </c>
    </row>
    <row r="12461">
      <c r="A12461">
        <f>Input!A12461</f>
        <v/>
      </c>
      <c r="B12461">
        <f>IF(ISNUMBER(Input!B12461),IF(AND(Input!B12461&gt;=20,Input!B12461&lt;=700),Input!B12461,""),"")</f>
        <v/>
      </c>
      <c r="C12461">
        <f>IF(B12461="","",INT(A12461))</f>
        <v/>
      </c>
      <c r="D12461">
        <f>IF(B12461="","",HOUR(A12461))</f>
        <v/>
      </c>
    </row>
    <row r="12462">
      <c r="A12462">
        <f>Input!A12462</f>
        <v/>
      </c>
      <c r="B12462">
        <f>IF(ISNUMBER(Input!B12462),IF(AND(Input!B12462&gt;=20,Input!B12462&lt;=700),Input!B12462,""),"")</f>
        <v/>
      </c>
      <c r="C12462">
        <f>IF(B12462="","",INT(A12462))</f>
        <v/>
      </c>
      <c r="D12462">
        <f>IF(B12462="","",HOUR(A12462))</f>
        <v/>
      </c>
    </row>
    <row r="12463">
      <c r="A12463">
        <f>Input!A12463</f>
        <v/>
      </c>
      <c r="B12463">
        <f>IF(ISNUMBER(Input!B12463),IF(AND(Input!B12463&gt;=20,Input!B12463&lt;=700),Input!B12463,""),"")</f>
        <v/>
      </c>
      <c r="C12463">
        <f>IF(B12463="","",INT(A12463))</f>
        <v/>
      </c>
      <c r="D12463">
        <f>IF(B12463="","",HOUR(A12463))</f>
        <v/>
      </c>
    </row>
    <row r="12464">
      <c r="A12464">
        <f>Input!A12464</f>
        <v/>
      </c>
      <c r="B12464">
        <f>IF(ISNUMBER(Input!B12464),IF(AND(Input!B12464&gt;=20,Input!B12464&lt;=700),Input!B12464,""),"")</f>
        <v/>
      </c>
      <c r="C12464">
        <f>IF(B12464="","",INT(A12464))</f>
        <v/>
      </c>
      <c r="D12464">
        <f>IF(B12464="","",HOUR(A12464))</f>
        <v/>
      </c>
    </row>
    <row r="12465">
      <c r="A12465">
        <f>Input!A12465</f>
        <v/>
      </c>
      <c r="B12465">
        <f>IF(ISNUMBER(Input!B12465),IF(AND(Input!B12465&gt;=20,Input!B12465&lt;=700),Input!B12465,""),"")</f>
        <v/>
      </c>
      <c r="C12465">
        <f>IF(B12465="","",INT(A12465))</f>
        <v/>
      </c>
      <c r="D12465">
        <f>IF(B12465="","",HOUR(A12465))</f>
        <v/>
      </c>
    </row>
    <row r="12466">
      <c r="A12466">
        <f>Input!A12466</f>
        <v/>
      </c>
      <c r="B12466">
        <f>IF(ISNUMBER(Input!B12466),IF(AND(Input!B12466&gt;=20,Input!B12466&lt;=700),Input!B12466,""),"")</f>
        <v/>
      </c>
      <c r="C12466">
        <f>IF(B12466="","",INT(A12466))</f>
        <v/>
      </c>
      <c r="D12466">
        <f>IF(B12466="","",HOUR(A12466))</f>
        <v/>
      </c>
    </row>
    <row r="12467">
      <c r="A12467">
        <f>Input!A12467</f>
        <v/>
      </c>
      <c r="B12467">
        <f>IF(ISNUMBER(Input!B12467),IF(AND(Input!B12467&gt;=20,Input!B12467&lt;=700),Input!B12467,""),"")</f>
        <v/>
      </c>
      <c r="C12467">
        <f>IF(B12467="","",INT(A12467))</f>
        <v/>
      </c>
      <c r="D12467">
        <f>IF(B12467="","",HOUR(A12467))</f>
        <v/>
      </c>
    </row>
    <row r="12468">
      <c r="A12468">
        <f>Input!A12468</f>
        <v/>
      </c>
      <c r="B12468">
        <f>IF(ISNUMBER(Input!B12468),IF(AND(Input!B12468&gt;=20,Input!B12468&lt;=700),Input!B12468,""),"")</f>
        <v/>
      </c>
      <c r="C12468">
        <f>IF(B12468="","",INT(A12468))</f>
        <v/>
      </c>
      <c r="D12468">
        <f>IF(B12468="","",HOUR(A12468))</f>
        <v/>
      </c>
    </row>
    <row r="12469">
      <c r="A12469">
        <f>Input!A12469</f>
        <v/>
      </c>
      <c r="B12469">
        <f>IF(ISNUMBER(Input!B12469),IF(AND(Input!B12469&gt;=20,Input!B12469&lt;=700),Input!B12469,""),"")</f>
        <v/>
      </c>
      <c r="C12469">
        <f>IF(B12469="","",INT(A12469))</f>
        <v/>
      </c>
      <c r="D12469">
        <f>IF(B12469="","",HOUR(A12469))</f>
        <v/>
      </c>
    </row>
    <row r="12470">
      <c r="A12470">
        <f>Input!A12470</f>
        <v/>
      </c>
      <c r="B12470">
        <f>IF(ISNUMBER(Input!B12470),IF(AND(Input!B12470&gt;=20,Input!B12470&lt;=700),Input!B12470,""),"")</f>
        <v/>
      </c>
      <c r="C12470">
        <f>IF(B12470="","",INT(A12470))</f>
        <v/>
      </c>
      <c r="D12470">
        <f>IF(B12470="","",HOUR(A12470))</f>
        <v/>
      </c>
    </row>
    <row r="12471">
      <c r="A12471">
        <f>Input!A12471</f>
        <v/>
      </c>
      <c r="B12471">
        <f>IF(ISNUMBER(Input!B12471),IF(AND(Input!B12471&gt;=20,Input!B12471&lt;=700),Input!B12471,""),"")</f>
        <v/>
      </c>
      <c r="C12471">
        <f>IF(B12471="","",INT(A12471))</f>
        <v/>
      </c>
      <c r="D12471">
        <f>IF(B12471="","",HOUR(A12471))</f>
        <v/>
      </c>
    </row>
    <row r="12472">
      <c r="A12472">
        <f>Input!A12472</f>
        <v/>
      </c>
      <c r="B12472">
        <f>IF(ISNUMBER(Input!B12472),IF(AND(Input!B12472&gt;=20,Input!B12472&lt;=700),Input!B12472,""),"")</f>
        <v/>
      </c>
      <c r="C12472">
        <f>IF(B12472="","",INT(A12472))</f>
        <v/>
      </c>
      <c r="D12472">
        <f>IF(B12472="","",HOUR(A12472))</f>
        <v/>
      </c>
    </row>
    <row r="12473">
      <c r="A12473">
        <f>Input!A12473</f>
        <v/>
      </c>
      <c r="B12473">
        <f>IF(ISNUMBER(Input!B12473),IF(AND(Input!B12473&gt;=20,Input!B12473&lt;=700),Input!B12473,""),"")</f>
        <v/>
      </c>
      <c r="C12473">
        <f>IF(B12473="","",INT(A12473))</f>
        <v/>
      </c>
      <c r="D12473">
        <f>IF(B12473="","",HOUR(A12473))</f>
        <v/>
      </c>
    </row>
    <row r="12474">
      <c r="A12474">
        <f>Input!A12474</f>
        <v/>
      </c>
      <c r="B12474">
        <f>IF(ISNUMBER(Input!B12474),IF(AND(Input!B12474&gt;=20,Input!B12474&lt;=700),Input!B12474,""),"")</f>
        <v/>
      </c>
      <c r="C12474">
        <f>IF(B12474="","",INT(A12474))</f>
        <v/>
      </c>
      <c r="D12474">
        <f>IF(B12474="","",HOUR(A12474))</f>
        <v/>
      </c>
    </row>
    <row r="12475">
      <c r="A12475">
        <f>Input!A12475</f>
        <v/>
      </c>
      <c r="B12475">
        <f>IF(ISNUMBER(Input!B12475),IF(AND(Input!B12475&gt;=20,Input!B12475&lt;=700),Input!B12475,""),"")</f>
        <v/>
      </c>
      <c r="C12475">
        <f>IF(B12475="","",INT(A12475))</f>
        <v/>
      </c>
      <c r="D12475">
        <f>IF(B12475="","",HOUR(A12475))</f>
        <v/>
      </c>
    </row>
    <row r="12476">
      <c r="A12476">
        <f>Input!A12476</f>
        <v/>
      </c>
      <c r="B12476">
        <f>IF(ISNUMBER(Input!B12476),IF(AND(Input!B12476&gt;=20,Input!B12476&lt;=700),Input!B12476,""),"")</f>
        <v/>
      </c>
      <c r="C12476">
        <f>IF(B12476="","",INT(A12476))</f>
        <v/>
      </c>
      <c r="D12476">
        <f>IF(B12476="","",HOUR(A12476))</f>
        <v/>
      </c>
    </row>
    <row r="12477">
      <c r="A12477">
        <f>Input!A12477</f>
        <v/>
      </c>
      <c r="B12477">
        <f>IF(ISNUMBER(Input!B12477),IF(AND(Input!B12477&gt;=20,Input!B12477&lt;=700),Input!B12477,""),"")</f>
        <v/>
      </c>
      <c r="C12477">
        <f>IF(B12477="","",INT(A12477))</f>
        <v/>
      </c>
      <c r="D12477">
        <f>IF(B12477="","",HOUR(A12477))</f>
        <v/>
      </c>
    </row>
    <row r="12478">
      <c r="A12478">
        <f>Input!A12478</f>
        <v/>
      </c>
      <c r="B12478">
        <f>IF(ISNUMBER(Input!B12478),IF(AND(Input!B12478&gt;=20,Input!B12478&lt;=700),Input!B12478,""),"")</f>
        <v/>
      </c>
      <c r="C12478">
        <f>IF(B12478="","",INT(A12478))</f>
        <v/>
      </c>
      <c r="D12478">
        <f>IF(B12478="","",HOUR(A12478))</f>
        <v/>
      </c>
    </row>
    <row r="12479">
      <c r="A12479">
        <f>Input!A12479</f>
        <v/>
      </c>
      <c r="B12479">
        <f>IF(ISNUMBER(Input!B12479),IF(AND(Input!B12479&gt;=20,Input!B12479&lt;=700),Input!B12479,""),"")</f>
        <v/>
      </c>
      <c r="C12479">
        <f>IF(B12479="","",INT(A12479))</f>
        <v/>
      </c>
      <c r="D12479">
        <f>IF(B12479="","",HOUR(A12479))</f>
        <v/>
      </c>
    </row>
    <row r="12480">
      <c r="A12480">
        <f>Input!A12480</f>
        <v/>
      </c>
      <c r="B12480">
        <f>IF(ISNUMBER(Input!B12480),IF(AND(Input!B12480&gt;=20,Input!B12480&lt;=700),Input!B12480,""),"")</f>
        <v/>
      </c>
      <c r="C12480">
        <f>IF(B12480="","",INT(A12480))</f>
        <v/>
      </c>
      <c r="D12480">
        <f>IF(B12480="","",HOUR(A12480))</f>
        <v/>
      </c>
    </row>
    <row r="12481">
      <c r="A12481">
        <f>Input!A12481</f>
        <v/>
      </c>
      <c r="B12481">
        <f>IF(ISNUMBER(Input!B12481),IF(AND(Input!B12481&gt;=20,Input!B12481&lt;=700),Input!B12481,""),"")</f>
        <v/>
      </c>
      <c r="C12481">
        <f>IF(B12481="","",INT(A12481))</f>
        <v/>
      </c>
      <c r="D12481">
        <f>IF(B12481="","",HOUR(A12481))</f>
        <v/>
      </c>
    </row>
    <row r="12482">
      <c r="A12482">
        <f>Input!A12482</f>
        <v/>
      </c>
      <c r="B12482">
        <f>IF(ISNUMBER(Input!B12482),IF(AND(Input!B12482&gt;=20,Input!B12482&lt;=700),Input!B12482,""),"")</f>
        <v/>
      </c>
      <c r="C12482">
        <f>IF(B12482="","",INT(A12482))</f>
        <v/>
      </c>
      <c r="D12482">
        <f>IF(B12482="","",HOUR(A12482))</f>
        <v/>
      </c>
    </row>
    <row r="12483">
      <c r="A12483">
        <f>Input!A12483</f>
        <v/>
      </c>
      <c r="B12483">
        <f>IF(ISNUMBER(Input!B12483),IF(AND(Input!B12483&gt;=20,Input!B12483&lt;=700),Input!B12483,""),"")</f>
        <v/>
      </c>
      <c r="C12483">
        <f>IF(B12483="","",INT(A12483))</f>
        <v/>
      </c>
      <c r="D12483">
        <f>IF(B12483="","",HOUR(A12483))</f>
        <v/>
      </c>
    </row>
    <row r="12484">
      <c r="A12484">
        <f>Input!A12484</f>
        <v/>
      </c>
      <c r="B12484">
        <f>IF(ISNUMBER(Input!B12484),IF(AND(Input!B12484&gt;=20,Input!B12484&lt;=700),Input!B12484,""),"")</f>
        <v/>
      </c>
      <c r="C12484">
        <f>IF(B12484="","",INT(A12484))</f>
        <v/>
      </c>
      <c r="D12484">
        <f>IF(B12484="","",HOUR(A12484))</f>
        <v/>
      </c>
    </row>
    <row r="12485">
      <c r="A12485">
        <f>Input!A12485</f>
        <v/>
      </c>
      <c r="B12485">
        <f>IF(ISNUMBER(Input!B12485),IF(AND(Input!B12485&gt;=20,Input!B12485&lt;=700),Input!B12485,""),"")</f>
        <v/>
      </c>
      <c r="C12485">
        <f>IF(B12485="","",INT(A12485))</f>
        <v/>
      </c>
      <c r="D12485">
        <f>IF(B12485="","",HOUR(A12485))</f>
        <v/>
      </c>
    </row>
    <row r="12486">
      <c r="A12486">
        <f>Input!A12486</f>
        <v/>
      </c>
      <c r="B12486">
        <f>IF(ISNUMBER(Input!B12486),IF(AND(Input!B12486&gt;=20,Input!B12486&lt;=700),Input!B12486,""),"")</f>
        <v/>
      </c>
      <c r="C12486">
        <f>IF(B12486="","",INT(A12486))</f>
        <v/>
      </c>
      <c r="D12486">
        <f>IF(B12486="","",HOUR(A12486))</f>
        <v/>
      </c>
    </row>
    <row r="12487">
      <c r="A12487">
        <f>Input!A12487</f>
        <v/>
      </c>
      <c r="B12487">
        <f>IF(ISNUMBER(Input!B12487),IF(AND(Input!B12487&gt;=20,Input!B12487&lt;=700),Input!B12487,""),"")</f>
        <v/>
      </c>
      <c r="C12487">
        <f>IF(B12487="","",INT(A12487))</f>
        <v/>
      </c>
      <c r="D12487">
        <f>IF(B12487="","",HOUR(A12487))</f>
        <v/>
      </c>
    </row>
    <row r="12488">
      <c r="A12488">
        <f>Input!A12488</f>
        <v/>
      </c>
      <c r="B12488">
        <f>IF(ISNUMBER(Input!B12488),IF(AND(Input!B12488&gt;=20,Input!B12488&lt;=700),Input!B12488,""),"")</f>
        <v/>
      </c>
      <c r="C12488">
        <f>IF(B12488="","",INT(A12488))</f>
        <v/>
      </c>
      <c r="D12488">
        <f>IF(B12488="","",HOUR(A12488))</f>
        <v/>
      </c>
    </row>
    <row r="12489">
      <c r="A12489">
        <f>Input!A12489</f>
        <v/>
      </c>
      <c r="B12489">
        <f>IF(ISNUMBER(Input!B12489),IF(AND(Input!B12489&gt;=20,Input!B12489&lt;=700),Input!B12489,""),"")</f>
        <v/>
      </c>
      <c r="C12489">
        <f>IF(B12489="","",INT(A12489))</f>
        <v/>
      </c>
      <c r="D12489">
        <f>IF(B12489="","",HOUR(A12489))</f>
        <v/>
      </c>
    </row>
    <row r="12490">
      <c r="A12490">
        <f>Input!A12490</f>
        <v/>
      </c>
      <c r="B12490">
        <f>IF(ISNUMBER(Input!B12490),IF(AND(Input!B12490&gt;=20,Input!B12490&lt;=700),Input!B12490,""),"")</f>
        <v/>
      </c>
      <c r="C12490">
        <f>IF(B12490="","",INT(A12490))</f>
        <v/>
      </c>
      <c r="D12490">
        <f>IF(B12490="","",HOUR(A12490))</f>
        <v/>
      </c>
    </row>
    <row r="12491">
      <c r="A12491">
        <f>Input!A12491</f>
        <v/>
      </c>
      <c r="B12491">
        <f>IF(ISNUMBER(Input!B12491),IF(AND(Input!B12491&gt;=20,Input!B12491&lt;=700),Input!B12491,""),"")</f>
        <v/>
      </c>
      <c r="C12491">
        <f>IF(B12491="","",INT(A12491))</f>
        <v/>
      </c>
      <c r="D12491">
        <f>IF(B12491="","",HOUR(A12491))</f>
        <v/>
      </c>
    </row>
    <row r="12492">
      <c r="A12492">
        <f>Input!A12492</f>
        <v/>
      </c>
      <c r="B12492">
        <f>IF(ISNUMBER(Input!B12492),IF(AND(Input!B12492&gt;=20,Input!B12492&lt;=700),Input!B12492,""),"")</f>
        <v/>
      </c>
      <c r="C12492">
        <f>IF(B12492="","",INT(A12492))</f>
        <v/>
      </c>
      <c r="D12492">
        <f>IF(B12492="","",HOUR(A12492))</f>
        <v/>
      </c>
    </row>
    <row r="12493">
      <c r="A12493">
        <f>Input!A12493</f>
        <v/>
      </c>
      <c r="B12493">
        <f>IF(ISNUMBER(Input!B12493),IF(AND(Input!B12493&gt;=20,Input!B12493&lt;=700),Input!B12493,""),"")</f>
        <v/>
      </c>
      <c r="C12493">
        <f>IF(B12493="","",INT(A12493))</f>
        <v/>
      </c>
      <c r="D12493">
        <f>IF(B12493="","",HOUR(A12493))</f>
        <v/>
      </c>
    </row>
    <row r="12494">
      <c r="A12494">
        <f>Input!A12494</f>
        <v/>
      </c>
      <c r="B12494">
        <f>IF(ISNUMBER(Input!B12494),IF(AND(Input!B12494&gt;=20,Input!B12494&lt;=700),Input!B12494,""),"")</f>
        <v/>
      </c>
      <c r="C12494">
        <f>IF(B12494="","",INT(A12494))</f>
        <v/>
      </c>
      <c r="D12494">
        <f>IF(B12494="","",HOUR(A12494))</f>
        <v/>
      </c>
    </row>
    <row r="12495">
      <c r="A12495">
        <f>Input!A12495</f>
        <v/>
      </c>
      <c r="B12495">
        <f>IF(ISNUMBER(Input!B12495),IF(AND(Input!B12495&gt;=20,Input!B12495&lt;=700),Input!B12495,""),"")</f>
        <v/>
      </c>
      <c r="C12495">
        <f>IF(B12495="","",INT(A12495))</f>
        <v/>
      </c>
      <c r="D12495">
        <f>IF(B12495="","",HOUR(A12495))</f>
        <v/>
      </c>
    </row>
    <row r="12496">
      <c r="A12496">
        <f>Input!A12496</f>
        <v/>
      </c>
      <c r="B12496">
        <f>IF(ISNUMBER(Input!B12496),IF(AND(Input!B12496&gt;=20,Input!B12496&lt;=700),Input!B12496,""),"")</f>
        <v/>
      </c>
      <c r="C12496">
        <f>IF(B12496="","",INT(A12496))</f>
        <v/>
      </c>
      <c r="D12496">
        <f>IF(B12496="","",HOUR(A12496))</f>
        <v/>
      </c>
    </row>
    <row r="12497">
      <c r="A12497">
        <f>Input!A12497</f>
        <v/>
      </c>
      <c r="B12497">
        <f>IF(ISNUMBER(Input!B12497),IF(AND(Input!B12497&gt;=20,Input!B12497&lt;=700),Input!B12497,""),"")</f>
        <v/>
      </c>
      <c r="C12497">
        <f>IF(B12497="","",INT(A12497))</f>
        <v/>
      </c>
      <c r="D12497">
        <f>IF(B12497="","",HOUR(A12497))</f>
        <v/>
      </c>
    </row>
    <row r="12498">
      <c r="A12498">
        <f>Input!A12498</f>
        <v/>
      </c>
      <c r="B12498">
        <f>IF(ISNUMBER(Input!B12498),IF(AND(Input!B12498&gt;=20,Input!B12498&lt;=700),Input!B12498,""),"")</f>
        <v/>
      </c>
      <c r="C12498">
        <f>IF(B12498="","",INT(A12498))</f>
        <v/>
      </c>
      <c r="D12498">
        <f>IF(B12498="","",HOUR(A12498))</f>
        <v/>
      </c>
    </row>
    <row r="12499">
      <c r="A12499">
        <f>Input!A12499</f>
        <v/>
      </c>
      <c r="B12499">
        <f>IF(ISNUMBER(Input!B12499),IF(AND(Input!B12499&gt;=20,Input!B12499&lt;=700),Input!B12499,""),"")</f>
        <v/>
      </c>
      <c r="C12499">
        <f>IF(B12499="","",INT(A12499))</f>
        <v/>
      </c>
      <c r="D12499">
        <f>IF(B12499="","",HOUR(A12499))</f>
        <v/>
      </c>
    </row>
    <row r="12500">
      <c r="A12500">
        <f>Input!A12500</f>
        <v/>
      </c>
      <c r="B12500">
        <f>IF(ISNUMBER(Input!B12500),IF(AND(Input!B12500&gt;=20,Input!B12500&lt;=700),Input!B12500,""),"")</f>
        <v/>
      </c>
      <c r="C12500">
        <f>IF(B12500="","",INT(A12500))</f>
        <v/>
      </c>
      <c r="D12500">
        <f>IF(B12500="","",HOUR(A12500))</f>
        <v/>
      </c>
    </row>
    <row r="12501">
      <c r="A12501">
        <f>Input!A12501</f>
        <v/>
      </c>
      <c r="B12501">
        <f>IF(ISNUMBER(Input!B12501),IF(AND(Input!B12501&gt;=20,Input!B12501&lt;=700),Input!B12501,""),"")</f>
        <v/>
      </c>
      <c r="C12501">
        <f>IF(B12501="","",INT(A12501))</f>
        <v/>
      </c>
      <c r="D12501">
        <f>IF(B12501="","",HOUR(A12501))</f>
        <v/>
      </c>
    </row>
    <row r="12502">
      <c r="A12502">
        <f>Input!A12502</f>
        <v/>
      </c>
      <c r="B12502">
        <f>IF(ISNUMBER(Input!B12502),IF(AND(Input!B12502&gt;=20,Input!B12502&lt;=700),Input!B12502,""),"")</f>
        <v/>
      </c>
      <c r="C12502">
        <f>IF(B12502="","",INT(A12502))</f>
        <v/>
      </c>
      <c r="D12502">
        <f>IF(B12502="","",HOUR(A12502))</f>
        <v/>
      </c>
    </row>
    <row r="12503">
      <c r="A12503">
        <f>Input!A12503</f>
        <v/>
      </c>
      <c r="B12503">
        <f>IF(ISNUMBER(Input!B12503),IF(AND(Input!B12503&gt;=20,Input!B12503&lt;=700),Input!B12503,""),"")</f>
        <v/>
      </c>
      <c r="C12503">
        <f>IF(B12503="","",INT(A12503))</f>
        <v/>
      </c>
      <c r="D12503">
        <f>IF(B12503="","",HOUR(A12503))</f>
        <v/>
      </c>
    </row>
    <row r="12504">
      <c r="A12504">
        <f>Input!A12504</f>
        <v/>
      </c>
      <c r="B12504">
        <f>IF(ISNUMBER(Input!B12504),IF(AND(Input!B12504&gt;=20,Input!B12504&lt;=700),Input!B12504,""),"")</f>
        <v/>
      </c>
      <c r="C12504">
        <f>IF(B12504="","",INT(A12504))</f>
        <v/>
      </c>
      <c r="D12504">
        <f>IF(B12504="","",HOUR(A12504))</f>
        <v/>
      </c>
    </row>
    <row r="12505">
      <c r="A12505">
        <f>Input!A12505</f>
        <v/>
      </c>
      <c r="B12505">
        <f>IF(ISNUMBER(Input!B12505),IF(AND(Input!B12505&gt;=20,Input!B12505&lt;=700),Input!B12505,""),"")</f>
        <v/>
      </c>
      <c r="C12505">
        <f>IF(B12505="","",INT(A12505))</f>
        <v/>
      </c>
      <c r="D12505">
        <f>IF(B12505="","",HOUR(A12505))</f>
        <v/>
      </c>
    </row>
    <row r="12506">
      <c r="A12506">
        <f>Input!A12506</f>
        <v/>
      </c>
      <c r="B12506">
        <f>IF(ISNUMBER(Input!B12506),IF(AND(Input!B12506&gt;=20,Input!B12506&lt;=700),Input!B12506,""),"")</f>
        <v/>
      </c>
      <c r="C12506">
        <f>IF(B12506="","",INT(A12506))</f>
        <v/>
      </c>
      <c r="D12506">
        <f>IF(B12506="","",HOUR(A12506))</f>
        <v/>
      </c>
    </row>
    <row r="12507">
      <c r="A12507">
        <f>Input!A12507</f>
        <v/>
      </c>
      <c r="B12507">
        <f>IF(ISNUMBER(Input!B12507),IF(AND(Input!B12507&gt;=20,Input!B12507&lt;=700),Input!B12507,""),"")</f>
        <v/>
      </c>
      <c r="C12507">
        <f>IF(B12507="","",INT(A12507))</f>
        <v/>
      </c>
      <c r="D12507">
        <f>IF(B12507="","",HOUR(A12507))</f>
        <v/>
      </c>
    </row>
    <row r="12508">
      <c r="A12508">
        <f>Input!A12508</f>
        <v/>
      </c>
      <c r="B12508">
        <f>IF(ISNUMBER(Input!B12508),IF(AND(Input!B12508&gt;=20,Input!B12508&lt;=700),Input!B12508,""),"")</f>
        <v/>
      </c>
      <c r="C12508">
        <f>IF(B12508="","",INT(A12508))</f>
        <v/>
      </c>
      <c r="D12508">
        <f>IF(B12508="","",HOUR(A12508))</f>
        <v/>
      </c>
    </row>
    <row r="12509">
      <c r="A12509">
        <f>Input!A12509</f>
        <v/>
      </c>
      <c r="B12509">
        <f>IF(ISNUMBER(Input!B12509),IF(AND(Input!B12509&gt;=20,Input!B12509&lt;=700),Input!B12509,""),"")</f>
        <v/>
      </c>
      <c r="C12509">
        <f>IF(B12509="","",INT(A12509))</f>
        <v/>
      </c>
      <c r="D12509">
        <f>IF(B12509="","",HOUR(A12509))</f>
        <v/>
      </c>
    </row>
    <row r="12510">
      <c r="A12510">
        <f>Input!A12510</f>
        <v/>
      </c>
      <c r="B12510">
        <f>IF(ISNUMBER(Input!B12510),IF(AND(Input!B12510&gt;=20,Input!B12510&lt;=700),Input!B12510,""),"")</f>
        <v/>
      </c>
      <c r="C12510">
        <f>IF(B12510="","",INT(A12510))</f>
        <v/>
      </c>
      <c r="D12510">
        <f>IF(B12510="","",HOUR(A12510))</f>
        <v/>
      </c>
    </row>
    <row r="12511">
      <c r="A12511">
        <f>Input!A12511</f>
        <v/>
      </c>
      <c r="B12511">
        <f>IF(ISNUMBER(Input!B12511),IF(AND(Input!B12511&gt;=20,Input!B12511&lt;=700),Input!B12511,""),"")</f>
        <v/>
      </c>
      <c r="C12511">
        <f>IF(B12511="","",INT(A12511))</f>
        <v/>
      </c>
      <c r="D12511">
        <f>IF(B12511="","",HOUR(A12511))</f>
        <v/>
      </c>
    </row>
    <row r="12512">
      <c r="A12512">
        <f>Input!A12512</f>
        <v/>
      </c>
      <c r="B12512">
        <f>IF(ISNUMBER(Input!B12512),IF(AND(Input!B12512&gt;=20,Input!B12512&lt;=700),Input!B12512,""),"")</f>
        <v/>
      </c>
      <c r="C12512">
        <f>IF(B12512="","",INT(A12512))</f>
        <v/>
      </c>
      <c r="D12512">
        <f>IF(B12512="","",HOUR(A12512))</f>
        <v/>
      </c>
    </row>
    <row r="12513">
      <c r="A12513">
        <f>Input!A12513</f>
        <v/>
      </c>
      <c r="B12513">
        <f>IF(ISNUMBER(Input!B12513),IF(AND(Input!B12513&gt;=20,Input!B12513&lt;=700),Input!B12513,""),"")</f>
        <v/>
      </c>
      <c r="C12513">
        <f>IF(B12513="","",INT(A12513))</f>
        <v/>
      </c>
      <c r="D12513">
        <f>IF(B12513="","",HOUR(A12513))</f>
        <v/>
      </c>
    </row>
    <row r="12514">
      <c r="A12514">
        <f>Input!A12514</f>
        <v/>
      </c>
      <c r="B12514">
        <f>IF(ISNUMBER(Input!B12514),IF(AND(Input!B12514&gt;=20,Input!B12514&lt;=700),Input!B12514,""),"")</f>
        <v/>
      </c>
      <c r="C12514">
        <f>IF(B12514="","",INT(A12514))</f>
        <v/>
      </c>
      <c r="D12514">
        <f>IF(B12514="","",HOUR(A12514))</f>
        <v/>
      </c>
    </row>
    <row r="12515">
      <c r="A12515">
        <f>Input!A12515</f>
        <v/>
      </c>
      <c r="B12515">
        <f>IF(ISNUMBER(Input!B12515),IF(AND(Input!B12515&gt;=20,Input!B12515&lt;=700),Input!B12515,""),"")</f>
        <v/>
      </c>
      <c r="C12515">
        <f>IF(B12515="","",INT(A12515))</f>
        <v/>
      </c>
      <c r="D12515">
        <f>IF(B12515="","",HOUR(A12515))</f>
        <v/>
      </c>
    </row>
    <row r="12516">
      <c r="A12516">
        <f>Input!A12516</f>
        <v/>
      </c>
      <c r="B12516">
        <f>IF(ISNUMBER(Input!B12516),IF(AND(Input!B12516&gt;=20,Input!B12516&lt;=700),Input!B12516,""),"")</f>
        <v/>
      </c>
      <c r="C12516">
        <f>IF(B12516="","",INT(A12516))</f>
        <v/>
      </c>
      <c r="D12516">
        <f>IF(B12516="","",HOUR(A12516))</f>
        <v/>
      </c>
    </row>
    <row r="12517">
      <c r="A12517">
        <f>Input!A12517</f>
        <v/>
      </c>
      <c r="B12517">
        <f>IF(ISNUMBER(Input!B12517),IF(AND(Input!B12517&gt;=20,Input!B12517&lt;=700),Input!B12517,""),"")</f>
        <v/>
      </c>
      <c r="C12517">
        <f>IF(B12517="","",INT(A12517))</f>
        <v/>
      </c>
      <c r="D12517">
        <f>IF(B12517="","",HOUR(A12517))</f>
        <v/>
      </c>
    </row>
    <row r="12518">
      <c r="A12518">
        <f>Input!A12518</f>
        <v/>
      </c>
      <c r="B12518">
        <f>IF(ISNUMBER(Input!B12518),IF(AND(Input!B12518&gt;=20,Input!B12518&lt;=700),Input!B12518,""),"")</f>
        <v/>
      </c>
      <c r="C12518">
        <f>IF(B12518="","",INT(A12518))</f>
        <v/>
      </c>
      <c r="D12518">
        <f>IF(B12518="","",HOUR(A12518))</f>
        <v/>
      </c>
    </row>
    <row r="12519">
      <c r="A12519">
        <f>Input!A12519</f>
        <v/>
      </c>
      <c r="B12519">
        <f>IF(ISNUMBER(Input!B12519),IF(AND(Input!B12519&gt;=20,Input!B12519&lt;=700),Input!B12519,""),"")</f>
        <v/>
      </c>
      <c r="C12519">
        <f>IF(B12519="","",INT(A12519))</f>
        <v/>
      </c>
      <c r="D12519">
        <f>IF(B12519="","",HOUR(A12519))</f>
        <v/>
      </c>
    </row>
    <row r="12520">
      <c r="A12520">
        <f>Input!A12520</f>
        <v/>
      </c>
      <c r="B12520">
        <f>IF(ISNUMBER(Input!B12520),IF(AND(Input!B12520&gt;=20,Input!B12520&lt;=700),Input!B12520,""),"")</f>
        <v/>
      </c>
      <c r="C12520">
        <f>IF(B12520="","",INT(A12520))</f>
        <v/>
      </c>
      <c r="D12520">
        <f>IF(B12520="","",HOUR(A12520))</f>
        <v/>
      </c>
    </row>
    <row r="12521">
      <c r="A12521">
        <f>Input!A12521</f>
        <v/>
      </c>
      <c r="B12521">
        <f>IF(ISNUMBER(Input!B12521),IF(AND(Input!B12521&gt;=20,Input!B12521&lt;=700),Input!B12521,""),"")</f>
        <v/>
      </c>
      <c r="C12521">
        <f>IF(B12521="","",INT(A12521))</f>
        <v/>
      </c>
      <c r="D12521">
        <f>IF(B12521="","",HOUR(A12521))</f>
        <v/>
      </c>
    </row>
    <row r="12522">
      <c r="A12522">
        <f>Input!A12522</f>
        <v/>
      </c>
      <c r="B12522">
        <f>IF(ISNUMBER(Input!B12522),IF(AND(Input!B12522&gt;=20,Input!B12522&lt;=700),Input!B12522,""),"")</f>
        <v/>
      </c>
      <c r="C12522">
        <f>IF(B12522="","",INT(A12522))</f>
        <v/>
      </c>
      <c r="D12522">
        <f>IF(B12522="","",HOUR(A12522))</f>
        <v/>
      </c>
    </row>
    <row r="12523">
      <c r="A12523">
        <f>Input!A12523</f>
        <v/>
      </c>
      <c r="B12523">
        <f>IF(ISNUMBER(Input!B12523),IF(AND(Input!B12523&gt;=20,Input!B12523&lt;=700),Input!B12523,""),"")</f>
        <v/>
      </c>
      <c r="C12523">
        <f>IF(B12523="","",INT(A12523))</f>
        <v/>
      </c>
      <c r="D12523">
        <f>IF(B12523="","",HOUR(A12523))</f>
        <v/>
      </c>
    </row>
    <row r="12524">
      <c r="A12524">
        <f>Input!A12524</f>
        <v/>
      </c>
      <c r="B12524">
        <f>IF(ISNUMBER(Input!B12524),IF(AND(Input!B12524&gt;=20,Input!B12524&lt;=700),Input!B12524,""),"")</f>
        <v/>
      </c>
      <c r="C12524">
        <f>IF(B12524="","",INT(A12524))</f>
        <v/>
      </c>
      <c r="D12524">
        <f>IF(B12524="","",HOUR(A12524))</f>
        <v/>
      </c>
    </row>
    <row r="12525">
      <c r="A12525">
        <f>Input!A12525</f>
        <v/>
      </c>
      <c r="B12525">
        <f>IF(ISNUMBER(Input!B12525),IF(AND(Input!B12525&gt;=20,Input!B12525&lt;=700),Input!B12525,""),"")</f>
        <v/>
      </c>
      <c r="C12525">
        <f>IF(B12525="","",INT(A12525))</f>
        <v/>
      </c>
      <c r="D12525">
        <f>IF(B12525="","",HOUR(A12525))</f>
        <v/>
      </c>
    </row>
    <row r="12526">
      <c r="A12526">
        <f>Input!A12526</f>
        <v/>
      </c>
      <c r="B12526">
        <f>IF(ISNUMBER(Input!B12526),IF(AND(Input!B12526&gt;=20,Input!B12526&lt;=700),Input!B12526,""),"")</f>
        <v/>
      </c>
      <c r="C12526">
        <f>IF(B12526="","",INT(A12526))</f>
        <v/>
      </c>
      <c r="D12526">
        <f>IF(B12526="","",HOUR(A12526))</f>
        <v/>
      </c>
    </row>
    <row r="12527">
      <c r="A12527">
        <f>Input!A12527</f>
        <v/>
      </c>
      <c r="B12527">
        <f>IF(ISNUMBER(Input!B12527),IF(AND(Input!B12527&gt;=20,Input!B12527&lt;=700),Input!B12527,""),"")</f>
        <v/>
      </c>
      <c r="C12527">
        <f>IF(B12527="","",INT(A12527))</f>
        <v/>
      </c>
      <c r="D12527">
        <f>IF(B12527="","",HOUR(A12527))</f>
        <v/>
      </c>
    </row>
    <row r="12528">
      <c r="A12528">
        <f>Input!A12528</f>
        <v/>
      </c>
      <c r="B12528">
        <f>IF(ISNUMBER(Input!B12528),IF(AND(Input!B12528&gt;=20,Input!B12528&lt;=700),Input!B12528,""),"")</f>
        <v/>
      </c>
      <c r="C12528">
        <f>IF(B12528="","",INT(A12528))</f>
        <v/>
      </c>
      <c r="D12528">
        <f>IF(B12528="","",HOUR(A12528))</f>
        <v/>
      </c>
    </row>
    <row r="12529">
      <c r="A12529">
        <f>Input!A12529</f>
        <v/>
      </c>
      <c r="B12529">
        <f>IF(ISNUMBER(Input!B12529),IF(AND(Input!B12529&gt;=20,Input!B12529&lt;=700),Input!B12529,""),"")</f>
        <v/>
      </c>
      <c r="C12529">
        <f>IF(B12529="","",INT(A12529))</f>
        <v/>
      </c>
      <c r="D12529">
        <f>IF(B12529="","",HOUR(A12529))</f>
        <v/>
      </c>
    </row>
    <row r="12530">
      <c r="A12530">
        <f>Input!A12530</f>
        <v/>
      </c>
      <c r="B12530">
        <f>IF(ISNUMBER(Input!B12530),IF(AND(Input!B12530&gt;=20,Input!B12530&lt;=700),Input!B12530,""),"")</f>
        <v/>
      </c>
      <c r="C12530">
        <f>IF(B12530="","",INT(A12530))</f>
        <v/>
      </c>
      <c r="D12530">
        <f>IF(B12530="","",HOUR(A12530))</f>
        <v/>
      </c>
    </row>
    <row r="12531">
      <c r="A12531">
        <f>Input!A12531</f>
        <v/>
      </c>
      <c r="B12531">
        <f>IF(ISNUMBER(Input!B12531),IF(AND(Input!B12531&gt;=20,Input!B12531&lt;=700),Input!B12531,""),"")</f>
        <v/>
      </c>
      <c r="C12531">
        <f>IF(B12531="","",INT(A12531))</f>
        <v/>
      </c>
      <c r="D12531">
        <f>IF(B12531="","",HOUR(A12531))</f>
        <v/>
      </c>
    </row>
    <row r="12532">
      <c r="A12532">
        <f>Input!A12532</f>
        <v/>
      </c>
      <c r="B12532">
        <f>IF(ISNUMBER(Input!B12532),IF(AND(Input!B12532&gt;=20,Input!B12532&lt;=700),Input!B12532,""),"")</f>
        <v/>
      </c>
      <c r="C12532">
        <f>IF(B12532="","",INT(A12532))</f>
        <v/>
      </c>
      <c r="D12532">
        <f>IF(B12532="","",HOUR(A12532))</f>
        <v/>
      </c>
    </row>
    <row r="12533">
      <c r="A12533">
        <f>Input!A12533</f>
        <v/>
      </c>
      <c r="B12533">
        <f>IF(ISNUMBER(Input!B12533),IF(AND(Input!B12533&gt;=20,Input!B12533&lt;=700),Input!B12533,""),"")</f>
        <v/>
      </c>
      <c r="C12533">
        <f>IF(B12533="","",INT(A12533))</f>
        <v/>
      </c>
      <c r="D12533">
        <f>IF(B12533="","",HOUR(A12533))</f>
        <v/>
      </c>
    </row>
    <row r="12534">
      <c r="A12534">
        <f>Input!A12534</f>
        <v/>
      </c>
      <c r="B12534">
        <f>IF(ISNUMBER(Input!B12534),IF(AND(Input!B12534&gt;=20,Input!B12534&lt;=700),Input!B12534,""),"")</f>
        <v/>
      </c>
      <c r="C12534">
        <f>IF(B12534="","",INT(A12534))</f>
        <v/>
      </c>
      <c r="D12534">
        <f>IF(B12534="","",HOUR(A12534))</f>
        <v/>
      </c>
    </row>
    <row r="12535">
      <c r="A12535">
        <f>Input!A12535</f>
        <v/>
      </c>
      <c r="B12535">
        <f>IF(ISNUMBER(Input!B12535),IF(AND(Input!B12535&gt;=20,Input!B12535&lt;=700),Input!B12535,""),"")</f>
        <v/>
      </c>
      <c r="C12535">
        <f>IF(B12535="","",INT(A12535))</f>
        <v/>
      </c>
      <c r="D12535">
        <f>IF(B12535="","",HOUR(A12535))</f>
        <v/>
      </c>
    </row>
    <row r="12536">
      <c r="A12536">
        <f>Input!A12536</f>
        <v/>
      </c>
      <c r="B12536">
        <f>IF(ISNUMBER(Input!B12536),IF(AND(Input!B12536&gt;=20,Input!B12536&lt;=700),Input!B12536,""),"")</f>
        <v/>
      </c>
      <c r="C12536">
        <f>IF(B12536="","",INT(A12536))</f>
        <v/>
      </c>
      <c r="D12536">
        <f>IF(B12536="","",HOUR(A12536))</f>
        <v/>
      </c>
    </row>
    <row r="12537">
      <c r="A12537">
        <f>Input!A12537</f>
        <v/>
      </c>
      <c r="B12537">
        <f>IF(ISNUMBER(Input!B12537),IF(AND(Input!B12537&gt;=20,Input!B12537&lt;=700),Input!B12537,""),"")</f>
        <v/>
      </c>
      <c r="C12537">
        <f>IF(B12537="","",INT(A12537))</f>
        <v/>
      </c>
      <c r="D12537">
        <f>IF(B12537="","",HOUR(A12537))</f>
        <v/>
      </c>
    </row>
    <row r="12538">
      <c r="A12538">
        <f>Input!A12538</f>
        <v/>
      </c>
      <c r="B12538">
        <f>IF(ISNUMBER(Input!B12538),IF(AND(Input!B12538&gt;=20,Input!B12538&lt;=700),Input!B12538,""),"")</f>
        <v/>
      </c>
      <c r="C12538">
        <f>IF(B12538="","",INT(A12538))</f>
        <v/>
      </c>
      <c r="D12538">
        <f>IF(B12538="","",HOUR(A12538))</f>
        <v/>
      </c>
    </row>
    <row r="12539">
      <c r="A12539">
        <f>Input!A12539</f>
        <v/>
      </c>
      <c r="B12539">
        <f>IF(ISNUMBER(Input!B12539),IF(AND(Input!B12539&gt;=20,Input!B12539&lt;=700),Input!B12539,""),"")</f>
        <v/>
      </c>
      <c r="C12539">
        <f>IF(B12539="","",INT(A12539))</f>
        <v/>
      </c>
      <c r="D12539">
        <f>IF(B12539="","",HOUR(A12539))</f>
        <v/>
      </c>
    </row>
    <row r="12540">
      <c r="A12540">
        <f>Input!A12540</f>
        <v/>
      </c>
      <c r="B12540">
        <f>IF(ISNUMBER(Input!B12540),IF(AND(Input!B12540&gt;=20,Input!B12540&lt;=700),Input!B12540,""),"")</f>
        <v/>
      </c>
      <c r="C12540">
        <f>IF(B12540="","",INT(A12540))</f>
        <v/>
      </c>
      <c r="D12540">
        <f>IF(B12540="","",HOUR(A12540))</f>
        <v/>
      </c>
    </row>
    <row r="12541">
      <c r="A12541">
        <f>Input!A12541</f>
        <v/>
      </c>
      <c r="B12541">
        <f>IF(ISNUMBER(Input!B12541),IF(AND(Input!B12541&gt;=20,Input!B12541&lt;=700),Input!B12541,""),"")</f>
        <v/>
      </c>
      <c r="C12541">
        <f>IF(B12541="","",INT(A12541))</f>
        <v/>
      </c>
      <c r="D12541">
        <f>IF(B12541="","",HOUR(A12541))</f>
        <v/>
      </c>
    </row>
    <row r="12542">
      <c r="A12542">
        <f>Input!A12542</f>
        <v/>
      </c>
      <c r="B12542">
        <f>IF(ISNUMBER(Input!B12542),IF(AND(Input!B12542&gt;=20,Input!B12542&lt;=700),Input!B12542,""),"")</f>
        <v/>
      </c>
      <c r="C12542">
        <f>IF(B12542="","",INT(A12542))</f>
        <v/>
      </c>
      <c r="D12542">
        <f>IF(B12542="","",HOUR(A12542))</f>
        <v/>
      </c>
    </row>
    <row r="12543">
      <c r="A12543">
        <f>Input!A12543</f>
        <v/>
      </c>
      <c r="B12543">
        <f>IF(ISNUMBER(Input!B12543),IF(AND(Input!B12543&gt;=20,Input!B12543&lt;=700),Input!B12543,""),"")</f>
        <v/>
      </c>
      <c r="C12543">
        <f>IF(B12543="","",INT(A12543))</f>
        <v/>
      </c>
      <c r="D12543">
        <f>IF(B12543="","",HOUR(A12543))</f>
        <v/>
      </c>
    </row>
    <row r="12544">
      <c r="A12544">
        <f>Input!A12544</f>
        <v/>
      </c>
      <c r="B12544">
        <f>IF(ISNUMBER(Input!B12544),IF(AND(Input!B12544&gt;=20,Input!B12544&lt;=700),Input!B12544,""),"")</f>
        <v/>
      </c>
      <c r="C12544">
        <f>IF(B12544="","",INT(A12544))</f>
        <v/>
      </c>
      <c r="D12544">
        <f>IF(B12544="","",HOUR(A12544))</f>
        <v/>
      </c>
    </row>
    <row r="12545">
      <c r="A12545">
        <f>Input!A12545</f>
        <v/>
      </c>
      <c r="B12545">
        <f>IF(ISNUMBER(Input!B12545),IF(AND(Input!B12545&gt;=20,Input!B12545&lt;=700),Input!B12545,""),"")</f>
        <v/>
      </c>
      <c r="C12545">
        <f>IF(B12545="","",INT(A12545))</f>
        <v/>
      </c>
      <c r="D12545">
        <f>IF(B12545="","",HOUR(A12545))</f>
        <v/>
      </c>
    </row>
    <row r="12546">
      <c r="A12546">
        <f>Input!A12546</f>
        <v/>
      </c>
      <c r="B12546">
        <f>IF(ISNUMBER(Input!B12546),IF(AND(Input!B12546&gt;=20,Input!B12546&lt;=700),Input!B12546,""),"")</f>
        <v/>
      </c>
      <c r="C12546">
        <f>IF(B12546="","",INT(A12546))</f>
        <v/>
      </c>
      <c r="D12546">
        <f>IF(B12546="","",HOUR(A12546))</f>
        <v/>
      </c>
    </row>
    <row r="12547">
      <c r="A12547">
        <f>Input!A12547</f>
        <v/>
      </c>
      <c r="B12547">
        <f>IF(ISNUMBER(Input!B12547),IF(AND(Input!B12547&gt;=20,Input!B12547&lt;=700),Input!B12547,""),"")</f>
        <v/>
      </c>
      <c r="C12547">
        <f>IF(B12547="","",INT(A12547))</f>
        <v/>
      </c>
      <c r="D12547">
        <f>IF(B12547="","",HOUR(A12547))</f>
        <v/>
      </c>
    </row>
    <row r="12548">
      <c r="A12548">
        <f>Input!A12548</f>
        <v/>
      </c>
      <c r="B12548">
        <f>IF(ISNUMBER(Input!B12548),IF(AND(Input!B12548&gt;=20,Input!B12548&lt;=700),Input!B12548,""),"")</f>
        <v/>
      </c>
      <c r="C12548">
        <f>IF(B12548="","",INT(A12548))</f>
        <v/>
      </c>
      <c r="D12548">
        <f>IF(B12548="","",HOUR(A12548))</f>
        <v/>
      </c>
    </row>
    <row r="12549">
      <c r="A12549">
        <f>Input!A12549</f>
        <v/>
      </c>
      <c r="B12549">
        <f>IF(ISNUMBER(Input!B12549),IF(AND(Input!B12549&gt;=20,Input!B12549&lt;=700),Input!B12549,""),"")</f>
        <v/>
      </c>
      <c r="C12549">
        <f>IF(B12549="","",INT(A12549))</f>
        <v/>
      </c>
      <c r="D12549">
        <f>IF(B12549="","",HOUR(A12549))</f>
        <v/>
      </c>
    </row>
    <row r="12550">
      <c r="A12550">
        <f>Input!A12550</f>
        <v/>
      </c>
      <c r="B12550">
        <f>IF(ISNUMBER(Input!B12550),IF(AND(Input!B12550&gt;=20,Input!B12550&lt;=700),Input!B12550,""),"")</f>
        <v/>
      </c>
      <c r="C12550">
        <f>IF(B12550="","",INT(A12550))</f>
        <v/>
      </c>
      <c r="D12550">
        <f>IF(B12550="","",HOUR(A12550))</f>
        <v/>
      </c>
    </row>
    <row r="12551">
      <c r="A12551">
        <f>Input!A12551</f>
        <v/>
      </c>
      <c r="B12551">
        <f>IF(ISNUMBER(Input!B12551),IF(AND(Input!B12551&gt;=20,Input!B12551&lt;=700),Input!B12551,""),"")</f>
        <v/>
      </c>
      <c r="C12551">
        <f>IF(B12551="","",INT(A12551))</f>
        <v/>
      </c>
      <c r="D12551">
        <f>IF(B12551="","",HOUR(A12551))</f>
        <v/>
      </c>
    </row>
    <row r="12552">
      <c r="A12552">
        <f>Input!A12552</f>
        <v/>
      </c>
      <c r="B12552">
        <f>IF(ISNUMBER(Input!B12552),IF(AND(Input!B12552&gt;=20,Input!B12552&lt;=700),Input!B12552,""),"")</f>
        <v/>
      </c>
      <c r="C12552">
        <f>IF(B12552="","",INT(A12552))</f>
        <v/>
      </c>
      <c r="D12552">
        <f>IF(B12552="","",HOUR(A12552))</f>
        <v/>
      </c>
    </row>
    <row r="12553">
      <c r="A12553">
        <f>Input!A12553</f>
        <v/>
      </c>
      <c r="B12553">
        <f>IF(ISNUMBER(Input!B12553),IF(AND(Input!B12553&gt;=20,Input!B12553&lt;=700),Input!B12553,""),"")</f>
        <v/>
      </c>
      <c r="C12553">
        <f>IF(B12553="","",INT(A12553))</f>
        <v/>
      </c>
      <c r="D12553">
        <f>IF(B12553="","",HOUR(A12553))</f>
        <v/>
      </c>
    </row>
    <row r="12554">
      <c r="A12554">
        <f>Input!A12554</f>
        <v/>
      </c>
      <c r="B12554">
        <f>IF(ISNUMBER(Input!B12554),IF(AND(Input!B12554&gt;=20,Input!B12554&lt;=700),Input!B12554,""),"")</f>
        <v/>
      </c>
      <c r="C12554">
        <f>IF(B12554="","",INT(A12554))</f>
        <v/>
      </c>
      <c r="D12554">
        <f>IF(B12554="","",HOUR(A12554))</f>
        <v/>
      </c>
    </row>
    <row r="12555">
      <c r="A12555">
        <f>Input!A12555</f>
        <v/>
      </c>
      <c r="B12555">
        <f>IF(ISNUMBER(Input!B12555),IF(AND(Input!B12555&gt;=20,Input!B12555&lt;=700),Input!B12555,""),"")</f>
        <v/>
      </c>
      <c r="C12555">
        <f>IF(B12555="","",INT(A12555))</f>
        <v/>
      </c>
      <c r="D12555">
        <f>IF(B12555="","",HOUR(A12555))</f>
        <v/>
      </c>
    </row>
    <row r="12556">
      <c r="A12556">
        <f>Input!A12556</f>
        <v/>
      </c>
      <c r="B12556">
        <f>IF(ISNUMBER(Input!B12556),IF(AND(Input!B12556&gt;=20,Input!B12556&lt;=700),Input!B12556,""),"")</f>
        <v/>
      </c>
      <c r="C12556">
        <f>IF(B12556="","",INT(A12556))</f>
        <v/>
      </c>
      <c r="D12556">
        <f>IF(B12556="","",HOUR(A12556))</f>
        <v/>
      </c>
    </row>
    <row r="12557">
      <c r="A12557">
        <f>Input!A12557</f>
        <v/>
      </c>
      <c r="B12557">
        <f>IF(ISNUMBER(Input!B12557),IF(AND(Input!B12557&gt;=20,Input!B12557&lt;=700),Input!B12557,""),"")</f>
        <v/>
      </c>
      <c r="C12557">
        <f>IF(B12557="","",INT(A12557))</f>
        <v/>
      </c>
      <c r="D12557">
        <f>IF(B12557="","",HOUR(A12557))</f>
        <v/>
      </c>
    </row>
    <row r="12558">
      <c r="A12558">
        <f>Input!A12558</f>
        <v/>
      </c>
      <c r="B12558">
        <f>IF(ISNUMBER(Input!B12558),IF(AND(Input!B12558&gt;=20,Input!B12558&lt;=700),Input!B12558,""),"")</f>
        <v/>
      </c>
      <c r="C12558">
        <f>IF(B12558="","",INT(A12558))</f>
        <v/>
      </c>
      <c r="D12558">
        <f>IF(B12558="","",HOUR(A12558))</f>
        <v/>
      </c>
    </row>
    <row r="12559">
      <c r="A12559">
        <f>Input!A12559</f>
        <v/>
      </c>
      <c r="B12559">
        <f>IF(ISNUMBER(Input!B12559),IF(AND(Input!B12559&gt;=20,Input!B12559&lt;=700),Input!B12559,""),"")</f>
        <v/>
      </c>
      <c r="C12559">
        <f>IF(B12559="","",INT(A12559))</f>
        <v/>
      </c>
      <c r="D12559">
        <f>IF(B12559="","",HOUR(A12559))</f>
        <v/>
      </c>
    </row>
    <row r="12560">
      <c r="A12560">
        <f>Input!A12560</f>
        <v/>
      </c>
      <c r="B12560">
        <f>IF(ISNUMBER(Input!B12560),IF(AND(Input!B12560&gt;=20,Input!B12560&lt;=700),Input!B12560,""),"")</f>
        <v/>
      </c>
      <c r="C12560">
        <f>IF(B12560="","",INT(A12560))</f>
        <v/>
      </c>
      <c r="D12560">
        <f>IF(B12560="","",HOUR(A12560))</f>
        <v/>
      </c>
    </row>
    <row r="12561">
      <c r="A12561">
        <f>Input!A12561</f>
        <v/>
      </c>
      <c r="B12561">
        <f>IF(ISNUMBER(Input!B12561),IF(AND(Input!B12561&gt;=20,Input!B12561&lt;=700),Input!B12561,""),"")</f>
        <v/>
      </c>
      <c r="C12561">
        <f>IF(B12561="","",INT(A12561))</f>
        <v/>
      </c>
      <c r="D12561">
        <f>IF(B12561="","",HOUR(A12561))</f>
        <v/>
      </c>
    </row>
    <row r="12562">
      <c r="A12562">
        <f>Input!A12562</f>
        <v/>
      </c>
      <c r="B12562">
        <f>IF(ISNUMBER(Input!B12562),IF(AND(Input!B12562&gt;=20,Input!B12562&lt;=700),Input!B12562,""),"")</f>
        <v/>
      </c>
      <c r="C12562">
        <f>IF(B12562="","",INT(A12562))</f>
        <v/>
      </c>
      <c r="D12562">
        <f>IF(B12562="","",HOUR(A12562))</f>
        <v/>
      </c>
    </row>
    <row r="12563">
      <c r="A12563">
        <f>Input!A12563</f>
        <v/>
      </c>
      <c r="B12563">
        <f>IF(ISNUMBER(Input!B12563),IF(AND(Input!B12563&gt;=20,Input!B12563&lt;=700),Input!B12563,""),"")</f>
        <v/>
      </c>
      <c r="C12563">
        <f>IF(B12563="","",INT(A12563))</f>
        <v/>
      </c>
      <c r="D12563">
        <f>IF(B12563="","",HOUR(A12563))</f>
        <v/>
      </c>
    </row>
    <row r="12564">
      <c r="A12564">
        <f>Input!A12564</f>
        <v/>
      </c>
      <c r="B12564">
        <f>IF(ISNUMBER(Input!B12564),IF(AND(Input!B12564&gt;=20,Input!B12564&lt;=700),Input!B12564,""),"")</f>
        <v/>
      </c>
      <c r="C12564">
        <f>IF(B12564="","",INT(A12564))</f>
        <v/>
      </c>
      <c r="D12564">
        <f>IF(B12564="","",HOUR(A12564))</f>
        <v/>
      </c>
    </row>
    <row r="12565">
      <c r="A12565">
        <f>Input!A12565</f>
        <v/>
      </c>
      <c r="B12565">
        <f>IF(ISNUMBER(Input!B12565),IF(AND(Input!B12565&gt;=20,Input!B12565&lt;=700),Input!B12565,""),"")</f>
        <v/>
      </c>
      <c r="C12565">
        <f>IF(B12565="","",INT(A12565))</f>
        <v/>
      </c>
      <c r="D12565">
        <f>IF(B12565="","",HOUR(A12565))</f>
        <v/>
      </c>
    </row>
    <row r="12566">
      <c r="A12566">
        <f>Input!A12566</f>
        <v/>
      </c>
      <c r="B12566">
        <f>IF(ISNUMBER(Input!B12566),IF(AND(Input!B12566&gt;=20,Input!B12566&lt;=700),Input!B12566,""),"")</f>
        <v/>
      </c>
      <c r="C12566">
        <f>IF(B12566="","",INT(A12566))</f>
        <v/>
      </c>
      <c r="D12566">
        <f>IF(B12566="","",HOUR(A12566))</f>
        <v/>
      </c>
    </row>
    <row r="12567">
      <c r="A12567">
        <f>Input!A12567</f>
        <v/>
      </c>
      <c r="B12567">
        <f>IF(ISNUMBER(Input!B12567),IF(AND(Input!B12567&gt;=20,Input!B12567&lt;=700),Input!B12567,""),"")</f>
        <v/>
      </c>
      <c r="C12567">
        <f>IF(B12567="","",INT(A12567))</f>
        <v/>
      </c>
      <c r="D12567">
        <f>IF(B12567="","",HOUR(A12567))</f>
        <v/>
      </c>
    </row>
    <row r="12568">
      <c r="A12568">
        <f>Input!A12568</f>
        <v/>
      </c>
      <c r="B12568">
        <f>IF(ISNUMBER(Input!B12568),IF(AND(Input!B12568&gt;=20,Input!B12568&lt;=700),Input!B12568,""),"")</f>
        <v/>
      </c>
      <c r="C12568">
        <f>IF(B12568="","",INT(A12568))</f>
        <v/>
      </c>
      <c r="D12568">
        <f>IF(B12568="","",HOUR(A12568))</f>
        <v/>
      </c>
    </row>
    <row r="12569">
      <c r="A12569">
        <f>Input!A12569</f>
        <v/>
      </c>
      <c r="B12569">
        <f>IF(ISNUMBER(Input!B12569),IF(AND(Input!B12569&gt;=20,Input!B12569&lt;=700),Input!B12569,""),"")</f>
        <v/>
      </c>
      <c r="C12569">
        <f>IF(B12569="","",INT(A12569))</f>
        <v/>
      </c>
      <c r="D12569">
        <f>IF(B12569="","",HOUR(A12569))</f>
        <v/>
      </c>
    </row>
    <row r="12570">
      <c r="A12570">
        <f>Input!A12570</f>
        <v/>
      </c>
      <c r="B12570">
        <f>IF(ISNUMBER(Input!B12570),IF(AND(Input!B12570&gt;=20,Input!B12570&lt;=700),Input!B12570,""),"")</f>
        <v/>
      </c>
      <c r="C12570">
        <f>IF(B12570="","",INT(A12570))</f>
        <v/>
      </c>
      <c r="D12570">
        <f>IF(B12570="","",HOUR(A12570))</f>
        <v/>
      </c>
    </row>
    <row r="12571">
      <c r="A12571">
        <f>Input!A12571</f>
        <v/>
      </c>
      <c r="B12571">
        <f>IF(ISNUMBER(Input!B12571),IF(AND(Input!B12571&gt;=20,Input!B12571&lt;=700),Input!B12571,""),"")</f>
        <v/>
      </c>
      <c r="C12571">
        <f>IF(B12571="","",INT(A12571))</f>
        <v/>
      </c>
      <c r="D12571">
        <f>IF(B12571="","",HOUR(A12571))</f>
        <v/>
      </c>
    </row>
    <row r="12572">
      <c r="A12572">
        <f>Input!A12572</f>
        <v/>
      </c>
      <c r="B12572">
        <f>IF(ISNUMBER(Input!B12572),IF(AND(Input!B12572&gt;=20,Input!B12572&lt;=700),Input!B12572,""),"")</f>
        <v/>
      </c>
      <c r="C12572">
        <f>IF(B12572="","",INT(A12572))</f>
        <v/>
      </c>
      <c r="D12572">
        <f>IF(B12572="","",HOUR(A12572))</f>
        <v/>
      </c>
    </row>
    <row r="12573">
      <c r="A12573">
        <f>Input!A12573</f>
        <v/>
      </c>
      <c r="B12573">
        <f>IF(ISNUMBER(Input!B12573),IF(AND(Input!B12573&gt;=20,Input!B12573&lt;=700),Input!B12573,""),"")</f>
        <v/>
      </c>
      <c r="C12573">
        <f>IF(B12573="","",INT(A12573))</f>
        <v/>
      </c>
      <c r="D12573">
        <f>IF(B12573="","",HOUR(A12573))</f>
        <v/>
      </c>
    </row>
    <row r="12574">
      <c r="A12574">
        <f>Input!A12574</f>
        <v/>
      </c>
      <c r="B12574">
        <f>IF(ISNUMBER(Input!B12574),IF(AND(Input!B12574&gt;=20,Input!B12574&lt;=700),Input!B12574,""),"")</f>
        <v/>
      </c>
      <c r="C12574">
        <f>IF(B12574="","",INT(A12574))</f>
        <v/>
      </c>
      <c r="D12574">
        <f>IF(B12574="","",HOUR(A12574))</f>
        <v/>
      </c>
    </row>
    <row r="12575">
      <c r="A12575">
        <f>Input!A12575</f>
        <v/>
      </c>
      <c r="B12575">
        <f>IF(ISNUMBER(Input!B12575),IF(AND(Input!B12575&gt;=20,Input!B12575&lt;=700),Input!B12575,""),"")</f>
        <v/>
      </c>
      <c r="C12575">
        <f>IF(B12575="","",INT(A12575))</f>
        <v/>
      </c>
      <c r="D12575">
        <f>IF(B12575="","",HOUR(A12575))</f>
        <v/>
      </c>
    </row>
    <row r="12576">
      <c r="A12576">
        <f>Input!A12576</f>
        <v/>
      </c>
      <c r="B12576">
        <f>IF(ISNUMBER(Input!B12576),IF(AND(Input!B12576&gt;=20,Input!B12576&lt;=700),Input!B12576,""),"")</f>
        <v/>
      </c>
      <c r="C12576">
        <f>IF(B12576="","",INT(A12576))</f>
        <v/>
      </c>
      <c r="D12576">
        <f>IF(B12576="","",HOUR(A12576))</f>
        <v/>
      </c>
    </row>
    <row r="12577">
      <c r="A12577">
        <f>Input!A12577</f>
        <v/>
      </c>
      <c r="B12577">
        <f>IF(ISNUMBER(Input!B12577),IF(AND(Input!B12577&gt;=20,Input!B12577&lt;=700),Input!B12577,""),"")</f>
        <v/>
      </c>
      <c r="C12577">
        <f>IF(B12577="","",INT(A12577))</f>
        <v/>
      </c>
      <c r="D12577">
        <f>IF(B12577="","",HOUR(A12577))</f>
        <v/>
      </c>
    </row>
    <row r="12578">
      <c r="A12578">
        <f>Input!A12578</f>
        <v/>
      </c>
      <c r="B12578">
        <f>IF(ISNUMBER(Input!B12578),IF(AND(Input!B12578&gt;=20,Input!B12578&lt;=700),Input!B12578,""),"")</f>
        <v/>
      </c>
      <c r="C12578">
        <f>IF(B12578="","",INT(A12578))</f>
        <v/>
      </c>
      <c r="D12578">
        <f>IF(B12578="","",HOUR(A12578))</f>
        <v/>
      </c>
    </row>
    <row r="12579">
      <c r="A12579">
        <f>Input!A12579</f>
        <v/>
      </c>
      <c r="B12579">
        <f>IF(ISNUMBER(Input!B12579),IF(AND(Input!B12579&gt;=20,Input!B12579&lt;=700),Input!B12579,""),"")</f>
        <v/>
      </c>
      <c r="C12579">
        <f>IF(B12579="","",INT(A12579))</f>
        <v/>
      </c>
      <c r="D12579">
        <f>IF(B12579="","",HOUR(A12579))</f>
        <v/>
      </c>
    </row>
    <row r="12580">
      <c r="A12580">
        <f>Input!A12580</f>
        <v/>
      </c>
      <c r="B12580">
        <f>IF(ISNUMBER(Input!B12580),IF(AND(Input!B12580&gt;=20,Input!B12580&lt;=700),Input!B12580,""),"")</f>
        <v/>
      </c>
      <c r="C12580">
        <f>IF(B12580="","",INT(A12580))</f>
        <v/>
      </c>
      <c r="D12580">
        <f>IF(B12580="","",HOUR(A12580))</f>
        <v/>
      </c>
    </row>
    <row r="12581">
      <c r="A12581">
        <f>Input!A12581</f>
        <v/>
      </c>
      <c r="B12581">
        <f>IF(ISNUMBER(Input!B12581),IF(AND(Input!B12581&gt;=20,Input!B12581&lt;=700),Input!B12581,""),"")</f>
        <v/>
      </c>
      <c r="C12581">
        <f>IF(B12581="","",INT(A12581))</f>
        <v/>
      </c>
      <c r="D12581">
        <f>IF(B12581="","",HOUR(A12581))</f>
        <v/>
      </c>
    </row>
    <row r="12582">
      <c r="A12582">
        <f>Input!A12582</f>
        <v/>
      </c>
      <c r="B12582">
        <f>IF(ISNUMBER(Input!B12582),IF(AND(Input!B12582&gt;=20,Input!B12582&lt;=700),Input!B12582,""),"")</f>
        <v/>
      </c>
      <c r="C12582">
        <f>IF(B12582="","",INT(A12582))</f>
        <v/>
      </c>
      <c r="D12582">
        <f>IF(B12582="","",HOUR(A12582))</f>
        <v/>
      </c>
    </row>
    <row r="12583">
      <c r="A12583">
        <f>Input!A12583</f>
        <v/>
      </c>
      <c r="B12583">
        <f>IF(ISNUMBER(Input!B12583),IF(AND(Input!B12583&gt;=20,Input!B12583&lt;=700),Input!B12583,""),"")</f>
        <v/>
      </c>
      <c r="C12583">
        <f>IF(B12583="","",INT(A12583))</f>
        <v/>
      </c>
      <c r="D12583">
        <f>IF(B12583="","",HOUR(A12583))</f>
        <v/>
      </c>
    </row>
    <row r="12584">
      <c r="A12584">
        <f>Input!A12584</f>
        <v/>
      </c>
      <c r="B12584">
        <f>IF(ISNUMBER(Input!B12584),IF(AND(Input!B12584&gt;=20,Input!B12584&lt;=700),Input!B12584,""),"")</f>
        <v/>
      </c>
      <c r="C12584">
        <f>IF(B12584="","",INT(A12584))</f>
        <v/>
      </c>
      <c r="D12584">
        <f>IF(B12584="","",HOUR(A12584))</f>
        <v/>
      </c>
    </row>
    <row r="12585">
      <c r="A12585">
        <f>Input!A12585</f>
        <v/>
      </c>
      <c r="B12585">
        <f>IF(ISNUMBER(Input!B12585),IF(AND(Input!B12585&gt;=20,Input!B12585&lt;=700),Input!B12585,""),"")</f>
        <v/>
      </c>
      <c r="C12585">
        <f>IF(B12585="","",INT(A12585))</f>
        <v/>
      </c>
      <c r="D12585">
        <f>IF(B12585="","",HOUR(A12585))</f>
        <v/>
      </c>
    </row>
    <row r="12586">
      <c r="A12586">
        <f>Input!A12586</f>
        <v/>
      </c>
      <c r="B12586">
        <f>IF(ISNUMBER(Input!B12586),IF(AND(Input!B12586&gt;=20,Input!B12586&lt;=700),Input!B12586,""),"")</f>
        <v/>
      </c>
      <c r="C12586">
        <f>IF(B12586="","",INT(A12586))</f>
        <v/>
      </c>
      <c r="D12586">
        <f>IF(B12586="","",HOUR(A12586))</f>
        <v/>
      </c>
    </row>
    <row r="12587">
      <c r="A12587">
        <f>Input!A12587</f>
        <v/>
      </c>
      <c r="B12587">
        <f>IF(ISNUMBER(Input!B12587),IF(AND(Input!B12587&gt;=20,Input!B12587&lt;=700),Input!B12587,""),"")</f>
        <v/>
      </c>
      <c r="C12587">
        <f>IF(B12587="","",INT(A12587))</f>
        <v/>
      </c>
      <c r="D12587">
        <f>IF(B12587="","",HOUR(A12587))</f>
        <v/>
      </c>
    </row>
    <row r="12588">
      <c r="A12588">
        <f>Input!A12588</f>
        <v/>
      </c>
      <c r="B12588">
        <f>IF(ISNUMBER(Input!B12588),IF(AND(Input!B12588&gt;=20,Input!B12588&lt;=700),Input!B12588,""),"")</f>
        <v/>
      </c>
      <c r="C12588">
        <f>IF(B12588="","",INT(A12588))</f>
        <v/>
      </c>
      <c r="D12588">
        <f>IF(B12588="","",HOUR(A12588))</f>
        <v/>
      </c>
    </row>
    <row r="12589">
      <c r="A12589">
        <f>Input!A12589</f>
        <v/>
      </c>
      <c r="B12589">
        <f>IF(ISNUMBER(Input!B12589),IF(AND(Input!B12589&gt;=20,Input!B12589&lt;=700),Input!B12589,""),"")</f>
        <v/>
      </c>
      <c r="C12589">
        <f>IF(B12589="","",INT(A12589))</f>
        <v/>
      </c>
      <c r="D12589">
        <f>IF(B12589="","",HOUR(A12589))</f>
        <v/>
      </c>
    </row>
    <row r="12590">
      <c r="A12590">
        <f>Input!A12590</f>
        <v/>
      </c>
      <c r="B12590">
        <f>IF(ISNUMBER(Input!B12590),IF(AND(Input!B12590&gt;=20,Input!B12590&lt;=700),Input!B12590,""),"")</f>
        <v/>
      </c>
      <c r="C12590">
        <f>IF(B12590="","",INT(A12590))</f>
        <v/>
      </c>
      <c r="D12590">
        <f>IF(B12590="","",HOUR(A12590))</f>
        <v/>
      </c>
    </row>
    <row r="12591">
      <c r="A12591">
        <f>Input!A12591</f>
        <v/>
      </c>
      <c r="B12591">
        <f>IF(ISNUMBER(Input!B12591),IF(AND(Input!B12591&gt;=20,Input!B12591&lt;=700),Input!B12591,""),"")</f>
        <v/>
      </c>
      <c r="C12591">
        <f>IF(B12591="","",INT(A12591))</f>
        <v/>
      </c>
      <c r="D12591">
        <f>IF(B12591="","",HOUR(A12591))</f>
        <v/>
      </c>
    </row>
    <row r="12592">
      <c r="A12592">
        <f>Input!A12592</f>
        <v/>
      </c>
      <c r="B12592">
        <f>IF(ISNUMBER(Input!B12592),IF(AND(Input!B12592&gt;=20,Input!B12592&lt;=700),Input!B12592,""),"")</f>
        <v/>
      </c>
      <c r="C12592">
        <f>IF(B12592="","",INT(A12592))</f>
        <v/>
      </c>
      <c r="D12592">
        <f>IF(B12592="","",HOUR(A12592))</f>
        <v/>
      </c>
    </row>
    <row r="12593">
      <c r="A12593">
        <f>Input!A12593</f>
        <v/>
      </c>
      <c r="B12593">
        <f>IF(ISNUMBER(Input!B12593),IF(AND(Input!B12593&gt;=20,Input!B12593&lt;=700),Input!B12593,""),"")</f>
        <v/>
      </c>
      <c r="C12593">
        <f>IF(B12593="","",INT(A12593))</f>
        <v/>
      </c>
      <c r="D12593">
        <f>IF(B12593="","",HOUR(A12593))</f>
        <v/>
      </c>
    </row>
    <row r="12594">
      <c r="A12594">
        <f>Input!A12594</f>
        <v/>
      </c>
      <c r="B12594">
        <f>IF(ISNUMBER(Input!B12594),IF(AND(Input!B12594&gt;=20,Input!B12594&lt;=700),Input!B12594,""),"")</f>
        <v/>
      </c>
      <c r="C12594">
        <f>IF(B12594="","",INT(A12594))</f>
        <v/>
      </c>
      <c r="D12594">
        <f>IF(B12594="","",HOUR(A12594))</f>
        <v/>
      </c>
    </row>
    <row r="12595">
      <c r="A12595">
        <f>Input!A12595</f>
        <v/>
      </c>
      <c r="B12595">
        <f>IF(ISNUMBER(Input!B12595),IF(AND(Input!B12595&gt;=20,Input!B12595&lt;=700),Input!B12595,""),"")</f>
        <v/>
      </c>
      <c r="C12595">
        <f>IF(B12595="","",INT(A12595))</f>
        <v/>
      </c>
      <c r="D12595">
        <f>IF(B12595="","",HOUR(A12595))</f>
        <v/>
      </c>
    </row>
    <row r="12596">
      <c r="A12596">
        <f>Input!A12596</f>
        <v/>
      </c>
      <c r="B12596">
        <f>IF(ISNUMBER(Input!B12596),IF(AND(Input!B12596&gt;=20,Input!B12596&lt;=700),Input!B12596,""),"")</f>
        <v/>
      </c>
      <c r="C12596">
        <f>IF(B12596="","",INT(A12596))</f>
        <v/>
      </c>
      <c r="D12596">
        <f>IF(B12596="","",HOUR(A12596))</f>
        <v/>
      </c>
    </row>
    <row r="12597">
      <c r="A12597">
        <f>Input!A12597</f>
        <v/>
      </c>
      <c r="B12597">
        <f>IF(ISNUMBER(Input!B12597),IF(AND(Input!B12597&gt;=20,Input!B12597&lt;=700),Input!B12597,""),"")</f>
        <v/>
      </c>
      <c r="C12597">
        <f>IF(B12597="","",INT(A12597))</f>
        <v/>
      </c>
      <c r="D12597">
        <f>IF(B12597="","",HOUR(A12597))</f>
        <v/>
      </c>
    </row>
    <row r="12598">
      <c r="A12598">
        <f>Input!A12598</f>
        <v/>
      </c>
      <c r="B12598">
        <f>IF(ISNUMBER(Input!B12598),IF(AND(Input!B12598&gt;=20,Input!B12598&lt;=700),Input!B12598,""),"")</f>
        <v/>
      </c>
      <c r="C12598">
        <f>IF(B12598="","",INT(A12598))</f>
        <v/>
      </c>
      <c r="D12598">
        <f>IF(B12598="","",HOUR(A12598))</f>
        <v/>
      </c>
    </row>
    <row r="12599">
      <c r="A12599">
        <f>Input!A12599</f>
        <v/>
      </c>
      <c r="B12599">
        <f>IF(ISNUMBER(Input!B12599),IF(AND(Input!B12599&gt;=20,Input!B12599&lt;=700),Input!B12599,""),"")</f>
        <v/>
      </c>
      <c r="C12599">
        <f>IF(B12599="","",INT(A12599))</f>
        <v/>
      </c>
      <c r="D12599">
        <f>IF(B12599="","",HOUR(A12599))</f>
        <v/>
      </c>
    </row>
    <row r="12600">
      <c r="A12600">
        <f>Input!A12600</f>
        <v/>
      </c>
      <c r="B12600">
        <f>IF(ISNUMBER(Input!B12600),IF(AND(Input!B12600&gt;=20,Input!B12600&lt;=700),Input!B12600,""),"")</f>
        <v/>
      </c>
      <c r="C12600">
        <f>IF(B12600="","",INT(A12600))</f>
        <v/>
      </c>
      <c r="D12600">
        <f>IF(B12600="","",HOUR(A12600))</f>
        <v/>
      </c>
    </row>
    <row r="12601">
      <c r="A12601">
        <f>Input!A12601</f>
        <v/>
      </c>
      <c r="B12601">
        <f>IF(ISNUMBER(Input!B12601),IF(AND(Input!B12601&gt;=20,Input!B12601&lt;=700),Input!B12601,""),"")</f>
        <v/>
      </c>
      <c r="C12601">
        <f>IF(B12601="","",INT(A12601))</f>
        <v/>
      </c>
      <c r="D12601">
        <f>IF(B12601="","",HOUR(A12601))</f>
        <v/>
      </c>
    </row>
    <row r="12602">
      <c r="A12602">
        <f>Input!A12602</f>
        <v/>
      </c>
      <c r="B12602">
        <f>IF(ISNUMBER(Input!B12602),IF(AND(Input!B12602&gt;=20,Input!B12602&lt;=700),Input!B12602,""),"")</f>
        <v/>
      </c>
      <c r="C12602">
        <f>IF(B12602="","",INT(A12602))</f>
        <v/>
      </c>
      <c r="D12602">
        <f>IF(B12602="","",HOUR(A12602))</f>
        <v/>
      </c>
    </row>
    <row r="12603">
      <c r="A12603">
        <f>Input!A12603</f>
        <v/>
      </c>
      <c r="B12603">
        <f>IF(ISNUMBER(Input!B12603),IF(AND(Input!B12603&gt;=20,Input!B12603&lt;=700),Input!B12603,""),"")</f>
        <v/>
      </c>
      <c r="C12603">
        <f>IF(B12603="","",INT(A12603))</f>
        <v/>
      </c>
      <c r="D12603">
        <f>IF(B12603="","",HOUR(A12603))</f>
        <v/>
      </c>
    </row>
    <row r="12604">
      <c r="A12604">
        <f>Input!A12604</f>
        <v/>
      </c>
      <c r="B12604">
        <f>IF(ISNUMBER(Input!B12604),IF(AND(Input!B12604&gt;=20,Input!B12604&lt;=700),Input!B12604,""),"")</f>
        <v/>
      </c>
      <c r="C12604">
        <f>IF(B12604="","",INT(A12604))</f>
        <v/>
      </c>
      <c r="D12604">
        <f>IF(B12604="","",HOUR(A12604))</f>
        <v/>
      </c>
    </row>
    <row r="12605">
      <c r="A12605">
        <f>Input!A12605</f>
        <v/>
      </c>
      <c r="B12605">
        <f>IF(ISNUMBER(Input!B12605),IF(AND(Input!B12605&gt;=20,Input!B12605&lt;=700),Input!B12605,""),"")</f>
        <v/>
      </c>
      <c r="C12605">
        <f>IF(B12605="","",INT(A12605))</f>
        <v/>
      </c>
      <c r="D12605">
        <f>IF(B12605="","",HOUR(A12605))</f>
        <v/>
      </c>
    </row>
    <row r="12606">
      <c r="A12606">
        <f>Input!A12606</f>
        <v/>
      </c>
      <c r="B12606">
        <f>IF(ISNUMBER(Input!B12606),IF(AND(Input!B12606&gt;=20,Input!B12606&lt;=700),Input!B12606,""),"")</f>
        <v/>
      </c>
      <c r="C12606">
        <f>IF(B12606="","",INT(A12606))</f>
        <v/>
      </c>
      <c r="D12606">
        <f>IF(B12606="","",HOUR(A12606))</f>
        <v/>
      </c>
    </row>
    <row r="12607">
      <c r="A12607">
        <f>Input!A12607</f>
        <v/>
      </c>
      <c r="B12607">
        <f>IF(ISNUMBER(Input!B12607),IF(AND(Input!B12607&gt;=20,Input!B12607&lt;=700),Input!B12607,""),"")</f>
        <v/>
      </c>
      <c r="C12607">
        <f>IF(B12607="","",INT(A12607))</f>
        <v/>
      </c>
      <c r="D12607">
        <f>IF(B12607="","",HOUR(A12607))</f>
        <v/>
      </c>
    </row>
    <row r="12608">
      <c r="A12608">
        <f>Input!A12608</f>
        <v/>
      </c>
      <c r="B12608">
        <f>IF(ISNUMBER(Input!B12608),IF(AND(Input!B12608&gt;=20,Input!B12608&lt;=700),Input!B12608,""),"")</f>
        <v/>
      </c>
      <c r="C12608">
        <f>IF(B12608="","",INT(A12608))</f>
        <v/>
      </c>
      <c r="D12608">
        <f>IF(B12608="","",HOUR(A12608))</f>
        <v/>
      </c>
    </row>
    <row r="12609">
      <c r="A12609">
        <f>Input!A12609</f>
        <v/>
      </c>
      <c r="B12609">
        <f>IF(ISNUMBER(Input!B12609),IF(AND(Input!B12609&gt;=20,Input!B12609&lt;=700),Input!B12609,""),"")</f>
        <v/>
      </c>
      <c r="C12609">
        <f>IF(B12609="","",INT(A12609))</f>
        <v/>
      </c>
      <c r="D12609">
        <f>IF(B12609="","",HOUR(A12609))</f>
        <v/>
      </c>
    </row>
    <row r="12610">
      <c r="A12610">
        <f>Input!A12610</f>
        <v/>
      </c>
      <c r="B12610">
        <f>IF(ISNUMBER(Input!B12610),IF(AND(Input!B12610&gt;=20,Input!B12610&lt;=700),Input!B12610,""),"")</f>
        <v/>
      </c>
      <c r="C12610">
        <f>IF(B12610="","",INT(A12610))</f>
        <v/>
      </c>
      <c r="D12610">
        <f>IF(B12610="","",HOUR(A12610))</f>
        <v/>
      </c>
    </row>
    <row r="12611">
      <c r="A12611">
        <f>Input!A12611</f>
        <v/>
      </c>
      <c r="B12611">
        <f>IF(ISNUMBER(Input!B12611),IF(AND(Input!B12611&gt;=20,Input!B12611&lt;=700),Input!B12611,""),"")</f>
        <v/>
      </c>
      <c r="C12611">
        <f>IF(B12611="","",INT(A12611))</f>
        <v/>
      </c>
      <c r="D12611">
        <f>IF(B12611="","",HOUR(A12611))</f>
        <v/>
      </c>
    </row>
    <row r="12612">
      <c r="A12612">
        <f>Input!A12612</f>
        <v/>
      </c>
      <c r="B12612">
        <f>IF(ISNUMBER(Input!B12612),IF(AND(Input!B12612&gt;=20,Input!B12612&lt;=700),Input!B12612,""),"")</f>
        <v/>
      </c>
      <c r="C12612">
        <f>IF(B12612="","",INT(A12612))</f>
        <v/>
      </c>
      <c r="D12612">
        <f>IF(B12612="","",HOUR(A12612))</f>
        <v/>
      </c>
    </row>
    <row r="12613">
      <c r="A12613">
        <f>Input!A12613</f>
        <v/>
      </c>
      <c r="B12613">
        <f>IF(ISNUMBER(Input!B12613),IF(AND(Input!B12613&gt;=20,Input!B12613&lt;=700),Input!B12613,""),"")</f>
        <v/>
      </c>
      <c r="C12613">
        <f>IF(B12613="","",INT(A12613))</f>
        <v/>
      </c>
      <c r="D12613">
        <f>IF(B12613="","",HOUR(A12613))</f>
        <v/>
      </c>
    </row>
    <row r="12614">
      <c r="A12614">
        <f>Input!A12614</f>
        <v/>
      </c>
      <c r="B12614">
        <f>IF(ISNUMBER(Input!B12614),IF(AND(Input!B12614&gt;=20,Input!B12614&lt;=700),Input!B12614,""),"")</f>
        <v/>
      </c>
      <c r="C12614">
        <f>IF(B12614="","",INT(A12614))</f>
        <v/>
      </c>
      <c r="D12614">
        <f>IF(B12614="","",HOUR(A12614))</f>
        <v/>
      </c>
    </row>
    <row r="12615">
      <c r="A12615">
        <f>Input!A12615</f>
        <v/>
      </c>
      <c r="B12615">
        <f>IF(ISNUMBER(Input!B12615),IF(AND(Input!B12615&gt;=20,Input!B12615&lt;=700),Input!B12615,""),"")</f>
        <v/>
      </c>
      <c r="C12615">
        <f>IF(B12615="","",INT(A12615))</f>
        <v/>
      </c>
      <c r="D12615">
        <f>IF(B12615="","",HOUR(A12615))</f>
        <v/>
      </c>
    </row>
    <row r="12616">
      <c r="A12616">
        <f>Input!A12616</f>
        <v/>
      </c>
      <c r="B12616">
        <f>IF(ISNUMBER(Input!B12616),IF(AND(Input!B12616&gt;=20,Input!B12616&lt;=700),Input!B12616,""),"")</f>
        <v/>
      </c>
      <c r="C12616">
        <f>IF(B12616="","",INT(A12616))</f>
        <v/>
      </c>
      <c r="D12616">
        <f>IF(B12616="","",HOUR(A12616))</f>
        <v/>
      </c>
    </row>
    <row r="12617">
      <c r="A12617">
        <f>Input!A12617</f>
        <v/>
      </c>
      <c r="B12617">
        <f>IF(ISNUMBER(Input!B12617),IF(AND(Input!B12617&gt;=20,Input!B12617&lt;=700),Input!B12617,""),"")</f>
        <v/>
      </c>
      <c r="C12617">
        <f>IF(B12617="","",INT(A12617))</f>
        <v/>
      </c>
      <c r="D12617">
        <f>IF(B12617="","",HOUR(A12617))</f>
        <v/>
      </c>
    </row>
    <row r="12618">
      <c r="A12618">
        <f>Input!A12618</f>
        <v/>
      </c>
      <c r="B12618">
        <f>IF(ISNUMBER(Input!B12618),IF(AND(Input!B12618&gt;=20,Input!B12618&lt;=700),Input!B12618,""),"")</f>
        <v/>
      </c>
      <c r="C12618">
        <f>IF(B12618="","",INT(A12618))</f>
        <v/>
      </c>
      <c r="D12618">
        <f>IF(B12618="","",HOUR(A12618))</f>
        <v/>
      </c>
    </row>
    <row r="12619">
      <c r="A12619">
        <f>Input!A12619</f>
        <v/>
      </c>
      <c r="B12619">
        <f>IF(ISNUMBER(Input!B12619),IF(AND(Input!B12619&gt;=20,Input!B12619&lt;=700),Input!B12619,""),"")</f>
        <v/>
      </c>
      <c r="C12619">
        <f>IF(B12619="","",INT(A12619))</f>
        <v/>
      </c>
      <c r="D12619">
        <f>IF(B12619="","",HOUR(A12619))</f>
        <v/>
      </c>
    </row>
    <row r="12620">
      <c r="A12620">
        <f>Input!A12620</f>
        <v/>
      </c>
      <c r="B12620">
        <f>IF(ISNUMBER(Input!B12620),IF(AND(Input!B12620&gt;=20,Input!B12620&lt;=700),Input!B12620,""),"")</f>
        <v/>
      </c>
      <c r="C12620">
        <f>IF(B12620="","",INT(A12620))</f>
        <v/>
      </c>
      <c r="D12620">
        <f>IF(B12620="","",HOUR(A12620))</f>
        <v/>
      </c>
    </row>
    <row r="12621">
      <c r="A12621">
        <f>Input!A12621</f>
        <v/>
      </c>
      <c r="B12621">
        <f>IF(ISNUMBER(Input!B12621),IF(AND(Input!B12621&gt;=20,Input!B12621&lt;=700),Input!B12621,""),"")</f>
        <v/>
      </c>
      <c r="C12621">
        <f>IF(B12621="","",INT(A12621))</f>
        <v/>
      </c>
      <c r="D12621">
        <f>IF(B12621="","",HOUR(A12621))</f>
        <v/>
      </c>
    </row>
    <row r="12622">
      <c r="A12622">
        <f>Input!A12622</f>
        <v/>
      </c>
      <c r="B12622">
        <f>IF(ISNUMBER(Input!B12622),IF(AND(Input!B12622&gt;=20,Input!B12622&lt;=700),Input!B12622,""),"")</f>
        <v/>
      </c>
      <c r="C12622">
        <f>IF(B12622="","",INT(A12622))</f>
        <v/>
      </c>
      <c r="D12622">
        <f>IF(B12622="","",HOUR(A12622))</f>
        <v/>
      </c>
    </row>
    <row r="12623">
      <c r="A12623">
        <f>Input!A12623</f>
        <v/>
      </c>
      <c r="B12623">
        <f>IF(ISNUMBER(Input!B12623),IF(AND(Input!B12623&gt;=20,Input!B12623&lt;=700),Input!B12623,""),"")</f>
        <v/>
      </c>
      <c r="C12623">
        <f>IF(B12623="","",INT(A12623))</f>
        <v/>
      </c>
      <c r="D12623">
        <f>IF(B12623="","",HOUR(A12623))</f>
        <v/>
      </c>
    </row>
    <row r="12624">
      <c r="A12624">
        <f>Input!A12624</f>
        <v/>
      </c>
      <c r="B12624">
        <f>IF(ISNUMBER(Input!B12624),IF(AND(Input!B12624&gt;=20,Input!B12624&lt;=700),Input!B12624,""),"")</f>
        <v/>
      </c>
      <c r="C12624">
        <f>IF(B12624="","",INT(A12624))</f>
        <v/>
      </c>
      <c r="D12624">
        <f>IF(B12624="","",HOUR(A12624))</f>
        <v/>
      </c>
    </row>
    <row r="12625">
      <c r="A12625">
        <f>Input!A12625</f>
        <v/>
      </c>
      <c r="B12625">
        <f>IF(ISNUMBER(Input!B12625),IF(AND(Input!B12625&gt;=20,Input!B12625&lt;=700),Input!B12625,""),"")</f>
        <v/>
      </c>
      <c r="C12625">
        <f>IF(B12625="","",INT(A12625))</f>
        <v/>
      </c>
      <c r="D12625">
        <f>IF(B12625="","",HOUR(A12625))</f>
        <v/>
      </c>
    </row>
    <row r="12626">
      <c r="A12626">
        <f>Input!A12626</f>
        <v/>
      </c>
      <c r="B12626">
        <f>IF(ISNUMBER(Input!B12626),IF(AND(Input!B12626&gt;=20,Input!B12626&lt;=700),Input!B12626,""),"")</f>
        <v/>
      </c>
      <c r="C12626">
        <f>IF(B12626="","",INT(A12626))</f>
        <v/>
      </c>
      <c r="D12626">
        <f>IF(B12626="","",HOUR(A12626))</f>
        <v/>
      </c>
    </row>
    <row r="12627">
      <c r="A12627">
        <f>Input!A12627</f>
        <v/>
      </c>
      <c r="B12627">
        <f>IF(ISNUMBER(Input!B12627),IF(AND(Input!B12627&gt;=20,Input!B12627&lt;=700),Input!B12627,""),"")</f>
        <v/>
      </c>
      <c r="C12627">
        <f>IF(B12627="","",INT(A12627))</f>
        <v/>
      </c>
      <c r="D12627">
        <f>IF(B12627="","",HOUR(A12627))</f>
        <v/>
      </c>
    </row>
    <row r="12628">
      <c r="A12628">
        <f>Input!A12628</f>
        <v/>
      </c>
      <c r="B12628">
        <f>IF(ISNUMBER(Input!B12628),IF(AND(Input!B12628&gt;=20,Input!B12628&lt;=700),Input!B12628,""),"")</f>
        <v/>
      </c>
      <c r="C12628">
        <f>IF(B12628="","",INT(A12628))</f>
        <v/>
      </c>
      <c r="D12628">
        <f>IF(B12628="","",HOUR(A12628))</f>
        <v/>
      </c>
    </row>
    <row r="12629">
      <c r="A12629">
        <f>Input!A12629</f>
        <v/>
      </c>
      <c r="B12629">
        <f>IF(ISNUMBER(Input!B12629),IF(AND(Input!B12629&gt;=20,Input!B12629&lt;=700),Input!B12629,""),"")</f>
        <v/>
      </c>
      <c r="C12629">
        <f>IF(B12629="","",INT(A12629))</f>
        <v/>
      </c>
      <c r="D12629">
        <f>IF(B12629="","",HOUR(A12629))</f>
        <v/>
      </c>
    </row>
    <row r="12630">
      <c r="A12630">
        <f>Input!A12630</f>
        <v/>
      </c>
      <c r="B12630">
        <f>IF(ISNUMBER(Input!B12630),IF(AND(Input!B12630&gt;=20,Input!B12630&lt;=700),Input!B12630,""),"")</f>
        <v/>
      </c>
      <c r="C12630">
        <f>IF(B12630="","",INT(A12630))</f>
        <v/>
      </c>
      <c r="D12630">
        <f>IF(B12630="","",HOUR(A12630))</f>
        <v/>
      </c>
    </row>
    <row r="12631">
      <c r="A12631">
        <f>Input!A12631</f>
        <v/>
      </c>
      <c r="B12631">
        <f>IF(ISNUMBER(Input!B12631),IF(AND(Input!B12631&gt;=20,Input!B12631&lt;=700),Input!B12631,""),"")</f>
        <v/>
      </c>
      <c r="C12631">
        <f>IF(B12631="","",INT(A12631))</f>
        <v/>
      </c>
      <c r="D12631">
        <f>IF(B12631="","",HOUR(A12631))</f>
        <v/>
      </c>
    </row>
    <row r="12632">
      <c r="A12632">
        <f>Input!A12632</f>
        <v/>
      </c>
      <c r="B12632">
        <f>IF(ISNUMBER(Input!B12632),IF(AND(Input!B12632&gt;=20,Input!B12632&lt;=700),Input!B12632,""),"")</f>
        <v/>
      </c>
      <c r="C12632">
        <f>IF(B12632="","",INT(A12632))</f>
        <v/>
      </c>
      <c r="D12632">
        <f>IF(B12632="","",HOUR(A12632))</f>
        <v/>
      </c>
    </row>
    <row r="12633">
      <c r="A12633">
        <f>Input!A12633</f>
        <v/>
      </c>
      <c r="B12633">
        <f>IF(ISNUMBER(Input!B12633),IF(AND(Input!B12633&gt;=20,Input!B12633&lt;=700),Input!B12633,""),"")</f>
        <v/>
      </c>
      <c r="C12633">
        <f>IF(B12633="","",INT(A12633))</f>
        <v/>
      </c>
      <c r="D12633">
        <f>IF(B12633="","",HOUR(A12633))</f>
        <v/>
      </c>
    </row>
    <row r="12634">
      <c r="A12634">
        <f>Input!A12634</f>
        <v/>
      </c>
      <c r="B12634">
        <f>IF(ISNUMBER(Input!B12634),IF(AND(Input!B12634&gt;=20,Input!B12634&lt;=700),Input!B12634,""),"")</f>
        <v/>
      </c>
      <c r="C12634">
        <f>IF(B12634="","",INT(A12634))</f>
        <v/>
      </c>
      <c r="D12634">
        <f>IF(B12634="","",HOUR(A12634))</f>
        <v/>
      </c>
    </row>
    <row r="12635">
      <c r="A12635">
        <f>Input!A12635</f>
        <v/>
      </c>
      <c r="B12635">
        <f>IF(ISNUMBER(Input!B12635),IF(AND(Input!B12635&gt;=20,Input!B12635&lt;=700),Input!B12635,""),"")</f>
        <v/>
      </c>
      <c r="C12635">
        <f>IF(B12635="","",INT(A12635))</f>
        <v/>
      </c>
      <c r="D12635">
        <f>IF(B12635="","",HOUR(A12635))</f>
        <v/>
      </c>
    </row>
    <row r="12636">
      <c r="A12636">
        <f>Input!A12636</f>
        <v/>
      </c>
      <c r="B12636">
        <f>IF(ISNUMBER(Input!B12636),IF(AND(Input!B12636&gt;=20,Input!B12636&lt;=700),Input!B12636,""),"")</f>
        <v/>
      </c>
      <c r="C12636">
        <f>IF(B12636="","",INT(A12636))</f>
        <v/>
      </c>
      <c r="D12636">
        <f>IF(B12636="","",HOUR(A12636))</f>
        <v/>
      </c>
    </row>
    <row r="12637">
      <c r="A12637">
        <f>Input!A12637</f>
        <v/>
      </c>
      <c r="B12637">
        <f>IF(ISNUMBER(Input!B12637),IF(AND(Input!B12637&gt;=20,Input!B12637&lt;=700),Input!B12637,""),"")</f>
        <v/>
      </c>
      <c r="C12637">
        <f>IF(B12637="","",INT(A12637))</f>
        <v/>
      </c>
      <c r="D12637">
        <f>IF(B12637="","",HOUR(A12637))</f>
        <v/>
      </c>
    </row>
    <row r="12638">
      <c r="A12638">
        <f>Input!A12638</f>
        <v/>
      </c>
      <c r="B12638">
        <f>IF(ISNUMBER(Input!B12638),IF(AND(Input!B12638&gt;=20,Input!B12638&lt;=700),Input!B12638,""),"")</f>
        <v/>
      </c>
      <c r="C12638">
        <f>IF(B12638="","",INT(A12638))</f>
        <v/>
      </c>
      <c r="D12638">
        <f>IF(B12638="","",HOUR(A12638))</f>
        <v/>
      </c>
    </row>
    <row r="12639">
      <c r="A12639">
        <f>Input!A12639</f>
        <v/>
      </c>
      <c r="B12639">
        <f>IF(ISNUMBER(Input!B12639),IF(AND(Input!B12639&gt;=20,Input!B12639&lt;=700),Input!B12639,""),"")</f>
        <v/>
      </c>
      <c r="C12639">
        <f>IF(B12639="","",INT(A12639))</f>
        <v/>
      </c>
      <c r="D12639">
        <f>IF(B12639="","",HOUR(A12639))</f>
        <v/>
      </c>
    </row>
    <row r="12640">
      <c r="A12640">
        <f>Input!A12640</f>
        <v/>
      </c>
      <c r="B12640">
        <f>IF(ISNUMBER(Input!B12640),IF(AND(Input!B12640&gt;=20,Input!B12640&lt;=700),Input!B12640,""),"")</f>
        <v/>
      </c>
      <c r="C12640">
        <f>IF(B12640="","",INT(A12640))</f>
        <v/>
      </c>
      <c r="D12640">
        <f>IF(B12640="","",HOUR(A12640))</f>
        <v/>
      </c>
    </row>
    <row r="12641">
      <c r="A12641">
        <f>Input!A12641</f>
        <v/>
      </c>
      <c r="B12641">
        <f>IF(ISNUMBER(Input!B12641),IF(AND(Input!B12641&gt;=20,Input!B12641&lt;=700),Input!B12641,""),"")</f>
        <v/>
      </c>
      <c r="C12641">
        <f>IF(B12641="","",INT(A12641))</f>
        <v/>
      </c>
      <c r="D12641">
        <f>IF(B12641="","",HOUR(A12641))</f>
        <v/>
      </c>
    </row>
    <row r="12642">
      <c r="A12642">
        <f>Input!A12642</f>
        <v/>
      </c>
      <c r="B12642">
        <f>IF(ISNUMBER(Input!B12642),IF(AND(Input!B12642&gt;=20,Input!B12642&lt;=700),Input!B12642,""),"")</f>
        <v/>
      </c>
      <c r="C12642">
        <f>IF(B12642="","",INT(A12642))</f>
        <v/>
      </c>
      <c r="D12642">
        <f>IF(B12642="","",HOUR(A12642))</f>
        <v/>
      </c>
    </row>
    <row r="12643">
      <c r="A12643">
        <f>Input!A12643</f>
        <v/>
      </c>
      <c r="B12643">
        <f>IF(ISNUMBER(Input!B12643),IF(AND(Input!B12643&gt;=20,Input!B12643&lt;=700),Input!B12643,""),"")</f>
        <v/>
      </c>
      <c r="C12643">
        <f>IF(B12643="","",INT(A12643))</f>
        <v/>
      </c>
      <c r="D12643">
        <f>IF(B12643="","",HOUR(A12643))</f>
        <v/>
      </c>
    </row>
    <row r="12644">
      <c r="A12644">
        <f>Input!A12644</f>
        <v/>
      </c>
      <c r="B12644">
        <f>IF(ISNUMBER(Input!B12644),IF(AND(Input!B12644&gt;=20,Input!B12644&lt;=700),Input!B12644,""),"")</f>
        <v/>
      </c>
      <c r="C12644">
        <f>IF(B12644="","",INT(A12644))</f>
        <v/>
      </c>
      <c r="D12644">
        <f>IF(B12644="","",HOUR(A12644))</f>
        <v/>
      </c>
    </row>
    <row r="12645">
      <c r="A12645">
        <f>Input!A12645</f>
        <v/>
      </c>
      <c r="B12645">
        <f>IF(ISNUMBER(Input!B12645),IF(AND(Input!B12645&gt;=20,Input!B12645&lt;=700),Input!B12645,""),"")</f>
        <v/>
      </c>
      <c r="C12645">
        <f>IF(B12645="","",INT(A12645))</f>
        <v/>
      </c>
      <c r="D12645">
        <f>IF(B12645="","",HOUR(A12645))</f>
        <v/>
      </c>
    </row>
    <row r="12646">
      <c r="A12646">
        <f>Input!A12646</f>
        <v/>
      </c>
      <c r="B12646">
        <f>IF(ISNUMBER(Input!B12646),IF(AND(Input!B12646&gt;=20,Input!B12646&lt;=700),Input!B12646,""),"")</f>
        <v/>
      </c>
      <c r="C12646">
        <f>IF(B12646="","",INT(A12646))</f>
        <v/>
      </c>
      <c r="D12646">
        <f>IF(B12646="","",HOUR(A12646))</f>
        <v/>
      </c>
    </row>
    <row r="12647">
      <c r="A12647">
        <f>Input!A12647</f>
        <v/>
      </c>
      <c r="B12647">
        <f>IF(ISNUMBER(Input!B12647),IF(AND(Input!B12647&gt;=20,Input!B12647&lt;=700),Input!B12647,""),"")</f>
        <v/>
      </c>
      <c r="C12647">
        <f>IF(B12647="","",INT(A12647))</f>
        <v/>
      </c>
      <c r="D12647">
        <f>IF(B12647="","",HOUR(A12647))</f>
        <v/>
      </c>
    </row>
    <row r="12648">
      <c r="A12648">
        <f>Input!A12648</f>
        <v/>
      </c>
      <c r="B12648">
        <f>IF(ISNUMBER(Input!B12648),IF(AND(Input!B12648&gt;=20,Input!B12648&lt;=700),Input!B12648,""),"")</f>
        <v/>
      </c>
      <c r="C12648">
        <f>IF(B12648="","",INT(A12648))</f>
        <v/>
      </c>
      <c r="D12648">
        <f>IF(B12648="","",HOUR(A12648))</f>
        <v/>
      </c>
    </row>
    <row r="12649">
      <c r="A12649">
        <f>Input!A12649</f>
        <v/>
      </c>
      <c r="B12649">
        <f>IF(ISNUMBER(Input!B12649),IF(AND(Input!B12649&gt;=20,Input!B12649&lt;=700),Input!B12649,""),"")</f>
        <v/>
      </c>
      <c r="C12649">
        <f>IF(B12649="","",INT(A12649))</f>
        <v/>
      </c>
      <c r="D12649">
        <f>IF(B12649="","",HOUR(A12649))</f>
        <v/>
      </c>
    </row>
    <row r="12650">
      <c r="A12650">
        <f>Input!A12650</f>
        <v/>
      </c>
      <c r="B12650">
        <f>IF(ISNUMBER(Input!B12650),IF(AND(Input!B12650&gt;=20,Input!B12650&lt;=700),Input!B12650,""),"")</f>
        <v/>
      </c>
      <c r="C12650">
        <f>IF(B12650="","",INT(A12650))</f>
        <v/>
      </c>
      <c r="D12650">
        <f>IF(B12650="","",HOUR(A12650))</f>
        <v/>
      </c>
    </row>
    <row r="12651">
      <c r="A12651">
        <f>Input!A12651</f>
        <v/>
      </c>
      <c r="B12651">
        <f>IF(ISNUMBER(Input!B12651),IF(AND(Input!B12651&gt;=20,Input!B12651&lt;=700),Input!B12651,""),"")</f>
        <v/>
      </c>
      <c r="C12651">
        <f>IF(B12651="","",INT(A12651))</f>
        <v/>
      </c>
      <c r="D12651">
        <f>IF(B12651="","",HOUR(A12651))</f>
        <v/>
      </c>
    </row>
    <row r="12652">
      <c r="A12652">
        <f>Input!A12652</f>
        <v/>
      </c>
      <c r="B12652">
        <f>IF(ISNUMBER(Input!B12652),IF(AND(Input!B12652&gt;=20,Input!B12652&lt;=700),Input!B12652,""),"")</f>
        <v/>
      </c>
      <c r="C12652">
        <f>IF(B12652="","",INT(A12652))</f>
        <v/>
      </c>
      <c r="D12652">
        <f>IF(B12652="","",HOUR(A12652))</f>
        <v/>
      </c>
    </row>
    <row r="12653">
      <c r="A12653">
        <f>Input!A12653</f>
        <v/>
      </c>
      <c r="B12653">
        <f>IF(ISNUMBER(Input!B12653),IF(AND(Input!B12653&gt;=20,Input!B12653&lt;=700),Input!B12653,""),"")</f>
        <v/>
      </c>
      <c r="C12653">
        <f>IF(B12653="","",INT(A12653))</f>
        <v/>
      </c>
      <c r="D12653">
        <f>IF(B12653="","",HOUR(A12653))</f>
        <v/>
      </c>
    </row>
    <row r="12654">
      <c r="A12654">
        <f>Input!A12654</f>
        <v/>
      </c>
      <c r="B12654">
        <f>IF(ISNUMBER(Input!B12654),IF(AND(Input!B12654&gt;=20,Input!B12654&lt;=700),Input!B12654,""),"")</f>
        <v/>
      </c>
      <c r="C12654">
        <f>IF(B12654="","",INT(A12654))</f>
        <v/>
      </c>
      <c r="D12654">
        <f>IF(B12654="","",HOUR(A12654))</f>
        <v/>
      </c>
    </row>
    <row r="12655">
      <c r="A12655">
        <f>Input!A12655</f>
        <v/>
      </c>
      <c r="B12655">
        <f>IF(ISNUMBER(Input!B12655),IF(AND(Input!B12655&gt;=20,Input!B12655&lt;=700),Input!B12655,""),"")</f>
        <v/>
      </c>
      <c r="C12655">
        <f>IF(B12655="","",INT(A12655))</f>
        <v/>
      </c>
      <c r="D12655">
        <f>IF(B12655="","",HOUR(A12655))</f>
        <v/>
      </c>
    </row>
    <row r="12656">
      <c r="A12656">
        <f>Input!A12656</f>
        <v/>
      </c>
      <c r="B12656">
        <f>IF(ISNUMBER(Input!B12656),IF(AND(Input!B12656&gt;=20,Input!B12656&lt;=700),Input!B12656,""),"")</f>
        <v/>
      </c>
      <c r="C12656">
        <f>IF(B12656="","",INT(A12656))</f>
        <v/>
      </c>
      <c r="D12656">
        <f>IF(B12656="","",HOUR(A12656))</f>
        <v/>
      </c>
    </row>
    <row r="12657">
      <c r="A12657">
        <f>Input!A12657</f>
        <v/>
      </c>
      <c r="B12657">
        <f>IF(ISNUMBER(Input!B12657),IF(AND(Input!B12657&gt;=20,Input!B12657&lt;=700),Input!B12657,""),"")</f>
        <v/>
      </c>
      <c r="C12657">
        <f>IF(B12657="","",INT(A12657))</f>
        <v/>
      </c>
      <c r="D12657">
        <f>IF(B12657="","",HOUR(A12657))</f>
        <v/>
      </c>
    </row>
    <row r="12658">
      <c r="A12658">
        <f>Input!A12658</f>
        <v/>
      </c>
      <c r="B12658">
        <f>IF(ISNUMBER(Input!B12658),IF(AND(Input!B12658&gt;=20,Input!B12658&lt;=700),Input!B12658,""),"")</f>
        <v/>
      </c>
      <c r="C12658">
        <f>IF(B12658="","",INT(A12658))</f>
        <v/>
      </c>
      <c r="D12658">
        <f>IF(B12658="","",HOUR(A12658))</f>
        <v/>
      </c>
    </row>
    <row r="12659">
      <c r="A12659">
        <f>Input!A12659</f>
        <v/>
      </c>
      <c r="B12659">
        <f>IF(ISNUMBER(Input!B12659),IF(AND(Input!B12659&gt;=20,Input!B12659&lt;=700),Input!B12659,""),"")</f>
        <v/>
      </c>
      <c r="C12659">
        <f>IF(B12659="","",INT(A12659))</f>
        <v/>
      </c>
      <c r="D12659">
        <f>IF(B12659="","",HOUR(A12659))</f>
        <v/>
      </c>
    </row>
    <row r="12660">
      <c r="A12660">
        <f>Input!A12660</f>
        <v/>
      </c>
      <c r="B12660">
        <f>IF(ISNUMBER(Input!B12660),IF(AND(Input!B12660&gt;=20,Input!B12660&lt;=700),Input!B12660,""),"")</f>
        <v/>
      </c>
      <c r="C12660">
        <f>IF(B12660="","",INT(A12660))</f>
        <v/>
      </c>
      <c r="D12660">
        <f>IF(B12660="","",HOUR(A12660))</f>
        <v/>
      </c>
    </row>
    <row r="12661">
      <c r="A12661">
        <f>Input!A12661</f>
        <v/>
      </c>
      <c r="B12661">
        <f>IF(ISNUMBER(Input!B12661),IF(AND(Input!B12661&gt;=20,Input!B12661&lt;=700),Input!B12661,""),"")</f>
        <v/>
      </c>
      <c r="C12661">
        <f>IF(B12661="","",INT(A12661))</f>
        <v/>
      </c>
      <c r="D12661">
        <f>IF(B12661="","",HOUR(A12661))</f>
        <v/>
      </c>
    </row>
    <row r="12662">
      <c r="A12662">
        <f>Input!A12662</f>
        <v/>
      </c>
      <c r="B12662">
        <f>IF(ISNUMBER(Input!B12662),IF(AND(Input!B12662&gt;=20,Input!B12662&lt;=700),Input!B12662,""),"")</f>
        <v/>
      </c>
      <c r="C12662">
        <f>IF(B12662="","",INT(A12662))</f>
        <v/>
      </c>
      <c r="D12662">
        <f>IF(B12662="","",HOUR(A12662))</f>
        <v/>
      </c>
    </row>
    <row r="12663">
      <c r="A12663">
        <f>Input!A12663</f>
        <v/>
      </c>
      <c r="B12663">
        <f>IF(ISNUMBER(Input!B12663),IF(AND(Input!B12663&gt;=20,Input!B12663&lt;=700),Input!B12663,""),"")</f>
        <v/>
      </c>
      <c r="C12663">
        <f>IF(B12663="","",INT(A12663))</f>
        <v/>
      </c>
      <c r="D12663">
        <f>IF(B12663="","",HOUR(A12663))</f>
        <v/>
      </c>
    </row>
    <row r="12664">
      <c r="A12664">
        <f>Input!A12664</f>
        <v/>
      </c>
      <c r="B12664">
        <f>IF(ISNUMBER(Input!B12664),IF(AND(Input!B12664&gt;=20,Input!B12664&lt;=700),Input!B12664,""),"")</f>
        <v/>
      </c>
      <c r="C12664">
        <f>IF(B12664="","",INT(A12664))</f>
        <v/>
      </c>
      <c r="D12664">
        <f>IF(B12664="","",HOUR(A12664))</f>
        <v/>
      </c>
    </row>
    <row r="12665">
      <c r="A12665">
        <f>Input!A12665</f>
        <v/>
      </c>
      <c r="B12665">
        <f>IF(ISNUMBER(Input!B12665),IF(AND(Input!B12665&gt;=20,Input!B12665&lt;=700),Input!B12665,""),"")</f>
        <v/>
      </c>
      <c r="C12665">
        <f>IF(B12665="","",INT(A12665))</f>
        <v/>
      </c>
      <c r="D12665">
        <f>IF(B12665="","",HOUR(A12665))</f>
        <v/>
      </c>
    </row>
    <row r="12666">
      <c r="A12666">
        <f>Input!A12666</f>
        <v/>
      </c>
      <c r="B12666">
        <f>IF(ISNUMBER(Input!B12666),IF(AND(Input!B12666&gt;=20,Input!B12666&lt;=700),Input!B12666,""),"")</f>
        <v/>
      </c>
      <c r="C12666">
        <f>IF(B12666="","",INT(A12666))</f>
        <v/>
      </c>
      <c r="D12666">
        <f>IF(B12666="","",HOUR(A12666))</f>
        <v/>
      </c>
    </row>
    <row r="12667">
      <c r="A12667">
        <f>Input!A12667</f>
        <v/>
      </c>
      <c r="B12667">
        <f>IF(ISNUMBER(Input!B12667),IF(AND(Input!B12667&gt;=20,Input!B12667&lt;=700),Input!B12667,""),"")</f>
        <v/>
      </c>
      <c r="C12667">
        <f>IF(B12667="","",INT(A12667))</f>
        <v/>
      </c>
      <c r="D12667">
        <f>IF(B12667="","",HOUR(A12667))</f>
        <v/>
      </c>
    </row>
    <row r="12668">
      <c r="A12668">
        <f>Input!A12668</f>
        <v/>
      </c>
      <c r="B12668">
        <f>IF(ISNUMBER(Input!B12668),IF(AND(Input!B12668&gt;=20,Input!B12668&lt;=700),Input!B12668,""),"")</f>
        <v/>
      </c>
      <c r="C12668">
        <f>IF(B12668="","",INT(A12668))</f>
        <v/>
      </c>
      <c r="D12668">
        <f>IF(B12668="","",HOUR(A12668))</f>
        <v/>
      </c>
    </row>
    <row r="12669">
      <c r="A12669">
        <f>Input!A12669</f>
        <v/>
      </c>
      <c r="B12669">
        <f>IF(ISNUMBER(Input!B12669),IF(AND(Input!B12669&gt;=20,Input!B12669&lt;=700),Input!B12669,""),"")</f>
        <v/>
      </c>
      <c r="C12669">
        <f>IF(B12669="","",INT(A12669))</f>
        <v/>
      </c>
      <c r="D12669">
        <f>IF(B12669="","",HOUR(A12669))</f>
        <v/>
      </c>
    </row>
    <row r="12670">
      <c r="A12670">
        <f>Input!A12670</f>
        <v/>
      </c>
      <c r="B12670">
        <f>IF(ISNUMBER(Input!B12670),IF(AND(Input!B12670&gt;=20,Input!B12670&lt;=700),Input!B12670,""),"")</f>
        <v/>
      </c>
      <c r="C12670">
        <f>IF(B12670="","",INT(A12670))</f>
        <v/>
      </c>
      <c r="D12670">
        <f>IF(B12670="","",HOUR(A12670))</f>
        <v/>
      </c>
    </row>
    <row r="12671">
      <c r="A12671">
        <f>Input!A12671</f>
        <v/>
      </c>
      <c r="B12671">
        <f>IF(ISNUMBER(Input!B12671),IF(AND(Input!B12671&gt;=20,Input!B12671&lt;=700),Input!B12671,""),"")</f>
        <v/>
      </c>
      <c r="C12671">
        <f>IF(B12671="","",INT(A12671))</f>
        <v/>
      </c>
      <c r="D12671">
        <f>IF(B12671="","",HOUR(A12671))</f>
        <v/>
      </c>
    </row>
    <row r="12672">
      <c r="A12672">
        <f>Input!A12672</f>
        <v/>
      </c>
      <c r="B12672">
        <f>IF(ISNUMBER(Input!B12672),IF(AND(Input!B12672&gt;=20,Input!B12672&lt;=700),Input!B12672,""),"")</f>
        <v/>
      </c>
      <c r="C12672">
        <f>IF(B12672="","",INT(A12672))</f>
        <v/>
      </c>
      <c r="D12672">
        <f>IF(B12672="","",HOUR(A12672))</f>
        <v/>
      </c>
    </row>
    <row r="12673">
      <c r="A12673">
        <f>Input!A12673</f>
        <v/>
      </c>
      <c r="B12673">
        <f>IF(ISNUMBER(Input!B12673),IF(AND(Input!B12673&gt;=20,Input!B12673&lt;=700),Input!B12673,""),"")</f>
        <v/>
      </c>
      <c r="C12673">
        <f>IF(B12673="","",INT(A12673))</f>
        <v/>
      </c>
      <c r="D12673">
        <f>IF(B12673="","",HOUR(A12673))</f>
        <v/>
      </c>
    </row>
    <row r="12674">
      <c r="A12674">
        <f>Input!A12674</f>
        <v/>
      </c>
      <c r="B12674">
        <f>IF(ISNUMBER(Input!B12674),IF(AND(Input!B12674&gt;=20,Input!B12674&lt;=700),Input!B12674,""),"")</f>
        <v/>
      </c>
      <c r="C12674">
        <f>IF(B12674="","",INT(A12674))</f>
        <v/>
      </c>
      <c r="D12674">
        <f>IF(B12674="","",HOUR(A12674))</f>
        <v/>
      </c>
    </row>
    <row r="12675">
      <c r="A12675">
        <f>Input!A12675</f>
        <v/>
      </c>
      <c r="B12675">
        <f>IF(ISNUMBER(Input!B12675),IF(AND(Input!B12675&gt;=20,Input!B12675&lt;=700),Input!B12675,""),"")</f>
        <v/>
      </c>
      <c r="C12675">
        <f>IF(B12675="","",INT(A12675))</f>
        <v/>
      </c>
      <c r="D12675">
        <f>IF(B12675="","",HOUR(A12675))</f>
        <v/>
      </c>
    </row>
    <row r="12676">
      <c r="A12676">
        <f>Input!A12676</f>
        <v/>
      </c>
      <c r="B12676">
        <f>IF(ISNUMBER(Input!B12676),IF(AND(Input!B12676&gt;=20,Input!B12676&lt;=700),Input!B12676,""),"")</f>
        <v/>
      </c>
      <c r="C12676">
        <f>IF(B12676="","",INT(A12676))</f>
        <v/>
      </c>
      <c r="D12676">
        <f>IF(B12676="","",HOUR(A12676))</f>
        <v/>
      </c>
    </row>
    <row r="12677">
      <c r="A12677">
        <f>Input!A12677</f>
        <v/>
      </c>
      <c r="B12677">
        <f>IF(ISNUMBER(Input!B12677),IF(AND(Input!B12677&gt;=20,Input!B12677&lt;=700),Input!B12677,""),"")</f>
        <v/>
      </c>
      <c r="C12677">
        <f>IF(B12677="","",INT(A12677))</f>
        <v/>
      </c>
      <c r="D12677">
        <f>IF(B12677="","",HOUR(A12677))</f>
        <v/>
      </c>
    </row>
    <row r="12678">
      <c r="A12678">
        <f>Input!A12678</f>
        <v/>
      </c>
      <c r="B12678">
        <f>IF(ISNUMBER(Input!B12678),IF(AND(Input!B12678&gt;=20,Input!B12678&lt;=700),Input!B12678,""),"")</f>
        <v/>
      </c>
      <c r="C12678">
        <f>IF(B12678="","",INT(A12678))</f>
        <v/>
      </c>
      <c r="D12678">
        <f>IF(B12678="","",HOUR(A12678))</f>
        <v/>
      </c>
    </row>
    <row r="12679">
      <c r="A12679">
        <f>Input!A12679</f>
        <v/>
      </c>
      <c r="B12679">
        <f>IF(ISNUMBER(Input!B12679),IF(AND(Input!B12679&gt;=20,Input!B12679&lt;=700),Input!B12679,""),"")</f>
        <v/>
      </c>
      <c r="C12679">
        <f>IF(B12679="","",INT(A12679))</f>
        <v/>
      </c>
      <c r="D12679">
        <f>IF(B12679="","",HOUR(A12679))</f>
        <v/>
      </c>
    </row>
    <row r="12680">
      <c r="A12680">
        <f>Input!A12680</f>
        <v/>
      </c>
      <c r="B12680">
        <f>IF(ISNUMBER(Input!B12680),IF(AND(Input!B12680&gt;=20,Input!B12680&lt;=700),Input!B12680,""),"")</f>
        <v/>
      </c>
      <c r="C12680">
        <f>IF(B12680="","",INT(A12680))</f>
        <v/>
      </c>
      <c r="D12680">
        <f>IF(B12680="","",HOUR(A12680))</f>
        <v/>
      </c>
    </row>
    <row r="12681">
      <c r="A12681">
        <f>Input!A12681</f>
        <v/>
      </c>
      <c r="B12681">
        <f>IF(ISNUMBER(Input!B12681),IF(AND(Input!B12681&gt;=20,Input!B12681&lt;=700),Input!B12681,""),"")</f>
        <v/>
      </c>
      <c r="C12681">
        <f>IF(B12681="","",INT(A12681))</f>
        <v/>
      </c>
      <c r="D12681">
        <f>IF(B12681="","",HOUR(A12681))</f>
        <v/>
      </c>
    </row>
    <row r="12682">
      <c r="A12682">
        <f>Input!A12682</f>
        <v/>
      </c>
      <c r="B12682">
        <f>IF(ISNUMBER(Input!B12682),IF(AND(Input!B12682&gt;=20,Input!B12682&lt;=700),Input!B12682,""),"")</f>
        <v/>
      </c>
      <c r="C12682">
        <f>IF(B12682="","",INT(A12682))</f>
        <v/>
      </c>
      <c r="D12682">
        <f>IF(B12682="","",HOUR(A12682))</f>
        <v/>
      </c>
    </row>
    <row r="12683">
      <c r="A12683">
        <f>Input!A12683</f>
        <v/>
      </c>
      <c r="B12683">
        <f>IF(ISNUMBER(Input!B12683),IF(AND(Input!B12683&gt;=20,Input!B12683&lt;=700),Input!B12683,""),"")</f>
        <v/>
      </c>
      <c r="C12683">
        <f>IF(B12683="","",INT(A12683))</f>
        <v/>
      </c>
      <c r="D12683">
        <f>IF(B12683="","",HOUR(A12683))</f>
        <v/>
      </c>
    </row>
    <row r="12684">
      <c r="A12684">
        <f>Input!A12684</f>
        <v/>
      </c>
      <c r="B12684">
        <f>IF(ISNUMBER(Input!B12684),IF(AND(Input!B12684&gt;=20,Input!B12684&lt;=700),Input!B12684,""),"")</f>
        <v/>
      </c>
      <c r="C12684">
        <f>IF(B12684="","",INT(A12684))</f>
        <v/>
      </c>
      <c r="D12684">
        <f>IF(B12684="","",HOUR(A12684))</f>
        <v/>
      </c>
    </row>
    <row r="12685">
      <c r="A12685">
        <f>Input!A12685</f>
        <v/>
      </c>
      <c r="B12685">
        <f>IF(ISNUMBER(Input!B12685),IF(AND(Input!B12685&gt;=20,Input!B12685&lt;=700),Input!B12685,""),"")</f>
        <v/>
      </c>
      <c r="C12685">
        <f>IF(B12685="","",INT(A12685))</f>
        <v/>
      </c>
      <c r="D12685">
        <f>IF(B12685="","",HOUR(A12685))</f>
        <v/>
      </c>
    </row>
    <row r="12686">
      <c r="A12686">
        <f>Input!A12686</f>
        <v/>
      </c>
      <c r="B12686">
        <f>IF(ISNUMBER(Input!B12686),IF(AND(Input!B12686&gt;=20,Input!B12686&lt;=700),Input!B12686,""),"")</f>
        <v/>
      </c>
      <c r="C12686">
        <f>IF(B12686="","",INT(A12686))</f>
        <v/>
      </c>
      <c r="D12686">
        <f>IF(B12686="","",HOUR(A12686))</f>
        <v/>
      </c>
    </row>
    <row r="12687">
      <c r="A12687">
        <f>Input!A12687</f>
        <v/>
      </c>
      <c r="B12687">
        <f>IF(ISNUMBER(Input!B12687),IF(AND(Input!B12687&gt;=20,Input!B12687&lt;=700),Input!B12687,""),"")</f>
        <v/>
      </c>
      <c r="C12687">
        <f>IF(B12687="","",INT(A12687))</f>
        <v/>
      </c>
      <c r="D12687">
        <f>IF(B12687="","",HOUR(A12687))</f>
        <v/>
      </c>
    </row>
    <row r="12688">
      <c r="A12688">
        <f>Input!A12688</f>
        <v/>
      </c>
      <c r="B12688">
        <f>IF(ISNUMBER(Input!B12688),IF(AND(Input!B12688&gt;=20,Input!B12688&lt;=700),Input!B12688,""),"")</f>
        <v/>
      </c>
      <c r="C12688">
        <f>IF(B12688="","",INT(A12688))</f>
        <v/>
      </c>
      <c r="D12688">
        <f>IF(B12688="","",HOUR(A12688))</f>
        <v/>
      </c>
    </row>
    <row r="12689">
      <c r="A12689">
        <f>Input!A12689</f>
        <v/>
      </c>
      <c r="B12689">
        <f>IF(ISNUMBER(Input!B12689),IF(AND(Input!B12689&gt;=20,Input!B12689&lt;=700),Input!B12689,""),"")</f>
        <v/>
      </c>
      <c r="C12689">
        <f>IF(B12689="","",INT(A12689))</f>
        <v/>
      </c>
      <c r="D12689">
        <f>IF(B12689="","",HOUR(A12689))</f>
        <v/>
      </c>
    </row>
    <row r="12690">
      <c r="A12690">
        <f>Input!A12690</f>
        <v/>
      </c>
      <c r="B12690">
        <f>IF(ISNUMBER(Input!B12690),IF(AND(Input!B12690&gt;=20,Input!B12690&lt;=700),Input!B12690,""),"")</f>
        <v/>
      </c>
      <c r="C12690">
        <f>IF(B12690="","",INT(A12690))</f>
        <v/>
      </c>
      <c r="D12690">
        <f>IF(B12690="","",HOUR(A12690))</f>
        <v/>
      </c>
    </row>
    <row r="12691">
      <c r="A12691">
        <f>Input!A12691</f>
        <v/>
      </c>
      <c r="B12691">
        <f>IF(ISNUMBER(Input!B12691),IF(AND(Input!B12691&gt;=20,Input!B12691&lt;=700),Input!B12691,""),"")</f>
        <v/>
      </c>
      <c r="C12691">
        <f>IF(B12691="","",INT(A12691))</f>
        <v/>
      </c>
      <c r="D12691">
        <f>IF(B12691="","",HOUR(A12691))</f>
        <v/>
      </c>
    </row>
    <row r="12692">
      <c r="A12692">
        <f>Input!A12692</f>
        <v/>
      </c>
      <c r="B12692">
        <f>IF(ISNUMBER(Input!B12692),IF(AND(Input!B12692&gt;=20,Input!B12692&lt;=700),Input!B12692,""),"")</f>
        <v/>
      </c>
      <c r="C12692">
        <f>IF(B12692="","",INT(A12692))</f>
        <v/>
      </c>
      <c r="D12692">
        <f>IF(B12692="","",HOUR(A12692))</f>
        <v/>
      </c>
    </row>
    <row r="12693">
      <c r="A12693">
        <f>Input!A12693</f>
        <v/>
      </c>
      <c r="B12693">
        <f>IF(ISNUMBER(Input!B12693),IF(AND(Input!B12693&gt;=20,Input!B12693&lt;=700),Input!B12693,""),"")</f>
        <v/>
      </c>
      <c r="C12693">
        <f>IF(B12693="","",INT(A12693))</f>
        <v/>
      </c>
      <c r="D12693">
        <f>IF(B12693="","",HOUR(A12693))</f>
        <v/>
      </c>
    </row>
    <row r="12694">
      <c r="A12694">
        <f>Input!A12694</f>
        <v/>
      </c>
      <c r="B12694">
        <f>IF(ISNUMBER(Input!B12694),IF(AND(Input!B12694&gt;=20,Input!B12694&lt;=700),Input!B12694,""),"")</f>
        <v/>
      </c>
      <c r="C12694">
        <f>IF(B12694="","",INT(A12694))</f>
        <v/>
      </c>
      <c r="D12694">
        <f>IF(B12694="","",HOUR(A12694))</f>
        <v/>
      </c>
    </row>
    <row r="12695">
      <c r="A12695">
        <f>Input!A12695</f>
        <v/>
      </c>
      <c r="B12695">
        <f>IF(ISNUMBER(Input!B12695),IF(AND(Input!B12695&gt;=20,Input!B12695&lt;=700),Input!B12695,""),"")</f>
        <v/>
      </c>
      <c r="C12695">
        <f>IF(B12695="","",INT(A12695))</f>
        <v/>
      </c>
      <c r="D12695">
        <f>IF(B12695="","",HOUR(A12695))</f>
        <v/>
      </c>
    </row>
    <row r="12696">
      <c r="A12696">
        <f>Input!A12696</f>
        <v/>
      </c>
      <c r="B12696">
        <f>IF(ISNUMBER(Input!B12696),IF(AND(Input!B12696&gt;=20,Input!B12696&lt;=700),Input!B12696,""),"")</f>
        <v/>
      </c>
      <c r="C12696">
        <f>IF(B12696="","",INT(A12696))</f>
        <v/>
      </c>
      <c r="D12696">
        <f>IF(B12696="","",HOUR(A12696))</f>
        <v/>
      </c>
    </row>
    <row r="12697">
      <c r="A12697">
        <f>Input!A12697</f>
        <v/>
      </c>
      <c r="B12697">
        <f>IF(ISNUMBER(Input!B12697),IF(AND(Input!B12697&gt;=20,Input!B12697&lt;=700),Input!B12697,""),"")</f>
        <v/>
      </c>
      <c r="C12697">
        <f>IF(B12697="","",INT(A12697))</f>
        <v/>
      </c>
      <c r="D12697">
        <f>IF(B12697="","",HOUR(A12697))</f>
        <v/>
      </c>
    </row>
    <row r="12698">
      <c r="A12698">
        <f>Input!A12698</f>
        <v/>
      </c>
      <c r="B12698">
        <f>IF(ISNUMBER(Input!B12698),IF(AND(Input!B12698&gt;=20,Input!B12698&lt;=700),Input!B12698,""),"")</f>
        <v/>
      </c>
      <c r="C12698">
        <f>IF(B12698="","",INT(A12698))</f>
        <v/>
      </c>
      <c r="D12698">
        <f>IF(B12698="","",HOUR(A12698))</f>
        <v/>
      </c>
    </row>
    <row r="12699">
      <c r="A12699">
        <f>Input!A12699</f>
        <v/>
      </c>
      <c r="B12699">
        <f>IF(ISNUMBER(Input!B12699),IF(AND(Input!B12699&gt;=20,Input!B12699&lt;=700),Input!B12699,""),"")</f>
        <v/>
      </c>
      <c r="C12699">
        <f>IF(B12699="","",INT(A12699))</f>
        <v/>
      </c>
      <c r="D12699">
        <f>IF(B12699="","",HOUR(A12699))</f>
        <v/>
      </c>
    </row>
    <row r="12700">
      <c r="A12700">
        <f>Input!A12700</f>
        <v/>
      </c>
      <c r="B12700">
        <f>IF(ISNUMBER(Input!B12700),IF(AND(Input!B12700&gt;=20,Input!B12700&lt;=700),Input!B12700,""),"")</f>
        <v/>
      </c>
      <c r="C12700">
        <f>IF(B12700="","",INT(A12700))</f>
        <v/>
      </c>
      <c r="D12700">
        <f>IF(B12700="","",HOUR(A12700))</f>
        <v/>
      </c>
    </row>
    <row r="12701">
      <c r="A12701">
        <f>Input!A12701</f>
        <v/>
      </c>
      <c r="B12701">
        <f>IF(ISNUMBER(Input!B12701),IF(AND(Input!B12701&gt;=20,Input!B12701&lt;=700),Input!B12701,""),"")</f>
        <v/>
      </c>
      <c r="C12701">
        <f>IF(B12701="","",INT(A12701))</f>
        <v/>
      </c>
      <c r="D12701">
        <f>IF(B12701="","",HOUR(A12701))</f>
        <v/>
      </c>
    </row>
    <row r="12702">
      <c r="A12702">
        <f>Input!A12702</f>
        <v/>
      </c>
      <c r="B12702">
        <f>IF(ISNUMBER(Input!B12702),IF(AND(Input!B12702&gt;=20,Input!B12702&lt;=700),Input!B12702,""),"")</f>
        <v/>
      </c>
      <c r="C12702">
        <f>IF(B12702="","",INT(A12702))</f>
        <v/>
      </c>
      <c r="D12702">
        <f>IF(B12702="","",HOUR(A12702))</f>
        <v/>
      </c>
    </row>
    <row r="12703">
      <c r="A12703">
        <f>Input!A12703</f>
        <v/>
      </c>
      <c r="B12703">
        <f>IF(ISNUMBER(Input!B12703),IF(AND(Input!B12703&gt;=20,Input!B12703&lt;=700),Input!B12703,""),"")</f>
        <v/>
      </c>
      <c r="C12703">
        <f>IF(B12703="","",INT(A12703))</f>
        <v/>
      </c>
      <c r="D12703">
        <f>IF(B12703="","",HOUR(A12703))</f>
        <v/>
      </c>
    </row>
    <row r="12704">
      <c r="A12704">
        <f>Input!A12704</f>
        <v/>
      </c>
      <c r="B12704">
        <f>IF(ISNUMBER(Input!B12704),IF(AND(Input!B12704&gt;=20,Input!B12704&lt;=700),Input!B12704,""),"")</f>
        <v/>
      </c>
      <c r="C12704">
        <f>IF(B12704="","",INT(A12704))</f>
        <v/>
      </c>
      <c r="D12704">
        <f>IF(B12704="","",HOUR(A12704))</f>
        <v/>
      </c>
    </row>
    <row r="12705">
      <c r="A12705">
        <f>Input!A12705</f>
        <v/>
      </c>
      <c r="B12705">
        <f>IF(ISNUMBER(Input!B12705),IF(AND(Input!B12705&gt;=20,Input!B12705&lt;=700),Input!B12705,""),"")</f>
        <v/>
      </c>
      <c r="C12705">
        <f>IF(B12705="","",INT(A12705))</f>
        <v/>
      </c>
      <c r="D12705">
        <f>IF(B12705="","",HOUR(A12705))</f>
        <v/>
      </c>
    </row>
    <row r="12706">
      <c r="A12706">
        <f>Input!A12706</f>
        <v/>
      </c>
      <c r="B12706">
        <f>IF(ISNUMBER(Input!B12706),IF(AND(Input!B12706&gt;=20,Input!B12706&lt;=700),Input!B12706,""),"")</f>
        <v/>
      </c>
      <c r="C12706">
        <f>IF(B12706="","",INT(A12706))</f>
        <v/>
      </c>
      <c r="D12706">
        <f>IF(B12706="","",HOUR(A12706))</f>
        <v/>
      </c>
    </row>
    <row r="12707">
      <c r="A12707">
        <f>Input!A12707</f>
        <v/>
      </c>
      <c r="B12707">
        <f>IF(ISNUMBER(Input!B12707),IF(AND(Input!B12707&gt;=20,Input!B12707&lt;=700),Input!B12707,""),"")</f>
        <v/>
      </c>
      <c r="C12707">
        <f>IF(B12707="","",INT(A12707))</f>
        <v/>
      </c>
      <c r="D12707">
        <f>IF(B12707="","",HOUR(A12707))</f>
        <v/>
      </c>
    </row>
    <row r="12708">
      <c r="A12708">
        <f>Input!A12708</f>
        <v/>
      </c>
      <c r="B12708">
        <f>IF(ISNUMBER(Input!B12708),IF(AND(Input!B12708&gt;=20,Input!B12708&lt;=700),Input!B12708,""),"")</f>
        <v/>
      </c>
      <c r="C12708">
        <f>IF(B12708="","",INT(A12708))</f>
        <v/>
      </c>
      <c r="D12708">
        <f>IF(B12708="","",HOUR(A12708))</f>
        <v/>
      </c>
    </row>
    <row r="12709">
      <c r="A12709">
        <f>Input!A12709</f>
        <v/>
      </c>
      <c r="B12709">
        <f>IF(ISNUMBER(Input!B12709),IF(AND(Input!B12709&gt;=20,Input!B12709&lt;=700),Input!B12709,""),"")</f>
        <v/>
      </c>
      <c r="C12709">
        <f>IF(B12709="","",INT(A12709))</f>
        <v/>
      </c>
      <c r="D12709">
        <f>IF(B12709="","",HOUR(A12709))</f>
        <v/>
      </c>
    </row>
    <row r="12710">
      <c r="A12710">
        <f>Input!A12710</f>
        <v/>
      </c>
      <c r="B12710">
        <f>IF(ISNUMBER(Input!B12710),IF(AND(Input!B12710&gt;=20,Input!B12710&lt;=700),Input!B12710,""),"")</f>
        <v/>
      </c>
      <c r="C12710">
        <f>IF(B12710="","",INT(A12710))</f>
        <v/>
      </c>
      <c r="D12710">
        <f>IF(B12710="","",HOUR(A12710))</f>
        <v/>
      </c>
    </row>
    <row r="12711">
      <c r="A12711">
        <f>Input!A12711</f>
        <v/>
      </c>
      <c r="B12711">
        <f>IF(ISNUMBER(Input!B12711),IF(AND(Input!B12711&gt;=20,Input!B12711&lt;=700),Input!B12711,""),"")</f>
        <v/>
      </c>
      <c r="C12711">
        <f>IF(B12711="","",INT(A12711))</f>
        <v/>
      </c>
      <c r="D12711">
        <f>IF(B12711="","",HOUR(A12711))</f>
        <v/>
      </c>
    </row>
    <row r="12712">
      <c r="A12712">
        <f>Input!A12712</f>
        <v/>
      </c>
      <c r="B12712">
        <f>IF(ISNUMBER(Input!B12712),IF(AND(Input!B12712&gt;=20,Input!B12712&lt;=700),Input!B12712,""),"")</f>
        <v/>
      </c>
      <c r="C12712">
        <f>IF(B12712="","",INT(A12712))</f>
        <v/>
      </c>
      <c r="D12712">
        <f>IF(B12712="","",HOUR(A12712))</f>
        <v/>
      </c>
    </row>
    <row r="12713">
      <c r="A12713">
        <f>Input!A12713</f>
        <v/>
      </c>
      <c r="B12713">
        <f>IF(ISNUMBER(Input!B12713),IF(AND(Input!B12713&gt;=20,Input!B12713&lt;=700),Input!B12713,""),"")</f>
        <v/>
      </c>
      <c r="C12713">
        <f>IF(B12713="","",INT(A12713))</f>
        <v/>
      </c>
      <c r="D12713">
        <f>IF(B12713="","",HOUR(A12713))</f>
        <v/>
      </c>
    </row>
    <row r="12714">
      <c r="A12714">
        <f>Input!A12714</f>
        <v/>
      </c>
      <c r="B12714">
        <f>IF(ISNUMBER(Input!B12714),IF(AND(Input!B12714&gt;=20,Input!B12714&lt;=700),Input!B12714,""),"")</f>
        <v/>
      </c>
      <c r="C12714">
        <f>IF(B12714="","",INT(A12714))</f>
        <v/>
      </c>
      <c r="D12714">
        <f>IF(B12714="","",HOUR(A12714))</f>
        <v/>
      </c>
    </row>
    <row r="12715">
      <c r="A12715">
        <f>Input!A12715</f>
        <v/>
      </c>
      <c r="B12715">
        <f>IF(ISNUMBER(Input!B12715),IF(AND(Input!B12715&gt;=20,Input!B12715&lt;=700),Input!B12715,""),"")</f>
        <v/>
      </c>
      <c r="C12715">
        <f>IF(B12715="","",INT(A12715))</f>
        <v/>
      </c>
      <c r="D12715">
        <f>IF(B12715="","",HOUR(A12715))</f>
        <v/>
      </c>
    </row>
    <row r="12716">
      <c r="A12716">
        <f>Input!A12716</f>
        <v/>
      </c>
      <c r="B12716">
        <f>IF(ISNUMBER(Input!B12716),IF(AND(Input!B12716&gt;=20,Input!B12716&lt;=700),Input!B12716,""),"")</f>
        <v/>
      </c>
      <c r="C12716">
        <f>IF(B12716="","",INT(A12716))</f>
        <v/>
      </c>
      <c r="D12716">
        <f>IF(B12716="","",HOUR(A12716))</f>
        <v/>
      </c>
    </row>
    <row r="12717">
      <c r="A12717">
        <f>Input!A12717</f>
        <v/>
      </c>
      <c r="B12717">
        <f>IF(ISNUMBER(Input!B12717),IF(AND(Input!B12717&gt;=20,Input!B12717&lt;=700),Input!B12717,""),"")</f>
        <v/>
      </c>
      <c r="C12717">
        <f>IF(B12717="","",INT(A12717))</f>
        <v/>
      </c>
      <c r="D12717">
        <f>IF(B12717="","",HOUR(A12717))</f>
        <v/>
      </c>
    </row>
    <row r="12718">
      <c r="A12718">
        <f>Input!A12718</f>
        <v/>
      </c>
      <c r="B12718">
        <f>IF(ISNUMBER(Input!B12718),IF(AND(Input!B12718&gt;=20,Input!B12718&lt;=700),Input!B12718,""),"")</f>
        <v/>
      </c>
      <c r="C12718">
        <f>IF(B12718="","",INT(A12718))</f>
        <v/>
      </c>
      <c r="D12718">
        <f>IF(B12718="","",HOUR(A12718))</f>
        <v/>
      </c>
    </row>
    <row r="12719">
      <c r="A12719">
        <f>Input!A12719</f>
        <v/>
      </c>
      <c r="B12719">
        <f>IF(ISNUMBER(Input!B12719),IF(AND(Input!B12719&gt;=20,Input!B12719&lt;=700),Input!B12719,""),"")</f>
        <v/>
      </c>
      <c r="C12719">
        <f>IF(B12719="","",INT(A12719))</f>
        <v/>
      </c>
      <c r="D12719">
        <f>IF(B12719="","",HOUR(A12719))</f>
        <v/>
      </c>
    </row>
    <row r="12720">
      <c r="A12720">
        <f>Input!A12720</f>
        <v/>
      </c>
      <c r="B12720">
        <f>IF(ISNUMBER(Input!B12720),IF(AND(Input!B12720&gt;=20,Input!B12720&lt;=700),Input!B12720,""),"")</f>
        <v/>
      </c>
      <c r="C12720">
        <f>IF(B12720="","",INT(A12720))</f>
        <v/>
      </c>
      <c r="D12720">
        <f>IF(B12720="","",HOUR(A12720))</f>
        <v/>
      </c>
    </row>
    <row r="12721">
      <c r="A12721">
        <f>Input!A12721</f>
        <v/>
      </c>
      <c r="B12721">
        <f>IF(ISNUMBER(Input!B12721),IF(AND(Input!B12721&gt;=20,Input!B12721&lt;=700),Input!B12721,""),"")</f>
        <v/>
      </c>
      <c r="C12721">
        <f>IF(B12721="","",INT(A12721))</f>
        <v/>
      </c>
      <c r="D12721">
        <f>IF(B12721="","",HOUR(A12721))</f>
        <v/>
      </c>
    </row>
    <row r="12722">
      <c r="A12722">
        <f>Input!A12722</f>
        <v/>
      </c>
      <c r="B12722">
        <f>IF(ISNUMBER(Input!B12722),IF(AND(Input!B12722&gt;=20,Input!B12722&lt;=700),Input!B12722,""),"")</f>
        <v/>
      </c>
      <c r="C12722">
        <f>IF(B12722="","",INT(A12722))</f>
        <v/>
      </c>
      <c r="D12722">
        <f>IF(B12722="","",HOUR(A12722))</f>
        <v/>
      </c>
    </row>
    <row r="12723">
      <c r="A12723">
        <f>Input!A12723</f>
        <v/>
      </c>
      <c r="B12723">
        <f>IF(ISNUMBER(Input!B12723),IF(AND(Input!B12723&gt;=20,Input!B12723&lt;=700),Input!B12723,""),"")</f>
        <v/>
      </c>
      <c r="C12723">
        <f>IF(B12723="","",INT(A12723))</f>
        <v/>
      </c>
      <c r="D12723">
        <f>IF(B12723="","",HOUR(A12723))</f>
        <v/>
      </c>
    </row>
    <row r="12724">
      <c r="A12724">
        <f>Input!A12724</f>
        <v/>
      </c>
      <c r="B12724">
        <f>IF(ISNUMBER(Input!B12724),IF(AND(Input!B12724&gt;=20,Input!B12724&lt;=700),Input!B12724,""),"")</f>
        <v/>
      </c>
      <c r="C12724">
        <f>IF(B12724="","",INT(A12724))</f>
        <v/>
      </c>
      <c r="D12724">
        <f>IF(B12724="","",HOUR(A12724))</f>
        <v/>
      </c>
    </row>
    <row r="12725">
      <c r="A12725">
        <f>Input!A12725</f>
        <v/>
      </c>
      <c r="B12725">
        <f>IF(ISNUMBER(Input!B12725),IF(AND(Input!B12725&gt;=20,Input!B12725&lt;=700),Input!B12725,""),"")</f>
        <v/>
      </c>
      <c r="C12725">
        <f>IF(B12725="","",INT(A12725))</f>
        <v/>
      </c>
      <c r="D12725">
        <f>IF(B12725="","",HOUR(A12725))</f>
        <v/>
      </c>
    </row>
    <row r="12726">
      <c r="A12726">
        <f>Input!A12726</f>
        <v/>
      </c>
      <c r="B12726">
        <f>IF(ISNUMBER(Input!B12726),IF(AND(Input!B12726&gt;=20,Input!B12726&lt;=700),Input!B12726,""),"")</f>
        <v/>
      </c>
      <c r="C12726">
        <f>IF(B12726="","",INT(A12726))</f>
        <v/>
      </c>
      <c r="D12726">
        <f>IF(B12726="","",HOUR(A12726))</f>
        <v/>
      </c>
    </row>
    <row r="12727">
      <c r="A12727">
        <f>Input!A12727</f>
        <v/>
      </c>
      <c r="B12727">
        <f>IF(ISNUMBER(Input!B12727),IF(AND(Input!B12727&gt;=20,Input!B12727&lt;=700),Input!B12727,""),"")</f>
        <v/>
      </c>
      <c r="C12727">
        <f>IF(B12727="","",INT(A12727))</f>
        <v/>
      </c>
      <c r="D12727">
        <f>IF(B12727="","",HOUR(A12727))</f>
        <v/>
      </c>
    </row>
    <row r="12728">
      <c r="A12728">
        <f>Input!A12728</f>
        <v/>
      </c>
      <c r="B12728">
        <f>IF(ISNUMBER(Input!B12728),IF(AND(Input!B12728&gt;=20,Input!B12728&lt;=700),Input!B12728,""),"")</f>
        <v/>
      </c>
      <c r="C12728">
        <f>IF(B12728="","",INT(A12728))</f>
        <v/>
      </c>
      <c r="D12728">
        <f>IF(B12728="","",HOUR(A12728))</f>
        <v/>
      </c>
    </row>
    <row r="12729">
      <c r="A12729">
        <f>Input!A12729</f>
        <v/>
      </c>
      <c r="B12729">
        <f>IF(ISNUMBER(Input!B12729),IF(AND(Input!B12729&gt;=20,Input!B12729&lt;=700),Input!B12729,""),"")</f>
        <v/>
      </c>
      <c r="C12729">
        <f>IF(B12729="","",INT(A12729))</f>
        <v/>
      </c>
      <c r="D12729">
        <f>IF(B12729="","",HOUR(A12729))</f>
        <v/>
      </c>
    </row>
    <row r="12730">
      <c r="A12730">
        <f>Input!A12730</f>
        <v/>
      </c>
      <c r="B12730">
        <f>IF(ISNUMBER(Input!B12730),IF(AND(Input!B12730&gt;=20,Input!B12730&lt;=700),Input!B12730,""),"")</f>
        <v/>
      </c>
      <c r="C12730">
        <f>IF(B12730="","",INT(A12730))</f>
        <v/>
      </c>
      <c r="D12730">
        <f>IF(B12730="","",HOUR(A12730))</f>
        <v/>
      </c>
    </row>
    <row r="12731">
      <c r="A12731">
        <f>Input!A12731</f>
        <v/>
      </c>
      <c r="B12731">
        <f>IF(ISNUMBER(Input!B12731),IF(AND(Input!B12731&gt;=20,Input!B12731&lt;=700),Input!B12731,""),"")</f>
        <v/>
      </c>
      <c r="C12731">
        <f>IF(B12731="","",INT(A12731))</f>
        <v/>
      </c>
      <c r="D12731">
        <f>IF(B12731="","",HOUR(A12731))</f>
        <v/>
      </c>
    </row>
    <row r="12732">
      <c r="A12732">
        <f>Input!A12732</f>
        <v/>
      </c>
      <c r="B12732">
        <f>IF(ISNUMBER(Input!B12732),IF(AND(Input!B12732&gt;=20,Input!B12732&lt;=700),Input!B12732,""),"")</f>
        <v/>
      </c>
      <c r="C12732">
        <f>IF(B12732="","",INT(A12732))</f>
        <v/>
      </c>
      <c r="D12732">
        <f>IF(B12732="","",HOUR(A12732))</f>
        <v/>
      </c>
    </row>
    <row r="12733">
      <c r="A12733">
        <f>Input!A12733</f>
        <v/>
      </c>
      <c r="B12733">
        <f>IF(ISNUMBER(Input!B12733),IF(AND(Input!B12733&gt;=20,Input!B12733&lt;=700),Input!B12733,""),"")</f>
        <v/>
      </c>
      <c r="C12733">
        <f>IF(B12733="","",INT(A12733))</f>
        <v/>
      </c>
      <c r="D12733">
        <f>IF(B12733="","",HOUR(A12733))</f>
        <v/>
      </c>
    </row>
    <row r="12734">
      <c r="A12734">
        <f>Input!A12734</f>
        <v/>
      </c>
      <c r="B12734">
        <f>IF(ISNUMBER(Input!B12734),IF(AND(Input!B12734&gt;=20,Input!B12734&lt;=700),Input!B12734,""),"")</f>
        <v/>
      </c>
      <c r="C12734">
        <f>IF(B12734="","",INT(A12734))</f>
        <v/>
      </c>
      <c r="D12734">
        <f>IF(B12734="","",HOUR(A12734))</f>
        <v/>
      </c>
    </row>
    <row r="12735">
      <c r="A12735">
        <f>Input!A12735</f>
        <v/>
      </c>
      <c r="B12735">
        <f>IF(ISNUMBER(Input!B12735),IF(AND(Input!B12735&gt;=20,Input!B12735&lt;=700),Input!B12735,""),"")</f>
        <v/>
      </c>
      <c r="C12735">
        <f>IF(B12735="","",INT(A12735))</f>
        <v/>
      </c>
      <c r="D12735">
        <f>IF(B12735="","",HOUR(A12735))</f>
        <v/>
      </c>
    </row>
    <row r="12736">
      <c r="A12736">
        <f>Input!A12736</f>
        <v/>
      </c>
      <c r="B12736">
        <f>IF(ISNUMBER(Input!B12736),IF(AND(Input!B12736&gt;=20,Input!B12736&lt;=700),Input!B12736,""),"")</f>
        <v/>
      </c>
      <c r="C12736">
        <f>IF(B12736="","",INT(A12736))</f>
        <v/>
      </c>
      <c r="D12736">
        <f>IF(B12736="","",HOUR(A12736))</f>
        <v/>
      </c>
    </row>
    <row r="12737">
      <c r="A12737">
        <f>Input!A12737</f>
        <v/>
      </c>
      <c r="B12737">
        <f>IF(ISNUMBER(Input!B12737),IF(AND(Input!B12737&gt;=20,Input!B12737&lt;=700),Input!B12737,""),"")</f>
        <v/>
      </c>
      <c r="C12737">
        <f>IF(B12737="","",INT(A12737))</f>
        <v/>
      </c>
      <c r="D12737">
        <f>IF(B12737="","",HOUR(A12737))</f>
        <v/>
      </c>
    </row>
    <row r="12738">
      <c r="A12738">
        <f>Input!A12738</f>
        <v/>
      </c>
      <c r="B12738">
        <f>IF(ISNUMBER(Input!B12738),IF(AND(Input!B12738&gt;=20,Input!B12738&lt;=700),Input!B12738,""),"")</f>
        <v/>
      </c>
      <c r="C12738">
        <f>IF(B12738="","",INT(A12738))</f>
        <v/>
      </c>
      <c r="D12738">
        <f>IF(B12738="","",HOUR(A12738))</f>
        <v/>
      </c>
    </row>
    <row r="12739">
      <c r="A12739">
        <f>Input!A12739</f>
        <v/>
      </c>
      <c r="B12739">
        <f>IF(ISNUMBER(Input!B12739),IF(AND(Input!B12739&gt;=20,Input!B12739&lt;=700),Input!B12739,""),"")</f>
        <v/>
      </c>
      <c r="C12739">
        <f>IF(B12739="","",INT(A12739))</f>
        <v/>
      </c>
      <c r="D12739">
        <f>IF(B12739="","",HOUR(A12739))</f>
        <v/>
      </c>
    </row>
    <row r="12740">
      <c r="A12740">
        <f>Input!A12740</f>
        <v/>
      </c>
      <c r="B12740">
        <f>IF(ISNUMBER(Input!B12740),IF(AND(Input!B12740&gt;=20,Input!B12740&lt;=700),Input!B12740,""),"")</f>
        <v/>
      </c>
      <c r="C12740">
        <f>IF(B12740="","",INT(A12740))</f>
        <v/>
      </c>
      <c r="D12740">
        <f>IF(B12740="","",HOUR(A12740))</f>
        <v/>
      </c>
    </row>
    <row r="12741">
      <c r="A12741">
        <f>Input!A12741</f>
        <v/>
      </c>
      <c r="B12741">
        <f>IF(ISNUMBER(Input!B12741),IF(AND(Input!B12741&gt;=20,Input!B12741&lt;=700),Input!B12741,""),"")</f>
        <v/>
      </c>
      <c r="C12741">
        <f>IF(B12741="","",INT(A12741))</f>
        <v/>
      </c>
      <c r="D12741">
        <f>IF(B12741="","",HOUR(A12741))</f>
        <v/>
      </c>
    </row>
    <row r="12742">
      <c r="A12742">
        <f>Input!A12742</f>
        <v/>
      </c>
      <c r="B12742">
        <f>IF(ISNUMBER(Input!B12742),IF(AND(Input!B12742&gt;=20,Input!B12742&lt;=700),Input!B12742,""),"")</f>
        <v/>
      </c>
      <c r="C12742">
        <f>IF(B12742="","",INT(A12742))</f>
        <v/>
      </c>
      <c r="D12742">
        <f>IF(B12742="","",HOUR(A12742))</f>
        <v/>
      </c>
    </row>
    <row r="12743">
      <c r="A12743">
        <f>Input!A12743</f>
        <v/>
      </c>
      <c r="B12743">
        <f>IF(ISNUMBER(Input!B12743),IF(AND(Input!B12743&gt;=20,Input!B12743&lt;=700),Input!B12743,""),"")</f>
        <v/>
      </c>
      <c r="C12743">
        <f>IF(B12743="","",INT(A12743))</f>
        <v/>
      </c>
      <c r="D12743">
        <f>IF(B12743="","",HOUR(A12743))</f>
        <v/>
      </c>
    </row>
    <row r="12744">
      <c r="A12744">
        <f>Input!A12744</f>
        <v/>
      </c>
      <c r="B12744">
        <f>IF(ISNUMBER(Input!B12744),IF(AND(Input!B12744&gt;=20,Input!B12744&lt;=700),Input!B12744,""),"")</f>
        <v/>
      </c>
      <c r="C12744">
        <f>IF(B12744="","",INT(A12744))</f>
        <v/>
      </c>
      <c r="D12744">
        <f>IF(B12744="","",HOUR(A12744))</f>
        <v/>
      </c>
    </row>
    <row r="12745">
      <c r="A12745">
        <f>Input!A12745</f>
        <v/>
      </c>
      <c r="B12745">
        <f>IF(ISNUMBER(Input!B12745),IF(AND(Input!B12745&gt;=20,Input!B12745&lt;=700),Input!B12745,""),"")</f>
        <v/>
      </c>
      <c r="C12745">
        <f>IF(B12745="","",INT(A12745))</f>
        <v/>
      </c>
      <c r="D12745">
        <f>IF(B12745="","",HOUR(A12745))</f>
        <v/>
      </c>
    </row>
    <row r="12746">
      <c r="A12746">
        <f>Input!A12746</f>
        <v/>
      </c>
      <c r="B12746">
        <f>IF(ISNUMBER(Input!B12746),IF(AND(Input!B12746&gt;=20,Input!B12746&lt;=700),Input!B12746,""),"")</f>
        <v/>
      </c>
      <c r="C12746">
        <f>IF(B12746="","",INT(A12746))</f>
        <v/>
      </c>
      <c r="D12746">
        <f>IF(B12746="","",HOUR(A12746))</f>
        <v/>
      </c>
    </row>
    <row r="12747">
      <c r="A12747">
        <f>Input!A12747</f>
        <v/>
      </c>
      <c r="B12747">
        <f>IF(ISNUMBER(Input!B12747),IF(AND(Input!B12747&gt;=20,Input!B12747&lt;=700),Input!B12747,""),"")</f>
        <v/>
      </c>
      <c r="C12747">
        <f>IF(B12747="","",INT(A12747))</f>
        <v/>
      </c>
      <c r="D12747">
        <f>IF(B12747="","",HOUR(A12747))</f>
        <v/>
      </c>
    </row>
    <row r="12748">
      <c r="A12748">
        <f>Input!A12748</f>
        <v/>
      </c>
      <c r="B12748">
        <f>IF(ISNUMBER(Input!B12748),IF(AND(Input!B12748&gt;=20,Input!B12748&lt;=700),Input!B12748,""),"")</f>
        <v/>
      </c>
      <c r="C12748">
        <f>IF(B12748="","",INT(A12748))</f>
        <v/>
      </c>
      <c r="D12748">
        <f>IF(B12748="","",HOUR(A12748))</f>
        <v/>
      </c>
    </row>
    <row r="12749">
      <c r="A12749">
        <f>Input!A12749</f>
        <v/>
      </c>
      <c r="B12749">
        <f>IF(ISNUMBER(Input!B12749),IF(AND(Input!B12749&gt;=20,Input!B12749&lt;=700),Input!B12749,""),"")</f>
        <v/>
      </c>
      <c r="C12749">
        <f>IF(B12749="","",INT(A12749))</f>
        <v/>
      </c>
      <c r="D12749">
        <f>IF(B12749="","",HOUR(A12749))</f>
        <v/>
      </c>
    </row>
    <row r="12750">
      <c r="A12750">
        <f>Input!A12750</f>
        <v/>
      </c>
      <c r="B12750">
        <f>IF(ISNUMBER(Input!B12750),IF(AND(Input!B12750&gt;=20,Input!B12750&lt;=700),Input!B12750,""),"")</f>
        <v/>
      </c>
      <c r="C12750">
        <f>IF(B12750="","",INT(A12750))</f>
        <v/>
      </c>
      <c r="D12750">
        <f>IF(B12750="","",HOUR(A12750))</f>
        <v/>
      </c>
    </row>
    <row r="12751">
      <c r="A12751">
        <f>Input!A12751</f>
        <v/>
      </c>
      <c r="B12751">
        <f>IF(ISNUMBER(Input!B12751),IF(AND(Input!B12751&gt;=20,Input!B12751&lt;=700),Input!B12751,""),"")</f>
        <v/>
      </c>
      <c r="C12751">
        <f>IF(B12751="","",INT(A12751))</f>
        <v/>
      </c>
      <c r="D12751">
        <f>IF(B12751="","",HOUR(A12751))</f>
        <v/>
      </c>
    </row>
    <row r="12752">
      <c r="A12752">
        <f>Input!A12752</f>
        <v/>
      </c>
      <c r="B12752">
        <f>IF(ISNUMBER(Input!B12752),IF(AND(Input!B12752&gt;=20,Input!B12752&lt;=700),Input!B12752,""),"")</f>
        <v/>
      </c>
      <c r="C12752">
        <f>IF(B12752="","",INT(A12752))</f>
        <v/>
      </c>
      <c r="D12752">
        <f>IF(B12752="","",HOUR(A12752))</f>
        <v/>
      </c>
    </row>
    <row r="12753">
      <c r="A12753">
        <f>Input!A12753</f>
        <v/>
      </c>
      <c r="B12753">
        <f>IF(ISNUMBER(Input!B12753),IF(AND(Input!B12753&gt;=20,Input!B12753&lt;=700),Input!B12753,""),"")</f>
        <v/>
      </c>
      <c r="C12753">
        <f>IF(B12753="","",INT(A12753))</f>
        <v/>
      </c>
      <c r="D12753">
        <f>IF(B12753="","",HOUR(A12753))</f>
        <v/>
      </c>
    </row>
    <row r="12754">
      <c r="A12754">
        <f>Input!A12754</f>
        <v/>
      </c>
      <c r="B12754">
        <f>IF(ISNUMBER(Input!B12754),IF(AND(Input!B12754&gt;=20,Input!B12754&lt;=700),Input!B12754,""),"")</f>
        <v/>
      </c>
      <c r="C12754">
        <f>IF(B12754="","",INT(A12754))</f>
        <v/>
      </c>
      <c r="D12754">
        <f>IF(B12754="","",HOUR(A12754))</f>
        <v/>
      </c>
    </row>
    <row r="12755">
      <c r="A12755">
        <f>Input!A12755</f>
        <v/>
      </c>
      <c r="B12755">
        <f>IF(ISNUMBER(Input!B12755),IF(AND(Input!B12755&gt;=20,Input!B12755&lt;=700),Input!B12755,""),"")</f>
        <v/>
      </c>
      <c r="C12755">
        <f>IF(B12755="","",INT(A12755))</f>
        <v/>
      </c>
      <c r="D12755">
        <f>IF(B12755="","",HOUR(A12755))</f>
        <v/>
      </c>
    </row>
    <row r="12756">
      <c r="A12756">
        <f>Input!A12756</f>
        <v/>
      </c>
      <c r="B12756">
        <f>IF(ISNUMBER(Input!B12756),IF(AND(Input!B12756&gt;=20,Input!B12756&lt;=700),Input!B12756,""),"")</f>
        <v/>
      </c>
      <c r="C12756">
        <f>IF(B12756="","",INT(A12756))</f>
        <v/>
      </c>
      <c r="D12756">
        <f>IF(B12756="","",HOUR(A12756))</f>
        <v/>
      </c>
    </row>
    <row r="12757">
      <c r="A12757">
        <f>Input!A12757</f>
        <v/>
      </c>
      <c r="B12757">
        <f>IF(ISNUMBER(Input!B12757),IF(AND(Input!B12757&gt;=20,Input!B12757&lt;=700),Input!B12757,""),"")</f>
        <v/>
      </c>
      <c r="C12757">
        <f>IF(B12757="","",INT(A12757))</f>
        <v/>
      </c>
      <c r="D12757">
        <f>IF(B12757="","",HOUR(A12757))</f>
        <v/>
      </c>
    </row>
    <row r="12758">
      <c r="A12758">
        <f>Input!A12758</f>
        <v/>
      </c>
      <c r="B12758">
        <f>IF(ISNUMBER(Input!B12758),IF(AND(Input!B12758&gt;=20,Input!B12758&lt;=700),Input!B12758,""),"")</f>
        <v/>
      </c>
      <c r="C12758">
        <f>IF(B12758="","",INT(A12758))</f>
        <v/>
      </c>
      <c r="D12758">
        <f>IF(B12758="","",HOUR(A12758))</f>
        <v/>
      </c>
    </row>
    <row r="12759">
      <c r="A12759">
        <f>Input!A12759</f>
        <v/>
      </c>
      <c r="B12759">
        <f>IF(ISNUMBER(Input!B12759),IF(AND(Input!B12759&gt;=20,Input!B12759&lt;=700),Input!B12759,""),"")</f>
        <v/>
      </c>
      <c r="C12759">
        <f>IF(B12759="","",INT(A12759))</f>
        <v/>
      </c>
      <c r="D12759">
        <f>IF(B12759="","",HOUR(A12759))</f>
        <v/>
      </c>
    </row>
    <row r="12760">
      <c r="A12760">
        <f>Input!A12760</f>
        <v/>
      </c>
      <c r="B12760">
        <f>IF(ISNUMBER(Input!B12760),IF(AND(Input!B12760&gt;=20,Input!B12760&lt;=700),Input!B12760,""),"")</f>
        <v/>
      </c>
      <c r="C12760">
        <f>IF(B12760="","",INT(A12760))</f>
        <v/>
      </c>
      <c r="D12760">
        <f>IF(B12760="","",HOUR(A12760))</f>
        <v/>
      </c>
    </row>
    <row r="12761">
      <c r="A12761">
        <f>Input!A12761</f>
        <v/>
      </c>
      <c r="B12761">
        <f>IF(ISNUMBER(Input!B12761),IF(AND(Input!B12761&gt;=20,Input!B12761&lt;=700),Input!B12761,""),"")</f>
        <v/>
      </c>
      <c r="C12761">
        <f>IF(B12761="","",INT(A12761))</f>
        <v/>
      </c>
      <c r="D12761">
        <f>IF(B12761="","",HOUR(A12761))</f>
        <v/>
      </c>
    </row>
    <row r="12762">
      <c r="A12762">
        <f>Input!A12762</f>
        <v/>
      </c>
      <c r="B12762">
        <f>IF(ISNUMBER(Input!B12762),IF(AND(Input!B12762&gt;=20,Input!B12762&lt;=700),Input!B12762,""),"")</f>
        <v/>
      </c>
      <c r="C12762">
        <f>IF(B12762="","",INT(A12762))</f>
        <v/>
      </c>
      <c r="D12762">
        <f>IF(B12762="","",HOUR(A12762))</f>
        <v/>
      </c>
    </row>
    <row r="12763">
      <c r="A12763">
        <f>Input!A12763</f>
        <v/>
      </c>
      <c r="B12763">
        <f>IF(ISNUMBER(Input!B12763),IF(AND(Input!B12763&gt;=20,Input!B12763&lt;=700),Input!B12763,""),"")</f>
        <v/>
      </c>
      <c r="C12763">
        <f>IF(B12763="","",INT(A12763))</f>
        <v/>
      </c>
      <c r="D12763">
        <f>IF(B12763="","",HOUR(A12763))</f>
        <v/>
      </c>
    </row>
    <row r="12764">
      <c r="A12764">
        <f>Input!A12764</f>
        <v/>
      </c>
      <c r="B12764">
        <f>IF(ISNUMBER(Input!B12764),IF(AND(Input!B12764&gt;=20,Input!B12764&lt;=700),Input!B12764,""),"")</f>
        <v/>
      </c>
      <c r="C12764">
        <f>IF(B12764="","",INT(A12764))</f>
        <v/>
      </c>
      <c r="D12764">
        <f>IF(B12764="","",HOUR(A12764))</f>
        <v/>
      </c>
    </row>
    <row r="12765">
      <c r="A12765">
        <f>Input!A12765</f>
        <v/>
      </c>
      <c r="B12765">
        <f>IF(ISNUMBER(Input!B12765),IF(AND(Input!B12765&gt;=20,Input!B12765&lt;=700),Input!B12765,""),"")</f>
        <v/>
      </c>
      <c r="C12765">
        <f>IF(B12765="","",INT(A12765))</f>
        <v/>
      </c>
      <c r="D12765">
        <f>IF(B12765="","",HOUR(A12765))</f>
        <v/>
      </c>
    </row>
    <row r="12766">
      <c r="A12766">
        <f>Input!A12766</f>
        <v/>
      </c>
      <c r="B12766">
        <f>IF(ISNUMBER(Input!B12766),IF(AND(Input!B12766&gt;=20,Input!B12766&lt;=700),Input!B12766,""),"")</f>
        <v/>
      </c>
      <c r="C12766">
        <f>IF(B12766="","",INT(A12766))</f>
        <v/>
      </c>
      <c r="D12766">
        <f>IF(B12766="","",HOUR(A12766))</f>
        <v/>
      </c>
    </row>
    <row r="12767">
      <c r="A12767">
        <f>Input!A12767</f>
        <v/>
      </c>
      <c r="B12767">
        <f>IF(ISNUMBER(Input!B12767),IF(AND(Input!B12767&gt;=20,Input!B12767&lt;=700),Input!B12767,""),"")</f>
        <v/>
      </c>
      <c r="C12767">
        <f>IF(B12767="","",INT(A12767))</f>
        <v/>
      </c>
      <c r="D12767">
        <f>IF(B12767="","",HOUR(A12767))</f>
        <v/>
      </c>
    </row>
    <row r="12768">
      <c r="A12768">
        <f>Input!A12768</f>
        <v/>
      </c>
      <c r="B12768">
        <f>IF(ISNUMBER(Input!B12768),IF(AND(Input!B12768&gt;=20,Input!B12768&lt;=700),Input!B12768,""),"")</f>
        <v/>
      </c>
      <c r="C12768">
        <f>IF(B12768="","",INT(A12768))</f>
        <v/>
      </c>
      <c r="D12768">
        <f>IF(B12768="","",HOUR(A12768))</f>
        <v/>
      </c>
    </row>
    <row r="12769">
      <c r="A12769">
        <f>Input!A12769</f>
        <v/>
      </c>
      <c r="B12769">
        <f>IF(ISNUMBER(Input!B12769),IF(AND(Input!B12769&gt;=20,Input!B12769&lt;=700),Input!B12769,""),"")</f>
        <v/>
      </c>
      <c r="C12769">
        <f>IF(B12769="","",INT(A12769))</f>
        <v/>
      </c>
      <c r="D12769">
        <f>IF(B12769="","",HOUR(A12769))</f>
        <v/>
      </c>
    </row>
    <row r="12770">
      <c r="A12770">
        <f>Input!A12770</f>
        <v/>
      </c>
      <c r="B12770">
        <f>IF(ISNUMBER(Input!B12770),IF(AND(Input!B12770&gt;=20,Input!B12770&lt;=700),Input!B12770,""),"")</f>
        <v/>
      </c>
      <c r="C12770">
        <f>IF(B12770="","",INT(A12770))</f>
        <v/>
      </c>
      <c r="D12770">
        <f>IF(B12770="","",HOUR(A12770))</f>
        <v/>
      </c>
    </row>
    <row r="12771">
      <c r="A12771">
        <f>Input!A12771</f>
        <v/>
      </c>
      <c r="B12771">
        <f>IF(ISNUMBER(Input!B12771),IF(AND(Input!B12771&gt;=20,Input!B12771&lt;=700),Input!B12771,""),"")</f>
        <v/>
      </c>
      <c r="C12771">
        <f>IF(B12771="","",INT(A12771))</f>
        <v/>
      </c>
      <c r="D12771">
        <f>IF(B12771="","",HOUR(A12771))</f>
        <v/>
      </c>
    </row>
    <row r="12772">
      <c r="A12772">
        <f>Input!A12772</f>
        <v/>
      </c>
      <c r="B12772">
        <f>IF(ISNUMBER(Input!B12772),IF(AND(Input!B12772&gt;=20,Input!B12772&lt;=700),Input!B12772,""),"")</f>
        <v/>
      </c>
      <c r="C12772">
        <f>IF(B12772="","",INT(A12772))</f>
        <v/>
      </c>
      <c r="D12772">
        <f>IF(B12772="","",HOUR(A12772))</f>
        <v/>
      </c>
    </row>
    <row r="12773">
      <c r="A12773">
        <f>Input!A12773</f>
        <v/>
      </c>
      <c r="B12773">
        <f>IF(ISNUMBER(Input!B12773),IF(AND(Input!B12773&gt;=20,Input!B12773&lt;=700),Input!B12773,""),"")</f>
        <v/>
      </c>
      <c r="C12773">
        <f>IF(B12773="","",INT(A12773))</f>
        <v/>
      </c>
      <c r="D12773">
        <f>IF(B12773="","",HOUR(A12773))</f>
        <v/>
      </c>
    </row>
    <row r="12774">
      <c r="A12774">
        <f>Input!A12774</f>
        <v/>
      </c>
      <c r="B12774">
        <f>IF(ISNUMBER(Input!B12774),IF(AND(Input!B12774&gt;=20,Input!B12774&lt;=700),Input!B12774,""),"")</f>
        <v/>
      </c>
      <c r="C12774">
        <f>IF(B12774="","",INT(A12774))</f>
        <v/>
      </c>
      <c r="D12774">
        <f>IF(B12774="","",HOUR(A12774))</f>
        <v/>
      </c>
    </row>
    <row r="12775">
      <c r="A12775">
        <f>Input!A12775</f>
        <v/>
      </c>
      <c r="B12775">
        <f>IF(ISNUMBER(Input!B12775),IF(AND(Input!B12775&gt;=20,Input!B12775&lt;=700),Input!B12775,""),"")</f>
        <v/>
      </c>
      <c r="C12775">
        <f>IF(B12775="","",INT(A12775))</f>
        <v/>
      </c>
      <c r="D12775">
        <f>IF(B12775="","",HOUR(A12775))</f>
        <v/>
      </c>
    </row>
    <row r="12776">
      <c r="A12776">
        <f>Input!A12776</f>
        <v/>
      </c>
      <c r="B12776">
        <f>IF(ISNUMBER(Input!B12776),IF(AND(Input!B12776&gt;=20,Input!B12776&lt;=700),Input!B12776,""),"")</f>
        <v/>
      </c>
      <c r="C12776">
        <f>IF(B12776="","",INT(A12776))</f>
        <v/>
      </c>
      <c r="D12776">
        <f>IF(B12776="","",HOUR(A12776))</f>
        <v/>
      </c>
    </row>
    <row r="12777">
      <c r="A12777">
        <f>Input!A12777</f>
        <v/>
      </c>
      <c r="B12777">
        <f>IF(ISNUMBER(Input!B12777),IF(AND(Input!B12777&gt;=20,Input!B12777&lt;=700),Input!B12777,""),"")</f>
        <v/>
      </c>
      <c r="C12777">
        <f>IF(B12777="","",INT(A12777))</f>
        <v/>
      </c>
      <c r="D12777">
        <f>IF(B12777="","",HOUR(A12777))</f>
        <v/>
      </c>
    </row>
    <row r="12778">
      <c r="A12778">
        <f>Input!A12778</f>
        <v/>
      </c>
      <c r="B12778">
        <f>IF(ISNUMBER(Input!B12778),IF(AND(Input!B12778&gt;=20,Input!B12778&lt;=700),Input!B12778,""),"")</f>
        <v/>
      </c>
      <c r="C12778">
        <f>IF(B12778="","",INT(A12778))</f>
        <v/>
      </c>
      <c r="D12778">
        <f>IF(B12778="","",HOUR(A12778))</f>
        <v/>
      </c>
    </row>
    <row r="12779">
      <c r="A12779">
        <f>Input!A12779</f>
        <v/>
      </c>
      <c r="B12779">
        <f>IF(ISNUMBER(Input!B12779),IF(AND(Input!B12779&gt;=20,Input!B12779&lt;=700),Input!B12779,""),"")</f>
        <v/>
      </c>
      <c r="C12779">
        <f>IF(B12779="","",INT(A12779))</f>
        <v/>
      </c>
      <c r="D12779">
        <f>IF(B12779="","",HOUR(A12779))</f>
        <v/>
      </c>
    </row>
    <row r="12780">
      <c r="A12780">
        <f>Input!A12780</f>
        <v/>
      </c>
      <c r="B12780">
        <f>IF(ISNUMBER(Input!B12780),IF(AND(Input!B12780&gt;=20,Input!B12780&lt;=700),Input!B12780,""),"")</f>
        <v/>
      </c>
      <c r="C12780">
        <f>IF(B12780="","",INT(A12780))</f>
        <v/>
      </c>
      <c r="D12780">
        <f>IF(B12780="","",HOUR(A12780))</f>
        <v/>
      </c>
    </row>
    <row r="12781">
      <c r="A12781">
        <f>Input!A12781</f>
        <v/>
      </c>
      <c r="B12781">
        <f>IF(ISNUMBER(Input!B12781),IF(AND(Input!B12781&gt;=20,Input!B12781&lt;=700),Input!B12781,""),"")</f>
        <v/>
      </c>
      <c r="C12781">
        <f>IF(B12781="","",INT(A12781))</f>
        <v/>
      </c>
      <c r="D12781">
        <f>IF(B12781="","",HOUR(A12781))</f>
        <v/>
      </c>
    </row>
    <row r="12782">
      <c r="A12782">
        <f>Input!A12782</f>
        <v/>
      </c>
      <c r="B12782">
        <f>IF(ISNUMBER(Input!B12782),IF(AND(Input!B12782&gt;=20,Input!B12782&lt;=700),Input!B12782,""),"")</f>
        <v/>
      </c>
      <c r="C12782">
        <f>IF(B12782="","",INT(A12782))</f>
        <v/>
      </c>
      <c r="D12782">
        <f>IF(B12782="","",HOUR(A12782))</f>
        <v/>
      </c>
    </row>
    <row r="12783">
      <c r="A12783">
        <f>Input!A12783</f>
        <v/>
      </c>
      <c r="B12783">
        <f>IF(ISNUMBER(Input!B12783),IF(AND(Input!B12783&gt;=20,Input!B12783&lt;=700),Input!B12783,""),"")</f>
        <v/>
      </c>
      <c r="C12783">
        <f>IF(B12783="","",INT(A12783))</f>
        <v/>
      </c>
      <c r="D12783">
        <f>IF(B12783="","",HOUR(A12783))</f>
        <v/>
      </c>
    </row>
    <row r="12784">
      <c r="A12784">
        <f>Input!A12784</f>
        <v/>
      </c>
      <c r="B12784">
        <f>IF(ISNUMBER(Input!B12784),IF(AND(Input!B12784&gt;=20,Input!B12784&lt;=700),Input!B12784,""),"")</f>
        <v/>
      </c>
      <c r="C12784">
        <f>IF(B12784="","",INT(A12784))</f>
        <v/>
      </c>
      <c r="D12784">
        <f>IF(B12784="","",HOUR(A12784))</f>
        <v/>
      </c>
    </row>
    <row r="12785">
      <c r="A12785">
        <f>Input!A12785</f>
        <v/>
      </c>
      <c r="B12785">
        <f>IF(ISNUMBER(Input!B12785),IF(AND(Input!B12785&gt;=20,Input!B12785&lt;=700),Input!B12785,""),"")</f>
        <v/>
      </c>
      <c r="C12785">
        <f>IF(B12785="","",INT(A12785))</f>
        <v/>
      </c>
      <c r="D12785">
        <f>IF(B12785="","",HOUR(A12785))</f>
        <v/>
      </c>
    </row>
    <row r="12786">
      <c r="A12786">
        <f>Input!A12786</f>
        <v/>
      </c>
      <c r="B12786">
        <f>IF(ISNUMBER(Input!B12786),IF(AND(Input!B12786&gt;=20,Input!B12786&lt;=700),Input!B12786,""),"")</f>
        <v/>
      </c>
      <c r="C12786">
        <f>IF(B12786="","",INT(A12786))</f>
        <v/>
      </c>
      <c r="D12786">
        <f>IF(B12786="","",HOUR(A12786))</f>
        <v/>
      </c>
    </row>
    <row r="12787">
      <c r="A12787">
        <f>Input!A12787</f>
        <v/>
      </c>
      <c r="B12787">
        <f>IF(ISNUMBER(Input!B12787),IF(AND(Input!B12787&gt;=20,Input!B12787&lt;=700),Input!B12787,""),"")</f>
        <v/>
      </c>
      <c r="C12787">
        <f>IF(B12787="","",INT(A12787))</f>
        <v/>
      </c>
      <c r="D12787">
        <f>IF(B12787="","",HOUR(A12787))</f>
        <v/>
      </c>
    </row>
    <row r="12788">
      <c r="A12788">
        <f>Input!A12788</f>
        <v/>
      </c>
      <c r="B12788">
        <f>IF(ISNUMBER(Input!B12788),IF(AND(Input!B12788&gt;=20,Input!B12788&lt;=700),Input!B12788,""),"")</f>
        <v/>
      </c>
      <c r="C12788">
        <f>IF(B12788="","",INT(A12788))</f>
        <v/>
      </c>
      <c r="D12788">
        <f>IF(B12788="","",HOUR(A12788))</f>
        <v/>
      </c>
    </row>
    <row r="12789">
      <c r="A12789">
        <f>Input!A12789</f>
        <v/>
      </c>
      <c r="B12789">
        <f>IF(ISNUMBER(Input!B12789),IF(AND(Input!B12789&gt;=20,Input!B12789&lt;=700),Input!B12789,""),"")</f>
        <v/>
      </c>
      <c r="C12789">
        <f>IF(B12789="","",INT(A12789))</f>
        <v/>
      </c>
      <c r="D12789">
        <f>IF(B12789="","",HOUR(A12789))</f>
        <v/>
      </c>
    </row>
    <row r="12790">
      <c r="A12790">
        <f>Input!A12790</f>
        <v/>
      </c>
      <c r="B12790">
        <f>IF(ISNUMBER(Input!B12790),IF(AND(Input!B12790&gt;=20,Input!B12790&lt;=700),Input!B12790,""),"")</f>
        <v/>
      </c>
      <c r="C12790">
        <f>IF(B12790="","",INT(A12790))</f>
        <v/>
      </c>
      <c r="D12790">
        <f>IF(B12790="","",HOUR(A12790))</f>
        <v/>
      </c>
    </row>
    <row r="12791">
      <c r="A12791">
        <f>Input!A12791</f>
        <v/>
      </c>
      <c r="B12791">
        <f>IF(ISNUMBER(Input!B12791),IF(AND(Input!B12791&gt;=20,Input!B12791&lt;=700),Input!B12791,""),"")</f>
        <v/>
      </c>
      <c r="C12791">
        <f>IF(B12791="","",INT(A12791))</f>
        <v/>
      </c>
      <c r="D12791">
        <f>IF(B12791="","",HOUR(A12791))</f>
        <v/>
      </c>
    </row>
    <row r="12792">
      <c r="A12792">
        <f>Input!A12792</f>
        <v/>
      </c>
      <c r="B12792">
        <f>IF(ISNUMBER(Input!B12792),IF(AND(Input!B12792&gt;=20,Input!B12792&lt;=700),Input!B12792,""),"")</f>
        <v/>
      </c>
      <c r="C12792">
        <f>IF(B12792="","",INT(A12792))</f>
        <v/>
      </c>
      <c r="D12792">
        <f>IF(B12792="","",HOUR(A12792))</f>
        <v/>
      </c>
    </row>
    <row r="12793">
      <c r="A12793">
        <f>Input!A12793</f>
        <v/>
      </c>
      <c r="B12793">
        <f>IF(ISNUMBER(Input!B12793),IF(AND(Input!B12793&gt;=20,Input!B12793&lt;=700),Input!B12793,""),"")</f>
        <v/>
      </c>
      <c r="C12793">
        <f>IF(B12793="","",INT(A12793))</f>
        <v/>
      </c>
      <c r="D12793">
        <f>IF(B12793="","",HOUR(A12793))</f>
        <v/>
      </c>
    </row>
    <row r="12794">
      <c r="A12794">
        <f>Input!A12794</f>
        <v/>
      </c>
      <c r="B12794">
        <f>IF(ISNUMBER(Input!B12794),IF(AND(Input!B12794&gt;=20,Input!B12794&lt;=700),Input!B12794,""),"")</f>
        <v/>
      </c>
      <c r="C12794">
        <f>IF(B12794="","",INT(A12794))</f>
        <v/>
      </c>
      <c r="D12794">
        <f>IF(B12794="","",HOUR(A12794))</f>
        <v/>
      </c>
    </row>
    <row r="12795">
      <c r="A12795">
        <f>Input!A12795</f>
        <v/>
      </c>
      <c r="B12795">
        <f>IF(ISNUMBER(Input!B12795),IF(AND(Input!B12795&gt;=20,Input!B12795&lt;=700),Input!B12795,""),"")</f>
        <v/>
      </c>
      <c r="C12795">
        <f>IF(B12795="","",INT(A12795))</f>
        <v/>
      </c>
      <c r="D12795">
        <f>IF(B12795="","",HOUR(A12795))</f>
        <v/>
      </c>
    </row>
    <row r="12796">
      <c r="A12796">
        <f>Input!A12796</f>
        <v/>
      </c>
      <c r="B12796">
        <f>IF(ISNUMBER(Input!B12796),IF(AND(Input!B12796&gt;=20,Input!B12796&lt;=700),Input!B12796,""),"")</f>
        <v/>
      </c>
      <c r="C12796">
        <f>IF(B12796="","",INT(A12796))</f>
        <v/>
      </c>
      <c r="D12796">
        <f>IF(B12796="","",HOUR(A12796))</f>
        <v/>
      </c>
    </row>
    <row r="12797">
      <c r="A12797">
        <f>Input!A12797</f>
        <v/>
      </c>
      <c r="B12797">
        <f>IF(ISNUMBER(Input!B12797),IF(AND(Input!B12797&gt;=20,Input!B12797&lt;=700),Input!B12797,""),"")</f>
        <v/>
      </c>
      <c r="C12797">
        <f>IF(B12797="","",INT(A12797))</f>
        <v/>
      </c>
      <c r="D12797">
        <f>IF(B12797="","",HOUR(A12797))</f>
        <v/>
      </c>
    </row>
    <row r="12798">
      <c r="A12798">
        <f>Input!A12798</f>
        <v/>
      </c>
      <c r="B12798">
        <f>IF(ISNUMBER(Input!B12798),IF(AND(Input!B12798&gt;=20,Input!B12798&lt;=700),Input!B12798,""),"")</f>
        <v/>
      </c>
      <c r="C12798">
        <f>IF(B12798="","",INT(A12798))</f>
        <v/>
      </c>
      <c r="D12798">
        <f>IF(B12798="","",HOUR(A12798))</f>
        <v/>
      </c>
    </row>
    <row r="12799">
      <c r="A12799">
        <f>Input!A12799</f>
        <v/>
      </c>
      <c r="B12799">
        <f>IF(ISNUMBER(Input!B12799),IF(AND(Input!B12799&gt;=20,Input!B12799&lt;=700),Input!B12799,""),"")</f>
        <v/>
      </c>
      <c r="C12799">
        <f>IF(B12799="","",INT(A12799))</f>
        <v/>
      </c>
      <c r="D12799">
        <f>IF(B12799="","",HOUR(A12799))</f>
        <v/>
      </c>
    </row>
    <row r="12800">
      <c r="A12800">
        <f>Input!A12800</f>
        <v/>
      </c>
      <c r="B12800">
        <f>IF(ISNUMBER(Input!B12800),IF(AND(Input!B12800&gt;=20,Input!B12800&lt;=700),Input!B12800,""),"")</f>
        <v/>
      </c>
      <c r="C12800">
        <f>IF(B12800="","",INT(A12800))</f>
        <v/>
      </c>
      <c r="D12800">
        <f>IF(B12800="","",HOUR(A12800))</f>
        <v/>
      </c>
    </row>
    <row r="12801">
      <c r="A12801">
        <f>Input!A12801</f>
        <v/>
      </c>
      <c r="B12801">
        <f>IF(ISNUMBER(Input!B12801),IF(AND(Input!B12801&gt;=20,Input!B12801&lt;=700),Input!B12801,""),"")</f>
        <v/>
      </c>
      <c r="C12801">
        <f>IF(B12801="","",INT(A12801))</f>
        <v/>
      </c>
      <c r="D12801">
        <f>IF(B12801="","",HOUR(A12801))</f>
        <v/>
      </c>
    </row>
    <row r="12802">
      <c r="A12802">
        <f>Input!A12802</f>
        <v/>
      </c>
      <c r="B12802">
        <f>IF(ISNUMBER(Input!B12802),IF(AND(Input!B12802&gt;=20,Input!B12802&lt;=700),Input!B12802,""),"")</f>
        <v/>
      </c>
      <c r="C12802">
        <f>IF(B12802="","",INT(A12802))</f>
        <v/>
      </c>
      <c r="D12802">
        <f>IF(B12802="","",HOUR(A12802))</f>
        <v/>
      </c>
    </row>
    <row r="12803">
      <c r="A12803">
        <f>Input!A12803</f>
        <v/>
      </c>
      <c r="B12803">
        <f>IF(ISNUMBER(Input!B12803),IF(AND(Input!B12803&gt;=20,Input!B12803&lt;=700),Input!B12803,""),"")</f>
        <v/>
      </c>
      <c r="C12803">
        <f>IF(B12803="","",INT(A12803))</f>
        <v/>
      </c>
      <c r="D12803">
        <f>IF(B12803="","",HOUR(A12803))</f>
        <v/>
      </c>
    </row>
    <row r="12804">
      <c r="A12804">
        <f>Input!A12804</f>
        <v/>
      </c>
      <c r="B12804">
        <f>IF(ISNUMBER(Input!B12804),IF(AND(Input!B12804&gt;=20,Input!B12804&lt;=700),Input!B12804,""),"")</f>
        <v/>
      </c>
      <c r="C12804">
        <f>IF(B12804="","",INT(A12804))</f>
        <v/>
      </c>
      <c r="D12804">
        <f>IF(B12804="","",HOUR(A12804))</f>
        <v/>
      </c>
    </row>
    <row r="12805">
      <c r="A12805">
        <f>Input!A12805</f>
        <v/>
      </c>
      <c r="B12805">
        <f>IF(ISNUMBER(Input!B12805),IF(AND(Input!B12805&gt;=20,Input!B12805&lt;=700),Input!B12805,""),"")</f>
        <v/>
      </c>
      <c r="C12805">
        <f>IF(B12805="","",INT(A12805))</f>
        <v/>
      </c>
      <c r="D12805">
        <f>IF(B12805="","",HOUR(A12805))</f>
        <v/>
      </c>
    </row>
    <row r="12806">
      <c r="A12806">
        <f>Input!A12806</f>
        <v/>
      </c>
      <c r="B12806">
        <f>IF(ISNUMBER(Input!B12806),IF(AND(Input!B12806&gt;=20,Input!B12806&lt;=700),Input!B12806,""),"")</f>
        <v/>
      </c>
      <c r="C12806">
        <f>IF(B12806="","",INT(A12806))</f>
        <v/>
      </c>
      <c r="D12806">
        <f>IF(B12806="","",HOUR(A12806))</f>
        <v/>
      </c>
    </row>
    <row r="12807">
      <c r="A12807">
        <f>Input!A12807</f>
        <v/>
      </c>
      <c r="B12807">
        <f>IF(ISNUMBER(Input!B12807),IF(AND(Input!B12807&gt;=20,Input!B12807&lt;=700),Input!B12807,""),"")</f>
        <v/>
      </c>
      <c r="C12807">
        <f>IF(B12807="","",INT(A12807))</f>
        <v/>
      </c>
      <c r="D12807">
        <f>IF(B12807="","",HOUR(A12807))</f>
        <v/>
      </c>
    </row>
    <row r="12808">
      <c r="A12808">
        <f>Input!A12808</f>
        <v/>
      </c>
      <c r="B12808">
        <f>IF(ISNUMBER(Input!B12808),IF(AND(Input!B12808&gt;=20,Input!B12808&lt;=700),Input!B12808,""),"")</f>
        <v/>
      </c>
      <c r="C12808">
        <f>IF(B12808="","",INT(A12808))</f>
        <v/>
      </c>
      <c r="D12808">
        <f>IF(B12808="","",HOUR(A12808))</f>
        <v/>
      </c>
    </row>
    <row r="12809">
      <c r="A12809">
        <f>Input!A12809</f>
        <v/>
      </c>
      <c r="B12809">
        <f>IF(ISNUMBER(Input!B12809),IF(AND(Input!B12809&gt;=20,Input!B12809&lt;=700),Input!B12809,""),"")</f>
        <v/>
      </c>
      <c r="C12809">
        <f>IF(B12809="","",INT(A12809))</f>
        <v/>
      </c>
      <c r="D12809">
        <f>IF(B12809="","",HOUR(A12809))</f>
        <v/>
      </c>
    </row>
    <row r="12810">
      <c r="A12810">
        <f>Input!A12810</f>
        <v/>
      </c>
      <c r="B12810">
        <f>IF(ISNUMBER(Input!B12810),IF(AND(Input!B12810&gt;=20,Input!B12810&lt;=700),Input!B12810,""),"")</f>
        <v/>
      </c>
      <c r="C12810">
        <f>IF(B12810="","",INT(A12810))</f>
        <v/>
      </c>
      <c r="D12810">
        <f>IF(B12810="","",HOUR(A12810))</f>
        <v/>
      </c>
    </row>
    <row r="12811">
      <c r="A12811">
        <f>Input!A12811</f>
        <v/>
      </c>
      <c r="B12811">
        <f>IF(ISNUMBER(Input!B12811),IF(AND(Input!B12811&gt;=20,Input!B12811&lt;=700),Input!B12811,""),"")</f>
        <v/>
      </c>
      <c r="C12811">
        <f>IF(B12811="","",INT(A12811))</f>
        <v/>
      </c>
      <c r="D12811">
        <f>IF(B12811="","",HOUR(A12811))</f>
        <v/>
      </c>
    </row>
    <row r="12812">
      <c r="A12812">
        <f>Input!A12812</f>
        <v/>
      </c>
      <c r="B12812">
        <f>IF(ISNUMBER(Input!B12812),IF(AND(Input!B12812&gt;=20,Input!B12812&lt;=700),Input!B12812,""),"")</f>
        <v/>
      </c>
      <c r="C12812">
        <f>IF(B12812="","",INT(A12812))</f>
        <v/>
      </c>
      <c r="D12812">
        <f>IF(B12812="","",HOUR(A12812))</f>
        <v/>
      </c>
    </row>
    <row r="12813">
      <c r="A12813">
        <f>Input!A12813</f>
        <v/>
      </c>
      <c r="B12813">
        <f>IF(ISNUMBER(Input!B12813),IF(AND(Input!B12813&gt;=20,Input!B12813&lt;=700),Input!B12813,""),"")</f>
        <v/>
      </c>
      <c r="C12813">
        <f>IF(B12813="","",INT(A12813))</f>
        <v/>
      </c>
      <c r="D12813">
        <f>IF(B12813="","",HOUR(A12813))</f>
        <v/>
      </c>
    </row>
    <row r="12814">
      <c r="A12814">
        <f>Input!A12814</f>
        <v/>
      </c>
      <c r="B12814">
        <f>IF(ISNUMBER(Input!B12814),IF(AND(Input!B12814&gt;=20,Input!B12814&lt;=700),Input!B12814,""),"")</f>
        <v/>
      </c>
      <c r="C12814">
        <f>IF(B12814="","",INT(A12814))</f>
        <v/>
      </c>
      <c r="D12814">
        <f>IF(B12814="","",HOUR(A12814))</f>
        <v/>
      </c>
    </row>
    <row r="12815">
      <c r="A12815">
        <f>Input!A12815</f>
        <v/>
      </c>
      <c r="B12815">
        <f>IF(ISNUMBER(Input!B12815),IF(AND(Input!B12815&gt;=20,Input!B12815&lt;=700),Input!B12815,""),"")</f>
        <v/>
      </c>
      <c r="C12815">
        <f>IF(B12815="","",INT(A12815))</f>
        <v/>
      </c>
      <c r="D12815">
        <f>IF(B12815="","",HOUR(A12815))</f>
        <v/>
      </c>
    </row>
    <row r="12816">
      <c r="A12816">
        <f>Input!A12816</f>
        <v/>
      </c>
      <c r="B12816">
        <f>IF(ISNUMBER(Input!B12816),IF(AND(Input!B12816&gt;=20,Input!B12816&lt;=700),Input!B12816,""),"")</f>
        <v/>
      </c>
      <c r="C12816">
        <f>IF(B12816="","",INT(A12816))</f>
        <v/>
      </c>
      <c r="D12816">
        <f>IF(B12816="","",HOUR(A12816))</f>
        <v/>
      </c>
    </row>
    <row r="12817">
      <c r="A12817">
        <f>Input!A12817</f>
        <v/>
      </c>
      <c r="B12817">
        <f>IF(ISNUMBER(Input!B12817),IF(AND(Input!B12817&gt;=20,Input!B12817&lt;=700),Input!B12817,""),"")</f>
        <v/>
      </c>
      <c r="C12817">
        <f>IF(B12817="","",INT(A12817))</f>
        <v/>
      </c>
      <c r="D12817">
        <f>IF(B12817="","",HOUR(A12817))</f>
        <v/>
      </c>
    </row>
    <row r="12818">
      <c r="A12818">
        <f>Input!A12818</f>
        <v/>
      </c>
      <c r="B12818">
        <f>IF(ISNUMBER(Input!B12818),IF(AND(Input!B12818&gt;=20,Input!B12818&lt;=700),Input!B12818,""),"")</f>
        <v/>
      </c>
      <c r="C12818">
        <f>IF(B12818="","",INT(A12818))</f>
        <v/>
      </c>
      <c r="D12818">
        <f>IF(B12818="","",HOUR(A12818))</f>
        <v/>
      </c>
    </row>
    <row r="12819">
      <c r="A12819">
        <f>Input!A12819</f>
        <v/>
      </c>
      <c r="B12819">
        <f>IF(ISNUMBER(Input!B12819),IF(AND(Input!B12819&gt;=20,Input!B12819&lt;=700),Input!B12819,""),"")</f>
        <v/>
      </c>
      <c r="C12819">
        <f>IF(B12819="","",INT(A12819))</f>
        <v/>
      </c>
      <c r="D12819">
        <f>IF(B12819="","",HOUR(A12819))</f>
        <v/>
      </c>
    </row>
    <row r="12820">
      <c r="A12820">
        <f>Input!A12820</f>
        <v/>
      </c>
      <c r="B12820">
        <f>IF(ISNUMBER(Input!B12820),IF(AND(Input!B12820&gt;=20,Input!B12820&lt;=700),Input!B12820,""),"")</f>
        <v/>
      </c>
      <c r="C12820">
        <f>IF(B12820="","",INT(A12820))</f>
        <v/>
      </c>
      <c r="D12820">
        <f>IF(B12820="","",HOUR(A12820))</f>
        <v/>
      </c>
    </row>
    <row r="12821">
      <c r="A12821">
        <f>Input!A12821</f>
        <v/>
      </c>
      <c r="B12821">
        <f>IF(ISNUMBER(Input!B12821),IF(AND(Input!B12821&gt;=20,Input!B12821&lt;=700),Input!B12821,""),"")</f>
        <v/>
      </c>
      <c r="C12821">
        <f>IF(B12821="","",INT(A12821))</f>
        <v/>
      </c>
      <c r="D12821">
        <f>IF(B12821="","",HOUR(A12821))</f>
        <v/>
      </c>
    </row>
    <row r="12822">
      <c r="A12822">
        <f>Input!A12822</f>
        <v/>
      </c>
      <c r="B12822">
        <f>IF(ISNUMBER(Input!B12822),IF(AND(Input!B12822&gt;=20,Input!B12822&lt;=700),Input!B12822,""),"")</f>
        <v/>
      </c>
      <c r="C12822">
        <f>IF(B12822="","",INT(A12822))</f>
        <v/>
      </c>
      <c r="D12822">
        <f>IF(B12822="","",HOUR(A12822))</f>
        <v/>
      </c>
    </row>
    <row r="12823">
      <c r="A12823">
        <f>Input!A12823</f>
        <v/>
      </c>
      <c r="B12823">
        <f>IF(ISNUMBER(Input!B12823),IF(AND(Input!B12823&gt;=20,Input!B12823&lt;=700),Input!B12823,""),"")</f>
        <v/>
      </c>
      <c r="C12823">
        <f>IF(B12823="","",INT(A12823))</f>
        <v/>
      </c>
      <c r="D12823">
        <f>IF(B12823="","",HOUR(A12823))</f>
        <v/>
      </c>
    </row>
    <row r="12824">
      <c r="A12824">
        <f>Input!A12824</f>
        <v/>
      </c>
      <c r="B12824">
        <f>IF(ISNUMBER(Input!B12824),IF(AND(Input!B12824&gt;=20,Input!B12824&lt;=700),Input!B12824,""),"")</f>
        <v/>
      </c>
      <c r="C12824">
        <f>IF(B12824="","",INT(A12824))</f>
        <v/>
      </c>
      <c r="D12824">
        <f>IF(B12824="","",HOUR(A12824))</f>
        <v/>
      </c>
    </row>
    <row r="12825">
      <c r="A12825">
        <f>Input!A12825</f>
        <v/>
      </c>
      <c r="B12825">
        <f>IF(ISNUMBER(Input!B12825),IF(AND(Input!B12825&gt;=20,Input!B12825&lt;=700),Input!B12825,""),"")</f>
        <v/>
      </c>
      <c r="C12825">
        <f>IF(B12825="","",INT(A12825))</f>
        <v/>
      </c>
      <c r="D12825">
        <f>IF(B12825="","",HOUR(A12825))</f>
        <v/>
      </c>
    </row>
    <row r="12826">
      <c r="A12826">
        <f>Input!A12826</f>
        <v/>
      </c>
      <c r="B12826">
        <f>IF(ISNUMBER(Input!B12826),IF(AND(Input!B12826&gt;=20,Input!B12826&lt;=700),Input!B12826,""),"")</f>
        <v/>
      </c>
      <c r="C12826">
        <f>IF(B12826="","",INT(A12826))</f>
        <v/>
      </c>
      <c r="D12826">
        <f>IF(B12826="","",HOUR(A12826))</f>
        <v/>
      </c>
    </row>
    <row r="12827">
      <c r="A12827">
        <f>Input!A12827</f>
        <v/>
      </c>
      <c r="B12827">
        <f>IF(ISNUMBER(Input!B12827),IF(AND(Input!B12827&gt;=20,Input!B12827&lt;=700),Input!B12827,""),"")</f>
        <v/>
      </c>
      <c r="C12827">
        <f>IF(B12827="","",INT(A12827))</f>
        <v/>
      </c>
      <c r="D12827">
        <f>IF(B12827="","",HOUR(A12827))</f>
        <v/>
      </c>
    </row>
    <row r="12828">
      <c r="A12828">
        <f>Input!A12828</f>
        <v/>
      </c>
      <c r="B12828">
        <f>IF(ISNUMBER(Input!B12828),IF(AND(Input!B12828&gt;=20,Input!B12828&lt;=700),Input!B12828,""),"")</f>
        <v/>
      </c>
      <c r="C12828">
        <f>IF(B12828="","",INT(A12828))</f>
        <v/>
      </c>
      <c r="D12828">
        <f>IF(B12828="","",HOUR(A12828))</f>
        <v/>
      </c>
    </row>
    <row r="12829">
      <c r="A12829">
        <f>Input!A12829</f>
        <v/>
      </c>
      <c r="B12829">
        <f>IF(ISNUMBER(Input!B12829),IF(AND(Input!B12829&gt;=20,Input!B12829&lt;=700),Input!B12829,""),"")</f>
        <v/>
      </c>
      <c r="C12829">
        <f>IF(B12829="","",INT(A12829))</f>
        <v/>
      </c>
      <c r="D12829">
        <f>IF(B12829="","",HOUR(A12829))</f>
        <v/>
      </c>
    </row>
    <row r="12830">
      <c r="A12830">
        <f>Input!A12830</f>
        <v/>
      </c>
      <c r="B12830">
        <f>IF(ISNUMBER(Input!B12830),IF(AND(Input!B12830&gt;=20,Input!B12830&lt;=700),Input!B12830,""),"")</f>
        <v/>
      </c>
      <c r="C12830">
        <f>IF(B12830="","",INT(A12830))</f>
        <v/>
      </c>
      <c r="D12830">
        <f>IF(B12830="","",HOUR(A12830))</f>
        <v/>
      </c>
    </row>
    <row r="12831">
      <c r="A12831">
        <f>Input!A12831</f>
        <v/>
      </c>
      <c r="B12831">
        <f>IF(ISNUMBER(Input!B12831),IF(AND(Input!B12831&gt;=20,Input!B12831&lt;=700),Input!B12831,""),"")</f>
        <v/>
      </c>
      <c r="C12831">
        <f>IF(B12831="","",INT(A12831))</f>
        <v/>
      </c>
      <c r="D12831">
        <f>IF(B12831="","",HOUR(A12831))</f>
        <v/>
      </c>
    </row>
    <row r="12832">
      <c r="A12832">
        <f>Input!A12832</f>
        <v/>
      </c>
      <c r="B12832">
        <f>IF(ISNUMBER(Input!B12832),IF(AND(Input!B12832&gt;=20,Input!B12832&lt;=700),Input!B12832,""),"")</f>
        <v/>
      </c>
      <c r="C12832">
        <f>IF(B12832="","",INT(A12832))</f>
        <v/>
      </c>
      <c r="D12832">
        <f>IF(B12832="","",HOUR(A12832))</f>
        <v/>
      </c>
    </row>
    <row r="12833">
      <c r="A12833">
        <f>Input!A12833</f>
        <v/>
      </c>
      <c r="B12833">
        <f>IF(ISNUMBER(Input!B12833),IF(AND(Input!B12833&gt;=20,Input!B12833&lt;=700),Input!B12833,""),"")</f>
        <v/>
      </c>
      <c r="C12833">
        <f>IF(B12833="","",INT(A12833))</f>
        <v/>
      </c>
      <c r="D12833">
        <f>IF(B12833="","",HOUR(A12833))</f>
        <v/>
      </c>
    </row>
    <row r="12834">
      <c r="A12834">
        <f>Input!A12834</f>
        <v/>
      </c>
      <c r="B12834">
        <f>IF(ISNUMBER(Input!B12834),IF(AND(Input!B12834&gt;=20,Input!B12834&lt;=700),Input!B12834,""),"")</f>
        <v/>
      </c>
      <c r="C12834">
        <f>IF(B12834="","",INT(A12834))</f>
        <v/>
      </c>
      <c r="D12834">
        <f>IF(B12834="","",HOUR(A12834))</f>
        <v/>
      </c>
    </row>
    <row r="12835">
      <c r="A12835">
        <f>Input!A12835</f>
        <v/>
      </c>
      <c r="B12835">
        <f>IF(ISNUMBER(Input!B12835),IF(AND(Input!B12835&gt;=20,Input!B12835&lt;=700),Input!B12835,""),"")</f>
        <v/>
      </c>
      <c r="C12835">
        <f>IF(B12835="","",INT(A12835))</f>
        <v/>
      </c>
      <c r="D12835">
        <f>IF(B12835="","",HOUR(A12835))</f>
        <v/>
      </c>
    </row>
    <row r="12836">
      <c r="A12836">
        <f>Input!A12836</f>
        <v/>
      </c>
      <c r="B12836">
        <f>IF(ISNUMBER(Input!B12836),IF(AND(Input!B12836&gt;=20,Input!B12836&lt;=700),Input!B12836,""),"")</f>
        <v/>
      </c>
      <c r="C12836">
        <f>IF(B12836="","",INT(A12836))</f>
        <v/>
      </c>
      <c r="D12836">
        <f>IF(B12836="","",HOUR(A12836))</f>
        <v/>
      </c>
    </row>
    <row r="12837">
      <c r="A12837">
        <f>Input!A12837</f>
        <v/>
      </c>
      <c r="B12837">
        <f>IF(ISNUMBER(Input!B12837),IF(AND(Input!B12837&gt;=20,Input!B12837&lt;=700),Input!B12837,""),"")</f>
        <v/>
      </c>
      <c r="C12837">
        <f>IF(B12837="","",INT(A12837))</f>
        <v/>
      </c>
      <c r="D12837">
        <f>IF(B12837="","",HOUR(A12837))</f>
        <v/>
      </c>
    </row>
    <row r="12838">
      <c r="A12838">
        <f>Input!A12838</f>
        <v/>
      </c>
      <c r="B12838">
        <f>IF(ISNUMBER(Input!B12838),IF(AND(Input!B12838&gt;=20,Input!B12838&lt;=700),Input!B12838,""),"")</f>
        <v/>
      </c>
      <c r="C12838">
        <f>IF(B12838="","",INT(A12838))</f>
        <v/>
      </c>
      <c r="D12838">
        <f>IF(B12838="","",HOUR(A12838))</f>
        <v/>
      </c>
    </row>
    <row r="12839">
      <c r="A12839">
        <f>Input!A12839</f>
        <v/>
      </c>
      <c r="B12839">
        <f>IF(ISNUMBER(Input!B12839),IF(AND(Input!B12839&gt;=20,Input!B12839&lt;=700),Input!B12839,""),"")</f>
        <v/>
      </c>
      <c r="C12839">
        <f>IF(B12839="","",INT(A12839))</f>
        <v/>
      </c>
      <c r="D12839">
        <f>IF(B12839="","",HOUR(A12839))</f>
        <v/>
      </c>
    </row>
    <row r="12840">
      <c r="A12840">
        <f>Input!A12840</f>
        <v/>
      </c>
      <c r="B12840">
        <f>IF(ISNUMBER(Input!B12840),IF(AND(Input!B12840&gt;=20,Input!B12840&lt;=700),Input!B12840,""),"")</f>
        <v/>
      </c>
      <c r="C12840">
        <f>IF(B12840="","",INT(A12840))</f>
        <v/>
      </c>
      <c r="D12840">
        <f>IF(B12840="","",HOUR(A12840))</f>
        <v/>
      </c>
    </row>
    <row r="12841">
      <c r="A12841">
        <f>Input!A12841</f>
        <v/>
      </c>
      <c r="B12841">
        <f>IF(ISNUMBER(Input!B12841),IF(AND(Input!B12841&gt;=20,Input!B12841&lt;=700),Input!B12841,""),"")</f>
        <v/>
      </c>
      <c r="C12841">
        <f>IF(B12841="","",INT(A12841))</f>
        <v/>
      </c>
      <c r="D12841">
        <f>IF(B12841="","",HOUR(A12841))</f>
        <v/>
      </c>
    </row>
    <row r="12842">
      <c r="A12842">
        <f>Input!A12842</f>
        <v/>
      </c>
      <c r="B12842">
        <f>IF(ISNUMBER(Input!B12842),IF(AND(Input!B12842&gt;=20,Input!B12842&lt;=700),Input!B12842,""),"")</f>
        <v/>
      </c>
      <c r="C12842">
        <f>IF(B12842="","",INT(A12842))</f>
        <v/>
      </c>
      <c r="D12842">
        <f>IF(B12842="","",HOUR(A12842))</f>
        <v/>
      </c>
    </row>
    <row r="12843">
      <c r="A12843">
        <f>Input!A12843</f>
        <v/>
      </c>
      <c r="B12843">
        <f>IF(ISNUMBER(Input!B12843),IF(AND(Input!B12843&gt;=20,Input!B12843&lt;=700),Input!B12843,""),"")</f>
        <v/>
      </c>
      <c r="C12843">
        <f>IF(B12843="","",INT(A12843))</f>
        <v/>
      </c>
      <c r="D12843">
        <f>IF(B12843="","",HOUR(A12843))</f>
        <v/>
      </c>
    </row>
    <row r="12844">
      <c r="A12844">
        <f>Input!A12844</f>
        <v/>
      </c>
      <c r="B12844">
        <f>IF(ISNUMBER(Input!B12844),IF(AND(Input!B12844&gt;=20,Input!B12844&lt;=700),Input!B12844,""),"")</f>
        <v/>
      </c>
      <c r="C12844">
        <f>IF(B12844="","",INT(A12844))</f>
        <v/>
      </c>
      <c r="D12844">
        <f>IF(B12844="","",HOUR(A12844))</f>
        <v/>
      </c>
    </row>
    <row r="12845">
      <c r="A12845">
        <f>Input!A12845</f>
        <v/>
      </c>
      <c r="B12845">
        <f>IF(ISNUMBER(Input!B12845),IF(AND(Input!B12845&gt;=20,Input!B12845&lt;=700),Input!B12845,""),"")</f>
        <v/>
      </c>
      <c r="C12845">
        <f>IF(B12845="","",INT(A12845))</f>
        <v/>
      </c>
      <c r="D12845">
        <f>IF(B12845="","",HOUR(A12845))</f>
        <v/>
      </c>
    </row>
    <row r="12846">
      <c r="A12846">
        <f>Input!A12846</f>
        <v/>
      </c>
      <c r="B12846">
        <f>IF(ISNUMBER(Input!B12846),IF(AND(Input!B12846&gt;=20,Input!B12846&lt;=700),Input!B12846,""),"")</f>
        <v/>
      </c>
      <c r="C12846">
        <f>IF(B12846="","",INT(A12846))</f>
        <v/>
      </c>
      <c r="D12846">
        <f>IF(B12846="","",HOUR(A12846))</f>
        <v/>
      </c>
    </row>
    <row r="12847">
      <c r="A12847">
        <f>Input!A12847</f>
        <v/>
      </c>
      <c r="B12847">
        <f>IF(ISNUMBER(Input!B12847),IF(AND(Input!B12847&gt;=20,Input!B12847&lt;=700),Input!B12847,""),"")</f>
        <v/>
      </c>
      <c r="C12847">
        <f>IF(B12847="","",INT(A12847))</f>
        <v/>
      </c>
      <c r="D12847">
        <f>IF(B12847="","",HOUR(A12847))</f>
        <v/>
      </c>
    </row>
    <row r="12848">
      <c r="A12848">
        <f>Input!A12848</f>
        <v/>
      </c>
      <c r="B12848">
        <f>IF(ISNUMBER(Input!B12848),IF(AND(Input!B12848&gt;=20,Input!B12848&lt;=700),Input!B12848,""),"")</f>
        <v/>
      </c>
      <c r="C12848">
        <f>IF(B12848="","",INT(A12848))</f>
        <v/>
      </c>
      <c r="D12848">
        <f>IF(B12848="","",HOUR(A12848))</f>
        <v/>
      </c>
    </row>
    <row r="12849">
      <c r="A12849">
        <f>Input!A12849</f>
        <v/>
      </c>
      <c r="B12849">
        <f>IF(ISNUMBER(Input!B12849),IF(AND(Input!B12849&gt;=20,Input!B12849&lt;=700),Input!B12849,""),"")</f>
        <v/>
      </c>
      <c r="C12849">
        <f>IF(B12849="","",INT(A12849))</f>
        <v/>
      </c>
      <c r="D12849">
        <f>IF(B12849="","",HOUR(A12849))</f>
        <v/>
      </c>
    </row>
    <row r="12850">
      <c r="A12850">
        <f>Input!A12850</f>
        <v/>
      </c>
      <c r="B12850">
        <f>IF(ISNUMBER(Input!B12850),IF(AND(Input!B12850&gt;=20,Input!B12850&lt;=700),Input!B12850,""),"")</f>
        <v/>
      </c>
      <c r="C12850">
        <f>IF(B12850="","",INT(A12850))</f>
        <v/>
      </c>
      <c r="D12850">
        <f>IF(B12850="","",HOUR(A12850))</f>
        <v/>
      </c>
    </row>
    <row r="12851">
      <c r="A12851">
        <f>Input!A12851</f>
        <v/>
      </c>
      <c r="B12851">
        <f>IF(ISNUMBER(Input!B12851),IF(AND(Input!B12851&gt;=20,Input!B12851&lt;=700),Input!B12851,""),"")</f>
        <v/>
      </c>
      <c r="C12851">
        <f>IF(B12851="","",INT(A12851))</f>
        <v/>
      </c>
      <c r="D12851">
        <f>IF(B12851="","",HOUR(A12851))</f>
        <v/>
      </c>
    </row>
    <row r="12852">
      <c r="A12852">
        <f>Input!A12852</f>
        <v/>
      </c>
      <c r="B12852">
        <f>IF(ISNUMBER(Input!B12852),IF(AND(Input!B12852&gt;=20,Input!B12852&lt;=700),Input!B12852,""),"")</f>
        <v/>
      </c>
      <c r="C12852">
        <f>IF(B12852="","",INT(A12852))</f>
        <v/>
      </c>
      <c r="D12852">
        <f>IF(B12852="","",HOUR(A12852))</f>
        <v/>
      </c>
    </row>
    <row r="12853">
      <c r="A12853">
        <f>Input!A12853</f>
        <v/>
      </c>
      <c r="B12853">
        <f>IF(ISNUMBER(Input!B12853),IF(AND(Input!B12853&gt;=20,Input!B12853&lt;=700),Input!B12853,""),"")</f>
        <v/>
      </c>
      <c r="C12853">
        <f>IF(B12853="","",INT(A12853))</f>
        <v/>
      </c>
      <c r="D12853">
        <f>IF(B12853="","",HOUR(A12853))</f>
        <v/>
      </c>
    </row>
    <row r="12854">
      <c r="A12854">
        <f>Input!A12854</f>
        <v/>
      </c>
      <c r="B12854">
        <f>IF(ISNUMBER(Input!B12854),IF(AND(Input!B12854&gt;=20,Input!B12854&lt;=700),Input!B12854,""),"")</f>
        <v/>
      </c>
      <c r="C12854">
        <f>IF(B12854="","",INT(A12854))</f>
        <v/>
      </c>
      <c r="D12854">
        <f>IF(B12854="","",HOUR(A12854))</f>
        <v/>
      </c>
    </row>
    <row r="12855">
      <c r="A12855">
        <f>Input!A12855</f>
        <v/>
      </c>
      <c r="B12855">
        <f>IF(ISNUMBER(Input!B12855),IF(AND(Input!B12855&gt;=20,Input!B12855&lt;=700),Input!B12855,""),"")</f>
        <v/>
      </c>
      <c r="C12855">
        <f>IF(B12855="","",INT(A12855))</f>
        <v/>
      </c>
      <c r="D12855">
        <f>IF(B12855="","",HOUR(A12855))</f>
        <v/>
      </c>
    </row>
    <row r="12856">
      <c r="A12856">
        <f>Input!A12856</f>
        <v/>
      </c>
      <c r="B12856">
        <f>IF(ISNUMBER(Input!B12856),IF(AND(Input!B12856&gt;=20,Input!B12856&lt;=700),Input!B12856,""),"")</f>
        <v/>
      </c>
      <c r="C12856">
        <f>IF(B12856="","",INT(A12856))</f>
        <v/>
      </c>
      <c r="D12856">
        <f>IF(B12856="","",HOUR(A12856))</f>
        <v/>
      </c>
    </row>
    <row r="12857">
      <c r="A12857">
        <f>Input!A12857</f>
        <v/>
      </c>
      <c r="B12857">
        <f>IF(ISNUMBER(Input!B12857),IF(AND(Input!B12857&gt;=20,Input!B12857&lt;=700),Input!B12857,""),"")</f>
        <v/>
      </c>
      <c r="C12857">
        <f>IF(B12857="","",INT(A12857))</f>
        <v/>
      </c>
      <c r="D12857">
        <f>IF(B12857="","",HOUR(A12857))</f>
        <v/>
      </c>
    </row>
    <row r="12858">
      <c r="A12858">
        <f>Input!A12858</f>
        <v/>
      </c>
      <c r="B12858">
        <f>IF(ISNUMBER(Input!B12858),IF(AND(Input!B12858&gt;=20,Input!B12858&lt;=700),Input!B12858,""),"")</f>
        <v/>
      </c>
      <c r="C12858">
        <f>IF(B12858="","",INT(A12858))</f>
        <v/>
      </c>
      <c r="D12858">
        <f>IF(B12858="","",HOUR(A12858))</f>
        <v/>
      </c>
    </row>
    <row r="12859">
      <c r="A12859">
        <f>Input!A12859</f>
        <v/>
      </c>
      <c r="B12859">
        <f>IF(ISNUMBER(Input!B12859),IF(AND(Input!B12859&gt;=20,Input!B12859&lt;=700),Input!B12859,""),"")</f>
        <v/>
      </c>
      <c r="C12859">
        <f>IF(B12859="","",INT(A12859))</f>
        <v/>
      </c>
      <c r="D12859">
        <f>IF(B12859="","",HOUR(A12859))</f>
        <v/>
      </c>
    </row>
    <row r="12860">
      <c r="A12860">
        <f>Input!A12860</f>
        <v/>
      </c>
      <c r="B12860">
        <f>IF(ISNUMBER(Input!B12860),IF(AND(Input!B12860&gt;=20,Input!B12860&lt;=700),Input!B12860,""),"")</f>
        <v/>
      </c>
      <c r="C12860">
        <f>IF(B12860="","",INT(A12860))</f>
        <v/>
      </c>
      <c r="D12860">
        <f>IF(B12860="","",HOUR(A12860))</f>
        <v/>
      </c>
    </row>
    <row r="12861">
      <c r="A12861">
        <f>Input!A12861</f>
        <v/>
      </c>
      <c r="B12861">
        <f>IF(ISNUMBER(Input!B12861),IF(AND(Input!B12861&gt;=20,Input!B12861&lt;=700),Input!B12861,""),"")</f>
        <v/>
      </c>
      <c r="C12861">
        <f>IF(B12861="","",INT(A12861))</f>
        <v/>
      </c>
      <c r="D12861">
        <f>IF(B12861="","",HOUR(A12861))</f>
        <v/>
      </c>
    </row>
    <row r="12862">
      <c r="A12862">
        <f>Input!A12862</f>
        <v/>
      </c>
      <c r="B12862">
        <f>IF(ISNUMBER(Input!B12862),IF(AND(Input!B12862&gt;=20,Input!B12862&lt;=700),Input!B12862,""),"")</f>
        <v/>
      </c>
      <c r="C12862">
        <f>IF(B12862="","",INT(A12862))</f>
        <v/>
      </c>
      <c r="D12862">
        <f>IF(B12862="","",HOUR(A12862))</f>
        <v/>
      </c>
    </row>
    <row r="12863">
      <c r="A12863">
        <f>Input!A12863</f>
        <v/>
      </c>
      <c r="B12863">
        <f>IF(ISNUMBER(Input!B12863),IF(AND(Input!B12863&gt;=20,Input!B12863&lt;=700),Input!B12863,""),"")</f>
        <v/>
      </c>
      <c r="C12863">
        <f>IF(B12863="","",INT(A12863))</f>
        <v/>
      </c>
      <c r="D12863">
        <f>IF(B12863="","",HOUR(A12863))</f>
        <v/>
      </c>
    </row>
    <row r="12864">
      <c r="A12864">
        <f>Input!A12864</f>
        <v/>
      </c>
      <c r="B12864">
        <f>IF(ISNUMBER(Input!B12864),IF(AND(Input!B12864&gt;=20,Input!B12864&lt;=700),Input!B12864,""),"")</f>
        <v/>
      </c>
      <c r="C12864">
        <f>IF(B12864="","",INT(A12864))</f>
        <v/>
      </c>
      <c r="D12864">
        <f>IF(B12864="","",HOUR(A12864))</f>
        <v/>
      </c>
    </row>
    <row r="12865">
      <c r="A12865">
        <f>Input!A12865</f>
        <v/>
      </c>
      <c r="B12865">
        <f>IF(ISNUMBER(Input!B12865),IF(AND(Input!B12865&gt;=20,Input!B12865&lt;=700),Input!B12865,""),"")</f>
        <v/>
      </c>
      <c r="C12865">
        <f>IF(B12865="","",INT(A12865))</f>
        <v/>
      </c>
      <c r="D12865">
        <f>IF(B12865="","",HOUR(A12865))</f>
        <v/>
      </c>
    </row>
    <row r="12866">
      <c r="A12866">
        <f>Input!A12866</f>
        <v/>
      </c>
      <c r="B12866">
        <f>IF(ISNUMBER(Input!B12866),IF(AND(Input!B12866&gt;=20,Input!B12866&lt;=700),Input!B12866,""),"")</f>
        <v/>
      </c>
      <c r="C12866">
        <f>IF(B12866="","",INT(A12866))</f>
        <v/>
      </c>
      <c r="D12866">
        <f>IF(B12866="","",HOUR(A12866))</f>
        <v/>
      </c>
    </row>
    <row r="12867">
      <c r="A12867">
        <f>Input!A12867</f>
        <v/>
      </c>
      <c r="B12867">
        <f>IF(ISNUMBER(Input!B12867),IF(AND(Input!B12867&gt;=20,Input!B12867&lt;=700),Input!B12867,""),"")</f>
        <v/>
      </c>
      <c r="C12867">
        <f>IF(B12867="","",INT(A12867))</f>
        <v/>
      </c>
      <c r="D12867">
        <f>IF(B12867="","",HOUR(A12867))</f>
        <v/>
      </c>
    </row>
    <row r="12868">
      <c r="A12868">
        <f>Input!A12868</f>
        <v/>
      </c>
      <c r="B12868">
        <f>IF(ISNUMBER(Input!B12868),IF(AND(Input!B12868&gt;=20,Input!B12868&lt;=700),Input!B12868,""),"")</f>
        <v/>
      </c>
      <c r="C12868">
        <f>IF(B12868="","",INT(A12868))</f>
        <v/>
      </c>
      <c r="D12868">
        <f>IF(B12868="","",HOUR(A12868))</f>
        <v/>
      </c>
    </row>
    <row r="12869">
      <c r="A12869">
        <f>Input!A12869</f>
        <v/>
      </c>
      <c r="B12869">
        <f>IF(ISNUMBER(Input!B12869),IF(AND(Input!B12869&gt;=20,Input!B12869&lt;=700),Input!B12869,""),"")</f>
        <v/>
      </c>
      <c r="C12869">
        <f>IF(B12869="","",INT(A12869))</f>
        <v/>
      </c>
      <c r="D12869">
        <f>IF(B12869="","",HOUR(A12869))</f>
        <v/>
      </c>
    </row>
    <row r="12870">
      <c r="A12870">
        <f>Input!A12870</f>
        <v/>
      </c>
      <c r="B12870">
        <f>IF(ISNUMBER(Input!B12870),IF(AND(Input!B12870&gt;=20,Input!B12870&lt;=700),Input!B12870,""),"")</f>
        <v/>
      </c>
      <c r="C12870">
        <f>IF(B12870="","",INT(A12870))</f>
        <v/>
      </c>
      <c r="D12870">
        <f>IF(B12870="","",HOUR(A12870))</f>
        <v/>
      </c>
    </row>
    <row r="12871">
      <c r="A12871">
        <f>Input!A12871</f>
        <v/>
      </c>
      <c r="B12871">
        <f>IF(ISNUMBER(Input!B12871),IF(AND(Input!B12871&gt;=20,Input!B12871&lt;=700),Input!B12871,""),"")</f>
        <v/>
      </c>
      <c r="C12871">
        <f>IF(B12871="","",INT(A12871))</f>
        <v/>
      </c>
      <c r="D12871">
        <f>IF(B12871="","",HOUR(A12871))</f>
        <v/>
      </c>
    </row>
    <row r="12872">
      <c r="A12872">
        <f>Input!A12872</f>
        <v/>
      </c>
      <c r="B12872">
        <f>IF(ISNUMBER(Input!B12872),IF(AND(Input!B12872&gt;=20,Input!B12872&lt;=700),Input!B12872,""),"")</f>
        <v/>
      </c>
      <c r="C12872">
        <f>IF(B12872="","",INT(A12872))</f>
        <v/>
      </c>
      <c r="D12872">
        <f>IF(B12872="","",HOUR(A12872))</f>
        <v/>
      </c>
    </row>
    <row r="12873">
      <c r="A12873">
        <f>Input!A12873</f>
        <v/>
      </c>
      <c r="B12873">
        <f>IF(ISNUMBER(Input!B12873),IF(AND(Input!B12873&gt;=20,Input!B12873&lt;=700),Input!B12873,""),"")</f>
        <v/>
      </c>
      <c r="C12873">
        <f>IF(B12873="","",INT(A12873))</f>
        <v/>
      </c>
      <c r="D12873">
        <f>IF(B12873="","",HOUR(A12873))</f>
        <v/>
      </c>
    </row>
    <row r="12874">
      <c r="A12874">
        <f>Input!A12874</f>
        <v/>
      </c>
      <c r="B12874">
        <f>IF(ISNUMBER(Input!B12874),IF(AND(Input!B12874&gt;=20,Input!B12874&lt;=700),Input!B12874,""),"")</f>
        <v/>
      </c>
      <c r="C12874">
        <f>IF(B12874="","",INT(A12874))</f>
        <v/>
      </c>
      <c r="D12874">
        <f>IF(B12874="","",HOUR(A12874))</f>
        <v/>
      </c>
    </row>
    <row r="12875">
      <c r="A12875">
        <f>Input!A12875</f>
        <v/>
      </c>
      <c r="B12875">
        <f>IF(ISNUMBER(Input!B12875),IF(AND(Input!B12875&gt;=20,Input!B12875&lt;=700),Input!B12875,""),"")</f>
        <v/>
      </c>
      <c r="C12875">
        <f>IF(B12875="","",INT(A12875))</f>
        <v/>
      </c>
      <c r="D12875">
        <f>IF(B12875="","",HOUR(A12875))</f>
        <v/>
      </c>
    </row>
    <row r="12876">
      <c r="A12876">
        <f>Input!A12876</f>
        <v/>
      </c>
      <c r="B12876">
        <f>IF(ISNUMBER(Input!B12876),IF(AND(Input!B12876&gt;=20,Input!B12876&lt;=700),Input!B12876,""),"")</f>
        <v/>
      </c>
      <c r="C12876">
        <f>IF(B12876="","",INT(A12876))</f>
        <v/>
      </c>
      <c r="D12876">
        <f>IF(B12876="","",HOUR(A12876))</f>
        <v/>
      </c>
    </row>
    <row r="12877">
      <c r="A12877">
        <f>Input!A12877</f>
        <v/>
      </c>
      <c r="B12877">
        <f>IF(ISNUMBER(Input!B12877),IF(AND(Input!B12877&gt;=20,Input!B12877&lt;=700),Input!B12877,""),"")</f>
        <v/>
      </c>
      <c r="C12877">
        <f>IF(B12877="","",INT(A12877))</f>
        <v/>
      </c>
      <c r="D12877">
        <f>IF(B12877="","",HOUR(A12877))</f>
        <v/>
      </c>
    </row>
    <row r="12878">
      <c r="A12878">
        <f>Input!A12878</f>
        <v/>
      </c>
      <c r="B12878">
        <f>IF(ISNUMBER(Input!B12878),IF(AND(Input!B12878&gt;=20,Input!B12878&lt;=700),Input!B12878,""),"")</f>
        <v/>
      </c>
      <c r="C12878">
        <f>IF(B12878="","",INT(A12878))</f>
        <v/>
      </c>
      <c r="D12878">
        <f>IF(B12878="","",HOUR(A12878))</f>
        <v/>
      </c>
    </row>
    <row r="12879">
      <c r="A12879">
        <f>Input!A12879</f>
        <v/>
      </c>
      <c r="B12879">
        <f>IF(ISNUMBER(Input!B12879),IF(AND(Input!B12879&gt;=20,Input!B12879&lt;=700),Input!B12879,""),"")</f>
        <v/>
      </c>
      <c r="C12879">
        <f>IF(B12879="","",INT(A12879))</f>
        <v/>
      </c>
      <c r="D12879">
        <f>IF(B12879="","",HOUR(A12879))</f>
        <v/>
      </c>
    </row>
    <row r="12880">
      <c r="A12880">
        <f>Input!A12880</f>
        <v/>
      </c>
      <c r="B12880">
        <f>IF(ISNUMBER(Input!B12880),IF(AND(Input!B12880&gt;=20,Input!B12880&lt;=700),Input!B12880,""),"")</f>
        <v/>
      </c>
      <c r="C12880">
        <f>IF(B12880="","",INT(A12880))</f>
        <v/>
      </c>
      <c r="D12880">
        <f>IF(B12880="","",HOUR(A12880))</f>
        <v/>
      </c>
    </row>
    <row r="12881">
      <c r="A12881">
        <f>Input!A12881</f>
        <v/>
      </c>
      <c r="B12881">
        <f>IF(ISNUMBER(Input!B12881),IF(AND(Input!B12881&gt;=20,Input!B12881&lt;=700),Input!B12881,""),"")</f>
        <v/>
      </c>
      <c r="C12881">
        <f>IF(B12881="","",INT(A12881))</f>
        <v/>
      </c>
      <c r="D12881">
        <f>IF(B12881="","",HOUR(A12881))</f>
        <v/>
      </c>
    </row>
    <row r="12882">
      <c r="A12882">
        <f>Input!A12882</f>
        <v/>
      </c>
      <c r="B12882">
        <f>IF(ISNUMBER(Input!B12882),IF(AND(Input!B12882&gt;=20,Input!B12882&lt;=700),Input!B12882,""),"")</f>
        <v/>
      </c>
      <c r="C12882">
        <f>IF(B12882="","",INT(A12882))</f>
        <v/>
      </c>
      <c r="D12882">
        <f>IF(B12882="","",HOUR(A12882))</f>
        <v/>
      </c>
    </row>
    <row r="12883">
      <c r="A12883">
        <f>Input!A12883</f>
        <v/>
      </c>
      <c r="B12883">
        <f>IF(ISNUMBER(Input!B12883),IF(AND(Input!B12883&gt;=20,Input!B12883&lt;=700),Input!B12883,""),"")</f>
        <v/>
      </c>
      <c r="C12883">
        <f>IF(B12883="","",INT(A12883))</f>
        <v/>
      </c>
      <c r="D12883">
        <f>IF(B12883="","",HOUR(A12883))</f>
        <v/>
      </c>
    </row>
    <row r="12884">
      <c r="A12884">
        <f>Input!A12884</f>
        <v/>
      </c>
      <c r="B12884">
        <f>IF(ISNUMBER(Input!B12884),IF(AND(Input!B12884&gt;=20,Input!B12884&lt;=700),Input!B12884,""),"")</f>
        <v/>
      </c>
      <c r="C12884">
        <f>IF(B12884="","",INT(A12884))</f>
        <v/>
      </c>
      <c r="D12884">
        <f>IF(B12884="","",HOUR(A12884))</f>
        <v/>
      </c>
    </row>
    <row r="12885">
      <c r="A12885">
        <f>Input!A12885</f>
        <v/>
      </c>
      <c r="B12885">
        <f>IF(ISNUMBER(Input!B12885),IF(AND(Input!B12885&gt;=20,Input!B12885&lt;=700),Input!B12885,""),"")</f>
        <v/>
      </c>
      <c r="C12885">
        <f>IF(B12885="","",INT(A12885))</f>
        <v/>
      </c>
      <c r="D12885">
        <f>IF(B12885="","",HOUR(A12885))</f>
        <v/>
      </c>
    </row>
    <row r="12886">
      <c r="A12886">
        <f>Input!A12886</f>
        <v/>
      </c>
      <c r="B12886">
        <f>IF(ISNUMBER(Input!B12886),IF(AND(Input!B12886&gt;=20,Input!B12886&lt;=700),Input!B12886,""),"")</f>
        <v/>
      </c>
      <c r="C12886">
        <f>IF(B12886="","",INT(A12886))</f>
        <v/>
      </c>
      <c r="D12886">
        <f>IF(B12886="","",HOUR(A12886))</f>
        <v/>
      </c>
    </row>
    <row r="12887">
      <c r="A12887">
        <f>Input!A12887</f>
        <v/>
      </c>
      <c r="B12887">
        <f>IF(ISNUMBER(Input!B12887),IF(AND(Input!B12887&gt;=20,Input!B12887&lt;=700),Input!B12887,""),"")</f>
        <v/>
      </c>
      <c r="C12887">
        <f>IF(B12887="","",INT(A12887))</f>
        <v/>
      </c>
      <c r="D12887">
        <f>IF(B12887="","",HOUR(A12887))</f>
        <v/>
      </c>
    </row>
    <row r="12888">
      <c r="A12888">
        <f>Input!A12888</f>
        <v/>
      </c>
      <c r="B12888">
        <f>IF(ISNUMBER(Input!B12888),IF(AND(Input!B12888&gt;=20,Input!B12888&lt;=700),Input!B12888,""),"")</f>
        <v/>
      </c>
      <c r="C12888">
        <f>IF(B12888="","",INT(A12888))</f>
        <v/>
      </c>
      <c r="D12888">
        <f>IF(B12888="","",HOUR(A12888))</f>
        <v/>
      </c>
    </row>
    <row r="12889">
      <c r="A12889">
        <f>Input!A12889</f>
        <v/>
      </c>
      <c r="B12889">
        <f>IF(ISNUMBER(Input!B12889),IF(AND(Input!B12889&gt;=20,Input!B12889&lt;=700),Input!B12889,""),"")</f>
        <v/>
      </c>
      <c r="C12889">
        <f>IF(B12889="","",INT(A12889))</f>
        <v/>
      </c>
      <c r="D12889">
        <f>IF(B12889="","",HOUR(A12889))</f>
        <v/>
      </c>
    </row>
    <row r="12890">
      <c r="A12890">
        <f>Input!A12890</f>
        <v/>
      </c>
      <c r="B12890">
        <f>IF(ISNUMBER(Input!B12890),IF(AND(Input!B12890&gt;=20,Input!B12890&lt;=700),Input!B12890,""),"")</f>
        <v/>
      </c>
      <c r="C12890">
        <f>IF(B12890="","",INT(A12890))</f>
        <v/>
      </c>
      <c r="D12890">
        <f>IF(B12890="","",HOUR(A12890))</f>
        <v/>
      </c>
    </row>
    <row r="12891">
      <c r="A12891">
        <f>Input!A12891</f>
        <v/>
      </c>
      <c r="B12891">
        <f>IF(ISNUMBER(Input!B12891),IF(AND(Input!B12891&gt;=20,Input!B12891&lt;=700),Input!B12891,""),"")</f>
        <v/>
      </c>
      <c r="C12891">
        <f>IF(B12891="","",INT(A12891))</f>
        <v/>
      </c>
      <c r="D12891">
        <f>IF(B12891="","",HOUR(A12891))</f>
        <v/>
      </c>
    </row>
    <row r="12892">
      <c r="A12892">
        <f>Input!A12892</f>
        <v/>
      </c>
      <c r="B12892">
        <f>IF(ISNUMBER(Input!B12892),IF(AND(Input!B12892&gt;=20,Input!B12892&lt;=700),Input!B12892,""),"")</f>
        <v/>
      </c>
      <c r="C12892">
        <f>IF(B12892="","",INT(A12892))</f>
        <v/>
      </c>
      <c r="D12892">
        <f>IF(B12892="","",HOUR(A12892))</f>
        <v/>
      </c>
    </row>
    <row r="12893">
      <c r="A12893">
        <f>Input!A12893</f>
        <v/>
      </c>
      <c r="B12893">
        <f>IF(ISNUMBER(Input!B12893),IF(AND(Input!B12893&gt;=20,Input!B12893&lt;=700),Input!B12893,""),"")</f>
        <v/>
      </c>
      <c r="C12893">
        <f>IF(B12893="","",INT(A12893))</f>
        <v/>
      </c>
      <c r="D12893">
        <f>IF(B12893="","",HOUR(A12893))</f>
        <v/>
      </c>
    </row>
    <row r="12894">
      <c r="A12894">
        <f>Input!A12894</f>
        <v/>
      </c>
      <c r="B12894">
        <f>IF(ISNUMBER(Input!B12894),IF(AND(Input!B12894&gt;=20,Input!B12894&lt;=700),Input!B12894,""),"")</f>
        <v/>
      </c>
      <c r="C12894">
        <f>IF(B12894="","",INT(A12894))</f>
        <v/>
      </c>
      <c r="D12894">
        <f>IF(B12894="","",HOUR(A12894))</f>
        <v/>
      </c>
    </row>
    <row r="12895">
      <c r="A12895">
        <f>Input!A12895</f>
        <v/>
      </c>
      <c r="B12895">
        <f>IF(ISNUMBER(Input!B12895),IF(AND(Input!B12895&gt;=20,Input!B12895&lt;=700),Input!B12895,""),"")</f>
        <v/>
      </c>
      <c r="C12895">
        <f>IF(B12895="","",INT(A12895))</f>
        <v/>
      </c>
      <c r="D12895">
        <f>IF(B12895="","",HOUR(A12895))</f>
        <v/>
      </c>
    </row>
    <row r="12896">
      <c r="A12896">
        <f>Input!A12896</f>
        <v/>
      </c>
      <c r="B12896">
        <f>IF(ISNUMBER(Input!B12896),IF(AND(Input!B12896&gt;=20,Input!B12896&lt;=700),Input!B12896,""),"")</f>
        <v/>
      </c>
      <c r="C12896">
        <f>IF(B12896="","",INT(A12896))</f>
        <v/>
      </c>
      <c r="D12896">
        <f>IF(B12896="","",HOUR(A12896))</f>
        <v/>
      </c>
    </row>
    <row r="12897">
      <c r="A12897">
        <f>Input!A12897</f>
        <v/>
      </c>
      <c r="B12897">
        <f>IF(ISNUMBER(Input!B12897),IF(AND(Input!B12897&gt;=20,Input!B12897&lt;=700),Input!B12897,""),"")</f>
        <v/>
      </c>
      <c r="C12897">
        <f>IF(B12897="","",INT(A12897))</f>
        <v/>
      </c>
      <c r="D12897">
        <f>IF(B12897="","",HOUR(A12897))</f>
        <v/>
      </c>
    </row>
    <row r="12898">
      <c r="A12898">
        <f>Input!A12898</f>
        <v/>
      </c>
      <c r="B12898">
        <f>IF(ISNUMBER(Input!B12898),IF(AND(Input!B12898&gt;=20,Input!B12898&lt;=700),Input!B12898,""),"")</f>
        <v/>
      </c>
      <c r="C12898">
        <f>IF(B12898="","",INT(A12898))</f>
        <v/>
      </c>
      <c r="D12898">
        <f>IF(B12898="","",HOUR(A12898))</f>
        <v/>
      </c>
    </row>
    <row r="12899">
      <c r="A12899">
        <f>Input!A12899</f>
        <v/>
      </c>
      <c r="B12899">
        <f>IF(ISNUMBER(Input!B12899),IF(AND(Input!B12899&gt;=20,Input!B12899&lt;=700),Input!B12899,""),"")</f>
        <v/>
      </c>
      <c r="C12899">
        <f>IF(B12899="","",INT(A12899))</f>
        <v/>
      </c>
      <c r="D12899">
        <f>IF(B12899="","",HOUR(A12899))</f>
        <v/>
      </c>
    </row>
    <row r="12900">
      <c r="A12900">
        <f>Input!A12900</f>
        <v/>
      </c>
      <c r="B12900">
        <f>IF(ISNUMBER(Input!B12900),IF(AND(Input!B12900&gt;=20,Input!B12900&lt;=700),Input!B12900,""),"")</f>
        <v/>
      </c>
      <c r="C12900">
        <f>IF(B12900="","",INT(A12900))</f>
        <v/>
      </c>
      <c r="D12900">
        <f>IF(B12900="","",HOUR(A12900))</f>
        <v/>
      </c>
    </row>
    <row r="12901">
      <c r="A12901">
        <f>Input!A12901</f>
        <v/>
      </c>
      <c r="B12901">
        <f>IF(ISNUMBER(Input!B12901),IF(AND(Input!B12901&gt;=20,Input!B12901&lt;=700),Input!B12901,""),"")</f>
        <v/>
      </c>
      <c r="C12901">
        <f>IF(B12901="","",INT(A12901))</f>
        <v/>
      </c>
      <c r="D12901">
        <f>IF(B12901="","",HOUR(A12901))</f>
        <v/>
      </c>
    </row>
    <row r="12902">
      <c r="A12902">
        <f>Input!A12902</f>
        <v/>
      </c>
      <c r="B12902">
        <f>IF(ISNUMBER(Input!B12902),IF(AND(Input!B12902&gt;=20,Input!B12902&lt;=700),Input!B12902,""),"")</f>
        <v/>
      </c>
      <c r="C12902">
        <f>IF(B12902="","",INT(A12902))</f>
        <v/>
      </c>
      <c r="D12902">
        <f>IF(B12902="","",HOUR(A12902))</f>
        <v/>
      </c>
    </row>
    <row r="12903">
      <c r="A12903">
        <f>Input!A12903</f>
        <v/>
      </c>
      <c r="B12903">
        <f>IF(ISNUMBER(Input!B12903),IF(AND(Input!B12903&gt;=20,Input!B12903&lt;=700),Input!B12903,""),"")</f>
        <v/>
      </c>
      <c r="C12903">
        <f>IF(B12903="","",INT(A12903))</f>
        <v/>
      </c>
      <c r="D12903">
        <f>IF(B12903="","",HOUR(A12903))</f>
        <v/>
      </c>
    </row>
    <row r="12904">
      <c r="A12904">
        <f>Input!A12904</f>
        <v/>
      </c>
      <c r="B12904">
        <f>IF(ISNUMBER(Input!B12904),IF(AND(Input!B12904&gt;=20,Input!B12904&lt;=700),Input!B12904,""),"")</f>
        <v/>
      </c>
      <c r="C12904">
        <f>IF(B12904="","",INT(A12904))</f>
        <v/>
      </c>
      <c r="D12904">
        <f>IF(B12904="","",HOUR(A12904))</f>
        <v/>
      </c>
    </row>
    <row r="12905">
      <c r="A12905">
        <f>Input!A12905</f>
        <v/>
      </c>
      <c r="B12905">
        <f>IF(ISNUMBER(Input!B12905),IF(AND(Input!B12905&gt;=20,Input!B12905&lt;=700),Input!B12905,""),"")</f>
        <v/>
      </c>
      <c r="C12905">
        <f>IF(B12905="","",INT(A12905))</f>
        <v/>
      </c>
      <c r="D12905">
        <f>IF(B12905="","",HOUR(A12905))</f>
        <v/>
      </c>
    </row>
    <row r="12906">
      <c r="A12906">
        <f>Input!A12906</f>
        <v/>
      </c>
      <c r="B12906">
        <f>IF(ISNUMBER(Input!B12906),IF(AND(Input!B12906&gt;=20,Input!B12906&lt;=700),Input!B12906,""),"")</f>
        <v/>
      </c>
      <c r="C12906">
        <f>IF(B12906="","",INT(A12906))</f>
        <v/>
      </c>
      <c r="D12906">
        <f>IF(B12906="","",HOUR(A12906))</f>
        <v/>
      </c>
    </row>
    <row r="12907">
      <c r="A12907">
        <f>Input!A12907</f>
        <v/>
      </c>
      <c r="B12907">
        <f>IF(ISNUMBER(Input!B12907),IF(AND(Input!B12907&gt;=20,Input!B12907&lt;=700),Input!B12907,""),"")</f>
        <v/>
      </c>
      <c r="C12907">
        <f>IF(B12907="","",INT(A12907))</f>
        <v/>
      </c>
      <c r="D12907">
        <f>IF(B12907="","",HOUR(A12907))</f>
        <v/>
      </c>
    </row>
    <row r="12908">
      <c r="A12908">
        <f>Input!A12908</f>
        <v/>
      </c>
      <c r="B12908">
        <f>IF(ISNUMBER(Input!B12908),IF(AND(Input!B12908&gt;=20,Input!B12908&lt;=700),Input!B12908,""),"")</f>
        <v/>
      </c>
      <c r="C12908">
        <f>IF(B12908="","",INT(A12908))</f>
        <v/>
      </c>
      <c r="D12908">
        <f>IF(B12908="","",HOUR(A12908))</f>
        <v/>
      </c>
    </row>
    <row r="12909">
      <c r="A12909">
        <f>Input!A12909</f>
        <v/>
      </c>
      <c r="B12909">
        <f>IF(ISNUMBER(Input!B12909),IF(AND(Input!B12909&gt;=20,Input!B12909&lt;=700),Input!B12909,""),"")</f>
        <v/>
      </c>
      <c r="C12909">
        <f>IF(B12909="","",INT(A12909))</f>
        <v/>
      </c>
      <c r="D12909">
        <f>IF(B12909="","",HOUR(A12909))</f>
        <v/>
      </c>
    </row>
    <row r="12910">
      <c r="A12910">
        <f>Input!A12910</f>
        <v/>
      </c>
      <c r="B12910">
        <f>IF(ISNUMBER(Input!B12910),IF(AND(Input!B12910&gt;=20,Input!B12910&lt;=700),Input!B12910,""),"")</f>
        <v/>
      </c>
      <c r="C12910">
        <f>IF(B12910="","",INT(A12910))</f>
        <v/>
      </c>
      <c r="D12910">
        <f>IF(B12910="","",HOUR(A12910))</f>
        <v/>
      </c>
    </row>
    <row r="12911">
      <c r="A12911">
        <f>Input!A12911</f>
        <v/>
      </c>
      <c r="B12911">
        <f>IF(ISNUMBER(Input!B12911),IF(AND(Input!B12911&gt;=20,Input!B12911&lt;=700),Input!B12911,""),"")</f>
        <v/>
      </c>
      <c r="C12911">
        <f>IF(B12911="","",INT(A12911))</f>
        <v/>
      </c>
      <c r="D12911">
        <f>IF(B12911="","",HOUR(A12911))</f>
        <v/>
      </c>
    </row>
    <row r="12912">
      <c r="A12912">
        <f>Input!A12912</f>
        <v/>
      </c>
      <c r="B12912">
        <f>IF(ISNUMBER(Input!B12912),IF(AND(Input!B12912&gt;=20,Input!B12912&lt;=700),Input!B12912,""),"")</f>
        <v/>
      </c>
      <c r="C12912">
        <f>IF(B12912="","",INT(A12912))</f>
        <v/>
      </c>
      <c r="D12912">
        <f>IF(B12912="","",HOUR(A12912))</f>
        <v/>
      </c>
    </row>
    <row r="12913">
      <c r="A12913">
        <f>Input!A12913</f>
        <v/>
      </c>
      <c r="B12913">
        <f>IF(ISNUMBER(Input!B12913),IF(AND(Input!B12913&gt;=20,Input!B12913&lt;=700),Input!B12913,""),"")</f>
        <v/>
      </c>
      <c r="C12913">
        <f>IF(B12913="","",INT(A12913))</f>
        <v/>
      </c>
      <c r="D12913">
        <f>IF(B12913="","",HOUR(A12913))</f>
        <v/>
      </c>
    </row>
    <row r="12914">
      <c r="A12914">
        <f>Input!A12914</f>
        <v/>
      </c>
      <c r="B12914">
        <f>IF(ISNUMBER(Input!B12914),IF(AND(Input!B12914&gt;=20,Input!B12914&lt;=700),Input!B12914,""),"")</f>
        <v/>
      </c>
      <c r="C12914">
        <f>IF(B12914="","",INT(A12914))</f>
        <v/>
      </c>
      <c r="D12914">
        <f>IF(B12914="","",HOUR(A12914))</f>
        <v/>
      </c>
    </row>
    <row r="12915">
      <c r="A12915">
        <f>Input!A12915</f>
        <v/>
      </c>
      <c r="B12915">
        <f>IF(ISNUMBER(Input!B12915),IF(AND(Input!B12915&gt;=20,Input!B12915&lt;=700),Input!B12915,""),"")</f>
        <v/>
      </c>
      <c r="C12915">
        <f>IF(B12915="","",INT(A12915))</f>
        <v/>
      </c>
      <c r="D12915">
        <f>IF(B12915="","",HOUR(A12915))</f>
        <v/>
      </c>
    </row>
    <row r="12916">
      <c r="A12916">
        <f>Input!A12916</f>
        <v/>
      </c>
      <c r="B12916">
        <f>IF(ISNUMBER(Input!B12916),IF(AND(Input!B12916&gt;=20,Input!B12916&lt;=700),Input!B12916,""),"")</f>
        <v/>
      </c>
      <c r="C12916">
        <f>IF(B12916="","",INT(A12916))</f>
        <v/>
      </c>
      <c r="D12916">
        <f>IF(B12916="","",HOUR(A12916))</f>
        <v/>
      </c>
    </row>
    <row r="12917">
      <c r="A12917">
        <f>Input!A12917</f>
        <v/>
      </c>
      <c r="B12917">
        <f>IF(ISNUMBER(Input!B12917),IF(AND(Input!B12917&gt;=20,Input!B12917&lt;=700),Input!B12917,""),"")</f>
        <v/>
      </c>
      <c r="C12917">
        <f>IF(B12917="","",INT(A12917))</f>
        <v/>
      </c>
      <c r="D12917">
        <f>IF(B12917="","",HOUR(A12917))</f>
        <v/>
      </c>
    </row>
    <row r="12918">
      <c r="A12918">
        <f>Input!A12918</f>
        <v/>
      </c>
      <c r="B12918">
        <f>IF(ISNUMBER(Input!B12918),IF(AND(Input!B12918&gt;=20,Input!B12918&lt;=700),Input!B12918,""),"")</f>
        <v/>
      </c>
      <c r="C12918">
        <f>IF(B12918="","",INT(A12918))</f>
        <v/>
      </c>
      <c r="D12918">
        <f>IF(B12918="","",HOUR(A12918))</f>
        <v/>
      </c>
    </row>
    <row r="12919">
      <c r="A12919">
        <f>Input!A12919</f>
        <v/>
      </c>
      <c r="B12919">
        <f>IF(ISNUMBER(Input!B12919),IF(AND(Input!B12919&gt;=20,Input!B12919&lt;=700),Input!B12919,""),"")</f>
        <v/>
      </c>
      <c r="C12919">
        <f>IF(B12919="","",INT(A12919))</f>
        <v/>
      </c>
      <c r="D12919">
        <f>IF(B12919="","",HOUR(A12919))</f>
        <v/>
      </c>
    </row>
    <row r="12920">
      <c r="A12920">
        <f>Input!A12920</f>
        <v/>
      </c>
      <c r="B12920">
        <f>IF(ISNUMBER(Input!B12920),IF(AND(Input!B12920&gt;=20,Input!B12920&lt;=700),Input!B12920,""),"")</f>
        <v/>
      </c>
      <c r="C12920">
        <f>IF(B12920="","",INT(A12920))</f>
        <v/>
      </c>
      <c r="D12920">
        <f>IF(B12920="","",HOUR(A12920))</f>
        <v/>
      </c>
    </row>
    <row r="12921">
      <c r="A12921">
        <f>Input!A12921</f>
        <v/>
      </c>
      <c r="B12921">
        <f>IF(ISNUMBER(Input!B12921),IF(AND(Input!B12921&gt;=20,Input!B12921&lt;=700),Input!B12921,""),"")</f>
        <v/>
      </c>
      <c r="C12921">
        <f>IF(B12921="","",INT(A12921))</f>
        <v/>
      </c>
      <c r="D12921">
        <f>IF(B12921="","",HOUR(A12921))</f>
        <v/>
      </c>
    </row>
    <row r="12922">
      <c r="A12922">
        <f>Input!A12922</f>
        <v/>
      </c>
      <c r="B12922">
        <f>IF(ISNUMBER(Input!B12922),IF(AND(Input!B12922&gt;=20,Input!B12922&lt;=700),Input!B12922,""),"")</f>
        <v/>
      </c>
      <c r="C12922">
        <f>IF(B12922="","",INT(A12922))</f>
        <v/>
      </c>
      <c r="D12922">
        <f>IF(B12922="","",HOUR(A12922))</f>
        <v/>
      </c>
    </row>
    <row r="12923">
      <c r="A12923">
        <f>Input!A12923</f>
        <v/>
      </c>
      <c r="B12923">
        <f>IF(ISNUMBER(Input!B12923),IF(AND(Input!B12923&gt;=20,Input!B12923&lt;=700),Input!B12923,""),"")</f>
        <v/>
      </c>
      <c r="C12923">
        <f>IF(B12923="","",INT(A12923))</f>
        <v/>
      </c>
      <c r="D12923">
        <f>IF(B12923="","",HOUR(A12923))</f>
        <v/>
      </c>
    </row>
    <row r="12924">
      <c r="A12924">
        <f>Input!A12924</f>
        <v/>
      </c>
      <c r="B12924">
        <f>IF(ISNUMBER(Input!B12924),IF(AND(Input!B12924&gt;=20,Input!B12924&lt;=700),Input!B12924,""),"")</f>
        <v/>
      </c>
      <c r="C12924">
        <f>IF(B12924="","",INT(A12924))</f>
        <v/>
      </c>
      <c r="D12924">
        <f>IF(B12924="","",HOUR(A12924))</f>
        <v/>
      </c>
    </row>
    <row r="12925">
      <c r="A12925">
        <f>Input!A12925</f>
        <v/>
      </c>
      <c r="B12925">
        <f>IF(ISNUMBER(Input!B12925),IF(AND(Input!B12925&gt;=20,Input!B12925&lt;=700),Input!B12925,""),"")</f>
        <v/>
      </c>
      <c r="C12925">
        <f>IF(B12925="","",INT(A12925))</f>
        <v/>
      </c>
      <c r="D12925">
        <f>IF(B12925="","",HOUR(A12925))</f>
        <v/>
      </c>
    </row>
    <row r="12926">
      <c r="A12926">
        <f>Input!A12926</f>
        <v/>
      </c>
      <c r="B12926">
        <f>IF(ISNUMBER(Input!B12926),IF(AND(Input!B12926&gt;=20,Input!B12926&lt;=700),Input!B12926,""),"")</f>
        <v/>
      </c>
      <c r="C12926">
        <f>IF(B12926="","",INT(A12926))</f>
        <v/>
      </c>
      <c r="D12926">
        <f>IF(B12926="","",HOUR(A12926))</f>
        <v/>
      </c>
    </row>
    <row r="12927">
      <c r="A12927">
        <f>Input!A12927</f>
        <v/>
      </c>
      <c r="B12927">
        <f>IF(ISNUMBER(Input!B12927),IF(AND(Input!B12927&gt;=20,Input!B12927&lt;=700),Input!B12927,""),"")</f>
        <v/>
      </c>
      <c r="C12927">
        <f>IF(B12927="","",INT(A12927))</f>
        <v/>
      </c>
      <c r="D12927">
        <f>IF(B12927="","",HOUR(A12927))</f>
        <v/>
      </c>
    </row>
    <row r="12928">
      <c r="A12928">
        <f>Input!A12928</f>
        <v/>
      </c>
      <c r="B12928">
        <f>IF(ISNUMBER(Input!B12928),IF(AND(Input!B12928&gt;=20,Input!B12928&lt;=700),Input!B12928,""),"")</f>
        <v/>
      </c>
      <c r="C12928">
        <f>IF(B12928="","",INT(A12928))</f>
        <v/>
      </c>
      <c r="D12928">
        <f>IF(B12928="","",HOUR(A12928))</f>
        <v/>
      </c>
    </row>
    <row r="12929">
      <c r="A12929">
        <f>Input!A12929</f>
        <v/>
      </c>
      <c r="B12929">
        <f>IF(ISNUMBER(Input!B12929),IF(AND(Input!B12929&gt;=20,Input!B12929&lt;=700),Input!B12929,""),"")</f>
        <v/>
      </c>
      <c r="C12929">
        <f>IF(B12929="","",INT(A12929))</f>
        <v/>
      </c>
      <c r="D12929">
        <f>IF(B12929="","",HOUR(A12929))</f>
        <v/>
      </c>
    </row>
    <row r="12930">
      <c r="A12930">
        <f>Input!A12930</f>
        <v/>
      </c>
      <c r="B12930">
        <f>IF(ISNUMBER(Input!B12930),IF(AND(Input!B12930&gt;=20,Input!B12930&lt;=700),Input!B12930,""),"")</f>
        <v/>
      </c>
      <c r="C12930">
        <f>IF(B12930="","",INT(A12930))</f>
        <v/>
      </c>
      <c r="D12930">
        <f>IF(B12930="","",HOUR(A12930))</f>
        <v/>
      </c>
    </row>
    <row r="12931">
      <c r="A12931">
        <f>Input!A12931</f>
        <v/>
      </c>
      <c r="B12931">
        <f>IF(ISNUMBER(Input!B12931),IF(AND(Input!B12931&gt;=20,Input!B12931&lt;=700),Input!B12931,""),"")</f>
        <v/>
      </c>
      <c r="C12931">
        <f>IF(B12931="","",INT(A12931))</f>
        <v/>
      </c>
      <c r="D12931">
        <f>IF(B12931="","",HOUR(A12931))</f>
        <v/>
      </c>
    </row>
    <row r="12932">
      <c r="A12932">
        <f>Input!A12932</f>
        <v/>
      </c>
      <c r="B12932">
        <f>IF(ISNUMBER(Input!B12932),IF(AND(Input!B12932&gt;=20,Input!B12932&lt;=700),Input!B12932,""),"")</f>
        <v/>
      </c>
      <c r="C12932">
        <f>IF(B12932="","",INT(A12932))</f>
        <v/>
      </c>
      <c r="D12932">
        <f>IF(B12932="","",HOUR(A12932))</f>
        <v/>
      </c>
    </row>
    <row r="12933">
      <c r="A12933">
        <f>Input!A12933</f>
        <v/>
      </c>
      <c r="B12933">
        <f>IF(ISNUMBER(Input!B12933),IF(AND(Input!B12933&gt;=20,Input!B12933&lt;=700),Input!B12933,""),"")</f>
        <v/>
      </c>
      <c r="C12933">
        <f>IF(B12933="","",INT(A12933))</f>
        <v/>
      </c>
      <c r="D12933">
        <f>IF(B12933="","",HOUR(A12933))</f>
        <v/>
      </c>
    </row>
    <row r="12934">
      <c r="A12934">
        <f>Input!A12934</f>
        <v/>
      </c>
      <c r="B12934">
        <f>IF(ISNUMBER(Input!B12934),IF(AND(Input!B12934&gt;=20,Input!B12934&lt;=700),Input!B12934,""),"")</f>
        <v/>
      </c>
      <c r="C12934">
        <f>IF(B12934="","",INT(A12934))</f>
        <v/>
      </c>
      <c r="D12934">
        <f>IF(B12934="","",HOUR(A12934))</f>
        <v/>
      </c>
    </row>
    <row r="12935">
      <c r="A12935">
        <f>Input!A12935</f>
        <v/>
      </c>
      <c r="B12935">
        <f>IF(ISNUMBER(Input!B12935),IF(AND(Input!B12935&gt;=20,Input!B12935&lt;=700),Input!B12935,""),"")</f>
        <v/>
      </c>
      <c r="C12935">
        <f>IF(B12935="","",INT(A12935))</f>
        <v/>
      </c>
      <c r="D12935">
        <f>IF(B12935="","",HOUR(A12935))</f>
        <v/>
      </c>
    </row>
    <row r="12936">
      <c r="A12936">
        <f>Input!A12936</f>
        <v/>
      </c>
      <c r="B12936">
        <f>IF(ISNUMBER(Input!B12936),IF(AND(Input!B12936&gt;=20,Input!B12936&lt;=700),Input!B12936,""),"")</f>
        <v/>
      </c>
      <c r="C12936">
        <f>IF(B12936="","",INT(A12936))</f>
        <v/>
      </c>
      <c r="D12936">
        <f>IF(B12936="","",HOUR(A12936))</f>
        <v/>
      </c>
    </row>
    <row r="12937">
      <c r="A12937">
        <f>Input!A12937</f>
        <v/>
      </c>
      <c r="B12937">
        <f>IF(ISNUMBER(Input!B12937),IF(AND(Input!B12937&gt;=20,Input!B12937&lt;=700),Input!B12937,""),"")</f>
        <v/>
      </c>
      <c r="C12937">
        <f>IF(B12937="","",INT(A12937))</f>
        <v/>
      </c>
      <c r="D12937">
        <f>IF(B12937="","",HOUR(A12937))</f>
        <v/>
      </c>
    </row>
    <row r="12938">
      <c r="A12938">
        <f>Input!A12938</f>
        <v/>
      </c>
      <c r="B12938">
        <f>IF(ISNUMBER(Input!B12938),IF(AND(Input!B12938&gt;=20,Input!B12938&lt;=700),Input!B12938,""),"")</f>
        <v/>
      </c>
      <c r="C12938">
        <f>IF(B12938="","",INT(A12938))</f>
        <v/>
      </c>
      <c r="D12938">
        <f>IF(B12938="","",HOUR(A12938))</f>
        <v/>
      </c>
    </row>
    <row r="12939">
      <c r="A12939">
        <f>Input!A12939</f>
        <v/>
      </c>
      <c r="B12939">
        <f>IF(ISNUMBER(Input!B12939),IF(AND(Input!B12939&gt;=20,Input!B12939&lt;=700),Input!B12939,""),"")</f>
        <v/>
      </c>
      <c r="C12939">
        <f>IF(B12939="","",INT(A12939))</f>
        <v/>
      </c>
      <c r="D12939">
        <f>IF(B12939="","",HOUR(A12939))</f>
        <v/>
      </c>
    </row>
    <row r="12940">
      <c r="A12940">
        <f>Input!A12940</f>
        <v/>
      </c>
      <c r="B12940">
        <f>IF(ISNUMBER(Input!B12940),IF(AND(Input!B12940&gt;=20,Input!B12940&lt;=700),Input!B12940,""),"")</f>
        <v/>
      </c>
      <c r="C12940">
        <f>IF(B12940="","",INT(A12940))</f>
        <v/>
      </c>
      <c r="D12940">
        <f>IF(B12940="","",HOUR(A12940))</f>
        <v/>
      </c>
    </row>
    <row r="12941">
      <c r="A12941">
        <f>Input!A12941</f>
        <v/>
      </c>
      <c r="B12941">
        <f>IF(ISNUMBER(Input!B12941),IF(AND(Input!B12941&gt;=20,Input!B12941&lt;=700),Input!B12941,""),"")</f>
        <v/>
      </c>
      <c r="C12941">
        <f>IF(B12941="","",INT(A12941))</f>
        <v/>
      </c>
      <c r="D12941">
        <f>IF(B12941="","",HOUR(A12941))</f>
        <v/>
      </c>
    </row>
    <row r="12942">
      <c r="A12942">
        <f>Input!A12942</f>
        <v/>
      </c>
      <c r="B12942">
        <f>IF(ISNUMBER(Input!B12942),IF(AND(Input!B12942&gt;=20,Input!B12942&lt;=700),Input!B12942,""),"")</f>
        <v/>
      </c>
      <c r="C12942">
        <f>IF(B12942="","",INT(A12942))</f>
        <v/>
      </c>
      <c r="D12942">
        <f>IF(B12942="","",HOUR(A12942))</f>
        <v/>
      </c>
    </row>
    <row r="12943">
      <c r="A12943">
        <f>Input!A12943</f>
        <v/>
      </c>
      <c r="B12943">
        <f>IF(ISNUMBER(Input!B12943),IF(AND(Input!B12943&gt;=20,Input!B12943&lt;=700),Input!B12943,""),"")</f>
        <v/>
      </c>
      <c r="C12943">
        <f>IF(B12943="","",INT(A12943))</f>
        <v/>
      </c>
      <c r="D12943">
        <f>IF(B12943="","",HOUR(A12943))</f>
        <v/>
      </c>
    </row>
    <row r="12944">
      <c r="A12944">
        <f>Input!A12944</f>
        <v/>
      </c>
      <c r="B12944">
        <f>IF(ISNUMBER(Input!B12944),IF(AND(Input!B12944&gt;=20,Input!B12944&lt;=700),Input!B12944,""),"")</f>
        <v/>
      </c>
      <c r="C12944">
        <f>IF(B12944="","",INT(A12944))</f>
        <v/>
      </c>
      <c r="D12944">
        <f>IF(B12944="","",HOUR(A12944))</f>
        <v/>
      </c>
    </row>
    <row r="12945">
      <c r="A12945">
        <f>Input!A12945</f>
        <v/>
      </c>
      <c r="B12945">
        <f>IF(ISNUMBER(Input!B12945),IF(AND(Input!B12945&gt;=20,Input!B12945&lt;=700),Input!B12945,""),"")</f>
        <v/>
      </c>
      <c r="C12945">
        <f>IF(B12945="","",INT(A12945))</f>
        <v/>
      </c>
      <c r="D12945">
        <f>IF(B12945="","",HOUR(A12945))</f>
        <v/>
      </c>
    </row>
    <row r="12946">
      <c r="A12946">
        <f>Input!A12946</f>
        <v/>
      </c>
      <c r="B12946">
        <f>IF(ISNUMBER(Input!B12946),IF(AND(Input!B12946&gt;=20,Input!B12946&lt;=700),Input!B12946,""),"")</f>
        <v/>
      </c>
      <c r="C12946">
        <f>IF(B12946="","",INT(A12946))</f>
        <v/>
      </c>
      <c r="D12946">
        <f>IF(B12946="","",HOUR(A12946))</f>
        <v/>
      </c>
    </row>
    <row r="12947">
      <c r="A12947">
        <f>Input!A12947</f>
        <v/>
      </c>
      <c r="B12947">
        <f>IF(ISNUMBER(Input!B12947),IF(AND(Input!B12947&gt;=20,Input!B12947&lt;=700),Input!B12947,""),"")</f>
        <v/>
      </c>
      <c r="C12947">
        <f>IF(B12947="","",INT(A12947))</f>
        <v/>
      </c>
      <c r="D12947">
        <f>IF(B12947="","",HOUR(A12947))</f>
        <v/>
      </c>
    </row>
    <row r="12948">
      <c r="A12948">
        <f>Input!A12948</f>
        <v/>
      </c>
      <c r="B12948">
        <f>IF(ISNUMBER(Input!B12948),IF(AND(Input!B12948&gt;=20,Input!B12948&lt;=700),Input!B12948,""),"")</f>
        <v/>
      </c>
      <c r="C12948">
        <f>IF(B12948="","",INT(A12948))</f>
        <v/>
      </c>
      <c r="D12948">
        <f>IF(B12948="","",HOUR(A12948))</f>
        <v/>
      </c>
    </row>
    <row r="12949">
      <c r="A12949">
        <f>Input!A12949</f>
        <v/>
      </c>
      <c r="B12949">
        <f>IF(ISNUMBER(Input!B12949),IF(AND(Input!B12949&gt;=20,Input!B12949&lt;=700),Input!B12949,""),"")</f>
        <v/>
      </c>
      <c r="C12949">
        <f>IF(B12949="","",INT(A12949))</f>
        <v/>
      </c>
      <c r="D12949">
        <f>IF(B12949="","",HOUR(A12949))</f>
        <v/>
      </c>
    </row>
    <row r="12950">
      <c r="A12950">
        <f>Input!A12950</f>
        <v/>
      </c>
      <c r="B12950">
        <f>IF(ISNUMBER(Input!B12950),IF(AND(Input!B12950&gt;=20,Input!B12950&lt;=700),Input!B12950,""),"")</f>
        <v/>
      </c>
      <c r="C12950">
        <f>IF(B12950="","",INT(A12950))</f>
        <v/>
      </c>
      <c r="D12950">
        <f>IF(B12950="","",HOUR(A12950))</f>
        <v/>
      </c>
    </row>
    <row r="12951">
      <c r="A12951">
        <f>Input!A12951</f>
        <v/>
      </c>
      <c r="B12951">
        <f>IF(ISNUMBER(Input!B12951),IF(AND(Input!B12951&gt;=20,Input!B12951&lt;=700),Input!B12951,""),"")</f>
        <v/>
      </c>
      <c r="C12951">
        <f>IF(B12951="","",INT(A12951))</f>
        <v/>
      </c>
      <c r="D12951">
        <f>IF(B12951="","",HOUR(A12951))</f>
        <v/>
      </c>
    </row>
    <row r="12952">
      <c r="A12952">
        <f>Input!A12952</f>
        <v/>
      </c>
      <c r="B12952">
        <f>IF(ISNUMBER(Input!B12952),IF(AND(Input!B12952&gt;=20,Input!B12952&lt;=700),Input!B12952,""),"")</f>
        <v/>
      </c>
      <c r="C12952">
        <f>IF(B12952="","",INT(A12952))</f>
        <v/>
      </c>
      <c r="D12952">
        <f>IF(B12952="","",HOUR(A12952))</f>
        <v/>
      </c>
    </row>
    <row r="12953">
      <c r="A12953">
        <f>Input!A12953</f>
        <v/>
      </c>
      <c r="B12953">
        <f>IF(ISNUMBER(Input!B12953),IF(AND(Input!B12953&gt;=20,Input!B12953&lt;=700),Input!B12953,""),"")</f>
        <v/>
      </c>
      <c r="C12953">
        <f>IF(B12953="","",INT(A12953))</f>
        <v/>
      </c>
      <c r="D12953">
        <f>IF(B12953="","",HOUR(A12953))</f>
        <v/>
      </c>
    </row>
    <row r="12954">
      <c r="A12954">
        <f>Input!A12954</f>
        <v/>
      </c>
      <c r="B12954">
        <f>IF(ISNUMBER(Input!B12954),IF(AND(Input!B12954&gt;=20,Input!B12954&lt;=700),Input!B12954,""),"")</f>
        <v/>
      </c>
      <c r="C12954">
        <f>IF(B12954="","",INT(A12954))</f>
        <v/>
      </c>
      <c r="D12954">
        <f>IF(B12954="","",HOUR(A12954))</f>
        <v/>
      </c>
    </row>
    <row r="12955">
      <c r="A12955">
        <f>Input!A12955</f>
        <v/>
      </c>
      <c r="B12955">
        <f>IF(ISNUMBER(Input!B12955),IF(AND(Input!B12955&gt;=20,Input!B12955&lt;=700),Input!B12955,""),"")</f>
        <v/>
      </c>
      <c r="C12955">
        <f>IF(B12955="","",INT(A12955))</f>
        <v/>
      </c>
      <c r="D12955">
        <f>IF(B12955="","",HOUR(A12955))</f>
        <v/>
      </c>
    </row>
    <row r="12956">
      <c r="A12956">
        <f>Input!A12956</f>
        <v/>
      </c>
      <c r="B12956">
        <f>IF(ISNUMBER(Input!B12956),IF(AND(Input!B12956&gt;=20,Input!B12956&lt;=700),Input!B12956,""),"")</f>
        <v/>
      </c>
      <c r="C12956">
        <f>IF(B12956="","",INT(A12956))</f>
        <v/>
      </c>
      <c r="D12956">
        <f>IF(B12956="","",HOUR(A12956))</f>
        <v/>
      </c>
    </row>
    <row r="12957">
      <c r="A12957">
        <f>Input!A12957</f>
        <v/>
      </c>
      <c r="B12957">
        <f>IF(ISNUMBER(Input!B12957),IF(AND(Input!B12957&gt;=20,Input!B12957&lt;=700),Input!B12957,""),"")</f>
        <v/>
      </c>
      <c r="C12957">
        <f>IF(B12957="","",INT(A12957))</f>
        <v/>
      </c>
      <c r="D12957">
        <f>IF(B12957="","",HOUR(A12957))</f>
        <v/>
      </c>
    </row>
    <row r="12958">
      <c r="A12958">
        <f>Input!A12958</f>
        <v/>
      </c>
      <c r="B12958">
        <f>IF(ISNUMBER(Input!B12958),IF(AND(Input!B12958&gt;=20,Input!B12958&lt;=700),Input!B12958,""),"")</f>
        <v/>
      </c>
      <c r="C12958">
        <f>IF(B12958="","",INT(A12958))</f>
        <v/>
      </c>
      <c r="D12958">
        <f>IF(B12958="","",HOUR(A12958))</f>
        <v/>
      </c>
    </row>
    <row r="12959">
      <c r="A12959">
        <f>Input!A12959</f>
        <v/>
      </c>
      <c r="B12959">
        <f>IF(ISNUMBER(Input!B12959),IF(AND(Input!B12959&gt;=20,Input!B12959&lt;=700),Input!B12959,""),"")</f>
        <v/>
      </c>
      <c r="C12959">
        <f>IF(B12959="","",INT(A12959))</f>
        <v/>
      </c>
      <c r="D12959">
        <f>IF(B12959="","",HOUR(A12959))</f>
        <v/>
      </c>
    </row>
    <row r="12960">
      <c r="A12960">
        <f>Input!A12960</f>
        <v/>
      </c>
      <c r="B12960">
        <f>IF(ISNUMBER(Input!B12960),IF(AND(Input!B12960&gt;=20,Input!B12960&lt;=700),Input!B12960,""),"")</f>
        <v/>
      </c>
      <c r="C12960">
        <f>IF(B12960="","",INT(A12960))</f>
        <v/>
      </c>
      <c r="D12960">
        <f>IF(B12960="","",HOUR(A12960))</f>
        <v/>
      </c>
    </row>
    <row r="12961">
      <c r="A12961">
        <f>Input!A12961</f>
        <v/>
      </c>
      <c r="B12961">
        <f>IF(ISNUMBER(Input!B12961),IF(AND(Input!B12961&gt;=20,Input!B12961&lt;=700),Input!B12961,""),"")</f>
        <v/>
      </c>
      <c r="C12961">
        <f>IF(B12961="","",INT(A12961))</f>
        <v/>
      </c>
      <c r="D12961">
        <f>IF(B12961="","",HOUR(A12961))</f>
        <v/>
      </c>
    </row>
    <row r="12962">
      <c r="A12962">
        <f>Input!A12962</f>
        <v/>
      </c>
      <c r="B12962">
        <f>IF(ISNUMBER(Input!B12962),IF(AND(Input!B12962&gt;=20,Input!B12962&lt;=700),Input!B12962,""),"")</f>
        <v/>
      </c>
      <c r="C12962">
        <f>IF(B12962="","",INT(A12962))</f>
        <v/>
      </c>
      <c r="D12962">
        <f>IF(B12962="","",HOUR(A12962))</f>
        <v/>
      </c>
    </row>
    <row r="12963">
      <c r="A12963">
        <f>Input!A12963</f>
        <v/>
      </c>
      <c r="B12963">
        <f>IF(ISNUMBER(Input!B12963),IF(AND(Input!B12963&gt;=20,Input!B12963&lt;=700),Input!B12963,""),"")</f>
        <v/>
      </c>
      <c r="C12963">
        <f>IF(B12963="","",INT(A12963))</f>
        <v/>
      </c>
      <c r="D12963">
        <f>IF(B12963="","",HOUR(A12963))</f>
        <v/>
      </c>
    </row>
    <row r="12964">
      <c r="A12964">
        <f>Input!A12964</f>
        <v/>
      </c>
      <c r="B12964">
        <f>IF(ISNUMBER(Input!B12964),IF(AND(Input!B12964&gt;=20,Input!B12964&lt;=700),Input!B12964,""),"")</f>
        <v/>
      </c>
      <c r="C12964">
        <f>IF(B12964="","",INT(A12964))</f>
        <v/>
      </c>
      <c r="D12964">
        <f>IF(B12964="","",HOUR(A12964))</f>
        <v/>
      </c>
    </row>
    <row r="12965">
      <c r="A12965">
        <f>Input!A12965</f>
        <v/>
      </c>
      <c r="B12965">
        <f>IF(ISNUMBER(Input!B12965),IF(AND(Input!B12965&gt;=20,Input!B12965&lt;=700),Input!B12965,""),"")</f>
        <v/>
      </c>
      <c r="C12965">
        <f>IF(B12965="","",INT(A12965))</f>
        <v/>
      </c>
      <c r="D12965">
        <f>IF(B12965="","",HOUR(A12965))</f>
        <v/>
      </c>
    </row>
    <row r="12966">
      <c r="A12966">
        <f>Input!A12966</f>
        <v/>
      </c>
      <c r="B12966">
        <f>IF(ISNUMBER(Input!B12966),IF(AND(Input!B12966&gt;=20,Input!B12966&lt;=700),Input!B12966,""),"")</f>
        <v/>
      </c>
      <c r="C12966">
        <f>IF(B12966="","",INT(A12966))</f>
        <v/>
      </c>
      <c r="D12966">
        <f>IF(B12966="","",HOUR(A12966))</f>
        <v/>
      </c>
    </row>
    <row r="12967">
      <c r="A12967">
        <f>Input!A12967</f>
        <v/>
      </c>
      <c r="B12967">
        <f>IF(ISNUMBER(Input!B12967),IF(AND(Input!B12967&gt;=20,Input!B12967&lt;=700),Input!B12967,""),"")</f>
        <v/>
      </c>
      <c r="C12967">
        <f>IF(B12967="","",INT(A12967))</f>
        <v/>
      </c>
      <c r="D12967">
        <f>IF(B12967="","",HOUR(A12967))</f>
        <v/>
      </c>
    </row>
    <row r="12968">
      <c r="A12968">
        <f>Input!A12968</f>
        <v/>
      </c>
      <c r="B12968">
        <f>IF(ISNUMBER(Input!B12968),IF(AND(Input!B12968&gt;=20,Input!B12968&lt;=700),Input!B12968,""),"")</f>
        <v/>
      </c>
      <c r="C12968">
        <f>IF(B12968="","",INT(A12968))</f>
        <v/>
      </c>
      <c r="D12968">
        <f>IF(B12968="","",HOUR(A12968))</f>
        <v/>
      </c>
    </row>
    <row r="12969">
      <c r="A12969">
        <f>Input!A12969</f>
        <v/>
      </c>
      <c r="B12969">
        <f>IF(ISNUMBER(Input!B12969),IF(AND(Input!B12969&gt;=20,Input!B12969&lt;=700),Input!B12969,""),"")</f>
        <v/>
      </c>
      <c r="C12969">
        <f>IF(B12969="","",INT(A12969))</f>
        <v/>
      </c>
      <c r="D12969">
        <f>IF(B12969="","",HOUR(A12969))</f>
        <v/>
      </c>
    </row>
    <row r="12970">
      <c r="A12970">
        <f>Input!A12970</f>
        <v/>
      </c>
      <c r="B12970">
        <f>IF(ISNUMBER(Input!B12970),IF(AND(Input!B12970&gt;=20,Input!B12970&lt;=700),Input!B12970,""),"")</f>
        <v/>
      </c>
      <c r="C12970">
        <f>IF(B12970="","",INT(A12970))</f>
        <v/>
      </c>
      <c r="D12970">
        <f>IF(B12970="","",HOUR(A12970))</f>
        <v/>
      </c>
    </row>
    <row r="12971">
      <c r="A12971">
        <f>Input!A12971</f>
        <v/>
      </c>
      <c r="B12971">
        <f>IF(ISNUMBER(Input!B12971),IF(AND(Input!B12971&gt;=20,Input!B12971&lt;=700),Input!B12971,""),"")</f>
        <v/>
      </c>
      <c r="C12971">
        <f>IF(B12971="","",INT(A12971))</f>
        <v/>
      </c>
      <c r="D12971">
        <f>IF(B12971="","",HOUR(A12971))</f>
        <v/>
      </c>
    </row>
    <row r="12972">
      <c r="A12972">
        <f>Input!A12972</f>
        <v/>
      </c>
      <c r="B12972">
        <f>IF(ISNUMBER(Input!B12972),IF(AND(Input!B12972&gt;=20,Input!B12972&lt;=700),Input!B12972,""),"")</f>
        <v/>
      </c>
      <c r="C12972">
        <f>IF(B12972="","",INT(A12972))</f>
        <v/>
      </c>
      <c r="D12972">
        <f>IF(B12972="","",HOUR(A12972))</f>
        <v/>
      </c>
    </row>
    <row r="12973">
      <c r="A12973">
        <f>Input!A12973</f>
        <v/>
      </c>
      <c r="B12973">
        <f>IF(ISNUMBER(Input!B12973),IF(AND(Input!B12973&gt;=20,Input!B12973&lt;=700),Input!B12973,""),"")</f>
        <v/>
      </c>
      <c r="C12973">
        <f>IF(B12973="","",INT(A12973))</f>
        <v/>
      </c>
      <c r="D12973">
        <f>IF(B12973="","",HOUR(A12973))</f>
        <v/>
      </c>
    </row>
    <row r="12974">
      <c r="A12974">
        <f>Input!A12974</f>
        <v/>
      </c>
      <c r="B12974">
        <f>IF(ISNUMBER(Input!B12974),IF(AND(Input!B12974&gt;=20,Input!B12974&lt;=700),Input!B12974,""),"")</f>
        <v/>
      </c>
      <c r="C12974">
        <f>IF(B12974="","",INT(A12974))</f>
        <v/>
      </c>
      <c r="D12974">
        <f>IF(B12974="","",HOUR(A12974))</f>
        <v/>
      </c>
    </row>
    <row r="12975">
      <c r="A12975">
        <f>Input!A12975</f>
        <v/>
      </c>
      <c r="B12975">
        <f>IF(ISNUMBER(Input!B12975),IF(AND(Input!B12975&gt;=20,Input!B12975&lt;=700),Input!B12975,""),"")</f>
        <v/>
      </c>
      <c r="C12975">
        <f>IF(B12975="","",INT(A12975))</f>
        <v/>
      </c>
      <c r="D12975">
        <f>IF(B12975="","",HOUR(A12975))</f>
        <v/>
      </c>
    </row>
    <row r="12976">
      <c r="A12976">
        <f>Input!A12976</f>
        <v/>
      </c>
      <c r="B12976">
        <f>IF(ISNUMBER(Input!B12976),IF(AND(Input!B12976&gt;=20,Input!B12976&lt;=700),Input!B12976,""),"")</f>
        <v/>
      </c>
      <c r="C12976">
        <f>IF(B12976="","",INT(A12976))</f>
        <v/>
      </c>
      <c r="D12976">
        <f>IF(B12976="","",HOUR(A12976))</f>
        <v/>
      </c>
    </row>
    <row r="12977">
      <c r="A12977">
        <f>Input!A12977</f>
        <v/>
      </c>
      <c r="B12977">
        <f>IF(ISNUMBER(Input!B12977),IF(AND(Input!B12977&gt;=20,Input!B12977&lt;=700),Input!B12977,""),"")</f>
        <v/>
      </c>
      <c r="C12977">
        <f>IF(B12977="","",INT(A12977))</f>
        <v/>
      </c>
      <c r="D12977">
        <f>IF(B12977="","",HOUR(A12977))</f>
        <v/>
      </c>
    </row>
    <row r="12978">
      <c r="A12978">
        <f>Input!A12978</f>
        <v/>
      </c>
      <c r="B12978">
        <f>IF(ISNUMBER(Input!B12978),IF(AND(Input!B12978&gt;=20,Input!B12978&lt;=700),Input!B12978,""),"")</f>
        <v/>
      </c>
      <c r="C12978">
        <f>IF(B12978="","",INT(A12978))</f>
        <v/>
      </c>
      <c r="D12978">
        <f>IF(B12978="","",HOUR(A12978))</f>
        <v/>
      </c>
    </row>
    <row r="12979">
      <c r="A12979">
        <f>Input!A12979</f>
        <v/>
      </c>
      <c r="B12979">
        <f>IF(ISNUMBER(Input!B12979),IF(AND(Input!B12979&gt;=20,Input!B12979&lt;=700),Input!B12979,""),"")</f>
        <v/>
      </c>
      <c r="C12979">
        <f>IF(B12979="","",INT(A12979))</f>
        <v/>
      </c>
      <c r="D12979">
        <f>IF(B12979="","",HOUR(A12979))</f>
        <v/>
      </c>
    </row>
    <row r="12980">
      <c r="A12980">
        <f>Input!A12980</f>
        <v/>
      </c>
      <c r="B12980">
        <f>IF(ISNUMBER(Input!B12980),IF(AND(Input!B12980&gt;=20,Input!B12980&lt;=700),Input!B12980,""),"")</f>
        <v/>
      </c>
      <c r="C12980">
        <f>IF(B12980="","",INT(A12980))</f>
        <v/>
      </c>
      <c r="D12980">
        <f>IF(B12980="","",HOUR(A12980))</f>
        <v/>
      </c>
    </row>
    <row r="12981">
      <c r="A12981">
        <f>Input!A12981</f>
        <v/>
      </c>
      <c r="B12981">
        <f>IF(ISNUMBER(Input!B12981),IF(AND(Input!B12981&gt;=20,Input!B12981&lt;=700),Input!B12981,""),"")</f>
        <v/>
      </c>
      <c r="C12981">
        <f>IF(B12981="","",INT(A12981))</f>
        <v/>
      </c>
      <c r="D12981">
        <f>IF(B12981="","",HOUR(A12981))</f>
        <v/>
      </c>
    </row>
    <row r="12982">
      <c r="A12982">
        <f>Input!A12982</f>
        <v/>
      </c>
      <c r="B12982">
        <f>IF(ISNUMBER(Input!B12982),IF(AND(Input!B12982&gt;=20,Input!B12982&lt;=700),Input!B12982,""),"")</f>
        <v/>
      </c>
      <c r="C12982">
        <f>IF(B12982="","",INT(A12982))</f>
        <v/>
      </c>
      <c r="D12982">
        <f>IF(B12982="","",HOUR(A12982))</f>
        <v/>
      </c>
    </row>
    <row r="12983">
      <c r="A12983">
        <f>Input!A12983</f>
        <v/>
      </c>
      <c r="B12983">
        <f>IF(ISNUMBER(Input!B12983),IF(AND(Input!B12983&gt;=20,Input!B12983&lt;=700),Input!B12983,""),"")</f>
        <v/>
      </c>
      <c r="C12983">
        <f>IF(B12983="","",INT(A12983))</f>
        <v/>
      </c>
      <c r="D12983">
        <f>IF(B12983="","",HOUR(A12983))</f>
        <v/>
      </c>
    </row>
    <row r="12984">
      <c r="A12984">
        <f>Input!A12984</f>
        <v/>
      </c>
      <c r="B12984">
        <f>IF(ISNUMBER(Input!B12984),IF(AND(Input!B12984&gt;=20,Input!B12984&lt;=700),Input!B12984,""),"")</f>
        <v/>
      </c>
      <c r="C12984">
        <f>IF(B12984="","",INT(A12984))</f>
        <v/>
      </c>
      <c r="D12984">
        <f>IF(B12984="","",HOUR(A12984))</f>
        <v/>
      </c>
    </row>
    <row r="12985">
      <c r="A12985">
        <f>Input!A12985</f>
        <v/>
      </c>
      <c r="B12985">
        <f>IF(ISNUMBER(Input!B12985),IF(AND(Input!B12985&gt;=20,Input!B12985&lt;=700),Input!B12985,""),"")</f>
        <v/>
      </c>
      <c r="C12985">
        <f>IF(B12985="","",INT(A12985))</f>
        <v/>
      </c>
      <c r="D12985">
        <f>IF(B12985="","",HOUR(A12985))</f>
        <v/>
      </c>
    </row>
    <row r="12986">
      <c r="A12986">
        <f>Input!A12986</f>
        <v/>
      </c>
      <c r="B12986">
        <f>IF(ISNUMBER(Input!B12986),IF(AND(Input!B12986&gt;=20,Input!B12986&lt;=700),Input!B12986,""),"")</f>
        <v/>
      </c>
      <c r="C12986">
        <f>IF(B12986="","",INT(A12986))</f>
        <v/>
      </c>
      <c r="D12986">
        <f>IF(B12986="","",HOUR(A12986))</f>
        <v/>
      </c>
    </row>
    <row r="12987">
      <c r="A12987">
        <f>Input!A12987</f>
        <v/>
      </c>
      <c r="B12987">
        <f>IF(ISNUMBER(Input!B12987),IF(AND(Input!B12987&gt;=20,Input!B12987&lt;=700),Input!B12987,""),"")</f>
        <v/>
      </c>
      <c r="C12987">
        <f>IF(B12987="","",INT(A12987))</f>
        <v/>
      </c>
      <c r="D12987">
        <f>IF(B12987="","",HOUR(A12987))</f>
        <v/>
      </c>
    </row>
    <row r="12988">
      <c r="A12988">
        <f>Input!A12988</f>
        <v/>
      </c>
      <c r="B12988">
        <f>IF(ISNUMBER(Input!B12988),IF(AND(Input!B12988&gt;=20,Input!B12988&lt;=700),Input!B12988,""),"")</f>
        <v/>
      </c>
      <c r="C12988">
        <f>IF(B12988="","",INT(A12988))</f>
        <v/>
      </c>
      <c r="D12988">
        <f>IF(B12988="","",HOUR(A12988))</f>
        <v/>
      </c>
    </row>
    <row r="12989">
      <c r="A12989">
        <f>Input!A12989</f>
        <v/>
      </c>
      <c r="B12989">
        <f>IF(ISNUMBER(Input!B12989),IF(AND(Input!B12989&gt;=20,Input!B12989&lt;=700),Input!B12989,""),"")</f>
        <v/>
      </c>
      <c r="C12989">
        <f>IF(B12989="","",INT(A12989))</f>
        <v/>
      </c>
      <c r="D12989">
        <f>IF(B12989="","",HOUR(A12989))</f>
        <v/>
      </c>
    </row>
    <row r="12990">
      <c r="A12990">
        <f>Input!A12990</f>
        <v/>
      </c>
      <c r="B12990">
        <f>IF(ISNUMBER(Input!B12990),IF(AND(Input!B12990&gt;=20,Input!B12990&lt;=700),Input!B12990,""),"")</f>
        <v/>
      </c>
      <c r="C12990">
        <f>IF(B12990="","",INT(A12990))</f>
        <v/>
      </c>
      <c r="D12990">
        <f>IF(B12990="","",HOUR(A12990))</f>
        <v/>
      </c>
    </row>
    <row r="12991">
      <c r="A12991">
        <f>Input!A12991</f>
        <v/>
      </c>
      <c r="B12991">
        <f>IF(ISNUMBER(Input!B12991),IF(AND(Input!B12991&gt;=20,Input!B12991&lt;=700),Input!B12991,""),"")</f>
        <v/>
      </c>
      <c r="C12991">
        <f>IF(B12991="","",INT(A12991))</f>
        <v/>
      </c>
      <c r="D12991">
        <f>IF(B12991="","",HOUR(A12991))</f>
        <v/>
      </c>
    </row>
    <row r="12992">
      <c r="A12992">
        <f>Input!A12992</f>
        <v/>
      </c>
      <c r="B12992">
        <f>IF(ISNUMBER(Input!B12992),IF(AND(Input!B12992&gt;=20,Input!B12992&lt;=700),Input!B12992,""),"")</f>
        <v/>
      </c>
      <c r="C12992">
        <f>IF(B12992="","",INT(A12992))</f>
        <v/>
      </c>
      <c r="D12992">
        <f>IF(B12992="","",HOUR(A12992))</f>
        <v/>
      </c>
    </row>
    <row r="12993">
      <c r="A12993">
        <f>Input!A12993</f>
        <v/>
      </c>
      <c r="B12993">
        <f>IF(ISNUMBER(Input!B12993),IF(AND(Input!B12993&gt;=20,Input!B12993&lt;=700),Input!B12993,""),"")</f>
        <v/>
      </c>
      <c r="C12993">
        <f>IF(B12993="","",INT(A12993))</f>
        <v/>
      </c>
      <c r="D12993">
        <f>IF(B12993="","",HOUR(A12993))</f>
        <v/>
      </c>
    </row>
    <row r="12994">
      <c r="A12994">
        <f>Input!A12994</f>
        <v/>
      </c>
      <c r="B12994">
        <f>IF(ISNUMBER(Input!B12994),IF(AND(Input!B12994&gt;=20,Input!B12994&lt;=700),Input!B12994,""),"")</f>
        <v/>
      </c>
      <c r="C12994">
        <f>IF(B12994="","",INT(A12994))</f>
        <v/>
      </c>
      <c r="D12994">
        <f>IF(B12994="","",HOUR(A12994))</f>
        <v/>
      </c>
    </row>
    <row r="12995">
      <c r="A12995">
        <f>Input!A12995</f>
        <v/>
      </c>
      <c r="B12995">
        <f>IF(ISNUMBER(Input!B12995),IF(AND(Input!B12995&gt;=20,Input!B12995&lt;=700),Input!B12995,""),"")</f>
        <v/>
      </c>
      <c r="C12995">
        <f>IF(B12995="","",INT(A12995))</f>
        <v/>
      </c>
      <c r="D12995">
        <f>IF(B12995="","",HOUR(A12995))</f>
        <v/>
      </c>
    </row>
    <row r="12996">
      <c r="A12996">
        <f>Input!A12996</f>
        <v/>
      </c>
      <c r="B12996">
        <f>IF(ISNUMBER(Input!B12996),IF(AND(Input!B12996&gt;=20,Input!B12996&lt;=700),Input!B12996,""),"")</f>
        <v/>
      </c>
      <c r="C12996">
        <f>IF(B12996="","",INT(A12996))</f>
        <v/>
      </c>
      <c r="D12996">
        <f>IF(B12996="","",HOUR(A12996))</f>
        <v/>
      </c>
    </row>
    <row r="12997">
      <c r="A12997">
        <f>Input!A12997</f>
        <v/>
      </c>
      <c r="B12997">
        <f>IF(ISNUMBER(Input!B12997),IF(AND(Input!B12997&gt;=20,Input!B12997&lt;=700),Input!B12997,""),"")</f>
        <v/>
      </c>
      <c r="C12997">
        <f>IF(B12997="","",INT(A12997))</f>
        <v/>
      </c>
      <c r="D12997">
        <f>IF(B12997="","",HOUR(A12997))</f>
        <v/>
      </c>
    </row>
    <row r="12998">
      <c r="A12998">
        <f>Input!A12998</f>
        <v/>
      </c>
      <c r="B12998">
        <f>IF(ISNUMBER(Input!B12998),IF(AND(Input!B12998&gt;=20,Input!B12998&lt;=700),Input!B12998,""),"")</f>
        <v/>
      </c>
      <c r="C12998">
        <f>IF(B12998="","",INT(A12998))</f>
        <v/>
      </c>
      <c r="D12998">
        <f>IF(B12998="","",HOUR(A12998))</f>
        <v/>
      </c>
    </row>
    <row r="12999">
      <c r="A12999">
        <f>Input!A12999</f>
        <v/>
      </c>
      <c r="B12999">
        <f>IF(ISNUMBER(Input!B12999),IF(AND(Input!B12999&gt;=20,Input!B12999&lt;=700),Input!B12999,""),"")</f>
        <v/>
      </c>
      <c r="C12999">
        <f>IF(B12999="","",INT(A12999))</f>
        <v/>
      </c>
      <c r="D12999">
        <f>IF(B12999="","",HOUR(A12999))</f>
        <v/>
      </c>
    </row>
    <row r="13000">
      <c r="A13000">
        <f>Input!A13000</f>
        <v/>
      </c>
      <c r="B13000">
        <f>IF(ISNUMBER(Input!B13000),IF(AND(Input!B13000&gt;=20,Input!B13000&lt;=700),Input!B13000,""),"")</f>
        <v/>
      </c>
      <c r="C13000">
        <f>IF(B13000="","",INT(A13000))</f>
        <v/>
      </c>
      <c r="D13000">
        <f>IF(B13000="","",HOUR(A13000))</f>
        <v/>
      </c>
    </row>
    <row r="13001">
      <c r="A13001">
        <f>Input!A13001</f>
        <v/>
      </c>
      <c r="B13001">
        <f>IF(ISNUMBER(Input!B13001),IF(AND(Input!B13001&gt;=20,Input!B13001&lt;=700),Input!B13001,""),"")</f>
        <v/>
      </c>
      <c r="C13001">
        <f>IF(B13001="","",INT(A13001))</f>
        <v/>
      </c>
      <c r="D13001">
        <f>IF(B13001="","",HOUR(A13001))</f>
        <v/>
      </c>
    </row>
    <row r="13002">
      <c r="A13002">
        <f>Input!A13002</f>
        <v/>
      </c>
      <c r="B13002">
        <f>IF(ISNUMBER(Input!B13002),IF(AND(Input!B13002&gt;=20,Input!B13002&lt;=700),Input!B13002,""),"")</f>
        <v/>
      </c>
      <c r="C13002">
        <f>IF(B13002="","",INT(A13002))</f>
        <v/>
      </c>
      <c r="D13002">
        <f>IF(B13002="","",HOUR(A13002))</f>
        <v/>
      </c>
    </row>
    <row r="13003">
      <c r="A13003">
        <f>Input!A13003</f>
        <v/>
      </c>
      <c r="B13003">
        <f>IF(ISNUMBER(Input!B13003),IF(AND(Input!B13003&gt;=20,Input!B13003&lt;=700),Input!B13003,""),"")</f>
        <v/>
      </c>
      <c r="C13003">
        <f>IF(B13003="","",INT(A13003))</f>
        <v/>
      </c>
      <c r="D13003">
        <f>IF(B13003="","",HOUR(A13003))</f>
        <v/>
      </c>
    </row>
    <row r="13004">
      <c r="A13004">
        <f>Input!A13004</f>
        <v/>
      </c>
      <c r="B13004">
        <f>IF(ISNUMBER(Input!B13004),IF(AND(Input!B13004&gt;=20,Input!B13004&lt;=700),Input!B13004,""),"")</f>
        <v/>
      </c>
      <c r="C13004">
        <f>IF(B13004="","",INT(A13004))</f>
        <v/>
      </c>
      <c r="D13004">
        <f>IF(B13004="","",HOUR(A13004))</f>
        <v/>
      </c>
    </row>
    <row r="13005">
      <c r="A13005">
        <f>Input!A13005</f>
        <v/>
      </c>
      <c r="B13005">
        <f>IF(ISNUMBER(Input!B13005),IF(AND(Input!B13005&gt;=20,Input!B13005&lt;=700),Input!B13005,""),"")</f>
        <v/>
      </c>
      <c r="C13005">
        <f>IF(B13005="","",INT(A13005))</f>
        <v/>
      </c>
      <c r="D13005">
        <f>IF(B13005="","",HOUR(A13005))</f>
        <v/>
      </c>
    </row>
    <row r="13006">
      <c r="A13006">
        <f>Input!A13006</f>
        <v/>
      </c>
      <c r="B13006">
        <f>IF(ISNUMBER(Input!B13006),IF(AND(Input!B13006&gt;=20,Input!B13006&lt;=700),Input!B13006,""),"")</f>
        <v/>
      </c>
      <c r="C13006">
        <f>IF(B13006="","",INT(A13006))</f>
        <v/>
      </c>
      <c r="D13006">
        <f>IF(B13006="","",HOUR(A13006))</f>
        <v/>
      </c>
    </row>
    <row r="13007">
      <c r="A13007">
        <f>Input!A13007</f>
        <v/>
      </c>
      <c r="B13007">
        <f>IF(ISNUMBER(Input!B13007),IF(AND(Input!B13007&gt;=20,Input!B13007&lt;=700),Input!B13007,""),"")</f>
        <v/>
      </c>
      <c r="C13007">
        <f>IF(B13007="","",INT(A13007))</f>
        <v/>
      </c>
      <c r="D13007">
        <f>IF(B13007="","",HOUR(A13007))</f>
        <v/>
      </c>
    </row>
    <row r="13008">
      <c r="A13008">
        <f>Input!A13008</f>
        <v/>
      </c>
      <c r="B13008">
        <f>IF(ISNUMBER(Input!B13008),IF(AND(Input!B13008&gt;=20,Input!B13008&lt;=700),Input!B13008,""),"")</f>
        <v/>
      </c>
      <c r="C13008">
        <f>IF(B13008="","",INT(A13008))</f>
        <v/>
      </c>
      <c r="D13008">
        <f>IF(B13008="","",HOUR(A13008))</f>
        <v/>
      </c>
    </row>
    <row r="13009">
      <c r="A13009">
        <f>Input!A13009</f>
        <v/>
      </c>
      <c r="B13009">
        <f>IF(ISNUMBER(Input!B13009),IF(AND(Input!B13009&gt;=20,Input!B13009&lt;=700),Input!B13009,""),"")</f>
        <v/>
      </c>
      <c r="C13009">
        <f>IF(B13009="","",INT(A13009))</f>
        <v/>
      </c>
      <c r="D13009">
        <f>IF(B13009="","",HOUR(A13009))</f>
        <v/>
      </c>
    </row>
    <row r="13010">
      <c r="A13010">
        <f>Input!A13010</f>
        <v/>
      </c>
      <c r="B13010">
        <f>IF(ISNUMBER(Input!B13010),IF(AND(Input!B13010&gt;=20,Input!B13010&lt;=700),Input!B13010,""),"")</f>
        <v/>
      </c>
      <c r="C13010">
        <f>IF(B13010="","",INT(A13010))</f>
        <v/>
      </c>
      <c r="D13010">
        <f>IF(B13010="","",HOUR(A13010))</f>
        <v/>
      </c>
    </row>
    <row r="13011">
      <c r="A13011">
        <f>Input!A13011</f>
        <v/>
      </c>
      <c r="B13011">
        <f>IF(ISNUMBER(Input!B13011),IF(AND(Input!B13011&gt;=20,Input!B13011&lt;=700),Input!B13011,""),"")</f>
        <v/>
      </c>
      <c r="C13011">
        <f>IF(B13011="","",INT(A13011))</f>
        <v/>
      </c>
      <c r="D13011">
        <f>IF(B13011="","",HOUR(A13011))</f>
        <v/>
      </c>
    </row>
    <row r="13012">
      <c r="A13012">
        <f>Input!A13012</f>
        <v/>
      </c>
      <c r="B13012">
        <f>IF(ISNUMBER(Input!B13012),IF(AND(Input!B13012&gt;=20,Input!B13012&lt;=700),Input!B13012,""),"")</f>
        <v/>
      </c>
      <c r="C13012">
        <f>IF(B13012="","",INT(A13012))</f>
        <v/>
      </c>
      <c r="D13012">
        <f>IF(B13012="","",HOUR(A13012))</f>
        <v/>
      </c>
    </row>
    <row r="13013">
      <c r="A13013">
        <f>Input!A13013</f>
        <v/>
      </c>
      <c r="B13013">
        <f>IF(ISNUMBER(Input!B13013),IF(AND(Input!B13013&gt;=20,Input!B13013&lt;=700),Input!B13013,""),"")</f>
        <v/>
      </c>
      <c r="C13013">
        <f>IF(B13013="","",INT(A13013))</f>
        <v/>
      </c>
      <c r="D13013">
        <f>IF(B13013="","",HOUR(A13013))</f>
        <v/>
      </c>
    </row>
    <row r="13014">
      <c r="A13014">
        <f>Input!A13014</f>
        <v/>
      </c>
      <c r="B13014">
        <f>IF(ISNUMBER(Input!B13014),IF(AND(Input!B13014&gt;=20,Input!B13014&lt;=700),Input!B13014,""),"")</f>
        <v/>
      </c>
      <c r="C13014">
        <f>IF(B13014="","",INT(A13014))</f>
        <v/>
      </c>
      <c r="D13014">
        <f>IF(B13014="","",HOUR(A13014))</f>
        <v/>
      </c>
    </row>
    <row r="13015">
      <c r="A13015">
        <f>Input!A13015</f>
        <v/>
      </c>
      <c r="B13015">
        <f>IF(ISNUMBER(Input!B13015),IF(AND(Input!B13015&gt;=20,Input!B13015&lt;=700),Input!B13015,""),"")</f>
        <v/>
      </c>
      <c r="C13015">
        <f>IF(B13015="","",INT(A13015))</f>
        <v/>
      </c>
      <c r="D13015">
        <f>IF(B13015="","",HOUR(A13015))</f>
        <v/>
      </c>
    </row>
    <row r="13016">
      <c r="A13016">
        <f>Input!A13016</f>
        <v/>
      </c>
      <c r="B13016">
        <f>IF(ISNUMBER(Input!B13016),IF(AND(Input!B13016&gt;=20,Input!B13016&lt;=700),Input!B13016,""),"")</f>
        <v/>
      </c>
      <c r="C13016">
        <f>IF(B13016="","",INT(A13016))</f>
        <v/>
      </c>
      <c r="D13016">
        <f>IF(B13016="","",HOUR(A13016))</f>
        <v/>
      </c>
    </row>
    <row r="13017">
      <c r="A13017">
        <f>Input!A13017</f>
        <v/>
      </c>
      <c r="B13017">
        <f>IF(ISNUMBER(Input!B13017),IF(AND(Input!B13017&gt;=20,Input!B13017&lt;=700),Input!B13017,""),"")</f>
        <v/>
      </c>
      <c r="C13017">
        <f>IF(B13017="","",INT(A13017))</f>
        <v/>
      </c>
      <c r="D13017">
        <f>IF(B13017="","",HOUR(A13017))</f>
        <v/>
      </c>
    </row>
    <row r="13018">
      <c r="A13018">
        <f>Input!A13018</f>
        <v/>
      </c>
      <c r="B13018">
        <f>IF(ISNUMBER(Input!B13018),IF(AND(Input!B13018&gt;=20,Input!B13018&lt;=700),Input!B13018,""),"")</f>
        <v/>
      </c>
      <c r="C13018">
        <f>IF(B13018="","",INT(A13018))</f>
        <v/>
      </c>
      <c r="D13018">
        <f>IF(B13018="","",HOUR(A13018))</f>
        <v/>
      </c>
    </row>
    <row r="13019">
      <c r="A13019">
        <f>Input!A13019</f>
        <v/>
      </c>
      <c r="B13019">
        <f>IF(ISNUMBER(Input!B13019),IF(AND(Input!B13019&gt;=20,Input!B13019&lt;=700),Input!B13019,""),"")</f>
        <v/>
      </c>
      <c r="C13019">
        <f>IF(B13019="","",INT(A13019))</f>
        <v/>
      </c>
      <c r="D13019">
        <f>IF(B13019="","",HOUR(A13019))</f>
        <v/>
      </c>
    </row>
    <row r="13020">
      <c r="A13020">
        <f>Input!A13020</f>
        <v/>
      </c>
      <c r="B13020">
        <f>IF(ISNUMBER(Input!B13020),IF(AND(Input!B13020&gt;=20,Input!B13020&lt;=700),Input!B13020,""),"")</f>
        <v/>
      </c>
      <c r="C13020">
        <f>IF(B13020="","",INT(A13020))</f>
        <v/>
      </c>
      <c r="D13020">
        <f>IF(B13020="","",HOUR(A13020))</f>
        <v/>
      </c>
    </row>
    <row r="13021">
      <c r="A13021">
        <f>Input!A13021</f>
        <v/>
      </c>
      <c r="B13021">
        <f>IF(ISNUMBER(Input!B13021),IF(AND(Input!B13021&gt;=20,Input!B13021&lt;=700),Input!B13021,""),"")</f>
        <v/>
      </c>
      <c r="C13021">
        <f>IF(B13021="","",INT(A13021))</f>
        <v/>
      </c>
      <c r="D13021">
        <f>IF(B13021="","",HOUR(A13021))</f>
        <v/>
      </c>
    </row>
    <row r="13022">
      <c r="A13022">
        <f>Input!A13022</f>
        <v/>
      </c>
      <c r="B13022">
        <f>IF(ISNUMBER(Input!B13022),IF(AND(Input!B13022&gt;=20,Input!B13022&lt;=700),Input!B13022,""),"")</f>
        <v/>
      </c>
      <c r="C13022">
        <f>IF(B13022="","",INT(A13022))</f>
        <v/>
      </c>
      <c r="D13022">
        <f>IF(B13022="","",HOUR(A13022))</f>
        <v/>
      </c>
    </row>
    <row r="13023">
      <c r="A13023">
        <f>Input!A13023</f>
        <v/>
      </c>
      <c r="B13023">
        <f>IF(ISNUMBER(Input!B13023),IF(AND(Input!B13023&gt;=20,Input!B13023&lt;=700),Input!B13023,""),"")</f>
        <v/>
      </c>
      <c r="C13023">
        <f>IF(B13023="","",INT(A13023))</f>
        <v/>
      </c>
      <c r="D13023">
        <f>IF(B13023="","",HOUR(A13023))</f>
        <v/>
      </c>
    </row>
    <row r="13024">
      <c r="A13024">
        <f>Input!A13024</f>
        <v/>
      </c>
      <c r="B13024">
        <f>IF(ISNUMBER(Input!B13024),IF(AND(Input!B13024&gt;=20,Input!B13024&lt;=700),Input!B13024,""),"")</f>
        <v/>
      </c>
      <c r="C13024">
        <f>IF(B13024="","",INT(A13024))</f>
        <v/>
      </c>
      <c r="D13024">
        <f>IF(B13024="","",HOUR(A13024))</f>
        <v/>
      </c>
    </row>
    <row r="13025">
      <c r="A13025">
        <f>Input!A13025</f>
        <v/>
      </c>
      <c r="B13025">
        <f>IF(ISNUMBER(Input!B13025),IF(AND(Input!B13025&gt;=20,Input!B13025&lt;=700),Input!B13025,""),"")</f>
        <v/>
      </c>
      <c r="C13025">
        <f>IF(B13025="","",INT(A13025))</f>
        <v/>
      </c>
      <c r="D13025">
        <f>IF(B13025="","",HOUR(A13025))</f>
        <v/>
      </c>
    </row>
    <row r="13026">
      <c r="A13026">
        <f>Input!A13026</f>
        <v/>
      </c>
      <c r="B13026">
        <f>IF(ISNUMBER(Input!B13026),IF(AND(Input!B13026&gt;=20,Input!B13026&lt;=700),Input!B13026,""),"")</f>
        <v/>
      </c>
      <c r="C13026">
        <f>IF(B13026="","",INT(A13026))</f>
        <v/>
      </c>
      <c r="D13026">
        <f>IF(B13026="","",HOUR(A13026))</f>
        <v/>
      </c>
    </row>
    <row r="13027">
      <c r="A13027">
        <f>Input!A13027</f>
        <v/>
      </c>
      <c r="B13027">
        <f>IF(ISNUMBER(Input!B13027),IF(AND(Input!B13027&gt;=20,Input!B13027&lt;=700),Input!B13027,""),"")</f>
        <v/>
      </c>
      <c r="C13027">
        <f>IF(B13027="","",INT(A13027))</f>
        <v/>
      </c>
      <c r="D13027">
        <f>IF(B13027="","",HOUR(A13027))</f>
        <v/>
      </c>
    </row>
    <row r="13028">
      <c r="A13028">
        <f>Input!A13028</f>
        <v/>
      </c>
      <c r="B13028">
        <f>IF(ISNUMBER(Input!B13028),IF(AND(Input!B13028&gt;=20,Input!B13028&lt;=700),Input!B13028,""),"")</f>
        <v/>
      </c>
      <c r="C13028">
        <f>IF(B13028="","",INT(A13028))</f>
        <v/>
      </c>
      <c r="D13028">
        <f>IF(B13028="","",HOUR(A13028))</f>
        <v/>
      </c>
    </row>
    <row r="13029">
      <c r="A13029">
        <f>Input!A13029</f>
        <v/>
      </c>
      <c r="B13029">
        <f>IF(ISNUMBER(Input!B13029),IF(AND(Input!B13029&gt;=20,Input!B13029&lt;=700),Input!B13029,""),"")</f>
        <v/>
      </c>
      <c r="C13029">
        <f>IF(B13029="","",INT(A13029))</f>
        <v/>
      </c>
      <c r="D13029">
        <f>IF(B13029="","",HOUR(A13029))</f>
        <v/>
      </c>
    </row>
    <row r="13030">
      <c r="A13030">
        <f>Input!A13030</f>
        <v/>
      </c>
      <c r="B13030">
        <f>IF(ISNUMBER(Input!B13030),IF(AND(Input!B13030&gt;=20,Input!B13030&lt;=700),Input!B13030,""),"")</f>
        <v/>
      </c>
      <c r="C13030">
        <f>IF(B13030="","",INT(A13030))</f>
        <v/>
      </c>
      <c r="D13030">
        <f>IF(B13030="","",HOUR(A13030))</f>
        <v/>
      </c>
    </row>
    <row r="13031">
      <c r="A13031">
        <f>Input!A13031</f>
        <v/>
      </c>
      <c r="B13031">
        <f>IF(ISNUMBER(Input!B13031),IF(AND(Input!B13031&gt;=20,Input!B13031&lt;=700),Input!B13031,""),"")</f>
        <v/>
      </c>
      <c r="C13031">
        <f>IF(B13031="","",INT(A13031))</f>
        <v/>
      </c>
      <c r="D13031">
        <f>IF(B13031="","",HOUR(A13031))</f>
        <v/>
      </c>
    </row>
    <row r="13032">
      <c r="A13032">
        <f>Input!A13032</f>
        <v/>
      </c>
      <c r="B13032">
        <f>IF(ISNUMBER(Input!B13032),IF(AND(Input!B13032&gt;=20,Input!B13032&lt;=700),Input!B13032,""),"")</f>
        <v/>
      </c>
      <c r="C13032">
        <f>IF(B13032="","",INT(A13032))</f>
        <v/>
      </c>
      <c r="D13032">
        <f>IF(B13032="","",HOUR(A13032))</f>
        <v/>
      </c>
    </row>
    <row r="13033">
      <c r="A13033">
        <f>Input!A13033</f>
        <v/>
      </c>
      <c r="B13033">
        <f>IF(ISNUMBER(Input!B13033),IF(AND(Input!B13033&gt;=20,Input!B13033&lt;=700),Input!B13033,""),"")</f>
        <v/>
      </c>
      <c r="C13033">
        <f>IF(B13033="","",INT(A13033))</f>
        <v/>
      </c>
      <c r="D13033">
        <f>IF(B13033="","",HOUR(A13033))</f>
        <v/>
      </c>
    </row>
    <row r="13034">
      <c r="A13034">
        <f>Input!A13034</f>
        <v/>
      </c>
      <c r="B13034">
        <f>IF(ISNUMBER(Input!B13034),IF(AND(Input!B13034&gt;=20,Input!B13034&lt;=700),Input!B13034,""),"")</f>
        <v/>
      </c>
      <c r="C13034">
        <f>IF(B13034="","",INT(A13034))</f>
        <v/>
      </c>
      <c r="D13034">
        <f>IF(B13034="","",HOUR(A13034))</f>
        <v/>
      </c>
    </row>
    <row r="13035">
      <c r="A13035">
        <f>Input!A13035</f>
        <v/>
      </c>
      <c r="B13035">
        <f>IF(ISNUMBER(Input!B13035),IF(AND(Input!B13035&gt;=20,Input!B13035&lt;=700),Input!B13035,""),"")</f>
        <v/>
      </c>
      <c r="C13035">
        <f>IF(B13035="","",INT(A13035))</f>
        <v/>
      </c>
      <c r="D13035">
        <f>IF(B13035="","",HOUR(A13035))</f>
        <v/>
      </c>
    </row>
    <row r="13036">
      <c r="A13036">
        <f>Input!A13036</f>
        <v/>
      </c>
      <c r="B13036">
        <f>IF(ISNUMBER(Input!B13036),IF(AND(Input!B13036&gt;=20,Input!B13036&lt;=700),Input!B13036,""),"")</f>
        <v/>
      </c>
      <c r="C13036">
        <f>IF(B13036="","",INT(A13036))</f>
        <v/>
      </c>
      <c r="D13036">
        <f>IF(B13036="","",HOUR(A13036))</f>
        <v/>
      </c>
    </row>
    <row r="13037">
      <c r="A13037">
        <f>Input!A13037</f>
        <v/>
      </c>
      <c r="B13037">
        <f>IF(ISNUMBER(Input!B13037),IF(AND(Input!B13037&gt;=20,Input!B13037&lt;=700),Input!B13037,""),"")</f>
        <v/>
      </c>
      <c r="C13037">
        <f>IF(B13037="","",INT(A13037))</f>
        <v/>
      </c>
      <c r="D13037">
        <f>IF(B13037="","",HOUR(A13037))</f>
        <v/>
      </c>
    </row>
    <row r="13038">
      <c r="A13038">
        <f>Input!A13038</f>
        <v/>
      </c>
      <c r="B13038">
        <f>IF(ISNUMBER(Input!B13038),IF(AND(Input!B13038&gt;=20,Input!B13038&lt;=700),Input!B13038,""),"")</f>
        <v/>
      </c>
      <c r="C13038">
        <f>IF(B13038="","",INT(A13038))</f>
        <v/>
      </c>
      <c r="D13038">
        <f>IF(B13038="","",HOUR(A13038))</f>
        <v/>
      </c>
    </row>
    <row r="13039">
      <c r="A13039">
        <f>Input!A13039</f>
        <v/>
      </c>
      <c r="B13039">
        <f>IF(ISNUMBER(Input!B13039),IF(AND(Input!B13039&gt;=20,Input!B13039&lt;=700),Input!B13039,""),"")</f>
        <v/>
      </c>
      <c r="C13039">
        <f>IF(B13039="","",INT(A13039))</f>
        <v/>
      </c>
      <c r="D13039">
        <f>IF(B13039="","",HOUR(A13039))</f>
        <v/>
      </c>
    </row>
    <row r="13040">
      <c r="A13040">
        <f>Input!A13040</f>
        <v/>
      </c>
      <c r="B13040">
        <f>IF(ISNUMBER(Input!B13040),IF(AND(Input!B13040&gt;=20,Input!B13040&lt;=700),Input!B13040,""),"")</f>
        <v/>
      </c>
      <c r="C13040">
        <f>IF(B13040="","",INT(A13040))</f>
        <v/>
      </c>
      <c r="D13040">
        <f>IF(B13040="","",HOUR(A13040))</f>
        <v/>
      </c>
    </row>
    <row r="13041">
      <c r="A13041">
        <f>Input!A13041</f>
        <v/>
      </c>
      <c r="B13041">
        <f>IF(ISNUMBER(Input!B13041),IF(AND(Input!B13041&gt;=20,Input!B13041&lt;=700),Input!B13041,""),"")</f>
        <v/>
      </c>
      <c r="C13041">
        <f>IF(B13041="","",INT(A13041))</f>
        <v/>
      </c>
      <c r="D13041">
        <f>IF(B13041="","",HOUR(A13041))</f>
        <v/>
      </c>
    </row>
    <row r="13042">
      <c r="A13042">
        <f>Input!A13042</f>
        <v/>
      </c>
      <c r="B13042">
        <f>IF(ISNUMBER(Input!B13042),IF(AND(Input!B13042&gt;=20,Input!B13042&lt;=700),Input!B13042,""),"")</f>
        <v/>
      </c>
      <c r="C13042">
        <f>IF(B13042="","",INT(A13042))</f>
        <v/>
      </c>
      <c r="D13042">
        <f>IF(B13042="","",HOUR(A13042))</f>
        <v/>
      </c>
    </row>
    <row r="13043">
      <c r="A13043">
        <f>Input!A13043</f>
        <v/>
      </c>
      <c r="B13043">
        <f>IF(ISNUMBER(Input!B13043),IF(AND(Input!B13043&gt;=20,Input!B13043&lt;=700),Input!B13043,""),"")</f>
        <v/>
      </c>
      <c r="C13043">
        <f>IF(B13043="","",INT(A13043))</f>
        <v/>
      </c>
      <c r="D13043">
        <f>IF(B13043="","",HOUR(A13043))</f>
        <v/>
      </c>
    </row>
    <row r="13044">
      <c r="A13044">
        <f>Input!A13044</f>
        <v/>
      </c>
      <c r="B13044">
        <f>IF(ISNUMBER(Input!B13044),IF(AND(Input!B13044&gt;=20,Input!B13044&lt;=700),Input!B13044,""),"")</f>
        <v/>
      </c>
      <c r="C13044">
        <f>IF(B13044="","",INT(A13044))</f>
        <v/>
      </c>
      <c r="D13044">
        <f>IF(B13044="","",HOUR(A13044))</f>
        <v/>
      </c>
    </row>
    <row r="13045">
      <c r="A13045">
        <f>Input!A13045</f>
        <v/>
      </c>
      <c r="B13045">
        <f>IF(ISNUMBER(Input!B13045),IF(AND(Input!B13045&gt;=20,Input!B13045&lt;=700),Input!B13045,""),"")</f>
        <v/>
      </c>
      <c r="C13045">
        <f>IF(B13045="","",INT(A13045))</f>
        <v/>
      </c>
      <c r="D13045">
        <f>IF(B13045="","",HOUR(A13045))</f>
        <v/>
      </c>
    </row>
    <row r="13046">
      <c r="A13046">
        <f>Input!A13046</f>
        <v/>
      </c>
      <c r="B13046">
        <f>IF(ISNUMBER(Input!B13046),IF(AND(Input!B13046&gt;=20,Input!B13046&lt;=700),Input!B13046,""),"")</f>
        <v/>
      </c>
      <c r="C13046">
        <f>IF(B13046="","",INT(A13046))</f>
        <v/>
      </c>
      <c r="D13046">
        <f>IF(B13046="","",HOUR(A13046))</f>
        <v/>
      </c>
    </row>
    <row r="13047">
      <c r="A13047">
        <f>Input!A13047</f>
        <v/>
      </c>
      <c r="B13047">
        <f>IF(ISNUMBER(Input!B13047),IF(AND(Input!B13047&gt;=20,Input!B13047&lt;=700),Input!B13047,""),"")</f>
        <v/>
      </c>
      <c r="C13047">
        <f>IF(B13047="","",INT(A13047))</f>
        <v/>
      </c>
      <c r="D13047">
        <f>IF(B13047="","",HOUR(A13047))</f>
        <v/>
      </c>
    </row>
    <row r="13048">
      <c r="A13048">
        <f>Input!A13048</f>
        <v/>
      </c>
      <c r="B13048">
        <f>IF(ISNUMBER(Input!B13048),IF(AND(Input!B13048&gt;=20,Input!B13048&lt;=700),Input!B13048,""),"")</f>
        <v/>
      </c>
      <c r="C13048">
        <f>IF(B13048="","",INT(A13048))</f>
        <v/>
      </c>
      <c r="D13048">
        <f>IF(B13048="","",HOUR(A13048))</f>
        <v/>
      </c>
    </row>
    <row r="13049">
      <c r="A13049">
        <f>Input!A13049</f>
        <v/>
      </c>
      <c r="B13049">
        <f>IF(ISNUMBER(Input!B13049),IF(AND(Input!B13049&gt;=20,Input!B13049&lt;=700),Input!B13049,""),"")</f>
        <v/>
      </c>
      <c r="C13049">
        <f>IF(B13049="","",INT(A13049))</f>
        <v/>
      </c>
      <c r="D13049">
        <f>IF(B13049="","",HOUR(A13049))</f>
        <v/>
      </c>
    </row>
    <row r="13050">
      <c r="A13050">
        <f>Input!A13050</f>
        <v/>
      </c>
      <c r="B13050">
        <f>IF(ISNUMBER(Input!B13050),IF(AND(Input!B13050&gt;=20,Input!B13050&lt;=700),Input!B13050,""),"")</f>
        <v/>
      </c>
      <c r="C13050">
        <f>IF(B13050="","",INT(A13050))</f>
        <v/>
      </c>
      <c r="D13050">
        <f>IF(B13050="","",HOUR(A13050))</f>
        <v/>
      </c>
    </row>
    <row r="13051">
      <c r="A13051">
        <f>Input!A13051</f>
        <v/>
      </c>
      <c r="B13051">
        <f>IF(ISNUMBER(Input!B13051),IF(AND(Input!B13051&gt;=20,Input!B13051&lt;=700),Input!B13051,""),"")</f>
        <v/>
      </c>
      <c r="C13051">
        <f>IF(B13051="","",INT(A13051))</f>
        <v/>
      </c>
      <c r="D13051">
        <f>IF(B13051="","",HOUR(A13051))</f>
        <v/>
      </c>
    </row>
    <row r="13052">
      <c r="A13052">
        <f>Input!A13052</f>
        <v/>
      </c>
      <c r="B13052">
        <f>IF(ISNUMBER(Input!B13052),IF(AND(Input!B13052&gt;=20,Input!B13052&lt;=700),Input!B13052,""),"")</f>
        <v/>
      </c>
      <c r="C13052">
        <f>IF(B13052="","",INT(A13052))</f>
        <v/>
      </c>
      <c r="D13052">
        <f>IF(B13052="","",HOUR(A13052))</f>
        <v/>
      </c>
    </row>
    <row r="13053">
      <c r="A13053">
        <f>Input!A13053</f>
        <v/>
      </c>
      <c r="B13053">
        <f>IF(ISNUMBER(Input!B13053),IF(AND(Input!B13053&gt;=20,Input!B13053&lt;=700),Input!B13053,""),"")</f>
        <v/>
      </c>
      <c r="C13053">
        <f>IF(B13053="","",INT(A13053))</f>
        <v/>
      </c>
      <c r="D13053">
        <f>IF(B13053="","",HOUR(A13053))</f>
        <v/>
      </c>
    </row>
    <row r="13054">
      <c r="A13054">
        <f>Input!A13054</f>
        <v/>
      </c>
      <c r="B13054">
        <f>IF(ISNUMBER(Input!B13054),IF(AND(Input!B13054&gt;=20,Input!B13054&lt;=700),Input!B13054,""),"")</f>
        <v/>
      </c>
      <c r="C13054">
        <f>IF(B13054="","",INT(A13054))</f>
        <v/>
      </c>
      <c r="D13054">
        <f>IF(B13054="","",HOUR(A13054))</f>
        <v/>
      </c>
    </row>
    <row r="13055">
      <c r="A13055">
        <f>Input!A13055</f>
        <v/>
      </c>
      <c r="B13055">
        <f>IF(ISNUMBER(Input!B13055),IF(AND(Input!B13055&gt;=20,Input!B13055&lt;=700),Input!B13055,""),"")</f>
        <v/>
      </c>
      <c r="C13055">
        <f>IF(B13055="","",INT(A13055))</f>
        <v/>
      </c>
      <c r="D13055">
        <f>IF(B13055="","",HOUR(A13055))</f>
        <v/>
      </c>
    </row>
    <row r="13056">
      <c r="A13056">
        <f>Input!A13056</f>
        <v/>
      </c>
      <c r="B13056">
        <f>IF(ISNUMBER(Input!B13056),IF(AND(Input!B13056&gt;=20,Input!B13056&lt;=700),Input!B13056,""),"")</f>
        <v/>
      </c>
      <c r="C13056">
        <f>IF(B13056="","",INT(A13056))</f>
        <v/>
      </c>
      <c r="D13056">
        <f>IF(B13056="","",HOUR(A13056))</f>
        <v/>
      </c>
    </row>
    <row r="13057">
      <c r="A13057">
        <f>Input!A13057</f>
        <v/>
      </c>
      <c r="B13057">
        <f>IF(ISNUMBER(Input!B13057),IF(AND(Input!B13057&gt;=20,Input!B13057&lt;=700),Input!B13057,""),"")</f>
        <v/>
      </c>
      <c r="C13057">
        <f>IF(B13057="","",INT(A13057))</f>
        <v/>
      </c>
      <c r="D13057">
        <f>IF(B13057="","",HOUR(A13057))</f>
        <v/>
      </c>
    </row>
    <row r="13058">
      <c r="A13058">
        <f>Input!A13058</f>
        <v/>
      </c>
      <c r="B13058">
        <f>IF(ISNUMBER(Input!B13058),IF(AND(Input!B13058&gt;=20,Input!B13058&lt;=700),Input!B13058,""),"")</f>
        <v/>
      </c>
      <c r="C13058">
        <f>IF(B13058="","",INT(A13058))</f>
        <v/>
      </c>
      <c r="D13058">
        <f>IF(B13058="","",HOUR(A13058))</f>
        <v/>
      </c>
    </row>
    <row r="13059">
      <c r="A13059">
        <f>Input!A13059</f>
        <v/>
      </c>
      <c r="B13059">
        <f>IF(ISNUMBER(Input!B13059),IF(AND(Input!B13059&gt;=20,Input!B13059&lt;=700),Input!B13059,""),"")</f>
        <v/>
      </c>
      <c r="C13059">
        <f>IF(B13059="","",INT(A13059))</f>
        <v/>
      </c>
      <c r="D13059">
        <f>IF(B13059="","",HOUR(A13059))</f>
        <v/>
      </c>
    </row>
    <row r="13060">
      <c r="A13060">
        <f>Input!A13060</f>
        <v/>
      </c>
      <c r="B13060">
        <f>IF(ISNUMBER(Input!B13060),IF(AND(Input!B13060&gt;=20,Input!B13060&lt;=700),Input!B13060,""),"")</f>
        <v/>
      </c>
      <c r="C13060">
        <f>IF(B13060="","",INT(A13060))</f>
        <v/>
      </c>
      <c r="D13060">
        <f>IF(B13060="","",HOUR(A13060))</f>
        <v/>
      </c>
    </row>
    <row r="13061">
      <c r="A13061">
        <f>Input!A13061</f>
        <v/>
      </c>
      <c r="B13061">
        <f>IF(ISNUMBER(Input!B13061),IF(AND(Input!B13061&gt;=20,Input!B13061&lt;=700),Input!B13061,""),"")</f>
        <v/>
      </c>
      <c r="C13061">
        <f>IF(B13061="","",INT(A13061))</f>
        <v/>
      </c>
      <c r="D13061">
        <f>IF(B13061="","",HOUR(A13061))</f>
        <v/>
      </c>
    </row>
    <row r="13062">
      <c r="A13062">
        <f>Input!A13062</f>
        <v/>
      </c>
      <c r="B13062">
        <f>IF(ISNUMBER(Input!B13062),IF(AND(Input!B13062&gt;=20,Input!B13062&lt;=700),Input!B13062,""),"")</f>
        <v/>
      </c>
      <c r="C13062">
        <f>IF(B13062="","",INT(A13062))</f>
        <v/>
      </c>
      <c r="D13062">
        <f>IF(B13062="","",HOUR(A13062))</f>
        <v/>
      </c>
    </row>
    <row r="13063">
      <c r="A13063">
        <f>Input!A13063</f>
        <v/>
      </c>
      <c r="B13063">
        <f>IF(ISNUMBER(Input!B13063),IF(AND(Input!B13063&gt;=20,Input!B13063&lt;=700),Input!B13063,""),"")</f>
        <v/>
      </c>
      <c r="C13063">
        <f>IF(B13063="","",INT(A13063))</f>
        <v/>
      </c>
      <c r="D13063">
        <f>IF(B13063="","",HOUR(A13063))</f>
        <v/>
      </c>
    </row>
    <row r="13064">
      <c r="A13064">
        <f>Input!A13064</f>
        <v/>
      </c>
      <c r="B13064">
        <f>IF(ISNUMBER(Input!B13064),IF(AND(Input!B13064&gt;=20,Input!B13064&lt;=700),Input!B13064,""),"")</f>
        <v/>
      </c>
      <c r="C13064">
        <f>IF(B13064="","",INT(A13064))</f>
        <v/>
      </c>
      <c r="D13064">
        <f>IF(B13064="","",HOUR(A13064))</f>
        <v/>
      </c>
    </row>
    <row r="13065">
      <c r="A13065">
        <f>Input!A13065</f>
        <v/>
      </c>
      <c r="B13065">
        <f>IF(ISNUMBER(Input!B13065),IF(AND(Input!B13065&gt;=20,Input!B13065&lt;=700),Input!B13065,""),"")</f>
        <v/>
      </c>
      <c r="C13065">
        <f>IF(B13065="","",INT(A13065))</f>
        <v/>
      </c>
      <c r="D13065">
        <f>IF(B13065="","",HOUR(A13065))</f>
        <v/>
      </c>
    </row>
    <row r="13066">
      <c r="A13066">
        <f>Input!A13066</f>
        <v/>
      </c>
      <c r="B13066">
        <f>IF(ISNUMBER(Input!B13066),IF(AND(Input!B13066&gt;=20,Input!B13066&lt;=700),Input!B13066,""),"")</f>
        <v/>
      </c>
      <c r="C13066">
        <f>IF(B13066="","",INT(A13066))</f>
        <v/>
      </c>
      <c r="D13066">
        <f>IF(B13066="","",HOUR(A13066))</f>
        <v/>
      </c>
    </row>
    <row r="13067">
      <c r="A13067">
        <f>Input!A13067</f>
        <v/>
      </c>
      <c r="B13067">
        <f>IF(ISNUMBER(Input!B13067),IF(AND(Input!B13067&gt;=20,Input!B13067&lt;=700),Input!B13067,""),"")</f>
        <v/>
      </c>
      <c r="C13067">
        <f>IF(B13067="","",INT(A13067))</f>
        <v/>
      </c>
      <c r="D13067">
        <f>IF(B13067="","",HOUR(A13067))</f>
        <v/>
      </c>
    </row>
    <row r="13068">
      <c r="A13068">
        <f>Input!A13068</f>
        <v/>
      </c>
      <c r="B13068">
        <f>IF(ISNUMBER(Input!B13068),IF(AND(Input!B13068&gt;=20,Input!B13068&lt;=700),Input!B13068,""),"")</f>
        <v/>
      </c>
      <c r="C13068">
        <f>IF(B13068="","",INT(A13068))</f>
        <v/>
      </c>
      <c r="D13068">
        <f>IF(B13068="","",HOUR(A13068))</f>
        <v/>
      </c>
    </row>
    <row r="13069">
      <c r="A13069">
        <f>Input!A13069</f>
        <v/>
      </c>
      <c r="B13069">
        <f>IF(ISNUMBER(Input!B13069),IF(AND(Input!B13069&gt;=20,Input!B13069&lt;=700),Input!B13069,""),"")</f>
        <v/>
      </c>
      <c r="C13069">
        <f>IF(B13069="","",INT(A13069))</f>
        <v/>
      </c>
      <c r="D13069">
        <f>IF(B13069="","",HOUR(A13069))</f>
        <v/>
      </c>
    </row>
    <row r="13070">
      <c r="A13070">
        <f>Input!A13070</f>
        <v/>
      </c>
      <c r="B13070">
        <f>IF(ISNUMBER(Input!B13070),IF(AND(Input!B13070&gt;=20,Input!B13070&lt;=700),Input!B13070,""),"")</f>
        <v/>
      </c>
      <c r="C13070">
        <f>IF(B13070="","",INT(A13070))</f>
        <v/>
      </c>
      <c r="D13070">
        <f>IF(B13070="","",HOUR(A13070))</f>
        <v/>
      </c>
    </row>
    <row r="13071">
      <c r="A13071">
        <f>Input!A13071</f>
        <v/>
      </c>
      <c r="B13071">
        <f>IF(ISNUMBER(Input!B13071),IF(AND(Input!B13071&gt;=20,Input!B13071&lt;=700),Input!B13071,""),"")</f>
        <v/>
      </c>
      <c r="C13071">
        <f>IF(B13071="","",INT(A13071))</f>
        <v/>
      </c>
      <c r="D13071">
        <f>IF(B13071="","",HOUR(A13071))</f>
        <v/>
      </c>
    </row>
    <row r="13072">
      <c r="A13072">
        <f>Input!A13072</f>
        <v/>
      </c>
      <c r="B13072">
        <f>IF(ISNUMBER(Input!B13072),IF(AND(Input!B13072&gt;=20,Input!B13072&lt;=700),Input!B13072,""),"")</f>
        <v/>
      </c>
      <c r="C13072">
        <f>IF(B13072="","",INT(A13072))</f>
        <v/>
      </c>
      <c r="D13072">
        <f>IF(B13072="","",HOUR(A13072))</f>
        <v/>
      </c>
    </row>
    <row r="13073">
      <c r="A13073">
        <f>Input!A13073</f>
        <v/>
      </c>
      <c r="B13073">
        <f>IF(ISNUMBER(Input!B13073),IF(AND(Input!B13073&gt;=20,Input!B13073&lt;=700),Input!B13073,""),"")</f>
        <v/>
      </c>
      <c r="C13073">
        <f>IF(B13073="","",INT(A13073))</f>
        <v/>
      </c>
      <c r="D13073">
        <f>IF(B13073="","",HOUR(A13073))</f>
        <v/>
      </c>
    </row>
    <row r="13074">
      <c r="A13074">
        <f>Input!A13074</f>
        <v/>
      </c>
      <c r="B13074">
        <f>IF(ISNUMBER(Input!B13074),IF(AND(Input!B13074&gt;=20,Input!B13074&lt;=700),Input!B13074,""),"")</f>
        <v/>
      </c>
      <c r="C13074">
        <f>IF(B13074="","",INT(A13074))</f>
        <v/>
      </c>
      <c r="D13074">
        <f>IF(B13074="","",HOUR(A13074))</f>
        <v/>
      </c>
    </row>
    <row r="13075">
      <c r="A13075">
        <f>Input!A13075</f>
        <v/>
      </c>
      <c r="B13075">
        <f>IF(ISNUMBER(Input!B13075),IF(AND(Input!B13075&gt;=20,Input!B13075&lt;=700),Input!B13075,""),"")</f>
        <v/>
      </c>
      <c r="C13075">
        <f>IF(B13075="","",INT(A13075))</f>
        <v/>
      </c>
      <c r="D13075">
        <f>IF(B13075="","",HOUR(A13075))</f>
        <v/>
      </c>
    </row>
    <row r="13076">
      <c r="A13076">
        <f>Input!A13076</f>
        <v/>
      </c>
      <c r="B13076">
        <f>IF(ISNUMBER(Input!B13076),IF(AND(Input!B13076&gt;=20,Input!B13076&lt;=700),Input!B13076,""),"")</f>
        <v/>
      </c>
      <c r="C13076">
        <f>IF(B13076="","",INT(A13076))</f>
        <v/>
      </c>
      <c r="D13076">
        <f>IF(B13076="","",HOUR(A13076))</f>
        <v/>
      </c>
    </row>
    <row r="13077">
      <c r="A13077">
        <f>Input!A13077</f>
        <v/>
      </c>
      <c r="B13077">
        <f>IF(ISNUMBER(Input!B13077),IF(AND(Input!B13077&gt;=20,Input!B13077&lt;=700),Input!B13077,""),"")</f>
        <v/>
      </c>
      <c r="C13077">
        <f>IF(B13077="","",INT(A13077))</f>
        <v/>
      </c>
      <c r="D13077">
        <f>IF(B13077="","",HOUR(A13077))</f>
        <v/>
      </c>
    </row>
    <row r="13078">
      <c r="A13078">
        <f>Input!A13078</f>
        <v/>
      </c>
      <c r="B13078">
        <f>IF(ISNUMBER(Input!B13078),IF(AND(Input!B13078&gt;=20,Input!B13078&lt;=700),Input!B13078,""),"")</f>
        <v/>
      </c>
      <c r="C13078">
        <f>IF(B13078="","",INT(A13078))</f>
        <v/>
      </c>
      <c r="D13078">
        <f>IF(B13078="","",HOUR(A13078))</f>
        <v/>
      </c>
    </row>
    <row r="13079">
      <c r="A13079">
        <f>Input!A13079</f>
        <v/>
      </c>
      <c r="B13079">
        <f>IF(ISNUMBER(Input!B13079),IF(AND(Input!B13079&gt;=20,Input!B13079&lt;=700),Input!B13079,""),"")</f>
        <v/>
      </c>
      <c r="C13079">
        <f>IF(B13079="","",INT(A13079))</f>
        <v/>
      </c>
      <c r="D13079">
        <f>IF(B13079="","",HOUR(A13079))</f>
        <v/>
      </c>
    </row>
    <row r="13080">
      <c r="A13080">
        <f>Input!A13080</f>
        <v/>
      </c>
      <c r="B13080">
        <f>IF(ISNUMBER(Input!B13080),IF(AND(Input!B13080&gt;=20,Input!B13080&lt;=700),Input!B13080,""),"")</f>
        <v/>
      </c>
      <c r="C13080">
        <f>IF(B13080="","",INT(A13080))</f>
        <v/>
      </c>
      <c r="D13080">
        <f>IF(B13080="","",HOUR(A13080))</f>
        <v/>
      </c>
    </row>
    <row r="13081">
      <c r="A13081">
        <f>Input!A13081</f>
        <v/>
      </c>
      <c r="B13081">
        <f>IF(ISNUMBER(Input!B13081),IF(AND(Input!B13081&gt;=20,Input!B13081&lt;=700),Input!B13081,""),"")</f>
        <v/>
      </c>
      <c r="C13081">
        <f>IF(B13081="","",INT(A13081))</f>
        <v/>
      </c>
      <c r="D13081">
        <f>IF(B13081="","",HOUR(A13081))</f>
        <v/>
      </c>
    </row>
    <row r="13082">
      <c r="A13082">
        <f>Input!A13082</f>
        <v/>
      </c>
      <c r="B13082">
        <f>IF(ISNUMBER(Input!B13082),IF(AND(Input!B13082&gt;=20,Input!B13082&lt;=700),Input!B13082,""),"")</f>
        <v/>
      </c>
      <c r="C13082">
        <f>IF(B13082="","",INT(A13082))</f>
        <v/>
      </c>
      <c r="D13082">
        <f>IF(B13082="","",HOUR(A13082))</f>
        <v/>
      </c>
    </row>
    <row r="13083">
      <c r="A13083">
        <f>Input!A13083</f>
        <v/>
      </c>
      <c r="B13083">
        <f>IF(ISNUMBER(Input!B13083),IF(AND(Input!B13083&gt;=20,Input!B13083&lt;=700),Input!B13083,""),"")</f>
        <v/>
      </c>
      <c r="C13083">
        <f>IF(B13083="","",INT(A13083))</f>
        <v/>
      </c>
      <c r="D13083">
        <f>IF(B13083="","",HOUR(A13083))</f>
        <v/>
      </c>
    </row>
    <row r="13084">
      <c r="A13084">
        <f>Input!A13084</f>
        <v/>
      </c>
      <c r="B13084">
        <f>IF(ISNUMBER(Input!B13084),IF(AND(Input!B13084&gt;=20,Input!B13084&lt;=700),Input!B13084,""),"")</f>
        <v/>
      </c>
      <c r="C13084">
        <f>IF(B13084="","",INT(A13084))</f>
        <v/>
      </c>
      <c r="D13084">
        <f>IF(B13084="","",HOUR(A13084))</f>
        <v/>
      </c>
    </row>
    <row r="13085">
      <c r="A13085">
        <f>Input!A13085</f>
        <v/>
      </c>
      <c r="B13085">
        <f>IF(ISNUMBER(Input!B13085),IF(AND(Input!B13085&gt;=20,Input!B13085&lt;=700),Input!B13085,""),"")</f>
        <v/>
      </c>
      <c r="C13085">
        <f>IF(B13085="","",INT(A13085))</f>
        <v/>
      </c>
      <c r="D13085">
        <f>IF(B13085="","",HOUR(A13085))</f>
        <v/>
      </c>
    </row>
    <row r="13086">
      <c r="A13086">
        <f>Input!A13086</f>
        <v/>
      </c>
      <c r="B13086">
        <f>IF(ISNUMBER(Input!B13086),IF(AND(Input!B13086&gt;=20,Input!B13086&lt;=700),Input!B13086,""),"")</f>
        <v/>
      </c>
      <c r="C13086">
        <f>IF(B13086="","",INT(A13086))</f>
        <v/>
      </c>
      <c r="D13086">
        <f>IF(B13086="","",HOUR(A13086))</f>
        <v/>
      </c>
    </row>
    <row r="13087">
      <c r="A13087">
        <f>Input!A13087</f>
        <v/>
      </c>
      <c r="B13087">
        <f>IF(ISNUMBER(Input!B13087),IF(AND(Input!B13087&gt;=20,Input!B13087&lt;=700),Input!B13087,""),"")</f>
        <v/>
      </c>
      <c r="C13087">
        <f>IF(B13087="","",INT(A13087))</f>
        <v/>
      </c>
      <c r="D13087">
        <f>IF(B13087="","",HOUR(A13087))</f>
        <v/>
      </c>
    </row>
    <row r="13088">
      <c r="A13088">
        <f>Input!A13088</f>
        <v/>
      </c>
      <c r="B13088">
        <f>IF(ISNUMBER(Input!B13088),IF(AND(Input!B13088&gt;=20,Input!B13088&lt;=700),Input!B13088,""),"")</f>
        <v/>
      </c>
      <c r="C13088">
        <f>IF(B13088="","",INT(A13088))</f>
        <v/>
      </c>
      <c r="D13088">
        <f>IF(B13088="","",HOUR(A13088))</f>
        <v/>
      </c>
    </row>
    <row r="13089">
      <c r="A13089">
        <f>Input!A13089</f>
        <v/>
      </c>
      <c r="B13089">
        <f>IF(ISNUMBER(Input!B13089),IF(AND(Input!B13089&gt;=20,Input!B13089&lt;=700),Input!B13089,""),"")</f>
        <v/>
      </c>
      <c r="C13089">
        <f>IF(B13089="","",INT(A13089))</f>
        <v/>
      </c>
      <c r="D13089">
        <f>IF(B13089="","",HOUR(A13089))</f>
        <v/>
      </c>
    </row>
    <row r="13090">
      <c r="A13090">
        <f>Input!A13090</f>
        <v/>
      </c>
      <c r="B13090">
        <f>IF(ISNUMBER(Input!B13090),IF(AND(Input!B13090&gt;=20,Input!B13090&lt;=700),Input!B13090,""),"")</f>
        <v/>
      </c>
      <c r="C13090">
        <f>IF(B13090="","",INT(A13090))</f>
        <v/>
      </c>
      <c r="D13090">
        <f>IF(B13090="","",HOUR(A13090))</f>
        <v/>
      </c>
    </row>
    <row r="13091">
      <c r="A13091">
        <f>Input!A13091</f>
        <v/>
      </c>
      <c r="B13091">
        <f>IF(ISNUMBER(Input!B13091),IF(AND(Input!B13091&gt;=20,Input!B13091&lt;=700),Input!B13091,""),"")</f>
        <v/>
      </c>
      <c r="C13091">
        <f>IF(B13091="","",INT(A13091))</f>
        <v/>
      </c>
      <c r="D13091">
        <f>IF(B13091="","",HOUR(A13091))</f>
        <v/>
      </c>
    </row>
    <row r="13092">
      <c r="A13092">
        <f>Input!A13092</f>
        <v/>
      </c>
      <c r="B13092">
        <f>IF(ISNUMBER(Input!B13092),IF(AND(Input!B13092&gt;=20,Input!B13092&lt;=700),Input!B13092,""),"")</f>
        <v/>
      </c>
      <c r="C13092">
        <f>IF(B13092="","",INT(A13092))</f>
        <v/>
      </c>
      <c r="D13092">
        <f>IF(B13092="","",HOUR(A13092))</f>
        <v/>
      </c>
    </row>
    <row r="13093">
      <c r="A13093">
        <f>Input!A13093</f>
        <v/>
      </c>
      <c r="B13093">
        <f>IF(ISNUMBER(Input!B13093),IF(AND(Input!B13093&gt;=20,Input!B13093&lt;=700),Input!B13093,""),"")</f>
        <v/>
      </c>
      <c r="C13093">
        <f>IF(B13093="","",INT(A13093))</f>
        <v/>
      </c>
      <c r="D13093">
        <f>IF(B13093="","",HOUR(A13093))</f>
        <v/>
      </c>
    </row>
    <row r="13094">
      <c r="A13094">
        <f>Input!A13094</f>
        <v/>
      </c>
      <c r="B13094">
        <f>IF(ISNUMBER(Input!B13094),IF(AND(Input!B13094&gt;=20,Input!B13094&lt;=700),Input!B13094,""),"")</f>
        <v/>
      </c>
      <c r="C13094">
        <f>IF(B13094="","",INT(A13094))</f>
        <v/>
      </c>
      <c r="D13094">
        <f>IF(B13094="","",HOUR(A13094))</f>
        <v/>
      </c>
    </row>
    <row r="13095">
      <c r="A13095">
        <f>Input!A13095</f>
        <v/>
      </c>
      <c r="B13095">
        <f>IF(ISNUMBER(Input!B13095),IF(AND(Input!B13095&gt;=20,Input!B13095&lt;=700),Input!B13095,""),"")</f>
        <v/>
      </c>
      <c r="C13095">
        <f>IF(B13095="","",INT(A13095))</f>
        <v/>
      </c>
      <c r="D13095">
        <f>IF(B13095="","",HOUR(A13095))</f>
        <v/>
      </c>
    </row>
    <row r="13096">
      <c r="A13096">
        <f>Input!A13096</f>
        <v/>
      </c>
      <c r="B13096">
        <f>IF(ISNUMBER(Input!B13096),IF(AND(Input!B13096&gt;=20,Input!B13096&lt;=700),Input!B13096,""),"")</f>
        <v/>
      </c>
      <c r="C13096">
        <f>IF(B13096="","",INT(A13096))</f>
        <v/>
      </c>
      <c r="D13096">
        <f>IF(B13096="","",HOUR(A13096))</f>
        <v/>
      </c>
    </row>
    <row r="13097">
      <c r="A13097">
        <f>Input!A13097</f>
        <v/>
      </c>
      <c r="B13097">
        <f>IF(ISNUMBER(Input!B13097),IF(AND(Input!B13097&gt;=20,Input!B13097&lt;=700),Input!B13097,""),"")</f>
        <v/>
      </c>
      <c r="C13097">
        <f>IF(B13097="","",INT(A13097))</f>
        <v/>
      </c>
      <c r="D13097">
        <f>IF(B13097="","",HOUR(A13097))</f>
        <v/>
      </c>
    </row>
    <row r="13098">
      <c r="A13098">
        <f>Input!A13098</f>
        <v/>
      </c>
      <c r="B13098">
        <f>IF(ISNUMBER(Input!B13098),IF(AND(Input!B13098&gt;=20,Input!B13098&lt;=700),Input!B13098,""),"")</f>
        <v/>
      </c>
      <c r="C13098">
        <f>IF(B13098="","",INT(A13098))</f>
        <v/>
      </c>
      <c r="D13098">
        <f>IF(B13098="","",HOUR(A13098))</f>
        <v/>
      </c>
    </row>
    <row r="13099">
      <c r="A13099">
        <f>Input!A13099</f>
        <v/>
      </c>
      <c r="B13099">
        <f>IF(ISNUMBER(Input!B13099),IF(AND(Input!B13099&gt;=20,Input!B13099&lt;=700),Input!B13099,""),"")</f>
        <v/>
      </c>
      <c r="C13099">
        <f>IF(B13099="","",INT(A13099))</f>
        <v/>
      </c>
      <c r="D13099">
        <f>IF(B13099="","",HOUR(A13099))</f>
        <v/>
      </c>
    </row>
    <row r="13100">
      <c r="A13100">
        <f>Input!A13100</f>
        <v/>
      </c>
      <c r="B13100">
        <f>IF(ISNUMBER(Input!B13100),IF(AND(Input!B13100&gt;=20,Input!B13100&lt;=700),Input!B13100,""),"")</f>
        <v/>
      </c>
      <c r="C13100">
        <f>IF(B13100="","",INT(A13100))</f>
        <v/>
      </c>
      <c r="D13100">
        <f>IF(B13100="","",HOUR(A13100))</f>
        <v/>
      </c>
    </row>
    <row r="13101">
      <c r="A13101">
        <f>Input!A13101</f>
        <v/>
      </c>
      <c r="B13101">
        <f>IF(ISNUMBER(Input!B13101),IF(AND(Input!B13101&gt;=20,Input!B13101&lt;=700),Input!B13101,""),"")</f>
        <v/>
      </c>
      <c r="C13101">
        <f>IF(B13101="","",INT(A13101))</f>
        <v/>
      </c>
      <c r="D13101">
        <f>IF(B13101="","",HOUR(A13101))</f>
        <v/>
      </c>
    </row>
    <row r="13102">
      <c r="A13102">
        <f>Input!A13102</f>
        <v/>
      </c>
      <c r="B13102">
        <f>IF(ISNUMBER(Input!B13102),IF(AND(Input!B13102&gt;=20,Input!B13102&lt;=700),Input!B13102,""),"")</f>
        <v/>
      </c>
      <c r="C13102">
        <f>IF(B13102="","",INT(A13102))</f>
        <v/>
      </c>
      <c r="D13102">
        <f>IF(B13102="","",HOUR(A13102))</f>
        <v/>
      </c>
    </row>
    <row r="13103">
      <c r="A13103">
        <f>Input!A13103</f>
        <v/>
      </c>
      <c r="B13103">
        <f>IF(ISNUMBER(Input!B13103),IF(AND(Input!B13103&gt;=20,Input!B13103&lt;=700),Input!B13103,""),"")</f>
        <v/>
      </c>
      <c r="C13103">
        <f>IF(B13103="","",INT(A13103))</f>
        <v/>
      </c>
      <c r="D13103">
        <f>IF(B13103="","",HOUR(A13103))</f>
        <v/>
      </c>
    </row>
    <row r="13104">
      <c r="A13104">
        <f>Input!A13104</f>
        <v/>
      </c>
      <c r="B13104">
        <f>IF(ISNUMBER(Input!B13104),IF(AND(Input!B13104&gt;=20,Input!B13104&lt;=700),Input!B13104,""),"")</f>
        <v/>
      </c>
      <c r="C13104">
        <f>IF(B13104="","",INT(A13104))</f>
        <v/>
      </c>
      <c r="D13104">
        <f>IF(B13104="","",HOUR(A13104))</f>
        <v/>
      </c>
    </row>
    <row r="13105">
      <c r="A13105">
        <f>Input!A13105</f>
        <v/>
      </c>
      <c r="B13105">
        <f>IF(ISNUMBER(Input!B13105),IF(AND(Input!B13105&gt;=20,Input!B13105&lt;=700),Input!B13105,""),"")</f>
        <v/>
      </c>
      <c r="C13105">
        <f>IF(B13105="","",INT(A13105))</f>
        <v/>
      </c>
      <c r="D13105">
        <f>IF(B13105="","",HOUR(A13105))</f>
        <v/>
      </c>
    </row>
    <row r="13106">
      <c r="A13106">
        <f>Input!A13106</f>
        <v/>
      </c>
      <c r="B13106">
        <f>IF(ISNUMBER(Input!B13106),IF(AND(Input!B13106&gt;=20,Input!B13106&lt;=700),Input!B13106,""),"")</f>
        <v/>
      </c>
      <c r="C13106">
        <f>IF(B13106="","",INT(A13106))</f>
        <v/>
      </c>
      <c r="D13106">
        <f>IF(B13106="","",HOUR(A13106))</f>
        <v/>
      </c>
    </row>
    <row r="13107">
      <c r="A13107">
        <f>Input!A13107</f>
        <v/>
      </c>
      <c r="B13107">
        <f>IF(ISNUMBER(Input!B13107),IF(AND(Input!B13107&gt;=20,Input!B13107&lt;=700),Input!B13107,""),"")</f>
        <v/>
      </c>
      <c r="C13107">
        <f>IF(B13107="","",INT(A13107))</f>
        <v/>
      </c>
      <c r="D13107">
        <f>IF(B13107="","",HOUR(A13107))</f>
        <v/>
      </c>
    </row>
    <row r="13108">
      <c r="A13108">
        <f>Input!A13108</f>
        <v/>
      </c>
      <c r="B13108">
        <f>IF(ISNUMBER(Input!B13108),IF(AND(Input!B13108&gt;=20,Input!B13108&lt;=700),Input!B13108,""),"")</f>
        <v/>
      </c>
      <c r="C13108">
        <f>IF(B13108="","",INT(A13108))</f>
        <v/>
      </c>
      <c r="D13108">
        <f>IF(B13108="","",HOUR(A13108))</f>
        <v/>
      </c>
    </row>
    <row r="13109">
      <c r="A13109">
        <f>Input!A13109</f>
        <v/>
      </c>
      <c r="B13109">
        <f>IF(ISNUMBER(Input!B13109),IF(AND(Input!B13109&gt;=20,Input!B13109&lt;=700),Input!B13109,""),"")</f>
        <v/>
      </c>
      <c r="C13109">
        <f>IF(B13109="","",INT(A13109))</f>
        <v/>
      </c>
      <c r="D13109">
        <f>IF(B13109="","",HOUR(A13109))</f>
        <v/>
      </c>
    </row>
    <row r="13110">
      <c r="A13110">
        <f>Input!A13110</f>
        <v/>
      </c>
      <c r="B13110">
        <f>IF(ISNUMBER(Input!B13110),IF(AND(Input!B13110&gt;=20,Input!B13110&lt;=700),Input!B13110,""),"")</f>
        <v/>
      </c>
      <c r="C13110">
        <f>IF(B13110="","",INT(A13110))</f>
        <v/>
      </c>
      <c r="D13110">
        <f>IF(B13110="","",HOUR(A13110))</f>
        <v/>
      </c>
    </row>
    <row r="13111">
      <c r="A13111">
        <f>Input!A13111</f>
        <v/>
      </c>
      <c r="B13111">
        <f>IF(ISNUMBER(Input!B13111),IF(AND(Input!B13111&gt;=20,Input!B13111&lt;=700),Input!B13111,""),"")</f>
        <v/>
      </c>
      <c r="C13111">
        <f>IF(B13111="","",INT(A13111))</f>
        <v/>
      </c>
      <c r="D13111">
        <f>IF(B13111="","",HOUR(A13111))</f>
        <v/>
      </c>
    </row>
    <row r="13112">
      <c r="A13112">
        <f>Input!A13112</f>
        <v/>
      </c>
      <c r="B13112">
        <f>IF(ISNUMBER(Input!B13112),IF(AND(Input!B13112&gt;=20,Input!B13112&lt;=700),Input!B13112,""),"")</f>
        <v/>
      </c>
      <c r="C13112">
        <f>IF(B13112="","",INT(A13112))</f>
        <v/>
      </c>
      <c r="D13112">
        <f>IF(B13112="","",HOUR(A13112))</f>
        <v/>
      </c>
    </row>
    <row r="13113">
      <c r="A13113">
        <f>Input!A13113</f>
        <v/>
      </c>
      <c r="B13113">
        <f>IF(ISNUMBER(Input!B13113),IF(AND(Input!B13113&gt;=20,Input!B13113&lt;=700),Input!B13113,""),"")</f>
        <v/>
      </c>
      <c r="C13113">
        <f>IF(B13113="","",INT(A13113))</f>
        <v/>
      </c>
      <c r="D13113">
        <f>IF(B13113="","",HOUR(A13113))</f>
        <v/>
      </c>
    </row>
    <row r="13114">
      <c r="A13114">
        <f>Input!A13114</f>
        <v/>
      </c>
      <c r="B13114">
        <f>IF(ISNUMBER(Input!B13114),IF(AND(Input!B13114&gt;=20,Input!B13114&lt;=700),Input!B13114,""),"")</f>
        <v/>
      </c>
      <c r="C13114">
        <f>IF(B13114="","",INT(A13114))</f>
        <v/>
      </c>
      <c r="D13114">
        <f>IF(B13114="","",HOUR(A13114))</f>
        <v/>
      </c>
    </row>
    <row r="13115">
      <c r="A13115">
        <f>Input!A13115</f>
        <v/>
      </c>
      <c r="B13115">
        <f>IF(ISNUMBER(Input!B13115),IF(AND(Input!B13115&gt;=20,Input!B13115&lt;=700),Input!B13115,""),"")</f>
        <v/>
      </c>
      <c r="C13115">
        <f>IF(B13115="","",INT(A13115))</f>
        <v/>
      </c>
      <c r="D13115">
        <f>IF(B13115="","",HOUR(A13115))</f>
        <v/>
      </c>
    </row>
    <row r="13116">
      <c r="A13116">
        <f>Input!A13116</f>
        <v/>
      </c>
      <c r="B13116">
        <f>IF(ISNUMBER(Input!B13116),IF(AND(Input!B13116&gt;=20,Input!B13116&lt;=700),Input!B13116,""),"")</f>
        <v/>
      </c>
      <c r="C13116">
        <f>IF(B13116="","",INT(A13116))</f>
        <v/>
      </c>
      <c r="D13116">
        <f>IF(B13116="","",HOUR(A13116))</f>
        <v/>
      </c>
    </row>
    <row r="13117">
      <c r="A13117">
        <f>Input!A13117</f>
        <v/>
      </c>
      <c r="B13117">
        <f>IF(ISNUMBER(Input!B13117),IF(AND(Input!B13117&gt;=20,Input!B13117&lt;=700),Input!B13117,""),"")</f>
        <v/>
      </c>
      <c r="C13117">
        <f>IF(B13117="","",INT(A13117))</f>
        <v/>
      </c>
      <c r="D13117">
        <f>IF(B13117="","",HOUR(A13117))</f>
        <v/>
      </c>
    </row>
    <row r="13118">
      <c r="A13118">
        <f>Input!A13118</f>
        <v/>
      </c>
      <c r="B13118">
        <f>IF(ISNUMBER(Input!B13118),IF(AND(Input!B13118&gt;=20,Input!B13118&lt;=700),Input!B13118,""),"")</f>
        <v/>
      </c>
      <c r="C13118">
        <f>IF(B13118="","",INT(A13118))</f>
        <v/>
      </c>
      <c r="D13118">
        <f>IF(B13118="","",HOUR(A13118))</f>
        <v/>
      </c>
    </row>
    <row r="13119">
      <c r="A13119">
        <f>Input!A13119</f>
        <v/>
      </c>
      <c r="B13119">
        <f>IF(ISNUMBER(Input!B13119),IF(AND(Input!B13119&gt;=20,Input!B13119&lt;=700),Input!B13119,""),"")</f>
        <v/>
      </c>
      <c r="C13119">
        <f>IF(B13119="","",INT(A13119))</f>
        <v/>
      </c>
      <c r="D13119">
        <f>IF(B13119="","",HOUR(A13119))</f>
        <v/>
      </c>
    </row>
    <row r="13120">
      <c r="A13120">
        <f>Input!A13120</f>
        <v/>
      </c>
      <c r="B13120">
        <f>IF(ISNUMBER(Input!B13120),IF(AND(Input!B13120&gt;=20,Input!B13120&lt;=700),Input!B13120,""),"")</f>
        <v/>
      </c>
      <c r="C13120">
        <f>IF(B13120="","",INT(A13120))</f>
        <v/>
      </c>
      <c r="D13120">
        <f>IF(B13120="","",HOUR(A13120))</f>
        <v/>
      </c>
    </row>
    <row r="13121">
      <c r="A13121">
        <f>Input!A13121</f>
        <v/>
      </c>
      <c r="B13121">
        <f>IF(ISNUMBER(Input!B13121),IF(AND(Input!B13121&gt;=20,Input!B13121&lt;=700),Input!B13121,""),"")</f>
        <v/>
      </c>
      <c r="C13121">
        <f>IF(B13121="","",INT(A13121))</f>
        <v/>
      </c>
      <c r="D13121">
        <f>IF(B13121="","",HOUR(A13121))</f>
        <v/>
      </c>
    </row>
    <row r="13122">
      <c r="A13122">
        <f>Input!A13122</f>
        <v/>
      </c>
      <c r="B13122">
        <f>IF(ISNUMBER(Input!B13122),IF(AND(Input!B13122&gt;=20,Input!B13122&lt;=700),Input!B13122,""),"")</f>
        <v/>
      </c>
      <c r="C13122">
        <f>IF(B13122="","",INT(A13122))</f>
        <v/>
      </c>
      <c r="D13122">
        <f>IF(B13122="","",HOUR(A13122))</f>
        <v/>
      </c>
    </row>
    <row r="13123">
      <c r="A13123">
        <f>Input!A13123</f>
        <v/>
      </c>
      <c r="B13123">
        <f>IF(ISNUMBER(Input!B13123),IF(AND(Input!B13123&gt;=20,Input!B13123&lt;=700),Input!B13123,""),"")</f>
        <v/>
      </c>
      <c r="C13123">
        <f>IF(B13123="","",INT(A13123))</f>
        <v/>
      </c>
      <c r="D13123">
        <f>IF(B13123="","",HOUR(A13123))</f>
        <v/>
      </c>
    </row>
    <row r="13124">
      <c r="A13124">
        <f>Input!A13124</f>
        <v/>
      </c>
      <c r="B13124">
        <f>IF(ISNUMBER(Input!B13124),IF(AND(Input!B13124&gt;=20,Input!B13124&lt;=700),Input!B13124,""),"")</f>
        <v/>
      </c>
      <c r="C13124">
        <f>IF(B13124="","",INT(A13124))</f>
        <v/>
      </c>
      <c r="D13124">
        <f>IF(B13124="","",HOUR(A13124))</f>
        <v/>
      </c>
    </row>
    <row r="13125">
      <c r="A13125">
        <f>Input!A13125</f>
        <v/>
      </c>
      <c r="B13125">
        <f>IF(ISNUMBER(Input!B13125),IF(AND(Input!B13125&gt;=20,Input!B13125&lt;=700),Input!B13125,""),"")</f>
        <v/>
      </c>
      <c r="C13125">
        <f>IF(B13125="","",INT(A13125))</f>
        <v/>
      </c>
      <c r="D13125">
        <f>IF(B13125="","",HOUR(A13125))</f>
        <v/>
      </c>
    </row>
    <row r="13126">
      <c r="A13126">
        <f>Input!A13126</f>
        <v/>
      </c>
      <c r="B13126">
        <f>IF(ISNUMBER(Input!B13126),IF(AND(Input!B13126&gt;=20,Input!B13126&lt;=700),Input!B13126,""),"")</f>
        <v/>
      </c>
      <c r="C13126">
        <f>IF(B13126="","",INT(A13126))</f>
        <v/>
      </c>
      <c r="D13126">
        <f>IF(B13126="","",HOUR(A13126))</f>
        <v/>
      </c>
    </row>
    <row r="13127">
      <c r="A13127">
        <f>Input!A13127</f>
        <v/>
      </c>
      <c r="B13127">
        <f>IF(ISNUMBER(Input!B13127),IF(AND(Input!B13127&gt;=20,Input!B13127&lt;=700),Input!B13127,""),"")</f>
        <v/>
      </c>
      <c r="C13127">
        <f>IF(B13127="","",INT(A13127))</f>
        <v/>
      </c>
      <c r="D13127">
        <f>IF(B13127="","",HOUR(A13127))</f>
        <v/>
      </c>
    </row>
    <row r="13128">
      <c r="A13128">
        <f>Input!A13128</f>
        <v/>
      </c>
      <c r="B13128">
        <f>IF(ISNUMBER(Input!B13128),IF(AND(Input!B13128&gt;=20,Input!B13128&lt;=700),Input!B13128,""),"")</f>
        <v/>
      </c>
      <c r="C13128">
        <f>IF(B13128="","",INT(A13128))</f>
        <v/>
      </c>
      <c r="D13128">
        <f>IF(B13128="","",HOUR(A13128))</f>
        <v/>
      </c>
    </row>
    <row r="13129">
      <c r="A13129">
        <f>Input!A13129</f>
        <v/>
      </c>
      <c r="B13129">
        <f>IF(ISNUMBER(Input!B13129),IF(AND(Input!B13129&gt;=20,Input!B13129&lt;=700),Input!B13129,""),"")</f>
        <v/>
      </c>
      <c r="C13129">
        <f>IF(B13129="","",INT(A13129))</f>
        <v/>
      </c>
      <c r="D13129">
        <f>IF(B13129="","",HOUR(A13129))</f>
        <v/>
      </c>
    </row>
    <row r="13130">
      <c r="A13130">
        <f>Input!A13130</f>
        <v/>
      </c>
      <c r="B13130">
        <f>IF(ISNUMBER(Input!B13130),IF(AND(Input!B13130&gt;=20,Input!B13130&lt;=700),Input!B13130,""),"")</f>
        <v/>
      </c>
      <c r="C13130">
        <f>IF(B13130="","",INT(A13130))</f>
        <v/>
      </c>
      <c r="D13130">
        <f>IF(B13130="","",HOUR(A13130))</f>
        <v/>
      </c>
    </row>
    <row r="13131">
      <c r="A13131">
        <f>Input!A13131</f>
        <v/>
      </c>
      <c r="B13131">
        <f>IF(ISNUMBER(Input!B13131),IF(AND(Input!B13131&gt;=20,Input!B13131&lt;=700),Input!B13131,""),"")</f>
        <v/>
      </c>
      <c r="C13131">
        <f>IF(B13131="","",INT(A13131))</f>
        <v/>
      </c>
      <c r="D13131">
        <f>IF(B13131="","",HOUR(A13131))</f>
        <v/>
      </c>
    </row>
    <row r="13132">
      <c r="A13132">
        <f>Input!A13132</f>
        <v/>
      </c>
      <c r="B13132">
        <f>IF(ISNUMBER(Input!B13132),IF(AND(Input!B13132&gt;=20,Input!B13132&lt;=700),Input!B13132,""),"")</f>
        <v/>
      </c>
      <c r="C13132">
        <f>IF(B13132="","",INT(A13132))</f>
        <v/>
      </c>
      <c r="D13132">
        <f>IF(B13132="","",HOUR(A13132))</f>
        <v/>
      </c>
    </row>
    <row r="13133">
      <c r="A13133">
        <f>Input!A13133</f>
        <v/>
      </c>
      <c r="B13133">
        <f>IF(ISNUMBER(Input!B13133),IF(AND(Input!B13133&gt;=20,Input!B13133&lt;=700),Input!B13133,""),"")</f>
        <v/>
      </c>
      <c r="C13133">
        <f>IF(B13133="","",INT(A13133))</f>
        <v/>
      </c>
      <c r="D13133">
        <f>IF(B13133="","",HOUR(A13133))</f>
        <v/>
      </c>
    </row>
    <row r="13134">
      <c r="A13134">
        <f>Input!A13134</f>
        <v/>
      </c>
      <c r="B13134">
        <f>IF(ISNUMBER(Input!B13134),IF(AND(Input!B13134&gt;=20,Input!B13134&lt;=700),Input!B13134,""),"")</f>
        <v/>
      </c>
      <c r="C13134">
        <f>IF(B13134="","",INT(A13134))</f>
        <v/>
      </c>
      <c r="D13134">
        <f>IF(B13134="","",HOUR(A13134))</f>
        <v/>
      </c>
    </row>
    <row r="13135">
      <c r="A13135">
        <f>Input!A13135</f>
        <v/>
      </c>
      <c r="B13135">
        <f>IF(ISNUMBER(Input!B13135),IF(AND(Input!B13135&gt;=20,Input!B13135&lt;=700),Input!B13135,""),"")</f>
        <v/>
      </c>
      <c r="C13135">
        <f>IF(B13135="","",INT(A13135))</f>
        <v/>
      </c>
      <c r="D13135">
        <f>IF(B13135="","",HOUR(A13135))</f>
        <v/>
      </c>
    </row>
    <row r="13136">
      <c r="A13136">
        <f>Input!A13136</f>
        <v/>
      </c>
      <c r="B13136">
        <f>IF(ISNUMBER(Input!B13136),IF(AND(Input!B13136&gt;=20,Input!B13136&lt;=700),Input!B13136,""),"")</f>
        <v/>
      </c>
      <c r="C13136">
        <f>IF(B13136="","",INT(A13136))</f>
        <v/>
      </c>
      <c r="D13136">
        <f>IF(B13136="","",HOUR(A13136))</f>
        <v/>
      </c>
    </row>
    <row r="13137">
      <c r="A13137">
        <f>Input!A13137</f>
        <v/>
      </c>
      <c r="B13137">
        <f>IF(ISNUMBER(Input!B13137),IF(AND(Input!B13137&gt;=20,Input!B13137&lt;=700),Input!B13137,""),"")</f>
        <v/>
      </c>
      <c r="C13137">
        <f>IF(B13137="","",INT(A13137))</f>
        <v/>
      </c>
      <c r="D13137">
        <f>IF(B13137="","",HOUR(A13137))</f>
        <v/>
      </c>
    </row>
    <row r="13138">
      <c r="A13138">
        <f>Input!A13138</f>
        <v/>
      </c>
      <c r="B13138">
        <f>IF(ISNUMBER(Input!B13138),IF(AND(Input!B13138&gt;=20,Input!B13138&lt;=700),Input!B13138,""),"")</f>
        <v/>
      </c>
      <c r="C13138">
        <f>IF(B13138="","",INT(A13138))</f>
        <v/>
      </c>
      <c r="D13138">
        <f>IF(B13138="","",HOUR(A13138))</f>
        <v/>
      </c>
    </row>
    <row r="13139">
      <c r="A13139">
        <f>Input!A13139</f>
        <v/>
      </c>
      <c r="B13139">
        <f>IF(ISNUMBER(Input!B13139),IF(AND(Input!B13139&gt;=20,Input!B13139&lt;=700),Input!B13139,""),"")</f>
        <v/>
      </c>
      <c r="C13139">
        <f>IF(B13139="","",INT(A13139))</f>
        <v/>
      </c>
      <c r="D13139">
        <f>IF(B13139="","",HOUR(A13139))</f>
        <v/>
      </c>
    </row>
    <row r="13140">
      <c r="A13140">
        <f>Input!A13140</f>
        <v/>
      </c>
      <c r="B13140">
        <f>IF(ISNUMBER(Input!B13140),IF(AND(Input!B13140&gt;=20,Input!B13140&lt;=700),Input!B13140,""),"")</f>
        <v/>
      </c>
      <c r="C13140">
        <f>IF(B13140="","",INT(A13140))</f>
        <v/>
      </c>
      <c r="D13140">
        <f>IF(B13140="","",HOUR(A13140))</f>
        <v/>
      </c>
    </row>
    <row r="13141">
      <c r="A13141">
        <f>Input!A13141</f>
        <v/>
      </c>
      <c r="B13141">
        <f>IF(ISNUMBER(Input!B13141),IF(AND(Input!B13141&gt;=20,Input!B13141&lt;=700),Input!B13141,""),"")</f>
        <v/>
      </c>
      <c r="C13141">
        <f>IF(B13141="","",INT(A13141))</f>
        <v/>
      </c>
      <c r="D13141">
        <f>IF(B13141="","",HOUR(A13141))</f>
        <v/>
      </c>
    </row>
    <row r="13142">
      <c r="A13142">
        <f>Input!A13142</f>
        <v/>
      </c>
      <c r="B13142">
        <f>IF(ISNUMBER(Input!B13142),IF(AND(Input!B13142&gt;=20,Input!B13142&lt;=700),Input!B13142,""),"")</f>
        <v/>
      </c>
      <c r="C13142">
        <f>IF(B13142="","",INT(A13142))</f>
        <v/>
      </c>
      <c r="D13142">
        <f>IF(B13142="","",HOUR(A13142))</f>
        <v/>
      </c>
    </row>
    <row r="13143">
      <c r="A13143">
        <f>Input!A13143</f>
        <v/>
      </c>
      <c r="B13143">
        <f>IF(ISNUMBER(Input!B13143),IF(AND(Input!B13143&gt;=20,Input!B13143&lt;=700),Input!B13143,""),"")</f>
        <v/>
      </c>
      <c r="C13143">
        <f>IF(B13143="","",INT(A13143))</f>
        <v/>
      </c>
      <c r="D13143">
        <f>IF(B13143="","",HOUR(A13143))</f>
        <v/>
      </c>
    </row>
    <row r="13144">
      <c r="A13144">
        <f>Input!A13144</f>
        <v/>
      </c>
      <c r="B13144">
        <f>IF(ISNUMBER(Input!B13144),IF(AND(Input!B13144&gt;=20,Input!B13144&lt;=700),Input!B13144,""),"")</f>
        <v/>
      </c>
      <c r="C13144">
        <f>IF(B13144="","",INT(A13144))</f>
        <v/>
      </c>
      <c r="D13144">
        <f>IF(B13144="","",HOUR(A13144))</f>
        <v/>
      </c>
    </row>
    <row r="13145">
      <c r="A13145">
        <f>Input!A13145</f>
        <v/>
      </c>
      <c r="B13145">
        <f>IF(ISNUMBER(Input!B13145),IF(AND(Input!B13145&gt;=20,Input!B13145&lt;=700),Input!B13145,""),"")</f>
        <v/>
      </c>
      <c r="C13145">
        <f>IF(B13145="","",INT(A13145))</f>
        <v/>
      </c>
      <c r="D13145">
        <f>IF(B13145="","",HOUR(A13145))</f>
        <v/>
      </c>
    </row>
    <row r="13146">
      <c r="A13146">
        <f>Input!A13146</f>
        <v/>
      </c>
      <c r="B13146">
        <f>IF(ISNUMBER(Input!B13146),IF(AND(Input!B13146&gt;=20,Input!B13146&lt;=700),Input!B13146,""),"")</f>
        <v/>
      </c>
      <c r="C13146">
        <f>IF(B13146="","",INT(A13146))</f>
        <v/>
      </c>
      <c r="D13146">
        <f>IF(B13146="","",HOUR(A13146))</f>
        <v/>
      </c>
    </row>
    <row r="13147">
      <c r="A13147">
        <f>Input!A13147</f>
        <v/>
      </c>
      <c r="B13147">
        <f>IF(ISNUMBER(Input!B13147),IF(AND(Input!B13147&gt;=20,Input!B13147&lt;=700),Input!B13147,""),"")</f>
        <v/>
      </c>
      <c r="C13147">
        <f>IF(B13147="","",INT(A13147))</f>
        <v/>
      </c>
      <c r="D13147">
        <f>IF(B13147="","",HOUR(A13147))</f>
        <v/>
      </c>
    </row>
    <row r="13148">
      <c r="A13148">
        <f>Input!A13148</f>
        <v/>
      </c>
      <c r="B13148">
        <f>IF(ISNUMBER(Input!B13148),IF(AND(Input!B13148&gt;=20,Input!B13148&lt;=700),Input!B13148,""),"")</f>
        <v/>
      </c>
      <c r="C13148">
        <f>IF(B13148="","",INT(A13148))</f>
        <v/>
      </c>
      <c r="D13148">
        <f>IF(B13148="","",HOUR(A13148))</f>
        <v/>
      </c>
    </row>
    <row r="13149">
      <c r="A13149">
        <f>Input!A13149</f>
        <v/>
      </c>
      <c r="B13149">
        <f>IF(ISNUMBER(Input!B13149),IF(AND(Input!B13149&gt;=20,Input!B13149&lt;=700),Input!B13149,""),"")</f>
        <v/>
      </c>
      <c r="C13149">
        <f>IF(B13149="","",INT(A13149))</f>
        <v/>
      </c>
      <c r="D13149">
        <f>IF(B13149="","",HOUR(A13149))</f>
        <v/>
      </c>
    </row>
    <row r="13150">
      <c r="A13150">
        <f>Input!A13150</f>
        <v/>
      </c>
      <c r="B13150">
        <f>IF(ISNUMBER(Input!B13150),IF(AND(Input!B13150&gt;=20,Input!B13150&lt;=700),Input!B13150,""),"")</f>
        <v/>
      </c>
      <c r="C13150">
        <f>IF(B13150="","",INT(A13150))</f>
        <v/>
      </c>
      <c r="D13150">
        <f>IF(B13150="","",HOUR(A13150))</f>
        <v/>
      </c>
    </row>
    <row r="13151">
      <c r="A13151">
        <f>Input!A13151</f>
        <v/>
      </c>
      <c r="B13151">
        <f>IF(ISNUMBER(Input!B13151),IF(AND(Input!B13151&gt;=20,Input!B13151&lt;=700),Input!B13151,""),"")</f>
        <v/>
      </c>
      <c r="C13151">
        <f>IF(B13151="","",INT(A13151))</f>
        <v/>
      </c>
      <c r="D13151">
        <f>IF(B13151="","",HOUR(A13151))</f>
        <v/>
      </c>
    </row>
    <row r="13152">
      <c r="A13152">
        <f>Input!A13152</f>
        <v/>
      </c>
      <c r="B13152">
        <f>IF(ISNUMBER(Input!B13152),IF(AND(Input!B13152&gt;=20,Input!B13152&lt;=700),Input!B13152,""),"")</f>
        <v/>
      </c>
      <c r="C13152">
        <f>IF(B13152="","",INT(A13152))</f>
        <v/>
      </c>
      <c r="D13152">
        <f>IF(B13152="","",HOUR(A13152))</f>
        <v/>
      </c>
    </row>
    <row r="13153">
      <c r="A13153">
        <f>Input!A13153</f>
        <v/>
      </c>
      <c r="B13153">
        <f>IF(ISNUMBER(Input!B13153),IF(AND(Input!B13153&gt;=20,Input!B13153&lt;=700),Input!B13153,""),"")</f>
        <v/>
      </c>
      <c r="C13153">
        <f>IF(B13153="","",INT(A13153))</f>
        <v/>
      </c>
      <c r="D13153">
        <f>IF(B13153="","",HOUR(A13153))</f>
        <v/>
      </c>
    </row>
    <row r="13154">
      <c r="A13154">
        <f>Input!A13154</f>
        <v/>
      </c>
      <c r="B13154">
        <f>IF(ISNUMBER(Input!B13154),IF(AND(Input!B13154&gt;=20,Input!B13154&lt;=700),Input!B13154,""),"")</f>
        <v/>
      </c>
      <c r="C13154">
        <f>IF(B13154="","",INT(A13154))</f>
        <v/>
      </c>
      <c r="D13154">
        <f>IF(B13154="","",HOUR(A13154))</f>
        <v/>
      </c>
    </row>
    <row r="13155">
      <c r="A13155">
        <f>Input!A13155</f>
        <v/>
      </c>
      <c r="B13155">
        <f>IF(ISNUMBER(Input!B13155),IF(AND(Input!B13155&gt;=20,Input!B13155&lt;=700),Input!B13155,""),"")</f>
        <v/>
      </c>
      <c r="C13155">
        <f>IF(B13155="","",INT(A13155))</f>
        <v/>
      </c>
      <c r="D13155">
        <f>IF(B13155="","",HOUR(A13155))</f>
        <v/>
      </c>
    </row>
    <row r="13156">
      <c r="A13156">
        <f>Input!A13156</f>
        <v/>
      </c>
      <c r="B13156">
        <f>IF(ISNUMBER(Input!B13156),IF(AND(Input!B13156&gt;=20,Input!B13156&lt;=700),Input!B13156,""),"")</f>
        <v/>
      </c>
      <c r="C13156">
        <f>IF(B13156="","",INT(A13156))</f>
        <v/>
      </c>
      <c r="D13156">
        <f>IF(B13156="","",HOUR(A13156))</f>
        <v/>
      </c>
    </row>
    <row r="13157">
      <c r="A13157">
        <f>Input!A13157</f>
        <v/>
      </c>
      <c r="B13157">
        <f>IF(ISNUMBER(Input!B13157),IF(AND(Input!B13157&gt;=20,Input!B13157&lt;=700),Input!B13157,""),"")</f>
        <v/>
      </c>
      <c r="C13157">
        <f>IF(B13157="","",INT(A13157))</f>
        <v/>
      </c>
      <c r="D13157">
        <f>IF(B13157="","",HOUR(A13157))</f>
        <v/>
      </c>
    </row>
    <row r="13158">
      <c r="A13158">
        <f>Input!A13158</f>
        <v/>
      </c>
      <c r="B13158">
        <f>IF(ISNUMBER(Input!B13158),IF(AND(Input!B13158&gt;=20,Input!B13158&lt;=700),Input!B13158,""),"")</f>
        <v/>
      </c>
      <c r="C13158">
        <f>IF(B13158="","",INT(A13158))</f>
        <v/>
      </c>
      <c r="D13158">
        <f>IF(B13158="","",HOUR(A13158))</f>
        <v/>
      </c>
    </row>
    <row r="13159">
      <c r="A13159">
        <f>Input!A13159</f>
        <v/>
      </c>
      <c r="B13159">
        <f>IF(ISNUMBER(Input!B13159),IF(AND(Input!B13159&gt;=20,Input!B13159&lt;=700),Input!B13159,""),"")</f>
        <v/>
      </c>
      <c r="C13159">
        <f>IF(B13159="","",INT(A13159))</f>
        <v/>
      </c>
      <c r="D13159">
        <f>IF(B13159="","",HOUR(A13159))</f>
        <v/>
      </c>
    </row>
    <row r="13160">
      <c r="A13160">
        <f>Input!A13160</f>
        <v/>
      </c>
      <c r="B13160">
        <f>IF(ISNUMBER(Input!B13160),IF(AND(Input!B13160&gt;=20,Input!B13160&lt;=700),Input!B13160,""),"")</f>
        <v/>
      </c>
      <c r="C13160">
        <f>IF(B13160="","",INT(A13160))</f>
        <v/>
      </c>
      <c r="D13160">
        <f>IF(B13160="","",HOUR(A13160))</f>
        <v/>
      </c>
    </row>
    <row r="13161">
      <c r="A13161">
        <f>Input!A13161</f>
        <v/>
      </c>
      <c r="B13161">
        <f>IF(ISNUMBER(Input!B13161),IF(AND(Input!B13161&gt;=20,Input!B13161&lt;=700),Input!B13161,""),"")</f>
        <v/>
      </c>
      <c r="C13161">
        <f>IF(B13161="","",INT(A13161))</f>
        <v/>
      </c>
      <c r="D13161">
        <f>IF(B13161="","",HOUR(A13161))</f>
        <v/>
      </c>
    </row>
    <row r="13162">
      <c r="A13162">
        <f>Input!A13162</f>
        <v/>
      </c>
      <c r="B13162">
        <f>IF(ISNUMBER(Input!B13162),IF(AND(Input!B13162&gt;=20,Input!B13162&lt;=700),Input!B13162,""),"")</f>
        <v/>
      </c>
      <c r="C13162">
        <f>IF(B13162="","",INT(A13162))</f>
        <v/>
      </c>
      <c r="D13162">
        <f>IF(B13162="","",HOUR(A13162))</f>
        <v/>
      </c>
    </row>
    <row r="13163">
      <c r="A13163">
        <f>Input!A13163</f>
        <v/>
      </c>
      <c r="B13163">
        <f>IF(ISNUMBER(Input!B13163),IF(AND(Input!B13163&gt;=20,Input!B13163&lt;=700),Input!B13163,""),"")</f>
        <v/>
      </c>
      <c r="C13163">
        <f>IF(B13163="","",INT(A13163))</f>
        <v/>
      </c>
      <c r="D13163">
        <f>IF(B13163="","",HOUR(A13163))</f>
        <v/>
      </c>
    </row>
    <row r="13164">
      <c r="A13164">
        <f>Input!A13164</f>
        <v/>
      </c>
      <c r="B13164">
        <f>IF(ISNUMBER(Input!B13164),IF(AND(Input!B13164&gt;=20,Input!B13164&lt;=700),Input!B13164,""),"")</f>
        <v/>
      </c>
      <c r="C13164">
        <f>IF(B13164="","",INT(A13164))</f>
        <v/>
      </c>
      <c r="D13164">
        <f>IF(B13164="","",HOUR(A13164))</f>
        <v/>
      </c>
    </row>
    <row r="13165">
      <c r="A13165">
        <f>Input!A13165</f>
        <v/>
      </c>
      <c r="B13165">
        <f>IF(ISNUMBER(Input!B13165),IF(AND(Input!B13165&gt;=20,Input!B13165&lt;=700),Input!B13165,""),"")</f>
        <v/>
      </c>
      <c r="C13165">
        <f>IF(B13165="","",INT(A13165))</f>
        <v/>
      </c>
      <c r="D13165">
        <f>IF(B13165="","",HOUR(A13165))</f>
        <v/>
      </c>
    </row>
    <row r="13166">
      <c r="A13166">
        <f>Input!A13166</f>
        <v/>
      </c>
      <c r="B13166">
        <f>IF(ISNUMBER(Input!B13166),IF(AND(Input!B13166&gt;=20,Input!B13166&lt;=700),Input!B13166,""),"")</f>
        <v/>
      </c>
      <c r="C13166">
        <f>IF(B13166="","",INT(A13166))</f>
        <v/>
      </c>
      <c r="D13166">
        <f>IF(B13166="","",HOUR(A13166))</f>
        <v/>
      </c>
    </row>
    <row r="13167">
      <c r="A13167">
        <f>Input!A13167</f>
        <v/>
      </c>
      <c r="B13167">
        <f>IF(ISNUMBER(Input!B13167),IF(AND(Input!B13167&gt;=20,Input!B13167&lt;=700),Input!B13167,""),"")</f>
        <v/>
      </c>
      <c r="C13167">
        <f>IF(B13167="","",INT(A13167))</f>
        <v/>
      </c>
      <c r="D13167">
        <f>IF(B13167="","",HOUR(A13167))</f>
        <v/>
      </c>
    </row>
    <row r="13168">
      <c r="A13168">
        <f>Input!A13168</f>
        <v/>
      </c>
      <c r="B13168">
        <f>IF(ISNUMBER(Input!B13168),IF(AND(Input!B13168&gt;=20,Input!B13168&lt;=700),Input!B13168,""),"")</f>
        <v/>
      </c>
      <c r="C13168">
        <f>IF(B13168="","",INT(A13168))</f>
        <v/>
      </c>
      <c r="D13168">
        <f>IF(B13168="","",HOUR(A13168))</f>
        <v/>
      </c>
    </row>
    <row r="13169">
      <c r="A13169">
        <f>Input!A13169</f>
        <v/>
      </c>
      <c r="B13169">
        <f>IF(ISNUMBER(Input!B13169),IF(AND(Input!B13169&gt;=20,Input!B13169&lt;=700),Input!B13169,""),"")</f>
        <v/>
      </c>
      <c r="C13169">
        <f>IF(B13169="","",INT(A13169))</f>
        <v/>
      </c>
      <c r="D13169">
        <f>IF(B13169="","",HOUR(A13169))</f>
        <v/>
      </c>
    </row>
    <row r="13170">
      <c r="A13170">
        <f>Input!A13170</f>
        <v/>
      </c>
      <c r="B13170">
        <f>IF(ISNUMBER(Input!B13170),IF(AND(Input!B13170&gt;=20,Input!B13170&lt;=700),Input!B13170,""),"")</f>
        <v/>
      </c>
      <c r="C13170">
        <f>IF(B13170="","",INT(A13170))</f>
        <v/>
      </c>
      <c r="D13170">
        <f>IF(B13170="","",HOUR(A13170))</f>
        <v/>
      </c>
    </row>
    <row r="13171">
      <c r="A13171">
        <f>Input!A13171</f>
        <v/>
      </c>
      <c r="B13171">
        <f>IF(ISNUMBER(Input!B13171),IF(AND(Input!B13171&gt;=20,Input!B13171&lt;=700),Input!B13171,""),"")</f>
        <v/>
      </c>
      <c r="C13171">
        <f>IF(B13171="","",INT(A13171))</f>
        <v/>
      </c>
      <c r="D13171">
        <f>IF(B13171="","",HOUR(A13171))</f>
        <v/>
      </c>
    </row>
    <row r="13172">
      <c r="A13172">
        <f>Input!A13172</f>
        <v/>
      </c>
      <c r="B13172">
        <f>IF(ISNUMBER(Input!B13172),IF(AND(Input!B13172&gt;=20,Input!B13172&lt;=700),Input!B13172,""),"")</f>
        <v/>
      </c>
      <c r="C13172">
        <f>IF(B13172="","",INT(A13172))</f>
        <v/>
      </c>
      <c r="D13172">
        <f>IF(B13172="","",HOUR(A13172))</f>
        <v/>
      </c>
    </row>
    <row r="13173">
      <c r="A13173">
        <f>Input!A13173</f>
        <v/>
      </c>
      <c r="B13173">
        <f>IF(ISNUMBER(Input!B13173),IF(AND(Input!B13173&gt;=20,Input!B13173&lt;=700),Input!B13173,""),"")</f>
        <v/>
      </c>
      <c r="C13173">
        <f>IF(B13173="","",INT(A13173))</f>
        <v/>
      </c>
      <c r="D13173">
        <f>IF(B13173="","",HOUR(A13173))</f>
        <v/>
      </c>
    </row>
    <row r="13174">
      <c r="A13174">
        <f>Input!A13174</f>
        <v/>
      </c>
      <c r="B13174">
        <f>IF(ISNUMBER(Input!B13174),IF(AND(Input!B13174&gt;=20,Input!B13174&lt;=700),Input!B13174,""),"")</f>
        <v/>
      </c>
      <c r="C13174">
        <f>IF(B13174="","",INT(A13174))</f>
        <v/>
      </c>
      <c r="D13174">
        <f>IF(B13174="","",HOUR(A13174))</f>
        <v/>
      </c>
    </row>
    <row r="13175">
      <c r="A13175">
        <f>Input!A13175</f>
        <v/>
      </c>
      <c r="B13175">
        <f>IF(ISNUMBER(Input!B13175),IF(AND(Input!B13175&gt;=20,Input!B13175&lt;=700),Input!B13175,""),"")</f>
        <v/>
      </c>
      <c r="C13175">
        <f>IF(B13175="","",INT(A13175))</f>
        <v/>
      </c>
      <c r="D13175">
        <f>IF(B13175="","",HOUR(A13175))</f>
        <v/>
      </c>
    </row>
    <row r="13176">
      <c r="A13176">
        <f>Input!A13176</f>
        <v/>
      </c>
      <c r="B13176">
        <f>IF(ISNUMBER(Input!B13176),IF(AND(Input!B13176&gt;=20,Input!B13176&lt;=700),Input!B13176,""),"")</f>
        <v/>
      </c>
      <c r="C13176">
        <f>IF(B13176="","",INT(A13176))</f>
        <v/>
      </c>
      <c r="D13176">
        <f>IF(B13176="","",HOUR(A13176))</f>
        <v/>
      </c>
    </row>
    <row r="13177">
      <c r="A13177">
        <f>Input!A13177</f>
        <v/>
      </c>
      <c r="B13177">
        <f>IF(ISNUMBER(Input!B13177),IF(AND(Input!B13177&gt;=20,Input!B13177&lt;=700),Input!B13177,""),"")</f>
        <v/>
      </c>
      <c r="C13177">
        <f>IF(B13177="","",INT(A13177))</f>
        <v/>
      </c>
      <c r="D13177">
        <f>IF(B13177="","",HOUR(A13177))</f>
        <v/>
      </c>
    </row>
    <row r="13178">
      <c r="A13178">
        <f>Input!A13178</f>
        <v/>
      </c>
      <c r="B13178">
        <f>IF(ISNUMBER(Input!B13178),IF(AND(Input!B13178&gt;=20,Input!B13178&lt;=700),Input!B13178,""),"")</f>
        <v/>
      </c>
      <c r="C13178">
        <f>IF(B13178="","",INT(A13178))</f>
        <v/>
      </c>
      <c r="D13178">
        <f>IF(B13178="","",HOUR(A13178))</f>
        <v/>
      </c>
    </row>
    <row r="13179">
      <c r="A13179">
        <f>Input!A13179</f>
        <v/>
      </c>
      <c r="B13179">
        <f>IF(ISNUMBER(Input!B13179),IF(AND(Input!B13179&gt;=20,Input!B13179&lt;=700),Input!B13179,""),"")</f>
        <v/>
      </c>
      <c r="C13179">
        <f>IF(B13179="","",INT(A13179))</f>
        <v/>
      </c>
      <c r="D13179">
        <f>IF(B13179="","",HOUR(A13179))</f>
        <v/>
      </c>
    </row>
    <row r="13180">
      <c r="A13180">
        <f>Input!A13180</f>
        <v/>
      </c>
      <c r="B13180">
        <f>IF(ISNUMBER(Input!B13180),IF(AND(Input!B13180&gt;=20,Input!B13180&lt;=700),Input!B13180,""),"")</f>
        <v/>
      </c>
      <c r="C13180">
        <f>IF(B13180="","",INT(A13180))</f>
        <v/>
      </c>
      <c r="D13180">
        <f>IF(B13180="","",HOUR(A13180))</f>
        <v/>
      </c>
    </row>
    <row r="13181">
      <c r="A13181">
        <f>Input!A13181</f>
        <v/>
      </c>
      <c r="B13181">
        <f>IF(ISNUMBER(Input!B13181),IF(AND(Input!B13181&gt;=20,Input!B13181&lt;=700),Input!B13181,""),"")</f>
        <v/>
      </c>
      <c r="C13181">
        <f>IF(B13181="","",INT(A13181))</f>
        <v/>
      </c>
      <c r="D13181">
        <f>IF(B13181="","",HOUR(A13181))</f>
        <v/>
      </c>
    </row>
    <row r="13182">
      <c r="A13182">
        <f>Input!A13182</f>
        <v/>
      </c>
      <c r="B13182">
        <f>IF(ISNUMBER(Input!B13182),IF(AND(Input!B13182&gt;=20,Input!B13182&lt;=700),Input!B13182,""),"")</f>
        <v/>
      </c>
      <c r="C13182">
        <f>IF(B13182="","",INT(A13182))</f>
        <v/>
      </c>
      <c r="D13182">
        <f>IF(B13182="","",HOUR(A13182))</f>
        <v/>
      </c>
    </row>
    <row r="13183">
      <c r="A13183">
        <f>Input!A13183</f>
        <v/>
      </c>
      <c r="B13183">
        <f>IF(ISNUMBER(Input!B13183),IF(AND(Input!B13183&gt;=20,Input!B13183&lt;=700),Input!B13183,""),"")</f>
        <v/>
      </c>
      <c r="C13183">
        <f>IF(B13183="","",INT(A13183))</f>
        <v/>
      </c>
      <c r="D13183">
        <f>IF(B13183="","",HOUR(A13183))</f>
        <v/>
      </c>
    </row>
    <row r="13184">
      <c r="A13184">
        <f>Input!A13184</f>
        <v/>
      </c>
      <c r="B13184">
        <f>IF(ISNUMBER(Input!B13184),IF(AND(Input!B13184&gt;=20,Input!B13184&lt;=700),Input!B13184,""),"")</f>
        <v/>
      </c>
      <c r="C13184">
        <f>IF(B13184="","",INT(A13184))</f>
        <v/>
      </c>
      <c r="D13184">
        <f>IF(B13184="","",HOUR(A13184))</f>
        <v/>
      </c>
    </row>
    <row r="13185">
      <c r="A13185">
        <f>Input!A13185</f>
        <v/>
      </c>
      <c r="B13185">
        <f>IF(ISNUMBER(Input!B13185),IF(AND(Input!B13185&gt;=20,Input!B13185&lt;=700),Input!B13185,""),"")</f>
        <v/>
      </c>
      <c r="C13185">
        <f>IF(B13185="","",INT(A13185))</f>
        <v/>
      </c>
      <c r="D13185">
        <f>IF(B13185="","",HOUR(A13185))</f>
        <v/>
      </c>
    </row>
    <row r="13186">
      <c r="A13186">
        <f>Input!A13186</f>
        <v/>
      </c>
      <c r="B13186">
        <f>IF(ISNUMBER(Input!B13186),IF(AND(Input!B13186&gt;=20,Input!B13186&lt;=700),Input!B13186,""),"")</f>
        <v/>
      </c>
      <c r="C13186">
        <f>IF(B13186="","",INT(A13186))</f>
        <v/>
      </c>
      <c r="D13186">
        <f>IF(B13186="","",HOUR(A13186))</f>
        <v/>
      </c>
    </row>
    <row r="13187">
      <c r="A13187">
        <f>Input!A13187</f>
        <v/>
      </c>
      <c r="B13187">
        <f>IF(ISNUMBER(Input!B13187),IF(AND(Input!B13187&gt;=20,Input!B13187&lt;=700),Input!B13187,""),"")</f>
        <v/>
      </c>
      <c r="C13187">
        <f>IF(B13187="","",INT(A13187))</f>
        <v/>
      </c>
      <c r="D13187">
        <f>IF(B13187="","",HOUR(A13187))</f>
        <v/>
      </c>
    </row>
    <row r="13188">
      <c r="A13188">
        <f>Input!A13188</f>
        <v/>
      </c>
      <c r="B13188">
        <f>IF(ISNUMBER(Input!B13188),IF(AND(Input!B13188&gt;=20,Input!B13188&lt;=700),Input!B13188,""),"")</f>
        <v/>
      </c>
      <c r="C13188">
        <f>IF(B13188="","",INT(A13188))</f>
        <v/>
      </c>
      <c r="D13188">
        <f>IF(B13188="","",HOUR(A13188))</f>
        <v/>
      </c>
    </row>
    <row r="13189">
      <c r="A13189">
        <f>Input!A13189</f>
        <v/>
      </c>
      <c r="B13189">
        <f>IF(ISNUMBER(Input!B13189),IF(AND(Input!B13189&gt;=20,Input!B13189&lt;=700),Input!B13189,""),"")</f>
        <v/>
      </c>
      <c r="C13189">
        <f>IF(B13189="","",INT(A13189))</f>
        <v/>
      </c>
      <c r="D13189">
        <f>IF(B13189="","",HOUR(A13189))</f>
        <v/>
      </c>
    </row>
    <row r="13190">
      <c r="A13190">
        <f>Input!A13190</f>
        <v/>
      </c>
      <c r="B13190">
        <f>IF(ISNUMBER(Input!B13190),IF(AND(Input!B13190&gt;=20,Input!B13190&lt;=700),Input!B13190,""),"")</f>
        <v/>
      </c>
      <c r="C13190">
        <f>IF(B13190="","",INT(A13190))</f>
        <v/>
      </c>
      <c r="D13190">
        <f>IF(B13190="","",HOUR(A13190))</f>
        <v/>
      </c>
    </row>
    <row r="13191">
      <c r="A13191">
        <f>Input!A13191</f>
        <v/>
      </c>
      <c r="B13191">
        <f>IF(ISNUMBER(Input!B13191),IF(AND(Input!B13191&gt;=20,Input!B13191&lt;=700),Input!B13191,""),"")</f>
        <v/>
      </c>
      <c r="C13191">
        <f>IF(B13191="","",INT(A13191))</f>
        <v/>
      </c>
      <c r="D13191">
        <f>IF(B13191="","",HOUR(A13191))</f>
        <v/>
      </c>
    </row>
    <row r="13192">
      <c r="A13192">
        <f>Input!A13192</f>
        <v/>
      </c>
      <c r="B13192">
        <f>IF(ISNUMBER(Input!B13192),IF(AND(Input!B13192&gt;=20,Input!B13192&lt;=700),Input!B13192,""),"")</f>
        <v/>
      </c>
      <c r="C13192">
        <f>IF(B13192="","",INT(A13192))</f>
        <v/>
      </c>
      <c r="D13192">
        <f>IF(B13192="","",HOUR(A13192))</f>
        <v/>
      </c>
    </row>
    <row r="13193">
      <c r="A13193">
        <f>Input!A13193</f>
        <v/>
      </c>
      <c r="B13193">
        <f>IF(ISNUMBER(Input!B13193),IF(AND(Input!B13193&gt;=20,Input!B13193&lt;=700),Input!B13193,""),"")</f>
        <v/>
      </c>
      <c r="C13193">
        <f>IF(B13193="","",INT(A13193))</f>
        <v/>
      </c>
      <c r="D13193">
        <f>IF(B13193="","",HOUR(A13193))</f>
        <v/>
      </c>
    </row>
    <row r="13194">
      <c r="A13194">
        <f>Input!A13194</f>
        <v/>
      </c>
      <c r="B13194">
        <f>IF(ISNUMBER(Input!B13194),IF(AND(Input!B13194&gt;=20,Input!B13194&lt;=700),Input!B13194,""),"")</f>
        <v/>
      </c>
      <c r="C13194">
        <f>IF(B13194="","",INT(A13194))</f>
        <v/>
      </c>
      <c r="D13194">
        <f>IF(B13194="","",HOUR(A13194))</f>
        <v/>
      </c>
    </row>
    <row r="13195">
      <c r="A13195">
        <f>Input!A13195</f>
        <v/>
      </c>
      <c r="B13195">
        <f>IF(ISNUMBER(Input!B13195),IF(AND(Input!B13195&gt;=20,Input!B13195&lt;=700),Input!B13195,""),"")</f>
        <v/>
      </c>
      <c r="C13195">
        <f>IF(B13195="","",INT(A13195))</f>
        <v/>
      </c>
      <c r="D13195">
        <f>IF(B13195="","",HOUR(A13195))</f>
        <v/>
      </c>
    </row>
    <row r="13196">
      <c r="A13196">
        <f>Input!A13196</f>
        <v/>
      </c>
      <c r="B13196">
        <f>IF(ISNUMBER(Input!B13196),IF(AND(Input!B13196&gt;=20,Input!B13196&lt;=700),Input!B13196,""),"")</f>
        <v/>
      </c>
      <c r="C13196">
        <f>IF(B13196="","",INT(A13196))</f>
        <v/>
      </c>
      <c r="D13196">
        <f>IF(B13196="","",HOUR(A13196))</f>
        <v/>
      </c>
    </row>
    <row r="13197">
      <c r="A13197">
        <f>Input!A13197</f>
        <v/>
      </c>
      <c r="B13197">
        <f>IF(ISNUMBER(Input!B13197),IF(AND(Input!B13197&gt;=20,Input!B13197&lt;=700),Input!B13197,""),"")</f>
        <v/>
      </c>
      <c r="C13197">
        <f>IF(B13197="","",INT(A13197))</f>
        <v/>
      </c>
      <c r="D13197">
        <f>IF(B13197="","",HOUR(A13197))</f>
        <v/>
      </c>
    </row>
    <row r="13198">
      <c r="A13198">
        <f>Input!A13198</f>
        <v/>
      </c>
      <c r="B13198">
        <f>IF(ISNUMBER(Input!B13198),IF(AND(Input!B13198&gt;=20,Input!B13198&lt;=700),Input!B13198,""),"")</f>
        <v/>
      </c>
      <c r="C13198">
        <f>IF(B13198="","",INT(A13198))</f>
        <v/>
      </c>
      <c r="D13198">
        <f>IF(B13198="","",HOUR(A13198))</f>
        <v/>
      </c>
    </row>
    <row r="13199">
      <c r="A13199">
        <f>Input!A13199</f>
        <v/>
      </c>
      <c r="B13199">
        <f>IF(ISNUMBER(Input!B13199),IF(AND(Input!B13199&gt;=20,Input!B13199&lt;=700),Input!B13199,""),"")</f>
        <v/>
      </c>
      <c r="C13199">
        <f>IF(B13199="","",INT(A13199))</f>
        <v/>
      </c>
      <c r="D13199">
        <f>IF(B13199="","",HOUR(A13199))</f>
        <v/>
      </c>
    </row>
    <row r="13200">
      <c r="A13200">
        <f>Input!A13200</f>
        <v/>
      </c>
      <c r="B13200">
        <f>IF(ISNUMBER(Input!B13200),IF(AND(Input!B13200&gt;=20,Input!B13200&lt;=700),Input!B13200,""),"")</f>
        <v/>
      </c>
      <c r="C13200">
        <f>IF(B13200="","",INT(A13200))</f>
        <v/>
      </c>
      <c r="D13200">
        <f>IF(B13200="","",HOUR(A13200))</f>
        <v/>
      </c>
    </row>
    <row r="13201">
      <c r="A13201">
        <f>Input!A13201</f>
        <v/>
      </c>
      <c r="B13201">
        <f>IF(ISNUMBER(Input!B13201),IF(AND(Input!B13201&gt;=20,Input!B13201&lt;=700),Input!B13201,""),"")</f>
        <v/>
      </c>
      <c r="C13201">
        <f>IF(B13201="","",INT(A13201))</f>
        <v/>
      </c>
      <c r="D13201">
        <f>IF(B13201="","",HOUR(A13201))</f>
        <v/>
      </c>
    </row>
    <row r="13202">
      <c r="A13202">
        <f>Input!A13202</f>
        <v/>
      </c>
      <c r="B13202">
        <f>IF(ISNUMBER(Input!B13202),IF(AND(Input!B13202&gt;=20,Input!B13202&lt;=700),Input!B13202,""),"")</f>
        <v/>
      </c>
      <c r="C13202">
        <f>IF(B13202="","",INT(A13202))</f>
        <v/>
      </c>
      <c r="D13202">
        <f>IF(B13202="","",HOUR(A13202))</f>
        <v/>
      </c>
    </row>
    <row r="13203">
      <c r="A13203">
        <f>Input!A13203</f>
        <v/>
      </c>
      <c r="B13203">
        <f>IF(ISNUMBER(Input!B13203),IF(AND(Input!B13203&gt;=20,Input!B13203&lt;=700),Input!B13203,""),"")</f>
        <v/>
      </c>
      <c r="C13203">
        <f>IF(B13203="","",INT(A13203))</f>
        <v/>
      </c>
      <c r="D13203">
        <f>IF(B13203="","",HOUR(A13203))</f>
        <v/>
      </c>
    </row>
    <row r="13204">
      <c r="A13204">
        <f>Input!A13204</f>
        <v/>
      </c>
      <c r="B13204">
        <f>IF(ISNUMBER(Input!B13204),IF(AND(Input!B13204&gt;=20,Input!B13204&lt;=700),Input!B13204,""),"")</f>
        <v/>
      </c>
      <c r="C13204">
        <f>IF(B13204="","",INT(A13204))</f>
        <v/>
      </c>
      <c r="D13204">
        <f>IF(B13204="","",HOUR(A13204))</f>
        <v/>
      </c>
    </row>
    <row r="13205">
      <c r="A13205">
        <f>Input!A13205</f>
        <v/>
      </c>
      <c r="B13205">
        <f>IF(ISNUMBER(Input!B13205),IF(AND(Input!B13205&gt;=20,Input!B13205&lt;=700),Input!B13205,""),"")</f>
        <v/>
      </c>
      <c r="C13205">
        <f>IF(B13205="","",INT(A13205))</f>
        <v/>
      </c>
      <c r="D13205">
        <f>IF(B13205="","",HOUR(A13205))</f>
        <v/>
      </c>
    </row>
    <row r="13206">
      <c r="A13206">
        <f>Input!A13206</f>
        <v/>
      </c>
      <c r="B13206">
        <f>IF(ISNUMBER(Input!B13206),IF(AND(Input!B13206&gt;=20,Input!B13206&lt;=700),Input!B13206,""),"")</f>
        <v/>
      </c>
      <c r="C13206">
        <f>IF(B13206="","",INT(A13206))</f>
        <v/>
      </c>
      <c r="D13206">
        <f>IF(B13206="","",HOUR(A13206))</f>
        <v/>
      </c>
    </row>
    <row r="13207">
      <c r="A13207">
        <f>Input!A13207</f>
        <v/>
      </c>
      <c r="B13207">
        <f>IF(ISNUMBER(Input!B13207),IF(AND(Input!B13207&gt;=20,Input!B13207&lt;=700),Input!B13207,""),"")</f>
        <v/>
      </c>
      <c r="C13207">
        <f>IF(B13207="","",INT(A13207))</f>
        <v/>
      </c>
      <c r="D13207">
        <f>IF(B13207="","",HOUR(A13207))</f>
        <v/>
      </c>
    </row>
    <row r="13208">
      <c r="A13208">
        <f>Input!A13208</f>
        <v/>
      </c>
      <c r="B13208">
        <f>IF(ISNUMBER(Input!B13208),IF(AND(Input!B13208&gt;=20,Input!B13208&lt;=700),Input!B13208,""),"")</f>
        <v/>
      </c>
      <c r="C13208">
        <f>IF(B13208="","",INT(A13208))</f>
        <v/>
      </c>
      <c r="D13208">
        <f>IF(B13208="","",HOUR(A13208))</f>
        <v/>
      </c>
    </row>
    <row r="13209">
      <c r="A13209">
        <f>Input!A13209</f>
        <v/>
      </c>
      <c r="B13209">
        <f>IF(ISNUMBER(Input!B13209),IF(AND(Input!B13209&gt;=20,Input!B13209&lt;=700),Input!B13209,""),"")</f>
        <v/>
      </c>
      <c r="C13209">
        <f>IF(B13209="","",INT(A13209))</f>
        <v/>
      </c>
      <c r="D13209">
        <f>IF(B13209="","",HOUR(A13209))</f>
        <v/>
      </c>
    </row>
    <row r="13210">
      <c r="A13210">
        <f>Input!A13210</f>
        <v/>
      </c>
      <c r="B13210">
        <f>IF(ISNUMBER(Input!B13210),IF(AND(Input!B13210&gt;=20,Input!B13210&lt;=700),Input!B13210,""),"")</f>
        <v/>
      </c>
      <c r="C13210">
        <f>IF(B13210="","",INT(A13210))</f>
        <v/>
      </c>
      <c r="D13210">
        <f>IF(B13210="","",HOUR(A13210))</f>
        <v/>
      </c>
    </row>
    <row r="13211">
      <c r="A13211">
        <f>Input!A13211</f>
        <v/>
      </c>
      <c r="B13211">
        <f>IF(ISNUMBER(Input!B13211),IF(AND(Input!B13211&gt;=20,Input!B13211&lt;=700),Input!B13211,""),"")</f>
        <v/>
      </c>
      <c r="C13211">
        <f>IF(B13211="","",INT(A13211))</f>
        <v/>
      </c>
      <c r="D13211">
        <f>IF(B13211="","",HOUR(A13211))</f>
        <v/>
      </c>
    </row>
    <row r="13212">
      <c r="A13212">
        <f>Input!A13212</f>
        <v/>
      </c>
      <c r="B13212">
        <f>IF(ISNUMBER(Input!B13212),IF(AND(Input!B13212&gt;=20,Input!B13212&lt;=700),Input!B13212,""),"")</f>
        <v/>
      </c>
      <c r="C13212">
        <f>IF(B13212="","",INT(A13212))</f>
        <v/>
      </c>
      <c r="D13212">
        <f>IF(B13212="","",HOUR(A13212))</f>
        <v/>
      </c>
    </row>
    <row r="13213">
      <c r="A13213">
        <f>Input!A13213</f>
        <v/>
      </c>
      <c r="B13213">
        <f>IF(ISNUMBER(Input!B13213),IF(AND(Input!B13213&gt;=20,Input!B13213&lt;=700),Input!B13213,""),"")</f>
        <v/>
      </c>
      <c r="C13213">
        <f>IF(B13213="","",INT(A13213))</f>
        <v/>
      </c>
      <c r="D13213">
        <f>IF(B13213="","",HOUR(A13213))</f>
        <v/>
      </c>
    </row>
    <row r="13214">
      <c r="A13214">
        <f>Input!A13214</f>
        <v/>
      </c>
      <c r="B13214">
        <f>IF(ISNUMBER(Input!B13214),IF(AND(Input!B13214&gt;=20,Input!B13214&lt;=700),Input!B13214,""),"")</f>
        <v/>
      </c>
      <c r="C13214">
        <f>IF(B13214="","",INT(A13214))</f>
        <v/>
      </c>
      <c r="D13214">
        <f>IF(B13214="","",HOUR(A13214))</f>
        <v/>
      </c>
    </row>
    <row r="13215">
      <c r="A13215">
        <f>Input!A13215</f>
        <v/>
      </c>
      <c r="B13215">
        <f>IF(ISNUMBER(Input!B13215),IF(AND(Input!B13215&gt;=20,Input!B13215&lt;=700),Input!B13215,""),"")</f>
        <v/>
      </c>
      <c r="C13215">
        <f>IF(B13215="","",INT(A13215))</f>
        <v/>
      </c>
      <c r="D13215">
        <f>IF(B13215="","",HOUR(A13215))</f>
        <v/>
      </c>
    </row>
    <row r="13216">
      <c r="A13216">
        <f>Input!A13216</f>
        <v/>
      </c>
      <c r="B13216">
        <f>IF(ISNUMBER(Input!B13216),IF(AND(Input!B13216&gt;=20,Input!B13216&lt;=700),Input!B13216,""),"")</f>
        <v/>
      </c>
      <c r="C13216">
        <f>IF(B13216="","",INT(A13216))</f>
        <v/>
      </c>
      <c r="D13216">
        <f>IF(B13216="","",HOUR(A13216))</f>
        <v/>
      </c>
    </row>
    <row r="13217">
      <c r="A13217">
        <f>Input!A13217</f>
        <v/>
      </c>
      <c r="B13217">
        <f>IF(ISNUMBER(Input!B13217),IF(AND(Input!B13217&gt;=20,Input!B13217&lt;=700),Input!B13217,""),"")</f>
        <v/>
      </c>
      <c r="C13217">
        <f>IF(B13217="","",INT(A13217))</f>
        <v/>
      </c>
      <c r="D13217">
        <f>IF(B13217="","",HOUR(A13217))</f>
        <v/>
      </c>
    </row>
    <row r="13218">
      <c r="A13218">
        <f>Input!A13218</f>
        <v/>
      </c>
      <c r="B13218">
        <f>IF(ISNUMBER(Input!B13218),IF(AND(Input!B13218&gt;=20,Input!B13218&lt;=700),Input!B13218,""),"")</f>
        <v/>
      </c>
      <c r="C13218">
        <f>IF(B13218="","",INT(A13218))</f>
        <v/>
      </c>
      <c r="D13218">
        <f>IF(B13218="","",HOUR(A13218))</f>
        <v/>
      </c>
    </row>
    <row r="13219">
      <c r="A13219">
        <f>Input!A13219</f>
        <v/>
      </c>
      <c r="B13219">
        <f>IF(ISNUMBER(Input!B13219),IF(AND(Input!B13219&gt;=20,Input!B13219&lt;=700),Input!B13219,""),"")</f>
        <v/>
      </c>
      <c r="C13219">
        <f>IF(B13219="","",INT(A13219))</f>
        <v/>
      </c>
      <c r="D13219">
        <f>IF(B13219="","",HOUR(A13219))</f>
        <v/>
      </c>
    </row>
    <row r="13220">
      <c r="A13220">
        <f>Input!A13220</f>
        <v/>
      </c>
      <c r="B13220">
        <f>IF(ISNUMBER(Input!B13220),IF(AND(Input!B13220&gt;=20,Input!B13220&lt;=700),Input!B13220,""),"")</f>
        <v/>
      </c>
      <c r="C13220">
        <f>IF(B13220="","",INT(A13220))</f>
        <v/>
      </c>
      <c r="D13220">
        <f>IF(B13220="","",HOUR(A13220))</f>
        <v/>
      </c>
    </row>
    <row r="13221">
      <c r="A13221">
        <f>Input!A13221</f>
        <v/>
      </c>
      <c r="B13221">
        <f>IF(ISNUMBER(Input!B13221),IF(AND(Input!B13221&gt;=20,Input!B13221&lt;=700),Input!B13221,""),"")</f>
        <v/>
      </c>
      <c r="C13221">
        <f>IF(B13221="","",INT(A13221))</f>
        <v/>
      </c>
      <c r="D13221">
        <f>IF(B13221="","",HOUR(A13221))</f>
        <v/>
      </c>
    </row>
    <row r="13222">
      <c r="A13222">
        <f>Input!A13222</f>
        <v/>
      </c>
      <c r="B13222">
        <f>IF(ISNUMBER(Input!B13222),IF(AND(Input!B13222&gt;=20,Input!B13222&lt;=700),Input!B13222,""),"")</f>
        <v/>
      </c>
      <c r="C13222">
        <f>IF(B13222="","",INT(A13222))</f>
        <v/>
      </c>
      <c r="D13222">
        <f>IF(B13222="","",HOUR(A13222))</f>
        <v/>
      </c>
    </row>
    <row r="13223">
      <c r="A13223">
        <f>Input!A13223</f>
        <v/>
      </c>
      <c r="B13223">
        <f>IF(ISNUMBER(Input!B13223),IF(AND(Input!B13223&gt;=20,Input!B13223&lt;=700),Input!B13223,""),"")</f>
        <v/>
      </c>
      <c r="C13223">
        <f>IF(B13223="","",INT(A13223))</f>
        <v/>
      </c>
      <c r="D13223">
        <f>IF(B13223="","",HOUR(A13223))</f>
        <v/>
      </c>
    </row>
    <row r="13224">
      <c r="A13224">
        <f>Input!A13224</f>
        <v/>
      </c>
      <c r="B13224">
        <f>IF(ISNUMBER(Input!B13224),IF(AND(Input!B13224&gt;=20,Input!B13224&lt;=700),Input!B13224,""),"")</f>
        <v/>
      </c>
      <c r="C13224">
        <f>IF(B13224="","",INT(A13224))</f>
        <v/>
      </c>
      <c r="D13224">
        <f>IF(B13224="","",HOUR(A13224))</f>
        <v/>
      </c>
    </row>
    <row r="13225">
      <c r="A13225">
        <f>Input!A13225</f>
        <v/>
      </c>
      <c r="B13225">
        <f>IF(ISNUMBER(Input!B13225),IF(AND(Input!B13225&gt;=20,Input!B13225&lt;=700),Input!B13225,""),"")</f>
        <v/>
      </c>
      <c r="C13225">
        <f>IF(B13225="","",INT(A13225))</f>
        <v/>
      </c>
      <c r="D13225">
        <f>IF(B13225="","",HOUR(A13225))</f>
        <v/>
      </c>
    </row>
    <row r="13226">
      <c r="A13226">
        <f>Input!A13226</f>
        <v/>
      </c>
      <c r="B13226">
        <f>IF(ISNUMBER(Input!B13226),IF(AND(Input!B13226&gt;=20,Input!B13226&lt;=700),Input!B13226,""),"")</f>
        <v/>
      </c>
      <c r="C13226">
        <f>IF(B13226="","",INT(A13226))</f>
        <v/>
      </c>
      <c r="D13226">
        <f>IF(B13226="","",HOUR(A13226))</f>
        <v/>
      </c>
    </row>
    <row r="13227">
      <c r="A13227">
        <f>Input!A13227</f>
        <v/>
      </c>
      <c r="B13227">
        <f>IF(ISNUMBER(Input!B13227),IF(AND(Input!B13227&gt;=20,Input!B13227&lt;=700),Input!B13227,""),"")</f>
        <v/>
      </c>
      <c r="C13227">
        <f>IF(B13227="","",INT(A13227))</f>
        <v/>
      </c>
      <c r="D13227">
        <f>IF(B13227="","",HOUR(A13227))</f>
        <v/>
      </c>
    </row>
    <row r="13228">
      <c r="A13228">
        <f>Input!A13228</f>
        <v/>
      </c>
      <c r="B13228">
        <f>IF(ISNUMBER(Input!B13228),IF(AND(Input!B13228&gt;=20,Input!B13228&lt;=700),Input!B13228,""),"")</f>
        <v/>
      </c>
      <c r="C13228">
        <f>IF(B13228="","",INT(A13228))</f>
        <v/>
      </c>
      <c r="D13228">
        <f>IF(B13228="","",HOUR(A13228))</f>
        <v/>
      </c>
    </row>
    <row r="13229">
      <c r="A13229">
        <f>Input!A13229</f>
        <v/>
      </c>
      <c r="B13229">
        <f>IF(ISNUMBER(Input!B13229),IF(AND(Input!B13229&gt;=20,Input!B13229&lt;=700),Input!B13229,""),"")</f>
        <v/>
      </c>
      <c r="C13229">
        <f>IF(B13229="","",INT(A13229))</f>
        <v/>
      </c>
      <c r="D13229">
        <f>IF(B13229="","",HOUR(A13229))</f>
        <v/>
      </c>
    </row>
    <row r="13230">
      <c r="A13230">
        <f>Input!A13230</f>
        <v/>
      </c>
      <c r="B13230">
        <f>IF(ISNUMBER(Input!B13230),IF(AND(Input!B13230&gt;=20,Input!B13230&lt;=700),Input!B13230,""),"")</f>
        <v/>
      </c>
      <c r="C13230">
        <f>IF(B13230="","",INT(A13230))</f>
        <v/>
      </c>
      <c r="D13230">
        <f>IF(B13230="","",HOUR(A13230))</f>
        <v/>
      </c>
    </row>
    <row r="13231">
      <c r="A13231">
        <f>Input!A13231</f>
        <v/>
      </c>
      <c r="B13231">
        <f>IF(ISNUMBER(Input!B13231),IF(AND(Input!B13231&gt;=20,Input!B13231&lt;=700),Input!B13231,""),"")</f>
        <v/>
      </c>
      <c r="C13231">
        <f>IF(B13231="","",INT(A13231))</f>
        <v/>
      </c>
      <c r="D13231">
        <f>IF(B13231="","",HOUR(A13231))</f>
        <v/>
      </c>
    </row>
    <row r="13232">
      <c r="A13232">
        <f>Input!A13232</f>
        <v/>
      </c>
      <c r="B13232">
        <f>IF(ISNUMBER(Input!B13232),IF(AND(Input!B13232&gt;=20,Input!B13232&lt;=700),Input!B13232,""),"")</f>
        <v/>
      </c>
      <c r="C13232">
        <f>IF(B13232="","",INT(A13232))</f>
        <v/>
      </c>
      <c r="D13232">
        <f>IF(B13232="","",HOUR(A13232))</f>
        <v/>
      </c>
    </row>
    <row r="13233">
      <c r="A13233">
        <f>Input!A13233</f>
        <v/>
      </c>
      <c r="B13233">
        <f>IF(ISNUMBER(Input!B13233),IF(AND(Input!B13233&gt;=20,Input!B13233&lt;=700),Input!B13233,""),"")</f>
        <v/>
      </c>
      <c r="C13233">
        <f>IF(B13233="","",INT(A13233))</f>
        <v/>
      </c>
      <c r="D13233">
        <f>IF(B13233="","",HOUR(A13233))</f>
        <v/>
      </c>
    </row>
    <row r="13234">
      <c r="A13234">
        <f>Input!A13234</f>
        <v/>
      </c>
      <c r="B13234">
        <f>IF(ISNUMBER(Input!B13234),IF(AND(Input!B13234&gt;=20,Input!B13234&lt;=700),Input!B13234,""),"")</f>
        <v/>
      </c>
      <c r="C13234">
        <f>IF(B13234="","",INT(A13234))</f>
        <v/>
      </c>
      <c r="D13234">
        <f>IF(B13234="","",HOUR(A13234))</f>
        <v/>
      </c>
    </row>
    <row r="13235">
      <c r="A13235">
        <f>Input!A13235</f>
        <v/>
      </c>
      <c r="B13235">
        <f>IF(ISNUMBER(Input!B13235),IF(AND(Input!B13235&gt;=20,Input!B13235&lt;=700),Input!B13235,""),"")</f>
        <v/>
      </c>
      <c r="C13235">
        <f>IF(B13235="","",INT(A13235))</f>
        <v/>
      </c>
      <c r="D13235">
        <f>IF(B13235="","",HOUR(A13235))</f>
        <v/>
      </c>
    </row>
    <row r="13236">
      <c r="A13236">
        <f>Input!A13236</f>
        <v/>
      </c>
      <c r="B13236">
        <f>IF(ISNUMBER(Input!B13236),IF(AND(Input!B13236&gt;=20,Input!B13236&lt;=700),Input!B13236,""),"")</f>
        <v/>
      </c>
      <c r="C13236">
        <f>IF(B13236="","",INT(A13236))</f>
        <v/>
      </c>
      <c r="D13236">
        <f>IF(B13236="","",HOUR(A13236))</f>
        <v/>
      </c>
    </row>
    <row r="13237">
      <c r="A13237">
        <f>Input!A13237</f>
        <v/>
      </c>
      <c r="B13237">
        <f>IF(ISNUMBER(Input!B13237),IF(AND(Input!B13237&gt;=20,Input!B13237&lt;=700),Input!B13237,""),"")</f>
        <v/>
      </c>
      <c r="C13237">
        <f>IF(B13237="","",INT(A13237))</f>
        <v/>
      </c>
      <c r="D13237">
        <f>IF(B13237="","",HOUR(A13237))</f>
        <v/>
      </c>
    </row>
    <row r="13238">
      <c r="A13238">
        <f>Input!A13238</f>
        <v/>
      </c>
      <c r="B13238">
        <f>IF(ISNUMBER(Input!B13238),IF(AND(Input!B13238&gt;=20,Input!B13238&lt;=700),Input!B13238,""),"")</f>
        <v/>
      </c>
      <c r="C13238">
        <f>IF(B13238="","",INT(A13238))</f>
        <v/>
      </c>
      <c r="D13238">
        <f>IF(B13238="","",HOUR(A13238))</f>
        <v/>
      </c>
    </row>
    <row r="13239">
      <c r="A13239">
        <f>Input!A13239</f>
        <v/>
      </c>
      <c r="B13239">
        <f>IF(ISNUMBER(Input!B13239),IF(AND(Input!B13239&gt;=20,Input!B13239&lt;=700),Input!B13239,""),"")</f>
        <v/>
      </c>
      <c r="C13239">
        <f>IF(B13239="","",INT(A13239))</f>
        <v/>
      </c>
      <c r="D13239">
        <f>IF(B13239="","",HOUR(A13239))</f>
        <v/>
      </c>
    </row>
    <row r="13240">
      <c r="A13240">
        <f>Input!A13240</f>
        <v/>
      </c>
      <c r="B13240">
        <f>IF(ISNUMBER(Input!B13240),IF(AND(Input!B13240&gt;=20,Input!B13240&lt;=700),Input!B13240,""),"")</f>
        <v/>
      </c>
      <c r="C13240">
        <f>IF(B13240="","",INT(A13240))</f>
        <v/>
      </c>
      <c r="D13240">
        <f>IF(B13240="","",HOUR(A13240))</f>
        <v/>
      </c>
    </row>
    <row r="13241">
      <c r="A13241">
        <f>Input!A13241</f>
        <v/>
      </c>
      <c r="B13241">
        <f>IF(ISNUMBER(Input!B13241),IF(AND(Input!B13241&gt;=20,Input!B13241&lt;=700),Input!B13241,""),"")</f>
        <v/>
      </c>
      <c r="C13241">
        <f>IF(B13241="","",INT(A13241))</f>
        <v/>
      </c>
      <c r="D13241">
        <f>IF(B13241="","",HOUR(A13241))</f>
        <v/>
      </c>
    </row>
    <row r="13242">
      <c r="A13242">
        <f>Input!A13242</f>
        <v/>
      </c>
      <c r="B13242">
        <f>IF(ISNUMBER(Input!B13242),IF(AND(Input!B13242&gt;=20,Input!B13242&lt;=700),Input!B13242,""),"")</f>
        <v/>
      </c>
      <c r="C13242">
        <f>IF(B13242="","",INT(A13242))</f>
        <v/>
      </c>
      <c r="D13242">
        <f>IF(B13242="","",HOUR(A13242))</f>
        <v/>
      </c>
    </row>
    <row r="13243">
      <c r="A13243">
        <f>Input!A13243</f>
        <v/>
      </c>
      <c r="B13243">
        <f>IF(ISNUMBER(Input!B13243),IF(AND(Input!B13243&gt;=20,Input!B13243&lt;=700),Input!B13243,""),"")</f>
        <v/>
      </c>
      <c r="C13243">
        <f>IF(B13243="","",INT(A13243))</f>
        <v/>
      </c>
      <c r="D13243">
        <f>IF(B13243="","",HOUR(A13243))</f>
        <v/>
      </c>
    </row>
    <row r="13244">
      <c r="A13244">
        <f>Input!A13244</f>
        <v/>
      </c>
      <c r="B13244">
        <f>IF(ISNUMBER(Input!B13244),IF(AND(Input!B13244&gt;=20,Input!B13244&lt;=700),Input!B13244,""),"")</f>
        <v/>
      </c>
      <c r="C13244">
        <f>IF(B13244="","",INT(A13244))</f>
        <v/>
      </c>
      <c r="D13244">
        <f>IF(B13244="","",HOUR(A13244))</f>
        <v/>
      </c>
    </row>
    <row r="13245">
      <c r="A13245">
        <f>Input!A13245</f>
        <v/>
      </c>
      <c r="B13245">
        <f>IF(ISNUMBER(Input!B13245),IF(AND(Input!B13245&gt;=20,Input!B13245&lt;=700),Input!B13245,""),"")</f>
        <v/>
      </c>
      <c r="C13245">
        <f>IF(B13245="","",INT(A13245))</f>
        <v/>
      </c>
      <c r="D13245">
        <f>IF(B13245="","",HOUR(A13245))</f>
        <v/>
      </c>
    </row>
    <row r="13246">
      <c r="A13246">
        <f>Input!A13246</f>
        <v/>
      </c>
      <c r="B13246">
        <f>IF(ISNUMBER(Input!B13246),IF(AND(Input!B13246&gt;=20,Input!B13246&lt;=700),Input!B13246,""),"")</f>
        <v/>
      </c>
      <c r="C13246">
        <f>IF(B13246="","",INT(A13246))</f>
        <v/>
      </c>
      <c r="D13246">
        <f>IF(B13246="","",HOUR(A13246))</f>
        <v/>
      </c>
    </row>
    <row r="13247">
      <c r="A13247">
        <f>Input!A13247</f>
        <v/>
      </c>
      <c r="B13247">
        <f>IF(ISNUMBER(Input!B13247),IF(AND(Input!B13247&gt;=20,Input!B13247&lt;=700),Input!B13247,""),"")</f>
        <v/>
      </c>
      <c r="C13247">
        <f>IF(B13247="","",INT(A13247))</f>
        <v/>
      </c>
      <c r="D13247">
        <f>IF(B13247="","",HOUR(A13247))</f>
        <v/>
      </c>
    </row>
    <row r="13248">
      <c r="A13248">
        <f>Input!A13248</f>
        <v/>
      </c>
      <c r="B13248">
        <f>IF(ISNUMBER(Input!B13248),IF(AND(Input!B13248&gt;=20,Input!B13248&lt;=700),Input!B13248,""),"")</f>
        <v/>
      </c>
      <c r="C13248">
        <f>IF(B13248="","",INT(A13248))</f>
        <v/>
      </c>
      <c r="D13248">
        <f>IF(B13248="","",HOUR(A13248))</f>
        <v/>
      </c>
    </row>
    <row r="13249">
      <c r="A13249">
        <f>Input!A13249</f>
        <v/>
      </c>
      <c r="B13249">
        <f>IF(ISNUMBER(Input!B13249),IF(AND(Input!B13249&gt;=20,Input!B13249&lt;=700),Input!B13249,""),"")</f>
        <v/>
      </c>
      <c r="C13249">
        <f>IF(B13249="","",INT(A13249))</f>
        <v/>
      </c>
      <c r="D13249">
        <f>IF(B13249="","",HOUR(A13249))</f>
        <v/>
      </c>
    </row>
    <row r="13250">
      <c r="A13250">
        <f>Input!A13250</f>
        <v/>
      </c>
      <c r="B13250">
        <f>IF(ISNUMBER(Input!B13250),IF(AND(Input!B13250&gt;=20,Input!B13250&lt;=700),Input!B13250,""),"")</f>
        <v/>
      </c>
      <c r="C13250">
        <f>IF(B13250="","",INT(A13250))</f>
        <v/>
      </c>
      <c r="D13250">
        <f>IF(B13250="","",HOUR(A13250))</f>
        <v/>
      </c>
    </row>
    <row r="13251">
      <c r="A13251">
        <f>Input!A13251</f>
        <v/>
      </c>
      <c r="B13251">
        <f>IF(ISNUMBER(Input!B13251),IF(AND(Input!B13251&gt;=20,Input!B13251&lt;=700),Input!B13251,""),"")</f>
        <v/>
      </c>
      <c r="C13251">
        <f>IF(B13251="","",INT(A13251))</f>
        <v/>
      </c>
      <c r="D13251">
        <f>IF(B13251="","",HOUR(A13251))</f>
        <v/>
      </c>
    </row>
    <row r="13252">
      <c r="A13252">
        <f>Input!A13252</f>
        <v/>
      </c>
      <c r="B13252">
        <f>IF(ISNUMBER(Input!B13252),IF(AND(Input!B13252&gt;=20,Input!B13252&lt;=700),Input!B13252,""),"")</f>
        <v/>
      </c>
      <c r="C13252">
        <f>IF(B13252="","",INT(A13252))</f>
        <v/>
      </c>
      <c r="D13252">
        <f>IF(B13252="","",HOUR(A13252))</f>
        <v/>
      </c>
    </row>
    <row r="13253">
      <c r="A13253">
        <f>Input!A13253</f>
        <v/>
      </c>
      <c r="B13253">
        <f>IF(ISNUMBER(Input!B13253),IF(AND(Input!B13253&gt;=20,Input!B13253&lt;=700),Input!B13253,""),"")</f>
        <v/>
      </c>
      <c r="C13253">
        <f>IF(B13253="","",INT(A13253))</f>
        <v/>
      </c>
      <c r="D13253">
        <f>IF(B13253="","",HOUR(A13253))</f>
        <v/>
      </c>
    </row>
    <row r="13254">
      <c r="A13254">
        <f>Input!A13254</f>
        <v/>
      </c>
      <c r="B13254">
        <f>IF(ISNUMBER(Input!B13254),IF(AND(Input!B13254&gt;=20,Input!B13254&lt;=700),Input!B13254,""),"")</f>
        <v/>
      </c>
      <c r="C13254">
        <f>IF(B13254="","",INT(A13254))</f>
        <v/>
      </c>
      <c r="D13254">
        <f>IF(B13254="","",HOUR(A13254))</f>
        <v/>
      </c>
    </row>
    <row r="13255">
      <c r="A13255">
        <f>Input!A13255</f>
        <v/>
      </c>
      <c r="B13255">
        <f>IF(ISNUMBER(Input!B13255),IF(AND(Input!B13255&gt;=20,Input!B13255&lt;=700),Input!B13255,""),"")</f>
        <v/>
      </c>
      <c r="C13255">
        <f>IF(B13255="","",INT(A13255))</f>
        <v/>
      </c>
      <c r="D13255">
        <f>IF(B13255="","",HOUR(A13255))</f>
        <v/>
      </c>
    </row>
    <row r="13256">
      <c r="A13256">
        <f>Input!A13256</f>
        <v/>
      </c>
      <c r="B13256">
        <f>IF(ISNUMBER(Input!B13256),IF(AND(Input!B13256&gt;=20,Input!B13256&lt;=700),Input!B13256,""),"")</f>
        <v/>
      </c>
      <c r="C13256">
        <f>IF(B13256="","",INT(A13256))</f>
        <v/>
      </c>
      <c r="D13256">
        <f>IF(B13256="","",HOUR(A13256))</f>
        <v/>
      </c>
    </row>
    <row r="13257">
      <c r="A13257">
        <f>Input!A13257</f>
        <v/>
      </c>
      <c r="B13257">
        <f>IF(ISNUMBER(Input!B13257),IF(AND(Input!B13257&gt;=20,Input!B13257&lt;=700),Input!B13257,""),"")</f>
        <v/>
      </c>
      <c r="C13257">
        <f>IF(B13257="","",INT(A13257))</f>
        <v/>
      </c>
      <c r="D13257">
        <f>IF(B13257="","",HOUR(A13257))</f>
        <v/>
      </c>
    </row>
    <row r="13258">
      <c r="A13258">
        <f>Input!A13258</f>
        <v/>
      </c>
      <c r="B13258">
        <f>IF(ISNUMBER(Input!B13258),IF(AND(Input!B13258&gt;=20,Input!B13258&lt;=700),Input!B13258,""),"")</f>
        <v/>
      </c>
      <c r="C13258">
        <f>IF(B13258="","",INT(A13258))</f>
        <v/>
      </c>
      <c r="D13258">
        <f>IF(B13258="","",HOUR(A13258))</f>
        <v/>
      </c>
    </row>
    <row r="13259">
      <c r="A13259">
        <f>Input!A13259</f>
        <v/>
      </c>
      <c r="B13259">
        <f>IF(ISNUMBER(Input!B13259),IF(AND(Input!B13259&gt;=20,Input!B13259&lt;=700),Input!B13259,""),"")</f>
        <v/>
      </c>
      <c r="C13259">
        <f>IF(B13259="","",INT(A13259))</f>
        <v/>
      </c>
      <c r="D13259">
        <f>IF(B13259="","",HOUR(A13259))</f>
        <v/>
      </c>
    </row>
    <row r="13260">
      <c r="A13260">
        <f>Input!A13260</f>
        <v/>
      </c>
      <c r="B13260">
        <f>IF(ISNUMBER(Input!B13260),IF(AND(Input!B13260&gt;=20,Input!B13260&lt;=700),Input!B13260,""),"")</f>
        <v/>
      </c>
      <c r="C13260">
        <f>IF(B13260="","",INT(A13260))</f>
        <v/>
      </c>
      <c r="D13260">
        <f>IF(B13260="","",HOUR(A13260))</f>
        <v/>
      </c>
    </row>
    <row r="13261">
      <c r="A13261">
        <f>Input!A13261</f>
        <v/>
      </c>
      <c r="B13261">
        <f>IF(ISNUMBER(Input!B13261),IF(AND(Input!B13261&gt;=20,Input!B13261&lt;=700),Input!B13261,""),"")</f>
        <v/>
      </c>
      <c r="C13261">
        <f>IF(B13261="","",INT(A13261))</f>
        <v/>
      </c>
      <c r="D13261">
        <f>IF(B13261="","",HOUR(A13261))</f>
        <v/>
      </c>
    </row>
    <row r="13262">
      <c r="A13262">
        <f>Input!A13262</f>
        <v/>
      </c>
      <c r="B13262">
        <f>IF(ISNUMBER(Input!B13262),IF(AND(Input!B13262&gt;=20,Input!B13262&lt;=700),Input!B13262,""),"")</f>
        <v/>
      </c>
      <c r="C13262">
        <f>IF(B13262="","",INT(A13262))</f>
        <v/>
      </c>
      <c r="D13262">
        <f>IF(B13262="","",HOUR(A13262))</f>
        <v/>
      </c>
    </row>
    <row r="13263">
      <c r="A13263">
        <f>Input!A13263</f>
        <v/>
      </c>
      <c r="B13263">
        <f>IF(ISNUMBER(Input!B13263),IF(AND(Input!B13263&gt;=20,Input!B13263&lt;=700),Input!B13263,""),"")</f>
        <v/>
      </c>
      <c r="C13263">
        <f>IF(B13263="","",INT(A13263))</f>
        <v/>
      </c>
      <c r="D13263">
        <f>IF(B13263="","",HOUR(A13263))</f>
        <v/>
      </c>
    </row>
    <row r="13264">
      <c r="A13264">
        <f>Input!A13264</f>
        <v/>
      </c>
      <c r="B13264">
        <f>IF(ISNUMBER(Input!B13264),IF(AND(Input!B13264&gt;=20,Input!B13264&lt;=700),Input!B13264,""),"")</f>
        <v/>
      </c>
      <c r="C13264">
        <f>IF(B13264="","",INT(A13264))</f>
        <v/>
      </c>
      <c r="D13264">
        <f>IF(B13264="","",HOUR(A13264))</f>
        <v/>
      </c>
    </row>
    <row r="13265">
      <c r="A13265">
        <f>Input!A13265</f>
        <v/>
      </c>
      <c r="B13265">
        <f>IF(ISNUMBER(Input!B13265),IF(AND(Input!B13265&gt;=20,Input!B13265&lt;=700),Input!B13265,""),"")</f>
        <v/>
      </c>
      <c r="C13265">
        <f>IF(B13265="","",INT(A13265))</f>
        <v/>
      </c>
      <c r="D13265">
        <f>IF(B13265="","",HOUR(A13265))</f>
        <v/>
      </c>
    </row>
    <row r="13266">
      <c r="A13266">
        <f>Input!A13266</f>
        <v/>
      </c>
      <c r="B13266">
        <f>IF(ISNUMBER(Input!B13266),IF(AND(Input!B13266&gt;=20,Input!B13266&lt;=700),Input!B13266,""),"")</f>
        <v/>
      </c>
      <c r="C13266">
        <f>IF(B13266="","",INT(A13266))</f>
        <v/>
      </c>
      <c r="D13266">
        <f>IF(B13266="","",HOUR(A13266))</f>
        <v/>
      </c>
    </row>
    <row r="13267">
      <c r="A13267">
        <f>Input!A13267</f>
        <v/>
      </c>
      <c r="B13267">
        <f>IF(ISNUMBER(Input!B13267),IF(AND(Input!B13267&gt;=20,Input!B13267&lt;=700),Input!B13267,""),"")</f>
        <v/>
      </c>
      <c r="C13267">
        <f>IF(B13267="","",INT(A13267))</f>
        <v/>
      </c>
      <c r="D13267">
        <f>IF(B13267="","",HOUR(A13267))</f>
        <v/>
      </c>
    </row>
    <row r="13268">
      <c r="A13268">
        <f>Input!A13268</f>
        <v/>
      </c>
      <c r="B13268">
        <f>IF(ISNUMBER(Input!B13268),IF(AND(Input!B13268&gt;=20,Input!B13268&lt;=700),Input!B13268,""),"")</f>
        <v/>
      </c>
      <c r="C13268">
        <f>IF(B13268="","",INT(A13268))</f>
        <v/>
      </c>
      <c r="D13268">
        <f>IF(B13268="","",HOUR(A13268))</f>
        <v/>
      </c>
    </row>
    <row r="13269">
      <c r="A13269">
        <f>Input!A13269</f>
        <v/>
      </c>
      <c r="B13269">
        <f>IF(ISNUMBER(Input!B13269),IF(AND(Input!B13269&gt;=20,Input!B13269&lt;=700),Input!B13269,""),"")</f>
        <v/>
      </c>
      <c r="C13269">
        <f>IF(B13269="","",INT(A13269))</f>
        <v/>
      </c>
      <c r="D13269">
        <f>IF(B13269="","",HOUR(A13269))</f>
        <v/>
      </c>
    </row>
    <row r="13270">
      <c r="A13270">
        <f>Input!A13270</f>
        <v/>
      </c>
      <c r="B13270">
        <f>IF(ISNUMBER(Input!B13270),IF(AND(Input!B13270&gt;=20,Input!B13270&lt;=700),Input!B13270,""),"")</f>
        <v/>
      </c>
      <c r="C13270">
        <f>IF(B13270="","",INT(A13270))</f>
        <v/>
      </c>
      <c r="D13270">
        <f>IF(B13270="","",HOUR(A13270))</f>
        <v/>
      </c>
    </row>
    <row r="13271">
      <c r="A13271">
        <f>Input!A13271</f>
        <v/>
      </c>
      <c r="B13271">
        <f>IF(ISNUMBER(Input!B13271),IF(AND(Input!B13271&gt;=20,Input!B13271&lt;=700),Input!B13271,""),"")</f>
        <v/>
      </c>
      <c r="C13271">
        <f>IF(B13271="","",INT(A13271))</f>
        <v/>
      </c>
      <c r="D13271">
        <f>IF(B13271="","",HOUR(A13271))</f>
        <v/>
      </c>
    </row>
    <row r="13272">
      <c r="A13272">
        <f>Input!A13272</f>
        <v/>
      </c>
      <c r="B13272">
        <f>IF(ISNUMBER(Input!B13272),IF(AND(Input!B13272&gt;=20,Input!B13272&lt;=700),Input!B13272,""),"")</f>
        <v/>
      </c>
      <c r="C13272">
        <f>IF(B13272="","",INT(A13272))</f>
        <v/>
      </c>
      <c r="D13272">
        <f>IF(B13272="","",HOUR(A13272))</f>
        <v/>
      </c>
    </row>
    <row r="13273">
      <c r="A13273">
        <f>Input!A13273</f>
        <v/>
      </c>
      <c r="B13273">
        <f>IF(ISNUMBER(Input!B13273),IF(AND(Input!B13273&gt;=20,Input!B13273&lt;=700),Input!B13273,""),"")</f>
        <v/>
      </c>
      <c r="C13273">
        <f>IF(B13273="","",INT(A13273))</f>
        <v/>
      </c>
      <c r="D13273">
        <f>IF(B13273="","",HOUR(A13273))</f>
        <v/>
      </c>
    </row>
    <row r="13274">
      <c r="A13274">
        <f>Input!A13274</f>
        <v/>
      </c>
      <c r="B13274">
        <f>IF(ISNUMBER(Input!B13274),IF(AND(Input!B13274&gt;=20,Input!B13274&lt;=700),Input!B13274,""),"")</f>
        <v/>
      </c>
      <c r="C13274">
        <f>IF(B13274="","",INT(A13274))</f>
        <v/>
      </c>
      <c r="D13274">
        <f>IF(B13274="","",HOUR(A13274))</f>
        <v/>
      </c>
    </row>
    <row r="13275">
      <c r="A13275">
        <f>Input!A13275</f>
        <v/>
      </c>
      <c r="B13275">
        <f>IF(ISNUMBER(Input!B13275),IF(AND(Input!B13275&gt;=20,Input!B13275&lt;=700),Input!B13275,""),"")</f>
        <v/>
      </c>
      <c r="C13275">
        <f>IF(B13275="","",INT(A13275))</f>
        <v/>
      </c>
      <c r="D13275">
        <f>IF(B13275="","",HOUR(A13275))</f>
        <v/>
      </c>
    </row>
    <row r="13276">
      <c r="A13276">
        <f>Input!A13276</f>
        <v/>
      </c>
      <c r="B13276">
        <f>IF(ISNUMBER(Input!B13276),IF(AND(Input!B13276&gt;=20,Input!B13276&lt;=700),Input!B13276,""),"")</f>
        <v/>
      </c>
      <c r="C13276">
        <f>IF(B13276="","",INT(A13276))</f>
        <v/>
      </c>
      <c r="D13276">
        <f>IF(B13276="","",HOUR(A13276))</f>
        <v/>
      </c>
    </row>
    <row r="13277">
      <c r="A13277">
        <f>Input!A13277</f>
        <v/>
      </c>
      <c r="B13277">
        <f>IF(ISNUMBER(Input!B13277),IF(AND(Input!B13277&gt;=20,Input!B13277&lt;=700),Input!B13277,""),"")</f>
        <v/>
      </c>
      <c r="C13277">
        <f>IF(B13277="","",INT(A13277))</f>
        <v/>
      </c>
      <c r="D13277">
        <f>IF(B13277="","",HOUR(A13277))</f>
        <v/>
      </c>
    </row>
    <row r="13278">
      <c r="A13278">
        <f>Input!A13278</f>
        <v/>
      </c>
      <c r="B13278">
        <f>IF(ISNUMBER(Input!B13278),IF(AND(Input!B13278&gt;=20,Input!B13278&lt;=700),Input!B13278,""),"")</f>
        <v/>
      </c>
      <c r="C13278">
        <f>IF(B13278="","",INT(A13278))</f>
        <v/>
      </c>
      <c r="D13278">
        <f>IF(B13278="","",HOUR(A13278))</f>
        <v/>
      </c>
    </row>
    <row r="13279">
      <c r="A13279">
        <f>Input!A13279</f>
        <v/>
      </c>
      <c r="B13279">
        <f>IF(ISNUMBER(Input!B13279),IF(AND(Input!B13279&gt;=20,Input!B13279&lt;=700),Input!B13279,""),"")</f>
        <v/>
      </c>
      <c r="C13279">
        <f>IF(B13279="","",INT(A13279))</f>
        <v/>
      </c>
      <c r="D13279">
        <f>IF(B13279="","",HOUR(A13279))</f>
        <v/>
      </c>
    </row>
    <row r="13280">
      <c r="A13280">
        <f>Input!A13280</f>
        <v/>
      </c>
      <c r="B13280">
        <f>IF(ISNUMBER(Input!B13280),IF(AND(Input!B13280&gt;=20,Input!B13280&lt;=700),Input!B13280,""),"")</f>
        <v/>
      </c>
      <c r="C13280">
        <f>IF(B13280="","",INT(A13280))</f>
        <v/>
      </c>
      <c r="D13280">
        <f>IF(B13280="","",HOUR(A13280))</f>
        <v/>
      </c>
    </row>
    <row r="13281">
      <c r="A13281">
        <f>Input!A13281</f>
        <v/>
      </c>
      <c r="B13281">
        <f>IF(ISNUMBER(Input!B13281),IF(AND(Input!B13281&gt;=20,Input!B13281&lt;=700),Input!B13281,""),"")</f>
        <v/>
      </c>
      <c r="C13281">
        <f>IF(B13281="","",INT(A13281))</f>
        <v/>
      </c>
      <c r="D13281">
        <f>IF(B13281="","",HOUR(A13281))</f>
        <v/>
      </c>
    </row>
    <row r="13282">
      <c r="A13282">
        <f>Input!A13282</f>
        <v/>
      </c>
      <c r="B13282">
        <f>IF(ISNUMBER(Input!B13282),IF(AND(Input!B13282&gt;=20,Input!B13282&lt;=700),Input!B13282,""),"")</f>
        <v/>
      </c>
      <c r="C13282">
        <f>IF(B13282="","",INT(A13282))</f>
        <v/>
      </c>
      <c r="D13282">
        <f>IF(B13282="","",HOUR(A13282))</f>
        <v/>
      </c>
    </row>
    <row r="13283">
      <c r="A13283">
        <f>Input!A13283</f>
        <v/>
      </c>
      <c r="B13283">
        <f>IF(ISNUMBER(Input!B13283),IF(AND(Input!B13283&gt;=20,Input!B13283&lt;=700),Input!B13283,""),"")</f>
        <v/>
      </c>
      <c r="C13283">
        <f>IF(B13283="","",INT(A13283))</f>
        <v/>
      </c>
      <c r="D13283">
        <f>IF(B13283="","",HOUR(A13283))</f>
        <v/>
      </c>
    </row>
    <row r="13284">
      <c r="A13284">
        <f>Input!A13284</f>
        <v/>
      </c>
      <c r="B13284">
        <f>IF(ISNUMBER(Input!B13284),IF(AND(Input!B13284&gt;=20,Input!B13284&lt;=700),Input!B13284,""),"")</f>
        <v/>
      </c>
      <c r="C13284">
        <f>IF(B13284="","",INT(A13284))</f>
        <v/>
      </c>
      <c r="D13284">
        <f>IF(B13284="","",HOUR(A13284))</f>
        <v/>
      </c>
    </row>
    <row r="13285">
      <c r="A13285">
        <f>Input!A13285</f>
        <v/>
      </c>
      <c r="B13285">
        <f>IF(ISNUMBER(Input!B13285),IF(AND(Input!B13285&gt;=20,Input!B13285&lt;=700),Input!B13285,""),"")</f>
        <v/>
      </c>
      <c r="C13285">
        <f>IF(B13285="","",INT(A13285))</f>
        <v/>
      </c>
      <c r="D13285">
        <f>IF(B13285="","",HOUR(A13285))</f>
        <v/>
      </c>
    </row>
    <row r="13286">
      <c r="A13286">
        <f>Input!A13286</f>
        <v/>
      </c>
      <c r="B13286">
        <f>IF(ISNUMBER(Input!B13286),IF(AND(Input!B13286&gt;=20,Input!B13286&lt;=700),Input!B13286,""),"")</f>
        <v/>
      </c>
      <c r="C13286">
        <f>IF(B13286="","",INT(A13286))</f>
        <v/>
      </c>
      <c r="D13286">
        <f>IF(B13286="","",HOUR(A13286))</f>
        <v/>
      </c>
    </row>
    <row r="13287">
      <c r="A13287">
        <f>Input!A13287</f>
        <v/>
      </c>
      <c r="B13287">
        <f>IF(ISNUMBER(Input!B13287),IF(AND(Input!B13287&gt;=20,Input!B13287&lt;=700),Input!B13287,""),"")</f>
        <v/>
      </c>
      <c r="C13287">
        <f>IF(B13287="","",INT(A13287))</f>
        <v/>
      </c>
      <c r="D13287">
        <f>IF(B13287="","",HOUR(A13287))</f>
        <v/>
      </c>
    </row>
    <row r="13288">
      <c r="A13288">
        <f>Input!A13288</f>
        <v/>
      </c>
      <c r="B13288">
        <f>IF(ISNUMBER(Input!B13288),IF(AND(Input!B13288&gt;=20,Input!B13288&lt;=700),Input!B13288,""),"")</f>
        <v/>
      </c>
      <c r="C13288">
        <f>IF(B13288="","",INT(A13288))</f>
        <v/>
      </c>
      <c r="D13288">
        <f>IF(B13288="","",HOUR(A13288))</f>
        <v/>
      </c>
    </row>
    <row r="13289">
      <c r="A13289">
        <f>Input!A13289</f>
        <v/>
      </c>
      <c r="B13289">
        <f>IF(ISNUMBER(Input!B13289),IF(AND(Input!B13289&gt;=20,Input!B13289&lt;=700),Input!B13289,""),"")</f>
        <v/>
      </c>
      <c r="C13289">
        <f>IF(B13289="","",INT(A13289))</f>
        <v/>
      </c>
      <c r="D13289">
        <f>IF(B13289="","",HOUR(A13289))</f>
        <v/>
      </c>
    </row>
    <row r="13290">
      <c r="A13290">
        <f>Input!A13290</f>
        <v/>
      </c>
      <c r="B13290">
        <f>IF(ISNUMBER(Input!B13290),IF(AND(Input!B13290&gt;=20,Input!B13290&lt;=700),Input!B13290,""),"")</f>
        <v/>
      </c>
      <c r="C13290">
        <f>IF(B13290="","",INT(A13290))</f>
        <v/>
      </c>
      <c r="D13290">
        <f>IF(B13290="","",HOUR(A13290))</f>
        <v/>
      </c>
    </row>
    <row r="13291">
      <c r="A13291">
        <f>Input!A13291</f>
        <v/>
      </c>
      <c r="B13291">
        <f>IF(ISNUMBER(Input!B13291),IF(AND(Input!B13291&gt;=20,Input!B13291&lt;=700),Input!B13291,""),"")</f>
        <v/>
      </c>
      <c r="C13291">
        <f>IF(B13291="","",INT(A13291))</f>
        <v/>
      </c>
      <c r="D13291">
        <f>IF(B13291="","",HOUR(A13291))</f>
        <v/>
      </c>
    </row>
    <row r="13292">
      <c r="A13292">
        <f>Input!A13292</f>
        <v/>
      </c>
      <c r="B13292">
        <f>IF(ISNUMBER(Input!B13292),IF(AND(Input!B13292&gt;=20,Input!B13292&lt;=700),Input!B13292,""),"")</f>
        <v/>
      </c>
      <c r="C13292">
        <f>IF(B13292="","",INT(A13292))</f>
        <v/>
      </c>
      <c r="D13292">
        <f>IF(B13292="","",HOUR(A13292))</f>
        <v/>
      </c>
    </row>
    <row r="13293">
      <c r="A13293">
        <f>Input!A13293</f>
        <v/>
      </c>
      <c r="B13293">
        <f>IF(ISNUMBER(Input!B13293),IF(AND(Input!B13293&gt;=20,Input!B13293&lt;=700),Input!B13293,""),"")</f>
        <v/>
      </c>
      <c r="C13293">
        <f>IF(B13293="","",INT(A13293))</f>
        <v/>
      </c>
      <c r="D13293">
        <f>IF(B13293="","",HOUR(A13293))</f>
        <v/>
      </c>
    </row>
    <row r="13294">
      <c r="A13294">
        <f>Input!A13294</f>
        <v/>
      </c>
      <c r="B13294">
        <f>IF(ISNUMBER(Input!B13294),IF(AND(Input!B13294&gt;=20,Input!B13294&lt;=700),Input!B13294,""),"")</f>
        <v/>
      </c>
      <c r="C13294">
        <f>IF(B13294="","",INT(A13294))</f>
        <v/>
      </c>
      <c r="D13294">
        <f>IF(B13294="","",HOUR(A13294))</f>
        <v/>
      </c>
    </row>
    <row r="13295">
      <c r="A13295">
        <f>Input!A13295</f>
        <v/>
      </c>
      <c r="B13295">
        <f>IF(ISNUMBER(Input!B13295),IF(AND(Input!B13295&gt;=20,Input!B13295&lt;=700),Input!B13295,""),"")</f>
        <v/>
      </c>
      <c r="C13295">
        <f>IF(B13295="","",INT(A13295))</f>
        <v/>
      </c>
      <c r="D13295">
        <f>IF(B13295="","",HOUR(A13295))</f>
        <v/>
      </c>
    </row>
    <row r="13296">
      <c r="A13296">
        <f>Input!A13296</f>
        <v/>
      </c>
      <c r="B13296">
        <f>IF(ISNUMBER(Input!B13296),IF(AND(Input!B13296&gt;=20,Input!B13296&lt;=700),Input!B13296,""),"")</f>
        <v/>
      </c>
      <c r="C13296">
        <f>IF(B13296="","",INT(A13296))</f>
        <v/>
      </c>
      <c r="D13296">
        <f>IF(B13296="","",HOUR(A13296))</f>
        <v/>
      </c>
    </row>
    <row r="13297">
      <c r="A13297">
        <f>Input!A13297</f>
        <v/>
      </c>
      <c r="B13297">
        <f>IF(ISNUMBER(Input!B13297),IF(AND(Input!B13297&gt;=20,Input!B13297&lt;=700),Input!B13297,""),"")</f>
        <v/>
      </c>
      <c r="C13297">
        <f>IF(B13297="","",INT(A13297))</f>
        <v/>
      </c>
      <c r="D13297">
        <f>IF(B13297="","",HOUR(A13297))</f>
        <v/>
      </c>
    </row>
    <row r="13298">
      <c r="A13298">
        <f>Input!A13298</f>
        <v/>
      </c>
      <c r="B13298">
        <f>IF(ISNUMBER(Input!B13298),IF(AND(Input!B13298&gt;=20,Input!B13298&lt;=700),Input!B13298,""),"")</f>
        <v/>
      </c>
      <c r="C13298">
        <f>IF(B13298="","",INT(A13298))</f>
        <v/>
      </c>
      <c r="D13298">
        <f>IF(B13298="","",HOUR(A13298))</f>
        <v/>
      </c>
    </row>
    <row r="13299">
      <c r="A13299">
        <f>Input!A13299</f>
        <v/>
      </c>
      <c r="B13299">
        <f>IF(ISNUMBER(Input!B13299),IF(AND(Input!B13299&gt;=20,Input!B13299&lt;=700),Input!B13299,""),"")</f>
        <v/>
      </c>
      <c r="C13299">
        <f>IF(B13299="","",INT(A13299))</f>
        <v/>
      </c>
      <c r="D13299">
        <f>IF(B13299="","",HOUR(A13299))</f>
        <v/>
      </c>
    </row>
    <row r="13300">
      <c r="A13300">
        <f>Input!A13300</f>
        <v/>
      </c>
      <c r="B13300">
        <f>IF(ISNUMBER(Input!B13300),IF(AND(Input!B13300&gt;=20,Input!B13300&lt;=700),Input!B13300,""),"")</f>
        <v/>
      </c>
      <c r="C13300">
        <f>IF(B13300="","",INT(A13300))</f>
        <v/>
      </c>
      <c r="D13300">
        <f>IF(B13300="","",HOUR(A13300))</f>
        <v/>
      </c>
    </row>
    <row r="13301">
      <c r="A13301">
        <f>Input!A13301</f>
        <v/>
      </c>
      <c r="B13301">
        <f>IF(ISNUMBER(Input!B13301),IF(AND(Input!B13301&gt;=20,Input!B13301&lt;=700),Input!B13301,""),"")</f>
        <v/>
      </c>
      <c r="C13301">
        <f>IF(B13301="","",INT(A13301))</f>
        <v/>
      </c>
      <c r="D13301">
        <f>IF(B13301="","",HOUR(A13301))</f>
        <v/>
      </c>
    </row>
    <row r="13302">
      <c r="A13302">
        <f>Input!A13302</f>
        <v/>
      </c>
      <c r="B13302">
        <f>IF(ISNUMBER(Input!B13302),IF(AND(Input!B13302&gt;=20,Input!B13302&lt;=700),Input!B13302,""),"")</f>
        <v/>
      </c>
      <c r="C13302">
        <f>IF(B13302="","",INT(A13302))</f>
        <v/>
      </c>
      <c r="D13302">
        <f>IF(B13302="","",HOUR(A13302))</f>
        <v/>
      </c>
    </row>
    <row r="13303">
      <c r="A13303">
        <f>Input!A13303</f>
        <v/>
      </c>
      <c r="B13303">
        <f>IF(ISNUMBER(Input!B13303),IF(AND(Input!B13303&gt;=20,Input!B13303&lt;=700),Input!B13303,""),"")</f>
        <v/>
      </c>
      <c r="C13303">
        <f>IF(B13303="","",INT(A13303))</f>
        <v/>
      </c>
      <c r="D13303">
        <f>IF(B13303="","",HOUR(A13303))</f>
        <v/>
      </c>
    </row>
    <row r="13304">
      <c r="A13304">
        <f>Input!A13304</f>
        <v/>
      </c>
      <c r="B13304">
        <f>IF(ISNUMBER(Input!B13304),IF(AND(Input!B13304&gt;=20,Input!B13304&lt;=700),Input!B13304,""),"")</f>
        <v/>
      </c>
      <c r="C13304">
        <f>IF(B13304="","",INT(A13304))</f>
        <v/>
      </c>
      <c r="D13304">
        <f>IF(B13304="","",HOUR(A13304))</f>
        <v/>
      </c>
    </row>
    <row r="13305">
      <c r="A13305">
        <f>Input!A13305</f>
        <v/>
      </c>
      <c r="B13305">
        <f>IF(ISNUMBER(Input!B13305),IF(AND(Input!B13305&gt;=20,Input!B13305&lt;=700),Input!B13305,""),"")</f>
        <v/>
      </c>
      <c r="C13305">
        <f>IF(B13305="","",INT(A13305))</f>
        <v/>
      </c>
      <c r="D13305">
        <f>IF(B13305="","",HOUR(A13305))</f>
        <v/>
      </c>
    </row>
    <row r="13306">
      <c r="A13306">
        <f>Input!A13306</f>
        <v/>
      </c>
      <c r="B13306">
        <f>IF(ISNUMBER(Input!B13306),IF(AND(Input!B13306&gt;=20,Input!B13306&lt;=700),Input!B13306,""),"")</f>
        <v/>
      </c>
      <c r="C13306">
        <f>IF(B13306="","",INT(A13306))</f>
        <v/>
      </c>
      <c r="D13306">
        <f>IF(B13306="","",HOUR(A13306))</f>
        <v/>
      </c>
    </row>
    <row r="13307">
      <c r="A13307">
        <f>Input!A13307</f>
        <v/>
      </c>
      <c r="B13307">
        <f>IF(ISNUMBER(Input!B13307),IF(AND(Input!B13307&gt;=20,Input!B13307&lt;=700),Input!B13307,""),"")</f>
        <v/>
      </c>
      <c r="C13307">
        <f>IF(B13307="","",INT(A13307))</f>
        <v/>
      </c>
      <c r="D13307">
        <f>IF(B13307="","",HOUR(A13307))</f>
        <v/>
      </c>
    </row>
    <row r="13308">
      <c r="A13308">
        <f>Input!A13308</f>
        <v/>
      </c>
      <c r="B13308">
        <f>IF(ISNUMBER(Input!B13308),IF(AND(Input!B13308&gt;=20,Input!B13308&lt;=700),Input!B13308,""),"")</f>
        <v/>
      </c>
      <c r="C13308">
        <f>IF(B13308="","",INT(A13308))</f>
        <v/>
      </c>
      <c r="D13308">
        <f>IF(B13308="","",HOUR(A13308))</f>
        <v/>
      </c>
    </row>
    <row r="13309">
      <c r="A13309">
        <f>Input!A13309</f>
        <v/>
      </c>
      <c r="B13309">
        <f>IF(ISNUMBER(Input!B13309),IF(AND(Input!B13309&gt;=20,Input!B13309&lt;=700),Input!B13309,""),"")</f>
        <v/>
      </c>
      <c r="C13309">
        <f>IF(B13309="","",INT(A13309))</f>
        <v/>
      </c>
      <c r="D13309">
        <f>IF(B13309="","",HOUR(A13309))</f>
        <v/>
      </c>
    </row>
    <row r="13310">
      <c r="A13310">
        <f>Input!A13310</f>
        <v/>
      </c>
      <c r="B13310">
        <f>IF(ISNUMBER(Input!B13310),IF(AND(Input!B13310&gt;=20,Input!B13310&lt;=700),Input!B13310,""),"")</f>
        <v/>
      </c>
      <c r="C13310">
        <f>IF(B13310="","",INT(A13310))</f>
        <v/>
      </c>
      <c r="D13310">
        <f>IF(B13310="","",HOUR(A13310))</f>
        <v/>
      </c>
    </row>
    <row r="13311">
      <c r="A13311">
        <f>Input!A13311</f>
        <v/>
      </c>
      <c r="B13311">
        <f>IF(ISNUMBER(Input!B13311),IF(AND(Input!B13311&gt;=20,Input!B13311&lt;=700),Input!B13311,""),"")</f>
        <v/>
      </c>
      <c r="C13311">
        <f>IF(B13311="","",INT(A13311))</f>
        <v/>
      </c>
      <c r="D13311">
        <f>IF(B13311="","",HOUR(A13311))</f>
        <v/>
      </c>
    </row>
    <row r="13312">
      <c r="A13312">
        <f>Input!A13312</f>
        <v/>
      </c>
      <c r="B13312">
        <f>IF(ISNUMBER(Input!B13312),IF(AND(Input!B13312&gt;=20,Input!B13312&lt;=700),Input!B13312,""),"")</f>
        <v/>
      </c>
      <c r="C13312">
        <f>IF(B13312="","",INT(A13312))</f>
        <v/>
      </c>
      <c r="D13312">
        <f>IF(B13312="","",HOUR(A13312))</f>
        <v/>
      </c>
    </row>
    <row r="13313">
      <c r="A13313">
        <f>Input!A13313</f>
        <v/>
      </c>
      <c r="B13313">
        <f>IF(ISNUMBER(Input!B13313),IF(AND(Input!B13313&gt;=20,Input!B13313&lt;=700),Input!B13313,""),"")</f>
        <v/>
      </c>
      <c r="C13313">
        <f>IF(B13313="","",INT(A13313))</f>
        <v/>
      </c>
      <c r="D13313">
        <f>IF(B13313="","",HOUR(A13313))</f>
        <v/>
      </c>
    </row>
    <row r="13314">
      <c r="A13314">
        <f>Input!A13314</f>
        <v/>
      </c>
      <c r="B13314">
        <f>IF(ISNUMBER(Input!B13314),IF(AND(Input!B13314&gt;=20,Input!B13314&lt;=700),Input!B13314,""),"")</f>
        <v/>
      </c>
      <c r="C13314">
        <f>IF(B13314="","",INT(A13314))</f>
        <v/>
      </c>
      <c r="D13314">
        <f>IF(B13314="","",HOUR(A13314))</f>
        <v/>
      </c>
    </row>
    <row r="13315">
      <c r="A13315">
        <f>Input!A13315</f>
        <v/>
      </c>
      <c r="B13315">
        <f>IF(ISNUMBER(Input!B13315),IF(AND(Input!B13315&gt;=20,Input!B13315&lt;=700),Input!B13315,""),"")</f>
        <v/>
      </c>
      <c r="C13315">
        <f>IF(B13315="","",INT(A13315))</f>
        <v/>
      </c>
      <c r="D13315">
        <f>IF(B13315="","",HOUR(A13315))</f>
        <v/>
      </c>
    </row>
    <row r="13316">
      <c r="A13316">
        <f>Input!A13316</f>
        <v/>
      </c>
      <c r="B13316">
        <f>IF(ISNUMBER(Input!B13316),IF(AND(Input!B13316&gt;=20,Input!B13316&lt;=700),Input!B13316,""),"")</f>
        <v/>
      </c>
      <c r="C13316">
        <f>IF(B13316="","",INT(A13316))</f>
        <v/>
      </c>
      <c r="D13316">
        <f>IF(B13316="","",HOUR(A13316))</f>
        <v/>
      </c>
    </row>
    <row r="13317">
      <c r="A13317">
        <f>Input!A13317</f>
        <v/>
      </c>
      <c r="B13317">
        <f>IF(ISNUMBER(Input!B13317),IF(AND(Input!B13317&gt;=20,Input!B13317&lt;=700),Input!B13317,""),"")</f>
        <v/>
      </c>
      <c r="C13317">
        <f>IF(B13317="","",INT(A13317))</f>
        <v/>
      </c>
      <c r="D13317">
        <f>IF(B13317="","",HOUR(A13317))</f>
        <v/>
      </c>
    </row>
    <row r="13318">
      <c r="A13318">
        <f>Input!A13318</f>
        <v/>
      </c>
      <c r="B13318">
        <f>IF(ISNUMBER(Input!B13318),IF(AND(Input!B13318&gt;=20,Input!B13318&lt;=700),Input!B13318,""),"")</f>
        <v/>
      </c>
      <c r="C13318">
        <f>IF(B13318="","",INT(A13318))</f>
        <v/>
      </c>
      <c r="D13318">
        <f>IF(B13318="","",HOUR(A13318))</f>
        <v/>
      </c>
    </row>
    <row r="13319">
      <c r="A13319">
        <f>Input!A13319</f>
        <v/>
      </c>
      <c r="B13319">
        <f>IF(ISNUMBER(Input!B13319),IF(AND(Input!B13319&gt;=20,Input!B13319&lt;=700),Input!B13319,""),"")</f>
        <v/>
      </c>
      <c r="C13319">
        <f>IF(B13319="","",INT(A13319))</f>
        <v/>
      </c>
      <c r="D13319">
        <f>IF(B13319="","",HOUR(A13319))</f>
        <v/>
      </c>
    </row>
    <row r="13320">
      <c r="A13320">
        <f>Input!A13320</f>
        <v/>
      </c>
      <c r="B13320">
        <f>IF(ISNUMBER(Input!B13320),IF(AND(Input!B13320&gt;=20,Input!B13320&lt;=700),Input!B13320,""),"")</f>
        <v/>
      </c>
      <c r="C13320">
        <f>IF(B13320="","",INT(A13320))</f>
        <v/>
      </c>
      <c r="D13320">
        <f>IF(B13320="","",HOUR(A13320))</f>
        <v/>
      </c>
    </row>
    <row r="13321">
      <c r="A13321">
        <f>Input!A13321</f>
        <v/>
      </c>
      <c r="B13321">
        <f>IF(ISNUMBER(Input!B13321),IF(AND(Input!B13321&gt;=20,Input!B13321&lt;=700),Input!B13321,""),"")</f>
        <v/>
      </c>
      <c r="C13321">
        <f>IF(B13321="","",INT(A13321))</f>
        <v/>
      </c>
      <c r="D13321">
        <f>IF(B13321="","",HOUR(A13321))</f>
        <v/>
      </c>
    </row>
    <row r="13322">
      <c r="A13322">
        <f>Input!A13322</f>
        <v/>
      </c>
      <c r="B13322">
        <f>IF(ISNUMBER(Input!B13322),IF(AND(Input!B13322&gt;=20,Input!B13322&lt;=700),Input!B13322,""),"")</f>
        <v/>
      </c>
      <c r="C13322">
        <f>IF(B13322="","",INT(A13322))</f>
        <v/>
      </c>
      <c r="D13322">
        <f>IF(B13322="","",HOUR(A13322))</f>
        <v/>
      </c>
    </row>
    <row r="13323">
      <c r="A13323">
        <f>Input!A13323</f>
        <v/>
      </c>
      <c r="B13323">
        <f>IF(ISNUMBER(Input!B13323),IF(AND(Input!B13323&gt;=20,Input!B13323&lt;=700),Input!B13323,""),"")</f>
        <v/>
      </c>
      <c r="C13323">
        <f>IF(B13323="","",INT(A13323))</f>
        <v/>
      </c>
      <c r="D13323">
        <f>IF(B13323="","",HOUR(A13323))</f>
        <v/>
      </c>
    </row>
    <row r="13324">
      <c r="A13324">
        <f>Input!A13324</f>
        <v/>
      </c>
      <c r="B13324">
        <f>IF(ISNUMBER(Input!B13324),IF(AND(Input!B13324&gt;=20,Input!B13324&lt;=700),Input!B13324,""),"")</f>
        <v/>
      </c>
      <c r="C13324">
        <f>IF(B13324="","",INT(A13324))</f>
        <v/>
      </c>
      <c r="D13324">
        <f>IF(B13324="","",HOUR(A13324))</f>
        <v/>
      </c>
    </row>
    <row r="13325">
      <c r="A13325">
        <f>Input!A13325</f>
        <v/>
      </c>
      <c r="B13325">
        <f>IF(ISNUMBER(Input!B13325),IF(AND(Input!B13325&gt;=20,Input!B13325&lt;=700),Input!B13325,""),"")</f>
        <v/>
      </c>
      <c r="C13325">
        <f>IF(B13325="","",INT(A13325))</f>
        <v/>
      </c>
      <c r="D13325">
        <f>IF(B13325="","",HOUR(A13325))</f>
        <v/>
      </c>
    </row>
    <row r="13326">
      <c r="A13326">
        <f>Input!A13326</f>
        <v/>
      </c>
      <c r="B13326">
        <f>IF(ISNUMBER(Input!B13326),IF(AND(Input!B13326&gt;=20,Input!B13326&lt;=700),Input!B13326,""),"")</f>
        <v/>
      </c>
      <c r="C13326">
        <f>IF(B13326="","",INT(A13326))</f>
        <v/>
      </c>
      <c r="D13326">
        <f>IF(B13326="","",HOUR(A13326))</f>
        <v/>
      </c>
    </row>
    <row r="13327">
      <c r="A13327">
        <f>Input!A13327</f>
        <v/>
      </c>
      <c r="B13327">
        <f>IF(ISNUMBER(Input!B13327),IF(AND(Input!B13327&gt;=20,Input!B13327&lt;=700),Input!B13327,""),"")</f>
        <v/>
      </c>
      <c r="C13327">
        <f>IF(B13327="","",INT(A13327))</f>
        <v/>
      </c>
      <c r="D13327">
        <f>IF(B13327="","",HOUR(A13327))</f>
        <v/>
      </c>
    </row>
    <row r="13328">
      <c r="A13328">
        <f>Input!A13328</f>
        <v/>
      </c>
      <c r="B13328">
        <f>IF(ISNUMBER(Input!B13328),IF(AND(Input!B13328&gt;=20,Input!B13328&lt;=700),Input!B13328,""),"")</f>
        <v/>
      </c>
      <c r="C13328">
        <f>IF(B13328="","",INT(A13328))</f>
        <v/>
      </c>
      <c r="D13328">
        <f>IF(B13328="","",HOUR(A13328))</f>
        <v/>
      </c>
    </row>
    <row r="13329">
      <c r="A13329">
        <f>Input!A13329</f>
        <v/>
      </c>
      <c r="B13329">
        <f>IF(ISNUMBER(Input!B13329),IF(AND(Input!B13329&gt;=20,Input!B13329&lt;=700),Input!B13329,""),"")</f>
        <v/>
      </c>
      <c r="C13329">
        <f>IF(B13329="","",INT(A13329))</f>
        <v/>
      </c>
      <c r="D13329">
        <f>IF(B13329="","",HOUR(A13329))</f>
        <v/>
      </c>
    </row>
    <row r="13330">
      <c r="A13330">
        <f>Input!A13330</f>
        <v/>
      </c>
      <c r="B13330">
        <f>IF(ISNUMBER(Input!B13330),IF(AND(Input!B13330&gt;=20,Input!B13330&lt;=700),Input!B13330,""),"")</f>
        <v/>
      </c>
      <c r="C13330">
        <f>IF(B13330="","",INT(A13330))</f>
        <v/>
      </c>
      <c r="D13330">
        <f>IF(B13330="","",HOUR(A13330))</f>
        <v/>
      </c>
    </row>
    <row r="13331">
      <c r="A13331">
        <f>Input!A13331</f>
        <v/>
      </c>
      <c r="B13331">
        <f>IF(ISNUMBER(Input!B13331),IF(AND(Input!B13331&gt;=20,Input!B13331&lt;=700),Input!B13331,""),"")</f>
        <v/>
      </c>
      <c r="C13331">
        <f>IF(B13331="","",INT(A13331))</f>
        <v/>
      </c>
      <c r="D13331">
        <f>IF(B13331="","",HOUR(A13331))</f>
        <v/>
      </c>
    </row>
    <row r="13332">
      <c r="A13332">
        <f>Input!A13332</f>
        <v/>
      </c>
      <c r="B13332">
        <f>IF(ISNUMBER(Input!B13332),IF(AND(Input!B13332&gt;=20,Input!B13332&lt;=700),Input!B13332,""),"")</f>
        <v/>
      </c>
      <c r="C13332">
        <f>IF(B13332="","",INT(A13332))</f>
        <v/>
      </c>
      <c r="D13332">
        <f>IF(B13332="","",HOUR(A13332))</f>
        <v/>
      </c>
    </row>
    <row r="13333">
      <c r="A13333">
        <f>Input!A13333</f>
        <v/>
      </c>
      <c r="B13333">
        <f>IF(ISNUMBER(Input!B13333),IF(AND(Input!B13333&gt;=20,Input!B13333&lt;=700),Input!B13333,""),"")</f>
        <v/>
      </c>
      <c r="C13333">
        <f>IF(B13333="","",INT(A13333))</f>
        <v/>
      </c>
      <c r="D13333">
        <f>IF(B13333="","",HOUR(A13333))</f>
        <v/>
      </c>
    </row>
    <row r="13334">
      <c r="A13334">
        <f>Input!A13334</f>
        <v/>
      </c>
      <c r="B13334">
        <f>IF(ISNUMBER(Input!B13334),IF(AND(Input!B13334&gt;=20,Input!B13334&lt;=700),Input!B13334,""),"")</f>
        <v/>
      </c>
      <c r="C13334">
        <f>IF(B13334="","",INT(A13334))</f>
        <v/>
      </c>
      <c r="D13334">
        <f>IF(B13334="","",HOUR(A13334))</f>
        <v/>
      </c>
    </row>
    <row r="13335">
      <c r="A13335">
        <f>Input!A13335</f>
        <v/>
      </c>
      <c r="B13335">
        <f>IF(ISNUMBER(Input!B13335),IF(AND(Input!B13335&gt;=20,Input!B13335&lt;=700),Input!B13335,""),"")</f>
        <v/>
      </c>
      <c r="C13335">
        <f>IF(B13335="","",INT(A13335))</f>
        <v/>
      </c>
      <c r="D13335">
        <f>IF(B13335="","",HOUR(A13335))</f>
        <v/>
      </c>
    </row>
    <row r="13336">
      <c r="A13336">
        <f>Input!A13336</f>
        <v/>
      </c>
      <c r="B13336">
        <f>IF(ISNUMBER(Input!B13336),IF(AND(Input!B13336&gt;=20,Input!B13336&lt;=700),Input!B13336,""),"")</f>
        <v/>
      </c>
      <c r="C13336">
        <f>IF(B13336="","",INT(A13336))</f>
        <v/>
      </c>
      <c r="D13336">
        <f>IF(B13336="","",HOUR(A13336))</f>
        <v/>
      </c>
    </row>
    <row r="13337">
      <c r="A13337">
        <f>Input!A13337</f>
        <v/>
      </c>
      <c r="B13337">
        <f>IF(ISNUMBER(Input!B13337),IF(AND(Input!B13337&gt;=20,Input!B13337&lt;=700),Input!B13337,""),"")</f>
        <v/>
      </c>
      <c r="C13337">
        <f>IF(B13337="","",INT(A13337))</f>
        <v/>
      </c>
      <c r="D13337">
        <f>IF(B13337="","",HOUR(A13337))</f>
        <v/>
      </c>
    </row>
    <row r="13338">
      <c r="A13338">
        <f>Input!A13338</f>
        <v/>
      </c>
      <c r="B13338">
        <f>IF(ISNUMBER(Input!B13338),IF(AND(Input!B13338&gt;=20,Input!B13338&lt;=700),Input!B13338,""),"")</f>
        <v/>
      </c>
      <c r="C13338">
        <f>IF(B13338="","",INT(A13338))</f>
        <v/>
      </c>
      <c r="D13338">
        <f>IF(B13338="","",HOUR(A13338))</f>
        <v/>
      </c>
    </row>
    <row r="13339">
      <c r="A13339">
        <f>Input!A13339</f>
        <v/>
      </c>
      <c r="B13339">
        <f>IF(ISNUMBER(Input!B13339),IF(AND(Input!B13339&gt;=20,Input!B13339&lt;=700),Input!B13339,""),"")</f>
        <v/>
      </c>
      <c r="C13339">
        <f>IF(B13339="","",INT(A13339))</f>
        <v/>
      </c>
      <c r="D13339">
        <f>IF(B13339="","",HOUR(A13339))</f>
        <v/>
      </c>
    </row>
    <row r="13340">
      <c r="A13340">
        <f>Input!A13340</f>
        <v/>
      </c>
      <c r="B13340">
        <f>IF(ISNUMBER(Input!B13340),IF(AND(Input!B13340&gt;=20,Input!B13340&lt;=700),Input!B13340,""),"")</f>
        <v/>
      </c>
      <c r="C13340">
        <f>IF(B13340="","",INT(A13340))</f>
        <v/>
      </c>
      <c r="D13340">
        <f>IF(B13340="","",HOUR(A13340))</f>
        <v/>
      </c>
    </row>
    <row r="13341">
      <c r="A13341">
        <f>Input!A13341</f>
        <v/>
      </c>
      <c r="B13341">
        <f>IF(ISNUMBER(Input!B13341),IF(AND(Input!B13341&gt;=20,Input!B13341&lt;=700),Input!B13341,""),"")</f>
        <v/>
      </c>
      <c r="C13341">
        <f>IF(B13341="","",INT(A13341))</f>
        <v/>
      </c>
      <c r="D13341">
        <f>IF(B13341="","",HOUR(A13341))</f>
        <v/>
      </c>
    </row>
    <row r="13342">
      <c r="A13342">
        <f>Input!A13342</f>
        <v/>
      </c>
      <c r="B13342">
        <f>IF(ISNUMBER(Input!B13342),IF(AND(Input!B13342&gt;=20,Input!B13342&lt;=700),Input!B13342,""),"")</f>
        <v/>
      </c>
      <c r="C13342">
        <f>IF(B13342="","",INT(A13342))</f>
        <v/>
      </c>
      <c r="D13342">
        <f>IF(B13342="","",HOUR(A13342))</f>
        <v/>
      </c>
    </row>
    <row r="13343">
      <c r="A13343">
        <f>Input!A13343</f>
        <v/>
      </c>
      <c r="B13343">
        <f>IF(ISNUMBER(Input!B13343),IF(AND(Input!B13343&gt;=20,Input!B13343&lt;=700),Input!B13343,""),"")</f>
        <v/>
      </c>
      <c r="C13343">
        <f>IF(B13343="","",INT(A13343))</f>
        <v/>
      </c>
      <c r="D13343">
        <f>IF(B13343="","",HOUR(A13343))</f>
        <v/>
      </c>
    </row>
    <row r="13344">
      <c r="A13344">
        <f>Input!A13344</f>
        <v/>
      </c>
      <c r="B13344">
        <f>IF(ISNUMBER(Input!B13344),IF(AND(Input!B13344&gt;=20,Input!B13344&lt;=700),Input!B13344,""),"")</f>
        <v/>
      </c>
      <c r="C13344">
        <f>IF(B13344="","",INT(A13344))</f>
        <v/>
      </c>
      <c r="D13344">
        <f>IF(B13344="","",HOUR(A13344))</f>
        <v/>
      </c>
    </row>
    <row r="13345">
      <c r="A13345">
        <f>Input!A13345</f>
        <v/>
      </c>
      <c r="B13345">
        <f>IF(ISNUMBER(Input!B13345),IF(AND(Input!B13345&gt;=20,Input!B13345&lt;=700),Input!B13345,""),"")</f>
        <v/>
      </c>
      <c r="C13345">
        <f>IF(B13345="","",INT(A13345))</f>
        <v/>
      </c>
      <c r="D13345">
        <f>IF(B13345="","",HOUR(A13345))</f>
        <v/>
      </c>
    </row>
    <row r="13346">
      <c r="A13346">
        <f>Input!A13346</f>
        <v/>
      </c>
      <c r="B13346">
        <f>IF(ISNUMBER(Input!B13346),IF(AND(Input!B13346&gt;=20,Input!B13346&lt;=700),Input!B13346,""),"")</f>
        <v/>
      </c>
      <c r="C13346">
        <f>IF(B13346="","",INT(A13346))</f>
        <v/>
      </c>
      <c r="D13346">
        <f>IF(B13346="","",HOUR(A13346))</f>
        <v/>
      </c>
    </row>
    <row r="13347">
      <c r="A13347">
        <f>Input!A13347</f>
        <v/>
      </c>
      <c r="B13347">
        <f>IF(ISNUMBER(Input!B13347),IF(AND(Input!B13347&gt;=20,Input!B13347&lt;=700),Input!B13347,""),"")</f>
        <v/>
      </c>
      <c r="C13347">
        <f>IF(B13347="","",INT(A13347))</f>
        <v/>
      </c>
      <c r="D13347">
        <f>IF(B13347="","",HOUR(A13347))</f>
        <v/>
      </c>
    </row>
    <row r="13348">
      <c r="A13348">
        <f>Input!A13348</f>
        <v/>
      </c>
      <c r="B13348">
        <f>IF(ISNUMBER(Input!B13348),IF(AND(Input!B13348&gt;=20,Input!B13348&lt;=700),Input!B13348,""),"")</f>
        <v/>
      </c>
      <c r="C13348">
        <f>IF(B13348="","",INT(A13348))</f>
        <v/>
      </c>
      <c r="D13348">
        <f>IF(B13348="","",HOUR(A13348))</f>
        <v/>
      </c>
    </row>
    <row r="13349">
      <c r="A13349">
        <f>Input!A13349</f>
        <v/>
      </c>
      <c r="B13349">
        <f>IF(ISNUMBER(Input!B13349),IF(AND(Input!B13349&gt;=20,Input!B13349&lt;=700),Input!B13349,""),"")</f>
        <v/>
      </c>
      <c r="C13349">
        <f>IF(B13349="","",INT(A13349))</f>
        <v/>
      </c>
      <c r="D13349">
        <f>IF(B13349="","",HOUR(A13349))</f>
        <v/>
      </c>
    </row>
    <row r="13350">
      <c r="A13350">
        <f>Input!A13350</f>
        <v/>
      </c>
      <c r="B13350">
        <f>IF(ISNUMBER(Input!B13350),IF(AND(Input!B13350&gt;=20,Input!B13350&lt;=700),Input!B13350,""),"")</f>
        <v/>
      </c>
      <c r="C13350">
        <f>IF(B13350="","",INT(A13350))</f>
        <v/>
      </c>
      <c r="D13350">
        <f>IF(B13350="","",HOUR(A13350))</f>
        <v/>
      </c>
    </row>
    <row r="13351">
      <c r="A13351">
        <f>Input!A13351</f>
        <v/>
      </c>
      <c r="B13351">
        <f>IF(ISNUMBER(Input!B13351),IF(AND(Input!B13351&gt;=20,Input!B13351&lt;=700),Input!B13351,""),"")</f>
        <v/>
      </c>
      <c r="C13351">
        <f>IF(B13351="","",INT(A13351))</f>
        <v/>
      </c>
      <c r="D13351">
        <f>IF(B13351="","",HOUR(A13351))</f>
        <v/>
      </c>
    </row>
    <row r="13352">
      <c r="A13352">
        <f>Input!A13352</f>
        <v/>
      </c>
      <c r="B13352">
        <f>IF(ISNUMBER(Input!B13352),IF(AND(Input!B13352&gt;=20,Input!B13352&lt;=700),Input!B13352,""),"")</f>
        <v/>
      </c>
      <c r="C13352">
        <f>IF(B13352="","",INT(A13352))</f>
        <v/>
      </c>
      <c r="D13352">
        <f>IF(B13352="","",HOUR(A13352))</f>
        <v/>
      </c>
    </row>
    <row r="13353">
      <c r="A13353">
        <f>Input!A13353</f>
        <v/>
      </c>
      <c r="B13353">
        <f>IF(ISNUMBER(Input!B13353),IF(AND(Input!B13353&gt;=20,Input!B13353&lt;=700),Input!B13353,""),"")</f>
        <v/>
      </c>
      <c r="C13353">
        <f>IF(B13353="","",INT(A13353))</f>
        <v/>
      </c>
      <c r="D13353">
        <f>IF(B13353="","",HOUR(A13353))</f>
        <v/>
      </c>
    </row>
    <row r="13354">
      <c r="A13354">
        <f>Input!A13354</f>
        <v/>
      </c>
      <c r="B13354">
        <f>IF(ISNUMBER(Input!B13354),IF(AND(Input!B13354&gt;=20,Input!B13354&lt;=700),Input!B13354,""),"")</f>
        <v/>
      </c>
      <c r="C13354">
        <f>IF(B13354="","",INT(A13354))</f>
        <v/>
      </c>
      <c r="D13354">
        <f>IF(B13354="","",HOUR(A13354))</f>
        <v/>
      </c>
    </row>
    <row r="13355">
      <c r="A13355">
        <f>Input!A13355</f>
        <v/>
      </c>
      <c r="B13355">
        <f>IF(ISNUMBER(Input!B13355),IF(AND(Input!B13355&gt;=20,Input!B13355&lt;=700),Input!B13355,""),"")</f>
        <v/>
      </c>
      <c r="C13355">
        <f>IF(B13355="","",INT(A13355))</f>
        <v/>
      </c>
      <c r="D13355">
        <f>IF(B13355="","",HOUR(A13355))</f>
        <v/>
      </c>
    </row>
    <row r="13356">
      <c r="A13356">
        <f>Input!A13356</f>
        <v/>
      </c>
      <c r="B13356">
        <f>IF(ISNUMBER(Input!B13356),IF(AND(Input!B13356&gt;=20,Input!B13356&lt;=700),Input!B13356,""),"")</f>
        <v/>
      </c>
      <c r="C13356">
        <f>IF(B13356="","",INT(A13356))</f>
        <v/>
      </c>
      <c r="D13356">
        <f>IF(B13356="","",HOUR(A13356))</f>
        <v/>
      </c>
    </row>
    <row r="13357">
      <c r="A13357">
        <f>Input!A13357</f>
        <v/>
      </c>
      <c r="B13357">
        <f>IF(ISNUMBER(Input!B13357),IF(AND(Input!B13357&gt;=20,Input!B13357&lt;=700),Input!B13357,""),"")</f>
        <v/>
      </c>
      <c r="C13357">
        <f>IF(B13357="","",INT(A13357))</f>
        <v/>
      </c>
      <c r="D13357">
        <f>IF(B13357="","",HOUR(A13357))</f>
        <v/>
      </c>
    </row>
    <row r="13358">
      <c r="A13358">
        <f>Input!A13358</f>
        <v/>
      </c>
      <c r="B13358">
        <f>IF(ISNUMBER(Input!B13358),IF(AND(Input!B13358&gt;=20,Input!B13358&lt;=700),Input!B13358,""),"")</f>
        <v/>
      </c>
      <c r="C13358">
        <f>IF(B13358="","",INT(A13358))</f>
        <v/>
      </c>
      <c r="D13358">
        <f>IF(B13358="","",HOUR(A13358))</f>
        <v/>
      </c>
    </row>
    <row r="13359">
      <c r="A13359">
        <f>Input!A13359</f>
        <v/>
      </c>
      <c r="B13359">
        <f>IF(ISNUMBER(Input!B13359),IF(AND(Input!B13359&gt;=20,Input!B13359&lt;=700),Input!B13359,""),"")</f>
        <v/>
      </c>
      <c r="C13359">
        <f>IF(B13359="","",INT(A13359))</f>
        <v/>
      </c>
      <c r="D13359">
        <f>IF(B13359="","",HOUR(A13359))</f>
        <v/>
      </c>
    </row>
    <row r="13360">
      <c r="A13360">
        <f>Input!A13360</f>
        <v/>
      </c>
      <c r="B13360">
        <f>IF(ISNUMBER(Input!B13360),IF(AND(Input!B13360&gt;=20,Input!B13360&lt;=700),Input!B13360,""),"")</f>
        <v/>
      </c>
      <c r="C13360">
        <f>IF(B13360="","",INT(A13360))</f>
        <v/>
      </c>
      <c r="D13360">
        <f>IF(B13360="","",HOUR(A13360))</f>
        <v/>
      </c>
    </row>
    <row r="13361">
      <c r="A13361">
        <f>Input!A13361</f>
        <v/>
      </c>
      <c r="B13361">
        <f>IF(ISNUMBER(Input!B13361),IF(AND(Input!B13361&gt;=20,Input!B13361&lt;=700),Input!B13361,""),"")</f>
        <v/>
      </c>
      <c r="C13361">
        <f>IF(B13361="","",INT(A13361))</f>
        <v/>
      </c>
      <c r="D13361">
        <f>IF(B13361="","",HOUR(A13361))</f>
        <v/>
      </c>
    </row>
    <row r="13362">
      <c r="A13362">
        <f>Input!A13362</f>
        <v/>
      </c>
      <c r="B13362">
        <f>IF(ISNUMBER(Input!B13362),IF(AND(Input!B13362&gt;=20,Input!B13362&lt;=700),Input!B13362,""),"")</f>
        <v/>
      </c>
      <c r="C13362">
        <f>IF(B13362="","",INT(A13362))</f>
        <v/>
      </c>
      <c r="D13362">
        <f>IF(B13362="","",HOUR(A13362))</f>
        <v/>
      </c>
    </row>
    <row r="13363">
      <c r="A13363">
        <f>Input!A13363</f>
        <v/>
      </c>
      <c r="B13363">
        <f>IF(ISNUMBER(Input!B13363),IF(AND(Input!B13363&gt;=20,Input!B13363&lt;=700),Input!B13363,""),"")</f>
        <v/>
      </c>
      <c r="C13363">
        <f>IF(B13363="","",INT(A13363))</f>
        <v/>
      </c>
      <c r="D13363">
        <f>IF(B13363="","",HOUR(A13363))</f>
        <v/>
      </c>
    </row>
    <row r="13364">
      <c r="A13364">
        <f>Input!A13364</f>
        <v/>
      </c>
      <c r="B13364">
        <f>IF(ISNUMBER(Input!B13364),IF(AND(Input!B13364&gt;=20,Input!B13364&lt;=700),Input!B13364,""),"")</f>
        <v/>
      </c>
      <c r="C13364">
        <f>IF(B13364="","",INT(A13364))</f>
        <v/>
      </c>
      <c r="D13364">
        <f>IF(B13364="","",HOUR(A13364))</f>
        <v/>
      </c>
    </row>
    <row r="13365">
      <c r="A13365">
        <f>Input!A13365</f>
        <v/>
      </c>
      <c r="B13365">
        <f>IF(ISNUMBER(Input!B13365),IF(AND(Input!B13365&gt;=20,Input!B13365&lt;=700),Input!B13365,""),"")</f>
        <v/>
      </c>
      <c r="C13365">
        <f>IF(B13365="","",INT(A13365))</f>
        <v/>
      </c>
      <c r="D13365">
        <f>IF(B13365="","",HOUR(A13365))</f>
        <v/>
      </c>
    </row>
    <row r="13366">
      <c r="A13366">
        <f>Input!A13366</f>
        <v/>
      </c>
      <c r="B13366">
        <f>IF(ISNUMBER(Input!B13366),IF(AND(Input!B13366&gt;=20,Input!B13366&lt;=700),Input!B13366,""),"")</f>
        <v/>
      </c>
      <c r="C13366">
        <f>IF(B13366="","",INT(A13366))</f>
        <v/>
      </c>
      <c r="D13366">
        <f>IF(B13366="","",HOUR(A13366))</f>
        <v/>
      </c>
    </row>
    <row r="13367">
      <c r="A13367">
        <f>Input!A13367</f>
        <v/>
      </c>
      <c r="B13367">
        <f>IF(ISNUMBER(Input!B13367),IF(AND(Input!B13367&gt;=20,Input!B13367&lt;=700),Input!B13367,""),"")</f>
        <v/>
      </c>
      <c r="C13367">
        <f>IF(B13367="","",INT(A13367))</f>
        <v/>
      </c>
      <c r="D13367">
        <f>IF(B13367="","",HOUR(A13367))</f>
        <v/>
      </c>
    </row>
    <row r="13368">
      <c r="A13368">
        <f>Input!A13368</f>
        <v/>
      </c>
      <c r="B13368">
        <f>IF(ISNUMBER(Input!B13368),IF(AND(Input!B13368&gt;=20,Input!B13368&lt;=700),Input!B13368,""),"")</f>
        <v/>
      </c>
      <c r="C13368">
        <f>IF(B13368="","",INT(A13368))</f>
        <v/>
      </c>
      <c r="D13368">
        <f>IF(B13368="","",HOUR(A13368))</f>
        <v/>
      </c>
    </row>
    <row r="13369">
      <c r="A13369">
        <f>Input!A13369</f>
        <v/>
      </c>
      <c r="B13369">
        <f>IF(ISNUMBER(Input!B13369),IF(AND(Input!B13369&gt;=20,Input!B13369&lt;=700),Input!B13369,""),"")</f>
        <v/>
      </c>
      <c r="C13369">
        <f>IF(B13369="","",INT(A13369))</f>
        <v/>
      </c>
      <c r="D13369">
        <f>IF(B13369="","",HOUR(A13369))</f>
        <v/>
      </c>
    </row>
    <row r="13370">
      <c r="A13370">
        <f>Input!A13370</f>
        <v/>
      </c>
      <c r="B13370">
        <f>IF(ISNUMBER(Input!B13370),IF(AND(Input!B13370&gt;=20,Input!B13370&lt;=700),Input!B13370,""),"")</f>
        <v/>
      </c>
      <c r="C13370">
        <f>IF(B13370="","",INT(A13370))</f>
        <v/>
      </c>
      <c r="D13370">
        <f>IF(B13370="","",HOUR(A13370))</f>
        <v/>
      </c>
    </row>
    <row r="13371">
      <c r="A13371">
        <f>Input!A13371</f>
        <v/>
      </c>
      <c r="B13371">
        <f>IF(ISNUMBER(Input!B13371),IF(AND(Input!B13371&gt;=20,Input!B13371&lt;=700),Input!B13371,""),"")</f>
        <v/>
      </c>
      <c r="C13371">
        <f>IF(B13371="","",INT(A13371))</f>
        <v/>
      </c>
      <c r="D13371">
        <f>IF(B13371="","",HOUR(A13371))</f>
        <v/>
      </c>
    </row>
    <row r="13372">
      <c r="A13372">
        <f>Input!A13372</f>
        <v/>
      </c>
      <c r="B13372">
        <f>IF(ISNUMBER(Input!B13372),IF(AND(Input!B13372&gt;=20,Input!B13372&lt;=700),Input!B13372,""),"")</f>
        <v/>
      </c>
      <c r="C13372">
        <f>IF(B13372="","",INT(A13372))</f>
        <v/>
      </c>
      <c r="D13372">
        <f>IF(B13372="","",HOUR(A13372))</f>
        <v/>
      </c>
    </row>
    <row r="13373">
      <c r="A13373">
        <f>Input!A13373</f>
        <v/>
      </c>
      <c r="B13373">
        <f>IF(ISNUMBER(Input!B13373),IF(AND(Input!B13373&gt;=20,Input!B13373&lt;=700),Input!B13373,""),"")</f>
        <v/>
      </c>
      <c r="C13373">
        <f>IF(B13373="","",INT(A13373))</f>
        <v/>
      </c>
      <c r="D13373">
        <f>IF(B13373="","",HOUR(A13373))</f>
        <v/>
      </c>
    </row>
    <row r="13374">
      <c r="A13374">
        <f>Input!A13374</f>
        <v/>
      </c>
      <c r="B13374">
        <f>IF(ISNUMBER(Input!B13374),IF(AND(Input!B13374&gt;=20,Input!B13374&lt;=700),Input!B13374,""),"")</f>
        <v/>
      </c>
      <c r="C13374">
        <f>IF(B13374="","",INT(A13374))</f>
        <v/>
      </c>
      <c r="D13374">
        <f>IF(B13374="","",HOUR(A13374))</f>
        <v/>
      </c>
    </row>
    <row r="13375">
      <c r="A13375">
        <f>Input!A13375</f>
        <v/>
      </c>
      <c r="B13375">
        <f>IF(ISNUMBER(Input!B13375),IF(AND(Input!B13375&gt;=20,Input!B13375&lt;=700),Input!B13375,""),"")</f>
        <v/>
      </c>
      <c r="C13375">
        <f>IF(B13375="","",INT(A13375))</f>
        <v/>
      </c>
      <c r="D13375">
        <f>IF(B13375="","",HOUR(A13375))</f>
        <v/>
      </c>
    </row>
    <row r="13376">
      <c r="A13376">
        <f>Input!A13376</f>
        <v/>
      </c>
      <c r="B13376">
        <f>IF(ISNUMBER(Input!B13376),IF(AND(Input!B13376&gt;=20,Input!B13376&lt;=700),Input!B13376,""),"")</f>
        <v/>
      </c>
      <c r="C13376">
        <f>IF(B13376="","",INT(A13376))</f>
        <v/>
      </c>
      <c r="D13376">
        <f>IF(B13376="","",HOUR(A13376))</f>
        <v/>
      </c>
    </row>
    <row r="13377">
      <c r="A13377">
        <f>Input!A13377</f>
        <v/>
      </c>
      <c r="B13377">
        <f>IF(ISNUMBER(Input!B13377),IF(AND(Input!B13377&gt;=20,Input!B13377&lt;=700),Input!B13377,""),"")</f>
        <v/>
      </c>
      <c r="C13377">
        <f>IF(B13377="","",INT(A13377))</f>
        <v/>
      </c>
      <c r="D13377">
        <f>IF(B13377="","",HOUR(A13377))</f>
        <v/>
      </c>
    </row>
    <row r="13378">
      <c r="A13378">
        <f>Input!A13378</f>
        <v/>
      </c>
      <c r="B13378">
        <f>IF(ISNUMBER(Input!B13378),IF(AND(Input!B13378&gt;=20,Input!B13378&lt;=700),Input!B13378,""),"")</f>
        <v/>
      </c>
      <c r="C13378">
        <f>IF(B13378="","",INT(A13378))</f>
        <v/>
      </c>
      <c r="D13378">
        <f>IF(B13378="","",HOUR(A13378))</f>
        <v/>
      </c>
    </row>
    <row r="13379">
      <c r="A13379">
        <f>Input!A13379</f>
        <v/>
      </c>
      <c r="B13379">
        <f>IF(ISNUMBER(Input!B13379),IF(AND(Input!B13379&gt;=20,Input!B13379&lt;=700),Input!B13379,""),"")</f>
        <v/>
      </c>
      <c r="C13379">
        <f>IF(B13379="","",INT(A13379))</f>
        <v/>
      </c>
      <c r="D13379">
        <f>IF(B13379="","",HOUR(A13379))</f>
        <v/>
      </c>
    </row>
    <row r="13380">
      <c r="A13380">
        <f>Input!A13380</f>
        <v/>
      </c>
      <c r="B13380">
        <f>IF(ISNUMBER(Input!B13380),IF(AND(Input!B13380&gt;=20,Input!B13380&lt;=700),Input!B13380,""),"")</f>
        <v/>
      </c>
      <c r="C13380">
        <f>IF(B13380="","",INT(A13380))</f>
        <v/>
      </c>
      <c r="D13380">
        <f>IF(B13380="","",HOUR(A13380))</f>
        <v/>
      </c>
    </row>
    <row r="13381">
      <c r="A13381">
        <f>Input!A13381</f>
        <v/>
      </c>
      <c r="B13381">
        <f>IF(ISNUMBER(Input!B13381),IF(AND(Input!B13381&gt;=20,Input!B13381&lt;=700),Input!B13381,""),"")</f>
        <v/>
      </c>
      <c r="C13381">
        <f>IF(B13381="","",INT(A13381))</f>
        <v/>
      </c>
      <c r="D13381">
        <f>IF(B13381="","",HOUR(A13381))</f>
        <v/>
      </c>
    </row>
    <row r="13382">
      <c r="A13382">
        <f>Input!A13382</f>
        <v/>
      </c>
      <c r="B13382">
        <f>IF(ISNUMBER(Input!B13382),IF(AND(Input!B13382&gt;=20,Input!B13382&lt;=700),Input!B13382,""),"")</f>
        <v/>
      </c>
      <c r="C13382">
        <f>IF(B13382="","",INT(A13382))</f>
        <v/>
      </c>
      <c r="D13382">
        <f>IF(B13382="","",HOUR(A13382))</f>
        <v/>
      </c>
    </row>
    <row r="13383">
      <c r="A13383">
        <f>Input!A13383</f>
        <v/>
      </c>
      <c r="B13383">
        <f>IF(ISNUMBER(Input!B13383),IF(AND(Input!B13383&gt;=20,Input!B13383&lt;=700),Input!B13383,""),"")</f>
        <v/>
      </c>
      <c r="C13383">
        <f>IF(B13383="","",INT(A13383))</f>
        <v/>
      </c>
      <c r="D13383">
        <f>IF(B13383="","",HOUR(A13383))</f>
        <v/>
      </c>
    </row>
    <row r="13384">
      <c r="A13384">
        <f>Input!A13384</f>
        <v/>
      </c>
      <c r="B13384">
        <f>IF(ISNUMBER(Input!B13384),IF(AND(Input!B13384&gt;=20,Input!B13384&lt;=700),Input!B13384,""),"")</f>
        <v/>
      </c>
      <c r="C13384">
        <f>IF(B13384="","",INT(A13384))</f>
        <v/>
      </c>
      <c r="D13384">
        <f>IF(B13384="","",HOUR(A13384))</f>
        <v/>
      </c>
    </row>
    <row r="13385">
      <c r="A13385">
        <f>Input!A13385</f>
        <v/>
      </c>
      <c r="B13385">
        <f>IF(ISNUMBER(Input!B13385),IF(AND(Input!B13385&gt;=20,Input!B13385&lt;=700),Input!B13385,""),"")</f>
        <v/>
      </c>
      <c r="C13385">
        <f>IF(B13385="","",INT(A13385))</f>
        <v/>
      </c>
      <c r="D13385">
        <f>IF(B13385="","",HOUR(A13385))</f>
        <v/>
      </c>
    </row>
    <row r="13386">
      <c r="A13386">
        <f>Input!A13386</f>
        <v/>
      </c>
      <c r="B13386">
        <f>IF(ISNUMBER(Input!B13386),IF(AND(Input!B13386&gt;=20,Input!B13386&lt;=700),Input!B13386,""),"")</f>
        <v/>
      </c>
      <c r="C13386">
        <f>IF(B13386="","",INT(A13386))</f>
        <v/>
      </c>
      <c r="D13386">
        <f>IF(B13386="","",HOUR(A13386))</f>
        <v/>
      </c>
    </row>
    <row r="13387">
      <c r="A13387">
        <f>Input!A13387</f>
        <v/>
      </c>
      <c r="B13387">
        <f>IF(ISNUMBER(Input!B13387),IF(AND(Input!B13387&gt;=20,Input!B13387&lt;=700),Input!B13387,""),"")</f>
        <v/>
      </c>
      <c r="C13387">
        <f>IF(B13387="","",INT(A13387))</f>
        <v/>
      </c>
      <c r="D13387">
        <f>IF(B13387="","",HOUR(A13387))</f>
        <v/>
      </c>
    </row>
    <row r="13388">
      <c r="A13388">
        <f>Input!A13388</f>
        <v/>
      </c>
      <c r="B13388">
        <f>IF(ISNUMBER(Input!B13388),IF(AND(Input!B13388&gt;=20,Input!B13388&lt;=700),Input!B13388,""),"")</f>
        <v/>
      </c>
      <c r="C13388">
        <f>IF(B13388="","",INT(A13388))</f>
        <v/>
      </c>
      <c r="D13388">
        <f>IF(B13388="","",HOUR(A13388))</f>
        <v/>
      </c>
    </row>
    <row r="13389">
      <c r="A13389">
        <f>Input!A13389</f>
        <v/>
      </c>
      <c r="B13389">
        <f>IF(ISNUMBER(Input!B13389),IF(AND(Input!B13389&gt;=20,Input!B13389&lt;=700),Input!B13389,""),"")</f>
        <v/>
      </c>
      <c r="C13389">
        <f>IF(B13389="","",INT(A13389))</f>
        <v/>
      </c>
      <c r="D13389">
        <f>IF(B13389="","",HOUR(A13389))</f>
        <v/>
      </c>
    </row>
    <row r="13390">
      <c r="A13390">
        <f>Input!A13390</f>
        <v/>
      </c>
      <c r="B13390">
        <f>IF(ISNUMBER(Input!B13390),IF(AND(Input!B13390&gt;=20,Input!B13390&lt;=700),Input!B13390,""),"")</f>
        <v/>
      </c>
      <c r="C13390">
        <f>IF(B13390="","",INT(A13390))</f>
        <v/>
      </c>
      <c r="D13390">
        <f>IF(B13390="","",HOUR(A13390))</f>
        <v/>
      </c>
    </row>
    <row r="13391">
      <c r="A13391">
        <f>Input!A13391</f>
        <v/>
      </c>
      <c r="B13391">
        <f>IF(ISNUMBER(Input!B13391),IF(AND(Input!B13391&gt;=20,Input!B13391&lt;=700),Input!B13391,""),"")</f>
        <v/>
      </c>
      <c r="C13391">
        <f>IF(B13391="","",INT(A13391))</f>
        <v/>
      </c>
      <c r="D13391">
        <f>IF(B13391="","",HOUR(A13391))</f>
        <v/>
      </c>
    </row>
    <row r="13392">
      <c r="A13392">
        <f>Input!A13392</f>
        <v/>
      </c>
      <c r="B13392">
        <f>IF(ISNUMBER(Input!B13392),IF(AND(Input!B13392&gt;=20,Input!B13392&lt;=700),Input!B13392,""),"")</f>
        <v/>
      </c>
      <c r="C13392">
        <f>IF(B13392="","",INT(A13392))</f>
        <v/>
      </c>
      <c r="D13392">
        <f>IF(B13392="","",HOUR(A13392))</f>
        <v/>
      </c>
    </row>
    <row r="13393">
      <c r="A13393">
        <f>Input!A13393</f>
        <v/>
      </c>
      <c r="B13393">
        <f>IF(ISNUMBER(Input!B13393),IF(AND(Input!B13393&gt;=20,Input!B13393&lt;=700),Input!B13393,""),"")</f>
        <v/>
      </c>
      <c r="C13393">
        <f>IF(B13393="","",INT(A13393))</f>
        <v/>
      </c>
      <c r="D13393">
        <f>IF(B13393="","",HOUR(A13393))</f>
        <v/>
      </c>
    </row>
    <row r="13394">
      <c r="A13394">
        <f>Input!A13394</f>
        <v/>
      </c>
      <c r="B13394">
        <f>IF(ISNUMBER(Input!B13394),IF(AND(Input!B13394&gt;=20,Input!B13394&lt;=700),Input!B13394,""),"")</f>
        <v/>
      </c>
      <c r="C13394">
        <f>IF(B13394="","",INT(A13394))</f>
        <v/>
      </c>
      <c r="D13394">
        <f>IF(B13394="","",HOUR(A13394))</f>
        <v/>
      </c>
    </row>
    <row r="13395">
      <c r="A13395">
        <f>Input!A13395</f>
        <v/>
      </c>
      <c r="B13395">
        <f>IF(ISNUMBER(Input!B13395),IF(AND(Input!B13395&gt;=20,Input!B13395&lt;=700),Input!B13395,""),"")</f>
        <v/>
      </c>
      <c r="C13395">
        <f>IF(B13395="","",INT(A13395))</f>
        <v/>
      </c>
      <c r="D13395">
        <f>IF(B13395="","",HOUR(A13395))</f>
        <v/>
      </c>
    </row>
    <row r="13396">
      <c r="A13396">
        <f>Input!A13396</f>
        <v/>
      </c>
      <c r="B13396">
        <f>IF(ISNUMBER(Input!B13396),IF(AND(Input!B13396&gt;=20,Input!B13396&lt;=700),Input!B13396,""),"")</f>
        <v/>
      </c>
      <c r="C13396">
        <f>IF(B13396="","",INT(A13396))</f>
        <v/>
      </c>
      <c r="D13396">
        <f>IF(B13396="","",HOUR(A13396))</f>
        <v/>
      </c>
    </row>
    <row r="13397">
      <c r="A13397">
        <f>Input!A13397</f>
        <v/>
      </c>
      <c r="B13397">
        <f>IF(ISNUMBER(Input!B13397),IF(AND(Input!B13397&gt;=20,Input!B13397&lt;=700),Input!B13397,""),"")</f>
        <v/>
      </c>
      <c r="C13397">
        <f>IF(B13397="","",INT(A13397))</f>
        <v/>
      </c>
      <c r="D13397">
        <f>IF(B13397="","",HOUR(A13397))</f>
        <v/>
      </c>
    </row>
    <row r="13398">
      <c r="A13398">
        <f>Input!A13398</f>
        <v/>
      </c>
      <c r="B13398">
        <f>IF(ISNUMBER(Input!B13398),IF(AND(Input!B13398&gt;=20,Input!B13398&lt;=700),Input!B13398,""),"")</f>
        <v/>
      </c>
      <c r="C13398">
        <f>IF(B13398="","",INT(A13398))</f>
        <v/>
      </c>
      <c r="D13398">
        <f>IF(B13398="","",HOUR(A13398))</f>
        <v/>
      </c>
    </row>
    <row r="13399">
      <c r="A13399">
        <f>Input!A13399</f>
        <v/>
      </c>
      <c r="B13399">
        <f>IF(ISNUMBER(Input!B13399),IF(AND(Input!B13399&gt;=20,Input!B13399&lt;=700),Input!B13399,""),"")</f>
        <v/>
      </c>
      <c r="C13399">
        <f>IF(B13399="","",INT(A13399))</f>
        <v/>
      </c>
      <c r="D13399">
        <f>IF(B13399="","",HOUR(A13399))</f>
        <v/>
      </c>
    </row>
    <row r="13400">
      <c r="A13400">
        <f>Input!A13400</f>
        <v/>
      </c>
      <c r="B13400">
        <f>IF(ISNUMBER(Input!B13400),IF(AND(Input!B13400&gt;=20,Input!B13400&lt;=700),Input!B13400,""),"")</f>
        <v/>
      </c>
      <c r="C13400">
        <f>IF(B13400="","",INT(A13400))</f>
        <v/>
      </c>
      <c r="D13400">
        <f>IF(B13400="","",HOUR(A13400))</f>
        <v/>
      </c>
    </row>
    <row r="13401">
      <c r="A13401">
        <f>Input!A13401</f>
        <v/>
      </c>
      <c r="B13401">
        <f>IF(ISNUMBER(Input!B13401),IF(AND(Input!B13401&gt;=20,Input!B13401&lt;=700),Input!B13401,""),"")</f>
        <v/>
      </c>
      <c r="C13401">
        <f>IF(B13401="","",INT(A13401))</f>
        <v/>
      </c>
      <c r="D13401">
        <f>IF(B13401="","",HOUR(A13401))</f>
        <v/>
      </c>
    </row>
    <row r="13402">
      <c r="A13402">
        <f>Input!A13402</f>
        <v/>
      </c>
      <c r="B13402">
        <f>IF(ISNUMBER(Input!B13402),IF(AND(Input!B13402&gt;=20,Input!B13402&lt;=700),Input!B13402,""),"")</f>
        <v/>
      </c>
      <c r="C13402">
        <f>IF(B13402="","",INT(A13402))</f>
        <v/>
      </c>
      <c r="D13402">
        <f>IF(B13402="","",HOUR(A13402))</f>
        <v/>
      </c>
    </row>
    <row r="13403">
      <c r="A13403">
        <f>Input!A13403</f>
        <v/>
      </c>
      <c r="B13403">
        <f>IF(ISNUMBER(Input!B13403),IF(AND(Input!B13403&gt;=20,Input!B13403&lt;=700),Input!B13403,""),"")</f>
        <v/>
      </c>
      <c r="C13403">
        <f>IF(B13403="","",INT(A13403))</f>
        <v/>
      </c>
      <c r="D13403">
        <f>IF(B13403="","",HOUR(A13403))</f>
        <v/>
      </c>
    </row>
    <row r="13404">
      <c r="A13404">
        <f>Input!A13404</f>
        <v/>
      </c>
      <c r="B13404">
        <f>IF(ISNUMBER(Input!B13404),IF(AND(Input!B13404&gt;=20,Input!B13404&lt;=700),Input!B13404,""),"")</f>
        <v/>
      </c>
      <c r="C13404">
        <f>IF(B13404="","",INT(A13404))</f>
        <v/>
      </c>
      <c r="D13404">
        <f>IF(B13404="","",HOUR(A13404))</f>
        <v/>
      </c>
    </row>
    <row r="13405">
      <c r="A13405">
        <f>Input!A13405</f>
        <v/>
      </c>
      <c r="B13405">
        <f>IF(ISNUMBER(Input!B13405),IF(AND(Input!B13405&gt;=20,Input!B13405&lt;=700),Input!B13405,""),"")</f>
        <v/>
      </c>
      <c r="C13405">
        <f>IF(B13405="","",INT(A13405))</f>
        <v/>
      </c>
      <c r="D13405">
        <f>IF(B13405="","",HOUR(A13405))</f>
        <v/>
      </c>
    </row>
    <row r="13406">
      <c r="A13406">
        <f>Input!A13406</f>
        <v/>
      </c>
      <c r="B13406">
        <f>IF(ISNUMBER(Input!B13406),IF(AND(Input!B13406&gt;=20,Input!B13406&lt;=700),Input!B13406,""),"")</f>
        <v/>
      </c>
      <c r="C13406">
        <f>IF(B13406="","",INT(A13406))</f>
        <v/>
      </c>
      <c r="D13406">
        <f>IF(B13406="","",HOUR(A13406))</f>
        <v/>
      </c>
    </row>
    <row r="13407">
      <c r="A13407">
        <f>Input!A13407</f>
        <v/>
      </c>
      <c r="B13407">
        <f>IF(ISNUMBER(Input!B13407),IF(AND(Input!B13407&gt;=20,Input!B13407&lt;=700),Input!B13407,""),"")</f>
        <v/>
      </c>
      <c r="C13407">
        <f>IF(B13407="","",INT(A13407))</f>
        <v/>
      </c>
      <c r="D13407">
        <f>IF(B13407="","",HOUR(A13407))</f>
        <v/>
      </c>
    </row>
    <row r="13408">
      <c r="A13408">
        <f>Input!A13408</f>
        <v/>
      </c>
      <c r="B13408">
        <f>IF(ISNUMBER(Input!B13408),IF(AND(Input!B13408&gt;=20,Input!B13408&lt;=700),Input!B13408,""),"")</f>
        <v/>
      </c>
      <c r="C13408">
        <f>IF(B13408="","",INT(A13408))</f>
        <v/>
      </c>
      <c r="D13408">
        <f>IF(B13408="","",HOUR(A13408))</f>
        <v/>
      </c>
    </row>
    <row r="13409">
      <c r="A13409">
        <f>Input!A13409</f>
        <v/>
      </c>
      <c r="B13409">
        <f>IF(ISNUMBER(Input!B13409),IF(AND(Input!B13409&gt;=20,Input!B13409&lt;=700),Input!B13409,""),"")</f>
        <v/>
      </c>
      <c r="C13409">
        <f>IF(B13409="","",INT(A13409))</f>
        <v/>
      </c>
      <c r="D13409">
        <f>IF(B13409="","",HOUR(A13409))</f>
        <v/>
      </c>
    </row>
    <row r="13410">
      <c r="A13410">
        <f>Input!A13410</f>
        <v/>
      </c>
      <c r="B13410">
        <f>IF(ISNUMBER(Input!B13410),IF(AND(Input!B13410&gt;=20,Input!B13410&lt;=700),Input!B13410,""),"")</f>
        <v/>
      </c>
      <c r="C13410">
        <f>IF(B13410="","",INT(A13410))</f>
        <v/>
      </c>
      <c r="D13410">
        <f>IF(B13410="","",HOUR(A13410))</f>
        <v/>
      </c>
    </row>
    <row r="13411">
      <c r="A13411">
        <f>Input!A13411</f>
        <v/>
      </c>
      <c r="B13411">
        <f>IF(ISNUMBER(Input!B13411),IF(AND(Input!B13411&gt;=20,Input!B13411&lt;=700),Input!B13411,""),"")</f>
        <v/>
      </c>
      <c r="C13411">
        <f>IF(B13411="","",INT(A13411))</f>
        <v/>
      </c>
      <c r="D13411">
        <f>IF(B13411="","",HOUR(A13411))</f>
        <v/>
      </c>
    </row>
    <row r="13412">
      <c r="A13412">
        <f>Input!A13412</f>
        <v/>
      </c>
      <c r="B13412">
        <f>IF(ISNUMBER(Input!B13412),IF(AND(Input!B13412&gt;=20,Input!B13412&lt;=700),Input!B13412,""),"")</f>
        <v/>
      </c>
      <c r="C13412">
        <f>IF(B13412="","",INT(A13412))</f>
        <v/>
      </c>
      <c r="D13412">
        <f>IF(B13412="","",HOUR(A13412))</f>
        <v/>
      </c>
    </row>
    <row r="13413">
      <c r="A13413">
        <f>Input!A13413</f>
        <v/>
      </c>
      <c r="B13413">
        <f>IF(ISNUMBER(Input!B13413),IF(AND(Input!B13413&gt;=20,Input!B13413&lt;=700),Input!B13413,""),"")</f>
        <v/>
      </c>
      <c r="C13413">
        <f>IF(B13413="","",INT(A13413))</f>
        <v/>
      </c>
      <c r="D13413">
        <f>IF(B13413="","",HOUR(A13413))</f>
        <v/>
      </c>
    </row>
    <row r="13414">
      <c r="A13414">
        <f>Input!A13414</f>
        <v/>
      </c>
      <c r="B13414">
        <f>IF(ISNUMBER(Input!B13414),IF(AND(Input!B13414&gt;=20,Input!B13414&lt;=700),Input!B13414,""),"")</f>
        <v/>
      </c>
      <c r="C13414">
        <f>IF(B13414="","",INT(A13414))</f>
        <v/>
      </c>
      <c r="D13414">
        <f>IF(B13414="","",HOUR(A13414))</f>
        <v/>
      </c>
    </row>
    <row r="13415">
      <c r="A13415">
        <f>Input!A13415</f>
        <v/>
      </c>
      <c r="B13415">
        <f>IF(ISNUMBER(Input!B13415),IF(AND(Input!B13415&gt;=20,Input!B13415&lt;=700),Input!B13415,""),"")</f>
        <v/>
      </c>
      <c r="C13415">
        <f>IF(B13415="","",INT(A13415))</f>
        <v/>
      </c>
      <c r="D13415">
        <f>IF(B13415="","",HOUR(A13415))</f>
        <v/>
      </c>
    </row>
    <row r="13416">
      <c r="A13416">
        <f>Input!A13416</f>
        <v/>
      </c>
      <c r="B13416">
        <f>IF(ISNUMBER(Input!B13416),IF(AND(Input!B13416&gt;=20,Input!B13416&lt;=700),Input!B13416,""),"")</f>
        <v/>
      </c>
      <c r="C13416">
        <f>IF(B13416="","",INT(A13416))</f>
        <v/>
      </c>
      <c r="D13416">
        <f>IF(B13416="","",HOUR(A13416))</f>
        <v/>
      </c>
    </row>
    <row r="13417">
      <c r="A13417">
        <f>Input!A13417</f>
        <v/>
      </c>
      <c r="B13417">
        <f>IF(ISNUMBER(Input!B13417),IF(AND(Input!B13417&gt;=20,Input!B13417&lt;=700),Input!B13417,""),"")</f>
        <v/>
      </c>
      <c r="C13417">
        <f>IF(B13417="","",INT(A13417))</f>
        <v/>
      </c>
      <c r="D13417">
        <f>IF(B13417="","",HOUR(A13417))</f>
        <v/>
      </c>
    </row>
    <row r="13418">
      <c r="A13418">
        <f>Input!A13418</f>
        <v/>
      </c>
      <c r="B13418">
        <f>IF(ISNUMBER(Input!B13418),IF(AND(Input!B13418&gt;=20,Input!B13418&lt;=700),Input!B13418,""),"")</f>
        <v/>
      </c>
      <c r="C13418">
        <f>IF(B13418="","",INT(A13418))</f>
        <v/>
      </c>
      <c r="D13418">
        <f>IF(B13418="","",HOUR(A13418))</f>
        <v/>
      </c>
    </row>
    <row r="13419">
      <c r="A13419">
        <f>Input!A13419</f>
        <v/>
      </c>
      <c r="B13419">
        <f>IF(ISNUMBER(Input!B13419),IF(AND(Input!B13419&gt;=20,Input!B13419&lt;=700),Input!B13419,""),"")</f>
        <v/>
      </c>
      <c r="C13419">
        <f>IF(B13419="","",INT(A13419))</f>
        <v/>
      </c>
      <c r="D13419">
        <f>IF(B13419="","",HOUR(A13419))</f>
        <v/>
      </c>
    </row>
    <row r="13420">
      <c r="A13420">
        <f>Input!A13420</f>
        <v/>
      </c>
      <c r="B13420">
        <f>IF(ISNUMBER(Input!B13420),IF(AND(Input!B13420&gt;=20,Input!B13420&lt;=700),Input!B13420,""),"")</f>
        <v/>
      </c>
      <c r="C13420">
        <f>IF(B13420="","",INT(A13420))</f>
        <v/>
      </c>
      <c r="D13420">
        <f>IF(B13420="","",HOUR(A13420))</f>
        <v/>
      </c>
    </row>
    <row r="13421">
      <c r="A13421">
        <f>Input!A13421</f>
        <v/>
      </c>
      <c r="B13421">
        <f>IF(ISNUMBER(Input!B13421),IF(AND(Input!B13421&gt;=20,Input!B13421&lt;=700),Input!B13421,""),"")</f>
        <v/>
      </c>
      <c r="C13421">
        <f>IF(B13421="","",INT(A13421))</f>
        <v/>
      </c>
      <c r="D13421">
        <f>IF(B13421="","",HOUR(A13421))</f>
        <v/>
      </c>
    </row>
    <row r="13422">
      <c r="A13422">
        <f>Input!A13422</f>
        <v/>
      </c>
      <c r="B13422">
        <f>IF(ISNUMBER(Input!B13422),IF(AND(Input!B13422&gt;=20,Input!B13422&lt;=700),Input!B13422,""),"")</f>
        <v/>
      </c>
      <c r="C13422">
        <f>IF(B13422="","",INT(A13422))</f>
        <v/>
      </c>
      <c r="D13422">
        <f>IF(B13422="","",HOUR(A13422))</f>
        <v/>
      </c>
    </row>
    <row r="13423">
      <c r="A13423">
        <f>Input!A13423</f>
        <v/>
      </c>
      <c r="B13423">
        <f>IF(ISNUMBER(Input!B13423),IF(AND(Input!B13423&gt;=20,Input!B13423&lt;=700),Input!B13423,""),"")</f>
        <v/>
      </c>
      <c r="C13423">
        <f>IF(B13423="","",INT(A13423))</f>
        <v/>
      </c>
      <c r="D13423">
        <f>IF(B13423="","",HOUR(A13423))</f>
        <v/>
      </c>
    </row>
    <row r="13424">
      <c r="A13424">
        <f>Input!A13424</f>
        <v/>
      </c>
      <c r="B13424">
        <f>IF(ISNUMBER(Input!B13424),IF(AND(Input!B13424&gt;=20,Input!B13424&lt;=700),Input!B13424,""),"")</f>
        <v/>
      </c>
      <c r="C13424">
        <f>IF(B13424="","",INT(A13424))</f>
        <v/>
      </c>
      <c r="D13424">
        <f>IF(B13424="","",HOUR(A13424))</f>
        <v/>
      </c>
    </row>
    <row r="13425">
      <c r="A13425">
        <f>Input!A13425</f>
        <v/>
      </c>
      <c r="B13425">
        <f>IF(ISNUMBER(Input!B13425),IF(AND(Input!B13425&gt;=20,Input!B13425&lt;=700),Input!B13425,""),"")</f>
        <v/>
      </c>
      <c r="C13425">
        <f>IF(B13425="","",INT(A13425))</f>
        <v/>
      </c>
      <c r="D13425">
        <f>IF(B13425="","",HOUR(A13425))</f>
        <v/>
      </c>
    </row>
    <row r="13426">
      <c r="A13426">
        <f>Input!A13426</f>
        <v/>
      </c>
      <c r="B13426">
        <f>IF(ISNUMBER(Input!B13426),IF(AND(Input!B13426&gt;=20,Input!B13426&lt;=700),Input!B13426,""),"")</f>
        <v/>
      </c>
      <c r="C13426">
        <f>IF(B13426="","",INT(A13426))</f>
        <v/>
      </c>
      <c r="D13426">
        <f>IF(B13426="","",HOUR(A13426))</f>
        <v/>
      </c>
    </row>
    <row r="13427">
      <c r="A13427">
        <f>Input!A13427</f>
        <v/>
      </c>
      <c r="B13427">
        <f>IF(ISNUMBER(Input!B13427),IF(AND(Input!B13427&gt;=20,Input!B13427&lt;=700),Input!B13427,""),"")</f>
        <v/>
      </c>
      <c r="C13427">
        <f>IF(B13427="","",INT(A13427))</f>
        <v/>
      </c>
      <c r="D13427">
        <f>IF(B13427="","",HOUR(A13427))</f>
        <v/>
      </c>
    </row>
    <row r="13428">
      <c r="A13428">
        <f>Input!A13428</f>
        <v/>
      </c>
      <c r="B13428">
        <f>IF(ISNUMBER(Input!B13428),IF(AND(Input!B13428&gt;=20,Input!B13428&lt;=700),Input!B13428,""),"")</f>
        <v/>
      </c>
      <c r="C13428">
        <f>IF(B13428="","",INT(A13428))</f>
        <v/>
      </c>
      <c r="D13428">
        <f>IF(B13428="","",HOUR(A13428))</f>
        <v/>
      </c>
    </row>
    <row r="13429">
      <c r="A13429">
        <f>Input!A13429</f>
        <v/>
      </c>
      <c r="B13429">
        <f>IF(ISNUMBER(Input!B13429),IF(AND(Input!B13429&gt;=20,Input!B13429&lt;=700),Input!B13429,""),"")</f>
        <v/>
      </c>
      <c r="C13429">
        <f>IF(B13429="","",INT(A13429))</f>
        <v/>
      </c>
      <c r="D13429">
        <f>IF(B13429="","",HOUR(A13429))</f>
        <v/>
      </c>
    </row>
    <row r="13430">
      <c r="A13430">
        <f>Input!A13430</f>
        <v/>
      </c>
      <c r="B13430">
        <f>IF(ISNUMBER(Input!B13430),IF(AND(Input!B13430&gt;=20,Input!B13430&lt;=700),Input!B13430,""),"")</f>
        <v/>
      </c>
      <c r="C13430">
        <f>IF(B13430="","",INT(A13430))</f>
        <v/>
      </c>
      <c r="D13430">
        <f>IF(B13430="","",HOUR(A13430))</f>
        <v/>
      </c>
    </row>
    <row r="13431">
      <c r="A13431">
        <f>Input!A13431</f>
        <v/>
      </c>
      <c r="B13431">
        <f>IF(ISNUMBER(Input!B13431),IF(AND(Input!B13431&gt;=20,Input!B13431&lt;=700),Input!B13431,""),"")</f>
        <v/>
      </c>
      <c r="C13431">
        <f>IF(B13431="","",INT(A13431))</f>
        <v/>
      </c>
      <c r="D13431">
        <f>IF(B13431="","",HOUR(A13431))</f>
        <v/>
      </c>
    </row>
    <row r="13432">
      <c r="A13432">
        <f>Input!A13432</f>
        <v/>
      </c>
      <c r="B13432">
        <f>IF(ISNUMBER(Input!B13432),IF(AND(Input!B13432&gt;=20,Input!B13432&lt;=700),Input!B13432,""),"")</f>
        <v/>
      </c>
      <c r="C13432">
        <f>IF(B13432="","",INT(A13432))</f>
        <v/>
      </c>
      <c r="D13432">
        <f>IF(B13432="","",HOUR(A13432))</f>
        <v/>
      </c>
    </row>
    <row r="13433">
      <c r="A13433">
        <f>Input!A13433</f>
        <v/>
      </c>
      <c r="B13433">
        <f>IF(ISNUMBER(Input!B13433),IF(AND(Input!B13433&gt;=20,Input!B13433&lt;=700),Input!B13433,""),"")</f>
        <v/>
      </c>
      <c r="C13433">
        <f>IF(B13433="","",INT(A13433))</f>
        <v/>
      </c>
      <c r="D13433">
        <f>IF(B13433="","",HOUR(A13433))</f>
        <v/>
      </c>
    </row>
    <row r="13434">
      <c r="A13434">
        <f>Input!A13434</f>
        <v/>
      </c>
      <c r="B13434">
        <f>IF(ISNUMBER(Input!B13434),IF(AND(Input!B13434&gt;=20,Input!B13434&lt;=700),Input!B13434,""),"")</f>
        <v/>
      </c>
      <c r="C13434">
        <f>IF(B13434="","",INT(A13434))</f>
        <v/>
      </c>
      <c r="D13434">
        <f>IF(B13434="","",HOUR(A13434))</f>
        <v/>
      </c>
    </row>
    <row r="13435">
      <c r="A13435">
        <f>Input!A13435</f>
        <v/>
      </c>
      <c r="B13435">
        <f>IF(ISNUMBER(Input!B13435),IF(AND(Input!B13435&gt;=20,Input!B13435&lt;=700),Input!B13435,""),"")</f>
        <v/>
      </c>
      <c r="C13435">
        <f>IF(B13435="","",INT(A13435))</f>
        <v/>
      </c>
      <c r="D13435">
        <f>IF(B13435="","",HOUR(A13435))</f>
        <v/>
      </c>
    </row>
    <row r="13436">
      <c r="A13436">
        <f>Input!A13436</f>
        <v/>
      </c>
      <c r="B13436">
        <f>IF(ISNUMBER(Input!B13436),IF(AND(Input!B13436&gt;=20,Input!B13436&lt;=700),Input!B13436,""),"")</f>
        <v/>
      </c>
      <c r="C13436">
        <f>IF(B13436="","",INT(A13436))</f>
        <v/>
      </c>
      <c r="D13436">
        <f>IF(B13436="","",HOUR(A13436))</f>
        <v/>
      </c>
    </row>
    <row r="13437">
      <c r="A13437">
        <f>Input!A13437</f>
        <v/>
      </c>
      <c r="B13437">
        <f>IF(ISNUMBER(Input!B13437),IF(AND(Input!B13437&gt;=20,Input!B13437&lt;=700),Input!B13437,""),"")</f>
        <v/>
      </c>
      <c r="C13437">
        <f>IF(B13437="","",INT(A13437))</f>
        <v/>
      </c>
      <c r="D13437">
        <f>IF(B13437="","",HOUR(A13437))</f>
        <v/>
      </c>
    </row>
    <row r="13438">
      <c r="A13438">
        <f>Input!A13438</f>
        <v/>
      </c>
      <c r="B13438">
        <f>IF(ISNUMBER(Input!B13438),IF(AND(Input!B13438&gt;=20,Input!B13438&lt;=700),Input!B13438,""),"")</f>
        <v/>
      </c>
      <c r="C13438">
        <f>IF(B13438="","",INT(A13438))</f>
        <v/>
      </c>
      <c r="D13438">
        <f>IF(B13438="","",HOUR(A13438))</f>
        <v/>
      </c>
    </row>
    <row r="13439">
      <c r="A13439">
        <f>Input!A13439</f>
        <v/>
      </c>
      <c r="B13439">
        <f>IF(ISNUMBER(Input!B13439),IF(AND(Input!B13439&gt;=20,Input!B13439&lt;=700),Input!B13439,""),"")</f>
        <v/>
      </c>
      <c r="C13439">
        <f>IF(B13439="","",INT(A13439))</f>
        <v/>
      </c>
      <c r="D13439">
        <f>IF(B13439="","",HOUR(A13439))</f>
        <v/>
      </c>
    </row>
    <row r="13440">
      <c r="A13440">
        <f>Input!A13440</f>
        <v/>
      </c>
      <c r="B13440">
        <f>IF(ISNUMBER(Input!B13440),IF(AND(Input!B13440&gt;=20,Input!B13440&lt;=700),Input!B13440,""),"")</f>
        <v/>
      </c>
      <c r="C13440">
        <f>IF(B13440="","",INT(A13440))</f>
        <v/>
      </c>
      <c r="D13440">
        <f>IF(B13440="","",HOUR(A13440))</f>
        <v/>
      </c>
    </row>
    <row r="13441">
      <c r="A13441">
        <f>Input!A13441</f>
        <v/>
      </c>
      <c r="B13441">
        <f>IF(ISNUMBER(Input!B13441),IF(AND(Input!B13441&gt;=20,Input!B13441&lt;=700),Input!B13441,""),"")</f>
        <v/>
      </c>
      <c r="C13441">
        <f>IF(B13441="","",INT(A13441))</f>
        <v/>
      </c>
      <c r="D13441">
        <f>IF(B13441="","",HOUR(A13441))</f>
        <v/>
      </c>
    </row>
    <row r="13442">
      <c r="A13442">
        <f>Input!A13442</f>
        <v/>
      </c>
      <c r="B13442">
        <f>IF(ISNUMBER(Input!B13442),IF(AND(Input!B13442&gt;=20,Input!B13442&lt;=700),Input!B13442,""),"")</f>
        <v/>
      </c>
      <c r="C13442">
        <f>IF(B13442="","",INT(A13442))</f>
        <v/>
      </c>
      <c r="D13442">
        <f>IF(B13442="","",HOUR(A13442))</f>
        <v/>
      </c>
    </row>
    <row r="13443">
      <c r="A13443">
        <f>Input!A13443</f>
        <v/>
      </c>
      <c r="B13443">
        <f>IF(ISNUMBER(Input!B13443),IF(AND(Input!B13443&gt;=20,Input!B13443&lt;=700),Input!B13443,""),"")</f>
        <v/>
      </c>
      <c r="C13443">
        <f>IF(B13443="","",INT(A13443))</f>
        <v/>
      </c>
      <c r="D13443">
        <f>IF(B13443="","",HOUR(A13443))</f>
        <v/>
      </c>
    </row>
    <row r="13444">
      <c r="A13444">
        <f>Input!A13444</f>
        <v/>
      </c>
      <c r="B13444">
        <f>IF(ISNUMBER(Input!B13444),IF(AND(Input!B13444&gt;=20,Input!B13444&lt;=700),Input!B13444,""),"")</f>
        <v/>
      </c>
      <c r="C13444">
        <f>IF(B13444="","",INT(A13444))</f>
        <v/>
      </c>
      <c r="D13444">
        <f>IF(B13444="","",HOUR(A13444))</f>
        <v/>
      </c>
    </row>
    <row r="13445">
      <c r="A13445">
        <f>Input!A13445</f>
        <v/>
      </c>
      <c r="B13445">
        <f>IF(ISNUMBER(Input!B13445),IF(AND(Input!B13445&gt;=20,Input!B13445&lt;=700),Input!B13445,""),"")</f>
        <v/>
      </c>
      <c r="C13445">
        <f>IF(B13445="","",INT(A13445))</f>
        <v/>
      </c>
      <c r="D13445">
        <f>IF(B13445="","",HOUR(A13445))</f>
        <v/>
      </c>
    </row>
    <row r="13446">
      <c r="A13446">
        <f>Input!A13446</f>
        <v/>
      </c>
      <c r="B13446">
        <f>IF(ISNUMBER(Input!B13446),IF(AND(Input!B13446&gt;=20,Input!B13446&lt;=700),Input!B13446,""),"")</f>
        <v/>
      </c>
      <c r="C13446">
        <f>IF(B13446="","",INT(A13446))</f>
        <v/>
      </c>
      <c r="D13446">
        <f>IF(B13446="","",HOUR(A13446))</f>
        <v/>
      </c>
    </row>
    <row r="13447">
      <c r="A13447">
        <f>Input!A13447</f>
        <v/>
      </c>
      <c r="B13447">
        <f>IF(ISNUMBER(Input!B13447),IF(AND(Input!B13447&gt;=20,Input!B13447&lt;=700),Input!B13447,""),"")</f>
        <v/>
      </c>
      <c r="C13447">
        <f>IF(B13447="","",INT(A13447))</f>
        <v/>
      </c>
      <c r="D13447">
        <f>IF(B13447="","",HOUR(A13447))</f>
        <v/>
      </c>
    </row>
    <row r="13448">
      <c r="A13448">
        <f>Input!A13448</f>
        <v/>
      </c>
      <c r="B13448">
        <f>IF(ISNUMBER(Input!B13448),IF(AND(Input!B13448&gt;=20,Input!B13448&lt;=700),Input!B13448,""),"")</f>
        <v/>
      </c>
      <c r="C13448">
        <f>IF(B13448="","",INT(A13448))</f>
        <v/>
      </c>
      <c r="D13448">
        <f>IF(B13448="","",HOUR(A13448))</f>
        <v/>
      </c>
    </row>
    <row r="13449">
      <c r="A13449">
        <f>Input!A13449</f>
        <v/>
      </c>
      <c r="B13449">
        <f>IF(ISNUMBER(Input!B13449),IF(AND(Input!B13449&gt;=20,Input!B13449&lt;=700),Input!B13449,""),"")</f>
        <v/>
      </c>
      <c r="C13449">
        <f>IF(B13449="","",INT(A13449))</f>
        <v/>
      </c>
      <c r="D13449">
        <f>IF(B13449="","",HOUR(A13449))</f>
        <v/>
      </c>
    </row>
    <row r="13450">
      <c r="A13450">
        <f>Input!A13450</f>
        <v/>
      </c>
      <c r="B13450">
        <f>IF(ISNUMBER(Input!B13450),IF(AND(Input!B13450&gt;=20,Input!B13450&lt;=700),Input!B13450,""),"")</f>
        <v/>
      </c>
      <c r="C13450">
        <f>IF(B13450="","",INT(A13450))</f>
        <v/>
      </c>
      <c r="D13450">
        <f>IF(B13450="","",HOUR(A13450))</f>
        <v/>
      </c>
    </row>
    <row r="13451">
      <c r="A13451">
        <f>Input!A13451</f>
        <v/>
      </c>
      <c r="B13451">
        <f>IF(ISNUMBER(Input!B13451),IF(AND(Input!B13451&gt;=20,Input!B13451&lt;=700),Input!B13451,""),"")</f>
        <v/>
      </c>
      <c r="C13451">
        <f>IF(B13451="","",INT(A13451))</f>
        <v/>
      </c>
      <c r="D13451">
        <f>IF(B13451="","",HOUR(A13451))</f>
        <v/>
      </c>
    </row>
    <row r="13452">
      <c r="A13452">
        <f>Input!A13452</f>
        <v/>
      </c>
      <c r="B13452">
        <f>IF(ISNUMBER(Input!B13452),IF(AND(Input!B13452&gt;=20,Input!B13452&lt;=700),Input!B13452,""),"")</f>
        <v/>
      </c>
      <c r="C13452">
        <f>IF(B13452="","",INT(A13452))</f>
        <v/>
      </c>
      <c r="D13452">
        <f>IF(B13452="","",HOUR(A13452))</f>
        <v/>
      </c>
    </row>
    <row r="13453">
      <c r="A13453">
        <f>Input!A13453</f>
        <v/>
      </c>
      <c r="B13453">
        <f>IF(ISNUMBER(Input!B13453),IF(AND(Input!B13453&gt;=20,Input!B13453&lt;=700),Input!B13453,""),"")</f>
        <v/>
      </c>
      <c r="C13453">
        <f>IF(B13453="","",INT(A13453))</f>
        <v/>
      </c>
      <c r="D13453">
        <f>IF(B13453="","",HOUR(A13453))</f>
        <v/>
      </c>
    </row>
    <row r="13454">
      <c r="A13454">
        <f>Input!A13454</f>
        <v/>
      </c>
      <c r="B13454">
        <f>IF(ISNUMBER(Input!B13454),IF(AND(Input!B13454&gt;=20,Input!B13454&lt;=700),Input!B13454,""),"")</f>
        <v/>
      </c>
      <c r="C13454">
        <f>IF(B13454="","",INT(A13454))</f>
        <v/>
      </c>
      <c r="D13454">
        <f>IF(B13454="","",HOUR(A13454))</f>
        <v/>
      </c>
    </row>
    <row r="13455">
      <c r="A13455">
        <f>Input!A13455</f>
        <v/>
      </c>
      <c r="B13455">
        <f>IF(ISNUMBER(Input!B13455),IF(AND(Input!B13455&gt;=20,Input!B13455&lt;=700),Input!B13455,""),"")</f>
        <v/>
      </c>
      <c r="C13455">
        <f>IF(B13455="","",INT(A13455))</f>
        <v/>
      </c>
      <c r="D13455">
        <f>IF(B13455="","",HOUR(A13455))</f>
        <v/>
      </c>
    </row>
    <row r="13456">
      <c r="A13456">
        <f>Input!A13456</f>
        <v/>
      </c>
      <c r="B13456">
        <f>IF(ISNUMBER(Input!B13456),IF(AND(Input!B13456&gt;=20,Input!B13456&lt;=700),Input!B13456,""),"")</f>
        <v/>
      </c>
      <c r="C13456">
        <f>IF(B13456="","",INT(A13456))</f>
        <v/>
      </c>
      <c r="D13456">
        <f>IF(B13456="","",HOUR(A13456))</f>
        <v/>
      </c>
    </row>
    <row r="13457">
      <c r="A13457">
        <f>Input!A13457</f>
        <v/>
      </c>
      <c r="B13457">
        <f>IF(ISNUMBER(Input!B13457),IF(AND(Input!B13457&gt;=20,Input!B13457&lt;=700),Input!B13457,""),"")</f>
        <v/>
      </c>
      <c r="C13457">
        <f>IF(B13457="","",INT(A13457))</f>
        <v/>
      </c>
      <c r="D13457">
        <f>IF(B13457="","",HOUR(A13457))</f>
        <v/>
      </c>
    </row>
    <row r="13458">
      <c r="A13458">
        <f>Input!A13458</f>
        <v/>
      </c>
      <c r="B13458">
        <f>IF(ISNUMBER(Input!B13458),IF(AND(Input!B13458&gt;=20,Input!B13458&lt;=700),Input!B13458,""),"")</f>
        <v/>
      </c>
      <c r="C13458">
        <f>IF(B13458="","",INT(A13458))</f>
        <v/>
      </c>
      <c r="D13458">
        <f>IF(B13458="","",HOUR(A13458))</f>
        <v/>
      </c>
    </row>
    <row r="13459">
      <c r="A13459">
        <f>Input!A13459</f>
        <v/>
      </c>
      <c r="B13459">
        <f>IF(ISNUMBER(Input!B13459),IF(AND(Input!B13459&gt;=20,Input!B13459&lt;=700),Input!B13459,""),"")</f>
        <v/>
      </c>
      <c r="C13459">
        <f>IF(B13459="","",INT(A13459))</f>
        <v/>
      </c>
      <c r="D13459">
        <f>IF(B13459="","",HOUR(A13459))</f>
        <v/>
      </c>
    </row>
    <row r="13460">
      <c r="A13460">
        <f>Input!A13460</f>
        <v/>
      </c>
      <c r="B13460">
        <f>IF(ISNUMBER(Input!B13460),IF(AND(Input!B13460&gt;=20,Input!B13460&lt;=700),Input!B13460,""),"")</f>
        <v/>
      </c>
      <c r="C13460">
        <f>IF(B13460="","",INT(A13460))</f>
        <v/>
      </c>
      <c r="D13460">
        <f>IF(B13460="","",HOUR(A13460))</f>
        <v/>
      </c>
    </row>
    <row r="13461">
      <c r="A13461">
        <f>Input!A13461</f>
        <v/>
      </c>
      <c r="B13461">
        <f>IF(ISNUMBER(Input!B13461),IF(AND(Input!B13461&gt;=20,Input!B13461&lt;=700),Input!B13461,""),"")</f>
        <v/>
      </c>
      <c r="C13461">
        <f>IF(B13461="","",INT(A13461))</f>
        <v/>
      </c>
      <c r="D13461">
        <f>IF(B13461="","",HOUR(A13461))</f>
        <v/>
      </c>
    </row>
    <row r="13462">
      <c r="A13462">
        <f>Input!A13462</f>
        <v/>
      </c>
      <c r="B13462">
        <f>IF(ISNUMBER(Input!B13462),IF(AND(Input!B13462&gt;=20,Input!B13462&lt;=700),Input!B13462,""),"")</f>
        <v/>
      </c>
      <c r="C13462">
        <f>IF(B13462="","",INT(A13462))</f>
        <v/>
      </c>
      <c r="D13462">
        <f>IF(B13462="","",HOUR(A13462))</f>
        <v/>
      </c>
    </row>
    <row r="13463">
      <c r="A13463">
        <f>Input!A13463</f>
        <v/>
      </c>
      <c r="B13463">
        <f>IF(ISNUMBER(Input!B13463),IF(AND(Input!B13463&gt;=20,Input!B13463&lt;=700),Input!B13463,""),"")</f>
        <v/>
      </c>
      <c r="C13463">
        <f>IF(B13463="","",INT(A13463))</f>
        <v/>
      </c>
      <c r="D13463">
        <f>IF(B13463="","",HOUR(A13463))</f>
        <v/>
      </c>
    </row>
    <row r="13464">
      <c r="A13464">
        <f>Input!A13464</f>
        <v/>
      </c>
      <c r="B13464">
        <f>IF(ISNUMBER(Input!B13464),IF(AND(Input!B13464&gt;=20,Input!B13464&lt;=700),Input!B13464,""),"")</f>
        <v/>
      </c>
      <c r="C13464">
        <f>IF(B13464="","",INT(A13464))</f>
        <v/>
      </c>
      <c r="D13464">
        <f>IF(B13464="","",HOUR(A13464))</f>
        <v/>
      </c>
    </row>
    <row r="13465">
      <c r="A13465">
        <f>Input!A13465</f>
        <v/>
      </c>
      <c r="B13465">
        <f>IF(ISNUMBER(Input!B13465),IF(AND(Input!B13465&gt;=20,Input!B13465&lt;=700),Input!B13465,""),"")</f>
        <v/>
      </c>
      <c r="C13465">
        <f>IF(B13465="","",INT(A13465))</f>
        <v/>
      </c>
      <c r="D13465">
        <f>IF(B13465="","",HOUR(A13465))</f>
        <v/>
      </c>
    </row>
    <row r="13466">
      <c r="A13466">
        <f>Input!A13466</f>
        <v/>
      </c>
      <c r="B13466">
        <f>IF(ISNUMBER(Input!B13466),IF(AND(Input!B13466&gt;=20,Input!B13466&lt;=700),Input!B13466,""),"")</f>
        <v/>
      </c>
      <c r="C13466">
        <f>IF(B13466="","",INT(A13466))</f>
        <v/>
      </c>
      <c r="D13466">
        <f>IF(B13466="","",HOUR(A13466))</f>
        <v/>
      </c>
    </row>
    <row r="13467">
      <c r="A13467">
        <f>Input!A13467</f>
        <v/>
      </c>
      <c r="B13467">
        <f>IF(ISNUMBER(Input!B13467),IF(AND(Input!B13467&gt;=20,Input!B13467&lt;=700),Input!B13467,""),"")</f>
        <v/>
      </c>
      <c r="C13467">
        <f>IF(B13467="","",INT(A13467))</f>
        <v/>
      </c>
      <c r="D13467">
        <f>IF(B13467="","",HOUR(A13467))</f>
        <v/>
      </c>
    </row>
    <row r="13468">
      <c r="A13468">
        <f>Input!A13468</f>
        <v/>
      </c>
      <c r="B13468">
        <f>IF(ISNUMBER(Input!B13468),IF(AND(Input!B13468&gt;=20,Input!B13468&lt;=700),Input!B13468,""),"")</f>
        <v/>
      </c>
      <c r="C13468">
        <f>IF(B13468="","",INT(A13468))</f>
        <v/>
      </c>
      <c r="D13468">
        <f>IF(B13468="","",HOUR(A13468))</f>
        <v/>
      </c>
    </row>
    <row r="13469">
      <c r="A13469">
        <f>Input!A13469</f>
        <v/>
      </c>
      <c r="B13469">
        <f>IF(ISNUMBER(Input!B13469),IF(AND(Input!B13469&gt;=20,Input!B13469&lt;=700),Input!B13469,""),"")</f>
        <v/>
      </c>
      <c r="C13469">
        <f>IF(B13469="","",INT(A13469))</f>
        <v/>
      </c>
      <c r="D13469">
        <f>IF(B13469="","",HOUR(A13469))</f>
        <v/>
      </c>
    </row>
    <row r="13470">
      <c r="A13470">
        <f>Input!A13470</f>
        <v/>
      </c>
      <c r="B13470">
        <f>IF(ISNUMBER(Input!B13470),IF(AND(Input!B13470&gt;=20,Input!B13470&lt;=700),Input!B13470,""),"")</f>
        <v/>
      </c>
      <c r="C13470">
        <f>IF(B13470="","",INT(A13470))</f>
        <v/>
      </c>
      <c r="D13470">
        <f>IF(B13470="","",HOUR(A13470))</f>
        <v/>
      </c>
    </row>
    <row r="13471">
      <c r="A13471">
        <f>Input!A13471</f>
        <v/>
      </c>
      <c r="B13471">
        <f>IF(ISNUMBER(Input!B13471),IF(AND(Input!B13471&gt;=20,Input!B13471&lt;=700),Input!B13471,""),"")</f>
        <v/>
      </c>
      <c r="C13471">
        <f>IF(B13471="","",INT(A13471))</f>
        <v/>
      </c>
      <c r="D13471">
        <f>IF(B13471="","",HOUR(A13471))</f>
        <v/>
      </c>
    </row>
    <row r="13472">
      <c r="A13472">
        <f>Input!A13472</f>
        <v/>
      </c>
      <c r="B13472">
        <f>IF(ISNUMBER(Input!B13472),IF(AND(Input!B13472&gt;=20,Input!B13472&lt;=700),Input!B13472,""),"")</f>
        <v/>
      </c>
      <c r="C13472">
        <f>IF(B13472="","",INT(A13472))</f>
        <v/>
      </c>
      <c r="D13472">
        <f>IF(B13472="","",HOUR(A13472))</f>
        <v/>
      </c>
    </row>
    <row r="13473">
      <c r="A13473">
        <f>Input!A13473</f>
        <v/>
      </c>
      <c r="B13473">
        <f>IF(ISNUMBER(Input!B13473),IF(AND(Input!B13473&gt;=20,Input!B13473&lt;=700),Input!B13473,""),"")</f>
        <v/>
      </c>
      <c r="C13473">
        <f>IF(B13473="","",INT(A13473))</f>
        <v/>
      </c>
      <c r="D13473">
        <f>IF(B13473="","",HOUR(A13473))</f>
        <v/>
      </c>
    </row>
    <row r="13474">
      <c r="A13474">
        <f>Input!A13474</f>
        <v/>
      </c>
      <c r="B13474">
        <f>IF(ISNUMBER(Input!B13474),IF(AND(Input!B13474&gt;=20,Input!B13474&lt;=700),Input!B13474,""),"")</f>
        <v/>
      </c>
      <c r="C13474">
        <f>IF(B13474="","",INT(A13474))</f>
        <v/>
      </c>
      <c r="D13474">
        <f>IF(B13474="","",HOUR(A13474))</f>
        <v/>
      </c>
    </row>
    <row r="13475">
      <c r="A13475">
        <f>Input!A13475</f>
        <v/>
      </c>
      <c r="B13475">
        <f>IF(ISNUMBER(Input!B13475),IF(AND(Input!B13475&gt;=20,Input!B13475&lt;=700),Input!B13475,""),"")</f>
        <v/>
      </c>
      <c r="C13475">
        <f>IF(B13475="","",INT(A13475))</f>
        <v/>
      </c>
      <c r="D13475">
        <f>IF(B13475="","",HOUR(A13475))</f>
        <v/>
      </c>
    </row>
    <row r="13476">
      <c r="A13476">
        <f>Input!A13476</f>
        <v/>
      </c>
      <c r="B13476">
        <f>IF(ISNUMBER(Input!B13476),IF(AND(Input!B13476&gt;=20,Input!B13476&lt;=700),Input!B13476,""),"")</f>
        <v/>
      </c>
      <c r="C13476">
        <f>IF(B13476="","",INT(A13476))</f>
        <v/>
      </c>
      <c r="D13476">
        <f>IF(B13476="","",HOUR(A13476))</f>
        <v/>
      </c>
    </row>
    <row r="13477">
      <c r="A13477">
        <f>Input!A13477</f>
        <v/>
      </c>
      <c r="B13477">
        <f>IF(ISNUMBER(Input!B13477),IF(AND(Input!B13477&gt;=20,Input!B13477&lt;=700),Input!B13477,""),"")</f>
        <v/>
      </c>
      <c r="C13477">
        <f>IF(B13477="","",INT(A13477))</f>
        <v/>
      </c>
      <c r="D13477">
        <f>IF(B13477="","",HOUR(A13477))</f>
        <v/>
      </c>
    </row>
    <row r="13478">
      <c r="A13478">
        <f>Input!A13478</f>
        <v/>
      </c>
      <c r="B13478">
        <f>IF(ISNUMBER(Input!B13478),IF(AND(Input!B13478&gt;=20,Input!B13478&lt;=700),Input!B13478,""),"")</f>
        <v/>
      </c>
      <c r="C13478">
        <f>IF(B13478="","",INT(A13478))</f>
        <v/>
      </c>
      <c r="D13478">
        <f>IF(B13478="","",HOUR(A13478))</f>
        <v/>
      </c>
    </row>
    <row r="13479">
      <c r="A13479">
        <f>Input!A13479</f>
        <v/>
      </c>
      <c r="B13479">
        <f>IF(ISNUMBER(Input!B13479),IF(AND(Input!B13479&gt;=20,Input!B13479&lt;=700),Input!B13479,""),"")</f>
        <v/>
      </c>
      <c r="C13479">
        <f>IF(B13479="","",INT(A13479))</f>
        <v/>
      </c>
      <c r="D13479">
        <f>IF(B13479="","",HOUR(A13479))</f>
        <v/>
      </c>
    </row>
    <row r="13480">
      <c r="A13480">
        <f>Input!A13480</f>
        <v/>
      </c>
      <c r="B13480">
        <f>IF(ISNUMBER(Input!B13480),IF(AND(Input!B13480&gt;=20,Input!B13480&lt;=700),Input!B13480,""),"")</f>
        <v/>
      </c>
      <c r="C13480">
        <f>IF(B13480="","",INT(A13480))</f>
        <v/>
      </c>
      <c r="D13480">
        <f>IF(B13480="","",HOUR(A13480))</f>
        <v/>
      </c>
    </row>
    <row r="13481">
      <c r="A13481">
        <f>Input!A13481</f>
        <v/>
      </c>
      <c r="B13481">
        <f>IF(ISNUMBER(Input!B13481),IF(AND(Input!B13481&gt;=20,Input!B13481&lt;=700),Input!B13481,""),"")</f>
        <v/>
      </c>
      <c r="C13481">
        <f>IF(B13481="","",INT(A13481))</f>
        <v/>
      </c>
      <c r="D13481">
        <f>IF(B13481="","",HOUR(A13481))</f>
        <v/>
      </c>
    </row>
    <row r="13482">
      <c r="A13482">
        <f>Input!A13482</f>
        <v/>
      </c>
      <c r="B13482">
        <f>IF(ISNUMBER(Input!B13482),IF(AND(Input!B13482&gt;=20,Input!B13482&lt;=700),Input!B13482,""),"")</f>
        <v/>
      </c>
      <c r="C13482">
        <f>IF(B13482="","",INT(A13482))</f>
        <v/>
      </c>
      <c r="D13482">
        <f>IF(B13482="","",HOUR(A13482))</f>
        <v/>
      </c>
    </row>
    <row r="13483">
      <c r="A13483">
        <f>Input!A13483</f>
        <v/>
      </c>
      <c r="B13483">
        <f>IF(ISNUMBER(Input!B13483),IF(AND(Input!B13483&gt;=20,Input!B13483&lt;=700),Input!B13483,""),"")</f>
        <v/>
      </c>
      <c r="C13483">
        <f>IF(B13483="","",INT(A13483))</f>
        <v/>
      </c>
      <c r="D13483">
        <f>IF(B13483="","",HOUR(A13483))</f>
        <v/>
      </c>
    </row>
    <row r="13484">
      <c r="A13484">
        <f>Input!A13484</f>
        <v/>
      </c>
      <c r="B13484">
        <f>IF(ISNUMBER(Input!B13484),IF(AND(Input!B13484&gt;=20,Input!B13484&lt;=700),Input!B13484,""),"")</f>
        <v/>
      </c>
      <c r="C13484">
        <f>IF(B13484="","",INT(A13484))</f>
        <v/>
      </c>
      <c r="D13484">
        <f>IF(B13484="","",HOUR(A13484))</f>
        <v/>
      </c>
    </row>
    <row r="13485">
      <c r="A13485">
        <f>Input!A13485</f>
        <v/>
      </c>
      <c r="B13485">
        <f>IF(ISNUMBER(Input!B13485),IF(AND(Input!B13485&gt;=20,Input!B13485&lt;=700),Input!B13485,""),"")</f>
        <v/>
      </c>
      <c r="C13485">
        <f>IF(B13485="","",INT(A13485))</f>
        <v/>
      </c>
      <c r="D13485">
        <f>IF(B13485="","",HOUR(A13485))</f>
        <v/>
      </c>
    </row>
    <row r="13486">
      <c r="A13486">
        <f>Input!A13486</f>
        <v/>
      </c>
      <c r="B13486">
        <f>IF(ISNUMBER(Input!B13486),IF(AND(Input!B13486&gt;=20,Input!B13486&lt;=700),Input!B13486,""),"")</f>
        <v/>
      </c>
      <c r="C13486">
        <f>IF(B13486="","",INT(A13486))</f>
        <v/>
      </c>
      <c r="D13486">
        <f>IF(B13486="","",HOUR(A13486))</f>
        <v/>
      </c>
    </row>
    <row r="13487">
      <c r="A13487">
        <f>Input!A13487</f>
        <v/>
      </c>
      <c r="B13487">
        <f>IF(ISNUMBER(Input!B13487),IF(AND(Input!B13487&gt;=20,Input!B13487&lt;=700),Input!B13487,""),"")</f>
        <v/>
      </c>
      <c r="C13487">
        <f>IF(B13487="","",INT(A13487))</f>
        <v/>
      </c>
      <c r="D13487">
        <f>IF(B13487="","",HOUR(A13487))</f>
        <v/>
      </c>
    </row>
    <row r="13488">
      <c r="A13488">
        <f>Input!A13488</f>
        <v/>
      </c>
      <c r="B13488">
        <f>IF(ISNUMBER(Input!B13488),IF(AND(Input!B13488&gt;=20,Input!B13488&lt;=700),Input!B13488,""),"")</f>
        <v/>
      </c>
      <c r="C13488">
        <f>IF(B13488="","",INT(A13488))</f>
        <v/>
      </c>
      <c r="D13488">
        <f>IF(B13488="","",HOUR(A13488))</f>
        <v/>
      </c>
    </row>
    <row r="13489">
      <c r="A13489">
        <f>Input!A13489</f>
        <v/>
      </c>
      <c r="B13489">
        <f>IF(ISNUMBER(Input!B13489),IF(AND(Input!B13489&gt;=20,Input!B13489&lt;=700),Input!B13489,""),"")</f>
        <v/>
      </c>
      <c r="C13489">
        <f>IF(B13489="","",INT(A13489))</f>
        <v/>
      </c>
      <c r="D13489">
        <f>IF(B13489="","",HOUR(A13489))</f>
        <v/>
      </c>
    </row>
    <row r="13490">
      <c r="A13490">
        <f>Input!A13490</f>
        <v/>
      </c>
      <c r="B13490">
        <f>IF(ISNUMBER(Input!B13490),IF(AND(Input!B13490&gt;=20,Input!B13490&lt;=700),Input!B13490,""),"")</f>
        <v/>
      </c>
      <c r="C13490">
        <f>IF(B13490="","",INT(A13490))</f>
        <v/>
      </c>
      <c r="D13490">
        <f>IF(B13490="","",HOUR(A13490))</f>
        <v/>
      </c>
    </row>
    <row r="13491">
      <c r="A13491">
        <f>Input!A13491</f>
        <v/>
      </c>
      <c r="B13491">
        <f>IF(ISNUMBER(Input!B13491),IF(AND(Input!B13491&gt;=20,Input!B13491&lt;=700),Input!B13491,""),"")</f>
        <v/>
      </c>
      <c r="C13491">
        <f>IF(B13491="","",INT(A13491))</f>
        <v/>
      </c>
      <c r="D13491">
        <f>IF(B13491="","",HOUR(A13491))</f>
        <v/>
      </c>
    </row>
    <row r="13492">
      <c r="A13492">
        <f>Input!A13492</f>
        <v/>
      </c>
      <c r="B13492">
        <f>IF(ISNUMBER(Input!B13492),IF(AND(Input!B13492&gt;=20,Input!B13492&lt;=700),Input!B13492,""),"")</f>
        <v/>
      </c>
      <c r="C13492">
        <f>IF(B13492="","",INT(A13492))</f>
        <v/>
      </c>
      <c r="D13492">
        <f>IF(B13492="","",HOUR(A13492))</f>
        <v/>
      </c>
    </row>
    <row r="13493">
      <c r="A13493">
        <f>Input!A13493</f>
        <v/>
      </c>
      <c r="B13493">
        <f>IF(ISNUMBER(Input!B13493),IF(AND(Input!B13493&gt;=20,Input!B13493&lt;=700),Input!B13493,""),"")</f>
        <v/>
      </c>
      <c r="C13493">
        <f>IF(B13493="","",INT(A13493))</f>
        <v/>
      </c>
      <c r="D13493">
        <f>IF(B13493="","",HOUR(A13493))</f>
        <v/>
      </c>
    </row>
    <row r="13494">
      <c r="A13494">
        <f>Input!A13494</f>
        <v/>
      </c>
      <c r="B13494">
        <f>IF(ISNUMBER(Input!B13494),IF(AND(Input!B13494&gt;=20,Input!B13494&lt;=700),Input!B13494,""),"")</f>
        <v/>
      </c>
      <c r="C13494">
        <f>IF(B13494="","",INT(A13494))</f>
        <v/>
      </c>
      <c r="D13494">
        <f>IF(B13494="","",HOUR(A13494))</f>
        <v/>
      </c>
    </row>
    <row r="13495">
      <c r="A13495">
        <f>Input!A13495</f>
        <v/>
      </c>
      <c r="B13495">
        <f>IF(ISNUMBER(Input!B13495),IF(AND(Input!B13495&gt;=20,Input!B13495&lt;=700),Input!B13495,""),"")</f>
        <v/>
      </c>
      <c r="C13495">
        <f>IF(B13495="","",INT(A13495))</f>
        <v/>
      </c>
      <c r="D13495">
        <f>IF(B13495="","",HOUR(A13495))</f>
        <v/>
      </c>
    </row>
    <row r="13496">
      <c r="A13496">
        <f>Input!A13496</f>
        <v/>
      </c>
      <c r="B13496">
        <f>IF(ISNUMBER(Input!B13496),IF(AND(Input!B13496&gt;=20,Input!B13496&lt;=700),Input!B13496,""),"")</f>
        <v/>
      </c>
      <c r="C13496">
        <f>IF(B13496="","",INT(A13496))</f>
        <v/>
      </c>
      <c r="D13496">
        <f>IF(B13496="","",HOUR(A13496))</f>
        <v/>
      </c>
    </row>
    <row r="13497">
      <c r="A13497">
        <f>Input!A13497</f>
        <v/>
      </c>
      <c r="B13497">
        <f>IF(ISNUMBER(Input!B13497),IF(AND(Input!B13497&gt;=20,Input!B13497&lt;=700),Input!B13497,""),"")</f>
        <v/>
      </c>
      <c r="C13497">
        <f>IF(B13497="","",INT(A13497))</f>
        <v/>
      </c>
      <c r="D13497">
        <f>IF(B13497="","",HOUR(A13497))</f>
        <v/>
      </c>
    </row>
    <row r="13498">
      <c r="A13498">
        <f>Input!A13498</f>
        <v/>
      </c>
      <c r="B13498">
        <f>IF(ISNUMBER(Input!B13498),IF(AND(Input!B13498&gt;=20,Input!B13498&lt;=700),Input!B13498,""),"")</f>
        <v/>
      </c>
      <c r="C13498">
        <f>IF(B13498="","",INT(A13498))</f>
        <v/>
      </c>
      <c r="D13498">
        <f>IF(B13498="","",HOUR(A13498))</f>
        <v/>
      </c>
    </row>
    <row r="13499">
      <c r="A13499">
        <f>Input!A13499</f>
        <v/>
      </c>
      <c r="B13499">
        <f>IF(ISNUMBER(Input!B13499),IF(AND(Input!B13499&gt;=20,Input!B13499&lt;=700),Input!B13499,""),"")</f>
        <v/>
      </c>
      <c r="C13499">
        <f>IF(B13499="","",INT(A13499))</f>
        <v/>
      </c>
      <c r="D13499">
        <f>IF(B13499="","",HOUR(A13499))</f>
        <v/>
      </c>
    </row>
    <row r="13500">
      <c r="A13500">
        <f>Input!A13500</f>
        <v/>
      </c>
      <c r="B13500">
        <f>IF(ISNUMBER(Input!B13500),IF(AND(Input!B13500&gt;=20,Input!B13500&lt;=700),Input!B13500,""),"")</f>
        <v/>
      </c>
      <c r="C13500">
        <f>IF(B13500="","",INT(A13500))</f>
        <v/>
      </c>
      <c r="D13500">
        <f>IF(B13500="","",HOUR(A13500))</f>
        <v/>
      </c>
    </row>
    <row r="13501">
      <c r="A13501">
        <f>Input!A13501</f>
        <v/>
      </c>
      <c r="B13501">
        <f>IF(ISNUMBER(Input!B13501),IF(AND(Input!B13501&gt;=20,Input!B13501&lt;=700),Input!B13501,""),"")</f>
        <v/>
      </c>
      <c r="C13501">
        <f>IF(B13501="","",INT(A13501))</f>
        <v/>
      </c>
      <c r="D13501">
        <f>IF(B13501="","",HOUR(A13501))</f>
        <v/>
      </c>
    </row>
    <row r="13502">
      <c r="A13502">
        <f>Input!A13502</f>
        <v/>
      </c>
      <c r="B13502">
        <f>IF(ISNUMBER(Input!B13502),IF(AND(Input!B13502&gt;=20,Input!B13502&lt;=700),Input!B13502,""),"")</f>
        <v/>
      </c>
      <c r="C13502">
        <f>IF(B13502="","",INT(A13502))</f>
        <v/>
      </c>
      <c r="D13502">
        <f>IF(B13502="","",HOUR(A13502))</f>
        <v/>
      </c>
    </row>
    <row r="13503">
      <c r="A13503">
        <f>Input!A13503</f>
        <v/>
      </c>
      <c r="B13503">
        <f>IF(ISNUMBER(Input!B13503),IF(AND(Input!B13503&gt;=20,Input!B13503&lt;=700),Input!B13503,""),"")</f>
        <v/>
      </c>
      <c r="C13503">
        <f>IF(B13503="","",INT(A13503))</f>
        <v/>
      </c>
      <c r="D13503">
        <f>IF(B13503="","",HOUR(A13503))</f>
        <v/>
      </c>
    </row>
    <row r="13504">
      <c r="A13504">
        <f>Input!A13504</f>
        <v/>
      </c>
      <c r="B13504">
        <f>IF(ISNUMBER(Input!B13504),IF(AND(Input!B13504&gt;=20,Input!B13504&lt;=700),Input!B13504,""),"")</f>
        <v/>
      </c>
      <c r="C13504">
        <f>IF(B13504="","",INT(A13504))</f>
        <v/>
      </c>
      <c r="D13504">
        <f>IF(B13504="","",HOUR(A13504))</f>
        <v/>
      </c>
    </row>
    <row r="13505">
      <c r="A13505">
        <f>Input!A13505</f>
        <v/>
      </c>
      <c r="B13505">
        <f>IF(ISNUMBER(Input!B13505),IF(AND(Input!B13505&gt;=20,Input!B13505&lt;=700),Input!B13505,""),"")</f>
        <v/>
      </c>
      <c r="C13505">
        <f>IF(B13505="","",INT(A13505))</f>
        <v/>
      </c>
      <c r="D13505">
        <f>IF(B13505="","",HOUR(A13505))</f>
        <v/>
      </c>
    </row>
    <row r="13506">
      <c r="A13506">
        <f>Input!A13506</f>
        <v/>
      </c>
      <c r="B13506">
        <f>IF(ISNUMBER(Input!B13506),IF(AND(Input!B13506&gt;=20,Input!B13506&lt;=700),Input!B13506,""),"")</f>
        <v/>
      </c>
      <c r="C13506">
        <f>IF(B13506="","",INT(A13506))</f>
        <v/>
      </c>
      <c r="D13506">
        <f>IF(B13506="","",HOUR(A13506))</f>
        <v/>
      </c>
    </row>
    <row r="13507">
      <c r="A13507">
        <f>Input!A13507</f>
        <v/>
      </c>
      <c r="B13507">
        <f>IF(ISNUMBER(Input!B13507),IF(AND(Input!B13507&gt;=20,Input!B13507&lt;=700),Input!B13507,""),"")</f>
        <v/>
      </c>
      <c r="C13507">
        <f>IF(B13507="","",INT(A13507))</f>
        <v/>
      </c>
      <c r="D13507">
        <f>IF(B13507="","",HOUR(A13507))</f>
        <v/>
      </c>
    </row>
    <row r="13508">
      <c r="A13508">
        <f>Input!A13508</f>
        <v/>
      </c>
      <c r="B13508">
        <f>IF(ISNUMBER(Input!B13508),IF(AND(Input!B13508&gt;=20,Input!B13508&lt;=700),Input!B13508,""),"")</f>
        <v/>
      </c>
      <c r="C13508">
        <f>IF(B13508="","",INT(A13508))</f>
        <v/>
      </c>
      <c r="D13508">
        <f>IF(B13508="","",HOUR(A13508))</f>
        <v/>
      </c>
    </row>
    <row r="13509">
      <c r="A13509">
        <f>Input!A13509</f>
        <v/>
      </c>
      <c r="B13509">
        <f>IF(ISNUMBER(Input!B13509),IF(AND(Input!B13509&gt;=20,Input!B13509&lt;=700),Input!B13509,""),"")</f>
        <v/>
      </c>
      <c r="C13509">
        <f>IF(B13509="","",INT(A13509))</f>
        <v/>
      </c>
      <c r="D13509">
        <f>IF(B13509="","",HOUR(A13509))</f>
        <v/>
      </c>
    </row>
    <row r="13510">
      <c r="A13510">
        <f>Input!A13510</f>
        <v/>
      </c>
      <c r="B13510">
        <f>IF(ISNUMBER(Input!B13510),IF(AND(Input!B13510&gt;=20,Input!B13510&lt;=700),Input!B13510,""),"")</f>
        <v/>
      </c>
      <c r="C13510">
        <f>IF(B13510="","",INT(A13510))</f>
        <v/>
      </c>
      <c r="D13510">
        <f>IF(B13510="","",HOUR(A13510))</f>
        <v/>
      </c>
    </row>
    <row r="13511">
      <c r="A13511">
        <f>Input!A13511</f>
        <v/>
      </c>
      <c r="B13511">
        <f>IF(ISNUMBER(Input!B13511),IF(AND(Input!B13511&gt;=20,Input!B13511&lt;=700),Input!B13511,""),"")</f>
        <v/>
      </c>
      <c r="C13511">
        <f>IF(B13511="","",INT(A13511))</f>
        <v/>
      </c>
      <c r="D13511">
        <f>IF(B13511="","",HOUR(A13511))</f>
        <v/>
      </c>
    </row>
    <row r="13512">
      <c r="A13512">
        <f>Input!A13512</f>
        <v/>
      </c>
      <c r="B13512">
        <f>IF(ISNUMBER(Input!B13512),IF(AND(Input!B13512&gt;=20,Input!B13512&lt;=700),Input!B13512,""),"")</f>
        <v/>
      </c>
      <c r="C13512">
        <f>IF(B13512="","",INT(A13512))</f>
        <v/>
      </c>
      <c r="D13512">
        <f>IF(B13512="","",HOUR(A13512))</f>
        <v/>
      </c>
    </row>
    <row r="13513">
      <c r="A13513">
        <f>Input!A13513</f>
        <v/>
      </c>
      <c r="B13513">
        <f>IF(ISNUMBER(Input!B13513),IF(AND(Input!B13513&gt;=20,Input!B13513&lt;=700),Input!B13513,""),"")</f>
        <v/>
      </c>
      <c r="C13513">
        <f>IF(B13513="","",INT(A13513))</f>
        <v/>
      </c>
      <c r="D13513">
        <f>IF(B13513="","",HOUR(A13513))</f>
        <v/>
      </c>
    </row>
    <row r="13514">
      <c r="A13514">
        <f>Input!A13514</f>
        <v/>
      </c>
      <c r="B13514">
        <f>IF(ISNUMBER(Input!B13514),IF(AND(Input!B13514&gt;=20,Input!B13514&lt;=700),Input!B13514,""),"")</f>
        <v/>
      </c>
      <c r="C13514">
        <f>IF(B13514="","",INT(A13514))</f>
        <v/>
      </c>
      <c r="D13514">
        <f>IF(B13514="","",HOUR(A13514))</f>
        <v/>
      </c>
    </row>
    <row r="13515">
      <c r="A13515">
        <f>Input!A13515</f>
        <v/>
      </c>
      <c r="B13515">
        <f>IF(ISNUMBER(Input!B13515),IF(AND(Input!B13515&gt;=20,Input!B13515&lt;=700),Input!B13515,""),"")</f>
        <v/>
      </c>
      <c r="C13515">
        <f>IF(B13515="","",INT(A13515))</f>
        <v/>
      </c>
      <c r="D13515">
        <f>IF(B13515="","",HOUR(A13515))</f>
        <v/>
      </c>
    </row>
    <row r="13516">
      <c r="A13516">
        <f>Input!A13516</f>
        <v/>
      </c>
      <c r="B13516">
        <f>IF(ISNUMBER(Input!B13516),IF(AND(Input!B13516&gt;=20,Input!B13516&lt;=700),Input!B13516,""),"")</f>
        <v/>
      </c>
      <c r="C13516">
        <f>IF(B13516="","",INT(A13516))</f>
        <v/>
      </c>
      <c r="D13516">
        <f>IF(B13516="","",HOUR(A13516))</f>
        <v/>
      </c>
    </row>
    <row r="13517">
      <c r="A13517">
        <f>Input!A13517</f>
        <v/>
      </c>
      <c r="B13517">
        <f>IF(ISNUMBER(Input!B13517),IF(AND(Input!B13517&gt;=20,Input!B13517&lt;=700),Input!B13517,""),"")</f>
        <v/>
      </c>
      <c r="C13517">
        <f>IF(B13517="","",INT(A13517))</f>
        <v/>
      </c>
      <c r="D13517">
        <f>IF(B13517="","",HOUR(A13517))</f>
        <v/>
      </c>
    </row>
    <row r="13518">
      <c r="A13518">
        <f>Input!A13518</f>
        <v/>
      </c>
      <c r="B13518">
        <f>IF(ISNUMBER(Input!B13518),IF(AND(Input!B13518&gt;=20,Input!B13518&lt;=700),Input!B13518,""),"")</f>
        <v/>
      </c>
      <c r="C13518">
        <f>IF(B13518="","",INT(A13518))</f>
        <v/>
      </c>
      <c r="D13518">
        <f>IF(B13518="","",HOUR(A13518))</f>
        <v/>
      </c>
    </row>
    <row r="13519">
      <c r="A13519">
        <f>Input!A13519</f>
        <v/>
      </c>
      <c r="B13519">
        <f>IF(ISNUMBER(Input!B13519),IF(AND(Input!B13519&gt;=20,Input!B13519&lt;=700),Input!B13519,""),"")</f>
        <v/>
      </c>
      <c r="C13519">
        <f>IF(B13519="","",INT(A13519))</f>
        <v/>
      </c>
      <c r="D13519">
        <f>IF(B13519="","",HOUR(A13519))</f>
        <v/>
      </c>
    </row>
    <row r="13520">
      <c r="A13520">
        <f>Input!A13520</f>
        <v/>
      </c>
      <c r="B13520">
        <f>IF(ISNUMBER(Input!B13520),IF(AND(Input!B13520&gt;=20,Input!B13520&lt;=700),Input!B13520,""),"")</f>
        <v/>
      </c>
      <c r="C13520">
        <f>IF(B13520="","",INT(A13520))</f>
        <v/>
      </c>
      <c r="D13520">
        <f>IF(B13520="","",HOUR(A13520))</f>
        <v/>
      </c>
    </row>
    <row r="13521">
      <c r="A13521">
        <f>Input!A13521</f>
        <v/>
      </c>
      <c r="B13521">
        <f>IF(ISNUMBER(Input!B13521),IF(AND(Input!B13521&gt;=20,Input!B13521&lt;=700),Input!B13521,""),"")</f>
        <v/>
      </c>
      <c r="C13521">
        <f>IF(B13521="","",INT(A13521))</f>
        <v/>
      </c>
      <c r="D13521">
        <f>IF(B13521="","",HOUR(A13521))</f>
        <v/>
      </c>
    </row>
    <row r="13522">
      <c r="A13522">
        <f>Input!A13522</f>
        <v/>
      </c>
      <c r="B13522">
        <f>IF(ISNUMBER(Input!B13522),IF(AND(Input!B13522&gt;=20,Input!B13522&lt;=700),Input!B13522,""),"")</f>
        <v/>
      </c>
      <c r="C13522">
        <f>IF(B13522="","",INT(A13522))</f>
        <v/>
      </c>
      <c r="D13522">
        <f>IF(B13522="","",HOUR(A13522))</f>
        <v/>
      </c>
    </row>
    <row r="13523">
      <c r="A13523">
        <f>Input!A13523</f>
        <v/>
      </c>
      <c r="B13523">
        <f>IF(ISNUMBER(Input!B13523),IF(AND(Input!B13523&gt;=20,Input!B13523&lt;=700),Input!B13523,""),"")</f>
        <v/>
      </c>
      <c r="C13523">
        <f>IF(B13523="","",INT(A13523))</f>
        <v/>
      </c>
      <c r="D13523">
        <f>IF(B13523="","",HOUR(A13523))</f>
        <v/>
      </c>
    </row>
    <row r="13524">
      <c r="A13524">
        <f>Input!A13524</f>
        <v/>
      </c>
      <c r="B13524">
        <f>IF(ISNUMBER(Input!B13524),IF(AND(Input!B13524&gt;=20,Input!B13524&lt;=700),Input!B13524,""),"")</f>
        <v/>
      </c>
      <c r="C13524">
        <f>IF(B13524="","",INT(A13524))</f>
        <v/>
      </c>
      <c r="D13524">
        <f>IF(B13524="","",HOUR(A13524))</f>
        <v/>
      </c>
    </row>
    <row r="13525">
      <c r="A13525">
        <f>Input!A13525</f>
        <v/>
      </c>
      <c r="B13525">
        <f>IF(ISNUMBER(Input!B13525),IF(AND(Input!B13525&gt;=20,Input!B13525&lt;=700),Input!B13525,""),"")</f>
        <v/>
      </c>
      <c r="C13525">
        <f>IF(B13525="","",INT(A13525))</f>
        <v/>
      </c>
      <c r="D13525">
        <f>IF(B13525="","",HOUR(A13525))</f>
        <v/>
      </c>
    </row>
    <row r="13526">
      <c r="A13526">
        <f>Input!A13526</f>
        <v/>
      </c>
      <c r="B13526">
        <f>IF(ISNUMBER(Input!B13526),IF(AND(Input!B13526&gt;=20,Input!B13526&lt;=700),Input!B13526,""),"")</f>
        <v/>
      </c>
      <c r="C13526">
        <f>IF(B13526="","",INT(A13526))</f>
        <v/>
      </c>
      <c r="D13526">
        <f>IF(B13526="","",HOUR(A13526))</f>
        <v/>
      </c>
    </row>
    <row r="13527">
      <c r="A13527">
        <f>Input!A13527</f>
        <v/>
      </c>
      <c r="B13527">
        <f>IF(ISNUMBER(Input!B13527),IF(AND(Input!B13527&gt;=20,Input!B13527&lt;=700),Input!B13527,""),"")</f>
        <v/>
      </c>
      <c r="C13527">
        <f>IF(B13527="","",INT(A13527))</f>
        <v/>
      </c>
      <c r="D13527">
        <f>IF(B13527="","",HOUR(A13527))</f>
        <v/>
      </c>
    </row>
    <row r="13528">
      <c r="A13528">
        <f>Input!A13528</f>
        <v/>
      </c>
      <c r="B13528">
        <f>IF(ISNUMBER(Input!B13528),IF(AND(Input!B13528&gt;=20,Input!B13528&lt;=700),Input!B13528,""),"")</f>
        <v/>
      </c>
      <c r="C13528">
        <f>IF(B13528="","",INT(A13528))</f>
        <v/>
      </c>
      <c r="D13528">
        <f>IF(B13528="","",HOUR(A13528))</f>
        <v/>
      </c>
    </row>
    <row r="13529">
      <c r="A13529">
        <f>Input!A13529</f>
        <v/>
      </c>
      <c r="B13529">
        <f>IF(ISNUMBER(Input!B13529),IF(AND(Input!B13529&gt;=20,Input!B13529&lt;=700),Input!B13529,""),"")</f>
        <v/>
      </c>
      <c r="C13529">
        <f>IF(B13529="","",INT(A13529))</f>
        <v/>
      </c>
      <c r="D13529">
        <f>IF(B13529="","",HOUR(A13529))</f>
        <v/>
      </c>
    </row>
    <row r="13530">
      <c r="A13530">
        <f>Input!A13530</f>
        <v/>
      </c>
      <c r="B13530">
        <f>IF(ISNUMBER(Input!B13530),IF(AND(Input!B13530&gt;=20,Input!B13530&lt;=700),Input!B13530,""),"")</f>
        <v/>
      </c>
      <c r="C13530">
        <f>IF(B13530="","",INT(A13530))</f>
        <v/>
      </c>
      <c r="D13530">
        <f>IF(B13530="","",HOUR(A13530))</f>
        <v/>
      </c>
    </row>
    <row r="13531">
      <c r="A13531">
        <f>Input!A13531</f>
        <v/>
      </c>
      <c r="B13531">
        <f>IF(ISNUMBER(Input!B13531),IF(AND(Input!B13531&gt;=20,Input!B13531&lt;=700),Input!B13531,""),"")</f>
        <v/>
      </c>
      <c r="C13531">
        <f>IF(B13531="","",INT(A13531))</f>
        <v/>
      </c>
      <c r="D13531">
        <f>IF(B13531="","",HOUR(A13531))</f>
        <v/>
      </c>
    </row>
    <row r="13532">
      <c r="A13532">
        <f>Input!A13532</f>
        <v/>
      </c>
      <c r="B13532">
        <f>IF(ISNUMBER(Input!B13532),IF(AND(Input!B13532&gt;=20,Input!B13532&lt;=700),Input!B13532,""),"")</f>
        <v/>
      </c>
      <c r="C13532">
        <f>IF(B13532="","",INT(A13532))</f>
        <v/>
      </c>
      <c r="D13532">
        <f>IF(B13532="","",HOUR(A13532))</f>
        <v/>
      </c>
    </row>
    <row r="13533">
      <c r="A13533">
        <f>Input!A13533</f>
        <v/>
      </c>
      <c r="B13533">
        <f>IF(ISNUMBER(Input!B13533),IF(AND(Input!B13533&gt;=20,Input!B13533&lt;=700),Input!B13533,""),"")</f>
        <v/>
      </c>
      <c r="C13533">
        <f>IF(B13533="","",INT(A13533))</f>
        <v/>
      </c>
      <c r="D13533">
        <f>IF(B13533="","",HOUR(A13533))</f>
        <v/>
      </c>
    </row>
    <row r="13534">
      <c r="A13534">
        <f>Input!A13534</f>
        <v/>
      </c>
      <c r="B13534">
        <f>IF(ISNUMBER(Input!B13534),IF(AND(Input!B13534&gt;=20,Input!B13534&lt;=700),Input!B13534,""),"")</f>
        <v/>
      </c>
      <c r="C13534">
        <f>IF(B13534="","",INT(A13534))</f>
        <v/>
      </c>
      <c r="D13534">
        <f>IF(B13534="","",HOUR(A13534))</f>
        <v/>
      </c>
    </row>
    <row r="13535">
      <c r="A13535">
        <f>Input!A13535</f>
        <v/>
      </c>
      <c r="B13535">
        <f>IF(ISNUMBER(Input!B13535),IF(AND(Input!B13535&gt;=20,Input!B13535&lt;=700),Input!B13535,""),"")</f>
        <v/>
      </c>
      <c r="C13535">
        <f>IF(B13535="","",INT(A13535))</f>
        <v/>
      </c>
      <c r="D13535">
        <f>IF(B13535="","",HOUR(A13535))</f>
        <v/>
      </c>
    </row>
    <row r="13536">
      <c r="A13536">
        <f>Input!A13536</f>
        <v/>
      </c>
      <c r="B13536">
        <f>IF(ISNUMBER(Input!B13536),IF(AND(Input!B13536&gt;=20,Input!B13536&lt;=700),Input!B13536,""),"")</f>
        <v/>
      </c>
      <c r="C13536">
        <f>IF(B13536="","",INT(A13536))</f>
        <v/>
      </c>
      <c r="D13536">
        <f>IF(B13536="","",HOUR(A13536))</f>
        <v/>
      </c>
    </row>
    <row r="13537">
      <c r="A13537">
        <f>Input!A13537</f>
        <v/>
      </c>
      <c r="B13537">
        <f>IF(ISNUMBER(Input!B13537),IF(AND(Input!B13537&gt;=20,Input!B13537&lt;=700),Input!B13537,""),"")</f>
        <v/>
      </c>
      <c r="C13537">
        <f>IF(B13537="","",INT(A13537))</f>
        <v/>
      </c>
      <c r="D13537">
        <f>IF(B13537="","",HOUR(A13537))</f>
        <v/>
      </c>
    </row>
    <row r="13538">
      <c r="A13538">
        <f>Input!A13538</f>
        <v/>
      </c>
      <c r="B13538">
        <f>IF(ISNUMBER(Input!B13538),IF(AND(Input!B13538&gt;=20,Input!B13538&lt;=700),Input!B13538,""),"")</f>
        <v/>
      </c>
      <c r="C13538">
        <f>IF(B13538="","",INT(A13538))</f>
        <v/>
      </c>
      <c r="D13538">
        <f>IF(B13538="","",HOUR(A13538))</f>
        <v/>
      </c>
    </row>
    <row r="13539">
      <c r="A13539">
        <f>Input!A13539</f>
        <v/>
      </c>
      <c r="B13539">
        <f>IF(ISNUMBER(Input!B13539),IF(AND(Input!B13539&gt;=20,Input!B13539&lt;=700),Input!B13539,""),"")</f>
        <v/>
      </c>
      <c r="C13539">
        <f>IF(B13539="","",INT(A13539))</f>
        <v/>
      </c>
      <c r="D13539">
        <f>IF(B13539="","",HOUR(A13539))</f>
        <v/>
      </c>
    </row>
    <row r="13540">
      <c r="A13540">
        <f>Input!A13540</f>
        <v/>
      </c>
      <c r="B13540">
        <f>IF(ISNUMBER(Input!B13540),IF(AND(Input!B13540&gt;=20,Input!B13540&lt;=700),Input!B13540,""),"")</f>
        <v/>
      </c>
      <c r="C13540">
        <f>IF(B13540="","",INT(A13540))</f>
        <v/>
      </c>
      <c r="D13540">
        <f>IF(B13540="","",HOUR(A13540))</f>
        <v/>
      </c>
    </row>
    <row r="13541">
      <c r="A13541">
        <f>Input!A13541</f>
        <v/>
      </c>
      <c r="B13541">
        <f>IF(ISNUMBER(Input!B13541),IF(AND(Input!B13541&gt;=20,Input!B13541&lt;=700),Input!B13541,""),"")</f>
        <v/>
      </c>
      <c r="C13541">
        <f>IF(B13541="","",INT(A13541))</f>
        <v/>
      </c>
      <c r="D13541">
        <f>IF(B13541="","",HOUR(A13541))</f>
        <v/>
      </c>
    </row>
    <row r="13542">
      <c r="A13542">
        <f>Input!A13542</f>
        <v/>
      </c>
      <c r="B13542">
        <f>IF(ISNUMBER(Input!B13542),IF(AND(Input!B13542&gt;=20,Input!B13542&lt;=700),Input!B13542,""),"")</f>
        <v/>
      </c>
      <c r="C13542">
        <f>IF(B13542="","",INT(A13542))</f>
        <v/>
      </c>
      <c r="D13542">
        <f>IF(B13542="","",HOUR(A13542))</f>
        <v/>
      </c>
    </row>
    <row r="13543">
      <c r="A13543">
        <f>Input!A13543</f>
        <v/>
      </c>
      <c r="B13543">
        <f>IF(ISNUMBER(Input!B13543),IF(AND(Input!B13543&gt;=20,Input!B13543&lt;=700),Input!B13543,""),"")</f>
        <v/>
      </c>
      <c r="C13543">
        <f>IF(B13543="","",INT(A13543))</f>
        <v/>
      </c>
      <c r="D13543">
        <f>IF(B13543="","",HOUR(A13543))</f>
        <v/>
      </c>
    </row>
    <row r="13544">
      <c r="A13544">
        <f>Input!A13544</f>
        <v/>
      </c>
      <c r="B13544">
        <f>IF(ISNUMBER(Input!B13544),IF(AND(Input!B13544&gt;=20,Input!B13544&lt;=700),Input!B13544,""),"")</f>
        <v/>
      </c>
      <c r="C13544">
        <f>IF(B13544="","",INT(A13544))</f>
        <v/>
      </c>
      <c r="D13544">
        <f>IF(B13544="","",HOUR(A13544))</f>
        <v/>
      </c>
    </row>
    <row r="13545">
      <c r="A13545">
        <f>Input!A13545</f>
        <v/>
      </c>
      <c r="B13545">
        <f>IF(ISNUMBER(Input!B13545),IF(AND(Input!B13545&gt;=20,Input!B13545&lt;=700),Input!B13545,""),"")</f>
        <v/>
      </c>
      <c r="C13545">
        <f>IF(B13545="","",INT(A13545))</f>
        <v/>
      </c>
      <c r="D13545">
        <f>IF(B13545="","",HOUR(A13545))</f>
        <v/>
      </c>
    </row>
    <row r="13546">
      <c r="A13546">
        <f>Input!A13546</f>
        <v/>
      </c>
      <c r="B13546">
        <f>IF(ISNUMBER(Input!B13546),IF(AND(Input!B13546&gt;=20,Input!B13546&lt;=700),Input!B13546,""),"")</f>
        <v/>
      </c>
      <c r="C13546">
        <f>IF(B13546="","",INT(A13546))</f>
        <v/>
      </c>
      <c r="D13546">
        <f>IF(B13546="","",HOUR(A13546))</f>
        <v/>
      </c>
    </row>
    <row r="13547">
      <c r="A13547">
        <f>Input!A13547</f>
        <v/>
      </c>
      <c r="B13547">
        <f>IF(ISNUMBER(Input!B13547),IF(AND(Input!B13547&gt;=20,Input!B13547&lt;=700),Input!B13547,""),"")</f>
        <v/>
      </c>
      <c r="C13547">
        <f>IF(B13547="","",INT(A13547))</f>
        <v/>
      </c>
      <c r="D13547">
        <f>IF(B13547="","",HOUR(A13547))</f>
        <v/>
      </c>
    </row>
    <row r="13548">
      <c r="A13548">
        <f>Input!A13548</f>
        <v/>
      </c>
      <c r="B13548">
        <f>IF(ISNUMBER(Input!B13548),IF(AND(Input!B13548&gt;=20,Input!B13548&lt;=700),Input!B13548,""),"")</f>
        <v/>
      </c>
      <c r="C13548">
        <f>IF(B13548="","",INT(A13548))</f>
        <v/>
      </c>
      <c r="D13548">
        <f>IF(B13548="","",HOUR(A13548))</f>
        <v/>
      </c>
    </row>
    <row r="13549">
      <c r="A13549">
        <f>Input!A13549</f>
        <v/>
      </c>
      <c r="B13549">
        <f>IF(ISNUMBER(Input!B13549),IF(AND(Input!B13549&gt;=20,Input!B13549&lt;=700),Input!B13549,""),"")</f>
        <v/>
      </c>
      <c r="C13549">
        <f>IF(B13549="","",INT(A13549))</f>
        <v/>
      </c>
      <c r="D13549">
        <f>IF(B13549="","",HOUR(A13549))</f>
        <v/>
      </c>
    </row>
    <row r="13550">
      <c r="A13550">
        <f>Input!A13550</f>
        <v/>
      </c>
      <c r="B13550">
        <f>IF(ISNUMBER(Input!B13550),IF(AND(Input!B13550&gt;=20,Input!B13550&lt;=700),Input!B13550,""),"")</f>
        <v/>
      </c>
      <c r="C13550">
        <f>IF(B13550="","",INT(A13550))</f>
        <v/>
      </c>
      <c r="D13550">
        <f>IF(B13550="","",HOUR(A13550))</f>
        <v/>
      </c>
    </row>
    <row r="13551">
      <c r="A13551">
        <f>Input!A13551</f>
        <v/>
      </c>
      <c r="B13551">
        <f>IF(ISNUMBER(Input!B13551),IF(AND(Input!B13551&gt;=20,Input!B13551&lt;=700),Input!B13551,""),"")</f>
        <v/>
      </c>
      <c r="C13551">
        <f>IF(B13551="","",INT(A13551))</f>
        <v/>
      </c>
      <c r="D13551">
        <f>IF(B13551="","",HOUR(A13551))</f>
        <v/>
      </c>
    </row>
    <row r="13552">
      <c r="A13552">
        <f>Input!A13552</f>
        <v/>
      </c>
      <c r="B13552">
        <f>IF(ISNUMBER(Input!B13552),IF(AND(Input!B13552&gt;=20,Input!B13552&lt;=700),Input!B13552,""),"")</f>
        <v/>
      </c>
      <c r="C13552">
        <f>IF(B13552="","",INT(A13552))</f>
        <v/>
      </c>
      <c r="D13552">
        <f>IF(B13552="","",HOUR(A13552))</f>
        <v/>
      </c>
    </row>
    <row r="13553">
      <c r="A13553">
        <f>Input!A13553</f>
        <v/>
      </c>
      <c r="B13553">
        <f>IF(ISNUMBER(Input!B13553),IF(AND(Input!B13553&gt;=20,Input!B13553&lt;=700),Input!B13553,""),"")</f>
        <v/>
      </c>
      <c r="C13553">
        <f>IF(B13553="","",INT(A13553))</f>
        <v/>
      </c>
      <c r="D13553">
        <f>IF(B13553="","",HOUR(A13553))</f>
        <v/>
      </c>
    </row>
    <row r="13554">
      <c r="A13554">
        <f>Input!A13554</f>
        <v/>
      </c>
      <c r="B13554">
        <f>IF(ISNUMBER(Input!B13554),IF(AND(Input!B13554&gt;=20,Input!B13554&lt;=700),Input!B13554,""),"")</f>
        <v/>
      </c>
      <c r="C13554">
        <f>IF(B13554="","",INT(A13554))</f>
        <v/>
      </c>
      <c r="D13554">
        <f>IF(B13554="","",HOUR(A13554))</f>
        <v/>
      </c>
    </row>
    <row r="13555">
      <c r="A13555">
        <f>Input!A13555</f>
        <v/>
      </c>
      <c r="B13555">
        <f>IF(ISNUMBER(Input!B13555),IF(AND(Input!B13555&gt;=20,Input!B13555&lt;=700),Input!B13555,""),"")</f>
        <v/>
      </c>
      <c r="C13555">
        <f>IF(B13555="","",INT(A13555))</f>
        <v/>
      </c>
      <c r="D13555">
        <f>IF(B13555="","",HOUR(A13555))</f>
        <v/>
      </c>
    </row>
    <row r="13556">
      <c r="A13556">
        <f>Input!A13556</f>
        <v/>
      </c>
      <c r="B13556">
        <f>IF(ISNUMBER(Input!B13556),IF(AND(Input!B13556&gt;=20,Input!B13556&lt;=700),Input!B13556,""),"")</f>
        <v/>
      </c>
      <c r="C13556">
        <f>IF(B13556="","",INT(A13556))</f>
        <v/>
      </c>
      <c r="D13556">
        <f>IF(B13556="","",HOUR(A13556))</f>
        <v/>
      </c>
    </row>
    <row r="13557">
      <c r="A13557">
        <f>Input!A13557</f>
        <v/>
      </c>
      <c r="B13557">
        <f>IF(ISNUMBER(Input!B13557),IF(AND(Input!B13557&gt;=20,Input!B13557&lt;=700),Input!B13557,""),"")</f>
        <v/>
      </c>
      <c r="C13557">
        <f>IF(B13557="","",INT(A13557))</f>
        <v/>
      </c>
      <c r="D13557">
        <f>IF(B13557="","",HOUR(A13557))</f>
        <v/>
      </c>
    </row>
    <row r="13558">
      <c r="A13558">
        <f>Input!A13558</f>
        <v/>
      </c>
      <c r="B13558">
        <f>IF(ISNUMBER(Input!B13558),IF(AND(Input!B13558&gt;=20,Input!B13558&lt;=700),Input!B13558,""),"")</f>
        <v/>
      </c>
      <c r="C13558">
        <f>IF(B13558="","",INT(A13558))</f>
        <v/>
      </c>
      <c r="D13558">
        <f>IF(B13558="","",HOUR(A13558))</f>
        <v/>
      </c>
    </row>
    <row r="13559">
      <c r="A13559">
        <f>Input!A13559</f>
        <v/>
      </c>
      <c r="B13559">
        <f>IF(ISNUMBER(Input!B13559),IF(AND(Input!B13559&gt;=20,Input!B13559&lt;=700),Input!B13559,""),"")</f>
        <v/>
      </c>
      <c r="C13559">
        <f>IF(B13559="","",INT(A13559))</f>
        <v/>
      </c>
      <c r="D13559">
        <f>IF(B13559="","",HOUR(A13559))</f>
        <v/>
      </c>
    </row>
    <row r="13560">
      <c r="A13560">
        <f>Input!A13560</f>
        <v/>
      </c>
      <c r="B13560">
        <f>IF(ISNUMBER(Input!B13560),IF(AND(Input!B13560&gt;=20,Input!B13560&lt;=700),Input!B13560,""),"")</f>
        <v/>
      </c>
      <c r="C13560">
        <f>IF(B13560="","",INT(A13560))</f>
        <v/>
      </c>
      <c r="D13560">
        <f>IF(B13560="","",HOUR(A13560))</f>
        <v/>
      </c>
    </row>
    <row r="13561">
      <c r="A13561">
        <f>Input!A13561</f>
        <v/>
      </c>
      <c r="B13561">
        <f>IF(ISNUMBER(Input!B13561),IF(AND(Input!B13561&gt;=20,Input!B13561&lt;=700),Input!B13561,""),"")</f>
        <v/>
      </c>
      <c r="C13561">
        <f>IF(B13561="","",INT(A13561))</f>
        <v/>
      </c>
      <c r="D13561">
        <f>IF(B13561="","",HOUR(A13561))</f>
        <v/>
      </c>
    </row>
    <row r="13562">
      <c r="A13562">
        <f>Input!A13562</f>
        <v/>
      </c>
      <c r="B13562">
        <f>IF(ISNUMBER(Input!B13562),IF(AND(Input!B13562&gt;=20,Input!B13562&lt;=700),Input!B13562,""),"")</f>
        <v/>
      </c>
      <c r="C13562">
        <f>IF(B13562="","",INT(A13562))</f>
        <v/>
      </c>
      <c r="D13562">
        <f>IF(B13562="","",HOUR(A13562))</f>
        <v/>
      </c>
    </row>
    <row r="13563">
      <c r="A13563">
        <f>Input!A13563</f>
        <v/>
      </c>
      <c r="B13563">
        <f>IF(ISNUMBER(Input!B13563),IF(AND(Input!B13563&gt;=20,Input!B13563&lt;=700),Input!B13563,""),"")</f>
        <v/>
      </c>
      <c r="C13563">
        <f>IF(B13563="","",INT(A13563))</f>
        <v/>
      </c>
      <c r="D13563">
        <f>IF(B13563="","",HOUR(A13563))</f>
        <v/>
      </c>
    </row>
    <row r="13564">
      <c r="A13564">
        <f>Input!A13564</f>
        <v/>
      </c>
      <c r="B13564">
        <f>IF(ISNUMBER(Input!B13564),IF(AND(Input!B13564&gt;=20,Input!B13564&lt;=700),Input!B13564,""),"")</f>
        <v/>
      </c>
      <c r="C13564">
        <f>IF(B13564="","",INT(A13564))</f>
        <v/>
      </c>
      <c r="D13564">
        <f>IF(B13564="","",HOUR(A13564))</f>
        <v/>
      </c>
    </row>
    <row r="13565">
      <c r="A13565">
        <f>Input!A13565</f>
        <v/>
      </c>
      <c r="B13565">
        <f>IF(ISNUMBER(Input!B13565),IF(AND(Input!B13565&gt;=20,Input!B13565&lt;=700),Input!B13565,""),"")</f>
        <v/>
      </c>
      <c r="C13565">
        <f>IF(B13565="","",INT(A13565))</f>
        <v/>
      </c>
      <c r="D13565">
        <f>IF(B13565="","",HOUR(A13565))</f>
        <v/>
      </c>
    </row>
    <row r="13566">
      <c r="A13566">
        <f>Input!A13566</f>
        <v/>
      </c>
      <c r="B13566">
        <f>IF(ISNUMBER(Input!B13566),IF(AND(Input!B13566&gt;=20,Input!B13566&lt;=700),Input!B13566,""),"")</f>
        <v/>
      </c>
      <c r="C13566">
        <f>IF(B13566="","",INT(A13566))</f>
        <v/>
      </c>
      <c r="D13566">
        <f>IF(B13566="","",HOUR(A13566))</f>
        <v/>
      </c>
    </row>
    <row r="13567">
      <c r="A13567">
        <f>Input!A13567</f>
        <v/>
      </c>
      <c r="B13567">
        <f>IF(ISNUMBER(Input!B13567),IF(AND(Input!B13567&gt;=20,Input!B13567&lt;=700),Input!B13567,""),"")</f>
        <v/>
      </c>
      <c r="C13567">
        <f>IF(B13567="","",INT(A13567))</f>
        <v/>
      </c>
      <c r="D13567">
        <f>IF(B13567="","",HOUR(A13567))</f>
        <v/>
      </c>
    </row>
    <row r="13568">
      <c r="A13568">
        <f>Input!A13568</f>
        <v/>
      </c>
      <c r="B13568">
        <f>IF(ISNUMBER(Input!B13568),IF(AND(Input!B13568&gt;=20,Input!B13568&lt;=700),Input!B13568,""),"")</f>
        <v/>
      </c>
      <c r="C13568">
        <f>IF(B13568="","",INT(A13568))</f>
        <v/>
      </c>
      <c r="D13568">
        <f>IF(B13568="","",HOUR(A13568))</f>
        <v/>
      </c>
    </row>
    <row r="13569">
      <c r="A13569">
        <f>Input!A13569</f>
        <v/>
      </c>
      <c r="B13569">
        <f>IF(ISNUMBER(Input!B13569),IF(AND(Input!B13569&gt;=20,Input!B13569&lt;=700),Input!B13569,""),"")</f>
        <v/>
      </c>
      <c r="C13569">
        <f>IF(B13569="","",INT(A13569))</f>
        <v/>
      </c>
      <c r="D13569">
        <f>IF(B13569="","",HOUR(A13569))</f>
        <v/>
      </c>
    </row>
    <row r="13570">
      <c r="A13570">
        <f>Input!A13570</f>
        <v/>
      </c>
      <c r="B13570">
        <f>IF(ISNUMBER(Input!B13570),IF(AND(Input!B13570&gt;=20,Input!B13570&lt;=700),Input!B13570,""),"")</f>
        <v/>
      </c>
      <c r="C13570">
        <f>IF(B13570="","",INT(A13570))</f>
        <v/>
      </c>
      <c r="D13570">
        <f>IF(B13570="","",HOUR(A13570))</f>
        <v/>
      </c>
    </row>
    <row r="13571">
      <c r="A13571">
        <f>Input!A13571</f>
        <v/>
      </c>
      <c r="B13571">
        <f>IF(ISNUMBER(Input!B13571),IF(AND(Input!B13571&gt;=20,Input!B13571&lt;=700),Input!B13571,""),"")</f>
        <v/>
      </c>
      <c r="C13571">
        <f>IF(B13571="","",INT(A13571))</f>
        <v/>
      </c>
      <c r="D13571">
        <f>IF(B13571="","",HOUR(A13571))</f>
        <v/>
      </c>
    </row>
    <row r="13572">
      <c r="A13572">
        <f>Input!A13572</f>
        <v/>
      </c>
      <c r="B13572">
        <f>IF(ISNUMBER(Input!B13572),IF(AND(Input!B13572&gt;=20,Input!B13572&lt;=700),Input!B13572,""),"")</f>
        <v/>
      </c>
      <c r="C13572">
        <f>IF(B13572="","",INT(A13572))</f>
        <v/>
      </c>
      <c r="D13572">
        <f>IF(B13572="","",HOUR(A13572))</f>
        <v/>
      </c>
    </row>
    <row r="13573">
      <c r="A13573">
        <f>Input!A13573</f>
        <v/>
      </c>
      <c r="B13573">
        <f>IF(ISNUMBER(Input!B13573),IF(AND(Input!B13573&gt;=20,Input!B13573&lt;=700),Input!B13573,""),"")</f>
        <v/>
      </c>
      <c r="C13573">
        <f>IF(B13573="","",INT(A13573))</f>
        <v/>
      </c>
      <c r="D13573">
        <f>IF(B13573="","",HOUR(A13573))</f>
        <v/>
      </c>
    </row>
    <row r="13574">
      <c r="A13574">
        <f>Input!A13574</f>
        <v/>
      </c>
      <c r="B13574">
        <f>IF(ISNUMBER(Input!B13574),IF(AND(Input!B13574&gt;=20,Input!B13574&lt;=700),Input!B13574,""),"")</f>
        <v/>
      </c>
      <c r="C13574">
        <f>IF(B13574="","",INT(A13574))</f>
        <v/>
      </c>
      <c r="D13574">
        <f>IF(B13574="","",HOUR(A13574))</f>
        <v/>
      </c>
    </row>
    <row r="13575">
      <c r="A13575">
        <f>Input!A13575</f>
        <v/>
      </c>
      <c r="B13575">
        <f>IF(ISNUMBER(Input!B13575),IF(AND(Input!B13575&gt;=20,Input!B13575&lt;=700),Input!B13575,""),"")</f>
        <v/>
      </c>
      <c r="C13575">
        <f>IF(B13575="","",INT(A13575))</f>
        <v/>
      </c>
      <c r="D13575">
        <f>IF(B13575="","",HOUR(A13575))</f>
        <v/>
      </c>
    </row>
    <row r="13576">
      <c r="A13576">
        <f>Input!A13576</f>
        <v/>
      </c>
      <c r="B13576">
        <f>IF(ISNUMBER(Input!B13576),IF(AND(Input!B13576&gt;=20,Input!B13576&lt;=700),Input!B13576,""),"")</f>
        <v/>
      </c>
      <c r="C13576">
        <f>IF(B13576="","",INT(A13576))</f>
        <v/>
      </c>
      <c r="D13576">
        <f>IF(B13576="","",HOUR(A13576))</f>
        <v/>
      </c>
    </row>
    <row r="13577">
      <c r="A13577">
        <f>Input!A13577</f>
        <v/>
      </c>
      <c r="B13577">
        <f>IF(ISNUMBER(Input!B13577),IF(AND(Input!B13577&gt;=20,Input!B13577&lt;=700),Input!B13577,""),"")</f>
        <v/>
      </c>
      <c r="C13577">
        <f>IF(B13577="","",INT(A13577))</f>
        <v/>
      </c>
      <c r="D13577">
        <f>IF(B13577="","",HOUR(A13577))</f>
        <v/>
      </c>
    </row>
    <row r="13578">
      <c r="A13578">
        <f>Input!A13578</f>
        <v/>
      </c>
      <c r="B13578">
        <f>IF(ISNUMBER(Input!B13578),IF(AND(Input!B13578&gt;=20,Input!B13578&lt;=700),Input!B13578,""),"")</f>
        <v/>
      </c>
      <c r="C13578">
        <f>IF(B13578="","",INT(A13578))</f>
        <v/>
      </c>
      <c r="D13578">
        <f>IF(B13578="","",HOUR(A13578))</f>
        <v/>
      </c>
    </row>
    <row r="13579">
      <c r="A13579">
        <f>Input!A13579</f>
        <v/>
      </c>
      <c r="B13579">
        <f>IF(ISNUMBER(Input!B13579),IF(AND(Input!B13579&gt;=20,Input!B13579&lt;=700),Input!B13579,""),"")</f>
        <v/>
      </c>
      <c r="C13579">
        <f>IF(B13579="","",INT(A13579))</f>
        <v/>
      </c>
      <c r="D13579">
        <f>IF(B13579="","",HOUR(A13579))</f>
        <v/>
      </c>
    </row>
    <row r="13580">
      <c r="A13580">
        <f>Input!A13580</f>
        <v/>
      </c>
      <c r="B13580">
        <f>IF(ISNUMBER(Input!B13580),IF(AND(Input!B13580&gt;=20,Input!B13580&lt;=700),Input!B13580,""),"")</f>
        <v/>
      </c>
      <c r="C13580">
        <f>IF(B13580="","",INT(A13580))</f>
        <v/>
      </c>
      <c r="D13580">
        <f>IF(B13580="","",HOUR(A13580))</f>
        <v/>
      </c>
    </row>
    <row r="13581">
      <c r="A13581">
        <f>Input!A13581</f>
        <v/>
      </c>
      <c r="B13581">
        <f>IF(ISNUMBER(Input!B13581),IF(AND(Input!B13581&gt;=20,Input!B13581&lt;=700),Input!B13581,""),"")</f>
        <v/>
      </c>
      <c r="C13581">
        <f>IF(B13581="","",INT(A13581))</f>
        <v/>
      </c>
      <c r="D13581">
        <f>IF(B13581="","",HOUR(A13581))</f>
        <v/>
      </c>
    </row>
    <row r="13582">
      <c r="A13582">
        <f>Input!A13582</f>
        <v/>
      </c>
      <c r="B13582">
        <f>IF(ISNUMBER(Input!B13582),IF(AND(Input!B13582&gt;=20,Input!B13582&lt;=700),Input!B13582,""),"")</f>
        <v/>
      </c>
      <c r="C13582">
        <f>IF(B13582="","",INT(A13582))</f>
        <v/>
      </c>
      <c r="D13582">
        <f>IF(B13582="","",HOUR(A13582))</f>
        <v/>
      </c>
    </row>
    <row r="13583">
      <c r="A13583">
        <f>Input!A13583</f>
        <v/>
      </c>
      <c r="B13583">
        <f>IF(ISNUMBER(Input!B13583),IF(AND(Input!B13583&gt;=20,Input!B13583&lt;=700),Input!B13583,""),"")</f>
        <v/>
      </c>
      <c r="C13583">
        <f>IF(B13583="","",INT(A13583))</f>
        <v/>
      </c>
      <c r="D13583">
        <f>IF(B13583="","",HOUR(A13583))</f>
        <v/>
      </c>
    </row>
    <row r="13584">
      <c r="A13584">
        <f>Input!A13584</f>
        <v/>
      </c>
      <c r="B13584">
        <f>IF(ISNUMBER(Input!B13584),IF(AND(Input!B13584&gt;=20,Input!B13584&lt;=700),Input!B13584,""),"")</f>
        <v/>
      </c>
      <c r="C13584">
        <f>IF(B13584="","",INT(A13584))</f>
        <v/>
      </c>
      <c r="D13584">
        <f>IF(B13584="","",HOUR(A13584))</f>
        <v/>
      </c>
    </row>
    <row r="13585">
      <c r="A13585">
        <f>Input!A13585</f>
        <v/>
      </c>
      <c r="B13585">
        <f>IF(ISNUMBER(Input!B13585),IF(AND(Input!B13585&gt;=20,Input!B13585&lt;=700),Input!B13585,""),"")</f>
        <v/>
      </c>
      <c r="C13585">
        <f>IF(B13585="","",INT(A13585))</f>
        <v/>
      </c>
      <c r="D13585">
        <f>IF(B13585="","",HOUR(A13585))</f>
        <v/>
      </c>
    </row>
    <row r="13586">
      <c r="A13586">
        <f>Input!A13586</f>
        <v/>
      </c>
      <c r="B13586">
        <f>IF(ISNUMBER(Input!B13586),IF(AND(Input!B13586&gt;=20,Input!B13586&lt;=700),Input!B13586,""),"")</f>
        <v/>
      </c>
      <c r="C13586">
        <f>IF(B13586="","",INT(A13586))</f>
        <v/>
      </c>
      <c r="D13586">
        <f>IF(B13586="","",HOUR(A13586))</f>
        <v/>
      </c>
    </row>
    <row r="13587">
      <c r="A13587">
        <f>Input!A13587</f>
        <v/>
      </c>
      <c r="B13587">
        <f>IF(ISNUMBER(Input!B13587),IF(AND(Input!B13587&gt;=20,Input!B13587&lt;=700),Input!B13587,""),"")</f>
        <v/>
      </c>
      <c r="C13587">
        <f>IF(B13587="","",INT(A13587))</f>
        <v/>
      </c>
      <c r="D13587">
        <f>IF(B13587="","",HOUR(A13587))</f>
        <v/>
      </c>
    </row>
    <row r="13588">
      <c r="A13588">
        <f>Input!A13588</f>
        <v/>
      </c>
      <c r="B13588">
        <f>IF(ISNUMBER(Input!B13588),IF(AND(Input!B13588&gt;=20,Input!B13588&lt;=700),Input!B13588,""),"")</f>
        <v/>
      </c>
      <c r="C13588">
        <f>IF(B13588="","",INT(A13588))</f>
        <v/>
      </c>
      <c r="D13588">
        <f>IF(B13588="","",HOUR(A13588))</f>
        <v/>
      </c>
    </row>
    <row r="13589">
      <c r="A13589">
        <f>Input!A13589</f>
        <v/>
      </c>
      <c r="B13589">
        <f>IF(ISNUMBER(Input!B13589),IF(AND(Input!B13589&gt;=20,Input!B13589&lt;=700),Input!B13589,""),"")</f>
        <v/>
      </c>
      <c r="C13589">
        <f>IF(B13589="","",INT(A13589))</f>
        <v/>
      </c>
      <c r="D13589">
        <f>IF(B13589="","",HOUR(A13589))</f>
        <v/>
      </c>
    </row>
    <row r="13590">
      <c r="A13590">
        <f>Input!A13590</f>
        <v/>
      </c>
      <c r="B13590">
        <f>IF(ISNUMBER(Input!B13590),IF(AND(Input!B13590&gt;=20,Input!B13590&lt;=700),Input!B13590,""),"")</f>
        <v/>
      </c>
      <c r="C13590">
        <f>IF(B13590="","",INT(A13590))</f>
        <v/>
      </c>
      <c r="D13590">
        <f>IF(B13590="","",HOUR(A13590))</f>
        <v/>
      </c>
    </row>
    <row r="13591">
      <c r="A13591">
        <f>Input!A13591</f>
        <v/>
      </c>
      <c r="B13591">
        <f>IF(ISNUMBER(Input!B13591),IF(AND(Input!B13591&gt;=20,Input!B13591&lt;=700),Input!B13591,""),"")</f>
        <v/>
      </c>
      <c r="C13591">
        <f>IF(B13591="","",INT(A13591))</f>
        <v/>
      </c>
      <c r="D13591">
        <f>IF(B13591="","",HOUR(A13591))</f>
        <v/>
      </c>
    </row>
    <row r="13592">
      <c r="A13592">
        <f>Input!A13592</f>
        <v/>
      </c>
      <c r="B13592">
        <f>IF(ISNUMBER(Input!B13592),IF(AND(Input!B13592&gt;=20,Input!B13592&lt;=700),Input!B13592,""),"")</f>
        <v/>
      </c>
      <c r="C13592">
        <f>IF(B13592="","",INT(A13592))</f>
        <v/>
      </c>
      <c r="D13592">
        <f>IF(B13592="","",HOUR(A13592))</f>
        <v/>
      </c>
    </row>
    <row r="13593">
      <c r="A13593">
        <f>Input!A13593</f>
        <v/>
      </c>
      <c r="B13593">
        <f>IF(ISNUMBER(Input!B13593),IF(AND(Input!B13593&gt;=20,Input!B13593&lt;=700),Input!B13593,""),"")</f>
        <v/>
      </c>
      <c r="C13593">
        <f>IF(B13593="","",INT(A13593))</f>
        <v/>
      </c>
      <c r="D13593">
        <f>IF(B13593="","",HOUR(A13593))</f>
        <v/>
      </c>
    </row>
    <row r="13594">
      <c r="A13594">
        <f>Input!A13594</f>
        <v/>
      </c>
      <c r="B13594">
        <f>IF(ISNUMBER(Input!B13594),IF(AND(Input!B13594&gt;=20,Input!B13594&lt;=700),Input!B13594,""),"")</f>
        <v/>
      </c>
      <c r="C13594">
        <f>IF(B13594="","",INT(A13594))</f>
        <v/>
      </c>
      <c r="D13594">
        <f>IF(B13594="","",HOUR(A13594))</f>
        <v/>
      </c>
    </row>
    <row r="13595">
      <c r="A13595">
        <f>Input!A13595</f>
        <v/>
      </c>
      <c r="B13595">
        <f>IF(ISNUMBER(Input!B13595),IF(AND(Input!B13595&gt;=20,Input!B13595&lt;=700),Input!B13595,""),"")</f>
        <v/>
      </c>
      <c r="C13595">
        <f>IF(B13595="","",INT(A13595))</f>
        <v/>
      </c>
      <c r="D13595">
        <f>IF(B13595="","",HOUR(A13595))</f>
        <v/>
      </c>
    </row>
    <row r="13596">
      <c r="A13596">
        <f>Input!A13596</f>
        <v/>
      </c>
      <c r="B13596">
        <f>IF(ISNUMBER(Input!B13596),IF(AND(Input!B13596&gt;=20,Input!B13596&lt;=700),Input!B13596,""),"")</f>
        <v/>
      </c>
      <c r="C13596">
        <f>IF(B13596="","",INT(A13596))</f>
        <v/>
      </c>
      <c r="D13596">
        <f>IF(B13596="","",HOUR(A13596))</f>
        <v/>
      </c>
    </row>
    <row r="13597">
      <c r="A13597">
        <f>Input!A13597</f>
        <v/>
      </c>
      <c r="B13597">
        <f>IF(ISNUMBER(Input!B13597),IF(AND(Input!B13597&gt;=20,Input!B13597&lt;=700),Input!B13597,""),"")</f>
        <v/>
      </c>
      <c r="C13597">
        <f>IF(B13597="","",INT(A13597))</f>
        <v/>
      </c>
      <c r="D13597">
        <f>IF(B13597="","",HOUR(A13597))</f>
        <v/>
      </c>
    </row>
    <row r="13598">
      <c r="A13598">
        <f>Input!A13598</f>
        <v/>
      </c>
      <c r="B13598">
        <f>IF(ISNUMBER(Input!B13598),IF(AND(Input!B13598&gt;=20,Input!B13598&lt;=700),Input!B13598,""),"")</f>
        <v/>
      </c>
      <c r="C13598">
        <f>IF(B13598="","",INT(A13598))</f>
        <v/>
      </c>
      <c r="D13598">
        <f>IF(B13598="","",HOUR(A13598))</f>
        <v/>
      </c>
    </row>
    <row r="13599">
      <c r="A13599">
        <f>Input!A13599</f>
        <v/>
      </c>
      <c r="B13599">
        <f>IF(ISNUMBER(Input!B13599),IF(AND(Input!B13599&gt;=20,Input!B13599&lt;=700),Input!B13599,""),"")</f>
        <v/>
      </c>
      <c r="C13599">
        <f>IF(B13599="","",INT(A13599))</f>
        <v/>
      </c>
      <c r="D13599">
        <f>IF(B13599="","",HOUR(A13599))</f>
        <v/>
      </c>
    </row>
    <row r="13600">
      <c r="A13600">
        <f>Input!A13600</f>
        <v/>
      </c>
      <c r="B13600">
        <f>IF(ISNUMBER(Input!B13600),IF(AND(Input!B13600&gt;=20,Input!B13600&lt;=700),Input!B13600,""),"")</f>
        <v/>
      </c>
      <c r="C13600">
        <f>IF(B13600="","",INT(A13600))</f>
        <v/>
      </c>
      <c r="D13600">
        <f>IF(B13600="","",HOUR(A13600))</f>
        <v/>
      </c>
    </row>
    <row r="13601">
      <c r="A13601">
        <f>Input!A13601</f>
        <v/>
      </c>
      <c r="B13601">
        <f>IF(ISNUMBER(Input!B13601),IF(AND(Input!B13601&gt;=20,Input!B13601&lt;=700),Input!B13601,""),"")</f>
        <v/>
      </c>
      <c r="C13601">
        <f>IF(B13601="","",INT(A13601))</f>
        <v/>
      </c>
      <c r="D13601">
        <f>IF(B13601="","",HOUR(A13601))</f>
        <v/>
      </c>
    </row>
    <row r="13602">
      <c r="A13602">
        <f>Input!A13602</f>
        <v/>
      </c>
      <c r="B13602">
        <f>IF(ISNUMBER(Input!B13602),IF(AND(Input!B13602&gt;=20,Input!B13602&lt;=700),Input!B13602,""),"")</f>
        <v/>
      </c>
      <c r="C13602">
        <f>IF(B13602="","",INT(A13602))</f>
        <v/>
      </c>
      <c r="D13602">
        <f>IF(B13602="","",HOUR(A13602))</f>
        <v/>
      </c>
    </row>
    <row r="13603">
      <c r="A13603">
        <f>Input!A13603</f>
        <v/>
      </c>
      <c r="B13603">
        <f>IF(ISNUMBER(Input!B13603),IF(AND(Input!B13603&gt;=20,Input!B13603&lt;=700),Input!B13603,""),"")</f>
        <v/>
      </c>
      <c r="C13603">
        <f>IF(B13603="","",INT(A13603))</f>
        <v/>
      </c>
      <c r="D13603">
        <f>IF(B13603="","",HOUR(A13603))</f>
        <v/>
      </c>
    </row>
    <row r="13604">
      <c r="A13604">
        <f>Input!A13604</f>
        <v/>
      </c>
      <c r="B13604">
        <f>IF(ISNUMBER(Input!B13604),IF(AND(Input!B13604&gt;=20,Input!B13604&lt;=700),Input!B13604,""),"")</f>
        <v/>
      </c>
      <c r="C13604">
        <f>IF(B13604="","",INT(A13604))</f>
        <v/>
      </c>
      <c r="D13604">
        <f>IF(B13604="","",HOUR(A13604))</f>
        <v/>
      </c>
    </row>
    <row r="13605">
      <c r="A13605">
        <f>Input!A13605</f>
        <v/>
      </c>
      <c r="B13605">
        <f>IF(ISNUMBER(Input!B13605),IF(AND(Input!B13605&gt;=20,Input!B13605&lt;=700),Input!B13605,""),"")</f>
        <v/>
      </c>
      <c r="C13605">
        <f>IF(B13605="","",INT(A13605))</f>
        <v/>
      </c>
      <c r="D13605">
        <f>IF(B13605="","",HOUR(A13605))</f>
        <v/>
      </c>
    </row>
    <row r="13606">
      <c r="A13606">
        <f>Input!A13606</f>
        <v/>
      </c>
      <c r="B13606">
        <f>IF(ISNUMBER(Input!B13606),IF(AND(Input!B13606&gt;=20,Input!B13606&lt;=700),Input!B13606,""),"")</f>
        <v/>
      </c>
      <c r="C13606">
        <f>IF(B13606="","",INT(A13606))</f>
        <v/>
      </c>
      <c r="D13606">
        <f>IF(B13606="","",HOUR(A13606))</f>
        <v/>
      </c>
    </row>
    <row r="13607">
      <c r="A13607">
        <f>Input!A13607</f>
        <v/>
      </c>
      <c r="B13607">
        <f>IF(ISNUMBER(Input!B13607),IF(AND(Input!B13607&gt;=20,Input!B13607&lt;=700),Input!B13607,""),"")</f>
        <v/>
      </c>
      <c r="C13607">
        <f>IF(B13607="","",INT(A13607))</f>
        <v/>
      </c>
      <c r="D13607">
        <f>IF(B13607="","",HOUR(A13607))</f>
        <v/>
      </c>
    </row>
    <row r="13608">
      <c r="A13608">
        <f>Input!A13608</f>
        <v/>
      </c>
      <c r="B13608">
        <f>IF(ISNUMBER(Input!B13608),IF(AND(Input!B13608&gt;=20,Input!B13608&lt;=700),Input!B13608,""),"")</f>
        <v/>
      </c>
      <c r="C13608">
        <f>IF(B13608="","",INT(A13608))</f>
        <v/>
      </c>
      <c r="D13608">
        <f>IF(B13608="","",HOUR(A13608))</f>
        <v/>
      </c>
    </row>
    <row r="13609">
      <c r="A13609">
        <f>Input!A13609</f>
        <v/>
      </c>
      <c r="B13609">
        <f>IF(ISNUMBER(Input!B13609),IF(AND(Input!B13609&gt;=20,Input!B13609&lt;=700),Input!B13609,""),"")</f>
        <v/>
      </c>
      <c r="C13609">
        <f>IF(B13609="","",INT(A13609))</f>
        <v/>
      </c>
      <c r="D13609">
        <f>IF(B13609="","",HOUR(A13609))</f>
        <v/>
      </c>
    </row>
    <row r="13610">
      <c r="A13610">
        <f>Input!A13610</f>
        <v/>
      </c>
      <c r="B13610">
        <f>IF(ISNUMBER(Input!B13610),IF(AND(Input!B13610&gt;=20,Input!B13610&lt;=700),Input!B13610,""),"")</f>
        <v/>
      </c>
      <c r="C13610">
        <f>IF(B13610="","",INT(A13610))</f>
        <v/>
      </c>
      <c r="D13610">
        <f>IF(B13610="","",HOUR(A13610))</f>
        <v/>
      </c>
    </row>
    <row r="13611">
      <c r="A13611">
        <f>Input!A13611</f>
        <v/>
      </c>
      <c r="B13611">
        <f>IF(ISNUMBER(Input!B13611),IF(AND(Input!B13611&gt;=20,Input!B13611&lt;=700),Input!B13611,""),"")</f>
        <v/>
      </c>
      <c r="C13611">
        <f>IF(B13611="","",INT(A13611))</f>
        <v/>
      </c>
      <c r="D13611">
        <f>IF(B13611="","",HOUR(A13611))</f>
        <v/>
      </c>
    </row>
    <row r="13612">
      <c r="A13612">
        <f>Input!A13612</f>
        <v/>
      </c>
      <c r="B13612">
        <f>IF(ISNUMBER(Input!B13612),IF(AND(Input!B13612&gt;=20,Input!B13612&lt;=700),Input!B13612,""),"")</f>
        <v/>
      </c>
      <c r="C13612">
        <f>IF(B13612="","",INT(A13612))</f>
        <v/>
      </c>
      <c r="D13612">
        <f>IF(B13612="","",HOUR(A13612))</f>
        <v/>
      </c>
    </row>
    <row r="13613">
      <c r="A13613">
        <f>Input!A13613</f>
        <v/>
      </c>
      <c r="B13613">
        <f>IF(ISNUMBER(Input!B13613),IF(AND(Input!B13613&gt;=20,Input!B13613&lt;=700),Input!B13613,""),"")</f>
        <v/>
      </c>
      <c r="C13613">
        <f>IF(B13613="","",INT(A13613))</f>
        <v/>
      </c>
      <c r="D13613">
        <f>IF(B13613="","",HOUR(A13613))</f>
        <v/>
      </c>
    </row>
    <row r="13614">
      <c r="A13614">
        <f>Input!A13614</f>
        <v/>
      </c>
      <c r="B13614">
        <f>IF(ISNUMBER(Input!B13614),IF(AND(Input!B13614&gt;=20,Input!B13614&lt;=700),Input!B13614,""),"")</f>
        <v/>
      </c>
      <c r="C13614">
        <f>IF(B13614="","",INT(A13614))</f>
        <v/>
      </c>
      <c r="D13614">
        <f>IF(B13614="","",HOUR(A13614))</f>
        <v/>
      </c>
    </row>
    <row r="13615">
      <c r="A13615">
        <f>Input!A13615</f>
        <v/>
      </c>
      <c r="B13615">
        <f>IF(ISNUMBER(Input!B13615),IF(AND(Input!B13615&gt;=20,Input!B13615&lt;=700),Input!B13615,""),"")</f>
        <v/>
      </c>
      <c r="C13615">
        <f>IF(B13615="","",INT(A13615))</f>
        <v/>
      </c>
      <c r="D13615">
        <f>IF(B13615="","",HOUR(A13615))</f>
        <v/>
      </c>
    </row>
    <row r="13616">
      <c r="A13616">
        <f>Input!A13616</f>
        <v/>
      </c>
      <c r="B13616">
        <f>IF(ISNUMBER(Input!B13616),IF(AND(Input!B13616&gt;=20,Input!B13616&lt;=700),Input!B13616,""),"")</f>
        <v/>
      </c>
      <c r="C13616">
        <f>IF(B13616="","",INT(A13616))</f>
        <v/>
      </c>
      <c r="D13616">
        <f>IF(B13616="","",HOUR(A13616))</f>
        <v/>
      </c>
    </row>
    <row r="13617">
      <c r="A13617">
        <f>Input!A13617</f>
        <v/>
      </c>
      <c r="B13617">
        <f>IF(ISNUMBER(Input!B13617),IF(AND(Input!B13617&gt;=20,Input!B13617&lt;=700),Input!B13617,""),"")</f>
        <v/>
      </c>
      <c r="C13617">
        <f>IF(B13617="","",INT(A13617))</f>
        <v/>
      </c>
      <c r="D13617">
        <f>IF(B13617="","",HOUR(A13617))</f>
        <v/>
      </c>
    </row>
    <row r="13618">
      <c r="A13618">
        <f>Input!A13618</f>
        <v/>
      </c>
      <c r="B13618">
        <f>IF(ISNUMBER(Input!B13618),IF(AND(Input!B13618&gt;=20,Input!B13618&lt;=700),Input!B13618,""),"")</f>
        <v/>
      </c>
      <c r="C13618">
        <f>IF(B13618="","",INT(A13618))</f>
        <v/>
      </c>
      <c r="D13618">
        <f>IF(B13618="","",HOUR(A13618))</f>
        <v/>
      </c>
    </row>
    <row r="13619">
      <c r="A13619">
        <f>Input!A13619</f>
        <v/>
      </c>
      <c r="B13619">
        <f>IF(ISNUMBER(Input!B13619),IF(AND(Input!B13619&gt;=20,Input!B13619&lt;=700),Input!B13619,""),"")</f>
        <v/>
      </c>
      <c r="C13619">
        <f>IF(B13619="","",INT(A13619))</f>
        <v/>
      </c>
      <c r="D13619">
        <f>IF(B13619="","",HOUR(A13619))</f>
        <v/>
      </c>
    </row>
    <row r="13620">
      <c r="A13620">
        <f>Input!A13620</f>
        <v/>
      </c>
      <c r="B13620">
        <f>IF(ISNUMBER(Input!B13620),IF(AND(Input!B13620&gt;=20,Input!B13620&lt;=700),Input!B13620,""),"")</f>
        <v/>
      </c>
      <c r="C13620">
        <f>IF(B13620="","",INT(A13620))</f>
        <v/>
      </c>
      <c r="D13620">
        <f>IF(B13620="","",HOUR(A13620))</f>
        <v/>
      </c>
    </row>
    <row r="13621">
      <c r="A13621">
        <f>Input!A13621</f>
        <v/>
      </c>
      <c r="B13621">
        <f>IF(ISNUMBER(Input!B13621),IF(AND(Input!B13621&gt;=20,Input!B13621&lt;=700),Input!B13621,""),"")</f>
        <v/>
      </c>
      <c r="C13621">
        <f>IF(B13621="","",INT(A13621))</f>
        <v/>
      </c>
      <c r="D13621">
        <f>IF(B13621="","",HOUR(A13621))</f>
        <v/>
      </c>
    </row>
    <row r="13622">
      <c r="A13622">
        <f>Input!A13622</f>
        <v/>
      </c>
      <c r="B13622">
        <f>IF(ISNUMBER(Input!B13622),IF(AND(Input!B13622&gt;=20,Input!B13622&lt;=700),Input!B13622,""),"")</f>
        <v/>
      </c>
      <c r="C13622">
        <f>IF(B13622="","",INT(A13622))</f>
        <v/>
      </c>
      <c r="D13622">
        <f>IF(B13622="","",HOUR(A13622))</f>
        <v/>
      </c>
    </row>
    <row r="13623">
      <c r="A13623">
        <f>Input!A13623</f>
        <v/>
      </c>
      <c r="B13623">
        <f>IF(ISNUMBER(Input!B13623),IF(AND(Input!B13623&gt;=20,Input!B13623&lt;=700),Input!B13623,""),"")</f>
        <v/>
      </c>
      <c r="C13623">
        <f>IF(B13623="","",INT(A13623))</f>
        <v/>
      </c>
      <c r="D13623">
        <f>IF(B13623="","",HOUR(A13623))</f>
        <v/>
      </c>
    </row>
    <row r="13624">
      <c r="A13624">
        <f>Input!A13624</f>
        <v/>
      </c>
      <c r="B13624">
        <f>IF(ISNUMBER(Input!B13624),IF(AND(Input!B13624&gt;=20,Input!B13624&lt;=700),Input!B13624,""),"")</f>
        <v/>
      </c>
      <c r="C13624">
        <f>IF(B13624="","",INT(A13624))</f>
        <v/>
      </c>
      <c r="D13624">
        <f>IF(B13624="","",HOUR(A13624))</f>
        <v/>
      </c>
    </row>
    <row r="13625">
      <c r="A13625">
        <f>Input!A13625</f>
        <v/>
      </c>
      <c r="B13625">
        <f>IF(ISNUMBER(Input!B13625),IF(AND(Input!B13625&gt;=20,Input!B13625&lt;=700),Input!B13625,""),"")</f>
        <v/>
      </c>
      <c r="C13625">
        <f>IF(B13625="","",INT(A13625))</f>
        <v/>
      </c>
      <c r="D13625">
        <f>IF(B13625="","",HOUR(A13625))</f>
        <v/>
      </c>
    </row>
    <row r="13626">
      <c r="A13626">
        <f>Input!A13626</f>
        <v/>
      </c>
      <c r="B13626">
        <f>IF(ISNUMBER(Input!B13626),IF(AND(Input!B13626&gt;=20,Input!B13626&lt;=700),Input!B13626,""),"")</f>
        <v/>
      </c>
      <c r="C13626">
        <f>IF(B13626="","",INT(A13626))</f>
        <v/>
      </c>
      <c r="D13626">
        <f>IF(B13626="","",HOUR(A13626))</f>
        <v/>
      </c>
    </row>
    <row r="13627">
      <c r="A13627">
        <f>Input!A13627</f>
        <v/>
      </c>
      <c r="B13627">
        <f>IF(ISNUMBER(Input!B13627),IF(AND(Input!B13627&gt;=20,Input!B13627&lt;=700),Input!B13627,""),"")</f>
        <v/>
      </c>
      <c r="C13627">
        <f>IF(B13627="","",INT(A13627))</f>
        <v/>
      </c>
      <c r="D13627">
        <f>IF(B13627="","",HOUR(A13627))</f>
        <v/>
      </c>
    </row>
    <row r="13628">
      <c r="A13628">
        <f>Input!A13628</f>
        <v/>
      </c>
      <c r="B13628">
        <f>IF(ISNUMBER(Input!B13628),IF(AND(Input!B13628&gt;=20,Input!B13628&lt;=700),Input!B13628,""),"")</f>
        <v/>
      </c>
      <c r="C13628">
        <f>IF(B13628="","",INT(A13628))</f>
        <v/>
      </c>
      <c r="D13628">
        <f>IF(B13628="","",HOUR(A13628))</f>
        <v/>
      </c>
    </row>
    <row r="13629">
      <c r="A13629">
        <f>Input!A13629</f>
        <v/>
      </c>
      <c r="B13629">
        <f>IF(ISNUMBER(Input!B13629),IF(AND(Input!B13629&gt;=20,Input!B13629&lt;=700),Input!B13629,""),"")</f>
        <v/>
      </c>
      <c r="C13629">
        <f>IF(B13629="","",INT(A13629))</f>
        <v/>
      </c>
      <c r="D13629">
        <f>IF(B13629="","",HOUR(A13629))</f>
        <v/>
      </c>
    </row>
    <row r="13630">
      <c r="A13630">
        <f>Input!A13630</f>
        <v/>
      </c>
      <c r="B13630">
        <f>IF(ISNUMBER(Input!B13630),IF(AND(Input!B13630&gt;=20,Input!B13630&lt;=700),Input!B13630,""),"")</f>
        <v/>
      </c>
      <c r="C13630">
        <f>IF(B13630="","",INT(A13630))</f>
        <v/>
      </c>
      <c r="D13630">
        <f>IF(B13630="","",HOUR(A13630))</f>
        <v/>
      </c>
    </row>
    <row r="13631">
      <c r="A13631">
        <f>Input!A13631</f>
        <v/>
      </c>
      <c r="B13631">
        <f>IF(ISNUMBER(Input!B13631),IF(AND(Input!B13631&gt;=20,Input!B13631&lt;=700),Input!B13631,""),"")</f>
        <v/>
      </c>
      <c r="C13631">
        <f>IF(B13631="","",INT(A13631))</f>
        <v/>
      </c>
      <c r="D13631">
        <f>IF(B13631="","",HOUR(A13631))</f>
        <v/>
      </c>
    </row>
    <row r="13632">
      <c r="A13632">
        <f>Input!A13632</f>
        <v/>
      </c>
      <c r="B13632">
        <f>IF(ISNUMBER(Input!B13632),IF(AND(Input!B13632&gt;=20,Input!B13632&lt;=700),Input!B13632,""),"")</f>
        <v/>
      </c>
      <c r="C13632">
        <f>IF(B13632="","",INT(A13632))</f>
        <v/>
      </c>
      <c r="D13632">
        <f>IF(B13632="","",HOUR(A13632))</f>
        <v/>
      </c>
    </row>
    <row r="13633">
      <c r="A13633">
        <f>Input!A13633</f>
        <v/>
      </c>
      <c r="B13633">
        <f>IF(ISNUMBER(Input!B13633),IF(AND(Input!B13633&gt;=20,Input!B13633&lt;=700),Input!B13633,""),"")</f>
        <v/>
      </c>
      <c r="C13633">
        <f>IF(B13633="","",INT(A13633))</f>
        <v/>
      </c>
      <c r="D13633">
        <f>IF(B13633="","",HOUR(A13633))</f>
        <v/>
      </c>
    </row>
    <row r="13634">
      <c r="A13634">
        <f>Input!A13634</f>
        <v/>
      </c>
      <c r="B13634">
        <f>IF(ISNUMBER(Input!B13634),IF(AND(Input!B13634&gt;=20,Input!B13634&lt;=700),Input!B13634,""),"")</f>
        <v/>
      </c>
      <c r="C13634">
        <f>IF(B13634="","",INT(A13634))</f>
        <v/>
      </c>
      <c r="D13634">
        <f>IF(B13634="","",HOUR(A13634))</f>
        <v/>
      </c>
    </row>
    <row r="13635">
      <c r="A13635">
        <f>Input!A13635</f>
        <v/>
      </c>
      <c r="B13635">
        <f>IF(ISNUMBER(Input!B13635),IF(AND(Input!B13635&gt;=20,Input!B13635&lt;=700),Input!B13635,""),"")</f>
        <v/>
      </c>
      <c r="C13635">
        <f>IF(B13635="","",INT(A13635))</f>
        <v/>
      </c>
      <c r="D13635">
        <f>IF(B13635="","",HOUR(A13635))</f>
        <v/>
      </c>
    </row>
    <row r="13636">
      <c r="A13636">
        <f>Input!A13636</f>
        <v/>
      </c>
      <c r="B13636">
        <f>IF(ISNUMBER(Input!B13636),IF(AND(Input!B13636&gt;=20,Input!B13636&lt;=700),Input!B13636,""),"")</f>
        <v/>
      </c>
      <c r="C13636">
        <f>IF(B13636="","",INT(A13636))</f>
        <v/>
      </c>
      <c r="D13636">
        <f>IF(B13636="","",HOUR(A13636))</f>
        <v/>
      </c>
    </row>
    <row r="13637">
      <c r="A13637">
        <f>Input!A13637</f>
        <v/>
      </c>
      <c r="B13637">
        <f>IF(ISNUMBER(Input!B13637),IF(AND(Input!B13637&gt;=20,Input!B13637&lt;=700),Input!B13637,""),"")</f>
        <v/>
      </c>
      <c r="C13637">
        <f>IF(B13637="","",INT(A13637))</f>
        <v/>
      </c>
      <c r="D13637">
        <f>IF(B13637="","",HOUR(A13637))</f>
        <v/>
      </c>
    </row>
    <row r="13638">
      <c r="A13638">
        <f>Input!A13638</f>
        <v/>
      </c>
      <c r="B13638">
        <f>IF(ISNUMBER(Input!B13638),IF(AND(Input!B13638&gt;=20,Input!B13638&lt;=700),Input!B13638,""),"")</f>
        <v/>
      </c>
      <c r="C13638">
        <f>IF(B13638="","",INT(A13638))</f>
        <v/>
      </c>
      <c r="D13638">
        <f>IF(B13638="","",HOUR(A13638))</f>
        <v/>
      </c>
    </row>
    <row r="13639">
      <c r="A13639">
        <f>Input!A13639</f>
        <v/>
      </c>
      <c r="B13639">
        <f>IF(ISNUMBER(Input!B13639),IF(AND(Input!B13639&gt;=20,Input!B13639&lt;=700),Input!B13639,""),"")</f>
        <v/>
      </c>
      <c r="C13639">
        <f>IF(B13639="","",INT(A13639))</f>
        <v/>
      </c>
      <c r="D13639">
        <f>IF(B13639="","",HOUR(A13639))</f>
        <v/>
      </c>
    </row>
    <row r="13640">
      <c r="A13640">
        <f>Input!A13640</f>
        <v/>
      </c>
      <c r="B13640">
        <f>IF(ISNUMBER(Input!B13640),IF(AND(Input!B13640&gt;=20,Input!B13640&lt;=700),Input!B13640,""),"")</f>
        <v/>
      </c>
      <c r="C13640">
        <f>IF(B13640="","",INT(A13640))</f>
        <v/>
      </c>
      <c r="D13640">
        <f>IF(B13640="","",HOUR(A13640))</f>
        <v/>
      </c>
    </row>
    <row r="13641">
      <c r="A13641">
        <f>Input!A13641</f>
        <v/>
      </c>
      <c r="B13641">
        <f>IF(ISNUMBER(Input!B13641),IF(AND(Input!B13641&gt;=20,Input!B13641&lt;=700),Input!B13641,""),"")</f>
        <v/>
      </c>
      <c r="C13641">
        <f>IF(B13641="","",INT(A13641))</f>
        <v/>
      </c>
      <c r="D13641">
        <f>IF(B13641="","",HOUR(A13641))</f>
        <v/>
      </c>
    </row>
    <row r="13642">
      <c r="A13642">
        <f>Input!A13642</f>
        <v/>
      </c>
      <c r="B13642">
        <f>IF(ISNUMBER(Input!B13642),IF(AND(Input!B13642&gt;=20,Input!B13642&lt;=700),Input!B13642,""),"")</f>
        <v/>
      </c>
      <c r="C13642">
        <f>IF(B13642="","",INT(A13642))</f>
        <v/>
      </c>
      <c r="D13642">
        <f>IF(B13642="","",HOUR(A13642))</f>
        <v/>
      </c>
    </row>
    <row r="13643">
      <c r="A13643">
        <f>Input!A13643</f>
        <v/>
      </c>
      <c r="B13643">
        <f>IF(ISNUMBER(Input!B13643),IF(AND(Input!B13643&gt;=20,Input!B13643&lt;=700),Input!B13643,""),"")</f>
        <v/>
      </c>
      <c r="C13643">
        <f>IF(B13643="","",INT(A13643))</f>
        <v/>
      </c>
      <c r="D13643">
        <f>IF(B13643="","",HOUR(A13643))</f>
        <v/>
      </c>
    </row>
    <row r="13644">
      <c r="A13644">
        <f>Input!A13644</f>
        <v/>
      </c>
      <c r="B13644">
        <f>IF(ISNUMBER(Input!B13644),IF(AND(Input!B13644&gt;=20,Input!B13644&lt;=700),Input!B13644,""),"")</f>
        <v/>
      </c>
      <c r="C13644">
        <f>IF(B13644="","",INT(A13644))</f>
        <v/>
      </c>
      <c r="D13644">
        <f>IF(B13644="","",HOUR(A13644))</f>
        <v/>
      </c>
    </row>
    <row r="13645">
      <c r="A13645">
        <f>Input!A13645</f>
        <v/>
      </c>
      <c r="B13645">
        <f>IF(ISNUMBER(Input!B13645),IF(AND(Input!B13645&gt;=20,Input!B13645&lt;=700),Input!B13645,""),"")</f>
        <v/>
      </c>
      <c r="C13645">
        <f>IF(B13645="","",INT(A13645))</f>
        <v/>
      </c>
      <c r="D13645">
        <f>IF(B13645="","",HOUR(A13645))</f>
        <v/>
      </c>
    </row>
    <row r="13646">
      <c r="A13646">
        <f>Input!A13646</f>
        <v/>
      </c>
      <c r="B13646">
        <f>IF(ISNUMBER(Input!B13646),IF(AND(Input!B13646&gt;=20,Input!B13646&lt;=700),Input!B13646,""),"")</f>
        <v/>
      </c>
      <c r="C13646">
        <f>IF(B13646="","",INT(A13646))</f>
        <v/>
      </c>
      <c r="D13646">
        <f>IF(B13646="","",HOUR(A13646))</f>
        <v/>
      </c>
    </row>
    <row r="13647">
      <c r="A13647">
        <f>Input!A13647</f>
        <v/>
      </c>
      <c r="B13647">
        <f>IF(ISNUMBER(Input!B13647),IF(AND(Input!B13647&gt;=20,Input!B13647&lt;=700),Input!B13647,""),"")</f>
        <v/>
      </c>
      <c r="C13647">
        <f>IF(B13647="","",INT(A13647))</f>
        <v/>
      </c>
      <c r="D13647">
        <f>IF(B13647="","",HOUR(A13647))</f>
        <v/>
      </c>
    </row>
    <row r="13648">
      <c r="A13648">
        <f>Input!A13648</f>
        <v/>
      </c>
      <c r="B13648">
        <f>IF(ISNUMBER(Input!B13648),IF(AND(Input!B13648&gt;=20,Input!B13648&lt;=700),Input!B13648,""),"")</f>
        <v/>
      </c>
      <c r="C13648">
        <f>IF(B13648="","",INT(A13648))</f>
        <v/>
      </c>
      <c r="D13648">
        <f>IF(B13648="","",HOUR(A13648))</f>
        <v/>
      </c>
    </row>
    <row r="13649">
      <c r="A13649">
        <f>Input!A13649</f>
        <v/>
      </c>
      <c r="B13649">
        <f>IF(ISNUMBER(Input!B13649),IF(AND(Input!B13649&gt;=20,Input!B13649&lt;=700),Input!B13649,""),"")</f>
        <v/>
      </c>
      <c r="C13649">
        <f>IF(B13649="","",INT(A13649))</f>
        <v/>
      </c>
      <c r="D13649">
        <f>IF(B13649="","",HOUR(A13649))</f>
        <v/>
      </c>
    </row>
    <row r="13650">
      <c r="A13650">
        <f>Input!A13650</f>
        <v/>
      </c>
      <c r="B13650">
        <f>IF(ISNUMBER(Input!B13650),IF(AND(Input!B13650&gt;=20,Input!B13650&lt;=700),Input!B13650,""),"")</f>
        <v/>
      </c>
      <c r="C13650">
        <f>IF(B13650="","",INT(A13650))</f>
        <v/>
      </c>
      <c r="D13650">
        <f>IF(B13650="","",HOUR(A13650))</f>
        <v/>
      </c>
    </row>
    <row r="13651">
      <c r="A13651">
        <f>Input!A13651</f>
        <v/>
      </c>
      <c r="B13651">
        <f>IF(ISNUMBER(Input!B13651),IF(AND(Input!B13651&gt;=20,Input!B13651&lt;=700),Input!B13651,""),"")</f>
        <v/>
      </c>
      <c r="C13651">
        <f>IF(B13651="","",INT(A13651))</f>
        <v/>
      </c>
      <c r="D13651">
        <f>IF(B13651="","",HOUR(A13651))</f>
        <v/>
      </c>
    </row>
    <row r="13652">
      <c r="A13652">
        <f>Input!A13652</f>
        <v/>
      </c>
      <c r="B13652">
        <f>IF(ISNUMBER(Input!B13652),IF(AND(Input!B13652&gt;=20,Input!B13652&lt;=700),Input!B13652,""),"")</f>
        <v/>
      </c>
      <c r="C13652">
        <f>IF(B13652="","",INT(A13652))</f>
        <v/>
      </c>
      <c r="D13652">
        <f>IF(B13652="","",HOUR(A13652))</f>
        <v/>
      </c>
    </row>
    <row r="13653">
      <c r="A13653">
        <f>Input!A13653</f>
        <v/>
      </c>
      <c r="B13653">
        <f>IF(ISNUMBER(Input!B13653),IF(AND(Input!B13653&gt;=20,Input!B13653&lt;=700),Input!B13653,""),"")</f>
        <v/>
      </c>
      <c r="C13653">
        <f>IF(B13653="","",INT(A13653))</f>
        <v/>
      </c>
      <c r="D13653">
        <f>IF(B13653="","",HOUR(A13653))</f>
        <v/>
      </c>
    </row>
    <row r="13654">
      <c r="A13654">
        <f>Input!A13654</f>
        <v/>
      </c>
      <c r="B13654">
        <f>IF(ISNUMBER(Input!B13654),IF(AND(Input!B13654&gt;=20,Input!B13654&lt;=700),Input!B13654,""),"")</f>
        <v/>
      </c>
      <c r="C13654">
        <f>IF(B13654="","",INT(A13654))</f>
        <v/>
      </c>
      <c r="D13654">
        <f>IF(B13654="","",HOUR(A13654))</f>
        <v/>
      </c>
    </row>
    <row r="13655">
      <c r="A13655">
        <f>Input!A13655</f>
        <v/>
      </c>
      <c r="B13655">
        <f>IF(ISNUMBER(Input!B13655),IF(AND(Input!B13655&gt;=20,Input!B13655&lt;=700),Input!B13655,""),"")</f>
        <v/>
      </c>
      <c r="C13655">
        <f>IF(B13655="","",INT(A13655))</f>
        <v/>
      </c>
      <c r="D13655">
        <f>IF(B13655="","",HOUR(A13655))</f>
        <v/>
      </c>
    </row>
    <row r="13656">
      <c r="A13656">
        <f>Input!A13656</f>
        <v/>
      </c>
      <c r="B13656">
        <f>IF(ISNUMBER(Input!B13656),IF(AND(Input!B13656&gt;=20,Input!B13656&lt;=700),Input!B13656,""),"")</f>
        <v/>
      </c>
      <c r="C13656">
        <f>IF(B13656="","",INT(A13656))</f>
        <v/>
      </c>
      <c r="D13656">
        <f>IF(B13656="","",HOUR(A13656))</f>
        <v/>
      </c>
    </row>
    <row r="13657">
      <c r="A13657">
        <f>Input!A13657</f>
        <v/>
      </c>
      <c r="B13657">
        <f>IF(ISNUMBER(Input!B13657),IF(AND(Input!B13657&gt;=20,Input!B13657&lt;=700),Input!B13657,""),"")</f>
        <v/>
      </c>
      <c r="C13657">
        <f>IF(B13657="","",INT(A13657))</f>
        <v/>
      </c>
      <c r="D13657">
        <f>IF(B13657="","",HOUR(A13657))</f>
        <v/>
      </c>
    </row>
    <row r="13658">
      <c r="A13658">
        <f>Input!A13658</f>
        <v/>
      </c>
      <c r="B13658">
        <f>IF(ISNUMBER(Input!B13658),IF(AND(Input!B13658&gt;=20,Input!B13658&lt;=700),Input!B13658,""),"")</f>
        <v/>
      </c>
      <c r="C13658">
        <f>IF(B13658="","",INT(A13658))</f>
        <v/>
      </c>
      <c r="D13658">
        <f>IF(B13658="","",HOUR(A13658))</f>
        <v/>
      </c>
    </row>
    <row r="13659">
      <c r="A13659">
        <f>Input!A13659</f>
        <v/>
      </c>
      <c r="B13659">
        <f>IF(ISNUMBER(Input!B13659),IF(AND(Input!B13659&gt;=20,Input!B13659&lt;=700),Input!B13659,""),"")</f>
        <v/>
      </c>
      <c r="C13659">
        <f>IF(B13659="","",INT(A13659))</f>
        <v/>
      </c>
      <c r="D13659">
        <f>IF(B13659="","",HOUR(A13659))</f>
        <v/>
      </c>
    </row>
    <row r="13660">
      <c r="A13660">
        <f>Input!A13660</f>
        <v/>
      </c>
      <c r="B13660">
        <f>IF(ISNUMBER(Input!B13660),IF(AND(Input!B13660&gt;=20,Input!B13660&lt;=700),Input!B13660,""),"")</f>
        <v/>
      </c>
      <c r="C13660">
        <f>IF(B13660="","",INT(A13660))</f>
        <v/>
      </c>
      <c r="D13660">
        <f>IF(B13660="","",HOUR(A13660))</f>
        <v/>
      </c>
    </row>
    <row r="13661">
      <c r="A13661">
        <f>Input!A13661</f>
        <v/>
      </c>
      <c r="B13661">
        <f>IF(ISNUMBER(Input!B13661),IF(AND(Input!B13661&gt;=20,Input!B13661&lt;=700),Input!B13661,""),"")</f>
        <v/>
      </c>
      <c r="C13661">
        <f>IF(B13661="","",INT(A13661))</f>
        <v/>
      </c>
      <c r="D13661">
        <f>IF(B13661="","",HOUR(A13661))</f>
        <v/>
      </c>
    </row>
    <row r="13662">
      <c r="A13662">
        <f>Input!A13662</f>
        <v/>
      </c>
      <c r="B13662">
        <f>IF(ISNUMBER(Input!B13662),IF(AND(Input!B13662&gt;=20,Input!B13662&lt;=700),Input!B13662,""),"")</f>
        <v/>
      </c>
      <c r="C13662">
        <f>IF(B13662="","",INT(A13662))</f>
        <v/>
      </c>
      <c r="D13662">
        <f>IF(B13662="","",HOUR(A13662))</f>
        <v/>
      </c>
    </row>
    <row r="13663">
      <c r="A13663">
        <f>Input!A13663</f>
        <v/>
      </c>
      <c r="B13663">
        <f>IF(ISNUMBER(Input!B13663),IF(AND(Input!B13663&gt;=20,Input!B13663&lt;=700),Input!B13663,""),"")</f>
        <v/>
      </c>
      <c r="C13663">
        <f>IF(B13663="","",INT(A13663))</f>
        <v/>
      </c>
      <c r="D13663">
        <f>IF(B13663="","",HOUR(A13663))</f>
        <v/>
      </c>
    </row>
    <row r="13664">
      <c r="A13664">
        <f>Input!A13664</f>
        <v/>
      </c>
      <c r="B13664">
        <f>IF(ISNUMBER(Input!B13664),IF(AND(Input!B13664&gt;=20,Input!B13664&lt;=700),Input!B13664,""),"")</f>
        <v/>
      </c>
      <c r="C13664">
        <f>IF(B13664="","",INT(A13664))</f>
        <v/>
      </c>
      <c r="D13664">
        <f>IF(B13664="","",HOUR(A13664))</f>
        <v/>
      </c>
    </row>
    <row r="13665">
      <c r="A13665">
        <f>Input!A13665</f>
        <v/>
      </c>
      <c r="B13665">
        <f>IF(ISNUMBER(Input!B13665),IF(AND(Input!B13665&gt;=20,Input!B13665&lt;=700),Input!B13665,""),"")</f>
        <v/>
      </c>
      <c r="C13665">
        <f>IF(B13665="","",INT(A13665))</f>
        <v/>
      </c>
      <c r="D13665">
        <f>IF(B13665="","",HOUR(A13665))</f>
        <v/>
      </c>
    </row>
    <row r="13666">
      <c r="A13666">
        <f>Input!A13666</f>
        <v/>
      </c>
      <c r="B13666">
        <f>IF(ISNUMBER(Input!B13666),IF(AND(Input!B13666&gt;=20,Input!B13666&lt;=700),Input!B13666,""),"")</f>
        <v/>
      </c>
      <c r="C13666">
        <f>IF(B13666="","",INT(A13666))</f>
        <v/>
      </c>
      <c r="D13666">
        <f>IF(B13666="","",HOUR(A13666))</f>
        <v/>
      </c>
    </row>
    <row r="13667">
      <c r="A13667">
        <f>Input!A13667</f>
        <v/>
      </c>
      <c r="B13667">
        <f>IF(ISNUMBER(Input!B13667),IF(AND(Input!B13667&gt;=20,Input!B13667&lt;=700),Input!B13667,""),"")</f>
        <v/>
      </c>
      <c r="C13667">
        <f>IF(B13667="","",INT(A13667))</f>
        <v/>
      </c>
      <c r="D13667">
        <f>IF(B13667="","",HOUR(A13667))</f>
        <v/>
      </c>
    </row>
    <row r="13668">
      <c r="A13668">
        <f>Input!A13668</f>
        <v/>
      </c>
      <c r="B13668">
        <f>IF(ISNUMBER(Input!B13668),IF(AND(Input!B13668&gt;=20,Input!B13668&lt;=700),Input!B13668,""),"")</f>
        <v/>
      </c>
      <c r="C13668">
        <f>IF(B13668="","",INT(A13668))</f>
        <v/>
      </c>
      <c r="D13668">
        <f>IF(B13668="","",HOUR(A13668))</f>
        <v/>
      </c>
    </row>
    <row r="13669">
      <c r="A13669">
        <f>Input!A13669</f>
        <v/>
      </c>
      <c r="B13669">
        <f>IF(ISNUMBER(Input!B13669),IF(AND(Input!B13669&gt;=20,Input!B13669&lt;=700),Input!B13669,""),"")</f>
        <v/>
      </c>
      <c r="C13669">
        <f>IF(B13669="","",INT(A13669))</f>
        <v/>
      </c>
      <c r="D13669">
        <f>IF(B13669="","",HOUR(A13669))</f>
        <v/>
      </c>
    </row>
    <row r="13670">
      <c r="A13670">
        <f>Input!A13670</f>
        <v/>
      </c>
      <c r="B13670">
        <f>IF(ISNUMBER(Input!B13670),IF(AND(Input!B13670&gt;=20,Input!B13670&lt;=700),Input!B13670,""),"")</f>
        <v/>
      </c>
      <c r="C13670">
        <f>IF(B13670="","",INT(A13670))</f>
        <v/>
      </c>
      <c r="D13670">
        <f>IF(B13670="","",HOUR(A13670))</f>
        <v/>
      </c>
    </row>
    <row r="13671">
      <c r="A13671">
        <f>Input!A13671</f>
        <v/>
      </c>
      <c r="B13671">
        <f>IF(ISNUMBER(Input!B13671),IF(AND(Input!B13671&gt;=20,Input!B13671&lt;=700),Input!B13671,""),"")</f>
        <v/>
      </c>
      <c r="C13671">
        <f>IF(B13671="","",INT(A13671))</f>
        <v/>
      </c>
      <c r="D13671">
        <f>IF(B13671="","",HOUR(A13671))</f>
        <v/>
      </c>
    </row>
    <row r="13672">
      <c r="A13672">
        <f>Input!A13672</f>
        <v/>
      </c>
      <c r="B13672">
        <f>IF(ISNUMBER(Input!B13672),IF(AND(Input!B13672&gt;=20,Input!B13672&lt;=700),Input!B13672,""),"")</f>
        <v/>
      </c>
      <c r="C13672">
        <f>IF(B13672="","",INT(A13672))</f>
        <v/>
      </c>
      <c r="D13672">
        <f>IF(B13672="","",HOUR(A13672))</f>
        <v/>
      </c>
    </row>
    <row r="13673">
      <c r="A13673">
        <f>Input!A13673</f>
        <v/>
      </c>
      <c r="B13673">
        <f>IF(ISNUMBER(Input!B13673),IF(AND(Input!B13673&gt;=20,Input!B13673&lt;=700),Input!B13673,""),"")</f>
        <v/>
      </c>
      <c r="C13673">
        <f>IF(B13673="","",INT(A13673))</f>
        <v/>
      </c>
      <c r="D13673">
        <f>IF(B13673="","",HOUR(A13673))</f>
        <v/>
      </c>
    </row>
    <row r="13674">
      <c r="A13674">
        <f>Input!A13674</f>
        <v/>
      </c>
      <c r="B13674">
        <f>IF(ISNUMBER(Input!B13674),IF(AND(Input!B13674&gt;=20,Input!B13674&lt;=700),Input!B13674,""),"")</f>
        <v/>
      </c>
      <c r="C13674">
        <f>IF(B13674="","",INT(A13674))</f>
        <v/>
      </c>
      <c r="D13674">
        <f>IF(B13674="","",HOUR(A13674))</f>
        <v/>
      </c>
    </row>
    <row r="13675">
      <c r="A13675">
        <f>Input!A13675</f>
        <v/>
      </c>
      <c r="B13675">
        <f>IF(ISNUMBER(Input!B13675),IF(AND(Input!B13675&gt;=20,Input!B13675&lt;=700),Input!B13675,""),"")</f>
        <v/>
      </c>
      <c r="C13675">
        <f>IF(B13675="","",INT(A13675))</f>
        <v/>
      </c>
      <c r="D13675">
        <f>IF(B13675="","",HOUR(A13675))</f>
        <v/>
      </c>
    </row>
    <row r="13676">
      <c r="A13676">
        <f>Input!A13676</f>
        <v/>
      </c>
      <c r="B13676">
        <f>IF(ISNUMBER(Input!B13676),IF(AND(Input!B13676&gt;=20,Input!B13676&lt;=700),Input!B13676,""),"")</f>
        <v/>
      </c>
      <c r="C13676">
        <f>IF(B13676="","",INT(A13676))</f>
        <v/>
      </c>
      <c r="D13676">
        <f>IF(B13676="","",HOUR(A13676))</f>
        <v/>
      </c>
    </row>
    <row r="13677">
      <c r="A13677">
        <f>Input!A13677</f>
        <v/>
      </c>
      <c r="B13677">
        <f>IF(ISNUMBER(Input!B13677),IF(AND(Input!B13677&gt;=20,Input!B13677&lt;=700),Input!B13677,""),"")</f>
        <v/>
      </c>
      <c r="C13677">
        <f>IF(B13677="","",INT(A13677))</f>
        <v/>
      </c>
      <c r="D13677">
        <f>IF(B13677="","",HOUR(A13677))</f>
        <v/>
      </c>
    </row>
    <row r="13678">
      <c r="A13678">
        <f>Input!A13678</f>
        <v/>
      </c>
      <c r="B13678">
        <f>IF(ISNUMBER(Input!B13678),IF(AND(Input!B13678&gt;=20,Input!B13678&lt;=700),Input!B13678,""),"")</f>
        <v/>
      </c>
      <c r="C13678">
        <f>IF(B13678="","",INT(A13678))</f>
        <v/>
      </c>
      <c r="D13678">
        <f>IF(B13678="","",HOUR(A13678))</f>
        <v/>
      </c>
    </row>
    <row r="13679">
      <c r="A13679">
        <f>Input!A13679</f>
        <v/>
      </c>
      <c r="B13679">
        <f>IF(ISNUMBER(Input!B13679),IF(AND(Input!B13679&gt;=20,Input!B13679&lt;=700),Input!B13679,""),"")</f>
        <v/>
      </c>
      <c r="C13679">
        <f>IF(B13679="","",INT(A13679))</f>
        <v/>
      </c>
      <c r="D13679">
        <f>IF(B13679="","",HOUR(A13679))</f>
        <v/>
      </c>
    </row>
    <row r="13680">
      <c r="A13680">
        <f>Input!A13680</f>
        <v/>
      </c>
      <c r="B13680">
        <f>IF(ISNUMBER(Input!B13680),IF(AND(Input!B13680&gt;=20,Input!B13680&lt;=700),Input!B13680,""),"")</f>
        <v/>
      </c>
      <c r="C13680">
        <f>IF(B13680="","",INT(A13680))</f>
        <v/>
      </c>
      <c r="D13680">
        <f>IF(B13680="","",HOUR(A13680))</f>
        <v/>
      </c>
    </row>
    <row r="13681">
      <c r="A13681">
        <f>Input!A13681</f>
        <v/>
      </c>
      <c r="B13681">
        <f>IF(ISNUMBER(Input!B13681),IF(AND(Input!B13681&gt;=20,Input!B13681&lt;=700),Input!B13681,""),"")</f>
        <v/>
      </c>
      <c r="C13681">
        <f>IF(B13681="","",INT(A13681))</f>
        <v/>
      </c>
      <c r="D13681">
        <f>IF(B13681="","",HOUR(A13681))</f>
        <v/>
      </c>
    </row>
    <row r="13682">
      <c r="A13682">
        <f>Input!A13682</f>
        <v/>
      </c>
      <c r="B13682">
        <f>IF(ISNUMBER(Input!B13682),IF(AND(Input!B13682&gt;=20,Input!B13682&lt;=700),Input!B13682,""),"")</f>
        <v/>
      </c>
      <c r="C13682">
        <f>IF(B13682="","",INT(A13682))</f>
        <v/>
      </c>
      <c r="D13682">
        <f>IF(B13682="","",HOUR(A13682))</f>
        <v/>
      </c>
    </row>
    <row r="13683">
      <c r="A13683">
        <f>Input!A13683</f>
        <v/>
      </c>
      <c r="B13683">
        <f>IF(ISNUMBER(Input!B13683),IF(AND(Input!B13683&gt;=20,Input!B13683&lt;=700),Input!B13683,""),"")</f>
        <v/>
      </c>
      <c r="C13683">
        <f>IF(B13683="","",INT(A13683))</f>
        <v/>
      </c>
      <c r="D13683">
        <f>IF(B13683="","",HOUR(A13683))</f>
        <v/>
      </c>
    </row>
    <row r="13684">
      <c r="A13684">
        <f>Input!A13684</f>
        <v/>
      </c>
      <c r="B13684">
        <f>IF(ISNUMBER(Input!B13684),IF(AND(Input!B13684&gt;=20,Input!B13684&lt;=700),Input!B13684,""),"")</f>
        <v/>
      </c>
      <c r="C13684">
        <f>IF(B13684="","",INT(A13684))</f>
        <v/>
      </c>
      <c r="D13684">
        <f>IF(B13684="","",HOUR(A13684))</f>
        <v/>
      </c>
    </row>
    <row r="13685">
      <c r="A13685">
        <f>Input!A13685</f>
        <v/>
      </c>
      <c r="B13685">
        <f>IF(ISNUMBER(Input!B13685),IF(AND(Input!B13685&gt;=20,Input!B13685&lt;=700),Input!B13685,""),"")</f>
        <v/>
      </c>
      <c r="C13685">
        <f>IF(B13685="","",INT(A13685))</f>
        <v/>
      </c>
      <c r="D13685">
        <f>IF(B13685="","",HOUR(A13685))</f>
        <v/>
      </c>
    </row>
    <row r="13686">
      <c r="A13686">
        <f>Input!A13686</f>
        <v/>
      </c>
      <c r="B13686">
        <f>IF(ISNUMBER(Input!B13686),IF(AND(Input!B13686&gt;=20,Input!B13686&lt;=700),Input!B13686,""),"")</f>
        <v/>
      </c>
      <c r="C13686">
        <f>IF(B13686="","",INT(A13686))</f>
        <v/>
      </c>
      <c r="D13686">
        <f>IF(B13686="","",HOUR(A13686))</f>
        <v/>
      </c>
    </row>
    <row r="13687">
      <c r="A13687">
        <f>Input!A13687</f>
        <v/>
      </c>
      <c r="B13687">
        <f>IF(ISNUMBER(Input!B13687),IF(AND(Input!B13687&gt;=20,Input!B13687&lt;=700),Input!B13687,""),"")</f>
        <v/>
      </c>
      <c r="C13687">
        <f>IF(B13687="","",INT(A13687))</f>
        <v/>
      </c>
      <c r="D13687">
        <f>IF(B13687="","",HOUR(A13687))</f>
        <v/>
      </c>
    </row>
    <row r="13688">
      <c r="A13688">
        <f>Input!A13688</f>
        <v/>
      </c>
      <c r="B13688">
        <f>IF(ISNUMBER(Input!B13688),IF(AND(Input!B13688&gt;=20,Input!B13688&lt;=700),Input!B13688,""),"")</f>
        <v/>
      </c>
      <c r="C13688">
        <f>IF(B13688="","",INT(A13688))</f>
        <v/>
      </c>
      <c r="D13688">
        <f>IF(B13688="","",HOUR(A13688))</f>
        <v/>
      </c>
    </row>
    <row r="13689">
      <c r="A13689">
        <f>Input!A13689</f>
        <v/>
      </c>
      <c r="B13689">
        <f>IF(ISNUMBER(Input!B13689),IF(AND(Input!B13689&gt;=20,Input!B13689&lt;=700),Input!B13689,""),"")</f>
        <v/>
      </c>
      <c r="C13689">
        <f>IF(B13689="","",INT(A13689))</f>
        <v/>
      </c>
      <c r="D13689">
        <f>IF(B13689="","",HOUR(A13689))</f>
        <v/>
      </c>
    </row>
    <row r="13690">
      <c r="A13690">
        <f>Input!A13690</f>
        <v/>
      </c>
      <c r="B13690">
        <f>IF(ISNUMBER(Input!B13690),IF(AND(Input!B13690&gt;=20,Input!B13690&lt;=700),Input!B13690,""),"")</f>
        <v/>
      </c>
      <c r="C13690">
        <f>IF(B13690="","",INT(A13690))</f>
        <v/>
      </c>
      <c r="D13690">
        <f>IF(B13690="","",HOUR(A13690))</f>
        <v/>
      </c>
    </row>
    <row r="13691">
      <c r="A13691">
        <f>Input!A13691</f>
        <v/>
      </c>
      <c r="B13691">
        <f>IF(ISNUMBER(Input!B13691),IF(AND(Input!B13691&gt;=20,Input!B13691&lt;=700),Input!B13691,""),"")</f>
        <v/>
      </c>
      <c r="C13691">
        <f>IF(B13691="","",INT(A13691))</f>
        <v/>
      </c>
      <c r="D13691">
        <f>IF(B13691="","",HOUR(A13691))</f>
        <v/>
      </c>
    </row>
    <row r="13692">
      <c r="A13692">
        <f>Input!A13692</f>
        <v/>
      </c>
      <c r="B13692">
        <f>IF(ISNUMBER(Input!B13692),IF(AND(Input!B13692&gt;=20,Input!B13692&lt;=700),Input!B13692,""),"")</f>
        <v/>
      </c>
      <c r="C13692">
        <f>IF(B13692="","",INT(A13692))</f>
        <v/>
      </c>
      <c r="D13692">
        <f>IF(B13692="","",HOUR(A13692))</f>
        <v/>
      </c>
    </row>
    <row r="13693">
      <c r="A13693">
        <f>Input!A13693</f>
        <v/>
      </c>
      <c r="B13693">
        <f>IF(ISNUMBER(Input!B13693),IF(AND(Input!B13693&gt;=20,Input!B13693&lt;=700),Input!B13693,""),"")</f>
        <v/>
      </c>
      <c r="C13693">
        <f>IF(B13693="","",INT(A13693))</f>
        <v/>
      </c>
      <c r="D13693">
        <f>IF(B13693="","",HOUR(A13693))</f>
        <v/>
      </c>
    </row>
    <row r="13694">
      <c r="A13694">
        <f>Input!A13694</f>
        <v/>
      </c>
      <c r="B13694">
        <f>IF(ISNUMBER(Input!B13694),IF(AND(Input!B13694&gt;=20,Input!B13694&lt;=700),Input!B13694,""),"")</f>
        <v/>
      </c>
      <c r="C13694">
        <f>IF(B13694="","",INT(A13694))</f>
        <v/>
      </c>
      <c r="D13694">
        <f>IF(B13694="","",HOUR(A13694))</f>
        <v/>
      </c>
    </row>
    <row r="13695">
      <c r="A13695">
        <f>Input!A13695</f>
        <v/>
      </c>
      <c r="B13695">
        <f>IF(ISNUMBER(Input!B13695),IF(AND(Input!B13695&gt;=20,Input!B13695&lt;=700),Input!B13695,""),"")</f>
        <v/>
      </c>
      <c r="C13695">
        <f>IF(B13695="","",INT(A13695))</f>
        <v/>
      </c>
      <c r="D13695">
        <f>IF(B13695="","",HOUR(A13695))</f>
        <v/>
      </c>
    </row>
    <row r="13696">
      <c r="A13696">
        <f>Input!A13696</f>
        <v/>
      </c>
      <c r="B13696">
        <f>IF(ISNUMBER(Input!B13696),IF(AND(Input!B13696&gt;=20,Input!B13696&lt;=700),Input!B13696,""),"")</f>
        <v/>
      </c>
      <c r="C13696">
        <f>IF(B13696="","",INT(A13696))</f>
        <v/>
      </c>
      <c r="D13696">
        <f>IF(B13696="","",HOUR(A13696))</f>
        <v/>
      </c>
    </row>
    <row r="13697">
      <c r="A13697">
        <f>Input!A13697</f>
        <v/>
      </c>
      <c r="B13697">
        <f>IF(ISNUMBER(Input!B13697),IF(AND(Input!B13697&gt;=20,Input!B13697&lt;=700),Input!B13697,""),"")</f>
        <v/>
      </c>
      <c r="C13697">
        <f>IF(B13697="","",INT(A13697))</f>
        <v/>
      </c>
      <c r="D13697">
        <f>IF(B13697="","",HOUR(A13697))</f>
        <v/>
      </c>
    </row>
    <row r="13698">
      <c r="A13698">
        <f>Input!A13698</f>
        <v/>
      </c>
      <c r="B13698">
        <f>IF(ISNUMBER(Input!B13698),IF(AND(Input!B13698&gt;=20,Input!B13698&lt;=700),Input!B13698,""),"")</f>
        <v/>
      </c>
      <c r="C13698">
        <f>IF(B13698="","",INT(A13698))</f>
        <v/>
      </c>
      <c r="D13698">
        <f>IF(B13698="","",HOUR(A13698))</f>
        <v/>
      </c>
    </row>
    <row r="13699">
      <c r="A13699">
        <f>Input!A13699</f>
        <v/>
      </c>
      <c r="B13699">
        <f>IF(ISNUMBER(Input!B13699),IF(AND(Input!B13699&gt;=20,Input!B13699&lt;=700),Input!B13699,""),"")</f>
        <v/>
      </c>
      <c r="C13699">
        <f>IF(B13699="","",INT(A13699))</f>
        <v/>
      </c>
      <c r="D13699">
        <f>IF(B13699="","",HOUR(A13699))</f>
        <v/>
      </c>
    </row>
    <row r="13700">
      <c r="A13700">
        <f>Input!A13700</f>
        <v/>
      </c>
      <c r="B13700">
        <f>IF(ISNUMBER(Input!B13700),IF(AND(Input!B13700&gt;=20,Input!B13700&lt;=700),Input!B13700,""),"")</f>
        <v/>
      </c>
      <c r="C13700">
        <f>IF(B13700="","",INT(A13700))</f>
        <v/>
      </c>
      <c r="D13700">
        <f>IF(B13700="","",HOUR(A13700))</f>
        <v/>
      </c>
    </row>
    <row r="13701">
      <c r="A13701">
        <f>Input!A13701</f>
        <v/>
      </c>
      <c r="B13701">
        <f>IF(ISNUMBER(Input!B13701),IF(AND(Input!B13701&gt;=20,Input!B13701&lt;=700),Input!B13701,""),"")</f>
        <v/>
      </c>
      <c r="C13701">
        <f>IF(B13701="","",INT(A13701))</f>
        <v/>
      </c>
      <c r="D13701">
        <f>IF(B13701="","",HOUR(A13701))</f>
        <v/>
      </c>
    </row>
    <row r="13702">
      <c r="A13702">
        <f>Input!A13702</f>
        <v/>
      </c>
      <c r="B13702">
        <f>IF(ISNUMBER(Input!B13702),IF(AND(Input!B13702&gt;=20,Input!B13702&lt;=700),Input!B13702,""),"")</f>
        <v/>
      </c>
      <c r="C13702">
        <f>IF(B13702="","",INT(A13702))</f>
        <v/>
      </c>
      <c r="D13702">
        <f>IF(B13702="","",HOUR(A13702))</f>
        <v/>
      </c>
    </row>
    <row r="13703">
      <c r="A13703">
        <f>Input!A13703</f>
        <v/>
      </c>
      <c r="B13703">
        <f>IF(ISNUMBER(Input!B13703),IF(AND(Input!B13703&gt;=20,Input!B13703&lt;=700),Input!B13703,""),"")</f>
        <v/>
      </c>
      <c r="C13703">
        <f>IF(B13703="","",INT(A13703))</f>
        <v/>
      </c>
      <c r="D13703">
        <f>IF(B13703="","",HOUR(A13703))</f>
        <v/>
      </c>
    </row>
    <row r="13704">
      <c r="A13704">
        <f>Input!A13704</f>
        <v/>
      </c>
      <c r="B13704">
        <f>IF(ISNUMBER(Input!B13704),IF(AND(Input!B13704&gt;=20,Input!B13704&lt;=700),Input!B13704,""),"")</f>
        <v/>
      </c>
      <c r="C13704">
        <f>IF(B13704="","",INT(A13704))</f>
        <v/>
      </c>
      <c r="D13704">
        <f>IF(B13704="","",HOUR(A13704))</f>
        <v/>
      </c>
    </row>
    <row r="13705">
      <c r="A13705">
        <f>Input!A13705</f>
        <v/>
      </c>
      <c r="B13705">
        <f>IF(ISNUMBER(Input!B13705),IF(AND(Input!B13705&gt;=20,Input!B13705&lt;=700),Input!B13705,""),"")</f>
        <v/>
      </c>
      <c r="C13705">
        <f>IF(B13705="","",INT(A13705))</f>
        <v/>
      </c>
      <c r="D13705">
        <f>IF(B13705="","",HOUR(A13705))</f>
        <v/>
      </c>
    </row>
    <row r="13706">
      <c r="A13706">
        <f>Input!A13706</f>
        <v/>
      </c>
      <c r="B13706">
        <f>IF(ISNUMBER(Input!B13706),IF(AND(Input!B13706&gt;=20,Input!B13706&lt;=700),Input!B13706,""),"")</f>
        <v/>
      </c>
      <c r="C13706">
        <f>IF(B13706="","",INT(A13706))</f>
        <v/>
      </c>
      <c r="D13706">
        <f>IF(B13706="","",HOUR(A13706))</f>
        <v/>
      </c>
    </row>
    <row r="13707">
      <c r="A13707">
        <f>Input!A13707</f>
        <v/>
      </c>
      <c r="B13707">
        <f>IF(ISNUMBER(Input!B13707),IF(AND(Input!B13707&gt;=20,Input!B13707&lt;=700),Input!B13707,""),"")</f>
        <v/>
      </c>
      <c r="C13707">
        <f>IF(B13707="","",INT(A13707))</f>
        <v/>
      </c>
      <c r="D13707">
        <f>IF(B13707="","",HOUR(A13707))</f>
        <v/>
      </c>
    </row>
    <row r="13708">
      <c r="A13708">
        <f>Input!A13708</f>
        <v/>
      </c>
      <c r="B13708">
        <f>IF(ISNUMBER(Input!B13708),IF(AND(Input!B13708&gt;=20,Input!B13708&lt;=700),Input!B13708,""),"")</f>
        <v/>
      </c>
      <c r="C13708">
        <f>IF(B13708="","",INT(A13708))</f>
        <v/>
      </c>
      <c r="D13708">
        <f>IF(B13708="","",HOUR(A13708))</f>
        <v/>
      </c>
    </row>
    <row r="13709">
      <c r="A13709">
        <f>Input!A13709</f>
        <v/>
      </c>
      <c r="B13709">
        <f>IF(ISNUMBER(Input!B13709),IF(AND(Input!B13709&gt;=20,Input!B13709&lt;=700),Input!B13709,""),"")</f>
        <v/>
      </c>
      <c r="C13709">
        <f>IF(B13709="","",INT(A13709))</f>
        <v/>
      </c>
      <c r="D13709">
        <f>IF(B13709="","",HOUR(A13709))</f>
        <v/>
      </c>
    </row>
    <row r="13710">
      <c r="A13710">
        <f>Input!A13710</f>
        <v/>
      </c>
      <c r="B13710">
        <f>IF(ISNUMBER(Input!B13710),IF(AND(Input!B13710&gt;=20,Input!B13710&lt;=700),Input!B13710,""),"")</f>
        <v/>
      </c>
      <c r="C13710">
        <f>IF(B13710="","",INT(A13710))</f>
        <v/>
      </c>
      <c r="D13710">
        <f>IF(B13710="","",HOUR(A13710))</f>
        <v/>
      </c>
    </row>
    <row r="13711">
      <c r="A13711">
        <f>Input!A13711</f>
        <v/>
      </c>
      <c r="B13711">
        <f>IF(ISNUMBER(Input!B13711),IF(AND(Input!B13711&gt;=20,Input!B13711&lt;=700),Input!B13711,""),"")</f>
        <v/>
      </c>
      <c r="C13711">
        <f>IF(B13711="","",INT(A13711))</f>
        <v/>
      </c>
      <c r="D13711">
        <f>IF(B13711="","",HOUR(A13711))</f>
        <v/>
      </c>
    </row>
    <row r="13712">
      <c r="A13712">
        <f>Input!A13712</f>
        <v/>
      </c>
      <c r="B13712">
        <f>IF(ISNUMBER(Input!B13712),IF(AND(Input!B13712&gt;=20,Input!B13712&lt;=700),Input!B13712,""),"")</f>
        <v/>
      </c>
      <c r="C13712">
        <f>IF(B13712="","",INT(A13712))</f>
        <v/>
      </c>
      <c r="D13712">
        <f>IF(B13712="","",HOUR(A13712))</f>
        <v/>
      </c>
    </row>
    <row r="13713">
      <c r="A13713">
        <f>Input!A13713</f>
        <v/>
      </c>
      <c r="B13713">
        <f>IF(ISNUMBER(Input!B13713),IF(AND(Input!B13713&gt;=20,Input!B13713&lt;=700),Input!B13713,""),"")</f>
        <v/>
      </c>
      <c r="C13713">
        <f>IF(B13713="","",INT(A13713))</f>
        <v/>
      </c>
      <c r="D13713">
        <f>IF(B13713="","",HOUR(A13713))</f>
        <v/>
      </c>
    </row>
    <row r="13714">
      <c r="A13714">
        <f>Input!A13714</f>
        <v/>
      </c>
      <c r="B13714">
        <f>IF(ISNUMBER(Input!B13714),IF(AND(Input!B13714&gt;=20,Input!B13714&lt;=700),Input!B13714,""),"")</f>
        <v/>
      </c>
      <c r="C13714">
        <f>IF(B13714="","",INT(A13714))</f>
        <v/>
      </c>
      <c r="D13714">
        <f>IF(B13714="","",HOUR(A13714))</f>
        <v/>
      </c>
    </row>
    <row r="13715">
      <c r="A13715">
        <f>Input!A13715</f>
        <v/>
      </c>
      <c r="B13715">
        <f>IF(ISNUMBER(Input!B13715),IF(AND(Input!B13715&gt;=20,Input!B13715&lt;=700),Input!B13715,""),"")</f>
        <v/>
      </c>
      <c r="C13715">
        <f>IF(B13715="","",INT(A13715))</f>
        <v/>
      </c>
      <c r="D13715">
        <f>IF(B13715="","",HOUR(A13715))</f>
        <v/>
      </c>
    </row>
    <row r="13716">
      <c r="A13716">
        <f>Input!A13716</f>
        <v/>
      </c>
      <c r="B13716">
        <f>IF(ISNUMBER(Input!B13716),IF(AND(Input!B13716&gt;=20,Input!B13716&lt;=700),Input!B13716,""),"")</f>
        <v/>
      </c>
      <c r="C13716">
        <f>IF(B13716="","",INT(A13716))</f>
        <v/>
      </c>
      <c r="D13716">
        <f>IF(B13716="","",HOUR(A13716))</f>
        <v/>
      </c>
    </row>
    <row r="13717">
      <c r="A13717">
        <f>Input!A13717</f>
        <v/>
      </c>
      <c r="B13717">
        <f>IF(ISNUMBER(Input!B13717),IF(AND(Input!B13717&gt;=20,Input!B13717&lt;=700),Input!B13717,""),"")</f>
        <v/>
      </c>
      <c r="C13717">
        <f>IF(B13717="","",INT(A13717))</f>
        <v/>
      </c>
      <c r="D13717">
        <f>IF(B13717="","",HOUR(A13717))</f>
        <v/>
      </c>
    </row>
    <row r="13718">
      <c r="A13718">
        <f>Input!A13718</f>
        <v/>
      </c>
      <c r="B13718">
        <f>IF(ISNUMBER(Input!B13718),IF(AND(Input!B13718&gt;=20,Input!B13718&lt;=700),Input!B13718,""),"")</f>
        <v/>
      </c>
      <c r="C13718">
        <f>IF(B13718="","",INT(A13718))</f>
        <v/>
      </c>
      <c r="D13718">
        <f>IF(B13718="","",HOUR(A13718))</f>
        <v/>
      </c>
    </row>
    <row r="13719">
      <c r="A13719">
        <f>Input!A13719</f>
        <v/>
      </c>
      <c r="B13719">
        <f>IF(ISNUMBER(Input!B13719),IF(AND(Input!B13719&gt;=20,Input!B13719&lt;=700),Input!B13719,""),"")</f>
        <v/>
      </c>
      <c r="C13719">
        <f>IF(B13719="","",INT(A13719))</f>
        <v/>
      </c>
      <c r="D13719">
        <f>IF(B13719="","",HOUR(A13719))</f>
        <v/>
      </c>
    </row>
    <row r="13720">
      <c r="A13720">
        <f>Input!A13720</f>
        <v/>
      </c>
      <c r="B13720">
        <f>IF(ISNUMBER(Input!B13720),IF(AND(Input!B13720&gt;=20,Input!B13720&lt;=700),Input!B13720,""),"")</f>
        <v/>
      </c>
      <c r="C13720">
        <f>IF(B13720="","",INT(A13720))</f>
        <v/>
      </c>
      <c r="D13720">
        <f>IF(B13720="","",HOUR(A13720))</f>
        <v/>
      </c>
    </row>
    <row r="13721">
      <c r="A13721">
        <f>Input!A13721</f>
        <v/>
      </c>
      <c r="B13721">
        <f>IF(ISNUMBER(Input!B13721),IF(AND(Input!B13721&gt;=20,Input!B13721&lt;=700),Input!B13721,""),"")</f>
        <v/>
      </c>
      <c r="C13721">
        <f>IF(B13721="","",INT(A13721))</f>
        <v/>
      </c>
      <c r="D13721">
        <f>IF(B13721="","",HOUR(A13721))</f>
        <v/>
      </c>
    </row>
    <row r="13722">
      <c r="A13722">
        <f>Input!A13722</f>
        <v/>
      </c>
      <c r="B13722">
        <f>IF(ISNUMBER(Input!B13722),IF(AND(Input!B13722&gt;=20,Input!B13722&lt;=700),Input!B13722,""),"")</f>
        <v/>
      </c>
      <c r="C13722">
        <f>IF(B13722="","",INT(A13722))</f>
        <v/>
      </c>
      <c r="D13722">
        <f>IF(B13722="","",HOUR(A13722))</f>
        <v/>
      </c>
    </row>
    <row r="13723">
      <c r="A13723">
        <f>Input!A13723</f>
        <v/>
      </c>
      <c r="B13723">
        <f>IF(ISNUMBER(Input!B13723),IF(AND(Input!B13723&gt;=20,Input!B13723&lt;=700),Input!B13723,""),"")</f>
        <v/>
      </c>
      <c r="C13723">
        <f>IF(B13723="","",INT(A13723))</f>
        <v/>
      </c>
      <c r="D13723">
        <f>IF(B13723="","",HOUR(A13723))</f>
        <v/>
      </c>
    </row>
    <row r="13724">
      <c r="A13724">
        <f>Input!A13724</f>
        <v/>
      </c>
      <c r="B13724">
        <f>IF(ISNUMBER(Input!B13724),IF(AND(Input!B13724&gt;=20,Input!B13724&lt;=700),Input!B13724,""),"")</f>
        <v/>
      </c>
      <c r="C13724">
        <f>IF(B13724="","",INT(A13724))</f>
        <v/>
      </c>
      <c r="D13724">
        <f>IF(B13724="","",HOUR(A13724))</f>
        <v/>
      </c>
    </row>
    <row r="13725">
      <c r="A13725">
        <f>Input!A13725</f>
        <v/>
      </c>
      <c r="B13725">
        <f>IF(ISNUMBER(Input!B13725),IF(AND(Input!B13725&gt;=20,Input!B13725&lt;=700),Input!B13725,""),"")</f>
        <v/>
      </c>
      <c r="C13725">
        <f>IF(B13725="","",INT(A13725))</f>
        <v/>
      </c>
      <c r="D13725">
        <f>IF(B13725="","",HOUR(A13725))</f>
        <v/>
      </c>
    </row>
    <row r="13726">
      <c r="A13726">
        <f>Input!A13726</f>
        <v/>
      </c>
      <c r="B13726">
        <f>IF(ISNUMBER(Input!B13726),IF(AND(Input!B13726&gt;=20,Input!B13726&lt;=700),Input!B13726,""),"")</f>
        <v/>
      </c>
      <c r="C13726">
        <f>IF(B13726="","",INT(A13726))</f>
        <v/>
      </c>
      <c r="D13726">
        <f>IF(B13726="","",HOUR(A13726))</f>
        <v/>
      </c>
    </row>
    <row r="13727">
      <c r="A13727">
        <f>Input!A13727</f>
        <v/>
      </c>
      <c r="B13727">
        <f>IF(ISNUMBER(Input!B13727),IF(AND(Input!B13727&gt;=20,Input!B13727&lt;=700),Input!B13727,""),"")</f>
        <v/>
      </c>
      <c r="C13727">
        <f>IF(B13727="","",INT(A13727))</f>
        <v/>
      </c>
      <c r="D13727">
        <f>IF(B13727="","",HOUR(A13727))</f>
        <v/>
      </c>
    </row>
    <row r="13728">
      <c r="A13728">
        <f>Input!A13728</f>
        <v/>
      </c>
      <c r="B13728">
        <f>IF(ISNUMBER(Input!B13728),IF(AND(Input!B13728&gt;=20,Input!B13728&lt;=700),Input!B13728,""),"")</f>
        <v/>
      </c>
      <c r="C13728">
        <f>IF(B13728="","",INT(A13728))</f>
        <v/>
      </c>
      <c r="D13728">
        <f>IF(B13728="","",HOUR(A13728))</f>
        <v/>
      </c>
    </row>
    <row r="13729">
      <c r="A13729">
        <f>Input!A13729</f>
        <v/>
      </c>
      <c r="B13729">
        <f>IF(ISNUMBER(Input!B13729),IF(AND(Input!B13729&gt;=20,Input!B13729&lt;=700),Input!B13729,""),"")</f>
        <v/>
      </c>
      <c r="C13729">
        <f>IF(B13729="","",INT(A13729))</f>
        <v/>
      </c>
      <c r="D13729">
        <f>IF(B13729="","",HOUR(A13729))</f>
        <v/>
      </c>
    </row>
    <row r="13730">
      <c r="A13730">
        <f>Input!A13730</f>
        <v/>
      </c>
      <c r="B13730">
        <f>IF(ISNUMBER(Input!B13730),IF(AND(Input!B13730&gt;=20,Input!B13730&lt;=700),Input!B13730,""),"")</f>
        <v/>
      </c>
      <c r="C13730">
        <f>IF(B13730="","",INT(A13730))</f>
        <v/>
      </c>
      <c r="D13730">
        <f>IF(B13730="","",HOUR(A13730))</f>
        <v/>
      </c>
    </row>
    <row r="13731">
      <c r="A13731">
        <f>Input!A13731</f>
        <v/>
      </c>
      <c r="B13731">
        <f>IF(ISNUMBER(Input!B13731),IF(AND(Input!B13731&gt;=20,Input!B13731&lt;=700),Input!B13731,""),"")</f>
        <v/>
      </c>
      <c r="C13731">
        <f>IF(B13731="","",INT(A13731))</f>
        <v/>
      </c>
      <c r="D13731">
        <f>IF(B13731="","",HOUR(A13731))</f>
        <v/>
      </c>
    </row>
    <row r="13732">
      <c r="A13732">
        <f>Input!A13732</f>
        <v/>
      </c>
      <c r="B13732">
        <f>IF(ISNUMBER(Input!B13732),IF(AND(Input!B13732&gt;=20,Input!B13732&lt;=700),Input!B13732,""),"")</f>
        <v/>
      </c>
      <c r="C13732">
        <f>IF(B13732="","",INT(A13732))</f>
        <v/>
      </c>
      <c r="D13732">
        <f>IF(B13732="","",HOUR(A13732))</f>
        <v/>
      </c>
    </row>
    <row r="13733">
      <c r="A13733">
        <f>Input!A13733</f>
        <v/>
      </c>
      <c r="B13733">
        <f>IF(ISNUMBER(Input!B13733),IF(AND(Input!B13733&gt;=20,Input!B13733&lt;=700),Input!B13733,""),"")</f>
        <v/>
      </c>
      <c r="C13733">
        <f>IF(B13733="","",INT(A13733))</f>
        <v/>
      </c>
      <c r="D13733">
        <f>IF(B13733="","",HOUR(A13733))</f>
        <v/>
      </c>
    </row>
    <row r="13734">
      <c r="A13734">
        <f>Input!A13734</f>
        <v/>
      </c>
      <c r="B13734">
        <f>IF(ISNUMBER(Input!B13734),IF(AND(Input!B13734&gt;=20,Input!B13734&lt;=700),Input!B13734,""),"")</f>
        <v/>
      </c>
      <c r="C13734">
        <f>IF(B13734="","",INT(A13734))</f>
        <v/>
      </c>
      <c r="D13734">
        <f>IF(B13734="","",HOUR(A13734))</f>
        <v/>
      </c>
    </row>
    <row r="13735">
      <c r="A13735">
        <f>Input!A13735</f>
        <v/>
      </c>
      <c r="B13735">
        <f>IF(ISNUMBER(Input!B13735),IF(AND(Input!B13735&gt;=20,Input!B13735&lt;=700),Input!B13735,""),"")</f>
        <v/>
      </c>
      <c r="C13735">
        <f>IF(B13735="","",INT(A13735))</f>
        <v/>
      </c>
      <c r="D13735">
        <f>IF(B13735="","",HOUR(A13735))</f>
        <v/>
      </c>
    </row>
    <row r="13736">
      <c r="A13736">
        <f>Input!A13736</f>
        <v/>
      </c>
      <c r="B13736">
        <f>IF(ISNUMBER(Input!B13736),IF(AND(Input!B13736&gt;=20,Input!B13736&lt;=700),Input!B13736,""),"")</f>
        <v/>
      </c>
      <c r="C13736">
        <f>IF(B13736="","",INT(A13736))</f>
        <v/>
      </c>
      <c r="D13736">
        <f>IF(B13736="","",HOUR(A13736))</f>
        <v/>
      </c>
    </row>
    <row r="13737">
      <c r="A13737">
        <f>Input!A13737</f>
        <v/>
      </c>
      <c r="B13737">
        <f>IF(ISNUMBER(Input!B13737),IF(AND(Input!B13737&gt;=20,Input!B13737&lt;=700),Input!B13737,""),"")</f>
        <v/>
      </c>
      <c r="C13737">
        <f>IF(B13737="","",INT(A13737))</f>
        <v/>
      </c>
      <c r="D13737">
        <f>IF(B13737="","",HOUR(A13737))</f>
        <v/>
      </c>
    </row>
    <row r="13738">
      <c r="A13738">
        <f>Input!A13738</f>
        <v/>
      </c>
      <c r="B13738">
        <f>IF(ISNUMBER(Input!B13738),IF(AND(Input!B13738&gt;=20,Input!B13738&lt;=700),Input!B13738,""),"")</f>
        <v/>
      </c>
      <c r="C13738">
        <f>IF(B13738="","",INT(A13738))</f>
        <v/>
      </c>
      <c r="D13738">
        <f>IF(B13738="","",HOUR(A13738))</f>
        <v/>
      </c>
    </row>
    <row r="13739">
      <c r="A13739">
        <f>Input!A13739</f>
        <v/>
      </c>
      <c r="B13739">
        <f>IF(ISNUMBER(Input!B13739),IF(AND(Input!B13739&gt;=20,Input!B13739&lt;=700),Input!B13739,""),"")</f>
        <v/>
      </c>
      <c r="C13739">
        <f>IF(B13739="","",INT(A13739))</f>
        <v/>
      </c>
      <c r="D13739">
        <f>IF(B13739="","",HOUR(A13739))</f>
        <v/>
      </c>
    </row>
    <row r="13740">
      <c r="A13740">
        <f>Input!A13740</f>
        <v/>
      </c>
      <c r="B13740">
        <f>IF(ISNUMBER(Input!B13740),IF(AND(Input!B13740&gt;=20,Input!B13740&lt;=700),Input!B13740,""),"")</f>
        <v/>
      </c>
      <c r="C13740">
        <f>IF(B13740="","",INT(A13740))</f>
        <v/>
      </c>
      <c r="D13740">
        <f>IF(B13740="","",HOUR(A13740))</f>
        <v/>
      </c>
    </row>
    <row r="13741">
      <c r="A13741">
        <f>Input!A13741</f>
        <v/>
      </c>
      <c r="B13741">
        <f>IF(ISNUMBER(Input!B13741),IF(AND(Input!B13741&gt;=20,Input!B13741&lt;=700),Input!B13741,""),"")</f>
        <v/>
      </c>
      <c r="C13741">
        <f>IF(B13741="","",INT(A13741))</f>
        <v/>
      </c>
      <c r="D13741">
        <f>IF(B13741="","",HOUR(A13741))</f>
        <v/>
      </c>
    </row>
    <row r="13742">
      <c r="A13742">
        <f>Input!A13742</f>
        <v/>
      </c>
      <c r="B13742">
        <f>IF(ISNUMBER(Input!B13742),IF(AND(Input!B13742&gt;=20,Input!B13742&lt;=700),Input!B13742,""),"")</f>
        <v/>
      </c>
      <c r="C13742">
        <f>IF(B13742="","",INT(A13742))</f>
        <v/>
      </c>
      <c r="D13742">
        <f>IF(B13742="","",HOUR(A13742))</f>
        <v/>
      </c>
    </row>
    <row r="13743">
      <c r="A13743">
        <f>Input!A13743</f>
        <v/>
      </c>
      <c r="B13743">
        <f>IF(ISNUMBER(Input!B13743),IF(AND(Input!B13743&gt;=20,Input!B13743&lt;=700),Input!B13743,""),"")</f>
        <v/>
      </c>
      <c r="C13743">
        <f>IF(B13743="","",INT(A13743))</f>
        <v/>
      </c>
      <c r="D13743">
        <f>IF(B13743="","",HOUR(A13743))</f>
        <v/>
      </c>
    </row>
    <row r="13744">
      <c r="A13744">
        <f>Input!A13744</f>
        <v/>
      </c>
      <c r="B13744">
        <f>IF(ISNUMBER(Input!B13744),IF(AND(Input!B13744&gt;=20,Input!B13744&lt;=700),Input!B13744,""),"")</f>
        <v/>
      </c>
      <c r="C13744">
        <f>IF(B13744="","",INT(A13744))</f>
        <v/>
      </c>
      <c r="D13744">
        <f>IF(B13744="","",HOUR(A13744))</f>
        <v/>
      </c>
    </row>
    <row r="13745">
      <c r="A13745">
        <f>Input!A13745</f>
        <v/>
      </c>
      <c r="B13745">
        <f>IF(ISNUMBER(Input!B13745),IF(AND(Input!B13745&gt;=20,Input!B13745&lt;=700),Input!B13745,""),"")</f>
        <v/>
      </c>
      <c r="C13745">
        <f>IF(B13745="","",INT(A13745))</f>
        <v/>
      </c>
      <c r="D13745">
        <f>IF(B13745="","",HOUR(A13745))</f>
        <v/>
      </c>
    </row>
    <row r="13746">
      <c r="A13746">
        <f>Input!A13746</f>
        <v/>
      </c>
      <c r="B13746">
        <f>IF(ISNUMBER(Input!B13746),IF(AND(Input!B13746&gt;=20,Input!B13746&lt;=700),Input!B13746,""),"")</f>
        <v/>
      </c>
      <c r="C13746">
        <f>IF(B13746="","",INT(A13746))</f>
        <v/>
      </c>
      <c r="D13746">
        <f>IF(B13746="","",HOUR(A13746))</f>
        <v/>
      </c>
    </row>
    <row r="13747">
      <c r="A13747">
        <f>Input!A13747</f>
        <v/>
      </c>
      <c r="B13747">
        <f>IF(ISNUMBER(Input!B13747),IF(AND(Input!B13747&gt;=20,Input!B13747&lt;=700),Input!B13747,""),"")</f>
        <v/>
      </c>
      <c r="C13747">
        <f>IF(B13747="","",INT(A13747))</f>
        <v/>
      </c>
      <c r="D13747">
        <f>IF(B13747="","",HOUR(A13747))</f>
        <v/>
      </c>
    </row>
    <row r="13748">
      <c r="A13748">
        <f>Input!A13748</f>
        <v/>
      </c>
      <c r="B13748">
        <f>IF(ISNUMBER(Input!B13748),IF(AND(Input!B13748&gt;=20,Input!B13748&lt;=700),Input!B13748,""),"")</f>
        <v/>
      </c>
      <c r="C13748">
        <f>IF(B13748="","",INT(A13748))</f>
        <v/>
      </c>
      <c r="D13748">
        <f>IF(B13748="","",HOUR(A13748))</f>
        <v/>
      </c>
    </row>
    <row r="13749">
      <c r="A13749">
        <f>Input!A13749</f>
        <v/>
      </c>
      <c r="B13749">
        <f>IF(ISNUMBER(Input!B13749),IF(AND(Input!B13749&gt;=20,Input!B13749&lt;=700),Input!B13749,""),"")</f>
        <v/>
      </c>
      <c r="C13749">
        <f>IF(B13749="","",INT(A13749))</f>
        <v/>
      </c>
      <c r="D13749">
        <f>IF(B13749="","",HOUR(A13749))</f>
        <v/>
      </c>
    </row>
    <row r="13750">
      <c r="A13750">
        <f>Input!A13750</f>
        <v/>
      </c>
      <c r="B13750">
        <f>IF(ISNUMBER(Input!B13750),IF(AND(Input!B13750&gt;=20,Input!B13750&lt;=700),Input!B13750,""),"")</f>
        <v/>
      </c>
      <c r="C13750">
        <f>IF(B13750="","",INT(A13750))</f>
        <v/>
      </c>
      <c r="D13750">
        <f>IF(B13750="","",HOUR(A13750))</f>
        <v/>
      </c>
    </row>
    <row r="13751">
      <c r="A13751">
        <f>Input!A13751</f>
        <v/>
      </c>
      <c r="B13751">
        <f>IF(ISNUMBER(Input!B13751),IF(AND(Input!B13751&gt;=20,Input!B13751&lt;=700),Input!B13751,""),"")</f>
        <v/>
      </c>
      <c r="C13751">
        <f>IF(B13751="","",INT(A13751))</f>
        <v/>
      </c>
      <c r="D13751">
        <f>IF(B13751="","",HOUR(A13751))</f>
        <v/>
      </c>
    </row>
    <row r="13752">
      <c r="A13752">
        <f>Input!A13752</f>
        <v/>
      </c>
      <c r="B13752">
        <f>IF(ISNUMBER(Input!B13752),IF(AND(Input!B13752&gt;=20,Input!B13752&lt;=700),Input!B13752,""),"")</f>
        <v/>
      </c>
      <c r="C13752">
        <f>IF(B13752="","",INT(A13752))</f>
        <v/>
      </c>
      <c r="D13752">
        <f>IF(B13752="","",HOUR(A13752))</f>
        <v/>
      </c>
    </row>
    <row r="13753">
      <c r="A13753">
        <f>Input!A13753</f>
        <v/>
      </c>
      <c r="B13753">
        <f>IF(ISNUMBER(Input!B13753),IF(AND(Input!B13753&gt;=20,Input!B13753&lt;=700),Input!B13753,""),"")</f>
        <v/>
      </c>
      <c r="C13753">
        <f>IF(B13753="","",INT(A13753))</f>
        <v/>
      </c>
      <c r="D13753">
        <f>IF(B13753="","",HOUR(A13753))</f>
        <v/>
      </c>
    </row>
    <row r="13754">
      <c r="A13754">
        <f>Input!A13754</f>
        <v/>
      </c>
      <c r="B13754">
        <f>IF(ISNUMBER(Input!B13754),IF(AND(Input!B13754&gt;=20,Input!B13754&lt;=700),Input!B13754,""),"")</f>
        <v/>
      </c>
      <c r="C13754">
        <f>IF(B13754="","",INT(A13754))</f>
        <v/>
      </c>
      <c r="D13754">
        <f>IF(B13754="","",HOUR(A13754))</f>
        <v/>
      </c>
    </row>
    <row r="13755">
      <c r="A13755">
        <f>Input!A13755</f>
        <v/>
      </c>
      <c r="B13755">
        <f>IF(ISNUMBER(Input!B13755),IF(AND(Input!B13755&gt;=20,Input!B13755&lt;=700),Input!B13755,""),"")</f>
        <v/>
      </c>
      <c r="C13755">
        <f>IF(B13755="","",INT(A13755))</f>
        <v/>
      </c>
      <c r="D13755">
        <f>IF(B13755="","",HOUR(A13755))</f>
        <v/>
      </c>
    </row>
    <row r="13756">
      <c r="A13756">
        <f>Input!A13756</f>
        <v/>
      </c>
      <c r="B13756">
        <f>IF(ISNUMBER(Input!B13756),IF(AND(Input!B13756&gt;=20,Input!B13756&lt;=700),Input!B13756,""),"")</f>
        <v/>
      </c>
      <c r="C13756">
        <f>IF(B13756="","",INT(A13756))</f>
        <v/>
      </c>
      <c r="D13756">
        <f>IF(B13756="","",HOUR(A13756))</f>
        <v/>
      </c>
    </row>
    <row r="13757">
      <c r="A13757">
        <f>Input!A13757</f>
        <v/>
      </c>
      <c r="B13757">
        <f>IF(ISNUMBER(Input!B13757),IF(AND(Input!B13757&gt;=20,Input!B13757&lt;=700),Input!B13757,""),"")</f>
        <v/>
      </c>
      <c r="C13757">
        <f>IF(B13757="","",INT(A13757))</f>
        <v/>
      </c>
      <c r="D13757">
        <f>IF(B13757="","",HOUR(A13757))</f>
        <v/>
      </c>
    </row>
    <row r="13758">
      <c r="A13758">
        <f>Input!A13758</f>
        <v/>
      </c>
      <c r="B13758">
        <f>IF(ISNUMBER(Input!B13758),IF(AND(Input!B13758&gt;=20,Input!B13758&lt;=700),Input!B13758,""),"")</f>
        <v/>
      </c>
      <c r="C13758">
        <f>IF(B13758="","",INT(A13758))</f>
        <v/>
      </c>
      <c r="D13758">
        <f>IF(B13758="","",HOUR(A13758))</f>
        <v/>
      </c>
    </row>
    <row r="13759">
      <c r="A13759">
        <f>Input!A13759</f>
        <v/>
      </c>
      <c r="B13759">
        <f>IF(ISNUMBER(Input!B13759),IF(AND(Input!B13759&gt;=20,Input!B13759&lt;=700),Input!B13759,""),"")</f>
        <v/>
      </c>
      <c r="C13759">
        <f>IF(B13759="","",INT(A13759))</f>
        <v/>
      </c>
      <c r="D13759">
        <f>IF(B13759="","",HOUR(A13759))</f>
        <v/>
      </c>
    </row>
    <row r="13760">
      <c r="A13760">
        <f>Input!A13760</f>
        <v/>
      </c>
      <c r="B13760">
        <f>IF(ISNUMBER(Input!B13760),IF(AND(Input!B13760&gt;=20,Input!B13760&lt;=700),Input!B13760,""),"")</f>
        <v/>
      </c>
      <c r="C13760">
        <f>IF(B13760="","",INT(A13760))</f>
        <v/>
      </c>
      <c r="D13760">
        <f>IF(B13760="","",HOUR(A13760))</f>
        <v/>
      </c>
    </row>
    <row r="13761">
      <c r="A13761">
        <f>Input!A13761</f>
        <v/>
      </c>
      <c r="B13761">
        <f>IF(ISNUMBER(Input!B13761),IF(AND(Input!B13761&gt;=20,Input!B13761&lt;=700),Input!B13761,""),"")</f>
        <v/>
      </c>
      <c r="C13761">
        <f>IF(B13761="","",INT(A13761))</f>
        <v/>
      </c>
      <c r="D13761">
        <f>IF(B13761="","",HOUR(A13761))</f>
        <v/>
      </c>
    </row>
    <row r="13762">
      <c r="A13762">
        <f>Input!A13762</f>
        <v/>
      </c>
      <c r="B13762">
        <f>IF(ISNUMBER(Input!B13762),IF(AND(Input!B13762&gt;=20,Input!B13762&lt;=700),Input!B13762,""),"")</f>
        <v/>
      </c>
      <c r="C13762">
        <f>IF(B13762="","",INT(A13762))</f>
        <v/>
      </c>
      <c r="D13762">
        <f>IF(B13762="","",HOUR(A13762))</f>
        <v/>
      </c>
    </row>
    <row r="13763">
      <c r="A13763">
        <f>Input!A13763</f>
        <v/>
      </c>
      <c r="B13763">
        <f>IF(ISNUMBER(Input!B13763),IF(AND(Input!B13763&gt;=20,Input!B13763&lt;=700),Input!B13763,""),"")</f>
        <v/>
      </c>
      <c r="C13763">
        <f>IF(B13763="","",INT(A13763))</f>
        <v/>
      </c>
      <c r="D13763">
        <f>IF(B13763="","",HOUR(A13763))</f>
        <v/>
      </c>
    </row>
    <row r="13764">
      <c r="A13764">
        <f>Input!A13764</f>
        <v/>
      </c>
      <c r="B13764">
        <f>IF(ISNUMBER(Input!B13764),IF(AND(Input!B13764&gt;=20,Input!B13764&lt;=700),Input!B13764,""),"")</f>
        <v/>
      </c>
      <c r="C13764">
        <f>IF(B13764="","",INT(A13764))</f>
        <v/>
      </c>
      <c r="D13764">
        <f>IF(B13764="","",HOUR(A13764))</f>
        <v/>
      </c>
    </row>
    <row r="13765">
      <c r="A13765">
        <f>Input!A13765</f>
        <v/>
      </c>
      <c r="B13765">
        <f>IF(ISNUMBER(Input!B13765),IF(AND(Input!B13765&gt;=20,Input!B13765&lt;=700),Input!B13765,""),"")</f>
        <v/>
      </c>
      <c r="C13765">
        <f>IF(B13765="","",INT(A13765))</f>
        <v/>
      </c>
      <c r="D13765">
        <f>IF(B13765="","",HOUR(A13765))</f>
        <v/>
      </c>
    </row>
    <row r="13766">
      <c r="A13766">
        <f>Input!A13766</f>
        <v/>
      </c>
      <c r="B13766">
        <f>IF(ISNUMBER(Input!B13766),IF(AND(Input!B13766&gt;=20,Input!B13766&lt;=700),Input!B13766,""),"")</f>
        <v/>
      </c>
      <c r="C13766">
        <f>IF(B13766="","",INT(A13766))</f>
        <v/>
      </c>
      <c r="D13766">
        <f>IF(B13766="","",HOUR(A13766))</f>
        <v/>
      </c>
    </row>
    <row r="13767">
      <c r="A13767">
        <f>Input!A13767</f>
        <v/>
      </c>
      <c r="B13767">
        <f>IF(ISNUMBER(Input!B13767),IF(AND(Input!B13767&gt;=20,Input!B13767&lt;=700),Input!B13767,""),"")</f>
        <v/>
      </c>
      <c r="C13767">
        <f>IF(B13767="","",INT(A13767))</f>
        <v/>
      </c>
      <c r="D13767">
        <f>IF(B13767="","",HOUR(A13767))</f>
        <v/>
      </c>
    </row>
    <row r="13768">
      <c r="A13768">
        <f>Input!A13768</f>
        <v/>
      </c>
      <c r="B13768">
        <f>IF(ISNUMBER(Input!B13768),IF(AND(Input!B13768&gt;=20,Input!B13768&lt;=700),Input!B13768,""),"")</f>
        <v/>
      </c>
      <c r="C13768">
        <f>IF(B13768="","",INT(A13768))</f>
        <v/>
      </c>
      <c r="D13768">
        <f>IF(B13768="","",HOUR(A13768))</f>
        <v/>
      </c>
    </row>
    <row r="13769">
      <c r="A13769">
        <f>Input!A13769</f>
        <v/>
      </c>
      <c r="B13769">
        <f>IF(ISNUMBER(Input!B13769),IF(AND(Input!B13769&gt;=20,Input!B13769&lt;=700),Input!B13769,""),"")</f>
        <v/>
      </c>
      <c r="C13769">
        <f>IF(B13769="","",INT(A13769))</f>
        <v/>
      </c>
      <c r="D13769">
        <f>IF(B13769="","",HOUR(A13769))</f>
        <v/>
      </c>
    </row>
    <row r="13770">
      <c r="A13770">
        <f>Input!A13770</f>
        <v/>
      </c>
      <c r="B13770">
        <f>IF(ISNUMBER(Input!B13770),IF(AND(Input!B13770&gt;=20,Input!B13770&lt;=700),Input!B13770,""),"")</f>
        <v/>
      </c>
      <c r="C13770">
        <f>IF(B13770="","",INT(A13770))</f>
        <v/>
      </c>
      <c r="D13770">
        <f>IF(B13770="","",HOUR(A13770))</f>
        <v/>
      </c>
    </row>
    <row r="13771">
      <c r="A13771">
        <f>Input!A13771</f>
        <v/>
      </c>
      <c r="B13771">
        <f>IF(ISNUMBER(Input!B13771),IF(AND(Input!B13771&gt;=20,Input!B13771&lt;=700),Input!B13771,""),"")</f>
        <v/>
      </c>
      <c r="C13771">
        <f>IF(B13771="","",INT(A13771))</f>
        <v/>
      </c>
      <c r="D13771">
        <f>IF(B13771="","",HOUR(A13771))</f>
        <v/>
      </c>
    </row>
    <row r="13772">
      <c r="A13772">
        <f>Input!A13772</f>
        <v/>
      </c>
      <c r="B13772">
        <f>IF(ISNUMBER(Input!B13772),IF(AND(Input!B13772&gt;=20,Input!B13772&lt;=700),Input!B13772,""),"")</f>
        <v/>
      </c>
      <c r="C13772">
        <f>IF(B13772="","",INT(A13772))</f>
        <v/>
      </c>
      <c r="D13772">
        <f>IF(B13772="","",HOUR(A13772))</f>
        <v/>
      </c>
    </row>
    <row r="13773">
      <c r="A13773">
        <f>Input!A13773</f>
        <v/>
      </c>
      <c r="B13773">
        <f>IF(ISNUMBER(Input!B13773),IF(AND(Input!B13773&gt;=20,Input!B13773&lt;=700),Input!B13773,""),"")</f>
        <v/>
      </c>
      <c r="C13773">
        <f>IF(B13773="","",INT(A13773))</f>
        <v/>
      </c>
      <c r="D13773">
        <f>IF(B13773="","",HOUR(A13773))</f>
        <v/>
      </c>
    </row>
    <row r="13774">
      <c r="A13774">
        <f>Input!A13774</f>
        <v/>
      </c>
      <c r="B13774">
        <f>IF(ISNUMBER(Input!B13774),IF(AND(Input!B13774&gt;=20,Input!B13774&lt;=700),Input!B13774,""),"")</f>
        <v/>
      </c>
      <c r="C13774">
        <f>IF(B13774="","",INT(A13774))</f>
        <v/>
      </c>
      <c r="D13774">
        <f>IF(B13774="","",HOUR(A13774))</f>
        <v/>
      </c>
    </row>
    <row r="13775">
      <c r="A13775">
        <f>Input!A13775</f>
        <v/>
      </c>
      <c r="B13775">
        <f>IF(ISNUMBER(Input!B13775),IF(AND(Input!B13775&gt;=20,Input!B13775&lt;=700),Input!B13775,""),"")</f>
        <v/>
      </c>
      <c r="C13775">
        <f>IF(B13775="","",INT(A13775))</f>
        <v/>
      </c>
      <c r="D13775">
        <f>IF(B13775="","",HOUR(A13775))</f>
        <v/>
      </c>
    </row>
    <row r="13776">
      <c r="A13776">
        <f>Input!A13776</f>
        <v/>
      </c>
      <c r="B13776">
        <f>IF(ISNUMBER(Input!B13776),IF(AND(Input!B13776&gt;=20,Input!B13776&lt;=700),Input!B13776,""),"")</f>
        <v/>
      </c>
      <c r="C13776">
        <f>IF(B13776="","",INT(A13776))</f>
        <v/>
      </c>
      <c r="D13776">
        <f>IF(B13776="","",HOUR(A13776))</f>
        <v/>
      </c>
    </row>
    <row r="13777">
      <c r="A13777">
        <f>Input!A13777</f>
        <v/>
      </c>
      <c r="B13777">
        <f>IF(ISNUMBER(Input!B13777),IF(AND(Input!B13777&gt;=20,Input!B13777&lt;=700),Input!B13777,""),"")</f>
        <v/>
      </c>
      <c r="C13777">
        <f>IF(B13777="","",INT(A13777))</f>
        <v/>
      </c>
      <c r="D13777">
        <f>IF(B13777="","",HOUR(A13777))</f>
        <v/>
      </c>
    </row>
    <row r="13778">
      <c r="A13778">
        <f>Input!A13778</f>
        <v/>
      </c>
      <c r="B13778">
        <f>IF(ISNUMBER(Input!B13778),IF(AND(Input!B13778&gt;=20,Input!B13778&lt;=700),Input!B13778,""),"")</f>
        <v/>
      </c>
      <c r="C13778">
        <f>IF(B13778="","",INT(A13778))</f>
        <v/>
      </c>
      <c r="D13778">
        <f>IF(B13778="","",HOUR(A13778))</f>
        <v/>
      </c>
    </row>
    <row r="13779">
      <c r="A13779">
        <f>Input!A13779</f>
        <v/>
      </c>
      <c r="B13779">
        <f>IF(ISNUMBER(Input!B13779),IF(AND(Input!B13779&gt;=20,Input!B13779&lt;=700),Input!B13779,""),"")</f>
        <v/>
      </c>
      <c r="C13779">
        <f>IF(B13779="","",INT(A13779))</f>
        <v/>
      </c>
      <c r="D13779">
        <f>IF(B13779="","",HOUR(A13779))</f>
        <v/>
      </c>
    </row>
    <row r="13780">
      <c r="A13780">
        <f>Input!A13780</f>
        <v/>
      </c>
      <c r="B13780">
        <f>IF(ISNUMBER(Input!B13780),IF(AND(Input!B13780&gt;=20,Input!B13780&lt;=700),Input!B13780,""),"")</f>
        <v/>
      </c>
      <c r="C13780">
        <f>IF(B13780="","",INT(A13780))</f>
        <v/>
      </c>
      <c r="D13780">
        <f>IF(B13780="","",HOUR(A13780))</f>
        <v/>
      </c>
    </row>
    <row r="13781">
      <c r="A13781">
        <f>Input!A13781</f>
        <v/>
      </c>
      <c r="B13781">
        <f>IF(ISNUMBER(Input!B13781),IF(AND(Input!B13781&gt;=20,Input!B13781&lt;=700),Input!B13781,""),"")</f>
        <v/>
      </c>
      <c r="C13781">
        <f>IF(B13781="","",INT(A13781))</f>
        <v/>
      </c>
      <c r="D13781">
        <f>IF(B13781="","",HOUR(A13781))</f>
        <v/>
      </c>
    </row>
    <row r="13782">
      <c r="A13782">
        <f>Input!A13782</f>
        <v/>
      </c>
      <c r="B13782">
        <f>IF(ISNUMBER(Input!B13782),IF(AND(Input!B13782&gt;=20,Input!B13782&lt;=700),Input!B13782,""),"")</f>
        <v/>
      </c>
      <c r="C13782">
        <f>IF(B13782="","",INT(A13782))</f>
        <v/>
      </c>
      <c r="D13782">
        <f>IF(B13782="","",HOUR(A13782))</f>
        <v/>
      </c>
    </row>
    <row r="13783">
      <c r="A13783">
        <f>Input!A13783</f>
        <v/>
      </c>
      <c r="B13783">
        <f>IF(ISNUMBER(Input!B13783),IF(AND(Input!B13783&gt;=20,Input!B13783&lt;=700),Input!B13783,""),"")</f>
        <v/>
      </c>
      <c r="C13783">
        <f>IF(B13783="","",INT(A13783))</f>
        <v/>
      </c>
      <c r="D13783">
        <f>IF(B13783="","",HOUR(A13783))</f>
        <v/>
      </c>
    </row>
    <row r="13784">
      <c r="A13784">
        <f>Input!A13784</f>
        <v/>
      </c>
      <c r="B13784">
        <f>IF(ISNUMBER(Input!B13784),IF(AND(Input!B13784&gt;=20,Input!B13784&lt;=700),Input!B13784,""),"")</f>
        <v/>
      </c>
      <c r="C13784">
        <f>IF(B13784="","",INT(A13784))</f>
        <v/>
      </c>
      <c r="D13784">
        <f>IF(B13784="","",HOUR(A13784))</f>
        <v/>
      </c>
    </row>
    <row r="13785">
      <c r="A13785">
        <f>Input!A13785</f>
        <v/>
      </c>
      <c r="B13785">
        <f>IF(ISNUMBER(Input!B13785),IF(AND(Input!B13785&gt;=20,Input!B13785&lt;=700),Input!B13785,""),"")</f>
        <v/>
      </c>
      <c r="C13785">
        <f>IF(B13785="","",INT(A13785))</f>
        <v/>
      </c>
      <c r="D13785">
        <f>IF(B13785="","",HOUR(A13785))</f>
        <v/>
      </c>
    </row>
    <row r="13786">
      <c r="A13786">
        <f>Input!A13786</f>
        <v/>
      </c>
      <c r="B13786">
        <f>IF(ISNUMBER(Input!B13786),IF(AND(Input!B13786&gt;=20,Input!B13786&lt;=700),Input!B13786,""),"")</f>
        <v/>
      </c>
      <c r="C13786">
        <f>IF(B13786="","",INT(A13786))</f>
        <v/>
      </c>
      <c r="D13786">
        <f>IF(B13786="","",HOUR(A13786))</f>
        <v/>
      </c>
    </row>
    <row r="13787">
      <c r="A13787">
        <f>Input!A13787</f>
        <v/>
      </c>
      <c r="B13787">
        <f>IF(ISNUMBER(Input!B13787),IF(AND(Input!B13787&gt;=20,Input!B13787&lt;=700),Input!B13787,""),"")</f>
        <v/>
      </c>
      <c r="C13787">
        <f>IF(B13787="","",INT(A13787))</f>
        <v/>
      </c>
      <c r="D13787">
        <f>IF(B13787="","",HOUR(A13787))</f>
        <v/>
      </c>
    </row>
    <row r="13788">
      <c r="A13788">
        <f>Input!A13788</f>
        <v/>
      </c>
      <c r="B13788">
        <f>IF(ISNUMBER(Input!B13788),IF(AND(Input!B13788&gt;=20,Input!B13788&lt;=700),Input!B13788,""),"")</f>
        <v/>
      </c>
      <c r="C13788">
        <f>IF(B13788="","",INT(A13788))</f>
        <v/>
      </c>
      <c r="D13788">
        <f>IF(B13788="","",HOUR(A13788))</f>
        <v/>
      </c>
    </row>
    <row r="13789">
      <c r="A13789">
        <f>Input!A13789</f>
        <v/>
      </c>
      <c r="B13789">
        <f>IF(ISNUMBER(Input!B13789),IF(AND(Input!B13789&gt;=20,Input!B13789&lt;=700),Input!B13789,""),"")</f>
        <v/>
      </c>
      <c r="C13789">
        <f>IF(B13789="","",INT(A13789))</f>
        <v/>
      </c>
      <c r="D13789">
        <f>IF(B13789="","",HOUR(A13789))</f>
        <v/>
      </c>
    </row>
    <row r="13790">
      <c r="A13790">
        <f>Input!A13790</f>
        <v/>
      </c>
      <c r="B13790">
        <f>IF(ISNUMBER(Input!B13790),IF(AND(Input!B13790&gt;=20,Input!B13790&lt;=700),Input!B13790,""),"")</f>
        <v/>
      </c>
      <c r="C13790">
        <f>IF(B13790="","",INT(A13790))</f>
        <v/>
      </c>
      <c r="D13790">
        <f>IF(B13790="","",HOUR(A13790))</f>
        <v/>
      </c>
    </row>
    <row r="13791">
      <c r="A13791">
        <f>Input!A13791</f>
        <v/>
      </c>
      <c r="B13791">
        <f>IF(ISNUMBER(Input!B13791),IF(AND(Input!B13791&gt;=20,Input!B13791&lt;=700),Input!B13791,""),"")</f>
        <v/>
      </c>
      <c r="C13791">
        <f>IF(B13791="","",INT(A13791))</f>
        <v/>
      </c>
      <c r="D13791">
        <f>IF(B13791="","",HOUR(A13791))</f>
        <v/>
      </c>
    </row>
    <row r="13792">
      <c r="A13792">
        <f>Input!A13792</f>
        <v/>
      </c>
      <c r="B13792">
        <f>IF(ISNUMBER(Input!B13792),IF(AND(Input!B13792&gt;=20,Input!B13792&lt;=700),Input!B13792,""),"")</f>
        <v/>
      </c>
      <c r="C13792">
        <f>IF(B13792="","",INT(A13792))</f>
        <v/>
      </c>
      <c r="D13792">
        <f>IF(B13792="","",HOUR(A13792))</f>
        <v/>
      </c>
    </row>
    <row r="13793">
      <c r="A13793">
        <f>Input!A13793</f>
        <v/>
      </c>
      <c r="B13793">
        <f>IF(ISNUMBER(Input!B13793),IF(AND(Input!B13793&gt;=20,Input!B13793&lt;=700),Input!B13793,""),"")</f>
        <v/>
      </c>
      <c r="C13793">
        <f>IF(B13793="","",INT(A13793))</f>
        <v/>
      </c>
      <c r="D13793">
        <f>IF(B13793="","",HOUR(A13793))</f>
        <v/>
      </c>
    </row>
    <row r="13794">
      <c r="A13794">
        <f>Input!A13794</f>
        <v/>
      </c>
      <c r="B13794">
        <f>IF(ISNUMBER(Input!B13794),IF(AND(Input!B13794&gt;=20,Input!B13794&lt;=700),Input!B13794,""),"")</f>
        <v/>
      </c>
      <c r="C13794">
        <f>IF(B13794="","",INT(A13794))</f>
        <v/>
      </c>
      <c r="D13794">
        <f>IF(B13794="","",HOUR(A13794))</f>
        <v/>
      </c>
    </row>
    <row r="13795">
      <c r="A13795">
        <f>Input!A13795</f>
        <v/>
      </c>
      <c r="B13795">
        <f>IF(ISNUMBER(Input!B13795),IF(AND(Input!B13795&gt;=20,Input!B13795&lt;=700),Input!B13795,""),"")</f>
        <v/>
      </c>
      <c r="C13795">
        <f>IF(B13795="","",INT(A13795))</f>
        <v/>
      </c>
      <c r="D13795">
        <f>IF(B13795="","",HOUR(A13795))</f>
        <v/>
      </c>
    </row>
    <row r="13796">
      <c r="A13796">
        <f>Input!A13796</f>
        <v/>
      </c>
      <c r="B13796">
        <f>IF(ISNUMBER(Input!B13796),IF(AND(Input!B13796&gt;=20,Input!B13796&lt;=700),Input!B13796,""),"")</f>
        <v/>
      </c>
      <c r="C13796">
        <f>IF(B13796="","",INT(A13796))</f>
        <v/>
      </c>
      <c r="D13796">
        <f>IF(B13796="","",HOUR(A13796))</f>
        <v/>
      </c>
    </row>
    <row r="13797">
      <c r="A13797">
        <f>Input!A13797</f>
        <v/>
      </c>
      <c r="B13797">
        <f>IF(ISNUMBER(Input!B13797),IF(AND(Input!B13797&gt;=20,Input!B13797&lt;=700),Input!B13797,""),"")</f>
        <v/>
      </c>
      <c r="C13797">
        <f>IF(B13797="","",INT(A13797))</f>
        <v/>
      </c>
      <c r="D13797">
        <f>IF(B13797="","",HOUR(A13797))</f>
        <v/>
      </c>
    </row>
    <row r="13798">
      <c r="A13798">
        <f>Input!A13798</f>
        <v/>
      </c>
      <c r="B13798">
        <f>IF(ISNUMBER(Input!B13798),IF(AND(Input!B13798&gt;=20,Input!B13798&lt;=700),Input!B13798,""),"")</f>
        <v/>
      </c>
      <c r="C13798">
        <f>IF(B13798="","",INT(A13798))</f>
        <v/>
      </c>
      <c r="D13798">
        <f>IF(B13798="","",HOUR(A13798))</f>
        <v/>
      </c>
    </row>
    <row r="13799">
      <c r="A13799">
        <f>Input!A13799</f>
        <v/>
      </c>
      <c r="B13799">
        <f>IF(ISNUMBER(Input!B13799),IF(AND(Input!B13799&gt;=20,Input!B13799&lt;=700),Input!B13799,""),"")</f>
        <v/>
      </c>
      <c r="C13799">
        <f>IF(B13799="","",INT(A13799))</f>
        <v/>
      </c>
      <c r="D13799">
        <f>IF(B13799="","",HOUR(A13799))</f>
        <v/>
      </c>
    </row>
    <row r="13800">
      <c r="A13800">
        <f>Input!A13800</f>
        <v/>
      </c>
      <c r="B13800">
        <f>IF(ISNUMBER(Input!B13800),IF(AND(Input!B13800&gt;=20,Input!B13800&lt;=700),Input!B13800,""),"")</f>
        <v/>
      </c>
      <c r="C13800">
        <f>IF(B13800="","",INT(A13800))</f>
        <v/>
      </c>
      <c r="D13800">
        <f>IF(B13800="","",HOUR(A13800))</f>
        <v/>
      </c>
    </row>
    <row r="13801">
      <c r="A13801">
        <f>Input!A13801</f>
        <v/>
      </c>
      <c r="B13801">
        <f>IF(ISNUMBER(Input!B13801),IF(AND(Input!B13801&gt;=20,Input!B13801&lt;=700),Input!B13801,""),"")</f>
        <v/>
      </c>
      <c r="C13801">
        <f>IF(B13801="","",INT(A13801))</f>
        <v/>
      </c>
      <c r="D13801">
        <f>IF(B13801="","",HOUR(A13801))</f>
        <v/>
      </c>
    </row>
    <row r="13802">
      <c r="A13802">
        <f>Input!A13802</f>
        <v/>
      </c>
      <c r="B13802">
        <f>IF(ISNUMBER(Input!B13802),IF(AND(Input!B13802&gt;=20,Input!B13802&lt;=700),Input!B13802,""),"")</f>
        <v/>
      </c>
      <c r="C13802">
        <f>IF(B13802="","",INT(A13802))</f>
        <v/>
      </c>
      <c r="D13802">
        <f>IF(B13802="","",HOUR(A13802))</f>
        <v/>
      </c>
    </row>
    <row r="13803">
      <c r="A13803">
        <f>Input!A13803</f>
        <v/>
      </c>
      <c r="B13803">
        <f>IF(ISNUMBER(Input!B13803),IF(AND(Input!B13803&gt;=20,Input!B13803&lt;=700),Input!B13803,""),"")</f>
        <v/>
      </c>
      <c r="C13803">
        <f>IF(B13803="","",INT(A13803))</f>
        <v/>
      </c>
      <c r="D13803">
        <f>IF(B13803="","",HOUR(A13803))</f>
        <v/>
      </c>
    </row>
    <row r="13804">
      <c r="A13804">
        <f>Input!A13804</f>
        <v/>
      </c>
      <c r="B13804">
        <f>IF(ISNUMBER(Input!B13804),IF(AND(Input!B13804&gt;=20,Input!B13804&lt;=700),Input!B13804,""),"")</f>
        <v/>
      </c>
      <c r="C13804">
        <f>IF(B13804="","",INT(A13804))</f>
        <v/>
      </c>
      <c r="D13804">
        <f>IF(B13804="","",HOUR(A13804))</f>
        <v/>
      </c>
    </row>
    <row r="13805">
      <c r="A13805">
        <f>Input!A13805</f>
        <v/>
      </c>
      <c r="B13805">
        <f>IF(ISNUMBER(Input!B13805),IF(AND(Input!B13805&gt;=20,Input!B13805&lt;=700),Input!B13805,""),"")</f>
        <v/>
      </c>
      <c r="C13805">
        <f>IF(B13805="","",INT(A13805))</f>
        <v/>
      </c>
      <c r="D13805">
        <f>IF(B13805="","",HOUR(A13805))</f>
        <v/>
      </c>
    </row>
    <row r="13806">
      <c r="A13806">
        <f>Input!A13806</f>
        <v/>
      </c>
      <c r="B13806">
        <f>IF(ISNUMBER(Input!B13806),IF(AND(Input!B13806&gt;=20,Input!B13806&lt;=700),Input!B13806,""),"")</f>
        <v/>
      </c>
      <c r="C13806">
        <f>IF(B13806="","",INT(A13806))</f>
        <v/>
      </c>
      <c r="D13806">
        <f>IF(B13806="","",HOUR(A13806))</f>
        <v/>
      </c>
    </row>
    <row r="13807">
      <c r="A13807">
        <f>Input!A13807</f>
        <v/>
      </c>
      <c r="B13807">
        <f>IF(ISNUMBER(Input!B13807),IF(AND(Input!B13807&gt;=20,Input!B13807&lt;=700),Input!B13807,""),"")</f>
        <v/>
      </c>
      <c r="C13807">
        <f>IF(B13807="","",INT(A13807))</f>
        <v/>
      </c>
      <c r="D13807">
        <f>IF(B13807="","",HOUR(A13807))</f>
        <v/>
      </c>
    </row>
    <row r="13808">
      <c r="A13808">
        <f>Input!A13808</f>
        <v/>
      </c>
      <c r="B13808">
        <f>IF(ISNUMBER(Input!B13808),IF(AND(Input!B13808&gt;=20,Input!B13808&lt;=700),Input!B13808,""),"")</f>
        <v/>
      </c>
      <c r="C13808">
        <f>IF(B13808="","",INT(A13808))</f>
        <v/>
      </c>
      <c r="D13808">
        <f>IF(B13808="","",HOUR(A13808))</f>
        <v/>
      </c>
    </row>
    <row r="13809">
      <c r="A13809">
        <f>Input!A13809</f>
        <v/>
      </c>
      <c r="B13809">
        <f>IF(ISNUMBER(Input!B13809),IF(AND(Input!B13809&gt;=20,Input!B13809&lt;=700),Input!B13809,""),"")</f>
        <v/>
      </c>
      <c r="C13809">
        <f>IF(B13809="","",INT(A13809))</f>
        <v/>
      </c>
      <c r="D13809">
        <f>IF(B13809="","",HOUR(A13809))</f>
        <v/>
      </c>
    </row>
    <row r="13810">
      <c r="A13810">
        <f>Input!A13810</f>
        <v/>
      </c>
      <c r="B13810">
        <f>IF(ISNUMBER(Input!B13810),IF(AND(Input!B13810&gt;=20,Input!B13810&lt;=700),Input!B13810,""),"")</f>
        <v/>
      </c>
      <c r="C13810">
        <f>IF(B13810="","",INT(A13810))</f>
        <v/>
      </c>
      <c r="D13810">
        <f>IF(B13810="","",HOUR(A13810))</f>
        <v/>
      </c>
    </row>
    <row r="13811">
      <c r="A13811">
        <f>Input!A13811</f>
        <v/>
      </c>
      <c r="B13811">
        <f>IF(ISNUMBER(Input!B13811),IF(AND(Input!B13811&gt;=20,Input!B13811&lt;=700),Input!B13811,""),"")</f>
        <v/>
      </c>
      <c r="C13811">
        <f>IF(B13811="","",INT(A13811))</f>
        <v/>
      </c>
      <c r="D13811">
        <f>IF(B13811="","",HOUR(A13811))</f>
        <v/>
      </c>
    </row>
    <row r="13812">
      <c r="A13812">
        <f>Input!A13812</f>
        <v/>
      </c>
      <c r="B13812">
        <f>IF(ISNUMBER(Input!B13812),IF(AND(Input!B13812&gt;=20,Input!B13812&lt;=700),Input!B13812,""),"")</f>
        <v/>
      </c>
      <c r="C13812">
        <f>IF(B13812="","",INT(A13812))</f>
        <v/>
      </c>
      <c r="D13812">
        <f>IF(B13812="","",HOUR(A13812))</f>
        <v/>
      </c>
    </row>
    <row r="13813">
      <c r="A13813">
        <f>Input!A13813</f>
        <v/>
      </c>
      <c r="B13813">
        <f>IF(ISNUMBER(Input!B13813),IF(AND(Input!B13813&gt;=20,Input!B13813&lt;=700),Input!B13813,""),"")</f>
        <v/>
      </c>
      <c r="C13813">
        <f>IF(B13813="","",INT(A13813))</f>
        <v/>
      </c>
      <c r="D13813">
        <f>IF(B13813="","",HOUR(A13813))</f>
        <v/>
      </c>
    </row>
    <row r="13814">
      <c r="A13814">
        <f>Input!A13814</f>
        <v/>
      </c>
      <c r="B13814">
        <f>IF(ISNUMBER(Input!B13814),IF(AND(Input!B13814&gt;=20,Input!B13814&lt;=700),Input!B13814,""),"")</f>
        <v/>
      </c>
      <c r="C13814">
        <f>IF(B13814="","",INT(A13814))</f>
        <v/>
      </c>
      <c r="D13814">
        <f>IF(B13814="","",HOUR(A13814))</f>
        <v/>
      </c>
    </row>
    <row r="13815">
      <c r="A13815">
        <f>Input!A13815</f>
        <v/>
      </c>
      <c r="B13815">
        <f>IF(ISNUMBER(Input!B13815),IF(AND(Input!B13815&gt;=20,Input!B13815&lt;=700),Input!B13815,""),"")</f>
        <v/>
      </c>
      <c r="C13815">
        <f>IF(B13815="","",INT(A13815))</f>
        <v/>
      </c>
      <c r="D13815">
        <f>IF(B13815="","",HOUR(A13815))</f>
        <v/>
      </c>
    </row>
    <row r="13816">
      <c r="A13816">
        <f>Input!A13816</f>
        <v/>
      </c>
      <c r="B13816">
        <f>IF(ISNUMBER(Input!B13816),IF(AND(Input!B13816&gt;=20,Input!B13816&lt;=700),Input!B13816,""),"")</f>
        <v/>
      </c>
      <c r="C13816">
        <f>IF(B13816="","",INT(A13816))</f>
        <v/>
      </c>
      <c r="D13816">
        <f>IF(B13816="","",HOUR(A13816))</f>
        <v/>
      </c>
    </row>
    <row r="13817">
      <c r="A13817">
        <f>Input!A13817</f>
        <v/>
      </c>
      <c r="B13817">
        <f>IF(ISNUMBER(Input!B13817),IF(AND(Input!B13817&gt;=20,Input!B13817&lt;=700),Input!B13817,""),"")</f>
        <v/>
      </c>
      <c r="C13817">
        <f>IF(B13817="","",INT(A13817))</f>
        <v/>
      </c>
      <c r="D13817">
        <f>IF(B13817="","",HOUR(A13817))</f>
        <v/>
      </c>
    </row>
    <row r="13818">
      <c r="A13818">
        <f>Input!A13818</f>
        <v/>
      </c>
      <c r="B13818">
        <f>IF(ISNUMBER(Input!B13818),IF(AND(Input!B13818&gt;=20,Input!B13818&lt;=700),Input!B13818,""),"")</f>
        <v/>
      </c>
      <c r="C13818">
        <f>IF(B13818="","",INT(A13818))</f>
        <v/>
      </c>
      <c r="D13818">
        <f>IF(B13818="","",HOUR(A13818))</f>
        <v/>
      </c>
    </row>
    <row r="13819">
      <c r="A13819">
        <f>Input!A13819</f>
        <v/>
      </c>
      <c r="B13819">
        <f>IF(ISNUMBER(Input!B13819),IF(AND(Input!B13819&gt;=20,Input!B13819&lt;=700),Input!B13819,""),"")</f>
        <v/>
      </c>
      <c r="C13819">
        <f>IF(B13819="","",INT(A13819))</f>
        <v/>
      </c>
      <c r="D13819">
        <f>IF(B13819="","",HOUR(A13819))</f>
        <v/>
      </c>
    </row>
    <row r="13820">
      <c r="A13820">
        <f>Input!A13820</f>
        <v/>
      </c>
      <c r="B13820">
        <f>IF(ISNUMBER(Input!B13820),IF(AND(Input!B13820&gt;=20,Input!B13820&lt;=700),Input!B13820,""),"")</f>
        <v/>
      </c>
      <c r="C13820">
        <f>IF(B13820="","",INT(A13820))</f>
        <v/>
      </c>
      <c r="D13820">
        <f>IF(B13820="","",HOUR(A13820))</f>
        <v/>
      </c>
    </row>
    <row r="13821">
      <c r="A13821">
        <f>Input!A13821</f>
        <v/>
      </c>
      <c r="B13821">
        <f>IF(ISNUMBER(Input!B13821),IF(AND(Input!B13821&gt;=20,Input!B13821&lt;=700),Input!B13821,""),"")</f>
        <v/>
      </c>
      <c r="C13821">
        <f>IF(B13821="","",INT(A13821))</f>
        <v/>
      </c>
      <c r="D13821">
        <f>IF(B13821="","",HOUR(A13821))</f>
        <v/>
      </c>
    </row>
    <row r="13822">
      <c r="A13822">
        <f>Input!A13822</f>
        <v/>
      </c>
      <c r="B13822">
        <f>IF(ISNUMBER(Input!B13822),IF(AND(Input!B13822&gt;=20,Input!B13822&lt;=700),Input!B13822,""),"")</f>
        <v/>
      </c>
      <c r="C13822">
        <f>IF(B13822="","",INT(A13822))</f>
        <v/>
      </c>
      <c r="D13822">
        <f>IF(B13822="","",HOUR(A13822))</f>
        <v/>
      </c>
    </row>
    <row r="13823">
      <c r="A13823">
        <f>Input!A13823</f>
        <v/>
      </c>
      <c r="B13823">
        <f>IF(ISNUMBER(Input!B13823),IF(AND(Input!B13823&gt;=20,Input!B13823&lt;=700),Input!B13823,""),"")</f>
        <v/>
      </c>
      <c r="C13823">
        <f>IF(B13823="","",INT(A13823))</f>
        <v/>
      </c>
      <c r="D13823">
        <f>IF(B13823="","",HOUR(A13823))</f>
        <v/>
      </c>
    </row>
    <row r="13824">
      <c r="A13824">
        <f>Input!A13824</f>
        <v/>
      </c>
      <c r="B13824">
        <f>IF(ISNUMBER(Input!B13824),IF(AND(Input!B13824&gt;=20,Input!B13824&lt;=700),Input!B13824,""),"")</f>
        <v/>
      </c>
      <c r="C13824">
        <f>IF(B13824="","",INT(A13824))</f>
        <v/>
      </c>
      <c r="D13824">
        <f>IF(B13824="","",HOUR(A13824))</f>
        <v/>
      </c>
    </row>
    <row r="13825">
      <c r="A13825">
        <f>Input!A13825</f>
        <v/>
      </c>
      <c r="B13825">
        <f>IF(ISNUMBER(Input!B13825),IF(AND(Input!B13825&gt;=20,Input!B13825&lt;=700),Input!B13825,""),"")</f>
        <v/>
      </c>
      <c r="C13825">
        <f>IF(B13825="","",INT(A13825))</f>
        <v/>
      </c>
      <c r="D13825">
        <f>IF(B13825="","",HOUR(A13825))</f>
        <v/>
      </c>
    </row>
    <row r="13826">
      <c r="A13826">
        <f>Input!A13826</f>
        <v/>
      </c>
      <c r="B13826">
        <f>IF(ISNUMBER(Input!B13826),IF(AND(Input!B13826&gt;=20,Input!B13826&lt;=700),Input!B13826,""),"")</f>
        <v/>
      </c>
      <c r="C13826">
        <f>IF(B13826="","",INT(A13826))</f>
        <v/>
      </c>
      <c r="D13826">
        <f>IF(B13826="","",HOUR(A13826))</f>
        <v/>
      </c>
    </row>
    <row r="13827">
      <c r="A13827">
        <f>Input!A13827</f>
        <v/>
      </c>
      <c r="B13827">
        <f>IF(ISNUMBER(Input!B13827),IF(AND(Input!B13827&gt;=20,Input!B13827&lt;=700),Input!B13827,""),"")</f>
        <v/>
      </c>
      <c r="C13827">
        <f>IF(B13827="","",INT(A13827))</f>
        <v/>
      </c>
      <c r="D13827">
        <f>IF(B13827="","",HOUR(A13827))</f>
        <v/>
      </c>
    </row>
    <row r="13828">
      <c r="A13828">
        <f>Input!A13828</f>
        <v/>
      </c>
      <c r="B13828">
        <f>IF(ISNUMBER(Input!B13828),IF(AND(Input!B13828&gt;=20,Input!B13828&lt;=700),Input!B13828,""),"")</f>
        <v/>
      </c>
      <c r="C13828">
        <f>IF(B13828="","",INT(A13828))</f>
        <v/>
      </c>
      <c r="D13828">
        <f>IF(B13828="","",HOUR(A13828))</f>
        <v/>
      </c>
    </row>
    <row r="13829">
      <c r="A13829">
        <f>Input!A13829</f>
        <v/>
      </c>
      <c r="B13829">
        <f>IF(ISNUMBER(Input!B13829),IF(AND(Input!B13829&gt;=20,Input!B13829&lt;=700),Input!B13829,""),"")</f>
        <v/>
      </c>
      <c r="C13829">
        <f>IF(B13829="","",INT(A13829))</f>
        <v/>
      </c>
      <c r="D13829">
        <f>IF(B13829="","",HOUR(A13829))</f>
        <v/>
      </c>
    </row>
    <row r="13830">
      <c r="A13830">
        <f>Input!A13830</f>
        <v/>
      </c>
      <c r="B13830">
        <f>IF(ISNUMBER(Input!B13830),IF(AND(Input!B13830&gt;=20,Input!B13830&lt;=700),Input!B13830,""),"")</f>
        <v/>
      </c>
      <c r="C13830">
        <f>IF(B13830="","",INT(A13830))</f>
        <v/>
      </c>
      <c r="D13830">
        <f>IF(B13830="","",HOUR(A13830))</f>
        <v/>
      </c>
    </row>
    <row r="13831">
      <c r="A13831">
        <f>Input!A13831</f>
        <v/>
      </c>
      <c r="B13831">
        <f>IF(ISNUMBER(Input!B13831),IF(AND(Input!B13831&gt;=20,Input!B13831&lt;=700),Input!B13831,""),"")</f>
        <v/>
      </c>
      <c r="C13831">
        <f>IF(B13831="","",INT(A13831))</f>
        <v/>
      </c>
      <c r="D13831">
        <f>IF(B13831="","",HOUR(A13831))</f>
        <v/>
      </c>
    </row>
    <row r="13832">
      <c r="A13832">
        <f>Input!A13832</f>
        <v/>
      </c>
      <c r="B13832">
        <f>IF(ISNUMBER(Input!B13832),IF(AND(Input!B13832&gt;=20,Input!B13832&lt;=700),Input!B13832,""),"")</f>
        <v/>
      </c>
      <c r="C13832">
        <f>IF(B13832="","",INT(A13832))</f>
        <v/>
      </c>
      <c r="D13832">
        <f>IF(B13832="","",HOUR(A13832))</f>
        <v/>
      </c>
    </row>
    <row r="13833">
      <c r="A13833">
        <f>Input!A13833</f>
        <v/>
      </c>
      <c r="B13833">
        <f>IF(ISNUMBER(Input!B13833),IF(AND(Input!B13833&gt;=20,Input!B13833&lt;=700),Input!B13833,""),"")</f>
        <v/>
      </c>
      <c r="C13833">
        <f>IF(B13833="","",INT(A13833))</f>
        <v/>
      </c>
      <c r="D13833">
        <f>IF(B13833="","",HOUR(A13833))</f>
        <v/>
      </c>
    </row>
    <row r="13834">
      <c r="A13834">
        <f>Input!A13834</f>
        <v/>
      </c>
      <c r="B13834">
        <f>IF(ISNUMBER(Input!B13834),IF(AND(Input!B13834&gt;=20,Input!B13834&lt;=700),Input!B13834,""),"")</f>
        <v/>
      </c>
      <c r="C13834">
        <f>IF(B13834="","",INT(A13834))</f>
        <v/>
      </c>
      <c r="D13834">
        <f>IF(B13834="","",HOUR(A13834))</f>
        <v/>
      </c>
    </row>
    <row r="13835">
      <c r="A13835">
        <f>Input!A13835</f>
        <v/>
      </c>
      <c r="B13835">
        <f>IF(ISNUMBER(Input!B13835),IF(AND(Input!B13835&gt;=20,Input!B13835&lt;=700),Input!B13835,""),"")</f>
        <v/>
      </c>
      <c r="C13835">
        <f>IF(B13835="","",INT(A13835))</f>
        <v/>
      </c>
      <c r="D13835">
        <f>IF(B13835="","",HOUR(A13835))</f>
        <v/>
      </c>
    </row>
    <row r="13836">
      <c r="A13836">
        <f>Input!A13836</f>
        <v/>
      </c>
      <c r="B13836">
        <f>IF(ISNUMBER(Input!B13836),IF(AND(Input!B13836&gt;=20,Input!B13836&lt;=700),Input!B13836,""),"")</f>
        <v/>
      </c>
      <c r="C13836">
        <f>IF(B13836="","",INT(A13836))</f>
        <v/>
      </c>
      <c r="D13836">
        <f>IF(B13836="","",HOUR(A13836))</f>
        <v/>
      </c>
    </row>
    <row r="13837">
      <c r="A13837">
        <f>Input!A13837</f>
        <v/>
      </c>
      <c r="B13837">
        <f>IF(ISNUMBER(Input!B13837),IF(AND(Input!B13837&gt;=20,Input!B13837&lt;=700),Input!B13837,""),"")</f>
        <v/>
      </c>
      <c r="C13837">
        <f>IF(B13837="","",INT(A13837))</f>
        <v/>
      </c>
      <c r="D13837">
        <f>IF(B13837="","",HOUR(A13837))</f>
        <v/>
      </c>
    </row>
    <row r="13838">
      <c r="A13838">
        <f>Input!A13838</f>
        <v/>
      </c>
      <c r="B13838">
        <f>IF(ISNUMBER(Input!B13838),IF(AND(Input!B13838&gt;=20,Input!B13838&lt;=700),Input!B13838,""),"")</f>
        <v/>
      </c>
      <c r="C13838">
        <f>IF(B13838="","",INT(A13838))</f>
        <v/>
      </c>
      <c r="D13838">
        <f>IF(B13838="","",HOUR(A13838))</f>
        <v/>
      </c>
    </row>
    <row r="13839">
      <c r="A13839">
        <f>Input!A13839</f>
        <v/>
      </c>
      <c r="B13839">
        <f>IF(ISNUMBER(Input!B13839),IF(AND(Input!B13839&gt;=20,Input!B13839&lt;=700),Input!B13839,""),"")</f>
        <v/>
      </c>
      <c r="C13839">
        <f>IF(B13839="","",INT(A13839))</f>
        <v/>
      </c>
      <c r="D13839">
        <f>IF(B13839="","",HOUR(A13839))</f>
        <v/>
      </c>
    </row>
    <row r="13840">
      <c r="A13840">
        <f>Input!A13840</f>
        <v/>
      </c>
      <c r="B13840">
        <f>IF(ISNUMBER(Input!B13840),IF(AND(Input!B13840&gt;=20,Input!B13840&lt;=700),Input!B13840,""),"")</f>
        <v/>
      </c>
      <c r="C13840">
        <f>IF(B13840="","",INT(A13840))</f>
        <v/>
      </c>
      <c r="D13840">
        <f>IF(B13840="","",HOUR(A13840))</f>
        <v/>
      </c>
    </row>
    <row r="13841">
      <c r="A13841">
        <f>Input!A13841</f>
        <v/>
      </c>
      <c r="B13841">
        <f>IF(ISNUMBER(Input!B13841),IF(AND(Input!B13841&gt;=20,Input!B13841&lt;=700),Input!B13841,""),"")</f>
        <v/>
      </c>
      <c r="C13841">
        <f>IF(B13841="","",INT(A13841))</f>
        <v/>
      </c>
      <c r="D13841">
        <f>IF(B13841="","",HOUR(A13841))</f>
        <v/>
      </c>
    </row>
    <row r="13842">
      <c r="A13842">
        <f>Input!A13842</f>
        <v/>
      </c>
      <c r="B13842">
        <f>IF(ISNUMBER(Input!B13842),IF(AND(Input!B13842&gt;=20,Input!B13842&lt;=700),Input!B13842,""),"")</f>
        <v/>
      </c>
      <c r="C13842">
        <f>IF(B13842="","",INT(A13842))</f>
        <v/>
      </c>
      <c r="D13842">
        <f>IF(B13842="","",HOUR(A13842))</f>
        <v/>
      </c>
    </row>
    <row r="13843">
      <c r="A13843">
        <f>Input!A13843</f>
        <v/>
      </c>
      <c r="B13843">
        <f>IF(ISNUMBER(Input!B13843),IF(AND(Input!B13843&gt;=20,Input!B13843&lt;=700),Input!B13843,""),"")</f>
        <v/>
      </c>
      <c r="C13843">
        <f>IF(B13843="","",INT(A13843))</f>
        <v/>
      </c>
      <c r="D13843">
        <f>IF(B13843="","",HOUR(A13843))</f>
        <v/>
      </c>
    </row>
    <row r="13844">
      <c r="A13844">
        <f>Input!A13844</f>
        <v/>
      </c>
      <c r="B13844">
        <f>IF(ISNUMBER(Input!B13844),IF(AND(Input!B13844&gt;=20,Input!B13844&lt;=700),Input!B13844,""),"")</f>
        <v/>
      </c>
      <c r="C13844">
        <f>IF(B13844="","",INT(A13844))</f>
        <v/>
      </c>
      <c r="D13844">
        <f>IF(B13844="","",HOUR(A13844))</f>
        <v/>
      </c>
    </row>
    <row r="13845">
      <c r="A13845">
        <f>Input!A13845</f>
        <v/>
      </c>
      <c r="B13845">
        <f>IF(ISNUMBER(Input!B13845),IF(AND(Input!B13845&gt;=20,Input!B13845&lt;=700),Input!B13845,""),"")</f>
        <v/>
      </c>
      <c r="C13845">
        <f>IF(B13845="","",INT(A13845))</f>
        <v/>
      </c>
      <c r="D13845">
        <f>IF(B13845="","",HOUR(A13845))</f>
        <v/>
      </c>
    </row>
    <row r="13846">
      <c r="A13846">
        <f>Input!A13846</f>
        <v/>
      </c>
      <c r="B13846">
        <f>IF(ISNUMBER(Input!B13846),IF(AND(Input!B13846&gt;=20,Input!B13846&lt;=700),Input!B13846,""),"")</f>
        <v/>
      </c>
      <c r="C13846">
        <f>IF(B13846="","",INT(A13846))</f>
        <v/>
      </c>
      <c r="D13846">
        <f>IF(B13846="","",HOUR(A13846))</f>
        <v/>
      </c>
    </row>
    <row r="13847">
      <c r="A13847">
        <f>Input!A13847</f>
        <v/>
      </c>
      <c r="B13847">
        <f>IF(ISNUMBER(Input!B13847),IF(AND(Input!B13847&gt;=20,Input!B13847&lt;=700),Input!B13847,""),"")</f>
        <v/>
      </c>
      <c r="C13847">
        <f>IF(B13847="","",INT(A13847))</f>
        <v/>
      </c>
      <c r="D13847">
        <f>IF(B13847="","",HOUR(A13847))</f>
        <v/>
      </c>
    </row>
    <row r="13848">
      <c r="A13848">
        <f>Input!A13848</f>
        <v/>
      </c>
      <c r="B13848">
        <f>IF(ISNUMBER(Input!B13848),IF(AND(Input!B13848&gt;=20,Input!B13848&lt;=700),Input!B13848,""),"")</f>
        <v/>
      </c>
      <c r="C13848">
        <f>IF(B13848="","",INT(A13848))</f>
        <v/>
      </c>
      <c r="D13848">
        <f>IF(B13848="","",HOUR(A13848))</f>
        <v/>
      </c>
    </row>
    <row r="13849">
      <c r="A13849">
        <f>Input!A13849</f>
        <v/>
      </c>
      <c r="B13849">
        <f>IF(ISNUMBER(Input!B13849),IF(AND(Input!B13849&gt;=20,Input!B13849&lt;=700),Input!B13849,""),"")</f>
        <v/>
      </c>
      <c r="C13849">
        <f>IF(B13849="","",INT(A13849))</f>
        <v/>
      </c>
      <c r="D13849">
        <f>IF(B13849="","",HOUR(A13849))</f>
        <v/>
      </c>
    </row>
    <row r="13850">
      <c r="A13850">
        <f>Input!A13850</f>
        <v/>
      </c>
      <c r="B13850">
        <f>IF(ISNUMBER(Input!B13850),IF(AND(Input!B13850&gt;=20,Input!B13850&lt;=700),Input!B13850,""),"")</f>
        <v/>
      </c>
      <c r="C13850">
        <f>IF(B13850="","",INT(A13850))</f>
        <v/>
      </c>
      <c r="D13850">
        <f>IF(B13850="","",HOUR(A13850))</f>
        <v/>
      </c>
    </row>
    <row r="13851">
      <c r="A13851">
        <f>Input!A13851</f>
        <v/>
      </c>
      <c r="B13851">
        <f>IF(ISNUMBER(Input!B13851),IF(AND(Input!B13851&gt;=20,Input!B13851&lt;=700),Input!B13851,""),"")</f>
        <v/>
      </c>
      <c r="C13851">
        <f>IF(B13851="","",INT(A13851))</f>
        <v/>
      </c>
      <c r="D13851">
        <f>IF(B13851="","",HOUR(A13851))</f>
        <v/>
      </c>
    </row>
    <row r="13852">
      <c r="A13852">
        <f>Input!A13852</f>
        <v/>
      </c>
      <c r="B13852">
        <f>IF(ISNUMBER(Input!B13852),IF(AND(Input!B13852&gt;=20,Input!B13852&lt;=700),Input!B13852,""),"")</f>
        <v/>
      </c>
      <c r="C13852">
        <f>IF(B13852="","",INT(A13852))</f>
        <v/>
      </c>
      <c r="D13852">
        <f>IF(B13852="","",HOUR(A13852))</f>
        <v/>
      </c>
    </row>
    <row r="13853">
      <c r="A13853">
        <f>Input!A13853</f>
        <v/>
      </c>
      <c r="B13853">
        <f>IF(ISNUMBER(Input!B13853),IF(AND(Input!B13853&gt;=20,Input!B13853&lt;=700),Input!B13853,""),"")</f>
        <v/>
      </c>
      <c r="C13853">
        <f>IF(B13853="","",INT(A13853))</f>
        <v/>
      </c>
      <c r="D13853">
        <f>IF(B13853="","",HOUR(A13853))</f>
        <v/>
      </c>
    </row>
    <row r="13854">
      <c r="A13854">
        <f>Input!A13854</f>
        <v/>
      </c>
      <c r="B13854">
        <f>IF(ISNUMBER(Input!B13854),IF(AND(Input!B13854&gt;=20,Input!B13854&lt;=700),Input!B13854,""),"")</f>
        <v/>
      </c>
      <c r="C13854">
        <f>IF(B13854="","",INT(A13854))</f>
        <v/>
      </c>
      <c r="D13854">
        <f>IF(B13854="","",HOUR(A13854))</f>
        <v/>
      </c>
    </row>
    <row r="13855">
      <c r="A13855">
        <f>Input!A13855</f>
        <v/>
      </c>
      <c r="B13855">
        <f>IF(ISNUMBER(Input!B13855),IF(AND(Input!B13855&gt;=20,Input!B13855&lt;=700),Input!B13855,""),"")</f>
        <v/>
      </c>
      <c r="C13855">
        <f>IF(B13855="","",INT(A13855))</f>
        <v/>
      </c>
      <c r="D13855">
        <f>IF(B13855="","",HOUR(A13855))</f>
        <v/>
      </c>
    </row>
    <row r="13856">
      <c r="A13856">
        <f>Input!A13856</f>
        <v/>
      </c>
      <c r="B13856">
        <f>IF(ISNUMBER(Input!B13856),IF(AND(Input!B13856&gt;=20,Input!B13856&lt;=700),Input!B13856,""),"")</f>
        <v/>
      </c>
      <c r="C13856">
        <f>IF(B13856="","",INT(A13856))</f>
        <v/>
      </c>
      <c r="D13856">
        <f>IF(B13856="","",HOUR(A13856))</f>
        <v/>
      </c>
    </row>
    <row r="13857">
      <c r="A13857">
        <f>Input!A13857</f>
        <v/>
      </c>
      <c r="B13857">
        <f>IF(ISNUMBER(Input!B13857),IF(AND(Input!B13857&gt;=20,Input!B13857&lt;=700),Input!B13857,""),"")</f>
        <v/>
      </c>
      <c r="C13857">
        <f>IF(B13857="","",INT(A13857))</f>
        <v/>
      </c>
      <c r="D13857">
        <f>IF(B13857="","",HOUR(A13857))</f>
        <v/>
      </c>
    </row>
    <row r="13858">
      <c r="A13858">
        <f>Input!A13858</f>
        <v/>
      </c>
      <c r="B13858">
        <f>IF(ISNUMBER(Input!B13858),IF(AND(Input!B13858&gt;=20,Input!B13858&lt;=700),Input!B13858,""),"")</f>
        <v/>
      </c>
      <c r="C13858">
        <f>IF(B13858="","",INT(A13858))</f>
        <v/>
      </c>
      <c r="D13858">
        <f>IF(B13858="","",HOUR(A13858))</f>
        <v/>
      </c>
    </row>
    <row r="13859">
      <c r="A13859">
        <f>Input!A13859</f>
        <v/>
      </c>
      <c r="B13859">
        <f>IF(ISNUMBER(Input!B13859),IF(AND(Input!B13859&gt;=20,Input!B13859&lt;=700),Input!B13859,""),"")</f>
        <v/>
      </c>
      <c r="C13859">
        <f>IF(B13859="","",INT(A13859))</f>
        <v/>
      </c>
      <c r="D13859">
        <f>IF(B13859="","",HOUR(A13859))</f>
        <v/>
      </c>
    </row>
    <row r="13860">
      <c r="A13860">
        <f>Input!A13860</f>
        <v/>
      </c>
      <c r="B13860">
        <f>IF(ISNUMBER(Input!B13860),IF(AND(Input!B13860&gt;=20,Input!B13860&lt;=700),Input!B13860,""),"")</f>
        <v/>
      </c>
      <c r="C13860">
        <f>IF(B13860="","",INT(A13860))</f>
        <v/>
      </c>
      <c r="D13860">
        <f>IF(B13860="","",HOUR(A13860))</f>
        <v/>
      </c>
    </row>
    <row r="13861">
      <c r="A13861">
        <f>Input!A13861</f>
        <v/>
      </c>
      <c r="B13861">
        <f>IF(ISNUMBER(Input!B13861),IF(AND(Input!B13861&gt;=20,Input!B13861&lt;=700),Input!B13861,""),"")</f>
        <v/>
      </c>
      <c r="C13861">
        <f>IF(B13861="","",INT(A13861))</f>
        <v/>
      </c>
      <c r="D13861">
        <f>IF(B13861="","",HOUR(A13861))</f>
        <v/>
      </c>
    </row>
    <row r="13862">
      <c r="A13862">
        <f>Input!A13862</f>
        <v/>
      </c>
      <c r="B13862">
        <f>IF(ISNUMBER(Input!B13862),IF(AND(Input!B13862&gt;=20,Input!B13862&lt;=700),Input!B13862,""),"")</f>
        <v/>
      </c>
      <c r="C13862">
        <f>IF(B13862="","",INT(A13862))</f>
        <v/>
      </c>
      <c r="D13862">
        <f>IF(B13862="","",HOUR(A13862))</f>
        <v/>
      </c>
    </row>
    <row r="13863">
      <c r="A13863">
        <f>Input!A13863</f>
        <v/>
      </c>
      <c r="B13863">
        <f>IF(ISNUMBER(Input!B13863),IF(AND(Input!B13863&gt;=20,Input!B13863&lt;=700),Input!B13863,""),"")</f>
        <v/>
      </c>
      <c r="C13863">
        <f>IF(B13863="","",INT(A13863))</f>
        <v/>
      </c>
      <c r="D13863">
        <f>IF(B13863="","",HOUR(A13863))</f>
        <v/>
      </c>
    </row>
    <row r="13864">
      <c r="A13864">
        <f>Input!A13864</f>
        <v/>
      </c>
      <c r="B13864">
        <f>IF(ISNUMBER(Input!B13864),IF(AND(Input!B13864&gt;=20,Input!B13864&lt;=700),Input!B13864,""),"")</f>
        <v/>
      </c>
      <c r="C13864">
        <f>IF(B13864="","",INT(A13864))</f>
        <v/>
      </c>
      <c r="D13864">
        <f>IF(B13864="","",HOUR(A13864))</f>
        <v/>
      </c>
    </row>
    <row r="13865">
      <c r="A13865">
        <f>Input!A13865</f>
        <v/>
      </c>
      <c r="B13865">
        <f>IF(ISNUMBER(Input!B13865),IF(AND(Input!B13865&gt;=20,Input!B13865&lt;=700),Input!B13865,""),"")</f>
        <v/>
      </c>
      <c r="C13865">
        <f>IF(B13865="","",INT(A13865))</f>
        <v/>
      </c>
      <c r="D13865">
        <f>IF(B13865="","",HOUR(A13865))</f>
        <v/>
      </c>
    </row>
    <row r="13866">
      <c r="A13866">
        <f>Input!A13866</f>
        <v/>
      </c>
      <c r="B13866">
        <f>IF(ISNUMBER(Input!B13866),IF(AND(Input!B13866&gt;=20,Input!B13866&lt;=700),Input!B13866,""),"")</f>
        <v/>
      </c>
      <c r="C13866">
        <f>IF(B13866="","",INT(A13866))</f>
        <v/>
      </c>
      <c r="D13866">
        <f>IF(B13866="","",HOUR(A13866))</f>
        <v/>
      </c>
    </row>
    <row r="13867">
      <c r="A13867">
        <f>Input!A13867</f>
        <v/>
      </c>
      <c r="B13867">
        <f>IF(ISNUMBER(Input!B13867),IF(AND(Input!B13867&gt;=20,Input!B13867&lt;=700),Input!B13867,""),"")</f>
        <v/>
      </c>
      <c r="C13867">
        <f>IF(B13867="","",INT(A13867))</f>
        <v/>
      </c>
      <c r="D13867">
        <f>IF(B13867="","",HOUR(A13867))</f>
        <v/>
      </c>
    </row>
    <row r="13868">
      <c r="A13868">
        <f>Input!A13868</f>
        <v/>
      </c>
      <c r="B13868">
        <f>IF(ISNUMBER(Input!B13868),IF(AND(Input!B13868&gt;=20,Input!B13868&lt;=700),Input!B13868,""),"")</f>
        <v/>
      </c>
      <c r="C13868">
        <f>IF(B13868="","",INT(A13868))</f>
        <v/>
      </c>
      <c r="D13868">
        <f>IF(B13868="","",HOUR(A13868))</f>
        <v/>
      </c>
    </row>
    <row r="13869">
      <c r="A13869">
        <f>Input!A13869</f>
        <v/>
      </c>
      <c r="B13869">
        <f>IF(ISNUMBER(Input!B13869),IF(AND(Input!B13869&gt;=20,Input!B13869&lt;=700),Input!B13869,""),"")</f>
        <v/>
      </c>
      <c r="C13869">
        <f>IF(B13869="","",INT(A13869))</f>
        <v/>
      </c>
      <c r="D13869">
        <f>IF(B13869="","",HOUR(A13869))</f>
        <v/>
      </c>
    </row>
    <row r="13870">
      <c r="A13870">
        <f>Input!A13870</f>
        <v/>
      </c>
      <c r="B13870">
        <f>IF(ISNUMBER(Input!B13870),IF(AND(Input!B13870&gt;=20,Input!B13870&lt;=700),Input!B13870,""),"")</f>
        <v/>
      </c>
      <c r="C13870">
        <f>IF(B13870="","",INT(A13870))</f>
        <v/>
      </c>
      <c r="D13870">
        <f>IF(B13870="","",HOUR(A13870))</f>
        <v/>
      </c>
    </row>
    <row r="13871">
      <c r="A13871">
        <f>Input!A13871</f>
        <v/>
      </c>
      <c r="B13871">
        <f>IF(ISNUMBER(Input!B13871),IF(AND(Input!B13871&gt;=20,Input!B13871&lt;=700),Input!B13871,""),"")</f>
        <v/>
      </c>
      <c r="C13871">
        <f>IF(B13871="","",INT(A13871))</f>
        <v/>
      </c>
      <c r="D13871">
        <f>IF(B13871="","",HOUR(A13871))</f>
        <v/>
      </c>
    </row>
    <row r="13872">
      <c r="A13872">
        <f>Input!A13872</f>
        <v/>
      </c>
      <c r="B13872">
        <f>IF(ISNUMBER(Input!B13872),IF(AND(Input!B13872&gt;=20,Input!B13872&lt;=700),Input!B13872,""),"")</f>
        <v/>
      </c>
      <c r="C13872">
        <f>IF(B13872="","",INT(A13872))</f>
        <v/>
      </c>
      <c r="D13872">
        <f>IF(B13872="","",HOUR(A13872))</f>
        <v/>
      </c>
    </row>
    <row r="13873">
      <c r="A13873">
        <f>Input!A13873</f>
        <v/>
      </c>
      <c r="B13873">
        <f>IF(ISNUMBER(Input!B13873),IF(AND(Input!B13873&gt;=20,Input!B13873&lt;=700),Input!B13873,""),"")</f>
        <v/>
      </c>
      <c r="C13873">
        <f>IF(B13873="","",INT(A13873))</f>
        <v/>
      </c>
      <c r="D13873">
        <f>IF(B13873="","",HOUR(A13873))</f>
        <v/>
      </c>
    </row>
    <row r="13874">
      <c r="A13874">
        <f>Input!A13874</f>
        <v/>
      </c>
      <c r="B13874">
        <f>IF(ISNUMBER(Input!B13874),IF(AND(Input!B13874&gt;=20,Input!B13874&lt;=700),Input!B13874,""),"")</f>
        <v/>
      </c>
      <c r="C13874">
        <f>IF(B13874="","",INT(A13874))</f>
        <v/>
      </c>
      <c r="D13874">
        <f>IF(B13874="","",HOUR(A13874))</f>
        <v/>
      </c>
    </row>
    <row r="13875">
      <c r="A13875">
        <f>Input!A13875</f>
        <v/>
      </c>
      <c r="B13875">
        <f>IF(ISNUMBER(Input!B13875),IF(AND(Input!B13875&gt;=20,Input!B13875&lt;=700),Input!B13875,""),"")</f>
        <v/>
      </c>
      <c r="C13875">
        <f>IF(B13875="","",INT(A13875))</f>
        <v/>
      </c>
      <c r="D13875">
        <f>IF(B13875="","",HOUR(A13875))</f>
        <v/>
      </c>
    </row>
    <row r="13876">
      <c r="A13876">
        <f>Input!A13876</f>
        <v/>
      </c>
      <c r="B13876">
        <f>IF(ISNUMBER(Input!B13876),IF(AND(Input!B13876&gt;=20,Input!B13876&lt;=700),Input!B13876,""),"")</f>
        <v/>
      </c>
      <c r="C13876">
        <f>IF(B13876="","",INT(A13876))</f>
        <v/>
      </c>
      <c r="D13876">
        <f>IF(B13876="","",HOUR(A13876))</f>
        <v/>
      </c>
    </row>
    <row r="13877">
      <c r="A13877">
        <f>Input!A13877</f>
        <v/>
      </c>
      <c r="B13877">
        <f>IF(ISNUMBER(Input!B13877),IF(AND(Input!B13877&gt;=20,Input!B13877&lt;=700),Input!B13877,""),"")</f>
        <v/>
      </c>
      <c r="C13877">
        <f>IF(B13877="","",INT(A13877))</f>
        <v/>
      </c>
      <c r="D13877">
        <f>IF(B13877="","",HOUR(A13877))</f>
        <v/>
      </c>
    </row>
    <row r="13878">
      <c r="A13878">
        <f>Input!A13878</f>
        <v/>
      </c>
      <c r="B13878">
        <f>IF(ISNUMBER(Input!B13878),IF(AND(Input!B13878&gt;=20,Input!B13878&lt;=700),Input!B13878,""),"")</f>
        <v/>
      </c>
      <c r="C13878">
        <f>IF(B13878="","",INT(A13878))</f>
        <v/>
      </c>
      <c r="D13878">
        <f>IF(B13878="","",HOUR(A13878))</f>
        <v/>
      </c>
    </row>
    <row r="13879">
      <c r="A13879">
        <f>Input!A13879</f>
        <v/>
      </c>
      <c r="B13879">
        <f>IF(ISNUMBER(Input!B13879),IF(AND(Input!B13879&gt;=20,Input!B13879&lt;=700),Input!B13879,""),"")</f>
        <v/>
      </c>
      <c r="C13879">
        <f>IF(B13879="","",INT(A13879))</f>
        <v/>
      </c>
      <c r="D13879">
        <f>IF(B13879="","",HOUR(A13879))</f>
        <v/>
      </c>
    </row>
    <row r="13880">
      <c r="A13880">
        <f>Input!A13880</f>
        <v/>
      </c>
      <c r="B13880">
        <f>IF(ISNUMBER(Input!B13880),IF(AND(Input!B13880&gt;=20,Input!B13880&lt;=700),Input!B13880,""),"")</f>
        <v/>
      </c>
      <c r="C13880">
        <f>IF(B13880="","",INT(A13880))</f>
        <v/>
      </c>
      <c r="D13880">
        <f>IF(B13880="","",HOUR(A13880))</f>
        <v/>
      </c>
    </row>
    <row r="13881">
      <c r="A13881">
        <f>Input!A13881</f>
        <v/>
      </c>
      <c r="B13881">
        <f>IF(ISNUMBER(Input!B13881),IF(AND(Input!B13881&gt;=20,Input!B13881&lt;=700),Input!B13881,""),"")</f>
        <v/>
      </c>
      <c r="C13881">
        <f>IF(B13881="","",INT(A13881))</f>
        <v/>
      </c>
      <c r="D13881">
        <f>IF(B13881="","",HOUR(A13881))</f>
        <v/>
      </c>
    </row>
    <row r="13882">
      <c r="A13882">
        <f>Input!A13882</f>
        <v/>
      </c>
      <c r="B13882">
        <f>IF(ISNUMBER(Input!B13882),IF(AND(Input!B13882&gt;=20,Input!B13882&lt;=700),Input!B13882,""),"")</f>
        <v/>
      </c>
      <c r="C13882">
        <f>IF(B13882="","",INT(A13882))</f>
        <v/>
      </c>
      <c r="D13882">
        <f>IF(B13882="","",HOUR(A13882))</f>
        <v/>
      </c>
    </row>
    <row r="13883">
      <c r="A13883">
        <f>Input!A13883</f>
        <v/>
      </c>
      <c r="B13883">
        <f>IF(ISNUMBER(Input!B13883),IF(AND(Input!B13883&gt;=20,Input!B13883&lt;=700),Input!B13883,""),"")</f>
        <v/>
      </c>
      <c r="C13883">
        <f>IF(B13883="","",INT(A13883))</f>
        <v/>
      </c>
      <c r="D13883">
        <f>IF(B13883="","",HOUR(A13883))</f>
        <v/>
      </c>
    </row>
    <row r="13884">
      <c r="A13884">
        <f>Input!A13884</f>
        <v/>
      </c>
      <c r="B13884">
        <f>IF(ISNUMBER(Input!B13884),IF(AND(Input!B13884&gt;=20,Input!B13884&lt;=700),Input!B13884,""),"")</f>
        <v/>
      </c>
      <c r="C13884">
        <f>IF(B13884="","",INT(A13884))</f>
        <v/>
      </c>
      <c r="D13884">
        <f>IF(B13884="","",HOUR(A13884))</f>
        <v/>
      </c>
    </row>
    <row r="13885">
      <c r="A13885">
        <f>Input!A13885</f>
        <v/>
      </c>
      <c r="B13885">
        <f>IF(ISNUMBER(Input!B13885),IF(AND(Input!B13885&gt;=20,Input!B13885&lt;=700),Input!B13885,""),"")</f>
        <v/>
      </c>
      <c r="C13885">
        <f>IF(B13885="","",INT(A13885))</f>
        <v/>
      </c>
      <c r="D13885">
        <f>IF(B13885="","",HOUR(A13885))</f>
        <v/>
      </c>
    </row>
    <row r="13886">
      <c r="A13886">
        <f>Input!A13886</f>
        <v/>
      </c>
      <c r="B13886">
        <f>IF(ISNUMBER(Input!B13886),IF(AND(Input!B13886&gt;=20,Input!B13886&lt;=700),Input!B13886,""),"")</f>
        <v/>
      </c>
      <c r="C13886">
        <f>IF(B13886="","",INT(A13886))</f>
        <v/>
      </c>
      <c r="D13886">
        <f>IF(B13886="","",HOUR(A13886))</f>
        <v/>
      </c>
    </row>
    <row r="13887">
      <c r="A13887">
        <f>Input!A13887</f>
        <v/>
      </c>
      <c r="B13887">
        <f>IF(ISNUMBER(Input!B13887),IF(AND(Input!B13887&gt;=20,Input!B13887&lt;=700),Input!B13887,""),"")</f>
        <v/>
      </c>
      <c r="C13887">
        <f>IF(B13887="","",INT(A13887))</f>
        <v/>
      </c>
      <c r="D13887">
        <f>IF(B13887="","",HOUR(A13887))</f>
        <v/>
      </c>
    </row>
    <row r="13888">
      <c r="A13888">
        <f>Input!A13888</f>
        <v/>
      </c>
      <c r="B13888">
        <f>IF(ISNUMBER(Input!B13888),IF(AND(Input!B13888&gt;=20,Input!B13888&lt;=700),Input!B13888,""),"")</f>
        <v/>
      </c>
      <c r="C13888">
        <f>IF(B13888="","",INT(A13888))</f>
        <v/>
      </c>
      <c r="D13888">
        <f>IF(B13888="","",HOUR(A13888))</f>
        <v/>
      </c>
    </row>
    <row r="13889">
      <c r="A13889">
        <f>Input!A13889</f>
        <v/>
      </c>
      <c r="B13889">
        <f>IF(ISNUMBER(Input!B13889),IF(AND(Input!B13889&gt;=20,Input!B13889&lt;=700),Input!B13889,""),"")</f>
        <v/>
      </c>
      <c r="C13889">
        <f>IF(B13889="","",INT(A13889))</f>
        <v/>
      </c>
      <c r="D13889">
        <f>IF(B13889="","",HOUR(A13889))</f>
        <v/>
      </c>
    </row>
    <row r="13890">
      <c r="A13890">
        <f>Input!A13890</f>
        <v/>
      </c>
      <c r="B13890">
        <f>IF(ISNUMBER(Input!B13890),IF(AND(Input!B13890&gt;=20,Input!B13890&lt;=700),Input!B13890,""),"")</f>
        <v/>
      </c>
      <c r="C13890">
        <f>IF(B13890="","",INT(A13890))</f>
        <v/>
      </c>
      <c r="D13890">
        <f>IF(B13890="","",HOUR(A13890))</f>
        <v/>
      </c>
    </row>
    <row r="13891">
      <c r="A13891">
        <f>Input!A13891</f>
        <v/>
      </c>
      <c r="B13891">
        <f>IF(ISNUMBER(Input!B13891),IF(AND(Input!B13891&gt;=20,Input!B13891&lt;=700),Input!B13891,""),"")</f>
        <v/>
      </c>
      <c r="C13891">
        <f>IF(B13891="","",INT(A13891))</f>
        <v/>
      </c>
      <c r="D13891">
        <f>IF(B13891="","",HOUR(A13891))</f>
        <v/>
      </c>
    </row>
    <row r="13892">
      <c r="A13892">
        <f>Input!A13892</f>
        <v/>
      </c>
      <c r="B13892">
        <f>IF(ISNUMBER(Input!B13892),IF(AND(Input!B13892&gt;=20,Input!B13892&lt;=700),Input!B13892,""),"")</f>
        <v/>
      </c>
      <c r="C13892">
        <f>IF(B13892="","",INT(A13892))</f>
        <v/>
      </c>
      <c r="D13892">
        <f>IF(B13892="","",HOUR(A13892))</f>
        <v/>
      </c>
    </row>
    <row r="13893">
      <c r="A13893">
        <f>Input!A13893</f>
        <v/>
      </c>
      <c r="B13893">
        <f>IF(ISNUMBER(Input!B13893),IF(AND(Input!B13893&gt;=20,Input!B13893&lt;=700),Input!B13893,""),"")</f>
        <v/>
      </c>
      <c r="C13893">
        <f>IF(B13893="","",INT(A13893))</f>
        <v/>
      </c>
      <c r="D13893">
        <f>IF(B13893="","",HOUR(A13893))</f>
        <v/>
      </c>
    </row>
    <row r="13894">
      <c r="A13894">
        <f>Input!A13894</f>
        <v/>
      </c>
      <c r="B13894">
        <f>IF(ISNUMBER(Input!B13894),IF(AND(Input!B13894&gt;=20,Input!B13894&lt;=700),Input!B13894,""),"")</f>
        <v/>
      </c>
      <c r="C13894">
        <f>IF(B13894="","",INT(A13894))</f>
        <v/>
      </c>
      <c r="D13894">
        <f>IF(B13894="","",HOUR(A13894))</f>
        <v/>
      </c>
    </row>
    <row r="13895">
      <c r="A13895">
        <f>Input!A13895</f>
        <v/>
      </c>
      <c r="B13895">
        <f>IF(ISNUMBER(Input!B13895),IF(AND(Input!B13895&gt;=20,Input!B13895&lt;=700),Input!B13895,""),"")</f>
        <v/>
      </c>
      <c r="C13895">
        <f>IF(B13895="","",INT(A13895))</f>
        <v/>
      </c>
      <c r="D13895">
        <f>IF(B13895="","",HOUR(A13895))</f>
        <v/>
      </c>
    </row>
    <row r="13896">
      <c r="A13896">
        <f>Input!A13896</f>
        <v/>
      </c>
      <c r="B13896">
        <f>IF(ISNUMBER(Input!B13896),IF(AND(Input!B13896&gt;=20,Input!B13896&lt;=700),Input!B13896,""),"")</f>
        <v/>
      </c>
      <c r="C13896">
        <f>IF(B13896="","",INT(A13896))</f>
        <v/>
      </c>
      <c r="D13896">
        <f>IF(B13896="","",HOUR(A13896))</f>
        <v/>
      </c>
    </row>
    <row r="13897">
      <c r="A13897">
        <f>Input!A13897</f>
        <v/>
      </c>
      <c r="B13897">
        <f>IF(ISNUMBER(Input!B13897),IF(AND(Input!B13897&gt;=20,Input!B13897&lt;=700),Input!B13897,""),"")</f>
        <v/>
      </c>
      <c r="C13897">
        <f>IF(B13897="","",INT(A13897))</f>
        <v/>
      </c>
      <c r="D13897">
        <f>IF(B13897="","",HOUR(A13897))</f>
        <v/>
      </c>
    </row>
    <row r="13898">
      <c r="A13898">
        <f>Input!A13898</f>
        <v/>
      </c>
      <c r="B13898">
        <f>IF(ISNUMBER(Input!B13898),IF(AND(Input!B13898&gt;=20,Input!B13898&lt;=700),Input!B13898,""),"")</f>
        <v/>
      </c>
      <c r="C13898">
        <f>IF(B13898="","",INT(A13898))</f>
        <v/>
      </c>
      <c r="D13898">
        <f>IF(B13898="","",HOUR(A13898))</f>
        <v/>
      </c>
    </row>
    <row r="13899">
      <c r="A13899">
        <f>Input!A13899</f>
        <v/>
      </c>
      <c r="B13899">
        <f>IF(ISNUMBER(Input!B13899),IF(AND(Input!B13899&gt;=20,Input!B13899&lt;=700),Input!B13899,""),"")</f>
        <v/>
      </c>
      <c r="C13899">
        <f>IF(B13899="","",INT(A13899))</f>
        <v/>
      </c>
      <c r="D13899">
        <f>IF(B13899="","",HOUR(A13899))</f>
        <v/>
      </c>
    </row>
    <row r="13900">
      <c r="A13900">
        <f>Input!A13900</f>
        <v/>
      </c>
      <c r="B13900">
        <f>IF(ISNUMBER(Input!B13900),IF(AND(Input!B13900&gt;=20,Input!B13900&lt;=700),Input!B13900,""),"")</f>
        <v/>
      </c>
      <c r="C13900">
        <f>IF(B13900="","",INT(A13900))</f>
        <v/>
      </c>
      <c r="D13900">
        <f>IF(B13900="","",HOUR(A13900))</f>
        <v/>
      </c>
    </row>
    <row r="13901">
      <c r="A13901">
        <f>Input!A13901</f>
        <v/>
      </c>
      <c r="B13901">
        <f>IF(ISNUMBER(Input!B13901),IF(AND(Input!B13901&gt;=20,Input!B13901&lt;=700),Input!B13901,""),"")</f>
        <v/>
      </c>
      <c r="C13901">
        <f>IF(B13901="","",INT(A13901))</f>
        <v/>
      </c>
      <c r="D13901">
        <f>IF(B13901="","",HOUR(A13901))</f>
        <v/>
      </c>
    </row>
    <row r="13902">
      <c r="A13902">
        <f>Input!A13902</f>
        <v/>
      </c>
      <c r="B13902">
        <f>IF(ISNUMBER(Input!B13902),IF(AND(Input!B13902&gt;=20,Input!B13902&lt;=700),Input!B13902,""),"")</f>
        <v/>
      </c>
      <c r="C13902">
        <f>IF(B13902="","",INT(A13902))</f>
        <v/>
      </c>
      <c r="D13902">
        <f>IF(B13902="","",HOUR(A13902))</f>
        <v/>
      </c>
    </row>
    <row r="13903">
      <c r="A13903">
        <f>Input!A13903</f>
        <v/>
      </c>
      <c r="B13903">
        <f>IF(ISNUMBER(Input!B13903),IF(AND(Input!B13903&gt;=20,Input!B13903&lt;=700),Input!B13903,""),"")</f>
        <v/>
      </c>
      <c r="C13903">
        <f>IF(B13903="","",INT(A13903))</f>
        <v/>
      </c>
      <c r="D13903">
        <f>IF(B13903="","",HOUR(A13903))</f>
        <v/>
      </c>
    </row>
    <row r="13904">
      <c r="A13904">
        <f>Input!A13904</f>
        <v/>
      </c>
      <c r="B13904">
        <f>IF(ISNUMBER(Input!B13904),IF(AND(Input!B13904&gt;=20,Input!B13904&lt;=700),Input!B13904,""),"")</f>
        <v/>
      </c>
      <c r="C13904">
        <f>IF(B13904="","",INT(A13904))</f>
        <v/>
      </c>
      <c r="D13904">
        <f>IF(B13904="","",HOUR(A13904))</f>
        <v/>
      </c>
    </row>
    <row r="13905">
      <c r="A13905">
        <f>Input!A13905</f>
        <v/>
      </c>
      <c r="B13905">
        <f>IF(ISNUMBER(Input!B13905),IF(AND(Input!B13905&gt;=20,Input!B13905&lt;=700),Input!B13905,""),"")</f>
        <v/>
      </c>
      <c r="C13905">
        <f>IF(B13905="","",INT(A13905))</f>
        <v/>
      </c>
      <c r="D13905">
        <f>IF(B13905="","",HOUR(A13905))</f>
        <v/>
      </c>
    </row>
    <row r="13906">
      <c r="A13906">
        <f>Input!A13906</f>
        <v/>
      </c>
      <c r="B13906">
        <f>IF(ISNUMBER(Input!B13906),IF(AND(Input!B13906&gt;=20,Input!B13906&lt;=700),Input!B13906,""),"")</f>
        <v/>
      </c>
      <c r="C13906">
        <f>IF(B13906="","",INT(A13906))</f>
        <v/>
      </c>
      <c r="D13906">
        <f>IF(B13906="","",HOUR(A13906))</f>
        <v/>
      </c>
    </row>
    <row r="13907">
      <c r="A13907">
        <f>Input!A13907</f>
        <v/>
      </c>
      <c r="B13907">
        <f>IF(ISNUMBER(Input!B13907),IF(AND(Input!B13907&gt;=20,Input!B13907&lt;=700),Input!B13907,""),"")</f>
        <v/>
      </c>
      <c r="C13907">
        <f>IF(B13907="","",INT(A13907))</f>
        <v/>
      </c>
      <c r="D13907">
        <f>IF(B13907="","",HOUR(A13907))</f>
        <v/>
      </c>
    </row>
    <row r="13908">
      <c r="A13908">
        <f>Input!A13908</f>
        <v/>
      </c>
      <c r="B13908">
        <f>IF(ISNUMBER(Input!B13908),IF(AND(Input!B13908&gt;=20,Input!B13908&lt;=700),Input!B13908,""),"")</f>
        <v/>
      </c>
      <c r="C13908">
        <f>IF(B13908="","",INT(A13908))</f>
        <v/>
      </c>
      <c r="D13908">
        <f>IF(B13908="","",HOUR(A13908))</f>
        <v/>
      </c>
    </row>
    <row r="13909">
      <c r="A13909">
        <f>Input!A13909</f>
        <v/>
      </c>
      <c r="B13909">
        <f>IF(ISNUMBER(Input!B13909),IF(AND(Input!B13909&gt;=20,Input!B13909&lt;=700),Input!B13909,""),"")</f>
        <v/>
      </c>
      <c r="C13909">
        <f>IF(B13909="","",INT(A13909))</f>
        <v/>
      </c>
      <c r="D13909">
        <f>IF(B13909="","",HOUR(A13909))</f>
        <v/>
      </c>
    </row>
    <row r="13910">
      <c r="A13910">
        <f>Input!A13910</f>
        <v/>
      </c>
      <c r="B13910">
        <f>IF(ISNUMBER(Input!B13910),IF(AND(Input!B13910&gt;=20,Input!B13910&lt;=700),Input!B13910,""),"")</f>
        <v/>
      </c>
      <c r="C13910">
        <f>IF(B13910="","",INT(A13910))</f>
        <v/>
      </c>
      <c r="D13910">
        <f>IF(B13910="","",HOUR(A13910))</f>
        <v/>
      </c>
    </row>
    <row r="13911">
      <c r="A13911">
        <f>Input!A13911</f>
        <v/>
      </c>
      <c r="B13911">
        <f>IF(ISNUMBER(Input!B13911),IF(AND(Input!B13911&gt;=20,Input!B13911&lt;=700),Input!B13911,""),"")</f>
        <v/>
      </c>
      <c r="C13911">
        <f>IF(B13911="","",INT(A13911))</f>
        <v/>
      </c>
      <c r="D13911">
        <f>IF(B13911="","",HOUR(A13911))</f>
        <v/>
      </c>
    </row>
    <row r="13912">
      <c r="A13912">
        <f>Input!A13912</f>
        <v/>
      </c>
      <c r="B13912">
        <f>IF(ISNUMBER(Input!B13912),IF(AND(Input!B13912&gt;=20,Input!B13912&lt;=700),Input!B13912,""),"")</f>
        <v/>
      </c>
      <c r="C13912">
        <f>IF(B13912="","",INT(A13912))</f>
        <v/>
      </c>
      <c r="D13912">
        <f>IF(B13912="","",HOUR(A13912))</f>
        <v/>
      </c>
    </row>
    <row r="13913">
      <c r="A13913">
        <f>Input!A13913</f>
        <v/>
      </c>
      <c r="B13913">
        <f>IF(ISNUMBER(Input!B13913),IF(AND(Input!B13913&gt;=20,Input!B13913&lt;=700),Input!B13913,""),"")</f>
        <v/>
      </c>
      <c r="C13913">
        <f>IF(B13913="","",INT(A13913))</f>
        <v/>
      </c>
      <c r="D13913">
        <f>IF(B13913="","",HOUR(A13913))</f>
        <v/>
      </c>
    </row>
    <row r="13914">
      <c r="A13914">
        <f>Input!A13914</f>
        <v/>
      </c>
      <c r="B13914">
        <f>IF(ISNUMBER(Input!B13914),IF(AND(Input!B13914&gt;=20,Input!B13914&lt;=700),Input!B13914,""),"")</f>
        <v/>
      </c>
      <c r="C13914">
        <f>IF(B13914="","",INT(A13914))</f>
        <v/>
      </c>
      <c r="D13914">
        <f>IF(B13914="","",HOUR(A13914))</f>
        <v/>
      </c>
    </row>
    <row r="13915">
      <c r="A13915">
        <f>Input!A13915</f>
        <v/>
      </c>
      <c r="B13915">
        <f>IF(ISNUMBER(Input!B13915),IF(AND(Input!B13915&gt;=20,Input!B13915&lt;=700),Input!B13915,""),"")</f>
        <v/>
      </c>
      <c r="C13915">
        <f>IF(B13915="","",INT(A13915))</f>
        <v/>
      </c>
      <c r="D13915">
        <f>IF(B13915="","",HOUR(A13915))</f>
        <v/>
      </c>
    </row>
    <row r="13916">
      <c r="A13916">
        <f>Input!A13916</f>
        <v/>
      </c>
      <c r="B13916">
        <f>IF(ISNUMBER(Input!B13916),IF(AND(Input!B13916&gt;=20,Input!B13916&lt;=700),Input!B13916,""),"")</f>
        <v/>
      </c>
      <c r="C13916">
        <f>IF(B13916="","",INT(A13916))</f>
        <v/>
      </c>
      <c r="D13916">
        <f>IF(B13916="","",HOUR(A13916))</f>
        <v/>
      </c>
    </row>
    <row r="13917">
      <c r="A13917">
        <f>Input!A13917</f>
        <v/>
      </c>
      <c r="B13917">
        <f>IF(ISNUMBER(Input!B13917),IF(AND(Input!B13917&gt;=20,Input!B13917&lt;=700),Input!B13917,""),"")</f>
        <v/>
      </c>
      <c r="C13917">
        <f>IF(B13917="","",INT(A13917))</f>
        <v/>
      </c>
      <c r="D13917">
        <f>IF(B13917="","",HOUR(A13917))</f>
        <v/>
      </c>
    </row>
    <row r="13918">
      <c r="A13918">
        <f>Input!A13918</f>
        <v/>
      </c>
      <c r="B13918">
        <f>IF(ISNUMBER(Input!B13918),IF(AND(Input!B13918&gt;=20,Input!B13918&lt;=700),Input!B13918,""),"")</f>
        <v/>
      </c>
      <c r="C13918">
        <f>IF(B13918="","",INT(A13918))</f>
        <v/>
      </c>
      <c r="D13918">
        <f>IF(B13918="","",HOUR(A13918))</f>
        <v/>
      </c>
    </row>
    <row r="13919">
      <c r="A13919">
        <f>Input!A13919</f>
        <v/>
      </c>
      <c r="B13919">
        <f>IF(ISNUMBER(Input!B13919),IF(AND(Input!B13919&gt;=20,Input!B13919&lt;=700),Input!B13919,""),"")</f>
        <v/>
      </c>
      <c r="C13919">
        <f>IF(B13919="","",INT(A13919))</f>
        <v/>
      </c>
      <c r="D13919">
        <f>IF(B13919="","",HOUR(A13919))</f>
        <v/>
      </c>
    </row>
    <row r="13920">
      <c r="A13920">
        <f>Input!A13920</f>
        <v/>
      </c>
      <c r="B13920">
        <f>IF(ISNUMBER(Input!B13920),IF(AND(Input!B13920&gt;=20,Input!B13920&lt;=700),Input!B13920,""),"")</f>
        <v/>
      </c>
      <c r="C13920">
        <f>IF(B13920="","",INT(A13920))</f>
        <v/>
      </c>
      <c r="D13920">
        <f>IF(B13920="","",HOUR(A13920))</f>
        <v/>
      </c>
    </row>
    <row r="13921">
      <c r="A13921">
        <f>Input!A13921</f>
        <v/>
      </c>
      <c r="B13921">
        <f>IF(ISNUMBER(Input!B13921),IF(AND(Input!B13921&gt;=20,Input!B13921&lt;=700),Input!B13921,""),"")</f>
        <v/>
      </c>
      <c r="C13921">
        <f>IF(B13921="","",INT(A13921))</f>
        <v/>
      </c>
      <c r="D13921">
        <f>IF(B13921="","",HOUR(A13921))</f>
        <v/>
      </c>
    </row>
    <row r="13922">
      <c r="A13922">
        <f>Input!A13922</f>
        <v/>
      </c>
      <c r="B13922">
        <f>IF(ISNUMBER(Input!B13922),IF(AND(Input!B13922&gt;=20,Input!B13922&lt;=700),Input!B13922,""),"")</f>
        <v/>
      </c>
      <c r="C13922">
        <f>IF(B13922="","",INT(A13922))</f>
        <v/>
      </c>
      <c r="D13922">
        <f>IF(B13922="","",HOUR(A13922))</f>
        <v/>
      </c>
    </row>
    <row r="13923">
      <c r="A13923">
        <f>Input!A13923</f>
        <v/>
      </c>
      <c r="B13923">
        <f>IF(ISNUMBER(Input!B13923),IF(AND(Input!B13923&gt;=20,Input!B13923&lt;=700),Input!B13923,""),"")</f>
        <v/>
      </c>
      <c r="C13923">
        <f>IF(B13923="","",INT(A13923))</f>
        <v/>
      </c>
      <c r="D13923">
        <f>IF(B13923="","",HOUR(A13923))</f>
        <v/>
      </c>
    </row>
    <row r="13924">
      <c r="A13924">
        <f>Input!A13924</f>
        <v/>
      </c>
      <c r="B13924">
        <f>IF(ISNUMBER(Input!B13924),IF(AND(Input!B13924&gt;=20,Input!B13924&lt;=700),Input!B13924,""),"")</f>
        <v/>
      </c>
      <c r="C13924">
        <f>IF(B13924="","",INT(A13924))</f>
        <v/>
      </c>
      <c r="D13924">
        <f>IF(B13924="","",HOUR(A13924))</f>
        <v/>
      </c>
    </row>
    <row r="13925">
      <c r="A13925">
        <f>Input!A13925</f>
        <v/>
      </c>
      <c r="B13925">
        <f>IF(ISNUMBER(Input!B13925),IF(AND(Input!B13925&gt;=20,Input!B13925&lt;=700),Input!B13925,""),"")</f>
        <v/>
      </c>
      <c r="C13925">
        <f>IF(B13925="","",INT(A13925))</f>
        <v/>
      </c>
      <c r="D13925">
        <f>IF(B13925="","",HOUR(A13925))</f>
        <v/>
      </c>
    </row>
    <row r="13926">
      <c r="A13926">
        <f>Input!A13926</f>
        <v/>
      </c>
      <c r="B13926">
        <f>IF(ISNUMBER(Input!B13926),IF(AND(Input!B13926&gt;=20,Input!B13926&lt;=700),Input!B13926,""),"")</f>
        <v/>
      </c>
      <c r="C13926">
        <f>IF(B13926="","",INT(A13926))</f>
        <v/>
      </c>
      <c r="D13926">
        <f>IF(B13926="","",HOUR(A13926))</f>
        <v/>
      </c>
    </row>
    <row r="13927">
      <c r="A13927">
        <f>Input!A13927</f>
        <v/>
      </c>
      <c r="B13927">
        <f>IF(ISNUMBER(Input!B13927),IF(AND(Input!B13927&gt;=20,Input!B13927&lt;=700),Input!B13927,""),"")</f>
        <v/>
      </c>
      <c r="C13927">
        <f>IF(B13927="","",INT(A13927))</f>
        <v/>
      </c>
      <c r="D13927">
        <f>IF(B13927="","",HOUR(A13927))</f>
        <v/>
      </c>
    </row>
    <row r="13928">
      <c r="A13928">
        <f>Input!A13928</f>
        <v/>
      </c>
      <c r="B13928">
        <f>IF(ISNUMBER(Input!B13928),IF(AND(Input!B13928&gt;=20,Input!B13928&lt;=700),Input!B13928,""),"")</f>
        <v/>
      </c>
      <c r="C13928">
        <f>IF(B13928="","",INT(A13928))</f>
        <v/>
      </c>
      <c r="D13928">
        <f>IF(B13928="","",HOUR(A13928))</f>
        <v/>
      </c>
    </row>
    <row r="13929">
      <c r="A13929">
        <f>Input!A13929</f>
        <v/>
      </c>
      <c r="B13929">
        <f>IF(ISNUMBER(Input!B13929),IF(AND(Input!B13929&gt;=20,Input!B13929&lt;=700),Input!B13929,""),"")</f>
        <v/>
      </c>
      <c r="C13929">
        <f>IF(B13929="","",INT(A13929))</f>
        <v/>
      </c>
      <c r="D13929">
        <f>IF(B13929="","",HOUR(A13929))</f>
        <v/>
      </c>
    </row>
    <row r="13930">
      <c r="A13930">
        <f>Input!A13930</f>
        <v/>
      </c>
      <c r="B13930">
        <f>IF(ISNUMBER(Input!B13930),IF(AND(Input!B13930&gt;=20,Input!B13930&lt;=700),Input!B13930,""),"")</f>
        <v/>
      </c>
      <c r="C13930">
        <f>IF(B13930="","",INT(A13930))</f>
        <v/>
      </c>
      <c r="D13930">
        <f>IF(B13930="","",HOUR(A13930))</f>
        <v/>
      </c>
    </row>
    <row r="13931">
      <c r="A13931">
        <f>Input!A13931</f>
        <v/>
      </c>
      <c r="B13931">
        <f>IF(ISNUMBER(Input!B13931),IF(AND(Input!B13931&gt;=20,Input!B13931&lt;=700),Input!B13931,""),"")</f>
        <v/>
      </c>
      <c r="C13931">
        <f>IF(B13931="","",INT(A13931))</f>
        <v/>
      </c>
      <c r="D13931">
        <f>IF(B13931="","",HOUR(A13931))</f>
        <v/>
      </c>
    </row>
    <row r="13932">
      <c r="A13932">
        <f>Input!A13932</f>
        <v/>
      </c>
      <c r="B13932">
        <f>IF(ISNUMBER(Input!B13932),IF(AND(Input!B13932&gt;=20,Input!B13932&lt;=700),Input!B13932,""),"")</f>
        <v/>
      </c>
      <c r="C13932">
        <f>IF(B13932="","",INT(A13932))</f>
        <v/>
      </c>
      <c r="D13932">
        <f>IF(B13932="","",HOUR(A13932))</f>
        <v/>
      </c>
    </row>
    <row r="13933">
      <c r="A13933">
        <f>Input!A13933</f>
        <v/>
      </c>
      <c r="B13933">
        <f>IF(ISNUMBER(Input!B13933),IF(AND(Input!B13933&gt;=20,Input!B13933&lt;=700),Input!B13933,""),"")</f>
        <v/>
      </c>
      <c r="C13933">
        <f>IF(B13933="","",INT(A13933))</f>
        <v/>
      </c>
      <c r="D13933">
        <f>IF(B13933="","",HOUR(A13933))</f>
        <v/>
      </c>
    </row>
    <row r="13934">
      <c r="A13934">
        <f>Input!A13934</f>
        <v/>
      </c>
      <c r="B13934">
        <f>IF(ISNUMBER(Input!B13934),IF(AND(Input!B13934&gt;=20,Input!B13934&lt;=700),Input!B13934,""),"")</f>
        <v/>
      </c>
      <c r="C13934">
        <f>IF(B13934="","",INT(A13934))</f>
        <v/>
      </c>
      <c r="D13934">
        <f>IF(B13934="","",HOUR(A13934))</f>
        <v/>
      </c>
    </row>
    <row r="13935">
      <c r="A13935">
        <f>Input!A13935</f>
        <v/>
      </c>
      <c r="B13935">
        <f>IF(ISNUMBER(Input!B13935),IF(AND(Input!B13935&gt;=20,Input!B13935&lt;=700),Input!B13935,""),"")</f>
        <v/>
      </c>
      <c r="C13935">
        <f>IF(B13935="","",INT(A13935))</f>
        <v/>
      </c>
      <c r="D13935">
        <f>IF(B13935="","",HOUR(A13935))</f>
        <v/>
      </c>
    </row>
    <row r="13936">
      <c r="A13936">
        <f>Input!A13936</f>
        <v/>
      </c>
      <c r="B13936">
        <f>IF(ISNUMBER(Input!B13936),IF(AND(Input!B13936&gt;=20,Input!B13936&lt;=700),Input!B13936,""),"")</f>
        <v/>
      </c>
      <c r="C13936">
        <f>IF(B13936="","",INT(A13936))</f>
        <v/>
      </c>
      <c r="D13936">
        <f>IF(B13936="","",HOUR(A13936))</f>
        <v/>
      </c>
    </row>
    <row r="13937">
      <c r="A13937">
        <f>Input!A13937</f>
        <v/>
      </c>
      <c r="B13937">
        <f>IF(ISNUMBER(Input!B13937),IF(AND(Input!B13937&gt;=20,Input!B13937&lt;=700),Input!B13937,""),"")</f>
        <v/>
      </c>
      <c r="C13937">
        <f>IF(B13937="","",INT(A13937))</f>
        <v/>
      </c>
      <c r="D13937">
        <f>IF(B13937="","",HOUR(A13937))</f>
        <v/>
      </c>
    </row>
    <row r="13938">
      <c r="A13938">
        <f>Input!A13938</f>
        <v/>
      </c>
      <c r="B13938">
        <f>IF(ISNUMBER(Input!B13938),IF(AND(Input!B13938&gt;=20,Input!B13938&lt;=700),Input!B13938,""),"")</f>
        <v/>
      </c>
      <c r="C13938">
        <f>IF(B13938="","",INT(A13938))</f>
        <v/>
      </c>
      <c r="D13938">
        <f>IF(B13938="","",HOUR(A13938))</f>
        <v/>
      </c>
    </row>
    <row r="13939">
      <c r="A13939">
        <f>Input!A13939</f>
        <v/>
      </c>
      <c r="B13939">
        <f>IF(ISNUMBER(Input!B13939),IF(AND(Input!B13939&gt;=20,Input!B13939&lt;=700),Input!B13939,""),"")</f>
        <v/>
      </c>
      <c r="C13939">
        <f>IF(B13939="","",INT(A13939))</f>
        <v/>
      </c>
      <c r="D13939">
        <f>IF(B13939="","",HOUR(A13939))</f>
        <v/>
      </c>
    </row>
    <row r="13940">
      <c r="A13940">
        <f>Input!A13940</f>
        <v/>
      </c>
      <c r="B13940">
        <f>IF(ISNUMBER(Input!B13940),IF(AND(Input!B13940&gt;=20,Input!B13940&lt;=700),Input!B13940,""),"")</f>
        <v/>
      </c>
      <c r="C13940">
        <f>IF(B13940="","",INT(A13940))</f>
        <v/>
      </c>
      <c r="D13940">
        <f>IF(B13940="","",HOUR(A13940))</f>
        <v/>
      </c>
    </row>
    <row r="13941">
      <c r="A13941">
        <f>Input!A13941</f>
        <v/>
      </c>
      <c r="B13941">
        <f>IF(ISNUMBER(Input!B13941),IF(AND(Input!B13941&gt;=20,Input!B13941&lt;=700),Input!B13941,""),"")</f>
        <v/>
      </c>
      <c r="C13941">
        <f>IF(B13941="","",INT(A13941))</f>
        <v/>
      </c>
      <c r="D13941">
        <f>IF(B13941="","",HOUR(A13941))</f>
        <v/>
      </c>
    </row>
    <row r="13942">
      <c r="A13942">
        <f>Input!A13942</f>
        <v/>
      </c>
      <c r="B13942">
        <f>IF(ISNUMBER(Input!B13942),IF(AND(Input!B13942&gt;=20,Input!B13942&lt;=700),Input!B13942,""),"")</f>
        <v/>
      </c>
      <c r="C13942">
        <f>IF(B13942="","",INT(A13942))</f>
        <v/>
      </c>
      <c r="D13942">
        <f>IF(B13942="","",HOUR(A13942))</f>
        <v/>
      </c>
    </row>
    <row r="13943">
      <c r="A13943">
        <f>Input!A13943</f>
        <v/>
      </c>
      <c r="B13943">
        <f>IF(ISNUMBER(Input!B13943),IF(AND(Input!B13943&gt;=20,Input!B13943&lt;=700),Input!B13943,""),"")</f>
        <v/>
      </c>
      <c r="C13943">
        <f>IF(B13943="","",INT(A13943))</f>
        <v/>
      </c>
      <c r="D13943">
        <f>IF(B13943="","",HOUR(A13943))</f>
        <v/>
      </c>
    </row>
    <row r="13944">
      <c r="A13944">
        <f>Input!A13944</f>
        <v/>
      </c>
      <c r="B13944">
        <f>IF(ISNUMBER(Input!B13944),IF(AND(Input!B13944&gt;=20,Input!B13944&lt;=700),Input!B13944,""),"")</f>
        <v/>
      </c>
      <c r="C13944">
        <f>IF(B13944="","",INT(A13944))</f>
        <v/>
      </c>
      <c r="D13944">
        <f>IF(B13944="","",HOUR(A13944))</f>
        <v/>
      </c>
    </row>
    <row r="13945">
      <c r="A13945">
        <f>Input!A13945</f>
        <v/>
      </c>
      <c r="B13945">
        <f>IF(ISNUMBER(Input!B13945),IF(AND(Input!B13945&gt;=20,Input!B13945&lt;=700),Input!B13945,""),"")</f>
        <v/>
      </c>
      <c r="C13945">
        <f>IF(B13945="","",INT(A13945))</f>
        <v/>
      </c>
      <c r="D13945">
        <f>IF(B13945="","",HOUR(A13945))</f>
        <v/>
      </c>
    </row>
    <row r="13946">
      <c r="A13946">
        <f>Input!A13946</f>
        <v/>
      </c>
      <c r="B13946">
        <f>IF(ISNUMBER(Input!B13946),IF(AND(Input!B13946&gt;=20,Input!B13946&lt;=700),Input!B13946,""),"")</f>
        <v/>
      </c>
      <c r="C13946">
        <f>IF(B13946="","",INT(A13946))</f>
        <v/>
      </c>
      <c r="D13946">
        <f>IF(B13946="","",HOUR(A13946))</f>
        <v/>
      </c>
    </row>
    <row r="13947">
      <c r="A13947">
        <f>Input!A13947</f>
        <v/>
      </c>
      <c r="B13947">
        <f>IF(ISNUMBER(Input!B13947),IF(AND(Input!B13947&gt;=20,Input!B13947&lt;=700),Input!B13947,""),"")</f>
        <v/>
      </c>
      <c r="C13947">
        <f>IF(B13947="","",INT(A13947))</f>
        <v/>
      </c>
      <c r="D13947">
        <f>IF(B13947="","",HOUR(A13947))</f>
        <v/>
      </c>
    </row>
    <row r="13948">
      <c r="A13948">
        <f>Input!A13948</f>
        <v/>
      </c>
      <c r="B13948">
        <f>IF(ISNUMBER(Input!B13948),IF(AND(Input!B13948&gt;=20,Input!B13948&lt;=700),Input!B13948,""),"")</f>
        <v/>
      </c>
      <c r="C13948">
        <f>IF(B13948="","",INT(A13948))</f>
        <v/>
      </c>
      <c r="D13948">
        <f>IF(B13948="","",HOUR(A13948))</f>
        <v/>
      </c>
    </row>
    <row r="13949">
      <c r="A13949">
        <f>Input!A13949</f>
        <v/>
      </c>
      <c r="B13949">
        <f>IF(ISNUMBER(Input!B13949),IF(AND(Input!B13949&gt;=20,Input!B13949&lt;=700),Input!B13949,""),"")</f>
        <v/>
      </c>
      <c r="C13949">
        <f>IF(B13949="","",INT(A13949))</f>
        <v/>
      </c>
      <c r="D13949">
        <f>IF(B13949="","",HOUR(A13949))</f>
        <v/>
      </c>
    </row>
    <row r="13950">
      <c r="A13950">
        <f>Input!A13950</f>
        <v/>
      </c>
      <c r="B13950">
        <f>IF(ISNUMBER(Input!B13950),IF(AND(Input!B13950&gt;=20,Input!B13950&lt;=700),Input!B13950,""),"")</f>
        <v/>
      </c>
      <c r="C13950">
        <f>IF(B13950="","",INT(A13950))</f>
        <v/>
      </c>
      <c r="D13950">
        <f>IF(B13950="","",HOUR(A13950))</f>
        <v/>
      </c>
    </row>
    <row r="13951">
      <c r="A13951">
        <f>Input!A13951</f>
        <v/>
      </c>
      <c r="B13951">
        <f>IF(ISNUMBER(Input!B13951),IF(AND(Input!B13951&gt;=20,Input!B13951&lt;=700),Input!B13951,""),"")</f>
        <v/>
      </c>
      <c r="C13951">
        <f>IF(B13951="","",INT(A13951))</f>
        <v/>
      </c>
      <c r="D13951">
        <f>IF(B13951="","",HOUR(A13951))</f>
        <v/>
      </c>
    </row>
    <row r="13952">
      <c r="A13952">
        <f>Input!A13952</f>
        <v/>
      </c>
      <c r="B13952">
        <f>IF(ISNUMBER(Input!B13952),IF(AND(Input!B13952&gt;=20,Input!B13952&lt;=700),Input!B13952,""),"")</f>
        <v/>
      </c>
      <c r="C13952">
        <f>IF(B13952="","",INT(A13952))</f>
        <v/>
      </c>
      <c r="D13952">
        <f>IF(B13952="","",HOUR(A13952))</f>
        <v/>
      </c>
    </row>
    <row r="13953">
      <c r="A13953">
        <f>Input!A13953</f>
        <v/>
      </c>
      <c r="B13953">
        <f>IF(ISNUMBER(Input!B13953),IF(AND(Input!B13953&gt;=20,Input!B13953&lt;=700),Input!B13953,""),"")</f>
        <v/>
      </c>
      <c r="C13953">
        <f>IF(B13953="","",INT(A13953))</f>
        <v/>
      </c>
      <c r="D13953">
        <f>IF(B13953="","",HOUR(A13953))</f>
        <v/>
      </c>
    </row>
    <row r="13954">
      <c r="A13954">
        <f>Input!A13954</f>
        <v/>
      </c>
      <c r="B13954">
        <f>IF(ISNUMBER(Input!B13954),IF(AND(Input!B13954&gt;=20,Input!B13954&lt;=700),Input!B13954,""),"")</f>
        <v/>
      </c>
      <c r="C13954">
        <f>IF(B13954="","",INT(A13954))</f>
        <v/>
      </c>
      <c r="D13954">
        <f>IF(B13954="","",HOUR(A13954))</f>
        <v/>
      </c>
    </row>
    <row r="13955">
      <c r="A13955">
        <f>Input!A13955</f>
        <v/>
      </c>
      <c r="B13955">
        <f>IF(ISNUMBER(Input!B13955),IF(AND(Input!B13955&gt;=20,Input!B13955&lt;=700),Input!B13955,""),"")</f>
        <v/>
      </c>
      <c r="C13955">
        <f>IF(B13955="","",INT(A13955))</f>
        <v/>
      </c>
      <c r="D13955">
        <f>IF(B13955="","",HOUR(A13955))</f>
        <v/>
      </c>
    </row>
    <row r="13956">
      <c r="A13956">
        <f>Input!A13956</f>
        <v/>
      </c>
      <c r="B13956">
        <f>IF(ISNUMBER(Input!B13956),IF(AND(Input!B13956&gt;=20,Input!B13956&lt;=700),Input!B13956,""),"")</f>
        <v/>
      </c>
      <c r="C13956">
        <f>IF(B13956="","",INT(A13956))</f>
        <v/>
      </c>
      <c r="D13956">
        <f>IF(B13956="","",HOUR(A13956))</f>
        <v/>
      </c>
    </row>
    <row r="13957">
      <c r="A13957">
        <f>Input!A13957</f>
        <v/>
      </c>
      <c r="B13957">
        <f>IF(ISNUMBER(Input!B13957),IF(AND(Input!B13957&gt;=20,Input!B13957&lt;=700),Input!B13957,""),"")</f>
        <v/>
      </c>
      <c r="C13957">
        <f>IF(B13957="","",INT(A13957))</f>
        <v/>
      </c>
      <c r="D13957">
        <f>IF(B13957="","",HOUR(A13957))</f>
        <v/>
      </c>
    </row>
    <row r="13958">
      <c r="A13958">
        <f>Input!A13958</f>
        <v/>
      </c>
      <c r="B13958">
        <f>IF(ISNUMBER(Input!B13958),IF(AND(Input!B13958&gt;=20,Input!B13958&lt;=700),Input!B13958,""),"")</f>
        <v/>
      </c>
      <c r="C13958">
        <f>IF(B13958="","",INT(A13958))</f>
        <v/>
      </c>
      <c r="D13958">
        <f>IF(B13958="","",HOUR(A13958))</f>
        <v/>
      </c>
    </row>
    <row r="13959">
      <c r="A13959">
        <f>Input!A13959</f>
        <v/>
      </c>
      <c r="B13959">
        <f>IF(ISNUMBER(Input!B13959),IF(AND(Input!B13959&gt;=20,Input!B13959&lt;=700),Input!B13959,""),"")</f>
        <v/>
      </c>
      <c r="C13959">
        <f>IF(B13959="","",INT(A13959))</f>
        <v/>
      </c>
      <c r="D13959">
        <f>IF(B13959="","",HOUR(A13959))</f>
        <v/>
      </c>
    </row>
    <row r="13960">
      <c r="A13960">
        <f>Input!A13960</f>
        <v/>
      </c>
      <c r="B13960">
        <f>IF(ISNUMBER(Input!B13960),IF(AND(Input!B13960&gt;=20,Input!B13960&lt;=700),Input!B13960,""),"")</f>
        <v/>
      </c>
      <c r="C13960">
        <f>IF(B13960="","",INT(A13960))</f>
        <v/>
      </c>
      <c r="D13960">
        <f>IF(B13960="","",HOUR(A13960))</f>
        <v/>
      </c>
    </row>
    <row r="13961">
      <c r="A13961">
        <f>Input!A13961</f>
        <v/>
      </c>
      <c r="B13961">
        <f>IF(ISNUMBER(Input!B13961),IF(AND(Input!B13961&gt;=20,Input!B13961&lt;=700),Input!B13961,""),"")</f>
        <v/>
      </c>
      <c r="C13961">
        <f>IF(B13961="","",INT(A13961))</f>
        <v/>
      </c>
      <c r="D13961">
        <f>IF(B13961="","",HOUR(A13961))</f>
        <v/>
      </c>
    </row>
    <row r="13962">
      <c r="A13962">
        <f>Input!A13962</f>
        <v/>
      </c>
      <c r="B13962">
        <f>IF(ISNUMBER(Input!B13962),IF(AND(Input!B13962&gt;=20,Input!B13962&lt;=700),Input!B13962,""),"")</f>
        <v/>
      </c>
      <c r="C13962">
        <f>IF(B13962="","",INT(A13962))</f>
        <v/>
      </c>
      <c r="D13962">
        <f>IF(B13962="","",HOUR(A13962))</f>
        <v/>
      </c>
    </row>
    <row r="13963">
      <c r="A13963">
        <f>Input!A13963</f>
        <v/>
      </c>
      <c r="B13963">
        <f>IF(ISNUMBER(Input!B13963),IF(AND(Input!B13963&gt;=20,Input!B13963&lt;=700),Input!B13963,""),"")</f>
        <v/>
      </c>
      <c r="C13963">
        <f>IF(B13963="","",INT(A13963))</f>
        <v/>
      </c>
      <c r="D13963">
        <f>IF(B13963="","",HOUR(A13963))</f>
        <v/>
      </c>
    </row>
    <row r="13964">
      <c r="A13964">
        <f>Input!A13964</f>
        <v/>
      </c>
      <c r="B13964">
        <f>IF(ISNUMBER(Input!B13964),IF(AND(Input!B13964&gt;=20,Input!B13964&lt;=700),Input!B13964,""),"")</f>
        <v/>
      </c>
      <c r="C13964">
        <f>IF(B13964="","",INT(A13964))</f>
        <v/>
      </c>
      <c r="D13964">
        <f>IF(B13964="","",HOUR(A13964))</f>
        <v/>
      </c>
    </row>
    <row r="13965">
      <c r="A13965">
        <f>Input!A13965</f>
        <v/>
      </c>
      <c r="B13965">
        <f>IF(ISNUMBER(Input!B13965),IF(AND(Input!B13965&gt;=20,Input!B13965&lt;=700),Input!B13965,""),"")</f>
        <v/>
      </c>
      <c r="C13965">
        <f>IF(B13965="","",INT(A13965))</f>
        <v/>
      </c>
      <c r="D13965">
        <f>IF(B13965="","",HOUR(A13965))</f>
        <v/>
      </c>
    </row>
    <row r="13966">
      <c r="A13966">
        <f>Input!A13966</f>
        <v/>
      </c>
      <c r="B13966">
        <f>IF(ISNUMBER(Input!B13966),IF(AND(Input!B13966&gt;=20,Input!B13966&lt;=700),Input!B13966,""),"")</f>
        <v/>
      </c>
      <c r="C13966">
        <f>IF(B13966="","",INT(A13966))</f>
        <v/>
      </c>
      <c r="D13966">
        <f>IF(B13966="","",HOUR(A13966))</f>
        <v/>
      </c>
    </row>
    <row r="13967">
      <c r="A13967">
        <f>Input!A13967</f>
        <v/>
      </c>
      <c r="B13967">
        <f>IF(ISNUMBER(Input!B13967),IF(AND(Input!B13967&gt;=20,Input!B13967&lt;=700),Input!B13967,""),"")</f>
        <v/>
      </c>
      <c r="C13967">
        <f>IF(B13967="","",INT(A13967))</f>
        <v/>
      </c>
      <c r="D13967">
        <f>IF(B13967="","",HOUR(A13967))</f>
        <v/>
      </c>
    </row>
    <row r="13968">
      <c r="A13968">
        <f>Input!A13968</f>
        <v/>
      </c>
      <c r="B13968">
        <f>IF(ISNUMBER(Input!B13968),IF(AND(Input!B13968&gt;=20,Input!B13968&lt;=700),Input!B13968,""),"")</f>
        <v/>
      </c>
      <c r="C13968">
        <f>IF(B13968="","",INT(A13968))</f>
        <v/>
      </c>
      <c r="D13968">
        <f>IF(B13968="","",HOUR(A13968))</f>
        <v/>
      </c>
    </row>
    <row r="13969">
      <c r="A13969">
        <f>Input!A13969</f>
        <v/>
      </c>
      <c r="B13969">
        <f>IF(ISNUMBER(Input!B13969),IF(AND(Input!B13969&gt;=20,Input!B13969&lt;=700),Input!B13969,""),"")</f>
        <v/>
      </c>
      <c r="C13969">
        <f>IF(B13969="","",INT(A13969))</f>
        <v/>
      </c>
      <c r="D13969">
        <f>IF(B13969="","",HOUR(A13969))</f>
        <v/>
      </c>
    </row>
    <row r="13970">
      <c r="A13970">
        <f>Input!A13970</f>
        <v/>
      </c>
      <c r="B13970">
        <f>IF(ISNUMBER(Input!B13970),IF(AND(Input!B13970&gt;=20,Input!B13970&lt;=700),Input!B13970,""),"")</f>
        <v/>
      </c>
      <c r="C13970">
        <f>IF(B13970="","",INT(A13970))</f>
        <v/>
      </c>
      <c r="D13970">
        <f>IF(B13970="","",HOUR(A13970))</f>
        <v/>
      </c>
    </row>
    <row r="13971">
      <c r="A13971">
        <f>Input!A13971</f>
        <v/>
      </c>
      <c r="B13971">
        <f>IF(ISNUMBER(Input!B13971),IF(AND(Input!B13971&gt;=20,Input!B13971&lt;=700),Input!B13971,""),"")</f>
        <v/>
      </c>
      <c r="C13971">
        <f>IF(B13971="","",INT(A13971))</f>
        <v/>
      </c>
      <c r="D13971">
        <f>IF(B13971="","",HOUR(A13971))</f>
        <v/>
      </c>
    </row>
    <row r="13972">
      <c r="A13972">
        <f>Input!A13972</f>
        <v/>
      </c>
      <c r="B13972">
        <f>IF(ISNUMBER(Input!B13972),IF(AND(Input!B13972&gt;=20,Input!B13972&lt;=700),Input!B13972,""),"")</f>
        <v/>
      </c>
      <c r="C13972">
        <f>IF(B13972="","",INT(A13972))</f>
        <v/>
      </c>
      <c r="D13972">
        <f>IF(B13972="","",HOUR(A13972))</f>
        <v/>
      </c>
    </row>
    <row r="13973">
      <c r="A13973">
        <f>Input!A13973</f>
        <v/>
      </c>
      <c r="B13973">
        <f>IF(ISNUMBER(Input!B13973),IF(AND(Input!B13973&gt;=20,Input!B13973&lt;=700),Input!B13973,""),"")</f>
        <v/>
      </c>
      <c r="C13973">
        <f>IF(B13973="","",INT(A13973))</f>
        <v/>
      </c>
      <c r="D13973">
        <f>IF(B13973="","",HOUR(A13973))</f>
        <v/>
      </c>
    </row>
    <row r="13974">
      <c r="A13974">
        <f>Input!A13974</f>
        <v/>
      </c>
      <c r="B13974">
        <f>IF(ISNUMBER(Input!B13974),IF(AND(Input!B13974&gt;=20,Input!B13974&lt;=700),Input!B13974,""),"")</f>
        <v/>
      </c>
      <c r="C13974">
        <f>IF(B13974="","",INT(A13974))</f>
        <v/>
      </c>
      <c r="D13974">
        <f>IF(B13974="","",HOUR(A13974))</f>
        <v/>
      </c>
    </row>
    <row r="13975">
      <c r="A13975">
        <f>Input!A13975</f>
        <v/>
      </c>
      <c r="B13975">
        <f>IF(ISNUMBER(Input!B13975),IF(AND(Input!B13975&gt;=20,Input!B13975&lt;=700),Input!B13975,""),"")</f>
        <v/>
      </c>
      <c r="C13975">
        <f>IF(B13975="","",INT(A13975))</f>
        <v/>
      </c>
      <c r="D13975">
        <f>IF(B13975="","",HOUR(A13975))</f>
        <v/>
      </c>
    </row>
    <row r="13976">
      <c r="A13976">
        <f>Input!A13976</f>
        <v/>
      </c>
      <c r="B13976">
        <f>IF(ISNUMBER(Input!B13976),IF(AND(Input!B13976&gt;=20,Input!B13976&lt;=700),Input!B13976,""),"")</f>
        <v/>
      </c>
      <c r="C13976">
        <f>IF(B13976="","",INT(A13976))</f>
        <v/>
      </c>
      <c r="D13976">
        <f>IF(B13976="","",HOUR(A13976))</f>
        <v/>
      </c>
    </row>
    <row r="13977">
      <c r="A13977">
        <f>Input!A13977</f>
        <v/>
      </c>
      <c r="B13977">
        <f>IF(ISNUMBER(Input!B13977),IF(AND(Input!B13977&gt;=20,Input!B13977&lt;=700),Input!B13977,""),"")</f>
        <v/>
      </c>
      <c r="C13977">
        <f>IF(B13977="","",INT(A13977))</f>
        <v/>
      </c>
      <c r="D13977">
        <f>IF(B13977="","",HOUR(A13977))</f>
        <v/>
      </c>
    </row>
    <row r="13978">
      <c r="A13978">
        <f>Input!A13978</f>
        <v/>
      </c>
      <c r="B13978">
        <f>IF(ISNUMBER(Input!B13978),IF(AND(Input!B13978&gt;=20,Input!B13978&lt;=700),Input!B13978,""),"")</f>
        <v/>
      </c>
      <c r="C13978">
        <f>IF(B13978="","",INT(A13978))</f>
        <v/>
      </c>
      <c r="D13978">
        <f>IF(B13978="","",HOUR(A13978))</f>
        <v/>
      </c>
    </row>
    <row r="13979">
      <c r="A13979">
        <f>Input!A13979</f>
        <v/>
      </c>
      <c r="B13979">
        <f>IF(ISNUMBER(Input!B13979),IF(AND(Input!B13979&gt;=20,Input!B13979&lt;=700),Input!B13979,""),"")</f>
        <v/>
      </c>
      <c r="C13979">
        <f>IF(B13979="","",INT(A13979))</f>
        <v/>
      </c>
      <c r="D13979">
        <f>IF(B13979="","",HOUR(A13979))</f>
        <v/>
      </c>
    </row>
    <row r="13980">
      <c r="A13980">
        <f>Input!A13980</f>
        <v/>
      </c>
      <c r="B13980">
        <f>IF(ISNUMBER(Input!B13980),IF(AND(Input!B13980&gt;=20,Input!B13980&lt;=700),Input!B13980,""),"")</f>
        <v/>
      </c>
      <c r="C13980">
        <f>IF(B13980="","",INT(A13980))</f>
        <v/>
      </c>
      <c r="D13980">
        <f>IF(B13980="","",HOUR(A13980))</f>
        <v/>
      </c>
    </row>
    <row r="13981">
      <c r="A13981">
        <f>Input!A13981</f>
        <v/>
      </c>
      <c r="B13981">
        <f>IF(ISNUMBER(Input!B13981),IF(AND(Input!B13981&gt;=20,Input!B13981&lt;=700),Input!B13981,""),"")</f>
        <v/>
      </c>
      <c r="C13981">
        <f>IF(B13981="","",INT(A13981))</f>
        <v/>
      </c>
      <c r="D13981">
        <f>IF(B13981="","",HOUR(A13981))</f>
        <v/>
      </c>
    </row>
    <row r="13982">
      <c r="A13982">
        <f>Input!A13982</f>
        <v/>
      </c>
      <c r="B13982">
        <f>IF(ISNUMBER(Input!B13982),IF(AND(Input!B13982&gt;=20,Input!B13982&lt;=700),Input!B13982,""),"")</f>
        <v/>
      </c>
      <c r="C13982">
        <f>IF(B13982="","",INT(A13982))</f>
        <v/>
      </c>
      <c r="D13982">
        <f>IF(B13982="","",HOUR(A13982))</f>
        <v/>
      </c>
    </row>
    <row r="13983">
      <c r="A13983">
        <f>Input!A13983</f>
        <v/>
      </c>
      <c r="B13983">
        <f>IF(ISNUMBER(Input!B13983),IF(AND(Input!B13983&gt;=20,Input!B13983&lt;=700),Input!B13983,""),"")</f>
        <v/>
      </c>
      <c r="C13983">
        <f>IF(B13983="","",INT(A13983))</f>
        <v/>
      </c>
      <c r="D13983">
        <f>IF(B13983="","",HOUR(A13983))</f>
        <v/>
      </c>
    </row>
    <row r="13984">
      <c r="A13984">
        <f>Input!A13984</f>
        <v/>
      </c>
      <c r="B13984">
        <f>IF(ISNUMBER(Input!B13984),IF(AND(Input!B13984&gt;=20,Input!B13984&lt;=700),Input!B13984,""),"")</f>
        <v/>
      </c>
      <c r="C13984">
        <f>IF(B13984="","",INT(A13984))</f>
        <v/>
      </c>
      <c r="D13984">
        <f>IF(B13984="","",HOUR(A13984))</f>
        <v/>
      </c>
    </row>
    <row r="13985">
      <c r="A13985">
        <f>Input!A13985</f>
        <v/>
      </c>
      <c r="B13985">
        <f>IF(ISNUMBER(Input!B13985),IF(AND(Input!B13985&gt;=20,Input!B13985&lt;=700),Input!B13985,""),"")</f>
        <v/>
      </c>
      <c r="C13985">
        <f>IF(B13985="","",INT(A13985))</f>
        <v/>
      </c>
      <c r="D13985">
        <f>IF(B13985="","",HOUR(A13985))</f>
        <v/>
      </c>
    </row>
    <row r="13986">
      <c r="A13986">
        <f>Input!A13986</f>
        <v/>
      </c>
      <c r="B13986">
        <f>IF(ISNUMBER(Input!B13986),IF(AND(Input!B13986&gt;=20,Input!B13986&lt;=700),Input!B13986,""),"")</f>
        <v/>
      </c>
      <c r="C13986">
        <f>IF(B13986="","",INT(A13986))</f>
        <v/>
      </c>
      <c r="D13986">
        <f>IF(B13986="","",HOUR(A13986))</f>
        <v/>
      </c>
    </row>
    <row r="13987">
      <c r="A13987">
        <f>Input!A13987</f>
        <v/>
      </c>
      <c r="B13987">
        <f>IF(ISNUMBER(Input!B13987),IF(AND(Input!B13987&gt;=20,Input!B13987&lt;=700),Input!B13987,""),"")</f>
        <v/>
      </c>
      <c r="C13987">
        <f>IF(B13987="","",INT(A13987))</f>
        <v/>
      </c>
      <c r="D13987">
        <f>IF(B13987="","",HOUR(A13987))</f>
        <v/>
      </c>
    </row>
    <row r="13988">
      <c r="A13988">
        <f>Input!A13988</f>
        <v/>
      </c>
      <c r="B13988">
        <f>IF(ISNUMBER(Input!B13988),IF(AND(Input!B13988&gt;=20,Input!B13988&lt;=700),Input!B13988,""),"")</f>
        <v/>
      </c>
      <c r="C13988">
        <f>IF(B13988="","",INT(A13988))</f>
        <v/>
      </c>
      <c r="D13988">
        <f>IF(B13988="","",HOUR(A13988))</f>
        <v/>
      </c>
    </row>
    <row r="13989">
      <c r="A13989">
        <f>Input!A13989</f>
        <v/>
      </c>
      <c r="B13989">
        <f>IF(ISNUMBER(Input!B13989),IF(AND(Input!B13989&gt;=20,Input!B13989&lt;=700),Input!B13989,""),"")</f>
        <v/>
      </c>
      <c r="C13989">
        <f>IF(B13989="","",INT(A13989))</f>
        <v/>
      </c>
      <c r="D13989">
        <f>IF(B13989="","",HOUR(A13989))</f>
        <v/>
      </c>
    </row>
    <row r="13990">
      <c r="A13990">
        <f>Input!A13990</f>
        <v/>
      </c>
      <c r="B13990">
        <f>IF(ISNUMBER(Input!B13990),IF(AND(Input!B13990&gt;=20,Input!B13990&lt;=700),Input!B13990,""),"")</f>
        <v/>
      </c>
      <c r="C13990">
        <f>IF(B13990="","",INT(A13990))</f>
        <v/>
      </c>
      <c r="D13990">
        <f>IF(B13990="","",HOUR(A13990))</f>
        <v/>
      </c>
    </row>
    <row r="13991">
      <c r="A13991">
        <f>Input!A13991</f>
        <v/>
      </c>
      <c r="B13991">
        <f>IF(ISNUMBER(Input!B13991),IF(AND(Input!B13991&gt;=20,Input!B13991&lt;=700),Input!B13991,""),"")</f>
        <v/>
      </c>
      <c r="C13991">
        <f>IF(B13991="","",INT(A13991))</f>
        <v/>
      </c>
      <c r="D13991">
        <f>IF(B13991="","",HOUR(A13991))</f>
        <v/>
      </c>
    </row>
    <row r="13992">
      <c r="A13992">
        <f>Input!A13992</f>
        <v/>
      </c>
      <c r="B13992">
        <f>IF(ISNUMBER(Input!B13992),IF(AND(Input!B13992&gt;=20,Input!B13992&lt;=700),Input!B13992,""),"")</f>
        <v/>
      </c>
      <c r="C13992">
        <f>IF(B13992="","",INT(A13992))</f>
        <v/>
      </c>
      <c r="D13992">
        <f>IF(B13992="","",HOUR(A13992))</f>
        <v/>
      </c>
    </row>
    <row r="13993">
      <c r="A13993">
        <f>Input!A13993</f>
        <v/>
      </c>
      <c r="B13993">
        <f>IF(ISNUMBER(Input!B13993),IF(AND(Input!B13993&gt;=20,Input!B13993&lt;=700),Input!B13993,""),"")</f>
        <v/>
      </c>
      <c r="C13993">
        <f>IF(B13993="","",INT(A13993))</f>
        <v/>
      </c>
      <c r="D13993">
        <f>IF(B13993="","",HOUR(A13993))</f>
        <v/>
      </c>
    </row>
    <row r="13994">
      <c r="A13994">
        <f>Input!A13994</f>
        <v/>
      </c>
      <c r="B13994">
        <f>IF(ISNUMBER(Input!B13994),IF(AND(Input!B13994&gt;=20,Input!B13994&lt;=700),Input!B13994,""),"")</f>
        <v/>
      </c>
      <c r="C13994">
        <f>IF(B13994="","",INT(A13994))</f>
        <v/>
      </c>
      <c r="D13994">
        <f>IF(B13994="","",HOUR(A13994))</f>
        <v/>
      </c>
    </row>
    <row r="13995">
      <c r="A13995">
        <f>Input!A13995</f>
        <v/>
      </c>
      <c r="B13995">
        <f>IF(ISNUMBER(Input!B13995),IF(AND(Input!B13995&gt;=20,Input!B13995&lt;=700),Input!B13995,""),"")</f>
        <v/>
      </c>
      <c r="C13995">
        <f>IF(B13995="","",INT(A13995))</f>
        <v/>
      </c>
      <c r="D13995">
        <f>IF(B13995="","",HOUR(A13995))</f>
        <v/>
      </c>
    </row>
    <row r="13996">
      <c r="A13996">
        <f>Input!A13996</f>
        <v/>
      </c>
      <c r="B13996">
        <f>IF(ISNUMBER(Input!B13996),IF(AND(Input!B13996&gt;=20,Input!B13996&lt;=700),Input!B13996,""),"")</f>
        <v/>
      </c>
      <c r="C13996">
        <f>IF(B13996="","",INT(A13996))</f>
        <v/>
      </c>
      <c r="D13996">
        <f>IF(B13996="","",HOUR(A13996))</f>
        <v/>
      </c>
    </row>
    <row r="13997">
      <c r="A13997">
        <f>Input!A13997</f>
        <v/>
      </c>
      <c r="B13997">
        <f>IF(ISNUMBER(Input!B13997),IF(AND(Input!B13997&gt;=20,Input!B13997&lt;=700),Input!B13997,""),"")</f>
        <v/>
      </c>
      <c r="C13997">
        <f>IF(B13997="","",INT(A13997))</f>
        <v/>
      </c>
      <c r="D13997">
        <f>IF(B13997="","",HOUR(A13997))</f>
        <v/>
      </c>
    </row>
    <row r="13998">
      <c r="A13998">
        <f>Input!A13998</f>
        <v/>
      </c>
      <c r="B13998">
        <f>IF(ISNUMBER(Input!B13998),IF(AND(Input!B13998&gt;=20,Input!B13998&lt;=700),Input!B13998,""),"")</f>
        <v/>
      </c>
      <c r="C13998">
        <f>IF(B13998="","",INT(A13998))</f>
        <v/>
      </c>
      <c r="D13998">
        <f>IF(B13998="","",HOUR(A13998))</f>
        <v/>
      </c>
    </row>
    <row r="13999">
      <c r="A13999">
        <f>Input!A13999</f>
        <v/>
      </c>
      <c r="B13999">
        <f>IF(ISNUMBER(Input!B13999),IF(AND(Input!B13999&gt;=20,Input!B13999&lt;=700),Input!B13999,""),"")</f>
        <v/>
      </c>
      <c r="C13999">
        <f>IF(B13999="","",INT(A13999))</f>
        <v/>
      </c>
      <c r="D13999">
        <f>IF(B13999="","",HOUR(A13999))</f>
        <v/>
      </c>
    </row>
    <row r="14000">
      <c r="A14000">
        <f>Input!A14000</f>
        <v/>
      </c>
      <c r="B14000">
        <f>IF(ISNUMBER(Input!B14000),IF(AND(Input!B14000&gt;=20,Input!B14000&lt;=700),Input!B14000,""),"")</f>
        <v/>
      </c>
      <c r="C14000">
        <f>IF(B14000="","",INT(A14000))</f>
        <v/>
      </c>
      <c r="D14000">
        <f>IF(B14000="","",HOUR(A14000))</f>
        <v/>
      </c>
    </row>
    <row r="14001">
      <c r="A14001">
        <f>Input!A14001</f>
        <v/>
      </c>
      <c r="B14001">
        <f>IF(ISNUMBER(Input!B14001),IF(AND(Input!B14001&gt;=20,Input!B14001&lt;=700),Input!B14001,""),"")</f>
        <v/>
      </c>
      <c r="C14001">
        <f>IF(B14001="","",INT(A14001))</f>
        <v/>
      </c>
      <c r="D14001">
        <f>IF(B14001="","",HOUR(A14001))</f>
        <v/>
      </c>
    </row>
    <row r="14002">
      <c r="A14002">
        <f>Input!A14002</f>
        <v/>
      </c>
      <c r="B14002">
        <f>IF(ISNUMBER(Input!B14002),IF(AND(Input!B14002&gt;=20,Input!B14002&lt;=700),Input!B14002,""),"")</f>
        <v/>
      </c>
      <c r="C14002">
        <f>IF(B14002="","",INT(A14002))</f>
        <v/>
      </c>
      <c r="D14002">
        <f>IF(B14002="","",HOUR(A14002))</f>
        <v/>
      </c>
    </row>
    <row r="14003">
      <c r="A14003">
        <f>Input!A14003</f>
        <v/>
      </c>
      <c r="B14003">
        <f>IF(ISNUMBER(Input!B14003),IF(AND(Input!B14003&gt;=20,Input!B14003&lt;=700),Input!B14003,""),"")</f>
        <v/>
      </c>
      <c r="C14003">
        <f>IF(B14003="","",INT(A14003))</f>
        <v/>
      </c>
      <c r="D14003">
        <f>IF(B14003="","",HOUR(A14003))</f>
        <v/>
      </c>
    </row>
    <row r="14004">
      <c r="A14004">
        <f>Input!A14004</f>
        <v/>
      </c>
      <c r="B14004">
        <f>IF(ISNUMBER(Input!B14004),IF(AND(Input!B14004&gt;=20,Input!B14004&lt;=700),Input!B14004,""),"")</f>
        <v/>
      </c>
      <c r="C14004">
        <f>IF(B14004="","",INT(A14004))</f>
        <v/>
      </c>
      <c r="D14004">
        <f>IF(B14004="","",HOUR(A14004))</f>
        <v/>
      </c>
    </row>
    <row r="14005">
      <c r="A14005">
        <f>Input!A14005</f>
        <v/>
      </c>
      <c r="B14005">
        <f>IF(ISNUMBER(Input!B14005),IF(AND(Input!B14005&gt;=20,Input!B14005&lt;=700),Input!B14005,""),"")</f>
        <v/>
      </c>
      <c r="C14005">
        <f>IF(B14005="","",INT(A14005))</f>
        <v/>
      </c>
      <c r="D14005">
        <f>IF(B14005="","",HOUR(A14005))</f>
        <v/>
      </c>
    </row>
    <row r="14006">
      <c r="A14006">
        <f>Input!A14006</f>
        <v/>
      </c>
      <c r="B14006">
        <f>IF(ISNUMBER(Input!B14006),IF(AND(Input!B14006&gt;=20,Input!B14006&lt;=700),Input!B14006,""),"")</f>
        <v/>
      </c>
      <c r="C14006">
        <f>IF(B14006="","",INT(A14006))</f>
        <v/>
      </c>
      <c r="D14006">
        <f>IF(B14006="","",HOUR(A14006))</f>
        <v/>
      </c>
    </row>
    <row r="14007">
      <c r="A14007">
        <f>Input!A14007</f>
        <v/>
      </c>
      <c r="B14007">
        <f>IF(ISNUMBER(Input!B14007),IF(AND(Input!B14007&gt;=20,Input!B14007&lt;=700),Input!B14007,""),"")</f>
        <v/>
      </c>
      <c r="C14007">
        <f>IF(B14007="","",INT(A14007))</f>
        <v/>
      </c>
      <c r="D14007">
        <f>IF(B14007="","",HOUR(A14007))</f>
        <v/>
      </c>
    </row>
    <row r="14008">
      <c r="A14008">
        <f>Input!A14008</f>
        <v/>
      </c>
      <c r="B14008">
        <f>IF(ISNUMBER(Input!B14008),IF(AND(Input!B14008&gt;=20,Input!B14008&lt;=700),Input!B14008,""),"")</f>
        <v/>
      </c>
      <c r="C14008">
        <f>IF(B14008="","",INT(A14008))</f>
        <v/>
      </c>
      <c r="D14008">
        <f>IF(B14008="","",HOUR(A14008))</f>
        <v/>
      </c>
    </row>
    <row r="14009">
      <c r="A14009">
        <f>Input!A14009</f>
        <v/>
      </c>
      <c r="B14009">
        <f>IF(ISNUMBER(Input!B14009),IF(AND(Input!B14009&gt;=20,Input!B14009&lt;=700),Input!B14009,""),"")</f>
        <v/>
      </c>
      <c r="C14009">
        <f>IF(B14009="","",INT(A14009))</f>
        <v/>
      </c>
      <c r="D14009">
        <f>IF(B14009="","",HOUR(A14009))</f>
        <v/>
      </c>
    </row>
    <row r="14010">
      <c r="A14010">
        <f>Input!A14010</f>
        <v/>
      </c>
      <c r="B14010">
        <f>IF(ISNUMBER(Input!B14010),IF(AND(Input!B14010&gt;=20,Input!B14010&lt;=700),Input!B14010,""),"")</f>
        <v/>
      </c>
      <c r="C14010">
        <f>IF(B14010="","",INT(A14010))</f>
        <v/>
      </c>
      <c r="D14010">
        <f>IF(B14010="","",HOUR(A14010))</f>
        <v/>
      </c>
    </row>
    <row r="14011">
      <c r="A14011">
        <f>Input!A14011</f>
        <v/>
      </c>
      <c r="B14011">
        <f>IF(ISNUMBER(Input!B14011),IF(AND(Input!B14011&gt;=20,Input!B14011&lt;=700),Input!B14011,""),"")</f>
        <v/>
      </c>
      <c r="C14011">
        <f>IF(B14011="","",INT(A14011))</f>
        <v/>
      </c>
      <c r="D14011">
        <f>IF(B14011="","",HOUR(A14011))</f>
        <v/>
      </c>
    </row>
    <row r="14012">
      <c r="A14012">
        <f>Input!A14012</f>
        <v/>
      </c>
      <c r="B14012">
        <f>IF(ISNUMBER(Input!B14012),IF(AND(Input!B14012&gt;=20,Input!B14012&lt;=700),Input!B14012,""),"")</f>
        <v/>
      </c>
      <c r="C14012">
        <f>IF(B14012="","",INT(A14012))</f>
        <v/>
      </c>
      <c r="D14012">
        <f>IF(B14012="","",HOUR(A14012))</f>
        <v/>
      </c>
    </row>
    <row r="14013">
      <c r="A14013">
        <f>Input!A14013</f>
        <v/>
      </c>
      <c r="B14013">
        <f>IF(ISNUMBER(Input!B14013),IF(AND(Input!B14013&gt;=20,Input!B14013&lt;=700),Input!B14013,""),"")</f>
        <v/>
      </c>
      <c r="C14013">
        <f>IF(B14013="","",INT(A14013))</f>
        <v/>
      </c>
      <c r="D14013">
        <f>IF(B14013="","",HOUR(A14013))</f>
        <v/>
      </c>
    </row>
    <row r="14014">
      <c r="A14014">
        <f>Input!A14014</f>
        <v/>
      </c>
      <c r="B14014">
        <f>IF(ISNUMBER(Input!B14014),IF(AND(Input!B14014&gt;=20,Input!B14014&lt;=700),Input!B14014,""),"")</f>
        <v/>
      </c>
      <c r="C14014">
        <f>IF(B14014="","",INT(A14014))</f>
        <v/>
      </c>
      <c r="D14014">
        <f>IF(B14014="","",HOUR(A14014))</f>
        <v/>
      </c>
    </row>
    <row r="14015">
      <c r="A14015">
        <f>Input!A14015</f>
        <v/>
      </c>
      <c r="B14015">
        <f>IF(ISNUMBER(Input!B14015),IF(AND(Input!B14015&gt;=20,Input!B14015&lt;=700),Input!B14015,""),"")</f>
        <v/>
      </c>
      <c r="C14015">
        <f>IF(B14015="","",INT(A14015))</f>
        <v/>
      </c>
      <c r="D14015">
        <f>IF(B14015="","",HOUR(A14015))</f>
        <v/>
      </c>
    </row>
    <row r="14016">
      <c r="A14016">
        <f>Input!A14016</f>
        <v/>
      </c>
      <c r="B14016">
        <f>IF(ISNUMBER(Input!B14016),IF(AND(Input!B14016&gt;=20,Input!B14016&lt;=700),Input!B14016,""),"")</f>
        <v/>
      </c>
      <c r="C14016">
        <f>IF(B14016="","",INT(A14016))</f>
        <v/>
      </c>
      <c r="D14016">
        <f>IF(B14016="","",HOUR(A14016))</f>
        <v/>
      </c>
    </row>
    <row r="14017">
      <c r="A14017">
        <f>Input!A14017</f>
        <v/>
      </c>
      <c r="B14017">
        <f>IF(ISNUMBER(Input!B14017),IF(AND(Input!B14017&gt;=20,Input!B14017&lt;=700),Input!B14017,""),"")</f>
        <v/>
      </c>
      <c r="C14017">
        <f>IF(B14017="","",INT(A14017))</f>
        <v/>
      </c>
      <c r="D14017">
        <f>IF(B14017="","",HOUR(A14017))</f>
        <v/>
      </c>
    </row>
    <row r="14018">
      <c r="A14018">
        <f>Input!A14018</f>
        <v/>
      </c>
      <c r="B14018">
        <f>IF(ISNUMBER(Input!B14018),IF(AND(Input!B14018&gt;=20,Input!B14018&lt;=700),Input!B14018,""),"")</f>
        <v/>
      </c>
      <c r="C14018">
        <f>IF(B14018="","",INT(A14018))</f>
        <v/>
      </c>
      <c r="D14018">
        <f>IF(B14018="","",HOUR(A14018))</f>
        <v/>
      </c>
    </row>
    <row r="14019">
      <c r="A14019">
        <f>Input!A14019</f>
        <v/>
      </c>
      <c r="B14019">
        <f>IF(ISNUMBER(Input!B14019),IF(AND(Input!B14019&gt;=20,Input!B14019&lt;=700),Input!B14019,""),"")</f>
        <v/>
      </c>
      <c r="C14019">
        <f>IF(B14019="","",INT(A14019))</f>
        <v/>
      </c>
      <c r="D14019">
        <f>IF(B14019="","",HOUR(A14019))</f>
        <v/>
      </c>
    </row>
    <row r="14020">
      <c r="A14020">
        <f>Input!A14020</f>
        <v/>
      </c>
      <c r="B14020">
        <f>IF(ISNUMBER(Input!B14020),IF(AND(Input!B14020&gt;=20,Input!B14020&lt;=700),Input!B14020,""),"")</f>
        <v/>
      </c>
      <c r="C14020">
        <f>IF(B14020="","",INT(A14020))</f>
        <v/>
      </c>
      <c r="D14020">
        <f>IF(B14020="","",HOUR(A14020))</f>
        <v/>
      </c>
    </row>
    <row r="14021">
      <c r="A14021">
        <f>Input!A14021</f>
        <v/>
      </c>
      <c r="B14021">
        <f>IF(ISNUMBER(Input!B14021),IF(AND(Input!B14021&gt;=20,Input!B14021&lt;=700),Input!B14021,""),"")</f>
        <v/>
      </c>
      <c r="C14021">
        <f>IF(B14021="","",INT(A14021))</f>
        <v/>
      </c>
      <c r="D14021">
        <f>IF(B14021="","",HOUR(A14021))</f>
        <v/>
      </c>
    </row>
    <row r="14022">
      <c r="A14022">
        <f>Input!A14022</f>
        <v/>
      </c>
      <c r="B14022">
        <f>IF(ISNUMBER(Input!B14022),IF(AND(Input!B14022&gt;=20,Input!B14022&lt;=700),Input!B14022,""),"")</f>
        <v/>
      </c>
      <c r="C14022">
        <f>IF(B14022="","",INT(A14022))</f>
        <v/>
      </c>
      <c r="D14022">
        <f>IF(B14022="","",HOUR(A14022))</f>
        <v/>
      </c>
    </row>
    <row r="14023">
      <c r="A14023">
        <f>Input!A14023</f>
        <v/>
      </c>
      <c r="B14023">
        <f>IF(ISNUMBER(Input!B14023),IF(AND(Input!B14023&gt;=20,Input!B14023&lt;=700),Input!B14023,""),"")</f>
        <v/>
      </c>
      <c r="C14023">
        <f>IF(B14023="","",INT(A14023))</f>
        <v/>
      </c>
      <c r="D14023">
        <f>IF(B14023="","",HOUR(A14023))</f>
        <v/>
      </c>
    </row>
    <row r="14024">
      <c r="A14024">
        <f>Input!A14024</f>
        <v/>
      </c>
      <c r="B14024">
        <f>IF(ISNUMBER(Input!B14024),IF(AND(Input!B14024&gt;=20,Input!B14024&lt;=700),Input!B14024,""),"")</f>
        <v/>
      </c>
      <c r="C14024">
        <f>IF(B14024="","",INT(A14024))</f>
        <v/>
      </c>
      <c r="D14024">
        <f>IF(B14024="","",HOUR(A14024))</f>
        <v/>
      </c>
    </row>
    <row r="14025">
      <c r="A14025">
        <f>Input!A14025</f>
        <v/>
      </c>
      <c r="B14025">
        <f>IF(ISNUMBER(Input!B14025),IF(AND(Input!B14025&gt;=20,Input!B14025&lt;=700),Input!B14025,""),"")</f>
        <v/>
      </c>
      <c r="C14025">
        <f>IF(B14025="","",INT(A14025))</f>
        <v/>
      </c>
      <c r="D14025">
        <f>IF(B14025="","",HOUR(A14025))</f>
        <v/>
      </c>
    </row>
    <row r="14026">
      <c r="A14026">
        <f>Input!A14026</f>
        <v/>
      </c>
      <c r="B14026">
        <f>IF(ISNUMBER(Input!B14026),IF(AND(Input!B14026&gt;=20,Input!B14026&lt;=700),Input!B14026,""),"")</f>
        <v/>
      </c>
      <c r="C14026">
        <f>IF(B14026="","",INT(A14026))</f>
        <v/>
      </c>
      <c r="D14026">
        <f>IF(B14026="","",HOUR(A14026))</f>
        <v/>
      </c>
    </row>
    <row r="14027">
      <c r="A14027">
        <f>Input!A14027</f>
        <v/>
      </c>
      <c r="B14027">
        <f>IF(ISNUMBER(Input!B14027),IF(AND(Input!B14027&gt;=20,Input!B14027&lt;=700),Input!B14027,""),"")</f>
        <v/>
      </c>
      <c r="C14027">
        <f>IF(B14027="","",INT(A14027))</f>
        <v/>
      </c>
      <c r="D14027">
        <f>IF(B14027="","",HOUR(A14027))</f>
        <v/>
      </c>
    </row>
    <row r="14028">
      <c r="A14028">
        <f>Input!A14028</f>
        <v/>
      </c>
      <c r="B14028">
        <f>IF(ISNUMBER(Input!B14028),IF(AND(Input!B14028&gt;=20,Input!B14028&lt;=700),Input!B14028,""),"")</f>
        <v/>
      </c>
      <c r="C14028">
        <f>IF(B14028="","",INT(A14028))</f>
        <v/>
      </c>
      <c r="D14028">
        <f>IF(B14028="","",HOUR(A14028))</f>
        <v/>
      </c>
    </row>
    <row r="14029">
      <c r="A14029">
        <f>Input!A14029</f>
        <v/>
      </c>
      <c r="B14029">
        <f>IF(ISNUMBER(Input!B14029),IF(AND(Input!B14029&gt;=20,Input!B14029&lt;=700),Input!B14029,""),"")</f>
        <v/>
      </c>
      <c r="C14029">
        <f>IF(B14029="","",INT(A14029))</f>
        <v/>
      </c>
      <c r="D14029">
        <f>IF(B14029="","",HOUR(A14029))</f>
        <v/>
      </c>
    </row>
    <row r="14030">
      <c r="A14030">
        <f>Input!A14030</f>
        <v/>
      </c>
      <c r="B14030">
        <f>IF(ISNUMBER(Input!B14030),IF(AND(Input!B14030&gt;=20,Input!B14030&lt;=700),Input!B14030,""),"")</f>
        <v/>
      </c>
      <c r="C14030">
        <f>IF(B14030="","",INT(A14030))</f>
        <v/>
      </c>
      <c r="D14030">
        <f>IF(B14030="","",HOUR(A14030))</f>
        <v/>
      </c>
    </row>
    <row r="14031">
      <c r="A14031">
        <f>Input!A14031</f>
        <v/>
      </c>
      <c r="B14031">
        <f>IF(ISNUMBER(Input!B14031),IF(AND(Input!B14031&gt;=20,Input!B14031&lt;=700),Input!B14031,""),"")</f>
        <v/>
      </c>
      <c r="C14031">
        <f>IF(B14031="","",INT(A14031))</f>
        <v/>
      </c>
      <c r="D14031">
        <f>IF(B14031="","",HOUR(A14031))</f>
        <v/>
      </c>
    </row>
    <row r="14032">
      <c r="A14032">
        <f>Input!A14032</f>
        <v/>
      </c>
      <c r="B14032">
        <f>IF(ISNUMBER(Input!B14032),IF(AND(Input!B14032&gt;=20,Input!B14032&lt;=700),Input!B14032,""),"")</f>
        <v/>
      </c>
      <c r="C14032">
        <f>IF(B14032="","",INT(A14032))</f>
        <v/>
      </c>
      <c r="D14032">
        <f>IF(B14032="","",HOUR(A14032))</f>
        <v/>
      </c>
    </row>
    <row r="14033">
      <c r="A14033">
        <f>Input!A14033</f>
        <v/>
      </c>
      <c r="B14033">
        <f>IF(ISNUMBER(Input!B14033),IF(AND(Input!B14033&gt;=20,Input!B14033&lt;=700),Input!B14033,""),"")</f>
        <v/>
      </c>
      <c r="C14033">
        <f>IF(B14033="","",INT(A14033))</f>
        <v/>
      </c>
      <c r="D14033">
        <f>IF(B14033="","",HOUR(A14033))</f>
        <v/>
      </c>
    </row>
    <row r="14034">
      <c r="A14034">
        <f>Input!A14034</f>
        <v/>
      </c>
      <c r="B14034">
        <f>IF(ISNUMBER(Input!B14034),IF(AND(Input!B14034&gt;=20,Input!B14034&lt;=700),Input!B14034,""),"")</f>
        <v/>
      </c>
      <c r="C14034">
        <f>IF(B14034="","",INT(A14034))</f>
        <v/>
      </c>
      <c r="D14034">
        <f>IF(B14034="","",HOUR(A14034))</f>
        <v/>
      </c>
    </row>
    <row r="14035">
      <c r="A14035">
        <f>Input!A14035</f>
        <v/>
      </c>
      <c r="B14035">
        <f>IF(ISNUMBER(Input!B14035),IF(AND(Input!B14035&gt;=20,Input!B14035&lt;=700),Input!B14035,""),"")</f>
        <v/>
      </c>
      <c r="C14035">
        <f>IF(B14035="","",INT(A14035))</f>
        <v/>
      </c>
      <c r="D14035">
        <f>IF(B14035="","",HOUR(A14035))</f>
        <v/>
      </c>
    </row>
    <row r="14036">
      <c r="A14036">
        <f>Input!A14036</f>
        <v/>
      </c>
      <c r="B14036">
        <f>IF(ISNUMBER(Input!B14036),IF(AND(Input!B14036&gt;=20,Input!B14036&lt;=700),Input!B14036,""),"")</f>
        <v/>
      </c>
      <c r="C14036">
        <f>IF(B14036="","",INT(A14036))</f>
        <v/>
      </c>
      <c r="D14036">
        <f>IF(B14036="","",HOUR(A14036))</f>
        <v/>
      </c>
    </row>
    <row r="14037">
      <c r="A14037">
        <f>Input!A14037</f>
        <v/>
      </c>
      <c r="B14037">
        <f>IF(ISNUMBER(Input!B14037),IF(AND(Input!B14037&gt;=20,Input!B14037&lt;=700),Input!B14037,""),"")</f>
        <v/>
      </c>
      <c r="C14037">
        <f>IF(B14037="","",INT(A14037))</f>
        <v/>
      </c>
      <c r="D14037">
        <f>IF(B14037="","",HOUR(A14037))</f>
        <v/>
      </c>
    </row>
    <row r="14038">
      <c r="A14038">
        <f>Input!A14038</f>
        <v/>
      </c>
      <c r="B14038">
        <f>IF(ISNUMBER(Input!B14038),IF(AND(Input!B14038&gt;=20,Input!B14038&lt;=700),Input!B14038,""),"")</f>
        <v/>
      </c>
      <c r="C14038">
        <f>IF(B14038="","",INT(A14038))</f>
        <v/>
      </c>
      <c r="D14038">
        <f>IF(B14038="","",HOUR(A14038))</f>
        <v/>
      </c>
    </row>
    <row r="14039">
      <c r="A14039">
        <f>Input!A14039</f>
        <v/>
      </c>
      <c r="B14039">
        <f>IF(ISNUMBER(Input!B14039),IF(AND(Input!B14039&gt;=20,Input!B14039&lt;=700),Input!B14039,""),"")</f>
        <v/>
      </c>
      <c r="C14039">
        <f>IF(B14039="","",INT(A14039))</f>
        <v/>
      </c>
      <c r="D14039">
        <f>IF(B14039="","",HOUR(A14039))</f>
        <v/>
      </c>
    </row>
    <row r="14040">
      <c r="A14040">
        <f>Input!A14040</f>
        <v/>
      </c>
      <c r="B14040">
        <f>IF(ISNUMBER(Input!B14040),IF(AND(Input!B14040&gt;=20,Input!B14040&lt;=700),Input!B14040,""),"")</f>
        <v/>
      </c>
      <c r="C14040">
        <f>IF(B14040="","",INT(A14040))</f>
        <v/>
      </c>
      <c r="D14040">
        <f>IF(B14040="","",HOUR(A14040))</f>
        <v/>
      </c>
    </row>
    <row r="14041">
      <c r="A14041">
        <f>Input!A14041</f>
        <v/>
      </c>
      <c r="B14041">
        <f>IF(ISNUMBER(Input!B14041),IF(AND(Input!B14041&gt;=20,Input!B14041&lt;=700),Input!B14041,""),"")</f>
        <v/>
      </c>
      <c r="C14041">
        <f>IF(B14041="","",INT(A14041))</f>
        <v/>
      </c>
      <c r="D14041">
        <f>IF(B14041="","",HOUR(A14041))</f>
        <v/>
      </c>
    </row>
    <row r="14042">
      <c r="A14042">
        <f>Input!A14042</f>
        <v/>
      </c>
      <c r="B14042">
        <f>IF(ISNUMBER(Input!B14042),IF(AND(Input!B14042&gt;=20,Input!B14042&lt;=700),Input!B14042,""),"")</f>
        <v/>
      </c>
      <c r="C14042">
        <f>IF(B14042="","",INT(A14042))</f>
        <v/>
      </c>
      <c r="D14042">
        <f>IF(B14042="","",HOUR(A14042))</f>
        <v/>
      </c>
    </row>
    <row r="14043">
      <c r="A14043">
        <f>Input!A14043</f>
        <v/>
      </c>
      <c r="B14043">
        <f>IF(ISNUMBER(Input!B14043),IF(AND(Input!B14043&gt;=20,Input!B14043&lt;=700),Input!B14043,""),"")</f>
        <v/>
      </c>
      <c r="C14043">
        <f>IF(B14043="","",INT(A14043))</f>
        <v/>
      </c>
      <c r="D14043">
        <f>IF(B14043="","",HOUR(A14043))</f>
        <v/>
      </c>
    </row>
    <row r="14044">
      <c r="A14044">
        <f>Input!A14044</f>
        <v/>
      </c>
      <c r="B14044">
        <f>IF(ISNUMBER(Input!B14044),IF(AND(Input!B14044&gt;=20,Input!B14044&lt;=700),Input!B14044,""),"")</f>
        <v/>
      </c>
      <c r="C14044">
        <f>IF(B14044="","",INT(A14044))</f>
        <v/>
      </c>
      <c r="D14044">
        <f>IF(B14044="","",HOUR(A14044))</f>
        <v/>
      </c>
    </row>
    <row r="14045">
      <c r="A14045">
        <f>Input!A14045</f>
        <v/>
      </c>
      <c r="B14045">
        <f>IF(ISNUMBER(Input!B14045),IF(AND(Input!B14045&gt;=20,Input!B14045&lt;=700),Input!B14045,""),"")</f>
        <v/>
      </c>
      <c r="C14045">
        <f>IF(B14045="","",INT(A14045))</f>
        <v/>
      </c>
      <c r="D14045">
        <f>IF(B14045="","",HOUR(A14045))</f>
        <v/>
      </c>
    </row>
    <row r="14046">
      <c r="A14046">
        <f>Input!A14046</f>
        <v/>
      </c>
      <c r="B14046">
        <f>IF(ISNUMBER(Input!B14046),IF(AND(Input!B14046&gt;=20,Input!B14046&lt;=700),Input!B14046,""),"")</f>
        <v/>
      </c>
      <c r="C14046">
        <f>IF(B14046="","",INT(A14046))</f>
        <v/>
      </c>
      <c r="D14046">
        <f>IF(B14046="","",HOUR(A14046))</f>
        <v/>
      </c>
    </row>
    <row r="14047">
      <c r="A14047">
        <f>Input!A14047</f>
        <v/>
      </c>
      <c r="B14047">
        <f>IF(ISNUMBER(Input!B14047),IF(AND(Input!B14047&gt;=20,Input!B14047&lt;=700),Input!B14047,""),"")</f>
        <v/>
      </c>
      <c r="C14047">
        <f>IF(B14047="","",INT(A14047))</f>
        <v/>
      </c>
      <c r="D14047">
        <f>IF(B14047="","",HOUR(A14047))</f>
        <v/>
      </c>
    </row>
    <row r="14048">
      <c r="A14048">
        <f>Input!A14048</f>
        <v/>
      </c>
      <c r="B14048">
        <f>IF(ISNUMBER(Input!B14048),IF(AND(Input!B14048&gt;=20,Input!B14048&lt;=700),Input!B14048,""),"")</f>
        <v/>
      </c>
      <c r="C14048">
        <f>IF(B14048="","",INT(A14048))</f>
        <v/>
      </c>
      <c r="D14048">
        <f>IF(B14048="","",HOUR(A14048))</f>
        <v/>
      </c>
    </row>
    <row r="14049">
      <c r="A14049">
        <f>Input!A14049</f>
        <v/>
      </c>
      <c r="B14049">
        <f>IF(ISNUMBER(Input!B14049),IF(AND(Input!B14049&gt;=20,Input!B14049&lt;=700),Input!B14049,""),"")</f>
        <v/>
      </c>
      <c r="C14049">
        <f>IF(B14049="","",INT(A14049))</f>
        <v/>
      </c>
      <c r="D14049">
        <f>IF(B14049="","",HOUR(A14049))</f>
        <v/>
      </c>
    </row>
    <row r="14050">
      <c r="A14050">
        <f>Input!A14050</f>
        <v/>
      </c>
      <c r="B14050">
        <f>IF(ISNUMBER(Input!B14050),IF(AND(Input!B14050&gt;=20,Input!B14050&lt;=700),Input!B14050,""),"")</f>
        <v/>
      </c>
      <c r="C14050">
        <f>IF(B14050="","",INT(A14050))</f>
        <v/>
      </c>
      <c r="D14050">
        <f>IF(B14050="","",HOUR(A14050))</f>
        <v/>
      </c>
    </row>
    <row r="14051">
      <c r="A14051">
        <f>Input!A14051</f>
        <v/>
      </c>
      <c r="B14051">
        <f>IF(ISNUMBER(Input!B14051),IF(AND(Input!B14051&gt;=20,Input!B14051&lt;=700),Input!B14051,""),"")</f>
        <v/>
      </c>
      <c r="C14051">
        <f>IF(B14051="","",INT(A14051))</f>
        <v/>
      </c>
      <c r="D14051">
        <f>IF(B14051="","",HOUR(A14051))</f>
        <v/>
      </c>
    </row>
    <row r="14052">
      <c r="A14052">
        <f>Input!A14052</f>
        <v/>
      </c>
      <c r="B14052">
        <f>IF(ISNUMBER(Input!B14052),IF(AND(Input!B14052&gt;=20,Input!B14052&lt;=700),Input!B14052,""),"")</f>
        <v/>
      </c>
      <c r="C14052">
        <f>IF(B14052="","",INT(A14052))</f>
        <v/>
      </c>
      <c r="D14052">
        <f>IF(B14052="","",HOUR(A14052))</f>
        <v/>
      </c>
    </row>
    <row r="14053">
      <c r="A14053">
        <f>Input!A14053</f>
        <v/>
      </c>
      <c r="B14053">
        <f>IF(ISNUMBER(Input!B14053),IF(AND(Input!B14053&gt;=20,Input!B14053&lt;=700),Input!B14053,""),"")</f>
        <v/>
      </c>
      <c r="C14053">
        <f>IF(B14053="","",INT(A14053))</f>
        <v/>
      </c>
      <c r="D14053">
        <f>IF(B14053="","",HOUR(A14053))</f>
        <v/>
      </c>
    </row>
    <row r="14054">
      <c r="A14054">
        <f>Input!A14054</f>
        <v/>
      </c>
      <c r="B14054">
        <f>IF(ISNUMBER(Input!B14054),IF(AND(Input!B14054&gt;=20,Input!B14054&lt;=700),Input!B14054,""),"")</f>
        <v/>
      </c>
      <c r="C14054">
        <f>IF(B14054="","",INT(A14054))</f>
        <v/>
      </c>
      <c r="D14054">
        <f>IF(B14054="","",HOUR(A14054))</f>
        <v/>
      </c>
    </row>
    <row r="14055">
      <c r="A14055">
        <f>Input!A14055</f>
        <v/>
      </c>
      <c r="B14055">
        <f>IF(ISNUMBER(Input!B14055),IF(AND(Input!B14055&gt;=20,Input!B14055&lt;=700),Input!B14055,""),"")</f>
        <v/>
      </c>
      <c r="C14055">
        <f>IF(B14055="","",INT(A14055))</f>
        <v/>
      </c>
      <c r="D14055">
        <f>IF(B14055="","",HOUR(A14055))</f>
        <v/>
      </c>
    </row>
    <row r="14056">
      <c r="A14056">
        <f>Input!A14056</f>
        <v/>
      </c>
      <c r="B14056">
        <f>IF(ISNUMBER(Input!B14056),IF(AND(Input!B14056&gt;=20,Input!B14056&lt;=700),Input!B14056,""),"")</f>
        <v/>
      </c>
      <c r="C14056">
        <f>IF(B14056="","",INT(A14056))</f>
        <v/>
      </c>
      <c r="D14056">
        <f>IF(B14056="","",HOUR(A14056))</f>
        <v/>
      </c>
    </row>
    <row r="14057">
      <c r="A14057">
        <f>Input!A14057</f>
        <v/>
      </c>
      <c r="B14057">
        <f>IF(ISNUMBER(Input!B14057),IF(AND(Input!B14057&gt;=20,Input!B14057&lt;=700),Input!B14057,""),"")</f>
        <v/>
      </c>
      <c r="C14057">
        <f>IF(B14057="","",INT(A14057))</f>
        <v/>
      </c>
      <c r="D14057">
        <f>IF(B14057="","",HOUR(A14057))</f>
        <v/>
      </c>
    </row>
    <row r="14058">
      <c r="A14058">
        <f>Input!A14058</f>
        <v/>
      </c>
      <c r="B14058">
        <f>IF(ISNUMBER(Input!B14058),IF(AND(Input!B14058&gt;=20,Input!B14058&lt;=700),Input!B14058,""),"")</f>
        <v/>
      </c>
      <c r="C14058">
        <f>IF(B14058="","",INT(A14058))</f>
        <v/>
      </c>
      <c r="D14058">
        <f>IF(B14058="","",HOUR(A14058))</f>
        <v/>
      </c>
    </row>
    <row r="14059">
      <c r="A14059">
        <f>Input!A14059</f>
        <v/>
      </c>
      <c r="B14059">
        <f>IF(ISNUMBER(Input!B14059),IF(AND(Input!B14059&gt;=20,Input!B14059&lt;=700),Input!B14059,""),"")</f>
        <v/>
      </c>
      <c r="C14059">
        <f>IF(B14059="","",INT(A14059))</f>
        <v/>
      </c>
      <c r="D14059">
        <f>IF(B14059="","",HOUR(A14059))</f>
        <v/>
      </c>
    </row>
    <row r="14060">
      <c r="A14060">
        <f>Input!A14060</f>
        <v/>
      </c>
      <c r="B14060">
        <f>IF(ISNUMBER(Input!B14060),IF(AND(Input!B14060&gt;=20,Input!B14060&lt;=700),Input!B14060,""),"")</f>
        <v/>
      </c>
      <c r="C14060">
        <f>IF(B14060="","",INT(A14060))</f>
        <v/>
      </c>
      <c r="D14060">
        <f>IF(B14060="","",HOUR(A14060))</f>
        <v/>
      </c>
    </row>
    <row r="14061">
      <c r="A14061">
        <f>Input!A14061</f>
        <v/>
      </c>
      <c r="B14061">
        <f>IF(ISNUMBER(Input!B14061),IF(AND(Input!B14061&gt;=20,Input!B14061&lt;=700),Input!B14061,""),"")</f>
        <v/>
      </c>
      <c r="C14061">
        <f>IF(B14061="","",INT(A14061))</f>
        <v/>
      </c>
      <c r="D14061">
        <f>IF(B14061="","",HOUR(A14061))</f>
        <v/>
      </c>
    </row>
    <row r="14062">
      <c r="A14062">
        <f>Input!A14062</f>
        <v/>
      </c>
      <c r="B14062">
        <f>IF(ISNUMBER(Input!B14062),IF(AND(Input!B14062&gt;=20,Input!B14062&lt;=700),Input!B14062,""),"")</f>
        <v/>
      </c>
      <c r="C14062">
        <f>IF(B14062="","",INT(A14062))</f>
        <v/>
      </c>
      <c r="D14062">
        <f>IF(B14062="","",HOUR(A14062))</f>
        <v/>
      </c>
    </row>
    <row r="14063">
      <c r="A14063">
        <f>Input!A14063</f>
        <v/>
      </c>
      <c r="B14063">
        <f>IF(ISNUMBER(Input!B14063),IF(AND(Input!B14063&gt;=20,Input!B14063&lt;=700),Input!B14063,""),"")</f>
        <v/>
      </c>
      <c r="C14063">
        <f>IF(B14063="","",INT(A14063))</f>
        <v/>
      </c>
      <c r="D14063">
        <f>IF(B14063="","",HOUR(A14063))</f>
        <v/>
      </c>
    </row>
    <row r="14064">
      <c r="A14064">
        <f>Input!A14064</f>
        <v/>
      </c>
      <c r="B14064">
        <f>IF(ISNUMBER(Input!B14064),IF(AND(Input!B14064&gt;=20,Input!B14064&lt;=700),Input!B14064,""),"")</f>
        <v/>
      </c>
      <c r="C14064">
        <f>IF(B14064="","",INT(A14064))</f>
        <v/>
      </c>
      <c r="D14064">
        <f>IF(B14064="","",HOUR(A14064))</f>
        <v/>
      </c>
    </row>
    <row r="14065">
      <c r="A14065">
        <f>Input!A14065</f>
        <v/>
      </c>
      <c r="B14065">
        <f>IF(ISNUMBER(Input!B14065),IF(AND(Input!B14065&gt;=20,Input!B14065&lt;=700),Input!B14065,""),"")</f>
        <v/>
      </c>
      <c r="C14065">
        <f>IF(B14065="","",INT(A14065))</f>
        <v/>
      </c>
      <c r="D14065">
        <f>IF(B14065="","",HOUR(A14065))</f>
        <v/>
      </c>
    </row>
    <row r="14066">
      <c r="A14066">
        <f>Input!A14066</f>
        <v/>
      </c>
      <c r="B14066">
        <f>IF(ISNUMBER(Input!B14066),IF(AND(Input!B14066&gt;=20,Input!B14066&lt;=700),Input!B14066,""),"")</f>
        <v/>
      </c>
      <c r="C14066">
        <f>IF(B14066="","",INT(A14066))</f>
        <v/>
      </c>
      <c r="D14066">
        <f>IF(B14066="","",HOUR(A14066))</f>
        <v/>
      </c>
    </row>
    <row r="14067">
      <c r="A14067">
        <f>Input!A14067</f>
        <v/>
      </c>
      <c r="B14067">
        <f>IF(ISNUMBER(Input!B14067),IF(AND(Input!B14067&gt;=20,Input!B14067&lt;=700),Input!B14067,""),"")</f>
        <v/>
      </c>
      <c r="C14067">
        <f>IF(B14067="","",INT(A14067))</f>
        <v/>
      </c>
      <c r="D14067">
        <f>IF(B14067="","",HOUR(A14067))</f>
        <v/>
      </c>
    </row>
    <row r="14068">
      <c r="A14068">
        <f>Input!A14068</f>
        <v/>
      </c>
      <c r="B14068">
        <f>IF(ISNUMBER(Input!B14068),IF(AND(Input!B14068&gt;=20,Input!B14068&lt;=700),Input!B14068,""),"")</f>
        <v/>
      </c>
      <c r="C14068">
        <f>IF(B14068="","",INT(A14068))</f>
        <v/>
      </c>
      <c r="D14068">
        <f>IF(B14068="","",HOUR(A14068))</f>
        <v/>
      </c>
    </row>
    <row r="14069">
      <c r="A14069">
        <f>Input!A14069</f>
        <v/>
      </c>
      <c r="B14069">
        <f>IF(ISNUMBER(Input!B14069),IF(AND(Input!B14069&gt;=20,Input!B14069&lt;=700),Input!B14069,""),"")</f>
        <v/>
      </c>
      <c r="C14069">
        <f>IF(B14069="","",INT(A14069))</f>
        <v/>
      </c>
      <c r="D14069">
        <f>IF(B14069="","",HOUR(A14069))</f>
        <v/>
      </c>
    </row>
    <row r="14070">
      <c r="A14070">
        <f>Input!A14070</f>
        <v/>
      </c>
      <c r="B14070">
        <f>IF(ISNUMBER(Input!B14070),IF(AND(Input!B14070&gt;=20,Input!B14070&lt;=700),Input!B14070,""),"")</f>
        <v/>
      </c>
      <c r="C14070">
        <f>IF(B14070="","",INT(A14070))</f>
        <v/>
      </c>
      <c r="D14070">
        <f>IF(B14070="","",HOUR(A14070))</f>
        <v/>
      </c>
    </row>
    <row r="14071">
      <c r="A14071">
        <f>Input!A14071</f>
        <v/>
      </c>
      <c r="B14071">
        <f>IF(ISNUMBER(Input!B14071),IF(AND(Input!B14071&gt;=20,Input!B14071&lt;=700),Input!B14071,""),"")</f>
        <v/>
      </c>
      <c r="C14071">
        <f>IF(B14071="","",INT(A14071))</f>
        <v/>
      </c>
      <c r="D14071">
        <f>IF(B14071="","",HOUR(A14071))</f>
        <v/>
      </c>
    </row>
    <row r="14072">
      <c r="A14072">
        <f>Input!A14072</f>
        <v/>
      </c>
      <c r="B14072">
        <f>IF(ISNUMBER(Input!B14072),IF(AND(Input!B14072&gt;=20,Input!B14072&lt;=700),Input!B14072,""),"")</f>
        <v/>
      </c>
      <c r="C14072">
        <f>IF(B14072="","",INT(A14072))</f>
        <v/>
      </c>
      <c r="D14072">
        <f>IF(B14072="","",HOUR(A14072))</f>
        <v/>
      </c>
    </row>
    <row r="14073">
      <c r="A14073">
        <f>Input!A14073</f>
        <v/>
      </c>
      <c r="B14073">
        <f>IF(ISNUMBER(Input!B14073),IF(AND(Input!B14073&gt;=20,Input!B14073&lt;=700),Input!B14073,""),"")</f>
        <v/>
      </c>
      <c r="C14073">
        <f>IF(B14073="","",INT(A14073))</f>
        <v/>
      </c>
      <c r="D14073">
        <f>IF(B14073="","",HOUR(A14073))</f>
        <v/>
      </c>
    </row>
    <row r="14074">
      <c r="A14074">
        <f>Input!A14074</f>
        <v/>
      </c>
      <c r="B14074">
        <f>IF(ISNUMBER(Input!B14074),IF(AND(Input!B14074&gt;=20,Input!B14074&lt;=700),Input!B14074,""),"")</f>
        <v/>
      </c>
      <c r="C14074">
        <f>IF(B14074="","",INT(A14074))</f>
        <v/>
      </c>
      <c r="D14074">
        <f>IF(B14074="","",HOUR(A14074))</f>
        <v/>
      </c>
    </row>
    <row r="14075">
      <c r="A14075">
        <f>Input!A14075</f>
        <v/>
      </c>
      <c r="B14075">
        <f>IF(ISNUMBER(Input!B14075),IF(AND(Input!B14075&gt;=20,Input!B14075&lt;=700),Input!B14075,""),"")</f>
        <v/>
      </c>
      <c r="C14075">
        <f>IF(B14075="","",INT(A14075))</f>
        <v/>
      </c>
      <c r="D14075">
        <f>IF(B14075="","",HOUR(A14075))</f>
        <v/>
      </c>
    </row>
    <row r="14076">
      <c r="A14076">
        <f>Input!A14076</f>
        <v/>
      </c>
      <c r="B14076">
        <f>IF(ISNUMBER(Input!B14076),IF(AND(Input!B14076&gt;=20,Input!B14076&lt;=700),Input!B14076,""),"")</f>
        <v/>
      </c>
      <c r="C14076">
        <f>IF(B14076="","",INT(A14076))</f>
        <v/>
      </c>
      <c r="D14076">
        <f>IF(B14076="","",HOUR(A14076))</f>
        <v/>
      </c>
    </row>
    <row r="14077">
      <c r="A14077">
        <f>Input!A14077</f>
        <v/>
      </c>
      <c r="B14077">
        <f>IF(ISNUMBER(Input!B14077),IF(AND(Input!B14077&gt;=20,Input!B14077&lt;=700),Input!B14077,""),"")</f>
        <v/>
      </c>
      <c r="C14077">
        <f>IF(B14077="","",INT(A14077))</f>
        <v/>
      </c>
      <c r="D14077">
        <f>IF(B14077="","",HOUR(A14077))</f>
        <v/>
      </c>
    </row>
    <row r="14078">
      <c r="A14078">
        <f>Input!A14078</f>
        <v/>
      </c>
      <c r="B14078">
        <f>IF(ISNUMBER(Input!B14078),IF(AND(Input!B14078&gt;=20,Input!B14078&lt;=700),Input!B14078,""),"")</f>
        <v/>
      </c>
      <c r="C14078">
        <f>IF(B14078="","",INT(A14078))</f>
        <v/>
      </c>
      <c r="D14078">
        <f>IF(B14078="","",HOUR(A14078))</f>
        <v/>
      </c>
    </row>
    <row r="14079">
      <c r="A14079">
        <f>Input!A14079</f>
        <v/>
      </c>
      <c r="B14079">
        <f>IF(ISNUMBER(Input!B14079),IF(AND(Input!B14079&gt;=20,Input!B14079&lt;=700),Input!B14079,""),"")</f>
        <v/>
      </c>
      <c r="C14079">
        <f>IF(B14079="","",INT(A14079))</f>
        <v/>
      </c>
      <c r="D14079">
        <f>IF(B14079="","",HOUR(A14079))</f>
        <v/>
      </c>
    </row>
    <row r="14080">
      <c r="A14080">
        <f>Input!A14080</f>
        <v/>
      </c>
      <c r="B14080">
        <f>IF(ISNUMBER(Input!B14080),IF(AND(Input!B14080&gt;=20,Input!B14080&lt;=700),Input!B14080,""),"")</f>
        <v/>
      </c>
      <c r="C14080">
        <f>IF(B14080="","",INT(A14080))</f>
        <v/>
      </c>
      <c r="D14080">
        <f>IF(B14080="","",HOUR(A14080))</f>
        <v/>
      </c>
    </row>
    <row r="14081">
      <c r="A14081">
        <f>Input!A14081</f>
        <v/>
      </c>
      <c r="B14081">
        <f>IF(ISNUMBER(Input!B14081),IF(AND(Input!B14081&gt;=20,Input!B14081&lt;=700),Input!B14081,""),"")</f>
        <v/>
      </c>
      <c r="C14081">
        <f>IF(B14081="","",INT(A14081))</f>
        <v/>
      </c>
      <c r="D14081">
        <f>IF(B14081="","",HOUR(A14081))</f>
        <v/>
      </c>
    </row>
    <row r="14082">
      <c r="A14082">
        <f>Input!A14082</f>
        <v/>
      </c>
      <c r="B14082">
        <f>IF(ISNUMBER(Input!B14082),IF(AND(Input!B14082&gt;=20,Input!B14082&lt;=700),Input!B14082,""),"")</f>
        <v/>
      </c>
      <c r="C14082">
        <f>IF(B14082="","",INT(A14082))</f>
        <v/>
      </c>
      <c r="D14082">
        <f>IF(B14082="","",HOUR(A14082))</f>
        <v/>
      </c>
    </row>
    <row r="14083">
      <c r="A14083">
        <f>Input!A14083</f>
        <v/>
      </c>
      <c r="B14083">
        <f>IF(ISNUMBER(Input!B14083),IF(AND(Input!B14083&gt;=20,Input!B14083&lt;=700),Input!B14083,""),"")</f>
        <v/>
      </c>
      <c r="C14083">
        <f>IF(B14083="","",INT(A14083))</f>
        <v/>
      </c>
      <c r="D14083">
        <f>IF(B14083="","",HOUR(A14083))</f>
        <v/>
      </c>
    </row>
    <row r="14084">
      <c r="A14084">
        <f>Input!A14084</f>
        <v/>
      </c>
      <c r="B14084">
        <f>IF(ISNUMBER(Input!B14084),IF(AND(Input!B14084&gt;=20,Input!B14084&lt;=700),Input!B14084,""),"")</f>
        <v/>
      </c>
      <c r="C14084">
        <f>IF(B14084="","",INT(A14084))</f>
        <v/>
      </c>
      <c r="D14084">
        <f>IF(B14084="","",HOUR(A14084))</f>
        <v/>
      </c>
    </row>
    <row r="14085">
      <c r="A14085">
        <f>Input!A14085</f>
        <v/>
      </c>
      <c r="B14085">
        <f>IF(ISNUMBER(Input!B14085),IF(AND(Input!B14085&gt;=20,Input!B14085&lt;=700),Input!B14085,""),"")</f>
        <v/>
      </c>
      <c r="C14085">
        <f>IF(B14085="","",INT(A14085))</f>
        <v/>
      </c>
      <c r="D14085">
        <f>IF(B14085="","",HOUR(A14085))</f>
        <v/>
      </c>
    </row>
    <row r="14086">
      <c r="A14086">
        <f>Input!A14086</f>
        <v/>
      </c>
      <c r="B14086">
        <f>IF(ISNUMBER(Input!B14086),IF(AND(Input!B14086&gt;=20,Input!B14086&lt;=700),Input!B14086,""),"")</f>
        <v/>
      </c>
      <c r="C14086">
        <f>IF(B14086="","",INT(A14086))</f>
        <v/>
      </c>
      <c r="D14086">
        <f>IF(B14086="","",HOUR(A14086))</f>
        <v/>
      </c>
    </row>
    <row r="14087">
      <c r="A14087">
        <f>Input!A14087</f>
        <v/>
      </c>
      <c r="B14087">
        <f>IF(ISNUMBER(Input!B14087),IF(AND(Input!B14087&gt;=20,Input!B14087&lt;=700),Input!B14087,""),"")</f>
        <v/>
      </c>
      <c r="C14087">
        <f>IF(B14087="","",INT(A14087))</f>
        <v/>
      </c>
      <c r="D14087">
        <f>IF(B14087="","",HOUR(A14087))</f>
        <v/>
      </c>
    </row>
    <row r="14088">
      <c r="A14088">
        <f>Input!A14088</f>
        <v/>
      </c>
      <c r="B14088">
        <f>IF(ISNUMBER(Input!B14088),IF(AND(Input!B14088&gt;=20,Input!B14088&lt;=700),Input!B14088,""),"")</f>
        <v/>
      </c>
      <c r="C14088">
        <f>IF(B14088="","",INT(A14088))</f>
        <v/>
      </c>
      <c r="D14088">
        <f>IF(B14088="","",HOUR(A14088))</f>
        <v/>
      </c>
    </row>
    <row r="14089">
      <c r="A14089">
        <f>Input!A14089</f>
        <v/>
      </c>
      <c r="B14089">
        <f>IF(ISNUMBER(Input!B14089),IF(AND(Input!B14089&gt;=20,Input!B14089&lt;=700),Input!B14089,""),"")</f>
        <v/>
      </c>
      <c r="C14089">
        <f>IF(B14089="","",INT(A14089))</f>
        <v/>
      </c>
      <c r="D14089">
        <f>IF(B14089="","",HOUR(A14089))</f>
        <v/>
      </c>
    </row>
    <row r="14090">
      <c r="A14090">
        <f>Input!A14090</f>
        <v/>
      </c>
      <c r="B14090">
        <f>IF(ISNUMBER(Input!B14090),IF(AND(Input!B14090&gt;=20,Input!B14090&lt;=700),Input!B14090,""),"")</f>
        <v/>
      </c>
      <c r="C14090">
        <f>IF(B14090="","",INT(A14090))</f>
        <v/>
      </c>
      <c r="D14090">
        <f>IF(B14090="","",HOUR(A14090))</f>
        <v/>
      </c>
    </row>
    <row r="14091">
      <c r="A14091">
        <f>Input!A14091</f>
        <v/>
      </c>
      <c r="B14091">
        <f>IF(ISNUMBER(Input!B14091),IF(AND(Input!B14091&gt;=20,Input!B14091&lt;=700),Input!B14091,""),"")</f>
        <v/>
      </c>
      <c r="C14091">
        <f>IF(B14091="","",INT(A14091))</f>
        <v/>
      </c>
      <c r="D14091">
        <f>IF(B14091="","",HOUR(A14091))</f>
        <v/>
      </c>
    </row>
    <row r="14092">
      <c r="A14092">
        <f>Input!A14092</f>
        <v/>
      </c>
      <c r="B14092">
        <f>IF(ISNUMBER(Input!B14092),IF(AND(Input!B14092&gt;=20,Input!B14092&lt;=700),Input!B14092,""),"")</f>
        <v/>
      </c>
      <c r="C14092">
        <f>IF(B14092="","",INT(A14092))</f>
        <v/>
      </c>
      <c r="D14092">
        <f>IF(B14092="","",HOUR(A14092))</f>
        <v/>
      </c>
    </row>
    <row r="14093">
      <c r="A14093">
        <f>Input!A14093</f>
        <v/>
      </c>
      <c r="B14093">
        <f>IF(ISNUMBER(Input!B14093),IF(AND(Input!B14093&gt;=20,Input!B14093&lt;=700),Input!B14093,""),"")</f>
        <v/>
      </c>
      <c r="C14093">
        <f>IF(B14093="","",INT(A14093))</f>
        <v/>
      </c>
      <c r="D14093">
        <f>IF(B14093="","",HOUR(A14093))</f>
        <v/>
      </c>
    </row>
    <row r="14094">
      <c r="A14094">
        <f>Input!A14094</f>
        <v/>
      </c>
      <c r="B14094">
        <f>IF(ISNUMBER(Input!B14094),IF(AND(Input!B14094&gt;=20,Input!B14094&lt;=700),Input!B14094,""),"")</f>
        <v/>
      </c>
      <c r="C14094">
        <f>IF(B14094="","",INT(A14094))</f>
        <v/>
      </c>
      <c r="D14094">
        <f>IF(B14094="","",HOUR(A14094))</f>
        <v/>
      </c>
    </row>
    <row r="14095">
      <c r="A14095">
        <f>Input!A14095</f>
        <v/>
      </c>
      <c r="B14095">
        <f>IF(ISNUMBER(Input!B14095),IF(AND(Input!B14095&gt;=20,Input!B14095&lt;=700),Input!B14095,""),"")</f>
        <v/>
      </c>
      <c r="C14095">
        <f>IF(B14095="","",INT(A14095))</f>
        <v/>
      </c>
      <c r="D14095">
        <f>IF(B14095="","",HOUR(A14095))</f>
        <v/>
      </c>
    </row>
    <row r="14096">
      <c r="A14096">
        <f>Input!A14096</f>
        <v/>
      </c>
      <c r="B14096">
        <f>IF(ISNUMBER(Input!B14096),IF(AND(Input!B14096&gt;=20,Input!B14096&lt;=700),Input!B14096,""),"")</f>
        <v/>
      </c>
      <c r="C14096">
        <f>IF(B14096="","",INT(A14096))</f>
        <v/>
      </c>
      <c r="D14096">
        <f>IF(B14096="","",HOUR(A14096))</f>
        <v/>
      </c>
    </row>
    <row r="14097">
      <c r="A14097">
        <f>Input!A14097</f>
        <v/>
      </c>
      <c r="B14097">
        <f>IF(ISNUMBER(Input!B14097),IF(AND(Input!B14097&gt;=20,Input!B14097&lt;=700),Input!B14097,""),"")</f>
        <v/>
      </c>
      <c r="C14097">
        <f>IF(B14097="","",INT(A14097))</f>
        <v/>
      </c>
      <c r="D14097">
        <f>IF(B14097="","",HOUR(A14097))</f>
        <v/>
      </c>
    </row>
    <row r="14098">
      <c r="A14098">
        <f>Input!A14098</f>
        <v/>
      </c>
      <c r="B14098">
        <f>IF(ISNUMBER(Input!B14098),IF(AND(Input!B14098&gt;=20,Input!B14098&lt;=700),Input!B14098,""),"")</f>
        <v/>
      </c>
      <c r="C14098">
        <f>IF(B14098="","",INT(A14098))</f>
        <v/>
      </c>
      <c r="D14098">
        <f>IF(B14098="","",HOUR(A14098))</f>
        <v/>
      </c>
    </row>
    <row r="14099">
      <c r="A14099">
        <f>Input!A14099</f>
        <v/>
      </c>
      <c r="B14099">
        <f>IF(ISNUMBER(Input!B14099),IF(AND(Input!B14099&gt;=20,Input!B14099&lt;=700),Input!B14099,""),"")</f>
        <v/>
      </c>
      <c r="C14099">
        <f>IF(B14099="","",INT(A14099))</f>
        <v/>
      </c>
      <c r="D14099">
        <f>IF(B14099="","",HOUR(A14099))</f>
        <v/>
      </c>
    </row>
    <row r="14100">
      <c r="A14100">
        <f>Input!A14100</f>
        <v/>
      </c>
      <c r="B14100">
        <f>IF(ISNUMBER(Input!B14100),IF(AND(Input!B14100&gt;=20,Input!B14100&lt;=700),Input!B14100,""),"")</f>
        <v/>
      </c>
      <c r="C14100">
        <f>IF(B14100="","",INT(A14100))</f>
        <v/>
      </c>
      <c r="D14100">
        <f>IF(B14100="","",HOUR(A14100))</f>
        <v/>
      </c>
    </row>
    <row r="14101">
      <c r="A14101">
        <f>Input!A14101</f>
        <v/>
      </c>
      <c r="B14101">
        <f>IF(ISNUMBER(Input!B14101),IF(AND(Input!B14101&gt;=20,Input!B14101&lt;=700),Input!B14101,""),"")</f>
        <v/>
      </c>
      <c r="C14101">
        <f>IF(B14101="","",INT(A14101))</f>
        <v/>
      </c>
      <c r="D14101">
        <f>IF(B14101="","",HOUR(A14101))</f>
        <v/>
      </c>
    </row>
    <row r="14102">
      <c r="A14102">
        <f>Input!A14102</f>
        <v/>
      </c>
      <c r="B14102">
        <f>IF(ISNUMBER(Input!B14102),IF(AND(Input!B14102&gt;=20,Input!B14102&lt;=700),Input!B14102,""),"")</f>
        <v/>
      </c>
      <c r="C14102">
        <f>IF(B14102="","",INT(A14102))</f>
        <v/>
      </c>
      <c r="D14102">
        <f>IF(B14102="","",HOUR(A14102))</f>
        <v/>
      </c>
    </row>
    <row r="14103">
      <c r="A14103">
        <f>Input!A14103</f>
        <v/>
      </c>
      <c r="B14103">
        <f>IF(ISNUMBER(Input!B14103),IF(AND(Input!B14103&gt;=20,Input!B14103&lt;=700),Input!B14103,""),"")</f>
        <v/>
      </c>
      <c r="C14103">
        <f>IF(B14103="","",INT(A14103))</f>
        <v/>
      </c>
      <c r="D14103">
        <f>IF(B14103="","",HOUR(A14103))</f>
        <v/>
      </c>
    </row>
    <row r="14104">
      <c r="A14104">
        <f>Input!A14104</f>
        <v/>
      </c>
      <c r="B14104">
        <f>IF(ISNUMBER(Input!B14104),IF(AND(Input!B14104&gt;=20,Input!B14104&lt;=700),Input!B14104,""),"")</f>
        <v/>
      </c>
      <c r="C14104">
        <f>IF(B14104="","",INT(A14104))</f>
        <v/>
      </c>
      <c r="D14104">
        <f>IF(B14104="","",HOUR(A14104))</f>
        <v/>
      </c>
    </row>
    <row r="14105">
      <c r="A14105">
        <f>Input!A14105</f>
        <v/>
      </c>
      <c r="B14105">
        <f>IF(ISNUMBER(Input!B14105),IF(AND(Input!B14105&gt;=20,Input!B14105&lt;=700),Input!B14105,""),"")</f>
        <v/>
      </c>
      <c r="C14105">
        <f>IF(B14105="","",INT(A14105))</f>
        <v/>
      </c>
      <c r="D14105">
        <f>IF(B14105="","",HOUR(A14105))</f>
        <v/>
      </c>
    </row>
    <row r="14106">
      <c r="A14106">
        <f>Input!A14106</f>
        <v/>
      </c>
      <c r="B14106">
        <f>IF(ISNUMBER(Input!B14106),IF(AND(Input!B14106&gt;=20,Input!B14106&lt;=700),Input!B14106,""),"")</f>
        <v/>
      </c>
      <c r="C14106">
        <f>IF(B14106="","",INT(A14106))</f>
        <v/>
      </c>
      <c r="D14106">
        <f>IF(B14106="","",HOUR(A14106))</f>
        <v/>
      </c>
    </row>
    <row r="14107">
      <c r="A14107">
        <f>Input!A14107</f>
        <v/>
      </c>
      <c r="B14107">
        <f>IF(ISNUMBER(Input!B14107),IF(AND(Input!B14107&gt;=20,Input!B14107&lt;=700),Input!B14107,""),"")</f>
        <v/>
      </c>
      <c r="C14107">
        <f>IF(B14107="","",INT(A14107))</f>
        <v/>
      </c>
      <c r="D14107">
        <f>IF(B14107="","",HOUR(A14107))</f>
        <v/>
      </c>
    </row>
    <row r="14108">
      <c r="A14108">
        <f>Input!A14108</f>
        <v/>
      </c>
      <c r="B14108">
        <f>IF(ISNUMBER(Input!B14108),IF(AND(Input!B14108&gt;=20,Input!B14108&lt;=700),Input!B14108,""),"")</f>
        <v/>
      </c>
      <c r="C14108">
        <f>IF(B14108="","",INT(A14108))</f>
        <v/>
      </c>
      <c r="D14108">
        <f>IF(B14108="","",HOUR(A14108))</f>
        <v/>
      </c>
    </row>
    <row r="14109">
      <c r="A14109">
        <f>Input!A14109</f>
        <v/>
      </c>
      <c r="B14109">
        <f>IF(ISNUMBER(Input!B14109),IF(AND(Input!B14109&gt;=20,Input!B14109&lt;=700),Input!B14109,""),"")</f>
        <v/>
      </c>
      <c r="C14109">
        <f>IF(B14109="","",INT(A14109))</f>
        <v/>
      </c>
      <c r="D14109">
        <f>IF(B14109="","",HOUR(A14109))</f>
        <v/>
      </c>
    </row>
    <row r="14110">
      <c r="A14110">
        <f>Input!A14110</f>
        <v/>
      </c>
      <c r="B14110">
        <f>IF(ISNUMBER(Input!B14110),IF(AND(Input!B14110&gt;=20,Input!B14110&lt;=700),Input!B14110,""),"")</f>
        <v/>
      </c>
      <c r="C14110">
        <f>IF(B14110="","",INT(A14110))</f>
        <v/>
      </c>
      <c r="D14110">
        <f>IF(B14110="","",HOUR(A14110))</f>
        <v/>
      </c>
    </row>
    <row r="14111">
      <c r="A14111">
        <f>Input!A14111</f>
        <v/>
      </c>
      <c r="B14111">
        <f>IF(ISNUMBER(Input!B14111),IF(AND(Input!B14111&gt;=20,Input!B14111&lt;=700),Input!B14111,""),"")</f>
        <v/>
      </c>
      <c r="C14111">
        <f>IF(B14111="","",INT(A14111))</f>
        <v/>
      </c>
      <c r="D14111">
        <f>IF(B14111="","",HOUR(A14111))</f>
        <v/>
      </c>
    </row>
    <row r="14112">
      <c r="A14112">
        <f>Input!A14112</f>
        <v/>
      </c>
      <c r="B14112">
        <f>IF(ISNUMBER(Input!B14112),IF(AND(Input!B14112&gt;=20,Input!B14112&lt;=700),Input!B14112,""),"")</f>
        <v/>
      </c>
      <c r="C14112">
        <f>IF(B14112="","",INT(A14112))</f>
        <v/>
      </c>
      <c r="D14112">
        <f>IF(B14112="","",HOUR(A14112))</f>
        <v/>
      </c>
    </row>
    <row r="14113">
      <c r="A14113">
        <f>Input!A14113</f>
        <v/>
      </c>
      <c r="B14113">
        <f>IF(ISNUMBER(Input!B14113),IF(AND(Input!B14113&gt;=20,Input!B14113&lt;=700),Input!B14113,""),"")</f>
        <v/>
      </c>
      <c r="C14113">
        <f>IF(B14113="","",INT(A14113))</f>
        <v/>
      </c>
      <c r="D14113">
        <f>IF(B14113="","",HOUR(A14113))</f>
        <v/>
      </c>
    </row>
    <row r="14114">
      <c r="A14114">
        <f>Input!A14114</f>
        <v/>
      </c>
      <c r="B14114">
        <f>IF(ISNUMBER(Input!B14114),IF(AND(Input!B14114&gt;=20,Input!B14114&lt;=700),Input!B14114,""),"")</f>
        <v/>
      </c>
      <c r="C14114">
        <f>IF(B14114="","",INT(A14114))</f>
        <v/>
      </c>
      <c r="D14114">
        <f>IF(B14114="","",HOUR(A14114))</f>
        <v/>
      </c>
    </row>
    <row r="14115">
      <c r="A14115">
        <f>Input!A14115</f>
        <v/>
      </c>
      <c r="B14115">
        <f>IF(ISNUMBER(Input!B14115),IF(AND(Input!B14115&gt;=20,Input!B14115&lt;=700),Input!B14115,""),"")</f>
        <v/>
      </c>
      <c r="C14115">
        <f>IF(B14115="","",INT(A14115))</f>
        <v/>
      </c>
      <c r="D14115">
        <f>IF(B14115="","",HOUR(A14115))</f>
        <v/>
      </c>
    </row>
    <row r="14116">
      <c r="A14116">
        <f>Input!A14116</f>
        <v/>
      </c>
      <c r="B14116">
        <f>IF(ISNUMBER(Input!B14116),IF(AND(Input!B14116&gt;=20,Input!B14116&lt;=700),Input!B14116,""),"")</f>
        <v/>
      </c>
      <c r="C14116">
        <f>IF(B14116="","",INT(A14116))</f>
        <v/>
      </c>
      <c r="D14116">
        <f>IF(B14116="","",HOUR(A14116))</f>
        <v/>
      </c>
    </row>
    <row r="14117">
      <c r="A14117">
        <f>Input!A14117</f>
        <v/>
      </c>
      <c r="B14117">
        <f>IF(ISNUMBER(Input!B14117),IF(AND(Input!B14117&gt;=20,Input!B14117&lt;=700),Input!B14117,""),"")</f>
        <v/>
      </c>
      <c r="C14117">
        <f>IF(B14117="","",INT(A14117))</f>
        <v/>
      </c>
      <c r="D14117">
        <f>IF(B14117="","",HOUR(A14117))</f>
        <v/>
      </c>
    </row>
    <row r="14118">
      <c r="A14118">
        <f>Input!A14118</f>
        <v/>
      </c>
      <c r="B14118">
        <f>IF(ISNUMBER(Input!B14118),IF(AND(Input!B14118&gt;=20,Input!B14118&lt;=700),Input!B14118,""),"")</f>
        <v/>
      </c>
      <c r="C14118">
        <f>IF(B14118="","",INT(A14118))</f>
        <v/>
      </c>
      <c r="D14118">
        <f>IF(B14118="","",HOUR(A14118))</f>
        <v/>
      </c>
    </row>
    <row r="14119">
      <c r="A14119">
        <f>Input!A14119</f>
        <v/>
      </c>
      <c r="B14119">
        <f>IF(ISNUMBER(Input!B14119),IF(AND(Input!B14119&gt;=20,Input!B14119&lt;=700),Input!B14119,""),"")</f>
        <v/>
      </c>
      <c r="C14119">
        <f>IF(B14119="","",INT(A14119))</f>
        <v/>
      </c>
      <c r="D14119">
        <f>IF(B14119="","",HOUR(A14119))</f>
        <v/>
      </c>
    </row>
    <row r="14120">
      <c r="A14120">
        <f>Input!A14120</f>
        <v/>
      </c>
      <c r="B14120">
        <f>IF(ISNUMBER(Input!B14120),IF(AND(Input!B14120&gt;=20,Input!B14120&lt;=700),Input!B14120,""),"")</f>
        <v/>
      </c>
      <c r="C14120">
        <f>IF(B14120="","",INT(A14120))</f>
        <v/>
      </c>
      <c r="D14120">
        <f>IF(B14120="","",HOUR(A14120))</f>
        <v/>
      </c>
    </row>
    <row r="14121">
      <c r="A14121">
        <f>Input!A14121</f>
        <v/>
      </c>
      <c r="B14121">
        <f>IF(ISNUMBER(Input!B14121),IF(AND(Input!B14121&gt;=20,Input!B14121&lt;=700),Input!B14121,""),"")</f>
        <v/>
      </c>
      <c r="C14121">
        <f>IF(B14121="","",INT(A14121))</f>
        <v/>
      </c>
      <c r="D14121">
        <f>IF(B14121="","",HOUR(A14121))</f>
        <v/>
      </c>
    </row>
    <row r="14122">
      <c r="A14122">
        <f>Input!A14122</f>
        <v/>
      </c>
      <c r="B14122">
        <f>IF(ISNUMBER(Input!B14122),IF(AND(Input!B14122&gt;=20,Input!B14122&lt;=700),Input!B14122,""),"")</f>
        <v/>
      </c>
      <c r="C14122">
        <f>IF(B14122="","",INT(A14122))</f>
        <v/>
      </c>
      <c r="D14122">
        <f>IF(B14122="","",HOUR(A14122))</f>
        <v/>
      </c>
    </row>
    <row r="14123">
      <c r="A14123">
        <f>Input!A14123</f>
        <v/>
      </c>
      <c r="B14123">
        <f>IF(ISNUMBER(Input!B14123),IF(AND(Input!B14123&gt;=20,Input!B14123&lt;=700),Input!B14123,""),"")</f>
        <v/>
      </c>
      <c r="C14123">
        <f>IF(B14123="","",INT(A14123))</f>
        <v/>
      </c>
      <c r="D14123">
        <f>IF(B14123="","",HOUR(A14123))</f>
        <v/>
      </c>
    </row>
    <row r="14124">
      <c r="A14124">
        <f>Input!A14124</f>
        <v/>
      </c>
      <c r="B14124">
        <f>IF(ISNUMBER(Input!B14124),IF(AND(Input!B14124&gt;=20,Input!B14124&lt;=700),Input!B14124,""),"")</f>
        <v/>
      </c>
      <c r="C14124">
        <f>IF(B14124="","",INT(A14124))</f>
        <v/>
      </c>
      <c r="D14124">
        <f>IF(B14124="","",HOUR(A14124))</f>
        <v/>
      </c>
    </row>
    <row r="14125">
      <c r="A14125">
        <f>Input!A14125</f>
        <v/>
      </c>
      <c r="B14125">
        <f>IF(ISNUMBER(Input!B14125),IF(AND(Input!B14125&gt;=20,Input!B14125&lt;=700),Input!B14125,""),"")</f>
        <v/>
      </c>
      <c r="C14125">
        <f>IF(B14125="","",INT(A14125))</f>
        <v/>
      </c>
      <c r="D14125">
        <f>IF(B14125="","",HOUR(A14125))</f>
        <v/>
      </c>
    </row>
    <row r="14126">
      <c r="A14126">
        <f>Input!A14126</f>
        <v/>
      </c>
      <c r="B14126">
        <f>IF(ISNUMBER(Input!B14126),IF(AND(Input!B14126&gt;=20,Input!B14126&lt;=700),Input!B14126,""),"")</f>
        <v/>
      </c>
      <c r="C14126">
        <f>IF(B14126="","",INT(A14126))</f>
        <v/>
      </c>
      <c r="D14126">
        <f>IF(B14126="","",HOUR(A14126))</f>
        <v/>
      </c>
    </row>
    <row r="14127">
      <c r="A14127">
        <f>Input!A14127</f>
        <v/>
      </c>
      <c r="B14127">
        <f>IF(ISNUMBER(Input!B14127),IF(AND(Input!B14127&gt;=20,Input!B14127&lt;=700),Input!B14127,""),"")</f>
        <v/>
      </c>
      <c r="C14127">
        <f>IF(B14127="","",INT(A14127))</f>
        <v/>
      </c>
      <c r="D14127">
        <f>IF(B14127="","",HOUR(A14127))</f>
        <v/>
      </c>
    </row>
    <row r="14128">
      <c r="A14128">
        <f>Input!A14128</f>
        <v/>
      </c>
      <c r="B14128">
        <f>IF(ISNUMBER(Input!B14128),IF(AND(Input!B14128&gt;=20,Input!B14128&lt;=700),Input!B14128,""),"")</f>
        <v/>
      </c>
      <c r="C14128">
        <f>IF(B14128="","",INT(A14128))</f>
        <v/>
      </c>
      <c r="D14128">
        <f>IF(B14128="","",HOUR(A14128))</f>
        <v/>
      </c>
    </row>
    <row r="14129">
      <c r="A14129">
        <f>Input!A14129</f>
        <v/>
      </c>
      <c r="B14129">
        <f>IF(ISNUMBER(Input!B14129),IF(AND(Input!B14129&gt;=20,Input!B14129&lt;=700),Input!B14129,""),"")</f>
        <v/>
      </c>
      <c r="C14129">
        <f>IF(B14129="","",INT(A14129))</f>
        <v/>
      </c>
      <c r="D14129">
        <f>IF(B14129="","",HOUR(A14129))</f>
        <v/>
      </c>
    </row>
    <row r="14130">
      <c r="A14130">
        <f>Input!A14130</f>
        <v/>
      </c>
      <c r="B14130">
        <f>IF(ISNUMBER(Input!B14130),IF(AND(Input!B14130&gt;=20,Input!B14130&lt;=700),Input!B14130,""),"")</f>
        <v/>
      </c>
      <c r="C14130">
        <f>IF(B14130="","",INT(A14130))</f>
        <v/>
      </c>
      <c r="D14130">
        <f>IF(B14130="","",HOUR(A14130))</f>
        <v/>
      </c>
    </row>
    <row r="14131">
      <c r="A14131">
        <f>Input!A14131</f>
        <v/>
      </c>
      <c r="B14131">
        <f>IF(ISNUMBER(Input!B14131),IF(AND(Input!B14131&gt;=20,Input!B14131&lt;=700),Input!B14131,""),"")</f>
        <v/>
      </c>
      <c r="C14131">
        <f>IF(B14131="","",INT(A14131))</f>
        <v/>
      </c>
      <c r="D14131">
        <f>IF(B14131="","",HOUR(A14131))</f>
        <v/>
      </c>
    </row>
    <row r="14132">
      <c r="A14132">
        <f>Input!A14132</f>
        <v/>
      </c>
      <c r="B14132">
        <f>IF(ISNUMBER(Input!B14132),IF(AND(Input!B14132&gt;=20,Input!B14132&lt;=700),Input!B14132,""),"")</f>
        <v/>
      </c>
      <c r="C14132">
        <f>IF(B14132="","",INT(A14132))</f>
        <v/>
      </c>
      <c r="D14132">
        <f>IF(B14132="","",HOUR(A14132))</f>
        <v/>
      </c>
    </row>
    <row r="14133">
      <c r="A14133">
        <f>Input!A14133</f>
        <v/>
      </c>
      <c r="B14133">
        <f>IF(ISNUMBER(Input!B14133),IF(AND(Input!B14133&gt;=20,Input!B14133&lt;=700),Input!B14133,""),"")</f>
        <v/>
      </c>
      <c r="C14133">
        <f>IF(B14133="","",INT(A14133))</f>
        <v/>
      </c>
      <c r="D14133">
        <f>IF(B14133="","",HOUR(A14133))</f>
        <v/>
      </c>
    </row>
    <row r="14134">
      <c r="A14134">
        <f>Input!A14134</f>
        <v/>
      </c>
      <c r="B14134">
        <f>IF(ISNUMBER(Input!B14134),IF(AND(Input!B14134&gt;=20,Input!B14134&lt;=700),Input!B14134,""),"")</f>
        <v/>
      </c>
      <c r="C14134">
        <f>IF(B14134="","",INT(A14134))</f>
        <v/>
      </c>
      <c r="D14134">
        <f>IF(B14134="","",HOUR(A14134))</f>
        <v/>
      </c>
    </row>
    <row r="14135">
      <c r="A14135">
        <f>Input!A14135</f>
        <v/>
      </c>
      <c r="B14135">
        <f>IF(ISNUMBER(Input!B14135),IF(AND(Input!B14135&gt;=20,Input!B14135&lt;=700),Input!B14135,""),"")</f>
        <v/>
      </c>
      <c r="C14135">
        <f>IF(B14135="","",INT(A14135))</f>
        <v/>
      </c>
      <c r="D14135">
        <f>IF(B14135="","",HOUR(A14135))</f>
        <v/>
      </c>
    </row>
    <row r="14136">
      <c r="A14136">
        <f>Input!A14136</f>
        <v/>
      </c>
      <c r="B14136">
        <f>IF(ISNUMBER(Input!B14136),IF(AND(Input!B14136&gt;=20,Input!B14136&lt;=700),Input!B14136,""),"")</f>
        <v/>
      </c>
      <c r="C14136">
        <f>IF(B14136="","",INT(A14136))</f>
        <v/>
      </c>
      <c r="D14136">
        <f>IF(B14136="","",HOUR(A14136))</f>
        <v/>
      </c>
    </row>
    <row r="14137">
      <c r="A14137">
        <f>Input!A14137</f>
        <v/>
      </c>
      <c r="B14137">
        <f>IF(ISNUMBER(Input!B14137),IF(AND(Input!B14137&gt;=20,Input!B14137&lt;=700),Input!B14137,""),"")</f>
        <v/>
      </c>
      <c r="C14137">
        <f>IF(B14137="","",INT(A14137))</f>
        <v/>
      </c>
      <c r="D14137">
        <f>IF(B14137="","",HOUR(A14137))</f>
        <v/>
      </c>
    </row>
    <row r="14138">
      <c r="A14138">
        <f>Input!A14138</f>
        <v/>
      </c>
      <c r="B14138">
        <f>IF(ISNUMBER(Input!B14138),IF(AND(Input!B14138&gt;=20,Input!B14138&lt;=700),Input!B14138,""),"")</f>
        <v/>
      </c>
      <c r="C14138">
        <f>IF(B14138="","",INT(A14138))</f>
        <v/>
      </c>
      <c r="D14138">
        <f>IF(B14138="","",HOUR(A14138))</f>
        <v/>
      </c>
    </row>
    <row r="14139">
      <c r="A14139">
        <f>Input!A14139</f>
        <v/>
      </c>
      <c r="B14139">
        <f>IF(ISNUMBER(Input!B14139),IF(AND(Input!B14139&gt;=20,Input!B14139&lt;=700),Input!B14139,""),"")</f>
        <v/>
      </c>
      <c r="C14139">
        <f>IF(B14139="","",INT(A14139))</f>
        <v/>
      </c>
      <c r="D14139">
        <f>IF(B14139="","",HOUR(A14139))</f>
        <v/>
      </c>
    </row>
    <row r="14140">
      <c r="A14140">
        <f>Input!A14140</f>
        <v/>
      </c>
      <c r="B14140">
        <f>IF(ISNUMBER(Input!B14140),IF(AND(Input!B14140&gt;=20,Input!B14140&lt;=700),Input!B14140,""),"")</f>
        <v/>
      </c>
      <c r="C14140">
        <f>IF(B14140="","",INT(A14140))</f>
        <v/>
      </c>
      <c r="D14140">
        <f>IF(B14140="","",HOUR(A14140))</f>
        <v/>
      </c>
    </row>
    <row r="14141">
      <c r="A14141">
        <f>Input!A14141</f>
        <v/>
      </c>
      <c r="B14141">
        <f>IF(ISNUMBER(Input!B14141),IF(AND(Input!B14141&gt;=20,Input!B14141&lt;=700),Input!B14141,""),"")</f>
        <v/>
      </c>
      <c r="C14141">
        <f>IF(B14141="","",INT(A14141))</f>
        <v/>
      </c>
      <c r="D14141">
        <f>IF(B14141="","",HOUR(A14141))</f>
        <v/>
      </c>
    </row>
    <row r="14142">
      <c r="A14142">
        <f>Input!A14142</f>
        <v/>
      </c>
      <c r="B14142">
        <f>IF(ISNUMBER(Input!B14142),IF(AND(Input!B14142&gt;=20,Input!B14142&lt;=700),Input!B14142,""),"")</f>
        <v/>
      </c>
      <c r="C14142">
        <f>IF(B14142="","",INT(A14142))</f>
        <v/>
      </c>
      <c r="D14142">
        <f>IF(B14142="","",HOUR(A14142))</f>
        <v/>
      </c>
    </row>
    <row r="14143">
      <c r="A14143">
        <f>Input!A14143</f>
        <v/>
      </c>
      <c r="B14143">
        <f>IF(ISNUMBER(Input!B14143),IF(AND(Input!B14143&gt;=20,Input!B14143&lt;=700),Input!B14143,""),"")</f>
        <v/>
      </c>
      <c r="C14143">
        <f>IF(B14143="","",INT(A14143))</f>
        <v/>
      </c>
      <c r="D14143">
        <f>IF(B14143="","",HOUR(A14143))</f>
        <v/>
      </c>
    </row>
    <row r="14144">
      <c r="A14144">
        <f>Input!A14144</f>
        <v/>
      </c>
      <c r="B14144">
        <f>IF(ISNUMBER(Input!B14144),IF(AND(Input!B14144&gt;=20,Input!B14144&lt;=700),Input!B14144,""),"")</f>
        <v/>
      </c>
      <c r="C14144">
        <f>IF(B14144="","",INT(A14144))</f>
        <v/>
      </c>
      <c r="D14144">
        <f>IF(B14144="","",HOUR(A14144))</f>
        <v/>
      </c>
    </row>
    <row r="14145">
      <c r="A14145">
        <f>Input!A14145</f>
        <v/>
      </c>
      <c r="B14145">
        <f>IF(ISNUMBER(Input!B14145),IF(AND(Input!B14145&gt;=20,Input!B14145&lt;=700),Input!B14145,""),"")</f>
        <v/>
      </c>
      <c r="C14145">
        <f>IF(B14145="","",INT(A14145))</f>
        <v/>
      </c>
      <c r="D14145">
        <f>IF(B14145="","",HOUR(A14145))</f>
        <v/>
      </c>
    </row>
    <row r="14146">
      <c r="A14146">
        <f>Input!A14146</f>
        <v/>
      </c>
      <c r="B14146">
        <f>IF(ISNUMBER(Input!B14146),IF(AND(Input!B14146&gt;=20,Input!B14146&lt;=700),Input!B14146,""),"")</f>
        <v/>
      </c>
      <c r="C14146">
        <f>IF(B14146="","",INT(A14146))</f>
        <v/>
      </c>
      <c r="D14146">
        <f>IF(B14146="","",HOUR(A14146))</f>
        <v/>
      </c>
    </row>
    <row r="14147">
      <c r="A14147">
        <f>Input!A14147</f>
        <v/>
      </c>
      <c r="B14147">
        <f>IF(ISNUMBER(Input!B14147),IF(AND(Input!B14147&gt;=20,Input!B14147&lt;=700),Input!B14147,""),"")</f>
        <v/>
      </c>
      <c r="C14147">
        <f>IF(B14147="","",INT(A14147))</f>
        <v/>
      </c>
      <c r="D14147">
        <f>IF(B14147="","",HOUR(A14147))</f>
        <v/>
      </c>
    </row>
    <row r="14148">
      <c r="A14148">
        <f>Input!A14148</f>
        <v/>
      </c>
      <c r="B14148">
        <f>IF(ISNUMBER(Input!B14148),IF(AND(Input!B14148&gt;=20,Input!B14148&lt;=700),Input!B14148,""),"")</f>
        <v/>
      </c>
      <c r="C14148">
        <f>IF(B14148="","",INT(A14148))</f>
        <v/>
      </c>
      <c r="D14148">
        <f>IF(B14148="","",HOUR(A14148))</f>
        <v/>
      </c>
    </row>
    <row r="14149">
      <c r="A14149">
        <f>Input!A14149</f>
        <v/>
      </c>
      <c r="B14149">
        <f>IF(ISNUMBER(Input!B14149),IF(AND(Input!B14149&gt;=20,Input!B14149&lt;=700),Input!B14149,""),"")</f>
        <v/>
      </c>
      <c r="C14149">
        <f>IF(B14149="","",INT(A14149))</f>
        <v/>
      </c>
      <c r="D14149">
        <f>IF(B14149="","",HOUR(A14149))</f>
        <v/>
      </c>
    </row>
    <row r="14150">
      <c r="A14150">
        <f>Input!A14150</f>
        <v/>
      </c>
      <c r="B14150">
        <f>IF(ISNUMBER(Input!B14150),IF(AND(Input!B14150&gt;=20,Input!B14150&lt;=700),Input!B14150,""),"")</f>
        <v/>
      </c>
      <c r="C14150">
        <f>IF(B14150="","",INT(A14150))</f>
        <v/>
      </c>
      <c r="D14150">
        <f>IF(B14150="","",HOUR(A14150))</f>
        <v/>
      </c>
    </row>
    <row r="14151">
      <c r="A14151">
        <f>Input!A14151</f>
        <v/>
      </c>
      <c r="B14151">
        <f>IF(ISNUMBER(Input!B14151),IF(AND(Input!B14151&gt;=20,Input!B14151&lt;=700),Input!B14151,""),"")</f>
        <v/>
      </c>
      <c r="C14151">
        <f>IF(B14151="","",INT(A14151))</f>
        <v/>
      </c>
      <c r="D14151">
        <f>IF(B14151="","",HOUR(A14151))</f>
        <v/>
      </c>
    </row>
    <row r="14152">
      <c r="A14152">
        <f>Input!A14152</f>
        <v/>
      </c>
      <c r="B14152">
        <f>IF(ISNUMBER(Input!B14152),IF(AND(Input!B14152&gt;=20,Input!B14152&lt;=700),Input!B14152,""),"")</f>
        <v/>
      </c>
      <c r="C14152">
        <f>IF(B14152="","",INT(A14152))</f>
        <v/>
      </c>
      <c r="D14152">
        <f>IF(B14152="","",HOUR(A14152))</f>
        <v/>
      </c>
    </row>
    <row r="14153">
      <c r="A14153">
        <f>Input!A14153</f>
        <v/>
      </c>
      <c r="B14153">
        <f>IF(ISNUMBER(Input!B14153),IF(AND(Input!B14153&gt;=20,Input!B14153&lt;=700),Input!B14153,""),"")</f>
        <v/>
      </c>
      <c r="C14153">
        <f>IF(B14153="","",INT(A14153))</f>
        <v/>
      </c>
      <c r="D14153">
        <f>IF(B14153="","",HOUR(A14153))</f>
        <v/>
      </c>
    </row>
    <row r="14154">
      <c r="A14154">
        <f>Input!A14154</f>
        <v/>
      </c>
      <c r="B14154">
        <f>IF(ISNUMBER(Input!B14154),IF(AND(Input!B14154&gt;=20,Input!B14154&lt;=700),Input!B14154,""),"")</f>
        <v/>
      </c>
      <c r="C14154">
        <f>IF(B14154="","",INT(A14154))</f>
        <v/>
      </c>
      <c r="D14154">
        <f>IF(B14154="","",HOUR(A14154))</f>
        <v/>
      </c>
    </row>
    <row r="14155">
      <c r="A14155">
        <f>Input!A14155</f>
        <v/>
      </c>
      <c r="B14155">
        <f>IF(ISNUMBER(Input!B14155),IF(AND(Input!B14155&gt;=20,Input!B14155&lt;=700),Input!B14155,""),"")</f>
        <v/>
      </c>
      <c r="C14155">
        <f>IF(B14155="","",INT(A14155))</f>
        <v/>
      </c>
      <c r="D14155">
        <f>IF(B14155="","",HOUR(A14155))</f>
        <v/>
      </c>
    </row>
    <row r="14156">
      <c r="A14156">
        <f>Input!A14156</f>
        <v/>
      </c>
      <c r="B14156">
        <f>IF(ISNUMBER(Input!B14156),IF(AND(Input!B14156&gt;=20,Input!B14156&lt;=700),Input!B14156,""),"")</f>
        <v/>
      </c>
      <c r="C14156">
        <f>IF(B14156="","",INT(A14156))</f>
        <v/>
      </c>
      <c r="D14156">
        <f>IF(B14156="","",HOUR(A14156))</f>
        <v/>
      </c>
    </row>
    <row r="14157">
      <c r="A14157">
        <f>Input!A14157</f>
        <v/>
      </c>
      <c r="B14157">
        <f>IF(ISNUMBER(Input!B14157),IF(AND(Input!B14157&gt;=20,Input!B14157&lt;=700),Input!B14157,""),"")</f>
        <v/>
      </c>
      <c r="C14157">
        <f>IF(B14157="","",INT(A14157))</f>
        <v/>
      </c>
      <c r="D14157">
        <f>IF(B14157="","",HOUR(A14157))</f>
        <v/>
      </c>
    </row>
    <row r="14158">
      <c r="A14158">
        <f>Input!A14158</f>
        <v/>
      </c>
      <c r="B14158">
        <f>IF(ISNUMBER(Input!B14158),IF(AND(Input!B14158&gt;=20,Input!B14158&lt;=700),Input!B14158,""),"")</f>
        <v/>
      </c>
      <c r="C14158">
        <f>IF(B14158="","",INT(A14158))</f>
        <v/>
      </c>
      <c r="D14158">
        <f>IF(B14158="","",HOUR(A14158))</f>
        <v/>
      </c>
    </row>
    <row r="14159">
      <c r="A14159">
        <f>Input!A14159</f>
        <v/>
      </c>
      <c r="B14159">
        <f>IF(ISNUMBER(Input!B14159),IF(AND(Input!B14159&gt;=20,Input!B14159&lt;=700),Input!B14159,""),"")</f>
        <v/>
      </c>
      <c r="C14159">
        <f>IF(B14159="","",INT(A14159))</f>
        <v/>
      </c>
      <c r="D14159">
        <f>IF(B14159="","",HOUR(A14159))</f>
        <v/>
      </c>
    </row>
    <row r="14160">
      <c r="A14160">
        <f>Input!A14160</f>
        <v/>
      </c>
      <c r="B14160">
        <f>IF(ISNUMBER(Input!B14160),IF(AND(Input!B14160&gt;=20,Input!B14160&lt;=700),Input!B14160,""),"")</f>
        <v/>
      </c>
      <c r="C14160">
        <f>IF(B14160="","",INT(A14160))</f>
        <v/>
      </c>
      <c r="D14160">
        <f>IF(B14160="","",HOUR(A14160))</f>
        <v/>
      </c>
    </row>
    <row r="14161">
      <c r="A14161">
        <f>Input!A14161</f>
        <v/>
      </c>
      <c r="B14161">
        <f>IF(ISNUMBER(Input!B14161),IF(AND(Input!B14161&gt;=20,Input!B14161&lt;=700),Input!B14161,""),"")</f>
        <v/>
      </c>
      <c r="C14161">
        <f>IF(B14161="","",INT(A14161))</f>
        <v/>
      </c>
      <c r="D14161">
        <f>IF(B14161="","",HOUR(A14161))</f>
        <v/>
      </c>
    </row>
    <row r="14162">
      <c r="A14162">
        <f>Input!A14162</f>
        <v/>
      </c>
      <c r="B14162">
        <f>IF(ISNUMBER(Input!B14162),IF(AND(Input!B14162&gt;=20,Input!B14162&lt;=700),Input!B14162,""),"")</f>
        <v/>
      </c>
      <c r="C14162">
        <f>IF(B14162="","",INT(A14162))</f>
        <v/>
      </c>
      <c r="D14162">
        <f>IF(B14162="","",HOUR(A14162))</f>
        <v/>
      </c>
    </row>
    <row r="14163">
      <c r="A14163">
        <f>Input!A14163</f>
        <v/>
      </c>
      <c r="B14163">
        <f>IF(ISNUMBER(Input!B14163),IF(AND(Input!B14163&gt;=20,Input!B14163&lt;=700),Input!B14163,""),"")</f>
        <v/>
      </c>
      <c r="C14163">
        <f>IF(B14163="","",INT(A14163))</f>
        <v/>
      </c>
      <c r="D14163">
        <f>IF(B14163="","",HOUR(A14163))</f>
        <v/>
      </c>
    </row>
    <row r="14164">
      <c r="A14164">
        <f>Input!A14164</f>
        <v/>
      </c>
      <c r="B14164">
        <f>IF(ISNUMBER(Input!B14164),IF(AND(Input!B14164&gt;=20,Input!B14164&lt;=700),Input!B14164,""),"")</f>
        <v/>
      </c>
      <c r="C14164">
        <f>IF(B14164="","",INT(A14164))</f>
        <v/>
      </c>
      <c r="D14164">
        <f>IF(B14164="","",HOUR(A14164))</f>
        <v/>
      </c>
    </row>
    <row r="14165">
      <c r="A14165">
        <f>Input!A14165</f>
        <v/>
      </c>
      <c r="B14165">
        <f>IF(ISNUMBER(Input!B14165),IF(AND(Input!B14165&gt;=20,Input!B14165&lt;=700),Input!B14165,""),"")</f>
        <v/>
      </c>
      <c r="C14165">
        <f>IF(B14165="","",INT(A14165))</f>
        <v/>
      </c>
      <c r="D14165">
        <f>IF(B14165="","",HOUR(A14165))</f>
        <v/>
      </c>
    </row>
    <row r="14166">
      <c r="A14166">
        <f>Input!A14166</f>
        <v/>
      </c>
      <c r="B14166">
        <f>IF(ISNUMBER(Input!B14166),IF(AND(Input!B14166&gt;=20,Input!B14166&lt;=700),Input!B14166,""),"")</f>
        <v/>
      </c>
      <c r="C14166">
        <f>IF(B14166="","",INT(A14166))</f>
        <v/>
      </c>
      <c r="D14166">
        <f>IF(B14166="","",HOUR(A14166))</f>
        <v/>
      </c>
    </row>
    <row r="14167">
      <c r="A14167">
        <f>Input!A14167</f>
        <v/>
      </c>
      <c r="B14167">
        <f>IF(ISNUMBER(Input!B14167),IF(AND(Input!B14167&gt;=20,Input!B14167&lt;=700),Input!B14167,""),"")</f>
        <v/>
      </c>
      <c r="C14167">
        <f>IF(B14167="","",INT(A14167))</f>
        <v/>
      </c>
      <c r="D14167">
        <f>IF(B14167="","",HOUR(A14167))</f>
        <v/>
      </c>
    </row>
    <row r="14168">
      <c r="A14168">
        <f>Input!A14168</f>
        <v/>
      </c>
      <c r="B14168">
        <f>IF(ISNUMBER(Input!B14168),IF(AND(Input!B14168&gt;=20,Input!B14168&lt;=700),Input!B14168,""),"")</f>
        <v/>
      </c>
      <c r="C14168">
        <f>IF(B14168="","",INT(A14168))</f>
        <v/>
      </c>
      <c r="D14168">
        <f>IF(B14168="","",HOUR(A14168))</f>
        <v/>
      </c>
    </row>
    <row r="14169">
      <c r="A14169">
        <f>Input!A14169</f>
        <v/>
      </c>
      <c r="B14169">
        <f>IF(ISNUMBER(Input!B14169),IF(AND(Input!B14169&gt;=20,Input!B14169&lt;=700),Input!B14169,""),"")</f>
        <v/>
      </c>
      <c r="C14169">
        <f>IF(B14169="","",INT(A14169))</f>
        <v/>
      </c>
      <c r="D14169">
        <f>IF(B14169="","",HOUR(A14169))</f>
        <v/>
      </c>
    </row>
    <row r="14170">
      <c r="A14170">
        <f>Input!A14170</f>
        <v/>
      </c>
      <c r="B14170">
        <f>IF(ISNUMBER(Input!B14170),IF(AND(Input!B14170&gt;=20,Input!B14170&lt;=700),Input!B14170,""),"")</f>
        <v/>
      </c>
      <c r="C14170">
        <f>IF(B14170="","",INT(A14170))</f>
        <v/>
      </c>
      <c r="D14170">
        <f>IF(B14170="","",HOUR(A14170))</f>
        <v/>
      </c>
    </row>
    <row r="14171">
      <c r="A14171">
        <f>Input!A14171</f>
        <v/>
      </c>
      <c r="B14171">
        <f>IF(ISNUMBER(Input!B14171),IF(AND(Input!B14171&gt;=20,Input!B14171&lt;=700),Input!B14171,""),"")</f>
        <v/>
      </c>
      <c r="C14171">
        <f>IF(B14171="","",INT(A14171))</f>
        <v/>
      </c>
      <c r="D14171">
        <f>IF(B14171="","",HOUR(A14171))</f>
        <v/>
      </c>
    </row>
    <row r="14172">
      <c r="A14172">
        <f>Input!A14172</f>
        <v/>
      </c>
      <c r="B14172">
        <f>IF(ISNUMBER(Input!B14172),IF(AND(Input!B14172&gt;=20,Input!B14172&lt;=700),Input!B14172,""),"")</f>
        <v/>
      </c>
      <c r="C14172">
        <f>IF(B14172="","",INT(A14172))</f>
        <v/>
      </c>
      <c r="D14172">
        <f>IF(B14172="","",HOUR(A14172))</f>
        <v/>
      </c>
    </row>
    <row r="14173">
      <c r="A14173">
        <f>Input!A14173</f>
        <v/>
      </c>
      <c r="B14173">
        <f>IF(ISNUMBER(Input!B14173),IF(AND(Input!B14173&gt;=20,Input!B14173&lt;=700),Input!B14173,""),"")</f>
        <v/>
      </c>
      <c r="C14173">
        <f>IF(B14173="","",INT(A14173))</f>
        <v/>
      </c>
      <c r="D14173">
        <f>IF(B14173="","",HOUR(A14173))</f>
        <v/>
      </c>
    </row>
    <row r="14174">
      <c r="A14174">
        <f>Input!A14174</f>
        <v/>
      </c>
      <c r="B14174">
        <f>IF(ISNUMBER(Input!B14174),IF(AND(Input!B14174&gt;=20,Input!B14174&lt;=700),Input!B14174,""),"")</f>
        <v/>
      </c>
      <c r="C14174">
        <f>IF(B14174="","",INT(A14174))</f>
        <v/>
      </c>
      <c r="D14174">
        <f>IF(B14174="","",HOUR(A14174))</f>
        <v/>
      </c>
    </row>
    <row r="14175">
      <c r="A14175">
        <f>Input!A14175</f>
        <v/>
      </c>
      <c r="B14175">
        <f>IF(ISNUMBER(Input!B14175),IF(AND(Input!B14175&gt;=20,Input!B14175&lt;=700),Input!B14175,""),"")</f>
        <v/>
      </c>
      <c r="C14175">
        <f>IF(B14175="","",INT(A14175))</f>
        <v/>
      </c>
      <c r="D14175">
        <f>IF(B14175="","",HOUR(A14175))</f>
        <v/>
      </c>
    </row>
    <row r="14176">
      <c r="A14176">
        <f>Input!A14176</f>
        <v/>
      </c>
      <c r="B14176">
        <f>IF(ISNUMBER(Input!B14176),IF(AND(Input!B14176&gt;=20,Input!B14176&lt;=700),Input!B14176,""),"")</f>
        <v/>
      </c>
      <c r="C14176">
        <f>IF(B14176="","",INT(A14176))</f>
        <v/>
      </c>
      <c r="D14176">
        <f>IF(B14176="","",HOUR(A14176))</f>
        <v/>
      </c>
    </row>
    <row r="14177">
      <c r="A14177">
        <f>Input!A14177</f>
        <v/>
      </c>
      <c r="B14177">
        <f>IF(ISNUMBER(Input!B14177),IF(AND(Input!B14177&gt;=20,Input!B14177&lt;=700),Input!B14177,""),"")</f>
        <v/>
      </c>
      <c r="C14177">
        <f>IF(B14177="","",INT(A14177))</f>
        <v/>
      </c>
      <c r="D14177">
        <f>IF(B14177="","",HOUR(A14177))</f>
        <v/>
      </c>
    </row>
    <row r="14178">
      <c r="A14178">
        <f>Input!A14178</f>
        <v/>
      </c>
      <c r="B14178">
        <f>IF(ISNUMBER(Input!B14178),IF(AND(Input!B14178&gt;=20,Input!B14178&lt;=700),Input!B14178,""),"")</f>
        <v/>
      </c>
      <c r="C14178">
        <f>IF(B14178="","",INT(A14178))</f>
        <v/>
      </c>
      <c r="D14178">
        <f>IF(B14178="","",HOUR(A14178))</f>
        <v/>
      </c>
    </row>
    <row r="14179">
      <c r="A14179">
        <f>Input!A14179</f>
        <v/>
      </c>
      <c r="B14179">
        <f>IF(ISNUMBER(Input!B14179),IF(AND(Input!B14179&gt;=20,Input!B14179&lt;=700),Input!B14179,""),"")</f>
        <v/>
      </c>
      <c r="C14179">
        <f>IF(B14179="","",INT(A14179))</f>
        <v/>
      </c>
      <c r="D14179">
        <f>IF(B14179="","",HOUR(A14179))</f>
        <v/>
      </c>
    </row>
    <row r="14180">
      <c r="A14180">
        <f>Input!A14180</f>
        <v/>
      </c>
      <c r="B14180">
        <f>IF(ISNUMBER(Input!B14180),IF(AND(Input!B14180&gt;=20,Input!B14180&lt;=700),Input!B14180,""),"")</f>
        <v/>
      </c>
      <c r="C14180">
        <f>IF(B14180="","",INT(A14180))</f>
        <v/>
      </c>
      <c r="D14180">
        <f>IF(B14180="","",HOUR(A14180))</f>
        <v/>
      </c>
    </row>
    <row r="14181">
      <c r="A14181">
        <f>Input!A14181</f>
        <v/>
      </c>
      <c r="B14181">
        <f>IF(ISNUMBER(Input!B14181),IF(AND(Input!B14181&gt;=20,Input!B14181&lt;=700),Input!B14181,""),"")</f>
        <v/>
      </c>
      <c r="C14181">
        <f>IF(B14181="","",INT(A14181))</f>
        <v/>
      </c>
      <c r="D14181">
        <f>IF(B14181="","",HOUR(A14181))</f>
        <v/>
      </c>
    </row>
    <row r="14182">
      <c r="A14182">
        <f>Input!A14182</f>
        <v/>
      </c>
      <c r="B14182">
        <f>IF(ISNUMBER(Input!B14182),IF(AND(Input!B14182&gt;=20,Input!B14182&lt;=700),Input!B14182,""),"")</f>
        <v/>
      </c>
      <c r="C14182">
        <f>IF(B14182="","",INT(A14182))</f>
        <v/>
      </c>
      <c r="D14182">
        <f>IF(B14182="","",HOUR(A14182))</f>
        <v/>
      </c>
    </row>
    <row r="14183">
      <c r="A14183">
        <f>Input!A14183</f>
        <v/>
      </c>
      <c r="B14183">
        <f>IF(ISNUMBER(Input!B14183),IF(AND(Input!B14183&gt;=20,Input!B14183&lt;=700),Input!B14183,""),"")</f>
        <v/>
      </c>
      <c r="C14183">
        <f>IF(B14183="","",INT(A14183))</f>
        <v/>
      </c>
      <c r="D14183">
        <f>IF(B14183="","",HOUR(A14183))</f>
        <v/>
      </c>
    </row>
    <row r="14184">
      <c r="A14184">
        <f>Input!A14184</f>
        <v/>
      </c>
      <c r="B14184">
        <f>IF(ISNUMBER(Input!B14184),IF(AND(Input!B14184&gt;=20,Input!B14184&lt;=700),Input!B14184,""),"")</f>
        <v/>
      </c>
      <c r="C14184">
        <f>IF(B14184="","",INT(A14184))</f>
        <v/>
      </c>
      <c r="D14184">
        <f>IF(B14184="","",HOUR(A14184))</f>
        <v/>
      </c>
    </row>
    <row r="14185">
      <c r="A14185">
        <f>Input!A14185</f>
        <v/>
      </c>
      <c r="B14185">
        <f>IF(ISNUMBER(Input!B14185),IF(AND(Input!B14185&gt;=20,Input!B14185&lt;=700),Input!B14185,""),"")</f>
        <v/>
      </c>
      <c r="C14185">
        <f>IF(B14185="","",INT(A14185))</f>
        <v/>
      </c>
      <c r="D14185">
        <f>IF(B14185="","",HOUR(A14185))</f>
        <v/>
      </c>
    </row>
    <row r="14186">
      <c r="A14186">
        <f>Input!A14186</f>
        <v/>
      </c>
      <c r="B14186">
        <f>IF(ISNUMBER(Input!B14186),IF(AND(Input!B14186&gt;=20,Input!B14186&lt;=700),Input!B14186,""),"")</f>
        <v/>
      </c>
      <c r="C14186">
        <f>IF(B14186="","",INT(A14186))</f>
        <v/>
      </c>
      <c r="D14186">
        <f>IF(B14186="","",HOUR(A14186))</f>
        <v/>
      </c>
    </row>
    <row r="14187">
      <c r="A14187">
        <f>Input!A14187</f>
        <v/>
      </c>
      <c r="B14187">
        <f>IF(ISNUMBER(Input!B14187),IF(AND(Input!B14187&gt;=20,Input!B14187&lt;=700),Input!B14187,""),"")</f>
        <v/>
      </c>
      <c r="C14187">
        <f>IF(B14187="","",INT(A14187))</f>
        <v/>
      </c>
      <c r="D14187">
        <f>IF(B14187="","",HOUR(A14187))</f>
        <v/>
      </c>
    </row>
    <row r="14188">
      <c r="A14188">
        <f>Input!A14188</f>
        <v/>
      </c>
      <c r="B14188">
        <f>IF(ISNUMBER(Input!B14188),IF(AND(Input!B14188&gt;=20,Input!B14188&lt;=700),Input!B14188,""),"")</f>
        <v/>
      </c>
      <c r="C14188">
        <f>IF(B14188="","",INT(A14188))</f>
        <v/>
      </c>
      <c r="D14188">
        <f>IF(B14188="","",HOUR(A14188))</f>
        <v/>
      </c>
    </row>
    <row r="14189">
      <c r="A14189">
        <f>Input!A14189</f>
        <v/>
      </c>
      <c r="B14189">
        <f>IF(ISNUMBER(Input!B14189),IF(AND(Input!B14189&gt;=20,Input!B14189&lt;=700),Input!B14189,""),"")</f>
        <v/>
      </c>
      <c r="C14189">
        <f>IF(B14189="","",INT(A14189))</f>
        <v/>
      </c>
      <c r="D14189">
        <f>IF(B14189="","",HOUR(A14189))</f>
        <v/>
      </c>
    </row>
    <row r="14190">
      <c r="A14190">
        <f>Input!A14190</f>
        <v/>
      </c>
      <c r="B14190">
        <f>IF(ISNUMBER(Input!B14190),IF(AND(Input!B14190&gt;=20,Input!B14190&lt;=700),Input!B14190,""),"")</f>
        <v/>
      </c>
      <c r="C14190">
        <f>IF(B14190="","",INT(A14190))</f>
        <v/>
      </c>
      <c r="D14190">
        <f>IF(B14190="","",HOUR(A14190))</f>
        <v/>
      </c>
    </row>
    <row r="14191">
      <c r="A14191">
        <f>Input!A14191</f>
        <v/>
      </c>
      <c r="B14191">
        <f>IF(ISNUMBER(Input!B14191),IF(AND(Input!B14191&gt;=20,Input!B14191&lt;=700),Input!B14191,""),"")</f>
        <v/>
      </c>
      <c r="C14191">
        <f>IF(B14191="","",INT(A14191))</f>
        <v/>
      </c>
      <c r="D14191">
        <f>IF(B14191="","",HOUR(A14191))</f>
        <v/>
      </c>
    </row>
    <row r="14192">
      <c r="A14192">
        <f>Input!A14192</f>
        <v/>
      </c>
      <c r="B14192">
        <f>IF(ISNUMBER(Input!B14192),IF(AND(Input!B14192&gt;=20,Input!B14192&lt;=700),Input!B14192,""),"")</f>
        <v/>
      </c>
      <c r="C14192">
        <f>IF(B14192="","",INT(A14192))</f>
        <v/>
      </c>
      <c r="D14192">
        <f>IF(B14192="","",HOUR(A14192))</f>
        <v/>
      </c>
    </row>
    <row r="14193">
      <c r="A14193">
        <f>Input!A14193</f>
        <v/>
      </c>
      <c r="B14193">
        <f>IF(ISNUMBER(Input!B14193),IF(AND(Input!B14193&gt;=20,Input!B14193&lt;=700),Input!B14193,""),"")</f>
        <v/>
      </c>
      <c r="C14193">
        <f>IF(B14193="","",INT(A14193))</f>
        <v/>
      </c>
      <c r="D14193">
        <f>IF(B14193="","",HOUR(A14193))</f>
        <v/>
      </c>
    </row>
    <row r="14194">
      <c r="A14194">
        <f>Input!A14194</f>
        <v/>
      </c>
      <c r="B14194">
        <f>IF(ISNUMBER(Input!B14194),IF(AND(Input!B14194&gt;=20,Input!B14194&lt;=700),Input!B14194,""),"")</f>
        <v/>
      </c>
      <c r="C14194">
        <f>IF(B14194="","",INT(A14194))</f>
        <v/>
      </c>
      <c r="D14194">
        <f>IF(B14194="","",HOUR(A14194))</f>
        <v/>
      </c>
    </row>
    <row r="14195">
      <c r="A14195">
        <f>Input!A14195</f>
        <v/>
      </c>
      <c r="B14195">
        <f>IF(ISNUMBER(Input!B14195),IF(AND(Input!B14195&gt;=20,Input!B14195&lt;=700),Input!B14195,""),"")</f>
        <v/>
      </c>
      <c r="C14195">
        <f>IF(B14195="","",INT(A14195))</f>
        <v/>
      </c>
      <c r="D14195">
        <f>IF(B14195="","",HOUR(A14195))</f>
        <v/>
      </c>
    </row>
    <row r="14196">
      <c r="A14196">
        <f>Input!A14196</f>
        <v/>
      </c>
      <c r="B14196">
        <f>IF(ISNUMBER(Input!B14196),IF(AND(Input!B14196&gt;=20,Input!B14196&lt;=700),Input!B14196,""),"")</f>
        <v/>
      </c>
      <c r="C14196">
        <f>IF(B14196="","",INT(A14196))</f>
        <v/>
      </c>
      <c r="D14196">
        <f>IF(B14196="","",HOUR(A14196))</f>
        <v/>
      </c>
    </row>
    <row r="14197">
      <c r="A14197">
        <f>Input!A14197</f>
        <v/>
      </c>
      <c r="B14197">
        <f>IF(ISNUMBER(Input!B14197),IF(AND(Input!B14197&gt;=20,Input!B14197&lt;=700),Input!B14197,""),"")</f>
        <v/>
      </c>
      <c r="C14197">
        <f>IF(B14197="","",INT(A14197))</f>
        <v/>
      </c>
      <c r="D14197">
        <f>IF(B14197="","",HOUR(A14197))</f>
        <v/>
      </c>
    </row>
    <row r="14198">
      <c r="A14198">
        <f>Input!A14198</f>
        <v/>
      </c>
      <c r="B14198">
        <f>IF(ISNUMBER(Input!B14198),IF(AND(Input!B14198&gt;=20,Input!B14198&lt;=700),Input!B14198,""),"")</f>
        <v/>
      </c>
      <c r="C14198">
        <f>IF(B14198="","",INT(A14198))</f>
        <v/>
      </c>
      <c r="D14198">
        <f>IF(B14198="","",HOUR(A14198))</f>
        <v/>
      </c>
    </row>
    <row r="14199">
      <c r="A14199">
        <f>Input!A14199</f>
        <v/>
      </c>
      <c r="B14199">
        <f>IF(ISNUMBER(Input!B14199),IF(AND(Input!B14199&gt;=20,Input!B14199&lt;=700),Input!B14199,""),"")</f>
        <v/>
      </c>
      <c r="C14199">
        <f>IF(B14199="","",INT(A14199))</f>
        <v/>
      </c>
      <c r="D14199">
        <f>IF(B14199="","",HOUR(A14199))</f>
        <v/>
      </c>
    </row>
    <row r="14200">
      <c r="A14200">
        <f>Input!A14200</f>
        <v/>
      </c>
      <c r="B14200">
        <f>IF(ISNUMBER(Input!B14200),IF(AND(Input!B14200&gt;=20,Input!B14200&lt;=700),Input!B14200,""),"")</f>
        <v/>
      </c>
      <c r="C14200">
        <f>IF(B14200="","",INT(A14200))</f>
        <v/>
      </c>
      <c r="D14200">
        <f>IF(B14200="","",HOUR(A14200))</f>
        <v/>
      </c>
    </row>
    <row r="14201">
      <c r="A14201">
        <f>Input!A14201</f>
        <v/>
      </c>
      <c r="B14201">
        <f>IF(ISNUMBER(Input!B14201),IF(AND(Input!B14201&gt;=20,Input!B14201&lt;=700),Input!B14201,""),"")</f>
        <v/>
      </c>
      <c r="C14201">
        <f>IF(B14201="","",INT(A14201))</f>
        <v/>
      </c>
      <c r="D14201">
        <f>IF(B14201="","",HOUR(A14201))</f>
        <v/>
      </c>
    </row>
    <row r="14202">
      <c r="A14202">
        <f>Input!A14202</f>
        <v/>
      </c>
      <c r="B14202">
        <f>IF(ISNUMBER(Input!B14202),IF(AND(Input!B14202&gt;=20,Input!B14202&lt;=700),Input!B14202,""),"")</f>
        <v/>
      </c>
      <c r="C14202">
        <f>IF(B14202="","",INT(A14202))</f>
        <v/>
      </c>
      <c r="D14202">
        <f>IF(B14202="","",HOUR(A14202))</f>
        <v/>
      </c>
    </row>
    <row r="14203">
      <c r="A14203">
        <f>Input!A14203</f>
        <v/>
      </c>
      <c r="B14203">
        <f>IF(ISNUMBER(Input!B14203),IF(AND(Input!B14203&gt;=20,Input!B14203&lt;=700),Input!B14203,""),"")</f>
        <v/>
      </c>
      <c r="C14203">
        <f>IF(B14203="","",INT(A14203))</f>
        <v/>
      </c>
      <c r="D14203">
        <f>IF(B14203="","",HOUR(A14203))</f>
        <v/>
      </c>
    </row>
    <row r="14204">
      <c r="A14204">
        <f>Input!A14204</f>
        <v/>
      </c>
      <c r="B14204">
        <f>IF(ISNUMBER(Input!B14204),IF(AND(Input!B14204&gt;=20,Input!B14204&lt;=700),Input!B14204,""),"")</f>
        <v/>
      </c>
      <c r="C14204">
        <f>IF(B14204="","",INT(A14204))</f>
        <v/>
      </c>
      <c r="D14204">
        <f>IF(B14204="","",HOUR(A14204))</f>
        <v/>
      </c>
    </row>
    <row r="14205">
      <c r="A14205">
        <f>Input!A14205</f>
        <v/>
      </c>
      <c r="B14205">
        <f>IF(ISNUMBER(Input!B14205),IF(AND(Input!B14205&gt;=20,Input!B14205&lt;=700),Input!B14205,""),"")</f>
        <v/>
      </c>
      <c r="C14205">
        <f>IF(B14205="","",INT(A14205))</f>
        <v/>
      </c>
      <c r="D14205">
        <f>IF(B14205="","",HOUR(A14205))</f>
        <v/>
      </c>
    </row>
    <row r="14206">
      <c r="A14206">
        <f>Input!A14206</f>
        <v/>
      </c>
      <c r="B14206">
        <f>IF(ISNUMBER(Input!B14206),IF(AND(Input!B14206&gt;=20,Input!B14206&lt;=700),Input!B14206,""),"")</f>
        <v/>
      </c>
      <c r="C14206">
        <f>IF(B14206="","",INT(A14206))</f>
        <v/>
      </c>
      <c r="D14206">
        <f>IF(B14206="","",HOUR(A14206))</f>
        <v/>
      </c>
    </row>
    <row r="14207">
      <c r="A14207">
        <f>Input!A14207</f>
        <v/>
      </c>
      <c r="B14207">
        <f>IF(ISNUMBER(Input!B14207),IF(AND(Input!B14207&gt;=20,Input!B14207&lt;=700),Input!B14207,""),"")</f>
        <v/>
      </c>
      <c r="C14207">
        <f>IF(B14207="","",INT(A14207))</f>
        <v/>
      </c>
      <c r="D14207">
        <f>IF(B14207="","",HOUR(A14207))</f>
        <v/>
      </c>
    </row>
    <row r="14208">
      <c r="A14208">
        <f>Input!A14208</f>
        <v/>
      </c>
      <c r="B14208">
        <f>IF(ISNUMBER(Input!B14208),IF(AND(Input!B14208&gt;=20,Input!B14208&lt;=700),Input!B14208,""),"")</f>
        <v/>
      </c>
      <c r="C14208">
        <f>IF(B14208="","",INT(A14208))</f>
        <v/>
      </c>
      <c r="D14208">
        <f>IF(B14208="","",HOUR(A14208))</f>
        <v/>
      </c>
    </row>
    <row r="14209">
      <c r="A14209">
        <f>Input!A14209</f>
        <v/>
      </c>
      <c r="B14209">
        <f>IF(ISNUMBER(Input!B14209),IF(AND(Input!B14209&gt;=20,Input!B14209&lt;=700),Input!B14209,""),"")</f>
        <v/>
      </c>
      <c r="C14209">
        <f>IF(B14209="","",INT(A14209))</f>
        <v/>
      </c>
      <c r="D14209">
        <f>IF(B14209="","",HOUR(A14209))</f>
        <v/>
      </c>
    </row>
    <row r="14210">
      <c r="A14210">
        <f>Input!A14210</f>
        <v/>
      </c>
      <c r="B14210">
        <f>IF(ISNUMBER(Input!B14210),IF(AND(Input!B14210&gt;=20,Input!B14210&lt;=700),Input!B14210,""),"")</f>
        <v/>
      </c>
      <c r="C14210">
        <f>IF(B14210="","",INT(A14210))</f>
        <v/>
      </c>
      <c r="D14210">
        <f>IF(B14210="","",HOUR(A14210))</f>
        <v/>
      </c>
    </row>
    <row r="14211">
      <c r="A14211">
        <f>Input!A14211</f>
        <v/>
      </c>
      <c r="B14211">
        <f>IF(ISNUMBER(Input!B14211),IF(AND(Input!B14211&gt;=20,Input!B14211&lt;=700),Input!B14211,""),"")</f>
        <v/>
      </c>
      <c r="C14211">
        <f>IF(B14211="","",INT(A14211))</f>
        <v/>
      </c>
      <c r="D14211">
        <f>IF(B14211="","",HOUR(A14211))</f>
        <v/>
      </c>
    </row>
    <row r="14212">
      <c r="A14212">
        <f>Input!A14212</f>
        <v/>
      </c>
      <c r="B14212">
        <f>IF(ISNUMBER(Input!B14212),IF(AND(Input!B14212&gt;=20,Input!B14212&lt;=700),Input!B14212,""),"")</f>
        <v/>
      </c>
      <c r="C14212">
        <f>IF(B14212="","",INT(A14212))</f>
        <v/>
      </c>
      <c r="D14212">
        <f>IF(B14212="","",HOUR(A14212))</f>
        <v/>
      </c>
    </row>
    <row r="14213">
      <c r="A14213">
        <f>Input!A14213</f>
        <v/>
      </c>
      <c r="B14213">
        <f>IF(ISNUMBER(Input!B14213),IF(AND(Input!B14213&gt;=20,Input!B14213&lt;=700),Input!B14213,""),"")</f>
        <v/>
      </c>
      <c r="C14213">
        <f>IF(B14213="","",INT(A14213))</f>
        <v/>
      </c>
      <c r="D14213">
        <f>IF(B14213="","",HOUR(A14213))</f>
        <v/>
      </c>
    </row>
    <row r="14214">
      <c r="A14214">
        <f>Input!A14214</f>
        <v/>
      </c>
      <c r="B14214">
        <f>IF(ISNUMBER(Input!B14214),IF(AND(Input!B14214&gt;=20,Input!B14214&lt;=700),Input!B14214,""),"")</f>
        <v/>
      </c>
      <c r="C14214">
        <f>IF(B14214="","",INT(A14214))</f>
        <v/>
      </c>
      <c r="D14214">
        <f>IF(B14214="","",HOUR(A14214))</f>
        <v/>
      </c>
    </row>
    <row r="14215">
      <c r="A14215">
        <f>Input!A14215</f>
        <v/>
      </c>
      <c r="B14215">
        <f>IF(ISNUMBER(Input!B14215),IF(AND(Input!B14215&gt;=20,Input!B14215&lt;=700),Input!B14215,""),"")</f>
        <v/>
      </c>
      <c r="C14215">
        <f>IF(B14215="","",INT(A14215))</f>
        <v/>
      </c>
      <c r="D14215">
        <f>IF(B14215="","",HOUR(A14215))</f>
        <v/>
      </c>
    </row>
    <row r="14216">
      <c r="A14216">
        <f>Input!A14216</f>
        <v/>
      </c>
      <c r="B14216">
        <f>IF(ISNUMBER(Input!B14216),IF(AND(Input!B14216&gt;=20,Input!B14216&lt;=700),Input!B14216,""),"")</f>
        <v/>
      </c>
      <c r="C14216">
        <f>IF(B14216="","",INT(A14216))</f>
        <v/>
      </c>
      <c r="D14216">
        <f>IF(B14216="","",HOUR(A14216))</f>
        <v/>
      </c>
    </row>
    <row r="14217">
      <c r="A14217">
        <f>Input!A14217</f>
        <v/>
      </c>
      <c r="B14217">
        <f>IF(ISNUMBER(Input!B14217),IF(AND(Input!B14217&gt;=20,Input!B14217&lt;=700),Input!B14217,""),"")</f>
        <v/>
      </c>
      <c r="C14217">
        <f>IF(B14217="","",INT(A14217))</f>
        <v/>
      </c>
      <c r="D14217">
        <f>IF(B14217="","",HOUR(A14217))</f>
        <v/>
      </c>
    </row>
    <row r="14218">
      <c r="A14218">
        <f>Input!A14218</f>
        <v/>
      </c>
      <c r="B14218">
        <f>IF(ISNUMBER(Input!B14218),IF(AND(Input!B14218&gt;=20,Input!B14218&lt;=700),Input!B14218,""),"")</f>
        <v/>
      </c>
      <c r="C14218">
        <f>IF(B14218="","",INT(A14218))</f>
        <v/>
      </c>
      <c r="D14218">
        <f>IF(B14218="","",HOUR(A14218))</f>
        <v/>
      </c>
    </row>
    <row r="14219">
      <c r="A14219">
        <f>Input!A14219</f>
        <v/>
      </c>
      <c r="B14219">
        <f>IF(ISNUMBER(Input!B14219),IF(AND(Input!B14219&gt;=20,Input!B14219&lt;=700),Input!B14219,""),"")</f>
        <v/>
      </c>
      <c r="C14219">
        <f>IF(B14219="","",INT(A14219))</f>
        <v/>
      </c>
      <c r="D14219">
        <f>IF(B14219="","",HOUR(A14219))</f>
        <v/>
      </c>
    </row>
    <row r="14220">
      <c r="A14220">
        <f>Input!A14220</f>
        <v/>
      </c>
      <c r="B14220">
        <f>IF(ISNUMBER(Input!B14220),IF(AND(Input!B14220&gt;=20,Input!B14220&lt;=700),Input!B14220,""),"")</f>
        <v/>
      </c>
      <c r="C14220">
        <f>IF(B14220="","",INT(A14220))</f>
        <v/>
      </c>
      <c r="D14220">
        <f>IF(B14220="","",HOUR(A14220))</f>
        <v/>
      </c>
    </row>
    <row r="14221">
      <c r="A14221">
        <f>Input!A14221</f>
        <v/>
      </c>
      <c r="B14221">
        <f>IF(ISNUMBER(Input!B14221),IF(AND(Input!B14221&gt;=20,Input!B14221&lt;=700),Input!B14221,""),"")</f>
        <v/>
      </c>
      <c r="C14221">
        <f>IF(B14221="","",INT(A14221))</f>
        <v/>
      </c>
      <c r="D14221">
        <f>IF(B14221="","",HOUR(A14221))</f>
        <v/>
      </c>
    </row>
    <row r="14222">
      <c r="A14222">
        <f>Input!A14222</f>
        <v/>
      </c>
      <c r="B14222">
        <f>IF(ISNUMBER(Input!B14222),IF(AND(Input!B14222&gt;=20,Input!B14222&lt;=700),Input!B14222,""),"")</f>
        <v/>
      </c>
      <c r="C14222">
        <f>IF(B14222="","",INT(A14222))</f>
        <v/>
      </c>
      <c r="D14222">
        <f>IF(B14222="","",HOUR(A14222))</f>
        <v/>
      </c>
    </row>
    <row r="14223">
      <c r="A14223">
        <f>Input!A14223</f>
        <v/>
      </c>
      <c r="B14223">
        <f>IF(ISNUMBER(Input!B14223),IF(AND(Input!B14223&gt;=20,Input!B14223&lt;=700),Input!B14223,""),"")</f>
        <v/>
      </c>
      <c r="C14223">
        <f>IF(B14223="","",INT(A14223))</f>
        <v/>
      </c>
      <c r="D14223">
        <f>IF(B14223="","",HOUR(A14223))</f>
        <v/>
      </c>
    </row>
    <row r="14224">
      <c r="A14224">
        <f>Input!A14224</f>
        <v/>
      </c>
      <c r="B14224">
        <f>IF(ISNUMBER(Input!B14224),IF(AND(Input!B14224&gt;=20,Input!B14224&lt;=700),Input!B14224,""),"")</f>
        <v/>
      </c>
      <c r="C14224">
        <f>IF(B14224="","",INT(A14224))</f>
        <v/>
      </c>
      <c r="D14224">
        <f>IF(B14224="","",HOUR(A14224))</f>
        <v/>
      </c>
    </row>
    <row r="14225">
      <c r="A14225">
        <f>Input!A14225</f>
        <v/>
      </c>
      <c r="B14225">
        <f>IF(ISNUMBER(Input!B14225),IF(AND(Input!B14225&gt;=20,Input!B14225&lt;=700),Input!B14225,""),"")</f>
        <v/>
      </c>
      <c r="C14225">
        <f>IF(B14225="","",INT(A14225))</f>
        <v/>
      </c>
      <c r="D14225">
        <f>IF(B14225="","",HOUR(A14225))</f>
        <v/>
      </c>
    </row>
    <row r="14226">
      <c r="A14226">
        <f>Input!A14226</f>
        <v/>
      </c>
      <c r="B14226">
        <f>IF(ISNUMBER(Input!B14226),IF(AND(Input!B14226&gt;=20,Input!B14226&lt;=700),Input!B14226,""),"")</f>
        <v/>
      </c>
      <c r="C14226">
        <f>IF(B14226="","",INT(A14226))</f>
        <v/>
      </c>
      <c r="D14226">
        <f>IF(B14226="","",HOUR(A14226))</f>
        <v/>
      </c>
    </row>
    <row r="14227">
      <c r="A14227">
        <f>Input!A14227</f>
        <v/>
      </c>
      <c r="B14227">
        <f>IF(ISNUMBER(Input!B14227),IF(AND(Input!B14227&gt;=20,Input!B14227&lt;=700),Input!B14227,""),"")</f>
        <v/>
      </c>
      <c r="C14227">
        <f>IF(B14227="","",INT(A14227))</f>
        <v/>
      </c>
      <c r="D14227">
        <f>IF(B14227="","",HOUR(A14227))</f>
        <v/>
      </c>
    </row>
    <row r="14228">
      <c r="A14228">
        <f>Input!A14228</f>
        <v/>
      </c>
      <c r="B14228">
        <f>IF(ISNUMBER(Input!B14228),IF(AND(Input!B14228&gt;=20,Input!B14228&lt;=700),Input!B14228,""),"")</f>
        <v/>
      </c>
      <c r="C14228">
        <f>IF(B14228="","",INT(A14228))</f>
        <v/>
      </c>
      <c r="D14228">
        <f>IF(B14228="","",HOUR(A14228))</f>
        <v/>
      </c>
    </row>
    <row r="14229">
      <c r="A14229">
        <f>Input!A14229</f>
        <v/>
      </c>
      <c r="B14229">
        <f>IF(ISNUMBER(Input!B14229),IF(AND(Input!B14229&gt;=20,Input!B14229&lt;=700),Input!B14229,""),"")</f>
        <v/>
      </c>
      <c r="C14229">
        <f>IF(B14229="","",INT(A14229))</f>
        <v/>
      </c>
      <c r="D14229">
        <f>IF(B14229="","",HOUR(A14229))</f>
        <v/>
      </c>
    </row>
    <row r="14230">
      <c r="A14230">
        <f>Input!A14230</f>
        <v/>
      </c>
      <c r="B14230">
        <f>IF(ISNUMBER(Input!B14230),IF(AND(Input!B14230&gt;=20,Input!B14230&lt;=700),Input!B14230,""),"")</f>
        <v/>
      </c>
      <c r="C14230">
        <f>IF(B14230="","",INT(A14230))</f>
        <v/>
      </c>
      <c r="D14230">
        <f>IF(B14230="","",HOUR(A14230))</f>
        <v/>
      </c>
    </row>
    <row r="14231">
      <c r="A14231">
        <f>Input!A14231</f>
        <v/>
      </c>
      <c r="B14231">
        <f>IF(ISNUMBER(Input!B14231),IF(AND(Input!B14231&gt;=20,Input!B14231&lt;=700),Input!B14231,""),"")</f>
        <v/>
      </c>
      <c r="C14231">
        <f>IF(B14231="","",INT(A14231))</f>
        <v/>
      </c>
      <c r="D14231">
        <f>IF(B14231="","",HOUR(A14231))</f>
        <v/>
      </c>
    </row>
    <row r="14232">
      <c r="A14232">
        <f>Input!A14232</f>
        <v/>
      </c>
      <c r="B14232">
        <f>IF(ISNUMBER(Input!B14232),IF(AND(Input!B14232&gt;=20,Input!B14232&lt;=700),Input!B14232,""),"")</f>
        <v/>
      </c>
      <c r="C14232">
        <f>IF(B14232="","",INT(A14232))</f>
        <v/>
      </c>
      <c r="D14232">
        <f>IF(B14232="","",HOUR(A14232))</f>
        <v/>
      </c>
    </row>
    <row r="14233">
      <c r="A14233">
        <f>Input!A14233</f>
        <v/>
      </c>
      <c r="B14233">
        <f>IF(ISNUMBER(Input!B14233),IF(AND(Input!B14233&gt;=20,Input!B14233&lt;=700),Input!B14233,""),"")</f>
        <v/>
      </c>
      <c r="C14233">
        <f>IF(B14233="","",INT(A14233))</f>
        <v/>
      </c>
      <c r="D14233">
        <f>IF(B14233="","",HOUR(A14233))</f>
        <v/>
      </c>
    </row>
    <row r="14234">
      <c r="A14234">
        <f>Input!A14234</f>
        <v/>
      </c>
      <c r="B14234">
        <f>IF(ISNUMBER(Input!B14234),IF(AND(Input!B14234&gt;=20,Input!B14234&lt;=700),Input!B14234,""),"")</f>
        <v/>
      </c>
      <c r="C14234">
        <f>IF(B14234="","",INT(A14234))</f>
        <v/>
      </c>
      <c r="D14234">
        <f>IF(B14234="","",HOUR(A14234))</f>
        <v/>
      </c>
    </row>
    <row r="14235">
      <c r="A14235">
        <f>Input!A14235</f>
        <v/>
      </c>
      <c r="B14235">
        <f>IF(ISNUMBER(Input!B14235),IF(AND(Input!B14235&gt;=20,Input!B14235&lt;=700),Input!B14235,""),"")</f>
        <v/>
      </c>
      <c r="C14235">
        <f>IF(B14235="","",INT(A14235))</f>
        <v/>
      </c>
      <c r="D14235">
        <f>IF(B14235="","",HOUR(A14235))</f>
        <v/>
      </c>
    </row>
    <row r="14236">
      <c r="A14236">
        <f>Input!A14236</f>
        <v/>
      </c>
      <c r="B14236">
        <f>IF(ISNUMBER(Input!B14236),IF(AND(Input!B14236&gt;=20,Input!B14236&lt;=700),Input!B14236,""),"")</f>
        <v/>
      </c>
      <c r="C14236">
        <f>IF(B14236="","",INT(A14236))</f>
        <v/>
      </c>
      <c r="D14236">
        <f>IF(B14236="","",HOUR(A14236))</f>
        <v/>
      </c>
    </row>
    <row r="14237">
      <c r="A14237">
        <f>Input!A14237</f>
        <v/>
      </c>
      <c r="B14237">
        <f>IF(ISNUMBER(Input!B14237),IF(AND(Input!B14237&gt;=20,Input!B14237&lt;=700),Input!B14237,""),"")</f>
        <v/>
      </c>
      <c r="C14237">
        <f>IF(B14237="","",INT(A14237))</f>
        <v/>
      </c>
      <c r="D14237">
        <f>IF(B14237="","",HOUR(A14237))</f>
        <v/>
      </c>
    </row>
    <row r="14238">
      <c r="A14238">
        <f>Input!A14238</f>
        <v/>
      </c>
      <c r="B14238">
        <f>IF(ISNUMBER(Input!B14238),IF(AND(Input!B14238&gt;=20,Input!B14238&lt;=700),Input!B14238,""),"")</f>
        <v/>
      </c>
      <c r="C14238">
        <f>IF(B14238="","",INT(A14238))</f>
        <v/>
      </c>
      <c r="D14238">
        <f>IF(B14238="","",HOUR(A14238))</f>
        <v/>
      </c>
    </row>
    <row r="14239">
      <c r="A14239">
        <f>Input!A14239</f>
        <v/>
      </c>
      <c r="B14239">
        <f>IF(ISNUMBER(Input!B14239),IF(AND(Input!B14239&gt;=20,Input!B14239&lt;=700),Input!B14239,""),"")</f>
        <v/>
      </c>
      <c r="C14239">
        <f>IF(B14239="","",INT(A14239))</f>
        <v/>
      </c>
      <c r="D14239">
        <f>IF(B14239="","",HOUR(A14239))</f>
        <v/>
      </c>
    </row>
    <row r="14240">
      <c r="A14240">
        <f>Input!A14240</f>
        <v/>
      </c>
      <c r="B14240">
        <f>IF(ISNUMBER(Input!B14240),IF(AND(Input!B14240&gt;=20,Input!B14240&lt;=700),Input!B14240,""),"")</f>
        <v/>
      </c>
      <c r="C14240">
        <f>IF(B14240="","",INT(A14240))</f>
        <v/>
      </c>
      <c r="D14240">
        <f>IF(B14240="","",HOUR(A14240))</f>
        <v/>
      </c>
    </row>
    <row r="14241">
      <c r="A14241">
        <f>Input!A14241</f>
        <v/>
      </c>
      <c r="B14241">
        <f>IF(ISNUMBER(Input!B14241),IF(AND(Input!B14241&gt;=20,Input!B14241&lt;=700),Input!B14241,""),"")</f>
        <v/>
      </c>
      <c r="C14241">
        <f>IF(B14241="","",INT(A14241))</f>
        <v/>
      </c>
      <c r="D14241">
        <f>IF(B14241="","",HOUR(A14241))</f>
        <v/>
      </c>
    </row>
    <row r="14242">
      <c r="A14242">
        <f>Input!A14242</f>
        <v/>
      </c>
      <c r="B14242">
        <f>IF(ISNUMBER(Input!B14242),IF(AND(Input!B14242&gt;=20,Input!B14242&lt;=700),Input!B14242,""),"")</f>
        <v/>
      </c>
      <c r="C14242">
        <f>IF(B14242="","",INT(A14242))</f>
        <v/>
      </c>
      <c r="D14242">
        <f>IF(B14242="","",HOUR(A14242))</f>
        <v/>
      </c>
    </row>
    <row r="14243">
      <c r="A14243">
        <f>Input!A14243</f>
        <v/>
      </c>
      <c r="B14243">
        <f>IF(ISNUMBER(Input!B14243),IF(AND(Input!B14243&gt;=20,Input!B14243&lt;=700),Input!B14243,""),"")</f>
        <v/>
      </c>
      <c r="C14243">
        <f>IF(B14243="","",INT(A14243))</f>
        <v/>
      </c>
      <c r="D14243">
        <f>IF(B14243="","",HOUR(A14243))</f>
        <v/>
      </c>
    </row>
    <row r="14244">
      <c r="A14244">
        <f>Input!A14244</f>
        <v/>
      </c>
      <c r="B14244">
        <f>IF(ISNUMBER(Input!B14244),IF(AND(Input!B14244&gt;=20,Input!B14244&lt;=700),Input!B14244,""),"")</f>
        <v/>
      </c>
      <c r="C14244">
        <f>IF(B14244="","",INT(A14244))</f>
        <v/>
      </c>
      <c r="D14244">
        <f>IF(B14244="","",HOUR(A14244))</f>
        <v/>
      </c>
    </row>
    <row r="14245">
      <c r="A14245">
        <f>Input!A14245</f>
        <v/>
      </c>
      <c r="B14245">
        <f>IF(ISNUMBER(Input!B14245),IF(AND(Input!B14245&gt;=20,Input!B14245&lt;=700),Input!B14245,""),"")</f>
        <v/>
      </c>
      <c r="C14245">
        <f>IF(B14245="","",INT(A14245))</f>
        <v/>
      </c>
      <c r="D14245">
        <f>IF(B14245="","",HOUR(A14245))</f>
        <v/>
      </c>
    </row>
    <row r="14246">
      <c r="A14246">
        <f>Input!A14246</f>
        <v/>
      </c>
      <c r="B14246">
        <f>IF(ISNUMBER(Input!B14246),IF(AND(Input!B14246&gt;=20,Input!B14246&lt;=700),Input!B14246,""),"")</f>
        <v/>
      </c>
      <c r="C14246">
        <f>IF(B14246="","",INT(A14246))</f>
        <v/>
      </c>
      <c r="D14246">
        <f>IF(B14246="","",HOUR(A14246))</f>
        <v/>
      </c>
    </row>
    <row r="14247">
      <c r="A14247">
        <f>Input!A14247</f>
        <v/>
      </c>
      <c r="B14247">
        <f>IF(ISNUMBER(Input!B14247),IF(AND(Input!B14247&gt;=20,Input!B14247&lt;=700),Input!B14247,""),"")</f>
        <v/>
      </c>
      <c r="C14247">
        <f>IF(B14247="","",INT(A14247))</f>
        <v/>
      </c>
      <c r="D14247">
        <f>IF(B14247="","",HOUR(A14247))</f>
        <v/>
      </c>
    </row>
    <row r="14248">
      <c r="A14248">
        <f>Input!A14248</f>
        <v/>
      </c>
      <c r="B14248">
        <f>IF(ISNUMBER(Input!B14248),IF(AND(Input!B14248&gt;=20,Input!B14248&lt;=700),Input!B14248,""),"")</f>
        <v/>
      </c>
      <c r="C14248">
        <f>IF(B14248="","",INT(A14248))</f>
        <v/>
      </c>
      <c r="D14248">
        <f>IF(B14248="","",HOUR(A14248))</f>
        <v/>
      </c>
    </row>
    <row r="14249">
      <c r="A14249">
        <f>Input!A14249</f>
        <v/>
      </c>
      <c r="B14249">
        <f>IF(ISNUMBER(Input!B14249),IF(AND(Input!B14249&gt;=20,Input!B14249&lt;=700),Input!B14249,""),"")</f>
        <v/>
      </c>
      <c r="C14249">
        <f>IF(B14249="","",INT(A14249))</f>
        <v/>
      </c>
      <c r="D14249">
        <f>IF(B14249="","",HOUR(A14249))</f>
        <v/>
      </c>
    </row>
    <row r="14250">
      <c r="A14250">
        <f>Input!A14250</f>
        <v/>
      </c>
      <c r="B14250">
        <f>IF(ISNUMBER(Input!B14250),IF(AND(Input!B14250&gt;=20,Input!B14250&lt;=700),Input!B14250,""),"")</f>
        <v/>
      </c>
      <c r="C14250">
        <f>IF(B14250="","",INT(A14250))</f>
        <v/>
      </c>
      <c r="D14250">
        <f>IF(B14250="","",HOUR(A14250))</f>
        <v/>
      </c>
    </row>
    <row r="14251">
      <c r="A14251">
        <f>Input!A14251</f>
        <v/>
      </c>
      <c r="B14251">
        <f>IF(ISNUMBER(Input!B14251),IF(AND(Input!B14251&gt;=20,Input!B14251&lt;=700),Input!B14251,""),"")</f>
        <v/>
      </c>
      <c r="C14251">
        <f>IF(B14251="","",INT(A14251))</f>
        <v/>
      </c>
      <c r="D14251">
        <f>IF(B14251="","",HOUR(A14251))</f>
        <v/>
      </c>
    </row>
    <row r="14252">
      <c r="A14252">
        <f>Input!A14252</f>
        <v/>
      </c>
      <c r="B14252">
        <f>IF(ISNUMBER(Input!B14252),IF(AND(Input!B14252&gt;=20,Input!B14252&lt;=700),Input!B14252,""),"")</f>
        <v/>
      </c>
      <c r="C14252">
        <f>IF(B14252="","",INT(A14252))</f>
        <v/>
      </c>
      <c r="D14252">
        <f>IF(B14252="","",HOUR(A14252))</f>
        <v/>
      </c>
    </row>
    <row r="14253">
      <c r="A14253">
        <f>Input!A14253</f>
        <v/>
      </c>
      <c r="B14253">
        <f>IF(ISNUMBER(Input!B14253),IF(AND(Input!B14253&gt;=20,Input!B14253&lt;=700),Input!B14253,""),"")</f>
        <v/>
      </c>
      <c r="C14253">
        <f>IF(B14253="","",INT(A14253))</f>
        <v/>
      </c>
      <c r="D14253">
        <f>IF(B14253="","",HOUR(A14253))</f>
        <v/>
      </c>
    </row>
    <row r="14254">
      <c r="A14254">
        <f>Input!A14254</f>
        <v/>
      </c>
      <c r="B14254">
        <f>IF(ISNUMBER(Input!B14254),IF(AND(Input!B14254&gt;=20,Input!B14254&lt;=700),Input!B14254,""),"")</f>
        <v/>
      </c>
      <c r="C14254">
        <f>IF(B14254="","",INT(A14254))</f>
        <v/>
      </c>
      <c r="D14254">
        <f>IF(B14254="","",HOUR(A14254))</f>
        <v/>
      </c>
    </row>
    <row r="14255">
      <c r="A14255">
        <f>Input!A14255</f>
        <v/>
      </c>
      <c r="B14255">
        <f>IF(ISNUMBER(Input!B14255),IF(AND(Input!B14255&gt;=20,Input!B14255&lt;=700),Input!B14255,""),"")</f>
        <v/>
      </c>
      <c r="C14255">
        <f>IF(B14255="","",INT(A14255))</f>
        <v/>
      </c>
      <c r="D14255">
        <f>IF(B14255="","",HOUR(A14255))</f>
        <v/>
      </c>
    </row>
    <row r="14256">
      <c r="A14256">
        <f>Input!A14256</f>
        <v/>
      </c>
      <c r="B14256">
        <f>IF(ISNUMBER(Input!B14256),IF(AND(Input!B14256&gt;=20,Input!B14256&lt;=700),Input!B14256,""),"")</f>
        <v/>
      </c>
      <c r="C14256">
        <f>IF(B14256="","",INT(A14256))</f>
        <v/>
      </c>
      <c r="D14256">
        <f>IF(B14256="","",HOUR(A14256))</f>
        <v/>
      </c>
    </row>
    <row r="14257">
      <c r="A14257">
        <f>Input!A14257</f>
        <v/>
      </c>
      <c r="B14257">
        <f>IF(ISNUMBER(Input!B14257),IF(AND(Input!B14257&gt;=20,Input!B14257&lt;=700),Input!B14257,""),"")</f>
        <v/>
      </c>
      <c r="C14257">
        <f>IF(B14257="","",INT(A14257))</f>
        <v/>
      </c>
      <c r="D14257">
        <f>IF(B14257="","",HOUR(A14257))</f>
        <v/>
      </c>
    </row>
    <row r="14258">
      <c r="A14258">
        <f>Input!A14258</f>
        <v/>
      </c>
      <c r="B14258">
        <f>IF(ISNUMBER(Input!B14258),IF(AND(Input!B14258&gt;=20,Input!B14258&lt;=700),Input!B14258,""),"")</f>
        <v/>
      </c>
      <c r="C14258">
        <f>IF(B14258="","",INT(A14258))</f>
        <v/>
      </c>
      <c r="D14258">
        <f>IF(B14258="","",HOUR(A14258))</f>
        <v/>
      </c>
    </row>
    <row r="14259">
      <c r="A14259">
        <f>Input!A14259</f>
        <v/>
      </c>
      <c r="B14259">
        <f>IF(ISNUMBER(Input!B14259),IF(AND(Input!B14259&gt;=20,Input!B14259&lt;=700),Input!B14259,""),"")</f>
        <v/>
      </c>
      <c r="C14259">
        <f>IF(B14259="","",INT(A14259))</f>
        <v/>
      </c>
      <c r="D14259">
        <f>IF(B14259="","",HOUR(A14259))</f>
        <v/>
      </c>
    </row>
    <row r="14260">
      <c r="A14260">
        <f>Input!A14260</f>
        <v/>
      </c>
      <c r="B14260">
        <f>IF(ISNUMBER(Input!B14260),IF(AND(Input!B14260&gt;=20,Input!B14260&lt;=700),Input!B14260,""),"")</f>
        <v/>
      </c>
      <c r="C14260">
        <f>IF(B14260="","",INT(A14260))</f>
        <v/>
      </c>
      <c r="D14260">
        <f>IF(B14260="","",HOUR(A14260))</f>
        <v/>
      </c>
    </row>
    <row r="14261">
      <c r="A14261">
        <f>Input!A14261</f>
        <v/>
      </c>
      <c r="B14261">
        <f>IF(ISNUMBER(Input!B14261),IF(AND(Input!B14261&gt;=20,Input!B14261&lt;=700),Input!B14261,""),"")</f>
        <v/>
      </c>
      <c r="C14261">
        <f>IF(B14261="","",INT(A14261))</f>
        <v/>
      </c>
      <c r="D14261">
        <f>IF(B14261="","",HOUR(A14261))</f>
        <v/>
      </c>
    </row>
    <row r="14262">
      <c r="A14262">
        <f>Input!A14262</f>
        <v/>
      </c>
      <c r="B14262">
        <f>IF(ISNUMBER(Input!B14262),IF(AND(Input!B14262&gt;=20,Input!B14262&lt;=700),Input!B14262,""),"")</f>
        <v/>
      </c>
      <c r="C14262">
        <f>IF(B14262="","",INT(A14262))</f>
        <v/>
      </c>
      <c r="D14262">
        <f>IF(B14262="","",HOUR(A14262))</f>
        <v/>
      </c>
    </row>
    <row r="14263">
      <c r="A14263">
        <f>Input!A14263</f>
        <v/>
      </c>
      <c r="B14263">
        <f>IF(ISNUMBER(Input!B14263),IF(AND(Input!B14263&gt;=20,Input!B14263&lt;=700),Input!B14263,""),"")</f>
        <v/>
      </c>
      <c r="C14263">
        <f>IF(B14263="","",INT(A14263))</f>
        <v/>
      </c>
      <c r="D14263">
        <f>IF(B14263="","",HOUR(A14263))</f>
        <v/>
      </c>
    </row>
    <row r="14264">
      <c r="A14264">
        <f>Input!A14264</f>
        <v/>
      </c>
      <c r="B14264">
        <f>IF(ISNUMBER(Input!B14264),IF(AND(Input!B14264&gt;=20,Input!B14264&lt;=700),Input!B14264,""),"")</f>
        <v/>
      </c>
      <c r="C14264">
        <f>IF(B14264="","",INT(A14264))</f>
        <v/>
      </c>
      <c r="D14264">
        <f>IF(B14264="","",HOUR(A14264))</f>
        <v/>
      </c>
    </row>
    <row r="14265">
      <c r="A14265">
        <f>Input!A14265</f>
        <v/>
      </c>
      <c r="B14265">
        <f>IF(ISNUMBER(Input!B14265),IF(AND(Input!B14265&gt;=20,Input!B14265&lt;=700),Input!B14265,""),"")</f>
        <v/>
      </c>
      <c r="C14265">
        <f>IF(B14265="","",INT(A14265))</f>
        <v/>
      </c>
      <c r="D14265">
        <f>IF(B14265="","",HOUR(A14265))</f>
        <v/>
      </c>
    </row>
    <row r="14266">
      <c r="A14266">
        <f>Input!A14266</f>
        <v/>
      </c>
      <c r="B14266">
        <f>IF(ISNUMBER(Input!B14266),IF(AND(Input!B14266&gt;=20,Input!B14266&lt;=700),Input!B14266,""),"")</f>
        <v/>
      </c>
      <c r="C14266">
        <f>IF(B14266="","",INT(A14266))</f>
        <v/>
      </c>
      <c r="D14266">
        <f>IF(B14266="","",HOUR(A14266))</f>
        <v/>
      </c>
    </row>
    <row r="14267">
      <c r="A14267">
        <f>Input!A14267</f>
        <v/>
      </c>
      <c r="B14267">
        <f>IF(ISNUMBER(Input!B14267),IF(AND(Input!B14267&gt;=20,Input!B14267&lt;=700),Input!B14267,""),"")</f>
        <v/>
      </c>
      <c r="C14267">
        <f>IF(B14267="","",INT(A14267))</f>
        <v/>
      </c>
      <c r="D14267">
        <f>IF(B14267="","",HOUR(A14267))</f>
        <v/>
      </c>
    </row>
    <row r="14268">
      <c r="A14268">
        <f>Input!A14268</f>
        <v/>
      </c>
      <c r="B14268">
        <f>IF(ISNUMBER(Input!B14268),IF(AND(Input!B14268&gt;=20,Input!B14268&lt;=700),Input!B14268,""),"")</f>
        <v/>
      </c>
      <c r="C14268">
        <f>IF(B14268="","",INT(A14268))</f>
        <v/>
      </c>
      <c r="D14268">
        <f>IF(B14268="","",HOUR(A14268))</f>
        <v/>
      </c>
    </row>
    <row r="14269">
      <c r="A14269">
        <f>Input!A14269</f>
        <v/>
      </c>
      <c r="B14269">
        <f>IF(ISNUMBER(Input!B14269),IF(AND(Input!B14269&gt;=20,Input!B14269&lt;=700),Input!B14269,""),"")</f>
        <v/>
      </c>
      <c r="C14269">
        <f>IF(B14269="","",INT(A14269))</f>
        <v/>
      </c>
      <c r="D14269">
        <f>IF(B14269="","",HOUR(A14269))</f>
        <v/>
      </c>
    </row>
    <row r="14270">
      <c r="A14270">
        <f>Input!A14270</f>
        <v/>
      </c>
      <c r="B14270">
        <f>IF(ISNUMBER(Input!B14270),IF(AND(Input!B14270&gt;=20,Input!B14270&lt;=700),Input!B14270,""),"")</f>
        <v/>
      </c>
      <c r="C14270">
        <f>IF(B14270="","",INT(A14270))</f>
        <v/>
      </c>
      <c r="D14270">
        <f>IF(B14270="","",HOUR(A14270))</f>
        <v/>
      </c>
    </row>
    <row r="14271">
      <c r="A14271">
        <f>Input!A14271</f>
        <v/>
      </c>
      <c r="B14271">
        <f>IF(ISNUMBER(Input!B14271),IF(AND(Input!B14271&gt;=20,Input!B14271&lt;=700),Input!B14271,""),"")</f>
        <v/>
      </c>
      <c r="C14271">
        <f>IF(B14271="","",INT(A14271))</f>
        <v/>
      </c>
      <c r="D14271">
        <f>IF(B14271="","",HOUR(A14271))</f>
        <v/>
      </c>
    </row>
    <row r="14272">
      <c r="A14272">
        <f>Input!A14272</f>
        <v/>
      </c>
      <c r="B14272">
        <f>IF(ISNUMBER(Input!B14272),IF(AND(Input!B14272&gt;=20,Input!B14272&lt;=700),Input!B14272,""),"")</f>
        <v/>
      </c>
      <c r="C14272">
        <f>IF(B14272="","",INT(A14272))</f>
        <v/>
      </c>
      <c r="D14272">
        <f>IF(B14272="","",HOUR(A14272))</f>
        <v/>
      </c>
    </row>
    <row r="14273">
      <c r="A14273">
        <f>Input!A14273</f>
        <v/>
      </c>
      <c r="B14273">
        <f>IF(ISNUMBER(Input!B14273),IF(AND(Input!B14273&gt;=20,Input!B14273&lt;=700),Input!B14273,""),"")</f>
        <v/>
      </c>
      <c r="C14273">
        <f>IF(B14273="","",INT(A14273))</f>
        <v/>
      </c>
      <c r="D14273">
        <f>IF(B14273="","",HOUR(A14273))</f>
        <v/>
      </c>
    </row>
    <row r="14274">
      <c r="A14274">
        <f>Input!A14274</f>
        <v/>
      </c>
      <c r="B14274">
        <f>IF(ISNUMBER(Input!B14274),IF(AND(Input!B14274&gt;=20,Input!B14274&lt;=700),Input!B14274,""),"")</f>
        <v/>
      </c>
      <c r="C14274">
        <f>IF(B14274="","",INT(A14274))</f>
        <v/>
      </c>
      <c r="D14274">
        <f>IF(B14274="","",HOUR(A14274))</f>
        <v/>
      </c>
    </row>
    <row r="14275">
      <c r="A14275">
        <f>Input!A14275</f>
        <v/>
      </c>
      <c r="B14275">
        <f>IF(ISNUMBER(Input!B14275),IF(AND(Input!B14275&gt;=20,Input!B14275&lt;=700),Input!B14275,""),"")</f>
        <v/>
      </c>
      <c r="C14275">
        <f>IF(B14275="","",INT(A14275))</f>
        <v/>
      </c>
      <c r="D14275">
        <f>IF(B14275="","",HOUR(A14275))</f>
        <v/>
      </c>
    </row>
    <row r="14276">
      <c r="A14276">
        <f>Input!A14276</f>
        <v/>
      </c>
      <c r="B14276">
        <f>IF(ISNUMBER(Input!B14276),IF(AND(Input!B14276&gt;=20,Input!B14276&lt;=700),Input!B14276,""),"")</f>
        <v/>
      </c>
      <c r="C14276">
        <f>IF(B14276="","",INT(A14276))</f>
        <v/>
      </c>
      <c r="D14276">
        <f>IF(B14276="","",HOUR(A14276))</f>
        <v/>
      </c>
    </row>
    <row r="14277">
      <c r="A14277">
        <f>Input!A14277</f>
        <v/>
      </c>
      <c r="B14277">
        <f>IF(ISNUMBER(Input!B14277),IF(AND(Input!B14277&gt;=20,Input!B14277&lt;=700),Input!B14277,""),"")</f>
        <v/>
      </c>
      <c r="C14277">
        <f>IF(B14277="","",INT(A14277))</f>
        <v/>
      </c>
      <c r="D14277">
        <f>IF(B14277="","",HOUR(A14277))</f>
        <v/>
      </c>
    </row>
    <row r="14278">
      <c r="A14278">
        <f>Input!A14278</f>
        <v/>
      </c>
      <c r="B14278">
        <f>IF(ISNUMBER(Input!B14278),IF(AND(Input!B14278&gt;=20,Input!B14278&lt;=700),Input!B14278,""),"")</f>
        <v/>
      </c>
      <c r="C14278">
        <f>IF(B14278="","",INT(A14278))</f>
        <v/>
      </c>
      <c r="D14278">
        <f>IF(B14278="","",HOUR(A14278))</f>
        <v/>
      </c>
    </row>
    <row r="14279">
      <c r="A14279">
        <f>Input!A14279</f>
        <v/>
      </c>
      <c r="B14279">
        <f>IF(ISNUMBER(Input!B14279),IF(AND(Input!B14279&gt;=20,Input!B14279&lt;=700),Input!B14279,""),"")</f>
        <v/>
      </c>
      <c r="C14279">
        <f>IF(B14279="","",INT(A14279))</f>
        <v/>
      </c>
      <c r="D14279">
        <f>IF(B14279="","",HOUR(A14279))</f>
        <v/>
      </c>
    </row>
    <row r="14280">
      <c r="A14280">
        <f>Input!A14280</f>
        <v/>
      </c>
      <c r="B14280">
        <f>IF(ISNUMBER(Input!B14280),IF(AND(Input!B14280&gt;=20,Input!B14280&lt;=700),Input!B14280,""),"")</f>
        <v/>
      </c>
      <c r="C14280">
        <f>IF(B14280="","",INT(A14280))</f>
        <v/>
      </c>
      <c r="D14280">
        <f>IF(B14280="","",HOUR(A14280))</f>
        <v/>
      </c>
    </row>
    <row r="14281">
      <c r="A14281">
        <f>Input!A14281</f>
        <v/>
      </c>
      <c r="B14281">
        <f>IF(ISNUMBER(Input!B14281),IF(AND(Input!B14281&gt;=20,Input!B14281&lt;=700),Input!B14281,""),"")</f>
        <v/>
      </c>
      <c r="C14281">
        <f>IF(B14281="","",INT(A14281))</f>
        <v/>
      </c>
      <c r="D14281">
        <f>IF(B14281="","",HOUR(A14281))</f>
        <v/>
      </c>
    </row>
    <row r="14282">
      <c r="A14282">
        <f>Input!A14282</f>
        <v/>
      </c>
      <c r="B14282">
        <f>IF(ISNUMBER(Input!B14282),IF(AND(Input!B14282&gt;=20,Input!B14282&lt;=700),Input!B14282,""),"")</f>
        <v/>
      </c>
      <c r="C14282">
        <f>IF(B14282="","",INT(A14282))</f>
        <v/>
      </c>
      <c r="D14282">
        <f>IF(B14282="","",HOUR(A14282))</f>
        <v/>
      </c>
    </row>
    <row r="14283">
      <c r="A14283">
        <f>Input!A14283</f>
        <v/>
      </c>
      <c r="B14283">
        <f>IF(ISNUMBER(Input!B14283),IF(AND(Input!B14283&gt;=20,Input!B14283&lt;=700),Input!B14283,""),"")</f>
        <v/>
      </c>
      <c r="C14283">
        <f>IF(B14283="","",INT(A14283))</f>
        <v/>
      </c>
      <c r="D14283">
        <f>IF(B14283="","",HOUR(A14283))</f>
        <v/>
      </c>
    </row>
    <row r="14284">
      <c r="A14284">
        <f>Input!A14284</f>
        <v/>
      </c>
      <c r="B14284">
        <f>IF(ISNUMBER(Input!B14284),IF(AND(Input!B14284&gt;=20,Input!B14284&lt;=700),Input!B14284,""),"")</f>
        <v/>
      </c>
      <c r="C14284">
        <f>IF(B14284="","",INT(A14284))</f>
        <v/>
      </c>
      <c r="D14284">
        <f>IF(B14284="","",HOUR(A14284))</f>
        <v/>
      </c>
    </row>
    <row r="14285">
      <c r="A14285">
        <f>Input!A14285</f>
        <v/>
      </c>
      <c r="B14285">
        <f>IF(ISNUMBER(Input!B14285),IF(AND(Input!B14285&gt;=20,Input!B14285&lt;=700),Input!B14285,""),"")</f>
        <v/>
      </c>
      <c r="C14285">
        <f>IF(B14285="","",INT(A14285))</f>
        <v/>
      </c>
      <c r="D14285">
        <f>IF(B14285="","",HOUR(A14285))</f>
        <v/>
      </c>
    </row>
    <row r="14286">
      <c r="A14286">
        <f>Input!A14286</f>
        <v/>
      </c>
      <c r="B14286">
        <f>IF(ISNUMBER(Input!B14286),IF(AND(Input!B14286&gt;=20,Input!B14286&lt;=700),Input!B14286,""),"")</f>
        <v/>
      </c>
      <c r="C14286">
        <f>IF(B14286="","",INT(A14286))</f>
        <v/>
      </c>
      <c r="D14286">
        <f>IF(B14286="","",HOUR(A14286))</f>
        <v/>
      </c>
    </row>
    <row r="14287">
      <c r="A14287">
        <f>Input!A14287</f>
        <v/>
      </c>
      <c r="B14287">
        <f>IF(ISNUMBER(Input!B14287),IF(AND(Input!B14287&gt;=20,Input!B14287&lt;=700),Input!B14287,""),"")</f>
        <v/>
      </c>
      <c r="C14287">
        <f>IF(B14287="","",INT(A14287))</f>
        <v/>
      </c>
      <c r="D14287">
        <f>IF(B14287="","",HOUR(A14287))</f>
        <v/>
      </c>
    </row>
    <row r="14288">
      <c r="A14288">
        <f>Input!A14288</f>
        <v/>
      </c>
      <c r="B14288">
        <f>IF(ISNUMBER(Input!B14288),IF(AND(Input!B14288&gt;=20,Input!B14288&lt;=700),Input!B14288,""),"")</f>
        <v/>
      </c>
      <c r="C14288">
        <f>IF(B14288="","",INT(A14288))</f>
        <v/>
      </c>
      <c r="D14288">
        <f>IF(B14288="","",HOUR(A14288))</f>
        <v/>
      </c>
    </row>
    <row r="14289">
      <c r="A14289">
        <f>Input!A14289</f>
        <v/>
      </c>
      <c r="B14289">
        <f>IF(ISNUMBER(Input!B14289),IF(AND(Input!B14289&gt;=20,Input!B14289&lt;=700),Input!B14289,""),"")</f>
        <v/>
      </c>
      <c r="C14289">
        <f>IF(B14289="","",INT(A14289))</f>
        <v/>
      </c>
      <c r="D14289">
        <f>IF(B14289="","",HOUR(A14289))</f>
        <v/>
      </c>
    </row>
    <row r="14290">
      <c r="A14290">
        <f>Input!A14290</f>
        <v/>
      </c>
      <c r="B14290">
        <f>IF(ISNUMBER(Input!B14290),IF(AND(Input!B14290&gt;=20,Input!B14290&lt;=700),Input!B14290,""),"")</f>
        <v/>
      </c>
      <c r="C14290">
        <f>IF(B14290="","",INT(A14290))</f>
        <v/>
      </c>
      <c r="D14290">
        <f>IF(B14290="","",HOUR(A14290))</f>
        <v/>
      </c>
    </row>
    <row r="14291">
      <c r="A14291">
        <f>Input!A14291</f>
        <v/>
      </c>
      <c r="B14291">
        <f>IF(ISNUMBER(Input!B14291),IF(AND(Input!B14291&gt;=20,Input!B14291&lt;=700),Input!B14291,""),"")</f>
        <v/>
      </c>
      <c r="C14291">
        <f>IF(B14291="","",INT(A14291))</f>
        <v/>
      </c>
      <c r="D14291">
        <f>IF(B14291="","",HOUR(A14291))</f>
        <v/>
      </c>
    </row>
    <row r="14292">
      <c r="A14292">
        <f>Input!A14292</f>
        <v/>
      </c>
      <c r="B14292">
        <f>IF(ISNUMBER(Input!B14292),IF(AND(Input!B14292&gt;=20,Input!B14292&lt;=700),Input!B14292,""),"")</f>
        <v/>
      </c>
      <c r="C14292">
        <f>IF(B14292="","",INT(A14292))</f>
        <v/>
      </c>
      <c r="D14292">
        <f>IF(B14292="","",HOUR(A14292))</f>
        <v/>
      </c>
    </row>
    <row r="14293">
      <c r="A14293">
        <f>Input!A14293</f>
        <v/>
      </c>
      <c r="B14293">
        <f>IF(ISNUMBER(Input!B14293),IF(AND(Input!B14293&gt;=20,Input!B14293&lt;=700),Input!B14293,""),"")</f>
        <v/>
      </c>
      <c r="C14293">
        <f>IF(B14293="","",INT(A14293))</f>
        <v/>
      </c>
      <c r="D14293">
        <f>IF(B14293="","",HOUR(A14293))</f>
        <v/>
      </c>
    </row>
    <row r="14294">
      <c r="A14294">
        <f>Input!A14294</f>
        <v/>
      </c>
      <c r="B14294">
        <f>IF(ISNUMBER(Input!B14294),IF(AND(Input!B14294&gt;=20,Input!B14294&lt;=700),Input!B14294,""),"")</f>
        <v/>
      </c>
      <c r="C14294">
        <f>IF(B14294="","",INT(A14294))</f>
        <v/>
      </c>
      <c r="D14294">
        <f>IF(B14294="","",HOUR(A14294))</f>
        <v/>
      </c>
    </row>
    <row r="14295">
      <c r="A14295">
        <f>Input!A14295</f>
        <v/>
      </c>
      <c r="B14295">
        <f>IF(ISNUMBER(Input!B14295),IF(AND(Input!B14295&gt;=20,Input!B14295&lt;=700),Input!B14295,""),"")</f>
        <v/>
      </c>
      <c r="C14295">
        <f>IF(B14295="","",INT(A14295))</f>
        <v/>
      </c>
      <c r="D14295">
        <f>IF(B14295="","",HOUR(A14295))</f>
        <v/>
      </c>
    </row>
    <row r="14296">
      <c r="A14296">
        <f>Input!A14296</f>
        <v/>
      </c>
      <c r="B14296">
        <f>IF(ISNUMBER(Input!B14296),IF(AND(Input!B14296&gt;=20,Input!B14296&lt;=700),Input!B14296,""),"")</f>
        <v/>
      </c>
      <c r="C14296">
        <f>IF(B14296="","",INT(A14296))</f>
        <v/>
      </c>
      <c r="D14296">
        <f>IF(B14296="","",HOUR(A14296))</f>
        <v/>
      </c>
    </row>
    <row r="14297">
      <c r="A14297">
        <f>Input!A14297</f>
        <v/>
      </c>
      <c r="B14297">
        <f>IF(ISNUMBER(Input!B14297),IF(AND(Input!B14297&gt;=20,Input!B14297&lt;=700),Input!B14297,""),"")</f>
        <v/>
      </c>
      <c r="C14297">
        <f>IF(B14297="","",INT(A14297))</f>
        <v/>
      </c>
      <c r="D14297">
        <f>IF(B14297="","",HOUR(A14297))</f>
        <v/>
      </c>
    </row>
    <row r="14298">
      <c r="A14298">
        <f>Input!A14298</f>
        <v/>
      </c>
      <c r="B14298">
        <f>IF(ISNUMBER(Input!B14298),IF(AND(Input!B14298&gt;=20,Input!B14298&lt;=700),Input!B14298,""),"")</f>
        <v/>
      </c>
      <c r="C14298">
        <f>IF(B14298="","",INT(A14298))</f>
        <v/>
      </c>
      <c r="D14298">
        <f>IF(B14298="","",HOUR(A14298))</f>
        <v/>
      </c>
    </row>
    <row r="14299">
      <c r="A14299">
        <f>Input!A14299</f>
        <v/>
      </c>
      <c r="B14299">
        <f>IF(ISNUMBER(Input!B14299),IF(AND(Input!B14299&gt;=20,Input!B14299&lt;=700),Input!B14299,""),"")</f>
        <v/>
      </c>
      <c r="C14299">
        <f>IF(B14299="","",INT(A14299))</f>
        <v/>
      </c>
      <c r="D14299">
        <f>IF(B14299="","",HOUR(A14299))</f>
        <v/>
      </c>
    </row>
    <row r="14300">
      <c r="A14300">
        <f>Input!A14300</f>
        <v/>
      </c>
      <c r="B14300">
        <f>IF(ISNUMBER(Input!B14300),IF(AND(Input!B14300&gt;=20,Input!B14300&lt;=700),Input!B14300,""),"")</f>
        <v/>
      </c>
      <c r="C14300">
        <f>IF(B14300="","",INT(A14300))</f>
        <v/>
      </c>
      <c r="D14300">
        <f>IF(B14300="","",HOUR(A14300))</f>
        <v/>
      </c>
    </row>
    <row r="14301">
      <c r="A14301">
        <f>Input!A14301</f>
        <v/>
      </c>
      <c r="B14301">
        <f>IF(ISNUMBER(Input!B14301),IF(AND(Input!B14301&gt;=20,Input!B14301&lt;=700),Input!B14301,""),"")</f>
        <v/>
      </c>
      <c r="C14301">
        <f>IF(B14301="","",INT(A14301))</f>
        <v/>
      </c>
      <c r="D14301">
        <f>IF(B14301="","",HOUR(A14301))</f>
        <v/>
      </c>
    </row>
    <row r="14302">
      <c r="A14302">
        <f>Input!A14302</f>
        <v/>
      </c>
      <c r="B14302">
        <f>IF(ISNUMBER(Input!B14302),IF(AND(Input!B14302&gt;=20,Input!B14302&lt;=700),Input!B14302,""),"")</f>
        <v/>
      </c>
      <c r="C14302">
        <f>IF(B14302="","",INT(A14302))</f>
        <v/>
      </c>
      <c r="D14302">
        <f>IF(B14302="","",HOUR(A14302))</f>
        <v/>
      </c>
    </row>
    <row r="14303">
      <c r="A14303">
        <f>Input!A14303</f>
        <v/>
      </c>
      <c r="B14303">
        <f>IF(ISNUMBER(Input!B14303),IF(AND(Input!B14303&gt;=20,Input!B14303&lt;=700),Input!B14303,""),"")</f>
        <v/>
      </c>
      <c r="C14303">
        <f>IF(B14303="","",INT(A14303))</f>
        <v/>
      </c>
      <c r="D14303">
        <f>IF(B14303="","",HOUR(A14303))</f>
        <v/>
      </c>
    </row>
    <row r="14304">
      <c r="A14304">
        <f>Input!A14304</f>
        <v/>
      </c>
      <c r="B14304">
        <f>IF(ISNUMBER(Input!B14304),IF(AND(Input!B14304&gt;=20,Input!B14304&lt;=700),Input!B14304,""),"")</f>
        <v/>
      </c>
      <c r="C14304">
        <f>IF(B14304="","",INT(A14304))</f>
        <v/>
      </c>
      <c r="D14304">
        <f>IF(B14304="","",HOUR(A14304))</f>
        <v/>
      </c>
    </row>
    <row r="14305">
      <c r="A14305">
        <f>Input!A14305</f>
        <v/>
      </c>
      <c r="B14305">
        <f>IF(ISNUMBER(Input!B14305),IF(AND(Input!B14305&gt;=20,Input!B14305&lt;=700),Input!B14305,""),"")</f>
        <v/>
      </c>
      <c r="C14305">
        <f>IF(B14305="","",INT(A14305))</f>
        <v/>
      </c>
      <c r="D14305">
        <f>IF(B14305="","",HOUR(A14305))</f>
        <v/>
      </c>
    </row>
    <row r="14306">
      <c r="A14306">
        <f>Input!A14306</f>
        <v/>
      </c>
      <c r="B14306">
        <f>IF(ISNUMBER(Input!B14306),IF(AND(Input!B14306&gt;=20,Input!B14306&lt;=700),Input!B14306,""),"")</f>
        <v/>
      </c>
      <c r="C14306">
        <f>IF(B14306="","",INT(A14306))</f>
        <v/>
      </c>
      <c r="D14306">
        <f>IF(B14306="","",HOUR(A14306))</f>
        <v/>
      </c>
    </row>
    <row r="14307">
      <c r="A14307">
        <f>Input!A14307</f>
        <v/>
      </c>
      <c r="B14307">
        <f>IF(ISNUMBER(Input!B14307),IF(AND(Input!B14307&gt;=20,Input!B14307&lt;=700),Input!B14307,""),"")</f>
        <v/>
      </c>
      <c r="C14307">
        <f>IF(B14307="","",INT(A14307))</f>
        <v/>
      </c>
      <c r="D14307">
        <f>IF(B14307="","",HOUR(A14307))</f>
        <v/>
      </c>
    </row>
    <row r="14308">
      <c r="A14308">
        <f>Input!A14308</f>
        <v/>
      </c>
      <c r="B14308">
        <f>IF(ISNUMBER(Input!B14308),IF(AND(Input!B14308&gt;=20,Input!B14308&lt;=700),Input!B14308,""),"")</f>
        <v/>
      </c>
      <c r="C14308">
        <f>IF(B14308="","",INT(A14308))</f>
        <v/>
      </c>
      <c r="D14308">
        <f>IF(B14308="","",HOUR(A14308))</f>
        <v/>
      </c>
    </row>
    <row r="14309">
      <c r="A14309">
        <f>Input!A14309</f>
        <v/>
      </c>
      <c r="B14309">
        <f>IF(ISNUMBER(Input!B14309),IF(AND(Input!B14309&gt;=20,Input!B14309&lt;=700),Input!B14309,""),"")</f>
        <v/>
      </c>
      <c r="C14309">
        <f>IF(B14309="","",INT(A14309))</f>
        <v/>
      </c>
      <c r="D14309">
        <f>IF(B14309="","",HOUR(A14309))</f>
        <v/>
      </c>
    </row>
    <row r="14310">
      <c r="A14310">
        <f>Input!A14310</f>
        <v/>
      </c>
      <c r="B14310">
        <f>IF(ISNUMBER(Input!B14310),IF(AND(Input!B14310&gt;=20,Input!B14310&lt;=700),Input!B14310,""),"")</f>
        <v/>
      </c>
      <c r="C14310">
        <f>IF(B14310="","",INT(A14310))</f>
        <v/>
      </c>
      <c r="D14310">
        <f>IF(B14310="","",HOUR(A14310))</f>
        <v/>
      </c>
    </row>
    <row r="14311">
      <c r="A14311">
        <f>Input!A14311</f>
        <v/>
      </c>
      <c r="B14311">
        <f>IF(ISNUMBER(Input!B14311),IF(AND(Input!B14311&gt;=20,Input!B14311&lt;=700),Input!B14311,""),"")</f>
        <v/>
      </c>
      <c r="C14311">
        <f>IF(B14311="","",INT(A14311))</f>
        <v/>
      </c>
      <c r="D14311">
        <f>IF(B14311="","",HOUR(A14311))</f>
        <v/>
      </c>
    </row>
    <row r="14312">
      <c r="A14312">
        <f>Input!A14312</f>
        <v/>
      </c>
      <c r="B14312">
        <f>IF(ISNUMBER(Input!B14312),IF(AND(Input!B14312&gt;=20,Input!B14312&lt;=700),Input!B14312,""),"")</f>
        <v/>
      </c>
      <c r="C14312">
        <f>IF(B14312="","",INT(A14312))</f>
        <v/>
      </c>
      <c r="D14312">
        <f>IF(B14312="","",HOUR(A14312))</f>
        <v/>
      </c>
    </row>
    <row r="14313">
      <c r="A14313">
        <f>Input!A14313</f>
        <v/>
      </c>
      <c r="B14313">
        <f>IF(ISNUMBER(Input!B14313),IF(AND(Input!B14313&gt;=20,Input!B14313&lt;=700),Input!B14313,""),"")</f>
        <v/>
      </c>
      <c r="C14313">
        <f>IF(B14313="","",INT(A14313))</f>
        <v/>
      </c>
      <c r="D14313">
        <f>IF(B14313="","",HOUR(A14313))</f>
        <v/>
      </c>
    </row>
    <row r="14314">
      <c r="A14314">
        <f>Input!A14314</f>
        <v/>
      </c>
      <c r="B14314">
        <f>IF(ISNUMBER(Input!B14314),IF(AND(Input!B14314&gt;=20,Input!B14314&lt;=700),Input!B14314,""),"")</f>
        <v/>
      </c>
      <c r="C14314">
        <f>IF(B14314="","",INT(A14314))</f>
        <v/>
      </c>
      <c r="D14314">
        <f>IF(B14314="","",HOUR(A14314))</f>
        <v/>
      </c>
    </row>
    <row r="14315">
      <c r="A14315">
        <f>Input!A14315</f>
        <v/>
      </c>
      <c r="B14315">
        <f>IF(ISNUMBER(Input!B14315),IF(AND(Input!B14315&gt;=20,Input!B14315&lt;=700),Input!B14315,""),"")</f>
        <v/>
      </c>
      <c r="C14315">
        <f>IF(B14315="","",INT(A14315))</f>
        <v/>
      </c>
      <c r="D14315">
        <f>IF(B14315="","",HOUR(A14315))</f>
        <v/>
      </c>
    </row>
    <row r="14316">
      <c r="A14316">
        <f>Input!A14316</f>
        <v/>
      </c>
      <c r="B14316">
        <f>IF(ISNUMBER(Input!B14316),IF(AND(Input!B14316&gt;=20,Input!B14316&lt;=700),Input!B14316,""),"")</f>
        <v/>
      </c>
      <c r="C14316">
        <f>IF(B14316="","",INT(A14316))</f>
        <v/>
      </c>
      <c r="D14316">
        <f>IF(B14316="","",HOUR(A14316))</f>
        <v/>
      </c>
    </row>
    <row r="14317">
      <c r="A14317">
        <f>Input!A14317</f>
        <v/>
      </c>
      <c r="B14317">
        <f>IF(ISNUMBER(Input!B14317),IF(AND(Input!B14317&gt;=20,Input!B14317&lt;=700),Input!B14317,""),"")</f>
        <v/>
      </c>
      <c r="C14317">
        <f>IF(B14317="","",INT(A14317))</f>
        <v/>
      </c>
      <c r="D14317">
        <f>IF(B14317="","",HOUR(A14317))</f>
        <v/>
      </c>
    </row>
    <row r="14318">
      <c r="A14318">
        <f>Input!A14318</f>
        <v/>
      </c>
      <c r="B14318">
        <f>IF(ISNUMBER(Input!B14318),IF(AND(Input!B14318&gt;=20,Input!B14318&lt;=700),Input!B14318,""),"")</f>
        <v/>
      </c>
      <c r="C14318">
        <f>IF(B14318="","",INT(A14318))</f>
        <v/>
      </c>
      <c r="D14318">
        <f>IF(B14318="","",HOUR(A14318))</f>
        <v/>
      </c>
    </row>
    <row r="14319">
      <c r="A14319">
        <f>Input!A14319</f>
        <v/>
      </c>
      <c r="B14319">
        <f>IF(ISNUMBER(Input!B14319),IF(AND(Input!B14319&gt;=20,Input!B14319&lt;=700),Input!B14319,""),"")</f>
        <v/>
      </c>
      <c r="C14319">
        <f>IF(B14319="","",INT(A14319))</f>
        <v/>
      </c>
      <c r="D14319">
        <f>IF(B14319="","",HOUR(A14319))</f>
        <v/>
      </c>
    </row>
    <row r="14320">
      <c r="A14320">
        <f>Input!A14320</f>
        <v/>
      </c>
      <c r="B14320">
        <f>IF(ISNUMBER(Input!B14320),IF(AND(Input!B14320&gt;=20,Input!B14320&lt;=700),Input!B14320,""),"")</f>
        <v/>
      </c>
      <c r="C14320">
        <f>IF(B14320="","",INT(A14320))</f>
        <v/>
      </c>
      <c r="D14320">
        <f>IF(B14320="","",HOUR(A14320))</f>
        <v/>
      </c>
    </row>
    <row r="14321">
      <c r="A14321">
        <f>Input!A14321</f>
        <v/>
      </c>
      <c r="B14321">
        <f>IF(ISNUMBER(Input!B14321),IF(AND(Input!B14321&gt;=20,Input!B14321&lt;=700),Input!B14321,""),"")</f>
        <v/>
      </c>
      <c r="C14321">
        <f>IF(B14321="","",INT(A14321))</f>
        <v/>
      </c>
      <c r="D14321">
        <f>IF(B14321="","",HOUR(A14321))</f>
        <v/>
      </c>
    </row>
    <row r="14322">
      <c r="A14322">
        <f>Input!A14322</f>
        <v/>
      </c>
      <c r="B14322">
        <f>IF(ISNUMBER(Input!B14322),IF(AND(Input!B14322&gt;=20,Input!B14322&lt;=700),Input!B14322,""),"")</f>
        <v/>
      </c>
      <c r="C14322">
        <f>IF(B14322="","",INT(A14322))</f>
        <v/>
      </c>
      <c r="D14322">
        <f>IF(B14322="","",HOUR(A14322))</f>
        <v/>
      </c>
    </row>
    <row r="14323">
      <c r="A14323">
        <f>Input!A14323</f>
        <v/>
      </c>
      <c r="B14323">
        <f>IF(ISNUMBER(Input!B14323),IF(AND(Input!B14323&gt;=20,Input!B14323&lt;=700),Input!B14323,""),"")</f>
        <v/>
      </c>
      <c r="C14323">
        <f>IF(B14323="","",INT(A14323))</f>
        <v/>
      </c>
      <c r="D14323">
        <f>IF(B14323="","",HOUR(A14323))</f>
        <v/>
      </c>
    </row>
    <row r="14324">
      <c r="A14324">
        <f>Input!A14324</f>
        <v/>
      </c>
      <c r="B14324">
        <f>IF(ISNUMBER(Input!B14324),IF(AND(Input!B14324&gt;=20,Input!B14324&lt;=700),Input!B14324,""),"")</f>
        <v/>
      </c>
      <c r="C14324">
        <f>IF(B14324="","",INT(A14324))</f>
        <v/>
      </c>
      <c r="D14324">
        <f>IF(B14324="","",HOUR(A14324))</f>
        <v/>
      </c>
    </row>
    <row r="14325">
      <c r="A14325">
        <f>Input!A14325</f>
        <v/>
      </c>
      <c r="B14325">
        <f>IF(ISNUMBER(Input!B14325),IF(AND(Input!B14325&gt;=20,Input!B14325&lt;=700),Input!B14325,""),"")</f>
        <v/>
      </c>
      <c r="C14325">
        <f>IF(B14325="","",INT(A14325))</f>
        <v/>
      </c>
      <c r="D14325">
        <f>IF(B14325="","",HOUR(A14325))</f>
        <v/>
      </c>
    </row>
    <row r="14326">
      <c r="A14326">
        <f>Input!A14326</f>
        <v/>
      </c>
      <c r="B14326">
        <f>IF(ISNUMBER(Input!B14326),IF(AND(Input!B14326&gt;=20,Input!B14326&lt;=700),Input!B14326,""),"")</f>
        <v/>
      </c>
      <c r="C14326">
        <f>IF(B14326="","",INT(A14326))</f>
        <v/>
      </c>
      <c r="D14326">
        <f>IF(B14326="","",HOUR(A14326))</f>
        <v/>
      </c>
    </row>
    <row r="14327">
      <c r="A14327">
        <f>Input!A14327</f>
        <v/>
      </c>
      <c r="B14327">
        <f>IF(ISNUMBER(Input!B14327),IF(AND(Input!B14327&gt;=20,Input!B14327&lt;=700),Input!B14327,""),"")</f>
        <v/>
      </c>
      <c r="C14327">
        <f>IF(B14327="","",INT(A14327))</f>
        <v/>
      </c>
      <c r="D14327">
        <f>IF(B14327="","",HOUR(A14327))</f>
        <v/>
      </c>
    </row>
    <row r="14328">
      <c r="A14328">
        <f>Input!A14328</f>
        <v/>
      </c>
      <c r="B14328">
        <f>IF(ISNUMBER(Input!B14328),IF(AND(Input!B14328&gt;=20,Input!B14328&lt;=700),Input!B14328,""),"")</f>
        <v/>
      </c>
      <c r="C14328">
        <f>IF(B14328="","",INT(A14328))</f>
        <v/>
      </c>
      <c r="D14328">
        <f>IF(B14328="","",HOUR(A14328))</f>
        <v/>
      </c>
    </row>
    <row r="14329">
      <c r="A14329">
        <f>Input!A14329</f>
        <v/>
      </c>
      <c r="B14329">
        <f>IF(ISNUMBER(Input!B14329),IF(AND(Input!B14329&gt;=20,Input!B14329&lt;=700),Input!B14329,""),"")</f>
        <v/>
      </c>
      <c r="C14329">
        <f>IF(B14329="","",INT(A14329))</f>
        <v/>
      </c>
      <c r="D14329">
        <f>IF(B14329="","",HOUR(A14329))</f>
        <v/>
      </c>
    </row>
    <row r="14330">
      <c r="A14330">
        <f>Input!A14330</f>
        <v/>
      </c>
      <c r="B14330">
        <f>IF(ISNUMBER(Input!B14330),IF(AND(Input!B14330&gt;=20,Input!B14330&lt;=700),Input!B14330,""),"")</f>
        <v/>
      </c>
      <c r="C14330">
        <f>IF(B14330="","",INT(A14330))</f>
        <v/>
      </c>
      <c r="D14330">
        <f>IF(B14330="","",HOUR(A14330))</f>
        <v/>
      </c>
    </row>
    <row r="14331">
      <c r="A14331">
        <f>Input!A14331</f>
        <v/>
      </c>
      <c r="B14331">
        <f>IF(ISNUMBER(Input!B14331),IF(AND(Input!B14331&gt;=20,Input!B14331&lt;=700),Input!B14331,""),"")</f>
        <v/>
      </c>
      <c r="C14331">
        <f>IF(B14331="","",INT(A14331))</f>
        <v/>
      </c>
      <c r="D14331">
        <f>IF(B14331="","",HOUR(A14331))</f>
        <v/>
      </c>
    </row>
    <row r="14332">
      <c r="A14332">
        <f>Input!A14332</f>
        <v/>
      </c>
      <c r="B14332">
        <f>IF(ISNUMBER(Input!B14332),IF(AND(Input!B14332&gt;=20,Input!B14332&lt;=700),Input!B14332,""),"")</f>
        <v/>
      </c>
      <c r="C14332">
        <f>IF(B14332="","",INT(A14332))</f>
        <v/>
      </c>
      <c r="D14332">
        <f>IF(B14332="","",HOUR(A14332))</f>
        <v/>
      </c>
    </row>
    <row r="14333">
      <c r="A14333">
        <f>Input!A14333</f>
        <v/>
      </c>
      <c r="B14333">
        <f>IF(ISNUMBER(Input!B14333),IF(AND(Input!B14333&gt;=20,Input!B14333&lt;=700),Input!B14333,""),"")</f>
        <v/>
      </c>
      <c r="C14333">
        <f>IF(B14333="","",INT(A14333))</f>
        <v/>
      </c>
      <c r="D14333">
        <f>IF(B14333="","",HOUR(A14333))</f>
        <v/>
      </c>
    </row>
    <row r="14334">
      <c r="A14334">
        <f>Input!A14334</f>
        <v/>
      </c>
      <c r="B14334">
        <f>IF(ISNUMBER(Input!B14334),IF(AND(Input!B14334&gt;=20,Input!B14334&lt;=700),Input!B14334,""),"")</f>
        <v/>
      </c>
      <c r="C14334">
        <f>IF(B14334="","",INT(A14334))</f>
        <v/>
      </c>
      <c r="D14334">
        <f>IF(B14334="","",HOUR(A14334))</f>
        <v/>
      </c>
    </row>
    <row r="14335">
      <c r="A14335">
        <f>Input!A14335</f>
        <v/>
      </c>
      <c r="B14335">
        <f>IF(ISNUMBER(Input!B14335),IF(AND(Input!B14335&gt;=20,Input!B14335&lt;=700),Input!B14335,""),"")</f>
        <v/>
      </c>
      <c r="C14335">
        <f>IF(B14335="","",INT(A14335))</f>
        <v/>
      </c>
      <c r="D14335">
        <f>IF(B14335="","",HOUR(A14335))</f>
        <v/>
      </c>
    </row>
    <row r="14336">
      <c r="A14336">
        <f>Input!A14336</f>
        <v/>
      </c>
      <c r="B14336">
        <f>IF(ISNUMBER(Input!B14336),IF(AND(Input!B14336&gt;=20,Input!B14336&lt;=700),Input!B14336,""),"")</f>
        <v/>
      </c>
      <c r="C14336">
        <f>IF(B14336="","",INT(A14336))</f>
        <v/>
      </c>
      <c r="D14336">
        <f>IF(B14336="","",HOUR(A14336))</f>
        <v/>
      </c>
    </row>
    <row r="14337">
      <c r="A14337">
        <f>Input!A14337</f>
        <v/>
      </c>
      <c r="B14337">
        <f>IF(ISNUMBER(Input!B14337),IF(AND(Input!B14337&gt;=20,Input!B14337&lt;=700),Input!B14337,""),"")</f>
        <v/>
      </c>
      <c r="C14337">
        <f>IF(B14337="","",INT(A14337))</f>
        <v/>
      </c>
      <c r="D14337">
        <f>IF(B14337="","",HOUR(A14337))</f>
        <v/>
      </c>
    </row>
    <row r="14338">
      <c r="A14338">
        <f>Input!A14338</f>
        <v/>
      </c>
      <c r="B14338">
        <f>IF(ISNUMBER(Input!B14338),IF(AND(Input!B14338&gt;=20,Input!B14338&lt;=700),Input!B14338,""),"")</f>
        <v/>
      </c>
      <c r="C14338">
        <f>IF(B14338="","",INT(A14338))</f>
        <v/>
      </c>
      <c r="D14338">
        <f>IF(B14338="","",HOUR(A14338))</f>
        <v/>
      </c>
    </row>
    <row r="14339">
      <c r="A14339">
        <f>Input!A14339</f>
        <v/>
      </c>
      <c r="B14339">
        <f>IF(ISNUMBER(Input!B14339),IF(AND(Input!B14339&gt;=20,Input!B14339&lt;=700),Input!B14339,""),"")</f>
        <v/>
      </c>
      <c r="C14339">
        <f>IF(B14339="","",INT(A14339))</f>
        <v/>
      </c>
      <c r="D14339">
        <f>IF(B14339="","",HOUR(A14339))</f>
        <v/>
      </c>
    </row>
    <row r="14340">
      <c r="A14340">
        <f>Input!A14340</f>
        <v/>
      </c>
      <c r="B14340">
        <f>IF(ISNUMBER(Input!B14340),IF(AND(Input!B14340&gt;=20,Input!B14340&lt;=700),Input!B14340,""),"")</f>
        <v/>
      </c>
      <c r="C14340">
        <f>IF(B14340="","",INT(A14340))</f>
        <v/>
      </c>
      <c r="D14340">
        <f>IF(B14340="","",HOUR(A14340))</f>
        <v/>
      </c>
    </row>
    <row r="14341">
      <c r="A14341">
        <f>Input!A14341</f>
        <v/>
      </c>
      <c r="B14341">
        <f>IF(ISNUMBER(Input!B14341),IF(AND(Input!B14341&gt;=20,Input!B14341&lt;=700),Input!B14341,""),"")</f>
        <v/>
      </c>
      <c r="C14341">
        <f>IF(B14341="","",INT(A14341))</f>
        <v/>
      </c>
      <c r="D14341">
        <f>IF(B14341="","",HOUR(A14341))</f>
        <v/>
      </c>
    </row>
    <row r="14342">
      <c r="A14342">
        <f>Input!A14342</f>
        <v/>
      </c>
      <c r="B14342">
        <f>IF(ISNUMBER(Input!B14342),IF(AND(Input!B14342&gt;=20,Input!B14342&lt;=700),Input!B14342,""),"")</f>
        <v/>
      </c>
      <c r="C14342">
        <f>IF(B14342="","",INT(A14342))</f>
        <v/>
      </c>
      <c r="D14342">
        <f>IF(B14342="","",HOUR(A14342))</f>
        <v/>
      </c>
    </row>
    <row r="14343">
      <c r="A14343">
        <f>Input!A14343</f>
        <v/>
      </c>
      <c r="B14343">
        <f>IF(ISNUMBER(Input!B14343),IF(AND(Input!B14343&gt;=20,Input!B14343&lt;=700),Input!B14343,""),"")</f>
        <v/>
      </c>
      <c r="C14343">
        <f>IF(B14343="","",INT(A14343))</f>
        <v/>
      </c>
      <c r="D14343">
        <f>IF(B14343="","",HOUR(A14343))</f>
        <v/>
      </c>
    </row>
    <row r="14344">
      <c r="A14344">
        <f>Input!A14344</f>
        <v/>
      </c>
      <c r="B14344">
        <f>IF(ISNUMBER(Input!B14344),IF(AND(Input!B14344&gt;=20,Input!B14344&lt;=700),Input!B14344,""),"")</f>
        <v/>
      </c>
      <c r="C14344">
        <f>IF(B14344="","",INT(A14344))</f>
        <v/>
      </c>
      <c r="D14344">
        <f>IF(B14344="","",HOUR(A14344))</f>
        <v/>
      </c>
    </row>
    <row r="14345">
      <c r="A14345">
        <f>Input!A14345</f>
        <v/>
      </c>
      <c r="B14345">
        <f>IF(ISNUMBER(Input!B14345),IF(AND(Input!B14345&gt;=20,Input!B14345&lt;=700),Input!B14345,""),"")</f>
        <v/>
      </c>
      <c r="C14345">
        <f>IF(B14345="","",INT(A14345))</f>
        <v/>
      </c>
      <c r="D14345">
        <f>IF(B14345="","",HOUR(A14345))</f>
        <v/>
      </c>
    </row>
    <row r="14346">
      <c r="A14346">
        <f>Input!A14346</f>
        <v/>
      </c>
      <c r="B14346">
        <f>IF(ISNUMBER(Input!B14346),IF(AND(Input!B14346&gt;=20,Input!B14346&lt;=700),Input!B14346,""),"")</f>
        <v/>
      </c>
      <c r="C14346">
        <f>IF(B14346="","",INT(A14346))</f>
        <v/>
      </c>
      <c r="D14346">
        <f>IF(B14346="","",HOUR(A14346))</f>
        <v/>
      </c>
    </row>
    <row r="14347">
      <c r="A14347">
        <f>Input!A14347</f>
        <v/>
      </c>
      <c r="B14347">
        <f>IF(ISNUMBER(Input!B14347),IF(AND(Input!B14347&gt;=20,Input!B14347&lt;=700),Input!B14347,""),"")</f>
        <v/>
      </c>
      <c r="C14347">
        <f>IF(B14347="","",INT(A14347))</f>
        <v/>
      </c>
      <c r="D14347">
        <f>IF(B14347="","",HOUR(A14347))</f>
        <v/>
      </c>
    </row>
    <row r="14348">
      <c r="A14348">
        <f>Input!A14348</f>
        <v/>
      </c>
      <c r="B14348">
        <f>IF(ISNUMBER(Input!B14348),IF(AND(Input!B14348&gt;=20,Input!B14348&lt;=700),Input!B14348,""),"")</f>
        <v/>
      </c>
      <c r="C14348">
        <f>IF(B14348="","",INT(A14348))</f>
        <v/>
      </c>
      <c r="D14348">
        <f>IF(B14348="","",HOUR(A14348))</f>
        <v/>
      </c>
    </row>
    <row r="14349">
      <c r="A14349">
        <f>Input!A14349</f>
        <v/>
      </c>
      <c r="B14349">
        <f>IF(ISNUMBER(Input!B14349),IF(AND(Input!B14349&gt;=20,Input!B14349&lt;=700),Input!B14349,""),"")</f>
        <v/>
      </c>
      <c r="C14349">
        <f>IF(B14349="","",INT(A14349))</f>
        <v/>
      </c>
      <c r="D14349">
        <f>IF(B14349="","",HOUR(A14349))</f>
        <v/>
      </c>
    </row>
    <row r="14350">
      <c r="A14350">
        <f>Input!A14350</f>
        <v/>
      </c>
      <c r="B14350">
        <f>IF(ISNUMBER(Input!B14350),IF(AND(Input!B14350&gt;=20,Input!B14350&lt;=700),Input!B14350,""),"")</f>
        <v/>
      </c>
      <c r="C14350">
        <f>IF(B14350="","",INT(A14350))</f>
        <v/>
      </c>
      <c r="D14350">
        <f>IF(B14350="","",HOUR(A14350))</f>
        <v/>
      </c>
    </row>
    <row r="14351">
      <c r="A14351">
        <f>Input!A14351</f>
        <v/>
      </c>
      <c r="B14351">
        <f>IF(ISNUMBER(Input!B14351),IF(AND(Input!B14351&gt;=20,Input!B14351&lt;=700),Input!B14351,""),"")</f>
        <v/>
      </c>
      <c r="C14351">
        <f>IF(B14351="","",INT(A14351))</f>
        <v/>
      </c>
      <c r="D14351">
        <f>IF(B14351="","",HOUR(A14351))</f>
        <v/>
      </c>
    </row>
    <row r="14352">
      <c r="A14352">
        <f>Input!A14352</f>
        <v/>
      </c>
      <c r="B14352">
        <f>IF(ISNUMBER(Input!B14352),IF(AND(Input!B14352&gt;=20,Input!B14352&lt;=700),Input!B14352,""),"")</f>
        <v/>
      </c>
      <c r="C14352">
        <f>IF(B14352="","",INT(A14352))</f>
        <v/>
      </c>
      <c r="D14352">
        <f>IF(B14352="","",HOUR(A14352))</f>
        <v/>
      </c>
    </row>
    <row r="14353">
      <c r="A14353">
        <f>Input!A14353</f>
        <v/>
      </c>
      <c r="B14353">
        <f>IF(ISNUMBER(Input!B14353),IF(AND(Input!B14353&gt;=20,Input!B14353&lt;=700),Input!B14353,""),"")</f>
        <v/>
      </c>
      <c r="C14353">
        <f>IF(B14353="","",INT(A14353))</f>
        <v/>
      </c>
      <c r="D14353">
        <f>IF(B14353="","",HOUR(A14353))</f>
        <v/>
      </c>
    </row>
    <row r="14354">
      <c r="A14354">
        <f>Input!A14354</f>
        <v/>
      </c>
      <c r="B14354">
        <f>IF(ISNUMBER(Input!B14354),IF(AND(Input!B14354&gt;=20,Input!B14354&lt;=700),Input!B14354,""),"")</f>
        <v/>
      </c>
      <c r="C14354">
        <f>IF(B14354="","",INT(A14354))</f>
        <v/>
      </c>
      <c r="D14354">
        <f>IF(B14354="","",HOUR(A14354))</f>
        <v/>
      </c>
    </row>
    <row r="14355">
      <c r="A14355">
        <f>Input!A14355</f>
        <v/>
      </c>
      <c r="B14355">
        <f>IF(ISNUMBER(Input!B14355),IF(AND(Input!B14355&gt;=20,Input!B14355&lt;=700),Input!B14355,""),"")</f>
        <v/>
      </c>
      <c r="C14355">
        <f>IF(B14355="","",INT(A14355))</f>
        <v/>
      </c>
      <c r="D14355">
        <f>IF(B14355="","",HOUR(A14355))</f>
        <v/>
      </c>
    </row>
    <row r="14356">
      <c r="A14356">
        <f>Input!A14356</f>
        <v/>
      </c>
      <c r="B14356">
        <f>IF(ISNUMBER(Input!B14356),IF(AND(Input!B14356&gt;=20,Input!B14356&lt;=700),Input!B14356,""),"")</f>
        <v/>
      </c>
      <c r="C14356">
        <f>IF(B14356="","",INT(A14356))</f>
        <v/>
      </c>
      <c r="D14356">
        <f>IF(B14356="","",HOUR(A14356))</f>
        <v/>
      </c>
    </row>
    <row r="14357">
      <c r="A14357">
        <f>Input!A14357</f>
        <v/>
      </c>
      <c r="B14357">
        <f>IF(ISNUMBER(Input!B14357),IF(AND(Input!B14357&gt;=20,Input!B14357&lt;=700),Input!B14357,""),"")</f>
        <v/>
      </c>
      <c r="C14357">
        <f>IF(B14357="","",INT(A14357))</f>
        <v/>
      </c>
      <c r="D14357">
        <f>IF(B14357="","",HOUR(A14357))</f>
        <v/>
      </c>
    </row>
    <row r="14358">
      <c r="A14358">
        <f>Input!A14358</f>
        <v/>
      </c>
      <c r="B14358">
        <f>IF(ISNUMBER(Input!B14358),IF(AND(Input!B14358&gt;=20,Input!B14358&lt;=700),Input!B14358,""),"")</f>
        <v/>
      </c>
      <c r="C14358">
        <f>IF(B14358="","",INT(A14358))</f>
        <v/>
      </c>
      <c r="D14358">
        <f>IF(B14358="","",HOUR(A14358))</f>
        <v/>
      </c>
    </row>
    <row r="14359">
      <c r="A14359">
        <f>Input!A14359</f>
        <v/>
      </c>
      <c r="B14359">
        <f>IF(ISNUMBER(Input!B14359),IF(AND(Input!B14359&gt;=20,Input!B14359&lt;=700),Input!B14359,""),"")</f>
        <v/>
      </c>
      <c r="C14359">
        <f>IF(B14359="","",INT(A14359))</f>
        <v/>
      </c>
      <c r="D14359">
        <f>IF(B14359="","",HOUR(A14359))</f>
        <v/>
      </c>
    </row>
    <row r="14360">
      <c r="A14360">
        <f>Input!A14360</f>
        <v/>
      </c>
      <c r="B14360">
        <f>IF(ISNUMBER(Input!B14360),IF(AND(Input!B14360&gt;=20,Input!B14360&lt;=700),Input!B14360,""),"")</f>
        <v/>
      </c>
      <c r="C14360">
        <f>IF(B14360="","",INT(A14360))</f>
        <v/>
      </c>
      <c r="D14360">
        <f>IF(B14360="","",HOUR(A14360))</f>
        <v/>
      </c>
    </row>
    <row r="14361">
      <c r="A14361">
        <f>Input!A14361</f>
        <v/>
      </c>
      <c r="B14361">
        <f>IF(ISNUMBER(Input!B14361),IF(AND(Input!B14361&gt;=20,Input!B14361&lt;=700),Input!B14361,""),"")</f>
        <v/>
      </c>
      <c r="C14361">
        <f>IF(B14361="","",INT(A14361))</f>
        <v/>
      </c>
      <c r="D14361">
        <f>IF(B14361="","",HOUR(A14361))</f>
        <v/>
      </c>
    </row>
    <row r="14362">
      <c r="A14362">
        <f>Input!A14362</f>
        <v/>
      </c>
      <c r="B14362">
        <f>IF(ISNUMBER(Input!B14362),IF(AND(Input!B14362&gt;=20,Input!B14362&lt;=700),Input!B14362,""),"")</f>
        <v/>
      </c>
      <c r="C14362">
        <f>IF(B14362="","",INT(A14362))</f>
        <v/>
      </c>
      <c r="D14362">
        <f>IF(B14362="","",HOUR(A14362))</f>
        <v/>
      </c>
    </row>
    <row r="14363">
      <c r="A14363">
        <f>Input!A14363</f>
        <v/>
      </c>
      <c r="B14363">
        <f>IF(ISNUMBER(Input!B14363),IF(AND(Input!B14363&gt;=20,Input!B14363&lt;=700),Input!B14363,""),"")</f>
        <v/>
      </c>
      <c r="C14363">
        <f>IF(B14363="","",INT(A14363))</f>
        <v/>
      </c>
      <c r="D14363">
        <f>IF(B14363="","",HOUR(A14363))</f>
        <v/>
      </c>
    </row>
    <row r="14364">
      <c r="A14364">
        <f>Input!A14364</f>
        <v/>
      </c>
      <c r="B14364">
        <f>IF(ISNUMBER(Input!B14364),IF(AND(Input!B14364&gt;=20,Input!B14364&lt;=700),Input!B14364,""),"")</f>
        <v/>
      </c>
      <c r="C14364">
        <f>IF(B14364="","",INT(A14364))</f>
        <v/>
      </c>
      <c r="D14364">
        <f>IF(B14364="","",HOUR(A14364))</f>
        <v/>
      </c>
    </row>
    <row r="14365">
      <c r="A14365">
        <f>Input!A14365</f>
        <v/>
      </c>
      <c r="B14365">
        <f>IF(ISNUMBER(Input!B14365),IF(AND(Input!B14365&gt;=20,Input!B14365&lt;=700),Input!B14365,""),"")</f>
        <v/>
      </c>
      <c r="C14365">
        <f>IF(B14365="","",INT(A14365))</f>
        <v/>
      </c>
      <c r="D14365">
        <f>IF(B14365="","",HOUR(A14365))</f>
        <v/>
      </c>
    </row>
    <row r="14366">
      <c r="A14366">
        <f>Input!A14366</f>
        <v/>
      </c>
      <c r="B14366">
        <f>IF(ISNUMBER(Input!B14366),IF(AND(Input!B14366&gt;=20,Input!B14366&lt;=700),Input!B14366,""),"")</f>
        <v/>
      </c>
      <c r="C14366">
        <f>IF(B14366="","",INT(A14366))</f>
        <v/>
      </c>
      <c r="D14366">
        <f>IF(B14366="","",HOUR(A14366))</f>
        <v/>
      </c>
    </row>
    <row r="14367">
      <c r="A14367">
        <f>Input!A14367</f>
        <v/>
      </c>
      <c r="B14367">
        <f>IF(ISNUMBER(Input!B14367),IF(AND(Input!B14367&gt;=20,Input!B14367&lt;=700),Input!B14367,""),"")</f>
        <v/>
      </c>
      <c r="C14367">
        <f>IF(B14367="","",INT(A14367))</f>
        <v/>
      </c>
      <c r="D14367">
        <f>IF(B14367="","",HOUR(A14367))</f>
        <v/>
      </c>
    </row>
    <row r="14368">
      <c r="A14368">
        <f>Input!A14368</f>
        <v/>
      </c>
      <c r="B14368">
        <f>IF(ISNUMBER(Input!B14368),IF(AND(Input!B14368&gt;=20,Input!B14368&lt;=700),Input!B14368,""),"")</f>
        <v/>
      </c>
      <c r="C14368">
        <f>IF(B14368="","",INT(A14368))</f>
        <v/>
      </c>
      <c r="D14368">
        <f>IF(B14368="","",HOUR(A14368))</f>
        <v/>
      </c>
    </row>
    <row r="14369">
      <c r="A14369">
        <f>Input!A14369</f>
        <v/>
      </c>
      <c r="B14369">
        <f>IF(ISNUMBER(Input!B14369),IF(AND(Input!B14369&gt;=20,Input!B14369&lt;=700),Input!B14369,""),"")</f>
        <v/>
      </c>
      <c r="C14369">
        <f>IF(B14369="","",INT(A14369))</f>
        <v/>
      </c>
      <c r="D14369">
        <f>IF(B14369="","",HOUR(A14369))</f>
        <v/>
      </c>
    </row>
    <row r="14370">
      <c r="A14370">
        <f>Input!A14370</f>
        <v/>
      </c>
      <c r="B14370">
        <f>IF(ISNUMBER(Input!B14370),IF(AND(Input!B14370&gt;=20,Input!B14370&lt;=700),Input!B14370,""),"")</f>
        <v/>
      </c>
      <c r="C14370">
        <f>IF(B14370="","",INT(A14370))</f>
        <v/>
      </c>
      <c r="D14370">
        <f>IF(B14370="","",HOUR(A14370))</f>
        <v/>
      </c>
    </row>
    <row r="14371">
      <c r="A14371">
        <f>Input!A14371</f>
        <v/>
      </c>
      <c r="B14371">
        <f>IF(ISNUMBER(Input!B14371),IF(AND(Input!B14371&gt;=20,Input!B14371&lt;=700),Input!B14371,""),"")</f>
        <v/>
      </c>
      <c r="C14371">
        <f>IF(B14371="","",INT(A14371))</f>
        <v/>
      </c>
      <c r="D14371">
        <f>IF(B14371="","",HOUR(A14371))</f>
        <v/>
      </c>
    </row>
    <row r="14372">
      <c r="A14372">
        <f>Input!A14372</f>
        <v/>
      </c>
      <c r="B14372">
        <f>IF(ISNUMBER(Input!B14372),IF(AND(Input!B14372&gt;=20,Input!B14372&lt;=700),Input!B14372,""),"")</f>
        <v/>
      </c>
      <c r="C14372">
        <f>IF(B14372="","",INT(A14372))</f>
        <v/>
      </c>
      <c r="D14372">
        <f>IF(B14372="","",HOUR(A14372))</f>
        <v/>
      </c>
    </row>
    <row r="14373">
      <c r="A14373">
        <f>Input!A14373</f>
        <v/>
      </c>
      <c r="B14373">
        <f>IF(ISNUMBER(Input!B14373),IF(AND(Input!B14373&gt;=20,Input!B14373&lt;=700),Input!B14373,""),"")</f>
        <v/>
      </c>
      <c r="C14373">
        <f>IF(B14373="","",INT(A14373))</f>
        <v/>
      </c>
      <c r="D14373">
        <f>IF(B14373="","",HOUR(A14373))</f>
        <v/>
      </c>
    </row>
    <row r="14374">
      <c r="A14374">
        <f>Input!A14374</f>
        <v/>
      </c>
      <c r="B14374">
        <f>IF(ISNUMBER(Input!B14374),IF(AND(Input!B14374&gt;=20,Input!B14374&lt;=700),Input!B14374,""),"")</f>
        <v/>
      </c>
      <c r="C14374">
        <f>IF(B14374="","",INT(A14374))</f>
        <v/>
      </c>
      <c r="D14374">
        <f>IF(B14374="","",HOUR(A14374))</f>
        <v/>
      </c>
    </row>
    <row r="14375">
      <c r="A14375">
        <f>Input!A14375</f>
        <v/>
      </c>
      <c r="B14375">
        <f>IF(ISNUMBER(Input!B14375),IF(AND(Input!B14375&gt;=20,Input!B14375&lt;=700),Input!B14375,""),"")</f>
        <v/>
      </c>
      <c r="C14375">
        <f>IF(B14375="","",INT(A14375))</f>
        <v/>
      </c>
      <c r="D14375">
        <f>IF(B14375="","",HOUR(A14375))</f>
        <v/>
      </c>
    </row>
    <row r="14376">
      <c r="A14376">
        <f>Input!A14376</f>
        <v/>
      </c>
      <c r="B14376">
        <f>IF(ISNUMBER(Input!B14376),IF(AND(Input!B14376&gt;=20,Input!B14376&lt;=700),Input!B14376,""),"")</f>
        <v/>
      </c>
      <c r="C14376">
        <f>IF(B14376="","",INT(A14376))</f>
        <v/>
      </c>
      <c r="D14376">
        <f>IF(B14376="","",HOUR(A14376))</f>
        <v/>
      </c>
    </row>
    <row r="14377">
      <c r="A14377">
        <f>Input!A14377</f>
        <v/>
      </c>
      <c r="B14377">
        <f>IF(ISNUMBER(Input!B14377),IF(AND(Input!B14377&gt;=20,Input!B14377&lt;=700),Input!B14377,""),"")</f>
        <v/>
      </c>
      <c r="C14377">
        <f>IF(B14377="","",INT(A14377))</f>
        <v/>
      </c>
      <c r="D14377">
        <f>IF(B14377="","",HOUR(A14377))</f>
        <v/>
      </c>
    </row>
    <row r="14378">
      <c r="A14378">
        <f>Input!A14378</f>
        <v/>
      </c>
      <c r="B14378">
        <f>IF(ISNUMBER(Input!B14378),IF(AND(Input!B14378&gt;=20,Input!B14378&lt;=700),Input!B14378,""),"")</f>
        <v/>
      </c>
      <c r="C14378">
        <f>IF(B14378="","",INT(A14378))</f>
        <v/>
      </c>
      <c r="D14378">
        <f>IF(B14378="","",HOUR(A14378))</f>
        <v/>
      </c>
    </row>
    <row r="14379">
      <c r="A14379">
        <f>Input!A14379</f>
        <v/>
      </c>
      <c r="B14379">
        <f>IF(ISNUMBER(Input!B14379),IF(AND(Input!B14379&gt;=20,Input!B14379&lt;=700),Input!B14379,""),"")</f>
        <v/>
      </c>
      <c r="C14379">
        <f>IF(B14379="","",INT(A14379))</f>
        <v/>
      </c>
      <c r="D14379">
        <f>IF(B14379="","",HOUR(A14379))</f>
        <v/>
      </c>
    </row>
    <row r="14380">
      <c r="A14380">
        <f>Input!A14380</f>
        <v/>
      </c>
      <c r="B14380">
        <f>IF(ISNUMBER(Input!B14380),IF(AND(Input!B14380&gt;=20,Input!B14380&lt;=700),Input!B14380,""),"")</f>
        <v/>
      </c>
      <c r="C14380">
        <f>IF(B14380="","",INT(A14380))</f>
        <v/>
      </c>
      <c r="D14380">
        <f>IF(B14380="","",HOUR(A14380))</f>
        <v/>
      </c>
    </row>
    <row r="14381">
      <c r="A14381">
        <f>Input!A14381</f>
        <v/>
      </c>
      <c r="B14381">
        <f>IF(ISNUMBER(Input!B14381),IF(AND(Input!B14381&gt;=20,Input!B14381&lt;=700),Input!B14381,""),"")</f>
        <v/>
      </c>
      <c r="C14381">
        <f>IF(B14381="","",INT(A14381))</f>
        <v/>
      </c>
      <c r="D14381">
        <f>IF(B14381="","",HOUR(A14381))</f>
        <v/>
      </c>
    </row>
    <row r="14382">
      <c r="A14382">
        <f>Input!A14382</f>
        <v/>
      </c>
      <c r="B14382">
        <f>IF(ISNUMBER(Input!B14382),IF(AND(Input!B14382&gt;=20,Input!B14382&lt;=700),Input!B14382,""),"")</f>
        <v/>
      </c>
      <c r="C14382">
        <f>IF(B14382="","",INT(A14382))</f>
        <v/>
      </c>
      <c r="D14382">
        <f>IF(B14382="","",HOUR(A14382))</f>
        <v/>
      </c>
    </row>
    <row r="14383">
      <c r="A14383">
        <f>Input!A14383</f>
        <v/>
      </c>
      <c r="B14383">
        <f>IF(ISNUMBER(Input!B14383),IF(AND(Input!B14383&gt;=20,Input!B14383&lt;=700),Input!B14383,""),"")</f>
        <v/>
      </c>
      <c r="C14383">
        <f>IF(B14383="","",INT(A14383))</f>
        <v/>
      </c>
      <c r="D14383">
        <f>IF(B14383="","",HOUR(A14383))</f>
        <v/>
      </c>
    </row>
    <row r="14384">
      <c r="A14384">
        <f>Input!A14384</f>
        <v/>
      </c>
      <c r="B14384">
        <f>IF(ISNUMBER(Input!B14384),IF(AND(Input!B14384&gt;=20,Input!B14384&lt;=700),Input!B14384,""),"")</f>
        <v/>
      </c>
      <c r="C14384">
        <f>IF(B14384="","",INT(A14384))</f>
        <v/>
      </c>
      <c r="D14384">
        <f>IF(B14384="","",HOUR(A14384))</f>
        <v/>
      </c>
    </row>
    <row r="14385">
      <c r="A14385">
        <f>Input!A14385</f>
        <v/>
      </c>
      <c r="B14385">
        <f>IF(ISNUMBER(Input!B14385),IF(AND(Input!B14385&gt;=20,Input!B14385&lt;=700),Input!B14385,""),"")</f>
        <v/>
      </c>
      <c r="C14385">
        <f>IF(B14385="","",INT(A14385))</f>
        <v/>
      </c>
      <c r="D14385">
        <f>IF(B14385="","",HOUR(A14385))</f>
        <v/>
      </c>
    </row>
    <row r="14386">
      <c r="A14386">
        <f>Input!A14386</f>
        <v/>
      </c>
      <c r="B14386">
        <f>IF(ISNUMBER(Input!B14386),IF(AND(Input!B14386&gt;=20,Input!B14386&lt;=700),Input!B14386,""),"")</f>
        <v/>
      </c>
      <c r="C14386">
        <f>IF(B14386="","",INT(A14386))</f>
        <v/>
      </c>
      <c r="D14386">
        <f>IF(B14386="","",HOUR(A14386))</f>
        <v/>
      </c>
    </row>
    <row r="14387">
      <c r="A14387">
        <f>Input!A14387</f>
        <v/>
      </c>
      <c r="B14387">
        <f>IF(ISNUMBER(Input!B14387),IF(AND(Input!B14387&gt;=20,Input!B14387&lt;=700),Input!B14387,""),"")</f>
        <v/>
      </c>
      <c r="C14387">
        <f>IF(B14387="","",INT(A14387))</f>
        <v/>
      </c>
      <c r="D14387">
        <f>IF(B14387="","",HOUR(A14387))</f>
        <v/>
      </c>
    </row>
    <row r="14388">
      <c r="A14388">
        <f>Input!A14388</f>
        <v/>
      </c>
      <c r="B14388">
        <f>IF(ISNUMBER(Input!B14388),IF(AND(Input!B14388&gt;=20,Input!B14388&lt;=700),Input!B14388,""),"")</f>
        <v/>
      </c>
      <c r="C14388">
        <f>IF(B14388="","",INT(A14388))</f>
        <v/>
      </c>
      <c r="D14388">
        <f>IF(B14388="","",HOUR(A14388))</f>
        <v/>
      </c>
    </row>
    <row r="14389">
      <c r="A14389">
        <f>Input!A14389</f>
        <v/>
      </c>
      <c r="B14389">
        <f>IF(ISNUMBER(Input!B14389),IF(AND(Input!B14389&gt;=20,Input!B14389&lt;=700),Input!B14389,""),"")</f>
        <v/>
      </c>
      <c r="C14389">
        <f>IF(B14389="","",INT(A14389))</f>
        <v/>
      </c>
      <c r="D14389">
        <f>IF(B14389="","",HOUR(A14389))</f>
        <v/>
      </c>
    </row>
    <row r="14390">
      <c r="A14390">
        <f>Input!A14390</f>
        <v/>
      </c>
      <c r="B14390">
        <f>IF(ISNUMBER(Input!B14390),IF(AND(Input!B14390&gt;=20,Input!B14390&lt;=700),Input!B14390,""),"")</f>
        <v/>
      </c>
      <c r="C14390">
        <f>IF(B14390="","",INT(A14390))</f>
        <v/>
      </c>
      <c r="D14390">
        <f>IF(B14390="","",HOUR(A14390))</f>
        <v/>
      </c>
    </row>
    <row r="14391">
      <c r="A14391">
        <f>Input!A14391</f>
        <v/>
      </c>
      <c r="B14391">
        <f>IF(ISNUMBER(Input!B14391),IF(AND(Input!B14391&gt;=20,Input!B14391&lt;=700),Input!B14391,""),"")</f>
        <v/>
      </c>
      <c r="C14391">
        <f>IF(B14391="","",INT(A14391))</f>
        <v/>
      </c>
      <c r="D14391">
        <f>IF(B14391="","",HOUR(A14391))</f>
        <v/>
      </c>
    </row>
    <row r="14392">
      <c r="A14392">
        <f>Input!A14392</f>
        <v/>
      </c>
      <c r="B14392">
        <f>IF(ISNUMBER(Input!B14392),IF(AND(Input!B14392&gt;=20,Input!B14392&lt;=700),Input!B14392,""),"")</f>
        <v/>
      </c>
      <c r="C14392">
        <f>IF(B14392="","",INT(A14392))</f>
        <v/>
      </c>
      <c r="D14392">
        <f>IF(B14392="","",HOUR(A14392))</f>
        <v/>
      </c>
    </row>
    <row r="14393">
      <c r="A14393">
        <f>Input!A14393</f>
        <v/>
      </c>
      <c r="B14393">
        <f>IF(ISNUMBER(Input!B14393),IF(AND(Input!B14393&gt;=20,Input!B14393&lt;=700),Input!B14393,""),"")</f>
        <v/>
      </c>
      <c r="C14393">
        <f>IF(B14393="","",INT(A14393))</f>
        <v/>
      </c>
      <c r="D14393">
        <f>IF(B14393="","",HOUR(A14393))</f>
        <v/>
      </c>
    </row>
    <row r="14394">
      <c r="A14394">
        <f>Input!A14394</f>
        <v/>
      </c>
      <c r="B14394">
        <f>IF(ISNUMBER(Input!B14394),IF(AND(Input!B14394&gt;=20,Input!B14394&lt;=700),Input!B14394,""),"")</f>
        <v/>
      </c>
      <c r="C14394">
        <f>IF(B14394="","",INT(A14394))</f>
        <v/>
      </c>
      <c r="D14394">
        <f>IF(B14394="","",HOUR(A14394))</f>
        <v/>
      </c>
    </row>
    <row r="14395">
      <c r="A14395">
        <f>Input!A14395</f>
        <v/>
      </c>
      <c r="B14395">
        <f>IF(ISNUMBER(Input!B14395),IF(AND(Input!B14395&gt;=20,Input!B14395&lt;=700),Input!B14395,""),"")</f>
        <v/>
      </c>
      <c r="C14395">
        <f>IF(B14395="","",INT(A14395))</f>
        <v/>
      </c>
      <c r="D14395">
        <f>IF(B14395="","",HOUR(A14395))</f>
        <v/>
      </c>
    </row>
    <row r="14396">
      <c r="A14396">
        <f>Input!A14396</f>
        <v/>
      </c>
      <c r="B14396">
        <f>IF(ISNUMBER(Input!B14396),IF(AND(Input!B14396&gt;=20,Input!B14396&lt;=700),Input!B14396,""),"")</f>
        <v/>
      </c>
      <c r="C14396">
        <f>IF(B14396="","",INT(A14396))</f>
        <v/>
      </c>
      <c r="D14396">
        <f>IF(B14396="","",HOUR(A14396))</f>
        <v/>
      </c>
    </row>
    <row r="14397">
      <c r="A14397">
        <f>Input!A14397</f>
        <v/>
      </c>
      <c r="B14397">
        <f>IF(ISNUMBER(Input!B14397),IF(AND(Input!B14397&gt;=20,Input!B14397&lt;=700),Input!B14397,""),"")</f>
        <v/>
      </c>
      <c r="C14397">
        <f>IF(B14397="","",INT(A14397))</f>
        <v/>
      </c>
      <c r="D14397">
        <f>IF(B14397="","",HOUR(A14397))</f>
        <v/>
      </c>
    </row>
    <row r="14398">
      <c r="A14398">
        <f>Input!A14398</f>
        <v/>
      </c>
      <c r="B14398">
        <f>IF(ISNUMBER(Input!B14398),IF(AND(Input!B14398&gt;=20,Input!B14398&lt;=700),Input!B14398,""),"")</f>
        <v/>
      </c>
      <c r="C14398">
        <f>IF(B14398="","",INT(A14398))</f>
        <v/>
      </c>
      <c r="D14398">
        <f>IF(B14398="","",HOUR(A14398))</f>
        <v/>
      </c>
    </row>
    <row r="14399">
      <c r="A14399">
        <f>Input!A14399</f>
        <v/>
      </c>
      <c r="B14399">
        <f>IF(ISNUMBER(Input!B14399),IF(AND(Input!B14399&gt;=20,Input!B14399&lt;=700),Input!B14399,""),"")</f>
        <v/>
      </c>
      <c r="C14399">
        <f>IF(B14399="","",INT(A14399))</f>
        <v/>
      </c>
      <c r="D14399">
        <f>IF(B14399="","",HOUR(A14399))</f>
        <v/>
      </c>
    </row>
    <row r="14400">
      <c r="A14400">
        <f>Input!A14400</f>
        <v/>
      </c>
      <c r="B14400">
        <f>IF(ISNUMBER(Input!B14400),IF(AND(Input!B14400&gt;=20,Input!B14400&lt;=700),Input!B14400,""),"")</f>
        <v/>
      </c>
      <c r="C14400">
        <f>IF(B14400="","",INT(A14400))</f>
        <v/>
      </c>
      <c r="D14400">
        <f>IF(B14400="","",HOUR(A14400))</f>
        <v/>
      </c>
    </row>
    <row r="14401">
      <c r="A14401">
        <f>Input!A14401</f>
        <v/>
      </c>
      <c r="B14401">
        <f>IF(ISNUMBER(Input!B14401),IF(AND(Input!B14401&gt;=20,Input!B14401&lt;=700),Input!B14401,""),"")</f>
        <v/>
      </c>
      <c r="C14401">
        <f>IF(B14401="","",INT(A14401))</f>
        <v/>
      </c>
      <c r="D14401">
        <f>IF(B14401="","",HOUR(A14401))</f>
        <v/>
      </c>
    </row>
    <row r="14402">
      <c r="A14402">
        <f>Input!A14402</f>
        <v/>
      </c>
      <c r="B14402">
        <f>IF(ISNUMBER(Input!B14402),IF(AND(Input!B14402&gt;=20,Input!B14402&lt;=700),Input!B14402,""),"")</f>
        <v/>
      </c>
      <c r="C14402">
        <f>IF(B14402="","",INT(A14402))</f>
        <v/>
      </c>
      <c r="D14402">
        <f>IF(B14402="","",HOUR(A14402))</f>
        <v/>
      </c>
    </row>
    <row r="14403">
      <c r="A14403">
        <f>Input!A14403</f>
        <v/>
      </c>
      <c r="B14403">
        <f>IF(ISNUMBER(Input!B14403),IF(AND(Input!B14403&gt;=20,Input!B14403&lt;=700),Input!B14403,""),"")</f>
        <v/>
      </c>
      <c r="C14403">
        <f>IF(B14403="","",INT(A14403))</f>
        <v/>
      </c>
      <c r="D14403">
        <f>IF(B14403="","",HOUR(A14403))</f>
        <v/>
      </c>
    </row>
    <row r="14404">
      <c r="A14404">
        <f>Input!A14404</f>
        <v/>
      </c>
      <c r="B14404">
        <f>IF(ISNUMBER(Input!B14404),IF(AND(Input!B14404&gt;=20,Input!B14404&lt;=700),Input!B14404,""),"")</f>
        <v/>
      </c>
      <c r="C14404">
        <f>IF(B14404="","",INT(A14404))</f>
        <v/>
      </c>
      <c r="D14404">
        <f>IF(B14404="","",HOUR(A14404))</f>
        <v/>
      </c>
    </row>
    <row r="14405">
      <c r="A14405">
        <f>Input!A14405</f>
        <v/>
      </c>
      <c r="B14405">
        <f>IF(ISNUMBER(Input!B14405),IF(AND(Input!B14405&gt;=20,Input!B14405&lt;=700),Input!B14405,""),"")</f>
        <v/>
      </c>
      <c r="C14405">
        <f>IF(B14405="","",INT(A14405))</f>
        <v/>
      </c>
      <c r="D14405">
        <f>IF(B14405="","",HOUR(A14405))</f>
        <v/>
      </c>
    </row>
    <row r="14406">
      <c r="A14406">
        <f>Input!A14406</f>
        <v/>
      </c>
      <c r="B14406">
        <f>IF(ISNUMBER(Input!B14406),IF(AND(Input!B14406&gt;=20,Input!B14406&lt;=700),Input!B14406,""),"")</f>
        <v/>
      </c>
      <c r="C14406">
        <f>IF(B14406="","",INT(A14406))</f>
        <v/>
      </c>
      <c r="D14406">
        <f>IF(B14406="","",HOUR(A14406))</f>
        <v/>
      </c>
    </row>
    <row r="14407">
      <c r="A14407">
        <f>Input!A14407</f>
        <v/>
      </c>
      <c r="B14407">
        <f>IF(ISNUMBER(Input!B14407),IF(AND(Input!B14407&gt;=20,Input!B14407&lt;=700),Input!B14407,""),"")</f>
        <v/>
      </c>
      <c r="C14407">
        <f>IF(B14407="","",INT(A14407))</f>
        <v/>
      </c>
      <c r="D14407">
        <f>IF(B14407="","",HOUR(A14407))</f>
        <v/>
      </c>
    </row>
    <row r="14408">
      <c r="A14408">
        <f>Input!A14408</f>
        <v/>
      </c>
      <c r="B14408">
        <f>IF(ISNUMBER(Input!B14408),IF(AND(Input!B14408&gt;=20,Input!B14408&lt;=700),Input!B14408,""),"")</f>
        <v/>
      </c>
      <c r="C14408">
        <f>IF(B14408="","",INT(A14408))</f>
        <v/>
      </c>
      <c r="D14408">
        <f>IF(B14408="","",HOUR(A14408))</f>
        <v/>
      </c>
    </row>
    <row r="14409">
      <c r="A14409">
        <f>Input!A14409</f>
        <v/>
      </c>
      <c r="B14409">
        <f>IF(ISNUMBER(Input!B14409),IF(AND(Input!B14409&gt;=20,Input!B14409&lt;=700),Input!B14409,""),"")</f>
        <v/>
      </c>
      <c r="C14409">
        <f>IF(B14409="","",INT(A14409))</f>
        <v/>
      </c>
      <c r="D14409">
        <f>IF(B14409="","",HOUR(A14409))</f>
        <v/>
      </c>
    </row>
    <row r="14410">
      <c r="A14410">
        <f>Input!A14410</f>
        <v/>
      </c>
      <c r="B14410">
        <f>IF(ISNUMBER(Input!B14410),IF(AND(Input!B14410&gt;=20,Input!B14410&lt;=700),Input!B14410,""),"")</f>
        <v/>
      </c>
      <c r="C14410">
        <f>IF(B14410="","",INT(A14410))</f>
        <v/>
      </c>
      <c r="D14410">
        <f>IF(B14410="","",HOUR(A14410))</f>
        <v/>
      </c>
    </row>
    <row r="14411">
      <c r="A14411">
        <f>Input!A14411</f>
        <v/>
      </c>
      <c r="B14411">
        <f>IF(ISNUMBER(Input!B14411),IF(AND(Input!B14411&gt;=20,Input!B14411&lt;=700),Input!B14411,""),"")</f>
        <v/>
      </c>
      <c r="C14411">
        <f>IF(B14411="","",INT(A14411))</f>
        <v/>
      </c>
      <c r="D14411">
        <f>IF(B14411="","",HOUR(A14411))</f>
        <v/>
      </c>
    </row>
    <row r="14412">
      <c r="A14412">
        <f>Input!A14412</f>
        <v/>
      </c>
      <c r="B14412">
        <f>IF(ISNUMBER(Input!B14412),IF(AND(Input!B14412&gt;=20,Input!B14412&lt;=700),Input!B14412,""),"")</f>
        <v/>
      </c>
      <c r="C14412">
        <f>IF(B14412="","",INT(A14412))</f>
        <v/>
      </c>
      <c r="D14412">
        <f>IF(B14412="","",HOUR(A14412))</f>
        <v/>
      </c>
    </row>
    <row r="14413">
      <c r="A14413">
        <f>Input!A14413</f>
        <v/>
      </c>
      <c r="B14413">
        <f>IF(ISNUMBER(Input!B14413),IF(AND(Input!B14413&gt;=20,Input!B14413&lt;=700),Input!B14413,""),"")</f>
        <v/>
      </c>
      <c r="C14413">
        <f>IF(B14413="","",INT(A14413))</f>
        <v/>
      </c>
      <c r="D14413">
        <f>IF(B14413="","",HOUR(A14413))</f>
        <v/>
      </c>
    </row>
    <row r="14414">
      <c r="A14414">
        <f>Input!A14414</f>
        <v/>
      </c>
      <c r="B14414">
        <f>IF(ISNUMBER(Input!B14414),IF(AND(Input!B14414&gt;=20,Input!B14414&lt;=700),Input!B14414,""),"")</f>
        <v/>
      </c>
      <c r="C14414">
        <f>IF(B14414="","",INT(A14414))</f>
        <v/>
      </c>
      <c r="D14414">
        <f>IF(B14414="","",HOUR(A14414))</f>
        <v/>
      </c>
    </row>
    <row r="14415">
      <c r="A14415">
        <f>Input!A14415</f>
        <v/>
      </c>
      <c r="B14415">
        <f>IF(ISNUMBER(Input!B14415),IF(AND(Input!B14415&gt;=20,Input!B14415&lt;=700),Input!B14415,""),"")</f>
        <v/>
      </c>
      <c r="C14415">
        <f>IF(B14415="","",INT(A14415))</f>
        <v/>
      </c>
      <c r="D14415">
        <f>IF(B14415="","",HOUR(A14415))</f>
        <v/>
      </c>
    </row>
    <row r="14416">
      <c r="A14416">
        <f>Input!A14416</f>
        <v/>
      </c>
      <c r="B14416">
        <f>IF(ISNUMBER(Input!B14416),IF(AND(Input!B14416&gt;=20,Input!B14416&lt;=700),Input!B14416,""),"")</f>
        <v/>
      </c>
      <c r="C14416">
        <f>IF(B14416="","",INT(A14416))</f>
        <v/>
      </c>
      <c r="D14416">
        <f>IF(B14416="","",HOUR(A14416))</f>
        <v/>
      </c>
    </row>
    <row r="14417">
      <c r="A14417">
        <f>Input!A14417</f>
        <v/>
      </c>
      <c r="B14417">
        <f>IF(ISNUMBER(Input!B14417),IF(AND(Input!B14417&gt;=20,Input!B14417&lt;=700),Input!B14417,""),"")</f>
        <v/>
      </c>
      <c r="C14417">
        <f>IF(B14417="","",INT(A14417))</f>
        <v/>
      </c>
      <c r="D14417">
        <f>IF(B14417="","",HOUR(A14417))</f>
        <v/>
      </c>
    </row>
    <row r="14418">
      <c r="A14418">
        <f>Input!A14418</f>
        <v/>
      </c>
      <c r="B14418">
        <f>IF(ISNUMBER(Input!B14418),IF(AND(Input!B14418&gt;=20,Input!B14418&lt;=700),Input!B14418,""),"")</f>
        <v/>
      </c>
      <c r="C14418">
        <f>IF(B14418="","",INT(A14418))</f>
        <v/>
      </c>
      <c r="D14418">
        <f>IF(B14418="","",HOUR(A14418))</f>
        <v/>
      </c>
    </row>
    <row r="14419">
      <c r="A14419">
        <f>Input!A14419</f>
        <v/>
      </c>
      <c r="B14419">
        <f>IF(ISNUMBER(Input!B14419),IF(AND(Input!B14419&gt;=20,Input!B14419&lt;=700),Input!B14419,""),"")</f>
        <v/>
      </c>
      <c r="C14419">
        <f>IF(B14419="","",INT(A14419))</f>
        <v/>
      </c>
      <c r="D14419">
        <f>IF(B14419="","",HOUR(A14419))</f>
        <v/>
      </c>
    </row>
    <row r="14420">
      <c r="A14420">
        <f>Input!A14420</f>
        <v/>
      </c>
      <c r="B14420">
        <f>IF(ISNUMBER(Input!B14420),IF(AND(Input!B14420&gt;=20,Input!B14420&lt;=700),Input!B14420,""),"")</f>
        <v/>
      </c>
      <c r="C14420">
        <f>IF(B14420="","",INT(A14420))</f>
        <v/>
      </c>
      <c r="D14420">
        <f>IF(B14420="","",HOUR(A14420))</f>
        <v/>
      </c>
    </row>
    <row r="14421">
      <c r="A14421">
        <f>Input!A14421</f>
        <v/>
      </c>
      <c r="B14421">
        <f>IF(ISNUMBER(Input!B14421),IF(AND(Input!B14421&gt;=20,Input!B14421&lt;=700),Input!B14421,""),"")</f>
        <v/>
      </c>
      <c r="C14421">
        <f>IF(B14421="","",INT(A14421))</f>
        <v/>
      </c>
      <c r="D14421">
        <f>IF(B14421="","",HOUR(A14421))</f>
        <v/>
      </c>
    </row>
    <row r="14422">
      <c r="A14422">
        <f>Input!A14422</f>
        <v/>
      </c>
      <c r="B14422">
        <f>IF(ISNUMBER(Input!B14422),IF(AND(Input!B14422&gt;=20,Input!B14422&lt;=700),Input!B14422,""),"")</f>
        <v/>
      </c>
      <c r="C14422">
        <f>IF(B14422="","",INT(A14422))</f>
        <v/>
      </c>
      <c r="D14422">
        <f>IF(B14422="","",HOUR(A14422))</f>
        <v/>
      </c>
    </row>
    <row r="14423">
      <c r="A14423">
        <f>Input!A14423</f>
        <v/>
      </c>
      <c r="B14423">
        <f>IF(ISNUMBER(Input!B14423),IF(AND(Input!B14423&gt;=20,Input!B14423&lt;=700),Input!B14423,""),"")</f>
        <v/>
      </c>
      <c r="C14423">
        <f>IF(B14423="","",INT(A14423))</f>
        <v/>
      </c>
      <c r="D14423">
        <f>IF(B14423="","",HOUR(A14423))</f>
        <v/>
      </c>
    </row>
    <row r="14424">
      <c r="A14424">
        <f>Input!A14424</f>
        <v/>
      </c>
      <c r="B14424">
        <f>IF(ISNUMBER(Input!B14424),IF(AND(Input!B14424&gt;=20,Input!B14424&lt;=700),Input!B14424,""),"")</f>
        <v/>
      </c>
      <c r="C14424">
        <f>IF(B14424="","",INT(A14424))</f>
        <v/>
      </c>
      <c r="D14424">
        <f>IF(B14424="","",HOUR(A14424))</f>
        <v/>
      </c>
    </row>
    <row r="14425">
      <c r="A14425">
        <f>Input!A14425</f>
        <v/>
      </c>
      <c r="B14425">
        <f>IF(ISNUMBER(Input!B14425),IF(AND(Input!B14425&gt;=20,Input!B14425&lt;=700),Input!B14425,""),"")</f>
        <v/>
      </c>
      <c r="C14425">
        <f>IF(B14425="","",INT(A14425))</f>
        <v/>
      </c>
      <c r="D14425">
        <f>IF(B14425="","",HOUR(A14425))</f>
        <v/>
      </c>
    </row>
    <row r="14426">
      <c r="A14426">
        <f>Input!A14426</f>
        <v/>
      </c>
      <c r="B14426">
        <f>IF(ISNUMBER(Input!B14426),IF(AND(Input!B14426&gt;=20,Input!B14426&lt;=700),Input!B14426,""),"")</f>
        <v/>
      </c>
      <c r="C14426">
        <f>IF(B14426="","",INT(A14426))</f>
        <v/>
      </c>
      <c r="D14426">
        <f>IF(B14426="","",HOUR(A14426))</f>
        <v/>
      </c>
    </row>
    <row r="14427">
      <c r="A14427">
        <f>Input!A14427</f>
        <v/>
      </c>
      <c r="B14427">
        <f>IF(ISNUMBER(Input!B14427),IF(AND(Input!B14427&gt;=20,Input!B14427&lt;=700),Input!B14427,""),"")</f>
        <v/>
      </c>
      <c r="C14427">
        <f>IF(B14427="","",INT(A14427))</f>
        <v/>
      </c>
      <c r="D14427">
        <f>IF(B14427="","",HOUR(A14427))</f>
        <v/>
      </c>
    </row>
    <row r="14428">
      <c r="A14428">
        <f>Input!A14428</f>
        <v/>
      </c>
      <c r="B14428">
        <f>IF(ISNUMBER(Input!B14428),IF(AND(Input!B14428&gt;=20,Input!B14428&lt;=700),Input!B14428,""),"")</f>
        <v/>
      </c>
      <c r="C14428">
        <f>IF(B14428="","",INT(A14428))</f>
        <v/>
      </c>
      <c r="D14428">
        <f>IF(B14428="","",HOUR(A14428))</f>
        <v/>
      </c>
    </row>
    <row r="14429">
      <c r="A14429">
        <f>Input!A14429</f>
        <v/>
      </c>
      <c r="B14429">
        <f>IF(ISNUMBER(Input!B14429),IF(AND(Input!B14429&gt;=20,Input!B14429&lt;=700),Input!B14429,""),"")</f>
        <v/>
      </c>
      <c r="C14429">
        <f>IF(B14429="","",INT(A14429))</f>
        <v/>
      </c>
      <c r="D14429">
        <f>IF(B14429="","",HOUR(A14429))</f>
        <v/>
      </c>
    </row>
    <row r="14430">
      <c r="A14430">
        <f>Input!A14430</f>
        <v/>
      </c>
      <c r="B14430">
        <f>IF(ISNUMBER(Input!B14430),IF(AND(Input!B14430&gt;=20,Input!B14430&lt;=700),Input!B14430,""),"")</f>
        <v/>
      </c>
      <c r="C14430">
        <f>IF(B14430="","",INT(A14430))</f>
        <v/>
      </c>
      <c r="D14430">
        <f>IF(B14430="","",HOUR(A14430))</f>
        <v/>
      </c>
    </row>
    <row r="14431">
      <c r="A14431">
        <f>Input!A14431</f>
        <v/>
      </c>
      <c r="B14431">
        <f>IF(ISNUMBER(Input!B14431),IF(AND(Input!B14431&gt;=20,Input!B14431&lt;=700),Input!B14431,""),"")</f>
        <v/>
      </c>
      <c r="C14431">
        <f>IF(B14431="","",INT(A14431))</f>
        <v/>
      </c>
      <c r="D14431">
        <f>IF(B14431="","",HOUR(A14431))</f>
        <v/>
      </c>
    </row>
    <row r="14432">
      <c r="A14432">
        <f>Input!A14432</f>
        <v/>
      </c>
      <c r="B14432">
        <f>IF(ISNUMBER(Input!B14432),IF(AND(Input!B14432&gt;=20,Input!B14432&lt;=700),Input!B14432,""),"")</f>
        <v/>
      </c>
      <c r="C14432">
        <f>IF(B14432="","",INT(A14432))</f>
        <v/>
      </c>
      <c r="D14432">
        <f>IF(B14432="","",HOUR(A14432))</f>
        <v/>
      </c>
    </row>
    <row r="14433">
      <c r="A14433">
        <f>Input!A14433</f>
        <v/>
      </c>
      <c r="B14433">
        <f>IF(ISNUMBER(Input!B14433),IF(AND(Input!B14433&gt;=20,Input!B14433&lt;=700),Input!B14433,""),"")</f>
        <v/>
      </c>
      <c r="C14433">
        <f>IF(B14433="","",INT(A14433))</f>
        <v/>
      </c>
      <c r="D14433">
        <f>IF(B14433="","",HOUR(A14433))</f>
        <v/>
      </c>
    </row>
    <row r="14434">
      <c r="A14434">
        <f>Input!A14434</f>
        <v/>
      </c>
      <c r="B14434">
        <f>IF(ISNUMBER(Input!B14434),IF(AND(Input!B14434&gt;=20,Input!B14434&lt;=700),Input!B14434,""),"")</f>
        <v/>
      </c>
      <c r="C14434">
        <f>IF(B14434="","",INT(A14434))</f>
        <v/>
      </c>
      <c r="D14434">
        <f>IF(B14434="","",HOUR(A14434))</f>
        <v/>
      </c>
    </row>
    <row r="14435">
      <c r="A14435">
        <f>Input!A14435</f>
        <v/>
      </c>
      <c r="B14435">
        <f>IF(ISNUMBER(Input!B14435),IF(AND(Input!B14435&gt;=20,Input!B14435&lt;=700),Input!B14435,""),"")</f>
        <v/>
      </c>
      <c r="C14435">
        <f>IF(B14435="","",INT(A14435))</f>
        <v/>
      </c>
      <c r="D14435">
        <f>IF(B14435="","",HOUR(A14435))</f>
        <v/>
      </c>
    </row>
    <row r="14436">
      <c r="A14436">
        <f>Input!A14436</f>
        <v/>
      </c>
      <c r="B14436">
        <f>IF(ISNUMBER(Input!B14436),IF(AND(Input!B14436&gt;=20,Input!B14436&lt;=700),Input!B14436,""),"")</f>
        <v/>
      </c>
      <c r="C14436">
        <f>IF(B14436="","",INT(A14436))</f>
        <v/>
      </c>
      <c r="D14436">
        <f>IF(B14436="","",HOUR(A14436))</f>
        <v/>
      </c>
    </row>
    <row r="14437">
      <c r="A14437">
        <f>Input!A14437</f>
        <v/>
      </c>
      <c r="B14437">
        <f>IF(ISNUMBER(Input!B14437),IF(AND(Input!B14437&gt;=20,Input!B14437&lt;=700),Input!B14437,""),"")</f>
        <v/>
      </c>
      <c r="C14437">
        <f>IF(B14437="","",INT(A14437))</f>
        <v/>
      </c>
      <c r="D14437">
        <f>IF(B14437="","",HOUR(A14437))</f>
        <v/>
      </c>
    </row>
    <row r="14438">
      <c r="A14438">
        <f>Input!A14438</f>
        <v/>
      </c>
      <c r="B14438">
        <f>IF(ISNUMBER(Input!B14438),IF(AND(Input!B14438&gt;=20,Input!B14438&lt;=700),Input!B14438,""),"")</f>
        <v/>
      </c>
      <c r="C14438">
        <f>IF(B14438="","",INT(A14438))</f>
        <v/>
      </c>
      <c r="D14438">
        <f>IF(B14438="","",HOUR(A14438))</f>
        <v/>
      </c>
    </row>
    <row r="14439">
      <c r="A14439">
        <f>Input!A14439</f>
        <v/>
      </c>
      <c r="B14439">
        <f>IF(ISNUMBER(Input!B14439),IF(AND(Input!B14439&gt;=20,Input!B14439&lt;=700),Input!B14439,""),"")</f>
        <v/>
      </c>
      <c r="C14439">
        <f>IF(B14439="","",INT(A14439))</f>
        <v/>
      </c>
      <c r="D14439">
        <f>IF(B14439="","",HOUR(A14439))</f>
        <v/>
      </c>
    </row>
    <row r="14440">
      <c r="A14440">
        <f>Input!A14440</f>
        <v/>
      </c>
      <c r="B14440">
        <f>IF(ISNUMBER(Input!B14440),IF(AND(Input!B14440&gt;=20,Input!B14440&lt;=700),Input!B14440,""),"")</f>
        <v/>
      </c>
      <c r="C14440">
        <f>IF(B14440="","",INT(A14440))</f>
        <v/>
      </c>
      <c r="D14440">
        <f>IF(B14440="","",HOUR(A14440))</f>
        <v/>
      </c>
    </row>
    <row r="14441">
      <c r="A14441">
        <f>Input!A14441</f>
        <v/>
      </c>
      <c r="B14441">
        <f>IF(ISNUMBER(Input!B14441),IF(AND(Input!B14441&gt;=20,Input!B14441&lt;=700),Input!B14441,""),"")</f>
        <v/>
      </c>
      <c r="C14441">
        <f>IF(B14441="","",INT(A14441))</f>
        <v/>
      </c>
      <c r="D14441">
        <f>IF(B14441="","",HOUR(A14441))</f>
        <v/>
      </c>
    </row>
    <row r="14442">
      <c r="A14442">
        <f>Input!A14442</f>
        <v/>
      </c>
      <c r="B14442">
        <f>IF(ISNUMBER(Input!B14442),IF(AND(Input!B14442&gt;=20,Input!B14442&lt;=700),Input!B14442,""),"")</f>
        <v/>
      </c>
      <c r="C14442">
        <f>IF(B14442="","",INT(A14442))</f>
        <v/>
      </c>
      <c r="D14442">
        <f>IF(B14442="","",HOUR(A14442))</f>
        <v/>
      </c>
    </row>
    <row r="14443">
      <c r="A14443">
        <f>Input!A14443</f>
        <v/>
      </c>
      <c r="B14443">
        <f>IF(ISNUMBER(Input!B14443),IF(AND(Input!B14443&gt;=20,Input!B14443&lt;=700),Input!B14443,""),"")</f>
        <v/>
      </c>
      <c r="C14443">
        <f>IF(B14443="","",INT(A14443))</f>
        <v/>
      </c>
      <c r="D14443">
        <f>IF(B14443="","",HOUR(A14443))</f>
        <v/>
      </c>
    </row>
    <row r="14444">
      <c r="A14444">
        <f>Input!A14444</f>
        <v/>
      </c>
      <c r="B14444">
        <f>IF(ISNUMBER(Input!B14444),IF(AND(Input!B14444&gt;=20,Input!B14444&lt;=700),Input!B14444,""),"")</f>
        <v/>
      </c>
      <c r="C14444">
        <f>IF(B14444="","",INT(A14444))</f>
        <v/>
      </c>
      <c r="D14444">
        <f>IF(B14444="","",HOUR(A14444))</f>
        <v/>
      </c>
    </row>
    <row r="14445">
      <c r="A14445">
        <f>Input!A14445</f>
        <v/>
      </c>
      <c r="B14445">
        <f>IF(ISNUMBER(Input!B14445),IF(AND(Input!B14445&gt;=20,Input!B14445&lt;=700),Input!B14445,""),"")</f>
        <v/>
      </c>
      <c r="C14445">
        <f>IF(B14445="","",INT(A14445))</f>
        <v/>
      </c>
      <c r="D14445">
        <f>IF(B14445="","",HOUR(A14445))</f>
        <v/>
      </c>
    </row>
    <row r="14446">
      <c r="A14446">
        <f>Input!A14446</f>
        <v/>
      </c>
      <c r="B14446">
        <f>IF(ISNUMBER(Input!B14446),IF(AND(Input!B14446&gt;=20,Input!B14446&lt;=700),Input!B14446,""),"")</f>
        <v/>
      </c>
      <c r="C14446">
        <f>IF(B14446="","",INT(A14446))</f>
        <v/>
      </c>
      <c r="D14446">
        <f>IF(B14446="","",HOUR(A14446))</f>
        <v/>
      </c>
    </row>
    <row r="14447">
      <c r="A14447">
        <f>Input!A14447</f>
        <v/>
      </c>
      <c r="B14447">
        <f>IF(ISNUMBER(Input!B14447),IF(AND(Input!B14447&gt;=20,Input!B14447&lt;=700),Input!B14447,""),"")</f>
        <v/>
      </c>
      <c r="C14447">
        <f>IF(B14447="","",INT(A14447))</f>
        <v/>
      </c>
      <c r="D14447">
        <f>IF(B14447="","",HOUR(A14447))</f>
        <v/>
      </c>
    </row>
    <row r="14448">
      <c r="A14448">
        <f>Input!A14448</f>
        <v/>
      </c>
      <c r="B14448">
        <f>IF(ISNUMBER(Input!B14448),IF(AND(Input!B14448&gt;=20,Input!B14448&lt;=700),Input!B14448,""),"")</f>
        <v/>
      </c>
      <c r="C14448">
        <f>IF(B14448="","",INT(A14448))</f>
        <v/>
      </c>
      <c r="D14448">
        <f>IF(B14448="","",HOUR(A14448))</f>
        <v/>
      </c>
    </row>
    <row r="14449">
      <c r="A14449">
        <f>Input!A14449</f>
        <v/>
      </c>
      <c r="B14449">
        <f>IF(ISNUMBER(Input!B14449),IF(AND(Input!B14449&gt;=20,Input!B14449&lt;=700),Input!B14449,""),"")</f>
        <v/>
      </c>
      <c r="C14449">
        <f>IF(B14449="","",INT(A14449))</f>
        <v/>
      </c>
      <c r="D14449">
        <f>IF(B14449="","",HOUR(A14449))</f>
        <v/>
      </c>
    </row>
    <row r="14450">
      <c r="A14450">
        <f>Input!A14450</f>
        <v/>
      </c>
      <c r="B14450">
        <f>IF(ISNUMBER(Input!B14450),IF(AND(Input!B14450&gt;=20,Input!B14450&lt;=700),Input!B14450,""),"")</f>
        <v/>
      </c>
      <c r="C14450">
        <f>IF(B14450="","",INT(A14450))</f>
        <v/>
      </c>
      <c r="D14450">
        <f>IF(B14450="","",HOUR(A14450))</f>
        <v/>
      </c>
    </row>
    <row r="14451">
      <c r="A14451">
        <f>Input!A14451</f>
        <v/>
      </c>
      <c r="B14451">
        <f>IF(ISNUMBER(Input!B14451),IF(AND(Input!B14451&gt;=20,Input!B14451&lt;=700),Input!B14451,""),"")</f>
        <v/>
      </c>
      <c r="C14451">
        <f>IF(B14451="","",INT(A14451))</f>
        <v/>
      </c>
      <c r="D14451">
        <f>IF(B14451="","",HOUR(A14451))</f>
        <v/>
      </c>
    </row>
    <row r="14452">
      <c r="A14452">
        <f>Input!A14452</f>
        <v/>
      </c>
      <c r="B14452">
        <f>IF(ISNUMBER(Input!B14452),IF(AND(Input!B14452&gt;=20,Input!B14452&lt;=700),Input!B14452,""),"")</f>
        <v/>
      </c>
      <c r="C14452">
        <f>IF(B14452="","",INT(A14452))</f>
        <v/>
      </c>
      <c r="D14452">
        <f>IF(B14452="","",HOUR(A14452))</f>
        <v/>
      </c>
    </row>
    <row r="14453">
      <c r="A14453">
        <f>Input!A14453</f>
        <v/>
      </c>
      <c r="B14453">
        <f>IF(ISNUMBER(Input!B14453),IF(AND(Input!B14453&gt;=20,Input!B14453&lt;=700),Input!B14453,""),"")</f>
        <v/>
      </c>
      <c r="C14453">
        <f>IF(B14453="","",INT(A14453))</f>
        <v/>
      </c>
      <c r="D14453">
        <f>IF(B14453="","",HOUR(A14453))</f>
        <v/>
      </c>
    </row>
    <row r="14454">
      <c r="A14454">
        <f>Input!A14454</f>
        <v/>
      </c>
      <c r="B14454">
        <f>IF(ISNUMBER(Input!B14454),IF(AND(Input!B14454&gt;=20,Input!B14454&lt;=700),Input!B14454,""),"")</f>
        <v/>
      </c>
      <c r="C14454">
        <f>IF(B14454="","",INT(A14454))</f>
        <v/>
      </c>
      <c r="D14454">
        <f>IF(B14454="","",HOUR(A14454))</f>
        <v/>
      </c>
    </row>
    <row r="14455">
      <c r="A14455">
        <f>Input!A14455</f>
        <v/>
      </c>
      <c r="B14455">
        <f>IF(ISNUMBER(Input!B14455),IF(AND(Input!B14455&gt;=20,Input!B14455&lt;=700),Input!B14455,""),"")</f>
        <v/>
      </c>
      <c r="C14455">
        <f>IF(B14455="","",INT(A14455))</f>
        <v/>
      </c>
      <c r="D14455">
        <f>IF(B14455="","",HOUR(A14455))</f>
        <v/>
      </c>
    </row>
    <row r="14456">
      <c r="A14456">
        <f>Input!A14456</f>
        <v/>
      </c>
      <c r="B14456">
        <f>IF(ISNUMBER(Input!B14456),IF(AND(Input!B14456&gt;=20,Input!B14456&lt;=700),Input!B14456,""),"")</f>
        <v/>
      </c>
      <c r="C14456">
        <f>IF(B14456="","",INT(A14456))</f>
        <v/>
      </c>
      <c r="D14456">
        <f>IF(B14456="","",HOUR(A14456))</f>
        <v/>
      </c>
    </row>
    <row r="14457">
      <c r="A14457">
        <f>Input!A14457</f>
        <v/>
      </c>
      <c r="B14457">
        <f>IF(ISNUMBER(Input!B14457),IF(AND(Input!B14457&gt;=20,Input!B14457&lt;=700),Input!B14457,""),"")</f>
        <v/>
      </c>
      <c r="C14457">
        <f>IF(B14457="","",INT(A14457))</f>
        <v/>
      </c>
      <c r="D14457">
        <f>IF(B14457="","",HOUR(A14457))</f>
        <v/>
      </c>
    </row>
    <row r="14458">
      <c r="A14458">
        <f>Input!A14458</f>
        <v/>
      </c>
      <c r="B14458">
        <f>IF(ISNUMBER(Input!B14458),IF(AND(Input!B14458&gt;=20,Input!B14458&lt;=700),Input!B14458,""),"")</f>
        <v/>
      </c>
      <c r="C14458">
        <f>IF(B14458="","",INT(A14458))</f>
        <v/>
      </c>
      <c r="D14458">
        <f>IF(B14458="","",HOUR(A14458))</f>
        <v/>
      </c>
    </row>
    <row r="14459">
      <c r="A14459">
        <f>Input!A14459</f>
        <v/>
      </c>
      <c r="B14459">
        <f>IF(ISNUMBER(Input!B14459),IF(AND(Input!B14459&gt;=20,Input!B14459&lt;=700),Input!B14459,""),"")</f>
        <v/>
      </c>
      <c r="C14459">
        <f>IF(B14459="","",INT(A14459))</f>
        <v/>
      </c>
      <c r="D14459">
        <f>IF(B14459="","",HOUR(A14459))</f>
        <v/>
      </c>
    </row>
    <row r="14460">
      <c r="A14460">
        <f>Input!A14460</f>
        <v/>
      </c>
      <c r="B14460">
        <f>IF(ISNUMBER(Input!B14460),IF(AND(Input!B14460&gt;=20,Input!B14460&lt;=700),Input!B14460,""),"")</f>
        <v/>
      </c>
      <c r="C14460">
        <f>IF(B14460="","",INT(A14460))</f>
        <v/>
      </c>
      <c r="D14460">
        <f>IF(B14460="","",HOUR(A14460))</f>
        <v/>
      </c>
    </row>
    <row r="14461">
      <c r="A14461">
        <f>Input!A14461</f>
        <v/>
      </c>
      <c r="B14461">
        <f>IF(ISNUMBER(Input!B14461),IF(AND(Input!B14461&gt;=20,Input!B14461&lt;=700),Input!B14461,""),"")</f>
        <v/>
      </c>
      <c r="C14461">
        <f>IF(B14461="","",INT(A14461))</f>
        <v/>
      </c>
      <c r="D14461">
        <f>IF(B14461="","",HOUR(A14461))</f>
        <v/>
      </c>
    </row>
    <row r="14462">
      <c r="A14462">
        <f>Input!A14462</f>
        <v/>
      </c>
      <c r="B14462">
        <f>IF(ISNUMBER(Input!B14462),IF(AND(Input!B14462&gt;=20,Input!B14462&lt;=700),Input!B14462,""),"")</f>
        <v/>
      </c>
      <c r="C14462">
        <f>IF(B14462="","",INT(A14462))</f>
        <v/>
      </c>
      <c r="D14462">
        <f>IF(B14462="","",HOUR(A14462))</f>
        <v/>
      </c>
    </row>
    <row r="14463">
      <c r="A14463">
        <f>Input!A14463</f>
        <v/>
      </c>
      <c r="B14463">
        <f>IF(ISNUMBER(Input!B14463),IF(AND(Input!B14463&gt;=20,Input!B14463&lt;=700),Input!B14463,""),"")</f>
        <v/>
      </c>
      <c r="C14463">
        <f>IF(B14463="","",INT(A14463))</f>
        <v/>
      </c>
      <c r="D14463">
        <f>IF(B14463="","",HOUR(A14463))</f>
        <v/>
      </c>
    </row>
    <row r="14464">
      <c r="A14464">
        <f>Input!A14464</f>
        <v/>
      </c>
      <c r="B14464">
        <f>IF(ISNUMBER(Input!B14464),IF(AND(Input!B14464&gt;=20,Input!B14464&lt;=700),Input!B14464,""),"")</f>
        <v/>
      </c>
      <c r="C14464">
        <f>IF(B14464="","",INT(A14464))</f>
        <v/>
      </c>
      <c r="D14464">
        <f>IF(B14464="","",HOUR(A14464))</f>
        <v/>
      </c>
    </row>
    <row r="14465">
      <c r="A14465">
        <f>Input!A14465</f>
        <v/>
      </c>
      <c r="B14465">
        <f>IF(ISNUMBER(Input!B14465),IF(AND(Input!B14465&gt;=20,Input!B14465&lt;=700),Input!B14465,""),"")</f>
        <v/>
      </c>
      <c r="C14465">
        <f>IF(B14465="","",INT(A14465))</f>
        <v/>
      </c>
      <c r="D14465">
        <f>IF(B14465="","",HOUR(A14465))</f>
        <v/>
      </c>
    </row>
    <row r="14466">
      <c r="A14466">
        <f>Input!A14466</f>
        <v/>
      </c>
      <c r="B14466">
        <f>IF(ISNUMBER(Input!B14466),IF(AND(Input!B14466&gt;=20,Input!B14466&lt;=700),Input!B14466,""),"")</f>
        <v/>
      </c>
      <c r="C14466">
        <f>IF(B14466="","",INT(A14466))</f>
        <v/>
      </c>
      <c r="D14466">
        <f>IF(B14466="","",HOUR(A14466))</f>
        <v/>
      </c>
    </row>
    <row r="14467">
      <c r="A14467">
        <f>Input!A14467</f>
        <v/>
      </c>
      <c r="B14467">
        <f>IF(ISNUMBER(Input!B14467),IF(AND(Input!B14467&gt;=20,Input!B14467&lt;=700),Input!B14467,""),"")</f>
        <v/>
      </c>
      <c r="C14467">
        <f>IF(B14467="","",INT(A14467))</f>
        <v/>
      </c>
      <c r="D14467">
        <f>IF(B14467="","",HOUR(A14467))</f>
        <v/>
      </c>
    </row>
    <row r="14468">
      <c r="A14468">
        <f>Input!A14468</f>
        <v/>
      </c>
      <c r="B14468">
        <f>IF(ISNUMBER(Input!B14468),IF(AND(Input!B14468&gt;=20,Input!B14468&lt;=700),Input!B14468,""),"")</f>
        <v/>
      </c>
      <c r="C14468">
        <f>IF(B14468="","",INT(A14468))</f>
        <v/>
      </c>
      <c r="D14468">
        <f>IF(B14468="","",HOUR(A14468))</f>
        <v/>
      </c>
    </row>
    <row r="14469">
      <c r="A14469">
        <f>Input!A14469</f>
        <v/>
      </c>
      <c r="B14469">
        <f>IF(ISNUMBER(Input!B14469),IF(AND(Input!B14469&gt;=20,Input!B14469&lt;=700),Input!B14469,""),"")</f>
        <v/>
      </c>
      <c r="C14469">
        <f>IF(B14469="","",INT(A14469))</f>
        <v/>
      </c>
      <c r="D14469">
        <f>IF(B14469="","",HOUR(A14469))</f>
        <v/>
      </c>
    </row>
    <row r="14470">
      <c r="A14470">
        <f>Input!A14470</f>
        <v/>
      </c>
      <c r="B14470">
        <f>IF(ISNUMBER(Input!B14470),IF(AND(Input!B14470&gt;=20,Input!B14470&lt;=700),Input!B14470,""),"")</f>
        <v/>
      </c>
      <c r="C14470">
        <f>IF(B14470="","",INT(A14470))</f>
        <v/>
      </c>
      <c r="D14470">
        <f>IF(B14470="","",HOUR(A14470))</f>
        <v/>
      </c>
    </row>
    <row r="14471">
      <c r="A14471">
        <f>Input!A14471</f>
        <v/>
      </c>
      <c r="B14471">
        <f>IF(ISNUMBER(Input!B14471),IF(AND(Input!B14471&gt;=20,Input!B14471&lt;=700),Input!B14471,""),"")</f>
        <v/>
      </c>
      <c r="C14471">
        <f>IF(B14471="","",INT(A14471))</f>
        <v/>
      </c>
      <c r="D14471">
        <f>IF(B14471="","",HOUR(A14471))</f>
        <v/>
      </c>
    </row>
    <row r="14472">
      <c r="A14472">
        <f>Input!A14472</f>
        <v/>
      </c>
      <c r="B14472">
        <f>IF(ISNUMBER(Input!B14472),IF(AND(Input!B14472&gt;=20,Input!B14472&lt;=700),Input!B14472,""),"")</f>
        <v/>
      </c>
      <c r="C14472">
        <f>IF(B14472="","",INT(A14472))</f>
        <v/>
      </c>
      <c r="D14472">
        <f>IF(B14472="","",HOUR(A14472))</f>
        <v/>
      </c>
    </row>
    <row r="14473">
      <c r="A14473">
        <f>Input!A14473</f>
        <v/>
      </c>
      <c r="B14473">
        <f>IF(ISNUMBER(Input!B14473),IF(AND(Input!B14473&gt;=20,Input!B14473&lt;=700),Input!B14473,""),"")</f>
        <v/>
      </c>
      <c r="C14473">
        <f>IF(B14473="","",INT(A14473))</f>
        <v/>
      </c>
      <c r="D14473">
        <f>IF(B14473="","",HOUR(A14473))</f>
        <v/>
      </c>
    </row>
    <row r="14474">
      <c r="A14474">
        <f>Input!A14474</f>
        <v/>
      </c>
      <c r="B14474">
        <f>IF(ISNUMBER(Input!B14474),IF(AND(Input!B14474&gt;=20,Input!B14474&lt;=700),Input!B14474,""),"")</f>
        <v/>
      </c>
      <c r="C14474">
        <f>IF(B14474="","",INT(A14474))</f>
        <v/>
      </c>
      <c r="D14474">
        <f>IF(B14474="","",HOUR(A14474))</f>
        <v/>
      </c>
    </row>
    <row r="14475">
      <c r="A14475">
        <f>Input!A14475</f>
        <v/>
      </c>
      <c r="B14475">
        <f>IF(ISNUMBER(Input!B14475),IF(AND(Input!B14475&gt;=20,Input!B14475&lt;=700),Input!B14475,""),"")</f>
        <v/>
      </c>
      <c r="C14475">
        <f>IF(B14475="","",INT(A14475))</f>
        <v/>
      </c>
      <c r="D14475">
        <f>IF(B14475="","",HOUR(A14475))</f>
        <v/>
      </c>
    </row>
    <row r="14476">
      <c r="A14476">
        <f>Input!A14476</f>
        <v/>
      </c>
      <c r="B14476">
        <f>IF(ISNUMBER(Input!B14476),IF(AND(Input!B14476&gt;=20,Input!B14476&lt;=700),Input!B14476,""),"")</f>
        <v/>
      </c>
      <c r="C14476">
        <f>IF(B14476="","",INT(A14476))</f>
        <v/>
      </c>
      <c r="D14476">
        <f>IF(B14476="","",HOUR(A14476))</f>
        <v/>
      </c>
    </row>
    <row r="14477">
      <c r="A14477">
        <f>Input!A14477</f>
        <v/>
      </c>
      <c r="B14477">
        <f>IF(ISNUMBER(Input!B14477),IF(AND(Input!B14477&gt;=20,Input!B14477&lt;=700),Input!B14477,""),"")</f>
        <v/>
      </c>
      <c r="C14477">
        <f>IF(B14477="","",INT(A14477))</f>
        <v/>
      </c>
      <c r="D14477">
        <f>IF(B14477="","",HOUR(A14477))</f>
        <v/>
      </c>
    </row>
    <row r="14478">
      <c r="A14478">
        <f>Input!A14478</f>
        <v/>
      </c>
      <c r="B14478">
        <f>IF(ISNUMBER(Input!B14478),IF(AND(Input!B14478&gt;=20,Input!B14478&lt;=700),Input!B14478,""),"")</f>
        <v/>
      </c>
      <c r="C14478">
        <f>IF(B14478="","",INT(A14478))</f>
        <v/>
      </c>
      <c r="D14478">
        <f>IF(B14478="","",HOUR(A14478))</f>
        <v/>
      </c>
    </row>
    <row r="14479">
      <c r="A14479">
        <f>Input!A14479</f>
        <v/>
      </c>
      <c r="B14479">
        <f>IF(ISNUMBER(Input!B14479),IF(AND(Input!B14479&gt;=20,Input!B14479&lt;=700),Input!B14479,""),"")</f>
        <v/>
      </c>
      <c r="C14479">
        <f>IF(B14479="","",INT(A14479))</f>
        <v/>
      </c>
      <c r="D14479">
        <f>IF(B14479="","",HOUR(A14479))</f>
        <v/>
      </c>
    </row>
    <row r="14480">
      <c r="A14480">
        <f>Input!A14480</f>
        <v/>
      </c>
      <c r="B14480">
        <f>IF(ISNUMBER(Input!B14480),IF(AND(Input!B14480&gt;=20,Input!B14480&lt;=700),Input!B14480,""),"")</f>
        <v/>
      </c>
      <c r="C14480">
        <f>IF(B14480="","",INT(A14480))</f>
        <v/>
      </c>
      <c r="D14480">
        <f>IF(B14480="","",HOUR(A14480))</f>
        <v/>
      </c>
    </row>
    <row r="14481">
      <c r="A14481">
        <f>Input!A14481</f>
        <v/>
      </c>
      <c r="B14481">
        <f>IF(ISNUMBER(Input!B14481),IF(AND(Input!B14481&gt;=20,Input!B14481&lt;=700),Input!B14481,""),"")</f>
        <v/>
      </c>
      <c r="C14481">
        <f>IF(B14481="","",INT(A14481))</f>
        <v/>
      </c>
      <c r="D14481">
        <f>IF(B14481="","",HOUR(A14481))</f>
        <v/>
      </c>
    </row>
    <row r="14482">
      <c r="A14482">
        <f>Input!A14482</f>
        <v/>
      </c>
      <c r="B14482">
        <f>IF(ISNUMBER(Input!B14482),IF(AND(Input!B14482&gt;=20,Input!B14482&lt;=700),Input!B14482,""),"")</f>
        <v/>
      </c>
      <c r="C14482">
        <f>IF(B14482="","",INT(A14482))</f>
        <v/>
      </c>
      <c r="D14482">
        <f>IF(B14482="","",HOUR(A14482))</f>
        <v/>
      </c>
    </row>
    <row r="14483">
      <c r="A14483">
        <f>Input!A14483</f>
        <v/>
      </c>
      <c r="B14483">
        <f>IF(ISNUMBER(Input!B14483),IF(AND(Input!B14483&gt;=20,Input!B14483&lt;=700),Input!B14483,""),"")</f>
        <v/>
      </c>
      <c r="C14483">
        <f>IF(B14483="","",INT(A14483))</f>
        <v/>
      </c>
      <c r="D14483">
        <f>IF(B14483="","",HOUR(A14483))</f>
        <v/>
      </c>
    </row>
    <row r="14484">
      <c r="A14484">
        <f>Input!A14484</f>
        <v/>
      </c>
      <c r="B14484">
        <f>IF(ISNUMBER(Input!B14484),IF(AND(Input!B14484&gt;=20,Input!B14484&lt;=700),Input!B14484,""),"")</f>
        <v/>
      </c>
      <c r="C14484">
        <f>IF(B14484="","",INT(A14484))</f>
        <v/>
      </c>
      <c r="D14484">
        <f>IF(B14484="","",HOUR(A14484))</f>
        <v/>
      </c>
    </row>
    <row r="14485">
      <c r="A14485">
        <f>Input!A14485</f>
        <v/>
      </c>
      <c r="B14485">
        <f>IF(ISNUMBER(Input!B14485),IF(AND(Input!B14485&gt;=20,Input!B14485&lt;=700),Input!B14485,""),"")</f>
        <v/>
      </c>
      <c r="C14485">
        <f>IF(B14485="","",INT(A14485))</f>
        <v/>
      </c>
      <c r="D14485">
        <f>IF(B14485="","",HOUR(A14485))</f>
        <v/>
      </c>
    </row>
    <row r="14486">
      <c r="A14486">
        <f>Input!A14486</f>
        <v/>
      </c>
      <c r="B14486">
        <f>IF(ISNUMBER(Input!B14486),IF(AND(Input!B14486&gt;=20,Input!B14486&lt;=700),Input!B14486,""),"")</f>
        <v/>
      </c>
      <c r="C14486">
        <f>IF(B14486="","",INT(A14486))</f>
        <v/>
      </c>
      <c r="D14486">
        <f>IF(B14486="","",HOUR(A14486))</f>
        <v/>
      </c>
    </row>
    <row r="14487">
      <c r="A14487">
        <f>Input!A14487</f>
        <v/>
      </c>
      <c r="B14487">
        <f>IF(ISNUMBER(Input!B14487),IF(AND(Input!B14487&gt;=20,Input!B14487&lt;=700),Input!B14487,""),"")</f>
        <v/>
      </c>
      <c r="C14487">
        <f>IF(B14487="","",INT(A14487))</f>
        <v/>
      </c>
      <c r="D14487">
        <f>IF(B14487="","",HOUR(A14487))</f>
        <v/>
      </c>
    </row>
    <row r="14488">
      <c r="A14488">
        <f>Input!A14488</f>
        <v/>
      </c>
      <c r="B14488">
        <f>IF(ISNUMBER(Input!B14488),IF(AND(Input!B14488&gt;=20,Input!B14488&lt;=700),Input!B14488,""),"")</f>
        <v/>
      </c>
      <c r="C14488">
        <f>IF(B14488="","",INT(A14488))</f>
        <v/>
      </c>
      <c r="D14488">
        <f>IF(B14488="","",HOUR(A14488))</f>
        <v/>
      </c>
    </row>
    <row r="14489">
      <c r="A14489">
        <f>Input!A14489</f>
        <v/>
      </c>
      <c r="B14489">
        <f>IF(ISNUMBER(Input!B14489),IF(AND(Input!B14489&gt;=20,Input!B14489&lt;=700),Input!B14489,""),"")</f>
        <v/>
      </c>
      <c r="C14489">
        <f>IF(B14489="","",INT(A14489))</f>
        <v/>
      </c>
      <c r="D14489">
        <f>IF(B14489="","",HOUR(A14489))</f>
        <v/>
      </c>
    </row>
    <row r="14490">
      <c r="A14490">
        <f>Input!A14490</f>
        <v/>
      </c>
      <c r="B14490">
        <f>IF(ISNUMBER(Input!B14490),IF(AND(Input!B14490&gt;=20,Input!B14490&lt;=700),Input!B14490,""),"")</f>
        <v/>
      </c>
      <c r="C14490">
        <f>IF(B14490="","",INT(A14490))</f>
        <v/>
      </c>
      <c r="D14490">
        <f>IF(B14490="","",HOUR(A14490))</f>
        <v/>
      </c>
    </row>
    <row r="14491">
      <c r="A14491">
        <f>Input!A14491</f>
        <v/>
      </c>
      <c r="B14491">
        <f>IF(ISNUMBER(Input!B14491),IF(AND(Input!B14491&gt;=20,Input!B14491&lt;=700),Input!B14491,""),"")</f>
        <v/>
      </c>
      <c r="C14491">
        <f>IF(B14491="","",INT(A14491))</f>
        <v/>
      </c>
      <c r="D14491">
        <f>IF(B14491="","",HOUR(A14491))</f>
        <v/>
      </c>
    </row>
    <row r="14492">
      <c r="A14492">
        <f>Input!A14492</f>
        <v/>
      </c>
      <c r="B14492">
        <f>IF(ISNUMBER(Input!B14492),IF(AND(Input!B14492&gt;=20,Input!B14492&lt;=700),Input!B14492,""),"")</f>
        <v/>
      </c>
      <c r="C14492">
        <f>IF(B14492="","",INT(A14492))</f>
        <v/>
      </c>
      <c r="D14492">
        <f>IF(B14492="","",HOUR(A14492))</f>
        <v/>
      </c>
    </row>
    <row r="14493">
      <c r="A14493">
        <f>Input!A14493</f>
        <v/>
      </c>
      <c r="B14493">
        <f>IF(ISNUMBER(Input!B14493),IF(AND(Input!B14493&gt;=20,Input!B14493&lt;=700),Input!B14493,""),"")</f>
        <v/>
      </c>
      <c r="C14493">
        <f>IF(B14493="","",INT(A14493))</f>
        <v/>
      </c>
      <c r="D14493">
        <f>IF(B14493="","",HOUR(A14493))</f>
        <v/>
      </c>
    </row>
    <row r="14494">
      <c r="A14494">
        <f>Input!A14494</f>
        <v/>
      </c>
      <c r="B14494">
        <f>IF(ISNUMBER(Input!B14494),IF(AND(Input!B14494&gt;=20,Input!B14494&lt;=700),Input!B14494,""),"")</f>
        <v/>
      </c>
      <c r="C14494">
        <f>IF(B14494="","",INT(A14494))</f>
        <v/>
      </c>
      <c r="D14494">
        <f>IF(B14494="","",HOUR(A14494))</f>
        <v/>
      </c>
    </row>
    <row r="14495">
      <c r="A14495">
        <f>Input!A14495</f>
        <v/>
      </c>
      <c r="B14495">
        <f>IF(ISNUMBER(Input!B14495),IF(AND(Input!B14495&gt;=20,Input!B14495&lt;=700),Input!B14495,""),"")</f>
        <v/>
      </c>
      <c r="C14495">
        <f>IF(B14495="","",INT(A14495))</f>
        <v/>
      </c>
      <c r="D14495">
        <f>IF(B14495="","",HOUR(A14495))</f>
        <v/>
      </c>
    </row>
    <row r="14496">
      <c r="A14496">
        <f>Input!A14496</f>
        <v/>
      </c>
      <c r="B14496">
        <f>IF(ISNUMBER(Input!B14496),IF(AND(Input!B14496&gt;=20,Input!B14496&lt;=700),Input!B14496,""),"")</f>
        <v/>
      </c>
      <c r="C14496">
        <f>IF(B14496="","",INT(A14496))</f>
        <v/>
      </c>
      <c r="D14496">
        <f>IF(B14496="","",HOUR(A14496))</f>
        <v/>
      </c>
    </row>
    <row r="14497">
      <c r="A14497">
        <f>Input!A14497</f>
        <v/>
      </c>
      <c r="B14497">
        <f>IF(ISNUMBER(Input!B14497),IF(AND(Input!B14497&gt;=20,Input!B14497&lt;=700),Input!B14497,""),"")</f>
        <v/>
      </c>
      <c r="C14497">
        <f>IF(B14497="","",INT(A14497))</f>
        <v/>
      </c>
      <c r="D14497">
        <f>IF(B14497="","",HOUR(A14497))</f>
        <v/>
      </c>
    </row>
    <row r="14498">
      <c r="A14498">
        <f>Input!A14498</f>
        <v/>
      </c>
      <c r="B14498">
        <f>IF(ISNUMBER(Input!B14498),IF(AND(Input!B14498&gt;=20,Input!B14498&lt;=700),Input!B14498,""),"")</f>
        <v/>
      </c>
      <c r="C14498">
        <f>IF(B14498="","",INT(A14498))</f>
        <v/>
      </c>
      <c r="D14498">
        <f>IF(B14498="","",HOUR(A14498))</f>
        <v/>
      </c>
    </row>
    <row r="14499">
      <c r="A14499">
        <f>Input!A14499</f>
        <v/>
      </c>
      <c r="B14499">
        <f>IF(ISNUMBER(Input!B14499),IF(AND(Input!B14499&gt;=20,Input!B14499&lt;=700),Input!B14499,""),"")</f>
        <v/>
      </c>
      <c r="C14499">
        <f>IF(B14499="","",INT(A14499))</f>
        <v/>
      </c>
      <c r="D14499">
        <f>IF(B14499="","",HOUR(A14499))</f>
        <v/>
      </c>
    </row>
    <row r="14500">
      <c r="A14500">
        <f>Input!A14500</f>
        <v/>
      </c>
      <c r="B14500">
        <f>IF(ISNUMBER(Input!B14500),IF(AND(Input!B14500&gt;=20,Input!B14500&lt;=700),Input!B14500,""),"")</f>
        <v/>
      </c>
      <c r="C14500">
        <f>IF(B14500="","",INT(A14500))</f>
        <v/>
      </c>
      <c r="D14500">
        <f>IF(B14500="","",HOUR(A14500))</f>
        <v/>
      </c>
    </row>
    <row r="14501">
      <c r="A14501">
        <f>Input!A14501</f>
        <v/>
      </c>
      <c r="B14501">
        <f>IF(ISNUMBER(Input!B14501),IF(AND(Input!B14501&gt;=20,Input!B14501&lt;=700),Input!B14501,""),"")</f>
        <v/>
      </c>
      <c r="C14501">
        <f>IF(B14501="","",INT(A14501))</f>
        <v/>
      </c>
      <c r="D14501">
        <f>IF(B14501="","",HOUR(A14501))</f>
        <v/>
      </c>
    </row>
    <row r="14502">
      <c r="A14502">
        <f>Input!A14502</f>
        <v/>
      </c>
      <c r="B14502">
        <f>IF(ISNUMBER(Input!B14502),IF(AND(Input!B14502&gt;=20,Input!B14502&lt;=700),Input!B14502,""),"")</f>
        <v/>
      </c>
      <c r="C14502">
        <f>IF(B14502="","",INT(A14502))</f>
        <v/>
      </c>
      <c r="D14502">
        <f>IF(B14502="","",HOUR(A14502))</f>
        <v/>
      </c>
    </row>
    <row r="14503">
      <c r="A14503">
        <f>Input!A14503</f>
        <v/>
      </c>
      <c r="B14503">
        <f>IF(ISNUMBER(Input!B14503),IF(AND(Input!B14503&gt;=20,Input!B14503&lt;=700),Input!B14503,""),"")</f>
        <v/>
      </c>
      <c r="C14503">
        <f>IF(B14503="","",INT(A14503))</f>
        <v/>
      </c>
      <c r="D14503">
        <f>IF(B14503="","",HOUR(A14503))</f>
        <v/>
      </c>
    </row>
    <row r="14504">
      <c r="A14504">
        <f>Input!A14504</f>
        <v/>
      </c>
      <c r="B14504">
        <f>IF(ISNUMBER(Input!B14504),IF(AND(Input!B14504&gt;=20,Input!B14504&lt;=700),Input!B14504,""),"")</f>
        <v/>
      </c>
      <c r="C14504">
        <f>IF(B14504="","",INT(A14504))</f>
        <v/>
      </c>
      <c r="D14504">
        <f>IF(B14504="","",HOUR(A14504))</f>
        <v/>
      </c>
    </row>
    <row r="14505">
      <c r="A14505">
        <f>Input!A14505</f>
        <v/>
      </c>
      <c r="B14505">
        <f>IF(ISNUMBER(Input!B14505),IF(AND(Input!B14505&gt;=20,Input!B14505&lt;=700),Input!B14505,""),"")</f>
        <v/>
      </c>
      <c r="C14505">
        <f>IF(B14505="","",INT(A14505))</f>
        <v/>
      </c>
      <c r="D14505">
        <f>IF(B14505="","",HOUR(A14505))</f>
        <v/>
      </c>
    </row>
    <row r="14506">
      <c r="A14506">
        <f>Input!A14506</f>
        <v/>
      </c>
      <c r="B14506">
        <f>IF(ISNUMBER(Input!B14506),IF(AND(Input!B14506&gt;=20,Input!B14506&lt;=700),Input!B14506,""),"")</f>
        <v/>
      </c>
      <c r="C14506">
        <f>IF(B14506="","",INT(A14506))</f>
        <v/>
      </c>
      <c r="D14506">
        <f>IF(B14506="","",HOUR(A14506))</f>
        <v/>
      </c>
    </row>
    <row r="14507">
      <c r="A14507">
        <f>Input!A14507</f>
        <v/>
      </c>
      <c r="B14507">
        <f>IF(ISNUMBER(Input!B14507),IF(AND(Input!B14507&gt;=20,Input!B14507&lt;=700),Input!B14507,""),"")</f>
        <v/>
      </c>
      <c r="C14507">
        <f>IF(B14507="","",INT(A14507))</f>
        <v/>
      </c>
      <c r="D14507">
        <f>IF(B14507="","",HOUR(A14507))</f>
        <v/>
      </c>
    </row>
    <row r="14508">
      <c r="A14508">
        <f>Input!A14508</f>
        <v/>
      </c>
      <c r="B14508">
        <f>IF(ISNUMBER(Input!B14508),IF(AND(Input!B14508&gt;=20,Input!B14508&lt;=700),Input!B14508,""),"")</f>
        <v/>
      </c>
      <c r="C14508">
        <f>IF(B14508="","",INT(A14508))</f>
        <v/>
      </c>
      <c r="D14508">
        <f>IF(B14508="","",HOUR(A14508))</f>
        <v/>
      </c>
    </row>
    <row r="14509">
      <c r="A14509">
        <f>Input!A14509</f>
        <v/>
      </c>
      <c r="B14509">
        <f>IF(ISNUMBER(Input!B14509),IF(AND(Input!B14509&gt;=20,Input!B14509&lt;=700),Input!B14509,""),"")</f>
        <v/>
      </c>
      <c r="C14509">
        <f>IF(B14509="","",INT(A14509))</f>
        <v/>
      </c>
      <c r="D14509">
        <f>IF(B14509="","",HOUR(A14509))</f>
        <v/>
      </c>
    </row>
    <row r="14510">
      <c r="A14510">
        <f>Input!A14510</f>
        <v/>
      </c>
      <c r="B14510">
        <f>IF(ISNUMBER(Input!B14510),IF(AND(Input!B14510&gt;=20,Input!B14510&lt;=700),Input!B14510,""),"")</f>
        <v/>
      </c>
      <c r="C14510">
        <f>IF(B14510="","",INT(A14510))</f>
        <v/>
      </c>
      <c r="D14510">
        <f>IF(B14510="","",HOUR(A14510))</f>
        <v/>
      </c>
    </row>
    <row r="14511">
      <c r="A14511">
        <f>Input!A14511</f>
        <v/>
      </c>
      <c r="B14511">
        <f>IF(ISNUMBER(Input!B14511),IF(AND(Input!B14511&gt;=20,Input!B14511&lt;=700),Input!B14511,""),"")</f>
        <v/>
      </c>
      <c r="C14511">
        <f>IF(B14511="","",INT(A14511))</f>
        <v/>
      </c>
      <c r="D14511">
        <f>IF(B14511="","",HOUR(A14511))</f>
        <v/>
      </c>
    </row>
    <row r="14512">
      <c r="A14512">
        <f>Input!A14512</f>
        <v/>
      </c>
      <c r="B14512">
        <f>IF(ISNUMBER(Input!B14512),IF(AND(Input!B14512&gt;=20,Input!B14512&lt;=700),Input!B14512,""),"")</f>
        <v/>
      </c>
      <c r="C14512">
        <f>IF(B14512="","",INT(A14512))</f>
        <v/>
      </c>
      <c r="D14512">
        <f>IF(B14512="","",HOUR(A14512))</f>
        <v/>
      </c>
    </row>
    <row r="14513">
      <c r="A14513">
        <f>Input!A14513</f>
        <v/>
      </c>
      <c r="B14513">
        <f>IF(ISNUMBER(Input!B14513),IF(AND(Input!B14513&gt;=20,Input!B14513&lt;=700),Input!B14513,""),"")</f>
        <v/>
      </c>
      <c r="C14513">
        <f>IF(B14513="","",INT(A14513))</f>
        <v/>
      </c>
      <c r="D14513">
        <f>IF(B14513="","",HOUR(A14513))</f>
        <v/>
      </c>
    </row>
    <row r="14514">
      <c r="A14514">
        <f>Input!A14514</f>
        <v/>
      </c>
      <c r="B14514">
        <f>IF(ISNUMBER(Input!B14514),IF(AND(Input!B14514&gt;=20,Input!B14514&lt;=700),Input!B14514,""),"")</f>
        <v/>
      </c>
      <c r="C14514">
        <f>IF(B14514="","",INT(A14514))</f>
        <v/>
      </c>
      <c r="D14514">
        <f>IF(B14514="","",HOUR(A14514))</f>
        <v/>
      </c>
    </row>
    <row r="14515">
      <c r="A14515">
        <f>Input!A14515</f>
        <v/>
      </c>
      <c r="B14515">
        <f>IF(ISNUMBER(Input!B14515),IF(AND(Input!B14515&gt;=20,Input!B14515&lt;=700),Input!B14515,""),"")</f>
        <v/>
      </c>
      <c r="C14515">
        <f>IF(B14515="","",INT(A14515))</f>
        <v/>
      </c>
      <c r="D14515">
        <f>IF(B14515="","",HOUR(A14515))</f>
        <v/>
      </c>
    </row>
    <row r="14516">
      <c r="A14516">
        <f>Input!A14516</f>
        <v/>
      </c>
      <c r="B14516">
        <f>IF(ISNUMBER(Input!B14516),IF(AND(Input!B14516&gt;=20,Input!B14516&lt;=700),Input!B14516,""),"")</f>
        <v/>
      </c>
      <c r="C14516">
        <f>IF(B14516="","",INT(A14516))</f>
        <v/>
      </c>
      <c r="D14516">
        <f>IF(B14516="","",HOUR(A14516))</f>
        <v/>
      </c>
    </row>
    <row r="14517">
      <c r="A14517">
        <f>Input!A14517</f>
        <v/>
      </c>
      <c r="B14517">
        <f>IF(ISNUMBER(Input!B14517),IF(AND(Input!B14517&gt;=20,Input!B14517&lt;=700),Input!B14517,""),"")</f>
        <v/>
      </c>
      <c r="C14517">
        <f>IF(B14517="","",INT(A14517))</f>
        <v/>
      </c>
      <c r="D14517">
        <f>IF(B14517="","",HOUR(A14517))</f>
        <v/>
      </c>
    </row>
    <row r="14518">
      <c r="A14518">
        <f>Input!A14518</f>
        <v/>
      </c>
      <c r="B14518">
        <f>IF(ISNUMBER(Input!B14518),IF(AND(Input!B14518&gt;=20,Input!B14518&lt;=700),Input!B14518,""),"")</f>
        <v/>
      </c>
      <c r="C14518">
        <f>IF(B14518="","",INT(A14518))</f>
        <v/>
      </c>
      <c r="D14518">
        <f>IF(B14518="","",HOUR(A14518))</f>
        <v/>
      </c>
    </row>
    <row r="14519">
      <c r="A14519">
        <f>Input!A14519</f>
        <v/>
      </c>
      <c r="B14519">
        <f>IF(ISNUMBER(Input!B14519),IF(AND(Input!B14519&gt;=20,Input!B14519&lt;=700),Input!B14519,""),"")</f>
        <v/>
      </c>
      <c r="C14519">
        <f>IF(B14519="","",INT(A14519))</f>
        <v/>
      </c>
      <c r="D14519">
        <f>IF(B14519="","",HOUR(A14519))</f>
        <v/>
      </c>
    </row>
    <row r="14520">
      <c r="A14520">
        <f>Input!A14520</f>
        <v/>
      </c>
      <c r="B14520">
        <f>IF(ISNUMBER(Input!B14520),IF(AND(Input!B14520&gt;=20,Input!B14520&lt;=700),Input!B14520,""),"")</f>
        <v/>
      </c>
      <c r="C14520">
        <f>IF(B14520="","",INT(A14520))</f>
        <v/>
      </c>
      <c r="D14520">
        <f>IF(B14520="","",HOUR(A14520))</f>
        <v/>
      </c>
    </row>
    <row r="14521">
      <c r="A14521">
        <f>Input!A14521</f>
        <v/>
      </c>
      <c r="B14521">
        <f>IF(ISNUMBER(Input!B14521),IF(AND(Input!B14521&gt;=20,Input!B14521&lt;=700),Input!B14521,""),"")</f>
        <v/>
      </c>
      <c r="C14521">
        <f>IF(B14521="","",INT(A14521))</f>
        <v/>
      </c>
      <c r="D14521">
        <f>IF(B14521="","",HOUR(A14521))</f>
        <v/>
      </c>
    </row>
    <row r="14522">
      <c r="A14522">
        <f>Input!A14522</f>
        <v/>
      </c>
      <c r="B14522">
        <f>IF(ISNUMBER(Input!B14522),IF(AND(Input!B14522&gt;=20,Input!B14522&lt;=700),Input!B14522,""),"")</f>
        <v/>
      </c>
      <c r="C14522">
        <f>IF(B14522="","",INT(A14522))</f>
        <v/>
      </c>
      <c r="D14522">
        <f>IF(B14522="","",HOUR(A14522))</f>
        <v/>
      </c>
    </row>
    <row r="14523">
      <c r="A14523">
        <f>Input!A14523</f>
        <v/>
      </c>
      <c r="B14523">
        <f>IF(ISNUMBER(Input!B14523),IF(AND(Input!B14523&gt;=20,Input!B14523&lt;=700),Input!B14523,""),"")</f>
        <v/>
      </c>
      <c r="C14523">
        <f>IF(B14523="","",INT(A14523))</f>
        <v/>
      </c>
      <c r="D14523">
        <f>IF(B14523="","",HOUR(A14523))</f>
        <v/>
      </c>
    </row>
    <row r="14524">
      <c r="A14524">
        <f>Input!A14524</f>
        <v/>
      </c>
      <c r="B14524">
        <f>IF(ISNUMBER(Input!B14524),IF(AND(Input!B14524&gt;=20,Input!B14524&lt;=700),Input!B14524,""),"")</f>
        <v/>
      </c>
      <c r="C14524">
        <f>IF(B14524="","",INT(A14524))</f>
        <v/>
      </c>
      <c r="D14524">
        <f>IF(B14524="","",HOUR(A14524))</f>
        <v/>
      </c>
    </row>
    <row r="14525">
      <c r="A14525">
        <f>Input!A14525</f>
        <v/>
      </c>
      <c r="B14525">
        <f>IF(ISNUMBER(Input!B14525),IF(AND(Input!B14525&gt;=20,Input!B14525&lt;=700),Input!B14525,""),"")</f>
        <v/>
      </c>
      <c r="C14525">
        <f>IF(B14525="","",INT(A14525))</f>
        <v/>
      </c>
      <c r="D14525">
        <f>IF(B14525="","",HOUR(A14525))</f>
        <v/>
      </c>
    </row>
    <row r="14526">
      <c r="A14526">
        <f>Input!A14526</f>
        <v/>
      </c>
      <c r="B14526">
        <f>IF(ISNUMBER(Input!B14526),IF(AND(Input!B14526&gt;=20,Input!B14526&lt;=700),Input!B14526,""),"")</f>
        <v/>
      </c>
      <c r="C14526">
        <f>IF(B14526="","",INT(A14526))</f>
        <v/>
      </c>
      <c r="D14526">
        <f>IF(B14526="","",HOUR(A14526))</f>
        <v/>
      </c>
    </row>
    <row r="14527">
      <c r="A14527">
        <f>Input!A14527</f>
        <v/>
      </c>
      <c r="B14527">
        <f>IF(ISNUMBER(Input!B14527),IF(AND(Input!B14527&gt;=20,Input!B14527&lt;=700),Input!B14527,""),"")</f>
        <v/>
      </c>
      <c r="C14527">
        <f>IF(B14527="","",INT(A14527))</f>
        <v/>
      </c>
      <c r="D14527">
        <f>IF(B14527="","",HOUR(A14527))</f>
        <v/>
      </c>
    </row>
    <row r="14528">
      <c r="A14528">
        <f>Input!A14528</f>
        <v/>
      </c>
      <c r="B14528">
        <f>IF(ISNUMBER(Input!B14528),IF(AND(Input!B14528&gt;=20,Input!B14528&lt;=700),Input!B14528,""),"")</f>
        <v/>
      </c>
      <c r="C14528">
        <f>IF(B14528="","",INT(A14528))</f>
        <v/>
      </c>
      <c r="D14528">
        <f>IF(B14528="","",HOUR(A14528))</f>
        <v/>
      </c>
    </row>
    <row r="14529">
      <c r="A14529">
        <f>Input!A14529</f>
        <v/>
      </c>
      <c r="B14529">
        <f>IF(ISNUMBER(Input!B14529),IF(AND(Input!B14529&gt;=20,Input!B14529&lt;=700),Input!B14529,""),"")</f>
        <v/>
      </c>
      <c r="C14529">
        <f>IF(B14529="","",INT(A14529))</f>
        <v/>
      </c>
      <c r="D14529">
        <f>IF(B14529="","",HOUR(A14529))</f>
        <v/>
      </c>
    </row>
    <row r="14530">
      <c r="A14530">
        <f>Input!A14530</f>
        <v/>
      </c>
      <c r="B14530">
        <f>IF(ISNUMBER(Input!B14530),IF(AND(Input!B14530&gt;=20,Input!B14530&lt;=700),Input!B14530,""),"")</f>
        <v/>
      </c>
      <c r="C14530">
        <f>IF(B14530="","",INT(A14530))</f>
        <v/>
      </c>
      <c r="D14530">
        <f>IF(B14530="","",HOUR(A14530))</f>
        <v/>
      </c>
    </row>
    <row r="14531">
      <c r="A14531">
        <f>Input!A14531</f>
        <v/>
      </c>
      <c r="B14531">
        <f>IF(ISNUMBER(Input!B14531),IF(AND(Input!B14531&gt;=20,Input!B14531&lt;=700),Input!B14531,""),"")</f>
        <v/>
      </c>
      <c r="C14531">
        <f>IF(B14531="","",INT(A14531))</f>
        <v/>
      </c>
      <c r="D14531">
        <f>IF(B14531="","",HOUR(A14531))</f>
        <v/>
      </c>
    </row>
    <row r="14532">
      <c r="A14532">
        <f>Input!A14532</f>
        <v/>
      </c>
      <c r="B14532">
        <f>IF(ISNUMBER(Input!B14532),IF(AND(Input!B14532&gt;=20,Input!B14532&lt;=700),Input!B14532,""),"")</f>
        <v/>
      </c>
      <c r="C14532">
        <f>IF(B14532="","",INT(A14532))</f>
        <v/>
      </c>
      <c r="D14532">
        <f>IF(B14532="","",HOUR(A14532))</f>
        <v/>
      </c>
    </row>
    <row r="14533">
      <c r="A14533">
        <f>Input!A14533</f>
        <v/>
      </c>
      <c r="B14533">
        <f>IF(ISNUMBER(Input!B14533),IF(AND(Input!B14533&gt;=20,Input!B14533&lt;=700),Input!B14533,""),"")</f>
        <v/>
      </c>
      <c r="C14533">
        <f>IF(B14533="","",INT(A14533))</f>
        <v/>
      </c>
      <c r="D14533">
        <f>IF(B14533="","",HOUR(A14533))</f>
        <v/>
      </c>
    </row>
    <row r="14534">
      <c r="A14534">
        <f>Input!A14534</f>
        <v/>
      </c>
      <c r="B14534">
        <f>IF(ISNUMBER(Input!B14534),IF(AND(Input!B14534&gt;=20,Input!B14534&lt;=700),Input!B14534,""),"")</f>
        <v/>
      </c>
      <c r="C14534">
        <f>IF(B14534="","",INT(A14534))</f>
        <v/>
      </c>
      <c r="D14534">
        <f>IF(B14534="","",HOUR(A14534))</f>
        <v/>
      </c>
    </row>
    <row r="14535">
      <c r="A14535">
        <f>Input!A14535</f>
        <v/>
      </c>
      <c r="B14535">
        <f>IF(ISNUMBER(Input!B14535),IF(AND(Input!B14535&gt;=20,Input!B14535&lt;=700),Input!B14535,""),"")</f>
        <v/>
      </c>
      <c r="C14535">
        <f>IF(B14535="","",INT(A14535))</f>
        <v/>
      </c>
      <c r="D14535">
        <f>IF(B14535="","",HOUR(A14535))</f>
        <v/>
      </c>
    </row>
    <row r="14536">
      <c r="A14536">
        <f>Input!A14536</f>
        <v/>
      </c>
      <c r="B14536">
        <f>IF(ISNUMBER(Input!B14536),IF(AND(Input!B14536&gt;=20,Input!B14536&lt;=700),Input!B14536,""),"")</f>
        <v/>
      </c>
      <c r="C14536">
        <f>IF(B14536="","",INT(A14536))</f>
        <v/>
      </c>
      <c r="D14536">
        <f>IF(B14536="","",HOUR(A14536))</f>
        <v/>
      </c>
    </row>
    <row r="14537">
      <c r="A14537">
        <f>Input!A14537</f>
        <v/>
      </c>
      <c r="B14537">
        <f>IF(ISNUMBER(Input!B14537),IF(AND(Input!B14537&gt;=20,Input!B14537&lt;=700),Input!B14537,""),"")</f>
        <v/>
      </c>
      <c r="C14537">
        <f>IF(B14537="","",INT(A14537))</f>
        <v/>
      </c>
      <c r="D14537">
        <f>IF(B14537="","",HOUR(A14537))</f>
        <v/>
      </c>
    </row>
    <row r="14538">
      <c r="A14538">
        <f>Input!A14538</f>
        <v/>
      </c>
      <c r="B14538">
        <f>IF(ISNUMBER(Input!B14538),IF(AND(Input!B14538&gt;=20,Input!B14538&lt;=700),Input!B14538,""),"")</f>
        <v/>
      </c>
      <c r="C14538">
        <f>IF(B14538="","",INT(A14538))</f>
        <v/>
      </c>
      <c r="D14538">
        <f>IF(B14538="","",HOUR(A14538))</f>
        <v/>
      </c>
    </row>
    <row r="14539">
      <c r="A14539">
        <f>Input!A14539</f>
        <v/>
      </c>
      <c r="B14539">
        <f>IF(ISNUMBER(Input!B14539),IF(AND(Input!B14539&gt;=20,Input!B14539&lt;=700),Input!B14539,""),"")</f>
        <v/>
      </c>
      <c r="C14539">
        <f>IF(B14539="","",INT(A14539))</f>
        <v/>
      </c>
      <c r="D14539">
        <f>IF(B14539="","",HOUR(A14539))</f>
        <v/>
      </c>
    </row>
    <row r="14540">
      <c r="A14540">
        <f>Input!A14540</f>
        <v/>
      </c>
      <c r="B14540">
        <f>IF(ISNUMBER(Input!B14540),IF(AND(Input!B14540&gt;=20,Input!B14540&lt;=700),Input!B14540,""),"")</f>
        <v/>
      </c>
      <c r="C14540">
        <f>IF(B14540="","",INT(A14540))</f>
        <v/>
      </c>
      <c r="D14540">
        <f>IF(B14540="","",HOUR(A14540))</f>
        <v/>
      </c>
    </row>
    <row r="14541">
      <c r="A14541">
        <f>Input!A14541</f>
        <v/>
      </c>
      <c r="B14541">
        <f>IF(ISNUMBER(Input!B14541),IF(AND(Input!B14541&gt;=20,Input!B14541&lt;=700),Input!B14541,""),"")</f>
        <v/>
      </c>
      <c r="C14541">
        <f>IF(B14541="","",INT(A14541))</f>
        <v/>
      </c>
      <c r="D14541">
        <f>IF(B14541="","",HOUR(A14541))</f>
        <v/>
      </c>
    </row>
    <row r="14542">
      <c r="A14542">
        <f>Input!A14542</f>
        <v/>
      </c>
      <c r="B14542">
        <f>IF(ISNUMBER(Input!B14542),IF(AND(Input!B14542&gt;=20,Input!B14542&lt;=700),Input!B14542,""),"")</f>
        <v/>
      </c>
      <c r="C14542">
        <f>IF(B14542="","",INT(A14542))</f>
        <v/>
      </c>
      <c r="D14542">
        <f>IF(B14542="","",HOUR(A14542))</f>
        <v/>
      </c>
    </row>
    <row r="14543">
      <c r="A14543">
        <f>Input!A14543</f>
        <v/>
      </c>
      <c r="B14543">
        <f>IF(ISNUMBER(Input!B14543),IF(AND(Input!B14543&gt;=20,Input!B14543&lt;=700),Input!B14543,""),"")</f>
        <v/>
      </c>
      <c r="C14543">
        <f>IF(B14543="","",INT(A14543))</f>
        <v/>
      </c>
      <c r="D14543">
        <f>IF(B14543="","",HOUR(A14543))</f>
        <v/>
      </c>
    </row>
    <row r="14544">
      <c r="A14544">
        <f>Input!A14544</f>
        <v/>
      </c>
      <c r="B14544">
        <f>IF(ISNUMBER(Input!B14544),IF(AND(Input!B14544&gt;=20,Input!B14544&lt;=700),Input!B14544,""),"")</f>
        <v/>
      </c>
      <c r="C14544">
        <f>IF(B14544="","",INT(A14544))</f>
        <v/>
      </c>
      <c r="D14544">
        <f>IF(B14544="","",HOUR(A14544))</f>
        <v/>
      </c>
    </row>
    <row r="14545">
      <c r="A14545">
        <f>Input!A14545</f>
        <v/>
      </c>
      <c r="B14545">
        <f>IF(ISNUMBER(Input!B14545),IF(AND(Input!B14545&gt;=20,Input!B14545&lt;=700),Input!B14545,""),"")</f>
        <v/>
      </c>
      <c r="C14545">
        <f>IF(B14545="","",INT(A14545))</f>
        <v/>
      </c>
      <c r="D14545">
        <f>IF(B14545="","",HOUR(A14545))</f>
        <v/>
      </c>
    </row>
    <row r="14546">
      <c r="A14546">
        <f>Input!A14546</f>
        <v/>
      </c>
      <c r="B14546">
        <f>IF(ISNUMBER(Input!B14546),IF(AND(Input!B14546&gt;=20,Input!B14546&lt;=700),Input!B14546,""),"")</f>
        <v/>
      </c>
      <c r="C14546">
        <f>IF(B14546="","",INT(A14546))</f>
        <v/>
      </c>
      <c r="D14546">
        <f>IF(B14546="","",HOUR(A14546))</f>
        <v/>
      </c>
    </row>
    <row r="14547">
      <c r="A14547">
        <f>Input!A14547</f>
        <v/>
      </c>
      <c r="B14547">
        <f>IF(ISNUMBER(Input!B14547),IF(AND(Input!B14547&gt;=20,Input!B14547&lt;=700),Input!B14547,""),"")</f>
        <v/>
      </c>
      <c r="C14547">
        <f>IF(B14547="","",INT(A14547))</f>
        <v/>
      </c>
      <c r="D14547">
        <f>IF(B14547="","",HOUR(A14547))</f>
        <v/>
      </c>
    </row>
    <row r="14548">
      <c r="A14548">
        <f>Input!A14548</f>
        <v/>
      </c>
      <c r="B14548">
        <f>IF(ISNUMBER(Input!B14548),IF(AND(Input!B14548&gt;=20,Input!B14548&lt;=700),Input!B14548,""),"")</f>
        <v/>
      </c>
      <c r="C14548">
        <f>IF(B14548="","",INT(A14548))</f>
        <v/>
      </c>
      <c r="D14548">
        <f>IF(B14548="","",HOUR(A14548))</f>
        <v/>
      </c>
    </row>
    <row r="14549">
      <c r="A14549">
        <f>Input!A14549</f>
        <v/>
      </c>
      <c r="B14549">
        <f>IF(ISNUMBER(Input!B14549),IF(AND(Input!B14549&gt;=20,Input!B14549&lt;=700),Input!B14549,""),"")</f>
        <v/>
      </c>
      <c r="C14549">
        <f>IF(B14549="","",INT(A14549))</f>
        <v/>
      </c>
      <c r="D14549">
        <f>IF(B14549="","",HOUR(A14549))</f>
        <v/>
      </c>
    </row>
    <row r="14550">
      <c r="A14550">
        <f>Input!A14550</f>
        <v/>
      </c>
      <c r="B14550">
        <f>IF(ISNUMBER(Input!B14550),IF(AND(Input!B14550&gt;=20,Input!B14550&lt;=700),Input!B14550,""),"")</f>
        <v/>
      </c>
      <c r="C14550">
        <f>IF(B14550="","",INT(A14550))</f>
        <v/>
      </c>
      <c r="D14550">
        <f>IF(B14550="","",HOUR(A14550))</f>
        <v/>
      </c>
    </row>
    <row r="14551">
      <c r="A14551">
        <f>Input!A14551</f>
        <v/>
      </c>
      <c r="B14551">
        <f>IF(ISNUMBER(Input!B14551),IF(AND(Input!B14551&gt;=20,Input!B14551&lt;=700),Input!B14551,""),"")</f>
        <v/>
      </c>
      <c r="C14551">
        <f>IF(B14551="","",INT(A14551))</f>
        <v/>
      </c>
      <c r="D14551">
        <f>IF(B14551="","",HOUR(A14551))</f>
        <v/>
      </c>
    </row>
    <row r="14552">
      <c r="A14552">
        <f>Input!A14552</f>
        <v/>
      </c>
      <c r="B14552">
        <f>IF(ISNUMBER(Input!B14552),IF(AND(Input!B14552&gt;=20,Input!B14552&lt;=700),Input!B14552,""),"")</f>
        <v/>
      </c>
      <c r="C14552">
        <f>IF(B14552="","",INT(A14552))</f>
        <v/>
      </c>
      <c r="D14552">
        <f>IF(B14552="","",HOUR(A14552))</f>
        <v/>
      </c>
    </row>
    <row r="14553">
      <c r="A14553">
        <f>Input!A14553</f>
        <v/>
      </c>
      <c r="B14553">
        <f>IF(ISNUMBER(Input!B14553),IF(AND(Input!B14553&gt;=20,Input!B14553&lt;=700),Input!B14553,""),"")</f>
        <v/>
      </c>
      <c r="C14553">
        <f>IF(B14553="","",INT(A14553))</f>
        <v/>
      </c>
      <c r="D14553">
        <f>IF(B14553="","",HOUR(A14553))</f>
        <v/>
      </c>
    </row>
    <row r="14554">
      <c r="A14554">
        <f>Input!A14554</f>
        <v/>
      </c>
      <c r="B14554">
        <f>IF(ISNUMBER(Input!B14554),IF(AND(Input!B14554&gt;=20,Input!B14554&lt;=700),Input!B14554,""),"")</f>
        <v/>
      </c>
      <c r="C14554">
        <f>IF(B14554="","",INT(A14554))</f>
        <v/>
      </c>
      <c r="D14554">
        <f>IF(B14554="","",HOUR(A14554))</f>
        <v/>
      </c>
    </row>
    <row r="14555">
      <c r="A14555">
        <f>Input!A14555</f>
        <v/>
      </c>
      <c r="B14555">
        <f>IF(ISNUMBER(Input!B14555),IF(AND(Input!B14555&gt;=20,Input!B14555&lt;=700),Input!B14555,""),"")</f>
        <v/>
      </c>
      <c r="C14555">
        <f>IF(B14555="","",INT(A14555))</f>
        <v/>
      </c>
      <c r="D14555">
        <f>IF(B14555="","",HOUR(A14555))</f>
        <v/>
      </c>
    </row>
    <row r="14556">
      <c r="A14556">
        <f>Input!A14556</f>
        <v/>
      </c>
      <c r="B14556">
        <f>IF(ISNUMBER(Input!B14556),IF(AND(Input!B14556&gt;=20,Input!B14556&lt;=700),Input!B14556,""),"")</f>
        <v/>
      </c>
      <c r="C14556">
        <f>IF(B14556="","",INT(A14556))</f>
        <v/>
      </c>
      <c r="D14556">
        <f>IF(B14556="","",HOUR(A14556))</f>
        <v/>
      </c>
    </row>
    <row r="14557">
      <c r="A14557">
        <f>Input!A14557</f>
        <v/>
      </c>
      <c r="B14557">
        <f>IF(ISNUMBER(Input!B14557),IF(AND(Input!B14557&gt;=20,Input!B14557&lt;=700),Input!B14557,""),"")</f>
        <v/>
      </c>
      <c r="C14557">
        <f>IF(B14557="","",INT(A14557))</f>
        <v/>
      </c>
      <c r="D14557">
        <f>IF(B14557="","",HOUR(A14557))</f>
        <v/>
      </c>
    </row>
    <row r="14558">
      <c r="A14558">
        <f>Input!A14558</f>
        <v/>
      </c>
      <c r="B14558">
        <f>IF(ISNUMBER(Input!B14558),IF(AND(Input!B14558&gt;=20,Input!B14558&lt;=700),Input!B14558,""),"")</f>
        <v/>
      </c>
      <c r="C14558">
        <f>IF(B14558="","",INT(A14558))</f>
        <v/>
      </c>
      <c r="D14558">
        <f>IF(B14558="","",HOUR(A14558))</f>
        <v/>
      </c>
    </row>
    <row r="14559">
      <c r="A14559">
        <f>Input!A14559</f>
        <v/>
      </c>
      <c r="B14559">
        <f>IF(ISNUMBER(Input!B14559),IF(AND(Input!B14559&gt;=20,Input!B14559&lt;=700),Input!B14559,""),"")</f>
        <v/>
      </c>
      <c r="C14559">
        <f>IF(B14559="","",INT(A14559))</f>
        <v/>
      </c>
      <c r="D14559">
        <f>IF(B14559="","",HOUR(A14559))</f>
        <v/>
      </c>
    </row>
    <row r="14560">
      <c r="A14560">
        <f>Input!A14560</f>
        <v/>
      </c>
      <c r="B14560">
        <f>IF(ISNUMBER(Input!B14560),IF(AND(Input!B14560&gt;=20,Input!B14560&lt;=700),Input!B14560,""),"")</f>
        <v/>
      </c>
      <c r="C14560">
        <f>IF(B14560="","",INT(A14560))</f>
        <v/>
      </c>
      <c r="D14560">
        <f>IF(B14560="","",HOUR(A14560))</f>
        <v/>
      </c>
    </row>
    <row r="14561">
      <c r="A14561">
        <f>Input!A14561</f>
        <v/>
      </c>
      <c r="B14561">
        <f>IF(ISNUMBER(Input!B14561),IF(AND(Input!B14561&gt;=20,Input!B14561&lt;=700),Input!B14561,""),"")</f>
        <v/>
      </c>
      <c r="C14561">
        <f>IF(B14561="","",INT(A14561))</f>
        <v/>
      </c>
      <c r="D14561">
        <f>IF(B14561="","",HOUR(A14561))</f>
        <v/>
      </c>
    </row>
    <row r="14562">
      <c r="A14562">
        <f>Input!A14562</f>
        <v/>
      </c>
      <c r="B14562">
        <f>IF(ISNUMBER(Input!B14562),IF(AND(Input!B14562&gt;=20,Input!B14562&lt;=700),Input!B14562,""),"")</f>
        <v/>
      </c>
      <c r="C14562">
        <f>IF(B14562="","",INT(A14562))</f>
        <v/>
      </c>
      <c r="D14562">
        <f>IF(B14562="","",HOUR(A14562))</f>
        <v/>
      </c>
    </row>
    <row r="14563">
      <c r="A14563">
        <f>Input!A14563</f>
        <v/>
      </c>
      <c r="B14563">
        <f>IF(ISNUMBER(Input!B14563),IF(AND(Input!B14563&gt;=20,Input!B14563&lt;=700),Input!B14563,""),"")</f>
        <v/>
      </c>
      <c r="C14563">
        <f>IF(B14563="","",INT(A14563))</f>
        <v/>
      </c>
      <c r="D14563">
        <f>IF(B14563="","",HOUR(A14563))</f>
        <v/>
      </c>
    </row>
    <row r="14564">
      <c r="A14564">
        <f>Input!A14564</f>
        <v/>
      </c>
      <c r="B14564">
        <f>IF(ISNUMBER(Input!B14564),IF(AND(Input!B14564&gt;=20,Input!B14564&lt;=700),Input!B14564,""),"")</f>
        <v/>
      </c>
      <c r="C14564">
        <f>IF(B14564="","",INT(A14564))</f>
        <v/>
      </c>
      <c r="D14564">
        <f>IF(B14564="","",HOUR(A14564))</f>
        <v/>
      </c>
    </row>
    <row r="14565">
      <c r="A14565">
        <f>Input!A14565</f>
        <v/>
      </c>
      <c r="B14565">
        <f>IF(ISNUMBER(Input!B14565),IF(AND(Input!B14565&gt;=20,Input!B14565&lt;=700),Input!B14565,""),"")</f>
        <v/>
      </c>
      <c r="C14565">
        <f>IF(B14565="","",INT(A14565))</f>
        <v/>
      </c>
      <c r="D14565">
        <f>IF(B14565="","",HOUR(A14565))</f>
        <v/>
      </c>
    </row>
    <row r="14566">
      <c r="A14566">
        <f>Input!A14566</f>
        <v/>
      </c>
      <c r="B14566">
        <f>IF(ISNUMBER(Input!B14566),IF(AND(Input!B14566&gt;=20,Input!B14566&lt;=700),Input!B14566,""),"")</f>
        <v/>
      </c>
      <c r="C14566">
        <f>IF(B14566="","",INT(A14566))</f>
        <v/>
      </c>
      <c r="D14566">
        <f>IF(B14566="","",HOUR(A14566))</f>
        <v/>
      </c>
    </row>
    <row r="14567">
      <c r="A14567">
        <f>Input!A14567</f>
        <v/>
      </c>
      <c r="B14567">
        <f>IF(ISNUMBER(Input!B14567),IF(AND(Input!B14567&gt;=20,Input!B14567&lt;=700),Input!B14567,""),"")</f>
        <v/>
      </c>
      <c r="C14567">
        <f>IF(B14567="","",INT(A14567))</f>
        <v/>
      </c>
      <c r="D14567">
        <f>IF(B14567="","",HOUR(A14567))</f>
        <v/>
      </c>
    </row>
    <row r="14568">
      <c r="A14568">
        <f>Input!A14568</f>
        <v/>
      </c>
      <c r="B14568">
        <f>IF(ISNUMBER(Input!B14568),IF(AND(Input!B14568&gt;=20,Input!B14568&lt;=700),Input!B14568,""),"")</f>
        <v/>
      </c>
      <c r="C14568">
        <f>IF(B14568="","",INT(A14568))</f>
        <v/>
      </c>
      <c r="D14568">
        <f>IF(B14568="","",HOUR(A14568))</f>
        <v/>
      </c>
    </row>
    <row r="14569">
      <c r="A14569">
        <f>Input!A14569</f>
        <v/>
      </c>
      <c r="B14569">
        <f>IF(ISNUMBER(Input!B14569),IF(AND(Input!B14569&gt;=20,Input!B14569&lt;=700),Input!B14569,""),"")</f>
        <v/>
      </c>
      <c r="C14569">
        <f>IF(B14569="","",INT(A14569))</f>
        <v/>
      </c>
      <c r="D14569">
        <f>IF(B14569="","",HOUR(A14569))</f>
        <v/>
      </c>
    </row>
    <row r="14570">
      <c r="A14570">
        <f>Input!A14570</f>
        <v/>
      </c>
      <c r="B14570">
        <f>IF(ISNUMBER(Input!B14570),IF(AND(Input!B14570&gt;=20,Input!B14570&lt;=700),Input!B14570,""),"")</f>
        <v/>
      </c>
      <c r="C14570">
        <f>IF(B14570="","",INT(A14570))</f>
        <v/>
      </c>
      <c r="D14570">
        <f>IF(B14570="","",HOUR(A14570))</f>
        <v/>
      </c>
    </row>
    <row r="14571">
      <c r="A14571">
        <f>Input!A14571</f>
        <v/>
      </c>
      <c r="B14571">
        <f>IF(ISNUMBER(Input!B14571),IF(AND(Input!B14571&gt;=20,Input!B14571&lt;=700),Input!B14571,""),"")</f>
        <v/>
      </c>
      <c r="C14571">
        <f>IF(B14571="","",INT(A14571))</f>
        <v/>
      </c>
      <c r="D14571">
        <f>IF(B14571="","",HOUR(A14571))</f>
        <v/>
      </c>
    </row>
    <row r="14572">
      <c r="A14572">
        <f>Input!A14572</f>
        <v/>
      </c>
      <c r="B14572">
        <f>IF(ISNUMBER(Input!B14572),IF(AND(Input!B14572&gt;=20,Input!B14572&lt;=700),Input!B14572,""),"")</f>
        <v/>
      </c>
      <c r="C14572">
        <f>IF(B14572="","",INT(A14572))</f>
        <v/>
      </c>
      <c r="D14572">
        <f>IF(B14572="","",HOUR(A14572))</f>
        <v/>
      </c>
    </row>
    <row r="14573">
      <c r="A14573">
        <f>Input!A14573</f>
        <v/>
      </c>
      <c r="B14573">
        <f>IF(ISNUMBER(Input!B14573),IF(AND(Input!B14573&gt;=20,Input!B14573&lt;=700),Input!B14573,""),"")</f>
        <v/>
      </c>
      <c r="C14573">
        <f>IF(B14573="","",INT(A14573))</f>
        <v/>
      </c>
      <c r="D14573">
        <f>IF(B14573="","",HOUR(A14573))</f>
        <v/>
      </c>
    </row>
    <row r="14574">
      <c r="A14574">
        <f>Input!A14574</f>
        <v/>
      </c>
      <c r="B14574">
        <f>IF(ISNUMBER(Input!B14574),IF(AND(Input!B14574&gt;=20,Input!B14574&lt;=700),Input!B14574,""),"")</f>
        <v/>
      </c>
      <c r="C14574">
        <f>IF(B14574="","",INT(A14574))</f>
        <v/>
      </c>
      <c r="D14574">
        <f>IF(B14574="","",HOUR(A14574))</f>
        <v/>
      </c>
    </row>
    <row r="14575">
      <c r="A14575">
        <f>Input!A14575</f>
        <v/>
      </c>
      <c r="B14575">
        <f>IF(ISNUMBER(Input!B14575),IF(AND(Input!B14575&gt;=20,Input!B14575&lt;=700),Input!B14575,""),"")</f>
        <v/>
      </c>
      <c r="C14575">
        <f>IF(B14575="","",INT(A14575))</f>
        <v/>
      </c>
      <c r="D14575">
        <f>IF(B14575="","",HOUR(A14575))</f>
        <v/>
      </c>
    </row>
    <row r="14576">
      <c r="A14576">
        <f>Input!A14576</f>
        <v/>
      </c>
      <c r="B14576">
        <f>IF(ISNUMBER(Input!B14576),IF(AND(Input!B14576&gt;=20,Input!B14576&lt;=700),Input!B14576,""),"")</f>
        <v/>
      </c>
      <c r="C14576">
        <f>IF(B14576="","",INT(A14576))</f>
        <v/>
      </c>
      <c r="D14576">
        <f>IF(B14576="","",HOUR(A14576))</f>
        <v/>
      </c>
    </row>
    <row r="14577">
      <c r="A14577">
        <f>Input!A14577</f>
        <v/>
      </c>
      <c r="B14577">
        <f>IF(ISNUMBER(Input!B14577),IF(AND(Input!B14577&gt;=20,Input!B14577&lt;=700),Input!B14577,""),"")</f>
        <v/>
      </c>
      <c r="C14577">
        <f>IF(B14577="","",INT(A14577))</f>
        <v/>
      </c>
      <c r="D14577">
        <f>IF(B14577="","",HOUR(A14577))</f>
        <v/>
      </c>
    </row>
    <row r="14578">
      <c r="A14578">
        <f>Input!A14578</f>
        <v/>
      </c>
      <c r="B14578">
        <f>IF(ISNUMBER(Input!B14578),IF(AND(Input!B14578&gt;=20,Input!B14578&lt;=700),Input!B14578,""),"")</f>
        <v/>
      </c>
      <c r="C14578">
        <f>IF(B14578="","",INT(A14578))</f>
        <v/>
      </c>
      <c r="D14578">
        <f>IF(B14578="","",HOUR(A14578))</f>
        <v/>
      </c>
    </row>
    <row r="14579">
      <c r="A14579">
        <f>Input!A14579</f>
        <v/>
      </c>
      <c r="B14579">
        <f>IF(ISNUMBER(Input!B14579),IF(AND(Input!B14579&gt;=20,Input!B14579&lt;=700),Input!B14579,""),"")</f>
        <v/>
      </c>
      <c r="C14579">
        <f>IF(B14579="","",INT(A14579))</f>
        <v/>
      </c>
      <c r="D14579">
        <f>IF(B14579="","",HOUR(A14579))</f>
        <v/>
      </c>
    </row>
    <row r="14580">
      <c r="A14580">
        <f>Input!A14580</f>
        <v/>
      </c>
      <c r="B14580">
        <f>IF(ISNUMBER(Input!B14580),IF(AND(Input!B14580&gt;=20,Input!B14580&lt;=700),Input!B14580,""),"")</f>
        <v/>
      </c>
      <c r="C14580">
        <f>IF(B14580="","",INT(A14580))</f>
        <v/>
      </c>
      <c r="D14580">
        <f>IF(B14580="","",HOUR(A14580))</f>
        <v/>
      </c>
    </row>
    <row r="14581">
      <c r="A14581">
        <f>Input!A14581</f>
        <v/>
      </c>
      <c r="B14581">
        <f>IF(ISNUMBER(Input!B14581),IF(AND(Input!B14581&gt;=20,Input!B14581&lt;=700),Input!B14581,""),"")</f>
        <v/>
      </c>
      <c r="C14581">
        <f>IF(B14581="","",INT(A14581))</f>
        <v/>
      </c>
      <c r="D14581">
        <f>IF(B14581="","",HOUR(A14581))</f>
        <v/>
      </c>
    </row>
    <row r="14582">
      <c r="A14582">
        <f>Input!A14582</f>
        <v/>
      </c>
      <c r="B14582">
        <f>IF(ISNUMBER(Input!B14582),IF(AND(Input!B14582&gt;=20,Input!B14582&lt;=700),Input!B14582,""),"")</f>
        <v/>
      </c>
      <c r="C14582">
        <f>IF(B14582="","",INT(A14582))</f>
        <v/>
      </c>
      <c r="D14582">
        <f>IF(B14582="","",HOUR(A14582))</f>
        <v/>
      </c>
    </row>
    <row r="14583">
      <c r="A14583">
        <f>Input!A14583</f>
        <v/>
      </c>
      <c r="B14583">
        <f>IF(ISNUMBER(Input!B14583),IF(AND(Input!B14583&gt;=20,Input!B14583&lt;=700),Input!B14583,""),"")</f>
        <v/>
      </c>
      <c r="C14583">
        <f>IF(B14583="","",INT(A14583))</f>
        <v/>
      </c>
      <c r="D14583">
        <f>IF(B14583="","",HOUR(A14583))</f>
        <v/>
      </c>
    </row>
    <row r="14584">
      <c r="A14584">
        <f>Input!A14584</f>
        <v/>
      </c>
      <c r="B14584">
        <f>IF(ISNUMBER(Input!B14584),IF(AND(Input!B14584&gt;=20,Input!B14584&lt;=700),Input!B14584,""),"")</f>
        <v/>
      </c>
      <c r="C14584">
        <f>IF(B14584="","",INT(A14584))</f>
        <v/>
      </c>
      <c r="D14584">
        <f>IF(B14584="","",HOUR(A14584))</f>
        <v/>
      </c>
    </row>
    <row r="14585">
      <c r="A14585">
        <f>Input!A14585</f>
        <v/>
      </c>
      <c r="B14585">
        <f>IF(ISNUMBER(Input!B14585),IF(AND(Input!B14585&gt;=20,Input!B14585&lt;=700),Input!B14585,""),"")</f>
        <v/>
      </c>
      <c r="C14585">
        <f>IF(B14585="","",INT(A14585))</f>
        <v/>
      </c>
      <c r="D14585">
        <f>IF(B14585="","",HOUR(A14585))</f>
        <v/>
      </c>
    </row>
    <row r="14586">
      <c r="A14586">
        <f>Input!A14586</f>
        <v/>
      </c>
      <c r="B14586">
        <f>IF(ISNUMBER(Input!B14586),IF(AND(Input!B14586&gt;=20,Input!B14586&lt;=700),Input!B14586,""),"")</f>
        <v/>
      </c>
      <c r="C14586">
        <f>IF(B14586="","",INT(A14586))</f>
        <v/>
      </c>
      <c r="D14586">
        <f>IF(B14586="","",HOUR(A14586))</f>
        <v/>
      </c>
    </row>
    <row r="14587">
      <c r="A14587">
        <f>Input!A14587</f>
        <v/>
      </c>
      <c r="B14587">
        <f>IF(ISNUMBER(Input!B14587),IF(AND(Input!B14587&gt;=20,Input!B14587&lt;=700),Input!B14587,""),"")</f>
        <v/>
      </c>
      <c r="C14587">
        <f>IF(B14587="","",INT(A14587))</f>
        <v/>
      </c>
      <c r="D14587">
        <f>IF(B14587="","",HOUR(A14587))</f>
        <v/>
      </c>
    </row>
    <row r="14588">
      <c r="A14588">
        <f>Input!A14588</f>
        <v/>
      </c>
      <c r="B14588">
        <f>IF(ISNUMBER(Input!B14588),IF(AND(Input!B14588&gt;=20,Input!B14588&lt;=700),Input!B14588,""),"")</f>
        <v/>
      </c>
      <c r="C14588">
        <f>IF(B14588="","",INT(A14588))</f>
        <v/>
      </c>
      <c r="D14588">
        <f>IF(B14588="","",HOUR(A14588))</f>
        <v/>
      </c>
    </row>
    <row r="14589">
      <c r="A14589">
        <f>Input!A14589</f>
        <v/>
      </c>
      <c r="B14589">
        <f>IF(ISNUMBER(Input!B14589),IF(AND(Input!B14589&gt;=20,Input!B14589&lt;=700),Input!B14589,""),"")</f>
        <v/>
      </c>
      <c r="C14589">
        <f>IF(B14589="","",INT(A14589))</f>
        <v/>
      </c>
      <c r="D14589">
        <f>IF(B14589="","",HOUR(A14589))</f>
        <v/>
      </c>
    </row>
    <row r="14590">
      <c r="A14590">
        <f>Input!A14590</f>
        <v/>
      </c>
      <c r="B14590">
        <f>IF(ISNUMBER(Input!B14590),IF(AND(Input!B14590&gt;=20,Input!B14590&lt;=700),Input!B14590,""),"")</f>
        <v/>
      </c>
      <c r="C14590">
        <f>IF(B14590="","",INT(A14590))</f>
        <v/>
      </c>
      <c r="D14590">
        <f>IF(B14590="","",HOUR(A14590))</f>
        <v/>
      </c>
    </row>
    <row r="14591">
      <c r="A14591">
        <f>Input!A14591</f>
        <v/>
      </c>
      <c r="B14591">
        <f>IF(ISNUMBER(Input!B14591),IF(AND(Input!B14591&gt;=20,Input!B14591&lt;=700),Input!B14591,""),"")</f>
        <v/>
      </c>
      <c r="C14591">
        <f>IF(B14591="","",INT(A14591))</f>
        <v/>
      </c>
      <c r="D14591">
        <f>IF(B14591="","",HOUR(A14591))</f>
        <v/>
      </c>
    </row>
    <row r="14592">
      <c r="A14592">
        <f>Input!A14592</f>
        <v/>
      </c>
      <c r="B14592">
        <f>IF(ISNUMBER(Input!B14592),IF(AND(Input!B14592&gt;=20,Input!B14592&lt;=700),Input!B14592,""),"")</f>
        <v/>
      </c>
      <c r="C14592">
        <f>IF(B14592="","",INT(A14592))</f>
        <v/>
      </c>
      <c r="D14592">
        <f>IF(B14592="","",HOUR(A14592))</f>
        <v/>
      </c>
    </row>
    <row r="14593">
      <c r="A14593">
        <f>Input!A14593</f>
        <v/>
      </c>
      <c r="B14593">
        <f>IF(ISNUMBER(Input!B14593),IF(AND(Input!B14593&gt;=20,Input!B14593&lt;=700),Input!B14593,""),"")</f>
        <v/>
      </c>
      <c r="C14593">
        <f>IF(B14593="","",INT(A14593))</f>
        <v/>
      </c>
      <c r="D14593">
        <f>IF(B14593="","",HOUR(A14593))</f>
        <v/>
      </c>
    </row>
    <row r="14594">
      <c r="A14594">
        <f>Input!A14594</f>
        <v/>
      </c>
      <c r="B14594">
        <f>IF(ISNUMBER(Input!B14594),IF(AND(Input!B14594&gt;=20,Input!B14594&lt;=700),Input!B14594,""),"")</f>
        <v/>
      </c>
      <c r="C14594">
        <f>IF(B14594="","",INT(A14594))</f>
        <v/>
      </c>
      <c r="D14594">
        <f>IF(B14594="","",HOUR(A14594))</f>
        <v/>
      </c>
    </row>
    <row r="14595">
      <c r="A14595">
        <f>Input!A14595</f>
        <v/>
      </c>
      <c r="B14595">
        <f>IF(ISNUMBER(Input!B14595),IF(AND(Input!B14595&gt;=20,Input!B14595&lt;=700),Input!B14595,""),"")</f>
        <v/>
      </c>
      <c r="C14595">
        <f>IF(B14595="","",INT(A14595))</f>
        <v/>
      </c>
      <c r="D14595">
        <f>IF(B14595="","",HOUR(A14595))</f>
        <v/>
      </c>
    </row>
    <row r="14596">
      <c r="A14596">
        <f>Input!A14596</f>
        <v/>
      </c>
      <c r="B14596">
        <f>IF(ISNUMBER(Input!B14596),IF(AND(Input!B14596&gt;=20,Input!B14596&lt;=700),Input!B14596,""),"")</f>
        <v/>
      </c>
      <c r="C14596">
        <f>IF(B14596="","",INT(A14596))</f>
        <v/>
      </c>
      <c r="D14596">
        <f>IF(B14596="","",HOUR(A14596))</f>
        <v/>
      </c>
    </row>
    <row r="14597">
      <c r="A14597">
        <f>Input!A14597</f>
        <v/>
      </c>
      <c r="B14597">
        <f>IF(ISNUMBER(Input!B14597),IF(AND(Input!B14597&gt;=20,Input!B14597&lt;=700),Input!B14597,""),"")</f>
        <v/>
      </c>
      <c r="C14597">
        <f>IF(B14597="","",INT(A14597))</f>
        <v/>
      </c>
      <c r="D14597">
        <f>IF(B14597="","",HOUR(A14597))</f>
        <v/>
      </c>
    </row>
    <row r="14598">
      <c r="A14598">
        <f>Input!A14598</f>
        <v/>
      </c>
      <c r="B14598">
        <f>IF(ISNUMBER(Input!B14598),IF(AND(Input!B14598&gt;=20,Input!B14598&lt;=700),Input!B14598,""),"")</f>
        <v/>
      </c>
      <c r="C14598">
        <f>IF(B14598="","",INT(A14598))</f>
        <v/>
      </c>
      <c r="D14598">
        <f>IF(B14598="","",HOUR(A14598))</f>
        <v/>
      </c>
    </row>
    <row r="14599">
      <c r="A14599">
        <f>Input!A14599</f>
        <v/>
      </c>
      <c r="B14599">
        <f>IF(ISNUMBER(Input!B14599),IF(AND(Input!B14599&gt;=20,Input!B14599&lt;=700),Input!B14599,""),"")</f>
        <v/>
      </c>
      <c r="C14599">
        <f>IF(B14599="","",INT(A14599))</f>
        <v/>
      </c>
      <c r="D14599">
        <f>IF(B14599="","",HOUR(A14599))</f>
        <v/>
      </c>
    </row>
    <row r="14600">
      <c r="A14600">
        <f>Input!A14600</f>
        <v/>
      </c>
      <c r="B14600">
        <f>IF(ISNUMBER(Input!B14600),IF(AND(Input!B14600&gt;=20,Input!B14600&lt;=700),Input!B14600,""),"")</f>
        <v/>
      </c>
      <c r="C14600">
        <f>IF(B14600="","",INT(A14600))</f>
        <v/>
      </c>
      <c r="D14600">
        <f>IF(B14600="","",HOUR(A14600))</f>
        <v/>
      </c>
    </row>
    <row r="14601">
      <c r="A14601">
        <f>Input!A14601</f>
        <v/>
      </c>
      <c r="B14601">
        <f>IF(ISNUMBER(Input!B14601),IF(AND(Input!B14601&gt;=20,Input!B14601&lt;=700),Input!B14601,""),"")</f>
        <v/>
      </c>
      <c r="C14601">
        <f>IF(B14601="","",INT(A14601))</f>
        <v/>
      </c>
      <c r="D14601">
        <f>IF(B14601="","",HOUR(A14601))</f>
        <v/>
      </c>
    </row>
    <row r="14602">
      <c r="A14602">
        <f>Input!A14602</f>
        <v/>
      </c>
      <c r="B14602">
        <f>IF(ISNUMBER(Input!B14602),IF(AND(Input!B14602&gt;=20,Input!B14602&lt;=700),Input!B14602,""),"")</f>
        <v/>
      </c>
      <c r="C14602">
        <f>IF(B14602="","",INT(A14602))</f>
        <v/>
      </c>
      <c r="D14602">
        <f>IF(B14602="","",HOUR(A14602))</f>
        <v/>
      </c>
    </row>
    <row r="14603">
      <c r="A14603">
        <f>Input!A14603</f>
        <v/>
      </c>
      <c r="B14603">
        <f>IF(ISNUMBER(Input!B14603),IF(AND(Input!B14603&gt;=20,Input!B14603&lt;=700),Input!B14603,""),"")</f>
        <v/>
      </c>
      <c r="C14603">
        <f>IF(B14603="","",INT(A14603))</f>
        <v/>
      </c>
      <c r="D14603">
        <f>IF(B14603="","",HOUR(A14603))</f>
        <v/>
      </c>
    </row>
    <row r="14604">
      <c r="A14604">
        <f>Input!A14604</f>
        <v/>
      </c>
      <c r="B14604">
        <f>IF(ISNUMBER(Input!B14604),IF(AND(Input!B14604&gt;=20,Input!B14604&lt;=700),Input!B14604,""),"")</f>
        <v/>
      </c>
      <c r="C14604">
        <f>IF(B14604="","",INT(A14604))</f>
        <v/>
      </c>
      <c r="D14604">
        <f>IF(B14604="","",HOUR(A14604))</f>
        <v/>
      </c>
    </row>
    <row r="14605">
      <c r="A14605">
        <f>Input!A14605</f>
        <v/>
      </c>
      <c r="B14605">
        <f>IF(ISNUMBER(Input!B14605),IF(AND(Input!B14605&gt;=20,Input!B14605&lt;=700),Input!B14605,""),"")</f>
        <v/>
      </c>
      <c r="C14605">
        <f>IF(B14605="","",INT(A14605))</f>
        <v/>
      </c>
      <c r="D14605">
        <f>IF(B14605="","",HOUR(A14605))</f>
        <v/>
      </c>
    </row>
    <row r="14606">
      <c r="A14606">
        <f>Input!A14606</f>
        <v/>
      </c>
      <c r="B14606">
        <f>IF(ISNUMBER(Input!B14606),IF(AND(Input!B14606&gt;=20,Input!B14606&lt;=700),Input!B14606,""),"")</f>
        <v/>
      </c>
      <c r="C14606">
        <f>IF(B14606="","",INT(A14606))</f>
        <v/>
      </c>
      <c r="D14606">
        <f>IF(B14606="","",HOUR(A14606))</f>
        <v/>
      </c>
    </row>
    <row r="14607">
      <c r="A14607">
        <f>Input!A14607</f>
        <v/>
      </c>
      <c r="B14607">
        <f>IF(ISNUMBER(Input!B14607),IF(AND(Input!B14607&gt;=20,Input!B14607&lt;=700),Input!B14607,""),"")</f>
        <v/>
      </c>
      <c r="C14607">
        <f>IF(B14607="","",INT(A14607))</f>
        <v/>
      </c>
      <c r="D14607">
        <f>IF(B14607="","",HOUR(A14607))</f>
        <v/>
      </c>
    </row>
    <row r="14608">
      <c r="A14608">
        <f>Input!A14608</f>
        <v/>
      </c>
      <c r="B14608">
        <f>IF(ISNUMBER(Input!B14608),IF(AND(Input!B14608&gt;=20,Input!B14608&lt;=700),Input!B14608,""),"")</f>
        <v/>
      </c>
      <c r="C14608">
        <f>IF(B14608="","",INT(A14608))</f>
        <v/>
      </c>
      <c r="D14608">
        <f>IF(B14608="","",HOUR(A14608))</f>
        <v/>
      </c>
    </row>
    <row r="14609">
      <c r="A14609">
        <f>Input!A14609</f>
        <v/>
      </c>
      <c r="B14609">
        <f>IF(ISNUMBER(Input!B14609),IF(AND(Input!B14609&gt;=20,Input!B14609&lt;=700),Input!B14609,""),"")</f>
        <v/>
      </c>
      <c r="C14609">
        <f>IF(B14609="","",INT(A14609))</f>
        <v/>
      </c>
      <c r="D14609">
        <f>IF(B14609="","",HOUR(A14609))</f>
        <v/>
      </c>
    </row>
    <row r="14610">
      <c r="A14610">
        <f>Input!A14610</f>
        <v/>
      </c>
      <c r="B14610">
        <f>IF(ISNUMBER(Input!B14610),IF(AND(Input!B14610&gt;=20,Input!B14610&lt;=700),Input!B14610,""),"")</f>
        <v/>
      </c>
      <c r="C14610">
        <f>IF(B14610="","",INT(A14610))</f>
        <v/>
      </c>
      <c r="D14610">
        <f>IF(B14610="","",HOUR(A14610))</f>
        <v/>
      </c>
    </row>
    <row r="14611">
      <c r="A14611">
        <f>Input!A14611</f>
        <v/>
      </c>
      <c r="B14611">
        <f>IF(ISNUMBER(Input!B14611),IF(AND(Input!B14611&gt;=20,Input!B14611&lt;=700),Input!B14611,""),"")</f>
        <v/>
      </c>
      <c r="C14611">
        <f>IF(B14611="","",INT(A14611))</f>
        <v/>
      </c>
      <c r="D14611">
        <f>IF(B14611="","",HOUR(A14611))</f>
        <v/>
      </c>
    </row>
    <row r="14612">
      <c r="A14612">
        <f>Input!A14612</f>
        <v/>
      </c>
      <c r="B14612">
        <f>IF(ISNUMBER(Input!B14612),IF(AND(Input!B14612&gt;=20,Input!B14612&lt;=700),Input!B14612,""),"")</f>
        <v/>
      </c>
      <c r="C14612">
        <f>IF(B14612="","",INT(A14612))</f>
        <v/>
      </c>
      <c r="D14612">
        <f>IF(B14612="","",HOUR(A14612))</f>
        <v/>
      </c>
    </row>
    <row r="14613">
      <c r="A14613">
        <f>Input!A14613</f>
        <v/>
      </c>
      <c r="B14613">
        <f>IF(ISNUMBER(Input!B14613),IF(AND(Input!B14613&gt;=20,Input!B14613&lt;=700),Input!B14613,""),"")</f>
        <v/>
      </c>
      <c r="C14613">
        <f>IF(B14613="","",INT(A14613))</f>
        <v/>
      </c>
      <c r="D14613">
        <f>IF(B14613="","",HOUR(A14613))</f>
        <v/>
      </c>
    </row>
    <row r="14614">
      <c r="A14614">
        <f>Input!A14614</f>
        <v/>
      </c>
      <c r="B14614">
        <f>IF(ISNUMBER(Input!B14614),IF(AND(Input!B14614&gt;=20,Input!B14614&lt;=700),Input!B14614,""),"")</f>
        <v/>
      </c>
      <c r="C14614">
        <f>IF(B14614="","",INT(A14614))</f>
        <v/>
      </c>
      <c r="D14614">
        <f>IF(B14614="","",HOUR(A14614))</f>
        <v/>
      </c>
    </row>
    <row r="14615">
      <c r="A14615">
        <f>Input!A14615</f>
        <v/>
      </c>
      <c r="B14615">
        <f>IF(ISNUMBER(Input!B14615),IF(AND(Input!B14615&gt;=20,Input!B14615&lt;=700),Input!B14615,""),"")</f>
        <v/>
      </c>
      <c r="C14615">
        <f>IF(B14615="","",INT(A14615))</f>
        <v/>
      </c>
      <c r="D14615">
        <f>IF(B14615="","",HOUR(A14615))</f>
        <v/>
      </c>
    </row>
    <row r="14616">
      <c r="A14616">
        <f>Input!A14616</f>
        <v/>
      </c>
      <c r="B14616">
        <f>IF(ISNUMBER(Input!B14616),IF(AND(Input!B14616&gt;=20,Input!B14616&lt;=700),Input!B14616,""),"")</f>
        <v/>
      </c>
      <c r="C14616">
        <f>IF(B14616="","",INT(A14616))</f>
        <v/>
      </c>
      <c r="D14616">
        <f>IF(B14616="","",HOUR(A14616))</f>
        <v/>
      </c>
    </row>
    <row r="14617">
      <c r="A14617">
        <f>Input!A14617</f>
        <v/>
      </c>
      <c r="B14617">
        <f>IF(ISNUMBER(Input!B14617),IF(AND(Input!B14617&gt;=20,Input!B14617&lt;=700),Input!B14617,""),"")</f>
        <v/>
      </c>
      <c r="C14617">
        <f>IF(B14617="","",INT(A14617))</f>
        <v/>
      </c>
      <c r="D14617">
        <f>IF(B14617="","",HOUR(A14617))</f>
        <v/>
      </c>
    </row>
    <row r="14618">
      <c r="A14618">
        <f>Input!A14618</f>
        <v/>
      </c>
      <c r="B14618">
        <f>IF(ISNUMBER(Input!B14618),IF(AND(Input!B14618&gt;=20,Input!B14618&lt;=700),Input!B14618,""),"")</f>
        <v/>
      </c>
      <c r="C14618">
        <f>IF(B14618="","",INT(A14618))</f>
        <v/>
      </c>
      <c r="D14618">
        <f>IF(B14618="","",HOUR(A14618))</f>
        <v/>
      </c>
    </row>
    <row r="14619">
      <c r="A14619">
        <f>Input!A14619</f>
        <v/>
      </c>
      <c r="B14619">
        <f>IF(ISNUMBER(Input!B14619),IF(AND(Input!B14619&gt;=20,Input!B14619&lt;=700),Input!B14619,""),"")</f>
        <v/>
      </c>
      <c r="C14619">
        <f>IF(B14619="","",INT(A14619))</f>
        <v/>
      </c>
      <c r="D14619">
        <f>IF(B14619="","",HOUR(A14619))</f>
        <v/>
      </c>
    </row>
    <row r="14620">
      <c r="A14620">
        <f>Input!A14620</f>
        <v/>
      </c>
      <c r="B14620">
        <f>IF(ISNUMBER(Input!B14620),IF(AND(Input!B14620&gt;=20,Input!B14620&lt;=700),Input!B14620,""),"")</f>
        <v/>
      </c>
      <c r="C14620">
        <f>IF(B14620="","",INT(A14620))</f>
        <v/>
      </c>
      <c r="D14620">
        <f>IF(B14620="","",HOUR(A14620))</f>
        <v/>
      </c>
    </row>
    <row r="14621">
      <c r="A14621">
        <f>Input!A14621</f>
        <v/>
      </c>
      <c r="B14621">
        <f>IF(ISNUMBER(Input!B14621),IF(AND(Input!B14621&gt;=20,Input!B14621&lt;=700),Input!B14621,""),"")</f>
        <v/>
      </c>
      <c r="C14621">
        <f>IF(B14621="","",INT(A14621))</f>
        <v/>
      </c>
      <c r="D14621">
        <f>IF(B14621="","",HOUR(A14621))</f>
        <v/>
      </c>
    </row>
    <row r="14622">
      <c r="A14622">
        <f>Input!A14622</f>
        <v/>
      </c>
      <c r="B14622">
        <f>IF(ISNUMBER(Input!B14622),IF(AND(Input!B14622&gt;=20,Input!B14622&lt;=700),Input!B14622,""),"")</f>
        <v/>
      </c>
      <c r="C14622">
        <f>IF(B14622="","",INT(A14622))</f>
        <v/>
      </c>
      <c r="D14622">
        <f>IF(B14622="","",HOUR(A14622))</f>
        <v/>
      </c>
    </row>
    <row r="14623">
      <c r="A14623">
        <f>Input!A14623</f>
        <v/>
      </c>
      <c r="B14623">
        <f>IF(ISNUMBER(Input!B14623),IF(AND(Input!B14623&gt;=20,Input!B14623&lt;=700),Input!B14623,""),"")</f>
        <v/>
      </c>
      <c r="C14623">
        <f>IF(B14623="","",INT(A14623))</f>
        <v/>
      </c>
      <c r="D14623">
        <f>IF(B14623="","",HOUR(A14623))</f>
        <v/>
      </c>
    </row>
    <row r="14624">
      <c r="A14624">
        <f>Input!A14624</f>
        <v/>
      </c>
      <c r="B14624">
        <f>IF(ISNUMBER(Input!B14624),IF(AND(Input!B14624&gt;=20,Input!B14624&lt;=700),Input!B14624,""),"")</f>
        <v/>
      </c>
      <c r="C14624">
        <f>IF(B14624="","",INT(A14624))</f>
        <v/>
      </c>
      <c r="D14624">
        <f>IF(B14624="","",HOUR(A14624))</f>
        <v/>
      </c>
    </row>
    <row r="14625">
      <c r="A14625">
        <f>Input!A14625</f>
        <v/>
      </c>
      <c r="B14625">
        <f>IF(ISNUMBER(Input!B14625),IF(AND(Input!B14625&gt;=20,Input!B14625&lt;=700),Input!B14625,""),"")</f>
        <v/>
      </c>
      <c r="C14625">
        <f>IF(B14625="","",INT(A14625))</f>
        <v/>
      </c>
      <c r="D14625">
        <f>IF(B14625="","",HOUR(A14625))</f>
        <v/>
      </c>
    </row>
    <row r="14626">
      <c r="A14626">
        <f>Input!A14626</f>
        <v/>
      </c>
      <c r="B14626">
        <f>IF(ISNUMBER(Input!B14626),IF(AND(Input!B14626&gt;=20,Input!B14626&lt;=700),Input!B14626,""),"")</f>
        <v/>
      </c>
      <c r="C14626">
        <f>IF(B14626="","",INT(A14626))</f>
        <v/>
      </c>
      <c r="D14626">
        <f>IF(B14626="","",HOUR(A14626))</f>
        <v/>
      </c>
    </row>
    <row r="14627">
      <c r="A14627">
        <f>Input!A14627</f>
        <v/>
      </c>
      <c r="B14627">
        <f>IF(ISNUMBER(Input!B14627),IF(AND(Input!B14627&gt;=20,Input!B14627&lt;=700),Input!B14627,""),"")</f>
        <v/>
      </c>
      <c r="C14627">
        <f>IF(B14627="","",INT(A14627))</f>
        <v/>
      </c>
      <c r="D14627">
        <f>IF(B14627="","",HOUR(A14627))</f>
        <v/>
      </c>
    </row>
    <row r="14628">
      <c r="A14628">
        <f>Input!A14628</f>
        <v/>
      </c>
      <c r="B14628">
        <f>IF(ISNUMBER(Input!B14628),IF(AND(Input!B14628&gt;=20,Input!B14628&lt;=700),Input!B14628,""),"")</f>
        <v/>
      </c>
      <c r="C14628">
        <f>IF(B14628="","",INT(A14628))</f>
        <v/>
      </c>
      <c r="D14628">
        <f>IF(B14628="","",HOUR(A14628))</f>
        <v/>
      </c>
    </row>
    <row r="14629">
      <c r="A14629">
        <f>Input!A14629</f>
        <v/>
      </c>
      <c r="B14629">
        <f>IF(ISNUMBER(Input!B14629),IF(AND(Input!B14629&gt;=20,Input!B14629&lt;=700),Input!B14629,""),"")</f>
        <v/>
      </c>
      <c r="C14629">
        <f>IF(B14629="","",INT(A14629))</f>
        <v/>
      </c>
      <c r="D14629">
        <f>IF(B14629="","",HOUR(A14629))</f>
        <v/>
      </c>
    </row>
    <row r="14630">
      <c r="A14630">
        <f>Input!A14630</f>
        <v/>
      </c>
      <c r="B14630">
        <f>IF(ISNUMBER(Input!B14630),IF(AND(Input!B14630&gt;=20,Input!B14630&lt;=700),Input!B14630,""),"")</f>
        <v/>
      </c>
      <c r="C14630">
        <f>IF(B14630="","",INT(A14630))</f>
        <v/>
      </c>
      <c r="D14630">
        <f>IF(B14630="","",HOUR(A14630))</f>
        <v/>
      </c>
    </row>
    <row r="14631">
      <c r="A14631">
        <f>Input!A14631</f>
        <v/>
      </c>
      <c r="B14631">
        <f>IF(ISNUMBER(Input!B14631),IF(AND(Input!B14631&gt;=20,Input!B14631&lt;=700),Input!B14631,""),"")</f>
        <v/>
      </c>
      <c r="C14631">
        <f>IF(B14631="","",INT(A14631))</f>
        <v/>
      </c>
      <c r="D14631">
        <f>IF(B14631="","",HOUR(A14631))</f>
        <v/>
      </c>
    </row>
    <row r="14632">
      <c r="A14632">
        <f>Input!A14632</f>
        <v/>
      </c>
      <c r="B14632">
        <f>IF(ISNUMBER(Input!B14632),IF(AND(Input!B14632&gt;=20,Input!B14632&lt;=700),Input!B14632,""),"")</f>
        <v/>
      </c>
      <c r="C14632">
        <f>IF(B14632="","",INT(A14632))</f>
        <v/>
      </c>
      <c r="D14632">
        <f>IF(B14632="","",HOUR(A14632))</f>
        <v/>
      </c>
    </row>
    <row r="14633">
      <c r="A14633">
        <f>Input!A14633</f>
        <v/>
      </c>
      <c r="B14633">
        <f>IF(ISNUMBER(Input!B14633),IF(AND(Input!B14633&gt;=20,Input!B14633&lt;=700),Input!B14633,""),"")</f>
        <v/>
      </c>
      <c r="C14633">
        <f>IF(B14633="","",INT(A14633))</f>
        <v/>
      </c>
      <c r="D14633">
        <f>IF(B14633="","",HOUR(A14633))</f>
        <v/>
      </c>
    </row>
    <row r="14634">
      <c r="A14634">
        <f>Input!A14634</f>
        <v/>
      </c>
      <c r="B14634">
        <f>IF(ISNUMBER(Input!B14634),IF(AND(Input!B14634&gt;=20,Input!B14634&lt;=700),Input!B14634,""),"")</f>
        <v/>
      </c>
      <c r="C14634">
        <f>IF(B14634="","",INT(A14634))</f>
        <v/>
      </c>
      <c r="D14634">
        <f>IF(B14634="","",HOUR(A14634))</f>
        <v/>
      </c>
    </row>
    <row r="14635">
      <c r="A14635">
        <f>Input!A14635</f>
        <v/>
      </c>
      <c r="B14635">
        <f>IF(ISNUMBER(Input!B14635),IF(AND(Input!B14635&gt;=20,Input!B14635&lt;=700),Input!B14635,""),"")</f>
        <v/>
      </c>
      <c r="C14635">
        <f>IF(B14635="","",INT(A14635))</f>
        <v/>
      </c>
      <c r="D14635">
        <f>IF(B14635="","",HOUR(A14635))</f>
        <v/>
      </c>
    </row>
    <row r="14636">
      <c r="A14636">
        <f>Input!A14636</f>
        <v/>
      </c>
      <c r="B14636">
        <f>IF(ISNUMBER(Input!B14636),IF(AND(Input!B14636&gt;=20,Input!B14636&lt;=700),Input!B14636,""),"")</f>
        <v/>
      </c>
      <c r="C14636">
        <f>IF(B14636="","",INT(A14636))</f>
        <v/>
      </c>
      <c r="D14636">
        <f>IF(B14636="","",HOUR(A14636))</f>
        <v/>
      </c>
    </row>
    <row r="14637">
      <c r="A14637">
        <f>Input!A14637</f>
        <v/>
      </c>
      <c r="B14637">
        <f>IF(ISNUMBER(Input!B14637),IF(AND(Input!B14637&gt;=20,Input!B14637&lt;=700),Input!B14637,""),"")</f>
        <v/>
      </c>
      <c r="C14637">
        <f>IF(B14637="","",INT(A14637))</f>
        <v/>
      </c>
      <c r="D14637">
        <f>IF(B14637="","",HOUR(A14637))</f>
        <v/>
      </c>
    </row>
    <row r="14638">
      <c r="A14638">
        <f>Input!A14638</f>
        <v/>
      </c>
      <c r="B14638">
        <f>IF(ISNUMBER(Input!B14638),IF(AND(Input!B14638&gt;=20,Input!B14638&lt;=700),Input!B14638,""),"")</f>
        <v/>
      </c>
      <c r="C14638">
        <f>IF(B14638="","",INT(A14638))</f>
        <v/>
      </c>
      <c r="D14638">
        <f>IF(B14638="","",HOUR(A14638))</f>
        <v/>
      </c>
    </row>
    <row r="14639">
      <c r="A14639">
        <f>Input!A14639</f>
        <v/>
      </c>
      <c r="B14639">
        <f>IF(ISNUMBER(Input!B14639),IF(AND(Input!B14639&gt;=20,Input!B14639&lt;=700),Input!B14639,""),"")</f>
        <v/>
      </c>
      <c r="C14639">
        <f>IF(B14639="","",INT(A14639))</f>
        <v/>
      </c>
      <c r="D14639">
        <f>IF(B14639="","",HOUR(A14639))</f>
        <v/>
      </c>
    </row>
    <row r="14640">
      <c r="A14640">
        <f>Input!A14640</f>
        <v/>
      </c>
      <c r="B14640">
        <f>IF(ISNUMBER(Input!B14640),IF(AND(Input!B14640&gt;=20,Input!B14640&lt;=700),Input!B14640,""),"")</f>
        <v/>
      </c>
      <c r="C14640">
        <f>IF(B14640="","",INT(A14640))</f>
        <v/>
      </c>
      <c r="D14640">
        <f>IF(B14640="","",HOUR(A14640))</f>
        <v/>
      </c>
    </row>
    <row r="14641">
      <c r="A14641">
        <f>Input!A14641</f>
        <v/>
      </c>
      <c r="B14641">
        <f>IF(ISNUMBER(Input!B14641),IF(AND(Input!B14641&gt;=20,Input!B14641&lt;=700),Input!B14641,""),"")</f>
        <v/>
      </c>
      <c r="C14641">
        <f>IF(B14641="","",INT(A14641))</f>
        <v/>
      </c>
      <c r="D14641">
        <f>IF(B14641="","",HOUR(A14641))</f>
        <v/>
      </c>
    </row>
    <row r="14642">
      <c r="A14642">
        <f>Input!A14642</f>
        <v/>
      </c>
      <c r="B14642">
        <f>IF(ISNUMBER(Input!B14642),IF(AND(Input!B14642&gt;=20,Input!B14642&lt;=700),Input!B14642,""),"")</f>
        <v/>
      </c>
      <c r="C14642">
        <f>IF(B14642="","",INT(A14642))</f>
        <v/>
      </c>
      <c r="D14642">
        <f>IF(B14642="","",HOUR(A14642))</f>
        <v/>
      </c>
    </row>
    <row r="14643">
      <c r="A14643">
        <f>Input!A14643</f>
        <v/>
      </c>
      <c r="B14643">
        <f>IF(ISNUMBER(Input!B14643),IF(AND(Input!B14643&gt;=20,Input!B14643&lt;=700),Input!B14643,""),"")</f>
        <v/>
      </c>
      <c r="C14643">
        <f>IF(B14643="","",INT(A14643))</f>
        <v/>
      </c>
      <c r="D14643">
        <f>IF(B14643="","",HOUR(A14643))</f>
        <v/>
      </c>
    </row>
    <row r="14644">
      <c r="A14644">
        <f>Input!A14644</f>
        <v/>
      </c>
      <c r="B14644">
        <f>IF(ISNUMBER(Input!B14644),IF(AND(Input!B14644&gt;=20,Input!B14644&lt;=700),Input!B14644,""),"")</f>
        <v/>
      </c>
      <c r="C14644">
        <f>IF(B14644="","",INT(A14644))</f>
        <v/>
      </c>
      <c r="D14644">
        <f>IF(B14644="","",HOUR(A14644))</f>
        <v/>
      </c>
    </row>
    <row r="14645">
      <c r="A14645">
        <f>Input!A14645</f>
        <v/>
      </c>
      <c r="B14645">
        <f>IF(ISNUMBER(Input!B14645),IF(AND(Input!B14645&gt;=20,Input!B14645&lt;=700),Input!B14645,""),"")</f>
        <v/>
      </c>
      <c r="C14645">
        <f>IF(B14645="","",INT(A14645))</f>
        <v/>
      </c>
      <c r="D14645">
        <f>IF(B14645="","",HOUR(A14645))</f>
        <v/>
      </c>
    </row>
    <row r="14646">
      <c r="A14646">
        <f>Input!A14646</f>
        <v/>
      </c>
      <c r="B14646">
        <f>IF(ISNUMBER(Input!B14646),IF(AND(Input!B14646&gt;=20,Input!B14646&lt;=700),Input!B14646,""),"")</f>
        <v/>
      </c>
      <c r="C14646">
        <f>IF(B14646="","",INT(A14646))</f>
        <v/>
      </c>
      <c r="D14646">
        <f>IF(B14646="","",HOUR(A14646))</f>
        <v/>
      </c>
    </row>
    <row r="14647">
      <c r="A14647">
        <f>Input!A14647</f>
        <v/>
      </c>
      <c r="B14647">
        <f>IF(ISNUMBER(Input!B14647),IF(AND(Input!B14647&gt;=20,Input!B14647&lt;=700),Input!B14647,""),"")</f>
        <v/>
      </c>
      <c r="C14647">
        <f>IF(B14647="","",INT(A14647))</f>
        <v/>
      </c>
      <c r="D14647">
        <f>IF(B14647="","",HOUR(A14647))</f>
        <v/>
      </c>
    </row>
    <row r="14648">
      <c r="A14648">
        <f>Input!A14648</f>
        <v/>
      </c>
      <c r="B14648">
        <f>IF(ISNUMBER(Input!B14648),IF(AND(Input!B14648&gt;=20,Input!B14648&lt;=700),Input!B14648,""),"")</f>
        <v/>
      </c>
      <c r="C14648">
        <f>IF(B14648="","",INT(A14648))</f>
        <v/>
      </c>
      <c r="D14648">
        <f>IF(B14648="","",HOUR(A14648))</f>
        <v/>
      </c>
    </row>
    <row r="14649">
      <c r="A14649">
        <f>Input!A14649</f>
        <v/>
      </c>
      <c r="B14649">
        <f>IF(ISNUMBER(Input!B14649),IF(AND(Input!B14649&gt;=20,Input!B14649&lt;=700),Input!B14649,""),"")</f>
        <v/>
      </c>
      <c r="C14649">
        <f>IF(B14649="","",INT(A14649))</f>
        <v/>
      </c>
      <c r="D14649">
        <f>IF(B14649="","",HOUR(A14649))</f>
        <v/>
      </c>
    </row>
    <row r="14650">
      <c r="A14650">
        <f>Input!A14650</f>
        <v/>
      </c>
      <c r="B14650">
        <f>IF(ISNUMBER(Input!B14650),IF(AND(Input!B14650&gt;=20,Input!B14650&lt;=700),Input!B14650,""),"")</f>
        <v/>
      </c>
      <c r="C14650">
        <f>IF(B14650="","",INT(A14650))</f>
        <v/>
      </c>
      <c r="D14650">
        <f>IF(B14650="","",HOUR(A14650))</f>
        <v/>
      </c>
    </row>
    <row r="14651">
      <c r="A14651">
        <f>Input!A14651</f>
        <v/>
      </c>
      <c r="B14651">
        <f>IF(ISNUMBER(Input!B14651),IF(AND(Input!B14651&gt;=20,Input!B14651&lt;=700),Input!B14651,""),"")</f>
        <v/>
      </c>
      <c r="C14651">
        <f>IF(B14651="","",INT(A14651))</f>
        <v/>
      </c>
      <c r="D14651">
        <f>IF(B14651="","",HOUR(A14651))</f>
        <v/>
      </c>
    </row>
    <row r="14652">
      <c r="A14652">
        <f>Input!A14652</f>
        <v/>
      </c>
      <c r="B14652">
        <f>IF(ISNUMBER(Input!B14652),IF(AND(Input!B14652&gt;=20,Input!B14652&lt;=700),Input!B14652,""),"")</f>
        <v/>
      </c>
      <c r="C14652">
        <f>IF(B14652="","",INT(A14652))</f>
        <v/>
      </c>
      <c r="D14652">
        <f>IF(B14652="","",HOUR(A14652))</f>
        <v/>
      </c>
    </row>
    <row r="14653">
      <c r="A14653">
        <f>Input!A14653</f>
        <v/>
      </c>
      <c r="B14653">
        <f>IF(ISNUMBER(Input!B14653),IF(AND(Input!B14653&gt;=20,Input!B14653&lt;=700),Input!B14653,""),"")</f>
        <v/>
      </c>
      <c r="C14653">
        <f>IF(B14653="","",INT(A14653))</f>
        <v/>
      </c>
      <c r="D14653">
        <f>IF(B14653="","",HOUR(A14653))</f>
        <v/>
      </c>
    </row>
    <row r="14654">
      <c r="A14654">
        <f>Input!A14654</f>
        <v/>
      </c>
      <c r="B14654">
        <f>IF(ISNUMBER(Input!B14654),IF(AND(Input!B14654&gt;=20,Input!B14654&lt;=700),Input!B14654,""),"")</f>
        <v/>
      </c>
      <c r="C14654">
        <f>IF(B14654="","",INT(A14654))</f>
        <v/>
      </c>
      <c r="D14654">
        <f>IF(B14654="","",HOUR(A14654))</f>
        <v/>
      </c>
    </row>
    <row r="14655">
      <c r="A14655">
        <f>Input!A14655</f>
        <v/>
      </c>
      <c r="B14655">
        <f>IF(ISNUMBER(Input!B14655),IF(AND(Input!B14655&gt;=20,Input!B14655&lt;=700),Input!B14655,""),"")</f>
        <v/>
      </c>
      <c r="C14655">
        <f>IF(B14655="","",INT(A14655))</f>
        <v/>
      </c>
      <c r="D14655">
        <f>IF(B14655="","",HOUR(A14655))</f>
        <v/>
      </c>
    </row>
    <row r="14656">
      <c r="A14656">
        <f>Input!A14656</f>
        <v/>
      </c>
      <c r="B14656">
        <f>IF(ISNUMBER(Input!B14656),IF(AND(Input!B14656&gt;=20,Input!B14656&lt;=700),Input!B14656,""),"")</f>
        <v/>
      </c>
      <c r="C14656">
        <f>IF(B14656="","",INT(A14656))</f>
        <v/>
      </c>
      <c r="D14656">
        <f>IF(B14656="","",HOUR(A14656))</f>
        <v/>
      </c>
    </row>
    <row r="14657">
      <c r="A14657">
        <f>Input!A14657</f>
        <v/>
      </c>
      <c r="B14657">
        <f>IF(ISNUMBER(Input!B14657),IF(AND(Input!B14657&gt;=20,Input!B14657&lt;=700),Input!B14657,""),"")</f>
        <v/>
      </c>
      <c r="C14657">
        <f>IF(B14657="","",INT(A14657))</f>
        <v/>
      </c>
      <c r="D14657">
        <f>IF(B14657="","",HOUR(A14657))</f>
        <v/>
      </c>
    </row>
    <row r="14658">
      <c r="A14658">
        <f>Input!A14658</f>
        <v/>
      </c>
      <c r="B14658">
        <f>IF(ISNUMBER(Input!B14658),IF(AND(Input!B14658&gt;=20,Input!B14658&lt;=700),Input!B14658,""),"")</f>
        <v/>
      </c>
      <c r="C14658">
        <f>IF(B14658="","",INT(A14658))</f>
        <v/>
      </c>
      <c r="D14658">
        <f>IF(B14658="","",HOUR(A14658))</f>
        <v/>
      </c>
    </row>
    <row r="14659">
      <c r="A14659">
        <f>Input!A14659</f>
        <v/>
      </c>
      <c r="B14659">
        <f>IF(ISNUMBER(Input!B14659),IF(AND(Input!B14659&gt;=20,Input!B14659&lt;=700),Input!B14659,""),"")</f>
        <v/>
      </c>
      <c r="C14659">
        <f>IF(B14659="","",INT(A14659))</f>
        <v/>
      </c>
      <c r="D14659">
        <f>IF(B14659="","",HOUR(A14659))</f>
        <v/>
      </c>
    </row>
    <row r="14660">
      <c r="A14660">
        <f>Input!A14660</f>
        <v/>
      </c>
      <c r="B14660">
        <f>IF(ISNUMBER(Input!B14660),IF(AND(Input!B14660&gt;=20,Input!B14660&lt;=700),Input!B14660,""),"")</f>
        <v/>
      </c>
      <c r="C14660">
        <f>IF(B14660="","",INT(A14660))</f>
        <v/>
      </c>
      <c r="D14660">
        <f>IF(B14660="","",HOUR(A14660))</f>
        <v/>
      </c>
    </row>
    <row r="14661">
      <c r="A14661">
        <f>Input!A14661</f>
        <v/>
      </c>
      <c r="B14661">
        <f>IF(ISNUMBER(Input!B14661),IF(AND(Input!B14661&gt;=20,Input!B14661&lt;=700),Input!B14661,""),"")</f>
        <v/>
      </c>
      <c r="C14661">
        <f>IF(B14661="","",INT(A14661))</f>
        <v/>
      </c>
      <c r="D14661">
        <f>IF(B14661="","",HOUR(A14661))</f>
        <v/>
      </c>
    </row>
    <row r="14662">
      <c r="A14662">
        <f>Input!A14662</f>
        <v/>
      </c>
      <c r="B14662">
        <f>IF(ISNUMBER(Input!B14662),IF(AND(Input!B14662&gt;=20,Input!B14662&lt;=700),Input!B14662,""),"")</f>
        <v/>
      </c>
      <c r="C14662">
        <f>IF(B14662="","",INT(A14662))</f>
        <v/>
      </c>
      <c r="D14662">
        <f>IF(B14662="","",HOUR(A14662))</f>
        <v/>
      </c>
    </row>
    <row r="14663">
      <c r="A14663">
        <f>Input!A14663</f>
        <v/>
      </c>
      <c r="B14663">
        <f>IF(ISNUMBER(Input!B14663),IF(AND(Input!B14663&gt;=20,Input!B14663&lt;=700),Input!B14663,""),"")</f>
        <v/>
      </c>
      <c r="C14663">
        <f>IF(B14663="","",INT(A14663))</f>
        <v/>
      </c>
      <c r="D14663">
        <f>IF(B14663="","",HOUR(A14663))</f>
        <v/>
      </c>
    </row>
    <row r="14664">
      <c r="A14664">
        <f>Input!A14664</f>
        <v/>
      </c>
      <c r="B14664">
        <f>IF(ISNUMBER(Input!B14664),IF(AND(Input!B14664&gt;=20,Input!B14664&lt;=700),Input!B14664,""),"")</f>
        <v/>
      </c>
      <c r="C14664">
        <f>IF(B14664="","",INT(A14664))</f>
        <v/>
      </c>
      <c r="D14664">
        <f>IF(B14664="","",HOUR(A14664))</f>
        <v/>
      </c>
    </row>
    <row r="14665">
      <c r="A14665">
        <f>Input!A14665</f>
        <v/>
      </c>
      <c r="B14665">
        <f>IF(ISNUMBER(Input!B14665),IF(AND(Input!B14665&gt;=20,Input!B14665&lt;=700),Input!B14665,""),"")</f>
        <v/>
      </c>
      <c r="C14665">
        <f>IF(B14665="","",INT(A14665))</f>
        <v/>
      </c>
      <c r="D14665">
        <f>IF(B14665="","",HOUR(A14665))</f>
        <v/>
      </c>
    </row>
    <row r="14666">
      <c r="A14666">
        <f>Input!A14666</f>
        <v/>
      </c>
      <c r="B14666">
        <f>IF(ISNUMBER(Input!B14666),IF(AND(Input!B14666&gt;=20,Input!B14666&lt;=700),Input!B14666,""),"")</f>
        <v/>
      </c>
      <c r="C14666">
        <f>IF(B14666="","",INT(A14666))</f>
        <v/>
      </c>
      <c r="D14666">
        <f>IF(B14666="","",HOUR(A14666))</f>
        <v/>
      </c>
    </row>
    <row r="14667">
      <c r="A14667">
        <f>Input!A14667</f>
        <v/>
      </c>
      <c r="B14667">
        <f>IF(ISNUMBER(Input!B14667),IF(AND(Input!B14667&gt;=20,Input!B14667&lt;=700),Input!B14667,""),"")</f>
        <v/>
      </c>
      <c r="C14667">
        <f>IF(B14667="","",INT(A14667))</f>
        <v/>
      </c>
      <c r="D14667">
        <f>IF(B14667="","",HOUR(A14667))</f>
        <v/>
      </c>
    </row>
    <row r="14668">
      <c r="A14668">
        <f>Input!A14668</f>
        <v/>
      </c>
      <c r="B14668">
        <f>IF(ISNUMBER(Input!B14668),IF(AND(Input!B14668&gt;=20,Input!B14668&lt;=700),Input!B14668,""),"")</f>
        <v/>
      </c>
      <c r="C14668">
        <f>IF(B14668="","",INT(A14668))</f>
        <v/>
      </c>
      <c r="D14668">
        <f>IF(B14668="","",HOUR(A14668))</f>
        <v/>
      </c>
    </row>
    <row r="14669">
      <c r="A14669">
        <f>Input!A14669</f>
        <v/>
      </c>
      <c r="B14669">
        <f>IF(ISNUMBER(Input!B14669),IF(AND(Input!B14669&gt;=20,Input!B14669&lt;=700),Input!B14669,""),"")</f>
        <v/>
      </c>
      <c r="C14669">
        <f>IF(B14669="","",INT(A14669))</f>
        <v/>
      </c>
      <c r="D14669">
        <f>IF(B14669="","",HOUR(A14669))</f>
        <v/>
      </c>
    </row>
    <row r="14670">
      <c r="A14670">
        <f>Input!A14670</f>
        <v/>
      </c>
      <c r="B14670">
        <f>IF(ISNUMBER(Input!B14670),IF(AND(Input!B14670&gt;=20,Input!B14670&lt;=700),Input!B14670,""),"")</f>
        <v/>
      </c>
      <c r="C14670">
        <f>IF(B14670="","",INT(A14670))</f>
        <v/>
      </c>
      <c r="D14670">
        <f>IF(B14670="","",HOUR(A14670))</f>
        <v/>
      </c>
    </row>
    <row r="14671">
      <c r="A14671">
        <f>Input!A14671</f>
        <v/>
      </c>
      <c r="B14671">
        <f>IF(ISNUMBER(Input!B14671),IF(AND(Input!B14671&gt;=20,Input!B14671&lt;=700),Input!B14671,""),"")</f>
        <v/>
      </c>
      <c r="C14671">
        <f>IF(B14671="","",INT(A14671))</f>
        <v/>
      </c>
      <c r="D14671">
        <f>IF(B14671="","",HOUR(A14671))</f>
        <v/>
      </c>
    </row>
    <row r="14672">
      <c r="A14672">
        <f>Input!A14672</f>
        <v/>
      </c>
      <c r="B14672">
        <f>IF(ISNUMBER(Input!B14672),IF(AND(Input!B14672&gt;=20,Input!B14672&lt;=700),Input!B14672,""),"")</f>
        <v/>
      </c>
      <c r="C14672">
        <f>IF(B14672="","",INT(A14672))</f>
        <v/>
      </c>
      <c r="D14672">
        <f>IF(B14672="","",HOUR(A14672))</f>
        <v/>
      </c>
    </row>
    <row r="14673">
      <c r="A14673">
        <f>Input!A14673</f>
        <v/>
      </c>
      <c r="B14673">
        <f>IF(ISNUMBER(Input!B14673),IF(AND(Input!B14673&gt;=20,Input!B14673&lt;=700),Input!B14673,""),"")</f>
        <v/>
      </c>
      <c r="C14673">
        <f>IF(B14673="","",INT(A14673))</f>
        <v/>
      </c>
      <c r="D14673">
        <f>IF(B14673="","",HOUR(A14673))</f>
        <v/>
      </c>
    </row>
    <row r="14674">
      <c r="A14674">
        <f>Input!A14674</f>
        <v/>
      </c>
      <c r="B14674">
        <f>IF(ISNUMBER(Input!B14674),IF(AND(Input!B14674&gt;=20,Input!B14674&lt;=700),Input!B14674,""),"")</f>
        <v/>
      </c>
      <c r="C14674">
        <f>IF(B14674="","",INT(A14674))</f>
        <v/>
      </c>
      <c r="D14674">
        <f>IF(B14674="","",HOUR(A14674))</f>
        <v/>
      </c>
    </row>
    <row r="14675">
      <c r="A14675">
        <f>Input!A14675</f>
        <v/>
      </c>
      <c r="B14675">
        <f>IF(ISNUMBER(Input!B14675),IF(AND(Input!B14675&gt;=20,Input!B14675&lt;=700),Input!B14675,""),"")</f>
        <v/>
      </c>
      <c r="C14675">
        <f>IF(B14675="","",INT(A14675))</f>
        <v/>
      </c>
      <c r="D14675">
        <f>IF(B14675="","",HOUR(A14675))</f>
        <v/>
      </c>
    </row>
    <row r="14676">
      <c r="A14676">
        <f>Input!A14676</f>
        <v/>
      </c>
      <c r="B14676">
        <f>IF(ISNUMBER(Input!B14676),IF(AND(Input!B14676&gt;=20,Input!B14676&lt;=700),Input!B14676,""),"")</f>
        <v/>
      </c>
      <c r="C14676">
        <f>IF(B14676="","",INT(A14676))</f>
        <v/>
      </c>
      <c r="D14676">
        <f>IF(B14676="","",HOUR(A14676))</f>
        <v/>
      </c>
    </row>
    <row r="14677">
      <c r="A14677">
        <f>Input!A14677</f>
        <v/>
      </c>
      <c r="B14677">
        <f>IF(ISNUMBER(Input!B14677),IF(AND(Input!B14677&gt;=20,Input!B14677&lt;=700),Input!B14677,""),"")</f>
        <v/>
      </c>
      <c r="C14677">
        <f>IF(B14677="","",INT(A14677))</f>
        <v/>
      </c>
      <c r="D14677">
        <f>IF(B14677="","",HOUR(A14677))</f>
        <v/>
      </c>
    </row>
    <row r="14678">
      <c r="A14678">
        <f>Input!A14678</f>
        <v/>
      </c>
      <c r="B14678">
        <f>IF(ISNUMBER(Input!B14678),IF(AND(Input!B14678&gt;=20,Input!B14678&lt;=700),Input!B14678,""),"")</f>
        <v/>
      </c>
      <c r="C14678">
        <f>IF(B14678="","",INT(A14678))</f>
        <v/>
      </c>
      <c r="D14678">
        <f>IF(B14678="","",HOUR(A14678))</f>
        <v/>
      </c>
    </row>
    <row r="14679">
      <c r="A14679">
        <f>Input!A14679</f>
        <v/>
      </c>
      <c r="B14679">
        <f>IF(ISNUMBER(Input!B14679),IF(AND(Input!B14679&gt;=20,Input!B14679&lt;=700),Input!B14679,""),"")</f>
        <v/>
      </c>
      <c r="C14679">
        <f>IF(B14679="","",INT(A14679))</f>
        <v/>
      </c>
      <c r="D14679">
        <f>IF(B14679="","",HOUR(A14679))</f>
        <v/>
      </c>
    </row>
    <row r="14680">
      <c r="A14680">
        <f>Input!A14680</f>
        <v/>
      </c>
      <c r="B14680">
        <f>IF(ISNUMBER(Input!B14680),IF(AND(Input!B14680&gt;=20,Input!B14680&lt;=700),Input!B14680,""),"")</f>
        <v/>
      </c>
      <c r="C14680">
        <f>IF(B14680="","",INT(A14680))</f>
        <v/>
      </c>
      <c r="D14680">
        <f>IF(B14680="","",HOUR(A14680))</f>
        <v/>
      </c>
    </row>
    <row r="14681">
      <c r="A14681">
        <f>Input!A14681</f>
        <v/>
      </c>
      <c r="B14681">
        <f>IF(ISNUMBER(Input!B14681),IF(AND(Input!B14681&gt;=20,Input!B14681&lt;=700),Input!B14681,""),"")</f>
        <v/>
      </c>
      <c r="C14681">
        <f>IF(B14681="","",INT(A14681))</f>
        <v/>
      </c>
      <c r="D14681">
        <f>IF(B14681="","",HOUR(A14681))</f>
        <v/>
      </c>
    </row>
    <row r="14682">
      <c r="A14682">
        <f>Input!A14682</f>
        <v/>
      </c>
      <c r="B14682">
        <f>IF(ISNUMBER(Input!B14682),IF(AND(Input!B14682&gt;=20,Input!B14682&lt;=700),Input!B14682,""),"")</f>
        <v/>
      </c>
      <c r="C14682">
        <f>IF(B14682="","",INT(A14682))</f>
        <v/>
      </c>
      <c r="D14682">
        <f>IF(B14682="","",HOUR(A14682))</f>
        <v/>
      </c>
    </row>
    <row r="14683">
      <c r="A14683">
        <f>Input!A14683</f>
        <v/>
      </c>
      <c r="B14683">
        <f>IF(ISNUMBER(Input!B14683),IF(AND(Input!B14683&gt;=20,Input!B14683&lt;=700),Input!B14683,""),"")</f>
        <v/>
      </c>
      <c r="C14683">
        <f>IF(B14683="","",INT(A14683))</f>
        <v/>
      </c>
      <c r="D14683">
        <f>IF(B14683="","",HOUR(A14683))</f>
        <v/>
      </c>
    </row>
    <row r="14684">
      <c r="A14684">
        <f>Input!A14684</f>
        <v/>
      </c>
      <c r="B14684">
        <f>IF(ISNUMBER(Input!B14684),IF(AND(Input!B14684&gt;=20,Input!B14684&lt;=700),Input!B14684,""),"")</f>
        <v/>
      </c>
      <c r="C14684">
        <f>IF(B14684="","",INT(A14684))</f>
        <v/>
      </c>
      <c r="D14684">
        <f>IF(B14684="","",HOUR(A14684))</f>
        <v/>
      </c>
    </row>
    <row r="14685">
      <c r="A14685">
        <f>Input!A14685</f>
        <v/>
      </c>
      <c r="B14685">
        <f>IF(ISNUMBER(Input!B14685),IF(AND(Input!B14685&gt;=20,Input!B14685&lt;=700),Input!B14685,""),"")</f>
        <v/>
      </c>
      <c r="C14685">
        <f>IF(B14685="","",INT(A14685))</f>
        <v/>
      </c>
      <c r="D14685">
        <f>IF(B14685="","",HOUR(A14685))</f>
        <v/>
      </c>
    </row>
    <row r="14686">
      <c r="A14686">
        <f>Input!A14686</f>
        <v/>
      </c>
      <c r="B14686">
        <f>IF(ISNUMBER(Input!B14686),IF(AND(Input!B14686&gt;=20,Input!B14686&lt;=700),Input!B14686,""),"")</f>
        <v/>
      </c>
      <c r="C14686">
        <f>IF(B14686="","",INT(A14686))</f>
        <v/>
      </c>
      <c r="D14686">
        <f>IF(B14686="","",HOUR(A14686))</f>
        <v/>
      </c>
    </row>
    <row r="14687">
      <c r="A14687">
        <f>Input!A14687</f>
        <v/>
      </c>
      <c r="B14687">
        <f>IF(ISNUMBER(Input!B14687),IF(AND(Input!B14687&gt;=20,Input!B14687&lt;=700),Input!B14687,""),"")</f>
        <v/>
      </c>
      <c r="C14687">
        <f>IF(B14687="","",INT(A14687))</f>
        <v/>
      </c>
      <c r="D14687">
        <f>IF(B14687="","",HOUR(A14687))</f>
        <v/>
      </c>
    </row>
    <row r="14688">
      <c r="A14688">
        <f>Input!A14688</f>
        <v/>
      </c>
      <c r="B14688">
        <f>IF(ISNUMBER(Input!B14688),IF(AND(Input!B14688&gt;=20,Input!B14688&lt;=700),Input!B14688,""),"")</f>
        <v/>
      </c>
      <c r="C14688">
        <f>IF(B14688="","",INT(A14688))</f>
        <v/>
      </c>
      <c r="D14688">
        <f>IF(B14688="","",HOUR(A14688))</f>
        <v/>
      </c>
    </row>
    <row r="14689">
      <c r="A14689">
        <f>Input!A14689</f>
        <v/>
      </c>
      <c r="B14689">
        <f>IF(ISNUMBER(Input!B14689),IF(AND(Input!B14689&gt;=20,Input!B14689&lt;=700),Input!B14689,""),"")</f>
        <v/>
      </c>
      <c r="C14689">
        <f>IF(B14689="","",INT(A14689))</f>
        <v/>
      </c>
      <c r="D14689">
        <f>IF(B14689="","",HOUR(A14689))</f>
        <v/>
      </c>
    </row>
    <row r="14690">
      <c r="A14690">
        <f>Input!A14690</f>
        <v/>
      </c>
      <c r="B14690">
        <f>IF(ISNUMBER(Input!B14690),IF(AND(Input!B14690&gt;=20,Input!B14690&lt;=700),Input!B14690,""),"")</f>
        <v/>
      </c>
      <c r="C14690">
        <f>IF(B14690="","",INT(A14690))</f>
        <v/>
      </c>
      <c r="D14690">
        <f>IF(B14690="","",HOUR(A14690))</f>
        <v/>
      </c>
    </row>
    <row r="14691">
      <c r="A14691">
        <f>Input!A14691</f>
        <v/>
      </c>
      <c r="B14691">
        <f>IF(ISNUMBER(Input!B14691),IF(AND(Input!B14691&gt;=20,Input!B14691&lt;=700),Input!B14691,""),"")</f>
        <v/>
      </c>
      <c r="C14691">
        <f>IF(B14691="","",INT(A14691))</f>
        <v/>
      </c>
      <c r="D14691">
        <f>IF(B14691="","",HOUR(A14691))</f>
        <v/>
      </c>
    </row>
    <row r="14692">
      <c r="A14692">
        <f>Input!A14692</f>
        <v/>
      </c>
      <c r="B14692">
        <f>IF(ISNUMBER(Input!B14692),IF(AND(Input!B14692&gt;=20,Input!B14692&lt;=700),Input!B14692,""),"")</f>
        <v/>
      </c>
      <c r="C14692">
        <f>IF(B14692="","",INT(A14692))</f>
        <v/>
      </c>
      <c r="D14692">
        <f>IF(B14692="","",HOUR(A14692))</f>
        <v/>
      </c>
    </row>
    <row r="14693">
      <c r="A14693">
        <f>Input!A14693</f>
        <v/>
      </c>
      <c r="B14693">
        <f>IF(ISNUMBER(Input!B14693),IF(AND(Input!B14693&gt;=20,Input!B14693&lt;=700),Input!B14693,""),"")</f>
        <v/>
      </c>
      <c r="C14693">
        <f>IF(B14693="","",INT(A14693))</f>
        <v/>
      </c>
      <c r="D14693">
        <f>IF(B14693="","",HOUR(A14693))</f>
        <v/>
      </c>
    </row>
    <row r="14694">
      <c r="A14694">
        <f>Input!A14694</f>
        <v/>
      </c>
      <c r="B14694">
        <f>IF(ISNUMBER(Input!B14694),IF(AND(Input!B14694&gt;=20,Input!B14694&lt;=700),Input!B14694,""),"")</f>
        <v/>
      </c>
      <c r="C14694">
        <f>IF(B14694="","",INT(A14694))</f>
        <v/>
      </c>
      <c r="D14694">
        <f>IF(B14694="","",HOUR(A14694))</f>
        <v/>
      </c>
    </row>
    <row r="14695">
      <c r="A14695">
        <f>Input!A14695</f>
        <v/>
      </c>
      <c r="B14695">
        <f>IF(ISNUMBER(Input!B14695),IF(AND(Input!B14695&gt;=20,Input!B14695&lt;=700),Input!B14695,""),"")</f>
        <v/>
      </c>
      <c r="C14695">
        <f>IF(B14695="","",INT(A14695))</f>
        <v/>
      </c>
      <c r="D14695">
        <f>IF(B14695="","",HOUR(A14695))</f>
        <v/>
      </c>
    </row>
    <row r="14696">
      <c r="A14696">
        <f>Input!A14696</f>
        <v/>
      </c>
      <c r="B14696">
        <f>IF(ISNUMBER(Input!B14696),IF(AND(Input!B14696&gt;=20,Input!B14696&lt;=700),Input!B14696,""),"")</f>
        <v/>
      </c>
      <c r="C14696">
        <f>IF(B14696="","",INT(A14696))</f>
        <v/>
      </c>
      <c r="D14696">
        <f>IF(B14696="","",HOUR(A14696))</f>
        <v/>
      </c>
    </row>
    <row r="14697">
      <c r="A14697">
        <f>Input!A14697</f>
        <v/>
      </c>
      <c r="B14697">
        <f>IF(ISNUMBER(Input!B14697),IF(AND(Input!B14697&gt;=20,Input!B14697&lt;=700),Input!B14697,""),"")</f>
        <v/>
      </c>
      <c r="C14697">
        <f>IF(B14697="","",INT(A14697))</f>
        <v/>
      </c>
      <c r="D14697">
        <f>IF(B14697="","",HOUR(A14697))</f>
        <v/>
      </c>
    </row>
    <row r="14698">
      <c r="A14698">
        <f>Input!A14698</f>
        <v/>
      </c>
      <c r="B14698">
        <f>IF(ISNUMBER(Input!B14698),IF(AND(Input!B14698&gt;=20,Input!B14698&lt;=700),Input!B14698,""),"")</f>
        <v/>
      </c>
      <c r="C14698">
        <f>IF(B14698="","",INT(A14698))</f>
        <v/>
      </c>
      <c r="D14698">
        <f>IF(B14698="","",HOUR(A14698))</f>
        <v/>
      </c>
    </row>
    <row r="14699">
      <c r="A14699">
        <f>Input!A14699</f>
        <v/>
      </c>
      <c r="B14699">
        <f>IF(ISNUMBER(Input!B14699),IF(AND(Input!B14699&gt;=20,Input!B14699&lt;=700),Input!B14699,""),"")</f>
        <v/>
      </c>
      <c r="C14699">
        <f>IF(B14699="","",INT(A14699))</f>
        <v/>
      </c>
      <c r="D14699">
        <f>IF(B14699="","",HOUR(A14699))</f>
        <v/>
      </c>
    </row>
    <row r="14700">
      <c r="A14700">
        <f>Input!A14700</f>
        <v/>
      </c>
      <c r="B14700">
        <f>IF(ISNUMBER(Input!B14700),IF(AND(Input!B14700&gt;=20,Input!B14700&lt;=700),Input!B14700,""),"")</f>
        <v/>
      </c>
      <c r="C14700">
        <f>IF(B14700="","",INT(A14700))</f>
        <v/>
      </c>
      <c r="D14700">
        <f>IF(B14700="","",HOUR(A14700))</f>
        <v/>
      </c>
    </row>
    <row r="14701">
      <c r="A14701">
        <f>Input!A14701</f>
        <v/>
      </c>
      <c r="B14701">
        <f>IF(ISNUMBER(Input!B14701),IF(AND(Input!B14701&gt;=20,Input!B14701&lt;=700),Input!B14701,""),"")</f>
        <v/>
      </c>
      <c r="C14701">
        <f>IF(B14701="","",INT(A14701))</f>
        <v/>
      </c>
      <c r="D14701">
        <f>IF(B14701="","",HOUR(A14701))</f>
        <v/>
      </c>
    </row>
    <row r="14702">
      <c r="A14702">
        <f>Input!A14702</f>
        <v/>
      </c>
      <c r="B14702">
        <f>IF(ISNUMBER(Input!B14702),IF(AND(Input!B14702&gt;=20,Input!B14702&lt;=700),Input!B14702,""),"")</f>
        <v/>
      </c>
      <c r="C14702">
        <f>IF(B14702="","",INT(A14702))</f>
        <v/>
      </c>
      <c r="D14702">
        <f>IF(B14702="","",HOUR(A14702))</f>
        <v/>
      </c>
    </row>
    <row r="14703">
      <c r="A14703">
        <f>Input!A14703</f>
        <v/>
      </c>
      <c r="B14703">
        <f>IF(ISNUMBER(Input!B14703),IF(AND(Input!B14703&gt;=20,Input!B14703&lt;=700),Input!B14703,""),"")</f>
        <v/>
      </c>
      <c r="C14703">
        <f>IF(B14703="","",INT(A14703))</f>
        <v/>
      </c>
      <c r="D14703">
        <f>IF(B14703="","",HOUR(A14703))</f>
        <v/>
      </c>
    </row>
    <row r="14704">
      <c r="A14704">
        <f>Input!A14704</f>
        <v/>
      </c>
      <c r="B14704">
        <f>IF(ISNUMBER(Input!B14704),IF(AND(Input!B14704&gt;=20,Input!B14704&lt;=700),Input!B14704,""),"")</f>
        <v/>
      </c>
      <c r="C14704">
        <f>IF(B14704="","",INT(A14704))</f>
        <v/>
      </c>
      <c r="D14704">
        <f>IF(B14704="","",HOUR(A14704))</f>
        <v/>
      </c>
    </row>
    <row r="14705">
      <c r="A14705">
        <f>Input!A14705</f>
        <v/>
      </c>
      <c r="B14705">
        <f>IF(ISNUMBER(Input!B14705),IF(AND(Input!B14705&gt;=20,Input!B14705&lt;=700),Input!B14705,""),"")</f>
        <v/>
      </c>
      <c r="C14705">
        <f>IF(B14705="","",INT(A14705))</f>
        <v/>
      </c>
      <c r="D14705">
        <f>IF(B14705="","",HOUR(A14705))</f>
        <v/>
      </c>
    </row>
    <row r="14706">
      <c r="A14706">
        <f>Input!A14706</f>
        <v/>
      </c>
      <c r="B14706">
        <f>IF(ISNUMBER(Input!B14706),IF(AND(Input!B14706&gt;=20,Input!B14706&lt;=700),Input!B14706,""),"")</f>
        <v/>
      </c>
      <c r="C14706">
        <f>IF(B14706="","",INT(A14706))</f>
        <v/>
      </c>
      <c r="D14706">
        <f>IF(B14706="","",HOUR(A14706))</f>
        <v/>
      </c>
    </row>
    <row r="14707">
      <c r="A14707">
        <f>Input!A14707</f>
        <v/>
      </c>
      <c r="B14707">
        <f>IF(ISNUMBER(Input!B14707),IF(AND(Input!B14707&gt;=20,Input!B14707&lt;=700),Input!B14707,""),"")</f>
        <v/>
      </c>
      <c r="C14707">
        <f>IF(B14707="","",INT(A14707))</f>
        <v/>
      </c>
      <c r="D14707">
        <f>IF(B14707="","",HOUR(A14707))</f>
        <v/>
      </c>
    </row>
    <row r="14708">
      <c r="A14708">
        <f>Input!A14708</f>
        <v/>
      </c>
      <c r="B14708">
        <f>IF(ISNUMBER(Input!B14708),IF(AND(Input!B14708&gt;=20,Input!B14708&lt;=700),Input!B14708,""),"")</f>
        <v/>
      </c>
      <c r="C14708">
        <f>IF(B14708="","",INT(A14708))</f>
        <v/>
      </c>
      <c r="D14708">
        <f>IF(B14708="","",HOUR(A14708))</f>
        <v/>
      </c>
    </row>
    <row r="14709">
      <c r="A14709">
        <f>Input!A14709</f>
        <v/>
      </c>
      <c r="B14709">
        <f>IF(ISNUMBER(Input!B14709),IF(AND(Input!B14709&gt;=20,Input!B14709&lt;=700),Input!B14709,""),"")</f>
        <v/>
      </c>
      <c r="C14709">
        <f>IF(B14709="","",INT(A14709))</f>
        <v/>
      </c>
      <c r="D14709">
        <f>IF(B14709="","",HOUR(A14709))</f>
        <v/>
      </c>
    </row>
    <row r="14710">
      <c r="A14710">
        <f>Input!A14710</f>
        <v/>
      </c>
      <c r="B14710">
        <f>IF(ISNUMBER(Input!B14710),IF(AND(Input!B14710&gt;=20,Input!B14710&lt;=700),Input!B14710,""),"")</f>
        <v/>
      </c>
      <c r="C14710">
        <f>IF(B14710="","",INT(A14710))</f>
        <v/>
      </c>
      <c r="D14710">
        <f>IF(B14710="","",HOUR(A14710))</f>
        <v/>
      </c>
    </row>
    <row r="14711">
      <c r="A14711">
        <f>Input!A14711</f>
        <v/>
      </c>
      <c r="B14711">
        <f>IF(ISNUMBER(Input!B14711),IF(AND(Input!B14711&gt;=20,Input!B14711&lt;=700),Input!B14711,""),"")</f>
        <v/>
      </c>
      <c r="C14711">
        <f>IF(B14711="","",INT(A14711))</f>
        <v/>
      </c>
      <c r="D14711">
        <f>IF(B14711="","",HOUR(A14711))</f>
        <v/>
      </c>
    </row>
    <row r="14712">
      <c r="A14712">
        <f>Input!A14712</f>
        <v/>
      </c>
      <c r="B14712">
        <f>IF(ISNUMBER(Input!B14712),IF(AND(Input!B14712&gt;=20,Input!B14712&lt;=700),Input!B14712,""),"")</f>
        <v/>
      </c>
      <c r="C14712">
        <f>IF(B14712="","",INT(A14712))</f>
        <v/>
      </c>
      <c r="D14712">
        <f>IF(B14712="","",HOUR(A14712))</f>
        <v/>
      </c>
    </row>
    <row r="14713">
      <c r="A14713">
        <f>Input!A14713</f>
        <v/>
      </c>
      <c r="B14713">
        <f>IF(ISNUMBER(Input!B14713),IF(AND(Input!B14713&gt;=20,Input!B14713&lt;=700),Input!B14713,""),"")</f>
        <v/>
      </c>
      <c r="C14713">
        <f>IF(B14713="","",INT(A14713))</f>
        <v/>
      </c>
      <c r="D14713">
        <f>IF(B14713="","",HOUR(A14713))</f>
        <v/>
      </c>
    </row>
    <row r="14714">
      <c r="A14714">
        <f>Input!A14714</f>
        <v/>
      </c>
      <c r="B14714">
        <f>IF(ISNUMBER(Input!B14714),IF(AND(Input!B14714&gt;=20,Input!B14714&lt;=700),Input!B14714,""),"")</f>
        <v/>
      </c>
      <c r="C14714">
        <f>IF(B14714="","",INT(A14714))</f>
        <v/>
      </c>
      <c r="D14714">
        <f>IF(B14714="","",HOUR(A14714))</f>
        <v/>
      </c>
    </row>
    <row r="14715">
      <c r="A14715">
        <f>Input!A14715</f>
        <v/>
      </c>
      <c r="B14715">
        <f>IF(ISNUMBER(Input!B14715),IF(AND(Input!B14715&gt;=20,Input!B14715&lt;=700),Input!B14715,""),"")</f>
        <v/>
      </c>
      <c r="C14715">
        <f>IF(B14715="","",INT(A14715))</f>
        <v/>
      </c>
      <c r="D14715">
        <f>IF(B14715="","",HOUR(A14715))</f>
        <v/>
      </c>
    </row>
    <row r="14716">
      <c r="A14716">
        <f>Input!A14716</f>
        <v/>
      </c>
      <c r="B14716">
        <f>IF(ISNUMBER(Input!B14716),IF(AND(Input!B14716&gt;=20,Input!B14716&lt;=700),Input!B14716,""),"")</f>
        <v/>
      </c>
      <c r="C14716">
        <f>IF(B14716="","",INT(A14716))</f>
        <v/>
      </c>
      <c r="D14716">
        <f>IF(B14716="","",HOUR(A14716))</f>
        <v/>
      </c>
    </row>
    <row r="14717">
      <c r="A14717">
        <f>Input!A14717</f>
        <v/>
      </c>
      <c r="B14717">
        <f>IF(ISNUMBER(Input!B14717),IF(AND(Input!B14717&gt;=20,Input!B14717&lt;=700),Input!B14717,""),"")</f>
        <v/>
      </c>
      <c r="C14717">
        <f>IF(B14717="","",INT(A14717))</f>
        <v/>
      </c>
      <c r="D14717">
        <f>IF(B14717="","",HOUR(A14717))</f>
        <v/>
      </c>
    </row>
    <row r="14718">
      <c r="A14718">
        <f>Input!A14718</f>
        <v/>
      </c>
      <c r="B14718">
        <f>IF(ISNUMBER(Input!B14718),IF(AND(Input!B14718&gt;=20,Input!B14718&lt;=700),Input!B14718,""),"")</f>
        <v/>
      </c>
      <c r="C14718">
        <f>IF(B14718="","",INT(A14718))</f>
        <v/>
      </c>
      <c r="D14718">
        <f>IF(B14718="","",HOUR(A14718))</f>
        <v/>
      </c>
    </row>
    <row r="14719">
      <c r="A14719">
        <f>Input!A14719</f>
        <v/>
      </c>
      <c r="B14719">
        <f>IF(ISNUMBER(Input!B14719),IF(AND(Input!B14719&gt;=20,Input!B14719&lt;=700),Input!B14719,""),"")</f>
        <v/>
      </c>
      <c r="C14719">
        <f>IF(B14719="","",INT(A14719))</f>
        <v/>
      </c>
      <c r="D14719">
        <f>IF(B14719="","",HOUR(A14719))</f>
        <v/>
      </c>
    </row>
    <row r="14720">
      <c r="A14720">
        <f>Input!A14720</f>
        <v/>
      </c>
      <c r="B14720">
        <f>IF(ISNUMBER(Input!B14720),IF(AND(Input!B14720&gt;=20,Input!B14720&lt;=700),Input!B14720,""),"")</f>
        <v/>
      </c>
      <c r="C14720">
        <f>IF(B14720="","",INT(A14720))</f>
        <v/>
      </c>
      <c r="D14720">
        <f>IF(B14720="","",HOUR(A14720))</f>
        <v/>
      </c>
    </row>
    <row r="14721">
      <c r="A14721">
        <f>Input!A14721</f>
        <v/>
      </c>
      <c r="B14721">
        <f>IF(ISNUMBER(Input!B14721),IF(AND(Input!B14721&gt;=20,Input!B14721&lt;=700),Input!B14721,""),"")</f>
        <v/>
      </c>
      <c r="C14721">
        <f>IF(B14721="","",INT(A14721))</f>
        <v/>
      </c>
      <c r="D14721">
        <f>IF(B14721="","",HOUR(A14721))</f>
        <v/>
      </c>
    </row>
    <row r="14722">
      <c r="A14722">
        <f>Input!A14722</f>
        <v/>
      </c>
      <c r="B14722">
        <f>IF(ISNUMBER(Input!B14722),IF(AND(Input!B14722&gt;=20,Input!B14722&lt;=700),Input!B14722,""),"")</f>
        <v/>
      </c>
      <c r="C14722">
        <f>IF(B14722="","",INT(A14722))</f>
        <v/>
      </c>
      <c r="D14722">
        <f>IF(B14722="","",HOUR(A14722))</f>
        <v/>
      </c>
    </row>
    <row r="14723">
      <c r="A14723">
        <f>Input!A14723</f>
        <v/>
      </c>
      <c r="B14723">
        <f>IF(ISNUMBER(Input!B14723),IF(AND(Input!B14723&gt;=20,Input!B14723&lt;=700),Input!B14723,""),"")</f>
        <v/>
      </c>
      <c r="C14723">
        <f>IF(B14723="","",INT(A14723))</f>
        <v/>
      </c>
      <c r="D14723">
        <f>IF(B14723="","",HOUR(A14723))</f>
        <v/>
      </c>
    </row>
    <row r="14724">
      <c r="A14724">
        <f>Input!A14724</f>
        <v/>
      </c>
      <c r="B14724">
        <f>IF(ISNUMBER(Input!B14724),IF(AND(Input!B14724&gt;=20,Input!B14724&lt;=700),Input!B14724,""),"")</f>
        <v/>
      </c>
      <c r="C14724">
        <f>IF(B14724="","",INT(A14724))</f>
        <v/>
      </c>
      <c r="D14724">
        <f>IF(B14724="","",HOUR(A14724))</f>
        <v/>
      </c>
    </row>
    <row r="14725">
      <c r="A14725">
        <f>Input!A14725</f>
        <v/>
      </c>
      <c r="B14725">
        <f>IF(ISNUMBER(Input!B14725),IF(AND(Input!B14725&gt;=20,Input!B14725&lt;=700),Input!B14725,""),"")</f>
        <v/>
      </c>
      <c r="C14725">
        <f>IF(B14725="","",INT(A14725))</f>
        <v/>
      </c>
      <c r="D14725">
        <f>IF(B14725="","",HOUR(A14725))</f>
        <v/>
      </c>
    </row>
    <row r="14726">
      <c r="A14726">
        <f>Input!A14726</f>
        <v/>
      </c>
      <c r="B14726">
        <f>IF(ISNUMBER(Input!B14726),IF(AND(Input!B14726&gt;=20,Input!B14726&lt;=700),Input!B14726,""),"")</f>
        <v/>
      </c>
      <c r="C14726">
        <f>IF(B14726="","",INT(A14726))</f>
        <v/>
      </c>
      <c r="D14726">
        <f>IF(B14726="","",HOUR(A14726))</f>
        <v/>
      </c>
    </row>
    <row r="14727">
      <c r="A14727">
        <f>Input!A14727</f>
        <v/>
      </c>
      <c r="B14727">
        <f>IF(ISNUMBER(Input!B14727),IF(AND(Input!B14727&gt;=20,Input!B14727&lt;=700),Input!B14727,""),"")</f>
        <v/>
      </c>
      <c r="C14727">
        <f>IF(B14727="","",INT(A14727))</f>
        <v/>
      </c>
      <c r="D14727">
        <f>IF(B14727="","",HOUR(A14727))</f>
        <v/>
      </c>
    </row>
    <row r="14728">
      <c r="A14728">
        <f>Input!A14728</f>
        <v/>
      </c>
      <c r="B14728">
        <f>IF(ISNUMBER(Input!B14728),IF(AND(Input!B14728&gt;=20,Input!B14728&lt;=700),Input!B14728,""),"")</f>
        <v/>
      </c>
      <c r="C14728">
        <f>IF(B14728="","",INT(A14728))</f>
        <v/>
      </c>
      <c r="D14728">
        <f>IF(B14728="","",HOUR(A14728))</f>
        <v/>
      </c>
    </row>
    <row r="14729">
      <c r="A14729">
        <f>Input!A14729</f>
        <v/>
      </c>
      <c r="B14729">
        <f>IF(ISNUMBER(Input!B14729),IF(AND(Input!B14729&gt;=20,Input!B14729&lt;=700),Input!B14729,""),"")</f>
        <v/>
      </c>
      <c r="C14729">
        <f>IF(B14729="","",INT(A14729))</f>
        <v/>
      </c>
      <c r="D14729">
        <f>IF(B14729="","",HOUR(A14729))</f>
        <v/>
      </c>
    </row>
    <row r="14730">
      <c r="A14730">
        <f>Input!A14730</f>
        <v/>
      </c>
      <c r="B14730">
        <f>IF(ISNUMBER(Input!B14730),IF(AND(Input!B14730&gt;=20,Input!B14730&lt;=700),Input!B14730,""),"")</f>
        <v/>
      </c>
      <c r="C14730">
        <f>IF(B14730="","",INT(A14730))</f>
        <v/>
      </c>
      <c r="D14730">
        <f>IF(B14730="","",HOUR(A14730))</f>
        <v/>
      </c>
    </row>
    <row r="14731">
      <c r="A14731">
        <f>Input!A14731</f>
        <v/>
      </c>
      <c r="B14731">
        <f>IF(ISNUMBER(Input!B14731),IF(AND(Input!B14731&gt;=20,Input!B14731&lt;=700),Input!B14731,""),"")</f>
        <v/>
      </c>
      <c r="C14731">
        <f>IF(B14731="","",INT(A14731))</f>
        <v/>
      </c>
      <c r="D14731">
        <f>IF(B14731="","",HOUR(A14731))</f>
        <v/>
      </c>
    </row>
    <row r="14732">
      <c r="A14732">
        <f>Input!A14732</f>
        <v/>
      </c>
      <c r="B14732">
        <f>IF(ISNUMBER(Input!B14732),IF(AND(Input!B14732&gt;=20,Input!B14732&lt;=700),Input!B14732,""),"")</f>
        <v/>
      </c>
      <c r="C14732">
        <f>IF(B14732="","",INT(A14732))</f>
        <v/>
      </c>
      <c r="D14732">
        <f>IF(B14732="","",HOUR(A14732))</f>
        <v/>
      </c>
    </row>
    <row r="14733">
      <c r="A14733">
        <f>Input!A14733</f>
        <v/>
      </c>
      <c r="B14733">
        <f>IF(ISNUMBER(Input!B14733),IF(AND(Input!B14733&gt;=20,Input!B14733&lt;=700),Input!B14733,""),"")</f>
        <v/>
      </c>
      <c r="C14733">
        <f>IF(B14733="","",INT(A14733))</f>
        <v/>
      </c>
      <c r="D14733">
        <f>IF(B14733="","",HOUR(A14733))</f>
        <v/>
      </c>
    </row>
    <row r="14734">
      <c r="A14734">
        <f>Input!A14734</f>
        <v/>
      </c>
      <c r="B14734">
        <f>IF(ISNUMBER(Input!B14734),IF(AND(Input!B14734&gt;=20,Input!B14734&lt;=700),Input!B14734,""),"")</f>
        <v/>
      </c>
      <c r="C14734">
        <f>IF(B14734="","",INT(A14734))</f>
        <v/>
      </c>
      <c r="D14734">
        <f>IF(B14734="","",HOUR(A14734))</f>
        <v/>
      </c>
    </row>
    <row r="14735">
      <c r="A14735">
        <f>Input!A14735</f>
        <v/>
      </c>
      <c r="B14735">
        <f>IF(ISNUMBER(Input!B14735),IF(AND(Input!B14735&gt;=20,Input!B14735&lt;=700),Input!B14735,""),"")</f>
        <v/>
      </c>
      <c r="C14735">
        <f>IF(B14735="","",INT(A14735))</f>
        <v/>
      </c>
      <c r="D14735">
        <f>IF(B14735="","",HOUR(A14735))</f>
        <v/>
      </c>
    </row>
    <row r="14736">
      <c r="A14736">
        <f>Input!A14736</f>
        <v/>
      </c>
      <c r="B14736">
        <f>IF(ISNUMBER(Input!B14736),IF(AND(Input!B14736&gt;=20,Input!B14736&lt;=700),Input!B14736,""),"")</f>
        <v/>
      </c>
      <c r="C14736">
        <f>IF(B14736="","",INT(A14736))</f>
        <v/>
      </c>
      <c r="D14736">
        <f>IF(B14736="","",HOUR(A14736))</f>
        <v/>
      </c>
    </row>
    <row r="14737">
      <c r="A14737">
        <f>Input!A14737</f>
        <v/>
      </c>
      <c r="B14737">
        <f>IF(ISNUMBER(Input!B14737),IF(AND(Input!B14737&gt;=20,Input!B14737&lt;=700),Input!B14737,""),"")</f>
        <v/>
      </c>
      <c r="C14737">
        <f>IF(B14737="","",INT(A14737))</f>
        <v/>
      </c>
      <c r="D14737">
        <f>IF(B14737="","",HOUR(A14737))</f>
        <v/>
      </c>
    </row>
    <row r="14738">
      <c r="A14738">
        <f>Input!A14738</f>
        <v/>
      </c>
      <c r="B14738">
        <f>IF(ISNUMBER(Input!B14738),IF(AND(Input!B14738&gt;=20,Input!B14738&lt;=700),Input!B14738,""),"")</f>
        <v/>
      </c>
      <c r="C14738">
        <f>IF(B14738="","",INT(A14738))</f>
        <v/>
      </c>
      <c r="D14738">
        <f>IF(B14738="","",HOUR(A14738))</f>
        <v/>
      </c>
    </row>
    <row r="14739">
      <c r="A14739">
        <f>Input!A14739</f>
        <v/>
      </c>
      <c r="B14739">
        <f>IF(ISNUMBER(Input!B14739),IF(AND(Input!B14739&gt;=20,Input!B14739&lt;=700),Input!B14739,""),"")</f>
        <v/>
      </c>
      <c r="C14739">
        <f>IF(B14739="","",INT(A14739))</f>
        <v/>
      </c>
      <c r="D14739">
        <f>IF(B14739="","",HOUR(A14739))</f>
        <v/>
      </c>
    </row>
    <row r="14740">
      <c r="A14740">
        <f>Input!A14740</f>
        <v/>
      </c>
      <c r="B14740">
        <f>IF(ISNUMBER(Input!B14740),IF(AND(Input!B14740&gt;=20,Input!B14740&lt;=700),Input!B14740,""),"")</f>
        <v/>
      </c>
      <c r="C14740">
        <f>IF(B14740="","",INT(A14740))</f>
        <v/>
      </c>
      <c r="D14740">
        <f>IF(B14740="","",HOUR(A14740))</f>
        <v/>
      </c>
    </row>
    <row r="14741">
      <c r="A14741">
        <f>Input!A14741</f>
        <v/>
      </c>
      <c r="B14741">
        <f>IF(ISNUMBER(Input!B14741),IF(AND(Input!B14741&gt;=20,Input!B14741&lt;=700),Input!B14741,""),"")</f>
        <v/>
      </c>
      <c r="C14741">
        <f>IF(B14741="","",INT(A14741))</f>
        <v/>
      </c>
      <c r="D14741">
        <f>IF(B14741="","",HOUR(A14741))</f>
        <v/>
      </c>
    </row>
    <row r="14742">
      <c r="A14742">
        <f>Input!A14742</f>
        <v/>
      </c>
      <c r="B14742">
        <f>IF(ISNUMBER(Input!B14742),IF(AND(Input!B14742&gt;=20,Input!B14742&lt;=700),Input!B14742,""),"")</f>
        <v/>
      </c>
      <c r="C14742">
        <f>IF(B14742="","",INT(A14742))</f>
        <v/>
      </c>
      <c r="D14742">
        <f>IF(B14742="","",HOUR(A14742))</f>
        <v/>
      </c>
    </row>
    <row r="14743">
      <c r="A14743">
        <f>Input!A14743</f>
        <v/>
      </c>
      <c r="B14743">
        <f>IF(ISNUMBER(Input!B14743),IF(AND(Input!B14743&gt;=20,Input!B14743&lt;=700),Input!B14743,""),"")</f>
        <v/>
      </c>
      <c r="C14743">
        <f>IF(B14743="","",INT(A14743))</f>
        <v/>
      </c>
      <c r="D14743">
        <f>IF(B14743="","",HOUR(A14743))</f>
        <v/>
      </c>
    </row>
    <row r="14744">
      <c r="A14744">
        <f>Input!A14744</f>
        <v/>
      </c>
      <c r="B14744">
        <f>IF(ISNUMBER(Input!B14744),IF(AND(Input!B14744&gt;=20,Input!B14744&lt;=700),Input!B14744,""),"")</f>
        <v/>
      </c>
      <c r="C14744">
        <f>IF(B14744="","",INT(A14744))</f>
        <v/>
      </c>
      <c r="D14744">
        <f>IF(B14744="","",HOUR(A14744))</f>
        <v/>
      </c>
    </row>
    <row r="14745">
      <c r="A14745">
        <f>Input!A14745</f>
        <v/>
      </c>
      <c r="B14745">
        <f>IF(ISNUMBER(Input!B14745),IF(AND(Input!B14745&gt;=20,Input!B14745&lt;=700),Input!B14745,""),"")</f>
        <v/>
      </c>
      <c r="C14745">
        <f>IF(B14745="","",INT(A14745))</f>
        <v/>
      </c>
      <c r="D14745">
        <f>IF(B14745="","",HOUR(A14745))</f>
        <v/>
      </c>
    </row>
    <row r="14746">
      <c r="A14746">
        <f>Input!A14746</f>
        <v/>
      </c>
      <c r="B14746">
        <f>IF(ISNUMBER(Input!B14746),IF(AND(Input!B14746&gt;=20,Input!B14746&lt;=700),Input!B14746,""),"")</f>
        <v/>
      </c>
      <c r="C14746">
        <f>IF(B14746="","",INT(A14746))</f>
        <v/>
      </c>
      <c r="D14746">
        <f>IF(B14746="","",HOUR(A14746))</f>
        <v/>
      </c>
    </row>
    <row r="14747">
      <c r="A14747">
        <f>Input!A14747</f>
        <v/>
      </c>
      <c r="B14747">
        <f>IF(ISNUMBER(Input!B14747),IF(AND(Input!B14747&gt;=20,Input!B14747&lt;=700),Input!B14747,""),"")</f>
        <v/>
      </c>
      <c r="C14747">
        <f>IF(B14747="","",INT(A14747))</f>
        <v/>
      </c>
      <c r="D14747">
        <f>IF(B14747="","",HOUR(A14747))</f>
        <v/>
      </c>
    </row>
    <row r="14748">
      <c r="A14748">
        <f>Input!A14748</f>
        <v/>
      </c>
      <c r="B14748">
        <f>IF(ISNUMBER(Input!B14748),IF(AND(Input!B14748&gt;=20,Input!B14748&lt;=700),Input!B14748,""),"")</f>
        <v/>
      </c>
      <c r="C14748">
        <f>IF(B14748="","",INT(A14748))</f>
        <v/>
      </c>
      <c r="D14748">
        <f>IF(B14748="","",HOUR(A14748))</f>
        <v/>
      </c>
    </row>
    <row r="14749">
      <c r="A14749">
        <f>Input!A14749</f>
        <v/>
      </c>
      <c r="B14749">
        <f>IF(ISNUMBER(Input!B14749),IF(AND(Input!B14749&gt;=20,Input!B14749&lt;=700),Input!B14749,""),"")</f>
        <v/>
      </c>
      <c r="C14749">
        <f>IF(B14749="","",INT(A14749))</f>
        <v/>
      </c>
      <c r="D14749">
        <f>IF(B14749="","",HOUR(A14749))</f>
        <v/>
      </c>
    </row>
    <row r="14750">
      <c r="A14750">
        <f>Input!A14750</f>
        <v/>
      </c>
      <c r="B14750">
        <f>IF(ISNUMBER(Input!B14750),IF(AND(Input!B14750&gt;=20,Input!B14750&lt;=700),Input!B14750,""),"")</f>
        <v/>
      </c>
      <c r="C14750">
        <f>IF(B14750="","",INT(A14750))</f>
        <v/>
      </c>
      <c r="D14750">
        <f>IF(B14750="","",HOUR(A14750))</f>
        <v/>
      </c>
    </row>
    <row r="14751">
      <c r="A14751">
        <f>Input!A14751</f>
        <v/>
      </c>
      <c r="B14751">
        <f>IF(ISNUMBER(Input!B14751),IF(AND(Input!B14751&gt;=20,Input!B14751&lt;=700),Input!B14751,""),"")</f>
        <v/>
      </c>
      <c r="C14751">
        <f>IF(B14751="","",INT(A14751))</f>
        <v/>
      </c>
      <c r="D14751">
        <f>IF(B14751="","",HOUR(A14751))</f>
        <v/>
      </c>
    </row>
    <row r="14752">
      <c r="A14752">
        <f>Input!A14752</f>
        <v/>
      </c>
      <c r="B14752">
        <f>IF(ISNUMBER(Input!B14752),IF(AND(Input!B14752&gt;=20,Input!B14752&lt;=700),Input!B14752,""),"")</f>
        <v/>
      </c>
      <c r="C14752">
        <f>IF(B14752="","",INT(A14752))</f>
        <v/>
      </c>
      <c r="D14752">
        <f>IF(B14752="","",HOUR(A14752))</f>
        <v/>
      </c>
    </row>
    <row r="14753">
      <c r="A14753">
        <f>Input!A14753</f>
        <v/>
      </c>
      <c r="B14753">
        <f>IF(ISNUMBER(Input!B14753),IF(AND(Input!B14753&gt;=20,Input!B14753&lt;=700),Input!B14753,""),"")</f>
        <v/>
      </c>
      <c r="C14753">
        <f>IF(B14753="","",INT(A14753))</f>
        <v/>
      </c>
      <c r="D14753">
        <f>IF(B14753="","",HOUR(A14753))</f>
        <v/>
      </c>
    </row>
    <row r="14754">
      <c r="A14754">
        <f>Input!A14754</f>
        <v/>
      </c>
      <c r="B14754">
        <f>IF(ISNUMBER(Input!B14754),IF(AND(Input!B14754&gt;=20,Input!B14754&lt;=700),Input!B14754,""),"")</f>
        <v/>
      </c>
      <c r="C14754">
        <f>IF(B14754="","",INT(A14754))</f>
        <v/>
      </c>
      <c r="D14754">
        <f>IF(B14754="","",HOUR(A14754))</f>
        <v/>
      </c>
    </row>
    <row r="14755">
      <c r="A14755">
        <f>Input!A14755</f>
        <v/>
      </c>
      <c r="B14755">
        <f>IF(ISNUMBER(Input!B14755),IF(AND(Input!B14755&gt;=20,Input!B14755&lt;=700),Input!B14755,""),"")</f>
        <v/>
      </c>
      <c r="C14755">
        <f>IF(B14755="","",INT(A14755))</f>
        <v/>
      </c>
      <c r="D14755">
        <f>IF(B14755="","",HOUR(A14755))</f>
        <v/>
      </c>
    </row>
    <row r="14756">
      <c r="A14756">
        <f>Input!A14756</f>
        <v/>
      </c>
      <c r="B14756">
        <f>IF(ISNUMBER(Input!B14756),IF(AND(Input!B14756&gt;=20,Input!B14756&lt;=700),Input!B14756,""),"")</f>
        <v/>
      </c>
      <c r="C14756">
        <f>IF(B14756="","",INT(A14756))</f>
        <v/>
      </c>
      <c r="D14756">
        <f>IF(B14756="","",HOUR(A14756))</f>
        <v/>
      </c>
    </row>
    <row r="14757">
      <c r="A14757">
        <f>Input!A14757</f>
        <v/>
      </c>
      <c r="B14757">
        <f>IF(ISNUMBER(Input!B14757),IF(AND(Input!B14757&gt;=20,Input!B14757&lt;=700),Input!B14757,""),"")</f>
        <v/>
      </c>
      <c r="C14757">
        <f>IF(B14757="","",INT(A14757))</f>
        <v/>
      </c>
      <c r="D14757">
        <f>IF(B14757="","",HOUR(A14757))</f>
        <v/>
      </c>
    </row>
    <row r="14758">
      <c r="A14758">
        <f>Input!A14758</f>
        <v/>
      </c>
      <c r="B14758">
        <f>IF(ISNUMBER(Input!B14758),IF(AND(Input!B14758&gt;=20,Input!B14758&lt;=700),Input!B14758,""),"")</f>
        <v/>
      </c>
      <c r="C14758">
        <f>IF(B14758="","",INT(A14758))</f>
        <v/>
      </c>
      <c r="D14758">
        <f>IF(B14758="","",HOUR(A14758))</f>
        <v/>
      </c>
    </row>
    <row r="14759">
      <c r="A14759">
        <f>Input!A14759</f>
        <v/>
      </c>
      <c r="B14759">
        <f>IF(ISNUMBER(Input!B14759),IF(AND(Input!B14759&gt;=20,Input!B14759&lt;=700),Input!B14759,""),"")</f>
        <v/>
      </c>
      <c r="C14759">
        <f>IF(B14759="","",INT(A14759))</f>
        <v/>
      </c>
      <c r="D14759">
        <f>IF(B14759="","",HOUR(A14759))</f>
        <v/>
      </c>
    </row>
    <row r="14760">
      <c r="A14760">
        <f>Input!A14760</f>
        <v/>
      </c>
      <c r="B14760">
        <f>IF(ISNUMBER(Input!B14760),IF(AND(Input!B14760&gt;=20,Input!B14760&lt;=700),Input!B14760,""),"")</f>
        <v/>
      </c>
      <c r="C14760">
        <f>IF(B14760="","",INT(A14760))</f>
        <v/>
      </c>
      <c r="D14760">
        <f>IF(B14760="","",HOUR(A14760))</f>
        <v/>
      </c>
    </row>
    <row r="14761">
      <c r="A14761">
        <f>Input!A14761</f>
        <v/>
      </c>
      <c r="B14761">
        <f>IF(ISNUMBER(Input!B14761),IF(AND(Input!B14761&gt;=20,Input!B14761&lt;=700),Input!B14761,""),"")</f>
        <v/>
      </c>
      <c r="C14761">
        <f>IF(B14761="","",INT(A14761))</f>
        <v/>
      </c>
      <c r="D14761">
        <f>IF(B14761="","",HOUR(A14761))</f>
        <v/>
      </c>
    </row>
    <row r="14762">
      <c r="A14762">
        <f>Input!A14762</f>
        <v/>
      </c>
      <c r="B14762">
        <f>IF(ISNUMBER(Input!B14762),IF(AND(Input!B14762&gt;=20,Input!B14762&lt;=700),Input!B14762,""),"")</f>
        <v/>
      </c>
      <c r="C14762">
        <f>IF(B14762="","",INT(A14762))</f>
        <v/>
      </c>
      <c r="D14762">
        <f>IF(B14762="","",HOUR(A14762))</f>
        <v/>
      </c>
    </row>
    <row r="14763">
      <c r="A14763">
        <f>Input!A14763</f>
        <v/>
      </c>
      <c r="B14763">
        <f>IF(ISNUMBER(Input!B14763),IF(AND(Input!B14763&gt;=20,Input!B14763&lt;=700),Input!B14763,""),"")</f>
        <v/>
      </c>
      <c r="C14763">
        <f>IF(B14763="","",INT(A14763))</f>
        <v/>
      </c>
      <c r="D14763">
        <f>IF(B14763="","",HOUR(A14763))</f>
        <v/>
      </c>
    </row>
    <row r="14764">
      <c r="A14764">
        <f>Input!A14764</f>
        <v/>
      </c>
      <c r="B14764">
        <f>IF(ISNUMBER(Input!B14764),IF(AND(Input!B14764&gt;=20,Input!B14764&lt;=700),Input!B14764,""),"")</f>
        <v/>
      </c>
      <c r="C14764">
        <f>IF(B14764="","",INT(A14764))</f>
        <v/>
      </c>
      <c r="D14764">
        <f>IF(B14764="","",HOUR(A14764))</f>
        <v/>
      </c>
    </row>
    <row r="14765">
      <c r="A14765">
        <f>Input!A14765</f>
        <v/>
      </c>
      <c r="B14765">
        <f>IF(ISNUMBER(Input!B14765),IF(AND(Input!B14765&gt;=20,Input!B14765&lt;=700),Input!B14765,""),"")</f>
        <v/>
      </c>
      <c r="C14765">
        <f>IF(B14765="","",INT(A14765))</f>
        <v/>
      </c>
      <c r="D14765">
        <f>IF(B14765="","",HOUR(A14765))</f>
        <v/>
      </c>
    </row>
    <row r="14766">
      <c r="A14766">
        <f>Input!A14766</f>
        <v/>
      </c>
      <c r="B14766">
        <f>IF(ISNUMBER(Input!B14766),IF(AND(Input!B14766&gt;=20,Input!B14766&lt;=700),Input!B14766,""),"")</f>
        <v/>
      </c>
      <c r="C14766">
        <f>IF(B14766="","",INT(A14766))</f>
        <v/>
      </c>
      <c r="D14766">
        <f>IF(B14766="","",HOUR(A14766))</f>
        <v/>
      </c>
    </row>
    <row r="14767">
      <c r="A14767">
        <f>Input!A14767</f>
        <v/>
      </c>
      <c r="B14767">
        <f>IF(ISNUMBER(Input!B14767),IF(AND(Input!B14767&gt;=20,Input!B14767&lt;=700),Input!B14767,""),"")</f>
        <v/>
      </c>
      <c r="C14767">
        <f>IF(B14767="","",INT(A14767))</f>
        <v/>
      </c>
      <c r="D14767">
        <f>IF(B14767="","",HOUR(A14767))</f>
        <v/>
      </c>
    </row>
    <row r="14768">
      <c r="A14768">
        <f>Input!A14768</f>
        <v/>
      </c>
      <c r="B14768">
        <f>IF(ISNUMBER(Input!B14768),IF(AND(Input!B14768&gt;=20,Input!B14768&lt;=700),Input!B14768,""),"")</f>
        <v/>
      </c>
      <c r="C14768">
        <f>IF(B14768="","",INT(A14768))</f>
        <v/>
      </c>
      <c r="D14768">
        <f>IF(B14768="","",HOUR(A14768))</f>
        <v/>
      </c>
    </row>
    <row r="14769">
      <c r="A14769">
        <f>Input!A14769</f>
        <v/>
      </c>
      <c r="B14769">
        <f>IF(ISNUMBER(Input!B14769),IF(AND(Input!B14769&gt;=20,Input!B14769&lt;=700),Input!B14769,""),"")</f>
        <v/>
      </c>
      <c r="C14769">
        <f>IF(B14769="","",INT(A14769))</f>
        <v/>
      </c>
      <c r="D14769">
        <f>IF(B14769="","",HOUR(A14769))</f>
        <v/>
      </c>
    </row>
    <row r="14770">
      <c r="A14770">
        <f>Input!A14770</f>
        <v/>
      </c>
      <c r="B14770">
        <f>IF(ISNUMBER(Input!B14770),IF(AND(Input!B14770&gt;=20,Input!B14770&lt;=700),Input!B14770,""),"")</f>
        <v/>
      </c>
      <c r="C14770">
        <f>IF(B14770="","",INT(A14770))</f>
        <v/>
      </c>
      <c r="D14770">
        <f>IF(B14770="","",HOUR(A14770))</f>
        <v/>
      </c>
    </row>
    <row r="14771">
      <c r="A14771">
        <f>Input!A14771</f>
        <v/>
      </c>
      <c r="B14771">
        <f>IF(ISNUMBER(Input!B14771),IF(AND(Input!B14771&gt;=20,Input!B14771&lt;=700),Input!B14771,""),"")</f>
        <v/>
      </c>
      <c r="C14771">
        <f>IF(B14771="","",INT(A14771))</f>
        <v/>
      </c>
      <c r="D14771">
        <f>IF(B14771="","",HOUR(A14771))</f>
        <v/>
      </c>
    </row>
    <row r="14772">
      <c r="A14772">
        <f>Input!A14772</f>
        <v/>
      </c>
      <c r="B14772">
        <f>IF(ISNUMBER(Input!B14772),IF(AND(Input!B14772&gt;=20,Input!B14772&lt;=700),Input!B14772,""),"")</f>
        <v/>
      </c>
      <c r="C14772">
        <f>IF(B14772="","",INT(A14772))</f>
        <v/>
      </c>
      <c r="D14772">
        <f>IF(B14772="","",HOUR(A14772))</f>
        <v/>
      </c>
    </row>
    <row r="14773">
      <c r="A14773">
        <f>Input!A14773</f>
        <v/>
      </c>
      <c r="B14773">
        <f>IF(ISNUMBER(Input!B14773),IF(AND(Input!B14773&gt;=20,Input!B14773&lt;=700),Input!B14773,""),"")</f>
        <v/>
      </c>
      <c r="C14773">
        <f>IF(B14773="","",INT(A14773))</f>
        <v/>
      </c>
      <c r="D14773">
        <f>IF(B14773="","",HOUR(A14773))</f>
        <v/>
      </c>
    </row>
    <row r="14774">
      <c r="A14774">
        <f>Input!A14774</f>
        <v/>
      </c>
      <c r="B14774">
        <f>IF(ISNUMBER(Input!B14774),IF(AND(Input!B14774&gt;=20,Input!B14774&lt;=700),Input!B14774,""),"")</f>
        <v/>
      </c>
      <c r="C14774">
        <f>IF(B14774="","",INT(A14774))</f>
        <v/>
      </c>
      <c r="D14774">
        <f>IF(B14774="","",HOUR(A14774))</f>
        <v/>
      </c>
    </row>
    <row r="14775">
      <c r="A14775">
        <f>Input!A14775</f>
        <v/>
      </c>
      <c r="B14775">
        <f>IF(ISNUMBER(Input!B14775),IF(AND(Input!B14775&gt;=20,Input!B14775&lt;=700),Input!B14775,""),"")</f>
        <v/>
      </c>
      <c r="C14775">
        <f>IF(B14775="","",INT(A14775))</f>
        <v/>
      </c>
      <c r="D14775">
        <f>IF(B14775="","",HOUR(A14775))</f>
        <v/>
      </c>
    </row>
    <row r="14776">
      <c r="A14776">
        <f>Input!A14776</f>
        <v/>
      </c>
      <c r="B14776">
        <f>IF(ISNUMBER(Input!B14776),IF(AND(Input!B14776&gt;=20,Input!B14776&lt;=700),Input!B14776,""),"")</f>
        <v/>
      </c>
      <c r="C14776">
        <f>IF(B14776="","",INT(A14776))</f>
        <v/>
      </c>
      <c r="D14776">
        <f>IF(B14776="","",HOUR(A14776))</f>
        <v/>
      </c>
    </row>
    <row r="14777">
      <c r="A14777">
        <f>Input!A14777</f>
        <v/>
      </c>
      <c r="B14777">
        <f>IF(ISNUMBER(Input!B14777),IF(AND(Input!B14777&gt;=20,Input!B14777&lt;=700),Input!B14777,""),"")</f>
        <v/>
      </c>
      <c r="C14777">
        <f>IF(B14777="","",INT(A14777))</f>
        <v/>
      </c>
      <c r="D14777">
        <f>IF(B14777="","",HOUR(A14777))</f>
        <v/>
      </c>
    </row>
    <row r="14778">
      <c r="A14778">
        <f>Input!A14778</f>
        <v/>
      </c>
      <c r="B14778">
        <f>IF(ISNUMBER(Input!B14778),IF(AND(Input!B14778&gt;=20,Input!B14778&lt;=700),Input!B14778,""),"")</f>
        <v/>
      </c>
      <c r="C14778">
        <f>IF(B14778="","",INT(A14778))</f>
        <v/>
      </c>
      <c r="D14778">
        <f>IF(B14778="","",HOUR(A14778))</f>
        <v/>
      </c>
    </row>
    <row r="14779">
      <c r="A14779">
        <f>Input!A14779</f>
        <v/>
      </c>
      <c r="B14779">
        <f>IF(ISNUMBER(Input!B14779),IF(AND(Input!B14779&gt;=20,Input!B14779&lt;=700),Input!B14779,""),"")</f>
        <v/>
      </c>
      <c r="C14779">
        <f>IF(B14779="","",INT(A14779))</f>
        <v/>
      </c>
      <c r="D14779">
        <f>IF(B14779="","",HOUR(A14779))</f>
        <v/>
      </c>
    </row>
    <row r="14780">
      <c r="A14780">
        <f>Input!A14780</f>
        <v/>
      </c>
      <c r="B14780">
        <f>IF(ISNUMBER(Input!B14780),IF(AND(Input!B14780&gt;=20,Input!B14780&lt;=700),Input!B14780,""),"")</f>
        <v/>
      </c>
      <c r="C14780">
        <f>IF(B14780="","",INT(A14780))</f>
        <v/>
      </c>
      <c r="D14780">
        <f>IF(B14780="","",HOUR(A14780))</f>
        <v/>
      </c>
    </row>
    <row r="14781">
      <c r="A14781">
        <f>Input!A14781</f>
        <v/>
      </c>
      <c r="B14781">
        <f>IF(ISNUMBER(Input!B14781),IF(AND(Input!B14781&gt;=20,Input!B14781&lt;=700),Input!B14781,""),"")</f>
        <v/>
      </c>
      <c r="C14781">
        <f>IF(B14781="","",INT(A14781))</f>
        <v/>
      </c>
      <c r="D14781">
        <f>IF(B14781="","",HOUR(A14781))</f>
        <v/>
      </c>
    </row>
    <row r="14782">
      <c r="A14782">
        <f>Input!A14782</f>
        <v/>
      </c>
      <c r="B14782">
        <f>IF(ISNUMBER(Input!B14782),IF(AND(Input!B14782&gt;=20,Input!B14782&lt;=700),Input!B14782,""),"")</f>
        <v/>
      </c>
      <c r="C14782">
        <f>IF(B14782="","",INT(A14782))</f>
        <v/>
      </c>
      <c r="D14782">
        <f>IF(B14782="","",HOUR(A14782))</f>
        <v/>
      </c>
    </row>
    <row r="14783">
      <c r="A14783">
        <f>Input!A14783</f>
        <v/>
      </c>
      <c r="B14783">
        <f>IF(ISNUMBER(Input!B14783),IF(AND(Input!B14783&gt;=20,Input!B14783&lt;=700),Input!B14783,""),"")</f>
        <v/>
      </c>
      <c r="C14783">
        <f>IF(B14783="","",INT(A14783))</f>
        <v/>
      </c>
      <c r="D14783">
        <f>IF(B14783="","",HOUR(A14783))</f>
        <v/>
      </c>
    </row>
    <row r="14784">
      <c r="A14784">
        <f>Input!A14784</f>
        <v/>
      </c>
      <c r="B14784">
        <f>IF(ISNUMBER(Input!B14784),IF(AND(Input!B14784&gt;=20,Input!B14784&lt;=700),Input!B14784,""),"")</f>
        <v/>
      </c>
      <c r="C14784">
        <f>IF(B14784="","",INT(A14784))</f>
        <v/>
      </c>
      <c r="D14784">
        <f>IF(B14784="","",HOUR(A14784))</f>
        <v/>
      </c>
    </row>
    <row r="14785">
      <c r="A14785">
        <f>Input!A14785</f>
        <v/>
      </c>
      <c r="B14785">
        <f>IF(ISNUMBER(Input!B14785),IF(AND(Input!B14785&gt;=20,Input!B14785&lt;=700),Input!B14785,""),"")</f>
        <v/>
      </c>
      <c r="C14785">
        <f>IF(B14785="","",INT(A14785))</f>
        <v/>
      </c>
      <c r="D14785">
        <f>IF(B14785="","",HOUR(A14785))</f>
        <v/>
      </c>
    </row>
    <row r="14786">
      <c r="A14786">
        <f>Input!A14786</f>
        <v/>
      </c>
      <c r="B14786">
        <f>IF(ISNUMBER(Input!B14786),IF(AND(Input!B14786&gt;=20,Input!B14786&lt;=700),Input!B14786,""),"")</f>
        <v/>
      </c>
      <c r="C14786">
        <f>IF(B14786="","",INT(A14786))</f>
        <v/>
      </c>
      <c r="D14786">
        <f>IF(B14786="","",HOUR(A14786))</f>
        <v/>
      </c>
    </row>
    <row r="14787">
      <c r="A14787">
        <f>Input!A14787</f>
        <v/>
      </c>
      <c r="B14787">
        <f>IF(ISNUMBER(Input!B14787),IF(AND(Input!B14787&gt;=20,Input!B14787&lt;=700),Input!B14787,""),"")</f>
        <v/>
      </c>
      <c r="C14787">
        <f>IF(B14787="","",INT(A14787))</f>
        <v/>
      </c>
      <c r="D14787">
        <f>IF(B14787="","",HOUR(A14787))</f>
        <v/>
      </c>
    </row>
    <row r="14788">
      <c r="A14788">
        <f>Input!A14788</f>
        <v/>
      </c>
      <c r="B14788">
        <f>IF(ISNUMBER(Input!B14788),IF(AND(Input!B14788&gt;=20,Input!B14788&lt;=700),Input!B14788,""),"")</f>
        <v/>
      </c>
      <c r="C14788">
        <f>IF(B14788="","",INT(A14788))</f>
        <v/>
      </c>
      <c r="D14788">
        <f>IF(B14788="","",HOUR(A14788))</f>
        <v/>
      </c>
    </row>
    <row r="14789">
      <c r="A14789">
        <f>Input!A14789</f>
        <v/>
      </c>
      <c r="B14789">
        <f>IF(ISNUMBER(Input!B14789),IF(AND(Input!B14789&gt;=20,Input!B14789&lt;=700),Input!B14789,""),"")</f>
        <v/>
      </c>
      <c r="C14789">
        <f>IF(B14789="","",INT(A14789))</f>
        <v/>
      </c>
      <c r="D14789">
        <f>IF(B14789="","",HOUR(A14789))</f>
        <v/>
      </c>
    </row>
    <row r="14790">
      <c r="A14790">
        <f>Input!A14790</f>
        <v/>
      </c>
      <c r="B14790">
        <f>IF(ISNUMBER(Input!B14790),IF(AND(Input!B14790&gt;=20,Input!B14790&lt;=700),Input!B14790,""),"")</f>
        <v/>
      </c>
      <c r="C14790">
        <f>IF(B14790="","",INT(A14790))</f>
        <v/>
      </c>
      <c r="D14790">
        <f>IF(B14790="","",HOUR(A14790))</f>
        <v/>
      </c>
    </row>
    <row r="14791">
      <c r="A14791">
        <f>Input!A14791</f>
        <v/>
      </c>
      <c r="B14791">
        <f>IF(ISNUMBER(Input!B14791),IF(AND(Input!B14791&gt;=20,Input!B14791&lt;=700),Input!B14791,""),"")</f>
        <v/>
      </c>
      <c r="C14791">
        <f>IF(B14791="","",INT(A14791))</f>
        <v/>
      </c>
      <c r="D14791">
        <f>IF(B14791="","",HOUR(A14791))</f>
        <v/>
      </c>
    </row>
    <row r="14792">
      <c r="A14792">
        <f>Input!A14792</f>
        <v/>
      </c>
      <c r="B14792">
        <f>IF(ISNUMBER(Input!B14792),IF(AND(Input!B14792&gt;=20,Input!B14792&lt;=700),Input!B14792,""),"")</f>
        <v/>
      </c>
      <c r="C14792">
        <f>IF(B14792="","",INT(A14792))</f>
        <v/>
      </c>
      <c r="D14792">
        <f>IF(B14792="","",HOUR(A14792))</f>
        <v/>
      </c>
    </row>
    <row r="14793">
      <c r="A14793">
        <f>Input!A14793</f>
        <v/>
      </c>
      <c r="B14793">
        <f>IF(ISNUMBER(Input!B14793),IF(AND(Input!B14793&gt;=20,Input!B14793&lt;=700),Input!B14793,""),"")</f>
        <v/>
      </c>
      <c r="C14793">
        <f>IF(B14793="","",INT(A14793))</f>
        <v/>
      </c>
      <c r="D14793">
        <f>IF(B14793="","",HOUR(A14793))</f>
        <v/>
      </c>
    </row>
    <row r="14794">
      <c r="A14794">
        <f>Input!A14794</f>
        <v/>
      </c>
      <c r="B14794">
        <f>IF(ISNUMBER(Input!B14794),IF(AND(Input!B14794&gt;=20,Input!B14794&lt;=700),Input!B14794,""),"")</f>
        <v/>
      </c>
      <c r="C14794">
        <f>IF(B14794="","",INT(A14794))</f>
        <v/>
      </c>
      <c r="D14794">
        <f>IF(B14794="","",HOUR(A14794))</f>
        <v/>
      </c>
    </row>
    <row r="14795">
      <c r="A14795">
        <f>Input!A14795</f>
        <v/>
      </c>
      <c r="B14795">
        <f>IF(ISNUMBER(Input!B14795),IF(AND(Input!B14795&gt;=20,Input!B14795&lt;=700),Input!B14795,""),"")</f>
        <v/>
      </c>
      <c r="C14795">
        <f>IF(B14795="","",INT(A14795))</f>
        <v/>
      </c>
      <c r="D14795">
        <f>IF(B14795="","",HOUR(A14795))</f>
        <v/>
      </c>
    </row>
    <row r="14796">
      <c r="A14796">
        <f>Input!A14796</f>
        <v/>
      </c>
      <c r="B14796">
        <f>IF(ISNUMBER(Input!B14796),IF(AND(Input!B14796&gt;=20,Input!B14796&lt;=700),Input!B14796,""),"")</f>
        <v/>
      </c>
      <c r="C14796">
        <f>IF(B14796="","",INT(A14796))</f>
        <v/>
      </c>
      <c r="D14796">
        <f>IF(B14796="","",HOUR(A14796))</f>
        <v/>
      </c>
    </row>
    <row r="14797">
      <c r="A14797">
        <f>Input!A14797</f>
        <v/>
      </c>
      <c r="B14797">
        <f>IF(ISNUMBER(Input!B14797),IF(AND(Input!B14797&gt;=20,Input!B14797&lt;=700),Input!B14797,""),"")</f>
        <v/>
      </c>
      <c r="C14797">
        <f>IF(B14797="","",INT(A14797))</f>
        <v/>
      </c>
      <c r="D14797">
        <f>IF(B14797="","",HOUR(A14797))</f>
        <v/>
      </c>
    </row>
    <row r="14798">
      <c r="A14798">
        <f>Input!A14798</f>
        <v/>
      </c>
      <c r="B14798">
        <f>IF(ISNUMBER(Input!B14798),IF(AND(Input!B14798&gt;=20,Input!B14798&lt;=700),Input!B14798,""),"")</f>
        <v/>
      </c>
      <c r="C14798">
        <f>IF(B14798="","",INT(A14798))</f>
        <v/>
      </c>
      <c r="D14798">
        <f>IF(B14798="","",HOUR(A14798))</f>
        <v/>
      </c>
    </row>
    <row r="14799">
      <c r="A14799">
        <f>Input!A14799</f>
        <v/>
      </c>
      <c r="B14799">
        <f>IF(ISNUMBER(Input!B14799),IF(AND(Input!B14799&gt;=20,Input!B14799&lt;=700),Input!B14799,""),"")</f>
        <v/>
      </c>
      <c r="C14799">
        <f>IF(B14799="","",INT(A14799))</f>
        <v/>
      </c>
      <c r="D14799">
        <f>IF(B14799="","",HOUR(A14799))</f>
        <v/>
      </c>
    </row>
    <row r="14800">
      <c r="A14800">
        <f>Input!A14800</f>
        <v/>
      </c>
      <c r="B14800">
        <f>IF(ISNUMBER(Input!B14800),IF(AND(Input!B14800&gt;=20,Input!B14800&lt;=700),Input!B14800,""),"")</f>
        <v/>
      </c>
      <c r="C14800">
        <f>IF(B14800="","",INT(A14800))</f>
        <v/>
      </c>
      <c r="D14800">
        <f>IF(B14800="","",HOUR(A14800))</f>
        <v/>
      </c>
    </row>
    <row r="14801">
      <c r="A14801">
        <f>Input!A14801</f>
        <v/>
      </c>
      <c r="B14801">
        <f>IF(ISNUMBER(Input!B14801),IF(AND(Input!B14801&gt;=20,Input!B14801&lt;=700),Input!B14801,""),"")</f>
        <v/>
      </c>
      <c r="C14801">
        <f>IF(B14801="","",INT(A14801))</f>
        <v/>
      </c>
      <c r="D14801">
        <f>IF(B14801="","",HOUR(A14801))</f>
        <v/>
      </c>
    </row>
    <row r="14802">
      <c r="A14802">
        <f>Input!A14802</f>
        <v/>
      </c>
      <c r="B14802">
        <f>IF(ISNUMBER(Input!B14802),IF(AND(Input!B14802&gt;=20,Input!B14802&lt;=700),Input!B14802,""),"")</f>
        <v/>
      </c>
      <c r="C14802">
        <f>IF(B14802="","",INT(A14802))</f>
        <v/>
      </c>
      <c r="D14802">
        <f>IF(B14802="","",HOUR(A14802))</f>
        <v/>
      </c>
    </row>
    <row r="14803">
      <c r="A14803">
        <f>Input!A14803</f>
        <v/>
      </c>
      <c r="B14803">
        <f>IF(ISNUMBER(Input!B14803),IF(AND(Input!B14803&gt;=20,Input!B14803&lt;=700),Input!B14803,""),"")</f>
        <v/>
      </c>
      <c r="C14803">
        <f>IF(B14803="","",INT(A14803))</f>
        <v/>
      </c>
      <c r="D14803">
        <f>IF(B14803="","",HOUR(A14803))</f>
        <v/>
      </c>
    </row>
    <row r="14804">
      <c r="A14804">
        <f>Input!A14804</f>
        <v/>
      </c>
      <c r="B14804">
        <f>IF(ISNUMBER(Input!B14804),IF(AND(Input!B14804&gt;=20,Input!B14804&lt;=700),Input!B14804,""),"")</f>
        <v/>
      </c>
      <c r="C14804">
        <f>IF(B14804="","",INT(A14804))</f>
        <v/>
      </c>
      <c r="D14804">
        <f>IF(B14804="","",HOUR(A14804))</f>
        <v/>
      </c>
    </row>
    <row r="14805">
      <c r="A14805">
        <f>Input!A14805</f>
        <v/>
      </c>
      <c r="B14805">
        <f>IF(ISNUMBER(Input!B14805),IF(AND(Input!B14805&gt;=20,Input!B14805&lt;=700),Input!B14805,""),"")</f>
        <v/>
      </c>
      <c r="C14805">
        <f>IF(B14805="","",INT(A14805))</f>
        <v/>
      </c>
      <c r="D14805">
        <f>IF(B14805="","",HOUR(A14805))</f>
        <v/>
      </c>
    </row>
    <row r="14806">
      <c r="A14806">
        <f>Input!A14806</f>
        <v/>
      </c>
      <c r="B14806">
        <f>IF(ISNUMBER(Input!B14806),IF(AND(Input!B14806&gt;=20,Input!B14806&lt;=700),Input!B14806,""),"")</f>
        <v/>
      </c>
      <c r="C14806">
        <f>IF(B14806="","",INT(A14806))</f>
        <v/>
      </c>
      <c r="D14806">
        <f>IF(B14806="","",HOUR(A14806))</f>
        <v/>
      </c>
    </row>
    <row r="14807">
      <c r="A14807">
        <f>Input!A14807</f>
        <v/>
      </c>
      <c r="B14807">
        <f>IF(ISNUMBER(Input!B14807),IF(AND(Input!B14807&gt;=20,Input!B14807&lt;=700),Input!B14807,""),"")</f>
        <v/>
      </c>
      <c r="C14807">
        <f>IF(B14807="","",INT(A14807))</f>
        <v/>
      </c>
      <c r="D14807">
        <f>IF(B14807="","",HOUR(A14807))</f>
        <v/>
      </c>
    </row>
    <row r="14808">
      <c r="A14808">
        <f>Input!A14808</f>
        <v/>
      </c>
      <c r="B14808">
        <f>IF(ISNUMBER(Input!B14808),IF(AND(Input!B14808&gt;=20,Input!B14808&lt;=700),Input!B14808,""),"")</f>
        <v/>
      </c>
      <c r="C14808">
        <f>IF(B14808="","",INT(A14808))</f>
        <v/>
      </c>
      <c r="D14808">
        <f>IF(B14808="","",HOUR(A14808))</f>
        <v/>
      </c>
    </row>
    <row r="14809">
      <c r="A14809">
        <f>Input!A14809</f>
        <v/>
      </c>
      <c r="B14809">
        <f>IF(ISNUMBER(Input!B14809),IF(AND(Input!B14809&gt;=20,Input!B14809&lt;=700),Input!B14809,""),"")</f>
        <v/>
      </c>
      <c r="C14809">
        <f>IF(B14809="","",INT(A14809))</f>
        <v/>
      </c>
      <c r="D14809">
        <f>IF(B14809="","",HOUR(A14809))</f>
        <v/>
      </c>
    </row>
    <row r="14810">
      <c r="A14810">
        <f>Input!A14810</f>
        <v/>
      </c>
      <c r="B14810">
        <f>IF(ISNUMBER(Input!B14810),IF(AND(Input!B14810&gt;=20,Input!B14810&lt;=700),Input!B14810,""),"")</f>
        <v/>
      </c>
      <c r="C14810">
        <f>IF(B14810="","",INT(A14810))</f>
        <v/>
      </c>
      <c r="D14810">
        <f>IF(B14810="","",HOUR(A14810))</f>
        <v/>
      </c>
    </row>
    <row r="14811">
      <c r="A14811">
        <f>Input!A14811</f>
        <v/>
      </c>
      <c r="B14811">
        <f>IF(ISNUMBER(Input!B14811),IF(AND(Input!B14811&gt;=20,Input!B14811&lt;=700),Input!B14811,""),"")</f>
        <v/>
      </c>
      <c r="C14811">
        <f>IF(B14811="","",INT(A14811))</f>
        <v/>
      </c>
      <c r="D14811">
        <f>IF(B14811="","",HOUR(A14811))</f>
        <v/>
      </c>
    </row>
    <row r="14812">
      <c r="A14812">
        <f>Input!A14812</f>
        <v/>
      </c>
      <c r="B14812">
        <f>IF(ISNUMBER(Input!B14812),IF(AND(Input!B14812&gt;=20,Input!B14812&lt;=700),Input!B14812,""),"")</f>
        <v/>
      </c>
      <c r="C14812">
        <f>IF(B14812="","",INT(A14812))</f>
        <v/>
      </c>
      <c r="D14812">
        <f>IF(B14812="","",HOUR(A14812))</f>
        <v/>
      </c>
    </row>
    <row r="14813">
      <c r="A14813">
        <f>Input!A14813</f>
        <v/>
      </c>
      <c r="B14813">
        <f>IF(ISNUMBER(Input!B14813),IF(AND(Input!B14813&gt;=20,Input!B14813&lt;=700),Input!B14813,""),"")</f>
        <v/>
      </c>
      <c r="C14813">
        <f>IF(B14813="","",INT(A14813))</f>
        <v/>
      </c>
      <c r="D14813">
        <f>IF(B14813="","",HOUR(A14813))</f>
        <v/>
      </c>
    </row>
    <row r="14814">
      <c r="A14814">
        <f>Input!A14814</f>
        <v/>
      </c>
      <c r="B14814">
        <f>IF(ISNUMBER(Input!B14814),IF(AND(Input!B14814&gt;=20,Input!B14814&lt;=700),Input!B14814,""),"")</f>
        <v/>
      </c>
      <c r="C14814">
        <f>IF(B14814="","",INT(A14814))</f>
        <v/>
      </c>
      <c r="D14814">
        <f>IF(B14814="","",HOUR(A14814))</f>
        <v/>
      </c>
    </row>
    <row r="14815">
      <c r="A14815">
        <f>Input!A14815</f>
        <v/>
      </c>
      <c r="B14815">
        <f>IF(ISNUMBER(Input!B14815),IF(AND(Input!B14815&gt;=20,Input!B14815&lt;=700),Input!B14815,""),"")</f>
        <v/>
      </c>
      <c r="C14815">
        <f>IF(B14815="","",INT(A14815))</f>
        <v/>
      </c>
      <c r="D14815">
        <f>IF(B14815="","",HOUR(A14815))</f>
        <v/>
      </c>
    </row>
    <row r="14816">
      <c r="A14816">
        <f>Input!A14816</f>
        <v/>
      </c>
      <c r="B14816">
        <f>IF(ISNUMBER(Input!B14816),IF(AND(Input!B14816&gt;=20,Input!B14816&lt;=700),Input!B14816,""),"")</f>
        <v/>
      </c>
      <c r="C14816">
        <f>IF(B14816="","",INT(A14816))</f>
        <v/>
      </c>
      <c r="D14816">
        <f>IF(B14816="","",HOUR(A14816))</f>
        <v/>
      </c>
    </row>
    <row r="14817">
      <c r="A14817">
        <f>Input!A14817</f>
        <v/>
      </c>
      <c r="B14817">
        <f>IF(ISNUMBER(Input!B14817),IF(AND(Input!B14817&gt;=20,Input!B14817&lt;=700),Input!B14817,""),"")</f>
        <v/>
      </c>
      <c r="C14817">
        <f>IF(B14817="","",INT(A14817))</f>
        <v/>
      </c>
      <c r="D14817">
        <f>IF(B14817="","",HOUR(A14817))</f>
        <v/>
      </c>
    </row>
    <row r="14818">
      <c r="A14818">
        <f>Input!A14818</f>
        <v/>
      </c>
      <c r="B14818">
        <f>IF(ISNUMBER(Input!B14818),IF(AND(Input!B14818&gt;=20,Input!B14818&lt;=700),Input!B14818,""),"")</f>
        <v/>
      </c>
      <c r="C14818">
        <f>IF(B14818="","",INT(A14818))</f>
        <v/>
      </c>
      <c r="D14818">
        <f>IF(B14818="","",HOUR(A14818))</f>
        <v/>
      </c>
    </row>
    <row r="14819">
      <c r="A14819">
        <f>Input!A14819</f>
        <v/>
      </c>
      <c r="B14819">
        <f>IF(ISNUMBER(Input!B14819),IF(AND(Input!B14819&gt;=20,Input!B14819&lt;=700),Input!B14819,""),"")</f>
        <v/>
      </c>
      <c r="C14819">
        <f>IF(B14819="","",INT(A14819))</f>
        <v/>
      </c>
      <c r="D14819">
        <f>IF(B14819="","",HOUR(A14819))</f>
        <v/>
      </c>
    </row>
    <row r="14820">
      <c r="A14820">
        <f>Input!A14820</f>
        <v/>
      </c>
      <c r="B14820">
        <f>IF(ISNUMBER(Input!B14820),IF(AND(Input!B14820&gt;=20,Input!B14820&lt;=700),Input!B14820,""),"")</f>
        <v/>
      </c>
      <c r="C14820">
        <f>IF(B14820="","",INT(A14820))</f>
        <v/>
      </c>
      <c r="D14820">
        <f>IF(B14820="","",HOUR(A14820))</f>
        <v/>
      </c>
    </row>
    <row r="14821">
      <c r="A14821">
        <f>Input!A14821</f>
        <v/>
      </c>
      <c r="B14821">
        <f>IF(ISNUMBER(Input!B14821),IF(AND(Input!B14821&gt;=20,Input!B14821&lt;=700),Input!B14821,""),"")</f>
        <v/>
      </c>
      <c r="C14821">
        <f>IF(B14821="","",INT(A14821))</f>
        <v/>
      </c>
      <c r="D14821">
        <f>IF(B14821="","",HOUR(A14821))</f>
        <v/>
      </c>
    </row>
    <row r="14822">
      <c r="A14822">
        <f>Input!A14822</f>
        <v/>
      </c>
      <c r="B14822">
        <f>IF(ISNUMBER(Input!B14822),IF(AND(Input!B14822&gt;=20,Input!B14822&lt;=700),Input!B14822,""),"")</f>
        <v/>
      </c>
      <c r="C14822">
        <f>IF(B14822="","",INT(A14822))</f>
        <v/>
      </c>
      <c r="D14822">
        <f>IF(B14822="","",HOUR(A14822))</f>
        <v/>
      </c>
    </row>
    <row r="14823">
      <c r="A14823">
        <f>Input!A14823</f>
        <v/>
      </c>
      <c r="B14823">
        <f>IF(ISNUMBER(Input!B14823),IF(AND(Input!B14823&gt;=20,Input!B14823&lt;=700),Input!B14823,""),"")</f>
        <v/>
      </c>
      <c r="C14823">
        <f>IF(B14823="","",INT(A14823))</f>
        <v/>
      </c>
      <c r="D14823">
        <f>IF(B14823="","",HOUR(A14823))</f>
        <v/>
      </c>
    </row>
    <row r="14824">
      <c r="A14824">
        <f>Input!A14824</f>
        <v/>
      </c>
      <c r="B14824">
        <f>IF(ISNUMBER(Input!B14824),IF(AND(Input!B14824&gt;=20,Input!B14824&lt;=700),Input!B14824,""),"")</f>
        <v/>
      </c>
      <c r="C14824">
        <f>IF(B14824="","",INT(A14824))</f>
        <v/>
      </c>
      <c r="D14824">
        <f>IF(B14824="","",HOUR(A14824))</f>
        <v/>
      </c>
    </row>
    <row r="14825">
      <c r="A14825">
        <f>Input!A14825</f>
        <v/>
      </c>
      <c r="B14825">
        <f>IF(ISNUMBER(Input!B14825),IF(AND(Input!B14825&gt;=20,Input!B14825&lt;=700),Input!B14825,""),"")</f>
        <v/>
      </c>
      <c r="C14825">
        <f>IF(B14825="","",INT(A14825))</f>
        <v/>
      </c>
      <c r="D14825">
        <f>IF(B14825="","",HOUR(A14825))</f>
        <v/>
      </c>
    </row>
    <row r="14826">
      <c r="A14826">
        <f>Input!A14826</f>
        <v/>
      </c>
      <c r="B14826">
        <f>IF(ISNUMBER(Input!B14826),IF(AND(Input!B14826&gt;=20,Input!B14826&lt;=700),Input!B14826,""),"")</f>
        <v/>
      </c>
      <c r="C14826">
        <f>IF(B14826="","",INT(A14826))</f>
        <v/>
      </c>
      <c r="D14826">
        <f>IF(B14826="","",HOUR(A14826))</f>
        <v/>
      </c>
    </row>
    <row r="14827">
      <c r="A14827">
        <f>Input!A14827</f>
        <v/>
      </c>
      <c r="B14827">
        <f>IF(ISNUMBER(Input!B14827),IF(AND(Input!B14827&gt;=20,Input!B14827&lt;=700),Input!B14827,""),"")</f>
        <v/>
      </c>
      <c r="C14827">
        <f>IF(B14827="","",INT(A14827))</f>
        <v/>
      </c>
      <c r="D14827">
        <f>IF(B14827="","",HOUR(A14827))</f>
        <v/>
      </c>
    </row>
    <row r="14828">
      <c r="A14828">
        <f>Input!A14828</f>
        <v/>
      </c>
      <c r="B14828">
        <f>IF(ISNUMBER(Input!B14828),IF(AND(Input!B14828&gt;=20,Input!B14828&lt;=700),Input!B14828,""),"")</f>
        <v/>
      </c>
      <c r="C14828">
        <f>IF(B14828="","",INT(A14828))</f>
        <v/>
      </c>
      <c r="D14828">
        <f>IF(B14828="","",HOUR(A14828))</f>
        <v/>
      </c>
    </row>
    <row r="14829">
      <c r="A14829">
        <f>Input!A14829</f>
        <v/>
      </c>
      <c r="B14829">
        <f>IF(ISNUMBER(Input!B14829),IF(AND(Input!B14829&gt;=20,Input!B14829&lt;=700),Input!B14829,""),"")</f>
        <v/>
      </c>
      <c r="C14829">
        <f>IF(B14829="","",INT(A14829))</f>
        <v/>
      </c>
      <c r="D14829">
        <f>IF(B14829="","",HOUR(A14829))</f>
        <v/>
      </c>
    </row>
    <row r="14830">
      <c r="A14830">
        <f>Input!A14830</f>
        <v/>
      </c>
      <c r="B14830">
        <f>IF(ISNUMBER(Input!B14830),IF(AND(Input!B14830&gt;=20,Input!B14830&lt;=700),Input!B14830,""),"")</f>
        <v/>
      </c>
      <c r="C14830">
        <f>IF(B14830="","",INT(A14830))</f>
        <v/>
      </c>
      <c r="D14830">
        <f>IF(B14830="","",HOUR(A14830))</f>
        <v/>
      </c>
    </row>
    <row r="14831">
      <c r="A14831">
        <f>Input!A14831</f>
        <v/>
      </c>
      <c r="B14831">
        <f>IF(ISNUMBER(Input!B14831),IF(AND(Input!B14831&gt;=20,Input!B14831&lt;=700),Input!B14831,""),"")</f>
        <v/>
      </c>
      <c r="C14831">
        <f>IF(B14831="","",INT(A14831))</f>
        <v/>
      </c>
      <c r="D14831">
        <f>IF(B14831="","",HOUR(A14831))</f>
        <v/>
      </c>
    </row>
    <row r="14832">
      <c r="A14832">
        <f>Input!A14832</f>
        <v/>
      </c>
      <c r="B14832">
        <f>IF(ISNUMBER(Input!B14832),IF(AND(Input!B14832&gt;=20,Input!B14832&lt;=700),Input!B14832,""),"")</f>
        <v/>
      </c>
      <c r="C14832">
        <f>IF(B14832="","",INT(A14832))</f>
        <v/>
      </c>
      <c r="D14832">
        <f>IF(B14832="","",HOUR(A14832))</f>
        <v/>
      </c>
    </row>
    <row r="14833">
      <c r="A14833">
        <f>Input!A14833</f>
        <v/>
      </c>
      <c r="B14833">
        <f>IF(ISNUMBER(Input!B14833),IF(AND(Input!B14833&gt;=20,Input!B14833&lt;=700),Input!B14833,""),"")</f>
        <v/>
      </c>
      <c r="C14833">
        <f>IF(B14833="","",INT(A14833))</f>
        <v/>
      </c>
      <c r="D14833">
        <f>IF(B14833="","",HOUR(A14833))</f>
        <v/>
      </c>
    </row>
    <row r="14834">
      <c r="A14834">
        <f>Input!A14834</f>
        <v/>
      </c>
      <c r="B14834">
        <f>IF(ISNUMBER(Input!B14834),IF(AND(Input!B14834&gt;=20,Input!B14834&lt;=700),Input!B14834,""),"")</f>
        <v/>
      </c>
      <c r="C14834">
        <f>IF(B14834="","",INT(A14834))</f>
        <v/>
      </c>
      <c r="D14834">
        <f>IF(B14834="","",HOUR(A14834))</f>
        <v/>
      </c>
    </row>
    <row r="14835">
      <c r="A14835">
        <f>Input!A14835</f>
        <v/>
      </c>
      <c r="B14835">
        <f>IF(ISNUMBER(Input!B14835),IF(AND(Input!B14835&gt;=20,Input!B14835&lt;=700),Input!B14835,""),"")</f>
        <v/>
      </c>
      <c r="C14835">
        <f>IF(B14835="","",INT(A14835))</f>
        <v/>
      </c>
      <c r="D14835">
        <f>IF(B14835="","",HOUR(A14835))</f>
        <v/>
      </c>
    </row>
    <row r="14836">
      <c r="A14836">
        <f>Input!A14836</f>
        <v/>
      </c>
      <c r="B14836">
        <f>IF(ISNUMBER(Input!B14836),IF(AND(Input!B14836&gt;=20,Input!B14836&lt;=700),Input!B14836,""),"")</f>
        <v/>
      </c>
      <c r="C14836">
        <f>IF(B14836="","",INT(A14836))</f>
        <v/>
      </c>
      <c r="D14836">
        <f>IF(B14836="","",HOUR(A14836))</f>
        <v/>
      </c>
    </row>
    <row r="14837">
      <c r="A14837">
        <f>Input!A14837</f>
        <v/>
      </c>
      <c r="B14837">
        <f>IF(ISNUMBER(Input!B14837),IF(AND(Input!B14837&gt;=20,Input!B14837&lt;=700),Input!B14837,""),"")</f>
        <v/>
      </c>
      <c r="C14837">
        <f>IF(B14837="","",INT(A14837))</f>
        <v/>
      </c>
      <c r="D14837">
        <f>IF(B14837="","",HOUR(A14837))</f>
        <v/>
      </c>
    </row>
    <row r="14838">
      <c r="A14838">
        <f>Input!A14838</f>
        <v/>
      </c>
      <c r="B14838">
        <f>IF(ISNUMBER(Input!B14838),IF(AND(Input!B14838&gt;=20,Input!B14838&lt;=700),Input!B14838,""),"")</f>
        <v/>
      </c>
      <c r="C14838">
        <f>IF(B14838="","",INT(A14838))</f>
        <v/>
      </c>
      <c r="D14838">
        <f>IF(B14838="","",HOUR(A14838))</f>
        <v/>
      </c>
    </row>
    <row r="14839">
      <c r="A14839">
        <f>Input!A14839</f>
        <v/>
      </c>
      <c r="B14839">
        <f>IF(ISNUMBER(Input!B14839),IF(AND(Input!B14839&gt;=20,Input!B14839&lt;=700),Input!B14839,""),"")</f>
        <v/>
      </c>
      <c r="C14839">
        <f>IF(B14839="","",INT(A14839))</f>
        <v/>
      </c>
      <c r="D14839">
        <f>IF(B14839="","",HOUR(A14839))</f>
        <v/>
      </c>
    </row>
    <row r="14840">
      <c r="A14840">
        <f>Input!A14840</f>
        <v/>
      </c>
      <c r="B14840">
        <f>IF(ISNUMBER(Input!B14840),IF(AND(Input!B14840&gt;=20,Input!B14840&lt;=700),Input!B14840,""),"")</f>
        <v/>
      </c>
      <c r="C14840">
        <f>IF(B14840="","",INT(A14840))</f>
        <v/>
      </c>
      <c r="D14840">
        <f>IF(B14840="","",HOUR(A14840))</f>
        <v/>
      </c>
    </row>
    <row r="14841">
      <c r="A14841">
        <f>Input!A14841</f>
        <v/>
      </c>
      <c r="B14841">
        <f>IF(ISNUMBER(Input!B14841),IF(AND(Input!B14841&gt;=20,Input!B14841&lt;=700),Input!B14841,""),"")</f>
        <v/>
      </c>
      <c r="C14841">
        <f>IF(B14841="","",INT(A14841))</f>
        <v/>
      </c>
      <c r="D14841">
        <f>IF(B14841="","",HOUR(A14841))</f>
        <v/>
      </c>
    </row>
    <row r="14842">
      <c r="A14842">
        <f>Input!A14842</f>
        <v/>
      </c>
      <c r="B14842">
        <f>IF(ISNUMBER(Input!B14842),IF(AND(Input!B14842&gt;=20,Input!B14842&lt;=700),Input!B14842,""),"")</f>
        <v/>
      </c>
      <c r="C14842">
        <f>IF(B14842="","",INT(A14842))</f>
        <v/>
      </c>
      <c r="D14842">
        <f>IF(B14842="","",HOUR(A14842))</f>
        <v/>
      </c>
    </row>
    <row r="14843">
      <c r="A14843">
        <f>Input!A14843</f>
        <v/>
      </c>
      <c r="B14843">
        <f>IF(ISNUMBER(Input!B14843),IF(AND(Input!B14843&gt;=20,Input!B14843&lt;=700),Input!B14843,""),"")</f>
        <v/>
      </c>
      <c r="C14843">
        <f>IF(B14843="","",INT(A14843))</f>
        <v/>
      </c>
      <c r="D14843">
        <f>IF(B14843="","",HOUR(A14843))</f>
        <v/>
      </c>
    </row>
    <row r="14844">
      <c r="A14844">
        <f>Input!A14844</f>
        <v/>
      </c>
      <c r="B14844">
        <f>IF(ISNUMBER(Input!B14844),IF(AND(Input!B14844&gt;=20,Input!B14844&lt;=700),Input!B14844,""),"")</f>
        <v/>
      </c>
      <c r="C14844">
        <f>IF(B14844="","",INT(A14844))</f>
        <v/>
      </c>
      <c r="D14844">
        <f>IF(B14844="","",HOUR(A14844))</f>
        <v/>
      </c>
    </row>
    <row r="14845">
      <c r="A14845">
        <f>Input!A14845</f>
        <v/>
      </c>
      <c r="B14845">
        <f>IF(ISNUMBER(Input!B14845),IF(AND(Input!B14845&gt;=20,Input!B14845&lt;=700),Input!B14845,""),"")</f>
        <v/>
      </c>
      <c r="C14845">
        <f>IF(B14845="","",INT(A14845))</f>
        <v/>
      </c>
      <c r="D14845">
        <f>IF(B14845="","",HOUR(A14845))</f>
        <v/>
      </c>
    </row>
    <row r="14846">
      <c r="A14846">
        <f>Input!A14846</f>
        <v/>
      </c>
      <c r="B14846">
        <f>IF(ISNUMBER(Input!B14846),IF(AND(Input!B14846&gt;=20,Input!B14846&lt;=700),Input!B14846,""),"")</f>
        <v/>
      </c>
      <c r="C14846">
        <f>IF(B14846="","",INT(A14846))</f>
        <v/>
      </c>
      <c r="D14846">
        <f>IF(B14846="","",HOUR(A14846))</f>
        <v/>
      </c>
    </row>
    <row r="14847">
      <c r="A14847">
        <f>Input!A14847</f>
        <v/>
      </c>
      <c r="B14847">
        <f>IF(ISNUMBER(Input!B14847),IF(AND(Input!B14847&gt;=20,Input!B14847&lt;=700),Input!B14847,""),"")</f>
        <v/>
      </c>
      <c r="C14847">
        <f>IF(B14847="","",INT(A14847))</f>
        <v/>
      </c>
      <c r="D14847">
        <f>IF(B14847="","",HOUR(A14847))</f>
        <v/>
      </c>
    </row>
    <row r="14848">
      <c r="A14848">
        <f>Input!A14848</f>
        <v/>
      </c>
      <c r="B14848">
        <f>IF(ISNUMBER(Input!B14848),IF(AND(Input!B14848&gt;=20,Input!B14848&lt;=700),Input!B14848,""),"")</f>
        <v/>
      </c>
      <c r="C14848">
        <f>IF(B14848="","",INT(A14848))</f>
        <v/>
      </c>
      <c r="D14848">
        <f>IF(B14848="","",HOUR(A14848))</f>
        <v/>
      </c>
    </row>
    <row r="14849">
      <c r="A14849">
        <f>Input!A14849</f>
        <v/>
      </c>
      <c r="B14849">
        <f>IF(ISNUMBER(Input!B14849),IF(AND(Input!B14849&gt;=20,Input!B14849&lt;=700),Input!B14849,""),"")</f>
        <v/>
      </c>
      <c r="C14849">
        <f>IF(B14849="","",INT(A14849))</f>
        <v/>
      </c>
      <c r="D14849">
        <f>IF(B14849="","",HOUR(A14849))</f>
        <v/>
      </c>
    </row>
    <row r="14850">
      <c r="A14850">
        <f>Input!A14850</f>
        <v/>
      </c>
      <c r="B14850">
        <f>IF(ISNUMBER(Input!B14850),IF(AND(Input!B14850&gt;=20,Input!B14850&lt;=700),Input!B14850,""),"")</f>
        <v/>
      </c>
      <c r="C14850">
        <f>IF(B14850="","",INT(A14850))</f>
        <v/>
      </c>
      <c r="D14850">
        <f>IF(B14850="","",HOUR(A14850))</f>
        <v/>
      </c>
    </row>
    <row r="14851">
      <c r="A14851">
        <f>Input!A14851</f>
        <v/>
      </c>
      <c r="B14851">
        <f>IF(ISNUMBER(Input!B14851),IF(AND(Input!B14851&gt;=20,Input!B14851&lt;=700),Input!B14851,""),"")</f>
        <v/>
      </c>
      <c r="C14851">
        <f>IF(B14851="","",INT(A14851))</f>
        <v/>
      </c>
      <c r="D14851">
        <f>IF(B14851="","",HOUR(A14851))</f>
        <v/>
      </c>
    </row>
    <row r="14852">
      <c r="A14852">
        <f>Input!A14852</f>
        <v/>
      </c>
      <c r="B14852">
        <f>IF(ISNUMBER(Input!B14852),IF(AND(Input!B14852&gt;=20,Input!B14852&lt;=700),Input!B14852,""),"")</f>
        <v/>
      </c>
      <c r="C14852">
        <f>IF(B14852="","",INT(A14852))</f>
        <v/>
      </c>
      <c r="D14852">
        <f>IF(B14852="","",HOUR(A14852))</f>
        <v/>
      </c>
    </row>
    <row r="14853">
      <c r="A14853">
        <f>Input!A14853</f>
        <v/>
      </c>
      <c r="B14853">
        <f>IF(ISNUMBER(Input!B14853),IF(AND(Input!B14853&gt;=20,Input!B14853&lt;=700),Input!B14853,""),"")</f>
        <v/>
      </c>
      <c r="C14853">
        <f>IF(B14853="","",INT(A14853))</f>
        <v/>
      </c>
      <c r="D14853">
        <f>IF(B14853="","",HOUR(A14853))</f>
        <v/>
      </c>
    </row>
    <row r="14854">
      <c r="A14854">
        <f>Input!A14854</f>
        <v/>
      </c>
      <c r="B14854">
        <f>IF(ISNUMBER(Input!B14854),IF(AND(Input!B14854&gt;=20,Input!B14854&lt;=700),Input!B14854,""),"")</f>
        <v/>
      </c>
      <c r="C14854">
        <f>IF(B14854="","",INT(A14854))</f>
        <v/>
      </c>
      <c r="D14854">
        <f>IF(B14854="","",HOUR(A14854))</f>
        <v/>
      </c>
    </row>
    <row r="14855">
      <c r="A14855">
        <f>Input!A14855</f>
        <v/>
      </c>
      <c r="B14855">
        <f>IF(ISNUMBER(Input!B14855),IF(AND(Input!B14855&gt;=20,Input!B14855&lt;=700),Input!B14855,""),"")</f>
        <v/>
      </c>
      <c r="C14855">
        <f>IF(B14855="","",INT(A14855))</f>
        <v/>
      </c>
      <c r="D14855">
        <f>IF(B14855="","",HOUR(A14855))</f>
        <v/>
      </c>
    </row>
    <row r="14856">
      <c r="A14856">
        <f>Input!A14856</f>
        <v/>
      </c>
      <c r="B14856">
        <f>IF(ISNUMBER(Input!B14856),IF(AND(Input!B14856&gt;=20,Input!B14856&lt;=700),Input!B14856,""),"")</f>
        <v/>
      </c>
      <c r="C14856">
        <f>IF(B14856="","",INT(A14856))</f>
        <v/>
      </c>
      <c r="D14856">
        <f>IF(B14856="","",HOUR(A14856))</f>
        <v/>
      </c>
    </row>
    <row r="14857">
      <c r="A14857">
        <f>Input!A14857</f>
        <v/>
      </c>
      <c r="B14857">
        <f>IF(ISNUMBER(Input!B14857),IF(AND(Input!B14857&gt;=20,Input!B14857&lt;=700),Input!B14857,""),"")</f>
        <v/>
      </c>
      <c r="C14857">
        <f>IF(B14857="","",INT(A14857))</f>
        <v/>
      </c>
      <c r="D14857">
        <f>IF(B14857="","",HOUR(A14857))</f>
        <v/>
      </c>
    </row>
    <row r="14858">
      <c r="A14858">
        <f>Input!A14858</f>
        <v/>
      </c>
      <c r="B14858">
        <f>IF(ISNUMBER(Input!B14858),IF(AND(Input!B14858&gt;=20,Input!B14858&lt;=700),Input!B14858,""),"")</f>
        <v/>
      </c>
      <c r="C14858">
        <f>IF(B14858="","",INT(A14858))</f>
        <v/>
      </c>
      <c r="D14858">
        <f>IF(B14858="","",HOUR(A14858))</f>
        <v/>
      </c>
    </row>
    <row r="14859">
      <c r="A14859">
        <f>Input!A14859</f>
        <v/>
      </c>
      <c r="B14859">
        <f>IF(ISNUMBER(Input!B14859),IF(AND(Input!B14859&gt;=20,Input!B14859&lt;=700),Input!B14859,""),"")</f>
        <v/>
      </c>
      <c r="C14859">
        <f>IF(B14859="","",INT(A14859))</f>
        <v/>
      </c>
      <c r="D14859">
        <f>IF(B14859="","",HOUR(A14859))</f>
        <v/>
      </c>
    </row>
    <row r="14860">
      <c r="A14860">
        <f>Input!A14860</f>
        <v/>
      </c>
      <c r="B14860">
        <f>IF(ISNUMBER(Input!B14860),IF(AND(Input!B14860&gt;=20,Input!B14860&lt;=700),Input!B14860,""),"")</f>
        <v/>
      </c>
      <c r="C14860">
        <f>IF(B14860="","",INT(A14860))</f>
        <v/>
      </c>
      <c r="D14860">
        <f>IF(B14860="","",HOUR(A14860))</f>
        <v/>
      </c>
    </row>
    <row r="14861">
      <c r="A14861">
        <f>Input!A14861</f>
        <v/>
      </c>
      <c r="B14861">
        <f>IF(ISNUMBER(Input!B14861),IF(AND(Input!B14861&gt;=20,Input!B14861&lt;=700),Input!B14861,""),"")</f>
        <v/>
      </c>
      <c r="C14861">
        <f>IF(B14861="","",INT(A14861))</f>
        <v/>
      </c>
      <c r="D14861">
        <f>IF(B14861="","",HOUR(A14861))</f>
        <v/>
      </c>
    </row>
    <row r="14862">
      <c r="A14862">
        <f>Input!A14862</f>
        <v/>
      </c>
      <c r="B14862">
        <f>IF(ISNUMBER(Input!B14862),IF(AND(Input!B14862&gt;=20,Input!B14862&lt;=700),Input!B14862,""),"")</f>
        <v/>
      </c>
      <c r="C14862">
        <f>IF(B14862="","",INT(A14862))</f>
        <v/>
      </c>
      <c r="D14862">
        <f>IF(B14862="","",HOUR(A14862))</f>
        <v/>
      </c>
    </row>
    <row r="14863">
      <c r="A14863">
        <f>Input!A14863</f>
        <v/>
      </c>
      <c r="B14863">
        <f>IF(ISNUMBER(Input!B14863),IF(AND(Input!B14863&gt;=20,Input!B14863&lt;=700),Input!B14863,""),"")</f>
        <v/>
      </c>
      <c r="C14863">
        <f>IF(B14863="","",INT(A14863))</f>
        <v/>
      </c>
      <c r="D14863">
        <f>IF(B14863="","",HOUR(A14863))</f>
        <v/>
      </c>
    </row>
    <row r="14864">
      <c r="A14864">
        <f>Input!A14864</f>
        <v/>
      </c>
      <c r="B14864">
        <f>IF(ISNUMBER(Input!B14864),IF(AND(Input!B14864&gt;=20,Input!B14864&lt;=700),Input!B14864,""),"")</f>
        <v/>
      </c>
      <c r="C14864">
        <f>IF(B14864="","",INT(A14864))</f>
        <v/>
      </c>
      <c r="D14864">
        <f>IF(B14864="","",HOUR(A14864))</f>
        <v/>
      </c>
    </row>
    <row r="14865">
      <c r="A14865">
        <f>Input!A14865</f>
        <v/>
      </c>
      <c r="B14865">
        <f>IF(ISNUMBER(Input!B14865),IF(AND(Input!B14865&gt;=20,Input!B14865&lt;=700),Input!B14865,""),"")</f>
        <v/>
      </c>
      <c r="C14865">
        <f>IF(B14865="","",INT(A14865))</f>
        <v/>
      </c>
      <c r="D14865">
        <f>IF(B14865="","",HOUR(A14865))</f>
        <v/>
      </c>
    </row>
    <row r="14866">
      <c r="A14866">
        <f>Input!A14866</f>
        <v/>
      </c>
      <c r="B14866">
        <f>IF(ISNUMBER(Input!B14866),IF(AND(Input!B14866&gt;=20,Input!B14866&lt;=700),Input!B14866,""),"")</f>
        <v/>
      </c>
      <c r="C14866">
        <f>IF(B14866="","",INT(A14866))</f>
        <v/>
      </c>
      <c r="D14866">
        <f>IF(B14866="","",HOUR(A14866))</f>
        <v/>
      </c>
    </row>
    <row r="14867">
      <c r="A14867">
        <f>Input!A14867</f>
        <v/>
      </c>
      <c r="B14867">
        <f>IF(ISNUMBER(Input!B14867),IF(AND(Input!B14867&gt;=20,Input!B14867&lt;=700),Input!B14867,""),"")</f>
        <v/>
      </c>
      <c r="C14867">
        <f>IF(B14867="","",INT(A14867))</f>
        <v/>
      </c>
      <c r="D14867">
        <f>IF(B14867="","",HOUR(A14867))</f>
        <v/>
      </c>
    </row>
    <row r="14868">
      <c r="A14868">
        <f>Input!A14868</f>
        <v/>
      </c>
      <c r="B14868">
        <f>IF(ISNUMBER(Input!B14868),IF(AND(Input!B14868&gt;=20,Input!B14868&lt;=700),Input!B14868,""),"")</f>
        <v/>
      </c>
      <c r="C14868">
        <f>IF(B14868="","",INT(A14868))</f>
        <v/>
      </c>
      <c r="D14868">
        <f>IF(B14868="","",HOUR(A14868))</f>
        <v/>
      </c>
    </row>
    <row r="14869">
      <c r="A14869">
        <f>Input!A14869</f>
        <v/>
      </c>
      <c r="B14869">
        <f>IF(ISNUMBER(Input!B14869),IF(AND(Input!B14869&gt;=20,Input!B14869&lt;=700),Input!B14869,""),"")</f>
        <v/>
      </c>
      <c r="C14869">
        <f>IF(B14869="","",INT(A14869))</f>
        <v/>
      </c>
      <c r="D14869">
        <f>IF(B14869="","",HOUR(A14869))</f>
        <v/>
      </c>
    </row>
    <row r="14870">
      <c r="A14870">
        <f>Input!A14870</f>
        <v/>
      </c>
      <c r="B14870">
        <f>IF(ISNUMBER(Input!B14870),IF(AND(Input!B14870&gt;=20,Input!B14870&lt;=700),Input!B14870,""),"")</f>
        <v/>
      </c>
      <c r="C14870">
        <f>IF(B14870="","",INT(A14870))</f>
        <v/>
      </c>
      <c r="D14870">
        <f>IF(B14870="","",HOUR(A14870))</f>
        <v/>
      </c>
    </row>
    <row r="14871">
      <c r="A14871">
        <f>Input!A14871</f>
        <v/>
      </c>
      <c r="B14871">
        <f>IF(ISNUMBER(Input!B14871),IF(AND(Input!B14871&gt;=20,Input!B14871&lt;=700),Input!B14871,""),"")</f>
        <v/>
      </c>
      <c r="C14871">
        <f>IF(B14871="","",INT(A14871))</f>
        <v/>
      </c>
      <c r="D14871">
        <f>IF(B14871="","",HOUR(A14871))</f>
        <v/>
      </c>
    </row>
    <row r="14872">
      <c r="A14872">
        <f>Input!A14872</f>
        <v/>
      </c>
      <c r="B14872">
        <f>IF(ISNUMBER(Input!B14872),IF(AND(Input!B14872&gt;=20,Input!B14872&lt;=700),Input!B14872,""),"")</f>
        <v/>
      </c>
      <c r="C14872">
        <f>IF(B14872="","",INT(A14872))</f>
        <v/>
      </c>
      <c r="D14872">
        <f>IF(B14872="","",HOUR(A14872))</f>
        <v/>
      </c>
    </row>
    <row r="14873">
      <c r="A14873">
        <f>Input!A14873</f>
        <v/>
      </c>
      <c r="B14873">
        <f>IF(ISNUMBER(Input!B14873),IF(AND(Input!B14873&gt;=20,Input!B14873&lt;=700),Input!B14873,""),"")</f>
        <v/>
      </c>
      <c r="C14873">
        <f>IF(B14873="","",INT(A14873))</f>
        <v/>
      </c>
      <c r="D14873">
        <f>IF(B14873="","",HOUR(A14873))</f>
        <v/>
      </c>
    </row>
    <row r="14874">
      <c r="A14874">
        <f>Input!A14874</f>
        <v/>
      </c>
      <c r="B14874">
        <f>IF(ISNUMBER(Input!B14874),IF(AND(Input!B14874&gt;=20,Input!B14874&lt;=700),Input!B14874,""),"")</f>
        <v/>
      </c>
      <c r="C14874">
        <f>IF(B14874="","",INT(A14874))</f>
        <v/>
      </c>
      <c r="D14874">
        <f>IF(B14874="","",HOUR(A14874))</f>
        <v/>
      </c>
    </row>
    <row r="14875">
      <c r="A14875">
        <f>Input!A14875</f>
        <v/>
      </c>
      <c r="B14875">
        <f>IF(ISNUMBER(Input!B14875),IF(AND(Input!B14875&gt;=20,Input!B14875&lt;=700),Input!B14875,""),"")</f>
        <v/>
      </c>
      <c r="C14875">
        <f>IF(B14875="","",INT(A14875))</f>
        <v/>
      </c>
      <c r="D14875">
        <f>IF(B14875="","",HOUR(A14875))</f>
        <v/>
      </c>
    </row>
    <row r="14876">
      <c r="A14876">
        <f>Input!A14876</f>
        <v/>
      </c>
      <c r="B14876">
        <f>IF(ISNUMBER(Input!B14876),IF(AND(Input!B14876&gt;=20,Input!B14876&lt;=700),Input!B14876,""),"")</f>
        <v/>
      </c>
      <c r="C14876">
        <f>IF(B14876="","",INT(A14876))</f>
        <v/>
      </c>
      <c r="D14876">
        <f>IF(B14876="","",HOUR(A14876))</f>
        <v/>
      </c>
    </row>
    <row r="14877">
      <c r="A14877">
        <f>Input!A14877</f>
        <v/>
      </c>
      <c r="B14877">
        <f>IF(ISNUMBER(Input!B14877),IF(AND(Input!B14877&gt;=20,Input!B14877&lt;=700),Input!B14877,""),"")</f>
        <v/>
      </c>
      <c r="C14877">
        <f>IF(B14877="","",INT(A14877))</f>
        <v/>
      </c>
      <c r="D14877">
        <f>IF(B14877="","",HOUR(A14877))</f>
        <v/>
      </c>
    </row>
    <row r="14878">
      <c r="A14878">
        <f>Input!A14878</f>
        <v/>
      </c>
      <c r="B14878">
        <f>IF(ISNUMBER(Input!B14878),IF(AND(Input!B14878&gt;=20,Input!B14878&lt;=700),Input!B14878,""),"")</f>
        <v/>
      </c>
      <c r="C14878">
        <f>IF(B14878="","",INT(A14878))</f>
        <v/>
      </c>
      <c r="D14878">
        <f>IF(B14878="","",HOUR(A14878))</f>
        <v/>
      </c>
    </row>
    <row r="14879">
      <c r="A14879">
        <f>Input!A14879</f>
        <v/>
      </c>
      <c r="B14879">
        <f>IF(ISNUMBER(Input!B14879),IF(AND(Input!B14879&gt;=20,Input!B14879&lt;=700),Input!B14879,""),"")</f>
        <v/>
      </c>
      <c r="C14879">
        <f>IF(B14879="","",INT(A14879))</f>
        <v/>
      </c>
      <c r="D14879">
        <f>IF(B14879="","",HOUR(A14879))</f>
        <v/>
      </c>
    </row>
    <row r="14880">
      <c r="A14880">
        <f>Input!A14880</f>
        <v/>
      </c>
      <c r="B14880">
        <f>IF(ISNUMBER(Input!B14880),IF(AND(Input!B14880&gt;=20,Input!B14880&lt;=700),Input!B14880,""),"")</f>
        <v/>
      </c>
      <c r="C14880">
        <f>IF(B14880="","",INT(A14880))</f>
        <v/>
      </c>
      <c r="D14880">
        <f>IF(B14880="","",HOUR(A14880))</f>
        <v/>
      </c>
    </row>
    <row r="14881">
      <c r="A14881">
        <f>Input!A14881</f>
        <v/>
      </c>
      <c r="B14881">
        <f>IF(ISNUMBER(Input!B14881),IF(AND(Input!B14881&gt;=20,Input!B14881&lt;=700),Input!B14881,""),"")</f>
        <v/>
      </c>
      <c r="C14881">
        <f>IF(B14881="","",INT(A14881))</f>
        <v/>
      </c>
      <c r="D14881">
        <f>IF(B14881="","",HOUR(A14881))</f>
        <v/>
      </c>
    </row>
    <row r="14882">
      <c r="A14882">
        <f>Input!A14882</f>
        <v/>
      </c>
      <c r="B14882">
        <f>IF(ISNUMBER(Input!B14882),IF(AND(Input!B14882&gt;=20,Input!B14882&lt;=700),Input!B14882,""),"")</f>
        <v/>
      </c>
      <c r="C14882">
        <f>IF(B14882="","",INT(A14882))</f>
        <v/>
      </c>
      <c r="D14882">
        <f>IF(B14882="","",HOUR(A14882))</f>
        <v/>
      </c>
    </row>
    <row r="14883">
      <c r="A14883">
        <f>Input!A14883</f>
        <v/>
      </c>
      <c r="B14883">
        <f>IF(ISNUMBER(Input!B14883),IF(AND(Input!B14883&gt;=20,Input!B14883&lt;=700),Input!B14883,""),"")</f>
        <v/>
      </c>
      <c r="C14883">
        <f>IF(B14883="","",INT(A14883))</f>
        <v/>
      </c>
      <c r="D14883">
        <f>IF(B14883="","",HOUR(A14883))</f>
        <v/>
      </c>
    </row>
    <row r="14884">
      <c r="A14884">
        <f>Input!A14884</f>
        <v/>
      </c>
      <c r="B14884">
        <f>IF(ISNUMBER(Input!B14884),IF(AND(Input!B14884&gt;=20,Input!B14884&lt;=700),Input!B14884,""),"")</f>
        <v/>
      </c>
      <c r="C14884">
        <f>IF(B14884="","",INT(A14884))</f>
        <v/>
      </c>
      <c r="D14884">
        <f>IF(B14884="","",HOUR(A14884))</f>
        <v/>
      </c>
    </row>
    <row r="14885">
      <c r="A14885">
        <f>Input!A14885</f>
        <v/>
      </c>
      <c r="B14885">
        <f>IF(ISNUMBER(Input!B14885),IF(AND(Input!B14885&gt;=20,Input!B14885&lt;=700),Input!B14885,""),"")</f>
        <v/>
      </c>
      <c r="C14885">
        <f>IF(B14885="","",INT(A14885))</f>
        <v/>
      </c>
      <c r="D14885">
        <f>IF(B14885="","",HOUR(A14885))</f>
        <v/>
      </c>
    </row>
    <row r="14886">
      <c r="A14886">
        <f>Input!A14886</f>
        <v/>
      </c>
      <c r="B14886">
        <f>IF(ISNUMBER(Input!B14886),IF(AND(Input!B14886&gt;=20,Input!B14886&lt;=700),Input!B14886,""),"")</f>
        <v/>
      </c>
      <c r="C14886">
        <f>IF(B14886="","",INT(A14886))</f>
        <v/>
      </c>
      <c r="D14886">
        <f>IF(B14886="","",HOUR(A14886))</f>
        <v/>
      </c>
    </row>
    <row r="14887">
      <c r="A14887">
        <f>Input!A14887</f>
        <v/>
      </c>
      <c r="B14887">
        <f>IF(ISNUMBER(Input!B14887),IF(AND(Input!B14887&gt;=20,Input!B14887&lt;=700),Input!B14887,""),"")</f>
        <v/>
      </c>
      <c r="C14887">
        <f>IF(B14887="","",INT(A14887))</f>
        <v/>
      </c>
      <c r="D14887">
        <f>IF(B14887="","",HOUR(A14887))</f>
        <v/>
      </c>
    </row>
    <row r="14888">
      <c r="A14888">
        <f>Input!A14888</f>
        <v/>
      </c>
      <c r="B14888">
        <f>IF(ISNUMBER(Input!B14888),IF(AND(Input!B14888&gt;=20,Input!B14888&lt;=700),Input!B14888,""),"")</f>
        <v/>
      </c>
      <c r="C14888">
        <f>IF(B14888="","",INT(A14888))</f>
        <v/>
      </c>
      <c r="D14888">
        <f>IF(B14888="","",HOUR(A14888))</f>
        <v/>
      </c>
    </row>
    <row r="14889">
      <c r="A14889">
        <f>Input!A14889</f>
        <v/>
      </c>
      <c r="B14889">
        <f>IF(ISNUMBER(Input!B14889),IF(AND(Input!B14889&gt;=20,Input!B14889&lt;=700),Input!B14889,""),"")</f>
        <v/>
      </c>
      <c r="C14889">
        <f>IF(B14889="","",INT(A14889))</f>
        <v/>
      </c>
      <c r="D14889">
        <f>IF(B14889="","",HOUR(A14889))</f>
        <v/>
      </c>
    </row>
    <row r="14890">
      <c r="A14890">
        <f>Input!A14890</f>
        <v/>
      </c>
      <c r="B14890">
        <f>IF(ISNUMBER(Input!B14890),IF(AND(Input!B14890&gt;=20,Input!B14890&lt;=700),Input!B14890,""),"")</f>
        <v/>
      </c>
      <c r="C14890">
        <f>IF(B14890="","",INT(A14890))</f>
        <v/>
      </c>
      <c r="D14890">
        <f>IF(B14890="","",HOUR(A14890))</f>
        <v/>
      </c>
    </row>
    <row r="14891">
      <c r="A14891">
        <f>Input!A14891</f>
        <v/>
      </c>
      <c r="B14891">
        <f>IF(ISNUMBER(Input!B14891),IF(AND(Input!B14891&gt;=20,Input!B14891&lt;=700),Input!B14891,""),"")</f>
        <v/>
      </c>
      <c r="C14891">
        <f>IF(B14891="","",INT(A14891))</f>
        <v/>
      </c>
      <c r="D14891">
        <f>IF(B14891="","",HOUR(A14891))</f>
        <v/>
      </c>
    </row>
    <row r="14892">
      <c r="A14892">
        <f>Input!A14892</f>
        <v/>
      </c>
      <c r="B14892">
        <f>IF(ISNUMBER(Input!B14892),IF(AND(Input!B14892&gt;=20,Input!B14892&lt;=700),Input!B14892,""),"")</f>
        <v/>
      </c>
      <c r="C14892">
        <f>IF(B14892="","",INT(A14892))</f>
        <v/>
      </c>
      <c r="D14892">
        <f>IF(B14892="","",HOUR(A14892))</f>
        <v/>
      </c>
    </row>
    <row r="14893">
      <c r="A14893">
        <f>Input!A14893</f>
        <v/>
      </c>
      <c r="B14893">
        <f>IF(ISNUMBER(Input!B14893),IF(AND(Input!B14893&gt;=20,Input!B14893&lt;=700),Input!B14893,""),"")</f>
        <v/>
      </c>
      <c r="C14893">
        <f>IF(B14893="","",INT(A14893))</f>
        <v/>
      </c>
      <c r="D14893">
        <f>IF(B14893="","",HOUR(A14893))</f>
        <v/>
      </c>
    </row>
    <row r="14894">
      <c r="A14894">
        <f>Input!A14894</f>
        <v/>
      </c>
      <c r="B14894">
        <f>IF(ISNUMBER(Input!B14894),IF(AND(Input!B14894&gt;=20,Input!B14894&lt;=700),Input!B14894,""),"")</f>
        <v/>
      </c>
      <c r="C14894">
        <f>IF(B14894="","",INT(A14894))</f>
        <v/>
      </c>
      <c r="D14894">
        <f>IF(B14894="","",HOUR(A14894))</f>
        <v/>
      </c>
    </row>
    <row r="14895">
      <c r="A14895">
        <f>Input!A14895</f>
        <v/>
      </c>
      <c r="B14895">
        <f>IF(ISNUMBER(Input!B14895),IF(AND(Input!B14895&gt;=20,Input!B14895&lt;=700),Input!B14895,""),"")</f>
        <v/>
      </c>
      <c r="C14895">
        <f>IF(B14895="","",INT(A14895))</f>
        <v/>
      </c>
      <c r="D14895">
        <f>IF(B14895="","",HOUR(A14895))</f>
        <v/>
      </c>
    </row>
    <row r="14896">
      <c r="A14896">
        <f>Input!A14896</f>
        <v/>
      </c>
      <c r="B14896">
        <f>IF(ISNUMBER(Input!B14896),IF(AND(Input!B14896&gt;=20,Input!B14896&lt;=700),Input!B14896,""),"")</f>
        <v/>
      </c>
      <c r="C14896">
        <f>IF(B14896="","",INT(A14896))</f>
        <v/>
      </c>
      <c r="D14896">
        <f>IF(B14896="","",HOUR(A14896))</f>
        <v/>
      </c>
    </row>
    <row r="14897">
      <c r="A14897">
        <f>Input!A14897</f>
        <v/>
      </c>
      <c r="B14897">
        <f>IF(ISNUMBER(Input!B14897),IF(AND(Input!B14897&gt;=20,Input!B14897&lt;=700),Input!B14897,""),"")</f>
        <v/>
      </c>
      <c r="C14897">
        <f>IF(B14897="","",INT(A14897))</f>
        <v/>
      </c>
      <c r="D14897">
        <f>IF(B14897="","",HOUR(A14897))</f>
        <v/>
      </c>
    </row>
    <row r="14898">
      <c r="A14898">
        <f>Input!A14898</f>
        <v/>
      </c>
      <c r="B14898">
        <f>IF(ISNUMBER(Input!B14898),IF(AND(Input!B14898&gt;=20,Input!B14898&lt;=700),Input!B14898,""),"")</f>
        <v/>
      </c>
      <c r="C14898">
        <f>IF(B14898="","",INT(A14898))</f>
        <v/>
      </c>
      <c r="D14898">
        <f>IF(B14898="","",HOUR(A14898))</f>
        <v/>
      </c>
    </row>
    <row r="14899">
      <c r="A14899">
        <f>Input!A14899</f>
        <v/>
      </c>
      <c r="B14899">
        <f>IF(ISNUMBER(Input!B14899),IF(AND(Input!B14899&gt;=20,Input!B14899&lt;=700),Input!B14899,""),"")</f>
        <v/>
      </c>
      <c r="C14899">
        <f>IF(B14899="","",INT(A14899))</f>
        <v/>
      </c>
      <c r="D14899">
        <f>IF(B14899="","",HOUR(A14899))</f>
        <v/>
      </c>
    </row>
    <row r="14900">
      <c r="A14900">
        <f>Input!A14900</f>
        <v/>
      </c>
      <c r="B14900">
        <f>IF(ISNUMBER(Input!B14900),IF(AND(Input!B14900&gt;=20,Input!B14900&lt;=700),Input!B14900,""),"")</f>
        <v/>
      </c>
      <c r="C14900">
        <f>IF(B14900="","",INT(A14900))</f>
        <v/>
      </c>
      <c r="D14900">
        <f>IF(B14900="","",HOUR(A14900))</f>
        <v/>
      </c>
    </row>
    <row r="14901">
      <c r="A14901">
        <f>Input!A14901</f>
        <v/>
      </c>
      <c r="B14901">
        <f>IF(ISNUMBER(Input!B14901),IF(AND(Input!B14901&gt;=20,Input!B14901&lt;=700),Input!B14901,""),"")</f>
        <v/>
      </c>
      <c r="C14901">
        <f>IF(B14901="","",INT(A14901))</f>
        <v/>
      </c>
      <c r="D14901">
        <f>IF(B14901="","",HOUR(A14901))</f>
        <v/>
      </c>
    </row>
    <row r="14902">
      <c r="A14902">
        <f>Input!A14902</f>
        <v/>
      </c>
      <c r="B14902">
        <f>IF(ISNUMBER(Input!B14902),IF(AND(Input!B14902&gt;=20,Input!B14902&lt;=700),Input!B14902,""),"")</f>
        <v/>
      </c>
      <c r="C14902">
        <f>IF(B14902="","",INT(A14902))</f>
        <v/>
      </c>
      <c r="D14902">
        <f>IF(B14902="","",HOUR(A14902))</f>
        <v/>
      </c>
    </row>
    <row r="14903">
      <c r="A14903">
        <f>Input!A14903</f>
        <v/>
      </c>
      <c r="B14903">
        <f>IF(ISNUMBER(Input!B14903),IF(AND(Input!B14903&gt;=20,Input!B14903&lt;=700),Input!B14903,""),"")</f>
        <v/>
      </c>
      <c r="C14903">
        <f>IF(B14903="","",INT(A14903))</f>
        <v/>
      </c>
      <c r="D14903">
        <f>IF(B14903="","",HOUR(A14903))</f>
        <v/>
      </c>
    </row>
    <row r="14904">
      <c r="A14904">
        <f>Input!A14904</f>
        <v/>
      </c>
      <c r="B14904">
        <f>IF(ISNUMBER(Input!B14904),IF(AND(Input!B14904&gt;=20,Input!B14904&lt;=700),Input!B14904,""),"")</f>
        <v/>
      </c>
      <c r="C14904">
        <f>IF(B14904="","",INT(A14904))</f>
        <v/>
      </c>
      <c r="D14904">
        <f>IF(B14904="","",HOUR(A14904))</f>
        <v/>
      </c>
    </row>
    <row r="14905">
      <c r="A14905">
        <f>Input!A14905</f>
        <v/>
      </c>
      <c r="B14905">
        <f>IF(ISNUMBER(Input!B14905),IF(AND(Input!B14905&gt;=20,Input!B14905&lt;=700),Input!B14905,""),"")</f>
        <v/>
      </c>
      <c r="C14905">
        <f>IF(B14905="","",INT(A14905))</f>
        <v/>
      </c>
      <c r="D14905">
        <f>IF(B14905="","",HOUR(A14905))</f>
        <v/>
      </c>
    </row>
    <row r="14906">
      <c r="A14906">
        <f>Input!A14906</f>
        <v/>
      </c>
      <c r="B14906">
        <f>IF(ISNUMBER(Input!B14906),IF(AND(Input!B14906&gt;=20,Input!B14906&lt;=700),Input!B14906,""),"")</f>
        <v/>
      </c>
      <c r="C14906">
        <f>IF(B14906="","",INT(A14906))</f>
        <v/>
      </c>
      <c r="D14906">
        <f>IF(B14906="","",HOUR(A14906))</f>
        <v/>
      </c>
    </row>
    <row r="14907">
      <c r="A14907">
        <f>Input!A14907</f>
        <v/>
      </c>
      <c r="B14907">
        <f>IF(ISNUMBER(Input!B14907),IF(AND(Input!B14907&gt;=20,Input!B14907&lt;=700),Input!B14907,""),"")</f>
        <v/>
      </c>
      <c r="C14907">
        <f>IF(B14907="","",INT(A14907))</f>
        <v/>
      </c>
      <c r="D14907">
        <f>IF(B14907="","",HOUR(A14907))</f>
        <v/>
      </c>
    </row>
    <row r="14908">
      <c r="A14908">
        <f>Input!A14908</f>
        <v/>
      </c>
      <c r="B14908">
        <f>IF(ISNUMBER(Input!B14908),IF(AND(Input!B14908&gt;=20,Input!B14908&lt;=700),Input!B14908,""),"")</f>
        <v/>
      </c>
      <c r="C14908">
        <f>IF(B14908="","",INT(A14908))</f>
        <v/>
      </c>
      <c r="D14908">
        <f>IF(B14908="","",HOUR(A14908))</f>
        <v/>
      </c>
    </row>
    <row r="14909">
      <c r="A14909">
        <f>Input!A14909</f>
        <v/>
      </c>
      <c r="B14909">
        <f>IF(ISNUMBER(Input!B14909),IF(AND(Input!B14909&gt;=20,Input!B14909&lt;=700),Input!B14909,""),"")</f>
        <v/>
      </c>
      <c r="C14909">
        <f>IF(B14909="","",INT(A14909))</f>
        <v/>
      </c>
      <c r="D14909">
        <f>IF(B14909="","",HOUR(A14909))</f>
        <v/>
      </c>
    </row>
    <row r="14910">
      <c r="A14910">
        <f>Input!A14910</f>
        <v/>
      </c>
      <c r="B14910">
        <f>IF(ISNUMBER(Input!B14910),IF(AND(Input!B14910&gt;=20,Input!B14910&lt;=700),Input!B14910,""),"")</f>
        <v/>
      </c>
      <c r="C14910">
        <f>IF(B14910="","",INT(A14910))</f>
        <v/>
      </c>
      <c r="D14910">
        <f>IF(B14910="","",HOUR(A14910))</f>
        <v/>
      </c>
    </row>
    <row r="14911">
      <c r="A14911">
        <f>Input!A14911</f>
        <v/>
      </c>
      <c r="B14911">
        <f>IF(ISNUMBER(Input!B14911),IF(AND(Input!B14911&gt;=20,Input!B14911&lt;=700),Input!B14911,""),"")</f>
        <v/>
      </c>
      <c r="C14911">
        <f>IF(B14911="","",INT(A14911))</f>
        <v/>
      </c>
      <c r="D14911">
        <f>IF(B14911="","",HOUR(A14911))</f>
        <v/>
      </c>
    </row>
    <row r="14912">
      <c r="A14912">
        <f>Input!A14912</f>
        <v/>
      </c>
      <c r="B14912">
        <f>IF(ISNUMBER(Input!B14912),IF(AND(Input!B14912&gt;=20,Input!B14912&lt;=700),Input!B14912,""),"")</f>
        <v/>
      </c>
      <c r="C14912">
        <f>IF(B14912="","",INT(A14912))</f>
        <v/>
      </c>
      <c r="D14912">
        <f>IF(B14912="","",HOUR(A14912))</f>
        <v/>
      </c>
    </row>
    <row r="14913">
      <c r="A14913">
        <f>Input!A14913</f>
        <v/>
      </c>
      <c r="B14913">
        <f>IF(ISNUMBER(Input!B14913),IF(AND(Input!B14913&gt;=20,Input!B14913&lt;=700),Input!B14913,""),"")</f>
        <v/>
      </c>
      <c r="C14913">
        <f>IF(B14913="","",INT(A14913))</f>
        <v/>
      </c>
      <c r="D14913">
        <f>IF(B14913="","",HOUR(A14913))</f>
        <v/>
      </c>
    </row>
    <row r="14914">
      <c r="A14914">
        <f>Input!A14914</f>
        <v/>
      </c>
      <c r="B14914">
        <f>IF(ISNUMBER(Input!B14914),IF(AND(Input!B14914&gt;=20,Input!B14914&lt;=700),Input!B14914,""),"")</f>
        <v/>
      </c>
      <c r="C14914">
        <f>IF(B14914="","",INT(A14914))</f>
        <v/>
      </c>
      <c r="D14914">
        <f>IF(B14914="","",HOUR(A14914))</f>
        <v/>
      </c>
    </row>
    <row r="14915">
      <c r="A14915">
        <f>Input!A14915</f>
        <v/>
      </c>
      <c r="B14915">
        <f>IF(ISNUMBER(Input!B14915),IF(AND(Input!B14915&gt;=20,Input!B14915&lt;=700),Input!B14915,""),"")</f>
        <v/>
      </c>
      <c r="C14915">
        <f>IF(B14915="","",INT(A14915))</f>
        <v/>
      </c>
      <c r="D14915">
        <f>IF(B14915="","",HOUR(A14915))</f>
        <v/>
      </c>
    </row>
    <row r="14916">
      <c r="A14916">
        <f>Input!A14916</f>
        <v/>
      </c>
      <c r="B14916">
        <f>IF(ISNUMBER(Input!B14916),IF(AND(Input!B14916&gt;=20,Input!B14916&lt;=700),Input!B14916,""),"")</f>
        <v/>
      </c>
      <c r="C14916">
        <f>IF(B14916="","",INT(A14916))</f>
        <v/>
      </c>
      <c r="D14916">
        <f>IF(B14916="","",HOUR(A14916))</f>
        <v/>
      </c>
    </row>
    <row r="14917">
      <c r="A14917">
        <f>Input!A14917</f>
        <v/>
      </c>
      <c r="B14917">
        <f>IF(ISNUMBER(Input!B14917),IF(AND(Input!B14917&gt;=20,Input!B14917&lt;=700),Input!B14917,""),"")</f>
        <v/>
      </c>
      <c r="C14917">
        <f>IF(B14917="","",INT(A14917))</f>
        <v/>
      </c>
      <c r="D14917">
        <f>IF(B14917="","",HOUR(A14917))</f>
        <v/>
      </c>
    </row>
    <row r="14918">
      <c r="A14918">
        <f>Input!A14918</f>
        <v/>
      </c>
      <c r="B14918">
        <f>IF(ISNUMBER(Input!B14918),IF(AND(Input!B14918&gt;=20,Input!B14918&lt;=700),Input!B14918,""),"")</f>
        <v/>
      </c>
      <c r="C14918">
        <f>IF(B14918="","",INT(A14918))</f>
        <v/>
      </c>
      <c r="D14918">
        <f>IF(B14918="","",HOUR(A14918))</f>
        <v/>
      </c>
    </row>
    <row r="14919">
      <c r="A14919">
        <f>Input!A14919</f>
        <v/>
      </c>
      <c r="B14919">
        <f>IF(ISNUMBER(Input!B14919),IF(AND(Input!B14919&gt;=20,Input!B14919&lt;=700),Input!B14919,""),"")</f>
        <v/>
      </c>
      <c r="C14919">
        <f>IF(B14919="","",INT(A14919))</f>
        <v/>
      </c>
      <c r="D14919">
        <f>IF(B14919="","",HOUR(A14919))</f>
        <v/>
      </c>
    </row>
    <row r="14920">
      <c r="A14920">
        <f>Input!A14920</f>
        <v/>
      </c>
      <c r="B14920">
        <f>IF(ISNUMBER(Input!B14920),IF(AND(Input!B14920&gt;=20,Input!B14920&lt;=700),Input!B14920,""),"")</f>
        <v/>
      </c>
      <c r="C14920">
        <f>IF(B14920="","",INT(A14920))</f>
        <v/>
      </c>
      <c r="D14920">
        <f>IF(B14920="","",HOUR(A14920))</f>
        <v/>
      </c>
    </row>
    <row r="14921">
      <c r="A14921">
        <f>Input!A14921</f>
        <v/>
      </c>
      <c r="B14921">
        <f>IF(ISNUMBER(Input!B14921),IF(AND(Input!B14921&gt;=20,Input!B14921&lt;=700),Input!B14921,""),"")</f>
        <v/>
      </c>
      <c r="C14921">
        <f>IF(B14921="","",INT(A14921))</f>
        <v/>
      </c>
      <c r="D14921">
        <f>IF(B14921="","",HOUR(A14921))</f>
        <v/>
      </c>
    </row>
    <row r="14922">
      <c r="A14922">
        <f>Input!A14922</f>
        <v/>
      </c>
      <c r="B14922">
        <f>IF(ISNUMBER(Input!B14922),IF(AND(Input!B14922&gt;=20,Input!B14922&lt;=700),Input!B14922,""),"")</f>
        <v/>
      </c>
      <c r="C14922">
        <f>IF(B14922="","",INT(A14922))</f>
        <v/>
      </c>
      <c r="D14922">
        <f>IF(B14922="","",HOUR(A14922))</f>
        <v/>
      </c>
    </row>
    <row r="14923">
      <c r="A14923">
        <f>Input!A14923</f>
        <v/>
      </c>
      <c r="B14923">
        <f>IF(ISNUMBER(Input!B14923),IF(AND(Input!B14923&gt;=20,Input!B14923&lt;=700),Input!B14923,""),"")</f>
        <v/>
      </c>
      <c r="C14923">
        <f>IF(B14923="","",INT(A14923))</f>
        <v/>
      </c>
      <c r="D14923">
        <f>IF(B14923="","",HOUR(A14923))</f>
        <v/>
      </c>
    </row>
    <row r="14924">
      <c r="A14924">
        <f>Input!A14924</f>
        <v/>
      </c>
      <c r="B14924">
        <f>IF(ISNUMBER(Input!B14924),IF(AND(Input!B14924&gt;=20,Input!B14924&lt;=700),Input!B14924,""),"")</f>
        <v/>
      </c>
      <c r="C14924">
        <f>IF(B14924="","",INT(A14924))</f>
        <v/>
      </c>
      <c r="D14924">
        <f>IF(B14924="","",HOUR(A14924))</f>
        <v/>
      </c>
    </row>
    <row r="14925">
      <c r="A14925">
        <f>Input!A14925</f>
        <v/>
      </c>
      <c r="B14925">
        <f>IF(ISNUMBER(Input!B14925),IF(AND(Input!B14925&gt;=20,Input!B14925&lt;=700),Input!B14925,""),"")</f>
        <v/>
      </c>
      <c r="C14925">
        <f>IF(B14925="","",INT(A14925))</f>
        <v/>
      </c>
      <c r="D14925">
        <f>IF(B14925="","",HOUR(A14925))</f>
        <v/>
      </c>
    </row>
    <row r="14926">
      <c r="A14926">
        <f>Input!A14926</f>
        <v/>
      </c>
      <c r="B14926">
        <f>IF(ISNUMBER(Input!B14926),IF(AND(Input!B14926&gt;=20,Input!B14926&lt;=700),Input!B14926,""),"")</f>
        <v/>
      </c>
      <c r="C14926">
        <f>IF(B14926="","",INT(A14926))</f>
        <v/>
      </c>
      <c r="D14926">
        <f>IF(B14926="","",HOUR(A14926))</f>
        <v/>
      </c>
    </row>
    <row r="14927">
      <c r="A14927">
        <f>Input!A14927</f>
        <v/>
      </c>
      <c r="B14927">
        <f>IF(ISNUMBER(Input!B14927),IF(AND(Input!B14927&gt;=20,Input!B14927&lt;=700),Input!B14927,""),"")</f>
        <v/>
      </c>
      <c r="C14927">
        <f>IF(B14927="","",INT(A14927))</f>
        <v/>
      </c>
      <c r="D14927">
        <f>IF(B14927="","",HOUR(A14927))</f>
        <v/>
      </c>
    </row>
    <row r="14928">
      <c r="A14928">
        <f>Input!A14928</f>
        <v/>
      </c>
      <c r="B14928">
        <f>IF(ISNUMBER(Input!B14928),IF(AND(Input!B14928&gt;=20,Input!B14928&lt;=700),Input!B14928,""),"")</f>
        <v/>
      </c>
      <c r="C14928">
        <f>IF(B14928="","",INT(A14928))</f>
        <v/>
      </c>
      <c r="D14928">
        <f>IF(B14928="","",HOUR(A14928))</f>
        <v/>
      </c>
    </row>
    <row r="14929">
      <c r="A14929">
        <f>Input!A14929</f>
        <v/>
      </c>
      <c r="B14929">
        <f>IF(ISNUMBER(Input!B14929),IF(AND(Input!B14929&gt;=20,Input!B14929&lt;=700),Input!B14929,""),"")</f>
        <v/>
      </c>
      <c r="C14929">
        <f>IF(B14929="","",INT(A14929))</f>
        <v/>
      </c>
      <c r="D14929">
        <f>IF(B14929="","",HOUR(A14929))</f>
        <v/>
      </c>
    </row>
    <row r="14930">
      <c r="A14930">
        <f>Input!A14930</f>
        <v/>
      </c>
      <c r="B14930">
        <f>IF(ISNUMBER(Input!B14930),IF(AND(Input!B14930&gt;=20,Input!B14930&lt;=700),Input!B14930,""),"")</f>
        <v/>
      </c>
      <c r="C14930">
        <f>IF(B14930="","",INT(A14930))</f>
        <v/>
      </c>
      <c r="D14930">
        <f>IF(B14930="","",HOUR(A14930))</f>
        <v/>
      </c>
    </row>
    <row r="14931">
      <c r="A14931">
        <f>Input!A14931</f>
        <v/>
      </c>
      <c r="B14931">
        <f>IF(ISNUMBER(Input!B14931),IF(AND(Input!B14931&gt;=20,Input!B14931&lt;=700),Input!B14931,""),"")</f>
        <v/>
      </c>
      <c r="C14931">
        <f>IF(B14931="","",INT(A14931))</f>
        <v/>
      </c>
      <c r="D14931">
        <f>IF(B14931="","",HOUR(A14931))</f>
        <v/>
      </c>
    </row>
    <row r="14932">
      <c r="A14932">
        <f>Input!A14932</f>
        <v/>
      </c>
      <c r="B14932">
        <f>IF(ISNUMBER(Input!B14932),IF(AND(Input!B14932&gt;=20,Input!B14932&lt;=700),Input!B14932,""),"")</f>
        <v/>
      </c>
      <c r="C14932">
        <f>IF(B14932="","",INT(A14932))</f>
        <v/>
      </c>
      <c r="D14932">
        <f>IF(B14932="","",HOUR(A14932))</f>
        <v/>
      </c>
    </row>
    <row r="14933">
      <c r="A14933">
        <f>Input!A14933</f>
        <v/>
      </c>
      <c r="B14933">
        <f>IF(ISNUMBER(Input!B14933),IF(AND(Input!B14933&gt;=20,Input!B14933&lt;=700),Input!B14933,""),"")</f>
        <v/>
      </c>
      <c r="C14933">
        <f>IF(B14933="","",INT(A14933))</f>
        <v/>
      </c>
      <c r="D14933">
        <f>IF(B14933="","",HOUR(A14933))</f>
        <v/>
      </c>
    </row>
    <row r="14934">
      <c r="A14934">
        <f>Input!A14934</f>
        <v/>
      </c>
      <c r="B14934">
        <f>IF(ISNUMBER(Input!B14934),IF(AND(Input!B14934&gt;=20,Input!B14934&lt;=700),Input!B14934,""),"")</f>
        <v/>
      </c>
      <c r="C14934">
        <f>IF(B14934="","",INT(A14934))</f>
        <v/>
      </c>
      <c r="D14934">
        <f>IF(B14934="","",HOUR(A14934))</f>
        <v/>
      </c>
    </row>
    <row r="14935">
      <c r="A14935">
        <f>Input!A14935</f>
        <v/>
      </c>
      <c r="B14935">
        <f>IF(ISNUMBER(Input!B14935),IF(AND(Input!B14935&gt;=20,Input!B14935&lt;=700),Input!B14935,""),"")</f>
        <v/>
      </c>
      <c r="C14935">
        <f>IF(B14935="","",INT(A14935))</f>
        <v/>
      </c>
      <c r="D14935">
        <f>IF(B14935="","",HOUR(A14935))</f>
        <v/>
      </c>
    </row>
    <row r="14936">
      <c r="A14936">
        <f>Input!A14936</f>
        <v/>
      </c>
      <c r="B14936">
        <f>IF(ISNUMBER(Input!B14936),IF(AND(Input!B14936&gt;=20,Input!B14936&lt;=700),Input!B14936,""),"")</f>
        <v/>
      </c>
      <c r="C14936">
        <f>IF(B14936="","",INT(A14936))</f>
        <v/>
      </c>
      <c r="D14936">
        <f>IF(B14936="","",HOUR(A14936))</f>
        <v/>
      </c>
    </row>
    <row r="14937">
      <c r="A14937">
        <f>Input!A14937</f>
        <v/>
      </c>
      <c r="B14937">
        <f>IF(ISNUMBER(Input!B14937),IF(AND(Input!B14937&gt;=20,Input!B14937&lt;=700),Input!B14937,""),"")</f>
        <v/>
      </c>
      <c r="C14937">
        <f>IF(B14937="","",INT(A14937))</f>
        <v/>
      </c>
      <c r="D14937">
        <f>IF(B14937="","",HOUR(A14937))</f>
        <v/>
      </c>
    </row>
    <row r="14938">
      <c r="A14938">
        <f>Input!A14938</f>
        <v/>
      </c>
      <c r="B14938">
        <f>IF(ISNUMBER(Input!B14938),IF(AND(Input!B14938&gt;=20,Input!B14938&lt;=700),Input!B14938,""),"")</f>
        <v/>
      </c>
      <c r="C14938">
        <f>IF(B14938="","",INT(A14938))</f>
        <v/>
      </c>
      <c r="D14938">
        <f>IF(B14938="","",HOUR(A14938))</f>
        <v/>
      </c>
    </row>
    <row r="14939">
      <c r="A14939">
        <f>Input!A14939</f>
        <v/>
      </c>
      <c r="B14939">
        <f>IF(ISNUMBER(Input!B14939),IF(AND(Input!B14939&gt;=20,Input!B14939&lt;=700),Input!B14939,""),"")</f>
        <v/>
      </c>
      <c r="C14939">
        <f>IF(B14939="","",INT(A14939))</f>
        <v/>
      </c>
      <c r="D14939">
        <f>IF(B14939="","",HOUR(A14939))</f>
        <v/>
      </c>
    </row>
    <row r="14940">
      <c r="A14940">
        <f>Input!A14940</f>
        <v/>
      </c>
      <c r="B14940">
        <f>IF(ISNUMBER(Input!B14940),IF(AND(Input!B14940&gt;=20,Input!B14940&lt;=700),Input!B14940,""),"")</f>
        <v/>
      </c>
      <c r="C14940">
        <f>IF(B14940="","",INT(A14940))</f>
        <v/>
      </c>
      <c r="D14940">
        <f>IF(B14940="","",HOUR(A14940))</f>
        <v/>
      </c>
    </row>
    <row r="14941">
      <c r="A14941">
        <f>Input!A14941</f>
        <v/>
      </c>
      <c r="B14941">
        <f>IF(ISNUMBER(Input!B14941),IF(AND(Input!B14941&gt;=20,Input!B14941&lt;=700),Input!B14941,""),"")</f>
        <v/>
      </c>
      <c r="C14941">
        <f>IF(B14941="","",INT(A14941))</f>
        <v/>
      </c>
      <c r="D14941">
        <f>IF(B14941="","",HOUR(A14941))</f>
        <v/>
      </c>
    </row>
    <row r="14942">
      <c r="A14942">
        <f>Input!A14942</f>
        <v/>
      </c>
      <c r="B14942">
        <f>IF(ISNUMBER(Input!B14942),IF(AND(Input!B14942&gt;=20,Input!B14942&lt;=700),Input!B14942,""),"")</f>
        <v/>
      </c>
      <c r="C14942">
        <f>IF(B14942="","",INT(A14942))</f>
        <v/>
      </c>
      <c r="D14942">
        <f>IF(B14942="","",HOUR(A14942))</f>
        <v/>
      </c>
    </row>
    <row r="14943">
      <c r="A14943">
        <f>Input!A14943</f>
        <v/>
      </c>
      <c r="B14943">
        <f>IF(ISNUMBER(Input!B14943),IF(AND(Input!B14943&gt;=20,Input!B14943&lt;=700),Input!B14943,""),"")</f>
        <v/>
      </c>
      <c r="C14943">
        <f>IF(B14943="","",INT(A14943))</f>
        <v/>
      </c>
      <c r="D14943">
        <f>IF(B14943="","",HOUR(A14943))</f>
        <v/>
      </c>
    </row>
    <row r="14944">
      <c r="A14944">
        <f>Input!A14944</f>
        <v/>
      </c>
      <c r="B14944">
        <f>IF(ISNUMBER(Input!B14944),IF(AND(Input!B14944&gt;=20,Input!B14944&lt;=700),Input!B14944,""),"")</f>
        <v/>
      </c>
      <c r="C14944">
        <f>IF(B14944="","",INT(A14944))</f>
        <v/>
      </c>
      <c r="D14944">
        <f>IF(B14944="","",HOUR(A14944))</f>
        <v/>
      </c>
    </row>
    <row r="14945">
      <c r="A14945">
        <f>Input!A14945</f>
        <v/>
      </c>
      <c r="B14945">
        <f>IF(ISNUMBER(Input!B14945),IF(AND(Input!B14945&gt;=20,Input!B14945&lt;=700),Input!B14945,""),"")</f>
        <v/>
      </c>
      <c r="C14945">
        <f>IF(B14945="","",INT(A14945))</f>
        <v/>
      </c>
      <c r="D14945">
        <f>IF(B14945="","",HOUR(A14945))</f>
        <v/>
      </c>
    </row>
    <row r="14946">
      <c r="A14946">
        <f>Input!A14946</f>
        <v/>
      </c>
      <c r="B14946">
        <f>IF(ISNUMBER(Input!B14946),IF(AND(Input!B14946&gt;=20,Input!B14946&lt;=700),Input!B14946,""),"")</f>
        <v/>
      </c>
      <c r="C14946">
        <f>IF(B14946="","",INT(A14946))</f>
        <v/>
      </c>
      <c r="D14946">
        <f>IF(B14946="","",HOUR(A14946))</f>
        <v/>
      </c>
    </row>
    <row r="14947">
      <c r="A14947">
        <f>Input!A14947</f>
        <v/>
      </c>
      <c r="B14947">
        <f>IF(ISNUMBER(Input!B14947),IF(AND(Input!B14947&gt;=20,Input!B14947&lt;=700),Input!B14947,""),"")</f>
        <v/>
      </c>
      <c r="C14947">
        <f>IF(B14947="","",INT(A14947))</f>
        <v/>
      </c>
      <c r="D14947">
        <f>IF(B14947="","",HOUR(A14947))</f>
        <v/>
      </c>
    </row>
    <row r="14948">
      <c r="A14948">
        <f>Input!A14948</f>
        <v/>
      </c>
      <c r="B14948">
        <f>IF(ISNUMBER(Input!B14948),IF(AND(Input!B14948&gt;=20,Input!B14948&lt;=700),Input!B14948,""),"")</f>
        <v/>
      </c>
      <c r="C14948">
        <f>IF(B14948="","",INT(A14948))</f>
        <v/>
      </c>
      <c r="D14948">
        <f>IF(B14948="","",HOUR(A14948))</f>
        <v/>
      </c>
    </row>
    <row r="14949">
      <c r="A14949">
        <f>Input!A14949</f>
        <v/>
      </c>
      <c r="B14949">
        <f>IF(ISNUMBER(Input!B14949),IF(AND(Input!B14949&gt;=20,Input!B14949&lt;=700),Input!B14949,""),"")</f>
        <v/>
      </c>
      <c r="C14949">
        <f>IF(B14949="","",INT(A14949))</f>
        <v/>
      </c>
      <c r="D14949">
        <f>IF(B14949="","",HOUR(A14949))</f>
        <v/>
      </c>
    </row>
    <row r="14950">
      <c r="A14950">
        <f>Input!A14950</f>
        <v/>
      </c>
      <c r="B14950">
        <f>IF(ISNUMBER(Input!B14950),IF(AND(Input!B14950&gt;=20,Input!B14950&lt;=700),Input!B14950,""),"")</f>
        <v/>
      </c>
      <c r="C14950">
        <f>IF(B14950="","",INT(A14950))</f>
        <v/>
      </c>
      <c r="D14950">
        <f>IF(B14950="","",HOUR(A14950))</f>
        <v/>
      </c>
    </row>
    <row r="14951">
      <c r="A14951">
        <f>Input!A14951</f>
        <v/>
      </c>
      <c r="B14951">
        <f>IF(ISNUMBER(Input!B14951),IF(AND(Input!B14951&gt;=20,Input!B14951&lt;=700),Input!B14951,""),"")</f>
        <v/>
      </c>
      <c r="C14951">
        <f>IF(B14951="","",INT(A14951))</f>
        <v/>
      </c>
      <c r="D14951">
        <f>IF(B14951="","",HOUR(A14951))</f>
        <v/>
      </c>
    </row>
    <row r="14952">
      <c r="A14952">
        <f>Input!A14952</f>
        <v/>
      </c>
      <c r="B14952">
        <f>IF(ISNUMBER(Input!B14952),IF(AND(Input!B14952&gt;=20,Input!B14952&lt;=700),Input!B14952,""),"")</f>
        <v/>
      </c>
      <c r="C14952">
        <f>IF(B14952="","",INT(A14952))</f>
        <v/>
      </c>
      <c r="D14952">
        <f>IF(B14952="","",HOUR(A14952))</f>
        <v/>
      </c>
    </row>
    <row r="14953">
      <c r="A14953">
        <f>Input!A14953</f>
        <v/>
      </c>
      <c r="B14953">
        <f>IF(ISNUMBER(Input!B14953),IF(AND(Input!B14953&gt;=20,Input!B14953&lt;=700),Input!B14953,""),"")</f>
        <v/>
      </c>
      <c r="C14953">
        <f>IF(B14953="","",INT(A14953))</f>
        <v/>
      </c>
      <c r="D14953">
        <f>IF(B14953="","",HOUR(A14953))</f>
        <v/>
      </c>
    </row>
    <row r="14954">
      <c r="A14954">
        <f>Input!A14954</f>
        <v/>
      </c>
      <c r="B14954">
        <f>IF(ISNUMBER(Input!B14954),IF(AND(Input!B14954&gt;=20,Input!B14954&lt;=700),Input!B14954,""),"")</f>
        <v/>
      </c>
      <c r="C14954">
        <f>IF(B14954="","",INT(A14954))</f>
        <v/>
      </c>
      <c r="D14954">
        <f>IF(B14954="","",HOUR(A14954))</f>
        <v/>
      </c>
    </row>
    <row r="14955">
      <c r="A14955">
        <f>Input!A14955</f>
        <v/>
      </c>
      <c r="B14955">
        <f>IF(ISNUMBER(Input!B14955),IF(AND(Input!B14955&gt;=20,Input!B14955&lt;=700),Input!B14955,""),"")</f>
        <v/>
      </c>
      <c r="C14955">
        <f>IF(B14955="","",INT(A14955))</f>
        <v/>
      </c>
      <c r="D14955">
        <f>IF(B14955="","",HOUR(A14955))</f>
        <v/>
      </c>
    </row>
    <row r="14956">
      <c r="A14956">
        <f>Input!A14956</f>
        <v/>
      </c>
      <c r="B14956">
        <f>IF(ISNUMBER(Input!B14956),IF(AND(Input!B14956&gt;=20,Input!B14956&lt;=700),Input!B14956,""),"")</f>
        <v/>
      </c>
      <c r="C14956">
        <f>IF(B14956="","",INT(A14956))</f>
        <v/>
      </c>
      <c r="D14956">
        <f>IF(B14956="","",HOUR(A14956))</f>
        <v/>
      </c>
    </row>
    <row r="14957">
      <c r="A14957">
        <f>Input!A14957</f>
        <v/>
      </c>
      <c r="B14957">
        <f>IF(ISNUMBER(Input!B14957),IF(AND(Input!B14957&gt;=20,Input!B14957&lt;=700),Input!B14957,""),"")</f>
        <v/>
      </c>
      <c r="C14957">
        <f>IF(B14957="","",INT(A14957))</f>
        <v/>
      </c>
      <c r="D14957">
        <f>IF(B14957="","",HOUR(A14957))</f>
        <v/>
      </c>
    </row>
    <row r="14958">
      <c r="A14958">
        <f>Input!A14958</f>
        <v/>
      </c>
      <c r="B14958">
        <f>IF(ISNUMBER(Input!B14958),IF(AND(Input!B14958&gt;=20,Input!B14958&lt;=700),Input!B14958,""),"")</f>
        <v/>
      </c>
      <c r="C14958">
        <f>IF(B14958="","",INT(A14958))</f>
        <v/>
      </c>
      <c r="D14958">
        <f>IF(B14958="","",HOUR(A14958))</f>
        <v/>
      </c>
    </row>
    <row r="14959">
      <c r="A14959">
        <f>Input!A14959</f>
        <v/>
      </c>
      <c r="B14959">
        <f>IF(ISNUMBER(Input!B14959),IF(AND(Input!B14959&gt;=20,Input!B14959&lt;=700),Input!B14959,""),"")</f>
        <v/>
      </c>
      <c r="C14959">
        <f>IF(B14959="","",INT(A14959))</f>
        <v/>
      </c>
      <c r="D14959">
        <f>IF(B14959="","",HOUR(A14959))</f>
        <v/>
      </c>
    </row>
    <row r="14960">
      <c r="A14960">
        <f>Input!A14960</f>
        <v/>
      </c>
      <c r="B14960">
        <f>IF(ISNUMBER(Input!B14960),IF(AND(Input!B14960&gt;=20,Input!B14960&lt;=700),Input!B14960,""),"")</f>
        <v/>
      </c>
      <c r="C14960">
        <f>IF(B14960="","",INT(A14960))</f>
        <v/>
      </c>
      <c r="D14960">
        <f>IF(B14960="","",HOUR(A14960))</f>
        <v/>
      </c>
    </row>
    <row r="14961">
      <c r="A14961">
        <f>Input!A14961</f>
        <v/>
      </c>
      <c r="B14961">
        <f>IF(ISNUMBER(Input!B14961),IF(AND(Input!B14961&gt;=20,Input!B14961&lt;=700),Input!B14961,""),"")</f>
        <v/>
      </c>
      <c r="C14961">
        <f>IF(B14961="","",INT(A14961))</f>
        <v/>
      </c>
      <c r="D14961">
        <f>IF(B14961="","",HOUR(A14961))</f>
        <v/>
      </c>
    </row>
    <row r="14962">
      <c r="A14962">
        <f>Input!A14962</f>
        <v/>
      </c>
      <c r="B14962">
        <f>IF(ISNUMBER(Input!B14962),IF(AND(Input!B14962&gt;=20,Input!B14962&lt;=700),Input!B14962,""),"")</f>
        <v/>
      </c>
      <c r="C14962">
        <f>IF(B14962="","",INT(A14962))</f>
        <v/>
      </c>
      <c r="D14962">
        <f>IF(B14962="","",HOUR(A14962))</f>
        <v/>
      </c>
    </row>
    <row r="14963">
      <c r="A14963">
        <f>Input!A14963</f>
        <v/>
      </c>
      <c r="B14963">
        <f>IF(ISNUMBER(Input!B14963),IF(AND(Input!B14963&gt;=20,Input!B14963&lt;=700),Input!B14963,""),"")</f>
        <v/>
      </c>
      <c r="C14963">
        <f>IF(B14963="","",INT(A14963))</f>
        <v/>
      </c>
      <c r="D14963">
        <f>IF(B14963="","",HOUR(A14963))</f>
        <v/>
      </c>
    </row>
    <row r="14964">
      <c r="A14964">
        <f>Input!A14964</f>
        <v/>
      </c>
      <c r="B14964">
        <f>IF(ISNUMBER(Input!B14964),IF(AND(Input!B14964&gt;=20,Input!B14964&lt;=700),Input!B14964,""),"")</f>
        <v/>
      </c>
      <c r="C14964">
        <f>IF(B14964="","",INT(A14964))</f>
        <v/>
      </c>
      <c r="D14964">
        <f>IF(B14964="","",HOUR(A14964))</f>
        <v/>
      </c>
    </row>
    <row r="14965">
      <c r="A14965">
        <f>Input!A14965</f>
        <v/>
      </c>
      <c r="B14965">
        <f>IF(ISNUMBER(Input!B14965),IF(AND(Input!B14965&gt;=20,Input!B14965&lt;=700),Input!B14965,""),"")</f>
        <v/>
      </c>
      <c r="C14965">
        <f>IF(B14965="","",INT(A14965))</f>
        <v/>
      </c>
      <c r="D14965">
        <f>IF(B14965="","",HOUR(A14965))</f>
        <v/>
      </c>
    </row>
    <row r="14966">
      <c r="A14966">
        <f>Input!A14966</f>
        <v/>
      </c>
      <c r="B14966">
        <f>IF(ISNUMBER(Input!B14966),IF(AND(Input!B14966&gt;=20,Input!B14966&lt;=700),Input!B14966,""),"")</f>
        <v/>
      </c>
      <c r="C14966">
        <f>IF(B14966="","",INT(A14966))</f>
        <v/>
      </c>
      <c r="D14966">
        <f>IF(B14966="","",HOUR(A14966))</f>
        <v/>
      </c>
    </row>
    <row r="14967">
      <c r="A14967">
        <f>Input!A14967</f>
        <v/>
      </c>
      <c r="B14967">
        <f>IF(ISNUMBER(Input!B14967),IF(AND(Input!B14967&gt;=20,Input!B14967&lt;=700),Input!B14967,""),"")</f>
        <v/>
      </c>
      <c r="C14967">
        <f>IF(B14967="","",INT(A14967))</f>
        <v/>
      </c>
      <c r="D14967">
        <f>IF(B14967="","",HOUR(A14967))</f>
        <v/>
      </c>
    </row>
    <row r="14968">
      <c r="A14968">
        <f>Input!A14968</f>
        <v/>
      </c>
      <c r="B14968">
        <f>IF(ISNUMBER(Input!B14968),IF(AND(Input!B14968&gt;=20,Input!B14968&lt;=700),Input!B14968,""),"")</f>
        <v/>
      </c>
      <c r="C14968">
        <f>IF(B14968="","",INT(A14968))</f>
        <v/>
      </c>
      <c r="D14968">
        <f>IF(B14968="","",HOUR(A14968))</f>
        <v/>
      </c>
    </row>
    <row r="14969">
      <c r="A14969">
        <f>Input!A14969</f>
        <v/>
      </c>
      <c r="B14969">
        <f>IF(ISNUMBER(Input!B14969),IF(AND(Input!B14969&gt;=20,Input!B14969&lt;=700),Input!B14969,""),"")</f>
        <v/>
      </c>
      <c r="C14969">
        <f>IF(B14969="","",INT(A14969))</f>
        <v/>
      </c>
      <c r="D14969">
        <f>IF(B14969="","",HOUR(A14969))</f>
        <v/>
      </c>
    </row>
    <row r="14970">
      <c r="A14970">
        <f>Input!A14970</f>
        <v/>
      </c>
      <c r="B14970">
        <f>IF(ISNUMBER(Input!B14970),IF(AND(Input!B14970&gt;=20,Input!B14970&lt;=700),Input!B14970,""),"")</f>
        <v/>
      </c>
      <c r="C14970">
        <f>IF(B14970="","",INT(A14970))</f>
        <v/>
      </c>
      <c r="D14970">
        <f>IF(B14970="","",HOUR(A14970))</f>
        <v/>
      </c>
    </row>
    <row r="14971">
      <c r="A14971">
        <f>Input!A14971</f>
        <v/>
      </c>
      <c r="B14971">
        <f>IF(ISNUMBER(Input!B14971),IF(AND(Input!B14971&gt;=20,Input!B14971&lt;=700),Input!B14971,""),"")</f>
        <v/>
      </c>
      <c r="C14971">
        <f>IF(B14971="","",INT(A14971))</f>
        <v/>
      </c>
      <c r="D14971">
        <f>IF(B14971="","",HOUR(A14971))</f>
        <v/>
      </c>
    </row>
    <row r="14972">
      <c r="A14972">
        <f>Input!A14972</f>
        <v/>
      </c>
      <c r="B14972">
        <f>IF(ISNUMBER(Input!B14972),IF(AND(Input!B14972&gt;=20,Input!B14972&lt;=700),Input!B14972,""),"")</f>
        <v/>
      </c>
      <c r="C14972">
        <f>IF(B14972="","",INT(A14972))</f>
        <v/>
      </c>
      <c r="D14972">
        <f>IF(B14972="","",HOUR(A14972))</f>
        <v/>
      </c>
    </row>
    <row r="14973">
      <c r="A14973">
        <f>Input!A14973</f>
        <v/>
      </c>
      <c r="B14973">
        <f>IF(ISNUMBER(Input!B14973),IF(AND(Input!B14973&gt;=20,Input!B14973&lt;=700),Input!B14973,""),"")</f>
        <v/>
      </c>
      <c r="C14973">
        <f>IF(B14973="","",INT(A14973))</f>
        <v/>
      </c>
      <c r="D14973">
        <f>IF(B14973="","",HOUR(A14973))</f>
        <v/>
      </c>
    </row>
    <row r="14974">
      <c r="A14974">
        <f>Input!A14974</f>
        <v/>
      </c>
      <c r="B14974">
        <f>IF(ISNUMBER(Input!B14974),IF(AND(Input!B14974&gt;=20,Input!B14974&lt;=700),Input!B14974,""),"")</f>
        <v/>
      </c>
      <c r="C14974">
        <f>IF(B14974="","",INT(A14974))</f>
        <v/>
      </c>
      <c r="D14974">
        <f>IF(B14974="","",HOUR(A14974))</f>
        <v/>
      </c>
    </row>
    <row r="14975">
      <c r="A14975">
        <f>Input!A14975</f>
        <v/>
      </c>
      <c r="B14975">
        <f>IF(ISNUMBER(Input!B14975),IF(AND(Input!B14975&gt;=20,Input!B14975&lt;=700),Input!B14975,""),"")</f>
        <v/>
      </c>
      <c r="C14975">
        <f>IF(B14975="","",INT(A14975))</f>
        <v/>
      </c>
      <c r="D14975">
        <f>IF(B14975="","",HOUR(A14975))</f>
        <v/>
      </c>
    </row>
    <row r="14976">
      <c r="A14976">
        <f>Input!A14976</f>
        <v/>
      </c>
      <c r="B14976">
        <f>IF(ISNUMBER(Input!B14976),IF(AND(Input!B14976&gt;=20,Input!B14976&lt;=700),Input!B14976,""),"")</f>
        <v/>
      </c>
      <c r="C14976">
        <f>IF(B14976="","",INT(A14976))</f>
        <v/>
      </c>
      <c r="D14976">
        <f>IF(B14976="","",HOUR(A14976))</f>
        <v/>
      </c>
    </row>
    <row r="14977">
      <c r="A14977">
        <f>Input!A14977</f>
        <v/>
      </c>
      <c r="B14977">
        <f>IF(ISNUMBER(Input!B14977),IF(AND(Input!B14977&gt;=20,Input!B14977&lt;=700),Input!B14977,""),"")</f>
        <v/>
      </c>
      <c r="C14977">
        <f>IF(B14977="","",INT(A14977))</f>
        <v/>
      </c>
      <c r="D14977">
        <f>IF(B14977="","",HOUR(A14977))</f>
        <v/>
      </c>
    </row>
    <row r="14978">
      <c r="A14978">
        <f>Input!A14978</f>
        <v/>
      </c>
      <c r="B14978">
        <f>IF(ISNUMBER(Input!B14978),IF(AND(Input!B14978&gt;=20,Input!B14978&lt;=700),Input!B14978,""),"")</f>
        <v/>
      </c>
      <c r="C14978">
        <f>IF(B14978="","",INT(A14978))</f>
        <v/>
      </c>
      <c r="D14978">
        <f>IF(B14978="","",HOUR(A14978))</f>
        <v/>
      </c>
    </row>
    <row r="14979">
      <c r="A14979">
        <f>Input!A14979</f>
        <v/>
      </c>
      <c r="B14979">
        <f>IF(ISNUMBER(Input!B14979),IF(AND(Input!B14979&gt;=20,Input!B14979&lt;=700),Input!B14979,""),"")</f>
        <v/>
      </c>
      <c r="C14979">
        <f>IF(B14979="","",INT(A14979))</f>
        <v/>
      </c>
      <c r="D14979">
        <f>IF(B14979="","",HOUR(A14979))</f>
        <v/>
      </c>
    </row>
    <row r="14980">
      <c r="A14980">
        <f>Input!A14980</f>
        <v/>
      </c>
      <c r="B14980">
        <f>IF(ISNUMBER(Input!B14980),IF(AND(Input!B14980&gt;=20,Input!B14980&lt;=700),Input!B14980,""),"")</f>
        <v/>
      </c>
      <c r="C14980">
        <f>IF(B14980="","",INT(A14980))</f>
        <v/>
      </c>
      <c r="D14980">
        <f>IF(B14980="","",HOUR(A14980))</f>
        <v/>
      </c>
    </row>
    <row r="14981">
      <c r="A14981">
        <f>Input!A14981</f>
        <v/>
      </c>
      <c r="B14981">
        <f>IF(ISNUMBER(Input!B14981),IF(AND(Input!B14981&gt;=20,Input!B14981&lt;=700),Input!B14981,""),"")</f>
        <v/>
      </c>
      <c r="C14981">
        <f>IF(B14981="","",INT(A14981))</f>
        <v/>
      </c>
      <c r="D14981">
        <f>IF(B14981="","",HOUR(A14981))</f>
        <v/>
      </c>
    </row>
    <row r="14982">
      <c r="A14982">
        <f>Input!A14982</f>
        <v/>
      </c>
      <c r="B14982">
        <f>IF(ISNUMBER(Input!B14982),IF(AND(Input!B14982&gt;=20,Input!B14982&lt;=700),Input!B14982,""),"")</f>
        <v/>
      </c>
      <c r="C14982">
        <f>IF(B14982="","",INT(A14982))</f>
        <v/>
      </c>
      <c r="D14982">
        <f>IF(B14982="","",HOUR(A14982))</f>
        <v/>
      </c>
    </row>
    <row r="14983">
      <c r="A14983">
        <f>Input!A14983</f>
        <v/>
      </c>
      <c r="B14983">
        <f>IF(ISNUMBER(Input!B14983),IF(AND(Input!B14983&gt;=20,Input!B14983&lt;=700),Input!B14983,""),"")</f>
        <v/>
      </c>
      <c r="C14983">
        <f>IF(B14983="","",INT(A14983))</f>
        <v/>
      </c>
      <c r="D14983">
        <f>IF(B14983="","",HOUR(A14983))</f>
        <v/>
      </c>
    </row>
    <row r="14984">
      <c r="A14984">
        <f>Input!A14984</f>
        <v/>
      </c>
      <c r="B14984">
        <f>IF(ISNUMBER(Input!B14984),IF(AND(Input!B14984&gt;=20,Input!B14984&lt;=700),Input!B14984,""),"")</f>
        <v/>
      </c>
      <c r="C14984">
        <f>IF(B14984="","",INT(A14984))</f>
        <v/>
      </c>
      <c r="D14984">
        <f>IF(B14984="","",HOUR(A14984))</f>
        <v/>
      </c>
    </row>
    <row r="14985">
      <c r="A14985">
        <f>Input!A14985</f>
        <v/>
      </c>
      <c r="B14985">
        <f>IF(ISNUMBER(Input!B14985),IF(AND(Input!B14985&gt;=20,Input!B14985&lt;=700),Input!B14985,""),"")</f>
        <v/>
      </c>
      <c r="C14985">
        <f>IF(B14985="","",INT(A14985))</f>
        <v/>
      </c>
      <c r="D14985">
        <f>IF(B14985="","",HOUR(A14985))</f>
        <v/>
      </c>
    </row>
    <row r="14986">
      <c r="A14986">
        <f>Input!A14986</f>
        <v/>
      </c>
      <c r="B14986">
        <f>IF(ISNUMBER(Input!B14986),IF(AND(Input!B14986&gt;=20,Input!B14986&lt;=700),Input!B14986,""),"")</f>
        <v/>
      </c>
      <c r="C14986">
        <f>IF(B14986="","",INT(A14986))</f>
        <v/>
      </c>
      <c r="D14986">
        <f>IF(B14986="","",HOUR(A14986))</f>
        <v/>
      </c>
    </row>
    <row r="14987">
      <c r="A14987">
        <f>Input!A14987</f>
        <v/>
      </c>
      <c r="B14987">
        <f>IF(ISNUMBER(Input!B14987),IF(AND(Input!B14987&gt;=20,Input!B14987&lt;=700),Input!B14987,""),"")</f>
        <v/>
      </c>
      <c r="C14987">
        <f>IF(B14987="","",INT(A14987))</f>
        <v/>
      </c>
      <c r="D14987">
        <f>IF(B14987="","",HOUR(A14987))</f>
        <v/>
      </c>
    </row>
    <row r="14988">
      <c r="A14988">
        <f>Input!A14988</f>
        <v/>
      </c>
      <c r="B14988">
        <f>IF(ISNUMBER(Input!B14988),IF(AND(Input!B14988&gt;=20,Input!B14988&lt;=700),Input!B14988,""),"")</f>
        <v/>
      </c>
      <c r="C14988">
        <f>IF(B14988="","",INT(A14988))</f>
        <v/>
      </c>
      <c r="D14988">
        <f>IF(B14988="","",HOUR(A14988))</f>
        <v/>
      </c>
    </row>
    <row r="14989">
      <c r="A14989">
        <f>Input!A14989</f>
        <v/>
      </c>
      <c r="B14989">
        <f>IF(ISNUMBER(Input!B14989),IF(AND(Input!B14989&gt;=20,Input!B14989&lt;=700),Input!B14989,""),"")</f>
        <v/>
      </c>
      <c r="C14989">
        <f>IF(B14989="","",INT(A14989))</f>
        <v/>
      </c>
      <c r="D14989">
        <f>IF(B14989="","",HOUR(A14989))</f>
        <v/>
      </c>
    </row>
    <row r="14990">
      <c r="A14990">
        <f>Input!A14990</f>
        <v/>
      </c>
      <c r="B14990">
        <f>IF(ISNUMBER(Input!B14990),IF(AND(Input!B14990&gt;=20,Input!B14990&lt;=700),Input!B14990,""),"")</f>
        <v/>
      </c>
      <c r="C14990">
        <f>IF(B14990="","",INT(A14990))</f>
        <v/>
      </c>
      <c r="D14990">
        <f>IF(B14990="","",HOUR(A14990))</f>
        <v/>
      </c>
    </row>
    <row r="14991">
      <c r="A14991">
        <f>Input!A14991</f>
        <v/>
      </c>
      <c r="B14991">
        <f>IF(ISNUMBER(Input!B14991),IF(AND(Input!B14991&gt;=20,Input!B14991&lt;=700),Input!B14991,""),"")</f>
        <v/>
      </c>
      <c r="C14991">
        <f>IF(B14991="","",INT(A14991))</f>
        <v/>
      </c>
      <c r="D14991">
        <f>IF(B14991="","",HOUR(A14991))</f>
        <v/>
      </c>
    </row>
    <row r="14992">
      <c r="A14992">
        <f>Input!A14992</f>
        <v/>
      </c>
      <c r="B14992">
        <f>IF(ISNUMBER(Input!B14992),IF(AND(Input!B14992&gt;=20,Input!B14992&lt;=700),Input!B14992,""),"")</f>
        <v/>
      </c>
      <c r="C14992">
        <f>IF(B14992="","",INT(A14992))</f>
        <v/>
      </c>
      <c r="D14992">
        <f>IF(B14992="","",HOUR(A14992))</f>
        <v/>
      </c>
    </row>
    <row r="14993">
      <c r="A14993">
        <f>Input!A14993</f>
        <v/>
      </c>
      <c r="B14993">
        <f>IF(ISNUMBER(Input!B14993),IF(AND(Input!B14993&gt;=20,Input!B14993&lt;=700),Input!B14993,""),"")</f>
        <v/>
      </c>
      <c r="C14993">
        <f>IF(B14993="","",INT(A14993))</f>
        <v/>
      </c>
      <c r="D14993">
        <f>IF(B14993="","",HOUR(A14993))</f>
        <v/>
      </c>
    </row>
    <row r="14994">
      <c r="A14994">
        <f>Input!A14994</f>
        <v/>
      </c>
      <c r="B14994">
        <f>IF(ISNUMBER(Input!B14994),IF(AND(Input!B14994&gt;=20,Input!B14994&lt;=700),Input!B14994,""),"")</f>
        <v/>
      </c>
      <c r="C14994">
        <f>IF(B14994="","",INT(A14994))</f>
        <v/>
      </c>
      <c r="D14994">
        <f>IF(B14994="","",HOUR(A14994))</f>
        <v/>
      </c>
    </row>
    <row r="14995">
      <c r="A14995">
        <f>Input!A14995</f>
        <v/>
      </c>
      <c r="B14995">
        <f>IF(ISNUMBER(Input!B14995),IF(AND(Input!B14995&gt;=20,Input!B14995&lt;=700),Input!B14995,""),"")</f>
        <v/>
      </c>
      <c r="C14995">
        <f>IF(B14995="","",INT(A14995))</f>
        <v/>
      </c>
      <c r="D14995">
        <f>IF(B14995="","",HOUR(A14995))</f>
        <v/>
      </c>
    </row>
    <row r="14996">
      <c r="A14996">
        <f>Input!A14996</f>
        <v/>
      </c>
      <c r="B14996">
        <f>IF(ISNUMBER(Input!B14996),IF(AND(Input!B14996&gt;=20,Input!B14996&lt;=700),Input!B14996,""),"")</f>
        <v/>
      </c>
      <c r="C14996">
        <f>IF(B14996="","",INT(A14996))</f>
        <v/>
      </c>
      <c r="D14996">
        <f>IF(B14996="","",HOUR(A14996))</f>
        <v/>
      </c>
    </row>
    <row r="14997">
      <c r="A14997">
        <f>Input!A14997</f>
        <v/>
      </c>
      <c r="B14997">
        <f>IF(ISNUMBER(Input!B14997),IF(AND(Input!B14997&gt;=20,Input!B14997&lt;=700),Input!B14997,""),"")</f>
        <v/>
      </c>
      <c r="C14997">
        <f>IF(B14997="","",INT(A14997))</f>
        <v/>
      </c>
      <c r="D14997">
        <f>IF(B14997="","",HOUR(A14997))</f>
        <v/>
      </c>
    </row>
    <row r="14998">
      <c r="A14998">
        <f>Input!A14998</f>
        <v/>
      </c>
      <c r="B14998">
        <f>IF(ISNUMBER(Input!B14998),IF(AND(Input!B14998&gt;=20,Input!B14998&lt;=700),Input!B14998,""),"")</f>
        <v/>
      </c>
      <c r="C14998">
        <f>IF(B14998="","",INT(A14998))</f>
        <v/>
      </c>
      <c r="D14998">
        <f>IF(B14998="","",HOUR(A14998))</f>
        <v/>
      </c>
    </row>
    <row r="14999">
      <c r="A14999">
        <f>Input!A14999</f>
        <v/>
      </c>
      <c r="B14999">
        <f>IF(ISNUMBER(Input!B14999),IF(AND(Input!B14999&gt;=20,Input!B14999&lt;=700),Input!B14999,""),"")</f>
        <v/>
      </c>
      <c r="C14999">
        <f>IF(B14999="","",INT(A14999))</f>
        <v/>
      </c>
      <c r="D14999">
        <f>IF(B14999="","",HOUR(A14999))</f>
        <v/>
      </c>
    </row>
    <row r="15000">
      <c r="A15000">
        <f>Input!A15000</f>
        <v/>
      </c>
      <c r="B15000">
        <f>IF(ISNUMBER(Input!B15000),IF(AND(Input!B15000&gt;=20,Input!B15000&lt;=700),Input!B15000,""),"")</f>
        <v/>
      </c>
      <c r="C15000">
        <f>IF(B15000="","",INT(A15000))</f>
        <v/>
      </c>
      <c r="D15000">
        <f>IF(B15000="","",HOUR(A15000))</f>
        <v/>
      </c>
    </row>
    <row r="15001">
      <c r="A15001">
        <f>Input!A15001</f>
        <v/>
      </c>
      <c r="B15001">
        <f>IF(ISNUMBER(Input!B15001),IF(AND(Input!B15001&gt;=20,Input!B15001&lt;=700),Input!B15001,""),"")</f>
        <v/>
      </c>
      <c r="C15001">
        <f>IF(B15001="","",INT(A15001))</f>
        <v/>
      </c>
      <c r="D15001">
        <f>IF(B15001="","",HOUR(A15001))</f>
        <v/>
      </c>
    </row>
    <row r="15002">
      <c r="A15002">
        <f>Input!A15002</f>
        <v/>
      </c>
      <c r="B15002">
        <f>IF(ISNUMBER(Input!B15002),IF(AND(Input!B15002&gt;=20,Input!B15002&lt;=700),Input!B15002,""),"")</f>
        <v/>
      </c>
      <c r="C15002">
        <f>IF(B15002="","",INT(A15002))</f>
        <v/>
      </c>
      <c r="D15002">
        <f>IF(B15002="","",HOUR(A15002))</f>
        <v/>
      </c>
    </row>
    <row r="15003">
      <c r="A15003">
        <f>Input!A15003</f>
        <v/>
      </c>
      <c r="B15003">
        <f>IF(ISNUMBER(Input!B15003),IF(AND(Input!B15003&gt;=20,Input!B15003&lt;=700),Input!B15003,""),"")</f>
        <v/>
      </c>
      <c r="C15003">
        <f>IF(B15003="","",INT(A15003))</f>
        <v/>
      </c>
      <c r="D15003">
        <f>IF(B15003="","",HOUR(A15003))</f>
        <v/>
      </c>
    </row>
    <row r="15004">
      <c r="A15004">
        <f>Input!A15004</f>
        <v/>
      </c>
      <c r="B15004">
        <f>IF(ISNUMBER(Input!B15004),IF(AND(Input!B15004&gt;=20,Input!B15004&lt;=700),Input!B15004,""),"")</f>
        <v/>
      </c>
      <c r="C15004">
        <f>IF(B15004="","",INT(A15004))</f>
        <v/>
      </c>
      <c r="D15004">
        <f>IF(B15004="","",HOUR(A15004))</f>
        <v/>
      </c>
    </row>
    <row r="15005">
      <c r="A15005">
        <f>Input!A15005</f>
        <v/>
      </c>
      <c r="B15005">
        <f>IF(ISNUMBER(Input!B15005),IF(AND(Input!B15005&gt;=20,Input!B15005&lt;=700),Input!B15005,""),"")</f>
        <v/>
      </c>
      <c r="C15005">
        <f>IF(B15005="","",INT(A15005))</f>
        <v/>
      </c>
      <c r="D15005">
        <f>IF(B15005="","",HOUR(A15005))</f>
        <v/>
      </c>
    </row>
    <row r="15006">
      <c r="A15006">
        <f>Input!A15006</f>
        <v/>
      </c>
      <c r="B15006">
        <f>IF(ISNUMBER(Input!B15006),IF(AND(Input!B15006&gt;=20,Input!B15006&lt;=700),Input!B15006,""),"")</f>
        <v/>
      </c>
      <c r="C15006">
        <f>IF(B15006="","",INT(A15006))</f>
        <v/>
      </c>
      <c r="D15006">
        <f>IF(B15006="","",HOUR(A15006))</f>
        <v/>
      </c>
    </row>
    <row r="15007">
      <c r="A15007">
        <f>Input!A15007</f>
        <v/>
      </c>
      <c r="B15007">
        <f>IF(ISNUMBER(Input!B15007),IF(AND(Input!B15007&gt;=20,Input!B15007&lt;=700),Input!B15007,""),"")</f>
        <v/>
      </c>
      <c r="C15007">
        <f>IF(B15007="","",INT(A15007))</f>
        <v/>
      </c>
      <c r="D15007">
        <f>IF(B15007="","",HOUR(A15007))</f>
        <v/>
      </c>
    </row>
    <row r="15008">
      <c r="A15008">
        <f>Input!A15008</f>
        <v/>
      </c>
      <c r="B15008">
        <f>IF(ISNUMBER(Input!B15008),IF(AND(Input!B15008&gt;=20,Input!B15008&lt;=700),Input!B15008,""),"")</f>
        <v/>
      </c>
      <c r="C15008">
        <f>IF(B15008="","",INT(A15008))</f>
        <v/>
      </c>
      <c r="D15008">
        <f>IF(B15008="","",HOUR(A15008))</f>
        <v/>
      </c>
    </row>
    <row r="15009">
      <c r="A15009">
        <f>Input!A15009</f>
        <v/>
      </c>
      <c r="B15009">
        <f>IF(ISNUMBER(Input!B15009),IF(AND(Input!B15009&gt;=20,Input!B15009&lt;=700),Input!B15009,""),"")</f>
        <v/>
      </c>
      <c r="C15009">
        <f>IF(B15009="","",INT(A15009))</f>
        <v/>
      </c>
      <c r="D15009">
        <f>IF(B15009="","",HOUR(A15009))</f>
        <v/>
      </c>
    </row>
    <row r="15010">
      <c r="A15010">
        <f>Input!A15010</f>
        <v/>
      </c>
      <c r="B15010">
        <f>IF(ISNUMBER(Input!B15010),IF(AND(Input!B15010&gt;=20,Input!B15010&lt;=700),Input!B15010,""),"")</f>
        <v/>
      </c>
      <c r="C15010">
        <f>IF(B15010="","",INT(A15010))</f>
        <v/>
      </c>
      <c r="D15010">
        <f>IF(B15010="","",HOUR(A15010))</f>
        <v/>
      </c>
    </row>
    <row r="15011">
      <c r="A15011">
        <f>Input!A15011</f>
        <v/>
      </c>
      <c r="B15011">
        <f>IF(ISNUMBER(Input!B15011),IF(AND(Input!B15011&gt;=20,Input!B15011&lt;=700),Input!B15011,""),"")</f>
        <v/>
      </c>
      <c r="C15011">
        <f>IF(B15011="","",INT(A15011))</f>
        <v/>
      </c>
      <c r="D15011">
        <f>IF(B15011="","",HOUR(A15011))</f>
        <v/>
      </c>
    </row>
    <row r="15012">
      <c r="A15012">
        <f>Input!A15012</f>
        <v/>
      </c>
      <c r="B15012">
        <f>IF(ISNUMBER(Input!B15012),IF(AND(Input!B15012&gt;=20,Input!B15012&lt;=700),Input!B15012,""),"")</f>
        <v/>
      </c>
      <c r="C15012">
        <f>IF(B15012="","",INT(A15012))</f>
        <v/>
      </c>
      <c r="D15012">
        <f>IF(B15012="","",HOUR(A15012))</f>
        <v/>
      </c>
    </row>
    <row r="15013">
      <c r="A15013">
        <f>Input!A15013</f>
        <v/>
      </c>
      <c r="B15013">
        <f>IF(ISNUMBER(Input!B15013),IF(AND(Input!B15013&gt;=20,Input!B15013&lt;=700),Input!B15013,""),"")</f>
        <v/>
      </c>
      <c r="C15013">
        <f>IF(B15013="","",INT(A15013))</f>
        <v/>
      </c>
      <c r="D15013">
        <f>IF(B15013="","",HOUR(A15013))</f>
        <v/>
      </c>
    </row>
    <row r="15014">
      <c r="A15014">
        <f>Input!A15014</f>
        <v/>
      </c>
      <c r="B15014">
        <f>IF(ISNUMBER(Input!B15014),IF(AND(Input!B15014&gt;=20,Input!B15014&lt;=700),Input!B15014,""),"")</f>
        <v/>
      </c>
      <c r="C15014">
        <f>IF(B15014="","",INT(A15014))</f>
        <v/>
      </c>
      <c r="D15014">
        <f>IF(B15014="","",HOUR(A15014))</f>
        <v/>
      </c>
    </row>
    <row r="15015">
      <c r="A15015">
        <f>Input!A15015</f>
        <v/>
      </c>
      <c r="B15015">
        <f>IF(ISNUMBER(Input!B15015),IF(AND(Input!B15015&gt;=20,Input!B15015&lt;=700),Input!B15015,""),"")</f>
        <v/>
      </c>
      <c r="C15015">
        <f>IF(B15015="","",INT(A15015))</f>
        <v/>
      </c>
      <c r="D15015">
        <f>IF(B15015="","",HOUR(A15015))</f>
        <v/>
      </c>
    </row>
    <row r="15016">
      <c r="A15016">
        <f>Input!A15016</f>
        <v/>
      </c>
      <c r="B15016">
        <f>IF(ISNUMBER(Input!B15016),IF(AND(Input!B15016&gt;=20,Input!B15016&lt;=700),Input!B15016,""),"")</f>
        <v/>
      </c>
      <c r="C15016">
        <f>IF(B15016="","",INT(A15016))</f>
        <v/>
      </c>
      <c r="D15016">
        <f>IF(B15016="","",HOUR(A15016))</f>
        <v/>
      </c>
    </row>
    <row r="15017">
      <c r="A15017">
        <f>Input!A15017</f>
        <v/>
      </c>
      <c r="B15017">
        <f>IF(ISNUMBER(Input!B15017),IF(AND(Input!B15017&gt;=20,Input!B15017&lt;=700),Input!B15017,""),"")</f>
        <v/>
      </c>
      <c r="C15017">
        <f>IF(B15017="","",INT(A15017))</f>
        <v/>
      </c>
      <c r="D15017">
        <f>IF(B15017="","",HOUR(A15017))</f>
        <v/>
      </c>
    </row>
    <row r="15018">
      <c r="A15018">
        <f>Input!A15018</f>
        <v/>
      </c>
      <c r="B15018">
        <f>IF(ISNUMBER(Input!B15018),IF(AND(Input!B15018&gt;=20,Input!B15018&lt;=700),Input!B15018,""),"")</f>
        <v/>
      </c>
      <c r="C15018">
        <f>IF(B15018="","",INT(A15018))</f>
        <v/>
      </c>
      <c r="D15018">
        <f>IF(B15018="","",HOUR(A15018))</f>
        <v/>
      </c>
    </row>
    <row r="15019">
      <c r="A15019">
        <f>Input!A15019</f>
        <v/>
      </c>
      <c r="B15019">
        <f>IF(ISNUMBER(Input!B15019),IF(AND(Input!B15019&gt;=20,Input!B15019&lt;=700),Input!B15019,""),"")</f>
        <v/>
      </c>
      <c r="C15019">
        <f>IF(B15019="","",INT(A15019))</f>
        <v/>
      </c>
      <c r="D15019">
        <f>IF(B15019="","",HOUR(A15019))</f>
        <v/>
      </c>
    </row>
    <row r="15020">
      <c r="A15020">
        <f>Input!A15020</f>
        <v/>
      </c>
      <c r="B15020">
        <f>IF(ISNUMBER(Input!B15020),IF(AND(Input!B15020&gt;=20,Input!B15020&lt;=700),Input!B15020,""),"")</f>
        <v/>
      </c>
      <c r="C15020">
        <f>IF(B15020="","",INT(A15020))</f>
        <v/>
      </c>
      <c r="D15020">
        <f>IF(B15020="","",HOUR(A15020))</f>
        <v/>
      </c>
    </row>
    <row r="15021">
      <c r="A15021">
        <f>Input!A15021</f>
        <v/>
      </c>
      <c r="B15021">
        <f>IF(ISNUMBER(Input!B15021),IF(AND(Input!B15021&gt;=20,Input!B15021&lt;=700),Input!B15021,""),"")</f>
        <v/>
      </c>
      <c r="C15021">
        <f>IF(B15021="","",INT(A15021))</f>
        <v/>
      </c>
      <c r="D15021">
        <f>IF(B15021="","",HOUR(A15021))</f>
        <v/>
      </c>
    </row>
    <row r="15022">
      <c r="A15022">
        <f>Input!A15022</f>
        <v/>
      </c>
      <c r="B15022">
        <f>IF(ISNUMBER(Input!B15022),IF(AND(Input!B15022&gt;=20,Input!B15022&lt;=700),Input!B15022,""),"")</f>
        <v/>
      </c>
      <c r="C15022">
        <f>IF(B15022="","",INT(A15022))</f>
        <v/>
      </c>
      <c r="D15022">
        <f>IF(B15022="","",HOUR(A15022))</f>
        <v/>
      </c>
    </row>
    <row r="15023">
      <c r="A15023">
        <f>Input!A15023</f>
        <v/>
      </c>
      <c r="B15023">
        <f>IF(ISNUMBER(Input!B15023),IF(AND(Input!B15023&gt;=20,Input!B15023&lt;=700),Input!B15023,""),"")</f>
        <v/>
      </c>
      <c r="C15023">
        <f>IF(B15023="","",INT(A15023))</f>
        <v/>
      </c>
      <c r="D15023">
        <f>IF(B15023="","",HOUR(A15023))</f>
        <v/>
      </c>
    </row>
    <row r="15024">
      <c r="A15024">
        <f>Input!A15024</f>
        <v/>
      </c>
      <c r="B15024">
        <f>IF(ISNUMBER(Input!B15024),IF(AND(Input!B15024&gt;=20,Input!B15024&lt;=700),Input!B15024,""),"")</f>
        <v/>
      </c>
      <c r="C15024">
        <f>IF(B15024="","",INT(A15024))</f>
        <v/>
      </c>
      <c r="D15024">
        <f>IF(B15024="","",HOUR(A15024))</f>
        <v/>
      </c>
    </row>
    <row r="15025">
      <c r="A15025">
        <f>Input!A15025</f>
        <v/>
      </c>
      <c r="B15025">
        <f>IF(ISNUMBER(Input!B15025),IF(AND(Input!B15025&gt;=20,Input!B15025&lt;=700),Input!B15025,""),"")</f>
        <v/>
      </c>
      <c r="C15025">
        <f>IF(B15025="","",INT(A15025))</f>
        <v/>
      </c>
      <c r="D15025">
        <f>IF(B15025="","",HOUR(A15025))</f>
        <v/>
      </c>
    </row>
    <row r="15026">
      <c r="A15026">
        <f>Input!A15026</f>
        <v/>
      </c>
      <c r="B15026">
        <f>IF(ISNUMBER(Input!B15026),IF(AND(Input!B15026&gt;=20,Input!B15026&lt;=700),Input!B15026,""),"")</f>
        <v/>
      </c>
      <c r="C15026">
        <f>IF(B15026="","",INT(A15026))</f>
        <v/>
      </c>
      <c r="D15026">
        <f>IF(B15026="","",HOUR(A15026))</f>
        <v/>
      </c>
    </row>
    <row r="15027">
      <c r="A15027">
        <f>Input!A15027</f>
        <v/>
      </c>
      <c r="B15027">
        <f>IF(ISNUMBER(Input!B15027),IF(AND(Input!B15027&gt;=20,Input!B15027&lt;=700),Input!B15027,""),"")</f>
        <v/>
      </c>
      <c r="C15027">
        <f>IF(B15027="","",INT(A15027))</f>
        <v/>
      </c>
      <c r="D15027">
        <f>IF(B15027="","",HOUR(A15027))</f>
        <v/>
      </c>
    </row>
    <row r="15028">
      <c r="A15028">
        <f>Input!A15028</f>
        <v/>
      </c>
      <c r="B15028">
        <f>IF(ISNUMBER(Input!B15028),IF(AND(Input!B15028&gt;=20,Input!B15028&lt;=700),Input!B15028,""),"")</f>
        <v/>
      </c>
      <c r="C15028">
        <f>IF(B15028="","",INT(A15028))</f>
        <v/>
      </c>
      <c r="D15028">
        <f>IF(B15028="","",HOUR(A15028))</f>
        <v/>
      </c>
    </row>
    <row r="15029">
      <c r="A15029">
        <f>Input!A15029</f>
        <v/>
      </c>
      <c r="B15029">
        <f>IF(ISNUMBER(Input!B15029),IF(AND(Input!B15029&gt;=20,Input!B15029&lt;=700),Input!B15029,""),"")</f>
        <v/>
      </c>
      <c r="C15029">
        <f>IF(B15029="","",INT(A15029))</f>
        <v/>
      </c>
      <c r="D15029">
        <f>IF(B15029="","",HOUR(A15029))</f>
        <v/>
      </c>
    </row>
    <row r="15030">
      <c r="A15030">
        <f>Input!A15030</f>
        <v/>
      </c>
      <c r="B15030">
        <f>IF(ISNUMBER(Input!B15030),IF(AND(Input!B15030&gt;=20,Input!B15030&lt;=700),Input!B15030,""),"")</f>
        <v/>
      </c>
      <c r="C15030">
        <f>IF(B15030="","",INT(A15030))</f>
        <v/>
      </c>
      <c r="D15030">
        <f>IF(B15030="","",HOUR(A15030))</f>
        <v/>
      </c>
    </row>
    <row r="15031">
      <c r="A15031">
        <f>Input!A15031</f>
        <v/>
      </c>
      <c r="B15031">
        <f>IF(ISNUMBER(Input!B15031),IF(AND(Input!B15031&gt;=20,Input!B15031&lt;=700),Input!B15031,""),"")</f>
        <v/>
      </c>
      <c r="C15031">
        <f>IF(B15031="","",INT(A15031))</f>
        <v/>
      </c>
      <c r="D15031">
        <f>IF(B15031="","",HOUR(A15031))</f>
        <v/>
      </c>
    </row>
    <row r="15032">
      <c r="A15032">
        <f>Input!A15032</f>
        <v/>
      </c>
      <c r="B15032">
        <f>IF(ISNUMBER(Input!B15032),IF(AND(Input!B15032&gt;=20,Input!B15032&lt;=700),Input!B15032,""),"")</f>
        <v/>
      </c>
      <c r="C15032">
        <f>IF(B15032="","",INT(A15032))</f>
        <v/>
      </c>
      <c r="D15032">
        <f>IF(B15032="","",HOUR(A15032))</f>
        <v/>
      </c>
    </row>
    <row r="15033">
      <c r="A15033">
        <f>Input!A15033</f>
        <v/>
      </c>
      <c r="B15033">
        <f>IF(ISNUMBER(Input!B15033),IF(AND(Input!B15033&gt;=20,Input!B15033&lt;=700),Input!B15033,""),"")</f>
        <v/>
      </c>
      <c r="C15033">
        <f>IF(B15033="","",INT(A15033))</f>
        <v/>
      </c>
      <c r="D15033">
        <f>IF(B15033="","",HOUR(A15033))</f>
        <v/>
      </c>
    </row>
    <row r="15034">
      <c r="A15034">
        <f>Input!A15034</f>
        <v/>
      </c>
      <c r="B15034">
        <f>IF(ISNUMBER(Input!B15034),IF(AND(Input!B15034&gt;=20,Input!B15034&lt;=700),Input!B15034,""),"")</f>
        <v/>
      </c>
      <c r="C15034">
        <f>IF(B15034="","",INT(A15034))</f>
        <v/>
      </c>
      <c r="D15034">
        <f>IF(B15034="","",HOUR(A15034))</f>
        <v/>
      </c>
    </row>
    <row r="15035">
      <c r="A15035">
        <f>Input!A15035</f>
        <v/>
      </c>
      <c r="B15035">
        <f>IF(ISNUMBER(Input!B15035),IF(AND(Input!B15035&gt;=20,Input!B15035&lt;=700),Input!B15035,""),"")</f>
        <v/>
      </c>
      <c r="C15035">
        <f>IF(B15035="","",INT(A15035))</f>
        <v/>
      </c>
      <c r="D15035">
        <f>IF(B15035="","",HOUR(A15035))</f>
        <v/>
      </c>
    </row>
    <row r="15036">
      <c r="A15036">
        <f>Input!A15036</f>
        <v/>
      </c>
      <c r="B15036">
        <f>IF(ISNUMBER(Input!B15036),IF(AND(Input!B15036&gt;=20,Input!B15036&lt;=700),Input!B15036,""),"")</f>
        <v/>
      </c>
      <c r="C15036">
        <f>IF(B15036="","",INT(A15036))</f>
        <v/>
      </c>
      <c r="D15036">
        <f>IF(B15036="","",HOUR(A15036))</f>
        <v/>
      </c>
    </row>
    <row r="15037">
      <c r="A15037">
        <f>Input!A15037</f>
        <v/>
      </c>
      <c r="B15037">
        <f>IF(ISNUMBER(Input!B15037),IF(AND(Input!B15037&gt;=20,Input!B15037&lt;=700),Input!B15037,""),"")</f>
        <v/>
      </c>
      <c r="C15037">
        <f>IF(B15037="","",INT(A15037))</f>
        <v/>
      </c>
      <c r="D15037">
        <f>IF(B15037="","",HOUR(A15037))</f>
        <v/>
      </c>
    </row>
    <row r="15038">
      <c r="A15038">
        <f>Input!A15038</f>
        <v/>
      </c>
      <c r="B15038">
        <f>IF(ISNUMBER(Input!B15038),IF(AND(Input!B15038&gt;=20,Input!B15038&lt;=700),Input!B15038,""),"")</f>
        <v/>
      </c>
      <c r="C15038">
        <f>IF(B15038="","",INT(A15038))</f>
        <v/>
      </c>
      <c r="D15038">
        <f>IF(B15038="","",HOUR(A15038))</f>
        <v/>
      </c>
    </row>
    <row r="15039">
      <c r="A15039">
        <f>Input!A15039</f>
        <v/>
      </c>
      <c r="B15039">
        <f>IF(ISNUMBER(Input!B15039),IF(AND(Input!B15039&gt;=20,Input!B15039&lt;=700),Input!B15039,""),"")</f>
        <v/>
      </c>
      <c r="C15039">
        <f>IF(B15039="","",INT(A15039))</f>
        <v/>
      </c>
      <c r="D15039">
        <f>IF(B15039="","",HOUR(A15039))</f>
        <v/>
      </c>
    </row>
    <row r="15040">
      <c r="A15040">
        <f>Input!A15040</f>
        <v/>
      </c>
      <c r="B15040">
        <f>IF(ISNUMBER(Input!B15040),IF(AND(Input!B15040&gt;=20,Input!B15040&lt;=700),Input!B15040,""),"")</f>
        <v/>
      </c>
      <c r="C15040">
        <f>IF(B15040="","",INT(A15040))</f>
        <v/>
      </c>
      <c r="D15040">
        <f>IF(B15040="","",HOUR(A15040))</f>
        <v/>
      </c>
    </row>
    <row r="15041">
      <c r="A15041">
        <f>Input!A15041</f>
        <v/>
      </c>
      <c r="B15041">
        <f>IF(ISNUMBER(Input!B15041),IF(AND(Input!B15041&gt;=20,Input!B15041&lt;=700),Input!B15041,""),"")</f>
        <v/>
      </c>
      <c r="C15041">
        <f>IF(B15041="","",INT(A15041))</f>
        <v/>
      </c>
      <c r="D15041">
        <f>IF(B15041="","",HOUR(A15041))</f>
        <v/>
      </c>
    </row>
    <row r="15042">
      <c r="A15042">
        <f>Input!A15042</f>
        <v/>
      </c>
      <c r="B15042">
        <f>IF(ISNUMBER(Input!B15042),IF(AND(Input!B15042&gt;=20,Input!B15042&lt;=700),Input!B15042,""),"")</f>
        <v/>
      </c>
      <c r="C15042">
        <f>IF(B15042="","",INT(A15042))</f>
        <v/>
      </c>
      <c r="D15042">
        <f>IF(B15042="","",HOUR(A15042))</f>
        <v/>
      </c>
    </row>
    <row r="15043">
      <c r="A15043">
        <f>Input!A15043</f>
        <v/>
      </c>
      <c r="B15043">
        <f>IF(ISNUMBER(Input!B15043),IF(AND(Input!B15043&gt;=20,Input!B15043&lt;=700),Input!B15043,""),"")</f>
        <v/>
      </c>
      <c r="C15043">
        <f>IF(B15043="","",INT(A15043))</f>
        <v/>
      </c>
      <c r="D15043">
        <f>IF(B15043="","",HOUR(A15043))</f>
        <v/>
      </c>
    </row>
    <row r="15044">
      <c r="A15044">
        <f>Input!A15044</f>
        <v/>
      </c>
      <c r="B15044">
        <f>IF(ISNUMBER(Input!B15044),IF(AND(Input!B15044&gt;=20,Input!B15044&lt;=700),Input!B15044,""),"")</f>
        <v/>
      </c>
      <c r="C15044">
        <f>IF(B15044="","",INT(A15044))</f>
        <v/>
      </c>
      <c r="D15044">
        <f>IF(B15044="","",HOUR(A15044))</f>
        <v/>
      </c>
    </row>
    <row r="15045">
      <c r="A15045">
        <f>Input!A15045</f>
        <v/>
      </c>
      <c r="B15045">
        <f>IF(ISNUMBER(Input!B15045),IF(AND(Input!B15045&gt;=20,Input!B15045&lt;=700),Input!B15045,""),"")</f>
        <v/>
      </c>
      <c r="C15045">
        <f>IF(B15045="","",INT(A15045))</f>
        <v/>
      </c>
      <c r="D15045">
        <f>IF(B15045="","",HOUR(A15045))</f>
        <v/>
      </c>
    </row>
    <row r="15046">
      <c r="A15046">
        <f>Input!A15046</f>
        <v/>
      </c>
      <c r="B15046">
        <f>IF(ISNUMBER(Input!B15046),IF(AND(Input!B15046&gt;=20,Input!B15046&lt;=700),Input!B15046,""),"")</f>
        <v/>
      </c>
      <c r="C15046">
        <f>IF(B15046="","",INT(A15046))</f>
        <v/>
      </c>
      <c r="D15046">
        <f>IF(B15046="","",HOUR(A15046))</f>
        <v/>
      </c>
    </row>
    <row r="15047">
      <c r="A15047">
        <f>Input!A15047</f>
        <v/>
      </c>
      <c r="B15047">
        <f>IF(ISNUMBER(Input!B15047),IF(AND(Input!B15047&gt;=20,Input!B15047&lt;=700),Input!B15047,""),"")</f>
        <v/>
      </c>
      <c r="C15047">
        <f>IF(B15047="","",INT(A15047))</f>
        <v/>
      </c>
      <c r="D15047">
        <f>IF(B15047="","",HOUR(A15047))</f>
        <v/>
      </c>
    </row>
    <row r="15048">
      <c r="A15048">
        <f>Input!A15048</f>
        <v/>
      </c>
      <c r="B15048">
        <f>IF(ISNUMBER(Input!B15048),IF(AND(Input!B15048&gt;=20,Input!B15048&lt;=700),Input!B15048,""),"")</f>
        <v/>
      </c>
      <c r="C15048">
        <f>IF(B15048="","",INT(A15048))</f>
        <v/>
      </c>
      <c r="D15048">
        <f>IF(B15048="","",HOUR(A15048))</f>
        <v/>
      </c>
    </row>
    <row r="15049">
      <c r="A15049">
        <f>Input!A15049</f>
        <v/>
      </c>
      <c r="B15049">
        <f>IF(ISNUMBER(Input!B15049),IF(AND(Input!B15049&gt;=20,Input!B15049&lt;=700),Input!B15049,""),"")</f>
        <v/>
      </c>
      <c r="C15049">
        <f>IF(B15049="","",INT(A15049))</f>
        <v/>
      </c>
      <c r="D15049">
        <f>IF(B15049="","",HOUR(A15049))</f>
        <v/>
      </c>
    </row>
    <row r="15050">
      <c r="A15050">
        <f>Input!A15050</f>
        <v/>
      </c>
      <c r="B15050">
        <f>IF(ISNUMBER(Input!B15050),IF(AND(Input!B15050&gt;=20,Input!B15050&lt;=700),Input!B15050,""),"")</f>
        <v/>
      </c>
      <c r="C15050">
        <f>IF(B15050="","",INT(A15050))</f>
        <v/>
      </c>
      <c r="D15050">
        <f>IF(B15050="","",HOUR(A15050))</f>
        <v/>
      </c>
    </row>
    <row r="15051">
      <c r="A15051">
        <f>Input!A15051</f>
        <v/>
      </c>
      <c r="B15051">
        <f>IF(ISNUMBER(Input!B15051),IF(AND(Input!B15051&gt;=20,Input!B15051&lt;=700),Input!B15051,""),"")</f>
        <v/>
      </c>
      <c r="C15051">
        <f>IF(B15051="","",INT(A15051))</f>
        <v/>
      </c>
      <c r="D15051">
        <f>IF(B15051="","",HOUR(A15051))</f>
        <v/>
      </c>
    </row>
    <row r="15052">
      <c r="A15052">
        <f>Input!A15052</f>
        <v/>
      </c>
      <c r="B15052">
        <f>IF(ISNUMBER(Input!B15052),IF(AND(Input!B15052&gt;=20,Input!B15052&lt;=700),Input!B15052,""),"")</f>
        <v/>
      </c>
      <c r="C15052">
        <f>IF(B15052="","",INT(A15052))</f>
        <v/>
      </c>
      <c r="D15052">
        <f>IF(B15052="","",HOUR(A15052))</f>
        <v/>
      </c>
    </row>
    <row r="15053">
      <c r="A15053">
        <f>Input!A15053</f>
        <v/>
      </c>
      <c r="B15053">
        <f>IF(ISNUMBER(Input!B15053),IF(AND(Input!B15053&gt;=20,Input!B15053&lt;=700),Input!B15053,""),"")</f>
        <v/>
      </c>
      <c r="C15053">
        <f>IF(B15053="","",INT(A15053))</f>
        <v/>
      </c>
      <c r="D15053">
        <f>IF(B15053="","",HOUR(A15053))</f>
        <v/>
      </c>
    </row>
    <row r="15054">
      <c r="A15054">
        <f>Input!A15054</f>
        <v/>
      </c>
      <c r="B15054">
        <f>IF(ISNUMBER(Input!B15054),IF(AND(Input!B15054&gt;=20,Input!B15054&lt;=700),Input!B15054,""),"")</f>
        <v/>
      </c>
      <c r="C15054">
        <f>IF(B15054="","",INT(A15054))</f>
        <v/>
      </c>
      <c r="D15054">
        <f>IF(B15054="","",HOUR(A15054))</f>
        <v/>
      </c>
    </row>
    <row r="15055">
      <c r="A15055">
        <f>Input!A15055</f>
        <v/>
      </c>
      <c r="B15055">
        <f>IF(ISNUMBER(Input!B15055),IF(AND(Input!B15055&gt;=20,Input!B15055&lt;=700),Input!B15055,""),"")</f>
        <v/>
      </c>
      <c r="C15055">
        <f>IF(B15055="","",INT(A15055))</f>
        <v/>
      </c>
      <c r="D15055">
        <f>IF(B15055="","",HOUR(A15055))</f>
        <v/>
      </c>
    </row>
    <row r="15056">
      <c r="A15056">
        <f>Input!A15056</f>
        <v/>
      </c>
      <c r="B15056">
        <f>IF(ISNUMBER(Input!B15056),IF(AND(Input!B15056&gt;=20,Input!B15056&lt;=700),Input!B15056,""),"")</f>
        <v/>
      </c>
      <c r="C15056">
        <f>IF(B15056="","",INT(A15056))</f>
        <v/>
      </c>
      <c r="D15056">
        <f>IF(B15056="","",HOUR(A15056))</f>
        <v/>
      </c>
    </row>
    <row r="15057">
      <c r="A15057">
        <f>Input!A15057</f>
        <v/>
      </c>
      <c r="B15057">
        <f>IF(ISNUMBER(Input!B15057),IF(AND(Input!B15057&gt;=20,Input!B15057&lt;=700),Input!B15057,""),"")</f>
        <v/>
      </c>
      <c r="C15057">
        <f>IF(B15057="","",INT(A15057))</f>
        <v/>
      </c>
      <c r="D15057">
        <f>IF(B15057="","",HOUR(A15057))</f>
        <v/>
      </c>
    </row>
    <row r="15058">
      <c r="A15058">
        <f>Input!A15058</f>
        <v/>
      </c>
      <c r="B15058">
        <f>IF(ISNUMBER(Input!B15058),IF(AND(Input!B15058&gt;=20,Input!B15058&lt;=700),Input!B15058,""),"")</f>
        <v/>
      </c>
      <c r="C15058">
        <f>IF(B15058="","",INT(A15058))</f>
        <v/>
      </c>
      <c r="D15058">
        <f>IF(B15058="","",HOUR(A15058))</f>
        <v/>
      </c>
    </row>
    <row r="15059">
      <c r="A15059">
        <f>Input!A15059</f>
        <v/>
      </c>
      <c r="B15059">
        <f>IF(ISNUMBER(Input!B15059),IF(AND(Input!B15059&gt;=20,Input!B15059&lt;=700),Input!B15059,""),"")</f>
        <v/>
      </c>
      <c r="C15059">
        <f>IF(B15059="","",INT(A15059))</f>
        <v/>
      </c>
      <c r="D15059">
        <f>IF(B15059="","",HOUR(A15059))</f>
        <v/>
      </c>
    </row>
    <row r="15060">
      <c r="A15060">
        <f>Input!A15060</f>
        <v/>
      </c>
      <c r="B15060">
        <f>IF(ISNUMBER(Input!B15060),IF(AND(Input!B15060&gt;=20,Input!B15060&lt;=700),Input!B15060,""),"")</f>
        <v/>
      </c>
      <c r="C15060">
        <f>IF(B15060="","",INT(A15060))</f>
        <v/>
      </c>
      <c r="D15060">
        <f>IF(B15060="","",HOUR(A15060))</f>
        <v/>
      </c>
    </row>
    <row r="15061">
      <c r="A15061">
        <f>Input!A15061</f>
        <v/>
      </c>
      <c r="B15061">
        <f>IF(ISNUMBER(Input!B15061),IF(AND(Input!B15061&gt;=20,Input!B15061&lt;=700),Input!B15061,""),"")</f>
        <v/>
      </c>
      <c r="C15061">
        <f>IF(B15061="","",INT(A15061))</f>
        <v/>
      </c>
      <c r="D15061">
        <f>IF(B15061="","",HOUR(A15061))</f>
        <v/>
      </c>
    </row>
    <row r="15062">
      <c r="A15062">
        <f>Input!A15062</f>
        <v/>
      </c>
      <c r="B15062">
        <f>IF(ISNUMBER(Input!B15062),IF(AND(Input!B15062&gt;=20,Input!B15062&lt;=700),Input!B15062,""),"")</f>
        <v/>
      </c>
      <c r="C15062">
        <f>IF(B15062="","",INT(A15062))</f>
        <v/>
      </c>
      <c r="D15062">
        <f>IF(B15062="","",HOUR(A15062))</f>
        <v/>
      </c>
    </row>
    <row r="15063">
      <c r="A15063">
        <f>Input!A15063</f>
        <v/>
      </c>
      <c r="B15063">
        <f>IF(ISNUMBER(Input!B15063),IF(AND(Input!B15063&gt;=20,Input!B15063&lt;=700),Input!B15063,""),"")</f>
        <v/>
      </c>
      <c r="C15063">
        <f>IF(B15063="","",INT(A15063))</f>
        <v/>
      </c>
      <c r="D15063">
        <f>IF(B15063="","",HOUR(A15063))</f>
        <v/>
      </c>
    </row>
    <row r="15064">
      <c r="A15064">
        <f>Input!A15064</f>
        <v/>
      </c>
      <c r="B15064">
        <f>IF(ISNUMBER(Input!B15064),IF(AND(Input!B15064&gt;=20,Input!B15064&lt;=700),Input!B15064,""),"")</f>
        <v/>
      </c>
      <c r="C15064">
        <f>IF(B15064="","",INT(A15064))</f>
        <v/>
      </c>
      <c r="D15064">
        <f>IF(B15064="","",HOUR(A15064))</f>
        <v/>
      </c>
    </row>
    <row r="15065">
      <c r="A15065">
        <f>Input!A15065</f>
        <v/>
      </c>
      <c r="B15065">
        <f>IF(ISNUMBER(Input!B15065),IF(AND(Input!B15065&gt;=20,Input!B15065&lt;=700),Input!B15065,""),"")</f>
        <v/>
      </c>
      <c r="C15065">
        <f>IF(B15065="","",INT(A15065))</f>
        <v/>
      </c>
      <c r="D15065">
        <f>IF(B15065="","",HOUR(A15065))</f>
        <v/>
      </c>
    </row>
    <row r="15066">
      <c r="A15066">
        <f>Input!A15066</f>
        <v/>
      </c>
      <c r="B15066">
        <f>IF(ISNUMBER(Input!B15066),IF(AND(Input!B15066&gt;=20,Input!B15066&lt;=700),Input!B15066,""),"")</f>
        <v/>
      </c>
      <c r="C15066">
        <f>IF(B15066="","",INT(A15066))</f>
        <v/>
      </c>
      <c r="D15066">
        <f>IF(B15066="","",HOUR(A15066))</f>
        <v/>
      </c>
    </row>
    <row r="15067">
      <c r="A15067">
        <f>Input!A15067</f>
        <v/>
      </c>
      <c r="B15067">
        <f>IF(ISNUMBER(Input!B15067),IF(AND(Input!B15067&gt;=20,Input!B15067&lt;=700),Input!B15067,""),"")</f>
        <v/>
      </c>
      <c r="C15067">
        <f>IF(B15067="","",INT(A15067))</f>
        <v/>
      </c>
      <c r="D15067">
        <f>IF(B15067="","",HOUR(A15067))</f>
        <v/>
      </c>
    </row>
    <row r="15068">
      <c r="A15068">
        <f>Input!A15068</f>
        <v/>
      </c>
      <c r="B15068">
        <f>IF(ISNUMBER(Input!B15068),IF(AND(Input!B15068&gt;=20,Input!B15068&lt;=700),Input!B15068,""),"")</f>
        <v/>
      </c>
      <c r="C15068">
        <f>IF(B15068="","",INT(A15068))</f>
        <v/>
      </c>
      <c r="D15068">
        <f>IF(B15068="","",HOUR(A15068))</f>
        <v/>
      </c>
    </row>
    <row r="15069">
      <c r="A15069">
        <f>Input!A15069</f>
        <v/>
      </c>
      <c r="B15069">
        <f>IF(ISNUMBER(Input!B15069),IF(AND(Input!B15069&gt;=20,Input!B15069&lt;=700),Input!B15069,""),"")</f>
        <v/>
      </c>
      <c r="C15069">
        <f>IF(B15069="","",INT(A15069))</f>
        <v/>
      </c>
      <c r="D15069">
        <f>IF(B15069="","",HOUR(A15069))</f>
        <v/>
      </c>
    </row>
    <row r="15070">
      <c r="A15070">
        <f>Input!A15070</f>
        <v/>
      </c>
      <c r="B15070">
        <f>IF(ISNUMBER(Input!B15070),IF(AND(Input!B15070&gt;=20,Input!B15070&lt;=700),Input!B15070,""),"")</f>
        <v/>
      </c>
      <c r="C15070">
        <f>IF(B15070="","",INT(A15070))</f>
        <v/>
      </c>
      <c r="D15070">
        <f>IF(B15070="","",HOUR(A15070))</f>
        <v/>
      </c>
    </row>
    <row r="15071">
      <c r="A15071">
        <f>Input!A15071</f>
        <v/>
      </c>
      <c r="B15071">
        <f>IF(ISNUMBER(Input!B15071),IF(AND(Input!B15071&gt;=20,Input!B15071&lt;=700),Input!B15071,""),"")</f>
        <v/>
      </c>
      <c r="C15071">
        <f>IF(B15071="","",INT(A15071))</f>
        <v/>
      </c>
      <c r="D15071">
        <f>IF(B15071="","",HOUR(A15071))</f>
        <v/>
      </c>
    </row>
    <row r="15072">
      <c r="A15072">
        <f>Input!A15072</f>
        <v/>
      </c>
      <c r="B15072">
        <f>IF(ISNUMBER(Input!B15072),IF(AND(Input!B15072&gt;=20,Input!B15072&lt;=700),Input!B15072,""),"")</f>
        <v/>
      </c>
      <c r="C15072">
        <f>IF(B15072="","",INT(A15072))</f>
        <v/>
      </c>
      <c r="D15072">
        <f>IF(B15072="","",HOUR(A15072))</f>
        <v/>
      </c>
    </row>
    <row r="15073">
      <c r="A15073">
        <f>Input!A15073</f>
        <v/>
      </c>
      <c r="B15073">
        <f>IF(ISNUMBER(Input!B15073),IF(AND(Input!B15073&gt;=20,Input!B15073&lt;=700),Input!B15073,""),"")</f>
        <v/>
      </c>
      <c r="C15073">
        <f>IF(B15073="","",INT(A15073))</f>
        <v/>
      </c>
      <c r="D15073">
        <f>IF(B15073="","",HOUR(A15073))</f>
        <v/>
      </c>
    </row>
    <row r="15074">
      <c r="A15074">
        <f>Input!A15074</f>
        <v/>
      </c>
      <c r="B15074">
        <f>IF(ISNUMBER(Input!B15074),IF(AND(Input!B15074&gt;=20,Input!B15074&lt;=700),Input!B15074,""),"")</f>
        <v/>
      </c>
      <c r="C15074">
        <f>IF(B15074="","",INT(A15074))</f>
        <v/>
      </c>
      <c r="D15074">
        <f>IF(B15074="","",HOUR(A15074))</f>
        <v/>
      </c>
    </row>
    <row r="15075">
      <c r="A15075">
        <f>Input!A15075</f>
        <v/>
      </c>
      <c r="B15075">
        <f>IF(ISNUMBER(Input!B15075),IF(AND(Input!B15075&gt;=20,Input!B15075&lt;=700),Input!B15075,""),"")</f>
        <v/>
      </c>
      <c r="C15075">
        <f>IF(B15075="","",INT(A15075))</f>
        <v/>
      </c>
      <c r="D15075">
        <f>IF(B15075="","",HOUR(A15075))</f>
        <v/>
      </c>
    </row>
    <row r="15076">
      <c r="A15076">
        <f>Input!A15076</f>
        <v/>
      </c>
      <c r="B15076">
        <f>IF(ISNUMBER(Input!B15076),IF(AND(Input!B15076&gt;=20,Input!B15076&lt;=700),Input!B15076,""),"")</f>
        <v/>
      </c>
      <c r="C15076">
        <f>IF(B15076="","",INT(A15076))</f>
        <v/>
      </c>
      <c r="D15076">
        <f>IF(B15076="","",HOUR(A15076))</f>
        <v/>
      </c>
    </row>
    <row r="15077">
      <c r="A15077">
        <f>Input!A15077</f>
        <v/>
      </c>
      <c r="B15077">
        <f>IF(ISNUMBER(Input!B15077),IF(AND(Input!B15077&gt;=20,Input!B15077&lt;=700),Input!B15077,""),"")</f>
        <v/>
      </c>
      <c r="C15077">
        <f>IF(B15077="","",INT(A15077))</f>
        <v/>
      </c>
      <c r="D15077">
        <f>IF(B15077="","",HOUR(A15077))</f>
        <v/>
      </c>
    </row>
    <row r="15078">
      <c r="A15078">
        <f>Input!A15078</f>
        <v/>
      </c>
      <c r="B15078">
        <f>IF(ISNUMBER(Input!B15078),IF(AND(Input!B15078&gt;=20,Input!B15078&lt;=700),Input!B15078,""),"")</f>
        <v/>
      </c>
      <c r="C15078">
        <f>IF(B15078="","",INT(A15078))</f>
        <v/>
      </c>
      <c r="D15078">
        <f>IF(B15078="","",HOUR(A15078))</f>
        <v/>
      </c>
    </row>
    <row r="15079">
      <c r="A15079">
        <f>Input!A15079</f>
        <v/>
      </c>
      <c r="B15079">
        <f>IF(ISNUMBER(Input!B15079),IF(AND(Input!B15079&gt;=20,Input!B15079&lt;=700),Input!B15079,""),"")</f>
        <v/>
      </c>
      <c r="C15079">
        <f>IF(B15079="","",INT(A15079))</f>
        <v/>
      </c>
      <c r="D15079">
        <f>IF(B15079="","",HOUR(A15079))</f>
        <v/>
      </c>
    </row>
    <row r="15080">
      <c r="A15080">
        <f>Input!A15080</f>
        <v/>
      </c>
      <c r="B15080">
        <f>IF(ISNUMBER(Input!B15080),IF(AND(Input!B15080&gt;=20,Input!B15080&lt;=700),Input!B15080,""),"")</f>
        <v/>
      </c>
      <c r="C15080">
        <f>IF(B15080="","",INT(A15080))</f>
        <v/>
      </c>
      <c r="D15080">
        <f>IF(B15080="","",HOUR(A15080))</f>
        <v/>
      </c>
    </row>
    <row r="15081">
      <c r="A15081">
        <f>Input!A15081</f>
        <v/>
      </c>
      <c r="B15081">
        <f>IF(ISNUMBER(Input!B15081),IF(AND(Input!B15081&gt;=20,Input!B15081&lt;=700),Input!B15081,""),"")</f>
        <v/>
      </c>
      <c r="C15081">
        <f>IF(B15081="","",INT(A15081))</f>
        <v/>
      </c>
      <c r="D15081">
        <f>IF(B15081="","",HOUR(A15081))</f>
        <v/>
      </c>
    </row>
    <row r="15082">
      <c r="A15082">
        <f>Input!A15082</f>
        <v/>
      </c>
      <c r="B15082">
        <f>IF(ISNUMBER(Input!B15082),IF(AND(Input!B15082&gt;=20,Input!B15082&lt;=700),Input!B15082,""),"")</f>
        <v/>
      </c>
      <c r="C15082">
        <f>IF(B15082="","",INT(A15082))</f>
        <v/>
      </c>
      <c r="D15082">
        <f>IF(B15082="","",HOUR(A15082))</f>
        <v/>
      </c>
    </row>
    <row r="15083">
      <c r="A15083">
        <f>Input!A15083</f>
        <v/>
      </c>
      <c r="B15083">
        <f>IF(ISNUMBER(Input!B15083),IF(AND(Input!B15083&gt;=20,Input!B15083&lt;=700),Input!B15083,""),"")</f>
        <v/>
      </c>
      <c r="C15083">
        <f>IF(B15083="","",INT(A15083))</f>
        <v/>
      </c>
      <c r="D15083">
        <f>IF(B15083="","",HOUR(A15083))</f>
        <v/>
      </c>
    </row>
    <row r="15084">
      <c r="A15084">
        <f>Input!A15084</f>
        <v/>
      </c>
      <c r="B15084">
        <f>IF(ISNUMBER(Input!B15084),IF(AND(Input!B15084&gt;=20,Input!B15084&lt;=700),Input!B15084,""),"")</f>
        <v/>
      </c>
      <c r="C15084">
        <f>IF(B15084="","",INT(A15084))</f>
        <v/>
      </c>
      <c r="D15084">
        <f>IF(B15084="","",HOUR(A15084))</f>
        <v/>
      </c>
    </row>
    <row r="15085">
      <c r="A15085">
        <f>Input!A15085</f>
        <v/>
      </c>
      <c r="B15085">
        <f>IF(ISNUMBER(Input!B15085),IF(AND(Input!B15085&gt;=20,Input!B15085&lt;=700),Input!B15085,""),"")</f>
        <v/>
      </c>
      <c r="C15085">
        <f>IF(B15085="","",INT(A15085))</f>
        <v/>
      </c>
      <c r="D15085">
        <f>IF(B15085="","",HOUR(A15085))</f>
        <v/>
      </c>
    </row>
    <row r="15086">
      <c r="A15086">
        <f>Input!A15086</f>
        <v/>
      </c>
      <c r="B15086">
        <f>IF(ISNUMBER(Input!B15086),IF(AND(Input!B15086&gt;=20,Input!B15086&lt;=700),Input!B15086,""),"")</f>
        <v/>
      </c>
      <c r="C15086">
        <f>IF(B15086="","",INT(A15086))</f>
        <v/>
      </c>
      <c r="D15086">
        <f>IF(B15086="","",HOUR(A15086))</f>
        <v/>
      </c>
    </row>
    <row r="15087">
      <c r="A15087">
        <f>Input!A15087</f>
        <v/>
      </c>
      <c r="B15087">
        <f>IF(ISNUMBER(Input!B15087),IF(AND(Input!B15087&gt;=20,Input!B15087&lt;=700),Input!B15087,""),"")</f>
        <v/>
      </c>
      <c r="C15087">
        <f>IF(B15087="","",INT(A15087))</f>
        <v/>
      </c>
      <c r="D15087">
        <f>IF(B15087="","",HOUR(A15087))</f>
        <v/>
      </c>
    </row>
    <row r="15088">
      <c r="A15088">
        <f>Input!A15088</f>
        <v/>
      </c>
      <c r="B15088">
        <f>IF(ISNUMBER(Input!B15088),IF(AND(Input!B15088&gt;=20,Input!B15088&lt;=700),Input!B15088,""),"")</f>
        <v/>
      </c>
      <c r="C15088">
        <f>IF(B15088="","",INT(A15088))</f>
        <v/>
      </c>
      <c r="D15088">
        <f>IF(B15088="","",HOUR(A15088))</f>
        <v/>
      </c>
    </row>
    <row r="15089">
      <c r="A15089">
        <f>Input!A15089</f>
        <v/>
      </c>
      <c r="B15089">
        <f>IF(ISNUMBER(Input!B15089),IF(AND(Input!B15089&gt;=20,Input!B15089&lt;=700),Input!B15089,""),"")</f>
        <v/>
      </c>
      <c r="C15089">
        <f>IF(B15089="","",INT(A15089))</f>
        <v/>
      </c>
      <c r="D15089">
        <f>IF(B15089="","",HOUR(A15089))</f>
        <v/>
      </c>
    </row>
    <row r="15090">
      <c r="A15090">
        <f>Input!A15090</f>
        <v/>
      </c>
      <c r="B15090">
        <f>IF(ISNUMBER(Input!B15090),IF(AND(Input!B15090&gt;=20,Input!B15090&lt;=700),Input!B15090,""),"")</f>
        <v/>
      </c>
      <c r="C15090">
        <f>IF(B15090="","",INT(A15090))</f>
        <v/>
      </c>
      <c r="D15090">
        <f>IF(B15090="","",HOUR(A15090))</f>
        <v/>
      </c>
    </row>
    <row r="15091">
      <c r="A15091">
        <f>Input!A15091</f>
        <v/>
      </c>
      <c r="B15091">
        <f>IF(ISNUMBER(Input!B15091),IF(AND(Input!B15091&gt;=20,Input!B15091&lt;=700),Input!B15091,""),"")</f>
        <v/>
      </c>
      <c r="C15091">
        <f>IF(B15091="","",INT(A15091))</f>
        <v/>
      </c>
      <c r="D15091">
        <f>IF(B15091="","",HOUR(A15091))</f>
        <v/>
      </c>
    </row>
    <row r="15092">
      <c r="A15092">
        <f>Input!A15092</f>
        <v/>
      </c>
      <c r="B15092">
        <f>IF(ISNUMBER(Input!B15092),IF(AND(Input!B15092&gt;=20,Input!B15092&lt;=700),Input!B15092,""),"")</f>
        <v/>
      </c>
      <c r="C15092">
        <f>IF(B15092="","",INT(A15092))</f>
        <v/>
      </c>
      <c r="D15092">
        <f>IF(B15092="","",HOUR(A15092))</f>
        <v/>
      </c>
    </row>
    <row r="15093">
      <c r="A15093">
        <f>Input!A15093</f>
        <v/>
      </c>
      <c r="B15093">
        <f>IF(ISNUMBER(Input!B15093),IF(AND(Input!B15093&gt;=20,Input!B15093&lt;=700),Input!B15093,""),"")</f>
        <v/>
      </c>
      <c r="C15093">
        <f>IF(B15093="","",INT(A15093))</f>
        <v/>
      </c>
      <c r="D15093">
        <f>IF(B15093="","",HOUR(A15093))</f>
        <v/>
      </c>
    </row>
    <row r="15094">
      <c r="A15094">
        <f>Input!A15094</f>
        <v/>
      </c>
      <c r="B15094">
        <f>IF(ISNUMBER(Input!B15094),IF(AND(Input!B15094&gt;=20,Input!B15094&lt;=700),Input!B15094,""),"")</f>
        <v/>
      </c>
      <c r="C15094">
        <f>IF(B15094="","",INT(A15094))</f>
        <v/>
      </c>
      <c r="D15094">
        <f>IF(B15094="","",HOUR(A15094))</f>
        <v/>
      </c>
    </row>
    <row r="15095">
      <c r="A15095">
        <f>Input!A15095</f>
        <v/>
      </c>
      <c r="B15095">
        <f>IF(ISNUMBER(Input!B15095),IF(AND(Input!B15095&gt;=20,Input!B15095&lt;=700),Input!B15095,""),"")</f>
        <v/>
      </c>
      <c r="C15095">
        <f>IF(B15095="","",INT(A15095))</f>
        <v/>
      </c>
      <c r="D15095">
        <f>IF(B15095="","",HOUR(A15095))</f>
        <v/>
      </c>
    </row>
    <row r="15096">
      <c r="A15096">
        <f>Input!A15096</f>
        <v/>
      </c>
      <c r="B15096">
        <f>IF(ISNUMBER(Input!B15096),IF(AND(Input!B15096&gt;=20,Input!B15096&lt;=700),Input!B15096,""),"")</f>
        <v/>
      </c>
      <c r="C15096">
        <f>IF(B15096="","",INT(A15096))</f>
        <v/>
      </c>
      <c r="D15096">
        <f>IF(B15096="","",HOUR(A15096))</f>
        <v/>
      </c>
    </row>
    <row r="15097">
      <c r="A15097">
        <f>Input!A15097</f>
        <v/>
      </c>
      <c r="B15097">
        <f>IF(ISNUMBER(Input!B15097),IF(AND(Input!B15097&gt;=20,Input!B15097&lt;=700),Input!B15097,""),"")</f>
        <v/>
      </c>
      <c r="C15097">
        <f>IF(B15097="","",INT(A15097))</f>
        <v/>
      </c>
      <c r="D15097">
        <f>IF(B15097="","",HOUR(A15097))</f>
        <v/>
      </c>
    </row>
    <row r="15098">
      <c r="A15098">
        <f>Input!A15098</f>
        <v/>
      </c>
      <c r="B15098">
        <f>IF(ISNUMBER(Input!B15098),IF(AND(Input!B15098&gt;=20,Input!B15098&lt;=700),Input!B15098,""),"")</f>
        <v/>
      </c>
      <c r="C15098">
        <f>IF(B15098="","",INT(A15098))</f>
        <v/>
      </c>
      <c r="D15098">
        <f>IF(B15098="","",HOUR(A15098))</f>
        <v/>
      </c>
    </row>
    <row r="15099">
      <c r="A15099">
        <f>Input!A15099</f>
        <v/>
      </c>
      <c r="B15099">
        <f>IF(ISNUMBER(Input!B15099),IF(AND(Input!B15099&gt;=20,Input!B15099&lt;=700),Input!B15099,""),"")</f>
        <v/>
      </c>
      <c r="C15099">
        <f>IF(B15099="","",INT(A15099))</f>
        <v/>
      </c>
      <c r="D15099">
        <f>IF(B15099="","",HOUR(A15099))</f>
        <v/>
      </c>
    </row>
    <row r="15100">
      <c r="A15100">
        <f>Input!A15100</f>
        <v/>
      </c>
      <c r="B15100">
        <f>IF(ISNUMBER(Input!B15100),IF(AND(Input!B15100&gt;=20,Input!B15100&lt;=700),Input!B15100,""),"")</f>
        <v/>
      </c>
      <c r="C15100">
        <f>IF(B15100="","",INT(A15100))</f>
        <v/>
      </c>
      <c r="D15100">
        <f>IF(B15100="","",HOUR(A15100))</f>
        <v/>
      </c>
    </row>
    <row r="15101">
      <c r="A15101">
        <f>Input!A15101</f>
        <v/>
      </c>
      <c r="B15101">
        <f>IF(ISNUMBER(Input!B15101),IF(AND(Input!B15101&gt;=20,Input!B15101&lt;=700),Input!B15101,""),"")</f>
        <v/>
      </c>
      <c r="C15101">
        <f>IF(B15101="","",INT(A15101))</f>
        <v/>
      </c>
      <c r="D15101">
        <f>IF(B15101="","",HOUR(A15101))</f>
        <v/>
      </c>
    </row>
    <row r="15102">
      <c r="A15102">
        <f>Input!A15102</f>
        <v/>
      </c>
      <c r="B15102">
        <f>IF(ISNUMBER(Input!B15102),IF(AND(Input!B15102&gt;=20,Input!B15102&lt;=700),Input!B15102,""),"")</f>
        <v/>
      </c>
      <c r="C15102">
        <f>IF(B15102="","",INT(A15102))</f>
        <v/>
      </c>
      <c r="D15102">
        <f>IF(B15102="","",HOUR(A15102))</f>
        <v/>
      </c>
    </row>
    <row r="15103">
      <c r="A15103">
        <f>Input!A15103</f>
        <v/>
      </c>
      <c r="B15103">
        <f>IF(ISNUMBER(Input!B15103),IF(AND(Input!B15103&gt;=20,Input!B15103&lt;=700),Input!B15103,""),"")</f>
        <v/>
      </c>
      <c r="C15103">
        <f>IF(B15103="","",INT(A15103))</f>
        <v/>
      </c>
      <c r="D15103">
        <f>IF(B15103="","",HOUR(A15103))</f>
        <v/>
      </c>
    </row>
    <row r="15104">
      <c r="A15104">
        <f>Input!A15104</f>
        <v/>
      </c>
      <c r="B15104">
        <f>IF(ISNUMBER(Input!B15104),IF(AND(Input!B15104&gt;=20,Input!B15104&lt;=700),Input!B15104,""),"")</f>
        <v/>
      </c>
      <c r="C15104">
        <f>IF(B15104="","",INT(A15104))</f>
        <v/>
      </c>
      <c r="D15104">
        <f>IF(B15104="","",HOUR(A15104))</f>
        <v/>
      </c>
    </row>
    <row r="15105">
      <c r="A15105">
        <f>Input!A15105</f>
        <v/>
      </c>
      <c r="B15105">
        <f>IF(ISNUMBER(Input!B15105),IF(AND(Input!B15105&gt;=20,Input!B15105&lt;=700),Input!B15105,""),"")</f>
        <v/>
      </c>
      <c r="C15105">
        <f>IF(B15105="","",INT(A15105))</f>
        <v/>
      </c>
      <c r="D15105">
        <f>IF(B15105="","",HOUR(A15105))</f>
        <v/>
      </c>
    </row>
    <row r="15106">
      <c r="A15106">
        <f>Input!A15106</f>
        <v/>
      </c>
      <c r="B15106">
        <f>IF(ISNUMBER(Input!B15106),IF(AND(Input!B15106&gt;=20,Input!B15106&lt;=700),Input!B15106,""),"")</f>
        <v/>
      </c>
      <c r="C15106">
        <f>IF(B15106="","",INT(A15106))</f>
        <v/>
      </c>
      <c r="D15106">
        <f>IF(B15106="","",HOUR(A15106))</f>
        <v/>
      </c>
    </row>
    <row r="15107">
      <c r="A15107">
        <f>Input!A15107</f>
        <v/>
      </c>
      <c r="B15107">
        <f>IF(ISNUMBER(Input!B15107),IF(AND(Input!B15107&gt;=20,Input!B15107&lt;=700),Input!B15107,""),"")</f>
        <v/>
      </c>
      <c r="C15107">
        <f>IF(B15107="","",INT(A15107))</f>
        <v/>
      </c>
      <c r="D15107">
        <f>IF(B15107="","",HOUR(A15107))</f>
        <v/>
      </c>
    </row>
    <row r="15108">
      <c r="A15108">
        <f>Input!A15108</f>
        <v/>
      </c>
      <c r="B15108">
        <f>IF(ISNUMBER(Input!B15108),IF(AND(Input!B15108&gt;=20,Input!B15108&lt;=700),Input!B15108,""),"")</f>
        <v/>
      </c>
      <c r="C15108">
        <f>IF(B15108="","",INT(A15108))</f>
        <v/>
      </c>
      <c r="D15108">
        <f>IF(B15108="","",HOUR(A15108))</f>
        <v/>
      </c>
    </row>
    <row r="15109">
      <c r="A15109">
        <f>Input!A15109</f>
        <v/>
      </c>
      <c r="B15109">
        <f>IF(ISNUMBER(Input!B15109),IF(AND(Input!B15109&gt;=20,Input!B15109&lt;=700),Input!B15109,""),"")</f>
        <v/>
      </c>
      <c r="C15109">
        <f>IF(B15109="","",INT(A15109))</f>
        <v/>
      </c>
      <c r="D15109">
        <f>IF(B15109="","",HOUR(A15109))</f>
        <v/>
      </c>
    </row>
    <row r="15110">
      <c r="A15110">
        <f>Input!A15110</f>
        <v/>
      </c>
      <c r="B15110">
        <f>IF(ISNUMBER(Input!B15110),IF(AND(Input!B15110&gt;=20,Input!B15110&lt;=700),Input!B15110,""),"")</f>
        <v/>
      </c>
      <c r="C15110">
        <f>IF(B15110="","",INT(A15110))</f>
        <v/>
      </c>
      <c r="D15110">
        <f>IF(B15110="","",HOUR(A15110))</f>
        <v/>
      </c>
    </row>
    <row r="15111">
      <c r="A15111">
        <f>Input!A15111</f>
        <v/>
      </c>
      <c r="B15111">
        <f>IF(ISNUMBER(Input!B15111),IF(AND(Input!B15111&gt;=20,Input!B15111&lt;=700),Input!B15111,""),"")</f>
        <v/>
      </c>
      <c r="C15111">
        <f>IF(B15111="","",INT(A15111))</f>
        <v/>
      </c>
      <c r="D15111">
        <f>IF(B15111="","",HOUR(A15111))</f>
        <v/>
      </c>
    </row>
    <row r="15112">
      <c r="A15112">
        <f>Input!A15112</f>
        <v/>
      </c>
      <c r="B15112">
        <f>IF(ISNUMBER(Input!B15112),IF(AND(Input!B15112&gt;=20,Input!B15112&lt;=700),Input!B15112,""),"")</f>
        <v/>
      </c>
      <c r="C15112">
        <f>IF(B15112="","",INT(A15112))</f>
        <v/>
      </c>
      <c r="D15112">
        <f>IF(B15112="","",HOUR(A15112))</f>
        <v/>
      </c>
    </row>
    <row r="15113">
      <c r="A15113">
        <f>Input!A15113</f>
        <v/>
      </c>
      <c r="B15113">
        <f>IF(ISNUMBER(Input!B15113),IF(AND(Input!B15113&gt;=20,Input!B15113&lt;=700),Input!B15113,""),"")</f>
        <v/>
      </c>
      <c r="C15113">
        <f>IF(B15113="","",INT(A15113))</f>
        <v/>
      </c>
      <c r="D15113">
        <f>IF(B15113="","",HOUR(A15113))</f>
        <v/>
      </c>
    </row>
    <row r="15114">
      <c r="A15114">
        <f>Input!A15114</f>
        <v/>
      </c>
      <c r="B15114">
        <f>IF(ISNUMBER(Input!B15114),IF(AND(Input!B15114&gt;=20,Input!B15114&lt;=700),Input!B15114,""),"")</f>
        <v/>
      </c>
      <c r="C15114">
        <f>IF(B15114="","",INT(A15114))</f>
        <v/>
      </c>
      <c r="D15114">
        <f>IF(B15114="","",HOUR(A15114))</f>
        <v/>
      </c>
    </row>
    <row r="15115">
      <c r="A15115">
        <f>Input!A15115</f>
        <v/>
      </c>
      <c r="B15115">
        <f>IF(ISNUMBER(Input!B15115),IF(AND(Input!B15115&gt;=20,Input!B15115&lt;=700),Input!B15115,""),"")</f>
        <v/>
      </c>
      <c r="C15115">
        <f>IF(B15115="","",INT(A15115))</f>
        <v/>
      </c>
      <c r="D15115">
        <f>IF(B15115="","",HOUR(A15115))</f>
        <v/>
      </c>
    </row>
    <row r="15116">
      <c r="A15116">
        <f>Input!A15116</f>
        <v/>
      </c>
      <c r="B15116">
        <f>IF(ISNUMBER(Input!B15116),IF(AND(Input!B15116&gt;=20,Input!B15116&lt;=700),Input!B15116,""),"")</f>
        <v/>
      </c>
      <c r="C15116">
        <f>IF(B15116="","",INT(A15116))</f>
        <v/>
      </c>
      <c r="D15116">
        <f>IF(B15116="","",HOUR(A15116))</f>
        <v/>
      </c>
    </row>
    <row r="15117">
      <c r="A15117">
        <f>Input!A15117</f>
        <v/>
      </c>
      <c r="B15117">
        <f>IF(ISNUMBER(Input!B15117),IF(AND(Input!B15117&gt;=20,Input!B15117&lt;=700),Input!B15117,""),"")</f>
        <v/>
      </c>
      <c r="C15117">
        <f>IF(B15117="","",INT(A15117))</f>
        <v/>
      </c>
      <c r="D15117">
        <f>IF(B15117="","",HOUR(A15117))</f>
        <v/>
      </c>
    </row>
    <row r="15118">
      <c r="A15118">
        <f>Input!A15118</f>
        <v/>
      </c>
      <c r="B15118">
        <f>IF(ISNUMBER(Input!B15118),IF(AND(Input!B15118&gt;=20,Input!B15118&lt;=700),Input!B15118,""),"")</f>
        <v/>
      </c>
      <c r="C15118">
        <f>IF(B15118="","",INT(A15118))</f>
        <v/>
      </c>
      <c r="D15118">
        <f>IF(B15118="","",HOUR(A15118))</f>
        <v/>
      </c>
    </row>
    <row r="15119">
      <c r="A15119">
        <f>Input!A15119</f>
        <v/>
      </c>
      <c r="B15119">
        <f>IF(ISNUMBER(Input!B15119),IF(AND(Input!B15119&gt;=20,Input!B15119&lt;=700),Input!B15119,""),"")</f>
        <v/>
      </c>
      <c r="C15119">
        <f>IF(B15119="","",INT(A15119))</f>
        <v/>
      </c>
      <c r="D15119">
        <f>IF(B15119="","",HOUR(A15119))</f>
        <v/>
      </c>
    </row>
    <row r="15120">
      <c r="A15120">
        <f>Input!A15120</f>
        <v/>
      </c>
      <c r="B15120">
        <f>IF(ISNUMBER(Input!B15120),IF(AND(Input!B15120&gt;=20,Input!B15120&lt;=700),Input!B15120,""),"")</f>
        <v/>
      </c>
      <c r="C15120">
        <f>IF(B15120="","",INT(A15120))</f>
        <v/>
      </c>
      <c r="D15120">
        <f>IF(B15120="","",HOUR(A15120))</f>
        <v/>
      </c>
    </row>
    <row r="15121">
      <c r="A15121">
        <f>Input!A15121</f>
        <v/>
      </c>
      <c r="B15121">
        <f>IF(ISNUMBER(Input!B15121),IF(AND(Input!B15121&gt;=20,Input!B15121&lt;=700),Input!B15121,""),"")</f>
        <v/>
      </c>
      <c r="C15121">
        <f>IF(B15121="","",INT(A15121))</f>
        <v/>
      </c>
      <c r="D15121">
        <f>IF(B15121="","",HOUR(A15121))</f>
        <v/>
      </c>
    </row>
    <row r="15122">
      <c r="A15122">
        <f>Input!A15122</f>
        <v/>
      </c>
      <c r="B15122">
        <f>IF(ISNUMBER(Input!B15122),IF(AND(Input!B15122&gt;=20,Input!B15122&lt;=700),Input!B15122,""),"")</f>
        <v/>
      </c>
      <c r="C15122">
        <f>IF(B15122="","",INT(A15122))</f>
        <v/>
      </c>
      <c r="D15122">
        <f>IF(B15122="","",HOUR(A15122))</f>
        <v/>
      </c>
    </row>
    <row r="15123">
      <c r="A15123">
        <f>Input!A15123</f>
        <v/>
      </c>
      <c r="B15123">
        <f>IF(ISNUMBER(Input!B15123),IF(AND(Input!B15123&gt;=20,Input!B15123&lt;=700),Input!B15123,""),"")</f>
        <v/>
      </c>
      <c r="C15123">
        <f>IF(B15123="","",INT(A15123))</f>
        <v/>
      </c>
      <c r="D15123">
        <f>IF(B15123="","",HOUR(A15123))</f>
        <v/>
      </c>
    </row>
    <row r="15124">
      <c r="A15124">
        <f>Input!A15124</f>
        <v/>
      </c>
      <c r="B15124">
        <f>IF(ISNUMBER(Input!B15124),IF(AND(Input!B15124&gt;=20,Input!B15124&lt;=700),Input!B15124,""),"")</f>
        <v/>
      </c>
      <c r="C15124">
        <f>IF(B15124="","",INT(A15124))</f>
        <v/>
      </c>
      <c r="D15124">
        <f>IF(B15124="","",HOUR(A15124))</f>
        <v/>
      </c>
    </row>
    <row r="15125">
      <c r="A15125">
        <f>Input!A15125</f>
        <v/>
      </c>
      <c r="B15125">
        <f>IF(ISNUMBER(Input!B15125),IF(AND(Input!B15125&gt;=20,Input!B15125&lt;=700),Input!B15125,""),"")</f>
        <v/>
      </c>
      <c r="C15125">
        <f>IF(B15125="","",INT(A15125))</f>
        <v/>
      </c>
      <c r="D15125">
        <f>IF(B15125="","",HOUR(A15125))</f>
        <v/>
      </c>
    </row>
    <row r="15126">
      <c r="A15126">
        <f>Input!A15126</f>
        <v/>
      </c>
      <c r="B15126">
        <f>IF(ISNUMBER(Input!B15126),IF(AND(Input!B15126&gt;=20,Input!B15126&lt;=700),Input!B15126,""),"")</f>
        <v/>
      </c>
      <c r="C15126">
        <f>IF(B15126="","",INT(A15126))</f>
        <v/>
      </c>
      <c r="D15126">
        <f>IF(B15126="","",HOUR(A15126))</f>
        <v/>
      </c>
    </row>
    <row r="15127">
      <c r="A15127">
        <f>Input!A15127</f>
        <v/>
      </c>
      <c r="B15127">
        <f>IF(ISNUMBER(Input!B15127),IF(AND(Input!B15127&gt;=20,Input!B15127&lt;=700),Input!B15127,""),"")</f>
        <v/>
      </c>
      <c r="C15127">
        <f>IF(B15127="","",INT(A15127))</f>
        <v/>
      </c>
      <c r="D15127">
        <f>IF(B15127="","",HOUR(A15127))</f>
        <v/>
      </c>
    </row>
    <row r="15128">
      <c r="A15128">
        <f>Input!A15128</f>
        <v/>
      </c>
      <c r="B15128">
        <f>IF(ISNUMBER(Input!B15128),IF(AND(Input!B15128&gt;=20,Input!B15128&lt;=700),Input!B15128,""),"")</f>
        <v/>
      </c>
      <c r="C15128">
        <f>IF(B15128="","",INT(A15128))</f>
        <v/>
      </c>
      <c r="D15128">
        <f>IF(B15128="","",HOUR(A15128))</f>
        <v/>
      </c>
    </row>
    <row r="15129">
      <c r="A15129">
        <f>Input!A15129</f>
        <v/>
      </c>
      <c r="B15129">
        <f>IF(ISNUMBER(Input!B15129),IF(AND(Input!B15129&gt;=20,Input!B15129&lt;=700),Input!B15129,""),"")</f>
        <v/>
      </c>
      <c r="C15129">
        <f>IF(B15129="","",INT(A15129))</f>
        <v/>
      </c>
      <c r="D15129">
        <f>IF(B15129="","",HOUR(A15129))</f>
        <v/>
      </c>
    </row>
    <row r="15130">
      <c r="A15130">
        <f>Input!A15130</f>
        <v/>
      </c>
      <c r="B15130">
        <f>IF(ISNUMBER(Input!B15130),IF(AND(Input!B15130&gt;=20,Input!B15130&lt;=700),Input!B15130,""),"")</f>
        <v/>
      </c>
      <c r="C15130">
        <f>IF(B15130="","",INT(A15130))</f>
        <v/>
      </c>
      <c r="D15130">
        <f>IF(B15130="","",HOUR(A15130))</f>
        <v/>
      </c>
    </row>
    <row r="15131">
      <c r="A15131">
        <f>Input!A15131</f>
        <v/>
      </c>
      <c r="B15131">
        <f>IF(ISNUMBER(Input!B15131),IF(AND(Input!B15131&gt;=20,Input!B15131&lt;=700),Input!B15131,""),"")</f>
        <v/>
      </c>
      <c r="C15131">
        <f>IF(B15131="","",INT(A15131))</f>
        <v/>
      </c>
      <c r="D15131">
        <f>IF(B15131="","",HOUR(A15131))</f>
        <v/>
      </c>
    </row>
    <row r="15132">
      <c r="A15132">
        <f>Input!A15132</f>
        <v/>
      </c>
      <c r="B15132">
        <f>IF(ISNUMBER(Input!B15132),IF(AND(Input!B15132&gt;=20,Input!B15132&lt;=700),Input!B15132,""),"")</f>
        <v/>
      </c>
      <c r="C15132">
        <f>IF(B15132="","",INT(A15132))</f>
        <v/>
      </c>
      <c r="D15132">
        <f>IF(B15132="","",HOUR(A15132))</f>
        <v/>
      </c>
    </row>
    <row r="15133">
      <c r="A15133">
        <f>Input!A15133</f>
        <v/>
      </c>
      <c r="B15133">
        <f>IF(ISNUMBER(Input!B15133),IF(AND(Input!B15133&gt;=20,Input!B15133&lt;=700),Input!B15133,""),"")</f>
        <v/>
      </c>
      <c r="C15133">
        <f>IF(B15133="","",INT(A15133))</f>
        <v/>
      </c>
      <c r="D15133">
        <f>IF(B15133="","",HOUR(A15133))</f>
        <v/>
      </c>
    </row>
    <row r="15134">
      <c r="A15134">
        <f>Input!A15134</f>
        <v/>
      </c>
      <c r="B15134">
        <f>IF(ISNUMBER(Input!B15134),IF(AND(Input!B15134&gt;=20,Input!B15134&lt;=700),Input!B15134,""),"")</f>
        <v/>
      </c>
      <c r="C15134">
        <f>IF(B15134="","",INT(A15134))</f>
        <v/>
      </c>
      <c r="D15134">
        <f>IF(B15134="","",HOUR(A15134))</f>
        <v/>
      </c>
    </row>
    <row r="15135">
      <c r="A15135">
        <f>Input!A15135</f>
        <v/>
      </c>
      <c r="B15135">
        <f>IF(ISNUMBER(Input!B15135),IF(AND(Input!B15135&gt;=20,Input!B15135&lt;=700),Input!B15135,""),"")</f>
        <v/>
      </c>
      <c r="C15135">
        <f>IF(B15135="","",INT(A15135))</f>
        <v/>
      </c>
      <c r="D15135">
        <f>IF(B15135="","",HOUR(A15135))</f>
        <v/>
      </c>
    </row>
    <row r="15136">
      <c r="A15136">
        <f>Input!A15136</f>
        <v/>
      </c>
      <c r="B15136">
        <f>IF(ISNUMBER(Input!B15136),IF(AND(Input!B15136&gt;=20,Input!B15136&lt;=700),Input!B15136,""),"")</f>
        <v/>
      </c>
      <c r="C15136">
        <f>IF(B15136="","",INT(A15136))</f>
        <v/>
      </c>
      <c r="D15136">
        <f>IF(B15136="","",HOUR(A15136))</f>
        <v/>
      </c>
    </row>
    <row r="15137">
      <c r="A15137">
        <f>Input!A15137</f>
        <v/>
      </c>
      <c r="B15137">
        <f>IF(ISNUMBER(Input!B15137),IF(AND(Input!B15137&gt;=20,Input!B15137&lt;=700),Input!B15137,""),"")</f>
        <v/>
      </c>
      <c r="C15137">
        <f>IF(B15137="","",INT(A15137))</f>
        <v/>
      </c>
      <c r="D15137">
        <f>IF(B15137="","",HOUR(A15137))</f>
        <v/>
      </c>
    </row>
    <row r="15138">
      <c r="A15138">
        <f>Input!A15138</f>
        <v/>
      </c>
      <c r="B15138">
        <f>IF(ISNUMBER(Input!B15138),IF(AND(Input!B15138&gt;=20,Input!B15138&lt;=700),Input!B15138,""),"")</f>
        <v/>
      </c>
      <c r="C15138">
        <f>IF(B15138="","",INT(A15138))</f>
        <v/>
      </c>
      <c r="D15138">
        <f>IF(B15138="","",HOUR(A15138))</f>
        <v/>
      </c>
    </row>
    <row r="15139">
      <c r="A15139">
        <f>Input!A15139</f>
        <v/>
      </c>
      <c r="B15139">
        <f>IF(ISNUMBER(Input!B15139),IF(AND(Input!B15139&gt;=20,Input!B15139&lt;=700),Input!B15139,""),"")</f>
        <v/>
      </c>
      <c r="C15139">
        <f>IF(B15139="","",INT(A15139))</f>
        <v/>
      </c>
      <c r="D15139">
        <f>IF(B15139="","",HOUR(A15139))</f>
        <v/>
      </c>
    </row>
    <row r="15140">
      <c r="A15140">
        <f>Input!A15140</f>
        <v/>
      </c>
      <c r="B15140">
        <f>IF(ISNUMBER(Input!B15140),IF(AND(Input!B15140&gt;=20,Input!B15140&lt;=700),Input!B15140,""),"")</f>
        <v/>
      </c>
      <c r="C15140">
        <f>IF(B15140="","",INT(A15140))</f>
        <v/>
      </c>
      <c r="D15140">
        <f>IF(B15140="","",HOUR(A15140))</f>
        <v/>
      </c>
    </row>
    <row r="15141">
      <c r="A15141">
        <f>Input!A15141</f>
        <v/>
      </c>
      <c r="B15141">
        <f>IF(ISNUMBER(Input!B15141),IF(AND(Input!B15141&gt;=20,Input!B15141&lt;=700),Input!B15141,""),"")</f>
        <v/>
      </c>
      <c r="C15141">
        <f>IF(B15141="","",INT(A15141))</f>
        <v/>
      </c>
      <c r="D15141">
        <f>IF(B15141="","",HOUR(A15141))</f>
        <v/>
      </c>
    </row>
    <row r="15142">
      <c r="A15142">
        <f>Input!A15142</f>
        <v/>
      </c>
      <c r="B15142">
        <f>IF(ISNUMBER(Input!B15142),IF(AND(Input!B15142&gt;=20,Input!B15142&lt;=700),Input!B15142,""),"")</f>
        <v/>
      </c>
      <c r="C15142">
        <f>IF(B15142="","",INT(A15142))</f>
        <v/>
      </c>
      <c r="D15142">
        <f>IF(B15142="","",HOUR(A15142))</f>
        <v/>
      </c>
    </row>
    <row r="15143">
      <c r="A15143">
        <f>Input!A15143</f>
        <v/>
      </c>
      <c r="B15143">
        <f>IF(ISNUMBER(Input!B15143),IF(AND(Input!B15143&gt;=20,Input!B15143&lt;=700),Input!B15143,""),"")</f>
        <v/>
      </c>
      <c r="C15143">
        <f>IF(B15143="","",INT(A15143))</f>
        <v/>
      </c>
      <c r="D15143">
        <f>IF(B15143="","",HOUR(A15143))</f>
        <v/>
      </c>
    </row>
    <row r="15144">
      <c r="A15144">
        <f>Input!A15144</f>
        <v/>
      </c>
      <c r="B15144">
        <f>IF(ISNUMBER(Input!B15144),IF(AND(Input!B15144&gt;=20,Input!B15144&lt;=700),Input!B15144,""),"")</f>
        <v/>
      </c>
      <c r="C15144">
        <f>IF(B15144="","",INT(A15144))</f>
        <v/>
      </c>
      <c r="D15144">
        <f>IF(B15144="","",HOUR(A15144))</f>
        <v/>
      </c>
    </row>
    <row r="15145">
      <c r="A15145">
        <f>Input!A15145</f>
        <v/>
      </c>
      <c r="B15145">
        <f>IF(ISNUMBER(Input!B15145),IF(AND(Input!B15145&gt;=20,Input!B15145&lt;=700),Input!B15145,""),"")</f>
        <v/>
      </c>
      <c r="C15145">
        <f>IF(B15145="","",INT(A15145))</f>
        <v/>
      </c>
      <c r="D15145">
        <f>IF(B15145="","",HOUR(A15145))</f>
        <v/>
      </c>
    </row>
    <row r="15146">
      <c r="A15146">
        <f>Input!A15146</f>
        <v/>
      </c>
      <c r="B15146">
        <f>IF(ISNUMBER(Input!B15146),IF(AND(Input!B15146&gt;=20,Input!B15146&lt;=700),Input!B15146,""),"")</f>
        <v/>
      </c>
      <c r="C15146">
        <f>IF(B15146="","",INT(A15146))</f>
        <v/>
      </c>
      <c r="D15146">
        <f>IF(B15146="","",HOUR(A15146))</f>
        <v/>
      </c>
    </row>
    <row r="15147">
      <c r="A15147">
        <f>Input!A15147</f>
        <v/>
      </c>
      <c r="B15147">
        <f>IF(ISNUMBER(Input!B15147),IF(AND(Input!B15147&gt;=20,Input!B15147&lt;=700),Input!B15147,""),"")</f>
        <v/>
      </c>
      <c r="C15147">
        <f>IF(B15147="","",INT(A15147))</f>
        <v/>
      </c>
      <c r="D15147">
        <f>IF(B15147="","",HOUR(A15147))</f>
        <v/>
      </c>
    </row>
    <row r="15148">
      <c r="A15148">
        <f>Input!A15148</f>
        <v/>
      </c>
      <c r="B15148">
        <f>IF(ISNUMBER(Input!B15148),IF(AND(Input!B15148&gt;=20,Input!B15148&lt;=700),Input!B15148,""),"")</f>
        <v/>
      </c>
      <c r="C15148">
        <f>IF(B15148="","",INT(A15148))</f>
        <v/>
      </c>
      <c r="D15148">
        <f>IF(B15148="","",HOUR(A15148))</f>
        <v/>
      </c>
    </row>
    <row r="15149">
      <c r="A15149">
        <f>Input!A15149</f>
        <v/>
      </c>
      <c r="B15149">
        <f>IF(ISNUMBER(Input!B15149),IF(AND(Input!B15149&gt;=20,Input!B15149&lt;=700),Input!B15149,""),"")</f>
        <v/>
      </c>
      <c r="C15149">
        <f>IF(B15149="","",INT(A15149))</f>
        <v/>
      </c>
      <c r="D15149">
        <f>IF(B15149="","",HOUR(A15149))</f>
        <v/>
      </c>
    </row>
    <row r="15150">
      <c r="A15150">
        <f>Input!A15150</f>
        <v/>
      </c>
      <c r="B15150">
        <f>IF(ISNUMBER(Input!B15150),IF(AND(Input!B15150&gt;=20,Input!B15150&lt;=700),Input!B15150,""),"")</f>
        <v/>
      </c>
      <c r="C15150">
        <f>IF(B15150="","",INT(A15150))</f>
        <v/>
      </c>
      <c r="D15150">
        <f>IF(B15150="","",HOUR(A15150))</f>
        <v/>
      </c>
    </row>
    <row r="15151">
      <c r="A15151">
        <f>Input!A15151</f>
        <v/>
      </c>
      <c r="B15151">
        <f>IF(ISNUMBER(Input!B15151),IF(AND(Input!B15151&gt;=20,Input!B15151&lt;=700),Input!B15151,""),"")</f>
        <v/>
      </c>
      <c r="C15151">
        <f>IF(B15151="","",INT(A15151))</f>
        <v/>
      </c>
      <c r="D15151">
        <f>IF(B15151="","",HOUR(A15151))</f>
        <v/>
      </c>
    </row>
    <row r="15152">
      <c r="A15152">
        <f>Input!A15152</f>
        <v/>
      </c>
      <c r="B15152">
        <f>IF(ISNUMBER(Input!B15152),IF(AND(Input!B15152&gt;=20,Input!B15152&lt;=700),Input!B15152,""),"")</f>
        <v/>
      </c>
      <c r="C15152">
        <f>IF(B15152="","",INT(A15152))</f>
        <v/>
      </c>
      <c r="D15152">
        <f>IF(B15152="","",HOUR(A15152))</f>
        <v/>
      </c>
    </row>
    <row r="15153">
      <c r="A15153">
        <f>Input!A15153</f>
        <v/>
      </c>
      <c r="B15153">
        <f>IF(ISNUMBER(Input!B15153),IF(AND(Input!B15153&gt;=20,Input!B15153&lt;=700),Input!B15153,""),"")</f>
        <v/>
      </c>
      <c r="C15153">
        <f>IF(B15153="","",INT(A15153))</f>
        <v/>
      </c>
      <c r="D15153">
        <f>IF(B15153="","",HOUR(A15153))</f>
        <v/>
      </c>
    </row>
    <row r="15154">
      <c r="A15154">
        <f>Input!A15154</f>
        <v/>
      </c>
      <c r="B15154">
        <f>IF(ISNUMBER(Input!B15154),IF(AND(Input!B15154&gt;=20,Input!B15154&lt;=700),Input!B15154,""),"")</f>
        <v/>
      </c>
      <c r="C15154">
        <f>IF(B15154="","",INT(A15154))</f>
        <v/>
      </c>
      <c r="D15154">
        <f>IF(B15154="","",HOUR(A15154))</f>
        <v/>
      </c>
    </row>
    <row r="15155">
      <c r="A15155">
        <f>Input!A15155</f>
        <v/>
      </c>
      <c r="B15155">
        <f>IF(ISNUMBER(Input!B15155),IF(AND(Input!B15155&gt;=20,Input!B15155&lt;=700),Input!B15155,""),"")</f>
        <v/>
      </c>
      <c r="C15155">
        <f>IF(B15155="","",INT(A15155))</f>
        <v/>
      </c>
      <c r="D15155">
        <f>IF(B15155="","",HOUR(A15155))</f>
        <v/>
      </c>
    </row>
    <row r="15156">
      <c r="A15156">
        <f>Input!A15156</f>
        <v/>
      </c>
      <c r="B15156">
        <f>IF(ISNUMBER(Input!B15156),IF(AND(Input!B15156&gt;=20,Input!B15156&lt;=700),Input!B15156,""),"")</f>
        <v/>
      </c>
      <c r="C15156">
        <f>IF(B15156="","",INT(A15156))</f>
        <v/>
      </c>
      <c r="D15156">
        <f>IF(B15156="","",HOUR(A15156))</f>
        <v/>
      </c>
    </row>
    <row r="15157">
      <c r="A15157">
        <f>Input!A15157</f>
        <v/>
      </c>
      <c r="B15157">
        <f>IF(ISNUMBER(Input!B15157),IF(AND(Input!B15157&gt;=20,Input!B15157&lt;=700),Input!B15157,""),"")</f>
        <v/>
      </c>
      <c r="C15157">
        <f>IF(B15157="","",INT(A15157))</f>
        <v/>
      </c>
      <c r="D15157">
        <f>IF(B15157="","",HOUR(A15157))</f>
        <v/>
      </c>
    </row>
    <row r="15158">
      <c r="A15158">
        <f>Input!A15158</f>
        <v/>
      </c>
      <c r="B15158">
        <f>IF(ISNUMBER(Input!B15158),IF(AND(Input!B15158&gt;=20,Input!B15158&lt;=700),Input!B15158,""),"")</f>
        <v/>
      </c>
      <c r="C15158">
        <f>IF(B15158="","",INT(A15158))</f>
        <v/>
      </c>
      <c r="D15158">
        <f>IF(B15158="","",HOUR(A15158))</f>
        <v/>
      </c>
    </row>
    <row r="15159">
      <c r="A15159">
        <f>Input!A15159</f>
        <v/>
      </c>
      <c r="B15159">
        <f>IF(ISNUMBER(Input!B15159),IF(AND(Input!B15159&gt;=20,Input!B15159&lt;=700),Input!B15159,""),"")</f>
        <v/>
      </c>
      <c r="C15159">
        <f>IF(B15159="","",INT(A15159))</f>
        <v/>
      </c>
      <c r="D15159">
        <f>IF(B15159="","",HOUR(A15159))</f>
        <v/>
      </c>
    </row>
    <row r="15160">
      <c r="A15160">
        <f>Input!A15160</f>
        <v/>
      </c>
      <c r="B15160">
        <f>IF(ISNUMBER(Input!B15160),IF(AND(Input!B15160&gt;=20,Input!B15160&lt;=700),Input!B15160,""),"")</f>
        <v/>
      </c>
      <c r="C15160">
        <f>IF(B15160="","",INT(A15160))</f>
        <v/>
      </c>
      <c r="D15160">
        <f>IF(B15160="","",HOUR(A15160))</f>
        <v/>
      </c>
    </row>
    <row r="15161">
      <c r="A15161">
        <f>Input!A15161</f>
        <v/>
      </c>
      <c r="B15161">
        <f>IF(ISNUMBER(Input!B15161),IF(AND(Input!B15161&gt;=20,Input!B15161&lt;=700),Input!B15161,""),"")</f>
        <v/>
      </c>
      <c r="C15161">
        <f>IF(B15161="","",INT(A15161))</f>
        <v/>
      </c>
      <c r="D15161">
        <f>IF(B15161="","",HOUR(A15161))</f>
        <v/>
      </c>
    </row>
    <row r="15162">
      <c r="A15162">
        <f>Input!A15162</f>
        <v/>
      </c>
      <c r="B15162">
        <f>IF(ISNUMBER(Input!B15162),IF(AND(Input!B15162&gt;=20,Input!B15162&lt;=700),Input!B15162,""),"")</f>
        <v/>
      </c>
      <c r="C15162">
        <f>IF(B15162="","",INT(A15162))</f>
        <v/>
      </c>
      <c r="D15162">
        <f>IF(B15162="","",HOUR(A15162))</f>
        <v/>
      </c>
    </row>
    <row r="15163">
      <c r="A15163">
        <f>Input!A15163</f>
        <v/>
      </c>
      <c r="B15163">
        <f>IF(ISNUMBER(Input!B15163),IF(AND(Input!B15163&gt;=20,Input!B15163&lt;=700),Input!B15163,""),"")</f>
        <v/>
      </c>
      <c r="C15163">
        <f>IF(B15163="","",INT(A15163))</f>
        <v/>
      </c>
      <c r="D15163">
        <f>IF(B15163="","",HOUR(A15163))</f>
        <v/>
      </c>
    </row>
    <row r="15164">
      <c r="A15164">
        <f>Input!A15164</f>
        <v/>
      </c>
      <c r="B15164">
        <f>IF(ISNUMBER(Input!B15164),IF(AND(Input!B15164&gt;=20,Input!B15164&lt;=700),Input!B15164,""),"")</f>
        <v/>
      </c>
      <c r="C15164">
        <f>IF(B15164="","",INT(A15164))</f>
        <v/>
      </c>
      <c r="D15164">
        <f>IF(B15164="","",HOUR(A15164))</f>
        <v/>
      </c>
    </row>
    <row r="15165">
      <c r="A15165">
        <f>Input!A15165</f>
        <v/>
      </c>
      <c r="B15165">
        <f>IF(ISNUMBER(Input!B15165),IF(AND(Input!B15165&gt;=20,Input!B15165&lt;=700),Input!B15165,""),"")</f>
        <v/>
      </c>
      <c r="C15165">
        <f>IF(B15165="","",INT(A15165))</f>
        <v/>
      </c>
      <c r="D15165">
        <f>IF(B15165="","",HOUR(A15165))</f>
        <v/>
      </c>
    </row>
    <row r="15166">
      <c r="A15166">
        <f>Input!A15166</f>
        <v/>
      </c>
      <c r="B15166">
        <f>IF(ISNUMBER(Input!B15166),IF(AND(Input!B15166&gt;=20,Input!B15166&lt;=700),Input!B15166,""),"")</f>
        <v/>
      </c>
      <c r="C15166">
        <f>IF(B15166="","",INT(A15166))</f>
        <v/>
      </c>
      <c r="D15166">
        <f>IF(B15166="","",HOUR(A15166))</f>
        <v/>
      </c>
    </row>
    <row r="15167">
      <c r="A15167">
        <f>Input!A15167</f>
        <v/>
      </c>
      <c r="B15167">
        <f>IF(ISNUMBER(Input!B15167),IF(AND(Input!B15167&gt;=20,Input!B15167&lt;=700),Input!B15167,""),"")</f>
        <v/>
      </c>
      <c r="C15167">
        <f>IF(B15167="","",INT(A15167))</f>
        <v/>
      </c>
      <c r="D15167">
        <f>IF(B15167="","",HOUR(A15167))</f>
        <v/>
      </c>
    </row>
    <row r="15168">
      <c r="A15168">
        <f>Input!A15168</f>
        <v/>
      </c>
      <c r="B15168">
        <f>IF(ISNUMBER(Input!B15168),IF(AND(Input!B15168&gt;=20,Input!B15168&lt;=700),Input!B15168,""),"")</f>
        <v/>
      </c>
      <c r="C15168">
        <f>IF(B15168="","",INT(A15168))</f>
        <v/>
      </c>
      <c r="D15168">
        <f>IF(B15168="","",HOUR(A15168))</f>
        <v/>
      </c>
    </row>
    <row r="15169">
      <c r="A15169">
        <f>Input!A15169</f>
        <v/>
      </c>
      <c r="B15169">
        <f>IF(ISNUMBER(Input!B15169),IF(AND(Input!B15169&gt;=20,Input!B15169&lt;=700),Input!B15169,""),"")</f>
        <v/>
      </c>
      <c r="C15169">
        <f>IF(B15169="","",INT(A15169))</f>
        <v/>
      </c>
      <c r="D15169">
        <f>IF(B15169="","",HOUR(A15169))</f>
        <v/>
      </c>
    </row>
    <row r="15170">
      <c r="A15170">
        <f>Input!A15170</f>
        <v/>
      </c>
      <c r="B15170">
        <f>IF(ISNUMBER(Input!B15170),IF(AND(Input!B15170&gt;=20,Input!B15170&lt;=700),Input!B15170,""),"")</f>
        <v/>
      </c>
      <c r="C15170">
        <f>IF(B15170="","",INT(A15170))</f>
        <v/>
      </c>
      <c r="D15170">
        <f>IF(B15170="","",HOUR(A15170))</f>
        <v/>
      </c>
    </row>
    <row r="15171">
      <c r="A15171">
        <f>Input!A15171</f>
        <v/>
      </c>
      <c r="B15171">
        <f>IF(ISNUMBER(Input!B15171),IF(AND(Input!B15171&gt;=20,Input!B15171&lt;=700),Input!B15171,""),"")</f>
        <v/>
      </c>
      <c r="C15171">
        <f>IF(B15171="","",INT(A15171))</f>
        <v/>
      </c>
      <c r="D15171">
        <f>IF(B15171="","",HOUR(A15171))</f>
        <v/>
      </c>
    </row>
    <row r="15172">
      <c r="A15172">
        <f>Input!A15172</f>
        <v/>
      </c>
      <c r="B15172">
        <f>IF(ISNUMBER(Input!B15172),IF(AND(Input!B15172&gt;=20,Input!B15172&lt;=700),Input!B15172,""),"")</f>
        <v/>
      </c>
      <c r="C15172">
        <f>IF(B15172="","",INT(A15172))</f>
        <v/>
      </c>
      <c r="D15172">
        <f>IF(B15172="","",HOUR(A15172))</f>
        <v/>
      </c>
    </row>
    <row r="15173">
      <c r="A15173">
        <f>Input!A15173</f>
        <v/>
      </c>
      <c r="B15173">
        <f>IF(ISNUMBER(Input!B15173),IF(AND(Input!B15173&gt;=20,Input!B15173&lt;=700),Input!B15173,""),"")</f>
        <v/>
      </c>
      <c r="C15173">
        <f>IF(B15173="","",INT(A15173))</f>
        <v/>
      </c>
      <c r="D15173">
        <f>IF(B15173="","",HOUR(A15173))</f>
        <v/>
      </c>
    </row>
    <row r="15174">
      <c r="A15174">
        <f>Input!A15174</f>
        <v/>
      </c>
      <c r="B15174">
        <f>IF(ISNUMBER(Input!B15174),IF(AND(Input!B15174&gt;=20,Input!B15174&lt;=700),Input!B15174,""),"")</f>
        <v/>
      </c>
      <c r="C15174">
        <f>IF(B15174="","",INT(A15174))</f>
        <v/>
      </c>
      <c r="D15174">
        <f>IF(B15174="","",HOUR(A15174))</f>
        <v/>
      </c>
    </row>
    <row r="15175">
      <c r="A15175">
        <f>Input!A15175</f>
        <v/>
      </c>
      <c r="B15175">
        <f>IF(ISNUMBER(Input!B15175),IF(AND(Input!B15175&gt;=20,Input!B15175&lt;=700),Input!B15175,""),"")</f>
        <v/>
      </c>
      <c r="C15175">
        <f>IF(B15175="","",INT(A15175))</f>
        <v/>
      </c>
      <c r="D15175">
        <f>IF(B15175="","",HOUR(A15175))</f>
        <v/>
      </c>
    </row>
    <row r="15176">
      <c r="A15176">
        <f>Input!A15176</f>
        <v/>
      </c>
      <c r="B15176">
        <f>IF(ISNUMBER(Input!B15176),IF(AND(Input!B15176&gt;=20,Input!B15176&lt;=700),Input!B15176,""),"")</f>
        <v/>
      </c>
      <c r="C15176">
        <f>IF(B15176="","",INT(A15176))</f>
        <v/>
      </c>
      <c r="D15176">
        <f>IF(B15176="","",HOUR(A15176))</f>
        <v/>
      </c>
    </row>
    <row r="15177">
      <c r="A15177">
        <f>Input!A15177</f>
        <v/>
      </c>
      <c r="B15177">
        <f>IF(ISNUMBER(Input!B15177),IF(AND(Input!B15177&gt;=20,Input!B15177&lt;=700),Input!B15177,""),"")</f>
        <v/>
      </c>
      <c r="C15177">
        <f>IF(B15177="","",INT(A15177))</f>
        <v/>
      </c>
      <c r="D15177">
        <f>IF(B15177="","",HOUR(A15177))</f>
        <v/>
      </c>
    </row>
    <row r="15178">
      <c r="A15178">
        <f>Input!A15178</f>
        <v/>
      </c>
      <c r="B15178">
        <f>IF(ISNUMBER(Input!B15178),IF(AND(Input!B15178&gt;=20,Input!B15178&lt;=700),Input!B15178,""),"")</f>
        <v/>
      </c>
      <c r="C15178">
        <f>IF(B15178="","",INT(A15178))</f>
        <v/>
      </c>
      <c r="D15178">
        <f>IF(B15178="","",HOUR(A15178))</f>
        <v/>
      </c>
    </row>
    <row r="15179">
      <c r="A15179">
        <f>Input!A15179</f>
        <v/>
      </c>
      <c r="B15179">
        <f>IF(ISNUMBER(Input!B15179),IF(AND(Input!B15179&gt;=20,Input!B15179&lt;=700),Input!B15179,""),"")</f>
        <v/>
      </c>
      <c r="C15179">
        <f>IF(B15179="","",INT(A15179))</f>
        <v/>
      </c>
      <c r="D15179">
        <f>IF(B15179="","",HOUR(A15179))</f>
        <v/>
      </c>
    </row>
    <row r="15180">
      <c r="A15180">
        <f>Input!A15180</f>
        <v/>
      </c>
      <c r="B15180">
        <f>IF(ISNUMBER(Input!B15180),IF(AND(Input!B15180&gt;=20,Input!B15180&lt;=700),Input!B15180,""),"")</f>
        <v/>
      </c>
      <c r="C15180">
        <f>IF(B15180="","",INT(A15180))</f>
        <v/>
      </c>
      <c r="D15180">
        <f>IF(B15180="","",HOUR(A15180))</f>
        <v/>
      </c>
    </row>
    <row r="15181">
      <c r="A15181">
        <f>Input!A15181</f>
        <v/>
      </c>
      <c r="B15181">
        <f>IF(ISNUMBER(Input!B15181),IF(AND(Input!B15181&gt;=20,Input!B15181&lt;=700),Input!B15181,""),"")</f>
        <v/>
      </c>
      <c r="C15181">
        <f>IF(B15181="","",INT(A15181))</f>
        <v/>
      </c>
      <c r="D15181">
        <f>IF(B15181="","",HOUR(A15181))</f>
        <v/>
      </c>
    </row>
    <row r="15182">
      <c r="A15182">
        <f>Input!A15182</f>
        <v/>
      </c>
      <c r="B15182">
        <f>IF(ISNUMBER(Input!B15182),IF(AND(Input!B15182&gt;=20,Input!B15182&lt;=700),Input!B15182,""),"")</f>
        <v/>
      </c>
      <c r="C15182">
        <f>IF(B15182="","",INT(A15182))</f>
        <v/>
      </c>
      <c r="D15182">
        <f>IF(B15182="","",HOUR(A15182))</f>
        <v/>
      </c>
    </row>
    <row r="15183">
      <c r="A15183">
        <f>Input!A15183</f>
        <v/>
      </c>
      <c r="B15183">
        <f>IF(ISNUMBER(Input!B15183),IF(AND(Input!B15183&gt;=20,Input!B15183&lt;=700),Input!B15183,""),"")</f>
        <v/>
      </c>
      <c r="C15183">
        <f>IF(B15183="","",INT(A15183))</f>
        <v/>
      </c>
      <c r="D15183">
        <f>IF(B15183="","",HOUR(A15183))</f>
        <v/>
      </c>
    </row>
    <row r="15184">
      <c r="A15184">
        <f>Input!A15184</f>
        <v/>
      </c>
      <c r="B15184">
        <f>IF(ISNUMBER(Input!B15184),IF(AND(Input!B15184&gt;=20,Input!B15184&lt;=700),Input!B15184,""),"")</f>
        <v/>
      </c>
      <c r="C15184">
        <f>IF(B15184="","",INT(A15184))</f>
        <v/>
      </c>
      <c r="D15184">
        <f>IF(B15184="","",HOUR(A15184))</f>
        <v/>
      </c>
    </row>
    <row r="15185">
      <c r="A15185">
        <f>Input!A15185</f>
        <v/>
      </c>
      <c r="B15185">
        <f>IF(ISNUMBER(Input!B15185),IF(AND(Input!B15185&gt;=20,Input!B15185&lt;=700),Input!B15185,""),"")</f>
        <v/>
      </c>
      <c r="C15185">
        <f>IF(B15185="","",INT(A15185))</f>
        <v/>
      </c>
      <c r="D15185">
        <f>IF(B15185="","",HOUR(A15185))</f>
        <v/>
      </c>
    </row>
    <row r="15186">
      <c r="A15186">
        <f>Input!A15186</f>
        <v/>
      </c>
      <c r="B15186">
        <f>IF(ISNUMBER(Input!B15186),IF(AND(Input!B15186&gt;=20,Input!B15186&lt;=700),Input!B15186,""),"")</f>
        <v/>
      </c>
      <c r="C15186">
        <f>IF(B15186="","",INT(A15186))</f>
        <v/>
      </c>
      <c r="D15186">
        <f>IF(B15186="","",HOUR(A15186))</f>
        <v/>
      </c>
    </row>
    <row r="15187">
      <c r="A15187">
        <f>Input!A15187</f>
        <v/>
      </c>
      <c r="B15187">
        <f>IF(ISNUMBER(Input!B15187),IF(AND(Input!B15187&gt;=20,Input!B15187&lt;=700),Input!B15187,""),"")</f>
        <v/>
      </c>
      <c r="C15187">
        <f>IF(B15187="","",INT(A15187))</f>
        <v/>
      </c>
      <c r="D15187">
        <f>IF(B15187="","",HOUR(A15187))</f>
        <v/>
      </c>
    </row>
    <row r="15188">
      <c r="A15188">
        <f>Input!A15188</f>
        <v/>
      </c>
      <c r="B15188">
        <f>IF(ISNUMBER(Input!B15188),IF(AND(Input!B15188&gt;=20,Input!B15188&lt;=700),Input!B15188,""),"")</f>
        <v/>
      </c>
      <c r="C15188">
        <f>IF(B15188="","",INT(A15188))</f>
        <v/>
      </c>
      <c r="D15188">
        <f>IF(B15188="","",HOUR(A15188))</f>
        <v/>
      </c>
    </row>
    <row r="15189">
      <c r="A15189">
        <f>Input!A15189</f>
        <v/>
      </c>
      <c r="B15189">
        <f>IF(ISNUMBER(Input!B15189),IF(AND(Input!B15189&gt;=20,Input!B15189&lt;=700),Input!B15189,""),"")</f>
        <v/>
      </c>
      <c r="C15189">
        <f>IF(B15189="","",INT(A15189))</f>
        <v/>
      </c>
      <c r="D15189">
        <f>IF(B15189="","",HOUR(A15189))</f>
        <v/>
      </c>
    </row>
    <row r="15190">
      <c r="A15190">
        <f>Input!A15190</f>
        <v/>
      </c>
      <c r="B15190">
        <f>IF(ISNUMBER(Input!B15190),IF(AND(Input!B15190&gt;=20,Input!B15190&lt;=700),Input!B15190,""),"")</f>
        <v/>
      </c>
      <c r="C15190">
        <f>IF(B15190="","",INT(A15190))</f>
        <v/>
      </c>
      <c r="D15190">
        <f>IF(B15190="","",HOUR(A15190))</f>
        <v/>
      </c>
    </row>
    <row r="15191">
      <c r="A15191">
        <f>Input!A15191</f>
        <v/>
      </c>
      <c r="B15191">
        <f>IF(ISNUMBER(Input!B15191),IF(AND(Input!B15191&gt;=20,Input!B15191&lt;=700),Input!B15191,""),"")</f>
        <v/>
      </c>
      <c r="C15191">
        <f>IF(B15191="","",INT(A15191))</f>
        <v/>
      </c>
      <c r="D15191">
        <f>IF(B15191="","",HOUR(A15191))</f>
        <v/>
      </c>
    </row>
    <row r="15192">
      <c r="A15192">
        <f>Input!A15192</f>
        <v/>
      </c>
      <c r="B15192">
        <f>IF(ISNUMBER(Input!B15192),IF(AND(Input!B15192&gt;=20,Input!B15192&lt;=700),Input!B15192,""),"")</f>
        <v/>
      </c>
      <c r="C15192">
        <f>IF(B15192="","",INT(A15192))</f>
        <v/>
      </c>
      <c r="D15192">
        <f>IF(B15192="","",HOUR(A15192))</f>
        <v/>
      </c>
    </row>
    <row r="15193">
      <c r="A15193">
        <f>Input!A15193</f>
        <v/>
      </c>
      <c r="B15193">
        <f>IF(ISNUMBER(Input!B15193),IF(AND(Input!B15193&gt;=20,Input!B15193&lt;=700),Input!B15193,""),"")</f>
        <v/>
      </c>
      <c r="C15193">
        <f>IF(B15193="","",INT(A15193))</f>
        <v/>
      </c>
      <c r="D15193">
        <f>IF(B15193="","",HOUR(A15193))</f>
        <v/>
      </c>
    </row>
    <row r="15194">
      <c r="A15194">
        <f>Input!A15194</f>
        <v/>
      </c>
      <c r="B15194">
        <f>IF(ISNUMBER(Input!B15194),IF(AND(Input!B15194&gt;=20,Input!B15194&lt;=700),Input!B15194,""),"")</f>
        <v/>
      </c>
      <c r="C15194">
        <f>IF(B15194="","",INT(A15194))</f>
        <v/>
      </c>
      <c r="D15194">
        <f>IF(B15194="","",HOUR(A15194))</f>
        <v/>
      </c>
    </row>
    <row r="15195">
      <c r="A15195">
        <f>Input!A15195</f>
        <v/>
      </c>
      <c r="B15195">
        <f>IF(ISNUMBER(Input!B15195),IF(AND(Input!B15195&gt;=20,Input!B15195&lt;=700),Input!B15195,""),"")</f>
        <v/>
      </c>
      <c r="C15195">
        <f>IF(B15195="","",INT(A15195))</f>
        <v/>
      </c>
      <c r="D15195">
        <f>IF(B15195="","",HOUR(A15195))</f>
        <v/>
      </c>
    </row>
    <row r="15196">
      <c r="A15196">
        <f>Input!A15196</f>
        <v/>
      </c>
      <c r="B15196">
        <f>IF(ISNUMBER(Input!B15196),IF(AND(Input!B15196&gt;=20,Input!B15196&lt;=700),Input!B15196,""),"")</f>
        <v/>
      </c>
      <c r="C15196">
        <f>IF(B15196="","",INT(A15196))</f>
        <v/>
      </c>
      <c r="D15196">
        <f>IF(B15196="","",HOUR(A15196))</f>
        <v/>
      </c>
    </row>
    <row r="15197">
      <c r="A15197">
        <f>Input!A15197</f>
        <v/>
      </c>
      <c r="B15197">
        <f>IF(ISNUMBER(Input!B15197),IF(AND(Input!B15197&gt;=20,Input!B15197&lt;=700),Input!B15197,""),"")</f>
        <v/>
      </c>
      <c r="C15197">
        <f>IF(B15197="","",INT(A15197))</f>
        <v/>
      </c>
      <c r="D15197">
        <f>IF(B15197="","",HOUR(A15197))</f>
        <v/>
      </c>
    </row>
    <row r="15198">
      <c r="A15198">
        <f>Input!A15198</f>
        <v/>
      </c>
      <c r="B15198">
        <f>IF(ISNUMBER(Input!B15198),IF(AND(Input!B15198&gt;=20,Input!B15198&lt;=700),Input!B15198,""),"")</f>
        <v/>
      </c>
      <c r="C15198">
        <f>IF(B15198="","",INT(A15198))</f>
        <v/>
      </c>
      <c r="D15198">
        <f>IF(B15198="","",HOUR(A15198))</f>
        <v/>
      </c>
    </row>
    <row r="15199">
      <c r="A15199">
        <f>Input!A15199</f>
        <v/>
      </c>
      <c r="B15199">
        <f>IF(ISNUMBER(Input!B15199),IF(AND(Input!B15199&gt;=20,Input!B15199&lt;=700),Input!B15199,""),"")</f>
        <v/>
      </c>
      <c r="C15199">
        <f>IF(B15199="","",INT(A15199))</f>
        <v/>
      </c>
      <c r="D15199">
        <f>IF(B15199="","",HOUR(A15199))</f>
        <v/>
      </c>
    </row>
    <row r="15200">
      <c r="A15200">
        <f>Input!A15200</f>
        <v/>
      </c>
      <c r="B15200">
        <f>IF(ISNUMBER(Input!B15200),IF(AND(Input!B15200&gt;=20,Input!B15200&lt;=700),Input!B15200,""),"")</f>
        <v/>
      </c>
      <c r="C15200">
        <f>IF(B15200="","",INT(A15200))</f>
        <v/>
      </c>
      <c r="D15200">
        <f>IF(B15200="","",HOUR(A15200))</f>
        <v/>
      </c>
    </row>
    <row r="15201">
      <c r="A15201">
        <f>Input!A15201</f>
        <v/>
      </c>
      <c r="B15201">
        <f>IF(ISNUMBER(Input!B15201),IF(AND(Input!B15201&gt;=20,Input!B15201&lt;=700),Input!B15201,""),"")</f>
        <v/>
      </c>
      <c r="C15201">
        <f>IF(B15201="","",INT(A15201))</f>
        <v/>
      </c>
      <c r="D15201">
        <f>IF(B15201="","",HOUR(A15201))</f>
        <v/>
      </c>
    </row>
    <row r="15202">
      <c r="A15202">
        <f>Input!A15202</f>
        <v/>
      </c>
      <c r="B15202">
        <f>IF(ISNUMBER(Input!B15202),IF(AND(Input!B15202&gt;=20,Input!B15202&lt;=700),Input!B15202,""),"")</f>
        <v/>
      </c>
      <c r="C15202">
        <f>IF(B15202="","",INT(A15202))</f>
        <v/>
      </c>
      <c r="D15202">
        <f>IF(B15202="","",HOUR(A15202))</f>
        <v/>
      </c>
    </row>
    <row r="15203">
      <c r="A15203">
        <f>Input!A15203</f>
        <v/>
      </c>
      <c r="B15203">
        <f>IF(ISNUMBER(Input!B15203),IF(AND(Input!B15203&gt;=20,Input!B15203&lt;=700),Input!B15203,""),"")</f>
        <v/>
      </c>
      <c r="C15203">
        <f>IF(B15203="","",INT(A15203))</f>
        <v/>
      </c>
      <c r="D15203">
        <f>IF(B15203="","",HOUR(A15203))</f>
        <v/>
      </c>
    </row>
    <row r="15204">
      <c r="A15204">
        <f>Input!A15204</f>
        <v/>
      </c>
      <c r="B15204">
        <f>IF(ISNUMBER(Input!B15204),IF(AND(Input!B15204&gt;=20,Input!B15204&lt;=700),Input!B15204,""),"")</f>
        <v/>
      </c>
      <c r="C15204">
        <f>IF(B15204="","",INT(A15204))</f>
        <v/>
      </c>
      <c r="D15204">
        <f>IF(B15204="","",HOUR(A15204))</f>
        <v/>
      </c>
    </row>
    <row r="15205">
      <c r="A15205">
        <f>Input!A15205</f>
        <v/>
      </c>
      <c r="B15205">
        <f>IF(ISNUMBER(Input!B15205),IF(AND(Input!B15205&gt;=20,Input!B15205&lt;=700),Input!B15205,""),"")</f>
        <v/>
      </c>
      <c r="C15205">
        <f>IF(B15205="","",INT(A15205))</f>
        <v/>
      </c>
      <c r="D15205">
        <f>IF(B15205="","",HOUR(A15205))</f>
        <v/>
      </c>
    </row>
    <row r="15206">
      <c r="A15206">
        <f>Input!A15206</f>
        <v/>
      </c>
      <c r="B15206">
        <f>IF(ISNUMBER(Input!B15206),IF(AND(Input!B15206&gt;=20,Input!B15206&lt;=700),Input!B15206,""),"")</f>
        <v/>
      </c>
      <c r="C15206">
        <f>IF(B15206="","",INT(A15206))</f>
        <v/>
      </c>
      <c r="D15206">
        <f>IF(B15206="","",HOUR(A15206))</f>
        <v/>
      </c>
    </row>
    <row r="15207">
      <c r="A15207">
        <f>Input!A15207</f>
        <v/>
      </c>
      <c r="B15207">
        <f>IF(ISNUMBER(Input!B15207),IF(AND(Input!B15207&gt;=20,Input!B15207&lt;=700),Input!B15207,""),"")</f>
        <v/>
      </c>
      <c r="C15207">
        <f>IF(B15207="","",INT(A15207))</f>
        <v/>
      </c>
      <c r="D15207">
        <f>IF(B15207="","",HOUR(A15207))</f>
        <v/>
      </c>
    </row>
    <row r="15208">
      <c r="A15208">
        <f>Input!A15208</f>
        <v/>
      </c>
      <c r="B15208">
        <f>IF(ISNUMBER(Input!B15208),IF(AND(Input!B15208&gt;=20,Input!B15208&lt;=700),Input!B15208,""),"")</f>
        <v/>
      </c>
      <c r="C15208">
        <f>IF(B15208="","",INT(A15208))</f>
        <v/>
      </c>
      <c r="D15208">
        <f>IF(B15208="","",HOUR(A15208))</f>
        <v/>
      </c>
    </row>
    <row r="15209">
      <c r="A15209">
        <f>Input!A15209</f>
        <v/>
      </c>
      <c r="B15209">
        <f>IF(ISNUMBER(Input!B15209),IF(AND(Input!B15209&gt;=20,Input!B15209&lt;=700),Input!B15209,""),"")</f>
        <v/>
      </c>
      <c r="C15209">
        <f>IF(B15209="","",INT(A15209))</f>
        <v/>
      </c>
      <c r="D15209">
        <f>IF(B15209="","",HOUR(A15209))</f>
        <v/>
      </c>
    </row>
    <row r="15210">
      <c r="A15210">
        <f>Input!A15210</f>
        <v/>
      </c>
      <c r="B15210">
        <f>IF(ISNUMBER(Input!B15210),IF(AND(Input!B15210&gt;=20,Input!B15210&lt;=700),Input!B15210,""),"")</f>
        <v/>
      </c>
      <c r="C15210">
        <f>IF(B15210="","",INT(A15210))</f>
        <v/>
      </c>
      <c r="D15210">
        <f>IF(B15210="","",HOUR(A15210))</f>
        <v/>
      </c>
    </row>
    <row r="15211">
      <c r="A15211">
        <f>Input!A15211</f>
        <v/>
      </c>
      <c r="B15211">
        <f>IF(ISNUMBER(Input!B15211),IF(AND(Input!B15211&gt;=20,Input!B15211&lt;=700),Input!B15211,""),"")</f>
        <v/>
      </c>
      <c r="C15211">
        <f>IF(B15211="","",INT(A15211))</f>
        <v/>
      </c>
      <c r="D15211">
        <f>IF(B15211="","",HOUR(A15211))</f>
        <v/>
      </c>
    </row>
    <row r="15212">
      <c r="A15212">
        <f>Input!A15212</f>
        <v/>
      </c>
      <c r="B15212">
        <f>IF(ISNUMBER(Input!B15212),IF(AND(Input!B15212&gt;=20,Input!B15212&lt;=700),Input!B15212,""),"")</f>
        <v/>
      </c>
      <c r="C15212">
        <f>IF(B15212="","",INT(A15212))</f>
        <v/>
      </c>
      <c r="D15212">
        <f>IF(B15212="","",HOUR(A15212))</f>
        <v/>
      </c>
    </row>
    <row r="15213">
      <c r="A15213">
        <f>Input!A15213</f>
        <v/>
      </c>
      <c r="B15213">
        <f>IF(ISNUMBER(Input!B15213),IF(AND(Input!B15213&gt;=20,Input!B15213&lt;=700),Input!B15213,""),"")</f>
        <v/>
      </c>
      <c r="C15213">
        <f>IF(B15213="","",INT(A15213))</f>
        <v/>
      </c>
      <c r="D15213">
        <f>IF(B15213="","",HOUR(A15213))</f>
        <v/>
      </c>
    </row>
    <row r="15214">
      <c r="A15214">
        <f>Input!A15214</f>
        <v/>
      </c>
      <c r="B15214">
        <f>IF(ISNUMBER(Input!B15214),IF(AND(Input!B15214&gt;=20,Input!B15214&lt;=700),Input!B15214,""),"")</f>
        <v/>
      </c>
      <c r="C15214">
        <f>IF(B15214="","",INT(A15214))</f>
        <v/>
      </c>
      <c r="D15214">
        <f>IF(B15214="","",HOUR(A15214))</f>
        <v/>
      </c>
    </row>
    <row r="15215">
      <c r="A15215">
        <f>Input!A15215</f>
        <v/>
      </c>
      <c r="B15215">
        <f>IF(ISNUMBER(Input!B15215),IF(AND(Input!B15215&gt;=20,Input!B15215&lt;=700),Input!B15215,""),"")</f>
        <v/>
      </c>
      <c r="C15215">
        <f>IF(B15215="","",INT(A15215))</f>
        <v/>
      </c>
      <c r="D15215">
        <f>IF(B15215="","",HOUR(A15215))</f>
        <v/>
      </c>
    </row>
    <row r="15216">
      <c r="A15216">
        <f>Input!A15216</f>
        <v/>
      </c>
      <c r="B15216">
        <f>IF(ISNUMBER(Input!B15216),IF(AND(Input!B15216&gt;=20,Input!B15216&lt;=700),Input!B15216,""),"")</f>
        <v/>
      </c>
      <c r="C15216">
        <f>IF(B15216="","",INT(A15216))</f>
        <v/>
      </c>
      <c r="D15216">
        <f>IF(B15216="","",HOUR(A15216))</f>
        <v/>
      </c>
    </row>
    <row r="15217">
      <c r="A15217">
        <f>Input!A15217</f>
        <v/>
      </c>
      <c r="B15217">
        <f>IF(ISNUMBER(Input!B15217),IF(AND(Input!B15217&gt;=20,Input!B15217&lt;=700),Input!B15217,""),"")</f>
        <v/>
      </c>
      <c r="C15217">
        <f>IF(B15217="","",INT(A15217))</f>
        <v/>
      </c>
      <c r="D15217">
        <f>IF(B15217="","",HOUR(A15217))</f>
        <v/>
      </c>
    </row>
    <row r="15218">
      <c r="A15218">
        <f>Input!A15218</f>
        <v/>
      </c>
      <c r="B15218">
        <f>IF(ISNUMBER(Input!B15218),IF(AND(Input!B15218&gt;=20,Input!B15218&lt;=700),Input!B15218,""),"")</f>
        <v/>
      </c>
      <c r="C15218">
        <f>IF(B15218="","",INT(A15218))</f>
        <v/>
      </c>
      <c r="D15218">
        <f>IF(B15218="","",HOUR(A15218))</f>
        <v/>
      </c>
    </row>
    <row r="15219">
      <c r="A15219">
        <f>Input!A15219</f>
        <v/>
      </c>
      <c r="B15219">
        <f>IF(ISNUMBER(Input!B15219),IF(AND(Input!B15219&gt;=20,Input!B15219&lt;=700),Input!B15219,""),"")</f>
        <v/>
      </c>
      <c r="C15219">
        <f>IF(B15219="","",INT(A15219))</f>
        <v/>
      </c>
      <c r="D15219">
        <f>IF(B15219="","",HOUR(A15219))</f>
        <v/>
      </c>
    </row>
    <row r="15220">
      <c r="A15220">
        <f>Input!A15220</f>
        <v/>
      </c>
      <c r="B15220">
        <f>IF(ISNUMBER(Input!B15220),IF(AND(Input!B15220&gt;=20,Input!B15220&lt;=700),Input!B15220,""),"")</f>
        <v/>
      </c>
      <c r="C15220">
        <f>IF(B15220="","",INT(A15220))</f>
        <v/>
      </c>
      <c r="D15220">
        <f>IF(B15220="","",HOUR(A15220))</f>
        <v/>
      </c>
    </row>
    <row r="15221">
      <c r="A15221">
        <f>Input!A15221</f>
        <v/>
      </c>
      <c r="B15221">
        <f>IF(ISNUMBER(Input!B15221),IF(AND(Input!B15221&gt;=20,Input!B15221&lt;=700),Input!B15221,""),"")</f>
        <v/>
      </c>
      <c r="C15221">
        <f>IF(B15221="","",INT(A15221))</f>
        <v/>
      </c>
      <c r="D15221">
        <f>IF(B15221="","",HOUR(A15221))</f>
        <v/>
      </c>
    </row>
    <row r="15222">
      <c r="A15222">
        <f>Input!A15222</f>
        <v/>
      </c>
      <c r="B15222">
        <f>IF(ISNUMBER(Input!B15222),IF(AND(Input!B15222&gt;=20,Input!B15222&lt;=700),Input!B15222,""),"")</f>
        <v/>
      </c>
      <c r="C15222">
        <f>IF(B15222="","",INT(A15222))</f>
        <v/>
      </c>
      <c r="D15222">
        <f>IF(B15222="","",HOUR(A15222))</f>
        <v/>
      </c>
    </row>
    <row r="15223">
      <c r="A15223">
        <f>Input!A15223</f>
        <v/>
      </c>
      <c r="B15223">
        <f>IF(ISNUMBER(Input!B15223),IF(AND(Input!B15223&gt;=20,Input!B15223&lt;=700),Input!B15223,""),"")</f>
        <v/>
      </c>
      <c r="C15223">
        <f>IF(B15223="","",INT(A15223))</f>
        <v/>
      </c>
      <c r="D15223">
        <f>IF(B15223="","",HOUR(A15223))</f>
        <v/>
      </c>
    </row>
    <row r="15224">
      <c r="A15224">
        <f>Input!A15224</f>
        <v/>
      </c>
      <c r="B15224">
        <f>IF(ISNUMBER(Input!B15224),IF(AND(Input!B15224&gt;=20,Input!B15224&lt;=700),Input!B15224,""),"")</f>
        <v/>
      </c>
      <c r="C15224">
        <f>IF(B15224="","",INT(A15224))</f>
        <v/>
      </c>
      <c r="D15224">
        <f>IF(B15224="","",HOUR(A15224))</f>
        <v/>
      </c>
    </row>
    <row r="15225">
      <c r="A15225">
        <f>Input!A15225</f>
        <v/>
      </c>
      <c r="B15225">
        <f>IF(ISNUMBER(Input!B15225),IF(AND(Input!B15225&gt;=20,Input!B15225&lt;=700),Input!B15225,""),"")</f>
        <v/>
      </c>
      <c r="C15225">
        <f>IF(B15225="","",INT(A15225))</f>
        <v/>
      </c>
      <c r="D15225">
        <f>IF(B15225="","",HOUR(A15225))</f>
        <v/>
      </c>
    </row>
    <row r="15226">
      <c r="A15226">
        <f>Input!A15226</f>
        <v/>
      </c>
      <c r="B15226">
        <f>IF(ISNUMBER(Input!B15226),IF(AND(Input!B15226&gt;=20,Input!B15226&lt;=700),Input!B15226,""),"")</f>
        <v/>
      </c>
      <c r="C15226">
        <f>IF(B15226="","",INT(A15226))</f>
        <v/>
      </c>
      <c r="D15226">
        <f>IF(B15226="","",HOUR(A15226))</f>
        <v/>
      </c>
    </row>
    <row r="15227">
      <c r="A15227">
        <f>Input!A15227</f>
        <v/>
      </c>
      <c r="B15227">
        <f>IF(ISNUMBER(Input!B15227),IF(AND(Input!B15227&gt;=20,Input!B15227&lt;=700),Input!B15227,""),"")</f>
        <v/>
      </c>
      <c r="C15227">
        <f>IF(B15227="","",INT(A15227))</f>
        <v/>
      </c>
      <c r="D15227">
        <f>IF(B15227="","",HOUR(A15227))</f>
        <v/>
      </c>
    </row>
    <row r="15228">
      <c r="A15228">
        <f>Input!A15228</f>
        <v/>
      </c>
      <c r="B15228">
        <f>IF(ISNUMBER(Input!B15228),IF(AND(Input!B15228&gt;=20,Input!B15228&lt;=700),Input!B15228,""),"")</f>
        <v/>
      </c>
      <c r="C15228">
        <f>IF(B15228="","",INT(A15228))</f>
        <v/>
      </c>
      <c r="D15228">
        <f>IF(B15228="","",HOUR(A15228))</f>
        <v/>
      </c>
    </row>
    <row r="15229">
      <c r="A15229">
        <f>Input!A15229</f>
        <v/>
      </c>
      <c r="B15229">
        <f>IF(ISNUMBER(Input!B15229),IF(AND(Input!B15229&gt;=20,Input!B15229&lt;=700),Input!B15229,""),"")</f>
        <v/>
      </c>
      <c r="C15229">
        <f>IF(B15229="","",INT(A15229))</f>
        <v/>
      </c>
      <c r="D15229">
        <f>IF(B15229="","",HOUR(A15229))</f>
        <v/>
      </c>
    </row>
    <row r="15230">
      <c r="A15230">
        <f>Input!A15230</f>
        <v/>
      </c>
      <c r="B15230">
        <f>IF(ISNUMBER(Input!B15230),IF(AND(Input!B15230&gt;=20,Input!B15230&lt;=700),Input!B15230,""),"")</f>
        <v/>
      </c>
      <c r="C15230">
        <f>IF(B15230="","",INT(A15230))</f>
        <v/>
      </c>
      <c r="D15230">
        <f>IF(B15230="","",HOUR(A15230))</f>
        <v/>
      </c>
    </row>
    <row r="15231">
      <c r="A15231">
        <f>Input!A15231</f>
        <v/>
      </c>
      <c r="B15231">
        <f>IF(ISNUMBER(Input!B15231),IF(AND(Input!B15231&gt;=20,Input!B15231&lt;=700),Input!B15231,""),"")</f>
        <v/>
      </c>
      <c r="C15231">
        <f>IF(B15231="","",INT(A15231))</f>
        <v/>
      </c>
      <c r="D15231">
        <f>IF(B15231="","",HOUR(A15231))</f>
        <v/>
      </c>
    </row>
    <row r="15232">
      <c r="A15232">
        <f>Input!A15232</f>
        <v/>
      </c>
      <c r="B15232">
        <f>IF(ISNUMBER(Input!B15232),IF(AND(Input!B15232&gt;=20,Input!B15232&lt;=700),Input!B15232,""),"")</f>
        <v/>
      </c>
      <c r="C15232">
        <f>IF(B15232="","",INT(A15232))</f>
        <v/>
      </c>
      <c r="D15232">
        <f>IF(B15232="","",HOUR(A15232))</f>
        <v/>
      </c>
    </row>
    <row r="15233">
      <c r="A15233">
        <f>Input!A15233</f>
        <v/>
      </c>
      <c r="B15233">
        <f>IF(ISNUMBER(Input!B15233),IF(AND(Input!B15233&gt;=20,Input!B15233&lt;=700),Input!B15233,""),"")</f>
        <v/>
      </c>
      <c r="C15233">
        <f>IF(B15233="","",INT(A15233))</f>
        <v/>
      </c>
      <c r="D15233">
        <f>IF(B15233="","",HOUR(A15233))</f>
        <v/>
      </c>
    </row>
    <row r="15234">
      <c r="A15234">
        <f>Input!A15234</f>
        <v/>
      </c>
      <c r="B15234">
        <f>IF(ISNUMBER(Input!B15234),IF(AND(Input!B15234&gt;=20,Input!B15234&lt;=700),Input!B15234,""),"")</f>
        <v/>
      </c>
      <c r="C15234">
        <f>IF(B15234="","",INT(A15234))</f>
        <v/>
      </c>
      <c r="D15234">
        <f>IF(B15234="","",HOUR(A15234))</f>
        <v/>
      </c>
    </row>
    <row r="15235">
      <c r="A15235">
        <f>Input!A15235</f>
        <v/>
      </c>
      <c r="B15235">
        <f>IF(ISNUMBER(Input!B15235),IF(AND(Input!B15235&gt;=20,Input!B15235&lt;=700),Input!B15235,""),"")</f>
        <v/>
      </c>
      <c r="C15235">
        <f>IF(B15235="","",INT(A15235))</f>
        <v/>
      </c>
      <c r="D15235">
        <f>IF(B15235="","",HOUR(A15235))</f>
        <v/>
      </c>
    </row>
    <row r="15236">
      <c r="A15236">
        <f>Input!A15236</f>
        <v/>
      </c>
      <c r="B15236">
        <f>IF(ISNUMBER(Input!B15236),IF(AND(Input!B15236&gt;=20,Input!B15236&lt;=700),Input!B15236,""),"")</f>
        <v/>
      </c>
      <c r="C15236">
        <f>IF(B15236="","",INT(A15236))</f>
        <v/>
      </c>
      <c r="D15236">
        <f>IF(B15236="","",HOUR(A15236))</f>
        <v/>
      </c>
    </row>
    <row r="15237">
      <c r="A15237">
        <f>Input!A15237</f>
        <v/>
      </c>
      <c r="B15237">
        <f>IF(ISNUMBER(Input!B15237),IF(AND(Input!B15237&gt;=20,Input!B15237&lt;=700),Input!B15237,""),"")</f>
        <v/>
      </c>
      <c r="C15237">
        <f>IF(B15237="","",INT(A15237))</f>
        <v/>
      </c>
      <c r="D15237">
        <f>IF(B15237="","",HOUR(A15237))</f>
        <v/>
      </c>
    </row>
    <row r="15238">
      <c r="A15238">
        <f>Input!A15238</f>
        <v/>
      </c>
      <c r="B15238">
        <f>IF(ISNUMBER(Input!B15238),IF(AND(Input!B15238&gt;=20,Input!B15238&lt;=700),Input!B15238,""),"")</f>
        <v/>
      </c>
      <c r="C15238">
        <f>IF(B15238="","",INT(A15238))</f>
        <v/>
      </c>
      <c r="D15238">
        <f>IF(B15238="","",HOUR(A15238))</f>
        <v/>
      </c>
    </row>
    <row r="15239">
      <c r="A15239">
        <f>Input!A15239</f>
        <v/>
      </c>
      <c r="B15239">
        <f>IF(ISNUMBER(Input!B15239),IF(AND(Input!B15239&gt;=20,Input!B15239&lt;=700),Input!B15239,""),"")</f>
        <v/>
      </c>
      <c r="C15239">
        <f>IF(B15239="","",INT(A15239))</f>
        <v/>
      </c>
      <c r="D15239">
        <f>IF(B15239="","",HOUR(A15239))</f>
        <v/>
      </c>
    </row>
    <row r="15240">
      <c r="A15240">
        <f>Input!A15240</f>
        <v/>
      </c>
      <c r="B15240">
        <f>IF(ISNUMBER(Input!B15240),IF(AND(Input!B15240&gt;=20,Input!B15240&lt;=700),Input!B15240,""),"")</f>
        <v/>
      </c>
      <c r="C15240">
        <f>IF(B15240="","",INT(A15240))</f>
        <v/>
      </c>
      <c r="D15240">
        <f>IF(B15240="","",HOUR(A15240))</f>
        <v/>
      </c>
    </row>
    <row r="15241">
      <c r="A15241">
        <f>Input!A15241</f>
        <v/>
      </c>
      <c r="B15241">
        <f>IF(ISNUMBER(Input!B15241),IF(AND(Input!B15241&gt;=20,Input!B15241&lt;=700),Input!B15241,""),"")</f>
        <v/>
      </c>
      <c r="C15241">
        <f>IF(B15241="","",INT(A15241))</f>
        <v/>
      </c>
      <c r="D15241">
        <f>IF(B15241="","",HOUR(A15241))</f>
        <v/>
      </c>
    </row>
    <row r="15242">
      <c r="A15242">
        <f>Input!A15242</f>
        <v/>
      </c>
      <c r="B15242">
        <f>IF(ISNUMBER(Input!B15242),IF(AND(Input!B15242&gt;=20,Input!B15242&lt;=700),Input!B15242,""),"")</f>
        <v/>
      </c>
      <c r="C15242">
        <f>IF(B15242="","",INT(A15242))</f>
        <v/>
      </c>
      <c r="D15242">
        <f>IF(B15242="","",HOUR(A15242))</f>
        <v/>
      </c>
    </row>
    <row r="15243">
      <c r="A15243">
        <f>Input!A15243</f>
        <v/>
      </c>
      <c r="B15243">
        <f>IF(ISNUMBER(Input!B15243),IF(AND(Input!B15243&gt;=20,Input!B15243&lt;=700),Input!B15243,""),"")</f>
        <v/>
      </c>
      <c r="C15243">
        <f>IF(B15243="","",INT(A15243))</f>
        <v/>
      </c>
      <c r="D15243">
        <f>IF(B15243="","",HOUR(A15243))</f>
        <v/>
      </c>
    </row>
    <row r="15244">
      <c r="A15244">
        <f>Input!A15244</f>
        <v/>
      </c>
      <c r="B15244">
        <f>IF(ISNUMBER(Input!B15244),IF(AND(Input!B15244&gt;=20,Input!B15244&lt;=700),Input!B15244,""),"")</f>
        <v/>
      </c>
      <c r="C15244">
        <f>IF(B15244="","",INT(A15244))</f>
        <v/>
      </c>
      <c r="D15244">
        <f>IF(B15244="","",HOUR(A15244))</f>
        <v/>
      </c>
    </row>
    <row r="15245">
      <c r="A15245">
        <f>Input!A15245</f>
        <v/>
      </c>
      <c r="B15245">
        <f>IF(ISNUMBER(Input!B15245),IF(AND(Input!B15245&gt;=20,Input!B15245&lt;=700),Input!B15245,""),"")</f>
        <v/>
      </c>
      <c r="C15245">
        <f>IF(B15245="","",INT(A15245))</f>
        <v/>
      </c>
      <c r="D15245">
        <f>IF(B15245="","",HOUR(A15245))</f>
        <v/>
      </c>
    </row>
    <row r="15246">
      <c r="A15246">
        <f>Input!A15246</f>
        <v/>
      </c>
      <c r="B15246">
        <f>IF(ISNUMBER(Input!B15246),IF(AND(Input!B15246&gt;=20,Input!B15246&lt;=700),Input!B15246,""),"")</f>
        <v/>
      </c>
      <c r="C15246">
        <f>IF(B15246="","",INT(A15246))</f>
        <v/>
      </c>
      <c r="D15246">
        <f>IF(B15246="","",HOUR(A15246))</f>
        <v/>
      </c>
    </row>
    <row r="15247">
      <c r="A15247">
        <f>Input!A15247</f>
        <v/>
      </c>
      <c r="B15247">
        <f>IF(ISNUMBER(Input!B15247),IF(AND(Input!B15247&gt;=20,Input!B15247&lt;=700),Input!B15247,""),"")</f>
        <v/>
      </c>
      <c r="C15247">
        <f>IF(B15247="","",INT(A15247))</f>
        <v/>
      </c>
      <c r="D15247">
        <f>IF(B15247="","",HOUR(A15247))</f>
        <v/>
      </c>
    </row>
    <row r="15248">
      <c r="A15248">
        <f>Input!A15248</f>
        <v/>
      </c>
      <c r="B15248">
        <f>IF(ISNUMBER(Input!B15248),IF(AND(Input!B15248&gt;=20,Input!B15248&lt;=700),Input!B15248,""),"")</f>
        <v/>
      </c>
      <c r="C15248">
        <f>IF(B15248="","",INT(A15248))</f>
        <v/>
      </c>
      <c r="D15248">
        <f>IF(B15248="","",HOUR(A15248))</f>
        <v/>
      </c>
    </row>
    <row r="15249">
      <c r="A15249">
        <f>Input!A15249</f>
        <v/>
      </c>
      <c r="B15249">
        <f>IF(ISNUMBER(Input!B15249),IF(AND(Input!B15249&gt;=20,Input!B15249&lt;=700),Input!B15249,""),"")</f>
        <v/>
      </c>
      <c r="C15249">
        <f>IF(B15249="","",INT(A15249))</f>
        <v/>
      </c>
      <c r="D15249">
        <f>IF(B15249="","",HOUR(A15249))</f>
        <v/>
      </c>
    </row>
    <row r="15250">
      <c r="A15250">
        <f>Input!A15250</f>
        <v/>
      </c>
      <c r="B15250">
        <f>IF(ISNUMBER(Input!B15250),IF(AND(Input!B15250&gt;=20,Input!B15250&lt;=700),Input!B15250,""),"")</f>
        <v/>
      </c>
      <c r="C15250">
        <f>IF(B15250="","",INT(A15250))</f>
        <v/>
      </c>
      <c r="D15250">
        <f>IF(B15250="","",HOUR(A15250))</f>
        <v/>
      </c>
    </row>
    <row r="15251">
      <c r="A15251">
        <f>Input!A15251</f>
        <v/>
      </c>
      <c r="B15251">
        <f>IF(ISNUMBER(Input!B15251),IF(AND(Input!B15251&gt;=20,Input!B15251&lt;=700),Input!B15251,""),"")</f>
        <v/>
      </c>
      <c r="C15251">
        <f>IF(B15251="","",INT(A15251))</f>
        <v/>
      </c>
      <c r="D15251">
        <f>IF(B15251="","",HOUR(A15251))</f>
        <v/>
      </c>
    </row>
    <row r="15252">
      <c r="A15252">
        <f>Input!A15252</f>
        <v/>
      </c>
      <c r="B15252">
        <f>IF(ISNUMBER(Input!B15252),IF(AND(Input!B15252&gt;=20,Input!B15252&lt;=700),Input!B15252,""),"")</f>
        <v/>
      </c>
      <c r="C15252">
        <f>IF(B15252="","",INT(A15252))</f>
        <v/>
      </c>
      <c r="D15252">
        <f>IF(B15252="","",HOUR(A15252))</f>
        <v/>
      </c>
    </row>
    <row r="15253">
      <c r="A15253">
        <f>Input!A15253</f>
        <v/>
      </c>
      <c r="B15253">
        <f>IF(ISNUMBER(Input!B15253),IF(AND(Input!B15253&gt;=20,Input!B15253&lt;=700),Input!B15253,""),"")</f>
        <v/>
      </c>
      <c r="C15253">
        <f>IF(B15253="","",INT(A15253))</f>
        <v/>
      </c>
      <c r="D15253">
        <f>IF(B15253="","",HOUR(A15253))</f>
        <v/>
      </c>
    </row>
    <row r="15254">
      <c r="A15254">
        <f>Input!A15254</f>
        <v/>
      </c>
      <c r="B15254">
        <f>IF(ISNUMBER(Input!B15254),IF(AND(Input!B15254&gt;=20,Input!B15254&lt;=700),Input!B15254,""),"")</f>
        <v/>
      </c>
      <c r="C15254">
        <f>IF(B15254="","",INT(A15254))</f>
        <v/>
      </c>
      <c r="D15254">
        <f>IF(B15254="","",HOUR(A15254))</f>
        <v/>
      </c>
    </row>
    <row r="15255">
      <c r="A15255">
        <f>Input!A15255</f>
        <v/>
      </c>
      <c r="B15255">
        <f>IF(ISNUMBER(Input!B15255),IF(AND(Input!B15255&gt;=20,Input!B15255&lt;=700),Input!B15255,""),"")</f>
        <v/>
      </c>
      <c r="C15255">
        <f>IF(B15255="","",INT(A15255))</f>
        <v/>
      </c>
      <c r="D15255">
        <f>IF(B15255="","",HOUR(A15255))</f>
        <v/>
      </c>
    </row>
    <row r="15256">
      <c r="A15256">
        <f>Input!A15256</f>
        <v/>
      </c>
      <c r="B15256">
        <f>IF(ISNUMBER(Input!B15256),IF(AND(Input!B15256&gt;=20,Input!B15256&lt;=700),Input!B15256,""),"")</f>
        <v/>
      </c>
      <c r="C15256">
        <f>IF(B15256="","",INT(A15256))</f>
        <v/>
      </c>
      <c r="D15256">
        <f>IF(B15256="","",HOUR(A15256))</f>
        <v/>
      </c>
    </row>
    <row r="15257">
      <c r="A15257">
        <f>Input!A15257</f>
        <v/>
      </c>
      <c r="B15257">
        <f>IF(ISNUMBER(Input!B15257),IF(AND(Input!B15257&gt;=20,Input!B15257&lt;=700),Input!B15257,""),"")</f>
        <v/>
      </c>
      <c r="C15257">
        <f>IF(B15257="","",INT(A15257))</f>
        <v/>
      </c>
      <c r="D15257">
        <f>IF(B15257="","",HOUR(A15257))</f>
        <v/>
      </c>
    </row>
    <row r="15258">
      <c r="A15258">
        <f>Input!A15258</f>
        <v/>
      </c>
      <c r="B15258">
        <f>IF(ISNUMBER(Input!B15258),IF(AND(Input!B15258&gt;=20,Input!B15258&lt;=700),Input!B15258,""),"")</f>
        <v/>
      </c>
      <c r="C15258">
        <f>IF(B15258="","",INT(A15258))</f>
        <v/>
      </c>
      <c r="D15258">
        <f>IF(B15258="","",HOUR(A15258))</f>
        <v/>
      </c>
    </row>
    <row r="15259">
      <c r="A15259">
        <f>Input!A15259</f>
        <v/>
      </c>
      <c r="B15259">
        <f>IF(ISNUMBER(Input!B15259),IF(AND(Input!B15259&gt;=20,Input!B15259&lt;=700),Input!B15259,""),"")</f>
        <v/>
      </c>
      <c r="C15259">
        <f>IF(B15259="","",INT(A15259))</f>
        <v/>
      </c>
      <c r="D15259">
        <f>IF(B15259="","",HOUR(A15259))</f>
        <v/>
      </c>
    </row>
    <row r="15260">
      <c r="A15260">
        <f>Input!A15260</f>
        <v/>
      </c>
      <c r="B15260">
        <f>IF(ISNUMBER(Input!B15260),IF(AND(Input!B15260&gt;=20,Input!B15260&lt;=700),Input!B15260,""),"")</f>
        <v/>
      </c>
      <c r="C15260">
        <f>IF(B15260="","",INT(A15260))</f>
        <v/>
      </c>
      <c r="D15260">
        <f>IF(B15260="","",HOUR(A15260))</f>
        <v/>
      </c>
    </row>
    <row r="15261">
      <c r="A15261">
        <f>Input!A15261</f>
        <v/>
      </c>
      <c r="B15261">
        <f>IF(ISNUMBER(Input!B15261),IF(AND(Input!B15261&gt;=20,Input!B15261&lt;=700),Input!B15261,""),"")</f>
        <v/>
      </c>
      <c r="C15261">
        <f>IF(B15261="","",INT(A15261))</f>
        <v/>
      </c>
      <c r="D15261">
        <f>IF(B15261="","",HOUR(A15261))</f>
        <v/>
      </c>
    </row>
    <row r="15262">
      <c r="A15262">
        <f>Input!A15262</f>
        <v/>
      </c>
      <c r="B15262">
        <f>IF(ISNUMBER(Input!B15262),IF(AND(Input!B15262&gt;=20,Input!B15262&lt;=700),Input!B15262,""),"")</f>
        <v/>
      </c>
      <c r="C15262">
        <f>IF(B15262="","",INT(A15262))</f>
        <v/>
      </c>
      <c r="D15262">
        <f>IF(B15262="","",HOUR(A15262))</f>
        <v/>
      </c>
    </row>
    <row r="15263">
      <c r="A15263">
        <f>Input!A15263</f>
        <v/>
      </c>
      <c r="B15263">
        <f>IF(ISNUMBER(Input!B15263),IF(AND(Input!B15263&gt;=20,Input!B15263&lt;=700),Input!B15263,""),"")</f>
        <v/>
      </c>
      <c r="C15263">
        <f>IF(B15263="","",INT(A15263))</f>
        <v/>
      </c>
      <c r="D15263">
        <f>IF(B15263="","",HOUR(A15263))</f>
        <v/>
      </c>
    </row>
    <row r="15264">
      <c r="A15264">
        <f>Input!A15264</f>
        <v/>
      </c>
      <c r="B15264">
        <f>IF(ISNUMBER(Input!B15264),IF(AND(Input!B15264&gt;=20,Input!B15264&lt;=700),Input!B15264,""),"")</f>
        <v/>
      </c>
      <c r="C15264">
        <f>IF(B15264="","",INT(A15264))</f>
        <v/>
      </c>
      <c r="D15264">
        <f>IF(B15264="","",HOUR(A15264))</f>
        <v/>
      </c>
    </row>
    <row r="15265">
      <c r="A15265">
        <f>Input!A15265</f>
        <v/>
      </c>
      <c r="B15265">
        <f>IF(ISNUMBER(Input!B15265),IF(AND(Input!B15265&gt;=20,Input!B15265&lt;=700),Input!B15265,""),"")</f>
        <v/>
      </c>
      <c r="C15265">
        <f>IF(B15265="","",INT(A15265))</f>
        <v/>
      </c>
      <c r="D15265">
        <f>IF(B15265="","",HOUR(A15265))</f>
        <v/>
      </c>
    </row>
    <row r="15266">
      <c r="A15266">
        <f>Input!A15266</f>
        <v/>
      </c>
      <c r="B15266">
        <f>IF(ISNUMBER(Input!B15266),IF(AND(Input!B15266&gt;=20,Input!B15266&lt;=700),Input!B15266,""),"")</f>
        <v/>
      </c>
      <c r="C15266">
        <f>IF(B15266="","",INT(A15266))</f>
        <v/>
      </c>
      <c r="D15266">
        <f>IF(B15266="","",HOUR(A15266))</f>
        <v/>
      </c>
    </row>
    <row r="15267">
      <c r="A15267">
        <f>Input!A15267</f>
        <v/>
      </c>
      <c r="B15267">
        <f>IF(ISNUMBER(Input!B15267),IF(AND(Input!B15267&gt;=20,Input!B15267&lt;=700),Input!B15267,""),"")</f>
        <v/>
      </c>
      <c r="C15267">
        <f>IF(B15267="","",INT(A15267))</f>
        <v/>
      </c>
      <c r="D15267">
        <f>IF(B15267="","",HOUR(A15267))</f>
        <v/>
      </c>
    </row>
    <row r="15268">
      <c r="A15268">
        <f>Input!A15268</f>
        <v/>
      </c>
      <c r="B15268">
        <f>IF(ISNUMBER(Input!B15268),IF(AND(Input!B15268&gt;=20,Input!B15268&lt;=700),Input!B15268,""),"")</f>
        <v/>
      </c>
      <c r="C15268">
        <f>IF(B15268="","",INT(A15268))</f>
        <v/>
      </c>
      <c r="D15268">
        <f>IF(B15268="","",HOUR(A15268))</f>
        <v/>
      </c>
    </row>
    <row r="15269">
      <c r="A15269">
        <f>Input!A15269</f>
        <v/>
      </c>
      <c r="B15269">
        <f>IF(ISNUMBER(Input!B15269),IF(AND(Input!B15269&gt;=20,Input!B15269&lt;=700),Input!B15269,""),"")</f>
        <v/>
      </c>
      <c r="C15269">
        <f>IF(B15269="","",INT(A15269))</f>
        <v/>
      </c>
      <c r="D15269">
        <f>IF(B15269="","",HOUR(A15269))</f>
        <v/>
      </c>
    </row>
    <row r="15270">
      <c r="A15270">
        <f>Input!A15270</f>
        <v/>
      </c>
      <c r="B15270">
        <f>IF(ISNUMBER(Input!B15270),IF(AND(Input!B15270&gt;=20,Input!B15270&lt;=700),Input!B15270,""),"")</f>
        <v/>
      </c>
      <c r="C15270">
        <f>IF(B15270="","",INT(A15270))</f>
        <v/>
      </c>
      <c r="D15270">
        <f>IF(B15270="","",HOUR(A15270))</f>
        <v/>
      </c>
    </row>
    <row r="15271">
      <c r="A15271">
        <f>Input!A15271</f>
        <v/>
      </c>
      <c r="B15271">
        <f>IF(ISNUMBER(Input!B15271),IF(AND(Input!B15271&gt;=20,Input!B15271&lt;=700),Input!B15271,""),"")</f>
        <v/>
      </c>
      <c r="C15271">
        <f>IF(B15271="","",INT(A15271))</f>
        <v/>
      </c>
      <c r="D15271">
        <f>IF(B15271="","",HOUR(A15271))</f>
        <v/>
      </c>
    </row>
    <row r="15272">
      <c r="A15272">
        <f>Input!A15272</f>
        <v/>
      </c>
      <c r="B15272">
        <f>IF(ISNUMBER(Input!B15272),IF(AND(Input!B15272&gt;=20,Input!B15272&lt;=700),Input!B15272,""),"")</f>
        <v/>
      </c>
      <c r="C15272">
        <f>IF(B15272="","",INT(A15272))</f>
        <v/>
      </c>
      <c r="D15272">
        <f>IF(B15272="","",HOUR(A15272))</f>
        <v/>
      </c>
    </row>
    <row r="15273">
      <c r="A15273">
        <f>Input!A15273</f>
        <v/>
      </c>
      <c r="B15273">
        <f>IF(ISNUMBER(Input!B15273),IF(AND(Input!B15273&gt;=20,Input!B15273&lt;=700),Input!B15273,""),"")</f>
        <v/>
      </c>
      <c r="C15273">
        <f>IF(B15273="","",INT(A15273))</f>
        <v/>
      </c>
      <c r="D15273">
        <f>IF(B15273="","",HOUR(A15273))</f>
        <v/>
      </c>
    </row>
    <row r="15274">
      <c r="A15274">
        <f>Input!A15274</f>
        <v/>
      </c>
      <c r="B15274">
        <f>IF(ISNUMBER(Input!B15274),IF(AND(Input!B15274&gt;=20,Input!B15274&lt;=700),Input!B15274,""),"")</f>
        <v/>
      </c>
      <c r="C15274">
        <f>IF(B15274="","",INT(A15274))</f>
        <v/>
      </c>
      <c r="D15274">
        <f>IF(B15274="","",HOUR(A15274))</f>
        <v/>
      </c>
    </row>
    <row r="15275">
      <c r="A15275">
        <f>Input!A15275</f>
        <v/>
      </c>
      <c r="B15275">
        <f>IF(ISNUMBER(Input!B15275),IF(AND(Input!B15275&gt;=20,Input!B15275&lt;=700),Input!B15275,""),"")</f>
        <v/>
      </c>
      <c r="C15275">
        <f>IF(B15275="","",INT(A15275))</f>
        <v/>
      </c>
      <c r="D15275">
        <f>IF(B15275="","",HOUR(A15275))</f>
        <v/>
      </c>
    </row>
    <row r="15276">
      <c r="A15276">
        <f>Input!A15276</f>
        <v/>
      </c>
      <c r="B15276">
        <f>IF(ISNUMBER(Input!B15276),IF(AND(Input!B15276&gt;=20,Input!B15276&lt;=700),Input!B15276,""),"")</f>
        <v/>
      </c>
      <c r="C15276">
        <f>IF(B15276="","",INT(A15276))</f>
        <v/>
      </c>
      <c r="D15276">
        <f>IF(B15276="","",HOUR(A15276))</f>
        <v/>
      </c>
    </row>
    <row r="15277">
      <c r="A15277">
        <f>Input!A15277</f>
        <v/>
      </c>
      <c r="B15277">
        <f>IF(ISNUMBER(Input!B15277),IF(AND(Input!B15277&gt;=20,Input!B15277&lt;=700),Input!B15277,""),"")</f>
        <v/>
      </c>
      <c r="C15277">
        <f>IF(B15277="","",INT(A15277))</f>
        <v/>
      </c>
      <c r="D15277">
        <f>IF(B15277="","",HOUR(A15277))</f>
        <v/>
      </c>
    </row>
    <row r="15278">
      <c r="A15278">
        <f>Input!A15278</f>
        <v/>
      </c>
      <c r="B15278">
        <f>IF(ISNUMBER(Input!B15278),IF(AND(Input!B15278&gt;=20,Input!B15278&lt;=700),Input!B15278,""),"")</f>
        <v/>
      </c>
      <c r="C15278">
        <f>IF(B15278="","",INT(A15278))</f>
        <v/>
      </c>
      <c r="D15278">
        <f>IF(B15278="","",HOUR(A15278))</f>
        <v/>
      </c>
    </row>
    <row r="15279">
      <c r="A15279">
        <f>Input!A15279</f>
        <v/>
      </c>
      <c r="B15279">
        <f>IF(ISNUMBER(Input!B15279),IF(AND(Input!B15279&gt;=20,Input!B15279&lt;=700),Input!B15279,""),"")</f>
        <v/>
      </c>
      <c r="C15279">
        <f>IF(B15279="","",INT(A15279))</f>
        <v/>
      </c>
      <c r="D15279">
        <f>IF(B15279="","",HOUR(A15279))</f>
        <v/>
      </c>
    </row>
    <row r="15280">
      <c r="A15280">
        <f>Input!A15280</f>
        <v/>
      </c>
      <c r="B15280">
        <f>IF(ISNUMBER(Input!B15280),IF(AND(Input!B15280&gt;=20,Input!B15280&lt;=700),Input!B15280,""),"")</f>
        <v/>
      </c>
      <c r="C15280">
        <f>IF(B15280="","",INT(A15280))</f>
        <v/>
      </c>
      <c r="D15280">
        <f>IF(B15280="","",HOUR(A15280))</f>
        <v/>
      </c>
    </row>
    <row r="15281">
      <c r="A15281">
        <f>Input!A15281</f>
        <v/>
      </c>
      <c r="B15281">
        <f>IF(ISNUMBER(Input!B15281),IF(AND(Input!B15281&gt;=20,Input!B15281&lt;=700),Input!B15281,""),"")</f>
        <v/>
      </c>
      <c r="C15281">
        <f>IF(B15281="","",INT(A15281))</f>
        <v/>
      </c>
      <c r="D15281">
        <f>IF(B15281="","",HOUR(A15281))</f>
        <v/>
      </c>
    </row>
    <row r="15282">
      <c r="A15282">
        <f>Input!A15282</f>
        <v/>
      </c>
      <c r="B15282">
        <f>IF(ISNUMBER(Input!B15282),IF(AND(Input!B15282&gt;=20,Input!B15282&lt;=700),Input!B15282,""),"")</f>
        <v/>
      </c>
      <c r="C15282">
        <f>IF(B15282="","",INT(A15282))</f>
        <v/>
      </c>
      <c r="D15282">
        <f>IF(B15282="","",HOUR(A15282))</f>
        <v/>
      </c>
    </row>
    <row r="15283">
      <c r="A15283">
        <f>Input!A15283</f>
        <v/>
      </c>
      <c r="B15283">
        <f>IF(ISNUMBER(Input!B15283),IF(AND(Input!B15283&gt;=20,Input!B15283&lt;=700),Input!B15283,""),"")</f>
        <v/>
      </c>
      <c r="C15283">
        <f>IF(B15283="","",INT(A15283))</f>
        <v/>
      </c>
      <c r="D15283">
        <f>IF(B15283="","",HOUR(A15283))</f>
        <v/>
      </c>
    </row>
    <row r="15284">
      <c r="A15284">
        <f>Input!A15284</f>
        <v/>
      </c>
      <c r="B15284">
        <f>IF(ISNUMBER(Input!B15284),IF(AND(Input!B15284&gt;=20,Input!B15284&lt;=700),Input!B15284,""),"")</f>
        <v/>
      </c>
      <c r="C15284">
        <f>IF(B15284="","",INT(A15284))</f>
        <v/>
      </c>
      <c r="D15284">
        <f>IF(B15284="","",HOUR(A15284))</f>
        <v/>
      </c>
    </row>
    <row r="15285">
      <c r="A15285">
        <f>Input!A15285</f>
        <v/>
      </c>
      <c r="B15285">
        <f>IF(ISNUMBER(Input!B15285),IF(AND(Input!B15285&gt;=20,Input!B15285&lt;=700),Input!B15285,""),"")</f>
        <v/>
      </c>
      <c r="C15285">
        <f>IF(B15285="","",INT(A15285))</f>
        <v/>
      </c>
      <c r="D15285">
        <f>IF(B15285="","",HOUR(A15285))</f>
        <v/>
      </c>
    </row>
    <row r="15286">
      <c r="A15286">
        <f>Input!A15286</f>
        <v/>
      </c>
      <c r="B15286">
        <f>IF(ISNUMBER(Input!B15286),IF(AND(Input!B15286&gt;=20,Input!B15286&lt;=700),Input!B15286,""),"")</f>
        <v/>
      </c>
      <c r="C15286">
        <f>IF(B15286="","",INT(A15286))</f>
        <v/>
      </c>
      <c r="D15286">
        <f>IF(B15286="","",HOUR(A15286))</f>
        <v/>
      </c>
    </row>
    <row r="15287">
      <c r="A15287">
        <f>Input!A15287</f>
        <v/>
      </c>
      <c r="B15287">
        <f>IF(ISNUMBER(Input!B15287),IF(AND(Input!B15287&gt;=20,Input!B15287&lt;=700),Input!B15287,""),"")</f>
        <v/>
      </c>
      <c r="C15287">
        <f>IF(B15287="","",INT(A15287))</f>
        <v/>
      </c>
      <c r="D15287">
        <f>IF(B15287="","",HOUR(A15287))</f>
        <v/>
      </c>
    </row>
    <row r="15288">
      <c r="A15288">
        <f>Input!A15288</f>
        <v/>
      </c>
      <c r="B15288">
        <f>IF(ISNUMBER(Input!B15288),IF(AND(Input!B15288&gt;=20,Input!B15288&lt;=700),Input!B15288,""),"")</f>
        <v/>
      </c>
      <c r="C15288">
        <f>IF(B15288="","",INT(A15288))</f>
        <v/>
      </c>
      <c r="D15288">
        <f>IF(B15288="","",HOUR(A15288))</f>
        <v/>
      </c>
    </row>
    <row r="15289">
      <c r="A15289">
        <f>Input!A15289</f>
        <v/>
      </c>
      <c r="B15289">
        <f>IF(ISNUMBER(Input!B15289),IF(AND(Input!B15289&gt;=20,Input!B15289&lt;=700),Input!B15289,""),"")</f>
        <v/>
      </c>
      <c r="C15289">
        <f>IF(B15289="","",INT(A15289))</f>
        <v/>
      </c>
      <c r="D15289">
        <f>IF(B15289="","",HOUR(A15289))</f>
        <v/>
      </c>
    </row>
    <row r="15290">
      <c r="A15290">
        <f>Input!A15290</f>
        <v/>
      </c>
      <c r="B15290">
        <f>IF(ISNUMBER(Input!B15290),IF(AND(Input!B15290&gt;=20,Input!B15290&lt;=700),Input!B15290,""),"")</f>
        <v/>
      </c>
      <c r="C15290">
        <f>IF(B15290="","",INT(A15290))</f>
        <v/>
      </c>
      <c r="D15290">
        <f>IF(B15290="","",HOUR(A15290))</f>
        <v/>
      </c>
    </row>
    <row r="15291">
      <c r="A15291">
        <f>Input!A15291</f>
        <v/>
      </c>
      <c r="B15291">
        <f>IF(ISNUMBER(Input!B15291),IF(AND(Input!B15291&gt;=20,Input!B15291&lt;=700),Input!B15291,""),"")</f>
        <v/>
      </c>
      <c r="C15291">
        <f>IF(B15291="","",INT(A15291))</f>
        <v/>
      </c>
      <c r="D15291">
        <f>IF(B15291="","",HOUR(A15291))</f>
        <v/>
      </c>
    </row>
    <row r="15292">
      <c r="A15292">
        <f>Input!A15292</f>
        <v/>
      </c>
      <c r="B15292">
        <f>IF(ISNUMBER(Input!B15292),IF(AND(Input!B15292&gt;=20,Input!B15292&lt;=700),Input!B15292,""),"")</f>
        <v/>
      </c>
      <c r="C15292">
        <f>IF(B15292="","",INT(A15292))</f>
        <v/>
      </c>
      <c r="D15292">
        <f>IF(B15292="","",HOUR(A15292))</f>
        <v/>
      </c>
    </row>
    <row r="15293">
      <c r="A15293">
        <f>Input!A15293</f>
        <v/>
      </c>
      <c r="B15293">
        <f>IF(ISNUMBER(Input!B15293),IF(AND(Input!B15293&gt;=20,Input!B15293&lt;=700),Input!B15293,""),"")</f>
        <v/>
      </c>
      <c r="C15293">
        <f>IF(B15293="","",INT(A15293))</f>
        <v/>
      </c>
      <c r="D15293">
        <f>IF(B15293="","",HOUR(A15293))</f>
        <v/>
      </c>
    </row>
    <row r="15294">
      <c r="A15294">
        <f>Input!A15294</f>
        <v/>
      </c>
      <c r="B15294">
        <f>IF(ISNUMBER(Input!B15294),IF(AND(Input!B15294&gt;=20,Input!B15294&lt;=700),Input!B15294,""),"")</f>
        <v/>
      </c>
      <c r="C15294">
        <f>IF(B15294="","",INT(A15294))</f>
        <v/>
      </c>
      <c r="D15294">
        <f>IF(B15294="","",HOUR(A15294))</f>
        <v/>
      </c>
    </row>
    <row r="15295">
      <c r="A15295">
        <f>Input!A15295</f>
        <v/>
      </c>
      <c r="B15295">
        <f>IF(ISNUMBER(Input!B15295),IF(AND(Input!B15295&gt;=20,Input!B15295&lt;=700),Input!B15295,""),"")</f>
        <v/>
      </c>
      <c r="C15295">
        <f>IF(B15295="","",INT(A15295))</f>
        <v/>
      </c>
      <c r="D15295">
        <f>IF(B15295="","",HOUR(A15295))</f>
        <v/>
      </c>
    </row>
    <row r="15296">
      <c r="A15296">
        <f>Input!A15296</f>
        <v/>
      </c>
      <c r="B15296">
        <f>IF(ISNUMBER(Input!B15296),IF(AND(Input!B15296&gt;=20,Input!B15296&lt;=700),Input!B15296,""),"")</f>
        <v/>
      </c>
      <c r="C15296">
        <f>IF(B15296="","",INT(A15296))</f>
        <v/>
      </c>
      <c r="D15296">
        <f>IF(B15296="","",HOUR(A15296))</f>
        <v/>
      </c>
    </row>
    <row r="15297">
      <c r="A15297">
        <f>Input!A15297</f>
        <v/>
      </c>
      <c r="B15297">
        <f>IF(ISNUMBER(Input!B15297),IF(AND(Input!B15297&gt;=20,Input!B15297&lt;=700),Input!B15297,""),"")</f>
        <v/>
      </c>
      <c r="C15297">
        <f>IF(B15297="","",INT(A15297))</f>
        <v/>
      </c>
      <c r="D15297">
        <f>IF(B15297="","",HOUR(A15297))</f>
        <v/>
      </c>
    </row>
    <row r="15298">
      <c r="A15298">
        <f>Input!A15298</f>
        <v/>
      </c>
      <c r="B15298">
        <f>IF(ISNUMBER(Input!B15298),IF(AND(Input!B15298&gt;=20,Input!B15298&lt;=700),Input!B15298,""),"")</f>
        <v/>
      </c>
      <c r="C15298">
        <f>IF(B15298="","",INT(A15298))</f>
        <v/>
      </c>
      <c r="D15298">
        <f>IF(B15298="","",HOUR(A15298))</f>
        <v/>
      </c>
    </row>
    <row r="15299">
      <c r="A15299">
        <f>Input!A15299</f>
        <v/>
      </c>
      <c r="B15299">
        <f>IF(ISNUMBER(Input!B15299),IF(AND(Input!B15299&gt;=20,Input!B15299&lt;=700),Input!B15299,""),"")</f>
        <v/>
      </c>
      <c r="C15299">
        <f>IF(B15299="","",INT(A15299))</f>
        <v/>
      </c>
      <c r="D15299">
        <f>IF(B15299="","",HOUR(A15299))</f>
        <v/>
      </c>
    </row>
    <row r="15300">
      <c r="A15300">
        <f>Input!A15300</f>
        <v/>
      </c>
      <c r="B15300">
        <f>IF(ISNUMBER(Input!B15300),IF(AND(Input!B15300&gt;=20,Input!B15300&lt;=700),Input!B15300,""),"")</f>
        <v/>
      </c>
      <c r="C15300">
        <f>IF(B15300="","",INT(A15300))</f>
        <v/>
      </c>
      <c r="D15300">
        <f>IF(B15300="","",HOUR(A15300))</f>
        <v/>
      </c>
    </row>
    <row r="15301">
      <c r="A15301">
        <f>Input!A15301</f>
        <v/>
      </c>
      <c r="B15301">
        <f>IF(ISNUMBER(Input!B15301),IF(AND(Input!B15301&gt;=20,Input!B15301&lt;=700),Input!B15301,""),"")</f>
        <v/>
      </c>
      <c r="C15301">
        <f>IF(B15301="","",INT(A15301))</f>
        <v/>
      </c>
      <c r="D15301">
        <f>IF(B15301="","",HOUR(A15301))</f>
        <v/>
      </c>
    </row>
    <row r="15302">
      <c r="A15302">
        <f>Input!A15302</f>
        <v/>
      </c>
      <c r="B15302">
        <f>IF(ISNUMBER(Input!B15302),IF(AND(Input!B15302&gt;=20,Input!B15302&lt;=700),Input!B15302,""),"")</f>
        <v/>
      </c>
      <c r="C15302">
        <f>IF(B15302="","",INT(A15302))</f>
        <v/>
      </c>
      <c r="D15302">
        <f>IF(B15302="","",HOUR(A15302))</f>
        <v/>
      </c>
    </row>
    <row r="15303">
      <c r="A15303">
        <f>Input!A15303</f>
        <v/>
      </c>
      <c r="B15303">
        <f>IF(ISNUMBER(Input!B15303),IF(AND(Input!B15303&gt;=20,Input!B15303&lt;=700),Input!B15303,""),"")</f>
        <v/>
      </c>
      <c r="C15303">
        <f>IF(B15303="","",INT(A15303))</f>
        <v/>
      </c>
      <c r="D15303">
        <f>IF(B15303="","",HOUR(A15303))</f>
        <v/>
      </c>
    </row>
    <row r="15304">
      <c r="A15304">
        <f>Input!A15304</f>
        <v/>
      </c>
      <c r="B15304">
        <f>IF(ISNUMBER(Input!B15304),IF(AND(Input!B15304&gt;=20,Input!B15304&lt;=700),Input!B15304,""),"")</f>
        <v/>
      </c>
      <c r="C15304">
        <f>IF(B15304="","",INT(A15304))</f>
        <v/>
      </c>
      <c r="D15304">
        <f>IF(B15304="","",HOUR(A15304))</f>
        <v/>
      </c>
    </row>
    <row r="15305">
      <c r="A15305">
        <f>Input!A15305</f>
        <v/>
      </c>
      <c r="B15305">
        <f>IF(ISNUMBER(Input!B15305),IF(AND(Input!B15305&gt;=20,Input!B15305&lt;=700),Input!B15305,""),"")</f>
        <v/>
      </c>
      <c r="C15305">
        <f>IF(B15305="","",INT(A15305))</f>
        <v/>
      </c>
      <c r="D15305">
        <f>IF(B15305="","",HOUR(A15305))</f>
        <v/>
      </c>
    </row>
    <row r="15306">
      <c r="A15306">
        <f>Input!A15306</f>
        <v/>
      </c>
      <c r="B15306">
        <f>IF(ISNUMBER(Input!B15306),IF(AND(Input!B15306&gt;=20,Input!B15306&lt;=700),Input!B15306,""),"")</f>
        <v/>
      </c>
      <c r="C15306">
        <f>IF(B15306="","",INT(A15306))</f>
        <v/>
      </c>
      <c r="D15306">
        <f>IF(B15306="","",HOUR(A15306))</f>
        <v/>
      </c>
    </row>
    <row r="15307">
      <c r="A15307">
        <f>Input!A15307</f>
        <v/>
      </c>
      <c r="B15307">
        <f>IF(ISNUMBER(Input!B15307),IF(AND(Input!B15307&gt;=20,Input!B15307&lt;=700),Input!B15307,""),"")</f>
        <v/>
      </c>
      <c r="C15307">
        <f>IF(B15307="","",INT(A15307))</f>
        <v/>
      </c>
      <c r="D15307">
        <f>IF(B15307="","",HOUR(A15307))</f>
        <v/>
      </c>
    </row>
    <row r="15308">
      <c r="A15308">
        <f>Input!A15308</f>
        <v/>
      </c>
      <c r="B15308">
        <f>IF(ISNUMBER(Input!B15308),IF(AND(Input!B15308&gt;=20,Input!B15308&lt;=700),Input!B15308,""),"")</f>
        <v/>
      </c>
      <c r="C15308">
        <f>IF(B15308="","",INT(A15308))</f>
        <v/>
      </c>
      <c r="D15308">
        <f>IF(B15308="","",HOUR(A15308))</f>
        <v/>
      </c>
    </row>
    <row r="15309">
      <c r="A15309">
        <f>Input!A15309</f>
        <v/>
      </c>
      <c r="B15309">
        <f>IF(ISNUMBER(Input!B15309),IF(AND(Input!B15309&gt;=20,Input!B15309&lt;=700),Input!B15309,""),"")</f>
        <v/>
      </c>
      <c r="C15309">
        <f>IF(B15309="","",INT(A15309))</f>
        <v/>
      </c>
      <c r="D15309">
        <f>IF(B15309="","",HOUR(A15309))</f>
        <v/>
      </c>
    </row>
    <row r="15310">
      <c r="A15310">
        <f>Input!A15310</f>
        <v/>
      </c>
      <c r="B15310">
        <f>IF(ISNUMBER(Input!B15310),IF(AND(Input!B15310&gt;=20,Input!B15310&lt;=700),Input!B15310,""),"")</f>
        <v/>
      </c>
      <c r="C15310">
        <f>IF(B15310="","",INT(A15310))</f>
        <v/>
      </c>
      <c r="D15310">
        <f>IF(B15310="","",HOUR(A15310))</f>
        <v/>
      </c>
    </row>
    <row r="15311">
      <c r="A15311">
        <f>Input!A15311</f>
        <v/>
      </c>
      <c r="B15311">
        <f>IF(ISNUMBER(Input!B15311),IF(AND(Input!B15311&gt;=20,Input!B15311&lt;=700),Input!B15311,""),"")</f>
        <v/>
      </c>
      <c r="C15311">
        <f>IF(B15311="","",INT(A15311))</f>
        <v/>
      </c>
      <c r="D15311">
        <f>IF(B15311="","",HOUR(A15311))</f>
        <v/>
      </c>
    </row>
    <row r="15312">
      <c r="A15312">
        <f>Input!A15312</f>
        <v/>
      </c>
      <c r="B15312">
        <f>IF(ISNUMBER(Input!B15312),IF(AND(Input!B15312&gt;=20,Input!B15312&lt;=700),Input!B15312,""),"")</f>
        <v/>
      </c>
      <c r="C15312">
        <f>IF(B15312="","",INT(A15312))</f>
        <v/>
      </c>
      <c r="D15312">
        <f>IF(B15312="","",HOUR(A15312))</f>
        <v/>
      </c>
    </row>
    <row r="15313">
      <c r="A15313">
        <f>Input!A15313</f>
        <v/>
      </c>
      <c r="B15313">
        <f>IF(ISNUMBER(Input!B15313),IF(AND(Input!B15313&gt;=20,Input!B15313&lt;=700),Input!B15313,""),"")</f>
        <v/>
      </c>
      <c r="C15313">
        <f>IF(B15313="","",INT(A15313))</f>
        <v/>
      </c>
      <c r="D15313">
        <f>IF(B15313="","",HOUR(A15313))</f>
        <v/>
      </c>
    </row>
    <row r="15314">
      <c r="A15314">
        <f>Input!A15314</f>
        <v/>
      </c>
      <c r="B15314">
        <f>IF(ISNUMBER(Input!B15314),IF(AND(Input!B15314&gt;=20,Input!B15314&lt;=700),Input!B15314,""),"")</f>
        <v/>
      </c>
      <c r="C15314">
        <f>IF(B15314="","",INT(A15314))</f>
        <v/>
      </c>
      <c r="D15314">
        <f>IF(B15314="","",HOUR(A15314))</f>
        <v/>
      </c>
    </row>
    <row r="15315">
      <c r="A15315">
        <f>Input!A15315</f>
        <v/>
      </c>
      <c r="B15315">
        <f>IF(ISNUMBER(Input!B15315),IF(AND(Input!B15315&gt;=20,Input!B15315&lt;=700),Input!B15315,""),"")</f>
        <v/>
      </c>
      <c r="C15315">
        <f>IF(B15315="","",INT(A15315))</f>
        <v/>
      </c>
      <c r="D15315">
        <f>IF(B15315="","",HOUR(A15315))</f>
        <v/>
      </c>
    </row>
    <row r="15316">
      <c r="A15316">
        <f>Input!A15316</f>
        <v/>
      </c>
      <c r="B15316">
        <f>IF(ISNUMBER(Input!B15316),IF(AND(Input!B15316&gt;=20,Input!B15316&lt;=700),Input!B15316,""),"")</f>
        <v/>
      </c>
      <c r="C15316">
        <f>IF(B15316="","",INT(A15316))</f>
        <v/>
      </c>
      <c r="D15316">
        <f>IF(B15316="","",HOUR(A15316))</f>
        <v/>
      </c>
    </row>
    <row r="15317">
      <c r="A15317">
        <f>Input!A15317</f>
        <v/>
      </c>
      <c r="B15317">
        <f>IF(ISNUMBER(Input!B15317),IF(AND(Input!B15317&gt;=20,Input!B15317&lt;=700),Input!B15317,""),"")</f>
        <v/>
      </c>
      <c r="C15317">
        <f>IF(B15317="","",INT(A15317))</f>
        <v/>
      </c>
      <c r="D15317">
        <f>IF(B15317="","",HOUR(A15317))</f>
        <v/>
      </c>
    </row>
    <row r="15318">
      <c r="A15318">
        <f>Input!A15318</f>
        <v/>
      </c>
      <c r="B15318">
        <f>IF(ISNUMBER(Input!B15318),IF(AND(Input!B15318&gt;=20,Input!B15318&lt;=700),Input!B15318,""),"")</f>
        <v/>
      </c>
      <c r="C15318">
        <f>IF(B15318="","",INT(A15318))</f>
        <v/>
      </c>
      <c r="D15318">
        <f>IF(B15318="","",HOUR(A15318))</f>
        <v/>
      </c>
    </row>
    <row r="15319">
      <c r="A15319">
        <f>Input!A15319</f>
        <v/>
      </c>
      <c r="B15319">
        <f>IF(ISNUMBER(Input!B15319),IF(AND(Input!B15319&gt;=20,Input!B15319&lt;=700),Input!B15319,""),"")</f>
        <v/>
      </c>
      <c r="C15319">
        <f>IF(B15319="","",INT(A15319))</f>
        <v/>
      </c>
      <c r="D15319">
        <f>IF(B15319="","",HOUR(A15319))</f>
        <v/>
      </c>
    </row>
    <row r="15320">
      <c r="A15320">
        <f>Input!A15320</f>
        <v/>
      </c>
      <c r="B15320">
        <f>IF(ISNUMBER(Input!B15320),IF(AND(Input!B15320&gt;=20,Input!B15320&lt;=700),Input!B15320,""),"")</f>
        <v/>
      </c>
      <c r="C15320">
        <f>IF(B15320="","",INT(A15320))</f>
        <v/>
      </c>
      <c r="D15320">
        <f>IF(B15320="","",HOUR(A15320))</f>
        <v/>
      </c>
    </row>
    <row r="15321">
      <c r="A15321">
        <f>Input!A15321</f>
        <v/>
      </c>
      <c r="B15321">
        <f>IF(ISNUMBER(Input!B15321),IF(AND(Input!B15321&gt;=20,Input!B15321&lt;=700),Input!B15321,""),"")</f>
        <v/>
      </c>
      <c r="C15321">
        <f>IF(B15321="","",INT(A15321))</f>
        <v/>
      </c>
      <c r="D15321">
        <f>IF(B15321="","",HOUR(A15321))</f>
        <v/>
      </c>
    </row>
    <row r="15322">
      <c r="A15322">
        <f>Input!A15322</f>
        <v/>
      </c>
      <c r="B15322">
        <f>IF(ISNUMBER(Input!B15322),IF(AND(Input!B15322&gt;=20,Input!B15322&lt;=700),Input!B15322,""),"")</f>
        <v/>
      </c>
      <c r="C15322">
        <f>IF(B15322="","",INT(A15322))</f>
        <v/>
      </c>
      <c r="D15322">
        <f>IF(B15322="","",HOUR(A15322))</f>
        <v/>
      </c>
    </row>
    <row r="15323">
      <c r="A15323">
        <f>Input!A15323</f>
        <v/>
      </c>
      <c r="B15323">
        <f>IF(ISNUMBER(Input!B15323),IF(AND(Input!B15323&gt;=20,Input!B15323&lt;=700),Input!B15323,""),"")</f>
        <v/>
      </c>
      <c r="C15323">
        <f>IF(B15323="","",INT(A15323))</f>
        <v/>
      </c>
      <c r="D15323">
        <f>IF(B15323="","",HOUR(A15323))</f>
        <v/>
      </c>
    </row>
    <row r="15324">
      <c r="A15324">
        <f>Input!A15324</f>
        <v/>
      </c>
      <c r="B15324">
        <f>IF(ISNUMBER(Input!B15324),IF(AND(Input!B15324&gt;=20,Input!B15324&lt;=700),Input!B15324,""),"")</f>
        <v/>
      </c>
      <c r="C15324">
        <f>IF(B15324="","",INT(A15324))</f>
        <v/>
      </c>
      <c r="D15324">
        <f>IF(B15324="","",HOUR(A15324))</f>
        <v/>
      </c>
    </row>
    <row r="15325">
      <c r="A15325">
        <f>Input!A15325</f>
        <v/>
      </c>
      <c r="B15325">
        <f>IF(ISNUMBER(Input!B15325),IF(AND(Input!B15325&gt;=20,Input!B15325&lt;=700),Input!B15325,""),"")</f>
        <v/>
      </c>
      <c r="C15325">
        <f>IF(B15325="","",INT(A15325))</f>
        <v/>
      </c>
      <c r="D15325">
        <f>IF(B15325="","",HOUR(A15325))</f>
        <v/>
      </c>
    </row>
    <row r="15326">
      <c r="A15326">
        <f>Input!A15326</f>
        <v/>
      </c>
      <c r="B15326">
        <f>IF(ISNUMBER(Input!B15326),IF(AND(Input!B15326&gt;=20,Input!B15326&lt;=700),Input!B15326,""),"")</f>
        <v/>
      </c>
      <c r="C15326">
        <f>IF(B15326="","",INT(A15326))</f>
        <v/>
      </c>
      <c r="D15326">
        <f>IF(B15326="","",HOUR(A15326))</f>
        <v/>
      </c>
    </row>
    <row r="15327">
      <c r="A15327">
        <f>Input!A15327</f>
        <v/>
      </c>
      <c r="B15327">
        <f>IF(ISNUMBER(Input!B15327),IF(AND(Input!B15327&gt;=20,Input!B15327&lt;=700),Input!B15327,""),"")</f>
        <v/>
      </c>
      <c r="C15327">
        <f>IF(B15327="","",INT(A15327))</f>
        <v/>
      </c>
      <c r="D15327">
        <f>IF(B15327="","",HOUR(A15327))</f>
        <v/>
      </c>
    </row>
    <row r="15328">
      <c r="A15328">
        <f>Input!A15328</f>
        <v/>
      </c>
      <c r="B15328">
        <f>IF(ISNUMBER(Input!B15328),IF(AND(Input!B15328&gt;=20,Input!B15328&lt;=700),Input!B15328,""),"")</f>
        <v/>
      </c>
      <c r="C15328">
        <f>IF(B15328="","",INT(A15328))</f>
        <v/>
      </c>
      <c r="D15328">
        <f>IF(B15328="","",HOUR(A15328))</f>
        <v/>
      </c>
    </row>
    <row r="15329">
      <c r="A15329">
        <f>Input!A15329</f>
        <v/>
      </c>
      <c r="B15329">
        <f>IF(ISNUMBER(Input!B15329),IF(AND(Input!B15329&gt;=20,Input!B15329&lt;=700),Input!B15329,""),"")</f>
        <v/>
      </c>
      <c r="C15329">
        <f>IF(B15329="","",INT(A15329))</f>
        <v/>
      </c>
      <c r="D15329">
        <f>IF(B15329="","",HOUR(A15329))</f>
        <v/>
      </c>
    </row>
    <row r="15330">
      <c r="A15330">
        <f>Input!A15330</f>
        <v/>
      </c>
      <c r="B15330">
        <f>IF(ISNUMBER(Input!B15330),IF(AND(Input!B15330&gt;=20,Input!B15330&lt;=700),Input!B15330,""),"")</f>
        <v/>
      </c>
      <c r="C15330">
        <f>IF(B15330="","",INT(A15330))</f>
        <v/>
      </c>
      <c r="D15330">
        <f>IF(B15330="","",HOUR(A15330))</f>
        <v/>
      </c>
    </row>
    <row r="15331">
      <c r="A15331">
        <f>Input!A15331</f>
        <v/>
      </c>
      <c r="B15331">
        <f>IF(ISNUMBER(Input!B15331),IF(AND(Input!B15331&gt;=20,Input!B15331&lt;=700),Input!B15331,""),"")</f>
        <v/>
      </c>
      <c r="C15331">
        <f>IF(B15331="","",INT(A15331))</f>
        <v/>
      </c>
      <c r="D15331">
        <f>IF(B15331="","",HOUR(A15331))</f>
        <v/>
      </c>
    </row>
    <row r="15332">
      <c r="A15332">
        <f>Input!A15332</f>
        <v/>
      </c>
      <c r="B15332">
        <f>IF(ISNUMBER(Input!B15332),IF(AND(Input!B15332&gt;=20,Input!B15332&lt;=700),Input!B15332,""),"")</f>
        <v/>
      </c>
      <c r="C15332">
        <f>IF(B15332="","",INT(A15332))</f>
        <v/>
      </c>
      <c r="D15332">
        <f>IF(B15332="","",HOUR(A15332))</f>
        <v/>
      </c>
    </row>
    <row r="15333">
      <c r="A15333">
        <f>Input!A15333</f>
        <v/>
      </c>
      <c r="B15333">
        <f>IF(ISNUMBER(Input!B15333),IF(AND(Input!B15333&gt;=20,Input!B15333&lt;=700),Input!B15333,""),"")</f>
        <v/>
      </c>
      <c r="C15333">
        <f>IF(B15333="","",INT(A15333))</f>
        <v/>
      </c>
      <c r="D15333">
        <f>IF(B15333="","",HOUR(A15333))</f>
        <v/>
      </c>
    </row>
    <row r="15334">
      <c r="A15334">
        <f>Input!A15334</f>
        <v/>
      </c>
      <c r="B15334">
        <f>IF(ISNUMBER(Input!B15334),IF(AND(Input!B15334&gt;=20,Input!B15334&lt;=700),Input!B15334,""),"")</f>
        <v/>
      </c>
      <c r="C15334">
        <f>IF(B15334="","",INT(A15334))</f>
        <v/>
      </c>
      <c r="D15334">
        <f>IF(B15334="","",HOUR(A15334))</f>
        <v/>
      </c>
    </row>
    <row r="15335">
      <c r="A15335">
        <f>Input!A15335</f>
        <v/>
      </c>
      <c r="B15335">
        <f>IF(ISNUMBER(Input!B15335),IF(AND(Input!B15335&gt;=20,Input!B15335&lt;=700),Input!B15335,""),"")</f>
        <v/>
      </c>
      <c r="C15335">
        <f>IF(B15335="","",INT(A15335))</f>
        <v/>
      </c>
      <c r="D15335">
        <f>IF(B15335="","",HOUR(A15335))</f>
        <v/>
      </c>
    </row>
    <row r="15336">
      <c r="A15336">
        <f>Input!A15336</f>
        <v/>
      </c>
      <c r="B15336">
        <f>IF(ISNUMBER(Input!B15336),IF(AND(Input!B15336&gt;=20,Input!B15336&lt;=700),Input!B15336,""),"")</f>
        <v/>
      </c>
      <c r="C15336">
        <f>IF(B15336="","",INT(A15336))</f>
        <v/>
      </c>
      <c r="D15336">
        <f>IF(B15336="","",HOUR(A15336))</f>
        <v/>
      </c>
    </row>
    <row r="15337">
      <c r="A15337">
        <f>Input!A15337</f>
        <v/>
      </c>
      <c r="B15337">
        <f>IF(ISNUMBER(Input!B15337),IF(AND(Input!B15337&gt;=20,Input!B15337&lt;=700),Input!B15337,""),"")</f>
        <v/>
      </c>
      <c r="C15337">
        <f>IF(B15337="","",INT(A15337))</f>
        <v/>
      </c>
      <c r="D15337">
        <f>IF(B15337="","",HOUR(A15337))</f>
        <v/>
      </c>
    </row>
    <row r="15338">
      <c r="A15338">
        <f>Input!A15338</f>
        <v/>
      </c>
      <c r="B15338">
        <f>IF(ISNUMBER(Input!B15338),IF(AND(Input!B15338&gt;=20,Input!B15338&lt;=700),Input!B15338,""),"")</f>
        <v/>
      </c>
      <c r="C15338">
        <f>IF(B15338="","",INT(A15338))</f>
        <v/>
      </c>
      <c r="D15338">
        <f>IF(B15338="","",HOUR(A15338))</f>
        <v/>
      </c>
    </row>
    <row r="15339">
      <c r="A15339">
        <f>Input!A15339</f>
        <v/>
      </c>
      <c r="B15339">
        <f>IF(ISNUMBER(Input!B15339),IF(AND(Input!B15339&gt;=20,Input!B15339&lt;=700),Input!B15339,""),"")</f>
        <v/>
      </c>
      <c r="C15339">
        <f>IF(B15339="","",INT(A15339))</f>
        <v/>
      </c>
      <c r="D15339">
        <f>IF(B15339="","",HOUR(A15339))</f>
        <v/>
      </c>
    </row>
    <row r="15340">
      <c r="A15340">
        <f>Input!A15340</f>
        <v/>
      </c>
      <c r="B15340">
        <f>IF(ISNUMBER(Input!B15340),IF(AND(Input!B15340&gt;=20,Input!B15340&lt;=700),Input!B15340,""),"")</f>
        <v/>
      </c>
      <c r="C15340">
        <f>IF(B15340="","",INT(A15340))</f>
        <v/>
      </c>
      <c r="D15340">
        <f>IF(B15340="","",HOUR(A15340))</f>
        <v/>
      </c>
    </row>
    <row r="15341">
      <c r="A15341">
        <f>Input!A15341</f>
        <v/>
      </c>
      <c r="B15341">
        <f>IF(ISNUMBER(Input!B15341),IF(AND(Input!B15341&gt;=20,Input!B15341&lt;=700),Input!B15341,""),"")</f>
        <v/>
      </c>
      <c r="C15341">
        <f>IF(B15341="","",INT(A15341))</f>
        <v/>
      </c>
      <c r="D15341">
        <f>IF(B15341="","",HOUR(A15341))</f>
        <v/>
      </c>
    </row>
    <row r="15342">
      <c r="A15342">
        <f>Input!A15342</f>
        <v/>
      </c>
      <c r="B15342">
        <f>IF(ISNUMBER(Input!B15342),IF(AND(Input!B15342&gt;=20,Input!B15342&lt;=700),Input!B15342,""),"")</f>
        <v/>
      </c>
      <c r="C15342">
        <f>IF(B15342="","",INT(A15342))</f>
        <v/>
      </c>
      <c r="D15342">
        <f>IF(B15342="","",HOUR(A15342))</f>
        <v/>
      </c>
    </row>
    <row r="15343">
      <c r="A15343">
        <f>Input!A15343</f>
        <v/>
      </c>
      <c r="B15343">
        <f>IF(ISNUMBER(Input!B15343),IF(AND(Input!B15343&gt;=20,Input!B15343&lt;=700),Input!B15343,""),"")</f>
        <v/>
      </c>
      <c r="C15343">
        <f>IF(B15343="","",INT(A15343))</f>
        <v/>
      </c>
      <c r="D15343">
        <f>IF(B15343="","",HOUR(A15343))</f>
        <v/>
      </c>
    </row>
    <row r="15344">
      <c r="A15344">
        <f>Input!A15344</f>
        <v/>
      </c>
      <c r="B15344">
        <f>IF(ISNUMBER(Input!B15344),IF(AND(Input!B15344&gt;=20,Input!B15344&lt;=700),Input!B15344,""),"")</f>
        <v/>
      </c>
      <c r="C15344">
        <f>IF(B15344="","",INT(A15344))</f>
        <v/>
      </c>
      <c r="D15344">
        <f>IF(B15344="","",HOUR(A15344))</f>
        <v/>
      </c>
    </row>
    <row r="15345">
      <c r="A15345">
        <f>Input!A15345</f>
        <v/>
      </c>
      <c r="B15345">
        <f>IF(ISNUMBER(Input!B15345),IF(AND(Input!B15345&gt;=20,Input!B15345&lt;=700),Input!B15345,""),"")</f>
        <v/>
      </c>
      <c r="C15345">
        <f>IF(B15345="","",INT(A15345))</f>
        <v/>
      </c>
      <c r="D15345">
        <f>IF(B15345="","",HOUR(A15345))</f>
        <v/>
      </c>
    </row>
    <row r="15346">
      <c r="A15346">
        <f>Input!A15346</f>
        <v/>
      </c>
      <c r="B15346">
        <f>IF(ISNUMBER(Input!B15346),IF(AND(Input!B15346&gt;=20,Input!B15346&lt;=700),Input!B15346,""),"")</f>
        <v/>
      </c>
      <c r="C15346">
        <f>IF(B15346="","",INT(A15346))</f>
        <v/>
      </c>
      <c r="D15346">
        <f>IF(B15346="","",HOUR(A15346))</f>
        <v/>
      </c>
    </row>
    <row r="15347">
      <c r="A15347">
        <f>Input!A15347</f>
        <v/>
      </c>
      <c r="B15347">
        <f>IF(ISNUMBER(Input!B15347),IF(AND(Input!B15347&gt;=20,Input!B15347&lt;=700),Input!B15347,""),"")</f>
        <v/>
      </c>
      <c r="C15347">
        <f>IF(B15347="","",INT(A15347))</f>
        <v/>
      </c>
      <c r="D15347">
        <f>IF(B15347="","",HOUR(A15347))</f>
        <v/>
      </c>
    </row>
    <row r="15348">
      <c r="A15348">
        <f>Input!A15348</f>
        <v/>
      </c>
      <c r="B15348">
        <f>IF(ISNUMBER(Input!B15348),IF(AND(Input!B15348&gt;=20,Input!B15348&lt;=700),Input!B15348,""),"")</f>
        <v/>
      </c>
      <c r="C15348">
        <f>IF(B15348="","",INT(A15348))</f>
        <v/>
      </c>
      <c r="D15348">
        <f>IF(B15348="","",HOUR(A15348))</f>
        <v/>
      </c>
    </row>
    <row r="15349">
      <c r="A15349">
        <f>Input!A15349</f>
        <v/>
      </c>
      <c r="B15349">
        <f>IF(ISNUMBER(Input!B15349),IF(AND(Input!B15349&gt;=20,Input!B15349&lt;=700),Input!B15349,""),"")</f>
        <v/>
      </c>
      <c r="C15349">
        <f>IF(B15349="","",INT(A15349))</f>
        <v/>
      </c>
      <c r="D15349">
        <f>IF(B15349="","",HOUR(A15349))</f>
        <v/>
      </c>
    </row>
    <row r="15350">
      <c r="A15350">
        <f>Input!A15350</f>
        <v/>
      </c>
      <c r="B15350">
        <f>IF(ISNUMBER(Input!B15350),IF(AND(Input!B15350&gt;=20,Input!B15350&lt;=700),Input!B15350,""),"")</f>
        <v/>
      </c>
      <c r="C15350">
        <f>IF(B15350="","",INT(A15350))</f>
        <v/>
      </c>
      <c r="D15350">
        <f>IF(B15350="","",HOUR(A15350))</f>
        <v/>
      </c>
    </row>
    <row r="15351">
      <c r="A15351">
        <f>Input!A15351</f>
        <v/>
      </c>
      <c r="B15351">
        <f>IF(ISNUMBER(Input!B15351),IF(AND(Input!B15351&gt;=20,Input!B15351&lt;=700),Input!B15351,""),"")</f>
        <v/>
      </c>
      <c r="C15351">
        <f>IF(B15351="","",INT(A15351))</f>
        <v/>
      </c>
      <c r="D15351">
        <f>IF(B15351="","",HOUR(A15351))</f>
        <v/>
      </c>
    </row>
    <row r="15352">
      <c r="A15352">
        <f>Input!A15352</f>
        <v/>
      </c>
      <c r="B15352">
        <f>IF(ISNUMBER(Input!B15352),IF(AND(Input!B15352&gt;=20,Input!B15352&lt;=700),Input!B15352,""),"")</f>
        <v/>
      </c>
      <c r="C15352">
        <f>IF(B15352="","",INT(A15352))</f>
        <v/>
      </c>
      <c r="D15352">
        <f>IF(B15352="","",HOUR(A15352))</f>
        <v/>
      </c>
    </row>
    <row r="15353">
      <c r="A15353">
        <f>Input!A15353</f>
        <v/>
      </c>
      <c r="B15353">
        <f>IF(ISNUMBER(Input!B15353),IF(AND(Input!B15353&gt;=20,Input!B15353&lt;=700),Input!B15353,""),"")</f>
        <v/>
      </c>
      <c r="C15353">
        <f>IF(B15353="","",INT(A15353))</f>
        <v/>
      </c>
      <c r="D15353">
        <f>IF(B15353="","",HOUR(A15353))</f>
        <v/>
      </c>
    </row>
    <row r="15354">
      <c r="A15354">
        <f>Input!A15354</f>
        <v/>
      </c>
      <c r="B15354">
        <f>IF(ISNUMBER(Input!B15354),IF(AND(Input!B15354&gt;=20,Input!B15354&lt;=700),Input!B15354,""),"")</f>
        <v/>
      </c>
      <c r="C15354">
        <f>IF(B15354="","",INT(A15354))</f>
        <v/>
      </c>
      <c r="D15354">
        <f>IF(B15354="","",HOUR(A15354))</f>
        <v/>
      </c>
    </row>
    <row r="15355">
      <c r="A15355">
        <f>Input!A15355</f>
        <v/>
      </c>
      <c r="B15355">
        <f>IF(ISNUMBER(Input!B15355),IF(AND(Input!B15355&gt;=20,Input!B15355&lt;=700),Input!B15355,""),"")</f>
        <v/>
      </c>
      <c r="C15355">
        <f>IF(B15355="","",INT(A15355))</f>
        <v/>
      </c>
      <c r="D15355">
        <f>IF(B15355="","",HOUR(A15355))</f>
        <v/>
      </c>
    </row>
    <row r="15356">
      <c r="A15356">
        <f>Input!A15356</f>
        <v/>
      </c>
      <c r="B15356">
        <f>IF(ISNUMBER(Input!B15356),IF(AND(Input!B15356&gt;=20,Input!B15356&lt;=700),Input!B15356,""),"")</f>
        <v/>
      </c>
      <c r="C15356">
        <f>IF(B15356="","",INT(A15356))</f>
        <v/>
      </c>
      <c r="D15356">
        <f>IF(B15356="","",HOUR(A15356))</f>
        <v/>
      </c>
    </row>
    <row r="15357">
      <c r="A15357">
        <f>Input!A15357</f>
        <v/>
      </c>
      <c r="B15357">
        <f>IF(ISNUMBER(Input!B15357),IF(AND(Input!B15357&gt;=20,Input!B15357&lt;=700),Input!B15357,""),"")</f>
        <v/>
      </c>
      <c r="C15357">
        <f>IF(B15357="","",INT(A15357))</f>
        <v/>
      </c>
      <c r="D15357">
        <f>IF(B15357="","",HOUR(A15357))</f>
        <v/>
      </c>
    </row>
    <row r="15358">
      <c r="A15358">
        <f>Input!A15358</f>
        <v/>
      </c>
      <c r="B15358">
        <f>IF(ISNUMBER(Input!B15358),IF(AND(Input!B15358&gt;=20,Input!B15358&lt;=700),Input!B15358,""),"")</f>
        <v/>
      </c>
      <c r="C15358">
        <f>IF(B15358="","",INT(A15358))</f>
        <v/>
      </c>
      <c r="D15358">
        <f>IF(B15358="","",HOUR(A15358))</f>
        <v/>
      </c>
    </row>
    <row r="15359">
      <c r="A15359">
        <f>Input!A15359</f>
        <v/>
      </c>
      <c r="B15359">
        <f>IF(ISNUMBER(Input!B15359),IF(AND(Input!B15359&gt;=20,Input!B15359&lt;=700),Input!B15359,""),"")</f>
        <v/>
      </c>
      <c r="C15359">
        <f>IF(B15359="","",INT(A15359))</f>
        <v/>
      </c>
      <c r="D15359">
        <f>IF(B15359="","",HOUR(A15359))</f>
        <v/>
      </c>
    </row>
    <row r="15360">
      <c r="A15360">
        <f>Input!A15360</f>
        <v/>
      </c>
      <c r="B15360">
        <f>IF(ISNUMBER(Input!B15360),IF(AND(Input!B15360&gt;=20,Input!B15360&lt;=700),Input!B15360,""),"")</f>
        <v/>
      </c>
      <c r="C15360">
        <f>IF(B15360="","",INT(A15360))</f>
        <v/>
      </c>
      <c r="D15360">
        <f>IF(B15360="","",HOUR(A15360))</f>
        <v/>
      </c>
    </row>
    <row r="15361">
      <c r="A15361">
        <f>Input!A15361</f>
        <v/>
      </c>
      <c r="B15361">
        <f>IF(ISNUMBER(Input!B15361),IF(AND(Input!B15361&gt;=20,Input!B15361&lt;=700),Input!B15361,""),"")</f>
        <v/>
      </c>
      <c r="C15361">
        <f>IF(B15361="","",INT(A15361))</f>
        <v/>
      </c>
      <c r="D15361">
        <f>IF(B15361="","",HOUR(A15361))</f>
        <v/>
      </c>
    </row>
    <row r="15362">
      <c r="A15362">
        <f>Input!A15362</f>
        <v/>
      </c>
      <c r="B15362">
        <f>IF(ISNUMBER(Input!B15362),IF(AND(Input!B15362&gt;=20,Input!B15362&lt;=700),Input!B15362,""),"")</f>
        <v/>
      </c>
      <c r="C15362">
        <f>IF(B15362="","",INT(A15362))</f>
        <v/>
      </c>
      <c r="D15362">
        <f>IF(B15362="","",HOUR(A15362))</f>
        <v/>
      </c>
    </row>
    <row r="15363">
      <c r="A15363">
        <f>Input!A15363</f>
        <v/>
      </c>
      <c r="B15363">
        <f>IF(ISNUMBER(Input!B15363),IF(AND(Input!B15363&gt;=20,Input!B15363&lt;=700),Input!B15363,""),"")</f>
        <v/>
      </c>
      <c r="C15363">
        <f>IF(B15363="","",INT(A15363))</f>
        <v/>
      </c>
      <c r="D15363">
        <f>IF(B15363="","",HOUR(A15363))</f>
        <v/>
      </c>
    </row>
    <row r="15364">
      <c r="A15364">
        <f>Input!A15364</f>
        <v/>
      </c>
      <c r="B15364">
        <f>IF(ISNUMBER(Input!B15364),IF(AND(Input!B15364&gt;=20,Input!B15364&lt;=700),Input!B15364,""),"")</f>
        <v/>
      </c>
      <c r="C15364">
        <f>IF(B15364="","",INT(A15364))</f>
        <v/>
      </c>
      <c r="D15364">
        <f>IF(B15364="","",HOUR(A15364))</f>
        <v/>
      </c>
    </row>
    <row r="15365">
      <c r="A15365">
        <f>Input!A15365</f>
        <v/>
      </c>
      <c r="B15365">
        <f>IF(ISNUMBER(Input!B15365),IF(AND(Input!B15365&gt;=20,Input!B15365&lt;=700),Input!B15365,""),"")</f>
        <v/>
      </c>
      <c r="C15365">
        <f>IF(B15365="","",INT(A15365))</f>
        <v/>
      </c>
      <c r="D15365">
        <f>IF(B15365="","",HOUR(A15365))</f>
        <v/>
      </c>
    </row>
    <row r="15366">
      <c r="A15366">
        <f>Input!A15366</f>
        <v/>
      </c>
      <c r="B15366">
        <f>IF(ISNUMBER(Input!B15366),IF(AND(Input!B15366&gt;=20,Input!B15366&lt;=700),Input!B15366,""),"")</f>
        <v/>
      </c>
      <c r="C15366">
        <f>IF(B15366="","",INT(A15366))</f>
        <v/>
      </c>
      <c r="D15366">
        <f>IF(B15366="","",HOUR(A15366))</f>
        <v/>
      </c>
    </row>
    <row r="15367">
      <c r="A15367">
        <f>Input!A15367</f>
        <v/>
      </c>
      <c r="B15367">
        <f>IF(ISNUMBER(Input!B15367),IF(AND(Input!B15367&gt;=20,Input!B15367&lt;=700),Input!B15367,""),"")</f>
        <v/>
      </c>
      <c r="C15367">
        <f>IF(B15367="","",INT(A15367))</f>
        <v/>
      </c>
      <c r="D15367">
        <f>IF(B15367="","",HOUR(A15367))</f>
        <v/>
      </c>
    </row>
    <row r="15368">
      <c r="A15368">
        <f>Input!A15368</f>
        <v/>
      </c>
      <c r="B15368">
        <f>IF(ISNUMBER(Input!B15368),IF(AND(Input!B15368&gt;=20,Input!B15368&lt;=700),Input!B15368,""),"")</f>
        <v/>
      </c>
      <c r="C15368">
        <f>IF(B15368="","",INT(A15368))</f>
        <v/>
      </c>
      <c r="D15368">
        <f>IF(B15368="","",HOUR(A15368))</f>
        <v/>
      </c>
    </row>
    <row r="15369">
      <c r="A15369">
        <f>Input!A15369</f>
        <v/>
      </c>
      <c r="B15369">
        <f>IF(ISNUMBER(Input!B15369),IF(AND(Input!B15369&gt;=20,Input!B15369&lt;=700),Input!B15369,""),"")</f>
        <v/>
      </c>
      <c r="C15369">
        <f>IF(B15369="","",INT(A15369))</f>
        <v/>
      </c>
      <c r="D15369">
        <f>IF(B15369="","",HOUR(A15369))</f>
        <v/>
      </c>
    </row>
    <row r="15370">
      <c r="A15370">
        <f>Input!A15370</f>
        <v/>
      </c>
      <c r="B15370">
        <f>IF(ISNUMBER(Input!B15370),IF(AND(Input!B15370&gt;=20,Input!B15370&lt;=700),Input!B15370,""),"")</f>
        <v/>
      </c>
      <c r="C15370">
        <f>IF(B15370="","",INT(A15370))</f>
        <v/>
      </c>
      <c r="D15370">
        <f>IF(B15370="","",HOUR(A15370))</f>
        <v/>
      </c>
    </row>
    <row r="15371">
      <c r="A15371">
        <f>Input!A15371</f>
        <v/>
      </c>
      <c r="B15371">
        <f>IF(ISNUMBER(Input!B15371),IF(AND(Input!B15371&gt;=20,Input!B15371&lt;=700),Input!B15371,""),"")</f>
        <v/>
      </c>
      <c r="C15371">
        <f>IF(B15371="","",INT(A15371))</f>
        <v/>
      </c>
      <c r="D15371">
        <f>IF(B15371="","",HOUR(A15371))</f>
        <v/>
      </c>
    </row>
    <row r="15372">
      <c r="A15372">
        <f>Input!A15372</f>
        <v/>
      </c>
      <c r="B15372">
        <f>IF(ISNUMBER(Input!B15372),IF(AND(Input!B15372&gt;=20,Input!B15372&lt;=700),Input!B15372,""),"")</f>
        <v/>
      </c>
      <c r="C15372">
        <f>IF(B15372="","",INT(A15372))</f>
        <v/>
      </c>
      <c r="D15372">
        <f>IF(B15372="","",HOUR(A15372))</f>
        <v/>
      </c>
    </row>
    <row r="15373">
      <c r="A15373">
        <f>Input!A15373</f>
        <v/>
      </c>
      <c r="B15373">
        <f>IF(ISNUMBER(Input!B15373),IF(AND(Input!B15373&gt;=20,Input!B15373&lt;=700),Input!B15373,""),"")</f>
        <v/>
      </c>
      <c r="C15373">
        <f>IF(B15373="","",INT(A15373))</f>
        <v/>
      </c>
      <c r="D15373">
        <f>IF(B15373="","",HOUR(A15373))</f>
        <v/>
      </c>
    </row>
    <row r="15374">
      <c r="A15374">
        <f>Input!A15374</f>
        <v/>
      </c>
      <c r="B15374">
        <f>IF(ISNUMBER(Input!B15374),IF(AND(Input!B15374&gt;=20,Input!B15374&lt;=700),Input!B15374,""),"")</f>
        <v/>
      </c>
      <c r="C15374">
        <f>IF(B15374="","",INT(A15374))</f>
        <v/>
      </c>
      <c r="D15374">
        <f>IF(B15374="","",HOUR(A15374))</f>
        <v/>
      </c>
    </row>
    <row r="15375">
      <c r="A15375">
        <f>Input!A15375</f>
        <v/>
      </c>
      <c r="B15375">
        <f>IF(ISNUMBER(Input!B15375),IF(AND(Input!B15375&gt;=20,Input!B15375&lt;=700),Input!B15375,""),"")</f>
        <v/>
      </c>
      <c r="C15375">
        <f>IF(B15375="","",INT(A15375))</f>
        <v/>
      </c>
      <c r="D15375">
        <f>IF(B15375="","",HOUR(A15375))</f>
        <v/>
      </c>
    </row>
    <row r="15376">
      <c r="A15376">
        <f>Input!A15376</f>
        <v/>
      </c>
      <c r="B15376">
        <f>IF(ISNUMBER(Input!B15376),IF(AND(Input!B15376&gt;=20,Input!B15376&lt;=700),Input!B15376,""),"")</f>
        <v/>
      </c>
      <c r="C15376">
        <f>IF(B15376="","",INT(A15376))</f>
        <v/>
      </c>
      <c r="D15376">
        <f>IF(B15376="","",HOUR(A15376))</f>
        <v/>
      </c>
    </row>
    <row r="15377">
      <c r="A15377">
        <f>Input!A15377</f>
        <v/>
      </c>
      <c r="B15377">
        <f>IF(ISNUMBER(Input!B15377),IF(AND(Input!B15377&gt;=20,Input!B15377&lt;=700),Input!B15377,""),"")</f>
        <v/>
      </c>
      <c r="C15377">
        <f>IF(B15377="","",INT(A15377))</f>
        <v/>
      </c>
      <c r="D15377">
        <f>IF(B15377="","",HOUR(A15377))</f>
        <v/>
      </c>
    </row>
    <row r="15378">
      <c r="A15378">
        <f>Input!A15378</f>
        <v/>
      </c>
      <c r="B15378">
        <f>IF(ISNUMBER(Input!B15378),IF(AND(Input!B15378&gt;=20,Input!B15378&lt;=700),Input!B15378,""),"")</f>
        <v/>
      </c>
      <c r="C15378">
        <f>IF(B15378="","",INT(A15378))</f>
        <v/>
      </c>
      <c r="D15378">
        <f>IF(B15378="","",HOUR(A15378))</f>
        <v/>
      </c>
    </row>
    <row r="15379">
      <c r="A15379">
        <f>Input!A15379</f>
        <v/>
      </c>
      <c r="B15379">
        <f>IF(ISNUMBER(Input!B15379),IF(AND(Input!B15379&gt;=20,Input!B15379&lt;=700),Input!B15379,""),"")</f>
        <v/>
      </c>
      <c r="C15379">
        <f>IF(B15379="","",INT(A15379))</f>
        <v/>
      </c>
      <c r="D15379">
        <f>IF(B15379="","",HOUR(A15379))</f>
        <v/>
      </c>
    </row>
    <row r="15380">
      <c r="A15380">
        <f>Input!A15380</f>
        <v/>
      </c>
      <c r="B15380">
        <f>IF(ISNUMBER(Input!B15380),IF(AND(Input!B15380&gt;=20,Input!B15380&lt;=700),Input!B15380,""),"")</f>
        <v/>
      </c>
      <c r="C15380">
        <f>IF(B15380="","",INT(A15380))</f>
        <v/>
      </c>
      <c r="D15380">
        <f>IF(B15380="","",HOUR(A15380))</f>
        <v/>
      </c>
    </row>
    <row r="15381">
      <c r="A15381">
        <f>Input!A15381</f>
        <v/>
      </c>
      <c r="B15381">
        <f>IF(ISNUMBER(Input!B15381),IF(AND(Input!B15381&gt;=20,Input!B15381&lt;=700),Input!B15381,""),"")</f>
        <v/>
      </c>
      <c r="C15381">
        <f>IF(B15381="","",INT(A15381))</f>
        <v/>
      </c>
      <c r="D15381">
        <f>IF(B15381="","",HOUR(A15381))</f>
        <v/>
      </c>
    </row>
    <row r="15382">
      <c r="A15382">
        <f>Input!A15382</f>
        <v/>
      </c>
      <c r="B15382">
        <f>IF(ISNUMBER(Input!B15382),IF(AND(Input!B15382&gt;=20,Input!B15382&lt;=700),Input!B15382,""),"")</f>
        <v/>
      </c>
      <c r="C15382">
        <f>IF(B15382="","",INT(A15382))</f>
        <v/>
      </c>
      <c r="D15382">
        <f>IF(B15382="","",HOUR(A15382))</f>
        <v/>
      </c>
    </row>
    <row r="15383">
      <c r="A15383">
        <f>Input!A15383</f>
        <v/>
      </c>
      <c r="B15383">
        <f>IF(ISNUMBER(Input!B15383),IF(AND(Input!B15383&gt;=20,Input!B15383&lt;=700),Input!B15383,""),"")</f>
        <v/>
      </c>
      <c r="C15383">
        <f>IF(B15383="","",INT(A15383))</f>
        <v/>
      </c>
      <c r="D15383">
        <f>IF(B15383="","",HOUR(A15383))</f>
        <v/>
      </c>
    </row>
    <row r="15384">
      <c r="A15384">
        <f>Input!A15384</f>
        <v/>
      </c>
      <c r="B15384">
        <f>IF(ISNUMBER(Input!B15384),IF(AND(Input!B15384&gt;=20,Input!B15384&lt;=700),Input!B15384,""),"")</f>
        <v/>
      </c>
      <c r="C15384">
        <f>IF(B15384="","",INT(A15384))</f>
        <v/>
      </c>
      <c r="D15384">
        <f>IF(B15384="","",HOUR(A15384))</f>
        <v/>
      </c>
    </row>
    <row r="15385">
      <c r="A15385">
        <f>Input!A15385</f>
        <v/>
      </c>
      <c r="B15385">
        <f>IF(ISNUMBER(Input!B15385),IF(AND(Input!B15385&gt;=20,Input!B15385&lt;=700),Input!B15385,""),"")</f>
        <v/>
      </c>
      <c r="C15385">
        <f>IF(B15385="","",INT(A15385))</f>
        <v/>
      </c>
      <c r="D15385">
        <f>IF(B15385="","",HOUR(A15385))</f>
        <v/>
      </c>
    </row>
    <row r="15386">
      <c r="A15386">
        <f>Input!A15386</f>
        <v/>
      </c>
      <c r="B15386">
        <f>IF(ISNUMBER(Input!B15386),IF(AND(Input!B15386&gt;=20,Input!B15386&lt;=700),Input!B15386,""),"")</f>
        <v/>
      </c>
      <c r="C15386">
        <f>IF(B15386="","",INT(A15386))</f>
        <v/>
      </c>
      <c r="D15386">
        <f>IF(B15386="","",HOUR(A15386))</f>
        <v/>
      </c>
    </row>
    <row r="15387">
      <c r="A15387">
        <f>Input!A15387</f>
        <v/>
      </c>
      <c r="B15387">
        <f>IF(ISNUMBER(Input!B15387),IF(AND(Input!B15387&gt;=20,Input!B15387&lt;=700),Input!B15387,""),"")</f>
        <v/>
      </c>
      <c r="C15387">
        <f>IF(B15387="","",INT(A15387))</f>
        <v/>
      </c>
      <c r="D15387">
        <f>IF(B15387="","",HOUR(A15387))</f>
        <v/>
      </c>
    </row>
    <row r="15388">
      <c r="A15388">
        <f>Input!A15388</f>
        <v/>
      </c>
      <c r="B15388">
        <f>IF(ISNUMBER(Input!B15388),IF(AND(Input!B15388&gt;=20,Input!B15388&lt;=700),Input!B15388,""),"")</f>
        <v/>
      </c>
      <c r="C15388">
        <f>IF(B15388="","",INT(A15388))</f>
        <v/>
      </c>
      <c r="D15388">
        <f>IF(B15388="","",HOUR(A15388))</f>
        <v/>
      </c>
    </row>
    <row r="15389">
      <c r="A15389">
        <f>Input!A15389</f>
        <v/>
      </c>
      <c r="B15389">
        <f>IF(ISNUMBER(Input!B15389),IF(AND(Input!B15389&gt;=20,Input!B15389&lt;=700),Input!B15389,""),"")</f>
        <v/>
      </c>
      <c r="C15389">
        <f>IF(B15389="","",INT(A15389))</f>
        <v/>
      </c>
      <c r="D15389">
        <f>IF(B15389="","",HOUR(A15389))</f>
        <v/>
      </c>
    </row>
    <row r="15390">
      <c r="A15390">
        <f>Input!A15390</f>
        <v/>
      </c>
      <c r="B15390">
        <f>IF(ISNUMBER(Input!B15390),IF(AND(Input!B15390&gt;=20,Input!B15390&lt;=700),Input!B15390,""),"")</f>
        <v/>
      </c>
      <c r="C15390">
        <f>IF(B15390="","",INT(A15390))</f>
        <v/>
      </c>
      <c r="D15390">
        <f>IF(B15390="","",HOUR(A15390))</f>
        <v/>
      </c>
    </row>
    <row r="15391">
      <c r="A15391">
        <f>Input!A15391</f>
        <v/>
      </c>
      <c r="B15391">
        <f>IF(ISNUMBER(Input!B15391),IF(AND(Input!B15391&gt;=20,Input!B15391&lt;=700),Input!B15391,""),"")</f>
        <v/>
      </c>
      <c r="C15391">
        <f>IF(B15391="","",INT(A15391))</f>
        <v/>
      </c>
      <c r="D15391">
        <f>IF(B15391="","",HOUR(A15391))</f>
        <v/>
      </c>
    </row>
    <row r="15392">
      <c r="A15392">
        <f>Input!A15392</f>
        <v/>
      </c>
      <c r="B15392">
        <f>IF(ISNUMBER(Input!B15392),IF(AND(Input!B15392&gt;=20,Input!B15392&lt;=700),Input!B15392,""),"")</f>
        <v/>
      </c>
      <c r="C15392">
        <f>IF(B15392="","",INT(A15392))</f>
        <v/>
      </c>
      <c r="D15392">
        <f>IF(B15392="","",HOUR(A15392))</f>
        <v/>
      </c>
    </row>
    <row r="15393">
      <c r="A15393">
        <f>Input!A15393</f>
        <v/>
      </c>
      <c r="B15393">
        <f>IF(ISNUMBER(Input!B15393),IF(AND(Input!B15393&gt;=20,Input!B15393&lt;=700),Input!B15393,""),"")</f>
        <v/>
      </c>
      <c r="C15393">
        <f>IF(B15393="","",INT(A15393))</f>
        <v/>
      </c>
      <c r="D15393">
        <f>IF(B15393="","",HOUR(A15393))</f>
        <v/>
      </c>
    </row>
    <row r="15394">
      <c r="A15394">
        <f>Input!A15394</f>
        <v/>
      </c>
      <c r="B15394">
        <f>IF(ISNUMBER(Input!B15394),IF(AND(Input!B15394&gt;=20,Input!B15394&lt;=700),Input!B15394,""),"")</f>
        <v/>
      </c>
      <c r="C15394">
        <f>IF(B15394="","",INT(A15394))</f>
        <v/>
      </c>
      <c r="D15394">
        <f>IF(B15394="","",HOUR(A15394))</f>
        <v/>
      </c>
    </row>
    <row r="15395">
      <c r="A15395">
        <f>Input!A15395</f>
        <v/>
      </c>
      <c r="B15395">
        <f>IF(ISNUMBER(Input!B15395),IF(AND(Input!B15395&gt;=20,Input!B15395&lt;=700),Input!B15395,""),"")</f>
        <v/>
      </c>
      <c r="C15395">
        <f>IF(B15395="","",INT(A15395))</f>
        <v/>
      </c>
      <c r="D15395">
        <f>IF(B15395="","",HOUR(A15395))</f>
        <v/>
      </c>
    </row>
    <row r="15396">
      <c r="A15396">
        <f>Input!A15396</f>
        <v/>
      </c>
      <c r="B15396">
        <f>IF(ISNUMBER(Input!B15396),IF(AND(Input!B15396&gt;=20,Input!B15396&lt;=700),Input!B15396,""),"")</f>
        <v/>
      </c>
      <c r="C15396">
        <f>IF(B15396="","",INT(A15396))</f>
        <v/>
      </c>
      <c r="D15396">
        <f>IF(B15396="","",HOUR(A15396))</f>
        <v/>
      </c>
    </row>
    <row r="15397">
      <c r="A15397">
        <f>Input!A15397</f>
        <v/>
      </c>
      <c r="B15397">
        <f>IF(ISNUMBER(Input!B15397),IF(AND(Input!B15397&gt;=20,Input!B15397&lt;=700),Input!B15397,""),"")</f>
        <v/>
      </c>
      <c r="C15397">
        <f>IF(B15397="","",INT(A15397))</f>
        <v/>
      </c>
      <c r="D15397">
        <f>IF(B15397="","",HOUR(A15397))</f>
        <v/>
      </c>
    </row>
    <row r="15398">
      <c r="A15398">
        <f>Input!A15398</f>
        <v/>
      </c>
      <c r="B15398">
        <f>IF(ISNUMBER(Input!B15398),IF(AND(Input!B15398&gt;=20,Input!B15398&lt;=700),Input!B15398,""),"")</f>
        <v/>
      </c>
      <c r="C15398">
        <f>IF(B15398="","",INT(A15398))</f>
        <v/>
      </c>
      <c r="D15398">
        <f>IF(B15398="","",HOUR(A15398))</f>
        <v/>
      </c>
    </row>
    <row r="15399">
      <c r="A15399">
        <f>Input!A15399</f>
        <v/>
      </c>
      <c r="B15399">
        <f>IF(ISNUMBER(Input!B15399),IF(AND(Input!B15399&gt;=20,Input!B15399&lt;=700),Input!B15399,""),"")</f>
        <v/>
      </c>
      <c r="C15399">
        <f>IF(B15399="","",INT(A15399))</f>
        <v/>
      </c>
      <c r="D15399">
        <f>IF(B15399="","",HOUR(A15399))</f>
        <v/>
      </c>
    </row>
    <row r="15400">
      <c r="A15400">
        <f>Input!A15400</f>
        <v/>
      </c>
      <c r="B15400">
        <f>IF(ISNUMBER(Input!B15400),IF(AND(Input!B15400&gt;=20,Input!B15400&lt;=700),Input!B15400,""),"")</f>
        <v/>
      </c>
      <c r="C15400">
        <f>IF(B15400="","",INT(A15400))</f>
        <v/>
      </c>
      <c r="D15400">
        <f>IF(B15400="","",HOUR(A15400))</f>
        <v/>
      </c>
    </row>
    <row r="15401">
      <c r="A15401">
        <f>Input!A15401</f>
        <v/>
      </c>
      <c r="B15401">
        <f>IF(ISNUMBER(Input!B15401),IF(AND(Input!B15401&gt;=20,Input!B15401&lt;=700),Input!B15401,""),"")</f>
        <v/>
      </c>
      <c r="C15401">
        <f>IF(B15401="","",INT(A15401))</f>
        <v/>
      </c>
      <c r="D15401">
        <f>IF(B15401="","",HOUR(A15401))</f>
        <v/>
      </c>
    </row>
    <row r="15402">
      <c r="A15402">
        <f>Input!A15402</f>
        <v/>
      </c>
      <c r="B15402">
        <f>IF(ISNUMBER(Input!B15402),IF(AND(Input!B15402&gt;=20,Input!B15402&lt;=700),Input!B15402,""),"")</f>
        <v/>
      </c>
      <c r="C15402">
        <f>IF(B15402="","",INT(A15402))</f>
        <v/>
      </c>
      <c r="D15402">
        <f>IF(B15402="","",HOUR(A15402))</f>
        <v/>
      </c>
    </row>
    <row r="15403">
      <c r="A15403">
        <f>Input!A15403</f>
        <v/>
      </c>
      <c r="B15403">
        <f>IF(ISNUMBER(Input!B15403),IF(AND(Input!B15403&gt;=20,Input!B15403&lt;=700),Input!B15403,""),"")</f>
        <v/>
      </c>
      <c r="C15403">
        <f>IF(B15403="","",INT(A15403))</f>
        <v/>
      </c>
      <c r="D15403">
        <f>IF(B15403="","",HOUR(A15403))</f>
        <v/>
      </c>
    </row>
    <row r="15404">
      <c r="A15404">
        <f>Input!A15404</f>
        <v/>
      </c>
      <c r="B15404">
        <f>IF(ISNUMBER(Input!B15404),IF(AND(Input!B15404&gt;=20,Input!B15404&lt;=700),Input!B15404,""),"")</f>
        <v/>
      </c>
      <c r="C15404">
        <f>IF(B15404="","",INT(A15404))</f>
        <v/>
      </c>
      <c r="D15404">
        <f>IF(B15404="","",HOUR(A15404))</f>
        <v/>
      </c>
    </row>
    <row r="15405">
      <c r="A15405">
        <f>Input!A15405</f>
        <v/>
      </c>
      <c r="B15405">
        <f>IF(ISNUMBER(Input!B15405),IF(AND(Input!B15405&gt;=20,Input!B15405&lt;=700),Input!B15405,""),"")</f>
        <v/>
      </c>
      <c r="C15405">
        <f>IF(B15405="","",INT(A15405))</f>
        <v/>
      </c>
      <c r="D15405">
        <f>IF(B15405="","",HOUR(A15405))</f>
        <v/>
      </c>
    </row>
    <row r="15406">
      <c r="A15406">
        <f>Input!A15406</f>
        <v/>
      </c>
      <c r="B15406">
        <f>IF(ISNUMBER(Input!B15406),IF(AND(Input!B15406&gt;=20,Input!B15406&lt;=700),Input!B15406,""),"")</f>
        <v/>
      </c>
      <c r="C15406">
        <f>IF(B15406="","",INT(A15406))</f>
        <v/>
      </c>
      <c r="D15406">
        <f>IF(B15406="","",HOUR(A15406))</f>
        <v/>
      </c>
    </row>
    <row r="15407">
      <c r="A15407">
        <f>Input!A15407</f>
        <v/>
      </c>
      <c r="B15407">
        <f>IF(ISNUMBER(Input!B15407),IF(AND(Input!B15407&gt;=20,Input!B15407&lt;=700),Input!B15407,""),"")</f>
        <v/>
      </c>
      <c r="C15407">
        <f>IF(B15407="","",INT(A15407))</f>
        <v/>
      </c>
      <c r="D15407">
        <f>IF(B15407="","",HOUR(A15407))</f>
        <v/>
      </c>
    </row>
    <row r="15408">
      <c r="A15408">
        <f>Input!A15408</f>
        <v/>
      </c>
      <c r="B15408">
        <f>IF(ISNUMBER(Input!B15408),IF(AND(Input!B15408&gt;=20,Input!B15408&lt;=700),Input!B15408,""),"")</f>
        <v/>
      </c>
      <c r="C15408">
        <f>IF(B15408="","",INT(A15408))</f>
        <v/>
      </c>
      <c r="D15408">
        <f>IF(B15408="","",HOUR(A15408))</f>
        <v/>
      </c>
    </row>
    <row r="15409">
      <c r="A15409">
        <f>Input!A15409</f>
        <v/>
      </c>
      <c r="B15409">
        <f>IF(ISNUMBER(Input!B15409),IF(AND(Input!B15409&gt;=20,Input!B15409&lt;=700),Input!B15409,""),"")</f>
        <v/>
      </c>
      <c r="C15409">
        <f>IF(B15409="","",INT(A15409))</f>
        <v/>
      </c>
      <c r="D15409">
        <f>IF(B15409="","",HOUR(A15409))</f>
        <v/>
      </c>
    </row>
    <row r="15410">
      <c r="A15410">
        <f>Input!A15410</f>
        <v/>
      </c>
      <c r="B15410">
        <f>IF(ISNUMBER(Input!B15410),IF(AND(Input!B15410&gt;=20,Input!B15410&lt;=700),Input!B15410,""),"")</f>
        <v/>
      </c>
      <c r="C15410">
        <f>IF(B15410="","",INT(A15410))</f>
        <v/>
      </c>
      <c r="D15410">
        <f>IF(B15410="","",HOUR(A15410))</f>
        <v/>
      </c>
    </row>
    <row r="15411">
      <c r="A15411">
        <f>Input!A15411</f>
        <v/>
      </c>
      <c r="B15411">
        <f>IF(ISNUMBER(Input!B15411),IF(AND(Input!B15411&gt;=20,Input!B15411&lt;=700),Input!B15411,""),"")</f>
        <v/>
      </c>
      <c r="C15411">
        <f>IF(B15411="","",INT(A15411))</f>
        <v/>
      </c>
      <c r="D15411">
        <f>IF(B15411="","",HOUR(A15411))</f>
        <v/>
      </c>
    </row>
    <row r="15412">
      <c r="A15412">
        <f>Input!A15412</f>
        <v/>
      </c>
      <c r="B15412">
        <f>IF(ISNUMBER(Input!B15412),IF(AND(Input!B15412&gt;=20,Input!B15412&lt;=700),Input!B15412,""),"")</f>
        <v/>
      </c>
      <c r="C15412">
        <f>IF(B15412="","",INT(A15412))</f>
        <v/>
      </c>
      <c r="D15412">
        <f>IF(B15412="","",HOUR(A15412))</f>
        <v/>
      </c>
    </row>
    <row r="15413">
      <c r="A15413">
        <f>Input!A15413</f>
        <v/>
      </c>
      <c r="B15413">
        <f>IF(ISNUMBER(Input!B15413),IF(AND(Input!B15413&gt;=20,Input!B15413&lt;=700),Input!B15413,""),"")</f>
        <v/>
      </c>
      <c r="C15413">
        <f>IF(B15413="","",INT(A15413))</f>
        <v/>
      </c>
      <c r="D15413">
        <f>IF(B15413="","",HOUR(A15413))</f>
        <v/>
      </c>
    </row>
    <row r="15414">
      <c r="A15414">
        <f>Input!A15414</f>
        <v/>
      </c>
      <c r="B15414">
        <f>IF(ISNUMBER(Input!B15414),IF(AND(Input!B15414&gt;=20,Input!B15414&lt;=700),Input!B15414,""),"")</f>
        <v/>
      </c>
      <c r="C15414">
        <f>IF(B15414="","",INT(A15414))</f>
        <v/>
      </c>
      <c r="D15414">
        <f>IF(B15414="","",HOUR(A15414))</f>
        <v/>
      </c>
    </row>
    <row r="15415">
      <c r="A15415">
        <f>Input!A15415</f>
        <v/>
      </c>
      <c r="B15415">
        <f>IF(ISNUMBER(Input!B15415),IF(AND(Input!B15415&gt;=20,Input!B15415&lt;=700),Input!B15415,""),"")</f>
        <v/>
      </c>
      <c r="C15415">
        <f>IF(B15415="","",INT(A15415))</f>
        <v/>
      </c>
      <c r="D15415">
        <f>IF(B15415="","",HOUR(A15415))</f>
        <v/>
      </c>
    </row>
    <row r="15416">
      <c r="A15416">
        <f>Input!A15416</f>
        <v/>
      </c>
      <c r="B15416">
        <f>IF(ISNUMBER(Input!B15416),IF(AND(Input!B15416&gt;=20,Input!B15416&lt;=700),Input!B15416,""),"")</f>
        <v/>
      </c>
      <c r="C15416">
        <f>IF(B15416="","",INT(A15416))</f>
        <v/>
      </c>
      <c r="D15416">
        <f>IF(B15416="","",HOUR(A15416))</f>
        <v/>
      </c>
    </row>
    <row r="15417">
      <c r="A15417">
        <f>Input!A15417</f>
        <v/>
      </c>
      <c r="B15417">
        <f>IF(ISNUMBER(Input!B15417),IF(AND(Input!B15417&gt;=20,Input!B15417&lt;=700),Input!B15417,""),"")</f>
        <v/>
      </c>
      <c r="C15417">
        <f>IF(B15417="","",INT(A15417))</f>
        <v/>
      </c>
      <c r="D15417">
        <f>IF(B15417="","",HOUR(A15417))</f>
        <v/>
      </c>
    </row>
    <row r="15418">
      <c r="A15418">
        <f>Input!A15418</f>
        <v/>
      </c>
      <c r="B15418">
        <f>IF(ISNUMBER(Input!B15418),IF(AND(Input!B15418&gt;=20,Input!B15418&lt;=700),Input!B15418,""),"")</f>
        <v/>
      </c>
      <c r="C15418">
        <f>IF(B15418="","",INT(A15418))</f>
        <v/>
      </c>
      <c r="D15418">
        <f>IF(B15418="","",HOUR(A15418))</f>
        <v/>
      </c>
    </row>
    <row r="15419">
      <c r="A15419">
        <f>Input!A15419</f>
        <v/>
      </c>
      <c r="B15419">
        <f>IF(ISNUMBER(Input!B15419),IF(AND(Input!B15419&gt;=20,Input!B15419&lt;=700),Input!B15419,""),"")</f>
        <v/>
      </c>
      <c r="C15419">
        <f>IF(B15419="","",INT(A15419))</f>
        <v/>
      </c>
      <c r="D15419">
        <f>IF(B15419="","",HOUR(A15419))</f>
        <v/>
      </c>
    </row>
    <row r="15420">
      <c r="A15420">
        <f>Input!A15420</f>
        <v/>
      </c>
      <c r="B15420">
        <f>IF(ISNUMBER(Input!B15420),IF(AND(Input!B15420&gt;=20,Input!B15420&lt;=700),Input!B15420,""),"")</f>
        <v/>
      </c>
      <c r="C15420">
        <f>IF(B15420="","",INT(A15420))</f>
        <v/>
      </c>
      <c r="D15420">
        <f>IF(B15420="","",HOUR(A15420))</f>
        <v/>
      </c>
    </row>
    <row r="15421">
      <c r="A15421">
        <f>Input!A15421</f>
        <v/>
      </c>
      <c r="B15421">
        <f>IF(ISNUMBER(Input!B15421),IF(AND(Input!B15421&gt;=20,Input!B15421&lt;=700),Input!B15421,""),"")</f>
        <v/>
      </c>
      <c r="C15421">
        <f>IF(B15421="","",INT(A15421))</f>
        <v/>
      </c>
      <c r="D15421">
        <f>IF(B15421="","",HOUR(A15421))</f>
        <v/>
      </c>
    </row>
    <row r="15422">
      <c r="A15422">
        <f>Input!A15422</f>
        <v/>
      </c>
      <c r="B15422">
        <f>IF(ISNUMBER(Input!B15422),IF(AND(Input!B15422&gt;=20,Input!B15422&lt;=700),Input!B15422,""),"")</f>
        <v/>
      </c>
      <c r="C15422">
        <f>IF(B15422="","",INT(A15422))</f>
        <v/>
      </c>
      <c r="D15422">
        <f>IF(B15422="","",HOUR(A15422))</f>
        <v/>
      </c>
    </row>
    <row r="15423">
      <c r="A15423">
        <f>Input!A15423</f>
        <v/>
      </c>
      <c r="B15423">
        <f>IF(ISNUMBER(Input!B15423),IF(AND(Input!B15423&gt;=20,Input!B15423&lt;=700),Input!B15423,""),"")</f>
        <v/>
      </c>
      <c r="C15423">
        <f>IF(B15423="","",INT(A15423))</f>
        <v/>
      </c>
      <c r="D15423">
        <f>IF(B15423="","",HOUR(A15423))</f>
        <v/>
      </c>
    </row>
    <row r="15424">
      <c r="A15424">
        <f>Input!A15424</f>
        <v/>
      </c>
      <c r="B15424">
        <f>IF(ISNUMBER(Input!B15424),IF(AND(Input!B15424&gt;=20,Input!B15424&lt;=700),Input!B15424,""),"")</f>
        <v/>
      </c>
      <c r="C15424">
        <f>IF(B15424="","",INT(A15424))</f>
        <v/>
      </c>
      <c r="D15424">
        <f>IF(B15424="","",HOUR(A15424))</f>
        <v/>
      </c>
    </row>
    <row r="15425">
      <c r="A15425">
        <f>Input!A15425</f>
        <v/>
      </c>
      <c r="B15425">
        <f>IF(ISNUMBER(Input!B15425),IF(AND(Input!B15425&gt;=20,Input!B15425&lt;=700),Input!B15425,""),"")</f>
        <v/>
      </c>
      <c r="C15425">
        <f>IF(B15425="","",INT(A15425))</f>
        <v/>
      </c>
      <c r="D15425">
        <f>IF(B15425="","",HOUR(A15425))</f>
        <v/>
      </c>
    </row>
    <row r="15426">
      <c r="A15426">
        <f>Input!A15426</f>
        <v/>
      </c>
      <c r="B15426">
        <f>IF(ISNUMBER(Input!B15426),IF(AND(Input!B15426&gt;=20,Input!B15426&lt;=700),Input!B15426,""),"")</f>
        <v/>
      </c>
      <c r="C15426">
        <f>IF(B15426="","",INT(A15426))</f>
        <v/>
      </c>
      <c r="D15426">
        <f>IF(B15426="","",HOUR(A15426))</f>
        <v/>
      </c>
    </row>
    <row r="15427">
      <c r="A15427">
        <f>Input!A15427</f>
        <v/>
      </c>
      <c r="B15427">
        <f>IF(ISNUMBER(Input!B15427),IF(AND(Input!B15427&gt;=20,Input!B15427&lt;=700),Input!B15427,""),"")</f>
        <v/>
      </c>
      <c r="C15427">
        <f>IF(B15427="","",INT(A15427))</f>
        <v/>
      </c>
      <c r="D15427">
        <f>IF(B15427="","",HOUR(A15427))</f>
        <v/>
      </c>
    </row>
    <row r="15428">
      <c r="A15428">
        <f>Input!A15428</f>
        <v/>
      </c>
      <c r="B15428">
        <f>IF(ISNUMBER(Input!B15428),IF(AND(Input!B15428&gt;=20,Input!B15428&lt;=700),Input!B15428,""),"")</f>
        <v/>
      </c>
      <c r="C15428">
        <f>IF(B15428="","",INT(A15428))</f>
        <v/>
      </c>
      <c r="D15428">
        <f>IF(B15428="","",HOUR(A15428))</f>
        <v/>
      </c>
    </row>
    <row r="15429">
      <c r="A15429">
        <f>Input!A15429</f>
        <v/>
      </c>
      <c r="B15429">
        <f>IF(ISNUMBER(Input!B15429),IF(AND(Input!B15429&gt;=20,Input!B15429&lt;=700),Input!B15429,""),"")</f>
        <v/>
      </c>
      <c r="C15429">
        <f>IF(B15429="","",INT(A15429))</f>
        <v/>
      </c>
      <c r="D15429">
        <f>IF(B15429="","",HOUR(A15429))</f>
        <v/>
      </c>
    </row>
    <row r="15430">
      <c r="A15430">
        <f>Input!A15430</f>
        <v/>
      </c>
      <c r="B15430">
        <f>IF(ISNUMBER(Input!B15430),IF(AND(Input!B15430&gt;=20,Input!B15430&lt;=700),Input!B15430,""),"")</f>
        <v/>
      </c>
      <c r="C15430">
        <f>IF(B15430="","",INT(A15430))</f>
        <v/>
      </c>
      <c r="D15430">
        <f>IF(B15430="","",HOUR(A15430))</f>
        <v/>
      </c>
    </row>
    <row r="15431">
      <c r="A15431">
        <f>Input!A15431</f>
        <v/>
      </c>
      <c r="B15431">
        <f>IF(ISNUMBER(Input!B15431),IF(AND(Input!B15431&gt;=20,Input!B15431&lt;=700),Input!B15431,""),"")</f>
        <v/>
      </c>
      <c r="C15431">
        <f>IF(B15431="","",INT(A15431))</f>
        <v/>
      </c>
      <c r="D15431">
        <f>IF(B15431="","",HOUR(A15431))</f>
        <v/>
      </c>
    </row>
    <row r="15432">
      <c r="A15432">
        <f>Input!A15432</f>
        <v/>
      </c>
      <c r="B15432">
        <f>IF(ISNUMBER(Input!B15432),IF(AND(Input!B15432&gt;=20,Input!B15432&lt;=700),Input!B15432,""),"")</f>
        <v/>
      </c>
      <c r="C15432">
        <f>IF(B15432="","",INT(A15432))</f>
        <v/>
      </c>
      <c r="D15432">
        <f>IF(B15432="","",HOUR(A15432))</f>
        <v/>
      </c>
    </row>
    <row r="15433">
      <c r="A15433">
        <f>Input!A15433</f>
        <v/>
      </c>
      <c r="B15433">
        <f>IF(ISNUMBER(Input!B15433),IF(AND(Input!B15433&gt;=20,Input!B15433&lt;=700),Input!B15433,""),"")</f>
        <v/>
      </c>
      <c r="C15433">
        <f>IF(B15433="","",INT(A15433))</f>
        <v/>
      </c>
      <c r="D15433">
        <f>IF(B15433="","",HOUR(A15433))</f>
        <v/>
      </c>
    </row>
    <row r="15434">
      <c r="A15434">
        <f>Input!A15434</f>
        <v/>
      </c>
      <c r="B15434">
        <f>IF(ISNUMBER(Input!B15434),IF(AND(Input!B15434&gt;=20,Input!B15434&lt;=700),Input!B15434,""),"")</f>
        <v/>
      </c>
      <c r="C15434">
        <f>IF(B15434="","",INT(A15434))</f>
        <v/>
      </c>
      <c r="D15434">
        <f>IF(B15434="","",HOUR(A15434))</f>
        <v/>
      </c>
    </row>
    <row r="15435">
      <c r="A15435">
        <f>Input!A15435</f>
        <v/>
      </c>
      <c r="B15435">
        <f>IF(ISNUMBER(Input!B15435),IF(AND(Input!B15435&gt;=20,Input!B15435&lt;=700),Input!B15435,""),"")</f>
        <v/>
      </c>
      <c r="C15435">
        <f>IF(B15435="","",INT(A15435))</f>
        <v/>
      </c>
      <c r="D15435">
        <f>IF(B15435="","",HOUR(A15435))</f>
        <v/>
      </c>
    </row>
    <row r="15436">
      <c r="A15436">
        <f>Input!A15436</f>
        <v/>
      </c>
      <c r="B15436">
        <f>IF(ISNUMBER(Input!B15436),IF(AND(Input!B15436&gt;=20,Input!B15436&lt;=700),Input!B15436,""),"")</f>
        <v/>
      </c>
      <c r="C15436">
        <f>IF(B15436="","",INT(A15436))</f>
        <v/>
      </c>
      <c r="D15436">
        <f>IF(B15436="","",HOUR(A15436))</f>
        <v/>
      </c>
    </row>
    <row r="15437">
      <c r="A15437">
        <f>Input!A15437</f>
        <v/>
      </c>
      <c r="B15437">
        <f>IF(ISNUMBER(Input!B15437),IF(AND(Input!B15437&gt;=20,Input!B15437&lt;=700),Input!B15437,""),"")</f>
        <v/>
      </c>
      <c r="C15437">
        <f>IF(B15437="","",INT(A15437))</f>
        <v/>
      </c>
      <c r="D15437">
        <f>IF(B15437="","",HOUR(A15437))</f>
        <v/>
      </c>
    </row>
    <row r="15438">
      <c r="A15438">
        <f>Input!A15438</f>
        <v/>
      </c>
      <c r="B15438">
        <f>IF(ISNUMBER(Input!B15438),IF(AND(Input!B15438&gt;=20,Input!B15438&lt;=700),Input!B15438,""),"")</f>
        <v/>
      </c>
      <c r="C15438">
        <f>IF(B15438="","",INT(A15438))</f>
        <v/>
      </c>
      <c r="D15438">
        <f>IF(B15438="","",HOUR(A15438))</f>
        <v/>
      </c>
    </row>
    <row r="15439">
      <c r="A15439">
        <f>Input!A15439</f>
        <v/>
      </c>
      <c r="B15439">
        <f>IF(ISNUMBER(Input!B15439),IF(AND(Input!B15439&gt;=20,Input!B15439&lt;=700),Input!B15439,""),"")</f>
        <v/>
      </c>
      <c r="C15439">
        <f>IF(B15439="","",INT(A15439))</f>
        <v/>
      </c>
      <c r="D15439">
        <f>IF(B15439="","",HOUR(A15439))</f>
        <v/>
      </c>
    </row>
    <row r="15440">
      <c r="A15440">
        <f>Input!A15440</f>
        <v/>
      </c>
      <c r="B15440">
        <f>IF(ISNUMBER(Input!B15440),IF(AND(Input!B15440&gt;=20,Input!B15440&lt;=700),Input!B15440,""),"")</f>
        <v/>
      </c>
      <c r="C15440">
        <f>IF(B15440="","",INT(A15440))</f>
        <v/>
      </c>
      <c r="D15440">
        <f>IF(B15440="","",HOUR(A15440))</f>
        <v/>
      </c>
    </row>
    <row r="15441">
      <c r="A15441">
        <f>Input!A15441</f>
        <v/>
      </c>
      <c r="B15441">
        <f>IF(ISNUMBER(Input!B15441),IF(AND(Input!B15441&gt;=20,Input!B15441&lt;=700),Input!B15441,""),"")</f>
        <v/>
      </c>
      <c r="C15441">
        <f>IF(B15441="","",INT(A15441))</f>
        <v/>
      </c>
      <c r="D15441">
        <f>IF(B15441="","",HOUR(A15441))</f>
        <v/>
      </c>
    </row>
    <row r="15442">
      <c r="A15442">
        <f>Input!A15442</f>
        <v/>
      </c>
      <c r="B15442">
        <f>IF(ISNUMBER(Input!B15442),IF(AND(Input!B15442&gt;=20,Input!B15442&lt;=700),Input!B15442,""),"")</f>
        <v/>
      </c>
      <c r="C15442">
        <f>IF(B15442="","",INT(A15442))</f>
        <v/>
      </c>
      <c r="D15442">
        <f>IF(B15442="","",HOUR(A15442))</f>
        <v/>
      </c>
    </row>
    <row r="15443">
      <c r="A15443">
        <f>Input!A15443</f>
        <v/>
      </c>
      <c r="B15443">
        <f>IF(ISNUMBER(Input!B15443),IF(AND(Input!B15443&gt;=20,Input!B15443&lt;=700),Input!B15443,""),"")</f>
        <v/>
      </c>
      <c r="C15443">
        <f>IF(B15443="","",INT(A15443))</f>
        <v/>
      </c>
      <c r="D15443">
        <f>IF(B15443="","",HOUR(A15443))</f>
        <v/>
      </c>
    </row>
    <row r="15444">
      <c r="A15444">
        <f>Input!A15444</f>
        <v/>
      </c>
      <c r="B15444">
        <f>IF(ISNUMBER(Input!B15444),IF(AND(Input!B15444&gt;=20,Input!B15444&lt;=700),Input!B15444,""),"")</f>
        <v/>
      </c>
      <c r="C15444">
        <f>IF(B15444="","",INT(A15444))</f>
        <v/>
      </c>
      <c r="D15444">
        <f>IF(B15444="","",HOUR(A15444))</f>
        <v/>
      </c>
    </row>
    <row r="15445">
      <c r="A15445">
        <f>Input!A15445</f>
        <v/>
      </c>
      <c r="B15445">
        <f>IF(ISNUMBER(Input!B15445),IF(AND(Input!B15445&gt;=20,Input!B15445&lt;=700),Input!B15445,""),"")</f>
        <v/>
      </c>
      <c r="C15445">
        <f>IF(B15445="","",INT(A15445))</f>
        <v/>
      </c>
      <c r="D15445">
        <f>IF(B15445="","",HOUR(A15445))</f>
        <v/>
      </c>
    </row>
    <row r="15446">
      <c r="A15446">
        <f>Input!A15446</f>
        <v/>
      </c>
      <c r="B15446">
        <f>IF(ISNUMBER(Input!B15446),IF(AND(Input!B15446&gt;=20,Input!B15446&lt;=700),Input!B15446,""),"")</f>
        <v/>
      </c>
      <c r="C15446">
        <f>IF(B15446="","",INT(A15446))</f>
        <v/>
      </c>
      <c r="D15446">
        <f>IF(B15446="","",HOUR(A15446))</f>
        <v/>
      </c>
    </row>
    <row r="15447">
      <c r="A15447">
        <f>Input!A15447</f>
        <v/>
      </c>
      <c r="B15447">
        <f>IF(ISNUMBER(Input!B15447),IF(AND(Input!B15447&gt;=20,Input!B15447&lt;=700),Input!B15447,""),"")</f>
        <v/>
      </c>
      <c r="C15447">
        <f>IF(B15447="","",INT(A15447))</f>
        <v/>
      </c>
      <c r="D15447">
        <f>IF(B15447="","",HOUR(A15447))</f>
        <v/>
      </c>
    </row>
    <row r="15448">
      <c r="A15448">
        <f>Input!A15448</f>
        <v/>
      </c>
      <c r="B15448">
        <f>IF(ISNUMBER(Input!B15448),IF(AND(Input!B15448&gt;=20,Input!B15448&lt;=700),Input!B15448,""),"")</f>
        <v/>
      </c>
      <c r="C15448">
        <f>IF(B15448="","",INT(A15448))</f>
        <v/>
      </c>
      <c r="D15448">
        <f>IF(B15448="","",HOUR(A15448))</f>
        <v/>
      </c>
    </row>
    <row r="15449">
      <c r="A15449">
        <f>Input!A15449</f>
        <v/>
      </c>
      <c r="B15449">
        <f>IF(ISNUMBER(Input!B15449),IF(AND(Input!B15449&gt;=20,Input!B15449&lt;=700),Input!B15449,""),"")</f>
        <v/>
      </c>
      <c r="C15449">
        <f>IF(B15449="","",INT(A15449))</f>
        <v/>
      </c>
      <c r="D15449">
        <f>IF(B15449="","",HOUR(A15449))</f>
        <v/>
      </c>
    </row>
    <row r="15450">
      <c r="A15450">
        <f>Input!A15450</f>
        <v/>
      </c>
      <c r="B15450">
        <f>IF(ISNUMBER(Input!B15450),IF(AND(Input!B15450&gt;=20,Input!B15450&lt;=700),Input!B15450,""),"")</f>
        <v/>
      </c>
      <c r="C15450">
        <f>IF(B15450="","",INT(A15450))</f>
        <v/>
      </c>
      <c r="D15450">
        <f>IF(B15450="","",HOUR(A15450))</f>
        <v/>
      </c>
    </row>
    <row r="15451">
      <c r="A15451">
        <f>Input!A15451</f>
        <v/>
      </c>
      <c r="B15451">
        <f>IF(ISNUMBER(Input!B15451),IF(AND(Input!B15451&gt;=20,Input!B15451&lt;=700),Input!B15451,""),"")</f>
        <v/>
      </c>
      <c r="C15451">
        <f>IF(B15451="","",INT(A15451))</f>
        <v/>
      </c>
      <c r="D15451">
        <f>IF(B15451="","",HOUR(A15451))</f>
        <v/>
      </c>
    </row>
    <row r="15452">
      <c r="A15452">
        <f>Input!A15452</f>
        <v/>
      </c>
      <c r="B15452">
        <f>IF(ISNUMBER(Input!B15452),IF(AND(Input!B15452&gt;=20,Input!B15452&lt;=700),Input!B15452,""),"")</f>
        <v/>
      </c>
      <c r="C15452">
        <f>IF(B15452="","",INT(A15452))</f>
        <v/>
      </c>
      <c r="D15452">
        <f>IF(B15452="","",HOUR(A15452))</f>
        <v/>
      </c>
    </row>
    <row r="15453">
      <c r="A15453">
        <f>Input!A15453</f>
        <v/>
      </c>
      <c r="B15453">
        <f>IF(ISNUMBER(Input!B15453),IF(AND(Input!B15453&gt;=20,Input!B15453&lt;=700),Input!B15453,""),"")</f>
        <v/>
      </c>
      <c r="C15453">
        <f>IF(B15453="","",INT(A15453))</f>
        <v/>
      </c>
      <c r="D15453">
        <f>IF(B15453="","",HOUR(A15453))</f>
        <v/>
      </c>
    </row>
    <row r="15454">
      <c r="A15454">
        <f>Input!A15454</f>
        <v/>
      </c>
      <c r="B15454">
        <f>IF(ISNUMBER(Input!B15454),IF(AND(Input!B15454&gt;=20,Input!B15454&lt;=700),Input!B15454,""),"")</f>
        <v/>
      </c>
      <c r="C15454">
        <f>IF(B15454="","",INT(A15454))</f>
        <v/>
      </c>
      <c r="D15454">
        <f>IF(B15454="","",HOUR(A15454))</f>
        <v/>
      </c>
    </row>
    <row r="15455">
      <c r="A15455">
        <f>Input!A15455</f>
        <v/>
      </c>
      <c r="B15455">
        <f>IF(ISNUMBER(Input!B15455),IF(AND(Input!B15455&gt;=20,Input!B15455&lt;=700),Input!B15455,""),"")</f>
        <v/>
      </c>
      <c r="C15455">
        <f>IF(B15455="","",INT(A15455))</f>
        <v/>
      </c>
      <c r="D15455">
        <f>IF(B15455="","",HOUR(A15455))</f>
        <v/>
      </c>
    </row>
    <row r="15456">
      <c r="A15456">
        <f>Input!A15456</f>
        <v/>
      </c>
      <c r="B15456">
        <f>IF(ISNUMBER(Input!B15456),IF(AND(Input!B15456&gt;=20,Input!B15456&lt;=700),Input!B15456,""),"")</f>
        <v/>
      </c>
      <c r="C15456">
        <f>IF(B15456="","",INT(A15456))</f>
        <v/>
      </c>
      <c r="D15456">
        <f>IF(B15456="","",HOUR(A15456))</f>
        <v/>
      </c>
    </row>
    <row r="15457">
      <c r="A15457">
        <f>Input!A15457</f>
        <v/>
      </c>
      <c r="B15457">
        <f>IF(ISNUMBER(Input!B15457),IF(AND(Input!B15457&gt;=20,Input!B15457&lt;=700),Input!B15457,""),"")</f>
        <v/>
      </c>
      <c r="C15457">
        <f>IF(B15457="","",INT(A15457))</f>
        <v/>
      </c>
      <c r="D15457">
        <f>IF(B15457="","",HOUR(A15457))</f>
        <v/>
      </c>
    </row>
    <row r="15458">
      <c r="A15458">
        <f>Input!A15458</f>
        <v/>
      </c>
      <c r="B15458">
        <f>IF(ISNUMBER(Input!B15458),IF(AND(Input!B15458&gt;=20,Input!B15458&lt;=700),Input!B15458,""),"")</f>
        <v/>
      </c>
      <c r="C15458">
        <f>IF(B15458="","",INT(A15458))</f>
        <v/>
      </c>
      <c r="D15458">
        <f>IF(B15458="","",HOUR(A15458))</f>
        <v/>
      </c>
    </row>
    <row r="15459">
      <c r="A15459">
        <f>Input!A15459</f>
        <v/>
      </c>
      <c r="B15459">
        <f>IF(ISNUMBER(Input!B15459),IF(AND(Input!B15459&gt;=20,Input!B15459&lt;=700),Input!B15459,""),"")</f>
        <v/>
      </c>
      <c r="C15459">
        <f>IF(B15459="","",INT(A15459))</f>
        <v/>
      </c>
      <c r="D15459">
        <f>IF(B15459="","",HOUR(A15459))</f>
        <v/>
      </c>
    </row>
    <row r="15460">
      <c r="A15460">
        <f>Input!A15460</f>
        <v/>
      </c>
      <c r="B15460">
        <f>IF(ISNUMBER(Input!B15460),IF(AND(Input!B15460&gt;=20,Input!B15460&lt;=700),Input!B15460,""),"")</f>
        <v/>
      </c>
      <c r="C15460">
        <f>IF(B15460="","",INT(A15460))</f>
        <v/>
      </c>
      <c r="D15460">
        <f>IF(B15460="","",HOUR(A15460))</f>
        <v/>
      </c>
    </row>
    <row r="15461">
      <c r="A15461">
        <f>Input!A15461</f>
        <v/>
      </c>
      <c r="B15461">
        <f>IF(ISNUMBER(Input!B15461),IF(AND(Input!B15461&gt;=20,Input!B15461&lt;=700),Input!B15461,""),"")</f>
        <v/>
      </c>
      <c r="C15461">
        <f>IF(B15461="","",INT(A15461))</f>
        <v/>
      </c>
      <c r="D15461">
        <f>IF(B15461="","",HOUR(A15461))</f>
        <v/>
      </c>
    </row>
    <row r="15462">
      <c r="A15462">
        <f>Input!A15462</f>
        <v/>
      </c>
      <c r="B15462">
        <f>IF(ISNUMBER(Input!B15462),IF(AND(Input!B15462&gt;=20,Input!B15462&lt;=700),Input!B15462,""),"")</f>
        <v/>
      </c>
      <c r="C15462">
        <f>IF(B15462="","",INT(A15462))</f>
        <v/>
      </c>
      <c r="D15462">
        <f>IF(B15462="","",HOUR(A15462))</f>
        <v/>
      </c>
    </row>
    <row r="15463">
      <c r="A15463">
        <f>Input!A15463</f>
        <v/>
      </c>
      <c r="B15463">
        <f>IF(ISNUMBER(Input!B15463),IF(AND(Input!B15463&gt;=20,Input!B15463&lt;=700),Input!B15463,""),"")</f>
        <v/>
      </c>
      <c r="C15463">
        <f>IF(B15463="","",INT(A15463))</f>
        <v/>
      </c>
      <c r="D15463">
        <f>IF(B15463="","",HOUR(A15463))</f>
        <v/>
      </c>
    </row>
    <row r="15464">
      <c r="A15464">
        <f>Input!A15464</f>
        <v/>
      </c>
      <c r="B15464">
        <f>IF(ISNUMBER(Input!B15464),IF(AND(Input!B15464&gt;=20,Input!B15464&lt;=700),Input!B15464,""),"")</f>
        <v/>
      </c>
      <c r="C15464">
        <f>IF(B15464="","",INT(A15464))</f>
        <v/>
      </c>
      <c r="D15464">
        <f>IF(B15464="","",HOUR(A15464))</f>
        <v/>
      </c>
    </row>
    <row r="15465">
      <c r="A15465">
        <f>Input!A15465</f>
        <v/>
      </c>
      <c r="B15465">
        <f>IF(ISNUMBER(Input!B15465),IF(AND(Input!B15465&gt;=20,Input!B15465&lt;=700),Input!B15465,""),"")</f>
        <v/>
      </c>
      <c r="C15465">
        <f>IF(B15465="","",INT(A15465))</f>
        <v/>
      </c>
      <c r="D15465">
        <f>IF(B15465="","",HOUR(A15465))</f>
        <v/>
      </c>
    </row>
    <row r="15466">
      <c r="A15466">
        <f>Input!A15466</f>
        <v/>
      </c>
      <c r="B15466">
        <f>IF(ISNUMBER(Input!B15466),IF(AND(Input!B15466&gt;=20,Input!B15466&lt;=700),Input!B15466,""),"")</f>
        <v/>
      </c>
      <c r="C15466">
        <f>IF(B15466="","",INT(A15466))</f>
        <v/>
      </c>
      <c r="D15466">
        <f>IF(B15466="","",HOUR(A15466))</f>
        <v/>
      </c>
    </row>
    <row r="15467">
      <c r="A15467">
        <f>Input!A15467</f>
        <v/>
      </c>
      <c r="B15467">
        <f>IF(ISNUMBER(Input!B15467),IF(AND(Input!B15467&gt;=20,Input!B15467&lt;=700),Input!B15467,""),"")</f>
        <v/>
      </c>
      <c r="C15467">
        <f>IF(B15467="","",INT(A15467))</f>
        <v/>
      </c>
      <c r="D15467">
        <f>IF(B15467="","",HOUR(A15467))</f>
        <v/>
      </c>
    </row>
    <row r="15468">
      <c r="A15468">
        <f>Input!A15468</f>
        <v/>
      </c>
      <c r="B15468">
        <f>IF(ISNUMBER(Input!B15468),IF(AND(Input!B15468&gt;=20,Input!B15468&lt;=700),Input!B15468,""),"")</f>
        <v/>
      </c>
      <c r="C15468">
        <f>IF(B15468="","",INT(A15468))</f>
        <v/>
      </c>
      <c r="D15468">
        <f>IF(B15468="","",HOUR(A15468))</f>
        <v/>
      </c>
    </row>
    <row r="15469">
      <c r="A15469">
        <f>Input!A15469</f>
        <v/>
      </c>
      <c r="B15469">
        <f>IF(ISNUMBER(Input!B15469),IF(AND(Input!B15469&gt;=20,Input!B15469&lt;=700),Input!B15469,""),"")</f>
        <v/>
      </c>
      <c r="C15469">
        <f>IF(B15469="","",INT(A15469))</f>
        <v/>
      </c>
      <c r="D15469">
        <f>IF(B15469="","",HOUR(A15469))</f>
        <v/>
      </c>
    </row>
    <row r="15470">
      <c r="A15470">
        <f>Input!A15470</f>
        <v/>
      </c>
      <c r="B15470">
        <f>IF(ISNUMBER(Input!B15470),IF(AND(Input!B15470&gt;=20,Input!B15470&lt;=700),Input!B15470,""),"")</f>
        <v/>
      </c>
      <c r="C15470">
        <f>IF(B15470="","",INT(A15470))</f>
        <v/>
      </c>
      <c r="D15470">
        <f>IF(B15470="","",HOUR(A15470))</f>
        <v/>
      </c>
    </row>
    <row r="15471">
      <c r="A15471">
        <f>Input!A15471</f>
        <v/>
      </c>
      <c r="B15471">
        <f>IF(ISNUMBER(Input!B15471),IF(AND(Input!B15471&gt;=20,Input!B15471&lt;=700),Input!B15471,""),"")</f>
        <v/>
      </c>
      <c r="C15471">
        <f>IF(B15471="","",INT(A15471))</f>
        <v/>
      </c>
      <c r="D15471">
        <f>IF(B15471="","",HOUR(A15471))</f>
        <v/>
      </c>
    </row>
    <row r="15472">
      <c r="A15472">
        <f>Input!A15472</f>
        <v/>
      </c>
      <c r="B15472">
        <f>IF(ISNUMBER(Input!B15472),IF(AND(Input!B15472&gt;=20,Input!B15472&lt;=700),Input!B15472,""),"")</f>
        <v/>
      </c>
      <c r="C15472">
        <f>IF(B15472="","",INT(A15472))</f>
        <v/>
      </c>
      <c r="D15472">
        <f>IF(B15472="","",HOUR(A15472))</f>
        <v/>
      </c>
    </row>
    <row r="15473">
      <c r="A15473">
        <f>Input!A15473</f>
        <v/>
      </c>
      <c r="B15473">
        <f>IF(ISNUMBER(Input!B15473),IF(AND(Input!B15473&gt;=20,Input!B15473&lt;=700),Input!B15473,""),"")</f>
        <v/>
      </c>
      <c r="C15473">
        <f>IF(B15473="","",INT(A15473))</f>
        <v/>
      </c>
      <c r="D15473">
        <f>IF(B15473="","",HOUR(A15473))</f>
        <v/>
      </c>
    </row>
    <row r="15474">
      <c r="A15474">
        <f>Input!A15474</f>
        <v/>
      </c>
      <c r="B15474">
        <f>IF(ISNUMBER(Input!B15474),IF(AND(Input!B15474&gt;=20,Input!B15474&lt;=700),Input!B15474,""),"")</f>
        <v/>
      </c>
      <c r="C15474">
        <f>IF(B15474="","",INT(A15474))</f>
        <v/>
      </c>
      <c r="D15474">
        <f>IF(B15474="","",HOUR(A15474))</f>
        <v/>
      </c>
    </row>
    <row r="15475">
      <c r="A15475">
        <f>Input!A15475</f>
        <v/>
      </c>
      <c r="B15475">
        <f>IF(ISNUMBER(Input!B15475),IF(AND(Input!B15475&gt;=20,Input!B15475&lt;=700),Input!B15475,""),"")</f>
        <v/>
      </c>
      <c r="C15475">
        <f>IF(B15475="","",INT(A15475))</f>
        <v/>
      </c>
      <c r="D15475">
        <f>IF(B15475="","",HOUR(A15475))</f>
        <v/>
      </c>
    </row>
    <row r="15476">
      <c r="A15476">
        <f>Input!A15476</f>
        <v/>
      </c>
      <c r="B15476">
        <f>IF(ISNUMBER(Input!B15476),IF(AND(Input!B15476&gt;=20,Input!B15476&lt;=700),Input!B15476,""),"")</f>
        <v/>
      </c>
      <c r="C15476">
        <f>IF(B15476="","",INT(A15476))</f>
        <v/>
      </c>
      <c r="D15476">
        <f>IF(B15476="","",HOUR(A15476))</f>
        <v/>
      </c>
    </row>
    <row r="15477">
      <c r="A15477">
        <f>Input!A15477</f>
        <v/>
      </c>
      <c r="B15477">
        <f>IF(ISNUMBER(Input!B15477),IF(AND(Input!B15477&gt;=20,Input!B15477&lt;=700),Input!B15477,""),"")</f>
        <v/>
      </c>
      <c r="C15477">
        <f>IF(B15477="","",INT(A15477))</f>
        <v/>
      </c>
      <c r="D15477">
        <f>IF(B15477="","",HOUR(A15477))</f>
        <v/>
      </c>
    </row>
    <row r="15478">
      <c r="A15478">
        <f>Input!A15478</f>
        <v/>
      </c>
      <c r="B15478">
        <f>IF(ISNUMBER(Input!B15478),IF(AND(Input!B15478&gt;=20,Input!B15478&lt;=700),Input!B15478,""),"")</f>
        <v/>
      </c>
      <c r="C15478">
        <f>IF(B15478="","",INT(A15478))</f>
        <v/>
      </c>
      <c r="D15478">
        <f>IF(B15478="","",HOUR(A15478))</f>
        <v/>
      </c>
    </row>
    <row r="15479">
      <c r="A15479">
        <f>Input!A15479</f>
        <v/>
      </c>
      <c r="B15479">
        <f>IF(ISNUMBER(Input!B15479),IF(AND(Input!B15479&gt;=20,Input!B15479&lt;=700),Input!B15479,""),"")</f>
        <v/>
      </c>
      <c r="C15479">
        <f>IF(B15479="","",INT(A15479))</f>
        <v/>
      </c>
      <c r="D15479">
        <f>IF(B15479="","",HOUR(A15479))</f>
        <v/>
      </c>
    </row>
    <row r="15480">
      <c r="A15480">
        <f>Input!A15480</f>
        <v/>
      </c>
      <c r="B15480">
        <f>IF(ISNUMBER(Input!B15480),IF(AND(Input!B15480&gt;=20,Input!B15480&lt;=700),Input!B15480,""),"")</f>
        <v/>
      </c>
      <c r="C15480">
        <f>IF(B15480="","",INT(A15480))</f>
        <v/>
      </c>
      <c r="D15480">
        <f>IF(B15480="","",HOUR(A15480))</f>
        <v/>
      </c>
    </row>
    <row r="15481">
      <c r="A15481">
        <f>Input!A15481</f>
        <v/>
      </c>
      <c r="B15481">
        <f>IF(ISNUMBER(Input!B15481),IF(AND(Input!B15481&gt;=20,Input!B15481&lt;=700),Input!B15481,""),"")</f>
        <v/>
      </c>
      <c r="C15481">
        <f>IF(B15481="","",INT(A15481))</f>
        <v/>
      </c>
      <c r="D15481">
        <f>IF(B15481="","",HOUR(A15481))</f>
        <v/>
      </c>
    </row>
    <row r="15482">
      <c r="A15482">
        <f>Input!A15482</f>
        <v/>
      </c>
      <c r="B15482">
        <f>IF(ISNUMBER(Input!B15482),IF(AND(Input!B15482&gt;=20,Input!B15482&lt;=700),Input!B15482,""),"")</f>
        <v/>
      </c>
      <c r="C15482">
        <f>IF(B15482="","",INT(A15482))</f>
        <v/>
      </c>
      <c r="D15482">
        <f>IF(B15482="","",HOUR(A15482))</f>
        <v/>
      </c>
    </row>
    <row r="15483">
      <c r="A15483">
        <f>Input!A15483</f>
        <v/>
      </c>
      <c r="B15483">
        <f>IF(ISNUMBER(Input!B15483),IF(AND(Input!B15483&gt;=20,Input!B15483&lt;=700),Input!B15483,""),"")</f>
        <v/>
      </c>
      <c r="C15483">
        <f>IF(B15483="","",INT(A15483))</f>
        <v/>
      </c>
      <c r="D15483">
        <f>IF(B15483="","",HOUR(A15483))</f>
        <v/>
      </c>
    </row>
    <row r="15484">
      <c r="A15484">
        <f>Input!A15484</f>
        <v/>
      </c>
      <c r="B15484">
        <f>IF(ISNUMBER(Input!B15484),IF(AND(Input!B15484&gt;=20,Input!B15484&lt;=700),Input!B15484,""),"")</f>
        <v/>
      </c>
      <c r="C15484">
        <f>IF(B15484="","",INT(A15484))</f>
        <v/>
      </c>
      <c r="D15484">
        <f>IF(B15484="","",HOUR(A15484))</f>
        <v/>
      </c>
    </row>
    <row r="15485">
      <c r="A15485">
        <f>Input!A15485</f>
        <v/>
      </c>
      <c r="B15485">
        <f>IF(ISNUMBER(Input!B15485),IF(AND(Input!B15485&gt;=20,Input!B15485&lt;=700),Input!B15485,""),"")</f>
        <v/>
      </c>
      <c r="C15485">
        <f>IF(B15485="","",INT(A15485))</f>
        <v/>
      </c>
      <c r="D15485">
        <f>IF(B15485="","",HOUR(A15485))</f>
        <v/>
      </c>
    </row>
    <row r="15486">
      <c r="A15486">
        <f>Input!A15486</f>
        <v/>
      </c>
      <c r="B15486">
        <f>IF(ISNUMBER(Input!B15486),IF(AND(Input!B15486&gt;=20,Input!B15486&lt;=700),Input!B15486,""),"")</f>
        <v/>
      </c>
      <c r="C15486">
        <f>IF(B15486="","",INT(A15486))</f>
        <v/>
      </c>
      <c r="D15486">
        <f>IF(B15486="","",HOUR(A15486))</f>
        <v/>
      </c>
    </row>
    <row r="15487">
      <c r="A15487">
        <f>Input!A15487</f>
        <v/>
      </c>
      <c r="B15487">
        <f>IF(ISNUMBER(Input!B15487),IF(AND(Input!B15487&gt;=20,Input!B15487&lt;=700),Input!B15487,""),"")</f>
        <v/>
      </c>
      <c r="C15487">
        <f>IF(B15487="","",INT(A15487))</f>
        <v/>
      </c>
      <c r="D15487">
        <f>IF(B15487="","",HOUR(A15487))</f>
        <v/>
      </c>
    </row>
    <row r="15488">
      <c r="A15488">
        <f>Input!A15488</f>
        <v/>
      </c>
      <c r="B15488">
        <f>IF(ISNUMBER(Input!B15488),IF(AND(Input!B15488&gt;=20,Input!B15488&lt;=700),Input!B15488,""),"")</f>
        <v/>
      </c>
      <c r="C15488">
        <f>IF(B15488="","",INT(A15488))</f>
        <v/>
      </c>
      <c r="D15488">
        <f>IF(B15488="","",HOUR(A15488))</f>
        <v/>
      </c>
    </row>
    <row r="15489">
      <c r="A15489">
        <f>Input!A15489</f>
        <v/>
      </c>
      <c r="B15489">
        <f>IF(ISNUMBER(Input!B15489),IF(AND(Input!B15489&gt;=20,Input!B15489&lt;=700),Input!B15489,""),"")</f>
        <v/>
      </c>
      <c r="C15489">
        <f>IF(B15489="","",INT(A15489))</f>
        <v/>
      </c>
      <c r="D15489">
        <f>IF(B15489="","",HOUR(A15489))</f>
        <v/>
      </c>
    </row>
    <row r="15490">
      <c r="A15490">
        <f>Input!A15490</f>
        <v/>
      </c>
      <c r="B15490">
        <f>IF(ISNUMBER(Input!B15490),IF(AND(Input!B15490&gt;=20,Input!B15490&lt;=700),Input!B15490,""),"")</f>
        <v/>
      </c>
      <c r="C15490">
        <f>IF(B15490="","",INT(A15490))</f>
        <v/>
      </c>
      <c r="D15490">
        <f>IF(B15490="","",HOUR(A15490))</f>
        <v/>
      </c>
    </row>
    <row r="15491">
      <c r="A15491">
        <f>Input!A15491</f>
        <v/>
      </c>
      <c r="B15491">
        <f>IF(ISNUMBER(Input!B15491),IF(AND(Input!B15491&gt;=20,Input!B15491&lt;=700),Input!B15491,""),"")</f>
        <v/>
      </c>
      <c r="C15491">
        <f>IF(B15491="","",INT(A15491))</f>
        <v/>
      </c>
      <c r="D15491">
        <f>IF(B15491="","",HOUR(A15491))</f>
        <v/>
      </c>
    </row>
    <row r="15492">
      <c r="A15492">
        <f>Input!A15492</f>
        <v/>
      </c>
      <c r="B15492">
        <f>IF(ISNUMBER(Input!B15492),IF(AND(Input!B15492&gt;=20,Input!B15492&lt;=700),Input!B15492,""),"")</f>
        <v/>
      </c>
      <c r="C15492">
        <f>IF(B15492="","",INT(A15492))</f>
        <v/>
      </c>
      <c r="D15492">
        <f>IF(B15492="","",HOUR(A15492))</f>
        <v/>
      </c>
    </row>
    <row r="15493">
      <c r="A15493">
        <f>Input!A15493</f>
        <v/>
      </c>
      <c r="B15493">
        <f>IF(ISNUMBER(Input!B15493),IF(AND(Input!B15493&gt;=20,Input!B15493&lt;=700),Input!B15493,""),"")</f>
        <v/>
      </c>
      <c r="C15493">
        <f>IF(B15493="","",INT(A15493))</f>
        <v/>
      </c>
      <c r="D15493">
        <f>IF(B15493="","",HOUR(A15493))</f>
        <v/>
      </c>
    </row>
    <row r="15494">
      <c r="A15494">
        <f>Input!A15494</f>
        <v/>
      </c>
      <c r="B15494">
        <f>IF(ISNUMBER(Input!B15494),IF(AND(Input!B15494&gt;=20,Input!B15494&lt;=700),Input!B15494,""),"")</f>
        <v/>
      </c>
      <c r="C15494">
        <f>IF(B15494="","",INT(A15494))</f>
        <v/>
      </c>
      <c r="D15494">
        <f>IF(B15494="","",HOUR(A15494))</f>
        <v/>
      </c>
    </row>
    <row r="15495">
      <c r="A15495">
        <f>Input!A15495</f>
        <v/>
      </c>
      <c r="B15495">
        <f>IF(ISNUMBER(Input!B15495),IF(AND(Input!B15495&gt;=20,Input!B15495&lt;=700),Input!B15495,""),"")</f>
        <v/>
      </c>
      <c r="C15495">
        <f>IF(B15495="","",INT(A15495))</f>
        <v/>
      </c>
      <c r="D15495">
        <f>IF(B15495="","",HOUR(A15495))</f>
        <v/>
      </c>
    </row>
    <row r="15496">
      <c r="A15496">
        <f>Input!A15496</f>
        <v/>
      </c>
      <c r="B15496">
        <f>IF(ISNUMBER(Input!B15496),IF(AND(Input!B15496&gt;=20,Input!B15496&lt;=700),Input!B15496,""),"")</f>
        <v/>
      </c>
      <c r="C15496">
        <f>IF(B15496="","",INT(A15496))</f>
        <v/>
      </c>
      <c r="D15496">
        <f>IF(B15496="","",HOUR(A15496))</f>
        <v/>
      </c>
    </row>
    <row r="15497">
      <c r="A15497">
        <f>Input!A15497</f>
        <v/>
      </c>
      <c r="B15497">
        <f>IF(ISNUMBER(Input!B15497),IF(AND(Input!B15497&gt;=20,Input!B15497&lt;=700),Input!B15497,""),"")</f>
        <v/>
      </c>
      <c r="C15497">
        <f>IF(B15497="","",INT(A15497))</f>
        <v/>
      </c>
      <c r="D15497">
        <f>IF(B15497="","",HOUR(A15497))</f>
        <v/>
      </c>
    </row>
    <row r="15498">
      <c r="A15498">
        <f>Input!A15498</f>
        <v/>
      </c>
      <c r="B15498">
        <f>IF(ISNUMBER(Input!B15498),IF(AND(Input!B15498&gt;=20,Input!B15498&lt;=700),Input!B15498,""),"")</f>
        <v/>
      </c>
      <c r="C15498">
        <f>IF(B15498="","",INT(A15498))</f>
        <v/>
      </c>
      <c r="D15498">
        <f>IF(B15498="","",HOUR(A15498))</f>
        <v/>
      </c>
    </row>
    <row r="15499">
      <c r="A15499">
        <f>Input!A15499</f>
        <v/>
      </c>
      <c r="B15499">
        <f>IF(ISNUMBER(Input!B15499),IF(AND(Input!B15499&gt;=20,Input!B15499&lt;=700),Input!B15499,""),"")</f>
        <v/>
      </c>
      <c r="C15499">
        <f>IF(B15499="","",INT(A15499))</f>
        <v/>
      </c>
      <c r="D15499">
        <f>IF(B15499="","",HOUR(A15499))</f>
        <v/>
      </c>
    </row>
    <row r="15500">
      <c r="A15500">
        <f>Input!A15500</f>
        <v/>
      </c>
      <c r="B15500">
        <f>IF(ISNUMBER(Input!B15500),IF(AND(Input!B15500&gt;=20,Input!B15500&lt;=700),Input!B15500,""),"")</f>
        <v/>
      </c>
      <c r="C15500">
        <f>IF(B15500="","",INT(A15500))</f>
        <v/>
      </c>
      <c r="D15500">
        <f>IF(B15500="","",HOUR(A15500))</f>
        <v/>
      </c>
    </row>
    <row r="15501">
      <c r="A15501">
        <f>Input!A15501</f>
        <v/>
      </c>
      <c r="B15501">
        <f>IF(ISNUMBER(Input!B15501),IF(AND(Input!B15501&gt;=20,Input!B15501&lt;=700),Input!B15501,""),"")</f>
        <v/>
      </c>
      <c r="C15501">
        <f>IF(B15501="","",INT(A15501))</f>
        <v/>
      </c>
      <c r="D15501">
        <f>IF(B15501="","",HOUR(A15501))</f>
        <v/>
      </c>
    </row>
    <row r="15502">
      <c r="A15502">
        <f>Input!A15502</f>
        <v/>
      </c>
      <c r="B15502">
        <f>IF(ISNUMBER(Input!B15502),IF(AND(Input!B15502&gt;=20,Input!B15502&lt;=700),Input!B15502,""),"")</f>
        <v/>
      </c>
      <c r="C15502">
        <f>IF(B15502="","",INT(A15502))</f>
        <v/>
      </c>
      <c r="D15502">
        <f>IF(B15502="","",HOUR(A15502))</f>
        <v/>
      </c>
    </row>
    <row r="15503">
      <c r="A15503">
        <f>Input!A15503</f>
        <v/>
      </c>
      <c r="B15503">
        <f>IF(ISNUMBER(Input!B15503),IF(AND(Input!B15503&gt;=20,Input!B15503&lt;=700),Input!B15503,""),"")</f>
        <v/>
      </c>
      <c r="C15503">
        <f>IF(B15503="","",INT(A15503))</f>
        <v/>
      </c>
      <c r="D15503">
        <f>IF(B15503="","",HOUR(A15503))</f>
        <v/>
      </c>
    </row>
    <row r="15504">
      <c r="A15504">
        <f>Input!A15504</f>
        <v/>
      </c>
      <c r="B15504">
        <f>IF(ISNUMBER(Input!B15504),IF(AND(Input!B15504&gt;=20,Input!B15504&lt;=700),Input!B15504,""),"")</f>
        <v/>
      </c>
      <c r="C15504">
        <f>IF(B15504="","",INT(A15504))</f>
        <v/>
      </c>
      <c r="D15504">
        <f>IF(B15504="","",HOUR(A15504))</f>
        <v/>
      </c>
    </row>
    <row r="15505">
      <c r="A15505">
        <f>Input!A15505</f>
        <v/>
      </c>
      <c r="B15505">
        <f>IF(ISNUMBER(Input!B15505),IF(AND(Input!B15505&gt;=20,Input!B15505&lt;=700),Input!B15505,""),"")</f>
        <v/>
      </c>
      <c r="C15505">
        <f>IF(B15505="","",INT(A15505))</f>
        <v/>
      </c>
      <c r="D15505">
        <f>IF(B15505="","",HOUR(A15505))</f>
        <v/>
      </c>
    </row>
    <row r="15506">
      <c r="A15506">
        <f>Input!A15506</f>
        <v/>
      </c>
      <c r="B15506">
        <f>IF(ISNUMBER(Input!B15506),IF(AND(Input!B15506&gt;=20,Input!B15506&lt;=700),Input!B15506,""),"")</f>
        <v/>
      </c>
      <c r="C15506">
        <f>IF(B15506="","",INT(A15506))</f>
        <v/>
      </c>
      <c r="D15506">
        <f>IF(B15506="","",HOUR(A15506))</f>
        <v/>
      </c>
    </row>
    <row r="15507">
      <c r="A15507">
        <f>Input!A15507</f>
        <v/>
      </c>
      <c r="B15507">
        <f>IF(ISNUMBER(Input!B15507),IF(AND(Input!B15507&gt;=20,Input!B15507&lt;=700),Input!B15507,""),"")</f>
        <v/>
      </c>
      <c r="C15507">
        <f>IF(B15507="","",INT(A15507))</f>
        <v/>
      </c>
      <c r="D15507">
        <f>IF(B15507="","",HOUR(A15507))</f>
        <v/>
      </c>
    </row>
    <row r="15508">
      <c r="A15508">
        <f>Input!A15508</f>
        <v/>
      </c>
      <c r="B15508">
        <f>IF(ISNUMBER(Input!B15508),IF(AND(Input!B15508&gt;=20,Input!B15508&lt;=700),Input!B15508,""),"")</f>
        <v/>
      </c>
      <c r="C15508">
        <f>IF(B15508="","",INT(A15508))</f>
        <v/>
      </c>
      <c r="D15508">
        <f>IF(B15508="","",HOUR(A15508))</f>
        <v/>
      </c>
    </row>
    <row r="15509">
      <c r="A15509">
        <f>Input!A15509</f>
        <v/>
      </c>
      <c r="B15509">
        <f>IF(ISNUMBER(Input!B15509),IF(AND(Input!B15509&gt;=20,Input!B15509&lt;=700),Input!B15509,""),"")</f>
        <v/>
      </c>
      <c r="C15509">
        <f>IF(B15509="","",INT(A15509))</f>
        <v/>
      </c>
      <c r="D15509">
        <f>IF(B15509="","",HOUR(A15509))</f>
        <v/>
      </c>
    </row>
    <row r="15510">
      <c r="A15510">
        <f>Input!A15510</f>
        <v/>
      </c>
      <c r="B15510">
        <f>IF(ISNUMBER(Input!B15510),IF(AND(Input!B15510&gt;=20,Input!B15510&lt;=700),Input!B15510,""),"")</f>
        <v/>
      </c>
      <c r="C15510">
        <f>IF(B15510="","",INT(A15510))</f>
        <v/>
      </c>
      <c r="D15510">
        <f>IF(B15510="","",HOUR(A15510))</f>
        <v/>
      </c>
    </row>
    <row r="15511">
      <c r="A15511">
        <f>Input!A15511</f>
        <v/>
      </c>
      <c r="B15511">
        <f>IF(ISNUMBER(Input!B15511),IF(AND(Input!B15511&gt;=20,Input!B15511&lt;=700),Input!B15511,""),"")</f>
        <v/>
      </c>
      <c r="C15511">
        <f>IF(B15511="","",INT(A15511))</f>
        <v/>
      </c>
      <c r="D15511">
        <f>IF(B15511="","",HOUR(A15511))</f>
        <v/>
      </c>
    </row>
    <row r="15512">
      <c r="A15512">
        <f>Input!A15512</f>
        <v/>
      </c>
      <c r="B15512">
        <f>IF(ISNUMBER(Input!B15512),IF(AND(Input!B15512&gt;=20,Input!B15512&lt;=700),Input!B15512,""),"")</f>
        <v/>
      </c>
      <c r="C15512">
        <f>IF(B15512="","",INT(A15512))</f>
        <v/>
      </c>
      <c r="D15512">
        <f>IF(B15512="","",HOUR(A15512))</f>
        <v/>
      </c>
    </row>
    <row r="15513">
      <c r="A15513">
        <f>Input!A15513</f>
        <v/>
      </c>
      <c r="B15513">
        <f>IF(ISNUMBER(Input!B15513),IF(AND(Input!B15513&gt;=20,Input!B15513&lt;=700),Input!B15513,""),"")</f>
        <v/>
      </c>
      <c r="C15513">
        <f>IF(B15513="","",INT(A15513))</f>
        <v/>
      </c>
      <c r="D15513">
        <f>IF(B15513="","",HOUR(A15513))</f>
        <v/>
      </c>
    </row>
    <row r="15514">
      <c r="A15514">
        <f>Input!A15514</f>
        <v/>
      </c>
      <c r="B15514">
        <f>IF(ISNUMBER(Input!B15514),IF(AND(Input!B15514&gt;=20,Input!B15514&lt;=700),Input!B15514,""),"")</f>
        <v/>
      </c>
      <c r="C15514">
        <f>IF(B15514="","",INT(A15514))</f>
        <v/>
      </c>
      <c r="D15514">
        <f>IF(B15514="","",HOUR(A15514))</f>
        <v/>
      </c>
    </row>
    <row r="15515">
      <c r="A15515">
        <f>Input!A15515</f>
        <v/>
      </c>
      <c r="B15515">
        <f>IF(ISNUMBER(Input!B15515),IF(AND(Input!B15515&gt;=20,Input!B15515&lt;=700),Input!B15515,""),"")</f>
        <v/>
      </c>
      <c r="C15515">
        <f>IF(B15515="","",INT(A15515))</f>
        <v/>
      </c>
      <c r="D15515">
        <f>IF(B15515="","",HOUR(A15515))</f>
        <v/>
      </c>
    </row>
    <row r="15516">
      <c r="A15516">
        <f>Input!A15516</f>
        <v/>
      </c>
      <c r="B15516">
        <f>IF(ISNUMBER(Input!B15516),IF(AND(Input!B15516&gt;=20,Input!B15516&lt;=700),Input!B15516,""),"")</f>
        <v/>
      </c>
      <c r="C15516">
        <f>IF(B15516="","",INT(A15516))</f>
        <v/>
      </c>
      <c r="D15516">
        <f>IF(B15516="","",HOUR(A15516))</f>
        <v/>
      </c>
    </row>
    <row r="15517">
      <c r="A15517">
        <f>Input!A15517</f>
        <v/>
      </c>
      <c r="B15517">
        <f>IF(ISNUMBER(Input!B15517),IF(AND(Input!B15517&gt;=20,Input!B15517&lt;=700),Input!B15517,""),"")</f>
        <v/>
      </c>
      <c r="C15517">
        <f>IF(B15517="","",INT(A15517))</f>
        <v/>
      </c>
      <c r="D15517">
        <f>IF(B15517="","",HOUR(A15517))</f>
        <v/>
      </c>
    </row>
    <row r="15518">
      <c r="A15518">
        <f>Input!A15518</f>
        <v/>
      </c>
      <c r="B15518">
        <f>IF(ISNUMBER(Input!B15518),IF(AND(Input!B15518&gt;=20,Input!B15518&lt;=700),Input!B15518,""),"")</f>
        <v/>
      </c>
      <c r="C15518">
        <f>IF(B15518="","",INT(A15518))</f>
        <v/>
      </c>
      <c r="D15518">
        <f>IF(B15518="","",HOUR(A15518))</f>
        <v/>
      </c>
    </row>
    <row r="15519">
      <c r="A15519">
        <f>Input!A15519</f>
        <v/>
      </c>
      <c r="B15519">
        <f>IF(ISNUMBER(Input!B15519),IF(AND(Input!B15519&gt;=20,Input!B15519&lt;=700),Input!B15519,""),"")</f>
        <v/>
      </c>
      <c r="C15519">
        <f>IF(B15519="","",INT(A15519))</f>
        <v/>
      </c>
      <c r="D15519">
        <f>IF(B15519="","",HOUR(A15519))</f>
        <v/>
      </c>
    </row>
    <row r="15520">
      <c r="A15520">
        <f>Input!A15520</f>
        <v/>
      </c>
      <c r="B15520">
        <f>IF(ISNUMBER(Input!B15520),IF(AND(Input!B15520&gt;=20,Input!B15520&lt;=700),Input!B15520,""),"")</f>
        <v/>
      </c>
      <c r="C15520">
        <f>IF(B15520="","",INT(A15520))</f>
        <v/>
      </c>
      <c r="D15520">
        <f>IF(B15520="","",HOUR(A15520))</f>
        <v/>
      </c>
    </row>
    <row r="15521">
      <c r="A15521">
        <f>Input!A15521</f>
        <v/>
      </c>
      <c r="B15521">
        <f>IF(ISNUMBER(Input!B15521),IF(AND(Input!B15521&gt;=20,Input!B15521&lt;=700),Input!B15521,""),"")</f>
        <v/>
      </c>
      <c r="C15521">
        <f>IF(B15521="","",INT(A15521))</f>
        <v/>
      </c>
      <c r="D15521">
        <f>IF(B15521="","",HOUR(A15521))</f>
        <v/>
      </c>
    </row>
    <row r="15522">
      <c r="A15522">
        <f>Input!A15522</f>
        <v/>
      </c>
      <c r="B15522">
        <f>IF(ISNUMBER(Input!B15522),IF(AND(Input!B15522&gt;=20,Input!B15522&lt;=700),Input!B15522,""),"")</f>
        <v/>
      </c>
      <c r="C15522">
        <f>IF(B15522="","",INT(A15522))</f>
        <v/>
      </c>
      <c r="D15522">
        <f>IF(B15522="","",HOUR(A15522))</f>
        <v/>
      </c>
    </row>
    <row r="15523">
      <c r="A15523">
        <f>Input!A15523</f>
        <v/>
      </c>
      <c r="B15523">
        <f>IF(ISNUMBER(Input!B15523),IF(AND(Input!B15523&gt;=20,Input!B15523&lt;=700),Input!B15523,""),"")</f>
        <v/>
      </c>
      <c r="C15523">
        <f>IF(B15523="","",INT(A15523))</f>
        <v/>
      </c>
      <c r="D15523">
        <f>IF(B15523="","",HOUR(A15523))</f>
        <v/>
      </c>
    </row>
    <row r="15524">
      <c r="A15524">
        <f>Input!A15524</f>
        <v/>
      </c>
      <c r="B15524">
        <f>IF(ISNUMBER(Input!B15524),IF(AND(Input!B15524&gt;=20,Input!B15524&lt;=700),Input!B15524,""),"")</f>
        <v/>
      </c>
      <c r="C15524">
        <f>IF(B15524="","",INT(A15524))</f>
        <v/>
      </c>
      <c r="D15524">
        <f>IF(B15524="","",HOUR(A15524))</f>
        <v/>
      </c>
    </row>
    <row r="15525">
      <c r="A15525">
        <f>Input!A15525</f>
        <v/>
      </c>
      <c r="B15525">
        <f>IF(ISNUMBER(Input!B15525),IF(AND(Input!B15525&gt;=20,Input!B15525&lt;=700),Input!B15525,""),"")</f>
        <v/>
      </c>
      <c r="C15525">
        <f>IF(B15525="","",INT(A15525))</f>
        <v/>
      </c>
      <c r="D15525">
        <f>IF(B15525="","",HOUR(A15525))</f>
        <v/>
      </c>
    </row>
    <row r="15526">
      <c r="A15526">
        <f>Input!A15526</f>
        <v/>
      </c>
      <c r="B15526">
        <f>IF(ISNUMBER(Input!B15526),IF(AND(Input!B15526&gt;=20,Input!B15526&lt;=700),Input!B15526,""),"")</f>
        <v/>
      </c>
      <c r="C15526">
        <f>IF(B15526="","",INT(A15526))</f>
        <v/>
      </c>
      <c r="D15526">
        <f>IF(B15526="","",HOUR(A15526))</f>
        <v/>
      </c>
    </row>
    <row r="15527">
      <c r="A15527">
        <f>Input!A15527</f>
        <v/>
      </c>
      <c r="B15527">
        <f>IF(ISNUMBER(Input!B15527),IF(AND(Input!B15527&gt;=20,Input!B15527&lt;=700),Input!B15527,""),"")</f>
        <v/>
      </c>
      <c r="C15527">
        <f>IF(B15527="","",INT(A15527))</f>
        <v/>
      </c>
      <c r="D15527">
        <f>IF(B15527="","",HOUR(A15527))</f>
        <v/>
      </c>
    </row>
    <row r="15528">
      <c r="A15528">
        <f>Input!A15528</f>
        <v/>
      </c>
      <c r="B15528">
        <f>IF(ISNUMBER(Input!B15528),IF(AND(Input!B15528&gt;=20,Input!B15528&lt;=700),Input!B15528,""),"")</f>
        <v/>
      </c>
      <c r="C15528">
        <f>IF(B15528="","",INT(A15528))</f>
        <v/>
      </c>
      <c r="D15528">
        <f>IF(B15528="","",HOUR(A15528))</f>
        <v/>
      </c>
    </row>
    <row r="15529">
      <c r="A15529">
        <f>Input!A15529</f>
        <v/>
      </c>
      <c r="B15529">
        <f>IF(ISNUMBER(Input!B15529),IF(AND(Input!B15529&gt;=20,Input!B15529&lt;=700),Input!B15529,""),"")</f>
        <v/>
      </c>
      <c r="C15529">
        <f>IF(B15529="","",INT(A15529))</f>
        <v/>
      </c>
      <c r="D15529">
        <f>IF(B15529="","",HOUR(A15529))</f>
        <v/>
      </c>
    </row>
    <row r="15530">
      <c r="A15530">
        <f>Input!A15530</f>
        <v/>
      </c>
      <c r="B15530">
        <f>IF(ISNUMBER(Input!B15530),IF(AND(Input!B15530&gt;=20,Input!B15530&lt;=700),Input!B15530,""),"")</f>
        <v/>
      </c>
      <c r="C15530">
        <f>IF(B15530="","",INT(A15530))</f>
        <v/>
      </c>
      <c r="D15530">
        <f>IF(B15530="","",HOUR(A15530))</f>
        <v/>
      </c>
    </row>
    <row r="15531">
      <c r="A15531">
        <f>Input!A15531</f>
        <v/>
      </c>
      <c r="B15531">
        <f>IF(ISNUMBER(Input!B15531),IF(AND(Input!B15531&gt;=20,Input!B15531&lt;=700),Input!B15531,""),"")</f>
        <v/>
      </c>
      <c r="C15531">
        <f>IF(B15531="","",INT(A15531))</f>
        <v/>
      </c>
      <c r="D15531">
        <f>IF(B15531="","",HOUR(A15531))</f>
        <v/>
      </c>
    </row>
    <row r="15532">
      <c r="A15532">
        <f>Input!A15532</f>
        <v/>
      </c>
      <c r="B15532">
        <f>IF(ISNUMBER(Input!B15532),IF(AND(Input!B15532&gt;=20,Input!B15532&lt;=700),Input!B15532,""),"")</f>
        <v/>
      </c>
      <c r="C15532">
        <f>IF(B15532="","",INT(A15532))</f>
        <v/>
      </c>
      <c r="D15532">
        <f>IF(B15532="","",HOUR(A15532))</f>
        <v/>
      </c>
    </row>
    <row r="15533">
      <c r="A15533">
        <f>Input!A15533</f>
        <v/>
      </c>
      <c r="B15533">
        <f>IF(ISNUMBER(Input!B15533),IF(AND(Input!B15533&gt;=20,Input!B15533&lt;=700),Input!B15533,""),"")</f>
        <v/>
      </c>
      <c r="C15533">
        <f>IF(B15533="","",INT(A15533))</f>
        <v/>
      </c>
      <c r="D15533">
        <f>IF(B15533="","",HOUR(A15533))</f>
        <v/>
      </c>
    </row>
    <row r="15534">
      <c r="A15534">
        <f>Input!A15534</f>
        <v/>
      </c>
      <c r="B15534">
        <f>IF(ISNUMBER(Input!B15534),IF(AND(Input!B15534&gt;=20,Input!B15534&lt;=700),Input!B15534,""),"")</f>
        <v/>
      </c>
      <c r="C15534">
        <f>IF(B15534="","",INT(A15534))</f>
        <v/>
      </c>
      <c r="D15534">
        <f>IF(B15534="","",HOUR(A15534))</f>
        <v/>
      </c>
    </row>
    <row r="15535">
      <c r="A15535">
        <f>Input!A15535</f>
        <v/>
      </c>
      <c r="B15535">
        <f>IF(ISNUMBER(Input!B15535),IF(AND(Input!B15535&gt;=20,Input!B15535&lt;=700),Input!B15535,""),"")</f>
        <v/>
      </c>
      <c r="C15535">
        <f>IF(B15535="","",INT(A15535))</f>
        <v/>
      </c>
      <c r="D15535">
        <f>IF(B15535="","",HOUR(A15535))</f>
        <v/>
      </c>
    </row>
    <row r="15536">
      <c r="A15536">
        <f>Input!A15536</f>
        <v/>
      </c>
      <c r="B15536">
        <f>IF(ISNUMBER(Input!B15536),IF(AND(Input!B15536&gt;=20,Input!B15536&lt;=700),Input!B15536,""),"")</f>
        <v/>
      </c>
      <c r="C15536">
        <f>IF(B15536="","",INT(A15536))</f>
        <v/>
      </c>
      <c r="D15536">
        <f>IF(B15536="","",HOUR(A15536))</f>
        <v/>
      </c>
    </row>
    <row r="15537">
      <c r="A15537">
        <f>Input!A15537</f>
        <v/>
      </c>
      <c r="B15537">
        <f>IF(ISNUMBER(Input!B15537),IF(AND(Input!B15537&gt;=20,Input!B15537&lt;=700),Input!B15537,""),"")</f>
        <v/>
      </c>
      <c r="C15537">
        <f>IF(B15537="","",INT(A15537))</f>
        <v/>
      </c>
      <c r="D15537">
        <f>IF(B15537="","",HOUR(A15537))</f>
        <v/>
      </c>
    </row>
    <row r="15538">
      <c r="A15538">
        <f>Input!A15538</f>
        <v/>
      </c>
      <c r="B15538">
        <f>IF(ISNUMBER(Input!B15538),IF(AND(Input!B15538&gt;=20,Input!B15538&lt;=700),Input!B15538,""),"")</f>
        <v/>
      </c>
      <c r="C15538">
        <f>IF(B15538="","",INT(A15538))</f>
        <v/>
      </c>
      <c r="D15538">
        <f>IF(B15538="","",HOUR(A15538))</f>
        <v/>
      </c>
    </row>
    <row r="15539">
      <c r="A15539">
        <f>Input!A15539</f>
        <v/>
      </c>
      <c r="B15539">
        <f>IF(ISNUMBER(Input!B15539),IF(AND(Input!B15539&gt;=20,Input!B15539&lt;=700),Input!B15539,""),"")</f>
        <v/>
      </c>
      <c r="C15539">
        <f>IF(B15539="","",INT(A15539))</f>
        <v/>
      </c>
      <c r="D15539">
        <f>IF(B15539="","",HOUR(A15539))</f>
        <v/>
      </c>
    </row>
    <row r="15540">
      <c r="A15540">
        <f>Input!A15540</f>
        <v/>
      </c>
      <c r="B15540">
        <f>IF(ISNUMBER(Input!B15540),IF(AND(Input!B15540&gt;=20,Input!B15540&lt;=700),Input!B15540,""),"")</f>
        <v/>
      </c>
      <c r="C15540">
        <f>IF(B15540="","",INT(A15540))</f>
        <v/>
      </c>
      <c r="D15540">
        <f>IF(B15540="","",HOUR(A15540))</f>
        <v/>
      </c>
    </row>
    <row r="15541">
      <c r="A15541">
        <f>Input!A15541</f>
        <v/>
      </c>
      <c r="B15541">
        <f>IF(ISNUMBER(Input!B15541),IF(AND(Input!B15541&gt;=20,Input!B15541&lt;=700),Input!B15541,""),"")</f>
        <v/>
      </c>
      <c r="C15541">
        <f>IF(B15541="","",INT(A15541))</f>
        <v/>
      </c>
      <c r="D15541">
        <f>IF(B15541="","",HOUR(A15541))</f>
        <v/>
      </c>
    </row>
    <row r="15542">
      <c r="A15542">
        <f>Input!A15542</f>
        <v/>
      </c>
      <c r="B15542">
        <f>IF(ISNUMBER(Input!B15542),IF(AND(Input!B15542&gt;=20,Input!B15542&lt;=700),Input!B15542,""),"")</f>
        <v/>
      </c>
      <c r="C15542">
        <f>IF(B15542="","",INT(A15542))</f>
        <v/>
      </c>
      <c r="D15542">
        <f>IF(B15542="","",HOUR(A15542))</f>
        <v/>
      </c>
    </row>
    <row r="15543">
      <c r="A15543">
        <f>Input!A15543</f>
        <v/>
      </c>
      <c r="B15543">
        <f>IF(ISNUMBER(Input!B15543),IF(AND(Input!B15543&gt;=20,Input!B15543&lt;=700),Input!B15543,""),"")</f>
        <v/>
      </c>
      <c r="C15543">
        <f>IF(B15543="","",INT(A15543))</f>
        <v/>
      </c>
      <c r="D15543">
        <f>IF(B15543="","",HOUR(A15543))</f>
        <v/>
      </c>
    </row>
    <row r="15544">
      <c r="A15544">
        <f>Input!A15544</f>
        <v/>
      </c>
      <c r="B15544">
        <f>IF(ISNUMBER(Input!B15544),IF(AND(Input!B15544&gt;=20,Input!B15544&lt;=700),Input!B15544,""),"")</f>
        <v/>
      </c>
      <c r="C15544">
        <f>IF(B15544="","",INT(A15544))</f>
        <v/>
      </c>
      <c r="D15544">
        <f>IF(B15544="","",HOUR(A15544))</f>
        <v/>
      </c>
    </row>
    <row r="15545">
      <c r="A15545">
        <f>Input!A15545</f>
        <v/>
      </c>
      <c r="B15545">
        <f>IF(ISNUMBER(Input!B15545),IF(AND(Input!B15545&gt;=20,Input!B15545&lt;=700),Input!B15545,""),"")</f>
        <v/>
      </c>
      <c r="C15545">
        <f>IF(B15545="","",INT(A15545))</f>
        <v/>
      </c>
      <c r="D15545">
        <f>IF(B15545="","",HOUR(A15545))</f>
        <v/>
      </c>
    </row>
    <row r="15546">
      <c r="A15546">
        <f>Input!A15546</f>
        <v/>
      </c>
      <c r="B15546">
        <f>IF(ISNUMBER(Input!B15546),IF(AND(Input!B15546&gt;=20,Input!B15546&lt;=700),Input!B15546,""),"")</f>
        <v/>
      </c>
      <c r="C15546">
        <f>IF(B15546="","",INT(A15546))</f>
        <v/>
      </c>
      <c r="D15546">
        <f>IF(B15546="","",HOUR(A15546))</f>
        <v/>
      </c>
    </row>
    <row r="15547">
      <c r="A15547">
        <f>Input!A15547</f>
        <v/>
      </c>
      <c r="B15547">
        <f>IF(ISNUMBER(Input!B15547),IF(AND(Input!B15547&gt;=20,Input!B15547&lt;=700),Input!B15547,""),"")</f>
        <v/>
      </c>
      <c r="C15547">
        <f>IF(B15547="","",INT(A15547))</f>
        <v/>
      </c>
      <c r="D15547">
        <f>IF(B15547="","",HOUR(A15547))</f>
        <v/>
      </c>
    </row>
    <row r="15548">
      <c r="A15548">
        <f>Input!A15548</f>
        <v/>
      </c>
      <c r="B15548">
        <f>IF(ISNUMBER(Input!B15548),IF(AND(Input!B15548&gt;=20,Input!B15548&lt;=700),Input!B15548,""),"")</f>
        <v/>
      </c>
      <c r="C15548">
        <f>IF(B15548="","",INT(A15548))</f>
        <v/>
      </c>
      <c r="D15548">
        <f>IF(B15548="","",HOUR(A15548))</f>
        <v/>
      </c>
    </row>
    <row r="15549">
      <c r="A15549">
        <f>Input!A15549</f>
        <v/>
      </c>
      <c r="B15549">
        <f>IF(ISNUMBER(Input!B15549),IF(AND(Input!B15549&gt;=20,Input!B15549&lt;=700),Input!B15549,""),"")</f>
        <v/>
      </c>
      <c r="C15549">
        <f>IF(B15549="","",INT(A15549))</f>
        <v/>
      </c>
      <c r="D15549">
        <f>IF(B15549="","",HOUR(A15549))</f>
        <v/>
      </c>
    </row>
    <row r="15550">
      <c r="A15550">
        <f>Input!A15550</f>
        <v/>
      </c>
      <c r="B15550">
        <f>IF(ISNUMBER(Input!B15550),IF(AND(Input!B15550&gt;=20,Input!B15550&lt;=700),Input!B15550,""),"")</f>
        <v/>
      </c>
      <c r="C15550">
        <f>IF(B15550="","",INT(A15550))</f>
        <v/>
      </c>
      <c r="D15550">
        <f>IF(B15550="","",HOUR(A15550))</f>
        <v/>
      </c>
    </row>
    <row r="15551">
      <c r="A15551">
        <f>Input!A15551</f>
        <v/>
      </c>
      <c r="B15551">
        <f>IF(ISNUMBER(Input!B15551),IF(AND(Input!B15551&gt;=20,Input!B15551&lt;=700),Input!B15551,""),"")</f>
        <v/>
      </c>
      <c r="C15551">
        <f>IF(B15551="","",INT(A15551))</f>
        <v/>
      </c>
      <c r="D15551">
        <f>IF(B15551="","",HOUR(A15551))</f>
        <v/>
      </c>
    </row>
    <row r="15552">
      <c r="A15552">
        <f>Input!A15552</f>
        <v/>
      </c>
      <c r="B15552">
        <f>IF(ISNUMBER(Input!B15552),IF(AND(Input!B15552&gt;=20,Input!B15552&lt;=700),Input!B15552,""),"")</f>
        <v/>
      </c>
      <c r="C15552">
        <f>IF(B15552="","",INT(A15552))</f>
        <v/>
      </c>
      <c r="D15552">
        <f>IF(B15552="","",HOUR(A15552))</f>
        <v/>
      </c>
    </row>
    <row r="15553">
      <c r="A15553">
        <f>Input!A15553</f>
        <v/>
      </c>
      <c r="B15553">
        <f>IF(ISNUMBER(Input!B15553),IF(AND(Input!B15553&gt;=20,Input!B15553&lt;=700),Input!B15553,""),"")</f>
        <v/>
      </c>
      <c r="C15553">
        <f>IF(B15553="","",INT(A15553))</f>
        <v/>
      </c>
      <c r="D15553">
        <f>IF(B15553="","",HOUR(A15553))</f>
        <v/>
      </c>
    </row>
    <row r="15554">
      <c r="A15554">
        <f>Input!A15554</f>
        <v/>
      </c>
      <c r="B15554">
        <f>IF(ISNUMBER(Input!B15554),IF(AND(Input!B15554&gt;=20,Input!B15554&lt;=700),Input!B15554,""),"")</f>
        <v/>
      </c>
      <c r="C15554">
        <f>IF(B15554="","",INT(A15554))</f>
        <v/>
      </c>
      <c r="D15554">
        <f>IF(B15554="","",HOUR(A15554))</f>
        <v/>
      </c>
    </row>
    <row r="15555">
      <c r="A15555">
        <f>Input!A15555</f>
        <v/>
      </c>
      <c r="B15555">
        <f>IF(ISNUMBER(Input!B15555),IF(AND(Input!B15555&gt;=20,Input!B15555&lt;=700),Input!B15555,""),"")</f>
        <v/>
      </c>
      <c r="C15555">
        <f>IF(B15555="","",INT(A15555))</f>
        <v/>
      </c>
      <c r="D15555">
        <f>IF(B15555="","",HOUR(A15555))</f>
        <v/>
      </c>
    </row>
    <row r="15556">
      <c r="A15556">
        <f>Input!A15556</f>
        <v/>
      </c>
      <c r="B15556">
        <f>IF(ISNUMBER(Input!B15556),IF(AND(Input!B15556&gt;=20,Input!B15556&lt;=700),Input!B15556,""),"")</f>
        <v/>
      </c>
      <c r="C15556">
        <f>IF(B15556="","",INT(A15556))</f>
        <v/>
      </c>
      <c r="D15556">
        <f>IF(B15556="","",HOUR(A15556))</f>
        <v/>
      </c>
    </row>
    <row r="15557">
      <c r="A15557">
        <f>Input!A15557</f>
        <v/>
      </c>
      <c r="B15557">
        <f>IF(ISNUMBER(Input!B15557),IF(AND(Input!B15557&gt;=20,Input!B15557&lt;=700),Input!B15557,""),"")</f>
        <v/>
      </c>
      <c r="C15557">
        <f>IF(B15557="","",INT(A15557))</f>
        <v/>
      </c>
      <c r="D15557">
        <f>IF(B15557="","",HOUR(A15557))</f>
        <v/>
      </c>
    </row>
    <row r="15558">
      <c r="A15558">
        <f>Input!A15558</f>
        <v/>
      </c>
      <c r="B15558">
        <f>IF(ISNUMBER(Input!B15558),IF(AND(Input!B15558&gt;=20,Input!B15558&lt;=700),Input!B15558,""),"")</f>
        <v/>
      </c>
      <c r="C15558">
        <f>IF(B15558="","",INT(A15558))</f>
        <v/>
      </c>
      <c r="D15558">
        <f>IF(B15558="","",HOUR(A15558))</f>
        <v/>
      </c>
    </row>
    <row r="15559">
      <c r="A15559">
        <f>Input!A15559</f>
        <v/>
      </c>
      <c r="B15559">
        <f>IF(ISNUMBER(Input!B15559),IF(AND(Input!B15559&gt;=20,Input!B15559&lt;=700),Input!B15559,""),"")</f>
        <v/>
      </c>
      <c r="C15559">
        <f>IF(B15559="","",INT(A15559))</f>
        <v/>
      </c>
      <c r="D15559">
        <f>IF(B15559="","",HOUR(A15559))</f>
        <v/>
      </c>
    </row>
    <row r="15560">
      <c r="A15560">
        <f>Input!A15560</f>
        <v/>
      </c>
      <c r="B15560">
        <f>IF(ISNUMBER(Input!B15560),IF(AND(Input!B15560&gt;=20,Input!B15560&lt;=700),Input!B15560,""),"")</f>
        <v/>
      </c>
      <c r="C15560">
        <f>IF(B15560="","",INT(A15560))</f>
        <v/>
      </c>
      <c r="D15560">
        <f>IF(B15560="","",HOUR(A15560))</f>
        <v/>
      </c>
    </row>
    <row r="15561">
      <c r="A15561">
        <f>Input!A15561</f>
        <v/>
      </c>
      <c r="B15561">
        <f>IF(ISNUMBER(Input!B15561),IF(AND(Input!B15561&gt;=20,Input!B15561&lt;=700),Input!B15561,""),"")</f>
        <v/>
      </c>
      <c r="C15561">
        <f>IF(B15561="","",INT(A15561))</f>
        <v/>
      </c>
      <c r="D15561">
        <f>IF(B15561="","",HOUR(A15561))</f>
        <v/>
      </c>
    </row>
    <row r="15562">
      <c r="A15562">
        <f>Input!A15562</f>
        <v/>
      </c>
      <c r="B15562">
        <f>IF(ISNUMBER(Input!B15562),IF(AND(Input!B15562&gt;=20,Input!B15562&lt;=700),Input!B15562,""),"")</f>
        <v/>
      </c>
      <c r="C15562">
        <f>IF(B15562="","",INT(A15562))</f>
        <v/>
      </c>
      <c r="D15562">
        <f>IF(B15562="","",HOUR(A15562))</f>
        <v/>
      </c>
    </row>
    <row r="15563">
      <c r="A15563">
        <f>Input!A15563</f>
        <v/>
      </c>
      <c r="B15563">
        <f>IF(ISNUMBER(Input!B15563),IF(AND(Input!B15563&gt;=20,Input!B15563&lt;=700),Input!B15563,""),"")</f>
        <v/>
      </c>
      <c r="C15563">
        <f>IF(B15563="","",INT(A15563))</f>
        <v/>
      </c>
      <c r="D15563">
        <f>IF(B15563="","",HOUR(A15563))</f>
        <v/>
      </c>
    </row>
    <row r="15564">
      <c r="A15564">
        <f>Input!A15564</f>
        <v/>
      </c>
      <c r="B15564">
        <f>IF(ISNUMBER(Input!B15564),IF(AND(Input!B15564&gt;=20,Input!B15564&lt;=700),Input!B15564,""),"")</f>
        <v/>
      </c>
      <c r="C15564">
        <f>IF(B15564="","",INT(A15564))</f>
        <v/>
      </c>
      <c r="D15564">
        <f>IF(B15564="","",HOUR(A15564))</f>
        <v/>
      </c>
    </row>
    <row r="15565">
      <c r="A15565">
        <f>Input!A15565</f>
        <v/>
      </c>
      <c r="B15565">
        <f>IF(ISNUMBER(Input!B15565),IF(AND(Input!B15565&gt;=20,Input!B15565&lt;=700),Input!B15565,""),"")</f>
        <v/>
      </c>
      <c r="C15565">
        <f>IF(B15565="","",INT(A15565))</f>
        <v/>
      </c>
      <c r="D15565">
        <f>IF(B15565="","",HOUR(A15565))</f>
        <v/>
      </c>
    </row>
    <row r="15566">
      <c r="A15566">
        <f>Input!A15566</f>
        <v/>
      </c>
      <c r="B15566">
        <f>IF(ISNUMBER(Input!B15566),IF(AND(Input!B15566&gt;=20,Input!B15566&lt;=700),Input!B15566,""),"")</f>
        <v/>
      </c>
      <c r="C15566">
        <f>IF(B15566="","",INT(A15566))</f>
        <v/>
      </c>
      <c r="D15566">
        <f>IF(B15566="","",HOUR(A15566))</f>
        <v/>
      </c>
    </row>
    <row r="15567">
      <c r="A15567">
        <f>Input!A15567</f>
        <v/>
      </c>
      <c r="B15567">
        <f>IF(ISNUMBER(Input!B15567),IF(AND(Input!B15567&gt;=20,Input!B15567&lt;=700),Input!B15567,""),"")</f>
        <v/>
      </c>
      <c r="C15567">
        <f>IF(B15567="","",INT(A15567))</f>
        <v/>
      </c>
      <c r="D15567">
        <f>IF(B15567="","",HOUR(A15567))</f>
        <v/>
      </c>
    </row>
    <row r="15568">
      <c r="A15568">
        <f>Input!A15568</f>
        <v/>
      </c>
      <c r="B15568">
        <f>IF(ISNUMBER(Input!B15568),IF(AND(Input!B15568&gt;=20,Input!B15568&lt;=700),Input!B15568,""),"")</f>
        <v/>
      </c>
      <c r="C15568">
        <f>IF(B15568="","",INT(A15568))</f>
        <v/>
      </c>
      <c r="D15568">
        <f>IF(B15568="","",HOUR(A15568))</f>
        <v/>
      </c>
    </row>
    <row r="15569">
      <c r="A15569">
        <f>Input!A15569</f>
        <v/>
      </c>
      <c r="B15569">
        <f>IF(ISNUMBER(Input!B15569),IF(AND(Input!B15569&gt;=20,Input!B15569&lt;=700),Input!B15569,""),"")</f>
        <v/>
      </c>
      <c r="C15569">
        <f>IF(B15569="","",INT(A15569))</f>
        <v/>
      </c>
      <c r="D15569">
        <f>IF(B15569="","",HOUR(A15569))</f>
        <v/>
      </c>
    </row>
    <row r="15570">
      <c r="A15570">
        <f>Input!A15570</f>
        <v/>
      </c>
      <c r="B15570">
        <f>IF(ISNUMBER(Input!B15570),IF(AND(Input!B15570&gt;=20,Input!B15570&lt;=700),Input!B15570,""),"")</f>
        <v/>
      </c>
      <c r="C15570">
        <f>IF(B15570="","",INT(A15570))</f>
        <v/>
      </c>
      <c r="D15570">
        <f>IF(B15570="","",HOUR(A15570))</f>
        <v/>
      </c>
    </row>
    <row r="15571">
      <c r="A15571">
        <f>Input!A15571</f>
        <v/>
      </c>
      <c r="B15571">
        <f>IF(ISNUMBER(Input!B15571),IF(AND(Input!B15571&gt;=20,Input!B15571&lt;=700),Input!B15571,""),"")</f>
        <v/>
      </c>
      <c r="C15571">
        <f>IF(B15571="","",INT(A15571))</f>
        <v/>
      </c>
      <c r="D15571">
        <f>IF(B15571="","",HOUR(A15571))</f>
        <v/>
      </c>
    </row>
    <row r="15572">
      <c r="A15572">
        <f>Input!A15572</f>
        <v/>
      </c>
      <c r="B15572">
        <f>IF(ISNUMBER(Input!B15572),IF(AND(Input!B15572&gt;=20,Input!B15572&lt;=700),Input!B15572,""),"")</f>
        <v/>
      </c>
      <c r="C15572">
        <f>IF(B15572="","",INT(A15572))</f>
        <v/>
      </c>
      <c r="D15572">
        <f>IF(B15572="","",HOUR(A15572))</f>
        <v/>
      </c>
    </row>
    <row r="15573">
      <c r="A15573">
        <f>Input!A15573</f>
        <v/>
      </c>
      <c r="B15573">
        <f>IF(ISNUMBER(Input!B15573),IF(AND(Input!B15573&gt;=20,Input!B15573&lt;=700),Input!B15573,""),"")</f>
        <v/>
      </c>
      <c r="C15573">
        <f>IF(B15573="","",INT(A15573))</f>
        <v/>
      </c>
      <c r="D15573">
        <f>IF(B15573="","",HOUR(A15573))</f>
        <v/>
      </c>
    </row>
    <row r="15574">
      <c r="A15574">
        <f>Input!A15574</f>
        <v/>
      </c>
      <c r="B15574">
        <f>IF(ISNUMBER(Input!B15574),IF(AND(Input!B15574&gt;=20,Input!B15574&lt;=700),Input!B15574,""),"")</f>
        <v/>
      </c>
      <c r="C15574">
        <f>IF(B15574="","",INT(A15574))</f>
        <v/>
      </c>
      <c r="D15574">
        <f>IF(B15574="","",HOUR(A15574))</f>
        <v/>
      </c>
    </row>
    <row r="15575">
      <c r="A15575">
        <f>Input!A15575</f>
        <v/>
      </c>
      <c r="B15575">
        <f>IF(ISNUMBER(Input!B15575),IF(AND(Input!B15575&gt;=20,Input!B15575&lt;=700),Input!B15575,""),"")</f>
        <v/>
      </c>
      <c r="C15575">
        <f>IF(B15575="","",INT(A15575))</f>
        <v/>
      </c>
      <c r="D15575">
        <f>IF(B15575="","",HOUR(A15575))</f>
        <v/>
      </c>
    </row>
    <row r="15576">
      <c r="A15576">
        <f>Input!A15576</f>
        <v/>
      </c>
      <c r="B15576">
        <f>IF(ISNUMBER(Input!B15576),IF(AND(Input!B15576&gt;=20,Input!B15576&lt;=700),Input!B15576,""),"")</f>
        <v/>
      </c>
      <c r="C15576">
        <f>IF(B15576="","",INT(A15576))</f>
        <v/>
      </c>
      <c r="D15576">
        <f>IF(B15576="","",HOUR(A15576))</f>
        <v/>
      </c>
    </row>
    <row r="15577">
      <c r="A15577">
        <f>Input!A15577</f>
        <v/>
      </c>
      <c r="B15577">
        <f>IF(ISNUMBER(Input!B15577),IF(AND(Input!B15577&gt;=20,Input!B15577&lt;=700),Input!B15577,""),"")</f>
        <v/>
      </c>
      <c r="C15577">
        <f>IF(B15577="","",INT(A15577))</f>
        <v/>
      </c>
      <c r="D15577">
        <f>IF(B15577="","",HOUR(A15577))</f>
        <v/>
      </c>
    </row>
    <row r="15578">
      <c r="A15578">
        <f>Input!A15578</f>
        <v/>
      </c>
      <c r="B15578">
        <f>IF(ISNUMBER(Input!B15578),IF(AND(Input!B15578&gt;=20,Input!B15578&lt;=700),Input!B15578,""),"")</f>
        <v/>
      </c>
      <c r="C15578">
        <f>IF(B15578="","",INT(A15578))</f>
        <v/>
      </c>
      <c r="D15578">
        <f>IF(B15578="","",HOUR(A15578))</f>
        <v/>
      </c>
    </row>
    <row r="15579">
      <c r="A15579">
        <f>Input!A15579</f>
        <v/>
      </c>
      <c r="B15579">
        <f>IF(ISNUMBER(Input!B15579),IF(AND(Input!B15579&gt;=20,Input!B15579&lt;=700),Input!B15579,""),"")</f>
        <v/>
      </c>
      <c r="C15579">
        <f>IF(B15579="","",INT(A15579))</f>
        <v/>
      </c>
      <c r="D15579">
        <f>IF(B15579="","",HOUR(A15579))</f>
        <v/>
      </c>
    </row>
    <row r="15580">
      <c r="A15580">
        <f>Input!A15580</f>
        <v/>
      </c>
      <c r="B15580">
        <f>IF(ISNUMBER(Input!B15580),IF(AND(Input!B15580&gt;=20,Input!B15580&lt;=700),Input!B15580,""),"")</f>
        <v/>
      </c>
      <c r="C15580">
        <f>IF(B15580="","",INT(A15580))</f>
        <v/>
      </c>
      <c r="D15580">
        <f>IF(B15580="","",HOUR(A15580))</f>
        <v/>
      </c>
    </row>
    <row r="15581">
      <c r="A15581">
        <f>Input!A15581</f>
        <v/>
      </c>
      <c r="B15581">
        <f>IF(ISNUMBER(Input!B15581),IF(AND(Input!B15581&gt;=20,Input!B15581&lt;=700),Input!B15581,""),"")</f>
        <v/>
      </c>
      <c r="C15581">
        <f>IF(B15581="","",INT(A15581))</f>
        <v/>
      </c>
      <c r="D15581">
        <f>IF(B15581="","",HOUR(A15581))</f>
        <v/>
      </c>
    </row>
    <row r="15582">
      <c r="A15582">
        <f>Input!A15582</f>
        <v/>
      </c>
      <c r="B15582">
        <f>IF(ISNUMBER(Input!B15582),IF(AND(Input!B15582&gt;=20,Input!B15582&lt;=700),Input!B15582,""),"")</f>
        <v/>
      </c>
      <c r="C15582">
        <f>IF(B15582="","",INT(A15582))</f>
        <v/>
      </c>
      <c r="D15582">
        <f>IF(B15582="","",HOUR(A15582))</f>
        <v/>
      </c>
    </row>
    <row r="15583">
      <c r="A15583">
        <f>Input!A15583</f>
        <v/>
      </c>
      <c r="B15583">
        <f>IF(ISNUMBER(Input!B15583),IF(AND(Input!B15583&gt;=20,Input!B15583&lt;=700),Input!B15583,""),"")</f>
        <v/>
      </c>
      <c r="C15583">
        <f>IF(B15583="","",INT(A15583))</f>
        <v/>
      </c>
      <c r="D15583">
        <f>IF(B15583="","",HOUR(A15583))</f>
        <v/>
      </c>
    </row>
    <row r="15584">
      <c r="A15584">
        <f>Input!A15584</f>
        <v/>
      </c>
      <c r="B15584">
        <f>IF(ISNUMBER(Input!B15584),IF(AND(Input!B15584&gt;=20,Input!B15584&lt;=700),Input!B15584,""),"")</f>
        <v/>
      </c>
      <c r="C15584">
        <f>IF(B15584="","",INT(A15584))</f>
        <v/>
      </c>
      <c r="D15584">
        <f>IF(B15584="","",HOUR(A15584))</f>
        <v/>
      </c>
    </row>
    <row r="15585">
      <c r="A15585">
        <f>Input!A15585</f>
        <v/>
      </c>
      <c r="B15585">
        <f>IF(ISNUMBER(Input!B15585),IF(AND(Input!B15585&gt;=20,Input!B15585&lt;=700),Input!B15585,""),"")</f>
        <v/>
      </c>
      <c r="C15585">
        <f>IF(B15585="","",INT(A15585))</f>
        <v/>
      </c>
      <c r="D15585">
        <f>IF(B15585="","",HOUR(A15585))</f>
        <v/>
      </c>
    </row>
    <row r="15586">
      <c r="A15586">
        <f>Input!A15586</f>
        <v/>
      </c>
      <c r="B15586">
        <f>IF(ISNUMBER(Input!B15586),IF(AND(Input!B15586&gt;=20,Input!B15586&lt;=700),Input!B15586,""),"")</f>
        <v/>
      </c>
      <c r="C15586">
        <f>IF(B15586="","",INT(A15586))</f>
        <v/>
      </c>
      <c r="D15586">
        <f>IF(B15586="","",HOUR(A15586))</f>
        <v/>
      </c>
    </row>
    <row r="15587">
      <c r="A15587">
        <f>Input!A15587</f>
        <v/>
      </c>
      <c r="B15587">
        <f>IF(ISNUMBER(Input!B15587),IF(AND(Input!B15587&gt;=20,Input!B15587&lt;=700),Input!B15587,""),"")</f>
        <v/>
      </c>
      <c r="C15587">
        <f>IF(B15587="","",INT(A15587))</f>
        <v/>
      </c>
      <c r="D15587">
        <f>IF(B15587="","",HOUR(A15587))</f>
        <v/>
      </c>
    </row>
    <row r="15588">
      <c r="A15588">
        <f>Input!A15588</f>
        <v/>
      </c>
      <c r="B15588">
        <f>IF(ISNUMBER(Input!B15588),IF(AND(Input!B15588&gt;=20,Input!B15588&lt;=700),Input!B15588,""),"")</f>
        <v/>
      </c>
      <c r="C15588">
        <f>IF(B15588="","",INT(A15588))</f>
        <v/>
      </c>
      <c r="D15588">
        <f>IF(B15588="","",HOUR(A15588))</f>
        <v/>
      </c>
    </row>
    <row r="15589">
      <c r="A15589">
        <f>Input!A15589</f>
        <v/>
      </c>
      <c r="B15589">
        <f>IF(ISNUMBER(Input!B15589),IF(AND(Input!B15589&gt;=20,Input!B15589&lt;=700),Input!B15589,""),"")</f>
        <v/>
      </c>
      <c r="C15589">
        <f>IF(B15589="","",INT(A15589))</f>
        <v/>
      </c>
      <c r="D15589">
        <f>IF(B15589="","",HOUR(A15589))</f>
        <v/>
      </c>
    </row>
    <row r="15590">
      <c r="A15590">
        <f>Input!A15590</f>
        <v/>
      </c>
      <c r="B15590">
        <f>IF(ISNUMBER(Input!B15590),IF(AND(Input!B15590&gt;=20,Input!B15590&lt;=700),Input!B15590,""),"")</f>
        <v/>
      </c>
      <c r="C15590">
        <f>IF(B15590="","",INT(A15590))</f>
        <v/>
      </c>
      <c r="D15590">
        <f>IF(B15590="","",HOUR(A15590))</f>
        <v/>
      </c>
    </row>
    <row r="15591">
      <c r="A15591">
        <f>Input!A15591</f>
        <v/>
      </c>
      <c r="B15591">
        <f>IF(ISNUMBER(Input!B15591),IF(AND(Input!B15591&gt;=20,Input!B15591&lt;=700),Input!B15591,""),"")</f>
        <v/>
      </c>
      <c r="C15591">
        <f>IF(B15591="","",INT(A15591))</f>
        <v/>
      </c>
      <c r="D15591">
        <f>IF(B15591="","",HOUR(A15591))</f>
        <v/>
      </c>
    </row>
    <row r="15592">
      <c r="A15592">
        <f>Input!A15592</f>
        <v/>
      </c>
      <c r="B15592">
        <f>IF(ISNUMBER(Input!B15592),IF(AND(Input!B15592&gt;=20,Input!B15592&lt;=700),Input!B15592,""),"")</f>
        <v/>
      </c>
      <c r="C15592">
        <f>IF(B15592="","",INT(A15592))</f>
        <v/>
      </c>
      <c r="D15592">
        <f>IF(B15592="","",HOUR(A15592))</f>
        <v/>
      </c>
    </row>
    <row r="15593">
      <c r="A15593">
        <f>Input!A15593</f>
        <v/>
      </c>
      <c r="B15593">
        <f>IF(ISNUMBER(Input!B15593),IF(AND(Input!B15593&gt;=20,Input!B15593&lt;=700),Input!B15593,""),"")</f>
        <v/>
      </c>
      <c r="C15593">
        <f>IF(B15593="","",INT(A15593))</f>
        <v/>
      </c>
      <c r="D15593">
        <f>IF(B15593="","",HOUR(A15593))</f>
        <v/>
      </c>
    </row>
    <row r="15594">
      <c r="A15594">
        <f>Input!A15594</f>
        <v/>
      </c>
      <c r="B15594">
        <f>IF(ISNUMBER(Input!B15594),IF(AND(Input!B15594&gt;=20,Input!B15594&lt;=700),Input!B15594,""),"")</f>
        <v/>
      </c>
      <c r="C15594">
        <f>IF(B15594="","",INT(A15594))</f>
        <v/>
      </c>
      <c r="D15594">
        <f>IF(B15594="","",HOUR(A15594))</f>
        <v/>
      </c>
    </row>
    <row r="15595">
      <c r="A15595">
        <f>Input!A15595</f>
        <v/>
      </c>
      <c r="B15595">
        <f>IF(ISNUMBER(Input!B15595),IF(AND(Input!B15595&gt;=20,Input!B15595&lt;=700),Input!B15595,""),"")</f>
        <v/>
      </c>
      <c r="C15595">
        <f>IF(B15595="","",INT(A15595))</f>
        <v/>
      </c>
      <c r="D15595">
        <f>IF(B15595="","",HOUR(A15595))</f>
        <v/>
      </c>
    </row>
    <row r="15596">
      <c r="A15596">
        <f>Input!A15596</f>
        <v/>
      </c>
      <c r="B15596">
        <f>IF(ISNUMBER(Input!B15596),IF(AND(Input!B15596&gt;=20,Input!B15596&lt;=700),Input!B15596,""),"")</f>
        <v/>
      </c>
      <c r="C15596">
        <f>IF(B15596="","",INT(A15596))</f>
        <v/>
      </c>
      <c r="D15596">
        <f>IF(B15596="","",HOUR(A15596))</f>
        <v/>
      </c>
    </row>
    <row r="15597">
      <c r="A15597">
        <f>Input!A15597</f>
        <v/>
      </c>
      <c r="B15597">
        <f>IF(ISNUMBER(Input!B15597),IF(AND(Input!B15597&gt;=20,Input!B15597&lt;=700),Input!B15597,""),"")</f>
        <v/>
      </c>
      <c r="C15597">
        <f>IF(B15597="","",INT(A15597))</f>
        <v/>
      </c>
      <c r="D15597">
        <f>IF(B15597="","",HOUR(A15597))</f>
        <v/>
      </c>
    </row>
    <row r="15598">
      <c r="A15598">
        <f>Input!A15598</f>
        <v/>
      </c>
      <c r="B15598">
        <f>IF(ISNUMBER(Input!B15598),IF(AND(Input!B15598&gt;=20,Input!B15598&lt;=700),Input!B15598,""),"")</f>
        <v/>
      </c>
      <c r="C15598">
        <f>IF(B15598="","",INT(A15598))</f>
        <v/>
      </c>
      <c r="D15598">
        <f>IF(B15598="","",HOUR(A15598))</f>
        <v/>
      </c>
    </row>
    <row r="15599">
      <c r="A15599">
        <f>Input!A15599</f>
        <v/>
      </c>
      <c r="B15599">
        <f>IF(ISNUMBER(Input!B15599),IF(AND(Input!B15599&gt;=20,Input!B15599&lt;=700),Input!B15599,""),"")</f>
        <v/>
      </c>
      <c r="C15599">
        <f>IF(B15599="","",INT(A15599))</f>
        <v/>
      </c>
      <c r="D15599">
        <f>IF(B15599="","",HOUR(A15599))</f>
        <v/>
      </c>
    </row>
    <row r="15600">
      <c r="A15600">
        <f>Input!A15600</f>
        <v/>
      </c>
      <c r="B15600">
        <f>IF(ISNUMBER(Input!B15600),IF(AND(Input!B15600&gt;=20,Input!B15600&lt;=700),Input!B15600,""),"")</f>
        <v/>
      </c>
      <c r="C15600">
        <f>IF(B15600="","",INT(A15600))</f>
        <v/>
      </c>
      <c r="D15600">
        <f>IF(B15600="","",HOUR(A15600))</f>
        <v/>
      </c>
    </row>
    <row r="15601">
      <c r="A15601">
        <f>Input!A15601</f>
        <v/>
      </c>
      <c r="B15601">
        <f>IF(ISNUMBER(Input!B15601),IF(AND(Input!B15601&gt;=20,Input!B15601&lt;=700),Input!B15601,""),"")</f>
        <v/>
      </c>
      <c r="C15601">
        <f>IF(B15601="","",INT(A15601))</f>
        <v/>
      </c>
      <c r="D15601">
        <f>IF(B15601="","",HOUR(A15601))</f>
        <v/>
      </c>
    </row>
    <row r="15602">
      <c r="A15602">
        <f>Input!A15602</f>
        <v/>
      </c>
      <c r="B15602">
        <f>IF(ISNUMBER(Input!B15602),IF(AND(Input!B15602&gt;=20,Input!B15602&lt;=700),Input!B15602,""),"")</f>
        <v/>
      </c>
      <c r="C15602">
        <f>IF(B15602="","",INT(A15602))</f>
        <v/>
      </c>
      <c r="D15602">
        <f>IF(B15602="","",HOUR(A15602))</f>
        <v/>
      </c>
    </row>
    <row r="15603">
      <c r="A15603">
        <f>Input!A15603</f>
        <v/>
      </c>
      <c r="B15603">
        <f>IF(ISNUMBER(Input!B15603),IF(AND(Input!B15603&gt;=20,Input!B15603&lt;=700),Input!B15603,""),"")</f>
        <v/>
      </c>
      <c r="C15603">
        <f>IF(B15603="","",INT(A15603))</f>
        <v/>
      </c>
      <c r="D15603">
        <f>IF(B15603="","",HOUR(A15603))</f>
        <v/>
      </c>
    </row>
    <row r="15604">
      <c r="A15604">
        <f>Input!A15604</f>
        <v/>
      </c>
      <c r="B15604">
        <f>IF(ISNUMBER(Input!B15604),IF(AND(Input!B15604&gt;=20,Input!B15604&lt;=700),Input!B15604,""),"")</f>
        <v/>
      </c>
      <c r="C15604">
        <f>IF(B15604="","",INT(A15604))</f>
        <v/>
      </c>
      <c r="D15604">
        <f>IF(B15604="","",HOUR(A15604))</f>
        <v/>
      </c>
    </row>
    <row r="15605">
      <c r="A15605">
        <f>Input!A15605</f>
        <v/>
      </c>
      <c r="B15605">
        <f>IF(ISNUMBER(Input!B15605),IF(AND(Input!B15605&gt;=20,Input!B15605&lt;=700),Input!B15605,""),"")</f>
        <v/>
      </c>
      <c r="C15605">
        <f>IF(B15605="","",INT(A15605))</f>
        <v/>
      </c>
      <c r="D15605">
        <f>IF(B15605="","",HOUR(A15605))</f>
        <v/>
      </c>
    </row>
    <row r="15606">
      <c r="A15606">
        <f>Input!A15606</f>
        <v/>
      </c>
      <c r="B15606">
        <f>IF(ISNUMBER(Input!B15606),IF(AND(Input!B15606&gt;=20,Input!B15606&lt;=700),Input!B15606,""),"")</f>
        <v/>
      </c>
      <c r="C15606">
        <f>IF(B15606="","",INT(A15606))</f>
        <v/>
      </c>
      <c r="D15606">
        <f>IF(B15606="","",HOUR(A15606))</f>
        <v/>
      </c>
    </row>
    <row r="15607">
      <c r="A15607">
        <f>Input!A15607</f>
        <v/>
      </c>
      <c r="B15607">
        <f>IF(ISNUMBER(Input!B15607),IF(AND(Input!B15607&gt;=20,Input!B15607&lt;=700),Input!B15607,""),"")</f>
        <v/>
      </c>
      <c r="C15607">
        <f>IF(B15607="","",INT(A15607))</f>
        <v/>
      </c>
      <c r="D15607">
        <f>IF(B15607="","",HOUR(A15607))</f>
        <v/>
      </c>
    </row>
    <row r="15608">
      <c r="A15608">
        <f>Input!A15608</f>
        <v/>
      </c>
      <c r="B15608">
        <f>IF(ISNUMBER(Input!B15608),IF(AND(Input!B15608&gt;=20,Input!B15608&lt;=700),Input!B15608,""),"")</f>
        <v/>
      </c>
      <c r="C15608">
        <f>IF(B15608="","",INT(A15608))</f>
        <v/>
      </c>
      <c r="D15608">
        <f>IF(B15608="","",HOUR(A15608))</f>
        <v/>
      </c>
    </row>
    <row r="15609">
      <c r="A15609">
        <f>Input!A15609</f>
        <v/>
      </c>
      <c r="B15609">
        <f>IF(ISNUMBER(Input!B15609),IF(AND(Input!B15609&gt;=20,Input!B15609&lt;=700),Input!B15609,""),"")</f>
        <v/>
      </c>
      <c r="C15609">
        <f>IF(B15609="","",INT(A15609))</f>
        <v/>
      </c>
      <c r="D15609">
        <f>IF(B15609="","",HOUR(A15609))</f>
        <v/>
      </c>
    </row>
    <row r="15610">
      <c r="A15610">
        <f>Input!A15610</f>
        <v/>
      </c>
      <c r="B15610">
        <f>IF(ISNUMBER(Input!B15610),IF(AND(Input!B15610&gt;=20,Input!B15610&lt;=700),Input!B15610,""),"")</f>
        <v/>
      </c>
      <c r="C15610">
        <f>IF(B15610="","",INT(A15610))</f>
        <v/>
      </c>
      <c r="D15610">
        <f>IF(B15610="","",HOUR(A15610))</f>
        <v/>
      </c>
    </row>
    <row r="15611">
      <c r="A15611">
        <f>Input!A15611</f>
        <v/>
      </c>
      <c r="B15611">
        <f>IF(ISNUMBER(Input!B15611),IF(AND(Input!B15611&gt;=20,Input!B15611&lt;=700),Input!B15611,""),"")</f>
        <v/>
      </c>
      <c r="C15611">
        <f>IF(B15611="","",INT(A15611))</f>
        <v/>
      </c>
      <c r="D15611">
        <f>IF(B15611="","",HOUR(A15611))</f>
        <v/>
      </c>
    </row>
    <row r="15612">
      <c r="A15612">
        <f>Input!A15612</f>
        <v/>
      </c>
      <c r="B15612">
        <f>IF(ISNUMBER(Input!B15612),IF(AND(Input!B15612&gt;=20,Input!B15612&lt;=700),Input!B15612,""),"")</f>
        <v/>
      </c>
      <c r="C15612">
        <f>IF(B15612="","",INT(A15612))</f>
        <v/>
      </c>
      <c r="D15612">
        <f>IF(B15612="","",HOUR(A15612))</f>
        <v/>
      </c>
    </row>
    <row r="15613">
      <c r="A15613">
        <f>Input!A15613</f>
        <v/>
      </c>
      <c r="B15613">
        <f>IF(ISNUMBER(Input!B15613),IF(AND(Input!B15613&gt;=20,Input!B15613&lt;=700),Input!B15613,""),"")</f>
        <v/>
      </c>
      <c r="C15613">
        <f>IF(B15613="","",INT(A15613))</f>
        <v/>
      </c>
      <c r="D15613">
        <f>IF(B15613="","",HOUR(A15613))</f>
        <v/>
      </c>
    </row>
    <row r="15614">
      <c r="A15614">
        <f>Input!A15614</f>
        <v/>
      </c>
      <c r="B15614">
        <f>IF(ISNUMBER(Input!B15614),IF(AND(Input!B15614&gt;=20,Input!B15614&lt;=700),Input!B15614,""),"")</f>
        <v/>
      </c>
      <c r="C15614">
        <f>IF(B15614="","",INT(A15614))</f>
        <v/>
      </c>
      <c r="D15614">
        <f>IF(B15614="","",HOUR(A15614))</f>
        <v/>
      </c>
    </row>
    <row r="15615">
      <c r="A15615">
        <f>Input!A15615</f>
        <v/>
      </c>
      <c r="B15615">
        <f>IF(ISNUMBER(Input!B15615),IF(AND(Input!B15615&gt;=20,Input!B15615&lt;=700),Input!B15615,""),"")</f>
        <v/>
      </c>
      <c r="C15615">
        <f>IF(B15615="","",INT(A15615))</f>
        <v/>
      </c>
      <c r="D15615">
        <f>IF(B15615="","",HOUR(A15615))</f>
        <v/>
      </c>
    </row>
    <row r="15616">
      <c r="A15616">
        <f>Input!A15616</f>
        <v/>
      </c>
      <c r="B15616">
        <f>IF(ISNUMBER(Input!B15616),IF(AND(Input!B15616&gt;=20,Input!B15616&lt;=700),Input!B15616,""),"")</f>
        <v/>
      </c>
      <c r="C15616">
        <f>IF(B15616="","",INT(A15616))</f>
        <v/>
      </c>
      <c r="D15616">
        <f>IF(B15616="","",HOUR(A15616))</f>
        <v/>
      </c>
    </row>
    <row r="15617">
      <c r="A15617">
        <f>Input!A15617</f>
        <v/>
      </c>
      <c r="B15617">
        <f>IF(ISNUMBER(Input!B15617),IF(AND(Input!B15617&gt;=20,Input!B15617&lt;=700),Input!B15617,""),"")</f>
        <v/>
      </c>
      <c r="C15617">
        <f>IF(B15617="","",INT(A15617))</f>
        <v/>
      </c>
      <c r="D15617">
        <f>IF(B15617="","",HOUR(A15617))</f>
        <v/>
      </c>
    </row>
    <row r="15618">
      <c r="A15618">
        <f>Input!A15618</f>
        <v/>
      </c>
      <c r="B15618">
        <f>IF(ISNUMBER(Input!B15618),IF(AND(Input!B15618&gt;=20,Input!B15618&lt;=700),Input!B15618,""),"")</f>
        <v/>
      </c>
      <c r="C15618">
        <f>IF(B15618="","",INT(A15618))</f>
        <v/>
      </c>
      <c r="D15618">
        <f>IF(B15618="","",HOUR(A15618))</f>
        <v/>
      </c>
    </row>
    <row r="15619">
      <c r="A15619">
        <f>Input!A15619</f>
        <v/>
      </c>
      <c r="B15619">
        <f>IF(ISNUMBER(Input!B15619),IF(AND(Input!B15619&gt;=20,Input!B15619&lt;=700),Input!B15619,""),"")</f>
        <v/>
      </c>
      <c r="C15619">
        <f>IF(B15619="","",INT(A15619))</f>
        <v/>
      </c>
      <c r="D15619">
        <f>IF(B15619="","",HOUR(A15619))</f>
        <v/>
      </c>
    </row>
    <row r="15620">
      <c r="A15620">
        <f>Input!A15620</f>
        <v/>
      </c>
      <c r="B15620">
        <f>IF(ISNUMBER(Input!B15620),IF(AND(Input!B15620&gt;=20,Input!B15620&lt;=700),Input!B15620,""),"")</f>
        <v/>
      </c>
      <c r="C15620">
        <f>IF(B15620="","",INT(A15620))</f>
        <v/>
      </c>
      <c r="D15620">
        <f>IF(B15620="","",HOUR(A15620))</f>
        <v/>
      </c>
    </row>
    <row r="15621">
      <c r="A15621">
        <f>Input!A15621</f>
        <v/>
      </c>
      <c r="B15621">
        <f>IF(ISNUMBER(Input!B15621),IF(AND(Input!B15621&gt;=20,Input!B15621&lt;=700),Input!B15621,""),"")</f>
        <v/>
      </c>
      <c r="C15621">
        <f>IF(B15621="","",INT(A15621))</f>
        <v/>
      </c>
      <c r="D15621">
        <f>IF(B15621="","",HOUR(A15621))</f>
        <v/>
      </c>
    </row>
    <row r="15622">
      <c r="A15622">
        <f>Input!A15622</f>
        <v/>
      </c>
      <c r="B15622">
        <f>IF(ISNUMBER(Input!B15622),IF(AND(Input!B15622&gt;=20,Input!B15622&lt;=700),Input!B15622,""),"")</f>
        <v/>
      </c>
      <c r="C15622">
        <f>IF(B15622="","",INT(A15622))</f>
        <v/>
      </c>
      <c r="D15622">
        <f>IF(B15622="","",HOUR(A15622))</f>
        <v/>
      </c>
    </row>
    <row r="15623">
      <c r="A15623">
        <f>Input!A15623</f>
        <v/>
      </c>
      <c r="B15623">
        <f>IF(ISNUMBER(Input!B15623),IF(AND(Input!B15623&gt;=20,Input!B15623&lt;=700),Input!B15623,""),"")</f>
        <v/>
      </c>
      <c r="C15623">
        <f>IF(B15623="","",INT(A15623))</f>
        <v/>
      </c>
      <c r="D15623">
        <f>IF(B15623="","",HOUR(A15623))</f>
        <v/>
      </c>
    </row>
    <row r="15624">
      <c r="A15624">
        <f>Input!A15624</f>
        <v/>
      </c>
      <c r="B15624">
        <f>IF(ISNUMBER(Input!B15624),IF(AND(Input!B15624&gt;=20,Input!B15624&lt;=700),Input!B15624,""),"")</f>
        <v/>
      </c>
      <c r="C15624">
        <f>IF(B15624="","",INT(A15624))</f>
        <v/>
      </c>
      <c r="D15624">
        <f>IF(B15624="","",HOUR(A15624))</f>
        <v/>
      </c>
    </row>
    <row r="15625">
      <c r="A15625">
        <f>Input!A15625</f>
        <v/>
      </c>
      <c r="B15625">
        <f>IF(ISNUMBER(Input!B15625),IF(AND(Input!B15625&gt;=20,Input!B15625&lt;=700),Input!B15625,""),"")</f>
        <v/>
      </c>
      <c r="C15625">
        <f>IF(B15625="","",INT(A15625))</f>
        <v/>
      </c>
      <c r="D15625">
        <f>IF(B15625="","",HOUR(A15625))</f>
        <v/>
      </c>
    </row>
    <row r="15626">
      <c r="A15626">
        <f>Input!A15626</f>
        <v/>
      </c>
      <c r="B15626">
        <f>IF(ISNUMBER(Input!B15626),IF(AND(Input!B15626&gt;=20,Input!B15626&lt;=700),Input!B15626,""),"")</f>
        <v/>
      </c>
      <c r="C15626">
        <f>IF(B15626="","",INT(A15626))</f>
        <v/>
      </c>
      <c r="D15626">
        <f>IF(B15626="","",HOUR(A15626))</f>
        <v/>
      </c>
    </row>
    <row r="15627">
      <c r="A15627">
        <f>Input!A15627</f>
        <v/>
      </c>
      <c r="B15627">
        <f>IF(ISNUMBER(Input!B15627),IF(AND(Input!B15627&gt;=20,Input!B15627&lt;=700),Input!B15627,""),"")</f>
        <v/>
      </c>
      <c r="C15627">
        <f>IF(B15627="","",INT(A15627))</f>
        <v/>
      </c>
      <c r="D15627">
        <f>IF(B15627="","",HOUR(A15627))</f>
        <v/>
      </c>
    </row>
    <row r="15628">
      <c r="A15628">
        <f>Input!A15628</f>
        <v/>
      </c>
      <c r="B15628">
        <f>IF(ISNUMBER(Input!B15628),IF(AND(Input!B15628&gt;=20,Input!B15628&lt;=700),Input!B15628,""),"")</f>
        <v/>
      </c>
      <c r="C15628">
        <f>IF(B15628="","",INT(A15628))</f>
        <v/>
      </c>
      <c r="D15628">
        <f>IF(B15628="","",HOUR(A15628))</f>
        <v/>
      </c>
    </row>
    <row r="15629">
      <c r="A15629">
        <f>Input!A15629</f>
        <v/>
      </c>
      <c r="B15629">
        <f>IF(ISNUMBER(Input!B15629),IF(AND(Input!B15629&gt;=20,Input!B15629&lt;=700),Input!B15629,""),"")</f>
        <v/>
      </c>
      <c r="C15629">
        <f>IF(B15629="","",INT(A15629))</f>
        <v/>
      </c>
      <c r="D15629">
        <f>IF(B15629="","",HOUR(A15629))</f>
        <v/>
      </c>
    </row>
    <row r="15630">
      <c r="A15630">
        <f>Input!A15630</f>
        <v/>
      </c>
      <c r="B15630">
        <f>IF(ISNUMBER(Input!B15630),IF(AND(Input!B15630&gt;=20,Input!B15630&lt;=700),Input!B15630,""),"")</f>
        <v/>
      </c>
      <c r="C15630">
        <f>IF(B15630="","",INT(A15630))</f>
        <v/>
      </c>
      <c r="D15630">
        <f>IF(B15630="","",HOUR(A15630))</f>
        <v/>
      </c>
    </row>
    <row r="15631">
      <c r="A15631">
        <f>Input!A15631</f>
        <v/>
      </c>
      <c r="B15631">
        <f>IF(ISNUMBER(Input!B15631),IF(AND(Input!B15631&gt;=20,Input!B15631&lt;=700),Input!B15631,""),"")</f>
        <v/>
      </c>
      <c r="C15631">
        <f>IF(B15631="","",INT(A15631))</f>
        <v/>
      </c>
      <c r="D15631">
        <f>IF(B15631="","",HOUR(A15631))</f>
        <v/>
      </c>
    </row>
    <row r="15632">
      <c r="A15632">
        <f>Input!A15632</f>
        <v/>
      </c>
      <c r="B15632">
        <f>IF(ISNUMBER(Input!B15632),IF(AND(Input!B15632&gt;=20,Input!B15632&lt;=700),Input!B15632,""),"")</f>
        <v/>
      </c>
      <c r="C15632">
        <f>IF(B15632="","",INT(A15632))</f>
        <v/>
      </c>
      <c r="D15632">
        <f>IF(B15632="","",HOUR(A15632))</f>
        <v/>
      </c>
    </row>
    <row r="15633">
      <c r="A15633">
        <f>Input!A15633</f>
        <v/>
      </c>
      <c r="B15633">
        <f>IF(ISNUMBER(Input!B15633),IF(AND(Input!B15633&gt;=20,Input!B15633&lt;=700),Input!B15633,""),"")</f>
        <v/>
      </c>
      <c r="C15633">
        <f>IF(B15633="","",INT(A15633))</f>
        <v/>
      </c>
      <c r="D15633">
        <f>IF(B15633="","",HOUR(A15633))</f>
        <v/>
      </c>
    </row>
    <row r="15634">
      <c r="A15634">
        <f>Input!A15634</f>
        <v/>
      </c>
      <c r="B15634">
        <f>IF(ISNUMBER(Input!B15634),IF(AND(Input!B15634&gt;=20,Input!B15634&lt;=700),Input!B15634,""),"")</f>
        <v/>
      </c>
      <c r="C15634">
        <f>IF(B15634="","",INT(A15634))</f>
        <v/>
      </c>
      <c r="D15634">
        <f>IF(B15634="","",HOUR(A15634))</f>
        <v/>
      </c>
    </row>
    <row r="15635">
      <c r="A15635">
        <f>Input!A15635</f>
        <v/>
      </c>
      <c r="B15635">
        <f>IF(ISNUMBER(Input!B15635),IF(AND(Input!B15635&gt;=20,Input!B15635&lt;=700),Input!B15635,""),"")</f>
        <v/>
      </c>
      <c r="C15635">
        <f>IF(B15635="","",INT(A15635))</f>
        <v/>
      </c>
      <c r="D15635">
        <f>IF(B15635="","",HOUR(A15635))</f>
        <v/>
      </c>
    </row>
    <row r="15636">
      <c r="A15636">
        <f>Input!A15636</f>
        <v/>
      </c>
      <c r="B15636">
        <f>IF(ISNUMBER(Input!B15636),IF(AND(Input!B15636&gt;=20,Input!B15636&lt;=700),Input!B15636,""),"")</f>
        <v/>
      </c>
      <c r="C15636">
        <f>IF(B15636="","",INT(A15636))</f>
        <v/>
      </c>
      <c r="D15636">
        <f>IF(B15636="","",HOUR(A15636))</f>
        <v/>
      </c>
    </row>
    <row r="15637">
      <c r="A15637">
        <f>Input!A15637</f>
        <v/>
      </c>
      <c r="B15637">
        <f>IF(ISNUMBER(Input!B15637),IF(AND(Input!B15637&gt;=20,Input!B15637&lt;=700),Input!B15637,""),"")</f>
        <v/>
      </c>
      <c r="C15637">
        <f>IF(B15637="","",INT(A15637))</f>
        <v/>
      </c>
      <c r="D15637">
        <f>IF(B15637="","",HOUR(A15637))</f>
        <v/>
      </c>
    </row>
    <row r="15638">
      <c r="A15638">
        <f>Input!A15638</f>
        <v/>
      </c>
      <c r="B15638">
        <f>IF(ISNUMBER(Input!B15638),IF(AND(Input!B15638&gt;=20,Input!B15638&lt;=700),Input!B15638,""),"")</f>
        <v/>
      </c>
      <c r="C15638">
        <f>IF(B15638="","",INT(A15638))</f>
        <v/>
      </c>
      <c r="D15638">
        <f>IF(B15638="","",HOUR(A15638))</f>
        <v/>
      </c>
    </row>
    <row r="15639">
      <c r="A15639">
        <f>Input!A15639</f>
        <v/>
      </c>
      <c r="B15639">
        <f>IF(ISNUMBER(Input!B15639),IF(AND(Input!B15639&gt;=20,Input!B15639&lt;=700),Input!B15639,""),"")</f>
        <v/>
      </c>
      <c r="C15639">
        <f>IF(B15639="","",INT(A15639))</f>
        <v/>
      </c>
      <c r="D15639">
        <f>IF(B15639="","",HOUR(A15639))</f>
        <v/>
      </c>
    </row>
    <row r="15640">
      <c r="A15640">
        <f>Input!A15640</f>
        <v/>
      </c>
      <c r="B15640">
        <f>IF(ISNUMBER(Input!B15640),IF(AND(Input!B15640&gt;=20,Input!B15640&lt;=700),Input!B15640,""),"")</f>
        <v/>
      </c>
      <c r="C15640">
        <f>IF(B15640="","",INT(A15640))</f>
        <v/>
      </c>
      <c r="D15640">
        <f>IF(B15640="","",HOUR(A15640))</f>
        <v/>
      </c>
    </row>
    <row r="15641">
      <c r="A15641">
        <f>Input!A15641</f>
        <v/>
      </c>
      <c r="B15641">
        <f>IF(ISNUMBER(Input!B15641),IF(AND(Input!B15641&gt;=20,Input!B15641&lt;=700),Input!B15641,""),"")</f>
        <v/>
      </c>
      <c r="C15641">
        <f>IF(B15641="","",INT(A15641))</f>
        <v/>
      </c>
      <c r="D15641">
        <f>IF(B15641="","",HOUR(A15641))</f>
        <v/>
      </c>
    </row>
    <row r="15642">
      <c r="A15642">
        <f>Input!A15642</f>
        <v/>
      </c>
      <c r="B15642">
        <f>IF(ISNUMBER(Input!B15642),IF(AND(Input!B15642&gt;=20,Input!B15642&lt;=700),Input!B15642,""),"")</f>
        <v/>
      </c>
      <c r="C15642">
        <f>IF(B15642="","",INT(A15642))</f>
        <v/>
      </c>
      <c r="D15642">
        <f>IF(B15642="","",HOUR(A15642))</f>
        <v/>
      </c>
    </row>
    <row r="15643">
      <c r="A15643">
        <f>Input!A15643</f>
        <v/>
      </c>
      <c r="B15643">
        <f>IF(ISNUMBER(Input!B15643),IF(AND(Input!B15643&gt;=20,Input!B15643&lt;=700),Input!B15643,""),"")</f>
        <v/>
      </c>
      <c r="C15643">
        <f>IF(B15643="","",INT(A15643))</f>
        <v/>
      </c>
      <c r="D15643">
        <f>IF(B15643="","",HOUR(A15643))</f>
        <v/>
      </c>
    </row>
    <row r="15644">
      <c r="A15644">
        <f>Input!A15644</f>
        <v/>
      </c>
      <c r="B15644">
        <f>IF(ISNUMBER(Input!B15644),IF(AND(Input!B15644&gt;=20,Input!B15644&lt;=700),Input!B15644,""),"")</f>
        <v/>
      </c>
      <c r="C15644">
        <f>IF(B15644="","",INT(A15644))</f>
        <v/>
      </c>
      <c r="D15644">
        <f>IF(B15644="","",HOUR(A15644))</f>
        <v/>
      </c>
    </row>
    <row r="15645">
      <c r="A15645">
        <f>Input!A15645</f>
        <v/>
      </c>
      <c r="B15645">
        <f>IF(ISNUMBER(Input!B15645),IF(AND(Input!B15645&gt;=20,Input!B15645&lt;=700),Input!B15645,""),"")</f>
        <v/>
      </c>
      <c r="C15645">
        <f>IF(B15645="","",INT(A15645))</f>
        <v/>
      </c>
      <c r="D15645">
        <f>IF(B15645="","",HOUR(A15645))</f>
        <v/>
      </c>
    </row>
    <row r="15646">
      <c r="A15646">
        <f>Input!A15646</f>
        <v/>
      </c>
      <c r="B15646">
        <f>IF(ISNUMBER(Input!B15646),IF(AND(Input!B15646&gt;=20,Input!B15646&lt;=700),Input!B15646,""),"")</f>
        <v/>
      </c>
      <c r="C15646">
        <f>IF(B15646="","",INT(A15646))</f>
        <v/>
      </c>
      <c r="D15646">
        <f>IF(B15646="","",HOUR(A15646))</f>
        <v/>
      </c>
    </row>
    <row r="15647">
      <c r="A15647">
        <f>Input!A15647</f>
        <v/>
      </c>
      <c r="B15647">
        <f>IF(ISNUMBER(Input!B15647),IF(AND(Input!B15647&gt;=20,Input!B15647&lt;=700),Input!B15647,""),"")</f>
        <v/>
      </c>
      <c r="C15647">
        <f>IF(B15647="","",INT(A15647))</f>
        <v/>
      </c>
      <c r="D15647">
        <f>IF(B15647="","",HOUR(A15647))</f>
        <v/>
      </c>
    </row>
    <row r="15648">
      <c r="A15648">
        <f>Input!A15648</f>
        <v/>
      </c>
      <c r="B15648">
        <f>IF(ISNUMBER(Input!B15648),IF(AND(Input!B15648&gt;=20,Input!B15648&lt;=700),Input!B15648,""),"")</f>
        <v/>
      </c>
      <c r="C15648">
        <f>IF(B15648="","",INT(A15648))</f>
        <v/>
      </c>
      <c r="D15648">
        <f>IF(B15648="","",HOUR(A15648))</f>
        <v/>
      </c>
    </row>
    <row r="15649">
      <c r="A15649">
        <f>Input!A15649</f>
        <v/>
      </c>
      <c r="B15649">
        <f>IF(ISNUMBER(Input!B15649),IF(AND(Input!B15649&gt;=20,Input!B15649&lt;=700),Input!B15649,""),"")</f>
        <v/>
      </c>
      <c r="C15649">
        <f>IF(B15649="","",INT(A15649))</f>
        <v/>
      </c>
      <c r="D15649">
        <f>IF(B15649="","",HOUR(A15649))</f>
        <v/>
      </c>
    </row>
    <row r="15650">
      <c r="A15650">
        <f>Input!A15650</f>
        <v/>
      </c>
      <c r="B15650">
        <f>IF(ISNUMBER(Input!B15650),IF(AND(Input!B15650&gt;=20,Input!B15650&lt;=700),Input!B15650,""),"")</f>
        <v/>
      </c>
      <c r="C15650">
        <f>IF(B15650="","",INT(A15650))</f>
        <v/>
      </c>
      <c r="D15650">
        <f>IF(B15650="","",HOUR(A15650))</f>
        <v/>
      </c>
    </row>
    <row r="15651">
      <c r="A15651">
        <f>Input!A15651</f>
        <v/>
      </c>
      <c r="B15651">
        <f>IF(ISNUMBER(Input!B15651),IF(AND(Input!B15651&gt;=20,Input!B15651&lt;=700),Input!B15651,""),"")</f>
        <v/>
      </c>
      <c r="C15651">
        <f>IF(B15651="","",INT(A15651))</f>
        <v/>
      </c>
      <c r="D15651">
        <f>IF(B15651="","",HOUR(A15651))</f>
        <v/>
      </c>
    </row>
    <row r="15652">
      <c r="A15652">
        <f>Input!A15652</f>
        <v/>
      </c>
      <c r="B15652">
        <f>IF(ISNUMBER(Input!B15652),IF(AND(Input!B15652&gt;=20,Input!B15652&lt;=700),Input!B15652,""),"")</f>
        <v/>
      </c>
      <c r="C15652">
        <f>IF(B15652="","",INT(A15652))</f>
        <v/>
      </c>
      <c r="D15652">
        <f>IF(B15652="","",HOUR(A15652))</f>
        <v/>
      </c>
    </row>
    <row r="15653">
      <c r="A15653">
        <f>Input!A15653</f>
        <v/>
      </c>
      <c r="B15653">
        <f>IF(ISNUMBER(Input!B15653),IF(AND(Input!B15653&gt;=20,Input!B15653&lt;=700),Input!B15653,""),"")</f>
        <v/>
      </c>
      <c r="C15653">
        <f>IF(B15653="","",INT(A15653))</f>
        <v/>
      </c>
      <c r="D15653">
        <f>IF(B15653="","",HOUR(A15653))</f>
        <v/>
      </c>
    </row>
    <row r="15654">
      <c r="A15654">
        <f>Input!A15654</f>
        <v/>
      </c>
      <c r="B15654">
        <f>IF(ISNUMBER(Input!B15654),IF(AND(Input!B15654&gt;=20,Input!B15654&lt;=700),Input!B15654,""),"")</f>
        <v/>
      </c>
      <c r="C15654">
        <f>IF(B15654="","",INT(A15654))</f>
        <v/>
      </c>
      <c r="D15654">
        <f>IF(B15654="","",HOUR(A15654))</f>
        <v/>
      </c>
    </row>
    <row r="15655">
      <c r="A15655">
        <f>Input!A15655</f>
        <v/>
      </c>
      <c r="B15655">
        <f>IF(ISNUMBER(Input!B15655),IF(AND(Input!B15655&gt;=20,Input!B15655&lt;=700),Input!B15655,""),"")</f>
        <v/>
      </c>
      <c r="C15655">
        <f>IF(B15655="","",INT(A15655))</f>
        <v/>
      </c>
      <c r="D15655">
        <f>IF(B15655="","",HOUR(A15655))</f>
        <v/>
      </c>
    </row>
    <row r="15656">
      <c r="A15656">
        <f>Input!A15656</f>
        <v/>
      </c>
      <c r="B15656">
        <f>IF(ISNUMBER(Input!B15656),IF(AND(Input!B15656&gt;=20,Input!B15656&lt;=700),Input!B15656,""),"")</f>
        <v/>
      </c>
      <c r="C15656">
        <f>IF(B15656="","",INT(A15656))</f>
        <v/>
      </c>
      <c r="D15656">
        <f>IF(B15656="","",HOUR(A15656))</f>
        <v/>
      </c>
    </row>
    <row r="15657">
      <c r="A15657">
        <f>Input!A15657</f>
        <v/>
      </c>
      <c r="B15657">
        <f>IF(ISNUMBER(Input!B15657),IF(AND(Input!B15657&gt;=20,Input!B15657&lt;=700),Input!B15657,""),"")</f>
        <v/>
      </c>
      <c r="C15657">
        <f>IF(B15657="","",INT(A15657))</f>
        <v/>
      </c>
      <c r="D15657">
        <f>IF(B15657="","",HOUR(A15657))</f>
        <v/>
      </c>
    </row>
    <row r="15658">
      <c r="A15658">
        <f>Input!A15658</f>
        <v/>
      </c>
      <c r="B15658">
        <f>IF(ISNUMBER(Input!B15658),IF(AND(Input!B15658&gt;=20,Input!B15658&lt;=700),Input!B15658,""),"")</f>
        <v/>
      </c>
      <c r="C15658">
        <f>IF(B15658="","",INT(A15658))</f>
        <v/>
      </c>
      <c r="D15658">
        <f>IF(B15658="","",HOUR(A15658))</f>
        <v/>
      </c>
    </row>
    <row r="15659">
      <c r="A15659">
        <f>Input!A15659</f>
        <v/>
      </c>
      <c r="B15659">
        <f>IF(ISNUMBER(Input!B15659),IF(AND(Input!B15659&gt;=20,Input!B15659&lt;=700),Input!B15659,""),"")</f>
        <v/>
      </c>
      <c r="C15659">
        <f>IF(B15659="","",INT(A15659))</f>
        <v/>
      </c>
      <c r="D15659">
        <f>IF(B15659="","",HOUR(A15659))</f>
        <v/>
      </c>
    </row>
    <row r="15660">
      <c r="A15660">
        <f>Input!A15660</f>
        <v/>
      </c>
      <c r="B15660">
        <f>IF(ISNUMBER(Input!B15660),IF(AND(Input!B15660&gt;=20,Input!B15660&lt;=700),Input!B15660,""),"")</f>
        <v/>
      </c>
      <c r="C15660">
        <f>IF(B15660="","",INT(A15660))</f>
        <v/>
      </c>
      <c r="D15660">
        <f>IF(B15660="","",HOUR(A15660))</f>
        <v/>
      </c>
    </row>
    <row r="15661">
      <c r="A15661">
        <f>Input!A15661</f>
        <v/>
      </c>
      <c r="B15661">
        <f>IF(ISNUMBER(Input!B15661),IF(AND(Input!B15661&gt;=20,Input!B15661&lt;=700),Input!B15661,""),"")</f>
        <v/>
      </c>
      <c r="C15661">
        <f>IF(B15661="","",INT(A15661))</f>
        <v/>
      </c>
      <c r="D15661">
        <f>IF(B15661="","",HOUR(A15661))</f>
        <v/>
      </c>
    </row>
    <row r="15662">
      <c r="A15662">
        <f>Input!A15662</f>
        <v/>
      </c>
      <c r="B15662">
        <f>IF(ISNUMBER(Input!B15662),IF(AND(Input!B15662&gt;=20,Input!B15662&lt;=700),Input!B15662,""),"")</f>
        <v/>
      </c>
      <c r="C15662">
        <f>IF(B15662="","",INT(A15662))</f>
        <v/>
      </c>
      <c r="D15662">
        <f>IF(B15662="","",HOUR(A15662))</f>
        <v/>
      </c>
    </row>
    <row r="15663">
      <c r="A15663">
        <f>Input!A15663</f>
        <v/>
      </c>
      <c r="B15663">
        <f>IF(ISNUMBER(Input!B15663),IF(AND(Input!B15663&gt;=20,Input!B15663&lt;=700),Input!B15663,""),"")</f>
        <v/>
      </c>
      <c r="C15663">
        <f>IF(B15663="","",INT(A15663))</f>
        <v/>
      </c>
      <c r="D15663">
        <f>IF(B15663="","",HOUR(A15663))</f>
        <v/>
      </c>
    </row>
    <row r="15664">
      <c r="A15664">
        <f>Input!A15664</f>
        <v/>
      </c>
      <c r="B15664">
        <f>IF(ISNUMBER(Input!B15664),IF(AND(Input!B15664&gt;=20,Input!B15664&lt;=700),Input!B15664,""),"")</f>
        <v/>
      </c>
      <c r="C15664">
        <f>IF(B15664="","",INT(A15664))</f>
        <v/>
      </c>
      <c r="D15664">
        <f>IF(B15664="","",HOUR(A15664))</f>
        <v/>
      </c>
    </row>
    <row r="15665">
      <c r="A15665">
        <f>Input!A15665</f>
        <v/>
      </c>
      <c r="B15665">
        <f>IF(ISNUMBER(Input!B15665),IF(AND(Input!B15665&gt;=20,Input!B15665&lt;=700),Input!B15665,""),"")</f>
        <v/>
      </c>
      <c r="C15665">
        <f>IF(B15665="","",INT(A15665))</f>
        <v/>
      </c>
      <c r="D15665">
        <f>IF(B15665="","",HOUR(A15665))</f>
        <v/>
      </c>
    </row>
    <row r="15666">
      <c r="A15666">
        <f>Input!A15666</f>
        <v/>
      </c>
      <c r="B15666">
        <f>IF(ISNUMBER(Input!B15666),IF(AND(Input!B15666&gt;=20,Input!B15666&lt;=700),Input!B15666,""),"")</f>
        <v/>
      </c>
      <c r="C15666">
        <f>IF(B15666="","",INT(A15666))</f>
        <v/>
      </c>
      <c r="D15666">
        <f>IF(B15666="","",HOUR(A15666))</f>
        <v/>
      </c>
    </row>
    <row r="15667">
      <c r="A15667">
        <f>Input!A15667</f>
        <v/>
      </c>
      <c r="B15667">
        <f>IF(ISNUMBER(Input!B15667),IF(AND(Input!B15667&gt;=20,Input!B15667&lt;=700),Input!B15667,""),"")</f>
        <v/>
      </c>
      <c r="C15667">
        <f>IF(B15667="","",INT(A15667))</f>
        <v/>
      </c>
      <c r="D15667">
        <f>IF(B15667="","",HOUR(A15667))</f>
        <v/>
      </c>
    </row>
    <row r="15668">
      <c r="A15668">
        <f>Input!A15668</f>
        <v/>
      </c>
      <c r="B15668">
        <f>IF(ISNUMBER(Input!B15668),IF(AND(Input!B15668&gt;=20,Input!B15668&lt;=700),Input!B15668,""),"")</f>
        <v/>
      </c>
      <c r="C15668">
        <f>IF(B15668="","",INT(A15668))</f>
        <v/>
      </c>
      <c r="D15668">
        <f>IF(B15668="","",HOUR(A15668))</f>
        <v/>
      </c>
    </row>
    <row r="15669">
      <c r="A15669">
        <f>Input!A15669</f>
        <v/>
      </c>
      <c r="B15669">
        <f>IF(ISNUMBER(Input!B15669),IF(AND(Input!B15669&gt;=20,Input!B15669&lt;=700),Input!B15669,""),"")</f>
        <v/>
      </c>
      <c r="C15669">
        <f>IF(B15669="","",INT(A15669))</f>
        <v/>
      </c>
      <c r="D15669">
        <f>IF(B15669="","",HOUR(A15669))</f>
        <v/>
      </c>
    </row>
    <row r="15670">
      <c r="A15670">
        <f>Input!A15670</f>
        <v/>
      </c>
      <c r="B15670">
        <f>IF(ISNUMBER(Input!B15670),IF(AND(Input!B15670&gt;=20,Input!B15670&lt;=700),Input!B15670,""),"")</f>
        <v/>
      </c>
      <c r="C15670">
        <f>IF(B15670="","",INT(A15670))</f>
        <v/>
      </c>
      <c r="D15670">
        <f>IF(B15670="","",HOUR(A15670))</f>
        <v/>
      </c>
    </row>
    <row r="15671">
      <c r="A15671">
        <f>Input!A15671</f>
        <v/>
      </c>
      <c r="B15671">
        <f>IF(ISNUMBER(Input!B15671),IF(AND(Input!B15671&gt;=20,Input!B15671&lt;=700),Input!B15671,""),"")</f>
        <v/>
      </c>
      <c r="C15671">
        <f>IF(B15671="","",INT(A15671))</f>
        <v/>
      </c>
      <c r="D15671">
        <f>IF(B15671="","",HOUR(A15671))</f>
        <v/>
      </c>
    </row>
    <row r="15672">
      <c r="A15672">
        <f>Input!A15672</f>
        <v/>
      </c>
      <c r="B15672">
        <f>IF(ISNUMBER(Input!B15672),IF(AND(Input!B15672&gt;=20,Input!B15672&lt;=700),Input!B15672,""),"")</f>
        <v/>
      </c>
      <c r="C15672">
        <f>IF(B15672="","",INT(A15672))</f>
        <v/>
      </c>
      <c r="D15672">
        <f>IF(B15672="","",HOUR(A15672))</f>
        <v/>
      </c>
    </row>
    <row r="15673">
      <c r="A15673">
        <f>Input!A15673</f>
        <v/>
      </c>
      <c r="B15673">
        <f>IF(ISNUMBER(Input!B15673),IF(AND(Input!B15673&gt;=20,Input!B15673&lt;=700),Input!B15673,""),"")</f>
        <v/>
      </c>
      <c r="C15673">
        <f>IF(B15673="","",INT(A15673))</f>
        <v/>
      </c>
      <c r="D15673">
        <f>IF(B15673="","",HOUR(A15673))</f>
        <v/>
      </c>
    </row>
    <row r="15674">
      <c r="A15674">
        <f>Input!A15674</f>
        <v/>
      </c>
      <c r="B15674">
        <f>IF(ISNUMBER(Input!B15674),IF(AND(Input!B15674&gt;=20,Input!B15674&lt;=700),Input!B15674,""),"")</f>
        <v/>
      </c>
      <c r="C15674">
        <f>IF(B15674="","",INT(A15674))</f>
        <v/>
      </c>
      <c r="D15674">
        <f>IF(B15674="","",HOUR(A15674))</f>
        <v/>
      </c>
    </row>
    <row r="15675">
      <c r="A15675">
        <f>Input!A15675</f>
        <v/>
      </c>
      <c r="B15675">
        <f>IF(ISNUMBER(Input!B15675),IF(AND(Input!B15675&gt;=20,Input!B15675&lt;=700),Input!B15675,""),"")</f>
        <v/>
      </c>
      <c r="C15675">
        <f>IF(B15675="","",INT(A15675))</f>
        <v/>
      </c>
      <c r="D15675">
        <f>IF(B15675="","",HOUR(A15675))</f>
        <v/>
      </c>
    </row>
    <row r="15676">
      <c r="A15676">
        <f>Input!A15676</f>
        <v/>
      </c>
      <c r="B15676">
        <f>IF(ISNUMBER(Input!B15676),IF(AND(Input!B15676&gt;=20,Input!B15676&lt;=700),Input!B15676,""),"")</f>
        <v/>
      </c>
      <c r="C15676">
        <f>IF(B15676="","",INT(A15676))</f>
        <v/>
      </c>
      <c r="D15676">
        <f>IF(B15676="","",HOUR(A15676))</f>
        <v/>
      </c>
    </row>
    <row r="15677">
      <c r="A15677">
        <f>Input!A15677</f>
        <v/>
      </c>
      <c r="B15677">
        <f>IF(ISNUMBER(Input!B15677),IF(AND(Input!B15677&gt;=20,Input!B15677&lt;=700),Input!B15677,""),"")</f>
        <v/>
      </c>
      <c r="C15677">
        <f>IF(B15677="","",INT(A15677))</f>
        <v/>
      </c>
      <c r="D15677">
        <f>IF(B15677="","",HOUR(A15677))</f>
        <v/>
      </c>
    </row>
    <row r="15678">
      <c r="A15678">
        <f>Input!A15678</f>
        <v/>
      </c>
      <c r="B15678">
        <f>IF(ISNUMBER(Input!B15678),IF(AND(Input!B15678&gt;=20,Input!B15678&lt;=700),Input!B15678,""),"")</f>
        <v/>
      </c>
      <c r="C15678">
        <f>IF(B15678="","",INT(A15678))</f>
        <v/>
      </c>
      <c r="D15678">
        <f>IF(B15678="","",HOUR(A15678))</f>
        <v/>
      </c>
    </row>
    <row r="15679">
      <c r="A15679">
        <f>Input!A15679</f>
        <v/>
      </c>
      <c r="B15679">
        <f>IF(ISNUMBER(Input!B15679),IF(AND(Input!B15679&gt;=20,Input!B15679&lt;=700),Input!B15679,""),"")</f>
        <v/>
      </c>
      <c r="C15679">
        <f>IF(B15679="","",INT(A15679))</f>
        <v/>
      </c>
      <c r="D15679">
        <f>IF(B15679="","",HOUR(A15679))</f>
        <v/>
      </c>
    </row>
    <row r="15680">
      <c r="A15680">
        <f>Input!A15680</f>
        <v/>
      </c>
      <c r="B15680">
        <f>IF(ISNUMBER(Input!B15680),IF(AND(Input!B15680&gt;=20,Input!B15680&lt;=700),Input!B15680,""),"")</f>
        <v/>
      </c>
      <c r="C15680">
        <f>IF(B15680="","",INT(A15680))</f>
        <v/>
      </c>
      <c r="D15680">
        <f>IF(B15680="","",HOUR(A15680))</f>
        <v/>
      </c>
    </row>
    <row r="15681">
      <c r="A15681">
        <f>Input!A15681</f>
        <v/>
      </c>
      <c r="B15681">
        <f>IF(ISNUMBER(Input!B15681),IF(AND(Input!B15681&gt;=20,Input!B15681&lt;=700),Input!B15681,""),"")</f>
        <v/>
      </c>
      <c r="C15681">
        <f>IF(B15681="","",INT(A15681))</f>
        <v/>
      </c>
      <c r="D15681">
        <f>IF(B15681="","",HOUR(A15681))</f>
        <v/>
      </c>
    </row>
    <row r="15682">
      <c r="A15682">
        <f>Input!A15682</f>
        <v/>
      </c>
      <c r="B15682">
        <f>IF(ISNUMBER(Input!B15682),IF(AND(Input!B15682&gt;=20,Input!B15682&lt;=700),Input!B15682,""),"")</f>
        <v/>
      </c>
      <c r="C15682">
        <f>IF(B15682="","",INT(A15682))</f>
        <v/>
      </c>
      <c r="D15682">
        <f>IF(B15682="","",HOUR(A15682))</f>
        <v/>
      </c>
    </row>
    <row r="15683">
      <c r="A15683">
        <f>Input!A15683</f>
        <v/>
      </c>
      <c r="B15683">
        <f>IF(ISNUMBER(Input!B15683),IF(AND(Input!B15683&gt;=20,Input!B15683&lt;=700),Input!B15683,""),"")</f>
        <v/>
      </c>
      <c r="C15683">
        <f>IF(B15683="","",INT(A15683))</f>
        <v/>
      </c>
      <c r="D15683">
        <f>IF(B15683="","",HOUR(A15683))</f>
        <v/>
      </c>
    </row>
    <row r="15684">
      <c r="A15684">
        <f>Input!A15684</f>
        <v/>
      </c>
      <c r="B15684">
        <f>IF(ISNUMBER(Input!B15684),IF(AND(Input!B15684&gt;=20,Input!B15684&lt;=700),Input!B15684,""),"")</f>
        <v/>
      </c>
      <c r="C15684">
        <f>IF(B15684="","",INT(A15684))</f>
        <v/>
      </c>
      <c r="D15684">
        <f>IF(B15684="","",HOUR(A15684))</f>
        <v/>
      </c>
    </row>
    <row r="15685">
      <c r="A15685">
        <f>Input!A15685</f>
        <v/>
      </c>
      <c r="B15685">
        <f>IF(ISNUMBER(Input!B15685),IF(AND(Input!B15685&gt;=20,Input!B15685&lt;=700),Input!B15685,""),"")</f>
        <v/>
      </c>
      <c r="C15685">
        <f>IF(B15685="","",INT(A15685))</f>
        <v/>
      </c>
      <c r="D15685">
        <f>IF(B15685="","",HOUR(A15685))</f>
        <v/>
      </c>
    </row>
    <row r="15686">
      <c r="A15686">
        <f>Input!A15686</f>
        <v/>
      </c>
      <c r="B15686">
        <f>IF(ISNUMBER(Input!B15686),IF(AND(Input!B15686&gt;=20,Input!B15686&lt;=700),Input!B15686,""),"")</f>
        <v/>
      </c>
      <c r="C15686">
        <f>IF(B15686="","",INT(A15686))</f>
        <v/>
      </c>
      <c r="D15686">
        <f>IF(B15686="","",HOUR(A15686))</f>
        <v/>
      </c>
    </row>
    <row r="15687">
      <c r="A15687">
        <f>Input!A15687</f>
        <v/>
      </c>
      <c r="B15687">
        <f>IF(ISNUMBER(Input!B15687),IF(AND(Input!B15687&gt;=20,Input!B15687&lt;=700),Input!B15687,""),"")</f>
        <v/>
      </c>
      <c r="C15687">
        <f>IF(B15687="","",INT(A15687))</f>
        <v/>
      </c>
      <c r="D15687">
        <f>IF(B15687="","",HOUR(A15687))</f>
        <v/>
      </c>
    </row>
    <row r="15688">
      <c r="A15688">
        <f>Input!A15688</f>
        <v/>
      </c>
      <c r="B15688">
        <f>IF(ISNUMBER(Input!B15688),IF(AND(Input!B15688&gt;=20,Input!B15688&lt;=700),Input!B15688,""),"")</f>
        <v/>
      </c>
      <c r="C15688">
        <f>IF(B15688="","",INT(A15688))</f>
        <v/>
      </c>
      <c r="D15688">
        <f>IF(B15688="","",HOUR(A15688))</f>
        <v/>
      </c>
    </row>
    <row r="15689">
      <c r="A15689">
        <f>Input!A15689</f>
        <v/>
      </c>
      <c r="B15689">
        <f>IF(ISNUMBER(Input!B15689),IF(AND(Input!B15689&gt;=20,Input!B15689&lt;=700),Input!B15689,""),"")</f>
        <v/>
      </c>
      <c r="C15689">
        <f>IF(B15689="","",INT(A15689))</f>
        <v/>
      </c>
      <c r="D15689">
        <f>IF(B15689="","",HOUR(A15689))</f>
        <v/>
      </c>
    </row>
    <row r="15690">
      <c r="A15690">
        <f>Input!A15690</f>
        <v/>
      </c>
      <c r="B15690">
        <f>IF(ISNUMBER(Input!B15690),IF(AND(Input!B15690&gt;=20,Input!B15690&lt;=700),Input!B15690,""),"")</f>
        <v/>
      </c>
      <c r="C15690">
        <f>IF(B15690="","",INT(A15690))</f>
        <v/>
      </c>
      <c r="D15690">
        <f>IF(B15690="","",HOUR(A15690))</f>
        <v/>
      </c>
    </row>
    <row r="15691">
      <c r="A15691">
        <f>Input!A15691</f>
        <v/>
      </c>
      <c r="B15691">
        <f>IF(ISNUMBER(Input!B15691),IF(AND(Input!B15691&gt;=20,Input!B15691&lt;=700),Input!B15691,""),"")</f>
        <v/>
      </c>
      <c r="C15691">
        <f>IF(B15691="","",INT(A15691))</f>
        <v/>
      </c>
      <c r="D15691">
        <f>IF(B15691="","",HOUR(A15691))</f>
        <v/>
      </c>
    </row>
    <row r="15692">
      <c r="A15692">
        <f>Input!A15692</f>
        <v/>
      </c>
      <c r="B15692">
        <f>IF(ISNUMBER(Input!B15692),IF(AND(Input!B15692&gt;=20,Input!B15692&lt;=700),Input!B15692,""),"")</f>
        <v/>
      </c>
      <c r="C15692">
        <f>IF(B15692="","",INT(A15692))</f>
        <v/>
      </c>
      <c r="D15692">
        <f>IF(B15692="","",HOUR(A15692))</f>
        <v/>
      </c>
    </row>
    <row r="15693">
      <c r="A15693">
        <f>Input!A15693</f>
        <v/>
      </c>
      <c r="B15693">
        <f>IF(ISNUMBER(Input!B15693),IF(AND(Input!B15693&gt;=20,Input!B15693&lt;=700),Input!B15693,""),"")</f>
        <v/>
      </c>
      <c r="C15693">
        <f>IF(B15693="","",INT(A15693))</f>
        <v/>
      </c>
      <c r="D15693">
        <f>IF(B15693="","",HOUR(A15693))</f>
        <v/>
      </c>
    </row>
    <row r="15694">
      <c r="A15694">
        <f>Input!A15694</f>
        <v/>
      </c>
      <c r="B15694">
        <f>IF(ISNUMBER(Input!B15694),IF(AND(Input!B15694&gt;=20,Input!B15694&lt;=700),Input!B15694,""),"")</f>
        <v/>
      </c>
      <c r="C15694">
        <f>IF(B15694="","",INT(A15694))</f>
        <v/>
      </c>
      <c r="D15694">
        <f>IF(B15694="","",HOUR(A15694))</f>
        <v/>
      </c>
    </row>
    <row r="15695">
      <c r="A15695">
        <f>Input!A15695</f>
        <v/>
      </c>
      <c r="B15695">
        <f>IF(ISNUMBER(Input!B15695),IF(AND(Input!B15695&gt;=20,Input!B15695&lt;=700),Input!B15695,""),"")</f>
        <v/>
      </c>
      <c r="C15695">
        <f>IF(B15695="","",INT(A15695))</f>
        <v/>
      </c>
      <c r="D15695">
        <f>IF(B15695="","",HOUR(A15695))</f>
        <v/>
      </c>
    </row>
    <row r="15696">
      <c r="A15696">
        <f>Input!A15696</f>
        <v/>
      </c>
      <c r="B15696">
        <f>IF(ISNUMBER(Input!B15696),IF(AND(Input!B15696&gt;=20,Input!B15696&lt;=700),Input!B15696,""),"")</f>
        <v/>
      </c>
      <c r="C15696">
        <f>IF(B15696="","",INT(A15696))</f>
        <v/>
      </c>
      <c r="D15696">
        <f>IF(B15696="","",HOUR(A15696))</f>
        <v/>
      </c>
    </row>
    <row r="15697">
      <c r="A15697">
        <f>Input!A15697</f>
        <v/>
      </c>
      <c r="B15697">
        <f>IF(ISNUMBER(Input!B15697),IF(AND(Input!B15697&gt;=20,Input!B15697&lt;=700),Input!B15697,""),"")</f>
        <v/>
      </c>
      <c r="C15697">
        <f>IF(B15697="","",INT(A15697))</f>
        <v/>
      </c>
      <c r="D15697">
        <f>IF(B15697="","",HOUR(A15697))</f>
        <v/>
      </c>
    </row>
    <row r="15698">
      <c r="A15698">
        <f>Input!A15698</f>
        <v/>
      </c>
      <c r="B15698">
        <f>IF(ISNUMBER(Input!B15698),IF(AND(Input!B15698&gt;=20,Input!B15698&lt;=700),Input!B15698,""),"")</f>
        <v/>
      </c>
      <c r="C15698">
        <f>IF(B15698="","",INT(A15698))</f>
        <v/>
      </c>
      <c r="D15698">
        <f>IF(B15698="","",HOUR(A15698))</f>
        <v/>
      </c>
    </row>
    <row r="15699">
      <c r="A15699">
        <f>Input!A15699</f>
        <v/>
      </c>
      <c r="B15699">
        <f>IF(ISNUMBER(Input!B15699),IF(AND(Input!B15699&gt;=20,Input!B15699&lt;=700),Input!B15699,""),"")</f>
        <v/>
      </c>
      <c r="C15699">
        <f>IF(B15699="","",INT(A15699))</f>
        <v/>
      </c>
      <c r="D15699">
        <f>IF(B15699="","",HOUR(A15699))</f>
        <v/>
      </c>
    </row>
    <row r="15700">
      <c r="A15700">
        <f>Input!A15700</f>
        <v/>
      </c>
      <c r="B15700">
        <f>IF(ISNUMBER(Input!B15700),IF(AND(Input!B15700&gt;=20,Input!B15700&lt;=700),Input!B15700,""),"")</f>
        <v/>
      </c>
      <c r="C15700">
        <f>IF(B15700="","",INT(A15700))</f>
        <v/>
      </c>
      <c r="D15700">
        <f>IF(B15700="","",HOUR(A15700))</f>
        <v/>
      </c>
    </row>
    <row r="15701">
      <c r="A15701">
        <f>Input!A15701</f>
        <v/>
      </c>
      <c r="B15701">
        <f>IF(ISNUMBER(Input!B15701),IF(AND(Input!B15701&gt;=20,Input!B15701&lt;=700),Input!B15701,""),"")</f>
        <v/>
      </c>
      <c r="C15701">
        <f>IF(B15701="","",INT(A15701))</f>
        <v/>
      </c>
      <c r="D15701">
        <f>IF(B15701="","",HOUR(A15701))</f>
        <v/>
      </c>
    </row>
    <row r="15702">
      <c r="A15702">
        <f>Input!A15702</f>
        <v/>
      </c>
      <c r="B15702">
        <f>IF(ISNUMBER(Input!B15702),IF(AND(Input!B15702&gt;=20,Input!B15702&lt;=700),Input!B15702,""),"")</f>
        <v/>
      </c>
      <c r="C15702">
        <f>IF(B15702="","",INT(A15702))</f>
        <v/>
      </c>
      <c r="D15702">
        <f>IF(B15702="","",HOUR(A15702))</f>
        <v/>
      </c>
    </row>
    <row r="15703">
      <c r="A15703">
        <f>Input!A15703</f>
        <v/>
      </c>
      <c r="B15703">
        <f>IF(ISNUMBER(Input!B15703),IF(AND(Input!B15703&gt;=20,Input!B15703&lt;=700),Input!B15703,""),"")</f>
        <v/>
      </c>
      <c r="C15703">
        <f>IF(B15703="","",INT(A15703))</f>
        <v/>
      </c>
      <c r="D15703">
        <f>IF(B15703="","",HOUR(A15703))</f>
        <v/>
      </c>
    </row>
    <row r="15704">
      <c r="A15704">
        <f>Input!A15704</f>
        <v/>
      </c>
      <c r="B15704">
        <f>IF(ISNUMBER(Input!B15704),IF(AND(Input!B15704&gt;=20,Input!B15704&lt;=700),Input!B15704,""),"")</f>
        <v/>
      </c>
      <c r="C15704">
        <f>IF(B15704="","",INT(A15704))</f>
        <v/>
      </c>
      <c r="D15704">
        <f>IF(B15704="","",HOUR(A15704))</f>
        <v/>
      </c>
    </row>
    <row r="15705">
      <c r="A15705">
        <f>Input!A15705</f>
        <v/>
      </c>
      <c r="B15705">
        <f>IF(ISNUMBER(Input!B15705),IF(AND(Input!B15705&gt;=20,Input!B15705&lt;=700),Input!B15705,""),"")</f>
        <v/>
      </c>
      <c r="C15705">
        <f>IF(B15705="","",INT(A15705))</f>
        <v/>
      </c>
      <c r="D15705">
        <f>IF(B15705="","",HOUR(A15705))</f>
        <v/>
      </c>
    </row>
    <row r="15706">
      <c r="A15706">
        <f>Input!A15706</f>
        <v/>
      </c>
      <c r="B15706">
        <f>IF(ISNUMBER(Input!B15706),IF(AND(Input!B15706&gt;=20,Input!B15706&lt;=700),Input!B15706,""),"")</f>
        <v/>
      </c>
      <c r="C15706">
        <f>IF(B15706="","",INT(A15706))</f>
        <v/>
      </c>
      <c r="D15706">
        <f>IF(B15706="","",HOUR(A15706))</f>
        <v/>
      </c>
    </row>
    <row r="15707">
      <c r="A15707">
        <f>Input!A15707</f>
        <v/>
      </c>
      <c r="B15707">
        <f>IF(ISNUMBER(Input!B15707),IF(AND(Input!B15707&gt;=20,Input!B15707&lt;=700),Input!B15707,""),"")</f>
        <v/>
      </c>
      <c r="C15707">
        <f>IF(B15707="","",INT(A15707))</f>
        <v/>
      </c>
      <c r="D15707">
        <f>IF(B15707="","",HOUR(A15707))</f>
        <v/>
      </c>
    </row>
    <row r="15708">
      <c r="A15708">
        <f>Input!A15708</f>
        <v/>
      </c>
      <c r="B15708">
        <f>IF(ISNUMBER(Input!B15708),IF(AND(Input!B15708&gt;=20,Input!B15708&lt;=700),Input!B15708,""),"")</f>
        <v/>
      </c>
      <c r="C15708">
        <f>IF(B15708="","",INT(A15708))</f>
        <v/>
      </c>
      <c r="D15708">
        <f>IF(B15708="","",HOUR(A15708))</f>
        <v/>
      </c>
    </row>
    <row r="15709">
      <c r="A15709">
        <f>Input!A15709</f>
        <v/>
      </c>
      <c r="B15709">
        <f>IF(ISNUMBER(Input!B15709),IF(AND(Input!B15709&gt;=20,Input!B15709&lt;=700),Input!B15709,""),"")</f>
        <v/>
      </c>
      <c r="C15709">
        <f>IF(B15709="","",INT(A15709))</f>
        <v/>
      </c>
      <c r="D15709">
        <f>IF(B15709="","",HOUR(A15709))</f>
        <v/>
      </c>
    </row>
    <row r="15710">
      <c r="A15710">
        <f>Input!A15710</f>
        <v/>
      </c>
      <c r="B15710">
        <f>IF(ISNUMBER(Input!B15710),IF(AND(Input!B15710&gt;=20,Input!B15710&lt;=700),Input!B15710,""),"")</f>
        <v/>
      </c>
      <c r="C15710">
        <f>IF(B15710="","",INT(A15710))</f>
        <v/>
      </c>
      <c r="D15710">
        <f>IF(B15710="","",HOUR(A15710))</f>
        <v/>
      </c>
    </row>
    <row r="15711">
      <c r="A15711">
        <f>Input!A15711</f>
        <v/>
      </c>
      <c r="B15711">
        <f>IF(ISNUMBER(Input!B15711),IF(AND(Input!B15711&gt;=20,Input!B15711&lt;=700),Input!B15711,""),"")</f>
        <v/>
      </c>
      <c r="C15711">
        <f>IF(B15711="","",INT(A15711))</f>
        <v/>
      </c>
      <c r="D15711">
        <f>IF(B15711="","",HOUR(A15711))</f>
        <v/>
      </c>
    </row>
    <row r="15712">
      <c r="A15712">
        <f>Input!A15712</f>
        <v/>
      </c>
      <c r="B15712">
        <f>IF(ISNUMBER(Input!B15712),IF(AND(Input!B15712&gt;=20,Input!B15712&lt;=700),Input!B15712,""),"")</f>
        <v/>
      </c>
      <c r="C15712">
        <f>IF(B15712="","",INT(A15712))</f>
        <v/>
      </c>
      <c r="D15712">
        <f>IF(B15712="","",HOUR(A15712))</f>
        <v/>
      </c>
    </row>
    <row r="15713">
      <c r="A15713">
        <f>Input!A15713</f>
        <v/>
      </c>
      <c r="B15713">
        <f>IF(ISNUMBER(Input!B15713),IF(AND(Input!B15713&gt;=20,Input!B15713&lt;=700),Input!B15713,""),"")</f>
        <v/>
      </c>
      <c r="C15713">
        <f>IF(B15713="","",INT(A15713))</f>
        <v/>
      </c>
      <c r="D15713">
        <f>IF(B15713="","",HOUR(A15713))</f>
        <v/>
      </c>
    </row>
    <row r="15714">
      <c r="A15714">
        <f>Input!A15714</f>
        <v/>
      </c>
      <c r="B15714">
        <f>IF(ISNUMBER(Input!B15714),IF(AND(Input!B15714&gt;=20,Input!B15714&lt;=700),Input!B15714,""),"")</f>
        <v/>
      </c>
      <c r="C15714">
        <f>IF(B15714="","",INT(A15714))</f>
        <v/>
      </c>
      <c r="D15714">
        <f>IF(B15714="","",HOUR(A15714))</f>
        <v/>
      </c>
    </row>
    <row r="15715">
      <c r="A15715">
        <f>Input!A15715</f>
        <v/>
      </c>
      <c r="B15715">
        <f>IF(ISNUMBER(Input!B15715),IF(AND(Input!B15715&gt;=20,Input!B15715&lt;=700),Input!B15715,""),"")</f>
        <v/>
      </c>
      <c r="C15715">
        <f>IF(B15715="","",INT(A15715))</f>
        <v/>
      </c>
      <c r="D15715">
        <f>IF(B15715="","",HOUR(A15715))</f>
        <v/>
      </c>
    </row>
    <row r="15716">
      <c r="A15716">
        <f>Input!A15716</f>
        <v/>
      </c>
      <c r="B15716">
        <f>IF(ISNUMBER(Input!B15716),IF(AND(Input!B15716&gt;=20,Input!B15716&lt;=700),Input!B15716,""),"")</f>
        <v/>
      </c>
      <c r="C15716">
        <f>IF(B15716="","",INT(A15716))</f>
        <v/>
      </c>
      <c r="D15716">
        <f>IF(B15716="","",HOUR(A15716))</f>
        <v/>
      </c>
    </row>
    <row r="15717">
      <c r="A15717">
        <f>Input!A15717</f>
        <v/>
      </c>
      <c r="B15717">
        <f>IF(ISNUMBER(Input!B15717),IF(AND(Input!B15717&gt;=20,Input!B15717&lt;=700),Input!B15717,""),"")</f>
        <v/>
      </c>
      <c r="C15717">
        <f>IF(B15717="","",INT(A15717))</f>
        <v/>
      </c>
      <c r="D15717">
        <f>IF(B15717="","",HOUR(A15717))</f>
        <v/>
      </c>
    </row>
    <row r="15718">
      <c r="A15718">
        <f>Input!A15718</f>
        <v/>
      </c>
      <c r="B15718">
        <f>IF(ISNUMBER(Input!B15718),IF(AND(Input!B15718&gt;=20,Input!B15718&lt;=700),Input!B15718,""),"")</f>
        <v/>
      </c>
      <c r="C15718">
        <f>IF(B15718="","",INT(A15718))</f>
        <v/>
      </c>
      <c r="D15718">
        <f>IF(B15718="","",HOUR(A15718))</f>
        <v/>
      </c>
    </row>
    <row r="15719">
      <c r="A15719">
        <f>Input!A15719</f>
        <v/>
      </c>
      <c r="B15719">
        <f>IF(ISNUMBER(Input!B15719),IF(AND(Input!B15719&gt;=20,Input!B15719&lt;=700),Input!B15719,""),"")</f>
        <v/>
      </c>
      <c r="C15719">
        <f>IF(B15719="","",INT(A15719))</f>
        <v/>
      </c>
      <c r="D15719">
        <f>IF(B15719="","",HOUR(A15719))</f>
        <v/>
      </c>
    </row>
    <row r="15720">
      <c r="A15720">
        <f>Input!A15720</f>
        <v/>
      </c>
      <c r="B15720">
        <f>IF(ISNUMBER(Input!B15720),IF(AND(Input!B15720&gt;=20,Input!B15720&lt;=700),Input!B15720,""),"")</f>
        <v/>
      </c>
      <c r="C15720">
        <f>IF(B15720="","",INT(A15720))</f>
        <v/>
      </c>
      <c r="D15720">
        <f>IF(B15720="","",HOUR(A15720))</f>
        <v/>
      </c>
    </row>
    <row r="15721">
      <c r="A15721">
        <f>Input!A15721</f>
        <v/>
      </c>
      <c r="B15721">
        <f>IF(ISNUMBER(Input!B15721),IF(AND(Input!B15721&gt;=20,Input!B15721&lt;=700),Input!B15721,""),"")</f>
        <v/>
      </c>
      <c r="C15721">
        <f>IF(B15721="","",INT(A15721))</f>
        <v/>
      </c>
      <c r="D15721">
        <f>IF(B15721="","",HOUR(A15721))</f>
        <v/>
      </c>
    </row>
    <row r="15722">
      <c r="A15722">
        <f>Input!A15722</f>
        <v/>
      </c>
      <c r="B15722">
        <f>IF(ISNUMBER(Input!B15722),IF(AND(Input!B15722&gt;=20,Input!B15722&lt;=700),Input!B15722,""),"")</f>
        <v/>
      </c>
      <c r="C15722">
        <f>IF(B15722="","",INT(A15722))</f>
        <v/>
      </c>
      <c r="D15722">
        <f>IF(B15722="","",HOUR(A15722))</f>
        <v/>
      </c>
    </row>
    <row r="15723">
      <c r="A15723">
        <f>Input!A15723</f>
        <v/>
      </c>
      <c r="B15723">
        <f>IF(ISNUMBER(Input!B15723),IF(AND(Input!B15723&gt;=20,Input!B15723&lt;=700),Input!B15723,""),"")</f>
        <v/>
      </c>
      <c r="C15723">
        <f>IF(B15723="","",INT(A15723))</f>
        <v/>
      </c>
      <c r="D15723">
        <f>IF(B15723="","",HOUR(A15723))</f>
        <v/>
      </c>
    </row>
    <row r="15724">
      <c r="A15724">
        <f>Input!A15724</f>
        <v/>
      </c>
      <c r="B15724">
        <f>IF(ISNUMBER(Input!B15724),IF(AND(Input!B15724&gt;=20,Input!B15724&lt;=700),Input!B15724,""),"")</f>
        <v/>
      </c>
      <c r="C15724">
        <f>IF(B15724="","",INT(A15724))</f>
        <v/>
      </c>
      <c r="D15724">
        <f>IF(B15724="","",HOUR(A15724))</f>
        <v/>
      </c>
    </row>
    <row r="15725">
      <c r="A15725">
        <f>Input!A15725</f>
        <v/>
      </c>
      <c r="B15725">
        <f>IF(ISNUMBER(Input!B15725),IF(AND(Input!B15725&gt;=20,Input!B15725&lt;=700),Input!B15725,""),"")</f>
        <v/>
      </c>
      <c r="C15725">
        <f>IF(B15725="","",INT(A15725))</f>
        <v/>
      </c>
      <c r="D15725">
        <f>IF(B15725="","",HOUR(A15725))</f>
        <v/>
      </c>
    </row>
    <row r="15726">
      <c r="A15726">
        <f>Input!A15726</f>
        <v/>
      </c>
      <c r="B15726">
        <f>IF(ISNUMBER(Input!B15726),IF(AND(Input!B15726&gt;=20,Input!B15726&lt;=700),Input!B15726,""),"")</f>
        <v/>
      </c>
      <c r="C15726">
        <f>IF(B15726="","",INT(A15726))</f>
        <v/>
      </c>
      <c r="D15726">
        <f>IF(B15726="","",HOUR(A15726))</f>
        <v/>
      </c>
    </row>
    <row r="15727">
      <c r="A15727">
        <f>Input!A15727</f>
        <v/>
      </c>
      <c r="B15727">
        <f>IF(ISNUMBER(Input!B15727),IF(AND(Input!B15727&gt;=20,Input!B15727&lt;=700),Input!B15727,""),"")</f>
        <v/>
      </c>
      <c r="C15727">
        <f>IF(B15727="","",INT(A15727))</f>
        <v/>
      </c>
      <c r="D15727">
        <f>IF(B15727="","",HOUR(A15727))</f>
        <v/>
      </c>
    </row>
    <row r="15728">
      <c r="A15728">
        <f>Input!A15728</f>
        <v/>
      </c>
      <c r="B15728">
        <f>IF(ISNUMBER(Input!B15728),IF(AND(Input!B15728&gt;=20,Input!B15728&lt;=700),Input!B15728,""),"")</f>
        <v/>
      </c>
      <c r="C15728">
        <f>IF(B15728="","",INT(A15728))</f>
        <v/>
      </c>
      <c r="D15728">
        <f>IF(B15728="","",HOUR(A15728))</f>
        <v/>
      </c>
    </row>
    <row r="15729">
      <c r="A15729">
        <f>Input!A15729</f>
        <v/>
      </c>
      <c r="B15729">
        <f>IF(ISNUMBER(Input!B15729),IF(AND(Input!B15729&gt;=20,Input!B15729&lt;=700),Input!B15729,""),"")</f>
        <v/>
      </c>
      <c r="C15729">
        <f>IF(B15729="","",INT(A15729))</f>
        <v/>
      </c>
      <c r="D15729">
        <f>IF(B15729="","",HOUR(A15729))</f>
        <v/>
      </c>
    </row>
    <row r="15730">
      <c r="A15730">
        <f>Input!A15730</f>
        <v/>
      </c>
      <c r="B15730">
        <f>IF(ISNUMBER(Input!B15730),IF(AND(Input!B15730&gt;=20,Input!B15730&lt;=700),Input!B15730,""),"")</f>
        <v/>
      </c>
      <c r="C15730">
        <f>IF(B15730="","",INT(A15730))</f>
        <v/>
      </c>
      <c r="D15730">
        <f>IF(B15730="","",HOUR(A15730))</f>
        <v/>
      </c>
    </row>
    <row r="15731">
      <c r="A15731">
        <f>Input!A15731</f>
        <v/>
      </c>
      <c r="B15731">
        <f>IF(ISNUMBER(Input!B15731),IF(AND(Input!B15731&gt;=20,Input!B15731&lt;=700),Input!B15731,""),"")</f>
        <v/>
      </c>
      <c r="C15731">
        <f>IF(B15731="","",INT(A15731))</f>
        <v/>
      </c>
      <c r="D15731">
        <f>IF(B15731="","",HOUR(A15731))</f>
        <v/>
      </c>
    </row>
    <row r="15732">
      <c r="A15732">
        <f>Input!A15732</f>
        <v/>
      </c>
      <c r="B15732">
        <f>IF(ISNUMBER(Input!B15732),IF(AND(Input!B15732&gt;=20,Input!B15732&lt;=700),Input!B15732,""),"")</f>
        <v/>
      </c>
      <c r="C15732">
        <f>IF(B15732="","",INT(A15732))</f>
        <v/>
      </c>
      <c r="D15732">
        <f>IF(B15732="","",HOUR(A15732))</f>
        <v/>
      </c>
    </row>
    <row r="15733">
      <c r="A15733">
        <f>Input!A15733</f>
        <v/>
      </c>
      <c r="B15733">
        <f>IF(ISNUMBER(Input!B15733),IF(AND(Input!B15733&gt;=20,Input!B15733&lt;=700),Input!B15733,""),"")</f>
        <v/>
      </c>
      <c r="C15733">
        <f>IF(B15733="","",INT(A15733))</f>
        <v/>
      </c>
      <c r="D15733">
        <f>IF(B15733="","",HOUR(A15733))</f>
        <v/>
      </c>
    </row>
    <row r="15734">
      <c r="A15734">
        <f>Input!A15734</f>
        <v/>
      </c>
      <c r="B15734">
        <f>IF(ISNUMBER(Input!B15734),IF(AND(Input!B15734&gt;=20,Input!B15734&lt;=700),Input!B15734,""),"")</f>
        <v/>
      </c>
      <c r="C15734">
        <f>IF(B15734="","",INT(A15734))</f>
        <v/>
      </c>
      <c r="D15734">
        <f>IF(B15734="","",HOUR(A15734))</f>
        <v/>
      </c>
    </row>
    <row r="15735">
      <c r="A15735">
        <f>Input!A15735</f>
        <v/>
      </c>
      <c r="B15735">
        <f>IF(ISNUMBER(Input!B15735),IF(AND(Input!B15735&gt;=20,Input!B15735&lt;=700),Input!B15735,""),"")</f>
        <v/>
      </c>
      <c r="C15735">
        <f>IF(B15735="","",INT(A15735))</f>
        <v/>
      </c>
      <c r="D15735">
        <f>IF(B15735="","",HOUR(A15735))</f>
        <v/>
      </c>
    </row>
    <row r="15736">
      <c r="A15736">
        <f>Input!A15736</f>
        <v/>
      </c>
      <c r="B15736">
        <f>IF(ISNUMBER(Input!B15736),IF(AND(Input!B15736&gt;=20,Input!B15736&lt;=700),Input!B15736,""),"")</f>
        <v/>
      </c>
      <c r="C15736">
        <f>IF(B15736="","",INT(A15736))</f>
        <v/>
      </c>
      <c r="D15736">
        <f>IF(B15736="","",HOUR(A15736))</f>
        <v/>
      </c>
    </row>
    <row r="15737">
      <c r="A15737">
        <f>Input!A15737</f>
        <v/>
      </c>
      <c r="B15737">
        <f>IF(ISNUMBER(Input!B15737),IF(AND(Input!B15737&gt;=20,Input!B15737&lt;=700),Input!B15737,""),"")</f>
        <v/>
      </c>
      <c r="C15737">
        <f>IF(B15737="","",INT(A15737))</f>
        <v/>
      </c>
      <c r="D15737">
        <f>IF(B15737="","",HOUR(A15737))</f>
        <v/>
      </c>
    </row>
    <row r="15738">
      <c r="A15738">
        <f>Input!A15738</f>
        <v/>
      </c>
      <c r="B15738">
        <f>IF(ISNUMBER(Input!B15738),IF(AND(Input!B15738&gt;=20,Input!B15738&lt;=700),Input!B15738,""),"")</f>
        <v/>
      </c>
      <c r="C15738">
        <f>IF(B15738="","",INT(A15738))</f>
        <v/>
      </c>
      <c r="D15738">
        <f>IF(B15738="","",HOUR(A15738))</f>
        <v/>
      </c>
    </row>
    <row r="15739">
      <c r="A15739">
        <f>Input!A15739</f>
        <v/>
      </c>
      <c r="B15739">
        <f>IF(ISNUMBER(Input!B15739),IF(AND(Input!B15739&gt;=20,Input!B15739&lt;=700),Input!B15739,""),"")</f>
        <v/>
      </c>
      <c r="C15739">
        <f>IF(B15739="","",INT(A15739))</f>
        <v/>
      </c>
      <c r="D15739">
        <f>IF(B15739="","",HOUR(A15739))</f>
        <v/>
      </c>
    </row>
    <row r="15740">
      <c r="A15740">
        <f>Input!A15740</f>
        <v/>
      </c>
      <c r="B15740">
        <f>IF(ISNUMBER(Input!B15740),IF(AND(Input!B15740&gt;=20,Input!B15740&lt;=700),Input!B15740,""),"")</f>
        <v/>
      </c>
      <c r="C15740">
        <f>IF(B15740="","",INT(A15740))</f>
        <v/>
      </c>
      <c r="D15740">
        <f>IF(B15740="","",HOUR(A15740))</f>
        <v/>
      </c>
    </row>
    <row r="15741">
      <c r="A15741">
        <f>Input!A15741</f>
        <v/>
      </c>
      <c r="B15741">
        <f>IF(ISNUMBER(Input!B15741),IF(AND(Input!B15741&gt;=20,Input!B15741&lt;=700),Input!B15741,""),"")</f>
        <v/>
      </c>
      <c r="C15741">
        <f>IF(B15741="","",INT(A15741))</f>
        <v/>
      </c>
      <c r="D15741">
        <f>IF(B15741="","",HOUR(A15741))</f>
        <v/>
      </c>
    </row>
    <row r="15742">
      <c r="A15742">
        <f>Input!A15742</f>
        <v/>
      </c>
      <c r="B15742">
        <f>IF(ISNUMBER(Input!B15742),IF(AND(Input!B15742&gt;=20,Input!B15742&lt;=700),Input!B15742,""),"")</f>
        <v/>
      </c>
      <c r="C15742">
        <f>IF(B15742="","",INT(A15742))</f>
        <v/>
      </c>
      <c r="D15742">
        <f>IF(B15742="","",HOUR(A15742))</f>
        <v/>
      </c>
    </row>
    <row r="15743">
      <c r="A15743">
        <f>Input!A15743</f>
        <v/>
      </c>
      <c r="B15743">
        <f>IF(ISNUMBER(Input!B15743),IF(AND(Input!B15743&gt;=20,Input!B15743&lt;=700),Input!B15743,""),"")</f>
        <v/>
      </c>
      <c r="C15743">
        <f>IF(B15743="","",INT(A15743))</f>
        <v/>
      </c>
      <c r="D15743">
        <f>IF(B15743="","",HOUR(A15743))</f>
        <v/>
      </c>
    </row>
    <row r="15744">
      <c r="A15744">
        <f>Input!A15744</f>
        <v/>
      </c>
      <c r="B15744">
        <f>IF(ISNUMBER(Input!B15744),IF(AND(Input!B15744&gt;=20,Input!B15744&lt;=700),Input!B15744,""),"")</f>
        <v/>
      </c>
      <c r="C15744">
        <f>IF(B15744="","",INT(A15744))</f>
        <v/>
      </c>
      <c r="D15744">
        <f>IF(B15744="","",HOUR(A15744))</f>
        <v/>
      </c>
    </row>
    <row r="15745">
      <c r="A15745">
        <f>Input!A15745</f>
        <v/>
      </c>
      <c r="B15745">
        <f>IF(ISNUMBER(Input!B15745),IF(AND(Input!B15745&gt;=20,Input!B15745&lt;=700),Input!B15745,""),"")</f>
        <v/>
      </c>
      <c r="C15745">
        <f>IF(B15745="","",INT(A15745))</f>
        <v/>
      </c>
      <c r="D15745">
        <f>IF(B15745="","",HOUR(A15745))</f>
        <v/>
      </c>
    </row>
    <row r="15746">
      <c r="A15746">
        <f>Input!A15746</f>
        <v/>
      </c>
      <c r="B15746">
        <f>IF(ISNUMBER(Input!B15746),IF(AND(Input!B15746&gt;=20,Input!B15746&lt;=700),Input!B15746,""),"")</f>
        <v/>
      </c>
      <c r="C15746">
        <f>IF(B15746="","",INT(A15746))</f>
        <v/>
      </c>
      <c r="D15746">
        <f>IF(B15746="","",HOUR(A15746))</f>
        <v/>
      </c>
    </row>
    <row r="15747">
      <c r="A15747">
        <f>Input!A15747</f>
        <v/>
      </c>
      <c r="B15747">
        <f>IF(ISNUMBER(Input!B15747),IF(AND(Input!B15747&gt;=20,Input!B15747&lt;=700),Input!B15747,""),"")</f>
        <v/>
      </c>
      <c r="C15747">
        <f>IF(B15747="","",INT(A15747))</f>
        <v/>
      </c>
      <c r="D15747">
        <f>IF(B15747="","",HOUR(A15747))</f>
        <v/>
      </c>
    </row>
    <row r="15748">
      <c r="A15748">
        <f>Input!A15748</f>
        <v/>
      </c>
      <c r="B15748">
        <f>IF(ISNUMBER(Input!B15748),IF(AND(Input!B15748&gt;=20,Input!B15748&lt;=700),Input!B15748,""),"")</f>
        <v/>
      </c>
      <c r="C15748">
        <f>IF(B15748="","",INT(A15748))</f>
        <v/>
      </c>
      <c r="D15748">
        <f>IF(B15748="","",HOUR(A15748))</f>
        <v/>
      </c>
    </row>
    <row r="15749">
      <c r="A15749">
        <f>Input!A15749</f>
        <v/>
      </c>
      <c r="B15749">
        <f>IF(ISNUMBER(Input!B15749),IF(AND(Input!B15749&gt;=20,Input!B15749&lt;=700),Input!B15749,""),"")</f>
        <v/>
      </c>
      <c r="C15749">
        <f>IF(B15749="","",INT(A15749))</f>
        <v/>
      </c>
      <c r="D15749">
        <f>IF(B15749="","",HOUR(A15749))</f>
        <v/>
      </c>
    </row>
    <row r="15750">
      <c r="A15750">
        <f>Input!A15750</f>
        <v/>
      </c>
      <c r="B15750">
        <f>IF(ISNUMBER(Input!B15750),IF(AND(Input!B15750&gt;=20,Input!B15750&lt;=700),Input!B15750,""),"")</f>
        <v/>
      </c>
      <c r="C15750">
        <f>IF(B15750="","",INT(A15750))</f>
        <v/>
      </c>
      <c r="D15750">
        <f>IF(B15750="","",HOUR(A15750))</f>
        <v/>
      </c>
    </row>
    <row r="15751">
      <c r="A15751">
        <f>Input!A15751</f>
        <v/>
      </c>
      <c r="B15751">
        <f>IF(ISNUMBER(Input!B15751),IF(AND(Input!B15751&gt;=20,Input!B15751&lt;=700),Input!B15751,""),"")</f>
        <v/>
      </c>
      <c r="C15751">
        <f>IF(B15751="","",INT(A15751))</f>
        <v/>
      </c>
      <c r="D15751">
        <f>IF(B15751="","",HOUR(A15751))</f>
        <v/>
      </c>
    </row>
    <row r="15752">
      <c r="A15752">
        <f>Input!A15752</f>
        <v/>
      </c>
      <c r="B15752">
        <f>IF(ISNUMBER(Input!B15752),IF(AND(Input!B15752&gt;=20,Input!B15752&lt;=700),Input!B15752,""),"")</f>
        <v/>
      </c>
      <c r="C15752">
        <f>IF(B15752="","",INT(A15752))</f>
        <v/>
      </c>
      <c r="D15752">
        <f>IF(B15752="","",HOUR(A15752))</f>
        <v/>
      </c>
    </row>
    <row r="15753">
      <c r="A15753">
        <f>Input!A15753</f>
        <v/>
      </c>
      <c r="B15753">
        <f>IF(ISNUMBER(Input!B15753),IF(AND(Input!B15753&gt;=20,Input!B15753&lt;=700),Input!B15753,""),"")</f>
        <v/>
      </c>
      <c r="C15753">
        <f>IF(B15753="","",INT(A15753))</f>
        <v/>
      </c>
      <c r="D15753">
        <f>IF(B15753="","",HOUR(A15753))</f>
        <v/>
      </c>
    </row>
    <row r="15754">
      <c r="A15754">
        <f>Input!A15754</f>
        <v/>
      </c>
      <c r="B15754">
        <f>IF(ISNUMBER(Input!B15754),IF(AND(Input!B15754&gt;=20,Input!B15754&lt;=700),Input!B15754,""),"")</f>
        <v/>
      </c>
      <c r="C15754">
        <f>IF(B15754="","",INT(A15754))</f>
        <v/>
      </c>
      <c r="D15754">
        <f>IF(B15754="","",HOUR(A15754))</f>
        <v/>
      </c>
    </row>
    <row r="15755">
      <c r="A15755">
        <f>Input!A15755</f>
        <v/>
      </c>
      <c r="B15755">
        <f>IF(ISNUMBER(Input!B15755),IF(AND(Input!B15755&gt;=20,Input!B15755&lt;=700),Input!B15755,""),"")</f>
        <v/>
      </c>
      <c r="C15755">
        <f>IF(B15755="","",INT(A15755))</f>
        <v/>
      </c>
      <c r="D15755">
        <f>IF(B15755="","",HOUR(A15755))</f>
        <v/>
      </c>
    </row>
    <row r="15756">
      <c r="A15756">
        <f>Input!A15756</f>
        <v/>
      </c>
      <c r="B15756">
        <f>IF(ISNUMBER(Input!B15756),IF(AND(Input!B15756&gt;=20,Input!B15756&lt;=700),Input!B15756,""),"")</f>
        <v/>
      </c>
      <c r="C15756">
        <f>IF(B15756="","",INT(A15756))</f>
        <v/>
      </c>
      <c r="D15756">
        <f>IF(B15756="","",HOUR(A15756))</f>
        <v/>
      </c>
    </row>
    <row r="15757">
      <c r="A15757">
        <f>Input!A15757</f>
        <v/>
      </c>
      <c r="B15757">
        <f>IF(ISNUMBER(Input!B15757),IF(AND(Input!B15757&gt;=20,Input!B15757&lt;=700),Input!B15757,""),"")</f>
        <v/>
      </c>
      <c r="C15757">
        <f>IF(B15757="","",INT(A15757))</f>
        <v/>
      </c>
      <c r="D15757">
        <f>IF(B15757="","",HOUR(A15757))</f>
        <v/>
      </c>
    </row>
    <row r="15758">
      <c r="A15758">
        <f>Input!A15758</f>
        <v/>
      </c>
      <c r="B15758">
        <f>IF(ISNUMBER(Input!B15758),IF(AND(Input!B15758&gt;=20,Input!B15758&lt;=700),Input!B15758,""),"")</f>
        <v/>
      </c>
      <c r="C15758">
        <f>IF(B15758="","",INT(A15758))</f>
        <v/>
      </c>
      <c r="D15758">
        <f>IF(B15758="","",HOUR(A15758))</f>
        <v/>
      </c>
    </row>
    <row r="15759">
      <c r="A15759">
        <f>Input!A15759</f>
        <v/>
      </c>
      <c r="B15759">
        <f>IF(ISNUMBER(Input!B15759),IF(AND(Input!B15759&gt;=20,Input!B15759&lt;=700),Input!B15759,""),"")</f>
        <v/>
      </c>
      <c r="C15759">
        <f>IF(B15759="","",INT(A15759))</f>
        <v/>
      </c>
      <c r="D15759">
        <f>IF(B15759="","",HOUR(A15759))</f>
        <v/>
      </c>
    </row>
    <row r="15760">
      <c r="A15760">
        <f>Input!A15760</f>
        <v/>
      </c>
      <c r="B15760">
        <f>IF(ISNUMBER(Input!B15760),IF(AND(Input!B15760&gt;=20,Input!B15760&lt;=700),Input!B15760,""),"")</f>
        <v/>
      </c>
      <c r="C15760">
        <f>IF(B15760="","",INT(A15760))</f>
        <v/>
      </c>
      <c r="D15760">
        <f>IF(B15760="","",HOUR(A15760))</f>
        <v/>
      </c>
    </row>
    <row r="15761">
      <c r="A15761">
        <f>Input!A15761</f>
        <v/>
      </c>
      <c r="B15761">
        <f>IF(ISNUMBER(Input!B15761),IF(AND(Input!B15761&gt;=20,Input!B15761&lt;=700),Input!B15761,""),"")</f>
        <v/>
      </c>
      <c r="C15761">
        <f>IF(B15761="","",INT(A15761))</f>
        <v/>
      </c>
      <c r="D15761">
        <f>IF(B15761="","",HOUR(A15761))</f>
        <v/>
      </c>
    </row>
    <row r="15762">
      <c r="A15762">
        <f>Input!A15762</f>
        <v/>
      </c>
      <c r="B15762">
        <f>IF(ISNUMBER(Input!B15762),IF(AND(Input!B15762&gt;=20,Input!B15762&lt;=700),Input!B15762,""),"")</f>
        <v/>
      </c>
      <c r="C15762">
        <f>IF(B15762="","",INT(A15762))</f>
        <v/>
      </c>
      <c r="D15762">
        <f>IF(B15762="","",HOUR(A15762))</f>
        <v/>
      </c>
    </row>
    <row r="15763">
      <c r="A15763">
        <f>Input!A15763</f>
        <v/>
      </c>
      <c r="B15763">
        <f>IF(ISNUMBER(Input!B15763),IF(AND(Input!B15763&gt;=20,Input!B15763&lt;=700),Input!B15763,""),"")</f>
        <v/>
      </c>
      <c r="C15763">
        <f>IF(B15763="","",INT(A15763))</f>
        <v/>
      </c>
      <c r="D15763">
        <f>IF(B15763="","",HOUR(A15763))</f>
        <v/>
      </c>
    </row>
    <row r="15764">
      <c r="A15764">
        <f>Input!A15764</f>
        <v/>
      </c>
      <c r="B15764">
        <f>IF(ISNUMBER(Input!B15764),IF(AND(Input!B15764&gt;=20,Input!B15764&lt;=700),Input!B15764,""),"")</f>
        <v/>
      </c>
      <c r="C15764">
        <f>IF(B15764="","",INT(A15764))</f>
        <v/>
      </c>
      <c r="D15764">
        <f>IF(B15764="","",HOUR(A15764))</f>
        <v/>
      </c>
    </row>
    <row r="15765">
      <c r="A15765">
        <f>Input!A15765</f>
        <v/>
      </c>
      <c r="B15765">
        <f>IF(ISNUMBER(Input!B15765),IF(AND(Input!B15765&gt;=20,Input!B15765&lt;=700),Input!B15765,""),"")</f>
        <v/>
      </c>
      <c r="C15765">
        <f>IF(B15765="","",INT(A15765))</f>
        <v/>
      </c>
      <c r="D15765">
        <f>IF(B15765="","",HOUR(A15765))</f>
        <v/>
      </c>
    </row>
    <row r="15766">
      <c r="A15766">
        <f>Input!A15766</f>
        <v/>
      </c>
      <c r="B15766">
        <f>IF(ISNUMBER(Input!B15766),IF(AND(Input!B15766&gt;=20,Input!B15766&lt;=700),Input!B15766,""),"")</f>
        <v/>
      </c>
      <c r="C15766">
        <f>IF(B15766="","",INT(A15766))</f>
        <v/>
      </c>
      <c r="D15766">
        <f>IF(B15766="","",HOUR(A15766))</f>
        <v/>
      </c>
    </row>
    <row r="15767">
      <c r="A15767">
        <f>Input!A15767</f>
        <v/>
      </c>
      <c r="B15767">
        <f>IF(ISNUMBER(Input!B15767),IF(AND(Input!B15767&gt;=20,Input!B15767&lt;=700),Input!B15767,""),"")</f>
        <v/>
      </c>
      <c r="C15767">
        <f>IF(B15767="","",INT(A15767))</f>
        <v/>
      </c>
      <c r="D15767">
        <f>IF(B15767="","",HOUR(A15767))</f>
        <v/>
      </c>
    </row>
    <row r="15768">
      <c r="A15768">
        <f>Input!A15768</f>
        <v/>
      </c>
      <c r="B15768">
        <f>IF(ISNUMBER(Input!B15768),IF(AND(Input!B15768&gt;=20,Input!B15768&lt;=700),Input!B15768,""),"")</f>
        <v/>
      </c>
      <c r="C15768">
        <f>IF(B15768="","",INT(A15768))</f>
        <v/>
      </c>
      <c r="D15768">
        <f>IF(B15768="","",HOUR(A15768))</f>
        <v/>
      </c>
    </row>
    <row r="15769">
      <c r="A15769">
        <f>Input!A15769</f>
        <v/>
      </c>
      <c r="B15769">
        <f>IF(ISNUMBER(Input!B15769),IF(AND(Input!B15769&gt;=20,Input!B15769&lt;=700),Input!B15769,""),"")</f>
        <v/>
      </c>
      <c r="C15769">
        <f>IF(B15769="","",INT(A15769))</f>
        <v/>
      </c>
      <c r="D15769">
        <f>IF(B15769="","",HOUR(A15769))</f>
        <v/>
      </c>
    </row>
    <row r="15770">
      <c r="A15770">
        <f>Input!A15770</f>
        <v/>
      </c>
      <c r="B15770">
        <f>IF(ISNUMBER(Input!B15770),IF(AND(Input!B15770&gt;=20,Input!B15770&lt;=700),Input!B15770,""),"")</f>
        <v/>
      </c>
      <c r="C15770">
        <f>IF(B15770="","",INT(A15770))</f>
        <v/>
      </c>
      <c r="D15770">
        <f>IF(B15770="","",HOUR(A15770))</f>
        <v/>
      </c>
    </row>
    <row r="15771">
      <c r="A15771">
        <f>Input!A15771</f>
        <v/>
      </c>
      <c r="B15771">
        <f>IF(ISNUMBER(Input!B15771),IF(AND(Input!B15771&gt;=20,Input!B15771&lt;=700),Input!B15771,""),"")</f>
        <v/>
      </c>
      <c r="C15771">
        <f>IF(B15771="","",INT(A15771))</f>
        <v/>
      </c>
      <c r="D15771">
        <f>IF(B15771="","",HOUR(A15771))</f>
        <v/>
      </c>
    </row>
    <row r="15772">
      <c r="A15772">
        <f>Input!A15772</f>
        <v/>
      </c>
      <c r="B15772">
        <f>IF(ISNUMBER(Input!B15772),IF(AND(Input!B15772&gt;=20,Input!B15772&lt;=700),Input!B15772,""),"")</f>
        <v/>
      </c>
      <c r="C15772">
        <f>IF(B15772="","",INT(A15772))</f>
        <v/>
      </c>
      <c r="D15772">
        <f>IF(B15772="","",HOUR(A15772))</f>
        <v/>
      </c>
    </row>
    <row r="15773">
      <c r="A15773">
        <f>Input!A15773</f>
        <v/>
      </c>
      <c r="B15773">
        <f>IF(ISNUMBER(Input!B15773),IF(AND(Input!B15773&gt;=20,Input!B15773&lt;=700),Input!B15773,""),"")</f>
        <v/>
      </c>
      <c r="C15773">
        <f>IF(B15773="","",INT(A15773))</f>
        <v/>
      </c>
      <c r="D15773">
        <f>IF(B15773="","",HOUR(A15773))</f>
        <v/>
      </c>
    </row>
    <row r="15774">
      <c r="A15774">
        <f>Input!A15774</f>
        <v/>
      </c>
      <c r="B15774">
        <f>IF(ISNUMBER(Input!B15774),IF(AND(Input!B15774&gt;=20,Input!B15774&lt;=700),Input!B15774,""),"")</f>
        <v/>
      </c>
      <c r="C15774">
        <f>IF(B15774="","",INT(A15774))</f>
        <v/>
      </c>
      <c r="D15774">
        <f>IF(B15774="","",HOUR(A15774))</f>
        <v/>
      </c>
    </row>
    <row r="15775">
      <c r="A15775">
        <f>Input!A15775</f>
        <v/>
      </c>
      <c r="B15775">
        <f>IF(ISNUMBER(Input!B15775),IF(AND(Input!B15775&gt;=20,Input!B15775&lt;=700),Input!B15775,""),"")</f>
        <v/>
      </c>
      <c r="C15775">
        <f>IF(B15775="","",INT(A15775))</f>
        <v/>
      </c>
      <c r="D15775">
        <f>IF(B15775="","",HOUR(A15775))</f>
        <v/>
      </c>
    </row>
    <row r="15776">
      <c r="A15776">
        <f>Input!A15776</f>
        <v/>
      </c>
      <c r="B15776">
        <f>IF(ISNUMBER(Input!B15776),IF(AND(Input!B15776&gt;=20,Input!B15776&lt;=700),Input!B15776,""),"")</f>
        <v/>
      </c>
      <c r="C15776">
        <f>IF(B15776="","",INT(A15776))</f>
        <v/>
      </c>
      <c r="D15776">
        <f>IF(B15776="","",HOUR(A15776))</f>
        <v/>
      </c>
    </row>
    <row r="15777">
      <c r="A15777">
        <f>Input!A15777</f>
        <v/>
      </c>
      <c r="B15777">
        <f>IF(ISNUMBER(Input!B15777),IF(AND(Input!B15777&gt;=20,Input!B15777&lt;=700),Input!B15777,""),"")</f>
        <v/>
      </c>
      <c r="C15777">
        <f>IF(B15777="","",INT(A15777))</f>
        <v/>
      </c>
      <c r="D15777">
        <f>IF(B15777="","",HOUR(A15777))</f>
        <v/>
      </c>
    </row>
    <row r="15778">
      <c r="A15778">
        <f>Input!A15778</f>
        <v/>
      </c>
      <c r="B15778">
        <f>IF(ISNUMBER(Input!B15778),IF(AND(Input!B15778&gt;=20,Input!B15778&lt;=700),Input!B15778,""),"")</f>
        <v/>
      </c>
      <c r="C15778">
        <f>IF(B15778="","",INT(A15778))</f>
        <v/>
      </c>
      <c r="D15778">
        <f>IF(B15778="","",HOUR(A15778))</f>
        <v/>
      </c>
    </row>
    <row r="15779">
      <c r="A15779">
        <f>Input!A15779</f>
        <v/>
      </c>
      <c r="B15779">
        <f>IF(ISNUMBER(Input!B15779),IF(AND(Input!B15779&gt;=20,Input!B15779&lt;=700),Input!B15779,""),"")</f>
        <v/>
      </c>
      <c r="C15779">
        <f>IF(B15779="","",INT(A15779))</f>
        <v/>
      </c>
      <c r="D15779">
        <f>IF(B15779="","",HOUR(A15779))</f>
        <v/>
      </c>
    </row>
    <row r="15780">
      <c r="A15780">
        <f>Input!A15780</f>
        <v/>
      </c>
      <c r="B15780">
        <f>IF(ISNUMBER(Input!B15780),IF(AND(Input!B15780&gt;=20,Input!B15780&lt;=700),Input!B15780,""),"")</f>
        <v/>
      </c>
      <c r="C15780">
        <f>IF(B15780="","",INT(A15780))</f>
        <v/>
      </c>
      <c r="D15780">
        <f>IF(B15780="","",HOUR(A15780))</f>
        <v/>
      </c>
    </row>
    <row r="15781">
      <c r="A15781">
        <f>Input!A15781</f>
        <v/>
      </c>
      <c r="B15781">
        <f>IF(ISNUMBER(Input!B15781),IF(AND(Input!B15781&gt;=20,Input!B15781&lt;=700),Input!B15781,""),"")</f>
        <v/>
      </c>
      <c r="C15781">
        <f>IF(B15781="","",INT(A15781))</f>
        <v/>
      </c>
      <c r="D15781">
        <f>IF(B15781="","",HOUR(A15781))</f>
        <v/>
      </c>
    </row>
    <row r="15782">
      <c r="A15782">
        <f>Input!A15782</f>
        <v/>
      </c>
      <c r="B15782">
        <f>IF(ISNUMBER(Input!B15782),IF(AND(Input!B15782&gt;=20,Input!B15782&lt;=700),Input!B15782,""),"")</f>
        <v/>
      </c>
      <c r="C15782">
        <f>IF(B15782="","",INT(A15782))</f>
        <v/>
      </c>
      <c r="D15782">
        <f>IF(B15782="","",HOUR(A15782))</f>
        <v/>
      </c>
    </row>
    <row r="15783">
      <c r="A15783">
        <f>Input!A15783</f>
        <v/>
      </c>
      <c r="B15783">
        <f>IF(ISNUMBER(Input!B15783),IF(AND(Input!B15783&gt;=20,Input!B15783&lt;=700),Input!B15783,""),"")</f>
        <v/>
      </c>
      <c r="C15783">
        <f>IF(B15783="","",INT(A15783))</f>
        <v/>
      </c>
      <c r="D15783">
        <f>IF(B15783="","",HOUR(A15783))</f>
        <v/>
      </c>
    </row>
    <row r="15784">
      <c r="A15784">
        <f>Input!A15784</f>
        <v/>
      </c>
      <c r="B15784">
        <f>IF(ISNUMBER(Input!B15784),IF(AND(Input!B15784&gt;=20,Input!B15784&lt;=700),Input!B15784,""),"")</f>
        <v/>
      </c>
      <c r="C15784">
        <f>IF(B15784="","",INT(A15784))</f>
        <v/>
      </c>
      <c r="D15784">
        <f>IF(B15784="","",HOUR(A15784))</f>
        <v/>
      </c>
    </row>
    <row r="15785">
      <c r="A15785">
        <f>Input!A15785</f>
        <v/>
      </c>
      <c r="B15785">
        <f>IF(ISNUMBER(Input!B15785),IF(AND(Input!B15785&gt;=20,Input!B15785&lt;=700),Input!B15785,""),"")</f>
        <v/>
      </c>
      <c r="C15785">
        <f>IF(B15785="","",INT(A15785))</f>
        <v/>
      </c>
      <c r="D15785">
        <f>IF(B15785="","",HOUR(A15785))</f>
        <v/>
      </c>
    </row>
    <row r="15786">
      <c r="A15786">
        <f>Input!A15786</f>
        <v/>
      </c>
      <c r="B15786">
        <f>IF(ISNUMBER(Input!B15786),IF(AND(Input!B15786&gt;=20,Input!B15786&lt;=700),Input!B15786,""),"")</f>
        <v/>
      </c>
      <c r="C15786">
        <f>IF(B15786="","",INT(A15786))</f>
        <v/>
      </c>
      <c r="D15786">
        <f>IF(B15786="","",HOUR(A15786))</f>
        <v/>
      </c>
    </row>
    <row r="15787">
      <c r="A15787">
        <f>Input!A15787</f>
        <v/>
      </c>
      <c r="B15787">
        <f>IF(ISNUMBER(Input!B15787),IF(AND(Input!B15787&gt;=20,Input!B15787&lt;=700),Input!B15787,""),"")</f>
        <v/>
      </c>
      <c r="C15787">
        <f>IF(B15787="","",INT(A15787))</f>
        <v/>
      </c>
      <c r="D15787">
        <f>IF(B15787="","",HOUR(A15787))</f>
        <v/>
      </c>
    </row>
    <row r="15788">
      <c r="A15788">
        <f>Input!A15788</f>
        <v/>
      </c>
      <c r="B15788">
        <f>IF(ISNUMBER(Input!B15788),IF(AND(Input!B15788&gt;=20,Input!B15788&lt;=700),Input!B15788,""),"")</f>
        <v/>
      </c>
      <c r="C15788">
        <f>IF(B15788="","",INT(A15788))</f>
        <v/>
      </c>
      <c r="D15788">
        <f>IF(B15788="","",HOUR(A15788))</f>
        <v/>
      </c>
    </row>
    <row r="15789">
      <c r="A15789">
        <f>Input!A15789</f>
        <v/>
      </c>
      <c r="B15789">
        <f>IF(ISNUMBER(Input!B15789),IF(AND(Input!B15789&gt;=20,Input!B15789&lt;=700),Input!B15789,""),"")</f>
        <v/>
      </c>
      <c r="C15789">
        <f>IF(B15789="","",INT(A15789))</f>
        <v/>
      </c>
      <c r="D15789">
        <f>IF(B15789="","",HOUR(A15789))</f>
        <v/>
      </c>
    </row>
    <row r="15790">
      <c r="A15790">
        <f>Input!A15790</f>
        <v/>
      </c>
      <c r="B15790">
        <f>IF(ISNUMBER(Input!B15790),IF(AND(Input!B15790&gt;=20,Input!B15790&lt;=700),Input!B15790,""),"")</f>
        <v/>
      </c>
      <c r="C15790">
        <f>IF(B15790="","",INT(A15790))</f>
        <v/>
      </c>
      <c r="D15790">
        <f>IF(B15790="","",HOUR(A15790))</f>
        <v/>
      </c>
    </row>
    <row r="15791">
      <c r="A15791">
        <f>Input!A15791</f>
        <v/>
      </c>
      <c r="B15791">
        <f>IF(ISNUMBER(Input!B15791),IF(AND(Input!B15791&gt;=20,Input!B15791&lt;=700),Input!B15791,""),"")</f>
        <v/>
      </c>
      <c r="C15791">
        <f>IF(B15791="","",INT(A15791))</f>
        <v/>
      </c>
      <c r="D15791">
        <f>IF(B15791="","",HOUR(A15791))</f>
        <v/>
      </c>
    </row>
    <row r="15792">
      <c r="A15792">
        <f>Input!A15792</f>
        <v/>
      </c>
      <c r="B15792">
        <f>IF(ISNUMBER(Input!B15792),IF(AND(Input!B15792&gt;=20,Input!B15792&lt;=700),Input!B15792,""),"")</f>
        <v/>
      </c>
      <c r="C15792">
        <f>IF(B15792="","",INT(A15792))</f>
        <v/>
      </c>
      <c r="D15792">
        <f>IF(B15792="","",HOUR(A15792))</f>
        <v/>
      </c>
    </row>
    <row r="15793">
      <c r="A15793">
        <f>Input!A15793</f>
        <v/>
      </c>
      <c r="B15793">
        <f>IF(ISNUMBER(Input!B15793),IF(AND(Input!B15793&gt;=20,Input!B15793&lt;=700),Input!B15793,""),"")</f>
        <v/>
      </c>
      <c r="C15793">
        <f>IF(B15793="","",INT(A15793))</f>
        <v/>
      </c>
      <c r="D15793">
        <f>IF(B15793="","",HOUR(A15793))</f>
        <v/>
      </c>
    </row>
    <row r="15794">
      <c r="A15794">
        <f>Input!A15794</f>
        <v/>
      </c>
      <c r="B15794">
        <f>IF(ISNUMBER(Input!B15794),IF(AND(Input!B15794&gt;=20,Input!B15794&lt;=700),Input!B15794,""),"")</f>
        <v/>
      </c>
      <c r="C15794">
        <f>IF(B15794="","",INT(A15794))</f>
        <v/>
      </c>
      <c r="D15794">
        <f>IF(B15794="","",HOUR(A15794))</f>
        <v/>
      </c>
    </row>
    <row r="15795">
      <c r="A15795">
        <f>Input!A15795</f>
        <v/>
      </c>
      <c r="B15795">
        <f>IF(ISNUMBER(Input!B15795),IF(AND(Input!B15795&gt;=20,Input!B15795&lt;=700),Input!B15795,""),"")</f>
        <v/>
      </c>
      <c r="C15795">
        <f>IF(B15795="","",INT(A15795))</f>
        <v/>
      </c>
      <c r="D15795">
        <f>IF(B15795="","",HOUR(A15795))</f>
        <v/>
      </c>
    </row>
    <row r="15796">
      <c r="A15796">
        <f>Input!A15796</f>
        <v/>
      </c>
      <c r="B15796">
        <f>IF(ISNUMBER(Input!B15796),IF(AND(Input!B15796&gt;=20,Input!B15796&lt;=700),Input!B15796,""),"")</f>
        <v/>
      </c>
      <c r="C15796">
        <f>IF(B15796="","",INT(A15796))</f>
        <v/>
      </c>
      <c r="D15796">
        <f>IF(B15796="","",HOUR(A15796))</f>
        <v/>
      </c>
    </row>
    <row r="15797">
      <c r="A15797">
        <f>Input!A15797</f>
        <v/>
      </c>
      <c r="B15797">
        <f>IF(ISNUMBER(Input!B15797),IF(AND(Input!B15797&gt;=20,Input!B15797&lt;=700),Input!B15797,""),"")</f>
        <v/>
      </c>
      <c r="C15797">
        <f>IF(B15797="","",INT(A15797))</f>
        <v/>
      </c>
      <c r="D15797">
        <f>IF(B15797="","",HOUR(A15797))</f>
        <v/>
      </c>
    </row>
    <row r="15798">
      <c r="A15798">
        <f>Input!A15798</f>
        <v/>
      </c>
      <c r="B15798">
        <f>IF(ISNUMBER(Input!B15798),IF(AND(Input!B15798&gt;=20,Input!B15798&lt;=700),Input!B15798,""),"")</f>
        <v/>
      </c>
      <c r="C15798">
        <f>IF(B15798="","",INT(A15798))</f>
        <v/>
      </c>
      <c r="D15798">
        <f>IF(B15798="","",HOUR(A15798))</f>
        <v/>
      </c>
    </row>
    <row r="15799">
      <c r="A15799">
        <f>Input!A15799</f>
        <v/>
      </c>
      <c r="B15799">
        <f>IF(ISNUMBER(Input!B15799),IF(AND(Input!B15799&gt;=20,Input!B15799&lt;=700),Input!B15799,""),"")</f>
        <v/>
      </c>
      <c r="C15799">
        <f>IF(B15799="","",INT(A15799))</f>
        <v/>
      </c>
      <c r="D15799">
        <f>IF(B15799="","",HOUR(A15799))</f>
        <v/>
      </c>
    </row>
    <row r="15800">
      <c r="A15800">
        <f>Input!A15800</f>
        <v/>
      </c>
      <c r="B15800">
        <f>IF(ISNUMBER(Input!B15800),IF(AND(Input!B15800&gt;=20,Input!B15800&lt;=700),Input!B15800,""),"")</f>
        <v/>
      </c>
      <c r="C15800">
        <f>IF(B15800="","",INT(A15800))</f>
        <v/>
      </c>
      <c r="D15800">
        <f>IF(B15800="","",HOUR(A15800))</f>
        <v/>
      </c>
    </row>
    <row r="15801">
      <c r="A15801">
        <f>Input!A15801</f>
        <v/>
      </c>
      <c r="B15801">
        <f>IF(ISNUMBER(Input!B15801),IF(AND(Input!B15801&gt;=20,Input!B15801&lt;=700),Input!B15801,""),"")</f>
        <v/>
      </c>
      <c r="C15801">
        <f>IF(B15801="","",INT(A15801))</f>
        <v/>
      </c>
      <c r="D15801">
        <f>IF(B15801="","",HOUR(A15801))</f>
        <v/>
      </c>
    </row>
    <row r="15802">
      <c r="A15802">
        <f>Input!A15802</f>
        <v/>
      </c>
      <c r="B15802">
        <f>IF(ISNUMBER(Input!B15802),IF(AND(Input!B15802&gt;=20,Input!B15802&lt;=700),Input!B15802,""),"")</f>
        <v/>
      </c>
      <c r="C15802">
        <f>IF(B15802="","",INT(A15802))</f>
        <v/>
      </c>
      <c r="D15802">
        <f>IF(B15802="","",HOUR(A15802))</f>
        <v/>
      </c>
    </row>
    <row r="15803">
      <c r="A15803">
        <f>Input!A15803</f>
        <v/>
      </c>
      <c r="B15803">
        <f>IF(ISNUMBER(Input!B15803),IF(AND(Input!B15803&gt;=20,Input!B15803&lt;=700),Input!B15803,""),"")</f>
        <v/>
      </c>
      <c r="C15803">
        <f>IF(B15803="","",INT(A15803))</f>
        <v/>
      </c>
      <c r="D15803">
        <f>IF(B15803="","",HOUR(A15803))</f>
        <v/>
      </c>
    </row>
    <row r="15804">
      <c r="A15804">
        <f>Input!A15804</f>
        <v/>
      </c>
      <c r="B15804">
        <f>IF(ISNUMBER(Input!B15804),IF(AND(Input!B15804&gt;=20,Input!B15804&lt;=700),Input!B15804,""),"")</f>
        <v/>
      </c>
      <c r="C15804">
        <f>IF(B15804="","",INT(A15804))</f>
        <v/>
      </c>
      <c r="D15804">
        <f>IF(B15804="","",HOUR(A15804))</f>
        <v/>
      </c>
    </row>
    <row r="15805">
      <c r="A15805">
        <f>Input!A15805</f>
        <v/>
      </c>
      <c r="B15805">
        <f>IF(ISNUMBER(Input!B15805),IF(AND(Input!B15805&gt;=20,Input!B15805&lt;=700),Input!B15805,""),"")</f>
        <v/>
      </c>
      <c r="C15805">
        <f>IF(B15805="","",INT(A15805))</f>
        <v/>
      </c>
      <c r="D15805">
        <f>IF(B15805="","",HOUR(A15805))</f>
        <v/>
      </c>
    </row>
    <row r="15806">
      <c r="A15806">
        <f>Input!A15806</f>
        <v/>
      </c>
      <c r="B15806">
        <f>IF(ISNUMBER(Input!B15806),IF(AND(Input!B15806&gt;=20,Input!B15806&lt;=700),Input!B15806,""),"")</f>
        <v/>
      </c>
      <c r="C15806">
        <f>IF(B15806="","",INT(A15806))</f>
        <v/>
      </c>
      <c r="D15806">
        <f>IF(B15806="","",HOUR(A15806))</f>
        <v/>
      </c>
    </row>
    <row r="15807">
      <c r="A15807">
        <f>Input!A15807</f>
        <v/>
      </c>
      <c r="B15807">
        <f>IF(ISNUMBER(Input!B15807),IF(AND(Input!B15807&gt;=20,Input!B15807&lt;=700),Input!B15807,""),"")</f>
        <v/>
      </c>
      <c r="C15807">
        <f>IF(B15807="","",INT(A15807))</f>
        <v/>
      </c>
      <c r="D15807">
        <f>IF(B15807="","",HOUR(A15807))</f>
        <v/>
      </c>
    </row>
    <row r="15808">
      <c r="A15808">
        <f>Input!A15808</f>
        <v/>
      </c>
      <c r="B15808">
        <f>IF(ISNUMBER(Input!B15808),IF(AND(Input!B15808&gt;=20,Input!B15808&lt;=700),Input!B15808,""),"")</f>
        <v/>
      </c>
      <c r="C15808">
        <f>IF(B15808="","",INT(A15808))</f>
        <v/>
      </c>
      <c r="D15808">
        <f>IF(B15808="","",HOUR(A15808))</f>
        <v/>
      </c>
    </row>
    <row r="15809">
      <c r="A15809">
        <f>Input!A15809</f>
        <v/>
      </c>
      <c r="B15809">
        <f>IF(ISNUMBER(Input!B15809),IF(AND(Input!B15809&gt;=20,Input!B15809&lt;=700),Input!B15809,""),"")</f>
        <v/>
      </c>
      <c r="C15809">
        <f>IF(B15809="","",INT(A15809))</f>
        <v/>
      </c>
      <c r="D15809">
        <f>IF(B15809="","",HOUR(A15809))</f>
        <v/>
      </c>
    </row>
    <row r="15810">
      <c r="A15810">
        <f>Input!A15810</f>
        <v/>
      </c>
      <c r="B15810">
        <f>IF(ISNUMBER(Input!B15810),IF(AND(Input!B15810&gt;=20,Input!B15810&lt;=700),Input!B15810,""),"")</f>
        <v/>
      </c>
      <c r="C15810">
        <f>IF(B15810="","",INT(A15810))</f>
        <v/>
      </c>
      <c r="D15810">
        <f>IF(B15810="","",HOUR(A15810))</f>
        <v/>
      </c>
    </row>
    <row r="15811">
      <c r="A15811">
        <f>Input!A15811</f>
        <v/>
      </c>
      <c r="B15811">
        <f>IF(ISNUMBER(Input!B15811),IF(AND(Input!B15811&gt;=20,Input!B15811&lt;=700),Input!B15811,""),"")</f>
        <v/>
      </c>
      <c r="C15811">
        <f>IF(B15811="","",INT(A15811))</f>
        <v/>
      </c>
      <c r="D15811">
        <f>IF(B15811="","",HOUR(A15811))</f>
        <v/>
      </c>
    </row>
    <row r="15812">
      <c r="A15812">
        <f>Input!A15812</f>
        <v/>
      </c>
      <c r="B15812">
        <f>IF(ISNUMBER(Input!B15812),IF(AND(Input!B15812&gt;=20,Input!B15812&lt;=700),Input!B15812,""),"")</f>
        <v/>
      </c>
      <c r="C15812">
        <f>IF(B15812="","",INT(A15812))</f>
        <v/>
      </c>
      <c r="D15812">
        <f>IF(B15812="","",HOUR(A15812))</f>
        <v/>
      </c>
    </row>
    <row r="15813">
      <c r="A15813">
        <f>Input!A15813</f>
        <v/>
      </c>
      <c r="B15813">
        <f>IF(ISNUMBER(Input!B15813),IF(AND(Input!B15813&gt;=20,Input!B15813&lt;=700),Input!B15813,""),"")</f>
        <v/>
      </c>
      <c r="C15813">
        <f>IF(B15813="","",INT(A15813))</f>
        <v/>
      </c>
      <c r="D15813">
        <f>IF(B15813="","",HOUR(A15813))</f>
        <v/>
      </c>
    </row>
    <row r="15814">
      <c r="A15814">
        <f>Input!A15814</f>
        <v/>
      </c>
      <c r="B15814">
        <f>IF(ISNUMBER(Input!B15814),IF(AND(Input!B15814&gt;=20,Input!B15814&lt;=700),Input!B15814,""),"")</f>
        <v/>
      </c>
      <c r="C15814">
        <f>IF(B15814="","",INT(A15814))</f>
        <v/>
      </c>
      <c r="D15814">
        <f>IF(B15814="","",HOUR(A15814))</f>
        <v/>
      </c>
    </row>
    <row r="15815">
      <c r="A15815">
        <f>Input!A15815</f>
        <v/>
      </c>
      <c r="B15815">
        <f>IF(ISNUMBER(Input!B15815),IF(AND(Input!B15815&gt;=20,Input!B15815&lt;=700),Input!B15815,""),"")</f>
        <v/>
      </c>
      <c r="C15815">
        <f>IF(B15815="","",INT(A15815))</f>
        <v/>
      </c>
      <c r="D15815">
        <f>IF(B15815="","",HOUR(A15815))</f>
        <v/>
      </c>
    </row>
    <row r="15816">
      <c r="A15816">
        <f>Input!A15816</f>
        <v/>
      </c>
      <c r="B15816">
        <f>IF(ISNUMBER(Input!B15816),IF(AND(Input!B15816&gt;=20,Input!B15816&lt;=700),Input!B15816,""),"")</f>
        <v/>
      </c>
      <c r="C15816">
        <f>IF(B15816="","",INT(A15816))</f>
        <v/>
      </c>
      <c r="D15816">
        <f>IF(B15816="","",HOUR(A15816))</f>
        <v/>
      </c>
    </row>
    <row r="15817">
      <c r="A15817">
        <f>Input!A15817</f>
        <v/>
      </c>
      <c r="B15817">
        <f>IF(ISNUMBER(Input!B15817),IF(AND(Input!B15817&gt;=20,Input!B15817&lt;=700),Input!B15817,""),"")</f>
        <v/>
      </c>
      <c r="C15817">
        <f>IF(B15817="","",INT(A15817))</f>
        <v/>
      </c>
      <c r="D15817">
        <f>IF(B15817="","",HOUR(A15817))</f>
        <v/>
      </c>
    </row>
    <row r="15818">
      <c r="A15818">
        <f>Input!A15818</f>
        <v/>
      </c>
      <c r="B15818">
        <f>IF(ISNUMBER(Input!B15818),IF(AND(Input!B15818&gt;=20,Input!B15818&lt;=700),Input!B15818,""),"")</f>
        <v/>
      </c>
      <c r="C15818">
        <f>IF(B15818="","",INT(A15818))</f>
        <v/>
      </c>
      <c r="D15818">
        <f>IF(B15818="","",HOUR(A15818))</f>
        <v/>
      </c>
    </row>
    <row r="15819">
      <c r="A15819">
        <f>Input!A15819</f>
        <v/>
      </c>
      <c r="B15819">
        <f>IF(ISNUMBER(Input!B15819),IF(AND(Input!B15819&gt;=20,Input!B15819&lt;=700),Input!B15819,""),"")</f>
        <v/>
      </c>
      <c r="C15819">
        <f>IF(B15819="","",INT(A15819))</f>
        <v/>
      </c>
      <c r="D15819">
        <f>IF(B15819="","",HOUR(A15819))</f>
        <v/>
      </c>
    </row>
    <row r="15820">
      <c r="A15820">
        <f>Input!A15820</f>
        <v/>
      </c>
      <c r="B15820">
        <f>IF(ISNUMBER(Input!B15820),IF(AND(Input!B15820&gt;=20,Input!B15820&lt;=700),Input!B15820,""),"")</f>
        <v/>
      </c>
      <c r="C15820">
        <f>IF(B15820="","",INT(A15820))</f>
        <v/>
      </c>
      <c r="D15820">
        <f>IF(B15820="","",HOUR(A15820))</f>
        <v/>
      </c>
    </row>
    <row r="15821">
      <c r="A15821">
        <f>Input!A15821</f>
        <v/>
      </c>
      <c r="B15821">
        <f>IF(ISNUMBER(Input!B15821),IF(AND(Input!B15821&gt;=20,Input!B15821&lt;=700),Input!B15821,""),"")</f>
        <v/>
      </c>
      <c r="C15821">
        <f>IF(B15821="","",INT(A15821))</f>
        <v/>
      </c>
      <c r="D15821">
        <f>IF(B15821="","",HOUR(A15821))</f>
        <v/>
      </c>
    </row>
    <row r="15822">
      <c r="A15822">
        <f>Input!A15822</f>
        <v/>
      </c>
      <c r="B15822">
        <f>IF(ISNUMBER(Input!B15822),IF(AND(Input!B15822&gt;=20,Input!B15822&lt;=700),Input!B15822,""),"")</f>
        <v/>
      </c>
      <c r="C15822">
        <f>IF(B15822="","",INT(A15822))</f>
        <v/>
      </c>
      <c r="D15822">
        <f>IF(B15822="","",HOUR(A15822))</f>
        <v/>
      </c>
    </row>
    <row r="15823">
      <c r="A15823">
        <f>Input!A15823</f>
        <v/>
      </c>
      <c r="B15823">
        <f>IF(ISNUMBER(Input!B15823),IF(AND(Input!B15823&gt;=20,Input!B15823&lt;=700),Input!B15823,""),"")</f>
        <v/>
      </c>
      <c r="C15823">
        <f>IF(B15823="","",INT(A15823))</f>
        <v/>
      </c>
      <c r="D15823">
        <f>IF(B15823="","",HOUR(A15823))</f>
        <v/>
      </c>
    </row>
    <row r="15824">
      <c r="A15824">
        <f>Input!A15824</f>
        <v/>
      </c>
      <c r="B15824">
        <f>IF(ISNUMBER(Input!B15824),IF(AND(Input!B15824&gt;=20,Input!B15824&lt;=700),Input!B15824,""),"")</f>
        <v/>
      </c>
      <c r="C15824">
        <f>IF(B15824="","",INT(A15824))</f>
        <v/>
      </c>
      <c r="D15824">
        <f>IF(B15824="","",HOUR(A15824))</f>
        <v/>
      </c>
    </row>
    <row r="15825">
      <c r="A15825">
        <f>Input!A15825</f>
        <v/>
      </c>
      <c r="B15825">
        <f>IF(ISNUMBER(Input!B15825),IF(AND(Input!B15825&gt;=20,Input!B15825&lt;=700),Input!B15825,""),"")</f>
        <v/>
      </c>
      <c r="C15825">
        <f>IF(B15825="","",INT(A15825))</f>
        <v/>
      </c>
      <c r="D15825">
        <f>IF(B15825="","",HOUR(A15825))</f>
        <v/>
      </c>
    </row>
    <row r="15826">
      <c r="A15826">
        <f>Input!A15826</f>
        <v/>
      </c>
      <c r="B15826">
        <f>IF(ISNUMBER(Input!B15826),IF(AND(Input!B15826&gt;=20,Input!B15826&lt;=700),Input!B15826,""),"")</f>
        <v/>
      </c>
      <c r="C15826">
        <f>IF(B15826="","",INT(A15826))</f>
        <v/>
      </c>
      <c r="D15826">
        <f>IF(B15826="","",HOUR(A15826))</f>
        <v/>
      </c>
    </row>
    <row r="15827">
      <c r="A15827">
        <f>Input!A15827</f>
        <v/>
      </c>
      <c r="B15827">
        <f>IF(ISNUMBER(Input!B15827),IF(AND(Input!B15827&gt;=20,Input!B15827&lt;=700),Input!B15827,""),"")</f>
        <v/>
      </c>
      <c r="C15827">
        <f>IF(B15827="","",INT(A15827))</f>
        <v/>
      </c>
      <c r="D15827">
        <f>IF(B15827="","",HOUR(A15827))</f>
        <v/>
      </c>
    </row>
    <row r="15828">
      <c r="A15828">
        <f>Input!A15828</f>
        <v/>
      </c>
      <c r="B15828">
        <f>IF(ISNUMBER(Input!B15828),IF(AND(Input!B15828&gt;=20,Input!B15828&lt;=700),Input!B15828,""),"")</f>
        <v/>
      </c>
      <c r="C15828">
        <f>IF(B15828="","",INT(A15828))</f>
        <v/>
      </c>
      <c r="D15828">
        <f>IF(B15828="","",HOUR(A15828))</f>
        <v/>
      </c>
    </row>
    <row r="15829">
      <c r="A15829">
        <f>Input!A15829</f>
        <v/>
      </c>
      <c r="B15829">
        <f>IF(ISNUMBER(Input!B15829),IF(AND(Input!B15829&gt;=20,Input!B15829&lt;=700),Input!B15829,""),"")</f>
        <v/>
      </c>
      <c r="C15829">
        <f>IF(B15829="","",INT(A15829))</f>
        <v/>
      </c>
      <c r="D15829">
        <f>IF(B15829="","",HOUR(A15829))</f>
        <v/>
      </c>
    </row>
    <row r="15830">
      <c r="A15830">
        <f>Input!A15830</f>
        <v/>
      </c>
      <c r="B15830">
        <f>IF(ISNUMBER(Input!B15830),IF(AND(Input!B15830&gt;=20,Input!B15830&lt;=700),Input!B15830,""),"")</f>
        <v/>
      </c>
      <c r="C15830">
        <f>IF(B15830="","",INT(A15830))</f>
        <v/>
      </c>
      <c r="D15830">
        <f>IF(B15830="","",HOUR(A15830))</f>
        <v/>
      </c>
    </row>
    <row r="15831">
      <c r="A15831">
        <f>Input!A15831</f>
        <v/>
      </c>
      <c r="B15831">
        <f>IF(ISNUMBER(Input!B15831),IF(AND(Input!B15831&gt;=20,Input!B15831&lt;=700),Input!B15831,""),"")</f>
        <v/>
      </c>
      <c r="C15831">
        <f>IF(B15831="","",INT(A15831))</f>
        <v/>
      </c>
      <c r="D15831">
        <f>IF(B15831="","",HOUR(A15831))</f>
        <v/>
      </c>
    </row>
    <row r="15832">
      <c r="A15832">
        <f>Input!A15832</f>
        <v/>
      </c>
      <c r="B15832">
        <f>IF(ISNUMBER(Input!B15832),IF(AND(Input!B15832&gt;=20,Input!B15832&lt;=700),Input!B15832,""),"")</f>
        <v/>
      </c>
      <c r="C15832">
        <f>IF(B15832="","",INT(A15832))</f>
        <v/>
      </c>
      <c r="D15832">
        <f>IF(B15832="","",HOUR(A15832))</f>
        <v/>
      </c>
    </row>
    <row r="15833">
      <c r="A15833">
        <f>Input!A15833</f>
        <v/>
      </c>
      <c r="B15833">
        <f>IF(ISNUMBER(Input!B15833),IF(AND(Input!B15833&gt;=20,Input!B15833&lt;=700),Input!B15833,""),"")</f>
        <v/>
      </c>
      <c r="C15833">
        <f>IF(B15833="","",INT(A15833))</f>
        <v/>
      </c>
      <c r="D15833">
        <f>IF(B15833="","",HOUR(A15833))</f>
        <v/>
      </c>
    </row>
    <row r="15834">
      <c r="A15834">
        <f>Input!A15834</f>
        <v/>
      </c>
      <c r="B15834">
        <f>IF(ISNUMBER(Input!B15834),IF(AND(Input!B15834&gt;=20,Input!B15834&lt;=700),Input!B15834,""),"")</f>
        <v/>
      </c>
      <c r="C15834">
        <f>IF(B15834="","",INT(A15834))</f>
        <v/>
      </c>
      <c r="D15834">
        <f>IF(B15834="","",HOUR(A15834))</f>
        <v/>
      </c>
    </row>
    <row r="15835">
      <c r="A15835">
        <f>Input!A15835</f>
        <v/>
      </c>
      <c r="B15835">
        <f>IF(ISNUMBER(Input!B15835),IF(AND(Input!B15835&gt;=20,Input!B15835&lt;=700),Input!B15835,""),"")</f>
        <v/>
      </c>
      <c r="C15835">
        <f>IF(B15835="","",INT(A15835))</f>
        <v/>
      </c>
      <c r="D15835">
        <f>IF(B15835="","",HOUR(A15835))</f>
        <v/>
      </c>
    </row>
    <row r="15836">
      <c r="A15836">
        <f>Input!A15836</f>
        <v/>
      </c>
      <c r="B15836">
        <f>IF(ISNUMBER(Input!B15836),IF(AND(Input!B15836&gt;=20,Input!B15836&lt;=700),Input!B15836,""),"")</f>
        <v/>
      </c>
      <c r="C15836">
        <f>IF(B15836="","",INT(A15836))</f>
        <v/>
      </c>
      <c r="D15836">
        <f>IF(B15836="","",HOUR(A15836))</f>
        <v/>
      </c>
    </row>
    <row r="15837">
      <c r="A15837">
        <f>Input!A15837</f>
        <v/>
      </c>
      <c r="B15837">
        <f>IF(ISNUMBER(Input!B15837),IF(AND(Input!B15837&gt;=20,Input!B15837&lt;=700),Input!B15837,""),"")</f>
        <v/>
      </c>
      <c r="C15837">
        <f>IF(B15837="","",INT(A15837))</f>
        <v/>
      </c>
      <c r="D15837">
        <f>IF(B15837="","",HOUR(A15837))</f>
        <v/>
      </c>
    </row>
    <row r="15838">
      <c r="A15838">
        <f>Input!A15838</f>
        <v/>
      </c>
      <c r="B15838">
        <f>IF(ISNUMBER(Input!B15838),IF(AND(Input!B15838&gt;=20,Input!B15838&lt;=700),Input!B15838,""),"")</f>
        <v/>
      </c>
      <c r="C15838">
        <f>IF(B15838="","",INT(A15838))</f>
        <v/>
      </c>
      <c r="D15838">
        <f>IF(B15838="","",HOUR(A15838))</f>
        <v/>
      </c>
    </row>
    <row r="15839">
      <c r="A15839">
        <f>Input!A15839</f>
        <v/>
      </c>
      <c r="B15839">
        <f>IF(ISNUMBER(Input!B15839),IF(AND(Input!B15839&gt;=20,Input!B15839&lt;=700),Input!B15839,""),"")</f>
        <v/>
      </c>
      <c r="C15839">
        <f>IF(B15839="","",INT(A15839))</f>
        <v/>
      </c>
      <c r="D15839">
        <f>IF(B15839="","",HOUR(A15839))</f>
        <v/>
      </c>
    </row>
    <row r="15840">
      <c r="A15840">
        <f>Input!A15840</f>
        <v/>
      </c>
      <c r="B15840">
        <f>IF(ISNUMBER(Input!B15840),IF(AND(Input!B15840&gt;=20,Input!B15840&lt;=700),Input!B15840,""),"")</f>
        <v/>
      </c>
      <c r="C15840">
        <f>IF(B15840="","",INT(A15840))</f>
        <v/>
      </c>
      <c r="D15840">
        <f>IF(B15840="","",HOUR(A15840))</f>
        <v/>
      </c>
    </row>
    <row r="15841">
      <c r="A15841">
        <f>Input!A15841</f>
        <v/>
      </c>
      <c r="B15841">
        <f>IF(ISNUMBER(Input!B15841),IF(AND(Input!B15841&gt;=20,Input!B15841&lt;=700),Input!B15841,""),"")</f>
        <v/>
      </c>
      <c r="C15841">
        <f>IF(B15841="","",INT(A15841))</f>
        <v/>
      </c>
      <c r="D15841">
        <f>IF(B15841="","",HOUR(A15841))</f>
        <v/>
      </c>
    </row>
    <row r="15842">
      <c r="A15842">
        <f>Input!A15842</f>
        <v/>
      </c>
      <c r="B15842">
        <f>IF(ISNUMBER(Input!B15842),IF(AND(Input!B15842&gt;=20,Input!B15842&lt;=700),Input!B15842,""),"")</f>
        <v/>
      </c>
      <c r="C15842">
        <f>IF(B15842="","",INT(A15842))</f>
        <v/>
      </c>
      <c r="D15842">
        <f>IF(B15842="","",HOUR(A15842))</f>
        <v/>
      </c>
    </row>
    <row r="15843">
      <c r="A15843">
        <f>Input!A15843</f>
        <v/>
      </c>
      <c r="B15843">
        <f>IF(ISNUMBER(Input!B15843),IF(AND(Input!B15843&gt;=20,Input!B15843&lt;=700),Input!B15843,""),"")</f>
        <v/>
      </c>
      <c r="C15843">
        <f>IF(B15843="","",INT(A15843))</f>
        <v/>
      </c>
      <c r="D15843">
        <f>IF(B15843="","",HOUR(A15843))</f>
        <v/>
      </c>
    </row>
    <row r="15844">
      <c r="A15844">
        <f>Input!A15844</f>
        <v/>
      </c>
      <c r="B15844">
        <f>IF(ISNUMBER(Input!B15844),IF(AND(Input!B15844&gt;=20,Input!B15844&lt;=700),Input!B15844,""),"")</f>
        <v/>
      </c>
      <c r="C15844">
        <f>IF(B15844="","",INT(A15844))</f>
        <v/>
      </c>
      <c r="D15844">
        <f>IF(B15844="","",HOUR(A15844))</f>
        <v/>
      </c>
    </row>
    <row r="15845">
      <c r="A15845">
        <f>Input!A15845</f>
        <v/>
      </c>
      <c r="B15845">
        <f>IF(ISNUMBER(Input!B15845),IF(AND(Input!B15845&gt;=20,Input!B15845&lt;=700),Input!B15845,""),"")</f>
        <v/>
      </c>
      <c r="C15845">
        <f>IF(B15845="","",INT(A15845))</f>
        <v/>
      </c>
      <c r="D15845">
        <f>IF(B15845="","",HOUR(A15845))</f>
        <v/>
      </c>
    </row>
    <row r="15846">
      <c r="A15846">
        <f>Input!A15846</f>
        <v/>
      </c>
      <c r="B15846">
        <f>IF(ISNUMBER(Input!B15846),IF(AND(Input!B15846&gt;=20,Input!B15846&lt;=700),Input!B15846,""),"")</f>
        <v/>
      </c>
      <c r="C15846">
        <f>IF(B15846="","",INT(A15846))</f>
        <v/>
      </c>
      <c r="D15846">
        <f>IF(B15846="","",HOUR(A15846))</f>
        <v/>
      </c>
    </row>
    <row r="15847">
      <c r="A15847">
        <f>Input!A15847</f>
        <v/>
      </c>
      <c r="B15847">
        <f>IF(ISNUMBER(Input!B15847),IF(AND(Input!B15847&gt;=20,Input!B15847&lt;=700),Input!B15847,""),"")</f>
        <v/>
      </c>
      <c r="C15847">
        <f>IF(B15847="","",INT(A15847))</f>
        <v/>
      </c>
      <c r="D15847">
        <f>IF(B15847="","",HOUR(A15847))</f>
        <v/>
      </c>
    </row>
    <row r="15848">
      <c r="A15848">
        <f>Input!A15848</f>
        <v/>
      </c>
      <c r="B15848">
        <f>IF(ISNUMBER(Input!B15848),IF(AND(Input!B15848&gt;=20,Input!B15848&lt;=700),Input!B15848,""),"")</f>
        <v/>
      </c>
      <c r="C15848">
        <f>IF(B15848="","",INT(A15848))</f>
        <v/>
      </c>
      <c r="D15848">
        <f>IF(B15848="","",HOUR(A15848))</f>
        <v/>
      </c>
    </row>
    <row r="15849">
      <c r="A15849">
        <f>Input!A15849</f>
        <v/>
      </c>
      <c r="B15849">
        <f>IF(ISNUMBER(Input!B15849),IF(AND(Input!B15849&gt;=20,Input!B15849&lt;=700),Input!B15849,""),"")</f>
        <v/>
      </c>
      <c r="C15849">
        <f>IF(B15849="","",INT(A15849))</f>
        <v/>
      </c>
      <c r="D15849">
        <f>IF(B15849="","",HOUR(A15849))</f>
        <v/>
      </c>
    </row>
    <row r="15850">
      <c r="A15850">
        <f>Input!A15850</f>
        <v/>
      </c>
      <c r="B15850">
        <f>IF(ISNUMBER(Input!B15850),IF(AND(Input!B15850&gt;=20,Input!B15850&lt;=700),Input!B15850,""),"")</f>
        <v/>
      </c>
      <c r="C15850">
        <f>IF(B15850="","",INT(A15850))</f>
        <v/>
      </c>
      <c r="D15850">
        <f>IF(B15850="","",HOUR(A15850))</f>
        <v/>
      </c>
    </row>
    <row r="15851">
      <c r="A15851">
        <f>Input!A15851</f>
        <v/>
      </c>
      <c r="B15851">
        <f>IF(ISNUMBER(Input!B15851),IF(AND(Input!B15851&gt;=20,Input!B15851&lt;=700),Input!B15851,""),"")</f>
        <v/>
      </c>
      <c r="C15851">
        <f>IF(B15851="","",INT(A15851))</f>
        <v/>
      </c>
      <c r="D15851">
        <f>IF(B15851="","",HOUR(A15851))</f>
        <v/>
      </c>
    </row>
    <row r="15852">
      <c r="A15852">
        <f>Input!A15852</f>
        <v/>
      </c>
      <c r="B15852">
        <f>IF(ISNUMBER(Input!B15852),IF(AND(Input!B15852&gt;=20,Input!B15852&lt;=700),Input!B15852,""),"")</f>
        <v/>
      </c>
      <c r="C15852">
        <f>IF(B15852="","",INT(A15852))</f>
        <v/>
      </c>
      <c r="D15852">
        <f>IF(B15852="","",HOUR(A15852))</f>
        <v/>
      </c>
    </row>
    <row r="15853">
      <c r="A15853">
        <f>Input!A15853</f>
        <v/>
      </c>
      <c r="B15853">
        <f>IF(ISNUMBER(Input!B15853),IF(AND(Input!B15853&gt;=20,Input!B15853&lt;=700),Input!B15853,""),"")</f>
        <v/>
      </c>
      <c r="C15853">
        <f>IF(B15853="","",INT(A15853))</f>
        <v/>
      </c>
      <c r="D15853">
        <f>IF(B15853="","",HOUR(A15853))</f>
        <v/>
      </c>
    </row>
    <row r="15854">
      <c r="A15854">
        <f>Input!A15854</f>
        <v/>
      </c>
      <c r="B15854">
        <f>IF(ISNUMBER(Input!B15854),IF(AND(Input!B15854&gt;=20,Input!B15854&lt;=700),Input!B15854,""),"")</f>
        <v/>
      </c>
      <c r="C15854">
        <f>IF(B15854="","",INT(A15854))</f>
        <v/>
      </c>
      <c r="D15854">
        <f>IF(B15854="","",HOUR(A15854))</f>
        <v/>
      </c>
    </row>
    <row r="15855">
      <c r="A15855">
        <f>Input!A15855</f>
        <v/>
      </c>
      <c r="B15855">
        <f>IF(ISNUMBER(Input!B15855),IF(AND(Input!B15855&gt;=20,Input!B15855&lt;=700),Input!B15855,""),"")</f>
        <v/>
      </c>
      <c r="C15855">
        <f>IF(B15855="","",INT(A15855))</f>
        <v/>
      </c>
      <c r="D15855">
        <f>IF(B15855="","",HOUR(A15855))</f>
        <v/>
      </c>
    </row>
    <row r="15856">
      <c r="A15856">
        <f>Input!A15856</f>
        <v/>
      </c>
      <c r="B15856">
        <f>IF(ISNUMBER(Input!B15856),IF(AND(Input!B15856&gt;=20,Input!B15856&lt;=700),Input!B15856,""),"")</f>
        <v/>
      </c>
      <c r="C15856">
        <f>IF(B15856="","",INT(A15856))</f>
        <v/>
      </c>
      <c r="D15856">
        <f>IF(B15856="","",HOUR(A15856))</f>
        <v/>
      </c>
    </row>
    <row r="15857">
      <c r="A15857">
        <f>Input!A15857</f>
        <v/>
      </c>
      <c r="B15857">
        <f>IF(ISNUMBER(Input!B15857),IF(AND(Input!B15857&gt;=20,Input!B15857&lt;=700),Input!B15857,""),"")</f>
        <v/>
      </c>
      <c r="C15857">
        <f>IF(B15857="","",INT(A15857))</f>
        <v/>
      </c>
      <c r="D15857">
        <f>IF(B15857="","",HOUR(A15857))</f>
        <v/>
      </c>
    </row>
    <row r="15858">
      <c r="A15858">
        <f>Input!A15858</f>
        <v/>
      </c>
      <c r="B15858">
        <f>IF(ISNUMBER(Input!B15858),IF(AND(Input!B15858&gt;=20,Input!B15858&lt;=700),Input!B15858,""),"")</f>
        <v/>
      </c>
      <c r="C15858">
        <f>IF(B15858="","",INT(A15858))</f>
        <v/>
      </c>
      <c r="D15858">
        <f>IF(B15858="","",HOUR(A15858))</f>
        <v/>
      </c>
    </row>
    <row r="15859">
      <c r="A15859">
        <f>Input!A15859</f>
        <v/>
      </c>
      <c r="B15859">
        <f>IF(ISNUMBER(Input!B15859),IF(AND(Input!B15859&gt;=20,Input!B15859&lt;=700),Input!B15859,""),"")</f>
        <v/>
      </c>
      <c r="C15859">
        <f>IF(B15859="","",INT(A15859))</f>
        <v/>
      </c>
      <c r="D15859">
        <f>IF(B15859="","",HOUR(A15859))</f>
        <v/>
      </c>
    </row>
    <row r="15860">
      <c r="A15860">
        <f>Input!A15860</f>
        <v/>
      </c>
      <c r="B15860">
        <f>IF(ISNUMBER(Input!B15860),IF(AND(Input!B15860&gt;=20,Input!B15860&lt;=700),Input!B15860,""),"")</f>
        <v/>
      </c>
      <c r="C15860">
        <f>IF(B15860="","",INT(A15860))</f>
        <v/>
      </c>
      <c r="D15860">
        <f>IF(B15860="","",HOUR(A15860))</f>
        <v/>
      </c>
    </row>
    <row r="15861">
      <c r="A15861">
        <f>Input!A15861</f>
        <v/>
      </c>
      <c r="B15861">
        <f>IF(ISNUMBER(Input!B15861),IF(AND(Input!B15861&gt;=20,Input!B15861&lt;=700),Input!B15861,""),"")</f>
        <v/>
      </c>
      <c r="C15861">
        <f>IF(B15861="","",INT(A15861))</f>
        <v/>
      </c>
      <c r="D15861">
        <f>IF(B15861="","",HOUR(A15861))</f>
        <v/>
      </c>
    </row>
    <row r="15862">
      <c r="A15862">
        <f>Input!A15862</f>
        <v/>
      </c>
      <c r="B15862">
        <f>IF(ISNUMBER(Input!B15862),IF(AND(Input!B15862&gt;=20,Input!B15862&lt;=700),Input!B15862,""),"")</f>
        <v/>
      </c>
      <c r="C15862">
        <f>IF(B15862="","",INT(A15862))</f>
        <v/>
      </c>
      <c r="D15862">
        <f>IF(B15862="","",HOUR(A15862))</f>
        <v/>
      </c>
    </row>
    <row r="15863">
      <c r="A15863">
        <f>Input!A15863</f>
        <v/>
      </c>
      <c r="B15863">
        <f>IF(ISNUMBER(Input!B15863),IF(AND(Input!B15863&gt;=20,Input!B15863&lt;=700),Input!B15863,""),"")</f>
        <v/>
      </c>
      <c r="C15863">
        <f>IF(B15863="","",INT(A15863))</f>
        <v/>
      </c>
      <c r="D15863">
        <f>IF(B15863="","",HOUR(A15863))</f>
        <v/>
      </c>
    </row>
    <row r="15864">
      <c r="A15864">
        <f>Input!A15864</f>
        <v/>
      </c>
      <c r="B15864">
        <f>IF(ISNUMBER(Input!B15864),IF(AND(Input!B15864&gt;=20,Input!B15864&lt;=700),Input!B15864,""),"")</f>
        <v/>
      </c>
      <c r="C15864">
        <f>IF(B15864="","",INT(A15864))</f>
        <v/>
      </c>
      <c r="D15864">
        <f>IF(B15864="","",HOUR(A15864))</f>
        <v/>
      </c>
    </row>
    <row r="15865">
      <c r="A15865">
        <f>Input!A15865</f>
        <v/>
      </c>
      <c r="B15865">
        <f>IF(ISNUMBER(Input!B15865),IF(AND(Input!B15865&gt;=20,Input!B15865&lt;=700),Input!B15865,""),"")</f>
        <v/>
      </c>
      <c r="C15865">
        <f>IF(B15865="","",INT(A15865))</f>
        <v/>
      </c>
      <c r="D15865">
        <f>IF(B15865="","",HOUR(A15865))</f>
        <v/>
      </c>
    </row>
    <row r="15866">
      <c r="A15866">
        <f>Input!A15866</f>
        <v/>
      </c>
      <c r="B15866">
        <f>IF(ISNUMBER(Input!B15866),IF(AND(Input!B15866&gt;=20,Input!B15866&lt;=700),Input!B15866,""),"")</f>
        <v/>
      </c>
      <c r="C15866">
        <f>IF(B15866="","",INT(A15866))</f>
        <v/>
      </c>
      <c r="D15866">
        <f>IF(B15866="","",HOUR(A15866))</f>
        <v/>
      </c>
    </row>
    <row r="15867">
      <c r="A15867">
        <f>Input!A15867</f>
        <v/>
      </c>
      <c r="B15867">
        <f>IF(ISNUMBER(Input!B15867),IF(AND(Input!B15867&gt;=20,Input!B15867&lt;=700),Input!B15867,""),"")</f>
        <v/>
      </c>
      <c r="C15867">
        <f>IF(B15867="","",INT(A15867))</f>
        <v/>
      </c>
      <c r="D15867">
        <f>IF(B15867="","",HOUR(A15867))</f>
        <v/>
      </c>
    </row>
    <row r="15868">
      <c r="A15868">
        <f>Input!A15868</f>
        <v/>
      </c>
      <c r="B15868">
        <f>IF(ISNUMBER(Input!B15868),IF(AND(Input!B15868&gt;=20,Input!B15868&lt;=700),Input!B15868,""),"")</f>
        <v/>
      </c>
      <c r="C15868">
        <f>IF(B15868="","",INT(A15868))</f>
        <v/>
      </c>
      <c r="D15868">
        <f>IF(B15868="","",HOUR(A15868))</f>
        <v/>
      </c>
    </row>
    <row r="15869">
      <c r="A15869">
        <f>Input!A15869</f>
        <v/>
      </c>
      <c r="B15869">
        <f>IF(ISNUMBER(Input!B15869),IF(AND(Input!B15869&gt;=20,Input!B15869&lt;=700),Input!B15869,""),"")</f>
        <v/>
      </c>
      <c r="C15869">
        <f>IF(B15869="","",INT(A15869))</f>
        <v/>
      </c>
      <c r="D15869">
        <f>IF(B15869="","",HOUR(A15869))</f>
        <v/>
      </c>
    </row>
    <row r="15870">
      <c r="A15870">
        <f>Input!A15870</f>
        <v/>
      </c>
      <c r="B15870">
        <f>IF(ISNUMBER(Input!B15870),IF(AND(Input!B15870&gt;=20,Input!B15870&lt;=700),Input!B15870,""),"")</f>
        <v/>
      </c>
      <c r="C15870">
        <f>IF(B15870="","",INT(A15870))</f>
        <v/>
      </c>
      <c r="D15870">
        <f>IF(B15870="","",HOUR(A15870))</f>
        <v/>
      </c>
    </row>
    <row r="15871">
      <c r="A15871">
        <f>Input!A15871</f>
        <v/>
      </c>
      <c r="B15871">
        <f>IF(ISNUMBER(Input!B15871),IF(AND(Input!B15871&gt;=20,Input!B15871&lt;=700),Input!B15871,""),"")</f>
        <v/>
      </c>
      <c r="C15871">
        <f>IF(B15871="","",INT(A15871))</f>
        <v/>
      </c>
      <c r="D15871">
        <f>IF(B15871="","",HOUR(A15871))</f>
        <v/>
      </c>
    </row>
    <row r="15872">
      <c r="A15872">
        <f>Input!A15872</f>
        <v/>
      </c>
      <c r="B15872">
        <f>IF(ISNUMBER(Input!B15872),IF(AND(Input!B15872&gt;=20,Input!B15872&lt;=700),Input!B15872,""),"")</f>
        <v/>
      </c>
      <c r="C15872">
        <f>IF(B15872="","",INT(A15872))</f>
        <v/>
      </c>
      <c r="D15872">
        <f>IF(B15872="","",HOUR(A15872))</f>
        <v/>
      </c>
    </row>
    <row r="15873">
      <c r="A15873">
        <f>Input!A15873</f>
        <v/>
      </c>
      <c r="B15873">
        <f>IF(ISNUMBER(Input!B15873),IF(AND(Input!B15873&gt;=20,Input!B15873&lt;=700),Input!B15873,""),"")</f>
        <v/>
      </c>
      <c r="C15873">
        <f>IF(B15873="","",INT(A15873))</f>
        <v/>
      </c>
      <c r="D15873">
        <f>IF(B15873="","",HOUR(A15873))</f>
        <v/>
      </c>
    </row>
    <row r="15874">
      <c r="A15874">
        <f>Input!A15874</f>
        <v/>
      </c>
      <c r="B15874">
        <f>IF(ISNUMBER(Input!B15874),IF(AND(Input!B15874&gt;=20,Input!B15874&lt;=700),Input!B15874,""),"")</f>
        <v/>
      </c>
      <c r="C15874">
        <f>IF(B15874="","",INT(A15874))</f>
        <v/>
      </c>
      <c r="D15874">
        <f>IF(B15874="","",HOUR(A15874))</f>
        <v/>
      </c>
    </row>
    <row r="15875">
      <c r="A15875">
        <f>Input!A15875</f>
        <v/>
      </c>
      <c r="B15875">
        <f>IF(ISNUMBER(Input!B15875),IF(AND(Input!B15875&gt;=20,Input!B15875&lt;=700),Input!B15875,""),"")</f>
        <v/>
      </c>
      <c r="C15875">
        <f>IF(B15875="","",INT(A15875))</f>
        <v/>
      </c>
      <c r="D15875">
        <f>IF(B15875="","",HOUR(A15875))</f>
        <v/>
      </c>
    </row>
    <row r="15876">
      <c r="A15876">
        <f>Input!A15876</f>
        <v/>
      </c>
      <c r="B15876">
        <f>IF(ISNUMBER(Input!B15876),IF(AND(Input!B15876&gt;=20,Input!B15876&lt;=700),Input!B15876,""),"")</f>
        <v/>
      </c>
      <c r="C15876">
        <f>IF(B15876="","",INT(A15876))</f>
        <v/>
      </c>
      <c r="D15876">
        <f>IF(B15876="","",HOUR(A15876))</f>
        <v/>
      </c>
    </row>
    <row r="15877">
      <c r="A15877">
        <f>Input!A15877</f>
        <v/>
      </c>
      <c r="B15877">
        <f>IF(ISNUMBER(Input!B15877),IF(AND(Input!B15877&gt;=20,Input!B15877&lt;=700),Input!B15877,""),"")</f>
        <v/>
      </c>
      <c r="C15877">
        <f>IF(B15877="","",INT(A15877))</f>
        <v/>
      </c>
      <c r="D15877">
        <f>IF(B15877="","",HOUR(A15877))</f>
        <v/>
      </c>
    </row>
    <row r="15878">
      <c r="A15878">
        <f>Input!A15878</f>
        <v/>
      </c>
      <c r="B15878">
        <f>IF(ISNUMBER(Input!B15878),IF(AND(Input!B15878&gt;=20,Input!B15878&lt;=700),Input!B15878,""),"")</f>
        <v/>
      </c>
      <c r="C15878">
        <f>IF(B15878="","",INT(A15878))</f>
        <v/>
      </c>
      <c r="D15878">
        <f>IF(B15878="","",HOUR(A15878))</f>
        <v/>
      </c>
    </row>
    <row r="15879">
      <c r="A15879">
        <f>Input!A15879</f>
        <v/>
      </c>
      <c r="B15879">
        <f>IF(ISNUMBER(Input!B15879),IF(AND(Input!B15879&gt;=20,Input!B15879&lt;=700),Input!B15879,""),"")</f>
        <v/>
      </c>
      <c r="C15879">
        <f>IF(B15879="","",INT(A15879))</f>
        <v/>
      </c>
      <c r="D15879">
        <f>IF(B15879="","",HOUR(A15879))</f>
        <v/>
      </c>
    </row>
    <row r="15880">
      <c r="A15880">
        <f>Input!A15880</f>
        <v/>
      </c>
      <c r="B15880">
        <f>IF(ISNUMBER(Input!B15880),IF(AND(Input!B15880&gt;=20,Input!B15880&lt;=700),Input!B15880,""),"")</f>
        <v/>
      </c>
      <c r="C15880">
        <f>IF(B15880="","",INT(A15880))</f>
        <v/>
      </c>
      <c r="D15880">
        <f>IF(B15880="","",HOUR(A15880))</f>
        <v/>
      </c>
    </row>
    <row r="15881">
      <c r="A15881">
        <f>Input!A15881</f>
        <v/>
      </c>
      <c r="B15881">
        <f>IF(ISNUMBER(Input!B15881),IF(AND(Input!B15881&gt;=20,Input!B15881&lt;=700),Input!B15881,""),"")</f>
        <v/>
      </c>
      <c r="C15881">
        <f>IF(B15881="","",INT(A15881))</f>
        <v/>
      </c>
      <c r="D15881">
        <f>IF(B15881="","",HOUR(A15881))</f>
        <v/>
      </c>
    </row>
    <row r="15882">
      <c r="A15882">
        <f>Input!A15882</f>
        <v/>
      </c>
      <c r="B15882">
        <f>IF(ISNUMBER(Input!B15882),IF(AND(Input!B15882&gt;=20,Input!B15882&lt;=700),Input!B15882,""),"")</f>
        <v/>
      </c>
      <c r="C15882">
        <f>IF(B15882="","",INT(A15882))</f>
        <v/>
      </c>
      <c r="D15882">
        <f>IF(B15882="","",HOUR(A15882))</f>
        <v/>
      </c>
    </row>
    <row r="15883">
      <c r="A15883">
        <f>Input!A15883</f>
        <v/>
      </c>
      <c r="B15883">
        <f>IF(ISNUMBER(Input!B15883),IF(AND(Input!B15883&gt;=20,Input!B15883&lt;=700),Input!B15883,""),"")</f>
        <v/>
      </c>
      <c r="C15883">
        <f>IF(B15883="","",INT(A15883))</f>
        <v/>
      </c>
      <c r="D15883">
        <f>IF(B15883="","",HOUR(A15883))</f>
        <v/>
      </c>
    </row>
    <row r="15884">
      <c r="A15884">
        <f>Input!A15884</f>
        <v/>
      </c>
      <c r="B15884">
        <f>IF(ISNUMBER(Input!B15884),IF(AND(Input!B15884&gt;=20,Input!B15884&lt;=700),Input!B15884,""),"")</f>
        <v/>
      </c>
      <c r="C15884">
        <f>IF(B15884="","",INT(A15884))</f>
        <v/>
      </c>
      <c r="D15884">
        <f>IF(B15884="","",HOUR(A15884))</f>
        <v/>
      </c>
    </row>
    <row r="15885">
      <c r="A15885">
        <f>Input!A15885</f>
        <v/>
      </c>
      <c r="B15885">
        <f>IF(ISNUMBER(Input!B15885),IF(AND(Input!B15885&gt;=20,Input!B15885&lt;=700),Input!B15885,""),"")</f>
        <v/>
      </c>
      <c r="C15885">
        <f>IF(B15885="","",INT(A15885))</f>
        <v/>
      </c>
      <c r="D15885">
        <f>IF(B15885="","",HOUR(A15885))</f>
        <v/>
      </c>
    </row>
    <row r="15886">
      <c r="A15886">
        <f>Input!A15886</f>
        <v/>
      </c>
      <c r="B15886">
        <f>IF(ISNUMBER(Input!B15886),IF(AND(Input!B15886&gt;=20,Input!B15886&lt;=700),Input!B15886,""),"")</f>
        <v/>
      </c>
      <c r="C15886">
        <f>IF(B15886="","",INT(A15886))</f>
        <v/>
      </c>
      <c r="D15886">
        <f>IF(B15886="","",HOUR(A15886))</f>
        <v/>
      </c>
    </row>
    <row r="15887">
      <c r="A15887">
        <f>Input!A15887</f>
        <v/>
      </c>
      <c r="B15887">
        <f>IF(ISNUMBER(Input!B15887),IF(AND(Input!B15887&gt;=20,Input!B15887&lt;=700),Input!B15887,""),"")</f>
        <v/>
      </c>
      <c r="C15887">
        <f>IF(B15887="","",INT(A15887))</f>
        <v/>
      </c>
      <c r="D15887">
        <f>IF(B15887="","",HOUR(A15887))</f>
        <v/>
      </c>
    </row>
    <row r="15888">
      <c r="A15888">
        <f>Input!A15888</f>
        <v/>
      </c>
      <c r="B15888">
        <f>IF(ISNUMBER(Input!B15888),IF(AND(Input!B15888&gt;=20,Input!B15888&lt;=700),Input!B15888,""),"")</f>
        <v/>
      </c>
      <c r="C15888">
        <f>IF(B15888="","",INT(A15888))</f>
        <v/>
      </c>
      <c r="D15888">
        <f>IF(B15888="","",HOUR(A15888))</f>
        <v/>
      </c>
    </row>
    <row r="15889">
      <c r="A15889">
        <f>Input!A15889</f>
        <v/>
      </c>
      <c r="B15889">
        <f>IF(ISNUMBER(Input!B15889),IF(AND(Input!B15889&gt;=20,Input!B15889&lt;=700),Input!B15889,""),"")</f>
        <v/>
      </c>
      <c r="C15889">
        <f>IF(B15889="","",INT(A15889))</f>
        <v/>
      </c>
      <c r="D15889">
        <f>IF(B15889="","",HOUR(A15889))</f>
        <v/>
      </c>
    </row>
    <row r="15890">
      <c r="A15890">
        <f>Input!A15890</f>
        <v/>
      </c>
      <c r="B15890">
        <f>IF(ISNUMBER(Input!B15890),IF(AND(Input!B15890&gt;=20,Input!B15890&lt;=700),Input!B15890,""),"")</f>
        <v/>
      </c>
      <c r="C15890">
        <f>IF(B15890="","",INT(A15890))</f>
        <v/>
      </c>
      <c r="D15890">
        <f>IF(B15890="","",HOUR(A15890))</f>
        <v/>
      </c>
    </row>
    <row r="15891">
      <c r="A15891">
        <f>Input!A15891</f>
        <v/>
      </c>
      <c r="B15891">
        <f>IF(ISNUMBER(Input!B15891),IF(AND(Input!B15891&gt;=20,Input!B15891&lt;=700),Input!B15891,""),"")</f>
        <v/>
      </c>
      <c r="C15891">
        <f>IF(B15891="","",INT(A15891))</f>
        <v/>
      </c>
      <c r="D15891">
        <f>IF(B15891="","",HOUR(A15891))</f>
        <v/>
      </c>
    </row>
    <row r="15892">
      <c r="A15892">
        <f>Input!A15892</f>
        <v/>
      </c>
      <c r="B15892">
        <f>IF(ISNUMBER(Input!B15892),IF(AND(Input!B15892&gt;=20,Input!B15892&lt;=700),Input!B15892,""),"")</f>
        <v/>
      </c>
      <c r="C15892">
        <f>IF(B15892="","",INT(A15892))</f>
        <v/>
      </c>
      <c r="D15892">
        <f>IF(B15892="","",HOUR(A15892))</f>
        <v/>
      </c>
    </row>
    <row r="15893">
      <c r="A15893">
        <f>Input!A15893</f>
        <v/>
      </c>
      <c r="B15893">
        <f>IF(ISNUMBER(Input!B15893),IF(AND(Input!B15893&gt;=20,Input!B15893&lt;=700),Input!B15893,""),"")</f>
        <v/>
      </c>
      <c r="C15893">
        <f>IF(B15893="","",INT(A15893))</f>
        <v/>
      </c>
      <c r="D15893">
        <f>IF(B15893="","",HOUR(A15893))</f>
        <v/>
      </c>
    </row>
    <row r="15894">
      <c r="A15894">
        <f>Input!A15894</f>
        <v/>
      </c>
      <c r="B15894">
        <f>IF(ISNUMBER(Input!B15894),IF(AND(Input!B15894&gt;=20,Input!B15894&lt;=700),Input!B15894,""),"")</f>
        <v/>
      </c>
      <c r="C15894">
        <f>IF(B15894="","",INT(A15894))</f>
        <v/>
      </c>
      <c r="D15894">
        <f>IF(B15894="","",HOUR(A15894))</f>
        <v/>
      </c>
    </row>
    <row r="15895">
      <c r="A15895">
        <f>Input!A15895</f>
        <v/>
      </c>
      <c r="B15895">
        <f>IF(ISNUMBER(Input!B15895),IF(AND(Input!B15895&gt;=20,Input!B15895&lt;=700),Input!B15895,""),"")</f>
        <v/>
      </c>
      <c r="C15895">
        <f>IF(B15895="","",INT(A15895))</f>
        <v/>
      </c>
      <c r="D15895">
        <f>IF(B15895="","",HOUR(A15895))</f>
        <v/>
      </c>
    </row>
    <row r="15896">
      <c r="A15896">
        <f>Input!A15896</f>
        <v/>
      </c>
      <c r="B15896">
        <f>IF(ISNUMBER(Input!B15896),IF(AND(Input!B15896&gt;=20,Input!B15896&lt;=700),Input!B15896,""),"")</f>
        <v/>
      </c>
      <c r="C15896">
        <f>IF(B15896="","",INT(A15896))</f>
        <v/>
      </c>
      <c r="D15896">
        <f>IF(B15896="","",HOUR(A15896))</f>
        <v/>
      </c>
    </row>
    <row r="15897">
      <c r="A15897">
        <f>Input!A15897</f>
        <v/>
      </c>
      <c r="B15897">
        <f>IF(ISNUMBER(Input!B15897),IF(AND(Input!B15897&gt;=20,Input!B15897&lt;=700),Input!B15897,""),"")</f>
        <v/>
      </c>
      <c r="C15897">
        <f>IF(B15897="","",INT(A15897))</f>
        <v/>
      </c>
      <c r="D15897">
        <f>IF(B15897="","",HOUR(A15897))</f>
        <v/>
      </c>
    </row>
    <row r="15898">
      <c r="A15898">
        <f>Input!A15898</f>
        <v/>
      </c>
      <c r="B15898">
        <f>IF(ISNUMBER(Input!B15898),IF(AND(Input!B15898&gt;=20,Input!B15898&lt;=700),Input!B15898,""),"")</f>
        <v/>
      </c>
      <c r="C15898">
        <f>IF(B15898="","",INT(A15898))</f>
        <v/>
      </c>
      <c r="D15898">
        <f>IF(B15898="","",HOUR(A15898))</f>
        <v/>
      </c>
    </row>
    <row r="15899">
      <c r="A15899">
        <f>Input!A15899</f>
        <v/>
      </c>
      <c r="B15899">
        <f>IF(ISNUMBER(Input!B15899),IF(AND(Input!B15899&gt;=20,Input!B15899&lt;=700),Input!B15899,""),"")</f>
        <v/>
      </c>
      <c r="C15899">
        <f>IF(B15899="","",INT(A15899))</f>
        <v/>
      </c>
      <c r="D15899">
        <f>IF(B15899="","",HOUR(A15899))</f>
        <v/>
      </c>
    </row>
    <row r="15900">
      <c r="A15900">
        <f>Input!A15900</f>
        <v/>
      </c>
      <c r="B15900">
        <f>IF(ISNUMBER(Input!B15900),IF(AND(Input!B15900&gt;=20,Input!B15900&lt;=700),Input!B15900,""),"")</f>
        <v/>
      </c>
      <c r="C15900">
        <f>IF(B15900="","",INT(A15900))</f>
        <v/>
      </c>
      <c r="D15900">
        <f>IF(B15900="","",HOUR(A15900))</f>
        <v/>
      </c>
    </row>
    <row r="15901">
      <c r="A15901">
        <f>Input!A15901</f>
        <v/>
      </c>
      <c r="B15901">
        <f>IF(ISNUMBER(Input!B15901),IF(AND(Input!B15901&gt;=20,Input!B15901&lt;=700),Input!B15901,""),"")</f>
        <v/>
      </c>
      <c r="C15901">
        <f>IF(B15901="","",INT(A15901))</f>
        <v/>
      </c>
      <c r="D15901">
        <f>IF(B15901="","",HOUR(A15901))</f>
        <v/>
      </c>
    </row>
    <row r="15902">
      <c r="A15902">
        <f>Input!A15902</f>
        <v/>
      </c>
      <c r="B15902">
        <f>IF(ISNUMBER(Input!B15902),IF(AND(Input!B15902&gt;=20,Input!B15902&lt;=700),Input!B15902,""),"")</f>
        <v/>
      </c>
      <c r="C15902">
        <f>IF(B15902="","",INT(A15902))</f>
        <v/>
      </c>
      <c r="D15902">
        <f>IF(B15902="","",HOUR(A15902))</f>
        <v/>
      </c>
    </row>
    <row r="15903">
      <c r="A15903">
        <f>Input!A15903</f>
        <v/>
      </c>
      <c r="B15903">
        <f>IF(ISNUMBER(Input!B15903),IF(AND(Input!B15903&gt;=20,Input!B15903&lt;=700),Input!B15903,""),"")</f>
        <v/>
      </c>
      <c r="C15903">
        <f>IF(B15903="","",INT(A15903))</f>
        <v/>
      </c>
      <c r="D15903">
        <f>IF(B15903="","",HOUR(A15903))</f>
        <v/>
      </c>
    </row>
    <row r="15904">
      <c r="A15904">
        <f>Input!A15904</f>
        <v/>
      </c>
      <c r="B15904">
        <f>IF(ISNUMBER(Input!B15904),IF(AND(Input!B15904&gt;=20,Input!B15904&lt;=700),Input!B15904,""),"")</f>
        <v/>
      </c>
      <c r="C15904">
        <f>IF(B15904="","",INT(A15904))</f>
        <v/>
      </c>
      <c r="D15904">
        <f>IF(B15904="","",HOUR(A15904))</f>
        <v/>
      </c>
    </row>
    <row r="15905">
      <c r="A15905">
        <f>Input!A15905</f>
        <v/>
      </c>
      <c r="B15905">
        <f>IF(ISNUMBER(Input!B15905),IF(AND(Input!B15905&gt;=20,Input!B15905&lt;=700),Input!B15905,""),"")</f>
        <v/>
      </c>
      <c r="C15905">
        <f>IF(B15905="","",INT(A15905))</f>
        <v/>
      </c>
      <c r="D15905">
        <f>IF(B15905="","",HOUR(A15905))</f>
        <v/>
      </c>
    </row>
    <row r="15906">
      <c r="A15906">
        <f>Input!A15906</f>
        <v/>
      </c>
      <c r="B15906">
        <f>IF(ISNUMBER(Input!B15906),IF(AND(Input!B15906&gt;=20,Input!B15906&lt;=700),Input!B15906,""),"")</f>
        <v/>
      </c>
      <c r="C15906">
        <f>IF(B15906="","",INT(A15906))</f>
        <v/>
      </c>
      <c r="D15906">
        <f>IF(B15906="","",HOUR(A15906))</f>
        <v/>
      </c>
    </row>
    <row r="15907">
      <c r="A15907">
        <f>Input!A15907</f>
        <v/>
      </c>
      <c r="B15907">
        <f>IF(ISNUMBER(Input!B15907),IF(AND(Input!B15907&gt;=20,Input!B15907&lt;=700),Input!B15907,""),"")</f>
        <v/>
      </c>
      <c r="C15907">
        <f>IF(B15907="","",INT(A15907))</f>
        <v/>
      </c>
      <c r="D15907">
        <f>IF(B15907="","",HOUR(A15907))</f>
        <v/>
      </c>
    </row>
    <row r="15908">
      <c r="A15908">
        <f>Input!A15908</f>
        <v/>
      </c>
      <c r="B15908">
        <f>IF(ISNUMBER(Input!B15908),IF(AND(Input!B15908&gt;=20,Input!B15908&lt;=700),Input!B15908,""),"")</f>
        <v/>
      </c>
      <c r="C15908">
        <f>IF(B15908="","",INT(A15908))</f>
        <v/>
      </c>
      <c r="D15908">
        <f>IF(B15908="","",HOUR(A15908))</f>
        <v/>
      </c>
    </row>
    <row r="15909">
      <c r="A15909">
        <f>Input!A15909</f>
        <v/>
      </c>
      <c r="B15909">
        <f>IF(ISNUMBER(Input!B15909),IF(AND(Input!B15909&gt;=20,Input!B15909&lt;=700),Input!B15909,""),"")</f>
        <v/>
      </c>
      <c r="C15909">
        <f>IF(B15909="","",INT(A15909))</f>
        <v/>
      </c>
      <c r="D15909">
        <f>IF(B15909="","",HOUR(A15909))</f>
        <v/>
      </c>
    </row>
    <row r="15910">
      <c r="A15910">
        <f>Input!A15910</f>
        <v/>
      </c>
      <c r="B15910">
        <f>IF(ISNUMBER(Input!B15910),IF(AND(Input!B15910&gt;=20,Input!B15910&lt;=700),Input!B15910,""),"")</f>
        <v/>
      </c>
      <c r="C15910">
        <f>IF(B15910="","",INT(A15910))</f>
        <v/>
      </c>
      <c r="D15910">
        <f>IF(B15910="","",HOUR(A15910))</f>
        <v/>
      </c>
    </row>
    <row r="15911">
      <c r="A15911">
        <f>Input!A15911</f>
        <v/>
      </c>
      <c r="B15911">
        <f>IF(ISNUMBER(Input!B15911),IF(AND(Input!B15911&gt;=20,Input!B15911&lt;=700),Input!B15911,""),"")</f>
        <v/>
      </c>
      <c r="C15911">
        <f>IF(B15911="","",INT(A15911))</f>
        <v/>
      </c>
      <c r="D15911">
        <f>IF(B15911="","",HOUR(A15911))</f>
        <v/>
      </c>
    </row>
    <row r="15912">
      <c r="A15912">
        <f>Input!A15912</f>
        <v/>
      </c>
      <c r="B15912">
        <f>IF(ISNUMBER(Input!B15912),IF(AND(Input!B15912&gt;=20,Input!B15912&lt;=700),Input!B15912,""),"")</f>
        <v/>
      </c>
      <c r="C15912">
        <f>IF(B15912="","",INT(A15912))</f>
        <v/>
      </c>
      <c r="D15912">
        <f>IF(B15912="","",HOUR(A15912))</f>
        <v/>
      </c>
    </row>
    <row r="15913">
      <c r="A15913">
        <f>Input!A15913</f>
        <v/>
      </c>
      <c r="B15913">
        <f>IF(ISNUMBER(Input!B15913),IF(AND(Input!B15913&gt;=20,Input!B15913&lt;=700),Input!B15913,""),"")</f>
        <v/>
      </c>
      <c r="C15913">
        <f>IF(B15913="","",INT(A15913))</f>
        <v/>
      </c>
      <c r="D15913">
        <f>IF(B15913="","",HOUR(A15913))</f>
        <v/>
      </c>
    </row>
    <row r="15914">
      <c r="A15914">
        <f>Input!A15914</f>
        <v/>
      </c>
      <c r="B15914">
        <f>IF(ISNUMBER(Input!B15914),IF(AND(Input!B15914&gt;=20,Input!B15914&lt;=700),Input!B15914,""),"")</f>
        <v/>
      </c>
      <c r="C15914">
        <f>IF(B15914="","",INT(A15914))</f>
        <v/>
      </c>
      <c r="D15914">
        <f>IF(B15914="","",HOUR(A15914))</f>
        <v/>
      </c>
    </row>
    <row r="15915">
      <c r="A15915">
        <f>Input!A15915</f>
        <v/>
      </c>
      <c r="B15915">
        <f>IF(ISNUMBER(Input!B15915),IF(AND(Input!B15915&gt;=20,Input!B15915&lt;=700),Input!B15915,""),"")</f>
        <v/>
      </c>
      <c r="C15915">
        <f>IF(B15915="","",INT(A15915))</f>
        <v/>
      </c>
      <c r="D15915">
        <f>IF(B15915="","",HOUR(A15915))</f>
        <v/>
      </c>
    </row>
    <row r="15916">
      <c r="A15916">
        <f>Input!A15916</f>
        <v/>
      </c>
      <c r="B15916">
        <f>IF(ISNUMBER(Input!B15916),IF(AND(Input!B15916&gt;=20,Input!B15916&lt;=700),Input!B15916,""),"")</f>
        <v/>
      </c>
      <c r="C15916">
        <f>IF(B15916="","",INT(A15916))</f>
        <v/>
      </c>
      <c r="D15916">
        <f>IF(B15916="","",HOUR(A15916))</f>
        <v/>
      </c>
    </row>
    <row r="15917">
      <c r="A15917">
        <f>Input!A15917</f>
        <v/>
      </c>
      <c r="B15917">
        <f>IF(ISNUMBER(Input!B15917),IF(AND(Input!B15917&gt;=20,Input!B15917&lt;=700),Input!B15917,""),"")</f>
        <v/>
      </c>
      <c r="C15917">
        <f>IF(B15917="","",INT(A15917))</f>
        <v/>
      </c>
      <c r="D15917">
        <f>IF(B15917="","",HOUR(A15917))</f>
        <v/>
      </c>
    </row>
    <row r="15918">
      <c r="A15918">
        <f>Input!A15918</f>
        <v/>
      </c>
      <c r="B15918">
        <f>IF(ISNUMBER(Input!B15918),IF(AND(Input!B15918&gt;=20,Input!B15918&lt;=700),Input!B15918,""),"")</f>
        <v/>
      </c>
      <c r="C15918">
        <f>IF(B15918="","",INT(A15918))</f>
        <v/>
      </c>
      <c r="D15918">
        <f>IF(B15918="","",HOUR(A15918))</f>
        <v/>
      </c>
    </row>
    <row r="15919">
      <c r="A15919">
        <f>Input!A15919</f>
        <v/>
      </c>
      <c r="B15919">
        <f>IF(ISNUMBER(Input!B15919),IF(AND(Input!B15919&gt;=20,Input!B15919&lt;=700),Input!B15919,""),"")</f>
        <v/>
      </c>
      <c r="C15919">
        <f>IF(B15919="","",INT(A15919))</f>
        <v/>
      </c>
      <c r="D15919">
        <f>IF(B15919="","",HOUR(A15919))</f>
        <v/>
      </c>
    </row>
    <row r="15920">
      <c r="A15920">
        <f>Input!A15920</f>
        <v/>
      </c>
      <c r="B15920">
        <f>IF(ISNUMBER(Input!B15920),IF(AND(Input!B15920&gt;=20,Input!B15920&lt;=700),Input!B15920,""),"")</f>
        <v/>
      </c>
      <c r="C15920">
        <f>IF(B15920="","",INT(A15920))</f>
        <v/>
      </c>
      <c r="D15920">
        <f>IF(B15920="","",HOUR(A15920))</f>
        <v/>
      </c>
    </row>
    <row r="15921">
      <c r="A15921">
        <f>Input!A15921</f>
        <v/>
      </c>
      <c r="B15921">
        <f>IF(ISNUMBER(Input!B15921),IF(AND(Input!B15921&gt;=20,Input!B15921&lt;=700),Input!B15921,""),"")</f>
        <v/>
      </c>
      <c r="C15921">
        <f>IF(B15921="","",INT(A15921))</f>
        <v/>
      </c>
      <c r="D15921">
        <f>IF(B15921="","",HOUR(A15921))</f>
        <v/>
      </c>
    </row>
    <row r="15922">
      <c r="A15922">
        <f>Input!A15922</f>
        <v/>
      </c>
      <c r="B15922">
        <f>IF(ISNUMBER(Input!B15922),IF(AND(Input!B15922&gt;=20,Input!B15922&lt;=700),Input!B15922,""),"")</f>
        <v/>
      </c>
      <c r="C15922">
        <f>IF(B15922="","",INT(A15922))</f>
        <v/>
      </c>
      <c r="D15922">
        <f>IF(B15922="","",HOUR(A15922))</f>
        <v/>
      </c>
    </row>
    <row r="15923">
      <c r="A15923">
        <f>Input!A15923</f>
        <v/>
      </c>
      <c r="B15923">
        <f>IF(ISNUMBER(Input!B15923),IF(AND(Input!B15923&gt;=20,Input!B15923&lt;=700),Input!B15923,""),"")</f>
        <v/>
      </c>
      <c r="C15923">
        <f>IF(B15923="","",INT(A15923))</f>
        <v/>
      </c>
      <c r="D15923">
        <f>IF(B15923="","",HOUR(A15923))</f>
        <v/>
      </c>
    </row>
    <row r="15924">
      <c r="A15924">
        <f>Input!A15924</f>
        <v/>
      </c>
      <c r="B15924">
        <f>IF(ISNUMBER(Input!B15924),IF(AND(Input!B15924&gt;=20,Input!B15924&lt;=700),Input!B15924,""),"")</f>
        <v/>
      </c>
      <c r="C15924">
        <f>IF(B15924="","",INT(A15924))</f>
        <v/>
      </c>
      <c r="D15924">
        <f>IF(B15924="","",HOUR(A15924))</f>
        <v/>
      </c>
    </row>
    <row r="15925">
      <c r="A15925">
        <f>Input!A15925</f>
        <v/>
      </c>
      <c r="B15925">
        <f>IF(ISNUMBER(Input!B15925),IF(AND(Input!B15925&gt;=20,Input!B15925&lt;=700),Input!B15925,""),"")</f>
        <v/>
      </c>
      <c r="C15925">
        <f>IF(B15925="","",INT(A15925))</f>
        <v/>
      </c>
      <c r="D15925">
        <f>IF(B15925="","",HOUR(A15925))</f>
        <v/>
      </c>
    </row>
    <row r="15926">
      <c r="A15926">
        <f>Input!A15926</f>
        <v/>
      </c>
      <c r="B15926">
        <f>IF(ISNUMBER(Input!B15926),IF(AND(Input!B15926&gt;=20,Input!B15926&lt;=700),Input!B15926,""),"")</f>
        <v/>
      </c>
      <c r="C15926">
        <f>IF(B15926="","",INT(A15926))</f>
        <v/>
      </c>
      <c r="D15926">
        <f>IF(B15926="","",HOUR(A15926))</f>
        <v/>
      </c>
    </row>
    <row r="15927">
      <c r="A15927">
        <f>Input!A15927</f>
        <v/>
      </c>
      <c r="B15927">
        <f>IF(ISNUMBER(Input!B15927),IF(AND(Input!B15927&gt;=20,Input!B15927&lt;=700),Input!B15927,""),"")</f>
        <v/>
      </c>
      <c r="C15927">
        <f>IF(B15927="","",INT(A15927))</f>
        <v/>
      </c>
      <c r="D15927">
        <f>IF(B15927="","",HOUR(A15927))</f>
        <v/>
      </c>
    </row>
    <row r="15928">
      <c r="A15928">
        <f>Input!A15928</f>
        <v/>
      </c>
      <c r="B15928">
        <f>IF(ISNUMBER(Input!B15928),IF(AND(Input!B15928&gt;=20,Input!B15928&lt;=700),Input!B15928,""),"")</f>
        <v/>
      </c>
      <c r="C15928">
        <f>IF(B15928="","",INT(A15928))</f>
        <v/>
      </c>
      <c r="D15928">
        <f>IF(B15928="","",HOUR(A15928))</f>
        <v/>
      </c>
    </row>
    <row r="15929">
      <c r="A15929">
        <f>Input!A15929</f>
        <v/>
      </c>
      <c r="B15929">
        <f>IF(ISNUMBER(Input!B15929),IF(AND(Input!B15929&gt;=20,Input!B15929&lt;=700),Input!B15929,""),"")</f>
        <v/>
      </c>
      <c r="C15929">
        <f>IF(B15929="","",INT(A15929))</f>
        <v/>
      </c>
      <c r="D15929">
        <f>IF(B15929="","",HOUR(A15929))</f>
        <v/>
      </c>
    </row>
    <row r="15930">
      <c r="A15930">
        <f>Input!A15930</f>
        <v/>
      </c>
      <c r="B15930">
        <f>IF(ISNUMBER(Input!B15930),IF(AND(Input!B15930&gt;=20,Input!B15930&lt;=700),Input!B15930,""),"")</f>
        <v/>
      </c>
      <c r="C15930">
        <f>IF(B15930="","",INT(A15930))</f>
        <v/>
      </c>
      <c r="D15930">
        <f>IF(B15930="","",HOUR(A15930))</f>
        <v/>
      </c>
    </row>
    <row r="15931">
      <c r="A15931">
        <f>Input!A15931</f>
        <v/>
      </c>
      <c r="B15931">
        <f>IF(ISNUMBER(Input!B15931),IF(AND(Input!B15931&gt;=20,Input!B15931&lt;=700),Input!B15931,""),"")</f>
        <v/>
      </c>
      <c r="C15931">
        <f>IF(B15931="","",INT(A15931))</f>
        <v/>
      </c>
      <c r="D15931">
        <f>IF(B15931="","",HOUR(A15931))</f>
        <v/>
      </c>
    </row>
    <row r="15932">
      <c r="A15932">
        <f>Input!A15932</f>
        <v/>
      </c>
      <c r="B15932">
        <f>IF(ISNUMBER(Input!B15932),IF(AND(Input!B15932&gt;=20,Input!B15932&lt;=700),Input!B15932,""),"")</f>
        <v/>
      </c>
      <c r="C15932">
        <f>IF(B15932="","",INT(A15932))</f>
        <v/>
      </c>
      <c r="D15932">
        <f>IF(B15932="","",HOUR(A15932))</f>
        <v/>
      </c>
    </row>
    <row r="15933">
      <c r="A15933">
        <f>Input!A15933</f>
        <v/>
      </c>
      <c r="B15933">
        <f>IF(ISNUMBER(Input!B15933),IF(AND(Input!B15933&gt;=20,Input!B15933&lt;=700),Input!B15933,""),"")</f>
        <v/>
      </c>
      <c r="C15933">
        <f>IF(B15933="","",INT(A15933))</f>
        <v/>
      </c>
      <c r="D15933">
        <f>IF(B15933="","",HOUR(A15933))</f>
        <v/>
      </c>
    </row>
    <row r="15934">
      <c r="A15934">
        <f>Input!A15934</f>
        <v/>
      </c>
      <c r="B15934">
        <f>IF(ISNUMBER(Input!B15934),IF(AND(Input!B15934&gt;=20,Input!B15934&lt;=700),Input!B15934,""),"")</f>
        <v/>
      </c>
      <c r="C15934">
        <f>IF(B15934="","",INT(A15934))</f>
        <v/>
      </c>
      <c r="D15934">
        <f>IF(B15934="","",HOUR(A15934))</f>
        <v/>
      </c>
    </row>
    <row r="15935">
      <c r="A15935">
        <f>Input!A15935</f>
        <v/>
      </c>
      <c r="B15935">
        <f>IF(ISNUMBER(Input!B15935),IF(AND(Input!B15935&gt;=20,Input!B15935&lt;=700),Input!B15935,""),"")</f>
        <v/>
      </c>
      <c r="C15935">
        <f>IF(B15935="","",INT(A15935))</f>
        <v/>
      </c>
      <c r="D15935">
        <f>IF(B15935="","",HOUR(A15935))</f>
        <v/>
      </c>
    </row>
    <row r="15936">
      <c r="A15936">
        <f>Input!A15936</f>
        <v/>
      </c>
      <c r="B15936">
        <f>IF(ISNUMBER(Input!B15936),IF(AND(Input!B15936&gt;=20,Input!B15936&lt;=700),Input!B15936,""),"")</f>
        <v/>
      </c>
      <c r="C15936">
        <f>IF(B15936="","",INT(A15936))</f>
        <v/>
      </c>
      <c r="D15936">
        <f>IF(B15936="","",HOUR(A15936))</f>
        <v/>
      </c>
    </row>
    <row r="15937">
      <c r="A15937">
        <f>Input!A15937</f>
        <v/>
      </c>
      <c r="B15937">
        <f>IF(ISNUMBER(Input!B15937),IF(AND(Input!B15937&gt;=20,Input!B15937&lt;=700),Input!B15937,""),"")</f>
        <v/>
      </c>
      <c r="C15937">
        <f>IF(B15937="","",INT(A15937))</f>
        <v/>
      </c>
      <c r="D15937">
        <f>IF(B15937="","",HOUR(A15937))</f>
        <v/>
      </c>
    </row>
    <row r="15938">
      <c r="A15938">
        <f>Input!A15938</f>
        <v/>
      </c>
      <c r="B15938">
        <f>IF(ISNUMBER(Input!B15938),IF(AND(Input!B15938&gt;=20,Input!B15938&lt;=700),Input!B15938,""),"")</f>
        <v/>
      </c>
      <c r="C15938">
        <f>IF(B15938="","",INT(A15938))</f>
        <v/>
      </c>
      <c r="D15938">
        <f>IF(B15938="","",HOUR(A15938))</f>
        <v/>
      </c>
    </row>
    <row r="15939">
      <c r="A15939">
        <f>Input!A15939</f>
        <v/>
      </c>
      <c r="B15939">
        <f>IF(ISNUMBER(Input!B15939),IF(AND(Input!B15939&gt;=20,Input!B15939&lt;=700),Input!B15939,""),"")</f>
        <v/>
      </c>
      <c r="C15939">
        <f>IF(B15939="","",INT(A15939))</f>
        <v/>
      </c>
      <c r="D15939">
        <f>IF(B15939="","",HOUR(A15939))</f>
        <v/>
      </c>
    </row>
    <row r="15940">
      <c r="A15940">
        <f>Input!A15940</f>
        <v/>
      </c>
      <c r="B15940">
        <f>IF(ISNUMBER(Input!B15940),IF(AND(Input!B15940&gt;=20,Input!B15940&lt;=700),Input!B15940,""),"")</f>
        <v/>
      </c>
      <c r="C15940">
        <f>IF(B15940="","",INT(A15940))</f>
        <v/>
      </c>
      <c r="D15940">
        <f>IF(B15940="","",HOUR(A15940))</f>
        <v/>
      </c>
    </row>
    <row r="15941">
      <c r="A15941">
        <f>Input!A15941</f>
        <v/>
      </c>
      <c r="B15941">
        <f>IF(ISNUMBER(Input!B15941),IF(AND(Input!B15941&gt;=20,Input!B15941&lt;=700),Input!B15941,""),"")</f>
        <v/>
      </c>
      <c r="C15941">
        <f>IF(B15941="","",INT(A15941))</f>
        <v/>
      </c>
      <c r="D15941">
        <f>IF(B15941="","",HOUR(A15941))</f>
        <v/>
      </c>
    </row>
    <row r="15942">
      <c r="A15942">
        <f>Input!A15942</f>
        <v/>
      </c>
      <c r="B15942">
        <f>IF(ISNUMBER(Input!B15942),IF(AND(Input!B15942&gt;=20,Input!B15942&lt;=700),Input!B15942,""),"")</f>
        <v/>
      </c>
      <c r="C15942">
        <f>IF(B15942="","",INT(A15942))</f>
        <v/>
      </c>
      <c r="D15942">
        <f>IF(B15942="","",HOUR(A15942))</f>
        <v/>
      </c>
    </row>
    <row r="15943">
      <c r="A15943">
        <f>Input!A15943</f>
        <v/>
      </c>
      <c r="B15943">
        <f>IF(ISNUMBER(Input!B15943),IF(AND(Input!B15943&gt;=20,Input!B15943&lt;=700),Input!B15943,""),"")</f>
        <v/>
      </c>
      <c r="C15943">
        <f>IF(B15943="","",INT(A15943))</f>
        <v/>
      </c>
      <c r="D15943">
        <f>IF(B15943="","",HOUR(A15943))</f>
        <v/>
      </c>
    </row>
    <row r="15944">
      <c r="A15944">
        <f>Input!A15944</f>
        <v/>
      </c>
      <c r="B15944">
        <f>IF(ISNUMBER(Input!B15944),IF(AND(Input!B15944&gt;=20,Input!B15944&lt;=700),Input!B15944,""),"")</f>
        <v/>
      </c>
      <c r="C15944">
        <f>IF(B15944="","",INT(A15944))</f>
        <v/>
      </c>
      <c r="D15944">
        <f>IF(B15944="","",HOUR(A15944))</f>
        <v/>
      </c>
    </row>
    <row r="15945">
      <c r="A15945">
        <f>Input!A15945</f>
        <v/>
      </c>
      <c r="B15945">
        <f>IF(ISNUMBER(Input!B15945),IF(AND(Input!B15945&gt;=20,Input!B15945&lt;=700),Input!B15945,""),"")</f>
        <v/>
      </c>
      <c r="C15945">
        <f>IF(B15945="","",INT(A15945))</f>
        <v/>
      </c>
      <c r="D15945">
        <f>IF(B15945="","",HOUR(A15945))</f>
        <v/>
      </c>
    </row>
    <row r="15946">
      <c r="A15946">
        <f>Input!A15946</f>
        <v/>
      </c>
      <c r="B15946">
        <f>IF(ISNUMBER(Input!B15946),IF(AND(Input!B15946&gt;=20,Input!B15946&lt;=700),Input!B15946,""),"")</f>
        <v/>
      </c>
      <c r="C15946">
        <f>IF(B15946="","",INT(A15946))</f>
        <v/>
      </c>
      <c r="D15946">
        <f>IF(B15946="","",HOUR(A15946))</f>
        <v/>
      </c>
    </row>
    <row r="15947">
      <c r="A15947">
        <f>Input!A15947</f>
        <v/>
      </c>
      <c r="B15947">
        <f>IF(ISNUMBER(Input!B15947),IF(AND(Input!B15947&gt;=20,Input!B15947&lt;=700),Input!B15947,""),"")</f>
        <v/>
      </c>
      <c r="C15947">
        <f>IF(B15947="","",INT(A15947))</f>
        <v/>
      </c>
      <c r="D15947">
        <f>IF(B15947="","",HOUR(A15947))</f>
        <v/>
      </c>
    </row>
    <row r="15948">
      <c r="A15948">
        <f>Input!A15948</f>
        <v/>
      </c>
      <c r="B15948">
        <f>IF(ISNUMBER(Input!B15948),IF(AND(Input!B15948&gt;=20,Input!B15948&lt;=700),Input!B15948,""),"")</f>
        <v/>
      </c>
      <c r="C15948">
        <f>IF(B15948="","",INT(A15948))</f>
        <v/>
      </c>
      <c r="D15948">
        <f>IF(B15948="","",HOUR(A15948))</f>
        <v/>
      </c>
    </row>
    <row r="15949">
      <c r="A15949">
        <f>Input!A15949</f>
        <v/>
      </c>
      <c r="B15949">
        <f>IF(ISNUMBER(Input!B15949),IF(AND(Input!B15949&gt;=20,Input!B15949&lt;=700),Input!B15949,""),"")</f>
        <v/>
      </c>
      <c r="C15949">
        <f>IF(B15949="","",INT(A15949))</f>
        <v/>
      </c>
      <c r="D15949">
        <f>IF(B15949="","",HOUR(A15949))</f>
        <v/>
      </c>
    </row>
    <row r="15950">
      <c r="A15950">
        <f>Input!A15950</f>
        <v/>
      </c>
      <c r="B15950">
        <f>IF(ISNUMBER(Input!B15950),IF(AND(Input!B15950&gt;=20,Input!B15950&lt;=700),Input!B15950,""),"")</f>
        <v/>
      </c>
      <c r="C15950">
        <f>IF(B15950="","",INT(A15950))</f>
        <v/>
      </c>
      <c r="D15950">
        <f>IF(B15950="","",HOUR(A15950))</f>
        <v/>
      </c>
    </row>
    <row r="15951">
      <c r="A15951">
        <f>Input!A15951</f>
        <v/>
      </c>
      <c r="B15951">
        <f>IF(ISNUMBER(Input!B15951),IF(AND(Input!B15951&gt;=20,Input!B15951&lt;=700),Input!B15951,""),"")</f>
        <v/>
      </c>
      <c r="C15951">
        <f>IF(B15951="","",INT(A15951))</f>
        <v/>
      </c>
      <c r="D15951">
        <f>IF(B15951="","",HOUR(A15951))</f>
        <v/>
      </c>
    </row>
    <row r="15952">
      <c r="A15952">
        <f>Input!A15952</f>
        <v/>
      </c>
      <c r="B15952">
        <f>IF(ISNUMBER(Input!B15952),IF(AND(Input!B15952&gt;=20,Input!B15952&lt;=700),Input!B15952,""),"")</f>
        <v/>
      </c>
      <c r="C15952">
        <f>IF(B15952="","",INT(A15952))</f>
        <v/>
      </c>
      <c r="D15952">
        <f>IF(B15952="","",HOUR(A15952))</f>
        <v/>
      </c>
    </row>
    <row r="15953">
      <c r="A15953">
        <f>Input!A15953</f>
        <v/>
      </c>
      <c r="B15953">
        <f>IF(ISNUMBER(Input!B15953),IF(AND(Input!B15953&gt;=20,Input!B15953&lt;=700),Input!B15953,""),"")</f>
        <v/>
      </c>
      <c r="C15953">
        <f>IF(B15953="","",INT(A15953))</f>
        <v/>
      </c>
      <c r="D15953">
        <f>IF(B15953="","",HOUR(A15953))</f>
        <v/>
      </c>
    </row>
    <row r="15954">
      <c r="A15954">
        <f>Input!A15954</f>
        <v/>
      </c>
      <c r="B15954">
        <f>IF(ISNUMBER(Input!B15954),IF(AND(Input!B15954&gt;=20,Input!B15954&lt;=700),Input!B15954,""),"")</f>
        <v/>
      </c>
      <c r="C15954">
        <f>IF(B15954="","",INT(A15954))</f>
        <v/>
      </c>
      <c r="D15954">
        <f>IF(B15954="","",HOUR(A15954))</f>
        <v/>
      </c>
    </row>
    <row r="15955">
      <c r="A15955">
        <f>Input!A15955</f>
        <v/>
      </c>
      <c r="B15955">
        <f>IF(ISNUMBER(Input!B15955),IF(AND(Input!B15955&gt;=20,Input!B15955&lt;=700),Input!B15955,""),"")</f>
        <v/>
      </c>
      <c r="C15955">
        <f>IF(B15955="","",INT(A15955))</f>
        <v/>
      </c>
      <c r="D15955">
        <f>IF(B15955="","",HOUR(A15955))</f>
        <v/>
      </c>
    </row>
    <row r="15956">
      <c r="A15956">
        <f>Input!A15956</f>
        <v/>
      </c>
      <c r="B15956">
        <f>IF(ISNUMBER(Input!B15956),IF(AND(Input!B15956&gt;=20,Input!B15956&lt;=700),Input!B15956,""),"")</f>
        <v/>
      </c>
      <c r="C15956">
        <f>IF(B15956="","",INT(A15956))</f>
        <v/>
      </c>
      <c r="D15956">
        <f>IF(B15956="","",HOUR(A15956))</f>
        <v/>
      </c>
    </row>
    <row r="15957">
      <c r="A15957">
        <f>Input!A15957</f>
        <v/>
      </c>
      <c r="B15957">
        <f>IF(ISNUMBER(Input!B15957),IF(AND(Input!B15957&gt;=20,Input!B15957&lt;=700),Input!B15957,""),"")</f>
        <v/>
      </c>
      <c r="C15957">
        <f>IF(B15957="","",INT(A15957))</f>
        <v/>
      </c>
      <c r="D15957">
        <f>IF(B15957="","",HOUR(A15957))</f>
        <v/>
      </c>
    </row>
    <row r="15958">
      <c r="A15958">
        <f>Input!A15958</f>
        <v/>
      </c>
      <c r="B15958">
        <f>IF(ISNUMBER(Input!B15958),IF(AND(Input!B15958&gt;=20,Input!B15958&lt;=700),Input!B15958,""),"")</f>
        <v/>
      </c>
      <c r="C15958">
        <f>IF(B15958="","",INT(A15958))</f>
        <v/>
      </c>
      <c r="D15958">
        <f>IF(B15958="","",HOUR(A15958))</f>
        <v/>
      </c>
    </row>
    <row r="15959">
      <c r="A15959">
        <f>Input!A15959</f>
        <v/>
      </c>
      <c r="B15959">
        <f>IF(ISNUMBER(Input!B15959),IF(AND(Input!B15959&gt;=20,Input!B15959&lt;=700),Input!B15959,""),"")</f>
        <v/>
      </c>
      <c r="C15959">
        <f>IF(B15959="","",INT(A15959))</f>
        <v/>
      </c>
      <c r="D15959">
        <f>IF(B15959="","",HOUR(A15959))</f>
        <v/>
      </c>
    </row>
    <row r="15960">
      <c r="A15960">
        <f>Input!A15960</f>
        <v/>
      </c>
      <c r="B15960">
        <f>IF(ISNUMBER(Input!B15960),IF(AND(Input!B15960&gt;=20,Input!B15960&lt;=700),Input!B15960,""),"")</f>
        <v/>
      </c>
      <c r="C15960">
        <f>IF(B15960="","",INT(A15960))</f>
        <v/>
      </c>
      <c r="D15960">
        <f>IF(B15960="","",HOUR(A15960))</f>
        <v/>
      </c>
    </row>
    <row r="15961">
      <c r="A15961">
        <f>Input!A15961</f>
        <v/>
      </c>
      <c r="B15961">
        <f>IF(ISNUMBER(Input!B15961),IF(AND(Input!B15961&gt;=20,Input!B15961&lt;=700),Input!B15961,""),"")</f>
        <v/>
      </c>
      <c r="C15961">
        <f>IF(B15961="","",INT(A15961))</f>
        <v/>
      </c>
      <c r="D15961">
        <f>IF(B15961="","",HOUR(A15961))</f>
        <v/>
      </c>
    </row>
    <row r="15962">
      <c r="A15962">
        <f>Input!A15962</f>
        <v/>
      </c>
      <c r="B15962">
        <f>IF(ISNUMBER(Input!B15962),IF(AND(Input!B15962&gt;=20,Input!B15962&lt;=700),Input!B15962,""),"")</f>
        <v/>
      </c>
      <c r="C15962">
        <f>IF(B15962="","",INT(A15962))</f>
        <v/>
      </c>
      <c r="D15962">
        <f>IF(B15962="","",HOUR(A15962))</f>
        <v/>
      </c>
    </row>
    <row r="15963">
      <c r="A15963">
        <f>Input!A15963</f>
        <v/>
      </c>
      <c r="B15963">
        <f>IF(ISNUMBER(Input!B15963),IF(AND(Input!B15963&gt;=20,Input!B15963&lt;=700),Input!B15963,""),"")</f>
        <v/>
      </c>
      <c r="C15963">
        <f>IF(B15963="","",INT(A15963))</f>
        <v/>
      </c>
      <c r="D15963">
        <f>IF(B15963="","",HOUR(A15963))</f>
        <v/>
      </c>
    </row>
    <row r="15964">
      <c r="A15964">
        <f>Input!A15964</f>
        <v/>
      </c>
      <c r="B15964">
        <f>IF(ISNUMBER(Input!B15964),IF(AND(Input!B15964&gt;=20,Input!B15964&lt;=700),Input!B15964,""),"")</f>
        <v/>
      </c>
      <c r="C15964">
        <f>IF(B15964="","",INT(A15964))</f>
        <v/>
      </c>
      <c r="D15964">
        <f>IF(B15964="","",HOUR(A15964))</f>
        <v/>
      </c>
    </row>
    <row r="15965">
      <c r="A15965">
        <f>Input!A15965</f>
        <v/>
      </c>
      <c r="B15965">
        <f>IF(ISNUMBER(Input!B15965),IF(AND(Input!B15965&gt;=20,Input!B15965&lt;=700),Input!B15965,""),"")</f>
        <v/>
      </c>
      <c r="C15965">
        <f>IF(B15965="","",INT(A15965))</f>
        <v/>
      </c>
      <c r="D15965">
        <f>IF(B15965="","",HOUR(A15965))</f>
        <v/>
      </c>
    </row>
    <row r="15966">
      <c r="A15966">
        <f>Input!A15966</f>
        <v/>
      </c>
      <c r="B15966">
        <f>IF(ISNUMBER(Input!B15966),IF(AND(Input!B15966&gt;=20,Input!B15966&lt;=700),Input!B15966,""),"")</f>
        <v/>
      </c>
      <c r="C15966">
        <f>IF(B15966="","",INT(A15966))</f>
        <v/>
      </c>
      <c r="D15966">
        <f>IF(B15966="","",HOUR(A15966))</f>
        <v/>
      </c>
    </row>
    <row r="15967">
      <c r="A15967">
        <f>Input!A15967</f>
        <v/>
      </c>
      <c r="B15967">
        <f>IF(ISNUMBER(Input!B15967),IF(AND(Input!B15967&gt;=20,Input!B15967&lt;=700),Input!B15967,""),"")</f>
        <v/>
      </c>
      <c r="C15967">
        <f>IF(B15967="","",INT(A15967))</f>
        <v/>
      </c>
      <c r="D15967">
        <f>IF(B15967="","",HOUR(A15967))</f>
        <v/>
      </c>
    </row>
    <row r="15968">
      <c r="A15968">
        <f>Input!A15968</f>
        <v/>
      </c>
      <c r="B15968">
        <f>IF(ISNUMBER(Input!B15968),IF(AND(Input!B15968&gt;=20,Input!B15968&lt;=700),Input!B15968,""),"")</f>
        <v/>
      </c>
      <c r="C15968">
        <f>IF(B15968="","",INT(A15968))</f>
        <v/>
      </c>
      <c r="D15968">
        <f>IF(B15968="","",HOUR(A15968))</f>
        <v/>
      </c>
    </row>
    <row r="15969">
      <c r="A15969">
        <f>Input!A15969</f>
        <v/>
      </c>
      <c r="B15969">
        <f>IF(ISNUMBER(Input!B15969),IF(AND(Input!B15969&gt;=20,Input!B15969&lt;=700),Input!B15969,""),"")</f>
        <v/>
      </c>
      <c r="C15969">
        <f>IF(B15969="","",INT(A15969))</f>
        <v/>
      </c>
      <c r="D15969">
        <f>IF(B15969="","",HOUR(A15969))</f>
        <v/>
      </c>
    </row>
    <row r="15970">
      <c r="A15970">
        <f>Input!A15970</f>
        <v/>
      </c>
      <c r="B15970">
        <f>IF(ISNUMBER(Input!B15970),IF(AND(Input!B15970&gt;=20,Input!B15970&lt;=700),Input!B15970,""),"")</f>
        <v/>
      </c>
      <c r="C15970">
        <f>IF(B15970="","",INT(A15970))</f>
        <v/>
      </c>
      <c r="D15970">
        <f>IF(B15970="","",HOUR(A15970))</f>
        <v/>
      </c>
    </row>
    <row r="15971">
      <c r="A15971">
        <f>Input!A15971</f>
        <v/>
      </c>
      <c r="B15971">
        <f>IF(ISNUMBER(Input!B15971),IF(AND(Input!B15971&gt;=20,Input!B15971&lt;=700),Input!B15971,""),"")</f>
        <v/>
      </c>
      <c r="C15971">
        <f>IF(B15971="","",INT(A15971))</f>
        <v/>
      </c>
      <c r="D15971">
        <f>IF(B15971="","",HOUR(A15971))</f>
        <v/>
      </c>
    </row>
    <row r="15972">
      <c r="A15972">
        <f>Input!A15972</f>
        <v/>
      </c>
      <c r="B15972">
        <f>IF(ISNUMBER(Input!B15972),IF(AND(Input!B15972&gt;=20,Input!B15972&lt;=700),Input!B15972,""),"")</f>
        <v/>
      </c>
      <c r="C15972">
        <f>IF(B15972="","",INT(A15972))</f>
        <v/>
      </c>
      <c r="D15972">
        <f>IF(B15972="","",HOUR(A15972))</f>
        <v/>
      </c>
    </row>
    <row r="15973">
      <c r="A15973">
        <f>Input!A15973</f>
        <v/>
      </c>
      <c r="B15973">
        <f>IF(ISNUMBER(Input!B15973),IF(AND(Input!B15973&gt;=20,Input!B15973&lt;=700),Input!B15973,""),"")</f>
        <v/>
      </c>
      <c r="C15973">
        <f>IF(B15973="","",INT(A15973))</f>
        <v/>
      </c>
      <c r="D15973">
        <f>IF(B15973="","",HOUR(A15973))</f>
        <v/>
      </c>
    </row>
    <row r="15974">
      <c r="A15974">
        <f>Input!A15974</f>
        <v/>
      </c>
      <c r="B15974">
        <f>IF(ISNUMBER(Input!B15974),IF(AND(Input!B15974&gt;=20,Input!B15974&lt;=700),Input!B15974,""),"")</f>
        <v/>
      </c>
      <c r="C15974">
        <f>IF(B15974="","",INT(A15974))</f>
        <v/>
      </c>
      <c r="D15974">
        <f>IF(B15974="","",HOUR(A15974))</f>
        <v/>
      </c>
    </row>
    <row r="15975">
      <c r="A15975">
        <f>Input!A15975</f>
        <v/>
      </c>
      <c r="B15975">
        <f>IF(ISNUMBER(Input!B15975),IF(AND(Input!B15975&gt;=20,Input!B15975&lt;=700),Input!B15975,""),"")</f>
        <v/>
      </c>
      <c r="C15975">
        <f>IF(B15975="","",INT(A15975))</f>
        <v/>
      </c>
      <c r="D15975">
        <f>IF(B15975="","",HOUR(A15975))</f>
        <v/>
      </c>
    </row>
    <row r="15976">
      <c r="A15976">
        <f>Input!A15976</f>
        <v/>
      </c>
      <c r="B15976">
        <f>IF(ISNUMBER(Input!B15976),IF(AND(Input!B15976&gt;=20,Input!B15976&lt;=700),Input!B15976,""),"")</f>
        <v/>
      </c>
      <c r="C15976">
        <f>IF(B15976="","",INT(A15976))</f>
        <v/>
      </c>
      <c r="D15976">
        <f>IF(B15976="","",HOUR(A15976))</f>
        <v/>
      </c>
    </row>
    <row r="15977">
      <c r="A15977">
        <f>Input!A15977</f>
        <v/>
      </c>
      <c r="B15977">
        <f>IF(ISNUMBER(Input!B15977),IF(AND(Input!B15977&gt;=20,Input!B15977&lt;=700),Input!B15977,""),"")</f>
        <v/>
      </c>
      <c r="C15977">
        <f>IF(B15977="","",INT(A15977))</f>
        <v/>
      </c>
      <c r="D15977">
        <f>IF(B15977="","",HOUR(A15977))</f>
        <v/>
      </c>
    </row>
    <row r="15978">
      <c r="A15978">
        <f>Input!A15978</f>
        <v/>
      </c>
      <c r="B15978">
        <f>IF(ISNUMBER(Input!B15978),IF(AND(Input!B15978&gt;=20,Input!B15978&lt;=700),Input!B15978,""),"")</f>
        <v/>
      </c>
      <c r="C15978">
        <f>IF(B15978="","",INT(A15978))</f>
        <v/>
      </c>
      <c r="D15978">
        <f>IF(B15978="","",HOUR(A15978))</f>
        <v/>
      </c>
    </row>
    <row r="15979">
      <c r="A15979">
        <f>Input!A15979</f>
        <v/>
      </c>
      <c r="B15979">
        <f>IF(ISNUMBER(Input!B15979),IF(AND(Input!B15979&gt;=20,Input!B15979&lt;=700),Input!B15979,""),"")</f>
        <v/>
      </c>
      <c r="C15979">
        <f>IF(B15979="","",INT(A15979))</f>
        <v/>
      </c>
      <c r="D15979">
        <f>IF(B15979="","",HOUR(A15979))</f>
        <v/>
      </c>
    </row>
    <row r="15980">
      <c r="A15980">
        <f>Input!A15980</f>
        <v/>
      </c>
      <c r="B15980">
        <f>IF(ISNUMBER(Input!B15980),IF(AND(Input!B15980&gt;=20,Input!B15980&lt;=700),Input!B15980,""),"")</f>
        <v/>
      </c>
      <c r="C15980">
        <f>IF(B15980="","",INT(A15980))</f>
        <v/>
      </c>
      <c r="D15980">
        <f>IF(B15980="","",HOUR(A15980))</f>
        <v/>
      </c>
    </row>
    <row r="15981">
      <c r="A15981">
        <f>Input!A15981</f>
        <v/>
      </c>
      <c r="B15981">
        <f>IF(ISNUMBER(Input!B15981),IF(AND(Input!B15981&gt;=20,Input!B15981&lt;=700),Input!B15981,""),"")</f>
        <v/>
      </c>
      <c r="C15981">
        <f>IF(B15981="","",INT(A15981))</f>
        <v/>
      </c>
      <c r="D15981">
        <f>IF(B15981="","",HOUR(A15981))</f>
        <v/>
      </c>
    </row>
    <row r="15982">
      <c r="A15982">
        <f>Input!A15982</f>
        <v/>
      </c>
      <c r="B15982">
        <f>IF(ISNUMBER(Input!B15982),IF(AND(Input!B15982&gt;=20,Input!B15982&lt;=700),Input!B15982,""),"")</f>
        <v/>
      </c>
      <c r="C15982">
        <f>IF(B15982="","",INT(A15982))</f>
        <v/>
      </c>
      <c r="D15982">
        <f>IF(B15982="","",HOUR(A15982))</f>
        <v/>
      </c>
    </row>
    <row r="15983">
      <c r="A15983">
        <f>Input!A15983</f>
        <v/>
      </c>
      <c r="B15983">
        <f>IF(ISNUMBER(Input!B15983),IF(AND(Input!B15983&gt;=20,Input!B15983&lt;=700),Input!B15983,""),"")</f>
        <v/>
      </c>
      <c r="C15983">
        <f>IF(B15983="","",INT(A15983))</f>
        <v/>
      </c>
      <c r="D15983">
        <f>IF(B15983="","",HOUR(A15983))</f>
        <v/>
      </c>
    </row>
    <row r="15984">
      <c r="A15984">
        <f>Input!A15984</f>
        <v/>
      </c>
      <c r="B15984">
        <f>IF(ISNUMBER(Input!B15984),IF(AND(Input!B15984&gt;=20,Input!B15984&lt;=700),Input!B15984,""),"")</f>
        <v/>
      </c>
      <c r="C15984">
        <f>IF(B15984="","",INT(A15984))</f>
        <v/>
      </c>
      <c r="D15984">
        <f>IF(B15984="","",HOUR(A15984))</f>
        <v/>
      </c>
    </row>
    <row r="15985">
      <c r="A15985">
        <f>Input!A15985</f>
        <v/>
      </c>
      <c r="B15985">
        <f>IF(ISNUMBER(Input!B15985),IF(AND(Input!B15985&gt;=20,Input!B15985&lt;=700),Input!B15985,""),"")</f>
        <v/>
      </c>
      <c r="C15985">
        <f>IF(B15985="","",INT(A15985))</f>
        <v/>
      </c>
      <c r="D15985">
        <f>IF(B15985="","",HOUR(A15985))</f>
        <v/>
      </c>
    </row>
    <row r="15986">
      <c r="A15986">
        <f>Input!A15986</f>
        <v/>
      </c>
      <c r="B15986">
        <f>IF(ISNUMBER(Input!B15986),IF(AND(Input!B15986&gt;=20,Input!B15986&lt;=700),Input!B15986,""),"")</f>
        <v/>
      </c>
      <c r="C15986">
        <f>IF(B15986="","",INT(A15986))</f>
        <v/>
      </c>
      <c r="D15986">
        <f>IF(B15986="","",HOUR(A15986))</f>
        <v/>
      </c>
    </row>
    <row r="15987">
      <c r="A15987">
        <f>Input!A15987</f>
        <v/>
      </c>
      <c r="B15987">
        <f>IF(ISNUMBER(Input!B15987),IF(AND(Input!B15987&gt;=20,Input!B15987&lt;=700),Input!B15987,""),"")</f>
        <v/>
      </c>
      <c r="C15987">
        <f>IF(B15987="","",INT(A15987))</f>
        <v/>
      </c>
      <c r="D15987">
        <f>IF(B15987="","",HOUR(A15987))</f>
        <v/>
      </c>
    </row>
    <row r="15988">
      <c r="A15988">
        <f>Input!A15988</f>
        <v/>
      </c>
      <c r="B15988">
        <f>IF(ISNUMBER(Input!B15988),IF(AND(Input!B15988&gt;=20,Input!B15988&lt;=700),Input!B15988,""),"")</f>
        <v/>
      </c>
      <c r="C15988">
        <f>IF(B15988="","",INT(A15988))</f>
        <v/>
      </c>
      <c r="D15988">
        <f>IF(B15988="","",HOUR(A15988))</f>
        <v/>
      </c>
    </row>
    <row r="15989">
      <c r="A15989">
        <f>Input!A15989</f>
        <v/>
      </c>
      <c r="B15989">
        <f>IF(ISNUMBER(Input!B15989),IF(AND(Input!B15989&gt;=20,Input!B15989&lt;=700),Input!B15989,""),"")</f>
        <v/>
      </c>
      <c r="C15989">
        <f>IF(B15989="","",INT(A15989))</f>
        <v/>
      </c>
      <c r="D15989">
        <f>IF(B15989="","",HOUR(A15989))</f>
        <v/>
      </c>
    </row>
    <row r="15990">
      <c r="A15990">
        <f>Input!A15990</f>
        <v/>
      </c>
      <c r="B15990">
        <f>IF(ISNUMBER(Input!B15990),IF(AND(Input!B15990&gt;=20,Input!B15990&lt;=700),Input!B15990,""),"")</f>
        <v/>
      </c>
      <c r="C15990">
        <f>IF(B15990="","",INT(A15990))</f>
        <v/>
      </c>
      <c r="D15990">
        <f>IF(B15990="","",HOUR(A15990))</f>
        <v/>
      </c>
    </row>
    <row r="15991">
      <c r="A15991">
        <f>Input!A15991</f>
        <v/>
      </c>
      <c r="B15991">
        <f>IF(ISNUMBER(Input!B15991),IF(AND(Input!B15991&gt;=20,Input!B15991&lt;=700),Input!B15991,""),"")</f>
        <v/>
      </c>
      <c r="C15991">
        <f>IF(B15991="","",INT(A15991))</f>
        <v/>
      </c>
      <c r="D15991">
        <f>IF(B15991="","",HOUR(A15991))</f>
        <v/>
      </c>
    </row>
    <row r="15992">
      <c r="A15992">
        <f>Input!A15992</f>
        <v/>
      </c>
      <c r="B15992">
        <f>IF(ISNUMBER(Input!B15992),IF(AND(Input!B15992&gt;=20,Input!B15992&lt;=700),Input!B15992,""),"")</f>
        <v/>
      </c>
      <c r="C15992">
        <f>IF(B15992="","",INT(A15992))</f>
        <v/>
      </c>
      <c r="D15992">
        <f>IF(B15992="","",HOUR(A15992))</f>
        <v/>
      </c>
    </row>
    <row r="15993">
      <c r="A15993">
        <f>Input!A15993</f>
        <v/>
      </c>
      <c r="B15993">
        <f>IF(ISNUMBER(Input!B15993),IF(AND(Input!B15993&gt;=20,Input!B15993&lt;=700),Input!B15993,""),"")</f>
        <v/>
      </c>
      <c r="C15993">
        <f>IF(B15993="","",INT(A15993))</f>
        <v/>
      </c>
      <c r="D15993">
        <f>IF(B15993="","",HOUR(A15993))</f>
        <v/>
      </c>
    </row>
    <row r="15994">
      <c r="A15994">
        <f>Input!A15994</f>
        <v/>
      </c>
      <c r="B15994">
        <f>IF(ISNUMBER(Input!B15994),IF(AND(Input!B15994&gt;=20,Input!B15994&lt;=700),Input!B15994,""),"")</f>
        <v/>
      </c>
      <c r="C15994">
        <f>IF(B15994="","",INT(A15994))</f>
        <v/>
      </c>
      <c r="D15994">
        <f>IF(B15994="","",HOUR(A15994))</f>
        <v/>
      </c>
    </row>
    <row r="15995">
      <c r="A15995">
        <f>Input!A15995</f>
        <v/>
      </c>
      <c r="B15995">
        <f>IF(ISNUMBER(Input!B15995),IF(AND(Input!B15995&gt;=20,Input!B15995&lt;=700),Input!B15995,""),"")</f>
        <v/>
      </c>
      <c r="C15995">
        <f>IF(B15995="","",INT(A15995))</f>
        <v/>
      </c>
      <c r="D15995">
        <f>IF(B15995="","",HOUR(A15995))</f>
        <v/>
      </c>
    </row>
    <row r="15996">
      <c r="A15996">
        <f>Input!A15996</f>
        <v/>
      </c>
      <c r="B15996">
        <f>IF(ISNUMBER(Input!B15996),IF(AND(Input!B15996&gt;=20,Input!B15996&lt;=700),Input!B15996,""),"")</f>
        <v/>
      </c>
      <c r="C15996">
        <f>IF(B15996="","",INT(A15996))</f>
        <v/>
      </c>
      <c r="D15996">
        <f>IF(B15996="","",HOUR(A15996))</f>
        <v/>
      </c>
    </row>
    <row r="15997">
      <c r="A15997">
        <f>Input!A15997</f>
        <v/>
      </c>
      <c r="B15997">
        <f>IF(ISNUMBER(Input!B15997),IF(AND(Input!B15997&gt;=20,Input!B15997&lt;=700),Input!B15997,""),"")</f>
        <v/>
      </c>
      <c r="C15997">
        <f>IF(B15997="","",INT(A15997))</f>
        <v/>
      </c>
      <c r="D15997">
        <f>IF(B15997="","",HOUR(A15997))</f>
        <v/>
      </c>
    </row>
    <row r="15998">
      <c r="A15998">
        <f>Input!A15998</f>
        <v/>
      </c>
      <c r="B15998">
        <f>IF(ISNUMBER(Input!B15998),IF(AND(Input!B15998&gt;=20,Input!B15998&lt;=700),Input!B15998,""),"")</f>
        <v/>
      </c>
      <c r="C15998">
        <f>IF(B15998="","",INT(A15998))</f>
        <v/>
      </c>
      <c r="D15998">
        <f>IF(B15998="","",HOUR(A15998))</f>
        <v/>
      </c>
    </row>
    <row r="15999">
      <c r="A15999">
        <f>Input!A15999</f>
        <v/>
      </c>
      <c r="B15999">
        <f>IF(ISNUMBER(Input!B15999),IF(AND(Input!B15999&gt;=20,Input!B15999&lt;=700),Input!B15999,""),"")</f>
        <v/>
      </c>
      <c r="C15999">
        <f>IF(B15999="","",INT(A15999))</f>
        <v/>
      </c>
      <c r="D15999">
        <f>IF(B15999="","",HOUR(A15999))</f>
        <v/>
      </c>
    </row>
    <row r="16000">
      <c r="A16000">
        <f>Input!A16000</f>
        <v/>
      </c>
      <c r="B16000">
        <f>IF(ISNUMBER(Input!B16000),IF(AND(Input!B16000&gt;=20,Input!B16000&lt;=700),Input!B16000,""),"")</f>
        <v/>
      </c>
      <c r="C16000">
        <f>IF(B16000="","",INT(A16000))</f>
        <v/>
      </c>
      <c r="D16000">
        <f>IF(B16000="","",HOUR(A16000))</f>
        <v/>
      </c>
    </row>
    <row r="16001">
      <c r="A16001">
        <f>Input!A16001</f>
        <v/>
      </c>
      <c r="B16001">
        <f>IF(ISNUMBER(Input!B16001),IF(AND(Input!B16001&gt;=20,Input!B16001&lt;=700),Input!B16001,""),"")</f>
        <v/>
      </c>
      <c r="C16001">
        <f>IF(B16001="","",INT(A16001))</f>
        <v/>
      </c>
      <c r="D16001">
        <f>IF(B16001="","",HOUR(A16001))</f>
        <v/>
      </c>
    </row>
    <row r="16002">
      <c r="A16002">
        <f>Input!A16002</f>
        <v/>
      </c>
      <c r="B16002">
        <f>IF(ISNUMBER(Input!B16002),IF(AND(Input!B16002&gt;=20,Input!B16002&lt;=700),Input!B16002,""),"")</f>
        <v/>
      </c>
      <c r="C16002">
        <f>IF(B16002="","",INT(A16002))</f>
        <v/>
      </c>
      <c r="D16002">
        <f>IF(B16002="","",HOUR(A16002))</f>
        <v/>
      </c>
    </row>
    <row r="16003">
      <c r="A16003">
        <f>Input!A16003</f>
        <v/>
      </c>
      <c r="B16003">
        <f>IF(ISNUMBER(Input!B16003),IF(AND(Input!B16003&gt;=20,Input!B16003&lt;=700),Input!B16003,""),"")</f>
        <v/>
      </c>
      <c r="C16003">
        <f>IF(B16003="","",INT(A16003))</f>
        <v/>
      </c>
      <c r="D16003">
        <f>IF(B16003="","",HOUR(A16003))</f>
        <v/>
      </c>
    </row>
    <row r="16004">
      <c r="A16004">
        <f>Input!A16004</f>
        <v/>
      </c>
      <c r="B16004">
        <f>IF(ISNUMBER(Input!B16004),IF(AND(Input!B16004&gt;=20,Input!B16004&lt;=700),Input!B16004,""),"")</f>
        <v/>
      </c>
      <c r="C16004">
        <f>IF(B16004="","",INT(A16004))</f>
        <v/>
      </c>
      <c r="D16004">
        <f>IF(B16004="","",HOUR(A16004))</f>
        <v/>
      </c>
    </row>
    <row r="16005">
      <c r="A16005">
        <f>Input!A16005</f>
        <v/>
      </c>
      <c r="B16005">
        <f>IF(ISNUMBER(Input!B16005),IF(AND(Input!B16005&gt;=20,Input!B16005&lt;=700),Input!B16005,""),"")</f>
        <v/>
      </c>
      <c r="C16005">
        <f>IF(B16005="","",INT(A16005))</f>
        <v/>
      </c>
      <c r="D16005">
        <f>IF(B16005="","",HOUR(A16005))</f>
        <v/>
      </c>
    </row>
    <row r="16006">
      <c r="A16006">
        <f>Input!A16006</f>
        <v/>
      </c>
      <c r="B16006">
        <f>IF(ISNUMBER(Input!B16006),IF(AND(Input!B16006&gt;=20,Input!B16006&lt;=700),Input!B16006,""),"")</f>
        <v/>
      </c>
      <c r="C16006">
        <f>IF(B16006="","",INT(A16006))</f>
        <v/>
      </c>
      <c r="D16006">
        <f>IF(B16006="","",HOUR(A16006))</f>
        <v/>
      </c>
    </row>
    <row r="16007">
      <c r="A16007">
        <f>Input!A16007</f>
        <v/>
      </c>
      <c r="B16007">
        <f>IF(ISNUMBER(Input!B16007),IF(AND(Input!B16007&gt;=20,Input!B16007&lt;=700),Input!B16007,""),"")</f>
        <v/>
      </c>
      <c r="C16007">
        <f>IF(B16007="","",INT(A16007))</f>
        <v/>
      </c>
      <c r="D16007">
        <f>IF(B16007="","",HOUR(A16007))</f>
        <v/>
      </c>
    </row>
    <row r="16008">
      <c r="A16008">
        <f>Input!A16008</f>
        <v/>
      </c>
      <c r="B16008">
        <f>IF(ISNUMBER(Input!B16008),IF(AND(Input!B16008&gt;=20,Input!B16008&lt;=700),Input!B16008,""),"")</f>
        <v/>
      </c>
      <c r="C16008">
        <f>IF(B16008="","",INT(A16008))</f>
        <v/>
      </c>
      <c r="D16008">
        <f>IF(B16008="","",HOUR(A16008))</f>
        <v/>
      </c>
    </row>
    <row r="16009">
      <c r="A16009">
        <f>Input!A16009</f>
        <v/>
      </c>
      <c r="B16009">
        <f>IF(ISNUMBER(Input!B16009),IF(AND(Input!B16009&gt;=20,Input!B16009&lt;=700),Input!B16009,""),"")</f>
        <v/>
      </c>
      <c r="C16009">
        <f>IF(B16009="","",INT(A16009))</f>
        <v/>
      </c>
      <c r="D16009">
        <f>IF(B16009="","",HOUR(A16009))</f>
        <v/>
      </c>
    </row>
    <row r="16010">
      <c r="A16010">
        <f>Input!A16010</f>
        <v/>
      </c>
      <c r="B16010">
        <f>IF(ISNUMBER(Input!B16010),IF(AND(Input!B16010&gt;=20,Input!B16010&lt;=700),Input!B16010,""),"")</f>
        <v/>
      </c>
      <c r="C16010">
        <f>IF(B16010="","",INT(A16010))</f>
        <v/>
      </c>
      <c r="D16010">
        <f>IF(B16010="","",HOUR(A16010))</f>
        <v/>
      </c>
    </row>
    <row r="16011">
      <c r="A16011">
        <f>Input!A16011</f>
        <v/>
      </c>
      <c r="B16011">
        <f>IF(ISNUMBER(Input!B16011),IF(AND(Input!B16011&gt;=20,Input!B16011&lt;=700),Input!B16011,""),"")</f>
        <v/>
      </c>
      <c r="C16011">
        <f>IF(B16011="","",INT(A16011))</f>
        <v/>
      </c>
      <c r="D16011">
        <f>IF(B16011="","",HOUR(A16011))</f>
        <v/>
      </c>
    </row>
    <row r="16012">
      <c r="A16012">
        <f>Input!A16012</f>
        <v/>
      </c>
      <c r="B16012">
        <f>IF(ISNUMBER(Input!B16012),IF(AND(Input!B16012&gt;=20,Input!B16012&lt;=700),Input!B16012,""),"")</f>
        <v/>
      </c>
      <c r="C16012">
        <f>IF(B16012="","",INT(A16012))</f>
        <v/>
      </c>
      <c r="D16012">
        <f>IF(B16012="","",HOUR(A16012))</f>
        <v/>
      </c>
    </row>
    <row r="16013">
      <c r="A16013">
        <f>Input!A16013</f>
        <v/>
      </c>
      <c r="B16013">
        <f>IF(ISNUMBER(Input!B16013),IF(AND(Input!B16013&gt;=20,Input!B16013&lt;=700),Input!B16013,""),"")</f>
        <v/>
      </c>
      <c r="C16013">
        <f>IF(B16013="","",INT(A16013))</f>
        <v/>
      </c>
      <c r="D16013">
        <f>IF(B16013="","",HOUR(A16013))</f>
        <v/>
      </c>
    </row>
    <row r="16014">
      <c r="A16014">
        <f>Input!A16014</f>
        <v/>
      </c>
      <c r="B16014">
        <f>IF(ISNUMBER(Input!B16014),IF(AND(Input!B16014&gt;=20,Input!B16014&lt;=700),Input!B16014,""),"")</f>
        <v/>
      </c>
      <c r="C16014">
        <f>IF(B16014="","",INT(A16014))</f>
        <v/>
      </c>
      <c r="D16014">
        <f>IF(B16014="","",HOUR(A16014))</f>
        <v/>
      </c>
    </row>
    <row r="16015">
      <c r="A16015">
        <f>Input!A16015</f>
        <v/>
      </c>
      <c r="B16015">
        <f>IF(ISNUMBER(Input!B16015),IF(AND(Input!B16015&gt;=20,Input!B16015&lt;=700),Input!B16015,""),"")</f>
        <v/>
      </c>
      <c r="C16015">
        <f>IF(B16015="","",INT(A16015))</f>
        <v/>
      </c>
      <c r="D16015">
        <f>IF(B16015="","",HOUR(A16015))</f>
        <v/>
      </c>
    </row>
    <row r="16016">
      <c r="A16016">
        <f>Input!A16016</f>
        <v/>
      </c>
      <c r="B16016">
        <f>IF(ISNUMBER(Input!B16016),IF(AND(Input!B16016&gt;=20,Input!B16016&lt;=700),Input!B16016,""),"")</f>
        <v/>
      </c>
      <c r="C16016">
        <f>IF(B16016="","",INT(A16016))</f>
        <v/>
      </c>
      <c r="D16016">
        <f>IF(B16016="","",HOUR(A16016))</f>
        <v/>
      </c>
    </row>
    <row r="16017">
      <c r="A16017">
        <f>Input!A16017</f>
        <v/>
      </c>
      <c r="B16017">
        <f>IF(ISNUMBER(Input!B16017),IF(AND(Input!B16017&gt;=20,Input!B16017&lt;=700),Input!B16017,""),"")</f>
        <v/>
      </c>
      <c r="C16017">
        <f>IF(B16017="","",INT(A16017))</f>
        <v/>
      </c>
      <c r="D16017">
        <f>IF(B16017="","",HOUR(A16017))</f>
        <v/>
      </c>
    </row>
    <row r="16018">
      <c r="A16018">
        <f>Input!A16018</f>
        <v/>
      </c>
      <c r="B16018">
        <f>IF(ISNUMBER(Input!B16018),IF(AND(Input!B16018&gt;=20,Input!B16018&lt;=700),Input!B16018,""),"")</f>
        <v/>
      </c>
      <c r="C16018">
        <f>IF(B16018="","",INT(A16018))</f>
        <v/>
      </c>
      <c r="D16018">
        <f>IF(B16018="","",HOUR(A16018))</f>
        <v/>
      </c>
    </row>
    <row r="16019">
      <c r="A16019">
        <f>Input!A16019</f>
        <v/>
      </c>
      <c r="B16019">
        <f>IF(ISNUMBER(Input!B16019),IF(AND(Input!B16019&gt;=20,Input!B16019&lt;=700),Input!B16019,""),"")</f>
        <v/>
      </c>
      <c r="C16019">
        <f>IF(B16019="","",INT(A16019))</f>
        <v/>
      </c>
      <c r="D16019">
        <f>IF(B16019="","",HOUR(A16019))</f>
        <v/>
      </c>
    </row>
    <row r="16020">
      <c r="A16020">
        <f>Input!A16020</f>
        <v/>
      </c>
      <c r="B16020">
        <f>IF(ISNUMBER(Input!B16020),IF(AND(Input!B16020&gt;=20,Input!B16020&lt;=700),Input!B16020,""),"")</f>
        <v/>
      </c>
      <c r="C16020">
        <f>IF(B16020="","",INT(A16020))</f>
        <v/>
      </c>
      <c r="D16020">
        <f>IF(B16020="","",HOUR(A16020))</f>
        <v/>
      </c>
    </row>
    <row r="16021">
      <c r="A16021">
        <f>Input!A16021</f>
        <v/>
      </c>
      <c r="B16021">
        <f>IF(ISNUMBER(Input!B16021),IF(AND(Input!B16021&gt;=20,Input!B16021&lt;=700),Input!B16021,""),"")</f>
        <v/>
      </c>
      <c r="C16021">
        <f>IF(B16021="","",INT(A16021))</f>
        <v/>
      </c>
      <c r="D16021">
        <f>IF(B16021="","",HOUR(A16021))</f>
        <v/>
      </c>
    </row>
    <row r="16022">
      <c r="A16022">
        <f>Input!A16022</f>
        <v/>
      </c>
      <c r="B16022">
        <f>IF(ISNUMBER(Input!B16022),IF(AND(Input!B16022&gt;=20,Input!B16022&lt;=700),Input!B16022,""),"")</f>
        <v/>
      </c>
      <c r="C16022">
        <f>IF(B16022="","",INT(A16022))</f>
        <v/>
      </c>
      <c r="D16022">
        <f>IF(B16022="","",HOUR(A16022))</f>
        <v/>
      </c>
    </row>
    <row r="16023">
      <c r="A16023">
        <f>Input!A16023</f>
        <v/>
      </c>
      <c r="B16023">
        <f>IF(ISNUMBER(Input!B16023),IF(AND(Input!B16023&gt;=20,Input!B16023&lt;=700),Input!B16023,""),"")</f>
        <v/>
      </c>
      <c r="C16023">
        <f>IF(B16023="","",INT(A16023))</f>
        <v/>
      </c>
      <c r="D16023">
        <f>IF(B16023="","",HOUR(A16023))</f>
        <v/>
      </c>
    </row>
    <row r="16024">
      <c r="A16024">
        <f>Input!A16024</f>
        <v/>
      </c>
      <c r="B16024">
        <f>IF(ISNUMBER(Input!B16024),IF(AND(Input!B16024&gt;=20,Input!B16024&lt;=700),Input!B16024,""),"")</f>
        <v/>
      </c>
      <c r="C16024">
        <f>IF(B16024="","",INT(A16024))</f>
        <v/>
      </c>
      <c r="D16024">
        <f>IF(B16024="","",HOUR(A16024))</f>
        <v/>
      </c>
    </row>
    <row r="16025">
      <c r="A16025">
        <f>Input!A16025</f>
        <v/>
      </c>
      <c r="B16025">
        <f>IF(ISNUMBER(Input!B16025),IF(AND(Input!B16025&gt;=20,Input!B16025&lt;=700),Input!B16025,""),"")</f>
        <v/>
      </c>
      <c r="C16025">
        <f>IF(B16025="","",INT(A16025))</f>
        <v/>
      </c>
      <c r="D16025">
        <f>IF(B16025="","",HOUR(A16025))</f>
        <v/>
      </c>
    </row>
    <row r="16026">
      <c r="A16026">
        <f>Input!A16026</f>
        <v/>
      </c>
      <c r="B16026">
        <f>IF(ISNUMBER(Input!B16026),IF(AND(Input!B16026&gt;=20,Input!B16026&lt;=700),Input!B16026,""),"")</f>
        <v/>
      </c>
      <c r="C16026">
        <f>IF(B16026="","",INT(A16026))</f>
        <v/>
      </c>
      <c r="D16026">
        <f>IF(B16026="","",HOUR(A16026))</f>
        <v/>
      </c>
    </row>
    <row r="16027">
      <c r="A16027">
        <f>Input!A16027</f>
        <v/>
      </c>
      <c r="B16027">
        <f>IF(ISNUMBER(Input!B16027),IF(AND(Input!B16027&gt;=20,Input!B16027&lt;=700),Input!B16027,""),"")</f>
        <v/>
      </c>
      <c r="C16027">
        <f>IF(B16027="","",INT(A16027))</f>
        <v/>
      </c>
      <c r="D16027">
        <f>IF(B16027="","",HOUR(A16027))</f>
        <v/>
      </c>
    </row>
    <row r="16028">
      <c r="A16028">
        <f>Input!A16028</f>
        <v/>
      </c>
      <c r="B16028">
        <f>IF(ISNUMBER(Input!B16028),IF(AND(Input!B16028&gt;=20,Input!B16028&lt;=700),Input!B16028,""),"")</f>
        <v/>
      </c>
      <c r="C16028">
        <f>IF(B16028="","",INT(A16028))</f>
        <v/>
      </c>
      <c r="D16028">
        <f>IF(B16028="","",HOUR(A16028))</f>
        <v/>
      </c>
    </row>
    <row r="16029">
      <c r="A16029">
        <f>Input!A16029</f>
        <v/>
      </c>
      <c r="B16029">
        <f>IF(ISNUMBER(Input!B16029),IF(AND(Input!B16029&gt;=20,Input!B16029&lt;=700),Input!B16029,""),"")</f>
        <v/>
      </c>
      <c r="C16029">
        <f>IF(B16029="","",INT(A16029))</f>
        <v/>
      </c>
      <c r="D16029">
        <f>IF(B16029="","",HOUR(A16029))</f>
        <v/>
      </c>
    </row>
    <row r="16030">
      <c r="A16030">
        <f>Input!A16030</f>
        <v/>
      </c>
      <c r="B16030">
        <f>IF(ISNUMBER(Input!B16030),IF(AND(Input!B16030&gt;=20,Input!B16030&lt;=700),Input!B16030,""),"")</f>
        <v/>
      </c>
      <c r="C16030">
        <f>IF(B16030="","",INT(A16030))</f>
        <v/>
      </c>
      <c r="D16030">
        <f>IF(B16030="","",HOUR(A16030))</f>
        <v/>
      </c>
    </row>
    <row r="16031">
      <c r="A16031">
        <f>Input!A16031</f>
        <v/>
      </c>
      <c r="B16031">
        <f>IF(ISNUMBER(Input!B16031),IF(AND(Input!B16031&gt;=20,Input!B16031&lt;=700),Input!B16031,""),"")</f>
        <v/>
      </c>
      <c r="C16031">
        <f>IF(B16031="","",INT(A16031))</f>
        <v/>
      </c>
      <c r="D16031">
        <f>IF(B16031="","",HOUR(A16031))</f>
        <v/>
      </c>
    </row>
    <row r="16032">
      <c r="A16032">
        <f>Input!A16032</f>
        <v/>
      </c>
      <c r="B16032">
        <f>IF(ISNUMBER(Input!B16032),IF(AND(Input!B16032&gt;=20,Input!B16032&lt;=700),Input!B16032,""),"")</f>
        <v/>
      </c>
      <c r="C16032">
        <f>IF(B16032="","",INT(A16032))</f>
        <v/>
      </c>
      <c r="D16032">
        <f>IF(B16032="","",HOUR(A16032))</f>
        <v/>
      </c>
    </row>
    <row r="16033">
      <c r="A16033">
        <f>Input!A16033</f>
        <v/>
      </c>
      <c r="B16033">
        <f>IF(ISNUMBER(Input!B16033),IF(AND(Input!B16033&gt;=20,Input!B16033&lt;=700),Input!B16033,""),"")</f>
        <v/>
      </c>
      <c r="C16033">
        <f>IF(B16033="","",INT(A16033))</f>
        <v/>
      </c>
      <c r="D16033">
        <f>IF(B16033="","",HOUR(A16033))</f>
        <v/>
      </c>
    </row>
    <row r="16034">
      <c r="A16034">
        <f>Input!A16034</f>
        <v/>
      </c>
      <c r="B16034">
        <f>IF(ISNUMBER(Input!B16034),IF(AND(Input!B16034&gt;=20,Input!B16034&lt;=700),Input!B16034,""),"")</f>
        <v/>
      </c>
      <c r="C16034">
        <f>IF(B16034="","",INT(A16034))</f>
        <v/>
      </c>
      <c r="D16034">
        <f>IF(B16034="","",HOUR(A16034))</f>
        <v/>
      </c>
    </row>
    <row r="16035">
      <c r="A16035">
        <f>Input!A16035</f>
        <v/>
      </c>
      <c r="B16035">
        <f>IF(ISNUMBER(Input!B16035),IF(AND(Input!B16035&gt;=20,Input!B16035&lt;=700),Input!B16035,""),"")</f>
        <v/>
      </c>
      <c r="C16035">
        <f>IF(B16035="","",INT(A16035))</f>
        <v/>
      </c>
      <c r="D16035">
        <f>IF(B16035="","",HOUR(A16035))</f>
        <v/>
      </c>
    </row>
    <row r="16036">
      <c r="A16036">
        <f>Input!A16036</f>
        <v/>
      </c>
      <c r="B16036">
        <f>IF(ISNUMBER(Input!B16036),IF(AND(Input!B16036&gt;=20,Input!B16036&lt;=700),Input!B16036,""),"")</f>
        <v/>
      </c>
      <c r="C16036">
        <f>IF(B16036="","",INT(A16036))</f>
        <v/>
      </c>
      <c r="D16036">
        <f>IF(B16036="","",HOUR(A16036))</f>
        <v/>
      </c>
    </row>
    <row r="16037">
      <c r="A16037">
        <f>Input!A16037</f>
        <v/>
      </c>
      <c r="B16037">
        <f>IF(ISNUMBER(Input!B16037),IF(AND(Input!B16037&gt;=20,Input!B16037&lt;=700),Input!B16037,""),"")</f>
        <v/>
      </c>
      <c r="C16037">
        <f>IF(B16037="","",INT(A16037))</f>
        <v/>
      </c>
      <c r="D16037">
        <f>IF(B16037="","",HOUR(A16037))</f>
        <v/>
      </c>
    </row>
    <row r="16038">
      <c r="A16038">
        <f>Input!A16038</f>
        <v/>
      </c>
      <c r="B16038">
        <f>IF(ISNUMBER(Input!B16038),IF(AND(Input!B16038&gt;=20,Input!B16038&lt;=700),Input!B16038,""),"")</f>
        <v/>
      </c>
      <c r="C16038">
        <f>IF(B16038="","",INT(A16038))</f>
        <v/>
      </c>
      <c r="D16038">
        <f>IF(B16038="","",HOUR(A16038))</f>
        <v/>
      </c>
    </row>
    <row r="16039">
      <c r="A16039">
        <f>Input!A16039</f>
        <v/>
      </c>
      <c r="B16039">
        <f>IF(ISNUMBER(Input!B16039),IF(AND(Input!B16039&gt;=20,Input!B16039&lt;=700),Input!B16039,""),"")</f>
        <v/>
      </c>
      <c r="C16039">
        <f>IF(B16039="","",INT(A16039))</f>
        <v/>
      </c>
      <c r="D16039">
        <f>IF(B16039="","",HOUR(A16039))</f>
        <v/>
      </c>
    </row>
    <row r="16040">
      <c r="A16040">
        <f>Input!A16040</f>
        <v/>
      </c>
      <c r="B16040">
        <f>IF(ISNUMBER(Input!B16040),IF(AND(Input!B16040&gt;=20,Input!B16040&lt;=700),Input!B16040,""),"")</f>
        <v/>
      </c>
      <c r="C16040">
        <f>IF(B16040="","",INT(A16040))</f>
        <v/>
      </c>
      <c r="D16040">
        <f>IF(B16040="","",HOUR(A16040))</f>
        <v/>
      </c>
    </row>
    <row r="16041">
      <c r="A16041">
        <f>Input!A16041</f>
        <v/>
      </c>
      <c r="B16041">
        <f>IF(ISNUMBER(Input!B16041),IF(AND(Input!B16041&gt;=20,Input!B16041&lt;=700),Input!B16041,""),"")</f>
        <v/>
      </c>
      <c r="C16041">
        <f>IF(B16041="","",INT(A16041))</f>
        <v/>
      </c>
      <c r="D16041">
        <f>IF(B16041="","",HOUR(A16041))</f>
        <v/>
      </c>
    </row>
    <row r="16042">
      <c r="A16042">
        <f>Input!A16042</f>
        <v/>
      </c>
      <c r="B16042">
        <f>IF(ISNUMBER(Input!B16042),IF(AND(Input!B16042&gt;=20,Input!B16042&lt;=700),Input!B16042,""),"")</f>
        <v/>
      </c>
      <c r="C16042">
        <f>IF(B16042="","",INT(A16042))</f>
        <v/>
      </c>
      <c r="D16042">
        <f>IF(B16042="","",HOUR(A16042))</f>
        <v/>
      </c>
    </row>
    <row r="16043">
      <c r="A16043">
        <f>Input!A16043</f>
        <v/>
      </c>
      <c r="B16043">
        <f>IF(ISNUMBER(Input!B16043),IF(AND(Input!B16043&gt;=20,Input!B16043&lt;=700),Input!B16043,""),"")</f>
        <v/>
      </c>
      <c r="C16043">
        <f>IF(B16043="","",INT(A16043))</f>
        <v/>
      </c>
      <c r="D16043">
        <f>IF(B16043="","",HOUR(A16043))</f>
        <v/>
      </c>
    </row>
    <row r="16044">
      <c r="A16044">
        <f>Input!A16044</f>
        <v/>
      </c>
      <c r="B16044">
        <f>IF(ISNUMBER(Input!B16044),IF(AND(Input!B16044&gt;=20,Input!B16044&lt;=700),Input!B16044,""),"")</f>
        <v/>
      </c>
      <c r="C16044">
        <f>IF(B16044="","",INT(A16044))</f>
        <v/>
      </c>
      <c r="D16044">
        <f>IF(B16044="","",HOUR(A16044))</f>
        <v/>
      </c>
    </row>
    <row r="16045">
      <c r="A16045">
        <f>Input!A16045</f>
        <v/>
      </c>
      <c r="B16045">
        <f>IF(ISNUMBER(Input!B16045),IF(AND(Input!B16045&gt;=20,Input!B16045&lt;=700),Input!B16045,""),"")</f>
        <v/>
      </c>
      <c r="C16045">
        <f>IF(B16045="","",INT(A16045))</f>
        <v/>
      </c>
      <c r="D16045">
        <f>IF(B16045="","",HOUR(A16045))</f>
        <v/>
      </c>
    </row>
    <row r="16046">
      <c r="A16046">
        <f>Input!A16046</f>
        <v/>
      </c>
      <c r="B16046">
        <f>IF(ISNUMBER(Input!B16046),IF(AND(Input!B16046&gt;=20,Input!B16046&lt;=700),Input!B16046,""),"")</f>
        <v/>
      </c>
      <c r="C16046">
        <f>IF(B16046="","",INT(A16046))</f>
        <v/>
      </c>
      <c r="D16046">
        <f>IF(B16046="","",HOUR(A16046))</f>
        <v/>
      </c>
    </row>
    <row r="16047">
      <c r="A16047">
        <f>Input!A16047</f>
        <v/>
      </c>
      <c r="B16047">
        <f>IF(ISNUMBER(Input!B16047),IF(AND(Input!B16047&gt;=20,Input!B16047&lt;=700),Input!B16047,""),"")</f>
        <v/>
      </c>
      <c r="C16047">
        <f>IF(B16047="","",INT(A16047))</f>
        <v/>
      </c>
      <c r="D16047">
        <f>IF(B16047="","",HOUR(A16047))</f>
        <v/>
      </c>
    </row>
    <row r="16048">
      <c r="A16048">
        <f>Input!A16048</f>
        <v/>
      </c>
      <c r="B16048">
        <f>IF(ISNUMBER(Input!B16048),IF(AND(Input!B16048&gt;=20,Input!B16048&lt;=700),Input!B16048,""),"")</f>
        <v/>
      </c>
      <c r="C16048">
        <f>IF(B16048="","",INT(A16048))</f>
        <v/>
      </c>
      <c r="D16048">
        <f>IF(B16048="","",HOUR(A16048))</f>
        <v/>
      </c>
    </row>
    <row r="16049">
      <c r="A16049">
        <f>Input!A16049</f>
        <v/>
      </c>
      <c r="B16049">
        <f>IF(ISNUMBER(Input!B16049),IF(AND(Input!B16049&gt;=20,Input!B16049&lt;=700),Input!B16049,""),"")</f>
        <v/>
      </c>
      <c r="C16049">
        <f>IF(B16049="","",INT(A16049))</f>
        <v/>
      </c>
      <c r="D16049">
        <f>IF(B16049="","",HOUR(A16049))</f>
        <v/>
      </c>
    </row>
    <row r="16050">
      <c r="A16050">
        <f>Input!A16050</f>
        <v/>
      </c>
      <c r="B16050">
        <f>IF(ISNUMBER(Input!B16050),IF(AND(Input!B16050&gt;=20,Input!B16050&lt;=700),Input!B16050,""),"")</f>
        <v/>
      </c>
      <c r="C16050">
        <f>IF(B16050="","",INT(A16050))</f>
        <v/>
      </c>
      <c r="D16050">
        <f>IF(B16050="","",HOUR(A16050))</f>
        <v/>
      </c>
    </row>
    <row r="16051">
      <c r="A16051">
        <f>Input!A16051</f>
        <v/>
      </c>
      <c r="B16051">
        <f>IF(ISNUMBER(Input!B16051),IF(AND(Input!B16051&gt;=20,Input!B16051&lt;=700),Input!B16051,""),"")</f>
        <v/>
      </c>
      <c r="C16051">
        <f>IF(B16051="","",INT(A16051))</f>
        <v/>
      </c>
      <c r="D16051">
        <f>IF(B16051="","",HOUR(A16051))</f>
        <v/>
      </c>
    </row>
    <row r="16052">
      <c r="A16052">
        <f>Input!A16052</f>
        <v/>
      </c>
      <c r="B16052">
        <f>IF(ISNUMBER(Input!B16052),IF(AND(Input!B16052&gt;=20,Input!B16052&lt;=700),Input!B16052,""),"")</f>
        <v/>
      </c>
      <c r="C16052">
        <f>IF(B16052="","",INT(A16052))</f>
        <v/>
      </c>
      <c r="D16052">
        <f>IF(B16052="","",HOUR(A16052))</f>
        <v/>
      </c>
    </row>
    <row r="16053">
      <c r="A16053">
        <f>Input!A16053</f>
        <v/>
      </c>
      <c r="B16053">
        <f>IF(ISNUMBER(Input!B16053),IF(AND(Input!B16053&gt;=20,Input!B16053&lt;=700),Input!B16053,""),"")</f>
        <v/>
      </c>
      <c r="C16053">
        <f>IF(B16053="","",INT(A16053))</f>
        <v/>
      </c>
      <c r="D16053">
        <f>IF(B16053="","",HOUR(A16053))</f>
        <v/>
      </c>
    </row>
    <row r="16054">
      <c r="A16054">
        <f>Input!A16054</f>
        <v/>
      </c>
      <c r="B16054">
        <f>IF(ISNUMBER(Input!B16054),IF(AND(Input!B16054&gt;=20,Input!B16054&lt;=700),Input!B16054,""),"")</f>
        <v/>
      </c>
      <c r="C16054">
        <f>IF(B16054="","",INT(A16054))</f>
        <v/>
      </c>
      <c r="D16054">
        <f>IF(B16054="","",HOUR(A16054))</f>
        <v/>
      </c>
    </row>
    <row r="16055">
      <c r="A16055">
        <f>Input!A16055</f>
        <v/>
      </c>
      <c r="B16055">
        <f>IF(ISNUMBER(Input!B16055),IF(AND(Input!B16055&gt;=20,Input!B16055&lt;=700),Input!B16055,""),"")</f>
        <v/>
      </c>
      <c r="C16055">
        <f>IF(B16055="","",INT(A16055))</f>
        <v/>
      </c>
      <c r="D16055">
        <f>IF(B16055="","",HOUR(A16055))</f>
        <v/>
      </c>
    </row>
    <row r="16056">
      <c r="A16056">
        <f>Input!A16056</f>
        <v/>
      </c>
      <c r="B16056">
        <f>IF(ISNUMBER(Input!B16056),IF(AND(Input!B16056&gt;=20,Input!B16056&lt;=700),Input!B16056,""),"")</f>
        <v/>
      </c>
      <c r="C16056">
        <f>IF(B16056="","",INT(A16056))</f>
        <v/>
      </c>
      <c r="D16056">
        <f>IF(B16056="","",HOUR(A16056))</f>
        <v/>
      </c>
    </row>
    <row r="16057">
      <c r="A16057">
        <f>Input!A16057</f>
        <v/>
      </c>
      <c r="B16057">
        <f>IF(ISNUMBER(Input!B16057),IF(AND(Input!B16057&gt;=20,Input!B16057&lt;=700),Input!B16057,""),"")</f>
        <v/>
      </c>
      <c r="C16057">
        <f>IF(B16057="","",INT(A16057))</f>
        <v/>
      </c>
      <c r="D16057">
        <f>IF(B16057="","",HOUR(A16057))</f>
        <v/>
      </c>
    </row>
    <row r="16058">
      <c r="A16058">
        <f>Input!A16058</f>
        <v/>
      </c>
      <c r="B16058">
        <f>IF(ISNUMBER(Input!B16058),IF(AND(Input!B16058&gt;=20,Input!B16058&lt;=700),Input!B16058,""),"")</f>
        <v/>
      </c>
      <c r="C16058">
        <f>IF(B16058="","",INT(A16058))</f>
        <v/>
      </c>
      <c r="D16058">
        <f>IF(B16058="","",HOUR(A16058))</f>
        <v/>
      </c>
    </row>
    <row r="16059">
      <c r="A16059">
        <f>Input!A16059</f>
        <v/>
      </c>
      <c r="B16059">
        <f>IF(ISNUMBER(Input!B16059),IF(AND(Input!B16059&gt;=20,Input!B16059&lt;=700),Input!B16059,""),"")</f>
        <v/>
      </c>
      <c r="C16059">
        <f>IF(B16059="","",INT(A16059))</f>
        <v/>
      </c>
      <c r="D16059">
        <f>IF(B16059="","",HOUR(A16059))</f>
        <v/>
      </c>
    </row>
    <row r="16060">
      <c r="A16060">
        <f>Input!A16060</f>
        <v/>
      </c>
      <c r="B16060">
        <f>IF(ISNUMBER(Input!B16060),IF(AND(Input!B16060&gt;=20,Input!B16060&lt;=700),Input!B16060,""),"")</f>
        <v/>
      </c>
      <c r="C16060">
        <f>IF(B16060="","",INT(A16060))</f>
        <v/>
      </c>
      <c r="D16060">
        <f>IF(B16060="","",HOUR(A16060))</f>
        <v/>
      </c>
    </row>
    <row r="16061">
      <c r="A16061">
        <f>Input!A16061</f>
        <v/>
      </c>
      <c r="B16061">
        <f>IF(ISNUMBER(Input!B16061),IF(AND(Input!B16061&gt;=20,Input!B16061&lt;=700),Input!B16061,""),"")</f>
        <v/>
      </c>
      <c r="C16061">
        <f>IF(B16061="","",INT(A16061))</f>
        <v/>
      </c>
      <c r="D16061">
        <f>IF(B16061="","",HOUR(A16061))</f>
        <v/>
      </c>
    </row>
    <row r="16062">
      <c r="A16062">
        <f>Input!A16062</f>
        <v/>
      </c>
      <c r="B16062">
        <f>IF(ISNUMBER(Input!B16062),IF(AND(Input!B16062&gt;=20,Input!B16062&lt;=700),Input!B16062,""),"")</f>
        <v/>
      </c>
      <c r="C16062">
        <f>IF(B16062="","",INT(A16062))</f>
        <v/>
      </c>
      <c r="D16062">
        <f>IF(B16062="","",HOUR(A16062))</f>
        <v/>
      </c>
    </row>
    <row r="16063">
      <c r="A16063">
        <f>Input!A16063</f>
        <v/>
      </c>
      <c r="B16063">
        <f>IF(ISNUMBER(Input!B16063),IF(AND(Input!B16063&gt;=20,Input!B16063&lt;=700),Input!B16063,""),"")</f>
        <v/>
      </c>
      <c r="C16063">
        <f>IF(B16063="","",INT(A16063))</f>
        <v/>
      </c>
      <c r="D16063">
        <f>IF(B16063="","",HOUR(A16063))</f>
        <v/>
      </c>
    </row>
    <row r="16064">
      <c r="A16064">
        <f>Input!A16064</f>
        <v/>
      </c>
      <c r="B16064">
        <f>IF(ISNUMBER(Input!B16064),IF(AND(Input!B16064&gt;=20,Input!B16064&lt;=700),Input!B16064,""),"")</f>
        <v/>
      </c>
      <c r="C16064">
        <f>IF(B16064="","",INT(A16064))</f>
        <v/>
      </c>
      <c r="D16064">
        <f>IF(B16064="","",HOUR(A16064))</f>
        <v/>
      </c>
    </row>
    <row r="16065">
      <c r="A16065">
        <f>Input!A16065</f>
        <v/>
      </c>
      <c r="B16065">
        <f>IF(ISNUMBER(Input!B16065),IF(AND(Input!B16065&gt;=20,Input!B16065&lt;=700),Input!B16065,""),"")</f>
        <v/>
      </c>
      <c r="C16065">
        <f>IF(B16065="","",INT(A16065))</f>
        <v/>
      </c>
      <c r="D16065">
        <f>IF(B16065="","",HOUR(A16065))</f>
        <v/>
      </c>
    </row>
    <row r="16066">
      <c r="A16066">
        <f>Input!A16066</f>
        <v/>
      </c>
      <c r="B16066">
        <f>IF(ISNUMBER(Input!B16066),IF(AND(Input!B16066&gt;=20,Input!B16066&lt;=700),Input!B16066,""),"")</f>
        <v/>
      </c>
      <c r="C16066">
        <f>IF(B16066="","",INT(A16066))</f>
        <v/>
      </c>
      <c r="D16066">
        <f>IF(B16066="","",HOUR(A16066))</f>
        <v/>
      </c>
    </row>
    <row r="16067">
      <c r="A16067">
        <f>Input!A16067</f>
        <v/>
      </c>
      <c r="B16067">
        <f>IF(ISNUMBER(Input!B16067),IF(AND(Input!B16067&gt;=20,Input!B16067&lt;=700),Input!B16067,""),"")</f>
        <v/>
      </c>
      <c r="C16067">
        <f>IF(B16067="","",INT(A16067))</f>
        <v/>
      </c>
      <c r="D16067">
        <f>IF(B16067="","",HOUR(A16067))</f>
        <v/>
      </c>
    </row>
    <row r="16068">
      <c r="A16068">
        <f>Input!A16068</f>
        <v/>
      </c>
      <c r="B16068">
        <f>IF(ISNUMBER(Input!B16068),IF(AND(Input!B16068&gt;=20,Input!B16068&lt;=700),Input!B16068,""),"")</f>
        <v/>
      </c>
      <c r="C16068">
        <f>IF(B16068="","",INT(A16068))</f>
        <v/>
      </c>
      <c r="D16068">
        <f>IF(B16068="","",HOUR(A16068))</f>
        <v/>
      </c>
    </row>
    <row r="16069">
      <c r="A16069">
        <f>Input!A16069</f>
        <v/>
      </c>
      <c r="B16069">
        <f>IF(ISNUMBER(Input!B16069),IF(AND(Input!B16069&gt;=20,Input!B16069&lt;=700),Input!B16069,""),"")</f>
        <v/>
      </c>
      <c r="C16069">
        <f>IF(B16069="","",INT(A16069))</f>
        <v/>
      </c>
      <c r="D16069">
        <f>IF(B16069="","",HOUR(A16069))</f>
        <v/>
      </c>
    </row>
    <row r="16070">
      <c r="A16070">
        <f>Input!A16070</f>
        <v/>
      </c>
      <c r="B16070">
        <f>IF(ISNUMBER(Input!B16070),IF(AND(Input!B16070&gt;=20,Input!B16070&lt;=700),Input!B16070,""),"")</f>
        <v/>
      </c>
      <c r="C16070">
        <f>IF(B16070="","",INT(A16070))</f>
        <v/>
      </c>
      <c r="D16070">
        <f>IF(B16070="","",HOUR(A16070))</f>
        <v/>
      </c>
    </row>
    <row r="16071">
      <c r="A16071">
        <f>Input!A16071</f>
        <v/>
      </c>
      <c r="B16071">
        <f>IF(ISNUMBER(Input!B16071),IF(AND(Input!B16071&gt;=20,Input!B16071&lt;=700),Input!B16071,""),"")</f>
        <v/>
      </c>
      <c r="C16071">
        <f>IF(B16071="","",INT(A16071))</f>
        <v/>
      </c>
      <c r="D16071">
        <f>IF(B16071="","",HOUR(A16071))</f>
        <v/>
      </c>
    </row>
    <row r="16072">
      <c r="A16072">
        <f>Input!A16072</f>
        <v/>
      </c>
      <c r="B16072">
        <f>IF(ISNUMBER(Input!B16072),IF(AND(Input!B16072&gt;=20,Input!B16072&lt;=700),Input!B16072,""),"")</f>
        <v/>
      </c>
      <c r="C16072">
        <f>IF(B16072="","",INT(A16072))</f>
        <v/>
      </c>
      <c r="D16072">
        <f>IF(B16072="","",HOUR(A16072))</f>
        <v/>
      </c>
    </row>
    <row r="16073">
      <c r="A16073">
        <f>Input!A16073</f>
        <v/>
      </c>
      <c r="B16073">
        <f>IF(ISNUMBER(Input!B16073),IF(AND(Input!B16073&gt;=20,Input!B16073&lt;=700),Input!B16073,""),"")</f>
        <v/>
      </c>
      <c r="C16073">
        <f>IF(B16073="","",INT(A16073))</f>
        <v/>
      </c>
      <c r="D16073">
        <f>IF(B16073="","",HOUR(A16073))</f>
        <v/>
      </c>
    </row>
    <row r="16074">
      <c r="A16074">
        <f>Input!A16074</f>
        <v/>
      </c>
      <c r="B16074">
        <f>IF(ISNUMBER(Input!B16074),IF(AND(Input!B16074&gt;=20,Input!B16074&lt;=700),Input!B16074,""),"")</f>
        <v/>
      </c>
      <c r="C16074">
        <f>IF(B16074="","",INT(A16074))</f>
        <v/>
      </c>
      <c r="D16074">
        <f>IF(B16074="","",HOUR(A16074))</f>
        <v/>
      </c>
    </row>
    <row r="16075">
      <c r="A16075">
        <f>Input!A16075</f>
        <v/>
      </c>
      <c r="B16075">
        <f>IF(ISNUMBER(Input!B16075),IF(AND(Input!B16075&gt;=20,Input!B16075&lt;=700),Input!B16075,""),"")</f>
        <v/>
      </c>
      <c r="C16075">
        <f>IF(B16075="","",INT(A16075))</f>
        <v/>
      </c>
      <c r="D16075">
        <f>IF(B16075="","",HOUR(A16075))</f>
        <v/>
      </c>
    </row>
    <row r="16076">
      <c r="A16076">
        <f>Input!A16076</f>
        <v/>
      </c>
      <c r="B16076">
        <f>IF(ISNUMBER(Input!B16076),IF(AND(Input!B16076&gt;=20,Input!B16076&lt;=700),Input!B16076,""),"")</f>
        <v/>
      </c>
      <c r="C16076">
        <f>IF(B16076="","",INT(A16076))</f>
        <v/>
      </c>
      <c r="D16076">
        <f>IF(B16076="","",HOUR(A16076))</f>
        <v/>
      </c>
    </row>
    <row r="16077">
      <c r="A16077">
        <f>Input!A16077</f>
        <v/>
      </c>
      <c r="B16077">
        <f>IF(ISNUMBER(Input!B16077),IF(AND(Input!B16077&gt;=20,Input!B16077&lt;=700),Input!B16077,""),"")</f>
        <v/>
      </c>
      <c r="C16077">
        <f>IF(B16077="","",INT(A16077))</f>
        <v/>
      </c>
      <c r="D16077">
        <f>IF(B16077="","",HOUR(A16077))</f>
        <v/>
      </c>
    </row>
    <row r="16078">
      <c r="A16078">
        <f>Input!A16078</f>
        <v/>
      </c>
      <c r="B16078">
        <f>IF(ISNUMBER(Input!B16078),IF(AND(Input!B16078&gt;=20,Input!B16078&lt;=700),Input!B16078,""),"")</f>
        <v/>
      </c>
      <c r="C16078">
        <f>IF(B16078="","",INT(A16078))</f>
        <v/>
      </c>
      <c r="D16078">
        <f>IF(B16078="","",HOUR(A16078))</f>
        <v/>
      </c>
    </row>
    <row r="16079">
      <c r="A16079">
        <f>Input!A16079</f>
        <v/>
      </c>
      <c r="B16079">
        <f>IF(ISNUMBER(Input!B16079),IF(AND(Input!B16079&gt;=20,Input!B16079&lt;=700),Input!B16079,""),"")</f>
        <v/>
      </c>
      <c r="C16079">
        <f>IF(B16079="","",INT(A16079))</f>
        <v/>
      </c>
      <c r="D16079">
        <f>IF(B16079="","",HOUR(A16079))</f>
        <v/>
      </c>
    </row>
    <row r="16080">
      <c r="A16080">
        <f>Input!A16080</f>
        <v/>
      </c>
      <c r="B16080">
        <f>IF(ISNUMBER(Input!B16080),IF(AND(Input!B16080&gt;=20,Input!B16080&lt;=700),Input!B16080,""),"")</f>
        <v/>
      </c>
      <c r="C16080">
        <f>IF(B16080="","",INT(A16080))</f>
        <v/>
      </c>
      <c r="D16080">
        <f>IF(B16080="","",HOUR(A16080))</f>
        <v/>
      </c>
    </row>
    <row r="16081">
      <c r="A16081">
        <f>Input!A16081</f>
        <v/>
      </c>
      <c r="B16081">
        <f>IF(ISNUMBER(Input!B16081),IF(AND(Input!B16081&gt;=20,Input!B16081&lt;=700),Input!B16081,""),"")</f>
        <v/>
      </c>
      <c r="C16081">
        <f>IF(B16081="","",INT(A16081))</f>
        <v/>
      </c>
      <c r="D16081">
        <f>IF(B16081="","",HOUR(A16081))</f>
        <v/>
      </c>
    </row>
    <row r="16082">
      <c r="A16082">
        <f>Input!A16082</f>
        <v/>
      </c>
      <c r="B16082">
        <f>IF(ISNUMBER(Input!B16082),IF(AND(Input!B16082&gt;=20,Input!B16082&lt;=700),Input!B16082,""),"")</f>
        <v/>
      </c>
      <c r="C16082">
        <f>IF(B16082="","",INT(A16082))</f>
        <v/>
      </c>
      <c r="D16082">
        <f>IF(B16082="","",HOUR(A16082))</f>
        <v/>
      </c>
    </row>
    <row r="16083">
      <c r="A16083">
        <f>Input!A16083</f>
        <v/>
      </c>
      <c r="B16083">
        <f>IF(ISNUMBER(Input!B16083),IF(AND(Input!B16083&gt;=20,Input!B16083&lt;=700),Input!B16083,""),"")</f>
        <v/>
      </c>
      <c r="C16083">
        <f>IF(B16083="","",INT(A16083))</f>
        <v/>
      </c>
      <c r="D16083">
        <f>IF(B16083="","",HOUR(A16083))</f>
        <v/>
      </c>
    </row>
    <row r="16084">
      <c r="A16084">
        <f>Input!A16084</f>
        <v/>
      </c>
      <c r="B16084">
        <f>IF(ISNUMBER(Input!B16084),IF(AND(Input!B16084&gt;=20,Input!B16084&lt;=700),Input!B16084,""),"")</f>
        <v/>
      </c>
      <c r="C16084">
        <f>IF(B16084="","",INT(A16084))</f>
        <v/>
      </c>
      <c r="D16084">
        <f>IF(B16084="","",HOUR(A16084))</f>
        <v/>
      </c>
    </row>
    <row r="16085">
      <c r="A16085">
        <f>Input!A16085</f>
        <v/>
      </c>
      <c r="B16085">
        <f>IF(ISNUMBER(Input!B16085),IF(AND(Input!B16085&gt;=20,Input!B16085&lt;=700),Input!B16085,""),"")</f>
        <v/>
      </c>
      <c r="C16085">
        <f>IF(B16085="","",INT(A16085))</f>
        <v/>
      </c>
      <c r="D16085">
        <f>IF(B16085="","",HOUR(A16085))</f>
        <v/>
      </c>
    </row>
    <row r="16086">
      <c r="A16086">
        <f>Input!A16086</f>
        <v/>
      </c>
      <c r="B16086">
        <f>IF(ISNUMBER(Input!B16086),IF(AND(Input!B16086&gt;=20,Input!B16086&lt;=700),Input!B16086,""),"")</f>
        <v/>
      </c>
      <c r="C16086">
        <f>IF(B16086="","",INT(A16086))</f>
        <v/>
      </c>
      <c r="D16086">
        <f>IF(B16086="","",HOUR(A16086))</f>
        <v/>
      </c>
    </row>
    <row r="16087">
      <c r="A16087">
        <f>Input!A16087</f>
        <v/>
      </c>
      <c r="B16087">
        <f>IF(ISNUMBER(Input!B16087),IF(AND(Input!B16087&gt;=20,Input!B16087&lt;=700),Input!B16087,""),"")</f>
        <v/>
      </c>
      <c r="C16087">
        <f>IF(B16087="","",INT(A16087))</f>
        <v/>
      </c>
      <c r="D16087">
        <f>IF(B16087="","",HOUR(A16087))</f>
        <v/>
      </c>
    </row>
    <row r="16088">
      <c r="A16088">
        <f>Input!A16088</f>
        <v/>
      </c>
      <c r="B16088">
        <f>IF(ISNUMBER(Input!B16088),IF(AND(Input!B16088&gt;=20,Input!B16088&lt;=700),Input!B16088,""),"")</f>
        <v/>
      </c>
      <c r="C16088">
        <f>IF(B16088="","",INT(A16088))</f>
        <v/>
      </c>
      <c r="D16088">
        <f>IF(B16088="","",HOUR(A16088))</f>
        <v/>
      </c>
    </row>
    <row r="16089">
      <c r="A16089">
        <f>Input!A16089</f>
        <v/>
      </c>
      <c r="B16089">
        <f>IF(ISNUMBER(Input!B16089),IF(AND(Input!B16089&gt;=20,Input!B16089&lt;=700),Input!B16089,""),"")</f>
        <v/>
      </c>
      <c r="C16089">
        <f>IF(B16089="","",INT(A16089))</f>
        <v/>
      </c>
      <c r="D16089">
        <f>IF(B16089="","",HOUR(A16089))</f>
        <v/>
      </c>
    </row>
    <row r="16090">
      <c r="A16090">
        <f>Input!A16090</f>
        <v/>
      </c>
      <c r="B16090">
        <f>IF(ISNUMBER(Input!B16090),IF(AND(Input!B16090&gt;=20,Input!B16090&lt;=700),Input!B16090,""),"")</f>
        <v/>
      </c>
      <c r="C16090">
        <f>IF(B16090="","",INT(A16090))</f>
        <v/>
      </c>
      <c r="D16090">
        <f>IF(B16090="","",HOUR(A16090))</f>
        <v/>
      </c>
    </row>
    <row r="16091">
      <c r="A16091">
        <f>Input!A16091</f>
        <v/>
      </c>
      <c r="B16091">
        <f>IF(ISNUMBER(Input!B16091),IF(AND(Input!B16091&gt;=20,Input!B16091&lt;=700),Input!B16091,""),"")</f>
        <v/>
      </c>
      <c r="C16091">
        <f>IF(B16091="","",INT(A16091))</f>
        <v/>
      </c>
      <c r="D16091">
        <f>IF(B16091="","",HOUR(A16091))</f>
        <v/>
      </c>
    </row>
    <row r="16092">
      <c r="A16092">
        <f>Input!A16092</f>
        <v/>
      </c>
      <c r="B16092">
        <f>IF(ISNUMBER(Input!B16092),IF(AND(Input!B16092&gt;=20,Input!B16092&lt;=700),Input!B16092,""),"")</f>
        <v/>
      </c>
      <c r="C16092">
        <f>IF(B16092="","",INT(A16092))</f>
        <v/>
      </c>
      <c r="D16092">
        <f>IF(B16092="","",HOUR(A16092))</f>
        <v/>
      </c>
    </row>
    <row r="16093">
      <c r="A16093">
        <f>Input!A16093</f>
        <v/>
      </c>
      <c r="B16093">
        <f>IF(ISNUMBER(Input!B16093),IF(AND(Input!B16093&gt;=20,Input!B16093&lt;=700),Input!B16093,""),"")</f>
        <v/>
      </c>
      <c r="C16093">
        <f>IF(B16093="","",INT(A16093))</f>
        <v/>
      </c>
      <c r="D16093">
        <f>IF(B16093="","",HOUR(A16093))</f>
        <v/>
      </c>
    </row>
    <row r="16094">
      <c r="A16094">
        <f>Input!A16094</f>
        <v/>
      </c>
      <c r="B16094">
        <f>IF(ISNUMBER(Input!B16094),IF(AND(Input!B16094&gt;=20,Input!B16094&lt;=700),Input!B16094,""),"")</f>
        <v/>
      </c>
      <c r="C16094">
        <f>IF(B16094="","",INT(A16094))</f>
        <v/>
      </c>
      <c r="D16094">
        <f>IF(B16094="","",HOUR(A16094))</f>
        <v/>
      </c>
    </row>
    <row r="16095">
      <c r="A16095">
        <f>Input!A16095</f>
        <v/>
      </c>
      <c r="B16095">
        <f>IF(ISNUMBER(Input!B16095),IF(AND(Input!B16095&gt;=20,Input!B16095&lt;=700),Input!B16095,""),"")</f>
        <v/>
      </c>
      <c r="C16095">
        <f>IF(B16095="","",INT(A16095))</f>
        <v/>
      </c>
      <c r="D16095">
        <f>IF(B16095="","",HOUR(A16095))</f>
        <v/>
      </c>
    </row>
    <row r="16096">
      <c r="A16096">
        <f>Input!A16096</f>
        <v/>
      </c>
      <c r="B16096">
        <f>IF(ISNUMBER(Input!B16096),IF(AND(Input!B16096&gt;=20,Input!B16096&lt;=700),Input!B16096,""),"")</f>
        <v/>
      </c>
      <c r="C16096">
        <f>IF(B16096="","",INT(A16096))</f>
        <v/>
      </c>
      <c r="D16096">
        <f>IF(B16096="","",HOUR(A16096))</f>
        <v/>
      </c>
    </row>
    <row r="16097">
      <c r="A16097">
        <f>Input!A16097</f>
        <v/>
      </c>
      <c r="B16097">
        <f>IF(ISNUMBER(Input!B16097),IF(AND(Input!B16097&gt;=20,Input!B16097&lt;=700),Input!B16097,""),"")</f>
        <v/>
      </c>
      <c r="C16097">
        <f>IF(B16097="","",INT(A16097))</f>
        <v/>
      </c>
      <c r="D16097">
        <f>IF(B16097="","",HOUR(A16097))</f>
        <v/>
      </c>
    </row>
    <row r="16098">
      <c r="A16098">
        <f>Input!A16098</f>
        <v/>
      </c>
      <c r="B16098">
        <f>IF(ISNUMBER(Input!B16098),IF(AND(Input!B16098&gt;=20,Input!B16098&lt;=700),Input!B16098,""),"")</f>
        <v/>
      </c>
      <c r="C16098">
        <f>IF(B16098="","",INT(A16098))</f>
        <v/>
      </c>
      <c r="D16098">
        <f>IF(B16098="","",HOUR(A16098))</f>
        <v/>
      </c>
    </row>
    <row r="16099">
      <c r="A16099">
        <f>Input!A16099</f>
        <v/>
      </c>
      <c r="B16099">
        <f>IF(ISNUMBER(Input!B16099),IF(AND(Input!B16099&gt;=20,Input!B16099&lt;=700),Input!B16099,""),"")</f>
        <v/>
      </c>
      <c r="C16099">
        <f>IF(B16099="","",INT(A16099))</f>
        <v/>
      </c>
      <c r="D16099">
        <f>IF(B16099="","",HOUR(A16099))</f>
        <v/>
      </c>
    </row>
    <row r="16100">
      <c r="A16100">
        <f>Input!A16100</f>
        <v/>
      </c>
      <c r="B16100">
        <f>IF(ISNUMBER(Input!B16100),IF(AND(Input!B16100&gt;=20,Input!B16100&lt;=700),Input!B16100,""),"")</f>
        <v/>
      </c>
      <c r="C16100">
        <f>IF(B16100="","",INT(A16100))</f>
        <v/>
      </c>
      <c r="D16100">
        <f>IF(B16100="","",HOUR(A16100))</f>
        <v/>
      </c>
    </row>
    <row r="16101">
      <c r="A16101">
        <f>Input!A16101</f>
        <v/>
      </c>
      <c r="B16101">
        <f>IF(ISNUMBER(Input!B16101),IF(AND(Input!B16101&gt;=20,Input!B16101&lt;=700),Input!B16101,""),"")</f>
        <v/>
      </c>
      <c r="C16101">
        <f>IF(B16101="","",INT(A16101))</f>
        <v/>
      </c>
      <c r="D16101">
        <f>IF(B16101="","",HOUR(A16101))</f>
        <v/>
      </c>
    </row>
    <row r="16102">
      <c r="A16102">
        <f>Input!A16102</f>
        <v/>
      </c>
      <c r="B16102">
        <f>IF(ISNUMBER(Input!B16102),IF(AND(Input!B16102&gt;=20,Input!B16102&lt;=700),Input!B16102,""),"")</f>
        <v/>
      </c>
      <c r="C16102">
        <f>IF(B16102="","",INT(A16102))</f>
        <v/>
      </c>
      <c r="D16102">
        <f>IF(B16102="","",HOUR(A16102))</f>
        <v/>
      </c>
    </row>
    <row r="16103">
      <c r="A16103">
        <f>Input!A16103</f>
        <v/>
      </c>
      <c r="B16103">
        <f>IF(ISNUMBER(Input!B16103),IF(AND(Input!B16103&gt;=20,Input!B16103&lt;=700),Input!B16103,""),"")</f>
        <v/>
      </c>
      <c r="C16103">
        <f>IF(B16103="","",INT(A16103))</f>
        <v/>
      </c>
      <c r="D16103">
        <f>IF(B16103="","",HOUR(A16103))</f>
        <v/>
      </c>
    </row>
    <row r="16104">
      <c r="A16104">
        <f>Input!A16104</f>
        <v/>
      </c>
      <c r="B16104">
        <f>IF(ISNUMBER(Input!B16104),IF(AND(Input!B16104&gt;=20,Input!B16104&lt;=700),Input!B16104,""),"")</f>
        <v/>
      </c>
      <c r="C16104">
        <f>IF(B16104="","",INT(A16104))</f>
        <v/>
      </c>
      <c r="D16104">
        <f>IF(B16104="","",HOUR(A16104))</f>
        <v/>
      </c>
    </row>
    <row r="16105">
      <c r="A16105">
        <f>Input!A16105</f>
        <v/>
      </c>
      <c r="B16105">
        <f>IF(ISNUMBER(Input!B16105),IF(AND(Input!B16105&gt;=20,Input!B16105&lt;=700),Input!B16105,""),"")</f>
        <v/>
      </c>
      <c r="C16105">
        <f>IF(B16105="","",INT(A16105))</f>
        <v/>
      </c>
      <c r="D16105">
        <f>IF(B16105="","",HOUR(A16105))</f>
        <v/>
      </c>
    </row>
    <row r="16106">
      <c r="A16106">
        <f>Input!A16106</f>
        <v/>
      </c>
      <c r="B16106">
        <f>IF(ISNUMBER(Input!B16106),IF(AND(Input!B16106&gt;=20,Input!B16106&lt;=700),Input!B16106,""),"")</f>
        <v/>
      </c>
      <c r="C16106">
        <f>IF(B16106="","",INT(A16106))</f>
        <v/>
      </c>
      <c r="D16106">
        <f>IF(B16106="","",HOUR(A16106))</f>
        <v/>
      </c>
    </row>
    <row r="16107">
      <c r="A16107">
        <f>Input!A16107</f>
        <v/>
      </c>
      <c r="B16107">
        <f>IF(ISNUMBER(Input!B16107),IF(AND(Input!B16107&gt;=20,Input!B16107&lt;=700),Input!B16107,""),"")</f>
        <v/>
      </c>
      <c r="C16107">
        <f>IF(B16107="","",INT(A16107))</f>
        <v/>
      </c>
      <c r="D16107">
        <f>IF(B16107="","",HOUR(A16107))</f>
        <v/>
      </c>
    </row>
    <row r="16108">
      <c r="A16108">
        <f>Input!A16108</f>
        <v/>
      </c>
      <c r="B16108">
        <f>IF(ISNUMBER(Input!B16108),IF(AND(Input!B16108&gt;=20,Input!B16108&lt;=700),Input!B16108,""),"")</f>
        <v/>
      </c>
      <c r="C16108">
        <f>IF(B16108="","",INT(A16108))</f>
        <v/>
      </c>
      <c r="D16108">
        <f>IF(B16108="","",HOUR(A16108))</f>
        <v/>
      </c>
    </row>
    <row r="16109">
      <c r="A16109">
        <f>Input!A16109</f>
        <v/>
      </c>
      <c r="B16109">
        <f>IF(ISNUMBER(Input!B16109),IF(AND(Input!B16109&gt;=20,Input!B16109&lt;=700),Input!B16109,""),"")</f>
        <v/>
      </c>
      <c r="C16109">
        <f>IF(B16109="","",INT(A16109))</f>
        <v/>
      </c>
      <c r="D16109">
        <f>IF(B16109="","",HOUR(A16109))</f>
        <v/>
      </c>
    </row>
    <row r="16110">
      <c r="A16110">
        <f>Input!A16110</f>
        <v/>
      </c>
      <c r="B16110">
        <f>IF(ISNUMBER(Input!B16110),IF(AND(Input!B16110&gt;=20,Input!B16110&lt;=700),Input!B16110,""),"")</f>
        <v/>
      </c>
      <c r="C16110">
        <f>IF(B16110="","",INT(A16110))</f>
        <v/>
      </c>
      <c r="D16110">
        <f>IF(B16110="","",HOUR(A16110))</f>
        <v/>
      </c>
    </row>
    <row r="16111">
      <c r="A16111">
        <f>Input!A16111</f>
        <v/>
      </c>
      <c r="B16111">
        <f>IF(ISNUMBER(Input!B16111),IF(AND(Input!B16111&gt;=20,Input!B16111&lt;=700),Input!B16111,""),"")</f>
        <v/>
      </c>
      <c r="C16111">
        <f>IF(B16111="","",INT(A16111))</f>
        <v/>
      </c>
      <c r="D16111">
        <f>IF(B16111="","",HOUR(A16111))</f>
        <v/>
      </c>
    </row>
    <row r="16112">
      <c r="A16112">
        <f>Input!A16112</f>
        <v/>
      </c>
      <c r="B16112">
        <f>IF(ISNUMBER(Input!B16112),IF(AND(Input!B16112&gt;=20,Input!B16112&lt;=700),Input!B16112,""),"")</f>
        <v/>
      </c>
      <c r="C16112">
        <f>IF(B16112="","",INT(A16112))</f>
        <v/>
      </c>
      <c r="D16112">
        <f>IF(B16112="","",HOUR(A16112))</f>
        <v/>
      </c>
    </row>
    <row r="16113">
      <c r="A16113">
        <f>Input!A16113</f>
        <v/>
      </c>
      <c r="B16113">
        <f>IF(ISNUMBER(Input!B16113),IF(AND(Input!B16113&gt;=20,Input!B16113&lt;=700),Input!B16113,""),"")</f>
        <v/>
      </c>
      <c r="C16113">
        <f>IF(B16113="","",INT(A16113))</f>
        <v/>
      </c>
      <c r="D16113">
        <f>IF(B16113="","",HOUR(A16113))</f>
        <v/>
      </c>
    </row>
    <row r="16114">
      <c r="A16114">
        <f>Input!A16114</f>
        <v/>
      </c>
      <c r="B16114">
        <f>IF(ISNUMBER(Input!B16114),IF(AND(Input!B16114&gt;=20,Input!B16114&lt;=700),Input!B16114,""),"")</f>
        <v/>
      </c>
      <c r="C16114">
        <f>IF(B16114="","",INT(A16114))</f>
        <v/>
      </c>
      <c r="D16114">
        <f>IF(B16114="","",HOUR(A16114))</f>
        <v/>
      </c>
    </row>
    <row r="16115">
      <c r="A16115">
        <f>Input!A16115</f>
        <v/>
      </c>
      <c r="B16115">
        <f>IF(ISNUMBER(Input!B16115),IF(AND(Input!B16115&gt;=20,Input!B16115&lt;=700),Input!B16115,""),"")</f>
        <v/>
      </c>
      <c r="C16115">
        <f>IF(B16115="","",INT(A16115))</f>
        <v/>
      </c>
      <c r="D16115">
        <f>IF(B16115="","",HOUR(A16115))</f>
        <v/>
      </c>
    </row>
    <row r="16116">
      <c r="A16116">
        <f>Input!A16116</f>
        <v/>
      </c>
      <c r="B16116">
        <f>IF(ISNUMBER(Input!B16116),IF(AND(Input!B16116&gt;=20,Input!B16116&lt;=700),Input!B16116,""),"")</f>
        <v/>
      </c>
      <c r="C16116">
        <f>IF(B16116="","",INT(A16116))</f>
        <v/>
      </c>
      <c r="D16116">
        <f>IF(B16116="","",HOUR(A16116))</f>
        <v/>
      </c>
    </row>
    <row r="16117">
      <c r="A16117">
        <f>Input!A16117</f>
        <v/>
      </c>
      <c r="B16117">
        <f>IF(ISNUMBER(Input!B16117),IF(AND(Input!B16117&gt;=20,Input!B16117&lt;=700),Input!B16117,""),"")</f>
        <v/>
      </c>
      <c r="C16117">
        <f>IF(B16117="","",INT(A16117))</f>
        <v/>
      </c>
      <c r="D16117">
        <f>IF(B16117="","",HOUR(A16117))</f>
        <v/>
      </c>
    </row>
    <row r="16118">
      <c r="A16118">
        <f>Input!A16118</f>
        <v/>
      </c>
      <c r="B16118">
        <f>IF(ISNUMBER(Input!B16118),IF(AND(Input!B16118&gt;=20,Input!B16118&lt;=700),Input!B16118,""),"")</f>
        <v/>
      </c>
      <c r="C16118">
        <f>IF(B16118="","",INT(A16118))</f>
        <v/>
      </c>
      <c r="D16118">
        <f>IF(B16118="","",HOUR(A16118))</f>
        <v/>
      </c>
    </row>
    <row r="16119">
      <c r="A16119">
        <f>Input!A16119</f>
        <v/>
      </c>
      <c r="B16119">
        <f>IF(ISNUMBER(Input!B16119),IF(AND(Input!B16119&gt;=20,Input!B16119&lt;=700),Input!B16119,""),"")</f>
        <v/>
      </c>
      <c r="C16119">
        <f>IF(B16119="","",INT(A16119))</f>
        <v/>
      </c>
      <c r="D16119">
        <f>IF(B16119="","",HOUR(A16119))</f>
        <v/>
      </c>
    </row>
    <row r="16120">
      <c r="A16120">
        <f>Input!A16120</f>
        <v/>
      </c>
      <c r="B16120">
        <f>IF(ISNUMBER(Input!B16120),IF(AND(Input!B16120&gt;=20,Input!B16120&lt;=700),Input!B16120,""),"")</f>
        <v/>
      </c>
      <c r="C16120">
        <f>IF(B16120="","",INT(A16120))</f>
        <v/>
      </c>
      <c r="D16120">
        <f>IF(B16120="","",HOUR(A16120))</f>
        <v/>
      </c>
    </row>
    <row r="16121">
      <c r="A16121">
        <f>Input!A16121</f>
        <v/>
      </c>
      <c r="B16121">
        <f>IF(ISNUMBER(Input!B16121),IF(AND(Input!B16121&gt;=20,Input!B16121&lt;=700),Input!B16121,""),"")</f>
        <v/>
      </c>
      <c r="C16121">
        <f>IF(B16121="","",INT(A16121))</f>
        <v/>
      </c>
      <c r="D16121">
        <f>IF(B16121="","",HOUR(A16121))</f>
        <v/>
      </c>
    </row>
    <row r="16122">
      <c r="A16122">
        <f>Input!A16122</f>
        <v/>
      </c>
      <c r="B16122">
        <f>IF(ISNUMBER(Input!B16122),IF(AND(Input!B16122&gt;=20,Input!B16122&lt;=700),Input!B16122,""),"")</f>
        <v/>
      </c>
      <c r="C16122">
        <f>IF(B16122="","",INT(A16122))</f>
        <v/>
      </c>
      <c r="D16122">
        <f>IF(B16122="","",HOUR(A16122))</f>
        <v/>
      </c>
    </row>
    <row r="16123">
      <c r="A16123">
        <f>Input!A16123</f>
        <v/>
      </c>
      <c r="B16123">
        <f>IF(ISNUMBER(Input!B16123),IF(AND(Input!B16123&gt;=20,Input!B16123&lt;=700),Input!B16123,""),"")</f>
        <v/>
      </c>
      <c r="C16123">
        <f>IF(B16123="","",INT(A16123))</f>
        <v/>
      </c>
      <c r="D16123">
        <f>IF(B16123="","",HOUR(A16123))</f>
        <v/>
      </c>
    </row>
    <row r="16124">
      <c r="A16124">
        <f>Input!A16124</f>
        <v/>
      </c>
      <c r="B16124">
        <f>IF(ISNUMBER(Input!B16124),IF(AND(Input!B16124&gt;=20,Input!B16124&lt;=700),Input!B16124,""),"")</f>
        <v/>
      </c>
      <c r="C16124">
        <f>IF(B16124="","",INT(A16124))</f>
        <v/>
      </c>
      <c r="D16124">
        <f>IF(B16124="","",HOUR(A16124))</f>
        <v/>
      </c>
    </row>
    <row r="16125">
      <c r="A16125">
        <f>Input!A16125</f>
        <v/>
      </c>
      <c r="B16125">
        <f>IF(ISNUMBER(Input!B16125),IF(AND(Input!B16125&gt;=20,Input!B16125&lt;=700),Input!B16125,""),"")</f>
        <v/>
      </c>
      <c r="C16125">
        <f>IF(B16125="","",INT(A16125))</f>
        <v/>
      </c>
      <c r="D16125">
        <f>IF(B16125="","",HOUR(A16125))</f>
        <v/>
      </c>
    </row>
    <row r="16126">
      <c r="A16126">
        <f>Input!A16126</f>
        <v/>
      </c>
      <c r="B16126">
        <f>IF(ISNUMBER(Input!B16126),IF(AND(Input!B16126&gt;=20,Input!B16126&lt;=700),Input!B16126,""),"")</f>
        <v/>
      </c>
      <c r="C16126">
        <f>IF(B16126="","",INT(A16126))</f>
        <v/>
      </c>
      <c r="D16126">
        <f>IF(B16126="","",HOUR(A16126))</f>
        <v/>
      </c>
    </row>
    <row r="16127">
      <c r="A16127">
        <f>Input!A16127</f>
        <v/>
      </c>
      <c r="B16127">
        <f>IF(ISNUMBER(Input!B16127),IF(AND(Input!B16127&gt;=20,Input!B16127&lt;=700),Input!B16127,""),"")</f>
        <v/>
      </c>
      <c r="C16127">
        <f>IF(B16127="","",INT(A16127))</f>
        <v/>
      </c>
      <c r="D16127">
        <f>IF(B16127="","",HOUR(A16127))</f>
        <v/>
      </c>
    </row>
    <row r="16128">
      <c r="A16128">
        <f>Input!A16128</f>
        <v/>
      </c>
      <c r="B16128">
        <f>IF(ISNUMBER(Input!B16128),IF(AND(Input!B16128&gt;=20,Input!B16128&lt;=700),Input!B16128,""),"")</f>
        <v/>
      </c>
      <c r="C16128">
        <f>IF(B16128="","",INT(A16128))</f>
        <v/>
      </c>
      <c r="D16128">
        <f>IF(B16128="","",HOUR(A16128))</f>
        <v/>
      </c>
    </row>
    <row r="16129">
      <c r="A16129">
        <f>Input!A16129</f>
        <v/>
      </c>
      <c r="B16129">
        <f>IF(ISNUMBER(Input!B16129),IF(AND(Input!B16129&gt;=20,Input!B16129&lt;=700),Input!B16129,""),"")</f>
        <v/>
      </c>
      <c r="C16129">
        <f>IF(B16129="","",INT(A16129))</f>
        <v/>
      </c>
      <c r="D16129">
        <f>IF(B16129="","",HOUR(A16129))</f>
        <v/>
      </c>
    </row>
    <row r="16130">
      <c r="A16130">
        <f>Input!A16130</f>
        <v/>
      </c>
      <c r="B16130">
        <f>IF(ISNUMBER(Input!B16130),IF(AND(Input!B16130&gt;=20,Input!B16130&lt;=700),Input!B16130,""),"")</f>
        <v/>
      </c>
      <c r="C16130">
        <f>IF(B16130="","",INT(A16130))</f>
        <v/>
      </c>
      <c r="D16130">
        <f>IF(B16130="","",HOUR(A16130))</f>
        <v/>
      </c>
    </row>
    <row r="16131">
      <c r="A16131">
        <f>Input!A16131</f>
        <v/>
      </c>
      <c r="B16131">
        <f>IF(ISNUMBER(Input!B16131),IF(AND(Input!B16131&gt;=20,Input!B16131&lt;=700),Input!B16131,""),"")</f>
        <v/>
      </c>
      <c r="C16131">
        <f>IF(B16131="","",INT(A16131))</f>
        <v/>
      </c>
      <c r="D16131">
        <f>IF(B16131="","",HOUR(A16131))</f>
        <v/>
      </c>
    </row>
    <row r="16132">
      <c r="A16132">
        <f>Input!A16132</f>
        <v/>
      </c>
      <c r="B16132">
        <f>IF(ISNUMBER(Input!B16132),IF(AND(Input!B16132&gt;=20,Input!B16132&lt;=700),Input!B16132,""),"")</f>
        <v/>
      </c>
      <c r="C16132">
        <f>IF(B16132="","",INT(A16132))</f>
        <v/>
      </c>
      <c r="D16132">
        <f>IF(B16132="","",HOUR(A16132))</f>
        <v/>
      </c>
    </row>
    <row r="16133">
      <c r="A16133">
        <f>Input!A16133</f>
        <v/>
      </c>
      <c r="B16133">
        <f>IF(ISNUMBER(Input!B16133),IF(AND(Input!B16133&gt;=20,Input!B16133&lt;=700),Input!B16133,""),"")</f>
        <v/>
      </c>
      <c r="C16133">
        <f>IF(B16133="","",INT(A16133))</f>
        <v/>
      </c>
      <c r="D16133">
        <f>IF(B16133="","",HOUR(A16133))</f>
        <v/>
      </c>
    </row>
    <row r="16134">
      <c r="A16134">
        <f>Input!A16134</f>
        <v/>
      </c>
      <c r="B16134">
        <f>IF(ISNUMBER(Input!B16134),IF(AND(Input!B16134&gt;=20,Input!B16134&lt;=700),Input!B16134,""),"")</f>
        <v/>
      </c>
      <c r="C16134">
        <f>IF(B16134="","",INT(A16134))</f>
        <v/>
      </c>
      <c r="D16134">
        <f>IF(B16134="","",HOUR(A16134))</f>
        <v/>
      </c>
    </row>
    <row r="16135">
      <c r="A16135">
        <f>Input!A16135</f>
        <v/>
      </c>
      <c r="B16135">
        <f>IF(ISNUMBER(Input!B16135),IF(AND(Input!B16135&gt;=20,Input!B16135&lt;=700),Input!B16135,""),"")</f>
        <v/>
      </c>
      <c r="C16135">
        <f>IF(B16135="","",INT(A16135))</f>
        <v/>
      </c>
      <c r="D16135">
        <f>IF(B16135="","",HOUR(A16135))</f>
        <v/>
      </c>
    </row>
    <row r="16136">
      <c r="A16136">
        <f>Input!A16136</f>
        <v/>
      </c>
      <c r="B16136">
        <f>IF(ISNUMBER(Input!B16136),IF(AND(Input!B16136&gt;=20,Input!B16136&lt;=700),Input!B16136,""),"")</f>
        <v/>
      </c>
      <c r="C16136">
        <f>IF(B16136="","",INT(A16136))</f>
        <v/>
      </c>
      <c r="D16136">
        <f>IF(B16136="","",HOUR(A16136))</f>
        <v/>
      </c>
    </row>
    <row r="16137">
      <c r="A16137">
        <f>Input!A16137</f>
        <v/>
      </c>
      <c r="B16137">
        <f>IF(ISNUMBER(Input!B16137),IF(AND(Input!B16137&gt;=20,Input!B16137&lt;=700),Input!B16137,""),"")</f>
        <v/>
      </c>
      <c r="C16137">
        <f>IF(B16137="","",INT(A16137))</f>
        <v/>
      </c>
      <c r="D16137">
        <f>IF(B16137="","",HOUR(A16137))</f>
        <v/>
      </c>
    </row>
    <row r="16138">
      <c r="A16138">
        <f>Input!A16138</f>
        <v/>
      </c>
      <c r="B16138">
        <f>IF(ISNUMBER(Input!B16138),IF(AND(Input!B16138&gt;=20,Input!B16138&lt;=700),Input!B16138,""),"")</f>
        <v/>
      </c>
      <c r="C16138">
        <f>IF(B16138="","",INT(A16138))</f>
        <v/>
      </c>
      <c r="D16138">
        <f>IF(B16138="","",HOUR(A16138))</f>
        <v/>
      </c>
    </row>
    <row r="16139">
      <c r="A16139">
        <f>Input!A16139</f>
        <v/>
      </c>
      <c r="B16139">
        <f>IF(ISNUMBER(Input!B16139),IF(AND(Input!B16139&gt;=20,Input!B16139&lt;=700),Input!B16139,""),"")</f>
        <v/>
      </c>
      <c r="C16139">
        <f>IF(B16139="","",INT(A16139))</f>
        <v/>
      </c>
      <c r="D16139">
        <f>IF(B16139="","",HOUR(A16139))</f>
        <v/>
      </c>
    </row>
    <row r="16140">
      <c r="A16140">
        <f>Input!A16140</f>
        <v/>
      </c>
      <c r="B16140">
        <f>IF(ISNUMBER(Input!B16140),IF(AND(Input!B16140&gt;=20,Input!B16140&lt;=700),Input!B16140,""),"")</f>
        <v/>
      </c>
      <c r="C16140">
        <f>IF(B16140="","",INT(A16140))</f>
        <v/>
      </c>
      <c r="D16140">
        <f>IF(B16140="","",HOUR(A16140))</f>
        <v/>
      </c>
    </row>
    <row r="16141">
      <c r="A16141">
        <f>Input!A16141</f>
        <v/>
      </c>
      <c r="B16141">
        <f>IF(ISNUMBER(Input!B16141),IF(AND(Input!B16141&gt;=20,Input!B16141&lt;=700),Input!B16141,""),"")</f>
        <v/>
      </c>
      <c r="C16141">
        <f>IF(B16141="","",INT(A16141))</f>
        <v/>
      </c>
      <c r="D16141">
        <f>IF(B16141="","",HOUR(A16141))</f>
        <v/>
      </c>
    </row>
    <row r="16142">
      <c r="A16142">
        <f>Input!A16142</f>
        <v/>
      </c>
      <c r="B16142">
        <f>IF(ISNUMBER(Input!B16142),IF(AND(Input!B16142&gt;=20,Input!B16142&lt;=700),Input!B16142,""),"")</f>
        <v/>
      </c>
      <c r="C16142">
        <f>IF(B16142="","",INT(A16142))</f>
        <v/>
      </c>
      <c r="D16142">
        <f>IF(B16142="","",HOUR(A16142))</f>
        <v/>
      </c>
    </row>
    <row r="16143">
      <c r="A16143">
        <f>Input!A16143</f>
        <v/>
      </c>
      <c r="B16143">
        <f>IF(ISNUMBER(Input!B16143),IF(AND(Input!B16143&gt;=20,Input!B16143&lt;=700),Input!B16143,""),"")</f>
        <v/>
      </c>
      <c r="C16143">
        <f>IF(B16143="","",INT(A16143))</f>
        <v/>
      </c>
      <c r="D16143">
        <f>IF(B16143="","",HOUR(A16143))</f>
        <v/>
      </c>
    </row>
    <row r="16144">
      <c r="A16144">
        <f>Input!A16144</f>
        <v/>
      </c>
      <c r="B16144">
        <f>IF(ISNUMBER(Input!B16144),IF(AND(Input!B16144&gt;=20,Input!B16144&lt;=700),Input!B16144,""),"")</f>
        <v/>
      </c>
      <c r="C16144">
        <f>IF(B16144="","",INT(A16144))</f>
        <v/>
      </c>
      <c r="D16144">
        <f>IF(B16144="","",HOUR(A16144))</f>
        <v/>
      </c>
    </row>
    <row r="16145">
      <c r="A16145">
        <f>Input!A16145</f>
        <v/>
      </c>
      <c r="B16145">
        <f>IF(ISNUMBER(Input!B16145),IF(AND(Input!B16145&gt;=20,Input!B16145&lt;=700),Input!B16145,""),"")</f>
        <v/>
      </c>
      <c r="C16145">
        <f>IF(B16145="","",INT(A16145))</f>
        <v/>
      </c>
      <c r="D16145">
        <f>IF(B16145="","",HOUR(A16145))</f>
        <v/>
      </c>
    </row>
    <row r="16146">
      <c r="A16146">
        <f>Input!A16146</f>
        <v/>
      </c>
      <c r="B16146">
        <f>IF(ISNUMBER(Input!B16146),IF(AND(Input!B16146&gt;=20,Input!B16146&lt;=700),Input!B16146,""),"")</f>
        <v/>
      </c>
      <c r="C16146">
        <f>IF(B16146="","",INT(A16146))</f>
        <v/>
      </c>
      <c r="D16146">
        <f>IF(B16146="","",HOUR(A16146))</f>
        <v/>
      </c>
    </row>
    <row r="16147">
      <c r="A16147">
        <f>Input!A16147</f>
        <v/>
      </c>
      <c r="B16147">
        <f>IF(ISNUMBER(Input!B16147),IF(AND(Input!B16147&gt;=20,Input!B16147&lt;=700),Input!B16147,""),"")</f>
        <v/>
      </c>
      <c r="C16147">
        <f>IF(B16147="","",INT(A16147))</f>
        <v/>
      </c>
      <c r="D16147">
        <f>IF(B16147="","",HOUR(A16147))</f>
        <v/>
      </c>
    </row>
    <row r="16148">
      <c r="A16148">
        <f>Input!A16148</f>
        <v/>
      </c>
      <c r="B16148">
        <f>IF(ISNUMBER(Input!B16148),IF(AND(Input!B16148&gt;=20,Input!B16148&lt;=700),Input!B16148,""),"")</f>
        <v/>
      </c>
      <c r="C16148">
        <f>IF(B16148="","",INT(A16148))</f>
        <v/>
      </c>
      <c r="D16148">
        <f>IF(B16148="","",HOUR(A16148))</f>
        <v/>
      </c>
    </row>
    <row r="16149">
      <c r="A16149">
        <f>Input!A16149</f>
        <v/>
      </c>
      <c r="B16149">
        <f>IF(ISNUMBER(Input!B16149),IF(AND(Input!B16149&gt;=20,Input!B16149&lt;=700),Input!B16149,""),"")</f>
        <v/>
      </c>
      <c r="C16149">
        <f>IF(B16149="","",INT(A16149))</f>
        <v/>
      </c>
      <c r="D16149">
        <f>IF(B16149="","",HOUR(A16149))</f>
        <v/>
      </c>
    </row>
    <row r="16150">
      <c r="A16150">
        <f>Input!A16150</f>
        <v/>
      </c>
      <c r="B16150">
        <f>IF(ISNUMBER(Input!B16150),IF(AND(Input!B16150&gt;=20,Input!B16150&lt;=700),Input!B16150,""),"")</f>
        <v/>
      </c>
      <c r="C16150">
        <f>IF(B16150="","",INT(A16150))</f>
        <v/>
      </c>
      <c r="D16150">
        <f>IF(B16150="","",HOUR(A16150))</f>
        <v/>
      </c>
    </row>
    <row r="16151">
      <c r="A16151">
        <f>Input!A16151</f>
        <v/>
      </c>
      <c r="B16151">
        <f>IF(ISNUMBER(Input!B16151),IF(AND(Input!B16151&gt;=20,Input!B16151&lt;=700),Input!B16151,""),"")</f>
        <v/>
      </c>
      <c r="C16151">
        <f>IF(B16151="","",INT(A16151))</f>
        <v/>
      </c>
      <c r="D16151">
        <f>IF(B16151="","",HOUR(A16151))</f>
        <v/>
      </c>
    </row>
    <row r="16152">
      <c r="A16152">
        <f>Input!A16152</f>
        <v/>
      </c>
      <c r="B16152">
        <f>IF(ISNUMBER(Input!B16152),IF(AND(Input!B16152&gt;=20,Input!B16152&lt;=700),Input!B16152,""),"")</f>
        <v/>
      </c>
      <c r="C16152">
        <f>IF(B16152="","",INT(A16152))</f>
        <v/>
      </c>
      <c r="D16152">
        <f>IF(B16152="","",HOUR(A16152))</f>
        <v/>
      </c>
    </row>
    <row r="16153">
      <c r="A16153">
        <f>Input!A16153</f>
        <v/>
      </c>
      <c r="B16153">
        <f>IF(ISNUMBER(Input!B16153),IF(AND(Input!B16153&gt;=20,Input!B16153&lt;=700),Input!B16153,""),"")</f>
        <v/>
      </c>
      <c r="C16153">
        <f>IF(B16153="","",INT(A16153))</f>
        <v/>
      </c>
      <c r="D16153">
        <f>IF(B16153="","",HOUR(A16153))</f>
        <v/>
      </c>
    </row>
    <row r="16154">
      <c r="A16154">
        <f>Input!A16154</f>
        <v/>
      </c>
      <c r="B16154">
        <f>IF(ISNUMBER(Input!B16154),IF(AND(Input!B16154&gt;=20,Input!B16154&lt;=700),Input!B16154,""),"")</f>
        <v/>
      </c>
      <c r="C16154">
        <f>IF(B16154="","",INT(A16154))</f>
        <v/>
      </c>
      <c r="D16154">
        <f>IF(B16154="","",HOUR(A16154))</f>
        <v/>
      </c>
    </row>
    <row r="16155">
      <c r="A16155">
        <f>Input!A16155</f>
        <v/>
      </c>
      <c r="B16155">
        <f>IF(ISNUMBER(Input!B16155),IF(AND(Input!B16155&gt;=20,Input!B16155&lt;=700),Input!B16155,""),"")</f>
        <v/>
      </c>
      <c r="C16155">
        <f>IF(B16155="","",INT(A16155))</f>
        <v/>
      </c>
      <c r="D16155">
        <f>IF(B16155="","",HOUR(A16155))</f>
        <v/>
      </c>
    </row>
    <row r="16156">
      <c r="A16156">
        <f>Input!A16156</f>
        <v/>
      </c>
      <c r="B16156">
        <f>IF(ISNUMBER(Input!B16156),IF(AND(Input!B16156&gt;=20,Input!B16156&lt;=700),Input!B16156,""),"")</f>
        <v/>
      </c>
      <c r="C16156">
        <f>IF(B16156="","",INT(A16156))</f>
        <v/>
      </c>
      <c r="D16156">
        <f>IF(B16156="","",HOUR(A16156))</f>
        <v/>
      </c>
    </row>
    <row r="16157">
      <c r="A16157">
        <f>Input!A16157</f>
        <v/>
      </c>
      <c r="B16157">
        <f>IF(ISNUMBER(Input!B16157),IF(AND(Input!B16157&gt;=20,Input!B16157&lt;=700),Input!B16157,""),"")</f>
        <v/>
      </c>
      <c r="C16157">
        <f>IF(B16157="","",INT(A16157))</f>
        <v/>
      </c>
      <c r="D16157">
        <f>IF(B16157="","",HOUR(A16157))</f>
        <v/>
      </c>
    </row>
    <row r="16158">
      <c r="A16158">
        <f>Input!A16158</f>
        <v/>
      </c>
      <c r="B16158">
        <f>IF(ISNUMBER(Input!B16158),IF(AND(Input!B16158&gt;=20,Input!B16158&lt;=700),Input!B16158,""),"")</f>
        <v/>
      </c>
      <c r="C16158">
        <f>IF(B16158="","",INT(A16158))</f>
        <v/>
      </c>
      <c r="D16158">
        <f>IF(B16158="","",HOUR(A16158))</f>
        <v/>
      </c>
    </row>
    <row r="16159">
      <c r="A16159">
        <f>Input!A16159</f>
        <v/>
      </c>
      <c r="B16159">
        <f>IF(ISNUMBER(Input!B16159),IF(AND(Input!B16159&gt;=20,Input!B16159&lt;=700),Input!B16159,""),"")</f>
        <v/>
      </c>
      <c r="C16159">
        <f>IF(B16159="","",INT(A16159))</f>
        <v/>
      </c>
      <c r="D16159">
        <f>IF(B16159="","",HOUR(A16159))</f>
        <v/>
      </c>
    </row>
    <row r="16160">
      <c r="A16160">
        <f>Input!A16160</f>
        <v/>
      </c>
      <c r="B16160">
        <f>IF(ISNUMBER(Input!B16160),IF(AND(Input!B16160&gt;=20,Input!B16160&lt;=700),Input!B16160,""),"")</f>
        <v/>
      </c>
      <c r="C16160">
        <f>IF(B16160="","",INT(A16160))</f>
        <v/>
      </c>
      <c r="D16160">
        <f>IF(B16160="","",HOUR(A16160))</f>
        <v/>
      </c>
    </row>
    <row r="16161">
      <c r="A16161">
        <f>Input!A16161</f>
        <v/>
      </c>
      <c r="B16161">
        <f>IF(ISNUMBER(Input!B16161),IF(AND(Input!B16161&gt;=20,Input!B16161&lt;=700),Input!B16161,""),"")</f>
        <v/>
      </c>
      <c r="C16161">
        <f>IF(B16161="","",INT(A16161))</f>
        <v/>
      </c>
      <c r="D16161">
        <f>IF(B16161="","",HOUR(A16161))</f>
        <v/>
      </c>
    </row>
    <row r="16162">
      <c r="A16162">
        <f>Input!A16162</f>
        <v/>
      </c>
      <c r="B16162">
        <f>IF(ISNUMBER(Input!B16162),IF(AND(Input!B16162&gt;=20,Input!B16162&lt;=700),Input!B16162,""),"")</f>
        <v/>
      </c>
      <c r="C16162">
        <f>IF(B16162="","",INT(A16162))</f>
        <v/>
      </c>
      <c r="D16162">
        <f>IF(B16162="","",HOUR(A16162))</f>
        <v/>
      </c>
    </row>
    <row r="16163">
      <c r="A16163">
        <f>Input!A16163</f>
        <v/>
      </c>
      <c r="B16163">
        <f>IF(ISNUMBER(Input!B16163),IF(AND(Input!B16163&gt;=20,Input!B16163&lt;=700),Input!B16163,""),"")</f>
        <v/>
      </c>
      <c r="C16163">
        <f>IF(B16163="","",INT(A16163))</f>
        <v/>
      </c>
      <c r="D16163">
        <f>IF(B16163="","",HOUR(A16163))</f>
        <v/>
      </c>
    </row>
    <row r="16164">
      <c r="A16164">
        <f>Input!A16164</f>
        <v/>
      </c>
      <c r="B16164">
        <f>IF(ISNUMBER(Input!B16164),IF(AND(Input!B16164&gt;=20,Input!B16164&lt;=700),Input!B16164,""),"")</f>
        <v/>
      </c>
      <c r="C16164">
        <f>IF(B16164="","",INT(A16164))</f>
        <v/>
      </c>
      <c r="D16164">
        <f>IF(B16164="","",HOUR(A16164))</f>
        <v/>
      </c>
    </row>
    <row r="16165">
      <c r="A16165">
        <f>Input!A16165</f>
        <v/>
      </c>
      <c r="B16165">
        <f>IF(ISNUMBER(Input!B16165),IF(AND(Input!B16165&gt;=20,Input!B16165&lt;=700),Input!B16165,""),"")</f>
        <v/>
      </c>
      <c r="C16165">
        <f>IF(B16165="","",INT(A16165))</f>
        <v/>
      </c>
      <c r="D16165">
        <f>IF(B16165="","",HOUR(A16165))</f>
        <v/>
      </c>
    </row>
    <row r="16166">
      <c r="A16166">
        <f>Input!A16166</f>
        <v/>
      </c>
      <c r="B16166">
        <f>IF(ISNUMBER(Input!B16166),IF(AND(Input!B16166&gt;=20,Input!B16166&lt;=700),Input!B16166,""),"")</f>
        <v/>
      </c>
      <c r="C16166">
        <f>IF(B16166="","",INT(A16166))</f>
        <v/>
      </c>
      <c r="D16166">
        <f>IF(B16166="","",HOUR(A16166))</f>
        <v/>
      </c>
    </row>
    <row r="16167">
      <c r="A16167">
        <f>Input!A16167</f>
        <v/>
      </c>
      <c r="B16167">
        <f>IF(ISNUMBER(Input!B16167),IF(AND(Input!B16167&gt;=20,Input!B16167&lt;=700),Input!B16167,""),"")</f>
        <v/>
      </c>
      <c r="C16167">
        <f>IF(B16167="","",INT(A16167))</f>
        <v/>
      </c>
      <c r="D16167">
        <f>IF(B16167="","",HOUR(A16167))</f>
        <v/>
      </c>
    </row>
    <row r="16168">
      <c r="A16168">
        <f>Input!A16168</f>
        <v/>
      </c>
      <c r="B16168">
        <f>IF(ISNUMBER(Input!B16168),IF(AND(Input!B16168&gt;=20,Input!B16168&lt;=700),Input!B16168,""),"")</f>
        <v/>
      </c>
      <c r="C16168">
        <f>IF(B16168="","",INT(A16168))</f>
        <v/>
      </c>
      <c r="D16168">
        <f>IF(B16168="","",HOUR(A16168))</f>
        <v/>
      </c>
    </row>
    <row r="16169">
      <c r="A16169">
        <f>Input!A16169</f>
        <v/>
      </c>
      <c r="B16169">
        <f>IF(ISNUMBER(Input!B16169),IF(AND(Input!B16169&gt;=20,Input!B16169&lt;=700),Input!B16169,""),"")</f>
        <v/>
      </c>
      <c r="C16169">
        <f>IF(B16169="","",INT(A16169))</f>
        <v/>
      </c>
      <c r="D16169">
        <f>IF(B16169="","",HOUR(A16169))</f>
        <v/>
      </c>
    </row>
    <row r="16170">
      <c r="A16170">
        <f>Input!A16170</f>
        <v/>
      </c>
      <c r="B16170">
        <f>IF(ISNUMBER(Input!B16170),IF(AND(Input!B16170&gt;=20,Input!B16170&lt;=700),Input!B16170,""),"")</f>
        <v/>
      </c>
      <c r="C16170">
        <f>IF(B16170="","",INT(A16170))</f>
        <v/>
      </c>
      <c r="D16170">
        <f>IF(B16170="","",HOUR(A16170))</f>
        <v/>
      </c>
    </row>
    <row r="16171">
      <c r="A16171">
        <f>Input!A16171</f>
        <v/>
      </c>
      <c r="B16171">
        <f>IF(ISNUMBER(Input!B16171),IF(AND(Input!B16171&gt;=20,Input!B16171&lt;=700),Input!B16171,""),"")</f>
        <v/>
      </c>
      <c r="C16171">
        <f>IF(B16171="","",INT(A16171))</f>
        <v/>
      </c>
      <c r="D16171">
        <f>IF(B16171="","",HOUR(A16171))</f>
        <v/>
      </c>
    </row>
    <row r="16172">
      <c r="A16172">
        <f>Input!A16172</f>
        <v/>
      </c>
      <c r="B16172">
        <f>IF(ISNUMBER(Input!B16172),IF(AND(Input!B16172&gt;=20,Input!B16172&lt;=700),Input!B16172,""),"")</f>
        <v/>
      </c>
      <c r="C16172">
        <f>IF(B16172="","",INT(A16172))</f>
        <v/>
      </c>
      <c r="D16172">
        <f>IF(B16172="","",HOUR(A16172))</f>
        <v/>
      </c>
    </row>
    <row r="16173">
      <c r="A16173">
        <f>Input!A16173</f>
        <v/>
      </c>
      <c r="B16173">
        <f>IF(ISNUMBER(Input!B16173),IF(AND(Input!B16173&gt;=20,Input!B16173&lt;=700),Input!B16173,""),"")</f>
        <v/>
      </c>
      <c r="C16173">
        <f>IF(B16173="","",INT(A16173))</f>
        <v/>
      </c>
      <c r="D16173">
        <f>IF(B16173="","",HOUR(A16173))</f>
        <v/>
      </c>
    </row>
    <row r="16174">
      <c r="A16174">
        <f>Input!A16174</f>
        <v/>
      </c>
      <c r="B16174">
        <f>IF(ISNUMBER(Input!B16174),IF(AND(Input!B16174&gt;=20,Input!B16174&lt;=700),Input!B16174,""),"")</f>
        <v/>
      </c>
      <c r="C16174">
        <f>IF(B16174="","",INT(A16174))</f>
        <v/>
      </c>
      <c r="D16174">
        <f>IF(B16174="","",HOUR(A16174))</f>
        <v/>
      </c>
    </row>
    <row r="16175">
      <c r="A16175">
        <f>Input!A16175</f>
        <v/>
      </c>
      <c r="B16175">
        <f>IF(ISNUMBER(Input!B16175),IF(AND(Input!B16175&gt;=20,Input!B16175&lt;=700),Input!B16175,""),"")</f>
        <v/>
      </c>
      <c r="C16175">
        <f>IF(B16175="","",INT(A16175))</f>
        <v/>
      </c>
      <c r="D16175">
        <f>IF(B16175="","",HOUR(A16175))</f>
        <v/>
      </c>
    </row>
    <row r="16176">
      <c r="A16176">
        <f>Input!A16176</f>
        <v/>
      </c>
      <c r="B16176">
        <f>IF(ISNUMBER(Input!B16176),IF(AND(Input!B16176&gt;=20,Input!B16176&lt;=700),Input!B16176,""),"")</f>
        <v/>
      </c>
      <c r="C16176">
        <f>IF(B16176="","",INT(A16176))</f>
        <v/>
      </c>
      <c r="D16176">
        <f>IF(B16176="","",HOUR(A16176))</f>
        <v/>
      </c>
    </row>
    <row r="16177">
      <c r="A16177">
        <f>Input!A16177</f>
        <v/>
      </c>
      <c r="B16177">
        <f>IF(ISNUMBER(Input!B16177),IF(AND(Input!B16177&gt;=20,Input!B16177&lt;=700),Input!B16177,""),"")</f>
        <v/>
      </c>
      <c r="C16177">
        <f>IF(B16177="","",INT(A16177))</f>
        <v/>
      </c>
      <c r="D16177">
        <f>IF(B16177="","",HOUR(A16177))</f>
        <v/>
      </c>
    </row>
    <row r="16178">
      <c r="A16178">
        <f>Input!A16178</f>
        <v/>
      </c>
      <c r="B16178">
        <f>IF(ISNUMBER(Input!B16178),IF(AND(Input!B16178&gt;=20,Input!B16178&lt;=700),Input!B16178,""),"")</f>
        <v/>
      </c>
      <c r="C16178">
        <f>IF(B16178="","",INT(A16178))</f>
        <v/>
      </c>
      <c r="D16178">
        <f>IF(B16178="","",HOUR(A16178))</f>
        <v/>
      </c>
    </row>
    <row r="16179">
      <c r="A16179">
        <f>Input!A16179</f>
        <v/>
      </c>
      <c r="B16179">
        <f>IF(ISNUMBER(Input!B16179),IF(AND(Input!B16179&gt;=20,Input!B16179&lt;=700),Input!B16179,""),"")</f>
        <v/>
      </c>
      <c r="C16179">
        <f>IF(B16179="","",INT(A16179))</f>
        <v/>
      </c>
      <c r="D16179">
        <f>IF(B16179="","",HOUR(A16179))</f>
        <v/>
      </c>
    </row>
    <row r="16180">
      <c r="A16180">
        <f>Input!A16180</f>
        <v/>
      </c>
      <c r="B16180">
        <f>IF(ISNUMBER(Input!B16180),IF(AND(Input!B16180&gt;=20,Input!B16180&lt;=700),Input!B16180,""),"")</f>
        <v/>
      </c>
      <c r="C16180">
        <f>IF(B16180="","",INT(A16180))</f>
        <v/>
      </c>
      <c r="D16180">
        <f>IF(B16180="","",HOUR(A16180))</f>
        <v/>
      </c>
    </row>
    <row r="16181">
      <c r="A16181">
        <f>Input!A16181</f>
        <v/>
      </c>
      <c r="B16181">
        <f>IF(ISNUMBER(Input!B16181),IF(AND(Input!B16181&gt;=20,Input!B16181&lt;=700),Input!B16181,""),"")</f>
        <v/>
      </c>
      <c r="C16181">
        <f>IF(B16181="","",INT(A16181))</f>
        <v/>
      </c>
      <c r="D16181">
        <f>IF(B16181="","",HOUR(A16181))</f>
        <v/>
      </c>
    </row>
    <row r="16182">
      <c r="A16182">
        <f>Input!A16182</f>
        <v/>
      </c>
      <c r="B16182">
        <f>IF(ISNUMBER(Input!B16182),IF(AND(Input!B16182&gt;=20,Input!B16182&lt;=700),Input!B16182,""),"")</f>
        <v/>
      </c>
      <c r="C16182">
        <f>IF(B16182="","",INT(A16182))</f>
        <v/>
      </c>
      <c r="D16182">
        <f>IF(B16182="","",HOUR(A16182))</f>
        <v/>
      </c>
    </row>
    <row r="16183">
      <c r="A16183">
        <f>Input!A16183</f>
        <v/>
      </c>
      <c r="B16183">
        <f>IF(ISNUMBER(Input!B16183),IF(AND(Input!B16183&gt;=20,Input!B16183&lt;=700),Input!B16183,""),"")</f>
        <v/>
      </c>
      <c r="C16183">
        <f>IF(B16183="","",INT(A16183))</f>
        <v/>
      </c>
      <c r="D16183">
        <f>IF(B16183="","",HOUR(A16183))</f>
        <v/>
      </c>
    </row>
    <row r="16184">
      <c r="A16184">
        <f>Input!A16184</f>
        <v/>
      </c>
      <c r="B16184">
        <f>IF(ISNUMBER(Input!B16184),IF(AND(Input!B16184&gt;=20,Input!B16184&lt;=700),Input!B16184,""),"")</f>
        <v/>
      </c>
      <c r="C16184">
        <f>IF(B16184="","",INT(A16184))</f>
        <v/>
      </c>
      <c r="D16184">
        <f>IF(B16184="","",HOUR(A16184))</f>
        <v/>
      </c>
    </row>
    <row r="16185">
      <c r="A16185">
        <f>Input!A16185</f>
        <v/>
      </c>
      <c r="B16185">
        <f>IF(ISNUMBER(Input!B16185),IF(AND(Input!B16185&gt;=20,Input!B16185&lt;=700),Input!B16185,""),"")</f>
        <v/>
      </c>
      <c r="C16185">
        <f>IF(B16185="","",INT(A16185))</f>
        <v/>
      </c>
      <c r="D16185">
        <f>IF(B16185="","",HOUR(A16185))</f>
        <v/>
      </c>
    </row>
    <row r="16186">
      <c r="A16186">
        <f>Input!A16186</f>
        <v/>
      </c>
      <c r="B16186">
        <f>IF(ISNUMBER(Input!B16186),IF(AND(Input!B16186&gt;=20,Input!B16186&lt;=700),Input!B16186,""),"")</f>
        <v/>
      </c>
      <c r="C16186">
        <f>IF(B16186="","",INT(A16186))</f>
        <v/>
      </c>
      <c r="D16186">
        <f>IF(B16186="","",HOUR(A16186))</f>
        <v/>
      </c>
    </row>
    <row r="16187">
      <c r="A16187">
        <f>Input!A16187</f>
        <v/>
      </c>
      <c r="B16187">
        <f>IF(ISNUMBER(Input!B16187),IF(AND(Input!B16187&gt;=20,Input!B16187&lt;=700),Input!B16187,""),"")</f>
        <v/>
      </c>
      <c r="C16187">
        <f>IF(B16187="","",INT(A16187))</f>
        <v/>
      </c>
      <c r="D16187">
        <f>IF(B16187="","",HOUR(A16187))</f>
        <v/>
      </c>
    </row>
    <row r="16188">
      <c r="A16188">
        <f>Input!A16188</f>
        <v/>
      </c>
      <c r="B16188">
        <f>IF(ISNUMBER(Input!B16188),IF(AND(Input!B16188&gt;=20,Input!B16188&lt;=700),Input!B16188,""),"")</f>
        <v/>
      </c>
      <c r="C16188">
        <f>IF(B16188="","",INT(A16188))</f>
        <v/>
      </c>
      <c r="D16188">
        <f>IF(B16188="","",HOUR(A16188))</f>
        <v/>
      </c>
    </row>
    <row r="16189">
      <c r="A16189">
        <f>Input!A16189</f>
        <v/>
      </c>
      <c r="B16189">
        <f>IF(ISNUMBER(Input!B16189),IF(AND(Input!B16189&gt;=20,Input!B16189&lt;=700),Input!B16189,""),"")</f>
        <v/>
      </c>
      <c r="C16189">
        <f>IF(B16189="","",INT(A16189))</f>
        <v/>
      </c>
      <c r="D16189">
        <f>IF(B16189="","",HOUR(A16189))</f>
        <v/>
      </c>
    </row>
    <row r="16190">
      <c r="A16190">
        <f>Input!A16190</f>
        <v/>
      </c>
      <c r="B16190">
        <f>IF(ISNUMBER(Input!B16190),IF(AND(Input!B16190&gt;=20,Input!B16190&lt;=700),Input!B16190,""),"")</f>
        <v/>
      </c>
      <c r="C16190">
        <f>IF(B16190="","",INT(A16190))</f>
        <v/>
      </c>
      <c r="D16190">
        <f>IF(B16190="","",HOUR(A16190))</f>
        <v/>
      </c>
    </row>
    <row r="16191">
      <c r="A16191">
        <f>Input!A16191</f>
        <v/>
      </c>
      <c r="B16191">
        <f>IF(ISNUMBER(Input!B16191),IF(AND(Input!B16191&gt;=20,Input!B16191&lt;=700),Input!B16191,""),"")</f>
        <v/>
      </c>
      <c r="C16191">
        <f>IF(B16191="","",INT(A16191))</f>
        <v/>
      </c>
      <c r="D16191">
        <f>IF(B16191="","",HOUR(A16191))</f>
        <v/>
      </c>
    </row>
    <row r="16192">
      <c r="A16192">
        <f>Input!A16192</f>
        <v/>
      </c>
      <c r="B16192">
        <f>IF(ISNUMBER(Input!B16192),IF(AND(Input!B16192&gt;=20,Input!B16192&lt;=700),Input!B16192,""),"")</f>
        <v/>
      </c>
      <c r="C16192">
        <f>IF(B16192="","",INT(A16192))</f>
        <v/>
      </c>
      <c r="D16192">
        <f>IF(B16192="","",HOUR(A16192))</f>
        <v/>
      </c>
    </row>
    <row r="16193">
      <c r="A16193">
        <f>Input!A16193</f>
        <v/>
      </c>
      <c r="B16193">
        <f>IF(ISNUMBER(Input!B16193),IF(AND(Input!B16193&gt;=20,Input!B16193&lt;=700),Input!B16193,""),"")</f>
        <v/>
      </c>
      <c r="C16193">
        <f>IF(B16193="","",INT(A16193))</f>
        <v/>
      </c>
      <c r="D16193">
        <f>IF(B16193="","",HOUR(A16193))</f>
        <v/>
      </c>
    </row>
    <row r="16194">
      <c r="A16194">
        <f>Input!A16194</f>
        <v/>
      </c>
      <c r="B16194">
        <f>IF(ISNUMBER(Input!B16194),IF(AND(Input!B16194&gt;=20,Input!B16194&lt;=700),Input!B16194,""),"")</f>
        <v/>
      </c>
      <c r="C16194">
        <f>IF(B16194="","",INT(A16194))</f>
        <v/>
      </c>
      <c r="D16194">
        <f>IF(B16194="","",HOUR(A16194))</f>
        <v/>
      </c>
    </row>
    <row r="16195">
      <c r="A16195">
        <f>Input!A16195</f>
        <v/>
      </c>
      <c r="B16195">
        <f>IF(ISNUMBER(Input!B16195),IF(AND(Input!B16195&gt;=20,Input!B16195&lt;=700),Input!B16195,""),"")</f>
        <v/>
      </c>
      <c r="C16195">
        <f>IF(B16195="","",INT(A16195))</f>
        <v/>
      </c>
      <c r="D16195">
        <f>IF(B16195="","",HOUR(A16195))</f>
        <v/>
      </c>
    </row>
    <row r="16196">
      <c r="A16196">
        <f>Input!A16196</f>
        <v/>
      </c>
      <c r="B16196">
        <f>IF(ISNUMBER(Input!B16196),IF(AND(Input!B16196&gt;=20,Input!B16196&lt;=700),Input!B16196,""),"")</f>
        <v/>
      </c>
      <c r="C16196">
        <f>IF(B16196="","",INT(A16196))</f>
        <v/>
      </c>
      <c r="D16196">
        <f>IF(B16196="","",HOUR(A16196))</f>
        <v/>
      </c>
    </row>
    <row r="16197">
      <c r="A16197">
        <f>Input!A16197</f>
        <v/>
      </c>
      <c r="B16197">
        <f>IF(ISNUMBER(Input!B16197),IF(AND(Input!B16197&gt;=20,Input!B16197&lt;=700),Input!B16197,""),"")</f>
        <v/>
      </c>
      <c r="C16197">
        <f>IF(B16197="","",INT(A16197))</f>
        <v/>
      </c>
      <c r="D16197">
        <f>IF(B16197="","",HOUR(A16197))</f>
        <v/>
      </c>
    </row>
    <row r="16198">
      <c r="A16198">
        <f>Input!A16198</f>
        <v/>
      </c>
      <c r="B16198">
        <f>IF(ISNUMBER(Input!B16198),IF(AND(Input!B16198&gt;=20,Input!B16198&lt;=700),Input!B16198,""),"")</f>
        <v/>
      </c>
      <c r="C16198">
        <f>IF(B16198="","",INT(A16198))</f>
        <v/>
      </c>
      <c r="D16198">
        <f>IF(B16198="","",HOUR(A16198))</f>
        <v/>
      </c>
    </row>
    <row r="16199">
      <c r="A16199">
        <f>Input!A16199</f>
        <v/>
      </c>
      <c r="B16199">
        <f>IF(ISNUMBER(Input!B16199),IF(AND(Input!B16199&gt;=20,Input!B16199&lt;=700),Input!B16199,""),"")</f>
        <v/>
      </c>
      <c r="C16199">
        <f>IF(B16199="","",INT(A16199))</f>
        <v/>
      </c>
      <c r="D16199">
        <f>IF(B16199="","",HOUR(A16199))</f>
        <v/>
      </c>
    </row>
    <row r="16200">
      <c r="A16200">
        <f>Input!A16200</f>
        <v/>
      </c>
      <c r="B16200">
        <f>IF(ISNUMBER(Input!B16200),IF(AND(Input!B16200&gt;=20,Input!B16200&lt;=700),Input!B16200,""),"")</f>
        <v/>
      </c>
      <c r="C16200">
        <f>IF(B16200="","",INT(A16200))</f>
        <v/>
      </c>
      <c r="D16200">
        <f>IF(B16200="","",HOUR(A16200))</f>
        <v/>
      </c>
    </row>
    <row r="16201">
      <c r="A16201">
        <f>Input!A16201</f>
        <v/>
      </c>
      <c r="B16201">
        <f>IF(ISNUMBER(Input!B16201),IF(AND(Input!B16201&gt;=20,Input!B16201&lt;=700),Input!B16201,""),"")</f>
        <v/>
      </c>
      <c r="C16201">
        <f>IF(B16201="","",INT(A16201))</f>
        <v/>
      </c>
      <c r="D16201">
        <f>IF(B16201="","",HOUR(A16201))</f>
        <v/>
      </c>
    </row>
    <row r="16202">
      <c r="A16202">
        <f>Input!A16202</f>
        <v/>
      </c>
      <c r="B16202">
        <f>IF(ISNUMBER(Input!B16202),IF(AND(Input!B16202&gt;=20,Input!B16202&lt;=700),Input!B16202,""),"")</f>
        <v/>
      </c>
      <c r="C16202">
        <f>IF(B16202="","",INT(A16202))</f>
        <v/>
      </c>
      <c r="D16202">
        <f>IF(B16202="","",HOUR(A16202))</f>
        <v/>
      </c>
    </row>
    <row r="16203">
      <c r="A16203">
        <f>Input!A16203</f>
        <v/>
      </c>
      <c r="B16203">
        <f>IF(ISNUMBER(Input!B16203),IF(AND(Input!B16203&gt;=20,Input!B16203&lt;=700),Input!B16203,""),"")</f>
        <v/>
      </c>
      <c r="C16203">
        <f>IF(B16203="","",INT(A16203))</f>
        <v/>
      </c>
      <c r="D16203">
        <f>IF(B16203="","",HOUR(A16203))</f>
        <v/>
      </c>
    </row>
    <row r="16204">
      <c r="A16204">
        <f>Input!A16204</f>
        <v/>
      </c>
      <c r="B16204">
        <f>IF(ISNUMBER(Input!B16204),IF(AND(Input!B16204&gt;=20,Input!B16204&lt;=700),Input!B16204,""),"")</f>
        <v/>
      </c>
      <c r="C16204">
        <f>IF(B16204="","",INT(A16204))</f>
        <v/>
      </c>
      <c r="D16204">
        <f>IF(B16204="","",HOUR(A16204))</f>
        <v/>
      </c>
    </row>
    <row r="16205">
      <c r="A16205">
        <f>Input!A16205</f>
        <v/>
      </c>
      <c r="B16205">
        <f>IF(ISNUMBER(Input!B16205),IF(AND(Input!B16205&gt;=20,Input!B16205&lt;=700),Input!B16205,""),"")</f>
        <v/>
      </c>
      <c r="C16205">
        <f>IF(B16205="","",INT(A16205))</f>
        <v/>
      </c>
      <c r="D16205">
        <f>IF(B16205="","",HOUR(A16205))</f>
        <v/>
      </c>
    </row>
    <row r="16206">
      <c r="A16206">
        <f>Input!A16206</f>
        <v/>
      </c>
      <c r="B16206">
        <f>IF(ISNUMBER(Input!B16206),IF(AND(Input!B16206&gt;=20,Input!B16206&lt;=700),Input!B16206,""),"")</f>
        <v/>
      </c>
      <c r="C16206">
        <f>IF(B16206="","",INT(A16206))</f>
        <v/>
      </c>
      <c r="D16206">
        <f>IF(B16206="","",HOUR(A16206))</f>
        <v/>
      </c>
    </row>
    <row r="16207">
      <c r="A16207">
        <f>Input!A16207</f>
        <v/>
      </c>
      <c r="B16207">
        <f>IF(ISNUMBER(Input!B16207),IF(AND(Input!B16207&gt;=20,Input!B16207&lt;=700),Input!B16207,""),"")</f>
        <v/>
      </c>
      <c r="C16207">
        <f>IF(B16207="","",INT(A16207))</f>
        <v/>
      </c>
      <c r="D16207">
        <f>IF(B16207="","",HOUR(A16207))</f>
        <v/>
      </c>
    </row>
    <row r="16208">
      <c r="A16208">
        <f>Input!A16208</f>
        <v/>
      </c>
      <c r="B16208">
        <f>IF(ISNUMBER(Input!B16208),IF(AND(Input!B16208&gt;=20,Input!B16208&lt;=700),Input!B16208,""),"")</f>
        <v/>
      </c>
      <c r="C16208">
        <f>IF(B16208="","",INT(A16208))</f>
        <v/>
      </c>
      <c r="D16208">
        <f>IF(B16208="","",HOUR(A16208))</f>
        <v/>
      </c>
    </row>
    <row r="16209">
      <c r="A16209">
        <f>Input!A16209</f>
        <v/>
      </c>
      <c r="B16209">
        <f>IF(ISNUMBER(Input!B16209),IF(AND(Input!B16209&gt;=20,Input!B16209&lt;=700),Input!B16209,""),"")</f>
        <v/>
      </c>
      <c r="C16209">
        <f>IF(B16209="","",INT(A16209))</f>
        <v/>
      </c>
      <c r="D16209">
        <f>IF(B16209="","",HOUR(A16209))</f>
        <v/>
      </c>
    </row>
    <row r="16210">
      <c r="A16210">
        <f>Input!A16210</f>
        <v/>
      </c>
      <c r="B16210">
        <f>IF(ISNUMBER(Input!B16210),IF(AND(Input!B16210&gt;=20,Input!B16210&lt;=700),Input!B16210,""),"")</f>
        <v/>
      </c>
      <c r="C16210">
        <f>IF(B16210="","",INT(A16210))</f>
        <v/>
      </c>
      <c r="D16210">
        <f>IF(B16210="","",HOUR(A16210))</f>
        <v/>
      </c>
    </row>
    <row r="16211">
      <c r="A16211">
        <f>Input!A16211</f>
        <v/>
      </c>
      <c r="B16211">
        <f>IF(ISNUMBER(Input!B16211),IF(AND(Input!B16211&gt;=20,Input!B16211&lt;=700),Input!B16211,""),"")</f>
        <v/>
      </c>
      <c r="C16211">
        <f>IF(B16211="","",INT(A16211))</f>
        <v/>
      </c>
      <c r="D16211">
        <f>IF(B16211="","",HOUR(A16211))</f>
        <v/>
      </c>
    </row>
    <row r="16212">
      <c r="A16212">
        <f>Input!A16212</f>
        <v/>
      </c>
      <c r="B16212">
        <f>IF(ISNUMBER(Input!B16212),IF(AND(Input!B16212&gt;=20,Input!B16212&lt;=700),Input!B16212,""),"")</f>
        <v/>
      </c>
      <c r="C16212">
        <f>IF(B16212="","",INT(A16212))</f>
        <v/>
      </c>
      <c r="D16212">
        <f>IF(B16212="","",HOUR(A16212))</f>
        <v/>
      </c>
    </row>
    <row r="16213">
      <c r="A16213">
        <f>Input!A16213</f>
        <v/>
      </c>
      <c r="B16213">
        <f>IF(ISNUMBER(Input!B16213),IF(AND(Input!B16213&gt;=20,Input!B16213&lt;=700),Input!B16213,""),"")</f>
        <v/>
      </c>
      <c r="C16213">
        <f>IF(B16213="","",INT(A16213))</f>
        <v/>
      </c>
      <c r="D16213">
        <f>IF(B16213="","",HOUR(A16213))</f>
        <v/>
      </c>
    </row>
    <row r="16214">
      <c r="A16214">
        <f>Input!A16214</f>
        <v/>
      </c>
      <c r="B16214">
        <f>IF(ISNUMBER(Input!B16214),IF(AND(Input!B16214&gt;=20,Input!B16214&lt;=700),Input!B16214,""),"")</f>
        <v/>
      </c>
      <c r="C16214">
        <f>IF(B16214="","",INT(A16214))</f>
        <v/>
      </c>
      <c r="D16214">
        <f>IF(B16214="","",HOUR(A16214))</f>
        <v/>
      </c>
    </row>
    <row r="16215">
      <c r="A16215">
        <f>Input!A16215</f>
        <v/>
      </c>
      <c r="B16215">
        <f>IF(ISNUMBER(Input!B16215),IF(AND(Input!B16215&gt;=20,Input!B16215&lt;=700),Input!B16215,""),"")</f>
        <v/>
      </c>
      <c r="C16215">
        <f>IF(B16215="","",INT(A16215))</f>
        <v/>
      </c>
      <c r="D16215">
        <f>IF(B16215="","",HOUR(A16215))</f>
        <v/>
      </c>
    </row>
    <row r="16216">
      <c r="A16216">
        <f>Input!A16216</f>
        <v/>
      </c>
      <c r="B16216">
        <f>IF(ISNUMBER(Input!B16216),IF(AND(Input!B16216&gt;=20,Input!B16216&lt;=700),Input!B16216,""),"")</f>
        <v/>
      </c>
      <c r="C16216">
        <f>IF(B16216="","",INT(A16216))</f>
        <v/>
      </c>
      <c r="D16216">
        <f>IF(B16216="","",HOUR(A16216))</f>
        <v/>
      </c>
    </row>
    <row r="16217">
      <c r="A16217">
        <f>Input!A16217</f>
        <v/>
      </c>
      <c r="B16217">
        <f>IF(ISNUMBER(Input!B16217),IF(AND(Input!B16217&gt;=20,Input!B16217&lt;=700),Input!B16217,""),"")</f>
        <v/>
      </c>
      <c r="C16217">
        <f>IF(B16217="","",INT(A16217))</f>
        <v/>
      </c>
      <c r="D16217">
        <f>IF(B16217="","",HOUR(A16217))</f>
        <v/>
      </c>
    </row>
    <row r="16218">
      <c r="A16218">
        <f>Input!A16218</f>
        <v/>
      </c>
      <c r="B16218">
        <f>IF(ISNUMBER(Input!B16218),IF(AND(Input!B16218&gt;=20,Input!B16218&lt;=700),Input!B16218,""),"")</f>
        <v/>
      </c>
      <c r="C16218">
        <f>IF(B16218="","",INT(A16218))</f>
        <v/>
      </c>
      <c r="D16218">
        <f>IF(B16218="","",HOUR(A16218))</f>
        <v/>
      </c>
    </row>
    <row r="16219">
      <c r="A16219">
        <f>Input!A16219</f>
        <v/>
      </c>
      <c r="B16219">
        <f>IF(ISNUMBER(Input!B16219),IF(AND(Input!B16219&gt;=20,Input!B16219&lt;=700),Input!B16219,""),"")</f>
        <v/>
      </c>
      <c r="C16219">
        <f>IF(B16219="","",INT(A16219))</f>
        <v/>
      </c>
      <c r="D16219">
        <f>IF(B16219="","",HOUR(A16219))</f>
        <v/>
      </c>
    </row>
    <row r="16220">
      <c r="A16220">
        <f>Input!A16220</f>
        <v/>
      </c>
      <c r="B16220">
        <f>IF(ISNUMBER(Input!B16220),IF(AND(Input!B16220&gt;=20,Input!B16220&lt;=700),Input!B16220,""),"")</f>
        <v/>
      </c>
      <c r="C16220">
        <f>IF(B16220="","",INT(A16220))</f>
        <v/>
      </c>
      <c r="D16220">
        <f>IF(B16220="","",HOUR(A16220))</f>
        <v/>
      </c>
    </row>
    <row r="16221">
      <c r="A16221">
        <f>Input!A16221</f>
        <v/>
      </c>
      <c r="B16221">
        <f>IF(ISNUMBER(Input!B16221),IF(AND(Input!B16221&gt;=20,Input!B16221&lt;=700),Input!B16221,""),"")</f>
        <v/>
      </c>
      <c r="C16221">
        <f>IF(B16221="","",INT(A16221))</f>
        <v/>
      </c>
      <c r="D16221">
        <f>IF(B16221="","",HOUR(A16221))</f>
        <v/>
      </c>
    </row>
    <row r="16222">
      <c r="A16222">
        <f>Input!A16222</f>
        <v/>
      </c>
      <c r="B16222">
        <f>IF(ISNUMBER(Input!B16222),IF(AND(Input!B16222&gt;=20,Input!B16222&lt;=700),Input!B16222,""),"")</f>
        <v/>
      </c>
      <c r="C16222">
        <f>IF(B16222="","",INT(A16222))</f>
        <v/>
      </c>
      <c r="D16222">
        <f>IF(B16222="","",HOUR(A16222))</f>
        <v/>
      </c>
    </row>
    <row r="16223">
      <c r="A16223">
        <f>Input!A16223</f>
        <v/>
      </c>
      <c r="B16223">
        <f>IF(ISNUMBER(Input!B16223),IF(AND(Input!B16223&gt;=20,Input!B16223&lt;=700),Input!B16223,""),"")</f>
        <v/>
      </c>
      <c r="C16223">
        <f>IF(B16223="","",INT(A16223))</f>
        <v/>
      </c>
      <c r="D16223">
        <f>IF(B16223="","",HOUR(A16223))</f>
        <v/>
      </c>
    </row>
    <row r="16224">
      <c r="A16224">
        <f>Input!A16224</f>
        <v/>
      </c>
      <c r="B16224">
        <f>IF(ISNUMBER(Input!B16224),IF(AND(Input!B16224&gt;=20,Input!B16224&lt;=700),Input!B16224,""),"")</f>
        <v/>
      </c>
      <c r="C16224">
        <f>IF(B16224="","",INT(A16224))</f>
        <v/>
      </c>
      <c r="D16224">
        <f>IF(B16224="","",HOUR(A16224))</f>
        <v/>
      </c>
    </row>
    <row r="16225">
      <c r="A16225">
        <f>Input!A16225</f>
        <v/>
      </c>
      <c r="B16225">
        <f>IF(ISNUMBER(Input!B16225),IF(AND(Input!B16225&gt;=20,Input!B16225&lt;=700),Input!B16225,""),"")</f>
        <v/>
      </c>
      <c r="C16225">
        <f>IF(B16225="","",INT(A16225))</f>
        <v/>
      </c>
      <c r="D16225">
        <f>IF(B16225="","",HOUR(A16225))</f>
        <v/>
      </c>
    </row>
    <row r="16226">
      <c r="A16226">
        <f>Input!A16226</f>
        <v/>
      </c>
      <c r="B16226">
        <f>IF(ISNUMBER(Input!B16226),IF(AND(Input!B16226&gt;=20,Input!B16226&lt;=700),Input!B16226,""),"")</f>
        <v/>
      </c>
      <c r="C16226">
        <f>IF(B16226="","",INT(A16226))</f>
        <v/>
      </c>
      <c r="D16226">
        <f>IF(B16226="","",HOUR(A16226))</f>
        <v/>
      </c>
    </row>
    <row r="16227">
      <c r="A16227">
        <f>Input!A16227</f>
        <v/>
      </c>
      <c r="B16227">
        <f>IF(ISNUMBER(Input!B16227),IF(AND(Input!B16227&gt;=20,Input!B16227&lt;=700),Input!B16227,""),"")</f>
        <v/>
      </c>
      <c r="C16227">
        <f>IF(B16227="","",INT(A16227))</f>
        <v/>
      </c>
      <c r="D16227">
        <f>IF(B16227="","",HOUR(A16227))</f>
        <v/>
      </c>
    </row>
    <row r="16228">
      <c r="A16228">
        <f>Input!A16228</f>
        <v/>
      </c>
      <c r="B16228">
        <f>IF(ISNUMBER(Input!B16228),IF(AND(Input!B16228&gt;=20,Input!B16228&lt;=700),Input!B16228,""),"")</f>
        <v/>
      </c>
      <c r="C16228">
        <f>IF(B16228="","",INT(A16228))</f>
        <v/>
      </c>
      <c r="D16228">
        <f>IF(B16228="","",HOUR(A16228))</f>
        <v/>
      </c>
    </row>
    <row r="16229">
      <c r="A16229">
        <f>Input!A16229</f>
        <v/>
      </c>
      <c r="B16229">
        <f>IF(ISNUMBER(Input!B16229),IF(AND(Input!B16229&gt;=20,Input!B16229&lt;=700),Input!B16229,""),"")</f>
        <v/>
      </c>
      <c r="C16229">
        <f>IF(B16229="","",INT(A16229))</f>
        <v/>
      </c>
      <c r="D16229">
        <f>IF(B16229="","",HOUR(A16229))</f>
        <v/>
      </c>
    </row>
    <row r="16230">
      <c r="A16230">
        <f>Input!A16230</f>
        <v/>
      </c>
      <c r="B16230">
        <f>IF(ISNUMBER(Input!B16230),IF(AND(Input!B16230&gt;=20,Input!B16230&lt;=700),Input!B16230,""),"")</f>
        <v/>
      </c>
      <c r="C16230">
        <f>IF(B16230="","",INT(A16230))</f>
        <v/>
      </c>
      <c r="D16230">
        <f>IF(B16230="","",HOUR(A16230))</f>
        <v/>
      </c>
    </row>
    <row r="16231">
      <c r="A16231">
        <f>Input!A16231</f>
        <v/>
      </c>
      <c r="B16231">
        <f>IF(ISNUMBER(Input!B16231),IF(AND(Input!B16231&gt;=20,Input!B16231&lt;=700),Input!B16231,""),"")</f>
        <v/>
      </c>
      <c r="C16231">
        <f>IF(B16231="","",INT(A16231))</f>
        <v/>
      </c>
      <c r="D16231">
        <f>IF(B16231="","",HOUR(A16231))</f>
        <v/>
      </c>
    </row>
    <row r="16232">
      <c r="A16232">
        <f>Input!A16232</f>
        <v/>
      </c>
      <c r="B16232">
        <f>IF(ISNUMBER(Input!B16232),IF(AND(Input!B16232&gt;=20,Input!B16232&lt;=700),Input!B16232,""),"")</f>
        <v/>
      </c>
      <c r="C16232">
        <f>IF(B16232="","",INT(A16232))</f>
        <v/>
      </c>
      <c r="D16232">
        <f>IF(B16232="","",HOUR(A16232))</f>
        <v/>
      </c>
    </row>
    <row r="16233">
      <c r="A16233">
        <f>Input!A16233</f>
        <v/>
      </c>
      <c r="B16233">
        <f>IF(ISNUMBER(Input!B16233),IF(AND(Input!B16233&gt;=20,Input!B16233&lt;=700),Input!B16233,""),"")</f>
        <v/>
      </c>
      <c r="C16233">
        <f>IF(B16233="","",INT(A16233))</f>
        <v/>
      </c>
      <c r="D16233">
        <f>IF(B16233="","",HOUR(A16233))</f>
        <v/>
      </c>
    </row>
    <row r="16234">
      <c r="A16234">
        <f>Input!A16234</f>
        <v/>
      </c>
      <c r="B16234">
        <f>IF(ISNUMBER(Input!B16234),IF(AND(Input!B16234&gt;=20,Input!B16234&lt;=700),Input!B16234,""),"")</f>
        <v/>
      </c>
      <c r="C16234">
        <f>IF(B16234="","",INT(A16234))</f>
        <v/>
      </c>
      <c r="D16234">
        <f>IF(B16234="","",HOUR(A16234))</f>
        <v/>
      </c>
    </row>
    <row r="16235">
      <c r="A16235">
        <f>Input!A16235</f>
        <v/>
      </c>
      <c r="B16235">
        <f>IF(ISNUMBER(Input!B16235),IF(AND(Input!B16235&gt;=20,Input!B16235&lt;=700),Input!B16235,""),"")</f>
        <v/>
      </c>
      <c r="C16235">
        <f>IF(B16235="","",INT(A16235))</f>
        <v/>
      </c>
      <c r="D16235">
        <f>IF(B16235="","",HOUR(A16235))</f>
        <v/>
      </c>
    </row>
    <row r="16236">
      <c r="A16236">
        <f>Input!A16236</f>
        <v/>
      </c>
      <c r="B16236">
        <f>IF(ISNUMBER(Input!B16236),IF(AND(Input!B16236&gt;=20,Input!B16236&lt;=700),Input!B16236,""),"")</f>
        <v/>
      </c>
      <c r="C16236">
        <f>IF(B16236="","",INT(A16236))</f>
        <v/>
      </c>
      <c r="D16236">
        <f>IF(B16236="","",HOUR(A16236))</f>
        <v/>
      </c>
    </row>
    <row r="16237">
      <c r="A16237">
        <f>Input!A16237</f>
        <v/>
      </c>
      <c r="B16237">
        <f>IF(ISNUMBER(Input!B16237),IF(AND(Input!B16237&gt;=20,Input!B16237&lt;=700),Input!B16237,""),"")</f>
        <v/>
      </c>
      <c r="C16237">
        <f>IF(B16237="","",INT(A16237))</f>
        <v/>
      </c>
      <c r="D16237">
        <f>IF(B16237="","",HOUR(A16237))</f>
        <v/>
      </c>
    </row>
    <row r="16238">
      <c r="A16238">
        <f>Input!A16238</f>
        <v/>
      </c>
      <c r="B16238">
        <f>IF(ISNUMBER(Input!B16238),IF(AND(Input!B16238&gt;=20,Input!B16238&lt;=700),Input!B16238,""),"")</f>
        <v/>
      </c>
      <c r="C16238">
        <f>IF(B16238="","",INT(A16238))</f>
        <v/>
      </c>
      <c r="D16238">
        <f>IF(B16238="","",HOUR(A16238))</f>
        <v/>
      </c>
    </row>
    <row r="16239">
      <c r="A16239">
        <f>Input!A16239</f>
        <v/>
      </c>
      <c r="B16239">
        <f>IF(ISNUMBER(Input!B16239),IF(AND(Input!B16239&gt;=20,Input!B16239&lt;=700),Input!B16239,""),"")</f>
        <v/>
      </c>
      <c r="C16239">
        <f>IF(B16239="","",INT(A16239))</f>
        <v/>
      </c>
      <c r="D16239">
        <f>IF(B16239="","",HOUR(A16239))</f>
        <v/>
      </c>
    </row>
    <row r="16240">
      <c r="A16240">
        <f>Input!A16240</f>
        <v/>
      </c>
      <c r="B16240">
        <f>IF(ISNUMBER(Input!B16240),IF(AND(Input!B16240&gt;=20,Input!B16240&lt;=700),Input!B16240,""),"")</f>
        <v/>
      </c>
      <c r="C16240">
        <f>IF(B16240="","",INT(A16240))</f>
        <v/>
      </c>
      <c r="D16240">
        <f>IF(B16240="","",HOUR(A16240))</f>
        <v/>
      </c>
    </row>
    <row r="16241">
      <c r="A16241">
        <f>Input!A16241</f>
        <v/>
      </c>
      <c r="B16241">
        <f>IF(ISNUMBER(Input!B16241),IF(AND(Input!B16241&gt;=20,Input!B16241&lt;=700),Input!B16241,""),"")</f>
        <v/>
      </c>
      <c r="C16241">
        <f>IF(B16241="","",INT(A16241))</f>
        <v/>
      </c>
      <c r="D16241">
        <f>IF(B16241="","",HOUR(A16241))</f>
        <v/>
      </c>
    </row>
    <row r="16242">
      <c r="A16242">
        <f>Input!A16242</f>
        <v/>
      </c>
      <c r="B16242">
        <f>IF(ISNUMBER(Input!B16242),IF(AND(Input!B16242&gt;=20,Input!B16242&lt;=700),Input!B16242,""),"")</f>
        <v/>
      </c>
      <c r="C16242">
        <f>IF(B16242="","",INT(A16242))</f>
        <v/>
      </c>
      <c r="D16242">
        <f>IF(B16242="","",HOUR(A16242))</f>
        <v/>
      </c>
    </row>
    <row r="16243">
      <c r="A16243">
        <f>Input!A16243</f>
        <v/>
      </c>
      <c r="B16243">
        <f>IF(ISNUMBER(Input!B16243),IF(AND(Input!B16243&gt;=20,Input!B16243&lt;=700),Input!B16243,""),"")</f>
        <v/>
      </c>
      <c r="C16243">
        <f>IF(B16243="","",INT(A16243))</f>
        <v/>
      </c>
      <c r="D16243">
        <f>IF(B16243="","",HOUR(A16243))</f>
        <v/>
      </c>
    </row>
    <row r="16244">
      <c r="A16244">
        <f>Input!A16244</f>
        <v/>
      </c>
      <c r="B16244">
        <f>IF(ISNUMBER(Input!B16244),IF(AND(Input!B16244&gt;=20,Input!B16244&lt;=700),Input!B16244,""),"")</f>
        <v/>
      </c>
      <c r="C16244">
        <f>IF(B16244="","",INT(A16244))</f>
        <v/>
      </c>
      <c r="D16244">
        <f>IF(B16244="","",HOUR(A16244))</f>
        <v/>
      </c>
    </row>
    <row r="16245">
      <c r="A16245">
        <f>Input!A16245</f>
        <v/>
      </c>
      <c r="B16245">
        <f>IF(ISNUMBER(Input!B16245),IF(AND(Input!B16245&gt;=20,Input!B16245&lt;=700),Input!B16245,""),"")</f>
        <v/>
      </c>
      <c r="C16245">
        <f>IF(B16245="","",INT(A16245))</f>
        <v/>
      </c>
      <c r="D16245">
        <f>IF(B16245="","",HOUR(A16245))</f>
        <v/>
      </c>
    </row>
    <row r="16246">
      <c r="A16246">
        <f>Input!A16246</f>
        <v/>
      </c>
      <c r="B16246">
        <f>IF(ISNUMBER(Input!B16246),IF(AND(Input!B16246&gt;=20,Input!B16246&lt;=700),Input!B16246,""),"")</f>
        <v/>
      </c>
      <c r="C16246">
        <f>IF(B16246="","",INT(A16246))</f>
        <v/>
      </c>
      <c r="D16246">
        <f>IF(B16246="","",HOUR(A16246))</f>
        <v/>
      </c>
    </row>
    <row r="16247">
      <c r="A16247">
        <f>Input!A16247</f>
        <v/>
      </c>
      <c r="B16247">
        <f>IF(ISNUMBER(Input!B16247),IF(AND(Input!B16247&gt;=20,Input!B16247&lt;=700),Input!B16247,""),"")</f>
        <v/>
      </c>
      <c r="C16247">
        <f>IF(B16247="","",INT(A16247))</f>
        <v/>
      </c>
      <c r="D16247">
        <f>IF(B16247="","",HOUR(A16247))</f>
        <v/>
      </c>
    </row>
    <row r="16248">
      <c r="A16248">
        <f>Input!A16248</f>
        <v/>
      </c>
      <c r="B16248">
        <f>IF(ISNUMBER(Input!B16248),IF(AND(Input!B16248&gt;=20,Input!B16248&lt;=700),Input!B16248,""),"")</f>
        <v/>
      </c>
      <c r="C16248">
        <f>IF(B16248="","",INT(A16248))</f>
        <v/>
      </c>
      <c r="D16248">
        <f>IF(B16248="","",HOUR(A16248))</f>
        <v/>
      </c>
    </row>
    <row r="16249">
      <c r="A16249">
        <f>Input!A16249</f>
        <v/>
      </c>
      <c r="B16249">
        <f>IF(ISNUMBER(Input!B16249),IF(AND(Input!B16249&gt;=20,Input!B16249&lt;=700),Input!B16249,""),"")</f>
        <v/>
      </c>
      <c r="C16249">
        <f>IF(B16249="","",INT(A16249))</f>
        <v/>
      </c>
      <c r="D16249">
        <f>IF(B16249="","",HOUR(A16249))</f>
        <v/>
      </c>
    </row>
    <row r="16250">
      <c r="A16250">
        <f>Input!A16250</f>
        <v/>
      </c>
      <c r="B16250">
        <f>IF(ISNUMBER(Input!B16250),IF(AND(Input!B16250&gt;=20,Input!B16250&lt;=700),Input!B16250,""),"")</f>
        <v/>
      </c>
      <c r="C16250">
        <f>IF(B16250="","",INT(A16250))</f>
        <v/>
      </c>
      <c r="D16250">
        <f>IF(B16250="","",HOUR(A16250))</f>
        <v/>
      </c>
    </row>
    <row r="16251">
      <c r="A16251">
        <f>Input!A16251</f>
        <v/>
      </c>
      <c r="B16251">
        <f>IF(ISNUMBER(Input!B16251),IF(AND(Input!B16251&gt;=20,Input!B16251&lt;=700),Input!B16251,""),"")</f>
        <v/>
      </c>
      <c r="C16251">
        <f>IF(B16251="","",INT(A16251))</f>
        <v/>
      </c>
      <c r="D16251">
        <f>IF(B16251="","",HOUR(A16251))</f>
        <v/>
      </c>
    </row>
    <row r="16252">
      <c r="A16252">
        <f>Input!A16252</f>
        <v/>
      </c>
      <c r="B16252">
        <f>IF(ISNUMBER(Input!B16252),IF(AND(Input!B16252&gt;=20,Input!B16252&lt;=700),Input!B16252,""),"")</f>
        <v/>
      </c>
      <c r="C16252">
        <f>IF(B16252="","",INT(A16252))</f>
        <v/>
      </c>
      <c r="D16252">
        <f>IF(B16252="","",HOUR(A16252))</f>
        <v/>
      </c>
    </row>
    <row r="16253">
      <c r="A16253">
        <f>Input!A16253</f>
        <v/>
      </c>
      <c r="B16253">
        <f>IF(ISNUMBER(Input!B16253),IF(AND(Input!B16253&gt;=20,Input!B16253&lt;=700),Input!B16253,""),"")</f>
        <v/>
      </c>
      <c r="C16253">
        <f>IF(B16253="","",INT(A16253))</f>
        <v/>
      </c>
      <c r="D16253">
        <f>IF(B16253="","",HOUR(A16253))</f>
        <v/>
      </c>
    </row>
    <row r="16254">
      <c r="A16254">
        <f>Input!A16254</f>
        <v/>
      </c>
      <c r="B16254">
        <f>IF(ISNUMBER(Input!B16254),IF(AND(Input!B16254&gt;=20,Input!B16254&lt;=700),Input!B16254,""),"")</f>
        <v/>
      </c>
      <c r="C16254">
        <f>IF(B16254="","",INT(A16254))</f>
        <v/>
      </c>
      <c r="D16254">
        <f>IF(B16254="","",HOUR(A16254))</f>
        <v/>
      </c>
    </row>
    <row r="16255">
      <c r="A16255">
        <f>Input!A16255</f>
        <v/>
      </c>
      <c r="B16255">
        <f>IF(ISNUMBER(Input!B16255),IF(AND(Input!B16255&gt;=20,Input!B16255&lt;=700),Input!B16255,""),"")</f>
        <v/>
      </c>
      <c r="C16255">
        <f>IF(B16255="","",INT(A16255))</f>
        <v/>
      </c>
      <c r="D16255">
        <f>IF(B16255="","",HOUR(A16255))</f>
        <v/>
      </c>
    </row>
    <row r="16256">
      <c r="A16256">
        <f>Input!A16256</f>
        <v/>
      </c>
      <c r="B16256">
        <f>IF(ISNUMBER(Input!B16256),IF(AND(Input!B16256&gt;=20,Input!B16256&lt;=700),Input!B16256,""),"")</f>
        <v/>
      </c>
      <c r="C16256">
        <f>IF(B16256="","",INT(A16256))</f>
        <v/>
      </c>
      <c r="D16256">
        <f>IF(B16256="","",HOUR(A16256))</f>
        <v/>
      </c>
    </row>
    <row r="16257">
      <c r="A16257">
        <f>Input!A16257</f>
        <v/>
      </c>
      <c r="B16257">
        <f>IF(ISNUMBER(Input!B16257),IF(AND(Input!B16257&gt;=20,Input!B16257&lt;=700),Input!B16257,""),"")</f>
        <v/>
      </c>
      <c r="C16257">
        <f>IF(B16257="","",INT(A16257))</f>
        <v/>
      </c>
      <c r="D16257">
        <f>IF(B16257="","",HOUR(A16257))</f>
        <v/>
      </c>
    </row>
    <row r="16258">
      <c r="A16258">
        <f>Input!A16258</f>
        <v/>
      </c>
      <c r="B16258">
        <f>IF(ISNUMBER(Input!B16258),IF(AND(Input!B16258&gt;=20,Input!B16258&lt;=700),Input!B16258,""),"")</f>
        <v/>
      </c>
      <c r="C16258">
        <f>IF(B16258="","",INT(A16258))</f>
        <v/>
      </c>
      <c r="D16258">
        <f>IF(B16258="","",HOUR(A16258))</f>
        <v/>
      </c>
    </row>
    <row r="16259">
      <c r="A16259">
        <f>Input!A16259</f>
        <v/>
      </c>
      <c r="B16259">
        <f>IF(ISNUMBER(Input!B16259),IF(AND(Input!B16259&gt;=20,Input!B16259&lt;=700),Input!B16259,""),"")</f>
        <v/>
      </c>
      <c r="C16259">
        <f>IF(B16259="","",INT(A16259))</f>
        <v/>
      </c>
      <c r="D16259">
        <f>IF(B16259="","",HOUR(A16259))</f>
        <v/>
      </c>
    </row>
    <row r="16260">
      <c r="A16260">
        <f>Input!A16260</f>
        <v/>
      </c>
      <c r="B16260">
        <f>IF(ISNUMBER(Input!B16260),IF(AND(Input!B16260&gt;=20,Input!B16260&lt;=700),Input!B16260,""),"")</f>
        <v/>
      </c>
      <c r="C16260">
        <f>IF(B16260="","",INT(A16260))</f>
        <v/>
      </c>
      <c r="D16260">
        <f>IF(B16260="","",HOUR(A16260))</f>
        <v/>
      </c>
    </row>
    <row r="16261">
      <c r="A16261">
        <f>Input!A16261</f>
        <v/>
      </c>
      <c r="B16261">
        <f>IF(ISNUMBER(Input!B16261),IF(AND(Input!B16261&gt;=20,Input!B16261&lt;=700),Input!B16261,""),"")</f>
        <v/>
      </c>
      <c r="C16261">
        <f>IF(B16261="","",INT(A16261))</f>
        <v/>
      </c>
      <c r="D16261">
        <f>IF(B16261="","",HOUR(A16261))</f>
        <v/>
      </c>
    </row>
    <row r="16262">
      <c r="A16262">
        <f>Input!A16262</f>
        <v/>
      </c>
      <c r="B16262">
        <f>IF(ISNUMBER(Input!B16262),IF(AND(Input!B16262&gt;=20,Input!B16262&lt;=700),Input!B16262,""),"")</f>
        <v/>
      </c>
      <c r="C16262">
        <f>IF(B16262="","",INT(A16262))</f>
        <v/>
      </c>
      <c r="D16262">
        <f>IF(B16262="","",HOUR(A16262))</f>
        <v/>
      </c>
    </row>
    <row r="16263">
      <c r="A16263">
        <f>Input!A16263</f>
        <v/>
      </c>
      <c r="B16263">
        <f>IF(ISNUMBER(Input!B16263),IF(AND(Input!B16263&gt;=20,Input!B16263&lt;=700),Input!B16263,""),"")</f>
        <v/>
      </c>
      <c r="C16263">
        <f>IF(B16263="","",INT(A16263))</f>
        <v/>
      </c>
      <c r="D16263">
        <f>IF(B16263="","",HOUR(A16263))</f>
        <v/>
      </c>
    </row>
    <row r="16264">
      <c r="A16264">
        <f>Input!A16264</f>
        <v/>
      </c>
      <c r="B16264">
        <f>IF(ISNUMBER(Input!B16264),IF(AND(Input!B16264&gt;=20,Input!B16264&lt;=700),Input!B16264,""),"")</f>
        <v/>
      </c>
      <c r="C16264">
        <f>IF(B16264="","",INT(A16264))</f>
        <v/>
      </c>
      <c r="D16264">
        <f>IF(B16264="","",HOUR(A16264))</f>
        <v/>
      </c>
    </row>
    <row r="16265">
      <c r="A16265">
        <f>Input!A16265</f>
        <v/>
      </c>
      <c r="B16265">
        <f>IF(ISNUMBER(Input!B16265),IF(AND(Input!B16265&gt;=20,Input!B16265&lt;=700),Input!B16265,""),"")</f>
        <v/>
      </c>
      <c r="C16265">
        <f>IF(B16265="","",INT(A16265))</f>
        <v/>
      </c>
      <c r="D16265">
        <f>IF(B16265="","",HOUR(A16265))</f>
        <v/>
      </c>
    </row>
    <row r="16266">
      <c r="A16266">
        <f>Input!A16266</f>
        <v/>
      </c>
      <c r="B16266">
        <f>IF(ISNUMBER(Input!B16266),IF(AND(Input!B16266&gt;=20,Input!B16266&lt;=700),Input!B16266,""),"")</f>
        <v/>
      </c>
      <c r="C16266">
        <f>IF(B16266="","",INT(A16266))</f>
        <v/>
      </c>
      <c r="D16266">
        <f>IF(B16266="","",HOUR(A16266))</f>
        <v/>
      </c>
    </row>
    <row r="16267">
      <c r="A16267">
        <f>Input!A16267</f>
        <v/>
      </c>
      <c r="B16267">
        <f>IF(ISNUMBER(Input!B16267),IF(AND(Input!B16267&gt;=20,Input!B16267&lt;=700),Input!B16267,""),"")</f>
        <v/>
      </c>
      <c r="C16267">
        <f>IF(B16267="","",INT(A16267))</f>
        <v/>
      </c>
      <c r="D16267">
        <f>IF(B16267="","",HOUR(A16267))</f>
        <v/>
      </c>
    </row>
    <row r="16268">
      <c r="A16268">
        <f>Input!A16268</f>
        <v/>
      </c>
      <c r="B16268">
        <f>IF(ISNUMBER(Input!B16268),IF(AND(Input!B16268&gt;=20,Input!B16268&lt;=700),Input!B16268,""),"")</f>
        <v/>
      </c>
      <c r="C16268">
        <f>IF(B16268="","",INT(A16268))</f>
        <v/>
      </c>
      <c r="D16268">
        <f>IF(B16268="","",HOUR(A16268))</f>
        <v/>
      </c>
    </row>
    <row r="16269">
      <c r="A16269">
        <f>Input!A16269</f>
        <v/>
      </c>
      <c r="B16269">
        <f>IF(ISNUMBER(Input!B16269),IF(AND(Input!B16269&gt;=20,Input!B16269&lt;=700),Input!B16269,""),"")</f>
        <v/>
      </c>
      <c r="C16269">
        <f>IF(B16269="","",INT(A16269))</f>
        <v/>
      </c>
      <c r="D16269">
        <f>IF(B16269="","",HOUR(A16269))</f>
        <v/>
      </c>
    </row>
    <row r="16270">
      <c r="A16270">
        <f>Input!A16270</f>
        <v/>
      </c>
      <c r="B16270">
        <f>IF(ISNUMBER(Input!B16270),IF(AND(Input!B16270&gt;=20,Input!B16270&lt;=700),Input!B16270,""),"")</f>
        <v/>
      </c>
      <c r="C16270">
        <f>IF(B16270="","",INT(A16270))</f>
        <v/>
      </c>
      <c r="D16270">
        <f>IF(B16270="","",HOUR(A16270))</f>
        <v/>
      </c>
    </row>
    <row r="16271">
      <c r="A16271">
        <f>Input!A16271</f>
        <v/>
      </c>
      <c r="B16271">
        <f>IF(ISNUMBER(Input!B16271),IF(AND(Input!B16271&gt;=20,Input!B16271&lt;=700),Input!B16271,""),"")</f>
        <v/>
      </c>
      <c r="C16271">
        <f>IF(B16271="","",INT(A16271))</f>
        <v/>
      </c>
      <c r="D16271">
        <f>IF(B16271="","",HOUR(A16271))</f>
        <v/>
      </c>
    </row>
    <row r="16272">
      <c r="A16272">
        <f>Input!A16272</f>
        <v/>
      </c>
      <c r="B16272">
        <f>IF(ISNUMBER(Input!B16272),IF(AND(Input!B16272&gt;=20,Input!B16272&lt;=700),Input!B16272,""),"")</f>
        <v/>
      </c>
      <c r="C16272">
        <f>IF(B16272="","",INT(A16272))</f>
        <v/>
      </c>
      <c r="D16272">
        <f>IF(B16272="","",HOUR(A16272))</f>
        <v/>
      </c>
    </row>
    <row r="16273">
      <c r="A16273">
        <f>Input!A16273</f>
        <v/>
      </c>
      <c r="B16273">
        <f>IF(ISNUMBER(Input!B16273),IF(AND(Input!B16273&gt;=20,Input!B16273&lt;=700),Input!B16273,""),"")</f>
        <v/>
      </c>
      <c r="C16273">
        <f>IF(B16273="","",INT(A16273))</f>
        <v/>
      </c>
      <c r="D16273">
        <f>IF(B16273="","",HOUR(A16273))</f>
        <v/>
      </c>
    </row>
    <row r="16274">
      <c r="A16274">
        <f>Input!A16274</f>
        <v/>
      </c>
      <c r="B16274">
        <f>IF(ISNUMBER(Input!B16274),IF(AND(Input!B16274&gt;=20,Input!B16274&lt;=700),Input!B16274,""),"")</f>
        <v/>
      </c>
      <c r="C16274">
        <f>IF(B16274="","",INT(A16274))</f>
        <v/>
      </c>
      <c r="D16274">
        <f>IF(B16274="","",HOUR(A16274))</f>
        <v/>
      </c>
    </row>
    <row r="16275">
      <c r="A16275">
        <f>Input!A16275</f>
        <v/>
      </c>
      <c r="B16275">
        <f>IF(ISNUMBER(Input!B16275),IF(AND(Input!B16275&gt;=20,Input!B16275&lt;=700),Input!B16275,""),"")</f>
        <v/>
      </c>
      <c r="C16275">
        <f>IF(B16275="","",INT(A16275))</f>
        <v/>
      </c>
      <c r="D16275">
        <f>IF(B16275="","",HOUR(A16275))</f>
        <v/>
      </c>
    </row>
    <row r="16276">
      <c r="A16276">
        <f>Input!A16276</f>
        <v/>
      </c>
      <c r="B16276">
        <f>IF(ISNUMBER(Input!B16276),IF(AND(Input!B16276&gt;=20,Input!B16276&lt;=700),Input!B16276,""),"")</f>
        <v/>
      </c>
      <c r="C16276">
        <f>IF(B16276="","",INT(A16276))</f>
        <v/>
      </c>
      <c r="D16276">
        <f>IF(B16276="","",HOUR(A16276))</f>
        <v/>
      </c>
    </row>
    <row r="16277">
      <c r="A16277">
        <f>Input!A16277</f>
        <v/>
      </c>
      <c r="B16277">
        <f>IF(ISNUMBER(Input!B16277),IF(AND(Input!B16277&gt;=20,Input!B16277&lt;=700),Input!B16277,""),"")</f>
        <v/>
      </c>
      <c r="C16277">
        <f>IF(B16277="","",INT(A16277))</f>
        <v/>
      </c>
      <c r="D16277">
        <f>IF(B16277="","",HOUR(A16277))</f>
        <v/>
      </c>
    </row>
    <row r="16278">
      <c r="A16278">
        <f>Input!A16278</f>
        <v/>
      </c>
      <c r="B16278">
        <f>IF(ISNUMBER(Input!B16278),IF(AND(Input!B16278&gt;=20,Input!B16278&lt;=700),Input!B16278,""),"")</f>
        <v/>
      </c>
      <c r="C16278">
        <f>IF(B16278="","",INT(A16278))</f>
        <v/>
      </c>
      <c r="D16278">
        <f>IF(B16278="","",HOUR(A16278))</f>
        <v/>
      </c>
    </row>
    <row r="16279">
      <c r="A16279">
        <f>Input!A16279</f>
        <v/>
      </c>
      <c r="B16279">
        <f>IF(ISNUMBER(Input!B16279),IF(AND(Input!B16279&gt;=20,Input!B16279&lt;=700),Input!B16279,""),"")</f>
        <v/>
      </c>
      <c r="C16279">
        <f>IF(B16279="","",INT(A16279))</f>
        <v/>
      </c>
      <c r="D16279">
        <f>IF(B16279="","",HOUR(A16279))</f>
        <v/>
      </c>
    </row>
    <row r="16280">
      <c r="A16280">
        <f>Input!A16280</f>
        <v/>
      </c>
      <c r="B16280">
        <f>IF(ISNUMBER(Input!B16280),IF(AND(Input!B16280&gt;=20,Input!B16280&lt;=700),Input!B16280,""),"")</f>
        <v/>
      </c>
      <c r="C16280">
        <f>IF(B16280="","",INT(A16280))</f>
        <v/>
      </c>
      <c r="D16280">
        <f>IF(B16280="","",HOUR(A16280))</f>
        <v/>
      </c>
    </row>
    <row r="16281">
      <c r="A16281">
        <f>Input!A16281</f>
        <v/>
      </c>
      <c r="B16281">
        <f>IF(ISNUMBER(Input!B16281),IF(AND(Input!B16281&gt;=20,Input!B16281&lt;=700),Input!B16281,""),"")</f>
        <v/>
      </c>
      <c r="C16281">
        <f>IF(B16281="","",INT(A16281))</f>
        <v/>
      </c>
      <c r="D16281">
        <f>IF(B16281="","",HOUR(A16281))</f>
        <v/>
      </c>
    </row>
    <row r="16282">
      <c r="A16282">
        <f>Input!A16282</f>
        <v/>
      </c>
      <c r="B16282">
        <f>IF(ISNUMBER(Input!B16282),IF(AND(Input!B16282&gt;=20,Input!B16282&lt;=700),Input!B16282,""),"")</f>
        <v/>
      </c>
      <c r="C16282">
        <f>IF(B16282="","",INT(A16282))</f>
        <v/>
      </c>
      <c r="D16282">
        <f>IF(B16282="","",HOUR(A16282))</f>
        <v/>
      </c>
    </row>
    <row r="16283">
      <c r="A16283">
        <f>Input!A16283</f>
        <v/>
      </c>
      <c r="B16283">
        <f>IF(ISNUMBER(Input!B16283),IF(AND(Input!B16283&gt;=20,Input!B16283&lt;=700),Input!B16283,""),"")</f>
        <v/>
      </c>
      <c r="C16283">
        <f>IF(B16283="","",INT(A16283))</f>
        <v/>
      </c>
      <c r="D16283">
        <f>IF(B16283="","",HOUR(A16283))</f>
        <v/>
      </c>
    </row>
    <row r="16284">
      <c r="A16284">
        <f>Input!A16284</f>
        <v/>
      </c>
      <c r="B16284">
        <f>IF(ISNUMBER(Input!B16284),IF(AND(Input!B16284&gt;=20,Input!B16284&lt;=700),Input!B16284,""),"")</f>
        <v/>
      </c>
      <c r="C16284">
        <f>IF(B16284="","",INT(A16284))</f>
        <v/>
      </c>
      <c r="D16284">
        <f>IF(B16284="","",HOUR(A16284))</f>
        <v/>
      </c>
    </row>
    <row r="16285">
      <c r="A16285">
        <f>Input!A16285</f>
        <v/>
      </c>
      <c r="B16285">
        <f>IF(ISNUMBER(Input!B16285),IF(AND(Input!B16285&gt;=20,Input!B16285&lt;=700),Input!B16285,""),"")</f>
        <v/>
      </c>
      <c r="C16285">
        <f>IF(B16285="","",INT(A16285))</f>
        <v/>
      </c>
      <c r="D16285">
        <f>IF(B16285="","",HOUR(A16285))</f>
        <v/>
      </c>
    </row>
    <row r="16286">
      <c r="A16286">
        <f>Input!A16286</f>
        <v/>
      </c>
      <c r="B16286">
        <f>IF(ISNUMBER(Input!B16286),IF(AND(Input!B16286&gt;=20,Input!B16286&lt;=700),Input!B16286,""),"")</f>
        <v/>
      </c>
      <c r="C16286">
        <f>IF(B16286="","",INT(A16286))</f>
        <v/>
      </c>
      <c r="D16286">
        <f>IF(B16286="","",HOUR(A16286))</f>
        <v/>
      </c>
    </row>
    <row r="16287">
      <c r="A16287">
        <f>Input!A16287</f>
        <v/>
      </c>
      <c r="B16287">
        <f>IF(ISNUMBER(Input!B16287),IF(AND(Input!B16287&gt;=20,Input!B16287&lt;=700),Input!B16287,""),"")</f>
        <v/>
      </c>
      <c r="C16287">
        <f>IF(B16287="","",INT(A16287))</f>
        <v/>
      </c>
      <c r="D16287">
        <f>IF(B16287="","",HOUR(A16287))</f>
        <v/>
      </c>
    </row>
    <row r="16288">
      <c r="A16288">
        <f>Input!A16288</f>
        <v/>
      </c>
      <c r="B16288">
        <f>IF(ISNUMBER(Input!B16288),IF(AND(Input!B16288&gt;=20,Input!B16288&lt;=700),Input!B16288,""),"")</f>
        <v/>
      </c>
      <c r="C16288">
        <f>IF(B16288="","",INT(A16288))</f>
        <v/>
      </c>
      <c r="D16288">
        <f>IF(B16288="","",HOUR(A16288))</f>
        <v/>
      </c>
    </row>
    <row r="16289">
      <c r="A16289">
        <f>Input!A16289</f>
        <v/>
      </c>
      <c r="B16289">
        <f>IF(ISNUMBER(Input!B16289),IF(AND(Input!B16289&gt;=20,Input!B16289&lt;=700),Input!B16289,""),"")</f>
        <v/>
      </c>
      <c r="C16289">
        <f>IF(B16289="","",INT(A16289))</f>
        <v/>
      </c>
      <c r="D16289">
        <f>IF(B16289="","",HOUR(A16289))</f>
        <v/>
      </c>
    </row>
    <row r="16290">
      <c r="A16290">
        <f>Input!A16290</f>
        <v/>
      </c>
      <c r="B16290">
        <f>IF(ISNUMBER(Input!B16290),IF(AND(Input!B16290&gt;=20,Input!B16290&lt;=700),Input!B16290,""),"")</f>
        <v/>
      </c>
      <c r="C16290">
        <f>IF(B16290="","",INT(A16290))</f>
        <v/>
      </c>
      <c r="D16290">
        <f>IF(B16290="","",HOUR(A16290))</f>
        <v/>
      </c>
    </row>
    <row r="16291">
      <c r="A16291">
        <f>Input!A16291</f>
        <v/>
      </c>
      <c r="B16291">
        <f>IF(ISNUMBER(Input!B16291),IF(AND(Input!B16291&gt;=20,Input!B16291&lt;=700),Input!B16291,""),"")</f>
        <v/>
      </c>
      <c r="C16291">
        <f>IF(B16291="","",INT(A16291))</f>
        <v/>
      </c>
      <c r="D16291">
        <f>IF(B16291="","",HOUR(A16291))</f>
        <v/>
      </c>
    </row>
    <row r="16292">
      <c r="A16292">
        <f>Input!A16292</f>
        <v/>
      </c>
      <c r="B16292">
        <f>IF(ISNUMBER(Input!B16292),IF(AND(Input!B16292&gt;=20,Input!B16292&lt;=700),Input!B16292,""),"")</f>
        <v/>
      </c>
      <c r="C16292">
        <f>IF(B16292="","",INT(A16292))</f>
        <v/>
      </c>
      <c r="D16292">
        <f>IF(B16292="","",HOUR(A16292))</f>
        <v/>
      </c>
    </row>
    <row r="16293">
      <c r="A16293">
        <f>Input!A16293</f>
        <v/>
      </c>
      <c r="B16293">
        <f>IF(ISNUMBER(Input!B16293),IF(AND(Input!B16293&gt;=20,Input!B16293&lt;=700),Input!B16293,""),"")</f>
        <v/>
      </c>
      <c r="C16293">
        <f>IF(B16293="","",INT(A16293))</f>
        <v/>
      </c>
      <c r="D16293">
        <f>IF(B16293="","",HOUR(A16293))</f>
        <v/>
      </c>
    </row>
    <row r="16294">
      <c r="A16294">
        <f>Input!A16294</f>
        <v/>
      </c>
      <c r="B16294">
        <f>IF(ISNUMBER(Input!B16294),IF(AND(Input!B16294&gt;=20,Input!B16294&lt;=700),Input!B16294,""),"")</f>
        <v/>
      </c>
      <c r="C16294">
        <f>IF(B16294="","",INT(A16294))</f>
        <v/>
      </c>
      <c r="D16294">
        <f>IF(B16294="","",HOUR(A16294))</f>
        <v/>
      </c>
    </row>
    <row r="16295">
      <c r="A16295">
        <f>Input!A16295</f>
        <v/>
      </c>
      <c r="B16295">
        <f>IF(ISNUMBER(Input!B16295),IF(AND(Input!B16295&gt;=20,Input!B16295&lt;=700),Input!B16295,""),"")</f>
        <v/>
      </c>
      <c r="C16295">
        <f>IF(B16295="","",INT(A16295))</f>
        <v/>
      </c>
      <c r="D16295">
        <f>IF(B16295="","",HOUR(A16295))</f>
        <v/>
      </c>
    </row>
    <row r="16296">
      <c r="A16296">
        <f>Input!A16296</f>
        <v/>
      </c>
      <c r="B16296">
        <f>IF(ISNUMBER(Input!B16296),IF(AND(Input!B16296&gt;=20,Input!B16296&lt;=700),Input!B16296,""),"")</f>
        <v/>
      </c>
      <c r="C16296">
        <f>IF(B16296="","",INT(A16296))</f>
        <v/>
      </c>
      <c r="D16296">
        <f>IF(B16296="","",HOUR(A16296))</f>
        <v/>
      </c>
    </row>
    <row r="16297">
      <c r="A16297">
        <f>Input!A16297</f>
        <v/>
      </c>
      <c r="B16297">
        <f>IF(ISNUMBER(Input!B16297),IF(AND(Input!B16297&gt;=20,Input!B16297&lt;=700),Input!B16297,""),"")</f>
        <v/>
      </c>
      <c r="C16297">
        <f>IF(B16297="","",INT(A16297))</f>
        <v/>
      </c>
      <c r="D16297">
        <f>IF(B16297="","",HOUR(A16297))</f>
        <v/>
      </c>
    </row>
    <row r="16298">
      <c r="A16298">
        <f>Input!A16298</f>
        <v/>
      </c>
      <c r="B16298">
        <f>IF(ISNUMBER(Input!B16298),IF(AND(Input!B16298&gt;=20,Input!B16298&lt;=700),Input!B16298,""),"")</f>
        <v/>
      </c>
      <c r="C16298">
        <f>IF(B16298="","",INT(A16298))</f>
        <v/>
      </c>
      <c r="D16298">
        <f>IF(B16298="","",HOUR(A16298))</f>
        <v/>
      </c>
    </row>
    <row r="16299">
      <c r="A16299">
        <f>Input!A16299</f>
        <v/>
      </c>
      <c r="B16299">
        <f>IF(ISNUMBER(Input!B16299),IF(AND(Input!B16299&gt;=20,Input!B16299&lt;=700),Input!B16299,""),"")</f>
        <v/>
      </c>
      <c r="C16299">
        <f>IF(B16299="","",INT(A16299))</f>
        <v/>
      </c>
      <c r="D16299">
        <f>IF(B16299="","",HOUR(A16299))</f>
        <v/>
      </c>
    </row>
    <row r="16300">
      <c r="A16300">
        <f>Input!A16300</f>
        <v/>
      </c>
      <c r="B16300">
        <f>IF(ISNUMBER(Input!B16300),IF(AND(Input!B16300&gt;=20,Input!B16300&lt;=700),Input!B16300,""),"")</f>
        <v/>
      </c>
      <c r="C16300">
        <f>IF(B16300="","",INT(A16300))</f>
        <v/>
      </c>
      <c r="D16300">
        <f>IF(B16300="","",HOUR(A16300))</f>
        <v/>
      </c>
    </row>
    <row r="16301">
      <c r="A16301">
        <f>Input!A16301</f>
        <v/>
      </c>
      <c r="B16301">
        <f>IF(ISNUMBER(Input!B16301),IF(AND(Input!B16301&gt;=20,Input!B16301&lt;=700),Input!B16301,""),"")</f>
        <v/>
      </c>
      <c r="C16301">
        <f>IF(B16301="","",INT(A16301))</f>
        <v/>
      </c>
      <c r="D16301">
        <f>IF(B16301="","",HOUR(A16301))</f>
        <v/>
      </c>
    </row>
    <row r="16302">
      <c r="A16302">
        <f>Input!A16302</f>
        <v/>
      </c>
      <c r="B16302">
        <f>IF(ISNUMBER(Input!B16302),IF(AND(Input!B16302&gt;=20,Input!B16302&lt;=700),Input!B16302,""),"")</f>
        <v/>
      </c>
      <c r="C16302">
        <f>IF(B16302="","",INT(A16302))</f>
        <v/>
      </c>
      <c r="D16302">
        <f>IF(B16302="","",HOUR(A16302))</f>
        <v/>
      </c>
    </row>
    <row r="16303">
      <c r="A16303">
        <f>Input!A16303</f>
        <v/>
      </c>
      <c r="B16303">
        <f>IF(ISNUMBER(Input!B16303),IF(AND(Input!B16303&gt;=20,Input!B16303&lt;=700),Input!B16303,""),"")</f>
        <v/>
      </c>
      <c r="C16303">
        <f>IF(B16303="","",INT(A16303))</f>
        <v/>
      </c>
      <c r="D16303">
        <f>IF(B16303="","",HOUR(A16303))</f>
        <v/>
      </c>
    </row>
    <row r="16304">
      <c r="A16304">
        <f>Input!A16304</f>
        <v/>
      </c>
      <c r="B16304">
        <f>IF(ISNUMBER(Input!B16304),IF(AND(Input!B16304&gt;=20,Input!B16304&lt;=700),Input!B16304,""),"")</f>
        <v/>
      </c>
      <c r="C16304">
        <f>IF(B16304="","",INT(A16304))</f>
        <v/>
      </c>
      <c r="D16304">
        <f>IF(B16304="","",HOUR(A16304))</f>
        <v/>
      </c>
    </row>
    <row r="16305">
      <c r="A16305">
        <f>Input!A16305</f>
        <v/>
      </c>
      <c r="B16305">
        <f>IF(ISNUMBER(Input!B16305),IF(AND(Input!B16305&gt;=20,Input!B16305&lt;=700),Input!B16305,""),"")</f>
        <v/>
      </c>
      <c r="C16305">
        <f>IF(B16305="","",INT(A16305))</f>
        <v/>
      </c>
      <c r="D16305">
        <f>IF(B16305="","",HOUR(A16305))</f>
        <v/>
      </c>
    </row>
    <row r="16306">
      <c r="A16306">
        <f>Input!A16306</f>
        <v/>
      </c>
      <c r="B16306">
        <f>IF(ISNUMBER(Input!B16306),IF(AND(Input!B16306&gt;=20,Input!B16306&lt;=700),Input!B16306,""),"")</f>
        <v/>
      </c>
      <c r="C16306">
        <f>IF(B16306="","",INT(A16306))</f>
        <v/>
      </c>
      <c r="D16306">
        <f>IF(B16306="","",HOUR(A16306))</f>
        <v/>
      </c>
    </row>
    <row r="16307">
      <c r="A16307">
        <f>Input!A16307</f>
        <v/>
      </c>
      <c r="B16307">
        <f>IF(ISNUMBER(Input!B16307),IF(AND(Input!B16307&gt;=20,Input!B16307&lt;=700),Input!B16307,""),"")</f>
        <v/>
      </c>
      <c r="C16307">
        <f>IF(B16307="","",INT(A16307))</f>
        <v/>
      </c>
      <c r="D16307">
        <f>IF(B16307="","",HOUR(A16307))</f>
        <v/>
      </c>
    </row>
    <row r="16308">
      <c r="A16308">
        <f>Input!A16308</f>
        <v/>
      </c>
      <c r="B16308">
        <f>IF(ISNUMBER(Input!B16308),IF(AND(Input!B16308&gt;=20,Input!B16308&lt;=700),Input!B16308,""),"")</f>
        <v/>
      </c>
      <c r="C16308">
        <f>IF(B16308="","",INT(A16308))</f>
        <v/>
      </c>
      <c r="D16308">
        <f>IF(B16308="","",HOUR(A16308))</f>
        <v/>
      </c>
    </row>
    <row r="16309">
      <c r="A16309">
        <f>Input!A16309</f>
        <v/>
      </c>
      <c r="B16309">
        <f>IF(ISNUMBER(Input!B16309),IF(AND(Input!B16309&gt;=20,Input!B16309&lt;=700),Input!B16309,""),"")</f>
        <v/>
      </c>
      <c r="C16309">
        <f>IF(B16309="","",INT(A16309))</f>
        <v/>
      </c>
      <c r="D16309">
        <f>IF(B16309="","",HOUR(A16309))</f>
        <v/>
      </c>
    </row>
    <row r="16310">
      <c r="A16310">
        <f>Input!A16310</f>
        <v/>
      </c>
      <c r="B16310">
        <f>IF(ISNUMBER(Input!B16310),IF(AND(Input!B16310&gt;=20,Input!B16310&lt;=700),Input!B16310,""),"")</f>
        <v/>
      </c>
      <c r="C16310">
        <f>IF(B16310="","",INT(A16310))</f>
        <v/>
      </c>
      <c r="D16310">
        <f>IF(B16310="","",HOUR(A16310))</f>
        <v/>
      </c>
    </row>
    <row r="16311">
      <c r="A16311">
        <f>Input!A16311</f>
        <v/>
      </c>
      <c r="B16311">
        <f>IF(ISNUMBER(Input!B16311),IF(AND(Input!B16311&gt;=20,Input!B16311&lt;=700),Input!B16311,""),"")</f>
        <v/>
      </c>
      <c r="C16311">
        <f>IF(B16311="","",INT(A16311))</f>
        <v/>
      </c>
      <c r="D16311">
        <f>IF(B16311="","",HOUR(A16311))</f>
        <v/>
      </c>
    </row>
    <row r="16312">
      <c r="A16312">
        <f>Input!A16312</f>
        <v/>
      </c>
      <c r="B16312">
        <f>IF(ISNUMBER(Input!B16312),IF(AND(Input!B16312&gt;=20,Input!B16312&lt;=700),Input!B16312,""),"")</f>
        <v/>
      </c>
      <c r="C16312">
        <f>IF(B16312="","",INT(A16312))</f>
        <v/>
      </c>
      <c r="D16312">
        <f>IF(B16312="","",HOUR(A16312))</f>
        <v/>
      </c>
    </row>
    <row r="16313">
      <c r="A16313">
        <f>Input!A16313</f>
        <v/>
      </c>
      <c r="B16313">
        <f>IF(ISNUMBER(Input!B16313),IF(AND(Input!B16313&gt;=20,Input!B16313&lt;=700),Input!B16313,""),"")</f>
        <v/>
      </c>
      <c r="C16313">
        <f>IF(B16313="","",INT(A16313))</f>
        <v/>
      </c>
      <c r="D16313">
        <f>IF(B16313="","",HOUR(A16313))</f>
        <v/>
      </c>
    </row>
    <row r="16314">
      <c r="A16314">
        <f>Input!A16314</f>
        <v/>
      </c>
      <c r="B16314">
        <f>IF(ISNUMBER(Input!B16314),IF(AND(Input!B16314&gt;=20,Input!B16314&lt;=700),Input!B16314,""),"")</f>
        <v/>
      </c>
      <c r="C16314">
        <f>IF(B16314="","",INT(A16314))</f>
        <v/>
      </c>
      <c r="D16314">
        <f>IF(B16314="","",HOUR(A16314))</f>
        <v/>
      </c>
    </row>
    <row r="16315">
      <c r="A16315">
        <f>Input!A16315</f>
        <v/>
      </c>
      <c r="B16315">
        <f>IF(ISNUMBER(Input!B16315),IF(AND(Input!B16315&gt;=20,Input!B16315&lt;=700),Input!B16315,""),"")</f>
        <v/>
      </c>
      <c r="C16315">
        <f>IF(B16315="","",INT(A16315))</f>
        <v/>
      </c>
      <c r="D16315">
        <f>IF(B16315="","",HOUR(A16315))</f>
        <v/>
      </c>
    </row>
    <row r="16316">
      <c r="A16316">
        <f>Input!A16316</f>
        <v/>
      </c>
      <c r="B16316">
        <f>IF(ISNUMBER(Input!B16316),IF(AND(Input!B16316&gt;=20,Input!B16316&lt;=700),Input!B16316,""),"")</f>
        <v/>
      </c>
      <c r="C16316">
        <f>IF(B16316="","",INT(A16316))</f>
        <v/>
      </c>
      <c r="D16316">
        <f>IF(B16316="","",HOUR(A16316))</f>
        <v/>
      </c>
    </row>
    <row r="16317">
      <c r="A16317">
        <f>Input!A16317</f>
        <v/>
      </c>
      <c r="B16317">
        <f>IF(ISNUMBER(Input!B16317),IF(AND(Input!B16317&gt;=20,Input!B16317&lt;=700),Input!B16317,""),"")</f>
        <v/>
      </c>
      <c r="C16317">
        <f>IF(B16317="","",INT(A16317))</f>
        <v/>
      </c>
      <c r="D16317">
        <f>IF(B16317="","",HOUR(A16317))</f>
        <v/>
      </c>
    </row>
    <row r="16318">
      <c r="A16318">
        <f>Input!A16318</f>
        <v/>
      </c>
      <c r="B16318">
        <f>IF(ISNUMBER(Input!B16318),IF(AND(Input!B16318&gt;=20,Input!B16318&lt;=700),Input!B16318,""),"")</f>
        <v/>
      </c>
      <c r="C16318">
        <f>IF(B16318="","",INT(A16318))</f>
        <v/>
      </c>
      <c r="D16318">
        <f>IF(B16318="","",HOUR(A16318))</f>
        <v/>
      </c>
    </row>
    <row r="16319">
      <c r="A16319">
        <f>Input!A16319</f>
        <v/>
      </c>
      <c r="B16319">
        <f>IF(ISNUMBER(Input!B16319),IF(AND(Input!B16319&gt;=20,Input!B16319&lt;=700),Input!B16319,""),"")</f>
        <v/>
      </c>
      <c r="C16319">
        <f>IF(B16319="","",INT(A16319))</f>
        <v/>
      </c>
      <c r="D16319">
        <f>IF(B16319="","",HOUR(A16319))</f>
        <v/>
      </c>
    </row>
    <row r="16320">
      <c r="A16320">
        <f>Input!A16320</f>
        <v/>
      </c>
      <c r="B16320">
        <f>IF(ISNUMBER(Input!B16320),IF(AND(Input!B16320&gt;=20,Input!B16320&lt;=700),Input!B16320,""),"")</f>
        <v/>
      </c>
      <c r="C16320">
        <f>IF(B16320="","",INT(A16320))</f>
        <v/>
      </c>
      <c r="D16320">
        <f>IF(B16320="","",HOUR(A16320))</f>
        <v/>
      </c>
    </row>
    <row r="16321">
      <c r="A16321">
        <f>Input!A16321</f>
        <v/>
      </c>
      <c r="B16321">
        <f>IF(ISNUMBER(Input!B16321),IF(AND(Input!B16321&gt;=20,Input!B16321&lt;=700),Input!B16321,""),"")</f>
        <v/>
      </c>
      <c r="C16321">
        <f>IF(B16321="","",INT(A16321))</f>
        <v/>
      </c>
      <c r="D16321">
        <f>IF(B16321="","",HOUR(A16321))</f>
        <v/>
      </c>
    </row>
    <row r="16322">
      <c r="A16322">
        <f>Input!A16322</f>
        <v/>
      </c>
      <c r="B16322">
        <f>IF(ISNUMBER(Input!B16322),IF(AND(Input!B16322&gt;=20,Input!B16322&lt;=700),Input!B16322,""),"")</f>
        <v/>
      </c>
      <c r="C16322">
        <f>IF(B16322="","",INT(A16322))</f>
        <v/>
      </c>
      <c r="D16322">
        <f>IF(B16322="","",HOUR(A16322))</f>
        <v/>
      </c>
    </row>
    <row r="16323">
      <c r="A16323">
        <f>Input!A16323</f>
        <v/>
      </c>
      <c r="B16323">
        <f>IF(ISNUMBER(Input!B16323),IF(AND(Input!B16323&gt;=20,Input!B16323&lt;=700),Input!B16323,""),"")</f>
        <v/>
      </c>
      <c r="C16323">
        <f>IF(B16323="","",INT(A16323))</f>
        <v/>
      </c>
      <c r="D16323">
        <f>IF(B16323="","",HOUR(A16323))</f>
        <v/>
      </c>
    </row>
    <row r="16324">
      <c r="A16324">
        <f>Input!A16324</f>
        <v/>
      </c>
      <c r="B16324">
        <f>IF(ISNUMBER(Input!B16324),IF(AND(Input!B16324&gt;=20,Input!B16324&lt;=700),Input!B16324,""),"")</f>
        <v/>
      </c>
      <c r="C16324">
        <f>IF(B16324="","",INT(A16324))</f>
        <v/>
      </c>
      <c r="D16324">
        <f>IF(B16324="","",HOUR(A16324))</f>
        <v/>
      </c>
    </row>
    <row r="16325">
      <c r="A16325">
        <f>Input!A16325</f>
        <v/>
      </c>
      <c r="B16325">
        <f>IF(ISNUMBER(Input!B16325),IF(AND(Input!B16325&gt;=20,Input!B16325&lt;=700),Input!B16325,""),"")</f>
        <v/>
      </c>
      <c r="C16325">
        <f>IF(B16325="","",INT(A16325))</f>
        <v/>
      </c>
      <c r="D16325">
        <f>IF(B16325="","",HOUR(A16325))</f>
        <v/>
      </c>
    </row>
    <row r="16326">
      <c r="A16326">
        <f>Input!A16326</f>
        <v/>
      </c>
      <c r="B16326">
        <f>IF(ISNUMBER(Input!B16326),IF(AND(Input!B16326&gt;=20,Input!B16326&lt;=700),Input!B16326,""),"")</f>
        <v/>
      </c>
      <c r="C16326">
        <f>IF(B16326="","",INT(A16326))</f>
        <v/>
      </c>
      <c r="D16326">
        <f>IF(B16326="","",HOUR(A16326))</f>
        <v/>
      </c>
    </row>
    <row r="16327">
      <c r="A16327">
        <f>Input!A16327</f>
        <v/>
      </c>
      <c r="B16327">
        <f>IF(ISNUMBER(Input!B16327),IF(AND(Input!B16327&gt;=20,Input!B16327&lt;=700),Input!B16327,""),"")</f>
        <v/>
      </c>
      <c r="C16327">
        <f>IF(B16327="","",INT(A16327))</f>
        <v/>
      </c>
      <c r="D16327">
        <f>IF(B16327="","",HOUR(A16327))</f>
        <v/>
      </c>
    </row>
    <row r="16328">
      <c r="A16328">
        <f>Input!A16328</f>
        <v/>
      </c>
      <c r="B16328">
        <f>IF(ISNUMBER(Input!B16328),IF(AND(Input!B16328&gt;=20,Input!B16328&lt;=700),Input!B16328,""),"")</f>
        <v/>
      </c>
      <c r="C16328">
        <f>IF(B16328="","",INT(A16328))</f>
        <v/>
      </c>
      <c r="D16328">
        <f>IF(B16328="","",HOUR(A16328))</f>
        <v/>
      </c>
    </row>
    <row r="16329">
      <c r="A16329">
        <f>Input!A16329</f>
        <v/>
      </c>
      <c r="B16329">
        <f>IF(ISNUMBER(Input!B16329),IF(AND(Input!B16329&gt;=20,Input!B16329&lt;=700),Input!B16329,""),"")</f>
        <v/>
      </c>
      <c r="C16329">
        <f>IF(B16329="","",INT(A16329))</f>
        <v/>
      </c>
      <c r="D16329">
        <f>IF(B16329="","",HOUR(A16329))</f>
        <v/>
      </c>
    </row>
    <row r="16330">
      <c r="A16330">
        <f>Input!A16330</f>
        <v/>
      </c>
      <c r="B16330">
        <f>IF(ISNUMBER(Input!B16330),IF(AND(Input!B16330&gt;=20,Input!B16330&lt;=700),Input!B16330,""),"")</f>
        <v/>
      </c>
      <c r="C16330">
        <f>IF(B16330="","",INT(A16330))</f>
        <v/>
      </c>
      <c r="D16330">
        <f>IF(B16330="","",HOUR(A16330))</f>
        <v/>
      </c>
    </row>
    <row r="16331">
      <c r="A16331">
        <f>Input!A16331</f>
        <v/>
      </c>
      <c r="B16331">
        <f>IF(ISNUMBER(Input!B16331),IF(AND(Input!B16331&gt;=20,Input!B16331&lt;=700),Input!B16331,""),"")</f>
        <v/>
      </c>
      <c r="C16331">
        <f>IF(B16331="","",INT(A16331))</f>
        <v/>
      </c>
      <c r="D16331">
        <f>IF(B16331="","",HOUR(A16331))</f>
        <v/>
      </c>
    </row>
    <row r="16332">
      <c r="A16332">
        <f>Input!A16332</f>
        <v/>
      </c>
      <c r="B16332">
        <f>IF(ISNUMBER(Input!B16332),IF(AND(Input!B16332&gt;=20,Input!B16332&lt;=700),Input!B16332,""),"")</f>
        <v/>
      </c>
      <c r="C16332">
        <f>IF(B16332="","",INT(A16332))</f>
        <v/>
      </c>
      <c r="D16332">
        <f>IF(B16332="","",HOUR(A16332))</f>
        <v/>
      </c>
    </row>
    <row r="16333">
      <c r="A16333">
        <f>Input!A16333</f>
        <v/>
      </c>
      <c r="B16333">
        <f>IF(ISNUMBER(Input!B16333),IF(AND(Input!B16333&gt;=20,Input!B16333&lt;=700),Input!B16333,""),"")</f>
        <v/>
      </c>
      <c r="C16333">
        <f>IF(B16333="","",INT(A16333))</f>
        <v/>
      </c>
      <c r="D16333">
        <f>IF(B16333="","",HOUR(A16333))</f>
        <v/>
      </c>
    </row>
    <row r="16334">
      <c r="A16334">
        <f>Input!A16334</f>
        <v/>
      </c>
      <c r="B16334">
        <f>IF(ISNUMBER(Input!B16334),IF(AND(Input!B16334&gt;=20,Input!B16334&lt;=700),Input!B16334,""),"")</f>
        <v/>
      </c>
      <c r="C16334">
        <f>IF(B16334="","",INT(A16334))</f>
        <v/>
      </c>
      <c r="D16334">
        <f>IF(B16334="","",HOUR(A16334))</f>
        <v/>
      </c>
    </row>
    <row r="16335">
      <c r="A16335">
        <f>Input!A16335</f>
        <v/>
      </c>
      <c r="B16335">
        <f>IF(ISNUMBER(Input!B16335),IF(AND(Input!B16335&gt;=20,Input!B16335&lt;=700),Input!B16335,""),"")</f>
        <v/>
      </c>
      <c r="C16335">
        <f>IF(B16335="","",INT(A16335))</f>
        <v/>
      </c>
      <c r="D16335">
        <f>IF(B16335="","",HOUR(A16335))</f>
        <v/>
      </c>
    </row>
    <row r="16336">
      <c r="A16336">
        <f>Input!A16336</f>
        <v/>
      </c>
      <c r="B16336">
        <f>IF(ISNUMBER(Input!B16336),IF(AND(Input!B16336&gt;=20,Input!B16336&lt;=700),Input!B16336,""),"")</f>
        <v/>
      </c>
      <c r="C16336">
        <f>IF(B16336="","",INT(A16336))</f>
        <v/>
      </c>
      <c r="D16336">
        <f>IF(B16336="","",HOUR(A16336))</f>
        <v/>
      </c>
    </row>
    <row r="16337">
      <c r="A16337">
        <f>Input!A16337</f>
        <v/>
      </c>
      <c r="B16337">
        <f>IF(ISNUMBER(Input!B16337),IF(AND(Input!B16337&gt;=20,Input!B16337&lt;=700),Input!B16337,""),"")</f>
        <v/>
      </c>
      <c r="C16337">
        <f>IF(B16337="","",INT(A16337))</f>
        <v/>
      </c>
      <c r="D16337">
        <f>IF(B16337="","",HOUR(A16337))</f>
        <v/>
      </c>
    </row>
    <row r="16338">
      <c r="A16338">
        <f>Input!A16338</f>
        <v/>
      </c>
      <c r="B16338">
        <f>IF(ISNUMBER(Input!B16338),IF(AND(Input!B16338&gt;=20,Input!B16338&lt;=700),Input!B16338,""),"")</f>
        <v/>
      </c>
      <c r="C16338">
        <f>IF(B16338="","",INT(A16338))</f>
        <v/>
      </c>
      <c r="D16338">
        <f>IF(B16338="","",HOUR(A16338))</f>
        <v/>
      </c>
    </row>
    <row r="16339">
      <c r="A16339">
        <f>Input!A16339</f>
        <v/>
      </c>
      <c r="B16339">
        <f>IF(ISNUMBER(Input!B16339),IF(AND(Input!B16339&gt;=20,Input!B16339&lt;=700),Input!B16339,""),"")</f>
        <v/>
      </c>
      <c r="C16339">
        <f>IF(B16339="","",INT(A16339))</f>
        <v/>
      </c>
      <c r="D16339">
        <f>IF(B16339="","",HOUR(A16339))</f>
        <v/>
      </c>
    </row>
    <row r="16340">
      <c r="A16340">
        <f>Input!A16340</f>
        <v/>
      </c>
      <c r="B16340">
        <f>IF(ISNUMBER(Input!B16340),IF(AND(Input!B16340&gt;=20,Input!B16340&lt;=700),Input!B16340,""),"")</f>
        <v/>
      </c>
      <c r="C16340">
        <f>IF(B16340="","",INT(A16340))</f>
        <v/>
      </c>
      <c r="D16340">
        <f>IF(B16340="","",HOUR(A16340))</f>
        <v/>
      </c>
    </row>
    <row r="16341">
      <c r="A16341">
        <f>Input!A16341</f>
        <v/>
      </c>
      <c r="B16341">
        <f>IF(ISNUMBER(Input!B16341),IF(AND(Input!B16341&gt;=20,Input!B16341&lt;=700),Input!B16341,""),"")</f>
        <v/>
      </c>
      <c r="C16341">
        <f>IF(B16341="","",INT(A16341))</f>
        <v/>
      </c>
      <c r="D16341">
        <f>IF(B16341="","",HOUR(A16341))</f>
        <v/>
      </c>
    </row>
    <row r="16342">
      <c r="A16342">
        <f>Input!A16342</f>
        <v/>
      </c>
      <c r="B16342">
        <f>IF(ISNUMBER(Input!B16342),IF(AND(Input!B16342&gt;=20,Input!B16342&lt;=700),Input!B16342,""),"")</f>
        <v/>
      </c>
      <c r="C16342">
        <f>IF(B16342="","",INT(A16342))</f>
        <v/>
      </c>
      <c r="D16342">
        <f>IF(B16342="","",HOUR(A16342))</f>
        <v/>
      </c>
    </row>
    <row r="16343">
      <c r="A16343">
        <f>Input!A16343</f>
        <v/>
      </c>
      <c r="B16343">
        <f>IF(ISNUMBER(Input!B16343),IF(AND(Input!B16343&gt;=20,Input!B16343&lt;=700),Input!B16343,""),"")</f>
        <v/>
      </c>
      <c r="C16343">
        <f>IF(B16343="","",INT(A16343))</f>
        <v/>
      </c>
      <c r="D16343">
        <f>IF(B16343="","",HOUR(A16343))</f>
        <v/>
      </c>
    </row>
    <row r="16344">
      <c r="A16344">
        <f>Input!A16344</f>
        <v/>
      </c>
      <c r="B16344">
        <f>IF(ISNUMBER(Input!B16344),IF(AND(Input!B16344&gt;=20,Input!B16344&lt;=700),Input!B16344,""),"")</f>
        <v/>
      </c>
      <c r="C16344">
        <f>IF(B16344="","",INT(A16344))</f>
        <v/>
      </c>
      <c r="D16344">
        <f>IF(B16344="","",HOUR(A16344))</f>
        <v/>
      </c>
    </row>
    <row r="16345">
      <c r="A16345">
        <f>Input!A16345</f>
        <v/>
      </c>
      <c r="B16345">
        <f>IF(ISNUMBER(Input!B16345),IF(AND(Input!B16345&gt;=20,Input!B16345&lt;=700),Input!B16345,""),"")</f>
        <v/>
      </c>
      <c r="C16345">
        <f>IF(B16345="","",INT(A16345))</f>
        <v/>
      </c>
      <c r="D16345">
        <f>IF(B16345="","",HOUR(A16345))</f>
        <v/>
      </c>
    </row>
    <row r="16346">
      <c r="A16346">
        <f>Input!A16346</f>
        <v/>
      </c>
      <c r="B16346">
        <f>IF(ISNUMBER(Input!B16346),IF(AND(Input!B16346&gt;=20,Input!B16346&lt;=700),Input!B16346,""),"")</f>
        <v/>
      </c>
      <c r="C16346">
        <f>IF(B16346="","",INT(A16346))</f>
        <v/>
      </c>
      <c r="D16346">
        <f>IF(B16346="","",HOUR(A16346))</f>
        <v/>
      </c>
    </row>
    <row r="16347">
      <c r="A16347">
        <f>Input!A16347</f>
        <v/>
      </c>
      <c r="B16347">
        <f>IF(ISNUMBER(Input!B16347),IF(AND(Input!B16347&gt;=20,Input!B16347&lt;=700),Input!B16347,""),"")</f>
        <v/>
      </c>
      <c r="C16347">
        <f>IF(B16347="","",INT(A16347))</f>
        <v/>
      </c>
      <c r="D16347">
        <f>IF(B16347="","",HOUR(A16347))</f>
        <v/>
      </c>
    </row>
    <row r="16348">
      <c r="A16348">
        <f>Input!A16348</f>
        <v/>
      </c>
      <c r="B16348">
        <f>IF(ISNUMBER(Input!B16348),IF(AND(Input!B16348&gt;=20,Input!B16348&lt;=700),Input!B16348,""),"")</f>
        <v/>
      </c>
      <c r="C16348">
        <f>IF(B16348="","",INT(A16348))</f>
        <v/>
      </c>
      <c r="D16348">
        <f>IF(B16348="","",HOUR(A16348))</f>
        <v/>
      </c>
    </row>
    <row r="16349">
      <c r="A16349">
        <f>Input!A16349</f>
        <v/>
      </c>
      <c r="B16349">
        <f>IF(ISNUMBER(Input!B16349),IF(AND(Input!B16349&gt;=20,Input!B16349&lt;=700),Input!B16349,""),"")</f>
        <v/>
      </c>
      <c r="C16349">
        <f>IF(B16349="","",INT(A16349))</f>
        <v/>
      </c>
      <c r="D16349">
        <f>IF(B16349="","",HOUR(A16349))</f>
        <v/>
      </c>
    </row>
    <row r="16350">
      <c r="A16350">
        <f>Input!A16350</f>
        <v/>
      </c>
      <c r="B16350">
        <f>IF(ISNUMBER(Input!B16350),IF(AND(Input!B16350&gt;=20,Input!B16350&lt;=700),Input!B16350,""),"")</f>
        <v/>
      </c>
      <c r="C16350">
        <f>IF(B16350="","",INT(A16350))</f>
        <v/>
      </c>
      <c r="D16350">
        <f>IF(B16350="","",HOUR(A16350))</f>
        <v/>
      </c>
    </row>
    <row r="16351">
      <c r="A16351">
        <f>Input!A16351</f>
        <v/>
      </c>
      <c r="B16351">
        <f>IF(ISNUMBER(Input!B16351),IF(AND(Input!B16351&gt;=20,Input!B16351&lt;=700),Input!B16351,""),"")</f>
        <v/>
      </c>
      <c r="C16351">
        <f>IF(B16351="","",INT(A16351))</f>
        <v/>
      </c>
      <c r="D16351">
        <f>IF(B16351="","",HOUR(A16351))</f>
        <v/>
      </c>
    </row>
    <row r="16352">
      <c r="A16352">
        <f>Input!A16352</f>
        <v/>
      </c>
      <c r="B16352">
        <f>IF(ISNUMBER(Input!B16352),IF(AND(Input!B16352&gt;=20,Input!B16352&lt;=700),Input!B16352,""),"")</f>
        <v/>
      </c>
      <c r="C16352">
        <f>IF(B16352="","",INT(A16352))</f>
        <v/>
      </c>
      <c r="D16352">
        <f>IF(B16352="","",HOUR(A16352))</f>
        <v/>
      </c>
    </row>
    <row r="16353">
      <c r="A16353">
        <f>Input!A16353</f>
        <v/>
      </c>
      <c r="B16353">
        <f>IF(ISNUMBER(Input!B16353),IF(AND(Input!B16353&gt;=20,Input!B16353&lt;=700),Input!B16353,""),"")</f>
        <v/>
      </c>
      <c r="C16353">
        <f>IF(B16353="","",INT(A16353))</f>
        <v/>
      </c>
      <c r="D16353">
        <f>IF(B16353="","",HOUR(A16353))</f>
        <v/>
      </c>
    </row>
    <row r="16354">
      <c r="A16354">
        <f>Input!A16354</f>
        <v/>
      </c>
      <c r="B16354">
        <f>IF(ISNUMBER(Input!B16354),IF(AND(Input!B16354&gt;=20,Input!B16354&lt;=700),Input!B16354,""),"")</f>
        <v/>
      </c>
      <c r="C16354">
        <f>IF(B16354="","",INT(A16354))</f>
        <v/>
      </c>
      <c r="D16354">
        <f>IF(B16354="","",HOUR(A16354))</f>
        <v/>
      </c>
    </row>
    <row r="16355">
      <c r="A16355">
        <f>Input!A16355</f>
        <v/>
      </c>
      <c r="B16355">
        <f>IF(ISNUMBER(Input!B16355),IF(AND(Input!B16355&gt;=20,Input!B16355&lt;=700),Input!B16355,""),"")</f>
        <v/>
      </c>
      <c r="C16355">
        <f>IF(B16355="","",INT(A16355))</f>
        <v/>
      </c>
      <c r="D16355">
        <f>IF(B16355="","",HOUR(A16355))</f>
        <v/>
      </c>
    </row>
    <row r="16356">
      <c r="A16356">
        <f>Input!A16356</f>
        <v/>
      </c>
      <c r="B16356">
        <f>IF(ISNUMBER(Input!B16356),IF(AND(Input!B16356&gt;=20,Input!B16356&lt;=700),Input!B16356,""),"")</f>
        <v/>
      </c>
      <c r="C16356">
        <f>IF(B16356="","",INT(A16356))</f>
        <v/>
      </c>
      <c r="D16356">
        <f>IF(B16356="","",HOUR(A16356))</f>
        <v/>
      </c>
    </row>
    <row r="16357">
      <c r="A16357">
        <f>Input!A16357</f>
        <v/>
      </c>
      <c r="B16357">
        <f>IF(ISNUMBER(Input!B16357),IF(AND(Input!B16357&gt;=20,Input!B16357&lt;=700),Input!B16357,""),"")</f>
        <v/>
      </c>
      <c r="C16357">
        <f>IF(B16357="","",INT(A16357))</f>
        <v/>
      </c>
      <c r="D16357">
        <f>IF(B16357="","",HOUR(A16357))</f>
        <v/>
      </c>
    </row>
    <row r="16358">
      <c r="A16358">
        <f>Input!A16358</f>
        <v/>
      </c>
      <c r="B16358">
        <f>IF(ISNUMBER(Input!B16358),IF(AND(Input!B16358&gt;=20,Input!B16358&lt;=700),Input!B16358,""),"")</f>
        <v/>
      </c>
      <c r="C16358">
        <f>IF(B16358="","",INT(A16358))</f>
        <v/>
      </c>
      <c r="D16358">
        <f>IF(B16358="","",HOUR(A16358))</f>
        <v/>
      </c>
    </row>
    <row r="16359">
      <c r="A16359">
        <f>Input!A16359</f>
        <v/>
      </c>
      <c r="B16359">
        <f>IF(ISNUMBER(Input!B16359),IF(AND(Input!B16359&gt;=20,Input!B16359&lt;=700),Input!B16359,""),"")</f>
        <v/>
      </c>
      <c r="C16359">
        <f>IF(B16359="","",INT(A16359))</f>
        <v/>
      </c>
      <c r="D16359">
        <f>IF(B16359="","",HOUR(A16359))</f>
        <v/>
      </c>
    </row>
    <row r="16360">
      <c r="A16360">
        <f>Input!A16360</f>
        <v/>
      </c>
      <c r="B16360">
        <f>IF(ISNUMBER(Input!B16360),IF(AND(Input!B16360&gt;=20,Input!B16360&lt;=700),Input!B16360,""),"")</f>
        <v/>
      </c>
      <c r="C16360">
        <f>IF(B16360="","",INT(A16360))</f>
        <v/>
      </c>
      <c r="D16360">
        <f>IF(B16360="","",HOUR(A16360))</f>
        <v/>
      </c>
    </row>
    <row r="16361">
      <c r="A16361">
        <f>Input!A16361</f>
        <v/>
      </c>
      <c r="B16361">
        <f>IF(ISNUMBER(Input!B16361),IF(AND(Input!B16361&gt;=20,Input!B16361&lt;=700),Input!B16361,""),"")</f>
        <v/>
      </c>
      <c r="C16361">
        <f>IF(B16361="","",INT(A16361))</f>
        <v/>
      </c>
      <c r="D16361">
        <f>IF(B16361="","",HOUR(A16361))</f>
        <v/>
      </c>
    </row>
    <row r="16362">
      <c r="A16362">
        <f>Input!A16362</f>
        <v/>
      </c>
      <c r="B16362">
        <f>IF(ISNUMBER(Input!B16362),IF(AND(Input!B16362&gt;=20,Input!B16362&lt;=700),Input!B16362,""),"")</f>
        <v/>
      </c>
      <c r="C16362">
        <f>IF(B16362="","",INT(A16362))</f>
        <v/>
      </c>
      <c r="D16362">
        <f>IF(B16362="","",HOUR(A16362))</f>
        <v/>
      </c>
    </row>
    <row r="16363">
      <c r="A16363">
        <f>Input!A16363</f>
        <v/>
      </c>
      <c r="B16363">
        <f>IF(ISNUMBER(Input!B16363),IF(AND(Input!B16363&gt;=20,Input!B16363&lt;=700),Input!B16363,""),"")</f>
        <v/>
      </c>
      <c r="C16363">
        <f>IF(B16363="","",INT(A16363))</f>
        <v/>
      </c>
      <c r="D16363">
        <f>IF(B16363="","",HOUR(A16363))</f>
        <v/>
      </c>
    </row>
    <row r="16364">
      <c r="A16364">
        <f>Input!A16364</f>
        <v/>
      </c>
      <c r="B16364">
        <f>IF(ISNUMBER(Input!B16364),IF(AND(Input!B16364&gt;=20,Input!B16364&lt;=700),Input!B16364,""),"")</f>
        <v/>
      </c>
      <c r="C16364">
        <f>IF(B16364="","",INT(A16364))</f>
        <v/>
      </c>
      <c r="D16364">
        <f>IF(B16364="","",HOUR(A16364))</f>
        <v/>
      </c>
    </row>
    <row r="16365">
      <c r="A16365">
        <f>Input!A16365</f>
        <v/>
      </c>
      <c r="B16365">
        <f>IF(ISNUMBER(Input!B16365),IF(AND(Input!B16365&gt;=20,Input!B16365&lt;=700),Input!B16365,""),"")</f>
        <v/>
      </c>
      <c r="C16365">
        <f>IF(B16365="","",INT(A16365))</f>
        <v/>
      </c>
      <c r="D16365">
        <f>IF(B16365="","",HOUR(A16365))</f>
        <v/>
      </c>
    </row>
    <row r="16366">
      <c r="A16366">
        <f>Input!A16366</f>
        <v/>
      </c>
      <c r="B16366">
        <f>IF(ISNUMBER(Input!B16366),IF(AND(Input!B16366&gt;=20,Input!B16366&lt;=700),Input!B16366,""),"")</f>
        <v/>
      </c>
      <c r="C16366">
        <f>IF(B16366="","",INT(A16366))</f>
        <v/>
      </c>
      <c r="D16366">
        <f>IF(B16366="","",HOUR(A16366))</f>
        <v/>
      </c>
    </row>
    <row r="16367">
      <c r="A16367">
        <f>Input!A16367</f>
        <v/>
      </c>
      <c r="B16367">
        <f>IF(ISNUMBER(Input!B16367),IF(AND(Input!B16367&gt;=20,Input!B16367&lt;=700),Input!B16367,""),"")</f>
        <v/>
      </c>
      <c r="C16367">
        <f>IF(B16367="","",INT(A16367))</f>
        <v/>
      </c>
      <c r="D16367">
        <f>IF(B16367="","",HOUR(A16367))</f>
        <v/>
      </c>
    </row>
    <row r="16368">
      <c r="A16368">
        <f>Input!A16368</f>
        <v/>
      </c>
      <c r="B16368">
        <f>IF(ISNUMBER(Input!B16368),IF(AND(Input!B16368&gt;=20,Input!B16368&lt;=700),Input!B16368,""),"")</f>
        <v/>
      </c>
      <c r="C16368">
        <f>IF(B16368="","",INT(A16368))</f>
        <v/>
      </c>
      <c r="D16368">
        <f>IF(B16368="","",HOUR(A16368))</f>
        <v/>
      </c>
    </row>
    <row r="16369">
      <c r="A16369">
        <f>Input!A16369</f>
        <v/>
      </c>
      <c r="B16369">
        <f>IF(ISNUMBER(Input!B16369),IF(AND(Input!B16369&gt;=20,Input!B16369&lt;=700),Input!B16369,""),"")</f>
        <v/>
      </c>
      <c r="C16369">
        <f>IF(B16369="","",INT(A16369))</f>
        <v/>
      </c>
      <c r="D16369">
        <f>IF(B16369="","",HOUR(A16369))</f>
        <v/>
      </c>
    </row>
    <row r="16370">
      <c r="A16370">
        <f>Input!A16370</f>
        <v/>
      </c>
      <c r="B16370">
        <f>IF(ISNUMBER(Input!B16370),IF(AND(Input!B16370&gt;=20,Input!B16370&lt;=700),Input!B16370,""),"")</f>
        <v/>
      </c>
      <c r="C16370">
        <f>IF(B16370="","",INT(A16370))</f>
        <v/>
      </c>
      <c r="D16370">
        <f>IF(B16370="","",HOUR(A16370))</f>
        <v/>
      </c>
    </row>
    <row r="16371">
      <c r="A16371">
        <f>Input!A16371</f>
        <v/>
      </c>
      <c r="B16371">
        <f>IF(ISNUMBER(Input!B16371),IF(AND(Input!B16371&gt;=20,Input!B16371&lt;=700),Input!B16371,""),"")</f>
        <v/>
      </c>
      <c r="C16371">
        <f>IF(B16371="","",INT(A16371))</f>
        <v/>
      </c>
      <c r="D16371">
        <f>IF(B16371="","",HOUR(A16371))</f>
        <v/>
      </c>
    </row>
    <row r="16372">
      <c r="A16372">
        <f>Input!A16372</f>
        <v/>
      </c>
      <c r="B16372">
        <f>IF(ISNUMBER(Input!B16372),IF(AND(Input!B16372&gt;=20,Input!B16372&lt;=700),Input!B16372,""),"")</f>
        <v/>
      </c>
      <c r="C16372">
        <f>IF(B16372="","",INT(A16372))</f>
        <v/>
      </c>
      <c r="D16372">
        <f>IF(B16372="","",HOUR(A16372))</f>
        <v/>
      </c>
    </row>
    <row r="16373">
      <c r="A16373">
        <f>Input!A16373</f>
        <v/>
      </c>
      <c r="B16373">
        <f>IF(ISNUMBER(Input!B16373),IF(AND(Input!B16373&gt;=20,Input!B16373&lt;=700),Input!B16373,""),"")</f>
        <v/>
      </c>
      <c r="C16373">
        <f>IF(B16373="","",INT(A16373))</f>
        <v/>
      </c>
      <c r="D16373">
        <f>IF(B16373="","",HOUR(A16373))</f>
        <v/>
      </c>
    </row>
    <row r="16374">
      <c r="A16374">
        <f>Input!A16374</f>
        <v/>
      </c>
      <c r="B16374">
        <f>IF(ISNUMBER(Input!B16374),IF(AND(Input!B16374&gt;=20,Input!B16374&lt;=700),Input!B16374,""),"")</f>
        <v/>
      </c>
      <c r="C16374">
        <f>IF(B16374="","",INT(A16374))</f>
        <v/>
      </c>
      <c r="D16374">
        <f>IF(B16374="","",HOUR(A16374))</f>
        <v/>
      </c>
    </row>
    <row r="16375">
      <c r="A16375">
        <f>Input!A16375</f>
        <v/>
      </c>
      <c r="B16375">
        <f>IF(ISNUMBER(Input!B16375),IF(AND(Input!B16375&gt;=20,Input!B16375&lt;=700),Input!B16375,""),"")</f>
        <v/>
      </c>
      <c r="C16375">
        <f>IF(B16375="","",INT(A16375))</f>
        <v/>
      </c>
      <c r="D16375">
        <f>IF(B16375="","",HOUR(A16375))</f>
        <v/>
      </c>
    </row>
    <row r="16376">
      <c r="A16376">
        <f>Input!A16376</f>
        <v/>
      </c>
      <c r="B16376">
        <f>IF(ISNUMBER(Input!B16376),IF(AND(Input!B16376&gt;=20,Input!B16376&lt;=700),Input!B16376,""),"")</f>
        <v/>
      </c>
      <c r="C16376">
        <f>IF(B16376="","",INT(A16376))</f>
        <v/>
      </c>
      <c r="D16376">
        <f>IF(B16376="","",HOUR(A16376))</f>
        <v/>
      </c>
    </row>
    <row r="16377">
      <c r="A16377">
        <f>Input!A16377</f>
        <v/>
      </c>
      <c r="B16377">
        <f>IF(ISNUMBER(Input!B16377),IF(AND(Input!B16377&gt;=20,Input!B16377&lt;=700),Input!B16377,""),"")</f>
        <v/>
      </c>
      <c r="C16377">
        <f>IF(B16377="","",INT(A16377))</f>
        <v/>
      </c>
      <c r="D16377">
        <f>IF(B16377="","",HOUR(A16377))</f>
        <v/>
      </c>
    </row>
    <row r="16378">
      <c r="A16378">
        <f>Input!A16378</f>
        <v/>
      </c>
      <c r="B16378">
        <f>IF(ISNUMBER(Input!B16378),IF(AND(Input!B16378&gt;=20,Input!B16378&lt;=700),Input!B16378,""),"")</f>
        <v/>
      </c>
      <c r="C16378">
        <f>IF(B16378="","",INT(A16378))</f>
        <v/>
      </c>
      <c r="D16378">
        <f>IF(B16378="","",HOUR(A16378))</f>
        <v/>
      </c>
    </row>
    <row r="16379">
      <c r="A16379">
        <f>Input!A16379</f>
        <v/>
      </c>
      <c r="B16379">
        <f>IF(ISNUMBER(Input!B16379),IF(AND(Input!B16379&gt;=20,Input!B16379&lt;=700),Input!B16379,""),"")</f>
        <v/>
      </c>
      <c r="C16379">
        <f>IF(B16379="","",INT(A16379))</f>
        <v/>
      </c>
      <c r="D16379">
        <f>IF(B16379="","",HOUR(A16379))</f>
        <v/>
      </c>
    </row>
    <row r="16380">
      <c r="A16380">
        <f>Input!A16380</f>
        <v/>
      </c>
      <c r="B16380">
        <f>IF(ISNUMBER(Input!B16380),IF(AND(Input!B16380&gt;=20,Input!B16380&lt;=700),Input!B16380,""),"")</f>
        <v/>
      </c>
      <c r="C16380">
        <f>IF(B16380="","",INT(A16380))</f>
        <v/>
      </c>
      <c r="D16380">
        <f>IF(B16380="","",HOUR(A16380))</f>
        <v/>
      </c>
    </row>
    <row r="16381">
      <c r="A16381">
        <f>Input!A16381</f>
        <v/>
      </c>
      <c r="B16381">
        <f>IF(ISNUMBER(Input!B16381),IF(AND(Input!B16381&gt;=20,Input!B16381&lt;=700),Input!B16381,""),"")</f>
        <v/>
      </c>
      <c r="C16381">
        <f>IF(B16381="","",INT(A16381))</f>
        <v/>
      </c>
      <c r="D16381">
        <f>IF(B16381="","",HOUR(A16381))</f>
        <v/>
      </c>
    </row>
    <row r="16382">
      <c r="A16382">
        <f>Input!A16382</f>
        <v/>
      </c>
      <c r="B16382">
        <f>IF(ISNUMBER(Input!B16382),IF(AND(Input!B16382&gt;=20,Input!B16382&lt;=700),Input!B16382,""),"")</f>
        <v/>
      </c>
      <c r="C16382">
        <f>IF(B16382="","",INT(A16382))</f>
        <v/>
      </c>
      <c r="D16382">
        <f>IF(B16382="","",HOUR(A16382))</f>
        <v/>
      </c>
    </row>
    <row r="16383">
      <c r="A16383">
        <f>Input!A16383</f>
        <v/>
      </c>
      <c r="B16383">
        <f>IF(ISNUMBER(Input!B16383),IF(AND(Input!B16383&gt;=20,Input!B16383&lt;=700),Input!B16383,""),"")</f>
        <v/>
      </c>
      <c r="C16383">
        <f>IF(B16383="","",INT(A16383))</f>
        <v/>
      </c>
      <c r="D16383">
        <f>IF(B16383="","",HOUR(A16383))</f>
        <v/>
      </c>
    </row>
    <row r="16384">
      <c r="A16384">
        <f>Input!A16384</f>
        <v/>
      </c>
      <c r="B16384">
        <f>IF(ISNUMBER(Input!B16384),IF(AND(Input!B16384&gt;=20,Input!B16384&lt;=700),Input!B16384,""),"")</f>
        <v/>
      </c>
      <c r="C16384">
        <f>IF(B16384="","",INT(A16384))</f>
        <v/>
      </c>
      <c r="D16384">
        <f>IF(B16384="","",HOUR(A16384))</f>
        <v/>
      </c>
    </row>
    <row r="16385">
      <c r="A16385">
        <f>Input!A16385</f>
        <v/>
      </c>
      <c r="B16385">
        <f>IF(ISNUMBER(Input!B16385),IF(AND(Input!B16385&gt;=20,Input!B16385&lt;=700),Input!B16385,""),"")</f>
        <v/>
      </c>
      <c r="C16385">
        <f>IF(B16385="","",INT(A16385))</f>
        <v/>
      </c>
      <c r="D16385">
        <f>IF(B16385="","",HOUR(A16385))</f>
        <v/>
      </c>
    </row>
    <row r="16386">
      <c r="A16386">
        <f>Input!A16386</f>
        <v/>
      </c>
      <c r="B16386">
        <f>IF(ISNUMBER(Input!B16386),IF(AND(Input!B16386&gt;=20,Input!B16386&lt;=700),Input!B16386,""),"")</f>
        <v/>
      </c>
      <c r="C16386">
        <f>IF(B16386="","",INT(A16386))</f>
        <v/>
      </c>
      <c r="D16386">
        <f>IF(B16386="","",HOUR(A16386))</f>
        <v/>
      </c>
    </row>
    <row r="16387">
      <c r="A16387">
        <f>Input!A16387</f>
        <v/>
      </c>
      <c r="B16387">
        <f>IF(ISNUMBER(Input!B16387),IF(AND(Input!B16387&gt;=20,Input!B16387&lt;=700),Input!B16387,""),"")</f>
        <v/>
      </c>
      <c r="C16387">
        <f>IF(B16387="","",INT(A16387))</f>
        <v/>
      </c>
      <c r="D16387">
        <f>IF(B16387="","",HOUR(A16387))</f>
        <v/>
      </c>
    </row>
    <row r="16388">
      <c r="A16388">
        <f>Input!A16388</f>
        <v/>
      </c>
      <c r="B16388">
        <f>IF(ISNUMBER(Input!B16388),IF(AND(Input!B16388&gt;=20,Input!B16388&lt;=700),Input!B16388,""),"")</f>
        <v/>
      </c>
      <c r="C16388">
        <f>IF(B16388="","",INT(A16388))</f>
        <v/>
      </c>
      <c r="D16388">
        <f>IF(B16388="","",HOUR(A16388))</f>
        <v/>
      </c>
    </row>
    <row r="16389">
      <c r="A16389">
        <f>Input!A16389</f>
        <v/>
      </c>
      <c r="B16389">
        <f>IF(ISNUMBER(Input!B16389),IF(AND(Input!B16389&gt;=20,Input!B16389&lt;=700),Input!B16389,""),"")</f>
        <v/>
      </c>
      <c r="C16389">
        <f>IF(B16389="","",INT(A16389))</f>
        <v/>
      </c>
      <c r="D16389">
        <f>IF(B16389="","",HOUR(A16389))</f>
        <v/>
      </c>
    </row>
    <row r="16390">
      <c r="A16390">
        <f>Input!A16390</f>
        <v/>
      </c>
      <c r="B16390">
        <f>IF(ISNUMBER(Input!B16390),IF(AND(Input!B16390&gt;=20,Input!B16390&lt;=700),Input!B16390,""),"")</f>
        <v/>
      </c>
      <c r="C16390">
        <f>IF(B16390="","",INT(A16390))</f>
        <v/>
      </c>
      <c r="D16390">
        <f>IF(B16390="","",HOUR(A16390))</f>
        <v/>
      </c>
    </row>
    <row r="16391">
      <c r="A16391">
        <f>Input!A16391</f>
        <v/>
      </c>
      <c r="B16391">
        <f>IF(ISNUMBER(Input!B16391),IF(AND(Input!B16391&gt;=20,Input!B16391&lt;=700),Input!B16391,""),"")</f>
        <v/>
      </c>
      <c r="C16391">
        <f>IF(B16391="","",INT(A16391))</f>
        <v/>
      </c>
      <c r="D16391">
        <f>IF(B16391="","",HOUR(A16391))</f>
        <v/>
      </c>
    </row>
    <row r="16392">
      <c r="A16392">
        <f>Input!A16392</f>
        <v/>
      </c>
      <c r="B16392">
        <f>IF(ISNUMBER(Input!B16392),IF(AND(Input!B16392&gt;=20,Input!B16392&lt;=700),Input!B16392,""),"")</f>
        <v/>
      </c>
      <c r="C16392">
        <f>IF(B16392="","",INT(A16392))</f>
        <v/>
      </c>
      <c r="D16392">
        <f>IF(B16392="","",HOUR(A16392))</f>
        <v/>
      </c>
    </row>
    <row r="16393">
      <c r="A16393">
        <f>Input!A16393</f>
        <v/>
      </c>
      <c r="B16393">
        <f>IF(ISNUMBER(Input!B16393),IF(AND(Input!B16393&gt;=20,Input!B16393&lt;=700),Input!B16393,""),"")</f>
        <v/>
      </c>
      <c r="C16393">
        <f>IF(B16393="","",INT(A16393))</f>
        <v/>
      </c>
      <c r="D16393">
        <f>IF(B16393="","",HOUR(A16393))</f>
        <v/>
      </c>
    </row>
    <row r="16394">
      <c r="A16394">
        <f>Input!A16394</f>
        <v/>
      </c>
      <c r="B16394">
        <f>IF(ISNUMBER(Input!B16394),IF(AND(Input!B16394&gt;=20,Input!B16394&lt;=700),Input!B16394,""),"")</f>
        <v/>
      </c>
      <c r="C16394">
        <f>IF(B16394="","",INT(A16394))</f>
        <v/>
      </c>
      <c r="D16394">
        <f>IF(B16394="","",HOUR(A16394))</f>
        <v/>
      </c>
    </row>
    <row r="16395">
      <c r="A16395">
        <f>Input!A16395</f>
        <v/>
      </c>
      <c r="B16395">
        <f>IF(ISNUMBER(Input!B16395),IF(AND(Input!B16395&gt;=20,Input!B16395&lt;=700),Input!B16395,""),"")</f>
        <v/>
      </c>
      <c r="C16395">
        <f>IF(B16395="","",INT(A16395))</f>
        <v/>
      </c>
      <c r="D16395">
        <f>IF(B16395="","",HOUR(A16395))</f>
        <v/>
      </c>
    </row>
    <row r="16396">
      <c r="A16396">
        <f>Input!A16396</f>
        <v/>
      </c>
      <c r="B16396">
        <f>IF(ISNUMBER(Input!B16396),IF(AND(Input!B16396&gt;=20,Input!B16396&lt;=700),Input!B16396,""),"")</f>
        <v/>
      </c>
      <c r="C16396">
        <f>IF(B16396="","",INT(A16396))</f>
        <v/>
      </c>
      <c r="D16396">
        <f>IF(B16396="","",HOUR(A16396))</f>
        <v/>
      </c>
    </row>
    <row r="16397">
      <c r="A16397">
        <f>Input!A16397</f>
        <v/>
      </c>
      <c r="B16397">
        <f>IF(ISNUMBER(Input!B16397),IF(AND(Input!B16397&gt;=20,Input!B16397&lt;=700),Input!B16397,""),"")</f>
        <v/>
      </c>
      <c r="C16397">
        <f>IF(B16397="","",INT(A16397))</f>
        <v/>
      </c>
      <c r="D16397">
        <f>IF(B16397="","",HOUR(A16397))</f>
        <v/>
      </c>
    </row>
    <row r="16398">
      <c r="A16398">
        <f>Input!A16398</f>
        <v/>
      </c>
      <c r="B16398">
        <f>IF(ISNUMBER(Input!B16398),IF(AND(Input!B16398&gt;=20,Input!B16398&lt;=700),Input!B16398,""),"")</f>
        <v/>
      </c>
      <c r="C16398">
        <f>IF(B16398="","",INT(A16398))</f>
        <v/>
      </c>
      <c r="D16398">
        <f>IF(B16398="","",HOUR(A16398))</f>
        <v/>
      </c>
    </row>
    <row r="16399">
      <c r="A16399">
        <f>Input!A16399</f>
        <v/>
      </c>
      <c r="B16399">
        <f>IF(ISNUMBER(Input!B16399),IF(AND(Input!B16399&gt;=20,Input!B16399&lt;=700),Input!B16399,""),"")</f>
        <v/>
      </c>
      <c r="C16399">
        <f>IF(B16399="","",INT(A16399))</f>
        <v/>
      </c>
      <c r="D16399">
        <f>IF(B16399="","",HOUR(A16399))</f>
        <v/>
      </c>
    </row>
    <row r="16400">
      <c r="A16400">
        <f>Input!A16400</f>
        <v/>
      </c>
      <c r="B16400">
        <f>IF(ISNUMBER(Input!B16400),IF(AND(Input!B16400&gt;=20,Input!B16400&lt;=700),Input!B16400,""),"")</f>
        <v/>
      </c>
      <c r="C16400">
        <f>IF(B16400="","",INT(A16400))</f>
        <v/>
      </c>
      <c r="D16400">
        <f>IF(B16400="","",HOUR(A16400))</f>
        <v/>
      </c>
    </row>
    <row r="16401">
      <c r="A16401">
        <f>Input!A16401</f>
        <v/>
      </c>
      <c r="B16401">
        <f>IF(ISNUMBER(Input!B16401),IF(AND(Input!B16401&gt;=20,Input!B16401&lt;=700),Input!B16401,""),"")</f>
        <v/>
      </c>
      <c r="C16401">
        <f>IF(B16401="","",INT(A16401))</f>
        <v/>
      </c>
      <c r="D16401">
        <f>IF(B16401="","",HOUR(A16401))</f>
        <v/>
      </c>
    </row>
    <row r="16402">
      <c r="A16402">
        <f>Input!A16402</f>
        <v/>
      </c>
      <c r="B16402">
        <f>IF(ISNUMBER(Input!B16402),IF(AND(Input!B16402&gt;=20,Input!B16402&lt;=700),Input!B16402,""),"")</f>
        <v/>
      </c>
      <c r="C16402">
        <f>IF(B16402="","",INT(A16402))</f>
        <v/>
      </c>
      <c r="D16402">
        <f>IF(B16402="","",HOUR(A16402))</f>
        <v/>
      </c>
    </row>
    <row r="16403">
      <c r="A16403">
        <f>Input!A16403</f>
        <v/>
      </c>
      <c r="B16403">
        <f>IF(ISNUMBER(Input!B16403),IF(AND(Input!B16403&gt;=20,Input!B16403&lt;=700),Input!B16403,""),"")</f>
        <v/>
      </c>
      <c r="C16403">
        <f>IF(B16403="","",INT(A16403))</f>
        <v/>
      </c>
      <c r="D16403">
        <f>IF(B16403="","",HOUR(A16403))</f>
        <v/>
      </c>
    </row>
    <row r="16404">
      <c r="A16404">
        <f>Input!A16404</f>
        <v/>
      </c>
      <c r="B16404">
        <f>IF(ISNUMBER(Input!B16404),IF(AND(Input!B16404&gt;=20,Input!B16404&lt;=700),Input!B16404,""),"")</f>
        <v/>
      </c>
      <c r="C16404">
        <f>IF(B16404="","",INT(A16404))</f>
        <v/>
      </c>
      <c r="D16404">
        <f>IF(B16404="","",HOUR(A16404))</f>
        <v/>
      </c>
    </row>
    <row r="16405">
      <c r="A16405">
        <f>Input!A16405</f>
        <v/>
      </c>
      <c r="B16405">
        <f>IF(ISNUMBER(Input!B16405),IF(AND(Input!B16405&gt;=20,Input!B16405&lt;=700),Input!B16405,""),"")</f>
        <v/>
      </c>
      <c r="C16405">
        <f>IF(B16405="","",INT(A16405))</f>
        <v/>
      </c>
      <c r="D16405">
        <f>IF(B16405="","",HOUR(A16405))</f>
        <v/>
      </c>
    </row>
    <row r="16406">
      <c r="A16406">
        <f>Input!A16406</f>
        <v/>
      </c>
      <c r="B16406">
        <f>IF(ISNUMBER(Input!B16406),IF(AND(Input!B16406&gt;=20,Input!B16406&lt;=700),Input!B16406,""),"")</f>
        <v/>
      </c>
      <c r="C16406">
        <f>IF(B16406="","",INT(A16406))</f>
        <v/>
      </c>
      <c r="D16406">
        <f>IF(B16406="","",HOUR(A16406))</f>
        <v/>
      </c>
    </row>
    <row r="16407">
      <c r="A16407">
        <f>Input!A16407</f>
        <v/>
      </c>
      <c r="B16407">
        <f>IF(ISNUMBER(Input!B16407),IF(AND(Input!B16407&gt;=20,Input!B16407&lt;=700),Input!B16407,""),"")</f>
        <v/>
      </c>
      <c r="C16407">
        <f>IF(B16407="","",INT(A16407))</f>
        <v/>
      </c>
      <c r="D16407">
        <f>IF(B16407="","",HOUR(A16407))</f>
        <v/>
      </c>
    </row>
    <row r="16408">
      <c r="A16408">
        <f>Input!A16408</f>
        <v/>
      </c>
      <c r="B16408">
        <f>IF(ISNUMBER(Input!B16408),IF(AND(Input!B16408&gt;=20,Input!B16408&lt;=700),Input!B16408,""),"")</f>
        <v/>
      </c>
      <c r="C16408">
        <f>IF(B16408="","",INT(A16408))</f>
        <v/>
      </c>
      <c r="D16408">
        <f>IF(B16408="","",HOUR(A16408))</f>
        <v/>
      </c>
    </row>
    <row r="16409">
      <c r="A16409">
        <f>Input!A16409</f>
        <v/>
      </c>
      <c r="B16409">
        <f>IF(ISNUMBER(Input!B16409),IF(AND(Input!B16409&gt;=20,Input!B16409&lt;=700),Input!B16409,""),"")</f>
        <v/>
      </c>
      <c r="C16409">
        <f>IF(B16409="","",INT(A16409))</f>
        <v/>
      </c>
      <c r="D16409">
        <f>IF(B16409="","",HOUR(A16409))</f>
        <v/>
      </c>
    </row>
    <row r="16410">
      <c r="A16410">
        <f>Input!A16410</f>
        <v/>
      </c>
      <c r="B16410">
        <f>IF(ISNUMBER(Input!B16410),IF(AND(Input!B16410&gt;=20,Input!B16410&lt;=700),Input!B16410,""),"")</f>
        <v/>
      </c>
      <c r="C16410">
        <f>IF(B16410="","",INT(A16410))</f>
        <v/>
      </c>
      <c r="D16410">
        <f>IF(B16410="","",HOUR(A16410))</f>
        <v/>
      </c>
    </row>
    <row r="16411">
      <c r="A16411">
        <f>Input!A16411</f>
        <v/>
      </c>
      <c r="B16411">
        <f>IF(ISNUMBER(Input!B16411),IF(AND(Input!B16411&gt;=20,Input!B16411&lt;=700),Input!B16411,""),"")</f>
        <v/>
      </c>
      <c r="C16411">
        <f>IF(B16411="","",INT(A16411))</f>
        <v/>
      </c>
      <c r="D16411">
        <f>IF(B16411="","",HOUR(A16411))</f>
        <v/>
      </c>
    </row>
    <row r="16412">
      <c r="A16412">
        <f>Input!A16412</f>
        <v/>
      </c>
      <c r="B16412">
        <f>IF(ISNUMBER(Input!B16412),IF(AND(Input!B16412&gt;=20,Input!B16412&lt;=700),Input!B16412,""),"")</f>
        <v/>
      </c>
      <c r="C16412">
        <f>IF(B16412="","",INT(A16412))</f>
        <v/>
      </c>
      <c r="D16412">
        <f>IF(B16412="","",HOUR(A16412))</f>
        <v/>
      </c>
    </row>
    <row r="16413">
      <c r="A16413">
        <f>Input!A16413</f>
        <v/>
      </c>
      <c r="B16413">
        <f>IF(ISNUMBER(Input!B16413),IF(AND(Input!B16413&gt;=20,Input!B16413&lt;=700),Input!B16413,""),"")</f>
        <v/>
      </c>
      <c r="C16413">
        <f>IF(B16413="","",INT(A16413))</f>
        <v/>
      </c>
      <c r="D16413">
        <f>IF(B16413="","",HOUR(A16413))</f>
        <v/>
      </c>
    </row>
    <row r="16414">
      <c r="A16414">
        <f>Input!A16414</f>
        <v/>
      </c>
      <c r="B16414">
        <f>IF(ISNUMBER(Input!B16414),IF(AND(Input!B16414&gt;=20,Input!B16414&lt;=700),Input!B16414,""),"")</f>
        <v/>
      </c>
      <c r="C16414">
        <f>IF(B16414="","",INT(A16414))</f>
        <v/>
      </c>
      <c r="D16414">
        <f>IF(B16414="","",HOUR(A16414))</f>
        <v/>
      </c>
    </row>
    <row r="16415">
      <c r="A16415">
        <f>Input!A16415</f>
        <v/>
      </c>
      <c r="B16415">
        <f>IF(ISNUMBER(Input!B16415),IF(AND(Input!B16415&gt;=20,Input!B16415&lt;=700),Input!B16415,""),"")</f>
        <v/>
      </c>
      <c r="C16415">
        <f>IF(B16415="","",INT(A16415))</f>
        <v/>
      </c>
      <c r="D16415">
        <f>IF(B16415="","",HOUR(A16415))</f>
        <v/>
      </c>
    </row>
    <row r="16416">
      <c r="A16416">
        <f>Input!A16416</f>
        <v/>
      </c>
      <c r="B16416">
        <f>IF(ISNUMBER(Input!B16416),IF(AND(Input!B16416&gt;=20,Input!B16416&lt;=700),Input!B16416,""),"")</f>
        <v/>
      </c>
      <c r="C16416">
        <f>IF(B16416="","",INT(A16416))</f>
        <v/>
      </c>
      <c r="D16416">
        <f>IF(B16416="","",HOUR(A16416))</f>
        <v/>
      </c>
    </row>
    <row r="16417">
      <c r="A16417">
        <f>Input!A16417</f>
        <v/>
      </c>
      <c r="B16417">
        <f>IF(ISNUMBER(Input!B16417),IF(AND(Input!B16417&gt;=20,Input!B16417&lt;=700),Input!B16417,""),"")</f>
        <v/>
      </c>
      <c r="C16417">
        <f>IF(B16417="","",INT(A16417))</f>
        <v/>
      </c>
      <c r="D16417">
        <f>IF(B16417="","",HOUR(A16417))</f>
        <v/>
      </c>
    </row>
    <row r="16418">
      <c r="A16418">
        <f>Input!A16418</f>
        <v/>
      </c>
      <c r="B16418">
        <f>IF(ISNUMBER(Input!B16418),IF(AND(Input!B16418&gt;=20,Input!B16418&lt;=700),Input!B16418,""),"")</f>
        <v/>
      </c>
      <c r="C16418">
        <f>IF(B16418="","",INT(A16418))</f>
        <v/>
      </c>
      <c r="D16418">
        <f>IF(B16418="","",HOUR(A16418))</f>
        <v/>
      </c>
    </row>
    <row r="16419">
      <c r="A16419">
        <f>Input!A16419</f>
        <v/>
      </c>
      <c r="B16419">
        <f>IF(ISNUMBER(Input!B16419),IF(AND(Input!B16419&gt;=20,Input!B16419&lt;=700),Input!B16419,""),"")</f>
        <v/>
      </c>
      <c r="C16419">
        <f>IF(B16419="","",INT(A16419))</f>
        <v/>
      </c>
      <c r="D16419">
        <f>IF(B16419="","",HOUR(A16419))</f>
        <v/>
      </c>
    </row>
    <row r="16420">
      <c r="A16420">
        <f>Input!A16420</f>
        <v/>
      </c>
      <c r="B16420">
        <f>IF(ISNUMBER(Input!B16420),IF(AND(Input!B16420&gt;=20,Input!B16420&lt;=700),Input!B16420,""),"")</f>
        <v/>
      </c>
      <c r="C16420">
        <f>IF(B16420="","",INT(A16420))</f>
        <v/>
      </c>
      <c r="D16420">
        <f>IF(B16420="","",HOUR(A16420))</f>
        <v/>
      </c>
    </row>
    <row r="16421">
      <c r="A16421">
        <f>Input!A16421</f>
        <v/>
      </c>
      <c r="B16421">
        <f>IF(ISNUMBER(Input!B16421),IF(AND(Input!B16421&gt;=20,Input!B16421&lt;=700),Input!B16421,""),"")</f>
        <v/>
      </c>
      <c r="C16421">
        <f>IF(B16421="","",INT(A16421))</f>
        <v/>
      </c>
      <c r="D16421">
        <f>IF(B16421="","",HOUR(A16421))</f>
        <v/>
      </c>
    </row>
    <row r="16422">
      <c r="A16422">
        <f>Input!A16422</f>
        <v/>
      </c>
      <c r="B16422">
        <f>IF(ISNUMBER(Input!B16422),IF(AND(Input!B16422&gt;=20,Input!B16422&lt;=700),Input!B16422,""),"")</f>
        <v/>
      </c>
      <c r="C16422">
        <f>IF(B16422="","",INT(A16422))</f>
        <v/>
      </c>
      <c r="D16422">
        <f>IF(B16422="","",HOUR(A16422))</f>
        <v/>
      </c>
    </row>
    <row r="16423">
      <c r="A16423">
        <f>Input!A16423</f>
        <v/>
      </c>
      <c r="B16423">
        <f>IF(ISNUMBER(Input!B16423),IF(AND(Input!B16423&gt;=20,Input!B16423&lt;=700),Input!B16423,""),"")</f>
        <v/>
      </c>
      <c r="C16423">
        <f>IF(B16423="","",INT(A16423))</f>
        <v/>
      </c>
      <c r="D16423">
        <f>IF(B16423="","",HOUR(A16423))</f>
        <v/>
      </c>
    </row>
    <row r="16424">
      <c r="A16424">
        <f>Input!A16424</f>
        <v/>
      </c>
      <c r="B16424">
        <f>IF(ISNUMBER(Input!B16424),IF(AND(Input!B16424&gt;=20,Input!B16424&lt;=700),Input!B16424,""),"")</f>
        <v/>
      </c>
      <c r="C16424">
        <f>IF(B16424="","",INT(A16424))</f>
        <v/>
      </c>
      <c r="D16424">
        <f>IF(B16424="","",HOUR(A16424))</f>
        <v/>
      </c>
    </row>
    <row r="16425">
      <c r="A16425">
        <f>Input!A16425</f>
        <v/>
      </c>
      <c r="B16425">
        <f>IF(ISNUMBER(Input!B16425),IF(AND(Input!B16425&gt;=20,Input!B16425&lt;=700),Input!B16425,""),"")</f>
        <v/>
      </c>
      <c r="C16425">
        <f>IF(B16425="","",INT(A16425))</f>
        <v/>
      </c>
      <c r="D16425">
        <f>IF(B16425="","",HOUR(A16425))</f>
        <v/>
      </c>
    </row>
    <row r="16426">
      <c r="A16426">
        <f>Input!A16426</f>
        <v/>
      </c>
      <c r="B16426">
        <f>IF(ISNUMBER(Input!B16426),IF(AND(Input!B16426&gt;=20,Input!B16426&lt;=700),Input!B16426,""),"")</f>
        <v/>
      </c>
      <c r="C16426">
        <f>IF(B16426="","",INT(A16426))</f>
        <v/>
      </c>
      <c r="D16426">
        <f>IF(B16426="","",HOUR(A16426))</f>
        <v/>
      </c>
    </row>
    <row r="16427">
      <c r="A16427">
        <f>Input!A16427</f>
        <v/>
      </c>
      <c r="B16427">
        <f>IF(ISNUMBER(Input!B16427),IF(AND(Input!B16427&gt;=20,Input!B16427&lt;=700),Input!B16427,""),"")</f>
        <v/>
      </c>
      <c r="C16427">
        <f>IF(B16427="","",INT(A16427))</f>
        <v/>
      </c>
      <c r="D16427">
        <f>IF(B16427="","",HOUR(A16427))</f>
        <v/>
      </c>
    </row>
    <row r="16428">
      <c r="A16428">
        <f>Input!A16428</f>
        <v/>
      </c>
      <c r="B16428">
        <f>IF(ISNUMBER(Input!B16428),IF(AND(Input!B16428&gt;=20,Input!B16428&lt;=700),Input!B16428,""),"")</f>
        <v/>
      </c>
      <c r="C16428">
        <f>IF(B16428="","",INT(A16428))</f>
        <v/>
      </c>
      <c r="D16428">
        <f>IF(B16428="","",HOUR(A16428))</f>
        <v/>
      </c>
    </row>
    <row r="16429">
      <c r="A16429">
        <f>Input!A16429</f>
        <v/>
      </c>
      <c r="B16429">
        <f>IF(ISNUMBER(Input!B16429),IF(AND(Input!B16429&gt;=20,Input!B16429&lt;=700),Input!B16429,""),"")</f>
        <v/>
      </c>
      <c r="C16429">
        <f>IF(B16429="","",INT(A16429))</f>
        <v/>
      </c>
      <c r="D16429">
        <f>IF(B16429="","",HOUR(A16429))</f>
        <v/>
      </c>
    </row>
    <row r="16430">
      <c r="A16430">
        <f>Input!A16430</f>
        <v/>
      </c>
      <c r="B16430">
        <f>IF(ISNUMBER(Input!B16430),IF(AND(Input!B16430&gt;=20,Input!B16430&lt;=700),Input!B16430,""),"")</f>
        <v/>
      </c>
      <c r="C16430">
        <f>IF(B16430="","",INT(A16430))</f>
        <v/>
      </c>
      <c r="D16430">
        <f>IF(B16430="","",HOUR(A16430))</f>
        <v/>
      </c>
    </row>
    <row r="16431">
      <c r="A16431">
        <f>Input!A16431</f>
        <v/>
      </c>
      <c r="B16431">
        <f>IF(ISNUMBER(Input!B16431),IF(AND(Input!B16431&gt;=20,Input!B16431&lt;=700),Input!B16431,""),"")</f>
        <v/>
      </c>
      <c r="C16431">
        <f>IF(B16431="","",INT(A16431))</f>
        <v/>
      </c>
      <c r="D16431">
        <f>IF(B16431="","",HOUR(A16431))</f>
        <v/>
      </c>
    </row>
    <row r="16432">
      <c r="A16432">
        <f>Input!A16432</f>
        <v/>
      </c>
      <c r="B16432">
        <f>IF(ISNUMBER(Input!B16432),IF(AND(Input!B16432&gt;=20,Input!B16432&lt;=700),Input!B16432,""),"")</f>
        <v/>
      </c>
      <c r="C16432">
        <f>IF(B16432="","",INT(A16432))</f>
        <v/>
      </c>
      <c r="D16432">
        <f>IF(B16432="","",HOUR(A16432))</f>
        <v/>
      </c>
    </row>
    <row r="16433">
      <c r="A16433">
        <f>Input!A16433</f>
        <v/>
      </c>
      <c r="B16433">
        <f>IF(ISNUMBER(Input!B16433),IF(AND(Input!B16433&gt;=20,Input!B16433&lt;=700),Input!B16433,""),"")</f>
        <v/>
      </c>
      <c r="C16433">
        <f>IF(B16433="","",INT(A16433))</f>
        <v/>
      </c>
      <c r="D16433">
        <f>IF(B16433="","",HOUR(A16433))</f>
        <v/>
      </c>
    </row>
    <row r="16434">
      <c r="A16434">
        <f>Input!A16434</f>
        <v/>
      </c>
      <c r="B16434">
        <f>IF(ISNUMBER(Input!B16434),IF(AND(Input!B16434&gt;=20,Input!B16434&lt;=700),Input!B16434,""),"")</f>
        <v/>
      </c>
      <c r="C16434">
        <f>IF(B16434="","",INT(A16434))</f>
        <v/>
      </c>
      <c r="D16434">
        <f>IF(B16434="","",HOUR(A16434))</f>
        <v/>
      </c>
    </row>
    <row r="16435">
      <c r="A16435">
        <f>Input!A16435</f>
        <v/>
      </c>
      <c r="B16435">
        <f>IF(ISNUMBER(Input!B16435),IF(AND(Input!B16435&gt;=20,Input!B16435&lt;=700),Input!B16435,""),"")</f>
        <v/>
      </c>
      <c r="C16435">
        <f>IF(B16435="","",INT(A16435))</f>
        <v/>
      </c>
      <c r="D16435">
        <f>IF(B16435="","",HOUR(A16435))</f>
        <v/>
      </c>
    </row>
    <row r="16436">
      <c r="A16436">
        <f>Input!A16436</f>
        <v/>
      </c>
      <c r="B16436">
        <f>IF(ISNUMBER(Input!B16436),IF(AND(Input!B16436&gt;=20,Input!B16436&lt;=700),Input!B16436,""),"")</f>
        <v/>
      </c>
      <c r="C16436">
        <f>IF(B16436="","",INT(A16436))</f>
        <v/>
      </c>
      <c r="D16436">
        <f>IF(B16436="","",HOUR(A16436))</f>
        <v/>
      </c>
    </row>
    <row r="16437">
      <c r="A16437">
        <f>Input!A16437</f>
        <v/>
      </c>
      <c r="B16437">
        <f>IF(ISNUMBER(Input!B16437),IF(AND(Input!B16437&gt;=20,Input!B16437&lt;=700),Input!B16437,""),"")</f>
        <v/>
      </c>
      <c r="C16437">
        <f>IF(B16437="","",INT(A16437))</f>
        <v/>
      </c>
      <c r="D16437">
        <f>IF(B16437="","",HOUR(A16437))</f>
        <v/>
      </c>
    </row>
    <row r="16438">
      <c r="A16438">
        <f>Input!A16438</f>
        <v/>
      </c>
      <c r="B16438">
        <f>IF(ISNUMBER(Input!B16438),IF(AND(Input!B16438&gt;=20,Input!B16438&lt;=700),Input!B16438,""),"")</f>
        <v/>
      </c>
      <c r="C16438">
        <f>IF(B16438="","",INT(A16438))</f>
        <v/>
      </c>
      <c r="D16438">
        <f>IF(B16438="","",HOUR(A16438))</f>
        <v/>
      </c>
    </row>
    <row r="16439">
      <c r="A16439">
        <f>Input!A16439</f>
        <v/>
      </c>
      <c r="B16439">
        <f>IF(ISNUMBER(Input!B16439),IF(AND(Input!B16439&gt;=20,Input!B16439&lt;=700),Input!B16439,""),"")</f>
        <v/>
      </c>
      <c r="C16439">
        <f>IF(B16439="","",INT(A16439))</f>
        <v/>
      </c>
      <c r="D16439">
        <f>IF(B16439="","",HOUR(A16439))</f>
        <v/>
      </c>
    </row>
    <row r="16440">
      <c r="A16440">
        <f>Input!A16440</f>
        <v/>
      </c>
      <c r="B16440">
        <f>IF(ISNUMBER(Input!B16440),IF(AND(Input!B16440&gt;=20,Input!B16440&lt;=700),Input!B16440,""),"")</f>
        <v/>
      </c>
      <c r="C16440">
        <f>IF(B16440="","",INT(A16440))</f>
        <v/>
      </c>
      <c r="D16440">
        <f>IF(B16440="","",HOUR(A16440))</f>
        <v/>
      </c>
    </row>
    <row r="16441">
      <c r="A16441">
        <f>Input!A16441</f>
        <v/>
      </c>
      <c r="B16441">
        <f>IF(ISNUMBER(Input!B16441),IF(AND(Input!B16441&gt;=20,Input!B16441&lt;=700),Input!B16441,""),"")</f>
        <v/>
      </c>
      <c r="C16441">
        <f>IF(B16441="","",INT(A16441))</f>
        <v/>
      </c>
      <c r="D16441">
        <f>IF(B16441="","",HOUR(A16441))</f>
        <v/>
      </c>
    </row>
    <row r="16442">
      <c r="A16442">
        <f>Input!A16442</f>
        <v/>
      </c>
      <c r="B16442">
        <f>IF(ISNUMBER(Input!B16442),IF(AND(Input!B16442&gt;=20,Input!B16442&lt;=700),Input!B16442,""),"")</f>
        <v/>
      </c>
      <c r="C16442">
        <f>IF(B16442="","",INT(A16442))</f>
        <v/>
      </c>
      <c r="D16442">
        <f>IF(B16442="","",HOUR(A16442))</f>
        <v/>
      </c>
    </row>
    <row r="16443">
      <c r="A16443">
        <f>Input!A16443</f>
        <v/>
      </c>
      <c r="B16443">
        <f>IF(ISNUMBER(Input!B16443),IF(AND(Input!B16443&gt;=20,Input!B16443&lt;=700),Input!B16443,""),"")</f>
        <v/>
      </c>
      <c r="C16443">
        <f>IF(B16443="","",INT(A16443))</f>
        <v/>
      </c>
      <c r="D16443">
        <f>IF(B16443="","",HOUR(A16443))</f>
        <v/>
      </c>
    </row>
    <row r="16444">
      <c r="A16444">
        <f>Input!A16444</f>
        <v/>
      </c>
      <c r="B16444">
        <f>IF(ISNUMBER(Input!B16444),IF(AND(Input!B16444&gt;=20,Input!B16444&lt;=700),Input!B16444,""),"")</f>
        <v/>
      </c>
      <c r="C16444">
        <f>IF(B16444="","",INT(A16444))</f>
        <v/>
      </c>
      <c r="D16444">
        <f>IF(B16444="","",HOUR(A16444))</f>
        <v/>
      </c>
    </row>
    <row r="16445">
      <c r="A16445">
        <f>Input!A16445</f>
        <v/>
      </c>
      <c r="B16445">
        <f>IF(ISNUMBER(Input!B16445),IF(AND(Input!B16445&gt;=20,Input!B16445&lt;=700),Input!B16445,""),"")</f>
        <v/>
      </c>
      <c r="C16445">
        <f>IF(B16445="","",INT(A16445))</f>
        <v/>
      </c>
      <c r="D16445">
        <f>IF(B16445="","",HOUR(A16445))</f>
        <v/>
      </c>
    </row>
    <row r="16446">
      <c r="A16446">
        <f>Input!A16446</f>
        <v/>
      </c>
      <c r="B16446">
        <f>IF(ISNUMBER(Input!B16446),IF(AND(Input!B16446&gt;=20,Input!B16446&lt;=700),Input!B16446,""),"")</f>
        <v/>
      </c>
      <c r="C16446">
        <f>IF(B16446="","",INT(A16446))</f>
        <v/>
      </c>
      <c r="D16446">
        <f>IF(B16446="","",HOUR(A16446))</f>
        <v/>
      </c>
    </row>
    <row r="16447">
      <c r="A16447">
        <f>Input!A16447</f>
        <v/>
      </c>
      <c r="B16447">
        <f>IF(ISNUMBER(Input!B16447),IF(AND(Input!B16447&gt;=20,Input!B16447&lt;=700),Input!B16447,""),"")</f>
        <v/>
      </c>
      <c r="C16447">
        <f>IF(B16447="","",INT(A16447))</f>
        <v/>
      </c>
      <c r="D16447">
        <f>IF(B16447="","",HOUR(A16447))</f>
        <v/>
      </c>
    </row>
    <row r="16448">
      <c r="A16448">
        <f>Input!A16448</f>
        <v/>
      </c>
      <c r="B16448">
        <f>IF(ISNUMBER(Input!B16448),IF(AND(Input!B16448&gt;=20,Input!B16448&lt;=700),Input!B16448,""),"")</f>
        <v/>
      </c>
      <c r="C16448">
        <f>IF(B16448="","",INT(A16448))</f>
        <v/>
      </c>
      <c r="D16448">
        <f>IF(B16448="","",HOUR(A16448))</f>
        <v/>
      </c>
    </row>
    <row r="16449">
      <c r="A16449">
        <f>Input!A16449</f>
        <v/>
      </c>
      <c r="B16449">
        <f>IF(ISNUMBER(Input!B16449),IF(AND(Input!B16449&gt;=20,Input!B16449&lt;=700),Input!B16449,""),"")</f>
        <v/>
      </c>
      <c r="C16449">
        <f>IF(B16449="","",INT(A16449))</f>
        <v/>
      </c>
      <c r="D16449">
        <f>IF(B16449="","",HOUR(A16449))</f>
        <v/>
      </c>
    </row>
    <row r="16450">
      <c r="A16450">
        <f>Input!A16450</f>
        <v/>
      </c>
      <c r="B16450">
        <f>IF(ISNUMBER(Input!B16450),IF(AND(Input!B16450&gt;=20,Input!B16450&lt;=700),Input!B16450,""),"")</f>
        <v/>
      </c>
      <c r="C16450">
        <f>IF(B16450="","",INT(A16450))</f>
        <v/>
      </c>
      <c r="D16450">
        <f>IF(B16450="","",HOUR(A16450))</f>
        <v/>
      </c>
    </row>
    <row r="16451">
      <c r="A16451">
        <f>Input!A16451</f>
        <v/>
      </c>
      <c r="B16451">
        <f>IF(ISNUMBER(Input!B16451),IF(AND(Input!B16451&gt;=20,Input!B16451&lt;=700),Input!B16451,""),"")</f>
        <v/>
      </c>
      <c r="C16451">
        <f>IF(B16451="","",INT(A16451))</f>
        <v/>
      </c>
      <c r="D16451">
        <f>IF(B16451="","",HOUR(A16451))</f>
        <v/>
      </c>
    </row>
    <row r="16452">
      <c r="A16452">
        <f>Input!A16452</f>
        <v/>
      </c>
      <c r="B16452">
        <f>IF(ISNUMBER(Input!B16452),IF(AND(Input!B16452&gt;=20,Input!B16452&lt;=700),Input!B16452,""),"")</f>
        <v/>
      </c>
      <c r="C16452">
        <f>IF(B16452="","",INT(A16452))</f>
        <v/>
      </c>
      <c r="D16452">
        <f>IF(B16452="","",HOUR(A16452))</f>
        <v/>
      </c>
    </row>
    <row r="16453">
      <c r="A16453">
        <f>Input!A16453</f>
        <v/>
      </c>
      <c r="B16453">
        <f>IF(ISNUMBER(Input!B16453),IF(AND(Input!B16453&gt;=20,Input!B16453&lt;=700),Input!B16453,""),"")</f>
        <v/>
      </c>
      <c r="C16453">
        <f>IF(B16453="","",INT(A16453))</f>
        <v/>
      </c>
      <c r="D16453">
        <f>IF(B16453="","",HOUR(A16453))</f>
        <v/>
      </c>
    </row>
    <row r="16454">
      <c r="A16454">
        <f>Input!A16454</f>
        <v/>
      </c>
      <c r="B16454">
        <f>IF(ISNUMBER(Input!B16454),IF(AND(Input!B16454&gt;=20,Input!B16454&lt;=700),Input!B16454,""),"")</f>
        <v/>
      </c>
      <c r="C16454">
        <f>IF(B16454="","",INT(A16454))</f>
        <v/>
      </c>
      <c r="D16454">
        <f>IF(B16454="","",HOUR(A16454))</f>
        <v/>
      </c>
    </row>
    <row r="16455">
      <c r="A16455">
        <f>Input!A16455</f>
        <v/>
      </c>
      <c r="B16455">
        <f>IF(ISNUMBER(Input!B16455),IF(AND(Input!B16455&gt;=20,Input!B16455&lt;=700),Input!B16455,""),"")</f>
        <v/>
      </c>
      <c r="C16455">
        <f>IF(B16455="","",INT(A16455))</f>
        <v/>
      </c>
      <c r="D16455">
        <f>IF(B16455="","",HOUR(A16455))</f>
        <v/>
      </c>
    </row>
    <row r="16456">
      <c r="A16456">
        <f>Input!A16456</f>
        <v/>
      </c>
      <c r="B16456">
        <f>IF(ISNUMBER(Input!B16456),IF(AND(Input!B16456&gt;=20,Input!B16456&lt;=700),Input!B16456,""),"")</f>
        <v/>
      </c>
      <c r="C16456">
        <f>IF(B16456="","",INT(A16456))</f>
        <v/>
      </c>
      <c r="D16456">
        <f>IF(B16456="","",HOUR(A16456))</f>
        <v/>
      </c>
    </row>
    <row r="16457">
      <c r="A16457">
        <f>Input!A16457</f>
        <v/>
      </c>
      <c r="B16457">
        <f>IF(ISNUMBER(Input!B16457),IF(AND(Input!B16457&gt;=20,Input!B16457&lt;=700),Input!B16457,""),"")</f>
        <v/>
      </c>
      <c r="C16457">
        <f>IF(B16457="","",INT(A16457))</f>
        <v/>
      </c>
      <c r="D16457">
        <f>IF(B16457="","",HOUR(A16457))</f>
        <v/>
      </c>
    </row>
    <row r="16458">
      <c r="A16458">
        <f>Input!A16458</f>
        <v/>
      </c>
      <c r="B16458">
        <f>IF(ISNUMBER(Input!B16458),IF(AND(Input!B16458&gt;=20,Input!B16458&lt;=700),Input!B16458,""),"")</f>
        <v/>
      </c>
      <c r="C16458">
        <f>IF(B16458="","",INT(A16458))</f>
        <v/>
      </c>
      <c r="D16458">
        <f>IF(B16458="","",HOUR(A16458))</f>
        <v/>
      </c>
    </row>
    <row r="16459">
      <c r="A16459">
        <f>Input!A16459</f>
        <v/>
      </c>
      <c r="B16459">
        <f>IF(ISNUMBER(Input!B16459),IF(AND(Input!B16459&gt;=20,Input!B16459&lt;=700),Input!B16459,""),"")</f>
        <v/>
      </c>
      <c r="C16459">
        <f>IF(B16459="","",INT(A16459))</f>
        <v/>
      </c>
      <c r="D16459">
        <f>IF(B16459="","",HOUR(A16459))</f>
        <v/>
      </c>
    </row>
    <row r="16460">
      <c r="A16460">
        <f>Input!A16460</f>
        <v/>
      </c>
      <c r="B16460">
        <f>IF(ISNUMBER(Input!B16460),IF(AND(Input!B16460&gt;=20,Input!B16460&lt;=700),Input!B16460,""),"")</f>
        <v/>
      </c>
      <c r="C16460">
        <f>IF(B16460="","",INT(A16460))</f>
        <v/>
      </c>
      <c r="D16460">
        <f>IF(B16460="","",HOUR(A16460))</f>
        <v/>
      </c>
    </row>
    <row r="16461">
      <c r="A16461">
        <f>Input!A16461</f>
        <v/>
      </c>
      <c r="B16461">
        <f>IF(ISNUMBER(Input!B16461),IF(AND(Input!B16461&gt;=20,Input!B16461&lt;=700),Input!B16461,""),"")</f>
        <v/>
      </c>
      <c r="C16461">
        <f>IF(B16461="","",INT(A16461))</f>
        <v/>
      </c>
      <c r="D16461">
        <f>IF(B16461="","",HOUR(A16461))</f>
        <v/>
      </c>
    </row>
    <row r="16462">
      <c r="A16462">
        <f>Input!A16462</f>
        <v/>
      </c>
      <c r="B16462">
        <f>IF(ISNUMBER(Input!B16462),IF(AND(Input!B16462&gt;=20,Input!B16462&lt;=700),Input!B16462,""),"")</f>
        <v/>
      </c>
      <c r="C16462">
        <f>IF(B16462="","",INT(A16462))</f>
        <v/>
      </c>
      <c r="D16462">
        <f>IF(B16462="","",HOUR(A16462))</f>
        <v/>
      </c>
    </row>
    <row r="16463">
      <c r="A16463">
        <f>Input!A16463</f>
        <v/>
      </c>
      <c r="B16463">
        <f>IF(ISNUMBER(Input!B16463),IF(AND(Input!B16463&gt;=20,Input!B16463&lt;=700),Input!B16463,""),"")</f>
        <v/>
      </c>
      <c r="C16463">
        <f>IF(B16463="","",INT(A16463))</f>
        <v/>
      </c>
      <c r="D16463">
        <f>IF(B16463="","",HOUR(A16463))</f>
        <v/>
      </c>
    </row>
    <row r="16464">
      <c r="A16464">
        <f>Input!A16464</f>
        <v/>
      </c>
      <c r="B16464">
        <f>IF(ISNUMBER(Input!B16464),IF(AND(Input!B16464&gt;=20,Input!B16464&lt;=700),Input!B16464,""),"")</f>
        <v/>
      </c>
      <c r="C16464">
        <f>IF(B16464="","",INT(A16464))</f>
        <v/>
      </c>
      <c r="D16464">
        <f>IF(B16464="","",HOUR(A16464))</f>
        <v/>
      </c>
    </row>
    <row r="16465">
      <c r="A16465">
        <f>Input!A16465</f>
        <v/>
      </c>
      <c r="B16465">
        <f>IF(ISNUMBER(Input!B16465),IF(AND(Input!B16465&gt;=20,Input!B16465&lt;=700),Input!B16465,""),"")</f>
        <v/>
      </c>
      <c r="C16465">
        <f>IF(B16465="","",INT(A16465))</f>
        <v/>
      </c>
      <c r="D16465">
        <f>IF(B16465="","",HOUR(A16465))</f>
        <v/>
      </c>
    </row>
    <row r="16466">
      <c r="A16466">
        <f>Input!A16466</f>
        <v/>
      </c>
      <c r="B16466">
        <f>IF(ISNUMBER(Input!B16466),IF(AND(Input!B16466&gt;=20,Input!B16466&lt;=700),Input!B16466,""),"")</f>
        <v/>
      </c>
      <c r="C16466">
        <f>IF(B16466="","",INT(A16466))</f>
        <v/>
      </c>
      <c r="D16466">
        <f>IF(B16466="","",HOUR(A16466))</f>
        <v/>
      </c>
    </row>
    <row r="16467">
      <c r="A16467">
        <f>Input!A16467</f>
        <v/>
      </c>
      <c r="B16467">
        <f>IF(ISNUMBER(Input!B16467),IF(AND(Input!B16467&gt;=20,Input!B16467&lt;=700),Input!B16467,""),"")</f>
        <v/>
      </c>
      <c r="C16467">
        <f>IF(B16467="","",INT(A16467))</f>
        <v/>
      </c>
      <c r="D16467">
        <f>IF(B16467="","",HOUR(A16467))</f>
        <v/>
      </c>
    </row>
    <row r="16468">
      <c r="A16468">
        <f>Input!A16468</f>
        <v/>
      </c>
      <c r="B16468">
        <f>IF(ISNUMBER(Input!B16468),IF(AND(Input!B16468&gt;=20,Input!B16468&lt;=700),Input!B16468,""),"")</f>
        <v/>
      </c>
      <c r="C16468">
        <f>IF(B16468="","",INT(A16468))</f>
        <v/>
      </c>
      <c r="D16468">
        <f>IF(B16468="","",HOUR(A16468))</f>
        <v/>
      </c>
    </row>
    <row r="16469">
      <c r="A16469">
        <f>Input!A16469</f>
        <v/>
      </c>
      <c r="B16469">
        <f>IF(ISNUMBER(Input!B16469),IF(AND(Input!B16469&gt;=20,Input!B16469&lt;=700),Input!B16469,""),"")</f>
        <v/>
      </c>
      <c r="C16469">
        <f>IF(B16469="","",INT(A16469))</f>
        <v/>
      </c>
      <c r="D16469">
        <f>IF(B16469="","",HOUR(A16469))</f>
        <v/>
      </c>
    </row>
    <row r="16470">
      <c r="A16470">
        <f>Input!A16470</f>
        <v/>
      </c>
      <c r="B16470">
        <f>IF(ISNUMBER(Input!B16470),IF(AND(Input!B16470&gt;=20,Input!B16470&lt;=700),Input!B16470,""),"")</f>
        <v/>
      </c>
      <c r="C16470">
        <f>IF(B16470="","",INT(A16470))</f>
        <v/>
      </c>
      <c r="D16470">
        <f>IF(B16470="","",HOUR(A16470))</f>
        <v/>
      </c>
    </row>
    <row r="16471">
      <c r="A16471">
        <f>Input!A16471</f>
        <v/>
      </c>
      <c r="B16471">
        <f>IF(ISNUMBER(Input!B16471),IF(AND(Input!B16471&gt;=20,Input!B16471&lt;=700),Input!B16471,""),"")</f>
        <v/>
      </c>
      <c r="C16471">
        <f>IF(B16471="","",INT(A16471))</f>
        <v/>
      </c>
      <c r="D16471">
        <f>IF(B16471="","",HOUR(A16471))</f>
        <v/>
      </c>
    </row>
    <row r="16472">
      <c r="A16472">
        <f>Input!A16472</f>
        <v/>
      </c>
      <c r="B16472">
        <f>IF(ISNUMBER(Input!B16472),IF(AND(Input!B16472&gt;=20,Input!B16472&lt;=700),Input!B16472,""),"")</f>
        <v/>
      </c>
      <c r="C16472">
        <f>IF(B16472="","",INT(A16472))</f>
        <v/>
      </c>
      <c r="D16472">
        <f>IF(B16472="","",HOUR(A16472))</f>
        <v/>
      </c>
    </row>
    <row r="16473">
      <c r="A16473">
        <f>Input!A16473</f>
        <v/>
      </c>
      <c r="B16473">
        <f>IF(ISNUMBER(Input!B16473),IF(AND(Input!B16473&gt;=20,Input!B16473&lt;=700),Input!B16473,""),"")</f>
        <v/>
      </c>
      <c r="C16473">
        <f>IF(B16473="","",INT(A16473))</f>
        <v/>
      </c>
      <c r="D16473">
        <f>IF(B16473="","",HOUR(A16473))</f>
        <v/>
      </c>
    </row>
    <row r="16474">
      <c r="A16474">
        <f>Input!A16474</f>
        <v/>
      </c>
      <c r="B16474">
        <f>IF(ISNUMBER(Input!B16474),IF(AND(Input!B16474&gt;=20,Input!B16474&lt;=700),Input!B16474,""),"")</f>
        <v/>
      </c>
      <c r="C16474">
        <f>IF(B16474="","",INT(A16474))</f>
        <v/>
      </c>
      <c r="D16474">
        <f>IF(B16474="","",HOUR(A16474))</f>
        <v/>
      </c>
    </row>
    <row r="16475">
      <c r="A16475">
        <f>Input!A16475</f>
        <v/>
      </c>
      <c r="B16475">
        <f>IF(ISNUMBER(Input!B16475),IF(AND(Input!B16475&gt;=20,Input!B16475&lt;=700),Input!B16475,""),"")</f>
        <v/>
      </c>
      <c r="C16475">
        <f>IF(B16475="","",INT(A16475))</f>
        <v/>
      </c>
      <c r="D16475">
        <f>IF(B16475="","",HOUR(A16475))</f>
        <v/>
      </c>
    </row>
    <row r="16476">
      <c r="A16476">
        <f>Input!A16476</f>
        <v/>
      </c>
      <c r="B16476">
        <f>IF(ISNUMBER(Input!B16476),IF(AND(Input!B16476&gt;=20,Input!B16476&lt;=700),Input!B16476,""),"")</f>
        <v/>
      </c>
      <c r="C16476">
        <f>IF(B16476="","",INT(A16476))</f>
        <v/>
      </c>
      <c r="D16476">
        <f>IF(B16476="","",HOUR(A16476))</f>
        <v/>
      </c>
    </row>
    <row r="16477">
      <c r="A16477">
        <f>Input!A16477</f>
        <v/>
      </c>
      <c r="B16477">
        <f>IF(ISNUMBER(Input!B16477),IF(AND(Input!B16477&gt;=20,Input!B16477&lt;=700),Input!B16477,""),"")</f>
        <v/>
      </c>
      <c r="C16477">
        <f>IF(B16477="","",INT(A16477))</f>
        <v/>
      </c>
      <c r="D16477">
        <f>IF(B16477="","",HOUR(A16477))</f>
        <v/>
      </c>
    </row>
    <row r="16478">
      <c r="A16478">
        <f>Input!A16478</f>
        <v/>
      </c>
      <c r="B16478">
        <f>IF(ISNUMBER(Input!B16478),IF(AND(Input!B16478&gt;=20,Input!B16478&lt;=700),Input!B16478,""),"")</f>
        <v/>
      </c>
      <c r="C16478">
        <f>IF(B16478="","",INT(A16478))</f>
        <v/>
      </c>
      <c r="D16478">
        <f>IF(B16478="","",HOUR(A16478))</f>
        <v/>
      </c>
    </row>
    <row r="16479">
      <c r="A16479">
        <f>Input!A16479</f>
        <v/>
      </c>
      <c r="B16479">
        <f>IF(ISNUMBER(Input!B16479),IF(AND(Input!B16479&gt;=20,Input!B16479&lt;=700),Input!B16479,""),"")</f>
        <v/>
      </c>
      <c r="C16479">
        <f>IF(B16479="","",INT(A16479))</f>
        <v/>
      </c>
      <c r="D16479">
        <f>IF(B16479="","",HOUR(A16479))</f>
        <v/>
      </c>
    </row>
    <row r="16480">
      <c r="A16480">
        <f>Input!A16480</f>
        <v/>
      </c>
      <c r="B16480">
        <f>IF(ISNUMBER(Input!B16480),IF(AND(Input!B16480&gt;=20,Input!B16480&lt;=700),Input!B16480,""),"")</f>
        <v/>
      </c>
      <c r="C16480">
        <f>IF(B16480="","",INT(A16480))</f>
        <v/>
      </c>
      <c r="D16480">
        <f>IF(B16480="","",HOUR(A16480))</f>
        <v/>
      </c>
    </row>
    <row r="16481">
      <c r="A16481">
        <f>Input!A16481</f>
        <v/>
      </c>
      <c r="B16481">
        <f>IF(ISNUMBER(Input!B16481),IF(AND(Input!B16481&gt;=20,Input!B16481&lt;=700),Input!B16481,""),"")</f>
        <v/>
      </c>
      <c r="C16481">
        <f>IF(B16481="","",INT(A16481))</f>
        <v/>
      </c>
      <c r="D16481">
        <f>IF(B16481="","",HOUR(A16481))</f>
        <v/>
      </c>
    </row>
    <row r="16482">
      <c r="A16482">
        <f>Input!A16482</f>
        <v/>
      </c>
      <c r="B16482">
        <f>IF(ISNUMBER(Input!B16482),IF(AND(Input!B16482&gt;=20,Input!B16482&lt;=700),Input!B16482,""),"")</f>
        <v/>
      </c>
      <c r="C16482">
        <f>IF(B16482="","",INT(A16482))</f>
        <v/>
      </c>
      <c r="D16482">
        <f>IF(B16482="","",HOUR(A16482))</f>
        <v/>
      </c>
    </row>
    <row r="16483">
      <c r="A16483">
        <f>Input!A16483</f>
        <v/>
      </c>
      <c r="B16483">
        <f>IF(ISNUMBER(Input!B16483),IF(AND(Input!B16483&gt;=20,Input!B16483&lt;=700),Input!B16483,""),"")</f>
        <v/>
      </c>
      <c r="C16483">
        <f>IF(B16483="","",INT(A16483))</f>
        <v/>
      </c>
      <c r="D16483">
        <f>IF(B16483="","",HOUR(A16483))</f>
        <v/>
      </c>
    </row>
    <row r="16484">
      <c r="A16484">
        <f>Input!A16484</f>
        <v/>
      </c>
      <c r="B16484">
        <f>IF(ISNUMBER(Input!B16484),IF(AND(Input!B16484&gt;=20,Input!B16484&lt;=700),Input!B16484,""),"")</f>
        <v/>
      </c>
      <c r="C16484">
        <f>IF(B16484="","",INT(A16484))</f>
        <v/>
      </c>
      <c r="D16484">
        <f>IF(B16484="","",HOUR(A16484))</f>
        <v/>
      </c>
    </row>
    <row r="16485">
      <c r="A16485">
        <f>Input!A16485</f>
        <v/>
      </c>
      <c r="B16485">
        <f>IF(ISNUMBER(Input!B16485),IF(AND(Input!B16485&gt;=20,Input!B16485&lt;=700),Input!B16485,""),"")</f>
        <v/>
      </c>
      <c r="C16485">
        <f>IF(B16485="","",INT(A16485))</f>
        <v/>
      </c>
      <c r="D16485">
        <f>IF(B16485="","",HOUR(A16485))</f>
        <v/>
      </c>
    </row>
    <row r="16486">
      <c r="A16486">
        <f>Input!A16486</f>
        <v/>
      </c>
      <c r="B16486">
        <f>IF(ISNUMBER(Input!B16486),IF(AND(Input!B16486&gt;=20,Input!B16486&lt;=700),Input!B16486,""),"")</f>
        <v/>
      </c>
      <c r="C16486">
        <f>IF(B16486="","",INT(A16486))</f>
        <v/>
      </c>
      <c r="D16486">
        <f>IF(B16486="","",HOUR(A16486))</f>
        <v/>
      </c>
    </row>
    <row r="16487">
      <c r="A16487">
        <f>Input!A16487</f>
        <v/>
      </c>
      <c r="B16487">
        <f>IF(ISNUMBER(Input!B16487),IF(AND(Input!B16487&gt;=20,Input!B16487&lt;=700),Input!B16487,""),"")</f>
        <v/>
      </c>
      <c r="C16487">
        <f>IF(B16487="","",INT(A16487))</f>
        <v/>
      </c>
      <c r="D16487">
        <f>IF(B16487="","",HOUR(A16487))</f>
        <v/>
      </c>
    </row>
    <row r="16488">
      <c r="A16488">
        <f>Input!A16488</f>
        <v/>
      </c>
      <c r="B16488">
        <f>IF(ISNUMBER(Input!B16488),IF(AND(Input!B16488&gt;=20,Input!B16488&lt;=700),Input!B16488,""),"")</f>
        <v/>
      </c>
      <c r="C16488">
        <f>IF(B16488="","",INT(A16488))</f>
        <v/>
      </c>
      <c r="D16488">
        <f>IF(B16488="","",HOUR(A16488))</f>
        <v/>
      </c>
    </row>
    <row r="16489">
      <c r="A16489">
        <f>Input!A16489</f>
        <v/>
      </c>
      <c r="B16489">
        <f>IF(ISNUMBER(Input!B16489),IF(AND(Input!B16489&gt;=20,Input!B16489&lt;=700),Input!B16489,""),"")</f>
        <v/>
      </c>
      <c r="C16489">
        <f>IF(B16489="","",INT(A16489))</f>
        <v/>
      </c>
      <c r="D16489">
        <f>IF(B16489="","",HOUR(A16489))</f>
        <v/>
      </c>
    </row>
    <row r="16490">
      <c r="A16490">
        <f>Input!A16490</f>
        <v/>
      </c>
      <c r="B16490">
        <f>IF(ISNUMBER(Input!B16490),IF(AND(Input!B16490&gt;=20,Input!B16490&lt;=700),Input!B16490,""),"")</f>
        <v/>
      </c>
      <c r="C16490">
        <f>IF(B16490="","",INT(A16490))</f>
        <v/>
      </c>
      <c r="D16490">
        <f>IF(B16490="","",HOUR(A16490))</f>
        <v/>
      </c>
    </row>
    <row r="16491">
      <c r="A16491">
        <f>Input!A16491</f>
        <v/>
      </c>
      <c r="B16491">
        <f>IF(ISNUMBER(Input!B16491),IF(AND(Input!B16491&gt;=20,Input!B16491&lt;=700),Input!B16491,""),"")</f>
        <v/>
      </c>
      <c r="C16491">
        <f>IF(B16491="","",INT(A16491))</f>
        <v/>
      </c>
      <c r="D16491">
        <f>IF(B16491="","",HOUR(A16491))</f>
        <v/>
      </c>
    </row>
    <row r="16492">
      <c r="A16492">
        <f>Input!A16492</f>
        <v/>
      </c>
      <c r="B16492">
        <f>IF(ISNUMBER(Input!B16492),IF(AND(Input!B16492&gt;=20,Input!B16492&lt;=700),Input!B16492,""),"")</f>
        <v/>
      </c>
      <c r="C16492">
        <f>IF(B16492="","",INT(A16492))</f>
        <v/>
      </c>
      <c r="D16492">
        <f>IF(B16492="","",HOUR(A16492))</f>
        <v/>
      </c>
    </row>
    <row r="16493">
      <c r="A16493">
        <f>Input!A16493</f>
        <v/>
      </c>
      <c r="B16493">
        <f>IF(ISNUMBER(Input!B16493),IF(AND(Input!B16493&gt;=20,Input!B16493&lt;=700),Input!B16493,""),"")</f>
        <v/>
      </c>
      <c r="C16493">
        <f>IF(B16493="","",INT(A16493))</f>
        <v/>
      </c>
      <c r="D16493">
        <f>IF(B16493="","",HOUR(A16493))</f>
        <v/>
      </c>
    </row>
    <row r="16494">
      <c r="A16494">
        <f>Input!A16494</f>
        <v/>
      </c>
      <c r="B16494">
        <f>IF(ISNUMBER(Input!B16494),IF(AND(Input!B16494&gt;=20,Input!B16494&lt;=700),Input!B16494,""),"")</f>
        <v/>
      </c>
      <c r="C16494">
        <f>IF(B16494="","",INT(A16494))</f>
        <v/>
      </c>
      <c r="D16494">
        <f>IF(B16494="","",HOUR(A16494))</f>
        <v/>
      </c>
    </row>
    <row r="16495">
      <c r="A16495">
        <f>Input!A16495</f>
        <v/>
      </c>
      <c r="B16495">
        <f>IF(ISNUMBER(Input!B16495),IF(AND(Input!B16495&gt;=20,Input!B16495&lt;=700),Input!B16495,""),"")</f>
        <v/>
      </c>
      <c r="C16495">
        <f>IF(B16495="","",INT(A16495))</f>
        <v/>
      </c>
      <c r="D16495">
        <f>IF(B16495="","",HOUR(A16495))</f>
        <v/>
      </c>
    </row>
    <row r="16496">
      <c r="A16496">
        <f>Input!A16496</f>
        <v/>
      </c>
      <c r="B16496">
        <f>IF(ISNUMBER(Input!B16496),IF(AND(Input!B16496&gt;=20,Input!B16496&lt;=700),Input!B16496,""),"")</f>
        <v/>
      </c>
      <c r="C16496">
        <f>IF(B16496="","",INT(A16496))</f>
        <v/>
      </c>
      <c r="D16496">
        <f>IF(B16496="","",HOUR(A16496))</f>
        <v/>
      </c>
    </row>
    <row r="16497">
      <c r="A16497">
        <f>Input!A16497</f>
        <v/>
      </c>
      <c r="B16497">
        <f>IF(ISNUMBER(Input!B16497),IF(AND(Input!B16497&gt;=20,Input!B16497&lt;=700),Input!B16497,""),"")</f>
        <v/>
      </c>
      <c r="C16497">
        <f>IF(B16497="","",INT(A16497))</f>
        <v/>
      </c>
      <c r="D16497">
        <f>IF(B16497="","",HOUR(A16497))</f>
        <v/>
      </c>
    </row>
    <row r="16498">
      <c r="A16498">
        <f>Input!A16498</f>
        <v/>
      </c>
      <c r="B16498">
        <f>IF(ISNUMBER(Input!B16498),IF(AND(Input!B16498&gt;=20,Input!B16498&lt;=700),Input!B16498,""),"")</f>
        <v/>
      </c>
      <c r="C16498">
        <f>IF(B16498="","",INT(A16498))</f>
        <v/>
      </c>
      <c r="D16498">
        <f>IF(B16498="","",HOUR(A16498))</f>
        <v/>
      </c>
    </row>
    <row r="16499">
      <c r="A16499">
        <f>Input!A16499</f>
        <v/>
      </c>
      <c r="B16499">
        <f>IF(ISNUMBER(Input!B16499),IF(AND(Input!B16499&gt;=20,Input!B16499&lt;=700),Input!B16499,""),"")</f>
        <v/>
      </c>
      <c r="C16499">
        <f>IF(B16499="","",INT(A16499))</f>
        <v/>
      </c>
      <c r="D16499">
        <f>IF(B16499="","",HOUR(A16499))</f>
        <v/>
      </c>
    </row>
    <row r="16500">
      <c r="A16500">
        <f>Input!A16500</f>
        <v/>
      </c>
      <c r="B16500">
        <f>IF(ISNUMBER(Input!B16500),IF(AND(Input!B16500&gt;=20,Input!B16500&lt;=700),Input!B16500,""),"")</f>
        <v/>
      </c>
      <c r="C16500">
        <f>IF(B16500="","",INT(A16500))</f>
        <v/>
      </c>
      <c r="D16500">
        <f>IF(B16500="","",HOUR(A16500))</f>
        <v/>
      </c>
    </row>
    <row r="16501">
      <c r="A16501">
        <f>Input!A16501</f>
        <v/>
      </c>
      <c r="B16501">
        <f>IF(ISNUMBER(Input!B16501),IF(AND(Input!B16501&gt;=20,Input!B16501&lt;=700),Input!B16501,""),"")</f>
        <v/>
      </c>
      <c r="C16501">
        <f>IF(B16501="","",INT(A16501))</f>
        <v/>
      </c>
      <c r="D16501">
        <f>IF(B16501="","",HOUR(A16501))</f>
        <v/>
      </c>
    </row>
    <row r="16502">
      <c r="A16502">
        <f>Input!A16502</f>
        <v/>
      </c>
      <c r="B16502">
        <f>IF(ISNUMBER(Input!B16502),IF(AND(Input!B16502&gt;=20,Input!B16502&lt;=700),Input!B16502,""),"")</f>
        <v/>
      </c>
      <c r="C16502">
        <f>IF(B16502="","",INT(A16502))</f>
        <v/>
      </c>
      <c r="D16502">
        <f>IF(B16502="","",HOUR(A16502))</f>
        <v/>
      </c>
    </row>
    <row r="16503">
      <c r="A16503">
        <f>Input!A16503</f>
        <v/>
      </c>
      <c r="B16503">
        <f>IF(ISNUMBER(Input!B16503),IF(AND(Input!B16503&gt;=20,Input!B16503&lt;=700),Input!B16503,""),"")</f>
        <v/>
      </c>
      <c r="C16503">
        <f>IF(B16503="","",INT(A16503))</f>
        <v/>
      </c>
      <c r="D16503">
        <f>IF(B16503="","",HOUR(A16503))</f>
        <v/>
      </c>
    </row>
    <row r="16504">
      <c r="A16504">
        <f>Input!A16504</f>
        <v/>
      </c>
      <c r="B16504">
        <f>IF(ISNUMBER(Input!B16504),IF(AND(Input!B16504&gt;=20,Input!B16504&lt;=700),Input!B16504,""),"")</f>
        <v/>
      </c>
      <c r="C16504">
        <f>IF(B16504="","",INT(A16504))</f>
        <v/>
      </c>
      <c r="D16504">
        <f>IF(B16504="","",HOUR(A16504))</f>
        <v/>
      </c>
    </row>
    <row r="16505">
      <c r="A16505">
        <f>Input!A16505</f>
        <v/>
      </c>
      <c r="B16505">
        <f>IF(ISNUMBER(Input!B16505),IF(AND(Input!B16505&gt;=20,Input!B16505&lt;=700),Input!B16505,""),"")</f>
        <v/>
      </c>
      <c r="C16505">
        <f>IF(B16505="","",INT(A16505))</f>
        <v/>
      </c>
      <c r="D16505">
        <f>IF(B16505="","",HOUR(A16505))</f>
        <v/>
      </c>
    </row>
    <row r="16506">
      <c r="A16506">
        <f>Input!A16506</f>
        <v/>
      </c>
      <c r="B16506">
        <f>IF(ISNUMBER(Input!B16506),IF(AND(Input!B16506&gt;=20,Input!B16506&lt;=700),Input!B16506,""),"")</f>
        <v/>
      </c>
      <c r="C16506">
        <f>IF(B16506="","",INT(A16506))</f>
        <v/>
      </c>
      <c r="D16506">
        <f>IF(B16506="","",HOUR(A16506))</f>
        <v/>
      </c>
    </row>
    <row r="16507">
      <c r="A16507">
        <f>Input!A16507</f>
        <v/>
      </c>
      <c r="B16507">
        <f>IF(ISNUMBER(Input!B16507),IF(AND(Input!B16507&gt;=20,Input!B16507&lt;=700),Input!B16507,""),"")</f>
        <v/>
      </c>
      <c r="C16507">
        <f>IF(B16507="","",INT(A16507))</f>
        <v/>
      </c>
      <c r="D16507">
        <f>IF(B16507="","",HOUR(A16507))</f>
        <v/>
      </c>
    </row>
    <row r="16508">
      <c r="A16508">
        <f>Input!A16508</f>
        <v/>
      </c>
      <c r="B16508">
        <f>IF(ISNUMBER(Input!B16508),IF(AND(Input!B16508&gt;=20,Input!B16508&lt;=700),Input!B16508,""),"")</f>
        <v/>
      </c>
      <c r="C16508">
        <f>IF(B16508="","",INT(A16508))</f>
        <v/>
      </c>
      <c r="D16508">
        <f>IF(B16508="","",HOUR(A16508))</f>
        <v/>
      </c>
    </row>
    <row r="16509">
      <c r="A16509">
        <f>Input!A16509</f>
        <v/>
      </c>
      <c r="B16509">
        <f>IF(ISNUMBER(Input!B16509),IF(AND(Input!B16509&gt;=20,Input!B16509&lt;=700),Input!B16509,""),"")</f>
        <v/>
      </c>
      <c r="C16509">
        <f>IF(B16509="","",INT(A16509))</f>
        <v/>
      </c>
      <c r="D16509">
        <f>IF(B16509="","",HOUR(A16509))</f>
        <v/>
      </c>
    </row>
    <row r="16510">
      <c r="A16510">
        <f>Input!A16510</f>
        <v/>
      </c>
      <c r="B16510">
        <f>IF(ISNUMBER(Input!B16510),IF(AND(Input!B16510&gt;=20,Input!B16510&lt;=700),Input!B16510,""),"")</f>
        <v/>
      </c>
      <c r="C16510">
        <f>IF(B16510="","",INT(A16510))</f>
        <v/>
      </c>
      <c r="D16510">
        <f>IF(B16510="","",HOUR(A16510))</f>
        <v/>
      </c>
    </row>
    <row r="16511">
      <c r="A16511">
        <f>Input!A16511</f>
        <v/>
      </c>
      <c r="B16511">
        <f>IF(ISNUMBER(Input!B16511),IF(AND(Input!B16511&gt;=20,Input!B16511&lt;=700),Input!B16511,""),"")</f>
        <v/>
      </c>
      <c r="C16511">
        <f>IF(B16511="","",INT(A16511))</f>
        <v/>
      </c>
      <c r="D16511">
        <f>IF(B16511="","",HOUR(A16511))</f>
        <v/>
      </c>
    </row>
    <row r="16512">
      <c r="A16512">
        <f>Input!A16512</f>
        <v/>
      </c>
      <c r="B16512">
        <f>IF(ISNUMBER(Input!B16512),IF(AND(Input!B16512&gt;=20,Input!B16512&lt;=700),Input!B16512,""),"")</f>
        <v/>
      </c>
      <c r="C16512">
        <f>IF(B16512="","",INT(A16512))</f>
        <v/>
      </c>
      <c r="D16512">
        <f>IF(B16512="","",HOUR(A16512))</f>
        <v/>
      </c>
    </row>
    <row r="16513">
      <c r="A16513">
        <f>Input!A16513</f>
        <v/>
      </c>
      <c r="B16513">
        <f>IF(ISNUMBER(Input!B16513),IF(AND(Input!B16513&gt;=20,Input!B16513&lt;=700),Input!B16513,""),"")</f>
        <v/>
      </c>
      <c r="C16513">
        <f>IF(B16513="","",INT(A16513))</f>
        <v/>
      </c>
      <c r="D16513">
        <f>IF(B16513="","",HOUR(A16513))</f>
        <v/>
      </c>
    </row>
    <row r="16514">
      <c r="A16514">
        <f>Input!A16514</f>
        <v/>
      </c>
      <c r="B16514">
        <f>IF(ISNUMBER(Input!B16514),IF(AND(Input!B16514&gt;=20,Input!B16514&lt;=700),Input!B16514,""),"")</f>
        <v/>
      </c>
      <c r="C16514">
        <f>IF(B16514="","",INT(A16514))</f>
        <v/>
      </c>
      <c r="D16514">
        <f>IF(B16514="","",HOUR(A16514))</f>
        <v/>
      </c>
    </row>
    <row r="16515">
      <c r="A16515">
        <f>Input!A16515</f>
        <v/>
      </c>
      <c r="B16515">
        <f>IF(ISNUMBER(Input!B16515),IF(AND(Input!B16515&gt;=20,Input!B16515&lt;=700),Input!B16515,""),"")</f>
        <v/>
      </c>
      <c r="C16515">
        <f>IF(B16515="","",INT(A16515))</f>
        <v/>
      </c>
      <c r="D16515">
        <f>IF(B16515="","",HOUR(A16515))</f>
        <v/>
      </c>
    </row>
    <row r="16516">
      <c r="A16516">
        <f>Input!A16516</f>
        <v/>
      </c>
      <c r="B16516">
        <f>IF(ISNUMBER(Input!B16516),IF(AND(Input!B16516&gt;=20,Input!B16516&lt;=700),Input!B16516,""),"")</f>
        <v/>
      </c>
      <c r="C16516">
        <f>IF(B16516="","",INT(A16516))</f>
        <v/>
      </c>
      <c r="D16516">
        <f>IF(B16516="","",HOUR(A16516))</f>
        <v/>
      </c>
    </row>
    <row r="16517">
      <c r="A16517">
        <f>Input!A16517</f>
        <v/>
      </c>
      <c r="B16517">
        <f>IF(ISNUMBER(Input!B16517),IF(AND(Input!B16517&gt;=20,Input!B16517&lt;=700),Input!B16517,""),"")</f>
        <v/>
      </c>
      <c r="C16517">
        <f>IF(B16517="","",INT(A16517))</f>
        <v/>
      </c>
      <c r="D16517">
        <f>IF(B16517="","",HOUR(A16517))</f>
        <v/>
      </c>
    </row>
    <row r="16518">
      <c r="A16518">
        <f>Input!A16518</f>
        <v/>
      </c>
      <c r="B16518">
        <f>IF(ISNUMBER(Input!B16518),IF(AND(Input!B16518&gt;=20,Input!B16518&lt;=700),Input!B16518,""),"")</f>
        <v/>
      </c>
      <c r="C16518">
        <f>IF(B16518="","",INT(A16518))</f>
        <v/>
      </c>
      <c r="D16518">
        <f>IF(B16518="","",HOUR(A16518))</f>
        <v/>
      </c>
    </row>
    <row r="16519">
      <c r="A16519">
        <f>Input!A16519</f>
        <v/>
      </c>
      <c r="B16519">
        <f>IF(ISNUMBER(Input!B16519),IF(AND(Input!B16519&gt;=20,Input!B16519&lt;=700),Input!B16519,""),"")</f>
        <v/>
      </c>
      <c r="C16519">
        <f>IF(B16519="","",INT(A16519))</f>
        <v/>
      </c>
      <c r="D16519">
        <f>IF(B16519="","",HOUR(A16519))</f>
        <v/>
      </c>
    </row>
    <row r="16520">
      <c r="A16520">
        <f>Input!A16520</f>
        <v/>
      </c>
      <c r="B16520">
        <f>IF(ISNUMBER(Input!B16520),IF(AND(Input!B16520&gt;=20,Input!B16520&lt;=700),Input!B16520,""),"")</f>
        <v/>
      </c>
      <c r="C16520">
        <f>IF(B16520="","",INT(A16520))</f>
        <v/>
      </c>
      <c r="D16520">
        <f>IF(B16520="","",HOUR(A16520))</f>
        <v/>
      </c>
    </row>
    <row r="16521">
      <c r="A16521">
        <f>Input!A16521</f>
        <v/>
      </c>
      <c r="B16521">
        <f>IF(ISNUMBER(Input!B16521),IF(AND(Input!B16521&gt;=20,Input!B16521&lt;=700),Input!B16521,""),"")</f>
        <v/>
      </c>
      <c r="C16521">
        <f>IF(B16521="","",INT(A16521))</f>
        <v/>
      </c>
      <c r="D16521">
        <f>IF(B16521="","",HOUR(A16521))</f>
        <v/>
      </c>
    </row>
    <row r="16522">
      <c r="A16522">
        <f>Input!A16522</f>
        <v/>
      </c>
      <c r="B16522">
        <f>IF(ISNUMBER(Input!B16522),IF(AND(Input!B16522&gt;=20,Input!B16522&lt;=700),Input!B16522,""),"")</f>
        <v/>
      </c>
      <c r="C16522">
        <f>IF(B16522="","",INT(A16522))</f>
        <v/>
      </c>
      <c r="D16522">
        <f>IF(B16522="","",HOUR(A16522))</f>
        <v/>
      </c>
    </row>
    <row r="16523">
      <c r="A16523">
        <f>Input!A16523</f>
        <v/>
      </c>
      <c r="B16523">
        <f>IF(ISNUMBER(Input!B16523),IF(AND(Input!B16523&gt;=20,Input!B16523&lt;=700),Input!B16523,""),"")</f>
        <v/>
      </c>
      <c r="C16523">
        <f>IF(B16523="","",INT(A16523))</f>
        <v/>
      </c>
      <c r="D16523">
        <f>IF(B16523="","",HOUR(A16523))</f>
        <v/>
      </c>
    </row>
    <row r="16524">
      <c r="A16524">
        <f>Input!A16524</f>
        <v/>
      </c>
      <c r="B16524">
        <f>IF(ISNUMBER(Input!B16524),IF(AND(Input!B16524&gt;=20,Input!B16524&lt;=700),Input!B16524,""),"")</f>
        <v/>
      </c>
      <c r="C16524">
        <f>IF(B16524="","",INT(A16524))</f>
        <v/>
      </c>
      <c r="D16524">
        <f>IF(B16524="","",HOUR(A16524))</f>
        <v/>
      </c>
    </row>
    <row r="16525">
      <c r="A16525">
        <f>Input!A16525</f>
        <v/>
      </c>
      <c r="B16525">
        <f>IF(ISNUMBER(Input!B16525),IF(AND(Input!B16525&gt;=20,Input!B16525&lt;=700),Input!B16525,""),"")</f>
        <v/>
      </c>
      <c r="C16525">
        <f>IF(B16525="","",INT(A16525))</f>
        <v/>
      </c>
      <c r="D16525">
        <f>IF(B16525="","",HOUR(A16525))</f>
        <v/>
      </c>
    </row>
    <row r="16526">
      <c r="A16526">
        <f>Input!A16526</f>
        <v/>
      </c>
      <c r="B16526">
        <f>IF(ISNUMBER(Input!B16526),IF(AND(Input!B16526&gt;=20,Input!B16526&lt;=700),Input!B16526,""),"")</f>
        <v/>
      </c>
      <c r="C16526">
        <f>IF(B16526="","",INT(A16526))</f>
        <v/>
      </c>
      <c r="D16526">
        <f>IF(B16526="","",HOUR(A16526))</f>
        <v/>
      </c>
    </row>
    <row r="16527">
      <c r="A16527">
        <f>Input!A16527</f>
        <v/>
      </c>
      <c r="B16527">
        <f>IF(ISNUMBER(Input!B16527),IF(AND(Input!B16527&gt;=20,Input!B16527&lt;=700),Input!B16527,""),"")</f>
        <v/>
      </c>
      <c r="C16527">
        <f>IF(B16527="","",INT(A16527))</f>
        <v/>
      </c>
      <c r="D16527">
        <f>IF(B16527="","",HOUR(A16527))</f>
        <v/>
      </c>
    </row>
    <row r="16528">
      <c r="A16528">
        <f>Input!A16528</f>
        <v/>
      </c>
      <c r="B16528">
        <f>IF(ISNUMBER(Input!B16528),IF(AND(Input!B16528&gt;=20,Input!B16528&lt;=700),Input!B16528,""),"")</f>
        <v/>
      </c>
      <c r="C16528">
        <f>IF(B16528="","",INT(A16528))</f>
        <v/>
      </c>
      <c r="D16528">
        <f>IF(B16528="","",HOUR(A16528))</f>
        <v/>
      </c>
    </row>
    <row r="16529">
      <c r="A16529">
        <f>Input!A16529</f>
        <v/>
      </c>
      <c r="B16529">
        <f>IF(ISNUMBER(Input!B16529),IF(AND(Input!B16529&gt;=20,Input!B16529&lt;=700),Input!B16529,""),"")</f>
        <v/>
      </c>
      <c r="C16529">
        <f>IF(B16529="","",INT(A16529))</f>
        <v/>
      </c>
      <c r="D16529">
        <f>IF(B16529="","",HOUR(A16529))</f>
        <v/>
      </c>
    </row>
    <row r="16530">
      <c r="A16530">
        <f>Input!A16530</f>
        <v/>
      </c>
      <c r="B16530">
        <f>IF(ISNUMBER(Input!B16530),IF(AND(Input!B16530&gt;=20,Input!B16530&lt;=700),Input!B16530,""),"")</f>
        <v/>
      </c>
      <c r="C16530">
        <f>IF(B16530="","",INT(A16530))</f>
        <v/>
      </c>
      <c r="D16530">
        <f>IF(B16530="","",HOUR(A16530))</f>
        <v/>
      </c>
    </row>
    <row r="16531">
      <c r="A16531">
        <f>Input!A16531</f>
        <v/>
      </c>
      <c r="B16531">
        <f>IF(ISNUMBER(Input!B16531),IF(AND(Input!B16531&gt;=20,Input!B16531&lt;=700),Input!B16531,""),"")</f>
        <v/>
      </c>
      <c r="C16531">
        <f>IF(B16531="","",INT(A16531))</f>
        <v/>
      </c>
      <c r="D16531">
        <f>IF(B16531="","",HOUR(A16531))</f>
        <v/>
      </c>
    </row>
    <row r="16532">
      <c r="A16532">
        <f>Input!A16532</f>
        <v/>
      </c>
      <c r="B16532">
        <f>IF(ISNUMBER(Input!B16532),IF(AND(Input!B16532&gt;=20,Input!B16532&lt;=700),Input!B16532,""),"")</f>
        <v/>
      </c>
      <c r="C16532">
        <f>IF(B16532="","",INT(A16532))</f>
        <v/>
      </c>
      <c r="D16532">
        <f>IF(B16532="","",HOUR(A16532))</f>
        <v/>
      </c>
    </row>
    <row r="16533">
      <c r="A16533">
        <f>Input!A16533</f>
        <v/>
      </c>
      <c r="B16533">
        <f>IF(ISNUMBER(Input!B16533),IF(AND(Input!B16533&gt;=20,Input!B16533&lt;=700),Input!B16533,""),"")</f>
        <v/>
      </c>
      <c r="C16533">
        <f>IF(B16533="","",INT(A16533))</f>
        <v/>
      </c>
      <c r="D16533">
        <f>IF(B16533="","",HOUR(A16533))</f>
        <v/>
      </c>
    </row>
    <row r="16534">
      <c r="A16534">
        <f>Input!A16534</f>
        <v/>
      </c>
      <c r="B16534">
        <f>IF(ISNUMBER(Input!B16534),IF(AND(Input!B16534&gt;=20,Input!B16534&lt;=700),Input!B16534,""),"")</f>
        <v/>
      </c>
      <c r="C16534">
        <f>IF(B16534="","",INT(A16534))</f>
        <v/>
      </c>
      <c r="D16534">
        <f>IF(B16534="","",HOUR(A16534))</f>
        <v/>
      </c>
    </row>
    <row r="16535">
      <c r="A16535">
        <f>Input!A16535</f>
        <v/>
      </c>
      <c r="B16535">
        <f>IF(ISNUMBER(Input!B16535),IF(AND(Input!B16535&gt;=20,Input!B16535&lt;=700),Input!B16535,""),"")</f>
        <v/>
      </c>
      <c r="C16535">
        <f>IF(B16535="","",INT(A16535))</f>
        <v/>
      </c>
      <c r="D16535">
        <f>IF(B16535="","",HOUR(A16535))</f>
        <v/>
      </c>
    </row>
    <row r="16536">
      <c r="A16536">
        <f>Input!A16536</f>
        <v/>
      </c>
      <c r="B16536">
        <f>IF(ISNUMBER(Input!B16536),IF(AND(Input!B16536&gt;=20,Input!B16536&lt;=700),Input!B16536,""),"")</f>
        <v/>
      </c>
      <c r="C16536">
        <f>IF(B16536="","",INT(A16536))</f>
        <v/>
      </c>
      <c r="D16536">
        <f>IF(B16536="","",HOUR(A16536))</f>
        <v/>
      </c>
    </row>
    <row r="16537">
      <c r="A16537">
        <f>Input!A16537</f>
        <v/>
      </c>
      <c r="B16537">
        <f>IF(ISNUMBER(Input!B16537),IF(AND(Input!B16537&gt;=20,Input!B16537&lt;=700),Input!B16537,""),"")</f>
        <v/>
      </c>
      <c r="C16537">
        <f>IF(B16537="","",INT(A16537))</f>
        <v/>
      </c>
      <c r="D16537">
        <f>IF(B16537="","",HOUR(A16537))</f>
        <v/>
      </c>
    </row>
    <row r="16538">
      <c r="A16538">
        <f>Input!A16538</f>
        <v/>
      </c>
      <c r="B16538">
        <f>IF(ISNUMBER(Input!B16538),IF(AND(Input!B16538&gt;=20,Input!B16538&lt;=700),Input!B16538,""),"")</f>
        <v/>
      </c>
      <c r="C16538">
        <f>IF(B16538="","",INT(A16538))</f>
        <v/>
      </c>
      <c r="D16538">
        <f>IF(B16538="","",HOUR(A16538))</f>
        <v/>
      </c>
    </row>
    <row r="16539">
      <c r="A16539">
        <f>Input!A16539</f>
        <v/>
      </c>
      <c r="B16539">
        <f>IF(ISNUMBER(Input!B16539),IF(AND(Input!B16539&gt;=20,Input!B16539&lt;=700),Input!B16539,""),"")</f>
        <v/>
      </c>
      <c r="C16539">
        <f>IF(B16539="","",INT(A16539))</f>
        <v/>
      </c>
      <c r="D16539">
        <f>IF(B16539="","",HOUR(A16539))</f>
        <v/>
      </c>
    </row>
    <row r="16540">
      <c r="A16540">
        <f>Input!A16540</f>
        <v/>
      </c>
      <c r="B16540">
        <f>IF(ISNUMBER(Input!B16540),IF(AND(Input!B16540&gt;=20,Input!B16540&lt;=700),Input!B16540,""),"")</f>
        <v/>
      </c>
      <c r="C16540">
        <f>IF(B16540="","",INT(A16540))</f>
        <v/>
      </c>
      <c r="D16540">
        <f>IF(B16540="","",HOUR(A16540))</f>
        <v/>
      </c>
    </row>
    <row r="16541">
      <c r="A16541">
        <f>Input!A16541</f>
        <v/>
      </c>
      <c r="B16541">
        <f>IF(ISNUMBER(Input!B16541),IF(AND(Input!B16541&gt;=20,Input!B16541&lt;=700),Input!B16541,""),"")</f>
        <v/>
      </c>
      <c r="C16541">
        <f>IF(B16541="","",INT(A16541))</f>
        <v/>
      </c>
      <c r="D16541">
        <f>IF(B16541="","",HOUR(A16541))</f>
        <v/>
      </c>
    </row>
    <row r="16542">
      <c r="A16542">
        <f>Input!A16542</f>
        <v/>
      </c>
      <c r="B16542">
        <f>IF(ISNUMBER(Input!B16542),IF(AND(Input!B16542&gt;=20,Input!B16542&lt;=700),Input!B16542,""),"")</f>
        <v/>
      </c>
      <c r="C16542">
        <f>IF(B16542="","",INT(A16542))</f>
        <v/>
      </c>
      <c r="D16542">
        <f>IF(B16542="","",HOUR(A16542))</f>
        <v/>
      </c>
    </row>
    <row r="16543">
      <c r="A16543">
        <f>Input!A16543</f>
        <v/>
      </c>
      <c r="B16543">
        <f>IF(ISNUMBER(Input!B16543),IF(AND(Input!B16543&gt;=20,Input!B16543&lt;=700),Input!B16543,""),"")</f>
        <v/>
      </c>
      <c r="C16543">
        <f>IF(B16543="","",INT(A16543))</f>
        <v/>
      </c>
      <c r="D16543">
        <f>IF(B16543="","",HOUR(A16543))</f>
        <v/>
      </c>
    </row>
    <row r="16544">
      <c r="A16544">
        <f>Input!A16544</f>
        <v/>
      </c>
      <c r="B16544">
        <f>IF(ISNUMBER(Input!B16544),IF(AND(Input!B16544&gt;=20,Input!B16544&lt;=700),Input!B16544,""),"")</f>
        <v/>
      </c>
      <c r="C16544">
        <f>IF(B16544="","",INT(A16544))</f>
        <v/>
      </c>
      <c r="D16544">
        <f>IF(B16544="","",HOUR(A16544))</f>
        <v/>
      </c>
    </row>
    <row r="16545">
      <c r="A16545">
        <f>Input!A16545</f>
        <v/>
      </c>
      <c r="B16545">
        <f>IF(ISNUMBER(Input!B16545),IF(AND(Input!B16545&gt;=20,Input!B16545&lt;=700),Input!B16545,""),"")</f>
        <v/>
      </c>
      <c r="C16545">
        <f>IF(B16545="","",INT(A16545))</f>
        <v/>
      </c>
      <c r="D16545">
        <f>IF(B16545="","",HOUR(A16545))</f>
        <v/>
      </c>
    </row>
    <row r="16546">
      <c r="A16546">
        <f>Input!A16546</f>
        <v/>
      </c>
      <c r="B16546">
        <f>IF(ISNUMBER(Input!B16546),IF(AND(Input!B16546&gt;=20,Input!B16546&lt;=700),Input!B16546,""),"")</f>
        <v/>
      </c>
      <c r="C16546">
        <f>IF(B16546="","",INT(A16546))</f>
        <v/>
      </c>
      <c r="D16546">
        <f>IF(B16546="","",HOUR(A16546))</f>
        <v/>
      </c>
    </row>
    <row r="16547">
      <c r="A16547">
        <f>Input!A16547</f>
        <v/>
      </c>
      <c r="B16547">
        <f>IF(ISNUMBER(Input!B16547),IF(AND(Input!B16547&gt;=20,Input!B16547&lt;=700),Input!B16547,""),"")</f>
        <v/>
      </c>
      <c r="C16547">
        <f>IF(B16547="","",INT(A16547))</f>
        <v/>
      </c>
      <c r="D16547">
        <f>IF(B16547="","",HOUR(A16547))</f>
        <v/>
      </c>
    </row>
    <row r="16548">
      <c r="A16548">
        <f>Input!A16548</f>
        <v/>
      </c>
      <c r="B16548">
        <f>IF(ISNUMBER(Input!B16548),IF(AND(Input!B16548&gt;=20,Input!B16548&lt;=700),Input!B16548,""),"")</f>
        <v/>
      </c>
      <c r="C16548">
        <f>IF(B16548="","",INT(A16548))</f>
        <v/>
      </c>
      <c r="D16548">
        <f>IF(B16548="","",HOUR(A16548))</f>
        <v/>
      </c>
    </row>
    <row r="16549">
      <c r="A16549">
        <f>Input!A16549</f>
        <v/>
      </c>
      <c r="B16549">
        <f>IF(ISNUMBER(Input!B16549),IF(AND(Input!B16549&gt;=20,Input!B16549&lt;=700),Input!B16549,""),"")</f>
        <v/>
      </c>
      <c r="C16549">
        <f>IF(B16549="","",INT(A16549))</f>
        <v/>
      </c>
      <c r="D16549">
        <f>IF(B16549="","",HOUR(A16549))</f>
        <v/>
      </c>
    </row>
    <row r="16550">
      <c r="A16550">
        <f>Input!A16550</f>
        <v/>
      </c>
      <c r="B16550">
        <f>IF(ISNUMBER(Input!B16550),IF(AND(Input!B16550&gt;=20,Input!B16550&lt;=700),Input!B16550,""),"")</f>
        <v/>
      </c>
      <c r="C16550">
        <f>IF(B16550="","",INT(A16550))</f>
        <v/>
      </c>
      <c r="D16550">
        <f>IF(B16550="","",HOUR(A16550))</f>
        <v/>
      </c>
    </row>
    <row r="16551">
      <c r="A16551">
        <f>Input!A16551</f>
        <v/>
      </c>
      <c r="B16551">
        <f>IF(ISNUMBER(Input!B16551),IF(AND(Input!B16551&gt;=20,Input!B16551&lt;=700),Input!B16551,""),"")</f>
        <v/>
      </c>
      <c r="C16551">
        <f>IF(B16551="","",INT(A16551))</f>
        <v/>
      </c>
      <c r="D16551">
        <f>IF(B16551="","",HOUR(A16551))</f>
        <v/>
      </c>
    </row>
    <row r="16552">
      <c r="A16552">
        <f>Input!A16552</f>
        <v/>
      </c>
      <c r="B16552">
        <f>IF(ISNUMBER(Input!B16552),IF(AND(Input!B16552&gt;=20,Input!B16552&lt;=700),Input!B16552,""),"")</f>
        <v/>
      </c>
      <c r="C16552">
        <f>IF(B16552="","",INT(A16552))</f>
        <v/>
      </c>
      <c r="D16552">
        <f>IF(B16552="","",HOUR(A16552))</f>
        <v/>
      </c>
    </row>
    <row r="16553">
      <c r="A16553">
        <f>Input!A16553</f>
        <v/>
      </c>
      <c r="B16553">
        <f>IF(ISNUMBER(Input!B16553),IF(AND(Input!B16553&gt;=20,Input!B16553&lt;=700),Input!B16553,""),"")</f>
        <v/>
      </c>
      <c r="C16553">
        <f>IF(B16553="","",INT(A16553))</f>
        <v/>
      </c>
      <c r="D16553">
        <f>IF(B16553="","",HOUR(A16553))</f>
        <v/>
      </c>
    </row>
    <row r="16554">
      <c r="A16554">
        <f>Input!A16554</f>
        <v/>
      </c>
      <c r="B16554">
        <f>IF(ISNUMBER(Input!B16554),IF(AND(Input!B16554&gt;=20,Input!B16554&lt;=700),Input!B16554,""),"")</f>
        <v/>
      </c>
      <c r="C16554">
        <f>IF(B16554="","",INT(A16554))</f>
        <v/>
      </c>
      <c r="D16554">
        <f>IF(B16554="","",HOUR(A16554))</f>
        <v/>
      </c>
    </row>
    <row r="16555">
      <c r="A16555">
        <f>Input!A16555</f>
        <v/>
      </c>
      <c r="B16555">
        <f>IF(ISNUMBER(Input!B16555),IF(AND(Input!B16555&gt;=20,Input!B16555&lt;=700),Input!B16555,""),"")</f>
        <v/>
      </c>
      <c r="C16555">
        <f>IF(B16555="","",INT(A16555))</f>
        <v/>
      </c>
      <c r="D16555">
        <f>IF(B16555="","",HOUR(A16555))</f>
        <v/>
      </c>
    </row>
    <row r="16556">
      <c r="A16556">
        <f>Input!A16556</f>
        <v/>
      </c>
      <c r="B16556">
        <f>IF(ISNUMBER(Input!B16556),IF(AND(Input!B16556&gt;=20,Input!B16556&lt;=700),Input!B16556,""),"")</f>
        <v/>
      </c>
      <c r="C16556">
        <f>IF(B16556="","",INT(A16556))</f>
        <v/>
      </c>
      <c r="D16556">
        <f>IF(B16556="","",HOUR(A16556))</f>
        <v/>
      </c>
    </row>
    <row r="16557">
      <c r="A16557">
        <f>Input!A16557</f>
        <v/>
      </c>
      <c r="B16557">
        <f>IF(ISNUMBER(Input!B16557),IF(AND(Input!B16557&gt;=20,Input!B16557&lt;=700),Input!B16557,""),"")</f>
        <v/>
      </c>
      <c r="C16557">
        <f>IF(B16557="","",INT(A16557))</f>
        <v/>
      </c>
      <c r="D16557">
        <f>IF(B16557="","",HOUR(A16557))</f>
        <v/>
      </c>
    </row>
    <row r="16558">
      <c r="A16558">
        <f>Input!A16558</f>
        <v/>
      </c>
      <c r="B16558">
        <f>IF(ISNUMBER(Input!B16558),IF(AND(Input!B16558&gt;=20,Input!B16558&lt;=700),Input!B16558,""),"")</f>
        <v/>
      </c>
      <c r="C16558">
        <f>IF(B16558="","",INT(A16558))</f>
        <v/>
      </c>
      <c r="D16558">
        <f>IF(B16558="","",HOUR(A16558))</f>
        <v/>
      </c>
    </row>
    <row r="16559">
      <c r="A16559">
        <f>Input!A16559</f>
        <v/>
      </c>
      <c r="B16559">
        <f>IF(ISNUMBER(Input!B16559),IF(AND(Input!B16559&gt;=20,Input!B16559&lt;=700),Input!B16559,""),"")</f>
        <v/>
      </c>
      <c r="C16559">
        <f>IF(B16559="","",INT(A16559))</f>
        <v/>
      </c>
      <c r="D16559">
        <f>IF(B16559="","",HOUR(A16559))</f>
        <v/>
      </c>
    </row>
    <row r="16560">
      <c r="A16560">
        <f>Input!A16560</f>
        <v/>
      </c>
      <c r="B16560">
        <f>IF(ISNUMBER(Input!B16560),IF(AND(Input!B16560&gt;=20,Input!B16560&lt;=700),Input!B16560,""),"")</f>
        <v/>
      </c>
      <c r="C16560">
        <f>IF(B16560="","",INT(A16560))</f>
        <v/>
      </c>
      <c r="D16560">
        <f>IF(B16560="","",HOUR(A16560))</f>
        <v/>
      </c>
    </row>
    <row r="16561">
      <c r="A16561">
        <f>Input!A16561</f>
        <v/>
      </c>
      <c r="B16561">
        <f>IF(ISNUMBER(Input!B16561),IF(AND(Input!B16561&gt;=20,Input!B16561&lt;=700),Input!B16561,""),"")</f>
        <v/>
      </c>
      <c r="C16561">
        <f>IF(B16561="","",INT(A16561))</f>
        <v/>
      </c>
      <c r="D16561">
        <f>IF(B16561="","",HOUR(A16561))</f>
        <v/>
      </c>
    </row>
    <row r="16562">
      <c r="A16562">
        <f>Input!A16562</f>
        <v/>
      </c>
      <c r="B16562">
        <f>IF(ISNUMBER(Input!B16562),IF(AND(Input!B16562&gt;=20,Input!B16562&lt;=700),Input!B16562,""),"")</f>
        <v/>
      </c>
      <c r="C16562">
        <f>IF(B16562="","",INT(A16562))</f>
        <v/>
      </c>
      <c r="D16562">
        <f>IF(B16562="","",HOUR(A16562))</f>
        <v/>
      </c>
    </row>
    <row r="16563">
      <c r="A16563">
        <f>Input!A16563</f>
        <v/>
      </c>
      <c r="B16563">
        <f>IF(ISNUMBER(Input!B16563),IF(AND(Input!B16563&gt;=20,Input!B16563&lt;=700),Input!B16563,""),"")</f>
        <v/>
      </c>
      <c r="C16563">
        <f>IF(B16563="","",INT(A16563))</f>
        <v/>
      </c>
      <c r="D16563">
        <f>IF(B16563="","",HOUR(A16563))</f>
        <v/>
      </c>
    </row>
    <row r="16564">
      <c r="A16564">
        <f>Input!A16564</f>
        <v/>
      </c>
      <c r="B16564">
        <f>IF(ISNUMBER(Input!B16564),IF(AND(Input!B16564&gt;=20,Input!B16564&lt;=700),Input!B16564,""),"")</f>
        <v/>
      </c>
      <c r="C16564">
        <f>IF(B16564="","",INT(A16564))</f>
        <v/>
      </c>
      <c r="D16564">
        <f>IF(B16564="","",HOUR(A16564))</f>
        <v/>
      </c>
    </row>
    <row r="16565">
      <c r="A16565">
        <f>Input!A16565</f>
        <v/>
      </c>
      <c r="B16565">
        <f>IF(ISNUMBER(Input!B16565),IF(AND(Input!B16565&gt;=20,Input!B16565&lt;=700),Input!B16565,""),"")</f>
        <v/>
      </c>
      <c r="C16565">
        <f>IF(B16565="","",INT(A16565))</f>
        <v/>
      </c>
      <c r="D16565">
        <f>IF(B16565="","",HOUR(A16565))</f>
        <v/>
      </c>
    </row>
    <row r="16566">
      <c r="A16566">
        <f>Input!A16566</f>
        <v/>
      </c>
      <c r="B16566">
        <f>IF(ISNUMBER(Input!B16566),IF(AND(Input!B16566&gt;=20,Input!B16566&lt;=700),Input!B16566,""),"")</f>
        <v/>
      </c>
      <c r="C16566">
        <f>IF(B16566="","",INT(A16566))</f>
        <v/>
      </c>
      <c r="D16566">
        <f>IF(B16566="","",HOUR(A16566))</f>
        <v/>
      </c>
    </row>
    <row r="16567">
      <c r="A16567">
        <f>Input!A16567</f>
        <v/>
      </c>
      <c r="B16567">
        <f>IF(ISNUMBER(Input!B16567),IF(AND(Input!B16567&gt;=20,Input!B16567&lt;=700),Input!B16567,""),"")</f>
        <v/>
      </c>
      <c r="C16567">
        <f>IF(B16567="","",INT(A16567))</f>
        <v/>
      </c>
      <c r="D16567">
        <f>IF(B16567="","",HOUR(A16567))</f>
        <v/>
      </c>
    </row>
    <row r="16568">
      <c r="A16568">
        <f>Input!A16568</f>
        <v/>
      </c>
      <c r="B16568">
        <f>IF(ISNUMBER(Input!B16568),IF(AND(Input!B16568&gt;=20,Input!B16568&lt;=700),Input!B16568,""),"")</f>
        <v/>
      </c>
      <c r="C16568">
        <f>IF(B16568="","",INT(A16568))</f>
        <v/>
      </c>
      <c r="D16568">
        <f>IF(B16568="","",HOUR(A16568))</f>
        <v/>
      </c>
    </row>
    <row r="16569">
      <c r="A16569">
        <f>Input!A16569</f>
        <v/>
      </c>
      <c r="B16569">
        <f>IF(ISNUMBER(Input!B16569),IF(AND(Input!B16569&gt;=20,Input!B16569&lt;=700),Input!B16569,""),"")</f>
        <v/>
      </c>
      <c r="C16569">
        <f>IF(B16569="","",INT(A16569))</f>
        <v/>
      </c>
      <c r="D16569">
        <f>IF(B16569="","",HOUR(A16569))</f>
        <v/>
      </c>
    </row>
    <row r="16570">
      <c r="A16570">
        <f>Input!A16570</f>
        <v/>
      </c>
      <c r="B16570">
        <f>IF(ISNUMBER(Input!B16570),IF(AND(Input!B16570&gt;=20,Input!B16570&lt;=700),Input!B16570,""),"")</f>
        <v/>
      </c>
      <c r="C16570">
        <f>IF(B16570="","",INT(A16570))</f>
        <v/>
      </c>
      <c r="D16570">
        <f>IF(B16570="","",HOUR(A16570))</f>
        <v/>
      </c>
    </row>
    <row r="16571">
      <c r="A16571">
        <f>Input!A16571</f>
        <v/>
      </c>
      <c r="B16571">
        <f>IF(ISNUMBER(Input!B16571),IF(AND(Input!B16571&gt;=20,Input!B16571&lt;=700),Input!B16571,""),"")</f>
        <v/>
      </c>
      <c r="C16571">
        <f>IF(B16571="","",INT(A16571))</f>
        <v/>
      </c>
      <c r="D16571">
        <f>IF(B16571="","",HOUR(A16571))</f>
        <v/>
      </c>
    </row>
    <row r="16572">
      <c r="A16572">
        <f>Input!A16572</f>
        <v/>
      </c>
      <c r="B16572">
        <f>IF(ISNUMBER(Input!B16572),IF(AND(Input!B16572&gt;=20,Input!B16572&lt;=700),Input!B16572,""),"")</f>
        <v/>
      </c>
      <c r="C16572">
        <f>IF(B16572="","",INT(A16572))</f>
        <v/>
      </c>
      <c r="D16572">
        <f>IF(B16572="","",HOUR(A16572))</f>
        <v/>
      </c>
    </row>
    <row r="16573">
      <c r="A16573">
        <f>Input!A16573</f>
        <v/>
      </c>
      <c r="B16573">
        <f>IF(ISNUMBER(Input!B16573),IF(AND(Input!B16573&gt;=20,Input!B16573&lt;=700),Input!B16573,""),"")</f>
        <v/>
      </c>
      <c r="C16573">
        <f>IF(B16573="","",INT(A16573))</f>
        <v/>
      </c>
      <c r="D16573">
        <f>IF(B16573="","",HOUR(A16573))</f>
        <v/>
      </c>
    </row>
    <row r="16574">
      <c r="A16574">
        <f>Input!A16574</f>
        <v/>
      </c>
      <c r="B16574">
        <f>IF(ISNUMBER(Input!B16574),IF(AND(Input!B16574&gt;=20,Input!B16574&lt;=700),Input!B16574,""),"")</f>
        <v/>
      </c>
      <c r="C16574">
        <f>IF(B16574="","",INT(A16574))</f>
        <v/>
      </c>
      <c r="D16574">
        <f>IF(B16574="","",HOUR(A16574))</f>
        <v/>
      </c>
    </row>
    <row r="16575">
      <c r="A16575">
        <f>Input!A16575</f>
        <v/>
      </c>
      <c r="B16575">
        <f>IF(ISNUMBER(Input!B16575),IF(AND(Input!B16575&gt;=20,Input!B16575&lt;=700),Input!B16575,""),"")</f>
        <v/>
      </c>
      <c r="C16575">
        <f>IF(B16575="","",INT(A16575))</f>
        <v/>
      </c>
      <c r="D16575">
        <f>IF(B16575="","",HOUR(A16575))</f>
        <v/>
      </c>
    </row>
    <row r="16576">
      <c r="A16576">
        <f>Input!A16576</f>
        <v/>
      </c>
      <c r="B16576">
        <f>IF(ISNUMBER(Input!B16576),IF(AND(Input!B16576&gt;=20,Input!B16576&lt;=700),Input!B16576,""),"")</f>
        <v/>
      </c>
      <c r="C16576">
        <f>IF(B16576="","",INT(A16576))</f>
        <v/>
      </c>
      <c r="D16576">
        <f>IF(B16576="","",HOUR(A16576))</f>
        <v/>
      </c>
    </row>
    <row r="16577">
      <c r="A16577">
        <f>Input!A16577</f>
        <v/>
      </c>
      <c r="B16577">
        <f>IF(ISNUMBER(Input!B16577),IF(AND(Input!B16577&gt;=20,Input!B16577&lt;=700),Input!B16577,""),"")</f>
        <v/>
      </c>
      <c r="C16577">
        <f>IF(B16577="","",INT(A16577))</f>
        <v/>
      </c>
      <c r="D16577">
        <f>IF(B16577="","",HOUR(A16577))</f>
        <v/>
      </c>
    </row>
    <row r="16578">
      <c r="A16578">
        <f>Input!A16578</f>
        <v/>
      </c>
      <c r="B16578">
        <f>IF(ISNUMBER(Input!B16578),IF(AND(Input!B16578&gt;=20,Input!B16578&lt;=700),Input!B16578,""),"")</f>
        <v/>
      </c>
      <c r="C16578">
        <f>IF(B16578="","",INT(A16578))</f>
        <v/>
      </c>
      <c r="D16578">
        <f>IF(B16578="","",HOUR(A16578))</f>
        <v/>
      </c>
    </row>
    <row r="16579">
      <c r="A16579">
        <f>Input!A16579</f>
        <v/>
      </c>
      <c r="B16579">
        <f>IF(ISNUMBER(Input!B16579),IF(AND(Input!B16579&gt;=20,Input!B16579&lt;=700),Input!B16579,""),"")</f>
        <v/>
      </c>
      <c r="C16579">
        <f>IF(B16579="","",INT(A16579))</f>
        <v/>
      </c>
      <c r="D16579">
        <f>IF(B16579="","",HOUR(A16579))</f>
        <v/>
      </c>
    </row>
    <row r="16580">
      <c r="A16580">
        <f>Input!A16580</f>
        <v/>
      </c>
      <c r="B16580">
        <f>IF(ISNUMBER(Input!B16580),IF(AND(Input!B16580&gt;=20,Input!B16580&lt;=700),Input!B16580,""),"")</f>
        <v/>
      </c>
      <c r="C16580">
        <f>IF(B16580="","",INT(A16580))</f>
        <v/>
      </c>
      <c r="D16580">
        <f>IF(B16580="","",HOUR(A16580))</f>
        <v/>
      </c>
    </row>
    <row r="16581">
      <c r="A16581">
        <f>Input!A16581</f>
        <v/>
      </c>
      <c r="B16581">
        <f>IF(ISNUMBER(Input!B16581),IF(AND(Input!B16581&gt;=20,Input!B16581&lt;=700),Input!B16581,""),"")</f>
        <v/>
      </c>
      <c r="C16581">
        <f>IF(B16581="","",INT(A16581))</f>
        <v/>
      </c>
      <c r="D16581">
        <f>IF(B16581="","",HOUR(A16581))</f>
        <v/>
      </c>
    </row>
    <row r="16582">
      <c r="A16582">
        <f>Input!A16582</f>
        <v/>
      </c>
      <c r="B16582">
        <f>IF(ISNUMBER(Input!B16582),IF(AND(Input!B16582&gt;=20,Input!B16582&lt;=700),Input!B16582,""),"")</f>
        <v/>
      </c>
      <c r="C16582">
        <f>IF(B16582="","",INT(A16582))</f>
        <v/>
      </c>
      <c r="D16582">
        <f>IF(B16582="","",HOUR(A16582))</f>
        <v/>
      </c>
    </row>
    <row r="16583">
      <c r="A16583">
        <f>Input!A16583</f>
        <v/>
      </c>
      <c r="B16583">
        <f>IF(ISNUMBER(Input!B16583),IF(AND(Input!B16583&gt;=20,Input!B16583&lt;=700),Input!B16583,""),"")</f>
        <v/>
      </c>
      <c r="C16583">
        <f>IF(B16583="","",INT(A16583))</f>
        <v/>
      </c>
      <c r="D16583">
        <f>IF(B16583="","",HOUR(A16583))</f>
        <v/>
      </c>
    </row>
    <row r="16584">
      <c r="A16584">
        <f>Input!A16584</f>
        <v/>
      </c>
      <c r="B16584">
        <f>IF(ISNUMBER(Input!B16584),IF(AND(Input!B16584&gt;=20,Input!B16584&lt;=700),Input!B16584,""),"")</f>
        <v/>
      </c>
      <c r="C16584">
        <f>IF(B16584="","",INT(A16584))</f>
        <v/>
      </c>
      <c r="D16584">
        <f>IF(B16584="","",HOUR(A16584))</f>
        <v/>
      </c>
    </row>
    <row r="16585">
      <c r="A16585">
        <f>Input!A16585</f>
        <v/>
      </c>
      <c r="B16585">
        <f>IF(ISNUMBER(Input!B16585),IF(AND(Input!B16585&gt;=20,Input!B16585&lt;=700),Input!B16585,""),"")</f>
        <v/>
      </c>
      <c r="C16585">
        <f>IF(B16585="","",INT(A16585))</f>
        <v/>
      </c>
      <c r="D16585">
        <f>IF(B16585="","",HOUR(A16585))</f>
        <v/>
      </c>
    </row>
    <row r="16586">
      <c r="A16586">
        <f>Input!A16586</f>
        <v/>
      </c>
      <c r="B16586">
        <f>IF(ISNUMBER(Input!B16586),IF(AND(Input!B16586&gt;=20,Input!B16586&lt;=700),Input!B16586,""),"")</f>
        <v/>
      </c>
      <c r="C16586">
        <f>IF(B16586="","",INT(A16586))</f>
        <v/>
      </c>
      <c r="D16586">
        <f>IF(B16586="","",HOUR(A16586))</f>
        <v/>
      </c>
    </row>
    <row r="16587">
      <c r="A16587">
        <f>Input!A16587</f>
        <v/>
      </c>
      <c r="B16587">
        <f>IF(ISNUMBER(Input!B16587),IF(AND(Input!B16587&gt;=20,Input!B16587&lt;=700),Input!B16587,""),"")</f>
        <v/>
      </c>
      <c r="C16587">
        <f>IF(B16587="","",INT(A16587))</f>
        <v/>
      </c>
      <c r="D16587">
        <f>IF(B16587="","",HOUR(A16587))</f>
        <v/>
      </c>
    </row>
    <row r="16588">
      <c r="A16588">
        <f>Input!A16588</f>
        <v/>
      </c>
      <c r="B16588">
        <f>IF(ISNUMBER(Input!B16588),IF(AND(Input!B16588&gt;=20,Input!B16588&lt;=700),Input!B16588,""),"")</f>
        <v/>
      </c>
      <c r="C16588">
        <f>IF(B16588="","",INT(A16588))</f>
        <v/>
      </c>
      <c r="D16588">
        <f>IF(B16588="","",HOUR(A16588))</f>
        <v/>
      </c>
    </row>
    <row r="16589">
      <c r="A16589">
        <f>Input!A16589</f>
        <v/>
      </c>
      <c r="B16589">
        <f>IF(ISNUMBER(Input!B16589),IF(AND(Input!B16589&gt;=20,Input!B16589&lt;=700),Input!B16589,""),"")</f>
        <v/>
      </c>
      <c r="C16589">
        <f>IF(B16589="","",INT(A16589))</f>
        <v/>
      </c>
      <c r="D16589">
        <f>IF(B16589="","",HOUR(A16589))</f>
        <v/>
      </c>
    </row>
    <row r="16590">
      <c r="A16590">
        <f>Input!A16590</f>
        <v/>
      </c>
      <c r="B16590">
        <f>IF(ISNUMBER(Input!B16590),IF(AND(Input!B16590&gt;=20,Input!B16590&lt;=700),Input!B16590,""),"")</f>
        <v/>
      </c>
      <c r="C16590">
        <f>IF(B16590="","",INT(A16590))</f>
        <v/>
      </c>
      <c r="D16590">
        <f>IF(B16590="","",HOUR(A16590))</f>
        <v/>
      </c>
    </row>
    <row r="16591">
      <c r="A16591">
        <f>Input!A16591</f>
        <v/>
      </c>
      <c r="B16591">
        <f>IF(ISNUMBER(Input!B16591),IF(AND(Input!B16591&gt;=20,Input!B16591&lt;=700),Input!B16591,""),"")</f>
        <v/>
      </c>
      <c r="C16591">
        <f>IF(B16591="","",INT(A16591))</f>
        <v/>
      </c>
      <c r="D16591">
        <f>IF(B16591="","",HOUR(A16591))</f>
        <v/>
      </c>
    </row>
    <row r="16592">
      <c r="A16592">
        <f>Input!A16592</f>
        <v/>
      </c>
      <c r="B16592">
        <f>IF(ISNUMBER(Input!B16592),IF(AND(Input!B16592&gt;=20,Input!B16592&lt;=700),Input!B16592,""),"")</f>
        <v/>
      </c>
      <c r="C16592">
        <f>IF(B16592="","",INT(A16592))</f>
        <v/>
      </c>
      <c r="D16592">
        <f>IF(B16592="","",HOUR(A16592))</f>
        <v/>
      </c>
    </row>
    <row r="16593">
      <c r="A16593">
        <f>Input!A16593</f>
        <v/>
      </c>
      <c r="B16593">
        <f>IF(ISNUMBER(Input!B16593),IF(AND(Input!B16593&gt;=20,Input!B16593&lt;=700),Input!B16593,""),"")</f>
        <v/>
      </c>
      <c r="C16593">
        <f>IF(B16593="","",INT(A16593))</f>
        <v/>
      </c>
      <c r="D16593">
        <f>IF(B16593="","",HOUR(A16593))</f>
        <v/>
      </c>
    </row>
    <row r="16594">
      <c r="A16594">
        <f>Input!A16594</f>
        <v/>
      </c>
      <c r="B16594">
        <f>IF(ISNUMBER(Input!B16594),IF(AND(Input!B16594&gt;=20,Input!B16594&lt;=700),Input!B16594,""),"")</f>
        <v/>
      </c>
      <c r="C16594">
        <f>IF(B16594="","",INT(A16594))</f>
        <v/>
      </c>
      <c r="D16594">
        <f>IF(B16594="","",HOUR(A16594))</f>
        <v/>
      </c>
    </row>
    <row r="16595">
      <c r="A16595">
        <f>Input!A16595</f>
        <v/>
      </c>
      <c r="B16595">
        <f>IF(ISNUMBER(Input!B16595),IF(AND(Input!B16595&gt;=20,Input!B16595&lt;=700),Input!B16595,""),"")</f>
        <v/>
      </c>
      <c r="C16595">
        <f>IF(B16595="","",INT(A16595))</f>
        <v/>
      </c>
      <c r="D16595">
        <f>IF(B16595="","",HOUR(A16595))</f>
        <v/>
      </c>
    </row>
    <row r="16596">
      <c r="A16596">
        <f>Input!A16596</f>
        <v/>
      </c>
      <c r="B16596">
        <f>IF(ISNUMBER(Input!B16596),IF(AND(Input!B16596&gt;=20,Input!B16596&lt;=700),Input!B16596,""),"")</f>
        <v/>
      </c>
      <c r="C16596">
        <f>IF(B16596="","",INT(A16596))</f>
        <v/>
      </c>
      <c r="D16596">
        <f>IF(B16596="","",HOUR(A16596))</f>
        <v/>
      </c>
    </row>
    <row r="16597">
      <c r="A16597">
        <f>Input!A16597</f>
        <v/>
      </c>
      <c r="B16597">
        <f>IF(ISNUMBER(Input!B16597),IF(AND(Input!B16597&gt;=20,Input!B16597&lt;=700),Input!B16597,""),"")</f>
        <v/>
      </c>
      <c r="C16597">
        <f>IF(B16597="","",INT(A16597))</f>
        <v/>
      </c>
      <c r="D16597">
        <f>IF(B16597="","",HOUR(A16597))</f>
        <v/>
      </c>
    </row>
    <row r="16598">
      <c r="A16598">
        <f>Input!A16598</f>
        <v/>
      </c>
      <c r="B16598">
        <f>IF(ISNUMBER(Input!B16598),IF(AND(Input!B16598&gt;=20,Input!B16598&lt;=700),Input!B16598,""),"")</f>
        <v/>
      </c>
      <c r="C16598">
        <f>IF(B16598="","",INT(A16598))</f>
        <v/>
      </c>
      <c r="D16598">
        <f>IF(B16598="","",HOUR(A16598))</f>
        <v/>
      </c>
    </row>
    <row r="16599">
      <c r="A16599">
        <f>Input!A16599</f>
        <v/>
      </c>
      <c r="B16599">
        <f>IF(ISNUMBER(Input!B16599),IF(AND(Input!B16599&gt;=20,Input!B16599&lt;=700),Input!B16599,""),"")</f>
        <v/>
      </c>
      <c r="C16599">
        <f>IF(B16599="","",INT(A16599))</f>
        <v/>
      </c>
      <c r="D16599">
        <f>IF(B16599="","",HOUR(A16599))</f>
        <v/>
      </c>
    </row>
    <row r="16600">
      <c r="A16600">
        <f>Input!A16600</f>
        <v/>
      </c>
      <c r="B16600">
        <f>IF(ISNUMBER(Input!B16600),IF(AND(Input!B16600&gt;=20,Input!B16600&lt;=700),Input!B16600,""),"")</f>
        <v/>
      </c>
      <c r="C16600">
        <f>IF(B16600="","",INT(A16600))</f>
        <v/>
      </c>
      <c r="D16600">
        <f>IF(B16600="","",HOUR(A16600))</f>
        <v/>
      </c>
    </row>
    <row r="16601">
      <c r="A16601">
        <f>Input!A16601</f>
        <v/>
      </c>
      <c r="B16601">
        <f>IF(ISNUMBER(Input!B16601),IF(AND(Input!B16601&gt;=20,Input!B16601&lt;=700),Input!B16601,""),"")</f>
        <v/>
      </c>
      <c r="C16601">
        <f>IF(B16601="","",INT(A16601))</f>
        <v/>
      </c>
      <c r="D16601">
        <f>IF(B16601="","",HOUR(A16601))</f>
        <v/>
      </c>
    </row>
    <row r="16602">
      <c r="A16602">
        <f>Input!A16602</f>
        <v/>
      </c>
      <c r="B16602">
        <f>IF(ISNUMBER(Input!B16602),IF(AND(Input!B16602&gt;=20,Input!B16602&lt;=700),Input!B16602,""),"")</f>
        <v/>
      </c>
      <c r="C16602">
        <f>IF(B16602="","",INT(A16602))</f>
        <v/>
      </c>
      <c r="D16602">
        <f>IF(B16602="","",HOUR(A16602))</f>
        <v/>
      </c>
    </row>
    <row r="16603">
      <c r="A16603">
        <f>Input!A16603</f>
        <v/>
      </c>
      <c r="B16603">
        <f>IF(ISNUMBER(Input!B16603),IF(AND(Input!B16603&gt;=20,Input!B16603&lt;=700),Input!B16603,""),"")</f>
        <v/>
      </c>
      <c r="C16603">
        <f>IF(B16603="","",INT(A16603))</f>
        <v/>
      </c>
      <c r="D16603">
        <f>IF(B16603="","",HOUR(A16603))</f>
        <v/>
      </c>
    </row>
    <row r="16604">
      <c r="A16604">
        <f>Input!A16604</f>
        <v/>
      </c>
      <c r="B16604">
        <f>IF(ISNUMBER(Input!B16604),IF(AND(Input!B16604&gt;=20,Input!B16604&lt;=700),Input!B16604,""),"")</f>
        <v/>
      </c>
      <c r="C16604">
        <f>IF(B16604="","",INT(A16604))</f>
        <v/>
      </c>
      <c r="D16604">
        <f>IF(B16604="","",HOUR(A16604))</f>
        <v/>
      </c>
    </row>
    <row r="16605">
      <c r="A16605">
        <f>Input!A16605</f>
        <v/>
      </c>
      <c r="B16605">
        <f>IF(ISNUMBER(Input!B16605),IF(AND(Input!B16605&gt;=20,Input!B16605&lt;=700),Input!B16605,""),"")</f>
        <v/>
      </c>
      <c r="C16605">
        <f>IF(B16605="","",INT(A16605))</f>
        <v/>
      </c>
      <c r="D16605">
        <f>IF(B16605="","",HOUR(A16605))</f>
        <v/>
      </c>
    </row>
    <row r="16606">
      <c r="A16606">
        <f>Input!A16606</f>
        <v/>
      </c>
      <c r="B16606">
        <f>IF(ISNUMBER(Input!B16606),IF(AND(Input!B16606&gt;=20,Input!B16606&lt;=700),Input!B16606,""),"")</f>
        <v/>
      </c>
      <c r="C16606">
        <f>IF(B16606="","",INT(A16606))</f>
        <v/>
      </c>
      <c r="D16606">
        <f>IF(B16606="","",HOUR(A16606))</f>
        <v/>
      </c>
    </row>
    <row r="16607">
      <c r="A16607">
        <f>Input!A16607</f>
        <v/>
      </c>
      <c r="B16607">
        <f>IF(ISNUMBER(Input!B16607),IF(AND(Input!B16607&gt;=20,Input!B16607&lt;=700),Input!B16607,""),"")</f>
        <v/>
      </c>
      <c r="C16607">
        <f>IF(B16607="","",INT(A16607))</f>
        <v/>
      </c>
      <c r="D16607">
        <f>IF(B16607="","",HOUR(A16607))</f>
        <v/>
      </c>
    </row>
    <row r="16608">
      <c r="A16608">
        <f>Input!A16608</f>
        <v/>
      </c>
      <c r="B16608">
        <f>IF(ISNUMBER(Input!B16608),IF(AND(Input!B16608&gt;=20,Input!B16608&lt;=700),Input!B16608,""),"")</f>
        <v/>
      </c>
      <c r="C16608">
        <f>IF(B16608="","",INT(A16608))</f>
        <v/>
      </c>
      <c r="D16608">
        <f>IF(B16608="","",HOUR(A16608))</f>
        <v/>
      </c>
    </row>
    <row r="16609">
      <c r="A16609">
        <f>Input!A16609</f>
        <v/>
      </c>
      <c r="B16609">
        <f>IF(ISNUMBER(Input!B16609),IF(AND(Input!B16609&gt;=20,Input!B16609&lt;=700),Input!B16609,""),"")</f>
        <v/>
      </c>
      <c r="C16609">
        <f>IF(B16609="","",INT(A16609))</f>
        <v/>
      </c>
      <c r="D16609">
        <f>IF(B16609="","",HOUR(A16609))</f>
        <v/>
      </c>
    </row>
    <row r="16610">
      <c r="A16610">
        <f>Input!A16610</f>
        <v/>
      </c>
      <c r="B16610">
        <f>IF(ISNUMBER(Input!B16610),IF(AND(Input!B16610&gt;=20,Input!B16610&lt;=700),Input!B16610,""),"")</f>
        <v/>
      </c>
      <c r="C16610">
        <f>IF(B16610="","",INT(A16610))</f>
        <v/>
      </c>
      <c r="D16610">
        <f>IF(B16610="","",HOUR(A16610))</f>
        <v/>
      </c>
    </row>
    <row r="16611">
      <c r="A16611">
        <f>Input!A16611</f>
        <v/>
      </c>
      <c r="B16611">
        <f>IF(ISNUMBER(Input!B16611),IF(AND(Input!B16611&gt;=20,Input!B16611&lt;=700),Input!B16611,""),"")</f>
        <v/>
      </c>
      <c r="C16611">
        <f>IF(B16611="","",INT(A16611))</f>
        <v/>
      </c>
      <c r="D16611">
        <f>IF(B16611="","",HOUR(A16611))</f>
        <v/>
      </c>
    </row>
    <row r="16612">
      <c r="A16612">
        <f>Input!A16612</f>
        <v/>
      </c>
      <c r="B16612">
        <f>IF(ISNUMBER(Input!B16612),IF(AND(Input!B16612&gt;=20,Input!B16612&lt;=700),Input!B16612,""),"")</f>
        <v/>
      </c>
      <c r="C16612">
        <f>IF(B16612="","",INT(A16612))</f>
        <v/>
      </c>
      <c r="D16612">
        <f>IF(B16612="","",HOUR(A16612))</f>
        <v/>
      </c>
    </row>
    <row r="16613">
      <c r="A16613">
        <f>Input!A16613</f>
        <v/>
      </c>
      <c r="B16613">
        <f>IF(ISNUMBER(Input!B16613),IF(AND(Input!B16613&gt;=20,Input!B16613&lt;=700),Input!B16613,""),"")</f>
        <v/>
      </c>
      <c r="C16613">
        <f>IF(B16613="","",INT(A16613))</f>
        <v/>
      </c>
      <c r="D16613">
        <f>IF(B16613="","",HOUR(A16613))</f>
        <v/>
      </c>
    </row>
    <row r="16614">
      <c r="A16614">
        <f>Input!A16614</f>
        <v/>
      </c>
      <c r="B16614">
        <f>IF(ISNUMBER(Input!B16614),IF(AND(Input!B16614&gt;=20,Input!B16614&lt;=700),Input!B16614,""),"")</f>
        <v/>
      </c>
      <c r="C16614">
        <f>IF(B16614="","",INT(A16614))</f>
        <v/>
      </c>
      <c r="D16614">
        <f>IF(B16614="","",HOUR(A16614))</f>
        <v/>
      </c>
    </row>
    <row r="16615">
      <c r="A16615">
        <f>Input!A16615</f>
        <v/>
      </c>
      <c r="B16615">
        <f>IF(ISNUMBER(Input!B16615),IF(AND(Input!B16615&gt;=20,Input!B16615&lt;=700),Input!B16615,""),"")</f>
        <v/>
      </c>
      <c r="C16615">
        <f>IF(B16615="","",INT(A16615))</f>
        <v/>
      </c>
      <c r="D16615">
        <f>IF(B16615="","",HOUR(A16615))</f>
        <v/>
      </c>
    </row>
    <row r="16616">
      <c r="A16616">
        <f>Input!A16616</f>
        <v/>
      </c>
      <c r="B16616">
        <f>IF(ISNUMBER(Input!B16616),IF(AND(Input!B16616&gt;=20,Input!B16616&lt;=700),Input!B16616,""),"")</f>
        <v/>
      </c>
      <c r="C16616">
        <f>IF(B16616="","",INT(A16616))</f>
        <v/>
      </c>
      <c r="D16616">
        <f>IF(B16616="","",HOUR(A16616))</f>
        <v/>
      </c>
    </row>
    <row r="16617">
      <c r="A16617">
        <f>Input!A16617</f>
        <v/>
      </c>
      <c r="B16617">
        <f>IF(ISNUMBER(Input!B16617),IF(AND(Input!B16617&gt;=20,Input!B16617&lt;=700),Input!B16617,""),"")</f>
        <v/>
      </c>
      <c r="C16617">
        <f>IF(B16617="","",INT(A16617))</f>
        <v/>
      </c>
      <c r="D16617">
        <f>IF(B16617="","",HOUR(A16617))</f>
        <v/>
      </c>
    </row>
    <row r="16618">
      <c r="A16618">
        <f>Input!A16618</f>
        <v/>
      </c>
      <c r="B16618">
        <f>IF(ISNUMBER(Input!B16618),IF(AND(Input!B16618&gt;=20,Input!B16618&lt;=700),Input!B16618,""),"")</f>
        <v/>
      </c>
      <c r="C16618">
        <f>IF(B16618="","",INT(A16618))</f>
        <v/>
      </c>
      <c r="D16618">
        <f>IF(B16618="","",HOUR(A16618))</f>
        <v/>
      </c>
    </row>
    <row r="16619">
      <c r="A16619">
        <f>Input!A16619</f>
        <v/>
      </c>
      <c r="B16619">
        <f>IF(ISNUMBER(Input!B16619),IF(AND(Input!B16619&gt;=20,Input!B16619&lt;=700),Input!B16619,""),"")</f>
        <v/>
      </c>
      <c r="C16619">
        <f>IF(B16619="","",INT(A16619))</f>
        <v/>
      </c>
      <c r="D16619">
        <f>IF(B16619="","",HOUR(A16619))</f>
        <v/>
      </c>
    </row>
    <row r="16620">
      <c r="A16620">
        <f>Input!A16620</f>
        <v/>
      </c>
      <c r="B16620">
        <f>IF(ISNUMBER(Input!B16620),IF(AND(Input!B16620&gt;=20,Input!B16620&lt;=700),Input!B16620,""),"")</f>
        <v/>
      </c>
      <c r="C16620">
        <f>IF(B16620="","",INT(A16620))</f>
        <v/>
      </c>
      <c r="D16620">
        <f>IF(B16620="","",HOUR(A16620))</f>
        <v/>
      </c>
    </row>
    <row r="16621">
      <c r="A16621">
        <f>Input!A16621</f>
        <v/>
      </c>
      <c r="B16621">
        <f>IF(ISNUMBER(Input!B16621),IF(AND(Input!B16621&gt;=20,Input!B16621&lt;=700),Input!B16621,""),"")</f>
        <v/>
      </c>
      <c r="C16621">
        <f>IF(B16621="","",INT(A16621))</f>
        <v/>
      </c>
      <c r="D16621">
        <f>IF(B16621="","",HOUR(A16621))</f>
        <v/>
      </c>
    </row>
    <row r="16622">
      <c r="A16622">
        <f>Input!A16622</f>
        <v/>
      </c>
      <c r="B16622">
        <f>IF(ISNUMBER(Input!B16622),IF(AND(Input!B16622&gt;=20,Input!B16622&lt;=700),Input!B16622,""),"")</f>
        <v/>
      </c>
      <c r="C16622">
        <f>IF(B16622="","",INT(A16622))</f>
        <v/>
      </c>
      <c r="D16622">
        <f>IF(B16622="","",HOUR(A16622))</f>
        <v/>
      </c>
    </row>
    <row r="16623">
      <c r="A16623">
        <f>Input!A16623</f>
        <v/>
      </c>
      <c r="B16623">
        <f>IF(ISNUMBER(Input!B16623),IF(AND(Input!B16623&gt;=20,Input!B16623&lt;=700),Input!B16623,""),"")</f>
        <v/>
      </c>
      <c r="C16623">
        <f>IF(B16623="","",INT(A16623))</f>
        <v/>
      </c>
      <c r="D16623">
        <f>IF(B16623="","",HOUR(A16623))</f>
        <v/>
      </c>
    </row>
    <row r="16624">
      <c r="A16624">
        <f>Input!A16624</f>
        <v/>
      </c>
      <c r="B16624">
        <f>IF(ISNUMBER(Input!B16624),IF(AND(Input!B16624&gt;=20,Input!B16624&lt;=700),Input!B16624,""),"")</f>
        <v/>
      </c>
      <c r="C16624">
        <f>IF(B16624="","",INT(A16624))</f>
        <v/>
      </c>
      <c r="D16624">
        <f>IF(B16624="","",HOUR(A16624))</f>
        <v/>
      </c>
    </row>
    <row r="16625">
      <c r="A16625">
        <f>Input!A16625</f>
        <v/>
      </c>
      <c r="B16625">
        <f>IF(ISNUMBER(Input!B16625),IF(AND(Input!B16625&gt;=20,Input!B16625&lt;=700),Input!B16625,""),"")</f>
        <v/>
      </c>
      <c r="C16625">
        <f>IF(B16625="","",INT(A16625))</f>
        <v/>
      </c>
      <c r="D16625">
        <f>IF(B16625="","",HOUR(A16625))</f>
        <v/>
      </c>
    </row>
    <row r="16626">
      <c r="A16626">
        <f>Input!A16626</f>
        <v/>
      </c>
      <c r="B16626">
        <f>IF(ISNUMBER(Input!B16626),IF(AND(Input!B16626&gt;=20,Input!B16626&lt;=700),Input!B16626,""),"")</f>
        <v/>
      </c>
      <c r="C16626">
        <f>IF(B16626="","",INT(A16626))</f>
        <v/>
      </c>
      <c r="D16626">
        <f>IF(B16626="","",HOUR(A16626))</f>
        <v/>
      </c>
    </row>
    <row r="16627">
      <c r="A16627">
        <f>Input!A16627</f>
        <v/>
      </c>
      <c r="B16627">
        <f>IF(ISNUMBER(Input!B16627),IF(AND(Input!B16627&gt;=20,Input!B16627&lt;=700),Input!B16627,""),"")</f>
        <v/>
      </c>
      <c r="C16627">
        <f>IF(B16627="","",INT(A16627))</f>
        <v/>
      </c>
      <c r="D16627">
        <f>IF(B16627="","",HOUR(A16627))</f>
        <v/>
      </c>
    </row>
    <row r="16628">
      <c r="A16628">
        <f>Input!A16628</f>
        <v/>
      </c>
      <c r="B16628">
        <f>IF(ISNUMBER(Input!B16628),IF(AND(Input!B16628&gt;=20,Input!B16628&lt;=700),Input!B16628,""),"")</f>
        <v/>
      </c>
      <c r="C16628">
        <f>IF(B16628="","",INT(A16628))</f>
        <v/>
      </c>
      <c r="D16628">
        <f>IF(B16628="","",HOUR(A16628))</f>
        <v/>
      </c>
    </row>
    <row r="16629">
      <c r="A16629">
        <f>Input!A16629</f>
        <v/>
      </c>
      <c r="B16629">
        <f>IF(ISNUMBER(Input!B16629),IF(AND(Input!B16629&gt;=20,Input!B16629&lt;=700),Input!B16629,""),"")</f>
        <v/>
      </c>
      <c r="C16629">
        <f>IF(B16629="","",INT(A16629))</f>
        <v/>
      </c>
      <c r="D16629">
        <f>IF(B16629="","",HOUR(A16629))</f>
        <v/>
      </c>
    </row>
    <row r="16630">
      <c r="A16630">
        <f>Input!A16630</f>
        <v/>
      </c>
      <c r="B16630">
        <f>IF(ISNUMBER(Input!B16630),IF(AND(Input!B16630&gt;=20,Input!B16630&lt;=700),Input!B16630,""),"")</f>
        <v/>
      </c>
      <c r="C16630">
        <f>IF(B16630="","",INT(A16630))</f>
        <v/>
      </c>
      <c r="D16630">
        <f>IF(B16630="","",HOUR(A16630))</f>
        <v/>
      </c>
    </row>
    <row r="16631">
      <c r="A16631">
        <f>Input!A16631</f>
        <v/>
      </c>
      <c r="B16631">
        <f>IF(ISNUMBER(Input!B16631),IF(AND(Input!B16631&gt;=20,Input!B16631&lt;=700),Input!B16631,""),"")</f>
        <v/>
      </c>
      <c r="C16631">
        <f>IF(B16631="","",INT(A16631))</f>
        <v/>
      </c>
      <c r="D16631">
        <f>IF(B16631="","",HOUR(A16631))</f>
        <v/>
      </c>
    </row>
    <row r="16632">
      <c r="A16632">
        <f>Input!A16632</f>
        <v/>
      </c>
      <c r="B16632">
        <f>IF(ISNUMBER(Input!B16632),IF(AND(Input!B16632&gt;=20,Input!B16632&lt;=700),Input!B16632,""),"")</f>
        <v/>
      </c>
      <c r="C16632">
        <f>IF(B16632="","",INT(A16632))</f>
        <v/>
      </c>
      <c r="D16632">
        <f>IF(B16632="","",HOUR(A16632))</f>
        <v/>
      </c>
    </row>
    <row r="16633">
      <c r="A16633">
        <f>Input!A16633</f>
        <v/>
      </c>
      <c r="B16633">
        <f>IF(ISNUMBER(Input!B16633),IF(AND(Input!B16633&gt;=20,Input!B16633&lt;=700),Input!B16633,""),"")</f>
        <v/>
      </c>
      <c r="C16633">
        <f>IF(B16633="","",INT(A16633))</f>
        <v/>
      </c>
      <c r="D16633">
        <f>IF(B16633="","",HOUR(A16633))</f>
        <v/>
      </c>
    </row>
    <row r="16634">
      <c r="A16634">
        <f>Input!A16634</f>
        <v/>
      </c>
      <c r="B16634">
        <f>IF(ISNUMBER(Input!B16634),IF(AND(Input!B16634&gt;=20,Input!B16634&lt;=700),Input!B16634,""),"")</f>
        <v/>
      </c>
      <c r="C16634">
        <f>IF(B16634="","",INT(A16634))</f>
        <v/>
      </c>
      <c r="D16634">
        <f>IF(B16634="","",HOUR(A16634))</f>
        <v/>
      </c>
    </row>
    <row r="16635">
      <c r="A16635">
        <f>Input!A16635</f>
        <v/>
      </c>
      <c r="B16635">
        <f>IF(ISNUMBER(Input!B16635),IF(AND(Input!B16635&gt;=20,Input!B16635&lt;=700),Input!B16635,""),"")</f>
        <v/>
      </c>
      <c r="C16635">
        <f>IF(B16635="","",INT(A16635))</f>
        <v/>
      </c>
      <c r="D16635">
        <f>IF(B16635="","",HOUR(A16635))</f>
        <v/>
      </c>
    </row>
    <row r="16636">
      <c r="A16636">
        <f>Input!A16636</f>
        <v/>
      </c>
      <c r="B16636">
        <f>IF(ISNUMBER(Input!B16636),IF(AND(Input!B16636&gt;=20,Input!B16636&lt;=700),Input!B16636,""),"")</f>
        <v/>
      </c>
      <c r="C16636">
        <f>IF(B16636="","",INT(A16636))</f>
        <v/>
      </c>
      <c r="D16636">
        <f>IF(B16636="","",HOUR(A16636))</f>
        <v/>
      </c>
    </row>
    <row r="16637">
      <c r="A16637">
        <f>Input!A16637</f>
        <v/>
      </c>
      <c r="B16637">
        <f>IF(ISNUMBER(Input!B16637),IF(AND(Input!B16637&gt;=20,Input!B16637&lt;=700),Input!B16637,""),"")</f>
        <v/>
      </c>
      <c r="C16637">
        <f>IF(B16637="","",INT(A16637))</f>
        <v/>
      </c>
      <c r="D16637">
        <f>IF(B16637="","",HOUR(A16637))</f>
        <v/>
      </c>
    </row>
    <row r="16638">
      <c r="A16638">
        <f>Input!A16638</f>
        <v/>
      </c>
      <c r="B16638">
        <f>IF(ISNUMBER(Input!B16638),IF(AND(Input!B16638&gt;=20,Input!B16638&lt;=700),Input!B16638,""),"")</f>
        <v/>
      </c>
      <c r="C16638">
        <f>IF(B16638="","",INT(A16638))</f>
        <v/>
      </c>
      <c r="D16638">
        <f>IF(B16638="","",HOUR(A16638))</f>
        <v/>
      </c>
    </row>
    <row r="16639">
      <c r="A16639">
        <f>Input!A16639</f>
        <v/>
      </c>
      <c r="B16639">
        <f>IF(ISNUMBER(Input!B16639),IF(AND(Input!B16639&gt;=20,Input!B16639&lt;=700),Input!B16639,""),"")</f>
        <v/>
      </c>
      <c r="C16639">
        <f>IF(B16639="","",INT(A16639))</f>
        <v/>
      </c>
      <c r="D16639">
        <f>IF(B16639="","",HOUR(A16639))</f>
        <v/>
      </c>
    </row>
    <row r="16640">
      <c r="A16640">
        <f>Input!A16640</f>
        <v/>
      </c>
      <c r="B16640">
        <f>IF(ISNUMBER(Input!B16640),IF(AND(Input!B16640&gt;=20,Input!B16640&lt;=700),Input!B16640,""),"")</f>
        <v/>
      </c>
      <c r="C16640">
        <f>IF(B16640="","",INT(A16640))</f>
        <v/>
      </c>
      <c r="D16640">
        <f>IF(B16640="","",HOUR(A16640))</f>
        <v/>
      </c>
    </row>
    <row r="16641">
      <c r="A16641">
        <f>Input!A16641</f>
        <v/>
      </c>
      <c r="B16641">
        <f>IF(ISNUMBER(Input!B16641),IF(AND(Input!B16641&gt;=20,Input!B16641&lt;=700),Input!B16641,""),"")</f>
        <v/>
      </c>
      <c r="C16641">
        <f>IF(B16641="","",INT(A16641))</f>
        <v/>
      </c>
      <c r="D16641">
        <f>IF(B16641="","",HOUR(A16641))</f>
        <v/>
      </c>
    </row>
    <row r="16642">
      <c r="A16642">
        <f>Input!A16642</f>
        <v/>
      </c>
      <c r="B16642">
        <f>IF(ISNUMBER(Input!B16642),IF(AND(Input!B16642&gt;=20,Input!B16642&lt;=700),Input!B16642,""),"")</f>
        <v/>
      </c>
      <c r="C16642">
        <f>IF(B16642="","",INT(A16642))</f>
        <v/>
      </c>
      <c r="D16642">
        <f>IF(B16642="","",HOUR(A16642))</f>
        <v/>
      </c>
    </row>
    <row r="16643">
      <c r="A16643">
        <f>Input!A16643</f>
        <v/>
      </c>
      <c r="B16643">
        <f>IF(ISNUMBER(Input!B16643),IF(AND(Input!B16643&gt;=20,Input!B16643&lt;=700),Input!B16643,""),"")</f>
        <v/>
      </c>
      <c r="C16643">
        <f>IF(B16643="","",INT(A16643))</f>
        <v/>
      </c>
      <c r="D16643">
        <f>IF(B16643="","",HOUR(A16643))</f>
        <v/>
      </c>
    </row>
    <row r="16644">
      <c r="A16644">
        <f>Input!A16644</f>
        <v/>
      </c>
      <c r="B16644">
        <f>IF(ISNUMBER(Input!B16644),IF(AND(Input!B16644&gt;=20,Input!B16644&lt;=700),Input!B16644,""),"")</f>
        <v/>
      </c>
      <c r="C16644">
        <f>IF(B16644="","",INT(A16644))</f>
        <v/>
      </c>
      <c r="D16644">
        <f>IF(B16644="","",HOUR(A16644))</f>
        <v/>
      </c>
    </row>
    <row r="16645">
      <c r="A16645">
        <f>Input!A16645</f>
        <v/>
      </c>
      <c r="B16645">
        <f>IF(ISNUMBER(Input!B16645),IF(AND(Input!B16645&gt;=20,Input!B16645&lt;=700),Input!B16645,""),"")</f>
        <v/>
      </c>
      <c r="C16645">
        <f>IF(B16645="","",INT(A16645))</f>
        <v/>
      </c>
      <c r="D16645">
        <f>IF(B16645="","",HOUR(A16645))</f>
        <v/>
      </c>
    </row>
    <row r="16646">
      <c r="A16646">
        <f>Input!A16646</f>
        <v/>
      </c>
      <c r="B16646">
        <f>IF(ISNUMBER(Input!B16646),IF(AND(Input!B16646&gt;=20,Input!B16646&lt;=700),Input!B16646,""),"")</f>
        <v/>
      </c>
      <c r="C16646">
        <f>IF(B16646="","",INT(A16646))</f>
        <v/>
      </c>
      <c r="D16646">
        <f>IF(B16646="","",HOUR(A16646))</f>
        <v/>
      </c>
    </row>
    <row r="16647">
      <c r="A16647">
        <f>Input!A16647</f>
        <v/>
      </c>
      <c r="B16647">
        <f>IF(ISNUMBER(Input!B16647),IF(AND(Input!B16647&gt;=20,Input!B16647&lt;=700),Input!B16647,""),"")</f>
        <v/>
      </c>
      <c r="C16647">
        <f>IF(B16647="","",INT(A16647))</f>
        <v/>
      </c>
      <c r="D16647">
        <f>IF(B16647="","",HOUR(A16647))</f>
        <v/>
      </c>
    </row>
    <row r="16648">
      <c r="A16648">
        <f>Input!A16648</f>
        <v/>
      </c>
      <c r="B16648">
        <f>IF(ISNUMBER(Input!B16648),IF(AND(Input!B16648&gt;=20,Input!B16648&lt;=700),Input!B16648,""),"")</f>
        <v/>
      </c>
      <c r="C16648">
        <f>IF(B16648="","",INT(A16648))</f>
        <v/>
      </c>
      <c r="D16648">
        <f>IF(B16648="","",HOUR(A16648))</f>
        <v/>
      </c>
    </row>
    <row r="16649">
      <c r="A16649">
        <f>Input!A16649</f>
        <v/>
      </c>
      <c r="B16649">
        <f>IF(ISNUMBER(Input!B16649),IF(AND(Input!B16649&gt;=20,Input!B16649&lt;=700),Input!B16649,""),"")</f>
        <v/>
      </c>
      <c r="C16649">
        <f>IF(B16649="","",INT(A16649))</f>
        <v/>
      </c>
      <c r="D16649">
        <f>IF(B16649="","",HOUR(A16649))</f>
        <v/>
      </c>
    </row>
    <row r="16650">
      <c r="A16650">
        <f>Input!A16650</f>
        <v/>
      </c>
      <c r="B16650">
        <f>IF(ISNUMBER(Input!B16650),IF(AND(Input!B16650&gt;=20,Input!B16650&lt;=700),Input!B16650,""),"")</f>
        <v/>
      </c>
      <c r="C16650">
        <f>IF(B16650="","",INT(A16650))</f>
        <v/>
      </c>
      <c r="D16650">
        <f>IF(B16650="","",HOUR(A16650))</f>
        <v/>
      </c>
    </row>
    <row r="16651">
      <c r="A16651">
        <f>Input!A16651</f>
        <v/>
      </c>
      <c r="B16651">
        <f>IF(ISNUMBER(Input!B16651),IF(AND(Input!B16651&gt;=20,Input!B16651&lt;=700),Input!B16651,""),"")</f>
        <v/>
      </c>
      <c r="C16651">
        <f>IF(B16651="","",INT(A16651))</f>
        <v/>
      </c>
      <c r="D16651">
        <f>IF(B16651="","",HOUR(A16651))</f>
        <v/>
      </c>
    </row>
    <row r="16652">
      <c r="A16652">
        <f>Input!A16652</f>
        <v/>
      </c>
      <c r="B16652">
        <f>IF(ISNUMBER(Input!B16652),IF(AND(Input!B16652&gt;=20,Input!B16652&lt;=700),Input!B16652,""),"")</f>
        <v/>
      </c>
      <c r="C16652">
        <f>IF(B16652="","",INT(A16652))</f>
        <v/>
      </c>
      <c r="D16652">
        <f>IF(B16652="","",HOUR(A16652))</f>
        <v/>
      </c>
    </row>
    <row r="16653">
      <c r="A16653">
        <f>Input!A16653</f>
        <v/>
      </c>
      <c r="B16653">
        <f>IF(ISNUMBER(Input!B16653),IF(AND(Input!B16653&gt;=20,Input!B16653&lt;=700),Input!B16653,""),"")</f>
        <v/>
      </c>
      <c r="C16653">
        <f>IF(B16653="","",INT(A16653))</f>
        <v/>
      </c>
      <c r="D16653">
        <f>IF(B16653="","",HOUR(A16653))</f>
        <v/>
      </c>
    </row>
    <row r="16654">
      <c r="A16654">
        <f>Input!A16654</f>
        <v/>
      </c>
      <c r="B16654">
        <f>IF(ISNUMBER(Input!B16654),IF(AND(Input!B16654&gt;=20,Input!B16654&lt;=700),Input!B16654,""),"")</f>
        <v/>
      </c>
      <c r="C16654">
        <f>IF(B16654="","",INT(A16654))</f>
        <v/>
      </c>
      <c r="D16654">
        <f>IF(B16654="","",HOUR(A16654))</f>
        <v/>
      </c>
    </row>
    <row r="16655">
      <c r="A16655">
        <f>Input!A16655</f>
        <v/>
      </c>
      <c r="B16655">
        <f>IF(ISNUMBER(Input!B16655),IF(AND(Input!B16655&gt;=20,Input!B16655&lt;=700),Input!B16655,""),"")</f>
        <v/>
      </c>
      <c r="C16655">
        <f>IF(B16655="","",INT(A16655))</f>
        <v/>
      </c>
      <c r="D16655">
        <f>IF(B16655="","",HOUR(A16655))</f>
        <v/>
      </c>
    </row>
    <row r="16656">
      <c r="A16656">
        <f>Input!A16656</f>
        <v/>
      </c>
      <c r="B16656">
        <f>IF(ISNUMBER(Input!B16656),IF(AND(Input!B16656&gt;=20,Input!B16656&lt;=700),Input!B16656,""),"")</f>
        <v/>
      </c>
      <c r="C16656">
        <f>IF(B16656="","",INT(A16656))</f>
        <v/>
      </c>
      <c r="D16656">
        <f>IF(B16656="","",HOUR(A16656))</f>
        <v/>
      </c>
    </row>
    <row r="16657">
      <c r="A16657">
        <f>Input!A16657</f>
        <v/>
      </c>
      <c r="B16657">
        <f>IF(ISNUMBER(Input!B16657),IF(AND(Input!B16657&gt;=20,Input!B16657&lt;=700),Input!B16657,""),"")</f>
        <v/>
      </c>
      <c r="C16657">
        <f>IF(B16657="","",INT(A16657))</f>
        <v/>
      </c>
      <c r="D16657">
        <f>IF(B16657="","",HOUR(A16657))</f>
        <v/>
      </c>
    </row>
    <row r="16658">
      <c r="A16658">
        <f>Input!A16658</f>
        <v/>
      </c>
      <c r="B16658">
        <f>IF(ISNUMBER(Input!B16658),IF(AND(Input!B16658&gt;=20,Input!B16658&lt;=700),Input!B16658,""),"")</f>
        <v/>
      </c>
      <c r="C16658">
        <f>IF(B16658="","",INT(A16658))</f>
        <v/>
      </c>
      <c r="D16658">
        <f>IF(B16658="","",HOUR(A16658))</f>
        <v/>
      </c>
    </row>
    <row r="16659">
      <c r="A16659">
        <f>Input!A16659</f>
        <v/>
      </c>
      <c r="B16659">
        <f>IF(ISNUMBER(Input!B16659),IF(AND(Input!B16659&gt;=20,Input!B16659&lt;=700),Input!B16659,""),"")</f>
        <v/>
      </c>
      <c r="C16659">
        <f>IF(B16659="","",INT(A16659))</f>
        <v/>
      </c>
      <c r="D16659">
        <f>IF(B16659="","",HOUR(A16659))</f>
        <v/>
      </c>
    </row>
    <row r="16660">
      <c r="A16660">
        <f>Input!A16660</f>
        <v/>
      </c>
      <c r="B16660">
        <f>IF(ISNUMBER(Input!B16660),IF(AND(Input!B16660&gt;=20,Input!B16660&lt;=700),Input!B16660,""),"")</f>
        <v/>
      </c>
      <c r="C16660">
        <f>IF(B16660="","",INT(A16660))</f>
        <v/>
      </c>
      <c r="D16660">
        <f>IF(B16660="","",HOUR(A16660))</f>
        <v/>
      </c>
    </row>
    <row r="16661">
      <c r="A16661">
        <f>Input!A16661</f>
        <v/>
      </c>
      <c r="B16661">
        <f>IF(ISNUMBER(Input!B16661),IF(AND(Input!B16661&gt;=20,Input!B16661&lt;=700),Input!B16661,""),"")</f>
        <v/>
      </c>
      <c r="C16661">
        <f>IF(B16661="","",INT(A16661))</f>
        <v/>
      </c>
      <c r="D16661">
        <f>IF(B16661="","",HOUR(A16661))</f>
        <v/>
      </c>
    </row>
    <row r="16662">
      <c r="A16662">
        <f>Input!A16662</f>
        <v/>
      </c>
      <c r="B16662">
        <f>IF(ISNUMBER(Input!B16662),IF(AND(Input!B16662&gt;=20,Input!B16662&lt;=700),Input!B16662,""),"")</f>
        <v/>
      </c>
      <c r="C16662">
        <f>IF(B16662="","",INT(A16662))</f>
        <v/>
      </c>
      <c r="D16662">
        <f>IF(B16662="","",HOUR(A16662))</f>
        <v/>
      </c>
    </row>
    <row r="16663">
      <c r="A16663">
        <f>Input!A16663</f>
        <v/>
      </c>
      <c r="B16663">
        <f>IF(ISNUMBER(Input!B16663),IF(AND(Input!B16663&gt;=20,Input!B16663&lt;=700),Input!B16663,""),"")</f>
        <v/>
      </c>
      <c r="C16663">
        <f>IF(B16663="","",INT(A16663))</f>
        <v/>
      </c>
      <c r="D16663">
        <f>IF(B16663="","",HOUR(A16663))</f>
        <v/>
      </c>
    </row>
    <row r="16664">
      <c r="A16664">
        <f>Input!A16664</f>
        <v/>
      </c>
      <c r="B16664">
        <f>IF(ISNUMBER(Input!B16664),IF(AND(Input!B16664&gt;=20,Input!B16664&lt;=700),Input!B16664,""),"")</f>
        <v/>
      </c>
      <c r="C16664">
        <f>IF(B16664="","",INT(A16664))</f>
        <v/>
      </c>
      <c r="D16664">
        <f>IF(B16664="","",HOUR(A16664))</f>
        <v/>
      </c>
    </row>
    <row r="16665">
      <c r="A16665">
        <f>Input!A16665</f>
        <v/>
      </c>
      <c r="B16665">
        <f>IF(ISNUMBER(Input!B16665),IF(AND(Input!B16665&gt;=20,Input!B16665&lt;=700),Input!B16665,""),"")</f>
        <v/>
      </c>
      <c r="C16665">
        <f>IF(B16665="","",INT(A16665))</f>
        <v/>
      </c>
      <c r="D16665">
        <f>IF(B16665="","",HOUR(A16665))</f>
        <v/>
      </c>
    </row>
    <row r="16666">
      <c r="A16666">
        <f>Input!A16666</f>
        <v/>
      </c>
      <c r="B16666">
        <f>IF(ISNUMBER(Input!B16666),IF(AND(Input!B16666&gt;=20,Input!B16666&lt;=700),Input!B16666,""),"")</f>
        <v/>
      </c>
      <c r="C16666">
        <f>IF(B16666="","",INT(A16666))</f>
        <v/>
      </c>
      <c r="D16666">
        <f>IF(B16666="","",HOUR(A16666))</f>
        <v/>
      </c>
    </row>
    <row r="16667">
      <c r="A16667">
        <f>Input!A16667</f>
        <v/>
      </c>
      <c r="B16667">
        <f>IF(ISNUMBER(Input!B16667),IF(AND(Input!B16667&gt;=20,Input!B16667&lt;=700),Input!B16667,""),"")</f>
        <v/>
      </c>
      <c r="C16667">
        <f>IF(B16667="","",INT(A16667))</f>
        <v/>
      </c>
      <c r="D16667">
        <f>IF(B16667="","",HOUR(A16667))</f>
        <v/>
      </c>
    </row>
    <row r="16668">
      <c r="A16668">
        <f>Input!A16668</f>
        <v/>
      </c>
      <c r="B16668">
        <f>IF(ISNUMBER(Input!B16668),IF(AND(Input!B16668&gt;=20,Input!B16668&lt;=700),Input!B16668,""),"")</f>
        <v/>
      </c>
      <c r="C16668">
        <f>IF(B16668="","",INT(A16668))</f>
        <v/>
      </c>
      <c r="D16668">
        <f>IF(B16668="","",HOUR(A16668))</f>
        <v/>
      </c>
    </row>
    <row r="16669">
      <c r="A16669">
        <f>Input!A16669</f>
        <v/>
      </c>
      <c r="B16669">
        <f>IF(ISNUMBER(Input!B16669),IF(AND(Input!B16669&gt;=20,Input!B16669&lt;=700),Input!B16669,""),"")</f>
        <v/>
      </c>
      <c r="C16669">
        <f>IF(B16669="","",INT(A16669))</f>
        <v/>
      </c>
      <c r="D16669">
        <f>IF(B16669="","",HOUR(A16669))</f>
        <v/>
      </c>
    </row>
    <row r="16670">
      <c r="A16670">
        <f>Input!A16670</f>
        <v/>
      </c>
      <c r="B16670">
        <f>IF(ISNUMBER(Input!B16670),IF(AND(Input!B16670&gt;=20,Input!B16670&lt;=700),Input!B16670,""),"")</f>
        <v/>
      </c>
      <c r="C16670">
        <f>IF(B16670="","",INT(A16670))</f>
        <v/>
      </c>
      <c r="D16670">
        <f>IF(B16670="","",HOUR(A16670))</f>
        <v/>
      </c>
    </row>
    <row r="16671">
      <c r="A16671">
        <f>Input!A16671</f>
        <v/>
      </c>
      <c r="B16671">
        <f>IF(ISNUMBER(Input!B16671),IF(AND(Input!B16671&gt;=20,Input!B16671&lt;=700),Input!B16671,""),"")</f>
        <v/>
      </c>
      <c r="C16671">
        <f>IF(B16671="","",INT(A16671))</f>
        <v/>
      </c>
      <c r="D16671">
        <f>IF(B16671="","",HOUR(A16671))</f>
        <v/>
      </c>
    </row>
    <row r="16672">
      <c r="A16672">
        <f>Input!A16672</f>
        <v/>
      </c>
      <c r="B16672">
        <f>IF(ISNUMBER(Input!B16672),IF(AND(Input!B16672&gt;=20,Input!B16672&lt;=700),Input!B16672,""),"")</f>
        <v/>
      </c>
      <c r="C16672">
        <f>IF(B16672="","",INT(A16672))</f>
        <v/>
      </c>
      <c r="D16672">
        <f>IF(B16672="","",HOUR(A16672))</f>
        <v/>
      </c>
    </row>
    <row r="16673">
      <c r="A16673">
        <f>Input!A16673</f>
        <v/>
      </c>
      <c r="B16673">
        <f>IF(ISNUMBER(Input!B16673),IF(AND(Input!B16673&gt;=20,Input!B16673&lt;=700),Input!B16673,""),"")</f>
        <v/>
      </c>
      <c r="C16673">
        <f>IF(B16673="","",INT(A16673))</f>
        <v/>
      </c>
      <c r="D16673">
        <f>IF(B16673="","",HOUR(A16673))</f>
        <v/>
      </c>
    </row>
    <row r="16674">
      <c r="A16674">
        <f>Input!A16674</f>
        <v/>
      </c>
      <c r="B16674">
        <f>IF(ISNUMBER(Input!B16674),IF(AND(Input!B16674&gt;=20,Input!B16674&lt;=700),Input!B16674,""),"")</f>
        <v/>
      </c>
      <c r="C16674">
        <f>IF(B16674="","",INT(A16674))</f>
        <v/>
      </c>
      <c r="D16674">
        <f>IF(B16674="","",HOUR(A16674))</f>
        <v/>
      </c>
    </row>
    <row r="16675">
      <c r="A16675">
        <f>Input!A16675</f>
        <v/>
      </c>
      <c r="B16675">
        <f>IF(ISNUMBER(Input!B16675),IF(AND(Input!B16675&gt;=20,Input!B16675&lt;=700),Input!B16675,""),"")</f>
        <v/>
      </c>
      <c r="C16675">
        <f>IF(B16675="","",INT(A16675))</f>
        <v/>
      </c>
      <c r="D16675">
        <f>IF(B16675="","",HOUR(A16675))</f>
        <v/>
      </c>
    </row>
    <row r="16676">
      <c r="A16676">
        <f>Input!A16676</f>
        <v/>
      </c>
      <c r="B16676">
        <f>IF(ISNUMBER(Input!B16676),IF(AND(Input!B16676&gt;=20,Input!B16676&lt;=700),Input!B16676,""),"")</f>
        <v/>
      </c>
      <c r="C16676">
        <f>IF(B16676="","",INT(A16676))</f>
        <v/>
      </c>
      <c r="D16676">
        <f>IF(B16676="","",HOUR(A16676))</f>
        <v/>
      </c>
    </row>
    <row r="16677">
      <c r="A16677">
        <f>Input!A16677</f>
        <v/>
      </c>
      <c r="B16677">
        <f>IF(ISNUMBER(Input!B16677),IF(AND(Input!B16677&gt;=20,Input!B16677&lt;=700),Input!B16677,""),"")</f>
        <v/>
      </c>
      <c r="C16677">
        <f>IF(B16677="","",INT(A16677))</f>
        <v/>
      </c>
      <c r="D16677">
        <f>IF(B16677="","",HOUR(A16677))</f>
        <v/>
      </c>
    </row>
    <row r="16678">
      <c r="A16678">
        <f>Input!A16678</f>
        <v/>
      </c>
      <c r="B16678">
        <f>IF(ISNUMBER(Input!B16678),IF(AND(Input!B16678&gt;=20,Input!B16678&lt;=700),Input!B16678,""),"")</f>
        <v/>
      </c>
      <c r="C16678">
        <f>IF(B16678="","",INT(A16678))</f>
        <v/>
      </c>
      <c r="D16678">
        <f>IF(B16678="","",HOUR(A16678))</f>
        <v/>
      </c>
    </row>
    <row r="16679">
      <c r="A16679">
        <f>Input!A16679</f>
        <v/>
      </c>
      <c r="B16679">
        <f>IF(ISNUMBER(Input!B16679),IF(AND(Input!B16679&gt;=20,Input!B16679&lt;=700),Input!B16679,""),"")</f>
        <v/>
      </c>
      <c r="C16679">
        <f>IF(B16679="","",INT(A16679))</f>
        <v/>
      </c>
      <c r="D16679">
        <f>IF(B16679="","",HOUR(A16679))</f>
        <v/>
      </c>
    </row>
    <row r="16680">
      <c r="A16680">
        <f>Input!A16680</f>
        <v/>
      </c>
      <c r="B16680">
        <f>IF(ISNUMBER(Input!B16680),IF(AND(Input!B16680&gt;=20,Input!B16680&lt;=700),Input!B16680,""),"")</f>
        <v/>
      </c>
      <c r="C16680">
        <f>IF(B16680="","",INT(A16680))</f>
        <v/>
      </c>
      <c r="D16680">
        <f>IF(B16680="","",HOUR(A16680))</f>
        <v/>
      </c>
    </row>
    <row r="16681">
      <c r="A16681">
        <f>Input!A16681</f>
        <v/>
      </c>
      <c r="B16681">
        <f>IF(ISNUMBER(Input!B16681),IF(AND(Input!B16681&gt;=20,Input!B16681&lt;=700),Input!B16681,""),"")</f>
        <v/>
      </c>
      <c r="C16681">
        <f>IF(B16681="","",INT(A16681))</f>
        <v/>
      </c>
      <c r="D16681">
        <f>IF(B16681="","",HOUR(A16681))</f>
        <v/>
      </c>
    </row>
    <row r="16682">
      <c r="A16682">
        <f>Input!A16682</f>
        <v/>
      </c>
      <c r="B16682">
        <f>IF(ISNUMBER(Input!B16682),IF(AND(Input!B16682&gt;=20,Input!B16682&lt;=700),Input!B16682,""),"")</f>
        <v/>
      </c>
      <c r="C16682">
        <f>IF(B16682="","",INT(A16682))</f>
        <v/>
      </c>
      <c r="D16682">
        <f>IF(B16682="","",HOUR(A16682))</f>
        <v/>
      </c>
    </row>
    <row r="16683">
      <c r="A16683">
        <f>Input!A16683</f>
        <v/>
      </c>
      <c r="B16683">
        <f>IF(ISNUMBER(Input!B16683),IF(AND(Input!B16683&gt;=20,Input!B16683&lt;=700),Input!B16683,""),"")</f>
        <v/>
      </c>
      <c r="C16683">
        <f>IF(B16683="","",INT(A16683))</f>
        <v/>
      </c>
      <c r="D16683">
        <f>IF(B16683="","",HOUR(A16683))</f>
        <v/>
      </c>
    </row>
    <row r="16684">
      <c r="A16684">
        <f>Input!A16684</f>
        <v/>
      </c>
      <c r="B16684">
        <f>IF(ISNUMBER(Input!B16684),IF(AND(Input!B16684&gt;=20,Input!B16684&lt;=700),Input!B16684,""),"")</f>
        <v/>
      </c>
      <c r="C16684">
        <f>IF(B16684="","",INT(A16684))</f>
        <v/>
      </c>
      <c r="D16684">
        <f>IF(B16684="","",HOUR(A16684))</f>
        <v/>
      </c>
    </row>
    <row r="16685">
      <c r="A16685">
        <f>Input!A16685</f>
        <v/>
      </c>
      <c r="B16685">
        <f>IF(ISNUMBER(Input!B16685),IF(AND(Input!B16685&gt;=20,Input!B16685&lt;=700),Input!B16685,""),"")</f>
        <v/>
      </c>
      <c r="C16685">
        <f>IF(B16685="","",INT(A16685))</f>
        <v/>
      </c>
      <c r="D16685">
        <f>IF(B16685="","",HOUR(A16685))</f>
        <v/>
      </c>
    </row>
    <row r="16686">
      <c r="A16686">
        <f>Input!A16686</f>
        <v/>
      </c>
      <c r="B16686">
        <f>IF(ISNUMBER(Input!B16686),IF(AND(Input!B16686&gt;=20,Input!B16686&lt;=700),Input!B16686,""),"")</f>
        <v/>
      </c>
      <c r="C16686">
        <f>IF(B16686="","",INT(A16686))</f>
        <v/>
      </c>
      <c r="D16686">
        <f>IF(B16686="","",HOUR(A16686))</f>
        <v/>
      </c>
    </row>
    <row r="16687">
      <c r="A16687">
        <f>Input!A16687</f>
        <v/>
      </c>
      <c r="B16687">
        <f>IF(ISNUMBER(Input!B16687),IF(AND(Input!B16687&gt;=20,Input!B16687&lt;=700),Input!B16687,""),"")</f>
        <v/>
      </c>
      <c r="C16687">
        <f>IF(B16687="","",INT(A16687))</f>
        <v/>
      </c>
      <c r="D16687">
        <f>IF(B16687="","",HOUR(A16687))</f>
        <v/>
      </c>
    </row>
    <row r="16688">
      <c r="A16688">
        <f>Input!A16688</f>
        <v/>
      </c>
      <c r="B16688">
        <f>IF(ISNUMBER(Input!B16688),IF(AND(Input!B16688&gt;=20,Input!B16688&lt;=700),Input!B16688,""),"")</f>
        <v/>
      </c>
      <c r="C16688">
        <f>IF(B16688="","",INT(A16688))</f>
        <v/>
      </c>
      <c r="D16688">
        <f>IF(B16688="","",HOUR(A16688))</f>
        <v/>
      </c>
    </row>
    <row r="16689">
      <c r="A16689">
        <f>Input!A16689</f>
        <v/>
      </c>
      <c r="B16689">
        <f>IF(ISNUMBER(Input!B16689),IF(AND(Input!B16689&gt;=20,Input!B16689&lt;=700),Input!B16689,""),"")</f>
        <v/>
      </c>
      <c r="C16689">
        <f>IF(B16689="","",INT(A16689))</f>
        <v/>
      </c>
      <c r="D16689">
        <f>IF(B16689="","",HOUR(A16689))</f>
        <v/>
      </c>
    </row>
    <row r="16690">
      <c r="A16690">
        <f>Input!A16690</f>
        <v/>
      </c>
      <c r="B16690">
        <f>IF(ISNUMBER(Input!B16690),IF(AND(Input!B16690&gt;=20,Input!B16690&lt;=700),Input!B16690,""),"")</f>
        <v/>
      </c>
      <c r="C16690">
        <f>IF(B16690="","",INT(A16690))</f>
        <v/>
      </c>
      <c r="D16690">
        <f>IF(B16690="","",HOUR(A16690))</f>
        <v/>
      </c>
    </row>
    <row r="16691">
      <c r="A16691">
        <f>Input!A16691</f>
        <v/>
      </c>
      <c r="B16691">
        <f>IF(ISNUMBER(Input!B16691),IF(AND(Input!B16691&gt;=20,Input!B16691&lt;=700),Input!B16691,""),"")</f>
        <v/>
      </c>
      <c r="C16691">
        <f>IF(B16691="","",INT(A16691))</f>
        <v/>
      </c>
      <c r="D16691">
        <f>IF(B16691="","",HOUR(A16691))</f>
        <v/>
      </c>
    </row>
    <row r="16692">
      <c r="A16692">
        <f>Input!A16692</f>
        <v/>
      </c>
      <c r="B16692">
        <f>IF(ISNUMBER(Input!B16692),IF(AND(Input!B16692&gt;=20,Input!B16692&lt;=700),Input!B16692,""),"")</f>
        <v/>
      </c>
      <c r="C16692">
        <f>IF(B16692="","",INT(A16692))</f>
        <v/>
      </c>
      <c r="D16692">
        <f>IF(B16692="","",HOUR(A16692))</f>
        <v/>
      </c>
    </row>
    <row r="16693">
      <c r="A16693">
        <f>Input!A16693</f>
        <v/>
      </c>
      <c r="B16693">
        <f>IF(ISNUMBER(Input!B16693),IF(AND(Input!B16693&gt;=20,Input!B16693&lt;=700),Input!B16693,""),"")</f>
        <v/>
      </c>
      <c r="C16693">
        <f>IF(B16693="","",INT(A16693))</f>
        <v/>
      </c>
      <c r="D16693">
        <f>IF(B16693="","",HOUR(A16693))</f>
        <v/>
      </c>
    </row>
    <row r="16694">
      <c r="A16694">
        <f>Input!A16694</f>
        <v/>
      </c>
      <c r="B16694">
        <f>IF(ISNUMBER(Input!B16694),IF(AND(Input!B16694&gt;=20,Input!B16694&lt;=700),Input!B16694,""),"")</f>
        <v/>
      </c>
      <c r="C16694">
        <f>IF(B16694="","",INT(A16694))</f>
        <v/>
      </c>
      <c r="D16694">
        <f>IF(B16694="","",HOUR(A16694))</f>
        <v/>
      </c>
    </row>
    <row r="16695">
      <c r="A16695">
        <f>Input!A16695</f>
        <v/>
      </c>
      <c r="B16695">
        <f>IF(ISNUMBER(Input!B16695),IF(AND(Input!B16695&gt;=20,Input!B16695&lt;=700),Input!B16695,""),"")</f>
        <v/>
      </c>
      <c r="C16695">
        <f>IF(B16695="","",INT(A16695))</f>
        <v/>
      </c>
      <c r="D16695">
        <f>IF(B16695="","",HOUR(A16695))</f>
        <v/>
      </c>
    </row>
    <row r="16696">
      <c r="A16696">
        <f>Input!A16696</f>
        <v/>
      </c>
      <c r="B16696">
        <f>IF(ISNUMBER(Input!B16696),IF(AND(Input!B16696&gt;=20,Input!B16696&lt;=700),Input!B16696,""),"")</f>
        <v/>
      </c>
      <c r="C16696">
        <f>IF(B16696="","",INT(A16696))</f>
        <v/>
      </c>
      <c r="D16696">
        <f>IF(B16696="","",HOUR(A16696))</f>
        <v/>
      </c>
    </row>
    <row r="16697">
      <c r="A16697">
        <f>Input!A16697</f>
        <v/>
      </c>
      <c r="B16697">
        <f>IF(ISNUMBER(Input!B16697),IF(AND(Input!B16697&gt;=20,Input!B16697&lt;=700),Input!B16697,""),"")</f>
        <v/>
      </c>
      <c r="C16697">
        <f>IF(B16697="","",INT(A16697))</f>
        <v/>
      </c>
      <c r="D16697">
        <f>IF(B16697="","",HOUR(A16697))</f>
        <v/>
      </c>
    </row>
    <row r="16698">
      <c r="A16698">
        <f>Input!A16698</f>
        <v/>
      </c>
      <c r="B16698">
        <f>IF(ISNUMBER(Input!B16698),IF(AND(Input!B16698&gt;=20,Input!B16698&lt;=700),Input!B16698,""),"")</f>
        <v/>
      </c>
      <c r="C16698">
        <f>IF(B16698="","",INT(A16698))</f>
        <v/>
      </c>
      <c r="D16698">
        <f>IF(B16698="","",HOUR(A16698))</f>
        <v/>
      </c>
    </row>
    <row r="16699">
      <c r="A16699">
        <f>Input!A16699</f>
        <v/>
      </c>
      <c r="B16699">
        <f>IF(ISNUMBER(Input!B16699),IF(AND(Input!B16699&gt;=20,Input!B16699&lt;=700),Input!B16699,""),"")</f>
        <v/>
      </c>
      <c r="C16699">
        <f>IF(B16699="","",INT(A16699))</f>
        <v/>
      </c>
      <c r="D16699">
        <f>IF(B16699="","",HOUR(A16699))</f>
        <v/>
      </c>
    </row>
    <row r="16700">
      <c r="A16700">
        <f>Input!A16700</f>
        <v/>
      </c>
      <c r="B16700">
        <f>IF(ISNUMBER(Input!B16700),IF(AND(Input!B16700&gt;=20,Input!B16700&lt;=700),Input!B16700,""),"")</f>
        <v/>
      </c>
      <c r="C16700">
        <f>IF(B16700="","",INT(A16700))</f>
        <v/>
      </c>
      <c r="D16700">
        <f>IF(B16700="","",HOUR(A16700))</f>
        <v/>
      </c>
    </row>
    <row r="16701">
      <c r="A16701">
        <f>Input!A16701</f>
        <v/>
      </c>
      <c r="B16701">
        <f>IF(ISNUMBER(Input!B16701),IF(AND(Input!B16701&gt;=20,Input!B16701&lt;=700),Input!B16701,""),"")</f>
        <v/>
      </c>
      <c r="C16701">
        <f>IF(B16701="","",INT(A16701))</f>
        <v/>
      </c>
      <c r="D16701">
        <f>IF(B16701="","",HOUR(A16701))</f>
        <v/>
      </c>
    </row>
    <row r="16702">
      <c r="A16702">
        <f>Input!A16702</f>
        <v/>
      </c>
      <c r="B16702">
        <f>IF(ISNUMBER(Input!B16702),IF(AND(Input!B16702&gt;=20,Input!B16702&lt;=700),Input!B16702,""),"")</f>
        <v/>
      </c>
      <c r="C16702">
        <f>IF(B16702="","",INT(A16702))</f>
        <v/>
      </c>
      <c r="D16702">
        <f>IF(B16702="","",HOUR(A16702))</f>
        <v/>
      </c>
    </row>
    <row r="16703">
      <c r="A16703">
        <f>Input!A16703</f>
        <v/>
      </c>
      <c r="B16703">
        <f>IF(ISNUMBER(Input!B16703),IF(AND(Input!B16703&gt;=20,Input!B16703&lt;=700),Input!B16703,""),"")</f>
        <v/>
      </c>
      <c r="C16703">
        <f>IF(B16703="","",INT(A16703))</f>
        <v/>
      </c>
      <c r="D16703">
        <f>IF(B16703="","",HOUR(A16703))</f>
        <v/>
      </c>
    </row>
    <row r="16704">
      <c r="A16704">
        <f>Input!A16704</f>
        <v/>
      </c>
      <c r="B16704">
        <f>IF(ISNUMBER(Input!B16704),IF(AND(Input!B16704&gt;=20,Input!B16704&lt;=700),Input!B16704,""),"")</f>
        <v/>
      </c>
      <c r="C16704">
        <f>IF(B16704="","",INT(A16704))</f>
        <v/>
      </c>
      <c r="D16704">
        <f>IF(B16704="","",HOUR(A16704))</f>
        <v/>
      </c>
    </row>
    <row r="16705">
      <c r="A16705">
        <f>Input!A16705</f>
        <v/>
      </c>
      <c r="B16705">
        <f>IF(ISNUMBER(Input!B16705),IF(AND(Input!B16705&gt;=20,Input!B16705&lt;=700),Input!B16705,""),"")</f>
        <v/>
      </c>
      <c r="C16705">
        <f>IF(B16705="","",INT(A16705))</f>
        <v/>
      </c>
      <c r="D16705">
        <f>IF(B16705="","",HOUR(A16705))</f>
        <v/>
      </c>
    </row>
    <row r="16706">
      <c r="A16706">
        <f>Input!A16706</f>
        <v/>
      </c>
      <c r="B16706">
        <f>IF(ISNUMBER(Input!B16706),IF(AND(Input!B16706&gt;=20,Input!B16706&lt;=700),Input!B16706,""),"")</f>
        <v/>
      </c>
      <c r="C16706">
        <f>IF(B16706="","",INT(A16706))</f>
        <v/>
      </c>
      <c r="D16706">
        <f>IF(B16706="","",HOUR(A16706))</f>
        <v/>
      </c>
    </row>
    <row r="16707">
      <c r="A16707">
        <f>Input!A16707</f>
        <v/>
      </c>
      <c r="B16707">
        <f>IF(ISNUMBER(Input!B16707),IF(AND(Input!B16707&gt;=20,Input!B16707&lt;=700),Input!B16707,""),"")</f>
        <v/>
      </c>
      <c r="C16707">
        <f>IF(B16707="","",INT(A16707))</f>
        <v/>
      </c>
      <c r="D16707">
        <f>IF(B16707="","",HOUR(A16707))</f>
        <v/>
      </c>
    </row>
    <row r="16708">
      <c r="A16708">
        <f>Input!A16708</f>
        <v/>
      </c>
      <c r="B16708">
        <f>IF(ISNUMBER(Input!B16708),IF(AND(Input!B16708&gt;=20,Input!B16708&lt;=700),Input!B16708,""),"")</f>
        <v/>
      </c>
      <c r="C16708">
        <f>IF(B16708="","",INT(A16708))</f>
        <v/>
      </c>
      <c r="D16708">
        <f>IF(B16708="","",HOUR(A16708))</f>
        <v/>
      </c>
    </row>
    <row r="16709">
      <c r="A16709">
        <f>Input!A16709</f>
        <v/>
      </c>
      <c r="B16709">
        <f>IF(ISNUMBER(Input!B16709),IF(AND(Input!B16709&gt;=20,Input!B16709&lt;=700),Input!B16709,""),"")</f>
        <v/>
      </c>
      <c r="C16709">
        <f>IF(B16709="","",INT(A16709))</f>
        <v/>
      </c>
      <c r="D16709">
        <f>IF(B16709="","",HOUR(A16709))</f>
        <v/>
      </c>
    </row>
    <row r="16710">
      <c r="A16710">
        <f>Input!A16710</f>
        <v/>
      </c>
      <c r="B16710">
        <f>IF(ISNUMBER(Input!B16710),IF(AND(Input!B16710&gt;=20,Input!B16710&lt;=700),Input!B16710,""),"")</f>
        <v/>
      </c>
      <c r="C16710">
        <f>IF(B16710="","",INT(A16710))</f>
        <v/>
      </c>
      <c r="D16710">
        <f>IF(B16710="","",HOUR(A16710))</f>
        <v/>
      </c>
    </row>
    <row r="16711">
      <c r="A16711">
        <f>Input!A16711</f>
        <v/>
      </c>
      <c r="B16711">
        <f>IF(ISNUMBER(Input!B16711),IF(AND(Input!B16711&gt;=20,Input!B16711&lt;=700),Input!B16711,""),"")</f>
        <v/>
      </c>
      <c r="C16711">
        <f>IF(B16711="","",INT(A16711))</f>
        <v/>
      </c>
      <c r="D16711">
        <f>IF(B16711="","",HOUR(A16711))</f>
        <v/>
      </c>
    </row>
    <row r="16712">
      <c r="A16712">
        <f>Input!A16712</f>
        <v/>
      </c>
      <c r="B16712">
        <f>IF(ISNUMBER(Input!B16712),IF(AND(Input!B16712&gt;=20,Input!B16712&lt;=700),Input!B16712,""),"")</f>
        <v/>
      </c>
      <c r="C16712">
        <f>IF(B16712="","",INT(A16712))</f>
        <v/>
      </c>
      <c r="D16712">
        <f>IF(B16712="","",HOUR(A16712))</f>
        <v/>
      </c>
    </row>
    <row r="16713">
      <c r="A16713">
        <f>Input!A16713</f>
        <v/>
      </c>
      <c r="B16713">
        <f>IF(ISNUMBER(Input!B16713),IF(AND(Input!B16713&gt;=20,Input!B16713&lt;=700),Input!B16713,""),"")</f>
        <v/>
      </c>
      <c r="C16713">
        <f>IF(B16713="","",INT(A16713))</f>
        <v/>
      </c>
      <c r="D16713">
        <f>IF(B16713="","",HOUR(A16713))</f>
        <v/>
      </c>
    </row>
    <row r="16714">
      <c r="A16714">
        <f>Input!A16714</f>
        <v/>
      </c>
      <c r="B16714">
        <f>IF(ISNUMBER(Input!B16714),IF(AND(Input!B16714&gt;=20,Input!B16714&lt;=700),Input!B16714,""),"")</f>
        <v/>
      </c>
      <c r="C16714">
        <f>IF(B16714="","",INT(A16714))</f>
        <v/>
      </c>
      <c r="D16714">
        <f>IF(B16714="","",HOUR(A16714))</f>
        <v/>
      </c>
    </row>
    <row r="16715">
      <c r="A16715">
        <f>Input!A16715</f>
        <v/>
      </c>
      <c r="B16715">
        <f>IF(ISNUMBER(Input!B16715),IF(AND(Input!B16715&gt;=20,Input!B16715&lt;=700),Input!B16715,""),"")</f>
        <v/>
      </c>
      <c r="C16715">
        <f>IF(B16715="","",INT(A16715))</f>
        <v/>
      </c>
      <c r="D16715">
        <f>IF(B16715="","",HOUR(A16715))</f>
        <v/>
      </c>
    </row>
    <row r="16716">
      <c r="A16716">
        <f>Input!A16716</f>
        <v/>
      </c>
      <c r="B16716">
        <f>IF(ISNUMBER(Input!B16716),IF(AND(Input!B16716&gt;=20,Input!B16716&lt;=700),Input!B16716,""),"")</f>
        <v/>
      </c>
      <c r="C16716">
        <f>IF(B16716="","",INT(A16716))</f>
        <v/>
      </c>
      <c r="D16716">
        <f>IF(B16716="","",HOUR(A16716))</f>
        <v/>
      </c>
    </row>
    <row r="16717">
      <c r="A16717">
        <f>Input!A16717</f>
        <v/>
      </c>
      <c r="B16717">
        <f>IF(ISNUMBER(Input!B16717),IF(AND(Input!B16717&gt;=20,Input!B16717&lt;=700),Input!B16717,""),"")</f>
        <v/>
      </c>
      <c r="C16717">
        <f>IF(B16717="","",INT(A16717))</f>
        <v/>
      </c>
      <c r="D16717">
        <f>IF(B16717="","",HOUR(A16717))</f>
        <v/>
      </c>
    </row>
    <row r="16718">
      <c r="A16718">
        <f>Input!A16718</f>
        <v/>
      </c>
      <c r="B16718">
        <f>IF(ISNUMBER(Input!B16718),IF(AND(Input!B16718&gt;=20,Input!B16718&lt;=700),Input!B16718,""),"")</f>
        <v/>
      </c>
      <c r="C16718">
        <f>IF(B16718="","",INT(A16718))</f>
        <v/>
      </c>
      <c r="D16718">
        <f>IF(B16718="","",HOUR(A16718))</f>
        <v/>
      </c>
    </row>
    <row r="16719">
      <c r="A16719">
        <f>Input!A16719</f>
        <v/>
      </c>
      <c r="B16719">
        <f>IF(ISNUMBER(Input!B16719),IF(AND(Input!B16719&gt;=20,Input!B16719&lt;=700),Input!B16719,""),"")</f>
        <v/>
      </c>
      <c r="C16719">
        <f>IF(B16719="","",INT(A16719))</f>
        <v/>
      </c>
      <c r="D16719">
        <f>IF(B16719="","",HOUR(A16719))</f>
        <v/>
      </c>
    </row>
    <row r="16720">
      <c r="A16720">
        <f>Input!A16720</f>
        <v/>
      </c>
      <c r="B16720">
        <f>IF(ISNUMBER(Input!B16720),IF(AND(Input!B16720&gt;=20,Input!B16720&lt;=700),Input!B16720,""),"")</f>
        <v/>
      </c>
      <c r="C16720">
        <f>IF(B16720="","",INT(A16720))</f>
        <v/>
      </c>
      <c r="D16720">
        <f>IF(B16720="","",HOUR(A16720))</f>
        <v/>
      </c>
    </row>
    <row r="16721">
      <c r="A16721">
        <f>Input!A16721</f>
        <v/>
      </c>
      <c r="B16721">
        <f>IF(ISNUMBER(Input!B16721),IF(AND(Input!B16721&gt;=20,Input!B16721&lt;=700),Input!B16721,""),"")</f>
        <v/>
      </c>
      <c r="C16721">
        <f>IF(B16721="","",INT(A16721))</f>
        <v/>
      </c>
      <c r="D16721">
        <f>IF(B16721="","",HOUR(A16721))</f>
        <v/>
      </c>
    </row>
    <row r="16722">
      <c r="A16722">
        <f>Input!A16722</f>
        <v/>
      </c>
      <c r="B16722">
        <f>IF(ISNUMBER(Input!B16722),IF(AND(Input!B16722&gt;=20,Input!B16722&lt;=700),Input!B16722,""),"")</f>
        <v/>
      </c>
      <c r="C16722">
        <f>IF(B16722="","",INT(A16722))</f>
        <v/>
      </c>
      <c r="D16722">
        <f>IF(B16722="","",HOUR(A16722))</f>
        <v/>
      </c>
    </row>
    <row r="16723">
      <c r="A16723">
        <f>Input!A16723</f>
        <v/>
      </c>
      <c r="B16723">
        <f>IF(ISNUMBER(Input!B16723),IF(AND(Input!B16723&gt;=20,Input!B16723&lt;=700),Input!B16723,""),"")</f>
        <v/>
      </c>
      <c r="C16723">
        <f>IF(B16723="","",INT(A16723))</f>
        <v/>
      </c>
      <c r="D16723">
        <f>IF(B16723="","",HOUR(A16723))</f>
        <v/>
      </c>
    </row>
    <row r="16724">
      <c r="A16724">
        <f>Input!A16724</f>
        <v/>
      </c>
      <c r="B16724">
        <f>IF(ISNUMBER(Input!B16724),IF(AND(Input!B16724&gt;=20,Input!B16724&lt;=700),Input!B16724,""),"")</f>
        <v/>
      </c>
      <c r="C16724">
        <f>IF(B16724="","",INT(A16724))</f>
        <v/>
      </c>
      <c r="D16724">
        <f>IF(B16724="","",HOUR(A16724))</f>
        <v/>
      </c>
    </row>
    <row r="16725">
      <c r="A16725">
        <f>Input!A16725</f>
        <v/>
      </c>
      <c r="B16725">
        <f>IF(ISNUMBER(Input!B16725),IF(AND(Input!B16725&gt;=20,Input!B16725&lt;=700),Input!B16725,""),"")</f>
        <v/>
      </c>
      <c r="C16725">
        <f>IF(B16725="","",INT(A16725))</f>
        <v/>
      </c>
      <c r="D16725">
        <f>IF(B16725="","",HOUR(A16725))</f>
        <v/>
      </c>
    </row>
    <row r="16726">
      <c r="A16726">
        <f>Input!A16726</f>
        <v/>
      </c>
      <c r="B16726">
        <f>IF(ISNUMBER(Input!B16726),IF(AND(Input!B16726&gt;=20,Input!B16726&lt;=700),Input!B16726,""),"")</f>
        <v/>
      </c>
      <c r="C16726">
        <f>IF(B16726="","",INT(A16726))</f>
        <v/>
      </c>
      <c r="D16726">
        <f>IF(B16726="","",HOUR(A16726))</f>
        <v/>
      </c>
    </row>
    <row r="16727">
      <c r="A16727">
        <f>Input!A16727</f>
        <v/>
      </c>
      <c r="B16727">
        <f>IF(ISNUMBER(Input!B16727),IF(AND(Input!B16727&gt;=20,Input!B16727&lt;=700),Input!B16727,""),"")</f>
        <v/>
      </c>
      <c r="C16727">
        <f>IF(B16727="","",INT(A16727))</f>
        <v/>
      </c>
      <c r="D16727">
        <f>IF(B16727="","",HOUR(A16727))</f>
        <v/>
      </c>
    </row>
    <row r="16728">
      <c r="A16728">
        <f>Input!A16728</f>
        <v/>
      </c>
      <c r="B16728">
        <f>IF(ISNUMBER(Input!B16728),IF(AND(Input!B16728&gt;=20,Input!B16728&lt;=700),Input!B16728,""),"")</f>
        <v/>
      </c>
      <c r="C16728">
        <f>IF(B16728="","",INT(A16728))</f>
        <v/>
      </c>
      <c r="D16728">
        <f>IF(B16728="","",HOUR(A16728))</f>
        <v/>
      </c>
    </row>
    <row r="16729">
      <c r="A16729">
        <f>Input!A16729</f>
        <v/>
      </c>
      <c r="B16729">
        <f>IF(ISNUMBER(Input!B16729),IF(AND(Input!B16729&gt;=20,Input!B16729&lt;=700),Input!B16729,""),"")</f>
        <v/>
      </c>
      <c r="C16729">
        <f>IF(B16729="","",INT(A16729))</f>
        <v/>
      </c>
      <c r="D16729">
        <f>IF(B16729="","",HOUR(A16729))</f>
        <v/>
      </c>
    </row>
    <row r="16730">
      <c r="A16730">
        <f>Input!A16730</f>
        <v/>
      </c>
      <c r="B16730">
        <f>IF(ISNUMBER(Input!B16730),IF(AND(Input!B16730&gt;=20,Input!B16730&lt;=700),Input!B16730,""),"")</f>
        <v/>
      </c>
      <c r="C16730">
        <f>IF(B16730="","",INT(A16730))</f>
        <v/>
      </c>
      <c r="D16730">
        <f>IF(B16730="","",HOUR(A16730))</f>
        <v/>
      </c>
    </row>
    <row r="16731">
      <c r="A16731">
        <f>Input!A16731</f>
        <v/>
      </c>
      <c r="B16731">
        <f>IF(ISNUMBER(Input!B16731),IF(AND(Input!B16731&gt;=20,Input!B16731&lt;=700),Input!B16731,""),"")</f>
        <v/>
      </c>
      <c r="C16731">
        <f>IF(B16731="","",INT(A16731))</f>
        <v/>
      </c>
      <c r="D16731">
        <f>IF(B16731="","",HOUR(A16731))</f>
        <v/>
      </c>
    </row>
    <row r="16732">
      <c r="A16732">
        <f>Input!A16732</f>
        <v/>
      </c>
      <c r="B16732">
        <f>IF(ISNUMBER(Input!B16732),IF(AND(Input!B16732&gt;=20,Input!B16732&lt;=700),Input!B16732,""),"")</f>
        <v/>
      </c>
      <c r="C16732">
        <f>IF(B16732="","",INT(A16732))</f>
        <v/>
      </c>
      <c r="D16732">
        <f>IF(B16732="","",HOUR(A16732))</f>
        <v/>
      </c>
    </row>
    <row r="16733">
      <c r="A16733">
        <f>Input!A16733</f>
        <v/>
      </c>
      <c r="B16733">
        <f>IF(ISNUMBER(Input!B16733),IF(AND(Input!B16733&gt;=20,Input!B16733&lt;=700),Input!B16733,""),"")</f>
        <v/>
      </c>
      <c r="C16733">
        <f>IF(B16733="","",INT(A16733))</f>
        <v/>
      </c>
      <c r="D16733">
        <f>IF(B16733="","",HOUR(A16733))</f>
        <v/>
      </c>
    </row>
    <row r="16734">
      <c r="A16734">
        <f>Input!A16734</f>
        <v/>
      </c>
      <c r="B16734">
        <f>IF(ISNUMBER(Input!B16734),IF(AND(Input!B16734&gt;=20,Input!B16734&lt;=700),Input!B16734,""),"")</f>
        <v/>
      </c>
      <c r="C16734">
        <f>IF(B16734="","",INT(A16734))</f>
        <v/>
      </c>
      <c r="D16734">
        <f>IF(B16734="","",HOUR(A16734))</f>
        <v/>
      </c>
    </row>
    <row r="16735">
      <c r="A16735">
        <f>Input!A16735</f>
        <v/>
      </c>
      <c r="B16735">
        <f>IF(ISNUMBER(Input!B16735),IF(AND(Input!B16735&gt;=20,Input!B16735&lt;=700),Input!B16735,""),"")</f>
        <v/>
      </c>
      <c r="C16735">
        <f>IF(B16735="","",INT(A16735))</f>
        <v/>
      </c>
      <c r="D16735">
        <f>IF(B16735="","",HOUR(A16735))</f>
        <v/>
      </c>
    </row>
    <row r="16736">
      <c r="A16736">
        <f>Input!A16736</f>
        <v/>
      </c>
      <c r="B16736">
        <f>IF(ISNUMBER(Input!B16736),IF(AND(Input!B16736&gt;=20,Input!B16736&lt;=700),Input!B16736,""),"")</f>
        <v/>
      </c>
      <c r="C16736">
        <f>IF(B16736="","",INT(A16736))</f>
        <v/>
      </c>
      <c r="D16736">
        <f>IF(B16736="","",HOUR(A16736))</f>
        <v/>
      </c>
    </row>
    <row r="16737">
      <c r="A16737">
        <f>Input!A16737</f>
        <v/>
      </c>
      <c r="B16737">
        <f>IF(ISNUMBER(Input!B16737),IF(AND(Input!B16737&gt;=20,Input!B16737&lt;=700),Input!B16737,""),"")</f>
        <v/>
      </c>
      <c r="C16737">
        <f>IF(B16737="","",INT(A16737))</f>
        <v/>
      </c>
      <c r="D16737">
        <f>IF(B16737="","",HOUR(A16737))</f>
        <v/>
      </c>
    </row>
    <row r="16738">
      <c r="A16738">
        <f>Input!A16738</f>
        <v/>
      </c>
      <c r="B16738">
        <f>IF(ISNUMBER(Input!B16738),IF(AND(Input!B16738&gt;=20,Input!B16738&lt;=700),Input!B16738,""),"")</f>
        <v/>
      </c>
      <c r="C16738">
        <f>IF(B16738="","",INT(A16738))</f>
        <v/>
      </c>
      <c r="D16738">
        <f>IF(B16738="","",HOUR(A16738))</f>
        <v/>
      </c>
    </row>
    <row r="16739">
      <c r="A16739">
        <f>Input!A16739</f>
        <v/>
      </c>
      <c r="B16739">
        <f>IF(ISNUMBER(Input!B16739),IF(AND(Input!B16739&gt;=20,Input!B16739&lt;=700),Input!B16739,""),"")</f>
        <v/>
      </c>
      <c r="C16739">
        <f>IF(B16739="","",INT(A16739))</f>
        <v/>
      </c>
      <c r="D16739">
        <f>IF(B16739="","",HOUR(A16739))</f>
        <v/>
      </c>
    </row>
    <row r="16740">
      <c r="A16740">
        <f>Input!A16740</f>
        <v/>
      </c>
      <c r="B16740">
        <f>IF(ISNUMBER(Input!B16740),IF(AND(Input!B16740&gt;=20,Input!B16740&lt;=700),Input!B16740,""),"")</f>
        <v/>
      </c>
      <c r="C16740">
        <f>IF(B16740="","",INT(A16740))</f>
        <v/>
      </c>
      <c r="D16740">
        <f>IF(B16740="","",HOUR(A16740))</f>
        <v/>
      </c>
    </row>
    <row r="16741">
      <c r="A16741">
        <f>Input!A16741</f>
        <v/>
      </c>
      <c r="B16741">
        <f>IF(ISNUMBER(Input!B16741),IF(AND(Input!B16741&gt;=20,Input!B16741&lt;=700),Input!B16741,""),"")</f>
        <v/>
      </c>
      <c r="C16741">
        <f>IF(B16741="","",INT(A16741))</f>
        <v/>
      </c>
      <c r="D16741">
        <f>IF(B16741="","",HOUR(A16741))</f>
        <v/>
      </c>
    </row>
    <row r="16742">
      <c r="A16742">
        <f>Input!A16742</f>
        <v/>
      </c>
      <c r="B16742">
        <f>IF(ISNUMBER(Input!B16742),IF(AND(Input!B16742&gt;=20,Input!B16742&lt;=700),Input!B16742,""),"")</f>
        <v/>
      </c>
      <c r="C16742">
        <f>IF(B16742="","",INT(A16742))</f>
        <v/>
      </c>
      <c r="D16742">
        <f>IF(B16742="","",HOUR(A16742))</f>
        <v/>
      </c>
    </row>
    <row r="16743">
      <c r="A16743">
        <f>Input!A16743</f>
        <v/>
      </c>
      <c r="B16743">
        <f>IF(ISNUMBER(Input!B16743),IF(AND(Input!B16743&gt;=20,Input!B16743&lt;=700),Input!B16743,""),"")</f>
        <v/>
      </c>
      <c r="C16743">
        <f>IF(B16743="","",INT(A16743))</f>
        <v/>
      </c>
      <c r="D16743">
        <f>IF(B16743="","",HOUR(A16743))</f>
        <v/>
      </c>
    </row>
    <row r="16744">
      <c r="A16744">
        <f>Input!A16744</f>
        <v/>
      </c>
      <c r="B16744">
        <f>IF(ISNUMBER(Input!B16744),IF(AND(Input!B16744&gt;=20,Input!B16744&lt;=700),Input!B16744,""),"")</f>
        <v/>
      </c>
      <c r="C16744">
        <f>IF(B16744="","",INT(A16744))</f>
        <v/>
      </c>
      <c r="D16744">
        <f>IF(B16744="","",HOUR(A16744))</f>
        <v/>
      </c>
    </row>
    <row r="16745">
      <c r="A16745">
        <f>Input!A16745</f>
        <v/>
      </c>
      <c r="B16745">
        <f>IF(ISNUMBER(Input!B16745),IF(AND(Input!B16745&gt;=20,Input!B16745&lt;=700),Input!B16745,""),"")</f>
        <v/>
      </c>
      <c r="C16745">
        <f>IF(B16745="","",INT(A16745))</f>
        <v/>
      </c>
      <c r="D16745">
        <f>IF(B16745="","",HOUR(A16745))</f>
        <v/>
      </c>
    </row>
    <row r="16746">
      <c r="A16746">
        <f>Input!A16746</f>
        <v/>
      </c>
      <c r="B16746">
        <f>IF(ISNUMBER(Input!B16746),IF(AND(Input!B16746&gt;=20,Input!B16746&lt;=700),Input!B16746,""),"")</f>
        <v/>
      </c>
      <c r="C16746">
        <f>IF(B16746="","",INT(A16746))</f>
        <v/>
      </c>
      <c r="D16746">
        <f>IF(B16746="","",HOUR(A16746))</f>
        <v/>
      </c>
    </row>
    <row r="16747">
      <c r="A16747">
        <f>Input!A16747</f>
        <v/>
      </c>
      <c r="B16747">
        <f>IF(ISNUMBER(Input!B16747),IF(AND(Input!B16747&gt;=20,Input!B16747&lt;=700),Input!B16747,""),"")</f>
        <v/>
      </c>
      <c r="C16747">
        <f>IF(B16747="","",INT(A16747))</f>
        <v/>
      </c>
      <c r="D16747">
        <f>IF(B16747="","",HOUR(A16747))</f>
        <v/>
      </c>
    </row>
    <row r="16748">
      <c r="A16748">
        <f>Input!A16748</f>
        <v/>
      </c>
      <c r="B16748">
        <f>IF(ISNUMBER(Input!B16748),IF(AND(Input!B16748&gt;=20,Input!B16748&lt;=700),Input!B16748,""),"")</f>
        <v/>
      </c>
      <c r="C16748">
        <f>IF(B16748="","",INT(A16748))</f>
        <v/>
      </c>
      <c r="D16748">
        <f>IF(B16748="","",HOUR(A16748))</f>
        <v/>
      </c>
    </row>
    <row r="16749">
      <c r="A16749">
        <f>Input!A16749</f>
        <v/>
      </c>
      <c r="B16749">
        <f>IF(ISNUMBER(Input!B16749),IF(AND(Input!B16749&gt;=20,Input!B16749&lt;=700),Input!B16749,""),"")</f>
        <v/>
      </c>
      <c r="C16749">
        <f>IF(B16749="","",INT(A16749))</f>
        <v/>
      </c>
      <c r="D16749">
        <f>IF(B16749="","",HOUR(A16749))</f>
        <v/>
      </c>
    </row>
    <row r="16750">
      <c r="A16750">
        <f>Input!A16750</f>
        <v/>
      </c>
      <c r="B16750">
        <f>IF(ISNUMBER(Input!B16750),IF(AND(Input!B16750&gt;=20,Input!B16750&lt;=700),Input!B16750,""),"")</f>
        <v/>
      </c>
      <c r="C16750">
        <f>IF(B16750="","",INT(A16750))</f>
        <v/>
      </c>
      <c r="D16750">
        <f>IF(B16750="","",HOUR(A16750))</f>
        <v/>
      </c>
    </row>
    <row r="16751">
      <c r="A16751">
        <f>Input!A16751</f>
        <v/>
      </c>
      <c r="B16751">
        <f>IF(ISNUMBER(Input!B16751),IF(AND(Input!B16751&gt;=20,Input!B16751&lt;=700),Input!B16751,""),"")</f>
        <v/>
      </c>
      <c r="C16751">
        <f>IF(B16751="","",INT(A16751))</f>
        <v/>
      </c>
      <c r="D16751">
        <f>IF(B16751="","",HOUR(A16751))</f>
        <v/>
      </c>
    </row>
    <row r="16752">
      <c r="A16752">
        <f>Input!A16752</f>
        <v/>
      </c>
      <c r="B16752">
        <f>IF(ISNUMBER(Input!B16752),IF(AND(Input!B16752&gt;=20,Input!B16752&lt;=700),Input!B16752,""),"")</f>
        <v/>
      </c>
      <c r="C16752">
        <f>IF(B16752="","",INT(A16752))</f>
        <v/>
      </c>
      <c r="D16752">
        <f>IF(B16752="","",HOUR(A16752))</f>
        <v/>
      </c>
    </row>
    <row r="16753">
      <c r="A16753">
        <f>Input!A16753</f>
        <v/>
      </c>
      <c r="B16753">
        <f>IF(ISNUMBER(Input!B16753),IF(AND(Input!B16753&gt;=20,Input!B16753&lt;=700),Input!B16753,""),"")</f>
        <v/>
      </c>
      <c r="C16753">
        <f>IF(B16753="","",INT(A16753))</f>
        <v/>
      </c>
      <c r="D16753">
        <f>IF(B16753="","",HOUR(A16753))</f>
        <v/>
      </c>
    </row>
    <row r="16754">
      <c r="A16754">
        <f>Input!A16754</f>
        <v/>
      </c>
      <c r="B16754">
        <f>IF(ISNUMBER(Input!B16754),IF(AND(Input!B16754&gt;=20,Input!B16754&lt;=700),Input!B16754,""),"")</f>
        <v/>
      </c>
      <c r="C16754">
        <f>IF(B16754="","",INT(A16754))</f>
        <v/>
      </c>
      <c r="D16754">
        <f>IF(B16754="","",HOUR(A16754))</f>
        <v/>
      </c>
    </row>
    <row r="16755">
      <c r="A16755">
        <f>Input!A16755</f>
        <v/>
      </c>
      <c r="B16755">
        <f>IF(ISNUMBER(Input!B16755),IF(AND(Input!B16755&gt;=20,Input!B16755&lt;=700),Input!B16755,""),"")</f>
        <v/>
      </c>
      <c r="C16755">
        <f>IF(B16755="","",INT(A16755))</f>
        <v/>
      </c>
      <c r="D16755">
        <f>IF(B16755="","",HOUR(A16755))</f>
        <v/>
      </c>
    </row>
    <row r="16756">
      <c r="A16756">
        <f>Input!A16756</f>
        <v/>
      </c>
      <c r="B16756">
        <f>IF(ISNUMBER(Input!B16756),IF(AND(Input!B16756&gt;=20,Input!B16756&lt;=700),Input!B16756,""),"")</f>
        <v/>
      </c>
      <c r="C16756">
        <f>IF(B16756="","",INT(A16756))</f>
        <v/>
      </c>
      <c r="D16756">
        <f>IF(B16756="","",HOUR(A16756))</f>
        <v/>
      </c>
    </row>
    <row r="16757">
      <c r="A16757">
        <f>Input!A16757</f>
        <v/>
      </c>
      <c r="B16757">
        <f>IF(ISNUMBER(Input!B16757),IF(AND(Input!B16757&gt;=20,Input!B16757&lt;=700),Input!B16757,""),"")</f>
        <v/>
      </c>
      <c r="C16757">
        <f>IF(B16757="","",INT(A16757))</f>
        <v/>
      </c>
      <c r="D16757">
        <f>IF(B16757="","",HOUR(A16757))</f>
        <v/>
      </c>
    </row>
    <row r="16758">
      <c r="A16758">
        <f>Input!A16758</f>
        <v/>
      </c>
      <c r="B16758">
        <f>IF(ISNUMBER(Input!B16758),IF(AND(Input!B16758&gt;=20,Input!B16758&lt;=700),Input!B16758,""),"")</f>
        <v/>
      </c>
      <c r="C16758">
        <f>IF(B16758="","",INT(A16758))</f>
        <v/>
      </c>
      <c r="D16758">
        <f>IF(B16758="","",HOUR(A16758))</f>
        <v/>
      </c>
    </row>
    <row r="16759">
      <c r="A16759">
        <f>Input!A16759</f>
        <v/>
      </c>
      <c r="B16759">
        <f>IF(ISNUMBER(Input!B16759),IF(AND(Input!B16759&gt;=20,Input!B16759&lt;=700),Input!B16759,""),"")</f>
        <v/>
      </c>
      <c r="C16759">
        <f>IF(B16759="","",INT(A16759))</f>
        <v/>
      </c>
      <c r="D16759">
        <f>IF(B16759="","",HOUR(A16759))</f>
        <v/>
      </c>
    </row>
    <row r="16760">
      <c r="A16760">
        <f>Input!A16760</f>
        <v/>
      </c>
      <c r="B16760">
        <f>IF(ISNUMBER(Input!B16760),IF(AND(Input!B16760&gt;=20,Input!B16760&lt;=700),Input!B16760,""),"")</f>
        <v/>
      </c>
      <c r="C16760">
        <f>IF(B16760="","",INT(A16760))</f>
        <v/>
      </c>
      <c r="D16760">
        <f>IF(B16760="","",HOUR(A16760))</f>
        <v/>
      </c>
    </row>
    <row r="16761">
      <c r="A16761">
        <f>Input!A16761</f>
        <v/>
      </c>
      <c r="B16761">
        <f>IF(ISNUMBER(Input!B16761),IF(AND(Input!B16761&gt;=20,Input!B16761&lt;=700),Input!B16761,""),"")</f>
        <v/>
      </c>
      <c r="C16761">
        <f>IF(B16761="","",INT(A16761))</f>
        <v/>
      </c>
      <c r="D16761">
        <f>IF(B16761="","",HOUR(A16761))</f>
        <v/>
      </c>
    </row>
    <row r="16762">
      <c r="A16762">
        <f>Input!A16762</f>
        <v/>
      </c>
      <c r="B16762">
        <f>IF(ISNUMBER(Input!B16762),IF(AND(Input!B16762&gt;=20,Input!B16762&lt;=700),Input!B16762,""),"")</f>
        <v/>
      </c>
      <c r="C16762">
        <f>IF(B16762="","",INT(A16762))</f>
        <v/>
      </c>
      <c r="D16762">
        <f>IF(B16762="","",HOUR(A16762))</f>
        <v/>
      </c>
    </row>
    <row r="16763">
      <c r="A16763">
        <f>Input!A16763</f>
        <v/>
      </c>
      <c r="B16763">
        <f>IF(ISNUMBER(Input!B16763),IF(AND(Input!B16763&gt;=20,Input!B16763&lt;=700),Input!B16763,""),"")</f>
        <v/>
      </c>
      <c r="C16763">
        <f>IF(B16763="","",INT(A16763))</f>
        <v/>
      </c>
      <c r="D16763">
        <f>IF(B16763="","",HOUR(A16763))</f>
        <v/>
      </c>
    </row>
    <row r="16764">
      <c r="A16764">
        <f>Input!A16764</f>
        <v/>
      </c>
      <c r="B16764">
        <f>IF(ISNUMBER(Input!B16764),IF(AND(Input!B16764&gt;=20,Input!B16764&lt;=700),Input!B16764,""),"")</f>
        <v/>
      </c>
      <c r="C16764">
        <f>IF(B16764="","",INT(A16764))</f>
        <v/>
      </c>
      <c r="D16764">
        <f>IF(B16764="","",HOUR(A16764))</f>
        <v/>
      </c>
    </row>
    <row r="16765">
      <c r="A16765">
        <f>Input!A16765</f>
        <v/>
      </c>
      <c r="B16765">
        <f>IF(ISNUMBER(Input!B16765),IF(AND(Input!B16765&gt;=20,Input!B16765&lt;=700),Input!B16765,""),"")</f>
        <v/>
      </c>
      <c r="C16765">
        <f>IF(B16765="","",INT(A16765))</f>
        <v/>
      </c>
      <c r="D16765">
        <f>IF(B16765="","",HOUR(A16765))</f>
        <v/>
      </c>
    </row>
    <row r="16766">
      <c r="A16766">
        <f>Input!A16766</f>
        <v/>
      </c>
      <c r="B16766">
        <f>IF(ISNUMBER(Input!B16766),IF(AND(Input!B16766&gt;=20,Input!B16766&lt;=700),Input!B16766,""),"")</f>
        <v/>
      </c>
      <c r="C16766">
        <f>IF(B16766="","",INT(A16766))</f>
        <v/>
      </c>
      <c r="D16766">
        <f>IF(B16766="","",HOUR(A16766))</f>
        <v/>
      </c>
    </row>
    <row r="16767">
      <c r="A16767">
        <f>Input!A16767</f>
        <v/>
      </c>
      <c r="B16767">
        <f>IF(ISNUMBER(Input!B16767),IF(AND(Input!B16767&gt;=20,Input!B16767&lt;=700),Input!B16767,""),"")</f>
        <v/>
      </c>
      <c r="C16767">
        <f>IF(B16767="","",INT(A16767))</f>
        <v/>
      </c>
      <c r="D16767">
        <f>IF(B16767="","",HOUR(A16767))</f>
        <v/>
      </c>
    </row>
    <row r="16768">
      <c r="A16768">
        <f>Input!A16768</f>
        <v/>
      </c>
      <c r="B16768">
        <f>IF(ISNUMBER(Input!B16768),IF(AND(Input!B16768&gt;=20,Input!B16768&lt;=700),Input!B16768,""),"")</f>
        <v/>
      </c>
      <c r="C16768">
        <f>IF(B16768="","",INT(A16768))</f>
        <v/>
      </c>
      <c r="D16768">
        <f>IF(B16768="","",HOUR(A16768))</f>
        <v/>
      </c>
    </row>
    <row r="16769">
      <c r="A16769">
        <f>Input!A16769</f>
        <v/>
      </c>
      <c r="B16769">
        <f>IF(ISNUMBER(Input!B16769),IF(AND(Input!B16769&gt;=20,Input!B16769&lt;=700),Input!B16769,""),"")</f>
        <v/>
      </c>
      <c r="C16769">
        <f>IF(B16769="","",INT(A16769))</f>
        <v/>
      </c>
      <c r="D16769">
        <f>IF(B16769="","",HOUR(A16769))</f>
        <v/>
      </c>
    </row>
    <row r="16770">
      <c r="A16770">
        <f>Input!A16770</f>
        <v/>
      </c>
      <c r="B16770">
        <f>IF(ISNUMBER(Input!B16770),IF(AND(Input!B16770&gt;=20,Input!B16770&lt;=700),Input!B16770,""),"")</f>
        <v/>
      </c>
      <c r="C16770">
        <f>IF(B16770="","",INT(A16770))</f>
        <v/>
      </c>
      <c r="D16770">
        <f>IF(B16770="","",HOUR(A16770))</f>
        <v/>
      </c>
    </row>
    <row r="16771">
      <c r="A16771">
        <f>Input!A16771</f>
        <v/>
      </c>
      <c r="B16771">
        <f>IF(ISNUMBER(Input!B16771),IF(AND(Input!B16771&gt;=20,Input!B16771&lt;=700),Input!B16771,""),"")</f>
        <v/>
      </c>
      <c r="C16771">
        <f>IF(B16771="","",INT(A16771))</f>
        <v/>
      </c>
      <c r="D16771">
        <f>IF(B16771="","",HOUR(A16771))</f>
        <v/>
      </c>
    </row>
    <row r="16772">
      <c r="A16772">
        <f>Input!A16772</f>
        <v/>
      </c>
      <c r="B16772">
        <f>IF(ISNUMBER(Input!B16772),IF(AND(Input!B16772&gt;=20,Input!B16772&lt;=700),Input!B16772,""),"")</f>
        <v/>
      </c>
      <c r="C16772">
        <f>IF(B16772="","",INT(A16772))</f>
        <v/>
      </c>
      <c r="D16772">
        <f>IF(B16772="","",HOUR(A16772))</f>
        <v/>
      </c>
    </row>
    <row r="16773">
      <c r="A16773">
        <f>Input!A16773</f>
        <v/>
      </c>
      <c r="B16773">
        <f>IF(ISNUMBER(Input!B16773),IF(AND(Input!B16773&gt;=20,Input!B16773&lt;=700),Input!B16773,""),"")</f>
        <v/>
      </c>
      <c r="C16773">
        <f>IF(B16773="","",INT(A16773))</f>
        <v/>
      </c>
      <c r="D16773">
        <f>IF(B16773="","",HOUR(A16773))</f>
        <v/>
      </c>
    </row>
    <row r="16774">
      <c r="A16774">
        <f>Input!A16774</f>
        <v/>
      </c>
      <c r="B16774">
        <f>IF(ISNUMBER(Input!B16774),IF(AND(Input!B16774&gt;=20,Input!B16774&lt;=700),Input!B16774,""),"")</f>
        <v/>
      </c>
      <c r="C16774">
        <f>IF(B16774="","",INT(A16774))</f>
        <v/>
      </c>
      <c r="D16774">
        <f>IF(B16774="","",HOUR(A16774))</f>
        <v/>
      </c>
    </row>
    <row r="16775">
      <c r="A16775">
        <f>Input!A16775</f>
        <v/>
      </c>
      <c r="B16775">
        <f>IF(ISNUMBER(Input!B16775),IF(AND(Input!B16775&gt;=20,Input!B16775&lt;=700),Input!B16775,""),"")</f>
        <v/>
      </c>
      <c r="C16775">
        <f>IF(B16775="","",INT(A16775))</f>
        <v/>
      </c>
      <c r="D16775">
        <f>IF(B16775="","",HOUR(A16775))</f>
        <v/>
      </c>
    </row>
    <row r="16776">
      <c r="A16776">
        <f>Input!A16776</f>
        <v/>
      </c>
      <c r="B16776">
        <f>IF(ISNUMBER(Input!B16776),IF(AND(Input!B16776&gt;=20,Input!B16776&lt;=700),Input!B16776,""),"")</f>
        <v/>
      </c>
      <c r="C16776">
        <f>IF(B16776="","",INT(A16776))</f>
        <v/>
      </c>
      <c r="D16776">
        <f>IF(B16776="","",HOUR(A16776))</f>
        <v/>
      </c>
    </row>
    <row r="16777">
      <c r="A16777">
        <f>Input!A16777</f>
        <v/>
      </c>
      <c r="B16777">
        <f>IF(ISNUMBER(Input!B16777),IF(AND(Input!B16777&gt;=20,Input!B16777&lt;=700),Input!B16777,""),"")</f>
        <v/>
      </c>
      <c r="C16777">
        <f>IF(B16777="","",INT(A16777))</f>
        <v/>
      </c>
      <c r="D16777">
        <f>IF(B16777="","",HOUR(A16777))</f>
        <v/>
      </c>
    </row>
    <row r="16778">
      <c r="A16778">
        <f>Input!A16778</f>
        <v/>
      </c>
      <c r="B16778">
        <f>IF(ISNUMBER(Input!B16778),IF(AND(Input!B16778&gt;=20,Input!B16778&lt;=700),Input!B16778,""),"")</f>
        <v/>
      </c>
      <c r="C16778">
        <f>IF(B16778="","",INT(A16778))</f>
        <v/>
      </c>
      <c r="D16778">
        <f>IF(B16778="","",HOUR(A16778))</f>
        <v/>
      </c>
    </row>
    <row r="16779">
      <c r="A16779">
        <f>Input!A16779</f>
        <v/>
      </c>
      <c r="B16779">
        <f>IF(ISNUMBER(Input!B16779),IF(AND(Input!B16779&gt;=20,Input!B16779&lt;=700),Input!B16779,""),"")</f>
        <v/>
      </c>
      <c r="C16779">
        <f>IF(B16779="","",INT(A16779))</f>
        <v/>
      </c>
      <c r="D16779">
        <f>IF(B16779="","",HOUR(A16779))</f>
        <v/>
      </c>
    </row>
    <row r="16780">
      <c r="A16780">
        <f>Input!A16780</f>
        <v/>
      </c>
      <c r="B16780">
        <f>IF(ISNUMBER(Input!B16780),IF(AND(Input!B16780&gt;=20,Input!B16780&lt;=700),Input!B16780,""),"")</f>
        <v/>
      </c>
      <c r="C16780">
        <f>IF(B16780="","",INT(A16780))</f>
        <v/>
      </c>
      <c r="D16780">
        <f>IF(B16780="","",HOUR(A16780))</f>
        <v/>
      </c>
    </row>
    <row r="16781">
      <c r="A16781">
        <f>Input!A16781</f>
        <v/>
      </c>
      <c r="B16781">
        <f>IF(ISNUMBER(Input!B16781),IF(AND(Input!B16781&gt;=20,Input!B16781&lt;=700),Input!B16781,""),"")</f>
        <v/>
      </c>
      <c r="C16781">
        <f>IF(B16781="","",INT(A16781))</f>
        <v/>
      </c>
      <c r="D16781">
        <f>IF(B16781="","",HOUR(A16781))</f>
        <v/>
      </c>
    </row>
    <row r="16782">
      <c r="A16782">
        <f>Input!A16782</f>
        <v/>
      </c>
      <c r="B16782">
        <f>IF(ISNUMBER(Input!B16782),IF(AND(Input!B16782&gt;=20,Input!B16782&lt;=700),Input!B16782,""),"")</f>
        <v/>
      </c>
      <c r="C16782">
        <f>IF(B16782="","",INT(A16782))</f>
        <v/>
      </c>
      <c r="D16782">
        <f>IF(B16782="","",HOUR(A16782))</f>
        <v/>
      </c>
    </row>
    <row r="16783">
      <c r="A16783">
        <f>Input!A16783</f>
        <v/>
      </c>
      <c r="B16783">
        <f>IF(ISNUMBER(Input!B16783),IF(AND(Input!B16783&gt;=20,Input!B16783&lt;=700),Input!B16783,""),"")</f>
        <v/>
      </c>
      <c r="C16783">
        <f>IF(B16783="","",INT(A16783))</f>
        <v/>
      </c>
      <c r="D16783">
        <f>IF(B16783="","",HOUR(A16783))</f>
        <v/>
      </c>
    </row>
    <row r="16784">
      <c r="A16784">
        <f>Input!A16784</f>
        <v/>
      </c>
      <c r="B16784">
        <f>IF(ISNUMBER(Input!B16784),IF(AND(Input!B16784&gt;=20,Input!B16784&lt;=700),Input!B16784,""),"")</f>
        <v/>
      </c>
      <c r="C16784">
        <f>IF(B16784="","",INT(A16784))</f>
        <v/>
      </c>
      <c r="D16784">
        <f>IF(B16784="","",HOUR(A16784))</f>
        <v/>
      </c>
    </row>
    <row r="16785">
      <c r="A16785">
        <f>Input!A16785</f>
        <v/>
      </c>
      <c r="B16785">
        <f>IF(ISNUMBER(Input!B16785),IF(AND(Input!B16785&gt;=20,Input!B16785&lt;=700),Input!B16785,""),"")</f>
        <v/>
      </c>
      <c r="C16785">
        <f>IF(B16785="","",INT(A16785))</f>
        <v/>
      </c>
      <c r="D16785">
        <f>IF(B16785="","",HOUR(A16785))</f>
        <v/>
      </c>
    </row>
    <row r="16786">
      <c r="A16786">
        <f>Input!A16786</f>
        <v/>
      </c>
      <c r="B16786">
        <f>IF(ISNUMBER(Input!B16786),IF(AND(Input!B16786&gt;=20,Input!B16786&lt;=700),Input!B16786,""),"")</f>
        <v/>
      </c>
      <c r="C16786">
        <f>IF(B16786="","",INT(A16786))</f>
        <v/>
      </c>
      <c r="D16786">
        <f>IF(B16786="","",HOUR(A16786))</f>
        <v/>
      </c>
    </row>
    <row r="16787">
      <c r="A16787">
        <f>Input!A16787</f>
        <v/>
      </c>
      <c r="B16787">
        <f>IF(ISNUMBER(Input!B16787),IF(AND(Input!B16787&gt;=20,Input!B16787&lt;=700),Input!B16787,""),"")</f>
        <v/>
      </c>
      <c r="C16787">
        <f>IF(B16787="","",INT(A16787))</f>
        <v/>
      </c>
      <c r="D16787">
        <f>IF(B16787="","",HOUR(A16787))</f>
        <v/>
      </c>
    </row>
    <row r="16788">
      <c r="A16788">
        <f>Input!A16788</f>
        <v/>
      </c>
      <c r="B16788">
        <f>IF(ISNUMBER(Input!B16788),IF(AND(Input!B16788&gt;=20,Input!B16788&lt;=700),Input!B16788,""),"")</f>
        <v/>
      </c>
      <c r="C16788">
        <f>IF(B16788="","",INT(A16788))</f>
        <v/>
      </c>
      <c r="D16788">
        <f>IF(B16788="","",HOUR(A16788))</f>
        <v/>
      </c>
    </row>
    <row r="16789">
      <c r="A16789">
        <f>Input!A16789</f>
        <v/>
      </c>
      <c r="B16789">
        <f>IF(ISNUMBER(Input!B16789),IF(AND(Input!B16789&gt;=20,Input!B16789&lt;=700),Input!B16789,""),"")</f>
        <v/>
      </c>
      <c r="C16789">
        <f>IF(B16789="","",INT(A16789))</f>
        <v/>
      </c>
      <c r="D16789">
        <f>IF(B16789="","",HOUR(A16789))</f>
        <v/>
      </c>
    </row>
    <row r="16790">
      <c r="A16790">
        <f>Input!A16790</f>
        <v/>
      </c>
      <c r="B16790">
        <f>IF(ISNUMBER(Input!B16790),IF(AND(Input!B16790&gt;=20,Input!B16790&lt;=700),Input!B16790,""),"")</f>
        <v/>
      </c>
      <c r="C16790">
        <f>IF(B16790="","",INT(A16790))</f>
        <v/>
      </c>
      <c r="D16790">
        <f>IF(B16790="","",HOUR(A16790))</f>
        <v/>
      </c>
    </row>
    <row r="16791">
      <c r="A16791">
        <f>Input!A16791</f>
        <v/>
      </c>
      <c r="B16791">
        <f>IF(ISNUMBER(Input!B16791),IF(AND(Input!B16791&gt;=20,Input!B16791&lt;=700),Input!B16791,""),"")</f>
        <v/>
      </c>
      <c r="C16791">
        <f>IF(B16791="","",INT(A16791))</f>
        <v/>
      </c>
      <c r="D16791">
        <f>IF(B16791="","",HOUR(A16791))</f>
        <v/>
      </c>
    </row>
    <row r="16792">
      <c r="A16792">
        <f>Input!A16792</f>
        <v/>
      </c>
      <c r="B16792">
        <f>IF(ISNUMBER(Input!B16792),IF(AND(Input!B16792&gt;=20,Input!B16792&lt;=700),Input!B16792,""),"")</f>
        <v/>
      </c>
      <c r="C16792">
        <f>IF(B16792="","",INT(A16792))</f>
        <v/>
      </c>
      <c r="D16792">
        <f>IF(B16792="","",HOUR(A16792))</f>
        <v/>
      </c>
    </row>
    <row r="16793">
      <c r="A16793">
        <f>Input!A16793</f>
        <v/>
      </c>
      <c r="B16793">
        <f>IF(ISNUMBER(Input!B16793),IF(AND(Input!B16793&gt;=20,Input!B16793&lt;=700),Input!B16793,""),"")</f>
        <v/>
      </c>
      <c r="C16793">
        <f>IF(B16793="","",INT(A16793))</f>
        <v/>
      </c>
      <c r="D16793">
        <f>IF(B16793="","",HOUR(A16793))</f>
        <v/>
      </c>
    </row>
    <row r="16794">
      <c r="A16794">
        <f>Input!A16794</f>
        <v/>
      </c>
      <c r="B16794">
        <f>IF(ISNUMBER(Input!B16794),IF(AND(Input!B16794&gt;=20,Input!B16794&lt;=700),Input!B16794,""),"")</f>
        <v/>
      </c>
      <c r="C16794">
        <f>IF(B16794="","",INT(A16794))</f>
        <v/>
      </c>
      <c r="D16794">
        <f>IF(B16794="","",HOUR(A16794))</f>
        <v/>
      </c>
    </row>
    <row r="16795">
      <c r="A16795">
        <f>Input!A16795</f>
        <v/>
      </c>
      <c r="B16795">
        <f>IF(ISNUMBER(Input!B16795),IF(AND(Input!B16795&gt;=20,Input!B16795&lt;=700),Input!B16795,""),"")</f>
        <v/>
      </c>
      <c r="C16795">
        <f>IF(B16795="","",INT(A16795))</f>
        <v/>
      </c>
      <c r="D16795">
        <f>IF(B16795="","",HOUR(A16795))</f>
        <v/>
      </c>
    </row>
    <row r="16796">
      <c r="A16796">
        <f>Input!A16796</f>
        <v/>
      </c>
      <c r="B16796">
        <f>IF(ISNUMBER(Input!B16796),IF(AND(Input!B16796&gt;=20,Input!B16796&lt;=700),Input!B16796,""),"")</f>
        <v/>
      </c>
      <c r="C16796">
        <f>IF(B16796="","",INT(A16796))</f>
        <v/>
      </c>
      <c r="D16796">
        <f>IF(B16796="","",HOUR(A16796))</f>
        <v/>
      </c>
    </row>
    <row r="16797">
      <c r="A16797">
        <f>Input!A16797</f>
        <v/>
      </c>
      <c r="B16797">
        <f>IF(ISNUMBER(Input!B16797),IF(AND(Input!B16797&gt;=20,Input!B16797&lt;=700),Input!B16797,""),"")</f>
        <v/>
      </c>
      <c r="C16797">
        <f>IF(B16797="","",INT(A16797))</f>
        <v/>
      </c>
      <c r="D16797">
        <f>IF(B16797="","",HOUR(A16797))</f>
        <v/>
      </c>
    </row>
    <row r="16798">
      <c r="A16798">
        <f>Input!A16798</f>
        <v/>
      </c>
      <c r="B16798">
        <f>IF(ISNUMBER(Input!B16798),IF(AND(Input!B16798&gt;=20,Input!B16798&lt;=700),Input!B16798,""),"")</f>
        <v/>
      </c>
      <c r="C16798">
        <f>IF(B16798="","",INT(A16798))</f>
        <v/>
      </c>
      <c r="D16798">
        <f>IF(B16798="","",HOUR(A16798))</f>
        <v/>
      </c>
    </row>
    <row r="16799">
      <c r="A16799">
        <f>Input!A16799</f>
        <v/>
      </c>
      <c r="B16799">
        <f>IF(ISNUMBER(Input!B16799),IF(AND(Input!B16799&gt;=20,Input!B16799&lt;=700),Input!B16799,""),"")</f>
        <v/>
      </c>
      <c r="C16799">
        <f>IF(B16799="","",INT(A16799))</f>
        <v/>
      </c>
      <c r="D16799">
        <f>IF(B16799="","",HOUR(A16799))</f>
        <v/>
      </c>
    </row>
    <row r="16800">
      <c r="A16800">
        <f>Input!A16800</f>
        <v/>
      </c>
      <c r="B16800">
        <f>IF(ISNUMBER(Input!B16800),IF(AND(Input!B16800&gt;=20,Input!B16800&lt;=700),Input!B16800,""),"")</f>
        <v/>
      </c>
      <c r="C16800">
        <f>IF(B16800="","",INT(A16800))</f>
        <v/>
      </c>
      <c r="D16800">
        <f>IF(B16800="","",HOUR(A16800))</f>
        <v/>
      </c>
    </row>
    <row r="16801">
      <c r="A16801">
        <f>Input!A16801</f>
        <v/>
      </c>
      <c r="B16801">
        <f>IF(ISNUMBER(Input!B16801),IF(AND(Input!B16801&gt;=20,Input!B16801&lt;=700),Input!B16801,""),"")</f>
        <v/>
      </c>
      <c r="C16801">
        <f>IF(B16801="","",INT(A16801))</f>
        <v/>
      </c>
      <c r="D16801">
        <f>IF(B16801="","",HOUR(A16801))</f>
        <v/>
      </c>
    </row>
    <row r="16802">
      <c r="A16802">
        <f>Input!A16802</f>
        <v/>
      </c>
      <c r="B16802">
        <f>IF(ISNUMBER(Input!B16802),IF(AND(Input!B16802&gt;=20,Input!B16802&lt;=700),Input!B16802,""),"")</f>
        <v/>
      </c>
      <c r="C16802">
        <f>IF(B16802="","",INT(A16802))</f>
        <v/>
      </c>
      <c r="D16802">
        <f>IF(B16802="","",HOUR(A16802))</f>
        <v/>
      </c>
    </row>
    <row r="16803">
      <c r="A16803">
        <f>Input!A16803</f>
        <v/>
      </c>
      <c r="B16803">
        <f>IF(ISNUMBER(Input!B16803),IF(AND(Input!B16803&gt;=20,Input!B16803&lt;=700),Input!B16803,""),"")</f>
        <v/>
      </c>
      <c r="C16803">
        <f>IF(B16803="","",INT(A16803))</f>
        <v/>
      </c>
      <c r="D16803">
        <f>IF(B16803="","",HOUR(A16803))</f>
        <v/>
      </c>
    </row>
    <row r="16804">
      <c r="A16804">
        <f>Input!A16804</f>
        <v/>
      </c>
      <c r="B16804">
        <f>IF(ISNUMBER(Input!B16804),IF(AND(Input!B16804&gt;=20,Input!B16804&lt;=700),Input!B16804,""),"")</f>
        <v/>
      </c>
      <c r="C16804">
        <f>IF(B16804="","",INT(A16804))</f>
        <v/>
      </c>
      <c r="D16804">
        <f>IF(B16804="","",HOUR(A16804))</f>
        <v/>
      </c>
    </row>
    <row r="16805">
      <c r="A16805">
        <f>Input!A16805</f>
        <v/>
      </c>
      <c r="B16805">
        <f>IF(ISNUMBER(Input!B16805),IF(AND(Input!B16805&gt;=20,Input!B16805&lt;=700),Input!B16805,""),"")</f>
        <v/>
      </c>
      <c r="C16805">
        <f>IF(B16805="","",INT(A16805))</f>
        <v/>
      </c>
      <c r="D16805">
        <f>IF(B16805="","",HOUR(A16805))</f>
        <v/>
      </c>
    </row>
    <row r="16806">
      <c r="A16806">
        <f>Input!A16806</f>
        <v/>
      </c>
      <c r="B16806">
        <f>IF(ISNUMBER(Input!B16806),IF(AND(Input!B16806&gt;=20,Input!B16806&lt;=700),Input!B16806,""),"")</f>
        <v/>
      </c>
      <c r="C16806">
        <f>IF(B16806="","",INT(A16806))</f>
        <v/>
      </c>
      <c r="D16806">
        <f>IF(B16806="","",HOUR(A16806))</f>
        <v/>
      </c>
    </row>
    <row r="16807">
      <c r="A16807">
        <f>Input!A16807</f>
        <v/>
      </c>
      <c r="B16807">
        <f>IF(ISNUMBER(Input!B16807),IF(AND(Input!B16807&gt;=20,Input!B16807&lt;=700),Input!B16807,""),"")</f>
        <v/>
      </c>
      <c r="C16807">
        <f>IF(B16807="","",INT(A16807))</f>
        <v/>
      </c>
      <c r="D16807">
        <f>IF(B16807="","",HOUR(A16807))</f>
        <v/>
      </c>
    </row>
    <row r="16808">
      <c r="A16808">
        <f>Input!A16808</f>
        <v/>
      </c>
      <c r="B16808">
        <f>IF(ISNUMBER(Input!B16808),IF(AND(Input!B16808&gt;=20,Input!B16808&lt;=700),Input!B16808,""),"")</f>
        <v/>
      </c>
      <c r="C16808">
        <f>IF(B16808="","",INT(A16808))</f>
        <v/>
      </c>
      <c r="D16808">
        <f>IF(B16808="","",HOUR(A16808))</f>
        <v/>
      </c>
    </row>
    <row r="16809">
      <c r="A16809">
        <f>Input!A16809</f>
        <v/>
      </c>
      <c r="B16809">
        <f>IF(ISNUMBER(Input!B16809),IF(AND(Input!B16809&gt;=20,Input!B16809&lt;=700),Input!B16809,""),"")</f>
        <v/>
      </c>
      <c r="C16809">
        <f>IF(B16809="","",INT(A16809))</f>
        <v/>
      </c>
      <c r="D16809">
        <f>IF(B16809="","",HOUR(A16809))</f>
        <v/>
      </c>
    </row>
    <row r="16810">
      <c r="A16810">
        <f>Input!A16810</f>
        <v/>
      </c>
      <c r="B16810">
        <f>IF(ISNUMBER(Input!B16810),IF(AND(Input!B16810&gt;=20,Input!B16810&lt;=700),Input!B16810,""),"")</f>
        <v/>
      </c>
      <c r="C16810">
        <f>IF(B16810="","",INT(A16810))</f>
        <v/>
      </c>
      <c r="D16810">
        <f>IF(B16810="","",HOUR(A16810))</f>
        <v/>
      </c>
    </row>
    <row r="16811">
      <c r="A16811">
        <f>Input!A16811</f>
        <v/>
      </c>
      <c r="B16811">
        <f>IF(ISNUMBER(Input!B16811),IF(AND(Input!B16811&gt;=20,Input!B16811&lt;=700),Input!B16811,""),"")</f>
        <v/>
      </c>
      <c r="C16811">
        <f>IF(B16811="","",INT(A16811))</f>
        <v/>
      </c>
      <c r="D16811">
        <f>IF(B16811="","",HOUR(A16811))</f>
        <v/>
      </c>
    </row>
    <row r="16812">
      <c r="A16812">
        <f>Input!A16812</f>
        <v/>
      </c>
      <c r="B16812">
        <f>IF(ISNUMBER(Input!B16812),IF(AND(Input!B16812&gt;=20,Input!B16812&lt;=700),Input!B16812,""),"")</f>
        <v/>
      </c>
      <c r="C16812">
        <f>IF(B16812="","",INT(A16812))</f>
        <v/>
      </c>
      <c r="D16812">
        <f>IF(B16812="","",HOUR(A16812))</f>
        <v/>
      </c>
    </row>
    <row r="16813">
      <c r="A16813">
        <f>Input!A16813</f>
        <v/>
      </c>
      <c r="B16813">
        <f>IF(ISNUMBER(Input!B16813),IF(AND(Input!B16813&gt;=20,Input!B16813&lt;=700),Input!B16813,""),"")</f>
        <v/>
      </c>
      <c r="C16813">
        <f>IF(B16813="","",INT(A16813))</f>
        <v/>
      </c>
      <c r="D16813">
        <f>IF(B16813="","",HOUR(A16813))</f>
        <v/>
      </c>
    </row>
    <row r="16814">
      <c r="A16814">
        <f>Input!A16814</f>
        <v/>
      </c>
      <c r="B16814">
        <f>IF(ISNUMBER(Input!B16814),IF(AND(Input!B16814&gt;=20,Input!B16814&lt;=700),Input!B16814,""),"")</f>
        <v/>
      </c>
      <c r="C16814">
        <f>IF(B16814="","",INT(A16814))</f>
        <v/>
      </c>
      <c r="D16814">
        <f>IF(B16814="","",HOUR(A16814))</f>
        <v/>
      </c>
    </row>
    <row r="16815">
      <c r="A16815">
        <f>Input!A16815</f>
        <v/>
      </c>
      <c r="B16815">
        <f>IF(ISNUMBER(Input!B16815),IF(AND(Input!B16815&gt;=20,Input!B16815&lt;=700),Input!B16815,""),"")</f>
        <v/>
      </c>
      <c r="C16815">
        <f>IF(B16815="","",INT(A16815))</f>
        <v/>
      </c>
      <c r="D16815">
        <f>IF(B16815="","",HOUR(A16815))</f>
        <v/>
      </c>
    </row>
    <row r="16816">
      <c r="A16816">
        <f>Input!A16816</f>
        <v/>
      </c>
      <c r="B16816">
        <f>IF(ISNUMBER(Input!B16816),IF(AND(Input!B16816&gt;=20,Input!B16816&lt;=700),Input!B16816,""),"")</f>
        <v/>
      </c>
      <c r="C16816">
        <f>IF(B16816="","",INT(A16816))</f>
        <v/>
      </c>
      <c r="D16816">
        <f>IF(B16816="","",HOUR(A16816))</f>
        <v/>
      </c>
    </row>
    <row r="16817">
      <c r="A16817">
        <f>Input!A16817</f>
        <v/>
      </c>
      <c r="B16817">
        <f>IF(ISNUMBER(Input!B16817),IF(AND(Input!B16817&gt;=20,Input!B16817&lt;=700),Input!B16817,""),"")</f>
        <v/>
      </c>
      <c r="C16817">
        <f>IF(B16817="","",INT(A16817))</f>
        <v/>
      </c>
      <c r="D16817">
        <f>IF(B16817="","",HOUR(A16817))</f>
        <v/>
      </c>
    </row>
    <row r="16818">
      <c r="A16818">
        <f>Input!A16818</f>
        <v/>
      </c>
      <c r="B16818">
        <f>IF(ISNUMBER(Input!B16818),IF(AND(Input!B16818&gt;=20,Input!B16818&lt;=700),Input!B16818,""),"")</f>
        <v/>
      </c>
      <c r="C16818">
        <f>IF(B16818="","",INT(A16818))</f>
        <v/>
      </c>
      <c r="D16818">
        <f>IF(B16818="","",HOUR(A16818))</f>
        <v/>
      </c>
    </row>
    <row r="16819">
      <c r="A16819">
        <f>Input!A16819</f>
        <v/>
      </c>
      <c r="B16819">
        <f>IF(ISNUMBER(Input!B16819),IF(AND(Input!B16819&gt;=20,Input!B16819&lt;=700),Input!B16819,""),"")</f>
        <v/>
      </c>
      <c r="C16819">
        <f>IF(B16819="","",INT(A16819))</f>
        <v/>
      </c>
      <c r="D16819">
        <f>IF(B16819="","",HOUR(A16819))</f>
        <v/>
      </c>
    </row>
    <row r="16820">
      <c r="A16820">
        <f>Input!A16820</f>
        <v/>
      </c>
      <c r="B16820">
        <f>IF(ISNUMBER(Input!B16820),IF(AND(Input!B16820&gt;=20,Input!B16820&lt;=700),Input!B16820,""),"")</f>
        <v/>
      </c>
      <c r="C16820">
        <f>IF(B16820="","",INT(A16820))</f>
        <v/>
      </c>
      <c r="D16820">
        <f>IF(B16820="","",HOUR(A16820))</f>
        <v/>
      </c>
    </row>
    <row r="16821">
      <c r="A16821">
        <f>Input!A16821</f>
        <v/>
      </c>
      <c r="B16821">
        <f>IF(ISNUMBER(Input!B16821),IF(AND(Input!B16821&gt;=20,Input!B16821&lt;=700),Input!B16821,""),"")</f>
        <v/>
      </c>
      <c r="C16821">
        <f>IF(B16821="","",INT(A16821))</f>
        <v/>
      </c>
      <c r="D16821">
        <f>IF(B16821="","",HOUR(A16821))</f>
        <v/>
      </c>
    </row>
    <row r="16822">
      <c r="A16822">
        <f>Input!A16822</f>
        <v/>
      </c>
      <c r="B16822">
        <f>IF(ISNUMBER(Input!B16822),IF(AND(Input!B16822&gt;=20,Input!B16822&lt;=700),Input!B16822,""),"")</f>
        <v/>
      </c>
      <c r="C16822">
        <f>IF(B16822="","",INT(A16822))</f>
        <v/>
      </c>
      <c r="D16822">
        <f>IF(B16822="","",HOUR(A16822))</f>
        <v/>
      </c>
    </row>
    <row r="16823">
      <c r="A16823">
        <f>Input!A16823</f>
        <v/>
      </c>
      <c r="B16823">
        <f>IF(ISNUMBER(Input!B16823),IF(AND(Input!B16823&gt;=20,Input!B16823&lt;=700),Input!B16823,""),"")</f>
        <v/>
      </c>
      <c r="C16823">
        <f>IF(B16823="","",INT(A16823))</f>
        <v/>
      </c>
      <c r="D16823">
        <f>IF(B16823="","",HOUR(A16823))</f>
        <v/>
      </c>
    </row>
    <row r="16824">
      <c r="A16824">
        <f>Input!A16824</f>
        <v/>
      </c>
      <c r="B16824">
        <f>IF(ISNUMBER(Input!B16824),IF(AND(Input!B16824&gt;=20,Input!B16824&lt;=700),Input!B16824,""),"")</f>
        <v/>
      </c>
      <c r="C16824">
        <f>IF(B16824="","",INT(A16824))</f>
        <v/>
      </c>
      <c r="D16824">
        <f>IF(B16824="","",HOUR(A16824))</f>
        <v/>
      </c>
    </row>
    <row r="16825">
      <c r="A16825">
        <f>Input!A16825</f>
        <v/>
      </c>
      <c r="B16825">
        <f>IF(ISNUMBER(Input!B16825),IF(AND(Input!B16825&gt;=20,Input!B16825&lt;=700),Input!B16825,""),"")</f>
        <v/>
      </c>
      <c r="C16825">
        <f>IF(B16825="","",INT(A16825))</f>
        <v/>
      </c>
      <c r="D16825">
        <f>IF(B16825="","",HOUR(A16825))</f>
        <v/>
      </c>
    </row>
    <row r="16826">
      <c r="A16826">
        <f>Input!A16826</f>
        <v/>
      </c>
      <c r="B16826">
        <f>IF(ISNUMBER(Input!B16826),IF(AND(Input!B16826&gt;=20,Input!B16826&lt;=700),Input!B16826,""),"")</f>
        <v/>
      </c>
      <c r="C16826">
        <f>IF(B16826="","",INT(A16826))</f>
        <v/>
      </c>
      <c r="D16826">
        <f>IF(B16826="","",HOUR(A16826))</f>
        <v/>
      </c>
    </row>
    <row r="16827">
      <c r="A16827">
        <f>Input!A16827</f>
        <v/>
      </c>
      <c r="B16827">
        <f>IF(ISNUMBER(Input!B16827),IF(AND(Input!B16827&gt;=20,Input!B16827&lt;=700),Input!B16827,""),"")</f>
        <v/>
      </c>
      <c r="C16827">
        <f>IF(B16827="","",INT(A16827))</f>
        <v/>
      </c>
      <c r="D16827">
        <f>IF(B16827="","",HOUR(A16827))</f>
        <v/>
      </c>
    </row>
    <row r="16828">
      <c r="A16828">
        <f>Input!A16828</f>
        <v/>
      </c>
      <c r="B16828">
        <f>IF(ISNUMBER(Input!B16828),IF(AND(Input!B16828&gt;=20,Input!B16828&lt;=700),Input!B16828,""),"")</f>
        <v/>
      </c>
      <c r="C16828">
        <f>IF(B16828="","",INT(A16828))</f>
        <v/>
      </c>
      <c r="D16828">
        <f>IF(B16828="","",HOUR(A16828))</f>
        <v/>
      </c>
    </row>
    <row r="16829">
      <c r="A16829">
        <f>Input!A16829</f>
        <v/>
      </c>
      <c r="B16829">
        <f>IF(ISNUMBER(Input!B16829),IF(AND(Input!B16829&gt;=20,Input!B16829&lt;=700),Input!B16829,""),"")</f>
        <v/>
      </c>
      <c r="C16829">
        <f>IF(B16829="","",INT(A16829))</f>
        <v/>
      </c>
      <c r="D16829">
        <f>IF(B16829="","",HOUR(A16829))</f>
        <v/>
      </c>
    </row>
    <row r="16830">
      <c r="A16830">
        <f>Input!A16830</f>
        <v/>
      </c>
      <c r="B16830">
        <f>IF(ISNUMBER(Input!B16830),IF(AND(Input!B16830&gt;=20,Input!B16830&lt;=700),Input!B16830,""),"")</f>
        <v/>
      </c>
      <c r="C16830">
        <f>IF(B16830="","",INT(A16830))</f>
        <v/>
      </c>
      <c r="D16830">
        <f>IF(B16830="","",HOUR(A16830))</f>
        <v/>
      </c>
    </row>
    <row r="16831">
      <c r="A16831">
        <f>Input!A16831</f>
        <v/>
      </c>
      <c r="B16831">
        <f>IF(ISNUMBER(Input!B16831),IF(AND(Input!B16831&gt;=20,Input!B16831&lt;=700),Input!B16831,""),"")</f>
        <v/>
      </c>
      <c r="C16831">
        <f>IF(B16831="","",INT(A16831))</f>
        <v/>
      </c>
      <c r="D16831">
        <f>IF(B16831="","",HOUR(A16831))</f>
        <v/>
      </c>
    </row>
    <row r="16832">
      <c r="A16832">
        <f>Input!A16832</f>
        <v/>
      </c>
      <c r="B16832">
        <f>IF(ISNUMBER(Input!B16832),IF(AND(Input!B16832&gt;=20,Input!B16832&lt;=700),Input!B16832,""),"")</f>
        <v/>
      </c>
      <c r="C16832">
        <f>IF(B16832="","",INT(A16832))</f>
        <v/>
      </c>
      <c r="D16832">
        <f>IF(B16832="","",HOUR(A16832))</f>
        <v/>
      </c>
    </row>
    <row r="16833">
      <c r="A16833">
        <f>Input!A16833</f>
        <v/>
      </c>
      <c r="B16833">
        <f>IF(ISNUMBER(Input!B16833),IF(AND(Input!B16833&gt;=20,Input!B16833&lt;=700),Input!B16833,""),"")</f>
        <v/>
      </c>
      <c r="C16833">
        <f>IF(B16833="","",INT(A16833))</f>
        <v/>
      </c>
      <c r="D16833">
        <f>IF(B16833="","",HOUR(A16833))</f>
        <v/>
      </c>
    </row>
    <row r="16834">
      <c r="A16834">
        <f>Input!A16834</f>
        <v/>
      </c>
      <c r="B16834">
        <f>IF(ISNUMBER(Input!B16834),IF(AND(Input!B16834&gt;=20,Input!B16834&lt;=700),Input!B16834,""),"")</f>
        <v/>
      </c>
      <c r="C16834">
        <f>IF(B16834="","",INT(A16834))</f>
        <v/>
      </c>
      <c r="D16834">
        <f>IF(B16834="","",HOUR(A16834))</f>
        <v/>
      </c>
    </row>
    <row r="16835">
      <c r="A16835">
        <f>Input!A16835</f>
        <v/>
      </c>
      <c r="B16835">
        <f>IF(ISNUMBER(Input!B16835),IF(AND(Input!B16835&gt;=20,Input!B16835&lt;=700),Input!B16835,""),"")</f>
        <v/>
      </c>
      <c r="C16835">
        <f>IF(B16835="","",INT(A16835))</f>
        <v/>
      </c>
      <c r="D16835">
        <f>IF(B16835="","",HOUR(A16835))</f>
        <v/>
      </c>
    </row>
    <row r="16836">
      <c r="A16836">
        <f>Input!A16836</f>
        <v/>
      </c>
      <c r="B16836">
        <f>IF(ISNUMBER(Input!B16836),IF(AND(Input!B16836&gt;=20,Input!B16836&lt;=700),Input!B16836,""),"")</f>
        <v/>
      </c>
      <c r="C16836">
        <f>IF(B16836="","",INT(A16836))</f>
        <v/>
      </c>
      <c r="D16836">
        <f>IF(B16836="","",HOUR(A16836))</f>
        <v/>
      </c>
    </row>
    <row r="16837">
      <c r="A16837">
        <f>Input!A16837</f>
        <v/>
      </c>
      <c r="B16837">
        <f>IF(ISNUMBER(Input!B16837),IF(AND(Input!B16837&gt;=20,Input!B16837&lt;=700),Input!B16837,""),"")</f>
        <v/>
      </c>
      <c r="C16837">
        <f>IF(B16837="","",INT(A16837))</f>
        <v/>
      </c>
      <c r="D16837">
        <f>IF(B16837="","",HOUR(A16837))</f>
        <v/>
      </c>
    </row>
    <row r="16838">
      <c r="A16838">
        <f>Input!A16838</f>
        <v/>
      </c>
      <c r="B16838">
        <f>IF(ISNUMBER(Input!B16838),IF(AND(Input!B16838&gt;=20,Input!B16838&lt;=700),Input!B16838,""),"")</f>
        <v/>
      </c>
      <c r="C16838">
        <f>IF(B16838="","",INT(A16838))</f>
        <v/>
      </c>
      <c r="D16838">
        <f>IF(B16838="","",HOUR(A16838))</f>
        <v/>
      </c>
    </row>
    <row r="16839">
      <c r="A16839">
        <f>Input!A16839</f>
        <v/>
      </c>
      <c r="B16839">
        <f>IF(ISNUMBER(Input!B16839),IF(AND(Input!B16839&gt;=20,Input!B16839&lt;=700),Input!B16839,""),"")</f>
        <v/>
      </c>
      <c r="C16839">
        <f>IF(B16839="","",INT(A16839))</f>
        <v/>
      </c>
      <c r="D16839">
        <f>IF(B16839="","",HOUR(A16839))</f>
        <v/>
      </c>
    </row>
    <row r="16840">
      <c r="A16840">
        <f>Input!A16840</f>
        <v/>
      </c>
      <c r="B16840">
        <f>IF(ISNUMBER(Input!B16840),IF(AND(Input!B16840&gt;=20,Input!B16840&lt;=700),Input!B16840,""),"")</f>
        <v/>
      </c>
      <c r="C16840">
        <f>IF(B16840="","",INT(A16840))</f>
        <v/>
      </c>
      <c r="D16840">
        <f>IF(B16840="","",HOUR(A16840))</f>
        <v/>
      </c>
    </row>
    <row r="16841">
      <c r="A16841">
        <f>Input!A16841</f>
        <v/>
      </c>
      <c r="B16841">
        <f>IF(ISNUMBER(Input!B16841),IF(AND(Input!B16841&gt;=20,Input!B16841&lt;=700),Input!B16841,""),"")</f>
        <v/>
      </c>
      <c r="C16841">
        <f>IF(B16841="","",INT(A16841))</f>
        <v/>
      </c>
      <c r="D16841">
        <f>IF(B16841="","",HOUR(A16841))</f>
        <v/>
      </c>
    </row>
    <row r="16842">
      <c r="A16842">
        <f>Input!A16842</f>
        <v/>
      </c>
      <c r="B16842">
        <f>IF(ISNUMBER(Input!B16842),IF(AND(Input!B16842&gt;=20,Input!B16842&lt;=700),Input!B16842,""),"")</f>
        <v/>
      </c>
      <c r="C16842">
        <f>IF(B16842="","",INT(A16842))</f>
        <v/>
      </c>
      <c r="D16842">
        <f>IF(B16842="","",HOUR(A16842))</f>
        <v/>
      </c>
    </row>
    <row r="16843">
      <c r="A16843">
        <f>Input!A16843</f>
        <v/>
      </c>
      <c r="B16843">
        <f>IF(ISNUMBER(Input!B16843),IF(AND(Input!B16843&gt;=20,Input!B16843&lt;=700),Input!B16843,""),"")</f>
        <v/>
      </c>
      <c r="C16843">
        <f>IF(B16843="","",INT(A16843))</f>
        <v/>
      </c>
      <c r="D16843">
        <f>IF(B16843="","",HOUR(A16843))</f>
        <v/>
      </c>
    </row>
    <row r="16844">
      <c r="A16844">
        <f>Input!A16844</f>
        <v/>
      </c>
      <c r="B16844">
        <f>IF(ISNUMBER(Input!B16844),IF(AND(Input!B16844&gt;=20,Input!B16844&lt;=700),Input!B16844,""),"")</f>
        <v/>
      </c>
      <c r="C16844">
        <f>IF(B16844="","",INT(A16844))</f>
        <v/>
      </c>
      <c r="D16844">
        <f>IF(B16844="","",HOUR(A16844))</f>
        <v/>
      </c>
    </row>
    <row r="16845">
      <c r="A16845">
        <f>Input!A16845</f>
        <v/>
      </c>
      <c r="B16845">
        <f>IF(ISNUMBER(Input!B16845),IF(AND(Input!B16845&gt;=20,Input!B16845&lt;=700),Input!B16845,""),"")</f>
        <v/>
      </c>
      <c r="C16845">
        <f>IF(B16845="","",INT(A16845))</f>
        <v/>
      </c>
      <c r="D16845">
        <f>IF(B16845="","",HOUR(A16845))</f>
        <v/>
      </c>
    </row>
    <row r="16846">
      <c r="A16846">
        <f>Input!A16846</f>
        <v/>
      </c>
      <c r="B16846">
        <f>IF(ISNUMBER(Input!B16846),IF(AND(Input!B16846&gt;=20,Input!B16846&lt;=700),Input!B16846,""),"")</f>
        <v/>
      </c>
      <c r="C16846">
        <f>IF(B16846="","",INT(A16846))</f>
        <v/>
      </c>
      <c r="D16846">
        <f>IF(B16846="","",HOUR(A16846))</f>
        <v/>
      </c>
    </row>
    <row r="16847">
      <c r="A16847">
        <f>Input!A16847</f>
        <v/>
      </c>
      <c r="B16847">
        <f>IF(ISNUMBER(Input!B16847),IF(AND(Input!B16847&gt;=20,Input!B16847&lt;=700),Input!B16847,""),"")</f>
        <v/>
      </c>
      <c r="C16847">
        <f>IF(B16847="","",INT(A16847))</f>
        <v/>
      </c>
      <c r="D16847">
        <f>IF(B16847="","",HOUR(A16847))</f>
        <v/>
      </c>
    </row>
    <row r="16848">
      <c r="A16848">
        <f>Input!A16848</f>
        <v/>
      </c>
      <c r="B16848">
        <f>IF(ISNUMBER(Input!B16848),IF(AND(Input!B16848&gt;=20,Input!B16848&lt;=700),Input!B16848,""),"")</f>
        <v/>
      </c>
      <c r="C16848">
        <f>IF(B16848="","",INT(A16848))</f>
        <v/>
      </c>
      <c r="D16848">
        <f>IF(B16848="","",HOUR(A16848))</f>
        <v/>
      </c>
    </row>
    <row r="16849">
      <c r="A16849">
        <f>Input!A16849</f>
        <v/>
      </c>
      <c r="B16849">
        <f>IF(ISNUMBER(Input!B16849),IF(AND(Input!B16849&gt;=20,Input!B16849&lt;=700),Input!B16849,""),"")</f>
        <v/>
      </c>
      <c r="C16849">
        <f>IF(B16849="","",INT(A16849))</f>
        <v/>
      </c>
      <c r="D16849">
        <f>IF(B16849="","",HOUR(A16849))</f>
        <v/>
      </c>
    </row>
    <row r="16850">
      <c r="A16850">
        <f>Input!A16850</f>
        <v/>
      </c>
      <c r="B16850">
        <f>IF(ISNUMBER(Input!B16850),IF(AND(Input!B16850&gt;=20,Input!B16850&lt;=700),Input!B16850,""),"")</f>
        <v/>
      </c>
      <c r="C16850">
        <f>IF(B16850="","",INT(A16850))</f>
        <v/>
      </c>
      <c r="D16850">
        <f>IF(B16850="","",HOUR(A16850))</f>
        <v/>
      </c>
    </row>
    <row r="16851">
      <c r="A16851">
        <f>Input!A16851</f>
        <v/>
      </c>
      <c r="B16851">
        <f>IF(ISNUMBER(Input!B16851),IF(AND(Input!B16851&gt;=20,Input!B16851&lt;=700),Input!B16851,""),"")</f>
        <v/>
      </c>
      <c r="C16851">
        <f>IF(B16851="","",INT(A16851))</f>
        <v/>
      </c>
      <c r="D16851">
        <f>IF(B16851="","",HOUR(A16851))</f>
        <v/>
      </c>
    </row>
    <row r="16852">
      <c r="A16852">
        <f>Input!A16852</f>
        <v/>
      </c>
      <c r="B16852">
        <f>IF(ISNUMBER(Input!B16852),IF(AND(Input!B16852&gt;=20,Input!B16852&lt;=700),Input!B16852,""),"")</f>
        <v/>
      </c>
      <c r="C16852">
        <f>IF(B16852="","",INT(A16852))</f>
        <v/>
      </c>
      <c r="D16852">
        <f>IF(B16852="","",HOUR(A16852))</f>
        <v/>
      </c>
    </row>
    <row r="16853">
      <c r="A16853">
        <f>Input!A16853</f>
        <v/>
      </c>
      <c r="B16853">
        <f>IF(ISNUMBER(Input!B16853),IF(AND(Input!B16853&gt;=20,Input!B16853&lt;=700),Input!B16853,""),"")</f>
        <v/>
      </c>
      <c r="C16853">
        <f>IF(B16853="","",INT(A16853))</f>
        <v/>
      </c>
      <c r="D16853">
        <f>IF(B16853="","",HOUR(A16853))</f>
        <v/>
      </c>
    </row>
    <row r="16854">
      <c r="A16854">
        <f>Input!A16854</f>
        <v/>
      </c>
      <c r="B16854">
        <f>IF(ISNUMBER(Input!B16854),IF(AND(Input!B16854&gt;=20,Input!B16854&lt;=700),Input!B16854,""),"")</f>
        <v/>
      </c>
      <c r="C16854">
        <f>IF(B16854="","",INT(A16854))</f>
        <v/>
      </c>
      <c r="D16854">
        <f>IF(B16854="","",HOUR(A16854))</f>
        <v/>
      </c>
    </row>
    <row r="16855">
      <c r="A16855">
        <f>Input!A16855</f>
        <v/>
      </c>
      <c r="B16855">
        <f>IF(ISNUMBER(Input!B16855),IF(AND(Input!B16855&gt;=20,Input!B16855&lt;=700),Input!B16855,""),"")</f>
        <v/>
      </c>
      <c r="C16855">
        <f>IF(B16855="","",INT(A16855))</f>
        <v/>
      </c>
      <c r="D16855">
        <f>IF(B16855="","",HOUR(A16855))</f>
        <v/>
      </c>
    </row>
    <row r="16856">
      <c r="A16856">
        <f>Input!A16856</f>
        <v/>
      </c>
      <c r="B16856">
        <f>IF(ISNUMBER(Input!B16856),IF(AND(Input!B16856&gt;=20,Input!B16856&lt;=700),Input!B16856,""),"")</f>
        <v/>
      </c>
      <c r="C16856">
        <f>IF(B16856="","",INT(A16856))</f>
        <v/>
      </c>
      <c r="D16856">
        <f>IF(B16856="","",HOUR(A16856))</f>
        <v/>
      </c>
    </row>
    <row r="16857">
      <c r="A16857">
        <f>Input!A16857</f>
        <v/>
      </c>
      <c r="B16857">
        <f>IF(ISNUMBER(Input!B16857),IF(AND(Input!B16857&gt;=20,Input!B16857&lt;=700),Input!B16857,""),"")</f>
        <v/>
      </c>
      <c r="C16857">
        <f>IF(B16857="","",INT(A16857))</f>
        <v/>
      </c>
      <c r="D16857">
        <f>IF(B16857="","",HOUR(A16857))</f>
        <v/>
      </c>
    </row>
    <row r="16858">
      <c r="A16858">
        <f>Input!A16858</f>
        <v/>
      </c>
      <c r="B16858">
        <f>IF(ISNUMBER(Input!B16858),IF(AND(Input!B16858&gt;=20,Input!B16858&lt;=700),Input!B16858,""),"")</f>
        <v/>
      </c>
      <c r="C16858">
        <f>IF(B16858="","",INT(A16858))</f>
        <v/>
      </c>
      <c r="D16858">
        <f>IF(B16858="","",HOUR(A16858))</f>
        <v/>
      </c>
    </row>
    <row r="16859">
      <c r="A16859">
        <f>Input!A16859</f>
        <v/>
      </c>
      <c r="B16859">
        <f>IF(ISNUMBER(Input!B16859),IF(AND(Input!B16859&gt;=20,Input!B16859&lt;=700),Input!B16859,""),"")</f>
        <v/>
      </c>
      <c r="C16859">
        <f>IF(B16859="","",INT(A16859))</f>
        <v/>
      </c>
      <c r="D16859">
        <f>IF(B16859="","",HOUR(A16859))</f>
        <v/>
      </c>
    </row>
    <row r="16860">
      <c r="A16860">
        <f>Input!A16860</f>
        <v/>
      </c>
      <c r="B16860">
        <f>IF(ISNUMBER(Input!B16860),IF(AND(Input!B16860&gt;=20,Input!B16860&lt;=700),Input!B16860,""),"")</f>
        <v/>
      </c>
      <c r="C16860">
        <f>IF(B16860="","",INT(A16860))</f>
        <v/>
      </c>
      <c r="D16860">
        <f>IF(B16860="","",HOUR(A16860))</f>
        <v/>
      </c>
    </row>
    <row r="16861">
      <c r="A16861">
        <f>Input!A16861</f>
        <v/>
      </c>
      <c r="B16861">
        <f>IF(ISNUMBER(Input!B16861),IF(AND(Input!B16861&gt;=20,Input!B16861&lt;=700),Input!B16861,""),"")</f>
        <v/>
      </c>
      <c r="C16861">
        <f>IF(B16861="","",INT(A16861))</f>
        <v/>
      </c>
      <c r="D16861">
        <f>IF(B16861="","",HOUR(A16861))</f>
        <v/>
      </c>
    </row>
    <row r="16862">
      <c r="A16862">
        <f>Input!A16862</f>
        <v/>
      </c>
      <c r="B16862">
        <f>IF(ISNUMBER(Input!B16862),IF(AND(Input!B16862&gt;=20,Input!B16862&lt;=700),Input!B16862,""),"")</f>
        <v/>
      </c>
      <c r="C16862">
        <f>IF(B16862="","",INT(A16862))</f>
        <v/>
      </c>
      <c r="D16862">
        <f>IF(B16862="","",HOUR(A16862))</f>
        <v/>
      </c>
    </row>
    <row r="16863">
      <c r="A16863">
        <f>Input!A16863</f>
        <v/>
      </c>
      <c r="B16863">
        <f>IF(ISNUMBER(Input!B16863),IF(AND(Input!B16863&gt;=20,Input!B16863&lt;=700),Input!B16863,""),"")</f>
        <v/>
      </c>
      <c r="C16863">
        <f>IF(B16863="","",INT(A16863))</f>
        <v/>
      </c>
      <c r="D16863">
        <f>IF(B16863="","",HOUR(A16863))</f>
        <v/>
      </c>
    </row>
    <row r="16864">
      <c r="A16864">
        <f>Input!A16864</f>
        <v/>
      </c>
      <c r="B16864">
        <f>IF(ISNUMBER(Input!B16864),IF(AND(Input!B16864&gt;=20,Input!B16864&lt;=700),Input!B16864,""),"")</f>
        <v/>
      </c>
      <c r="C16864">
        <f>IF(B16864="","",INT(A16864))</f>
        <v/>
      </c>
      <c r="D16864">
        <f>IF(B16864="","",HOUR(A16864))</f>
        <v/>
      </c>
    </row>
    <row r="16865">
      <c r="A16865">
        <f>Input!A16865</f>
        <v/>
      </c>
      <c r="B16865">
        <f>IF(ISNUMBER(Input!B16865),IF(AND(Input!B16865&gt;=20,Input!B16865&lt;=700),Input!B16865,""),"")</f>
        <v/>
      </c>
      <c r="C16865">
        <f>IF(B16865="","",INT(A16865))</f>
        <v/>
      </c>
      <c r="D16865">
        <f>IF(B16865="","",HOUR(A16865))</f>
        <v/>
      </c>
    </row>
    <row r="16866">
      <c r="A16866">
        <f>Input!A16866</f>
        <v/>
      </c>
      <c r="B16866">
        <f>IF(ISNUMBER(Input!B16866),IF(AND(Input!B16866&gt;=20,Input!B16866&lt;=700),Input!B16866,""),"")</f>
        <v/>
      </c>
      <c r="C16866">
        <f>IF(B16866="","",INT(A16866))</f>
        <v/>
      </c>
      <c r="D16866">
        <f>IF(B16866="","",HOUR(A16866))</f>
        <v/>
      </c>
    </row>
    <row r="16867">
      <c r="A16867">
        <f>Input!A16867</f>
        <v/>
      </c>
      <c r="B16867">
        <f>IF(ISNUMBER(Input!B16867),IF(AND(Input!B16867&gt;=20,Input!B16867&lt;=700),Input!B16867,""),"")</f>
        <v/>
      </c>
      <c r="C16867">
        <f>IF(B16867="","",INT(A16867))</f>
        <v/>
      </c>
      <c r="D16867">
        <f>IF(B16867="","",HOUR(A16867))</f>
        <v/>
      </c>
    </row>
    <row r="16868">
      <c r="A16868">
        <f>Input!A16868</f>
        <v/>
      </c>
      <c r="B16868">
        <f>IF(ISNUMBER(Input!B16868),IF(AND(Input!B16868&gt;=20,Input!B16868&lt;=700),Input!B16868,""),"")</f>
        <v/>
      </c>
      <c r="C16868">
        <f>IF(B16868="","",INT(A16868))</f>
        <v/>
      </c>
      <c r="D16868">
        <f>IF(B16868="","",HOUR(A16868))</f>
        <v/>
      </c>
    </row>
    <row r="16869">
      <c r="A16869">
        <f>Input!A16869</f>
        <v/>
      </c>
      <c r="B16869">
        <f>IF(ISNUMBER(Input!B16869),IF(AND(Input!B16869&gt;=20,Input!B16869&lt;=700),Input!B16869,""),"")</f>
        <v/>
      </c>
      <c r="C16869">
        <f>IF(B16869="","",INT(A16869))</f>
        <v/>
      </c>
      <c r="D16869">
        <f>IF(B16869="","",HOUR(A16869))</f>
        <v/>
      </c>
    </row>
    <row r="16870">
      <c r="A16870">
        <f>Input!A16870</f>
        <v/>
      </c>
      <c r="B16870">
        <f>IF(ISNUMBER(Input!B16870),IF(AND(Input!B16870&gt;=20,Input!B16870&lt;=700),Input!B16870,""),"")</f>
        <v/>
      </c>
      <c r="C16870">
        <f>IF(B16870="","",INT(A16870))</f>
        <v/>
      </c>
      <c r="D16870">
        <f>IF(B16870="","",HOUR(A16870))</f>
        <v/>
      </c>
    </row>
    <row r="16871">
      <c r="A16871">
        <f>Input!A16871</f>
        <v/>
      </c>
      <c r="B16871">
        <f>IF(ISNUMBER(Input!B16871),IF(AND(Input!B16871&gt;=20,Input!B16871&lt;=700),Input!B16871,""),"")</f>
        <v/>
      </c>
      <c r="C16871">
        <f>IF(B16871="","",INT(A16871))</f>
        <v/>
      </c>
      <c r="D16871">
        <f>IF(B16871="","",HOUR(A16871))</f>
        <v/>
      </c>
    </row>
    <row r="16872">
      <c r="A16872">
        <f>Input!A16872</f>
        <v/>
      </c>
      <c r="B16872">
        <f>IF(ISNUMBER(Input!B16872),IF(AND(Input!B16872&gt;=20,Input!B16872&lt;=700),Input!B16872,""),"")</f>
        <v/>
      </c>
      <c r="C16872">
        <f>IF(B16872="","",INT(A16872))</f>
        <v/>
      </c>
      <c r="D16872">
        <f>IF(B16872="","",HOUR(A16872))</f>
        <v/>
      </c>
    </row>
    <row r="16873">
      <c r="A16873">
        <f>Input!A16873</f>
        <v/>
      </c>
      <c r="B16873">
        <f>IF(ISNUMBER(Input!B16873),IF(AND(Input!B16873&gt;=20,Input!B16873&lt;=700),Input!B16873,""),"")</f>
        <v/>
      </c>
      <c r="C16873">
        <f>IF(B16873="","",INT(A16873))</f>
        <v/>
      </c>
      <c r="D16873">
        <f>IF(B16873="","",HOUR(A16873))</f>
        <v/>
      </c>
    </row>
    <row r="16874">
      <c r="A16874">
        <f>Input!A16874</f>
        <v/>
      </c>
      <c r="B16874">
        <f>IF(ISNUMBER(Input!B16874),IF(AND(Input!B16874&gt;=20,Input!B16874&lt;=700),Input!B16874,""),"")</f>
        <v/>
      </c>
      <c r="C16874">
        <f>IF(B16874="","",INT(A16874))</f>
        <v/>
      </c>
      <c r="D16874">
        <f>IF(B16874="","",HOUR(A16874))</f>
        <v/>
      </c>
    </row>
    <row r="16875">
      <c r="A16875">
        <f>Input!A16875</f>
        <v/>
      </c>
      <c r="B16875">
        <f>IF(ISNUMBER(Input!B16875),IF(AND(Input!B16875&gt;=20,Input!B16875&lt;=700),Input!B16875,""),"")</f>
        <v/>
      </c>
      <c r="C16875">
        <f>IF(B16875="","",INT(A16875))</f>
        <v/>
      </c>
      <c r="D16875">
        <f>IF(B16875="","",HOUR(A16875))</f>
        <v/>
      </c>
    </row>
    <row r="16876">
      <c r="A16876">
        <f>Input!A16876</f>
        <v/>
      </c>
      <c r="B16876">
        <f>IF(ISNUMBER(Input!B16876),IF(AND(Input!B16876&gt;=20,Input!B16876&lt;=700),Input!B16876,""),"")</f>
        <v/>
      </c>
      <c r="C16876">
        <f>IF(B16876="","",INT(A16876))</f>
        <v/>
      </c>
      <c r="D16876">
        <f>IF(B16876="","",HOUR(A16876))</f>
        <v/>
      </c>
    </row>
    <row r="16877">
      <c r="A16877">
        <f>Input!A16877</f>
        <v/>
      </c>
      <c r="B16877">
        <f>IF(ISNUMBER(Input!B16877),IF(AND(Input!B16877&gt;=20,Input!B16877&lt;=700),Input!B16877,""),"")</f>
        <v/>
      </c>
      <c r="C16877">
        <f>IF(B16877="","",INT(A16877))</f>
        <v/>
      </c>
      <c r="D16877">
        <f>IF(B16877="","",HOUR(A16877))</f>
        <v/>
      </c>
    </row>
    <row r="16878">
      <c r="A16878">
        <f>Input!A16878</f>
        <v/>
      </c>
      <c r="B16878">
        <f>IF(ISNUMBER(Input!B16878),IF(AND(Input!B16878&gt;=20,Input!B16878&lt;=700),Input!B16878,""),"")</f>
        <v/>
      </c>
      <c r="C16878">
        <f>IF(B16878="","",INT(A16878))</f>
        <v/>
      </c>
      <c r="D16878">
        <f>IF(B16878="","",HOUR(A16878))</f>
        <v/>
      </c>
    </row>
    <row r="16879">
      <c r="A16879">
        <f>Input!A16879</f>
        <v/>
      </c>
      <c r="B16879">
        <f>IF(ISNUMBER(Input!B16879),IF(AND(Input!B16879&gt;=20,Input!B16879&lt;=700),Input!B16879,""),"")</f>
        <v/>
      </c>
      <c r="C16879">
        <f>IF(B16879="","",INT(A16879))</f>
        <v/>
      </c>
      <c r="D16879">
        <f>IF(B16879="","",HOUR(A16879))</f>
        <v/>
      </c>
    </row>
    <row r="16880">
      <c r="A16880">
        <f>Input!A16880</f>
        <v/>
      </c>
      <c r="B16880">
        <f>IF(ISNUMBER(Input!B16880),IF(AND(Input!B16880&gt;=20,Input!B16880&lt;=700),Input!B16880,""),"")</f>
        <v/>
      </c>
      <c r="C16880">
        <f>IF(B16880="","",INT(A16880))</f>
        <v/>
      </c>
      <c r="D16880">
        <f>IF(B16880="","",HOUR(A16880))</f>
        <v/>
      </c>
    </row>
    <row r="16881">
      <c r="A16881">
        <f>Input!A16881</f>
        <v/>
      </c>
      <c r="B16881">
        <f>IF(ISNUMBER(Input!B16881),IF(AND(Input!B16881&gt;=20,Input!B16881&lt;=700),Input!B16881,""),"")</f>
        <v/>
      </c>
      <c r="C16881">
        <f>IF(B16881="","",INT(A16881))</f>
        <v/>
      </c>
      <c r="D16881">
        <f>IF(B16881="","",HOUR(A16881))</f>
        <v/>
      </c>
    </row>
    <row r="16882">
      <c r="A16882">
        <f>Input!A16882</f>
        <v/>
      </c>
      <c r="B16882">
        <f>IF(ISNUMBER(Input!B16882),IF(AND(Input!B16882&gt;=20,Input!B16882&lt;=700),Input!B16882,""),"")</f>
        <v/>
      </c>
      <c r="C16882">
        <f>IF(B16882="","",INT(A16882))</f>
        <v/>
      </c>
      <c r="D16882">
        <f>IF(B16882="","",HOUR(A16882))</f>
        <v/>
      </c>
    </row>
    <row r="16883">
      <c r="A16883">
        <f>Input!A16883</f>
        <v/>
      </c>
      <c r="B16883">
        <f>IF(ISNUMBER(Input!B16883),IF(AND(Input!B16883&gt;=20,Input!B16883&lt;=700),Input!B16883,""),"")</f>
        <v/>
      </c>
      <c r="C16883">
        <f>IF(B16883="","",INT(A16883))</f>
        <v/>
      </c>
      <c r="D16883">
        <f>IF(B16883="","",HOUR(A16883))</f>
        <v/>
      </c>
    </row>
    <row r="16884">
      <c r="A16884">
        <f>Input!A16884</f>
        <v/>
      </c>
      <c r="B16884">
        <f>IF(ISNUMBER(Input!B16884),IF(AND(Input!B16884&gt;=20,Input!B16884&lt;=700),Input!B16884,""),"")</f>
        <v/>
      </c>
      <c r="C16884">
        <f>IF(B16884="","",INT(A16884))</f>
        <v/>
      </c>
      <c r="D16884">
        <f>IF(B16884="","",HOUR(A16884))</f>
        <v/>
      </c>
    </row>
    <row r="16885">
      <c r="A16885">
        <f>Input!A16885</f>
        <v/>
      </c>
      <c r="B16885">
        <f>IF(ISNUMBER(Input!B16885),IF(AND(Input!B16885&gt;=20,Input!B16885&lt;=700),Input!B16885,""),"")</f>
        <v/>
      </c>
      <c r="C16885">
        <f>IF(B16885="","",INT(A16885))</f>
        <v/>
      </c>
      <c r="D16885">
        <f>IF(B16885="","",HOUR(A16885))</f>
        <v/>
      </c>
    </row>
    <row r="16886">
      <c r="A16886">
        <f>Input!A16886</f>
        <v/>
      </c>
      <c r="B16886">
        <f>IF(ISNUMBER(Input!B16886),IF(AND(Input!B16886&gt;=20,Input!B16886&lt;=700),Input!B16886,""),"")</f>
        <v/>
      </c>
      <c r="C16886">
        <f>IF(B16886="","",INT(A16886))</f>
        <v/>
      </c>
      <c r="D16886">
        <f>IF(B16886="","",HOUR(A16886))</f>
        <v/>
      </c>
    </row>
    <row r="16887">
      <c r="A16887">
        <f>Input!A16887</f>
        <v/>
      </c>
      <c r="B16887">
        <f>IF(ISNUMBER(Input!B16887),IF(AND(Input!B16887&gt;=20,Input!B16887&lt;=700),Input!B16887,""),"")</f>
        <v/>
      </c>
      <c r="C16887">
        <f>IF(B16887="","",INT(A16887))</f>
        <v/>
      </c>
      <c r="D16887">
        <f>IF(B16887="","",HOUR(A16887))</f>
        <v/>
      </c>
    </row>
    <row r="16888">
      <c r="A16888">
        <f>Input!A16888</f>
        <v/>
      </c>
      <c r="B16888">
        <f>IF(ISNUMBER(Input!B16888),IF(AND(Input!B16888&gt;=20,Input!B16888&lt;=700),Input!B16888,""),"")</f>
        <v/>
      </c>
      <c r="C16888">
        <f>IF(B16888="","",INT(A16888))</f>
        <v/>
      </c>
      <c r="D16888">
        <f>IF(B16888="","",HOUR(A16888))</f>
        <v/>
      </c>
    </row>
    <row r="16889">
      <c r="A16889">
        <f>Input!A16889</f>
        <v/>
      </c>
      <c r="B16889">
        <f>IF(ISNUMBER(Input!B16889),IF(AND(Input!B16889&gt;=20,Input!B16889&lt;=700),Input!B16889,""),"")</f>
        <v/>
      </c>
      <c r="C16889">
        <f>IF(B16889="","",INT(A16889))</f>
        <v/>
      </c>
      <c r="D16889">
        <f>IF(B16889="","",HOUR(A16889))</f>
        <v/>
      </c>
    </row>
    <row r="16890">
      <c r="A16890">
        <f>Input!A16890</f>
        <v/>
      </c>
      <c r="B16890">
        <f>IF(ISNUMBER(Input!B16890),IF(AND(Input!B16890&gt;=20,Input!B16890&lt;=700),Input!B16890,""),"")</f>
        <v/>
      </c>
      <c r="C16890">
        <f>IF(B16890="","",INT(A16890))</f>
        <v/>
      </c>
      <c r="D16890">
        <f>IF(B16890="","",HOUR(A16890))</f>
        <v/>
      </c>
    </row>
    <row r="16891">
      <c r="A16891">
        <f>Input!A16891</f>
        <v/>
      </c>
      <c r="B16891">
        <f>IF(ISNUMBER(Input!B16891),IF(AND(Input!B16891&gt;=20,Input!B16891&lt;=700),Input!B16891,""),"")</f>
        <v/>
      </c>
      <c r="C16891">
        <f>IF(B16891="","",INT(A16891))</f>
        <v/>
      </c>
      <c r="D16891">
        <f>IF(B16891="","",HOUR(A16891))</f>
        <v/>
      </c>
    </row>
    <row r="16892">
      <c r="A16892">
        <f>Input!A16892</f>
        <v/>
      </c>
      <c r="B16892">
        <f>IF(ISNUMBER(Input!B16892),IF(AND(Input!B16892&gt;=20,Input!B16892&lt;=700),Input!B16892,""),"")</f>
        <v/>
      </c>
      <c r="C16892">
        <f>IF(B16892="","",INT(A16892))</f>
        <v/>
      </c>
      <c r="D16892">
        <f>IF(B16892="","",HOUR(A16892))</f>
        <v/>
      </c>
    </row>
    <row r="16893">
      <c r="A16893">
        <f>Input!A16893</f>
        <v/>
      </c>
      <c r="B16893">
        <f>IF(ISNUMBER(Input!B16893),IF(AND(Input!B16893&gt;=20,Input!B16893&lt;=700),Input!B16893,""),"")</f>
        <v/>
      </c>
      <c r="C16893">
        <f>IF(B16893="","",INT(A16893))</f>
        <v/>
      </c>
      <c r="D16893">
        <f>IF(B16893="","",HOUR(A16893))</f>
        <v/>
      </c>
    </row>
    <row r="16894">
      <c r="A16894">
        <f>Input!A16894</f>
        <v/>
      </c>
      <c r="B16894">
        <f>IF(ISNUMBER(Input!B16894),IF(AND(Input!B16894&gt;=20,Input!B16894&lt;=700),Input!B16894,""),"")</f>
        <v/>
      </c>
      <c r="C16894">
        <f>IF(B16894="","",INT(A16894))</f>
        <v/>
      </c>
      <c r="D16894">
        <f>IF(B16894="","",HOUR(A16894))</f>
        <v/>
      </c>
    </row>
    <row r="16895">
      <c r="A16895">
        <f>Input!A16895</f>
        <v/>
      </c>
      <c r="B16895">
        <f>IF(ISNUMBER(Input!B16895),IF(AND(Input!B16895&gt;=20,Input!B16895&lt;=700),Input!B16895,""),"")</f>
        <v/>
      </c>
      <c r="C16895">
        <f>IF(B16895="","",INT(A16895))</f>
        <v/>
      </c>
      <c r="D16895">
        <f>IF(B16895="","",HOUR(A16895))</f>
        <v/>
      </c>
    </row>
    <row r="16896">
      <c r="A16896">
        <f>Input!A16896</f>
        <v/>
      </c>
      <c r="B16896">
        <f>IF(ISNUMBER(Input!B16896),IF(AND(Input!B16896&gt;=20,Input!B16896&lt;=700),Input!B16896,""),"")</f>
        <v/>
      </c>
      <c r="C16896">
        <f>IF(B16896="","",INT(A16896))</f>
        <v/>
      </c>
      <c r="D16896">
        <f>IF(B16896="","",HOUR(A16896))</f>
        <v/>
      </c>
    </row>
    <row r="16897">
      <c r="A16897">
        <f>Input!A16897</f>
        <v/>
      </c>
      <c r="B16897">
        <f>IF(ISNUMBER(Input!B16897),IF(AND(Input!B16897&gt;=20,Input!B16897&lt;=700),Input!B16897,""),"")</f>
        <v/>
      </c>
      <c r="C16897">
        <f>IF(B16897="","",INT(A16897))</f>
        <v/>
      </c>
      <c r="D16897">
        <f>IF(B16897="","",HOUR(A16897))</f>
        <v/>
      </c>
    </row>
    <row r="16898">
      <c r="A16898">
        <f>Input!A16898</f>
        <v/>
      </c>
      <c r="B16898">
        <f>IF(ISNUMBER(Input!B16898),IF(AND(Input!B16898&gt;=20,Input!B16898&lt;=700),Input!B16898,""),"")</f>
        <v/>
      </c>
      <c r="C16898">
        <f>IF(B16898="","",INT(A16898))</f>
        <v/>
      </c>
      <c r="D16898">
        <f>IF(B16898="","",HOUR(A16898))</f>
        <v/>
      </c>
    </row>
    <row r="16899">
      <c r="A16899">
        <f>Input!A16899</f>
        <v/>
      </c>
      <c r="B16899">
        <f>IF(ISNUMBER(Input!B16899),IF(AND(Input!B16899&gt;=20,Input!B16899&lt;=700),Input!B16899,""),"")</f>
        <v/>
      </c>
      <c r="C16899">
        <f>IF(B16899="","",INT(A16899))</f>
        <v/>
      </c>
      <c r="D16899">
        <f>IF(B16899="","",HOUR(A16899))</f>
        <v/>
      </c>
    </row>
    <row r="16900">
      <c r="A16900">
        <f>Input!A16900</f>
        <v/>
      </c>
      <c r="B16900">
        <f>IF(ISNUMBER(Input!B16900),IF(AND(Input!B16900&gt;=20,Input!B16900&lt;=700),Input!B16900,""),"")</f>
        <v/>
      </c>
      <c r="C16900">
        <f>IF(B16900="","",INT(A16900))</f>
        <v/>
      </c>
      <c r="D16900">
        <f>IF(B16900="","",HOUR(A16900))</f>
        <v/>
      </c>
    </row>
    <row r="16901">
      <c r="A16901">
        <f>Input!A16901</f>
        <v/>
      </c>
      <c r="B16901">
        <f>IF(ISNUMBER(Input!B16901),IF(AND(Input!B16901&gt;=20,Input!B16901&lt;=700),Input!B16901,""),"")</f>
        <v/>
      </c>
      <c r="C16901">
        <f>IF(B16901="","",INT(A16901))</f>
        <v/>
      </c>
      <c r="D16901">
        <f>IF(B16901="","",HOUR(A16901))</f>
        <v/>
      </c>
    </row>
    <row r="16902">
      <c r="A16902">
        <f>Input!A16902</f>
        <v/>
      </c>
      <c r="B16902">
        <f>IF(ISNUMBER(Input!B16902),IF(AND(Input!B16902&gt;=20,Input!B16902&lt;=700),Input!B16902,""),"")</f>
        <v/>
      </c>
      <c r="C16902">
        <f>IF(B16902="","",INT(A16902))</f>
        <v/>
      </c>
      <c r="D16902">
        <f>IF(B16902="","",HOUR(A16902))</f>
        <v/>
      </c>
    </row>
    <row r="16903">
      <c r="A16903">
        <f>Input!A16903</f>
        <v/>
      </c>
      <c r="B16903">
        <f>IF(ISNUMBER(Input!B16903),IF(AND(Input!B16903&gt;=20,Input!B16903&lt;=700),Input!B16903,""),"")</f>
        <v/>
      </c>
      <c r="C16903">
        <f>IF(B16903="","",INT(A16903))</f>
        <v/>
      </c>
      <c r="D16903">
        <f>IF(B16903="","",HOUR(A16903))</f>
        <v/>
      </c>
    </row>
    <row r="16904">
      <c r="A16904">
        <f>Input!A16904</f>
        <v/>
      </c>
      <c r="B16904">
        <f>IF(ISNUMBER(Input!B16904),IF(AND(Input!B16904&gt;=20,Input!B16904&lt;=700),Input!B16904,""),"")</f>
        <v/>
      </c>
      <c r="C16904">
        <f>IF(B16904="","",INT(A16904))</f>
        <v/>
      </c>
      <c r="D16904">
        <f>IF(B16904="","",HOUR(A16904))</f>
        <v/>
      </c>
    </row>
    <row r="16905">
      <c r="A16905">
        <f>Input!A16905</f>
        <v/>
      </c>
      <c r="B16905">
        <f>IF(ISNUMBER(Input!B16905),IF(AND(Input!B16905&gt;=20,Input!B16905&lt;=700),Input!B16905,""),"")</f>
        <v/>
      </c>
      <c r="C16905">
        <f>IF(B16905="","",INT(A16905))</f>
        <v/>
      </c>
      <c r="D16905">
        <f>IF(B16905="","",HOUR(A16905))</f>
        <v/>
      </c>
    </row>
    <row r="16906">
      <c r="A16906">
        <f>Input!A16906</f>
        <v/>
      </c>
      <c r="B16906">
        <f>IF(ISNUMBER(Input!B16906),IF(AND(Input!B16906&gt;=20,Input!B16906&lt;=700),Input!B16906,""),"")</f>
        <v/>
      </c>
      <c r="C16906">
        <f>IF(B16906="","",INT(A16906))</f>
        <v/>
      </c>
      <c r="D16906">
        <f>IF(B16906="","",HOUR(A16906))</f>
        <v/>
      </c>
    </row>
    <row r="16907">
      <c r="A16907">
        <f>Input!A16907</f>
        <v/>
      </c>
      <c r="B16907">
        <f>IF(ISNUMBER(Input!B16907),IF(AND(Input!B16907&gt;=20,Input!B16907&lt;=700),Input!B16907,""),"")</f>
        <v/>
      </c>
      <c r="C16907">
        <f>IF(B16907="","",INT(A16907))</f>
        <v/>
      </c>
      <c r="D16907">
        <f>IF(B16907="","",HOUR(A16907))</f>
        <v/>
      </c>
    </row>
    <row r="16908">
      <c r="A16908">
        <f>Input!A16908</f>
        <v/>
      </c>
      <c r="B16908">
        <f>IF(ISNUMBER(Input!B16908),IF(AND(Input!B16908&gt;=20,Input!B16908&lt;=700),Input!B16908,""),"")</f>
        <v/>
      </c>
      <c r="C16908">
        <f>IF(B16908="","",INT(A16908))</f>
        <v/>
      </c>
      <c r="D16908">
        <f>IF(B16908="","",HOUR(A16908))</f>
        <v/>
      </c>
    </row>
    <row r="16909">
      <c r="A16909">
        <f>Input!A16909</f>
        <v/>
      </c>
      <c r="B16909">
        <f>IF(ISNUMBER(Input!B16909),IF(AND(Input!B16909&gt;=20,Input!B16909&lt;=700),Input!B16909,""),"")</f>
        <v/>
      </c>
      <c r="C16909">
        <f>IF(B16909="","",INT(A16909))</f>
        <v/>
      </c>
      <c r="D16909">
        <f>IF(B16909="","",HOUR(A16909))</f>
        <v/>
      </c>
    </row>
    <row r="16910">
      <c r="A16910">
        <f>Input!A16910</f>
        <v/>
      </c>
      <c r="B16910">
        <f>IF(ISNUMBER(Input!B16910),IF(AND(Input!B16910&gt;=20,Input!B16910&lt;=700),Input!B16910,""),"")</f>
        <v/>
      </c>
      <c r="C16910">
        <f>IF(B16910="","",INT(A16910))</f>
        <v/>
      </c>
      <c r="D16910">
        <f>IF(B16910="","",HOUR(A16910))</f>
        <v/>
      </c>
    </row>
    <row r="16911">
      <c r="A16911">
        <f>Input!A16911</f>
        <v/>
      </c>
      <c r="B16911">
        <f>IF(ISNUMBER(Input!B16911),IF(AND(Input!B16911&gt;=20,Input!B16911&lt;=700),Input!B16911,""),"")</f>
        <v/>
      </c>
      <c r="C16911">
        <f>IF(B16911="","",INT(A16911))</f>
        <v/>
      </c>
      <c r="D16911">
        <f>IF(B16911="","",HOUR(A16911))</f>
        <v/>
      </c>
    </row>
    <row r="16912">
      <c r="A16912">
        <f>Input!A16912</f>
        <v/>
      </c>
      <c r="B16912">
        <f>IF(ISNUMBER(Input!B16912),IF(AND(Input!B16912&gt;=20,Input!B16912&lt;=700),Input!B16912,""),"")</f>
        <v/>
      </c>
      <c r="C16912">
        <f>IF(B16912="","",INT(A16912))</f>
        <v/>
      </c>
      <c r="D16912">
        <f>IF(B16912="","",HOUR(A16912))</f>
        <v/>
      </c>
    </row>
    <row r="16913">
      <c r="A16913">
        <f>Input!A16913</f>
        <v/>
      </c>
      <c r="B16913">
        <f>IF(ISNUMBER(Input!B16913),IF(AND(Input!B16913&gt;=20,Input!B16913&lt;=700),Input!B16913,""),"")</f>
        <v/>
      </c>
      <c r="C16913">
        <f>IF(B16913="","",INT(A16913))</f>
        <v/>
      </c>
      <c r="D16913">
        <f>IF(B16913="","",HOUR(A16913))</f>
        <v/>
      </c>
    </row>
    <row r="16914">
      <c r="A16914">
        <f>Input!A16914</f>
        <v/>
      </c>
      <c r="B16914">
        <f>IF(ISNUMBER(Input!B16914),IF(AND(Input!B16914&gt;=20,Input!B16914&lt;=700),Input!B16914,""),"")</f>
        <v/>
      </c>
      <c r="C16914">
        <f>IF(B16914="","",INT(A16914))</f>
        <v/>
      </c>
      <c r="D16914">
        <f>IF(B16914="","",HOUR(A16914))</f>
        <v/>
      </c>
    </row>
    <row r="16915">
      <c r="A16915">
        <f>Input!A16915</f>
        <v/>
      </c>
      <c r="B16915">
        <f>IF(ISNUMBER(Input!B16915),IF(AND(Input!B16915&gt;=20,Input!B16915&lt;=700),Input!B16915,""),"")</f>
        <v/>
      </c>
      <c r="C16915">
        <f>IF(B16915="","",INT(A16915))</f>
        <v/>
      </c>
      <c r="D16915">
        <f>IF(B16915="","",HOUR(A16915))</f>
        <v/>
      </c>
    </row>
    <row r="16916">
      <c r="A16916">
        <f>Input!A16916</f>
        <v/>
      </c>
      <c r="B16916">
        <f>IF(ISNUMBER(Input!B16916),IF(AND(Input!B16916&gt;=20,Input!B16916&lt;=700),Input!B16916,""),"")</f>
        <v/>
      </c>
      <c r="C16916">
        <f>IF(B16916="","",INT(A16916))</f>
        <v/>
      </c>
      <c r="D16916">
        <f>IF(B16916="","",HOUR(A16916))</f>
        <v/>
      </c>
    </row>
    <row r="16917">
      <c r="A16917">
        <f>Input!A16917</f>
        <v/>
      </c>
      <c r="B16917">
        <f>IF(ISNUMBER(Input!B16917),IF(AND(Input!B16917&gt;=20,Input!B16917&lt;=700),Input!B16917,""),"")</f>
        <v/>
      </c>
      <c r="C16917">
        <f>IF(B16917="","",INT(A16917))</f>
        <v/>
      </c>
      <c r="D16917">
        <f>IF(B16917="","",HOUR(A16917))</f>
        <v/>
      </c>
    </row>
    <row r="16918">
      <c r="A16918">
        <f>Input!A16918</f>
        <v/>
      </c>
      <c r="B16918">
        <f>IF(ISNUMBER(Input!B16918),IF(AND(Input!B16918&gt;=20,Input!B16918&lt;=700),Input!B16918,""),"")</f>
        <v/>
      </c>
      <c r="C16918">
        <f>IF(B16918="","",INT(A16918))</f>
        <v/>
      </c>
      <c r="D16918">
        <f>IF(B16918="","",HOUR(A16918))</f>
        <v/>
      </c>
    </row>
    <row r="16919">
      <c r="A16919">
        <f>Input!A16919</f>
        <v/>
      </c>
      <c r="B16919">
        <f>IF(ISNUMBER(Input!B16919),IF(AND(Input!B16919&gt;=20,Input!B16919&lt;=700),Input!B16919,""),"")</f>
        <v/>
      </c>
      <c r="C16919">
        <f>IF(B16919="","",INT(A16919))</f>
        <v/>
      </c>
      <c r="D16919">
        <f>IF(B16919="","",HOUR(A16919))</f>
        <v/>
      </c>
    </row>
    <row r="16920">
      <c r="A16920">
        <f>Input!A16920</f>
        <v/>
      </c>
      <c r="B16920">
        <f>IF(ISNUMBER(Input!B16920),IF(AND(Input!B16920&gt;=20,Input!B16920&lt;=700),Input!B16920,""),"")</f>
        <v/>
      </c>
      <c r="C16920">
        <f>IF(B16920="","",INT(A16920))</f>
        <v/>
      </c>
      <c r="D16920">
        <f>IF(B16920="","",HOUR(A16920))</f>
        <v/>
      </c>
    </row>
    <row r="16921">
      <c r="A16921">
        <f>Input!A16921</f>
        <v/>
      </c>
      <c r="B16921">
        <f>IF(ISNUMBER(Input!B16921),IF(AND(Input!B16921&gt;=20,Input!B16921&lt;=700),Input!B16921,""),"")</f>
        <v/>
      </c>
      <c r="C16921">
        <f>IF(B16921="","",INT(A16921))</f>
        <v/>
      </c>
      <c r="D16921">
        <f>IF(B16921="","",HOUR(A16921))</f>
        <v/>
      </c>
    </row>
    <row r="16922">
      <c r="A16922">
        <f>Input!A16922</f>
        <v/>
      </c>
      <c r="B16922">
        <f>IF(ISNUMBER(Input!B16922),IF(AND(Input!B16922&gt;=20,Input!B16922&lt;=700),Input!B16922,""),"")</f>
        <v/>
      </c>
      <c r="C16922">
        <f>IF(B16922="","",INT(A16922))</f>
        <v/>
      </c>
      <c r="D16922">
        <f>IF(B16922="","",HOUR(A16922))</f>
        <v/>
      </c>
    </row>
    <row r="16923">
      <c r="A16923">
        <f>Input!A16923</f>
        <v/>
      </c>
      <c r="B16923">
        <f>IF(ISNUMBER(Input!B16923),IF(AND(Input!B16923&gt;=20,Input!B16923&lt;=700),Input!B16923,""),"")</f>
        <v/>
      </c>
      <c r="C16923">
        <f>IF(B16923="","",INT(A16923))</f>
        <v/>
      </c>
      <c r="D16923">
        <f>IF(B16923="","",HOUR(A16923))</f>
        <v/>
      </c>
    </row>
    <row r="16924">
      <c r="A16924">
        <f>Input!A16924</f>
        <v/>
      </c>
      <c r="B16924">
        <f>IF(ISNUMBER(Input!B16924),IF(AND(Input!B16924&gt;=20,Input!B16924&lt;=700),Input!B16924,""),"")</f>
        <v/>
      </c>
      <c r="C16924">
        <f>IF(B16924="","",INT(A16924))</f>
        <v/>
      </c>
      <c r="D16924">
        <f>IF(B16924="","",HOUR(A16924))</f>
        <v/>
      </c>
    </row>
    <row r="16925">
      <c r="A16925">
        <f>Input!A16925</f>
        <v/>
      </c>
      <c r="B16925">
        <f>IF(ISNUMBER(Input!B16925),IF(AND(Input!B16925&gt;=20,Input!B16925&lt;=700),Input!B16925,""),"")</f>
        <v/>
      </c>
      <c r="C16925">
        <f>IF(B16925="","",INT(A16925))</f>
        <v/>
      </c>
      <c r="D16925">
        <f>IF(B16925="","",HOUR(A16925))</f>
        <v/>
      </c>
    </row>
    <row r="16926">
      <c r="A16926">
        <f>Input!A16926</f>
        <v/>
      </c>
      <c r="B16926">
        <f>IF(ISNUMBER(Input!B16926),IF(AND(Input!B16926&gt;=20,Input!B16926&lt;=700),Input!B16926,""),"")</f>
        <v/>
      </c>
      <c r="C16926">
        <f>IF(B16926="","",INT(A16926))</f>
        <v/>
      </c>
      <c r="D16926">
        <f>IF(B16926="","",HOUR(A16926))</f>
        <v/>
      </c>
    </row>
    <row r="16927">
      <c r="A16927">
        <f>Input!A16927</f>
        <v/>
      </c>
      <c r="B16927">
        <f>IF(ISNUMBER(Input!B16927),IF(AND(Input!B16927&gt;=20,Input!B16927&lt;=700),Input!B16927,""),"")</f>
        <v/>
      </c>
      <c r="C16927">
        <f>IF(B16927="","",INT(A16927))</f>
        <v/>
      </c>
      <c r="D16927">
        <f>IF(B16927="","",HOUR(A16927))</f>
        <v/>
      </c>
    </row>
    <row r="16928">
      <c r="A16928">
        <f>Input!A16928</f>
        <v/>
      </c>
      <c r="B16928">
        <f>IF(ISNUMBER(Input!B16928),IF(AND(Input!B16928&gt;=20,Input!B16928&lt;=700),Input!B16928,""),"")</f>
        <v/>
      </c>
      <c r="C16928">
        <f>IF(B16928="","",INT(A16928))</f>
        <v/>
      </c>
      <c r="D16928">
        <f>IF(B16928="","",HOUR(A16928))</f>
        <v/>
      </c>
    </row>
    <row r="16929">
      <c r="A16929">
        <f>Input!A16929</f>
        <v/>
      </c>
      <c r="B16929">
        <f>IF(ISNUMBER(Input!B16929),IF(AND(Input!B16929&gt;=20,Input!B16929&lt;=700),Input!B16929,""),"")</f>
        <v/>
      </c>
      <c r="C16929">
        <f>IF(B16929="","",INT(A16929))</f>
        <v/>
      </c>
      <c r="D16929">
        <f>IF(B16929="","",HOUR(A16929))</f>
        <v/>
      </c>
    </row>
    <row r="16930">
      <c r="A16930">
        <f>Input!A16930</f>
        <v/>
      </c>
      <c r="B16930">
        <f>IF(ISNUMBER(Input!B16930),IF(AND(Input!B16930&gt;=20,Input!B16930&lt;=700),Input!B16930,""),"")</f>
        <v/>
      </c>
      <c r="C16930">
        <f>IF(B16930="","",INT(A16930))</f>
        <v/>
      </c>
      <c r="D16930">
        <f>IF(B16930="","",HOUR(A16930))</f>
        <v/>
      </c>
    </row>
    <row r="16931">
      <c r="A16931">
        <f>Input!A16931</f>
        <v/>
      </c>
      <c r="B16931">
        <f>IF(ISNUMBER(Input!B16931),IF(AND(Input!B16931&gt;=20,Input!B16931&lt;=700),Input!B16931,""),"")</f>
        <v/>
      </c>
      <c r="C16931">
        <f>IF(B16931="","",INT(A16931))</f>
        <v/>
      </c>
      <c r="D16931">
        <f>IF(B16931="","",HOUR(A16931))</f>
        <v/>
      </c>
    </row>
    <row r="16932">
      <c r="A16932">
        <f>Input!A16932</f>
        <v/>
      </c>
      <c r="B16932">
        <f>IF(ISNUMBER(Input!B16932),IF(AND(Input!B16932&gt;=20,Input!B16932&lt;=700),Input!B16932,""),"")</f>
        <v/>
      </c>
      <c r="C16932">
        <f>IF(B16932="","",INT(A16932))</f>
        <v/>
      </c>
      <c r="D16932">
        <f>IF(B16932="","",HOUR(A16932))</f>
        <v/>
      </c>
    </row>
    <row r="16933">
      <c r="A16933">
        <f>Input!A16933</f>
        <v/>
      </c>
      <c r="B16933">
        <f>IF(ISNUMBER(Input!B16933),IF(AND(Input!B16933&gt;=20,Input!B16933&lt;=700),Input!B16933,""),"")</f>
        <v/>
      </c>
      <c r="C16933">
        <f>IF(B16933="","",INT(A16933))</f>
        <v/>
      </c>
      <c r="D16933">
        <f>IF(B16933="","",HOUR(A16933))</f>
        <v/>
      </c>
    </row>
    <row r="16934">
      <c r="A16934">
        <f>Input!A16934</f>
        <v/>
      </c>
      <c r="B16934">
        <f>IF(ISNUMBER(Input!B16934),IF(AND(Input!B16934&gt;=20,Input!B16934&lt;=700),Input!B16934,""),"")</f>
        <v/>
      </c>
      <c r="C16934">
        <f>IF(B16934="","",INT(A16934))</f>
        <v/>
      </c>
      <c r="D16934">
        <f>IF(B16934="","",HOUR(A16934))</f>
        <v/>
      </c>
    </row>
    <row r="16935">
      <c r="A16935">
        <f>Input!A16935</f>
        <v/>
      </c>
      <c r="B16935">
        <f>IF(ISNUMBER(Input!B16935),IF(AND(Input!B16935&gt;=20,Input!B16935&lt;=700),Input!B16935,""),"")</f>
        <v/>
      </c>
      <c r="C16935">
        <f>IF(B16935="","",INT(A16935))</f>
        <v/>
      </c>
      <c r="D16935">
        <f>IF(B16935="","",HOUR(A16935))</f>
        <v/>
      </c>
    </row>
    <row r="16936">
      <c r="A16936">
        <f>Input!A16936</f>
        <v/>
      </c>
      <c r="B16936">
        <f>IF(ISNUMBER(Input!B16936),IF(AND(Input!B16936&gt;=20,Input!B16936&lt;=700),Input!B16936,""),"")</f>
        <v/>
      </c>
      <c r="C16936">
        <f>IF(B16936="","",INT(A16936))</f>
        <v/>
      </c>
      <c r="D16936">
        <f>IF(B16936="","",HOUR(A16936))</f>
        <v/>
      </c>
    </row>
    <row r="16937">
      <c r="A16937">
        <f>Input!A16937</f>
        <v/>
      </c>
      <c r="B16937">
        <f>IF(ISNUMBER(Input!B16937),IF(AND(Input!B16937&gt;=20,Input!B16937&lt;=700),Input!B16937,""),"")</f>
        <v/>
      </c>
      <c r="C16937">
        <f>IF(B16937="","",INT(A16937))</f>
        <v/>
      </c>
      <c r="D16937">
        <f>IF(B16937="","",HOUR(A16937))</f>
        <v/>
      </c>
    </row>
    <row r="16938">
      <c r="A16938">
        <f>Input!A16938</f>
        <v/>
      </c>
      <c r="B16938">
        <f>IF(ISNUMBER(Input!B16938),IF(AND(Input!B16938&gt;=20,Input!B16938&lt;=700),Input!B16938,""),"")</f>
        <v/>
      </c>
      <c r="C16938">
        <f>IF(B16938="","",INT(A16938))</f>
        <v/>
      </c>
      <c r="D16938">
        <f>IF(B16938="","",HOUR(A16938))</f>
        <v/>
      </c>
    </row>
    <row r="16939">
      <c r="A16939">
        <f>Input!A16939</f>
        <v/>
      </c>
      <c r="B16939">
        <f>IF(ISNUMBER(Input!B16939),IF(AND(Input!B16939&gt;=20,Input!B16939&lt;=700),Input!B16939,""),"")</f>
        <v/>
      </c>
      <c r="C16939">
        <f>IF(B16939="","",INT(A16939))</f>
        <v/>
      </c>
      <c r="D16939">
        <f>IF(B16939="","",HOUR(A16939))</f>
        <v/>
      </c>
    </row>
    <row r="16940">
      <c r="A16940">
        <f>Input!A16940</f>
        <v/>
      </c>
      <c r="B16940">
        <f>IF(ISNUMBER(Input!B16940),IF(AND(Input!B16940&gt;=20,Input!B16940&lt;=700),Input!B16940,""),"")</f>
        <v/>
      </c>
      <c r="C16940">
        <f>IF(B16940="","",INT(A16940))</f>
        <v/>
      </c>
      <c r="D16940">
        <f>IF(B16940="","",HOUR(A16940))</f>
        <v/>
      </c>
    </row>
    <row r="16941">
      <c r="A16941">
        <f>Input!A16941</f>
        <v/>
      </c>
      <c r="B16941">
        <f>IF(ISNUMBER(Input!B16941),IF(AND(Input!B16941&gt;=20,Input!B16941&lt;=700),Input!B16941,""),"")</f>
        <v/>
      </c>
      <c r="C16941">
        <f>IF(B16941="","",INT(A16941))</f>
        <v/>
      </c>
      <c r="D16941">
        <f>IF(B16941="","",HOUR(A16941))</f>
        <v/>
      </c>
    </row>
    <row r="16942">
      <c r="A16942">
        <f>Input!A16942</f>
        <v/>
      </c>
      <c r="B16942">
        <f>IF(ISNUMBER(Input!B16942),IF(AND(Input!B16942&gt;=20,Input!B16942&lt;=700),Input!B16942,""),"")</f>
        <v/>
      </c>
      <c r="C16942">
        <f>IF(B16942="","",INT(A16942))</f>
        <v/>
      </c>
      <c r="D16942">
        <f>IF(B16942="","",HOUR(A16942))</f>
        <v/>
      </c>
    </row>
    <row r="16943">
      <c r="A16943">
        <f>Input!A16943</f>
        <v/>
      </c>
      <c r="B16943">
        <f>IF(ISNUMBER(Input!B16943),IF(AND(Input!B16943&gt;=20,Input!B16943&lt;=700),Input!B16943,""),"")</f>
        <v/>
      </c>
      <c r="C16943">
        <f>IF(B16943="","",INT(A16943))</f>
        <v/>
      </c>
      <c r="D16943">
        <f>IF(B16943="","",HOUR(A16943))</f>
        <v/>
      </c>
    </row>
    <row r="16944">
      <c r="A16944">
        <f>Input!A16944</f>
        <v/>
      </c>
      <c r="B16944">
        <f>IF(ISNUMBER(Input!B16944),IF(AND(Input!B16944&gt;=20,Input!B16944&lt;=700),Input!B16944,""),"")</f>
        <v/>
      </c>
      <c r="C16944">
        <f>IF(B16944="","",INT(A16944))</f>
        <v/>
      </c>
      <c r="D16944">
        <f>IF(B16944="","",HOUR(A16944))</f>
        <v/>
      </c>
    </row>
    <row r="16945">
      <c r="A16945">
        <f>Input!A16945</f>
        <v/>
      </c>
      <c r="B16945">
        <f>IF(ISNUMBER(Input!B16945),IF(AND(Input!B16945&gt;=20,Input!B16945&lt;=700),Input!B16945,""),"")</f>
        <v/>
      </c>
      <c r="C16945">
        <f>IF(B16945="","",INT(A16945))</f>
        <v/>
      </c>
      <c r="D16945">
        <f>IF(B16945="","",HOUR(A16945))</f>
        <v/>
      </c>
    </row>
    <row r="16946">
      <c r="A16946">
        <f>Input!A16946</f>
        <v/>
      </c>
      <c r="B16946">
        <f>IF(ISNUMBER(Input!B16946),IF(AND(Input!B16946&gt;=20,Input!B16946&lt;=700),Input!B16946,""),"")</f>
        <v/>
      </c>
      <c r="C16946">
        <f>IF(B16946="","",INT(A16946))</f>
        <v/>
      </c>
      <c r="D16946">
        <f>IF(B16946="","",HOUR(A16946))</f>
        <v/>
      </c>
    </row>
    <row r="16947">
      <c r="A16947">
        <f>Input!A16947</f>
        <v/>
      </c>
      <c r="B16947">
        <f>IF(ISNUMBER(Input!B16947),IF(AND(Input!B16947&gt;=20,Input!B16947&lt;=700),Input!B16947,""),"")</f>
        <v/>
      </c>
      <c r="C16947">
        <f>IF(B16947="","",INT(A16947))</f>
        <v/>
      </c>
      <c r="D16947">
        <f>IF(B16947="","",HOUR(A16947))</f>
        <v/>
      </c>
    </row>
    <row r="16948">
      <c r="A16948">
        <f>Input!A16948</f>
        <v/>
      </c>
      <c r="B16948">
        <f>IF(ISNUMBER(Input!B16948),IF(AND(Input!B16948&gt;=20,Input!B16948&lt;=700),Input!B16948,""),"")</f>
        <v/>
      </c>
      <c r="C16948">
        <f>IF(B16948="","",INT(A16948))</f>
        <v/>
      </c>
      <c r="D16948">
        <f>IF(B16948="","",HOUR(A16948))</f>
        <v/>
      </c>
    </row>
    <row r="16949">
      <c r="A16949">
        <f>Input!A16949</f>
        <v/>
      </c>
      <c r="B16949">
        <f>IF(ISNUMBER(Input!B16949),IF(AND(Input!B16949&gt;=20,Input!B16949&lt;=700),Input!B16949,""),"")</f>
        <v/>
      </c>
      <c r="C16949">
        <f>IF(B16949="","",INT(A16949))</f>
        <v/>
      </c>
      <c r="D16949">
        <f>IF(B16949="","",HOUR(A16949))</f>
        <v/>
      </c>
    </row>
    <row r="16950">
      <c r="A16950">
        <f>Input!A16950</f>
        <v/>
      </c>
      <c r="B16950">
        <f>IF(ISNUMBER(Input!B16950),IF(AND(Input!B16950&gt;=20,Input!B16950&lt;=700),Input!B16950,""),"")</f>
        <v/>
      </c>
      <c r="C16950">
        <f>IF(B16950="","",INT(A16950))</f>
        <v/>
      </c>
      <c r="D16950">
        <f>IF(B16950="","",HOUR(A16950))</f>
        <v/>
      </c>
    </row>
    <row r="16951">
      <c r="A16951">
        <f>Input!A16951</f>
        <v/>
      </c>
      <c r="B16951">
        <f>IF(ISNUMBER(Input!B16951),IF(AND(Input!B16951&gt;=20,Input!B16951&lt;=700),Input!B16951,""),"")</f>
        <v/>
      </c>
      <c r="C16951">
        <f>IF(B16951="","",INT(A16951))</f>
        <v/>
      </c>
      <c r="D16951">
        <f>IF(B16951="","",HOUR(A16951))</f>
        <v/>
      </c>
    </row>
    <row r="16952">
      <c r="A16952">
        <f>Input!A16952</f>
        <v/>
      </c>
      <c r="B16952">
        <f>IF(ISNUMBER(Input!B16952),IF(AND(Input!B16952&gt;=20,Input!B16952&lt;=700),Input!B16952,""),"")</f>
        <v/>
      </c>
      <c r="C16952">
        <f>IF(B16952="","",INT(A16952))</f>
        <v/>
      </c>
      <c r="D16952">
        <f>IF(B16952="","",HOUR(A16952))</f>
        <v/>
      </c>
    </row>
    <row r="16953">
      <c r="A16953">
        <f>Input!A16953</f>
        <v/>
      </c>
      <c r="B16953">
        <f>IF(ISNUMBER(Input!B16953),IF(AND(Input!B16953&gt;=20,Input!B16953&lt;=700),Input!B16953,""),"")</f>
        <v/>
      </c>
      <c r="C16953">
        <f>IF(B16953="","",INT(A16953))</f>
        <v/>
      </c>
      <c r="D16953">
        <f>IF(B16953="","",HOUR(A16953))</f>
        <v/>
      </c>
    </row>
    <row r="16954">
      <c r="A16954">
        <f>Input!A16954</f>
        <v/>
      </c>
      <c r="B16954">
        <f>IF(ISNUMBER(Input!B16954),IF(AND(Input!B16954&gt;=20,Input!B16954&lt;=700),Input!B16954,""),"")</f>
        <v/>
      </c>
      <c r="C16954">
        <f>IF(B16954="","",INT(A16954))</f>
        <v/>
      </c>
      <c r="D16954">
        <f>IF(B16954="","",HOUR(A16954))</f>
        <v/>
      </c>
    </row>
    <row r="16955">
      <c r="A16955">
        <f>Input!A16955</f>
        <v/>
      </c>
      <c r="B16955">
        <f>IF(ISNUMBER(Input!B16955),IF(AND(Input!B16955&gt;=20,Input!B16955&lt;=700),Input!B16955,""),"")</f>
        <v/>
      </c>
      <c r="C16955">
        <f>IF(B16955="","",INT(A16955))</f>
        <v/>
      </c>
      <c r="D16955">
        <f>IF(B16955="","",HOUR(A16955))</f>
        <v/>
      </c>
    </row>
    <row r="16956">
      <c r="A16956">
        <f>Input!A16956</f>
        <v/>
      </c>
      <c r="B16956">
        <f>IF(ISNUMBER(Input!B16956),IF(AND(Input!B16956&gt;=20,Input!B16956&lt;=700),Input!B16956,""),"")</f>
        <v/>
      </c>
      <c r="C16956">
        <f>IF(B16956="","",INT(A16956))</f>
        <v/>
      </c>
      <c r="D16956">
        <f>IF(B16956="","",HOUR(A16956))</f>
        <v/>
      </c>
    </row>
    <row r="16957">
      <c r="A16957">
        <f>Input!A16957</f>
        <v/>
      </c>
      <c r="B16957">
        <f>IF(ISNUMBER(Input!B16957),IF(AND(Input!B16957&gt;=20,Input!B16957&lt;=700),Input!B16957,""),"")</f>
        <v/>
      </c>
      <c r="C16957">
        <f>IF(B16957="","",INT(A16957))</f>
        <v/>
      </c>
      <c r="D16957">
        <f>IF(B16957="","",HOUR(A16957))</f>
        <v/>
      </c>
    </row>
    <row r="16958">
      <c r="A16958">
        <f>Input!A16958</f>
        <v/>
      </c>
      <c r="B16958">
        <f>IF(ISNUMBER(Input!B16958),IF(AND(Input!B16958&gt;=20,Input!B16958&lt;=700),Input!B16958,""),"")</f>
        <v/>
      </c>
      <c r="C16958">
        <f>IF(B16958="","",INT(A16958))</f>
        <v/>
      </c>
      <c r="D16958">
        <f>IF(B16958="","",HOUR(A16958))</f>
        <v/>
      </c>
    </row>
    <row r="16959">
      <c r="A16959">
        <f>Input!A16959</f>
        <v/>
      </c>
      <c r="B16959">
        <f>IF(ISNUMBER(Input!B16959),IF(AND(Input!B16959&gt;=20,Input!B16959&lt;=700),Input!B16959,""),"")</f>
        <v/>
      </c>
      <c r="C16959">
        <f>IF(B16959="","",INT(A16959))</f>
        <v/>
      </c>
      <c r="D16959">
        <f>IF(B16959="","",HOUR(A16959))</f>
        <v/>
      </c>
    </row>
    <row r="16960">
      <c r="A16960">
        <f>Input!A16960</f>
        <v/>
      </c>
      <c r="B16960">
        <f>IF(ISNUMBER(Input!B16960),IF(AND(Input!B16960&gt;=20,Input!B16960&lt;=700),Input!B16960,""),"")</f>
        <v/>
      </c>
      <c r="C16960">
        <f>IF(B16960="","",INT(A16960))</f>
        <v/>
      </c>
      <c r="D16960">
        <f>IF(B16960="","",HOUR(A16960))</f>
        <v/>
      </c>
    </row>
    <row r="16961">
      <c r="A16961">
        <f>Input!A16961</f>
        <v/>
      </c>
      <c r="B16961">
        <f>IF(ISNUMBER(Input!B16961),IF(AND(Input!B16961&gt;=20,Input!B16961&lt;=700),Input!B16961,""),"")</f>
        <v/>
      </c>
      <c r="C16961">
        <f>IF(B16961="","",INT(A16961))</f>
        <v/>
      </c>
      <c r="D16961">
        <f>IF(B16961="","",HOUR(A16961))</f>
        <v/>
      </c>
    </row>
    <row r="16962">
      <c r="A16962">
        <f>Input!A16962</f>
        <v/>
      </c>
      <c r="B16962">
        <f>IF(ISNUMBER(Input!B16962),IF(AND(Input!B16962&gt;=20,Input!B16962&lt;=700),Input!B16962,""),"")</f>
        <v/>
      </c>
      <c r="C16962">
        <f>IF(B16962="","",INT(A16962))</f>
        <v/>
      </c>
      <c r="D16962">
        <f>IF(B16962="","",HOUR(A16962))</f>
        <v/>
      </c>
    </row>
    <row r="16963">
      <c r="A16963">
        <f>Input!A16963</f>
        <v/>
      </c>
      <c r="B16963">
        <f>IF(ISNUMBER(Input!B16963),IF(AND(Input!B16963&gt;=20,Input!B16963&lt;=700),Input!B16963,""),"")</f>
        <v/>
      </c>
      <c r="C16963">
        <f>IF(B16963="","",INT(A16963))</f>
        <v/>
      </c>
      <c r="D16963">
        <f>IF(B16963="","",HOUR(A16963))</f>
        <v/>
      </c>
    </row>
    <row r="16964">
      <c r="A16964">
        <f>Input!A16964</f>
        <v/>
      </c>
      <c r="B16964">
        <f>IF(ISNUMBER(Input!B16964),IF(AND(Input!B16964&gt;=20,Input!B16964&lt;=700),Input!B16964,""),"")</f>
        <v/>
      </c>
      <c r="C16964">
        <f>IF(B16964="","",INT(A16964))</f>
        <v/>
      </c>
      <c r="D16964">
        <f>IF(B16964="","",HOUR(A16964))</f>
        <v/>
      </c>
    </row>
    <row r="16965">
      <c r="A16965">
        <f>Input!A16965</f>
        <v/>
      </c>
      <c r="B16965">
        <f>IF(ISNUMBER(Input!B16965),IF(AND(Input!B16965&gt;=20,Input!B16965&lt;=700),Input!B16965,""),"")</f>
        <v/>
      </c>
      <c r="C16965">
        <f>IF(B16965="","",INT(A16965))</f>
        <v/>
      </c>
      <c r="D16965">
        <f>IF(B16965="","",HOUR(A16965))</f>
        <v/>
      </c>
    </row>
    <row r="16966">
      <c r="A16966">
        <f>Input!A16966</f>
        <v/>
      </c>
      <c r="B16966">
        <f>IF(ISNUMBER(Input!B16966),IF(AND(Input!B16966&gt;=20,Input!B16966&lt;=700),Input!B16966,""),"")</f>
        <v/>
      </c>
      <c r="C16966">
        <f>IF(B16966="","",INT(A16966))</f>
        <v/>
      </c>
      <c r="D16966">
        <f>IF(B16966="","",HOUR(A16966))</f>
        <v/>
      </c>
    </row>
    <row r="16967">
      <c r="A16967">
        <f>Input!A16967</f>
        <v/>
      </c>
      <c r="B16967">
        <f>IF(ISNUMBER(Input!B16967),IF(AND(Input!B16967&gt;=20,Input!B16967&lt;=700),Input!B16967,""),"")</f>
        <v/>
      </c>
      <c r="C16967">
        <f>IF(B16967="","",INT(A16967))</f>
        <v/>
      </c>
      <c r="D16967">
        <f>IF(B16967="","",HOUR(A16967))</f>
        <v/>
      </c>
    </row>
    <row r="16968">
      <c r="A16968">
        <f>Input!A16968</f>
        <v/>
      </c>
      <c r="B16968">
        <f>IF(ISNUMBER(Input!B16968),IF(AND(Input!B16968&gt;=20,Input!B16968&lt;=700),Input!B16968,""),"")</f>
        <v/>
      </c>
      <c r="C16968">
        <f>IF(B16968="","",INT(A16968))</f>
        <v/>
      </c>
      <c r="D16968">
        <f>IF(B16968="","",HOUR(A16968))</f>
        <v/>
      </c>
    </row>
    <row r="16969">
      <c r="A16969">
        <f>Input!A16969</f>
        <v/>
      </c>
      <c r="B16969">
        <f>IF(ISNUMBER(Input!B16969),IF(AND(Input!B16969&gt;=20,Input!B16969&lt;=700),Input!B16969,""),"")</f>
        <v/>
      </c>
      <c r="C16969">
        <f>IF(B16969="","",INT(A16969))</f>
        <v/>
      </c>
      <c r="D16969">
        <f>IF(B16969="","",HOUR(A16969))</f>
        <v/>
      </c>
    </row>
    <row r="16970">
      <c r="A16970">
        <f>Input!A16970</f>
        <v/>
      </c>
      <c r="B16970">
        <f>IF(ISNUMBER(Input!B16970),IF(AND(Input!B16970&gt;=20,Input!B16970&lt;=700),Input!B16970,""),"")</f>
        <v/>
      </c>
      <c r="C16970">
        <f>IF(B16970="","",INT(A16970))</f>
        <v/>
      </c>
      <c r="D16970">
        <f>IF(B16970="","",HOUR(A16970))</f>
        <v/>
      </c>
    </row>
    <row r="16971">
      <c r="A16971">
        <f>Input!A16971</f>
        <v/>
      </c>
      <c r="B16971">
        <f>IF(ISNUMBER(Input!B16971),IF(AND(Input!B16971&gt;=20,Input!B16971&lt;=700),Input!B16971,""),"")</f>
        <v/>
      </c>
      <c r="C16971">
        <f>IF(B16971="","",INT(A16971))</f>
        <v/>
      </c>
      <c r="D16971">
        <f>IF(B16971="","",HOUR(A16971))</f>
        <v/>
      </c>
    </row>
    <row r="16972">
      <c r="A16972">
        <f>Input!A16972</f>
        <v/>
      </c>
      <c r="B16972">
        <f>IF(ISNUMBER(Input!B16972),IF(AND(Input!B16972&gt;=20,Input!B16972&lt;=700),Input!B16972,""),"")</f>
        <v/>
      </c>
      <c r="C16972">
        <f>IF(B16972="","",INT(A16972))</f>
        <v/>
      </c>
      <c r="D16972">
        <f>IF(B16972="","",HOUR(A16972))</f>
        <v/>
      </c>
    </row>
    <row r="16973">
      <c r="A16973">
        <f>Input!A16973</f>
        <v/>
      </c>
      <c r="B16973">
        <f>IF(ISNUMBER(Input!B16973),IF(AND(Input!B16973&gt;=20,Input!B16973&lt;=700),Input!B16973,""),"")</f>
        <v/>
      </c>
      <c r="C16973">
        <f>IF(B16973="","",INT(A16973))</f>
        <v/>
      </c>
      <c r="D16973">
        <f>IF(B16973="","",HOUR(A16973))</f>
        <v/>
      </c>
    </row>
    <row r="16974">
      <c r="A16974">
        <f>Input!A16974</f>
        <v/>
      </c>
      <c r="B16974">
        <f>IF(ISNUMBER(Input!B16974),IF(AND(Input!B16974&gt;=20,Input!B16974&lt;=700),Input!B16974,""),"")</f>
        <v/>
      </c>
      <c r="C16974">
        <f>IF(B16974="","",INT(A16974))</f>
        <v/>
      </c>
      <c r="D16974">
        <f>IF(B16974="","",HOUR(A16974))</f>
        <v/>
      </c>
    </row>
    <row r="16975">
      <c r="A16975">
        <f>Input!A16975</f>
        <v/>
      </c>
      <c r="B16975">
        <f>IF(ISNUMBER(Input!B16975),IF(AND(Input!B16975&gt;=20,Input!B16975&lt;=700),Input!B16975,""),"")</f>
        <v/>
      </c>
      <c r="C16975">
        <f>IF(B16975="","",INT(A16975))</f>
        <v/>
      </c>
      <c r="D16975">
        <f>IF(B16975="","",HOUR(A16975))</f>
        <v/>
      </c>
    </row>
    <row r="16976">
      <c r="A16976">
        <f>Input!A16976</f>
        <v/>
      </c>
      <c r="B16976">
        <f>IF(ISNUMBER(Input!B16976),IF(AND(Input!B16976&gt;=20,Input!B16976&lt;=700),Input!B16976,""),"")</f>
        <v/>
      </c>
      <c r="C16976">
        <f>IF(B16976="","",INT(A16976))</f>
        <v/>
      </c>
      <c r="D16976">
        <f>IF(B16976="","",HOUR(A16976))</f>
        <v/>
      </c>
    </row>
    <row r="16977">
      <c r="A16977">
        <f>Input!A16977</f>
        <v/>
      </c>
      <c r="B16977">
        <f>IF(ISNUMBER(Input!B16977),IF(AND(Input!B16977&gt;=20,Input!B16977&lt;=700),Input!B16977,""),"")</f>
        <v/>
      </c>
      <c r="C16977">
        <f>IF(B16977="","",INT(A16977))</f>
        <v/>
      </c>
      <c r="D16977">
        <f>IF(B16977="","",HOUR(A16977))</f>
        <v/>
      </c>
    </row>
    <row r="16978">
      <c r="A16978">
        <f>Input!A16978</f>
        <v/>
      </c>
      <c r="B16978">
        <f>IF(ISNUMBER(Input!B16978),IF(AND(Input!B16978&gt;=20,Input!B16978&lt;=700),Input!B16978,""),"")</f>
        <v/>
      </c>
      <c r="C16978">
        <f>IF(B16978="","",INT(A16978))</f>
        <v/>
      </c>
      <c r="D16978">
        <f>IF(B16978="","",HOUR(A16978))</f>
        <v/>
      </c>
    </row>
    <row r="16979">
      <c r="A16979">
        <f>Input!A16979</f>
        <v/>
      </c>
      <c r="B16979">
        <f>IF(ISNUMBER(Input!B16979),IF(AND(Input!B16979&gt;=20,Input!B16979&lt;=700),Input!B16979,""),"")</f>
        <v/>
      </c>
      <c r="C16979">
        <f>IF(B16979="","",INT(A16979))</f>
        <v/>
      </c>
      <c r="D16979">
        <f>IF(B16979="","",HOUR(A16979))</f>
        <v/>
      </c>
    </row>
    <row r="16980">
      <c r="A16980">
        <f>Input!A16980</f>
        <v/>
      </c>
      <c r="B16980">
        <f>IF(ISNUMBER(Input!B16980),IF(AND(Input!B16980&gt;=20,Input!B16980&lt;=700),Input!B16980,""),"")</f>
        <v/>
      </c>
      <c r="C16980">
        <f>IF(B16980="","",INT(A16980))</f>
        <v/>
      </c>
      <c r="D16980">
        <f>IF(B16980="","",HOUR(A16980))</f>
        <v/>
      </c>
    </row>
    <row r="16981">
      <c r="A16981">
        <f>Input!A16981</f>
        <v/>
      </c>
      <c r="B16981">
        <f>IF(ISNUMBER(Input!B16981),IF(AND(Input!B16981&gt;=20,Input!B16981&lt;=700),Input!B16981,""),"")</f>
        <v/>
      </c>
      <c r="C16981">
        <f>IF(B16981="","",INT(A16981))</f>
        <v/>
      </c>
      <c r="D16981">
        <f>IF(B16981="","",HOUR(A16981))</f>
        <v/>
      </c>
    </row>
    <row r="16982">
      <c r="A16982">
        <f>Input!A16982</f>
        <v/>
      </c>
      <c r="B16982">
        <f>IF(ISNUMBER(Input!B16982),IF(AND(Input!B16982&gt;=20,Input!B16982&lt;=700),Input!B16982,""),"")</f>
        <v/>
      </c>
      <c r="C16982">
        <f>IF(B16982="","",INT(A16982))</f>
        <v/>
      </c>
      <c r="D16982">
        <f>IF(B16982="","",HOUR(A16982))</f>
        <v/>
      </c>
    </row>
    <row r="16983">
      <c r="A16983">
        <f>Input!A16983</f>
        <v/>
      </c>
      <c r="B16983">
        <f>IF(ISNUMBER(Input!B16983),IF(AND(Input!B16983&gt;=20,Input!B16983&lt;=700),Input!B16983,""),"")</f>
        <v/>
      </c>
      <c r="C16983">
        <f>IF(B16983="","",INT(A16983))</f>
        <v/>
      </c>
      <c r="D16983">
        <f>IF(B16983="","",HOUR(A16983))</f>
        <v/>
      </c>
    </row>
    <row r="16984">
      <c r="A16984">
        <f>Input!A16984</f>
        <v/>
      </c>
      <c r="B16984">
        <f>IF(ISNUMBER(Input!B16984),IF(AND(Input!B16984&gt;=20,Input!B16984&lt;=700),Input!B16984,""),"")</f>
        <v/>
      </c>
      <c r="C16984">
        <f>IF(B16984="","",INT(A16984))</f>
        <v/>
      </c>
      <c r="D16984">
        <f>IF(B16984="","",HOUR(A16984))</f>
        <v/>
      </c>
    </row>
    <row r="16985">
      <c r="A16985">
        <f>Input!A16985</f>
        <v/>
      </c>
      <c r="B16985">
        <f>IF(ISNUMBER(Input!B16985),IF(AND(Input!B16985&gt;=20,Input!B16985&lt;=700),Input!B16985,""),"")</f>
        <v/>
      </c>
      <c r="C16985">
        <f>IF(B16985="","",INT(A16985))</f>
        <v/>
      </c>
      <c r="D16985">
        <f>IF(B16985="","",HOUR(A16985))</f>
        <v/>
      </c>
    </row>
    <row r="16986">
      <c r="A16986">
        <f>Input!A16986</f>
        <v/>
      </c>
      <c r="B16986">
        <f>IF(ISNUMBER(Input!B16986),IF(AND(Input!B16986&gt;=20,Input!B16986&lt;=700),Input!B16986,""),"")</f>
        <v/>
      </c>
      <c r="C16986">
        <f>IF(B16986="","",INT(A16986))</f>
        <v/>
      </c>
      <c r="D16986">
        <f>IF(B16986="","",HOUR(A16986))</f>
        <v/>
      </c>
    </row>
    <row r="16987">
      <c r="A16987">
        <f>Input!A16987</f>
        <v/>
      </c>
      <c r="B16987">
        <f>IF(ISNUMBER(Input!B16987),IF(AND(Input!B16987&gt;=20,Input!B16987&lt;=700),Input!B16987,""),"")</f>
        <v/>
      </c>
      <c r="C16987">
        <f>IF(B16987="","",INT(A16987))</f>
        <v/>
      </c>
      <c r="D16987">
        <f>IF(B16987="","",HOUR(A16987))</f>
        <v/>
      </c>
    </row>
    <row r="16988">
      <c r="A16988">
        <f>Input!A16988</f>
        <v/>
      </c>
      <c r="B16988">
        <f>IF(ISNUMBER(Input!B16988),IF(AND(Input!B16988&gt;=20,Input!B16988&lt;=700),Input!B16988,""),"")</f>
        <v/>
      </c>
      <c r="C16988">
        <f>IF(B16988="","",INT(A16988))</f>
        <v/>
      </c>
      <c r="D16988">
        <f>IF(B16988="","",HOUR(A16988))</f>
        <v/>
      </c>
    </row>
    <row r="16989">
      <c r="A16989">
        <f>Input!A16989</f>
        <v/>
      </c>
      <c r="B16989">
        <f>IF(ISNUMBER(Input!B16989),IF(AND(Input!B16989&gt;=20,Input!B16989&lt;=700),Input!B16989,""),"")</f>
        <v/>
      </c>
      <c r="C16989">
        <f>IF(B16989="","",INT(A16989))</f>
        <v/>
      </c>
      <c r="D16989">
        <f>IF(B16989="","",HOUR(A16989))</f>
        <v/>
      </c>
    </row>
    <row r="16990">
      <c r="A16990">
        <f>Input!A16990</f>
        <v/>
      </c>
      <c r="B16990">
        <f>IF(ISNUMBER(Input!B16990),IF(AND(Input!B16990&gt;=20,Input!B16990&lt;=700),Input!B16990,""),"")</f>
        <v/>
      </c>
      <c r="C16990">
        <f>IF(B16990="","",INT(A16990))</f>
        <v/>
      </c>
      <c r="D16990">
        <f>IF(B16990="","",HOUR(A16990))</f>
        <v/>
      </c>
    </row>
    <row r="16991">
      <c r="A16991">
        <f>Input!A16991</f>
        <v/>
      </c>
      <c r="B16991">
        <f>IF(ISNUMBER(Input!B16991),IF(AND(Input!B16991&gt;=20,Input!B16991&lt;=700),Input!B16991,""),"")</f>
        <v/>
      </c>
      <c r="C16991">
        <f>IF(B16991="","",INT(A16991))</f>
        <v/>
      </c>
      <c r="D16991">
        <f>IF(B16991="","",HOUR(A16991))</f>
        <v/>
      </c>
    </row>
    <row r="16992">
      <c r="A16992">
        <f>Input!A16992</f>
        <v/>
      </c>
      <c r="B16992">
        <f>IF(ISNUMBER(Input!B16992),IF(AND(Input!B16992&gt;=20,Input!B16992&lt;=700),Input!B16992,""),"")</f>
        <v/>
      </c>
      <c r="C16992">
        <f>IF(B16992="","",INT(A16992))</f>
        <v/>
      </c>
      <c r="D16992">
        <f>IF(B16992="","",HOUR(A16992))</f>
        <v/>
      </c>
    </row>
    <row r="16993">
      <c r="A16993">
        <f>Input!A16993</f>
        <v/>
      </c>
      <c r="B16993">
        <f>IF(ISNUMBER(Input!B16993),IF(AND(Input!B16993&gt;=20,Input!B16993&lt;=700),Input!B16993,""),"")</f>
        <v/>
      </c>
      <c r="C16993">
        <f>IF(B16993="","",INT(A16993))</f>
        <v/>
      </c>
      <c r="D16993">
        <f>IF(B16993="","",HOUR(A16993))</f>
        <v/>
      </c>
    </row>
    <row r="16994">
      <c r="A16994">
        <f>Input!A16994</f>
        <v/>
      </c>
      <c r="B16994">
        <f>IF(ISNUMBER(Input!B16994),IF(AND(Input!B16994&gt;=20,Input!B16994&lt;=700),Input!B16994,""),"")</f>
        <v/>
      </c>
      <c r="C16994">
        <f>IF(B16994="","",INT(A16994))</f>
        <v/>
      </c>
      <c r="D16994">
        <f>IF(B16994="","",HOUR(A16994))</f>
        <v/>
      </c>
    </row>
    <row r="16995">
      <c r="A16995">
        <f>Input!A16995</f>
        <v/>
      </c>
      <c r="B16995">
        <f>IF(ISNUMBER(Input!B16995),IF(AND(Input!B16995&gt;=20,Input!B16995&lt;=700),Input!B16995,""),"")</f>
        <v/>
      </c>
      <c r="C16995">
        <f>IF(B16995="","",INT(A16995))</f>
        <v/>
      </c>
      <c r="D16995">
        <f>IF(B16995="","",HOUR(A16995))</f>
        <v/>
      </c>
    </row>
    <row r="16996">
      <c r="A16996">
        <f>Input!A16996</f>
        <v/>
      </c>
      <c r="B16996">
        <f>IF(ISNUMBER(Input!B16996),IF(AND(Input!B16996&gt;=20,Input!B16996&lt;=700),Input!B16996,""),"")</f>
        <v/>
      </c>
      <c r="C16996">
        <f>IF(B16996="","",INT(A16996))</f>
        <v/>
      </c>
      <c r="D16996">
        <f>IF(B16996="","",HOUR(A16996))</f>
        <v/>
      </c>
    </row>
    <row r="16997">
      <c r="A16997">
        <f>Input!A16997</f>
        <v/>
      </c>
      <c r="B16997">
        <f>IF(ISNUMBER(Input!B16997),IF(AND(Input!B16997&gt;=20,Input!B16997&lt;=700),Input!B16997,""),"")</f>
        <v/>
      </c>
      <c r="C16997">
        <f>IF(B16997="","",INT(A16997))</f>
        <v/>
      </c>
      <c r="D16997">
        <f>IF(B16997="","",HOUR(A16997))</f>
        <v/>
      </c>
    </row>
    <row r="16998">
      <c r="A16998">
        <f>Input!A16998</f>
        <v/>
      </c>
      <c r="B16998">
        <f>IF(ISNUMBER(Input!B16998),IF(AND(Input!B16998&gt;=20,Input!B16998&lt;=700),Input!B16998,""),"")</f>
        <v/>
      </c>
      <c r="C16998">
        <f>IF(B16998="","",INT(A16998))</f>
        <v/>
      </c>
      <c r="D16998">
        <f>IF(B16998="","",HOUR(A16998))</f>
        <v/>
      </c>
    </row>
    <row r="16999">
      <c r="A16999">
        <f>Input!A16999</f>
        <v/>
      </c>
      <c r="B16999">
        <f>IF(ISNUMBER(Input!B16999),IF(AND(Input!B16999&gt;=20,Input!B16999&lt;=700),Input!B16999,""),"")</f>
        <v/>
      </c>
      <c r="C16999">
        <f>IF(B16999="","",INT(A16999))</f>
        <v/>
      </c>
      <c r="D16999">
        <f>IF(B16999="","",HOUR(A16999))</f>
        <v/>
      </c>
    </row>
    <row r="17000">
      <c r="A17000">
        <f>Input!A17000</f>
        <v/>
      </c>
      <c r="B17000">
        <f>IF(ISNUMBER(Input!B17000),IF(AND(Input!B17000&gt;=20,Input!B17000&lt;=700),Input!B17000,""),"")</f>
        <v/>
      </c>
      <c r="C17000">
        <f>IF(B17000="","",INT(A17000))</f>
        <v/>
      </c>
      <c r="D17000">
        <f>IF(B17000="","",HOUR(A17000))</f>
        <v/>
      </c>
    </row>
    <row r="17001">
      <c r="A17001">
        <f>Input!A17001</f>
        <v/>
      </c>
      <c r="B17001">
        <f>IF(ISNUMBER(Input!B17001),IF(AND(Input!B17001&gt;=20,Input!B17001&lt;=700),Input!B17001,""),"")</f>
        <v/>
      </c>
      <c r="C17001">
        <f>IF(B17001="","",INT(A17001))</f>
        <v/>
      </c>
      <c r="D17001">
        <f>IF(B17001="","",HOUR(A17001))</f>
        <v/>
      </c>
    </row>
    <row r="17002">
      <c r="A17002">
        <f>Input!A17002</f>
        <v/>
      </c>
      <c r="B17002">
        <f>IF(ISNUMBER(Input!B17002),IF(AND(Input!B17002&gt;=20,Input!B17002&lt;=700),Input!B17002,""),"")</f>
        <v/>
      </c>
      <c r="C17002">
        <f>IF(B17002="","",INT(A17002))</f>
        <v/>
      </c>
      <c r="D17002">
        <f>IF(B17002="","",HOUR(A17002))</f>
        <v/>
      </c>
    </row>
    <row r="17003">
      <c r="A17003">
        <f>Input!A17003</f>
        <v/>
      </c>
      <c r="B17003">
        <f>IF(ISNUMBER(Input!B17003),IF(AND(Input!B17003&gt;=20,Input!B17003&lt;=700),Input!B17003,""),"")</f>
        <v/>
      </c>
      <c r="C17003">
        <f>IF(B17003="","",INT(A17003))</f>
        <v/>
      </c>
      <c r="D17003">
        <f>IF(B17003="","",HOUR(A17003))</f>
        <v/>
      </c>
    </row>
    <row r="17004">
      <c r="A17004">
        <f>Input!A17004</f>
        <v/>
      </c>
      <c r="B17004">
        <f>IF(ISNUMBER(Input!B17004),IF(AND(Input!B17004&gt;=20,Input!B17004&lt;=700),Input!B17004,""),"")</f>
        <v/>
      </c>
      <c r="C17004">
        <f>IF(B17004="","",INT(A17004))</f>
        <v/>
      </c>
      <c r="D17004">
        <f>IF(B17004="","",HOUR(A17004))</f>
        <v/>
      </c>
    </row>
    <row r="17005">
      <c r="A17005">
        <f>Input!A17005</f>
        <v/>
      </c>
      <c r="B17005">
        <f>IF(ISNUMBER(Input!B17005),IF(AND(Input!B17005&gt;=20,Input!B17005&lt;=700),Input!B17005,""),"")</f>
        <v/>
      </c>
      <c r="C17005">
        <f>IF(B17005="","",INT(A17005))</f>
        <v/>
      </c>
      <c r="D17005">
        <f>IF(B17005="","",HOUR(A17005))</f>
        <v/>
      </c>
    </row>
    <row r="17006">
      <c r="A17006">
        <f>Input!A17006</f>
        <v/>
      </c>
      <c r="B17006">
        <f>IF(ISNUMBER(Input!B17006),IF(AND(Input!B17006&gt;=20,Input!B17006&lt;=700),Input!B17006,""),"")</f>
        <v/>
      </c>
      <c r="C17006">
        <f>IF(B17006="","",INT(A17006))</f>
        <v/>
      </c>
      <c r="D17006">
        <f>IF(B17006="","",HOUR(A17006))</f>
        <v/>
      </c>
    </row>
    <row r="17007">
      <c r="A17007">
        <f>Input!A17007</f>
        <v/>
      </c>
      <c r="B17007">
        <f>IF(ISNUMBER(Input!B17007),IF(AND(Input!B17007&gt;=20,Input!B17007&lt;=700),Input!B17007,""),"")</f>
        <v/>
      </c>
      <c r="C17007">
        <f>IF(B17007="","",INT(A17007))</f>
        <v/>
      </c>
      <c r="D17007">
        <f>IF(B17007="","",HOUR(A17007))</f>
        <v/>
      </c>
    </row>
    <row r="17008">
      <c r="A17008">
        <f>Input!A17008</f>
        <v/>
      </c>
      <c r="B17008">
        <f>IF(ISNUMBER(Input!B17008),IF(AND(Input!B17008&gt;=20,Input!B17008&lt;=700),Input!B17008,""),"")</f>
        <v/>
      </c>
      <c r="C17008">
        <f>IF(B17008="","",INT(A17008))</f>
        <v/>
      </c>
      <c r="D17008">
        <f>IF(B17008="","",HOUR(A17008))</f>
        <v/>
      </c>
    </row>
    <row r="17009">
      <c r="A17009">
        <f>Input!A17009</f>
        <v/>
      </c>
      <c r="B17009">
        <f>IF(ISNUMBER(Input!B17009),IF(AND(Input!B17009&gt;=20,Input!B17009&lt;=700),Input!B17009,""),"")</f>
        <v/>
      </c>
      <c r="C17009">
        <f>IF(B17009="","",INT(A17009))</f>
        <v/>
      </c>
      <c r="D17009">
        <f>IF(B17009="","",HOUR(A17009))</f>
        <v/>
      </c>
    </row>
    <row r="17010">
      <c r="A17010">
        <f>Input!A17010</f>
        <v/>
      </c>
      <c r="B17010">
        <f>IF(ISNUMBER(Input!B17010),IF(AND(Input!B17010&gt;=20,Input!B17010&lt;=700),Input!B17010,""),"")</f>
        <v/>
      </c>
      <c r="C17010">
        <f>IF(B17010="","",INT(A17010))</f>
        <v/>
      </c>
      <c r="D17010">
        <f>IF(B17010="","",HOUR(A17010))</f>
        <v/>
      </c>
    </row>
    <row r="17011">
      <c r="A17011">
        <f>Input!A17011</f>
        <v/>
      </c>
      <c r="B17011">
        <f>IF(ISNUMBER(Input!B17011),IF(AND(Input!B17011&gt;=20,Input!B17011&lt;=700),Input!B17011,""),"")</f>
        <v/>
      </c>
      <c r="C17011">
        <f>IF(B17011="","",INT(A17011))</f>
        <v/>
      </c>
      <c r="D17011">
        <f>IF(B17011="","",HOUR(A17011))</f>
        <v/>
      </c>
    </row>
    <row r="17012">
      <c r="A17012">
        <f>Input!A17012</f>
        <v/>
      </c>
      <c r="B17012">
        <f>IF(ISNUMBER(Input!B17012),IF(AND(Input!B17012&gt;=20,Input!B17012&lt;=700),Input!B17012,""),"")</f>
        <v/>
      </c>
      <c r="C17012">
        <f>IF(B17012="","",INT(A17012))</f>
        <v/>
      </c>
      <c r="D17012">
        <f>IF(B17012="","",HOUR(A17012))</f>
        <v/>
      </c>
    </row>
    <row r="17013">
      <c r="A17013">
        <f>Input!A17013</f>
        <v/>
      </c>
      <c r="B17013">
        <f>IF(ISNUMBER(Input!B17013),IF(AND(Input!B17013&gt;=20,Input!B17013&lt;=700),Input!B17013,""),"")</f>
        <v/>
      </c>
      <c r="C17013">
        <f>IF(B17013="","",INT(A17013))</f>
        <v/>
      </c>
      <c r="D17013">
        <f>IF(B17013="","",HOUR(A17013))</f>
        <v/>
      </c>
    </row>
    <row r="17014">
      <c r="A17014">
        <f>Input!A17014</f>
        <v/>
      </c>
      <c r="B17014">
        <f>IF(ISNUMBER(Input!B17014),IF(AND(Input!B17014&gt;=20,Input!B17014&lt;=700),Input!B17014,""),"")</f>
        <v/>
      </c>
      <c r="C17014">
        <f>IF(B17014="","",INT(A17014))</f>
        <v/>
      </c>
      <c r="D17014">
        <f>IF(B17014="","",HOUR(A17014))</f>
        <v/>
      </c>
    </row>
    <row r="17015">
      <c r="A17015">
        <f>Input!A17015</f>
        <v/>
      </c>
      <c r="B17015">
        <f>IF(ISNUMBER(Input!B17015),IF(AND(Input!B17015&gt;=20,Input!B17015&lt;=700),Input!B17015,""),"")</f>
        <v/>
      </c>
      <c r="C17015">
        <f>IF(B17015="","",INT(A17015))</f>
        <v/>
      </c>
      <c r="D17015">
        <f>IF(B17015="","",HOUR(A17015))</f>
        <v/>
      </c>
    </row>
    <row r="17016">
      <c r="A17016">
        <f>Input!A17016</f>
        <v/>
      </c>
      <c r="B17016">
        <f>IF(ISNUMBER(Input!B17016),IF(AND(Input!B17016&gt;=20,Input!B17016&lt;=700),Input!B17016,""),"")</f>
        <v/>
      </c>
      <c r="C17016">
        <f>IF(B17016="","",INT(A17016))</f>
        <v/>
      </c>
      <c r="D17016">
        <f>IF(B17016="","",HOUR(A17016))</f>
        <v/>
      </c>
    </row>
    <row r="17017">
      <c r="A17017">
        <f>Input!A17017</f>
        <v/>
      </c>
      <c r="B17017">
        <f>IF(ISNUMBER(Input!B17017),IF(AND(Input!B17017&gt;=20,Input!B17017&lt;=700),Input!B17017,""),"")</f>
        <v/>
      </c>
      <c r="C17017">
        <f>IF(B17017="","",INT(A17017))</f>
        <v/>
      </c>
      <c r="D17017">
        <f>IF(B17017="","",HOUR(A17017))</f>
        <v/>
      </c>
    </row>
    <row r="17018">
      <c r="A17018">
        <f>Input!A17018</f>
        <v/>
      </c>
      <c r="B17018">
        <f>IF(ISNUMBER(Input!B17018),IF(AND(Input!B17018&gt;=20,Input!B17018&lt;=700),Input!B17018,""),"")</f>
        <v/>
      </c>
      <c r="C17018">
        <f>IF(B17018="","",INT(A17018))</f>
        <v/>
      </c>
      <c r="D17018">
        <f>IF(B17018="","",HOUR(A17018))</f>
        <v/>
      </c>
    </row>
    <row r="17019">
      <c r="A17019">
        <f>Input!A17019</f>
        <v/>
      </c>
      <c r="B17019">
        <f>IF(ISNUMBER(Input!B17019),IF(AND(Input!B17019&gt;=20,Input!B17019&lt;=700),Input!B17019,""),"")</f>
        <v/>
      </c>
      <c r="C17019">
        <f>IF(B17019="","",INT(A17019))</f>
        <v/>
      </c>
      <c r="D17019">
        <f>IF(B17019="","",HOUR(A17019))</f>
        <v/>
      </c>
    </row>
    <row r="17020">
      <c r="A17020">
        <f>Input!A17020</f>
        <v/>
      </c>
      <c r="B17020">
        <f>IF(ISNUMBER(Input!B17020),IF(AND(Input!B17020&gt;=20,Input!B17020&lt;=700),Input!B17020,""),"")</f>
        <v/>
      </c>
      <c r="C17020">
        <f>IF(B17020="","",INT(A17020))</f>
        <v/>
      </c>
      <c r="D17020">
        <f>IF(B17020="","",HOUR(A17020))</f>
        <v/>
      </c>
    </row>
    <row r="17021">
      <c r="A17021">
        <f>Input!A17021</f>
        <v/>
      </c>
      <c r="B17021">
        <f>IF(ISNUMBER(Input!B17021),IF(AND(Input!B17021&gt;=20,Input!B17021&lt;=700),Input!B17021,""),"")</f>
        <v/>
      </c>
      <c r="C17021">
        <f>IF(B17021="","",INT(A17021))</f>
        <v/>
      </c>
      <c r="D17021">
        <f>IF(B17021="","",HOUR(A17021))</f>
        <v/>
      </c>
    </row>
    <row r="17022">
      <c r="A17022">
        <f>Input!A17022</f>
        <v/>
      </c>
      <c r="B17022">
        <f>IF(ISNUMBER(Input!B17022),IF(AND(Input!B17022&gt;=20,Input!B17022&lt;=700),Input!B17022,""),"")</f>
        <v/>
      </c>
      <c r="C17022">
        <f>IF(B17022="","",INT(A17022))</f>
        <v/>
      </c>
      <c r="D17022">
        <f>IF(B17022="","",HOUR(A17022))</f>
        <v/>
      </c>
    </row>
    <row r="17023">
      <c r="A17023">
        <f>Input!A17023</f>
        <v/>
      </c>
      <c r="B17023">
        <f>IF(ISNUMBER(Input!B17023),IF(AND(Input!B17023&gt;=20,Input!B17023&lt;=700),Input!B17023,""),"")</f>
        <v/>
      </c>
      <c r="C17023">
        <f>IF(B17023="","",INT(A17023))</f>
        <v/>
      </c>
      <c r="D17023">
        <f>IF(B17023="","",HOUR(A17023))</f>
        <v/>
      </c>
    </row>
    <row r="17024">
      <c r="A17024">
        <f>Input!A17024</f>
        <v/>
      </c>
      <c r="B17024">
        <f>IF(ISNUMBER(Input!B17024),IF(AND(Input!B17024&gt;=20,Input!B17024&lt;=700),Input!B17024,""),"")</f>
        <v/>
      </c>
      <c r="C17024">
        <f>IF(B17024="","",INT(A17024))</f>
        <v/>
      </c>
      <c r="D17024">
        <f>IF(B17024="","",HOUR(A17024))</f>
        <v/>
      </c>
    </row>
    <row r="17025">
      <c r="A17025">
        <f>Input!A17025</f>
        <v/>
      </c>
      <c r="B17025">
        <f>IF(ISNUMBER(Input!B17025),IF(AND(Input!B17025&gt;=20,Input!B17025&lt;=700),Input!B17025,""),"")</f>
        <v/>
      </c>
      <c r="C17025">
        <f>IF(B17025="","",INT(A17025))</f>
        <v/>
      </c>
      <c r="D17025">
        <f>IF(B17025="","",HOUR(A17025))</f>
        <v/>
      </c>
    </row>
    <row r="17026">
      <c r="A17026">
        <f>Input!A17026</f>
        <v/>
      </c>
      <c r="B17026">
        <f>IF(ISNUMBER(Input!B17026),IF(AND(Input!B17026&gt;=20,Input!B17026&lt;=700),Input!B17026,""),"")</f>
        <v/>
      </c>
      <c r="C17026">
        <f>IF(B17026="","",INT(A17026))</f>
        <v/>
      </c>
      <c r="D17026">
        <f>IF(B17026="","",HOUR(A17026))</f>
        <v/>
      </c>
    </row>
    <row r="17027">
      <c r="A17027">
        <f>Input!A17027</f>
        <v/>
      </c>
      <c r="B17027">
        <f>IF(ISNUMBER(Input!B17027),IF(AND(Input!B17027&gt;=20,Input!B17027&lt;=700),Input!B17027,""),"")</f>
        <v/>
      </c>
      <c r="C17027">
        <f>IF(B17027="","",INT(A17027))</f>
        <v/>
      </c>
      <c r="D17027">
        <f>IF(B17027="","",HOUR(A17027))</f>
        <v/>
      </c>
    </row>
    <row r="17028">
      <c r="A17028">
        <f>Input!A17028</f>
        <v/>
      </c>
      <c r="B17028">
        <f>IF(ISNUMBER(Input!B17028),IF(AND(Input!B17028&gt;=20,Input!B17028&lt;=700),Input!B17028,""),"")</f>
        <v/>
      </c>
      <c r="C17028">
        <f>IF(B17028="","",INT(A17028))</f>
        <v/>
      </c>
      <c r="D17028">
        <f>IF(B17028="","",HOUR(A17028))</f>
        <v/>
      </c>
    </row>
    <row r="17029">
      <c r="A17029">
        <f>Input!A17029</f>
        <v/>
      </c>
      <c r="B17029">
        <f>IF(ISNUMBER(Input!B17029),IF(AND(Input!B17029&gt;=20,Input!B17029&lt;=700),Input!B17029,""),"")</f>
        <v/>
      </c>
      <c r="C17029">
        <f>IF(B17029="","",INT(A17029))</f>
        <v/>
      </c>
      <c r="D17029">
        <f>IF(B17029="","",HOUR(A17029))</f>
        <v/>
      </c>
    </row>
    <row r="17030">
      <c r="A17030">
        <f>Input!A17030</f>
        <v/>
      </c>
      <c r="B17030">
        <f>IF(ISNUMBER(Input!B17030),IF(AND(Input!B17030&gt;=20,Input!B17030&lt;=700),Input!B17030,""),"")</f>
        <v/>
      </c>
      <c r="C17030">
        <f>IF(B17030="","",INT(A17030))</f>
        <v/>
      </c>
      <c r="D17030">
        <f>IF(B17030="","",HOUR(A17030))</f>
        <v/>
      </c>
    </row>
    <row r="17031">
      <c r="A17031">
        <f>Input!A17031</f>
        <v/>
      </c>
      <c r="B17031">
        <f>IF(ISNUMBER(Input!B17031),IF(AND(Input!B17031&gt;=20,Input!B17031&lt;=700),Input!B17031,""),"")</f>
        <v/>
      </c>
      <c r="C17031">
        <f>IF(B17031="","",INT(A17031))</f>
        <v/>
      </c>
      <c r="D17031">
        <f>IF(B17031="","",HOUR(A17031))</f>
        <v/>
      </c>
    </row>
    <row r="17032">
      <c r="A17032">
        <f>Input!A17032</f>
        <v/>
      </c>
      <c r="B17032">
        <f>IF(ISNUMBER(Input!B17032),IF(AND(Input!B17032&gt;=20,Input!B17032&lt;=700),Input!B17032,""),"")</f>
        <v/>
      </c>
      <c r="C17032">
        <f>IF(B17032="","",INT(A17032))</f>
        <v/>
      </c>
      <c r="D17032">
        <f>IF(B17032="","",HOUR(A17032))</f>
        <v/>
      </c>
    </row>
    <row r="17033">
      <c r="A17033">
        <f>Input!A17033</f>
        <v/>
      </c>
      <c r="B17033">
        <f>IF(ISNUMBER(Input!B17033),IF(AND(Input!B17033&gt;=20,Input!B17033&lt;=700),Input!B17033,""),"")</f>
        <v/>
      </c>
      <c r="C17033">
        <f>IF(B17033="","",INT(A17033))</f>
        <v/>
      </c>
      <c r="D17033">
        <f>IF(B17033="","",HOUR(A17033))</f>
        <v/>
      </c>
    </row>
    <row r="17034">
      <c r="A17034">
        <f>Input!A17034</f>
        <v/>
      </c>
      <c r="B17034">
        <f>IF(ISNUMBER(Input!B17034),IF(AND(Input!B17034&gt;=20,Input!B17034&lt;=700),Input!B17034,""),"")</f>
        <v/>
      </c>
      <c r="C17034">
        <f>IF(B17034="","",INT(A17034))</f>
        <v/>
      </c>
      <c r="D17034">
        <f>IF(B17034="","",HOUR(A17034))</f>
        <v/>
      </c>
    </row>
    <row r="17035">
      <c r="A17035">
        <f>Input!A17035</f>
        <v/>
      </c>
      <c r="B17035">
        <f>IF(ISNUMBER(Input!B17035),IF(AND(Input!B17035&gt;=20,Input!B17035&lt;=700),Input!B17035,""),"")</f>
        <v/>
      </c>
      <c r="C17035">
        <f>IF(B17035="","",INT(A17035))</f>
        <v/>
      </c>
      <c r="D17035">
        <f>IF(B17035="","",HOUR(A17035))</f>
        <v/>
      </c>
    </row>
    <row r="17036">
      <c r="A17036">
        <f>Input!A17036</f>
        <v/>
      </c>
      <c r="B17036">
        <f>IF(ISNUMBER(Input!B17036),IF(AND(Input!B17036&gt;=20,Input!B17036&lt;=700),Input!B17036,""),"")</f>
        <v/>
      </c>
      <c r="C17036">
        <f>IF(B17036="","",INT(A17036))</f>
        <v/>
      </c>
      <c r="D17036">
        <f>IF(B17036="","",HOUR(A17036))</f>
        <v/>
      </c>
    </row>
    <row r="17037">
      <c r="A17037">
        <f>Input!A17037</f>
        <v/>
      </c>
      <c r="B17037">
        <f>IF(ISNUMBER(Input!B17037),IF(AND(Input!B17037&gt;=20,Input!B17037&lt;=700),Input!B17037,""),"")</f>
        <v/>
      </c>
      <c r="C17037">
        <f>IF(B17037="","",INT(A17037))</f>
        <v/>
      </c>
      <c r="D17037">
        <f>IF(B17037="","",HOUR(A17037))</f>
        <v/>
      </c>
    </row>
    <row r="17038">
      <c r="A17038">
        <f>Input!A17038</f>
        <v/>
      </c>
      <c r="B17038">
        <f>IF(ISNUMBER(Input!B17038),IF(AND(Input!B17038&gt;=20,Input!B17038&lt;=700),Input!B17038,""),"")</f>
        <v/>
      </c>
      <c r="C17038">
        <f>IF(B17038="","",INT(A17038))</f>
        <v/>
      </c>
      <c r="D17038">
        <f>IF(B17038="","",HOUR(A17038))</f>
        <v/>
      </c>
    </row>
    <row r="17039">
      <c r="A17039">
        <f>Input!A17039</f>
        <v/>
      </c>
      <c r="B17039">
        <f>IF(ISNUMBER(Input!B17039),IF(AND(Input!B17039&gt;=20,Input!B17039&lt;=700),Input!B17039,""),"")</f>
        <v/>
      </c>
      <c r="C17039">
        <f>IF(B17039="","",INT(A17039))</f>
        <v/>
      </c>
      <c r="D17039">
        <f>IF(B17039="","",HOUR(A17039))</f>
        <v/>
      </c>
    </row>
    <row r="17040">
      <c r="A17040">
        <f>Input!A17040</f>
        <v/>
      </c>
      <c r="B17040">
        <f>IF(ISNUMBER(Input!B17040),IF(AND(Input!B17040&gt;=20,Input!B17040&lt;=700),Input!B17040,""),"")</f>
        <v/>
      </c>
      <c r="C17040">
        <f>IF(B17040="","",INT(A17040))</f>
        <v/>
      </c>
      <c r="D17040">
        <f>IF(B17040="","",HOUR(A17040))</f>
        <v/>
      </c>
    </row>
    <row r="17041">
      <c r="A17041">
        <f>Input!A17041</f>
        <v/>
      </c>
      <c r="B17041">
        <f>IF(ISNUMBER(Input!B17041),IF(AND(Input!B17041&gt;=20,Input!B17041&lt;=700),Input!B17041,""),"")</f>
        <v/>
      </c>
      <c r="C17041">
        <f>IF(B17041="","",INT(A17041))</f>
        <v/>
      </c>
      <c r="D17041">
        <f>IF(B17041="","",HOUR(A17041))</f>
        <v/>
      </c>
    </row>
    <row r="17042">
      <c r="A17042">
        <f>Input!A17042</f>
        <v/>
      </c>
      <c r="B17042">
        <f>IF(ISNUMBER(Input!B17042),IF(AND(Input!B17042&gt;=20,Input!B17042&lt;=700),Input!B17042,""),"")</f>
        <v/>
      </c>
      <c r="C17042">
        <f>IF(B17042="","",INT(A17042))</f>
        <v/>
      </c>
      <c r="D17042">
        <f>IF(B17042="","",HOUR(A17042))</f>
        <v/>
      </c>
    </row>
    <row r="17043">
      <c r="A17043">
        <f>Input!A17043</f>
        <v/>
      </c>
      <c r="B17043">
        <f>IF(ISNUMBER(Input!B17043),IF(AND(Input!B17043&gt;=20,Input!B17043&lt;=700),Input!B17043,""),"")</f>
        <v/>
      </c>
      <c r="C17043">
        <f>IF(B17043="","",INT(A17043))</f>
        <v/>
      </c>
      <c r="D17043">
        <f>IF(B17043="","",HOUR(A17043))</f>
        <v/>
      </c>
    </row>
    <row r="17044">
      <c r="A17044">
        <f>Input!A17044</f>
        <v/>
      </c>
      <c r="B17044">
        <f>IF(ISNUMBER(Input!B17044),IF(AND(Input!B17044&gt;=20,Input!B17044&lt;=700),Input!B17044,""),"")</f>
        <v/>
      </c>
      <c r="C17044">
        <f>IF(B17044="","",INT(A17044))</f>
        <v/>
      </c>
      <c r="D17044">
        <f>IF(B17044="","",HOUR(A17044))</f>
        <v/>
      </c>
    </row>
    <row r="17045">
      <c r="A17045">
        <f>Input!A17045</f>
        <v/>
      </c>
      <c r="B17045">
        <f>IF(ISNUMBER(Input!B17045),IF(AND(Input!B17045&gt;=20,Input!B17045&lt;=700),Input!B17045,""),"")</f>
        <v/>
      </c>
      <c r="C17045">
        <f>IF(B17045="","",INT(A17045))</f>
        <v/>
      </c>
      <c r="D17045">
        <f>IF(B17045="","",HOUR(A17045))</f>
        <v/>
      </c>
    </row>
    <row r="17046">
      <c r="A17046">
        <f>Input!A17046</f>
        <v/>
      </c>
      <c r="B17046">
        <f>IF(ISNUMBER(Input!B17046),IF(AND(Input!B17046&gt;=20,Input!B17046&lt;=700),Input!B17046,""),"")</f>
        <v/>
      </c>
      <c r="C17046">
        <f>IF(B17046="","",INT(A17046))</f>
        <v/>
      </c>
      <c r="D17046">
        <f>IF(B17046="","",HOUR(A17046))</f>
        <v/>
      </c>
    </row>
    <row r="17047">
      <c r="A17047">
        <f>Input!A17047</f>
        <v/>
      </c>
      <c r="B17047">
        <f>IF(ISNUMBER(Input!B17047),IF(AND(Input!B17047&gt;=20,Input!B17047&lt;=700),Input!B17047,""),"")</f>
        <v/>
      </c>
      <c r="C17047">
        <f>IF(B17047="","",INT(A17047))</f>
        <v/>
      </c>
      <c r="D17047">
        <f>IF(B17047="","",HOUR(A17047))</f>
        <v/>
      </c>
    </row>
    <row r="17048">
      <c r="A17048">
        <f>Input!A17048</f>
        <v/>
      </c>
      <c r="B17048">
        <f>IF(ISNUMBER(Input!B17048),IF(AND(Input!B17048&gt;=20,Input!B17048&lt;=700),Input!B17048,""),"")</f>
        <v/>
      </c>
      <c r="C17048">
        <f>IF(B17048="","",INT(A17048))</f>
        <v/>
      </c>
      <c r="D17048">
        <f>IF(B17048="","",HOUR(A17048))</f>
        <v/>
      </c>
    </row>
    <row r="17049">
      <c r="A17049">
        <f>Input!A17049</f>
        <v/>
      </c>
      <c r="B17049">
        <f>IF(ISNUMBER(Input!B17049),IF(AND(Input!B17049&gt;=20,Input!B17049&lt;=700),Input!B17049,""),"")</f>
        <v/>
      </c>
      <c r="C17049">
        <f>IF(B17049="","",INT(A17049))</f>
        <v/>
      </c>
      <c r="D17049">
        <f>IF(B17049="","",HOUR(A17049))</f>
        <v/>
      </c>
    </row>
    <row r="17050">
      <c r="A17050">
        <f>Input!A17050</f>
        <v/>
      </c>
      <c r="B17050">
        <f>IF(ISNUMBER(Input!B17050),IF(AND(Input!B17050&gt;=20,Input!B17050&lt;=700),Input!B17050,""),"")</f>
        <v/>
      </c>
      <c r="C17050">
        <f>IF(B17050="","",INT(A17050))</f>
        <v/>
      </c>
      <c r="D17050">
        <f>IF(B17050="","",HOUR(A17050))</f>
        <v/>
      </c>
    </row>
    <row r="17051">
      <c r="A17051">
        <f>Input!A17051</f>
        <v/>
      </c>
      <c r="B17051">
        <f>IF(ISNUMBER(Input!B17051),IF(AND(Input!B17051&gt;=20,Input!B17051&lt;=700),Input!B17051,""),"")</f>
        <v/>
      </c>
      <c r="C17051">
        <f>IF(B17051="","",INT(A17051))</f>
        <v/>
      </c>
      <c r="D17051">
        <f>IF(B17051="","",HOUR(A17051))</f>
        <v/>
      </c>
    </row>
    <row r="17052">
      <c r="A17052">
        <f>Input!A17052</f>
        <v/>
      </c>
      <c r="B17052">
        <f>IF(ISNUMBER(Input!B17052),IF(AND(Input!B17052&gt;=20,Input!B17052&lt;=700),Input!B17052,""),"")</f>
        <v/>
      </c>
      <c r="C17052">
        <f>IF(B17052="","",INT(A17052))</f>
        <v/>
      </c>
      <c r="D17052">
        <f>IF(B17052="","",HOUR(A17052))</f>
        <v/>
      </c>
    </row>
    <row r="17053">
      <c r="A17053">
        <f>Input!A17053</f>
        <v/>
      </c>
      <c r="B17053">
        <f>IF(ISNUMBER(Input!B17053),IF(AND(Input!B17053&gt;=20,Input!B17053&lt;=700),Input!B17053,""),"")</f>
        <v/>
      </c>
      <c r="C17053">
        <f>IF(B17053="","",INT(A17053))</f>
        <v/>
      </c>
      <c r="D17053">
        <f>IF(B17053="","",HOUR(A17053))</f>
        <v/>
      </c>
    </row>
    <row r="17054">
      <c r="A17054">
        <f>Input!A17054</f>
        <v/>
      </c>
      <c r="B17054">
        <f>IF(ISNUMBER(Input!B17054),IF(AND(Input!B17054&gt;=20,Input!B17054&lt;=700),Input!B17054,""),"")</f>
        <v/>
      </c>
      <c r="C17054">
        <f>IF(B17054="","",INT(A17054))</f>
        <v/>
      </c>
      <c r="D17054">
        <f>IF(B17054="","",HOUR(A17054))</f>
        <v/>
      </c>
    </row>
    <row r="17055">
      <c r="A17055">
        <f>Input!A17055</f>
        <v/>
      </c>
      <c r="B17055">
        <f>IF(ISNUMBER(Input!B17055),IF(AND(Input!B17055&gt;=20,Input!B17055&lt;=700),Input!B17055,""),"")</f>
        <v/>
      </c>
      <c r="C17055">
        <f>IF(B17055="","",INT(A17055))</f>
        <v/>
      </c>
      <c r="D17055">
        <f>IF(B17055="","",HOUR(A17055))</f>
        <v/>
      </c>
    </row>
    <row r="17056">
      <c r="A17056">
        <f>Input!A17056</f>
        <v/>
      </c>
      <c r="B17056">
        <f>IF(ISNUMBER(Input!B17056),IF(AND(Input!B17056&gt;=20,Input!B17056&lt;=700),Input!B17056,""),"")</f>
        <v/>
      </c>
      <c r="C17056">
        <f>IF(B17056="","",INT(A17056))</f>
        <v/>
      </c>
      <c r="D17056">
        <f>IF(B17056="","",HOUR(A17056))</f>
        <v/>
      </c>
    </row>
    <row r="17057">
      <c r="A17057">
        <f>Input!A17057</f>
        <v/>
      </c>
      <c r="B17057">
        <f>IF(ISNUMBER(Input!B17057),IF(AND(Input!B17057&gt;=20,Input!B17057&lt;=700),Input!B17057,""),"")</f>
        <v/>
      </c>
      <c r="C17057">
        <f>IF(B17057="","",INT(A17057))</f>
        <v/>
      </c>
      <c r="D17057">
        <f>IF(B17057="","",HOUR(A17057))</f>
        <v/>
      </c>
    </row>
    <row r="17058">
      <c r="A17058">
        <f>Input!A17058</f>
        <v/>
      </c>
      <c r="B17058">
        <f>IF(ISNUMBER(Input!B17058),IF(AND(Input!B17058&gt;=20,Input!B17058&lt;=700),Input!B17058,""),"")</f>
        <v/>
      </c>
      <c r="C17058">
        <f>IF(B17058="","",INT(A17058))</f>
        <v/>
      </c>
      <c r="D17058">
        <f>IF(B17058="","",HOUR(A17058))</f>
        <v/>
      </c>
    </row>
    <row r="17059">
      <c r="A17059">
        <f>Input!A17059</f>
        <v/>
      </c>
      <c r="B17059">
        <f>IF(ISNUMBER(Input!B17059),IF(AND(Input!B17059&gt;=20,Input!B17059&lt;=700),Input!B17059,""),"")</f>
        <v/>
      </c>
      <c r="C17059">
        <f>IF(B17059="","",INT(A17059))</f>
        <v/>
      </c>
      <c r="D17059">
        <f>IF(B17059="","",HOUR(A17059))</f>
        <v/>
      </c>
    </row>
    <row r="17060">
      <c r="A17060">
        <f>Input!A17060</f>
        <v/>
      </c>
      <c r="B17060">
        <f>IF(ISNUMBER(Input!B17060),IF(AND(Input!B17060&gt;=20,Input!B17060&lt;=700),Input!B17060,""),"")</f>
        <v/>
      </c>
      <c r="C17060">
        <f>IF(B17060="","",INT(A17060))</f>
        <v/>
      </c>
      <c r="D17060">
        <f>IF(B17060="","",HOUR(A17060))</f>
        <v/>
      </c>
    </row>
    <row r="17061">
      <c r="A17061">
        <f>Input!A17061</f>
        <v/>
      </c>
      <c r="B17061">
        <f>IF(ISNUMBER(Input!B17061),IF(AND(Input!B17061&gt;=20,Input!B17061&lt;=700),Input!B17061,""),"")</f>
        <v/>
      </c>
      <c r="C17061">
        <f>IF(B17061="","",INT(A17061))</f>
        <v/>
      </c>
      <c r="D17061">
        <f>IF(B17061="","",HOUR(A17061))</f>
        <v/>
      </c>
    </row>
    <row r="17062">
      <c r="A17062">
        <f>Input!A17062</f>
        <v/>
      </c>
      <c r="B17062">
        <f>IF(ISNUMBER(Input!B17062),IF(AND(Input!B17062&gt;=20,Input!B17062&lt;=700),Input!B17062,""),"")</f>
        <v/>
      </c>
      <c r="C17062">
        <f>IF(B17062="","",INT(A17062))</f>
        <v/>
      </c>
      <c r="D17062">
        <f>IF(B17062="","",HOUR(A17062))</f>
        <v/>
      </c>
    </row>
    <row r="17063">
      <c r="A17063">
        <f>Input!A17063</f>
        <v/>
      </c>
      <c r="B17063">
        <f>IF(ISNUMBER(Input!B17063),IF(AND(Input!B17063&gt;=20,Input!B17063&lt;=700),Input!B17063,""),"")</f>
        <v/>
      </c>
      <c r="C17063">
        <f>IF(B17063="","",INT(A17063))</f>
        <v/>
      </c>
      <c r="D17063">
        <f>IF(B17063="","",HOUR(A17063))</f>
        <v/>
      </c>
    </row>
    <row r="17064">
      <c r="A17064">
        <f>Input!A17064</f>
        <v/>
      </c>
      <c r="B17064">
        <f>IF(ISNUMBER(Input!B17064),IF(AND(Input!B17064&gt;=20,Input!B17064&lt;=700),Input!B17064,""),"")</f>
        <v/>
      </c>
      <c r="C17064">
        <f>IF(B17064="","",INT(A17064))</f>
        <v/>
      </c>
      <c r="D17064">
        <f>IF(B17064="","",HOUR(A17064))</f>
        <v/>
      </c>
    </row>
    <row r="17065">
      <c r="A17065">
        <f>Input!A17065</f>
        <v/>
      </c>
      <c r="B17065">
        <f>IF(ISNUMBER(Input!B17065),IF(AND(Input!B17065&gt;=20,Input!B17065&lt;=700),Input!B17065,""),"")</f>
        <v/>
      </c>
      <c r="C17065">
        <f>IF(B17065="","",INT(A17065))</f>
        <v/>
      </c>
      <c r="D17065">
        <f>IF(B17065="","",HOUR(A17065))</f>
        <v/>
      </c>
    </row>
    <row r="17066">
      <c r="A17066">
        <f>Input!A17066</f>
        <v/>
      </c>
      <c r="B17066">
        <f>IF(ISNUMBER(Input!B17066),IF(AND(Input!B17066&gt;=20,Input!B17066&lt;=700),Input!B17066,""),"")</f>
        <v/>
      </c>
      <c r="C17066">
        <f>IF(B17066="","",INT(A17066))</f>
        <v/>
      </c>
      <c r="D17066">
        <f>IF(B17066="","",HOUR(A17066))</f>
        <v/>
      </c>
    </row>
    <row r="17067">
      <c r="A17067">
        <f>Input!A17067</f>
        <v/>
      </c>
      <c r="B17067">
        <f>IF(ISNUMBER(Input!B17067),IF(AND(Input!B17067&gt;=20,Input!B17067&lt;=700),Input!B17067,""),"")</f>
        <v/>
      </c>
      <c r="C17067">
        <f>IF(B17067="","",INT(A17067))</f>
        <v/>
      </c>
      <c r="D17067">
        <f>IF(B17067="","",HOUR(A17067))</f>
        <v/>
      </c>
    </row>
    <row r="17068">
      <c r="A17068">
        <f>Input!A17068</f>
        <v/>
      </c>
      <c r="B17068">
        <f>IF(ISNUMBER(Input!B17068),IF(AND(Input!B17068&gt;=20,Input!B17068&lt;=700),Input!B17068,""),"")</f>
        <v/>
      </c>
      <c r="C17068">
        <f>IF(B17068="","",INT(A17068))</f>
        <v/>
      </c>
      <c r="D17068">
        <f>IF(B17068="","",HOUR(A17068))</f>
        <v/>
      </c>
    </row>
    <row r="17069">
      <c r="A17069">
        <f>Input!A17069</f>
        <v/>
      </c>
      <c r="B17069">
        <f>IF(ISNUMBER(Input!B17069),IF(AND(Input!B17069&gt;=20,Input!B17069&lt;=700),Input!B17069,""),"")</f>
        <v/>
      </c>
      <c r="C17069">
        <f>IF(B17069="","",INT(A17069))</f>
        <v/>
      </c>
      <c r="D17069">
        <f>IF(B17069="","",HOUR(A17069))</f>
        <v/>
      </c>
    </row>
    <row r="17070">
      <c r="A17070">
        <f>Input!A17070</f>
        <v/>
      </c>
      <c r="B17070">
        <f>IF(ISNUMBER(Input!B17070),IF(AND(Input!B17070&gt;=20,Input!B17070&lt;=700),Input!B17070,""),"")</f>
        <v/>
      </c>
      <c r="C17070">
        <f>IF(B17070="","",INT(A17070))</f>
        <v/>
      </c>
      <c r="D17070">
        <f>IF(B17070="","",HOUR(A17070))</f>
        <v/>
      </c>
    </row>
    <row r="17071">
      <c r="A17071">
        <f>Input!A17071</f>
        <v/>
      </c>
      <c r="B17071">
        <f>IF(ISNUMBER(Input!B17071),IF(AND(Input!B17071&gt;=20,Input!B17071&lt;=700),Input!B17071,""),"")</f>
        <v/>
      </c>
      <c r="C17071">
        <f>IF(B17071="","",INT(A17071))</f>
        <v/>
      </c>
      <c r="D17071">
        <f>IF(B17071="","",HOUR(A17071))</f>
        <v/>
      </c>
    </row>
    <row r="17072">
      <c r="A17072">
        <f>Input!A17072</f>
        <v/>
      </c>
      <c r="B17072">
        <f>IF(ISNUMBER(Input!B17072),IF(AND(Input!B17072&gt;=20,Input!B17072&lt;=700),Input!B17072,""),"")</f>
        <v/>
      </c>
      <c r="C17072">
        <f>IF(B17072="","",INT(A17072))</f>
        <v/>
      </c>
      <c r="D17072">
        <f>IF(B17072="","",HOUR(A17072))</f>
        <v/>
      </c>
    </row>
    <row r="17073">
      <c r="A17073">
        <f>Input!A17073</f>
        <v/>
      </c>
      <c r="B17073">
        <f>IF(ISNUMBER(Input!B17073),IF(AND(Input!B17073&gt;=20,Input!B17073&lt;=700),Input!B17073,""),"")</f>
        <v/>
      </c>
      <c r="C17073">
        <f>IF(B17073="","",INT(A17073))</f>
        <v/>
      </c>
      <c r="D17073">
        <f>IF(B17073="","",HOUR(A17073))</f>
        <v/>
      </c>
    </row>
    <row r="17074">
      <c r="A17074">
        <f>Input!A17074</f>
        <v/>
      </c>
      <c r="B17074">
        <f>IF(ISNUMBER(Input!B17074),IF(AND(Input!B17074&gt;=20,Input!B17074&lt;=700),Input!B17074,""),"")</f>
        <v/>
      </c>
      <c r="C17074">
        <f>IF(B17074="","",INT(A17074))</f>
        <v/>
      </c>
      <c r="D17074">
        <f>IF(B17074="","",HOUR(A17074))</f>
        <v/>
      </c>
    </row>
    <row r="17075">
      <c r="A17075">
        <f>Input!A17075</f>
        <v/>
      </c>
      <c r="B17075">
        <f>IF(ISNUMBER(Input!B17075),IF(AND(Input!B17075&gt;=20,Input!B17075&lt;=700),Input!B17075,""),"")</f>
        <v/>
      </c>
      <c r="C17075">
        <f>IF(B17075="","",INT(A17075))</f>
        <v/>
      </c>
      <c r="D17075">
        <f>IF(B17075="","",HOUR(A17075))</f>
        <v/>
      </c>
    </row>
    <row r="17076">
      <c r="A17076">
        <f>Input!A17076</f>
        <v/>
      </c>
      <c r="B17076">
        <f>IF(ISNUMBER(Input!B17076),IF(AND(Input!B17076&gt;=20,Input!B17076&lt;=700),Input!B17076,""),"")</f>
        <v/>
      </c>
      <c r="C17076">
        <f>IF(B17076="","",INT(A17076))</f>
        <v/>
      </c>
      <c r="D17076">
        <f>IF(B17076="","",HOUR(A17076))</f>
        <v/>
      </c>
    </row>
    <row r="17077">
      <c r="A17077">
        <f>Input!A17077</f>
        <v/>
      </c>
      <c r="B17077">
        <f>IF(ISNUMBER(Input!B17077),IF(AND(Input!B17077&gt;=20,Input!B17077&lt;=700),Input!B17077,""),"")</f>
        <v/>
      </c>
      <c r="C17077">
        <f>IF(B17077="","",INT(A17077))</f>
        <v/>
      </c>
      <c r="D17077">
        <f>IF(B17077="","",HOUR(A17077))</f>
        <v/>
      </c>
    </row>
    <row r="17078">
      <c r="A17078">
        <f>Input!A17078</f>
        <v/>
      </c>
      <c r="B17078">
        <f>IF(ISNUMBER(Input!B17078),IF(AND(Input!B17078&gt;=20,Input!B17078&lt;=700),Input!B17078,""),"")</f>
        <v/>
      </c>
      <c r="C17078">
        <f>IF(B17078="","",INT(A17078))</f>
        <v/>
      </c>
      <c r="D17078">
        <f>IF(B17078="","",HOUR(A17078))</f>
        <v/>
      </c>
    </row>
    <row r="17079">
      <c r="A17079">
        <f>Input!A17079</f>
        <v/>
      </c>
      <c r="B17079">
        <f>IF(ISNUMBER(Input!B17079),IF(AND(Input!B17079&gt;=20,Input!B17079&lt;=700),Input!B17079,""),"")</f>
        <v/>
      </c>
      <c r="C17079">
        <f>IF(B17079="","",INT(A17079))</f>
        <v/>
      </c>
      <c r="D17079">
        <f>IF(B17079="","",HOUR(A17079))</f>
        <v/>
      </c>
    </row>
    <row r="17080">
      <c r="A17080">
        <f>Input!A17080</f>
        <v/>
      </c>
      <c r="B17080">
        <f>IF(ISNUMBER(Input!B17080),IF(AND(Input!B17080&gt;=20,Input!B17080&lt;=700),Input!B17080,""),"")</f>
        <v/>
      </c>
      <c r="C17080">
        <f>IF(B17080="","",INT(A17080))</f>
        <v/>
      </c>
      <c r="D17080">
        <f>IF(B17080="","",HOUR(A17080))</f>
        <v/>
      </c>
    </row>
    <row r="17081">
      <c r="A17081">
        <f>Input!A17081</f>
        <v/>
      </c>
      <c r="B17081">
        <f>IF(ISNUMBER(Input!B17081),IF(AND(Input!B17081&gt;=20,Input!B17081&lt;=700),Input!B17081,""),"")</f>
        <v/>
      </c>
      <c r="C17081">
        <f>IF(B17081="","",INT(A17081))</f>
        <v/>
      </c>
      <c r="D17081">
        <f>IF(B17081="","",HOUR(A17081))</f>
        <v/>
      </c>
    </row>
    <row r="17082">
      <c r="A17082">
        <f>Input!A17082</f>
        <v/>
      </c>
      <c r="B17082">
        <f>IF(ISNUMBER(Input!B17082),IF(AND(Input!B17082&gt;=20,Input!B17082&lt;=700),Input!B17082,""),"")</f>
        <v/>
      </c>
      <c r="C17082">
        <f>IF(B17082="","",INT(A17082))</f>
        <v/>
      </c>
      <c r="D17082">
        <f>IF(B17082="","",HOUR(A17082))</f>
        <v/>
      </c>
    </row>
    <row r="17083">
      <c r="A17083">
        <f>Input!A17083</f>
        <v/>
      </c>
      <c r="B17083">
        <f>IF(ISNUMBER(Input!B17083),IF(AND(Input!B17083&gt;=20,Input!B17083&lt;=700),Input!B17083,""),"")</f>
        <v/>
      </c>
      <c r="C17083">
        <f>IF(B17083="","",INT(A17083))</f>
        <v/>
      </c>
      <c r="D17083">
        <f>IF(B17083="","",HOUR(A17083))</f>
        <v/>
      </c>
    </row>
    <row r="17084">
      <c r="A17084">
        <f>Input!A17084</f>
        <v/>
      </c>
      <c r="B17084">
        <f>IF(ISNUMBER(Input!B17084),IF(AND(Input!B17084&gt;=20,Input!B17084&lt;=700),Input!B17084,""),"")</f>
        <v/>
      </c>
      <c r="C17084">
        <f>IF(B17084="","",INT(A17084))</f>
        <v/>
      </c>
      <c r="D17084">
        <f>IF(B17084="","",HOUR(A17084))</f>
        <v/>
      </c>
    </row>
    <row r="17085">
      <c r="A17085">
        <f>Input!A17085</f>
        <v/>
      </c>
      <c r="B17085">
        <f>IF(ISNUMBER(Input!B17085),IF(AND(Input!B17085&gt;=20,Input!B17085&lt;=700),Input!B17085,""),"")</f>
        <v/>
      </c>
      <c r="C17085">
        <f>IF(B17085="","",INT(A17085))</f>
        <v/>
      </c>
      <c r="D17085">
        <f>IF(B17085="","",HOUR(A17085))</f>
        <v/>
      </c>
    </row>
    <row r="17086">
      <c r="A17086">
        <f>Input!A17086</f>
        <v/>
      </c>
      <c r="B17086">
        <f>IF(ISNUMBER(Input!B17086),IF(AND(Input!B17086&gt;=20,Input!B17086&lt;=700),Input!B17086,""),"")</f>
        <v/>
      </c>
      <c r="C17086">
        <f>IF(B17086="","",INT(A17086))</f>
        <v/>
      </c>
      <c r="D17086">
        <f>IF(B17086="","",HOUR(A17086))</f>
        <v/>
      </c>
    </row>
    <row r="17087">
      <c r="A17087">
        <f>Input!A17087</f>
        <v/>
      </c>
      <c r="B17087">
        <f>IF(ISNUMBER(Input!B17087),IF(AND(Input!B17087&gt;=20,Input!B17087&lt;=700),Input!B17087,""),"")</f>
        <v/>
      </c>
      <c r="C17087">
        <f>IF(B17087="","",INT(A17087))</f>
        <v/>
      </c>
      <c r="D17087">
        <f>IF(B17087="","",HOUR(A17087))</f>
        <v/>
      </c>
    </row>
    <row r="17088">
      <c r="A17088">
        <f>Input!A17088</f>
        <v/>
      </c>
      <c r="B17088">
        <f>IF(ISNUMBER(Input!B17088),IF(AND(Input!B17088&gt;=20,Input!B17088&lt;=700),Input!B17088,""),"")</f>
        <v/>
      </c>
      <c r="C17088">
        <f>IF(B17088="","",INT(A17088))</f>
        <v/>
      </c>
      <c r="D17088">
        <f>IF(B17088="","",HOUR(A17088))</f>
        <v/>
      </c>
    </row>
    <row r="17089">
      <c r="A17089">
        <f>Input!A17089</f>
        <v/>
      </c>
      <c r="B17089">
        <f>IF(ISNUMBER(Input!B17089),IF(AND(Input!B17089&gt;=20,Input!B17089&lt;=700),Input!B17089,""),"")</f>
        <v/>
      </c>
      <c r="C17089">
        <f>IF(B17089="","",INT(A17089))</f>
        <v/>
      </c>
      <c r="D17089">
        <f>IF(B17089="","",HOUR(A17089))</f>
        <v/>
      </c>
    </row>
    <row r="17090">
      <c r="A17090">
        <f>Input!A17090</f>
        <v/>
      </c>
      <c r="B17090">
        <f>IF(ISNUMBER(Input!B17090),IF(AND(Input!B17090&gt;=20,Input!B17090&lt;=700),Input!B17090,""),"")</f>
        <v/>
      </c>
      <c r="C17090">
        <f>IF(B17090="","",INT(A17090))</f>
        <v/>
      </c>
      <c r="D17090">
        <f>IF(B17090="","",HOUR(A17090))</f>
        <v/>
      </c>
    </row>
    <row r="17091">
      <c r="A17091">
        <f>Input!A17091</f>
        <v/>
      </c>
      <c r="B17091">
        <f>IF(ISNUMBER(Input!B17091),IF(AND(Input!B17091&gt;=20,Input!B17091&lt;=700),Input!B17091,""),"")</f>
        <v/>
      </c>
      <c r="C17091">
        <f>IF(B17091="","",INT(A17091))</f>
        <v/>
      </c>
      <c r="D17091">
        <f>IF(B17091="","",HOUR(A17091))</f>
        <v/>
      </c>
    </row>
    <row r="17092">
      <c r="A17092">
        <f>Input!A17092</f>
        <v/>
      </c>
      <c r="B17092">
        <f>IF(ISNUMBER(Input!B17092),IF(AND(Input!B17092&gt;=20,Input!B17092&lt;=700),Input!B17092,""),"")</f>
        <v/>
      </c>
      <c r="C17092">
        <f>IF(B17092="","",INT(A17092))</f>
        <v/>
      </c>
      <c r="D17092">
        <f>IF(B17092="","",HOUR(A17092))</f>
        <v/>
      </c>
    </row>
    <row r="17093">
      <c r="A17093">
        <f>Input!A17093</f>
        <v/>
      </c>
      <c r="B17093">
        <f>IF(ISNUMBER(Input!B17093),IF(AND(Input!B17093&gt;=20,Input!B17093&lt;=700),Input!B17093,""),"")</f>
        <v/>
      </c>
      <c r="C17093">
        <f>IF(B17093="","",INT(A17093))</f>
        <v/>
      </c>
      <c r="D17093">
        <f>IF(B17093="","",HOUR(A17093))</f>
        <v/>
      </c>
    </row>
    <row r="17094">
      <c r="A17094">
        <f>Input!A17094</f>
        <v/>
      </c>
      <c r="B17094">
        <f>IF(ISNUMBER(Input!B17094),IF(AND(Input!B17094&gt;=20,Input!B17094&lt;=700),Input!B17094,""),"")</f>
        <v/>
      </c>
      <c r="C17094">
        <f>IF(B17094="","",INT(A17094))</f>
        <v/>
      </c>
      <c r="D17094">
        <f>IF(B17094="","",HOUR(A17094))</f>
        <v/>
      </c>
    </row>
    <row r="17095">
      <c r="A17095">
        <f>Input!A17095</f>
        <v/>
      </c>
      <c r="B17095">
        <f>IF(ISNUMBER(Input!B17095),IF(AND(Input!B17095&gt;=20,Input!B17095&lt;=700),Input!B17095,""),"")</f>
        <v/>
      </c>
      <c r="C17095">
        <f>IF(B17095="","",INT(A17095))</f>
        <v/>
      </c>
      <c r="D17095">
        <f>IF(B17095="","",HOUR(A17095))</f>
        <v/>
      </c>
    </row>
    <row r="17096">
      <c r="A17096">
        <f>Input!A17096</f>
        <v/>
      </c>
      <c r="B17096">
        <f>IF(ISNUMBER(Input!B17096),IF(AND(Input!B17096&gt;=20,Input!B17096&lt;=700),Input!B17096,""),"")</f>
        <v/>
      </c>
      <c r="C17096">
        <f>IF(B17096="","",INT(A17096))</f>
        <v/>
      </c>
      <c r="D17096">
        <f>IF(B17096="","",HOUR(A17096))</f>
        <v/>
      </c>
    </row>
    <row r="17097">
      <c r="A17097">
        <f>Input!A17097</f>
        <v/>
      </c>
      <c r="B17097">
        <f>IF(ISNUMBER(Input!B17097),IF(AND(Input!B17097&gt;=20,Input!B17097&lt;=700),Input!B17097,""),"")</f>
        <v/>
      </c>
      <c r="C17097">
        <f>IF(B17097="","",INT(A17097))</f>
        <v/>
      </c>
      <c r="D17097">
        <f>IF(B17097="","",HOUR(A17097))</f>
        <v/>
      </c>
    </row>
    <row r="17098">
      <c r="A17098">
        <f>Input!A17098</f>
        <v/>
      </c>
      <c r="B17098">
        <f>IF(ISNUMBER(Input!B17098),IF(AND(Input!B17098&gt;=20,Input!B17098&lt;=700),Input!B17098,""),"")</f>
        <v/>
      </c>
      <c r="C17098">
        <f>IF(B17098="","",INT(A17098))</f>
        <v/>
      </c>
      <c r="D17098">
        <f>IF(B17098="","",HOUR(A17098))</f>
        <v/>
      </c>
    </row>
    <row r="17099">
      <c r="A17099">
        <f>Input!A17099</f>
        <v/>
      </c>
      <c r="B17099">
        <f>IF(ISNUMBER(Input!B17099),IF(AND(Input!B17099&gt;=20,Input!B17099&lt;=700),Input!B17099,""),"")</f>
        <v/>
      </c>
      <c r="C17099">
        <f>IF(B17099="","",INT(A17099))</f>
        <v/>
      </c>
      <c r="D17099">
        <f>IF(B17099="","",HOUR(A17099))</f>
        <v/>
      </c>
    </row>
    <row r="17100">
      <c r="A17100">
        <f>Input!A17100</f>
        <v/>
      </c>
      <c r="B17100">
        <f>IF(ISNUMBER(Input!B17100),IF(AND(Input!B17100&gt;=20,Input!B17100&lt;=700),Input!B17100,""),"")</f>
        <v/>
      </c>
      <c r="C17100">
        <f>IF(B17100="","",INT(A17100))</f>
        <v/>
      </c>
      <c r="D17100">
        <f>IF(B17100="","",HOUR(A17100))</f>
        <v/>
      </c>
    </row>
    <row r="17101">
      <c r="A17101">
        <f>Input!A17101</f>
        <v/>
      </c>
      <c r="B17101">
        <f>IF(ISNUMBER(Input!B17101),IF(AND(Input!B17101&gt;=20,Input!B17101&lt;=700),Input!B17101,""),"")</f>
        <v/>
      </c>
      <c r="C17101">
        <f>IF(B17101="","",INT(A17101))</f>
        <v/>
      </c>
      <c r="D17101">
        <f>IF(B17101="","",HOUR(A17101))</f>
        <v/>
      </c>
    </row>
    <row r="17102">
      <c r="A17102">
        <f>Input!A17102</f>
        <v/>
      </c>
      <c r="B17102">
        <f>IF(ISNUMBER(Input!B17102),IF(AND(Input!B17102&gt;=20,Input!B17102&lt;=700),Input!B17102,""),"")</f>
        <v/>
      </c>
      <c r="C17102">
        <f>IF(B17102="","",INT(A17102))</f>
        <v/>
      </c>
      <c r="D17102">
        <f>IF(B17102="","",HOUR(A17102))</f>
        <v/>
      </c>
    </row>
    <row r="17103">
      <c r="A17103">
        <f>Input!A17103</f>
        <v/>
      </c>
      <c r="B17103">
        <f>IF(ISNUMBER(Input!B17103),IF(AND(Input!B17103&gt;=20,Input!B17103&lt;=700),Input!B17103,""),"")</f>
        <v/>
      </c>
      <c r="C17103">
        <f>IF(B17103="","",INT(A17103))</f>
        <v/>
      </c>
      <c r="D17103">
        <f>IF(B17103="","",HOUR(A17103))</f>
        <v/>
      </c>
    </row>
    <row r="17104">
      <c r="A17104">
        <f>Input!A17104</f>
        <v/>
      </c>
      <c r="B17104">
        <f>IF(ISNUMBER(Input!B17104),IF(AND(Input!B17104&gt;=20,Input!B17104&lt;=700),Input!B17104,""),"")</f>
        <v/>
      </c>
      <c r="C17104">
        <f>IF(B17104="","",INT(A17104))</f>
        <v/>
      </c>
      <c r="D17104">
        <f>IF(B17104="","",HOUR(A17104))</f>
        <v/>
      </c>
    </row>
    <row r="17105">
      <c r="A17105">
        <f>Input!A17105</f>
        <v/>
      </c>
      <c r="B17105">
        <f>IF(ISNUMBER(Input!B17105),IF(AND(Input!B17105&gt;=20,Input!B17105&lt;=700),Input!B17105,""),"")</f>
        <v/>
      </c>
      <c r="C17105">
        <f>IF(B17105="","",INT(A17105))</f>
        <v/>
      </c>
      <c r="D17105">
        <f>IF(B17105="","",HOUR(A17105))</f>
        <v/>
      </c>
    </row>
    <row r="17106">
      <c r="A17106">
        <f>Input!A17106</f>
        <v/>
      </c>
      <c r="B17106">
        <f>IF(ISNUMBER(Input!B17106),IF(AND(Input!B17106&gt;=20,Input!B17106&lt;=700),Input!B17106,""),"")</f>
        <v/>
      </c>
      <c r="C17106">
        <f>IF(B17106="","",INT(A17106))</f>
        <v/>
      </c>
      <c r="D17106">
        <f>IF(B17106="","",HOUR(A17106))</f>
        <v/>
      </c>
    </row>
    <row r="17107">
      <c r="A17107">
        <f>Input!A17107</f>
        <v/>
      </c>
      <c r="B17107">
        <f>IF(ISNUMBER(Input!B17107),IF(AND(Input!B17107&gt;=20,Input!B17107&lt;=700),Input!B17107,""),"")</f>
        <v/>
      </c>
      <c r="C17107">
        <f>IF(B17107="","",INT(A17107))</f>
        <v/>
      </c>
      <c r="D17107">
        <f>IF(B17107="","",HOUR(A17107))</f>
        <v/>
      </c>
    </row>
    <row r="17108">
      <c r="A17108">
        <f>Input!A17108</f>
        <v/>
      </c>
      <c r="B17108">
        <f>IF(ISNUMBER(Input!B17108),IF(AND(Input!B17108&gt;=20,Input!B17108&lt;=700),Input!B17108,""),"")</f>
        <v/>
      </c>
      <c r="C17108">
        <f>IF(B17108="","",INT(A17108))</f>
        <v/>
      </c>
      <c r="D17108">
        <f>IF(B17108="","",HOUR(A17108))</f>
        <v/>
      </c>
    </row>
    <row r="17109">
      <c r="A17109">
        <f>Input!A17109</f>
        <v/>
      </c>
      <c r="B17109">
        <f>IF(ISNUMBER(Input!B17109),IF(AND(Input!B17109&gt;=20,Input!B17109&lt;=700),Input!B17109,""),"")</f>
        <v/>
      </c>
      <c r="C17109">
        <f>IF(B17109="","",INT(A17109))</f>
        <v/>
      </c>
      <c r="D17109">
        <f>IF(B17109="","",HOUR(A17109))</f>
        <v/>
      </c>
    </row>
    <row r="17110">
      <c r="A17110">
        <f>Input!A17110</f>
        <v/>
      </c>
      <c r="B17110">
        <f>IF(ISNUMBER(Input!B17110),IF(AND(Input!B17110&gt;=20,Input!B17110&lt;=700),Input!B17110,""),"")</f>
        <v/>
      </c>
      <c r="C17110">
        <f>IF(B17110="","",INT(A17110))</f>
        <v/>
      </c>
      <c r="D17110">
        <f>IF(B17110="","",HOUR(A17110))</f>
        <v/>
      </c>
    </row>
    <row r="17111">
      <c r="A17111">
        <f>Input!A17111</f>
        <v/>
      </c>
      <c r="B17111">
        <f>IF(ISNUMBER(Input!B17111),IF(AND(Input!B17111&gt;=20,Input!B17111&lt;=700),Input!B17111,""),"")</f>
        <v/>
      </c>
      <c r="C17111">
        <f>IF(B17111="","",INT(A17111))</f>
        <v/>
      </c>
      <c r="D17111">
        <f>IF(B17111="","",HOUR(A17111))</f>
        <v/>
      </c>
    </row>
    <row r="17112">
      <c r="A17112">
        <f>Input!A17112</f>
        <v/>
      </c>
      <c r="B17112">
        <f>IF(ISNUMBER(Input!B17112),IF(AND(Input!B17112&gt;=20,Input!B17112&lt;=700),Input!B17112,""),"")</f>
        <v/>
      </c>
      <c r="C17112">
        <f>IF(B17112="","",INT(A17112))</f>
        <v/>
      </c>
      <c r="D17112">
        <f>IF(B17112="","",HOUR(A17112))</f>
        <v/>
      </c>
    </row>
    <row r="17113">
      <c r="A17113">
        <f>Input!A17113</f>
        <v/>
      </c>
      <c r="B17113">
        <f>IF(ISNUMBER(Input!B17113),IF(AND(Input!B17113&gt;=20,Input!B17113&lt;=700),Input!B17113,""),"")</f>
        <v/>
      </c>
      <c r="C17113">
        <f>IF(B17113="","",INT(A17113))</f>
        <v/>
      </c>
      <c r="D17113">
        <f>IF(B17113="","",HOUR(A17113))</f>
        <v/>
      </c>
    </row>
    <row r="17114">
      <c r="A17114">
        <f>Input!A17114</f>
        <v/>
      </c>
      <c r="B17114">
        <f>IF(ISNUMBER(Input!B17114),IF(AND(Input!B17114&gt;=20,Input!B17114&lt;=700),Input!B17114,""),"")</f>
        <v/>
      </c>
      <c r="C17114">
        <f>IF(B17114="","",INT(A17114))</f>
        <v/>
      </c>
      <c r="D17114">
        <f>IF(B17114="","",HOUR(A17114))</f>
        <v/>
      </c>
    </row>
    <row r="17115">
      <c r="A17115">
        <f>Input!A17115</f>
        <v/>
      </c>
      <c r="B17115">
        <f>IF(ISNUMBER(Input!B17115),IF(AND(Input!B17115&gt;=20,Input!B17115&lt;=700),Input!B17115,""),"")</f>
        <v/>
      </c>
      <c r="C17115">
        <f>IF(B17115="","",INT(A17115))</f>
        <v/>
      </c>
      <c r="D17115">
        <f>IF(B17115="","",HOUR(A17115))</f>
        <v/>
      </c>
    </row>
    <row r="17116">
      <c r="A17116">
        <f>Input!A17116</f>
        <v/>
      </c>
      <c r="B17116">
        <f>IF(ISNUMBER(Input!B17116),IF(AND(Input!B17116&gt;=20,Input!B17116&lt;=700),Input!B17116,""),"")</f>
        <v/>
      </c>
      <c r="C17116">
        <f>IF(B17116="","",INT(A17116))</f>
        <v/>
      </c>
      <c r="D17116">
        <f>IF(B17116="","",HOUR(A17116))</f>
        <v/>
      </c>
    </row>
    <row r="17117">
      <c r="A17117">
        <f>Input!A17117</f>
        <v/>
      </c>
      <c r="B17117">
        <f>IF(ISNUMBER(Input!B17117),IF(AND(Input!B17117&gt;=20,Input!B17117&lt;=700),Input!B17117,""),"")</f>
        <v/>
      </c>
      <c r="C17117">
        <f>IF(B17117="","",INT(A17117))</f>
        <v/>
      </c>
      <c r="D17117">
        <f>IF(B17117="","",HOUR(A17117))</f>
        <v/>
      </c>
    </row>
    <row r="17118">
      <c r="A17118">
        <f>Input!A17118</f>
        <v/>
      </c>
      <c r="B17118">
        <f>IF(ISNUMBER(Input!B17118),IF(AND(Input!B17118&gt;=20,Input!B17118&lt;=700),Input!B17118,""),"")</f>
        <v/>
      </c>
      <c r="C17118">
        <f>IF(B17118="","",INT(A17118))</f>
        <v/>
      </c>
      <c r="D17118">
        <f>IF(B17118="","",HOUR(A17118))</f>
        <v/>
      </c>
    </row>
    <row r="17119">
      <c r="A17119">
        <f>Input!A17119</f>
        <v/>
      </c>
      <c r="B17119">
        <f>IF(ISNUMBER(Input!B17119),IF(AND(Input!B17119&gt;=20,Input!B17119&lt;=700),Input!B17119,""),"")</f>
        <v/>
      </c>
      <c r="C17119">
        <f>IF(B17119="","",INT(A17119))</f>
        <v/>
      </c>
      <c r="D17119">
        <f>IF(B17119="","",HOUR(A17119))</f>
        <v/>
      </c>
    </row>
    <row r="17120">
      <c r="A17120">
        <f>Input!A17120</f>
        <v/>
      </c>
      <c r="B17120">
        <f>IF(ISNUMBER(Input!B17120),IF(AND(Input!B17120&gt;=20,Input!B17120&lt;=700),Input!B17120,""),"")</f>
        <v/>
      </c>
      <c r="C17120">
        <f>IF(B17120="","",INT(A17120))</f>
        <v/>
      </c>
      <c r="D17120">
        <f>IF(B17120="","",HOUR(A17120))</f>
        <v/>
      </c>
    </row>
    <row r="17121">
      <c r="A17121">
        <f>Input!A17121</f>
        <v/>
      </c>
      <c r="B17121">
        <f>IF(ISNUMBER(Input!B17121),IF(AND(Input!B17121&gt;=20,Input!B17121&lt;=700),Input!B17121,""),"")</f>
        <v/>
      </c>
      <c r="C17121">
        <f>IF(B17121="","",INT(A17121))</f>
        <v/>
      </c>
      <c r="D17121">
        <f>IF(B17121="","",HOUR(A17121))</f>
        <v/>
      </c>
    </row>
    <row r="17122">
      <c r="A17122">
        <f>Input!A17122</f>
        <v/>
      </c>
      <c r="B17122">
        <f>IF(ISNUMBER(Input!B17122),IF(AND(Input!B17122&gt;=20,Input!B17122&lt;=700),Input!B17122,""),"")</f>
        <v/>
      </c>
      <c r="C17122">
        <f>IF(B17122="","",INT(A17122))</f>
        <v/>
      </c>
      <c r="D17122">
        <f>IF(B17122="","",HOUR(A17122))</f>
        <v/>
      </c>
    </row>
    <row r="17123">
      <c r="A17123">
        <f>Input!A17123</f>
        <v/>
      </c>
      <c r="B17123">
        <f>IF(ISNUMBER(Input!B17123),IF(AND(Input!B17123&gt;=20,Input!B17123&lt;=700),Input!B17123,""),"")</f>
        <v/>
      </c>
      <c r="C17123">
        <f>IF(B17123="","",INT(A17123))</f>
        <v/>
      </c>
      <c r="D17123">
        <f>IF(B17123="","",HOUR(A17123))</f>
        <v/>
      </c>
    </row>
    <row r="17124">
      <c r="A17124">
        <f>Input!A17124</f>
        <v/>
      </c>
      <c r="B17124">
        <f>IF(ISNUMBER(Input!B17124),IF(AND(Input!B17124&gt;=20,Input!B17124&lt;=700),Input!B17124,""),"")</f>
        <v/>
      </c>
      <c r="C17124">
        <f>IF(B17124="","",INT(A17124))</f>
        <v/>
      </c>
      <c r="D17124">
        <f>IF(B17124="","",HOUR(A17124))</f>
        <v/>
      </c>
    </row>
    <row r="17125">
      <c r="A17125">
        <f>Input!A17125</f>
        <v/>
      </c>
      <c r="B17125">
        <f>IF(ISNUMBER(Input!B17125),IF(AND(Input!B17125&gt;=20,Input!B17125&lt;=700),Input!B17125,""),"")</f>
        <v/>
      </c>
      <c r="C17125">
        <f>IF(B17125="","",INT(A17125))</f>
        <v/>
      </c>
      <c r="D17125">
        <f>IF(B17125="","",HOUR(A17125))</f>
        <v/>
      </c>
    </row>
    <row r="17126">
      <c r="A17126">
        <f>Input!A17126</f>
        <v/>
      </c>
      <c r="B17126">
        <f>IF(ISNUMBER(Input!B17126),IF(AND(Input!B17126&gt;=20,Input!B17126&lt;=700),Input!B17126,""),"")</f>
        <v/>
      </c>
      <c r="C17126">
        <f>IF(B17126="","",INT(A17126))</f>
        <v/>
      </c>
      <c r="D17126">
        <f>IF(B17126="","",HOUR(A17126))</f>
        <v/>
      </c>
    </row>
    <row r="17127">
      <c r="A17127">
        <f>Input!A17127</f>
        <v/>
      </c>
      <c r="B17127">
        <f>IF(ISNUMBER(Input!B17127),IF(AND(Input!B17127&gt;=20,Input!B17127&lt;=700),Input!B17127,""),"")</f>
        <v/>
      </c>
      <c r="C17127">
        <f>IF(B17127="","",INT(A17127))</f>
        <v/>
      </c>
      <c r="D17127">
        <f>IF(B17127="","",HOUR(A17127))</f>
        <v/>
      </c>
    </row>
    <row r="17128">
      <c r="A17128">
        <f>Input!A17128</f>
        <v/>
      </c>
      <c r="B17128">
        <f>IF(ISNUMBER(Input!B17128),IF(AND(Input!B17128&gt;=20,Input!B17128&lt;=700),Input!B17128,""),"")</f>
        <v/>
      </c>
      <c r="C17128">
        <f>IF(B17128="","",INT(A17128))</f>
        <v/>
      </c>
      <c r="D17128">
        <f>IF(B17128="","",HOUR(A17128))</f>
        <v/>
      </c>
    </row>
    <row r="17129">
      <c r="A17129">
        <f>Input!A17129</f>
        <v/>
      </c>
      <c r="B17129">
        <f>IF(ISNUMBER(Input!B17129),IF(AND(Input!B17129&gt;=20,Input!B17129&lt;=700),Input!B17129,""),"")</f>
        <v/>
      </c>
      <c r="C17129">
        <f>IF(B17129="","",INT(A17129))</f>
        <v/>
      </c>
      <c r="D17129">
        <f>IF(B17129="","",HOUR(A17129))</f>
        <v/>
      </c>
    </row>
    <row r="17130">
      <c r="A17130">
        <f>Input!A17130</f>
        <v/>
      </c>
      <c r="B17130">
        <f>IF(ISNUMBER(Input!B17130),IF(AND(Input!B17130&gt;=20,Input!B17130&lt;=700),Input!B17130,""),"")</f>
        <v/>
      </c>
      <c r="C17130">
        <f>IF(B17130="","",INT(A17130))</f>
        <v/>
      </c>
      <c r="D17130">
        <f>IF(B17130="","",HOUR(A17130))</f>
        <v/>
      </c>
    </row>
    <row r="17131">
      <c r="A17131">
        <f>Input!A17131</f>
        <v/>
      </c>
      <c r="B17131">
        <f>IF(ISNUMBER(Input!B17131),IF(AND(Input!B17131&gt;=20,Input!B17131&lt;=700),Input!B17131,""),"")</f>
        <v/>
      </c>
      <c r="C17131">
        <f>IF(B17131="","",INT(A17131))</f>
        <v/>
      </c>
      <c r="D17131">
        <f>IF(B17131="","",HOUR(A17131))</f>
        <v/>
      </c>
    </row>
    <row r="17132">
      <c r="A17132">
        <f>Input!A17132</f>
        <v/>
      </c>
      <c r="B17132">
        <f>IF(ISNUMBER(Input!B17132),IF(AND(Input!B17132&gt;=20,Input!B17132&lt;=700),Input!B17132,""),"")</f>
        <v/>
      </c>
      <c r="C17132">
        <f>IF(B17132="","",INT(A17132))</f>
        <v/>
      </c>
      <c r="D17132">
        <f>IF(B17132="","",HOUR(A17132))</f>
        <v/>
      </c>
    </row>
    <row r="17133">
      <c r="A17133">
        <f>Input!A17133</f>
        <v/>
      </c>
      <c r="B17133">
        <f>IF(ISNUMBER(Input!B17133),IF(AND(Input!B17133&gt;=20,Input!B17133&lt;=700),Input!B17133,""),"")</f>
        <v/>
      </c>
      <c r="C17133">
        <f>IF(B17133="","",INT(A17133))</f>
        <v/>
      </c>
      <c r="D17133">
        <f>IF(B17133="","",HOUR(A17133))</f>
        <v/>
      </c>
    </row>
    <row r="17134">
      <c r="A17134">
        <f>Input!A17134</f>
        <v/>
      </c>
      <c r="B17134">
        <f>IF(ISNUMBER(Input!B17134),IF(AND(Input!B17134&gt;=20,Input!B17134&lt;=700),Input!B17134,""),"")</f>
        <v/>
      </c>
      <c r="C17134">
        <f>IF(B17134="","",INT(A17134))</f>
        <v/>
      </c>
      <c r="D17134">
        <f>IF(B17134="","",HOUR(A17134))</f>
        <v/>
      </c>
    </row>
    <row r="17135">
      <c r="A17135">
        <f>Input!A17135</f>
        <v/>
      </c>
      <c r="B17135">
        <f>IF(ISNUMBER(Input!B17135),IF(AND(Input!B17135&gt;=20,Input!B17135&lt;=700),Input!B17135,""),"")</f>
        <v/>
      </c>
      <c r="C17135">
        <f>IF(B17135="","",INT(A17135))</f>
        <v/>
      </c>
      <c r="D17135">
        <f>IF(B17135="","",HOUR(A17135))</f>
        <v/>
      </c>
    </row>
    <row r="17136">
      <c r="A17136">
        <f>Input!A17136</f>
        <v/>
      </c>
      <c r="B17136">
        <f>IF(ISNUMBER(Input!B17136),IF(AND(Input!B17136&gt;=20,Input!B17136&lt;=700),Input!B17136,""),"")</f>
        <v/>
      </c>
      <c r="C17136">
        <f>IF(B17136="","",INT(A17136))</f>
        <v/>
      </c>
      <c r="D17136">
        <f>IF(B17136="","",HOUR(A17136))</f>
        <v/>
      </c>
    </row>
    <row r="17137">
      <c r="A17137">
        <f>Input!A17137</f>
        <v/>
      </c>
      <c r="B17137">
        <f>IF(ISNUMBER(Input!B17137),IF(AND(Input!B17137&gt;=20,Input!B17137&lt;=700),Input!B17137,""),"")</f>
        <v/>
      </c>
      <c r="C17137">
        <f>IF(B17137="","",INT(A17137))</f>
        <v/>
      </c>
      <c r="D17137">
        <f>IF(B17137="","",HOUR(A17137))</f>
        <v/>
      </c>
    </row>
    <row r="17138">
      <c r="A17138">
        <f>Input!A17138</f>
        <v/>
      </c>
      <c r="B17138">
        <f>IF(ISNUMBER(Input!B17138),IF(AND(Input!B17138&gt;=20,Input!B17138&lt;=700),Input!B17138,""),"")</f>
        <v/>
      </c>
      <c r="C17138">
        <f>IF(B17138="","",INT(A17138))</f>
        <v/>
      </c>
      <c r="D17138">
        <f>IF(B17138="","",HOUR(A17138))</f>
        <v/>
      </c>
    </row>
    <row r="17139">
      <c r="A17139">
        <f>Input!A17139</f>
        <v/>
      </c>
      <c r="B17139">
        <f>IF(ISNUMBER(Input!B17139),IF(AND(Input!B17139&gt;=20,Input!B17139&lt;=700),Input!B17139,""),"")</f>
        <v/>
      </c>
      <c r="C17139">
        <f>IF(B17139="","",INT(A17139))</f>
        <v/>
      </c>
      <c r="D17139">
        <f>IF(B17139="","",HOUR(A17139))</f>
        <v/>
      </c>
    </row>
    <row r="17140">
      <c r="A17140">
        <f>Input!A17140</f>
        <v/>
      </c>
      <c r="B17140">
        <f>IF(ISNUMBER(Input!B17140),IF(AND(Input!B17140&gt;=20,Input!B17140&lt;=700),Input!B17140,""),"")</f>
        <v/>
      </c>
      <c r="C17140">
        <f>IF(B17140="","",INT(A17140))</f>
        <v/>
      </c>
      <c r="D17140">
        <f>IF(B17140="","",HOUR(A17140))</f>
        <v/>
      </c>
    </row>
    <row r="17141">
      <c r="A17141">
        <f>Input!A17141</f>
        <v/>
      </c>
      <c r="B17141">
        <f>IF(ISNUMBER(Input!B17141),IF(AND(Input!B17141&gt;=20,Input!B17141&lt;=700),Input!B17141,""),"")</f>
        <v/>
      </c>
      <c r="C17141">
        <f>IF(B17141="","",INT(A17141))</f>
        <v/>
      </c>
      <c r="D17141">
        <f>IF(B17141="","",HOUR(A17141))</f>
        <v/>
      </c>
    </row>
    <row r="17142">
      <c r="A17142">
        <f>Input!A17142</f>
        <v/>
      </c>
      <c r="B17142">
        <f>IF(ISNUMBER(Input!B17142),IF(AND(Input!B17142&gt;=20,Input!B17142&lt;=700),Input!B17142,""),"")</f>
        <v/>
      </c>
      <c r="C17142">
        <f>IF(B17142="","",INT(A17142))</f>
        <v/>
      </c>
      <c r="D17142">
        <f>IF(B17142="","",HOUR(A17142))</f>
        <v/>
      </c>
    </row>
    <row r="17143">
      <c r="A17143">
        <f>Input!A17143</f>
        <v/>
      </c>
      <c r="B17143">
        <f>IF(ISNUMBER(Input!B17143),IF(AND(Input!B17143&gt;=20,Input!B17143&lt;=700),Input!B17143,""),"")</f>
        <v/>
      </c>
      <c r="C17143">
        <f>IF(B17143="","",INT(A17143))</f>
        <v/>
      </c>
      <c r="D17143">
        <f>IF(B17143="","",HOUR(A17143))</f>
        <v/>
      </c>
    </row>
    <row r="17144">
      <c r="A17144">
        <f>Input!A17144</f>
        <v/>
      </c>
      <c r="B17144">
        <f>IF(ISNUMBER(Input!B17144),IF(AND(Input!B17144&gt;=20,Input!B17144&lt;=700),Input!B17144,""),"")</f>
        <v/>
      </c>
      <c r="C17144">
        <f>IF(B17144="","",INT(A17144))</f>
        <v/>
      </c>
      <c r="D17144">
        <f>IF(B17144="","",HOUR(A17144))</f>
        <v/>
      </c>
    </row>
    <row r="17145">
      <c r="A17145">
        <f>Input!A17145</f>
        <v/>
      </c>
      <c r="B17145">
        <f>IF(ISNUMBER(Input!B17145),IF(AND(Input!B17145&gt;=20,Input!B17145&lt;=700),Input!B17145,""),"")</f>
        <v/>
      </c>
      <c r="C17145">
        <f>IF(B17145="","",INT(A17145))</f>
        <v/>
      </c>
      <c r="D17145">
        <f>IF(B17145="","",HOUR(A17145))</f>
        <v/>
      </c>
    </row>
    <row r="17146">
      <c r="A17146">
        <f>Input!A17146</f>
        <v/>
      </c>
      <c r="B17146">
        <f>IF(ISNUMBER(Input!B17146),IF(AND(Input!B17146&gt;=20,Input!B17146&lt;=700),Input!B17146,""),"")</f>
        <v/>
      </c>
      <c r="C17146">
        <f>IF(B17146="","",INT(A17146))</f>
        <v/>
      </c>
      <c r="D17146">
        <f>IF(B17146="","",HOUR(A17146))</f>
        <v/>
      </c>
    </row>
    <row r="17147">
      <c r="A17147">
        <f>Input!A17147</f>
        <v/>
      </c>
      <c r="B17147">
        <f>IF(ISNUMBER(Input!B17147),IF(AND(Input!B17147&gt;=20,Input!B17147&lt;=700),Input!B17147,""),"")</f>
        <v/>
      </c>
      <c r="C17147">
        <f>IF(B17147="","",INT(A17147))</f>
        <v/>
      </c>
      <c r="D17147">
        <f>IF(B17147="","",HOUR(A17147))</f>
        <v/>
      </c>
    </row>
    <row r="17148">
      <c r="A17148">
        <f>Input!A17148</f>
        <v/>
      </c>
      <c r="B17148">
        <f>IF(ISNUMBER(Input!B17148),IF(AND(Input!B17148&gt;=20,Input!B17148&lt;=700),Input!B17148,""),"")</f>
        <v/>
      </c>
      <c r="C17148">
        <f>IF(B17148="","",INT(A17148))</f>
        <v/>
      </c>
      <c r="D17148">
        <f>IF(B17148="","",HOUR(A17148))</f>
        <v/>
      </c>
    </row>
    <row r="17149">
      <c r="A17149">
        <f>Input!A17149</f>
        <v/>
      </c>
      <c r="B17149">
        <f>IF(ISNUMBER(Input!B17149),IF(AND(Input!B17149&gt;=20,Input!B17149&lt;=700),Input!B17149,""),"")</f>
        <v/>
      </c>
      <c r="C17149">
        <f>IF(B17149="","",INT(A17149))</f>
        <v/>
      </c>
      <c r="D17149">
        <f>IF(B17149="","",HOUR(A17149))</f>
        <v/>
      </c>
    </row>
    <row r="17150">
      <c r="A17150">
        <f>Input!A17150</f>
        <v/>
      </c>
      <c r="B17150">
        <f>IF(ISNUMBER(Input!B17150),IF(AND(Input!B17150&gt;=20,Input!B17150&lt;=700),Input!B17150,""),"")</f>
        <v/>
      </c>
      <c r="C17150">
        <f>IF(B17150="","",INT(A17150))</f>
        <v/>
      </c>
      <c r="D17150">
        <f>IF(B17150="","",HOUR(A17150))</f>
        <v/>
      </c>
    </row>
    <row r="17151">
      <c r="A17151">
        <f>Input!A17151</f>
        <v/>
      </c>
      <c r="B17151">
        <f>IF(ISNUMBER(Input!B17151),IF(AND(Input!B17151&gt;=20,Input!B17151&lt;=700),Input!B17151,""),"")</f>
        <v/>
      </c>
      <c r="C17151">
        <f>IF(B17151="","",INT(A17151))</f>
        <v/>
      </c>
      <c r="D17151">
        <f>IF(B17151="","",HOUR(A17151))</f>
        <v/>
      </c>
    </row>
    <row r="17152">
      <c r="A17152">
        <f>Input!A17152</f>
        <v/>
      </c>
      <c r="B17152">
        <f>IF(ISNUMBER(Input!B17152),IF(AND(Input!B17152&gt;=20,Input!B17152&lt;=700),Input!B17152,""),"")</f>
        <v/>
      </c>
      <c r="C17152">
        <f>IF(B17152="","",INT(A17152))</f>
        <v/>
      </c>
      <c r="D17152">
        <f>IF(B17152="","",HOUR(A17152))</f>
        <v/>
      </c>
    </row>
    <row r="17153">
      <c r="A17153">
        <f>Input!A17153</f>
        <v/>
      </c>
      <c r="B17153">
        <f>IF(ISNUMBER(Input!B17153),IF(AND(Input!B17153&gt;=20,Input!B17153&lt;=700),Input!B17153,""),"")</f>
        <v/>
      </c>
      <c r="C17153">
        <f>IF(B17153="","",INT(A17153))</f>
        <v/>
      </c>
      <c r="D17153">
        <f>IF(B17153="","",HOUR(A17153))</f>
        <v/>
      </c>
    </row>
    <row r="17154">
      <c r="A17154">
        <f>Input!A17154</f>
        <v/>
      </c>
      <c r="B17154">
        <f>IF(ISNUMBER(Input!B17154),IF(AND(Input!B17154&gt;=20,Input!B17154&lt;=700),Input!B17154,""),"")</f>
        <v/>
      </c>
      <c r="C17154">
        <f>IF(B17154="","",INT(A17154))</f>
        <v/>
      </c>
      <c r="D17154">
        <f>IF(B17154="","",HOUR(A17154))</f>
        <v/>
      </c>
    </row>
    <row r="17155">
      <c r="A17155">
        <f>Input!A17155</f>
        <v/>
      </c>
      <c r="B17155">
        <f>IF(ISNUMBER(Input!B17155),IF(AND(Input!B17155&gt;=20,Input!B17155&lt;=700),Input!B17155,""),"")</f>
        <v/>
      </c>
      <c r="C17155">
        <f>IF(B17155="","",INT(A17155))</f>
        <v/>
      </c>
      <c r="D17155">
        <f>IF(B17155="","",HOUR(A17155))</f>
        <v/>
      </c>
    </row>
    <row r="17156">
      <c r="A17156">
        <f>Input!A17156</f>
        <v/>
      </c>
      <c r="B17156">
        <f>IF(ISNUMBER(Input!B17156),IF(AND(Input!B17156&gt;=20,Input!B17156&lt;=700),Input!B17156,""),"")</f>
        <v/>
      </c>
      <c r="C17156">
        <f>IF(B17156="","",INT(A17156))</f>
        <v/>
      </c>
      <c r="D17156">
        <f>IF(B17156="","",HOUR(A17156))</f>
        <v/>
      </c>
    </row>
    <row r="17157">
      <c r="A17157">
        <f>Input!A17157</f>
        <v/>
      </c>
      <c r="B17157">
        <f>IF(ISNUMBER(Input!B17157),IF(AND(Input!B17157&gt;=20,Input!B17157&lt;=700),Input!B17157,""),"")</f>
        <v/>
      </c>
      <c r="C17157">
        <f>IF(B17157="","",INT(A17157))</f>
        <v/>
      </c>
      <c r="D17157">
        <f>IF(B17157="","",HOUR(A17157))</f>
        <v/>
      </c>
    </row>
    <row r="17158">
      <c r="A17158">
        <f>Input!A17158</f>
        <v/>
      </c>
      <c r="B17158">
        <f>IF(ISNUMBER(Input!B17158),IF(AND(Input!B17158&gt;=20,Input!B17158&lt;=700),Input!B17158,""),"")</f>
        <v/>
      </c>
      <c r="C17158">
        <f>IF(B17158="","",INT(A17158))</f>
        <v/>
      </c>
      <c r="D17158">
        <f>IF(B17158="","",HOUR(A17158))</f>
        <v/>
      </c>
    </row>
    <row r="17159">
      <c r="A17159">
        <f>Input!A17159</f>
        <v/>
      </c>
      <c r="B17159">
        <f>IF(ISNUMBER(Input!B17159),IF(AND(Input!B17159&gt;=20,Input!B17159&lt;=700),Input!B17159,""),"")</f>
        <v/>
      </c>
      <c r="C17159">
        <f>IF(B17159="","",INT(A17159))</f>
        <v/>
      </c>
      <c r="D17159">
        <f>IF(B17159="","",HOUR(A17159))</f>
        <v/>
      </c>
    </row>
    <row r="17160">
      <c r="A17160">
        <f>Input!A17160</f>
        <v/>
      </c>
      <c r="B17160">
        <f>IF(ISNUMBER(Input!B17160),IF(AND(Input!B17160&gt;=20,Input!B17160&lt;=700),Input!B17160,""),"")</f>
        <v/>
      </c>
      <c r="C17160">
        <f>IF(B17160="","",INT(A17160))</f>
        <v/>
      </c>
      <c r="D17160">
        <f>IF(B17160="","",HOUR(A17160))</f>
        <v/>
      </c>
    </row>
    <row r="17161">
      <c r="A17161">
        <f>Input!A17161</f>
        <v/>
      </c>
      <c r="B17161">
        <f>IF(ISNUMBER(Input!B17161),IF(AND(Input!B17161&gt;=20,Input!B17161&lt;=700),Input!B17161,""),"")</f>
        <v/>
      </c>
      <c r="C17161">
        <f>IF(B17161="","",INT(A17161))</f>
        <v/>
      </c>
      <c r="D17161">
        <f>IF(B17161="","",HOUR(A17161))</f>
        <v/>
      </c>
    </row>
    <row r="17162">
      <c r="A17162">
        <f>Input!A17162</f>
        <v/>
      </c>
      <c r="B17162">
        <f>IF(ISNUMBER(Input!B17162),IF(AND(Input!B17162&gt;=20,Input!B17162&lt;=700),Input!B17162,""),"")</f>
        <v/>
      </c>
      <c r="C17162">
        <f>IF(B17162="","",INT(A17162))</f>
        <v/>
      </c>
      <c r="D17162">
        <f>IF(B17162="","",HOUR(A17162))</f>
        <v/>
      </c>
    </row>
    <row r="17163">
      <c r="A17163">
        <f>Input!A17163</f>
        <v/>
      </c>
      <c r="B17163">
        <f>IF(ISNUMBER(Input!B17163),IF(AND(Input!B17163&gt;=20,Input!B17163&lt;=700),Input!B17163,""),"")</f>
        <v/>
      </c>
      <c r="C17163">
        <f>IF(B17163="","",INT(A17163))</f>
        <v/>
      </c>
      <c r="D17163">
        <f>IF(B17163="","",HOUR(A17163))</f>
        <v/>
      </c>
    </row>
    <row r="17164">
      <c r="A17164">
        <f>Input!A17164</f>
        <v/>
      </c>
      <c r="B17164">
        <f>IF(ISNUMBER(Input!B17164),IF(AND(Input!B17164&gt;=20,Input!B17164&lt;=700),Input!B17164,""),"")</f>
        <v/>
      </c>
      <c r="C17164">
        <f>IF(B17164="","",INT(A17164))</f>
        <v/>
      </c>
      <c r="D17164">
        <f>IF(B17164="","",HOUR(A17164))</f>
        <v/>
      </c>
    </row>
    <row r="17165">
      <c r="A17165">
        <f>Input!A17165</f>
        <v/>
      </c>
      <c r="B17165">
        <f>IF(ISNUMBER(Input!B17165),IF(AND(Input!B17165&gt;=20,Input!B17165&lt;=700),Input!B17165,""),"")</f>
        <v/>
      </c>
      <c r="C17165">
        <f>IF(B17165="","",INT(A17165))</f>
        <v/>
      </c>
      <c r="D17165">
        <f>IF(B17165="","",HOUR(A17165))</f>
        <v/>
      </c>
    </row>
    <row r="17166">
      <c r="A17166">
        <f>Input!A17166</f>
        <v/>
      </c>
      <c r="B17166">
        <f>IF(ISNUMBER(Input!B17166),IF(AND(Input!B17166&gt;=20,Input!B17166&lt;=700),Input!B17166,""),"")</f>
        <v/>
      </c>
      <c r="C17166">
        <f>IF(B17166="","",INT(A17166))</f>
        <v/>
      </c>
      <c r="D17166">
        <f>IF(B17166="","",HOUR(A17166))</f>
        <v/>
      </c>
    </row>
    <row r="17167">
      <c r="A17167">
        <f>Input!A17167</f>
        <v/>
      </c>
      <c r="B17167">
        <f>IF(ISNUMBER(Input!B17167),IF(AND(Input!B17167&gt;=20,Input!B17167&lt;=700),Input!B17167,""),"")</f>
        <v/>
      </c>
      <c r="C17167">
        <f>IF(B17167="","",INT(A17167))</f>
        <v/>
      </c>
      <c r="D17167">
        <f>IF(B17167="","",HOUR(A17167))</f>
        <v/>
      </c>
    </row>
    <row r="17168">
      <c r="A17168">
        <f>Input!A17168</f>
        <v/>
      </c>
      <c r="B17168">
        <f>IF(ISNUMBER(Input!B17168),IF(AND(Input!B17168&gt;=20,Input!B17168&lt;=700),Input!B17168,""),"")</f>
        <v/>
      </c>
      <c r="C17168">
        <f>IF(B17168="","",INT(A17168))</f>
        <v/>
      </c>
      <c r="D17168">
        <f>IF(B17168="","",HOUR(A17168))</f>
        <v/>
      </c>
    </row>
    <row r="17169">
      <c r="A17169">
        <f>Input!A17169</f>
        <v/>
      </c>
      <c r="B17169">
        <f>IF(ISNUMBER(Input!B17169),IF(AND(Input!B17169&gt;=20,Input!B17169&lt;=700),Input!B17169,""),"")</f>
        <v/>
      </c>
      <c r="C17169">
        <f>IF(B17169="","",INT(A17169))</f>
        <v/>
      </c>
      <c r="D17169">
        <f>IF(B17169="","",HOUR(A17169))</f>
        <v/>
      </c>
    </row>
    <row r="17170">
      <c r="A17170">
        <f>Input!A17170</f>
        <v/>
      </c>
      <c r="B17170">
        <f>IF(ISNUMBER(Input!B17170),IF(AND(Input!B17170&gt;=20,Input!B17170&lt;=700),Input!B17170,""),"")</f>
        <v/>
      </c>
      <c r="C17170">
        <f>IF(B17170="","",INT(A17170))</f>
        <v/>
      </c>
      <c r="D17170">
        <f>IF(B17170="","",HOUR(A17170))</f>
        <v/>
      </c>
    </row>
    <row r="17171">
      <c r="A17171">
        <f>Input!A17171</f>
        <v/>
      </c>
      <c r="B17171">
        <f>IF(ISNUMBER(Input!B17171),IF(AND(Input!B17171&gt;=20,Input!B17171&lt;=700),Input!B17171,""),"")</f>
        <v/>
      </c>
      <c r="C17171">
        <f>IF(B17171="","",INT(A17171))</f>
        <v/>
      </c>
      <c r="D17171">
        <f>IF(B17171="","",HOUR(A17171))</f>
        <v/>
      </c>
    </row>
    <row r="17172">
      <c r="A17172">
        <f>Input!A17172</f>
        <v/>
      </c>
      <c r="B17172">
        <f>IF(ISNUMBER(Input!B17172),IF(AND(Input!B17172&gt;=20,Input!B17172&lt;=700),Input!B17172,""),"")</f>
        <v/>
      </c>
      <c r="C17172">
        <f>IF(B17172="","",INT(A17172))</f>
        <v/>
      </c>
      <c r="D17172">
        <f>IF(B17172="","",HOUR(A17172))</f>
        <v/>
      </c>
    </row>
    <row r="17173">
      <c r="A17173">
        <f>Input!A17173</f>
        <v/>
      </c>
      <c r="B17173">
        <f>IF(ISNUMBER(Input!B17173),IF(AND(Input!B17173&gt;=20,Input!B17173&lt;=700),Input!B17173,""),"")</f>
        <v/>
      </c>
      <c r="C17173">
        <f>IF(B17173="","",INT(A17173))</f>
        <v/>
      </c>
      <c r="D17173">
        <f>IF(B17173="","",HOUR(A17173))</f>
        <v/>
      </c>
    </row>
    <row r="17174">
      <c r="A17174">
        <f>Input!A17174</f>
        <v/>
      </c>
      <c r="B17174">
        <f>IF(ISNUMBER(Input!B17174),IF(AND(Input!B17174&gt;=20,Input!B17174&lt;=700),Input!B17174,""),"")</f>
        <v/>
      </c>
      <c r="C17174">
        <f>IF(B17174="","",INT(A17174))</f>
        <v/>
      </c>
      <c r="D17174">
        <f>IF(B17174="","",HOUR(A17174))</f>
        <v/>
      </c>
    </row>
    <row r="17175">
      <c r="A17175">
        <f>Input!A17175</f>
        <v/>
      </c>
      <c r="B17175">
        <f>IF(ISNUMBER(Input!B17175),IF(AND(Input!B17175&gt;=20,Input!B17175&lt;=700),Input!B17175,""),"")</f>
        <v/>
      </c>
      <c r="C17175">
        <f>IF(B17175="","",INT(A17175))</f>
        <v/>
      </c>
      <c r="D17175">
        <f>IF(B17175="","",HOUR(A17175))</f>
        <v/>
      </c>
    </row>
    <row r="17176">
      <c r="A17176">
        <f>Input!A17176</f>
        <v/>
      </c>
      <c r="B17176">
        <f>IF(ISNUMBER(Input!B17176),IF(AND(Input!B17176&gt;=20,Input!B17176&lt;=700),Input!B17176,""),"")</f>
        <v/>
      </c>
      <c r="C17176">
        <f>IF(B17176="","",INT(A17176))</f>
        <v/>
      </c>
      <c r="D17176">
        <f>IF(B17176="","",HOUR(A17176))</f>
        <v/>
      </c>
    </row>
    <row r="17177">
      <c r="A17177">
        <f>Input!A17177</f>
        <v/>
      </c>
      <c r="B17177">
        <f>IF(ISNUMBER(Input!B17177),IF(AND(Input!B17177&gt;=20,Input!B17177&lt;=700),Input!B17177,""),"")</f>
        <v/>
      </c>
      <c r="C17177">
        <f>IF(B17177="","",INT(A17177))</f>
        <v/>
      </c>
      <c r="D17177">
        <f>IF(B17177="","",HOUR(A17177))</f>
        <v/>
      </c>
    </row>
    <row r="17178">
      <c r="A17178">
        <f>Input!A17178</f>
        <v/>
      </c>
      <c r="B17178">
        <f>IF(ISNUMBER(Input!B17178),IF(AND(Input!B17178&gt;=20,Input!B17178&lt;=700),Input!B17178,""),"")</f>
        <v/>
      </c>
      <c r="C17178">
        <f>IF(B17178="","",INT(A17178))</f>
        <v/>
      </c>
      <c r="D17178">
        <f>IF(B17178="","",HOUR(A17178))</f>
        <v/>
      </c>
    </row>
    <row r="17179">
      <c r="A17179">
        <f>Input!A17179</f>
        <v/>
      </c>
      <c r="B17179">
        <f>IF(ISNUMBER(Input!B17179),IF(AND(Input!B17179&gt;=20,Input!B17179&lt;=700),Input!B17179,""),"")</f>
        <v/>
      </c>
      <c r="C17179">
        <f>IF(B17179="","",INT(A17179))</f>
        <v/>
      </c>
      <c r="D17179">
        <f>IF(B17179="","",HOUR(A17179))</f>
        <v/>
      </c>
    </row>
    <row r="17180">
      <c r="A17180">
        <f>Input!A17180</f>
        <v/>
      </c>
      <c r="B17180">
        <f>IF(ISNUMBER(Input!B17180),IF(AND(Input!B17180&gt;=20,Input!B17180&lt;=700),Input!B17180,""),"")</f>
        <v/>
      </c>
      <c r="C17180">
        <f>IF(B17180="","",INT(A17180))</f>
        <v/>
      </c>
      <c r="D17180">
        <f>IF(B17180="","",HOUR(A17180))</f>
        <v/>
      </c>
    </row>
    <row r="17181">
      <c r="A17181">
        <f>Input!A17181</f>
        <v/>
      </c>
      <c r="B17181">
        <f>IF(ISNUMBER(Input!B17181),IF(AND(Input!B17181&gt;=20,Input!B17181&lt;=700),Input!B17181,""),"")</f>
        <v/>
      </c>
      <c r="C17181">
        <f>IF(B17181="","",INT(A17181))</f>
        <v/>
      </c>
      <c r="D17181">
        <f>IF(B17181="","",HOUR(A17181))</f>
        <v/>
      </c>
    </row>
    <row r="17182">
      <c r="A17182">
        <f>Input!A17182</f>
        <v/>
      </c>
      <c r="B17182">
        <f>IF(ISNUMBER(Input!B17182),IF(AND(Input!B17182&gt;=20,Input!B17182&lt;=700),Input!B17182,""),"")</f>
        <v/>
      </c>
      <c r="C17182">
        <f>IF(B17182="","",INT(A17182))</f>
        <v/>
      </c>
      <c r="D17182">
        <f>IF(B17182="","",HOUR(A17182))</f>
        <v/>
      </c>
    </row>
    <row r="17183">
      <c r="A17183">
        <f>Input!A17183</f>
        <v/>
      </c>
      <c r="B17183">
        <f>IF(ISNUMBER(Input!B17183),IF(AND(Input!B17183&gt;=20,Input!B17183&lt;=700),Input!B17183,""),"")</f>
        <v/>
      </c>
      <c r="C17183">
        <f>IF(B17183="","",INT(A17183))</f>
        <v/>
      </c>
      <c r="D17183">
        <f>IF(B17183="","",HOUR(A17183))</f>
        <v/>
      </c>
    </row>
    <row r="17184">
      <c r="A17184">
        <f>Input!A17184</f>
        <v/>
      </c>
      <c r="B17184">
        <f>IF(ISNUMBER(Input!B17184),IF(AND(Input!B17184&gt;=20,Input!B17184&lt;=700),Input!B17184,""),"")</f>
        <v/>
      </c>
      <c r="C17184">
        <f>IF(B17184="","",INT(A17184))</f>
        <v/>
      </c>
      <c r="D17184">
        <f>IF(B17184="","",HOUR(A17184))</f>
        <v/>
      </c>
    </row>
    <row r="17185">
      <c r="A17185">
        <f>Input!A17185</f>
        <v/>
      </c>
      <c r="B17185">
        <f>IF(ISNUMBER(Input!B17185),IF(AND(Input!B17185&gt;=20,Input!B17185&lt;=700),Input!B17185,""),"")</f>
        <v/>
      </c>
      <c r="C17185">
        <f>IF(B17185="","",INT(A17185))</f>
        <v/>
      </c>
      <c r="D17185">
        <f>IF(B17185="","",HOUR(A17185))</f>
        <v/>
      </c>
    </row>
    <row r="17186">
      <c r="A17186">
        <f>Input!A17186</f>
        <v/>
      </c>
      <c r="B17186">
        <f>IF(ISNUMBER(Input!B17186),IF(AND(Input!B17186&gt;=20,Input!B17186&lt;=700),Input!B17186,""),"")</f>
        <v/>
      </c>
      <c r="C17186">
        <f>IF(B17186="","",INT(A17186))</f>
        <v/>
      </c>
      <c r="D17186">
        <f>IF(B17186="","",HOUR(A17186))</f>
        <v/>
      </c>
    </row>
    <row r="17187">
      <c r="A17187">
        <f>Input!A17187</f>
        <v/>
      </c>
      <c r="B17187">
        <f>IF(ISNUMBER(Input!B17187),IF(AND(Input!B17187&gt;=20,Input!B17187&lt;=700),Input!B17187,""),"")</f>
        <v/>
      </c>
      <c r="C17187">
        <f>IF(B17187="","",INT(A17187))</f>
        <v/>
      </c>
      <c r="D17187">
        <f>IF(B17187="","",HOUR(A17187))</f>
        <v/>
      </c>
    </row>
    <row r="17188">
      <c r="A17188">
        <f>Input!A17188</f>
        <v/>
      </c>
      <c r="B17188">
        <f>IF(ISNUMBER(Input!B17188),IF(AND(Input!B17188&gt;=20,Input!B17188&lt;=700),Input!B17188,""),"")</f>
        <v/>
      </c>
      <c r="C17188">
        <f>IF(B17188="","",INT(A17188))</f>
        <v/>
      </c>
      <c r="D17188">
        <f>IF(B17188="","",HOUR(A17188))</f>
        <v/>
      </c>
    </row>
    <row r="17189">
      <c r="A17189">
        <f>Input!A17189</f>
        <v/>
      </c>
      <c r="B17189">
        <f>IF(ISNUMBER(Input!B17189),IF(AND(Input!B17189&gt;=20,Input!B17189&lt;=700),Input!B17189,""),"")</f>
        <v/>
      </c>
      <c r="C17189">
        <f>IF(B17189="","",INT(A17189))</f>
        <v/>
      </c>
      <c r="D17189">
        <f>IF(B17189="","",HOUR(A17189))</f>
        <v/>
      </c>
    </row>
    <row r="17190">
      <c r="A17190">
        <f>Input!A17190</f>
        <v/>
      </c>
      <c r="B17190">
        <f>IF(ISNUMBER(Input!B17190),IF(AND(Input!B17190&gt;=20,Input!B17190&lt;=700),Input!B17190,""),"")</f>
        <v/>
      </c>
      <c r="C17190">
        <f>IF(B17190="","",INT(A17190))</f>
        <v/>
      </c>
      <c r="D17190">
        <f>IF(B17190="","",HOUR(A17190))</f>
        <v/>
      </c>
    </row>
    <row r="17191">
      <c r="A17191">
        <f>Input!A17191</f>
        <v/>
      </c>
      <c r="B17191">
        <f>IF(ISNUMBER(Input!B17191),IF(AND(Input!B17191&gt;=20,Input!B17191&lt;=700),Input!B17191,""),"")</f>
        <v/>
      </c>
      <c r="C17191">
        <f>IF(B17191="","",INT(A17191))</f>
        <v/>
      </c>
      <c r="D17191">
        <f>IF(B17191="","",HOUR(A17191))</f>
        <v/>
      </c>
    </row>
    <row r="17192">
      <c r="A17192">
        <f>Input!A17192</f>
        <v/>
      </c>
      <c r="B17192">
        <f>IF(ISNUMBER(Input!B17192),IF(AND(Input!B17192&gt;=20,Input!B17192&lt;=700),Input!B17192,""),"")</f>
        <v/>
      </c>
      <c r="C17192">
        <f>IF(B17192="","",INT(A17192))</f>
        <v/>
      </c>
      <c r="D17192">
        <f>IF(B17192="","",HOUR(A17192))</f>
        <v/>
      </c>
    </row>
    <row r="17193">
      <c r="A17193">
        <f>Input!A17193</f>
        <v/>
      </c>
      <c r="B17193">
        <f>IF(ISNUMBER(Input!B17193),IF(AND(Input!B17193&gt;=20,Input!B17193&lt;=700),Input!B17193,""),"")</f>
        <v/>
      </c>
      <c r="C17193">
        <f>IF(B17193="","",INT(A17193))</f>
        <v/>
      </c>
      <c r="D17193">
        <f>IF(B17193="","",HOUR(A17193))</f>
        <v/>
      </c>
    </row>
    <row r="17194">
      <c r="A17194">
        <f>Input!A17194</f>
        <v/>
      </c>
      <c r="B17194">
        <f>IF(ISNUMBER(Input!B17194),IF(AND(Input!B17194&gt;=20,Input!B17194&lt;=700),Input!B17194,""),"")</f>
        <v/>
      </c>
      <c r="C17194">
        <f>IF(B17194="","",INT(A17194))</f>
        <v/>
      </c>
      <c r="D17194">
        <f>IF(B17194="","",HOUR(A17194))</f>
        <v/>
      </c>
    </row>
    <row r="17195">
      <c r="A17195">
        <f>Input!A17195</f>
        <v/>
      </c>
      <c r="B17195">
        <f>IF(ISNUMBER(Input!B17195),IF(AND(Input!B17195&gt;=20,Input!B17195&lt;=700),Input!B17195,""),"")</f>
        <v/>
      </c>
      <c r="C17195">
        <f>IF(B17195="","",INT(A17195))</f>
        <v/>
      </c>
      <c r="D17195">
        <f>IF(B17195="","",HOUR(A17195))</f>
        <v/>
      </c>
    </row>
    <row r="17196">
      <c r="A17196">
        <f>Input!A17196</f>
        <v/>
      </c>
      <c r="B17196">
        <f>IF(ISNUMBER(Input!B17196),IF(AND(Input!B17196&gt;=20,Input!B17196&lt;=700),Input!B17196,""),"")</f>
        <v/>
      </c>
      <c r="C17196">
        <f>IF(B17196="","",INT(A17196))</f>
        <v/>
      </c>
      <c r="D17196">
        <f>IF(B17196="","",HOUR(A17196))</f>
        <v/>
      </c>
    </row>
    <row r="17197">
      <c r="A17197">
        <f>Input!A17197</f>
        <v/>
      </c>
      <c r="B17197">
        <f>IF(ISNUMBER(Input!B17197),IF(AND(Input!B17197&gt;=20,Input!B17197&lt;=700),Input!B17197,""),"")</f>
        <v/>
      </c>
      <c r="C17197">
        <f>IF(B17197="","",INT(A17197))</f>
        <v/>
      </c>
      <c r="D17197">
        <f>IF(B17197="","",HOUR(A17197))</f>
        <v/>
      </c>
    </row>
    <row r="17198">
      <c r="A17198">
        <f>Input!A17198</f>
        <v/>
      </c>
      <c r="B17198">
        <f>IF(ISNUMBER(Input!B17198),IF(AND(Input!B17198&gt;=20,Input!B17198&lt;=700),Input!B17198,""),"")</f>
        <v/>
      </c>
      <c r="C17198">
        <f>IF(B17198="","",INT(A17198))</f>
        <v/>
      </c>
      <c r="D17198">
        <f>IF(B17198="","",HOUR(A17198))</f>
        <v/>
      </c>
    </row>
    <row r="17199">
      <c r="A17199">
        <f>Input!A17199</f>
        <v/>
      </c>
      <c r="B17199">
        <f>IF(ISNUMBER(Input!B17199),IF(AND(Input!B17199&gt;=20,Input!B17199&lt;=700),Input!B17199,""),"")</f>
        <v/>
      </c>
      <c r="C17199">
        <f>IF(B17199="","",INT(A17199))</f>
        <v/>
      </c>
      <c r="D17199">
        <f>IF(B17199="","",HOUR(A17199))</f>
        <v/>
      </c>
    </row>
    <row r="17200">
      <c r="A17200">
        <f>Input!A17200</f>
        <v/>
      </c>
      <c r="B17200">
        <f>IF(ISNUMBER(Input!B17200),IF(AND(Input!B17200&gt;=20,Input!B17200&lt;=700),Input!B17200,""),"")</f>
        <v/>
      </c>
      <c r="C17200">
        <f>IF(B17200="","",INT(A17200))</f>
        <v/>
      </c>
      <c r="D17200">
        <f>IF(B17200="","",HOUR(A17200))</f>
        <v/>
      </c>
    </row>
    <row r="17201">
      <c r="A17201">
        <f>Input!A17201</f>
        <v/>
      </c>
      <c r="B17201">
        <f>IF(ISNUMBER(Input!B17201),IF(AND(Input!B17201&gt;=20,Input!B17201&lt;=700),Input!B17201,""),"")</f>
        <v/>
      </c>
      <c r="C17201">
        <f>IF(B17201="","",INT(A17201))</f>
        <v/>
      </c>
      <c r="D17201">
        <f>IF(B17201="","",HOUR(A17201))</f>
        <v/>
      </c>
    </row>
    <row r="17202">
      <c r="A17202">
        <f>Input!A17202</f>
        <v/>
      </c>
      <c r="B17202">
        <f>IF(ISNUMBER(Input!B17202),IF(AND(Input!B17202&gt;=20,Input!B17202&lt;=700),Input!B17202,""),"")</f>
        <v/>
      </c>
      <c r="C17202">
        <f>IF(B17202="","",INT(A17202))</f>
        <v/>
      </c>
      <c r="D17202">
        <f>IF(B17202="","",HOUR(A17202))</f>
        <v/>
      </c>
    </row>
    <row r="17203">
      <c r="A17203">
        <f>Input!A17203</f>
        <v/>
      </c>
      <c r="B17203">
        <f>IF(ISNUMBER(Input!B17203),IF(AND(Input!B17203&gt;=20,Input!B17203&lt;=700),Input!B17203,""),"")</f>
        <v/>
      </c>
      <c r="C17203">
        <f>IF(B17203="","",INT(A17203))</f>
        <v/>
      </c>
      <c r="D17203">
        <f>IF(B17203="","",HOUR(A17203))</f>
        <v/>
      </c>
    </row>
    <row r="17204">
      <c r="A17204">
        <f>Input!A17204</f>
        <v/>
      </c>
      <c r="B17204">
        <f>IF(ISNUMBER(Input!B17204),IF(AND(Input!B17204&gt;=20,Input!B17204&lt;=700),Input!B17204,""),"")</f>
        <v/>
      </c>
      <c r="C17204">
        <f>IF(B17204="","",INT(A17204))</f>
        <v/>
      </c>
      <c r="D17204">
        <f>IF(B17204="","",HOUR(A17204))</f>
        <v/>
      </c>
    </row>
    <row r="17205">
      <c r="A17205">
        <f>Input!A17205</f>
        <v/>
      </c>
      <c r="B17205">
        <f>IF(ISNUMBER(Input!B17205),IF(AND(Input!B17205&gt;=20,Input!B17205&lt;=700),Input!B17205,""),"")</f>
        <v/>
      </c>
      <c r="C17205">
        <f>IF(B17205="","",INT(A17205))</f>
        <v/>
      </c>
      <c r="D17205">
        <f>IF(B17205="","",HOUR(A17205))</f>
        <v/>
      </c>
    </row>
    <row r="17206">
      <c r="A17206">
        <f>Input!A17206</f>
        <v/>
      </c>
      <c r="B17206">
        <f>IF(ISNUMBER(Input!B17206),IF(AND(Input!B17206&gt;=20,Input!B17206&lt;=700),Input!B17206,""),"")</f>
        <v/>
      </c>
      <c r="C17206">
        <f>IF(B17206="","",INT(A17206))</f>
        <v/>
      </c>
      <c r="D17206">
        <f>IF(B17206="","",HOUR(A17206))</f>
        <v/>
      </c>
    </row>
    <row r="17207">
      <c r="A17207">
        <f>Input!A17207</f>
        <v/>
      </c>
      <c r="B17207">
        <f>IF(ISNUMBER(Input!B17207),IF(AND(Input!B17207&gt;=20,Input!B17207&lt;=700),Input!B17207,""),"")</f>
        <v/>
      </c>
      <c r="C17207">
        <f>IF(B17207="","",INT(A17207))</f>
        <v/>
      </c>
      <c r="D17207">
        <f>IF(B17207="","",HOUR(A17207))</f>
        <v/>
      </c>
    </row>
    <row r="17208">
      <c r="A17208">
        <f>Input!A17208</f>
        <v/>
      </c>
      <c r="B17208">
        <f>IF(ISNUMBER(Input!B17208),IF(AND(Input!B17208&gt;=20,Input!B17208&lt;=700),Input!B17208,""),"")</f>
        <v/>
      </c>
      <c r="C17208">
        <f>IF(B17208="","",INT(A17208))</f>
        <v/>
      </c>
      <c r="D17208">
        <f>IF(B17208="","",HOUR(A17208))</f>
        <v/>
      </c>
    </row>
    <row r="17209">
      <c r="A17209">
        <f>Input!A17209</f>
        <v/>
      </c>
      <c r="B17209">
        <f>IF(ISNUMBER(Input!B17209),IF(AND(Input!B17209&gt;=20,Input!B17209&lt;=700),Input!B17209,""),"")</f>
        <v/>
      </c>
      <c r="C17209">
        <f>IF(B17209="","",INT(A17209))</f>
        <v/>
      </c>
      <c r="D17209">
        <f>IF(B17209="","",HOUR(A17209))</f>
        <v/>
      </c>
    </row>
    <row r="17210">
      <c r="A17210">
        <f>Input!A17210</f>
        <v/>
      </c>
      <c r="B17210">
        <f>IF(ISNUMBER(Input!B17210),IF(AND(Input!B17210&gt;=20,Input!B17210&lt;=700),Input!B17210,""),"")</f>
        <v/>
      </c>
      <c r="C17210">
        <f>IF(B17210="","",INT(A17210))</f>
        <v/>
      </c>
      <c r="D17210">
        <f>IF(B17210="","",HOUR(A17210))</f>
        <v/>
      </c>
    </row>
    <row r="17211">
      <c r="A17211">
        <f>Input!A17211</f>
        <v/>
      </c>
      <c r="B17211">
        <f>IF(ISNUMBER(Input!B17211),IF(AND(Input!B17211&gt;=20,Input!B17211&lt;=700),Input!B17211,""),"")</f>
        <v/>
      </c>
      <c r="C17211">
        <f>IF(B17211="","",INT(A17211))</f>
        <v/>
      </c>
      <c r="D17211">
        <f>IF(B17211="","",HOUR(A17211))</f>
        <v/>
      </c>
    </row>
    <row r="17212">
      <c r="A17212">
        <f>Input!A17212</f>
        <v/>
      </c>
      <c r="B17212">
        <f>IF(ISNUMBER(Input!B17212),IF(AND(Input!B17212&gt;=20,Input!B17212&lt;=700),Input!B17212,""),"")</f>
        <v/>
      </c>
      <c r="C17212">
        <f>IF(B17212="","",INT(A17212))</f>
        <v/>
      </c>
      <c r="D17212">
        <f>IF(B17212="","",HOUR(A17212))</f>
        <v/>
      </c>
    </row>
    <row r="17213">
      <c r="A17213">
        <f>Input!A17213</f>
        <v/>
      </c>
      <c r="B17213">
        <f>IF(ISNUMBER(Input!B17213),IF(AND(Input!B17213&gt;=20,Input!B17213&lt;=700),Input!B17213,""),"")</f>
        <v/>
      </c>
      <c r="C17213">
        <f>IF(B17213="","",INT(A17213))</f>
        <v/>
      </c>
      <c r="D17213">
        <f>IF(B17213="","",HOUR(A17213))</f>
        <v/>
      </c>
    </row>
    <row r="17214">
      <c r="A17214">
        <f>Input!A17214</f>
        <v/>
      </c>
      <c r="B17214">
        <f>IF(ISNUMBER(Input!B17214),IF(AND(Input!B17214&gt;=20,Input!B17214&lt;=700),Input!B17214,""),"")</f>
        <v/>
      </c>
      <c r="C17214">
        <f>IF(B17214="","",INT(A17214))</f>
        <v/>
      </c>
      <c r="D17214">
        <f>IF(B17214="","",HOUR(A17214))</f>
        <v/>
      </c>
    </row>
    <row r="17215">
      <c r="A17215">
        <f>Input!A17215</f>
        <v/>
      </c>
      <c r="B17215">
        <f>IF(ISNUMBER(Input!B17215),IF(AND(Input!B17215&gt;=20,Input!B17215&lt;=700),Input!B17215,""),"")</f>
        <v/>
      </c>
      <c r="C17215">
        <f>IF(B17215="","",INT(A17215))</f>
        <v/>
      </c>
      <c r="D17215">
        <f>IF(B17215="","",HOUR(A17215))</f>
        <v/>
      </c>
    </row>
    <row r="17216">
      <c r="A17216">
        <f>Input!A17216</f>
        <v/>
      </c>
      <c r="B17216">
        <f>IF(ISNUMBER(Input!B17216),IF(AND(Input!B17216&gt;=20,Input!B17216&lt;=700),Input!B17216,""),"")</f>
        <v/>
      </c>
      <c r="C17216">
        <f>IF(B17216="","",INT(A17216))</f>
        <v/>
      </c>
      <c r="D17216">
        <f>IF(B17216="","",HOUR(A17216))</f>
        <v/>
      </c>
    </row>
    <row r="17217">
      <c r="A17217">
        <f>Input!A17217</f>
        <v/>
      </c>
      <c r="B17217">
        <f>IF(ISNUMBER(Input!B17217),IF(AND(Input!B17217&gt;=20,Input!B17217&lt;=700),Input!B17217,""),"")</f>
        <v/>
      </c>
      <c r="C17217">
        <f>IF(B17217="","",INT(A17217))</f>
        <v/>
      </c>
      <c r="D17217">
        <f>IF(B17217="","",HOUR(A17217))</f>
        <v/>
      </c>
    </row>
    <row r="17218">
      <c r="A17218">
        <f>Input!A17218</f>
        <v/>
      </c>
      <c r="B17218">
        <f>IF(ISNUMBER(Input!B17218),IF(AND(Input!B17218&gt;=20,Input!B17218&lt;=700),Input!B17218,""),"")</f>
        <v/>
      </c>
      <c r="C17218">
        <f>IF(B17218="","",INT(A17218))</f>
        <v/>
      </c>
      <c r="D17218">
        <f>IF(B17218="","",HOUR(A17218))</f>
        <v/>
      </c>
    </row>
    <row r="17219">
      <c r="A17219">
        <f>Input!A17219</f>
        <v/>
      </c>
      <c r="B17219">
        <f>IF(ISNUMBER(Input!B17219),IF(AND(Input!B17219&gt;=20,Input!B17219&lt;=700),Input!B17219,""),"")</f>
        <v/>
      </c>
      <c r="C17219">
        <f>IF(B17219="","",INT(A17219))</f>
        <v/>
      </c>
      <c r="D17219">
        <f>IF(B17219="","",HOUR(A17219))</f>
        <v/>
      </c>
    </row>
    <row r="17220">
      <c r="A17220">
        <f>Input!A17220</f>
        <v/>
      </c>
      <c r="B17220">
        <f>IF(ISNUMBER(Input!B17220),IF(AND(Input!B17220&gt;=20,Input!B17220&lt;=700),Input!B17220,""),"")</f>
        <v/>
      </c>
      <c r="C17220">
        <f>IF(B17220="","",INT(A17220))</f>
        <v/>
      </c>
      <c r="D17220">
        <f>IF(B17220="","",HOUR(A17220))</f>
        <v/>
      </c>
    </row>
    <row r="17221">
      <c r="A17221">
        <f>Input!A17221</f>
        <v/>
      </c>
      <c r="B17221">
        <f>IF(ISNUMBER(Input!B17221),IF(AND(Input!B17221&gt;=20,Input!B17221&lt;=700),Input!B17221,""),"")</f>
        <v/>
      </c>
      <c r="C17221">
        <f>IF(B17221="","",INT(A17221))</f>
        <v/>
      </c>
      <c r="D17221">
        <f>IF(B17221="","",HOUR(A17221))</f>
        <v/>
      </c>
    </row>
    <row r="17222">
      <c r="A17222">
        <f>Input!A17222</f>
        <v/>
      </c>
      <c r="B17222">
        <f>IF(ISNUMBER(Input!B17222),IF(AND(Input!B17222&gt;=20,Input!B17222&lt;=700),Input!B17222,""),"")</f>
        <v/>
      </c>
      <c r="C17222">
        <f>IF(B17222="","",INT(A17222))</f>
        <v/>
      </c>
      <c r="D17222">
        <f>IF(B17222="","",HOUR(A17222))</f>
        <v/>
      </c>
    </row>
    <row r="17223">
      <c r="A17223">
        <f>Input!A17223</f>
        <v/>
      </c>
      <c r="B17223">
        <f>IF(ISNUMBER(Input!B17223),IF(AND(Input!B17223&gt;=20,Input!B17223&lt;=700),Input!B17223,""),"")</f>
        <v/>
      </c>
      <c r="C17223">
        <f>IF(B17223="","",INT(A17223))</f>
        <v/>
      </c>
      <c r="D17223">
        <f>IF(B17223="","",HOUR(A17223))</f>
        <v/>
      </c>
    </row>
    <row r="17224">
      <c r="A17224">
        <f>Input!A17224</f>
        <v/>
      </c>
      <c r="B17224">
        <f>IF(ISNUMBER(Input!B17224),IF(AND(Input!B17224&gt;=20,Input!B17224&lt;=700),Input!B17224,""),"")</f>
        <v/>
      </c>
      <c r="C17224">
        <f>IF(B17224="","",INT(A17224))</f>
        <v/>
      </c>
      <c r="D17224">
        <f>IF(B17224="","",HOUR(A17224))</f>
        <v/>
      </c>
    </row>
    <row r="17225">
      <c r="A17225">
        <f>Input!A17225</f>
        <v/>
      </c>
      <c r="B17225">
        <f>IF(ISNUMBER(Input!B17225),IF(AND(Input!B17225&gt;=20,Input!B17225&lt;=700),Input!B17225,""),"")</f>
        <v/>
      </c>
      <c r="C17225">
        <f>IF(B17225="","",INT(A17225))</f>
        <v/>
      </c>
      <c r="D17225">
        <f>IF(B17225="","",HOUR(A17225))</f>
        <v/>
      </c>
    </row>
    <row r="17226">
      <c r="A17226">
        <f>Input!A17226</f>
        <v/>
      </c>
      <c r="B17226">
        <f>IF(ISNUMBER(Input!B17226),IF(AND(Input!B17226&gt;=20,Input!B17226&lt;=700),Input!B17226,""),"")</f>
        <v/>
      </c>
      <c r="C17226">
        <f>IF(B17226="","",INT(A17226))</f>
        <v/>
      </c>
      <c r="D17226">
        <f>IF(B17226="","",HOUR(A17226))</f>
        <v/>
      </c>
    </row>
    <row r="17227">
      <c r="A17227">
        <f>Input!A17227</f>
        <v/>
      </c>
      <c r="B17227">
        <f>IF(ISNUMBER(Input!B17227),IF(AND(Input!B17227&gt;=20,Input!B17227&lt;=700),Input!B17227,""),"")</f>
        <v/>
      </c>
      <c r="C17227">
        <f>IF(B17227="","",INT(A17227))</f>
        <v/>
      </c>
      <c r="D17227">
        <f>IF(B17227="","",HOUR(A17227))</f>
        <v/>
      </c>
    </row>
    <row r="17228">
      <c r="A17228">
        <f>Input!A17228</f>
        <v/>
      </c>
      <c r="B17228">
        <f>IF(ISNUMBER(Input!B17228),IF(AND(Input!B17228&gt;=20,Input!B17228&lt;=700),Input!B17228,""),"")</f>
        <v/>
      </c>
      <c r="C17228">
        <f>IF(B17228="","",INT(A17228))</f>
        <v/>
      </c>
      <c r="D17228">
        <f>IF(B17228="","",HOUR(A17228))</f>
        <v/>
      </c>
    </row>
    <row r="17229">
      <c r="A17229">
        <f>Input!A17229</f>
        <v/>
      </c>
      <c r="B17229">
        <f>IF(ISNUMBER(Input!B17229),IF(AND(Input!B17229&gt;=20,Input!B17229&lt;=700),Input!B17229,""),"")</f>
        <v/>
      </c>
      <c r="C17229">
        <f>IF(B17229="","",INT(A17229))</f>
        <v/>
      </c>
      <c r="D17229">
        <f>IF(B17229="","",HOUR(A17229))</f>
        <v/>
      </c>
    </row>
    <row r="17230">
      <c r="A17230">
        <f>Input!A17230</f>
        <v/>
      </c>
      <c r="B17230">
        <f>IF(ISNUMBER(Input!B17230),IF(AND(Input!B17230&gt;=20,Input!B17230&lt;=700),Input!B17230,""),"")</f>
        <v/>
      </c>
      <c r="C17230">
        <f>IF(B17230="","",INT(A17230))</f>
        <v/>
      </c>
      <c r="D17230">
        <f>IF(B17230="","",HOUR(A17230))</f>
        <v/>
      </c>
    </row>
    <row r="17231">
      <c r="A17231">
        <f>Input!A17231</f>
        <v/>
      </c>
      <c r="B17231">
        <f>IF(ISNUMBER(Input!B17231),IF(AND(Input!B17231&gt;=20,Input!B17231&lt;=700),Input!B17231,""),"")</f>
        <v/>
      </c>
      <c r="C17231">
        <f>IF(B17231="","",INT(A17231))</f>
        <v/>
      </c>
      <c r="D17231">
        <f>IF(B17231="","",HOUR(A17231))</f>
        <v/>
      </c>
    </row>
    <row r="17232">
      <c r="A17232">
        <f>Input!A17232</f>
        <v/>
      </c>
      <c r="B17232">
        <f>IF(ISNUMBER(Input!B17232),IF(AND(Input!B17232&gt;=20,Input!B17232&lt;=700),Input!B17232,""),"")</f>
        <v/>
      </c>
      <c r="C17232">
        <f>IF(B17232="","",INT(A17232))</f>
        <v/>
      </c>
      <c r="D17232">
        <f>IF(B17232="","",HOUR(A17232))</f>
        <v/>
      </c>
    </row>
    <row r="17233">
      <c r="A17233">
        <f>Input!A17233</f>
        <v/>
      </c>
      <c r="B17233">
        <f>IF(ISNUMBER(Input!B17233),IF(AND(Input!B17233&gt;=20,Input!B17233&lt;=700),Input!B17233,""),"")</f>
        <v/>
      </c>
      <c r="C17233">
        <f>IF(B17233="","",INT(A17233))</f>
        <v/>
      </c>
      <c r="D17233">
        <f>IF(B17233="","",HOUR(A17233))</f>
        <v/>
      </c>
    </row>
    <row r="17234">
      <c r="A17234">
        <f>Input!A17234</f>
        <v/>
      </c>
      <c r="B17234">
        <f>IF(ISNUMBER(Input!B17234),IF(AND(Input!B17234&gt;=20,Input!B17234&lt;=700),Input!B17234,""),"")</f>
        <v/>
      </c>
      <c r="C17234">
        <f>IF(B17234="","",INT(A17234))</f>
        <v/>
      </c>
      <c r="D17234">
        <f>IF(B17234="","",HOUR(A17234))</f>
        <v/>
      </c>
    </row>
    <row r="17235">
      <c r="A17235">
        <f>Input!A17235</f>
        <v/>
      </c>
      <c r="B17235">
        <f>IF(ISNUMBER(Input!B17235),IF(AND(Input!B17235&gt;=20,Input!B17235&lt;=700),Input!B17235,""),"")</f>
        <v/>
      </c>
      <c r="C17235">
        <f>IF(B17235="","",INT(A17235))</f>
        <v/>
      </c>
      <c r="D17235">
        <f>IF(B17235="","",HOUR(A17235))</f>
        <v/>
      </c>
    </row>
    <row r="17236">
      <c r="A17236">
        <f>Input!A17236</f>
        <v/>
      </c>
      <c r="B17236">
        <f>IF(ISNUMBER(Input!B17236),IF(AND(Input!B17236&gt;=20,Input!B17236&lt;=700),Input!B17236,""),"")</f>
        <v/>
      </c>
      <c r="C17236">
        <f>IF(B17236="","",INT(A17236))</f>
        <v/>
      </c>
      <c r="D17236">
        <f>IF(B17236="","",HOUR(A17236))</f>
        <v/>
      </c>
    </row>
    <row r="17237">
      <c r="A17237">
        <f>Input!A17237</f>
        <v/>
      </c>
      <c r="B17237">
        <f>IF(ISNUMBER(Input!B17237),IF(AND(Input!B17237&gt;=20,Input!B17237&lt;=700),Input!B17237,""),"")</f>
        <v/>
      </c>
      <c r="C17237">
        <f>IF(B17237="","",INT(A17237))</f>
        <v/>
      </c>
      <c r="D17237">
        <f>IF(B17237="","",HOUR(A17237))</f>
        <v/>
      </c>
    </row>
    <row r="17238">
      <c r="A17238">
        <f>Input!A17238</f>
        <v/>
      </c>
      <c r="B17238">
        <f>IF(ISNUMBER(Input!B17238),IF(AND(Input!B17238&gt;=20,Input!B17238&lt;=700),Input!B17238,""),"")</f>
        <v/>
      </c>
      <c r="C17238">
        <f>IF(B17238="","",INT(A17238))</f>
        <v/>
      </c>
      <c r="D17238">
        <f>IF(B17238="","",HOUR(A17238))</f>
        <v/>
      </c>
    </row>
    <row r="17239">
      <c r="A17239">
        <f>Input!A17239</f>
        <v/>
      </c>
      <c r="B17239">
        <f>IF(ISNUMBER(Input!B17239),IF(AND(Input!B17239&gt;=20,Input!B17239&lt;=700),Input!B17239,""),"")</f>
        <v/>
      </c>
      <c r="C17239">
        <f>IF(B17239="","",INT(A17239))</f>
        <v/>
      </c>
      <c r="D17239">
        <f>IF(B17239="","",HOUR(A17239))</f>
        <v/>
      </c>
    </row>
    <row r="17240">
      <c r="A17240">
        <f>Input!A17240</f>
        <v/>
      </c>
      <c r="B17240">
        <f>IF(ISNUMBER(Input!B17240),IF(AND(Input!B17240&gt;=20,Input!B17240&lt;=700),Input!B17240,""),"")</f>
        <v/>
      </c>
      <c r="C17240">
        <f>IF(B17240="","",INT(A17240))</f>
        <v/>
      </c>
      <c r="D17240">
        <f>IF(B17240="","",HOUR(A17240))</f>
        <v/>
      </c>
    </row>
    <row r="17241">
      <c r="A17241">
        <f>Input!A17241</f>
        <v/>
      </c>
      <c r="B17241">
        <f>IF(ISNUMBER(Input!B17241),IF(AND(Input!B17241&gt;=20,Input!B17241&lt;=700),Input!B17241,""),"")</f>
        <v/>
      </c>
      <c r="C17241">
        <f>IF(B17241="","",INT(A17241))</f>
        <v/>
      </c>
      <c r="D17241">
        <f>IF(B17241="","",HOUR(A17241))</f>
        <v/>
      </c>
    </row>
    <row r="17242">
      <c r="A17242">
        <f>Input!A17242</f>
        <v/>
      </c>
      <c r="B17242">
        <f>IF(ISNUMBER(Input!B17242),IF(AND(Input!B17242&gt;=20,Input!B17242&lt;=700),Input!B17242,""),"")</f>
        <v/>
      </c>
      <c r="C17242">
        <f>IF(B17242="","",INT(A17242))</f>
        <v/>
      </c>
      <c r="D17242">
        <f>IF(B17242="","",HOUR(A17242))</f>
        <v/>
      </c>
    </row>
    <row r="17243">
      <c r="A17243">
        <f>Input!A17243</f>
        <v/>
      </c>
      <c r="B17243">
        <f>IF(ISNUMBER(Input!B17243),IF(AND(Input!B17243&gt;=20,Input!B17243&lt;=700),Input!B17243,""),"")</f>
        <v/>
      </c>
      <c r="C17243">
        <f>IF(B17243="","",INT(A17243))</f>
        <v/>
      </c>
      <c r="D17243">
        <f>IF(B17243="","",HOUR(A17243))</f>
        <v/>
      </c>
    </row>
    <row r="17244">
      <c r="A17244">
        <f>Input!A17244</f>
        <v/>
      </c>
      <c r="B17244">
        <f>IF(ISNUMBER(Input!B17244),IF(AND(Input!B17244&gt;=20,Input!B17244&lt;=700),Input!B17244,""),"")</f>
        <v/>
      </c>
      <c r="C17244">
        <f>IF(B17244="","",INT(A17244))</f>
        <v/>
      </c>
      <c r="D17244">
        <f>IF(B17244="","",HOUR(A17244))</f>
        <v/>
      </c>
    </row>
    <row r="17245">
      <c r="A17245">
        <f>Input!A17245</f>
        <v/>
      </c>
      <c r="B17245">
        <f>IF(ISNUMBER(Input!B17245),IF(AND(Input!B17245&gt;=20,Input!B17245&lt;=700),Input!B17245,""),"")</f>
        <v/>
      </c>
      <c r="C17245">
        <f>IF(B17245="","",INT(A17245))</f>
        <v/>
      </c>
      <c r="D17245">
        <f>IF(B17245="","",HOUR(A17245))</f>
        <v/>
      </c>
    </row>
    <row r="17246">
      <c r="A17246">
        <f>Input!A17246</f>
        <v/>
      </c>
      <c r="B17246">
        <f>IF(ISNUMBER(Input!B17246),IF(AND(Input!B17246&gt;=20,Input!B17246&lt;=700),Input!B17246,""),"")</f>
        <v/>
      </c>
      <c r="C17246">
        <f>IF(B17246="","",INT(A17246))</f>
        <v/>
      </c>
      <c r="D17246">
        <f>IF(B17246="","",HOUR(A17246))</f>
        <v/>
      </c>
    </row>
    <row r="17247">
      <c r="A17247">
        <f>Input!A17247</f>
        <v/>
      </c>
      <c r="B17247">
        <f>IF(ISNUMBER(Input!B17247),IF(AND(Input!B17247&gt;=20,Input!B17247&lt;=700),Input!B17247,""),"")</f>
        <v/>
      </c>
      <c r="C17247">
        <f>IF(B17247="","",INT(A17247))</f>
        <v/>
      </c>
      <c r="D17247">
        <f>IF(B17247="","",HOUR(A17247))</f>
        <v/>
      </c>
    </row>
    <row r="17248">
      <c r="A17248">
        <f>Input!A17248</f>
        <v/>
      </c>
      <c r="B17248">
        <f>IF(ISNUMBER(Input!B17248),IF(AND(Input!B17248&gt;=20,Input!B17248&lt;=700),Input!B17248,""),"")</f>
        <v/>
      </c>
      <c r="C17248">
        <f>IF(B17248="","",INT(A17248))</f>
        <v/>
      </c>
      <c r="D17248">
        <f>IF(B17248="","",HOUR(A17248))</f>
        <v/>
      </c>
    </row>
    <row r="17249">
      <c r="A17249">
        <f>Input!A17249</f>
        <v/>
      </c>
      <c r="B17249">
        <f>IF(ISNUMBER(Input!B17249),IF(AND(Input!B17249&gt;=20,Input!B17249&lt;=700),Input!B17249,""),"")</f>
        <v/>
      </c>
      <c r="C17249">
        <f>IF(B17249="","",INT(A17249))</f>
        <v/>
      </c>
      <c r="D17249">
        <f>IF(B17249="","",HOUR(A17249))</f>
        <v/>
      </c>
    </row>
    <row r="17250">
      <c r="A17250">
        <f>Input!A17250</f>
        <v/>
      </c>
      <c r="B17250">
        <f>IF(ISNUMBER(Input!B17250),IF(AND(Input!B17250&gt;=20,Input!B17250&lt;=700),Input!B17250,""),"")</f>
        <v/>
      </c>
      <c r="C17250">
        <f>IF(B17250="","",INT(A17250))</f>
        <v/>
      </c>
      <c r="D17250">
        <f>IF(B17250="","",HOUR(A17250))</f>
        <v/>
      </c>
    </row>
    <row r="17251">
      <c r="A17251">
        <f>Input!A17251</f>
        <v/>
      </c>
      <c r="B17251">
        <f>IF(ISNUMBER(Input!B17251),IF(AND(Input!B17251&gt;=20,Input!B17251&lt;=700),Input!B17251,""),"")</f>
        <v/>
      </c>
      <c r="C17251">
        <f>IF(B17251="","",INT(A17251))</f>
        <v/>
      </c>
      <c r="D17251">
        <f>IF(B17251="","",HOUR(A17251))</f>
        <v/>
      </c>
    </row>
    <row r="17252">
      <c r="A17252">
        <f>Input!A17252</f>
        <v/>
      </c>
      <c r="B17252">
        <f>IF(ISNUMBER(Input!B17252),IF(AND(Input!B17252&gt;=20,Input!B17252&lt;=700),Input!B17252,""),"")</f>
        <v/>
      </c>
      <c r="C17252">
        <f>IF(B17252="","",INT(A17252))</f>
        <v/>
      </c>
      <c r="D17252">
        <f>IF(B17252="","",HOUR(A17252))</f>
        <v/>
      </c>
    </row>
    <row r="17253">
      <c r="A17253">
        <f>Input!A17253</f>
        <v/>
      </c>
      <c r="B17253">
        <f>IF(ISNUMBER(Input!B17253),IF(AND(Input!B17253&gt;=20,Input!B17253&lt;=700),Input!B17253,""),"")</f>
        <v/>
      </c>
      <c r="C17253">
        <f>IF(B17253="","",INT(A17253))</f>
        <v/>
      </c>
      <c r="D17253">
        <f>IF(B17253="","",HOUR(A17253))</f>
        <v/>
      </c>
    </row>
    <row r="17254">
      <c r="A17254">
        <f>Input!A17254</f>
        <v/>
      </c>
      <c r="B17254">
        <f>IF(ISNUMBER(Input!B17254),IF(AND(Input!B17254&gt;=20,Input!B17254&lt;=700),Input!B17254,""),"")</f>
        <v/>
      </c>
      <c r="C17254">
        <f>IF(B17254="","",INT(A17254))</f>
        <v/>
      </c>
      <c r="D17254">
        <f>IF(B17254="","",HOUR(A17254))</f>
        <v/>
      </c>
    </row>
    <row r="17255">
      <c r="A17255">
        <f>Input!A17255</f>
        <v/>
      </c>
      <c r="B17255">
        <f>IF(ISNUMBER(Input!B17255),IF(AND(Input!B17255&gt;=20,Input!B17255&lt;=700),Input!B17255,""),"")</f>
        <v/>
      </c>
      <c r="C17255">
        <f>IF(B17255="","",INT(A17255))</f>
        <v/>
      </c>
      <c r="D17255">
        <f>IF(B17255="","",HOUR(A17255))</f>
        <v/>
      </c>
    </row>
    <row r="17256">
      <c r="A17256">
        <f>Input!A17256</f>
        <v/>
      </c>
      <c r="B17256">
        <f>IF(ISNUMBER(Input!B17256),IF(AND(Input!B17256&gt;=20,Input!B17256&lt;=700),Input!B17256,""),"")</f>
        <v/>
      </c>
      <c r="C17256">
        <f>IF(B17256="","",INT(A17256))</f>
        <v/>
      </c>
      <c r="D17256">
        <f>IF(B17256="","",HOUR(A17256))</f>
        <v/>
      </c>
    </row>
    <row r="17257">
      <c r="A17257">
        <f>Input!A17257</f>
        <v/>
      </c>
      <c r="B17257">
        <f>IF(ISNUMBER(Input!B17257),IF(AND(Input!B17257&gt;=20,Input!B17257&lt;=700),Input!B17257,""),"")</f>
        <v/>
      </c>
      <c r="C17257">
        <f>IF(B17257="","",INT(A17257))</f>
        <v/>
      </c>
      <c r="D17257">
        <f>IF(B17257="","",HOUR(A17257))</f>
        <v/>
      </c>
    </row>
    <row r="17258">
      <c r="A17258">
        <f>Input!A17258</f>
        <v/>
      </c>
      <c r="B17258">
        <f>IF(ISNUMBER(Input!B17258),IF(AND(Input!B17258&gt;=20,Input!B17258&lt;=700),Input!B17258,""),"")</f>
        <v/>
      </c>
      <c r="C17258">
        <f>IF(B17258="","",INT(A17258))</f>
        <v/>
      </c>
      <c r="D17258">
        <f>IF(B17258="","",HOUR(A17258))</f>
        <v/>
      </c>
    </row>
    <row r="17259">
      <c r="A17259">
        <f>Input!A17259</f>
        <v/>
      </c>
      <c r="B17259">
        <f>IF(ISNUMBER(Input!B17259),IF(AND(Input!B17259&gt;=20,Input!B17259&lt;=700),Input!B17259,""),"")</f>
        <v/>
      </c>
      <c r="C17259">
        <f>IF(B17259="","",INT(A17259))</f>
        <v/>
      </c>
      <c r="D17259">
        <f>IF(B17259="","",HOUR(A17259))</f>
        <v/>
      </c>
    </row>
    <row r="17260">
      <c r="A17260">
        <f>Input!A17260</f>
        <v/>
      </c>
      <c r="B17260">
        <f>IF(ISNUMBER(Input!B17260),IF(AND(Input!B17260&gt;=20,Input!B17260&lt;=700),Input!B17260,""),"")</f>
        <v/>
      </c>
      <c r="C17260">
        <f>IF(B17260="","",INT(A17260))</f>
        <v/>
      </c>
      <c r="D17260">
        <f>IF(B17260="","",HOUR(A17260))</f>
        <v/>
      </c>
    </row>
    <row r="17261">
      <c r="A17261">
        <f>Input!A17261</f>
        <v/>
      </c>
      <c r="B17261">
        <f>IF(ISNUMBER(Input!B17261),IF(AND(Input!B17261&gt;=20,Input!B17261&lt;=700),Input!B17261,""),"")</f>
        <v/>
      </c>
      <c r="C17261">
        <f>IF(B17261="","",INT(A17261))</f>
        <v/>
      </c>
      <c r="D17261">
        <f>IF(B17261="","",HOUR(A17261))</f>
        <v/>
      </c>
    </row>
    <row r="17262">
      <c r="A17262">
        <f>Input!A17262</f>
        <v/>
      </c>
      <c r="B17262">
        <f>IF(ISNUMBER(Input!B17262),IF(AND(Input!B17262&gt;=20,Input!B17262&lt;=700),Input!B17262,""),"")</f>
        <v/>
      </c>
      <c r="C17262">
        <f>IF(B17262="","",INT(A17262))</f>
        <v/>
      </c>
      <c r="D17262">
        <f>IF(B17262="","",HOUR(A17262))</f>
        <v/>
      </c>
    </row>
    <row r="17263">
      <c r="A17263">
        <f>Input!A17263</f>
        <v/>
      </c>
      <c r="B17263">
        <f>IF(ISNUMBER(Input!B17263),IF(AND(Input!B17263&gt;=20,Input!B17263&lt;=700),Input!B17263,""),"")</f>
        <v/>
      </c>
      <c r="C17263">
        <f>IF(B17263="","",INT(A17263))</f>
        <v/>
      </c>
      <c r="D17263">
        <f>IF(B17263="","",HOUR(A17263))</f>
        <v/>
      </c>
    </row>
    <row r="17264">
      <c r="A17264">
        <f>Input!A17264</f>
        <v/>
      </c>
      <c r="B17264">
        <f>IF(ISNUMBER(Input!B17264),IF(AND(Input!B17264&gt;=20,Input!B17264&lt;=700),Input!B17264,""),"")</f>
        <v/>
      </c>
      <c r="C17264">
        <f>IF(B17264="","",INT(A17264))</f>
        <v/>
      </c>
      <c r="D17264">
        <f>IF(B17264="","",HOUR(A17264))</f>
        <v/>
      </c>
    </row>
    <row r="17265">
      <c r="A17265">
        <f>Input!A17265</f>
        <v/>
      </c>
      <c r="B17265">
        <f>IF(ISNUMBER(Input!B17265),IF(AND(Input!B17265&gt;=20,Input!B17265&lt;=700),Input!B17265,""),"")</f>
        <v/>
      </c>
      <c r="C17265">
        <f>IF(B17265="","",INT(A17265))</f>
        <v/>
      </c>
      <c r="D17265">
        <f>IF(B17265="","",HOUR(A17265))</f>
        <v/>
      </c>
    </row>
    <row r="17266">
      <c r="A17266">
        <f>Input!A17266</f>
        <v/>
      </c>
      <c r="B17266">
        <f>IF(ISNUMBER(Input!B17266),IF(AND(Input!B17266&gt;=20,Input!B17266&lt;=700),Input!B17266,""),"")</f>
        <v/>
      </c>
      <c r="C17266">
        <f>IF(B17266="","",INT(A17266))</f>
        <v/>
      </c>
      <c r="D17266">
        <f>IF(B17266="","",HOUR(A17266))</f>
        <v/>
      </c>
    </row>
    <row r="17267">
      <c r="A17267">
        <f>Input!A17267</f>
        <v/>
      </c>
      <c r="B17267">
        <f>IF(ISNUMBER(Input!B17267),IF(AND(Input!B17267&gt;=20,Input!B17267&lt;=700),Input!B17267,""),"")</f>
        <v/>
      </c>
      <c r="C17267">
        <f>IF(B17267="","",INT(A17267))</f>
        <v/>
      </c>
      <c r="D17267">
        <f>IF(B17267="","",HOUR(A17267))</f>
        <v/>
      </c>
    </row>
    <row r="17268">
      <c r="A17268">
        <f>Input!A17268</f>
        <v/>
      </c>
      <c r="B17268">
        <f>IF(ISNUMBER(Input!B17268),IF(AND(Input!B17268&gt;=20,Input!B17268&lt;=700),Input!B17268,""),"")</f>
        <v/>
      </c>
      <c r="C17268">
        <f>IF(B17268="","",INT(A17268))</f>
        <v/>
      </c>
      <c r="D17268">
        <f>IF(B17268="","",HOUR(A17268))</f>
        <v/>
      </c>
    </row>
    <row r="17269">
      <c r="A17269">
        <f>Input!A17269</f>
        <v/>
      </c>
      <c r="B17269">
        <f>IF(ISNUMBER(Input!B17269),IF(AND(Input!B17269&gt;=20,Input!B17269&lt;=700),Input!B17269,""),"")</f>
        <v/>
      </c>
      <c r="C17269">
        <f>IF(B17269="","",INT(A17269))</f>
        <v/>
      </c>
      <c r="D17269">
        <f>IF(B17269="","",HOUR(A17269))</f>
        <v/>
      </c>
    </row>
    <row r="17270">
      <c r="A17270">
        <f>Input!A17270</f>
        <v/>
      </c>
      <c r="B17270">
        <f>IF(ISNUMBER(Input!B17270),IF(AND(Input!B17270&gt;=20,Input!B17270&lt;=700),Input!B17270,""),"")</f>
        <v/>
      </c>
      <c r="C17270">
        <f>IF(B17270="","",INT(A17270))</f>
        <v/>
      </c>
      <c r="D17270">
        <f>IF(B17270="","",HOUR(A17270))</f>
        <v/>
      </c>
    </row>
    <row r="17271">
      <c r="A17271">
        <f>Input!A17271</f>
        <v/>
      </c>
      <c r="B17271">
        <f>IF(ISNUMBER(Input!B17271),IF(AND(Input!B17271&gt;=20,Input!B17271&lt;=700),Input!B17271,""),"")</f>
        <v/>
      </c>
      <c r="C17271">
        <f>IF(B17271="","",INT(A17271))</f>
        <v/>
      </c>
      <c r="D17271">
        <f>IF(B17271="","",HOUR(A17271))</f>
        <v/>
      </c>
    </row>
    <row r="17272">
      <c r="A17272">
        <f>Input!A17272</f>
        <v/>
      </c>
      <c r="B17272">
        <f>IF(ISNUMBER(Input!B17272),IF(AND(Input!B17272&gt;=20,Input!B17272&lt;=700),Input!B17272,""),"")</f>
        <v/>
      </c>
      <c r="C17272">
        <f>IF(B17272="","",INT(A17272))</f>
        <v/>
      </c>
      <c r="D17272">
        <f>IF(B17272="","",HOUR(A17272))</f>
        <v/>
      </c>
    </row>
    <row r="17273">
      <c r="A17273">
        <f>Input!A17273</f>
        <v/>
      </c>
      <c r="B17273">
        <f>IF(ISNUMBER(Input!B17273),IF(AND(Input!B17273&gt;=20,Input!B17273&lt;=700),Input!B17273,""),"")</f>
        <v/>
      </c>
      <c r="C17273">
        <f>IF(B17273="","",INT(A17273))</f>
        <v/>
      </c>
      <c r="D17273">
        <f>IF(B17273="","",HOUR(A17273))</f>
        <v/>
      </c>
    </row>
    <row r="17274">
      <c r="A17274">
        <f>Input!A17274</f>
        <v/>
      </c>
      <c r="B17274">
        <f>IF(ISNUMBER(Input!B17274),IF(AND(Input!B17274&gt;=20,Input!B17274&lt;=700),Input!B17274,""),"")</f>
        <v/>
      </c>
      <c r="C17274">
        <f>IF(B17274="","",INT(A17274))</f>
        <v/>
      </c>
      <c r="D17274">
        <f>IF(B17274="","",HOUR(A17274))</f>
        <v/>
      </c>
    </row>
    <row r="17275">
      <c r="A17275">
        <f>Input!A17275</f>
        <v/>
      </c>
      <c r="B17275">
        <f>IF(ISNUMBER(Input!B17275),IF(AND(Input!B17275&gt;=20,Input!B17275&lt;=700),Input!B17275,""),"")</f>
        <v/>
      </c>
      <c r="C17275">
        <f>IF(B17275="","",INT(A17275))</f>
        <v/>
      </c>
      <c r="D17275">
        <f>IF(B17275="","",HOUR(A17275))</f>
        <v/>
      </c>
    </row>
    <row r="17276">
      <c r="A17276">
        <f>Input!A17276</f>
        <v/>
      </c>
      <c r="B17276">
        <f>IF(ISNUMBER(Input!B17276),IF(AND(Input!B17276&gt;=20,Input!B17276&lt;=700),Input!B17276,""),"")</f>
        <v/>
      </c>
      <c r="C17276">
        <f>IF(B17276="","",INT(A17276))</f>
        <v/>
      </c>
      <c r="D17276">
        <f>IF(B17276="","",HOUR(A17276))</f>
        <v/>
      </c>
    </row>
    <row r="17277">
      <c r="A17277">
        <f>Input!A17277</f>
        <v/>
      </c>
      <c r="B17277">
        <f>IF(ISNUMBER(Input!B17277),IF(AND(Input!B17277&gt;=20,Input!B17277&lt;=700),Input!B17277,""),"")</f>
        <v/>
      </c>
      <c r="C17277">
        <f>IF(B17277="","",INT(A17277))</f>
        <v/>
      </c>
      <c r="D17277">
        <f>IF(B17277="","",HOUR(A17277))</f>
        <v/>
      </c>
    </row>
    <row r="17278">
      <c r="A17278">
        <f>Input!A17278</f>
        <v/>
      </c>
      <c r="B17278">
        <f>IF(ISNUMBER(Input!B17278),IF(AND(Input!B17278&gt;=20,Input!B17278&lt;=700),Input!B17278,""),"")</f>
        <v/>
      </c>
      <c r="C17278">
        <f>IF(B17278="","",INT(A17278))</f>
        <v/>
      </c>
      <c r="D17278">
        <f>IF(B17278="","",HOUR(A17278))</f>
        <v/>
      </c>
    </row>
    <row r="17279">
      <c r="A17279">
        <f>Input!A17279</f>
        <v/>
      </c>
      <c r="B17279">
        <f>IF(ISNUMBER(Input!B17279),IF(AND(Input!B17279&gt;=20,Input!B17279&lt;=700),Input!B17279,""),"")</f>
        <v/>
      </c>
      <c r="C17279">
        <f>IF(B17279="","",INT(A17279))</f>
        <v/>
      </c>
      <c r="D17279">
        <f>IF(B17279="","",HOUR(A17279))</f>
        <v/>
      </c>
    </row>
    <row r="17280">
      <c r="A17280">
        <f>Input!A17280</f>
        <v/>
      </c>
      <c r="B17280">
        <f>IF(ISNUMBER(Input!B17280),IF(AND(Input!B17280&gt;=20,Input!B17280&lt;=700),Input!B17280,""),"")</f>
        <v/>
      </c>
      <c r="C17280">
        <f>IF(B17280="","",INT(A17280))</f>
        <v/>
      </c>
      <c r="D17280">
        <f>IF(B17280="","",HOUR(A17280))</f>
        <v/>
      </c>
    </row>
    <row r="17281">
      <c r="A17281">
        <f>Input!A17281</f>
        <v/>
      </c>
      <c r="B17281">
        <f>IF(ISNUMBER(Input!B17281),IF(AND(Input!B17281&gt;=20,Input!B17281&lt;=700),Input!B17281,""),"")</f>
        <v/>
      </c>
      <c r="C17281">
        <f>IF(B17281="","",INT(A17281))</f>
        <v/>
      </c>
      <c r="D17281">
        <f>IF(B17281="","",HOUR(A17281))</f>
        <v/>
      </c>
    </row>
    <row r="17282">
      <c r="A17282">
        <f>Input!A17282</f>
        <v/>
      </c>
      <c r="B17282">
        <f>IF(ISNUMBER(Input!B17282),IF(AND(Input!B17282&gt;=20,Input!B17282&lt;=700),Input!B17282,""),"")</f>
        <v/>
      </c>
      <c r="C17282">
        <f>IF(B17282="","",INT(A17282))</f>
        <v/>
      </c>
      <c r="D17282">
        <f>IF(B17282="","",HOUR(A17282))</f>
        <v/>
      </c>
    </row>
    <row r="17283">
      <c r="A17283">
        <f>Input!A17283</f>
        <v/>
      </c>
      <c r="B17283">
        <f>IF(ISNUMBER(Input!B17283),IF(AND(Input!B17283&gt;=20,Input!B17283&lt;=700),Input!B17283,""),"")</f>
        <v/>
      </c>
      <c r="C17283">
        <f>IF(B17283="","",INT(A17283))</f>
        <v/>
      </c>
      <c r="D17283">
        <f>IF(B17283="","",HOUR(A17283))</f>
        <v/>
      </c>
    </row>
    <row r="17284">
      <c r="A17284">
        <f>Input!A17284</f>
        <v/>
      </c>
      <c r="B17284">
        <f>IF(ISNUMBER(Input!B17284),IF(AND(Input!B17284&gt;=20,Input!B17284&lt;=700),Input!B17284,""),"")</f>
        <v/>
      </c>
      <c r="C17284">
        <f>IF(B17284="","",INT(A17284))</f>
        <v/>
      </c>
      <c r="D17284">
        <f>IF(B17284="","",HOUR(A17284))</f>
        <v/>
      </c>
    </row>
    <row r="17285">
      <c r="A17285">
        <f>Input!A17285</f>
        <v/>
      </c>
      <c r="B17285">
        <f>IF(ISNUMBER(Input!B17285),IF(AND(Input!B17285&gt;=20,Input!B17285&lt;=700),Input!B17285,""),"")</f>
        <v/>
      </c>
      <c r="C17285">
        <f>IF(B17285="","",INT(A17285))</f>
        <v/>
      </c>
      <c r="D17285">
        <f>IF(B17285="","",HOUR(A17285))</f>
        <v/>
      </c>
    </row>
    <row r="17286">
      <c r="A17286">
        <f>Input!A17286</f>
        <v/>
      </c>
      <c r="B17286">
        <f>IF(ISNUMBER(Input!B17286),IF(AND(Input!B17286&gt;=20,Input!B17286&lt;=700),Input!B17286,""),"")</f>
        <v/>
      </c>
      <c r="C17286">
        <f>IF(B17286="","",INT(A17286))</f>
        <v/>
      </c>
      <c r="D17286">
        <f>IF(B17286="","",HOUR(A17286))</f>
        <v/>
      </c>
    </row>
    <row r="17287">
      <c r="A17287">
        <f>Input!A17287</f>
        <v/>
      </c>
      <c r="B17287">
        <f>IF(ISNUMBER(Input!B17287),IF(AND(Input!B17287&gt;=20,Input!B17287&lt;=700),Input!B17287,""),"")</f>
        <v/>
      </c>
      <c r="C17287">
        <f>IF(B17287="","",INT(A17287))</f>
        <v/>
      </c>
      <c r="D17287">
        <f>IF(B17287="","",HOUR(A17287))</f>
        <v/>
      </c>
    </row>
    <row r="17288">
      <c r="A17288">
        <f>Input!A17288</f>
        <v/>
      </c>
      <c r="B17288">
        <f>IF(ISNUMBER(Input!B17288),IF(AND(Input!B17288&gt;=20,Input!B17288&lt;=700),Input!B17288,""),"")</f>
        <v/>
      </c>
      <c r="C17288">
        <f>IF(B17288="","",INT(A17288))</f>
        <v/>
      </c>
      <c r="D17288">
        <f>IF(B17288="","",HOUR(A17288))</f>
        <v/>
      </c>
    </row>
    <row r="17289">
      <c r="A17289">
        <f>Input!A17289</f>
        <v/>
      </c>
      <c r="B17289">
        <f>IF(ISNUMBER(Input!B17289),IF(AND(Input!B17289&gt;=20,Input!B17289&lt;=700),Input!B17289,""),"")</f>
        <v/>
      </c>
      <c r="C17289">
        <f>IF(B17289="","",INT(A17289))</f>
        <v/>
      </c>
      <c r="D17289">
        <f>IF(B17289="","",HOUR(A17289))</f>
        <v/>
      </c>
    </row>
    <row r="17290">
      <c r="A17290">
        <f>Input!A17290</f>
        <v/>
      </c>
      <c r="B17290">
        <f>IF(ISNUMBER(Input!B17290),IF(AND(Input!B17290&gt;=20,Input!B17290&lt;=700),Input!B17290,""),"")</f>
        <v/>
      </c>
      <c r="C17290">
        <f>IF(B17290="","",INT(A17290))</f>
        <v/>
      </c>
      <c r="D17290">
        <f>IF(B17290="","",HOUR(A17290))</f>
        <v/>
      </c>
    </row>
    <row r="17291">
      <c r="A17291">
        <f>Input!A17291</f>
        <v/>
      </c>
      <c r="B17291">
        <f>IF(ISNUMBER(Input!B17291),IF(AND(Input!B17291&gt;=20,Input!B17291&lt;=700),Input!B17291,""),"")</f>
        <v/>
      </c>
      <c r="C17291">
        <f>IF(B17291="","",INT(A17291))</f>
        <v/>
      </c>
      <c r="D17291">
        <f>IF(B17291="","",HOUR(A17291))</f>
        <v/>
      </c>
    </row>
    <row r="17292">
      <c r="A17292">
        <f>Input!A17292</f>
        <v/>
      </c>
      <c r="B17292">
        <f>IF(ISNUMBER(Input!B17292),IF(AND(Input!B17292&gt;=20,Input!B17292&lt;=700),Input!B17292,""),"")</f>
        <v/>
      </c>
      <c r="C17292">
        <f>IF(B17292="","",INT(A17292))</f>
        <v/>
      </c>
      <c r="D17292">
        <f>IF(B17292="","",HOUR(A17292))</f>
        <v/>
      </c>
    </row>
    <row r="17293">
      <c r="A17293">
        <f>Input!A17293</f>
        <v/>
      </c>
      <c r="B17293">
        <f>IF(ISNUMBER(Input!B17293),IF(AND(Input!B17293&gt;=20,Input!B17293&lt;=700),Input!B17293,""),"")</f>
        <v/>
      </c>
      <c r="C17293">
        <f>IF(B17293="","",INT(A17293))</f>
        <v/>
      </c>
      <c r="D17293">
        <f>IF(B17293="","",HOUR(A17293))</f>
        <v/>
      </c>
    </row>
    <row r="17294">
      <c r="A17294">
        <f>Input!A17294</f>
        <v/>
      </c>
      <c r="B17294">
        <f>IF(ISNUMBER(Input!B17294),IF(AND(Input!B17294&gt;=20,Input!B17294&lt;=700),Input!B17294,""),"")</f>
        <v/>
      </c>
      <c r="C17294">
        <f>IF(B17294="","",INT(A17294))</f>
        <v/>
      </c>
      <c r="D17294">
        <f>IF(B17294="","",HOUR(A17294))</f>
        <v/>
      </c>
    </row>
    <row r="17295">
      <c r="A17295">
        <f>Input!A17295</f>
        <v/>
      </c>
      <c r="B17295">
        <f>IF(ISNUMBER(Input!B17295),IF(AND(Input!B17295&gt;=20,Input!B17295&lt;=700),Input!B17295,""),"")</f>
        <v/>
      </c>
      <c r="C17295">
        <f>IF(B17295="","",INT(A17295))</f>
        <v/>
      </c>
      <c r="D17295">
        <f>IF(B17295="","",HOUR(A17295))</f>
        <v/>
      </c>
    </row>
    <row r="17296">
      <c r="A17296">
        <f>Input!A17296</f>
        <v/>
      </c>
      <c r="B17296">
        <f>IF(ISNUMBER(Input!B17296),IF(AND(Input!B17296&gt;=20,Input!B17296&lt;=700),Input!B17296,""),"")</f>
        <v/>
      </c>
      <c r="C17296">
        <f>IF(B17296="","",INT(A17296))</f>
        <v/>
      </c>
      <c r="D17296">
        <f>IF(B17296="","",HOUR(A17296))</f>
        <v/>
      </c>
    </row>
    <row r="17297">
      <c r="A17297">
        <f>Input!A17297</f>
        <v/>
      </c>
      <c r="B17297">
        <f>IF(ISNUMBER(Input!B17297),IF(AND(Input!B17297&gt;=20,Input!B17297&lt;=700),Input!B17297,""),"")</f>
        <v/>
      </c>
      <c r="C17297">
        <f>IF(B17297="","",INT(A17297))</f>
        <v/>
      </c>
      <c r="D17297">
        <f>IF(B17297="","",HOUR(A17297))</f>
        <v/>
      </c>
    </row>
    <row r="17298">
      <c r="A17298">
        <f>Input!A17298</f>
        <v/>
      </c>
      <c r="B17298">
        <f>IF(ISNUMBER(Input!B17298),IF(AND(Input!B17298&gt;=20,Input!B17298&lt;=700),Input!B17298,""),"")</f>
        <v/>
      </c>
      <c r="C17298">
        <f>IF(B17298="","",INT(A17298))</f>
        <v/>
      </c>
      <c r="D17298">
        <f>IF(B17298="","",HOUR(A17298))</f>
        <v/>
      </c>
    </row>
    <row r="17299">
      <c r="A17299">
        <f>Input!A17299</f>
        <v/>
      </c>
      <c r="B17299">
        <f>IF(ISNUMBER(Input!B17299),IF(AND(Input!B17299&gt;=20,Input!B17299&lt;=700),Input!B17299,""),"")</f>
        <v/>
      </c>
      <c r="C17299">
        <f>IF(B17299="","",INT(A17299))</f>
        <v/>
      </c>
      <c r="D17299">
        <f>IF(B17299="","",HOUR(A17299))</f>
        <v/>
      </c>
    </row>
    <row r="17300">
      <c r="A17300">
        <f>Input!A17300</f>
        <v/>
      </c>
      <c r="B17300">
        <f>IF(ISNUMBER(Input!B17300),IF(AND(Input!B17300&gt;=20,Input!B17300&lt;=700),Input!B17300,""),"")</f>
        <v/>
      </c>
      <c r="C17300">
        <f>IF(B17300="","",INT(A17300))</f>
        <v/>
      </c>
      <c r="D17300">
        <f>IF(B17300="","",HOUR(A17300))</f>
        <v/>
      </c>
    </row>
    <row r="17301">
      <c r="A17301">
        <f>Input!A17301</f>
        <v/>
      </c>
      <c r="B17301">
        <f>IF(ISNUMBER(Input!B17301),IF(AND(Input!B17301&gt;=20,Input!B17301&lt;=700),Input!B17301,""),"")</f>
        <v/>
      </c>
      <c r="C17301">
        <f>IF(B17301="","",INT(A17301))</f>
        <v/>
      </c>
      <c r="D17301">
        <f>IF(B17301="","",HOUR(A17301))</f>
        <v/>
      </c>
    </row>
    <row r="17302">
      <c r="A17302">
        <f>Input!A17302</f>
        <v/>
      </c>
      <c r="B17302">
        <f>IF(ISNUMBER(Input!B17302),IF(AND(Input!B17302&gt;=20,Input!B17302&lt;=700),Input!B17302,""),"")</f>
        <v/>
      </c>
      <c r="C17302">
        <f>IF(B17302="","",INT(A17302))</f>
        <v/>
      </c>
      <c r="D17302">
        <f>IF(B17302="","",HOUR(A17302))</f>
        <v/>
      </c>
    </row>
    <row r="17303">
      <c r="A17303">
        <f>Input!A17303</f>
        <v/>
      </c>
      <c r="B17303">
        <f>IF(ISNUMBER(Input!B17303),IF(AND(Input!B17303&gt;=20,Input!B17303&lt;=700),Input!B17303,""),"")</f>
        <v/>
      </c>
      <c r="C17303">
        <f>IF(B17303="","",INT(A17303))</f>
        <v/>
      </c>
      <c r="D17303">
        <f>IF(B17303="","",HOUR(A17303))</f>
        <v/>
      </c>
    </row>
    <row r="17304">
      <c r="A17304">
        <f>Input!A17304</f>
        <v/>
      </c>
      <c r="B17304">
        <f>IF(ISNUMBER(Input!B17304),IF(AND(Input!B17304&gt;=20,Input!B17304&lt;=700),Input!B17304,""),"")</f>
        <v/>
      </c>
      <c r="C17304">
        <f>IF(B17304="","",INT(A17304))</f>
        <v/>
      </c>
      <c r="D17304">
        <f>IF(B17304="","",HOUR(A17304))</f>
        <v/>
      </c>
    </row>
    <row r="17305">
      <c r="A17305">
        <f>Input!A17305</f>
        <v/>
      </c>
      <c r="B17305">
        <f>IF(ISNUMBER(Input!B17305),IF(AND(Input!B17305&gt;=20,Input!B17305&lt;=700),Input!B17305,""),"")</f>
        <v/>
      </c>
      <c r="C17305">
        <f>IF(B17305="","",INT(A17305))</f>
        <v/>
      </c>
      <c r="D17305">
        <f>IF(B17305="","",HOUR(A17305))</f>
        <v/>
      </c>
    </row>
    <row r="17306">
      <c r="A17306">
        <f>Input!A17306</f>
        <v/>
      </c>
      <c r="B17306">
        <f>IF(ISNUMBER(Input!B17306),IF(AND(Input!B17306&gt;=20,Input!B17306&lt;=700),Input!B17306,""),"")</f>
        <v/>
      </c>
      <c r="C17306">
        <f>IF(B17306="","",INT(A17306))</f>
        <v/>
      </c>
      <c r="D17306">
        <f>IF(B17306="","",HOUR(A17306))</f>
        <v/>
      </c>
    </row>
    <row r="17307">
      <c r="A17307">
        <f>Input!A17307</f>
        <v/>
      </c>
      <c r="B17307">
        <f>IF(ISNUMBER(Input!B17307),IF(AND(Input!B17307&gt;=20,Input!B17307&lt;=700),Input!B17307,""),"")</f>
        <v/>
      </c>
      <c r="C17307">
        <f>IF(B17307="","",INT(A17307))</f>
        <v/>
      </c>
      <c r="D17307">
        <f>IF(B17307="","",HOUR(A17307))</f>
        <v/>
      </c>
    </row>
    <row r="17308">
      <c r="A17308">
        <f>Input!A17308</f>
        <v/>
      </c>
      <c r="B17308">
        <f>IF(ISNUMBER(Input!B17308),IF(AND(Input!B17308&gt;=20,Input!B17308&lt;=700),Input!B17308,""),"")</f>
        <v/>
      </c>
      <c r="C17308">
        <f>IF(B17308="","",INT(A17308))</f>
        <v/>
      </c>
      <c r="D17308">
        <f>IF(B17308="","",HOUR(A17308))</f>
        <v/>
      </c>
    </row>
    <row r="17309">
      <c r="A17309">
        <f>Input!A17309</f>
        <v/>
      </c>
      <c r="B17309">
        <f>IF(ISNUMBER(Input!B17309),IF(AND(Input!B17309&gt;=20,Input!B17309&lt;=700),Input!B17309,""),"")</f>
        <v/>
      </c>
      <c r="C17309">
        <f>IF(B17309="","",INT(A17309))</f>
        <v/>
      </c>
      <c r="D17309">
        <f>IF(B17309="","",HOUR(A17309))</f>
        <v/>
      </c>
    </row>
    <row r="17310">
      <c r="A17310">
        <f>Input!A17310</f>
        <v/>
      </c>
      <c r="B17310">
        <f>IF(ISNUMBER(Input!B17310),IF(AND(Input!B17310&gt;=20,Input!B17310&lt;=700),Input!B17310,""),"")</f>
        <v/>
      </c>
      <c r="C17310">
        <f>IF(B17310="","",INT(A17310))</f>
        <v/>
      </c>
      <c r="D17310">
        <f>IF(B17310="","",HOUR(A17310))</f>
        <v/>
      </c>
    </row>
    <row r="17311">
      <c r="A17311">
        <f>Input!A17311</f>
        <v/>
      </c>
      <c r="B17311">
        <f>IF(ISNUMBER(Input!B17311),IF(AND(Input!B17311&gt;=20,Input!B17311&lt;=700),Input!B17311,""),"")</f>
        <v/>
      </c>
      <c r="C17311">
        <f>IF(B17311="","",INT(A17311))</f>
        <v/>
      </c>
      <c r="D17311">
        <f>IF(B17311="","",HOUR(A17311))</f>
        <v/>
      </c>
    </row>
    <row r="17312">
      <c r="A17312">
        <f>Input!A17312</f>
        <v/>
      </c>
      <c r="B17312">
        <f>IF(ISNUMBER(Input!B17312),IF(AND(Input!B17312&gt;=20,Input!B17312&lt;=700),Input!B17312,""),"")</f>
        <v/>
      </c>
      <c r="C17312">
        <f>IF(B17312="","",INT(A17312))</f>
        <v/>
      </c>
      <c r="D17312">
        <f>IF(B17312="","",HOUR(A17312))</f>
        <v/>
      </c>
    </row>
    <row r="17313">
      <c r="A17313">
        <f>Input!A17313</f>
        <v/>
      </c>
      <c r="B17313">
        <f>IF(ISNUMBER(Input!B17313),IF(AND(Input!B17313&gt;=20,Input!B17313&lt;=700),Input!B17313,""),"")</f>
        <v/>
      </c>
      <c r="C17313">
        <f>IF(B17313="","",INT(A17313))</f>
        <v/>
      </c>
      <c r="D17313">
        <f>IF(B17313="","",HOUR(A17313))</f>
        <v/>
      </c>
    </row>
    <row r="17314">
      <c r="A17314">
        <f>Input!A17314</f>
        <v/>
      </c>
      <c r="B17314">
        <f>IF(ISNUMBER(Input!B17314),IF(AND(Input!B17314&gt;=20,Input!B17314&lt;=700),Input!B17314,""),"")</f>
        <v/>
      </c>
      <c r="C17314">
        <f>IF(B17314="","",INT(A17314))</f>
        <v/>
      </c>
      <c r="D17314">
        <f>IF(B17314="","",HOUR(A17314))</f>
        <v/>
      </c>
    </row>
    <row r="17315">
      <c r="A17315">
        <f>Input!A17315</f>
        <v/>
      </c>
      <c r="B17315">
        <f>IF(ISNUMBER(Input!B17315),IF(AND(Input!B17315&gt;=20,Input!B17315&lt;=700),Input!B17315,""),"")</f>
        <v/>
      </c>
      <c r="C17315">
        <f>IF(B17315="","",INT(A17315))</f>
        <v/>
      </c>
      <c r="D17315">
        <f>IF(B17315="","",HOUR(A17315))</f>
        <v/>
      </c>
    </row>
    <row r="17316">
      <c r="A17316">
        <f>Input!A17316</f>
        <v/>
      </c>
      <c r="B17316">
        <f>IF(ISNUMBER(Input!B17316),IF(AND(Input!B17316&gt;=20,Input!B17316&lt;=700),Input!B17316,""),"")</f>
        <v/>
      </c>
      <c r="C17316">
        <f>IF(B17316="","",INT(A17316))</f>
        <v/>
      </c>
      <c r="D17316">
        <f>IF(B17316="","",HOUR(A17316))</f>
        <v/>
      </c>
    </row>
    <row r="17317">
      <c r="A17317">
        <f>Input!A17317</f>
        <v/>
      </c>
      <c r="B17317">
        <f>IF(ISNUMBER(Input!B17317),IF(AND(Input!B17317&gt;=20,Input!B17317&lt;=700),Input!B17317,""),"")</f>
        <v/>
      </c>
      <c r="C17317">
        <f>IF(B17317="","",INT(A17317))</f>
        <v/>
      </c>
      <c r="D17317">
        <f>IF(B17317="","",HOUR(A17317))</f>
        <v/>
      </c>
    </row>
    <row r="17318">
      <c r="A17318">
        <f>Input!A17318</f>
        <v/>
      </c>
      <c r="B17318">
        <f>IF(ISNUMBER(Input!B17318),IF(AND(Input!B17318&gt;=20,Input!B17318&lt;=700),Input!B17318,""),"")</f>
        <v/>
      </c>
      <c r="C17318">
        <f>IF(B17318="","",INT(A17318))</f>
        <v/>
      </c>
      <c r="D17318">
        <f>IF(B17318="","",HOUR(A17318))</f>
        <v/>
      </c>
    </row>
    <row r="17319">
      <c r="A17319">
        <f>Input!A17319</f>
        <v/>
      </c>
      <c r="B17319">
        <f>IF(ISNUMBER(Input!B17319),IF(AND(Input!B17319&gt;=20,Input!B17319&lt;=700),Input!B17319,""),"")</f>
        <v/>
      </c>
      <c r="C17319">
        <f>IF(B17319="","",INT(A17319))</f>
        <v/>
      </c>
      <c r="D17319">
        <f>IF(B17319="","",HOUR(A17319))</f>
        <v/>
      </c>
    </row>
    <row r="17320">
      <c r="A17320">
        <f>Input!A17320</f>
        <v/>
      </c>
      <c r="B17320">
        <f>IF(ISNUMBER(Input!B17320),IF(AND(Input!B17320&gt;=20,Input!B17320&lt;=700),Input!B17320,""),"")</f>
        <v/>
      </c>
      <c r="C17320">
        <f>IF(B17320="","",INT(A17320))</f>
        <v/>
      </c>
      <c r="D17320">
        <f>IF(B17320="","",HOUR(A17320))</f>
        <v/>
      </c>
    </row>
    <row r="17321">
      <c r="A17321">
        <f>Input!A17321</f>
        <v/>
      </c>
      <c r="B17321">
        <f>IF(ISNUMBER(Input!B17321),IF(AND(Input!B17321&gt;=20,Input!B17321&lt;=700),Input!B17321,""),"")</f>
        <v/>
      </c>
      <c r="C17321">
        <f>IF(B17321="","",INT(A17321))</f>
        <v/>
      </c>
      <c r="D17321">
        <f>IF(B17321="","",HOUR(A17321))</f>
        <v/>
      </c>
    </row>
    <row r="17322">
      <c r="A17322">
        <f>Input!A17322</f>
        <v/>
      </c>
      <c r="B17322">
        <f>IF(ISNUMBER(Input!B17322),IF(AND(Input!B17322&gt;=20,Input!B17322&lt;=700),Input!B17322,""),"")</f>
        <v/>
      </c>
      <c r="C17322">
        <f>IF(B17322="","",INT(A17322))</f>
        <v/>
      </c>
      <c r="D17322">
        <f>IF(B17322="","",HOUR(A17322))</f>
        <v/>
      </c>
    </row>
    <row r="17323">
      <c r="A17323">
        <f>Input!A17323</f>
        <v/>
      </c>
      <c r="B17323">
        <f>IF(ISNUMBER(Input!B17323),IF(AND(Input!B17323&gt;=20,Input!B17323&lt;=700),Input!B17323,""),"")</f>
        <v/>
      </c>
      <c r="C17323">
        <f>IF(B17323="","",INT(A17323))</f>
        <v/>
      </c>
      <c r="D17323">
        <f>IF(B17323="","",HOUR(A17323))</f>
        <v/>
      </c>
    </row>
    <row r="17324">
      <c r="A17324">
        <f>Input!A17324</f>
        <v/>
      </c>
      <c r="B17324">
        <f>IF(ISNUMBER(Input!B17324),IF(AND(Input!B17324&gt;=20,Input!B17324&lt;=700),Input!B17324,""),"")</f>
        <v/>
      </c>
      <c r="C17324">
        <f>IF(B17324="","",INT(A17324))</f>
        <v/>
      </c>
      <c r="D17324">
        <f>IF(B17324="","",HOUR(A17324))</f>
        <v/>
      </c>
    </row>
    <row r="17325">
      <c r="A17325">
        <f>Input!A17325</f>
        <v/>
      </c>
      <c r="B17325">
        <f>IF(ISNUMBER(Input!B17325),IF(AND(Input!B17325&gt;=20,Input!B17325&lt;=700),Input!B17325,""),"")</f>
        <v/>
      </c>
      <c r="C17325">
        <f>IF(B17325="","",INT(A17325))</f>
        <v/>
      </c>
      <c r="D17325">
        <f>IF(B17325="","",HOUR(A17325))</f>
        <v/>
      </c>
    </row>
    <row r="17326">
      <c r="A17326">
        <f>Input!A17326</f>
        <v/>
      </c>
      <c r="B17326">
        <f>IF(ISNUMBER(Input!B17326),IF(AND(Input!B17326&gt;=20,Input!B17326&lt;=700),Input!B17326,""),"")</f>
        <v/>
      </c>
      <c r="C17326">
        <f>IF(B17326="","",INT(A17326))</f>
        <v/>
      </c>
      <c r="D17326">
        <f>IF(B17326="","",HOUR(A17326))</f>
        <v/>
      </c>
    </row>
    <row r="17327">
      <c r="A17327">
        <f>Input!A17327</f>
        <v/>
      </c>
      <c r="B17327">
        <f>IF(ISNUMBER(Input!B17327),IF(AND(Input!B17327&gt;=20,Input!B17327&lt;=700),Input!B17327,""),"")</f>
        <v/>
      </c>
      <c r="C17327">
        <f>IF(B17327="","",INT(A17327))</f>
        <v/>
      </c>
      <c r="D17327">
        <f>IF(B17327="","",HOUR(A17327))</f>
        <v/>
      </c>
    </row>
    <row r="17328">
      <c r="A17328">
        <f>Input!A17328</f>
        <v/>
      </c>
      <c r="B17328">
        <f>IF(ISNUMBER(Input!B17328),IF(AND(Input!B17328&gt;=20,Input!B17328&lt;=700),Input!B17328,""),"")</f>
        <v/>
      </c>
      <c r="C17328">
        <f>IF(B17328="","",INT(A17328))</f>
        <v/>
      </c>
      <c r="D17328">
        <f>IF(B17328="","",HOUR(A17328))</f>
        <v/>
      </c>
    </row>
    <row r="17329">
      <c r="A17329">
        <f>Input!A17329</f>
        <v/>
      </c>
      <c r="B17329">
        <f>IF(ISNUMBER(Input!B17329),IF(AND(Input!B17329&gt;=20,Input!B17329&lt;=700),Input!B17329,""),"")</f>
        <v/>
      </c>
      <c r="C17329">
        <f>IF(B17329="","",INT(A17329))</f>
        <v/>
      </c>
      <c r="D17329">
        <f>IF(B17329="","",HOUR(A17329))</f>
        <v/>
      </c>
    </row>
    <row r="17330">
      <c r="A17330">
        <f>Input!A17330</f>
        <v/>
      </c>
      <c r="B17330">
        <f>IF(ISNUMBER(Input!B17330),IF(AND(Input!B17330&gt;=20,Input!B17330&lt;=700),Input!B17330,""),"")</f>
        <v/>
      </c>
      <c r="C17330">
        <f>IF(B17330="","",INT(A17330))</f>
        <v/>
      </c>
      <c r="D17330">
        <f>IF(B17330="","",HOUR(A17330))</f>
        <v/>
      </c>
    </row>
    <row r="17331">
      <c r="A17331">
        <f>Input!A17331</f>
        <v/>
      </c>
      <c r="B17331">
        <f>IF(ISNUMBER(Input!B17331),IF(AND(Input!B17331&gt;=20,Input!B17331&lt;=700),Input!B17331,""),"")</f>
        <v/>
      </c>
      <c r="C17331">
        <f>IF(B17331="","",INT(A17331))</f>
        <v/>
      </c>
      <c r="D17331">
        <f>IF(B17331="","",HOUR(A17331))</f>
        <v/>
      </c>
    </row>
    <row r="17332">
      <c r="A17332">
        <f>Input!A17332</f>
        <v/>
      </c>
      <c r="B17332">
        <f>IF(ISNUMBER(Input!B17332),IF(AND(Input!B17332&gt;=20,Input!B17332&lt;=700),Input!B17332,""),"")</f>
        <v/>
      </c>
      <c r="C17332">
        <f>IF(B17332="","",INT(A17332))</f>
        <v/>
      </c>
      <c r="D17332">
        <f>IF(B17332="","",HOUR(A17332))</f>
        <v/>
      </c>
    </row>
    <row r="17333">
      <c r="A17333">
        <f>Input!A17333</f>
        <v/>
      </c>
      <c r="B17333">
        <f>IF(ISNUMBER(Input!B17333),IF(AND(Input!B17333&gt;=20,Input!B17333&lt;=700),Input!B17333,""),"")</f>
        <v/>
      </c>
      <c r="C17333">
        <f>IF(B17333="","",INT(A17333))</f>
        <v/>
      </c>
      <c r="D17333">
        <f>IF(B17333="","",HOUR(A17333))</f>
        <v/>
      </c>
    </row>
    <row r="17334">
      <c r="A17334">
        <f>Input!A17334</f>
        <v/>
      </c>
      <c r="B17334">
        <f>IF(ISNUMBER(Input!B17334),IF(AND(Input!B17334&gt;=20,Input!B17334&lt;=700),Input!B17334,""),"")</f>
        <v/>
      </c>
      <c r="C17334">
        <f>IF(B17334="","",INT(A17334))</f>
        <v/>
      </c>
      <c r="D17334">
        <f>IF(B17334="","",HOUR(A17334))</f>
        <v/>
      </c>
    </row>
    <row r="17335">
      <c r="A17335">
        <f>Input!A17335</f>
        <v/>
      </c>
      <c r="B17335">
        <f>IF(ISNUMBER(Input!B17335),IF(AND(Input!B17335&gt;=20,Input!B17335&lt;=700),Input!B17335,""),"")</f>
        <v/>
      </c>
      <c r="C17335">
        <f>IF(B17335="","",INT(A17335))</f>
        <v/>
      </c>
      <c r="D17335">
        <f>IF(B17335="","",HOUR(A17335))</f>
        <v/>
      </c>
    </row>
    <row r="17336">
      <c r="A17336">
        <f>Input!A17336</f>
        <v/>
      </c>
      <c r="B17336">
        <f>IF(ISNUMBER(Input!B17336),IF(AND(Input!B17336&gt;=20,Input!B17336&lt;=700),Input!B17336,""),"")</f>
        <v/>
      </c>
      <c r="C17336">
        <f>IF(B17336="","",INT(A17336))</f>
        <v/>
      </c>
      <c r="D17336">
        <f>IF(B17336="","",HOUR(A17336))</f>
        <v/>
      </c>
    </row>
    <row r="17337">
      <c r="A17337">
        <f>Input!A17337</f>
        <v/>
      </c>
      <c r="B17337">
        <f>IF(ISNUMBER(Input!B17337),IF(AND(Input!B17337&gt;=20,Input!B17337&lt;=700),Input!B17337,""),"")</f>
        <v/>
      </c>
      <c r="C17337">
        <f>IF(B17337="","",INT(A17337))</f>
        <v/>
      </c>
      <c r="D17337">
        <f>IF(B17337="","",HOUR(A17337))</f>
        <v/>
      </c>
    </row>
    <row r="17338">
      <c r="A17338">
        <f>Input!A17338</f>
        <v/>
      </c>
      <c r="B17338">
        <f>IF(ISNUMBER(Input!B17338),IF(AND(Input!B17338&gt;=20,Input!B17338&lt;=700),Input!B17338,""),"")</f>
        <v/>
      </c>
      <c r="C17338">
        <f>IF(B17338="","",INT(A17338))</f>
        <v/>
      </c>
      <c r="D17338">
        <f>IF(B17338="","",HOUR(A17338))</f>
        <v/>
      </c>
    </row>
    <row r="17339">
      <c r="A17339">
        <f>Input!A17339</f>
        <v/>
      </c>
      <c r="B17339">
        <f>IF(ISNUMBER(Input!B17339),IF(AND(Input!B17339&gt;=20,Input!B17339&lt;=700),Input!B17339,""),"")</f>
        <v/>
      </c>
      <c r="C17339">
        <f>IF(B17339="","",INT(A17339))</f>
        <v/>
      </c>
      <c r="D17339">
        <f>IF(B17339="","",HOUR(A17339))</f>
        <v/>
      </c>
    </row>
    <row r="17340">
      <c r="A17340">
        <f>Input!A17340</f>
        <v/>
      </c>
      <c r="B17340">
        <f>IF(ISNUMBER(Input!B17340),IF(AND(Input!B17340&gt;=20,Input!B17340&lt;=700),Input!B17340,""),"")</f>
        <v/>
      </c>
      <c r="C17340">
        <f>IF(B17340="","",INT(A17340))</f>
        <v/>
      </c>
      <c r="D17340">
        <f>IF(B17340="","",HOUR(A17340))</f>
        <v/>
      </c>
    </row>
    <row r="17341">
      <c r="A17341">
        <f>Input!A17341</f>
        <v/>
      </c>
      <c r="B17341">
        <f>IF(ISNUMBER(Input!B17341),IF(AND(Input!B17341&gt;=20,Input!B17341&lt;=700),Input!B17341,""),"")</f>
        <v/>
      </c>
      <c r="C17341">
        <f>IF(B17341="","",INT(A17341))</f>
        <v/>
      </c>
      <c r="D17341">
        <f>IF(B17341="","",HOUR(A17341))</f>
        <v/>
      </c>
    </row>
    <row r="17342">
      <c r="A17342">
        <f>Input!A17342</f>
        <v/>
      </c>
      <c r="B17342">
        <f>IF(ISNUMBER(Input!B17342),IF(AND(Input!B17342&gt;=20,Input!B17342&lt;=700),Input!B17342,""),"")</f>
        <v/>
      </c>
      <c r="C17342">
        <f>IF(B17342="","",INT(A17342))</f>
        <v/>
      </c>
      <c r="D17342">
        <f>IF(B17342="","",HOUR(A17342))</f>
        <v/>
      </c>
    </row>
    <row r="17343">
      <c r="A17343">
        <f>Input!A17343</f>
        <v/>
      </c>
      <c r="B17343">
        <f>IF(ISNUMBER(Input!B17343),IF(AND(Input!B17343&gt;=20,Input!B17343&lt;=700),Input!B17343,""),"")</f>
        <v/>
      </c>
      <c r="C17343">
        <f>IF(B17343="","",INT(A17343))</f>
        <v/>
      </c>
      <c r="D17343">
        <f>IF(B17343="","",HOUR(A17343))</f>
        <v/>
      </c>
    </row>
    <row r="17344">
      <c r="A17344">
        <f>Input!A17344</f>
        <v/>
      </c>
      <c r="B17344">
        <f>IF(ISNUMBER(Input!B17344),IF(AND(Input!B17344&gt;=20,Input!B17344&lt;=700),Input!B17344,""),"")</f>
        <v/>
      </c>
      <c r="C17344">
        <f>IF(B17344="","",INT(A17344))</f>
        <v/>
      </c>
      <c r="D17344">
        <f>IF(B17344="","",HOUR(A17344))</f>
        <v/>
      </c>
    </row>
    <row r="17345">
      <c r="A17345">
        <f>Input!A17345</f>
        <v/>
      </c>
      <c r="B17345">
        <f>IF(ISNUMBER(Input!B17345),IF(AND(Input!B17345&gt;=20,Input!B17345&lt;=700),Input!B17345,""),"")</f>
        <v/>
      </c>
      <c r="C17345">
        <f>IF(B17345="","",INT(A17345))</f>
        <v/>
      </c>
      <c r="D17345">
        <f>IF(B17345="","",HOUR(A17345))</f>
        <v/>
      </c>
    </row>
    <row r="17346">
      <c r="A17346">
        <f>Input!A17346</f>
        <v/>
      </c>
      <c r="B17346">
        <f>IF(ISNUMBER(Input!B17346),IF(AND(Input!B17346&gt;=20,Input!B17346&lt;=700),Input!B17346,""),"")</f>
        <v/>
      </c>
      <c r="C17346">
        <f>IF(B17346="","",INT(A17346))</f>
        <v/>
      </c>
      <c r="D17346">
        <f>IF(B17346="","",HOUR(A17346))</f>
        <v/>
      </c>
    </row>
    <row r="17347">
      <c r="A17347">
        <f>Input!A17347</f>
        <v/>
      </c>
      <c r="B17347">
        <f>IF(ISNUMBER(Input!B17347),IF(AND(Input!B17347&gt;=20,Input!B17347&lt;=700),Input!B17347,""),"")</f>
        <v/>
      </c>
      <c r="C17347">
        <f>IF(B17347="","",INT(A17347))</f>
        <v/>
      </c>
      <c r="D17347">
        <f>IF(B17347="","",HOUR(A17347))</f>
        <v/>
      </c>
    </row>
    <row r="17348">
      <c r="A17348">
        <f>Input!A17348</f>
        <v/>
      </c>
      <c r="B17348">
        <f>IF(ISNUMBER(Input!B17348),IF(AND(Input!B17348&gt;=20,Input!B17348&lt;=700),Input!B17348,""),"")</f>
        <v/>
      </c>
      <c r="C17348">
        <f>IF(B17348="","",INT(A17348))</f>
        <v/>
      </c>
      <c r="D17348">
        <f>IF(B17348="","",HOUR(A17348))</f>
        <v/>
      </c>
    </row>
    <row r="17349">
      <c r="A17349">
        <f>Input!A17349</f>
        <v/>
      </c>
      <c r="B17349">
        <f>IF(ISNUMBER(Input!B17349),IF(AND(Input!B17349&gt;=20,Input!B17349&lt;=700),Input!B17349,""),"")</f>
        <v/>
      </c>
      <c r="C17349">
        <f>IF(B17349="","",INT(A17349))</f>
        <v/>
      </c>
      <c r="D17349">
        <f>IF(B17349="","",HOUR(A17349))</f>
        <v/>
      </c>
    </row>
    <row r="17350">
      <c r="A17350">
        <f>Input!A17350</f>
        <v/>
      </c>
      <c r="B17350">
        <f>IF(ISNUMBER(Input!B17350),IF(AND(Input!B17350&gt;=20,Input!B17350&lt;=700),Input!B17350,""),"")</f>
        <v/>
      </c>
      <c r="C17350">
        <f>IF(B17350="","",INT(A17350))</f>
        <v/>
      </c>
      <c r="D17350">
        <f>IF(B17350="","",HOUR(A17350))</f>
        <v/>
      </c>
    </row>
    <row r="17351">
      <c r="A17351">
        <f>Input!A17351</f>
        <v/>
      </c>
      <c r="B17351">
        <f>IF(ISNUMBER(Input!B17351),IF(AND(Input!B17351&gt;=20,Input!B17351&lt;=700),Input!B17351,""),"")</f>
        <v/>
      </c>
      <c r="C17351">
        <f>IF(B17351="","",INT(A17351))</f>
        <v/>
      </c>
      <c r="D17351">
        <f>IF(B17351="","",HOUR(A17351))</f>
        <v/>
      </c>
    </row>
    <row r="17352">
      <c r="A17352">
        <f>Input!A17352</f>
        <v/>
      </c>
      <c r="B17352">
        <f>IF(ISNUMBER(Input!B17352),IF(AND(Input!B17352&gt;=20,Input!B17352&lt;=700),Input!B17352,""),"")</f>
        <v/>
      </c>
      <c r="C17352">
        <f>IF(B17352="","",INT(A17352))</f>
        <v/>
      </c>
      <c r="D17352">
        <f>IF(B17352="","",HOUR(A17352))</f>
        <v/>
      </c>
    </row>
    <row r="17353">
      <c r="A17353">
        <f>Input!A17353</f>
        <v/>
      </c>
      <c r="B17353">
        <f>IF(ISNUMBER(Input!B17353),IF(AND(Input!B17353&gt;=20,Input!B17353&lt;=700),Input!B17353,""),"")</f>
        <v/>
      </c>
      <c r="C17353">
        <f>IF(B17353="","",INT(A17353))</f>
        <v/>
      </c>
      <c r="D17353">
        <f>IF(B17353="","",HOUR(A17353))</f>
        <v/>
      </c>
    </row>
    <row r="17354">
      <c r="A17354">
        <f>Input!A17354</f>
        <v/>
      </c>
      <c r="B17354">
        <f>IF(ISNUMBER(Input!B17354),IF(AND(Input!B17354&gt;=20,Input!B17354&lt;=700),Input!B17354,""),"")</f>
        <v/>
      </c>
      <c r="C17354">
        <f>IF(B17354="","",INT(A17354))</f>
        <v/>
      </c>
      <c r="D17354">
        <f>IF(B17354="","",HOUR(A17354))</f>
        <v/>
      </c>
    </row>
    <row r="17355">
      <c r="A17355">
        <f>Input!A17355</f>
        <v/>
      </c>
      <c r="B17355">
        <f>IF(ISNUMBER(Input!B17355),IF(AND(Input!B17355&gt;=20,Input!B17355&lt;=700),Input!B17355,""),"")</f>
        <v/>
      </c>
      <c r="C17355">
        <f>IF(B17355="","",INT(A17355))</f>
        <v/>
      </c>
      <c r="D17355">
        <f>IF(B17355="","",HOUR(A17355))</f>
        <v/>
      </c>
    </row>
    <row r="17356">
      <c r="A17356">
        <f>Input!A17356</f>
        <v/>
      </c>
      <c r="B17356">
        <f>IF(ISNUMBER(Input!B17356),IF(AND(Input!B17356&gt;=20,Input!B17356&lt;=700),Input!B17356,""),"")</f>
        <v/>
      </c>
      <c r="C17356">
        <f>IF(B17356="","",INT(A17356))</f>
        <v/>
      </c>
      <c r="D17356">
        <f>IF(B17356="","",HOUR(A17356))</f>
        <v/>
      </c>
    </row>
    <row r="17357">
      <c r="A17357">
        <f>Input!A17357</f>
        <v/>
      </c>
      <c r="B17357">
        <f>IF(ISNUMBER(Input!B17357),IF(AND(Input!B17357&gt;=20,Input!B17357&lt;=700),Input!B17357,""),"")</f>
        <v/>
      </c>
      <c r="C17357">
        <f>IF(B17357="","",INT(A17357))</f>
        <v/>
      </c>
      <c r="D17357">
        <f>IF(B17357="","",HOUR(A17357))</f>
        <v/>
      </c>
    </row>
    <row r="17358">
      <c r="A17358">
        <f>Input!A17358</f>
        <v/>
      </c>
      <c r="B17358">
        <f>IF(ISNUMBER(Input!B17358),IF(AND(Input!B17358&gt;=20,Input!B17358&lt;=700),Input!B17358,""),"")</f>
        <v/>
      </c>
      <c r="C17358">
        <f>IF(B17358="","",INT(A17358))</f>
        <v/>
      </c>
      <c r="D17358">
        <f>IF(B17358="","",HOUR(A17358))</f>
        <v/>
      </c>
    </row>
    <row r="17359">
      <c r="A17359">
        <f>Input!A17359</f>
        <v/>
      </c>
      <c r="B17359">
        <f>IF(ISNUMBER(Input!B17359),IF(AND(Input!B17359&gt;=20,Input!B17359&lt;=700),Input!B17359,""),"")</f>
        <v/>
      </c>
      <c r="C17359">
        <f>IF(B17359="","",INT(A17359))</f>
        <v/>
      </c>
      <c r="D17359">
        <f>IF(B17359="","",HOUR(A17359))</f>
        <v/>
      </c>
    </row>
    <row r="17360">
      <c r="A17360">
        <f>Input!A17360</f>
        <v/>
      </c>
      <c r="B17360">
        <f>IF(ISNUMBER(Input!B17360),IF(AND(Input!B17360&gt;=20,Input!B17360&lt;=700),Input!B17360,""),"")</f>
        <v/>
      </c>
      <c r="C17360">
        <f>IF(B17360="","",INT(A17360))</f>
        <v/>
      </c>
      <c r="D17360">
        <f>IF(B17360="","",HOUR(A17360))</f>
        <v/>
      </c>
    </row>
    <row r="17361">
      <c r="A17361">
        <f>Input!A17361</f>
        <v/>
      </c>
      <c r="B17361">
        <f>IF(ISNUMBER(Input!B17361),IF(AND(Input!B17361&gt;=20,Input!B17361&lt;=700),Input!B17361,""),"")</f>
        <v/>
      </c>
      <c r="C17361">
        <f>IF(B17361="","",INT(A17361))</f>
        <v/>
      </c>
      <c r="D17361">
        <f>IF(B17361="","",HOUR(A17361))</f>
        <v/>
      </c>
    </row>
    <row r="17362">
      <c r="A17362">
        <f>Input!A17362</f>
        <v/>
      </c>
      <c r="B17362">
        <f>IF(ISNUMBER(Input!B17362),IF(AND(Input!B17362&gt;=20,Input!B17362&lt;=700),Input!B17362,""),"")</f>
        <v/>
      </c>
      <c r="C17362">
        <f>IF(B17362="","",INT(A17362))</f>
        <v/>
      </c>
      <c r="D17362">
        <f>IF(B17362="","",HOUR(A17362))</f>
        <v/>
      </c>
    </row>
    <row r="17363">
      <c r="A17363">
        <f>Input!A17363</f>
        <v/>
      </c>
      <c r="B17363">
        <f>IF(ISNUMBER(Input!B17363),IF(AND(Input!B17363&gt;=20,Input!B17363&lt;=700),Input!B17363,""),"")</f>
        <v/>
      </c>
      <c r="C17363">
        <f>IF(B17363="","",INT(A17363))</f>
        <v/>
      </c>
      <c r="D17363">
        <f>IF(B17363="","",HOUR(A17363))</f>
        <v/>
      </c>
    </row>
    <row r="17364">
      <c r="A17364">
        <f>Input!A17364</f>
        <v/>
      </c>
      <c r="B17364">
        <f>IF(ISNUMBER(Input!B17364),IF(AND(Input!B17364&gt;=20,Input!B17364&lt;=700),Input!B17364,""),"")</f>
        <v/>
      </c>
      <c r="C17364">
        <f>IF(B17364="","",INT(A17364))</f>
        <v/>
      </c>
      <c r="D17364">
        <f>IF(B17364="","",HOUR(A17364))</f>
        <v/>
      </c>
    </row>
    <row r="17365">
      <c r="A17365">
        <f>Input!A17365</f>
        <v/>
      </c>
      <c r="B17365">
        <f>IF(ISNUMBER(Input!B17365),IF(AND(Input!B17365&gt;=20,Input!B17365&lt;=700),Input!B17365,""),"")</f>
        <v/>
      </c>
      <c r="C17365">
        <f>IF(B17365="","",INT(A17365))</f>
        <v/>
      </c>
      <c r="D17365">
        <f>IF(B17365="","",HOUR(A17365))</f>
        <v/>
      </c>
    </row>
    <row r="17366">
      <c r="A17366">
        <f>Input!A17366</f>
        <v/>
      </c>
      <c r="B17366">
        <f>IF(ISNUMBER(Input!B17366),IF(AND(Input!B17366&gt;=20,Input!B17366&lt;=700),Input!B17366,""),"")</f>
        <v/>
      </c>
      <c r="C17366">
        <f>IF(B17366="","",INT(A17366))</f>
        <v/>
      </c>
      <c r="D17366">
        <f>IF(B17366="","",HOUR(A17366))</f>
        <v/>
      </c>
    </row>
    <row r="17367">
      <c r="A17367">
        <f>Input!A17367</f>
        <v/>
      </c>
      <c r="B17367">
        <f>IF(ISNUMBER(Input!B17367),IF(AND(Input!B17367&gt;=20,Input!B17367&lt;=700),Input!B17367,""),"")</f>
        <v/>
      </c>
      <c r="C17367">
        <f>IF(B17367="","",INT(A17367))</f>
        <v/>
      </c>
      <c r="D17367">
        <f>IF(B17367="","",HOUR(A17367))</f>
        <v/>
      </c>
    </row>
    <row r="17368">
      <c r="A17368">
        <f>Input!A17368</f>
        <v/>
      </c>
      <c r="B17368">
        <f>IF(ISNUMBER(Input!B17368),IF(AND(Input!B17368&gt;=20,Input!B17368&lt;=700),Input!B17368,""),"")</f>
        <v/>
      </c>
      <c r="C17368">
        <f>IF(B17368="","",INT(A17368))</f>
        <v/>
      </c>
      <c r="D17368">
        <f>IF(B17368="","",HOUR(A17368))</f>
        <v/>
      </c>
    </row>
    <row r="17369">
      <c r="A17369">
        <f>Input!A17369</f>
        <v/>
      </c>
      <c r="B17369">
        <f>IF(ISNUMBER(Input!B17369),IF(AND(Input!B17369&gt;=20,Input!B17369&lt;=700),Input!B17369,""),"")</f>
        <v/>
      </c>
      <c r="C17369">
        <f>IF(B17369="","",INT(A17369))</f>
        <v/>
      </c>
      <c r="D17369">
        <f>IF(B17369="","",HOUR(A17369))</f>
        <v/>
      </c>
    </row>
    <row r="17370">
      <c r="A17370">
        <f>Input!A17370</f>
        <v/>
      </c>
      <c r="B17370">
        <f>IF(ISNUMBER(Input!B17370),IF(AND(Input!B17370&gt;=20,Input!B17370&lt;=700),Input!B17370,""),"")</f>
        <v/>
      </c>
      <c r="C17370">
        <f>IF(B17370="","",INT(A17370))</f>
        <v/>
      </c>
      <c r="D17370">
        <f>IF(B17370="","",HOUR(A17370))</f>
        <v/>
      </c>
    </row>
    <row r="17371">
      <c r="A17371">
        <f>Input!A17371</f>
        <v/>
      </c>
      <c r="B17371">
        <f>IF(ISNUMBER(Input!B17371),IF(AND(Input!B17371&gt;=20,Input!B17371&lt;=700),Input!B17371,""),"")</f>
        <v/>
      </c>
      <c r="C17371">
        <f>IF(B17371="","",INT(A17371))</f>
        <v/>
      </c>
      <c r="D17371">
        <f>IF(B17371="","",HOUR(A17371))</f>
        <v/>
      </c>
    </row>
    <row r="17372">
      <c r="A17372">
        <f>Input!A17372</f>
        <v/>
      </c>
      <c r="B17372">
        <f>IF(ISNUMBER(Input!B17372),IF(AND(Input!B17372&gt;=20,Input!B17372&lt;=700),Input!B17372,""),"")</f>
        <v/>
      </c>
      <c r="C17372">
        <f>IF(B17372="","",INT(A17372))</f>
        <v/>
      </c>
      <c r="D17372">
        <f>IF(B17372="","",HOUR(A17372))</f>
        <v/>
      </c>
    </row>
    <row r="17373">
      <c r="A17373">
        <f>Input!A17373</f>
        <v/>
      </c>
      <c r="B17373">
        <f>IF(ISNUMBER(Input!B17373),IF(AND(Input!B17373&gt;=20,Input!B17373&lt;=700),Input!B17373,""),"")</f>
        <v/>
      </c>
      <c r="C17373">
        <f>IF(B17373="","",INT(A17373))</f>
        <v/>
      </c>
      <c r="D17373">
        <f>IF(B17373="","",HOUR(A17373))</f>
        <v/>
      </c>
    </row>
    <row r="17374">
      <c r="A17374">
        <f>Input!A17374</f>
        <v/>
      </c>
      <c r="B17374">
        <f>IF(ISNUMBER(Input!B17374),IF(AND(Input!B17374&gt;=20,Input!B17374&lt;=700),Input!B17374,""),"")</f>
        <v/>
      </c>
      <c r="C17374">
        <f>IF(B17374="","",INT(A17374))</f>
        <v/>
      </c>
      <c r="D17374">
        <f>IF(B17374="","",HOUR(A17374))</f>
        <v/>
      </c>
    </row>
    <row r="17375">
      <c r="A17375">
        <f>Input!A17375</f>
        <v/>
      </c>
      <c r="B17375">
        <f>IF(ISNUMBER(Input!B17375),IF(AND(Input!B17375&gt;=20,Input!B17375&lt;=700),Input!B17375,""),"")</f>
        <v/>
      </c>
      <c r="C17375">
        <f>IF(B17375="","",INT(A17375))</f>
        <v/>
      </c>
      <c r="D17375">
        <f>IF(B17375="","",HOUR(A17375))</f>
        <v/>
      </c>
    </row>
    <row r="17376">
      <c r="A17376">
        <f>Input!A17376</f>
        <v/>
      </c>
      <c r="B17376">
        <f>IF(ISNUMBER(Input!B17376),IF(AND(Input!B17376&gt;=20,Input!B17376&lt;=700),Input!B17376,""),"")</f>
        <v/>
      </c>
      <c r="C17376">
        <f>IF(B17376="","",INT(A17376))</f>
        <v/>
      </c>
      <c r="D17376">
        <f>IF(B17376="","",HOUR(A17376))</f>
        <v/>
      </c>
    </row>
    <row r="17377">
      <c r="A17377">
        <f>Input!A17377</f>
        <v/>
      </c>
      <c r="B17377">
        <f>IF(ISNUMBER(Input!B17377),IF(AND(Input!B17377&gt;=20,Input!B17377&lt;=700),Input!B17377,""),"")</f>
        <v/>
      </c>
      <c r="C17377">
        <f>IF(B17377="","",INT(A17377))</f>
        <v/>
      </c>
      <c r="D17377">
        <f>IF(B17377="","",HOUR(A17377))</f>
        <v/>
      </c>
    </row>
    <row r="17378">
      <c r="A17378">
        <f>Input!A17378</f>
        <v/>
      </c>
      <c r="B17378">
        <f>IF(ISNUMBER(Input!B17378),IF(AND(Input!B17378&gt;=20,Input!B17378&lt;=700),Input!B17378,""),"")</f>
        <v/>
      </c>
      <c r="C17378">
        <f>IF(B17378="","",INT(A17378))</f>
        <v/>
      </c>
      <c r="D17378">
        <f>IF(B17378="","",HOUR(A17378))</f>
        <v/>
      </c>
    </row>
    <row r="17379">
      <c r="A17379">
        <f>Input!A17379</f>
        <v/>
      </c>
      <c r="B17379">
        <f>IF(ISNUMBER(Input!B17379),IF(AND(Input!B17379&gt;=20,Input!B17379&lt;=700),Input!B17379,""),"")</f>
        <v/>
      </c>
      <c r="C17379">
        <f>IF(B17379="","",INT(A17379))</f>
        <v/>
      </c>
      <c r="D17379">
        <f>IF(B17379="","",HOUR(A17379))</f>
        <v/>
      </c>
    </row>
    <row r="17380">
      <c r="A17380">
        <f>Input!A17380</f>
        <v/>
      </c>
      <c r="B17380">
        <f>IF(ISNUMBER(Input!B17380),IF(AND(Input!B17380&gt;=20,Input!B17380&lt;=700),Input!B17380,""),"")</f>
        <v/>
      </c>
      <c r="C17380">
        <f>IF(B17380="","",INT(A17380))</f>
        <v/>
      </c>
      <c r="D17380">
        <f>IF(B17380="","",HOUR(A17380))</f>
        <v/>
      </c>
    </row>
    <row r="17381">
      <c r="A17381">
        <f>Input!A17381</f>
        <v/>
      </c>
      <c r="B17381">
        <f>IF(ISNUMBER(Input!B17381),IF(AND(Input!B17381&gt;=20,Input!B17381&lt;=700),Input!B17381,""),"")</f>
        <v/>
      </c>
      <c r="C17381">
        <f>IF(B17381="","",INT(A17381))</f>
        <v/>
      </c>
      <c r="D17381">
        <f>IF(B17381="","",HOUR(A17381))</f>
        <v/>
      </c>
    </row>
    <row r="17382">
      <c r="A17382">
        <f>Input!A17382</f>
        <v/>
      </c>
      <c r="B17382">
        <f>IF(ISNUMBER(Input!B17382),IF(AND(Input!B17382&gt;=20,Input!B17382&lt;=700),Input!B17382,""),"")</f>
        <v/>
      </c>
      <c r="C17382">
        <f>IF(B17382="","",INT(A17382))</f>
        <v/>
      </c>
      <c r="D17382">
        <f>IF(B17382="","",HOUR(A17382))</f>
        <v/>
      </c>
    </row>
    <row r="17383">
      <c r="A17383">
        <f>Input!A17383</f>
        <v/>
      </c>
      <c r="B17383">
        <f>IF(ISNUMBER(Input!B17383),IF(AND(Input!B17383&gt;=20,Input!B17383&lt;=700),Input!B17383,""),"")</f>
        <v/>
      </c>
      <c r="C17383">
        <f>IF(B17383="","",INT(A17383))</f>
        <v/>
      </c>
      <c r="D17383">
        <f>IF(B17383="","",HOUR(A17383))</f>
        <v/>
      </c>
    </row>
    <row r="17384">
      <c r="A17384">
        <f>Input!A17384</f>
        <v/>
      </c>
      <c r="B17384">
        <f>IF(ISNUMBER(Input!B17384),IF(AND(Input!B17384&gt;=20,Input!B17384&lt;=700),Input!B17384,""),"")</f>
        <v/>
      </c>
      <c r="C17384">
        <f>IF(B17384="","",INT(A17384))</f>
        <v/>
      </c>
      <c r="D17384">
        <f>IF(B17384="","",HOUR(A17384))</f>
        <v/>
      </c>
    </row>
    <row r="17385">
      <c r="A17385">
        <f>Input!A17385</f>
        <v/>
      </c>
      <c r="B17385">
        <f>IF(ISNUMBER(Input!B17385),IF(AND(Input!B17385&gt;=20,Input!B17385&lt;=700),Input!B17385,""),"")</f>
        <v/>
      </c>
      <c r="C17385">
        <f>IF(B17385="","",INT(A17385))</f>
        <v/>
      </c>
      <c r="D17385">
        <f>IF(B17385="","",HOUR(A17385))</f>
        <v/>
      </c>
    </row>
    <row r="17386">
      <c r="A17386">
        <f>Input!A17386</f>
        <v/>
      </c>
      <c r="B17386">
        <f>IF(ISNUMBER(Input!B17386),IF(AND(Input!B17386&gt;=20,Input!B17386&lt;=700),Input!B17386,""),"")</f>
        <v/>
      </c>
      <c r="C17386">
        <f>IF(B17386="","",INT(A17386))</f>
        <v/>
      </c>
      <c r="D17386">
        <f>IF(B17386="","",HOUR(A17386))</f>
        <v/>
      </c>
    </row>
    <row r="17387">
      <c r="A17387">
        <f>Input!A17387</f>
        <v/>
      </c>
      <c r="B17387">
        <f>IF(ISNUMBER(Input!B17387),IF(AND(Input!B17387&gt;=20,Input!B17387&lt;=700),Input!B17387,""),"")</f>
        <v/>
      </c>
      <c r="C17387">
        <f>IF(B17387="","",INT(A17387))</f>
        <v/>
      </c>
      <c r="D17387">
        <f>IF(B17387="","",HOUR(A17387))</f>
        <v/>
      </c>
    </row>
    <row r="17388">
      <c r="A17388">
        <f>Input!A17388</f>
        <v/>
      </c>
      <c r="B17388">
        <f>IF(ISNUMBER(Input!B17388),IF(AND(Input!B17388&gt;=20,Input!B17388&lt;=700),Input!B17388,""),"")</f>
        <v/>
      </c>
      <c r="C17388">
        <f>IF(B17388="","",INT(A17388))</f>
        <v/>
      </c>
      <c r="D17388">
        <f>IF(B17388="","",HOUR(A17388))</f>
        <v/>
      </c>
    </row>
    <row r="17389">
      <c r="A17389">
        <f>Input!A17389</f>
        <v/>
      </c>
      <c r="B17389">
        <f>IF(ISNUMBER(Input!B17389),IF(AND(Input!B17389&gt;=20,Input!B17389&lt;=700),Input!B17389,""),"")</f>
        <v/>
      </c>
      <c r="C17389">
        <f>IF(B17389="","",INT(A17389))</f>
        <v/>
      </c>
      <c r="D17389">
        <f>IF(B17389="","",HOUR(A17389))</f>
        <v/>
      </c>
    </row>
    <row r="17390">
      <c r="A17390">
        <f>Input!A17390</f>
        <v/>
      </c>
      <c r="B17390">
        <f>IF(ISNUMBER(Input!B17390),IF(AND(Input!B17390&gt;=20,Input!B17390&lt;=700),Input!B17390,""),"")</f>
        <v/>
      </c>
      <c r="C17390">
        <f>IF(B17390="","",INT(A17390))</f>
        <v/>
      </c>
      <c r="D17390">
        <f>IF(B17390="","",HOUR(A17390))</f>
        <v/>
      </c>
    </row>
    <row r="17391">
      <c r="A17391">
        <f>Input!A17391</f>
        <v/>
      </c>
      <c r="B17391">
        <f>IF(ISNUMBER(Input!B17391),IF(AND(Input!B17391&gt;=20,Input!B17391&lt;=700),Input!B17391,""),"")</f>
        <v/>
      </c>
      <c r="C17391">
        <f>IF(B17391="","",INT(A17391))</f>
        <v/>
      </c>
      <c r="D17391">
        <f>IF(B17391="","",HOUR(A17391))</f>
        <v/>
      </c>
    </row>
    <row r="17392">
      <c r="A17392">
        <f>Input!A17392</f>
        <v/>
      </c>
      <c r="B17392">
        <f>IF(ISNUMBER(Input!B17392),IF(AND(Input!B17392&gt;=20,Input!B17392&lt;=700),Input!B17392,""),"")</f>
        <v/>
      </c>
      <c r="C17392">
        <f>IF(B17392="","",INT(A17392))</f>
        <v/>
      </c>
      <c r="D17392">
        <f>IF(B17392="","",HOUR(A17392))</f>
        <v/>
      </c>
    </row>
    <row r="17393">
      <c r="A17393">
        <f>Input!A17393</f>
        <v/>
      </c>
      <c r="B17393">
        <f>IF(ISNUMBER(Input!B17393),IF(AND(Input!B17393&gt;=20,Input!B17393&lt;=700),Input!B17393,""),"")</f>
        <v/>
      </c>
      <c r="C17393">
        <f>IF(B17393="","",INT(A17393))</f>
        <v/>
      </c>
      <c r="D17393">
        <f>IF(B17393="","",HOUR(A17393))</f>
        <v/>
      </c>
    </row>
    <row r="17394">
      <c r="A17394">
        <f>Input!A17394</f>
        <v/>
      </c>
      <c r="B17394">
        <f>IF(ISNUMBER(Input!B17394),IF(AND(Input!B17394&gt;=20,Input!B17394&lt;=700),Input!B17394,""),"")</f>
        <v/>
      </c>
      <c r="C17394">
        <f>IF(B17394="","",INT(A17394))</f>
        <v/>
      </c>
      <c r="D17394">
        <f>IF(B17394="","",HOUR(A17394))</f>
        <v/>
      </c>
    </row>
    <row r="17395">
      <c r="A17395">
        <f>Input!A17395</f>
        <v/>
      </c>
      <c r="B17395">
        <f>IF(ISNUMBER(Input!B17395),IF(AND(Input!B17395&gt;=20,Input!B17395&lt;=700),Input!B17395,""),"")</f>
        <v/>
      </c>
      <c r="C17395">
        <f>IF(B17395="","",INT(A17395))</f>
        <v/>
      </c>
      <c r="D17395">
        <f>IF(B17395="","",HOUR(A17395))</f>
        <v/>
      </c>
    </row>
    <row r="17396">
      <c r="A17396">
        <f>Input!A17396</f>
        <v/>
      </c>
      <c r="B17396">
        <f>IF(ISNUMBER(Input!B17396),IF(AND(Input!B17396&gt;=20,Input!B17396&lt;=700),Input!B17396,""),"")</f>
        <v/>
      </c>
      <c r="C17396">
        <f>IF(B17396="","",INT(A17396))</f>
        <v/>
      </c>
      <c r="D17396">
        <f>IF(B17396="","",HOUR(A17396))</f>
        <v/>
      </c>
    </row>
    <row r="17397">
      <c r="A17397">
        <f>Input!A17397</f>
        <v/>
      </c>
      <c r="B17397">
        <f>IF(ISNUMBER(Input!B17397),IF(AND(Input!B17397&gt;=20,Input!B17397&lt;=700),Input!B17397,""),"")</f>
        <v/>
      </c>
      <c r="C17397">
        <f>IF(B17397="","",INT(A17397))</f>
        <v/>
      </c>
      <c r="D17397">
        <f>IF(B17397="","",HOUR(A17397))</f>
        <v/>
      </c>
    </row>
    <row r="17398">
      <c r="A17398">
        <f>Input!A17398</f>
        <v/>
      </c>
      <c r="B17398">
        <f>IF(ISNUMBER(Input!B17398),IF(AND(Input!B17398&gt;=20,Input!B17398&lt;=700),Input!B17398,""),"")</f>
        <v/>
      </c>
      <c r="C17398">
        <f>IF(B17398="","",INT(A17398))</f>
        <v/>
      </c>
      <c r="D17398">
        <f>IF(B17398="","",HOUR(A17398))</f>
        <v/>
      </c>
    </row>
    <row r="17399">
      <c r="A17399">
        <f>Input!A17399</f>
        <v/>
      </c>
      <c r="B17399">
        <f>IF(ISNUMBER(Input!B17399),IF(AND(Input!B17399&gt;=20,Input!B17399&lt;=700),Input!B17399,""),"")</f>
        <v/>
      </c>
      <c r="C17399">
        <f>IF(B17399="","",INT(A17399))</f>
        <v/>
      </c>
      <c r="D17399">
        <f>IF(B17399="","",HOUR(A17399))</f>
        <v/>
      </c>
    </row>
    <row r="17400">
      <c r="A17400">
        <f>Input!A17400</f>
        <v/>
      </c>
      <c r="B17400">
        <f>IF(ISNUMBER(Input!B17400),IF(AND(Input!B17400&gt;=20,Input!B17400&lt;=700),Input!B17400,""),"")</f>
        <v/>
      </c>
      <c r="C17400">
        <f>IF(B17400="","",INT(A17400))</f>
        <v/>
      </c>
      <c r="D17400">
        <f>IF(B17400="","",HOUR(A17400))</f>
        <v/>
      </c>
    </row>
    <row r="17401">
      <c r="A17401">
        <f>Input!A17401</f>
        <v/>
      </c>
      <c r="B17401">
        <f>IF(ISNUMBER(Input!B17401),IF(AND(Input!B17401&gt;=20,Input!B17401&lt;=700),Input!B17401,""),"")</f>
        <v/>
      </c>
      <c r="C17401">
        <f>IF(B17401="","",INT(A17401))</f>
        <v/>
      </c>
      <c r="D17401">
        <f>IF(B17401="","",HOUR(A17401))</f>
        <v/>
      </c>
    </row>
    <row r="17402">
      <c r="A17402">
        <f>Input!A17402</f>
        <v/>
      </c>
      <c r="B17402">
        <f>IF(ISNUMBER(Input!B17402),IF(AND(Input!B17402&gt;=20,Input!B17402&lt;=700),Input!B17402,""),"")</f>
        <v/>
      </c>
      <c r="C17402">
        <f>IF(B17402="","",INT(A17402))</f>
        <v/>
      </c>
      <c r="D17402">
        <f>IF(B17402="","",HOUR(A17402))</f>
        <v/>
      </c>
    </row>
    <row r="17403">
      <c r="A17403">
        <f>Input!A17403</f>
        <v/>
      </c>
      <c r="B17403">
        <f>IF(ISNUMBER(Input!B17403),IF(AND(Input!B17403&gt;=20,Input!B17403&lt;=700),Input!B17403,""),"")</f>
        <v/>
      </c>
      <c r="C17403">
        <f>IF(B17403="","",INT(A17403))</f>
        <v/>
      </c>
      <c r="D17403">
        <f>IF(B17403="","",HOUR(A17403))</f>
        <v/>
      </c>
    </row>
    <row r="17404">
      <c r="A17404">
        <f>Input!A17404</f>
        <v/>
      </c>
      <c r="B17404">
        <f>IF(ISNUMBER(Input!B17404),IF(AND(Input!B17404&gt;=20,Input!B17404&lt;=700),Input!B17404,""),"")</f>
        <v/>
      </c>
      <c r="C17404">
        <f>IF(B17404="","",INT(A17404))</f>
        <v/>
      </c>
      <c r="D17404">
        <f>IF(B17404="","",HOUR(A17404))</f>
        <v/>
      </c>
    </row>
    <row r="17405">
      <c r="A17405">
        <f>Input!A17405</f>
        <v/>
      </c>
      <c r="B17405">
        <f>IF(ISNUMBER(Input!B17405),IF(AND(Input!B17405&gt;=20,Input!B17405&lt;=700),Input!B17405,""),"")</f>
        <v/>
      </c>
      <c r="C17405">
        <f>IF(B17405="","",INT(A17405))</f>
        <v/>
      </c>
      <c r="D17405">
        <f>IF(B17405="","",HOUR(A17405))</f>
        <v/>
      </c>
    </row>
    <row r="17406">
      <c r="A17406">
        <f>Input!A17406</f>
        <v/>
      </c>
      <c r="B17406">
        <f>IF(ISNUMBER(Input!B17406),IF(AND(Input!B17406&gt;=20,Input!B17406&lt;=700),Input!B17406,""),"")</f>
        <v/>
      </c>
      <c r="C17406">
        <f>IF(B17406="","",INT(A17406))</f>
        <v/>
      </c>
      <c r="D17406">
        <f>IF(B17406="","",HOUR(A17406))</f>
        <v/>
      </c>
    </row>
    <row r="17407">
      <c r="A17407">
        <f>Input!A17407</f>
        <v/>
      </c>
      <c r="B17407">
        <f>IF(ISNUMBER(Input!B17407),IF(AND(Input!B17407&gt;=20,Input!B17407&lt;=700),Input!B17407,""),"")</f>
        <v/>
      </c>
      <c r="C17407">
        <f>IF(B17407="","",INT(A17407))</f>
        <v/>
      </c>
      <c r="D17407">
        <f>IF(B17407="","",HOUR(A17407))</f>
        <v/>
      </c>
    </row>
    <row r="17408">
      <c r="A17408">
        <f>Input!A17408</f>
        <v/>
      </c>
      <c r="B17408">
        <f>IF(ISNUMBER(Input!B17408),IF(AND(Input!B17408&gt;=20,Input!B17408&lt;=700),Input!B17408,""),"")</f>
        <v/>
      </c>
      <c r="C17408">
        <f>IF(B17408="","",INT(A17408))</f>
        <v/>
      </c>
      <c r="D17408">
        <f>IF(B17408="","",HOUR(A17408))</f>
        <v/>
      </c>
    </row>
    <row r="17409">
      <c r="A17409">
        <f>Input!A17409</f>
        <v/>
      </c>
      <c r="B17409">
        <f>IF(ISNUMBER(Input!B17409),IF(AND(Input!B17409&gt;=20,Input!B17409&lt;=700),Input!B17409,""),"")</f>
        <v/>
      </c>
      <c r="C17409">
        <f>IF(B17409="","",INT(A17409))</f>
        <v/>
      </c>
      <c r="D17409">
        <f>IF(B17409="","",HOUR(A17409))</f>
        <v/>
      </c>
    </row>
    <row r="17410">
      <c r="A17410">
        <f>Input!A17410</f>
        <v/>
      </c>
      <c r="B17410">
        <f>IF(ISNUMBER(Input!B17410),IF(AND(Input!B17410&gt;=20,Input!B17410&lt;=700),Input!B17410,""),"")</f>
        <v/>
      </c>
      <c r="C17410">
        <f>IF(B17410="","",INT(A17410))</f>
        <v/>
      </c>
      <c r="D17410">
        <f>IF(B17410="","",HOUR(A17410))</f>
        <v/>
      </c>
    </row>
    <row r="17411">
      <c r="A17411">
        <f>Input!A17411</f>
        <v/>
      </c>
      <c r="B17411">
        <f>IF(ISNUMBER(Input!B17411),IF(AND(Input!B17411&gt;=20,Input!B17411&lt;=700),Input!B17411,""),"")</f>
        <v/>
      </c>
      <c r="C17411">
        <f>IF(B17411="","",INT(A17411))</f>
        <v/>
      </c>
      <c r="D17411">
        <f>IF(B17411="","",HOUR(A17411))</f>
        <v/>
      </c>
    </row>
    <row r="17412">
      <c r="A17412">
        <f>Input!A17412</f>
        <v/>
      </c>
      <c r="B17412">
        <f>IF(ISNUMBER(Input!B17412),IF(AND(Input!B17412&gt;=20,Input!B17412&lt;=700),Input!B17412,""),"")</f>
        <v/>
      </c>
      <c r="C17412">
        <f>IF(B17412="","",INT(A17412))</f>
        <v/>
      </c>
      <c r="D17412">
        <f>IF(B17412="","",HOUR(A17412))</f>
        <v/>
      </c>
    </row>
    <row r="17413">
      <c r="A17413">
        <f>Input!A17413</f>
        <v/>
      </c>
      <c r="B17413">
        <f>IF(ISNUMBER(Input!B17413),IF(AND(Input!B17413&gt;=20,Input!B17413&lt;=700),Input!B17413,""),"")</f>
        <v/>
      </c>
      <c r="C17413">
        <f>IF(B17413="","",INT(A17413))</f>
        <v/>
      </c>
      <c r="D17413">
        <f>IF(B17413="","",HOUR(A17413))</f>
        <v/>
      </c>
    </row>
    <row r="17414">
      <c r="A17414">
        <f>Input!A17414</f>
        <v/>
      </c>
      <c r="B17414">
        <f>IF(ISNUMBER(Input!B17414),IF(AND(Input!B17414&gt;=20,Input!B17414&lt;=700),Input!B17414,""),"")</f>
        <v/>
      </c>
      <c r="C17414">
        <f>IF(B17414="","",INT(A17414))</f>
        <v/>
      </c>
      <c r="D17414">
        <f>IF(B17414="","",HOUR(A17414))</f>
        <v/>
      </c>
    </row>
    <row r="17415">
      <c r="A17415">
        <f>Input!A17415</f>
        <v/>
      </c>
      <c r="B17415">
        <f>IF(ISNUMBER(Input!B17415),IF(AND(Input!B17415&gt;=20,Input!B17415&lt;=700),Input!B17415,""),"")</f>
        <v/>
      </c>
      <c r="C17415">
        <f>IF(B17415="","",INT(A17415))</f>
        <v/>
      </c>
      <c r="D17415">
        <f>IF(B17415="","",HOUR(A17415))</f>
        <v/>
      </c>
    </row>
    <row r="17416">
      <c r="A17416">
        <f>Input!A17416</f>
        <v/>
      </c>
      <c r="B17416">
        <f>IF(ISNUMBER(Input!B17416),IF(AND(Input!B17416&gt;=20,Input!B17416&lt;=700),Input!B17416,""),"")</f>
        <v/>
      </c>
      <c r="C17416">
        <f>IF(B17416="","",INT(A17416))</f>
        <v/>
      </c>
      <c r="D17416">
        <f>IF(B17416="","",HOUR(A17416))</f>
        <v/>
      </c>
    </row>
    <row r="17417">
      <c r="A17417">
        <f>Input!A17417</f>
        <v/>
      </c>
      <c r="B17417">
        <f>IF(ISNUMBER(Input!B17417),IF(AND(Input!B17417&gt;=20,Input!B17417&lt;=700),Input!B17417,""),"")</f>
        <v/>
      </c>
      <c r="C17417">
        <f>IF(B17417="","",INT(A17417))</f>
        <v/>
      </c>
      <c r="D17417">
        <f>IF(B17417="","",HOUR(A17417))</f>
        <v/>
      </c>
    </row>
    <row r="17418">
      <c r="A17418">
        <f>Input!A17418</f>
        <v/>
      </c>
      <c r="B17418">
        <f>IF(ISNUMBER(Input!B17418),IF(AND(Input!B17418&gt;=20,Input!B17418&lt;=700),Input!B17418,""),"")</f>
        <v/>
      </c>
      <c r="C17418">
        <f>IF(B17418="","",INT(A17418))</f>
        <v/>
      </c>
      <c r="D17418">
        <f>IF(B17418="","",HOUR(A17418))</f>
        <v/>
      </c>
    </row>
    <row r="17419">
      <c r="A17419">
        <f>Input!A17419</f>
        <v/>
      </c>
      <c r="B17419">
        <f>IF(ISNUMBER(Input!B17419),IF(AND(Input!B17419&gt;=20,Input!B17419&lt;=700),Input!B17419,""),"")</f>
        <v/>
      </c>
      <c r="C17419">
        <f>IF(B17419="","",INT(A17419))</f>
        <v/>
      </c>
      <c r="D17419">
        <f>IF(B17419="","",HOUR(A17419))</f>
        <v/>
      </c>
    </row>
    <row r="17420">
      <c r="A17420">
        <f>Input!A17420</f>
        <v/>
      </c>
      <c r="B17420">
        <f>IF(ISNUMBER(Input!B17420),IF(AND(Input!B17420&gt;=20,Input!B17420&lt;=700),Input!B17420,""),"")</f>
        <v/>
      </c>
      <c r="C17420">
        <f>IF(B17420="","",INT(A17420))</f>
        <v/>
      </c>
      <c r="D17420">
        <f>IF(B17420="","",HOUR(A17420))</f>
        <v/>
      </c>
    </row>
    <row r="17421">
      <c r="A17421">
        <f>Input!A17421</f>
        <v/>
      </c>
      <c r="B17421">
        <f>IF(ISNUMBER(Input!B17421),IF(AND(Input!B17421&gt;=20,Input!B17421&lt;=700),Input!B17421,""),"")</f>
        <v/>
      </c>
      <c r="C17421">
        <f>IF(B17421="","",INT(A17421))</f>
        <v/>
      </c>
      <c r="D17421">
        <f>IF(B17421="","",HOUR(A17421))</f>
        <v/>
      </c>
    </row>
    <row r="17422">
      <c r="A17422">
        <f>Input!A17422</f>
        <v/>
      </c>
      <c r="B17422">
        <f>IF(ISNUMBER(Input!B17422),IF(AND(Input!B17422&gt;=20,Input!B17422&lt;=700),Input!B17422,""),"")</f>
        <v/>
      </c>
      <c r="C17422">
        <f>IF(B17422="","",INT(A17422))</f>
        <v/>
      </c>
      <c r="D17422">
        <f>IF(B17422="","",HOUR(A17422))</f>
        <v/>
      </c>
    </row>
    <row r="17423">
      <c r="A17423">
        <f>Input!A17423</f>
        <v/>
      </c>
      <c r="B17423">
        <f>IF(ISNUMBER(Input!B17423),IF(AND(Input!B17423&gt;=20,Input!B17423&lt;=700),Input!B17423,""),"")</f>
        <v/>
      </c>
      <c r="C17423">
        <f>IF(B17423="","",INT(A17423))</f>
        <v/>
      </c>
      <c r="D17423">
        <f>IF(B17423="","",HOUR(A17423))</f>
        <v/>
      </c>
    </row>
    <row r="17424">
      <c r="A17424">
        <f>Input!A17424</f>
        <v/>
      </c>
      <c r="B17424">
        <f>IF(ISNUMBER(Input!B17424),IF(AND(Input!B17424&gt;=20,Input!B17424&lt;=700),Input!B17424,""),"")</f>
        <v/>
      </c>
      <c r="C17424">
        <f>IF(B17424="","",INT(A17424))</f>
        <v/>
      </c>
      <c r="D17424">
        <f>IF(B17424="","",HOUR(A17424))</f>
        <v/>
      </c>
    </row>
    <row r="17425">
      <c r="A17425">
        <f>Input!A17425</f>
        <v/>
      </c>
      <c r="B17425">
        <f>IF(ISNUMBER(Input!B17425),IF(AND(Input!B17425&gt;=20,Input!B17425&lt;=700),Input!B17425,""),"")</f>
        <v/>
      </c>
      <c r="C17425">
        <f>IF(B17425="","",INT(A17425))</f>
        <v/>
      </c>
      <c r="D17425">
        <f>IF(B17425="","",HOUR(A17425))</f>
        <v/>
      </c>
    </row>
    <row r="17426">
      <c r="A17426">
        <f>Input!A17426</f>
        <v/>
      </c>
      <c r="B17426">
        <f>IF(ISNUMBER(Input!B17426),IF(AND(Input!B17426&gt;=20,Input!B17426&lt;=700),Input!B17426,""),"")</f>
        <v/>
      </c>
      <c r="C17426">
        <f>IF(B17426="","",INT(A17426))</f>
        <v/>
      </c>
      <c r="D17426">
        <f>IF(B17426="","",HOUR(A17426))</f>
        <v/>
      </c>
    </row>
    <row r="17427">
      <c r="A17427">
        <f>Input!A17427</f>
        <v/>
      </c>
      <c r="B17427">
        <f>IF(ISNUMBER(Input!B17427),IF(AND(Input!B17427&gt;=20,Input!B17427&lt;=700),Input!B17427,""),"")</f>
        <v/>
      </c>
      <c r="C17427">
        <f>IF(B17427="","",INT(A17427))</f>
        <v/>
      </c>
      <c r="D17427">
        <f>IF(B17427="","",HOUR(A17427))</f>
        <v/>
      </c>
    </row>
    <row r="17428">
      <c r="A17428">
        <f>Input!A17428</f>
        <v/>
      </c>
      <c r="B17428">
        <f>IF(ISNUMBER(Input!B17428),IF(AND(Input!B17428&gt;=20,Input!B17428&lt;=700),Input!B17428,""),"")</f>
        <v/>
      </c>
      <c r="C17428">
        <f>IF(B17428="","",INT(A17428))</f>
        <v/>
      </c>
      <c r="D17428">
        <f>IF(B17428="","",HOUR(A17428))</f>
        <v/>
      </c>
    </row>
    <row r="17429">
      <c r="A17429">
        <f>Input!A17429</f>
        <v/>
      </c>
      <c r="B17429">
        <f>IF(ISNUMBER(Input!B17429),IF(AND(Input!B17429&gt;=20,Input!B17429&lt;=700),Input!B17429,""),"")</f>
        <v/>
      </c>
      <c r="C17429">
        <f>IF(B17429="","",INT(A17429))</f>
        <v/>
      </c>
      <c r="D17429">
        <f>IF(B17429="","",HOUR(A17429))</f>
        <v/>
      </c>
    </row>
    <row r="17430">
      <c r="A17430">
        <f>Input!A17430</f>
        <v/>
      </c>
      <c r="B17430">
        <f>IF(ISNUMBER(Input!B17430),IF(AND(Input!B17430&gt;=20,Input!B17430&lt;=700),Input!B17430,""),"")</f>
        <v/>
      </c>
      <c r="C17430">
        <f>IF(B17430="","",INT(A17430))</f>
        <v/>
      </c>
      <c r="D17430">
        <f>IF(B17430="","",HOUR(A17430))</f>
        <v/>
      </c>
    </row>
    <row r="17431">
      <c r="A17431">
        <f>Input!A17431</f>
        <v/>
      </c>
      <c r="B17431">
        <f>IF(ISNUMBER(Input!B17431),IF(AND(Input!B17431&gt;=20,Input!B17431&lt;=700),Input!B17431,""),"")</f>
        <v/>
      </c>
      <c r="C17431">
        <f>IF(B17431="","",INT(A17431))</f>
        <v/>
      </c>
      <c r="D17431">
        <f>IF(B17431="","",HOUR(A17431))</f>
        <v/>
      </c>
    </row>
    <row r="17432">
      <c r="A17432">
        <f>Input!A17432</f>
        <v/>
      </c>
      <c r="B17432">
        <f>IF(ISNUMBER(Input!B17432),IF(AND(Input!B17432&gt;=20,Input!B17432&lt;=700),Input!B17432,""),"")</f>
        <v/>
      </c>
      <c r="C17432">
        <f>IF(B17432="","",INT(A17432))</f>
        <v/>
      </c>
      <c r="D17432">
        <f>IF(B17432="","",HOUR(A17432))</f>
        <v/>
      </c>
    </row>
    <row r="17433">
      <c r="A17433">
        <f>Input!A17433</f>
        <v/>
      </c>
      <c r="B17433">
        <f>IF(ISNUMBER(Input!B17433),IF(AND(Input!B17433&gt;=20,Input!B17433&lt;=700),Input!B17433,""),"")</f>
        <v/>
      </c>
      <c r="C17433">
        <f>IF(B17433="","",INT(A17433))</f>
        <v/>
      </c>
      <c r="D17433">
        <f>IF(B17433="","",HOUR(A17433))</f>
        <v/>
      </c>
    </row>
    <row r="17434">
      <c r="A17434">
        <f>Input!A17434</f>
        <v/>
      </c>
      <c r="B17434">
        <f>IF(ISNUMBER(Input!B17434),IF(AND(Input!B17434&gt;=20,Input!B17434&lt;=700),Input!B17434,""),"")</f>
        <v/>
      </c>
      <c r="C17434">
        <f>IF(B17434="","",INT(A17434))</f>
        <v/>
      </c>
      <c r="D17434">
        <f>IF(B17434="","",HOUR(A17434))</f>
        <v/>
      </c>
    </row>
    <row r="17435">
      <c r="A17435">
        <f>Input!A17435</f>
        <v/>
      </c>
      <c r="B17435">
        <f>IF(ISNUMBER(Input!B17435),IF(AND(Input!B17435&gt;=20,Input!B17435&lt;=700),Input!B17435,""),"")</f>
        <v/>
      </c>
      <c r="C17435">
        <f>IF(B17435="","",INT(A17435))</f>
        <v/>
      </c>
      <c r="D17435">
        <f>IF(B17435="","",HOUR(A17435))</f>
        <v/>
      </c>
    </row>
    <row r="17436">
      <c r="A17436">
        <f>Input!A17436</f>
        <v/>
      </c>
      <c r="B17436">
        <f>IF(ISNUMBER(Input!B17436),IF(AND(Input!B17436&gt;=20,Input!B17436&lt;=700),Input!B17436,""),"")</f>
        <v/>
      </c>
      <c r="C17436">
        <f>IF(B17436="","",INT(A17436))</f>
        <v/>
      </c>
      <c r="D17436">
        <f>IF(B17436="","",HOUR(A17436))</f>
        <v/>
      </c>
    </row>
    <row r="17437">
      <c r="A17437">
        <f>Input!A17437</f>
        <v/>
      </c>
      <c r="B17437">
        <f>IF(ISNUMBER(Input!B17437),IF(AND(Input!B17437&gt;=20,Input!B17437&lt;=700),Input!B17437,""),"")</f>
        <v/>
      </c>
      <c r="C17437">
        <f>IF(B17437="","",INT(A17437))</f>
        <v/>
      </c>
      <c r="D17437">
        <f>IF(B17437="","",HOUR(A17437))</f>
        <v/>
      </c>
    </row>
    <row r="17438">
      <c r="A17438">
        <f>Input!A17438</f>
        <v/>
      </c>
      <c r="B17438">
        <f>IF(ISNUMBER(Input!B17438),IF(AND(Input!B17438&gt;=20,Input!B17438&lt;=700),Input!B17438,""),"")</f>
        <v/>
      </c>
      <c r="C17438">
        <f>IF(B17438="","",INT(A17438))</f>
        <v/>
      </c>
      <c r="D17438">
        <f>IF(B17438="","",HOUR(A17438))</f>
        <v/>
      </c>
    </row>
    <row r="17439">
      <c r="A17439">
        <f>Input!A17439</f>
        <v/>
      </c>
      <c r="B17439">
        <f>IF(ISNUMBER(Input!B17439),IF(AND(Input!B17439&gt;=20,Input!B17439&lt;=700),Input!B17439,""),"")</f>
        <v/>
      </c>
      <c r="C17439">
        <f>IF(B17439="","",INT(A17439))</f>
        <v/>
      </c>
      <c r="D17439">
        <f>IF(B17439="","",HOUR(A17439))</f>
        <v/>
      </c>
    </row>
    <row r="17440">
      <c r="A17440">
        <f>Input!A17440</f>
        <v/>
      </c>
      <c r="B17440">
        <f>IF(ISNUMBER(Input!B17440),IF(AND(Input!B17440&gt;=20,Input!B17440&lt;=700),Input!B17440,""),"")</f>
        <v/>
      </c>
      <c r="C17440">
        <f>IF(B17440="","",INT(A17440))</f>
        <v/>
      </c>
      <c r="D17440">
        <f>IF(B17440="","",HOUR(A17440))</f>
        <v/>
      </c>
    </row>
    <row r="17441">
      <c r="A17441">
        <f>Input!A17441</f>
        <v/>
      </c>
      <c r="B17441">
        <f>IF(ISNUMBER(Input!B17441),IF(AND(Input!B17441&gt;=20,Input!B17441&lt;=700),Input!B17441,""),"")</f>
        <v/>
      </c>
      <c r="C17441">
        <f>IF(B17441="","",INT(A17441))</f>
        <v/>
      </c>
      <c r="D17441">
        <f>IF(B17441="","",HOUR(A17441))</f>
        <v/>
      </c>
    </row>
    <row r="17442">
      <c r="A17442">
        <f>Input!A17442</f>
        <v/>
      </c>
      <c r="B17442">
        <f>IF(ISNUMBER(Input!B17442),IF(AND(Input!B17442&gt;=20,Input!B17442&lt;=700),Input!B17442,""),"")</f>
        <v/>
      </c>
      <c r="C17442">
        <f>IF(B17442="","",INT(A17442))</f>
        <v/>
      </c>
      <c r="D17442">
        <f>IF(B17442="","",HOUR(A17442))</f>
        <v/>
      </c>
    </row>
    <row r="17443">
      <c r="A17443">
        <f>Input!A17443</f>
        <v/>
      </c>
      <c r="B17443">
        <f>IF(ISNUMBER(Input!B17443),IF(AND(Input!B17443&gt;=20,Input!B17443&lt;=700),Input!B17443,""),"")</f>
        <v/>
      </c>
      <c r="C17443">
        <f>IF(B17443="","",INT(A17443))</f>
        <v/>
      </c>
      <c r="D17443">
        <f>IF(B17443="","",HOUR(A17443))</f>
        <v/>
      </c>
    </row>
    <row r="17444">
      <c r="A17444">
        <f>Input!A17444</f>
        <v/>
      </c>
      <c r="B17444">
        <f>IF(ISNUMBER(Input!B17444),IF(AND(Input!B17444&gt;=20,Input!B17444&lt;=700),Input!B17444,""),"")</f>
        <v/>
      </c>
      <c r="C17444">
        <f>IF(B17444="","",INT(A17444))</f>
        <v/>
      </c>
      <c r="D17444">
        <f>IF(B17444="","",HOUR(A17444))</f>
        <v/>
      </c>
    </row>
    <row r="17445">
      <c r="A17445">
        <f>Input!A17445</f>
        <v/>
      </c>
      <c r="B17445">
        <f>IF(ISNUMBER(Input!B17445),IF(AND(Input!B17445&gt;=20,Input!B17445&lt;=700),Input!B17445,""),"")</f>
        <v/>
      </c>
      <c r="C17445">
        <f>IF(B17445="","",INT(A17445))</f>
        <v/>
      </c>
      <c r="D17445">
        <f>IF(B17445="","",HOUR(A17445))</f>
        <v/>
      </c>
    </row>
    <row r="17446">
      <c r="A17446">
        <f>Input!A17446</f>
        <v/>
      </c>
      <c r="B17446">
        <f>IF(ISNUMBER(Input!B17446),IF(AND(Input!B17446&gt;=20,Input!B17446&lt;=700),Input!B17446,""),"")</f>
        <v/>
      </c>
      <c r="C17446">
        <f>IF(B17446="","",INT(A17446))</f>
        <v/>
      </c>
      <c r="D17446">
        <f>IF(B17446="","",HOUR(A17446))</f>
        <v/>
      </c>
    </row>
    <row r="17447">
      <c r="A17447">
        <f>Input!A17447</f>
        <v/>
      </c>
      <c r="B17447">
        <f>IF(ISNUMBER(Input!B17447),IF(AND(Input!B17447&gt;=20,Input!B17447&lt;=700),Input!B17447,""),"")</f>
        <v/>
      </c>
      <c r="C17447">
        <f>IF(B17447="","",INT(A17447))</f>
        <v/>
      </c>
      <c r="D17447">
        <f>IF(B17447="","",HOUR(A17447))</f>
        <v/>
      </c>
    </row>
    <row r="17448">
      <c r="A17448">
        <f>Input!A17448</f>
        <v/>
      </c>
      <c r="B17448">
        <f>IF(ISNUMBER(Input!B17448),IF(AND(Input!B17448&gt;=20,Input!B17448&lt;=700),Input!B17448,""),"")</f>
        <v/>
      </c>
      <c r="C17448">
        <f>IF(B17448="","",INT(A17448))</f>
        <v/>
      </c>
      <c r="D17448">
        <f>IF(B17448="","",HOUR(A17448))</f>
        <v/>
      </c>
    </row>
    <row r="17449">
      <c r="A17449">
        <f>Input!A17449</f>
        <v/>
      </c>
      <c r="B17449">
        <f>IF(ISNUMBER(Input!B17449),IF(AND(Input!B17449&gt;=20,Input!B17449&lt;=700),Input!B17449,""),"")</f>
        <v/>
      </c>
      <c r="C17449">
        <f>IF(B17449="","",INT(A17449))</f>
        <v/>
      </c>
      <c r="D17449">
        <f>IF(B17449="","",HOUR(A17449))</f>
        <v/>
      </c>
    </row>
    <row r="17450">
      <c r="A17450">
        <f>Input!A17450</f>
        <v/>
      </c>
      <c r="B17450">
        <f>IF(ISNUMBER(Input!B17450),IF(AND(Input!B17450&gt;=20,Input!B17450&lt;=700),Input!B17450,""),"")</f>
        <v/>
      </c>
      <c r="C17450">
        <f>IF(B17450="","",INT(A17450))</f>
        <v/>
      </c>
      <c r="D17450">
        <f>IF(B17450="","",HOUR(A17450))</f>
        <v/>
      </c>
    </row>
    <row r="17451">
      <c r="A17451">
        <f>Input!A17451</f>
        <v/>
      </c>
      <c r="B17451">
        <f>IF(ISNUMBER(Input!B17451),IF(AND(Input!B17451&gt;=20,Input!B17451&lt;=700),Input!B17451,""),"")</f>
        <v/>
      </c>
      <c r="C17451">
        <f>IF(B17451="","",INT(A17451))</f>
        <v/>
      </c>
      <c r="D17451">
        <f>IF(B17451="","",HOUR(A17451))</f>
        <v/>
      </c>
    </row>
    <row r="17452">
      <c r="A17452">
        <f>Input!A17452</f>
        <v/>
      </c>
      <c r="B17452">
        <f>IF(ISNUMBER(Input!B17452),IF(AND(Input!B17452&gt;=20,Input!B17452&lt;=700),Input!B17452,""),"")</f>
        <v/>
      </c>
      <c r="C17452">
        <f>IF(B17452="","",INT(A17452))</f>
        <v/>
      </c>
      <c r="D17452">
        <f>IF(B17452="","",HOUR(A17452))</f>
        <v/>
      </c>
    </row>
    <row r="17453">
      <c r="A17453">
        <f>Input!A17453</f>
        <v/>
      </c>
      <c r="B17453">
        <f>IF(ISNUMBER(Input!B17453),IF(AND(Input!B17453&gt;=20,Input!B17453&lt;=700),Input!B17453,""),"")</f>
        <v/>
      </c>
      <c r="C17453">
        <f>IF(B17453="","",INT(A17453))</f>
        <v/>
      </c>
      <c r="D17453">
        <f>IF(B17453="","",HOUR(A17453))</f>
        <v/>
      </c>
    </row>
    <row r="17454">
      <c r="A17454">
        <f>Input!A17454</f>
        <v/>
      </c>
      <c r="B17454">
        <f>IF(ISNUMBER(Input!B17454),IF(AND(Input!B17454&gt;=20,Input!B17454&lt;=700),Input!B17454,""),"")</f>
        <v/>
      </c>
      <c r="C17454">
        <f>IF(B17454="","",INT(A17454))</f>
        <v/>
      </c>
      <c r="D17454">
        <f>IF(B17454="","",HOUR(A17454))</f>
        <v/>
      </c>
    </row>
    <row r="17455">
      <c r="A17455">
        <f>Input!A17455</f>
        <v/>
      </c>
      <c r="B17455">
        <f>IF(ISNUMBER(Input!B17455),IF(AND(Input!B17455&gt;=20,Input!B17455&lt;=700),Input!B17455,""),"")</f>
        <v/>
      </c>
      <c r="C17455">
        <f>IF(B17455="","",INT(A17455))</f>
        <v/>
      </c>
      <c r="D17455">
        <f>IF(B17455="","",HOUR(A17455))</f>
        <v/>
      </c>
    </row>
    <row r="17456">
      <c r="A17456">
        <f>Input!A17456</f>
        <v/>
      </c>
      <c r="B17456">
        <f>IF(ISNUMBER(Input!B17456),IF(AND(Input!B17456&gt;=20,Input!B17456&lt;=700),Input!B17456,""),"")</f>
        <v/>
      </c>
      <c r="C17456">
        <f>IF(B17456="","",INT(A17456))</f>
        <v/>
      </c>
      <c r="D17456">
        <f>IF(B17456="","",HOUR(A17456))</f>
        <v/>
      </c>
    </row>
    <row r="17457">
      <c r="A17457">
        <f>Input!A17457</f>
        <v/>
      </c>
      <c r="B17457">
        <f>IF(ISNUMBER(Input!B17457),IF(AND(Input!B17457&gt;=20,Input!B17457&lt;=700),Input!B17457,""),"")</f>
        <v/>
      </c>
      <c r="C17457">
        <f>IF(B17457="","",INT(A17457))</f>
        <v/>
      </c>
      <c r="D17457">
        <f>IF(B17457="","",HOUR(A17457))</f>
        <v/>
      </c>
    </row>
    <row r="17458">
      <c r="A17458">
        <f>Input!A17458</f>
        <v/>
      </c>
      <c r="B17458">
        <f>IF(ISNUMBER(Input!B17458),IF(AND(Input!B17458&gt;=20,Input!B17458&lt;=700),Input!B17458,""),"")</f>
        <v/>
      </c>
      <c r="C17458">
        <f>IF(B17458="","",INT(A17458))</f>
        <v/>
      </c>
      <c r="D17458">
        <f>IF(B17458="","",HOUR(A17458))</f>
        <v/>
      </c>
    </row>
    <row r="17459">
      <c r="A17459">
        <f>Input!A17459</f>
        <v/>
      </c>
      <c r="B17459">
        <f>IF(ISNUMBER(Input!B17459),IF(AND(Input!B17459&gt;=20,Input!B17459&lt;=700),Input!B17459,""),"")</f>
        <v/>
      </c>
      <c r="C17459">
        <f>IF(B17459="","",INT(A17459))</f>
        <v/>
      </c>
      <c r="D17459">
        <f>IF(B17459="","",HOUR(A17459))</f>
        <v/>
      </c>
    </row>
    <row r="17460">
      <c r="A17460">
        <f>Input!A17460</f>
        <v/>
      </c>
      <c r="B17460">
        <f>IF(ISNUMBER(Input!B17460),IF(AND(Input!B17460&gt;=20,Input!B17460&lt;=700),Input!B17460,""),"")</f>
        <v/>
      </c>
      <c r="C17460">
        <f>IF(B17460="","",INT(A17460))</f>
        <v/>
      </c>
      <c r="D17460">
        <f>IF(B17460="","",HOUR(A17460))</f>
        <v/>
      </c>
    </row>
    <row r="17461">
      <c r="A17461">
        <f>Input!A17461</f>
        <v/>
      </c>
      <c r="B17461">
        <f>IF(ISNUMBER(Input!B17461),IF(AND(Input!B17461&gt;=20,Input!B17461&lt;=700),Input!B17461,""),"")</f>
        <v/>
      </c>
      <c r="C17461">
        <f>IF(B17461="","",INT(A17461))</f>
        <v/>
      </c>
      <c r="D17461">
        <f>IF(B17461="","",HOUR(A17461))</f>
        <v/>
      </c>
    </row>
    <row r="17462">
      <c r="A17462">
        <f>Input!A17462</f>
        <v/>
      </c>
      <c r="B17462">
        <f>IF(ISNUMBER(Input!B17462),IF(AND(Input!B17462&gt;=20,Input!B17462&lt;=700),Input!B17462,""),"")</f>
        <v/>
      </c>
      <c r="C17462">
        <f>IF(B17462="","",INT(A17462))</f>
        <v/>
      </c>
      <c r="D17462">
        <f>IF(B17462="","",HOUR(A17462))</f>
        <v/>
      </c>
    </row>
    <row r="17463">
      <c r="A17463">
        <f>Input!A17463</f>
        <v/>
      </c>
      <c r="B17463">
        <f>IF(ISNUMBER(Input!B17463),IF(AND(Input!B17463&gt;=20,Input!B17463&lt;=700),Input!B17463,""),"")</f>
        <v/>
      </c>
      <c r="C17463">
        <f>IF(B17463="","",INT(A17463))</f>
        <v/>
      </c>
      <c r="D17463">
        <f>IF(B17463="","",HOUR(A17463))</f>
        <v/>
      </c>
    </row>
    <row r="17464">
      <c r="A17464">
        <f>Input!A17464</f>
        <v/>
      </c>
      <c r="B17464">
        <f>IF(ISNUMBER(Input!B17464),IF(AND(Input!B17464&gt;=20,Input!B17464&lt;=700),Input!B17464,""),"")</f>
        <v/>
      </c>
      <c r="C17464">
        <f>IF(B17464="","",INT(A17464))</f>
        <v/>
      </c>
      <c r="D17464">
        <f>IF(B17464="","",HOUR(A17464))</f>
        <v/>
      </c>
    </row>
    <row r="17465">
      <c r="A17465">
        <f>Input!A17465</f>
        <v/>
      </c>
      <c r="B17465">
        <f>IF(ISNUMBER(Input!B17465),IF(AND(Input!B17465&gt;=20,Input!B17465&lt;=700),Input!B17465,""),"")</f>
        <v/>
      </c>
      <c r="C17465">
        <f>IF(B17465="","",INT(A17465))</f>
        <v/>
      </c>
      <c r="D17465">
        <f>IF(B17465="","",HOUR(A17465))</f>
        <v/>
      </c>
    </row>
    <row r="17466">
      <c r="A17466">
        <f>Input!A17466</f>
        <v/>
      </c>
      <c r="B17466">
        <f>IF(ISNUMBER(Input!B17466),IF(AND(Input!B17466&gt;=20,Input!B17466&lt;=700),Input!B17466,""),"")</f>
        <v/>
      </c>
      <c r="C17466">
        <f>IF(B17466="","",INT(A17466))</f>
        <v/>
      </c>
      <c r="D17466">
        <f>IF(B17466="","",HOUR(A17466))</f>
        <v/>
      </c>
    </row>
    <row r="17467">
      <c r="A17467">
        <f>Input!A17467</f>
        <v/>
      </c>
      <c r="B17467">
        <f>IF(ISNUMBER(Input!B17467),IF(AND(Input!B17467&gt;=20,Input!B17467&lt;=700),Input!B17467,""),"")</f>
        <v/>
      </c>
      <c r="C17467">
        <f>IF(B17467="","",INT(A17467))</f>
        <v/>
      </c>
      <c r="D17467">
        <f>IF(B17467="","",HOUR(A17467))</f>
        <v/>
      </c>
    </row>
    <row r="17468">
      <c r="A17468">
        <f>Input!A17468</f>
        <v/>
      </c>
      <c r="B17468">
        <f>IF(ISNUMBER(Input!B17468),IF(AND(Input!B17468&gt;=20,Input!B17468&lt;=700),Input!B17468,""),"")</f>
        <v/>
      </c>
      <c r="C17468">
        <f>IF(B17468="","",INT(A17468))</f>
        <v/>
      </c>
      <c r="D17468">
        <f>IF(B17468="","",HOUR(A17468))</f>
        <v/>
      </c>
    </row>
    <row r="17469">
      <c r="A17469">
        <f>Input!A17469</f>
        <v/>
      </c>
      <c r="B17469">
        <f>IF(ISNUMBER(Input!B17469),IF(AND(Input!B17469&gt;=20,Input!B17469&lt;=700),Input!B17469,""),"")</f>
        <v/>
      </c>
      <c r="C17469">
        <f>IF(B17469="","",INT(A17469))</f>
        <v/>
      </c>
      <c r="D17469">
        <f>IF(B17469="","",HOUR(A17469))</f>
        <v/>
      </c>
    </row>
    <row r="17470">
      <c r="A17470">
        <f>Input!A17470</f>
        <v/>
      </c>
      <c r="B17470">
        <f>IF(ISNUMBER(Input!B17470),IF(AND(Input!B17470&gt;=20,Input!B17470&lt;=700),Input!B17470,""),"")</f>
        <v/>
      </c>
      <c r="C17470">
        <f>IF(B17470="","",INT(A17470))</f>
        <v/>
      </c>
      <c r="D17470">
        <f>IF(B17470="","",HOUR(A17470))</f>
        <v/>
      </c>
    </row>
    <row r="17471">
      <c r="A17471">
        <f>Input!A17471</f>
        <v/>
      </c>
      <c r="B17471">
        <f>IF(ISNUMBER(Input!B17471),IF(AND(Input!B17471&gt;=20,Input!B17471&lt;=700),Input!B17471,""),"")</f>
        <v/>
      </c>
      <c r="C17471">
        <f>IF(B17471="","",INT(A17471))</f>
        <v/>
      </c>
      <c r="D17471">
        <f>IF(B17471="","",HOUR(A17471))</f>
        <v/>
      </c>
    </row>
    <row r="17472">
      <c r="A17472">
        <f>Input!A17472</f>
        <v/>
      </c>
      <c r="B17472">
        <f>IF(ISNUMBER(Input!B17472),IF(AND(Input!B17472&gt;=20,Input!B17472&lt;=700),Input!B17472,""),"")</f>
        <v/>
      </c>
      <c r="C17472">
        <f>IF(B17472="","",INT(A17472))</f>
        <v/>
      </c>
      <c r="D17472">
        <f>IF(B17472="","",HOUR(A17472))</f>
        <v/>
      </c>
    </row>
    <row r="17473">
      <c r="A17473">
        <f>Input!A17473</f>
        <v/>
      </c>
      <c r="B17473">
        <f>IF(ISNUMBER(Input!B17473),IF(AND(Input!B17473&gt;=20,Input!B17473&lt;=700),Input!B17473,""),"")</f>
        <v/>
      </c>
      <c r="C17473">
        <f>IF(B17473="","",INT(A17473))</f>
        <v/>
      </c>
      <c r="D17473">
        <f>IF(B17473="","",HOUR(A17473))</f>
        <v/>
      </c>
    </row>
    <row r="17474">
      <c r="A17474">
        <f>Input!A17474</f>
        <v/>
      </c>
      <c r="B17474">
        <f>IF(ISNUMBER(Input!B17474),IF(AND(Input!B17474&gt;=20,Input!B17474&lt;=700),Input!B17474,""),"")</f>
        <v/>
      </c>
      <c r="C17474">
        <f>IF(B17474="","",INT(A17474))</f>
        <v/>
      </c>
      <c r="D17474">
        <f>IF(B17474="","",HOUR(A17474))</f>
        <v/>
      </c>
    </row>
    <row r="17475">
      <c r="A17475">
        <f>Input!A17475</f>
        <v/>
      </c>
      <c r="B17475">
        <f>IF(ISNUMBER(Input!B17475),IF(AND(Input!B17475&gt;=20,Input!B17475&lt;=700),Input!B17475,""),"")</f>
        <v/>
      </c>
      <c r="C17475">
        <f>IF(B17475="","",INT(A17475))</f>
        <v/>
      </c>
      <c r="D17475">
        <f>IF(B17475="","",HOUR(A17475))</f>
        <v/>
      </c>
    </row>
    <row r="17476">
      <c r="A17476">
        <f>Input!A17476</f>
        <v/>
      </c>
      <c r="B17476">
        <f>IF(ISNUMBER(Input!B17476),IF(AND(Input!B17476&gt;=20,Input!B17476&lt;=700),Input!B17476,""),"")</f>
        <v/>
      </c>
      <c r="C17476">
        <f>IF(B17476="","",INT(A17476))</f>
        <v/>
      </c>
      <c r="D17476">
        <f>IF(B17476="","",HOUR(A17476))</f>
        <v/>
      </c>
    </row>
    <row r="17477">
      <c r="A17477">
        <f>Input!A17477</f>
        <v/>
      </c>
      <c r="B17477">
        <f>IF(ISNUMBER(Input!B17477),IF(AND(Input!B17477&gt;=20,Input!B17477&lt;=700),Input!B17477,""),"")</f>
        <v/>
      </c>
      <c r="C17477">
        <f>IF(B17477="","",INT(A17477))</f>
        <v/>
      </c>
      <c r="D17477">
        <f>IF(B17477="","",HOUR(A17477))</f>
        <v/>
      </c>
    </row>
    <row r="17478">
      <c r="A17478">
        <f>Input!A17478</f>
        <v/>
      </c>
      <c r="B17478">
        <f>IF(ISNUMBER(Input!B17478),IF(AND(Input!B17478&gt;=20,Input!B17478&lt;=700),Input!B17478,""),"")</f>
        <v/>
      </c>
      <c r="C17478">
        <f>IF(B17478="","",INT(A17478))</f>
        <v/>
      </c>
      <c r="D17478">
        <f>IF(B17478="","",HOUR(A17478))</f>
        <v/>
      </c>
    </row>
    <row r="17479">
      <c r="A17479">
        <f>Input!A17479</f>
        <v/>
      </c>
      <c r="B17479">
        <f>IF(ISNUMBER(Input!B17479),IF(AND(Input!B17479&gt;=20,Input!B17479&lt;=700),Input!B17479,""),"")</f>
        <v/>
      </c>
      <c r="C17479">
        <f>IF(B17479="","",INT(A17479))</f>
        <v/>
      </c>
      <c r="D17479">
        <f>IF(B17479="","",HOUR(A17479))</f>
        <v/>
      </c>
    </row>
    <row r="17480">
      <c r="A17480">
        <f>Input!A17480</f>
        <v/>
      </c>
      <c r="B17480">
        <f>IF(ISNUMBER(Input!B17480),IF(AND(Input!B17480&gt;=20,Input!B17480&lt;=700),Input!B17480,""),"")</f>
        <v/>
      </c>
      <c r="C17480">
        <f>IF(B17480="","",INT(A17480))</f>
        <v/>
      </c>
      <c r="D17480">
        <f>IF(B17480="","",HOUR(A17480))</f>
        <v/>
      </c>
    </row>
    <row r="17481">
      <c r="A17481">
        <f>Input!A17481</f>
        <v/>
      </c>
      <c r="B17481">
        <f>IF(ISNUMBER(Input!B17481),IF(AND(Input!B17481&gt;=20,Input!B17481&lt;=700),Input!B17481,""),"")</f>
        <v/>
      </c>
      <c r="C17481">
        <f>IF(B17481="","",INT(A17481))</f>
        <v/>
      </c>
      <c r="D17481">
        <f>IF(B17481="","",HOUR(A17481))</f>
        <v/>
      </c>
    </row>
    <row r="17482">
      <c r="A17482">
        <f>Input!A17482</f>
        <v/>
      </c>
      <c r="B17482">
        <f>IF(ISNUMBER(Input!B17482),IF(AND(Input!B17482&gt;=20,Input!B17482&lt;=700),Input!B17482,""),"")</f>
        <v/>
      </c>
      <c r="C17482">
        <f>IF(B17482="","",INT(A17482))</f>
        <v/>
      </c>
      <c r="D17482">
        <f>IF(B17482="","",HOUR(A17482))</f>
        <v/>
      </c>
    </row>
    <row r="17483">
      <c r="A17483">
        <f>Input!A17483</f>
        <v/>
      </c>
      <c r="B17483">
        <f>IF(ISNUMBER(Input!B17483),IF(AND(Input!B17483&gt;=20,Input!B17483&lt;=700),Input!B17483,""),"")</f>
        <v/>
      </c>
      <c r="C17483">
        <f>IF(B17483="","",INT(A17483))</f>
        <v/>
      </c>
      <c r="D17483">
        <f>IF(B17483="","",HOUR(A17483))</f>
        <v/>
      </c>
    </row>
    <row r="17484">
      <c r="A17484">
        <f>Input!A17484</f>
        <v/>
      </c>
      <c r="B17484">
        <f>IF(ISNUMBER(Input!B17484),IF(AND(Input!B17484&gt;=20,Input!B17484&lt;=700),Input!B17484,""),"")</f>
        <v/>
      </c>
      <c r="C17484">
        <f>IF(B17484="","",INT(A17484))</f>
        <v/>
      </c>
      <c r="D17484">
        <f>IF(B17484="","",HOUR(A17484))</f>
        <v/>
      </c>
    </row>
    <row r="17485">
      <c r="A17485">
        <f>Input!A17485</f>
        <v/>
      </c>
      <c r="B17485">
        <f>IF(ISNUMBER(Input!B17485),IF(AND(Input!B17485&gt;=20,Input!B17485&lt;=700),Input!B17485,""),"")</f>
        <v/>
      </c>
      <c r="C17485">
        <f>IF(B17485="","",INT(A17485))</f>
        <v/>
      </c>
      <c r="D17485">
        <f>IF(B17485="","",HOUR(A17485))</f>
        <v/>
      </c>
    </row>
    <row r="17486">
      <c r="A17486">
        <f>Input!A17486</f>
        <v/>
      </c>
      <c r="B17486">
        <f>IF(ISNUMBER(Input!B17486),IF(AND(Input!B17486&gt;=20,Input!B17486&lt;=700),Input!B17486,""),"")</f>
        <v/>
      </c>
      <c r="C17486">
        <f>IF(B17486="","",INT(A17486))</f>
        <v/>
      </c>
      <c r="D17486">
        <f>IF(B17486="","",HOUR(A17486))</f>
        <v/>
      </c>
    </row>
    <row r="17487">
      <c r="A17487">
        <f>Input!A17487</f>
        <v/>
      </c>
      <c r="B17487">
        <f>IF(ISNUMBER(Input!B17487),IF(AND(Input!B17487&gt;=20,Input!B17487&lt;=700),Input!B17487,""),"")</f>
        <v/>
      </c>
      <c r="C17487">
        <f>IF(B17487="","",INT(A17487))</f>
        <v/>
      </c>
      <c r="D17487">
        <f>IF(B17487="","",HOUR(A17487))</f>
        <v/>
      </c>
    </row>
    <row r="17488">
      <c r="A17488">
        <f>Input!A17488</f>
        <v/>
      </c>
      <c r="B17488">
        <f>IF(ISNUMBER(Input!B17488),IF(AND(Input!B17488&gt;=20,Input!B17488&lt;=700),Input!B17488,""),"")</f>
        <v/>
      </c>
      <c r="C17488">
        <f>IF(B17488="","",INT(A17488))</f>
        <v/>
      </c>
      <c r="D17488">
        <f>IF(B17488="","",HOUR(A17488))</f>
        <v/>
      </c>
    </row>
    <row r="17489">
      <c r="A17489">
        <f>Input!A17489</f>
        <v/>
      </c>
      <c r="B17489">
        <f>IF(ISNUMBER(Input!B17489),IF(AND(Input!B17489&gt;=20,Input!B17489&lt;=700),Input!B17489,""),"")</f>
        <v/>
      </c>
      <c r="C17489">
        <f>IF(B17489="","",INT(A17489))</f>
        <v/>
      </c>
      <c r="D17489">
        <f>IF(B17489="","",HOUR(A17489))</f>
        <v/>
      </c>
    </row>
    <row r="17490">
      <c r="A17490">
        <f>Input!A17490</f>
        <v/>
      </c>
      <c r="B17490">
        <f>IF(ISNUMBER(Input!B17490),IF(AND(Input!B17490&gt;=20,Input!B17490&lt;=700),Input!B17490,""),"")</f>
        <v/>
      </c>
      <c r="C17490">
        <f>IF(B17490="","",INT(A17490))</f>
        <v/>
      </c>
      <c r="D17490">
        <f>IF(B17490="","",HOUR(A17490))</f>
        <v/>
      </c>
    </row>
    <row r="17491">
      <c r="A17491">
        <f>Input!A17491</f>
        <v/>
      </c>
      <c r="B17491">
        <f>IF(ISNUMBER(Input!B17491),IF(AND(Input!B17491&gt;=20,Input!B17491&lt;=700),Input!B17491,""),"")</f>
        <v/>
      </c>
      <c r="C17491">
        <f>IF(B17491="","",INT(A17491))</f>
        <v/>
      </c>
      <c r="D17491">
        <f>IF(B17491="","",HOUR(A17491))</f>
        <v/>
      </c>
    </row>
    <row r="17492">
      <c r="A17492">
        <f>Input!A17492</f>
        <v/>
      </c>
      <c r="B17492">
        <f>IF(ISNUMBER(Input!B17492),IF(AND(Input!B17492&gt;=20,Input!B17492&lt;=700),Input!B17492,""),"")</f>
        <v/>
      </c>
      <c r="C17492">
        <f>IF(B17492="","",INT(A17492))</f>
        <v/>
      </c>
      <c r="D17492">
        <f>IF(B17492="","",HOUR(A17492))</f>
        <v/>
      </c>
    </row>
    <row r="17493">
      <c r="A17493">
        <f>Input!A17493</f>
        <v/>
      </c>
      <c r="B17493">
        <f>IF(ISNUMBER(Input!B17493),IF(AND(Input!B17493&gt;=20,Input!B17493&lt;=700),Input!B17493,""),"")</f>
        <v/>
      </c>
      <c r="C17493">
        <f>IF(B17493="","",INT(A17493))</f>
        <v/>
      </c>
      <c r="D17493">
        <f>IF(B17493="","",HOUR(A17493))</f>
        <v/>
      </c>
    </row>
    <row r="17494">
      <c r="A17494">
        <f>Input!A17494</f>
        <v/>
      </c>
      <c r="B17494">
        <f>IF(ISNUMBER(Input!B17494),IF(AND(Input!B17494&gt;=20,Input!B17494&lt;=700),Input!B17494,""),"")</f>
        <v/>
      </c>
      <c r="C17494">
        <f>IF(B17494="","",INT(A17494))</f>
        <v/>
      </c>
      <c r="D17494">
        <f>IF(B17494="","",HOUR(A17494))</f>
        <v/>
      </c>
    </row>
    <row r="17495">
      <c r="A17495">
        <f>Input!A17495</f>
        <v/>
      </c>
      <c r="B17495">
        <f>IF(ISNUMBER(Input!B17495),IF(AND(Input!B17495&gt;=20,Input!B17495&lt;=700),Input!B17495,""),"")</f>
        <v/>
      </c>
      <c r="C17495">
        <f>IF(B17495="","",INT(A17495))</f>
        <v/>
      </c>
      <c r="D17495">
        <f>IF(B17495="","",HOUR(A17495))</f>
        <v/>
      </c>
    </row>
    <row r="17496">
      <c r="A17496">
        <f>Input!A17496</f>
        <v/>
      </c>
      <c r="B17496">
        <f>IF(ISNUMBER(Input!B17496),IF(AND(Input!B17496&gt;=20,Input!B17496&lt;=700),Input!B17496,""),"")</f>
        <v/>
      </c>
      <c r="C17496">
        <f>IF(B17496="","",INT(A17496))</f>
        <v/>
      </c>
      <c r="D17496">
        <f>IF(B17496="","",HOUR(A17496))</f>
        <v/>
      </c>
    </row>
    <row r="17497">
      <c r="A17497">
        <f>Input!A17497</f>
        <v/>
      </c>
      <c r="B17497">
        <f>IF(ISNUMBER(Input!B17497),IF(AND(Input!B17497&gt;=20,Input!B17497&lt;=700),Input!B17497,""),"")</f>
        <v/>
      </c>
      <c r="C17497">
        <f>IF(B17497="","",INT(A17497))</f>
        <v/>
      </c>
      <c r="D17497">
        <f>IF(B17497="","",HOUR(A17497))</f>
        <v/>
      </c>
    </row>
    <row r="17498">
      <c r="A17498">
        <f>Input!A17498</f>
        <v/>
      </c>
      <c r="B17498">
        <f>IF(ISNUMBER(Input!B17498),IF(AND(Input!B17498&gt;=20,Input!B17498&lt;=700),Input!B17498,""),"")</f>
        <v/>
      </c>
      <c r="C17498">
        <f>IF(B17498="","",INT(A17498))</f>
        <v/>
      </c>
      <c r="D17498">
        <f>IF(B17498="","",HOUR(A17498))</f>
        <v/>
      </c>
    </row>
    <row r="17499">
      <c r="A17499">
        <f>Input!A17499</f>
        <v/>
      </c>
      <c r="B17499">
        <f>IF(ISNUMBER(Input!B17499),IF(AND(Input!B17499&gt;=20,Input!B17499&lt;=700),Input!B17499,""),"")</f>
        <v/>
      </c>
      <c r="C17499">
        <f>IF(B17499="","",INT(A17499))</f>
        <v/>
      </c>
      <c r="D17499">
        <f>IF(B17499="","",HOUR(A17499))</f>
        <v/>
      </c>
    </row>
    <row r="17500">
      <c r="A17500">
        <f>Input!A17500</f>
        <v/>
      </c>
      <c r="B17500">
        <f>IF(ISNUMBER(Input!B17500),IF(AND(Input!B17500&gt;=20,Input!B17500&lt;=700),Input!B17500,""),"")</f>
        <v/>
      </c>
      <c r="C17500">
        <f>IF(B17500="","",INT(A17500))</f>
        <v/>
      </c>
      <c r="D17500">
        <f>IF(B17500="","",HOUR(A17500))</f>
        <v/>
      </c>
    </row>
    <row r="17501">
      <c r="A17501">
        <f>Input!A17501</f>
        <v/>
      </c>
      <c r="B17501">
        <f>IF(ISNUMBER(Input!B17501),IF(AND(Input!B17501&gt;=20,Input!B17501&lt;=700),Input!B17501,""),"")</f>
        <v/>
      </c>
      <c r="C17501">
        <f>IF(B17501="","",INT(A17501))</f>
        <v/>
      </c>
      <c r="D17501">
        <f>IF(B17501="","",HOUR(A17501))</f>
        <v/>
      </c>
    </row>
    <row r="17502">
      <c r="A17502">
        <f>Input!A17502</f>
        <v/>
      </c>
      <c r="B17502">
        <f>IF(ISNUMBER(Input!B17502),IF(AND(Input!B17502&gt;=20,Input!B17502&lt;=700),Input!B17502,""),"")</f>
        <v/>
      </c>
      <c r="C17502">
        <f>IF(B17502="","",INT(A17502))</f>
        <v/>
      </c>
      <c r="D17502">
        <f>IF(B17502="","",HOUR(A17502))</f>
        <v/>
      </c>
    </row>
    <row r="17503">
      <c r="A17503">
        <f>Input!A17503</f>
        <v/>
      </c>
      <c r="B17503">
        <f>IF(ISNUMBER(Input!B17503),IF(AND(Input!B17503&gt;=20,Input!B17503&lt;=700),Input!B17503,""),"")</f>
        <v/>
      </c>
      <c r="C17503">
        <f>IF(B17503="","",INT(A17503))</f>
        <v/>
      </c>
      <c r="D17503">
        <f>IF(B17503="","",HOUR(A17503))</f>
        <v/>
      </c>
    </row>
    <row r="17504">
      <c r="A17504">
        <f>Input!A17504</f>
        <v/>
      </c>
      <c r="B17504">
        <f>IF(ISNUMBER(Input!B17504),IF(AND(Input!B17504&gt;=20,Input!B17504&lt;=700),Input!B17504,""),"")</f>
        <v/>
      </c>
      <c r="C17504">
        <f>IF(B17504="","",INT(A17504))</f>
        <v/>
      </c>
      <c r="D17504">
        <f>IF(B17504="","",HOUR(A17504))</f>
        <v/>
      </c>
    </row>
    <row r="17505">
      <c r="A17505">
        <f>Input!A17505</f>
        <v/>
      </c>
      <c r="B17505">
        <f>IF(ISNUMBER(Input!B17505),IF(AND(Input!B17505&gt;=20,Input!B17505&lt;=700),Input!B17505,""),"")</f>
        <v/>
      </c>
      <c r="C17505">
        <f>IF(B17505="","",INT(A17505))</f>
        <v/>
      </c>
      <c r="D17505">
        <f>IF(B17505="","",HOUR(A17505))</f>
        <v/>
      </c>
    </row>
    <row r="17506">
      <c r="A17506">
        <f>Input!A17506</f>
        <v/>
      </c>
      <c r="B17506">
        <f>IF(ISNUMBER(Input!B17506),IF(AND(Input!B17506&gt;=20,Input!B17506&lt;=700),Input!B17506,""),"")</f>
        <v/>
      </c>
      <c r="C17506">
        <f>IF(B17506="","",INT(A17506))</f>
        <v/>
      </c>
      <c r="D17506">
        <f>IF(B17506="","",HOUR(A17506))</f>
        <v/>
      </c>
    </row>
    <row r="17507">
      <c r="A17507">
        <f>Input!A17507</f>
        <v/>
      </c>
      <c r="B17507">
        <f>IF(ISNUMBER(Input!B17507),IF(AND(Input!B17507&gt;=20,Input!B17507&lt;=700),Input!B17507,""),"")</f>
        <v/>
      </c>
      <c r="C17507">
        <f>IF(B17507="","",INT(A17507))</f>
        <v/>
      </c>
      <c r="D17507">
        <f>IF(B17507="","",HOUR(A17507))</f>
        <v/>
      </c>
    </row>
    <row r="17508">
      <c r="A17508">
        <f>Input!A17508</f>
        <v/>
      </c>
      <c r="B17508">
        <f>IF(ISNUMBER(Input!B17508),IF(AND(Input!B17508&gt;=20,Input!B17508&lt;=700),Input!B17508,""),"")</f>
        <v/>
      </c>
      <c r="C17508">
        <f>IF(B17508="","",INT(A17508))</f>
        <v/>
      </c>
      <c r="D17508">
        <f>IF(B17508="","",HOUR(A17508))</f>
        <v/>
      </c>
    </row>
    <row r="17509">
      <c r="A17509">
        <f>Input!A17509</f>
        <v/>
      </c>
      <c r="B17509">
        <f>IF(ISNUMBER(Input!B17509),IF(AND(Input!B17509&gt;=20,Input!B17509&lt;=700),Input!B17509,""),"")</f>
        <v/>
      </c>
      <c r="C17509">
        <f>IF(B17509="","",INT(A17509))</f>
        <v/>
      </c>
      <c r="D17509">
        <f>IF(B17509="","",HOUR(A17509))</f>
        <v/>
      </c>
    </row>
    <row r="17510">
      <c r="A17510">
        <f>Input!A17510</f>
        <v/>
      </c>
      <c r="B17510">
        <f>IF(ISNUMBER(Input!B17510),IF(AND(Input!B17510&gt;=20,Input!B17510&lt;=700),Input!B17510,""),"")</f>
        <v/>
      </c>
      <c r="C17510">
        <f>IF(B17510="","",INT(A17510))</f>
        <v/>
      </c>
      <c r="D17510">
        <f>IF(B17510="","",HOUR(A17510))</f>
        <v/>
      </c>
    </row>
    <row r="17511">
      <c r="A17511">
        <f>Input!A17511</f>
        <v/>
      </c>
      <c r="B17511">
        <f>IF(ISNUMBER(Input!B17511),IF(AND(Input!B17511&gt;=20,Input!B17511&lt;=700),Input!B17511,""),"")</f>
        <v/>
      </c>
      <c r="C17511">
        <f>IF(B17511="","",INT(A17511))</f>
        <v/>
      </c>
      <c r="D17511">
        <f>IF(B17511="","",HOUR(A17511))</f>
        <v/>
      </c>
    </row>
    <row r="17512">
      <c r="A17512">
        <f>Input!A17512</f>
        <v/>
      </c>
      <c r="B17512">
        <f>IF(ISNUMBER(Input!B17512),IF(AND(Input!B17512&gt;=20,Input!B17512&lt;=700),Input!B17512,""),"")</f>
        <v/>
      </c>
      <c r="C17512">
        <f>IF(B17512="","",INT(A17512))</f>
        <v/>
      </c>
      <c r="D17512">
        <f>IF(B17512="","",HOUR(A17512))</f>
        <v/>
      </c>
    </row>
    <row r="17513">
      <c r="A17513">
        <f>Input!A17513</f>
        <v/>
      </c>
      <c r="B17513">
        <f>IF(ISNUMBER(Input!B17513),IF(AND(Input!B17513&gt;=20,Input!B17513&lt;=700),Input!B17513,""),"")</f>
        <v/>
      </c>
      <c r="C17513">
        <f>IF(B17513="","",INT(A17513))</f>
        <v/>
      </c>
      <c r="D17513">
        <f>IF(B17513="","",HOUR(A17513))</f>
        <v/>
      </c>
    </row>
    <row r="17514">
      <c r="A17514">
        <f>Input!A17514</f>
        <v/>
      </c>
      <c r="B17514">
        <f>IF(ISNUMBER(Input!B17514),IF(AND(Input!B17514&gt;=20,Input!B17514&lt;=700),Input!B17514,""),"")</f>
        <v/>
      </c>
      <c r="C17514">
        <f>IF(B17514="","",INT(A17514))</f>
        <v/>
      </c>
      <c r="D17514">
        <f>IF(B17514="","",HOUR(A17514))</f>
        <v/>
      </c>
    </row>
    <row r="17515">
      <c r="A17515">
        <f>Input!A17515</f>
        <v/>
      </c>
      <c r="B17515">
        <f>IF(ISNUMBER(Input!B17515),IF(AND(Input!B17515&gt;=20,Input!B17515&lt;=700),Input!B17515,""),"")</f>
        <v/>
      </c>
      <c r="C17515">
        <f>IF(B17515="","",INT(A17515))</f>
        <v/>
      </c>
      <c r="D17515">
        <f>IF(B17515="","",HOUR(A17515))</f>
        <v/>
      </c>
    </row>
    <row r="17516">
      <c r="A17516">
        <f>Input!A17516</f>
        <v/>
      </c>
      <c r="B17516">
        <f>IF(ISNUMBER(Input!B17516),IF(AND(Input!B17516&gt;=20,Input!B17516&lt;=700),Input!B17516,""),"")</f>
        <v/>
      </c>
      <c r="C17516">
        <f>IF(B17516="","",INT(A17516))</f>
        <v/>
      </c>
      <c r="D17516">
        <f>IF(B17516="","",HOUR(A17516))</f>
        <v/>
      </c>
    </row>
    <row r="17517">
      <c r="A17517">
        <f>Input!A17517</f>
        <v/>
      </c>
      <c r="B17517">
        <f>IF(ISNUMBER(Input!B17517),IF(AND(Input!B17517&gt;=20,Input!B17517&lt;=700),Input!B17517,""),"")</f>
        <v/>
      </c>
      <c r="C17517">
        <f>IF(B17517="","",INT(A17517))</f>
        <v/>
      </c>
      <c r="D17517">
        <f>IF(B17517="","",HOUR(A17517))</f>
        <v/>
      </c>
    </row>
    <row r="17518">
      <c r="A17518">
        <f>Input!A17518</f>
        <v/>
      </c>
      <c r="B17518">
        <f>IF(ISNUMBER(Input!B17518),IF(AND(Input!B17518&gt;=20,Input!B17518&lt;=700),Input!B17518,""),"")</f>
        <v/>
      </c>
      <c r="C17518">
        <f>IF(B17518="","",INT(A17518))</f>
        <v/>
      </c>
      <c r="D17518">
        <f>IF(B17518="","",HOUR(A17518))</f>
        <v/>
      </c>
    </row>
    <row r="17519">
      <c r="A17519">
        <f>Input!A17519</f>
        <v/>
      </c>
      <c r="B17519">
        <f>IF(ISNUMBER(Input!B17519),IF(AND(Input!B17519&gt;=20,Input!B17519&lt;=700),Input!B17519,""),"")</f>
        <v/>
      </c>
      <c r="C17519">
        <f>IF(B17519="","",INT(A17519))</f>
        <v/>
      </c>
      <c r="D17519">
        <f>IF(B17519="","",HOUR(A17519))</f>
        <v/>
      </c>
    </row>
    <row r="17520">
      <c r="A17520">
        <f>Input!A17520</f>
        <v/>
      </c>
      <c r="B17520">
        <f>IF(ISNUMBER(Input!B17520),IF(AND(Input!B17520&gt;=20,Input!B17520&lt;=700),Input!B17520,""),"")</f>
        <v/>
      </c>
      <c r="C17520">
        <f>IF(B17520="","",INT(A17520))</f>
        <v/>
      </c>
      <c r="D17520">
        <f>IF(B17520="","",HOUR(A17520))</f>
        <v/>
      </c>
    </row>
    <row r="17521">
      <c r="A17521">
        <f>Input!A17521</f>
        <v/>
      </c>
      <c r="B17521">
        <f>IF(ISNUMBER(Input!B17521),IF(AND(Input!B17521&gt;=20,Input!B17521&lt;=700),Input!B17521,""),"")</f>
        <v/>
      </c>
      <c r="C17521">
        <f>IF(B17521="","",INT(A17521))</f>
        <v/>
      </c>
      <c r="D17521">
        <f>IF(B17521="","",HOUR(A17521))</f>
        <v/>
      </c>
    </row>
    <row r="17522">
      <c r="A17522">
        <f>Input!A17522</f>
        <v/>
      </c>
      <c r="B17522">
        <f>IF(ISNUMBER(Input!B17522),IF(AND(Input!B17522&gt;=20,Input!B17522&lt;=700),Input!B17522,""),"")</f>
        <v/>
      </c>
      <c r="C17522">
        <f>IF(B17522="","",INT(A17522))</f>
        <v/>
      </c>
      <c r="D17522">
        <f>IF(B17522="","",HOUR(A17522))</f>
        <v/>
      </c>
    </row>
    <row r="17523">
      <c r="A17523">
        <f>Input!A17523</f>
        <v/>
      </c>
      <c r="B17523">
        <f>IF(ISNUMBER(Input!B17523),IF(AND(Input!B17523&gt;=20,Input!B17523&lt;=700),Input!B17523,""),"")</f>
        <v/>
      </c>
      <c r="C17523">
        <f>IF(B17523="","",INT(A17523))</f>
        <v/>
      </c>
      <c r="D17523">
        <f>IF(B17523="","",HOUR(A17523))</f>
        <v/>
      </c>
    </row>
    <row r="17524">
      <c r="A17524">
        <f>Input!A17524</f>
        <v/>
      </c>
      <c r="B17524">
        <f>IF(ISNUMBER(Input!B17524),IF(AND(Input!B17524&gt;=20,Input!B17524&lt;=700),Input!B17524,""),"")</f>
        <v/>
      </c>
      <c r="C17524">
        <f>IF(B17524="","",INT(A17524))</f>
        <v/>
      </c>
      <c r="D17524">
        <f>IF(B17524="","",HOUR(A17524))</f>
        <v/>
      </c>
    </row>
    <row r="17525">
      <c r="A17525">
        <f>Input!A17525</f>
        <v/>
      </c>
      <c r="B17525">
        <f>IF(ISNUMBER(Input!B17525),IF(AND(Input!B17525&gt;=20,Input!B17525&lt;=700),Input!B17525,""),"")</f>
        <v/>
      </c>
      <c r="C17525">
        <f>IF(B17525="","",INT(A17525))</f>
        <v/>
      </c>
      <c r="D17525">
        <f>IF(B17525="","",HOUR(A17525))</f>
        <v/>
      </c>
    </row>
    <row r="17526">
      <c r="A17526">
        <f>Input!A17526</f>
        <v/>
      </c>
      <c r="B17526">
        <f>IF(ISNUMBER(Input!B17526),IF(AND(Input!B17526&gt;=20,Input!B17526&lt;=700),Input!B17526,""),"")</f>
        <v/>
      </c>
      <c r="C17526">
        <f>IF(B17526="","",INT(A17526))</f>
        <v/>
      </c>
      <c r="D17526">
        <f>IF(B17526="","",HOUR(A17526))</f>
        <v/>
      </c>
    </row>
    <row r="17527">
      <c r="A17527">
        <f>Input!A17527</f>
        <v/>
      </c>
      <c r="B17527">
        <f>IF(ISNUMBER(Input!B17527),IF(AND(Input!B17527&gt;=20,Input!B17527&lt;=700),Input!B17527,""),"")</f>
        <v/>
      </c>
      <c r="C17527">
        <f>IF(B17527="","",INT(A17527))</f>
        <v/>
      </c>
      <c r="D17527">
        <f>IF(B17527="","",HOUR(A17527))</f>
        <v/>
      </c>
    </row>
    <row r="17528">
      <c r="A17528">
        <f>Input!A17528</f>
        <v/>
      </c>
      <c r="B17528">
        <f>IF(ISNUMBER(Input!B17528),IF(AND(Input!B17528&gt;=20,Input!B17528&lt;=700),Input!B17528,""),"")</f>
        <v/>
      </c>
      <c r="C17528">
        <f>IF(B17528="","",INT(A17528))</f>
        <v/>
      </c>
      <c r="D17528">
        <f>IF(B17528="","",HOUR(A17528))</f>
        <v/>
      </c>
    </row>
    <row r="17529">
      <c r="A17529">
        <f>Input!A17529</f>
        <v/>
      </c>
      <c r="B17529">
        <f>IF(ISNUMBER(Input!B17529),IF(AND(Input!B17529&gt;=20,Input!B17529&lt;=700),Input!B17529,""),"")</f>
        <v/>
      </c>
      <c r="C17529">
        <f>IF(B17529="","",INT(A17529))</f>
        <v/>
      </c>
      <c r="D17529">
        <f>IF(B17529="","",HOUR(A17529))</f>
        <v/>
      </c>
    </row>
    <row r="17530">
      <c r="A17530">
        <f>Input!A17530</f>
        <v/>
      </c>
      <c r="B17530">
        <f>IF(ISNUMBER(Input!B17530),IF(AND(Input!B17530&gt;=20,Input!B17530&lt;=700),Input!B17530,""),"")</f>
        <v/>
      </c>
      <c r="C17530">
        <f>IF(B17530="","",INT(A17530))</f>
        <v/>
      </c>
      <c r="D17530">
        <f>IF(B17530="","",HOUR(A17530))</f>
        <v/>
      </c>
    </row>
    <row r="17531">
      <c r="A17531">
        <f>Input!A17531</f>
        <v/>
      </c>
      <c r="B17531">
        <f>IF(ISNUMBER(Input!B17531),IF(AND(Input!B17531&gt;=20,Input!B17531&lt;=700),Input!B17531,""),"")</f>
        <v/>
      </c>
      <c r="C17531">
        <f>IF(B17531="","",INT(A17531))</f>
        <v/>
      </c>
      <c r="D17531">
        <f>IF(B17531="","",HOUR(A17531))</f>
        <v/>
      </c>
    </row>
    <row r="17532">
      <c r="A17532">
        <f>Input!A17532</f>
        <v/>
      </c>
      <c r="B17532">
        <f>IF(ISNUMBER(Input!B17532),IF(AND(Input!B17532&gt;=20,Input!B17532&lt;=700),Input!B17532,""),"")</f>
        <v/>
      </c>
      <c r="C17532">
        <f>IF(B17532="","",INT(A17532))</f>
        <v/>
      </c>
      <c r="D17532">
        <f>IF(B17532="","",HOUR(A17532))</f>
        <v/>
      </c>
    </row>
    <row r="17533">
      <c r="A17533">
        <f>Input!A17533</f>
        <v/>
      </c>
      <c r="B17533">
        <f>IF(ISNUMBER(Input!B17533),IF(AND(Input!B17533&gt;=20,Input!B17533&lt;=700),Input!B17533,""),"")</f>
        <v/>
      </c>
      <c r="C17533">
        <f>IF(B17533="","",INT(A17533))</f>
        <v/>
      </c>
      <c r="D17533">
        <f>IF(B17533="","",HOUR(A17533))</f>
        <v/>
      </c>
    </row>
    <row r="17534">
      <c r="A17534">
        <f>Input!A17534</f>
        <v/>
      </c>
      <c r="B17534">
        <f>IF(ISNUMBER(Input!B17534),IF(AND(Input!B17534&gt;=20,Input!B17534&lt;=700),Input!B17534,""),"")</f>
        <v/>
      </c>
      <c r="C17534">
        <f>IF(B17534="","",INT(A17534))</f>
        <v/>
      </c>
      <c r="D17534">
        <f>IF(B17534="","",HOUR(A17534))</f>
        <v/>
      </c>
    </row>
    <row r="17535">
      <c r="A17535">
        <f>Input!A17535</f>
        <v/>
      </c>
      <c r="B17535">
        <f>IF(ISNUMBER(Input!B17535),IF(AND(Input!B17535&gt;=20,Input!B17535&lt;=700),Input!B17535,""),"")</f>
        <v/>
      </c>
      <c r="C17535">
        <f>IF(B17535="","",INT(A17535))</f>
        <v/>
      </c>
      <c r="D17535">
        <f>IF(B17535="","",HOUR(A17535))</f>
        <v/>
      </c>
    </row>
    <row r="17536">
      <c r="A17536">
        <f>Input!A17536</f>
        <v/>
      </c>
      <c r="B17536">
        <f>IF(ISNUMBER(Input!B17536),IF(AND(Input!B17536&gt;=20,Input!B17536&lt;=700),Input!B17536,""),"")</f>
        <v/>
      </c>
      <c r="C17536">
        <f>IF(B17536="","",INT(A17536))</f>
        <v/>
      </c>
      <c r="D17536">
        <f>IF(B17536="","",HOUR(A17536))</f>
        <v/>
      </c>
    </row>
    <row r="17537">
      <c r="A17537">
        <f>Input!A17537</f>
        <v/>
      </c>
      <c r="B17537">
        <f>IF(ISNUMBER(Input!B17537),IF(AND(Input!B17537&gt;=20,Input!B17537&lt;=700),Input!B17537,""),"")</f>
        <v/>
      </c>
      <c r="C17537">
        <f>IF(B17537="","",INT(A17537))</f>
        <v/>
      </c>
      <c r="D17537">
        <f>IF(B17537="","",HOUR(A17537))</f>
        <v/>
      </c>
    </row>
    <row r="17538">
      <c r="A17538">
        <f>Input!A17538</f>
        <v/>
      </c>
      <c r="B17538">
        <f>IF(ISNUMBER(Input!B17538),IF(AND(Input!B17538&gt;=20,Input!B17538&lt;=700),Input!B17538,""),"")</f>
        <v/>
      </c>
      <c r="C17538">
        <f>IF(B17538="","",INT(A17538))</f>
        <v/>
      </c>
      <c r="D17538">
        <f>IF(B17538="","",HOUR(A17538))</f>
        <v/>
      </c>
    </row>
    <row r="17539">
      <c r="A17539">
        <f>Input!A17539</f>
        <v/>
      </c>
      <c r="B17539">
        <f>IF(ISNUMBER(Input!B17539),IF(AND(Input!B17539&gt;=20,Input!B17539&lt;=700),Input!B17539,""),"")</f>
        <v/>
      </c>
      <c r="C17539">
        <f>IF(B17539="","",INT(A17539))</f>
        <v/>
      </c>
      <c r="D17539">
        <f>IF(B17539="","",HOUR(A17539))</f>
        <v/>
      </c>
    </row>
    <row r="17540">
      <c r="A17540">
        <f>Input!A17540</f>
        <v/>
      </c>
      <c r="B17540">
        <f>IF(ISNUMBER(Input!B17540),IF(AND(Input!B17540&gt;=20,Input!B17540&lt;=700),Input!B17540,""),"")</f>
        <v/>
      </c>
      <c r="C17540">
        <f>IF(B17540="","",INT(A17540))</f>
        <v/>
      </c>
      <c r="D17540">
        <f>IF(B17540="","",HOUR(A17540))</f>
        <v/>
      </c>
    </row>
    <row r="17541">
      <c r="A17541">
        <f>Input!A17541</f>
        <v/>
      </c>
      <c r="B17541">
        <f>IF(ISNUMBER(Input!B17541),IF(AND(Input!B17541&gt;=20,Input!B17541&lt;=700),Input!B17541,""),"")</f>
        <v/>
      </c>
      <c r="C17541">
        <f>IF(B17541="","",INT(A17541))</f>
        <v/>
      </c>
      <c r="D17541">
        <f>IF(B17541="","",HOUR(A17541))</f>
        <v/>
      </c>
    </row>
    <row r="17542">
      <c r="A17542">
        <f>Input!A17542</f>
        <v/>
      </c>
      <c r="B17542">
        <f>IF(ISNUMBER(Input!B17542),IF(AND(Input!B17542&gt;=20,Input!B17542&lt;=700),Input!B17542,""),"")</f>
        <v/>
      </c>
      <c r="C17542">
        <f>IF(B17542="","",INT(A17542))</f>
        <v/>
      </c>
      <c r="D17542">
        <f>IF(B17542="","",HOUR(A17542))</f>
        <v/>
      </c>
    </row>
    <row r="17543">
      <c r="A17543">
        <f>Input!A17543</f>
        <v/>
      </c>
      <c r="B17543">
        <f>IF(ISNUMBER(Input!B17543),IF(AND(Input!B17543&gt;=20,Input!B17543&lt;=700),Input!B17543,""),"")</f>
        <v/>
      </c>
      <c r="C17543">
        <f>IF(B17543="","",INT(A17543))</f>
        <v/>
      </c>
      <c r="D17543">
        <f>IF(B17543="","",HOUR(A17543))</f>
        <v/>
      </c>
    </row>
    <row r="17544">
      <c r="A17544">
        <f>Input!A17544</f>
        <v/>
      </c>
      <c r="B17544">
        <f>IF(ISNUMBER(Input!B17544),IF(AND(Input!B17544&gt;=20,Input!B17544&lt;=700),Input!B17544,""),"")</f>
        <v/>
      </c>
      <c r="C17544">
        <f>IF(B17544="","",INT(A17544))</f>
        <v/>
      </c>
      <c r="D17544">
        <f>IF(B17544="","",HOUR(A17544))</f>
        <v/>
      </c>
    </row>
    <row r="17545">
      <c r="A17545">
        <f>Input!A17545</f>
        <v/>
      </c>
      <c r="B17545">
        <f>IF(ISNUMBER(Input!B17545),IF(AND(Input!B17545&gt;=20,Input!B17545&lt;=700),Input!B17545,""),"")</f>
        <v/>
      </c>
      <c r="C17545">
        <f>IF(B17545="","",INT(A17545))</f>
        <v/>
      </c>
      <c r="D17545">
        <f>IF(B17545="","",HOUR(A17545))</f>
        <v/>
      </c>
    </row>
    <row r="17546">
      <c r="A17546">
        <f>Input!A17546</f>
        <v/>
      </c>
      <c r="B17546">
        <f>IF(ISNUMBER(Input!B17546),IF(AND(Input!B17546&gt;=20,Input!B17546&lt;=700),Input!B17546,""),"")</f>
        <v/>
      </c>
      <c r="C17546">
        <f>IF(B17546="","",INT(A17546))</f>
        <v/>
      </c>
      <c r="D17546">
        <f>IF(B17546="","",HOUR(A17546))</f>
        <v/>
      </c>
    </row>
    <row r="17547">
      <c r="A17547">
        <f>Input!A17547</f>
        <v/>
      </c>
      <c r="B17547">
        <f>IF(ISNUMBER(Input!B17547),IF(AND(Input!B17547&gt;=20,Input!B17547&lt;=700),Input!B17547,""),"")</f>
        <v/>
      </c>
      <c r="C17547">
        <f>IF(B17547="","",INT(A17547))</f>
        <v/>
      </c>
      <c r="D17547">
        <f>IF(B17547="","",HOUR(A17547))</f>
        <v/>
      </c>
    </row>
    <row r="17548">
      <c r="A17548">
        <f>Input!A17548</f>
        <v/>
      </c>
      <c r="B17548">
        <f>IF(ISNUMBER(Input!B17548),IF(AND(Input!B17548&gt;=20,Input!B17548&lt;=700),Input!B17548,""),"")</f>
        <v/>
      </c>
      <c r="C17548">
        <f>IF(B17548="","",INT(A17548))</f>
        <v/>
      </c>
      <c r="D17548">
        <f>IF(B17548="","",HOUR(A17548))</f>
        <v/>
      </c>
    </row>
    <row r="17549">
      <c r="A17549">
        <f>Input!A17549</f>
        <v/>
      </c>
      <c r="B17549">
        <f>IF(ISNUMBER(Input!B17549),IF(AND(Input!B17549&gt;=20,Input!B17549&lt;=700),Input!B17549,""),"")</f>
        <v/>
      </c>
      <c r="C17549">
        <f>IF(B17549="","",INT(A17549))</f>
        <v/>
      </c>
      <c r="D17549">
        <f>IF(B17549="","",HOUR(A17549))</f>
        <v/>
      </c>
    </row>
    <row r="17550">
      <c r="A17550">
        <f>Input!A17550</f>
        <v/>
      </c>
      <c r="B17550">
        <f>IF(ISNUMBER(Input!B17550),IF(AND(Input!B17550&gt;=20,Input!B17550&lt;=700),Input!B17550,""),"")</f>
        <v/>
      </c>
      <c r="C17550">
        <f>IF(B17550="","",INT(A17550))</f>
        <v/>
      </c>
      <c r="D17550">
        <f>IF(B17550="","",HOUR(A17550))</f>
        <v/>
      </c>
    </row>
    <row r="17551">
      <c r="A17551">
        <f>Input!A17551</f>
        <v/>
      </c>
      <c r="B17551">
        <f>IF(ISNUMBER(Input!B17551),IF(AND(Input!B17551&gt;=20,Input!B17551&lt;=700),Input!B17551,""),"")</f>
        <v/>
      </c>
      <c r="C17551">
        <f>IF(B17551="","",INT(A17551))</f>
        <v/>
      </c>
      <c r="D17551">
        <f>IF(B17551="","",HOUR(A17551))</f>
        <v/>
      </c>
    </row>
    <row r="17552">
      <c r="A17552">
        <f>Input!A17552</f>
        <v/>
      </c>
      <c r="B17552">
        <f>IF(ISNUMBER(Input!B17552),IF(AND(Input!B17552&gt;=20,Input!B17552&lt;=700),Input!B17552,""),"")</f>
        <v/>
      </c>
      <c r="C17552">
        <f>IF(B17552="","",INT(A17552))</f>
        <v/>
      </c>
      <c r="D17552">
        <f>IF(B17552="","",HOUR(A17552))</f>
        <v/>
      </c>
    </row>
    <row r="17553">
      <c r="A17553">
        <f>Input!A17553</f>
        <v/>
      </c>
      <c r="B17553">
        <f>IF(ISNUMBER(Input!B17553),IF(AND(Input!B17553&gt;=20,Input!B17553&lt;=700),Input!B17553,""),"")</f>
        <v/>
      </c>
      <c r="C17553">
        <f>IF(B17553="","",INT(A17553))</f>
        <v/>
      </c>
      <c r="D17553">
        <f>IF(B17553="","",HOUR(A17553))</f>
        <v/>
      </c>
    </row>
    <row r="17554">
      <c r="A17554">
        <f>Input!A17554</f>
        <v/>
      </c>
      <c r="B17554">
        <f>IF(ISNUMBER(Input!B17554),IF(AND(Input!B17554&gt;=20,Input!B17554&lt;=700),Input!B17554,""),"")</f>
        <v/>
      </c>
      <c r="C17554">
        <f>IF(B17554="","",INT(A17554))</f>
        <v/>
      </c>
      <c r="D17554">
        <f>IF(B17554="","",HOUR(A17554))</f>
        <v/>
      </c>
    </row>
    <row r="17555">
      <c r="A17555">
        <f>Input!A17555</f>
        <v/>
      </c>
      <c r="B17555">
        <f>IF(ISNUMBER(Input!B17555),IF(AND(Input!B17555&gt;=20,Input!B17555&lt;=700),Input!B17555,""),"")</f>
        <v/>
      </c>
      <c r="C17555">
        <f>IF(B17555="","",INT(A17555))</f>
        <v/>
      </c>
      <c r="D17555">
        <f>IF(B17555="","",HOUR(A17555))</f>
        <v/>
      </c>
    </row>
    <row r="17556">
      <c r="A17556">
        <f>Input!A17556</f>
        <v/>
      </c>
      <c r="B17556">
        <f>IF(ISNUMBER(Input!B17556),IF(AND(Input!B17556&gt;=20,Input!B17556&lt;=700),Input!B17556,""),"")</f>
        <v/>
      </c>
      <c r="C17556">
        <f>IF(B17556="","",INT(A17556))</f>
        <v/>
      </c>
      <c r="D17556">
        <f>IF(B17556="","",HOUR(A17556))</f>
        <v/>
      </c>
    </row>
    <row r="17557">
      <c r="A17557">
        <f>Input!A17557</f>
        <v/>
      </c>
      <c r="B17557">
        <f>IF(ISNUMBER(Input!B17557),IF(AND(Input!B17557&gt;=20,Input!B17557&lt;=700),Input!B17557,""),"")</f>
        <v/>
      </c>
      <c r="C17557">
        <f>IF(B17557="","",INT(A17557))</f>
        <v/>
      </c>
      <c r="D17557">
        <f>IF(B17557="","",HOUR(A17557))</f>
        <v/>
      </c>
    </row>
    <row r="17558">
      <c r="A17558">
        <f>Input!A17558</f>
        <v/>
      </c>
      <c r="B17558">
        <f>IF(ISNUMBER(Input!B17558),IF(AND(Input!B17558&gt;=20,Input!B17558&lt;=700),Input!B17558,""),"")</f>
        <v/>
      </c>
      <c r="C17558">
        <f>IF(B17558="","",INT(A17558))</f>
        <v/>
      </c>
      <c r="D17558">
        <f>IF(B17558="","",HOUR(A17558))</f>
        <v/>
      </c>
    </row>
    <row r="17559">
      <c r="A17559">
        <f>Input!A17559</f>
        <v/>
      </c>
      <c r="B17559">
        <f>IF(ISNUMBER(Input!B17559),IF(AND(Input!B17559&gt;=20,Input!B17559&lt;=700),Input!B17559,""),"")</f>
        <v/>
      </c>
      <c r="C17559">
        <f>IF(B17559="","",INT(A17559))</f>
        <v/>
      </c>
      <c r="D17559">
        <f>IF(B17559="","",HOUR(A17559))</f>
        <v/>
      </c>
    </row>
    <row r="17560">
      <c r="A17560">
        <f>Input!A17560</f>
        <v/>
      </c>
      <c r="B17560">
        <f>IF(ISNUMBER(Input!B17560),IF(AND(Input!B17560&gt;=20,Input!B17560&lt;=700),Input!B17560,""),"")</f>
        <v/>
      </c>
      <c r="C17560">
        <f>IF(B17560="","",INT(A17560))</f>
        <v/>
      </c>
      <c r="D17560">
        <f>IF(B17560="","",HOUR(A17560))</f>
        <v/>
      </c>
    </row>
    <row r="17561">
      <c r="A17561">
        <f>Input!A17561</f>
        <v/>
      </c>
      <c r="B17561">
        <f>IF(ISNUMBER(Input!B17561),IF(AND(Input!B17561&gt;=20,Input!B17561&lt;=700),Input!B17561,""),"")</f>
        <v/>
      </c>
      <c r="C17561">
        <f>IF(B17561="","",INT(A17561))</f>
        <v/>
      </c>
      <c r="D17561">
        <f>IF(B17561="","",HOUR(A17561))</f>
        <v/>
      </c>
    </row>
    <row r="17562">
      <c r="A17562">
        <f>Input!A17562</f>
        <v/>
      </c>
      <c r="B17562">
        <f>IF(ISNUMBER(Input!B17562),IF(AND(Input!B17562&gt;=20,Input!B17562&lt;=700),Input!B17562,""),"")</f>
        <v/>
      </c>
      <c r="C17562">
        <f>IF(B17562="","",INT(A17562))</f>
        <v/>
      </c>
      <c r="D17562">
        <f>IF(B17562="","",HOUR(A17562))</f>
        <v/>
      </c>
    </row>
    <row r="17563">
      <c r="A17563">
        <f>Input!A17563</f>
        <v/>
      </c>
      <c r="B17563">
        <f>IF(ISNUMBER(Input!B17563),IF(AND(Input!B17563&gt;=20,Input!B17563&lt;=700),Input!B17563,""),"")</f>
        <v/>
      </c>
      <c r="C17563">
        <f>IF(B17563="","",INT(A17563))</f>
        <v/>
      </c>
      <c r="D17563">
        <f>IF(B17563="","",HOUR(A17563))</f>
        <v/>
      </c>
    </row>
    <row r="17564">
      <c r="A17564">
        <f>Input!A17564</f>
        <v/>
      </c>
      <c r="B17564">
        <f>IF(ISNUMBER(Input!B17564),IF(AND(Input!B17564&gt;=20,Input!B17564&lt;=700),Input!B17564,""),"")</f>
        <v/>
      </c>
      <c r="C17564">
        <f>IF(B17564="","",INT(A17564))</f>
        <v/>
      </c>
      <c r="D17564">
        <f>IF(B17564="","",HOUR(A17564))</f>
        <v/>
      </c>
    </row>
    <row r="17565">
      <c r="A17565">
        <f>Input!A17565</f>
        <v/>
      </c>
      <c r="B17565">
        <f>IF(ISNUMBER(Input!B17565),IF(AND(Input!B17565&gt;=20,Input!B17565&lt;=700),Input!B17565,""),"")</f>
        <v/>
      </c>
      <c r="C17565">
        <f>IF(B17565="","",INT(A17565))</f>
        <v/>
      </c>
      <c r="D17565">
        <f>IF(B17565="","",HOUR(A17565))</f>
        <v/>
      </c>
    </row>
    <row r="17566">
      <c r="A17566">
        <f>Input!A17566</f>
        <v/>
      </c>
      <c r="B17566">
        <f>IF(ISNUMBER(Input!B17566),IF(AND(Input!B17566&gt;=20,Input!B17566&lt;=700),Input!B17566,""),"")</f>
        <v/>
      </c>
      <c r="C17566">
        <f>IF(B17566="","",INT(A17566))</f>
        <v/>
      </c>
      <c r="D17566">
        <f>IF(B17566="","",HOUR(A17566))</f>
        <v/>
      </c>
    </row>
    <row r="17567">
      <c r="A17567">
        <f>Input!A17567</f>
        <v/>
      </c>
      <c r="B17567">
        <f>IF(ISNUMBER(Input!B17567),IF(AND(Input!B17567&gt;=20,Input!B17567&lt;=700),Input!B17567,""),"")</f>
        <v/>
      </c>
      <c r="C17567">
        <f>IF(B17567="","",INT(A17567))</f>
        <v/>
      </c>
      <c r="D17567">
        <f>IF(B17567="","",HOUR(A17567))</f>
        <v/>
      </c>
    </row>
    <row r="17568">
      <c r="A17568">
        <f>Input!A17568</f>
        <v/>
      </c>
      <c r="B17568">
        <f>IF(ISNUMBER(Input!B17568),IF(AND(Input!B17568&gt;=20,Input!B17568&lt;=700),Input!B17568,""),"")</f>
        <v/>
      </c>
      <c r="C17568">
        <f>IF(B17568="","",INT(A17568))</f>
        <v/>
      </c>
      <c r="D17568">
        <f>IF(B17568="","",HOUR(A17568))</f>
        <v/>
      </c>
    </row>
    <row r="17569">
      <c r="A17569">
        <f>Input!A17569</f>
        <v/>
      </c>
      <c r="B17569">
        <f>IF(ISNUMBER(Input!B17569),IF(AND(Input!B17569&gt;=20,Input!B17569&lt;=700),Input!B17569,""),"")</f>
        <v/>
      </c>
      <c r="C17569">
        <f>IF(B17569="","",INT(A17569))</f>
        <v/>
      </c>
      <c r="D17569">
        <f>IF(B17569="","",HOUR(A17569))</f>
        <v/>
      </c>
    </row>
    <row r="17570">
      <c r="A17570">
        <f>Input!A17570</f>
        <v/>
      </c>
      <c r="B17570">
        <f>IF(ISNUMBER(Input!B17570),IF(AND(Input!B17570&gt;=20,Input!B17570&lt;=700),Input!B17570,""),"")</f>
        <v/>
      </c>
      <c r="C17570">
        <f>IF(B17570="","",INT(A17570))</f>
        <v/>
      </c>
      <c r="D17570">
        <f>IF(B17570="","",HOUR(A17570))</f>
        <v/>
      </c>
    </row>
    <row r="17571">
      <c r="A17571">
        <f>Input!A17571</f>
        <v/>
      </c>
      <c r="B17571">
        <f>IF(ISNUMBER(Input!B17571),IF(AND(Input!B17571&gt;=20,Input!B17571&lt;=700),Input!B17571,""),"")</f>
        <v/>
      </c>
      <c r="C17571">
        <f>IF(B17571="","",INT(A17571))</f>
        <v/>
      </c>
      <c r="D17571">
        <f>IF(B17571="","",HOUR(A17571))</f>
        <v/>
      </c>
    </row>
    <row r="17572">
      <c r="A17572">
        <f>Input!A17572</f>
        <v/>
      </c>
      <c r="B17572">
        <f>IF(ISNUMBER(Input!B17572),IF(AND(Input!B17572&gt;=20,Input!B17572&lt;=700),Input!B17572,""),"")</f>
        <v/>
      </c>
      <c r="C17572">
        <f>IF(B17572="","",INT(A17572))</f>
        <v/>
      </c>
      <c r="D17572">
        <f>IF(B17572="","",HOUR(A17572))</f>
        <v/>
      </c>
    </row>
    <row r="17573">
      <c r="A17573">
        <f>Input!A17573</f>
        <v/>
      </c>
      <c r="B17573">
        <f>IF(ISNUMBER(Input!B17573),IF(AND(Input!B17573&gt;=20,Input!B17573&lt;=700),Input!B17573,""),"")</f>
        <v/>
      </c>
      <c r="C17573">
        <f>IF(B17573="","",INT(A17573))</f>
        <v/>
      </c>
      <c r="D17573">
        <f>IF(B17573="","",HOUR(A17573))</f>
        <v/>
      </c>
    </row>
    <row r="17574">
      <c r="A17574">
        <f>Input!A17574</f>
        <v/>
      </c>
      <c r="B17574">
        <f>IF(ISNUMBER(Input!B17574),IF(AND(Input!B17574&gt;=20,Input!B17574&lt;=700),Input!B17574,""),"")</f>
        <v/>
      </c>
      <c r="C17574">
        <f>IF(B17574="","",INT(A17574))</f>
        <v/>
      </c>
      <c r="D17574">
        <f>IF(B17574="","",HOUR(A17574))</f>
        <v/>
      </c>
    </row>
    <row r="17575">
      <c r="A17575">
        <f>Input!A17575</f>
        <v/>
      </c>
      <c r="B17575">
        <f>IF(ISNUMBER(Input!B17575),IF(AND(Input!B17575&gt;=20,Input!B17575&lt;=700),Input!B17575,""),"")</f>
        <v/>
      </c>
      <c r="C17575">
        <f>IF(B17575="","",INT(A17575))</f>
        <v/>
      </c>
      <c r="D17575">
        <f>IF(B17575="","",HOUR(A17575))</f>
        <v/>
      </c>
    </row>
    <row r="17576">
      <c r="A17576">
        <f>Input!A17576</f>
        <v/>
      </c>
      <c r="B17576">
        <f>IF(ISNUMBER(Input!B17576),IF(AND(Input!B17576&gt;=20,Input!B17576&lt;=700),Input!B17576,""),"")</f>
        <v/>
      </c>
      <c r="C17576">
        <f>IF(B17576="","",INT(A17576))</f>
        <v/>
      </c>
      <c r="D17576">
        <f>IF(B17576="","",HOUR(A17576))</f>
        <v/>
      </c>
    </row>
    <row r="17577">
      <c r="A17577">
        <f>Input!A17577</f>
        <v/>
      </c>
      <c r="B17577">
        <f>IF(ISNUMBER(Input!B17577),IF(AND(Input!B17577&gt;=20,Input!B17577&lt;=700),Input!B17577,""),"")</f>
        <v/>
      </c>
      <c r="C17577">
        <f>IF(B17577="","",INT(A17577))</f>
        <v/>
      </c>
      <c r="D17577">
        <f>IF(B17577="","",HOUR(A17577))</f>
        <v/>
      </c>
    </row>
    <row r="17578">
      <c r="A17578">
        <f>Input!A17578</f>
        <v/>
      </c>
      <c r="B17578">
        <f>IF(ISNUMBER(Input!B17578),IF(AND(Input!B17578&gt;=20,Input!B17578&lt;=700),Input!B17578,""),"")</f>
        <v/>
      </c>
      <c r="C17578">
        <f>IF(B17578="","",INT(A17578))</f>
        <v/>
      </c>
      <c r="D17578">
        <f>IF(B17578="","",HOUR(A17578))</f>
        <v/>
      </c>
    </row>
    <row r="17579">
      <c r="A17579">
        <f>Input!A17579</f>
        <v/>
      </c>
      <c r="B17579">
        <f>IF(ISNUMBER(Input!B17579),IF(AND(Input!B17579&gt;=20,Input!B17579&lt;=700),Input!B17579,""),"")</f>
        <v/>
      </c>
      <c r="C17579">
        <f>IF(B17579="","",INT(A17579))</f>
        <v/>
      </c>
      <c r="D17579">
        <f>IF(B17579="","",HOUR(A17579))</f>
        <v/>
      </c>
    </row>
    <row r="17580">
      <c r="A17580">
        <f>Input!A17580</f>
        <v/>
      </c>
      <c r="B17580">
        <f>IF(ISNUMBER(Input!B17580),IF(AND(Input!B17580&gt;=20,Input!B17580&lt;=700),Input!B17580,""),"")</f>
        <v/>
      </c>
      <c r="C17580">
        <f>IF(B17580="","",INT(A17580))</f>
        <v/>
      </c>
      <c r="D17580">
        <f>IF(B17580="","",HOUR(A17580))</f>
        <v/>
      </c>
    </row>
    <row r="17581">
      <c r="A17581">
        <f>Input!A17581</f>
        <v/>
      </c>
      <c r="B17581">
        <f>IF(ISNUMBER(Input!B17581),IF(AND(Input!B17581&gt;=20,Input!B17581&lt;=700),Input!B17581,""),"")</f>
        <v/>
      </c>
      <c r="C17581">
        <f>IF(B17581="","",INT(A17581))</f>
        <v/>
      </c>
      <c r="D17581">
        <f>IF(B17581="","",HOUR(A17581))</f>
        <v/>
      </c>
    </row>
    <row r="17582">
      <c r="A17582">
        <f>Input!A17582</f>
        <v/>
      </c>
      <c r="B17582">
        <f>IF(ISNUMBER(Input!B17582),IF(AND(Input!B17582&gt;=20,Input!B17582&lt;=700),Input!B17582,""),"")</f>
        <v/>
      </c>
      <c r="C17582">
        <f>IF(B17582="","",INT(A17582))</f>
        <v/>
      </c>
      <c r="D17582">
        <f>IF(B17582="","",HOUR(A17582))</f>
        <v/>
      </c>
    </row>
    <row r="17583">
      <c r="A17583">
        <f>Input!A17583</f>
        <v/>
      </c>
      <c r="B17583">
        <f>IF(ISNUMBER(Input!B17583),IF(AND(Input!B17583&gt;=20,Input!B17583&lt;=700),Input!B17583,""),"")</f>
        <v/>
      </c>
      <c r="C17583">
        <f>IF(B17583="","",INT(A17583))</f>
        <v/>
      </c>
      <c r="D17583">
        <f>IF(B17583="","",HOUR(A17583))</f>
        <v/>
      </c>
    </row>
    <row r="17584">
      <c r="A17584">
        <f>Input!A17584</f>
        <v/>
      </c>
      <c r="B17584">
        <f>IF(ISNUMBER(Input!B17584),IF(AND(Input!B17584&gt;=20,Input!B17584&lt;=700),Input!B17584,""),"")</f>
        <v/>
      </c>
      <c r="C17584">
        <f>IF(B17584="","",INT(A17584))</f>
        <v/>
      </c>
      <c r="D17584">
        <f>IF(B17584="","",HOUR(A17584))</f>
        <v/>
      </c>
    </row>
    <row r="17585">
      <c r="A17585">
        <f>Input!A17585</f>
        <v/>
      </c>
      <c r="B17585">
        <f>IF(ISNUMBER(Input!B17585),IF(AND(Input!B17585&gt;=20,Input!B17585&lt;=700),Input!B17585,""),"")</f>
        <v/>
      </c>
      <c r="C17585">
        <f>IF(B17585="","",INT(A17585))</f>
        <v/>
      </c>
      <c r="D17585">
        <f>IF(B17585="","",HOUR(A17585))</f>
        <v/>
      </c>
    </row>
    <row r="17586">
      <c r="A17586">
        <f>Input!A17586</f>
        <v/>
      </c>
      <c r="B17586">
        <f>IF(ISNUMBER(Input!B17586),IF(AND(Input!B17586&gt;=20,Input!B17586&lt;=700),Input!B17586,""),"")</f>
        <v/>
      </c>
      <c r="C17586">
        <f>IF(B17586="","",INT(A17586))</f>
        <v/>
      </c>
      <c r="D17586">
        <f>IF(B17586="","",HOUR(A17586))</f>
        <v/>
      </c>
    </row>
    <row r="17587">
      <c r="A17587">
        <f>Input!A17587</f>
        <v/>
      </c>
      <c r="B17587">
        <f>IF(ISNUMBER(Input!B17587),IF(AND(Input!B17587&gt;=20,Input!B17587&lt;=700),Input!B17587,""),"")</f>
        <v/>
      </c>
      <c r="C17587">
        <f>IF(B17587="","",INT(A17587))</f>
        <v/>
      </c>
      <c r="D17587">
        <f>IF(B17587="","",HOUR(A17587))</f>
        <v/>
      </c>
    </row>
    <row r="17588">
      <c r="A17588">
        <f>Input!A17588</f>
        <v/>
      </c>
      <c r="B17588">
        <f>IF(ISNUMBER(Input!B17588),IF(AND(Input!B17588&gt;=20,Input!B17588&lt;=700),Input!B17588,""),"")</f>
        <v/>
      </c>
      <c r="C17588">
        <f>IF(B17588="","",INT(A17588))</f>
        <v/>
      </c>
      <c r="D17588">
        <f>IF(B17588="","",HOUR(A17588))</f>
        <v/>
      </c>
    </row>
    <row r="17589">
      <c r="A17589">
        <f>Input!A17589</f>
        <v/>
      </c>
      <c r="B17589">
        <f>IF(ISNUMBER(Input!B17589),IF(AND(Input!B17589&gt;=20,Input!B17589&lt;=700),Input!B17589,""),"")</f>
        <v/>
      </c>
      <c r="C17589">
        <f>IF(B17589="","",INT(A17589))</f>
        <v/>
      </c>
      <c r="D17589">
        <f>IF(B17589="","",HOUR(A17589))</f>
        <v/>
      </c>
    </row>
    <row r="17590">
      <c r="A17590">
        <f>Input!A17590</f>
        <v/>
      </c>
      <c r="B17590">
        <f>IF(ISNUMBER(Input!B17590),IF(AND(Input!B17590&gt;=20,Input!B17590&lt;=700),Input!B17590,""),"")</f>
        <v/>
      </c>
      <c r="C17590">
        <f>IF(B17590="","",INT(A17590))</f>
        <v/>
      </c>
      <c r="D17590">
        <f>IF(B17590="","",HOUR(A17590))</f>
        <v/>
      </c>
    </row>
    <row r="17591">
      <c r="A17591">
        <f>Input!A17591</f>
        <v/>
      </c>
      <c r="B17591">
        <f>IF(ISNUMBER(Input!B17591),IF(AND(Input!B17591&gt;=20,Input!B17591&lt;=700),Input!B17591,""),"")</f>
        <v/>
      </c>
      <c r="C17591">
        <f>IF(B17591="","",INT(A17591))</f>
        <v/>
      </c>
      <c r="D17591">
        <f>IF(B17591="","",HOUR(A17591))</f>
        <v/>
      </c>
    </row>
    <row r="17592">
      <c r="A17592">
        <f>Input!A17592</f>
        <v/>
      </c>
      <c r="B17592">
        <f>IF(ISNUMBER(Input!B17592),IF(AND(Input!B17592&gt;=20,Input!B17592&lt;=700),Input!B17592,""),"")</f>
        <v/>
      </c>
      <c r="C17592">
        <f>IF(B17592="","",INT(A17592))</f>
        <v/>
      </c>
      <c r="D17592">
        <f>IF(B17592="","",HOUR(A17592))</f>
        <v/>
      </c>
    </row>
    <row r="17593">
      <c r="A17593">
        <f>Input!A17593</f>
        <v/>
      </c>
      <c r="B17593">
        <f>IF(ISNUMBER(Input!B17593),IF(AND(Input!B17593&gt;=20,Input!B17593&lt;=700),Input!B17593,""),"")</f>
        <v/>
      </c>
      <c r="C17593">
        <f>IF(B17593="","",INT(A17593))</f>
        <v/>
      </c>
      <c r="D17593">
        <f>IF(B17593="","",HOUR(A17593))</f>
        <v/>
      </c>
    </row>
    <row r="17594">
      <c r="A17594">
        <f>Input!A17594</f>
        <v/>
      </c>
      <c r="B17594">
        <f>IF(ISNUMBER(Input!B17594),IF(AND(Input!B17594&gt;=20,Input!B17594&lt;=700),Input!B17594,""),"")</f>
        <v/>
      </c>
      <c r="C17594">
        <f>IF(B17594="","",INT(A17594))</f>
        <v/>
      </c>
      <c r="D17594">
        <f>IF(B17594="","",HOUR(A17594))</f>
        <v/>
      </c>
    </row>
    <row r="17595">
      <c r="A17595">
        <f>Input!A17595</f>
        <v/>
      </c>
      <c r="B17595">
        <f>IF(ISNUMBER(Input!B17595),IF(AND(Input!B17595&gt;=20,Input!B17595&lt;=700),Input!B17595,""),"")</f>
        <v/>
      </c>
      <c r="C17595">
        <f>IF(B17595="","",INT(A17595))</f>
        <v/>
      </c>
      <c r="D17595">
        <f>IF(B17595="","",HOUR(A17595))</f>
        <v/>
      </c>
    </row>
    <row r="17596">
      <c r="A17596">
        <f>Input!A17596</f>
        <v/>
      </c>
      <c r="B17596">
        <f>IF(ISNUMBER(Input!B17596),IF(AND(Input!B17596&gt;=20,Input!B17596&lt;=700),Input!B17596,""),"")</f>
        <v/>
      </c>
      <c r="C17596">
        <f>IF(B17596="","",INT(A17596))</f>
        <v/>
      </c>
      <c r="D17596">
        <f>IF(B17596="","",HOUR(A17596))</f>
        <v/>
      </c>
    </row>
    <row r="17597">
      <c r="A17597">
        <f>Input!A17597</f>
        <v/>
      </c>
      <c r="B17597">
        <f>IF(ISNUMBER(Input!B17597),IF(AND(Input!B17597&gt;=20,Input!B17597&lt;=700),Input!B17597,""),"")</f>
        <v/>
      </c>
      <c r="C17597">
        <f>IF(B17597="","",INT(A17597))</f>
        <v/>
      </c>
      <c r="D17597">
        <f>IF(B17597="","",HOUR(A17597))</f>
        <v/>
      </c>
    </row>
    <row r="17598">
      <c r="A17598">
        <f>Input!A17598</f>
        <v/>
      </c>
      <c r="B17598">
        <f>IF(ISNUMBER(Input!B17598),IF(AND(Input!B17598&gt;=20,Input!B17598&lt;=700),Input!B17598,""),"")</f>
        <v/>
      </c>
      <c r="C17598">
        <f>IF(B17598="","",INT(A17598))</f>
        <v/>
      </c>
      <c r="D17598">
        <f>IF(B17598="","",HOUR(A17598))</f>
        <v/>
      </c>
    </row>
    <row r="17599">
      <c r="A17599">
        <f>Input!A17599</f>
        <v/>
      </c>
      <c r="B17599">
        <f>IF(ISNUMBER(Input!B17599),IF(AND(Input!B17599&gt;=20,Input!B17599&lt;=700),Input!B17599,""),"")</f>
        <v/>
      </c>
      <c r="C17599">
        <f>IF(B17599="","",INT(A17599))</f>
        <v/>
      </c>
      <c r="D17599">
        <f>IF(B17599="","",HOUR(A17599))</f>
        <v/>
      </c>
    </row>
    <row r="17600">
      <c r="A17600">
        <f>Input!A17600</f>
        <v/>
      </c>
      <c r="B17600">
        <f>IF(ISNUMBER(Input!B17600),IF(AND(Input!B17600&gt;=20,Input!B17600&lt;=700),Input!B17600,""),"")</f>
        <v/>
      </c>
      <c r="C17600">
        <f>IF(B17600="","",INT(A17600))</f>
        <v/>
      </c>
      <c r="D17600">
        <f>IF(B17600="","",HOUR(A17600))</f>
        <v/>
      </c>
    </row>
    <row r="17601">
      <c r="A17601">
        <f>Input!A17601</f>
        <v/>
      </c>
      <c r="B17601">
        <f>IF(ISNUMBER(Input!B17601),IF(AND(Input!B17601&gt;=20,Input!B17601&lt;=700),Input!B17601,""),"")</f>
        <v/>
      </c>
      <c r="C17601">
        <f>IF(B17601="","",INT(A17601))</f>
        <v/>
      </c>
      <c r="D17601">
        <f>IF(B17601="","",HOUR(A17601))</f>
        <v/>
      </c>
    </row>
    <row r="17602">
      <c r="A17602">
        <f>Input!A17602</f>
        <v/>
      </c>
      <c r="B17602">
        <f>IF(ISNUMBER(Input!B17602),IF(AND(Input!B17602&gt;=20,Input!B17602&lt;=700),Input!B17602,""),"")</f>
        <v/>
      </c>
      <c r="C17602">
        <f>IF(B17602="","",INT(A17602))</f>
        <v/>
      </c>
      <c r="D17602">
        <f>IF(B17602="","",HOUR(A17602))</f>
        <v/>
      </c>
    </row>
    <row r="17603">
      <c r="A17603">
        <f>Input!A17603</f>
        <v/>
      </c>
      <c r="B17603">
        <f>IF(ISNUMBER(Input!B17603),IF(AND(Input!B17603&gt;=20,Input!B17603&lt;=700),Input!B17603,""),"")</f>
        <v/>
      </c>
      <c r="C17603">
        <f>IF(B17603="","",INT(A17603))</f>
        <v/>
      </c>
      <c r="D17603">
        <f>IF(B17603="","",HOUR(A17603))</f>
        <v/>
      </c>
    </row>
    <row r="17604">
      <c r="A17604">
        <f>Input!A17604</f>
        <v/>
      </c>
      <c r="B17604">
        <f>IF(ISNUMBER(Input!B17604),IF(AND(Input!B17604&gt;=20,Input!B17604&lt;=700),Input!B17604,""),"")</f>
        <v/>
      </c>
      <c r="C17604">
        <f>IF(B17604="","",INT(A17604))</f>
        <v/>
      </c>
      <c r="D17604">
        <f>IF(B17604="","",HOUR(A17604))</f>
        <v/>
      </c>
    </row>
    <row r="17605">
      <c r="A17605">
        <f>Input!A17605</f>
        <v/>
      </c>
      <c r="B17605">
        <f>IF(ISNUMBER(Input!B17605),IF(AND(Input!B17605&gt;=20,Input!B17605&lt;=700),Input!B17605,""),"")</f>
        <v/>
      </c>
      <c r="C17605">
        <f>IF(B17605="","",INT(A17605))</f>
        <v/>
      </c>
      <c r="D17605">
        <f>IF(B17605="","",HOUR(A17605))</f>
        <v/>
      </c>
    </row>
    <row r="17606">
      <c r="A17606">
        <f>Input!A17606</f>
        <v/>
      </c>
      <c r="B17606">
        <f>IF(ISNUMBER(Input!B17606),IF(AND(Input!B17606&gt;=20,Input!B17606&lt;=700),Input!B17606,""),"")</f>
        <v/>
      </c>
      <c r="C17606">
        <f>IF(B17606="","",INT(A17606))</f>
        <v/>
      </c>
      <c r="D17606">
        <f>IF(B17606="","",HOUR(A17606))</f>
        <v/>
      </c>
    </row>
    <row r="17607">
      <c r="A17607">
        <f>Input!A17607</f>
        <v/>
      </c>
      <c r="B17607">
        <f>IF(ISNUMBER(Input!B17607),IF(AND(Input!B17607&gt;=20,Input!B17607&lt;=700),Input!B17607,""),"")</f>
        <v/>
      </c>
      <c r="C17607">
        <f>IF(B17607="","",INT(A17607))</f>
        <v/>
      </c>
      <c r="D17607">
        <f>IF(B17607="","",HOUR(A17607))</f>
        <v/>
      </c>
    </row>
    <row r="17608">
      <c r="A17608">
        <f>Input!A17608</f>
        <v/>
      </c>
      <c r="B17608">
        <f>IF(ISNUMBER(Input!B17608),IF(AND(Input!B17608&gt;=20,Input!B17608&lt;=700),Input!B17608,""),"")</f>
        <v/>
      </c>
      <c r="C17608">
        <f>IF(B17608="","",INT(A17608))</f>
        <v/>
      </c>
      <c r="D17608">
        <f>IF(B17608="","",HOUR(A17608))</f>
        <v/>
      </c>
    </row>
    <row r="17609">
      <c r="A17609">
        <f>Input!A17609</f>
        <v/>
      </c>
      <c r="B17609">
        <f>IF(ISNUMBER(Input!B17609),IF(AND(Input!B17609&gt;=20,Input!B17609&lt;=700),Input!B17609,""),"")</f>
        <v/>
      </c>
      <c r="C17609">
        <f>IF(B17609="","",INT(A17609))</f>
        <v/>
      </c>
      <c r="D17609">
        <f>IF(B17609="","",HOUR(A17609))</f>
        <v/>
      </c>
    </row>
    <row r="17610">
      <c r="A17610">
        <f>Input!A17610</f>
        <v/>
      </c>
      <c r="B17610">
        <f>IF(ISNUMBER(Input!B17610),IF(AND(Input!B17610&gt;=20,Input!B17610&lt;=700),Input!B17610,""),"")</f>
        <v/>
      </c>
      <c r="C17610">
        <f>IF(B17610="","",INT(A17610))</f>
        <v/>
      </c>
      <c r="D17610">
        <f>IF(B17610="","",HOUR(A17610))</f>
        <v/>
      </c>
    </row>
    <row r="17611">
      <c r="A17611">
        <f>Input!A17611</f>
        <v/>
      </c>
      <c r="B17611">
        <f>IF(ISNUMBER(Input!B17611),IF(AND(Input!B17611&gt;=20,Input!B17611&lt;=700),Input!B17611,""),"")</f>
        <v/>
      </c>
      <c r="C17611">
        <f>IF(B17611="","",INT(A17611))</f>
        <v/>
      </c>
      <c r="D17611">
        <f>IF(B17611="","",HOUR(A17611))</f>
        <v/>
      </c>
    </row>
    <row r="17612">
      <c r="A17612">
        <f>Input!A17612</f>
        <v/>
      </c>
      <c r="B17612">
        <f>IF(ISNUMBER(Input!B17612),IF(AND(Input!B17612&gt;=20,Input!B17612&lt;=700),Input!B17612,""),"")</f>
        <v/>
      </c>
      <c r="C17612">
        <f>IF(B17612="","",INT(A17612))</f>
        <v/>
      </c>
      <c r="D17612">
        <f>IF(B17612="","",HOUR(A17612))</f>
        <v/>
      </c>
    </row>
    <row r="17613">
      <c r="A17613">
        <f>Input!A17613</f>
        <v/>
      </c>
      <c r="B17613">
        <f>IF(ISNUMBER(Input!B17613),IF(AND(Input!B17613&gt;=20,Input!B17613&lt;=700),Input!B17613,""),"")</f>
        <v/>
      </c>
      <c r="C17613">
        <f>IF(B17613="","",INT(A17613))</f>
        <v/>
      </c>
      <c r="D17613">
        <f>IF(B17613="","",HOUR(A17613))</f>
        <v/>
      </c>
    </row>
    <row r="17614">
      <c r="A17614">
        <f>Input!A17614</f>
        <v/>
      </c>
      <c r="B17614">
        <f>IF(ISNUMBER(Input!B17614),IF(AND(Input!B17614&gt;=20,Input!B17614&lt;=700),Input!B17614,""),"")</f>
        <v/>
      </c>
      <c r="C17614">
        <f>IF(B17614="","",INT(A17614))</f>
        <v/>
      </c>
      <c r="D17614">
        <f>IF(B17614="","",HOUR(A17614))</f>
        <v/>
      </c>
    </row>
    <row r="17615">
      <c r="A17615">
        <f>Input!A17615</f>
        <v/>
      </c>
      <c r="B17615">
        <f>IF(ISNUMBER(Input!B17615),IF(AND(Input!B17615&gt;=20,Input!B17615&lt;=700),Input!B17615,""),"")</f>
        <v/>
      </c>
      <c r="C17615">
        <f>IF(B17615="","",INT(A17615))</f>
        <v/>
      </c>
      <c r="D17615">
        <f>IF(B17615="","",HOUR(A17615))</f>
        <v/>
      </c>
    </row>
    <row r="17616">
      <c r="A17616">
        <f>Input!A17616</f>
        <v/>
      </c>
      <c r="B17616">
        <f>IF(ISNUMBER(Input!B17616),IF(AND(Input!B17616&gt;=20,Input!B17616&lt;=700),Input!B17616,""),"")</f>
        <v/>
      </c>
      <c r="C17616">
        <f>IF(B17616="","",INT(A17616))</f>
        <v/>
      </c>
      <c r="D17616">
        <f>IF(B17616="","",HOUR(A17616))</f>
        <v/>
      </c>
    </row>
    <row r="17617">
      <c r="A17617">
        <f>Input!A17617</f>
        <v/>
      </c>
      <c r="B17617">
        <f>IF(ISNUMBER(Input!B17617),IF(AND(Input!B17617&gt;=20,Input!B17617&lt;=700),Input!B17617,""),"")</f>
        <v/>
      </c>
      <c r="C17617">
        <f>IF(B17617="","",INT(A17617))</f>
        <v/>
      </c>
      <c r="D17617">
        <f>IF(B17617="","",HOUR(A17617))</f>
        <v/>
      </c>
    </row>
    <row r="17618">
      <c r="A17618">
        <f>Input!A17618</f>
        <v/>
      </c>
      <c r="B17618">
        <f>IF(ISNUMBER(Input!B17618),IF(AND(Input!B17618&gt;=20,Input!B17618&lt;=700),Input!B17618,""),"")</f>
        <v/>
      </c>
      <c r="C17618">
        <f>IF(B17618="","",INT(A17618))</f>
        <v/>
      </c>
      <c r="D17618">
        <f>IF(B17618="","",HOUR(A17618))</f>
        <v/>
      </c>
    </row>
    <row r="17619">
      <c r="A17619">
        <f>Input!A17619</f>
        <v/>
      </c>
      <c r="B17619">
        <f>IF(ISNUMBER(Input!B17619),IF(AND(Input!B17619&gt;=20,Input!B17619&lt;=700),Input!B17619,""),"")</f>
        <v/>
      </c>
      <c r="C17619">
        <f>IF(B17619="","",INT(A17619))</f>
        <v/>
      </c>
      <c r="D17619">
        <f>IF(B17619="","",HOUR(A17619))</f>
        <v/>
      </c>
    </row>
    <row r="17620">
      <c r="A17620">
        <f>Input!A17620</f>
        <v/>
      </c>
      <c r="B17620">
        <f>IF(ISNUMBER(Input!B17620),IF(AND(Input!B17620&gt;=20,Input!B17620&lt;=700),Input!B17620,""),"")</f>
        <v/>
      </c>
      <c r="C17620">
        <f>IF(B17620="","",INT(A17620))</f>
        <v/>
      </c>
      <c r="D17620">
        <f>IF(B17620="","",HOUR(A17620))</f>
        <v/>
      </c>
    </row>
    <row r="17621">
      <c r="A17621">
        <f>Input!A17621</f>
        <v/>
      </c>
      <c r="B17621">
        <f>IF(ISNUMBER(Input!B17621),IF(AND(Input!B17621&gt;=20,Input!B17621&lt;=700),Input!B17621,""),"")</f>
        <v/>
      </c>
      <c r="C17621">
        <f>IF(B17621="","",INT(A17621))</f>
        <v/>
      </c>
      <c r="D17621">
        <f>IF(B17621="","",HOUR(A17621))</f>
        <v/>
      </c>
    </row>
    <row r="17622">
      <c r="A17622">
        <f>Input!A17622</f>
        <v/>
      </c>
      <c r="B17622">
        <f>IF(ISNUMBER(Input!B17622),IF(AND(Input!B17622&gt;=20,Input!B17622&lt;=700),Input!B17622,""),"")</f>
        <v/>
      </c>
      <c r="C17622">
        <f>IF(B17622="","",INT(A17622))</f>
        <v/>
      </c>
      <c r="D17622">
        <f>IF(B17622="","",HOUR(A17622))</f>
        <v/>
      </c>
    </row>
    <row r="17623">
      <c r="A17623">
        <f>Input!A17623</f>
        <v/>
      </c>
      <c r="B17623">
        <f>IF(ISNUMBER(Input!B17623),IF(AND(Input!B17623&gt;=20,Input!B17623&lt;=700),Input!B17623,""),"")</f>
        <v/>
      </c>
      <c r="C17623">
        <f>IF(B17623="","",INT(A17623))</f>
        <v/>
      </c>
      <c r="D17623">
        <f>IF(B17623="","",HOUR(A17623))</f>
        <v/>
      </c>
    </row>
    <row r="17624">
      <c r="A17624">
        <f>Input!A17624</f>
        <v/>
      </c>
      <c r="B17624">
        <f>IF(ISNUMBER(Input!B17624),IF(AND(Input!B17624&gt;=20,Input!B17624&lt;=700),Input!B17624,""),"")</f>
        <v/>
      </c>
      <c r="C17624">
        <f>IF(B17624="","",INT(A17624))</f>
        <v/>
      </c>
      <c r="D17624">
        <f>IF(B17624="","",HOUR(A17624))</f>
        <v/>
      </c>
    </row>
    <row r="17625">
      <c r="A17625">
        <f>Input!A17625</f>
        <v/>
      </c>
      <c r="B17625">
        <f>IF(ISNUMBER(Input!B17625),IF(AND(Input!B17625&gt;=20,Input!B17625&lt;=700),Input!B17625,""),"")</f>
        <v/>
      </c>
      <c r="C17625">
        <f>IF(B17625="","",INT(A17625))</f>
        <v/>
      </c>
      <c r="D17625">
        <f>IF(B17625="","",HOUR(A17625))</f>
        <v/>
      </c>
    </row>
    <row r="17626">
      <c r="A17626">
        <f>Input!A17626</f>
        <v/>
      </c>
      <c r="B17626">
        <f>IF(ISNUMBER(Input!B17626),IF(AND(Input!B17626&gt;=20,Input!B17626&lt;=700),Input!B17626,""),"")</f>
        <v/>
      </c>
      <c r="C17626">
        <f>IF(B17626="","",INT(A17626))</f>
        <v/>
      </c>
      <c r="D17626">
        <f>IF(B17626="","",HOUR(A17626))</f>
        <v/>
      </c>
    </row>
    <row r="17627">
      <c r="A17627">
        <f>Input!A17627</f>
        <v/>
      </c>
      <c r="B17627">
        <f>IF(ISNUMBER(Input!B17627),IF(AND(Input!B17627&gt;=20,Input!B17627&lt;=700),Input!B17627,""),"")</f>
        <v/>
      </c>
      <c r="C17627">
        <f>IF(B17627="","",INT(A17627))</f>
        <v/>
      </c>
      <c r="D17627">
        <f>IF(B17627="","",HOUR(A17627))</f>
        <v/>
      </c>
    </row>
    <row r="17628">
      <c r="A17628">
        <f>Input!A17628</f>
        <v/>
      </c>
      <c r="B17628">
        <f>IF(ISNUMBER(Input!B17628),IF(AND(Input!B17628&gt;=20,Input!B17628&lt;=700),Input!B17628,""),"")</f>
        <v/>
      </c>
      <c r="C17628">
        <f>IF(B17628="","",INT(A17628))</f>
        <v/>
      </c>
      <c r="D17628">
        <f>IF(B17628="","",HOUR(A17628))</f>
        <v/>
      </c>
    </row>
    <row r="17629">
      <c r="A17629">
        <f>Input!A17629</f>
        <v/>
      </c>
      <c r="B17629">
        <f>IF(ISNUMBER(Input!B17629),IF(AND(Input!B17629&gt;=20,Input!B17629&lt;=700),Input!B17629,""),"")</f>
        <v/>
      </c>
      <c r="C17629">
        <f>IF(B17629="","",INT(A17629))</f>
        <v/>
      </c>
      <c r="D17629">
        <f>IF(B17629="","",HOUR(A17629))</f>
        <v/>
      </c>
    </row>
    <row r="17630">
      <c r="A17630">
        <f>Input!A17630</f>
        <v/>
      </c>
      <c r="B17630">
        <f>IF(ISNUMBER(Input!B17630),IF(AND(Input!B17630&gt;=20,Input!B17630&lt;=700),Input!B17630,""),"")</f>
        <v/>
      </c>
      <c r="C17630">
        <f>IF(B17630="","",INT(A17630))</f>
        <v/>
      </c>
      <c r="D17630">
        <f>IF(B17630="","",HOUR(A17630))</f>
        <v/>
      </c>
    </row>
    <row r="17631">
      <c r="A17631">
        <f>Input!A17631</f>
        <v/>
      </c>
      <c r="B17631">
        <f>IF(ISNUMBER(Input!B17631),IF(AND(Input!B17631&gt;=20,Input!B17631&lt;=700),Input!B17631,""),"")</f>
        <v/>
      </c>
      <c r="C17631">
        <f>IF(B17631="","",INT(A17631))</f>
        <v/>
      </c>
      <c r="D17631">
        <f>IF(B17631="","",HOUR(A17631))</f>
        <v/>
      </c>
    </row>
    <row r="17632">
      <c r="A17632">
        <f>Input!A17632</f>
        <v/>
      </c>
      <c r="B17632">
        <f>IF(ISNUMBER(Input!B17632),IF(AND(Input!B17632&gt;=20,Input!B17632&lt;=700),Input!B17632,""),"")</f>
        <v/>
      </c>
      <c r="C17632">
        <f>IF(B17632="","",INT(A17632))</f>
        <v/>
      </c>
      <c r="D17632">
        <f>IF(B17632="","",HOUR(A17632))</f>
        <v/>
      </c>
    </row>
    <row r="17633">
      <c r="A17633">
        <f>Input!A17633</f>
        <v/>
      </c>
      <c r="B17633">
        <f>IF(ISNUMBER(Input!B17633),IF(AND(Input!B17633&gt;=20,Input!B17633&lt;=700),Input!B17633,""),"")</f>
        <v/>
      </c>
      <c r="C17633">
        <f>IF(B17633="","",INT(A17633))</f>
        <v/>
      </c>
      <c r="D17633">
        <f>IF(B17633="","",HOUR(A17633))</f>
        <v/>
      </c>
    </row>
    <row r="17634">
      <c r="A17634">
        <f>Input!A17634</f>
        <v/>
      </c>
      <c r="B17634">
        <f>IF(ISNUMBER(Input!B17634),IF(AND(Input!B17634&gt;=20,Input!B17634&lt;=700),Input!B17634,""),"")</f>
        <v/>
      </c>
      <c r="C17634">
        <f>IF(B17634="","",INT(A17634))</f>
        <v/>
      </c>
      <c r="D17634">
        <f>IF(B17634="","",HOUR(A17634))</f>
        <v/>
      </c>
    </row>
    <row r="17635">
      <c r="A17635">
        <f>Input!A17635</f>
        <v/>
      </c>
      <c r="B17635">
        <f>IF(ISNUMBER(Input!B17635),IF(AND(Input!B17635&gt;=20,Input!B17635&lt;=700),Input!B17635,""),"")</f>
        <v/>
      </c>
      <c r="C17635">
        <f>IF(B17635="","",INT(A17635))</f>
        <v/>
      </c>
      <c r="D17635">
        <f>IF(B17635="","",HOUR(A17635))</f>
        <v/>
      </c>
    </row>
    <row r="17636">
      <c r="A17636">
        <f>Input!A17636</f>
        <v/>
      </c>
      <c r="B17636">
        <f>IF(ISNUMBER(Input!B17636),IF(AND(Input!B17636&gt;=20,Input!B17636&lt;=700),Input!B17636,""),"")</f>
        <v/>
      </c>
      <c r="C17636">
        <f>IF(B17636="","",INT(A17636))</f>
        <v/>
      </c>
      <c r="D17636">
        <f>IF(B17636="","",HOUR(A17636))</f>
        <v/>
      </c>
    </row>
    <row r="17637">
      <c r="A17637">
        <f>Input!A17637</f>
        <v/>
      </c>
      <c r="B17637">
        <f>IF(ISNUMBER(Input!B17637),IF(AND(Input!B17637&gt;=20,Input!B17637&lt;=700),Input!B17637,""),"")</f>
        <v/>
      </c>
      <c r="C17637">
        <f>IF(B17637="","",INT(A17637))</f>
        <v/>
      </c>
      <c r="D17637">
        <f>IF(B17637="","",HOUR(A17637))</f>
        <v/>
      </c>
    </row>
    <row r="17638">
      <c r="A17638">
        <f>Input!A17638</f>
        <v/>
      </c>
      <c r="B17638">
        <f>IF(ISNUMBER(Input!B17638),IF(AND(Input!B17638&gt;=20,Input!B17638&lt;=700),Input!B17638,""),"")</f>
        <v/>
      </c>
      <c r="C17638">
        <f>IF(B17638="","",INT(A17638))</f>
        <v/>
      </c>
      <c r="D17638">
        <f>IF(B17638="","",HOUR(A17638))</f>
        <v/>
      </c>
    </row>
    <row r="17639">
      <c r="A17639">
        <f>Input!A17639</f>
        <v/>
      </c>
      <c r="B17639">
        <f>IF(ISNUMBER(Input!B17639),IF(AND(Input!B17639&gt;=20,Input!B17639&lt;=700),Input!B17639,""),"")</f>
        <v/>
      </c>
      <c r="C17639">
        <f>IF(B17639="","",INT(A17639))</f>
        <v/>
      </c>
      <c r="D17639">
        <f>IF(B17639="","",HOUR(A17639))</f>
        <v/>
      </c>
    </row>
    <row r="17640">
      <c r="A17640">
        <f>Input!A17640</f>
        <v/>
      </c>
      <c r="B17640">
        <f>IF(ISNUMBER(Input!B17640),IF(AND(Input!B17640&gt;=20,Input!B17640&lt;=700),Input!B17640,""),"")</f>
        <v/>
      </c>
      <c r="C17640">
        <f>IF(B17640="","",INT(A17640))</f>
        <v/>
      </c>
      <c r="D17640">
        <f>IF(B17640="","",HOUR(A17640))</f>
        <v/>
      </c>
    </row>
    <row r="17641">
      <c r="A17641">
        <f>Input!A17641</f>
        <v/>
      </c>
      <c r="B17641">
        <f>IF(ISNUMBER(Input!B17641),IF(AND(Input!B17641&gt;=20,Input!B17641&lt;=700),Input!B17641,""),"")</f>
        <v/>
      </c>
      <c r="C17641">
        <f>IF(B17641="","",INT(A17641))</f>
        <v/>
      </c>
      <c r="D17641">
        <f>IF(B17641="","",HOUR(A17641))</f>
        <v/>
      </c>
    </row>
    <row r="17642">
      <c r="A17642">
        <f>Input!A17642</f>
        <v/>
      </c>
      <c r="B17642">
        <f>IF(ISNUMBER(Input!B17642),IF(AND(Input!B17642&gt;=20,Input!B17642&lt;=700),Input!B17642,""),"")</f>
        <v/>
      </c>
      <c r="C17642">
        <f>IF(B17642="","",INT(A17642))</f>
        <v/>
      </c>
      <c r="D17642">
        <f>IF(B17642="","",HOUR(A17642))</f>
        <v/>
      </c>
    </row>
    <row r="17643">
      <c r="A17643">
        <f>Input!A17643</f>
        <v/>
      </c>
      <c r="B17643">
        <f>IF(ISNUMBER(Input!B17643),IF(AND(Input!B17643&gt;=20,Input!B17643&lt;=700),Input!B17643,""),"")</f>
        <v/>
      </c>
      <c r="C17643">
        <f>IF(B17643="","",INT(A17643))</f>
        <v/>
      </c>
      <c r="D17643">
        <f>IF(B17643="","",HOUR(A17643))</f>
        <v/>
      </c>
    </row>
    <row r="17644">
      <c r="A17644">
        <f>Input!A17644</f>
        <v/>
      </c>
      <c r="B17644">
        <f>IF(ISNUMBER(Input!B17644),IF(AND(Input!B17644&gt;=20,Input!B17644&lt;=700),Input!B17644,""),"")</f>
        <v/>
      </c>
      <c r="C17644">
        <f>IF(B17644="","",INT(A17644))</f>
        <v/>
      </c>
      <c r="D17644">
        <f>IF(B17644="","",HOUR(A17644))</f>
        <v/>
      </c>
    </row>
    <row r="17645">
      <c r="A17645">
        <f>Input!A17645</f>
        <v/>
      </c>
      <c r="B17645">
        <f>IF(ISNUMBER(Input!B17645),IF(AND(Input!B17645&gt;=20,Input!B17645&lt;=700),Input!B17645,""),"")</f>
        <v/>
      </c>
      <c r="C17645">
        <f>IF(B17645="","",INT(A17645))</f>
        <v/>
      </c>
      <c r="D17645">
        <f>IF(B17645="","",HOUR(A17645))</f>
        <v/>
      </c>
    </row>
    <row r="17646">
      <c r="A17646">
        <f>Input!A17646</f>
        <v/>
      </c>
      <c r="B17646">
        <f>IF(ISNUMBER(Input!B17646),IF(AND(Input!B17646&gt;=20,Input!B17646&lt;=700),Input!B17646,""),"")</f>
        <v/>
      </c>
      <c r="C17646">
        <f>IF(B17646="","",INT(A17646))</f>
        <v/>
      </c>
      <c r="D17646">
        <f>IF(B17646="","",HOUR(A17646))</f>
        <v/>
      </c>
    </row>
    <row r="17647">
      <c r="A17647">
        <f>Input!A17647</f>
        <v/>
      </c>
      <c r="B17647">
        <f>IF(ISNUMBER(Input!B17647),IF(AND(Input!B17647&gt;=20,Input!B17647&lt;=700),Input!B17647,""),"")</f>
        <v/>
      </c>
      <c r="C17647">
        <f>IF(B17647="","",INT(A17647))</f>
        <v/>
      </c>
      <c r="D17647">
        <f>IF(B17647="","",HOUR(A17647))</f>
        <v/>
      </c>
    </row>
    <row r="17648">
      <c r="A17648">
        <f>Input!A17648</f>
        <v/>
      </c>
      <c r="B17648">
        <f>IF(ISNUMBER(Input!B17648),IF(AND(Input!B17648&gt;=20,Input!B17648&lt;=700),Input!B17648,""),"")</f>
        <v/>
      </c>
      <c r="C17648">
        <f>IF(B17648="","",INT(A17648))</f>
        <v/>
      </c>
      <c r="D17648">
        <f>IF(B17648="","",HOUR(A17648))</f>
        <v/>
      </c>
    </row>
    <row r="17649">
      <c r="A17649">
        <f>Input!A17649</f>
        <v/>
      </c>
      <c r="B17649">
        <f>IF(ISNUMBER(Input!B17649),IF(AND(Input!B17649&gt;=20,Input!B17649&lt;=700),Input!B17649,""),"")</f>
        <v/>
      </c>
      <c r="C17649">
        <f>IF(B17649="","",INT(A17649))</f>
        <v/>
      </c>
      <c r="D17649">
        <f>IF(B17649="","",HOUR(A17649))</f>
        <v/>
      </c>
    </row>
    <row r="17650">
      <c r="A17650">
        <f>Input!A17650</f>
        <v/>
      </c>
      <c r="B17650">
        <f>IF(ISNUMBER(Input!B17650),IF(AND(Input!B17650&gt;=20,Input!B17650&lt;=700),Input!B17650,""),"")</f>
        <v/>
      </c>
      <c r="C17650">
        <f>IF(B17650="","",INT(A17650))</f>
        <v/>
      </c>
      <c r="D17650">
        <f>IF(B17650="","",HOUR(A17650))</f>
        <v/>
      </c>
    </row>
    <row r="17651">
      <c r="A17651">
        <f>Input!A17651</f>
        <v/>
      </c>
      <c r="B17651">
        <f>IF(ISNUMBER(Input!B17651),IF(AND(Input!B17651&gt;=20,Input!B17651&lt;=700),Input!B17651,""),"")</f>
        <v/>
      </c>
      <c r="C17651">
        <f>IF(B17651="","",INT(A17651))</f>
        <v/>
      </c>
      <c r="D17651">
        <f>IF(B17651="","",HOUR(A17651))</f>
        <v/>
      </c>
    </row>
    <row r="17652">
      <c r="A17652">
        <f>Input!A17652</f>
        <v/>
      </c>
      <c r="B17652">
        <f>IF(ISNUMBER(Input!B17652),IF(AND(Input!B17652&gt;=20,Input!B17652&lt;=700),Input!B17652,""),"")</f>
        <v/>
      </c>
      <c r="C17652">
        <f>IF(B17652="","",INT(A17652))</f>
        <v/>
      </c>
      <c r="D17652">
        <f>IF(B17652="","",HOUR(A17652))</f>
        <v/>
      </c>
    </row>
    <row r="17653">
      <c r="A17653">
        <f>Input!A17653</f>
        <v/>
      </c>
      <c r="B17653">
        <f>IF(ISNUMBER(Input!B17653),IF(AND(Input!B17653&gt;=20,Input!B17653&lt;=700),Input!B17653,""),"")</f>
        <v/>
      </c>
      <c r="C17653">
        <f>IF(B17653="","",INT(A17653))</f>
        <v/>
      </c>
      <c r="D17653">
        <f>IF(B17653="","",HOUR(A17653))</f>
        <v/>
      </c>
    </row>
    <row r="17654">
      <c r="A17654">
        <f>Input!A17654</f>
        <v/>
      </c>
      <c r="B17654">
        <f>IF(ISNUMBER(Input!B17654),IF(AND(Input!B17654&gt;=20,Input!B17654&lt;=700),Input!B17654,""),"")</f>
        <v/>
      </c>
      <c r="C17654">
        <f>IF(B17654="","",INT(A17654))</f>
        <v/>
      </c>
      <c r="D17654">
        <f>IF(B17654="","",HOUR(A17654))</f>
        <v/>
      </c>
    </row>
    <row r="17655">
      <c r="A17655">
        <f>Input!A17655</f>
        <v/>
      </c>
      <c r="B17655">
        <f>IF(ISNUMBER(Input!B17655),IF(AND(Input!B17655&gt;=20,Input!B17655&lt;=700),Input!B17655,""),"")</f>
        <v/>
      </c>
      <c r="C17655">
        <f>IF(B17655="","",INT(A17655))</f>
        <v/>
      </c>
      <c r="D17655">
        <f>IF(B17655="","",HOUR(A17655))</f>
        <v/>
      </c>
    </row>
    <row r="17656">
      <c r="A17656">
        <f>Input!A17656</f>
        <v/>
      </c>
      <c r="B17656">
        <f>IF(ISNUMBER(Input!B17656),IF(AND(Input!B17656&gt;=20,Input!B17656&lt;=700),Input!B17656,""),"")</f>
        <v/>
      </c>
      <c r="C17656">
        <f>IF(B17656="","",INT(A17656))</f>
        <v/>
      </c>
      <c r="D17656">
        <f>IF(B17656="","",HOUR(A17656))</f>
        <v/>
      </c>
    </row>
    <row r="17657">
      <c r="A17657">
        <f>Input!A17657</f>
        <v/>
      </c>
      <c r="B17657">
        <f>IF(ISNUMBER(Input!B17657),IF(AND(Input!B17657&gt;=20,Input!B17657&lt;=700),Input!B17657,""),"")</f>
        <v/>
      </c>
      <c r="C17657">
        <f>IF(B17657="","",INT(A17657))</f>
        <v/>
      </c>
      <c r="D17657">
        <f>IF(B17657="","",HOUR(A17657))</f>
        <v/>
      </c>
    </row>
    <row r="17658">
      <c r="A17658">
        <f>Input!A17658</f>
        <v/>
      </c>
      <c r="B17658">
        <f>IF(ISNUMBER(Input!B17658),IF(AND(Input!B17658&gt;=20,Input!B17658&lt;=700),Input!B17658,""),"")</f>
        <v/>
      </c>
      <c r="C17658">
        <f>IF(B17658="","",INT(A17658))</f>
        <v/>
      </c>
      <c r="D17658">
        <f>IF(B17658="","",HOUR(A17658))</f>
        <v/>
      </c>
    </row>
    <row r="17659">
      <c r="A17659">
        <f>Input!A17659</f>
        <v/>
      </c>
      <c r="B17659">
        <f>IF(ISNUMBER(Input!B17659),IF(AND(Input!B17659&gt;=20,Input!B17659&lt;=700),Input!B17659,""),"")</f>
        <v/>
      </c>
      <c r="C17659">
        <f>IF(B17659="","",INT(A17659))</f>
        <v/>
      </c>
      <c r="D17659">
        <f>IF(B17659="","",HOUR(A17659))</f>
        <v/>
      </c>
    </row>
    <row r="17660">
      <c r="A17660">
        <f>Input!A17660</f>
        <v/>
      </c>
      <c r="B17660">
        <f>IF(ISNUMBER(Input!B17660),IF(AND(Input!B17660&gt;=20,Input!B17660&lt;=700),Input!B17660,""),"")</f>
        <v/>
      </c>
      <c r="C17660">
        <f>IF(B17660="","",INT(A17660))</f>
        <v/>
      </c>
      <c r="D17660">
        <f>IF(B17660="","",HOUR(A17660))</f>
        <v/>
      </c>
    </row>
    <row r="17661">
      <c r="A17661">
        <f>Input!A17661</f>
        <v/>
      </c>
      <c r="B17661">
        <f>IF(ISNUMBER(Input!B17661),IF(AND(Input!B17661&gt;=20,Input!B17661&lt;=700),Input!B17661,""),"")</f>
        <v/>
      </c>
      <c r="C17661">
        <f>IF(B17661="","",INT(A17661))</f>
        <v/>
      </c>
      <c r="D17661">
        <f>IF(B17661="","",HOUR(A17661))</f>
        <v/>
      </c>
    </row>
    <row r="17662">
      <c r="A17662">
        <f>Input!A17662</f>
        <v/>
      </c>
      <c r="B17662">
        <f>IF(ISNUMBER(Input!B17662),IF(AND(Input!B17662&gt;=20,Input!B17662&lt;=700),Input!B17662,""),"")</f>
        <v/>
      </c>
      <c r="C17662">
        <f>IF(B17662="","",INT(A17662))</f>
        <v/>
      </c>
      <c r="D17662">
        <f>IF(B17662="","",HOUR(A17662))</f>
        <v/>
      </c>
    </row>
    <row r="17663">
      <c r="A17663">
        <f>Input!A17663</f>
        <v/>
      </c>
      <c r="B17663">
        <f>IF(ISNUMBER(Input!B17663),IF(AND(Input!B17663&gt;=20,Input!B17663&lt;=700),Input!B17663,""),"")</f>
        <v/>
      </c>
      <c r="C17663">
        <f>IF(B17663="","",INT(A17663))</f>
        <v/>
      </c>
      <c r="D17663">
        <f>IF(B17663="","",HOUR(A17663))</f>
        <v/>
      </c>
    </row>
    <row r="17664">
      <c r="A17664">
        <f>Input!A17664</f>
        <v/>
      </c>
      <c r="B17664">
        <f>IF(ISNUMBER(Input!B17664),IF(AND(Input!B17664&gt;=20,Input!B17664&lt;=700),Input!B17664,""),"")</f>
        <v/>
      </c>
      <c r="C17664">
        <f>IF(B17664="","",INT(A17664))</f>
        <v/>
      </c>
      <c r="D17664">
        <f>IF(B17664="","",HOUR(A17664))</f>
        <v/>
      </c>
    </row>
    <row r="17665">
      <c r="A17665">
        <f>Input!A17665</f>
        <v/>
      </c>
      <c r="B17665">
        <f>IF(ISNUMBER(Input!B17665),IF(AND(Input!B17665&gt;=20,Input!B17665&lt;=700),Input!B17665,""),"")</f>
        <v/>
      </c>
      <c r="C17665">
        <f>IF(B17665="","",INT(A17665))</f>
        <v/>
      </c>
      <c r="D17665">
        <f>IF(B17665="","",HOUR(A17665))</f>
        <v/>
      </c>
    </row>
    <row r="17666">
      <c r="A17666">
        <f>Input!A17666</f>
        <v/>
      </c>
      <c r="B17666">
        <f>IF(ISNUMBER(Input!B17666),IF(AND(Input!B17666&gt;=20,Input!B17666&lt;=700),Input!B17666,""),"")</f>
        <v/>
      </c>
      <c r="C17666">
        <f>IF(B17666="","",INT(A17666))</f>
        <v/>
      </c>
      <c r="D17666">
        <f>IF(B17666="","",HOUR(A17666))</f>
        <v/>
      </c>
    </row>
    <row r="17667">
      <c r="A17667">
        <f>Input!A17667</f>
        <v/>
      </c>
      <c r="B17667">
        <f>IF(ISNUMBER(Input!B17667),IF(AND(Input!B17667&gt;=20,Input!B17667&lt;=700),Input!B17667,""),"")</f>
        <v/>
      </c>
      <c r="C17667">
        <f>IF(B17667="","",INT(A17667))</f>
        <v/>
      </c>
      <c r="D17667">
        <f>IF(B17667="","",HOUR(A17667))</f>
        <v/>
      </c>
    </row>
    <row r="17668">
      <c r="A17668">
        <f>Input!A17668</f>
        <v/>
      </c>
      <c r="B17668">
        <f>IF(ISNUMBER(Input!B17668),IF(AND(Input!B17668&gt;=20,Input!B17668&lt;=700),Input!B17668,""),"")</f>
        <v/>
      </c>
      <c r="C17668">
        <f>IF(B17668="","",INT(A17668))</f>
        <v/>
      </c>
      <c r="D17668">
        <f>IF(B17668="","",HOUR(A17668))</f>
        <v/>
      </c>
    </row>
    <row r="17669">
      <c r="A17669">
        <f>Input!A17669</f>
        <v/>
      </c>
      <c r="B17669">
        <f>IF(ISNUMBER(Input!B17669),IF(AND(Input!B17669&gt;=20,Input!B17669&lt;=700),Input!B17669,""),"")</f>
        <v/>
      </c>
      <c r="C17669">
        <f>IF(B17669="","",INT(A17669))</f>
        <v/>
      </c>
      <c r="D17669">
        <f>IF(B17669="","",HOUR(A17669))</f>
        <v/>
      </c>
    </row>
    <row r="17670">
      <c r="A17670">
        <f>Input!A17670</f>
        <v/>
      </c>
      <c r="B17670">
        <f>IF(ISNUMBER(Input!B17670),IF(AND(Input!B17670&gt;=20,Input!B17670&lt;=700),Input!B17670,""),"")</f>
        <v/>
      </c>
      <c r="C17670">
        <f>IF(B17670="","",INT(A17670))</f>
        <v/>
      </c>
      <c r="D17670">
        <f>IF(B17670="","",HOUR(A17670))</f>
        <v/>
      </c>
    </row>
    <row r="17671">
      <c r="A17671">
        <f>Input!A17671</f>
        <v/>
      </c>
      <c r="B17671">
        <f>IF(ISNUMBER(Input!B17671),IF(AND(Input!B17671&gt;=20,Input!B17671&lt;=700),Input!B17671,""),"")</f>
        <v/>
      </c>
      <c r="C17671">
        <f>IF(B17671="","",INT(A17671))</f>
        <v/>
      </c>
      <c r="D17671">
        <f>IF(B17671="","",HOUR(A17671))</f>
        <v/>
      </c>
    </row>
    <row r="17672">
      <c r="A17672">
        <f>Input!A17672</f>
        <v/>
      </c>
      <c r="B17672">
        <f>IF(ISNUMBER(Input!B17672),IF(AND(Input!B17672&gt;=20,Input!B17672&lt;=700),Input!B17672,""),"")</f>
        <v/>
      </c>
      <c r="C17672">
        <f>IF(B17672="","",INT(A17672))</f>
        <v/>
      </c>
      <c r="D17672">
        <f>IF(B17672="","",HOUR(A17672))</f>
        <v/>
      </c>
    </row>
    <row r="17673">
      <c r="A17673">
        <f>Input!A17673</f>
        <v/>
      </c>
      <c r="B17673">
        <f>IF(ISNUMBER(Input!B17673),IF(AND(Input!B17673&gt;=20,Input!B17673&lt;=700),Input!B17673,""),"")</f>
        <v/>
      </c>
      <c r="C17673">
        <f>IF(B17673="","",INT(A17673))</f>
        <v/>
      </c>
      <c r="D17673">
        <f>IF(B17673="","",HOUR(A17673))</f>
        <v/>
      </c>
    </row>
    <row r="17674">
      <c r="A17674">
        <f>Input!A17674</f>
        <v/>
      </c>
      <c r="B17674">
        <f>IF(ISNUMBER(Input!B17674),IF(AND(Input!B17674&gt;=20,Input!B17674&lt;=700),Input!B17674,""),"")</f>
        <v/>
      </c>
      <c r="C17674">
        <f>IF(B17674="","",INT(A17674))</f>
        <v/>
      </c>
      <c r="D17674">
        <f>IF(B17674="","",HOUR(A17674))</f>
        <v/>
      </c>
    </row>
    <row r="17675">
      <c r="A17675">
        <f>Input!A17675</f>
        <v/>
      </c>
      <c r="B17675">
        <f>IF(ISNUMBER(Input!B17675),IF(AND(Input!B17675&gt;=20,Input!B17675&lt;=700),Input!B17675,""),"")</f>
        <v/>
      </c>
      <c r="C17675">
        <f>IF(B17675="","",INT(A17675))</f>
        <v/>
      </c>
      <c r="D17675">
        <f>IF(B17675="","",HOUR(A17675))</f>
        <v/>
      </c>
    </row>
    <row r="17676">
      <c r="A17676">
        <f>Input!A17676</f>
        <v/>
      </c>
      <c r="B17676">
        <f>IF(ISNUMBER(Input!B17676),IF(AND(Input!B17676&gt;=20,Input!B17676&lt;=700),Input!B17676,""),"")</f>
        <v/>
      </c>
      <c r="C17676">
        <f>IF(B17676="","",INT(A17676))</f>
        <v/>
      </c>
      <c r="D17676">
        <f>IF(B17676="","",HOUR(A17676))</f>
        <v/>
      </c>
    </row>
    <row r="17677">
      <c r="A17677">
        <f>Input!A17677</f>
        <v/>
      </c>
      <c r="B17677">
        <f>IF(ISNUMBER(Input!B17677),IF(AND(Input!B17677&gt;=20,Input!B17677&lt;=700),Input!B17677,""),"")</f>
        <v/>
      </c>
      <c r="C17677">
        <f>IF(B17677="","",INT(A17677))</f>
        <v/>
      </c>
      <c r="D17677">
        <f>IF(B17677="","",HOUR(A17677))</f>
        <v/>
      </c>
    </row>
    <row r="17678">
      <c r="A17678">
        <f>Input!A17678</f>
        <v/>
      </c>
      <c r="B17678">
        <f>IF(ISNUMBER(Input!B17678),IF(AND(Input!B17678&gt;=20,Input!B17678&lt;=700),Input!B17678,""),"")</f>
        <v/>
      </c>
      <c r="C17678">
        <f>IF(B17678="","",INT(A17678))</f>
        <v/>
      </c>
      <c r="D17678">
        <f>IF(B17678="","",HOUR(A17678))</f>
        <v/>
      </c>
    </row>
    <row r="17679">
      <c r="A17679">
        <f>Input!A17679</f>
        <v/>
      </c>
      <c r="B17679">
        <f>IF(ISNUMBER(Input!B17679),IF(AND(Input!B17679&gt;=20,Input!B17679&lt;=700),Input!B17679,""),"")</f>
        <v/>
      </c>
      <c r="C17679">
        <f>IF(B17679="","",INT(A17679))</f>
        <v/>
      </c>
      <c r="D17679">
        <f>IF(B17679="","",HOUR(A17679))</f>
        <v/>
      </c>
    </row>
    <row r="17680">
      <c r="A17680">
        <f>Input!A17680</f>
        <v/>
      </c>
      <c r="B17680">
        <f>IF(ISNUMBER(Input!B17680),IF(AND(Input!B17680&gt;=20,Input!B17680&lt;=700),Input!B17680,""),"")</f>
        <v/>
      </c>
      <c r="C17680">
        <f>IF(B17680="","",INT(A17680))</f>
        <v/>
      </c>
      <c r="D17680">
        <f>IF(B17680="","",HOUR(A17680))</f>
        <v/>
      </c>
    </row>
    <row r="17681">
      <c r="A17681">
        <f>Input!A17681</f>
        <v/>
      </c>
      <c r="B17681">
        <f>IF(ISNUMBER(Input!B17681),IF(AND(Input!B17681&gt;=20,Input!B17681&lt;=700),Input!B17681,""),"")</f>
        <v/>
      </c>
      <c r="C17681">
        <f>IF(B17681="","",INT(A17681))</f>
        <v/>
      </c>
      <c r="D17681">
        <f>IF(B17681="","",HOUR(A17681))</f>
        <v/>
      </c>
    </row>
    <row r="17682">
      <c r="A17682">
        <f>Input!A17682</f>
        <v/>
      </c>
      <c r="B17682">
        <f>IF(ISNUMBER(Input!B17682),IF(AND(Input!B17682&gt;=20,Input!B17682&lt;=700),Input!B17682,""),"")</f>
        <v/>
      </c>
      <c r="C17682">
        <f>IF(B17682="","",INT(A17682))</f>
        <v/>
      </c>
      <c r="D17682">
        <f>IF(B17682="","",HOUR(A17682))</f>
        <v/>
      </c>
    </row>
    <row r="17683">
      <c r="A17683">
        <f>Input!A17683</f>
        <v/>
      </c>
      <c r="B17683">
        <f>IF(ISNUMBER(Input!B17683),IF(AND(Input!B17683&gt;=20,Input!B17683&lt;=700),Input!B17683,""),"")</f>
        <v/>
      </c>
      <c r="C17683">
        <f>IF(B17683="","",INT(A17683))</f>
        <v/>
      </c>
      <c r="D17683">
        <f>IF(B17683="","",HOUR(A17683))</f>
        <v/>
      </c>
    </row>
    <row r="17684">
      <c r="A17684">
        <f>Input!A17684</f>
        <v/>
      </c>
      <c r="B17684">
        <f>IF(ISNUMBER(Input!B17684),IF(AND(Input!B17684&gt;=20,Input!B17684&lt;=700),Input!B17684,""),"")</f>
        <v/>
      </c>
      <c r="C17684">
        <f>IF(B17684="","",INT(A17684))</f>
        <v/>
      </c>
      <c r="D17684">
        <f>IF(B17684="","",HOUR(A17684))</f>
        <v/>
      </c>
    </row>
    <row r="17685">
      <c r="A17685">
        <f>Input!A17685</f>
        <v/>
      </c>
      <c r="B17685">
        <f>IF(ISNUMBER(Input!B17685),IF(AND(Input!B17685&gt;=20,Input!B17685&lt;=700),Input!B17685,""),"")</f>
        <v/>
      </c>
      <c r="C17685">
        <f>IF(B17685="","",INT(A17685))</f>
        <v/>
      </c>
      <c r="D17685">
        <f>IF(B17685="","",HOUR(A17685))</f>
        <v/>
      </c>
    </row>
    <row r="17686">
      <c r="A17686">
        <f>Input!A17686</f>
        <v/>
      </c>
      <c r="B17686">
        <f>IF(ISNUMBER(Input!B17686),IF(AND(Input!B17686&gt;=20,Input!B17686&lt;=700),Input!B17686,""),"")</f>
        <v/>
      </c>
      <c r="C17686">
        <f>IF(B17686="","",INT(A17686))</f>
        <v/>
      </c>
      <c r="D17686">
        <f>IF(B17686="","",HOUR(A17686))</f>
        <v/>
      </c>
    </row>
    <row r="17687">
      <c r="A17687">
        <f>Input!A17687</f>
        <v/>
      </c>
      <c r="B17687">
        <f>IF(ISNUMBER(Input!B17687),IF(AND(Input!B17687&gt;=20,Input!B17687&lt;=700),Input!B17687,""),"")</f>
        <v/>
      </c>
      <c r="C17687">
        <f>IF(B17687="","",INT(A17687))</f>
        <v/>
      </c>
      <c r="D17687">
        <f>IF(B17687="","",HOUR(A17687))</f>
        <v/>
      </c>
    </row>
    <row r="17688">
      <c r="A17688">
        <f>Input!A17688</f>
        <v/>
      </c>
      <c r="B17688">
        <f>IF(ISNUMBER(Input!B17688),IF(AND(Input!B17688&gt;=20,Input!B17688&lt;=700),Input!B17688,""),"")</f>
        <v/>
      </c>
      <c r="C17688">
        <f>IF(B17688="","",INT(A17688))</f>
        <v/>
      </c>
      <c r="D17688">
        <f>IF(B17688="","",HOUR(A17688))</f>
        <v/>
      </c>
    </row>
    <row r="17689">
      <c r="A17689">
        <f>Input!A17689</f>
        <v/>
      </c>
      <c r="B17689">
        <f>IF(ISNUMBER(Input!B17689),IF(AND(Input!B17689&gt;=20,Input!B17689&lt;=700),Input!B17689,""),"")</f>
        <v/>
      </c>
      <c r="C17689">
        <f>IF(B17689="","",INT(A17689))</f>
        <v/>
      </c>
      <c r="D17689">
        <f>IF(B17689="","",HOUR(A17689))</f>
        <v/>
      </c>
    </row>
    <row r="17690">
      <c r="A17690">
        <f>Input!A17690</f>
        <v/>
      </c>
      <c r="B17690">
        <f>IF(ISNUMBER(Input!B17690),IF(AND(Input!B17690&gt;=20,Input!B17690&lt;=700),Input!B17690,""),"")</f>
        <v/>
      </c>
      <c r="C17690">
        <f>IF(B17690="","",INT(A17690))</f>
        <v/>
      </c>
      <c r="D17690">
        <f>IF(B17690="","",HOUR(A17690))</f>
        <v/>
      </c>
    </row>
    <row r="17691">
      <c r="A17691">
        <f>Input!A17691</f>
        <v/>
      </c>
      <c r="B17691">
        <f>IF(ISNUMBER(Input!B17691),IF(AND(Input!B17691&gt;=20,Input!B17691&lt;=700),Input!B17691,""),"")</f>
        <v/>
      </c>
      <c r="C17691">
        <f>IF(B17691="","",INT(A17691))</f>
        <v/>
      </c>
      <c r="D17691">
        <f>IF(B17691="","",HOUR(A17691))</f>
        <v/>
      </c>
    </row>
    <row r="17692">
      <c r="A17692">
        <f>Input!A17692</f>
        <v/>
      </c>
      <c r="B17692">
        <f>IF(ISNUMBER(Input!B17692),IF(AND(Input!B17692&gt;=20,Input!B17692&lt;=700),Input!B17692,""),"")</f>
        <v/>
      </c>
      <c r="C17692">
        <f>IF(B17692="","",INT(A17692))</f>
        <v/>
      </c>
      <c r="D17692">
        <f>IF(B17692="","",HOUR(A17692))</f>
        <v/>
      </c>
    </row>
    <row r="17693">
      <c r="A17693">
        <f>Input!A17693</f>
        <v/>
      </c>
      <c r="B17693">
        <f>IF(ISNUMBER(Input!B17693),IF(AND(Input!B17693&gt;=20,Input!B17693&lt;=700),Input!B17693,""),"")</f>
        <v/>
      </c>
      <c r="C17693">
        <f>IF(B17693="","",INT(A17693))</f>
        <v/>
      </c>
      <c r="D17693">
        <f>IF(B17693="","",HOUR(A17693))</f>
        <v/>
      </c>
    </row>
    <row r="17694">
      <c r="A17694">
        <f>Input!A17694</f>
        <v/>
      </c>
      <c r="B17694">
        <f>IF(ISNUMBER(Input!B17694),IF(AND(Input!B17694&gt;=20,Input!B17694&lt;=700),Input!B17694,""),"")</f>
        <v/>
      </c>
      <c r="C17694">
        <f>IF(B17694="","",INT(A17694))</f>
        <v/>
      </c>
      <c r="D17694">
        <f>IF(B17694="","",HOUR(A17694))</f>
        <v/>
      </c>
    </row>
    <row r="17695">
      <c r="A17695">
        <f>Input!A17695</f>
        <v/>
      </c>
      <c r="B17695">
        <f>IF(ISNUMBER(Input!B17695),IF(AND(Input!B17695&gt;=20,Input!B17695&lt;=700),Input!B17695,""),"")</f>
        <v/>
      </c>
      <c r="C17695">
        <f>IF(B17695="","",INT(A17695))</f>
        <v/>
      </c>
      <c r="D17695">
        <f>IF(B17695="","",HOUR(A17695))</f>
        <v/>
      </c>
    </row>
    <row r="17696">
      <c r="A17696">
        <f>Input!A17696</f>
        <v/>
      </c>
      <c r="B17696">
        <f>IF(ISNUMBER(Input!B17696),IF(AND(Input!B17696&gt;=20,Input!B17696&lt;=700),Input!B17696,""),"")</f>
        <v/>
      </c>
      <c r="C17696">
        <f>IF(B17696="","",INT(A17696))</f>
        <v/>
      </c>
      <c r="D17696">
        <f>IF(B17696="","",HOUR(A17696))</f>
        <v/>
      </c>
    </row>
    <row r="17697">
      <c r="A17697">
        <f>Input!A17697</f>
        <v/>
      </c>
      <c r="B17697">
        <f>IF(ISNUMBER(Input!B17697),IF(AND(Input!B17697&gt;=20,Input!B17697&lt;=700),Input!B17697,""),"")</f>
        <v/>
      </c>
      <c r="C17697">
        <f>IF(B17697="","",INT(A17697))</f>
        <v/>
      </c>
      <c r="D17697">
        <f>IF(B17697="","",HOUR(A17697))</f>
        <v/>
      </c>
    </row>
    <row r="17698">
      <c r="A17698">
        <f>Input!A17698</f>
        <v/>
      </c>
      <c r="B17698">
        <f>IF(ISNUMBER(Input!B17698),IF(AND(Input!B17698&gt;=20,Input!B17698&lt;=700),Input!B17698,""),"")</f>
        <v/>
      </c>
      <c r="C17698">
        <f>IF(B17698="","",INT(A17698))</f>
        <v/>
      </c>
      <c r="D17698">
        <f>IF(B17698="","",HOUR(A17698))</f>
        <v/>
      </c>
    </row>
    <row r="17699">
      <c r="A17699">
        <f>Input!A17699</f>
        <v/>
      </c>
      <c r="B17699">
        <f>IF(ISNUMBER(Input!B17699),IF(AND(Input!B17699&gt;=20,Input!B17699&lt;=700),Input!B17699,""),"")</f>
        <v/>
      </c>
      <c r="C17699">
        <f>IF(B17699="","",INT(A17699))</f>
        <v/>
      </c>
      <c r="D17699">
        <f>IF(B17699="","",HOUR(A17699))</f>
        <v/>
      </c>
    </row>
    <row r="17700">
      <c r="A17700">
        <f>Input!A17700</f>
        <v/>
      </c>
      <c r="B17700">
        <f>IF(ISNUMBER(Input!B17700),IF(AND(Input!B17700&gt;=20,Input!B17700&lt;=700),Input!B17700,""),"")</f>
        <v/>
      </c>
      <c r="C17700">
        <f>IF(B17700="","",INT(A17700))</f>
        <v/>
      </c>
      <c r="D17700">
        <f>IF(B17700="","",HOUR(A17700))</f>
        <v/>
      </c>
    </row>
    <row r="17701">
      <c r="A17701">
        <f>Input!A17701</f>
        <v/>
      </c>
      <c r="B17701">
        <f>IF(ISNUMBER(Input!B17701),IF(AND(Input!B17701&gt;=20,Input!B17701&lt;=700),Input!B17701,""),"")</f>
        <v/>
      </c>
      <c r="C17701">
        <f>IF(B17701="","",INT(A17701))</f>
        <v/>
      </c>
      <c r="D17701">
        <f>IF(B17701="","",HOUR(A17701))</f>
        <v/>
      </c>
    </row>
    <row r="17702">
      <c r="A17702">
        <f>Input!A17702</f>
        <v/>
      </c>
      <c r="B17702">
        <f>IF(ISNUMBER(Input!B17702),IF(AND(Input!B17702&gt;=20,Input!B17702&lt;=700),Input!B17702,""),"")</f>
        <v/>
      </c>
      <c r="C17702">
        <f>IF(B17702="","",INT(A17702))</f>
        <v/>
      </c>
      <c r="D17702">
        <f>IF(B17702="","",HOUR(A17702))</f>
        <v/>
      </c>
    </row>
    <row r="17703">
      <c r="A17703">
        <f>Input!A17703</f>
        <v/>
      </c>
      <c r="B17703">
        <f>IF(ISNUMBER(Input!B17703),IF(AND(Input!B17703&gt;=20,Input!B17703&lt;=700),Input!B17703,""),"")</f>
        <v/>
      </c>
      <c r="C17703">
        <f>IF(B17703="","",INT(A17703))</f>
        <v/>
      </c>
      <c r="D17703">
        <f>IF(B17703="","",HOUR(A17703))</f>
        <v/>
      </c>
    </row>
    <row r="17704">
      <c r="A17704">
        <f>Input!A17704</f>
        <v/>
      </c>
      <c r="B17704">
        <f>IF(ISNUMBER(Input!B17704),IF(AND(Input!B17704&gt;=20,Input!B17704&lt;=700),Input!B17704,""),"")</f>
        <v/>
      </c>
      <c r="C17704">
        <f>IF(B17704="","",INT(A17704))</f>
        <v/>
      </c>
      <c r="D17704">
        <f>IF(B17704="","",HOUR(A17704))</f>
        <v/>
      </c>
    </row>
    <row r="17705">
      <c r="A17705">
        <f>Input!A17705</f>
        <v/>
      </c>
      <c r="B17705">
        <f>IF(ISNUMBER(Input!B17705),IF(AND(Input!B17705&gt;=20,Input!B17705&lt;=700),Input!B17705,""),"")</f>
        <v/>
      </c>
      <c r="C17705">
        <f>IF(B17705="","",INT(A17705))</f>
        <v/>
      </c>
      <c r="D17705">
        <f>IF(B17705="","",HOUR(A17705))</f>
        <v/>
      </c>
    </row>
    <row r="17706">
      <c r="A17706">
        <f>Input!A17706</f>
        <v/>
      </c>
      <c r="B17706">
        <f>IF(ISNUMBER(Input!B17706),IF(AND(Input!B17706&gt;=20,Input!B17706&lt;=700),Input!B17706,""),"")</f>
        <v/>
      </c>
      <c r="C17706">
        <f>IF(B17706="","",INT(A17706))</f>
        <v/>
      </c>
      <c r="D17706">
        <f>IF(B17706="","",HOUR(A17706))</f>
        <v/>
      </c>
    </row>
    <row r="17707">
      <c r="A17707">
        <f>Input!A17707</f>
        <v/>
      </c>
      <c r="B17707">
        <f>IF(ISNUMBER(Input!B17707),IF(AND(Input!B17707&gt;=20,Input!B17707&lt;=700),Input!B17707,""),"")</f>
        <v/>
      </c>
      <c r="C17707">
        <f>IF(B17707="","",INT(A17707))</f>
        <v/>
      </c>
      <c r="D17707">
        <f>IF(B17707="","",HOUR(A17707))</f>
        <v/>
      </c>
    </row>
    <row r="17708">
      <c r="A17708">
        <f>Input!A17708</f>
        <v/>
      </c>
      <c r="B17708">
        <f>IF(ISNUMBER(Input!B17708),IF(AND(Input!B17708&gt;=20,Input!B17708&lt;=700),Input!B17708,""),"")</f>
        <v/>
      </c>
      <c r="C17708">
        <f>IF(B17708="","",INT(A17708))</f>
        <v/>
      </c>
      <c r="D17708">
        <f>IF(B17708="","",HOUR(A17708))</f>
        <v/>
      </c>
    </row>
    <row r="17709">
      <c r="A17709">
        <f>Input!A17709</f>
        <v/>
      </c>
      <c r="B17709">
        <f>IF(ISNUMBER(Input!B17709),IF(AND(Input!B17709&gt;=20,Input!B17709&lt;=700),Input!B17709,""),"")</f>
        <v/>
      </c>
      <c r="C17709">
        <f>IF(B17709="","",INT(A17709))</f>
        <v/>
      </c>
      <c r="D17709">
        <f>IF(B17709="","",HOUR(A17709))</f>
        <v/>
      </c>
    </row>
    <row r="17710">
      <c r="A17710">
        <f>Input!A17710</f>
        <v/>
      </c>
      <c r="B17710">
        <f>IF(ISNUMBER(Input!B17710),IF(AND(Input!B17710&gt;=20,Input!B17710&lt;=700),Input!B17710,""),"")</f>
        <v/>
      </c>
      <c r="C17710">
        <f>IF(B17710="","",INT(A17710))</f>
        <v/>
      </c>
      <c r="D17710">
        <f>IF(B17710="","",HOUR(A17710))</f>
        <v/>
      </c>
    </row>
    <row r="17711">
      <c r="A17711">
        <f>Input!A17711</f>
        <v/>
      </c>
      <c r="B17711">
        <f>IF(ISNUMBER(Input!B17711),IF(AND(Input!B17711&gt;=20,Input!B17711&lt;=700),Input!B17711,""),"")</f>
        <v/>
      </c>
      <c r="C17711">
        <f>IF(B17711="","",INT(A17711))</f>
        <v/>
      </c>
      <c r="D17711">
        <f>IF(B17711="","",HOUR(A17711))</f>
        <v/>
      </c>
    </row>
    <row r="17712">
      <c r="A17712">
        <f>Input!A17712</f>
        <v/>
      </c>
      <c r="B17712">
        <f>IF(ISNUMBER(Input!B17712),IF(AND(Input!B17712&gt;=20,Input!B17712&lt;=700),Input!B17712,""),"")</f>
        <v/>
      </c>
      <c r="C17712">
        <f>IF(B17712="","",INT(A17712))</f>
        <v/>
      </c>
      <c r="D17712">
        <f>IF(B17712="","",HOUR(A17712))</f>
        <v/>
      </c>
    </row>
    <row r="17713">
      <c r="A17713">
        <f>Input!A17713</f>
        <v/>
      </c>
      <c r="B17713">
        <f>IF(ISNUMBER(Input!B17713),IF(AND(Input!B17713&gt;=20,Input!B17713&lt;=700),Input!B17713,""),"")</f>
        <v/>
      </c>
      <c r="C17713">
        <f>IF(B17713="","",INT(A17713))</f>
        <v/>
      </c>
      <c r="D17713">
        <f>IF(B17713="","",HOUR(A17713))</f>
        <v/>
      </c>
    </row>
    <row r="17714">
      <c r="A17714">
        <f>Input!A17714</f>
        <v/>
      </c>
      <c r="B17714">
        <f>IF(ISNUMBER(Input!B17714),IF(AND(Input!B17714&gt;=20,Input!B17714&lt;=700),Input!B17714,""),"")</f>
        <v/>
      </c>
      <c r="C17714">
        <f>IF(B17714="","",INT(A17714))</f>
        <v/>
      </c>
      <c r="D17714">
        <f>IF(B17714="","",HOUR(A17714))</f>
        <v/>
      </c>
    </row>
    <row r="17715">
      <c r="A17715">
        <f>Input!A17715</f>
        <v/>
      </c>
      <c r="B17715">
        <f>IF(ISNUMBER(Input!B17715),IF(AND(Input!B17715&gt;=20,Input!B17715&lt;=700),Input!B17715,""),"")</f>
        <v/>
      </c>
      <c r="C17715">
        <f>IF(B17715="","",INT(A17715))</f>
        <v/>
      </c>
      <c r="D17715">
        <f>IF(B17715="","",HOUR(A17715))</f>
        <v/>
      </c>
    </row>
    <row r="17716">
      <c r="A17716">
        <f>Input!A17716</f>
        <v/>
      </c>
      <c r="B17716">
        <f>IF(ISNUMBER(Input!B17716),IF(AND(Input!B17716&gt;=20,Input!B17716&lt;=700),Input!B17716,""),"")</f>
        <v/>
      </c>
      <c r="C17716">
        <f>IF(B17716="","",INT(A17716))</f>
        <v/>
      </c>
      <c r="D17716">
        <f>IF(B17716="","",HOUR(A17716))</f>
        <v/>
      </c>
    </row>
    <row r="17717">
      <c r="A17717">
        <f>Input!A17717</f>
        <v/>
      </c>
      <c r="B17717">
        <f>IF(ISNUMBER(Input!B17717),IF(AND(Input!B17717&gt;=20,Input!B17717&lt;=700),Input!B17717,""),"")</f>
        <v/>
      </c>
      <c r="C17717">
        <f>IF(B17717="","",INT(A17717))</f>
        <v/>
      </c>
      <c r="D17717">
        <f>IF(B17717="","",HOUR(A17717))</f>
        <v/>
      </c>
    </row>
    <row r="17718">
      <c r="A17718">
        <f>Input!A17718</f>
        <v/>
      </c>
      <c r="B17718">
        <f>IF(ISNUMBER(Input!B17718),IF(AND(Input!B17718&gt;=20,Input!B17718&lt;=700),Input!B17718,""),"")</f>
        <v/>
      </c>
      <c r="C17718">
        <f>IF(B17718="","",INT(A17718))</f>
        <v/>
      </c>
      <c r="D17718">
        <f>IF(B17718="","",HOUR(A17718))</f>
        <v/>
      </c>
    </row>
    <row r="17719">
      <c r="A17719">
        <f>Input!A17719</f>
        <v/>
      </c>
      <c r="B17719">
        <f>IF(ISNUMBER(Input!B17719),IF(AND(Input!B17719&gt;=20,Input!B17719&lt;=700),Input!B17719,""),"")</f>
        <v/>
      </c>
      <c r="C17719">
        <f>IF(B17719="","",INT(A17719))</f>
        <v/>
      </c>
      <c r="D17719">
        <f>IF(B17719="","",HOUR(A17719))</f>
        <v/>
      </c>
    </row>
    <row r="17720">
      <c r="A17720">
        <f>Input!A17720</f>
        <v/>
      </c>
      <c r="B17720">
        <f>IF(ISNUMBER(Input!B17720),IF(AND(Input!B17720&gt;=20,Input!B17720&lt;=700),Input!B17720,""),"")</f>
        <v/>
      </c>
      <c r="C17720">
        <f>IF(B17720="","",INT(A17720))</f>
        <v/>
      </c>
      <c r="D17720">
        <f>IF(B17720="","",HOUR(A17720))</f>
        <v/>
      </c>
    </row>
    <row r="17721">
      <c r="A17721">
        <f>Input!A17721</f>
        <v/>
      </c>
      <c r="B17721">
        <f>IF(ISNUMBER(Input!B17721),IF(AND(Input!B17721&gt;=20,Input!B17721&lt;=700),Input!B17721,""),"")</f>
        <v/>
      </c>
      <c r="C17721">
        <f>IF(B17721="","",INT(A17721))</f>
        <v/>
      </c>
      <c r="D17721">
        <f>IF(B17721="","",HOUR(A17721))</f>
        <v/>
      </c>
    </row>
    <row r="17722">
      <c r="A17722">
        <f>Input!A17722</f>
        <v/>
      </c>
      <c r="B17722">
        <f>IF(ISNUMBER(Input!B17722),IF(AND(Input!B17722&gt;=20,Input!B17722&lt;=700),Input!B17722,""),"")</f>
        <v/>
      </c>
      <c r="C17722">
        <f>IF(B17722="","",INT(A17722))</f>
        <v/>
      </c>
      <c r="D17722">
        <f>IF(B17722="","",HOUR(A17722))</f>
        <v/>
      </c>
    </row>
    <row r="17723">
      <c r="A17723">
        <f>Input!A17723</f>
        <v/>
      </c>
      <c r="B17723">
        <f>IF(ISNUMBER(Input!B17723),IF(AND(Input!B17723&gt;=20,Input!B17723&lt;=700),Input!B17723,""),"")</f>
        <v/>
      </c>
      <c r="C17723">
        <f>IF(B17723="","",INT(A17723))</f>
        <v/>
      </c>
      <c r="D17723">
        <f>IF(B17723="","",HOUR(A17723))</f>
        <v/>
      </c>
    </row>
    <row r="17724">
      <c r="A17724">
        <f>Input!A17724</f>
        <v/>
      </c>
      <c r="B17724">
        <f>IF(ISNUMBER(Input!B17724),IF(AND(Input!B17724&gt;=20,Input!B17724&lt;=700),Input!B17724,""),"")</f>
        <v/>
      </c>
      <c r="C17724">
        <f>IF(B17724="","",INT(A17724))</f>
        <v/>
      </c>
      <c r="D17724">
        <f>IF(B17724="","",HOUR(A17724))</f>
        <v/>
      </c>
    </row>
    <row r="17725">
      <c r="A17725">
        <f>Input!A17725</f>
        <v/>
      </c>
      <c r="B17725">
        <f>IF(ISNUMBER(Input!B17725),IF(AND(Input!B17725&gt;=20,Input!B17725&lt;=700),Input!B17725,""),"")</f>
        <v/>
      </c>
      <c r="C17725">
        <f>IF(B17725="","",INT(A17725))</f>
        <v/>
      </c>
      <c r="D17725">
        <f>IF(B17725="","",HOUR(A17725))</f>
        <v/>
      </c>
    </row>
    <row r="17726">
      <c r="A17726">
        <f>Input!A17726</f>
        <v/>
      </c>
      <c r="B17726">
        <f>IF(ISNUMBER(Input!B17726),IF(AND(Input!B17726&gt;=20,Input!B17726&lt;=700),Input!B17726,""),"")</f>
        <v/>
      </c>
      <c r="C17726">
        <f>IF(B17726="","",INT(A17726))</f>
        <v/>
      </c>
      <c r="D17726">
        <f>IF(B17726="","",HOUR(A17726))</f>
        <v/>
      </c>
    </row>
    <row r="17727">
      <c r="A17727">
        <f>Input!A17727</f>
        <v/>
      </c>
      <c r="B17727">
        <f>IF(ISNUMBER(Input!B17727),IF(AND(Input!B17727&gt;=20,Input!B17727&lt;=700),Input!B17727,""),"")</f>
        <v/>
      </c>
      <c r="C17727">
        <f>IF(B17727="","",INT(A17727))</f>
        <v/>
      </c>
      <c r="D17727">
        <f>IF(B17727="","",HOUR(A17727))</f>
        <v/>
      </c>
    </row>
    <row r="17728">
      <c r="A17728">
        <f>Input!A17728</f>
        <v/>
      </c>
      <c r="B17728">
        <f>IF(ISNUMBER(Input!B17728),IF(AND(Input!B17728&gt;=20,Input!B17728&lt;=700),Input!B17728,""),"")</f>
        <v/>
      </c>
      <c r="C17728">
        <f>IF(B17728="","",INT(A17728))</f>
        <v/>
      </c>
      <c r="D17728">
        <f>IF(B17728="","",HOUR(A17728))</f>
        <v/>
      </c>
    </row>
    <row r="17729">
      <c r="A17729">
        <f>Input!A17729</f>
        <v/>
      </c>
      <c r="B17729">
        <f>IF(ISNUMBER(Input!B17729),IF(AND(Input!B17729&gt;=20,Input!B17729&lt;=700),Input!B17729,""),"")</f>
        <v/>
      </c>
      <c r="C17729">
        <f>IF(B17729="","",INT(A17729))</f>
        <v/>
      </c>
      <c r="D17729">
        <f>IF(B17729="","",HOUR(A17729))</f>
        <v/>
      </c>
    </row>
    <row r="17730">
      <c r="A17730">
        <f>Input!A17730</f>
        <v/>
      </c>
      <c r="B17730">
        <f>IF(ISNUMBER(Input!B17730),IF(AND(Input!B17730&gt;=20,Input!B17730&lt;=700),Input!B17730,""),"")</f>
        <v/>
      </c>
      <c r="C17730">
        <f>IF(B17730="","",INT(A17730))</f>
        <v/>
      </c>
      <c r="D17730">
        <f>IF(B17730="","",HOUR(A17730))</f>
        <v/>
      </c>
    </row>
    <row r="17731">
      <c r="A17731">
        <f>Input!A17731</f>
        <v/>
      </c>
      <c r="B17731">
        <f>IF(ISNUMBER(Input!B17731),IF(AND(Input!B17731&gt;=20,Input!B17731&lt;=700),Input!B17731,""),"")</f>
        <v/>
      </c>
      <c r="C17731">
        <f>IF(B17731="","",INT(A17731))</f>
        <v/>
      </c>
      <c r="D17731">
        <f>IF(B17731="","",HOUR(A17731))</f>
        <v/>
      </c>
    </row>
    <row r="17732">
      <c r="A17732">
        <f>Input!A17732</f>
        <v/>
      </c>
      <c r="B17732">
        <f>IF(ISNUMBER(Input!B17732),IF(AND(Input!B17732&gt;=20,Input!B17732&lt;=700),Input!B17732,""),"")</f>
        <v/>
      </c>
      <c r="C17732">
        <f>IF(B17732="","",INT(A17732))</f>
        <v/>
      </c>
      <c r="D17732">
        <f>IF(B17732="","",HOUR(A17732))</f>
        <v/>
      </c>
    </row>
    <row r="17733">
      <c r="A17733">
        <f>Input!A17733</f>
        <v/>
      </c>
      <c r="B17733">
        <f>IF(ISNUMBER(Input!B17733),IF(AND(Input!B17733&gt;=20,Input!B17733&lt;=700),Input!B17733,""),"")</f>
        <v/>
      </c>
      <c r="C17733">
        <f>IF(B17733="","",INT(A17733))</f>
        <v/>
      </c>
      <c r="D17733">
        <f>IF(B17733="","",HOUR(A17733))</f>
        <v/>
      </c>
    </row>
    <row r="17734">
      <c r="A17734">
        <f>Input!A17734</f>
        <v/>
      </c>
      <c r="B17734">
        <f>IF(ISNUMBER(Input!B17734),IF(AND(Input!B17734&gt;=20,Input!B17734&lt;=700),Input!B17734,""),"")</f>
        <v/>
      </c>
      <c r="C17734">
        <f>IF(B17734="","",INT(A17734))</f>
        <v/>
      </c>
      <c r="D17734">
        <f>IF(B17734="","",HOUR(A17734))</f>
        <v/>
      </c>
    </row>
    <row r="17735">
      <c r="A17735">
        <f>Input!A17735</f>
        <v/>
      </c>
      <c r="B17735">
        <f>IF(ISNUMBER(Input!B17735),IF(AND(Input!B17735&gt;=20,Input!B17735&lt;=700),Input!B17735,""),"")</f>
        <v/>
      </c>
      <c r="C17735">
        <f>IF(B17735="","",INT(A17735))</f>
        <v/>
      </c>
      <c r="D17735">
        <f>IF(B17735="","",HOUR(A17735))</f>
        <v/>
      </c>
    </row>
    <row r="17736">
      <c r="A17736">
        <f>Input!A17736</f>
        <v/>
      </c>
      <c r="B17736">
        <f>IF(ISNUMBER(Input!B17736),IF(AND(Input!B17736&gt;=20,Input!B17736&lt;=700),Input!B17736,""),"")</f>
        <v/>
      </c>
      <c r="C17736">
        <f>IF(B17736="","",INT(A17736))</f>
        <v/>
      </c>
      <c r="D17736">
        <f>IF(B17736="","",HOUR(A17736))</f>
        <v/>
      </c>
    </row>
    <row r="17737">
      <c r="A17737">
        <f>Input!A17737</f>
        <v/>
      </c>
      <c r="B17737">
        <f>IF(ISNUMBER(Input!B17737),IF(AND(Input!B17737&gt;=20,Input!B17737&lt;=700),Input!B17737,""),"")</f>
        <v/>
      </c>
      <c r="C17737">
        <f>IF(B17737="","",INT(A17737))</f>
        <v/>
      </c>
      <c r="D17737">
        <f>IF(B17737="","",HOUR(A17737))</f>
        <v/>
      </c>
    </row>
    <row r="17738">
      <c r="A17738">
        <f>Input!A17738</f>
        <v/>
      </c>
      <c r="B17738">
        <f>IF(ISNUMBER(Input!B17738),IF(AND(Input!B17738&gt;=20,Input!B17738&lt;=700),Input!B17738,""),"")</f>
        <v/>
      </c>
      <c r="C17738">
        <f>IF(B17738="","",INT(A17738))</f>
        <v/>
      </c>
      <c r="D17738">
        <f>IF(B17738="","",HOUR(A17738))</f>
        <v/>
      </c>
    </row>
    <row r="17739">
      <c r="A17739">
        <f>Input!A17739</f>
        <v/>
      </c>
      <c r="B17739">
        <f>IF(ISNUMBER(Input!B17739),IF(AND(Input!B17739&gt;=20,Input!B17739&lt;=700),Input!B17739,""),"")</f>
        <v/>
      </c>
      <c r="C17739">
        <f>IF(B17739="","",INT(A17739))</f>
        <v/>
      </c>
      <c r="D17739">
        <f>IF(B17739="","",HOUR(A17739))</f>
        <v/>
      </c>
    </row>
    <row r="17740">
      <c r="A17740">
        <f>Input!A17740</f>
        <v/>
      </c>
      <c r="B17740">
        <f>IF(ISNUMBER(Input!B17740),IF(AND(Input!B17740&gt;=20,Input!B17740&lt;=700),Input!B17740,""),"")</f>
        <v/>
      </c>
      <c r="C17740">
        <f>IF(B17740="","",INT(A17740))</f>
        <v/>
      </c>
      <c r="D17740">
        <f>IF(B17740="","",HOUR(A17740))</f>
        <v/>
      </c>
    </row>
    <row r="17741">
      <c r="A17741">
        <f>Input!A17741</f>
        <v/>
      </c>
      <c r="B17741">
        <f>IF(ISNUMBER(Input!B17741),IF(AND(Input!B17741&gt;=20,Input!B17741&lt;=700),Input!B17741,""),"")</f>
        <v/>
      </c>
      <c r="C17741">
        <f>IF(B17741="","",INT(A17741))</f>
        <v/>
      </c>
      <c r="D17741">
        <f>IF(B17741="","",HOUR(A17741))</f>
        <v/>
      </c>
    </row>
    <row r="17742">
      <c r="A17742">
        <f>Input!A17742</f>
        <v/>
      </c>
      <c r="B17742">
        <f>IF(ISNUMBER(Input!B17742),IF(AND(Input!B17742&gt;=20,Input!B17742&lt;=700),Input!B17742,""),"")</f>
        <v/>
      </c>
      <c r="C17742">
        <f>IF(B17742="","",INT(A17742))</f>
        <v/>
      </c>
      <c r="D17742">
        <f>IF(B17742="","",HOUR(A17742))</f>
        <v/>
      </c>
    </row>
    <row r="17743">
      <c r="A17743">
        <f>Input!A17743</f>
        <v/>
      </c>
      <c r="B17743">
        <f>IF(ISNUMBER(Input!B17743),IF(AND(Input!B17743&gt;=20,Input!B17743&lt;=700),Input!B17743,""),"")</f>
        <v/>
      </c>
      <c r="C17743">
        <f>IF(B17743="","",INT(A17743))</f>
        <v/>
      </c>
      <c r="D17743">
        <f>IF(B17743="","",HOUR(A17743))</f>
        <v/>
      </c>
    </row>
    <row r="17744">
      <c r="A17744">
        <f>Input!A17744</f>
        <v/>
      </c>
      <c r="B17744">
        <f>IF(ISNUMBER(Input!B17744),IF(AND(Input!B17744&gt;=20,Input!B17744&lt;=700),Input!B17744,""),"")</f>
        <v/>
      </c>
      <c r="C17744">
        <f>IF(B17744="","",INT(A17744))</f>
        <v/>
      </c>
      <c r="D17744">
        <f>IF(B17744="","",HOUR(A17744))</f>
        <v/>
      </c>
    </row>
    <row r="17745">
      <c r="A17745">
        <f>Input!A17745</f>
        <v/>
      </c>
      <c r="B17745">
        <f>IF(ISNUMBER(Input!B17745),IF(AND(Input!B17745&gt;=20,Input!B17745&lt;=700),Input!B17745,""),"")</f>
        <v/>
      </c>
      <c r="C17745">
        <f>IF(B17745="","",INT(A17745))</f>
        <v/>
      </c>
      <c r="D17745">
        <f>IF(B17745="","",HOUR(A17745))</f>
        <v/>
      </c>
    </row>
    <row r="17746">
      <c r="A17746">
        <f>Input!A17746</f>
        <v/>
      </c>
      <c r="B17746">
        <f>IF(ISNUMBER(Input!B17746),IF(AND(Input!B17746&gt;=20,Input!B17746&lt;=700),Input!B17746,""),"")</f>
        <v/>
      </c>
      <c r="C17746">
        <f>IF(B17746="","",INT(A17746))</f>
        <v/>
      </c>
      <c r="D17746">
        <f>IF(B17746="","",HOUR(A17746))</f>
        <v/>
      </c>
    </row>
    <row r="17747">
      <c r="A17747">
        <f>Input!A17747</f>
        <v/>
      </c>
      <c r="B17747">
        <f>IF(ISNUMBER(Input!B17747),IF(AND(Input!B17747&gt;=20,Input!B17747&lt;=700),Input!B17747,""),"")</f>
        <v/>
      </c>
      <c r="C17747">
        <f>IF(B17747="","",INT(A17747))</f>
        <v/>
      </c>
      <c r="D17747">
        <f>IF(B17747="","",HOUR(A17747))</f>
        <v/>
      </c>
    </row>
    <row r="17748">
      <c r="A17748">
        <f>Input!A17748</f>
        <v/>
      </c>
      <c r="B17748">
        <f>IF(ISNUMBER(Input!B17748),IF(AND(Input!B17748&gt;=20,Input!B17748&lt;=700),Input!B17748,""),"")</f>
        <v/>
      </c>
      <c r="C17748">
        <f>IF(B17748="","",INT(A17748))</f>
        <v/>
      </c>
      <c r="D17748">
        <f>IF(B17748="","",HOUR(A17748))</f>
        <v/>
      </c>
    </row>
    <row r="17749">
      <c r="A17749">
        <f>Input!A17749</f>
        <v/>
      </c>
      <c r="B17749">
        <f>IF(ISNUMBER(Input!B17749),IF(AND(Input!B17749&gt;=20,Input!B17749&lt;=700),Input!B17749,""),"")</f>
        <v/>
      </c>
      <c r="C17749">
        <f>IF(B17749="","",INT(A17749))</f>
        <v/>
      </c>
      <c r="D17749">
        <f>IF(B17749="","",HOUR(A17749))</f>
        <v/>
      </c>
    </row>
    <row r="17750">
      <c r="A17750">
        <f>Input!A17750</f>
        <v/>
      </c>
      <c r="B17750">
        <f>IF(ISNUMBER(Input!B17750),IF(AND(Input!B17750&gt;=20,Input!B17750&lt;=700),Input!B17750,""),"")</f>
        <v/>
      </c>
      <c r="C17750">
        <f>IF(B17750="","",INT(A17750))</f>
        <v/>
      </c>
      <c r="D17750">
        <f>IF(B17750="","",HOUR(A17750))</f>
        <v/>
      </c>
    </row>
    <row r="17751">
      <c r="A17751">
        <f>Input!A17751</f>
        <v/>
      </c>
      <c r="B17751">
        <f>IF(ISNUMBER(Input!B17751),IF(AND(Input!B17751&gt;=20,Input!B17751&lt;=700),Input!B17751,""),"")</f>
        <v/>
      </c>
      <c r="C17751">
        <f>IF(B17751="","",INT(A17751))</f>
        <v/>
      </c>
      <c r="D17751">
        <f>IF(B17751="","",HOUR(A17751))</f>
        <v/>
      </c>
    </row>
    <row r="17752">
      <c r="A17752">
        <f>Input!A17752</f>
        <v/>
      </c>
      <c r="B17752">
        <f>IF(ISNUMBER(Input!B17752),IF(AND(Input!B17752&gt;=20,Input!B17752&lt;=700),Input!B17752,""),"")</f>
        <v/>
      </c>
      <c r="C17752">
        <f>IF(B17752="","",INT(A17752))</f>
        <v/>
      </c>
      <c r="D17752">
        <f>IF(B17752="","",HOUR(A17752))</f>
        <v/>
      </c>
    </row>
    <row r="17753">
      <c r="A17753">
        <f>Input!A17753</f>
        <v/>
      </c>
      <c r="B17753">
        <f>IF(ISNUMBER(Input!B17753),IF(AND(Input!B17753&gt;=20,Input!B17753&lt;=700),Input!B17753,""),"")</f>
        <v/>
      </c>
      <c r="C17753">
        <f>IF(B17753="","",INT(A17753))</f>
        <v/>
      </c>
      <c r="D17753">
        <f>IF(B17753="","",HOUR(A17753))</f>
        <v/>
      </c>
    </row>
    <row r="17754">
      <c r="A17754">
        <f>Input!A17754</f>
        <v/>
      </c>
      <c r="B17754">
        <f>IF(ISNUMBER(Input!B17754),IF(AND(Input!B17754&gt;=20,Input!B17754&lt;=700),Input!B17754,""),"")</f>
        <v/>
      </c>
      <c r="C17754">
        <f>IF(B17754="","",INT(A17754))</f>
        <v/>
      </c>
      <c r="D17754">
        <f>IF(B17754="","",HOUR(A17754))</f>
        <v/>
      </c>
    </row>
    <row r="17755">
      <c r="A17755">
        <f>Input!A17755</f>
        <v/>
      </c>
      <c r="B17755">
        <f>IF(ISNUMBER(Input!B17755),IF(AND(Input!B17755&gt;=20,Input!B17755&lt;=700),Input!B17755,""),"")</f>
        <v/>
      </c>
      <c r="C17755">
        <f>IF(B17755="","",INT(A17755))</f>
        <v/>
      </c>
      <c r="D17755">
        <f>IF(B17755="","",HOUR(A17755))</f>
        <v/>
      </c>
    </row>
    <row r="17756">
      <c r="A17756">
        <f>Input!A17756</f>
        <v/>
      </c>
      <c r="B17756">
        <f>IF(ISNUMBER(Input!B17756),IF(AND(Input!B17756&gt;=20,Input!B17756&lt;=700),Input!B17756,""),"")</f>
        <v/>
      </c>
      <c r="C17756">
        <f>IF(B17756="","",INT(A17756))</f>
        <v/>
      </c>
      <c r="D17756">
        <f>IF(B17756="","",HOUR(A17756))</f>
        <v/>
      </c>
    </row>
    <row r="17757">
      <c r="A17757">
        <f>Input!A17757</f>
        <v/>
      </c>
      <c r="B17757">
        <f>IF(ISNUMBER(Input!B17757),IF(AND(Input!B17757&gt;=20,Input!B17757&lt;=700),Input!B17757,""),"")</f>
        <v/>
      </c>
      <c r="C17757">
        <f>IF(B17757="","",INT(A17757))</f>
        <v/>
      </c>
      <c r="D17757">
        <f>IF(B17757="","",HOUR(A17757))</f>
        <v/>
      </c>
    </row>
    <row r="17758">
      <c r="A17758">
        <f>Input!A17758</f>
        <v/>
      </c>
      <c r="B17758">
        <f>IF(ISNUMBER(Input!B17758),IF(AND(Input!B17758&gt;=20,Input!B17758&lt;=700),Input!B17758,""),"")</f>
        <v/>
      </c>
      <c r="C17758">
        <f>IF(B17758="","",INT(A17758))</f>
        <v/>
      </c>
      <c r="D17758">
        <f>IF(B17758="","",HOUR(A17758))</f>
        <v/>
      </c>
    </row>
    <row r="17759">
      <c r="A17759">
        <f>Input!A17759</f>
        <v/>
      </c>
      <c r="B17759">
        <f>IF(ISNUMBER(Input!B17759),IF(AND(Input!B17759&gt;=20,Input!B17759&lt;=700),Input!B17759,""),"")</f>
        <v/>
      </c>
      <c r="C17759">
        <f>IF(B17759="","",INT(A17759))</f>
        <v/>
      </c>
      <c r="D17759">
        <f>IF(B17759="","",HOUR(A17759))</f>
        <v/>
      </c>
    </row>
    <row r="17760">
      <c r="A17760">
        <f>Input!A17760</f>
        <v/>
      </c>
      <c r="B17760">
        <f>IF(ISNUMBER(Input!B17760),IF(AND(Input!B17760&gt;=20,Input!B17760&lt;=700),Input!B17760,""),"")</f>
        <v/>
      </c>
      <c r="C17760">
        <f>IF(B17760="","",INT(A17760))</f>
        <v/>
      </c>
      <c r="D17760">
        <f>IF(B17760="","",HOUR(A17760))</f>
        <v/>
      </c>
    </row>
    <row r="17761">
      <c r="A17761">
        <f>Input!A17761</f>
        <v/>
      </c>
      <c r="B17761">
        <f>IF(ISNUMBER(Input!B17761),IF(AND(Input!B17761&gt;=20,Input!B17761&lt;=700),Input!B17761,""),"")</f>
        <v/>
      </c>
      <c r="C17761">
        <f>IF(B17761="","",INT(A17761))</f>
        <v/>
      </c>
      <c r="D17761">
        <f>IF(B17761="","",HOUR(A17761))</f>
        <v/>
      </c>
    </row>
    <row r="17762">
      <c r="A17762">
        <f>Input!A17762</f>
        <v/>
      </c>
      <c r="B17762">
        <f>IF(ISNUMBER(Input!B17762),IF(AND(Input!B17762&gt;=20,Input!B17762&lt;=700),Input!B17762,""),"")</f>
        <v/>
      </c>
      <c r="C17762">
        <f>IF(B17762="","",INT(A17762))</f>
        <v/>
      </c>
      <c r="D17762">
        <f>IF(B17762="","",HOUR(A17762))</f>
        <v/>
      </c>
    </row>
    <row r="17763">
      <c r="A17763">
        <f>Input!A17763</f>
        <v/>
      </c>
      <c r="B17763">
        <f>IF(ISNUMBER(Input!B17763),IF(AND(Input!B17763&gt;=20,Input!B17763&lt;=700),Input!B17763,""),"")</f>
        <v/>
      </c>
      <c r="C17763">
        <f>IF(B17763="","",INT(A17763))</f>
        <v/>
      </c>
      <c r="D17763">
        <f>IF(B17763="","",HOUR(A17763))</f>
        <v/>
      </c>
    </row>
    <row r="17764">
      <c r="A17764">
        <f>Input!A17764</f>
        <v/>
      </c>
      <c r="B17764">
        <f>IF(ISNUMBER(Input!B17764),IF(AND(Input!B17764&gt;=20,Input!B17764&lt;=700),Input!B17764,""),"")</f>
        <v/>
      </c>
      <c r="C17764">
        <f>IF(B17764="","",INT(A17764))</f>
        <v/>
      </c>
      <c r="D17764">
        <f>IF(B17764="","",HOUR(A17764))</f>
        <v/>
      </c>
    </row>
    <row r="17765">
      <c r="A17765">
        <f>Input!A17765</f>
        <v/>
      </c>
      <c r="B17765">
        <f>IF(ISNUMBER(Input!B17765),IF(AND(Input!B17765&gt;=20,Input!B17765&lt;=700),Input!B17765,""),"")</f>
        <v/>
      </c>
      <c r="C17765">
        <f>IF(B17765="","",INT(A17765))</f>
        <v/>
      </c>
      <c r="D17765">
        <f>IF(B17765="","",HOUR(A17765))</f>
        <v/>
      </c>
    </row>
    <row r="17766">
      <c r="A17766">
        <f>Input!A17766</f>
        <v/>
      </c>
      <c r="B17766">
        <f>IF(ISNUMBER(Input!B17766),IF(AND(Input!B17766&gt;=20,Input!B17766&lt;=700),Input!B17766,""),"")</f>
        <v/>
      </c>
      <c r="C17766">
        <f>IF(B17766="","",INT(A17766))</f>
        <v/>
      </c>
      <c r="D17766">
        <f>IF(B17766="","",HOUR(A17766))</f>
        <v/>
      </c>
    </row>
    <row r="17767">
      <c r="A17767">
        <f>Input!A17767</f>
        <v/>
      </c>
      <c r="B17767">
        <f>IF(ISNUMBER(Input!B17767),IF(AND(Input!B17767&gt;=20,Input!B17767&lt;=700),Input!B17767,""),"")</f>
        <v/>
      </c>
      <c r="C17767">
        <f>IF(B17767="","",INT(A17767))</f>
        <v/>
      </c>
      <c r="D17767">
        <f>IF(B17767="","",HOUR(A17767))</f>
        <v/>
      </c>
    </row>
    <row r="17768">
      <c r="A17768">
        <f>Input!A17768</f>
        <v/>
      </c>
      <c r="B17768">
        <f>IF(ISNUMBER(Input!B17768),IF(AND(Input!B17768&gt;=20,Input!B17768&lt;=700),Input!B17768,""),"")</f>
        <v/>
      </c>
      <c r="C17768">
        <f>IF(B17768="","",INT(A17768))</f>
        <v/>
      </c>
      <c r="D17768">
        <f>IF(B17768="","",HOUR(A17768))</f>
        <v/>
      </c>
    </row>
    <row r="17769">
      <c r="A17769">
        <f>Input!A17769</f>
        <v/>
      </c>
      <c r="B17769">
        <f>IF(ISNUMBER(Input!B17769),IF(AND(Input!B17769&gt;=20,Input!B17769&lt;=700),Input!B17769,""),"")</f>
        <v/>
      </c>
      <c r="C17769">
        <f>IF(B17769="","",INT(A17769))</f>
        <v/>
      </c>
      <c r="D17769">
        <f>IF(B17769="","",HOUR(A17769))</f>
        <v/>
      </c>
    </row>
    <row r="17770">
      <c r="A17770">
        <f>Input!A17770</f>
        <v/>
      </c>
      <c r="B17770">
        <f>IF(ISNUMBER(Input!B17770),IF(AND(Input!B17770&gt;=20,Input!B17770&lt;=700),Input!B17770,""),"")</f>
        <v/>
      </c>
      <c r="C17770">
        <f>IF(B17770="","",INT(A17770))</f>
        <v/>
      </c>
      <c r="D17770">
        <f>IF(B17770="","",HOUR(A17770))</f>
        <v/>
      </c>
    </row>
    <row r="17771">
      <c r="A17771">
        <f>Input!A17771</f>
        <v/>
      </c>
      <c r="B17771">
        <f>IF(ISNUMBER(Input!B17771),IF(AND(Input!B17771&gt;=20,Input!B17771&lt;=700),Input!B17771,""),"")</f>
        <v/>
      </c>
      <c r="C17771">
        <f>IF(B17771="","",INT(A17771))</f>
        <v/>
      </c>
      <c r="D17771">
        <f>IF(B17771="","",HOUR(A17771))</f>
        <v/>
      </c>
    </row>
    <row r="17772">
      <c r="A17772">
        <f>Input!A17772</f>
        <v/>
      </c>
      <c r="B17772">
        <f>IF(ISNUMBER(Input!B17772),IF(AND(Input!B17772&gt;=20,Input!B17772&lt;=700),Input!B17772,""),"")</f>
        <v/>
      </c>
      <c r="C17772">
        <f>IF(B17772="","",INT(A17772))</f>
        <v/>
      </c>
      <c r="D17772">
        <f>IF(B17772="","",HOUR(A17772))</f>
        <v/>
      </c>
    </row>
    <row r="17773">
      <c r="A17773">
        <f>Input!A17773</f>
        <v/>
      </c>
      <c r="B17773">
        <f>IF(ISNUMBER(Input!B17773),IF(AND(Input!B17773&gt;=20,Input!B17773&lt;=700),Input!B17773,""),"")</f>
        <v/>
      </c>
      <c r="C17773">
        <f>IF(B17773="","",INT(A17773))</f>
        <v/>
      </c>
      <c r="D17773">
        <f>IF(B17773="","",HOUR(A17773))</f>
        <v/>
      </c>
    </row>
    <row r="17774">
      <c r="A17774">
        <f>Input!A17774</f>
        <v/>
      </c>
      <c r="B17774">
        <f>IF(ISNUMBER(Input!B17774),IF(AND(Input!B17774&gt;=20,Input!B17774&lt;=700),Input!B17774,""),"")</f>
        <v/>
      </c>
      <c r="C17774">
        <f>IF(B17774="","",INT(A17774))</f>
        <v/>
      </c>
      <c r="D17774">
        <f>IF(B17774="","",HOUR(A17774))</f>
        <v/>
      </c>
    </row>
    <row r="17775">
      <c r="A17775">
        <f>Input!A17775</f>
        <v/>
      </c>
      <c r="B17775">
        <f>IF(ISNUMBER(Input!B17775),IF(AND(Input!B17775&gt;=20,Input!B17775&lt;=700),Input!B17775,""),"")</f>
        <v/>
      </c>
      <c r="C17775">
        <f>IF(B17775="","",INT(A17775))</f>
        <v/>
      </c>
      <c r="D17775">
        <f>IF(B17775="","",HOUR(A17775))</f>
        <v/>
      </c>
    </row>
    <row r="17776">
      <c r="A17776">
        <f>Input!A17776</f>
        <v/>
      </c>
      <c r="B17776">
        <f>IF(ISNUMBER(Input!B17776),IF(AND(Input!B17776&gt;=20,Input!B17776&lt;=700),Input!B17776,""),"")</f>
        <v/>
      </c>
      <c r="C17776">
        <f>IF(B17776="","",INT(A17776))</f>
        <v/>
      </c>
      <c r="D17776">
        <f>IF(B17776="","",HOUR(A17776))</f>
        <v/>
      </c>
    </row>
    <row r="17777">
      <c r="A17777">
        <f>Input!A17777</f>
        <v/>
      </c>
      <c r="B17777">
        <f>IF(ISNUMBER(Input!B17777),IF(AND(Input!B17777&gt;=20,Input!B17777&lt;=700),Input!B17777,""),"")</f>
        <v/>
      </c>
      <c r="C17777">
        <f>IF(B17777="","",INT(A17777))</f>
        <v/>
      </c>
      <c r="D17777">
        <f>IF(B17777="","",HOUR(A17777))</f>
        <v/>
      </c>
    </row>
    <row r="17778">
      <c r="A17778">
        <f>Input!A17778</f>
        <v/>
      </c>
      <c r="B17778">
        <f>IF(ISNUMBER(Input!B17778),IF(AND(Input!B17778&gt;=20,Input!B17778&lt;=700),Input!B17778,""),"")</f>
        <v/>
      </c>
      <c r="C17778">
        <f>IF(B17778="","",INT(A17778))</f>
        <v/>
      </c>
      <c r="D17778">
        <f>IF(B17778="","",HOUR(A17778))</f>
        <v/>
      </c>
    </row>
    <row r="17779">
      <c r="A17779">
        <f>Input!A17779</f>
        <v/>
      </c>
      <c r="B17779">
        <f>IF(ISNUMBER(Input!B17779),IF(AND(Input!B17779&gt;=20,Input!B17779&lt;=700),Input!B17779,""),"")</f>
        <v/>
      </c>
      <c r="C17779">
        <f>IF(B17779="","",INT(A17779))</f>
        <v/>
      </c>
      <c r="D17779">
        <f>IF(B17779="","",HOUR(A17779))</f>
        <v/>
      </c>
    </row>
    <row r="17780">
      <c r="A17780">
        <f>Input!A17780</f>
        <v/>
      </c>
      <c r="B17780">
        <f>IF(ISNUMBER(Input!B17780),IF(AND(Input!B17780&gt;=20,Input!B17780&lt;=700),Input!B17780,""),"")</f>
        <v/>
      </c>
      <c r="C17780">
        <f>IF(B17780="","",INT(A17780))</f>
        <v/>
      </c>
      <c r="D17780">
        <f>IF(B17780="","",HOUR(A17780))</f>
        <v/>
      </c>
    </row>
    <row r="17781">
      <c r="A17781">
        <f>Input!A17781</f>
        <v/>
      </c>
      <c r="B17781">
        <f>IF(ISNUMBER(Input!B17781),IF(AND(Input!B17781&gt;=20,Input!B17781&lt;=700),Input!B17781,""),"")</f>
        <v/>
      </c>
      <c r="C17781">
        <f>IF(B17781="","",INT(A17781))</f>
        <v/>
      </c>
      <c r="D17781">
        <f>IF(B17781="","",HOUR(A17781))</f>
        <v/>
      </c>
    </row>
    <row r="17782">
      <c r="A17782">
        <f>Input!A17782</f>
        <v/>
      </c>
      <c r="B17782">
        <f>IF(ISNUMBER(Input!B17782),IF(AND(Input!B17782&gt;=20,Input!B17782&lt;=700),Input!B17782,""),"")</f>
        <v/>
      </c>
      <c r="C17782">
        <f>IF(B17782="","",INT(A17782))</f>
        <v/>
      </c>
      <c r="D17782">
        <f>IF(B17782="","",HOUR(A17782))</f>
        <v/>
      </c>
    </row>
    <row r="17783">
      <c r="A17783">
        <f>Input!A17783</f>
        <v/>
      </c>
      <c r="B17783">
        <f>IF(ISNUMBER(Input!B17783),IF(AND(Input!B17783&gt;=20,Input!B17783&lt;=700),Input!B17783,""),"")</f>
        <v/>
      </c>
      <c r="C17783">
        <f>IF(B17783="","",INT(A17783))</f>
        <v/>
      </c>
      <c r="D17783">
        <f>IF(B17783="","",HOUR(A17783))</f>
        <v/>
      </c>
    </row>
    <row r="17784">
      <c r="A17784">
        <f>Input!A17784</f>
        <v/>
      </c>
      <c r="B17784">
        <f>IF(ISNUMBER(Input!B17784),IF(AND(Input!B17784&gt;=20,Input!B17784&lt;=700),Input!B17784,""),"")</f>
        <v/>
      </c>
      <c r="C17784">
        <f>IF(B17784="","",INT(A17784))</f>
        <v/>
      </c>
      <c r="D17784">
        <f>IF(B17784="","",HOUR(A17784))</f>
        <v/>
      </c>
    </row>
    <row r="17785">
      <c r="A17785">
        <f>Input!A17785</f>
        <v/>
      </c>
      <c r="B17785">
        <f>IF(ISNUMBER(Input!B17785),IF(AND(Input!B17785&gt;=20,Input!B17785&lt;=700),Input!B17785,""),"")</f>
        <v/>
      </c>
      <c r="C17785">
        <f>IF(B17785="","",INT(A17785))</f>
        <v/>
      </c>
      <c r="D17785">
        <f>IF(B17785="","",HOUR(A17785))</f>
        <v/>
      </c>
    </row>
    <row r="17786">
      <c r="A17786">
        <f>Input!A17786</f>
        <v/>
      </c>
      <c r="B17786">
        <f>IF(ISNUMBER(Input!B17786),IF(AND(Input!B17786&gt;=20,Input!B17786&lt;=700),Input!B17786,""),"")</f>
        <v/>
      </c>
      <c r="C17786">
        <f>IF(B17786="","",INT(A17786))</f>
        <v/>
      </c>
      <c r="D17786">
        <f>IF(B17786="","",HOUR(A17786))</f>
        <v/>
      </c>
    </row>
    <row r="17787">
      <c r="A17787">
        <f>Input!A17787</f>
        <v/>
      </c>
      <c r="B17787">
        <f>IF(ISNUMBER(Input!B17787),IF(AND(Input!B17787&gt;=20,Input!B17787&lt;=700),Input!B17787,""),"")</f>
        <v/>
      </c>
      <c r="C17787">
        <f>IF(B17787="","",INT(A17787))</f>
        <v/>
      </c>
      <c r="D17787">
        <f>IF(B17787="","",HOUR(A17787))</f>
        <v/>
      </c>
    </row>
    <row r="17788">
      <c r="A17788">
        <f>Input!A17788</f>
        <v/>
      </c>
      <c r="B17788">
        <f>IF(ISNUMBER(Input!B17788),IF(AND(Input!B17788&gt;=20,Input!B17788&lt;=700),Input!B17788,""),"")</f>
        <v/>
      </c>
      <c r="C17788">
        <f>IF(B17788="","",INT(A17788))</f>
        <v/>
      </c>
      <c r="D17788">
        <f>IF(B17788="","",HOUR(A17788))</f>
        <v/>
      </c>
    </row>
    <row r="17789">
      <c r="A17789">
        <f>Input!A17789</f>
        <v/>
      </c>
      <c r="B17789">
        <f>IF(ISNUMBER(Input!B17789),IF(AND(Input!B17789&gt;=20,Input!B17789&lt;=700),Input!B17789,""),"")</f>
        <v/>
      </c>
      <c r="C17789">
        <f>IF(B17789="","",INT(A17789))</f>
        <v/>
      </c>
      <c r="D17789">
        <f>IF(B17789="","",HOUR(A17789))</f>
        <v/>
      </c>
    </row>
    <row r="17790">
      <c r="A17790">
        <f>Input!A17790</f>
        <v/>
      </c>
      <c r="B17790">
        <f>IF(ISNUMBER(Input!B17790),IF(AND(Input!B17790&gt;=20,Input!B17790&lt;=700),Input!B17790,""),"")</f>
        <v/>
      </c>
      <c r="C17790">
        <f>IF(B17790="","",INT(A17790))</f>
        <v/>
      </c>
      <c r="D17790">
        <f>IF(B17790="","",HOUR(A17790))</f>
        <v/>
      </c>
    </row>
    <row r="17791">
      <c r="A17791">
        <f>Input!A17791</f>
        <v/>
      </c>
      <c r="B17791">
        <f>IF(ISNUMBER(Input!B17791),IF(AND(Input!B17791&gt;=20,Input!B17791&lt;=700),Input!B17791,""),"")</f>
        <v/>
      </c>
      <c r="C17791">
        <f>IF(B17791="","",INT(A17791))</f>
        <v/>
      </c>
      <c r="D17791">
        <f>IF(B17791="","",HOUR(A17791))</f>
        <v/>
      </c>
    </row>
    <row r="17792">
      <c r="A17792">
        <f>Input!A17792</f>
        <v/>
      </c>
      <c r="B17792">
        <f>IF(ISNUMBER(Input!B17792),IF(AND(Input!B17792&gt;=20,Input!B17792&lt;=700),Input!B17792,""),"")</f>
        <v/>
      </c>
      <c r="C17792">
        <f>IF(B17792="","",INT(A17792))</f>
        <v/>
      </c>
      <c r="D17792">
        <f>IF(B17792="","",HOUR(A17792))</f>
        <v/>
      </c>
    </row>
    <row r="17793">
      <c r="A17793">
        <f>Input!A17793</f>
        <v/>
      </c>
      <c r="B17793">
        <f>IF(ISNUMBER(Input!B17793),IF(AND(Input!B17793&gt;=20,Input!B17793&lt;=700),Input!B17793,""),"")</f>
        <v/>
      </c>
      <c r="C17793">
        <f>IF(B17793="","",INT(A17793))</f>
        <v/>
      </c>
      <c r="D17793">
        <f>IF(B17793="","",HOUR(A17793))</f>
        <v/>
      </c>
    </row>
    <row r="17794">
      <c r="A17794">
        <f>Input!A17794</f>
        <v/>
      </c>
      <c r="B17794">
        <f>IF(ISNUMBER(Input!B17794),IF(AND(Input!B17794&gt;=20,Input!B17794&lt;=700),Input!B17794,""),"")</f>
        <v/>
      </c>
      <c r="C17794">
        <f>IF(B17794="","",INT(A17794))</f>
        <v/>
      </c>
      <c r="D17794">
        <f>IF(B17794="","",HOUR(A17794))</f>
        <v/>
      </c>
    </row>
    <row r="17795">
      <c r="A17795">
        <f>Input!A17795</f>
        <v/>
      </c>
      <c r="B17795">
        <f>IF(ISNUMBER(Input!B17795),IF(AND(Input!B17795&gt;=20,Input!B17795&lt;=700),Input!B17795,""),"")</f>
        <v/>
      </c>
      <c r="C17795">
        <f>IF(B17795="","",INT(A17795))</f>
        <v/>
      </c>
      <c r="D17795">
        <f>IF(B17795="","",HOUR(A17795))</f>
        <v/>
      </c>
    </row>
    <row r="17796">
      <c r="A17796">
        <f>Input!A17796</f>
        <v/>
      </c>
      <c r="B17796">
        <f>IF(ISNUMBER(Input!B17796),IF(AND(Input!B17796&gt;=20,Input!B17796&lt;=700),Input!B17796,""),"")</f>
        <v/>
      </c>
      <c r="C17796">
        <f>IF(B17796="","",INT(A17796))</f>
        <v/>
      </c>
      <c r="D17796">
        <f>IF(B17796="","",HOUR(A17796))</f>
        <v/>
      </c>
    </row>
    <row r="17797">
      <c r="A17797">
        <f>Input!A17797</f>
        <v/>
      </c>
      <c r="B17797">
        <f>IF(ISNUMBER(Input!B17797),IF(AND(Input!B17797&gt;=20,Input!B17797&lt;=700),Input!B17797,""),"")</f>
        <v/>
      </c>
      <c r="C17797">
        <f>IF(B17797="","",INT(A17797))</f>
        <v/>
      </c>
      <c r="D17797">
        <f>IF(B17797="","",HOUR(A17797))</f>
        <v/>
      </c>
    </row>
    <row r="17798">
      <c r="A17798">
        <f>Input!A17798</f>
        <v/>
      </c>
      <c r="B17798">
        <f>IF(ISNUMBER(Input!B17798),IF(AND(Input!B17798&gt;=20,Input!B17798&lt;=700),Input!B17798,""),"")</f>
        <v/>
      </c>
      <c r="C17798">
        <f>IF(B17798="","",INT(A17798))</f>
        <v/>
      </c>
      <c r="D17798">
        <f>IF(B17798="","",HOUR(A17798))</f>
        <v/>
      </c>
    </row>
    <row r="17799">
      <c r="A17799">
        <f>Input!A17799</f>
        <v/>
      </c>
      <c r="B17799">
        <f>IF(ISNUMBER(Input!B17799),IF(AND(Input!B17799&gt;=20,Input!B17799&lt;=700),Input!B17799,""),"")</f>
        <v/>
      </c>
      <c r="C17799">
        <f>IF(B17799="","",INT(A17799))</f>
        <v/>
      </c>
      <c r="D17799">
        <f>IF(B17799="","",HOUR(A17799))</f>
        <v/>
      </c>
    </row>
    <row r="17800">
      <c r="A17800">
        <f>Input!A17800</f>
        <v/>
      </c>
      <c r="B17800">
        <f>IF(ISNUMBER(Input!B17800),IF(AND(Input!B17800&gt;=20,Input!B17800&lt;=700),Input!B17800,""),"")</f>
        <v/>
      </c>
      <c r="C17800">
        <f>IF(B17800="","",INT(A17800))</f>
        <v/>
      </c>
      <c r="D17800">
        <f>IF(B17800="","",HOUR(A17800))</f>
        <v/>
      </c>
    </row>
    <row r="17801">
      <c r="A17801">
        <f>Input!A17801</f>
        <v/>
      </c>
      <c r="B17801">
        <f>IF(ISNUMBER(Input!B17801),IF(AND(Input!B17801&gt;=20,Input!B17801&lt;=700),Input!B17801,""),"")</f>
        <v/>
      </c>
      <c r="C17801">
        <f>IF(B17801="","",INT(A17801))</f>
        <v/>
      </c>
      <c r="D17801">
        <f>IF(B17801="","",HOUR(A17801))</f>
        <v/>
      </c>
    </row>
    <row r="17802">
      <c r="A17802">
        <f>Input!A17802</f>
        <v/>
      </c>
      <c r="B17802">
        <f>IF(ISNUMBER(Input!B17802),IF(AND(Input!B17802&gt;=20,Input!B17802&lt;=700),Input!B17802,""),"")</f>
        <v/>
      </c>
      <c r="C17802">
        <f>IF(B17802="","",INT(A17802))</f>
        <v/>
      </c>
      <c r="D17802">
        <f>IF(B17802="","",HOUR(A17802))</f>
        <v/>
      </c>
    </row>
    <row r="17803">
      <c r="A17803">
        <f>Input!A17803</f>
        <v/>
      </c>
      <c r="B17803">
        <f>IF(ISNUMBER(Input!B17803),IF(AND(Input!B17803&gt;=20,Input!B17803&lt;=700),Input!B17803,""),"")</f>
        <v/>
      </c>
      <c r="C17803">
        <f>IF(B17803="","",INT(A17803))</f>
        <v/>
      </c>
      <c r="D17803">
        <f>IF(B17803="","",HOUR(A17803))</f>
        <v/>
      </c>
    </row>
    <row r="17804">
      <c r="A17804">
        <f>Input!A17804</f>
        <v/>
      </c>
      <c r="B17804">
        <f>IF(ISNUMBER(Input!B17804),IF(AND(Input!B17804&gt;=20,Input!B17804&lt;=700),Input!B17804,""),"")</f>
        <v/>
      </c>
      <c r="C17804">
        <f>IF(B17804="","",INT(A17804))</f>
        <v/>
      </c>
      <c r="D17804">
        <f>IF(B17804="","",HOUR(A17804))</f>
        <v/>
      </c>
    </row>
    <row r="17805">
      <c r="A17805">
        <f>Input!A17805</f>
        <v/>
      </c>
      <c r="B17805">
        <f>IF(ISNUMBER(Input!B17805),IF(AND(Input!B17805&gt;=20,Input!B17805&lt;=700),Input!B17805,""),"")</f>
        <v/>
      </c>
      <c r="C17805">
        <f>IF(B17805="","",INT(A17805))</f>
        <v/>
      </c>
      <c r="D17805">
        <f>IF(B17805="","",HOUR(A17805))</f>
        <v/>
      </c>
    </row>
    <row r="17806">
      <c r="A17806">
        <f>Input!A17806</f>
        <v/>
      </c>
      <c r="B17806">
        <f>IF(ISNUMBER(Input!B17806),IF(AND(Input!B17806&gt;=20,Input!B17806&lt;=700),Input!B17806,""),"")</f>
        <v/>
      </c>
      <c r="C17806">
        <f>IF(B17806="","",INT(A17806))</f>
        <v/>
      </c>
      <c r="D17806">
        <f>IF(B17806="","",HOUR(A17806))</f>
        <v/>
      </c>
    </row>
    <row r="17807">
      <c r="A17807">
        <f>Input!A17807</f>
        <v/>
      </c>
      <c r="B17807">
        <f>IF(ISNUMBER(Input!B17807),IF(AND(Input!B17807&gt;=20,Input!B17807&lt;=700),Input!B17807,""),"")</f>
        <v/>
      </c>
      <c r="C17807">
        <f>IF(B17807="","",INT(A17807))</f>
        <v/>
      </c>
      <c r="D17807">
        <f>IF(B17807="","",HOUR(A17807))</f>
        <v/>
      </c>
    </row>
    <row r="17808">
      <c r="A17808">
        <f>Input!A17808</f>
        <v/>
      </c>
      <c r="B17808">
        <f>IF(ISNUMBER(Input!B17808),IF(AND(Input!B17808&gt;=20,Input!B17808&lt;=700),Input!B17808,""),"")</f>
        <v/>
      </c>
      <c r="C17808">
        <f>IF(B17808="","",INT(A17808))</f>
        <v/>
      </c>
      <c r="D17808">
        <f>IF(B17808="","",HOUR(A17808))</f>
        <v/>
      </c>
    </row>
    <row r="17809">
      <c r="A17809">
        <f>Input!A17809</f>
        <v/>
      </c>
      <c r="B17809">
        <f>IF(ISNUMBER(Input!B17809),IF(AND(Input!B17809&gt;=20,Input!B17809&lt;=700),Input!B17809,""),"")</f>
        <v/>
      </c>
      <c r="C17809">
        <f>IF(B17809="","",INT(A17809))</f>
        <v/>
      </c>
      <c r="D17809">
        <f>IF(B17809="","",HOUR(A17809))</f>
        <v/>
      </c>
    </row>
    <row r="17810">
      <c r="A17810">
        <f>Input!A17810</f>
        <v/>
      </c>
      <c r="B17810">
        <f>IF(ISNUMBER(Input!B17810),IF(AND(Input!B17810&gt;=20,Input!B17810&lt;=700),Input!B17810,""),"")</f>
        <v/>
      </c>
      <c r="C17810">
        <f>IF(B17810="","",INT(A17810))</f>
        <v/>
      </c>
      <c r="D17810">
        <f>IF(B17810="","",HOUR(A17810))</f>
        <v/>
      </c>
    </row>
    <row r="17811">
      <c r="A17811">
        <f>Input!A17811</f>
        <v/>
      </c>
      <c r="B17811">
        <f>IF(ISNUMBER(Input!B17811),IF(AND(Input!B17811&gt;=20,Input!B17811&lt;=700),Input!B17811,""),"")</f>
        <v/>
      </c>
      <c r="C17811">
        <f>IF(B17811="","",INT(A17811))</f>
        <v/>
      </c>
      <c r="D17811">
        <f>IF(B17811="","",HOUR(A17811))</f>
        <v/>
      </c>
    </row>
    <row r="17812">
      <c r="A17812">
        <f>Input!A17812</f>
        <v/>
      </c>
      <c r="B17812">
        <f>IF(ISNUMBER(Input!B17812),IF(AND(Input!B17812&gt;=20,Input!B17812&lt;=700),Input!B17812,""),"")</f>
        <v/>
      </c>
      <c r="C17812">
        <f>IF(B17812="","",INT(A17812))</f>
        <v/>
      </c>
      <c r="D17812">
        <f>IF(B17812="","",HOUR(A17812))</f>
        <v/>
      </c>
    </row>
    <row r="17813">
      <c r="A17813">
        <f>Input!A17813</f>
        <v/>
      </c>
      <c r="B17813">
        <f>IF(ISNUMBER(Input!B17813),IF(AND(Input!B17813&gt;=20,Input!B17813&lt;=700),Input!B17813,""),"")</f>
        <v/>
      </c>
      <c r="C17813">
        <f>IF(B17813="","",INT(A17813))</f>
        <v/>
      </c>
      <c r="D17813">
        <f>IF(B17813="","",HOUR(A17813))</f>
        <v/>
      </c>
    </row>
    <row r="17814">
      <c r="A17814">
        <f>Input!A17814</f>
        <v/>
      </c>
      <c r="B17814">
        <f>IF(ISNUMBER(Input!B17814),IF(AND(Input!B17814&gt;=20,Input!B17814&lt;=700),Input!B17814,""),"")</f>
        <v/>
      </c>
      <c r="C17814">
        <f>IF(B17814="","",INT(A17814))</f>
        <v/>
      </c>
      <c r="D17814">
        <f>IF(B17814="","",HOUR(A17814))</f>
        <v/>
      </c>
    </row>
    <row r="17815">
      <c r="A17815">
        <f>Input!A17815</f>
        <v/>
      </c>
      <c r="B17815">
        <f>IF(ISNUMBER(Input!B17815),IF(AND(Input!B17815&gt;=20,Input!B17815&lt;=700),Input!B17815,""),"")</f>
        <v/>
      </c>
      <c r="C17815">
        <f>IF(B17815="","",INT(A17815))</f>
        <v/>
      </c>
      <c r="D17815">
        <f>IF(B17815="","",HOUR(A17815))</f>
        <v/>
      </c>
    </row>
    <row r="17816">
      <c r="A17816">
        <f>Input!A17816</f>
        <v/>
      </c>
      <c r="B17816">
        <f>IF(ISNUMBER(Input!B17816),IF(AND(Input!B17816&gt;=20,Input!B17816&lt;=700),Input!B17816,""),"")</f>
        <v/>
      </c>
      <c r="C17816">
        <f>IF(B17816="","",INT(A17816))</f>
        <v/>
      </c>
      <c r="D17816">
        <f>IF(B17816="","",HOUR(A17816))</f>
        <v/>
      </c>
    </row>
    <row r="17817">
      <c r="A17817">
        <f>Input!A17817</f>
        <v/>
      </c>
      <c r="B17817">
        <f>IF(ISNUMBER(Input!B17817),IF(AND(Input!B17817&gt;=20,Input!B17817&lt;=700),Input!B17817,""),"")</f>
        <v/>
      </c>
      <c r="C17817">
        <f>IF(B17817="","",INT(A17817))</f>
        <v/>
      </c>
      <c r="D17817">
        <f>IF(B17817="","",HOUR(A17817))</f>
        <v/>
      </c>
    </row>
    <row r="17818">
      <c r="A17818">
        <f>Input!A17818</f>
        <v/>
      </c>
      <c r="B17818">
        <f>IF(ISNUMBER(Input!B17818),IF(AND(Input!B17818&gt;=20,Input!B17818&lt;=700),Input!B17818,""),"")</f>
        <v/>
      </c>
      <c r="C17818">
        <f>IF(B17818="","",INT(A17818))</f>
        <v/>
      </c>
      <c r="D17818">
        <f>IF(B17818="","",HOUR(A17818))</f>
        <v/>
      </c>
    </row>
    <row r="17819">
      <c r="A17819">
        <f>Input!A17819</f>
        <v/>
      </c>
      <c r="B17819">
        <f>IF(ISNUMBER(Input!B17819),IF(AND(Input!B17819&gt;=20,Input!B17819&lt;=700),Input!B17819,""),"")</f>
        <v/>
      </c>
      <c r="C17819">
        <f>IF(B17819="","",INT(A17819))</f>
        <v/>
      </c>
      <c r="D17819">
        <f>IF(B17819="","",HOUR(A17819))</f>
        <v/>
      </c>
    </row>
    <row r="17820">
      <c r="A17820">
        <f>Input!A17820</f>
        <v/>
      </c>
      <c r="B17820">
        <f>IF(ISNUMBER(Input!B17820),IF(AND(Input!B17820&gt;=20,Input!B17820&lt;=700),Input!B17820,""),"")</f>
        <v/>
      </c>
      <c r="C17820">
        <f>IF(B17820="","",INT(A17820))</f>
        <v/>
      </c>
      <c r="D17820">
        <f>IF(B17820="","",HOUR(A17820))</f>
        <v/>
      </c>
    </row>
    <row r="17821">
      <c r="A17821">
        <f>Input!A17821</f>
        <v/>
      </c>
      <c r="B17821">
        <f>IF(ISNUMBER(Input!B17821),IF(AND(Input!B17821&gt;=20,Input!B17821&lt;=700),Input!B17821,""),"")</f>
        <v/>
      </c>
      <c r="C17821">
        <f>IF(B17821="","",INT(A17821))</f>
        <v/>
      </c>
      <c r="D17821">
        <f>IF(B17821="","",HOUR(A17821))</f>
        <v/>
      </c>
    </row>
    <row r="17822">
      <c r="A17822">
        <f>Input!A17822</f>
        <v/>
      </c>
      <c r="B17822">
        <f>IF(ISNUMBER(Input!B17822),IF(AND(Input!B17822&gt;=20,Input!B17822&lt;=700),Input!B17822,""),"")</f>
        <v/>
      </c>
      <c r="C17822">
        <f>IF(B17822="","",INT(A17822))</f>
        <v/>
      </c>
      <c r="D17822">
        <f>IF(B17822="","",HOUR(A17822))</f>
        <v/>
      </c>
    </row>
    <row r="17823">
      <c r="A17823">
        <f>Input!A17823</f>
        <v/>
      </c>
      <c r="B17823">
        <f>IF(ISNUMBER(Input!B17823),IF(AND(Input!B17823&gt;=20,Input!B17823&lt;=700),Input!B17823,""),"")</f>
        <v/>
      </c>
      <c r="C17823">
        <f>IF(B17823="","",INT(A17823))</f>
        <v/>
      </c>
      <c r="D17823">
        <f>IF(B17823="","",HOUR(A17823))</f>
        <v/>
      </c>
    </row>
    <row r="17824">
      <c r="A17824">
        <f>Input!A17824</f>
        <v/>
      </c>
      <c r="B17824">
        <f>IF(ISNUMBER(Input!B17824),IF(AND(Input!B17824&gt;=20,Input!B17824&lt;=700),Input!B17824,""),"")</f>
        <v/>
      </c>
      <c r="C17824">
        <f>IF(B17824="","",INT(A17824))</f>
        <v/>
      </c>
      <c r="D17824">
        <f>IF(B17824="","",HOUR(A17824))</f>
        <v/>
      </c>
    </row>
    <row r="17825">
      <c r="A17825">
        <f>Input!A17825</f>
        <v/>
      </c>
      <c r="B17825">
        <f>IF(ISNUMBER(Input!B17825),IF(AND(Input!B17825&gt;=20,Input!B17825&lt;=700),Input!B17825,""),"")</f>
        <v/>
      </c>
      <c r="C17825">
        <f>IF(B17825="","",INT(A17825))</f>
        <v/>
      </c>
      <c r="D17825">
        <f>IF(B17825="","",HOUR(A17825))</f>
        <v/>
      </c>
    </row>
    <row r="17826">
      <c r="A17826">
        <f>Input!A17826</f>
        <v/>
      </c>
      <c r="B17826">
        <f>IF(ISNUMBER(Input!B17826),IF(AND(Input!B17826&gt;=20,Input!B17826&lt;=700),Input!B17826,""),"")</f>
        <v/>
      </c>
      <c r="C17826">
        <f>IF(B17826="","",INT(A17826))</f>
        <v/>
      </c>
      <c r="D17826">
        <f>IF(B17826="","",HOUR(A17826))</f>
        <v/>
      </c>
    </row>
    <row r="17827">
      <c r="A17827">
        <f>Input!A17827</f>
        <v/>
      </c>
      <c r="B17827">
        <f>IF(ISNUMBER(Input!B17827),IF(AND(Input!B17827&gt;=20,Input!B17827&lt;=700),Input!B17827,""),"")</f>
        <v/>
      </c>
      <c r="C17827">
        <f>IF(B17827="","",INT(A17827))</f>
        <v/>
      </c>
      <c r="D17827">
        <f>IF(B17827="","",HOUR(A17827))</f>
        <v/>
      </c>
    </row>
    <row r="17828">
      <c r="A17828">
        <f>Input!A17828</f>
        <v/>
      </c>
      <c r="B17828">
        <f>IF(ISNUMBER(Input!B17828),IF(AND(Input!B17828&gt;=20,Input!B17828&lt;=700),Input!B17828,""),"")</f>
        <v/>
      </c>
      <c r="C17828">
        <f>IF(B17828="","",INT(A17828))</f>
        <v/>
      </c>
      <c r="D17828">
        <f>IF(B17828="","",HOUR(A17828))</f>
        <v/>
      </c>
    </row>
    <row r="17829">
      <c r="A17829">
        <f>Input!A17829</f>
        <v/>
      </c>
      <c r="B17829">
        <f>IF(ISNUMBER(Input!B17829),IF(AND(Input!B17829&gt;=20,Input!B17829&lt;=700),Input!B17829,""),"")</f>
        <v/>
      </c>
      <c r="C17829">
        <f>IF(B17829="","",INT(A17829))</f>
        <v/>
      </c>
      <c r="D17829">
        <f>IF(B17829="","",HOUR(A17829))</f>
        <v/>
      </c>
    </row>
    <row r="17830">
      <c r="A17830">
        <f>Input!A17830</f>
        <v/>
      </c>
      <c r="B17830">
        <f>IF(ISNUMBER(Input!B17830),IF(AND(Input!B17830&gt;=20,Input!B17830&lt;=700),Input!B17830,""),"")</f>
        <v/>
      </c>
      <c r="C17830">
        <f>IF(B17830="","",INT(A17830))</f>
        <v/>
      </c>
      <c r="D17830">
        <f>IF(B17830="","",HOUR(A17830))</f>
        <v/>
      </c>
    </row>
    <row r="17831">
      <c r="A17831">
        <f>Input!A17831</f>
        <v/>
      </c>
      <c r="B17831">
        <f>IF(ISNUMBER(Input!B17831),IF(AND(Input!B17831&gt;=20,Input!B17831&lt;=700),Input!B17831,""),"")</f>
        <v/>
      </c>
      <c r="C17831">
        <f>IF(B17831="","",INT(A17831))</f>
        <v/>
      </c>
      <c r="D17831">
        <f>IF(B17831="","",HOUR(A17831))</f>
        <v/>
      </c>
    </row>
    <row r="17832">
      <c r="A17832">
        <f>Input!A17832</f>
        <v/>
      </c>
      <c r="B17832">
        <f>IF(ISNUMBER(Input!B17832),IF(AND(Input!B17832&gt;=20,Input!B17832&lt;=700),Input!B17832,""),"")</f>
        <v/>
      </c>
      <c r="C17832">
        <f>IF(B17832="","",INT(A17832))</f>
        <v/>
      </c>
      <c r="D17832">
        <f>IF(B17832="","",HOUR(A17832))</f>
        <v/>
      </c>
    </row>
    <row r="17833">
      <c r="A17833">
        <f>Input!A17833</f>
        <v/>
      </c>
      <c r="B17833">
        <f>IF(ISNUMBER(Input!B17833),IF(AND(Input!B17833&gt;=20,Input!B17833&lt;=700),Input!B17833,""),"")</f>
        <v/>
      </c>
      <c r="C17833">
        <f>IF(B17833="","",INT(A17833))</f>
        <v/>
      </c>
      <c r="D17833">
        <f>IF(B17833="","",HOUR(A17833))</f>
        <v/>
      </c>
    </row>
    <row r="17834">
      <c r="A17834">
        <f>Input!A17834</f>
        <v/>
      </c>
      <c r="B17834">
        <f>IF(ISNUMBER(Input!B17834),IF(AND(Input!B17834&gt;=20,Input!B17834&lt;=700),Input!B17834,""),"")</f>
        <v/>
      </c>
      <c r="C17834">
        <f>IF(B17834="","",INT(A17834))</f>
        <v/>
      </c>
      <c r="D17834">
        <f>IF(B17834="","",HOUR(A17834))</f>
        <v/>
      </c>
    </row>
    <row r="17835">
      <c r="A17835">
        <f>Input!A17835</f>
        <v/>
      </c>
      <c r="B17835">
        <f>IF(ISNUMBER(Input!B17835),IF(AND(Input!B17835&gt;=20,Input!B17835&lt;=700),Input!B17835,""),"")</f>
        <v/>
      </c>
      <c r="C17835">
        <f>IF(B17835="","",INT(A17835))</f>
        <v/>
      </c>
      <c r="D17835">
        <f>IF(B17835="","",HOUR(A17835))</f>
        <v/>
      </c>
    </row>
    <row r="17836">
      <c r="A17836">
        <f>Input!A17836</f>
        <v/>
      </c>
      <c r="B17836">
        <f>IF(ISNUMBER(Input!B17836),IF(AND(Input!B17836&gt;=20,Input!B17836&lt;=700),Input!B17836,""),"")</f>
        <v/>
      </c>
      <c r="C17836">
        <f>IF(B17836="","",INT(A17836))</f>
        <v/>
      </c>
      <c r="D17836">
        <f>IF(B17836="","",HOUR(A17836))</f>
        <v/>
      </c>
    </row>
    <row r="17837">
      <c r="A17837">
        <f>Input!A17837</f>
        <v/>
      </c>
      <c r="B17837">
        <f>IF(ISNUMBER(Input!B17837),IF(AND(Input!B17837&gt;=20,Input!B17837&lt;=700),Input!B17837,""),"")</f>
        <v/>
      </c>
      <c r="C17837">
        <f>IF(B17837="","",INT(A17837))</f>
        <v/>
      </c>
      <c r="D17837">
        <f>IF(B17837="","",HOUR(A17837))</f>
        <v/>
      </c>
    </row>
    <row r="17838">
      <c r="A17838">
        <f>Input!A17838</f>
        <v/>
      </c>
      <c r="B17838">
        <f>IF(ISNUMBER(Input!B17838),IF(AND(Input!B17838&gt;=20,Input!B17838&lt;=700),Input!B17838,""),"")</f>
        <v/>
      </c>
      <c r="C17838">
        <f>IF(B17838="","",INT(A17838))</f>
        <v/>
      </c>
      <c r="D17838">
        <f>IF(B17838="","",HOUR(A17838))</f>
        <v/>
      </c>
    </row>
    <row r="17839">
      <c r="A17839">
        <f>Input!A17839</f>
        <v/>
      </c>
      <c r="B17839">
        <f>IF(ISNUMBER(Input!B17839),IF(AND(Input!B17839&gt;=20,Input!B17839&lt;=700),Input!B17839,""),"")</f>
        <v/>
      </c>
      <c r="C17839">
        <f>IF(B17839="","",INT(A17839))</f>
        <v/>
      </c>
      <c r="D17839">
        <f>IF(B17839="","",HOUR(A17839))</f>
        <v/>
      </c>
    </row>
    <row r="17840">
      <c r="A17840">
        <f>Input!A17840</f>
        <v/>
      </c>
      <c r="B17840">
        <f>IF(ISNUMBER(Input!B17840),IF(AND(Input!B17840&gt;=20,Input!B17840&lt;=700),Input!B17840,""),"")</f>
        <v/>
      </c>
      <c r="C17840">
        <f>IF(B17840="","",INT(A17840))</f>
        <v/>
      </c>
      <c r="D17840">
        <f>IF(B17840="","",HOUR(A17840))</f>
        <v/>
      </c>
    </row>
    <row r="17841">
      <c r="A17841">
        <f>Input!A17841</f>
        <v/>
      </c>
      <c r="B17841">
        <f>IF(ISNUMBER(Input!B17841),IF(AND(Input!B17841&gt;=20,Input!B17841&lt;=700),Input!B17841,""),"")</f>
        <v/>
      </c>
      <c r="C17841">
        <f>IF(B17841="","",INT(A17841))</f>
        <v/>
      </c>
      <c r="D17841">
        <f>IF(B17841="","",HOUR(A17841))</f>
        <v/>
      </c>
    </row>
    <row r="17842">
      <c r="A17842">
        <f>Input!A17842</f>
        <v/>
      </c>
      <c r="B17842">
        <f>IF(ISNUMBER(Input!B17842),IF(AND(Input!B17842&gt;=20,Input!B17842&lt;=700),Input!B17842,""),"")</f>
        <v/>
      </c>
      <c r="C17842">
        <f>IF(B17842="","",INT(A17842))</f>
        <v/>
      </c>
      <c r="D17842">
        <f>IF(B17842="","",HOUR(A17842))</f>
        <v/>
      </c>
    </row>
    <row r="17843">
      <c r="A17843">
        <f>Input!A17843</f>
        <v/>
      </c>
      <c r="B17843">
        <f>IF(ISNUMBER(Input!B17843),IF(AND(Input!B17843&gt;=20,Input!B17843&lt;=700),Input!B17843,""),"")</f>
        <v/>
      </c>
      <c r="C17843">
        <f>IF(B17843="","",INT(A17843))</f>
        <v/>
      </c>
      <c r="D17843">
        <f>IF(B17843="","",HOUR(A17843))</f>
        <v/>
      </c>
    </row>
    <row r="17844">
      <c r="A17844">
        <f>Input!A17844</f>
        <v/>
      </c>
      <c r="B17844">
        <f>IF(ISNUMBER(Input!B17844),IF(AND(Input!B17844&gt;=20,Input!B17844&lt;=700),Input!B17844,""),"")</f>
        <v/>
      </c>
      <c r="C17844">
        <f>IF(B17844="","",INT(A17844))</f>
        <v/>
      </c>
      <c r="D17844">
        <f>IF(B17844="","",HOUR(A17844))</f>
        <v/>
      </c>
    </row>
    <row r="17845">
      <c r="A17845">
        <f>Input!A17845</f>
        <v/>
      </c>
      <c r="B17845">
        <f>IF(ISNUMBER(Input!B17845),IF(AND(Input!B17845&gt;=20,Input!B17845&lt;=700),Input!B17845,""),"")</f>
        <v/>
      </c>
      <c r="C17845">
        <f>IF(B17845="","",INT(A17845))</f>
        <v/>
      </c>
      <c r="D17845">
        <f>IF(B17845="","",HOUR(A17845))</f>
        <v/>
      </c>
    </row>
    <row r="17846">
      <c r="A17846">
        <f>Input!A17846</f>
        <v/>
      </c>
      <c r="B17846">
        <f>IF(ISNUMBER(Input!B17846),IF(AND(Input!B17846&gt;=20,Input!B17846&lt;=700),Input!B17846,""),"")</f>
        <v/>
      </c>
      <c r="C17846">
        <f>IF(B17846="","",INT(A17846))</f>
        <v/>
      </c>
      <c r="D17846">
        <f>IF(B17846="","",HOUR(A17846))</f>
        <v/>
      </c>
    </row>
    <row r="17847">
      <c r="A17847">
        <f>Input!A17847</f>
        <v/>
      </c>
      <c r="B17847">
        <f>IF(ISNUMBER(Input!B17847),IF(AND(Input!B17847&gt;=20,Input!B17847&lt;=700),Input!B17847,""),"")</f>
        <v/>
      </c>
      <c r="C17847">
        <f>IF(B17847="","",INT(A17847))</f>
        <v/>
      </c>
      <c r="D17847">
        <f>IF(B17847="","",HOUR(A17847))</f>
        <v/>
      </c>
    </row>
    <row r="17848">
      <c r="A17848">
        <f>Input!A17848</f>
        <v/>
      </c>
      <c r="B17848">
        <f>IF(ISNUMBER(Input!B17848),IF(AND(Input!B17848&gt;=20,Input!B17848&lt;=700),Input!B17848,""),"")</f>
        <v/>
      </c>
      <c r="C17848">
        <f>IF(B17848="","",INT(A17848))</f>
        <v/>
      </c>
      <c r="D17848">
        <f>IF(B17848="","",HOUR(A17848))</f>
        <v/>
      </c>
    </row>
    <row r="17849">
      <c r="A17849">
        <f>Input!A17849</f>
        <v/>
      </c>
      <c r="B17849">
        <f>IF(ISNUMBER(Input!B17849),IF(AND(Input!B17849&gt;=20,Input!B17849&lt;=700),Input!B17849,""),"")</f>
        <v/>
      </c>
      <c r="C17849">
        <f>IF(B17849="","",INT(A17849))</f>
        <v/>
      </c>
      <c r="D17849">
        <f>IF(B17849="","",HOUR(A17849))</f>
        <v/>
      </c>
    </row>
    <row r="17850">
      <c r="A17850">
        <f>Input!A17850</f>
        <v/>
      </c>
      <c r="B17850">
        <f>IF(ISNUMBER(Input!B17850),IF(AND(Input!B17850&gt;=20,Input!B17850&lt;=700),Input!B17850,""),"")</f>
        <v/>
      </c>
      <c r="C17850">
        <f>IF(B17850="","",INT(A17850))</f>
        <v/>
      </c>
      <c r="D17850">
        <f>IF(B17850="","",HOUR(A17850))</f>
        <v/>
      </c>
    </row>
    <row r="17851">
      <c r="A17851">
        <f>Input!A17851</f>
        <v/>
      </c>
      <c r="B17851">
        <f>IF(ISNUMBER(Input!B17851),IF(AND(Input!B17851&gt;=20,Input!B17851&lt;=700),Input!B17851,""),"")</f>
        <v/>
      </c>
      <c r="C17851">
        <f>IF(B17851="","",INT(A17851))</f>
        <v/>
      </c>
      <c r="D17851">
        <f>IF(B17851="","",HOUR(A17851))</f>
        <v/>
      </c>
    </row>
    <row r="17852">
      <c r="A17852">
        <f>Input!A17852</f>
        <v/>
      </c>
      <c r="B17852">
        <f>IF(ISNUMBER(Input!B17852),IF(AND(Input!B17852&gt;=20,Input!B17852&lt;=700),Input!B17852,""),"")</f>
        <v/>
      </c>
      <c r="C17852">
        <f>IF(B17852="","",INT(A17852))</f>
        <v/>
      </c>
      <c r="D17852">
        <f>IF(B17852="","",HOUR(A17852))</f>
        <v/>
      </c>
    </row>
    <row r="17853">
      <c r="A17853">
        <f>Input!A17853</f>
        <v/>
      </c>
      <c r="B17853">
        <f>IF(ISNUMBER(Input!B17853),IF(AND(Input!B17853&gt;=20,Input!B17853&lt;=700),Input!B17853,""),"")</f>
        <v/>
      </c>
      <c r="C17853">
        <f>IF(B17853="","",INT(A17853))</f>
        <v/>
      </c>
      <c r="D17853">
        <f>IF(B17853="","",HOUR(A17853))</f>
        <v/>
      </c>
    </row>
    <row r="17854">
      <c r="A17854">
        <f>Input!A17854</f>
        <v/>
      </c>
      <c r="B17854">
        <f>IF(ISNUMBER(Input!B17854),IF(AND(Input!B17854&gt;=20,Input!B17854&lt;=700),Input!B17854,""),"")</f>
        <v/>
      </c>
      <c r="C17854">
        <f>IF(B17854="","",INT(A17854))</f>
        <v/>
      </c>
      <c r="D17854">
        <f>IF(B17854="","",HOUR(A17854))</f>
        <v/>
      </c>
    </row>
    <row r="17855">
      <c r="A17855">
        <f>Input!A17855</f>
        <v/>
      </c>
      <c r="B17855">
        <f>IF(ISNUMBER(Input!B17855),IF(AND(Input!B17855&gt;=20,Input!B17855&lt;=700),Input!B17855,""),"")</f>
        <v/>
      </c>
      <c r="C17855">
        <f>IF(B17855="","",INT(A17855))</f>
        <v/>
      </c>
      <c r="D17855">
        <f>IF(B17855="","",HOUR(A17855))</f>
        <v/>
      </c>
    </row>
    <row r="17856">
      <c r="A17856">
        <f>Input!A17856</f>
        <v/>
      </c>
      <c r="B17856">
        <f>IF(ISNUMBER(Input!B17856),IF(AND(Input!B17856&gt;=20,Input!B17856&lt;=700),Input!B17856,""),"")</f>
        <v/>
      </c>
      <c r="C17856">
        <f>IF(B17856="","",INT(A17856))</f>
        <v/>
      </c>
      <c r="D17856">
        <f>IF(B17856="","",HOUR(A17856))</f>
        <v/>
      </c>
    </row>
    <row r="17857">
      <c r="A17857">
        <f>Input!A17857</f>
        <v/>
      </c>
      <c r="B17857">
        <f>IF(ISNUMBER(Input!B17857),IF(AND(Input!B17857&gt;=20,Input!B17857&lt;=700),Input!B17857,""),"")</f>
        <v/>
      </c>
      <c r="C17857">
        <f>IF(B17857="","",INT(A17857))</f>
        <v/>
      </c>
      <c r="D17857">
        <f>IF(B17857="","",HOUR(A17857))</f>
        <v/>
      </c>
    </row>
    <row r="17858">
      <c r="A17858">
        <f>Input!A17858</f>
        <v/>
      </c>
      <c r="B17858">
        <f>IF(ISNUMBER(Input!B17858),IF(AND(Input!B17858&gt;=20,Input!B17858&lt;=700),Input!B17858,""),"")</f>
        <v/>
      </c>
      <c r="C17858">
        <f>IF(B17858="","",INT(A17858))</f>
        <v/>
      </c>
      <c r="D17858">
        <f>IF(B17858="","",HOUR(A17858))</f>
        <v/>
      </c>
    </row>
    <row r="17859">
      <c r="A17859">
        <f>Input!A17859</f>
        <v/>
      </c>
      <c r="B17859">
        <f>IF(ISNUMBER(Input!B17859),IF(AND(Input!B17859&gt;=20,Input!B17859&lt;=700),Input!B17859,""),"")</f>
        <v/>
      </c>
      <c r="C17859">
        <f>IF(B17859="","",INT(A17859))</f>
        <v/>
      </c>
      <c r="D17859">
        <f>IF(B17859="","",HOUR(A17859))</f>
        <v/>
      </c>
    </row>
    <row r="17860">
      <c r="A17860">
        <f>Input!A17860</f>
        <v/>
      </c>
      <c r="B17860">
        <f>IF(ISNUMBER(Input!B17860),IF(AND(Input!B17860&gt;=20,Input!B17860&lt;=700),Input!B17860,""),"")</f>
        <v/>
      </c>
      <c r="C17860">
        <f>IF(B17860="","",INT(A17860))</f>
        <v/>
      </c>
      <c r="D17860">
        <f>IF(B17860="","",HOUR(A17860))</f>
        <v/>
      </c>
    </row>
    <row r="17861">
      <c r="A17861">
        <f>Input!A17861</f>
        <v/>
      </c>
      <c r="B17861">
        <f>IF(ISNUMBER(Input!B17861),IF(AND(Input!B17861&gt;=20,Input!B17861&lt;=700),Input!B17861,""),"")</f>
        <v/>
      </c>
      <c r="C17861">
        <f>IF(B17861="","",INT(A17861))</f>
        <v/>
      </c>
      <c r="D17861">
        <f>IF(B17861="","",HOUR(A17861))</f>
        <v/>
      </c>
    </row>
    <row r="17862">
      <c r="A17862">
        <f>Input!A17862</f>
        <v/>
      </c>
      <c r="B17862">
        <f>IF(ISNUMBER(Input!B17862),IF(AND(Input!B17862&gt;=20,Input!B17862&lt;=700),Input!B17862,""),"")</f>
        <v/>
      </c>
      <c r="C17862">
        <f>IF(B17862="","",INT(A17862))</f>
        <v/>
      </c>
      <c r="D17862">
        <f>IF(B17862="","",HOUR(A17862))</f>
        <v/>
      </c>
    </row>
    <row r="17863">
      <c r="A17863">
        <f>Input!A17863</f>
        <v/>
      </c>
      <c r="B17863">
        <f>IF(ISNUMBER(Input!B17863),IF(AND(Input!B17863&gt;=20,Input!B17863&lt;=700),Input!B17863,""),"")</f>
        <v/>
      </c>
      <c r="C17863">
        <f>IF(B17863="","",INT(A17863))</f>
        <v/>
      </c>
      <c r="D17863">
        <f>IF(B17863="","",HOUR(A17863))</f>
        <v/>
      </c>
    </row>
    <row r="17864">
      <c r="A17864">
        <f>Input!A17864</f>
        <v/>
      </c>
      <c r="B17864">
        <f>IF(ISNUMBER(Input!B17864),IF(AND(Input!B17864&gt;=20,Input!B17864&lt;=700),Input!B17864,""),"")</f>
        <v/>
      </c>
      <c r="C17864">
        <f>IF(B17864="","",INT(A17864))</f>
        <v/>
      </c>
      <c r="D17864">
        <f>IF(B17864="","",HOUR(A17864))</f>
        <v/>
      </c>
    </row>
    <row r="17865">
      <c r="A17865">
        <f>Input!A17865</f>
        <v/>
      </c>
      <c r="B17865">
        <f>IF(ISNUMBER(Input!B17865),IF(AND(Input!B17865&gt;=20,Input!B17865&lt;=700),Input!B17865,""),"")</f>
        <v/>
      </c>
      <c r="C17865">
        <f>IF(B17865="","",INT(A17865))</f>
        <v/>
      </c>
      <c r="D17865">
        <f>IF(B17865="","",HOUR(A17865))</f>
        <v/>
      </c>
    </row>
    <row r="17866">
      <c r="A17866">
        <f>Input!A17866</f>
        <v/>
      </c>
      <c r="B17866">
        <f>IF(ISNUMBER(Input!B17866),IF(AND(Input!B17866&gt;=20,Input!B17866&lt;=700),Input!B17866,""),"")</f>
        <v/>
      </c>
      <c r="C17866">
        <f>IF(B17866="","",INT(A17866))</f>
        <v/>
      </c>
      <c r="D17866">
        <f>IF(B17866="","",HOUR(A17866))</f>
        <v/>
      </c>
    </row>
    <row r="17867">
      <c r="A17867">
        <f>Input!A17867</f>
        <v/>
      </c>
      <c r="B17867">
        <f>IF(ISNUMBER(Input!B17867),IF(AND(Input!B17867&gt;=20,Input!B17867&lt;=700),Input!B17867,""),"")</f>
        <v/>
      </c>
      <c r="C17867">
        <f>IF(B17867="","",INT(A17867))</f>
        <v/>
      </c>
      <c r="D17867">
        <f>IF(B17867="","",HOUR(A17867))</f>
        <v/>
      </c>
    </row>
    <row r="17868">
      <c r="A17868">
        <f>Input!A17868</f>
        <v/>
      </c>
      <c r="B17868">
        <f>IF(ISNUMBER(Input!B17868),IF(AND(Input!B17868&gt;=20,Input!B17868&lt;=700),Input!B17868,""),"")</f>
        <v/>
      </c>
      <c r="C17868">
        <f>IF(B17868="","",INT(A17868))</f>
        <v/>
      </c>
      <c r="D17868">
        <f>IF(B17868="","",HOUR(A17868))</f>
        <v/>
      </c>
    </row>
    <row r="17869">
      <c r="A17869">
        <f>Input!A17869</f>
        <v/>
      </c>
      <c r="B17869">
        <f>IF(ISNUMBER(Input!B17869),IF(AND(Input!B17869&gt;=20,Input!B17869&lt;=700),Input!B17869,""),"")</f>
        <v/>
      </c>
      <c r="C17869">
        <f>IF(B17869="","",INT(A17869))</f>
        <v/>
      </c>
      <c r="D17869">
        <f>IF(B17869="","",HOUR(A17869))</f>
        <v/>
      </c>
    </row>
    <row r="17870">
      <c r="A17870">
        <f>Input!A17870</f>
        <v/>
      </c>
      <c r="B17870">
        <f>IF(ISNUMBER(Input!B17870),IF(AND(Input!B17870&gt;=20,Input!B17870&lt;=700),Input!B17870,""),"")</f>
        <v/>
      </c>
      <c r="C17870">
        <f>IF(B17870="","",INT(A17870))</f>
        <v/>
      </c>
      <c r="D17870">
        <f>IF(B17870="","",HOUR(A17870))</f>
        <v/>
      </c>
    </row>
    <row r="17871">
      <c r="A17871">
        <f>Input!A17871</f>
        <v/>
      </c>
      <c r="B17871">
        <f>IF(ISNUMBER(Input!B17871),IF(AND(Input!B17871&gt;=20,Input!B17871&lt;=700),Input!B17871,""),"")</f>
        <v/>
      </c>
      <c r="C17871">
        <f>IF(B17871="","",INT(A17871))</f>
        <v/>
      </c>
      <c r="D17871">
        <f>IF(B17871="","",HOUR(A17871))</f>
        <v/>
      </c>
    </row>
    <row r="17872">
      <c r="A17872">
        <f>Input!A17872</f>
        <v/>
      </c>
      <c r="B17872">
        <f>IF(ISNUMBER(Input!B17872),IF(AND(Input!B17872&gt;=20,Input!B17872&lt;=700),Input!B17872,""),"")</f>
        <v/>
      </c>
      <c r="C17872">
        <f>IF(B17872="","",INT(A17872))</f>
        <v/>
      </c>
      <c r="D17872">
        <f>IF(B17872="","",HOUR(A17872))</f>
        <v/>
      </c>
    </row>
    <row r="17873">
      <c r="A17873">
        <f>Input!A17873</f>
        <v/>
      </c>
      <c r="B17873">
        <f>IF(ISNUMBER(Input!B17873),IF(AND(Input!B17873&gt;=20,Input!B17873&lt;=700),Input!B17873,""),"")</f>
        <v/>
      </c>
      <c r="C17873">
        <f>IF(B17873="","",INT(A17873))</f>
        <v/>
      </c>
      <c r="D17873">
        <f>IF(B17873="","",HOUR(A17873))</f>
        <v/>
      </c>
    </row>
    <row r="17874">
      <c r="A17874">
        <f>Input!A17874</f>
        <v/>
      </c>
      <c r="B17874">
        <f>IF(ISNUMBER(Input!B17874),IF(AND(Input!B17874&gt;=20,Input!B17874&lt;=700),Input!B17874,""),"")</f>
        <v/>
      </c>
      <c r="C17874">
        <f>IF(B17874="","",INT(A17874))</f>
        <v/>
      </c>
      <c r="D17874">
        <f>IF(B17874="","",HOUR(A17874))</f>
        <v/>
      </c>
    </row>
    <row r="17875">
      <c r="A17875">
        <f>Input!A17875</f>
        <v/>
      </c>
      <c r="B17875">
        <f>IF(ISNUMBER(Input!B17875),IF(AND(Input!B17875&gt;=20,Input!B17875&lt;=700),Input!B17875,""),"")</f>
        <v/>
      </c>
      <c r="C17875">
        <f>IF(B17875="","",INT(A17875))</f>
        <v/>
      </c>
      <c r="D17875">
        <f>IF(B17875="","",HOUR(A17875))</f>
        <v/>
      </c>
    </row>
    <row r="17876">
      <c r="A17876">
        <f>Input!A17876</f>
        <v/>
      </c>
      <c r="B17876">
        <f>IF(ISNUMBER(Input!B17876),IF(AND(Input!B17876&gt;=20,Input!B17876&lt;=700),Input!B17876,""),"")</f>
        <v/>
      </c>
      <c r="C17876">
        <f>IF(B17876="","",INT(A17876))</f>
        <v/>
      </c>
      <c r="D17876">
        <f>IF(B17876="","",HOUR(A17876))</f>
        <v/>
      </c>
    </row>
    <row r="17877">
      <c r="A17877">
        <f>Input!A17877</f>
        <v/>
      </c>
      <c r="B17877">
        <f>IF(ISNUMBER(Input!B17877),IF(AND(Input!B17877&gt;=20,Input!B17877&lt;=700),Input!B17877,""),"")</f>
        <v/>
      </c>
      <c r="C17877">
        <f>IF(B17877="","",INT(A17877))</f>
        <v/>
      </c>
      <c r="D17877">
        <f>IF(B17877="","",HOUR(A17877))</f>
        <v/>
      </c>
    </row>
    <row r="17878">
      <c r="A17878">
        <f>Input!A17878</f>
        <v/>
      </c>
      <c r="B17878">
        <f>IF(ISNUMBER(Input!B17878),IF(AND(Input!B17878&gt;=20,Input!B17878&lt;=700),Input!B17878,""),"")</f>
        <v/>
      </c>
      <c r="C17878">
        <f>IF(B17878="","",INT(A17878))</f>
        <v/>
      </c>
      <c r="D17878">
        <f>IF(B17878="","",HOUR(A17878))</f>
        <v/>
      </c>
    </row>
    <row r="17879">
      <c r="A17879">
        <f>Input!A17879</f>
        <v/>
      </c>
      <c r="B17879">
        <f>IF(ISNUMBER(Input!B17879),IF(AND(Input!B17879&gt;=20,Input!B17879&lt;=700),Input!B17879,""),"")</f>
        <v/>
      </c>
      <c r="C17879">
        <f>IF(B17879="","",INT(A17879))</f>
        <v/>
      </c>
      <c r="D17879">
        <f>IF(B17879="","",HOUR(A17879))</f>
        <v/>
      </c>
    </row>
    <row r="17880">
      <c r="A17880">
        <f>Input!A17880</f>
        <v/>
      </c>
      <c r="B17880">
        <f>IF(ISNUMBER(Input!B17880),IF(AND(Input!B17880&gt;=20,Input!B17880&lt;=700),Input!B17880,""),"")</f>
        <v/>
      </c>
      <c r="C17880">
        <f>IF(B17880="","",INT(A17880))</f>
        <v/>
      </c>
      <c r="D17880">
        <f>IF(B17880="","",HOUR(A17880))</f>
        <v/>
      </c>
    </row>
    <row r="17881">
      <c r="A17881">
        <f>Input!A17881</f>
        <v/>
      </c>
      <c r="B17881">
        <f>IF(ISNUMBER(Input!B17881),IF(AND(Input!B17881&gt;=20,Input!B17881&lt;=700),Input!B17881,""),"")</f>
        <v/>
      </c>
      <c r="C17881">
        <f>IF(B17881="","",INT(A17881))</f>
        <v/>
      </c>
      <c r="D17881">
        <f>IF(B17881="","",HOUR(A17881))</f>
        <v/>
      </c>
    </row>
    <row r="17882">
      <c r="A17882">
        <f>Input!A17882</f>
        <v/>
      </c>
      <c r="B17882">
        <f>IF(ISNUMBER(Input!B17882),IF(AND(Input!B17882&gt;=20,Input!B17882&lt;=700),Input!B17882,""),"")</f>
        <v/>
      </c>
      <c r="C17882">
        <f>IF(B17882="","",INT(A17882))</f>
        <v/>
      </c>
      <c r="D17882">
        <f>IF(B17882="","",HOUR(A17882))</f>
        <v/>
      </c>
    </row>
    <row r="17883">
      <c r="A17883">
        <f>Input!A17883</f>
        <v/>
      </c>
      <c r="B17883">
        <f>IF(ISNUMBER(Input!B17883),IF(AND(Input!B17883&gt;=20,Input!B17883&lt;=700),Input!B17883,""),"")</f>
        <v/>
      </c>
      <c r="C17883">
        <f>IF(B17883="","",INT(A17883))</f>
        <v/>
      </c>
      <c r="D17883">
        <f>IF(B17883="","",HOUR(A17883))</f>
        <v/>
      </c>
    </row>
    <row r="17884">
      <c r="A17884">
        <f>Input!A17884</f>
        <v/>
      </c>
      <c r="B17884">
        <f>IF(ISNUMBER(Input!B17884),IF(AND(Input!B17884&gt;=20,Input!B17884&lt;=700),Input!B17884,""),"")</f>
        <v/>
      </c>
      <c r="C17884">
        <f>IF(B17884="","",INT(A17884))</f>
        <v/>
      </c>
      <c r="D17884">
        <f>IF(B17884="","",HOUR(A17884))</f>
        <v/>
      </c>
    </row>
    <row r="17885">
      <c r="A17885">
        <f>Input!A17885</f>
        <v/>
      </c>
      <c r="B17885">
        <f>IF(ISNUMBER(Input!B17885),IF(AND(Input!B17885&gt;=20,Input!B17885&lt;=700),Input!B17885,""),"")</f>
        <v/>
      </c>
      <c r="C17885">
        <f>IF(B17885="","",INT(A17885))</f>
        <v/>
      </c>
      <c r="D17885">
        <f>IF(B17885="","",HOUR(A17885))</f>
        <v/>
      </c>
    </row>
    <row r="17886">
      <c r="A17886">
        <f>Input!A17886</f>
        <v/>
      </c>
      <c r="B17886">
        <f>IF(ISNUMBER(Input!B17886),IF(AND(Input!B17886&gt;=20,Input!B17886&lt;=700),Input!B17886,""),"")</f>
        <v/>
      </c>
      <c r="C17886">
        <f>IF(B17886="","",INT(A17886))</f>
        <v/>
      </c>
      <c r="D17886">
        <f>IF(B17886="","",HOUR(A17886))</f>
        <v/>
      </c>
    </row>
    <row r="17887">
      <c r="A17887">
        <f>Input!A17887</f>
        <v/>
      </c>
      <c r="B17887">
        <f>IF(ISNUMBER(Input!B17887),IF(AND(Input!B17887&gt;=20,Input!B17887&lt;=700),Input!B17887,""),"")</f>
        <v/>
      </c>
      <c r="C17887">
        <f>IF(B17887="","",INT(A17887))</f>
        <v/>
      </c>
      <c r="D17887">
        <f>IF(B17887="","",HOUR(A17887))</f>
        <v/>
      </c>
    </row>
    <row r="17888">
      <c r="A17888">
        <f>Input!A17888</f>
        <v/>
      </c>
      <c r="B17888">
        <f>IF(ISNUMBER(Input!B17888),IF(AND(Input!B17888&gt;=20,Input!B17888&lt;=700),Input!B17888,""),"")</f>
        <v/>
      </c>
      <c r="C17888">
        <f>IF(B17888="","",INT(A17888))</f>
        <v/>
      </c>
      <c r="D17888">
        <f>IF(B17888="","",HOUR(A17888))</f>
        <v/>
      </c>
    </row>
    <row r="17889">
      <c r="A17889">
        <f>Input!A17889</f>
        <v/>
      </c>
      <c r="B17889">
        <f>IF(ISNUMBER(Input!B17889),IF(AND(Input!B17889&gt;=20,Input!B17889&lt;=700),Input!B17889,""),"")</f>
        <v/>
      </c>
      <c r="C17889">
        <f>IF(B17889="","",INT(A17889))</f>
        <v/>
      </c>
      <c r="D17889">
        <f>IF(B17889="","",HOUR(A17889))</f>
        <v/>
      </c>
    </row>
    <row r="17890">
      <c r="A17890">
        <f>Input!A17890</f>
        <v/>
      </c>
      <c r="B17890">
        <f>IF(ISNUMBER(Input!B17890),IF(AND(Input!B17890&gt;=20,Input!B17890&lt;=700),Input!B17890,""),"")</f>
        <v/>
      </c>
      <c r="C17890">
        <f>IF(B17890="","",INT(A17890))</f>
        <v/>
      </c>
      <c r="D17890">
        <f>IF(B17890="","",HOUR(A17890))</f>
        <v/>
      </c>
    </row>
    <row r="17891">
      <c r="A17891">
        <f>Input!A17891</f>
        <v/>
      </c>
      <c r="B17891">
        <f>IF(ISNUMBER(Input!B17891),IF(AND(Input!B17891&gt;=20,Input!B17891&lt;=700),Input!B17891,""),"")</f>
        <v/>
      </c>
      <c r="C17891">
        <f>IF(B17891="","",INT(A17891))</f>
        <v/>
      </c>
      <c r="D17891">
        <f>IF(B17891="","",HOUR(A17891))</f>
        <v/>
      </c>
    </row>
    <row r="17892">
      <c r="A17892">
        <f>Input!A17892</f>
        <v/>
      </c>
      <c r="B17892">
        <f>IF(ISNUMBER(Input!B17892),IF(AND(Input!B17892&gt;=20,Input!B17892&lt;=700),Input!B17892,""),"")</f>
        <v/>
      </c>
      <c r="C17892">
        <f>IF(B17892="","",INT(A17892))</f>
        <v/>
      </c>
      <c r="D17892">
        <f>IF(B17892="","",HOUR(A17892))</f>
        <v/>
      </c>
    </row>
    <row r="17893">
      <c r="A17893">
        <f>Input!A17893</f>
        <v/>
      </c>
      <c r="B17893">
        <f>IF(ISNUMBER(Input!B17893),IF(AND(Input!B17893&gt;=20,Input!B17893&lt;=700),Input!B17893,""),"")</f>
        <v/>
      </c>
      <c r="C17893">
        <f>IF(B17893="","",INT(A17893))</f>
        <v/>
      </c>
      <c r="D17893">
        <f>IF(B17893="","",HOUR(A17893))</f>
        <v/>
      </c>
    </row>
    <row r="17894">
      <c r="A17894">
        <f>Input!A17894</f>
        <v/>
      </c>
      <c r="B17894">
        <f>IF(ISNUMBER(Input!B17894),IF(AND(Input!B17894&gt;=20,Input!B17894&lt;=700),Input!B17894,""),"")</f>
        <v/>
      </c>
      <c r="C17894">
        <f>IF(B17894="","",INT(A17894))</f>
        <v/>
      </c>
      <c r="D17894">
        <f>IF(B17894="","",HOUR(A17894))</f>
        <v/>
      </c>
    </row>
    <row r="17895">
      <c r="A17895">
        <f>Input!A17895</f>
        <v/>
      </c>
      <c r="B17895">
        <f>IF(ISNUMBER(Input!B17895),IF(AND(Input!B17895&gt;=20,Input!B17895&lt;=700),Input!B17895,""),"")</f>
        <v/>
      </c>
      <c r="C17895">
        <f>IF(B17895="","",INT(A17895))</f>
        <v/>
      </c>
      <c r="D17895">
        <f>IF(B17895="","",HOUR(A17895))</f>
        <v/>
      </c>
    </row>
    <row r="17896">
      <c r="A17896">
        <f>Input!A17896</f>
        <v/>
      </c>
      <c r="B17896">
        <f>IF(ISNUMBER(Input!B17896),IF(AND(Input!B17896&gt;=20,Input!B17896&lt;=700),Input!B17896,""),"")</f>
        <v/>
      </c>
      <c r="C17896">
        <f>IF(B17896="","",INT(A17896))</f>
        <v/>
      </c>
      <c r="D17896">
        <f>IF(B17896="","",HOUR(A17896))</f>
        <v/>
      </c>
    </row>
    <row r="17897">
      <c r="A17897">
        <f>Input!A17897</f>
        <v/>
      </c>
      <c r="B17897">
        <f>IF(ISNUMBER(Input!B17897),IF(AND(Input!B17897&gt;=20,Input!B17897&lt;=700),Input!B17897,""),"")</f>
        <v/>
      </c>
      <c r="C17897">
        <f>IF(B17897="","",INT(A17897))</f>
        <v/>
      </c>
      <c r="D17897">
        <f>IF(B17897="","",HOUR(A17897))</f>
        <v/>
      </c>
    </row>
    <row r="17898">
      <c r="A17898">
        <f>Input!A17898</f>
        <v/>
      </c>
      <c r="B17898">
        <f>IF(ISNUMBER(Input!B17898),IF(AND(Input!B17898&gt;=20,Input!B17898&lt;=700),Input!B17898,""),"")</f>
        <v/>
      </c>
      <c r="C17898">
        <f>IF(B17898="","",INT(A17898))</f>
        <v/>
      </c>
      <c r="D17898">
        <f>IF(B17898="","",HOUR(A17898))</f>
        <v/>
      </c>
    </row>
    <row r="17899">
      <c r="A17899">
        <f>Input!A17899</f>
        <v/>
      </c>
      <c r="B17899">
        <f>IF(ISNUMBER(Input!B17899),IF(AND(Input!B17899&gt;=20,Input!B17899&lt;=700),Input!B17899,""),"")</f>
        <v/>
      </c>
      <c r="C17899">
        <f>IF(B17899="","",INT(A17899))</f>
        <v/>
      </c>
      <c r="D17899">
        <f>IF(B17899="","",HOUR(A17899))</f>
        <v/>
      </c>
    </row>
    <row r="17900">
      <c r="A17900">
        <f>Input!A17900</f>
        <v/>
      </c>
      <c r="B17900">
        <f>IF(ISNUMBER(Input!B17900),IF(AND(Input!B17900&gt;=20,Input!B17900&lt;=700),Input!B17900,""),"")</f>
        <v/>
      </c>
      <c r="C17900">
        <f>IF(B17900="","",INT(A17900))</f>
        <v/>
      </c>
      <c r="D17900">
        <f>IF(B17900="","",HOUR(A17900))</f>
        <v/>
      </c>
    </row>
    <row r="17901">
      <c r="A17901">
        <f>Input!A17901</f>
        <v/>
      </c>
      <c r="B17901">
        <f>IF(ISNUMBER(Input!B17901),IF(AND(Input!B17901&gt;=20,Input!B17901&lt;=700),Input!B17901,""),"")</f>
        <v/>
      </c>
      <c r="C17901">
        <f>IF(B17901="","",INT(A17901))</f>
        <v/>
      </c>
      <c r="D17901">
        <f>IF(B17901="","",HOUR(A17901))</f>
        <v/>
      </c>
    </row>
    <row r="17902">
      <c r="A17902">
        <f>Input!A17902</f>
        <v/>
      </c>
      <c r="B17902">
        <f>IF(ISNUMBER(Input!B17902),IF(AND(Input!B17902&gt;=20,Input!B17902&lt;=700),Input!B17902,""),"")</f>
        <v/>
      </c>
      <c r="C17902">
        <f>IF(B17902="","",INT(A17902))</f>
        <v/>
      </c>
      <c r="D17902">
        <f>IF(B17902="","",HOUR(A17902))</f>
        <v/>
      </c>
    </row>
    <row r="17903">
      <c r="A17903">
        <f>Input!A17903</f>
        <v/>
      </c>
      <c r="B17903">
        <f>IF(ISNUMBER(Input!B17903),IF(AND(Input!B17903&gt;=20,Input!B17903&lt;=700),Input!B17903,""),"")</f>
        <v/>
      </c>
      <c r="C17903">
        <f>IF(B17903="","",INT(A17903))</f>
        <v/>
      </c>
      <c r="D17903">
        <f>IF(B17903="","",HOUR(A17903))</f>
        <v/>
      </c>
    </row>
    <row r="17904">
      <c r="A17904">
        <f>Input!A17904</f>
        <v/>
      </c>
      <c r="B17904">
        <f>IF(ISNUMBER(Input!B17904),IF(AND(Input!B17904&gt;=20,Input!B17904&lt;=700),Input!B17904,""),"")</f>
        <v/>
      </c>
      <c r="C17904">
        <f>IF(B17904="","",INT(A17904))</f>
        <v/>
      </c>
      <c r="D17904">
        <f>IF(B17904="","",HOUR(A17904))</f>
        <v/>
      </c>
    </row>
    <row r="17905">
      <c r="A17905">
        <f>Input!A17905</f>
        <v/>
      </c>
      <c r="B17905">
        <f>IF(ISNUMBER(Input!B17905),IF(AND(Input!B17905&gt;=20,Input!B17905&lt;=700),Input!B17905,""),"")</f>
        <v/>
      </c>
      <c r="C17905">
        <f>IF(B17905="","",INT(A17905))</f>
        <v/>
      </c>
      <c r="D17905">
        <f>IF(B17905="","",HOUR(A17905))</f>
        <v/>
      </c>
    </row>
    <row r="17906">
      <c r="A17906">
        <f>Input!A17906</f>
        <v/>
      </c>
      <c r="B17906">
        <f>IF(ISNUMBER(Input!B17906),IF(AND(Input!B17906&gt;=20,Input!B17906&lt;=700),Input!B17906,""),"")</f>
        <v/>
      </c>
      <c r="C17906">
        <f>IF(B17906="","",INT(A17906))</f>
        <v/>
      </c>
      <c r="D17906">
        <f>IF(B17906="","",HOUR(A17906))</f>
        <v/>
      </c>
    </row>
    <row r="17907">
      <c r="A17907">
        <f>Input!A17907</f>
        <v/>
      </c>
      <c r="B17907">
        <f>IF(ISNUMBER(Input!B17907),IF(AND(Input!B17907&gt;=20,Input!B17907&lt;=700),Input!B17907,""),"")</f>
        <v/>
      </c>
      <c r="C17907">
        <f>IF(B17907="","",INT(A17907))</f>
        <v/>
      </c>
      <c r="D17907">
        <f>IF(B17907="","",HOUR(A17907))</f>
        <v/>
      </c>
    </row>
    <row r="17908">
      <c r="A17908">
        <f>Input!A17908</f>
        <v/>
      </c>
      <c r="B17908">
        <f>IF(ISNUMBER(Input!B17908),IF(AND(Input!B17908&gt;=20,Input!B17908&lt;=700),Input!B17908,""),"")</f>
        <v/>
      </c>
      <c r="C17908">
        <f>IF(B17908="","",INT(A17908))</f>
        <v/>
      </c>
      <c r="D17908">
        <f>IF(B17908="","",HOUR(A17908))</f>
        <v/>
      </c>
    </row>
    <row r="17909">
      <c r="A17909">
        <f>Input!A17909</f>
        <v/>
      </c>
      <c r="B17909">
        <f>IF(ISNUMBER(Input!B17909),IF(AND(Input!B17909&gt;=20,Input!B17909&lt;=700),Input!B17909,""),"")</f>
        <v/>
      </c>
      <c r="C17909">
        <f>IF(B17909="","",INT(A17909))</f>
        <v/>
      </c>
      <c r="D17909">
        <f>IF(B17909="","",HOUR(A17909))</f>
        <v/>
      </c>
    </row>
    <row r="17910">
      <c r="A17910">
        <f>Input!A17910</f>
        <v/>
      </c>
      <c r="B17910">
        <f>IF(ISNUMBER(Input!B17910),IF(AND(Input!B17910&gt;=20,Input!B17910&lt;=700),Input!B17910,""),"")</f>
        <v/>
      </c>
      <c r="C17910">
        <f>IF(B17910="","",INT(A17910))</f>
        <v/>
      </c>
      <c r="D17910">
        <f>IF(B17910="","",HOUR(A17910))</f>
        <v/>
      </c>
    </row>
    <row r="17911">
      <c r="A17911">
        <f>Input!A17911</f>
        <v/>
      </c>
      <c r="B17911">
        <f>IF(ISNUMBER(Input!B17911),IF(AND(Input!B17911&gt;=20,Input!B17911&lt;=700),Input!B17911,""),"")</f>
        <v/>
      </c>
      <c r="C17911">
        <f>IF(B17911="","",INT(A17911))</f>
        <v/>
      </c>
      <c r="D17911">
        <f>IF(B17911="","",HOUR(A17911))</f>
        <v/>
      </c>
    </row>
    <row r="17912">
      <c r="A17912">
        <f>Input!A17912</f>
        <v/>
      </c>
      <c r="B17912">
        <f>IF(ISNUMBER(Input!B17912),IF(AND(Input!B17912&gt;=20,Input!B17912&lt;=700),Input!B17912,""),"")</f>
        <v/>
      </c>
      <c r="C17912">
        <f>IF(B17912="","",INT(A17912))</f>
        <v/>
      </c>
      <c r="D17912">
        <f>IF(B17912="","",HOUR(A17912))</f>
        <v/>
      </c>
    </row>
    <row r="17913">
      <c r="A17913">
        <f>Input!A17913</f>
        <v/>
      </c>
      <c r="B17913">
        <f>IF(ISNUMBER(Input!B17913),IF(AND(Input!B17913&gt;=20,Input!B17913&lt;=700),Input!B17913,""),"")</f>
        <v/>
      </c>
      <c r="C17913">
        <f>IF(B17913="","",INT(A17913))</f>
        <v/>
      </c>
      <c r="D17913">
        <f>IF(B17913="","",HOUR(A17913))</f>
        <v/>
      </c>
    </row>
    <row r="17914">
      <c r="A17914">
        <f>Input!A17914</f>
        <v/>
      </c>
      <c r="B17914">
        <f>IF(ISNUMBER(Input!B17914),IF(AND(Input!B17914&gt;=20,Input!B17914&lt;=700),Input!B17914,""),"")</f>
        <v/>
      </c>
      <c r="C17914">
        <f>IF(B17914="","",INT(A17914))</f>
        <v/>
      </c>
      <c r="D17914">
        <f>IF(B17914="","",HOUR(A17914))</f>
        <v/>
      </c>
    </row>
    <row r="17915">
      <c r="A17915">
        <f>Input!A17915</f>
        <v/>
      </c>
      <c r="B17915">
        <f>IF(ISNUMBER(Input!B17915),IF(AND(Input!B17915&gt;=20,Input!B17915&lt;=700),Input!B17915,""),"")</f>
        <v/>
      </c>
      <c r="C17915">
        <f>IF(B17915="","",INT(A17915))</f>
        <v/>
      </c>
      <c r="D17915">
        <f>IF(B17915="","",HOUR(A17915))</f>
        <v/>
      </c>
    </row>
    <row r="17916">
      <c r="A17916">
        <f>Input!A17916</f>
        <v/>
      </c>
      <c r="B17916">
        <f>IF(ISNUMBER(Input!B17916),IF(AND(Input!B17916&gt;=20,Input!B17916&lt;=700),Input!B17916,""),"")</f>
        <v/>
      </c>
      <c r="C17916">
        <f>IF(B17916="","",INT(A17916))</f>
        <v/>
      </c>
      <c r="D17916">
        <f>IF(B17916="","",HOUR(A17916))</f>
        <v/>
      </c>
    </row>
    <row r="17917">
      <c r="A17917">
        <f>Input!A17917</f>
        <v/>
      </c>
      <c r="B17917">
        <f>IF(ISNUMBER(Input!B17917),IF(AND(Input!B17917&gt;=20,Input!B17917&lt;=700),Input!B17917,""),"")</f>
        <v/>
      </c>
      <c r="C17917">
        <f>IF(B17917="","",INT(A17917))</f>
        <v/>
      </c>
      <c r="D17917">
        <f>IF(B17917="","",HOUR(A17917))</f>
        <v/>
      </c>
    </row>
    <row r="17918">
      <c r="A17918">
        <f>Input!A17918</f>
        <v/>
      </c>
      <c r="B17918">
        <f>IF(ISNUMBER(Input!B17918),IF(AND(Input!B17918&gt;=20,Input!B17918&lt;=700),Input!B17918,""),"")</f>
        <v/>
      </c>
      <c r="C17918">
        <f>IF(B17918="","",INT(A17918))</f>
        <v/>
      </c>
      <c r="D17918">
        <f>IF(B17918="","",HOUR(A17918))</f>
        <v/>
      </c>
    </row>
    <row r="17919">
      <c r="A17919">
        <f>Input!A17919</f>
        <v/>
      </c>
      <c r="B17919">
        <f>IF(ISNUMBER(Input!B17919),IF(AND(Input!B17919&gt;=20,Input!B17919&lt;=700),Input!B17919,""),"")</f>
        <v/>
      </c>
      <c r="C17919">
        <f>IF(B17919="","",INT(A17919))</f>
        <v/>
      </c>
      <c r="D17919">
        <f>IF(B17919="","",HOUR(A17919))</f>
        <v/>
      </c>
    </row>
    <row r="17920">
      <c r="A17920">
        <f>Input!A17920</f>
        <v/>
      </c>
      <c r="B17920">
        <f>IF(ISNUMBER(Input!B17920),IF(AND(Input!B17920&gt;=20,Input!B17920&lt;=700),Input!B17920,""),"")</f>
        <v/>
      </c>
      <c r="C17920">
        <f>IF(B17920="","",INT(A17920))</f>
        <v/>
      </c>
      <c r="D17920">
        <f>IF(B17920="","",HOUR(A17920))</f>
        <v/>
      </c>
    </row>
    <row r="17921">
      <c r="A17921">
        <f>Input!A17921</f>
        <v/>
      </c>
      <c r="B17921">
        <f>IF(ISNUMBER(Input!B17921),IF(AND(Input!B17921&gt;=20,Input!B17921&lt;=700),Input!B17921,""),"")</f>
        <v/>
      </c>
      <c r="C17921">
        <f>IF(B17921="","",INT(A17921))</f>
        <v/>
      </c>
      <c r="D17921">
        <f>IF(B17921="","",HOUR(A17921))</f>
        <v/>
      </c>
    </row>
    <row r="17922">
      <c r="A17922">
        <f>Input!A17922</f>
        <v/>
      </c>
      <c r="B17922">
        <f>IF(ISNUMBER(Input!B17922),IF(AND(Input!B17922&gt;=20,Input!B17922&lt;=700),Input!B17922,""),"")</f>
        <v/>
      </c>
      <c r="C17922">
        <f>IF(B17922="","",INT(A17922))</f>
        <v/>
      </c>
      <c r="D17922">
        <f>IF(B17922="","",HOUR(A17922))</f>
        <v/>
      </c>
    </row>
    <row r="17923">
      <c r="A17923">
        <f>Input!A17923</f>
        <v/>
      </c>
      <c r="B17923">
        <f>IF(ISNUMBER(Input!B17923),IF(AND(Input!B17923&gt;=20,Input!B17923&lt;=700),Input!B17923,""),"")</f>
        <v/>
      </c>
      <c r="C17923">
        <f>IF(B17923="","",INT(A17923))</f>
        <v/>
      </c>
      <c r="D17923">
        <f>IF(B17923="","",HOUR(A17923))</f>
        <v/>
      </c>
    </row>
    <row r="17924">
      <c r="A17924">
        <f>Input!A17924</f>
        <v/>
      </c>
      <c r="B17924">
        <f>IF(ISNUMBER(Input!B17924),IF(AND(Input!B17924&gt;=20,Input!B17924&lt;=700),Input!B17924,""),"")</f>
        <v/>
      </c>
      <c r="C17924">
        <f>IF(B17924="","",INT(A17924))</f>
        <v/>
      </c>
      <c r="D17924">
        <f>IF(B17924="","",HOUR(A17924))</f>
        <v/>
      </c>
    </row>
    <row r="17925">
      <c r="A17925">
        <f>Input!A17925</f>
        <v/>
      </c>
      <c r="B17925">
        <f>IF(ISNUMBER(Input!B17925),IF(AND(Input!B17925&gt;=20,Input!B17925&lt;=700),Input!B17925,""),"")</f>
        <v/>
      </c>
      <c r="C17925">
        <f>IF(B17925="","",INT(A17925))</f>
        <v/>
      </c>
      <c r="D17925">
        <f>IF(B17925="","",HOUR(A17925))</f>
        <v/>
      </c>
    </row>
    <row r="17926">
      <c r="A17926">
        <f>Input!A17926</f>
        <v/>
      </c>
      <c r="B17926">
        <f>IF(ISNUMBER(Input!B17926),IF(AND(Input!B17926&gt;=20,Input!B17926&lt;=700),Input!B17926,""),"")</f>
        <v/>
      </c>
      <c r="C17926">
        <f>IF(B17926="","",INT(A17926))</f>
        <v/>
      </c>
      <c r="D17926">
        <f>IF(B17926="","",HOUR(A17926))</f>
        <v/>
      </c>
    </row>
    <row r="17927">
      <c r="A17927">
        <f>Input!A17927</f>
        <v/>
      </c>
      <c r="B17927">
        <f>IF(ISNUMBER(Input!B17927),IF(AND(Input!B17927&gt;=20,Input!B17927&lt;=700),Input!B17927,""),"")</f>
        <v/>
      </c>
      <c r="C17927">
        <f>IF(B17927="","",INT(A17927))</f>
        <v/>
      </c>
      <c r="D17927">
        <f>IF(B17927="","",HOUR(A17927))</f>
        <v/>
      </c>
    </row>
    <row r="17928">
      <c r="A17928">
        <f>Input!A17928</f>
        <v/>
      </c>
      <c r="B17928">
        <f>IF(ISNUMBER(Input!B17928),IF(AND(Input!B17928&gt;=20,Input!B17928&lt;=700),Input!B17928,""),"")</f>
        <v/>
      </c>
      <c r="C17928">
        <f>IF(B17928="","",INT(A17928))</f>
        <v/>
      </c>
      <c r="D17928">
        <f>IF(B17928="","",HOUR(A17928))</f>
        <v/>
      </c>
    </row>
    <row r="17929">
      <c r="A17929">
        <f>Input!A17929</f>
        <v/>
      </c>
      <c r="B17929">
        <f>IF(ISNUMBER(Input!B17929),IF(AND(Input!B17929&gt;=20,Input!B17929&lt;=700),Input!B17929,""),"")</f>
        <v/>
      </c>
      <c r="C17929">
        <f>IF(B17929="","",INT(A17929))</f>
        <v/>
      </c>
      <c r="D17929">
        <f>IF(B17929="","",HOUR(A17929))</f>
        <v/>
      </c>
    </row>
    <row r="17930">
      <c r="A17930">
        <f>Input!A17930</f>
        <v/>
      </c>
      <c r="B17930">
        <f>IF(ISNUMBER(Input!B17930),IF(AND(Input!B17930&gt;=20,Input!B17930&lt;=700),Input!B17930,""),"")</f>
        <v/>
      </c>
      <c r="C17930">
        <f>IF(B17930="","",INT(A17930))</f>
        <v/>
      </c>
      <c r="D17930">
        <f>IF(B17930="","",HOUR(A17930))</f>
        <v/>
      </c>
    </row>
    <row r="17931">
      <c r="A17931">
        <f>Input!A17931</f>
        <v/>
      </c>
      <c r="B17931">
        <f>IF(ISNUMBER(Input!B17931),IF(AND(Input!B17931&gt;=20,Input!B17931&lt;=700),Input!B17931,""),"")</f>
        <v/>
      </c>
      <c r="C17931">
        <f>IF(B17931="","",INT(A17931))</f>
        <v/>
      </c>
      <c r="D17931">
        <f>IF(B17931="","",HOUR(A17931))</f>
        <v/>
      </c>
    </row>
    <row r="17932">
      <c r="A17932">
        <f>Input!A17932</f>
        <v/>
      </c>
      <c r="B17932">
        <f>IF(ISNUMBER(Input!B17932),IF(AND(Input!B17932&gt;=20,Input!B17932&lt;=700),Input!B17932,""),"")</f>
        <v/>
      </c>
      <c r="C17932">
        <f>IF(B17932="","",INT(A17932))</f>
        <v/>
      </c>
      <c r="D17932">
        <f>IF(B17932="","",HOUR(A17932))</f>
        <v/>
      </c>
    </row>
    <row r="17933">
      <c r="A17933">
        <f>Input!A17933</f>
        <v/>
      </c>
      <c r="B17933">
        <f>IF(ISNUMBER(Input!B17933),IF(AND(Input!B17933&gt;=20,Input!B17933&lt;=700),Input!B17933,""),"")</f>
        <v/>
      </c>
      <c r="C17933">
        <f>IF(B17933="","",INT(A17933))</f>
        <v/>
      </c>
      <c r="D17933">
        <f>IF(B17933="","",HOUR(A17933))</f>
        <v/>
      </c>
    </row>
    <row r="17934">
      <c r="A17934">
        <f>Input!A17934</f>
        <v/>
      </c>
      <c r="B17934">
        <f>IF(ISNUMBER(Input!B17934),IF(AND(Input!B17934&gt;=20,Input!B17934&lt;=700),Input!B17934,""),"")</f>
        <v/>
      </c>
      <c r="C17934">
        <f>IF(B17934="","",INT(A17934))</f>
        <v/>
      </c>
      <c r="D17934">
        <f>IF(B17934="","",HOUR(A17934))</f>
        <v/>
      </c>
    </row>
    <row r="17935">
      <c r="A17935">
        <f>Input!A17935</f>
        <v/>
      </c>
      <c r="B17935">
        <f>IF(ISNUMBER(Input!B17935),IF(AND(Input!B17935&gt;=20,Input!B17935&lt;=700),Input!B17935,""),"")</f>
        <v/>
      </c>
      <c r="C17935">
        <f>IF(B17935="","",INT(A17935))</f>
        <v/>
      </c>
      <c r="D17935">
        <f>IF(B17935="","",HOUR(A17935))</f>
        <v/>
      </c>
    </row>
    <row r="17936">
      <c r="A17936">
        <f>Input!A17936</f>
        <v/>
      </c>
      <c r="B17936">
        <f>IF(ISNUMBER(Input!B17936),IF(AND(Input!B17936&gt;=20,Input!B17936&lt;=700),Input!B17936,""),"")</f>
        <v/>
      </c>
      <c r="C17936">
        <f>IF(B17936="","",INT(A17936))</f>
        <v/>
      </c>
      <c r="D17936">
        <f>IF(B17936="","",HOUR(A17936))</f>
        <v/>
      </c>
    </row>
    <row r="17937">
      <c r="A17937">
        <f>Input!A17937</f>
        <v/>
      </c>
      <c r="B17937">
        <f>IF(ISNUMBER(Input!B17937),IF(AND(Input!B17937&gt;=20,Input!B17937&lt;=700),Input!B17937,""),"")</f>
        <v/>
      </c>
      <c r="C17937">
        <f>IF(B17937="","",INT(A17937))</f>
        <v/>
      </c>
      <c r="D17937">
        <f>IF(B17937="","",HOUR(A17937))</f>
        <v/>
      </c>
    </row>
    <row r="17938">
      <c r="A17938">
        <f>Input!A17938</f>
        <v/>
      </c>
      <c r="B17938">
        <f>IF(ISNUMBER(Input!B17938),IF(AND(Input!B17938&gt;=20,Input!B17938&lt;=700),Input!B17938,""),"")</f>
        <v/>
      </c>
      <c r="C17938">
        <f>IF(B17938="","",INT(A17938))</f>
        <v/>
      </c>
      <c r="D17938">
        <f>IF(B17938="","",HOUR(A17938))</f>
        <v/>
      </c>
    </row>
    <row r="17939">
      <c r="A17939">
        <f>Input!A17939</f>
        <v/>
      </c>
      <c r="B17939">
        <f>IF(ISNUMBER(Input!B17939),IF(AND(Input!B17939&gt;=20,Input!B17939&lt;=700),Input!B17939,""),"")</f>
        <v/>
      </c>
      <c r="C17939">
        <f>IF(B17939="","",INT(A17939))</f>
        <v/>
      </c>
      <c r="D17939">
        <f>IF(B17939="","",HOUR(A17939))</f>
        <v/>
      </c>
    </row>
    <row r="17940">
      <c r="A17940">
        <f>Input!A17940</f>
        <v/>
      </c>
      <c r="B17940">
        <f>IF(ISNUMBER(Input!B17940),IF(AND(Input!B17940&gt;=20,Input!B17940&lt;=700),Input!B17940,""),"")</f>
        <v/>
      </c>
      <c r="C17940">
        <f>IF(B17940="","",INT(A17940))</f>
        <v/>
      </c>
      <c r="D17940">
        <f>IF(B17940="","",HOUR(A17940))</f>
        <v/>
      </c>
    </row>
    <row r="17941">
      <c r="A17941">
        <f>Input!A17941</f>
        <v/>
      </c>
      <c r="B17941">
        <f>IF(ISNUMBER(Input!B17941),IF(AND(Input!B17941&gt;=20,Input!B17941&lt;=700),Input!B17941,""),"")</f>
        <v/>
      </c>
      <c r="C17941">
        <f>IF(B17941="","",INT(A17941))</f>
        <v/>
      </c>
      <c r="D17941">
        <f>IF(B17941="","",HOUR(A17941))</f>
        <v/>
      </c>
    </row>
    <row r="17942">
      <c r="A17942">
        <f>Input!A17942</f>
        <v/>
      </c>
      <c r="B17942">
        <f>IF(ISNUMBER(Input!B17942),IF(AND(Input!B17942&gt;=20,Input!B17942&lt;=700),Input!B17942,""),"")</f>
        <v/>
      </c>
      <c r="C17942">
        <f>IF(B17942="","",INT(A17942))</f>
        <v/>
      </c>
      <c r="D17942">
        <f>IF(B17942="","",HOUR(A17942))</f>
        <v/>
      </c>
    </row>
    <row r="17943">
      <c r="A17943">
        <f>Input!A17943</f>
        <v/>
      </c>
      <c r="B17943">
        <f>IF(ISNUMBER(Input!B17943),IF(AND(Input!B17943&gt;=20,Input!B17943&lt;=700),Input!B17943,""),"")</f>
        <v/>
      </c>
      <c r="C17943">
        <f>IF(B17943="","",INT(A17943))</f>
        <v/>
      </c>
      <c r="D17943">
        <f>IF(B17943="","",HOUR(A17943))</f>
        <v/>
      </c>
    </row>
    <row r="17944">
      <c r="A17944">
        <f>Input!A17944</f>
        <v/>
      </c>
      <c r="B17944">
        <f>IF(ISNUMBER(Input!B17944),IF(AND(Input!B17944&gt;=20,Input!B17944&lt;=700),Input!B17944,""),"")</f>
        <v/>
      </c>
      <c r="C17944">
        <f>IF(B17944="","",INT(A17944))</f>
        <v/>
      </c>
      <c r="D17944">
        <f>IF(B17944="","",HOUR(A17944))</f>
        <v/>
      </c>
    </row>
    <row r="17945">
      <c r="A17945">
        <f>Input!A17945</f>
        <v/>
      </c>
      <c r="B17945">
        <f>IF(ISNUMBER(Input!B17945),IF(AND(Input!B17945&gt;=20,Input!B17945&lt;=700),Input!B17945,""),"")</f>
        <v/>
      </c>
      <c r="C17945">
        <f>IF(B17945="","",INT(A17945))</f>
        <v/>
      </c>
      <c r="D17945">
        <f>IF(B17945="","",HOUR(A17945))</f>
        <v/>
      </c>
    </row>
    <row r="17946">
      <c r="A17946">
        <f>Input!A17946</f>
        <v/>
      </c>
      <c r="B17946">
        <f>IF(ISNUMBER(Input!B17946),IF(AND(Input!B17946&gt;=20,Input!B17946&lt;=700),Input!B17946,""),"")</f>
        <v/>
      </c>
      <c r="C17946">
        <f>IF(B17946="","",INT(A17946))</f>
        <v/>
      </c>
      <c r="D17946">
        <f>IF(B17946="","",HOUR(A17946))</f>
        <v/>
      </c>
    </row>
    <row r="17947">
      <c r="A17947">
        <f>Input!A17947</f>
        <v/>
      </c>
      <c r="B17947">
        <f>IF(ISNUMBER(Input!B17947),IF(AND(Input!B17947&gt;=20,Input!B17947&lt;=700),Input!B17947,""),"")</f>
        <v/>
      </c>
      <c r="C17947">
        <f>IF(B17947="","",INT(A17947))</f>
        <v/>
      </c>
      <c r="D17947">
        <f>IF(B17947="","",HOUR(A17947))</f>
        <v/>
      </c>
    </row>
    <row r="17948">
      <c r="A17948">
        <f>Input!A17948</f>
        <v/>
      </c>
      <c r="B17948">
        <f>IF(ISNUMBER(Input!B17948),IF(AND(Input!B17948&gt;=20,Input!B17948&lt;=700),Input!B17948,""),"")</f>
        <v/>
      </c>
      <c r="C17948">
        <f>IF(B17948="","",INT(A17948))</f>
        <v/>
      </c>
      <c r="D17948">
        <f>IF(B17948="","",HOUR(A17948))</f>
        <v/>
      </c>
    </row>
    <row r="17949">
      <c r="A17949">
        <f>Input!A17949</f>
        <v/>
      </c>
      <c r="B17949">
        <f>IF(ISNUMBER(Input!B17949),IF(AND(Input!B17949&gt;=20,Input!B17949&lt;=700),Input!B17949,""),"")</f>
        <v/>
      </c>
      <c r="C17949">
        <f>IF(B17949="","",INT(A17949))</f>
        <v/>
      </c>
      <c r="D17949">
        <f>IF(B17949="","",HOUR(A17949))</f>
        <v/>
      </c>
    </row>
    <row r="17950">
      <c r="A17950">
        <f>Input!A17950</f>
        <v/>
      </c>
      <c r="B17950">
        <f>IF(ISNUMBER(Input!B17950),IF(AND(Input!B17950&gt;=20,Input!B17950&lt;=700),Input!B17950,""),"")</f>
        <v/>
      </c>
      <c r="C17950">
        <f>IF(B17950="","",INT(A17950))</f>
        <v/>
      </c>
      <c r="D17950">
        <f>IF(B17950="","",HOUR(A17950))</f>
        <v/>
      </c>
    </row>
    <row r="17951">
      <c r="A17951">
        <f>Input!A17951</f>
        <v/>
      </c>
      <c r="B17951">
        <f>IF(ISNUMBER(Input!B17951),IF(AND(Input!B17951&gt;=20,Input!B17951&lt;=700),Input!B17951,""),"")</f>
        <v/>
      </c>
      <c r="C17951">
        <f>IF(B17951="","",INT(A17951))</f>
        <v/>
      </c>
      <c r="D17951">
        <f>IF(B17951="","",HOUR(A17951))</f>
        <v/>
      </c>
    </row>
    <row r="17952">
      <c r="A17952">
        <f>Input!A17952</f>
        <v/>
      </c>
      <c r="B17952">
        <f>IF(ISNUMBER(Input!B17952),IF(AND(Input!B17952&gt;=20,Input!B17952&lt;=700),Input!B17952,""),"")</f>
        <v/>
      </c>
      <c r="C17952">
        <f>IF(B17952="","",INT(A17952))</f>
        <v/>
      </c>
      <c r="D17952">
        <f>IF(B17952="","",HOUR(A17952))</f>
        <v/>
      </c>
    </row>
    <row r="17953">
      <c r="A17953">
        <f>Input!A17953</f>
        <v/>
      </c>
      <c r="B17953">
        <f>IF(ISNUMBER(Input!B17953),IF(AND(Input!B17953&gt;=20,Input!B17953&lt;=700),Input!B17953,""),"")</f>
        <v/>
      </c>
      <c r="C17953">
        <f>IF(B17953="","",INT(A17953))</f>
        <v/>
      </c>
      <c r="D17953">
        <f>IF(B17953="","",HOUR(A17953))</f>
        <v/>
      </c>
    </row>
    <row r="17954">
      <c r="A17954">
        <f>Input!A17954</f>
        <v/>
      </c>
      <c r="B17954">
        <f>IF(ISNUMBER(Input!B17954),IF(AND(Input!B17954&gt;=20,Input!B17954&lt;=700),Input!B17954,""),"")</f>
        <v/>
      </c>
      <c r="C17954">
        <f>IF(B17954="","",INT(A17954))</f>
        <v/>
      </c>
      <c r="D17954">
        <f>IF(B17954="","",HOUR(A17954))</f>
        <v/>
      </c>
    </row>
    <row r="17955">
      <c r="A17955">
        <f>Input!A17955</f>
        <v/>
      </c>
      <c r="B17955">
        <f>IF(ISNUMBER(Input!B17955),IF(AND(Input!B17955&gt;=20,Input!B17955&lt;=700),Input!B17955,""),"")</f>
        <v/>
      </c>
      <c r="C17955">
        <f>IF(B17955="","",INT(A17955))</f>
        <v/>
      </c>
      <c r="D17955">
        <f>IF(B17955="","",HOUR(A17955))</f>
        <v/>
      </c>
    </row>
    <row r="17956">
      <c r="A17956">
        <f>Input!A17956</f>
        <v/>
      </c>
      <c r="B17956">
        <f>IF(ISNUMBER(Input!B17956),IF(AND(Input!B17956&gt;=20,Input!B17956&lt;=700),Input!B17956,""),"")</f>
        <v/>
      </c>
      <c r="C17956">
        <f>IF(B17956="","",INT(A17956))</f>
        <v/>
      </c>
      <c r="D17956">
        <f>IF(B17956="","",HOUR(A17956))</f>
        <v/>
      </c>
    </row>
    <row r="17957">
      <c r="A17957">
        <f>Input!A17957</f>
        <v/>
      </c>
      <c r="B17957">
        <f>IF(ISNUMBER(Input!B17957),IF(AND(Input!B17957&gt;=20,Input!B17957&lt;=700),Input!B17957,""),"")</f>
        <v/>
      </c>
      <c r="C17957">
        <f>IF(B17957="","",INT(A17957))</f>
        <v/>
      </c>
      <c r="D17957">
        <f>IF(B17957="","",HOUR(A17957))</f>
        <v/>
      </c>
    </row>
    <row r="17958">
      <c r="A17958">
        <f>Input!A17958</f>
        <v/>
      </c>
      <c r="B17958">
        <f>IF(ISNUMBER(Input!B17958),IF(AND(Input!B17958&gt;=20,Input!B17958&lt;=700),Input!B17958,""),"")</f>
        <v/>
      </c>
      <c r="C17958">
        <f>IF(B17958="","",INT(A17958))</f>
        <v/>
      </c>
      <c r="D17958">
        <f>IF(B17958="","",HOUR(A17958))</f>
        <v/>
      </c>
    </row>
    <row r="17959">
      <c r="A17959">
        <f>Input!A17959</f>
        <v/>
      </c>
      <c r="B17959">
        <f>IF(ISNUMBER(Input!B17959),IF(AND(Input!B17959&gt;=20,Input!B17959&lt;=700),Input!B17959,""),"")</f>
        <v/>
      </c>
      <c r="C17959">
        <f>IF(B17959="","",INT(A17959))</f>
        <v/>
      </c>
      <c r="D17959">
        <f>IF(B17959="","",HOUR(A17959))</f>
        <v/>
      </c>
    </row>
    <row r="17960">
      <c r="A17960">
        <f>Input!A17960</f>
        <v/>
      </c>
      <c r="B17960">
        <f>IF(ISNUMBER(Input!B17960),IF(AND(Input!B17960&gt;=20,Input!B17960&lt;=700),Input!B17960,""),"")</f>
        <v/>
      </c>
      <c r="C17960">
        <f>IF(B17960="","",INT(A17960))</f>
        <v/>
      </c>
      <c r="D17960">
        <f>IF(B17960="","",HOUR(A17960))</f>
        <v/>
      </c>
    </row>
    <row r="17961">
      <c r="A17961">
        <f>Input!A17961</f>
        <v/>
      </c>
      <c r="B17961">
        <f>IF(ISNUMBER(Input!B17961),IF(AND(Input!B17961&gt;=20,Input!B17961&lt;=700),Input!B17961,""),"")</f>
        <v/>
      </c>
      <c r="C17961">
        <f>IF(B17961="","",INT(A17961))</f>
        <v/>
      </c>
      <c r="D17961">
        <f>IF(B17961="","",HOUR(A17961))</f>
        <v/>
      </c>
    </row>
    <row r="17962">
      <c r="A17962">
        <f>Input!A17962</f>
        <v/>
      </c>
      <c r="B17962">
        <f>IF(ISNUMBER(Input!B17962),IF(AND(Input!B17962&gt;=20,Input!B17962&lt;=700),Input!B17962,""),"")</f>
        <v/>
      </c>
      <c r="C17962">
        <f>IF(B17962="","",INT(A17962))</f>
        <v/>
      </c>
      <c r="D17962">
        <f>IF(B17962="","",HOUR(A17962))</f>
        <v/>
      </c>
    </row>
    <row r="17963">
      <c r="A17963">
        <f>Input!A17963</f>
        <v/>
      </c>
      <c r="B17963">
        <f>IF(ISNUMBER(Input!B17963),IF(AND(Input!B17963&gt;=20,Input!B17963&lt;=700),Input!B17963,""),"")</f>
        <v/>
      </c>
      <c r="C17963">
        <f>IF(B17963="","",INT(A17963))</f>
        <v/>
      </c>
      <c r="D17963">
        <f>IF(B17963="","",HOUR(A17963))</f>
        <v/>
      </c>
    </row>
    <row r="17964">
      <c r="A17964">
        <f>Input!A17964</f>
        <v/>
      </c>
      <c r="B17964">
        <f>IF(ISNUMBER(Input!B17964),IF(AND(Input!B17964&gt;=20,Input!B17964&lt;=700),Input!B17964,""),"")</f>
        <v/>
      </c>
      <c r="C17964">
        <f>IF(B17964="","",INT(A17964))</f>
        <v/>
      </c>
      <c r="D17964">
        <f>IF(B17964="","",HOUR(A17964))</f>
        <v/>
      </c>
    </row>
    <row r="17965">
      <c r="A17965">
        <f>Input!A17965</f>
        <v/>
      </c>
      <c r="B17965">
        <f>IF(ISNUMBER(Input!B17965),IF(AND(Input!B17965&gt;=20,Input!B17965&lt;=700),Input!B17965,""),"")</f>
        <v/>
      </c>
      <c r="C17965">
        <f>IF(B17965="","",INT(A17965))</f>
        <v/>
      </c>
      <c r="D17965">
        <f>IF(B17965="","",HOUR(A17965))</f>
        <v/>
      </c>
    </row>
    <row r="17966">
      <c r="A17966">
        <f>Input!A17966</f>
        <v/>
      </c>
      <c r="B17966">
        <f>IF(ISNUMBER(Input!B17966),IF(AND(Input!B17966&gt;=20,Input!B17966&lt;=700),Input!B17966,""),"")</f>
        <v/>
      </c>
      <c r="C17966">
        <f>IF(B17966="","",INT(A17966))</f>
        <v/>
      </c>
      <c r="D17966">
        <f>IF(B17966="","",HOUR(A17966))</f>
        <v/>
      </c>
    </row>
    <row r="17967">
      <c r="A17967">
        <f>Input!A17967</f>
        <v/>
      </c>
      <c r="B17967">
        <f>IF(ISNUMBER(Input!B17967),IF(AND(Input!B17967&gt;=20,Input!B17967&lt;=700),Input!B17967,""),"")</f>
        <v/>
      </c>
      <c r="C17967">
        <f>IF(B17967="","",INT(A17967))</f>
        <v/>
      </c>
      <c r="D17967">
        <f>IF(B17967="","",HOUR(A17967))</f>
        <v/>
      </c>
    </row>
    <row r="17968">
      <c r="A17968">
        <f>Input!A17968</f>
        <v/>
      </c>
      <c r="B17968">
        <f>IF(ISNUMBER(Input!B17968),IF(AND(Input!B17968&gt;=20,Input!B17968&lt;=700),Input!B17968,""),"")</f>
        <v/>
      </c>
      <c r="C17968">
        <f>IF(B17968="","",INT(A17968))</f>
        <v/>
      </c>
      <c r="D17968">
        <f>IF(B17968="","",HOUR(A17968))</f>
        <v/>
      </c>
    </row>
    <row r="17969">
      <c r="A17969">
        <f>Input!A17969</f>
        <v/>
      </c>
      <c r="B17969">
        <f>IF(ISNUMBER(Input!B17969),IF(AND(Input!B17969&gt;=20,Input!B17969&lt;=700),Input!B17969,""),"")</f>
        <v/>
      </c>
      <c r="C17969">
        <f>IF(B17969="","",INT(A17969))</f>
        <v/>
      </c>
      <c r="D17969">
        <f>IF(B17969="","",HOUR(A17969))</f>
        <v/>
      </c>
    </row>
    <row r="17970">
      <c r="A17970">
        <f>Input!A17970</f>
        <v/>
      </c>
      <c r="B17970">
        <f>IF(ISNUMBER(Input!B17970),IF(AND(Input!B17970&gt;=20,Input!B17970&lt;=700),Input!B17970,""),"")</f>
        <v/>
      </c>
      <c r="C17970">
        <f>IF(B17970="","",INT(A17970))</f>
        <v/>
      </c>
      <c r="D17970">
        <f>IF(B17970="","",HOUR(A17970))</f>
        <v/>
      </c>
    </row>
    <row r="17971">
      <c r="A17971">
        <f>Input!A17971</f>
        <v/>
      </c>
      <c r="B17971">
        <f>IF(ISNUMBER(Input!B17971),IF(AND(Input!B17971&gt;=20,Input!B17971&lt;=700),Input!B17971,""),"")</f>
        <v/>
      </c>
      <c r="C17971">
        <f>IF(B17971="","",INT(A17971))</f>
        <v/>
      </c>
      <c r="D17971">
        <f>IF(B17971="","",HOUR(A17971))</f>
        <v/>
      </c>
    </row>
    <row r="17972">
      <c r="A17972">
        <f>Input!A17972</f>
        <v/>
      </c>
      <c r="B17972">
        <f>IF(ISNUMBER(Input!B17972),IF(AND(Input!B17972&gt;=20,Input!B17972&lt;=700),Input!B17972,""),"")</f>
        <v/>
      </c>
      <c r="C17972">
        <f>IF(B17972="","",INT(A17972))</f>
        <v/>
      </c>
      <c r="D17972">
        <f>IF(B17972="","",HOUR(A17972))</f>
        <v/>
      </c>
    </row>
    <row r="17973">
      <c r="A17973">
        <f>Input!A17973</f>
        <v/>
      </c>
      <c r="B17973">
        <f>IF(ISNUMBER(Input!B17973),IF(AND(Input!B17973&gt;=20,Input!B17973&lt;=700),Input!B17973,""),"")</f>
        <v/>
      </c>
      <c r="C17973">
        <f>IF(B17973="","",INT(A17973))</f>
        <v/>
      </c>
      <c r="D17973">
        <f>IF(B17973="","",HOUR(A17973))</f>
        <v/>
      </c>
    </row>
    <row r="17974">
      <c r="A17974">
        <f>Input!A17974</f>
        <v/>
      </c>
      <c r="B17974">
        <f>IF(ISNUMBER(Input!B17974),IF(AND(Input!B17974&gt;=20,Input!B17974&lt;=700),Input!B17974,""),"")</f>
        <v/>
      </c>
      <c r="C17974">
        <f>IF(B17974="","",INT(A17974))</f>
        <v/>
      </c>
      <c r="D17974">
        <f>IF(B17974="","",HOUR(A17974))</f>
        <v/>
      </c>
    </row>
    <row r="17975">
      <c r="A17975">
        <f>Input!A17975</f>
        <v/>
      </c>
      <c r="B17975">
        <f>IF(ISNUMBER(Input!B17975),IF(AND(Input!B17975&gt;=20,Input!B17975&lt;=700),Input!B17975,""),"")</f>
        <v/>
      </c>
      <c r="C17975">
        <f>IF(B17975="","",INT(A17975))</f>
        <v/>
      </c>
      <c r="D17975">
        <f>IF(B17975="","",HOUR(A17975))</f>
        <v/>
      </c>
    </row>
    <row r="17976">
      <c r="A17976">
        <f>Input!A17976</f>
        <v/>
      </c>
      <c r="B17976">
        <f>IF(ISNUMBER(Input!B17976),IF(AND(Input!B17976&gt;=20,Input!B17976&lt;=700),Input!B17976,""),"")</f>
        <v/>
      </c>
      <c r="C17976">
        <f>IF(B17976="","",INT(A17976))</f>
        <v/>
      </c>
      <c r="D17976">
        <f>IF(B17976="","",HOUR(A17976))</f>
        <v/>
      </c>
    </row>
    <row r="17977">
      <c r="A17977">
        <f>Input!A17977</f>
        <v/>
      </c>
      <c r="B17977">
        <f>IF(ISNUMBER(Input!B17977),IF(AND(Input!B17977&gt;=20,Input!B17977&lt;=700),Input!B17977,""),"")</f>
        <v/>
      </c>
      <c r="C17977">
        <f>IF(B17977="","",INT(A17977))</f>
        <v/>
      </c>
      <c r="D17977">
        <f>IF(B17977="","",HOUR(A17977))</f>
        <v/>
      </c>
    </row>
    <row r="17978">
      <c r="A17978">
        <f>Input!A17978</f>
        <v/>
      </c>
      <c r="B17978">
        <f>IF(ISNUMBER(Input!B17978),IF(AND(Input!B17978&gt;=20,Input!B17978&lt;=700),Input!B17978,""),"")</f>
        <v/>
      </c>
      <c r="C17978">
        <f>IF(B17978="","",INT(A17978))</f>
        <v/>
      </c>
      <c r="D17978">
        <f>IF(B17978="","",HOUR(A17978))</f>
        <v/>
      </c>
    </row>
    <row r="17979">
      <c r="A17979">
        <f>Input!A17979</f>
        <v/>
      </c>
      <c r="B17979">
        <f>IF(ISNUMBER(Input!B17979),IF(AND(Input!B17979&gt;=20,Input!B17979&lt;=700),Input!B17979,""),"")</f>
        <v/>
      </c>
      <c r="C17979">
        <f>IF(B17979="","",INT(A17979))</f>
        <v/>
      </c>
      <c r="D17979">
        <f>IF(B17979="","",HOUR(A17979))</f>
        <v/>
      </c>
    </row>
    <row r="17980">
      <c r="A17980">
        <f>Input!A17980</f>
        <v/>
      </c>
      <c r="B17980">
        <f>IF(ISNUMBER(Input!B17980),IF(AND(Input!B17980&gt;=20,Input!B17980&lt;=700),Input!B17980,""),"")</f>
        <v/>
      </c>
      <c r="C17980">
        <f>IF(B17980="","",INT(A17980))</f>
        <v/>
      </c>
      <c r="D17980">
        <f>IF(B17980="","",HOUR(A17980))</f>
        <v/>
      </c>
    </row>
    <row r="17981">
      <c r="A17981">
        <f>Input!A17981</f>
        <v/>
      </c>
      <c r="B17981">
        <f>IF(ISNUMBER(Input!B17981),IF(AND(Input!B17981&gt;=20,Input!B17981&lt;=700),Input!B17981,""),"")</f>
        <v/>
      </c>
      <c r="C17981">
        <f>IF(B17981="","",INT(A17981))</f>
        <v/>
      </c>
      <c r="D17981">
        <f>IF(B17981="","",HOUR(A17981))</f>
        <v/>
      </c>
    </row>
    <row r="17982">
      <c r="A17982">
        <f>Input!A17982</f>
        <v/>
      </c>
      <c r="B17982">
        <f>IF(ISNUMBER(Input!B17982),IF(AND(Input!B17982&gt;=20,Input!B17982&lt;=700),Input!B17982,""),"")</f>
        <v/>
      </c>
      <c r="C17982">
        <f>IF(B17982="","",INT(A17982))</f>
        <v/>
      </c>
      <c r="D17982">
        <f>IF(B17982="","",HOUR(A17982))</f>
        <v/>
      </c>
    </row>
    <row r="17983">
      <c r="A17983">
        <f>Input!A17983</f>
        <v/>
      </c>
      <c r="B17983">
        <f>IF(ISNUMBER(Input!B17983),IF(AND(Input!B17983&gt;=20,Input!B17983&lt;=700),Input!B17983,""),"")</f>
        <v/>
      </c>
      <c r="C17983">
        <f>IF(B17983="","",INT(A17983))</f>
        <v/>
      </c>
      <c r="D17983">
        <f>IF(B17983="","",HOUR(A17983))</f>
        <v/>
      </c>
    </row>
    <row r="17984">
      <c r="A17984">
        <f>Input!A17984</f>
        <v/>
      </c>
      <c r="B17984">
        <f>IF(ISNUMBER(Input!B17984),IF(AND(Input!B17984&gt;=20,Input!B17984&lt;=700),Input!B17984,""),"")</f>
        <v/>
      </c>
      <c r="C17984">
        <f>IF(B17984="","",INT(A17984))</f>
        <v/>
      </c>
      <c r="D17984">
        <f>IF(B17984="","",HOUR(A17984))</f>
        <v/>
      </c>
    </row>
    <row r="17985">
      <c r="A17985">
        <f>Input!A17985</f>
        <v/>
      </c>
      <c r="B17985">
        <f>IF(ISNUMBER(Input!B17985),IF(AND(Input!B17985&gt;=20,Input!B17985&lt;=700),Input!B17985,""),"")</f>
        <v/>
      </c>
      <c r="C17985">
        <f>IF(B17985="","",INT(A17985))</f>
        <v/>
      </c>
      <c r="D17985">
        <f>IF(B17985="","",HOUR(A17985))</f>
        <v/>
      </c>
    </row>
    <row r="17986">
      <c r="A17986">
        <f>Input!A17986</f>
        <v/>
      </c>
      <c r="B17986">
        <f>IF(ISNUMBER(Input!B17986),IF(AND(Input!B17986&gt;=20,Input!B17986&lt;=700),Input!B17986,""),"")</f>
        <v/>
      </c>
      <c r="C17986">
        <f>IF(B17986="","",INT(A17986))</f>
        <v/>
      </c>
      <c r="D17986">
        <f>IF(B17986="","",HOUR(A17986))</f>
        <v/>
      </c>
    </row>
    <row r="17987">
      <c r="A17987">
        <f>Input!A17987</f>
        <v/>
      </c>
      <c r="B17987">
        <f>IF(ISNUMBER(Input!B17987),IF(AND(Input!B17987&gt;=20,Input!B17987&lt;=700),Input!B17987,""),"")</f>
        <v/>
      </c>
      <c r="C17987">
        <f>IF(B17987="","",INT(A17987))</f>
        <v/>
      </c>
      <c r="D17987">
        <f>IF(B17987="","",HOUR(A17987))</f>
        <v/>
      </c>
    </row>
    <row r="17988">
      <c r="A17988">
        <f>Input!A17988</f>
        <v/>
      </c>
      <c r="B17988">
        <f>IF(ISNUMBER(Input!B17988),IF(AND(Input!B17988&gt;=20,Input!B17988&lt;=700),Input!B17988,""),"")</f>
        <v/>
      </c>
      <c r="C17988">
        <f>IF(B17988="","",INT(A17988))</f>
        <v/>
      </c>
      <c r="D17988">
        <f>IF(B17988="","",HOUR(A17988))</f>
        <v/>
      </c>
    </row>
    <row r="17989">
      <c r="A17989">
        <f>Input!A17989</f>
        <v/>
      </c>
      <c r="B17989">
        <f>IF(ISNUMBER(Input!B17989),IF(AND(Input!B17989&gt;=20,Input!B17989&lt;=700),Input!B17989,""),"")</f>
        <v/>
      </c>
      <c r="C17989">
        <f>IF(B17989="","",INT(A17989))</f>
        <v/>
      </c>
      <c r="D17989">
        <f>IF(B17989="","",HOUR(A17989))</f>
        <v/>
      </c>
    </row>
    <row r="17990">
      <c r="A17990">
        <f>Input!A17990</f>
        <v/>
      </c>
      <c r="B17990">
        <f>IF(ISNUMBER(Input!B17990),IF(AND(Input!B17990&gt;=20,Input!B17990&lt;=700),Input!B17990,""),"")</f>
        <v/>
      </c>
      <c r="C17990">
        <f>IF(B17990="","",INT(A17990))</f>
        <v/>
      </c>
      <c r="D17990">
        <f>IF(B17990="","",HOUR(A17990))</f>
        <v/>
      </c>
    </row>
    <row r="17991">
      <c r="A17991">
        <f>Input!A17991</f>
        <v/>
      </c>
      <c r="B17991">
        <f>IF(ISNUMBER(Input!B17991),IF(AND(Input!B17991&gt;=20,Input!B17991&lt;=700),Input!B17991,""),"")</f>
        <v/>
      </c>
      <c r="C17991">
        <f>IF(B17991="","",INT(A17991))</f>
        <v/>
      </c>
      <c r="D17991">
        <f>IF(B17991="","",HOUR(A17991))</f>
        <v/>
      </c>
    </row>
    <row r="17992">
      <c r="A17992">
        <f>Input!A17992</f>
        <v/>
      </c>
      <c r="B17992">
        <f>IF(ISNUMBER(Input!B17992),IF(AND(Input!B17992&gt;=20,Input!B17992&lt;=700),Input!B17992,""),"")</f>
        <v/>
      </c>
      <c r="C17992">
        <f>IF(B17992="","",INT(A17992))</f>
        <v/>
      </c>
      <c r="D17992">
        <f>IF(B17992="","",HOUR(A17992))</f>
        <v/>
      </c>
    </row>
    <row r="17993">
      <c r="A17993">
        <f>Input!A17993</f>
        <v/>
      </c>
      <c r="B17993">
        <f>IF(ISNUMBER(Input!B17993),IF(AND(Input!B17993&gt;=20,Input!B17993&lt;=700),Input!B17993,""),"")</f>
        <v/>
      </c>
      <c r="C17993">
        <f>IF(B17993="","",INT(A17993))</f>
        <v/>
      </c>
      <c r="D17993">
        <f>IF(B17993="","",HOUR(A17993))</f>
        <v/>
      </c>
    </row>
    <row r="17994">
      <c r="A17994">
        <f>Input!A17994</f>
        <v/>
      </c>
      <c r="B17994">
        <f>IF(ISNUMBER(Input!B17994),IF(AND(Input!B17994&gt;=20,Input!B17994&lt;=700),Input!B17994,""),"")</f>
        <v/>
      </c>
      <c r="C17994">
        <f>IF(B17994="","",INT(A17994))</f>
        <v/>
      </c>
      <c r="D17994">
        <f>IF(B17994="","",HOUR(A17994))</f>
        <v/>
      </c>
    </row>
    <row r="17995">
      <c r="A17995">
        <f>Input!A17995</f>
        <v/>
      </c>
      <c r="B17995">
        <f>IF(ISNUMBER(Input!B17995),IF(AND(Input!B17995&gt;=20,Input!B17995&lt;=700),Input!B17995,""),"")</f>
        <v/>
      </c>
      <c r="C17995">
        <f>IF(B17995="","",INT(A17995))</f>
        <v/>
      </c>
      <c r="D17995">
        <f>IF(B17995="","",HOUR(A17995))</f>
        <v/>
      </c>
    </row>
    <row r="17996">
      <c r="A17996">
        <f>Input!A17996</f>
        <v/>
      </c>
      <c r="B17996">
        <f>IF(ISNUMBER(Input!B17996),IF(AND(Input!B17996&gt;=20,Input!B17996&lt;=700),Input!B17996,""),"")</f>
        <v/>
      </c>
      <c r="C17996">
        <f>IF(B17996="","",INT(A17996))</f>
        <v/>
      </c>
      <c r="D17996">
        <f>IF(B17996="","",HOUR(A17996))</f>
        <v/>
      </c>
    </row>
    <row r="17997">
      <c r="A17997">
        <f>Input!A17997</f>
        <v/>
      </c>
      <c r="B17997">
        <f>IF(ISNUMBER(Input!B17997),IF(AND(Input!B17997&gt;=20,Input!B17997&lt;=700),Input!B17997,""),"")</f>
        <v/>
      </c>
      <c r="C17997">
        <f>IF(B17997="","",INT(A17997))</f>
        <v/>
      </c>
      <c r="D17997">
        <f>IF(B17997="","",HOUR(A17997))</f>
        <v/>
      </c>
    </row>
    <row r="17998">
      <c r="A17998">
        <f>Input!A17998</f>
        <v/>
      </c>
      <c r="B17998">
        <f>IF(ISNUMBER(Input!B17998),IF(AND(Input!B17998&gt;=20,Input!B17998&lt;=700),Input!B17998,""),"")</f>
        <v/>
      </c>
      <c r="C17998">
        <f>IF(B17998="","",INT(A17998))</f>
        <v/>
      </c>
      <c r="D17998">
        <f>IF(B17998="","",HOUR(A17998))</f>
        <v/>
      </c>
    </row>
    <row r="17999">
      <c r="A17999">
        <f>Input!A17999</f>
        <v/>
      </c>
      <c r="B17999">
        <f>IF(ISNUMBER(Input!B17999),IF(AND(Input!B17999&gt;=20,Input!B17999&lt;=700),Input!B17999,""),"")</f>
        <v/>
      </c>
      <c r="C17999">
        <f>IF(B17999="","",INT(A17999))</f>
        <v/>
      </c>
      <c r="D17999">
        <f>IF(B17999="","",HOUR(A17999))</f>
        <v/>
      </c>
    </row>
    <row r="18000">
      <c r="A18000">
        <f>Input!A18000</f>
        <v/>
      </c>
      <c r="B18000">
        <f>IF(ISNUMBER(Input!B18000),IF(AND(Input!B18000&gt;=20,Input!B18000&lt;=700),Input!B18000,""),"")</f>
        <v/>
      </c>
      <c r="C18000">
        <f>IF(B18000="","",INT(A18000))</f>
        <v/>
      </c>
      <c r="D18000">
        <f>IF(B18000="","",HOUR(A18000))</f>
        <v/>
      </c>
    </row>
    <row r="18001">
      <c r="A18001">
        <f>Input!A18001</f>
        <v/>
      </c>
      <c r="B18001">
        <f>IF(ISNUMBER(Input!B18001),IF(AND(Input!B18001&gt;=20,Input!B18001&lt;=700),Input!B18001,""),"")</f>
        <v/>
      </c>
      <c r="C18001">
        <f>IF(B18001="","",INT(A18001))</f>
        <v/>
      </c>
      <c r="D18001">
        <f>IF(B18001="","",HOUR(A18001))</f>
        <v/>
      </c>
    </row>
    <row r="18002">
      <c r="A18002">
        <f>Input!A18002</f>
        <v/>
      </c>
      <c r="B18002">
        <f>IF(ISNUMBER(Input!B18002),IF(AND(Input!B18002&gt;=20,Input!B18002&lt;=700),Input!B18002,""),"")</f>
        <v/>
      </c>
      <c r="C18002">
        <f>IF(B18002="","",INT(A18002))</f>
        <v/>
      </c>
      <c r="D18002">
        <f>IF(B18002="","",HOUR(A18002))</f>
        <v/>
      </c>
    </row>
    <row r="18003">
      <c r="A18003">
        <f>Input!A18003</f>
        <v/>
      </c>
      <c r="B18003">
        <f>IF(ISNUMBER(Input!B18003),IF(AND(Input!B18003&gt;=20,Input!B18003&lt;=700),Input!B18003,""),"")</f>
        <v/>
      </c>
      <c r="C18003">
        <f>IF(B18003="","",INT(A18003))</f>
        <v/>
      </c>
      <c r="D18003">
        <f>IF(B18003="","",HOUR(A18003))</f>
        <v/>
      </c>
    </row>
    <row r="18004">
      <c r="A18004">
        <f>Input!A18004</f>
        <v/>
      </c>
      <c r="B18004">
        <f>IF(ISNUMBER(Input!B18004),IF(AND(Input!B18004&gt;=20,Input!B18004&lt;=700),Input!B18004,""),"")</f>
        <v/>
      </c>
      <c r="C18004">
        <f>IF(B18004="","",INT(A18004))</f>
        <v/>
      </c>
      <c r="D18004">
        <f>IF(B18004="","",HOUR(A18004))</f>
        <v/>
      </c>
    </row>
    <row r="18005">
      <c r="A18005">
        <f>Input!A18005</f>
        <v/>
      </c>
      <c r="B18005">
        <f>IF(ISNUMBER(Input!B18005),IF(AND(Input!B18005&gt;=20,Input!B18005&lt;=700),Input!B18005,""),"")</f>
        <v/>
      </c>
      <c r="C18005">
        <f>IF(B18005="","",INT(A18005))</f>
        <v/>
      </c>
      <c r="D18005">
        <f>IF(B18005="","",HOUR(A18005))</f>
        <v/>
      </c>
    </row>
    <row r="18006">
      <c r="A18006">
        <f>Input!A18006</f>
        <v/>
      </c>
      <c r="B18006">
        <f>IF(ISNUMBER(Input!B18006),IF(AND(Input!B18006&gt;=20,Input!B18006&lt;=700),Input!B18006,""),"")</f>
        <v/>
      </c>
      <c r="C18006">
        <f>IF(B18006="","",INT(A18006))</f>
        <v/>
      </c>
      <c r="D18006">
        <f>IF(B18006="","",HOUR(A18006))</f>
        <v/>
      </c>
    </row>
    <row r="18007">
      <c r="A18007">
        <f>Input!A18007</f>
        <v/>
      </c>
      <c r="B18007">
        <f>IF(ISNUMBER(Input!B18007),IF(AND(Input!B18007&gt;=20,Input!B18007&lt;=700),Input!B18007,""),"")</f>
        <v/>
      </c>
      <c r="C18007">
        <f>IF(B18007="","",INT(A18007))</f>
        <v/>
      </c>
      <c r="D18007">
        <f>IF(B18007="","",HOUR(A18007))</f>
        <v/>
      </c>
    </row>
    <row r="18008">
      <c r="A18008">
        <f>Input!A18008</f>
        <v/>
      </c>
      <c r="B18008">
        <f>IF(ISNUMBER(Input!B18008),IF(AND(Input!B18008&gt;=20,Input!B18008&lt;=700),Input!B18008,""),"")</f>
        <v/>
      </c>
      <c r="C18008">
        <f>IF(B18008="","",INT(A18008))</f>
        <v/>
      </c>
      <c r="D18008">
        <f>IF(B18008="","",HOUR(A18008))</f>
        <v/>
      </c>
    </row>
    <row r="18009">
      <c r="A18009">
        <f>Input!A18009</f>
        <v/>
      </c>
      <c r="B18009">
        <f>IF(ISNUMBER(Input!B18009),IF(AND(Input!B18009&gt;=20,Input!B18009&lt;=700),Input!B18009,""),"")</f>
        <v/>
      </c>
      <c r="C18009">
        <f>IF(B18009="","",INT(A18009))</f>
        <v/>
      </c>
      <c r="D18009">
        <f>IF(B18009="","",HOUR(A18009))</f>
        <v/>
      </c>
    </row>
    <row r="18010">
      <c r="A18010">
        <f>Input!A18010</f>
        <v/>
      </c>
      <c r="B18010">
        <f>IF(ISNUMBER(Input!B18010),IF(AND(Input!B18010&gt;=20,Input!B18010&lt;=700),Input!B18010,""),"")</f>
        <v/>
      </c>
      <c r="C18010">
        <f>IF(B18010="","",INT(A18010))</f>
        <v/>
      </c>
      <c r="D18010">
        <f>IF(B18010="","",HOUR(A18010))</f>
        <v/>
      </c>
    </row>
    <row r="18011">
      <c r="A18011">
        <f>Input!A18011</f>
        <v/>
      </c>
      <c r="B18011">
        <f>IF(ISNUMBER(Input!B18011),IF(AND(Input!B18011&gt;=20,Input!B18011&lt;=700),Input!B18011,""),"")</f>
        <v/>
      </c>
      <c r="C18011">
        <f>IF(B18011="","",INT(A18011))</f>
        <v/>
      </c>
      <c r="D18011">
        <f>IF(B18011="","",HOUR(A18011))</f>
        <v/>
      </c>
    </row>
    <row r="18012">
      <c r="A18012">
        <f>Input!A18012</f>
        <v/>
      </c>
      <c r="B18012">
        <f>IF(ISNUMBER(Input!B18012),IF(AND(Input!B18012&gt;=20,Input!B18012&lt;=700),Input!B18012,""),"")</f>
        <v/>
      </c>
      <c r="C18012">
        <f>IF(B18012="","",INT(A18012))</f>
        <v/>
      </c>
      <c r="D18012">
        <f>IF(B18012="","",HOUR(A18012))</f>
        <v/>
      </c>
    </row>
    <row r="18013">
      <c r="A18013">
        <f>Input!A18013</f>
        <v/>
      </c>
      <c r="B18013">
        <f>IF(ISNUMBER(Input!B18013),IF(AND(Input!B18013&gt;=20,Input!B18013&lt;=700),Input!B18013,""),"")</f>
        <v/>
      </c>
      <c r="C18013">
        <f>IF(B18013="","",INT(A18013))</f>
        <v/>
      </c>
      <c r="D18013">
        <f>IF(B18013="","",HOUR(A18013))</f>
        <v/>
      </c>
    </row>
    <row r="18014">
      <c r="A18014">
        <f>Input!A18014</f>
        <v/>
      </c>
      <c r="B18014">
        <f>IF(ISNUMBER(Input!B18014),IF(AND(Input!B18014&gt;=20,Input!B18014&lt;=700),Input!B18014,""),"")</f>
        <v/>
      </c>
      <c r="C18014">
        <f>IF(B18014="","",INT(A18014))</f>
        <v/>
      </c>
      <c r="D18014">
        <f>IF(B18014="","",HOUR(A18014))</f>
        <v/>
      </c>
    </row>
    <row r="18015">
      <c r="A18015">
        <f>Input!A18015</f>
        <v/>
      </c>
      <c r="B18015">
        <f>IF(ISNUMBER(Input!B18015),IF(AND(Input!B18015&gt;=20,Input!B18015&lt;=700),Input!B18015,""),"")</f>
        <v/>
      </c>
      <c r="C18015">
        <f>IF(B18015="","",INT(A18015))</f>
        <v/>
      </c>
      <c r="D18015">
        <f>IF(B18015="","",HOUR(A18015))</f>
        <v/>
      </c>
    </row>
    <row r="18016">
      <c r="A18016">
        <f>Input!A18016</f>
        <v/>
      </c>
      <c r="B18016">
        <f>IF(ISNUMBER(Input!B18016),IF(AND(Input!B18016&gt;=20,Input!B18016&lt;=700),Input!B18016,""),"")</f>
        <v/>
      </c>
      <c r="C18016">
        <f>IF(B18016="","",INT(A18016))</f>
        <v/>
      </c>
      <c r="D18016">
        <f>IF(B18016="","",HOUR(A18016))</f>
        <v/>
      </c>
    </row>
    <row r="18017">
      <c r="A18017">
        <f>Input!A18017</f>
        <v/>
      </c>
      <c r="B18017">
        <f>IF(ISNUMBER(Input!B18017),IF(AND(Input!B18017&gt;=20,Input!B18017&lt;=700),Input!B18017,""),"")</f>
        <v/>
      </c>
      <c r="C18017">
        <f>IF(B18017="","",INT(A18017))</f>
        <v/>
      </c>
      <c r="D18017">
        <f>IF(B18017="","",HOUR(A18017))</f>
        <v/>
      </c>
    </row>
    <row r="18018">
      <c r="A18018">
        <f>Input!A18018</f>
        <v/>
      </c>
      <c r="B18018">
        <f>IF(ISNUMBER(Input!B18018),IF(AND(Input!B18018&gt;=20,Input!B18018&lt;=700),Input!B18018,""),"")</f>
        <v/>
      </c>
      <c r="C18018">
        <f>IF(B18018="","",INT(A18018))</f>
        <v/>
      </c>
      <c r="D18018">
        <f>IF(B18018="","",HOUR(A18018))</f>
        <v/>
      </c>
    </row>
    <row r="18019">
      <c r="A18019">
        <f>Input!A18019</f>
        <v/>
      </c>
      <c r="B18019">
        <f>IF(ISNUMBER(Input!B18019),IF(AND(Input!B18019&gt;=20,Input!B18019&lt;=700),Input!B18019,""),"")</f>
        <v/>
      </c>
      <c r="C18019">
        <f>IF(B18019="","",INT(A18019))</f>
        <v/>
      </c>
      <c r="D18019">
        <f>IF(B18019="","",HOUR(A18019))</f>
        <v/>
      </c>
    </row>
    <row r="18020">
      <c r="A18020">
        <f>Input!A18020</f>
        <v/>
      </c>
      <c r="B18020">
        <f>IF(ISNUMBER(Input!B18020),IF(AND(Input!B18020&gt;=20,Input!B18020&lt;=700),Input!B18020,""),"")</f>
        <v/>
      </c>
      <c r="C18020">
        <f>IF(B18020="","",INT(A18020))</f>
        <v/>
      </c>
      <c r="D18020">
        <f>IF(B18020="","",HOUR(A18020))</f>
        <v/>
      </c>
    </row>
    <row r="18021">
      <c r="A18021">
        <f>Input!A18021</f>
        <v/>
      </c>
      <c r="B18021">
        <f>IF(ISNUMBER(Input!B18021),IF(AND(Input!B18021&gt;=20,Input!B18021&lt;=700),Input!B18021,""),"")</f>
        <v/>
      </c>
      <c r="C18021">
        <f>IF(B18021="","",INT(A18021))</f>
        <v/>
      </c>
      <c r="D18021">
        <f>IF(B18021="","",HOUR(A18021))</f>
        <v/>
      </c>
    </row>
    <row r="18022">
      <c r="A18022">
        <f>Input!A18022</f>
        <v/>
      </c>
      <c r="B18022">
        <f>IF(ISNUMBER(Input!B18022),IF(AND(Input!B18022&gt;=20,Input!B18022&lt;=700),Input!B18022,""),"")</f>
        <v/>
      </c>
      <c r="C18022">
        <f>IF(B18022="","",INT(A18022))</f>
        <v/>
      </c>
      <c r="D18022">
        <f>IF(B18022="","",HOUR(A18022))</f>
        <v/>
      </c>
    </row>
    <row r="18023">
      <c r="A18023">
        <f>Input!A18023</f>
        <v/>
      </c>
      <c r="B18023">
        <f>IF(ISNUMBER(Input!B18023),IF(AND(Input!B18023&gt;=20,Input!B18023&lt;=700),Input!B18023,""),"")</f>
        <v/>
      </c>
      <c r="C18023">
        <f>IF(B18023="","",INT(A18023))</f>
        <v/>
      </c>
      <c r="D18023">
        <f>IF(B18023="","",HOUR(A18023))</f>
        <v/>
      </c>
    </row>
    <row r="18024">
      <c r="A18024">
        <f>Input!A18024</f>
        <v/>
      </c>
      <c r="B18024">
        <f>IF(ISNUMBER(Input!B18024),IF(AND(Input!B18024&gt;=20,Input!B18024&lt;=700),Input!B18024,""),"")</f>
        <v/>
      </c>
      <c r="C18024">
        <f>IF(B18024="","",INT(A18024))</f>
        <v/>
      </c>
      <c r="D18024">
        <f>IF(B18024="","",HOUR(A18024))</f>
        <v/>
      </c>
    </row>
    <row r="18025">
      <c r="A18025">
        <f>Input!A18025</f>
        <v/>
      </c>
      <c r="B18025">
        <f>IF(ISNUMBER(Input!B18025),IF(AND(Input!B18025&gt;=20,Input!B18025&lt;=700),Input!B18025,""),"")</f>
        <v/>
      </c>
      <c r="C18025">
        <f>IF(B18025="","",INT(A18025))</f>
        <v/>
      </c>
      <c r="D18025">
        <f>IF(B18025="","",HOUR(A18025))</f>
        <v/>
      </c>
    </row>
    <row r="18026">
      <c r="A18026">
        <f>Input!A18026</f>
        <v/>
      </c>
      <c r="B18026">
        <f>IF(ISNUMBER(Input!B18026),IF(AND(Input!B18026&gt;=20,Input!B18026&lt;=700),Input!B18026,""),"")</f>
        <v/>
      </c>
      <c r="C18026">
        <f>IF(B18026="","",INT(A18026))</f>
        <v/>
      </c>
      <c r="D18026">
        <f>IF(B18026="","",HOUR(A18026))</f>
        <v/>
      </c>
    </row>
    <row r="18027">
      <c r="A18027">
        <f>Input!A18027</f>
        <v/>
      </c>
      <c r="B18027">
        <f>IF(ISNUMBER(Input!B18027),IF(AND(Input!B18027&gt;=20,Input!B18027&lt;=700),Input!B18027,""),"")</f>
        <v/>
      </c>
      <c r="C18027">
        <f>IF(B18027="","",INT(A18027))</f>
        <v/>
      </c>
      <c r="D18027">
        <f>IF(B18027="","",HOUR(A18027))</f>
        <v/>
      </c>
    </row>
    <row r="18028">
      <c r="A18028">
        <f>Input!A18028</f>
        <v/>
      </c>
      <c r="B18028">
        <f>IF(ISNUMBER(Input!B18028),IF(AND(Input!B18028&gt;=20,Input!B18028&lt;=700),Input!B18028,""),"")</f>
        <v/>
      </c>
      <c r="C18028">
        <f>IF(B18028="","",INT(A18028))</f>
        <v/>
      </c>
      <c r="D18028">
        <f>IF(B18028="","",HOUR(A18028))</f>
        <v/>
      </c>
    </row>
    <row r="18029">
      <c r="A18029">
        <f>Input!A18029</f>
        <v/>
      </c>
      <c r="B18029">
        <f>IF(ISNUMBER(Input!B18029),IF(AND(Input!B18029&gt;=20,Input!B18029&lt;=700),Input!B18029,""),"")</f>
        <v/>
      </c>
      <c r="C18029">
        <f>IF(B18029="","",INT(A18029))</f>
        <v/>
      </c>
      <c r="D18029">
        <f>IF(B18029="","",HOUR(A18029))</f>
        <v/>
      </c>
    </row>
    <row r="18030">
      <c r="A18030">
        <f>Input!A18030</f>
        <v/>
      </c>
      <c r="B18030">
        <f>IF(ISNUMBER(Input!B18030),IF(AND(Input!B18030&gt;=20,Input!B18030&lt;=700),Input!B18030,""),"")</f>
        <v/>
      </c>
      <c r="C18030">
        <f>IF(B18030="","",INT(A18030))</f>
        <v/>
      </c>
      <c r="D18030">
        <f>IF(B18030="","",HOUR(A18030))</f>
        <v/>
      </c>
    </row>
    <row r="18031">
      <c r="A18031">
        <f>Input!A18031</f>
        <v/>
      </c>
      <c r="B18031">
        <f>IF(ISNUMBER(Input!B18031),IF(AND(Input!B18031&gt;=20,Input!B18031&lt;=700),Input!B18031,""),"")</f>
        <v/>
      </c>
      <c r="C18031">
        <f>IF(B18031="","",INT(A18031))</f>
        <v/>
      </c>
      <c r="D18031">
        <f>IF(B18031="","",HOUR(A18031))</f>
        <v/>
      </c>
    </row>
    <row r="18032">
      <c r="A18032">
        <f>Input!A18032</f>
        <v/>
      </c>
      <c r="B18032">
        <f>IF(ISNUMBER(Input!B18032),IF(AND(Input!B18032&gt;=20,Input!B18032&lt;=700),Input!B18032,""),"")</f>
        <v/>
      </c>
      <c r="C18032">
        <f>IF(B18032="","",INT(A18032))</f>
        <v/>
      </c>
      <c r="D18032">
        <f>IF(B18032="","",HOUR(A18032))</f>
        <v/>
      </c>
    </row>
    <row r="18033">
      <c r="A18033">
        <f>Input!A18033</f>
        <v/>
      </c>
      <c r="B18033">
        <f>IF(ISNUMBER(Input!B18033),IF(AND(Input!B18033&gt;=20,Input!B18033&lt;=700),Input!B18033,""),"")</f>
        <v/>
      </c>
      <c r="C18033">
        <f>IF(B18033="","",INT(A18033))</f>
        <v/>
      </c>
      <c r="D18033">
        <f>IF(B18033="","",HOUR(A18033))</f>
        <v/>
      </c>
    </row>
    <row r="18034">
      <c r="A18034">
        <f>Input!A18034</f>
        <v/>
      </c>
      <c r="B18034">
        <f>IF(ISNUMBER(Input!B18034),IF(AND(Input!B18034&gt;=20,Input!B18034&lt;=700),Input!B18034,""),"")</f>
        <v/>
      </c>
      <c r="C18034">
        <f>IF(B18034="","",INT(A18034))</f>
        <v/>
      </c>
      <c r="D18034">
        <f>IF(B18034="","",HOUR(A18034))</f>
        <v/>
      </c>
    </row>
    <row r="18035">
      <c r="A18035">
        <f>Input!A18035</f>
        <v/>
      </c>
      <c r="B18035">
        <f>IF(ISNUMBER(Input!B18035),IF(AND(Input!B18035&gt;=20,Input!B18035&lt;=700),Input!B18035,""),"")</f>
        <v/>
      </c>
      <c r="C18035">
        <f>IF(B18035="","",INT(A18035))</f>
        <v/>
      </c>
      <c r="D18035">
        <f>IF(B18035="","",HOUR(A18035))</f>
        <v/>
      </c>
    </row>
    <row r="18036">
      <c r="A18036">
        <f>Input!A18036</f>
        <v/>
      </c>
      <c r="B18036">
        <f>IF(ISNUMBER(Input!B18036),IF(AND(Input!B18036&gt;=20,Input!B18036&lt;=700),Input!B18036,""),"")</f>
        <v/>
      </c>
      <c r="C18036">
        <f>IF(B18036="","",INT(A18036))</f>
        <v/>
      </c>
      <c r="D18036">
        <f>IF(B18036="","",HOUR(A18036))</f>
        <v/>
      </c>
    </row>
    <row r="18037">
      <c r="A18037">
        <f>Input!A18037</f>
        <v/>
      </c>
      <c r="B18037">
        <f>IF(ISNUMBER(Input!B18037),IF(AND(Input!B18037&gt;=20,Input!B18037&lt;=700),Input!B18037,""),"")</f>
        <v/>
      </c>
      <c r="C18037">
        <f>IF(B18037="","",INT(A18037))</f>
        <v/>
      </c>
      <c r="D18037">
        <f>IF(B18037="","",HOUR(A18037))</f>
        <v/>
      </c>
    </row>
    <row r="18038">
      <c r="A18038">
        <f>Input!A18038</f>
        <v/>
      </c>
      <c r="B18038">
        <f>IF(ISNUMBER(Input!B18038),IF(AND(Input!B18038&gt;=20,Input!B18038&lt;=700),Input!B18038,""),"")</f>
        <v/>
      </c>
      <c r="C18038">
        <f>IF(B18038="","",INT(A18038))</f>
        <v/>
      </c>
      <c r="D18038">
        <f>IF(B18038="","",HOUR(A18038))</f>
        <v/>
      </c>
    </row>
    <row r="18039">
      <c r="A18039">
        <f>Input!A18039</f>
        <v/>
      </c>
      <c r="B18039">
        <f>IF(ISNUMBER(Input!B18039),IF(AND(Input!B18039&gt;=20,Input!B18039&lt;=700),Input!B18039,""),"")</f>
        <v/>
      </c>
      <c r="C18039">
        <f>IF(B18039="","",INT(A18039))</f>
        <v/>
      </c>
      <c r="D18039">
        <f>IF(B18039="","",HOUR(A18039))</f>
        <v/>
      </c>
    </row>
    <row r="18040">
      <c r="A18040">
        <f>Input!A18040</f>
        <v/>
      </c>
      <c r="B18040">
        <f>IF(ISNUMBER(Input!B18040),IF(AND(Input!B18040&gt;=20,Input!B18040&lt;=700),Input!B18040,""),"")</f>
        <v/>
      </c>
      <c r="C18040">
        <f>IF(B18040="","",INT(A18040))</f>
        <v/>
      </c>
      <c r="D18040">
        <f>IF(B18040="","",HOUR(A18040))</f>
        <v/>
      </c>
    </row>
    <row r="18041">
      <c r="A18041">
        <f>Input!A18041</f>
        <v/>
      </c>
      <c r="B18041">
        <f>IF(ISNUMBER(Input!B18041),IF(AND(Input!B18041&gt;=20,Input!B18041&lt;=700),Input!B18041,""),"")</f>
        <v/>
      </c>
      <c r="C18041">
        <f>IF(B18041="","",INT(A18041))</f>
        <v/>
      </c>
      <c r="D18041">
        <f>IF(B18041="","",HOUR(A18041))</f>
        <v/>
      </c>
    </row>
    <row r="18042">
      <c r="A18042">
        <f>Input!A18042</f>
        <v/>
      </c>
      <c r="B18042">
        <f>IF(ISNUMBER(Input!B18042),IF(AND(Input!B18042&gt;=20,Input!B18042&lt;=700),Input!B18042,""),"")</f>
        <v/>
      </c>
      <c r="C18042">
        <f>IF(B18042="","",INT(A18042))</f>
        <v/>
      </c>
      <c r="D18042">
        <f>IF(B18042="","",HOUR(A18042))</f>
        <v/>
      </c>
    </row>
    <row r="18043">
      <c r="A18043">
        <f>Input!A18043</f>
        <v/>
      </c>
      <c r="B18043">
        <f>IF(ISNUMBER(Input!B18043),IF(AND(Input!B18043&gt;=20,Input!B18043&lt;=700),Input!B18043,""),"")</f>
        <v/>
      </c>
      <c r="C18043">
        <f>IF(B18043="","",INT(A18043))</f>
        <v/>
      </c>
      <c r="D18043">
        <f>IF(B18043="","",HOUR(A18043))</f>
        <v/>
      </c>
    </row>
    <row r="18044">
      <c r="A18044">
        <f>Input!A18044</f>
        <v/>
      </c>
      <c r="B18044">
        <f>IF(ISNUMBER(Input!B18044),IF(AND(Input!B18044&gt;=20,Input!B18044&lt;=700),Input!B18044,""),"")</f>
        <v/>
      </c>
      <c r="C18044">
        <f>IF(B18044="","",INT(A18044))</f>
        <v/>
      </c>
      <c r="D18044">
        <f>IF(B18044="","",HOUR(A18044))</f>
        <v/>
      </c>
    </row>
    <row r="18045">
      <c r="A18045">
        <f>Input!A18045</f>
        <v/>
      </c>
      <c r="B18045">
        <f>IF(ISNUMBER(Input!B18045),IF(AND(Input!B18045&gt;=20,Input!B18045&lt;=700),Input!B18045,""),"")</f>
        <v/>
      </c>
      <c r="C18045">
        <f>IF(B18045="","",INT(A18045))</f>
        <v/>
      </c>
      <c r="D18045">
        <f>IF(B18045="","",HOUR(A18045))</f>
        <v/>
      </c>
    </row>
    <row r="18046">
      <c r="A18046">
        <f>Input!A18046</f>
        <v/>
      </c>
      <c r="B18046">
        <f>IF(ISNUMBER(Input!B18046),IF(AND(Input!B18046&gt;=20,Input!B18046&lt;=700),Input!B18046,""),"")</f>
        <v/>
      </c>
      <c r="C18046">
        <f>IF(B18046="","",INT(A18046))</f>
        <v/>
      </c>
      <c r="D18046">
        <f>IF(B18046="","",HOUR(A18046))</f>
        <v/>
      </c>
    </row>
    <row r="18047">
      <c r="A18047">
        <f>Input!A18047</f>
        <v/>
      </c>
      <c r="B18047">
        <f>IF(ISNUMBER(Input!B18047),IF(AND(Input!B18047&gt;=20,Input!B18047&lt;=700),Input!B18047,""),"")</f>
        <v/>
      </c>
      <c r="C18047">
        <f>IF(B18047="","",INT(A18047))</f>
        <v/>
      </c>
      <c r="D18047">
        <f>IF(B18047="","",HOUR(A18047))</f>
        <v/>
      </c>
    </row>
    <row r="18048">
      <c r="A18048">
        <f>Input!A18048</f>
        <v/>
      </c>
      <c r="B18048">
        <f>IF(ISNUMBER(Input!B18048),IF(AND(Input!B18048&gt;=20,Input!B18048&lt;=700),Input!B18048,""),"")</f>
        <v/>
      </c>
      <c r="C18048">
        <f>IF(B18048="","",INT(A18048))</f>
        <v/>
      </c>
      <c r="D18048">
        <f>IF(B18048="","",HOUR(A18048))</f>
        <v/>
      </c>
    </row>
    <row r="18049">
      <c r="A18049">
        <f>Input!A18049</f>
        <v/>
      </c>
      <c r="B18049">
        <f>IF(ISNUMBER(Input!B18049),IF(AND(Input!B18049&gt;=20,Input!B18049&lt;=700),Input!B18049,""),"")</f>
        <v/>
      </c>
      <c r="C18049">
        <f>IF(B18049="","",INT(A18049))</f>
        <v/>
      </c>
      <c r="D18049">
        <f>IF(B18049="","",HOUR(A18049))</f>
        <v/>
      </c>
    </row>
    <row r="18050">
      <c r="A18050">
        <f>Input!A18050</f>
        <v/>
      </c>
      <c r="B18050">
        <f>IF(ISNUMBER(Input!B18050),IF(AND(Input!B18050&gt;=20,Input!B18050&lt;=700),Input!B18050,""),"")</f>
        <v/>
      </c>
      <c r="C18050">
        <f>IF(B18050="","",INT(A18050))</f>
        <v/>
      </c>
      <c r="D18050">
        <f>IF(B18050="","",HOUR(A18050))</f>
        <v/>
      </c>
    </row>
    <row r="18051">
      <c r="A18051">
        <f>Input!A18051</f>
        <v/>
      </c>
      <c r="B18051">
        <f>IF(ISNUMBER(Input!B18051),IF(AND(Input!B18051&gt;=20,Input!B18051&lt;=700),Input!B18051,""),"")</f>
        <v/>
      </c>
      <c r="C18051">
        <f>IF(B18051="","",INT(A18051))</f>
        <v/>
      </c>
      <c r="D18051">
        <f>IF(B18051="","",HOUR(A18051))</f>
        <v/>
      </c>
    </row>
    <row r="18052">
      <c r="A18052">
        <f>Input!A18052</f>
        <v/>
      </c>
      <c r="B18052">
        <f>IF(ISNUMBER(Input!B18052),IF(AND(Input!B18052&gt;=20,Input!B18052&lt;=700),Input!B18052,""),"")</f>
        <v/>
      </c>
      <c r="C18052">
        <f>IF(B18052="","",INT(A18052))</f>
        <v/>
      </c>
      <c r="D18052">
        <f>IF(B18052="","",HOUR(A18052))</f>
        <v/>
      </c>
    </row>
    <row r="18053">
      <c r="A18053">
        <f>Input!A18053</f>
        <v/>
      </c>
      <c r="B18053">
        <f>IF(ISNUMBER(Input!B18053),IF(AND(Input!B18053&gt;=20,Input!B18053&lt;=700),Input!B18053,""),"")</f>
        <v/>
      </c>
      <c r="C18053">
        <f>IF(B18053="","",INT(A18053))</f>
        <v/>
      </c>
      <c r="D18053">
        <f>IF(B18053="","",HOUR(A18053))</f>
        <v/>
      </c>
    </row>
    <row r="18054">
      <c r="A18054">
        <f>Input!A18054</f>
        <v/>
      </c>
      <c r="B18054">
        <f>IF(ISNUMBER(Input!B18054),IF(AND(Input!B18054&gt;=20,Input!B18054&lt;=700),Input!B18054,""),"")</f>
        <v/>
      </c>
      <c r="C18054">
        <f>IF(B18054="","",INT(A18054))</f>
        <v/>
      </c>
      <c r="D18054">
        <f>IF(B18054="","",HOUR(A18054))</f>
        <v/>
      </c>
    </row>
    <row r="18055">
      <c r="A18055">
        <f>Input!A18055</f>
        <v/>
      </c>
      <c r="B18055">
        <f>IF(ISNUMBER(Input!B18055),IF(AND(Input!B18055&gt;=20,Input!B18055&lt;=700),Input!B18055,""),"")</f>
        <v/>
      </c>
      <c r="C18055">
        <f>IF(B18055="","",INT(A18055))</f>
        <v/>
      </c>
      <c r="D18055">
        <f>IF(B18055="","",HOUR(A18055))</f>
        <v/>
      </c>
    </row>
    <row r="18056">
      <c r="A18056">
        <f>Input!A18056</f>
        <v/>
      </c>
      <c r="B18056">
        <f>IF(ISNUMBER(Input!B18056),IF(AND(Input!B18056&gt;=20,Input!B18056&lt;=700),Input!B18056,""),"")</f>
        <v/>
      </c>
      <c r="C18056">
        <f>IF(B18056="","",INT(A18056))</f>
        <v/>
      </c>
      <c r="D18056">
        <f>IF(B18056="","",HOUR(A18056))</f>
        <v/>
      </c>
    </row>
    <row r="18057">
      <c r="A18057">
        <f>Input!A18057</f>
        <v/>
      </c>
      <c r="B18057">
        <f>IF(ISNUMBER(Input!B18057),IF(AND(Input!B18057&gt;=20,Input!B18057&lt;=700),Input!B18057,""),"")</f>
        <v/>
      </c>
      <c r="C18057">
        <f>IF(B18057="","",INT(A18057))</f>
        <v/>
      </c>
      <c r="D18057">
        <f>IF(B18057="","",HOUR(A18057))</f>
        <v/>
      </c>
    </row>
    <row r="18058">
      <c r="A18058">
        <f>Input!A18058</f>
        <v/>
      </c>
      <c r="B18058">
        <f>IF(ISNUMBER(Input!B18058),IF(AND(Input!B18058&gt;=20,Input!B18058&lt;=700),Input!B18058,""),"")</f>
        <v/>
      </c>
      <c r="C18058">
        <f>IF(B18058="","",INT(A18058))</f>
        <v/>
      </c>
      <c r="D18058">
        <f>IF(B18058="","",HOUR(A18058))</f>
        <v/>
      </c>
    </row>
    <row r="18059">
      <c r="A18059">
        <f>Input!A18059</f>
        <v/>
      </c>
      <c r="B18059">
        <f>IF(ISNUMBER(Input!B18059),IF(AND(Input!B18059&gt;=20,Input!B18059&lt;=700),Input!B18059,""),"")</f>
        <v/>
      </c>
      <c r="C18059">
        <f>IF(B18059="","",INT(A18059))</f>
        <v/>
      </c>
      <c r="D18059">
        <f>IF(B18059="","",HOUR(A18059))</f>
        <v/>
      </c>
    </row>
    <row r="18060">
      <c r="A18060">
        <f>Input!A18060</f>
        <v/>
      </c>
      <c r="B18060">
        <f>IF(ISNUMBER(Input!B18060),IF(AND(Input!B18060&gt;=20,Input!B18060&lt;=700),Input!B18060,""),"")</f>
        <v/>
      </c>
      <c r="C18060">
        <f>IF(B18060="","",INT(A18060))</f>
        <v/>
      </c>
      <c r="D18060">
        <f>IF(B18060="","",HOUR(A18060))</f>
        <v/>
      </c>
    </row>
    <row r="18061">
      <c r="A18061">
        <f>Input!A18061</f>
        <v/>
      </c>
      <c r="B18061">
        <f>IF(ISNUMBER(Input!B18061),IF(AND(Input!B18061&gt;=20,Input!B18061&lt;=700),Input!B18061,""),"")</f>
        <v/>
      </c>
      <c r="C18061">
        <f>IF(B18061="","",INT(A18061))</f>
        <v/>
      </c>
      <c r="D18061">
        <f>IF(B18061="","",HOUR(A18061))</f>
        <v/>
      </c>
    </row>
    <row r="18062">
      <c r="A18062">
        <f>Input!A18062</f>
        <v/>
      </c>
      <c r="B18062">
        <f>IF(ISNUMBER(Input!B18062),IF(AND(Input!B18062&gt;=20,Input!B18062&lt;=700),Input!B18062,""),"")</f>
        <v/>
      </c>
      <c r="C18062">
        <f>IF(B18062="","",INT(A18062))</f>
        <v/>
      </c>
      <c r="D18062">
        <f>IF(B18062="","",HOUR(A18062))</f>
        <v/>
      </c>
    </row>
    <row r="18063">
      <c r="A18063">
        <f>Input!A18063</f>
        <v/>
      </c>
      <c r="B18063">
        <f>IF(ISNUMBER(Input!B18063),IF(AND(Input!B18063&gt;=20,Input!B18063&lt;=700),Input!B18063,""),"")</f>
        <v/>
      </c>
      <c r="C18063">
        <f>IF(B18063="","",INT(A18063))</f>
        <v/>
      </c>
      <c r="D18063">
        <f>IF(B18063="","",HOUR(A18063))</f>
        <v/>
      </c>
    </row>
    <row r="18064">
      <c r="A18064">
        <f>Input!A18064</f>
        <v/>
      </c>
      <c r="B18064">
        <f>IF(ISNUMBER(Input!B18064),IF(AND(Input!B18064&gt;=20,Input!B18064&lt;=700),Input!B18064,""),"")</f>
        <v/>
      </c>
      <c r="C18064">
        <f>IF(B18064="","",INT(A18064))</f>
        <v/>
      </c>
      <c r="D18064">
        <f>IF(B18064="","",HOUR(A18064))</f>
        <v/>
      </c>
    </row>
    <row r="18065">
      <c r="A18065">
        <f>Input!A18065</f>
        <v/>
      </c>
      <c r="B18065">
        <f>IF(ISNUMBER(Input!B18065),IF(AND(Input!B18065&gt;=20,Input!B18065&lt;=700),Input!B18065,""),"")</f>
        <v/>
      </c>
      <c r="C18065">
        <f>IF(B18065="","",INT(A18065))</f>
        <v/>
      </c>
      <c r="D18065">
        <f>IF(B18065="","",HOUR(A18065))</f>
        <v/>
      </c>
    </row>
    <row r="18066">
      <c r="A18066">
        <f>Input!A18066</f>
        <v/>
      </c>
      <c r="B18066">
        <f>IF(ISNUMBER(Input!B18066),IF(AND(Input!B18066&gt;=20,Input!B18066&lt;=700),Input!B18066,""),"")</f>
        <v/>
      </c>
      <c r="C18066">
        <f>IF(B18066="","",INT(A18066))</f>
        <v/>
      </c>
      <c r="D18066">
        <f>IF(B18066="","",HOUR(A18066))</f>
        <v/>
      </c>
    </row>
    <row r="18067">
      <c r="A18067">
        <f>Input!A18067</f>
        <v/>
      </c>
      <c r="B18067">
        <f>IF(ISNUMBER(Input!B18067),IF(AND(Input!B18067&gt;=20,Input!B18067&lt;=700),Input!B18067,""),"")</f>
        <v/>
      </c>
      <c r="C18067">
        <f>IF(B18067="","",INT(A18067))</f>
        <v/>
      </c>
      <c r="D18067">
        <f>IF(B18067="","",HOUR(A18067))</f>
        <v/>
      </c>
    </row>
    <row r="18068">
      <c r="A18068">
        <f>Input!A18068</f>
        <v/>
      </c>
      <c r="B18068">
        <f>IF(ISNUMBER(Input!B18068),IF(AND(Input!B18068&gt;=20,Input!B18068&lt;=700),Input!B18068,""),"")</f>
        <v/>
      </c>
      <c r="C18068">
        <f>IF(B18068="","",INT(A18068))</f>
        <v/>
      </c>
      <c r="D18068">
        <f>IF(B18068="","",HOUR(A18068))</f>
        <v/>
      </c>
    </row>
    <row r="18069">
      <c r="A18069">
        <f>Input!A18069</f>
        <v/>
      </c>
      <c r="B18069">
        <f>IF(ISNUMBER(Input!B18069),IF(AND(Input!B18069&gt;=20,Input!B18069&lt;=700),Input!B18069,""),"")</f>
        <v/>
      </c>
      <c r="C18069">
        <f>IF(B18069="","",INT(A18069))</f>
        <v/>
      </c>
      <c r="D18069">
        <f>IF(B18069="","",HOUR(A18069))</f>
        <v/>
      </c>
    </row>
    <row r="18070">
      <c r="A18070">
        <f>Input!A18070</f>
        <v/>
      </c>
      <c r="B18070">
        <f>IF(ISNUMBER(Input!B18070),IF(AND(Input!B18070&gt;=20,Input!B18070&lt;=700),Input!B18070,""),"")</f>
        <v/>
      </c>
      <c r="C18070">
        <f>IF(B18070="","",INT(A18070))</f>
        <v/>
      </c>
      <c r="D18070">
        <f>IF(B18070="","",HOUR(A18070))</f>
        <v/>
      </c>
    </row>
    <row r="18071">
      <c r="A18071">
        <f>Input!A18071</f>
        <v/>
      </c>
      <c r="B18071">
        <f>IF(ISNUMBER(Input!B18071),IF(AND(Input!B18071&gt;=20,Input!B18071&lt;=700),Input!B18071,""),"")</f>
        <v/>
      </c>
      <c r="C18071">
        <f>IF(B18071="","",INT(A18071))</f>
        <v/>
      </c>
      <c r="D18071">
        <f>IF(B18071="","",HOUR(A18071))</f>
        <v/>
      </c>
    </row>
    <row r="18072">
      <c r="A18072">
        <f>Input!A18072</f>
        <v/>
      </c>
      <c r="B18072">
        <f>IF(ISNUMBER(Input!B18072),IF(AND(Input!B18072&gt;=20,Input!B18072&lt;=700),Input!B18072,""),"")</f>
        <v/>
      </c>
      <c r="C18072">
        <f>IF(B18072="","",INT(A18072))</f>
        <v/>
      </c>
      <c r="D18072">
        <f>IF(B18072="","",HOUR(A18072))</f>
        <v/>
      </c>
    </row>
    <row r="18073">
      <c r="A18073">
        <f>Input!A18073</f>
        <v/>
      </c>
      <c r="B18073">
        <f>IF(ISNUMBER(Input!B18073),IF(AND(Input!B18073&gt;=20,Input!B18073&lt;=700),Input!B18073,""),"")</f>
        <v/>
      </c>
      <c r="C18073">
        <f>IF(B18073="","",INT(A18073))</f>
        <v/>
      </c>
      <c r="D18073">
        <f>IF(B18073="","",HOUR(A18073))</f>
        <v/>
      </c>
    </row>
    <row r="18074">
      <c r="A18074">
        <f>Input!A18074</f>
        <v/>
      </c>
      <c r="B18074">
        <f>IF(ISNUMBER(Input!B18074),IF(AND(Input!B18074&gt;=20,Input!B18074&lt;=700),Input!B18074,""),"")</f>
        <v/>
      </c>
      <c r="C18074">
        <f>IF(B18074="","",INT(A18074))</f>
        <v/>
      </c>
      <c r="D18074">
        <f>IF(B18074="","",HOUR(A18074))</f>
        <v/>
      </c>
    </row>
    <row r="18075">
      <c r="A18075">
        <f>Input!A18075</f>
        <v/>
      </c>
      <c r="B18075">
        <f>IF(ISNUMBER(Input!B18075),IF(AND(Input!B18075&gt;=20,Input!B18075&lt;=700),Input!B18075,""),"")</f>
        <v/>
      </c>
      <c r="C18075">
        <f>IF(B18075="","",INT(A18075))</f>
        <v/>
      </c>
      <c r="D18075">
        <f>IF(B18075="","",HOUR(A18075))</f>
        <v/>
      </c>
    </row>
    <row r="18076">
      <c r="A18076">
        <f>Input!A18076</f>
        <v/>
      </c>
      <c r="B18076">
        <f>IF(ISNUMBER(Input!B18076),IF(AND(Input!B18076&gt;=20,Input!B18076&lt;=700),Input!B18076,""),"")</f>
        <v/>
      </c>
      <c r="C18076">
        <f>IF(B18076="","",INT(A18076))</f>
        <v/>
      </c>
      <c r="D18076">
        <f>IF(B18076="","",HOUR(A18076))</f>
        <v/>
      </c>
    </row>
    <row r="18077">
      <c r="A18077">
        <f>Input!A18077</f>
        <v/>
      </c>
      <c r="B18077">
        <f>IF(ISNUMBER(Input!B18077),IF(AND(Input!B18077&gt;=20,Input!B18077&lt;=700),Input!B18077,""),"")</f>
        <v/>
      </c>
      <c r="C18077">
        <f>IF(B18077="","",INT(A18077))</f>
        <v/>
      </c>
      <c r="D18077">
        <f>IF(B18077="","",HOUR(A18077))</f>
        <v/>
      </c>
    </row>
    <row r="18078">
      <c r="A18078">
        <f>Input!A18078</f>
        <v/>
      </c>
      <c r="B18078">
        <f>IF(ISNUMBER(Input!B18078),IF(AND(Input!B18078&gt;=20,Input!B18078&lt;=700),Input!B18078,""),"")</f>
        <v/>
      </c>
      <c r="C18078">
        <f>IF(B18078="","",INT(A18078))</f>
        <v/>
      </c>
      <c r="D18078">
        <f>IF(B18078="","",HOUR(A18078))</f>
        <v/>
      </c>
    </row>
    <row r="18079">
      <c r="A18079">
        <f>Input!A18079</f>
        <v/>
      </c>
      <c r="B18079">
        <f>IF(ISNUMBER(Input!B18079),IF(AND(Input!B18079&gt;=20,Input!B18079&lt;=700),Input!B18079,""),"")</f>
        <v/>
      </c>
      <c r="C18079">
        <f>IF(B18079="","",INT(A18079))</f>
        <v/>
      </c>
      <c r="D18079">
        <f>IF(B18079="","",HOUR(A18079))</f>
        <v/>
      </c>
    </row>
    <row r="18080">
      <c r="A18080">
        <f>Input!A18080</f>
        <v/>
      </c>
      <c r="B18080">
        <f>IF(ISNUMBER(Input!B18080),IF(AND(Input!B18080&gt;=20,Input!B18080&lt;=700),Input!B18080,""),"")</f>
        <v/>
      </c>
      <c r="C18080">
        <f>IF(B18080="","",INT(A18080))</f>
        <v/>
      </c>
      <c r="D18080">
        <f>IF(B18080="","",HOUR(A18080))</f>
        <v/>
      </c>
    </row>
    <row r="18081">
      <c r="A18081">
        <f>Input!A18081</f>
        <v/>
      </c>
      <c r="B18081">
        <f>IF(ISNUMBER(Input!B18081),IF(AND(Input!B18081&gt;=20,Input!B18081&lt;=700),Input!B18081,""),"")</f>
        <v/>
      </c>
      <c r="C18081">
        <f>IF(B18081="","",INT(A18081))</f>
        <v/>
      </c>
      <c r="D18081">
        <f>IF(B18081="","",HOUR(A18081))</f>
        <v/>
      </c>
    </row>
    <row r="18082">
      <c r="A18082">
        <f>Input!A18082</f>
        <v/>
      </c>
      <c r="B18082">
        <f>IF(ISNUMBER(Input!B18082),IF(AND(Input!B18082&gt;=20,Input!B18082&lt;=700),Input!B18082,""),"")</f>
        <v/>
      </c>
      <c r="C18082">
        <f>IF(B18082="","",INT(A18082))</f>
        <v/>
      </c>
      <c r="D18082">
        <f>IF(B18082="","",HOUR(A18082))</f>
        <v/>
      </c>
    </row>
    <row r="18083">
      <c r="A18083">
        <f>Input!A18083</f>
        <v/>
      </c>
      <c r="B18083">
        <f>IF(ISNUMBER(Input!B18083),IF(AND(Input!B18083&gt;=20,Input!B18083&lt;=700),Input!B18083,""),"")</f>
        <v/>
      </c>
      <c r="C18083">
        <f>IF(B18083="","",INT(A18083))</f>
        <v/>
      </c>
      <c r="D18083">
        <f>IF(B18083="","",HOUR(A18083))</f>
        <v/>
      </c>
    </row>
    <row r="18084">
      <c r="A18084">
        <f>Input!A18084</f>
        <v/>
      </c>
      <c r="B18084">
        <f>IF(ISNUMBER(Input!B18084),IF(AND(Input!B18084&gt;=20,Input!B18084&lt;=700),Input!B18084,""),"")</f>
        <v/>
      </c>
      <c r="C18084">
        <f>IF(B18084="","",INT(A18084))</f>
        <v/>
      </c>
      <c r="D18084">
        <f>IF(B18084="","",HOUR(A18084))</f>
        <v/>
      </c>
    </row>
    <row r="18085">
      <c r="A18085">
        <f>Input!A18085</f>
        <v/>
      </c>
      <c r="B18085">
        <f>IF(ISNUMBER(Input!B18085),IF(AND(Input!B18085&gt;=20,Input!B18085&lt;=700),Input!B18085,""),"")</f>
        <v/>
      </c>
      <c r="C18085">
        <f>IF(B18085="","",INT(A18085))</f>
        <v/>
      </c>
      <c r="D18085">
        <f>IF(B18085="","",HOUR(A18085))</f>
        <v/>
      </c>
    </row>
    <row r="18086">
      <c r="A18086">
        <f>Input!A18086</f>
        <v/>
      </c>
      <c r="B18086">
        <f>IF(ISNUMBER(Input!B18086),IF(AND(Input!B18086&gt;=20,Input!B18086&lt;=700),Input!B18086,""),"")</f>
        <v/>
      </c>
      <c r="C18086">
        <f>IF(B18086="","",INT(A18086))</f>
        <v/>
      </c>
      <c r="D18086">
        <f>IF(B18086="","",HOUR(A18086))</f>
        <v/>
      </c>
    </row>
    <row r="18087">
      <c r="A18087">
        <f>Input!A18087</f>
        <v/>
      </c>
      <c r="B18087">
        <f>IF(ISNUMBER(Input!B18087),IF(AND(Input!B18087&gt;=20,Input!B18087&lt;=700),Input!B18087,""),"")</f>
        <v/>
      </c>
      <c r="C18087">
        <f>IF(B18087="","",INT(A18087))</f>
        <v/>
      </c>
      <c r="D18087">
        <f>IF(B18087="","",HOUR(A18087))</f>
        <v/>
      </c>
    </row>
    <row r="18088">
      <c r="A18088">
        <f>Input!A18088</f>
        <v/>
      </c>
      <c r="B18088">
        <f>IF(ISNUMBER(Input!B18088),IF(AND(Input!B18088&gt;=20,Input!B18088&lt;=700),Input!B18088,""),"")</f>
        <v/>
      </c>
      <c r="C18088">
        <f>IF(B18088="","",INT(A18088))</f>
        <v/>
      </c>
      <c r="D18088">
        <f>IF(B18088="","",HOUR(A18088))</f>
        <v/>
      </c>
    </row>
    <row r="18089">
      <c r="A18089">
        <f>Input!A18089</f>
        <v/>
      </c>
      <c r="B18089">
        <f>IF(ISNUMBER(Input!B18089),IF(AND(Input!B18089&gt;=20,Input!B18089&lt;=700),Input!B18089,""),"")</f>
        <v/>
      </c>
      <c r="C18089">
        <f>IF(B18089="","",INT(A18089))</f>
        <v/>
      </c>
      <c r="D18089">
        <f>IF(B18089="","",HOUR(A18089))</f>
        <v/>
      </c>
    </row>
    <row r="18090">
      <c r="A18090">
        <f>Input!A18090</f>
        <v/>
      </c>
      <c r="B18090">
        <f>IF(ISNUMBER(Input!B18090),IF(AND(Input!B18090&gt;=20,Input!B18090&lt;=700),Input!B18090,""),"")</f>
        <v/>
      </c>
      <c r="C18090">
        <f>IF(B18090="","",INT(A18090))</f>
        <v/>
      </c>
      <c r="D18090">
        <f>IF(B18090="","",HOUR(A18090))</f>
        <v/>
      </c>
    </row>
    <row r="18091">
      <c r="A18091">
        <f>Input!A18091</f>
        <v/>
      </c>
      <c r="B18091">
        <f>IF(ISNUMBER(Input!B18091),IF(AND(Input!B18091&gt;=20,Input!B18091&lt;=700),Input!B18091,""),"")</f>
        <v/>
      </c>
      <c r="C18091">
        <f>IF(B18091="","",INT(A18091))</f>
        <v/>
      </c>
      <c r="D18091">
        <f>IF(B18091="","",HOUR(A18091))</f>
        <v/>
      </c>
    </row>
    <row r="18092">
      <c r="A18092">
        <f>Input!A18092</f>
        <v/>
      </c>
      <c r="B18092">
        <f>IF(ISNUMBER(Input!B18092),IF(AND(Input!B18092&gt;=20,Input!B18092&lt;=700),Input!B18092,""),"")</f>
        <v/>
      </c>
      <c r="C18092">
        <f>IF(B18092="","",INT(A18092))</f>
        <v/>
      </c>
      <c r="D18092">
        <f>IF(B18092="","",HOUR(A18092))</f>
        <v/>
      </c>
    </row>
    <row r="18093">
      <c r="A18093">
        <f>Input!A18093</f>
        <v/>
      </c>
      <c r="B18093">
        <f>IF(ISNUMBER(Input!B18093),IF(AND(Input!B18093&gt;=20,Input!B18093&lt;=700),Input!B18093,""),"")</f>
        <v/>
      </c>
      <c r="C18093">
        <f>IF(B18093="","",INT(A18093))</f>
        <v/>
      </c>
      <c r="D18093">
        <f>IF(B18093="","",HOUR(A18093))</f>
        <v/>
      </c>
    </row>
    <row r="18094">
      <c r="A18094">
        <f>Input!A18094</f>
        <v/>
      </c>
      <c r="B18094">
        <f>IF(ISNUMBER(Input!B18094),IF(AND(Input!B18094&gt;=20,Input!B18094&lt;=700),Input!B18094,""),"")</f>
        <v/>
      </c>
      <c r="C18094">
        <f>IF(B18094="","",INT(A18094))</f>
        <v/>
      </c>
      <c r="D18094">
        <f>IF(B18094="","",HOUR(A18094))</f>
        <v/>
      </c>
    </row>
    <row r="18095">
      <c r="A18095">
        <f>Input!A18095</f>
        <v/>
      </c>
      <c r="B18095">
        <f>IF(ISNUMBER(Input!B18095),IF(AND(Input!B18095&gt;=20,Input!B18095&lt;=700),Input!B18095,""),"")</f>
        <v/>
      </c>
      <c r="C18095">
        <f>IF(B18095="","",INT(A18095))</f>
        <v/>
      </c>
      <c r="D18095">
        <f>IF(B18095="","",HOUR(A18095))</f>
        <v/>
      </c>
    </row>
    <row r="18096">
      <c r="A18096">
        <f>Input!A18096</f>
        <v/>
      </c>
      <c r="B18096">
        <f>IF(ISNUMBER(Input!B18096),IF(AND(Input!B18096&gt;=20,Input!B18096&lt;=700),Input!B18096,""),"")</f>
        <v/>
      </c>
      <c r="C18096">
        <f>IF(B18096="","",INT(A18096))</f>
        <v/>
      </c>
      <c r="D18096">
        <f>IF(B18096="","",HOUR(A18096))</f>
        <v/>
      </c>
    </row>
    <row r="18097">
      <c r="A18097">
        <f>Input!A18097</f>
        <v/>
      </c>
      <c r="B18097">
        <f>IF(ISNUMBER(Input!B18097),IF(AND(Input!B18097&gt;=20,Input!B18097&lt;=700),Input!B18097,""),"")</f>
        <v/>
      </c>
      <c r="C18097">
        <f>IF(B18097="","",INT(A18097))</f>
        <v/>
      </c>
      <c r="D18097">
        <f>IF(B18097="","",HOUR(A18097))</f>
        <v/>
      </c>
    </row>
    <row r="18098">
      <c r="A18098">
        <f>Input!A18098</f>
        <v/>
      </c>
      <c r="B18098">
        <f>IF(ISNUMBER(Input!B18098),IF(AND(Input!B18098&gt;=20,Input!B18098&lt;=700),Input!B18098,""),"")</f>
        <v/>
      </c>
      <c r="C18098">
        <f>IF(B18098="","",INT(A18098))</f>
        <v/>
      </c>
      <c r="D18098">
        <f>IF(B18098="","",HOUR(A18098))</f>
        <v/>
      </c>
    </row>
    <row r="18099">
      <c r="A18099">
        <f>Input!A18099</f>
        <v/>
      </c>
      <c r="B18099">
        <f>IF(ISNUMBER(Input!B18099),IF(AND(Input!B18099&gt;=20,Input!B18099&lt;=700),Input!B18099,""),"")</f>
        <v/>
      </c>
      <c r="C18099">
        <f>IF(B18099="","",INT(A18099))</f>
        <v/>
      </c>
      <c r="D18099">
        <f>IF(B18099="","",HOUR(A18099))</f>
        <v/>
      </c>
    </row>
    <row r="18100">
      <c r="A18100">
        <f>Input!A18100</f>
        <v/>
      </c>
      <c r="B18100">
        <f>IF(ISNUMBER(Input!B18100),IF(AND(Input!B18100&gt;=20,Input!B18100&lt;=700),Input!B18100,""),"")</f>
        <v/>
      </c>
      <c r="C18100">
        <f>IF(B18100="","",INT(A18100))</f>
        <v/>
      </c>
      <c r="D18100">
        <f>IF(B18100="","",HOUR(A18100))</f>
        <v/>
      </c>
    </row>
    <row r="18101">
      <c r="A18101">
        <f>Input!A18101</f>
        <v/>
      </c>
      <c r="B18101">
        <f>IF(ISNUMBER(Input!B18101),IF(AND(Input!B18101&gt;=20,Input!B18101&lt;=700),Input!B18101,""),"")</f>
        <v/>
      </c>
      <c r="C18101">
        <f>IF(B18101="","",INT(A18101))</f>
        <v/>
      </c>
      <c r="D18101">
        <f>IF(B18101="","",HOUR(A18101))</f>
        <v/>
      </c>
    </row>
    <row r="18102">
      <c r="A18102">
        <f>Input!A18102</f>
        <v/>
      </c>
      <c r="B18102">
        <f>IF(ISNUMBER(Input!B18102),IF(AND(Input!B18102&gt;=20,Input!B18102&lt;=700),Input!B18102,""),"")</f>
        <v/>
      </c>
      <c r="C18102">
        <f>IF(B18102="","",INT(A18102))</f>
        <v/>
      </c>
      <c r="D18102">
        <f>IF(B18102="","",HOUR(A18102))</f>
        <v/>
      </c>
    </row>
    <row r="18103">
      <c r="A18103">
        <f>Input!A18103</f>
        <v/>
      </c>
      <c r="B18103">
        <f>IF(ISNUMBER(Input!B18103),IF(AND(Input!B18103&gt;=20,Input!B18103&lt;=700),Input!B18103,""),"")</f>
        <v/>
      </c>
      <c r="C18103">
        <f>IF(B18103="","",INT(A18103))</f>
        <v/>
      </c>
      <c r="D18103">
        <f>IF(B18103="","",HOUR(A18103))</f>
        <v/>
      </c>
    </row>
    <row r="18104">
      <c r="A18104">
        <f>Input!A18104</f>
        <v/>
      </c>
      <c r="B18104">
        <f>IF(ISNUMBER(Input!B18104),IF(AND(Input!B18104&gt;=20,Input!B18104&lt;=700),Input!B18104,""),"")</f>
        <v/>
      </c>
      <c r="C18104">
        <f>IF(B18104="","",INT(A18104))</f>
        <v/>
      </c>
      <c r="D18104">
        <f>IF(B18104="","",HOUR(A18104))</f>
        <v/>
      </c>
    </row>
    <row r="18105">
      <c r="A18105">
        <f>Input!A18105</f>
        <v/>
      </c>
      <c r="B18105">
        <f>IF(ISNUMBER(Input!B18105),IF(AND(Input!B18105&gt;=20,Input!B18105&lt;=700),Input!B18105,""),"")</f>
        <v/>
      </c>
      <c r="C18105">
        <f>IF(B18105="","",INT(A18105))</f>
        <v/>
      </c>
      <c r="D18105">
        <f>IF(B18105="","",HOUR(A18105))</f>
        <v/>
      </c>
    </row>
    <row r="18106">
      <c r="A18106">
        <f>Input!A18106</f>
        <v/>
      </c>
      <c r="B18106">
        <f>IF(ISNUMBER(Input!B18106),IF(AND(Input!B18106&gt;=20,Input!B18106&lt;=700),Input!B18106,""),"")</f>
        <v/>
      </c>
      <c r="C18106">
        <f>IF(B18106="","",INT(A18106))</f>
        <v/>
      </c>
      <c r="D18106">
        <f>IF(B18106="","",HOUR(A18106))</f>
        <v/>
      </c>
    </row>
    <row r="18107">
      <c r="A18107">
        <f>Input!A18107</f>
        <v/>
      </c>
      <c r="B18107">
        <f>IF(ISNUMBER(Input!B18107),IF(AND(Input!B18107&gt;=20,Input!B18107&lt;=700),Input!B18107,""),"")</f>
        <v/>
      </c>
      <c r="C18107">
        <f>IF(B18107="","",INT(A18107))</f>
        <v/>
      </c>
      <c r="D18107">
        <f>IF(B18107="","",HOUR(A18107))</f>
        <v/>
      </c>
    </row>
    <row r="18108">
      <c r="A18108">
        <f>Input!A18108</f>
        <v/>
      </c>
      <c r="B18108">
        <f>IF(ISNUMBER(Input!B18108),IF(AND(Input!B18108&gt;=20,Input!B18108&lt;=700),Input!B18108,""),"")</f>
        <v/>
      </c>
      <c r="C18108">
        <f>IF(B18108="","",INT(A18108))</f>
        <v/>
      </c>
      <c r="D18108">
        <f>IF(B18108="","",HOUR(A18108))</f>
        <v/>
      </c>
    </row>
    <row r="18109">
      <c r="A18109">
        <f>Input!A18109</f>
        <v/>
      </c>
      <c r="B18109">
        <f>IF(ISNUMBER(Input!B18109),IF(AND(Input!B18109&gt;=20,Input!B18109&lt;=700),Input!B18109,""),"")</f>
        <v/>
      </c>
      <c r="C18109">
        <f>IF(B18109="","",INT(A18109))</f>
        <v/>
      </c>
      <c r="D18109">
        <f>IF(B18109="","",HOUR(A18109))</f>
        <v/>
      </c>
    </row>
    <row r="18110">
      <c r="A18110">
        <f>Input!A18110</f>
        <v/>
      </c>
      <c r="B18110">
        <f>IF(ISNUMBER(Input!B18110),IF(AND(Input!B18110&gt;=20,Input!B18110&lt;=700),Input!B18110,""),"")</f>
        <v/>
      </c>
      <c r="C18110">
        <f>IF(B18110="","",INT(A18110))</f>
        <v/>
      </c>
      <c r="D18110">
        <f>IF(B18110="","",HOUR(A18110))</f>
        <v/>
      </c>
    </row>
    <row r="18111">
      <c r="A18111">
        <f>Input!A18111</f>
        <v/>
      </c>
      <c r="B18111">
        <f>IF(ISNUMBER(Input!B18111),IF(AND(Input!B18111&gt;=20,Input!B18111&lt;=700),Input!B18111,""),"")</f>
        <v/>
      </c>
      <c r="C18111">
        <f>IF(B18111="","",INT(A18111))</f>
        <v/>
      </c>
      <c r="D18111">
        <f>IF(B18111="","",HOUR(A18111))</f>
        <v/>
      </c>
    </row>
    <row r="18112">
      <c r="A18112">
        <f>Input!A18112</f>
        <v/>
      </c>
      <c r="B18112">
        <f>IF(ISNUMBER(Input!B18112),IF(AND(Input!B18112&gt;=20,Input!B18112&lt;=700),Input!B18112,""),"")</f>
        <v/>
      </c>
      <c r="C18112">
        <f>IF(B18112="","",INT(A18112))</f>
        <v/>
      </c>
      <c r="D18112">
        <f>IF(B18112="","",HOUR(A18112))</f>
        <v/>
      </c>
    </row>
    <row r="18113">
      <c r="A18113">
        <f>Input!A18113</f>
        <v/>
      </c>
      <c r="B18113">
        <f>IF(ISNUMBER(Input!B18113),IF(AND(Input!B18113&gt;=20,Input!B18113&lt;=700),Input!B18113,""),"")</f>
        <v/>
      </c>
      <c r="C18113">
        <f>IF(B18113="","",INT(A18113))</f>
        <v/>
      </c>
      <c r="D18113">
        <f>IF(B18113="","",HOUR(A18113))</f>
        <v/>
      </c>
    </row>
    <row r="18114">
      <c r="A18114">
        <f>Input!A18114</f>
        <v/>
      </c>
      <c r="B18114">
        <f>IF(ISNUMBER(Input!B18114),IF(AND(Input!B18114&gt;=20,Input!B18114&lt;=700),Input!B18114,""),"")</f>
        <v/>
      </c>
      <c r="C18114">
        <f>IF(B18114="","",INT(A18114))</f>
        <v/>
      </c>
      <c r="D18114">
        <f>IF(B18114="","",HOUR(A18114))</f>
        <v/>
      </c>
    </row>
    <row r="18115">
      <c r="A18115">
        <f>Input!A18115</f>
        <v/>
      </c>
      <c r="B18115">
        <f>IF(ISNUMBER(Input!B18115),IF(AND(Input!B18115&gt;=20,Input!B18115&lt;=700),Input!B18115,""),"")</f>
        <v/>
      </c>
      <c r="C18115">
        <f>IF(B18115="","",INT(A18115))</f>
        <v/>
      </c>
      <c r="D18115">
        <f>IF(B18115="","",HOUR(A18115))</f>
        <v/>
      </c>
    </row>
    <row r="18116">
      <c r="A18116">
        <f>Input!A18116</f>
        <v/>
      </c>
      <c r="B18116">
        <f>IF(ISNUMBER(Input!B18116),IF(AND(Input!B18116&gt;=20,Input!B18116&lt;=700),Input!B18116,""),"")</f>
        <v/>
      </c>
      <c r="C18116">
        <f>IF(B18116="","",INT(A18116))</f>
        <v/>
      </c>
      <c r="D18116">
        <f>IF(B18116="","",HOUR(A18116))</f>
        <v/>
      </c>
    </row>
    <row r="18117">
      <c r="A18117">
        <f>Input!A18117</f>
        <v/>
      </c>
      <c r="B18117">
        <f>IF(ISNUMBER(Input!B18117),IF(AND(Input!B18117&gt;=20,Input!B18117&lt;=700),Input!B18117,""),"")</f>
        <v/>
      </c>
      <c r="C18117">
        <f>IF(B18117="","",INT(A18117))</f>
        <v/>
      </c>
      <c r="D18117">
        <f>IF(B18117="","",HOUR(A18117))</f>
        <v/>
      </c>
    </row>
    <row r="18118">
      <c r="A18118">
        <f>Input!A18118</f>
        <v/>
      </c>
      <c r="B18118">
        <f>IF(ISNUMBER(Input!B18118),IF(AND(Input!B18118&gt;=20,Input!B18118&lt;=700),Input!B18118,""),"")</f>
        <v/>
      </c>
      <c r="C18118">
        <f>IF(B18118="","",INT(A18118))</f>
        <v/>
      </c>
      <c r="D18118">
        <f>IF(B18118="","",HOUR(A18118))</f>
        <v/>
      </c>
    </row>
    <row r="18119">
      <c r="A18119">
        <f>Input!A18119</f>
        <v/>
      </c>
      <c r="B18119">
        <f>IF(ISNUMBER(Input!B18119),IF(AND(Input!B18119&gt;=20,Input!B18119&lt;=700),Input!B18119,""),"")</f>
        <v/>
      </c>
      <c r="C18119">
        <f>IF(B18119="","",INT(A18119))</f>
        <v/>
      </c>
      <c r="D18119">
        <f>IF(B18119="","",HOUR(A18119))</f>
        <v/>
      </c>
    </row>
    <row r="18120">
      <c r="A18120">
        <f>Input!A18120</f>
        <v/>
      </c>
      <c r="B18120">
        <f>IF(ISNUMBER(Input!B18120),IF(AND(Input!B18120&gt;=20,Input!B18120&lt;=700),Input!B18120,""),"")</f>
        <v/>
      </c>
      <c r="C18120">
        <f>IF(B18120="","",INT(A18120))</f>
        <v/>
      </c>
      <c r="D18120">
        <f>IF(B18120="","",HOUR(A18120))</f>
        <v/>
      </c>
    </row>
    <row r="18121">
      <c r="A18121">
        <f>Input!A18121</f>
        <v/>
      </c>
      <c r="B18121">
        <f>IF(ISNUMBER(Input!B18121),IF(AND(Input!B18121&gt;=20,Input!B18121&lt;=700),Input!B18121,""),"")</f>
        <v/>
      </c>
      <c r="C18121">
        <f>IF(B18121="","",INT(A18121))</f>
        <v/>
      </c>
      <c r="D18121">
        <f>IF(B18121="","",HOUR(A18121))</f>
        <v/>
      </c>
    </row>
    <row r="18122">
      <c r="A18122">
        <f>Input!A18122</f>
        <v/>
      </c>
      <c r="B18122">
        <f>IF(ISNUMBER(Input!B18122),IF(AND(Input!B18122&gt;=20,Input!B18122&lt;=700),Input!B18122,""),"")</f>
        <v/>
      </c>
      <c r="C18122">
        <f>IF(B18122="","",INT(A18122))</f>
        <v/>
      </c>
      <c r="D18122">
        <f>IF(B18122="","",HOUR(A18122))</f>
        <v/>
      </c>
    </row>
    <row r="18123">
      <c r="A18123">
        <f>Input!A18123</f>
        <v/>
      </c>
      <c r="B18123">
        <f>IF(ISNUMBER(Input!B18123),IF(AND(Input!B18123&gt;=20,Input!B18123&lt;=700),Input!B18123,""),"")</f>
        <v/>
      </c>
      <c r="C18123">
        <f>IF(B18123="","",INT(A18123))</f>
        <v/>
      </c>
      <c r="D18123">
        <f>IF(B18123="","",HOUR(A18123))</f>
        <v/>
      </c>
    </row>
    <row r="18124">
      <c r="A18124">
        <f>Input!A18124</f>
        <v/>
      </c>
      <c r="B18124">
        <f>IF(ISNUMBER(Input!B18124),IF(AND(Input!B18124&gt;=20,Input!B18124&lt;=700),Input!B18124,""),"")</f>
        <v/>
      </c>
      <c r="C18124">
        <f>IF(B18124="","",INT(A18124))</f>
        <v/>
      </c>
      <c r="D18124">
        <f>IF(B18124="","",HOUR(A18124))</f>
        <v/>
      </c>
    </row>
    <row r="18125">
      <c r="A18125">
        <f>Input!A18125</f>
        <v/>
      </c>
      <c r="B18125">
        <f>IF(ISNUMBER(Input!B18125),IF(AND(Input!B18125&gt;=20,Input!B18125&lt;=700),Input!B18125,""),"")</f>
        <v/>
      </c>
      <c r="C18125">
        <f>IF(B18125="","",INT(A18125))</f>
        <v/>
      </c>
      <c r="D18125">
        <f>IF(B18125="","",HOUR(A18125))</f>
        <v/>
      </c>
    </row>
    <row r="18126">
      <c r="A18126">
        <f>Input!A18126</f>
        <v/>
      </c>
      <c r="B18126">
        <f>IF(ISNUMBER(Input!B18126),IF(AND(Input!B18126&gt;=20,Input!B18126&lt;=700),Input!B18126,""),"")</f>
        <v/>
      </c>
      <c r="C18126">
        <f>IF(B18126="","",INT(A18126))</f>
        <v/>
      </c>
      <c r="D18126">
        <f>IF(B18126="","",HOUR(A18126))</f>
        <v/>
      </c>
    </row>
    <row r="18127">
      <c r="A18127">
        <f>Input!A18127</f>
        <v/>
      </c>
      <c r="B18127">
        <f>IF(ISNUMBER(Input!B18127),IF(AND(Input!B18127&gt;=20,Input!B18127&lt;=700),Input!B18127,""),"")</f>
        <v/>
      </c>
      <c r="C18127">
        <f>IF(B18127="","",INT(A18127))</f>
        <v/>
      </c>
      <c r="D18127">
        <f>IF(B18127="","",HOUR(A18127))</f>
        <v/>
      </c>
    </row>
    <row r="18128">
      <c r="A18128">
        <f>Input!A18128</f>
        <v/>
      </c>
      <c r="B18128">
        <f>IF(ISNUMBER(Input!B18128),IF(AND(Input!B18128&gt;=20,Input!B18128&lt;=700),Input!B18128,""),"")</f>
        <v/>
      </c>
      <c r="C18128">
        <f>IF(B18128="","",INT(A18128))</f>
        <v/>
      </c>
      <c r="D18128">
        <f>IF(B18128="","",HOUR(A18128))</f>
        <v/>
      </c>
    </row>
    <row r="18129">
      <c r="A18129">
        <f>Input!A18129</f>
        <v/>
      </c>
      <c r="B18129">
        <f>IF(ISNUMBER(Input!B18129),IF(AND(Input!B18129&gt;=20,Input!B18129&lt;=700),Input!B18129,""),"")</f>
        <v/>
      </c>
      <c r="C18129">
        <f>IF(B18129="","",INT(A18129))</f>
        <v/>
      </c>
      <c r="D18129">
        <f>IF(B18129="","",HOUR(A18129))</f>
        <v/>
      </c>
    </row>
    <row r="18130">
      <c r="A18130">
        <f>Input!A18130</f>
        <v/>
      </c>
      <c r="B18130">
        <f>IF(ISNUMBER(Input!B18130),IF(AND(Input!B18130&gt;=20,Input!B18130&lt;=700),Input!B18130,""),"")</f>
        <v/>
      </c>
      <c r="C18130">
        <f>IF(B18130="","",INT(A18130))</f>
        <v/>
      </c>
      <c r="D18130">
        <f>IF(B18130="","",HOUR(A18130))</f>
        <v/>
      </c>
    </row>
    <row r="18131">
      <c r="A18131">
        <f>Input!A18131</f>
        <v/>
      </c>
      <c r="B18131">
        <f>IF(ISNUMBER(Input!B18131),IF(AND(Input!B18131&gt;=20,Input!B18131&lt;=700),Input!B18131,""),"")</f>
        <v/>
      </c>
      <c r="C18131">
        <f>IF(B18131="","",INT(A18131))</f>
        <v/>
      </c>
      <c r="D18131">
        <f>IF(B18131="","",HOUR(A18131))</f>
        <v/>
      </c>
    </row>
    <row r="18132">
      <c r="A18132">
        <f>Input!A18132</f>
        <v/>
      </c>
      <c r="B18132">
        <f>IF(ISNUMBER(Input!B18132),IF(AND(Input!B18132&gt;=20,Input!B18132&lt;=700),Input!B18132,""),"")</f>
        <v/>
      </c>
      <c r="C18132">
        <f>IF(B18132="","",INT(A18132))</f>
        <v/>
      </c>
      <c r="D18132">
        <f>IF(B18132="","",HOUR(A18132))</f>
        <v/>
      </c>
    </row>
    <row r="18133">
      <c r="A18133">
        <f>Input!A18133</f>
        <v/>
      </c>
      <c r="B18133">
        <f>IF(ISNUMBER(Input!B18133),IF(AND(Input!B18133&gt;=20,Input!B18133&lt;=700),Input!B18133,""),"")</f>
        <v/>
      </c>
      <c r="C18133">
        <f>IF(B18133="","",INT(A18133))</f>
        <v/>
      </c>
      <c r="D18133">
        <f>IF(B18133="","",HOUR(A18133))</f>
        <v/>
      </c>
    </row>
    <row r="18134">
      <c r="A18134">
        <f>Input!A18134</f>
        <v/>
      </c>
      <c r="B18134">
        <f>IF(ISNUMBER(Input!B18134),IF(AND(Input!B18134&gt;=20,Input!B18134&lt;=700),Input!B18134,""),"")</f>
        <v/>
      </c>
      <c r="C18134">
        <f>IF(B18134="","",INT(A18134))</f>
        <v/>
      </c>
      <c r="D18134">
        <f>IF(B18134="","",HOUR(A18134))</f>
        <v/>
      </c>
    </row>
    <row r="18135">
      <c r="A18135">
        <f>Input!A18135</f>
        <v/>
      </c>
      <c r="B18135">
        <f>IF(ISNUMBER(Input!B18135),IF(AND(Input!B18135&gt;=20,Input!B18135&lt;=700),Input!B18135,""),"")</f>
        <v/>
      </c>
      <c r="C18135">
        <f>IF(B18135="","",INT(A18135))</f>
        <v/>
      </c>
      <c r="D18135">
        <f>IF(B18135="","",HOUR(A18135))</f>
        <v/>
      </c>
    </row>
    <row r="18136">
      <c r="A18136">
        <f>Input!A18136</f>
        <v/>
      </c>
      <c r="B18136">
        <f>IF(ISNUMBER(Input!B18136),IF(AND(Input!B18136&gt;=20,Input!B18136&lt;=700),Input!B18136,""),"")</f>
        <v/>
      </c>
      <c r="C18136">
        <f>IF(B18136="","",INT(A18136))</f>
        <v/>
      </c>
      <c r="D18136">
        <f>IF(B18136="","",HOUR(A18136))</f>
        <v/>
      </c>
    </row>
    <row r="18137">
      <c r="A18137">
        <f>Input!A18137</f>
        <v/>
      </c>
      <c r="B18137">
        <f>IF(ISNUMBER(Input!B18137),IF(AND(Input!B18137&gt;=20,Input!B18137&lt;=700),Input!B18137,""),"")</f>
        <v/>
      </c>
      <c r="C18137">
        <f>IF(B18137="","",INT(A18137))</f>
        <v/>
      </c>
      <c r="D18137">
        <f>IF(B18137="","",HOUR(A18137))</f>
        <v/>
      </c>
    </row>
    <row r="18138">
      <c r="A18138">
        <f>Input!A18138</f>
        <v/>
      </c>
      <c r="B18138">
        <f>IF(ISNUMBER(Input!B18138),IF(AND(Input!B18138&gt;=20,Input!B18138&lt;=700),Input!B18138,""),"")</f>
        <v/>
      </c>
      <c r="C18138">
        <f>IF(B18138="","",INT(A18138))</f>
        <v/>
      </c>
      <c r="D18138">
        <f>IF(B18138="","",HOUR(A18138))</f>
        <v/>
      </c>
    </row>
    <row r="18139">
      <c r="A18139">
        <f>Input!A18139</f>
        <v/>
      </c>
      <c r="B18139">
        <f>IF(ISNUMBER(Input!B18139),IF(AND(Input!B18139&gt;=20,Input!B18139&lt;=700),Input!B18139,""),"")</f>
        <v/>
      </c>
      <c r="C18139">
        <f>IF(B18139="","",INT(A18139))</f>
        <v/>
      </c>
      <c r="D18139">
        <f>IF(B18139="","",HOUR(A18139))</f>
        <v/>
      </c>
    </row>
    <row r="18140">
      <c r="A18140">
        <f>Input!A18140</f>
        <v/>
      </c>
      <c r="B18140">
        <f>IF(ISNUMBER(Input!B18140),IF(AND(Input!B18140&gt;=20,Input!B18140&lt;=700),Input!B18140,""),"")</f>
        <v/>
      </c>
      <c r="C18140">
        <f>IF(B18140="","",INT(A18140))</f>
        <v/>
      </c>
      <c r="D18140">
        <f>IF(B18140="","",HOUR(A18140))</f>
        <v/>
      </c>
    </row>
    <row r="18141">
      <c r="A18141">
        <f>Input!A18141</f>
        <v/>
      </c>
      <c r="B18141">
        <f>IF(ISNUMBER(Input!B18141),IF(AND(Input!B18141&gt;=20,Input!B18141&lt;=700),Input!B18141,""),"")</f>
        <v/>
      </c>
      <c r="C18141">
        <f>IF(B18141="","",INT(A18141))</f>
        <v/>
      </c>
      <c r="D18141">
        <f>IF(B18141="","",HOUR(A18141))</f>
        <v/>
      </c>
    </row>
    <row r="18142">
      <c r="A18142">
        <f>Input!A18142</f>
        <v/>
      </c>
      <c r="B18142">
        <f>IF(ISNUMBER(Input!B18142),IF(AND(Input!B18142&gt;=20,Input!B18142&lt;=700),Input!B18142,""),"")</f>
        <v/>
      </c>
      <c r="C18142">
        <f>IF(B18142="","",INT(A18142))</f>
        <v/>
      </c>
      <c r="D18142">
        <f>IF(B18142="","",HOUR(A18142))</f>
        <v/>
      </c>
    </row>
    <row r="18143">
      <c r="A18143">
        <f>Input!A18143</f>
        <v/>
      </c>
      <c r="B18143">
        <f>IF(ISNUMBER(Input!B18143),IF(AND(Input!B18143&gt;=20,Input!B18143&lt;=700),Input!B18143,""),"")</f>
        <v/>
      </c>
      <c r="C18143">
        <f>IF(B18143="","",INT(A18143))</f>
        <v/>
      </c>
      <c r="D18143">
        <f>IF(B18143="","",HOUR(A18143))</f>
        <v/>
      </c>
    </row>
    <row r="18144">
      <c r="A18144">
        <f>Input!A18144</f>
        <v/>
      </c>
      <c r="B18144">
        <f>IF(ISNUMBER(Input!B18144),IF(AND(Input!B18144&gt;=20,Input!B18144&lt;=700),Input!B18144,""),"")</f>
        <v/>
      </c>
      <c r="C18144">
        <f>IF(B18144="","",INT(A18144))</f>
        <v/>
      </c>
      <c r="D18144">
        <f>IF(B18144="","",HOUR(A18144))</f>
        <v/>
      </c>
    </row>
    <row r="18145">
      <c r="A18145">
        <f>Input!A18145</f>
        <v/>
      </c>
      <c r="B18145">
        <f>IF(ISNUMBER(Input!B18145),IF(AND(Input!B18145&gt;=20,Input!B18145&lt;=700),Input!B18145,""),"")</f>
        <v/>
      </c>
      <c r="C18145">
        <f>IF(B18145="","",INT(A18145))</f>
        <v/>
      </c>
      <c r="D18145">
        <f>IF(B18145="","",HOUR(A18145))</f>
        <v/>
      </c>
    </row>
    <row r="18146">
      <c r="A18146">
        <f>Input!A18146</f>
        <v/>
      </c>
      <c r="B18146">
        <f>IF(ISNUMBER(Input!B18146),IF(AND(Input!B18146&gt;=20,Input!B18146&lt;=700),Input!B18146,""),"")</f>
        <v/>
      </c>
      <c r="C18146">
        <f>IF(B18146="","",INT(A18146))</f>
        <v/>
      </c>
      <c r="D18146">
        <f>IF(B18146="","",HOUR(A18146))</f>
        <v/>
      </c>
    </row>
    <row r="18147">
      <c r="A18147">
        <f>Input!A18147</f>
        <v/>
      </c>
      <c r="B18147">
        <f>IF(ISNUMBER(Input!B18147),IF(AND(Input!B18147&gt;=20,Input!B18147&lt;=700),Input!B18147,""),"")</f>
        <v/>
      </c>
      <c r="C18147">
        <f>IF(B18147="","",INT(A18147))</f>
        <v/>
      </c>
      <c r="D18147">
        <f>IF(B18147="","",HOUR(A18147))</f>
        <v/>
      </c>
    </row>
    <row r="18148">
      <c r="A18148">
        <f>Input!A18148</f>
        <v/>
      </c>
      <c r="B18148">
        <f>IF(ISNUMBER(Input!B18148),IF(AND(Input!B18148&gt;=20,Input!B18148&lt;=700),Input!B18148,""),"")</f>
        <v/>
      </c>
      <c r="C18148">
        <f>IF(B18148="","",INT(A18148))</f>
        <v/>
      </c>
      <c r="D18148">
        <f>IF(B18148="","",HOUR(A18148))</f>
        <v/>
      </c>
    </row>
    <row r="18149">
      <c r="A18149">
        <f>Input!A18149</f>
        <v/>
      </c>
      <c r="B18149">
        <f>IF(ISNUMBER(Input!B18149),IF(AND(Input!B18149&gt;=20,Input!B18149&lt;=700),Input!B18149,""),"")</f>
        <v/>
      </c>
      <c r="C18149">
        <f>IF(B18149="","",INT(A18149))</f>
        <v/>
      </c>
      <c r="D18149">
        <f>IF(B18149="","",HOUR(A18149))</f>
        <v/>
      </c>
    </row>
    <row r="18150">
      <c r="A18150">
        <f>Input!A18150</f>
        <v/>
      </c>
      <c r="B18150">
        <f>IF(ISNUMBER(Input!B18150),IF(AND(Input!B18150&gt;=20,Input!B18150&lt;=700),Input!B18150,""),"")</f>
        <v/>
      </c>
      <c r="C18150">
        <f>IF(B18150="","",INT(A18150))</f>
        <v/>
      </c>
      <c r="D18150">
        <f>IF(B18150="","",HOUR(A18150))</f>
        <v/>
      </c>
    </row>
    <row r="18151">
      <c r="A18151">
        <f>Input!A18151</f>
        <v/>
      </c>
      <c r="B18151">
        <f>IF(ISNUMBER(Input!B18151),IF(AND(Input!B18151&gt;=20,Input!B18151&lt;=700),Input!B18151,""),"")</f>
        <v/>
      </c>
      <c r="C18151">
        <f>IF(B18151="","",INT(A18151))</f>
        <v/>
      </c>
      <c r="D18151">
        <f>IF(B18151="","",HOUR(A18151))</f>
        <v/>
      </c>
    </row>
    <row r="18152">
      <c r="A18152">
        <f>Input!A18152</f>
        <v/>
      </c>
      <c r="B18152">
        <f>IF(ISNUMBER(Input!B18152),IF(AND(Input!B18152&gt;=20,Input!B18152&lt;=700),Input!B18152,""),"")</f>
        <v/>
      </c>
      <c r="C18152">
        <f>IF(B18152="","",INT(A18152))</f>
        <v/>
      </c>
      <c r="D18152">
        <f>IF(B18152="","",HOUR(A18152))</f>
        <v/>
      </c>
    </row>
    <row r="18153">
      <c r="A18153">
        <f>Input!A18153</f>
        <v/>
      </c>
      <c r="B18153">
        <f>IF(ISNUMBER(Input!B18153),IF(AND(Input!B18153&gt;=20,Input!B18153&lt;=700),Input!B18153,""),"")</f>
        <v/>
      </c>
      <c r="C18153">
        <f>IF(B18153="","",INT(A18153))</f>
        <v/>
      </c>
      <c r="D18153">
        <f>IF(B18153="","",HOUR(A18153))</f>
        <v/>
      </c>
    </row>
    <row r="18154">
      <c r="A18154">
        <f>Input!A18154</f>
        <v/>
      </c>
      <c r="B18154">
        <f>IF(ISNUMBER(Input!B18154),IF(AND(Input!B18154&gt;=20,Input!B18154&lt;=700),Input!B18154,""),"")</f>
        <v/>
      </c>
      <c r="C18154">
        <f>IF(B18154="","",INT(A18154))</f>
        <v/>
      </c>
      <c r="D18154">
        <f>IF(B18154="","",HOUR(A18154))</f>
        <v/>
      </c>
    </row>
    <row r="18155">
      <c r="A18155">
        <f>Input!A18155</f>
        <v/>
      </c>
      <c r="B18155">
        <f>IF(ISNUMBER(Input!B18155),IF(AND(Input!B18155&gt;=20,Input!B18155&lt;=700),Input!B18155,""),"")</f>
        <v/>
      </c>
      <c r="C18155">
        <f>IF(B18155="","",INT(A18155))</f>
        <v/>
      </c>
      <c r="D18155">
        <f>IF(B18155="","",HOUR(A18155))</f>
        <v/>
      </c>
    </row>
    <row r="18156">
      <c r="A18156">
        <f>Input!A18156</f>
        <v/>
      </c>
      <c r="B18156">
        <f>IF(ISNUMBER(Input!B18156),IF(AND(Input!B18156&gt;=20,Input!B18156&lt;=700),Input!B18156,""),"")</f>
        <v/>
      </c>
      <c r="C18156">
        <f>IF(B18156="","",INT(A18156))</f>
        <v/>
      </c>
      <c r="D18156">
        <f>IF(B18156="","",HOUR(A18156))</f>
        <v/>
      </c>
    </row>
    <row r="18157">
      <c r="A18157">
        <f>Input!A18157</f>
        <v/>
      </c>
      <c r="B18157">
        <f>IF(ISNUMBER(Input!B18157),IF(AND(Input!B18157&gt;=20,Input!B18157&lt;=700),Input!B18157,""),"")</f>
        <v/>
      </c>
      <c r="C18157">
        <f>IF(B18157="","",INT(A18157))</f>
        <v/>
      </c>
      <c r="D18157">
        <f>IF(B18157="","",HOUR(A18157))</f>
        <v/>
      </c>
    </row>
    <row r="18158">
      <c r="A18158">
        <f>Input!A18158</f>
        <v/>
      </c>
      <c r="B18158">
        <f>IF(ISNUMBER(Input!B18158),IF(AND(Input!B18158&gt;=20,Input!B18158&lt;=700),Input!B18158,""),"")</f>
        <v/>
      </c>
      <c r="C18158">
        <f>IF(B18158="","",INT(A18158))</f>
        <v/>
      </c>
      <c r="D18158">
        <f>IF(B18158="","",HOUR(A18158))</f>
        <v/>
      </c>
    </row>
    <row r="18159">
      <c r="A18159">
        <f>Input!A18159</f>
        <v/>
      </c>
      <c r="B18159">
        <f>IF(ISNUMBER(Input!B18159),IF(AND(Input!B18159&gt;=20,Input!B18159&lt;=700),Input!B18159,""),"")</f>
        <v/>
      </c>
      <c r="C18159">
        <f>IF(B18159="","",INT(A18159))</f>
        <v/>
      </c>
      <c r="D18159">
        <f>IF(B18159="","",HOUR(A18159))</f>
        <v/>
      </c>
    </row>
    <row r="18160">
      <c r="A18160">
        <f>Input!A18160</f>
        <v/>
      </c>
      <c r="B18160">
        <f>IF(ISNUMBER(Input!B18160),IF(AND(Input!B18160&gt;=20,Input!B18160&lt;=700),Input!B18160,""),"")</f>
        <v/>
      </c>
      <c r="C18160">
        <f>IF(B18160="","",INT(A18160))</f>
        <v/>
      </c>
      <c r="D18160">
        <f>IF(B18160="","",HOUR(A18160))</f>
        <v/>
      </c>
    </row>
    <row r="18161">
      <c r="A18161">
        <f>Input!A18161</f>
        <v/>
      </c>
      <c r="B18161">
        <f>IF(ISNUMBER(Input!B18161),IF(AND(Input!B18161&gt;=20,Input!B18161&lt;=700),Input!B18161,""),"")</f>
        <v/>
      </c>
      <c r="C18161">
        <f>IF(B18161="","",INT(A18161))</f>
        <v/>
      </c>
      <c r="D18161">
        <f>IF(B18161="","",HOUR(A18161))</f>
        <v/>
      </c>
    </row>
    <row r="18162">
      <c r="A18162">
        <f>Input!A18162</f>
        <v/>
      </c>
      <c r="B18162">
        <f>IF(ISNUMBER(Input!B18162),IF(AND(Input!B18162&gt;=20,Input!B18162&lt;=700),Input!B18162,""),"")</f>
        <v/>
      </c>
      <c r="C18162">
        <f>IF(B18162="","",INT(A18162))</f>
        <v/>
      </c>
      <c r="D18162">
        <f>IF(B18162="","",HOUR(A18162))</f>
        <v/>
      </c>
    </row>
    <row r="18163">
      <c r="A18163">
        <f>Input!A18163</f>
        <v/>
      </c>
      <c r="B18163">
        <f>IF(ISNUMBER(Input!B18163),IF(AND(Input!B18163&gt;=20,Input!B18163&lt;=700),Input!B18163,""),"")</f>
        <v/>
      </c>
      <c r="C18163">
        <f>IF(B18163="","",INT(A18163))</f>
        <v/>
      </c>
      <c r="D18163">
        <f>IF(B18163="","",HOUR(A18163))</f>
        <v/>
      </c>
    </row>
    <row r="18164">
      <c r="A18164">
        <f>Input!A18164</f>
        <v/>
      </c>
      <c r="B18164">
        <f>IF(ISNUMBER(Input!B18164),IF(AND(Input!B18164&gt;=20,Input!B18164&lt;=700),Input!B18164,""),"")</f>
        <v/>
      </c>
      <c r="C18164">
        <f>IF(B18164="","",INT(A18164))</f>
        <v/>
      </c>
      <c r="D18164">
        <f>IF(B18164="","",HOUR(A18164))</f>
        <v/>
      </c>
    </row>
    <row r="18165">
      <c r="A18165">
        <f>Input!A18165</f>
        <v/>
      </c>
      <c r="B18165">
        <f>IF(ISNUMBER(Input!B18165),IF(AND(Input!B18165&gt;=20,Input!B18165&lt;=700),Input!B18165,""),"")</f>
        <v/>
      </c>
      <c r="C18165">
        <f>IF(B18165="","",INT(A18165))</f>
        <v/>
      </c>
      <c r="D18165">
        <f>IF(B18165="","",HOUR(A18165))</f>
        <v/>
      </c>
    </row>
    <row r="18166">
      <c r="A18166">
        <f>Input!A18166</f>
        <v/>
      </c>
      <c r="B18166">
        <f>IF(ISNUMBER(Input!B18166),IF(AND(Input!B18166&gt;=20,Input!B18166&lt;=700),Input!B18166,""),"")</f>
        <v/>
      </c>
      <c r="C18166">
        <f>IF(B18166="","",INT(A18166))</f>
        <v/>
      </c>
      <c r="D18166">
        <f>IF(B18166="","",HOUR(A18166))</f>
        <v/>
      </c>
    </row>
    <row r="18167">
      <c r="A18167">
        <f>Input!A18167</f>
        <v/>
      </c>
      <c r="B18167">
        <f>IF(ISNUMBER(Input!B18167),IF(AND(Input!B18167&gt;=20,Input!B18167&lt;=700),Input!B18167,""),"")</f>
        <v/>
      </c>
      <c r="C18167">
        <f>IF(B18167="","",INT(A18167))</f>
        <v/>
      </c>
      <c r="D18167">
        <f>IF(B18167="","",HOUR(A18167))</f>
        <v/>
      </c>
    </row>
    <row r="18168">
      <c r="A18168">
        <f>Input!A18168</f>
        <v/>
      </c>
      <c r="B18168">
        <f>IF(ISNUMBER(Input!B18168),IF(AND(Input!B18168&gt;=20,Input!B18168&lt;=700),Input!B18168,""),"")</f>
        <v/>
      </c>
      <c r="C18168">
        <f>IF(B18168="","",INT(A18168))</f>
        <v/>
      </c>
      <c r="D18168">
        <f>IF(B18168="","",HOUR(A18168))</f>
        <v/>
      </c>
    </row>
    <row r="18169">
      <c r="A18169">
        <f>Input!A18169</f>
        <v/>
      </c>
      <c r="B18169">
        <f>IF(ISNUMBER(Input!B18169),IF(AND(Input!B18169&gt;=20,Input!B18169&lt;=700),Input!B18169,""),"")</f>
        <v/>
      </c>
      <c r="C18169">
        <f>IF(B18169="","",INT(A18169))</f>
        <v/>
      </c>
      <c r="D18169">
        <f>IF(B18169="","",HOUR(A18169))</f>
        <v/>
      </c>
    </row>
    <row r="18170">
      <c r="A18170">
        <f>Input!A18170</f>
        <v/>
      </c>
      <c r="B18170">
        <f>IF(ISNUMBER(Input!B18170),IF(AND(Input!B18170&gt;=20,Input!B18170&lt;=700),Input!B18170,""),"")</f>
        <v/>
      </c>
      <c r="C18170">
        <f>IF(B18170="","",INT(A18170))</f>
        <v/>
      </c>
      <c r="D18170">
        <f>IF(B18170="","",HOUR(A18170))</f>
        <v/>
      </c>
    </row>
    <row r="18171">
      <c r="A18171">
        <f>Input!A18171</f>
        <v/>
      </c>
      <c r="B18171">
        <f>IF(ISNUMBER(Input!B18171),IF(AND(Input!B18171&gt;=20,Input!B18171&lt;=700),Input!B18171,""),"")</f>
        <v/>
      </c>
      <c r="C18171">
        <f>IF(B18171="","",INT(A18171))</f>
        <v/>
      </c>
      <c r="D18171">
        <f>IF(B18171="","",HOUR(A18171))</f>
        <v/>
      </c>
    </row>
    <row r="18172">
      <c r="A18172">
        <f>Input!A18172</f>
        <v/>
      </c>
      <c r="B18172">
        <f>IF(ISNUMBER(Input!B18172),IF(AND(Input!B18172&gt;=20,Input!B18172&lt;=700),Input!B18172,""),"")</f>
        <v/>
      </c>
      <c r="C18172">
        <f>IF(B18172="","",INT(A18172))</f>
        <v/>
      </c>
      <c r="D18172">
        <f>IF(B18172="","",HOUR(A18172))</f>
        <v/>
      </c>
    </row>
    <row r="18173">
      <c r="A18173">
        <f>Input!A18173</f>
        <v/>
      </c>
      <c r="B18173">
        <f>IF(ISNUMBER(Input!B18173),IF(AND(Input!B18173&gt;=20,Input!B18173&lt;=700),Input!B18173,""),"")</f>
        <v/>
      </c>
      <c r="C18173">
        <f>IF(B18173="","",INT(A18173))</f>
        <v/>
      </c>
      <c r="D18173">
        <f>IF(B18173="","",HOUR(A18173))</f>
        <v/>
      </c>
    </row>
    <row r="18174">
      <c r="A18174">
        <f>Input!A18174</f>
        <v/>
      </c>
      <c r="B18174">
        <f>IF(ISNUMBER(Input!B18174),IF(AND(Input!B18174&gt;=20,Input!B18174&lt;=700),Input!B18174,""),"")</f>
        <v/>
      </c>
      <c r="C18174">
        <f>IF(B18174="","",INT(A18174))</f>
        <v/>
      </c>
      <c r="D18174">
        <f>IF(B18174="","",HOUR(A18174))</f>
        <v/>
      </c>
    </row>
    <row r="18175">
      <c r="A18175">
        <f>Input!A18175</f>
        <v/>
      </c>
      <c r="B18175">
        <f>IF(ISNUMBER(Input!B18175),IF(AND(Input!B18175&gt;=20,Input!B18175&lt;=700),Input!B18175,""),"")</f>
        <v/>
      </c>
      <c r="C18175">
        <f>IF(B18175="","",INT(A18175))</f>
        <v/>
      </c>
      <c r="D18175">
        <f>IF(B18175="","",HOUR(A18175))</f>
        <v/>
      </c>
    </row>
    <row r="18176">
      <c r="A18176">
        <f>Input!A18176</f>
        <v/>
      </c>
      <c r="B18176">
        <f>IF(ISNUMBER(Input!B18176),IF(AND(Input!B18176&gt;=20,Input!B18176&lt;=700),Input!B18176,""),"")</f>
        <v/>
      </c>
      <c r="C18176">
        <f>IF(B18176="","",INT(A18176))</f>
        <v/>
      </c>
      <c r="D18176">
        <f>IF(B18176="","",HOUR(A18176))</f>
        <v/>
      </c>
    </row>
    <row r="18177">
      <c r="A18177">
        <f>Input!A18177</f>
        <v/>
      </c>
      <c r="B18177">
        <f>IF(ISNUMBER(Input!B18177),IF(AND(Input!B18177&gt;=20,Input!B18177&lt;=700),Input!B18177,""),"")</f>
        <v/>
      </c>
      <c r="C18177">
        <f>IF(B18177="","",INT(A18177))</f>
        <v/>
      </c>
      <c r="D18177">
        <f>IF(B18177="","",HOUR(A18177))</f>
        <v/>
      </c>
    </row>
    <row r="18178">
      <c r="A18178">
        <f>Input!A18178</f>
        <v/>
      </c>
      <c r="B18178">
        <f>IF(ISNUMBER(Input!B18178),IF(AND(Input!B18178&gt;=20,Input!B18178&lt;=700),Input!B18178,""),"")</f>
        <v/>
      </c>
      <c r="C18178">
        <f>IF(B18178="","",INT(A18178))</f>
        <v/>
      </c>
      <c r="D18178">
        <f>IF(B18178="","",HOUR(A18178))</f>
        <v/>
      </c>
    </row>
    <row r="18179">
      <c r="A18179">
        <f>Input!A18179</f>
        <v/>
      </c>
      <c r="B18179">
        <f>IF(ISNUMBER(Input!B18179),IF(AND(Input!B18179&gt;=20,Input!B18179&lt;=700),Input!B18179,""),"")</f>
        <v/>
      </c>
      <c r="C18179">
        <f>IF(B18179="","",INT(A18179))</f>
        <v/>
      </c>
      <c r="D18179">
        <f>IF(B18179="","",HOUR(A18179))</f>
        <v/>
      </c>
    </row>
    <row r="18180">
      <c r="A18180">
        <f>Input!A18180</f>
        <v/>
      </c>
      <c r="B18180">
        <f>IF(ISNUMBER(Input!B18180),IF(AND(Input!B18180&gt;=20,Input!B18180&lt;=700),Input!B18180,""),"")</f>
        <v/>
      </c>
      <c r="C18180">
        <f>IF(B18180="","",INT(A18180))</f>
        <v/>
      </c>
      <c r="D18180">
        <f>IF(B18180="","",HOUR(A18180))</f>
        <v/>
      </c>
    </row>
    <row r="18181">
      <c r="A18181">
        <f>Input!A18181</f>
        <v/>
      </c>
      <c r="B18181">
        <f>IF(ISNUMBER(Input!B18181),IF(AND(Input!B18181&gt;=20,Input!B18181&lt;=700),Input!B18181,""),"")</f>
        <v/>
      </c>
      <c r="C18181">
        <f>IF(B18181="","",INT(A18181))</f>
        <v/>
      </c>
      <c r="D18181">
        <f>IF(B18181="","",HOUR(A18181))</f>
        <v/>
      </c>
    </row>
    <row r="18182">
      <c r="A18182">
        <f>Input!A18182</f>
        <v/>
      </c>
      <c r="B18182">
        <f>IF(ISNUMBER(Input!B18182),IF(AND(Input!B18182&gt;=20,Input!B18182&lt;=700),Input!B18182,""),"")</f>
        <v/>
      </c>
      <c r="C18182">
        <f>IF(B18182="","",INT(A18182))</f>
        <v/>
      </c>
      <c r="D18182">
        <f>IF(B18182="","",HOUR(A18182))</f>
        <v/>
      </c>
    </row>
    <row r="18183">
      <c r="A18183">
        <f>Input!A18183</f>
        <v/>
      </c>
      <c r="B18183">
        <f>IF(ISNUMBER(Input!B18183),IF(AND(Input!B18183&gt;=20,Input!B18183&lt;=700),Input!B18183,""),"")</f>
        <v/>
      </c>
      <c r="C18183">
        <f>IF(B18183="","",INT(A18183))</f>
        <v/>
      </c>
      <c r="D18183">
        <f>IF(B18183="","",HOUR(A18183))</f>
        <v/>
      </c>
    </row>
    <row r="18184">
      <c r="A18184">
        <f>Input!A18184</f>
        <v/>
      </c>
      <c r="B18184">
        <f>IF(ISNUMBER(Input!B18184),IF(AND(Input!B18184&gt;=20,Input!B18184&lt;=700),Input!B18184,""),"")</f>
        <v/>
      </c>
      <c r="C18184">
        <f>IF(B18184="","",INT(A18184))</f>
        <v/>
      </c>
      <c r="D18184">
        <f>IF(B18184="","",HOUR(A18184))</f>
        <v/>
      </c>
    </row>
    <row r="18185">
      <c r="A18185">
        <f>Input!A18185</f>
        <v/>
      </c>
      <c r="B18185">
        <f>IF(ISNUMBER(Input!B18185),IF(AND(Input!B18185&gt;=20,Input!B18185&lt;=700),Input!B18185,""),"")</f>
        <v/>
      </c>
      <c r="C18185">
        <f>IF(B18185="","",INT(A18185))</f>
        <v/>
      </c>
      <c r="D18185">
        <f>IF(B18185="","",HOUR(A18185))</f>
        <v/>
      </c>
    </row>
    <row r="18186">
      <c r="A18186">
        <f>Input!A18186</f>
        <v/>
      </c>
      <c r="B18186">
        <f>IF(ISNUMBER(Input!B18186),IF(AND(Input!B18186&gt;=20,Input!B18186&lt;=700),Input!B18186,""),"")</f>
        <v/>
      </c>
      <c r="C18186">
        <f>IF(B18186="","",INT(A18186))</f>
        <v/>
      </c>
      <c r="D18186">
        <f>IF(B18186="","",HOUR(A18186))</f>
        <v/>
      </c>
    </row>
    <row r="18187">
      <c r="A18187">
        <f>Input!A18187</f>
        <v/>
      </c>
      <c r="B18187">
        <f>IF(ISNUMBER(Input!B18187),IF(AND(Input!B18187&gt;=20,Input!B18187&lt;=700),Input!B18187,""),"")</f>
        <v/>
      </c>
      <c r="C18187">
        <f>IF(B18187="","",INT(A18187))</f>
        <v/>
      </c>
      <c r="D18187">
        <f>IF(B18187="","",HOUR(A18187))</f>
        <v/>
      </c>
    </row>
    <row r="18188">
      <c r="A18188">
        <f>Input!A18188</f>
        <v/>
      </c>
      <c r="B18188">
        <f>IF(ISNUMBER(Input!B18188),IF(AND(Input!B18188&gt;=20,Input!B18188&lt;=700),Input!B18188,""),"")</f>
        <v/>
      </c>
      <c r="C18188">
        <f>IF(B18188="","",INT(A18188))</f>
        <v/>
      </c>
      <c r="D18188">
        <f>IF(B18188="","",HOUR(A18188))</f>
        <v/>
      </c>
    </row>
    <row r="18189">
      <c r="A18189">
        <f>Input!A18189</f>
        <v/>
      </c>
      <c r="B18189">
        <f>IF(ISNUMBER(Input!B18189),IF(AND(Input!B18189&gt;=20,Input!B18189&lt;=700),Input!B18189,""),"")</f>
        <v/>
      </c>
      <c r="C18189">
        <f>IF(B18189="","",INT(A18189))</f>
        <v/>
      </c>
      <c r="D18189">
        <f>IF(B18189="","",HOUR(A18189))</f>
        <v/>
      </c>
    </row>
    <row r="18190">
      <c r="A18190">
        <f>Input!A18190</f>
        <v/>
      </c>
      <c r="B18190">
        <f>IF(ISNUMBER(Input!B18190),IF(AND(Input!B18190&gt;=20,Input!B18190&lt;=700),Input!B18190,""),"")</f>
        <v/>
      </c>
      <c r="C18190">
        <f>IF(B18190="","",INT(A18190))</f>
        <v/>
      </c>
      <c r="D18190">
        <f>IF(B18190="","",HOUR(A18190))</f>
        <v/>
      </c>
    </row>
    <row r="18191">
      <c r="A18191">
        <f>Input!A18191</f>
        <v/>
      </c>
      <c r="B18191">
        <f>IF(ISNUMBER(Input!B18191),IF(AND(Input!B18191&gt;=20,Input!B18191&lt;=700),Input!B18191,""),"")</f>
        <v/>
      </c>
      <c r="C18191">
        <f>IF(B18191="","",INT(A18191))</f>
        <v/>
      </c>
      <c r="D18191">
        <f>IF(B18191="","",HOUR(A18191))</f>
        <v/>
      </c>
    </row>
    <row r="18192">
      <c r="A18192">
        <f>Input!A18192</f>
        <v/>
      </c>
      <c r="B18192">
        <f>IF(ISNUMBER(Input!B18192),IF(AND(Input!B18192&gt;=20,Input!B18192&lt;=700),Input!B18192,""),"")</f>
        <v/>
      </c>
      <c r="C18192">
        <f>IF(B18192="","",INT(A18192))</f>
        <v/>
      </c>
      <c r="D18192">
        <f>IF(B18192="","",HOUR(A18192))</f>
        <v/>
      </c>
    </row>
    <row r="18193">
      <c r="A18193">
        <f>Input!A18193</f>
        <v/>
      </c>
      <c r="B18193">
        <f>IF(ISNUMBER(Input!B18193),IF(AND(Input!B18193&gt;=20,Input!B18193&lt;=700),Input!B18193,""),"")</f>
        <v/>
      </c>
      <c r="C18193">
        <f>IF(B18193="","",INT(A18193))</f>
        <v/>
      </c>
      <c r="D18193">
        <f>IF(B18193="","",HOUR(A18193))</f>
        <v/>
      </c>
    </row>
    <row r="18194">
      <c r="A18194">
        <f>Input!A18194</f>
        <v/>
      </c>
      <c r="B18194">
        <f>IF(ISNUMBER(Input!B18194),IF(AND(Input!B18194&gt;=20,Input!B18194&lt;=700),Input!B18194,""),"")</f>
        <v/>
      </c>
      <c r="C18194">
        <f>IF(B18194="","",INT(A18194))</f>
        <v/>
      </c>
      <c r="D18194">
        <f>IF(B18194="","",HOUR(A18194))</f>
        <v/>
      </c>
    </row>
    <row r="18195">
      <c r="A18195">
        <f>Input!A18195</f>
        <v/>
      </c>
      <c r="B18195">
        <f>IF(ISNUMBER(Input!B18195),IF(AND(Input!B18195&gt;=20,Input!B18195&lt;=700),Input!B18195,""),"")</f>
        <v/>
      </c>
      <c r="C18195">
        <f>IF(B18195="","",INT(A18195))</f>
        <v/>
      </c>
      <c r="D18195">
        <f>IF(B18195="","",HOUR(A18195))</f>
        <v/>
      </c>
    </row>
    <row r="18196">
      <c r="A18196">
        <f>Input!A18196</f>
        <v/>
      </c>
      <c r="B18196">
        <f>IF(ISNUMBER(Input!B18196),IF(AND(Input!B18196&gt;=20,Input!B18196&lt;=700),Input!B18196,""),"")</f>
        <v/>
      </c>
      <c r="C18196">
        <f>IF(B18196="","",INT(A18196))</f>
        <v/>
      </c>
      <c r="D18196">
        <f>IF(B18196="","",HOUR(A18196))</f>
        <v/>
      </c>
    </row>
    <row r="18197">
      <c r="A18197">
        <f>Input!A18197</f>
        <v/>
      </c>
      <c r="B18197">
        <f>IF(ISNUMBER(Input!B18197),IF(AND(Input!B18197&gt;=20,Input!B18197&lt;=700),Input!B18197,""),"")</f>
        <v/>
      </c>
      <c r="C18197">
        <f>IF(B18197="","",INT(A18197))</f>
        <v/>
      </c>
      <c r="D18197">
        <f>IF(B18197="","",HOUR(A18197))</f>
        <v/>
      </c>
    </row>
    <row r="18198">
      <c r="A18198">
        <f>Input!A18198</f>
        <v/>
      </c>
      <c r="B18198">
        <f>IF(ISNUMBER(Input!B18198),IF(AND(Input!B18198&gt;=20,Input!B18198&lt;=700),Input!B18198,""),"")</f>
        <v/>
      </c>
      <c r="C18198">
        <f>IF(B18198="","",INT(A18198))</f>
        <v/>
      </c>
      <c r="D18198">
        <f>IF(B18198="","",HOUR(A18198))</f>
        <v/>
      </c>
    </row>
    <row r="18199">
      <c r="A18199">
        <f>Input!A18199</f>
        <v/>
      </c>
      <c r="B18199">
        <f>IF(ISNUMBER(Input!B18199),IF(AND(Input!B18199&gt;=20,Input!B18199&lt;=700),Input!B18199,""),"")</f>
        <v/>
      </c>
      <c r="C18199">
        <f>IF(B18199="","",INT(A18199))</f>
        <v/>
      </c>
      <c r="D18199">
        <f>IF(B18199="","",HOUR(A18199))</f>
        <v/>
      </c>
    </row>
    <row r="18200">
      <c r="A18200">
        <f>Input!A18200</f>
        <v/>
      </c>
      <c r="B18200">
        <f>IF(ISNUMBER(Input!B18200),IF(AND(Input!B18200&gt;=20,Input!B18200&lt;=700),Input!B18200,""),"")</f>
        <v/>
      </c>
      <c r="C18200">
        <f>IF(B18200="","",INT(A18200))</f>
        <v/>
      </c>
      <c r="D18200">
        <f>IF(B18200="","",HOUR(A18200))</f>
        <v/>
      </c>
    </row>
    <row r="18201">
      <c r="A18201">
        <f>Input!A18201</f>
        <v/>
      </c>
      <c r="B18201">
        <f>IF(ISNUMBER(Input!B18201),IF(AND(Input!B18201&gt;=20,Input!B18201&lt;=700),Input!B18201,""),"")</f>
        <v/>
      </c>
      <c r="C18201">
        <f>IF(B18201="","",INT(A18201))</f>
        <v/>
      </c>
      <c r="D18201">
        <f>IF(B18201="","",HOUR(A18201))</f>
        <v/>
      </c>
    </row>
    <row r="18202">
      <c r="A18202">
        <f>Input!A18202</f>
        <v/>
      </c>
      <c r="B18202">
        <f>IF(ISNUMBER(Input!B18202),IF(AND(Input!B18202&gt;=20,Input!B18202&lt;=700),Input!B18202,""),"")</f>
        <v/>
      </c>
      <c r="C18202">
        <f>IF(B18202="","",INT(A18202))</f>
        <v/>
      </c>
      <c r="D18202">
        <f>IF(B18202="","",HOUR(A18202))</f>
        <v/>
      </c>
    </row>
    <row r="18203">
      <c r="A18203">
        <f>Input!A18203</f>
        <v/>
      </c>
      <c r="B18203">
        <f>IF(ISNUMBER(Input!B18203),IF(AND(Input!B18203&gt;=20,Input!B18203&lt;=700),Input!B18203,""),"")</f>
        <v/>
      </c>
      <c r="C18203">
        <f>IF(B18203="","",INT(A18203))</f>
        <v/>
      </c>
      <c r="D18203">
        <f>IF(B18203="","",HOUR(A18203))</f>
        <v/>
      </c>
    </row>
    <row r="18204">
      <c r="A18204">
        <f>Input!A18204</f>
        <v/>
      </c>
      <c r="B18204">
        <f>IF(ISNUMBER(Input!B18204),IF(AND(Input!B18204&gt;=20,Input!B18204&lt;=700),Input!B18204,""),"")</f>
        <v/>
      </c>
      <c r="C18204">
        <f>IF(B18204="","",INT(A18204))</f>
        <v/>
      </c>
      <c r="D18204">
        <f>IF(B18204="","",HOUR(A18204))</f>
        <v/>
      </c>
    </row>
    <row r="18205">
      <c r="A18205">
        <f>Input!A18205</f>
        <v/>
      </c>
      <c r="B18205">
        <f>IF(ISNUMBER(Input!B18205),IF(AND(Input!B18205&gt;=20,Input!B18205&lt;=700),Input!B18205,""),"")</f>
        <v/>
      </c>
      <c r="C18205">
        <f>IF(B18205="","",INT(A18205))</f>
        <v/>
      </c>
      <c r="D18205">
        <f>IF(B18205="","",HOUR(A18205))</f>
        <v/>
      </c>
    </row>
    <row r="18206">
      <c r="A18206">
        <f>Input!A18206</f>
        <v/>
      </c>
      <c r="B18206">
        <f>IF(ISNUMBER(Input!B18206),IF(AND(Input!B18206&gt;=20,Input!B18206&lt;=700),Input!B18206,""),"")</f>
        <v/>
      </c>
      <c r="C18206">
        <f>IF(B18206="","",INT(A18206))</f>
        <v/>
      </c>
      <c r="D18206">
        <f>IF(B18206="","",HOUR(A18206))</f>
        <v/>
      </c>
    </row>
    <row r="18207">
      <c r="A18207">
        <f>Input!A18207</f>
        <v/>
      </c>
      <c r="B18207">
        <f>IF(ISNUMBER(Input!B18207),IF(AND(Input!B18207&gt;=20,Input!B18207&lt;=700),Input!B18207,""),"")</f>
        <v/>
      </c>
      <c r="C18207">
        <f>IF(B18207="","",INT(A18207))</f>
        <v/>
      </c>
      <c r="D18207">
        <f>IF(B18207="","",HOUR(A18207))</f>
        <v/>
      </c>
    </row>
    <row r="18208">
      <c r="A18208">
        <f>Input!A18208</f>
        <v/>
      </c>
      <c r="B18208">
        <f>IF(ISNUMBER(Input!B18208),IF(AND(Input!B18208&gt;=20,Input!B18208&lt;=700),Input!B18208,""),"")</f>
        <v/>
      </c>
      <c r="C18208">
        <f>IF(B18208="","",INT(A18208))</f>
        <v/>
      </c>
      <c r="D18208">
        <f>IF(B18208="","",HOUR(A18208))</f>
        <v/>
      </c>
    </row>
    <row r="18209">
      <c r="A18209">
        <f>Input!A18209</f>
        <v/>
      </c>
      <c r="B18209">
        <f>IF(ISNUMBER(Input!B18209),IF(AND(Input!B18209&gt;=20,Input!B18209&lt;=700),Input!B18209,""),"")</f>
        <v/>
      </c>
      <c r="C18209">
        <f>IF(B18209="","",INT(A18209))</f>
        <v/>
      </c>
      <c r="D18209">
        <f>IF(B18209="","",HOUR(A18209))</f>
        <v/>
      </c>
    </row>
    <row r="18210">
      <c r="A18210">
        <f>Input!A18210</f>
        <v/>
      </c>
      <c r="B18210">
        <f>IF(ISNUMBER(Input!B18210),IF(AND(Input!B18210&gt;=20,Input!B18210&lt;=700),Input!B18210,""),"")</f>
        <v/>
      </c>
      <c r="C18210">
        <f>IF(B18210="","",INT(A18210))</f>
        <v/>
      </c>
      <c r="D18210">
        <f>IF(B18210="","",HOUR(A18210))</f>
        <v/>
      </c>
    </row>
    <row r="18211">
      <c r="A18211">
        <f>Input!A18211</f>
        <v/>
      </c>
      <c r="B18211">
        <f>IF(ISNUMBER(Input!B18211),IF(AND(Input!B18211&gt;=20,Input!B18211&lt;=700),Input!B18211,""),"")</f>
        <v/>
      </c>
      <c r="C18211">
        <f>IF(B18211="","",INT(A18211))</f>
        <v/>
      </c>
      <c r="D18211">
        <f>IF(B18211="","",HOUR(A18211))</f>
        <v/>
      </c>
    </row>
    <row r="18212">
      <c r="A18212">
        <f>Input!A18212</f>
        <v/>
      </c>
      <c r="B18212">
        <f>IF(ISNUMBER(Input!B18212),IF(AND(Input!B18212&gt;=20,Input!B18212&lt;=700),Input!B18212,""),"")</f>
        <v/>
      </c>
      <c r="C18212">
        <f>IF(B18212="","",INT(A18212))</f>
        <v/>
      </c>
      <c r="D18212">
        <f>IF(B18212="","",HOUR(A18212))</f>
        <v/>
      </c>
    </row>
    <row r="18213">
      <c r="A18213">
        <f>Input!A18213</f>
        <v/>
      </c>
      <c r="B18213">
        <f>IF(ISNUMBER(Input!B18213),IF(AND(Input!B18213&gt;=20,Input!B18213&lt;=700),Input!B18213,""),"")</f>
        <v/>
      </c>
      <c r="C18213">
        <f>IF(B18213="","",INT(A18213))</f>
        <v/>
      </c>
      <c r="D18213">
        <f>IF(B18213="","",HOUR(A18213))</f>
        <v/>
      </c>
    </row>
    <row r="18214">
      <c r="A18214">
        <f>Input!A18214</f>
        <v/>
      </c>
      <c r="B18214">
        <f>IF(ISNUMBER(Input!B18214),IF(AND(Input!B18214&gt;=20,Input!B18214&lt;=700),Input!B18214,""),"")</f>
        <v/>
      </c>
      <c r="C18214">
        <f>IF(B18214="","",INT(A18214))</f>
        <v/>
      </c>
      <c r="D18214">
        <f>IF(B18214="","",HOUR(A18214))</f>
        <v/>
      </c>
    </row>
    <row r="18215">
      <c r="A18215">
        <f>Input!A18215</f>
        <v/>
      </c>
      <c r="B18215">
        <f>IF(ISNUMBER(Input!B18215),IF(AND(Input!B18215&gt;=20,Input!B18215&lt;=700),Input!B18215,""),"")</f>
        <v/>
      </c>
      <c r="C18215">
        <f>IF(B18215="","",INT(A18215))</f>
        <v/>
      </c>
      <c r="D18215">
        <f>IF(B18215="","",HOUR(A18215))</f>
        <v/>
      </c>
    </row>
    <row r="18216">
      <c r="A18216">
        <f>Input!A18216</f>
        <v/>
      </c>
      <c r="B18216">
        <f>IF(ISNUMBER(Input!B18216),IF(AND(Input!B18216&gt;=20,Input!B18216&lt;=700),Input!B18216,""),"")</f>
        <v/>
      </c>
      <c r="C18216">
        <f>IF(B18216="","",INT(A18216))</f>
        <v/>
      </c>
      <c r="D18216">
        <f>IF(B18216="","",HOUR(A18216))</f>
        <v/>
      </c>
    </row>
    <row r="18217">
      <c r="A18217">
        <f>Input!A18217</f>
        <v/>
      </c>
      <c r="B18217">
        <f>IF(ISNUMBER(Input!B18217),IF(AND(Input!B18217&gt;=20,Input!B18217&lt;=700),Input!B18217,""),"")</f>
        <v/>
      </c>
      <c r="C18217">
        <f>IF(B18217="","",INT(A18217))</f>
        <v/>
      </c>
      <c r="D18217">
        <f>IF(B18217="","",HOUR(A18217))</f>
        <v/>
      </c>
    </row>
    <row r="18218">
      <c r="A18218">
        <f>Input!A18218</f>
        <v/>
      </c>
      <c r="B18218">
        <f>IF(ISNUMBER(Input!B18218),IF(AND(Input!B18218&gt;=20,Input!B18218&lt;=700),Input!B18218,""),"")</f>
        <v/>
      </c>
      <c r="C18218">
        <f>IF(B18218="","",INT(A18218))</f>
        <v/>
      </c>
      <c r="D18218">
        <f>IF(B18218="","",HOUR(A18218))</f>
        <v/>
      </c>
    </row>
    <row r="18219">
      <c r="A18219">
        <f>Input!A18219</f>
        <v/>
      </c>
      <c r="B18219">
        <f>IF(ISNUMBER(Input!B18219),IF(AND(Input!B18219&gt;=20,Input!B18219&lt;=700),Input!B18219,""),"")</f>
        <v/>
      </c>
      <c r="C18219">
        <f>IF(B18219="","",INT(A18219))</f>
        <v/>
      </c>
      <c r="D18219">
        <f>IF(B18219="","",HOUR(A18219))</f>
        <v/>
      </c>
    </row>
    <row r="18220">
      <c r="A18220">
        <f>Input!A18220</f>
        <v/>
      </c>
      <c r="B18220">
        <f>IF(ISNUMBER(Input!B18220),IF(AND(Input!B18220&gt;=20,Input!B18220&lt;=700),Input!B18220,""),"")</f>
        <v/>
      </c>
      <c r="C18220">
        <f>IF(B18220="","",INT(A18220))</f>
        <v/>
      </c>
      <c r="D18220">
        <f>IF(B18220="","",HOUR(A18220))</f>
        <v/>
      </c>
    </row>
    <row r="18221">
      <c r="A18221">
        <f>Input!A18221</f>
        <v/>
      </c>
      <c r="B18221">
        <f>IF(ISNUMBER(Input!B18221),IF(AND(Input!B18221&gt;=20,Input!B18221&lt;=700),Input!B18221,""),"")</f>
        <v/>
      </c>
      <c r="C18221">
        <f>IF(B18221="","",INT(A18221))</f>
        <v/>
      </c>
      <c r="D18221">
        <f>IF(B18221="","",HOUR(A18221))</f>
        <v/>
      </c>
    </row>
    <row r="18222">
      <c r="A18222">
        <f>Input!A18222</f>
        <v/>
      </c>
      <c r="B18222">
        <f>IF(ISNUMBER(Input!B18222),IF(AND(Input!B18222&gt;=20,Input!B18222&lt;=700),Input!B18222,""),"")</f>
        <v/>
      </c>
      <c r="C18222">
        <f>IF(B18222="","",INT(A18222))</f>
        <v/>
      </c>
      <c r="D18222">
        <f>IF(B18222="","",HOUR(A18222))</f>
        <v/>
      </c>
    </row>
    <row r="18223">
      <c r="A18223">
        <f>Input!A18223</f>
        <v/>
      </c>
      <c r="B18223">
        <f>IF(ISNUMBER(Input!B18223),IF(AND(Input!B18223&gt;=20,Input!B18223&lt;=700),Input!B18223,""),"")</f>
        <v/>
      </c>
      <c r="C18223">
        <f>IF(B18223="","",INT(A18223))</f>
        <v/>
      </c>
      <c r="D18223">
        <f>IF(B18223="","",HOUR(A18223))</f>
        <v/>
      </c>
    </row>
    <row r="18224">
      <c r="A18224">
        <f>Input!A18224</f>
        <v/>
      </c>
      <c r="B18224">
        <f>IF(ISNUMBER(Input!B18224),IF(AND(Input!B18224&gt;=20,Input!B18224&lt;=700),Input!B18224,""),"")</f>
        <v/>
      </c>
      <c r="C18224">
        <f>IF(B18224="","",INT(A18224))</f>
        <v/>
      </c>
      <c r="D18224">
        <f>IF(B18224="","",HOUR(A18224))</f>
        <v/>
      </c>
    </row>
    <row r="18225">
      <c r="A18225">
        <f>Input!A18225</f>
        <v/>
      </c>
      <c r="B18225">
        <f>IF(ISNUMBER(Input!B18225),IF(AND(Input!B18225&gt;=20,Input!B18225&lt;=700),Input!B18225,""),"")</f>
        <v/>
      </c>
      <c r="C18225">
        <f>IF(B18225="","",INT(A18225))</f>
        <v/>
      </c>
      <c r="D18225">
        <f>IF(B18225="","",HOUR(A18225))</f>
        <v/>
      </c>
    </row>
    <row r="18226">
      <c r="A18226">
        <f>Input!A18226</f>
        <v/>
      </c>
      <c r="B18226">
        <f>IF(ISNUMBER(Input!B18226),IF(AND(Input!B18226&gt;=20,Input!B18226&lt;=700),Input!B18226,""),"")</f>
        <v/>
      </c>
      <c r="C18226">
        <f>IF(B18226="","",INT(A18226))</f>
        <v/>
      </c>
      <c r="D18226">
        <f>IF(B18226="","",HOUR(A18226))</f>
        <v/>
      </c>
    </row>
    <row r="18227">
      <c r="A18227">
        <f>Input!A18227</f>
        <v/>
      </c>
      <c r="B18227">
        <f>IF(ISNUMBER(Input!B18227),IF(AND(Input!B18227&gt;=20,Input!B18227&lt;=700),Input!B18227,""),"")</f>
        <v/>
      </c>
      <c r="C18227">
        <f>IF(B18227="","",INT(A18227))</f>
        <v/>
      </c>
      <c r="D18227">
        <f>IF(B18227="","",HOUR(A18227))</f>
        <v/>
      </c>
    </row>
    <row r="18228">
      <c r="A18228">
        <f>Input!A18228</f>
        <v/>
      </c>
      <c r="B18228">
        <f>IF(ISNUMBER(Input!B18228),IF(AND(Input!B18228&gt;=20,Input!B18228&lt;=700),Input!B18228,""),"")</f>
        <v/>
      </c>
      <c r="C18228">
        <f>IF(B18228="","",INT(A18228))</f>
        <v/>
      </c>
      <c r="D18228">
        <f>IF(B18228="","",HOUR(A18228))</f>
        <v/>
      </c>
    </row>
    <row r="18229">
      <c r="A18229">
        <f>Input!A18229</f>
        <v/>
      </c>
      <c r="B18229">
        <f>IF(ISNUMBER(Input!B18229),IF(AND(Input!B18229&gt;=20,Input!B18229&lt;=700),Input!B18229,""),"")</f>
        <v/>
      </c>
      <c r="C18229">
        <f>IF(B18229="","",INT(A18229))</f>
        <v/>
      </c>
      <c r="D18229">
        <f>IF(B18229="","",HOUR(A18229))</f>
        <v/>
      </c>
    </row>
    <row r="18230">
      <c r="A18230">
        <f>Input!A18230</f>
        <v/>
      </c>
      <c r="B18230">
        <f>IF(ISNUMBER(Input!B18230),IF(AND(Input!B18230&gt;=20,Input!B18230&lt;=700),Input!B18230,""),"")</f>
        <v/>
      </c>
      <c r="C18230">
        <f>IF(B18230="","",INT(A18230))</f>
        <v/>
      </c>
      <c r="D18230">
        <f>IF(B18230="","",HOUR(A18230))</f>
        <v/>
      </c>
    </row>
    <row r="18231">
      <c r="A18231">
        <f>Input!A18231</f>
        <v/>
      </c>
      <c r="B18231">
        <f>IF(ISNUMBER(Input!B18231),IF(AND(Input!B18231&gt;=20,Input!B18231&lt;=700),Input!B18231,""),"")</f>
        <v/>
      </c>
      <c r="C18231">
        <f>IF(B18231="","",INT(A18231))</f>
        <v/>
      </c>
      <c r="D18231">
        <f>IF(B18231="","",HOUR(A18231))</f>
        <v/>
      </c>
    </row>
    <row r="18232">
      <c r="A18232">
        <f>Input!A18232</f>
        <v/>
      </c>
      <c r="B18232">
        <f>IF(ISNUMBER(Input!B18232),IF(AND(Input!B18232&gt;=20,Input!B18232&lt;=700),Input!B18232,""),"")</f>
        <v/>
      </c>
      <c r="C18232">
        <f>IF(B18232="","",INT(A18232))</f>
        <v/>
      </c>
      <c r="D18232">
        <f>IF(B18232="","",HOUR(A18232))</f>
        <v/>
      </c>
    </row>
    <row r="18233">
      <c r="A18233">
        <f>Input!A18233</f>
        <v/>
      </c>
      <c r="B18233">
        <f>IF(ISNUMBER(Input!B18233),IF(AND(Input!B18233&gt;=20,Input!B18233&lt;=700),Input!B18233,""),"")</f>
        <v/>
      </c>
      <c r="C18233">
        <f>IF(B18233="","",INT(A18233))</f>
        <v/>
      </c>
      <c r="D18233">
        <f>IF(B18233="","",HOUR(A18233))</f>
        <v/>
      </c>
    </row>
    <row r="18234">
      <c r="A18234">
        <f>Input!A18234</f>
        <v/>
      </c>
      <c r="B18234">
        <f>IF(ISNUMBER(Input!B18234),IF(AND(Input!B18234&gt;=20,Input!B18234&lt;=700),Input!B18234,""),"")</f>
        <v/>
      </c>
      <c r="C18234">
        <f>IF(B18234="","",INT(A18234))</f>
        <v/>
      </c>
      <c r="D18234">
        <f>IF(B18234="","",HOUR(A18234))</f>
        <v/>
      </c>
    </row>
    <row r="18235">
      <c r="A18235">
        <f>Input!A18235</f>
        <v/>
      </c>
      <c r="B18235">
        <f>IF(ISNUMBER(Input!B18235),IF(AND(Input!B18235&gt;=20,Input!B18235&lt;=700),Input!B18235,""),"")</f>
        <v/>
      </c>
      <c r="C18235">
        <f>IF(B18235="","",INT(A18235))</f>
        <v/>
      </c>
      <c r="D18235">
        <f>IF(B18235="","",HOUR(A18235))</f>
        <v/>
      </c>
    </row>
    <row r="18236">
      <c r="A18236">
        <f>Input!A18236</f>
        <v/>
      </c>
      <c r="B18236">
        <f>IF(ISNUMBER(Input!B18236),IF(AND(Input!B18236&gt;=20,Input!B18236&lt;=700),Input!B18236,""),"")</f>
        <v/>
      </c>
      <c r="C18236">
        <f>IF(B18236="","",INT(A18236))</f>
        <v/>
      </c>
      <c r="D18236">
        <f>IF(B18236="","",HOUR(A18236))</f>
        <v/>
      </c>
    </row>
    <row r="18237">
      <c r="A18237">
        <f>Input!A18237</f>
        <v/>
      </c>
      <c r="B18237">
        <f>IF(ISNUMBER(Input!B18237),IF(AND(Input!B18237&gt;=20,Input!B18237&lt;=700),Input!B18237,""),"")</f>
        <v/>
      </c>
      <c r="C18237">
        <f>IF(B18237="","",INT(A18237))</f>
        <v/>
      </c>
      <c r="D18237">
        <f>IF(B18237="","",HOUR(A18237))</f>
        <v/>
      </c>
    </row>
    <row r="18238">
      <c r="A18238">
        <f>Input!A18238</f>
        <v/>
      </c>
      <c r="B18238">
        <f>IF(ISNUMBER(Input!B18238),IF(AND(Input!B18238&gt;=20,Input!B18238&lt;=700),Input!B18238,""),"")</f>
        <v/>
      </c>
      <c r="C18238">
        <f>IF(B18238="","",INT(A18238))</f>
        <v/>
      </c>
      <c r="D18238">
        <f>IF(B18238="","",HOUR(A18238))</f>
        <v/>
      </c>
    </row>
    <row r="18239">
      <c r="A18239">
        <f>Input!A18239</f>
        <v/>
      </c>
      <c r="B18239">
        <f>IF(ISNUMBER(Input!B18239),IF(AND(Input!B18239&gt;=20,Input!B18239&lt;=700),Input!B18239,""),"")</f>
        <v/>
      </c>
      <c r="C18239">
        <f>IF(B18239="","",INT(A18239))</f>
        <v/>
      </c>
      <c r="D18239">
        <f>IF(B18239="","",HOUR(A18239))</f>
        <v/>
      </c>
    </row>
    <row r="18240">
      <c r="A18240">
        <f>Input!A18240</f>
        <v/>
      </c>
      <c r="B18240">
        <f>IF(ISNUMBER(Input!B18240),IF(AND(Input!B18240&gt;=20,Input!B18240&lt;=700),Input!B18240,""),"")</f>
        <v/>
      </c>
      <c r="C18240">
        <f>IF(B18240="","",INT(A18240))</f>
        <v/>
      </c>
      <c r="D18240">
        <f>IF(B18240="","",HOUR(A18240))</f>
        <v/>
      </c>
    </row>
    <row r="18241">
      <c r="A18241">
        <f>Input!A18241</f>
        <v/>
      </c>
      <c r="B18241">
        <f>IF(ISNUMBER(Input!B18241),IF(AND(Input!B18241&gt;=20,Input!B18241&lt;=700),Input!B18241,""),"")</f>
        <v/>
      </c>
      <c r="C18241">
        <f>IF(B18241="","",INT(A18241))</f>
        <v/>
      </c>
      <c r="D18241">
        <f>IF(B18241="","",HOUR(A18241))</f>
        <v/>
      </c>
    </row>
    <row r="18242">
      <c r="A18242">
        <f>Input!A18242</f>
        <v/>
      </c>
      <c r="B18242">
        <f>IF(ISNUMBER(Input!B18242),IF(AND(Input!B18242&gt;=20,Input!B18242&lt;=700),Input!B18242,""),"")</f>
        <v/>
      </c>
      <c r="C18242">
        <f>IF(B18242="","",INT(A18242))</f>
        <v/>
      </c>
      <c r="D18242">
        <f>IF(B18242="","",HOUR(A18242))</f>
        <v/>
      </c>
    </row>
    <row r="18243">
      <c r="A18243">
        <f>Input!A18243</f>
        <v/>
      </c>
      <c r="B18243">
        <f>IF(ISNUMBER(Input!B18243),IF(AND(Input!B18243&gt;=20,Input!B18243&lt;=700),Input!B18243,""),"")</f>
        <v/>
      </c>
      <c r="C18243">
        <f>IF(B18243="","",INT(A18243))</f>
        <v/>
      </c>
      <c r="D18243">
        <f>IF(B18243="","",HOUR(A18243))</f>
        <v/>
      </c>
    </row>
    <row r="18244">
      <c r="A18244">
        <f>Input!A18244</f>
        <v/>
      </c>
      <c r="B18244">
        <f>IF(ISNUMBER(Input!B18244),IF(AND(Input!B18244&gt;=20,Input!B18244&lt;=700),Input!B18244,""),"")</f>
        <v/>
      </c>
      <c r="C18244">
        <f>IF(B18244="","",INT(A18244))</f>
        <v/>
      </c>
      <c r="D18244">
        <f>IF(B18244="","",HOUR(A18244))</f>
        <v/>
      </c>
    </row>
    <row r="18245">
      <c r="A18245">
        <f>Input!A18245</f>
        <v/>
      </c>
      <c r="B18245">
        <f>IF(ISNUMBER(Input!B18245),IF(AND(Input!B18245&gt;=20,Input!B18245&lt;=700),Input!B18245,""),"")</f>
        <v/>
      </c>
      <c r="C18245">
        <f>IF(B18245="","",INT(A18245))</f>
        <v/>
      </c>
      <c r="D18245">
        <f>IF(B18245="","",HOUR(A18245))</f>
        <v/>
      </c>
    </row>
    <row r="18246">
      <c r="A18246">
        <f>Input!A18246</f>
        <v/>
      </c>
      <c r="B18246">
        <f>IF(ISNUMBER(Input!B18246),IF(AND(Input!B18246&gt;=20,Input!B18246&lt;=700),Input!B18246,""),"")</f>
        <v/>
      </c>
      <c r="C18246">
        <f>IF(B18246="","",INT(A18246))</f>
        <v/>
      </c>
      <c r="D18246">
        <f>IF(B18246="","",HOUR(A18246))</f>
        <v/>
      </c>
    </row>
    <row r="18247">
      <c r="A18247">
        <f>Input!A18247</f>
        <v/>
      </c>
      <c r="B18247">
        <f>IF(ISNUMBER(Input!B18247),IF(AND(Input!B18247&gt;=20,Input!B18247&lt;=700),Input!B18247,""),"")</f>
        <v/>
      </c>
      <c r="C18247">
        <f>IF(B18247="","",INT(A18247))</f>
        <v/>
      </c>
      <c r="D18247">
        <f>IF(B18247="","",HOUR(A18247))</f>
        <v/>
      </c>
    </row>
    <row r="18248">
      <c r="A18248">
        <f>Input!A18248</f>
        <v/>
      </c>
      <c r="B18248">
        <f>IF(ISNUMBER(Input!B18248),IF(AND(Input!B18248&gt;=20,Input!B18248&lt;=700),Input!B18248,""),"")</f>
        <v/>
      </c>
      <c r="C18248">
        <f>IF(B18248="","",INT(A18248))</f>
        <v/>
      </c>
      <c r="D18248">
        <f>IF(B18248="","",HOUR(A18248))</f>
        <v/>
      </c>
    </row>
    <row r="18249">
      <c r="A18249">
        <f>Input!A18249</f>
        <v/>
      </c>
      <c r="B18249">
        <f>IF(ISNUMBER(Input!B18249),IF(AND(Input!B18249&gt;=20,Input!B18249&lt;=700),Input!B18249,""),"")</f>
        <v/>
      </c>
      <c r="C18249">
        <f>IF(B18249="","",INT(A18249))</f>
        <v/>
      </c>
      <c r="D18249">
        <f>IF(B18249="","",HOUR(A18249))</f>
        <v/>
      </c>
    </row>
    <row r="18250">
      <c r="A18250">
        <f>Input!A18250</f>
        <v/>
      </c>
      <c r="B18250">
        <f>IF(ISNUMBER(Input!B18250),IF(AND(Input!B18250&gt;=20,Input!B18250&lt;=700),Input!B18250,""),"")</f>
        <v/>
      </c>
      <c r="C18250">
        <f>IF(B18250="","",INT(A18250))</f>
        <v/>
      </c>
      <c r="D18250">
        <f>IF(B18250="","",HOUR(A18250))</f>
        <v/>
      </c>
    </row>
    <row r="18251">
      <c r="A18251">
        <f>Input!A18251</f>
        <v/>
      </c>
      <c r="B18251">
        <f>IF(ISNUMBER(Input!B18251),IF(AND(Input!B18251&gt;=20,Input!B18251&lt;=700),Input!B18251,""),"")</f>
        <v/>
      </c>
      <c r="C18251">
        <f>IF(B18251="","",INT(A18251))</f>
        <v/>
      </c>
      <c r="D18251">
        <f>IF(B18251="","",HOUR(A18251))</f>
        <v/>
      </c>
    </row>
    <row r="18252">
      <c r="A18252">
        <f>Input!A18252</f>
        <v/>
      </c>
      <c r="B18252">
        <f>IF(ISNUMBER(Input!B18252),IF(AND(Input!B18252&gt;=20,Input!B18252&lt;=700),Input!B18252,""),"")</f>
        <v/>
      </c>
      <c r="C18252">
        <f>IF(B18252="","",INT(A18252))</f>
        <v/>
      </c>
      <c r="D18252">
        <f>IF(B18252="","",HOUR(A18252))</f>
        <v/>
      </c>
    </row>
    <row r="18253">
      <c r="A18253">
        <f>Input!A18253</f>
        <v/>
      </c>
      <c r="B18253">
        <f>IF(ISNUMBER(Input!B18253),IF(AND(Input!B18253&gt;=20,Input!B18253&lt;=700),Input!B18253,""),"")</f>
        <v/>
      </c>
      <c r="C18253">
        <f>IF(B18253="","",INT(A18253))</f>
        <v/>
      </c>
      <c r="D18253">
        <f>IF(B18253="","",HOUR(A18253))</f>
        <v/>
      </c>
    </row>
    <row r="18254">
      <c r="A18254">
        <f>Input!A18254</f>
        <v/>
      </c>
      <c r="B18254">
        <f>IF(ISNUMBER(Input!B18254),IF(AND(Input!B18254&gt;=20,Input!B18254&lt;=700),Input!B18254,""),"")</f>
        <v/>
      </c>
      <c r="C18254">
        <f>IF(B18254="","",INT(A18254))</f>
        <v/>
      </c>
      <c r="D18254">
        <f>IF(B18254="","",HOUR(A18254))</f>
        <v/>
      </c>
    </row>
    <row r="18255">
      <c r="A18255">
        <f>Input!A18255</f>
        <v/>
      </c>
      <c r="B18255">
        <f>IF(ISNUMBER(Input!B18255),IF(AND(Input!B18255&gt;=20,Input!B18255&lt;=700),Input!B18255,""),"")</f>
        <v/>
      </c>
      <c r="C18255">
        <f>IF(B18255="","",INT(A18255))</f>
        <v/>
      </c>
      <c r="D18255">
        <f>IF(B18255="","",HOUR(A18255))</f>
        <v/>
      </c>
    </row>
    <row r="18256">
      <c r="A18256">
        <f>Input!A18256</f>
        <v/>
      </c>
      <c r="B18256">
        <f>IF(ISNUMBER(Input!B18256),IF(AND(Input!B18256&gt;=20,Input!B18256&lt;=700),Input!B18256,""),"")</f>
        <v/>
      </c>
      <c r="C18256">
        <f>IF(B18256="","",INT(A18256))</f>
        <v/>
      </c>
      <c r="D18256">
        <f>IF(B18256="","",HOUR(A18256))</f>
        <v/>
      </c>
    </row>
    <row r="18257">
      <c r="A18257">
        <f>Input!A18257</f>
        <v/>
      </c>
      <c r="B18257">
        <f>IF(ISNUMBER(Input!B18257),IF(AND(Input!B18257&gt;=20,Input!B18257&lt;=700),Input!B18257,""),"")</f>
        <v/>
      </c>
      <c r="C18257">
        <f>IF(B18257="","",INT(A18257))</f>
        <v/>
      </c>
      <c r="D18257">
        <f>IF(B18257="","",HOUR(A18257))</f>
        <v/>
      </c>
    </row>
    <row r="18258">
      <c r="A18258">
        <f>Input!A18258</f>
        <v/>
      </c>
      <c r="B18258">
        <f>IF(ISNUMBER(Input!B18258),IF(AND(Input!B18258&gt;=20,Input!B18258&lt;=700),Input!B18258,""),"")</f>
        <v/>
      </c>
      <c r="C18258">
        <f>IF(B18258="","",INT(A18258))</f>
        <v/>
      </c>
      <c r="D18258">
        <f>IF(B18258="","",HOUR(A18258))</f>
        <v/>
      </c>
    </row>
    <row r="18259">
      <c r="A18259">
        <f>Input!A18259</f>
        <v/>
      </c>
      <c r="B18259">
        <f>IF(ISNUMBER(Input!B18259),IF(AND(Input!B18259&gt;=20,Input!B18259&lt;=700),Input!B18259,""),"")</f>
        <v/>
      </c>
      <c r="C18259">
        <f>IF(B18259="","",INT(A18259))</f>
        <v/>
      </c>
      <c r="D18259">
        <f>IF(B18259="","",HOUR(A18259))</f>
        <v/>
      </c>
    </row>
    <row r="18260">
      <c r="A18260">
        <f>Input!A18260</f>
        <v/>
      </c>
      <c r="B18260">
        <f>IF(ISNUMBER(Input!B18260),IF(AND(Input!B18260&gt;=20,Input!B18260&lt;=700),Input!B18260,""),"")</f>
        <v/>
      </c>
      <c r="C18260">
        <f>IF(B18260="","",INT(A18260))</f>
        <v/>
      </c>
      <c r="D18260">
        <f>IF(B18260="","",HOUR(A18260))</f>
        <v/>
      </c>
    </row>
    <row r="18261">
      <c r="A18261">
        <f>Input!A18261</f>
        <v/>
      </c>
      <c r="B18261">
        <f>IF(ISNUMBER(Input!B18261),IF(AND(Input!B18261&gt;=20,Input!B18261&lt;=700),Input!B18261,""),"")</f>
        <v/>
      </c>
      <c r="C18261">
        <f>IF(B18261="","",INT(A18261))</f>
        <v/>
      </c>
      <c r="D18261">
        <f>IF(B18261="","",HOUR(A18261))</f>
        <v/>
      </c>
    </row>
    <row r="18262">
      <c r="A18262">
        <f>Input!A18262</f>
        <v/>
      </c>
      <c r="B18262">
        <f>IF(ISNUMBER(Input!B18262),IF(AND(Input!B18262&gt;=20,Input!B18262&lt;=700),Input!B18262,""),"")</f>
        <v/>
      </c>
      <c r="C18262">
        <f>IF(B18262="","",INT(A18262))</f>
        <v/>
      </c>
      <c r="D18262">
        <f>IF(B18262="","",HOUR(A18262))</f>
        <v/>
      </c>
    </row>
    <row r="18263">
      <c r="A18263">
        <f>Input!A18263</f>
        <v/>
      </c>
      <c r="B18263">
        <f>IF(ISNUMBER(Input!B18263),IF(AND(Input!B18263&gt;=20,Input!B18263&lt;=700),Input!B18263,""),"")</f>
        <v/>
      </c>
      <c r="C18263">
        <f>IF(B18263="","",INT(A18263))</f>
        <v/>
      </c>
      <c r="D18263">
        <f>IF(B18263="","",HOUR(A18263))</f>
        <v/>
      </c>
    </row>
    <row r="18264">
      <c r="A18264">
        <f>Input!A18264</f>
        <v/>
      </c>
      <c r="B18264">
        <f>IF(ISNUMBER(Input!B18264),IF(AND(Input!B18264&gt;=20,Input!B18264&lt;=700),Input!B18264,""),"")</f>
        <v/>
      </c>
      <c r="C18264">
        <f>IF(B18264="","",INT(A18264))</f>
        <v/>
      </c>
      <c r="D18264">
        <f>IF(B18264="","",HOUR(A18264))</f>
        <v/>
      </c>
    </row>
    <row r="18265">
      <c r="A18265">
        <f>Input!A18265</f>
        <v/>
      </c>
      <c r="B18265">
        <f>IF(ISNUMBER(Input!B18265),IF(AND(Input!B18265&gt;=20,Input!B18265&lt;=700),Input!B18265,""),"")</f>
        <v/>
      </c>
      <c r="C18265">
        <f>IF(B18265="","",INT(A18265))</f>
        <v/>
      </c>
      <c r="D18265">
        <f>IF(B18265="","",HOUR(A18265))</f>
        <v/>
      </c>
    </row>
    <row r="18266">
      <c r="A18266">
        <f>Input!A18266</f>
        <v/>
      </c>
      <c r="B18266">
        <f>IF(ISNUMBER(Input!B18266),IF(AND(Input!B18266&gt;=20,Input!B18266&lt;=700),Input!B18266,""),"")</f>
        <v/>
      </c>
      <c r="C18266">
        <f>IF(B18266="","",INT(A18266))</f>
        <v/>
      </c>
      <c r="D18266">
        <f>IF(B18266="","",HOUR(A18266))</f>
        <v/>
      </c>
    </row>
    <row r="18267">
      <c r="A18267">
        <f>Input!A18267</f>
        <v/>
      </c>
      <c r="B18267">
        <f>IF(ISNUMBER(Input!B18267),IF(AND(Input!B18267&gt;=20,Input!B18267&lt;=700),Input!B18267,""),"")</f>
        <v/>
      </c>
      <c r="C18267">
        <f>IF(B18267="","",INT(A18267))</f>
        <v/>
      </c>
      <c r="D18267">
        <f>IF(B18267="","",HOUR(A18267))</f>
        <v/>
      </c>
    </row>
    <row r="18268">
      <c r="A18268">
        <f>Input!A18268</f>
        <v/>
      </c>
      <c r="B18268">
        <f>IF(ISNUMBER(Input!B18268),IF(AND(Input!B18268&gt;=20,Input!B18268&lt;=700),Input!B18268,""),"")</f>
        <v/>
      </c>
      <c r="C18268">
        <f>IF(B18268="","",INT(A18268))</f>
        <v/>
      </c>
      <c r="D18268">
        <f>IF(B18268="","",HOUR(A18268))</f>
        <v/>
      </c>
    </row>
    <row r="18269">
      <c r="A18269">
        <f>Input!A18269</f>
        <v/>
      </c>
      <c r="B18269">
        <f>IF(ISNUMBER(Input!B18269),IF(AND(Input!B18269&gt;=20,Input!B18269&lt;=700),Input!B18269,""),"")</f>
        <v/>
      </c>
      <c r="C18269">
        <f>IF(B18269="","",INT(A18269))</f>
        <v/>
      </c>
      <c r="D18269">
        <f>IF(B18269="","",HOUR(A18269))</f>
        <v/>
      </c>
    </row>
    <row r="18270">
      <c r="A18270">
        <f>Input!A18270</f>
        <v/>
      </c>
      <c r="B18270">
        <f>IF(ISNUMBER(Input!B18270),IF(AND(Input!B18270&gt;=20,Input!B18270&lt;=700),Input!B18270,""),"")</f>
        <v/>
      </c>
      <c r="C18270">
        <f>IF(B18270="","",INT(A18270))</f>
        <v/>
      </c>
      <c r="D18270">
        <f>IF(B18270="","",HOUR(A18270))</f>
        <v/>
      </c>
    </row>
    <row r="18271">
      <c r="A18271">
        <f>Input!A18271</f>
        <v/>
      </c>
      <c r="B18271">
        <f>IF(ISNUMBER(Input!B18271),IF(AND(Input!B18271&gt;=20,Input!B18271&lt;=700),Input!B18271,""),"")</f>
        <v/>
      </c>
      <c r="C18271">
        <f>IF(B18271="","",INT(A18271))</f>
        <v/>
      </c>
      <c r="D18271">
        <f>IF(B18271="","",HOUR(A18271))</f>
        <v/>
      </c>
    </row>
    <row r="18272">
      <c r="A18272">
        <f>Input!A18272</f>
        <v/>
      </c>
      <c r="B18272">
        <f>IF(ISNUMBER(Input!B18272),IF(AND(Input!B18272&gt;=20,Input!B18272&lt;=700),Input!B18272,""),"")</f>
        <v/>
      </c>
      <c r="C18272">
        <f>IF(B18272="","",INT(A18272))</f>
        <v/>
      </c>
      <c r="D18272">
        <f>IF(B18272="","",HOUR(A18272))</f>
        <v/>
      </c>
    </row>
    <row r="18273">
      <c r="A18273">
        <f>Input!A18273</f>
        <v/>
      </c>
      <c r="B18273">
        <f>IF(ISNUMBER(Input!B18273),IF(AND(Input!B18273&gt;=20,Input!B18273&lt;=700),Input!B18273,""),"")</f>
        <v/>
      </c>
      <c r="C18273">
        <f>IF(B18273="","",INT(A18273))</f>
        <v/>
      </c>
      <c r="D18273">
        <f>IF(B18273="","",HOUR(A18273))</f>
        <v/>
      </c>
    </row>
    <row r="18274">
      <c r="A18274">
        <f>Input!A18274</f>
        <v/>
      </c>
      <c r="B18274">
        <f>IF(ISNUMBER(Input!B18274),IF(AND(Input!B18274&gt;=20,Input!B18274&lt;=700),Input!B18274,""),"")</f>
        <v/>
      </c>
      <c r="C18274">
        <f>IF(B18274="","",INT(A18274))</f>
        <v/>
      </c>
      <c r="D18274">
        <f>IF(B18274="","",HOUR(A18274))</f>
        <v/>
      </c>
    </row>
    <row r="18275">
      <c r="A18275">
        <f>Input!A18275</f>
        <v/>
      </c>
      <c r="B18275">
        <f>IF(ISNUMBER(Input!B18275),IF(AND(Input!B18275&gt;=20,Input!B18275&lt;=700),Input!B18275,""),"")</f>
        <v/>
      </c>
      <c r="C18275">
        <f>IF(B18275="","",INT(A18275))</f>
        <v/>
      </c>
      <c r="D18275">
        <f>IF(B18275="","",HOUR(A18275))</f>
        <v/>
      </c>
    </row>
    <row r="18276">
      <c r="A18276">
        <f>Input!A18276</f>
        <v/>
      </c>
      <c r="B18276">
        <f>IF(ISNUMBER(Input!B18276),IF(AND(Input!B18276&gt;=20,Input!B18276&lt;=700),Input!B18276,""),"")</f>
        <v/>
      </c>
      <c r="C18276">
        <f>IF(B18276="","",INT(A18276))</f>
        <v/>
      </c>
      <c r="D18276">
        <f>IF(B18276="","",HOUR(A18276))</f>
        <v/>
      </c>
    </row>
    <row r="18277">
      <c r="A18277">
        <f>Input!A18277</f>
        <v/>
      </c>
      <c r="B18277">
        <f>IF(ISNUMBER(Input!B18277),IF(AND(Input!B18277&gt;=20,Input!B18277&lt;=700),Input!B18277,""),"")</f>
        <v/>
      </c>
      <c r="C18277">
        <f>IF(B18277="","",INT(A18277))</f>
        <v/>
      </c>
      <c r="D18277">
        <f>IF(B18277="","",HOUR(A18277))</f>
        <v/>
      </c>
    </row>
    <row r="18278">
      <c r="A18278">
        <f>Input!A18278</f>
        <v/>
      </c>
      <c r="B18278">
        <f>IF(ISNUMBER(Input!B18278),IF(AND(Input!B18278&gt;=20,Input!B18278&lt;=700),Input!B18278,""),"")</f>
        <v/>
      </c>
      <c r="C18278">
        <f>IF(B18278="","",INT(A18278))</f>
        <v/>
      </c>
      <c r="D18278">
        <f>IF(B18278="","",HOUR(A18278))</f>
        <v/>
      </c>
    </row>
    <row r="18279">
      <c r="A18279">
        <f>Input!A18279</f>
        <v/>
      </c>
      <c r="B18279">
        <f>IF(ISNUMBER(Input!B18279),IF(AND(Input!B18279&gt;=20,Input!B18279&lt;=700),Input!B18279,""),"")</f>
        <v/>
      </c>
      <c r="C18279">
        <f>IF(B18279="","",INT(A18279))</f>
        <v/>
      </c>
      <c r="D18279">
        <f>IF(B18279="","",HOUR(A18279))</f>
        <v/>
      </c>
    </row>
    <row r="18280">
      <c r="A18280">
        <f>Input!A18280</f>
        <v/>
      </c>
      <c r="B18280">
        <f>IF(ISNUMBER(Input!B18280),IF(AND(Input!B18280&gt;=20,Input!B18280&lt;=700),Input!B18280,""),"")</f>
        <v/>
      </c>
      <c r="C18280">
        <f>IF(B18280="","",INT(A18280))</f>
        <v/>
      </c>
      <c r="D18280">
        <f>IF(B18280="","",HOUR(A18280))</f>
        <v/>
      </c>
    </row>
    <row r="18281">
      <c r="A18281">
        <f>Input!A18281</f>
        <v/>
      </c>
      <c r="B18281">
        <f>IF(ISNUMBER(Input!B18281),IF(AND(Input!B18281&gt;=20,Input!B18281&lt;=700),Input!B18281,""),"")</f>
        <v/>
      </c>
      <c r="C18281">
        <f>IF(B18281="","",INT(A18281))</f>
        <v/>
      </c>
      <c r="D18281">
        <f>IF(B18281="","",HOUR(A18281))</f>
        <v/>
      </c>
    </row>
    <row r="18282">
      <c r="A18282">
        <f>Input!A18282</f>
        <v/>
      </c>
      <c r="B18282">
        <f>IF(ISNUMBER(Input!B18282),IF(AND(Input!B18282&gt;=20,Input!B18282&lt;=700),Input!B18282,""),"")</f>
        <v/>
      </c>
      <c r="C18282">
        <f>IF(B18282="","",INT(A18282))</f>
        <v/>
      </c>
      <c r="D18282">
        <f>IF(B18282="","",HOUR(A18282))</f>
        <v/>
      </c>
    </row>
    <row r="18283">
      <c r="A18283">
        <f>Input!A18283</f>
        <v/>
      </c>
      <c r="B18283">
        <f>IF(ISNUMBER(Input!B18283),IF(AND(Input!B18283&gt;=20,Input!B18283&lt;=700),Input!B18283,""),"")</f>
        <v/>
      </c>
      <c r="C18283">
        <f>IF(B18283="","",INT(A18283))</f>
        <v/>
      </c>
      <c r="D18283">
        <f>IF(B18283="","",HOUR(A18283))</f>
        <v/>
      </c>
    </row>
    <row r="18284">
      <c r="A18284">
        <f>Input!A18284</f>
        <v/>
      </c>
      <c r="B18284">
        <f>IF(ISNUMBER(Input!B18284),IF(AND(Input!B18284&gt;=20,Input!B18284&lt;=700),Input!B18284,""),"")</f>
        <v/>
      </c>
      <c r="C18284">
        <f>IF(B18284="","",INT(A18284))</f>
        <v/>
      </c>
      <c r="D18284">
        <f>IF(B18284="","",HOUR(A18284))</f>
        <v/>
      </c>
    </row>
    <row r="18285">
      <c r="A18285">
        <f>Input!A18285</f>
        <v/>
      </c>
      <c r="B18285">
        <f>IF(ISNUMBER(Input!B18285),IF(AND(Input!B18285&gt;=20,Input!B18285&lt;=700),Input!B18285,""),"")</f>
        <v/>
      </c>
      <c r="C18285">
        <f>IF(B18285="","",INT(A18285))</f>
        <v/>
      </c>
      <c r="D18285">
        <f>IF(B18285="","",HOUR(A18285))</f>
        <v/>
      </c>
    </row>
    <row r="18286">
      <c r="A18286">
        <f>Input!A18286</f>
        <v/>
      </c>
      <c r="B18286">
        <f>IF(ISNUMBER(Input!B18286),IF(AND(Input!B18286&gt;=20,Input!B18286&lt;=700),Input!B18286,""),"")</f>
        <v/>
      </c>
      <c r="C18286">
        <f>IF(B18286="","",INT(A18286))</f>
        <v/>
      </c>
      <c r="D18286">
        <f>IF(B18286="","",HOUR(A18286))</f>
        <v/>
      </c>
    </row>
    <row r="18287">
      <c r="A18287">
        <f>Input!A18287</f>
        <v/>
      </c>
      <c r="B18287">
        <f>IF(ISNUMBER(Input!B18287),IF(AND(Input!B18287&gt;=20,Input!B18287&lt;=700),Input!B18287,""),"")</f>
        <v/>
      </c>
      <c r="C18287">
        <f>IF(B18287="","",INT(A18287))</f>
        <v/>
      </c>
      <c r="D18287">
        <f>IF(B18287="","",HOUR(A18287))</f>
        <v/>
      </c>
    </row>
    <row r="18288">
      <c r="A18288">
        <f>Input!A18288</f>
        <v/>
      </c>
      <c r="B18288">
        <f>IF(ISNUMBER(Input!B18288),IF(AND(Input!B18288&gt;=20,Input!B18288&lt;=700),Input!B18288,""),"")</f>
        <v/>
      </c>
      <c r="C18288">
        <f>IF(B18288="","",INT(A18288))</f>
        <v/>
      </c>
      <c r="D18288">
        <f>IF(B18288="","",HOUR(A18288))</f>
        <v/>
      </c>
    </row>
    <row r="18289">
      <c r="A18289">
        <f>Input!A18289</f>
        <v/>
      </c>
      <c r="B18289">
        <f>IF(ISNUMBER(Input!B18289),IF(AND(Input!B18289&gt;=20,Input!B18289&lt;=700),Input!B18289,""),"")</f>
        <v/>
      </c>
      <c r="C18289">
        <f>IF(B18289="","",INT(A18289))</f>
        <v/>
      </c>
      <c r="D18289">
        <f>IF(B18289="","",HOUR(A18289))</f>
        <v/>
      </c>
    </row>
    <row r="18290">
      <c r="A18290">
        <f>Input!A18290</f>
        <v/>
      </c>
      <c r="B18290">
        <f>IF(ISNUMBER(Input!B18290),IF(AND(Input!B18290&gt;=20,Input!B18290&lt;=700),Input!B18290,""),"")</f>
        <v/>
      </c>
      <c r="C18290">
        <f>IF(B18290="","",INT(A18290))</f>
        <v/>
      </c>
      <c r="D18290">
        <f>IF(B18290="","",HOUR(A18290))</f>
        <v/>
      </c>
    </row>
    <row r="18291">
      <c r="A18291">
        <f>Input!A18291</f>
        <v/>
      </c>
      <c r="B18291">
        <f>IF(ISNUMBER(Input!B18291),IF(AND(Input!B18291&gt;=20,Input!B18291&lt;=700),Input!B18291,""),"")</f>
        <v/>
      </c>
      <c r="C18291">
        <f>IF(B18291="","",INT(A18291))</f>
        <v/>
      </c>
      <c r="D18291">
        <f>IF(B18291="","",HOUR(A18291))</f>
        <v/>
      </c>
    </row>
    <row r="18292">
      <c r="A18292">
        <f>Input!A18292</f>
        <v/>
      </c>
      <c r="B18292">
        <f>IF(ISNUMBER(Input!B18292),IF(AND(Input!B18292&gt;=20,Input!B18292&lt;=700),Input!B18292,""),"")</f>
        <v/>
      </c>
      <c r="C18292">
        <f>IF(B18292="","",INT(A18292))</f>
        <v/>
      </c>
      <c r="D18292">
        <f>IF(B18292="","",HOUR(A18292))</f>
        <v/>
      </c>
    </row>
    <row r="18293">
      <c r="A18293">
        <f>Input!A18293</f>
        <v/>
      </c>
      <c r="B18293">
        <f>IF(ISNUMBER(Input!B18293),IF(AND(Input!B18293&gt;=20,Input!B18293&lt;=700),Input!B18293,""),"")</f>
        <v/>
      </c>
      <c r="C18293">
        <f>IF(B18293="","",INT(A18293))</f>
        <v/>
      </c>
      <c r="D18293">
        <f>IF(B18293="","",HOUR(A18293))</f>
        <v/>
      </c>
    </row>
    <row r="18294">
      <c r="A18294">
        <f>Input!A18294</f>
        <v/>
      </c>
      <c r="B18294">
        <f>IF(ISNUMBER(Input!B18294),IF(AND(Input!B18294&gt;=20,Input!B18294&lt;=700),Input!B18294,""),"")</f>
        <v/>
      </c>
      <c r="C18294">
        <f>IF(B18294="","",INT(A18294))</f>
        <v/>
      </c>
      <c r="D18294">
        <f>IF(B18294="","",HOUR(A18294))</f>
        <v/>
      </c>
    </row>
    <row r="18295">
      <c r="A18295">
        <f>Input!A18295</f>
        <v/>
      </c>
      <c r="B18295">
        <f>IF(ISNUMBER(Input!B18295),IF(AND(Input!B18295&gt;=20,Input!B18295&lt;=700),Input!B18295,""),"")</f>
        <v/>
      </c>
      <c r="C18295">
        <f>IF(B18295="","",INT(A18295))</f>
        <v/>
      </c>
      <c r="D18295">
        <f>IF(B18295="","",HOUR(A18295))</f>
        <v/>
      </c>
    </row>
    <row r="18296">
      <c r="A18296">
        <f>Input!A18296</f>
        <v/>
      </c>
      <c r="B18296">
        <f>IF(ISNUMBER(Input!B18296),IF(AND(Input!B18296&gt;=20,Input!B18296&lt;=700),Input!B18296,""),"")</f>
        <v/>
      </c>
      <c r="C18296">
        <f>IF(B18296="","",INT(A18296))</f>
        <v/>
      </c>
      <c r="D18296">
        <f>IF(B18296="","",HOUR(A18296))</f>
        <v/>
      </c>
    </row>
    <row r="18297">
      <c r="A18297">
        <f>Input!A18297</f>
        <v/>
      </c>
      <c r="B18297">
        <f>IF(ISNUMBER(Input!B18297),IF(AND(Input!B18297&gt;=20,Input!B18297&lt;=700),Input!B18297,""),"")</f>
        <v/>
      </c>
      <c r="C18297">
        <f>IF(B18297="","",INT(A18297))</f>
        <v/>
      </c>
      <c r="D18297">
        <f>IF(B18297="","",HOUR(A18297))</f>
        <v/>
      </c>
    </row>
    <row r="18298">
      <c r="A18298">
        <f>Input!A18298</f>
        <v/>
      </c>
      <c r="B18298">
        <f>IF(ISNUMBER(Input!B18298),IF(AND(Input!B18298&gt;=20,Input!B18298&lt;=700),Input!B18298,""),"")</f>
        <v/>
      </c>
      <c r="C18298">
        <f>IF(B18298="","",INT(A18298))</f>
        <v/>
      </c>
      <c r="D18298">
        <f>IF(B18298="","",HOUR(A18298))</f>
        <v/>
      </c>
    </row>
    <row r="18299">
      <c r="A18299">
        <f>Input!A18299</f>
        <v/>
      </c>
      <c r="B18299">
        <f>IF(ISNUMBER(Input!B18299),IF(AND(Input!B18299&gt;=20,Input!B18299&lt;=700),Input!B18299,""),"")</f>
        <v/>
      </c>
      <c r="C18299">
        <f>IF(B18299="","",INT(A18299))</f>
        <v/>
      </c>
      <c r="D18299">
        <f>IF(B18299="","",HOUR(A18299))</f>
        <v/>
      </c>
    </row>
    <row r="18300">
      <c r="A18300">
        <f>Input!A18300</f>
        <v/>
      </c>
      <c r="B18300">
        <f>IF(ISNUMBER(Input!B18300),IF(AND(Input!B18300&gt;=20,Input!B18300&lt;=700),Input!B18300,""),"")</f>
        <v/>
      </c>
      <c r="C18300">
        <f>IF(B18300="","",INT(A18300))</f>
        <v/>
      </c>
      <c r="D18300">
        <f>IF(B18300="","",HOUR(A18300))</f>
        <v/>
      </c>
    </row>
    <row r="18301">
      <c r="A18301">
        <f>Input!A18301</f>
        <v/>
      </c>
      <c r="B18301">
        <f>IF(ISNUMBER(Input!B18301),IF(AND(Input!B18301&gt;=20,Input!B18301&lt;=700),Input!B18301,""),"")</f>
        <v/>
      </c>
      <c r="C18301">
        <f>IF(B18301="","",INT(A18301))</f>
        <v/>
      </c>
      <c r="D18301">
        <f>IF(B18301="","",HOUR(A18301))</f>
        <v/>
      </c>
    </row>
    <row r="18302">
      <c r="A18302">
        <f>Input!A18302</f>
        <v/>
      </c>
      <c r="B18302">
        <f>IF(ISNUMBER(Input!B18302),IF(AND(Input!B18302&gt;=20,Input!B18302&lt;=700),Input!B18302,""),"")</f>
        <v/>
      </c>
      <c r="C18302">
        <f>IF(B18302="","",INT(A18302))</f>
        <v/>
      </c>
      <c r="D18302">
        <f>IF(B18302="","",HOUR(A18302))</f>
        <v/>
      </c>
    </row>
    <row r="18303">
      <c r="A18303">
        <f>Input!A18303</f>
        <v/>
      </c>
      <c r="B18303">
        <f>IF(ISNUMBER(Input!B18303),IF(AND(Input!B18303&gt;=20,Input!B18303&lt;=700),Input!B18303,""),"")</f>
        <v/>
      </c>
      <c r="C18303">
        <f>IF(B18303="","",INT(A18303))</f>
        <v/>
      </c>
      <c r="D18303">
        <f>IF(B18303="","",HOUR(A18303))</f>
        <v/>
      </c>
    </row>
    <row r="18304">
      <c r="A18304">
        <f>Input!A18304</f>
        <v/>
      </c>
      <c r="B18304">
        <f>IF(ISNUMBER(Input!B18304),IF(AND(Input!B18304&gt;=20,Input!B18304&lt;=700),Input!B18304,""),"")</f>
        <v/>
      </c>
      <c r="C18304">
        <f>IF(B18304="","",INT(A18304))</f>
        <v/>
      </c>
      <c r="D18304">
        <f>IF(B18304="","",HOUR(A18304))</f>
        <v/>
      </c>
    </row>
    <row r="18305">
      <c r="A18305">
        <f>Input!A18305</f>
        <v/>
      </c>
      <c r="B18305">
        <f>IF(ISNUMBER(Input!B18305),IF(AND(Input!B18305&gt;=20,Input!B18305&lt;=700),Input!B18305,""),"")</f>
        <v/>
      </c>
      <c r="C18305">
        <f>IF(B18305="","",INT(A18305))</f>
        <v/>
      </c>
      <c r="D18305">
        <f>IF(B18305="","",HOUR(A18305))</f>
        <v/>
      </c>
    </row>
    <row r="18306">
      <c r="A18306">
        <f>Input!A18306</f>
        <v/>
      </c>
      <c r="B18306">
        <f>IF(ISNUMBER(Input!B18306),IF(AND(Input!B18306&gt;=20,Input!B18306&lt;=700),Input!B18306,""),"")</f>
        <v/>
      </c>
      <c r="C18306">
        <f>IF(B18306="","",INT(A18306))</f>
        <v/>
      </c>
      <c r="D18306">
        <f>IF(B18306="","",HOUR(A18306))</f>
        <v/>
      </c>
    </row>
    <row r="18307">
      <c r="A18307">
        <f>Input!A18307</f>
        <v/>
      </c>
      <c r="B18307">
        <f>IF(ISNUMBER(Input!B18307),IF(AND(Input!B18307&gt;=20,Input!B18307&lt;=700),Input!B18307,""),"")</f>
        <v/>
      </c>
      <c r="C18307">
        <f>IF(B18307="","",INT(A18307))</f>
        <v/>
      </c>
      <c r="D18307">
        <f>IF(B18307="","",HOUR(A18307))</f>
        <v/>
      </c>
    </row>
    <row r="18308">
      <c r="A18308">
        <f>Input!A18308</f>
        <v/>
      </c>
      <c r="B18308">
        <f>IF(ISNUMBER(Input!B18308),IF(AND(Input!B18308&gt;=20,Input!B18308&lt;=700),Input!B18308,""),"")</f>
        <v/>
      </c>
      <c r="C18308">
        <f>IF(B18308="","",INT(A18308))</f>
        <v/>
      </c>
      <c r="D18308">
        <f>IF(B18308="","",HOUR(A18308))</f>
        <v/>
      </c>
    </row>
    <row r="18309">
      <c r="A18309">
        <f>Input!A18309</f>
        <v/>
      </c>
      <c r="B18309">
        <f>IF(ISNUMBER(Input!B18309),IF(AND(Input!B18309&gt;=20,Input!B18309&lt;=700),Input!B18309,""),"")</f>
        <v/>
      </c>
      <c r="C18309">
        <f>IF(B18309="","",INT(A18309))</f>
        <v/>
      </c>
      <c r="D18309">
        <f>IF(B18309="","",HOUR(A18309))</f>
        <v/>
      </c>
    </row>
    <row r="18310">
      <c r="A18310">
        <f>Input!A18310</f>
        <v/>
      </c>
      <c r="B18310">
        <f>IF(ISNUMBER(Input!B18310),IF(AND(Input!B18310&gt;=20,Input!B18310&lt;=700),Input!B18310,""),"")</f>
        <v/>
      </c>
      <c r="C18310">
        <f>IF(B18310="","",INT(A18310))</f>
        <v/>
      </c>
      <c r="D18310">
        <f>IF(B18310="","",HOUR(A18310))</f>
        <v/>
      </c>
    </row>
    <row r="18311">
      <c r="A18311">
        <f>Input!A18311</f>
        <v/>
      </c>
      <c r="B18311">
        <f>IF(ISNUMBER(Input!B18311),IF(AND(Input!B18311&gt;=20,Input!B18311&lt;=700),Input!B18311,""),"")</f>
        <v/>
      </c>
      <c r="C18311">
        <f>IF(B18311="","",INT(A18311))</f>
        <v/>
      </c>
      <c r="D18311">
        <f>IF(B18311="","",HOUR(A18311))</f>
        <v/>
      </c>
    </row>
    <row r="18312">
      <c r="A18312">
        <f>Input!A18312</f>
        <v/>
      </c>
      <c r="B18312">
        <f>IF(ISNUMBER(Input!B18312),IF(AND(Input!B18312&gt;=20,Input!B18312&lt;=700),Input!B18312,""),"")</f>
        <v/>
      </c>
      <c r="C18312">
        <f>IF(B18312="","",INT(A18312))</f>
        <v/>
      </c>
      <c r="D18312">
        <f>IF(B18312="","",HOUR(A18312))</f>
        <v/>
      </c>
    </row>
    <row r="18313">
      <c r="A18313">
        <f>Input!A18313</f>
        <v/>
      </c>
      <c r="B18313">
        <f>IF(ISNUMBER(Input!B18313),IF(AND(Input!B18313&gt;=20,Input!B18313&lt;=700),Input!B18313,""),"")</f>
        <v/>
      </c>
      <c r="C18313">
        <f>IF(B18313="","",INT(A18313))</f>
        <v/>
      </c>
      <c r="D18313">
        <f>IF(B18313="","",HOUR(A18313))</f>
        <v/>
      </c>
    </row>
    <row r="18314">
      <c r="A18314">
        <f>Input!A18314</f>
        <v/>
      </c>
      <c r="B18314">
        <f>IF(ISNUMBER(Input!B18314),IF(AND(Input!B18314&gt;=20,Input!B18314&lt;=700),Input!B18314,""),"")</f>
        <v/>
      </c>
      <c r="C18314">
        <f>IF(B18314="","",INT(A18314))</f>
        <v/>
      </c>
      <c r="D18314">
        <f>IF(B18314="","",HOUR(A18314))</f>
        <v/>
      </c>
    </row>
    <row r="18315">
      <c r="A18315">
        <f>Input!A18315</f>
        <v/>
      </c>
      <c r="B18315">
        <f>IF(ISNUMBER(Input!B18315),IF(AND(Input!B18315&gt;=20,Input!B18315&lt;=700),Input!B18315,""),"")</f>
        <v/>
      </c>
      <c r="C18315">
        <f>IF(B18315="","",INT(A18315))</f>
        <v/>
      </c>
      <c r="D18315">
        <f>IF(B18315="","",HOUR(A18315))</f>
        <v/>
      </c>
    </row>
    <row r="18316">
      <c r="A18316">
        <f>Input!A18316</f>
        <v/>
      </c>
      <c r="B18316">
        <f>IF(ISNUMBER(Input!B18316),IF(AND(Input!B18316&gt;=20,Input!B18316&lt;=700),Input!B18316,""),"")</f>
        <v/>
      </c>
      <c r="C18316">
        <f>IF(B18316="","",INT(A18316))</f>
        <v/>
      </c>
      <c r="D18316">
        <f>IF(B18316="","",HOUR(A18316))</f>
        <v/>
      </c>
    </row>
    <row r="18317">
      <c r="A18317">
        <f>Input!A18317</f>
        <v/>
      </c>
      <c r="B18317">
        <f>IF(ISNUMBER(Input!B18317),IF(AND(Input!B18317&gt;=20,Input!B18317&lt;=700),Input!B18317,""),"")</f>
        <v/>
      </c>
      <c r="C18317">
        <f>IF(B18317="","",INT(A18317))</f>
        <v/>
      </c>
      <c r="D18317">
        <f>IF(B18317="","",HOUR(A18317))</f>
        <v/>
      </c>
    </row>
    <row r="18318">
      <c r="A18318">
        <f>Input!A18318</f>
        <v/>
      </c>
      <c r="B18318">
        <f>IF(ISNUMBER(Input!B18318),IF(AND(Input!B18318&gt;=20,Input!B18318&lt;=700),Input!B18318,""),"")</f>
        <v/>
      </c>
      <c r="C18318">
        <f>IF(B18318="","",INT(A18318))</f>
        <v/>
      </c>
      <c r="D18318">
        <f>IF(B18318="","",HOUR(A18318))</f>
        <v/>
      </c>
    </row>
    <row r="18319">
      <c r="A18319">
        <f>Input!A18319</f>
        <v/>
      </c>
      <c r="B18319">
        <f>IF(ISNUMBER(Input!B18319),IF(AND(Input!B18319&gt;=20,Input!B18319&lt;=700),Input!B18319,""),"")</f>
        <v/>
      </c>
      <c r="C18319">
        <f>IF(B18319="","",INT(A18319))</f>
        <v/>
      </c>
      <c r="D18319">
        <f>IF(B18319="","",HOUR(A18319))</f>
        <v/>
      </c>
    </row>
    <row r="18320">
      <c r="A18320">
        <f>Input!A18320</f>
        <v/>
      </c>
      <c r="B18320">
        <f>IF(ISNUMBER(Input!B18320),IF(AND(Input!B18320&gt;=20,Input!B18320&lt;=700),Input!B18320,""),"")</f>
        <v/>
      </c>
      <c r="C18320">
        <f>IF(B18320="","",INT(A18320))</f>
        <v/>
      </c>
      <c r="D18320">
        <f>IF(B18320="","",HOUR(A18320))</f>
        <v/>
      </c>
    </row>
    <row r="18321">
      <c r="A18321">
        <f>Input!A18321</f>
        <v/>
      </c>
      <c r="B18321">
        <f>IF(ISNUMBER(Input!B18321),IF(AND(Input!B18321&gt;=20,Input!B18321&lt;=700),Input!B18321,""),"")</f>
        <v/>
      </c>
      <c r="C18321">
        <f>IF(B18321="","",INT(A18321))</f>
        <v/>
      </c>
      <c r="D18321">
        <f>IF(B18321="","",HOUR(A18321))</f>
        <v/>
      </c>
    </row>
    <row r="18322">
      <c r="A18322">
        <f>Input!A18322</f>
        <v/>
      </c>
      <c r="B18322">
        <f>IF(ISNUMBER(Input!B18322),IF(AND(Input!B18322&gt;=20,Input!B18322&lt;=700),Input!B18322,""),"")</f>
        <v/>
      </c>
      <c r="C18322">
        <f>IF(B18322="","",INT(A18322))</f>
        <v/>
      </c>
      <c r="D18322">
        <f>IF(B18322="","",HOUR(A18322))</f>
        <v/>
      </c>
    </row>
    <row r="18323">
      <c r="A18323">
        <f>Input!A18323</f>
        <v/>
      </c>
      <c r="B18323">
        <f>IF(ISNUMBER(Input!B18323),IF(AND(Input!B18323&gt;=20,Input!B18323&lt;=700),Input!B18323,""),"")</f>
        <v/>
      </c>
      <c r="C18323">
        <f>IF(B18323="","",INT(A18323))</f>
        <v/>
      </c>
      <c r="D18323">
        <f>IF(B18323="","",HOUR(A18323))</f>
        <v/>
      </c>
    </row>
    <row r="18324">
      <c r="A18324">
        <f>Input!A18324</f>
        <v/>
      </c>
      <c r="B18324">
        <f>IF(ISNUMBER(Input!B18324),IF(AND(Input!B18324&gt;=20,Input!B18324&lt;=700),Input!B18324,""),"")</f>
        <v/>
      </c>
      <c r="C18324">
        <f>IF(B18324="","",INT(A18324))</f>
        <v/>
      </c>
      <c r="D18324">
        <f>IF(B18324="","",HOUR(A18324))</f>
        <v/>
      </c>
    </row>
    <row r="18325">
      <c r="A18325">
        <f>Input!A18325</f>
        <v/>
      </c>
      <c r="B18325">
        <f>IF(ISNUMBER(Input!B18325),IF(AND(Input!B18325&gt;=20,Input!B18325&lt;=700),Input!B18325,""),"")</f>
        <v/>
      </c>
      <c r="C18325">
        <f>IF(B18325="","",INT(A18325))</f>
        <v/>
      </c>
      <c r="D18325">
        <f>IF(B18325="","",HOUR(A18325))</f>
        <v/>
      </c>
    </row>
    <row r="18326">
      <c r="A18326">
        <f>Input!A18326</f>
        <v/>
      </c>
      <c r="B18326">
        <f>IF(ISNUMBER(Input!B18326),IF(AND(Input!B18326&gt;=20,Input!B18326&lt;=700),Input!B18326,""),"")</f>
        <v/>
      </c>
      <c r="C18326">
        <f>IF(B18326="","",INT(A18326))</f>
        <v/>
      </c>
      <c r="D18326">
        <f>IF(B18326="","",HOUR(A18326))</f>
        <v/>
      </c>
    </row>
    <row r="18327">
      <c r="A18327">
        <f>Input!A18327</f>
        <v/>
      </c>
      <c r="B18327">
        <f>IF(ISNUMBER(Input!B18327),IF(AND(Input!B18327&gt;=20,Input!B18327&lt;=700),Input!B18327,""),"")</f>
        <v/>
      </c>
      <c r="C18327">
        <f>IF(B18327="","",INT(A18327))</f>
        <v/>
      </c>
      <c r="D18327">
        <f>IF(B18327="","",HOUR(A18327))</f>
        <v/>
      </c>
    </row>
    <row r="18328">
      <c r="A18328">
        <f>Input!A18328</f>
        <v/>
      </c>
      <c r="B18328">
        <f>IF(ISNUMBER(Input!B18328),IF(AND(Input!B18328&gt;=20,Input!B18328&lt;=700),Input!B18328,""),"")</f>
        <v/>
      </c>
      <c r="C18328">
        <f>IF(B18328="","",INT(A18328))</f>
        <v/>
      </c>
      <c r="D18328">
        <f>IF(B18328="","",HOUR(A18328))</f>
        <v/>
      </c>
    </row>
    <row r="18329">
      <c r="A18329">
        <f>Input!A18329</f>
        <v/>
      </c>
      <c r="B18329">
        <f>IF(ISNUMBER(Input!B18329),IF(AND(Input!B18329&gt;=20,Input!B18329&lt;=700),Input!B18329,""),"")</f>
        <v/>
      </c>
      <c r="C18329">
        <f>IF(B18329="","",INT(A18329))</f>
        <v/>
      </c>
      <c r="D18329">
        <f>IF(B18329="","",HOUR(A18329))</f>
        <v/>
      </c>
    </row>
    <row r="18330">
      <c r="A18330">
        <f>Input!A18330</f>
        <v/>
      </c>
      <c r="B18330">
        <f>IF(ISNUMBER(Input!B18330),IF(AND(Input!B18330&gt;=20,Input!B18330&lt;=700),Input!B18330,""),"")</f>
        <v/>
      </c>
      <c r="C18330">
        <f>IF(B18330="","",INT(A18330))</f>
        <v/>
      </c>
      <c r="D18330">
        <f>IF(B18330="","",HOUR(A18330))</f>
        <v/>
      </c>
    </row>
    <row r="18331">
      <c r="A18331">
        <f>Input!A18331</f>
        <v/>
      </c>
      <c r="B18331">
        <f>IF(ISNUMBER(Input!B18331),IF(AND(Input!B18331&gt;=20,Input!B18331&lt;=700),Input!B18331,""),"")</f>
        <v/>
      </c>
      <c r="C18331">
        <f>IF(B18331="","",INT(A18331))</f>
        <v/>
      </c>
      <c r="D18331">
        <f>IF(B18331="","",HOUR(A18331))</f>
        <v/>
      </c>
    </row>
    <row r="18332">
      <c r="A18332">
        <f>Input!A18332</f>
        <v/>
      </c>
      <c r="B18332">
        <f>IF(ISNUMBER(Input!B18332),IF(AND(Input!B18332&gt;=20,Input!B18332&lt;=700),Input!B18332,""),"")</f>
        <v/>
      </c>
      <c r="C18332">
        <f>IF(B18332="","",INT(A18332))</f>
        <v/>
      </c>
      <c r="D18332">
        <f>IF(B18332="","",HOUR(A18332))</f>
        <v/>
      </c>
    </row>
    <row r="18333">
      <c r="A18333">
        <f>Input!A18333</f>
        <v/>
      </c>
      <c r="B18333">
        <f>IF(ISNUMBER(Input!B18333),IF(AND(Input!B18333&gt;=20,Input!B18333&lt;=700),Input!B18333,""),"")</f>
        <v/>
      </c>
      <c r="C18333">
        <f>IF(B18333="","",INT(A18333))</f>
        <v/>
      </c>
      <c r="D18333">
        <f>IF(B18333="","",HOUR(A18333))</f>
        <v/>
      </c>
    </row>
    <row r="18334">
      <c r="A18334">
        <f>Input!A18334</f>
        <v/>
      </c>
      <c r="B18334">
        <f>IF(ISNUMBER(Input!B18334),IF(AND(Input!B18334&gt;=20,Input!B18334&lt;=700),Input!B18334,""),"")</f>
        <v/>
      </c>
      <c r="C18334">
        <f>IF(B18334="","",INT(A18334))</f>
        <v/>
      </c>
      <c r="D18334">
        <f>IF(B18334="","",HOUR(A18334))</f>
        <v/>
      </c>
    </row>
    <row r="18335">
      <c r="A18335">
        <f>Input!A18335</f>
        <v/>
      </c>
      <c r="B18335">
        <f>IF(ISNUMBER(Input!B18335),IF(AND(Input!B18335&gt;=20,Input!B18335&lt;=700),Input!B18335,""),"")</f>
        <v/>
      </c>
      <c r="C18335">
        <f>IF(B18335="","",INT(A18335))</f>
        <v/>
      </c>
      <c r="D18335">
        <f>IF(B18335="","",HOUR(A18335))</f>
        <v/>
      </c>
    </row>
    <row r="18336">
      <c r="A18336">
        <f>Input!A18336</f>
        <v/>
      </c>
      <c r="B18336">
        <f>IF(ISNUMBER(Input!B18336),IF(AND(Input!B18336&gt;=20,Input!B18336&lt;=700),Input!B18336,""),"")</f>
        <v/>
      </c>
      <c r="C18336">
        <f>IF(B18336="","",INT(A18336))</f>
        <v/>
      </c>
      <c r="D18336">
        <f>IF(B18336="","",HOUR(A18336))</f>
        <v/>
      </c>
    </row>
    <row r="18337">
      <c r="A18337">
        <f>Input!A18337</f>
        <v/>
      </c>
      <c r="B18337">
        <f>IF(ISNUMBER(Input!B18337),IF(AND(Input!B18337&gt;=20,Input!B18337&lt;=700),Input!B18337,""),"")</f>
        <v/>
      </c>
      <c r="C18337">
        <f>IF(B18337="","",INT(A18337))</f>
        <v/>
      </c>
      <c r="D18337">
        <f>IF(B18337="","",HOUR(A18337))</f>
        <v/>
      </c>
    </row>
    <row r="18338">
      <c r="A18338">
        <f>Input!A18338</f>
        <v/>
      </c>
      <c r="B18338">
        <f>IF(ISNUMBER(Input!B18338),IF(AND(Input!B18338&gt;=20,Input!B18338&lt;=700),Input!B18338,""),"")</f>
        <v/>
      </c>
      <c r="C18338">
        <f>IF(B18338="","",INT(A18338))</f>
        <v/>
      </c>
      <c r="D18338">
        <f>IF(B18338="","",HOUR(A18338))</f>
        <v/>
      </c>
    </row>
    <row r="18339">
      <c r="A18339">
        <f>Input!A18339</f>
        <v/>
      </c>
      <c r="B18339">
        <f>IF(ISNUMBER(Input!B18339),IF(AND(Input!B18339&gt;=20,Input!B18339&lt;=700),Input!B18339,""),"")</f>
        <v/>
      </c>
      <c r="C18339">
        <f>IF(B18339="","",INT(A18339))</f>
        <v/>
      </c>
      <c r="D18339">
        <f>IF(B18339="","",HOUR(A18339))</f>
        <v/>
      </c>
    </row>
    <row r="18340">
      <c r="A18340">
        <f>Input!A18340</f>
        <v/>
      </c>
      <c r="B18340">
        <f>IF(ISNUMBER(Input!B18340),IF(AND(Input!B18340&gt;=20,Input!B18340&lt;=700),Input!B18340,""),"")</f>
        <v/>
      </c>
      <c r="C18340">
        <f>IF(B18340="","",INT(A18340))</f>
        <v/>
      </c>
      <c r="D18340">
        <f>IF(B18340="","",HOUR(A18340))</f>
        <v/>
      </c>
    </row>
    <row r="18341">
      <c r="A18341">
        <f>Input!A18341</f>
        <v/>
      </c>
      <c r="B18341">
        <f>IF(ISNUMBER(Input!B18341),IF(AND(Input!B18341&gt;=20,Input!B18341&lt;=700),Input!B18341,""),"")</f>
        <v/>
      </c>
      <c r="C18341">
        <f>IF(B18341="","",INT(A18341))</f>
        <v/>
      </c>
      <c r="D18341">
        <f>IF(B18341="","",HOUR(A18341))</f>
        <v/>
      </c>
    </row>
    <row r="18342">
      <c r="A18342">
        <f>Input!A18342</f>
        <v/>
      </c>
      <c r="B18342">
        <f>IF(ISNUMBER(Input!B18342),IF(AND(Input!B18342&gt;=20,Input!B18342&lt;=700),Input!B18342,""),"")</f>
        <v/>
      </c>
      <c r="C18342">
        <f>IF(B18342="","",INT(A18342))</f>
        <v/>
      </c>
      <c r="D18342">
        <f>IF(B18342="","",HOUR(A18342))</f>
        <v/>
      </c>
    </row>
    <row r="18343">
      <c r="A18343">
        <f>Input!A18343</f>
        <v/>
      </c>
      <c r="B18343">
        <f>IF(ISNUMBER(Input!B18343),IF(AND(Input!B18343&gt;=20,Input!B18343&lt;=700),Input!B18343,""),"")</f>
        <v/>
      </c>
      <c r="C18343">
        <f>IF(B18343="","",INT(A18343))</f>
        <v/>
      </c>
      <c r="D18343">
        <f>IF(B18343="","",HOUR(A18343))</f>
        <v/>
      </c>
    </row>
    <row r="18344">
      <c r="A18344">
        <f>Input!A18344</f>
        <v/>
      </c>
      <c r="B18344">
        <f>IF(ISNUMBER(Input!B18344),IF(AND(Input!B18344&gt;=20,Input!B18344&lt;=700),Input!B18344,""),"")</f>
        <v/>
      </c>
      <c r="C18344">
        <f>IF(B18344="","",INT(A18344))</f>
        <v/>
      </c>
      <c r="D18344">
        <f>IF(B18344="","",HOUR(A18344))</f>
        <v/>
      </c>
    </row>
    <row r="18345">
      <c r="A18345">
        <f>Input!A18345</f>
        <v/>
      </c>
      <c r="B18345">
        <f>IF(ISNUMBER(Input!B18345),IF(AND(Input!B18345&gt;=20,Input!B18345&lt;=700),Input!B18345,""),"")</f>
        <v/>
      </c>
      <c r="C18345">
        <f>IF(B18345="","",INT(A18345))</f>
        <v/>
      </c>
      <c r="D18345">
        <f>IF(B18345="","",HOUR(A18345))</f>
        <v/>
      </c>
    </row>
    <row r="18346">
      <c r="A18346">
        <f>Input!A18346</f>
        <v/>
      </c>
      <c r="B18346">
        <f>IF(ISNUMBER(Input!B18346),IF(AND(Input!B18346&gt;=20,Input!B18346&lt;=700),Input!B18346,""),"")</f>
        <v/>
      </c>
      <c r="C18346">
        <f>IF(B18346="","",INT(A18346))</f>
        <v/>
      </c>
      <c r="D18346">
        <f>IF(B18346="","",HOUR(A18346))</f>
        <v/>
      </c>
    </row>
    <row r="18347">
      <c r="A18347">
        <f>Input!A18347</f>
        <v/>
      </c>
      <c r="B18347">
        <f>IF(ISNUMBER(Input!B18347),IF(AND(Input!B18347&gt;=20,Input!B18347&lt;=700),Input!B18347,""),"")</f>
        <v/>
      </c>
      <c r="C18347">
        <f>IF(B18347="","",INT(A18347))</f>
        <v/>
      </c>
      <c r="D18347">
        <f>IF(B18347="","",HOUR(A18347))</f>
        <v/>
      </c>
    </row>
    <row r="18348">
      <c r="A18348">
        <f>Input!A18348</f>
        <v/>
      </c>
      <c r="B18348">
        <f>IF(ISNUMBER(Input!B18348),IF(AND(Input!B18348&gt;=20,Input!B18348&lt;=700),Input!B18348,""),"")</f>
        <v/>
      </c>
      <c r="C18348">
        <f>IF(B18348="","",INT(A18348))</f>
        <v/>
      </c>
      <c r="D18348">
        <f>IF(B18348="","",HOUR(A18348))</f>
        <v/>
      </c>
    </row>
    <row r="18349">
      <c r="A18349">
        <f>Input!A18349</f>
        <v/>
      </c>
      <c r="B18349">
        <f>IF(ISNUMBER(Input!B18349),IF(AND(Input!B18349&gt;=20,Input!B18349&lt;=700),Input!B18349,""),"")</f>
        <v/>
      </c>
      <c r="C18349">
        <f>IF(B18349="","",INT(A18349))</f>
        <v/>
      </c>
      <c r="D18349">
        <f>IF(B18349="","",HOUR(A18349))</f>
        <v/>
      </c>
    </row>
    <row r="18350">
      <c r="A18350">
        <f>Input!A18350</f>
        <v/>
      </c>
      <c r="B18350">
        <f>IF(ISNUMBER(Input!B18350),IF(AND(Input!B18350&gt;=20,Input!B18350&lt;=700),Input!B18350,""),"")</f>
        <v/>
      </c>
      <c r="C18350">
        <f>IF(B18350="","",INT(A18350))</f>
        <v/>
      </c>
      <c r="D18350">
        <f>IF(B18350="","",HOUR(A18350))</f>
        <v/>
      </c>
    </row>
    <row r="18351">
      <c r="A18351">
        <f>Input!A18351</f>
        <v/>
      </c>
      <c r="B18351">
        <f>IF(ISNUMBER(Input!B18351),IF(AND(Input!B18351&gt;=20,Input!B18351&lt;=700),Input!B18351,""),"")</f>
        <v/>
      </c>
      <c r="C18351">
        <f>IF(B18351="","",INT(A18351))</f>
        <v/>
      </c>
      <c r="D18351">
        <f>IF(B18351="","",HOUR(A18351))</f>
        <v/>
      </c>
    </row>
    <row r="18352">
      <c r="A18352">
        <f>Input!A18352</f>
        <v/>
      </c>
      <c r="B18352">
        <f>IF(ISNUMBER(Input!B18352),IF(AND(Input!B18352&gt;=20,Input!B18352&lt;=700),Input!B18352,""),"")</f>
        <v/>
      </c>
      <c r="C18352">
        <f>IF(B18352="","",INT(A18352))</f>
        <v/>
      </c>
      <c r="D18352">
        <f>IF(B18352="","",HOUR(A18352))</f>
        <v/>
      </c>
    </row>
    <row r="18353">
      <c r="A18353">
        <f>Input!A18353</f>
        <v/>
      </c>
      <c r="B18353">
        <f>IF(ISNUMBER(Input!B18353),IF(AND(Input!B18353&gt;=20,Input!B18353&lt;=700),Input!B18353,""),"")</f>
        <v/>
      </c>
      <c r="C18353">
        <f>IF(B18353="","",INT(A18353))</f>
        <v/>
      </c>
      <c r="D18353">
        <f>IF(B18353="","",HOUR(A18353))</f>
        <v/>
      </c>
    </row>
    <row r="18354">
      <c r="A18354">
        <f>Input!A18354</f>
        <v/>
      </c>
      <c r="B18354">
        <f>IF(ISNUMBER(Input!B18354),IF(AND(Input!B18354&gt;=20,Input!B18354&lt;=700),Input!B18354,""),"")</f>
        <v/>
      </c>
      <c r="C18354">
        <f>IF(B18354="","",INT(A18354))</f>
        <v/>
      </c>
      <c r="D18354">
        <f>IF(B18354="","",HOUR(A18354))</f>
        <v/>
      </c>
    </row>
    <row r="18355">
      <c r="A18355">
        <f>Input!A18355</f>
        <v/>
      </c>
      <c r="B18355">
        <f>IF(ISNUMBER(Input!B18355),IF(AND(Input!B18355&gt;=20,Input!B18355&lt;=700),Input!B18355,""),"")</f>
        <v/>
      </c>
      <c r="C18355">
        <f>IF(B18355="","",INT(A18355))</f>
        <v/>
      </c>
      <c r="D18355">
        <f>IF(B18355="","",HOUR(A18355))</f>
        <v/>
      </c>
    </row>
    <row r="18356">
      <c r="A18356">
        <f>Input!A18356</f>
        <v/>
      </c>
      <c r="B18356">
        <f>IF(ISNUMBER(Input!B18356),IF(AND(Input!B18356&gt;=20,Input!B18356&lt;=700),Input!B18356,""),"")</f>
        <v/>
      </c>
      <c r="C18356">
        <f>IF(B18356="","",INT(A18356))</f>
        <v/>
      </c>
      <c r="D18356">
        <f>IF(B18356="","",HOUR(A18356))</f>
        <v/>
      </c>
    </row>
    <row r="18357">
      <c r="A18357">
        <f>Input!A18357</f>
        <v/>
      </c>
      <c r="B18357">
        <f>IF(ISNUMBER(Input!B18357),IF(AND(Input!B18357&gt;=20,Input!B18357&lt;=700),Input!B18357,""),"")</f>
        <v/>
      </c>
      <c r="C18357">
        <f>IF(B18357="","",INT(A18357))</f>
        <v/>
      </c>
      <c r="D18357">
        <f>IF(B18357="","",HOUR(A18357))</f>
        <v/>
      </c>
    </row>
    <row r="18358">
      <c r="A18358">
        <f>Input!A18358</f>
        <v/>
      </c>
      <c r="B18358">
        <f>IF(ISNUMBER(Input!B18358),IF(AND(Input!B18358&gt;=20,Input!B18358&lt;=700),Input!B18358,""),"")</f>
        <v/>
      </c>
      <c r="C18358">
        <f>IF(B18358="","",INT(A18358))</f>
        <v/>
      </c>
      <c r="D18358">
        <f>IF(B18358="","",HOUR(A18358))</f>
        <v/>
      </c>
    </row>
    <row r="18359">
      <c r="A18359">
        <f>Input!A18359</f>
        <v/>
      </c>
      <c r="B18359">
        <f>IF(ISNUMBER(Input!B18359),IF(AND(Input!B18359&gt;=20,Input!B18359&lt;=700),Input!B18359,""),"")</f>
        <v/>
      </c>
      <c r="C18359">
        <f>IF(B18359="","",INT(A18359))</f>
        <v/>
      </c>
      <c r="D18359">
        <f>IF(B18359="","",HOUR(A18359))</f>
        <v/>
      </c>
    </row>
    <row r="18360">
      <c r="A18360">
        <f>Input!A18360</f>
        <v/>
      </c>
      <c r="B18360">
        <f>IF(ISNUMBER(Input!B18360),IF(AND(Input!B18360&gt;=20,Input!B18360&lt;=700),Input!B18360,""),"")</f>
        <v/>
      </c>
      <c r="C18360">
        <f>IF(B18360="","",INT(A18360))</f>
        <v/>
      </c>
      <c r="D18360">
        <f>IF(B18360="","",HOUR(A18360))</f>
        <v/>
      </c>
    </row>
    <row r="18361">
      <c r="A18361">
        <f>Input!A18361</f>
        <v/>
      </c>
      <c r="B18361">
        <f>IF(ISNUMBER(Input!B18361),IF(AND(Input!B18361&gt;=20,Input!B18361&lt;=700),Input!B18361,""),"")</f>
        <v/>
      </c>
      <c r="C18361">
        <f>IF(B18361="","",INT(A18361))</f>
        <v/>
      </c>
      <c r="D18361">
        <f>IF(B18361="","",HOUR(A18361))</f>
        <v/>
      </c>
    </row>
    <row r="18362">
      <c r="A18362">
        <f>Input!A18362</f>
        <v/>
      </c>
      <c r="B18362">
        <f>IF(ISNUMBER(Input!B18362),IF(AND(Input!B18362&gt;=20,Input!B18362&lt;=700),Input!B18362,""),"")</f>
        <v/>
      </c>
      <c r="C18362">
        <f>IF(B18362="","",INT(A18362))</f>
        <v/>
      </c>
      <c r="D18362">
        <f>IF(B18362="","",HOUR(A18362))</f>
        <v/>
      </c>
    </row>
    <row r="18363">
      <c r="A18363">
        <f>Input!A18363</f>
        <v/>
      </c>
      <c r="B18363">
        <f>IF(ISNUMBER(Input!B18363),IF(AND(Input!B18363&gt;=20,Input!B18363&lt;=700),Input!B18363,""),"")</f>
        <v/>
      </c>
      <c r="C18363">
        <f>IF(B18363="","",INT(A18363))</f>
        <v/>
      </c>
      <c r="D18363">
        <f>IF(B18363="","",HOUR(A18363))</f>
        <v/>
      </c>
    </row>
    <row r="18364">
      <c r="A18364">
        <f>Input!A18364</f>
        <v/>
      </c>
      <c r="B18364">
        <f>IF(ISNUMBER(Input!B18364),IF(AND(Input!B18364&gt;=20,Input!B18364&lt;=700),Input!B18364,""),"")</f>
        <v/>
      </c>
      <c r="C18364">
        <f>IF(B18364="","",INT(A18364))</f>
        <v/>
      </c>
      <c r="D18364">
        <f>IF(B18364="","",HOUR(A18364))</f>
        <v/>
      </c>
    </row>
    <row r="18365">
      <c r="A18365">
        <f>Input!A18365</f>
        <v/>
      </c>
      <c r="B18365">
        <f>IF(ISNUMBER(Input!B18365),IF(AND(Input!B18365&gt;=20,Input!B18365&lt;=700),Input!B18365,""),"")</f>
        <v/>
      </c>
      <c r="C18365">
        <f>IF(B18365="","",INT(A18365))</f>
        <v/>
      </c>
      <c r="D18365">
        <f>IF(B18365="","",HOUR(A18365))</f>
        <v/>
      </c>
    </row>
    <row r="18366">
      <c r="A18366">
        <f>Input!A18366</f>
        <v/>
      </c>
      <c r="B18366">
        <f>IF(ISNUMBER(Input!B18366),IF(AND(Input!B18366&gt;=20,Input!B18366&lt;=700),Input!B18366,""),"")</f>
        <v/>
      </c>
      <c r="C18366">
        <f>IF(B18366="","",INT(A18366))</f>
        <v/>
      </c>
      <c r="D18366">
        <f>IF(B18366="","",HOUR(A18366))</f>
        <v/>
      </c>
    </row>
    <row r="18367">
      <c r="A18367">
        <f>Input!A18367</f>
        <v/>
      </c>
      <c r="B18367">
        <f>IF(ISNUMBER(Input!B18367),IF(AND(Input!B18367&gt;=20,Input!B18367&lt;=700),Input!B18367,""),"")</f>
        <v/>
      </c>
      <c r="C18367">
        <f>IF(B18367="","",INT(A18367))</f>
        <v/>
      </c>
      <c r="D18367">
        <f>IF(B18367="","",HOUR(A18367))</f>
        <v/>
      </c>
    </row>
    <row r="18368">
      <c r="A18368">
        <f>Input!A18368</f>
        <v/>
      </c>
      <c r="B18368">
        <f>IF(ISNUMBER(Input!B18368),IF(AND(Input!B18368&gt;=20,Input!B18368&lt;=700),Input!B18368,""),"")</f>
        <v/>
      </c>
      <c r="C18368">
        <f>IF(B18368="","",INT(A18368))</f>
        <v/>
      </c>
      <c r="D18368">
        <f>IF(B18368="","",HOUR(A18368))</f>
        <v/>
      </c>
    </row>
    <row r="18369">
      <c r="A18369">
        <f>Input!A18369</f>
        <v/>
      </c>
      <c r="B18369">
        <f>IF(ISNUMBER(Input!B18369),IF(AND(Input!B18369&gt;=20,Input!B18369&lt;=700),Input!B18369,""),"")</f>
        <v/>
      </c>
      <c r="C18369">
        <f>IF(B18369="","",INT(A18369))</f>
        <v/>
      </c>
      <c r="D18369">
        <f>IF(B18369="","",HOUR(A18369))</f>
        <v/>
      </c>
    </row>
    <row r="18370">
      <c r="A18370">
        <f>Input!A18370</f>
        <v/>
      </c>
      <c r="B18370">
        <f>IF(ISNUMBER(Input!B18370),IF(AND(Input!B18370&gt;=20,Input!B18370&lt;=700),Input!B18370,""),"")</f>
        <v/>
      </c>
      <c r="C18370">
        <f>IF(B18370="","",INT(A18370))</f>
        <v/>
      </c>
      <c r="D18370">
        <f>IF(B18370="","",HOUR(A18370))</f>
        <v/>
      </c>
    </row>
    <row r="18371">
      <c r="A18371">
        <f>Input!A18371</f>
        <v/>
      </c>
      <c r="B18371">
        <f>IF(ISNUMBER(Input!B18371),IF(AND(Input!B18371&gt;=20,Input!B18371&lt;=700),Input!B18371,""),"")</f>
        <v/>
      </c>
      <c r="C18371">
        <f>IF(B18371="","",INT(A18371))</f>
        <v/>
      </c>
      <c r="D18371">
        <f>IF(B18371="","",HOUR(A18371))</f>
        <v/>
      </c>
    </row>
    <row r="18372">
      <c r="A18372">
        <f>Input!A18372</f>
        <v/>
      </c>
      <c r="B18372">
        <f>IF(ISNUMBER(Input!B18372),IF(AND(Input!B18372&gt;=20,Input!B18372&lt;=700),Input!B18372,""),"")</f>
        <v/>
      </c>
      <c r="C18372">
        <f>IF(B18372="","",INT(A18372))</f>
        <v/>
      </c>
      <c r="D18372">
        <f>IF(B18372="","",HOUR(A18372))</f>
        <v/>
      </c>
    </row>
    <row r="18373">
      <c r="A18373">
        <f>Input!A18373</f>
        <v/>
      </c>
      <c r="B18373">
        <f>IF(ISNUMBER(Input!B18373),IF(AND(Input!B18373&gt;=20,Input!B18373&lt;=700),Input!B18373,""),"")</f>
        <v/>
      </c>
      <c r="C18373">
        <f>IF(B18373="","",INT(A18373))</f>
        <v/>
      </c>
      <c r="D18373">
        <f>IF(B18373="","",HOUR(A18373))</f>
        <v/>
      </c>
    </row>
    <row r="18374">
      <c r="A18374">
        <f>Input!A18374</f>
        <v/>
      </c>
      <c r="B18374">
        <f>IF(ISNUMBER(Input!B18374),IF(AND(Input!B18374&gt;=20,Input!B18374&lt;=700),Input!B18374,""),"")</f>
        <v/>
      </c>
      <c r="C18374">
        <f>IF(B18374="","",INT(A18374))</f>
        <v/>
      </c>
      <c r="D18374">
        <f>IF(B18374="","",HOUR(A18374))</f>
        <v/>
      </c>
    </row>
    <row r="18375">
      <c r="A18375">
        <f>Input!A18375</f>
        <v/>
      </c>
      <c r="B18375">
        <f>IF(ISNUMBER(Input!B18375),IF(AND(Input!B18375&gt;=20,Input!B18375&lt;=700),Input!B18375,""),"")</f>
        <v/>
      </c>
      <c r="C18375">
        <f>IF(B18375="","",INT(A18375))</f>
        <v/>
      </c>
      <c r="D18375">
        <f>IF(B18375="","",HOUR(A18375))</f>
        <v/>
      </c>
    </row>
    <row r="18376">
      <c r="A18376">
        <f>Input!A18376</f>
        <v/>
      </c>
      <c r="B18376">
        <f>IF(ISNUMBER(Input!B18376),IF(AND(Input!B18376&gt;=20,Input!B18376&lt;=700),Input!B18376,""),"")</f>
        <v/>
      </c>
      <c r="C18376">
        <f>IF(B18376="","",INT(A18376))</f>
        <v/>
      </c>
      <c r="D18376">
        <f>IF(B18376="","",HOUR(A18376))</f>
        <v/>
      </c>
    </row>
    <row r="18377">
      <c r="A18377">
        <f>Input!A18377</f>
        <v/>
      </c>
      <c r="B18377">
        <f>IF(ISNUMBER(Input!B18377),IF(AND(Input!B18377&gt;=20,Input!B18377&lt;=700),Input!B18377,""),"")</f>
        <v/>
      </c>
      <c r="C18377">
        <f>IF(B18377="","",INT(A18377))</f>
        <v/>
      </c>
      <c r="D18377">
        <f>IF(B18377="","",HOUR(A18377))</f>
        <v/>
      </c>
    </row>
    <row r="18378">
      <c r="A18378">
        <f>Input!A18378</f>
        <v/>
      </c>
      <c r="B18378">
        <f>IF(ISNUMBER(Input!B18378),IF(AND(Input!B18378&gt;=20,Input!B18378&lt;=700),Input!B18378,""),"")</f>
        <v/>
      </c>
      <c r="C18378">
        <f>IF(B18378="","",INT(A18378))</f>
        <v/>
      </c>
      <c r="D18378">
        <f>IF(B18378="","",HOUR(A18378))</f>
        <v/>
      </c>
    </row>
    <row r="18379">
      <c r="A18379">
        <f>Input!A18379</f>
        <v/>
      </c>
      <c r="B18379">
        <f>IF(ISNUMBER(Input!B18379),IF(AND(Input!B18379&gt;=20,Input!B18379&lt;=700),Input!B18379,""),"")</f>
        <v/>
      </c>
      <c r="C18379">
        <f>IF(B18379="","",INT(A18379))</f>
        <v/>
      </c>
      <c r="D18379">
        <f>IF(B18379="","",HOUR(A18379))</f>
        <v/>
      </c>
    </row>
    <row r="18380">
      <c r="A18380">
        <f>Input!A18380</f>
        <v/>
      </c>
      <c r="B18380">
        <f>IF(ISNUMBER(Input!B18380),IF(AND(Input!B18380&gt;=20,Input!B18380&lt;=700),Input!B18380,""),"")</f>
        <v/>
      </c>
      <c r="C18380">
        <f>IF(B18380="","",INT(A18380))</f>
        <v/>
      </c>
      <c r="D18380">
        <f>IF(B18380="","",HOUR(A18380))</f>
        <v/>
      </c>
    </row>
    <row r="18381">
      <c r="A18381">
        <f>Input!A18381</f>
        <v/>
      </c>
      <c r="B18381">
        <f>IF(ISNUMBER(Input!B18381),IF(AND(Input!B18381&gt;=20,Input!B18381&lt;=700),Input!B18381,""),"")</f>
        <v/>
      </c>
      <c r="C18381">
        <f>IF(B18381="","",INT(A18381))</f>
        <v/>
      </c>
      <c r="D18381">
        <f>IF(B18381="","",HOUR(A18381))</f>
        <v/>
      </c>
    </row>
    <row r="18382">
      <c r="A18382">
        <f>Input!A18382</f>
        <v/>
      </c>
      <c r="B18382">
        <f>IF(ISNUMBER(Input!B18382),IF(AND(Input!B18382&gt;=20,Input!B18382&lt;=700),Input!B18382,""),"")</f>
        <v/>
      </c>
      <c r="C18382">
        <f>IF(B18382="","",INT(A18382))</f>
        <v/>
      </c>
      <c r="D18382">
        <f>IF(B18382="","",HOUR(A18382))</f>
        <v/>
      </c>
    </row>
    <row r="18383">
      <c r="A18383">
        <f>Input!A18383</f>
        <v/>
      </c>
      <c r="B18383">
        <f>IF(ISNUMBER(Input!B18383),IF(AND(Input!B18383&gt;=20,Input!B18383&lt;=700),Input!B18383,""),"")</f>
        <v/>
      </c>
      <c r="C18383">
        <f>IF(B18383="","",INT(A18383))</f>
        <v/>
      </c>
      <c r="D18383">
        <f>IF(B18383="","",HOUR(A18383))</f>
        <v/>
      </c>
    </row>
    <row r="18384">
      <c r="A18384">
        <f>Input!A18384</f>
        <v/>
      </c>
      <c r="B18384">
        <f>IF(ISNUMBER(Input!B18384),IF(AND(Input!B18384&gt;=20,Input!B18384&lt;=700),Input!B18384,""),"")</f>
        <v/>
      </c>
      <c r="C18384">
        <f>IF(B18384="","",INT(A18384))</f>
        <v/>
      </c>
      <c r="D18384">
        <f>IF(B18384="","",HOUR(A18384))</f>
        <v/>
      </c>
    </row>
    <row r="18385">
      <c r="A18385">
        <f>Input!A18385</f>
        <v/>
      </c>
      <c r="B18385">
        <f>IF(ISNUMBER(Input!B18385),IF(AND(Input!B18385&gt;=20,Input!B18385&lt;=700),Input!B18385,""),"")</f>
        <v/>
      </c>
      <c r="C18385">
        <f>IF(B18385="","",INT(A18385))</f>
        <v/>
      </c>
      <c r="D18385">
        <f>IF(B18385="","",HOUR(A18385))</f>
        <v/>
      </c>
    </row>
    <row r="18386">
      <c r="A18386">
        <f>Input!A18386</f>
        <v/>
      </c>
      <c r="B18386">
        <f>IF(ISNUMBER(Input!B18386),IF(AND(Input!B18386&gt;=20,Input!B18386&lt;=700),Input!B18386,""),"")</f>
        <v/>
      </c>
      <c r="C18386">
        <f>IF(B18386="","",INT(A18386))</f>
        <v/>
      </c>
      <c r="D18386">
        <f>IF(B18386="","",HOUR(A18386))</f>
        <v/>
      </c>
    </row>
    <row r="18387">
      <c r="A18387">
        <f>Input!A18387</f>
        <v/>
      </c>
      <c r="B18387">
        <f>IF(ISNUMBER(Input!B18387),IF(AND(Input!B18387&gt;=20,Input!B18387&lt;=700),Input!B18387,""),"")</f>
        <v/>
      </c>
      <c r="C18387">
        <f>IF(B18387="","",INT(A18387))</f>
        <v/>
      </c>
      <c r="D18387">
        <f>IF(B18387="","",HOUR(A18387))</f>
        <v/>
      </c>
    </row>
    <row r="18388">
      <c r="A18388">
        <f>Input!A18388</f>
        <v/>
      </c>
      <c r="B18388">
        <f>IF(ISNUMBER(Input!B18388),IF(AND(Input!B18388&gt;=20,Input!B18388&lt;=700),Input!B18388,""),"")</f>
        <v/>
      </c>
      <c r="C18388">
        <f>IF(B18388="","",INT(A18388))</f>
        <v/>
      </c>
      <c r="D18388">
        <f>IF(B18388="","",HOUR(A18388))</f>
        <v/>
      </c>
    </row>
    <row r="18389">
      <c r="A18389">
        <f>Input!A18389</f>
        <v/>
      </c>
      <c r="B18389">
        <f>IF(ISNUMBER(Input!B18389),IF(AND(Input!B18389&gt;=20,Input!B18389&lt;=700),Input!B18389,""),"")</f>
        <v/>
      </c>
      <c r="C18389">
        <f>IF(B18389="","",INT(A18389))</f>
        <v/>
      </c>
      <c r="D18389">
        <f>IF(B18389="","",HOUR(A18389))</f>
        <v/>
      </c>
    </row>
    <row r="18390">
      <c r="A18390">
        <f>Input!A18390</f>
        <v/>
      </c>
      <c r="B18390">
        <f>IF(ISNUMBER(Input!B18390),IF(AND(Input!B18390&gt;=20,Input!B18390&lt;=700),Input!B18390,""),"")</f>
        <v/>
      </c>
      <c r="C18390">
        <f>IF(B18390="","",INT(A18390))</f>
        <v/>
      </c>
      <c r="D18390">
        <f>IF(B18390="","",HOUR(A18390))</f>
        <v/>
      </c>
    </row>
    <row r="18391">
      <c r="A18391">
        <f>Input!A18391</f>
        <v/>
      </c>
      <c r="B18391">
        <f>IF(ISNUMBER(Input!B18391),IF(AND(Input!B18391&gt;=20,Input!B18391&lt;=700),Input!B18391,""),"")</f>
        <v/>
      </c>
      <c r="C18391">
        <f>IF(B18391="","",INT(A18391))</f>
        <v/>
      </c>
      <c r="D18391">
        <f>IF(B18391="","",HOUR(A18391))</f>
        <v/>
      </c>
    </row>
    <row r="18392">
      <c r="A18392">
        <f>Input!A18392</f>
        <v/>
      </c>
      <c r="B18392">
        <f>IF(ISNUMBER(Input!B18392),IF(AND(Input!B18392&gt;=20,Input!B18392&lt;=700),Input!B18392,""),"")</f>
        <v/>
      </c>
      <c r="C18392">
        <f>IF(B18392="","",INT(A18392))</f>
        <v/>
      </c>
      <c r="D18392">
        <f>IF(B18392="","",HOUR(A18392))</f>
        <v/>
      </c>
    </row>
    <row r="18393">
      <c r="A18393">
        <f>Input!A18393</f>
        <v/>
      </c>
      <c r="B18393">
        <f>IF(ISNUMBER(Input!B18393),IF(AND(Input!B18393&gt;=20,Input!B18393&lt;=700),Input!B18393,""),"")</f>
        <v/>
      </c>
      <c r="C18393">
        <f>IF(B18393="","",INT(A18393))</f>
        <v/>
      </c>
      <c r="D18393">
        <f>IF(B18393="","",HOUR(A18393))</f>
        <v/>
      </c>
    </row>
    <row r="18394">
      <c r="A18394">
        <f>Input!A18394</f>
        <v/>
      </c>
      <c r="B18394">
        <f>IF(ISNUMBER(Input!B18394),IF(AND(Input!B18394&gt;=20,Input!B18394&lt;=700),Input!B18394,""),"")</f>
        <v/>
      </c>
      <c r="C18394">
        <f>IF(B18394="","",INT(A18394))</f>
        <v/>
      </c>
      <c r="D18394">
        <f>IF(B18394="","",HOUR(A18394))</f>
        <v/>
      </c>
    </row>
    <row r="18395">
      <c r="A18395">
        <f>Input!A18395</f>
        <v/>
      </c>
      <c r="B18395">
        <f>IF(ISNUMBER(Input!B18395),IF(AND(Input!B18395&gt;=20,Input!B18395&lt;=700),Input!B18395,""),"")</f>
        <v/>
      </c>
      <c r="C18395">
        <f>IF(B18395="","",INT(A18395))</f>
        <v/>
      </c>
      <c r="D18395">
        <f>IF(B18395="","",HOUR(A18395))</f>
        <v/>
      </c>
    </row>
    <row r="18396">
      <c r="A18396">
        <f>Input!A18396</f>
        <v/>
      </c>
      <c r="B18396">
        <f>IF(ISNUMBER(Input!B18396),IF(AND(Input!B18396&gt;=20,Input!B18396&lt;=700),Input!B18396,""),"")</f>
        <v/>
      </c>
      <c r="C18396">
        <f>IF(B18396="","",INT(A18396))</f>
        <v/>
      </c>
      <c r="D18396">
        <f>IF(B18396="","",HOUR(A18396))</f>
        <v/>
      </c>
    </row>
    <row r="18397">
      <c r="A18397">
        <f>Input!A18397</f>
        <v/>
      </c>
      <c r="B18397">
        <f>IF(ISNUMBER(Input!B18397),IF(AND(Input!B18397&gt;=20,Input!B18397&lt;=700),Input!B18397,""),"")</f>
        <v/>
      </c>
      <c r="C18397">
        <f>IF(B18397="","",INT(A18397))</f>
        <v/>
      </c>
      <c r="D18397">
        <f>IF(B18397="","",HOUR(A18397))</f>
        <v/>
      </c>
    </row>
    <row r="18398">
      <c r="A18398">
        <f>Input!A18398</f>
        <v/>
      </c>
      <c r="B18398">
        <f>IF(ISNUMBER(Input!B18398),IF(AND(Input!B18398&gt;=20,Input!B18398&lt;=700),Input!B18398,""),"")</f>
        <v/>
      </c>
      <c r="C18398">
        <f>IF(B18398="","",INT(A18398))</f>
        <v/>
      </c>
      <c r="D18398">
        <f>IF(B18398="","",HOUR(A18398))</f>
        <v/>
      </c>
    </row>
    <row r="18399">
      <c r="A18399">
        <f>Input!A18399</f>
        <v/>
      </c>
      <c r="B18399">
        <f>IF(ISNUMBER(Input!B18399),IF(AND(Input!B18399&gt;=20,Input!B18399&lt;=700),Input!B18399,""),"")</f>
        <v/>
      </c>
      <c r="C18399">
        <f>IF(B18399="","",INT(A18399))</f>
        <v/>
      </c>
      <c r="D18399">
        <f>IF(B18399="","",HOUR(A18399))</f>
        <v/>
      </c>
    </row>
    <row r="18400">
      <c r="A18400">
        <f>Input!A18400</f>
        <v/>
      </c>
      <c r="B18400">
        <f>IF(ISNUMBER(Input!B18400),IF(AND(Input!B18400&gt;=20,Input!B18400&lt;=700),Input!B18400,""),"")</f>
        <v/>
      </c>
      <c r="C18400">
        <f>IF(B18400="","",INT(A18400))</f>
        <v/>
      </c>
      <c r="D18400">
        <f>IF(B18400="","",HOUR(A18400))</f>
        <v/>
      </c>
    </row>
    <row r="18401">
      <c r="A18401">
        <f>Input!A18401</f>
        <v/>
      </c>
      <c r="B18401">
        <f>IF(ISNUMBER(Input!B18401),IF(AND(Input!B18401&gt;=20,Input!B18401&lt;=700),Input!B18401,""),"")</f>
        <v/>
      </c>
      <c r="C18401">
        <f>IF(B18401="","",INT(A18401))</f>
        <v/>
      </c>
      <c r="D18401">
        <f>IF(B18401="","",HOUR(A18401))</f>
        <v/>
      </c>
    </row>
    <row r="18402">
      <c r="A18402">
        <f>Input!A18402</f>
        <v/>
      </c>
      <c r="B18402">
        <f>IF(ISNUMBER(Input!B18402),IF(AND(Input!B18402&gt;=20,Input!B18402&lt;=700),Input!B18402,""),"")</f>
        <v/>
      </c>
      <c r="C18402">
        <f>IF(B18402="","",INT(A18402))</f>
        <v/>
      </c>
      <c r="D18402">
        <f>IF(B18402="","",HOUR(A18402))</f>
        <v/>
      </c>
    </row>
    <row r="18403">
      <c r="A18403">
        <f>Input!A18403</f>
        <v/>
      </c>
      <c r="B18403">
        <f>IF(ISNUMBER(Input!B18403),IF(AND(Input!B18403&gt;=20,Input!B18403&lt;=700),Input!B18403,""),"")</f>
        <v/>
      </c>
      <c r="C18403">
        <f>IF(B18403="","",INT(A18403))</f>
        <v/>
      </c>
      <c r="D18403">
        <f>IF(B18403="","",HOUR(A18403))</f>
        <v/>
      </c>
    </row>
    <row r="18404">
      <c r="A18404">
        <f>Input!A18404</f>
        <v/>
      </c>
      <c r="B18404">
        <f>IF(ISNUMBER(Input!B18404),IF(AND(Input!B18404&gt;=20,Input!B18404&lt;=700),Input!B18404,""),"")</f>
        <v/>
      </c>
      <c r="C18404">
        <f>IF(B18404="","",INT(A18404))</f>
        <v/>
      </c>
      <c r="D18404">
        <f>IF(B18404="","",HOUR(A18404))</f>
        <v/>
      </c>
    </row>
    <row r="18405">
      <c r="A18405">
        <f>Input!A18405</f>
        <v/>
      </c>
      <c r="B18405">
        <f>IF(ISNUMBER(Input!B18405),IF(AND(Input!B18405&gt;=20,Input!B18405&lt;=700),Input!B18405,""),"")</f>
        <v/>
      </c>
      <c r="C18405">
        <f>IF(B18405="","",INT(A18405))</f>
        <v/>
      </c>
      <c r="D18405">
        <f>IF(B18405="","",HOUR(A18405))</f>
        <v/>
      </c>
    </row>
    <row r="18406">
      <c r="A18406">
        <f>Input!A18406</f>
        <v/>
      </c>
      <c r="B18406">
        <f>IF(ISNUMBER(Input!B18406),IF(AND(Input!B18406&gt;=20,Input!B18406&lt;=700),Input!B18406,""),"")</f>
        <v/>
      </c>
      <c r="C18406">
        <f>IF(B18406="","",INT(A18406))</f>
        <v/>
      </c>
      <c r="D18406">
        <f>IF(B18406="","",HOUR(A18406))</f>
        <v/>
      </c>
    </row>
    <row r="18407">
      <c r="A18407">
        <f>Input!A18407</f>
        <v/>
      </c>
      <c r="B18407">
        <f>IF(ISNUMBER(Input!B18407),IF(AND(Input!B18407&gt;=20,Input!B18407&lt;=700),Input!B18407,""),"")</f>
        <v/>
      </c>
      <c r="C18407">
        <f>IF(B18407="","",INT(A18407))</f>
        <v/>
      </c>
      <c r="D18407">
        <f>IF(B18407="","",HOUR(A18407))</f>
        <v/>
      </c>
    </row>
    <row r="18408">
      <c r="A18408">
        <f>Input!A18408</f>
        <v/>
      </c>
      <c r="B18408">
        <f>IF(ISNUMBER(Input!B18408),IF(AND(Input!B18408&gt;=20,Input!B18408&lt;=700),Input!B18408,""),"")</f>
        <v/>
      </c>
      <c r="C18408">
        <f>IF(B18408="","",INT(A18408))</f>
        <v/>
      </c>
      <c r="D18408">
        <f>IF(B18408="","",HOUR(A18408))</f>
        <v/>
      </c>
    </row>
    <row r="18409">
      <c r="A18409">
        <f>Input!A18409</f>
        <v/>
      </c>
      <c r="B18409">
        <f>IF(ISNUMBER(Input!B18409),IF(AND(Input!B18409&gt;=20,Input!B18409&lt;=700),Input!B18409,""),"")</f>
        <v/>
      </c>
      <c r="C18409">
        <f>IF(B18409="","",INT(A18409))</f>
        <v/>
      </c>
      <c r="D18409">
        <f>IF(B18409="","",HOUR(A18409))</f>
        <v/>
      </c>
    </row>
    <row r="18410">
      <c r="A18410">
        <f>Input!A18410</f>
        <v/>
      </c>
      <c r="B18410">
        <f>IF(ISNUMBER(Input!B18410),IF(AND(Input!B18410&gt;=20,Input!B18410&lt;=700),Input!B18410,""),"")</f>
        <v/>
      </c>
      <c r="C18410">
        <f>IF(B18410="","",INT(A18410))</f>
        <v/>
      </c>
      <c r="D18410">
        <f>IF(B18410="","",HOUR(A18410))</f>
        <v/>
      </c>
    </row>
    <row r="18411">
      <c r="A18411">
        <f>Input!A18411</f>
        <v/>
      </c>
      <c r="B18411">
        <f>IF(ISNUMBER(Input!B18411),IF(AND(Input!B18411&gt;=20,Input!B18411&lt;=700),Input!B18411,""),"")</f>
        <v/>
      </c>
      <c r="C18411">
        <f>IF(B18411="","",INT(A18411))</f>
        <v/>
      </c>
      <c r="D18411">
        <f>IF(B18411="","",HOUR(A18411))</f>
        <v/>
      </c>
    </row>
    <row r="18412">
      <c r="A18412">
        <f>Input!A18412</f>
        <v/>
      </c>
      <c r="B18412">
        <f>IF(ISNUMBER(Input!B18412),IF(AND(Input!B18412&gt;=20,Input!B18412&lt;=700),Input!B18412,""),"")</f>
        <v/>
      </c>
      <c r="C18412">
        <f>IF(B18412="","",INT(A18412))</f>
        <v/>
      </c>
      <c r="D18412">
        <f>IF(B18412="","",HOUR(A18412))</f>
        <v/>
      </c>
    </row>
    <row r="18413">
      <c r="A18413">
        <f>Input!A18413</f>
        <v/>
      </c>
      <c r="B18413">
        <f>IF(ISNUMBER(Input!B18413),IF(AND(Input!B18413&gt;=20,Input!B18413&lt;=700),Input!B18413,""),"")</f>
        <v/>
      </c>
      <c r="C18413">
        <f>IF(B18413="","",INT(A18413))</f>
        <v/>
      </c>
      <c r="D18413">
        <f>IF(B18413="","",HOUR(A18413))</f>
        <v/>
      </c>
    </row>
    <row r="18414">
      <c r="A18414">
        <f>Input!A18414</f>
        <v/>
      </c>
      <c r="B18414">
        <f>IF(ISNUMBER(Input!B18414),IF(AND(Input!B18414&gt;=20,Input!B18414&lt;=700),Input!B18414,""),"")</f>
        <v/>
      </c>
      <c r="C18414">
        <f>IF(B18414="","",INT(A18414))</f>
        <v/>
      </c>
      <c r="D18414">
        <f>IF(B18414="","",HOUR(A18414))</f>
        <v/>
      </c>
    </row>
    <row r="18415">
      <c r="A18415">
        <f>Input!A18415</f>
        <v/>
      </c>
      <c r="B18415">
        <f>IF(ISNUMBER(Input!B18415),IF(AND(Input!B18415&gt;=20,Input!B18415&lt;=700),Input!B18415,""),"")</f>
        <v/>
      </c>
      <c r="C18415">
        <f>IF(B18415="","",INT(A18415))</f>
        <v/>
      </c>
      <c r="D18415">
        <f>IF(B18415="","",HOUR(A18415))</f>
        <v/>
      </c>
    </row>
    <row r="18416">
      <c r="A18416">
        <f>Input!A18416</f>
        <v/>
      </c>
      <c r="B18416">
        <f>IF(ISNUMBER(Input!B18416),IF(AND(Input!B18416&gt;=20,Input!B18416&lt;=700),Input!B18416,""),"")</f>
        <v/>
      </c>
      <c r="C18416">
        <f>IF(B18416="","",INT(A18416))</f>
        <v/>
      </c>
      <c r="D18416">
        <f>IF(B18416="","",HOUR(A18416))</f>
        <v/>
      </c>
    </row>
    <row r="18417">
      <c r="A18417">
        <f>Input!A18417</f>
        <v/>
      </c>
      <c r="B18417">
        <f>IF(ISNUMBER(Input!B18417),IF(AND(Input!B18417&gt;=20,Input!B18417&lt;=700),Input!B18417,""),"")</f>
        <v/>
      </c>
      <c r="C18417">
        <f>IF(B18417="","",INT(A18417))</f>
        <v/>
      </c>
      <c r="D18417">
        <f>IF(B18417="","",HOUR(A18417))</f>
        <v/>
      </c>
    </row>
    <row r="18418">
      <c r="A18418">
        <f>Input!A18418</f>
        <v/>
      </c>
      <c r="B18418">
        <f>IF(ISNUMBER(Input!B18418),IF(AND(Input!B18418&gt;=20,Input!B18418&lt;=700),Input!B18418,""),"")</f>
        <v/>
      </c>
      <c r="C18418">
        <f>IF(B18418="","",INT(A18418))</f>
        <v/>
      </c>
      <c r="D18418">
        <f>IF(B18418="","",HOUR(A18418))</f>
        <v/>
      </c>
    </row>
    <row r="18419">
      <c r="A18419">
        <f>Input!A18419</f>
        <v/>
      </c>
      <c r="B18419">
        <f>IF(ISNUMBER(Input!B18419),IF(AND(Input!B18419&gt;=20,Input!B18419&lt;=700),Input!B18419,""),"")</f>
        <v/>
      </c>
      <c r="C18419">
        <f>IF(B18419="","",INT(A18419))</f>
        <v/>
      </c>
      <c r="D18419">
        <f>IF(B18419="","",HOUR(A18419))</f>
        <v/>
      </c>
    </row>
    <row r="18420">
      <c r="A18420">
        <f>Input!A18420</f>
        <v/>
      </c>
      <c r="B18420">
        <f>IF(ISNUMBER(Input!B18420),IF(AND(Input!B18420&gt;=20,Input!B18420&lt;=700),Input!B18420,""),"")</f>
        <v/>
      </c>
      <c r="C18420">
        <f>IF(B18420="","",INT(A18420))</f>
        <v/>
      </c>
      <c r="D18420">
        <f>IF(B18420="","",HOUR(A18420))</f>
        <v/>
      </c>
    </row>
    <row r="18421">
      <c r="A18421">
        <f>Input!A18421</f>
        <v/>
      </c>
      <c r="B18421">
        <f>IF(ISNUMBER(Input!B18421),IF(AND(Input!B18421&gt;=20,Input!B18421&lt;=700),Input!B18421,""),"")</f>
        <v/>
      </c>
      <c r="C18421">
        <f>IF(B18421="","",INT(A18421))</f>
        <v/>
      </c>
      <c r="D18421">
        <f>IF(B18421="","",HOUR(A18421))</f>
        <v/>
      </c>
    </row>
    <row r="18422">
      <c r="A18422">
        <f>Input!A18422</f>
        <v/>
      </c>
      <c r="B18422">
        <f>IF(ISNUMBER(Input!B18422),IF(AND(Input!B18422&gt;=20,Input!B18422&lt;=700),Input!B18422,""),"")</f>
        <v/>
      </c>
      <c r="C18422">
        <f>IF(B18422="","",INT(A18422))</f>
        <v/>
      </c>
      <c r="D18422">
        <f>IF(B18422="","",HOUR(A18422))</f>
        <v/>
      </c>
    </row>
    <row r="18423">
      <c r="A18423">
        <f>Input!A18423</f>
        <v/>
      </c>
      <c r="B18423">
        <f>IF(ISNUMBER(Input!B18423),IF(AND(Input!B18423&gt;=20,Input!B18423&lt;=700),Input!B18423,""),"")</f>
        <v/>
      </c>
      <c r="C18423">
        <f>IF(B18423="","",INT(A18423))</f>
        <v/>
      </c>
      <c r="D18423">
        <f>IF(B18423="","",HOUR(A18423))</f>
        <v/>
      </c>
    </row>
    <row r="18424">
      <c r="A18424">
        <f>Input!A18424</f>
        <v/>
      </c>
      <c r="B18424">
        <f>IF(ISNUMBER(Input!B18424),IF(AND(Input!B18424&gt;=20,Input!B18424&lt;=700),Input!B18424,""),"")</f>
        <v/>
      </c>
      <c r="C18424">
        <f>IF(B18424="","",INT(A18424))</f>
        <v/>
      </c>
      <c r="D18424">
        <f>IF(B18424="","",HOUR(A18424))</f>
        <v/>
      </c>
    </row>
    <row r="18425">
      <c r="A18425">
        <f>Input!A18425</f>
        <v/>
      </c>
      <c r="B18425">
        <f>IF(ISNUMBER(Input!B18425),IF(AND(Input!B18425&gt;=20,Input!B18425&lt;=700),Input!B18425,""),"")</f>
        <v/>
      </c>
      <c r="C18425">
        <f>IF(B18425="","",INT(A18425))</f>
        <v/>
      </c>
      <c r="D18425">
        <f>IF(B18425="","",HOUR(A18425))</f>
        <v/>
      </c>
    </row>
    <row r="18426">
      <c r="A18426">
        <f>Input!A18426</f>
        <v/>
      </c>
      <c r="B18426">
        <f>IF(ISNUMBER(Input!B18426),IF(AND(Input!B18426&gt;=20,Input!B18426&lt;=700),Input!B18426,""),"")</f>
        <v/>
      </c>
      <c r="C18426">
        <f>IF(B18426="","",INT(A18426))</f>
        <v/>
      </c>
      <c r="D18426">
        <f>IF(B18426="","",HOUR(A18426))</f>
        <v/>
      </c>
    </row>
    <row r="18427">
      <c r="A18427">
        <f>Input!A18427</f>
        <v/>
      </c>
      <c r="B18427">
        <f>IF(ISNUMBER(Input!B18427),IF(AND(Input!B18427&gt;=20,Input!B18427&lt;=700),Input!B18427,""),"")</f>
        <v/>
      </c>
      <c r="C18427">
        <f>IF(B18427="","",INT(A18427))</f>
        <v/>
      </c>
      <c r="D18427">
        <f>IF(B18427="","",HOUR(A18427))</f>
        <v/>
      </c>
    </row>
    <row r="18428">
      <c r="A18428">
        <f>Input!A18428</f>
        <v/>
      </c>
      <c r="B18428">
        <f>IF(ISNUMBER(Input!B18428),IF(AND(Input!B18428&gt;=20,Input!B18428&lt;=700),Input!B18428,""),"")</f>
        <v/>
      </c>
      <c r="C18428">
        <f>IF(B18428="","",INT(A18428))</f>
        <v/>
      </c>
      <c r="D18428">
        <f>IF(B18428="","",HOUR(A18428))</f>
        <v/>
      </c>
    </row>
    <row r="18429">
      <c r="A18429">
        <f>Input!A18429</f>
        <v/>
      </c>
      <c r="B18429">
        <f>IF(ISNUMBER(Input!B18429),IF(AND(Input!B18429&gt;=20,Input!B18429&lt;=700),Input!B18429,""),"")</f>
        <v/>
      </c>
      <c r="C18429">
        <f>IF(B18429="","",INT(A18429))</f>
        <v/>
      </c>
      <c r="D18429">
        <f>IF(B18429="","",HOUR(A18429))</f>
        <v/>
      </c>
    </row>
    <row r="18430">
      <c r="A18430">
        <f>Input!A18430</f>
        <v/>
      </c>
      <c r="B18430">
        <f>IF(ISNUMBER(Input!B18430),IF(AND(Input!B18430&gt;=20,Input!B18430&lt;=700),Input!B18430,""),"")</f>
        <v/>
      </c>
      <c r="C18430">
        <f>IF(B18430="","",INT(A18430))</f>
        <v/>
      </c>
      <c r="D18430">
        <f>IF(B18430="","",HOUR(A18430))</f>
        <v/>
      </c>
    </row>
    <row r="18431">
      <c r="A18431">
        <f>Input!A18431</f>
        <v/>
      </c>
      <c r="B18431">
        <f>IF(ISNUMBER(Input!B18431),IF(AND(Input!B18431&gt;=20,Input!B18431&lt;=700),Input!B18431,""),"")</f>
        <v/>
      </c>
      <c r="C18431">
        <f>IF(B18431="","",INT(A18431))</f>
        <v/>
      </c>
      <c r="D18431">
        <f>IF(B18431="","",HOUR(A18431))</f>
        <v/>
      </c>
    </row>
    <row r="18432">
      <c r="A18432">
        <f>Input!A18432</f>
        <v/>
      </c>
      <c r="B18432">
        <f>IF(ISNUMBER(Input!B18432),IF(AND(Input!B18432&gt;=20,Input!B18432&lt;=700),Input!B18432,""),"")</f>
        <v/>
      </c>
      <c r="C18432">
        <f>IF(B18432="","",INT(A18432))</f>
        <v/>
      </c>
      <c r="D18432">
        <f>IF(B18432="","",HOUR(A18432))</f>
        <v/>
      </c>
    </row>
    <row r="18433">
      <c r="A18433">
        <f>Input!A18433</f>
        <v/>
      </c>
      <c r="B18433">
        <f>IF(ISNUMBER(Input!B18433),IF(AND(Input!B18433&gt;=20,Input!B18433&lt;=700),Input!B18433,""),"")</f>
        <v/>
      </c>
      <c r="C18433">
        <f>IF(B18433="","",INT(A18433))</f>
        <v/>
      </c>
      <c r="D18433">
        <f>IF(B18433="","",HOUR(A18433))</f>
        <v/>
      </c>
    </row>
    <row r="18434">
      <c r="A18434">
        <f>Input!A18434</f>
        <v/>
      </c>
      <c r="B18434">
        <f>IF(ISNUMBER(Input!B18434),IF(AND(Input!B18434&gt;=20,Input!B18434&lt;=700),Input!B18434,""),"")</f>
        <v/>
      </c>
      <c r="C18434">
        <f>IF(B18434="","",INT(A18434))</f>
        <v/>
      </c>
      <c r="D18434">
        <f>IF(B18434="","",HOUR(A18434))</f>
        <v/>
      </c>
    </row>
    <row r="18435">
      <c r="A18435">
        <f>Input!A18435</f>
        <v/>
      </c>
      <c r="B18435">
        <f>IF(ISNUMBER(Input!B18435),IF(AND(Input!B18435&gt;=20,Input!B18435&lt;=700),Input!B18435,""),"")</f>
        <v/>
      </c>
      <c r="C18435">
        <f>IF(B18435="","",INT(A18435))</f>
        <v/>
      </c>
      <c r="D18435">
        <f>IF(B18435="","",HOUR(A18435))</f>
        <v/>
      </c>
    </row>
    <row r="18436">
      <c r="A18436">
        <f>Input!A18436</f>
        <v/>
      </c>
      <c r="B18436">
        <f>IF(ISNUMBER(Input!B18436),IF(AND(Input!B18436&gt;=20,Input!B18436&lt;=700),Input!B18436,""),"")</f>
        <v/>
      </c>
      <c r="C18436">
        <f>IF(B18436="","",INT(A18436))</f>
        <v/>
      </c>
      <c r="D18436">
        <f>IF(B18436="","",HOUR(A18436))</f>
        <v/>
      </c>
    </row>
    <row r="18437">
      <c r="A18437">
        <f>Input!A18437</f>
        <v/>
      </c>
      <c r="B18437">
        <f>IF(ISNUMBER(Input!B18437),IF(AND(Input!B18437&gt;=20,Input!B18437&lt;=700),Input!B18437,""),"")</f>
        <v/>
      </c>
      <c r="C18437">
        <f>IF(B18437="","",INT(A18437))</f>
        <v/>
      </c>
      <c r="D18437">
        <f>IF(B18437="","",HOUR(A18437))</f>
        <v/>
      </c>
    </row>
    <row r="18438">
      <c r="A18438">
        <f>Input!A18438</f>
        <v/>
      </c>
      <c r="B18438">
        <f>IF(ISNUMBER(Input!B18438),IF(AND(Input!B18438&gt;=20,Input!B18438&lt;=700),Input!B18438,""),"")</f>
        <v/>
      </c>
      <c r="C18438">
        <f>IF(B18438="","",INT(A18438))</f>
        <v/>
      </c>
      <c r="D18438">
        <f>IF(B18438="","",HOUR(A18438))</f>
        <v/>
      </c>
    </row>
    <row r="18439">
      <c r="A18439">
        <f>Input!A18439</f>
        <v/>
      </c>
      <c r="B18439">
        <f>IF(ISNUMBER(Input!B18439),IF(AND(Input!B18439&gt;=20,Input!B18439&lt;=700),Input!B18439,""),"")</f>
        <v/>
      </c>
      <c r="C18439">
        <f>IF(B18439="","",INT(A18439))</f>
        <v/>
      </c>
      <c r="D18439">
        <f>IF(B18439="","",HOUR(A18439))</f>
        <v/>
      </c>
    </row>
    <row r="18440">
      <c r="A18440">
        <f>Input!A18440</f>
        <v/>
      </c>
      <c r="B18440">
        <f>IF(ISNUMBER(Input!B18440),IF(AND(Input!B18440&gt;=20,Input!B18440&lt;=700),Input!B18440,""),"")</f>
        <v/>
      </c>
      <c r="C18440">
        <f>IF(B18440="","",INT(A18440))</f>
        <v/>
      </c>
      <c r="D18440">
        <f>IF(B18440="","",HOUR(A18440))</f>
        <v/>
      </c>
    </row>
    <row r="18441">
      <c r="A18441">
        <f>Input!A18441</f>
        <v/>
      </c>
      <c r="B18441">
        <f>IF(ISNUMBER(Input!B18441),IF(AND(Input!B18441&gt;=20,Input!B18441&lt;=700),Input!B18441,""),"")</f>
        <v/>
      </c>
      <c r="C18441">
        <f>IF(B18441="","",INT(A18441))</f>
        <v/>
      </c>
      <c r="D18441">
        <f>IF(B18441="","",HOUR(A18441))</f>
        <v/>
      </c>
    </row>
    <row r="18442">
      <c r="A18442">
        <f>Input!A18442</f>
        <v/>
      </c>
      <c r="B18442">
        <f>IF(ISNUMBER(Input!B18442),IF(AND(Input!B18442&gt;=20,Input!B18442&lt;=700),Input!B18442,""),"")</f>
        <v/>
      </c>
      <c r="C18442">
        <f>IF(B18442="","",INT(A18442))</f>
        <v/>
      </c>
      <c r="D18442">
        <f>IF(B18442="","",HOUR(A18442))</f>
        <v/>
      </c>
    </row>
    <row r="18443">
      <c r="A18443">
        <f>Input!A18443</f>
        <v/>
      </c>
      <c r="B18443">
        <f>IF(ISNUMBER(Input!B18443),IF(AND(Input!B18443&gt;=20,Input!B18443&lt;=700),Input!B18443,""),"")</f>
        <v/>
      </c>
      <c r="C18443">
        <f>IF(B18443="","",INT(A18443))</f>
        <v/>
      </c>
      <c r="D18443">
        <f>IF(B18443="","",HOUR(A18443))</f>
        <v/>
      </c>
    </row>
    <row r="18444">
      <c r="A18444">
        <f>Input!A18444</f>
        <v/>
      </c>
      <c r="B18444">
        <f>IF(ISNUMBER(Input!B18444),IF(AND(Input!B18444&gt;=20,Input!B18444&lt;=700),Input!B18444,""),"")</f>
        <v/>
      </c>
      <c r="C18444">
        <f>IF(B18444="","",INT(A18444))</f>
        <v/>
      </c>
      <c r="D18444">
        <f>IF(B18444="","",HOUR(A18444))</f>
        <v/>
      </c>
    </row>
    <row r="18445">
      <c r="A18445">
        <f>Input!A18445</f>
        <v/>
      </c>
      <c r="B18445">
        <f>IF(ISNUMBER(Input!B18445),IF(AND(Input!B18445&gt;=20,Input!B18445&lt;=700),Input!B18445,""),"")</f>
        <v/>
      </c>
      <c r="C18445">
        <f>IF(B18445="","",INT(A18445))</f>
        <v/>
      </c>
      <c r="D18445">
        <f>IF(B18445="","",HOUR(A18445))</f>
        <v/>
      </c>
    </row>
    <row r="18446">
      <c r="A18446">
        <f>Input!A18446</f>
        <v/>
      </c>
      <c r="B18446">
        <f>IF(ISNUMBER(Input!B18446),IF(AND(Input!B18446&gt;=20,Input!B18446&lt;=700),Input!B18446,""),"")</f>
        <v/>
      </c>
      <c r="C18446">
        <f>IF(B18446="","",INT(A18446))</f>
        <v/>
      </c>
      <c r="D18446">
        <f>IF(B18446="","",HOUR(A18446))</f>
        <v/>
      </c>
    </row>
    <row r="18447">
      <c r="A18447">
        <f>Input!A18447</f>
        <v/>
      </c>
      <c r="B18447">
        <f>IF(ISNUMBER(Input!B18447),IF(AND(Input!B18447&gt;=20,Input!B18447&lt;=700),Input!B18447,""),"")</f>
        <v/>
      </c>
      <c r="C18447">
        <f>IF(B18447="","",INT(A18447))</f>
        <v/>
      </c>
      <c r="D18447">
        <f>IF(B18447="","",HOUR(A18447))</f>
        <v/>
      </c>
    </row>
    <row r="18448">
      <c r="A18448">
        <f>Input!A18448</f>
        <v/>
      </c>
      <c r="B18448">
        <f>IF(ISNUMBER(Input!B18448),IF(AND(Input!B18448&gt;=20,Input!B18448&lt;=700),Input!B18448,""),"")</f>
        <v/>
      </c>
      <c r="C18448">
        <f>IF(B18448="","",INT(A18448))</f>
        <v/>
      </c>
      <c r="D18448">
        <f>IF(B18448="","",HOUR(A18448))</f>
        <v/>
      </c>
    </row>
    <row r="18449">
      <c r="A18449">
        <f>Input!A18449</f>
        <v/>
      </c>
      <c r="B18449">
        <f>IF(ISNUMBER(Input!B18449),IF(AND(Input!B18449&gt;=20,Input!B18449&lt;=700),Input!B18449,""),"")</f>
        <v/>
      </c>
      <c r="C18449">
        <f>IF(B18449="","",INT(A18449))</f>
        <v/>
      </c>
      <c r="D18449">
        <f>IF(B18449="","",HOUR(A18449))</f>
        <v/>
      </c>
    </row>
    <row r="18450">
      <c r="A18450">
        <f>Input!A18450</f>
        <v/>
      </c>
      <c r="B18450">
        <f>IF(ISNUMBER(Input!B18450),IF(AND(Input!B18450&gt;=20,Input!B18450&lt;=700),Input!B18450,""),"")</f>
        <v/>
      </c>
      <c r="C18450">
        <f>IF(B18450="","",INT(A18450))</f>
        <v/>
      </c>
      <c r="D18450">
        <f>IF(B18450="","",HOUR(A18450))</f>
        <v/>
      </c>
    </row>
    <row r="18451">
      <c r="A18451">
        <f>Input!A18451</f>
        <v/>
      </c>
      <c r="B18451">
        <f>IF(ISNUMBER(Input!B18451),IF(AND(Input!B18451&gt;=20,Input!B18451&lt;=700),Input!B18451,""),"")</f>
        <v/>
      </c>
      <c r="C18451">
        <f>IF(B18451="","",INT(A18451))</f>
        <v/>
      </c>
      <c r="D18451">
        <f>IF(B18451="","",HOUR(A18451))</f>
        <v/>
      </c>
    </row>
    <row r="18452">
      <c r="A18452">
        <f>Input!A18452</f>
        <v/>
      </c>
      <c r="B18452">
        <f>IF(ISNUMBER(Input!B18452),IF(AND(Input!B18452&gt;=20,Input!B18452&lt;=700),Input!B18452,""),"")</f>
        <v/>
      </c>
      <c r="C18452">
        <f>IF(B18452="","",INT(A18452))</f>
        <v/>
      </c>
      <c r="D18452">
        <f>IF(B18452="","",HOUR(A18452))</f>
        <v/>
      </c>
    </row>
    <row r="18453">
      <c r="A18453">
        <f>Input!A18453</f>
        <v/>
      </c>
      <c r="B18453">
        <f>IF(ISNUMBER(Input!B18453),IF(AND(Input!B18453&gt;=20,Input!B18453&lt;=700),Input!B18453,""),"")</f>
        <v/>
      </c>
      <c r="C18453">
        <f>IF(B18453="","",INT(A18453))</f>
        <v/>
      </c>
      <c r="D18453">
        <f>IF(B18453="","",HOUR(A18453))</f>
        <v/>
      </c>
    </row>
    <row r="18454">
      <c r="A18454">
        <f>Input!A18454</f>
        <v/>
      </c>
      <c r="B18454">
        <f>IF(ISNUMBER(Input!B18454),IF(AND(Input!B18454&gt;=20,Input!B18454&lt;=700),Input!B18454,""),"")</f>
        <v/>
      </c>
      <c r="C18454">
        <f>IF(B18454="","",INT(A18454))</f>
        <v/>
      </c>
      <c r="D18454">
        <f>IF(B18454="","",HOUR(A18454))</f>
        <v/>
      </c>
    </row>
    <row r="18455">
      <c r="A18455">
        <f>Input!A18455</f>
        <v/>
      </c>
      <c r="B18455">
        <f>IF(ISNUMBER(Input!B18455),IF(AND(Input!B18455&gt;=20,Input!B18455&lt;=700),Input!B18455,""),"")</f>
        <v/>
      </c>
      <c r="C18455">
        <f>IF(B18455="","",INT(A18455))</f>
        <v/>
      </c>
      <c r="D18455">
        <f>IF(B18455="","",HOUR(A18455))</f>
        <v/>
      </c>
    </row>
    <row r="18456">
      <c r="A18456">
        <f>Input!A18456</f>
        <v/>
      </c>
      <c r="B18456">
        <f>IF(ISNUMBER(Input!B18456),IF(AND(Input!B18456&gt;=20,Input!B18456&lt;=700),Input!B18456,""),"")</f>
        <v/>
      </c>
      <c r="C18456">
        <f>IF(B18456="","",INT(A18456))</f>
        <v/>
      </c>
      <c r="D18456">
        <f>IF(B18456="","",HOUR(A18456))</f>
        <v/>
      </c>
    </row>
    <row r="18457">
      <c r="A18457">
        <f>Input!A18457</f>
        <v/>
      </c>
      <c r="B18457">
        <f>IF(ISNUMBER(Input!B18457),IF(AND(Input!B18457&gt;=20,Input!B18457&lt;=700),Input!B18457,""),"")</f>
        <v/>
      </c>
      <c r="C18457">
        <f>IF(B18457="","",INT(A18457))</f>
        <v/>
      </c>
      <c r="D18457">
        <f>IF(B18457="","",HOUR(A18457))</f>
        <v/>
      </c>
    </row>
    <row r="18458">
      <c r="A18458">
        <f>Input!A18458</f>
        <v/>
      </c>
      <c r="B18458">
        <f>IF(ISNUMBER(Input!B18458),IF(AND(Input!B18458&gt;=20,Input!B18458&lt;=700),Input!B18458,""),"")</f>
        <v/>
      </c>
      <c r="C18458">
        <f>IF(B18458="","",INT(A18458))</f>
        <v/>
      </c>
      <c r="D18458">
        <f>IF(B18458="","",HOUR(A18458))</f>
        <v/>
      </c>
    </row>
    <row r="18459">
      <c r="A18459">
        <f>Input!A18459</f>
        <v/>
      </c>
      <c r="B18459">
        <f>IF(ISNUMBER(Input!B18459),IF(AND(Input!B18459&gt;=20,Input!B18459&lt;=700),Input!B18459,""),"")</f>
        <v/>
      </c>
      <c r="C18459">
        <f>IF(B18459="","",INT(A18459))</f>
        <v/>
      </c>
      <c r="D18459">
        <f>IF(B18459="","",HOUR(A18459))</f>
        <v/>
      </c>
    </row>
    <row r="18460">
      <c r="A18460">
        <f>Input!A18460</f>
        <v/>
      </c>
      <c r="B18460">
        <f>IF(ISNUMBER(Input!B18460),IF(AND(Input!B18460&gt;=20,Input!B18460&lt;=700),Input!B18460,""),"")</f>
        <v/>
      </c>
      <c r="C18460">
        <f>IF(B18460="","",INT(A18460))</f>
        <v/>
      </c>
      <c r="D18460">
        <f>IF(B18460="","",HOUR(A18460))</f>
        <v/>
      </c>
    </row>
    <row r="18461">
      <c r="A18461">
        <f>Input!A18461</f>
        <v/>
      </c>
      <c r="B18461">
        <f>IF(ISNUMBER(Input!B18461),IF(AND(Input!B18461&gt;=20,Input!B18461&lt;=700),Input!B18461,""),"")</f>
        <v/>
      </c>
      <c r="C18461">
        <f>IF(B18461="","",INT(A18461))</f>
        <v/>
      </c>
      <c r="D18461">
        <f>IF(B18461="","",HOUR(A18461))</f>
        <v/>
      </c>
    </row>
    <row r="18462">
      <c r="A18462">
        <f>Input!A18462</f>
        <v/>
      </c>
      <c r="B18462">
        <f>IF(ISNUMBER(Input!B18462),IF(AND(Input!B18462&gt;=20,Input!B18462&lt;=700),Input!B18462,""),"")</f>
        <v/>
      </c>
      <c r="C18462">
        <f>IF(B18462="","",INT(A18462))</f>
        <v/>
      </c>
      <c r="D18462">
        <f>IF(B18462="","",HOUR(A18462))</f>
        <v/>
      </c>
    </row>
    <row r="18463">
      <c r="A18463">
        <f>Input!A18463</f>
        <v/>
      </c>
      <c r="B18463">
        <f>IF(ISNUMBER(Input!B18463),IF(AND(Input!B18463&gt;=20,Input!B18463&lt;=700),Input!B18463,""),"")</f>
        <v/>
      </c>
      <c r="C18463">
        <f>IF(B18463="","",INT(A18463))</f>
        <v/>
      </c>
      <c r="D18463">
        <f>IF(B18463="","",HOUR(A18463))</f>
        <v/>
      </c>
    </row>
    <row r="18464">
      <c r="A18464">
        <f>Input!A18464</f>
        <v/>
      </c>
      <c r="B18464">
        <f>IF(ISNUMBER(Input!B18464),IF(AND(Input!B18464&gt;=20,Input!B18464&lt;=700),Input!B18464,""),"")</f>
        <v/>
      </c>
      <c r="C18464">
        <f>IF(B18464="","",INT(A18464))</f>
        <v/>
      </c>
      <c r="D18464">
        <f>IF(B18464="","",HOUR(A18464))</f>
        <v/>
      </c>
    </row>
    <row r="18465">
      <c r="A18465">
        <f>Input!A18465</f>
        <v/>
      </c>
      <c r="B18465">
        <f>IF(ISNUMBER(Input!B18465),IF(AND(Input!B18465&gt;=20,Input!B18465&lt;=700),Input!B18465,""),"")</f>
        <v/>
      </c>
      <c r="C18465">
        <f>IF(B18465="","",INT(A18465))</f>
        <v/>
      </c>
      <c r="D18465">
        <f>IF(B18465="","",HOUR(A18465))</f>
        <v/>
      </c>
    </row>
    <row r="18466">
      <c r="A18466">
        <f>Input!A18466</f>
        <v/>
      </c>
      <c r="B18466">
        <f>IF(ISNUMBER(Input!B18466),IF(AND(Input!B18466&gt;=20,Input!B18466&lt;=700),Input!B18466,""),"")</f>
        <v/>
      </c>
      <c r="C18466">
        <f>IF(B18466="","",INT(A18466))</f>
        <v/>
      </c>
      <c r="D18466">
        <f>IF(B18466="","",HOUR(A18466))</f>
        <v/>
      </c>
    </row>
    <row r="18467">
      <c r="A18467">
        <f>Input!A18467</f>
        <v/>
      </c>
      <c r="B18467">
        <f>IF(ISNUMBER(Input!B18467),IF(AND(Input!B18467&gt;=20,Input!B18467&lt;=700),Input!B18467,""),"")</f>
        <v/>
      </c>
      <c r="C18467">
        <f>IF(B18467="","",INT(A18467))</f>
        <v/>
      </c>
      <c r="D18467">
        <f>IF(B18467="","",HOUR(A18467))</f>
        <v/>
      </c>
    </row>
    <row r="18468">
      <c r="A18468">
        <f>Input!A18468</f>
        <v/>
      </c>
      <c r="B18468">
        <f>IF(ISNUMBER(Input!B18468),IF(AND(Input!B18468&gt;=20,Input!B18468&lt;=700),Input!B18468,""),"")</f>
        <v/>
      </c>
      <c r="C18468">
        <f>IF(B18468="","",INT(A18468))</f>
        <v/>
      </c>
      <c r="D18468">
        <f>IF(B18468="","",HOUR(A18468))</f>
        <v/>
      </c>
    </row>
    <row r="18469">
      <c r="A18469">
        <f>Input!A18469</f>
        <v/>
      </c>
      <c r="B18469">
        <f>IF(ISNUMBER(Input!B18469),IF(AND(Input!B18469&gt;=20,Input!B18469&lt;=700),Input!B18469,""),"")</f>
        <v/>
      </c>
      <c r="C18469">
        <f>IF(B18469="","",INT(A18469))</f>
        <v/>
      </c>
      <c r="D18469">
        <f>IF(B18469="","",HOUR(A18469))</f>
        <v/>
      </c>
    </row>
    <row r="18470">
      <c r="A18470">
        <f>Input!A18470</f>
        <v/>
      </c>
      <c r="B18470">
        <f>IF(ISNUMBER(Input!B18470),IF(AND(Input!B18470&gt;=20,Input!B18470&lt;=700),Input!B18470,""),"")</f>
        <v/>
      </c>
      <c r="C18470">
        <f>IF(B18470="","",INT(A18470))</f>
        <v/>
      </c>
      <c r="D18470">
        <f>IF(B18470="","",HOUR(A18470))</f>
        <v/>
      </c>
    </row>
    <row r="18471">
      <c r="A18471">
        <f>Input!A18471</f>
        <v/>
      </c>
      <c r="B18471">
        <f>IF(ISNUMBER(Input!B18471),IF(AND(Input!B18471&gt;=20,Input!B18471&lt;=700),Input!B18471,""),"")</f>
        <v/>
      </c>
      <c r="C18471">
        <f>IF(B18471="","",INT(A18471))</f>
        <v/>
      </c>
      <c r="D18471">
        <f>IF(B18471="","",HOUR(A18471))</f>
        <v/>
      </c>
    </row>
    <row r="18472">
      <c r="A18472">
        <f>Input!A18472</f>
        <v/>
      </c>
      <c r="B18472">
        <f>IF(ISNUMBER(Input!B18472),IF(AND(Input!B18472&gt;=20,Input!B18472&lt;=700),Input!B18472,""),"")</f>
        <v/>
      </c>
      <c r="C18472">
        <f>IF(B18472="","",INT(A18472))</f>
        <v/>
      </c>
      <c r="D18472">
        <f>IF(B18472="","",HOUR(A18472))</f>
        <v/>
      </c>
    </row>
    <row r="18473">
      <c r="A18473">
        <f>Input!A18473</f>
        <v/>
      </c>
      <c r="B18473">
        <f>IF(ISNUMBER(Input!B18473),IF(AND(Input!B18473&gt;=20,Input!B18473&lt;=700),Input!B18473,""),"")</f>
        <v/>
      </c>
      <c r="C18473">
        <f>IF(B18473="","",INT(A18473))</f>
        <v/>
      </c>
      <c r="D18473">
        <f>IF(B18473="","",HOUR(A18473))</f>
        <v/>
      </c>
    </row>
    <row r="18474">
      <c r="A18474">
        <f>Input!A18474</f>
        <v/>
      </c>
      <c r="B18474">
        <f>IF(ISNUMBER(Input!B18474),IF(AND(Input!B18474&gt;=20,Input!B18474&lt;=700),Input!B18474,""),"")</f>
        <v/>
      </c>
      <c r="C18474">
        <f>IF(B18474="","",INT(A18474))</f>
        <v/>
      </c>
      <c r="D18474">
        <f>IF(B18474="","",HOUR(A18474))</f>
        <v/>
      </c>
    </row>
    <row r="18475">
      <c r="A18475">
        <f>Input!A18475</f>
        <v/>
      </c>
      <c r="B18475">
        <f>IF(ISNUMBER(Input!B18475),IF(AND(Input!B18475&gt;=20,Input!B18475&lt;=700),Input!B18475,""),"")</f>
        <v/>
      </c>
      <c r="C18475">
        <f>IF(B18475="","",INT(A18475))</f>
        <v/>
      </c>
      <c r="D18475">
        <f>IF(B18475="","",HOUR(A18475))</f>
        <v/>
      </c>
    </row>
    <row r="18476">
      <c r="A18476">
        <f>Input!A18476</f>
        <v/>
      </c>
      <c r="B18476">
        <f>IF(ISNUMBER(Input!B18476),IF(AND(Input!B18476&gt;=20,Input!B18476&lt;=700),Input!B18476,""),"")</f>
        <v/>
      </c>
      <c r="C18476">
        <f>IF(B18476="","",INT(A18476))</f>
        <v/>
      </c>
      <c r="D18476">
        <f>IF(B18476="","",HOUR(A18476))</f>
        <v/>
      </c>
    </row>
    <row r="18477">
      <c r="A18477">
        <f>Input!A18477</f>
        <v/>
      </c>
      <c r="B18477">
        <f>IF(ISNUMBER(Input!B18477),IF(AND(Input!B18477&gt;=20,Input!B18477&lt;=700),Input!B18477,""),"")</f>
        <v/>
      </c>
      <c r="C18477">
        <f>IF(B18477="","",INT(A18477))</f>
        <v/>
      </c>
      <c r="D18477">
        <f>IF(B18477="","",HOUR(A18477))</f>
        <v/>
      </c>
    </row>
    <row r="18478">
      <c r="A18478">
        <f>Input!A18478</f>
        <v/>
      </c>
      <c r="B18478">
        <f>IF(ISNUMBER(Input!B18478),IF(AND(Input!B18478&gt;=20,Input!B18478&lt;=700),Input!B18478,""),"")</f>
        <v/>
      </c>
      <c r="C18478">
        <f>IF(B18478="","",INT(A18478))</f>
        <v/>
      </c>
      <c r="D18478">
        <f>IF(B18478="","",HOUR(A18478))</f>
        <v/>
      </c>
    </row>
    <row r="18479">
      <c r="A18479">
        <f>Input!A18479</f>
        <v/>
      </c>
      <c r="B18479">
        <f>IF(ISNUMBER(Input!B18479),IF(AND(Input!B18479&gt;=20,Input!B18479&lt;=700),Input!B18479,""),"")</f>
        <v/>
      </c>
      <c r="C18479">
        <f>IF(B18479="","",INT(A18479))</f>
        <v/>
      </c>
      <c r="D18479">
        <f>IF(B18479="","",HOUR(A18479))</f>
        <v/>
      </c>
    </row>
    <row r="18480">
      <c r="A18480">
        <f>Input!A18480</f>
        <v/>
      </c>
      <c r="B18480">
        <f>IF(ISNUMBER(Input!B18480),IF(AND(Input!B18480&gt;=20,Input!B18480&lt;=700),Input!B18480,""),"")</f>
        <v/>
      </c>
      <c r="C18480">
        <f>IF(B18480="","",INT(A18480))</f>
        <v/>
      </c>
      <c r="D18480">
        <f>IF(B18480="","",HOUR(A18480))</f>
        <v/>
      </c>
    </row>
    <row r="18481">
      <c r="A18481">
        <f>Input!A18481</f>
        <v/>
      </c>
      <c r="B18481">
        <f>IF(ISNUMBER(Input!B18481),IF(AND(Input!B18481&gt;=20,Input!B18481&lt;=700),Input!B18481,""),"")</f>
        <v/>
      </c>
      <c r="C18481">
        <f>IF(B18481="","",INT(A18481))</f>
        <v/>
      </c>
      <c r="D18481">
        <f>IF(B18481="","",HOUR(A18481))</f>
        <v/>
      </c>
    </row>
    <row r="18482">
      <c r="A18482">
        <f>Input!A18482</f>
        <v/>
      </c>
      <c r="B18482">
        <f>IF(ISNUMBER(Input!B18482),IF(AND(Input!B18482&gt;=20,Input!B18482&lt;=700),Input!B18482,""),"")</f>
        <v/>
      </c>
      <c r="C18482">
        <f>IF(B18482="","",INT(A18482))</f>
        <v/>
      </c>
      <c r="D18482">
        <f>IF(B18482="","",HOUR(A18482))</f>
        <v/>
      </c>
    </row>
    <row r="18483">
      <c r="A18483">
        <f>Input!A18483</f>
        <v/>
      </c>
      <c r="B18483">
        <f>IF(ISNUMBER(Input!B18483),IF(AND(Input!B18483&gt;=20,Input!B18483&lt;=700),Input!B18483,""),"")</f>
        <v/>
      </c>
      <c r="C18483">
        <f>IF(B18483="","",INT(A18483))</f>
        <v/>
      </c>
      <c r="D18483">
        <f>IF(B18483="","",HOUR(A18483))</f>
        <v/>
      </c>
    </row>
    <row r="18484">
      <c r="A18484">
        <f>Input!A18484</f>
        <v/>
      </c>
      <c r="B18484">
        <f>IF(ISNUMBER(Input!B18484),IF(AND(Input!B18484&gt;=20,Input!B18484&lt;=700),Input!B18484,""),"")</f>
        <v/>
      </c>
      <c r="C18484">
        <f>IF(B18484="","",INT(A18484))</f>
        <v/>
      </c>
      <c r="D18484">
        <f>IF(B18484="","",HOUR(A18484))</f>
        <v/>
      </c>
    </row>
    <row r="18485">
      <c r="A18485">
        <f>Input!A18485</f>
        <v/>
      </c>
      <c r="B18485">
        <f>IF(ISNUMBER(Input!B18485),IF(AND(Input!B18485&gt;=20,Input!B18485&lt;=700),Input!B18485,""),"")</f>
        <v/>
      </c>
      <c r="C18485">
        <f>IF(B18485="","",INT(A18485))</f>
        <v/>
      </c>
      <c r="D18485">
        <f>IF(B18485="","",HOUR(A18485))</f>
        <v/>
      </c>
    </row>
    <row r="18486">
      <c r="A18486">
        <f>Input!A18486</f>
        <v/>
      </c>
      <c r="B18486">
        <f>IF(ISNUMBER(Input!B18486),IF(AND(Input!B18486&gt;=20,Input!B18486&lt;=700),Input!B18486,""),"")</f>
        <v/>
      </c>
      <c r="C18486">
        <f>IF(B18486="","",INT(A18486))</f>
        <v/>
      </c>
      <c r="D18486">
        <f>IF(B18486="","",HOUR(A18486))</f>
        <v/>
      </c>
    </row>
    <row r="18487">
      <c r="A18487">
        <f>Input!A18487</f>
        <v/>
      </c>
      <c r="B18487">
        <f>IF(ISNUMBER(Input!B18487),IF(AND(Input!B18487&gt;=20,Input!B18487&lt;=700),Input!B18487,""),"")</f>
        <v/>
      </c>
      <c r="C18487">
        <f>IF(B18487="","",INT(A18487))</f>
        <v/>
      </c>
      <c r="D18487">
        <f>IF(B18487="","",HOUR(A18487))</f>
        <v/>
      </c>
    </row>
    <row r="18488">
      <c r="A18488">
        <f>Input!A18488</f>
        <v/>
      </c>
      <c r="B18488">
        <f>IF(ISNUMBER(Input!B18488),IF(AND(Input!B18488&gt;=20,Input!B18488&lt;=700),Input!B18488,""),"")</f>
        <v/>
      </c>
      <c r="C18488">
        <f>IF(B18488="","",INT(A18488))</f>
        <v/>
      </c>
      <c r="D18488">
        <f>IF(B18488="","",HOUR(A18488))</f>
        <v/>
      </c>
    </row>
    <row r="18489">
      <c r="A18489">
        <f>Input!A18489</f>
        <v/>
      </c>
      <c r="B18489">
        <f>IF(ISNUMBER(Input!B18489),IF(AND(Input!B18489&gt;=20,Input!B18489&lt;=700),Input!B18489,""),"")</f>
        <v/>
      </c>
      <c r="C18489">
        <f>IF(B18489="","",INT(A18489))</f>
        <v/>
      </c>
      <c r="D18489">
        <f>IF(B18489="","",HOUR(A18489))</f>
        <v/>
      </c>
    </row>
    <row r="18490">
      <c r="A18490">
        <f>Input!A18490</f>
        <v/>
      </c>
      <c r="B18490">
        <f>IF(ISNUMBER(Input!B18490),IF(AND(Input!B18490&gt;=20,Input!B18490&lt;=700),Input!B18490,""),"")</f>
        <v/>
      </c>
      <c r="C18490">
        <f>IF(B18490="","",INT(A18490))</f>
        <v/>
      </c>
      <c r="D18490">
        <f>IF(B18490="","",HOUR(A18490))</f>
        <v/>
      </c>
    </row>
    <row r="18491">
      <c r="A18491">
        <f>Input!A18491</f>
        <v/>
      </c>
      <c r="B18491">
        <f>IF(ISNUMBER(Input!B18491),IF(AND(Input!B18491&gt;=20,Input!B18491&lt;=700),Input!B18491,""),"")</f>
        <v/>
      </c>
      <c r="C18491">
        <f>IF(B18491="","",INT(A18491))</f>
        <v/>
      </c>
      <c r="D18491">
        <f>IF(B18491="","",HOUR(A18491))</f>
        <v/>
      </c>
    </row>
    <row r="18492">
      <c r="A18492">
        <f>Input!A18492</f>
        <v/>
      </c>
      <c r="B18492">
        <f>IF(ISNUMBER(Input!B18492),IF(AND(Input!B18492&gt;=20,Input!B18492&lt;=700),Input!B18492,""),"")</f>
        <v/>
      </c>
      <c r="C18492">
        <f>IF(B18492="","",INT(A18492))</f>
        <v/>
      </c>
      <c r="D18492">
        <f>IF(B18492="","",HOUR(A18492))</f>
        <v/>
      </c>
    </row>
    <row r="18493">
      <c r="A18493">
        <f>Input!A18493</f>
        <v/>
      </c>
      <c r="B18493">
        <f>IF(ISNUMBER(Input!B18493),IF(AND(Input!B18493&gt;=20,Input!B18493&lt;=700),Input!B18493,""),"")</f>
        <v/>
      </c>
      <c r="C18493">
        <f>IF(B18493="","",INT(A18493))</f>
        <v/>
      </c>
      <c r="D18493">
        <f>IF(B18493="","",HOUR(A18493))</f>
        <v/>
      </c>
    </row>
    <row r="18494">
      <c r="A18494">
        <f>Input!A18494</f>
        <v/>
      </c>
      <c r="B18494">
        <f>IF(ISNUMBER(Input!B18494),IF(AND(Input!B18494&gt;=20,Input!B18494&lt;=700),Input!B18494,""),"")</f>
        <v/>
      </c>
      <c r="C18494">
        <f>IF(B18494="","",INT(A18494))</f>
        <v/>
      </c>
      <c r="D18494">
        <f>IF(B18494="","",HOUR(A18494))</f>
        <v/>
      </c>
    </row>
    <row r="18495">
      <c r="A18495">
        <f>Input!A18495</f>
        <v/>
      </c>
      <c r="B18495">
        <f>IF(ISNUMBER(Input!B18495),IF(AND(Input!B18495&gt;=20,Input!B18495&lt;=700),Input!B18495,""),"")</f>
        <v/>
      </c>
      <c r="C18495">
        <f>IF(B18495="","",INT(A18495))</f>
        <v/>
      </c>
      <c r="D18495">
        <f>IF(B18495="","",HOUR(A18495))</f>
        <v/>
      </c>
    </row>
    <row r="18496">
      <c r="A18496">
        <f>Input!A18496</f>
        <v/>
      </c>
      <c r="B18496">
        <f>IF(ISNUMBER(Input!B18496),IF(AND(Input!B18496&gt;=20,Input!B18496&lt;=700),Input!B18496,""),"")</f>
        <v/>
      </c>
      <c r="C18496">
        <f>IF(B18496="","",INT(A18496))</f>
        <v/>
      </c>
      <c r="D18496">
        <f>IF(B18496="","",HOUR(A18496))</f>
        <v/>
      </c>
    </row>
    <row r="18497">
      <c r="A18497">
        <f>Input!A18497</f>
        <v/>
      </c>
      <c r="B18497">
        <f>IF(ISNUMBER(Input!B18497),IF(AND(Input!B18497&gt;=20,Input!B18497&lt;=700),Input!B18497,""),"")</f>
        <v/>
      </c>
      <c r="C18497">
        <f>IF(B18497="","",INT(A18497))</f>
        <v/>
      </c>
      <c r="D18497">
        <f>IF(B18497="","",HOUR(A18497))</f>
        <v/>
      </c>
    </row>
    <row r="18498">
      <c r="A18498">
        <f>Input!A18498</f>
        <v/>
      </c>
      <c r="B18498">
        <f>IF(ISNUMBER(Input!B18498),IF(AND(Input!B18498&gt;=20,Input!B18498&lt;=700),Input!B18498,""),"")</f>
        <v/>
      </c>
      <c r="C18498">
        <f>IF(B18498="","",INT(A18498))</f>
        <v/>
      </c>
      <c r="D18498">
        <f>IF(B18498="","",HOUR(A18498))</f>
        <v/>
      </c>
    </row>
    <row r="18499">
      <c r="A18499">
        <f>Input!A18499</f>
        <v/>
      </c>
      <c r="B18499">
        <f>IF(ISNUMBER(Input!B18499),IF(AND(Input!B18499&gt;=20,Input!B18499&lt;=700),Input!B18499,""),"")</f>
        <v/>
      </c>
      <c r="C18499">
        <f>IF(B18499="","",INT(A18499))</f>
        <v/>
      </c>
      <c r="D18499">
        <f>IF(B18499="","",HOUR(A18499))</f>
        <v/>
      </c>
    </row>
    <row r="18500">
      <c r="A18500">
        <f>Input!A18500</f>
        <v/>
      </c>
      <c r="B18500">
        <f>IF(ISNUMBER(Input!B18500),IF(AND(Input!B18500&gt;=20,Input!B18500&lt;=700),Input!B18500,""),"")</f>
        <v/>
      </c>
      <c r="C18500">
        <f>IF(B18500="","",INT(A18500))</f>
        <v/>
      </c>
      <c r="D18500">
        <f>IF(B18500="","",HOUR(A18500))</f>
        <v/>
      </c>
    </row>
    <row r="18501">
      <c r="A18501">
        <f>Input!A18501</f>
        <v/>
      </c>
      <c r="B18501">
        <f>IF(ISNUMBER(Input!B18501),IF(AND(Input!B18501&gt;=20,Input!B18501&lt;=700),Input!B18501,""),"")</f>
        <v/>
      </c>
      <c r="C18501">
        <f>IF(B18501="","",INT(A18501))</f>
        <v/>
      </c>
      <c r="D18501">
        <f>IF(B18501="","",HOUR(A18501))</f>
        <v/>
      </c>
    </row>
    <row r="18502">
      <c r="A18502">
        <f>Input!A18502</f>
        <v/>
      </c>
      <c r="B18502">
        <f>IF(ISNUMBER(Input!B18502),IF(AND(Input!B18502&gt;=20,Input!B18502&lt;=700),Input!B18502,""),"")</f>
        <v/>
      </c>
      <c r="C18502">
        <f>IF(B18502="","",INT(A18502))</f>
        <v/>
      </c>
      <c r="D18502">
        <f>IF(B18502="","",HOUR(A18502))</f>
        <v/>
      </c>
    </row>
    <row r="18503">
      <c r="A18503">
        <f>Input!A18503</f>
        <v/>
      </c>
      <c r="B18503">
        <f>IF(ISNUMBER(Input!B18503),IF(AND(Input!B18503&gt;=20,Input!B18503&lt;=700),Input!B18503,""),"")</f>
        <v/>
      </c>
      <c r="C18503">
        <f>IF(B18503="","",INT(A18503))</f>
        <v/>
      </c>
      <c r="D18503">
        <f>IF(B18503="","",HOUR(A18503))</f>
        <v/>
      </c>
    </row>
    <row r="18504">
      <c r="A18504">
        <f>Input!A18504</f>
        <v/>
      </c>
      <c r="B18504">
        <f>IF(ISNUMBER(Input!B18504),IF(AND(Input!B18504&gt;=20,Input!B18504&lt;=700),Input!B18504,""),"")</f>
        <v/>
      </c>
      <c r="C18504">
        <f>IF(B18504="","",INT(A18504))</f>
        <v/>
      </c>
      <c r="D18504">
        <f>IF(B18504="","",HOUR(A18504))</f>
        <v/>
      </c>
    </row>
    <row r="18505">
      <c r="A18505">
        <f>Input!A18505</f>
        <v/>
      </c>
      <c r="B18505">
        <f>IF(ISNUMBER(Input!B18505),IF(AND(Input!B18505&gt;=20,Input!B18505&lt;=700),Input!B18505,""),"")</f>
        <v/>
      </c>
      <c r="C18505">
        <f>IF(B18505="","",INT(A18505))</f>
        <v/>
      </c>
      <c r="D18505">
        <f>IF(B18505="","",HOUR(A18505))</f>
        <v/>
      </c>
    </row>
    <row r="18506">
      <c r="A18506">
        <f>Input!A18506</f>
        <v/>
      </c>
      <c r="B18506">
        <f>IF(ISNUMBER(Input!B18506),IF(AND(Input!B18506&gt;=20,Input!B18506&lt;=700),Input!B18506,""),"")</f>
        <v/>
      </c>
      <c r="C18506">
        <f>IF(B18506="","",INT(A18506))</f>
        <v/>
      </c>
      <c r="D18506">
        <f>IF(B18506="","",HOUR(A18506))</f>
        <v/>
      </c>
    </row>
    <row r="18507">
      <c r="A18507">
        <f>Input!A18507</f>
        <v/>
      </c>
      <c r="B18507">
        <f>IF(ISNUMBER(Input!B18507),IF(AND(Input!B18507&gt;=20,Input!B18507&lt;=700),Input!B18507,""),"")</f>
        <v/>
      </c>
      <c r="C18507">
        <f>IF(B18507="","",INT(A18507))</f>
        <v/>
      </c>
      <c r="D18507">
        <f>IF(B18507="","",HOUR(A18507))</f>
        <v/>
      </c>
    </row>
    <row r="18508">
      <c r="A18508">
        <f>Input!A18508</f>
        <v/>
      </c>
      <c r="B18508">
        <f>IF(ISNUMBER(Input!B18508),IF(AND(Input!B18508&gt;=20,Input!B18508&lt;=700),Input!B18508,""),"")</f>
        <v/>
      </c>
      <c r="C18508">
        <f>IF(B18508="","",INT(A18508))</f>
        <v/>
      </c>
      <c r="D18508">
        <f>IF(B18508="","",HOUR(A18508))</f>
        <v/>
      </c>
    </row>
    <row r="18509">
      <c r="A18509">
        <f>Input!A18509</f>
        <v/>
      </c>
      <c r="B18509">
        <f>IF(ISNUMBER(Input!B18509),IF(AND(Input!B18509&gt;=20,Input!B18509&lt;=700),Input!B18509,""),"")</f>
        <v/>
      </c>
      <c r="C18509">
        <f>IF(B18509="","",INT(A18509))</f>
        <v/>
      </c>
      <c r="D18509">
        <f>IF(B18509="","",HOUR(A18509))</f>
        <v/>
      </c>
    </row>
    <row r="18510">
      <c r="A18510">
        <f>Input!A18510</f>
        <v/>
      </c>
      <c r="B18510">
        <f>IF(ISNUMBER(Input!B18510),IF(AND(Input!B18510&gt;=20,Input!B18510&lt;=700),Input!B18510,""),"")</f>
        <v/>
      </c>
      <c r="C18510">
        <f>IF(B18510="","",INT(A18510))</f>
        <v/>
      </c>
      <c r="D18510">
        <f>IF(B18510="","",HOUR(A18510))</f>
        <v/>
      </c>
    </row>
    <row r="18511">
      <c r="A18511">
        <f>Input!A18511</f>
        <v/>
      </c>
      <c r="B18511">
        <f>IF(ISNUMBER(Input!B18511),IF(AND(Input!B18511&gt;=20,Input!B18511&lt;=700),Input!B18511,""),"")</f>
        <v/>
      </c>
      <c r="C18511">
        <f>IF(B18511="","",INT(A18511))</f>
        <v/>
      </c>
      <c r="D18511">
        <f>IF(B18511="","",HOUR(A18511))</f>
        <v/>
      </c>
    </row>
    <row r="18512">
      <c r="A18512">
        <f>Input!A18512</f>
        <v/>
      </c>
      <c r="B18512">
        <f>IF(ISNUMBER(Input!B18512),IF(AND(Input!B18512&gt;=20,Input!B18512&lt;=700),Input!B18512,""),"")</f>
        <v/>
      </c>
      <c r="C18512">
        <f>IF(B18512="","",INT(A18512))</f>
        <v/>
      </c>
      <c r="D18512">
        <f>IF(B18512="","",HOUR(A18512))</f>
        <v/>
      </c>
    </row>
    <row r="18513">
      <c r="A18513">
        <f>Input!A18513</f>
        <v/>
      </c>
      <c r="B18513">
        <f>IF(ISNUMBER(Input!B18513),IF(AND(Input!B18513&gt;=20,Input!B18513&lt;=700),Input!B18513,""),"")</f>
        <v/>
      </c>
      <c r="C18513">
        <f>IF(B18513="","",INT(A18513))</f>
        <v/>
      </c>
      <c r="D18513">
        <f>IF(B18513="","",HOUR(A18513))</f>
        <v/>
      </c>
    </row>
    <row r="18514">
      <c r="A18514">
        <f>Input!A18514</f>
        <v/>
      </c>
      <c r="B18514">
        <f>IF(ISNUMBER(Input!B18514),IF(AND(Input!B18514&gt;=20,Input!B18514&lt;=700),Input!B18514,""),"")</f>
        <v/>
      </c>
      <c r="C18514">
        <f>IF(B18514="","",INT(A18514))</f>
        <v/>
      </c>
      <c r="D18514">
        <f>IF(B18514="","",HOUR(A18514))</f>
        <v/>
      </c>
    </row>
    <row r="18515">
      <c r="A18515">
        <f>Input!A18515</f>
        <v/>
      </c>
      <c r="B18515">
        <f>IF(ISNUMBER(Input!B18515),IF(AND(Input!B18515&gt;=20,Input!B18515&lt;=700),Input!B18515,""),"")</f>
        <v/>
      </c>
      <c r="C18515">
        <f>IF(B18515="","",INT(A18515))</f>
        <v/>
      </c>
      <c r="D18515">
        <f>IF(B18515="","",HOUR(A18515))</f>
        <v/>
      </c>
    </row>
    <row r="18516">
      <c r="A18516">
        <f>Input!A18516</f>
        <v/>
      </c>
      <c r="B18516">
        <f>IF(ISNUMBER(Input!B18516),IF(AND(Input!B18516&gt;=20,Input!B18516&lt;=700),Input!B18516,""),"")</f>
        <v/>
      </c>
      <c r="C18516">
        <f>IF(B18516="","",INT(A18516))</f>
        <v/>
      </c>
      <c r="D18516">
        <f>IF(B18516="","",HOUR(A18516))</f>
        <v/>
      </c>
    </row>
    <row r="18517">
      <c r="A18517">
        <f>Input!A18517</f>
        <v/>
      </c>
      <c r="B18517">
        <f>IF(ISNUMBER(Input!B18517),IF(AND(Input!B18517&gt;=20,Input!B18517&lt;=700),Input!B18517,""),"")</f>
        <v/>
      </c>
      <c r="C18517">
        <f>IF(B18517="","",INT(A18517))</f>
        <v/>
      </c>
      <c r="D18517">
        <f>IF(B18517="","",HOUR(A18517))</f>
        <v/>
      </c>
    </row>
    <row r="18518">
      <c r="A18518">
        <f>Input!A18518</f>
        <v/>
      </c>
      <c r="B18518">
        <f>IF(ISNUMBER(Input!B18518),IF(AND(Input!B18518&gt;=20,Input!B18518&lt;=700),Input!B18518,""),"")</f>
        <v/>
      </c>
      <c r="C18518">
        <f>IF(B18518="","",INT(A18518))</f>
        <v/>
      </c>
      <c r="D18518">
        <f>IF(B18518="","",HOUR(A18518))</f>
        <v/>
      </c>
    </row>
    <row r="18519">
      <c r="A18519">
        <f>Input!A18519</f>
        <v/>
      </c>
      <c r="B18519">
        <f>IF(ISNUMBER(Input!B18519),IF(AND(Input!B18519&gt;=20,Input!B18519&lt;=700),Input!B18519,""),"")</f>
        <v/>
      </c>
      <c r="C18519">
        <f>IF(B18519="","",INT(A18519))</f>
        <v/>
      </c>
      <c r="D18519">
        <f>IF(B18519="","",HOUR(A18519))</f>
        <v/>
      </c>
    </row>
    <row r="18520">
      <c r="A18520">
        <f>Input!A18520</f>
        <v/>
      </c>
      <c r="B18520">
        <f>IF(ISNUMBER(Input!B18520),IF(AND(Input!B18520&gt;=20,Input!B18520&lt;=700),Input!B18520,""),"")</f>
        <v/>
      </c>
      <c r="C18520">
        <f>IF(B18520="","",INT(A18520))</f>
        <v/>
      </c>
      <c r="D18520">
        <f>IF(B18520="","",HOUR(A18520))</f>
        <v/>
      </c>
    </row>
    <row r="18521">
      <c r="A18521">
        <f>Input!A18521</f>
        <v/>
      </c>
      <c r="B18521">
        <f>IF(ISNUMBER(Input!B18521),IF(AND(Input!B18521&gt;=20,Input!B18521&lt;=700),Input!B18521,""),"")</f>
        <v/>
      </c>
      <c r="C18521">
        <f>IF(B18521="","",INT(A18521))</f>
        <v/>
      </c>
      <c r="D18521">
        <f>IF(B18521="","",HOUR(A18521))</f>
        <v/>
      </c>
    </row>
    <row r="18522">
      <c r="A18522">
        <f>Input!A18522</f>
        <v/>
      </c>
      <c r="B18522">
        <f>IF(ISNUMBER(Input!B18522),IF(AND(Input!B18522&gt;=20,Input!B18522&lt;=700),Input!B18522,""),"")</f>
        <v/>
      </c>
      <c r="C18522">
        <f>IF(B18522="","",INT(A18522))</f>
        <v/>
      </c>
      <c r="D18522">
        <f>IF(B18522="","",HOUR(A18522))</f>
        <v/>
      </c>
    </row>
    <row r="18523">
      <c r="A18523">
        <f>Input!A18523</f>
        <v/>
      </c>
      <c r="B18523">
        <f>IF(ISNUMBER(Input!B18523),IF(AND(Input!B18523&gt;=20,Input!B18523&lt;=700),Input!B18523,""),"")</f>
        <v/>
      </c>
      <c r="C18523">
        <f>IF(B18523="","",INT(A18523))</f>
        <v/>
      </c>
      <c r="D18523">
        <f>IF(B18523="","",HOUR(A18523))</f>
        <v/>
      </c>
    </row>
    <row r="18524">
      <c r="A18524">
        <f>Input!A18524</f>
        <v/>
      </c>
      <c r="B18524">
        <f>IF(ISNUMBER(Input!B18524),IF(AND(Input!B18524&gt;=20,Input!B18524&lt;=700),Input!B18524,""),"")</f>
        <v/>
      </c>
      <c r="C18524">
        <f>IF(B18524="","",INT(A18524))</f>
        <v/>
      </c>
      <c r="D18524">
        <f>IF(B18524="","",HOUR(A18524))</f>
        <v/>
      </c>
    </row>
    <row r="18525">
      <c r="A18525">
        <f>Input!A18525</f>
        <v/>
      </c>
      <c r="B18525">
        <f>IF(ISNUMBER(Input!B18525),IF(AND(Input!B18525&gt;=20,Input!B18525&lt;=700),Input!B18525,""),"")</f>
        <v/>
      </c>
      <c r="C18525">
        <f>IF(B18525="","",INT(A18525))</f>
        <v/>
      </c>
      <c r="D18525">
        <f>IF(B18525="","",HOUR(A18525))</f>
        <v/>
      </c>
    </row>
    <row r="18526">
      <c r="A18526">
        <f>Input!A18526</f>
        <v/>
      </c>
      <c r="B18526">
        <f>IF(ISNUMBER(Input!B18526),IF(AND(Input!B18526&gt;=20,Input!B18526&lt;=700),Input!B18526,""),"")</f>
        <v/>
      </c>
      <c r="C18526">
        <f>IF(B18526="","",INT(A18526))</f>
        <v/>
      </c>
      <c r="D18526">
        <f>IF(B18526="","",HOUR(A18526))</f>
        <v/>
      </c>
    </row>
    <row r="18527">
      <c r="A18527">
        <f>Input!A18527</f>
        <v/>
      </c>
      <c r="B18527">
        <f>IF(ISNUMBER(Input!B18527),IF(AND(Input!B18527&gt;=20,Input!B18527&lt;=700),Input!B18527,""),"")</f>
        <v/>
      </c>
      <c r="C18527">
        <f>IF(B18527="","",INT(A18527))</f>
        <v/>
      </c>
      <c r="D18527">
        <f>IF(B18527="","",HOUR(A18527))</f>
        <v/>
      </c>
    </row>
    <row r="18528">
      <c r="A18528">
        <f>Input!A18528</f>
        <v/>
      </c>
      <c r="B18528">
        <f>IF(ISNUMBER(Input!B18528),IF(AND(Input!B18528&gt;=20,Input!B18528&lt;=700),Input!B18528,""),"")</f>
        <v/>
      </c>
      <c r="C18528">
        <f>IF(B18528="","",INT(A18528))</f>
        <v/>
      </c>
      <c r="D18528">
        <f>IF(B18528="","",HOUR(A18528))</f>
        <v/>
      </c>
    </row>
    <row r="18529">
      <c r="A18529">
        <f>Input!A18529</f>
        <v/>
      </c>
      <c r="B18529">
        <f>IF(ISNUMBER(Input!B18529),IF(AND(Input!B18529&gt;=20,Input!B18529&lt;=700),Input!B18529,""),"")</f>
        <v/>
      </c>
      <c r="C18529">
        <f>IF(B18529="","",INT(A18529))</f>
        <v/>
      </c>
      <c r="D18529">
        <f>IF(B18529="","",HOUR(A18529))</f>
        <v/>
      </c>
    </row>
    <row r="18530">
      <c r="A18530">
        <f>Input!A18530</f>
        <v/>
      </c>
      <c r="B18530">
        <f>IF(ISNUMBER(Input!B18530),IF(AND(Input!B18530&gt;=20,Input!B18530&lt;=700),Input!B18530,""),"")</f>
        <v/>
      </c>
      <c r="C18530">
        <f>IF(B18530="","",INT(A18530))</f>
        <v/>
      </c>
      <c r="D18530">
        <f>IF(B18530="","",HOUR(A18530))</f>
        <v/>
      </c>
    </row>
    <row r="18531">
      <c r="A18531">
        <f>Input!A18531</f>
        <v/>
      </c>
      <c r="B18531">
        <f>IF(ISNUMBER(Input!B18531),IF(AND(Input!B18531&gt;=20,Input!B18531&lt;=700),Input!B18531,""),"")</f>
        <v/>
      </c>
      <c r="C18531">
        <f>IF(B18531="","",INT(A18531))</f>
        <v/>
      </c>
      <c r="D18531">
        <f>IF(B18531="","",HOUR(A18531))</f>
        <v/>
      </c>
    </row>
    <row r="18532">
      <c r="A18532">
        <f>Input!A18532</f>
        <v/>
      </c>
      <c r="B18532">
        <f>IF(ISNUMBER(Input!B18532),IF(AND(Input!B18532&gt;=20,Input!B18532&lt;=700),Input!B18532,""),"")</f>
        <v/>
      </c>
      <c r="C18532">
        <f>IF(B18532="","",INT(A18532))</f>
        <v/>
      </c>
      <c r="D18532">
        <f>IF(B18532="","",HOUR(A18532))</f>
        <v/>
      </c>
    </row>
    <row r="18533">
      <c r="A18533">
        <f>Input!A18533</f>
        <v/>
      </c>
      <c r="B18533">
        <f>IF(ISNUMBER(Input!B18533),IF(AND(Input!B18533&gt;=20,Input!B18533&lt;=700),Input!B18533,""),"")</f>
        <v/>
      </c>
      <c r="C18533">
        <f>IF(B18533="","",INT(A18533))</f>
        <v/>
      </c>
      <c r="D18533">
        <f>IF(B18533="","",HOUR(A18533))</f>
        <v/>
      </c>
    </row>
    <row r="18534">
      <c r="A18534">
        <f>Input!A18534</f>
        <v/>
      </c>
      <c r="B18534">
        <f>IF(ISNUMBER(Input!B18534),IF(AND(Input!B18534&gt;=20,Input!B18534&lt;=700),Input!B18534,""),"")</f>
        <v/>
      </c>
      <c r="C18534">
        <f>IF(B18534="","",INT(A18534))</f>
        <v/>
      </c>
      <c r="D18534">
        <f>IF(B18534="","",HOUR(A18534))</f>
        <v/>
      </c>
    </row>
    <row r="18535">
      <c r="A18535">
        <f>Input!A18535</f>
        <v/>
      </c>
      <c r="B18535">
        <f>IF(ISNUMBER(Input!B18535),IF(AND(Input!B18535&gt;=20,Input!B18535&lt;=700),Input!B18535,""),"")</f>
        <v/>
      </c>
      <c r="C18535">
        <f>IF(B18535="","",INT(A18535))</f>
        <v/>
      </c>
      <c r="D18535">
        <f>IF(B18535="","",HOUR(A18535))</f>
        <v/>
      </c>
    </row>
    <row r="18536">
      <c r="A18536">
        <f>Input!A18536</f>
        <v/>
      </c>
      <c r="B18536">
        <f>IF(ISNUMBER(Input!B18536),IF(AND(Input!B18536&gt;=20,Input!B18536&lt;=700),Input!B18536,""),"")</f>
        <v/>
      </c>
      <c r="C18536">
        <f>IF(B18536="","",INT(A18536))</f>
        <v/>
      </c>
      <c r="D18536">
        <f>IF(B18536="","",HOUR(A18536))</f>
        <v/>
      </c>
    </row>
    <row r="18537">
      <c r="A18537">
        <f>Input!A18537</f>
        <v/>
      </c>
      <c r="B18537">
        <f>IF(ISNUMBER(Input!B18537),IF(AND(Input!B18537&gt;=20,Input!B18537&lt;=700),Input!B18537,""),"")</f>
        <v/>
      </c>
      <c r="C18537">
        <f>IF(B18537="","",INT(A18537))</f>
        <v/>
      </c>
      <c r="D18537">
        <f>IF(B18537="","",HOUR(A18537))</f>
        <v/>
      </c>
    </row>
    <row r="18538">
      <c r="A18538">
        <f>Input!A18538</f>
        <v/>
      </c>
      <c r="B18538">
        <f>IF(ISNUMBER(Input!B18538),IF(AND(Input!B18538&gt;=20,Input!B18538&lt;=700),Input!B18538,""),"")</f>
        <v/>
      </c>
      <c r="C18538">
        <f>IF(B18538="","",INT(A18538))</f>
        <v/>
      </c>
      <c r="D18538">
        <f>IF(B18538="","",HOUR(A18538))</f>
        <v/>
      </c>
    </row>
    <row r="18539">
      <c r="A18539">
        <f>Input!A18539</f>
        <v/>
      </c>
      <c r="B18539">
        <f>IF(ISNUMBER(Input!B18539),IF(AND(Input!B18539&gt;=20,Input!B18539&lt;=700),Input!B18539,""),"")</f>
        <v/>
      </c>
      <c r="C18539">
        <f>IF(B18539="","",INT(A18539))</f>
        <v/>
      </c>
      <c r="D18539">
        <f>IF(B18539="","",HOUR(A18539))</f>
        <v/>
      </c>
    </row>
    <row r="18540">
      <c r="A18540">
        <f>Input!A18540</f>
        <v/>
      </c>
      <c r="B18540">
        <f>IF(ISNUMBER(Input!B18540),IF(AND(Input!B18540&gt;=20,Input!B18540&lt;=700),Input!B18540,""),"")</f>
        <v/>
      </c>
      <c r="C18540">
        <f>IF(B18540="","",INT(A18540))</f>
        <v/>
      </c>
      <c r="D18540">
        <f>IF(B18540="","",HOUR(A18540))</f>
        <v/>
      </c>
    </row>
    <row r="18541">
      <c r="A18541">
        <f>Input!A18541</f>
        <v/>
      </c>
      <c r="B18541">
        <f>IF(ISNUMBER(Input!B18541),IF(AND(Input!B18541&gt;=20,Input!B18541&lt;=700),Input!B18541,""),"")</f>
        <v/>
      </c>
      <c r="C18541">
        <f>IF(B18541="","",INT(A18541))</f>
        <v/>
      </c>
      <c r="D18541">
        <f>IF(B18541="","",HOUR(A18541))</f>
        <v/>
      </c>
    </row>
    <row r="18542">
      <c r="A18542">
        <f>Input!A18542</f>
        <v/>
      </c>
      <c r="B18542">
        <f>IF(ISNUMBER(Input!B18542),IF(AND(Input!B18542&gt;=20,Input!B18542&lt;=700),Input!B18542,""),"")</f>
        <v/>
      </c>
      <c r="C18542">
        <f>IF(B18542="","",INT(A18542))</f>
        <v/>
      </c>
      <c r="D18542">
        <f>IF(B18542="","",HOUR(A18542))</f>
        <v/>
      </c>
    </row>
    <row r="18543">
      <c r="A18543">
        <f>Input!A18543</f>
        <v/>
      </c>
      <c r="B18543">
        <f>IF(ISNUMBER(Input!B18543),IF(AND(Input!B18543&gt;=20,Input!B18543&lt;=700),Input!B18543,""),"")</f>
        <v/>
      </c>
      <c r="C18543">
        <f>IF(B18543="","",INT(A18543))</f>
        <v/>
      </c>
      <c r="D18543">
        <f>IF(B18543="","",HOUR(A18543))</f>
        <v/>
      </c>
    </row>
    <row r="18544">
      <c r="A18544">
        <f>Input!A18544</f>
        <v/>
      </c>
      <c r="B18544">
        <f>IF(ISNUMBER(Input!B18544),IF(AND(Input!B18544&gt;=20,Input!B18544&lt;=700),Input!B18544,""),"")</f>
        <v/>
      </c>
      <c r="C18544">
        <f>IF(B18544="","",INT(A18544))</f>
        <v/>
      </c>
      <c r="D18544">
        <f>IF(B18544="","",HOUR(A18544))</f>
        <v/>
      </c>
    </row>
    <row r="18545">
      <c r="A18545">
        <f>Input!A18545</f>
        <v/>
      </c>
      <c r="B18545">
        <f>IF(ISNUMBER(Input!B18545),IF(AND(Input!B18545&gt;=20,Input!B18545&lt;=700),Input!B18545,""),"")</f>
        <v/>
      </c>
      <c r="C18545">
        <f>IF(B18545="","",INT(A18545))</f>
        <v/>
      </c>
      <c r="D18545">
        <f>IF(B18545="","",HOUR(A18545))</f>
        <v/>
      </c>
    </row>
    <row r="18546">
      <c r="A18546">
        <f>Input!A18546</f>
        <v/>
      </c>
      <c r="B18546">
        <f>IF(ISNUMBER(Input!B18546),IF(AND(Input!B18546&gt;=20,Input!B18546&lt;=700),Input!B18546,""),"")</f>
        <v/>
      </c>
      <c r="C18546">
        <f>IF(B18546="","",INT(A18546))</f>
        <v/>
      </c>
      <c r="D18546">
        <f>IF(B18546="","",HOUR(A18546))</f>
        <v/>
      </c>
    </row>
    <row r="18547">
      <c r="A18547">
        <f>Input!A18547</f>
        <v/>
      </c>
      <c r="B18547">
        <f>IF(ISNUMBER(Input!B18547),IF(AND(Input!B18547&gt;=20,Input!B18547&lt;=700),Input!B18547,""),"")</f>
        <v/>
      </c>
      <c r="C18547">
        <f>IF(B18547="","",INT(A18547))</f>
        <v/>
      </c>
      <c r="D18547">
        <f>IF(B18547="","",HOUR(A18547))</f>
        <v/>
      </c>
    </row>
    <row r="18548">
      <c r="A18548">
        <f>Input!A18548</f>
        <v/>
      </c>
      <c r="B18548">
        <f>IF(ISNUMBER(Input!B18548),IF(AND(Input!B18548&gt;=20,Input!B18548&lt;=700),Input!B18548,""),"")</f>
        <v/>
      </c>
      <c r="C18548">
        <f>IF(B18548="","",INT(A18548))</f>
        <v/>
      </c>
      <c r="D18548">
        <f>IF(B18548="","",HOUR(A18548))</f>
        <v/>
      </c>
    </row>
    <row r="18549">
      <c r="A18549">
        <f>Input!A18549</f>
        <v/>
      </c>
      <c r="B18549">
        <f>IF(ISNUMBER(Input!B18549),IF(AND(Input!B18549&gt;=20,Input!B18549&lt;=700),Input!B18549,""),"")</f>
        <v/>
      </c>
      <c r="C18549">
        <f>IF(B18549="","",INT(A18549))</f>
        <v/>
      </c>
      <c r="D18549">
        <f>IF(B18549="","",HOUR(A18549))</f>
        <v/>
      </c>
    </row>
    <row r="18550">
      <c r="A18550">
        <f>Input!A18550</f>
        <v/>
      </c>
      <c r="B18550">
        <f>IF(ISNUMBER(Input!B18550),IF(AND(Input!B18550&gt;=20,Input!B18550&lt;=700),Input!B18550,""),"")</f>
        <v/>
      </c>
      <c r="C18550">
        <f>IF(B18550="","",INT(A18550))</f>
        <v/>
      </c>
      <c r="D18550">
        <f>IF(B18550="","",HOUR(A18550))</f>
        <v/>
      </c>
    </row>
    <row r="18551">
      <c r="A18551">
        <f>Input!A18551</f>
        <v/>
      </c>
      <c r="B18551">
        <f>IF(ISNUMBER(Input!B18551),IF(AND(Input!B18551&gt;=20,Input!B18551&lt;=700),Input!B18551,""),"")</f>
        <v/>
      </c>
      <c r="C18551">
        <f>IF(B18551="","",INT(A18551))</f>
        <v/>
      </c>
      <c r="D18551">
        <f>IF(B18551="","",HOUR(A18551))</f>
        <v/>
      </c>
    </row>
    <row r="18552">
      <c r="A18552">
        <f>Input!A18552</f>
        <v/>
      </c>
      <c r="B18552">
        <f>IF(ISNUMBER(Input!B18552),IF(AND(Input!B18552&gt;=20,Input!B18552&lt;=700),Input!B18552,""),"")</f>
        <v/>
      </c>
      <c r="C18552">
        <f>IF(B18552="","",INT(A18552))</f>
        <v/>
      </c>
      <c r="D18552">
        <f>IF(B18552="","",HOUR(A18552))</f>
        <v/>
      </c>
    </row>
    <row r="18553">
      <c r="A18553">
        <f>Input!A18553</f>
        <v/>
      </c>
      <c r="B18553">
        <f>IF(ISNUMBER(Input!B18553),IF(AND(Input!B18553&gt;=20,Input!B18553&lt;=700),Input!B18553,""),"")</f>
        <v/>
      </c>
      <c r="C18553">
        <f>IF(B18553="","",INT(A18553))</f>
        <v/>
      </c>
      <c r="D18553">
        <f>IF(B18553="","",HOUR(A18553))</f>
        <v/>
      </c>
    </row>
    <row r="18554">
      <c r="A18554">
        <f>Input!A18554</f>
        <v/>
      </c>
      <c r="B18554">
        <f>IF(ISNUMBER(Input!B18554),IF(AND(Input!B18554&gt;=20,Input!B18554&lt;=700),Input!B18554,""),"")</f>
        <v/>
      </c>
      <c r="C18554">
        <f>IF(B18554="","",INT(A18554))</f>
        <v/>
      </c>
      <c r="D18554">
        <f>IF(B18554="","",HOUR(A18554))</f>
        <v/>
      </c>
    </row>
    <row r="18555">
      <c r="A18555">
        <f>Input!A18555</f>
        <v/>
      </c>
      <c r="B18555">
        <f>IF(ISNUMBER(Input!B18555),IF(AND(Input!B18555&gt;=20,Input!B18555&lt;=700),Input!B18555,""),"")</f>
        <v/>
      </c>
      <c r="C18555">
        <f>IF(B18555="","",INT(A18555))</f>
        <v/>
      </c>
      <c r="D18555">
        <f>IF(B18555="","",HOUR(A18555))</f>
        <v/>
      </c>
    </row>
    <row r="18556">
      <c r="A18556">
        <f>Input!A18556</f>
        <v/>
      </c>
      <c r="B18556">
        <f>IF(ISNUMBER(Input!B18556),IF(AND(Input!B18556&gt;=20,Input!B18556&lt;=700),Input!B18556,""),"")</f>
        <v/>
      </c>
      <c r="C18556">
        <f>IF(B18556="","",INT(A18556))</f>
        <v/>
      </c>
      <c r="D18556">
        <f>IF(B18556="","",HOUR(A18556))</f>
        <v/>
      </c>
    </row>
    <row r="18557">
      <c r="A18557">
        <f>Input!A18557</f>
        <v/>
      </c>
      <c r="B18557">
        <f>IF(ISNUMBER(Input!B18557),IF(AND(Input!B18557&gt;=20,Input!B18557&lt;=700),Input!B18557,""),"")</f>
        <v/>
      </c>
      <c r="C18557">
        <f>IF(B18557="","",INT(A18557))</f>
        <v/>
      </c>
      <c r="D18557">
        <f>IF(B18557="","",HOUR(A18557))</f>
        <v/>
      </c>
    </row>
    <row r="18558">
      <c r="A18558">
        <f>Input!A18558</f>
        <v/>
      </c>
      <c r="B18558">
        <f>IF(ISNUMBER(Input!B18558),IF(AND(Input!B18558&gt;=20,Input!B18558&lt;=700),Input!B18558,""),"")</f>
        <v/>
      </c>
      <c r="C18558">
        <f>IF(B18558="","",INT(A18558))</f>
        <v/>
      </c>
      <c r="D18558">
        <f>IF(B18558="","",HOUR(A18558))</f>
        <v/>
      </c>
    </row>
    <row r="18559">
      <c r="A18559">
        <f>Input!A18559</f>
        <v/>
      </c>
      <c r="B18559">
        <f>IF(ISNUMBER(Input!B18559),IF(AND(Input!B18559&gt;=20,Input!B18559&lt;=700),Input!B18559,""),"")</f>
        <v/>
      </c>
      <c r="C18559">
        <f>IF(B18559="","",INT(A18559))</f>
        <v/>
      </c>
      <c r="D18559">
        <f>IF(B18559="","",HOUR(A18559))</f>
        <v/>
      </c>
    </row>
    <row r="18560">
      <c r="A18560">
        <f>Input!A18560</f>
        <v/>
      </c>
      <c r="B18560">
        <f>IF(ISNUMBER(Input!B18560),IF(AND(Input!B18560&gt;=20,Input!B18560&lt;=700),Input!B18560,""),"")</f>
        <v/>
      </c>
      <c r="C18560">
        <f>IF(B18560="","",INT(A18560))</f>
        <v/>
      </c>
      <c r="D18560">
        <f>IF(B18560="","",HOUR(A18560))</f>
        <v/>
      </c>
    </row>
    <row r="18561">
      <c r="A18561">
        <f>Input!A18561</f>
        <v/>
      </c>
      <c r="B18561">
        <f>IF(ISNUMBER(Input!B18561),IF(AND(Input!B18561&gt;=20,Input!B18561&lt;=700),Input!B18561,""),"")</f>
        <v/>
      </c>
      <c r="C18561">
        <f>IF(B18561="","",INT(A18561))</f>
        <v/>
      </c>
      <c r="D18561">
        <f>IF(B18561="","",HOUR(A18561))</f>
        <v/>
      </c>
    </row>
    <row r="18562">
      <c r="A18562">
        <f>Input!A18562</f>
        <v/>
      </c>
      <c r="B18562">
        <f>IF(ISNUMBER(Input!B18562),IF(AND(Input!B18562&gt;=20,Input!B18562&lt;=700),Input!B18562,""),"")</f>
        <v/>
      </c>
      <c r="C18562">
        <f>IF(B18562="","",INT(A18562))</f>
        <v/>
      </c>
      <c r="D18562">
        <f>IF(B18562="","",HOUR(A18562))</f>
        <v/>
      </c>
    </row>
    <row r="18563">
      <c r="A18563">
        <f>Input!A18563</f>
        <v/>
      </c>
      <c r="B18563">
        <f>IF(ISNUMBER(Input!B18563),IF(AND(Input!B18563&gt;=20,Input!B18563&lt;=700),Input!B18563,""),"")</f>
        <v/>
      </c>
      <c r="C18563">
        <f>IF(B18563="","",INT(A18563))</f>
        <v/>
      </c>
      <c r="D18563">
        <f>IF(B18563="","",HOUR(A18563))</f>
        <v/>
      </c>
    </row>
    <row r="18564">
      <c r="A18564">
        <f>Input!A18564</f>
        <v/>
      </c>
      <c r="B18564">
        <f>IF(ISNUMBER(Input!B18564),IF(AND(Input!B18564&gt;=20,Input!B18564&lt;=700),Input!B18564,""),"")</f>
        <v/>
      </c>
      <c r="C18564">
        <f>IF(B18564="","",INT(A18564))</f>
        <v/>
      </c>
      <c r="D18564">
        <f>IF(B18564="","",HOUR(A18564))</f>
        <v/>
      </c>
    </row>
    <row r="18565">
      <c r="A18565">
        <f>Input!A18565</f>
        <v/>
      </c>
      <c r="B18565">
        <f>IF(ISNUMBER(Input!B18565),IF(AND(Input!B18565&gt;=20,Input!B18565&lt;=700),Input!B18565,""),"")</f>
        <v/>
      </c>
      <c r="C18565">
        <f>IF(B18565="","",INT(A18565))</f>
        <v/>
      </c>
      <c r="D18565">
        <f>IF(B18565="","",HOUR(A18565))</f>
        <v/>
      </c>
    </row>
    <row r="18566">
      <c r="A18566">
        <f>Input!A18566</f>
        <v/>
      </c>
      <c r="B18566">
        <f>IF(ISNUMBER(Input!B18566),IF(AND(Input!B18566&gt;=20,Input!B18566&lt;=700),Input!B18566,""),"")</f>
        <v/>
      </c>
      <c r="C18566">
        <f>IF(B18566="","",INT(A18566))</f>
        <v/>
      </c>
      <c r="D18566">
        <f>IF(B18566="","",HOUR(A18566))</f>
        <v/>
      </c>
    </row>
    <row r="18567">
      <c r="A18567">
        <f>Input!A18567</f>
        <v/>
      </c>
      <c r="B18567">
        <f>IF(ISNUMBER(Input!B18567),IF(AND(Input!B18567&gt;=20,Input!B18567&lt;=700),Input!B18567,""),"")</f>
        <v/>
      </c>
      <c r="C18567">
        <f>IF(B18567="","",INT(A18567))</f>
        <v/>
      </c>
      <c r="D18567">
        <f>IF(B18567="","",HOUR(A18567))</f>
        <v/>
      </c>
    </row>
    <row r="18568">
      <c r="A18568">
        <f>Input!A18568</f>
        <v/>
      </c>
      <c r="B18568">
        <f>IF(ISNUMBER(Input!B18568),IF(AND(Input!B18568&gt;=20,Input!B18568&lt;=700),Input!B18568,""),"")</f>
        <v/>
      </c>
      <c r="C18568">
        <f>IF(B18568="","",INT(A18568))</f>
        <v/>
      </c>
      <c r="D18568">
        <f>IF(B18568="","",HOUR(A18568))</f>
        <v/>
      </c>
    </row>
    <row r="18569">
      <c r="A18569">
        <f>Input!A18569</f>
        <v/>
      </c>
      <c r="B18569">
        <f>IF(ISNUMBER(Input!B18569),IF(AND(Input!B18569&gt;=20,Input!B18569&lt;=700),Input!B18569,""),"")</f>
        <v/>
      </c>
      <c r="C18569">
        <f>IF(B18569="","",INT(A18569))</f>
        <v/>
      </c>
      <c r="D18569">
        <f>IF(B18569="","",HOUR(A18569))</f>
        <v/>
      </c>
    </row>
    <row r="18570">
      <c r="A18570">
        <f>Input!A18570</f>
        <v/>
      </c>
      <c r="B18570">
        <f>IF(ISNUMBER(Input!B18570),IF(AND(Input!B18570&gt;=20,Input!B18570&lt;=700),Input!B18570,""),"")</f>
        <v/>
      </c>
      <c r="C18570">
        <f>IF(B18570="","",INT(A18570))</f>
        <v/>
      </c>
      <c r="D18570">
        <f>IF(B18570="","",HOUR(A18570))</f>
        <v/>
      </c>
    </row>
    <row r="18571">
      <c r="A18571">
        <f>Input!A18571</f>
        <v/>
      </c>
      <c r="B18571">
        <f>IF(ISNUMBER(Input!B18571),IF(AND(Input!B18571&gt;=20,Input!B18571&lt;=700),Input!B18571,""),"")</f>
        <v/>
      </c>
      <c r="C18571">
        <f>IF(B18571="","",INT(A18571))</f>
        <v/>
      </c>
      <c r="D18571">
        <f>IF(B18571="","",HOUR(A18571))</f>
        <v/>
      </c>
    </row>
    <row r="18572">
      <c r="A18572">
        <f>Input!A18572</f>
        <v/>
      </c>
      <c r="B18572">
        <f>IF(ISNUMBER(Input!B18572),IF(AND(Input!B18572&gt;=20,Input!B18572&lt;=700),Input!B18572,""),"")</f>
        <v/>
      </c>
      <c r="C18572">
        <f>IF(B18572="","",INT(A18572))</f>
        <v/>
      </c>
      <c r="D18572">
        <f>IF(B18572="","",HOUR(A18572))</f>
        <v/>
      </c>
    </row>
    <row r="18573">
      <c r="A18573">
        <f>Input!A18573</f>
        <v/>
      </c>
      <c r="B18573">
        <f>IF(ISNUMBER(Input!B18573),IF(AND(Input!B18573&gt;=20,Input!B18573&lt;=700),Input!B18573,""),"")</f>
        <v/>
      </c>
      <c r="C18573">
        <f>IF(B18573="","",INT(A18573))</f>
        <v/>
      </c>
      <c r="D18573">
        <f>IF(B18573="","",HOUR(A18573))</f>
        <v/>
      </c>
    </row>
    <row r="18574">
      <c r="A18574">
        <f>Input!A18574</f>
        <v/>
      </c>
      <c r="B18574">
        <f>IF(ISNUMBER(Input!B18574),IF(AND(Input!B18574&gt;=20,Input!B18574&lt;=700),Input!B18574,""),"")</f>
        <v/>
      </c>
      <c r="C18574">
        <f>IF(B18574="","",INT(A18574))</f>
        <v/>
      </c>
      <c r="D18574">
        <f>IF(B18574="","",HOUR(A18574))</f>
        <v/>
      </c>
    </row>
    <row r="18575">
      <c r="A18575">
        <f>Input!A18575</f>
        <v/>
      </c>
      <c r="B18575">
        <f>IF(ISNUMBER(Input!B18575),IF(AND(Input!B18575&gt;=20,Input!B18575&lt;=700),Input!B18575,""),"")</f>
        <v/>
      </c>
      <c r="C18575">
        <f>IF(B18575="","",INT(A18575))</f>
        <v/>
      </c>
      <c r="D18575">
        <f>IF(B18575="","",HOUR(A18575))</f>
        <v/>
      </c>
    </row>
    <row r="18576">
      <c r="A18576">
        <f>Input!A18576</f>
        <v/>
      </c>
      <c r="B18576">
        <f>IF(ISNUMBER(Input!B18576),IF(AND(Input!B18576&gt;=20,Input!B18576&lt;=700),Input!B18576,""),"")</f>
        <v/>
      </c>
      <c r="C18576">
        <f>IF(B18576="","",INT(A18576))</f>
        <v/>
      </c>
      <c r="D18576">
        <f>IF(B18576="","",HOUR(A18576))</f>
        <v/>
      </c>
    </row>
    <row r="18577">
      <c r="A18577">
        <f>Input!A18577</f>
        <v/>
      </c>
      <c r="B18577">
        <f>IF(ISNUMBER(Input!B18577),IF(AND(Input!B18577&gt;=20,Input!B18577&lt;=700),Input!B18577,""),"")</f>
        <v/>
      </c>
      <c r="C18577">
        <f>IF(B18577="","",INT(A18577))</f>
        <v/>
      </c>
      <c r="D18577">
        <f>IF(B18577="","",HOUR(A18577))</f>
        <v/>
      </c>
    </row>
    <row r="18578">
      <c r="A18578">
        <f>Input!A18578</f>
        <v/>
      </c>
      <c r="B18578">
        <f>IF(ISNUMBER(Input!B18578),IF(AND(Input!B18578&gt;=20,Input!B18578&lt;=700),Input!B18578,""),"")</f>
        <v/>
      </c>
      <c r="C18578">
        <f>IF(B18578="","",INT(A18578))</f>
        <v/>
      </c>
      <c r="D18578">
        <f>IF(B18578="","",HOUR(A18578))</f>
        <v/>
      </c>
    </row>
    <row r="18579">
      <c r="A18579">
        <f>Input!A18579</f>
        <v/>
      </c>
      <c r="B18579">
        <f>IF(ISNUMBER(Input!B18579),IF(AND(Input!B18579&gt;=20,Input!B18579&lt;=700),Input!B18579,""),"")</f>
        <v/>
      </c>
      <c r="C18579">
        <f>IF(B18579="","",INT(A18579))</f>
        <v/>
      </c>
      <c r="D18579">
        <f>IF(B18579="","",HOUR(A18579))</f>
        <v/>
      </c>
    </row>
    <row r="18580">
      <c r="A18580">
        <f>Input!A18580</f>
        <v/>
      </c>
      <c r="B18580">
        <f>IF(ISNUMBER(Input!B18580),IF(AND(Input!B18580&gt;=20,Input!B18580&lt;=700),Input!B18580,""),"")</f>
        <v/>
      </c>
      <c r="C18580">
        <f>IF(B18580="","",INT(A18580))</f>
        <v/>
      </c>
      <c r="D18580">
        <f>IF(B18580="","",HOUR(A18580))</f>
        <v/>
      </c>
    </row>
    <row r="18581">
      <c r="A18581">
        <f>Input!A18581</f>
        <v/>
      </c>
      <c r="B18581">
        <f>IF(ISNUMBER(Input!B18581),IF(AND(Input!B18581&gt;=20,Input!B18581&lt;=700),Input!B18581,""),"")</f>
        <v/>
      </c>
      <c r="C18581">
        <f>IF(B18581="","",INT(A18581))</f>
        <v/>
      </c>
      <c r="D18581">
        <f>IF(B18581="","",HOUR(A18581))</f>
        <v/>
      </c>
    </row>
    <row r="18582">
      <c r="A18582">
        <f>Input!A18582</f>
        <v/>
      </c>
      <c r="B18582">
        <f>IF(ISNUMBER(Input!B18582),IF(AND(Input!B18582&gt;=20,Input!B18582&lt;=700),Input!B18582,""),"")</f>
        <v/>
      </c>
      <c r="C18582">
        <f>IF(B18582="","",INT(A18582))</f>
        <v/>
      </c>
      <c r="D18582">
        <f>IF(B18582="","",HOUR(A18582))</f>
        <v/>
      </c>
    </row>
    <row r="18583">
      <c r="A18583">
        <f>Input!A18583</f>
        <v/>
      </c>
      <c r="B18583">
        <f>IF(ISNUMBER(Input!B18583),IF(AND(Input!B18583&gt;=20,Input!B18583&lt;=700),Input!B18583,""),"")</f>
        <v/>
      </c>
      <c r="C18583">
        <f>IF(B18583="","",INT(A18583))</f>
        <v/>
      </c>
      <c r="D18583">
        <f>IF(B18583="","",HOUR(A18583))</f>
        <v/>
      </c>
    </row>
    <row r="18584">
      <c r="A18584">
        <f>Input!A18584</f>
        <v/>
      </c>
      <c r="B18584">
        <f>IF(ISNUMBER(Input!B18584),IF(AND(Input!B18584&gt;=20,Input!B18584&lt;=700),Input!B18584,""),"")</f>
        <v/>
      </c>
      <c r="C18584">
        <f>IF(B18584="","",INT(A18584))</f>
        <v/>
      </c>
      <c r="D18584">
        <f>IF(B18584="","",HOUR(A18584))</f>
        <v/>
      </c>
    </row>
    <row r="18585">
      <c r="A18585">
        <f>Input!A18585</f>
        <v/>
      </c>
      <c r="B18585">
        <f>IF(ISNUMBER(Input!B18585),IF(AND(Input!B18585&gt;=20,Input!B18585&lt;=700),Input!B18585,""),"")</f>
        <v/>
      </c>
      <c r="C18585">
        <f>IF(B18585="","",INT(A18585))</f>
        <v/>
      </c>
      <c r="D18585">
        <f>IF(B18585="","",HOUR(A18585))</f>
        <v/>
      </c>
    </row>
    <row r="18586">
      <c r="A18586">
        <f>Input!A18586</f>
        <v/>
      </c>
      <c r="B18586">
        <f>IF(ISNUMBER(Input!B18586),IF(AND(Input!B18586&gt;=20,Input!B18586&lt;=700),Input!B18586,""),"")</f>
        <v/>
      </c>
      <c r="C18586">
        <f>IF(B18586="","",INT(A18586))</f>
        <v/>
      </c>
      <c r="D18586">
        <f>IF(B18586="","",HOUR(A18586))</f>
        <v/>
      </c>
    </row>
    <row r="18587">
      <c r="A18587">
        <f>Input!A18587</f>
        <v/>
      </c>
      <c r="B18587">
        <f>IF(ISNUMBER(Input!B18587),IF(AND(Input!B18587&gt;=20,Input!B18587&lt;=700),Input!B18587,""),"")</f>
        <v/>
      </c>
      <c r="C18587">
        <f>IF(B18587="","",INT(A18587))</f>
        <v/>
      </c>
      <c r="D18587">
        <f>IF(B18587="","",HOUR(A18587))</f>
        <v/>
      </c>
    </row>
    <row r="18588">
      <c r="A18588">
        <f>Input!A18588</f>
        <v/>
      </c>
      <c r="B18588">
        <f>IF(ISNUMBER(Input!B18588),IF(AND(Input!B18588&gt;=20,Input!B18588&lt;=700),Input!B18588,""),"")</f>
        <v/>
      </c>
      <c r="C18588">
        <f>IF(B18588="","",INT(A18588))</f>
        <v/>
      </c>
      <c r="D18588">
        <f>IF(B18588="","",HOUR(A18588))</f>
        <v/>
      </c>
    </row>
    <row r="18589">
      <c r="A18589">
        <f>Input!A18589</f>
        <v/>
      </c>
      <c r="B18589">
        <f>IF(ISNUMBER(Input!B18589),IF(AND(Input!B18589&gt;=20,Input!B18589&lt;=700),Input!B18589,""),"")</f>
        <v/>
      </c>
      <c r="C18589">
        <f>IF(B18589="","",INT(A18589))</f>
        <v/>
      </c>
      <c r="D18589">
        <f>IF(B18589="","",HOUR(A18589))</f>
        <v/>
      </c>
    </row>
    <row r="18590">
      <c r="A18590">
        <f>Input!A18590</f>
        <v/>
      </c>
      <c r="B18590">
        <f>IF(ISNUMBER(Input!B18590),IF(AND(Input!B18590&gt;=20,Input!B18590&lt;=700),Input!B18590,""),"")</f>
        <v/>
      </c>
      <c r="C18590">
        <f>IF(B18590="","",INT(A18590))</f>
        <v/>
      </c>
      <c r="D18590">
        <f>IF(B18590="","",HOUR(A18590))</f>
        <v/>
      </c>
    </row>
    <row r="18591">
      <c r="A18591">
        <f>Input!A18591</f>
        <v/>
      </c>
      <c r="B18591">
        <f>IF(ISNUMBER(Input!B18591),IF(AND(Input!B18591&gt;=20,Input!B18591&lt;=700),Input!B18591,""),"")</f>
        <v/>
      </c>
      <c r="C18591">
        <f>IF(B18591="","",INT(A18591))</f>
        <v/>
      </c>
      <c r="D18591">
        <f>IF(B18591="","",HOUR(A18591))</f>
        <v/>
      </c>
    </row>
    <row r="18592">
      <c r="A18592">
        <f>Input!A18592</f>
        <v/>
      </c>
      <c r="B18592">
        <f>IF(ISNUMBER(Input!B18592),IF(AND(Input!B18592&gt;=20,Input!B18592&lt;=700),Input!B18592,""),"")</f>
        <v/>
      </c>
      <c r="C18592">
        <f>IF(B18592="","",INT(A18592))</f>
        <v/>
      </c>
      <c r="D18592">
        <f>IF(B18592="","",HOUR(A18592))</f>
        <v/>
      </c>
    </row>
    <row r="18593">
      <c r="A18593">
        <f>Input!A18593</f>
        <v/>
      </c>
      <c r="B18593">
        <f>IF(ISNUMBER(Input!B18593),IF(AND(Input!B18593&gt;=20,Input!B18593&lt;=700),Input!B18593,""),"")</f>
        <v/>
      </c>
      <c r="C18593">
        <f>IF(B18593="","",INT(A18593))</f>
        <v/>
      </c>
      <c r="D18593">
        <f>IF(B18593="","",HOUR(A18593))</f>
        <v/>
      </c>
    </row>
    <row r="18594">
      <c r="A18594">
        <f>Input!A18594</f>
        <v/>
      </c>
      <c r="B18594">
        <f>IF(ISNUMBER(Input!B18594),IF(AND(Input!B18594&gt;=20,Input!B18594&lt;=700),Input!B18594,""),"")</f>
        <v/>
      </c>
      <c r="C18594">
        <f>IF(B18594="","",INT(A18594))</f>
        <v/>
      </c>
      <c r="D18594">
        <f>IF(B18594="","",HOUR(A18594))</f>
        <v/>
      </c>
    </row>
    <row r="18595">
      <c r="A18595">
        <f>Input!A18595</f>
        <v/>
      </c>
      <c r="B18595">
        <f>IF(ISNUMBER(Input!B18595),IF(AND(Input!B18595&gt;=20,Input!B18595&lt;=700),Input!B18595,""),"")</f>
        <v/>
      </c>
      <c r="C18595">
        <f>IF(B18595="","",INT(A18595))</f>
        <v/>
      </c>
      <c r="D18595">
        <f>IF(B18595="","",HOUR(A18595))</f>
        <v/>
      </c>
    </row>
    <row r="18596">
      <c r="A18596">
        <f>Input!A18596</f>
        <v/>
      </c>
      <c r="B18596">
        <f>IF(ISNUMBER(Input!B18596),IF(AND(Input!B18596&gt;=20,Input!B18596&lt;=700),Input!B18596,""),"")</f>
        <v/>
      </c>
      <c r="C18596">
        <f>IF(B18596="","",INT(A18596))</f>
        <v/>
      </c>
      <c r="D18596">
        <f>IF(B18596="","",HOUR(A18596))</f>
        <v/>
      </c>
    </row>
    <row r="18597">
      <c r="A18597">
        <f>Input!A18597</f>
        <v/>
      </c>
      <c r="B18597">
        <f>IF(ISNUMBER(Input!B18597),IF(AND(Input!B18597&gt;=20,Input!B18597&lt;=700),Input!B18597,""),"")</f>
        <v/>
      </c>
      <c r="C18597">
        <f>IF(B18597="","",INT(A18597))</f>
        <v/>
      </c>
      <c r="D18597">
        <f>IF(B18597="","",HOUR(A18597))</f>
        <v/>
      </c>
    </row>
    <row r="18598">
      <c r="A18598">
        <f>Input!A18598</f>
        <v/>
      </c>
      <c r="B18598">
        <f>IF(ISNUMBER(Input!B18598),IF(AND(Input!B18598&gt;=20,Input!B18598&lt;=700),Input!B18598,""),"")</f>
        <v/>
      </c>
      <c r="C18598">
        <f>IF(B18598="","",INT(A18598))</f>
        <v/>
      </c>
      <c r="D18598">
        <f>IF(B18598="","",HOUR(A18598))</f>
        <v/>
      </c>
    </row>
    <row r="18599">
      <c r="A18599">
        <f>Input!A18599</f>
        <v/>
      </c>
      <c r="B18599">
        <f>IF(ISNUMBER(Input!B18599),IF(AND(Input!B18599&gt;=20,Input!B18599&lt;=700),Input!B18599,""),"")</f>
        <v/>
      </c>
      <c r="C18599">
        <f>IF(B18599="","",INT(A18599))</f>
        <v/>
      </c>
      <c r="D18599">
        <f>IF(B18599="","",HOUR(A18599))</f>
        <v/>
      </c>
    </row>
    <row r="18600">
      <c r="A18600">
        <f>Input!A18600</f>
        <v/>
      </c>
      <c r="B18600">
        <f>IF(ISNUMBER(Input!B18600),IF(AND(Input!B18600&gt;=20,Input!B18600&lt;=700),Input!B18600,""),"")</f>
        <v/>
      </c>
      <c r="C18600">
        <f>IF(B18600="","",INT(A18600))</f>
        <v/>
      </c>
      <c r="D18600">
        <f>IF(B18600="","",HOUR(A18600))</f>
        <v/>
      </c>
    </row>
    <row r="18601">
      <c r="A18601">
        <f>Input!A18601</f>
        <v/>
      </c>
      <c r="B18601">
        <f>IF(ISNUMBER(Input!B18601),IF(AND(Input!B18601&gt;=20,Input!B18601&lt;=700),Input!B18601,""),"")</f>
        <v/>
      </c>
      <c r="C18601">
        <f>IF(B18601="","",INT(A18601))</f>
        <v/>
      </c>
      <c r="D18601">
        <f>IF(B18601="","",HOUR(A18601))</f>
        <v/>
      </c>
    </row>
    <row r="18602">
      <c r="A18602">
        <f>Input!A18602</f>
        <v/>
      </c>
      <c r="B18602">
        <f>IF(ISNUMBER(Input!B18602),IF(AND(Input!B18602&gt;=20,Input!B18602&lt;=700),Input!B18602,""),"")</f>
        <v/>
      </c>
      <c r="C18602">
        <f>IF(B18602="","",INT(A18602))</f>
        <v/>
      </c>
      <c r="D18602">
        <f>IF(B18602="","",HOUR(A18602))</f>
        <v/>
      </c>
    </row>
    <row r="18603">
      <c r="A18603">
        <f>Input!A18603</f>
        <v/>
      </c>
      <c r="B18603">
        <f>IF(ISNUMBER(Input!B18603),IF(AND(Input!B18603&gt;=20,Input!B18603&lt;=700),Input!B18603,""),"")</f>
        <v/>
      </c>
      <c r="C18603">
        <f>IF(B18603="","",INT(A18603))</f>
        <v/>
      </c>
      <c r="D18603">
        <f>IF(B18603="","",HOUR(A18603))</f>
        <v/>
      </c>
    </row>
    <row r="18604">
      <c r="A18604">
        <f>Input!A18604</f>
        <v/>
      </c>
      <c r="B18604">
        <f>IF(ISNUMBER(Input!B18604),IF(AND(Input!B18604&gt;=20,Input!B18604&lt;=700),Input!B18604,""),"")</f>
        <v/>
      </c>
      <c r="C18604">
        <f>IF(B18604="","",INT(A18604))</f>
        <v/>
      </c>
      <c r="D18604">
        <f>IF(B18604="","",HOUR(A18604))</f>
        <v/>
      </c>
    </row>
    <row r="18605">
      <c r="A18605">
        <f>Input!A18605</f>
        <v/>
      </c>
      <c r="B18605">
        <f>IF(ISNUMBER(Input!B18605),IF(AND(Input!B18605&gt;=20,Input!B18605&lt;=700),Input!B18605,""),"")</f>
        <v/>
      </c>
      <c r="C18605">
        <f>IF(B18605="","",INT(A18605))</f>
        <v/>
      </c>
      <c r="D18605">
        <f>IF(B18605="","",HOUR(A18605))</f>
        <v/>
      </c>
    </row>
    <row r="18606">
      <c r="A18606">
        <f>Input!A18606</f>
        <v/>
      </c>
      <c r="B18606">
        <f>IF(ISNUMBER(Input!B18606),IF(AND(Input!B18606&gt;=20,Input!B18606&lt;=700),Input!B18606,""),"")</f>
        <v/>
      </c>
      <c r="C18606">
        <f>IF(B18606="","",INT(A18606))</f>
        <v/>
      </c>
      <c r="D18606">
        <f>IF(B18606="","",HOUR(A18606))</f>
        <v/>
      </c>
    </row>
    <row r="18607">
      <c r="A18607">
        <f>Input!A18607</f>
        <v/>
      </c>
      <c r="B18607">
        <f>IF(ISNUMBER(Input!B18607),IF(AND(Input!B18607&gt;=20,Input!B18607&lt;=700),Input!B18607,""),"")</f>
        <v/>
      </c>
      <c r="C18607">
        <f>IF(B18607="","",INT(A18607))</f>
        <v/>
      </c>
      <c r="D18607">
        <f>IF(B18607="","",HOUR(A18607))</f>
        <v/>
      </c>
    </row>
    <row r="18608">
      <c r="A18608">
        <f>Input!A18608</f>
        <v/>
      </c>
      <c r="B18608">
        <f>IF(ISNUMBER(Input!B18608),IF(AND(Input!B18608&gt;=20,Input!B18608&lt;=700),Input!B18608,""),"")</f>
        <v/>
      </c>
      <c r="C18608">
        <f>IF(B18608="","",INT(A18608))</f>
        <v/>
      </c>
      <c r="D18608">
        <f>IF(B18608="","",HOUR(A18608))</f>
        <v/>
      </c>
    </row>
    <row r="18609">
      <c r="A18609">
        <f>Input!A18609</f>
        <v/>
      </c>
      <c r="B18609">
        <f>IF(ISNUMBER(Input!B18609),IF(AND(Input!B18609&gt;=20,Input!B18609&lt;=700),Input!B18609,""),"")</f>
        <v/>
      </c>
      <c r="C18609">
        <f>IF(B18609="","",INT(A18609))</f>
        <v/>
      </c>
      <c r="D18609">
        <f>IF(B18609="","",HOUR(A18609))</f>
        <v/>
      </c>
    </row>
    <row r="18610">
      <c r="A18610">
        <f>Input!A18610</f>
        <v/>
      </c>
      <c r="B18610">
        <f>IF(ISNUMBER(Input!B18610),IF(AND(Input!B18610&gt;=20,Input!B18610&lt;=700),Input!B18610,""),"")</f>
        <v/>
      </c>
      <c r="C18610">
        <f>IF(B18610="","",INT(A18610))</f>
        <v/>
      </c>
      <c r="D18610">
        <f>IF(B18610="","",HOUR(A18610))</f>
        <v/>
      </c>
    </row>
    <row r="18611">
      <c r="A18611">
        <f>Input!A18611</f>
        <v/>
      </c>
      <c r="B18611">
        <f>IF(ISNUMBER(Input!B18611),IF(AND(Input!B18611&gt;=20,Input!B18611&lt;=700),Input!B18611,""),"")</f>
        <v/>
      </c>
      <c r="C18611">
        <f>IF(B18611="","",INT(A18611))</f>
        <v/>
      </c>
      <c r="D18611">
        <f>IF(B18611="","",HOUR(A18611))</f>
        <v/>
      </c>
    </row>
    <row r="18612">
      <c r="A18612">
        <f>Input!A18612</f>
        <v/>
      </c>
      <c r="B18612">
        <f>IF(ISNUMBER(Input!B18612),IF(AND(Input!B18612&gt;=20,Input!B18612&lt;=700),Input!B18612,""),"")</f>
        <v/>
      </c>
      <c r="C18612">
        <f>IF(B18612="","",INT(A18612))</f>
        <v/>
      </c>
      <c r="D18612">
        <f>IF(B18612="","",HOUR(A18612))</f>
        <v/>
      </c>
    </row>
    <row r="18613">
      <c r="A18613">
        <f>Input!A18613</f>
        <v/>
      </c>
      <c r="B18613">
        <f>IF(ISNUMBER(Input!B18613),IF(AND(Input!B18613&gt;=20,Input!B18613&lt;=700),Input!B18613,""),"")</f>
        <v/>
      </c>
      <c r="C18613">
        <f>IF(B18613="","",INT(A18613))</f>
        <v/>
      </c>
      <c r="D18613">
        <f>IF(B18613="","",HOUR(A18613))</f>
        <v/>
      </c>
    </row>
    <row r="18614">
      <c r="A18614">
        <f>Input!A18614</f>
        <v/>
      </c>
      <c r="B18614">
        <f>IF(ISNUMBER(Input!B18614),IF(AND(Input!B18614&gt;=20,Input!B18614&lt;=700),Input!B18614,""),"")</f>
        <v/>
      </c>
      <c r="C18614">
        <f>IF(B18614="","",INT(A18614))</f>
        <v/>
      </c>
      <c r="D18614">
        <f>IF(B18614="","",HOUR(A18614))</f>
        <v/>
      </c>
    </row>
    <row r="18615">
      <c r="A18615">
        <f>Input!A18615</f>
        <v/>
      </c>
      <c r="B18615">
        <f>IF(ISNUMBER(Input!B18615),IF(AND(Input!B18615&gt;=20,Input!B18615&lt;=700),Input!B18615,""),"")</f>
        <v/>
      </c>
      <c r="C18615">
        <f>IF(B18615="","",INT(A18615))</f>
        <v/>
      </c>
      <c r="D18615">
        <f>IF(B18615="","",HOUR(A18615))</f>
        <v/>
      </c>
    </row>
    <row r="18616">
      <c r="A18616">
        <f>Input!A18616</f>
        <v/>
      </c>
      <c r="B18616">
        <f>IF(ISNUMBER(Input!B18616),IF(AND(Input!B18616&gt;=20,Input!B18616&lt;=700),Input!B18616,""),"")</f>
        <v/>
      </c>
      <c r="C18616">
        <f>IF(B18616="","",INT(A18616))</f>
        <v/>
      </c>
      <c r="D18616">
        <f>IF(B18616="","",HOUR(A18616))</f>
        <v/>
      </c>
    </row>
    <row r="18617">
      <c r="A18617">
        <f>Input!A18617</f>
        <v/>
      </c>
      <c r="B18617">
        <f>IF(ISNUMBER(Input!B18617),IF(AND(Input!B18617&gt;=20,Input!B18617&lt;=700),Input!B18617,""),"")</f>
        <v/>
      </c>
      <c r="C18617">
        <f>IF(B18617="","",INT(A18617))</f>
        <v/>
      </c>
      <c r="D18617">
        <f>IF(B18617="","",HOUR(A18617))</f>
        <v/>
      </c>
    </row>
    <row r="18618">
      <c r="A18618">
        <f>Input!A18618</f>
        <v/>
      </c>
      <c r="B18618">
        <f>IF(ISNUMBER(Input!B18618),IF(AND(Input!B18618&gt;=20,Input!B18618&lt;=700),Input!B18618,""),"")</f>
        <v/>
      </c>
      <c r="C18618">
        <f>IF(B18618="","",INT(A18618))</f>
        <v/>
      </c>
      <c r="D18618">
        <f>IF(B18618="","",HOUR(A18618))</f>
        <v/>
      </c>
    </row>
    <row r="18619">
      <c r="A18619">
        <f>Input!A18619</f>
        <v/>
      </c>
      <c r="B18619">
        <f>IF(ISNUMBER(Input!B18619),IF(AND(Input!B18619&gt;=20,Input!B18619&lt;=700),Input!B18619,""),"")</f>
        <v/>
      </c>
      <c r="C18619">
        <f>IF(B18619="","",INT(A18619))</f>
        <v/>
      </c>
      <c r="D18619">
        <f>IF(B18619="","",HOUR(A18619))</f>
        <v/>
      </c>
    </row>
    <row r="18620">
      <c r="A18620">
        <f>Input!A18620</f>
        <v/>
      </c>
      <c r="B18620">
        <f>IF(ISNUMBER(Input!B18620),IF(AND(Input!B18620&gt;=20,Input!B18620&lt;=700),Input!B18620,""),"")</f>
        <v/>
      </c>
      <c r="C18620">
        <f>IF(B18620="","",INT(A18620))</f>
        <v/>
      </c>
      <c r="D18620">
        <f>IF(B18620="","",HOUR(A18620))</f>
        <v/>
      </c>
    </row>
    <row r="18621">
      <c r="A18621">
        <f>Input!A18621</f>
        <v/>
      </c>
      <c r="B18621">
        <f>IF(ISNUMBER(Input!B18621),IF(AND(Input!B18621&gt;=20,Input!B18621&lt;=700),Input!B18621,""),"")</f>
        <v/>
      </c>
      <c r="C18621">
        <f>IF(B18621="","",INT(A18621))</f>
        <v/>
      </c>
      <c r="D18621">
        <f>IF(B18621="","",HOUR(A18621))</f>
        <v/>
      </c>
    </row>
    <row r="18622">
      <c r="A18622">
        <f>Input!A18622</f>
        <v/>
      </c>
      <c r="B18622">
        <f>IF(ISNUMBER(Input!B18622),IF(AND(Input!B18622&gt;=20,Input!B18622&lt;=700),Input!B18622,""),"")</f>
        <v/>
      </c>
      <c r="C18622">
        <f>IF(B18622="","",INT(A18622))</f>
        <v/>
      </c>
      <c r="D18622">
        <f>IF(B18622="","",HOUR(A18622))</f>
        <v/>
      </c>
    </row>
    <row r="18623">
      <c r="A18623">
        <f>Input!A18623</f>
        <v/>
      </c>
      <c r="B18623">
        <f>IF(ISNUMBER(Input!B18623),IF(AND(Input!B18623&gt;=20,Input!B18623&lt;=700),Input!B18623,""),"")</f>
        <v/>
      </c>
      <c r="C18623">
        <f>IF(B18623="","",INT(A18623))</f>
        <v/>
      </c>
      <c r="D18623">
        <f>IF(B18623="","",HOUR(A18623))</f>
        <v/>
      </c>
    </row>
    <row r="18624">
      <c r="A18624">
        <f>Input!A18624</f>
        <v/>
      </c>
      <c r="B18624">
        <f>IF(ISNUMBER(Input!B18624),IF(AND(Input!B18624&gt;=20,Input!B18624&lt;=700),Input!B18624,""),"")</f>
        <v/>
      </c>
      <c r="C18624">
        <f>IF(B18624="","",INT(A18624))</f>
        <v/>
      </c>
      <c r="D18624">
        <f>IF(B18624="","",HOUR(A18624))</f>
        <v/>
      </c>
    </row>
    <row r="18625">
      <c r="A18625">
        <f>Input!A18625</f>
        <v/>
      </c>
      <c r="B18625">
        <f>IF(ISNUMBER(Input!B18625),IF(AND(Input!B18625&gt;=20,Input!B18625&lt;=700),Input!B18625,""),"")</f>
        <v/>
      </c>
      <c r="C18625">
        <f>IF(B18625="","",INT(A18625))</f>
        <v/>
      </c>
      <c r="D18625">
        <f>IF(B18625="","",HOUR(A18625))</f>
        <v/>
      </c>
    </row>
    <row r="18626">
      <c r="A18626">
        <f>Input!A18626</f>
        <v/>
      </c>
      <c r="B18626">
        <f>IF(ISNUMBER(Input!B18626),IF(AND(Input!B18626&gt;=20,Input!B18626&lt;=700),Input!B18626,""),"")</f>
        <v/>
      </c>
      <c r="C18626">
        <f>IF(B18626="","",INT(A18626))</f>
        <v/>
      </c>
      <c r="D18626">
        <f>IF(B18626="","",HOUR(A18626))</f>
        <v/>
      </c>
    </row>
    <row r="18627">
      <c r="A18627">
        <f>Input!A18627</f>
        <v/>
      </c>
      <c r="B18627">
        <f>IF(ISNUMBER(Input!B18627),IF(AND(Input!B18627&gt;=20,Input!B18627&lt;=700),Input!B18627,""),"")</f>
        <v/>
      </c>
      <c r="C18627">
        <f>IF(B18627="","",INT(A18627))</f>
        <v/>
      </c>
      <c r="D18627">
        <f>IF(B18627="","",HOUR(A18627))</f>
        <v/>
      </c>
    </row>
    <row r="18628">
      <c r="A18628">
        <f>Input!A18628</f>
        <v/>
      </c>
      <c r="B18628">
        <f>IF(ISNUMBER(Input!B18628),IF(AND(Input!B18628&gt;=20,Input!B18628&lt;=700),Input!B18628,""),"")</f>
        <v/>
      </c>
      <c r="C18628">
        <f>IF(B18628="","",INT(A18628))</f>
        <v/>
      </c>
      <c r="D18628">
        <f>IF(B18628="","",HOUR(A18628))</f>
        <v/>
      </c>
    </row>
    <row r="18629">
      <c r="A18629">
        <f>Input!A18629</f>
        <v/>
      </c>
      <c r="B18629">
        <f>IF(ISNUMBER(Input!B18629),IF(AND(Input!B18629&gt;=20,Input!B18629&lt;=700),Input!B18629,""),"")</f>
        <v/>
      </c>
      <c r="C18629">
        <f>IF(B18629="","",INT(A18629))</f>
        <v/>
      </c>
      <c r="D18629">
        <f>IF(B18629="","",HOUR(A18629))</f>
        <v/>
      </c>
    </row>
    <row r="18630">
      <c r="A18630">
        <f>Input!A18630</f>
        <v/>
      </c>
      <c r="B18630">
        <f>IF(ISNUMBER(Input!B18630),IF(AND(Input!B18630&gt;=20,Input!B18630&lt;=700),Input!B18630,""),"")</f>
        <v/>
      </c>
      <c r="C18630">
        <f>IF(B18630="","",INT(A18630))</f>
        <v/>
      </c>
      <c r="D18630">
        <f>IF(B18630="","",HOUR(A18630))</f>
        <v/>
      </c>
    </row>
    <row r="18631">
      <c r="A18631">
        <f>Input!A18631</f>
        <v/>
      </c>
      <c r="B18631">
        <f>IF(ISNUMBER(Input!B18631),IF(AND(Input!B18631&gt;=20,Input!B18631&lt;=700),Input!B18631,""),"")</f>
        <v/>
      </c>
      <c r="C18631">
        <f>IF(B18631="","",INT(A18631))</f>
        <v/>
      </c>
      <c r="D18631">
        <f>IF(B18631="","",HOUR(A18631))</f>
        <v/>
      </c>
    </row>
    <row r="18632">
      <c r="A18632">
        <f>Input!A18632</f>
        <v/>
      </c>
      <c r="B18632">
        <f>IF(ISNUMBER(Input!B18632),IF(AND(Input!B18632&gt;=20,Input!B18632&lt;=700),Input!B18632,""),"")</f>
        <v/>
      </c>
      <c r="C18632">
        <f>IF(B18632="","",INT(A18632))</f>
        <v/>
      </c>
      <c r="D18632">
        <f>IF(B18632="","",HOUR(A18632))</f>
        <v/>
      </c>
    </row>
    <row r="18633">
      <c r="A18633">
        <f>Input!A18633</f>
        <v/>
      </c>
      <c r="B18633">
        <f>IF(ISNUMBER(Input!B18633),IF(AND(Input!B18633&gt;=20,Input!B18633&lt;=700),Input!B18633,""),"")</f>
        <v/>
      </c>
      <c r="C18633">
        <f>IF(B18633="","",INT(A18633))</f>
        <v/>
      </c>
      <c r="D18633">
        <f>IF(B18633="","",HOUR(A18633))</f>
        <v/>
      </c>
    </row>
    <row r="18634">
      <c r="A18634">
        <f>Input!A18634</f>
        <v/>
      </c>
      <c r="B18634">
        <f>IF(ISNUMBER(Input!B18634),IF(AND(Input!B18634&gt;=20,Input!B18634&lt;=700),Input!B18634,""),"")</f>
        <v/>
      </c>
      <c r="C18634">
        <f>IF(B18634="","",INT(A18634))</f>
        <v/>
      </c>
      <c r="D18634">
        <f>IF(B18634="","",HOUR(A18634))</f>
        <v/>
      </c>
    </row>
    <row r="18635">
      <c r="A18635">
        <f>Input!A18635</f>
        <v/>
      </c>
      <c r="B18635">
        <f>IF(ISNUMBER(Input!B18635),IF(AND(Input!B18635&gt;=20,Input!B18635&lt;=700),Input!B18635,""),"")</f>
        <v/>
      </c>
      <c r="C18635">
        <f>IF(B18635="","",INT(A18635))</f>
        <v/>
      </c>
      <c r="D18635">
        <f>IF(B18635="","",HOUR(A18635))</f>
        <v/>
      </c>
    </row>
    <row r="18636">
      <c r="A18636">
        <f>Input!A18636</f>
        <v/>
      </c>
      <c r="B18636">
        <f>IF(ISNUMBER(Input!B18636),IF(AND(Input!B18636&gt;=20,Input!B18636&lt;=700),Input!B18636,""),"")</f>
        <v/>
      </c>
      <c r="C18636">
        <f>IF(B18636="","",INT(A18636))</f>
        <v/>
      </c>
      <c r="D18636">
        <f>IF(B18636="","",HOUR(A18636))</f>
        <v/>
      </c>
    </row>
    <row r="18637">
      <c r="A18637">
        <f>Input!A18637</f>
        <v/>
      </c>
      <c r="B18637">
        <f>IF(ISNUMBER(Input!B18637),IF(AND(Input!B18637&gt;=20,Input!B18637&lt;=700),Input!B18637,""),"")</f>
        <v/>
      </c>
      <c r="C18637">
        <f>IF(B18637="","",INT(A18637))</f>
        <v/>
      </c>
      <c r="D18637">
        <f>IF(B18637="","",HOUR(A18637))</f>
        <v/>
      </c>
    </row>
    <row r="18638">
      <c r="A18638">
        <f>Input!A18638</f>
        <v/>
      </c>
      <c r="B18638">
        <f>IF(ISNUMBER(Input!B18638),IF(AND(Input!B18638&gt;=20,Input!B18638&lt;=700),Input!B18638,""),"")</f>
        <v/>
      </c>
      <c r="C18638">
        <f>IF(B18638="","",INT(A18638))</f>
        <v/>
      </c>
      <c r="D18638">
        <f>IF(B18638="","",HOUR(A18638))</f>
        <v/>
      </c>
    </row>
    <row r="18639">
      <c r="A18639">
        <f>Input!A18639</f>
        <v/>
      </c>
      <c r="B18639">
        <f>IF(ISNUMBER(Input!B18639),IF(AND(Input!B18639&gt;=20,Input!B18639&lt;=700),Input!B18639,""),"")</f>
        <v/>
      </c>
      <c r="C18639">
        <f>IF(B18639="","",INT(A18639))</f>
        <v/>
      </c>
      <c r="D18639">
        <f>IF(B18639="","",HOUR(A18639))</f>
        <v/>
      </c>
    </row>
    <row r="18640">
      <c r="A18640">
        <f>Input!A18640</f>
        <v/>
      </c>
      <c r="B18640">
        <f>IF(ISNUMBER(Input!B18640),IF(AND(Input!B18640&gt;=20,Input!B18640&lt;=700),Input!B18640,""),"")</f>
        <v/>
      </c>
      <c r="C18640">
        <f>IF(B18640="","",INT(A18640))</f>
        <v/>
      </c>
      <c r="D18640">
        <f>IF(B18640="","",HOUR(A18640))</f>
        <v/>
      </c>
    </row>
    <row r="18641">
      <c r="A18641">
        <f>Input!A18641</f>
        <v/>
      </c>
      <c r="B18641">
        <f>IF(ISNUMBER(Input!B18641),IF(AND(Input!B18641&gt;=20,Input!B18641&lt;=700),Input!B18641,""),"")</f>
        <v/>
      </c>
      <c r="C18641">
        <f>IF(B18641="","",INT(A18641))</f>
        <v/>
      </c>
      <c r="D18641">
        <f>IF(B18641="","",HOUR(A18641))</f>
        <v/>
      </c>
    </row>
    <row r="18642">
      <c r="A18642">
        <f>Input!A18642</f>
        <v/>
      </c>
      <c r="B18642">
        <f>IF(ISNUMBER(Input!B18642),IF(AND(Input!B18642&gt;=20,Input!B18642&lt;=700),Input!B18642,""),"")</f>
        <v/>
      </c>
      <c r="C18642">
        <f>IF(B18642="","",INT(A18642))</f>
        <v/>
      </c>
      <c r="D18642">
        <f>IF(B18642="","",HOUR(A18642))</f>
        <v/>
      </c>
    </row>
    <row r="18643">
      <c r="A18643">
        <f>Input!A18643</f>
        <v/>
      </c>
      <c r="B18643">
        <f>IF(ISNUMBER(Input!B18643),IF(AND(Input!B18643&gt;=20,Input!B18643&lt;=700),Input!B18643,""),"")</f>
        <v/>
      </c>
      <c r="C18643">
        <f>IF(B18643="","",INT(A18643))</f>
        <v/>
      </c>
      <c r="D18643">
        <f>IF(B18643="","",HOUR(A18643))</f>
        <v/>
      </c>
    </row>
    <row r="18644">
      <c r="A18644">
        <f>Input!A18644</f>
        <v/>
      </c>
      <c r="B18644">
        <f>IF(ISNUMBER(Input!B18644),IF(AND(Input!B18644&gt;=20,Input!B18644&lt;=700),Input!B18644,""),"")</f>
        <v/>
      </c>
      <c r="C18644">
        <f>IF(B18644="","",INT(A18644))</f>
        <v/>
      </c>
      <c r="D18644">
        <f>IF(B18644="","",HOUR(A18644))</f>
        <v/>
      </c>
    </row>
    <row r="18645">
      <c r="A18645">
        <f>Input!A18645</f>
        <v/>
      </c>
      <c r="B18645">
        <f>IF(ISNUMBER(Input!B18645),IF(AND(Input!B18645&gt;=20,Input!B18645&lt;=700),Input!B18645,""),"")</f>
        <v/>
      </c>
      <c r="C18645">
        <f>IF(B18645="","",INT(A18645))</f>
        <v/>
      </c>
      <c r="D18645">
        <f>IF(B18645="","",HOUR(A18645))</f>
        <v/>
      </c>
    </row>
    <row r="18646">
      <c r="A18646">
        <f>Input!A18646</f>
        <v/>
      </c>
      <c r="B18646">
        <f>IF(ISNUMBER(Input!B18646),IF(AND(Input!B18646&gt;=20,Input!B18646&lt;=700),Input!B18646,""),"")</f>
        <v/>
      </c>
      <c r="C18646">
        <f>IF(B18646="","",INT(A18646))</f>
        <v/>
      </c>
      <c r="D18646">
        <f>IF(B18646="","",HOUR(A18646))</f>
        <v/>
      </c>
    </row>
    <row r="18647">
      <c r="A18647">
        <f>Input!A18647</f>
        <v/>
      </c>
      <c r="B18647">
        <f>IF(ISNUMBER(Input!B18647),IF(AND(Input!B18647&gt;=20,Input!B18647&lt;=700),Input!B18647,""),"")</f>
        <v/>
      </c>
      <c r="C18647">
        <f>IF(B18647="","",INT(A18647))</f>
        <v/>
      </c>
      <c r="D18647">
        <f>IF(B18647="","",HOUR(A18647))</f>
        <v/>
      </c>
    </row>
    <row r="18648">
      <c r="A18648">
        <f>Input!A18648</f>
        <v/>
      </c>
      <c r="B18648">
        <f>IF(ISNUMBER(Input!B18648),IF(AND(Input!B18648&gt;=20,Input!B18648&lt;=700),Input!B18648,""),"")</f>
        <v/>
      </c>
      <c r="C18648">
        <f>IF(B18648="","",INT(A18648))</f>
        <v/>
      </c>
      <c r="D18648">
        <f>IF(B18648="","",HOUR(A18648))</f>
        <v/>
      </c>
    </row>
    <row r="18649">
      <c r="A18649">
        <f>Input!A18649</f>
        <v/>
      </c>
      <c r="B18649">
        <f>IF(ISNUMBER(Input!B18649),IF(AND(Input!B18649&gt;=20,Input!B18649&lt;=700),Input!B18649,""),"")</f>
        <v/>
      </c>
      <c r="C18649">
        <f>IF(B18649="","",INT(A18649))</f>
        <v/>
      </c>
      <c r="D18649">
        <f>IF(B18649="","",HOUR(A18649))</f>
        <v/>
      </c>
    </row>
    <row r="18650">
      <c r="A18650">
        <f>Input!A18650</f>
        <v/>
      </c>
      <c r="B18650">
        <f>IF(ISNUMBER(Input!B18650),IF(AND(Input!B18650&gt;=20,Input!B18650&lt;=700),Input!B18650,""),"")</f>
        <v/>
      </c>
      <c r="C18650">
        <f>IF(B18650="","",INT(A18650))</f>
        <v/>
      </c>
      <c r="D18650">
        <f>IF(B18650="","",HOUR(A18650))</f>
        <v/>
      </c>
    </row>
    <row r="18651">
      <c r="A18651">
        <f>Input!A18651</f>
        <v/>
      </c>
      <c r="B18651">
        <f>IF(ISNUMBER(Input!B18651),IF(AND(Input!B18651&gt;=20,Input!B18651&lt;=700),Input!B18651,""),"")</f>
        <v/>
      </c>
      <c r="C18651">
        <f>IF(B18651="","",INT(A18651))</f>
        <v/>
      </c>
      <c r="D18651">
        <f>IF(B18651="","",HOUR(A18651))</f>
        <v/>
      </c>
    </row>
    <row r="18652">
      <c r="A18652">
        <f>Input!A18652</f>
        <v/>
      </c>
      <c r="B18652">
        <f>IF(ISNUMBER(Input!B18652),IF(AND(Input!B18652&gt;=20,Input!B18652&lt;=700),Input!B18652,""),"")</f>
        <v/>
      </c>
      <c r="C18652">
        <f>IF(B18652="","",INT(A18652))</f>
        <v/>
      </c>
      <c r="D18652">
        <f>IF(B18652="","",HOUR(A18652))</f>
        <v/>
      </c>
    </row>
    <row r="18653">
      <c r="A18653">
        <f>Input!A18653</f>
        <v/>
      </c>
      <c r="B18653">
        <f>IF(ISNUMBER(Input!B18653),IF(AND(Input!B18653&gt;=20,Input!B18653&lt;=700),Input!B18653,""),"")</f>
        <v/>
      </c>
      <c r="C18653">
        <f>IF(B18653="","",INT(A18653))</f>
        <v/>
      </c>
      <c r="D18653">
        <f>IF(B18653="","",HOUR(A18653))</f>
        <v/>
      </c>
    </row>
    <row r="18654">
      <c r="A18654">
        <f>Input!A18654</f>
        <v/>
      </c>
      <c r="B18654">
        <f>IF(ISNUMBER(Input!B18654),IF(AND(Input!B18654&gt;=20,Input!B18654&lt;=700),Input!B18654,""),"")</f>
        <v/>
      </c>
      <c r="C18654">
        <f>IF(B18654="","",INT(A18654))</f>
        <v/>
      </c>
      <c r="D18654">
        <f>IF(B18654="","",HOUR(A18654))</f>
        <v/>
      </c>
    </row>
    <row r="18655">
      <c r="A18655">
        <f>Input!A18655</f>
        <v/>
      </c>
      <c r="B18655">
        <f>IF(ISNUMBER(Input!B18655),IF(AND(Input!B18655&gt;=20,Input!B18655&lt;=700),Input!B18655,""),"")</f>
        <v/>
      </c>
      <c r="C18655">
        <f>IF(B18655="","",INT(A18655))</f>
        <v/>
      </c>
      <c r="D18655">
        <f>IF(B18655="","",HOUR(A18655))</f>
        <v/>
      </c>
    </row>
    <row r="18656">
      <c r="A18656">
        <f>Input!A18656</f>
        <v/>
      </c>
      <c r="B18656">
        <f>IF(ISNUMBER(Input!B18656),IF(AND(Input!B18656&gt;=20,Input!B18656&lt;=700),Input!B18656,""),"")</f>
        <v/>
      </c>
      <c r="C18656">
        <f>IF(B18656="","",INT(A18656))</f>
        <v/>
      </c>
      <c r="D18656">
        <f>IF(B18656="","",HOUR(A18656))</f>
        <v/>
      </c>
    </row>
    <row r="18657">
      <c r="A18657">
        <f>Input!A18657</f>
        <v/>
      </c>
      <c r="B18657">
        <f>IF(ISNUMBER(Input!B18657),IF(AND(Input!B18657&gt;=20,Input!B18657&lt;=700),Input!B18657,""),"")</f>
        <v/>
      </c>
      <c r="C18657">
        <f>IF(B18657="","",INT(A18657))</f>
        <v/>
      </c>
      <c r="D18657">
        <f>IF(B18657="","",HOUR(A18657))</f>
        <v/>
      </c>
    </row>
    <row r="18658">
      <c r="A18658">
        <f>Input!A18658</f>
        <v/>
      </c>
      <c r="B18658">
        <f>IF(ISNUMBER(Input!B18658),IF(AND(Input!B18658&gt;=20,Input!B18658&lt;=700),Input!B18658,""),"")</f>
        <v/>
      </c>
      <c r="C18658">
        <f>IF(B18658="","",INT(A18658))</f>
        <v/>
      </c>
      <c r="D18658">
        <f>IF(B18658="","",HOUR(A18658))</f>
        <v/>
      </c>
    </row>
    <row r="18659">
      <c r="A18659">
        <f>Input!A18659</f>
        <v/>
      </c>
      <c r="B18659">
        <f>IF(ISNUMBER(Input!B18659),IF(AND(Input!B18659&gt;=20,Input!B18659&lt;=700),Input!B18659,""),"")</f>
        <v/>
      </c>
      <c r="C18659">
        <f>IF(B18659="","",INT(A18659))</f>
        <v/>
      </c>
      <c r="D18659">
        <f>IF(B18659="","",HOUR(A18659))</f>
        <v/>
      </c>
    </row>
    <row r="18660">
      <c r="A18660">
        <f>Input!A18660</f>
        <v/>
      </c>
      <c r="B18660">
        <f>IF(ISNUMBER(Input!B18660),IF(AND(Input!B18660&gt;=20,Input!B18660&lt;=700),Input!B18660,""),"")</f>
        <v/>
      </c>
      <c r="C18660">
        <f>IF(B18660="","",INT(A18660))</f>
        <v/>
      </c>
      <c r="D18660">
        <f>IF(B18660="","",HOUR(A18660))</f>
        <v/>
      </c>
    </row>
    <row r="18661">
      <c r="A18661">
        <f>Input!A18661</f>
        <v/>
      </c>
      <c r="B18661">
        <f>IF(ISNUMBER(Input!B18661),IF(AND(Input!B18661&gt;=20,Input!B18661&lt;=700),Input!B18661,""),"")</f>
        <v/>
      </c>
      <c r="C18661">
        <f>IF(B18661="","",INT(A18661))</f>
        <v/>
      </c>
      <c r="D18661">
        <f>IF(B18661="","",HOUR(A18661))</f>
        <v/>
      </c>
    </row>
    <row r="18662">
      <c r="A18662">
        <f>Input!A18662</f>
        <v/>
      </c>
      <c r="B18662">
        <f>IF(ISNUMBER(Input!B18662),IF(AND(Input!B18662&gt;=20,Input!B18662&lt;=700),Input!B18662,""),"")</f>
        <v/>
      </c>
      <c r="C18662">
        <f>IF(B18662="","",INT(A18662))</f>
        <v/>
      </c>
      <c r="D18662">
        <f>IF(B18662="","",HOUR(A18662))</f>
        <v/>
      </c>
    </row>
    <row r="18663">
      <c r="A18663">
        <f>Input!A18663</f>
        <v/>
      </c>
      <c r="B18663">
        <f>IF(ISNUMBER(Input!B18663),IF(AND(Input!B18663&gt;=20,Input!B18663&lt;=700),Input!B18663,""),"")</f>
        <v/>
      </c>
      <c r="C18663">
        <f>IF(B18663="","",INT(A18663))</f>
        <v/>
      </c>
      <c r="D18663">
        <f>IF(B18663="","",HOUR(A18663))</f>
        <v/>
      </c>
    </row>
    <row r="18664">
      <c r="A18664">
        <f>Input!A18664</f>
        <v/>
      </c>
      <c r="B18664">
        <f>IF(ISNUMBER(Input!B18664),IF(AND(Input!B18664&gt;=20,Input!B18664&lt;=700),Input!B18664,""),"")</f>
        <v/>
      </c>
      <c r="C18664">
        <f>IF(B18664="","",INT(A18664))</f>
        <v/>
      </c>
      <c r="D18664">
        <f>IF(B18664="","",HOUR(A18664))</f>
        <v/>
      </c>
    </row>
    <row r="18665">
      <c r="A18665">
        <f>Input!A18665</f>
        <v/>
      </c>
      <c r="B18665">
        <f>IF(ISNUMBER(Input!B18665),IF(AND(Input!B18665&gt;=20,Input!B18665&lt;=700),Input!B18665,""),"")</f>
        <v/>
      </c>
      <c r="C18665">
        <f>IF(B18665="","",INT(A18665))</f>
        <v/>
      </c>
      <c r="D18665">
        <f>IF(B18665="","",HOUR(A18665))</f>
        <v/>
      </c>
    </row>
    <row r="18666">
      <c r="A18666">
        <f>Input!A18666</f>
        <v/>
      </c>
      <c r="B18666">
        <f>IF(ISNUMBER(Input!B18666),IF(AND(Input!B18666&gt;=20,Input!B18666&lt;=700),Input!B18666,""),"")</f>
        <v/>
      </c>
      <c r="C18666">
        <f>IF(B18666="","",INT(A18666))</f>
        <v/>
      </c>
      <c r="D18666">
        <f>IF(B18666="","",HOUR(A18666))</f>
        <v/>
      </c>
    </row>
    <row r="18667">
      <c r="A18667">
        <f>Input!A18667</f>
        <v/>
      </c>
      <c r="B18667">
        <f>IF(ISNUMBER(Input!B18667),IF(AND(Input!B18667&gt;=20,Input!B18667&lt;=700),Input!B18667,""),"")</f>
        <v/>
      </c>
      <c r="C18667">
        <f>IF(B18667="","",INT(A18667))</f>
        <v/>
      </c>
      <c r="D18667">
        <f>IF(B18667="","",HOUR(A18667))</f>
        <v/>
      </c>
    </row>
    <row r="18668">
      <c r="A18668">
        <f>Input!A18668</f>
        <v/>
      </c>
      <c r="B18668">
        <f>IF(ISNUMBER(Input!B18668),IF(AND(Input!B18668&gt;=20,Input!B18668&lt;=700),Input!B18668,""),"")</f>
        <v/>
      </c>
      <c r="C18668">
        <f>IF(B18668="","",INT(A18668))</f>
        <v/>
      </c>
      <c r="D18668">
        <f>IF(B18668="","",HOUR(A18668))</f>
        <v/>
      </c>
    </row>
    <row r="18669">
      <c r="A18669">
        <f>Input!A18669</f>
        <v/>
      </c>
      <c r="B18669">
        <f>IF(ISNUMBER(Input!B18669),IF(AND(Input!B18669&gt;=20,Input!B18669&lt;=700),Input!B18669,""),"")</f>
        <v/>
      </c>
      <c r="C18669">
        <f>IF(B18669="","",INT(A18669))</f>
        <v/>
      </c>
      <c r="D18669">
        <f>IF(B18669="","",HOUR(A18669))</f>
        <v/>
      </c>
    </row>
    <row r="18670">
      <c r="A18670">
        <f>Input!A18670</f>
        <v/>
      </c>
      <c r="B18670">
        <f>IF(ISNUMBER(Input!B18670),IF(AND(Input!B18670&gt;=20,Input!B18670&lt;=700),Input!B18670,""),"")</f>
        <v/>
      </c>
      <c r="C18670">
        <f>IF(B18670="","",INT(A18670))</f>
        <v/>
      </c>
      <c r="D18670">
        <f>IF(B18670="","",HOUR(A18670))</f>
        <v/>
      </c>
    </row>
    <row r="18671">
      <c r="A18671">
        <f>Input!A18671</f>
        <v/>
      </c>
      <c r="B18671">
        <f>IF(ISNUMBER(Input!B18671),IF(AND(Input!B18671&gt;=20,Input!B18671&lt;=700),Input!B18671,""),"")</f>
        <v/>
      </c>
      <c r="C18671">
        <f>IF(B18671="","",INT(A18671))</f>
        <v/>
      </c>
      <c r="D18671">
        <f>IF(B18671="","",HOUR(A18671))</f>
        <v/>
      </c>
    </row>
    <row r="18672">
      <c r="A18672">
        <f>Input!A18672</f>
        <v/>
      </c>
      <c r="B18672">
        <f>IF(ISNUMBER(Input!B18672),IF(AND(Input!B18672&gt;=20,Input!B18672&lt;=700),Input!B18672,""),"")</f>
        <v/>
      </c>
      <c r="C18672">
        <f>IF(B18672="","",INT(A18672))</f>
        <v/>
      </c>
      <c r="D18672">
        <f>IF(B18672="","",HOUR(A18672))</f>
        <v/>
      </c>
    </row>
    <row r="18673">
      <c r="A18673">
        <f>Input!A18673</f>
        <v/>
      </c>
      <c r="B18673">
        <f>IF(ISNUMBER(Input!B18673),IF(AND(Input!B18673&gt;=20,Input!B18673&lt;=700),Input!B18673,""),"")</f>
        <v/>
      </c>
      <c r="C18673">
        <f>IF(B18673="","",INT(A18673))</f>
        <v/>
      </c>
      <c r="D18673">
        <f>IF(B18673="","",HOUR(A18673))</f>
        <v/>
      </c>
    </row>
    <row r="18674">
      <c r="A18674">
        <f>Input!A18674</f>
        <v/>
      </c>
      <c r="B18674">
        <f>IF(ISNUMBER(Input!B18674),IF(AND(Input!B18674&gt;=20,Input!B18674&lt;=700),Input!B18674,""),"")</f>
        <v/>
      </c>
      <c r="C18674">
        <f>IF(B18674="","",INT(A18674))</f>
        <v/>
      </c>
      <c r="D18674">
        <f>IF(B18674="","",HOUR(A18674))</f>
        <v/>
      </c>
    </row>
    <row r="18675">
      <c r="A18675">
        <f>Input!A18675</f>
        <v/>
      </c>
      <c r="B18675">
        <f>IF(ISNUMBER(Input!B18675),IF(AND(Input!B18675&gt;=20,Input!B18675&lt;=700),Input!B18675,""),"")</f>
        <v/>
      </c>
      <c r="C18675">
        <f>IF(B18675="","",INT(A18675))</f>
        <v/>
      </c>
      <c r="D18675">
        <f>IF(B18675="","",HOUR(A18675))</f>
        <v/>
      </c>
    </row>
    <row r="18676">
      <c r="A18676">
        <f>Input!A18676</f>
        <v/>
      </c>
      <c r="B18676">
        <f>IF(ISNUMBER(Input!B18676),IF(AND(Input!B18676&gt;=20,Input!B18676&lt;=700),Input!B18676,""),"")</f>
        <v/>
      </c>
      <c r="C18676">
        <f>IF(B18676="","",INT(A18676))</f>
        <v/>
      </c>
      <c r="D18676">
        <f>IF(B18676="","",HOUR(A18676))</f>
        <v/>
      </c>
    </row>
    <row r="18677">
      <c r="A18677">
        <f>Input!A18677</f>
        <v/>
      </c>
      <c r="B18677">
        <f>IF(ISNUMBER(Input!B18677),IF(AND(Input!B18677&gt;=20,Input!B18677&lt;=700),Input!B18677,""),"")</f>
        <v/>
      </c>
      <c r="C18677">
        <f>IF(B18677="","",INT(A18677))</f>
        <v/>
      </c>
      <c r="D18677">
        <f>IF(B18677="","",HOUR(A18677))</f>
        <v/>
      </c>
    </row>
    <row r="18678">
      <c r="A18678">
        <f>Input!A18678</f>
        <v/>
      </c>
      <c r="B18678">
        <f>IF(ISNUMBER(Input!B18678),IF(AND(Input!B18678&gt;=20,Input!B18678&lt;=700),Input!B18678,""),"")</f>
        <v/>
      </c>
      <c r="C18678">
        <f>IF(B18678="","",INT(A18678))</f>
        <v/>
      </c>
      <c r="D18678">
        <f>IF(B18678="","",HOUR(A18678))</f>
        <v/>
      </c>
    </row>
    <row r="18679">
      <c r="A18679">
        <f>Input!A18679</f>
        <v/>
      </c>
      <c r="B18679">
        <f>IF(ISNUMBER(Input!B18679),IF(AND(Input!B18679&gt;=20,Input!B18679&lt;=700),Input!B18679,""),"")</f>
        <v/>
      </c>
      <c r="C18679">
        <f>IF(B18679="","",INT(A18679))</f>
        <v/>
      </c>
      <c r="D18679">
        <f>IF(B18679="","",HOUR(A18679))</f>
        <v/>
      </c>
    </row>
    <row r="18680">
      <c r="A18680">
        <f>Input!A18680</f>
        <v/>
      </c>
      <c r="B18680">
        <f>IF(ISNUMBER(Input!B18680),IF(AND(Input!B18680&gt;=20,Input!B18680&lt;=700),Input!B18680,""),"")</f>
        <v/>
      </c>
      <c r="C18680">
        <f>IF(B18680="","",INT(A18680))</f>
        <v/>
      </c>
      <c r="D18680">
        <f>IF(B18680="","",HOUR(A18680))</f>
        <v/>
      </c>
    </row>
    <row r="18681">
      <c r="A18681">
        <f>Input!A18681</f>
        <v/>
      </c>
      <c r="B18681">
        <f>IF(ISNUMBER(Input!B18681),IF(AND(Input!B18681&gt;=20,Input!B18681&lt;=700),Input!B18681,""),"")</f>
        <v/>
      </c>
      <c r="C18681">
        <f>IF(B18681="","",INT(A18681))</f>
        <v/>
      </c>
      <c r="D18681">
        <f>IF(B18681="","",HOUR(A18681))</f>
        <v/>
      </c>
    </row>
    <row r="18682">
      <c r="A18682">
        <f>Input!A18682</f>
        <v/>
      </c>
      <c r="B18682">
        <f>IF(ISNUMBER(Input!B18682),IF(AND(Input!B18682&gt;=20,Input!B18682&lt;=700),Input!B18682,""),"")</f>
        <v/>
      </c>
      <c r="C18682">
        <f>IF(B18682="","",INT(A18682))</f>
        <v/>
      </c>
      <c r="D18682">
        <f>IF(B18682="","",HOUR(A18682))</f>
        <v/>
      </c>
    </row>
    <row r="18683">
      <c r="A18683">
        <f>Input!A18683</f>
        <v/>
      </c>
      <c r="B18683">
        <f>IF(ISNUMBER(Input!B18683),IF(AND(Input!B18683&gt;=20,Input!B18683&lt;=700),Input!B18683,""),"")</f>
        <v/>
      </c>
      <c r="C18683">
        <f>IF(B18683="","",INT(A18683))</f>
        <v/>
      </c>
      <c r="D18683">
        <f>IF(B18683="","",HOUR(A18683))</f>
        <v/>
      </c>
    </row>
    <row r="18684">
      <c r="A18684">
        <f>Input!A18684</f>
        <v/>
      </c>
      <c r="B18684">
        <f>IF(ISNUMBER(Input!B18684),IF(AND(Input!B18684&gt;=20,Input!B18684&lt;=700),Input!B18684,""),"")</f>
        <v/>
      </c>
      <c r="C18684">
        <f>IF(B18684="","",INT(A18684))</f>
        <v/>
      </c>
      <c r="D18684">
        <f>IF(B18684="","",HOUR(A18684))</f>
        <v/>
      </c>
    </row>
    <row r="18685">
      <c r="A18685">
        <f>Input!A18685</f>
        <v/>
      </c>
      <c r="B18685">
        <f>IF(ISNUMBER(Input!B18685),IF(AND(Input!B18685&gt;=20,Input!B18685&lt;=700),Input!B18685,""),"")</f>
        <v/>
      </c>
      <c r="C18685">
        <f>IF(B18685="","",INT(A18685))</f>
        <v/>
      </c>
      <c r="D18685">
        <f>IF(B18685="","",HOUR(A18685))</f>
        <v/>
      </c>
    </row>
    <row r="18686">
      <c r="A18686">
        <f>Input!A18686</f>
        <v/>
      </c>
      <c r="B18686">
        <f>IF(ISNUMBER(Input!B18686),IF(AND(Input!B18686&gt;=20,Input!B18686&lt;=700),Input!B18686,""),"")</f>
        <v/>
      </c>
      <c r="C18686">
        <f>IF(B18686="","",INT(A18686))</f>
        <v/>
      </c>
      <c r="D18686">
        <f>IF(B18686="","",HOUR(A18686))</f>
        <v/>
      </c>
    </row>
    <row r="18687">
      <c r="A18687">
        <f>Input!A18687</f>
        <v/>
      </c>
      <c r="B18687">
        <f>IF(ISNUMBER(Input!B18687),IF(AND(Input!B18687&gt;=20,Input!B18687&lt;=700),Input!B18687,""),"")</f>
        <v/>
      </c>
      <c r="C18687">
        <f>IF(B18687="","",INT(A18687))</f>
        <v/>
      </c>
      <c r="D18687">
        <f>IF(B18687="","",HOUR(A18687))</f>
        <v/>
      </c>
    </row>
    <row r="18688">
      <c r="A18688">
        <f>Input!A18688</f>
        <v/>
      </c>
      <c r="B18688">
        <f>IF(ISNUMBER(Input!B18688),IF(AND(Input!B18688&gt;=20,Input!B18688&lt;=700),Input!B18688,""),"")</f>
        <v/>
      </c>
      <c r="C18688">
        <f>IF(B18688="","",INT(A18688))</f>
        <v/>
      </c>
      <c r="D18688">
        <f>IF(B18688="","",HOUR(A18688))</f>
        <v/>
      </c>
    </row>
    <row r="18689">
      <c r="A18689">
        <f>Input!A18689</f>
        <v/>
      </c>
      <c r="B18689">
        <f>IF(ISNUMBER(Input!B18689),IF(AND(Input!B18689&gt;=20,Input!B18689&lt;=700),Input!B18689,""),"")</f>
        <v/>
      </c>
      <c r="C18689">
        <f>IF(B18689="","",INT(A18689))</f>
        <v/>
      </c>
      <c r="D18689">
        <f>IF(B18689="","",HOUR(A18689))</f>
        <v/>
      </c>
    </row>
    <row r="18690">
      <c r="A18690">
        <f>Input!A18690</f>
        <v/>
      </c>
      <c r="B18690">
        <f>IF(ISNUMBER(Input!B18690),IF(AND(Input!B18690&gt;=20,Input!B18690&lt;=700),Input!B18690,""),"")</f>
        <v/>
      </c>
      <c r="C18690">
        <f>IF(B18690="","",INT(A18690))</f>
        <v/>
      </c>
      <c r="D18690">
        <f>IF(B18690="","",HOUR(A18690))</f>
        <v/>
      </c>
    </row>
    <row r="18691">
      <c r="A18691">
        <f>Input!A18691</f>
        <v/>
      </c>
      <c r="B18691">
        <f>IF(ISNUMBER(Input!B18691),IF(AND(Input!B18691&gt;=20,Input!B18691&lt;=700),Input!B18691,""),"")</f>
        <v/>
      </c>
      <c r="C18691">
        <f>IF(B18691="","",INT(A18691))</f>
        <v/>
      </c>
      <c r="D18691">
        <f>IF(B18691="","",HOUR(A18691))</f>
        <v/>
      </c>
    </row>
    <row r="18692">
      <c r="A18692">
        <f>Input!A18692</f>
        <v/>
      </c>
      <c r="B18692">
        <f>IF(ISNUMBER(Input!B18692),IF(AND(Input!B18692&gt;=20,Input!B18692&lt;=700),Input!B18692,""),"")</f>
        <v/>
      </c>
      <c r="C18692">
        <f>IF(B18692="","",INT(A18692))</f>
        <v/>
      </c>
      <c r="D18692">
        <f>IF(B18692="","",HOUR(A18692))</f>
        <v/>
      </c>
    </row>
    <row r="18693">
      <c r="A18693">
        <f>Input!A18693</f>
        <v/>
      </c>
      <c r="B18693">
        <f>IF(ISNUMBER(Input!B18693),IF(AND(Input!B18693&gt;=20,Input!B18693&lt;=700),Input!B18693,""),"")</f>
        <v/>
      </c>
      <c r="C18693">
        <f>IF(B18693="","",INT(A18693))</f>
        <v/>
      </c>
      <c r="D18693">
        <f>IF(B18693="","",HOUR(A18693))</f>
        <v/>
      </c>
    </row>
    <row r="18694">
      <c r="A18694">
        <f>Input!A18694</f>
        <v/>
      </c>
      <c r="B18694">
        <f>IF(ISNUMBER(Input!B18694),IF(AND(Input!B18694&gt;=20,Input!B18694&lt;=700),Input!B18694,""),"")</f>
        <v/>
      </c>
      <c r="C18694">
        <f>IF(B18694="","",INT(A18694))</f>
        <v/>
      </c>
      <c r="D18694">
        <f>IF(B18694="","",HOUR(A18694))</f>
        <v/>
      </c>
    </row>
    <row r="18695">
      <c r="A18695">
        <f>Input!A18695</f>
        <v/>
      </c>
      <c r="B18695">
        <f>IF(ISNUMBER(Input!B18695),IF(AND(Input!B18695&gt;=20,Input!B18695&lt;=700),Input!B18695,""),"")</f>
        <v/>
      </c>
      <c r="C18695">
        <f>IF(B18695="","",INT(A18695))</f>
        <v/>
      </c>
      <c r="D18695">
        <f>IF(B18695="","",HOUR(A18695))</f>
        <v/>
      </c>
    </row>
    <row r="18696">
      <c r="A18696">
        <f>Input!A18696</f>
        <v/>
      </c>
      <c r="B18696">
        <f>IF(ISNUMBER(Input!B18696),IF(AND(Input!B18696&gt;=20,Input!B18696&lt;=700),Input!B18696,""),"")</f>
        <v/>
      </c>
      <c r="C18696">
        <f>IF(B18696="","",INT(A18696))</f>
        <v/>
      </c>
      <c r="D18696">
        <f>IF(B18696="","",HOUR(A18696))</f>
        <v/>
      </c>
    </row>
    <row r="18697">
      <c r="A18697">
        <f>Input!A18697</f>
        <v/>
      </c>
      <c r="B18697">
        <f>IF(ISNUMBER(Input!B18697),IF(AND(Input!B18697&gt;=20,Input!B18697&lt;=700),Input!B18697,""),"")</f>
        <v/>
      </c>
      <c r="C18697">
        <f>IF(B18697="","",INT(A18697))</f>
        <v/>
      </c>
      <c r="D18697">
        <f>IF(B18697="","",HOUR(A18697))</f>
        <v/>
      </c>
    </row>
    <row r="18698">
      <c r="A18698">
        <f>Input!A18698</f>
        <v/>
      </c>
      <c r="B18698">
        <f>IF(ISNUMBER(Input!B18698),IF(AND(Input!B18698&gt;=20,Input!B18698&lt;=700),Input!B18698,""),"")</f>
        <v/>
      </c>
      <c r="C18698">
        <f>IF(B18698="","",INT(A18698))</f>
        <v/>
      </c>
      <c r="D18698">
        <f>IF(B18698="","",HOUR(A18698))</f>
        <v/>
      </c>
    </row>
    <row r="18699">
      <c r="A18699">
        <f>Input!A18699</f>
        <v/>
      </c>
      <c r="B18699">
        <f>IF(ISNUMBER(Input!B18699),IF(AND(Input!B18699&gt;=20,Input!B18699&lt;=700),Input!B18699,""),"")</f>
        <v/>
      </c>
      <c r="C18699">
        <f>IF(B18699="","",INT(A18699))</f>
        <v/>
      </c>
      <c r="D18699">
        <f>IF(B18699="","",HOUR(A18699))</f>
        <v/>
      </c>
    </row>
    <row r="18700">
      <c r="A18700">
        <f>Input!A18700</f>
        <v/>
      </c>
      <c r="B18700">
        <f>IF(ISNUMBER(Input!B18700),IF(AND(Input!B18700&gt;=20,Input!B18700&lt;=700),Input!B18700,""),"")</f>
        <v/>
      </c>
      <c r="C18700">
        <f>IF(B18700="","",INT(A18700))</f>
        <v/>
      </c>
      <c r="D18700">
        <f>IF(B18700="","",HOUR(A18700))</f>
        <v/>
      </c>
    </row>
    <row r="18701">
      <c r="A18701">
        <f>Input!A18701</f>
        <v/>
      </c>
      <c r="B18701">
        <f>IF(ISNUMBER(Input!B18701),IF(AND(Input!B18701&gt;=20,Input!B18701&lt;=700),Input!B18701,""),"")</f>
        <v/>
      </c>
      <c r="C18701">
        <f>IF(B18701="","",INT(A18701))</f>
        <v/>
      </c>
      <c r="D18701">
        <f>IF(B18701="","",HOUR(A18701))</f>
        <v/>
      </c>
    </row>
    <row r="18702">
      <c r="A18702">
        <f>Input!A18702</f>
        <v/>
      </c>
      <c r="B18702">
        <f>IF(ISNUMBER(Input!B18702),IF(AND(Input!B18702&gt;=20,Input!B18702&lt;=700),Input!B18702,""),"")</f>
        <v/>
      </c>
      <c r="C18702">
        <f>IF(B18702="","",INT(A18702))</f>
        <v/>
      </c>
      <c r="D18702">
        <f>IF(B18702="","",HOUR(A18702))</f>
        <v/>
      </c>
    </row>
    <row r="18703">
      <c r="A18703">
        <f>Input!A18703</f>
        <v/>
      </c>
      <c r="B18703">
        <f>IF(ISNUMBER(Input!B18703),IF(AND(Input!B18703&gt;=20,Input!B18703&lt;=700),Input!B18703,""),"")</f>
        <v/>
      </c>
      <c r="C18703">
        <f>IF(B18703="","",INT(A18703))</f>
        <v/>
      </c>
      <c r="D18703">
        <f>IF(B18703="","",HOUR(A18703))</f>
        <v/>
      </c>
    </row>
    <row r="18704">
      <c r="A18704">
        <f>Input!A18704</f>
        <v/>
      </c>
      <c r="B18704">
        <f>IF(ISNUMBER(Input!B18704),IF(AND(Input!B18704&gt;=20,Input!B18704&lt;=700),Input!B18704,""),"")</f>
        <v/>
      </c>
      <c r="C18704">
        <f>IF(B18704="","",INT(A18704))</f>
        <v/>
      </c>
      <c r="D18704">
        <f>IF(B18704="","",HOUR(A18704))</f>
        <v/>
      </c>
    </row>
    <row r="18705">
      <c r="A18705">
        <f>Input!A18705</f>
        <v/>
      </c>
      <c r="B18705">
        <f>IF(ISNUMBER(Input!B18705),IF(AND(Input!B18705&gt;=20,Input!B18705&lt;=700),Input!B18705,""),"")</f>
        <v/>
      </c>
      <c r="C18705">
        <f>IF(B18705="","",INT(A18705))</f>
        <v/>
      </c>
      <c r="D18705">
        <f>IF(B18705="","",HOUR(A18705))</f>
        <v/>
      </c>
    </row>
    <row r="18706">
      <c r="A18706">
        <f>Input!A18706</f>
        <v/>
      </c>
      <c r="B18706">
        <f>IF(ISNUMBER(Input!B18706),IF(AND(Input!B18706&gt;=20,Input!B18706&lt;=700),Input!B18706,""),"")</f>
        <v/>
      </c>
      <c r="C18706">
        <f>IF(B18706="","",INT(A18706))</f>
        <v/>
      </c>
      <c r="D18706">
        <f>IF(B18706="","",HOUR(A18706))</f>
        <v/>
      </c>
    </row>
    <row r="18707">
      <c r="A18707">
        <f>Input!A18707</f>
        <v/>
      </c>
      <c r="B18707">
        <f>IF(ISNUMBER(Input!B18707),IF(AND(Input!B18707&gt;=20,Input!B18707&lt;=700),Input!B18707,""),"")</f>
        <v/>
      </c>
      <c r="C18707">
        <f>IF(B18707="","",INT(A18707))</f>
        <v/>
      </c>
      <c r="D18707">
        <f>IF(B18707="","",HOUR(A18707))</f>
        <v/>
      </c>
    </row>
    <row r="18708">
      <c r="A18708">
        <f>Input!A18708</f>
        <v/>
      </c>
      <c r="B18708">
        <f>IF(ISNUMBER(Input!B18708),IF(AND(Input!B18708&gt;=20,Input!B18708&lt;=700),Input!B18708,""),"")</f>
        <v/>
      </c>
      <c r="C18708">
        <f>IF(B18708="","",INT(A18708))</f>
        <v/>
      </c>
      <c r="D18708">
        <f>IF(B18708="","",HOUR(A18708))</f>
        <v/>
      </c>
    </row>
    <row r="18709">
      <c r="A18709">
        <f>Input!A18709</f>
        <v/>
      </c>
      <c r="B18709">
        <f>IF(ISNUMBER(Input!B18709),IF(AND(Input!B18709&gt;=20,Input!B18709&lt;=700),Input!B18709,""),"")</f>
        <v/>
      </c>
      <c r="C18709">
        <f>IF(B18709="","",INT(A18709))</f>
        <v/>
      </c>
      <c r="D18709">
        <f>IF(B18709="","",HOUR(A18709))</f>
        <v/>
      </c>
    </row>
    <row r="18710">
      <c r="A18710">
        <f>Input!A18710</f>
        <v/>
      </c>
      <c r="B18710">
        <f>IF(ISNUMBER(Input!B18710),IF(AND(Input!B18710&gt;=20,Input!B18710&lt;=700),Input!B18710,""),"")</f>
        <v/>
      </c>
      <c r="C18710">
        <f>IF(B18710="","",INT(A18710))</f>
        <v/>
      </c>
      <c r="D18710">
        <f>IF(B18710="","",HOUR(A18710))</f>
        <v/>
      </c>
    </row>
    <row r="18711">
      <c r="A18711">
        <f>Input!A18711</f>
        <v/>
      </c>
      <c r="B18711">
        <f>IF(ISNUMBER(Input!B18711),IF(AND(Input!B18711&gt;=20,Input!B18711&lt;=700),Input!B18711,""),"")</f>
        <v/>
      </c>
      <c r="C18711">
        <f>IF(B18711="","",INT(A18711))</f>
        <v/>
      </c>
      <c r="D18711">
        <f>IF(B18711="","",HOUR(A18711))</f>
        <v/>
      </c>
    </row>
    <row r="18712">
      <c r="A18712">
        <f>Input!A18712</f>
        <v/>
      </c>
      <c r="B18712">
        <f>IF(ISNUMBER(Input!B18712),IF(AND(Input!B18712&gt;=20,Input!B18712&lt;=700),Input!B18712,""),"")</f>
        <v/>
      </c>
      <c r="C18712">
        <f>IF(B18712="","",INT(A18712))</f>
        <v/>
      </c>
      <c r="D18712">
        <f>IF(B18712="","",HOUR(A18712))</f>
        <v/>
      </c>
    </row>
    <row r="18713">
      <c r="A18713">
        <f>Input!A18713</f>
        <v/>
      </c>
      <c r="B18713">
        <f>IF(ISNUMBER(Input!B18713),IF(AND(Input!B18713&gt;=20,Input!B18713&lt;=700),Input!B18713,""),"")</f>
        <v/>
      </c>
      <c r="C18713">
        <f>IF(B18713="","",INT(A18713))</f>
        <v/>
      </c>
      <c r="D18713">
        <f>IF(B18713="","",HOUR(A18713))</f>
        <v/>
      </c>
    </row>
    <row r="18714">
      <c r="A18714">
        <f>Input!A18714</f>
        <v/>
      </c>
      <c r="B18714">
        <f>IF(ISNUMBER(Input!B18714),IF(AND(Input!B18714&gt;=20,Input!B18714&lt;=700),Input!B18714,""),"")</f>
        <v/>
      </c>
      <c r="C18714">
        <f>IF(B18714="","",INT(A18714))</f>
        <v/>
      </c>
      <c r="D18714">
        <f>IF(B18714="","",HOUR(A18714))</f>
        <v/>
      </c>
    </row>
    <row r="18715">
      <c r="A18715">
        <f>Input!A18715</f>
        <v/>
      </c>
      <c r="B18715">
        <f>IF(ISNUMBER(Input!B18715),IF(AND(Input!B18715&gt;=20,Input!B18715&lt;=700),Input!B18715,""),"")</f>
        <v/>
      </c>
      <c r="C18715">
        <f>IF(B18715="","",INT(A18715))</f>
        <v/>
      </c>
      <c r="D18715">
        <f>IF(B18715="","",HOUR(A18715))</f>
        <v/>
      </c>
    </row>
    <row r="18716">
      <c r="A18716">
        <f>Input!A18716</f>
        <v/>
      </c>
      <c r="B18716">
        <f>IF(ISNUMBER(Input!B18716),IF(AND(Input!B18716&gt;=20,Input!B18716&lt;=700),Input!B18716,""),"")</f>
        <v/>
      </c>
      <c r="C18716">
        <f>IF(B18716="","",INT(A18716))</f>
        <v/>
      </c>
      <c r="D18716">
        <f>IF(B18716="","",HOUR(A18716))</f>
        <v/>
      </c>
    </row>
    <row r="18717">
      <c r="A18717">
        <f>Input!A18717</f>
        <v/>
      </c>
      <c r="B18717">
        <f>IF(ISNUMBER(Input!B18717),IF(AND(Input!B18717&gt;=20,Input!B18717&lt;=700),Input!B18717,""),"")</f>
        <v/>
      </c>
      <c r="C18717">
        <f>IF(B18717="","",INT(A18717))</f>
        <v/>
      </c>
      <c r="D18717">
        <f>IF(B18717="","",HOUR(A18717))</f>
        <v/>
      </c>
    </row>
    <row r="18718">
      <c r="A18718">
        <f>Input!A18718</f>
        <v/>
      </c>
      <c r="B18718">
        <f>IF(ISNUMBER(Input!B18718),IF(AND(Input!B18718&gt;=20,Input!B18718&lt;=700),Input!B18718,""),"")</f>
        <v/>
      </c>
      <c r="C18718">
        <f>IF(B18718="","",INT(A18718))</f>
        <v/>
      </c>
      <c r="D18718">
        <f>IF(B18718="","",HOUR(A18718))</f>
        <v/>
      </c>
    </row>
    <row r="18719">
      <c r="A18719">
        <f>Input!A18719</f>
        <v/>
      </c>
      <c r="B18719">
        <f>IF(ISNUMBER(Input!B18719),IF(AND(Input!B18719&gt;=20,Input!B18719&lt;=700),Input!B18719,""),"")</f>
        <v/>
      </c>
      <c r="C18719">
        <f>IF(B18719="","",INT(A18719))</f>
        <v/>
      </c>
      <c r="D18719">
        <f>IF(B18719="","",HOUR(A18719))</f>
        <v/>
      </c>
    </row>
    <row r="18720">
      <c r="A18720">
        <f>Input!A18720</f>
        <v/>
      </c>
      <c r="B18720">
        <f>IF(ISNUMBER(Input!B18720),IF(AND(Input!B18720&gt;=20,Input!B18720&lt;=700),Input!B18720,""),"")</f>
        <v/>
      </c>
      <c r="C18720">
        <f>IF(B18720="","",INT(A18720))</f>
        <v/>
      </c>
      <c r="D18720">
        <f>IF(B18720="","",HOUR(A18720))</f>
        <v/>
      </c>
    </row>
    <row r="18721">
      <c r="A18721">
        <f>Input!A18721</f>
        <v/>
      </c>
      <c r="B18721">
        <f>IF(ISNUMBER(Input!B18721),IF(AND(Input!B18721&gt;=20,Input!B18721&lt;=700),Input!B18721,""),"")</f>
        <v/>
      </c>
      <c r="C18721">
        <f>IF(B18721="","",INT(A18721))</f>
        <v/>
      </c>
      <c r="D18721">
        <f>IF(B18721="","",HOUR(A18721))</f>
        <v/>
      </c>
    </row>
    <row r="18722">
      <c r="A18722">
        <f>Input!A18722</f>
        <v/>
      </c>
      <c r="B18722">
        <f>IF(ISNUMBER(Input!B18722),IF(AND(Input!B18722&gt;=20,Input!B18722&lt;=700),Input!B18722,""),"")</f>
        <v/>
      </c>
      <c r="C18722">
        <f>IF(B18722="","",INT(A18722))</f>
        <v/>
      </c>
      <c r="D18722">
        <f>IF(B18722="","",HOUR(A18722))</f>
        <v/>
      </c>
    </row>
    <row r="18723">
      <c r="A18723">
        <f>Input!A18723</f>
        <v/>
      </c>
      <c r="B18723">
        <f>IF(ISNUMBER(Input!B18723),IF(AND(Input!B18723&gt;=20,Input!B18723&lt;=700),Input!B18723,""),"")</f>
        <v/>
      </c>
      <c r="C18723">
        <f>IF(B18723="","",INT(A18723))</f>
        <v/>
      </c>
      <c r="D18723">
        <f>IF(B18723="","",HOUR(A18723))</f>
        <v/>
      </c>
    </row>
    <row r="18724">
      <c r="A18724">
        <f>Input!A18724</f>
        <v/>
      </c>
      <c r="B18724">
        <f>IF(ISNUMBER(Input!B18724),IF(AND(Input!B18724&gt;=20,Input!B18724&lt;=700),Input!B18724,""),"")</f>
        <v/>
      </c>
      <c r="C18724">
        <f>IF(B18724="","",INT(A18724))</f>
        <v/>
      </c>
      <c r="D18724">
        <f>IF(B18724="","",HOUR(A18724))</f>
        <v/>
      </c>
    </row>
    <row r="18725">
      <c r="A18725">
        <f>Input!A18725</f>
        <v/>
      </c>
      <c r="B18725">
        <f>IF(ISNUMBER(Input!B18725),IF(AND(Input!B18725&gt;=20,Input!B18725&lt;=700),Input!B18725,""),"")</f>
        <v/>
      </c>
      <c r="C18725">
        <f>IF(B18725="","",INT(A18725))</f>
        <v/>
      </c>
      <c r="D18725">
        <f>IF(B18725="","",HOUR(A18725))</f>
        <v/>
      </c>
    </row>
    <row r="18726">
      <c r="A18726">
        <f>Input!A18726</f>
        <v/>
      </c>
      <c r="B18726">
        <f>IF(ISNUMBER(Input!B18726),IF(AND(Input!B18726&gt;=20,Input!B18726&lt;=700),Input!B18726,""),"")</f>
        <v/>
      </c>
      <c r="C18726">
        <f>IF(B18726="","",INT(A18726))</f>
        <v/>
      </c>
      <c r="D18726">
        <f>IF(B18726="","",HOUR(A18726))</f>
        <v/>
      </c>
    </row>
    <row r="18727">
      <c r="A18727">
        <f>Input!A18727</f>
        <v/>
      </c>
      <c r="B18727">
        <f>IF(ISNUMBER(Input!B18727),IF(AND(Input!B18727&gt;=20,Input!B18727&lt;=700),Input!B18727,""),"")</f>
        <v/>
      </c>
      <c r="C18727">
        <f>IF(B18727="","",INT(A18727))</f>
        <v/>
      </c>
      <c r="D18727">
        <f>IF(B18727="","",HOUR(A18727))</f>
        <v/>
      </c>
    </row>
    <row r="18728">
      <c r="A18728">
        <f>Input!A18728</f>
        <v/>
      </c>
      <c r="B18728">
        <f>IF(ISNUMBER(Input!B18728),IF(AND(Input!B18728&gt;=20,Input!B18728&lt;=700),Input!B18728,""),"")</f>
        <v/>
      </c>
      <c r="C18728">
        <f>IF(B18728="","",INT(A18728))</f>
        <v/>
      </c>
      <c r="D18728">
        <f>IF(B18728="","",HOUR(A18728))</f>
        <v/>
      </c>
    </row>
    <row r="18729">
      <c r="A18729">
        <f>Input!A18729</f>
        <v/>
      </c>
      <c r="B18729">
        <f>IF(ISNUMBER(Input!B18729),IF(AND(Input!B18729&gt;=20,Input!B18729&lt;=700),Input!B18729,""),"")</f>
        <v/>
      </c>
      <c r="C18729">
        <f>IF(B18729="","",INT(A18729))</f>
        <v/>
      </c>
      <c r="D18729">
        <f>IF(B18729="","",HOUR(A18729))</f>
        <v/>
      </c>
    </row>
    <row r="18730">
      <c r="A18730">
        <f>Input!A18730</f>
        <v/>
      </c>
      <c r="B18730">
        <f>IF(ISNUMBER(Input!B18730),IF(AND(Input!B18730&gt;=20,Input!B18730&lt;=700),Input!B18730,""),"")</f>
        <v/>
      </c>
      <c r="C18730">
        <f>IF(B18730="","",INT(A18730))</f>
        <v/>
      </c>
      <c r="D18730">
        <f>IF(B18730="","",HOUR(A18730))</f>
        <v/>
      </c>
    </row>
    <row r="18731">
      <c r="A18731">
        <f>Input!A18731</f>
        <v/>
      </c>
      <c r="B18731">
        <f>IF(ISNUMBER(Input!B18731),IF(AND(Input!B18731&gt;=20,Input!B18731&lt;=700),Input!B18731,""),"")</f>
        <v/>
      </c>
      <c r="C18731">
        <f>IF(B18731="","",INT(A18731))</f>
        <v/>
      </c>
      <c r="D18731">
        <f>IF(B18731="","",HOUR(A18731))</f>
        <v/>
      </c>
    </row>
    <row r="18732">
      <c r="A18732">
        <f>Input!A18732</f>
        <v/>
      </c>
      <c r="B18732">
        <f>IF(ISNUMBER(Input!B18732),IF(AND(Input!B18732&gt;=20,Input!B18732&lt;=700),Input!B18732,""),"")</f>
        <v/>
      </c>
      <c r="C18732">
        <f>IF(B18732="","",INT(A18732))</f>
        <v/>
      </c>
      <c r="D18732">
        <f>IF(B18732="","",HOUR(A18732))</f>
        <v/>
      </c>
    </row>
    <row r="18733">
      <c r="A18733">
        <f>Input!A18733</f>
        <v/>
      </c>
      <c r="B18733">
        <f>IF(ISNUMBER(Input!B18733),IF(AND(Input!B18733&gt;=20,Input!B18733&lt;=700),Input!B18733,""),"")</f>
        <v/>
      </c>
      <c r="C18733">
        <f>IF(B18733="","",INT(A18733))</f>
        <v/>
      </c>
      <c r="D18733">
        <f>IF(B18733="","",HOUR(A18733))</f>
        <v/>
      </c>
    </row>
    <row r="18734">
      <c r="A18734">
        <f>Input!A18734</f>
        <v/>
      </c>
      <c r="B18734">
        <f>IF(ISNUMBER(Input!B18734),IF(AND(Input!B18734&gt;=20,Input!B18734&lt;=700),Input!B18734,""),"")</f>
        <v/>
      </c>
      <c r="C18734">
        <f>IF(B18734="","",INT(A18734))</f>
        <v/>
      </c>
      <c r="D18734">
        <f>IF(B18734="","",HOUR(A18734))</f>
        <v/>
      </c>
    </row>
    <row r="18735">
      <c r="A18735">
        <f>Input!A18735</f>
        <v/>
      </c>
      <c r="B18735">
        <f>IF(ISNUMBER(Input!B18735),IF(AND(Input!B18735&gt;=20,Input!B18735&lt;=700),Input!B18735,""),"")</f>
        <v/>
      </c>
      <c r="C18735">
        <f>IF(B18735="","",INT(A18735))</f>
        <v/>
      </c>
      <c r="D18735">
        <f>IF(B18735="","",HOUR(A18735))</f>
        <v/>
      </c>
    </row>
    <row r="18736">
      <c r="A18736">
        <f>Input!A18736</f>
        <v/>
      </c>
      <c r="B18736">
        <f>IF(ISNUMBER(Input!B18736),IF(AND(Input!B18736&gt;=20,Input!B18736&lt;=700),Input!B18736,""),"")</f>
        <v/>
      </c>
      <c r="C18736">
        <f>IF(B18736="","",INT(A18736))</f>
        <v/>
      </c>
      <c r="D18736">
        <f>IF(B18736="","",HOUR(A18736))</f>
        <v/>
      </c>
    </row>
    <row r="18737">
      <c r="A18737">
        <f>Input!A18737</f>
        <v/>
      </c>
      <c r="B18737">
        <f>IF(ISNUMBER(Input!B18737),IF(AND(Input!B18737&gt;=20,Input!B18737&lt;=700),Input!B18737,""),"")</f>
        <v/>
      </c>
      <c r="C18737">
        <f>IF(B18737="","",INT(A18737))</f>
        <v/>
      </c>
      <c r="D18737">
        <f>IF(B18737="","",HOUR(A18737))</f>
        <v/>
      </c>
    </row>
    <row r="18738">
      <c r="A18738">
        <f>Input!A18738</f>
        <v/>
      </c>
      <c r="B18738">
        <f>IF(ISNUMBER(Input!B18738),IF(AND(Input!B18738&gt;=20,Input!B18738&lt;=700),Input!B18738,""),"")</f>
        <v/>
      </c>
      <c r="C18738">
        <f>IF(B18738="","",INT(A18738))</f>
        <v/>
      </c>
      <c r="D18738">
        <f>IF(B18738="","",HOUR(A18738))</f>
        <v/>
      </c>
    </row>
    <row r="18739">
      <c r="A18739">
        <f>Input!A18739</f>
        <v/>
      </c>
      <c r="B18739">
        <f>IF(ISNUMBER(Input!B18739),IF(AND(Input!B18739&gt;=20,Input!B18739&lt;=700),Input!B18739,""),"")</f>
        <v/>
      </c>
      <c r="C18739">
        <f>IF(B18739="","",INT(A18739))</f>
        <v/>
      </c>
      <c r="D18739">
        <f>IF(B18739="","",HOUR(A18739))</f>
        <v/>
      </c>
    </row>
    <row r="18740">
      <c r="A18740">
        <f>Input!A18740</f>
        <v/>
      </c>
      <c r="B18740">
        <f>IF(ISNUMBER(Input!B18740),IF(AND(Input!B18740&gt;=20,Input!B18740&lt;=700),Input!B18740,""),"")</f>
        <v/>
      </c>
      <c r="C18740">
        <f>IF(B18740="","",INT(A18740))</f>
        <v/>
      </c>
      <c r="D18740">
        <f>IF(B18740="","",HOUR(A18740))</f>
        <v/>
      </c>
    </row>
    <row r="18741">
      <c r="A18741">
        <f>Input!A18741</f>
        <v/>
      </c>
      <c r="B18741">
        <f>IF(ISNUMBER(Input!B18741),IF(AND(Input!B18741&gt;=20,Input!B18741&lt;=700),Input!B18741,""),"")</f>
        <v/>
      </c>
      <c r="C18741">
        <f>IF(B18741="","",INT(A18741))</f>
        <v/>
      </c>
      <c r="D18741">
        <f>IF(B18741="","",HOUR(A18741))</f>
        <v/>
      </c>
    </row>
    <row r="18742">
      <c r="A18742">
        <f>Input!A18742</f>
        <v/>
      </c>
      <c r="B18742">
        <f>IF(ISNUMBER(Input!B18742),IF(AND(Input!B18742&gt;=20,Input!B18742&lt;=700),Input!B18742,""),"")</f>
        <v/>
      </c>
      <c r="C18742">
        <f>IF(B18742="","",INT(A18742))</f>
        <v/>
      </c>
      <c r="D18742">
        <f>IF(B18742="","",HOUR(A18742))</f>
        <v/>
      </c>
    </row>
    <row r="18743">
      <c r="A18743">
        <f>Input!A18743</f>
        <v/>
      </c>
      <c r="B18743">
        <f>IF(ISNUMBER(Input!B18743),IF(AND(Input!B18743&gt;=20,Input!B18743&lt;=700),Input!B18743,""),"")</f>
        <v/>
      </c>
      <c r="C18743">
        <f>IF(B18743="","",INT(A18743))</f>
        <v/>
      </c>
      <c r="D18743">
        <f>IF(B18743="","",HOUR(A18743))</f>
        <v/>
      </c>
    </row>
    <row r="18744">
      <c r="A18744">
        <f>Input!A18744</f>
        <v/>
      </c>
      <c r="B18744">
        <f>IF(ISNUMBER(Input!B18744),IF(AND(Input!B18744&gt;=20,Input!B18744&lt;=700),Input!B18744,""),"")</f>
        <v/>
      </c>
      <c r="C18744">
        <f>IF(B18744="","",INT(A18744))</f>
        <v/>
      </c>
      <c r="D18744">
        <f>IF(B18744="","",HOUR(A18744))</f>
        <v/>
      </c>
    </row>
    <row r="18745">
      <c r="A18745">
        <f>Input!A18745</f>
        <v/>
      </c>
      <c r="B18745">
        <f>IF(ISNUMBER(Input!B18745),IF(AND(Input!B18745&gt;=20,Input!B18745&lt;=700),Input!B18745,""),"")</f>
        <v/>
      </c>
      <c r="C18745">
        <f>IF(B18745="","",INT(A18745))</f>
        <v/>
      </c>
      <c r="D18745">
        <f>IF(B18745="","",HOUR(A18745))</f>
        <v/>
      </c>
    </row>
    <row r="18746">
      <c r="A18746">
        <f>Input!A18746</f>
        <v/>
      </c>
      <c r="B18746">
        <f>IF(ISNUMBER(Input!B18746),IF(AND(Input!B18746&gt;=20,Input!B18746&lt;=700),Input!B18746,""),"")</f>
        <v/>
      </c>
      <c r="C18746">
        <f>IF(B18746="","",INT(A18746))</f>
        <v/>
      </c>
      <c r="D18746">
        <f>IF(B18746="","",HOUR(A18746))</f>
        <v/>
      </c>
    </row>
    <row r="18747">
      <c r="A18747">
        <f>Input!A18747</f>
        <v/>
      </c>
      <c r="B18747">
        <f>IF(ISNUMBER(Input!B18747),IF(AND(Input!B18747&gt;=20,Input!B18747&lt;=700),Input!B18747,""),"")</f>
        <v/>
      </c>
      <c r="C18747">
        <f>IF(B18747="","",INT(A18747))</f>
        <v/>
      </c>
      <c r="D18747">
        <f>IF(B18747="","",HOUR(A18747))</f>
        <v/>
      </c>
    </row>
    <row r="18748">
      <c r="A18748">
        <f>Input!A18748</f>
        <v/>
      </c>
      <c r="B18748">
        <f>IF(ISNUMBER(Input!B18748),IF(AND(Input!B18748&gt;=20,Input!B18748&lt;=700),Input!B18748,""),"")</f>
        <v/>
      </c>
      <c r="C18748">
        <f>IF(B18748="","",INT(A18748))</f>
        <v/>
      </c>
      <c r="D18748">
        <f>IF(B18748="","",HOUR(A18748))</f>
        <v/>
      </c>
    </row>
    <row r="18749">
      <c r="A18749">
        <f>Input!A18749</f>
        <v/>
      </c>
      <c r="B18749">
        <f>IF(ISNUMBER(Input!B18749),IF(AND(Input!B18749&gt;=20,Input!B18749&lt;=700),Input!B18749,""),"")</f>
        <v/>
      </c>
      <c r="C18749">
        <f>IF(B18749="","",INT(A18749))</f>
        <v/>
      </c>
      <c r="D18749">
        <f>IF(B18749="","",HOUR(A18749))</f>
        <v/>
      </c>
    </row>
    <row r="18750">
      <c r="A18750">
        <f>Input!A18750</f>
        <v/>
      </c>
      <c r="B18750">
        <f>IF(ISNUMBER(Input!B18750),IF(AND(Input!B18750&gt;=20,Input!B18750&lt;=700),Input!B18750,""),"")</f>
        <v/>
      </c>
      <c r="C18750">
        <f>IF(B18750="","",INT(A18750))</f>
        <v/>
      </c>
      <c r="D18750">
        <f>IF(B18750="","",HOUR(A18750))</f>
        <v/>
      </c>
    </row>
    <row r="18751">
      <c r="A18751">
        <f>Input!A18751</f>
        <v/>
      </c>
      <c r="B18751">
        <f>IF(ISNUMBER(Input!B18751),IF(AND(Input!B18751&gt;=20,Input!B18751&lt;=700),Input!B18751,""),"")</f>
        <v/>
      </c>
      <c r="C18751">
        <f>IF(B18751="","",INT(A18751))</f>
        <v/>
      </c>
      <c r="D18751">
        <f>IF(B18751="","",HOUR(A18751))</f>
        <v/>
      </c>
    </row>
    <row r="18752">
      <c r="A18752">
        <f>Input!A18752</f>
        <v/>
      </c>
      <c r="B18752">
        <f>IF(ISNUMBER(Input!B18752),IF(AND(Input!B18752&gt;=20,Input!B18752&lt;=700),Input!B18752,""),"")</f>
        <v/>
      </c>
      <c r="C18752">
        <f>IF(B18752="","",INT(A18752))</f>
        <v/>
      </c>
      <c r="D18752">
        <f>IF(B18752="","",HOUR(A18752))</f>
        <v/>
      </c>
    </row>
    <row r="18753">
      <c r="A18753">
        <f>Input!A18753</f>
        <v/>
      </c>
      <c r="B18753">
        <f>IF(ISNUMBER(Input!B18753),IF(AND(Input!B18753&gt;=20,Input!B18753&lt;=700),Input!B18753,""),"")</f>
        <v/>
      </c>
      <c r="C18753">
        <f>IF(B18753="","",INT(A18753))</f>
        <v/>
      </c>
      <c r="D18753">
        <f>IF(B18753="","",HOUR(A18753))</f>
        <v/>
      </c>
    </row>
    <row r="18754">
      <c r="A18754">
        <f>Input!A18754</f>
        <v/>
      </c>
      <c r="B18754">
        <f>IF(ISNUMBER(Input!B18754),IF(AND(Input!B18754&gt;=20,Input!B18754&lt;=700),Input!B18754,""),"")</f>
        <v/>
      </c>
      <c r="C18754">
        <f>IF(B18754="","",INT(A18754))</f>
        <v/>
      </c>
      <c r="D18754">
        <f>IF(B18754="","",HOUR(A18754))</f>
        <v/>
      </c>
    </row>
    <row r="18755">
      <c r="A18755">
        <f>Input!A18755</f>
        <v/>
      </c>
      <c r="B18755">
        <f>IF(ISNUMBER(Input!B18755),IF(AND(Input!B18755&gt;=20,Input!B18755&lt;=700),Input!B18755,""),"")</f>
        <v/>
      </c>
      <c r="C18755">
        <f>IF(B18755="","",INT(A18755))</f>
        <v/>
      </c>
      <c r="D18755">
        <f>IF(B18755="","",HOUR(A18755))</f>
        <v/>
      </c>
    </row>
    <row r="18756">
      <c r="A18756">
        <f>Input!A18756</f>
        <v/>
      </c>
      <c r="B18756">
        <f>IF(ISNUMBER(Input!B18756),IF(AND(Input!B18756&gt;=20,Input!B18756&lt;=700),Input!B18756,""),"")</f>
        <v/>
      </c>
      <c r="C18756">
        <f>IF(B18756="","",INT(A18756))</f>
        <v/>
      </c>
      <c r="D18756">
        <f>IF(B18756="","",HOUR(A18756))</f>
        <v/>
      </c>
    </row>
    <row r="18757">
      <c r="A18757">
        <f>Input!A18757</f>
        <v/>
      </c>
      <c r="B18757">
        <f>IF(ISNUMBER(Input!B18757),IF(AND(Input!B18757&gt;=20,Input!B18757&lt;=700),Input!B18757,""),"")</f>
        <v/>
      </c>
      <c r="C18757">
        <f>IF(B18757="","",INT(A18757))</f>
        <v/>
      </c>
      <c r="D18757">
        <f>IF(B18757="","",HOUR(A18757))</f>
        <v/>
      </c>
    </row>
    <row r="18758">
      <c r="A18758">
        <f>Input!A18758</f>
        <v/>
      </c>
      <c r="B18758">
        <f>IF(ISNUMBER(Input!B18758),IF(AND(Input!B18758&gt;=20,Input!B18758&lt;=700),Input!B18758,""),"")</f>
        <v/>
      </c>
      <c r="C18758">
        <f>IF(B18758="","",INT(A18758))</f>
        <v/>
      </c>
      <c r="D18758">
        <f>IF(B18758="","",HOUR(A18758))</f>
        <v/>
      </c>
    </row>
    <row r="18759">
      <c r="A18759">
        <f>Input!A18759</f>
        <v/>
      </c>
      <c r="B18759">
        <f>IF(ISNUMBER(Input!B18759),IF(AND(Input!B18759&gt;=20,Input!B18759&lt;=700),Input!B18759,""),"")</f>
        <v/>
      </c>
      <c r="C18759">
        <f>IF(B18759="","",INT(A18759))</f>
        <v/>
      </c>
      <c r="D18759">
        <f>IF(B18759="","",HOUR(A18759))</f>
        <v/>
      </c>
    </row>
    <row r="18760">
      <c r="A18760">
        <f>Input!A18760</f>
        <v/>
      </c>
      <c r="B18760">
        <f>IF(ISNUMBER(Input!B18760),IF(AND(Input!B18760&gt;=20,Input!B18760&lt;=700),Input!B18760,""),"")</f>
        <v/>
      </c>
      <c r="C18760">
        <f>IF(B18760="","",INT(A18760))</f>
        <v/>
      </c>
      <c r="D18760">
        <f>IF(B18760="","",HOUR(A18760))</f>
        <v/>
      </c>
    </row>
    <row r="18761">
      <c r="A18761">
        <f>Input!A18761</f>
        <v/>
      </c>
      <c r="B18761">
        <f>IF(ISNUMBER(Input!B18761),IF(AND(Input!B18761&gt;=20,Input!B18761&lt;=700),Input!B18761,""),"")</f>
        <v/>
      </c>
      <c r="C18761">
        <f>IF(B18761="","",INT(A18761))</f>
        <v/>
      </c>
      <c r="D18761">
        <f>IF(B18761="","",HOUR(A18761))</f>
        <v/>
      </c>
    </row>
    <row r="18762">
      <c r="A18762">
        <f>Input!A18762</f>
        <v/>
      </c>
      <c r="B18762">
        <f>IF(ISNUMBER(Input!B18762),IF(AND(Input!B18762&gt;=20,Input!B18762&lt;=700),Input!B18762,""),"")</f>
        <v/>
      </c>
      <c r="C18762">
        <f>IF(B18762="","",INT(A18762))</f>
        <v/>
      </c>
      <c r="D18762">
        <f>IF(B18762="","",HOUR(A18762))</f>
        <v/>
      </c>
    </row>
    <row r="18763">
      <c r="A18763">
        <f>Input!A18763</f>
        <v/>
      </c>
      <c r="B18763">
        <f>IF(ISNUMBER(Input!B18763),IF(AND(Input!B18763&gt;=20,Input!B18763&lt;=700),Input!B18763,""),"")</f>
        <v/>
      </c>
      <c r="C18763">
        <f>IF(B18763="","",INT(A18763))</f>
        <v/>
      </c>
      <c r="D18763">
        <f>IF(B18763="","",HOUR(A18763))</f>
        <v/>
      </c>
    </row>
    <row r="18764">
      <c r="A18764">
        <f>Input!A18764</f>
        <v/>
      </c>
      <c r="B18764">
        <f>IF(ISNUMBER(Input!B18764),IF(AND(Input!B18764&gt;=20,Input!B18764&lt;=700),Input!B18764,""),"")</f>
        <v/>
      </c>
      <c r="C18764">
        <f>IF(B18764="","",INT(A18764))</f>
        <v/>
      </c>
      <c r="D18764">
        <f>IF(B18764="","",HOUR(A18764))</f>
        <v/>
      </c>
    </row>
    <row r="18765">
      <c r="A18765">
        <f>Input!A18765</f>
        <v/>
      </c>
      <c r="B18765">
        <f>IF(ISNUMBER(Input!B18765),IF(AND(Input!B18765&gt;=20,Input!B18765&lt;=700),Input!B18765,""),"")</f>
        <v/>
      </c>
      <c r="C18765">
        <f>IF(B18765="","",INT(A18765))</f>
        <v/>
      </c>
      <c r="D18765">
        <f>IF(B18765="","",HOUR(A18765))</f>
        <v/>
      </c>
    </row>
    <row r="18766">
      <c r="A18766">
        <f>Input!A18766</f>
        <v/>
      </c>
      <c r="B18766">
        <f>IF(ISNUMBER(Input!B18766),IF(AND(Input!B18766&gt;=20,Input!B18766&lt;=700),Input!B18766,""),"")</f>
        <v/>
      </c>
      <c r="C18766">
        <f>IF(B18766="","",INT(A18766))</f>
        <v/>
      </c>
      <c r="D18766">
        <f>IF(B18766="","",HOUR(A18766))</f>
        <v/>
      </c>
    </row>
    <row r="18767">
      <c r="A18767">
        <f>Input!A18767</f>
        <v/>
      </c>
      <c r="B18767">
        <f>IF(ISNUMBER(Input!B18767),IF(AND(Input!B18767&gt;=20,Input!B18767&lt;=700),Input!B18767,""),"")</f>
        <v/>
      </c>
      <c r="C18767">
        <f>IF(B18767="","",INT(A18767))</f>
        <v/>
      </c>
      <c r="D18767">
        <f>IF(B18767="","",HOUR(A18767))</f>
        <v/>
      </c>
    </row>
    <row r="18768">
      <c r="A18768">
        <f>Input!A18768</f>
        <v/>
      </c>
      <c r="B18768">
        <f>IF(ISNUMBER(Input!B18768),IF(AND(Input!B18768&gt;=20,Input!B18768&lt;=700),Input!B18768,""),"")</f>
        <v/>
      </c>
      <c r="C18768">
        <f>IF(B18768="","",INT(A18768))</f>
        <v/>
      </c>
      <c r="D18768">
        <f>IF(B18768="","",HOUR(A18768))</f>
        <v/>
      </c>
    </row>
    <row r="18769">
      <c r="A18769">
        <f>Input!A18769</f>
        <v/>
      </c>
      <c r="B18769">
        <f>IF(ISNUMBER(Input!B18769),IF(AND(Input!B18769&gt;=20,Input!B18769&lt;=700),Input!B18769,""),"")</f>
        <v/>
      </c>
      <c r="C18769">
        <f>IF(B18769="","",INT(A18769))</f>
        <v/>
      </c>
      <c r="D18769">
        <f>IF(B18769="","",HOUR(A18769))</f>
        <v/>
      </c>
    </row>
    <row r="18770">
      <c r="A18770">
        <f>Input!A18770</f>
        <v/>
      </c>
      <c r="B18770">
        <f>IF(ISNUMBER(Input!B18770),IF(AND(Input!B18770&gt;=20,Input!B18770&lt;=700),Input!B18770,""),"")</f>
        <v/>
      </c>
      <c r="C18770">
        <f>IF(B18770="","",INT(A18770))</f>
        <v/>
      </c>
      <c r="D18770">
        <f>IF(B18770="","",HOUR(A18770))</f>
        <v/>
      </c>
    </row>
    <row r="18771">
      <c r="A18771">
        <f>Input!A18771</f>
        <v/>
      </c>
      <c r="B18771">
        <f>IF(ISNUMBER(Input!B18771),IF(AND(Input!B18771&gt;=20,Input!B18771&lt;=700),Input!B18771,""),"")</f>
        <v/>
      </c>
      <c r="C18771">
        <f>IF(B18771="","",INT(A18771))</f>
        <v/>
      </c>
      <c r="D18771">
        <f>IF(B18771="","",HOUR(A18771))</f>
        <v/>
      </c>
    </row>
    <row r="18772">
      <c r="A18772">
        <f>Input!A18772</f>
        <v/>
      </c>
      <c r="B18772">
        <f>IF(ISNUMBER(Input!B18772),IF(AND(Input!B18772&gt;=20,Input!B18772&lt;=700),Input!B18772,""),"")</f>
        <v/>
      </c>
      <c r="C18772">
        <f>IF(B18772="","",INT(A18772))</f>
        <v/>
      </c>
      <c r="D18772">
        <f>IF(B18772="","",HOUR(A18772))</f>
        <v/>
      </c>
    </row>
    <row r="18773">
      <c r="A18773">
        <f>Input!A18773</f>
        <v/>
      </c>
      <c r="B18773">
        <f>IF(ISNUMBER(Input!B18773),IF(AND(Input!B18773&gt;=20,Input!B18773&lt;=700),Input!B18773,""),"")</f>
        <v/>
      </c>
      <c r="C18773">
        <f>IF(B18773="","",INT(A18773))</f>
        <v/>
      </c>
      <c r="D18773">
        <f>IF(B18773="","",HOUR(A18773))</f>
        <v/>
      </c>
    </row>
    <row r="18774">
      <c r="A18774">
        <f>Input!A18774</f>
        <v/>
      </c>
      <c r="B18774">
        <f>IF(ISNUMBER(Input!B18774),IF(AND(Input!B18774&gt;=20,Input!B18774&lt;=700),Input!B18774,""),"")</f>
        <v/>
      </c>
      <c r="C18774">
        <f>IF(B18774="","",INT(A18774))</f>
        <v/>
      </c>
      <c r="D18774">
        <f>IF(B18774="","",HOUR(A18774))</f>
        <v/>
      </c>
    </row>
    <row r="18775">
      <c r="A18775">
        <f>Input!A18775</f>
        <v/>
      </c>
      <c r="B18775">
        <f>IF(ISNUMBER(Input!B18775),IF(AND(Input!B18775&gt;=20,Input!B18775&lt;=700),Input!B18775,""),"")</f>
        <v/>
      </c>
      <c r="C18775">
        <f>IF(B18775="","",INT(A18775))</f>
        <v/>
      </c>
      <c r="D18775">
        <f>IF(B18775="","",HOUR(A18775))</f>
        <v/>
      </c>
    </row>
    <row r="18776">
      <c r="A18776">
        <f>Input!A18776</f>
        <v/>
      </c>
      <c r="B18776">
        <f>IF(ISNUMBER(Input!B18776),IF(AND(Input!B18776&gt;=20,Input!B18776&lt;=700),Input!B18776,""),"")</f>
        <v/>
      </c>
      <c r="C18776">
        <f>IF(B18776="","",INT(A18776))</f>
        <v/>
      </c>
      <c r="D18776">
        <f>IF(B18776="","",HOUR(A18776))</f>
        <v/>
      </c>
    </row>
    <row r="18777">
      <c r="A18777">
        <f>Input!A18777</f>
        <v/>
      </c>
      <c r="B18777">
        <f>IF(ISNUMBER(Input!B18777),IF(AND(Input!B18777&gt;=20,Input!B18777&lt;=700),Input!B18777,""),"")</f>
        <v/>
      </c>
      <c r="C18777">
        <f>IF(B18777="","",INT(A18777))</f>
        <v/>
      </c>
      <c r="D18777">
        <f>IF(B18777="","",HOUR(A18777))</f>
        <v/>
      </c>
    </row>
    <row r="18778">
      <c r="A18778">
        <f>Input!A18778</f>
        <v/>
      </c>
      <c r="B18778">
        <f>IF(ISNUMBER(Input!B18778),IF(AND(Input!B18778&gt;=20,Input!B18778&lt;=700),Input!B18778,""),"")</f>
        <v/>
      </c>
      <c r="C18778">
        <f>IF(B18778="","",INT(A18778))</f>
        <v/>
      </c>
      <c r="D18778">
        <f>IF(B18778="","",HOUR(A18778))</f>
        <v/>
      </c>
    </row>
    <row r="18779">
      <c r="A18779">
        <f>Input!A18779</f>
        <v/>
      </c>
      <c r="B18779">
        <f>IF(ISNUMBER(Input!B18779),IF(AND(Input!B18779&gt;=20,Input!B18779&lt;=700),Input!B18779,""),"")</f>
        <v/>
      </c>
      <c r="C18779">
        <f>IF(B18779="","",INT(A18779))</f>
        <v/>
      </c>
      <c r="D18779">
        <f>IF(B18779="","",HOUR(A18779))</f>
        <v/>
      </c>
    </row>
    <row r="18780">
      <c r="A18780">
        <f>Input!A18780</f>
        <v/>
      </c>
      <c r="B18780">
        <f>IF(ISNUMBER(Input!B18780),IF(AND(Input!B18780&gt;=20,Input!B18780&lt;=700),Input!B18780,""),"")</f>
        <v/>
      </c>
      <c r="C18780">
        <f>IF(B18780="","",INT(A18780))</f>
        <v/>
      </c>
      <c r="D18780">
        <f>IF(B18780="","",HOUR(A18780))</f>
        <v/>
      </c>
    </row>
    <row r="18781">
      <c r="A18781">
        <f>Input!A18781</f>
        <v/>
      </c>
      <c r="B18781">
        <f>IF(ISNUMBER(Input!B18781),IF(AND(Input!B18781&gt;=20,Input!B18781&lt;=700),Input!B18781,""),"")</f>
        <v/>
      </c>
      <c r="C18781">
        <f>IF(B18781="","",INT(A18781))</f>
        <v/>
      </c>
      <c r="D18781">
        <f>IF(B18781="","",HOUR(A18781))</f>
        <v/>
      </c>
    </row>
    <row r="18782">
      <c r="A18782">
        <f>Input!A18782</f>
        <v/>
      </c>
      <c r="B18782">
        <f>IF(ISNUMBER(Input!B18782),IF(AND(Input!B18782&gt;=20,Input!B18782&lt;=700),Input!B18782,""),"")</f>
        <v/>
      </c>
      <c r="C18782">
        <f>IF(B18782="","",INT(A18782))</f>
        <v/>
      </c>
      <c r="D18782">
        <f>IF(B18782="","",HOUR(A18782))</f>
        <v/>
      </c>
    </row>
    <row r="18783">
      <c r="A18783">
        <f>Input!A18783</f>
        <v/>
      </c>
      <c r="B18783">
        <f>IF(ISNUMBER(Input!B18783),IF(AND(Input!B18783&gt;=20,Input!B18783&lt;=700),Input!B18783,""),"")</f>
        <v/>
      </c>
      <c r="C18783">
        <f>IF(B18783="","",INT(A18783))</f>
        <v/>
      </c>
      <c r="D18783">
        <f>IF(B18783="","",HOUR(A18783))</f>
        <v/>
      </c>
    </row>
    <row r="18784">
      <c r="A18784">
        <f>Input!A18784</f>
        <v/>
      </c>
      <c r="B18784">
        <f>IF(ISNUMBER(Input!B18784),IF(AND(Input!B18784&gt;=20,Input!B18784&lt;=700),Input!B18784,""),"")</f>
        <v/>
      </c>
      <c r="C18784">
        <f>IF(B18784="","",INT(A18784))</f>
        <v/>
      </c>
      <c r="D18784">
        <f>IF(B18784="","",HOUR(A18784))</f>
        <v/>
      </c>
    </row>
    <row r="18785">
      <c r="A18785">
        <f>Input!A18785</f>
        <v/>
      </c>
      <c r="B18785">
        <f>IF(ISNUMBER(Input!B18785),IF(AND(Input!B18785&gt;=20,Input!B18785&lt;=700),Input!B18785,""),"")</f>
        <v/>
      </c>
      <c r="C18785">
        <f>IF(B18785="","",INT(A18785))</f>
        <v/>
      </c>
      <c r="D18785">
        <f>IF(B18785="","",HOUR(A18785))</f>
        <v/>
      </c>
    </row>
    <row r="18786">
      <c r="A18786">
        <f>Input!A18786</f>
        <v/>
      </c>
      <c r="B18786">
        <f>IF(ISNUMBER(Input!B18786),IF(AND(Input!B18786&gt;=20,Input!B18786&lt;=700),Input!B18786,""),"")</f>
        <v/>
      </c>
      <c r="C18786">
        <f>IF(B18786="","",INT(A18786))</f>
        <v/>
      </c>
      <c r="D18786">
        <f>IF(B18786="","",HOUR(A18786))</f>
        <v/>
      </c>
    </row>
    <row r="18787">
      <c r="A18787">
        <f>Input!A18787</f>
        <v/>
      </c>
      <c r="B18787">
        <f>IF(ISNUMBER(Input!B18787),IF(AND(Input!B18787&gt;=20,Input!B18787&lt;=700),Input!B18787,""),"")</f>
        <v/>
      </c>
      <c r="C18787">
        <f>IF(B18787="","",INT(A18787))</f>
        <v/>
      </c>
      <c r="D18787">
        <f>IF(B18787="","",HOUR(A18787))</f>
        <v/>
      </c>
    </row>
    <row r="18788">
      <c r="A18788">
        <f>Input!A18788</f>
        <v/>
      </c>
      <c r="B18788">
        <f>IF(ISNUMBER(Input!B18788),IF(AND(Input!B18788&gt;=20,Input!B18788&lt;=700),Input!B18788,""),"")</f>
        <v/>
      </c>
      <c r="C18788">
        <f>IF(B18788="","",INT(A18788))</f>
        <v/>
      </c>
      <c r="D18788">
        <f>IF(B18788="","",HOUR(A18788))</f>
        <v/>
      </c>
    </row>
    <row r="18789">
      <c r="A18789">
        <f>Input!A18789</f>
        <v/>
      </c>
      <c r="B18789">
        <f>IF(ISNUMBER(Input!B18789),IF(AND(Input!B18789&gt;=20,Input!B18789&lt;=700),Input!B18789,""),"")</f>
        <v/>
      </c>
      <c r="C18789">
        <f>IF(B18789="","",INT(A18789))</f>
        <v/>
      </c>
      <c r="D18789">
        <f>IF(B18789="","",HOUR(A18789))</f>
        <v/>
      </c>
    </row>
    <row r="18790">
      <c r="A18790">
        <f>Input!A18790</f>
        <v/>
      </c>
      <c r="B18790">
        <f>IF(ISNUMBER(Input!B18790),IF(AND(Input!B18790&gt;=20,Input!B18790&lt;=700),Input!B18790,""),"")</f>
        <v/>
      </c>
      <c r="C18790">
        <f>IF(B18790="","",INT(A18790))</f>
        <v/>
      </c>
      <c r="D18790">
        <f>IF(B18790="","",HOUR(A18790))</f>
        <v/>
      </c>
    </row>
    <row r="18791">
      <c r="A18791">
        <f>Input!A18791</f>
        <v/>
      </c>
      <c r="B18791">
        <f>IF(ISNUMBER(Input!B18791),IF(AND(Input!B18791&gt;=20,Input!B18791&lt;=700),Input!B18791,""),"")</f>
        <v/>
      </c>
      <c r="C18791">
        <f>IF(B18791="","",INT(A18791))</f>
        <v/>
      </c>
      <c r="D18791">
        <f>IF(B18791="","",HOUR(A18791))</f>
        <v/>
      </c>
    </row>
    <row r="18792">
      <c r="A18792">
        <f>Input!A18792</f>
        <v/>
      </c>
      <c r="B18792">
        <f>IF(ISNUMBER(Input!B18792),IF(AND(Input!B18792&gt;=20,Input!B18792&lt;=700),Input!B18792,""),"")</f>
        <v/>
      </c>
      <c r="C18792">
        <f>IF(B18792="","",INT(A18792))</f>
        <v/>
      </c>
      <c r="D18792">
        <f>IF(B18792="","",HOUR(A18792))</f>
        <v/>
      </c>
    </row>
    <row r="18793">
      <c r="A18793">
        <f>Input!A18793</f>
        <v/>
      </c>
      <c r="B18793">
        <f>IF(ISNUMBER(Input!B18793),IF(AND(Input!B18793&gt;=20,Input!B18793&lt;=700),Input!B18793,""),"")</f>
        <v/>
      </c>
      <c r="C18793">
        <f>IF(B18793="","",INT(A18793))</f>
        <v/>
      </c>
      <c r="D18793">
        <f>IF(B18793="","",HOUR(A18793))</f>
        <v/>
      </c>
    </row>
    <row r="18794">
      <c r="A18794">
        <f>Input!A18794</f>
        <v/>
      </c>
      <c r="B18794">
        <f>IF(ISNUMBER(Input!B18794),IF(AND(Input!B18794&gt;=20,Input!B18794&lt;=700),Input!B18794,""),"")</f>
        <v/>
      </c>
      <c r="C18794">
        <f>IF(B18794="","",INT(A18794))</f>
        <v/>
      </c>
      <c r="D18794">
        <f>IF(B18794="","",HOUR(A18794))</f>
        <v/>
      </c>
    </row>
    <row r="18795">
      <c r="A18795">
        <f>Input!A18795</f>
        <v/>
      </c>
      <c r="B18795">
        <f>IF(ISNUMBER(Input!B18795),IF(AND(Input!B18795&gt;=20,Input!B18795&lt;=700),Input!B18795,""),"")</f>
        <v/>
      </c>
      <c r="C18795">
        <f>IF(B18795="","",INT(A18795))</f>
        <v/>
      </c>
      <c r="D18795">
        <f>IF(B18795="","",HOUR(A18795))</f>
        <v/>
      </c>
    </row>
    <row r="18796">
      <c r="A18796">
        <f>Input!A18796</f>
        <v/>
      </c>
      <c r="B18796">
        <f>IF(ISNUMBER(Input!B18796),IF(AND(Input!B18796&gt;=20,Input!B18796&lt;=700),Input!B18796,""),"")</f>
        <v/>
      </c>
      <c r="C18796">
        <f>IF(B18796="","",INT(A18796))</f>
        <v/>
      </c>
      <c r="D18796">
        <f>IF(B18796="","",HOUR(A18796))</f>
        <v/>
      </c>
    </row>
    <row r="18797">
      <c r="A18797">
        <f>Input!A18797</f>
        <v/>
      </c>
      <c r="B18797">
        <f>IF(ISNUMBER(Input!B18797),IF(AND(Input!B18797&gt;=20,Input!B18797&lt;=700),Input!B18797,""),"")</f>
        <v/>
      </c>
      <c r="C18797">
        <f>IF(B18797="","",INT(A18797))</f>
        <v/>
      </c>
      <c r="D18797">
        <f>IF(B18797="","",HOUR(A18797))</f>
        <v/>
      </c>
    </row>
    <row r="18798">
      <c r="A18798">
        <f>Input!A18798</f>
        <v/>
      </c>
      <c r="B18798">
        <f>IF(ISNUMBER(Input!B18798),IF(AND(Input!B18798&gt;=20,Input!B18798&lt;=700),Input!B18798,""),"")</f>
        <v/>
      </c>
      <c r="C18798">
        <f>IF(B18798="","",INT(A18798))</f>
        <v/>
      </c>
      <c r="D18798">
        <f>IF(B18798="","",HOUR(A18798))</f>
        <v/>
      </c>
    </row>
    <row r="18799">
      <c r="A18799">
        <f>Input!A18799</f>
        <v/>
      </c>
      <c r="B18799">
        <f>IF(ISNUMBER(Input!B18799),IF(AND(Input!B18799&gt;=20,Input!B18799&lt;=700),Input!B18799,""),"")</f>
        <v/>
      </c>
      <c r="C18799">
        <f>IF(B18799="","",INT(A18799))</f>
        <v/>
      </c>
      <c r="D18799">
        <f>IF(B18799="","",HOUR(A18799))</f>
        <v/>
      </c>
    </row>
    <row r="18800">
      <c r="A18800">
        <f>Input!A18800</f>
        <v/>
      </c>
      <c r="B18800">
        <f>IF(ISNUMBER(Input!B18800),IF(AND(Input!B18800&gt;=20,Input!B18800&lt;=700),Input!B18800,""),"")</f>
        <v/>
      </c>
      <c r="C18800">
        <f>IF(B18800="","",INT(A18800))</f>
        <v/>
      </c>
      <c r="D18800">
        <f>IF(B18800="","",HOUR(A18800))</f>
        <v/>
      </c>
    </row>
    <row r="18801">
      <c r="A18801">
        <f>Input!A18801</f>
        <v/>
      </c>
      <c r="B18801">
        <f>IF(ISNUMBER(Input!B18801),IF(AND(Input!B18801&gt;=20,Input!B18801&lt;=700),Input!B18801,""),"")</f>
        <v/>
      </c>
      <c r="C18801">
        <f>IF(B18801="","",INT(A18801))</f>
        <v/>
      </c>
      <c r="D18801">
        <f>IF(B18801="","",HOUR(A18801))</f>
        <v/>
      </c>
    </row>
    <row r="18802">
      <c r="A18802">
        <f>Input!A18802</f>
        <v/>
      </c>
      <c r="B18802">
        <f>IF(ISNUMBER(Input!B18802),IF(AND(Input!B18802&gt;=20,Input!B18802&lt;=700),Input!B18802,""),"")</f>
        <v/>
      </c>
      <c r="C18802">
        <f>IF(B18802="","",INT(A18802))</f>
        <v/>
      </c>
      <c r="D18802">
        <f>IF(B18802="","",HOUR(A18802))</f>
        <v/>
      </c>
    </row>
    <row r="18803">
      <c r="A18803">
        <f>Input!A18803</f>
        <v/>
      </c>
      <c r="B18803">
        <f>IF(ISNUMBER(Input!B18803),IF(AND(Input!B18803&gt;=20,Input!B18803&lt;=700),Input!B18803,""),"")</f>
        <v/>
      </c>
      <c r="C18803">
        <f>IF(B18803="","",INT(A18803))</f>
        <v/>
      </c>
      <c r="D18803">
        <f>IF(B18803="","",HOUR(A18803))</f>
        <v/>
      </c>
    </row>
    <row r="18804">
      <c r="A18804">
        <f>Input!A18804</f>
        <v/>
      </c>
      <c r="B18804">
        <f>IF(ISNUMBER(Input!B18804),IF(AND(Input!B18804&gt;=20,Input!B18804&lt;=700),Input!B18804,""),"")</f>
        <v/>
      </c>
      <c r="C18804">
        <f>IF(B18804="","",INT(A18804))</f>
        <v/>
      </c>
      <c r="D18804">
        <f>IF(B18804="","",HOUR(A18804))</f>
        <v/>
      </c>
    </row>
    <row r="18805">
      <c r="A18805">
        <f>Input!A18805</f>
        <v/>
      </c>
      <c r="B18805">
        <f>IF(ISNUMBER(Input!B18805),IF(AND(Input!B18805&gt;=20,Input!B18805&lt;=700),Input!B18805,""),"")</f>
        <v/>
      </c>
      <c r="C18805">
        <f>IF(B18805="","",INT(A18805))</f>
        <v/>
      </c>
      <c r="D18805">
        <f>IF(B18805="","",HOUR(A18805))</f>
        <v/>
      </c>
    </row>
    <row r="18806">
      <c r="A18806">
        <f>Input!A18806</f>
        <v/>
      </c>
      <c r="B18806">
        <f>IF(ISNUMBER(Input!B18806),IF(AND(Input!B18806&gt;=20,Input!B18806&lt;=700),Input!B18806,""),"")</f>
        <v/>
      </c>
      <c r="C18806">
        <f>IF(B18806="","",INT(A18806))</f>
        <v/>
      </c>
      <c r="D18806">
        <f>IF(B18806="","",HOUR(A18806))</f>
        <v/>
      </c>
    </row>
    <row r="18807">
      <c r="A18807">
        <f>Input!A18807</f>
        <v/>
      </c>
      <c r="B18807">
        <f>IF(ISNUMBER(Input!B18807),IF(AND(Input!B18807&gt;=20,Input!B18807&lt;=700),Input!B18807,""),"")</f>
        <v/>
      </c>
      <c r="C18807">
        <f>IF(B18807="","",INT(A18807))</f>
        <v/>
      </c>
      <c r="D18807">
        <f>IF(B18807="","",HOUR(A18807))</f>
        <v/>
      </c>
    </row>
    <row r="18808">
      <c r="A18808">
        <f>Input!A18808</f>
        <v/>
      </c>
      <c r="B18808">
        <f>IF(ISNUMBER(Input!B18808),IF(AND(Input!B18808&gt;=20,Input!B18808&lt;=700),Input!B18808,""),"")</f>
        <v/>
      </c>
      <c r="C18808">
        <f>IF(B18808="","",INT(A18808))</f>
        <v/>
      </c>
      <c r="D18808">
        <f>IF(B18808="","",HOUR(A18808))</f>
        <v/>
      </c>
    </row>
    <row r="18809">
      <c r="A18809">
        <f>Input!A18809</f>
        <v/>
      </c>
      <c r="B18809">
        <f>IF(ISNUMBER(Input!B18809),IF(AND(Input!B18809&gt;=20,Input!B18809&lt;=700),Input!B18809,""),"")</f>
        <v/>
      </c>
      <c r="C18809">
        <f>IF(B18809="","",INT(A18809))</f>
        <v/>
      </c>
      <c r="D18809">
        <f>IF(B18809="","",HOUR(A18809))</f>
        <v/>
      </c>
    </row>
    <row r="18810">
      <c r="A18810">
        <f>Input!A18810</f>
        <v/>
      </c>
      <c r="B18810">
        <f>IF(ISNUMBER(Input!B18810),IF(AND(Input!B18810&gt;=20,Input!B18810&lt;=700),Input!B18810,""),"")</f>
        <v/>
      </c>
      <c r="C18810">
        <f>IF(B18810="","",INT(A18810))</f>
        <v/>
      </c>
      <c r="D18810">
        <f>IF(B18810="","",HOUR(A18810))</f>
        <v/>
      </c>
    </row>
    <row r="18811">
      <c r="A18811">
        <f>Input!A18811</f>
        <v/>
      </c>
      <c r="B18811">
        <f>IF(ISNUMBER(Input!B18811),IF(AND(Input!B18811&gt;=20,Input!B18811&lt;=700),Input!B18811,""),"")</f>
        <v/>
      </c>
      <c r="C18811">
        <f>IF(B18811="","",INT(A18811))</f>
        <v/>
      </c>
      <c r="D18811">
        <f>IF(B18811="","",HOUR(A18811))</f>
        <v/>
      </c>
    </row>
    <row r="18812">
      <c r="A18812">
        <f>Input!A18812</f>
        <v/>
      </c>
      <c r="B18812">
        <f>IF(ISNUMBER(Input!B18812),IF(AND(Input!B18812&gt;=20,Input!B18812&lt;=700),Input!B18812,""),"")</f>
        <v/>
      </c>
      <c r="C18812">
        <f>IF(B18812="","",INT(A18812))</f>
        <v/>
      </c>
      <c r="D18812">
        <f>IF(B18812="","",HOUR(A18812))</f>
        <v/>
      </c>
    </row>
    <row r="18813">
      <c r="A18813">
        <f>Input!A18813</f>
        <v/>
      </c>
      <c r="B18813">
        <f>IF(ISNUMBER(Input!B18813),IF(AND(Input!B18813&gt;=20,Input!B18813&lt;=700),Input!B18813,""),"")</f>
        <v/>
      </c>
      <c r="C18813">
        <f>IF(B18813="","",INT(A18813))</f>
        <v/>
      </c>
      <c r="D18813">
        <f>IF(B18813="","",HOUR(A18813))</f>
        <v/>
      </c>
    </row>
    <row r="18814">
      <c r="A18814">
        <f>Input!A18814</f>
        <v/>
      </c>
      <c r="B18814">
        <f>IF(ISNUMBER(Input!B18814),IF(AND(Input!B18814&gt;=20,Input!B18814&lt;=700),Input!B18814,""),"")</f>
        <v/>
      </c>
      <c r="C18814">
        <f>IF(B18814="","",INT(A18814))</f>
        <v/>
      </c>
      <c r="D18814">
        <f>IF(B18814="","",HOUR(A18814))</f>
        <v/>
      </c>
    </row>
    <row r="18815">
      <c r="A18815">
        <f>Input!A18815</f>
        <v/>
      </c>
      <c r="B18815">
        <f>IF(ISNUMBER(Input!B18815),IF(AND(Input!B18815&gt;=20,Input!B18815&lt;=700),Input!B18815,""),"")</f>
        <v/>
      </c>
      <c r="C18815">
        <f>IF(B18815="","",INT(A18815))</f>
        <v/>
      </c>
      <c r="D18815">
        <f>IF(B18815="","",HOUR(A18815))</f>
        <v/>
      </c>
    </row>
    <row r="18816">
      <c r="A18816">
        <f>Input!A18816</f>
        <v/>
      </c>
      <c r="B18816">
        <f>IF(ISNUMBER(Input!B18816),IF(AND(Input!B18816&gt;=20,Input!B18816&lt;=700),Input!B18816,""),"")</f>
        <v/>
      </c>
      <c r="C18816">
        <f>IF(B18816="","",INT(A18816))</f>
        <v/>
      </c>
      <c r="D18816">
        <f>IF(B18816="","",HOUR(A18816))</f>
        <v/>
      </c>
    </row>
    <row r="18817">
      <c r="A18817">
        <f>Input!A18817</f>
        <v/>
      </c>
      <c r="B18817">
        <f>IF(ISNUMBER(Input!B18817),IF(AND(Input!B18817&gt;=20,Input!B18817&lt;=700),Input!B18817,""),"")</f>
        <v/>
      </c>
      <c r="C18817">
        <f>IF(B18817="","",INT(A18817))</f>
        <v/>
      </c>
      <c r="D18817">
        <f>IF(B18817="","",HOUR(A18817))</f>
        <v/>
      </c>
    </row>
    <row r="18818">
      <c r="A18818">
        <f>Input!A18818</f>
        <v/>
      </c>
      <c r="B18818">
        <f>IF(ISNUMBER(Input!B18818),IF(AND(Input!B18818&gt;=20,Input!B18818&lt;=700),Input!B18818,""),"")</f>
        <v/>
      </c>
      <c r="C18818">
        <f>IF(B18818="","",INT(A18818))</f>
        <v/>
      </c>
      <c r="D18818">
        <f>IF(B18818="","",HOUR(A18818))</f>
        <v/>
      </c>
    </row>
    <row r="18819">
      <c r="A18819">
        <f>Input!A18819</f>
        <v/>
      </c>
      <c r="B18819">
        <f>IF(ISNUMBER(Input!B18819),IF(AND(Input!B18819&gt;=20,Input!B18819&lt;=700),Input!B18819,""),"")</f>
        <v/>
      </c>
      <c r="C18819">
        <f>IF(B18819="","",INT(A18819))</f>
        <v/>
      </c>
      <c r="D18819">
        <f>IF(B18819="","",HOUR(A18819))</f>
        <v/>
      </c>
    </row>
    <row r="18820">
      <c r="A18820">
        <f>Input!A18820</f>
        <v/>
      </c>
      <c r="B18820">
        <f>IF(ISNUMBER(Input!B18820),IF(AND(Input!B18820&gt;=20,Input!B18820&lt;=700),Input!B18820,""),"")</f>
        <v/>
      </c>
      <c r="C18820">
        <f>IF(B18820="","",INT(A18820))</f>
        <v/>
      </c>
      <c r="D18820">
        <f>IF(B18820="","",HOUR(A18820))</f>
        <v/>
      </c>
    </row>
    <row r="18821">
      <c r="A18821">
        <f>Input!A18821</f>
        <v/>
      </c>
      <c r="B18821">
        <f>IF(ISNUMBER(Input!B18821),IF(AND(Input!B18821&gt;=20,Input!B18821&lt;=700),Input!B18821,""),"")</f>
        <v/>
      </c>
      <c r="C18821">
        <f>IF(B18821="","",INT(A18821))</f>
        <v/>
      </c>
      <c r="D18821">
        <f>IF(B18821="","",HOUR(A18821))</f>
        <v/>
      </c>
    </row>
    <row r="18822">
      <c r="A18822">
        <f>Input!A18822</f>
        <v/>
      </c>
      <c r="B18822">
        <f>IF(ISNUMBER(Input!B18822),IF(AND(Input!B18822&gt;=20,Input!B18822&lt;=700),Input!B18822,""),"")</f>
        <v/>
      </c>
      <c r="C18822">
        <f>IF(B18822="","",INT(A18822))</f>
        <v/>
      </c>
      <c r="D18822">
        <f>IF(B18822="","",HOUR(A18822))</f>
        <v/>
      </c>
    </row>
    <row r="18823">
      <c r="A18823">
        <f>Input!A18823</f>
        <v/>
      </c>
      <c r="B18823">
        <f>IF(ISNUMBER(Input!B18823),IF(AND(Input!B18823&gt;=20,Input!B18823&lt;=700),Input!B18823,""),"")</f>
        <v/>
      </c>
      <c r="C18823">
        <f>IF(B18823="","",INT(A18823))</f>
        <v/>
      </c>
      <c r="D18823">
        <f>IF(B18823="","",HOUR(A18823))</f>
        <v/>
      </c>
    </row>
    <row r="18824">
      <c r="A18824">
        <f>Input!A18824</f>
        <v/>
      </c>
      <c r="B18824">
        <f>IF(ISNUMBER(Input!B18824),IF(AND(Input!B18824&gt;=20,Input!B18824&lt;=700),Input!B18824,""),"")</f>
        <v/>
      </c>
      <c r="C18824">
        <f>IF(B18824="","",INT(A18824))</f>
        <v/>
      </c>
      <c r="D18824">
        <f>IF(B18824="","",HOUR(A18824))</f>
        <v/>
      </c>
    </row>
    <row r="18825">
      <c r="A18825">
        <f>Input!A18825</f>
        <v/>
      </c>
      <c r="B18825">
        <f>IF(ISNUMBER(Input!B18825),IF(AND(Input!B18825&gt;=20,Input!B18825&lt;=700),Input!B18825,""),"")</f>
        <v/>
      </c>
      <c r="C18825">
        <f>IF(B18825="","",INT(A18825))</f>
        <v/>
      </c>
      <c r="D18825">
        <f>IF(B18825="","",HOUR(A18825))</f>
        <v/>
      </c>
    </row>
    <row r="18826">
      <c r="A18826">
        <f>Input!A18826</f>
        <v/>
      </c>
      <c r="B18826">
        <f>IF(ISNUMBER(Input!B18826),IF(AND(Input!B18826&gt;=20,Input!B18826&lt;=700),Input!B18826,""),"")</f>
        <v/>
      </c>
      <c r="C18826">
        <f>IF(B18826="","",INT(A18826))</f>
        <v/>
      </c>
      <c r="D18826">
        <f>IF(B18826="","",HOUR(A18826))</f>
        <v/>
      </c>
    </row>
    <row r="18827">
      <c r="A18827">
        <f>Input!A18827</f>
        <v/>
      </c>
      <c r="B18827">
        <f>IF(ISNUMBER(Input!B18827),IF(AND(Input!B18827&gt;=20,Input!B18827&lt;=700),Input!B18827,""),"")</f>
        <v/>
      </c>
      <c r="C18827">
        <f>IF(B18827="","",INT(A18827))</f>
        <v/>
      </c>
      <c r="D18827">
        <f>IF(B18827="","",HOUR(A18827))</f>
        <v/>
      </c>
    </row>
    <row r="18828">
      <c r="A18828">
        <f>Input!A18828</f>
        <v/>
      </c>
      <c r="B18828">
        <f>IF(ISNUMBER(Input!B18828),IF(AND(Input!B18828&gt;=20,Input!B18828&lt;=700),Input!B18828,""),"")</f>
        <v/>
      </c>
      <c r="C18828">
        <f>IF(B18828="","",INT(A18828))</f>
        <v/>
      </c>
      <c r="D18828">
        <f>IF(B18828="","",HOUR(A18828))</f>
        <v/>
      </c>
    </row>
    <row r="18829">
      <c r="A18829">
        <f>Input!A18829</f>
        <v/>
      </c>
      <c r="B18829">
        <f>IF(ISNUMBER(Input!B18829),IF(AND(Input!B18829&gt;=20,Input!B18829&lt;=700),Input!B18829,""),"")</f>
        <v/>
      </c>
      <c r="C18829">
        <f>IF(B18829="","",INT(A18829))</f>
        <v/>
      </c>
      <c r="D18829">
        <f>IF(B18829="","",HOUR(A18829))</f>
        <v/>
      </c>
    </row>
    <row r="18830">
      <c r="A18830">
        <f>Input!A18830</f>
        <v/>
      </c>
      <c r="B18830">
        <f>IF(ISNUMBER(Input!B18830),IF(AND(Input!B18830&gt;=20,Input!B18830&lt;=700),Input!B18830,""),"")</f>
        <v/>
      </c>
      <c r="C18830">
        <f>IF(B18830="","",INT(A18830))</f>
        <v/>
      </c>
      <c r="D18830">
        <f>IF(B18830="","",HOUR(A18830))</f>
        <v/>
      </c>
    </row>
    <row r="18831">
      <c r="A18831">
        <f>Input!A18831</f>
        <v/>
      </c>
      <c r="B18831">
        <f>IF(ISNUMBER(Input!B18831),IF(AND(Input!B18831&gt;=20,Input!B18831&lt;=700),Input!B18831,""),"")</f>
        <v/>
      </c>
      <c r="C18831">
        <f>IF(B18831="","",INT(A18831))</f>
        <v/>
      </c>
      <c r="D18831">
        <f>IF(B18831="","",HOUR(A18831))</f>
        <v/>
      </c>
    </row>
    <row r="18832">
      <c r="A18832">
        <f>Input!A18832</f>
        <v/>
      </c>
      <c r="B18832">
        <f>IF(ISNUMBER(Input!B18832),IF(AND(Input!B18832&gt;=20,Input!B18832&lt;=700),Input!B18832,""),"")</f>
        <v/>
      </c>
      <c r="C18832">
        <f>IF(B18832="","",INT(A18832))</f>
        <v/>
      </c>
      <c r="D18832">
        <f>IF(B18832="","",HOUR(A18832))</f>
        <v/>
      </c>
    </row>
    <row r="18833">
      <c r="A18833">
        <f>Input!A18833</f>
        <v/>
      </c>
      <c r="B18833">
        <f>IF(ISNUMBER(Input!B18833),IF(AND(Input!B18833&gt;=20,Input!B18833&lt;=700),Input!B18833,""),"")</f>
        <v/>
      </c>
      <c r="C18833">
        <f>IF(B18833="","",INT(A18833))</f>
        <v/>
      </c>
      <c r="D18833">
        <f>IF(B18833="","",HOUR(A18833))</f>
        <v/>
      </c>
    </row>
    <row r="18834">
      <c r="A18834">
        <f>Input!A18834</f>
        <v/>
      </c>
      <c r="B18834">
        <f>IF(ISNUMBER(Input!B18834),IF(AND(Input!B18834&gt;=20,Input!B18834&lt;=700),Input!B18834,""),"")</f>
        <v/>
      </c>
      <c r="C18834">
        <f>IF(B18834="","",INT(A18834))</f>
        <v/>
      </c>
      <c r="D18834">
        <f>IF(B18834="","",HOUR(A18834))</f>
        <v/>
      </c>
    </row>
    <row r="18835">
      <c r="A18835">
        <f>Input!A18835</f>
        <v/>
      </c>
      <c r="B18835">
        <f>IF(ISNUMBER(Input!B18835),IF(AND(Input!B18835&gt;=20,Input!B18835&lt;=700),Input!B18835,""),"")</f>
        <v/>
      </c>
      <c r="C18835">
        <f>IF(B18835="","",INT(A18835))</f>
        <v/>
      </c>
      <c r="D18835">
        <f>IF(B18835="","",HOUR(A18835))</f>
        <v/>
      </c>
    </row>
    <row r="18836">
      <c r="A18836">
        <f>Input!A18836</f>
        <v/>
      </c>
      <c r="B18836">
        <f>IF(ISNUMBER(Input!B18836),IF(AND(Input!B18836&gt;=20,Input!B18836&lt;=700),Input!B18836,""),"")</f>
        <v/>
      </c>
      <c r="C18836">
        <f>IF(B18836="","",INT(A18836))</f>
        <v/>
      </c>
      <c r="D18836">
        <f>IF(B18836="","",HOUR(A18836))</f>
        <v/>
      </c>
    </row>
    <row r="18837">
      <c r="A18837">
        <f>Input!A18837</f>
        <v/>
      </c>
      <c r="B18837">
        <f>IF(ISNUMBER(Input!B18837),IF(AND(Input!B18837&gt;=20,Input!B18837&lt;=700),Input!B18837,""),"")</f>
        <v/>
      </c>
      <c r="C18837">
        <f>IF(B18837="","",INT(A18837))</f>
        <v/>
      </c>
      <c r="D18837">
        <f>IF(B18837="","",HOUR(A18837))</f>
        <v/>
      </c>
    </row>
    <row r="18838">
      <c r="A18838">
        <f>Input!A18838</f>
        <v/>
      </c>
      <c r="B18838">
        <f>IF(ISNUMBER(Input!B18838),IF(AND(Input!B18838&gt;=20,Input!B18838&lt;=700),Input!B18838,""),"")</f>
        <v/>
      </c>
      <c r="C18838">
        <f>IF(B18838="","",INT(A18838))</f>
        <v/>
      </c>
      <c r="D18838">
        <f>IF(B18838="","",HOUR(A18838))</f>
        <v/>
      </c>
    </row>
    <row r="18839">
      <c r="A18839">
        <f>Input!A18839</f>
        <v/>
      </c>
      <c r="B18839">
        <f>IF(ISNUMBER(Input!B18839),IF(AND(Input!B18839&gt;=20,Input!B18839&lt;=700),Input!B18839,""),"")</f>
        <v/>
      </c>
      <c r="C18839">
        <f>IF(B18839="","",INT(A18839))</f>
        <v/>
      </c>
      <c r="D18839">
        <f>IF(B18839="","",HOUR(A18839))</f>
        <v/>
      </c>
    </row>
    <row r="18840">
      <c r="A18840">
        <f>Input!A18840</f>
        <v/>
      </c>
      <c r="B18840">
        <f>IF(ISNUMBER(Input!B18840),IF(AND(Input!B18840&gt;=20,Input!B18840&lt;=700),Input!B18840,""),"")</f>
        <v/>
      </c>
      <c r="C18840">
        <f>IF(B18840="","",INT(A18840))</f>
        <v/>
      </c>
      <c r="D18840">
        <f>IF(B18840="","",HOUR(A18840))</f>
        <v/>
      </c>
    </row>
    <row r="18841">
      <c r="A18841">
        <f>Input!A18841</f>
        <v/>
      </c>
      <c r="B18841">
        <f>IF(ISNUMBER(Input!B18841),IF(AND(Input!B18841&gt;=20,Input!B18841&lt;=700),Input!B18841,""),"")</f>
        <v/>
      </c>
      <c r="C18841">
        <f>IF(B18841="","",INT(A18841))</f>
        <v/>
      </c>
      <c r="D18841">
        <f>IF(B18841="","",HOUR(A18841))</f>
        <v/>
      </c>
    </row>
    <row r="18842">
      <c r="A18842">
        <f>Input!A18842</f>
        <v/>
      </c>
      <c r="B18842">
        <f>IF(ISNUMBER(Input!B18842),IF(AND(Input!B18842&gt;=20,Input!B18842&lt;=700),Input!B18842,""),"")</f>
        <v/>
      </c>
      <c r="C18842">
        <f>IF(B18842="","",INT(A18842))</f>
        <v/>
      </c>
      <c r="D18842">
        <f>IF(B18842="","",HOUR(A18842))</f>
        <v/>
      </c>
    </row>
    <row r="18843">
      <c r="A18843">
        <f>Input!A18843</f>
        <v/>
      </c>
      <c r="B18843">
        <f>IF(ISNUMBER(Input!B18843),IF(AND(Input!B18843&gt;=20,Input!B18843&lt;=700),Input!B18843,""),"")</f>
        <v/>
      </c>
      <c r="C18843">
        <f>IF(B18843="","",INT(A18843))</f>
        <v/>
      </c>
      <c r="D18843">
        <f>IF(B18843="","",HOUR(A18843))</f>
        <v/>
      </c>
    </row>
    <row r="18844">
      <c r="A18844">
        <f>Input!A18844</f>
        <v/>
      </c>
      <c r="B18844">
        <f>IF(ISNUMBER(Input!B18844),IF(AND(Input!B18844&gt;=20,Input!B18844&lt;=700),Input!B18844,""),"")</f>
        <v/>
      </c>
      <c r="C18844">
        <f>IF(B18844="","",INT(A18844))</f>
        <v/>
      </c>
      <c r="D18844">
        <f>IF(B18844="","",HOUR(A18844))</f>
        <v/>
      </c>
    </row>
    <row r="18845">
      <c r="A18845">
        <f>Input!A18845</f>
        <v/>
      </c>
      <c r="B18845">
        <f>IF(ISNUMBER(Input!B18845),IF(AND(Input!B18845&gt;=20,Input!B18845&lt;=700),Input!B18845,""),"")</f>
        <v/>
      </c>
      <c r="C18845">
        <f>IF(B18845="","",INT(A18845))</f>
        <v/>
      </c>
      <c r="D18845">
        <f>IF(B18845="","",HOUR(A18845))</f>
        <v/>
      </c>
    </row>
    <row r="18846">
      <c r="A18846">
        <f>Input!A18846</f>
        <v/>
      </c>
      <c r="B18846">
        <f>IF(ISNUMBER(Input!B18846),IF(AND(Input!B18846&gt;=20,Input!B18846&lt;=700),Input!B18846,""),"")</f>
        <v/>
      </c>
      <c r="C18846">
        <f>IF(B18846="","",INT(A18846))</f>
        <v/>
      </c>
      <c r="D18846">
        <f>IF(B18846="","",HOUR(A18846))</f>
        <v/>
      </c>
    </row>
    <row r="18847">
      <c r="A18847">
        <f>Input!A18847</f>
        <v/>
      </c>
      <c r="B18847">
        <f>IF(ISNUMBER(Input!B18847),IF(AND(Input!B18847&gt;=20,Input!B18847&lt;=700),Input!B18847,""),"")</f>
        <v/>
      </c>
      <c r="C18847">
        <f>IF(B18847="","",INT(A18847))</f>
        <v/>
      </c>
      <c r="D18847">
        <f>IF(B18847="","",HOUR(A18847))</f>
        <v/>
      </c>
    </row>
    <row r="18848">
      <c r="A18848">
        <f>Input!A18848</f>
        <v/>
      </c>
      <c r="B18848">
        <f>IF(ISNUMBER(Input!B18848),IF(AND(Input!B18848&gt;=20,Input!B18848&lt;=700),Input!B18848,""),"")</f>
        <v/>
      </c>
      <c r="C18848">
        <f>IF(B18848="","",INT(A18848))</f>
        <v/>
      </c>
      <c r="D18848">
        <f>IF(B18848="","",HOUR(A18848))</f>
        <v/>
      </c>
    </row>
    <row r="18849">
      <c r="A18849">
        <f>Input!A18849</f>
        <v/>
      </c>
      <c r="B18849">
        <f>IF(ISNUMBER(Input!B18849),IF(AND(Input!B18849&gt;=20,Input!B18849&lt;=700),Input!B18849,""),"")</f>
        <v/>
      </c>
      <c r="C18849">
        <f>IF(B18849="","",INT(A18849))</f>
        <v/>
      </c>
      <c r="D18849">
        <f>IF(B18849="","",HOUR(A18849))</f>
        <v/>
      </c>
    </row>
    <row r="18850">
      <c r="A18850">
        <f>Input!A18850</f>
        <v/>
      </c>
      <c r="B18850">
        <f>IF(ISNUMBER(Input!B18850),IF(AND(Input!B18850&gt;=20,Input!B18850&lt;=700),Input!B18850,""),"")</f>
        <v/>
      </c>
      <c r="C18850">
        <f>IF(B18850="","",INT(A18850))</f>
        <v/>
      </c>
      <c r="D18850">
        <f>IF(B18850="","",HOUR(A18850))</f>
        <v/>
      </c>
    </row>
    <row r="18851">
      <c r="A18851">
        <f>Input!A18851</f>
        <v/>
      </c>
      <c r="B18851">
        <f>IF(ISNUMBER(Input!B18851),IF(AND(Input!B18851&gt;=20,Input!B18851&lt;=700),Input!B18851,""),"")</f>
        <v/>
      </c>
      <c r="C18851">
        <f>IF(B18851="","",INT(A18851))</f>
        <v/>
      </c>
      <c r="D18851">
        <f>IF(B18851="","",HOUR(A18851))</f>
        <v/>
      </c>
    </row>
    <row r="18852">
      <c r="A18852">
        <f>Input!A18852</f>
        <v/>
      </c>
      <c r="B18852">
        <f>IF(ISNUMBER(Input!B18852),IF(AND(Input!B18852&gt;=20,Input!B18852&lt;=700),Input!B18852,""),"")</f>
        <v/>
      </c>
      <c r="C18852">
        <f>IF(B18852="","",INT(A18852))</f>
        <v/>
      </c>
      <c r="D18852">
        <f>IF(B18852="","",HOUR(A18852))</f>
        <v/>
      </c>
    </row>
    <row r="18853">
      <c r="A18853">
        <f>Input!A18853</f>
        <v/>
      </c>
      <c r="B18853">
        <f>IF(ISNUMBER(Input!B18853),IF(AND(Input!B18853&gt;=20,Input!B18853&lt;=700),Input!B18853,""),"")</f>
        <v/>
      </c>
      <c r="C18853">
        <f>IF(B18853="","",INT(A18853))</f>
        <v/>
      </c>
      <c r="D18853">
        <f>IF(B18853="","",HOUR(A18853))</f>
        <v/>
      </c>
    </row>
    <row r="18854">
      <c r="A18854">
        <f>Input!A18854</f>
        <v/>
      </c>
      <c r="B18854">
        <f>IF(ISNUMBER(Input!B18854),IF(AND(Input!B18854&gt;=20,Input!B18854&lt;=700),Input!B18854,""),"")</f>
        <v/>
      </c>
      <c r="C18854">
        <f>IF(B18854="","",INT(A18854))</f>
        <v/>
      </c>
      <c r="D18854">
        <f>IF(B18854="","",HOUR(A18854))</f>
        <v/>
      </c>
    </row>
    <row r="18855">
      <c r="A18855">
        <f>Input!A18855</f>
        <v/>
      </c>
      <c r="B18855">
        <f>IF(ISNUMBER(Input!B18855),IF(AND(Input!B18855&gt;=20,Input!B18855&lt;=700),Input!B18855,""),"")</f>
        <v/>
      </c>
      <c r="C18855">
        <f>IF(B18855="","",INT(A18855))</f>
        <v/>
      </c>
      <c r="D18855">
        <f>IF(B18855="","",HOUR(A18855))</f>
        <v/>
      </c>
    </row>
    <row r="18856">
      <c r="A18856">
        <f>Input!A18856</f>
        <v/>
      </c>
      <c r="B18856">
        <f>IF(ISNUMBER(Input!B18856),IF(AND(Input!B18856&gt;=20,Input!B18856&lt;=700),Input!B18856,""),"")</f>
        <v/>
      </c>
      <c r="C18856">
        <f>IF(B18856="","",INT(A18856))</f>
        <v/>
      </c>
      <c r="D18856">
        <f>IF(B18856="","",HOUR(A18856))</f>
        <v/>
      </c>
    </row>
    <row r="18857">
      <c r="A18857">
        <f>Input!A18857</f>
        <v/>
      </c>
      <c r="B18857">
        <f>IF(ISNUMBER(Input!B18857),IF(AND(Input!B18857&gt;=20,Input!B18857&lt;=700),Input!B18857,""),"")</f>
        <v/>
      </c>
      <c r="C18857">
        <f>IF(B18857="","",INT(A18857))</f>
        <v/>
      </c>
      <c r="D18857">
        <f>IF(B18857="","",HOUR(A18857))</f>
        <v/>
      </c>
    </row>
    <row r="18858">
      <c r="A18858">
        <f>Input!A18858</f>
        <v/>
      </c>
      <c r="B18858">
        <f>IF(ISNUMBER(Input!B18858),IF(AND(Input!B18858&gt;=20,Input!B18858&lt;=700),Input!B18858,""),"")</f>
        <v/>
      </c>
      <c r="C18858">
        <f>IF(B18858="","",INT(A18858))</f>
        <v/>
      </c>
      <c r="D18858">
        <f>IF(B18858="","",HOUR(A18858))</f>
        <v/>
      </c>
    </row>
    <row r="18859">
      <c r="A18859">
        <f>Input!A18859</f>
        <v/>
      </c>
      <c r="B18859">
        <f>IF(ISNUMBER(Input!B18859),IF(AND(Input!B18859&gt;=20,Input!B18859&lt;=700),Input!B18859,""),"")</f>
        <v/>
      </c>
      <c r="C18859">
        <f>IF(B18859="","",INT(A18859))</f>
        <v/>
      </c>
      <c r="D18859">
        <f>IF(B18859="","",HOUR(A18859))</f>
        <v/>
      </c>
    </row>
    <row r="18860">
      <c r="A18860">
        <f>Input!A18860</f>
        <v/>
      </c>
      <c r="B18860">
        <f>IF(ISNUMBER(Input!B18860),IF(AND(Input!B18860&gt;=20,Input!B18860&lt;=700),Input!B18860,""),"")</f>
        <v/>
      </c>
      <c r="C18860">
        <f>IF(B18860="","",INT(A18860))</f>
        <v/>
      </c>
      <c r="D18860">
        <f>IF(B18860="","",HOUR(A18860))</f>
        <v/>
      </c>
    </row>
    <row r="18861">
      <c r="A18861">
        <f>Input!A18861</f>
        <v/>
      </c>
      <c r="B18861">
        <f>IF(ISNUMBER(Input!B18861),IF(AND(Input!B18861&gt;=20,Input!B18861&lt;=700),Input!B18861,""),"")</f>
        <v/>
      </c>
      <c r="C18861">
        <f>IF(B18861="","",INT(A18861))</f>
        <v/>
      </c>
      <c r="D18861">
        <f>IF(B18861="","",HOUR(A18861))</f>
        <v/>
      </c>
    </row>
    <row r="18862">
      <c r="A18862">
        <f>Input!A18862</f>
        <v/>
      </c>
      <c r="B18862">
        <f>IF(ISNUMBER(Input!B18862),IF(AND(Input!B18862&gt;=20,Input!B18862&lt;=700),Input!B18862,""),"")</f>
        <v/>
      </c>
      <c r="C18862">
        <f>IF(B18862="","",INT(A18862))</f>
        <v/>
      </c>
      <c r="D18862">
        <f>IF(B18862="","",HOUR(A18862))</f>
        <v/>
      </c>
    </row>
    <row r="18863">
      <c r="A18863">
        <f>Input!A18863</f>
        <v/>
      </c>
      <c r="B18863">
        <f>IF(ISNUMBER(Input!B18863),IF(AND(Input!B18863&gt;=20,Input!B18863&lt;=700),Input!B18863,""),"")</f>
        <v/>
      </c>
      <c r="C18863">
        <f>IF(B18863="","",INT(A18863))</f>
        <v/>
      </c>
      <c r="D18863">
        <f>IF(B18863="","",HOUR(A18863))</f>
        <v/>
      </c>
    </row>
    <row r="18864">
      <c r="A18864">
        <f>Input!A18864</f>
        <v/>
      </c>
      <c r="B18864">
        <f>IF(ISNUMBER(Input!B18864),IF(AND(Input!B18864&gt;=20,Input!B18864&lt;=700),Input!B18864,""),"")</f>
        <v/>
      </c>
      <c r="C18864">
        <f>IF(B18864="","",INT(A18864))</f>
        <v/>
      </c>
      <c r="D18864">
        <f>IF(B18864="","",HOUR(A18864))</f>
        <v/>
      </c>
    </row>
    <row r="18865">
      <c r="A18865">
        <f>Input!A18865</f>
        <v/>
      </c>
      <c r="B18865">
        <f>IF(ISNUMBER(Input!B18865),IF(AND(Input!B18865&gt;=20,Input!B18865&lt;=700),Input!B18865,""),"")</f>
        <v/>
      </c>
      <c r="C18865">
        <f>IF(B18865="","",INT(A18865))</f>
        <v/>
      </c>
      <c r="D18865">
        <f>IF(B18865="","",HOUR(A18865))</f>
        <v/>
      </c>
    </row>
    <row r="18866">
      <c r="A18866">
        <f>Input!A18866</f>
        <v/>
      </c>
      <c r="B18866">
        <f>IF(ISNUMBER(Input!B18866),IF(AND(Input!B18866&gt;=20,Input!B18866&lt;=700),Input!B18866,""),"")</f>
        <v/>
      </c>
      <c r="C18866">
        <f>IF(B18866="","",INT(A18866))</f>
        <v/>
      </c>
      <c r="D18866">
        <f>IF(B18866="","",HOUR(A18866))</f>
        <v/>
      </c>
    </row>
    <row r="18867">
      <c r="A18867">
        <f>Input!A18867</f>
        <v/>
      </c>
      <c r="B18867">
        <f>IF(ISNUMBER(Input!B18867),IF(AND(Input!B18867&gt;=20,Input!B18867&lt;=700),Input!B18867,""),"")</f>
        <v/>
      </c>
      <c r="C18867">
        <f>IF(B18867="","",INT(A18867))</f>
        <v/>
      </c>
      <c r="D18867">
        <f>IF(B18867="","",HOUR(A18867))</f>
        <v/>
      </c>
    </row>
    <row r="18868">
      <c r="A18868">
        <f>Input!A18868</f>
        <v/>
      </c>
      <c r="B18868">
        <f>IF(ISNUMBER(Input!B18868),IF(AND(Input!B18868&gt;=20,Input!B18868&lt;=700),Input!B18868,""),"")</f>
        <v/>
      </c>
      <c r="C18868">
        <f>IF(B18868="","",INT(A18868))</f>
        <v/>
      </c>
      <c r="D18868">
        <f>IF(B18868="","",HOUR(A18868))</f>
        <v/>
      </c>
    </row>
    <row r="18869">
      <c r="A18869">
        <f>Input!A18869</f>
        <v/>
      </c>
      <c r="B18869">
        <f>IF(ISNUMBER(Input!B18869),IF(AND(Input!B18869&gt;=20,Input!B18869&lt;=700),Input!B18869,""),"")</f>
        <v/>
      </c>
      <c r="C18869">
        <f>IF(B18869="","",INT(A18869))</f>
        <v/>
      </c>
      <c r="D18869">
        <f>IF(B18869="","",HOUR(A18869))</f>
        <v/>
      </c>
    </row>
    <row r="18870">
      <c r="A18870">
        <f>Input!A18870</f>
        <v/>
      </c>
      <c r="B18870">
        <f>IF(ISNUMBER(Input!B18870),IF(AND(Input!B18870&gt;=20,Input!B18870&lt;=700),Input!B18870,""),"")</f>
        <v/>
      </c>
      <c r="C18870">
        <f>IF(B18870="","",INT(A18870))</f>
        <v/>
      </c>
      <c r="D18870">
        <f>IF(B18870="","",HOUR(A18870))</f>
        <v/>
      </c>
    </row>
    <row r="18871">
      <c r="A18871">
        <f>Input!A18871</f>
        <v/>
      </c>
      <c r="B18871">
        <f>IF(ISNUMBER(Input!B18871),IF(AND(Input!B18871&gt;=20,Input!B18871&lt;=700),Input!B18871,""),"")</f>
        <v/>
      </c>
      <c r="C18871">
        <f>IF(B18871="","",INT(A18871))</f>
        <v/>
      </c>
      <c r="D18871">
        <f>IF(B18871="","",HOUR(A18871))</f>
        <v/>
      </c>
    </row>
    <row r="18872">
      <c r="A18872">
        <f>Input!A18872</f>
        <v/>
      </c>
      <c r="B18872">
        <f>IF(ISNUMBER(Input!B18872),IF(AND(Input!B18872&gt;=20,Input!B18872&lt;=700),Input!B18872,""),"")</f>
        <v/>
      </c>
      <c r="C18872">
        <f>IF(B18872="","",INT(A18872))</f>
        <v/>
      </c>
      <c r="D18872">
        <f>IF(B18872="","",HOUR(A18872))</f>
        <v/>
      </c>
    </row>
    <row r="18873">
      <c r="A18873">
        <f>Input!A18873</f>
        <v/>
      </c>
      <c r="B18873">
        <f>IF(ISNUMBER(Input!B18873),IF(AND(Input!B18873&gt;=20,Input!B18873&lt;=700),Input!B18873,""),"")</f>
        <v/>
      </c>
      <c r="C18873">
        <f>IF(B18873="","",INT(A18873))</f>
        <v/>
      </c>
      <c r="D18873">
        <f>IF(B18873="","",HOUR(A18873))</f>
        <v/>
      </c>
    </row>
    <row r="18874">
      <c r="A18874">
        <f>Input!A18874</f>
        <v/>
      </c>
      <c r="B18874">
        <f>IF(ISNUMBER(Input!B18874),IF(AND(Input!B18874&gt;=20,Input!B18874&lt;=700),Input!B18874,""),"")</f>
        <v/>
      </c>
      <c r="C18874">
        <f>IF(B18874="","",INT(A18874))</f>
        <v/>
      </c>
      <c r="D18874">
        <f>IF(B18874="","",HOUR(A18874))</f>
        <v/>
      </c>
    </row>
    <row r="18875">
      <c r="A18875">
        <f>Input!A18875</f>
        <v/>
      </c>
      <c r="B18875">
        <f>IF(ISNUMBER(Input!B18875),IF(AND(Input!B18875&gt;=20,Input!B18875&lt;=700),Input!B18875,""),"")</f>
        <v/>
      </c>
      <c r="C18875">
        <f>IF(B18875="","",INT(A18875))</f>
        <v/>
      </c>
      <c r="D18875">
        <f>IF(B18875="","",HOUR(A18875))</f>
        <v/>
      </c>
    </row>
    <row r="18876">
      <c r="A18876">
        <f>Input!A18876</f>
        <v/>
      </c>
      <c r="B18876">
        <f>IF(ISNUMBER(Input!B18876),IF(AND(Input!B18876&gt;=20,Input!B18876&lt;=700),Input!B18876,""),"")</f>
        <v/>
      </c>
      <c r="C18876">
        <f>IF(B18876="","",INT(A18876))</f>
        <v/>
      </c>
      <c r="D18876">
        <f>IF(B18876="","",HOUR(A18876))</f>
        <v/>
      </c>
    </row>
    <row r="18877">
      <c r="A18877">
        <f>Input!A18877</f>
        <v/>
      </c>
      <c r="B18877">
        <f>IF(ISNUMBER(Input!B18877),IF(AND(Input!B18877&gt;=20,Input!B18877&lt;=700),Input!B18877,""),"")</f>
        <v/>
      </c>
      <c r="C18877">
        <f>IF(B18877="","",INT(A18877))</f>
        <v/>
      </c>
      <c r="D18877">
        <f>IF(B18877="","",HOUR(A18877))</f>
        <v/>
      </c>
    </row>
    <row r="18878">
      <c r="A18878">
        <f>Input!A18878</f>
        <v/>
      </c>
      <c r="B18878">
        <f>IF(ISNUMBER(Input!B18878),IF(AND(Input!B18878&gt;=20,Input!B18878&lt;=700),Input!B18878,""),"")</f>
        <v/>
      </c>
      <c r="C18878">
        <f>IF(B18878="","",INT(A18878))</f>
        <v/>
      </c>
      <c r="D18878">
        <f>IF(B18878="","",HOUR(A18878))</f>
        <v/>
      </c>
    </row>
    <row r="18879">
      <c r="A18879">
        <f>Input!A18879</f>
        <v/>
      </c>
      <c r="B18879">
        <f>IF(ISNUMBER(Input!B18879),IF(AND(Input!B18879&gt;=20,Input!B18879&lt;=700),Input!B18879,""),"")</f>
        <v/>
      </c>
      <c r="C18879">
        <f>IF(B18879="","",INT(A18879))</f>
        <v/>
      </c>
      <c r="D18879">
        <f>IF(B18879="","",HOUR(A18879))</f>
        <v/>
      </c>
    </row>
    <row r="18880">
      <c r="A18880">
        <f>Input!A18880</f>
        <v/>
      </c>
      <c r="B18880">
        <f>IF(ISNUMBER(Input!B18880),IF(AND(Input!B18880&gt;=20,Input!B18880&lt;=700),Input!B18880,""),"")</f>
        <v/>
      </c>
      <c r="C18880">
        <f>IF(B18880="","",INT(A18880))</f>
        <v/>
      </c>
      <c r="D18880">
        <f>IF(B18880="","",HOUR(A18880))</f>
        <v/>
      </c>
    </row>
    <row r="18881">
      <c r="A18881">
        <f>Input!A18881</f>
        <v/>
      </c>
      <c r="B18881">
        <f>IF(ISNUMBER(Input!B18881),IF(AND(Input!B18881&gt;=20,Input!B18881&lt;=700),Input!B18881,""),"")</f>
        <v/>
      </c>
      <c r="C18881">
        <f>IF(B18881="","",INT(A18881))</f>
        <v/>
      </c>
      <c r="D18881">
        <f>IF(B18881="","",HOUR(A18881))</f>
        <v/>
      </c>
    </row>
    <row r="18882">
      <c r="A18882">
        <f>Input!A18882</f>
        <v/>
      </c>
      <c r="B18882">
        <f>IF(ISNUMBER(Input!B18882),IF(AND(Input!B18882&gt;=20,Input!B18882&lt;=700),Input!B18882,""),"")</f>
        <v/>
      </c>
      <c r="C18882">
        <f>IF(B18882="","",INT(A18882))</f>
        <v/>
      </c>
      <c r="D18882">
        <f>IF(B18882="","",HOUR(A18882))</f>
        <v/>
      </c>
    </row>
    <row r="18883">
      <c r="A18883">
        <f>Input!A18883</f>
        <v/>
      </c>
      <c r="B18883">
        <f>IF(ISNUMBER(Input!B18883),IF(AND(Input!B18883&gt;=20,Input!B18883&lt;=700),Input!B18883,""),"")</f>
        <v/>
      </c>
      <c r="C18883">
        <f>IF(B18883="","",INT(A18883))</f>
        <v/>
      </c>
      <c r="D18883">
        <f>IF(B18883="","",HOUR(A18883))</f>
        <v/>
      </c>
    </row>
    <row r="18884">
      <c r="A18884">
        <f>Input!A18884</f>
        <v/>
      </c>
      <c r="B18884">
        <f>IF(ISNUMBER(Input!B18884),IF(AND(Input!B18884&gt;=20,Input!B18884&lt;=700),Input!B18884,""),"")</f>
        <v/>
      </c>
      <c r="C18884">
        <f>IF(B18884="","",INT(A18884))</f>
        <v/>
      </c>
      <c r="D18884">
        <f>IF(B18884="","",HOUR(A18884))</f>
        <v/>
      </c>
    </row>
    <row r="18885">
      <c r="A18885">
        <f>Input!A18885</f>
        <v/>
      </c>
      <c r="B18885">
        <f>IF(ISNUMBER(Input!B18885),IF(AND(Input!B18885&gt;=20,Input!B18885&lt;=700),Input!B18885,""),"")</f>
        <v/>
      </c>
      <c r="C18885">
        <f>IF(B18885="","",INT(A18885))</f>
        <v/>
      </c>
      <c r="D18885">
        <f>IF(B18885="","",HOUR(A18885))</f>
        <v/>
      </c>
    </row>
    <row r="18886">
      <c r="A18886">
        <f>Input!A18886</f>
        <v/>
      </c>
      <c r="B18886">
        <f>IF(ISNUMBER(Input!B18886),IF(AND(Input!B18886&gt;=20,Input!B18886&lt;=700),Input!B18886,""),"")</f>
        <v/>
      </c>
      <c r="C18886">
        <f>IF(B18886="","",INT(A18886))</f>
        <v/>
      </c>
      <c r="D18886">
        <f>IF(B18886="","",HOUR(A18886))</f>
        <v/>
      </c>
    </row>
    <row r="18887">
      <c r="A18887">
        <f>Input!A18887</f>
        <v/>
      </c>
      <c r="B18887">
        <f>IF(ISNUMBER(Input!B18887),IF(AND(Input!B18887&gt;=20,Input!B18887&lt;=700),Input!B18887,""),"")</f>
        <v/>
      </c>
      <c r="C18887">
        <f>IF(B18887="","",INT(A18887))</f>
        <v/>
      </c>
      <c r="D18887">
        <f>IF(B18887="","",HOUR(A18887))</f>
        <v/>
      </c>
    </row>
    <row r="18888">
      <c r="A18888">
        <f>Input!A18888</f>
        <v/>
      </c>
      <c r="B18888">
        <f>IF(ISNUMBER(Input!B18888),IF(AND(Input!B18888&gt;=20,Input!B18888&lt;=700),Input!B18888,""),"")</f>
        <v/>
      </c>
      <c r="C18888">
        <f>IF(B18888="","",INT(A18888))</f>
        <v/>
      </c>
      <c r="D18888">
        <f>IF(B18888="","",HOUR(A18888))</f>
        <v/>
      </c>
    </row>
    <row r="18889">
      <c r="A18889">
        <f>Input!A18889</f>
        <v/>
      </c>
      <c r="B18889">
        <f>IF(ISNUMBER(Input!B18889),IF(AND(Input!B18889&gt;=20,Input!B18889&lt;=700),Input!B18889,""),"")</f>
        <v/>
      </c>
      <c r="C18889">
        <f>IF(B18889="","",INT(A18889))</f>
        <v/>
      </c>
      <c r="D18889">
        <f>IF(B18889="","",HOUR(A18889))</f>
        <v/>
      </c>
    </row>
    <row r="18890">
      <c r="A18890">
        <f>Input!A18890</f>
        <v/>
      </c>
      <c r="B18890">
        <f>IF(ISNUMBER(Input!B18890),IF(AND(Input!B18890&gt;=20,Input!B18890&lt;=700),Input!B18890,""),"")</f>
        <v/>
      </c>
      <c r="C18890">
        <f>IF(B18890="","",INT(A18890))</f>
        <v/>
      </c>
      <c r="D18890">
        <f>IF(B18890="","",HOUR(A18890))</f>
        <v/>
      </c>
    </row>
    <row r="18891">
      <c r="A18891">
        <f>Input!A18891</f>
        <v/>
      </c>
      <c r="B18891">
        <f>IF(ISNUMBER(Input!B18891),IF(AND(Input!B18891&gt;=20,Input!B18891&lt;=700),Input!B18891,""),"")</f>
        <v/>
      </c>
      <c r="C18891">
        <f>IF(B18891="","",INT(A18891))</f>
        <v/>
      </c>
      <c r="D18891">
        <f>IF(B18891="","",HOUR(A18891))</f>
        <v/>
      </c>
    </row>
    <row r="18892">
      <c r="A18892">
        <f>Input!A18892</f>
        <v/>
      </c>
      <c r="B18892">
        <f>IF(ISNUMBER(Input!B18892),IF(AND(Input!B18892&gt;=20,Input!B18892&lt;=700),Input!B18892,""),"")</f>
        <v/>
      </c>
      <c r="C18892">
        <f>IF(B18892="","",INT(A18892))</f>
        <v/>
      </c>
      <c r="D18892">
        <f>IF(B18892="","",HOUR(A18892))</f>
        <v/>
      </c>
    </row>
    <row r="18893">
      <c r="A18893">
        <f>Input!A18893</f>
        <v/>
      </c>
      <c r="B18893">
        <f>IF(ISNUMBER(Input!B18893),IF(AND(Input!B18893&gt;=20,Input!B18893&lt;=700),Input!B18893,""),"")</f>
        <v/>
      </c>
      <c r="C18893">
        <f>IF(B18893="","",INT(A18893))</f>
        <v/>
      </c>
      <c r="D18893">
        <f>IF(B18893="","",HOUR(A18893))</f>
        <v/>
      </c>
    </row>
    <row r="18894">
      <c r="A18894">
        <f>Input!A18894</f>
        <v/>
      </c>
      <c r="B18894">
        <f>IF(ISNUMBER(Input!B18894),IF(AND(Input!B18894&gt;=20,Input!B18894&lt;=700),Input!B18894,""),"")</f>
        <v/>
      </c>
      <c r="C18894">
        <f>IF(B18894="","",INT(A18894))</f>
        <v/>
      </c>
      <c r="D18894">
        <f>IF(B18894="","",HOUR(A18894))</f>
        <v/>
      </c>
    </row>
    <row r="18895">
      <c r="A18895">
        <f>Input!A18895</f>
        <v/>
      </c>
      <c r="B18895">
        <f>IF(ISNUMBER(Input!B18895),IF(AND(Input!B18895&gt;=20,Input!B18895&lt;=700),Input!B18895,""),"")</f>
        <v/>
      </c>
      <c r="C18895">
        <f>IF(B18895="","",INT(A18895))</f>
        <v/>
      </c>
      <c r="D18895">
        <f>IF(B18895="","",HOUR(A18895))</f>
        <v/>
      </c>
    </row>
    <row r="18896">
      <c r="A18896">
        <f>Input!A18896</f>
        <v/>
      </c>
      <c r="B18896">
        <f>IF(ISNUMBER(Input!B18896),IF(AND(Input!B18896&gt;=20,Input!B18896&lt;=700),Input!B18896,""),"")</f>
        <v/>
      </c>
      <c r="C18896">
        <f>IF(B18896="","",INT(A18896))</f>
        <v/>
      </c>
      <c r="D18896">
        <f>IF(B18896="","",HOUR(A18896))</f>
        <v/>
      </c>
    </row>
    <row r="18897">
      <c r="A18897">
        <f>Input!A18897</f>
        <v/>
      </c>
      <c r="B18897">
        <f>IF(ISNUMBER(Input!B18897),IF(AND(Input!B18897&gt;=20,Input!B18897&lt;=700),Input!B18897,""),"")</f>
        <v/>
      </c>
      <c r="C18897">
        <f>IF(B18897="","",INT(A18897))</f>
        <v/>
      </c>
      <c r="D18897">
        <f>IF(B18897="","",HOUR(A18897))</f>
        <v/>
      </c>
    </row>
    <row r="18898">
      <c r="A18898">
        <f>Input!A18898</f>
        <v/>
      </c>
      <c r="B18898">
        <f>IF(ISNUMBER(Input!B18898),IF(AND(Input!B18898&gt;=20,Input!B18898&lt;=700),Input!B18898,""),"")</f>
        <v/>
      </c>
      <c r="C18898">
        <f>IF(B18898="","",INT(A18898))</f>
        <v/>
      </c>
      <c r="D18898">
        <f>IF(B18898="","",HOUR(A18898))</f>
        <v/>
      </c>
    </row>
    <row r="18899">
      <c r="A18899">
        <f>Input!A18899</f>
        <v/>
      </c>
      <c r="B18899">
        <f>IF(ISNUMBER(Input!B18899),IF(AND(Input!B18899&gt;=20,Input!B18899&lt;=700),Input!B18899,""),"")</f>
        <v/>
      </c>
      <c r="C18899">
        <f>IF(B18899="","",INT(A18899))</f>
        <v/>
      </c>
      <c r="D18899">
        <f>IF(B18899="","",HOUR(A18899))</f>
        <v/>
      </c>
    </row>
    <row r="18900">
      <c r="A18900">
        <f>Input!A18900</f>
        <v/>
      </c>
      <c r="B18900">
        <f>IF(ISNUMBER(Input!B18900),IF(AND(Input!B18900&gt;=20,Input!B18900&lt;=700),Input!B18900,""),"")</f>
        <v/>
      </c>
      <c r="C18900">
        <f>IF(B18900="","",INT(A18900))</f>
        <v/>
      </c>
      <c r="D18900">
        <f>IF(B18900="","",HOUR(A18900))</f>
        <v/>
      </c>
    </row>
    <row r="18901">
      <c r="A18901">
        <f>Input!A18901</f>
        <v/>
      </c>
      <c r="B18901">
        <f>IF(ISNUMBER(Input!B18901),IF(AND(Input!B18901&gt;=20,Input!B18901&lt;=700),Input!B18901,""),"")</f>
        <v/>
      </c>
      <c r="C18901">
        <f>IF(B18901="","",INT(A18901))</f>
        <v/>
      </c>
      <c r="D18901">
        <f>IF(B18901="","",HOUR(A18901))</f>
        <v/>
      </c>
    </row>
    <row r="18902">
      <c r="A18902">
        <f>Input!A18902</f>
        <v/>
      </c>
      <c r="B18902">
        <f>IF(ISNUMBER(Input!B18902),IF(AND(Input!B18902&gt;=20,Input!B18902&lt;=700),Input!B18902,""),"")</f>
        <v/>
      </c>
      <c r="C18902">
        <f>IF(B18902="","",INT(A18902))</f>
        <v/>
      </c>
      <c r="D18902">
        <f>IF(B18902="","",HOUR(A18902))</f>
        <v/>
      </c>
    </row>
    <row r="18903">
      <c r="A18903">
        <f>Input!A18903</f>
        <v/>
      </c>
      <c r="B18903">
        <f>IF(ISNUMBER(Input!B18903),IF(AND(Input!B18903&gt;=20,Input!B18903&lt;=700),Input!B18903,""),"")</f>
        <v/>
      </c>
      <c r="C18903">
        <f>IF(B18903="","",INT(A18903))</f>
        <v/>
      </c>
      <c r="D18903">
        <f>IF(B18903="","",HOUR(A18903))</f>
        <v/>
      </c>
    </row>
    <row r="18904">
      <c r="A18904">
        <f>Input!A18904</f>
        <v/>
      </c>
      <c r="B18904">
        <f>IF(ISNUMBER(Input!B18904),IF(AND(Input!B18904&gt;=20,Input!B18904&lt;=700),Input!B18904,""),"")</f>
        <v/>
      </c>
      <c r="C18904">
        <f>IF(B18904="","",INT(A18904))</f>
        <v/>
      </c>
      <c r="D18904">
        <f>IF(B18904="","",HOUR(A18904))</f>
        <v/>
      </c>
    </row>
    <row r="18905">
      <c r="A18905">
        <f>Input!A18905</f>
        <v/>
      </c>
      <c r="B18905">
        <f>IF(ISNUMBER(Input!B18905),IF(AND(Input!B18905&gt;=20,Input!B18905&lt;=700),Input!B18905,""),"")</f>
        <v/>
      </c>
      <c r="C18905">
        <f>IF(B18905="","",INT(A18905))</f>
        <v/>
      </c>
      <c r="D18905">
        <f>IF(B18905="","",HOUR(A18905))</f>
        <v/>
      </c>
    </row>
    <row r="18906">
      <c r="A18906">
        <f>Input!A18906</f>
        <v/>
      </c>
      <c r="B18906">
        <f>IF(ISNUMBER(Input!B18906),IF(AND(Input!B18906&gt;=20,Input!B18906&lt;=700),Input!B18906,""),"")</f>
        <v/>
      </c>
      <c r="C18906">
        <f>IF(B18906="","",INT(A18906))</f>
        <v/>
      </c>
      <c r="D18906">
        <f>IF(B18906="","",HOUR(A18906))</f>
        <v/>
      </c>
    </row>
    <row r="18907">
      <c r="A18907">
        <f>Input!A18907</f>
        <v/>
      </c>
      <c r="B18907">
        <f>IF(ISNUMBER(Input!B18907),IF(AND(Input!B18907&gt;=20,Input!B18907&lt;=700),Input!B18907,""),"")</f>
        <v/>
      </c>
      <c r="C18907">
        <f>IF(B18907="","",INT(A18907))</f>
        <v/>
      </c>
      <c r="D18907">
        <f>IF(B18907="","",HOUR(A18907))</f>
        <v/>
      </c>
    </row>
    <row r="18908">
      <c r="A18908">
        <f>Input!A18908</f>
        <v/>
      </c>
      <c r="B18908">
        <f>IF(ISNUMBER(Input!B18908),IF(AND(Input!B18908&gt;=20,Input!B18908&lt;=700),Input!B18908,""),"")</f>
        <v/>
      </c>
      <c r="C18908">
        <f>IF(B18908="","",INT(A18908))</f>
        <v/>
      </c>
      <c r="D18908">
        <f>IF(B18908="","",HOUR(A18908))</f>
        <v/>
      </c>
    </row>
    <row r="18909">
      <c r="A18909">
        <f>Input!A18909</f>
        <v/>
      </c>
      <c r="B18909">
        <f>IF(ISNUMBER(Input!B18909),IF(AND(Input!B18909&gt;=20,Input!B18909&lt;=700),Input!B18909,""),"")</f>
        <v/>
      </c>
      <c r="C18909">
        <f>IF(B18909="","",INT(A18909))</f>
        <v/>
      </c>
      <c r="D18909">
        <f>IF(B18909="","",HOUR(A18909))</f>
        <v/>
      </c>
    </row>
    <row r="18910">
      <c r="A18910">
        <f>Input!A18910</f>
        <v/>
      </c>
      <c r="B18910">
        <f>IF(ISNUMBER(Input!B18910),IF(AND(Input!B18910&gt;=20,Input!B18910&lt;=700),Input!B18910,""),"")</f>
        <v/>
      </c>
      <c r="C18910">
        <f>IF(B18910="","",INT(A18910))</f>
        <v/>
      </c>
      <c r="D18910">
        <f>IF(B18910="","",HOUR(A18910))</f>
        <v/>
      </c>
    </row>
    <row r="18911">
      <c r="A18911">
        <f>Input!A18911</f>
        <v/>
      </c>
      <c r="B18911">
        <f>IF(ISNUMBER(Input!B18911),IF(AND(Input!B18911&gt;=20,Input!B18911&lt;=700),Input!B18911,""),"")</f>
        <v/>
      </c>
      <c r="C18911">
        <f>IF(B18911="","",INT(A18911))</f>
        <v/>
      </c>
      <c r="D18911">
        <f>IF(B18911="","",HOUR(A18911))</f>
        <v/>
      </c>
    </row>
    <row r="18912">
      <c r="A18912">
        <f>Input!A18912</f>
        <v/>
      </c>
      <c r="B18912">
        <f>IF(ISNUMBER(Input!B18912),IF(AND(Input!B18912&gt;=20,Input!B18912&lt;=700),Input!B18912,""),"")</f>
        <v/>
      </c>
      <c r="C18912">
        <f>IF(B18912="","",INT(A18912))</f>
        <v/>
      </c>
      <c r="D18912">
        <f>IF(B18912="","",HOUR(A18912))</f>
        <v/>
      </c>
    </row>
    <row r="18913">
      <c r="A18913">
        <f>Input!A18913</f>
        <v/>
      </c>
      <c r="B18913">
        <f>IF(ISNUMBER(Input!B18913),IF(AND(Input!B18913&gt;=20,Input!B18913&lt;=700),Input!B18913,""),"")</f>
        <v/>
      </c>
      <c r="C18913">
        <f>IF(B18913="","",INT(A18913))</f>
        <v/>
      </c>
      <c r="D18913">
        <f>IF(B18913="","",HOUR(A18913))</f>
        <v/>
      </c>
    </row>
    <row r="18914">
      <c r="A18914">
        <f>Input!A18914</f>
        <v/>
      </c>
      <c r="B18914">
        <f>IF(ISNUMBER(Input!B18914),IF(AND(Input!B18914&gt;=20,Input!B18914&lt;=700),Input!B18914,""),"")</f>
        <v/>
      </c>
      <c r="C18914">
        <f>IF(B18914="","",INT(A18914))</f>
        <v/>
      </c>
      <c r="D18914">
        <f>IF(B18914="","",HOUR(A18914))</f>
        <v/>
      </c>
    </row>
    <row r="18915">
      <c r="A18915">
        <f>Input!A18915</f>
        <v/>
      </c>
      <c r="B18915">
        <f>IF(ISNUMBER(Input!B18915),IF(AND(Input!B18915&gt;=20,Input!B18915&lt;=700),Input!B18915,""),"")</f>
        <v/>
      </c>
      <c r="C18915">
        <f>IF(B18915="","",INT(A18915))</f>
        <v/>
      </c>
      <c r="D18915">
        <f>IF(B18915="","",HOUR(A18915))</f>
        <v/>
      </c>
    </row>
    <row r="18916">
      <c r="A18916">
        <f>Input!A18916</f>
        <v/>
      </c>
      <c r="B18916">
        <f>IF(ISNUMBER(Input!B18916),IF(AND(Input!B18916&gt;=20,Input!B18916&lt;=700),Input!B18916,""),"")</f>
        <v/>
      </c>
      <c r="C18916">
        <f>IF(B18916="","",INT(A18916))</f>
        <v/>
      </c>
      <c r="D18916">
        <f>IF(B18916="","",HOUR(A18916))</f>
        <v/>
      </c>
    </row>
    <row r="18917">
      <c r="A18917">
        <f>Input!A18917</f>
        <v/>
      </c>
      <c r="B18917">
        <f>IF(ISNUMBER(Input!B18917),IF(AND(Input!B18917&gt;=20,Input!B18917&lt;=700),Input!B18917,""),"")</f>
        <v/>
      </c>
      <c r="C18917">
        <f>IF(B18917="","",INT(A18917))</f>
        <v/>
      </c>
      <c r="D18917">
        <f>IF(B18917="","",HOUR(A18917))</f>
        <v/>
      </c>
    </row>
    <row r="18918">
      <c r="A18918">
        <f>Input!A18918</f>
        <v/>
      </c>
      <c r="B18918">
        <f>IF(ISNUMBER(Input!B18918),IF(AND(Input!B18918&gt;=20,Input!B18918&lt;=700),Input!B18918,""),"")</f>
        <v/>
      </c>
      <c r="C18918">
        <f>IF(B18918="","",INT(A18918))</f>
        <v/>
      </c>
      <c r="D18918">
        <f>IF(B18918="","",HOUR(A18918))</f>
        <v/>
      </c>
    </row>
    <row r="18919">
      <c r="A18919">
        <f>Input!A18919</f>
        <v/>
      </c>
      <c r="B18919">
        <f>IF(ISNUMBER(Input!B18919),IF(AND(Input!B18919&gt;=20,Input!B18919&lt;=700),Input!B18919,""),"")</f>
        <v/>
      </c>
      <c r="C18919">
        <f>IF(B18919="","",INT(A18919))</f>
        <v/>
      </c>
      <c r="D18919">
        <f>IF(B18919="","",HOUR(A18919))</f>
        <v/>
      </c>
    </row>
    <row r="18920">
      <c r="A18920">
        <f>Input!A18920</f>
        <v/>
      </c>
      <c r="B18920">
        <f>IF(ISNUMBER(Input!B18920),IF(AND(Input!B18920&gt;=20,Input!B18920&lt;=700),Input!B18920,""),"")</f>
        <v/>
      </c>
      <c r="C18920">
        <f>IF(B18920="","",INT(A18920))</f>
        <v/>
      </c>
      <c r="D18920">
        <f>IF(B18920="","",HOUR(A18920))</f>
        <v/>
      </c>
    </row>
    <row r="18921">
      <c r="A18921">
        <f>Input!A18921</f>
        <v/>
      </c>
      <c r="B18921">
        <f>IF(ISNUMBER(Input!B18921),IF(AND(Input!B18921&gt;=20,Input!B18921&lt;=700),Input!B18921,""),"")</f>
        <v/>
      </c>
      <c r="C18921">
        <f>IF(B18921="","",INT(A18921))</f>
        <v/>
      </c>
      <c r="D18921">
        <f>IF(B18921="","",HOUR(A18921))</f>
        <v/>
      </c>
    </row>
    <row r="18922">
      <c r="A18922">
        <f>Input!A18922</f>
        <v/>
      </c>
      <c r="B18922">
        <f>IF(ISNUMBER(Input!B18922),IF(AND(Input!B18922&gt;=20,Input!B18922&lt;=700),Input!B18922,""),"")</f>
        <v/>
      </c>
      <c r="C18922">
        <f>IF(B18922="","",INT(A18922))</f>
        <v/>
      </c>
      <c r="D18922">
        <f>IF(B18922="","",HOUR(A18922))</f>
        <v/>
      </c>
    </row>
    <row r="18923">
      <c r="A18923">
        <f>Input!A18923</f>
        <v/>
      </c>
      <c r="B18923">
        <f>IF(ISNUMBER(Input!B18923),IF(AND(Input!B18923&gt;=20,Input!B18923&lt;=700),Input!B18923,""),"")</f>
        <v/>
      </c>
      <c r="C18923">
        <f>IF(B18923="","",INT(A18923))</f>
        <v/>
      </c>
      <c r="D18923">
        <f>IF(B18923="","",HOUR(A18923))</f>
        <v/>
      </c>
    </row>
    <row r="18924">
      <c r="A18924">
        <f>Input!A18924</f>
        <v/>
      </c>
      <c r="B18924">
        <f>IF(ISNUMBER(Input!B18924),IF(AND(Input!B18924&gt;=20,Input!B18924&lt;=700),Input!B18924,""),"")</f>
        <v/>
      </c>
      <c r="C18924">
        <f>IF(B18924="","",INT(A18924))</f>
        <v/>
      </c>
      <c r="D18924">
        <f>IF(B18924="","",HOUR(A18924))</f>
        <v/>
      </c>
    </row>
    <row r="18925">
      <c r="A18925">
        <f>Input!A18925</f>
        <v/>
      </c>
      <c r="B18925">
        <f>IF(ISNUMBER(Input!B18925),IF(AND(Input!B18925&gt;=20,Input!B18925&lt;=700),Input!B18925,""),"")</f>
        <v/>
      </c>
      <c r="C18925">
        <f>IF(B18925="","",INT(A18925))</f>
        <v/>
      </c>
      <c r="D18925">
        <f>IF(B18925="","",HOUR(A18925))</f>
        <v/>
      </c>
    </row>
    <row r="18926">
      <c r="A18926">
        <f>Input!A18926</f>
        <v/>
      </c>
      <c r="B18926">
        <f>IF(ISNUMBER(Input!B18926),IF(AND(Input!B18926&gt;=20,Input!B18926&lt;=700),Input!B18926,""),"")</f>
        <v/>
      </c>
      <c r="C18926">
        <f>IF(B18926="","",INT(A18926))</f>
        <v/>
      </c>
      <c r="D18926">
        <f>IF(B18926="","",HOUR(A18926))</f>
        <v/>
      </c>
    </row>
    <row r="18927">
      <c r="A18927">
        <f>Input!A18927</f>
        <v/>
      </c>
      <c r="B18927">
        <f>IF(ISNUMBER(Input!B18927),IF(AND(Input!B18927&gt;=20,Input!B18927&lt;=700),Input!B18927,""),"")</f>
        <v/>
      </c>
      <c r="C18927">
        <f>IF(B18927="","",INT(A18927))</f>
        <v/>
      </c>
      <c r="D18927">
        <f>IF(B18927="","",HOUR(A18927))</f>
        <v/>
      </c>
    </row>
    <row r="18928">
      <c r="A18928">
        <f>Input!A18928</f>
        <v/>
      </c>
      <c r="B18928">
        <f>IF(ISNUMBER(Input!B18928),IF(AND(Input!B18928&gt;=20,Input!B18928&lt;=700),Input!B18928,""),"")</f>
        <v/>
      </c>
      <c r="C18928">
        <f>IF(B18928="","",INT(A18928))</f>
        <v/>
      </c>
      <c r="D18928">
        <f>IF(B18928="","",HOUR(A18928))</f>
        <v/>
      </c>
    </row>
    <row r="18929">
      <c r="A18929">
        <f>Input!A18929</f>
        <v/>
      </c>
      <c r="B18929">
        <f>IF(ISNUMBER(Input!B18929),IF(AND(Input!B18929&gt;=20,Input!B18929&lt;=700),Input!B18929,""),"")</f>
        <v/>
      </c>
      <c r="C18929">
        <f>IF(B18929="","",INT(A18929))</f>
        <v/>
      </c>
      <c r="D18929">
        <f>IF(B18929="","",HOUR(A18929))</f>
        <v/>
      </c>
    </row>
    <row r="18930">
      <c r="A18930">
        <f>Input!A18930</f>
        <v/>
      </c>
      <c r="B18930">
        <f>IF(ISNUMBER(Input!B18930),IF(AND(Input!B18930&gt;=20,Input!B18930&lt;=700),Input!B18930,""),"")</f>
        <v/>
      </c>
      <c r="C18930">
        <f>IF(B18930="","",INT(A18930))</f>
        <v/>
      </c>
      <c r="D18930">
        <f>IF(B18930="","",HOUR(A18930))</f>
        <v/>
      </c>
    </row>
    <row r="18931">
      <c r="A18931">
        <f>Input!A18931</f>
        <v/>
      </c>
      <c r="B18931">
        <f>IF(ISNUMBER(Input!B18931),IF(AND(Input!B18931&gt;=20,Input!B18931&lt;=700),Input!B18931,""),"")</f>
        <v/>
      </c>
      <c r="C18931">
        <f>IF(B18931="","",INT(A18931))</f>
        <v/>
      </c>
      <c r="D18931">
        <f>IF(B18931="","",HOUR(A18931))</f>
        <v/>
      </c>
    </row>
    <row r="18932">
      <c r="A18932">
        <f>Input!A18932</f>
        <v/>
      </c>
      <c r="B18932">
        <f>IF(ISNUMBER(Input!B18932),IF(AND(Input!B18932&gt;=20,Input!B18932&lt;=700),Input!B18932,""),"")</f>
        <v/>
      </c>
      <c r="C18932">
        <f>IF(B18932="","",INT(A18932))</f>
        <v/>
      </c>
      <c r="D18932">
        <f>IF(B18932="","",HOUR(A18932))</f>
        <v/>
      </c>
    </row>
    <row r="18933">
      <c r="A18933">
        <f>Input!A18933</f>
        <v/>
      </c>
      <c r="B18933">
        <f>IF(ISNUMBER(Input!B18933),IF(AND(Input!B18933&gt;=20,Input!B18933&lt;=700),Input!B18933,""),"")</f>
        <v/>
      </c>
      <c r="C18933">
        <f>IF(B18933="","",INT(A18933))</f>
        <v/>
      </c>
      <c r="D18933">
        <f>IF(B18933="","",HOUR(A18933))</f>
        <v/>
      </c>
    </row>
    <row r="18934">
      <c r="A18934">
        <f>Input!A18934</f>
        <v/>
      </c>
      <c r="B18934">
        <f>IF(ISNUMBER(Input!B18934),IF(AND(Input!B18934&gt;=20,Input!B18934&lt;=700),Input!B18934,""),"")</f>
        <v/>
      </c>
      <c r="C18934">
        <f>IF(B18934="","",INT(A18934))</f>
        <v/>
      </c>
      <c r="D18934">
        <f>IF(B18934="","",HOUR(A18934))</f>
        <v/>
      </c>
    </row>
    <row r="18935">
      <c r="A18935">
        <f>Input!A18935</f>
        <v/>
      </c>
      <c r="B18935">
        <f>IF(ISNUMBER(Input!B18935),IF(AND(Input!B18935&gt;=20,Input!B18935&lt;=700),Input!B18935,""),"")</f>
        <v/>
      </c>
      <c r="C18935">
        <f>IF(B18935="","",INT(A18935))</f>
        <v/>
      </c>
      <c r="D18935">
        <f>IF(B18935="","",HOUR(A18935))</f>
        <v/>
      </c>
    </row>
    <row r="18936">
      <c r="A18936">
        <f>Input!A18936</f>
        <v/>
      </c>
      <c r="B18936">
        <f>IF(ISNUMBER(Input!B18936),IF(AND(Input!B18936&gt;=20,Input!B18936&lt;=700),Input!B18936,""),"")</f>
        <v/>
      </c>
      <c r="C18936">
        <f>IF(B18936="","",INT(A18936))</f>
        <v/>
      </c>
      <c r="D18936">
        <f>IF(B18936="","",HOUR(A18936))</f>
        <v/>
      </c>
    </row>
    <row r="18937">
      <c r="A18937">
        <f>Input!A18937</f>
        <v/>
      </c>
      <c r="B18937">
        <f>IF(ISNUMBER(Input!B18937),IF(AND(Input!B18937&gt;=20,Input!B18937&lt;=700),Input!B18937,""),"")</f>
        <v/>
      </c>
      <c r="C18937">
        <f>IF(B18937="","",INT(A18937))</f>
        <v/>
      </c>
      <c r="D18937">
        <f>IF(B18937="","",HOUR(A18937))</f>
        <v/>
      </c>
    </row>
    <row r="18938">
      <c r="A18938">
        <f>Input!A18938</f>
        <v/>
      </c>
      <c r="B18938">
        <f>IF(ISNUMBER(Input!B18938),IF(AND(Input!B18938&gt;=20,Input!B18938&lt;=700),Input!B18938,""),"")</f>
        <v/>
      </c>
      <c r="C18938">
        <f>IF(B18938="","",INT(A18938))</f>
        <v/>
      </c>
      <c r="D18938">
        <f>IF(B18938="","",HOUR(A18938))</f>
        <v/>
      </c>
    </row>
    <row r="18939">
      <c r="A18939">
        <f>Input!A18939</f>
        <v/>
      </c>
      <c r="B18939">
        <f>IF(ISNUMBER(Input!B18939),IF(AND(Input!B18939&gt;=20,Input!B18939&lt;=700),Input!B18939,""),"")</f>
        <v/>
      </c>
      <c r="C18939">
        <f>IF(B18939="","",INT(A18939))</f>
        <v/>
      </c>
      <c r="D18939">
        <f>IF(B18939="","",HOUR(A18939))</f>
        <v/>
      </c>
    </row>
    <row r="18940">
      <c r="A18940">
        <f>Input!A18940</f>
        <v/>
      </c>
      <c r="B18940">
        <f>IF(ISNUMBER(Input!B18940),IF(AND(Input!B18940&gt;=20,Input!B18940&lt;=700),Input!B18940,""),"")</f>
        <v/>
      </c>
      <c r="C18940">
        <f>IF(B18940="","",INT(A18940))</f>
        <v/>
      </c>
      <c r="D18940">
        <f>IF(B18940="","",HOUR(A18940))</f>
        <v/>
      </c>
    </row>
    <row r="18941">
      <c r="A18941">
        <f>Input!A18941</f>
        <v/>
      </c>
      <c r="B18941">
        <f>IF(ISNUMBER(Input!B18941),IF(AND(Input!B18941&gt;=20,Input!B18941&lt;=700),Input!B18941,""),"")</f>
        <v/>
      </c>
      <c r="C18941">
        <f>IF(B18941="","",INT(A18941))</f>
        <v/>
      </c>
      <c r="D18941">
        <f>IF(B18941="","",HOUR(A18941))</f>
        <v/>
      </c>
    </row>
    <row r="18942">
      <c r="A18942">
        <f>Input!A18942</f>
        <v/>
      </c>
      <c r="B18942">
        <f>IF(ISNUMBER(Input!B18942),IF(AND(Input!B18942&gt;=20,Input!B18942&lt;=700),Input!B18942,""),"")</f>
        <v/>
      </c>
      <c r="C18942">
        <f>IF(B18942="","",INT(A18942))</f>
        <v/>
      </c>
      <c r="D18942">
        <f>IF(B18942="","",HOUR(A18942))</f>
        <v/>
      </c>
    </row>
    <row r="18943">
      <c r="A18943">
        <f>Input!A18943</f>
        <v/>
      </c>
      <c r="B18943">
        <f>IF(ISNUMBER(Input!B18943),IF(AND(Input!B18943&gt;=20,Input!B18943&lt;=700),Input!B18943,""),"")</f>
        <v/>
      </c>
      <c r="C18943">
        <f>IF(B18943="","",INT(A18943))</f>
        <v/>
      </c>
      <c r="D18943">
        <f>IF(B18943="","",HOUR(A18943))</f>
        <v/>
      </c>
    </row>
    <row r="18944">
      <c r="A18944">
        <f>Input!A18944</f>
        <v/>
      </c>
      <c r="B18944">
        <f>IF(ISNUMBER(Input!B18944),IF(AND(Input!B18944&gt;=20,Input!B18944&lt;=700),Input!B18944,""),"")</f>
        <v/>
      </c>
      <c r="C18944">
        <f>IF(B18944="","",INT(A18944))</f>
        <v/>
      </c>
      <c r="D18944">
        <f>IF(B18944="","",HOUR(A18944))</f>
        <v/>
      </c>
    </row>
    <row r="18945">
      <c r="A18945">
        <f>Input!A18945</f>
        <v/>
      </c>
      <c r="B18945">
        <f>IF(ISNUMBER(Input!B18945),IF(AND(Input!B18945&gt;=20,Input!B18945&lt;=700),Input!B18945,""),"")</f>
        <v/>
      </c>
      <c r="C18945">
        <f>IF(B18945="","",INT(A18945))</f>
        <v/>
      </c>
      <c r="D18945">
        <f>IF(B18945="","",HOUR(A18945))</f>
        <v/>
      </c>
    </row>
    <row r="18946">
      <c r="A18946">
        <f>Input!A18946</f>
        <v/>
      </c>
      <c r="B18946">
        <f>IF(ISNUMBER(Input!B18946),IF(AND(Input!B18946&gt;=20,Input!B18946&lt;=700),Input!B18946,""),"")</f>
        <v/>
      </c>
      <c r="C18946">
        <f>IF(B18946="","",INT(A18946))</f>
        <v/>
      </c>
      <c r="D18946">
        <f>IF(B18946="","",HOUR(A18946))</f>
        <v/>
      </c>
    </row>
    <row r="18947">
      <c r="A18947">
        <f>Input!A18947</f>
        <v/>
      </c>
      <c r="B18947">
        <f>IF(ISNUMBER(Input!B18947),IF(AND(Input!B18947&gt;=20,Input!B18947&lt;=700),Input!B18947,""),"")</f>
        <v/>
      </c>
      <c r="C18947">
        <f>IF(B18947="","",INT(A18947))</f>
        <v/>
      </c>
      <c r="D18947">
        <f>IF(B18947="","",HOUR(A18947))</f>
        <v/>
      </c>
    </row>
    <row r="18948">
      <c r="A18948">
        <f>Input!A18948</f>
        <v/>
      </c>
      <c r="B18948">
        <f>IF(ISNUMBER(Input!B18948),IF(AND(Input!B18948&gt;=20,Input!B18948&lt;=700),Input!B18948,""),"")</f>
        <v/>
      </c>
      <c r="C18948">
        <f>IF(B18948="","",INT(A18948))</f>
        <v/>
      </c>
      <c r="D18948">
        <f>IF(B18948="","",HOUR(A18948))</f>
        <v/>
      </c>
    </row>
    <row r="18949">
      <c r="A18949">
        <f>Input!A18949</f>
        <v/>
      </c>
      <c r="B18949">
        <f>IF(ISNUMBER(Input!B18949),IF(AND(Input!B18949&gt;=20,Input!B18949&lt;=700),Input!B18949,""),"")</f>
        <v/>
      </c>
      <c r="C18949">
        <f>IF(B18949="","",INT(A18949))</f>
        <v/>
      </c>
      <c r="D18949">
        <f>IF(B18949="","",HOUR(A18949))</f>
        <v/>
      </c>
    </row>
    <row r="18950">
      <c r="A18950">
        <f>Input!A18950</f>
        <v/>
      </c>
      <c r="B18950">
        <f>IF(ISNUMBER(Input!B18950),IF(AND(Input!B18950&gt;=20,Input!B18950&lt;=700),Input!B18950,""),"")</f>
        <v/>
      </c>
      <c r="C18950">
        <f>IF(B18950="","",INT(A18950))</f>
        <v/>
      </c>
      <c r="D18950">
        <f>IF(B18950="","",HOUR(A18950))</f>
        <v/>
      </c>
    </row>
    <row r="18951">
      <c r="A18951">
        <f>Input!A18951</f>
        <v/>
      </c>
      <c r="B18951">
        <f>IF(ISNUMBER(Input!B18951),IF(AND(Input!B18951&gt;=20,Input!B18951&lt;=700),Input!B18951,""),"")</f>
        <v/>
      </c>
      <c r="C18951">
        <f>IF(B18951="","",INT(A18951))</f>
        <v/>
      </c>
      <c r="D18951">
        <f>IF(B18951="","",HOUR(A18951))</f>
        <v/>
      </c>
    </row>
    <row r="18952">
      <c r="A18952">
        <f>Input!A18952</f>
        <v/>
      </c>
      <c r="B18952">
        <f>IF(ISNUMBER(Input!B18952),IF(AND(Input!B18952&gt;=20,Input!B18952&lt;=700),Input!B18952,""),"")</f>
        <v/>
      </c>
      <c r="C18952">
        <f>IF(B18952="","",INT(A18952))</f>
        <v/>
      </c>
      <c r="D18952">
        <f>IF(B18952="","",HOUR(A18952))</f>
        <v/>
      </c>
    </row>
    <row r="18953">
      <c r="A18953">
        <f>Input!A18953</f>
        <v/>
      </c>
      <c r="B18953">
        <f>IF(ISNUMBER(Input!B18953),IF(AND(Input!B18953&gt;=20,Input!B18953&lt;=700),Input!B18953,""),"")</f>
        <v/>
      </c>
      <c r="C18953">
        <f>IF(B18953="","",INT(A18953))</f>
        <v/>
      </c>
      <c r="D18953">
        <f>IF(B18953="","",HOUR(A18953))</f>
        <v/>
      </c>
    </row>
    <row r="18954">
      <c r="A18954">
        <f>Input!A18954</f>
        <v/>
      </c>
      <c r="B18954">
        <f>IF(ISNUMBER(Input!B18954),IF(AND(Input!B18954&gt;=20,Input!B18954&lt;=700),Input!B18954,""),"")</f>
        <v/>
      </c>
      <c r="C18954">
        <f>IF(B18954="","",INT(A18954))</f>
        <v/>
      </c>
      <c r="D18954">
        <f>IF(B18954="","",HOUR(A18954))</f>
        <v/>
      </c>
    </row>
    <row r="18955">
      <c r="A18955">
        <f>Input!A18955</f>
        <v/>
      </c>
      <c r="B18955">
        <f>IF(ISNUMBER(Input!B18955),IF(AND(Input!B18955&gt;=20,Input!B18955&lt;=700),Input!B18955,""),"")</f>
        <v/>
      </c>
      <c r="C18955">
        <f>IF(B18955="","",INT(A18955))</f>
        <v/>
      </c>
      <c r="D18955">
        <f>IF(B18955="","",HOUR(A18955))</f>
        <v/>
      </c>
    </row>
    <row r="18956">
      <c r="A18956">
        <f>Input!A18956</f>
        <v/>
      </c>
      <c r="B18956">
        <f>IF(ISNUMBER(Input!B18956),IF(AND(Input!B18956&gt;=20,Input!B18956&lt;=700),Input!B18956,""),"")</f>
        <v/>
      </c>
      <c r="C18956">
        <f>IF(B18956="","",INT(A18956))</f>
        <v/>
      </c>
      <c r="D18956">
        <f>IF(B18956="","",HOUR(A18956))</f>
        <v/>
      </c>
    </row>
    <row r="18957">
      <c r="A18957">
        <f>Input!A18957</f>
        <v/>
      </c>
      <c r="B18957">
        <f>IF(ISNUMBER(Input!B18957),IF(AND(Input!B18957&gt;=20,Input!B18957&lt;=700),Input!B18957,""),"")</f>
        <v/>
      </c>
      <c r="C18957">
        <f>IF(B18957="","",INT(A18957))</f>
        <v/>
      </c>
      <c r="D18957">
        <f>IF(B18957="","",HOUR(A18957))</f>
        <v/>
      </c>
    </row>
    <row r="18958">
      <c r="A18958">
        <f>Input!A18958</f>
        <v/>
      </c>
      <c r="B18958">
        <f>IF(ISNUMBER(Input!B18958),IF(AND(Input!B18958&gt;=20,Input!B18958&lt;=700),Input!B18958,""),"")</f>
        <v/>
      </c>
      <c r="C18958">
        <f>IF(B18958="","",INT(A18958))</f>
        <v/>
      </c>
      <c r="D18958">
        <f>IF(B18958="","",HOUR(A18958))</f>
        <v/>
      </c>
    </row>
    <row r="18959">
      <c r="A18959">
        <f>Input!A18959</f>
        <v/>
      </c>
      <c r="B18959">
        <f>IF(ISNUMBER(Input!B18959),IF(AND(Input!B18959&gt;=20,Input!B18959&lt;=700),Input!B18959,""),"")</f>
        <v/>
      </c>
      <c r="C18959">
        <f>IF(B18959="","",INT(A18959))</f>
        <v/>
      </c>
      <c r="D18959">
        <f>IF(B18959="","",HOUR(A18959))</f>
        <v/>
      </c>
    </row>
    <row r="18960">
      <c r="A18960">
        <f>Input!A18960</f>
        <v/>
      </c>
      <c r="B18960">
        <f>IF(ISNUMBER(Input!B18960),IF(AND(Input!B18960&gt;=20,Input!B18960&lt;=700),Input!B18960,""),"")</f>
        <v/>
      </c>
      <c r="C18960">
        <f>IF(B18960="","",INT(A18960))</f>
        <v/>
      </c>
      <c r="D18960">
        <f>IF(B18960="","",HOUR(A18960))</f>
        <v/>
      </c>
    </row>
    <row r="18961">
      <c r="A18961">
        <f>Input!A18961</f>
        <v/>
      </c>
      <c r="B18961">
        <f>IF(ISNUMBER(Input!B18961),IF(AND(Input!B18961&gt;=20,Input!B18961&lt;=700),Input!B18961,""),"")</f>
        <v/>
      </c>
      <c r="C18961">
        <f>IF(B18961="","",INT(A18961))</f>
        <v/>
      </c>
      <c r="D18961">
        <f>IF(B18961="","",HOUR(A18961))</f>
        <v/>
      </c>
    </row>
    <row r="18962">
      <c r="A18962">
        <f>Input!A18962</f>
        <v/>
      </c>
      <c r="B18962">
        <f>IF(ISNUMBER(Input!B18962),IF(AND(Input!B18962&gt;=20,Input!B18962&lt;=700),Input!B18962,""),"")</f>
        <v/>
      </c>
      <c r="C18962">
        <f>IF(B18962="","",INT(A18962))</f>
        <v/>
      </c>
      <c r="D18962">
        <f>IF(B18962="","",HOUR(A18962))</f>
        <v/>
      </c>
    </row>
    <row r="18963">
      <c r="A18963">
        <f>Input!A18963</f>
        <v/>
      </c>
      <c r="B18963">
        <f>IF(ISNUMBER(Input!B18963),IF(AND(Input!B18963&gt;=20,Input!B18963&lt;=700),Input!B18963,""),"")</f>
        <v/>
      </c>
      <c r="C18963">
        <f>IF(B18963="","",INT(A18963))</f>
        <v/>
      </c>
      <c r="D18963">
        <f>IF(B18963="","",HOUR(A18963))</f>
        <v/>
      </c>
    </row>
    <row r="18964">
      <c r="A18964">
        <f>Input!A18964</f>
        <v/>
      </c>
      <c r="B18964">
        <f>IF(ISNUMBER(Input!B18964),IF(AND(Input!B18964&gt;=20,Input!B18964&lt;=700),Input!B18964,""),"")</f>
        <v/>
      </c>
      <c r="C18964">
        <f>IF(B18964="","",INT(A18964))</f>
        <v/>
      </c>
      <c r="D18964">
        <f>IF(B18964="","",HOUR(A18964))</f>
        <v/>
      </c>
    </row>
    <row r="18965">
      <c r="A18965">
        <f>Input!A18965</f>
        <v/>
      </c>
      <c r="B18965">
        <f>IF(ISNUMBER(Input!B18965),IF(AND(Input!B18965&gt;=20,Input!B18965&lt;=700),Input!B18965,""),"")</f>
        <v/>
      </c>
      <c r="C18965">
        <f>IF(B18965="","",INT(A18965))</f>
        <v/>
      </c>
      <c r="D18965">
        <f>IF(B18965="","",HOUR(A18965))</f>
        <v/>
      </c>
    </row>
    <row r="18966">
      <c r="A18966">
        <f>Input!A18966</f>
        <v/>
      </c>
      <c r="B18966">
        <f>IF(ISNUMBER(Input!B18966),IF(AND(Input!B18966&gt;=20,Input!B18966&lt;=700),Input!B18966,""),"")</f>
        <v/>
      </c>
      <c r="C18966">
        <f>IF(B18966="","",INT(A18966))</f>
        <v/>
      </c>
      <c r="D18966">
        <f>IF(B18966="","",HOUR(A18966))</f>
        <v/>
      </c>
    </row>
    <row r="18967">
      <c r="A18967">
        <f>Input!A18967</f>
        <v/>
      </c>
      <c r="B18967">
        <f>IF(ISNUMBER(Input!B18967),IF(AND(Input!B18967&gt;=20,Input!B18967&lt;=700),Input!B18967,""),"")</f>
        <v/>
      </c>
      <c r="C18967">
        <f>IF(B18967="","",INT(A18967))</f>
        <v/>
      </c>
      <c r="D18967">
        <f>IF(B18967="","",HOUR(A18967))</f>
        <v/>
      </c>
    </row>
    <row r="18968">
      <c r="A18968">
        <f>Input!A18968</f>
        <v/>
      </c>
      <c r="B18968">
        <f>IF(ISNUMBER(Input!B18968),IF(AND(Input!B18968&gt;=20,Input!B18968&lt;=700),Input!B18968,""),"")</f>
        <v/>
      </c>
      <c r="C18968">
        <f>IF(B18968="","",INT(A18968))</f>
        <v/>
      </c>
      <c r="D18968">
        <f>IF(B18968="","",HOUR(A18968))</f>
        <v/>
      </c>
    </row>
    <row r="18969">
      <c r="A18969">
        <f>Input!A18969</f>
        <v/>
      </c>
      <c r="B18969">
        <f>IF(ISNUMBER(Input!B18969),IF(AND(Input!B18969&gt;=20,Input!B18969&lt;=700),Input!B18969,""),"")</f>
        <v/>
      </c>
      <c r="C18969">
        <f>IF(B18969="","",INT(A18969))</f>
        <v/>
      </c>
      <c r="D18969">
        <f>IF(B18969="","",HOUR(A18969))</f>
        <v/>
      </c>
    </row>
    <row r="18970">
      <c r="A18970">
        <f>Input!A18970</f>
        <v/>
      </c>
      <c r="B18970">
        <f>IF(ISNUMBER(Input!B18970),IF(AND(Input!B18970&gt;=20,Input!B18970&lt;=700),Input!B18970,""),"")</f>
        <v/>
      </c>
      <c r="C18970">
        <f>IF(B18970="","",INT(A18970))</f>
        <v/>
      </c>
      <c r="D18970">
        <f>IF(B18970="","",HOUR(A18970))</f>
        <v/>
      </c>
    </row>
    <row r="18971">
      <c r="A18971">
        <f>Input!A18971</f>
        <v/>
      </c>
      <c r="B18971">
        <f>IF(ISNUMBER(Input!B18971),IF(AND(Input!B18971&gt;=20,Input!B18971&lt;=700),Input!B18971,""),"")</f>
        <v/>
      </c>
      <c r="C18971">
        <f>IF(B18971="","",INT(A18971))</f>
        <v/>
      </c>
      <c r="D18971">
        <f>IF(B18971="","",HOUR(A18971))</f>
        <v/>
      </c>
    </row>
    <row r="18972">
      <c r="A18972">
        <f>Input!A18972</f>
        <v/>
      </c>
      <c r="B18972">
        <f>IF(ISNUMBER(Input!B18972),IF(AND(Input!B18972&gt;=20,Input!B18972&lt;=700),Input!B18972,""),"")</f>
        <v/>
      </c>
      <c r="C18972">
        <f>IF(B18972="","",INT(A18972))</f>
        <v/>
      </c>
      <c r="D18972">
        <f>IF(B18972="","",HOUR(A18972))</f>
        <v/>
      </c>
    </row>
    <row r="18973">
      <c r="A18973">
        <f>Input!A18973</f>
        <v/>
      </c>
      <c r="B18973">
        <f>IF(ISNUMBER(Input!B18973),IF(AND(Input!B18973&gt;=20,Input!B18973&lt;=700),Input!B18973,""),"")</f>
        <v/>
      </c>
      <c r="C18973">
        <f>IF(B18973="","",INT(A18973))</f>
        <v/>
      </c>
      <c r="D18973">
        <f>IF(B18973="","",HOUR(A18973))</f>
        <v/>
      </c>
    </row>
    <row r="18974">
      <c r="A18974">
        <f>Input!A18974</f>
        <v/>
      </c>
      <c r="B18974">
        <f>IF(ISNUMBER(Input!B18974),IF(AND(Input!B18974&gt;=20,Input!B18974&lt;=700),Input!B18974,""),"")</f>
        <v/>
      </c>
      <c r="C18974">
        <f>IF(B18974="","",INT(A18974))</f>
        <v/>
      </c>
      <c r="D18974">
        <f>IF(B18974="","",HOUR(A18974))</f>
        <v/>
      </c>
    </row>
    <row r="18975">
      <c r="A18975">
        <f>Input!A18975</f>
        <v/>
      </c>
      <c r="B18975">
        <f>IF(ISNUMBER(Input!B18975),IF(AND(Input!B18975&gt;=20,Input!B18975&lt;=700),Input!B18975,""),"")</f>
        <v/>
      </c>
      <c r="C18975">
        <f>IF(B18975="","",INT(A18975))</f>
        <v/>
      </c>
      <c r="D18975">
        <f>IF(B18975="","",HOUR(A18975))</f>
        <v/>
      </c>
    </row>
    <row r="18976">
      <c r="A18976">
        <f>Input!A18976</f>
        <v/>
      </c>
      <c r="B18976">
        <f>IF(ISNUMBER(Input!B18976),IF(AND(Input!B18976&gt;=20,Input!B18976&lt;=700),Input!B18976,""),"")</f>
        <v/>
      </c>
      <c r="C18976">
        <f>IF(B18976="","",INT(A18976))</f>
        <v/>
      </c>
      <c r="D18976">
        <f>IF(B18976="","",HOUR(A18976))</f>
        <v/>
      </c>
    </row>
    <row r="18977">
      <c r="A18977">
        <f>Input!A18977</f>
        <v/>
      </c>
      <c r="B18977">
        <f>IF(ISNUMBER(Input!B18977),IF(AND(Input!B18977&gt;=20,Input!B18977&lt;=700),Input!B18977,""),"")</f>
        <v/>
      </c>
      <c r="C18977">
        <f>IF(B18977="","",INT(A18977))</f>
        <v/>
      </c>
      <c r="D18977">
        <f>IF(B18977="","",HOUR(A18977))</f>
        <v/>
      </c>
    </row>
    <row r="18978">
      <c r="A18978">
        <f>Input!A18978</f>
        <v/>
      </c>
      <c r="B18978">
        <f>IF(ISNUMBER(Input!B18978),IF(AND(Input!B18978&gt;=20,Input!B18978&lt;=700),Input!B18978,""),"")</f>
        <v/>
      </c>
      <c r="C18978">
        <f>IF(B18978="","",INT(A18978))</f>
        <v/>
      </c>
      <c r="D18978">
        <f>IF(B18978="","",HOUR(A18978))</f>
        <v/>
      </c>
    </row>
    <row r="18979">
      <c r="A18979">
        <f>Input!A18979</f>
        <v/>
      </c>
      <c r="B18979">
        <f>IF(ISNUMBER(Input!B18979),IF(AND(Input!B18979&gt;=20,Input!B18979&lt;=700),Input!B18979,""),"")</f>
        <v/>
      </c>
      <c r="C18979">
        <f>IF(B18979="","",INT(A18979))</f>
        <v/>
      </c>
      <c r="D18979">
        <f>IF(B18979="","",HOUR(A18979))</f>
        <v/>
      </c>
    </row>
    <row r="18980">
      <c r="A18980">
        <f>Input!A18980</f>
        <v/>
      </c>
      <c r="B18980">
        <f>IF(ISNUMBER(Input!B18980),IF(AND(Input!B18980&gt;=20,Input!B18980&lt;=700),Input!B18980,""),"")</f>
        <v/>
      </c>
      <c r="C18980">
        <f>IF(B18980="","",INT(A18980))</f>
        <v/>
      </c>
      <c r="D18980">
        <f>IF(B18980="","",HOUR(A18980))</f>
        <v/>
      </c>
    </row>
    <row r="18981">
      <c r="A18981">
        <f>Input!A18981</f>
        <v/>
      </c>
      <c r="B18981">
        <f>IF(ISNUMBER(Input!B18981),IF(AND(Input!B18981&gt;=20,Input!B18981&lt;=700),Input!B18981,""),"")</f>
        <v/>
      </c>
      <c r="C18981">
        <f>IF(B18981="","",INT(A18981))</f>
        <v/>
      </c>
      <c r="D18981">
        <f>IF(B18981="","",HOUR(A18981))</f>
        <v/>
      </c>
    </row>
    <row r="18982">
      <c r="A18982">
        <f>Input!A18982</f>
        <v/>
      </c>
      <c r="B18982">
        <f>IF(ISNUMBER(Input!B18982),IF(AND(Input!B18982&gt;=20,Input!B18982&lt;=700),Input!B18982,""),"")</f>
        <v/>
      </c>
      <c r="C18982">
        <f>IF(B18982="","",INT(A18982))</f>
        <v/>
      </c>
      <c r="D18982">
        <f>IF(B18982="","",HOUR(A18982))</f>
        <v/>
      </c>
    </row>
    <row r="18983">
      <c r="A18983">
        <f>Input!A18983</f>
        <v/>
      </c>
      <c r="B18983">
        <f>IF(ISNUMBER(Input!B18983),IF(AND(Input!B18983&gt;=20,Input!B18983&lt;=700),Input!B18983,""),"")</f>
        <v/>
      </c>
      <c r="C18983">
        <f>IF(B18983="","",INT(A18983))</f>
        <v/>
      </c>
      <c r="D18983">
        <f>IF(B18983="","",HOUR(A18983))</f>
        <v/>
      </c>
    </row>
    <row r="18984">
      <c r="A18984">
        <f>Input!A18984</f>
        <v/>
      </c>
      <c r="B18984">
        <f>IF(ISNUMBER(Input!B18984),IF(AND(Input!B18984&gt;=20,Input!B18984&lt;=700),Input!B18984,""),"")</f>
        <v/>
      </c>
      <c r="C18984">
        <f>IF(B18984="","",INT(A18984))</f>
        <v/>
      </c>
      <c r="D18984">
        <f>IF(B18984="","",HOUR(A18984))</f>
        <v/>
      </c>
    </row>
    <row r="18985">
      <c r="A18985">
        <f>Input!A18985</f>
        <v/>
      </c>
      <c r="B18985">
        <f>IF(ISNUMBER(Input!B18985),IF(AND(Input!B18985&gt;=20,Input!B18985&lt;=700),Input!B18985,""),"")</f>
        <v/>
      </c>
      <c r="C18985">
        <f>IF(B18985="","",INT(A18985))</f>
        <v/>
      </c>
      <c r="D18985">
        <f>IF(B18985="","",HOUR(A18985))</f>
        <v/>
      </c>
    </row>
    <row r="18986">
      <c r="A18986">
        <f>Input!A18986</f>
        <v/>
      </c>
      <c r="B18986">
        <f>IF(ISNUMBER(Input!B18986),IF(AND(Input!B18986&gt;=20,Input!B18986&lt;=700),Input!B18986,""),"")</f>
        <v/>
      </c>
      <c r="C18986">
        <f>IF(B18986="","",INT(A18986))</f>
        <v/>
      </c>
      <c r="D18986">
        <f>IF(B18986="","",HOUR(A18986))</f>
        <v/>
      </c>
    </row>
    <row r="18987">
      <c r="A18987">
        <f>Input!A18987</f>
        <v/>
      </c>
      <c r="B18987">
        <f>IF(ISNUMBER(Input!B18987),IF(AND(Input!B18987&gt;=20,Input!B18987&lt;=700),Input!B18987,""),"")</f>
        <v/>
      </c>
      <c r="C18987">
        <f>IF(B18987="","",INT(A18987))</f>
        <v/>
      </c>
      <c r="D18987">
        <f>IF(B18987="","",HOUR(A18987))</f>
        <v/>
      </c>
    </row>
    <row r="18988">
      <c r="A18988">
        <f>Input!A18988</f>
        <v/>
      </c>
      <c r="B18988">
        <f>IF(ISNUMBER(Input!B18988),IF(AND(Input!B18988&gt;=20,Input!B18988&lt;=700),Input!B18988,""),"")</f>
        <v/>
      </c>
      <c r="C18988">
        <f>IF(B18988="","",INT(A18988))</f>
        <v/>
      </c>
      <c r="D18988">
        <f>IF(B18988="","",HOUR(A18988))</f>
        <v/>
      </c>
    </row>
    <row r="18989">
      <c r="A18989">
        <f>Input!A18989</f>
        <v/>
      </c>
      <c r="B18989">
        <f>IF(ISNUMBER(Input!B18989),IF(AND(Input!B18989&gt;=20,Input!B18989&lt;=700),Input!B18989,""),"")</f>
        <v/>
      </c>
      <c r="C18989">
        <f>IF(B18989="","",INT(A18989))</f>
        <v/>
      </c>
      <c r="D18989">
        <f>IF(B18989="","",HOUR(A18989))</f>
        <v/>
      </c>
    </row>
    <row r="18990">
      <c r="A18990">
        <f>Input!A18990</f>
        <v/>
      </c>
      <c r="B18990">
        <f>IF(ISNUMBER(Input!B18990),IF(AND(Input!B18990&gt;=20,Input!B18990&lt;=700),Input!B18990,""),"")</f>
        <v/>
      </c>
      <c r="C18990">
        <f>IF(B18990="","",INT(A18990))</f>
        <v/>
      </c>
      <c r="D18990">
        <f>IF(B18990="","",HOUR(A18990))</f>
        <v/>
      </c>
    </row>
    <row r="18991">
      <c r="A18991">
        <f>Input!A18991</f>
        <v/>
      </c>
      <c r="B18991">
        <f>IF(ISNUMBER(Input!B18991),IF(AND(Input!B18991&gt;=20,Input!B18991&lt;=700),Input!B18991,""),"")</f>
        <v/>
      </c>
      <c r="C18991">
        <f>IF(B18991="","",INT(A18991))</f>
        <v/>
      </c>
      <c r="D18991">
        <f>IF(B18991="","",HOUR(A18991))</f>
        <v/>
      </c>
    </row>
    <row r="18992">
      <c r="A18992">
        <f>Input!A18992</f>
        <v/>
      </c>
      <c r="B18992">
        <f>IF(ISNUMBER(Input!B18992),IF(AND(Input!B18992&gt;=20,Input!B18992&lt;=700),Input!B18992,""),"")</f>
        <v/>
      </c>
      <c r="C18992">
        <f>IF(B18992="","",INT(A18992))</f>
        <v/>
      </c>
      <c r="D18992">
        <f>IF(B18992="","",HOUR(A18992))</f>
        <v/>
      </c>
    </row>
    <row r="18993">
      <c r="A18993">
        <f>Input!A18993</f>
        <v/>
      </c>
      <c r="B18993">
        <f>IF(ISNUMBER(Input!B18993),IF(AND(Input!B18993&gt;=20,Input!B18993&lt;=700),Input!B18993,""),"")</f>
        <v/>
      </c>
      <c r="C18993">
        <f>IF(B18993="","",INT(A18993))</f>
        <v/>
      </c>
      <c r="D18993">
        <f>IF(B18993="","",HOUR(A18993))</f>
        <v/>
      </c>
    </row>
    <row r="18994">
      <c r="A18994">
        <f>Input!A18994</f>
        <v/>
      </c>
      <c r="B18994">
        <f>IF(ISNUMBER(Input!B18994),IF(AND(Input!B18994&gt;=20,Input!B18994&lt;=700),Input!B18994,""),"")</f>
        <v/>
      </c>
      <c r="C18994">
        <f>IF(B18994="","",INT(A18994))</f>
        <v/>
      </c>
      <c r="D18994">
        <f>IF(B18994="","",HOUR(A18994))</f>
        <v/>
      </c>
    </row>
    <row r="18995">
      <c r="A18995">
        <f>Input!A18995</f>
        <v/>
      </c>
      <c r="B18995">
        <f>IF(ISNUMBER(Input!B18995),IF(AND(Input!B18995&gt;=20,Input!B18995&lt;=700),Input!B18995,""),"")</f>
        <v/>
      </c>
      <c r="C18995">
        <f>IF(B18995="","",INT(A18995))</f>
        <v/>
      </c>
      <c r="D18995">
        <f>IF(B18995="","",HOUR(A18995))</f>
        <v/>
      </c>
    </row>
    <row r="18996">
      <c r="A18996">
        <f>Input!A18996</f>
        <v/>
      </c>
      <c r="B18996">
        <f>IF(ISNUMBER(Input!B18996),IF(AND(Input!B18996&gt;=20,Input!B18996&lt;=700),Input!B18996,""),"")</f>
        <v/>
      </c>
      <c r="C18996">
        <f>IF(B18996="","",INT(A18996))</f>
        <v/>
      </c>
      <c r="D18996">
        <f>IF(B18996="","",HOUR(A18996))</f>
        <v/>
      </c>
    </row>
    <row r="18997">
      <c r="A18997">
        <f>Input!A18997</f>
        <v/>
      </c>
      <c r="B18997">
        <f>IF(ISNUMBER(Input!B18997),IF(AND(Input!B18997&gt;=20,Input!B18997&lt;=700),Input!B18997,""),"")</f>
        <v/>
      </c>
      <c r="C18997">
        <f>IF(B18997="","",INT(A18997))</f>
        <v/>
      </c>
      <c r="D18997">
        <f>IF(B18997="","",HOUR(A18997))</f>
        <v/>
      </c>
    </row>
    <row r="18998">
      <c r="A18998">
        <f>Input!A18998</f>
        <v/>
      </c>
      <c r="B18998">
        <f>IF(ISNUMBER(Input!B18998),IF(AND(Input!B18998&gt;=20,Input!B18998&lt;=700),Input!B18998,""),"")</f>
        <v/>
      </c>
      <c r="C18998">
        <f>IF(B18998="","",INT(A18998))</f>
        <v/>
      </c>
      <c r="D18998">
        <f>IF(B18998="","",HOUR(A18998))</f>
        <v/>
      </c>
    </row>
    <row r="18999">
      <c r="A18999">
        <f>Input!A18999</f>
        <v/>
      </c>
      <c r="B18999">
        <f>IF(ISNUMBER(Input!B18999),IF(AND(Input!B18999&gt;=20,Input!B18999&lt;=700),Input!B18999,""),"")</f>
        <v/>
      </c>
      <c r="C18999">
        <f>IF(B18999="","",INT(A18999))</f>
        <v/>
      </c>
      <c r="D18999">
        <f>IF(B18999="","",HOUR(A18999))</f>
        <v/>
      </c>
    </row>
    <row r="19000">
      <c r="A19000">
        <f>Input!A19000</f>
        <v/>
      </c>
      <c r="B19000">
        <f>IF(ISNUMBER(Input!B19000),IF(AND(Input!B19000&gt;=20,Input!B19000&lt;=700),Input!B19000,""),"")</f>
        <v/>
      </c>
      <c r="C19000">
        <f>IF(B19000="","",INT(A19000))</f>
        <v/>
      </c>
      <c r="D19000">
        <f>IF(B19000="","",HOUR(A19000))</f>
        <v/>
      </c>
    </row>
    <row r="19001">
      <c r="A19001">
        <f>Input!A19001</f>
        <v/>
      </c>
      <c r="B19001">
        <f>IF(ISNUMBER(Input!B19001),IF(AND(Input!B19001&gt;=20,Input!B19001&lt;=700),Input!B19001,""),"")</f>
        <v/>
      </c>
      <c r="C19001">
        <f>IF(B19001="","",INT(A19001))</f>
        <v/>
      </c>
      <c r="D19001">
        <f>IF(B19001="","",HOUR(A19001))</f>
        <v/>
      </c>
    </row>
    <row r="19002">
      <c r="A19002">
        <f>Input!A19002</f>
        <v/>
      </c>
      <c r="B19002">
        <f>IF(ISNUMBER(Input!B19002),IF(AND(Input!B19002&gt;=20,Input!B19002&lt;=700),Input!B19002,""),"")</f>
        <v/>
      </c>
      <c r="C19002">
        <f>IF(B19002="","",INT(A19002))</f>
        <v/>
      </c>
      <c r="D19002">
        <f>IF(B19002="","",HOUR(A19002))</f>
        <v/>
      </c>
    </row>
    <row r="19003">
      <c r="A19003">
        <f>Input!A19003</f>
        <v/>
      </c>
      <c r="B19003">
        <f>IF(ISNUMBER(Input!B19003),IF(AND(Input!B19003&gt;=20,Input!B19003&lt;=700),Input!B19003,""),"")</f>
        <v/>
      </c>
      <c r="C19003">
        <f>IF(B19003="","",INT(A19003))</f>
        <v/>
      </c>
      <c r="D19003">
        <f>IF(B19003="","",HOUR(A19003))</f>
        <v/>
      </c>
    </row>
    <row r="19004">
      <c r="A19004">
        <f>Input!A19004</f>
        <v/>
      </c>
      <c r="B19004">
        <f>IF(ISNUMBER(Input!B19004),IF(AND(Input!B19004&gt;=20,Input!B19004&lt;=700),Input!B19004,""),"")</f>
        <v/>
      </c>
      <c r="C19004">
        <f>IF(B19004="","",INT(A19004))</f>
        <v/>
      </c>
      <c r="D19004">
        <f>IF(B19004="","",HOUR(A19004))</f>
        <v/>
      </c>
    </row>
    <row r="19005">
      <c r="A19005">
        <f>Input!A19005</f>
        <v/>
      </c>
      <c r="B19005">
        <f>IF(ISNUMBER(Input!B19005),IF(AND(Input!B19005&gt;=20,Input!B19005&lt;=700),Input!B19005,""),"")</f>
        <v/>
      </c>
      <c r="C19005">
        <f>IF(B19005="","",INT(A19005))</f>
        <v/>
      </c>
      <c r="D19005">
        <f>IF(B19005="","",HOUR(A19005))</f>
        <v/>
      </c>
    </row>
    <row r="19006">
      <c r="A19006">
        <f>Input!A19006</f>
        <v/>
      </c>
      <c r="B19006">
        <f>IF(ISNUMBER(Input!B19006),IF(AND(Input!B19006&gt;=20,Input!B19006&lt;=700),Input!B19006,""),"")</f>
        <v/>
      </c>
      <c r="C19006">
        <f>IF(B19006="","",INT(A19006))</f>
        <v/>
      </c>
      <c r="D19006">
        <f>IF(B19006="","",HOUR(A19006))</f>
        <v/>
      </c>
    </row>
    <row r="19007">
      <c r="A19007">
        <f>Input!A19007</f>
        <v/>
      </c>
      <c r="B19007">
        <f>IF(ISNUMBER(Input!B19007),IF(AND(Input!B19007&gt;=20,Input!B19007&lt;=700),Input!B19007,""),"")</f>
        <v/>
      </c>
      <c r="C19007">
        <f>IF(B19007="","",INT(A19007))</f>
        <v/>
      </c>
      <c r="D19007">
        <f>IF(B19007="","",HOUR(A19007))</f>
        <v/>
      </c>
    </row>
    <row r="19008">
      <c r="A19008">
        <f>Input!A19008</f>
        <v/>
      </c>
      <c r="B19008">
        <f>IF(ISNUMBER(Input!B19008),IF(AND(Input!B19008&gt;=20,Input!B19008&lt;=700),Input!B19008,""),"")</f>
        <v/>
      </c>
      <c r="C19008">
        <f>IF(B19008="","",INT(A19008))</f>
        <v/>
      </c>
      <c r="D19008">
        <f>IF(B19008="","",HOUR(A19008))</f>
        <v/>
      </c>
    </row>
    <row r="19009">
      <c r="A19009">
        <f>Input!A19009</f>
        <v/>
      </c>
      <c r="B19009">
        <f>IF(ISNUMBER(Input!B19009),IF(AND(Input!B19009&gt;=20,Input!B19009&lt;=700),Input!B19009,""),"")</f>
        <v/>
      </c>
      <c r="C19009">
        <f>IF(B19009="","",INT(A19009))</f>
        <v/>
      </c>
      <c r="D19009">
        <f>IF(B19009="","",HOUR(A19009))</f>
        <v/>
      </c>
    </row>
    <row r="19010">
      <c r="A19010">
        <f>Input!A19010</f>
        <v/>
      </c>
      <c r="B19010">
        <f>IF(ISNUMBER(Input!B19010),IF(AND(Input!B19010&gt;=20,Input!B19010&lt;=700),Input!B19010,""),"")</f>
        <v/>
      </c>
      <c r="C19010">
        <f>IF(B19010="","",INT(A19010))</f>
        <v/>
      </c>
      <c r="D19010">
        <f>IF(B19010="","",HOUR(A19010))</f>
        <v/>
      </c>
    </row>
    <row r="19011">
      <c r="A19011">
        <f>Input!A19011</f>
        <v/>
      </c>
      <c r="B19011">
        <f>IF(ISNUMBER(Input!B19011),IF(AND(Input!B19011&gt;=20,Input!B19011&lt;=700),Input!B19011,""),"")</f>
        <v/>
      </c>
      <c r="C19011">
        <f>IF(B19011="","",INT(A19011))</f>
        <v/>
      </c>
      <c r="D19011">
        <f>IF(B19011="","",HOUR(A19011))</f>
        <v/>
      </c>
    </row>
    <row r="19012">
      <c r="A19012">
        <f>Input!A19012</f>
        <v/>
      </c>
      <c r="B19012">
        <f>IF(ISNUMBER(Input!B19012),IF(AND(Input!B19012&gt;=20,Input!B19012&lt;=700),Input!B19012,""),"")</f>
        <v/>
      </c>
      <c r="C19012">
        <f>IF(B19012="","",INT(A19012))</f>
        <v/>
      </c>
      <c r="D19012">
        <f>IF(B19012="","",HOUR(A19012))</f>
        <v/>
      </c>
    </row>
    <row r="19013">
      <c r="A19013">
        <f>Input!A19013</f>
        <v/>
      </c>
      <c r="B19013">
        <f>IF(ISNUMBER(Input!B19013),IF(AND(Input!B19013&gt;=20,Input!B19013&lt;=700),Input!B19013,""),"")</f>
        <v/>
      </c>
      <c r="C19013">
        <f>IF(B19013="","",INT(A19013))</f>
        <v/>
      </c>
      <c r="D19013">
        <f>IF(B19013="","",HOUR(A19013))</f>
        <v/>
      </c>
    </row>
    <row r="19014">
      <c r="A19014">
        <f>Input!A19014</f>
        <v/>
      </c>
      <c r="B19014">
        <f>IF(ISNUMBER(Input!B19014),IF(AND(Input!B19014&gt;=20,Input!B19014&lt;=700),Input!B19014,""),"")</f>
        <v/>
      </c>
      <c r="C19014">
        <f>IF(B19014="","",INT(A19014))</f>
        <v/>
      </c>
      <c r="D19014">
        <f>IF(B19014="","",HOUR(A19014))</f>
        <v/>
      </c>
    </row>
    <row r="19015">
      <c r="A19015">
        <f>Input!A19015</f>
        <v/>
      </c>
      <c r="B19015">
        <f>IF(ISNUMBER(Input!B19015),IF(AND(Input!B19015&gt;=20,Input!B19015&lt;=700),Input!B19015,""),"")</f>
        <v/>
      </c>
      <c r="C19015">
        <f>IF(B19015="","",INT(A19015))</f>
        <v/>
      </c>
      <c r="D19015">
        <f>IF(B19015="","",HOUR(A19015))</f>
        <v/>
      </c>
    </row>
    <row r="19016">
      <c r="A19016">
        <f>Input!A19016</f>
        <v/>
      </c>
      <c r="B19016">
        <f>IF(ISNUMBER(Input!B19016),IF(AND(Input!B19016&gt;=20,Input!B19016&lt;=700),Input!B19016,""),"")</f>
        <v/>
      </c>
      <c r="C19016">
        <f>IF(B19016="","",INT(A19016))</f>
        <v/>
      </c>
      <c r="D19016">
        <f>IF(B19016="","",HOUR(A19016))</f>
        <v/>
      </c>
    </row>
    <row r="19017">
      <c r="A19017">
        <f>Input!A19017</f>
        <v/>
      </c>
      <c r="B19017">
        <f>IF(ISNUMBER(Input!B19017),IF(AND(Input!B19017&gt;=20,Input!B19017&lt;=700),Input!B19017,""),"")</f>
        <v/>
      </c>
      <c r="C19017">
        <f>IF(B19017="","",INT(A19017))</f>
        <v/>
      </c>
      <c r="D19017">
        <f>IF(B19017="","",HOUR(A19017))</f>
        <v/>
      </c>
    </row>
    <row r="19018">
      <c r="A19018">
        <f>Input!A19018</f>
        <v/>
      </c>
      <c r="B19018">
        <f>IF(ISNUMBER(Input!B19018),IF(AND(Input!B19018&gt;=20,Input!B19018&lt;=700),Input!B19018,""),"")</f>
        <v/>
      </c>
      <c r="C19018">
        <f>IF(B19018="","",INT(A19018))</f>
        <v/>
      </c>
      <c r="D19018">
        <f>IF(B19018="","",HOUR(A19018))</f>
        <v/>
      </c>
    </row>
    <row r="19019">
      <c r="A19019">
        <f>Input!A19019</f>
        <v/>
      </c>
      <c r="B19019">
        <f>IF(ISNUMBER(Input!B19019),IF(AND(Input!B19019&gt;=20,Input!B19019&lt;=700),Input!B19019,""),"")</f>
        <v/>
      </c>
      <c r="C19019">
        <f>IF(B19019="","",INT(A19019))</f>
        <v/>
      </c>
      <c r="D19019">
        <f>IF(B19019="","",HOUR(A19019))</f>
        <v/>
      </c>
    </row>
    <row r="19020">
      <c r="A19020">
        <f>Input!A19020</f>
        <v/>
      </c>
      <c r="B19020">
        <f>IF(ISNUMBER(Input!B19020),IF(AND(Input!B19020&gt;=20,Input!B19020&lt;=700),Input!B19020,""),"")</f>
        <v/>
      </c>
      <c r="C19020">
        <f>IF(B19020="","",INT(A19020))</f>
        <v/>
      </c>
      <c r="D19020">
        <f>IF(B19020="","",HOUR(A19020))</f>
        <v/>
      </c>
    </row>
    <row r="19021">
      <c r="A19021">
        <f>Input!A19021</f>
        <v/>
      </c>
      <c r="B19021">
        <f>IF(ISNUMBER(Input!B19021),IF(AND(Input!B19021&gt;=20,Input!B19021&lt;=700),Input!B19021,""),"")</f>
        <v/>
      </c>
      <c r="C19021">
        <f>IF(B19021="","",INT(A19021))</f>
        <v/>
      </c>
      <c r="D19021">
        <f>IF(B19021="","",HOUR(A19021))</f>
        <v/>
      </c>
    </row>
    <row r="19022">
      <c r="A19022">
        <f>Input!A19022</f>
        <v/>
      </c>
      <c r="B19022">
        <f>IF(ISNUMBER(Input!B19022),IF(AND(Input!B19022&gt;=20,Input!B19022&lt;=700),Input!B19022,""),"")</f>
        <v/>
      </c>
      <c r="C19022">
        <f>IF(B19022="","",INT(A19022))</f>
        <v/>
      </c>
      <c r="D19022">
        <f>IF(B19022="","",HOUR(A19022))</f>
        <v/>
      </c>
    </row>
    <row r="19023">
      <c r="A19023">
        <f>Input!A19023</f>
        <v/>
      </c>
      <c r="B19023">
        <f>IF(ISNUMBER(Input!B19023),IF(AND(Input!B19023&gt;=20,Input!B19023&lt;=700),Input!B19023,""),"")</f>
        <v/>
      </c>
      <c r="C19023">
        <f>IF(B19023="","",INT(A19023))</f>
        <v/>
      </c>
      <c r="D19023">
        <f>IF(B19023="","",HOUR(A19023))</f>
        <v/>
      </c>
    </row>
    <row r="19024">
      <c r="A19024">
        <f>Input!A19024</f>
        <v/>
      </c>
      <c r="B19024">
        <f>IF(ISNUMBER(Input!B19024),IF(AND(Input!B19024&gt;=20,Input!B19024&lt;=700),Input!B19024,""),"")</f>
        <v/>
      </c>
      <c r="C19024">
        <f>IF(B19024="","",INT(A19024))</f>
        <v/>
      </c>
      <c r="D19024">
        <f>IF(B19024="","",HOUR(A19024))</f>
        <v/>
      </c>
    </row>
    <row r="19025">
      <c r="A19025">
        <f>Input!A19025</f>
        <v/>
      </c>
      <c r="B19025">
        <f>IF(ISNUMBER(Input!B19025),IF(AND(Input!B19025&gt;=20,Input!B19025&lt;=700),Input!B19025,""),"")</f>
        <v/>
      </c>
      <c r="C19025">
        <f>IF(B19025="","",INT(A19025))</f>
        <v/>
      </c>
      <c r="D19025">
        <f>IF(B19025="","",HOUR(A19025))</f>
        <v/>
      </c>
    </row>
    <row r="19026">
      <c r="A19026">
        <f>Input!A19026</f>
        <v/>
      </c>
      <c r="B19026">
        <f>IF(ISNUMBER(Input!B19026),IF(AND(Input!B19026&gt;=20,Input!B19026&lt;=700),Input!B19026,""),"")</f>
        <v/>
      </c>
      <c r="C19026">
        <f>IF(B19026="","",INT(A19026))</f>
        <v/>
      </c>
      <c r="D19026">
        <f>IF(B19026="","",HOUR(A19026))</f>
        <v/>
      </c>
    </row>
    <row r="19027">
      <c r="A19027">
        <f>Input!A19027</f>
        <v/>
      </c>
      <c r="B19027">
        <f>IF(ISNUMBER(Input!B19027),IF(AND(Input!B19027&gt;=20,Input!B19027&lt;=700),Input!B19027,""),"")</f>
        <v/>
      </c>
      <c r="C19027">
        <f>IF(B19027="","",INT(A19027))</f>
        <v/>
      </c>
      <c r="D19027">
        <f>IF(B19027="","",HOUR(A19027))</f>
        <v/>
      </c>
    </row>
    <row r="19028">
      <c r="A19028">
        <f>Input!A19028</f>
        <v/>
      </c>
      <c r="B19028">
        <f>IF(ISNUMBER(Input!B19028),IF(AND(Input!B19028&gt;=20,Input!B19028&lt;=700),Input!B19028,""),"")</f>
        <v/>
      </c>
      <c r="C19028">
        <f>IF(B19028="","",INT(A19028))</f>
        <v/>
      </c>
      <c r="D19028">
        <f>IF(B19028="","",HOUR(A19028))</f>
        <v/>
      </c>
    </row>
    <row r="19029">
      <c r="A19029">
        <f>Input!A19029</f>
        <v/>
      </c>
      <c r="B19029">
        <f>IF(ISNUMBER(Input!B19029),IF(AND(Input!B19029&gt;=20,Input!B19029&lt;=700),Input!B19029,""),"")</f>
        <v/>
      </c>
      <c r="C19029">
        <f>IF(B19029="","",INT(A19029))</f>
        <v/>
      </c>
      <c r="D19029">
        <f>IF(B19029="","",HOUR(A19029))</f>
        <v/>
      </c>
    </row>
    <row r="19030">
      <c r="A19030">
        <f>Input!A19030</f>
        <v/>
      </c>
      <c r="B19030">
        <f>IF(ISNUMBER(Input!B19030),IF(AND(Input!B19030&gt;=20,Input!B19030&lt;=700),Input!B19030,""),"")</f>
        <v/>
      </c>
      <c r="C19030">
        <f>IF(B19030="","",INT(A19030))</f>
        <v/>
      </c>
      <c r="D19030">
        <f>IF(B19030="","",HOUR(A19030))</f>
        <v/>
      </c>
    </row>
    <row r="19031">
      <c r="A19031">
        <f>Input!A19031</f>
        <v/>
      </c>
      <c r="B19031">
        <f>IF(ISNUMBER(Input!B19031),IF(AND(Input!B19031&gt;=20,Input!B19031&lt;=700),Input!B19031,""),"")</f>
        <v/>
      </c>
      <c r="C19031">
        <f>IF(B19031="","",INT(A19031))</f>
        <v/>
      </c>
      <c r="D19031">
        <f>IF(B19031="","",HOUR(A19031))</f>
        <v/>
      </c>
    </row>
    <row r="19032">
      <c r="A19032">
        <f>Input!A19032</f>
        <v/>
      </c>
      <c r="B19032">
        <f>IF(ISNUMBER(Input!B19032),IF(AND(Input!B19032&gt;=20,Input!B19032&lt;=700),Input!B19032,""),"")</f>
        <v/>
      </c>
      <c r="C19032">
        <f>IF(B19032="","",INT(A19032))</f>
        <v/>
      </c>
      <c r="D19032">
        <f>IF(B19032="","",HOUR(A19032))</f>
        <v/>
      </c>
    </row>
    <row r="19033">
      <c r="A19033">
        <f>Input!A19033</f>
        <v/>
      </c>
      <c r="B19033">
        <f>IF(ISNUMBER(Input!B19033),IF(AND(Input!B19033&gt;=20,Input!B19033&lt;=700),Input!B19033,""),"")</f>
        <v/>
      </c>
      <c r="C19033">
        <f>IF(B19033="","",INT(A19033))</f>
        <v/>
      </c>
      <c r="D19033">
        <f>IF(B19033="","",HOUR(A19033))</f>
        <v/>
      </c>
    </row>
    <row r="19034">
      <c r="A19034">
        <f>Input!A19034</f>
        <v/>
      </c>
      <c r="B19034">
        <f>IF(ISNUMBER(Input!B19034),IF(AND(Input!B19034&gt;=20,Input!B19034&lt;=700),Input!B19034,""),"")</f>
        <v/>
      </c>
      <c r="C19034">
        <f>IF(B19034="","",INT(A19034))</f>
        <v/>
      </c>
      <c r="D19034">
        <f>IF(B19034="","",HOUR(A19034))</f>
        <v/>
      </c>
    </row>
    <row r="19035">
      <c r="A19035">
        <f>Input!A19035</f>
        <v/>
      </c>
      <c r="B19035">
        <f>IF(ISNUMBER(Input!B19035),IF(AND(Input!B19035&gt;=20,Input!B19035&lt;=700),Input!B19035,""),"")</f>
        <v/>
      </c>
      <c r="C19035">
        <f>IF(B19035="","",INT(A19035))</f>
        <v/>
      </c>
      <c r="D19035">
        <f>IF(B19035="","",HOUR(A19035))</f>
        <v/>
      </c>
    </row>
    <row r="19036">
      <c r="A19036">
        <f>Input!A19036</f>
        <v/>
      </c>
      <c r="B19036">
        <f>IF(ISNUMBER(Input!B19036),IF(AND(Input!B19036&gt;=20,Input!B19036&lt;=700),Input!B19036,""),"")</f>
        <v/>
      </c>
      <c r="C19036">
        <f>IF(B19036="","",INT(A19036))</f>
        <v/>
      </c>
      <c r="D19036">
        <f>IF(B19036="","",HOUR(A19036))</f>
        <v/>
      </c>
    </row>
    <row r="19037">
      <c r="A19037">
        <f>Input!A19037</f>
        <v/>
      </c>
      <c r="B19037">
        <f>IF(ISNUMBER(Input!B19037),IF(AND(Input!B19037&gt;=20,Input!B19037&lt;=700),Input!B19037,""),"")</f>
        <v/>
      </c>
      <c r="C19037">
        <f>IF(B19037="","",INT(A19037))</f>
        <v/>
      </c>
      <c r="D19037">
        <f>IF(B19037="","",HOUR(A19037))</f>
        <v/>
      </c>
    </row>
    <row r="19038">
      <c r="A19038">
        <f>Input!A19038</f>
        <v/>
      </c>
      <c r="B19038">
        <f>IF(ISNUMBER(Input!B19038),IF(AND(Input!B19038&gt;=20,Input!B19038&lt;=700),Input!B19038,""),"")</f>
        <v/>
      </c>
      <c r="C19038">
        <f>IF(B19038="","",INT(A19038))</f>
        <v/>
      </c>
      <c r="D19038">
        <f>IF(B19038="","",HOUR(A19038))</f>
        <v/>
      </c>
    </row>
    <row r="19039">
      <c r="A19039">
        <f>Input!A19039</f>
        <v/>
      </c>
      <c r="B19039">
        <f>IF(ISNUMBER(Input!B19039),IF(AND(Input!B19039&gt;=20,Input!B19039&lt;=700),Input!B19039,""),"")</f>
        <v/>
      </c>
      <c r="C19039">
        <f>IF(B19039="","",INT(A19039))</f>
        <v/>
      </c>
      <c r="D19039">
        <f>IF(B19039="","",HOUR(A19039))</f>
        <v/>
      </c>
    </row>
    <row r="19040">
      <c r="A19040">
        <f>Input!A19040</f>
        <v/>
      </c>
      <c r="B19040">
        <f>IF(ISNUMBER(Input!B19040),IF(AND(Input!B19040&gt;=20,Input!B19040&lt;=700),Input!B19040,""),"")</f>
        <v/>
      </c>
      <c r="C19040">
        <f>IF(B19040="","",INT(A19040))</f>
        <v/>
      </c>
      <c r="D19040">
        <f>IF(B19040="","",HOUR(A19040))</f>
        <v/>
      </c>
    </row>
    <row r="19041">
      <c r="A19041">
        <f>Input!A19041</f>
        <v/>
      </c>
      <c r="B19041">
        <f>IF(ISNUMBER(Input!B19041),IF(AND(Input!B19041&gt;=20,Input!B19041&lt;=700),Input!B19041,""),"")</f>
        <v/>
      </c>
      <c r="C19041">
        <f>IF(B19041="","",INT(A19041))</f>
        <v/>
      </c>
      <c r="D19041">
        <f>IF(B19041="","",HOUR(A19041))</f>
        <v/>
      </c>
    </row>
    <row r="19042">
      <c r="A19042">
        <f>Input!A19042</f>
        <v/>
      </c>
      <c r="B19042">
        <f>IF(ISNUMBER(Input!B19042),IF(AND(Input!B19042&gt;=20,Input!B19042&lt;=700),Input!B19042,""),"")</f>
        <v/>
      </c>
      <c r="C19042">
        <f>IF(B19042="","",INT(A19042))</f>
        <v/>
      </c>
      <c r="D19042">
        <f>IF(B19042="","",HOUR(A19042))</f>
        <v/>
      </c>
    </row>
    <row r="19043">
      <c r="A19043">
        <f>Input!A19043</f>
        <v/>
      </c>
      <c r="B19043">
        <f>IF(ISNUMBER(Input!B19043),IF(AND(Input!B19043&gt;=20,Input!B19043&lt;=700),Input!B19043,""),"")</f>
        <v/>
      </c>
      <c r="C19043">
        <f>IF(B19043="","",INT(A19043))</f>
        <v/>
      </c>
      <c r="D19043">
        <f>IF(B19043="","",HOUR(A19043))</f>
        <v/>
      </c>
    </row>
    <row r="19044">
      <c r="A19044">
        <f>Input!A19044</f>
        <v/>
      </c>
      <c r="B19044">
        <f>IF(ISNUMBER(Input!B19044),IF(AND(Input!B19044&gt;=20,Input!B19044&lt;=700),Input!B19044,""),"")</f>
        <v/>
      </c>
      <c r="C19044">
        <f>IF(B19044="","",INT(A19044))</f>
        <v/>
      </c>
      <c r="D19044">
        <f>IF(B19044="","",HOUR(A19044))</f>
        <v/>
      </c>
    </row>
    <row r="19045">
      <c r="A19045">
        <f>Input!A19045</f>
        <v/>
      </c>
      <c r="B19045">
        <f>IF(ISNUMBER(Input!B19045),IF(AND(Input!B19045&gt;=20,Input!B19045&lt;=700),Input!B19045,""),"")</f>
        <v/>
      </c>
      <c r="C19045">
        <f>IF(B19045="","",INT(A19045))</f>
        <v/>
      </c>
      <c r="D19045">
        <f>IF(B19045="","",HOUR(A19045))</f>
        <v/>
      </c>
    </row>
    <row r="19046">
      <c r="A19046">
        <f>Input!A19046</f>
        <v/>
      </c>
      <c r="B19046">
        <f>IF(ISNUMBER(Input!B19046),IF(AND(Input!B19046&gt;=20,Input!B19046&lt;=700),Input!B19046,""),"")</f>
        <v/>
      </c>
      <c r="C19046">
        <f>IF(B19046="","",INT(A19046))</f>
        <v/>
      </c>
      <c r="D19046">
        <f>IF(B19046="","",HOUR(A19046))</f>
        <v/>
      </c>
    </row>
    <row r="19047">
      <c r="A19047">
        <f>Input!A19047</f>
        <v/>
      </c>
      <c r="B19047">
        <f>IF(ISNUMBER(Input!B19047),IF(AND(Input!B19047&gt;=20,Input!B19047&lt;=700),Input!B19047,""),"")</f>
        <v/>
      </c>
      <c r="C19047">
        <f>IF(B19047="","",INT(A19047))</f>
        <v/>
      </c>
      <c r="D19047">
        <f>IF(B19047="","",HOUR(A19047))</f>
        <v/>
      </c>
    </row>
    <row r="19048">
      <c r="A19048">
        <f>Input!A19048</f>
        <v/>
      </c>
      <c r="B19048">
        <f>IF(ISNUMBER(Input!B19048),IF(AND(Input!B19048&gt;=20,Input!B19048&lt;=700),Input!B19048,""),"")</f>
        <v/>
      </c>
      <c r="C19048">
        <f>IF(B19048="","",INT(A19048))</f>
        <v/>
      </c>
      <c r="D19048">
        <f>IF(B19048="","",HOUR(A19048))</f>
        <v/>
      </c>
    </row>
    <row r="19049">
      <c r="A19049">
        <f>Input!A19049</f>
        <v/>
      </c>
      <c r="B19049">
        <f>IF(ISNUMBER(Input!B19049),IF(AND(Input!B19049&gt;=20,Input!B19049&lt;=700),Input!B19049,""),"")</f>
        <v/>
      </c>
      <c r="C19049">
        <f>IF(B19049="","",INT(A19049))</f>
        <v/>
      </c>
      <c r="D19049">
        <f>IF(B19049="","",HOUR(A19049))</f>
        <v/>
      </c>
    </row>
    <row r="19050">
      <c r="A19050">
        <f>Input!A19050</f>
        <v/>
      </c>
      <c r="B19050">
        <f>IF(ISNUMBER(Input!B19050),IF(AND(Input!B19050&gt;=20,Input!B19050&lt;=700),Input!B19050,""),"")</f>
        <v/>
      </c>
      <c r="C19050">
        <f>IF(B19050="","",INT(A19050))</f>
        <v/>
      </c>
      <c r="D19050">
        <f>IF(B19050="","",HOUR(A19050))</f>
        <v/>
      </c>
    </row>
    <row r="19051">
      <c r="A19051">
        <f>Input!A19051</f>
        <v/>
      </c>
      <c r="B19051">
        <f>IF(ISNUMBER(Input!B19051),IF(AND(Input!B19051&gt;=20,Input!B19051&lt;=700),Input!B19051,""),"")</f>
        <v/>
      </c>
      <c r="C19051">
        <f>IF(B19051="","",INT(A19051))</f>
        <v/>
      </c>
      <c r="D19051">
        <f>IF(B19051="","",HOUR(A19051))</f>
        <v/>
      </c>
    </row>
    <row r="19052">
      <c r="A19052">
        <f>Input!A19052</f>
        <v/>
      </c>
      <c r="B19052">
        <f>IF(ISNUMBER(Input!B19052),IF(AND(Input!B19052&gt;=20,Input!B19052&lt;=700),Input!B19052,""),"")</f>
        <v/>
      </c>
      <c r="C19052">
        <f>IF(B19052="","",INT(A19052))</f>
        <v/>
      </c>
      <c r="D19052">
        <f>IF(B19052="","",HOUR(A19052))</f>
        <v/>
      </c>
    </row>
    <row r="19053">
      <c r="A19053">
        <f>Input!A19053</f>
        <v/>
      </c>
      <c r="B19053">
        <f>IF(ISNUMBER(Input!B19053),IF(AND(Input!B19053&gt;=20,Input!B19053&lt;=700),Input!B19053,""),"")</f>
        <v/>
      </c>
      <c r="C19053">
        <f>IF(B19053="","",INT(A19053))</f>
        <v/>
      </c>
      <c r="D19053">
        <f>IF(B19053="","",HOUR(A19053))</f>
        <v/>
      </c>
    </row>
    <row r="19054">
      <c r="A19054">
        <f>Input!A19054</f>
        <v/>
      </c>
      <c r="B19054">
        <f>IF(ISNUMBER(Input!B19054),IF(AND(Input!B19054&gt;=20,Input!B19054&lt;=700),Input!B19054,""),"")</f>
        <v/>
      </c>
      <c r="C19054">
        <f>IF(B19054="","",INT(A19054))</f>
        <v/>
      </c>
      <c r="D19054">
        <f>IF(B19054="","",HOUR(A19054))</f>
        <v/>
      </c>
    </row>
    <row r="19055">
      <c r="A19055">
        <f>Input!A19055</f>
        <v/>
      </c>
      <c r="B19055">
        <f>IF(ISNUMBER(Input!B19055),IF(AND(Input!B19055&gt;=20,Input!B19055&lt;=700),Input!B19055,""),"")</f>
        <v/>
      </c>
      <c r="C19055">
        <f>IF(B19055="","",INT(A19055))</f>
        <v/>
      </c>
      <c r="D19055">
        <f>IF(B19055="","",HOUR(A19055))</f>
        <v/>
      </c>
    </row>
    <row r="19056">
      <c r="A19056">
        <f>Input!A19056</f>
        <v/>
      </c>
      <c r="B19056">
        <f>IF(ISNUMBER(Input!B19056),IF(AND(Input!B19056&gt;=20,Input!B19056&lt;=700),Input!B19056,""),"")</f>
        <v/>
      </c>
      <c r="C19056">
        <f>IF(B19056="","",INT(A19056))</f>
        <v/>
      </c>
      <c r="D19056">
        <f>IF(B19056="","",HOUR(A19056))</f>
        <v/>
      </c>
    </row>
    <row r="19057">
      <c r="A19057">
        <f>Input!A19057</f>
        <v/>
      </c>
      <c r="B19057">
        <f>IF(ISNUMBER(Input!B19057),IF(AND(Input!B19057&gt;=20,Input!B19057&lt;=700),Input!B19057,""),"")</f>
        <v/>
      </c>
      <c r="C19057">
        <f>IF(B19057="","",INT(A19057))</f>
        <v/>
      </c>
      <c r="D19057">
        <f>IF(B19057="","",HOUR(A19057))</f>
        <v/>
      </c>
    </row>
    <row r="19058">
      <c r="A19058">
        <f>Input!A19058</f>
        <v/>
      </c>
      <c r="B19058">
        <f>IF(ISNUMBER(Input!B19058),IF(AND(Input!B19058&gt;=20,Input!B19058&lt;=700),Input!B19058,""),"")</f>
        <v/>
      </c>
      <c r="C19058">
        <f>IF(B19058="","",INT(A19058))</f>
        <v/>
      </c>
      <c r="D19058">
        <f>IF(B19058="","",HOUR(A19058))</f>
        <v/>
      </c>
    </row>
    <row r="19059">
      <c r="A19059">
        <f>Input!A19059</f>
        <v/>
      </c>
      <c r="B19059">
        <f>IF(ISNUMBER(Input!B19059),IF(AND(Input!B19059&gt;=20,Input!B19059&lt;=700),Input!B19059,""),"")</f>
        <v/>
      </c>
      <c r="C19059">
        <f>IF(B19059="","",INT(A19059))</f>
        <v/>
      </c>
      <c r="D19059">
        <f>IF(B19059="","",HOUR(A19059))</f>
        <v/>
      </c>
    </row>
    <row r="19060">
      <c r="A19060">
        <f>Input!A19060</f>
        <v/>
      </c>
      <c r="B19060">
        <f>IF(ISNUMBER(Input!B19060),IF(AND(Input!B19060&gt;=20,Input!B19060&lt;=700),Input!B19060,""),"")</f>
        <v/>
      </c>
      <c r="C19060">
        <f>IF(B19060="","",INT(A19060))</f>
        <v/>
      </c>
      <c r="D19060">
        <f>IF(B19060="","",HOUR(A19060))</f>
        <v/>
      </c>
    </row>
    <row r="19061">
      <c r="A19061">
        <f>Input!A19061</f>
        <v/>
      </c>
      <c r="B19061">
        <f>IF(ISNUMBER(Input!B19061),IF(AND(Input!B19061&gt;=20,Input!B19061&lt;=700),Input!B19061,""),"")</f>
        <v/>
      </c>
      <c r="C19061">
        <f>IF(B19061="","",INT(A19061))</f>
        <v/>
      </c>
      <c r="D19061">
        <f>IF(B19061="","",HOUR(A19061))</f>
        <v/>
      </c>
    </row>
    <row r="19062">
      <c r="A19062">
        <f>Input!A19062</f>
        <v/>
      </c>
      <c r="B19062">
        <f>IF(ISNUMBER(Input!B19062),IF(AND(Input!B19062&gt;=20,Input!B19062&lt;=700),Input!B19062,""),"")</f>
        <v/>
      </c>
      <c r="C19062">
        <f>IF(B19062="","",INT(A19062))</f>
        <v/>
      </c>
      <c r="D19062">
        <f>IF(B19062="","",HOUR(A19062))</f>
        <v/>
      </c>
    </row>
    <row r="19063">
      <c r="A19063">
        <f>Input!A19063</f>
        <v/>
      </c>
      <c r="B19063">
        <f>IF(ISNUMBER(Input!B19063),IF(AND(Input!B19063&gt;=20,Input!B19063&lt;=700),Input!B19063,""),"")</f>
        <v/>
      </c>
      <c r="C19063">
        <f>IF(B19063="","",INT(A19063))</f>
        <v/>
      </c>
      <c r="D19063">
        <f>IF(B19063="","",HOUR(A19063))</f>
        <v/>
      </c>
    </row>
    <row r="19064">
      <c r="A19064">
        <f>Input!A19064</f>
        <v/>
      </c>
      <c r="B19064">
        <f>IF(ISNUMBER(Input!B19064),IF(AND(Input!B19064&gt;=20,Input!B19064&lt;=700),Input!B19064,""),"")</f>
        <v/>
      </c>
      <c r="C19064">
        <f>IF(B19064="","",INT(A19064))</f>
        <v/>
      </c>
      <c r="D19064">
        <f>IF(B19064="","",HOUR(A19064))</f>
        <v/>
      </c>
    </row>
    <row r="19065">
      <c r="A19065">
        <f>Input!A19065</f>
        <v/>
      </c>
      <c r="B19065">
        <f>IF(ISNUMBER(Input!B19065),IF(AND(Input!B19065&gt;=20,Input!B19065&lt;=700),Input!B19065,""),"")</f>
        <v/>
      </c>
      <c r="C19065">
        <f>IF(B19065="","",INT(A19065))</f>
        <v/>
      </c>
      <c r="D19065">
        <f>IF(B19065="","",HOUR(A19065))</f>
        <v/>
      </c>
    </row>
    <row r="19066">
      <c r="A19066">
        <f>Input!A19066</f>
        <v/>
      </c>
      <c r="B19066">
        <f>IF(ISNUMBER(Input!B19066),IF(AND(Input!B19066&gt;=20,Input!B19066&lt;=700),Input!B19066,""),"")</f>
        <v/>
      </c>
      <c r="C19066">
        <f>IF(B19066="","",INT(A19066))</f>
        <v/>
      </c>
      <c r="D19066">
        <f>IF(B19066="","",HOUR(A19066))</f>
        <v/>
      </c>
    </row>
    <row r="19067">
      <c r="A19067">
        <f>Input!A19067</f>
        <v/>
      </c>
      <c r="B19067">
        <f>IF(ISNUMBER(Input!B19067),IF(AND(Input!B19067&gt;=20,Input!B19067&lt;=700),Input!B19067,""),"")</f>
        <v/>
      </c>
      <c r="C19067">
        <f>IF(B19067="","",INT(A19067))</f>
        <v/>
      </c>
      <c r="D19067">
        <f>IF(B19067="","",HOUR(A19067))</f>
        <v/>
      </c>
    </row>
    <row r="19068">
      <c r="A19068">
        <f>Input!A19068</f>
        <v/>
      </c>
      <c r="B19068">
        <f>IF(ISNUMBER(Input!B19068),IF(AND(Input!B19068&gt;=20,Input!B19068&lt;=700),Input!B19068,""),"")</f>
        <v/>
      </c>
      <c r="C19068">
        <f>IF(B19068="","",INT(A19068))</f>
        <v/>
      </c>
      <c r="D19068">
        <f>IF(B19068="","",HOUR(A19068))</f>
        <v/>
      </c>
    </row>
    <row r="19069">
      <c r="A19069">
        <f>Input!A19069</f>
        <v/>
      </c>
      <c r="B19069">
        <f>IF(ISNUMBER(Input!B19069),IF(AND(Input!B19069&gt;=20,Input!B19069&lt;=700),Input!B19069,""),"")</f>
        <v/>
      </c>
      <c r="C19069">
        <f>IF(B19069="","",INT(A19069))</f>
        <v/>
      </c>
      <c r="D19069">
        <f>IF(B19069="","",HOUR(A19069))</f>
        <v/>
      </c>
    </row>
    <row r="19070">
      <c r="A19070">
        <f>Input!A19070</f>
        <v/>
      </c>
      <c r="B19070">
        <f>IF(ISNUMBER(Input!B19070),IF(AND(Input!B19070&gt;=20,Input!B19070&lt;=700),Input!B19070,""),"")</f>
        <v/>
      </c>
      <c r="C19070">
        <f>IF(B19070="","",INT(A19070))</f>
        <v/>
      </c>
      <c r="D19070">
        <f>IF(B19070="","",HOUR(A19070))</f>
        <v/>
      </c>
    </row>
    <row r="19071">
      <c r="A19071">
        <f>Input!A19071</f>
        <v/>
      </c>
      <c r="B19071">
        <f>IF(ISNUMBER(Input!B19071),IF(AND(Input!B19071&gt;=20,Input!B19071&lt;=700),Input!B19071,""),"")</f>
        <v/>
      </c>
      <c r="C19071">
        <f>IF(B19071="","",INT(A19071))</f>
        <v/>
      </c>
      <c r="D19071">
        <f>IF(B19071="","",HOUR(A19071))</f>
        <v/>
      </c>
    </row>
    <row r="19072">
      <c r="A19072">
        <f>Input!A19072</f>
        <v/>
      </c>
      <c r="B19072">
        <f>IF(ISNUMBER(Input!B19072),IF(AND(Input!B19072&gt;=20,Input!B19072&lt;=700),Input!B19072,""),"")</f>
        <v/>
      </c>
      <c r="C19072">
        <f>IF(B19072="","",INT(A19072))</f>
        <v/>
      </c>
      <c r="D19072">
        <f>IF(B19072="","",HOUR(A19072))</f>
        <v/>
      </c>
    </row>
    <row r="19073">
      <c r="A19073">
        <f>Input!A19073</f>
        <v/>
      </c>
      <c r="B19073">
        <f>IF(ISNUMBER(Input!B19073),IF(AND(Input!B19073&gt;=20,Input!B19073&lt;=700),Input!B19073,""),"")</f>
        <v/>
      </c>
      <c r="C19073">
        <f>IF(B19073="","",INT(A19073))</f>
        <v/>
      </c>
      <c r="D19073">
        <f>IF(B19073="","",HOUR(A19073))</f>
        <v/>
      </c>
    </row>
    <row r="19074">
      <c r="A19074">
        <f>Input!A19074</f>
        <v/>
      </c>
      <c r="B19074">
        <f>IF(ISNUMBER(Input!B19074),IF(AND(Input!B19074&gt;=20,Input!B19074&lt;=700),Input!B19074,""),"")</f>
        <v/>
      </c>
      <c r="C19074">
        <f>IF(B19074="","",INT(A19074))</f>
        <v/>
      </c>
      <c r="D19074">
        <f>IF(B19074="","",HOUR(A19074))</f>
        <v/>
      </c>
    </row>
    <row r="19075">
      <c r="A19075">
        <f>Input!A19075</f>
        <v/>
      </c>
      <c r="B19075">
        <f>IF(ISNUMBER(Input!B19075),IF(AND(Input!B19075&gt;=20,Input!B19075&lt;=700),Input!B19075,""),"")</f>
        <v/>
      </c>
      <c r="C19075">
        <f>IF(B19075="","",INT(A19075))</f>
        <v/>
      </c>
      <c r="D19075">
        <f>IF(B19075="","",HOUR(A19075))</f>
        <v/>
      </c>
    </row>
    <row r="19076">
      <c r="A19076">
        <f>Input!A19076</f>
        <v/>
      </c>
      <c r="B19076">
        <f>IF(ISNUMBER(Input!B19076),IF(AND(Input!B19076&gt;=20,Input!B19076&lt;=700),Input!B19076,""),"")</f>
        <v/>
      </c>
      <c r="C19076">
        <f>IF(B19076="","",INT(A19076))</f>
        <v/>
      </c>
      <c r="D19076">
        <f>IF(B19076="","",HOUR(A19076))</f>
        <v/>
      </c>
    </row>
    <row r="19077">
      <c r="A19077">
        <f>Input!A19077</f>
        <v/>
      </c>
      <c r="B19077">
        <f>IF(ISNUMBER(Input!B19077),IF(AND(Input!B19077&gt;=20,Input!B19077&lt;=700),Input!B19077,""),"")</f>
        <v/>
      </c>
      <c r="C19077">
        <f>IF(B19077="","",INT(A19077))</f>
        <v/>
      </c>
      <c r="D19077">
        <f>IF(B19077="","",HOUR(A19077))</f>
        <v/>
      </c>
    </row>
    <row r="19078">
      <c r="A19078">
        <f>Input!A19078</f>
        <v/>
      </c>
      <c r="B19078">
        <f>IF(ISNUMBER(Input!B19078),IF(AND(Input!B19078&gt;=20,Input!B19078&lt;=700),Input!B19078,""),"")</f>
        <v/>
      </c>
      <c r="C19078">
        <f>IF(B19078="","",INT(A19078))</f>
        <v/>
      </c>
      <c r="D19078">
        <f>IF(B19078="","",HOUR(A19078))</f>
        <v/>
      </c>
    </row>
    <row r="19079">
      <c r="A19079">
        <f>Input!A19079</f>
        <v/>
      </c>
      <c r="B19079">
        <f>IF(ISNUMBER(Input!B19079),IF(AND(Input!B19079&gt;=20,Input!B19079&lt;=700),Input!B19079,""),"")</f>
        <v/>
      </c>
      <c r="C19079">
        <f>IF(B19079="","",INT(A19079))</f>
        <v/>
      </c>
      <c r="D19079">
        <f>IF(B19079="","",HOUR(A19079))</f>
        <v/>
      </c>
    </row>
    <row r="19080">
      <c r="A19080">
        <f>Input!A19080</f>
        <v/>
      </c>
      <c r="B19080">
        <f>IF(ISNUMBER(Input!B19080),IF(AND(Input!B19080&gt;=20,Input!B19080&lt;=700),Input!B19080,""),"")</f>
        <v/>
      </c>
      <c r="C19080">
        <f>IF(B19080="","",INT(A19080))</f>
        <v/>
      </c>
      <c r="D19080">
        <f>IF(B19080="","",HOUR(A19080))</f>
        <v/>
      </c>
    </row>
    <row r="19081">
      <c r="A19081">
        <f>Input!A19081</f>
        <v/>
      </c>
      <c r="B19081">
        <f>IF(ISNUMBER(Input!B19081),IF(AND(Input!B19081&gt;=20,Input!B19081&lt;=700),Input!B19081,""),"")</f>
        <v/>
      </c>
      <c r="C19081">
        <f>IF(B19081="","",INT(A19081))</f>
        <v/>
      </c>
      <c r="D19081">
        <f>IF(B19081="","",HOUR(A19081))</f>
        <v/>
      </c>
    </row>
    <row r="19082">
      <c r="A19082">
        <f>Input!A19082</f>
        <v/>
      </c>
      <c r="B19082">
        <f>IF(ISNUMBER(Input!B19082),IF(AND(Input!B19082&gt;=20,Input!B19082&lt;=700),Input!B19082,""),"")</f>
        <v/>
      </c>
      <c r="C19082">
        <f>IF(B19082="","",INT(A19082))</f>
        <v/>
      </c>
      <c r="D19082">
        <f>IF(B19082="","",HOUR(A19082))</f>
        <v/>
      </c>
    </row>
    <row r="19083">
      <c r="A19083">
        <f>Input!A19083</f>
        <v/>
      </c>
      <c r="B19083">
        <f>IF(ISNUMBER(Input!B19083),IF(AND(Input!B19083&gt;=20,Input!B19083&lt;=700),Input!B19083,""),"")</f>
        <v/>
      </c>
      <c r="C19083">
        <f>IF(B19083="","",INT(A19083))</f>
        <v/>
      </c>
      <c r="D19083">
        <f>IF(B19083="","",HOUR(A19083))</f>
        <v/>
      </c>
    </row>
    <row r="19084">
      <c r="A19084">
        <f>Input!A19084</f>
        <v/>
      </c>
      <c r="B19084">
        <f>IF(ISNUMBER(Input!B19084),IF(AND(Input!B19084&gt;=20,Input!B19084&lt;=700),Input!B19084,""),"")</f>
        <v/>
      </c>
      <c r="C19084">
        <f>IF(B19084="","",INT(A19084))</f>
        <v/>
      </c>
      <c r="D19084">
        <f>IF(B19084="","",HOUR(A19084))</f>
        <v/>
      </c>
    </row>
    <row r="19085">
      <c r="A19085">
        <f>Input!A19085</f>
        <v/>
      </c>
      <c r="B19085">
        <f>IF(ISNUMBER(Input!B19085),IF(AND(Input!B19085&gt;=20,Input!B19085&lt;=700),Input!B19085,""),"")</f>
        <v/>
      </c>
      <c r="C19085">
        <f>IF(B19085="","",INT(A19085))</f>
        <v/>
      </c>
      <c r="D19085">
        <f>IF(B19085="","",HOUR(A19085))</f>
        <v/>
      </c>
    </row>
    <row r="19086">
      <c r="A19086">
        <f>Input!A19086</f>
        <v/>
      </c>
      <c r="B19086">
        <f>IF(ISNUMBER(Input!B19086),IF(AND(Input!B19086&gt;=20,Input!B19086&lt;=700),Input!B19086,""),"")</f>
        <v/>
      </c>
      <c r="C19086">
        <f>IF(B19086="","",INT(A19086))</f>
        <v/>
      </c>
      <c r="D19086">
        <f>IF(B19086="","",HOUR(A19086))</f>
        <v/>
      </c>
    </row>
    <row r="19087">
      <c r="A19087">
        <f>Input!A19087</f>
        <v/>
      </c>
      <c r="B19087">
        <f>IF(ISNUMBER(Input!B19087),IF(AND(Input!B19087&gt;=20,Input!B19087&lt;=700),Input!B19087,""),"")</f>
        <v/>
      </c>
      <c r="C19087">
        <f>IF(B19087="","",INT(A19087))</f>
        <v/>
      </c>
      <c r="D19087">
        <f>IF(B19087="","",HOUR(A19087))</f>
        <v/>
      </c>
    </row>
    <row r="19088">
      <c r="A19088">
        <f>Input!A19088</f>
        <v/>
      </c>
      <c r="B19088">
        <f>IF(ISNUMBER(Input!B19088),IF(AND(Input!B19088&gt;=20,Input!B19088&lt;=700),Input!B19088,""),"")</f>
        <v/>
      </c>
      <c r="C19088">
        <f>IF(B19088="","",INT(A19088))</f>
        <v/>
      </c>
      <c r="D19088">
        <f>IF(B19088="","",HOUR(A19088))</f>
        <v/>
      </c>
    </row>
    <row r="19089">
      <c r="A19089">
        <f>Input!A19089</f>
        <v/>
      </c>
      <c r="B19089">
        <f>IF(ISNUMBER(Input!B19089),IF(AND(Input!B19089&gt;=20,Input!B19089&lt;=700),Input!B19089,""),"")</f>
        <v/>
      </c>
      <c r="C19089">
        <f>IF(B19089="","",INT(A19089))</f>
        <v/>
      </c>
      <c r="D19089">
        <f>IF(B19089="","",HOUR(A19089))</f>
        <v/>
      </c>
    </row>
    <row r="19090">
      <c r="A19090">
        <f>Input!A19090</f>
        <v/>
      </c>
      <c r="B19090">
        <f>IF(ISNUMBER(Input!B19090),IF(AND(Input!B19090&gt;=20,Input!B19090&lt;=700),Input!B19090,""),"")</f>
        <v/>
      </c>
      <c r="C19090">
        <f>IF(B19090="","",INT(A19090))</f>
        <v/>
      </c>
      <c r="D19090">
        <f>IF(B19090="","",HOUR(A19090))</f>
        <v/>
      </c>
    </row>
    <row r="19091">
      <c r="A19091">
        <f>Input!A19091</f>
        <v/>
      </c>
      <c r="B19091">
        <f>IF(ISNUMBER(Input!B19091),IF(AND(Input!B19091&gt;=20,Input!B19091&lt;=700),Input!B19091,""),"")</f>
        <v/>
      </c>
      <c r="C19091">
        <f>IF(B19091="","",INT(A19091))</f>
        <v/>
      </c>
      <c r="D19091">
        <f>IF(B19091="","",HOUR(A19091))</f>
        <v/>
      </c>
    </row>
    <row r="19092">
      <c r="A19092">
        <f>Input!A19092</f>
        <v/>
      </c>
      <c r="B19092">
        <f>IF(ISNUMBER(Input!B19092),IF(AND(Input!B19092&gt;=20,Input!B19092&lt;=700),Input!B19092,""),"")</f>
        <v/>
      </c>
      <c r="C19092">
        <f>IF(B19092="","",INT(A19092))</f>
        <v/>
      </c>
      <c r="D19092">
        <f>IF(B19092="","",HOUR(A19092))</f>
        <v/>
      </c>
    </row>
    <row r="19093">
      <c r="A19093">
        <f>Input!A19093</f>
        <v/>
      </c>
      <c r="B19093">
        <f>IF(ISNUMBER(Input!B19093),IF(AND(Input!B19093&gt;=20,Input!B19093&lt;=700),Input!B19093,""),"")</f>
        <v/>
      </c>
      <c r="C19093">
        <f>IF(B19093="","",INT(A19093))</f>
        <v/>
      </c>
      <c r="D19093">
        <f>IF(B19093="","",HOUR(A19093))</f>
        <v/>
      </c>
    </row>
    <row r="19094">
      <c r="A19094">
        <f>Input!A19094</f>
        <v/>
      </c>
      <c r="B19094">
        <f>IF(ISNUMBER(Input!B19094),IF(AND(Input!B19094&gt;=20,Input!B19094&lt;=700),Input!B19094,""),"")</f>
        <v/>
      </c>
      <c r="C19094">
        <f>IF(B19094="","",INT(A19094))</f>
        <v/>
      </c>
      <c r="D19094">
        <f>IF(B19094="","",HOUR(A19094))</f>
        <v/>
      </c>
    </row>
    <row r="19095">
      <c r="A19095">
        <f>Input!A19095</f>
        <v/>
      </c>
      <c r="B19095">
        <f>IF(ISNUMBER(Input!B19095),IF(AND(Input!B19095&gt;=20,Input!B19095&lt;=700),Input!B19095,""),"")</f>
        <v/>
      </c>
      <c r="C19095">
        <f>IF(B19095="","",INT(A19095))</f>
        <v/>
      </c>
      <c r="D19095">
        <f>IF(B19095="","",HOUR(A19095))</f>
        <v/>
      </c>
    </row>
    <row r="19096">
      <c r="A19096">
        <f>Input!A19096</f>
        <v/>
      </c>
      <c r="B19096">
        <f>IF(ISNUMBER(Input!B19096),IF(AND(Input!B19096&gt;=20,Input!B19096&lt;=700),Input!B19096,""),"")</f>
        <v/>
      </c>
      <c r="C19096">
        <f>IF(B19096="","",INT(A19096))</f>
        <v/>
      </c>
      <c r="D19096">
        <f>IF(B19096="","",HOUR(A19096))</f>
        <v/>
      </c>
    </row>
    <row r="19097">
      <c r="A19097">
        <f>Input!A19097</f>
        <v/>
      </c>
      <c r="B19097">
        <f>IF(ISNUMBER(Input!B19097),IF(AND(Input!B19097&gt;=20,Input!B19097&lt;=700),Input!B19097,""),"")</f>
        <v/>
      </c>
      <c r="C19097">
        <f>IF(B19097="","",INT(A19097))</f>
        <v/>
      </c>
      <c r="D19097">
        <f>IF(B19097="","",HOUR(A19097))</f>
        <v/>
      </c>
    </row>
    <row r="19098">
      <c r="A19098">
        <f>Input!A19098</f>
        <v/>
      </c>
      <c r="B19098">
        <f>IF(ISNUMBER(Input!B19098),IF(AND(Input!B19098&gt;=20,Input!B19098&lt;=700),Input!B19098,""),"")</f>
        <v/>
      </c>
      <c r="C19098">
        <f>IF(B19098="","",INT(A19098))</f>
        <v/>
      </c>
      <c r="D19098">
        <f>IF(B19098="","",HOUR(A19098))</f>
        <v/>
      </c>
    </row>
    <row r="19099">
      <c r="A19099">
        <f>Input!A19099</f>
        <v/>
      </c>
      <c r="B19099">
        <f>IF(ISNUMBER(Input!B19099),IF(AND(Input!B19099&gt;=20,Input!B19099&lt;=700),Input!B19099,""),"")</f>
        <v/>
      </c>
      <c r="C19099">
        <f>IF(B19099="","",INT(A19099))</f>
        <v/>
      </c>
      <c r="D19099">
        <f>IF(B19099="","",HOUR(A19099))</f>
        <v/>
      </c>
    </row>
    <row r="19100">
      <c r="A19100">
        <f>Input!A19100</f>
        <v/>
      </c>
      <c r="B19100">
        <f>IF(ISNUMBER(Input!B19100),IF(AND(Input!B19100&gt;=20,Input!B19100&lt;=700),Input!B19100,""),"")</f>
        <v/>
      </c>
      <c r="C19100">
        <f>IF(B19100="","",INT(A19100))</f>
        <v/>
      </c>
      <c r="D19100">
        <f>IF(B19100="","",HOUR(A19100))</f>
        <v/>
      </c>
    </row>
    <row r="19101">
      <c r="A19101">
        <f>Input!A19101</f>
        <v/>
      </c>
      <c r="B19101">
        <f>IF(ISNUMBER(Input!B19101),IF(AND(Input!B19101&gt;=20,Input!B19101&lt;=700),Input!B19101,""),"")</f>
        <v/>
      </c>
      <c r="C19101">
        <f>IF(B19101="","",INT(A19101))</f>
        <v/>
      </c>
      <c r="D19101">
        <f>IF(B19101="","",HOUR(A19101))</f>
        <v/>
      </c>
    </row>
    <row r="19102">
      <c r="A19102">
        <f>Input!A19102</f>
        <v/>
      </c>
      <c r="B19102">
        <f>IF(ISNUMBER(Input!B19102),IF(AND(Input!B19102&gt;=20,Input!B19102&lt;=700),Input!B19102,""),"")</f>
        <v/>
      </c>
      <c r="C19102">
        <f>IF(B19102="","",INT(A19102))</f>
        <v/>
      </c>
      <c r="D19102">
        <f>IF(B19102="","",HOUR(A19102))</f>
        <v/>
      </c>
    </row>
    <row r="19103">
      <c r="A19103">
        <f>Input!A19103</f>
        <v/>
      </c>
      <c r="B19103">
        <f>IF(ISNUMBER(Input!B19103),IF(AND(Input!B19103&gt;=20,Input!B19103&lt;=700),Input!B19103,""),"")</f>
        <v/>
      </c>
      <c r="C19103">
        <f>IF(B19103="","",INT(A19103))</f>
        <v/>
      </c>
      <c r="D19103">
        <f>IF(B19103="","",HOUR(A19103))</f>
        <v/>
      </c>
    </row>
    <row r="19104">
      <c r="A19104">
        <f>Input!A19104</f>
        <v/>
      </c>
      <c r="B19104">
        <f>IF(ISNUMBER(Input!B19104),IF(AND(Input!B19104&gt;=20,Input!B19104&lt;=700),Input!B19104,""),"")</f>
        <v/>
      </c>
      <c r="C19104">
        <f>IF(B19104="","",INT(A19104))</f>
        <v/>
      </c>
      <c r="D19104">
        <f>IF(B19104="","",HOUR(A19104))</f>
        <v/>
      </c>
    </row>
    <row r="19105">
      <c r="A19105">
        <f>Input!A19105</f>
        <v/>
      </c>
      <c r="B19105">
        <f>IF(ISNUMBER(Input!B19105),IF(AND(Input!B19105&gt;=20,Input!B19105&lt;=700),Input!B19105,""),"")</f>
        <v/>
      </c>
      <c r="C19105">
        <f>IF(B19105="","",INT(A19105))</f>
        <v/>
      </c>
      <c r="D19105">
        <f>IF(B19105="","",HOUR(A19105))</f>
        <v/>
      </c>
    </row>
    <row r="19106">
      <c r="A19106">
        <f>Input!A19106</f>
        <v/>
      </c>
      <c r="B19106">
        <f>IF(ISNUMBER(Input!B19106),IF(AND(Input!B19106&gt;=20,Input!B19106&lt;=700),Input!B19106,""),"")</f>
        <v/>
      </c>
      <c r="C19106">
        <f>IF(B19106="","",INT(A19106))</f>
        <v/>
      </c>
      <c r="D19106">
        <f>IF(B19106="","",HOUR(A19106))</f>
        <v/>
      </c>
    </row>
    <row r="19107">
      <c r="A19107">
        <f>Input!A19107</f>
        <v/>
      </c>
      <c r="B19107">
        <f>IF(ISNUMBER(Input!B19107),IF(AND(Input!B19107&gt;=20,Input!B19107&lt;=700),Input!B19107,""),"")</f>
        <v/>
      </c>
      <c r="C19107">
        <f>IF(B19107="","",INT(A19107))</f>
        <v/>
      </c>
      <c r="D19107">
        <f>IF(B19107="","",HOUR(A19107))</f>
        <v/>
      </c>
    </row>
    <row r="19108">
      <c r="A19108">
        <f>Input!A19108</f>
        <v/>
      </c>
      <c r="B19108">
        <f>IF(ISNUMBER(Input!B19108),IF(AND(Input!B19108&gt;=20,Input!B19108&lt;=700),Input!B19108,""),"")</f>
        <v/>
      </c>
      <c r="C19108">
        <f>IF(B19108="","",INT(A19108))</f>
        <v/>
      </c>
      <c r="D19108">
        <f>IF(B19108="","",HOUR(A19108))</f>
        <v/>
      </c>
    </row>
    <row r="19109">
      <c r="A19109">
        <f>Input!A19109</f>
        <v/>
      </c>
      <c r="B19109">
        <f>IF(ISNUMBER(Input!B19109),IF(AND(Input!B19109&gt;=20,Input!B19109&lt;=700),Input!B19109,""),"")</f>
        <v/>
      </c>
      <c r="C19109">
        <f>IF(B19109="","",INT(A19109))</f>
        <v/>
      </c>
      <c r="D19109">
        <f>IF(B19109="","",HOUR(A19109))</f>
        <v/>
      </c>
    </row>
    <row r="19110">
      <c r="A19110">
        <f>Input!A19110</f>
        <v/>
      </c>
      <c r="B19110">
        <f>IF(ISNUMBER(Input!B19110),IF(AND(Input!B19110&gt;=20,Input!B19110&lt;=700),Input!B19110,""),"")</f>
        <v/>
      </c>
      <c r="C19110">
        <f>IF(B19110="","",INT(A19110))</f>
        <v/>
      </c>
      <c r="D19110">
        <f>IF(B19110="","",HOUR(A19110))</f>
        <v/>
      </c>
    </row>
    <row r="19111">
      <c r="A19111">
        <f>Input!A19111</f>
        <v/>
      </c>
      <c r="B19111">
        <f>IF(ISNUMBER(Input!B19111),IF(AND(Input!B19111&gt;=20,Input!B19111&lt;=700),Input!B19111,""),"")</f>
        <v/>
      </c>
      <c r="C19111">
        <f>IF(B19111="","",INT(A19111))</f>
        <v/>
      </c>
      <c r="D19111">
        <f>IF(B19111="","",HOUR(A19111))</f>
        <v/>
      </c>
    </row>
    <row r="19112">
      <c r="A19112">
        <f>Input!A19112</f>
        <v/>
      </c>
      <c r="B19112">
        <f>IF(ISNUMBER(Input!B19112),IF(AND(Input!B19112&gt;=20,Input!B19112&lt;=700),Input!B19112,""),"")</f>
        <v/>
      </c>
      <c r="C19112">
        <f>IF(B19112="","",INT(A19112))</f>
        <v/>
      </c>
      <c r="D19112">
        <f>IF(B19112="","",HOUR(A19112))</f>
        <v/>
      </c>
    </row>
    <row r="19113">
      <c r="A19113">
        <f>Input!A19113</f>
        <v/>
      </c>
      <c r="B19113">
        <f>IF(ISNUMBER(Input!B19113),IF(AND(Input!B19113&gt;=20,Input!B19113&lt;=700),Input!B19113,""),"")</f>
        <v/>
      </c>
      <c r="C19113">
        <f>IF(B19113="","",INT(A19113))</f>
        <v/>
      </c>
      <c r="D19113">
        <f>IF(B19113="","",HOUR(A19113))</f>
        <v/>
      </c>
    </row>
    <row r="19114">
      <c r="A19114">
        <f>Input!A19114</f>
        <v/>
      </c>
      <c r="B19114">
        <f>IF(ISNUMBER(Input!B19114),IF(AND(Input!B19114&gt;=20,Input!B19114&lt;=700),Input!B19114,""),"")</f>
        <v/>
      </c>
      <c r="C19114">
        <f>IF(B19114="","",INT(A19114))</f>
        <v/>
      </c>
      <c r="D19114">
        <f>IF(B19114="","",HOUR(A19114))</f>
        <v/>
      </c>
    </row>
    <row r="19115">
      <c r="A19115">
        <f>Input!A19115</f>
        <v/>
      </c>
      <c r="B19115">
        <f>IF(ISNUMBER(Input!B19115),IF(AND(Input!B19115&gt;=20,Input!B19115&lt;=700),Input!B19115,""),"")</f>
        <v/>
      </c>
      <c r="C19115">
        <f>IF(B19115="","",INT(A19115))</f>
        <v/>
      </c>
      <c r="D19115">
        <f>IF(B19115="","",HOUR(A19115))</f>
        <v/>
      </c>
    </row>
    <row r="19116">
      <c r="A19116">
        <f>Input!A19116</f>
        <v/>
      </c>
      <c r="B19116">
        <f>IF(ISNUMBER(Input!B19116),IF(AND(Input!B19116&gt;=20,Input!B19116&lt;=700),Input!B19116,""),"")</f>
        <v/>
      </c>
      <c r="C19116">
        <f>IF(B19116="","",INT(A19116))</f>
        <v/>
      </c>
      <c r="D19116">
        <f>IF(B19116="","",HOUR(A19116))</f>
        <v/>
      </c>
    </row>
    <row r="19117">
      <c r="A19117">
        <f>Input!A19117</f>
        <v/>
      </c>
      <c r="B19117">
        <f>IF(ISNUMBER(Input!B19117),IF(AND(Input!B19117&gt;=20,Input!B19117&lt;=700),Input!B19117,""),"")</f>
        <v/>
      </c>
      <c r="C19117">
        <f>IF(B19117="","",INT(A19117))</f>
        <v/>
      </c>
      <c r="D19117">
        <f>IF(B19117="","",HOUR(A19117))</f>
        <v/>
      </c>
    </row>
    <row r="19118">
      <c r="A19118">
        <f>Input!A19118</f>
        <v/>
      </c>
      <c r="B19118">
        <f>IF(ISNUMBER(Input!B19118),IF(AND(Input!B19118&gt;=20,Input!B19118&lt;=700),Input!B19118,""),"")</f>
        <v/>
      </c>
      <c r="C19118">
        <f>IF(B19118="","",INT(A19118))</f>
        <v/>
      </c>
      <c r="D19118">
        <f>IF(B19118="","",HOUR(A19118))</f>
        <v/>
      </c>
    </row>
    <row r="19119">
      <c r="A19119">
        <f>Input!A19119</f>
        <v/>
      </c>
      <c r="B19119">
        <f>IF(ISNUMBER(Input!B19119),IF(AND(Input!B19119&gt;=20,Input!B19119&lt;=700),Input!B19119,""),"")</f>
        <v/>
      </c>
      <c r="C19119">
        <f>IF(B19119="","",INT(A19119))</f>
        <v/>
      </c>
      <c r="D19119">
        <f>IF(B19119="","",HOUR(A19119))</f>
        <v/>
      </c>
    </row>
    <row r="19120">
      <c r="A19120">
        <f>Input!A19120</f>
        <v/>
      </c>
      <c r="B19120">
        <f>IF(ISNUMBER(Input!B19120),IF(AND(Input!B19120&gt;=20,Input!B19120&lt;=700),Input!B19120,""),"")</f>
        <v/>
      </c>
      <c r="C19120">
        <f>IF(B19120="","",INT(A19120))</f>
        <v/>
      </c>
      <c r="D19120">
        <f>IF(B19120="","",HOUR(A19120))</f>
        <v/>
      </c>
    </row>
    <row r="19121">
      <c r="A19121">
        <f>Input!A19121</f>
        <v/>
      </c>
      <c r="B19121">
        <f>IF(ISNUMBER(Input!B19121),IF(AND(Input!B19121&gt;=20,Input!B19121&lt;=700),Input!B19121,""),"")</f>
        <v/>
      </c>
      <c r="C19121">
        <f>IF(B19121="","",INT(A19121))</f>
        <v/>
      </c>
      <c r="D19121">
        <f>IF(B19121="","",HOUR(A19121))</f>
        <v/>
      </c>
    </row>
    <row r="19122">
      <c r="A19122">
        <f>Input!A19122</f>
        <v/>
      </c>
      <c r="B19122">
        <f>IF(ISNUMBER(Input!B19122),IF(AND(Input!B19122&gt;=20,Input!B19122&lt;=700),Input!B19122,""),"")</f>
        <v/>
      </c>
      <c r="C19122">
        <f>IF(B19122="","",INT(A19122))</f>
        <v/>
      </c>
      <c r="D19122">
        <f>IF(B19122="","",HOUR(A19122))</f>
        <v/>
      </c>
    </row>
    <row r="19123">
      <c r="A19123">
        <f>Input!A19123</f>
        <v/>
      </c>
      <c r="B19123">
        <f>IF(ISNUMBER(Input!B19123),IF(AND(Input!B19123&gt;=20,Input!B19123&lt;=700),Input!B19123,""),"")</f>
        <v/>
      </c>
      <c r="C19123">
        <f>IF(B19123="","",INT(A19123))</f>
        <v/>
      </c>
      <c r="D19123">
        <f>IF(B19123="","",HOUR(A19123))</f>
        <v/>
      </c>
    </row>
    <row r="19124">
      <c r="A19124">
        <f>Input!A19124</f>
        <v/>
      </c>
      <c r="B19124">
        <f>IF(ISNUMBER(Input!B19124),IF(AND(Input!B19124&gt;=20,Input!B19124&lt;=700),Input!B19124,""),"")</f>
        <v/>
      </c>
      <c r="C19124">
        <f>IF(B19124="","",INT(A19124))</f>
        <v/>
      </c>
      <c r="D19124">
        <f>IF(B19124="","",HOUR(A19124))</f>
        <v/>
      </c>
    </row>
    <row r="19125">
      <c r="A19125">
        <f>Input!A19125</f>
        <v/>
      </c>
      <c r="B19125">
        <f>IF(ISNUMBER(Input!B19125),IF(AND(Input!B19125&gt;=20,Input!B19125&lt;=700),Input!B19125,""),"")</f>
        <v/>
      </c>
      <c r="C19125">
        <f>IF(B19125="","",INT(A19125))</f>
        <v/>
      </c>
      <c r="D19125">
        <f>IF(B19125="","",HOUR(A19125))</f>
        <v/>
      </c>
    </row>
    <row r="19126">
      <c r="A19126">
        <f>Input!A19126</f>
        <v/>
      </c>
      <c r="B19126">
        <f>IF(ISNUMBER(Input!B19126),IF(AND(Input!B19126&gt;=20,Input!B19126&lt;=700),Input!B19126,""),"")</f>
        <v/>
      </c>
      <c r="C19126">
        <f>IF(B19126="","",INT(A19126))</f>
        <v/>
      </c>
      <c r="D19126">
        <f>IF(B19126="","",HOUR(A19126))</f>
        <v/>
      </c>
    </row>
    <row r="19127">
      <c r="A19127">
        <f>Input!A19127</f>
        <v/>
      </c>
      <c r="B19127">
        <f>IF(ISNUMBER(Input!B19127),IF(AND(Input!B19127&gt;=20,Input!B19127&lt;=700),Input!B19127,""),"")</f>
        <v/>
      </c>
      <c r="C19127">
        <f>IF(B19127="","",INT(A19127))</f>
        <v/>
      </c>
      <c r="D19127">
        <f>IF(B19127="","",HOUR(A19127))</f>
        <v/>
      </c>
    </row>
    <row r="19128">
      <c r="A19128">
        <f>Input!A19128</f>
        <v/>
      </c>
      <c r="B19128">
        <f>IF(ISNUMBER(Input!B19128),IF(AND(Input!B19128&gt;=20,Input!B19128&lt;=700),Input!B19128,""),"")</f>
        <v/>
      </c>
      <c r="C19128">
        <f>IF(B19128="","",INT(A19128))</f>
        <v/>
      </c>
      <c r="D19128">
        <f>IF(B19128="","",HOUR(A19128))</f>
        <v/>
      </c>
    </row>
    <row r="19129">
      <c r="A19129">
        <f>Input!A19129</f>
        <v/>
      </c>
      <c r="B19129">
        <f>IF(ISNUMBER(Input!B19129),IF(AND(Input!B19129&gt;=20,Input!B19129&lt;=700),Input!B19129,""),"")</f>
        <v/>
      </c>
      <c r="C19129">
        <f>IF(B19129="","",INT(A19129))</f>
        <v/>
      </c>
      <c r="D19129">
        <f>IF(B19129="","",HOUR(A19129))</f>
        <v/>
      </c>
    </row>
    <row r="19130">
      <c r="A19130">
        <f>Input!A19130</f>
        <v/>
      </c>
      <c r="B19130">
        <f>IF(ISNUMBER(Input!B19130),IF(AND(Input!B19130&gt;=20,Input!B19130&lt;=700),Input!B19130,""),"")</f>
        <v/>
      </c>
      <c r="C19130">
        <f>IF(B19130="","",INT(A19130))</f>
        <v/>
      </c>
      <c r="D19130">
        <f>IF(B19130="","",HOUR(A19130))</f>
        <v/>
      </c>
    </row>
    <row r="19131">
      <c r="A19131">
        <f>Input!A19131</f>
        <v/>
      </c>
      <c r="B19131">
        <f>IF(ISNUMBER(Input!B19131),IF(AND(Input!B19131&gt;=20,Input!B19131&lt;=700),Input!B19131,""),"")</f>
        <v/>
      </c>
      <c r="C19131">
        <f>IF(B19131="","",INT(A19131))</f>
        <v/>
      </c>
      <c r="D19131">
        <f>IF(B19131="","",HOUR(A19131))</f>
        <v/>
      </c>
    </row>
    <row r="19132">
      <c r="A19132">
        <f>Input!A19132</f>
        <v/>
      </c>
      <c r="B19132">
        <f>IF(ISNUMBER(Input!B19132),IF(AND(Input!B19132&gt;=20,Input!B19132&lt;=700),Input!B19132,""),"")</f>
        <v/>
      </c>
      <c r="C19132">
        <f>IF(B19132="","",INT(A19132))</f>
        <v/>
      </c>
      <c r="D19132">
        <f>IF(B19132="","",HOUR(A19132))</f>
        <v/>
      </c>
    </row>
    <row r="19133">
      <c r="A19133">
        <f>Input!A19133</f>
        <v/>
      </c>
      <c r="B19133">
        <f>IF(ISNUMBER(Input!B19133),IF(AND(Input!B19133&gt;=20,Input!B19133&lt;=700),Input!B19133,""),"")</f>
        <v/>
      </c>
      <c r="C19133">
        <f>IF(B19133="","",INT(A19133))</f>
        <v/>
      </c>
      <c r="D19133">
        <f>IF(B19133="","",HOUR(A19133))</f>
        <v/>
      </c>
    </row>
    <row r="19134">
      <c r="A19134">
        <f>Input!A19134</f>
        <v/>
      </c>
      <c r="B19134">
        <f>IF(ISNUMBER(Input!B19134),IF(AND(Input!B19134&gt;=20,Input!B19134&lt;=700),Input!B19134,""),"")</f>
        <v/>
      </c>
      <c r="C19134">
        <f>IF(B19134="","",INT(A19134))</f>
        <v/>
      </c>
      <c r="D19134">
        <f>IF(B19134="","",HOUR(A19134))</f>
        <v/>
      </c>
    </row>
    <row r="19135">
      <c r="A19135">
        <f>Input!A19135</f>
        <v/>
      </c>
      <c r="B19135">
        <f>IF(ISNUMBER(Input!B19135),IF(AND(Input!B19135&gt;=20,Input!B19135&lt;=700),Input!B19135,""),"")</f>
        <v/>
      </c>
      <c r="C19135">
        <f>IF(B19135="","",INT(A19135))</f>
        <v/>
      </c>
      <c r="D19135">
        <f>IF(B19135="","",HOUR(A19135))</f>
        <v/>
      </c>
    </row>
    <row r="19136">
      <c r="A19136">
        <f>Input!A19136</f>
        <v/>
      </c>
      <c r="B19136">
        <f>IF(ISNUMBER(Input!B19136),IF(AND(Input!B19136&gt;=20,Input!B19136&lt;=700),Input!B19136,""),"")</f>
        <v/>
      </c>
      <c r="C19136">
        <f>IF(B19136="","",INT(A19136))</f>
        <v/>
      </c>
      <c r="D19136">
        <f>IF(B19136="","",HOUR(A19136))</f>
        <v/>
      </c>
    </row>
    <row r="19137">
      <c r="A19137">
        <f>Input!A19137</f>
        <v/>
      </c>
      <c r="B19137">
        <f>IF(ISNUMBER(Input!B19137),IF(AND(Input!B19137&gt;=20,Input!B19137&lt;=700),Input!B19137,""),"")</f>
        <v/>
      </c>
      <c r="C19137">
        <f>IF(B19137="","",INT(A19137))</f>
        <v/>
      </c>
      <c r="D19137">
        <f>IF(B19137="","",HOUR(A19137))</f>
        <v/>
      </c>
    </row>
    <row r="19138">
      <c r="A19138">
        <f>Input!A19138</f>
        <v/>
      </c>
      <c r="B19138">
        <f>IF(ISNUMBER(Input!B19138),IF(AND(Input!B19138&gt;=20,Input!B19138&lt;=700),Input!B19138,""),"")</f>
        <v/>
      </c>
      <c r="C19138">
        <f>IF(B19138="","",INT(A19138))</f>
        <v/>
      </c>
      <c r="D19138">
        <f>IF(B19138="","",HOUR(A19138))</f>
        <v/>
      </c>
    </row>
    <row r="19139">
      <c r="A19139">
        <f>Input!A19139</f>
        <v/>
      </c>
      <c r="B19139">
        <f>IF(ISNUMBER(Input!B19139),IF(AND(Input!B19139&gt;=20,Input!B19139&lt;=700),Input!B19139,""),"")</f>
        <v/>
      </c>
      <c r="C19139">
        <f>IF(B19139="","",INT(A19139))</f>
        <v/>
      </c>
      <c r="D19139">
        <f>IF(B19139="","",HOUR(A19139))</f>
        <v/>
      </c>
    </row>
    <row r="19140">
      <c r="A19140">
        <f>Input!A19140</f>
        <v/>
      </c>
      <c r="B19140">
        <f>IF(ISNUMBER(Input!B19140),IF(AND(Input!B19140&gt;=20,Input!B19140&lt;=700),Input!B19140,""),"")</f>
        <v/>
      </c>
      <c r="C19140">
        <f>IF(B19140="","",INT(A19140))</f>
        <v/>
      </c>
      <c r="D19140">
        <f>IF(B19140="","",HOUR(A19140))</f>
        <v/>
      </c>
    </row>
    <row r="19141">
      <c r="A19141">
        <f>Input!A19141</f>
        <v/>
      </c>
      <c r="B19141">
        <f>IF(ISNUMBER(Input!B19141),IF(AND(Input!B19141&gt;=20,Input!B19141&lt;=700),Input!B19141,""),"")</f>
        <v/>
      </c>
      <c r="C19141">
        <f>IF(B19141="","",INT(A19141))</f>
        <v/>
      </c>
      <c r="D19141">
        <f>IF(B19141="","",HOUR(A19141))</f>
        <v/>
      </c>
    </row>
    <row r="19142">
      <c r="A19142">
        <f>Input!A19142</f>
        <v/>
      </c>
      <c r="B19142">
        <f>IF(ISNUMBER(Input!B19142),IF(AND(Input!B19142&gt;=20,Input!B19142&lt;=700),Input!B19142,""),"")</f>
        <v/>
      </c>
      <c r="C19142">
        <f>IF(B19142="","",INT(A19142))</f>
        <v/>
      </c>
      <c r="D19142">
        <f>IF(B19142="","",HOUR(A19142))</f>
        <v/>
      </c>
    </row>
    <row r="19143">
      <c r="A19143">
        <f>Input!A19143</f>
        <v/>
      </c>
      <c r="B19143">
        <f>IF(ISNUMBER(Input!B19143),IF(AND(Input!B19143&gt;=20,Input!B19143&lt;=700),Input!B19143,""),"")</f>
        <v/>
      </c>
      <c r="C19143">
        <f>IF(B19143="","",INT(A19143))</f>
        <v/>
      </c>
      <c r="D19143">
        <f>IF(B19143="","",HOUR(A19143))</f>
        <v/>
      </c>
    </row>
    <row r="19144">
      <c r="A19144">
        <f>Input!A19144</f>
        <v/>
      </c>
      <c r="B19144">
        <f>IF(ISNUMBER(Input!B19144),IF(AND(Input!B19144&gt;=20,Input!B19144&lt;=700),Input!B19144,""),"")</f>
        <v/>
      </c>
      <c r="C19144">
        <f>IF(B19144="","",INT(A19144))</f>
        <v/>
      </c>
      <c r="D19144">
        <f>IF(B19144="","",HOUR(A19144))</f>
        <v/>
      </c>
    </row>
    <row r="19145">
      <c r="A19145">
        <f>Input!A19145</f>
        <v/>
      </c>
      <c r="B19145">
        <f>IF(ISNUMBER(Input!B19145),IF(AND(Input!B19145&gt;=20,Input!B19145&lt;=700),Input!B19145,""),"")</f>
        <v/>
      </c>
      <c r="C19145">
        <f>IF(B19145="","",INT(A19145))</f>
        <v/>
      </c>
      <c r="D19145">
        <f>IF(B19145="","",HOUR(A19145))</f>
        <v/>
      </c>
    </row>
    <row r="19146">
      <c r="A19146">
        <f>Input!A19146</f>
        <v/>
      </c>
      <c r="B19146">
        <f>IF(ISNUMBER(Input!B19146),IF(AND(Input!B19146&gt;=20,Input!B19146&lt;=700),Input!B19146,""),"")</f>
        <v/>
      </c>
      <c r="C19146">
        <f>IF(B19146="","",INT(A19146))</f>
        <v/>
      </c>
      <c r="D19146">
        <f>IF(B19146="","",HOUR(A19146))</f>
        <v/>
      </c>
    </row>
    <row r="19147">
      <c r="A19147">
        <f>Input!A19147</f>
        <v/>
      </c>
      <c r="B19147">
        <f>IF(ISNUMBER(Input!B19147),IF(AND(Input!B19147&gt;=20,Input!B19147&lt;=700),Input!B19147,""),"")</f>
        <v/>
      </c>
      <c r="C19147">
        <f>IF(B19147="","",INT(A19147))</f>
        <v/>
      </c>
      <c r="D19147">
        <f>IF(B19147="","",HOUR(A19147))</f>
        <v/>
      </c>
    </row>
    <row r="19148">
      <c r="A19148">
        <f>Input!A19148</f>
        <v/>
      </c>
      <c r="B19148">
        <f>IF(ISNUMBER(Input!B19148),IF(AND(Input!B19148&gt;=20,Input!B19148&lt;=700),Input!B19148,""),"")</f>
        <v/>
      </c>
      <c r="C19148">
        <f>IF(B19148="","",INT(A19148))</f>
        <v/>
      </c>
      <c r="D19148">
        <f>IF(B19148="","",HOUR(A19148))</f>
        <v/>
      </c>
    </row>
    <row r="19149">
      <c r="A19149">
        <f>Input!A19149</f>
        <v/>
      </c>
      <c r="B19149">
        <f>IF(ISNUMBER(Input!B19149),IF(AND(Input!B19149&gt;=20,Input!B19149&lt;=700),Input!B19149,""),"")</f>
        <v/>
      </c>
      <c r="C19149">
        <f>IF(B19149="","",INT(A19149))</f>
        <v/>
      </c>
      <c r="D19149">
        <f>IF(B19149="","",HOUR(A19149))</f>
        <v/>
      </c>
    </row>
    <row r="19150">
      <c r="A19150">
        <f>Input!A19150</f>
        <v/>
      </c>
      <c r="B19150">
        <f>IF(ISNUMBER(Input!B19150),IF(AND(Input!B19150&gt;=20,Input!B19150&lt;=700),Input!B19150,""),"")</f>
        <v/>
      </c>
      <c r="C19150">
        <f>IF(B19150="","",INT(A19150))</f>
        <v/>
      </c>
      <c r="D19150">
        <f>IF(B19150="","",HOUR(A19150))</f>
        <v/>
      </c>
    </row>
    <row r="19151">
      <c r="A19151">
        <f>Input!A19151</f>
        <v/>
      </c>
      <c r="B19151">
        <f>IF(ISNUMBER(Input!B19151),IF(AND(Input!B19151&gt;=20,Input!B19151&lt;=700),Input!B19151,""),"")</f>
        <v/>
      </c>
      <c r="C19151">
        <f>IF(B19151="","",INT(A19151))</f>
        <v/>
      </c>
      <c r="D19151">
        <f>IF(B19151="","",HOUR(A19151))</f>
        <v/>
      </c>
    </row>
    <row r="19152">
      <c r="A19152">
        <f>Input!A19152</f>
        <v/>
      </c>
      <c r="B19152">
        <f>IF(ISNUMBER(Input!B19152),IF(AND(Input!B19152&gt;=20,Input!B19152&lt;=700),Input!B19152,""),"")</f>
        <v/>
      </c>
      <c r="C19152">
        <f>IF(B19152="","",INT(A19152))</f>
        <v/>
      </c>
      <c r="D19152">
        <f>IF(B19152="","",HOUR(A19152))</f>
        <v/>
      </c>
    </row>
    <row r="19153">
      <c r="A19153">
        <f>Input!A19153</f>
        <v/>
      </c>
      <c r="B19153">
        <f>IF(ISNUMBER(Input!B19153),IF(AND(Input!B19153&gt;=20,Input!B19153&lt;=700),Input!B19153,""),"")</f>
        <v/>
      </c>
      <c r="C19153">
        <f>IF(B19153="","",INT(A19153))</f>
        <v/>
      </c>
      <c r="D19153">
        <f>IF(B19153="","",HOUR(A19153))</f>
        <v/>
      </c>
    </row>
    <row r="19154">
      <c r="A19154">
        <f>Input!A19154</f>
        <v/>
      </c>
      <c r="B19154">
        <f>IF(ISNUMBER(Input!B19154),IF(AND(Input!B19154&gt;=20,Input!B19154&lt;=700),Input!B19154,""),"")</f>
        <v/>
      </c>
      <c r="C19154">
        <f>IF(B19154="","",INT(A19154))</f>
        <v/>
      </c>
      <c r="D19154">
        <f>IF(B19154="","",HOUR(A19154))</f>
        <v/>
      </c>
    </row>
    <row r="19155">
      <c r="A19155">
        <f>Input!A19155</f>
        <v/>
      </c>
      <c r="B19155">
        <f>IF(ISNUMBER(Input!B19155),IF(AND(Input!B19155&gt;=20,Input!B19155&lt;=700),Input!B19155,""),"")</f>
        <v/>
      </c>
      <c r="C19155">
        <f>IF(B19155="","",INT(A19155))</f>
        <v/>
      </c>
      <c r="D19155">
        <f>IF(B19155="","",HOUR(A19155))</f>
        <v/>
      </c>
    </row>
    <row r="19156">
      <c r="A19156">
        <f>Input!A19156</f>
        <v/>
      </c>
      <c r="B19156">
        <f>IF(ISNUMBER(Input!B19156),IF(AND(Input!B19156&gt;=20,Input!B19156&lt;=700),Input!B19156,""),"")</f>
        <v/>
      </c>
      <c r="C19156">
        <f>IF(B19156="","",INT(A19156))</f>
        <v/>
      </c>
      <c r="D19156">
        <f>IF(B19156="","",HOUR(A19156))</f>
        <v/>
      </c>
    </row>
    <row r="19157">
      <c r="A19157">
        <f>Input!A19157</f>
        <v/>
      </c>
      <c r="B19157">
        <f>IF(ISNUMBER(Input!B19157),IF(AND(Input!B19157&gt;=20,Input!B19157&lt;=700),Input!B19157,""),"")</f>
        <v/>
      </c>
      <c r="C19157">
        <f>IF(B19157="","",INT(A19157))</f>
        <v/>
      </c>
      <c r="D19157">
        <f>IF(B19157="","",HOUR(A19157))</f>
        <v/>
      </c>
    </row>
    <row r="19158">
      <c r="A19158">
        <f>Input!A19158</f>
        <v/>
      </c>
      <c r="B19158">
        <f>IF(ISNUMBER(Input!B19158),IF(AND(Input!B19158&gt;=20,Input!B19158&lt;=700),Input!B19158,""),"")</f>
        <v/>
      </c>
      <c r="C19158">
        <f>IF(B19158="","",INT(A19158))</f>
        <v/>
      </c>
      <c r="D19158">
        <f>IF(B19158="","",HOUR(A19158))</f>
        <v/>
      </c>
    </row>
    <row r="19159">
      <c r="A19159">
        <f>Input!A19159</f>
        <v/>
      </c>
      <c r="B19159">
        <f>IF(ISNUMBER(Input!B19159),IF(AND(Input!B19159&gt;=20,Input!B19159&lt;=700),Input!B19159,""),"")</f>
        <v/>
      </c>
      <c r="C19159">
        <f>IF(B19159="","",INT(A19159))</f>
        <v/>
      </c>
      <c r="D19159">
        <f>IF(B19159="","",HOUR(A19159))</f>
        <v/>
      </c>
    </row>
    <row r="19160">
      <c r="A19160">
        <f>Input!A19160</f>
        <v/>
      </c>
      <c r="B19160">
        <f>IF(ISNUMBER(Input!B19160),IF(AND(Input!B19160&gt;=20,Input!B19160&lt;=700),Input!B19160,""),"")</f>
        <v/>
      </c>
      <c r="C19160">
        <f>IF(B19160="","",INT(A19160))</f>
        <v/>
      </c>
      <c r="D19160">
        <f>IF(B19160="","",HOUR(A19160))</f>
        <v/>
      </c>
    </row>
    <row r="19161">
      <c r="A19161">
        <f>Input!A19161</f>
        <v/>
      </c>
      <c r="B19161">
        <f>IF(ISNUMBER(Input!B19161),IF(AND(Input!B19161&gt;=20,Input!B19161&lt;=700),Input!B19161,""),"")</f>
        <v/>
      </c>
      <c r="C19161">
        <f>IF(B19161="","",INT(A19161))</f>
        <v/>
      </c>
      <c r="D19161">
        <f>IF(B19161="","",HOUR(A19161))</f>
        <v/>
      </c>
    </row>
    <row r="19162">
      <c r="A19162">
        <f>Input!A19162</f>
        <v/>
      </c>
      <c r="B19162">
        <f>IF(ISNUMBER(Input!B19162),IF(AND(Input!B19162&gt;=20,Input!B19162&lt;=700),Input!B19162,""),"")</f>
        <v/>
      </c>
      <c r="C19162">
        <f>IF(B19162="","",INT(A19162))</f>
        <v/>
      </c>
      <c r="D19162">
        <f>IF(B19162="","",HOUR(A19162))</f>
        <v/>
      </c>
    </row>
    <row r="19163">
      <c r="A19163">
        <f>Input!A19163</f>
        <v/>
      </c>
      <c r="B19163">
        <f>IF(ISNUMBER(Input!B19163),IF(AND(Input!B19163&gt;=20,Input!B19163&lt;=700),Input!B19163,""),"")</f>
        <v/>
      </c>
      <c r="C19163">
        <f>IF(B19163="","",INT(A19163))</f>
        <v/>
      </c>
      <c r="D19163">
        <f>IF(B19163="","",HOUR(A19163))</f>
        <v/>
      </c>
    </row>
    <row r="19164">
      <c r="A19164">
        <f>Input!A19164</f>
        <v/>
      </c>
      <c r="B19164">
        <f>IF(ISNUMBER(Input!B19164),IF(AND(Input!B19164&gt;=20,Input!B19164&lt;=700),Input!B19164,""),"")</f>
        <v/>
      </c>
      <c r="C19164">
        <f>IF(B19164="","",INT(A19164))</f>
        <v/>
      </c>
      <c r="D19164">
        <f>IF(B19164="","",HOUR(A19164))</f>
        <v/>
      </c>
    </row>
    <row r="19165">
      <c r="A19165">
        <f>Input!A19165</f>
        <v/>
      </c>
      <c r="B19165">
        <f>IF(ISNUMBER(Input!B19165),IF(AND(Input!B19165&gt;=20,Input!B19165&lt;=700),Input!B19165,""),"")</f>
        <v/>
      </c>
      <c r="C19165">
        <f>IF(B19165="","",INT(A19165))</f>
        <v/>
      </c>
      <c r="D19165">
        <f>IF(B19165="","",HOUR(A19165))</f>
        <v/>
      </c>
    </row>
    <row r="19166">
      <c r="A19166">
        <f>Input!A19166</f>
        <v/>
      </c>
      <c r="B19166">
        <f>IF(ISNUMBER(Input!B19166),IF(AND(Input!B19166&gt;=20,Input!B19166&lt;=700),Input!B19166,""),"")</f>
        <v/>
      </c>
      <c r="C19166">
        <f>IF(B19166="","",INT(A19166))</f>
        <v/>
      </c>
      <c r="D19166">
        <f>IF(B19166="","",HOUR(A19166))</f>
        <v/>
      </c>
    </row>
    <row r="19167">
      <c r="A19167">
        <f>Input!A19167</f>
        <v/>
      </c>
      <c r="B19167">
        <f>IF(ISNUMBER(Input!B19167),IF(AND(Input!B19167&gt;=20,Input!B19167&lt;=700),Input!B19167,""),"")</f>
        <v/>
      </c>
      <c r="C19167">
        <f>IF(B19167="","",INT(A19167))</f>
        <v/>
      </c>
      <c r="D19167">
        <f>IF(B19167="","",HOUR(A19167))</f>
        <v/>
      </c>
    </row>
    <row r="19168">
      <c r="A19168">
        <f>Input!A19168</f>
        <v/>
      </c>
      <c r="B19168">
        <f>IF(ISNUMBER(Input!B19168),IF(AND(Input!B19168&gt;=20,Input!B19168&lt;=700),Input!B19168,""),"")</f>
        <v/>
      </c>
      <c r="C19168">
        <f>IF(B19168="","",INT(A19168))</f>
        <v/>
      </c>
      <c r="D19168">
        <f>IF(B19168="","",HOUR(A19168))</f>
        <v/>
      </c>
    </row>
    <row r="19169">
      <c r="A19169">
        <f>Input!A19169</f>
        <v/>
      </c>
      <c r="B19169">
        <f>IF(ISNUMBER(Input!B19169),IF(AND(Input!B19169&gt;=20,Input!B19169&lt;=700),Input!B19169,""),"")</f>
        <v/>
      </c>
      <c r="C19169">
        <f>IF(B19169="","",INT(A19169))</f>
        <v/>
      </c>
      <c r="D19169">
        <f>IF(B19169="","",HOUR(A19169))</f>
        <v/>
      </c>
    </row>
    <row r="19170">
      <c r="A19170">
        <f>Input!A19170</f>
        <v/>
      </c>
      <c r="B19170">
        <f>IF(ISNUMBER(Input!B19170),IF(AND(Input!B19170&gt;=20,Input!B19170&lt;=700),Input!B19170,""),"")</f>
        <v/>
      </c>
      <c r="C19170">
        <f>IF(B19170="","",INT(A19170))</f>
        <v/>
      </c>
      <c r="D19170">
        <f>IF(B19170="","",HOUR(A19170))</f>
        <v/>
      </c>
    </row>
    <row r="19171">
      <c r="A19171">
        <f>Input!A19171</f>
        <v/>
      </c>
      <c r="B19171">
        <f>IF(ISNUMBER(Input!B19171),IF(AND(Input!B19171&gt;=20,Input!B19171&lt;=700),Input!B19171,""),"")</f>
        <v/>
      </c>
      <c r="C19171">
        <f>IF(B19171="","",INT(A19171))</f>
        <v/>
      </c>
      <c r="D19171">
        <f>IF(B19171="","",HOUR(A19171))</f>
        <v/>
      </c>
    </row>
    <row r="19172">
      <c r="A19172">
        <f>Input!A19172</f>
        <v/>
      </c>
      <c r="B19172">
        <f>IF(ISNUMBER(Input!B19172),IF(AND(Input!B19172&gt;=20,Input!B19172&lt;=700),Input!B19172,""),"")</f>
        <v/>
      </c>
      <c r="C19172">
        <f>IF(B19172="","",INT(A19172))</f>
        <v/>
      </c>
      <c r="D19172">
        <f>IF(B19172="","",HOUR(A19172))</f>
        <v/>
      </c>
    </row>
    <row r="19173">
      <c r="A19173">
        <f>Input!A19173</f>
        <v/>
      </c>
      <c r="B19173">
        <f>IF(ISNUMBER(Input!B19173),IF(AND(Input!B19173&gt;=20,Input!B19173&lt;=700),Input!B19173,""),"")</f>
        <v/>
      </c>
      <c r="C19173">
        <f>IF(B19173="","",INT(A19173))</f>
        <v/>
      </c>
      <c r="D19173">
        <f>IF(B19173="","",HOUR(A19173))</f>
        <v/>
      </c>
    </row>
    <row r="19174">
      <c r="A19174">
        <f>Input!A19174</f>
        <v/>
      </c>
      <c r="B19174">
        <f>IF(ISNUMBER(Input!B19174),IF(AND(Input!B19174&gt;=20,Input!B19174&lt;=700),Input!B19174,""),"")</f>
        <v/>
      </c>
      <c r="C19174">
        <f>IF(B19174="","",INT(A19174))</f>
        <v/>
      </c>
      <c r="D19174">
        <f>IF(B19174="","",HOUR(A19174))</f>
        <v/>
      </c>
    </row>
    <row r="19175">
      <c r="A19175">
        <f>Input!A19175</f>
        <v/>
      </c>
      <c r="B19175">
        <f>IF(ISNUMBER(Input!B19175),IF(AND(Input!B19175&gt;=20,Input!B19175&lt;=700),Input!B19175,""),"")</f>
        <v/>
      </c>
      <c r="C19175">
        <f>IF(B19175="","",INT(A19175))</f>
        <v/>
      </c>
      <c r="D19175">
        <f>IF(B19175="","",HOUR(A19175))</f>
        <v/>
      </c>
    </row>
    <row r="19176">
      <c r="A19176">
        <f>Input!A19176</f>
        <v/>
      </c>
      <c r="B19176">
        <f>IF(ISNUMBER(Input!B19176),IF(AND(Input!B19176&gt;=20,Input!B19176&lt;=700),Input!B19176,""),"")</f>
        <v/>
      </c>
      <c r="C19176">
        <f>IF(B19176="","",INT(A19176))</f>
        <v/>
      </c>
      <c r="D19176">
        <f>IF(B19176="","",HOUR(A19176))</f>
        <v/>
      </c>
    </row>
    <row r="19177">
      <c r="A19177">
        <f>Input!A19177</f>
        <v/>
      </c>
      <c r="B19177">
        <f>IF(ISNUMBER(Input!B19177),IF(AND(Input!B19177&gt;=20,Input!B19177&lt;=700),Input!B19177,""),"")</f>
        <v/>
      </c>
      <c r="C19177">
        <f>IF(B19177="","",INT(A19177))</f>
        <v/>
      </c>
      <c r="D19177">
        <f>IF(B19177="","",HOUR(A19177))</f>
        <v/>
      </c>
    </row>
    <row r="19178">
      <c r="A19178">
        <f>Input!A19178</f>
        <v/>
      </c>
      <c r="B19178">
        <f>IF(ISNUMBER(Input!B19178),IF(AND(Input!B19178&gt;=20,Input!B19178&lt;=700),Input!B19178,""),"")</f>
        <v/>
      </c>
      <c r="C19178">
        <f>IF(B19178="","",INT(A19178))</f>
        <v/>
      </c>
      <c r="D19178">
        <f>IF(B19178="","",HOUR(A19178))</f>
        <v/>
      </c>
    </row>
    <row r="19179">
      <c r="A19179">
        <f>Input!A19179</f>
        <v/>
      </c>
      <c r="B19179">
        <f>IF(ISNUMBER(Input!B19179),IF(AND(Input!B19179&gt;=20,Input!B19179&lt;=700),Input!B19179,""),"")</f>
        <v/>
      </c>
      <c r="C19179">
        <f>IF(B19179="","",INT(A19179))</f>
        <v/>
      </c>
      <c r="D19179">
        <f>IF(B19179="","",HOUR(A19179))</f>
        <v/>
      </c>
    </row>
    <row r="19180">
      <c r="A19180">
        <f>Input!A19180</f>
        <v/>
      </c>
      <c r="B19180">
        <f>IF(ISNUMBER(Input!B19180),IF(AND(Input!B19180&gt;=20,Input!B19180&lt;=700),Input!B19180,""),"")</f>
        <v/>
      </c>
      <c r="C19180">
        <f>IF(B19180="","",INT(A19180))</f>
        <v/>
      </c>
      <c r="D19180">
        <f>IF(B19180="","",HOUR(A19180))</f>
        <v/>
      </c>
    </row>
    <row r="19181">
      <c r="A19181">
        <f>Input!A19181</f>
        <v/>
      </c>
      <c r="B19181">
        <f>IF(ISNUMBER(Input!B19181),IF(AND(Input!B19181&gt;=20,Input!B19181&lt;=700),Input!B19181,""),"")</f>
        <v/>
      </c>
      <c r="C19181">
        <f>IF(B19181="","",INT(A19181))</f>
        <v/>
      </c>
      <c r="D19181">
        <f>IF(B19181="","",HOUR(A19181))</f>
        <v/>
      </c>
    </row>
    <row r="19182">
      <c r="A19182">
        <f>Input!A19182</f>
        <v/>
      </c>
      <c r="B19182">
        <f>IF(ISNUMBER(Input!B19182),IF(AND(Input!B19182&gt;=20,Input!B19182&lt;=700),Input!B19182,""),"")</f>
        <v/>
      </c>
      <c r="C19182">
        <f>IF(B19182="","",INT(A19182))</f>
        <v/>
      </c>
      <c r="D19182">
        <f>IF(B19182="","",HOUR(A19182))</f>
        <v/>
      </c>
    </row>
    <row r="19183">
      <c r="A19183">
        <f>Input!A19183</f>
        <v/>
      </c>
      <c r="B19183">
        <f>IF(ISNUMBER(Input!B19183),IF(AND(Input!B19183&gt;=20,Input!B19183&lt;=700),Input!B19183,""),"")</f>
        <v/>
      </c>
      <c r="C19183">
        <f>IF(B19183="","",INT(A19183))</f>
        <v/>
      </c>
      <c r="D19183">
        <f>IF(B19183="","",HOUR(A19183))</f>
        <v/>
      </c>
    </row>
    <row r="19184">
      <c r="A19184">
        <f>Input!A19184</f>
        <v/>
      </c>
      <c r="B19184">
        <f>IF(ISNUMBER(Input!B19184),IF(AND(Input!B19184&gt;=20,Input!B19184&lt;=700),Input!B19184,""),"")</f>
        <v/>
      </c>
      <c r="C19184">
        <f>IF(B19184="","",INT(A19184))</f>
        <v/>
      </c>
      <c r="D19184">
        <f>IF(B19184="","",HOUR(A19184))</f>
        <v/>
      </c>
    </row>
    <row r="19185">
      <c r="A19185">
        <f>Input!A19185</f>
        <v/>
      </c>
      <c r="B19185">
        <f>IF(ISNUMBER(Input!B19185),IF(AND(Input!B19185&gt;=20,Input!B19185&lt;=700),Input!B19185,""),"")</f>
        <v/>
      </c>
      <c r="C19185">
        <f>IF(B19185="","",INT(A19185))</f>
        <v/>
      </c>
      <c r="D19185">
        <f>IF(B19185="","",HOUR(A19185))</f>
        <v/>
      </c>
    </row>
    <row r="19186">
      <c r="A19186">
        <f>Input!A19186</f>
        <v/>
      </c>
      <c r="B19186">
        <f>IF(ISNUMBER(Input!B19186),IF(AND(Input!B19186&gt;=20,Input!B19186&lt;=700),Input!B19186,""),"")</f>
        <v/>
      </c>
      <c r="C19186">
        <f>IF(B19186="","",INT(A19186))</f>
        <v/>
      </c>
      <c r="D19186">
        <f>IF(B19186="","",HOUR(A19186))</f>
        <v/>
      </c>
    </row>
    <row r="19187">
      <c r="A19187">
        <f>Input!A19187</f>
        <v/>
      </c>
      <c r="B19187">
        <f>IF(ISNUMBER(Input!B19187),IF(AND(Input!B19187&gt;=20,Input!B19187&lt;=700),Input!B19187,""),"")</f>
        <v/>
      </c>
      <c r="C19187">
        <f>IF(B19187="","",INT(A19187))</f>
        <v/>
      </c>
      <c r="D19187">
        <f>IF(B19187="","",HOUR(A19187))</f>
        <v/>
      </c>
    </row>
    <row r="19188">
      <c r="A19188">
        <f>Input!A19188</f>
        <v/>
      </c>
      <c r="B19188">
        <f>IF(ISNUMBER(Input!B19188),IF(AND(Input!B19188&gt;=20,Input!B19188&lt;=700),Input!B19188,""),"")</f>
        <v/>
      </c>
      <c r="C19188">
        <f>IF(B19188="","",INT(A19188))</f>
        <v/>
      </c>
      <c r="D19188">
        <f>IF(B19188="","",HOUR(A19188))</f>
        <v/>
      </c>
    </row>
    <row r="19189">
      <c r="A19189">
        <f>Input!A19189</f>
        <v/>
      </c>
      <c r="B19189">
        <f>IF(ISNUMBER(Input!B19189),IF(AND(Input!B19189&gt;=20,Input!B19189&lt;=700),Input!B19189,""),"")</f>
        <v/>
      </c>
      <c r="C19189">
        <f>IF(B19189="","",INT(A19189))</f>
        <v/>
      </c>
      <c r="D19189">
        <f>IF(B19189="","",HOUR(A19189))</f>
        <v/>
      </c>
    </row>
    <row r="19190">
      <c r="A19190">
        <f>Input!A19190</f>
        <v/>
      </c>
      <c r="B19190">
        <f>IF(ISNUMBER(Input!B19190),IF(AND(Input!B19190&gt;=20,Input!B19190&lt;=700),Input!B19190,""),"")</f>
        <v/>
      </c>
      <c r="C19190">
        <f>IF(B19190="","",INT(A19190))</f>
        <v/>
      </c>
      <c r="D19190">
        <f>IF(B19190="","",HOUR(A19190))</f>
        <v/>
      </c>
    </row>
    <row r="19191">
      <c r="A19191">
        <f>Input!A19191</f>
        <v/>
      </c>
      <c r="B19191">
        <f>IF(ISNUMBER(Input!B19191),IF(AND(Input!B19191&gt;=20,Input!B19191&lt;=700),Input!B19191,""),"")</f>
        <v/>
      </c>
      <c r="C19191">
        <f>IF(B19191="","",INT(A19191))</f>
        <v/>
      </c>
      <c r="D19191">
        <f>IF(B19191="","",HOUR(A19191))</f>
        <v/>
      </c>
    </row>
    <row r="19192">
      <c r="A19192">
        <f>Input!A19192</f>
        <v/>
      </c>
      <c r="B19192">
        <f>IF(ISNUMBER(Input!B19192),IF(AND(Input!B19192&gt;=20,Input!B19192&lt;=700),Input!B19192,""),"")</f>
        <v/>
      </c>
      <c r="C19192">
        <f>IF(B19192="","",INT(A19192))</f>
        <v/>
      </c>
      <c r="D19192">
        <f>IF(B19192="","",HOUR(A19192))</f>
        <v/>
      </c>
    </row>
    <row r="19193">
      <c r="A19193">
        <f>Input!A19193</f>
        <v/>
      </c>
      <c r="B19193">
        <f>IF(ISNUMBER(Input!B19193),IF(AND(Input!B19193&gt;=20,Input!B19193&lt;=700),Input!B19193,""),"")</f>
        <v/>
      </c>
      <c r="C19193">
        <f>IF(B19193="","",INT(A19193))</f>
        <v/>
      </c>
      <c r="D19193">
        <f>IF(B19193="","",HOUR(A19193))</f>
        <v/>
      </c>
    </row>
    <row r="19194">
      <c r="A19194">
        <f>Input!A19194</f>
        <v/>
      </c>
      <c r="B19194">
        <f>IF(ISNUMBER(Input!B19194),IF(AND(Input!B19194&gt;=20,Input!B19194&lt;=700),Input!B19194,""),"")</f>
        <v/>
      </c>
      <c r="C19194">
        <f>IF(B19194="","",INT(A19194))</f>
        <v/>
      </c>
      <c r="D19194">
        <f>IF(B19194="","",HOUR(A19194))</f>
        <v/>
      </c>
    </row>
    <row r="19195">
      <c r="A19195">
        <f>Input!A19195</f>
        <v/>
      </c>
      <c r="B19195">
        <f>IF(ISNUMBER(Input!B19195),IF(AND(Input!B19195&gt;=20,Input!B19195&lt;=700),Input!B19195,""),"")</f>
        <v/>
      </c>
      <c r="C19195">
        <f>IF(B19195="","",INT(A19195))</f>
        <v/>
      </c>
      <c r="D19195">
        <f>IF(B19195="","",HOUR(A19195))</f>
        <v/>
      </c>
    </row>
    <row r="19196">
      <c r="A19196">
        <f>Input!A19196</f>
        <v/>
      </c>
      <c r="B19196">
        <f>IF(ISNUMBER(Input!B19196),IF(AND(Input!B19196&gt;=20,Input!B19196&lt;=700),Input!B19196,""),"")</f>
        <v/>
      </c>
      <c r="C19196">
        <f>IF(B19196="","",INT(A19196))</f>
        <v/>
      </c>
      <c r="D19196">
        <f>IF(B19196="","",HOUR(A19196))</f>
        <v/>
      </c>
    </row>
    <row r="19197">
      <c r="A19197">
        <f>Input!A19197</f>
        <v/>
      </c>
      <c r="B19197">
        <f>IF(ISNUMBER(Input!B19197),IF(AND(Input!B19197&gt;=20,Input!B19197&lt;=700),Input!B19197,""),"")</f>
        <v/>
      </c>
      <c r="C19197">
        <f>IF(B19197="","",INT(A19197))</f>
        <v/>
      </c>
      <c r="D19197">
        <f>IF(B19197="","",HOUR(A19197))</f>
        <v/>
      </c>
    </row>
    <row r="19198">
      <c r="A19198">
        <f>Input!A19198</f>
        <v/>
      </c>
      <c r="B19198">
        <f>IF(ISNUMBER(Input!B19198),IF(AND(Input!B19198&gt;=20,Input!B19198&lt;=700),Input!B19198,""),"")</f>
        <v/>
      </c>
      <c r="C19198">
        <f>IF(B19198="","",INT(A19198))</f>
        <v/>
      </c>
      <c r="D19198">
        <f>IF(B19198="","",HOUR(A19198))</f>
        <v/>
      </c>
    </row>
    <row r="19199">
      <c r="A19199">
        <f>Input!A19199</f>
        <v/>
      </c>
      <c r="B19199">
        <f>IF(ISNUMBER(Input!B19199),IF(AND(Input!B19199&gt;=20,Input!B19199&lt;=700),Input!B19199,""),"")</f>
        <v/>
      </c>
      <c r="C19199">
        <f>IF(B19199="","",INT(A19199))</f>
        <v/>
      </c>
      <c r="D19199">
        <f>IF(B19199="","",HOUR(A19199))</f>
        <v/>
      </c>
    </row>
    <row r="19200">
      <c r="A19200">
        <f>Input!A19200</f>
        <v/>
      </c>
      <c r="B19200">
        <f>IF(ISNUMBER(Input!B19200),IF(AND(Input!B19200&gt;=20,Input!B19200&lt;=700),Input!B19200,""),"")</f>
        <v/>
      </c>
      <c r="C19200">
        <f>IF(B19200="","",INT(A19200))</f>
        <v/>
      </c>
      <c r="D19200">
        <f>IF(B19200="","",HOUR(A19200))</f>
        <v/>
      </c>
    </row>
    <row r="19201">
      <c r="A19201">
        <f>Input!A19201</f>
        <v/>
      </c>
      <c r="B19201">
        <f>IF(ISNUMBER(Input!B19201),IF(AND(Input!B19201&gt;=20,Input!B19201&lt;=700),Input!B19201,""),"")</f>
        <v/>
      </c>
      <c r="C19201">
        <f>IF(B19201="","",INT(A19201))</f>
        <v/>
      </c>
      <c r="D19201">
        <f>IF(B19201="","",HOUR(A19201))</f>
        <v/>
      </c>
    </row>
    <row r="19202">
      <c r="A19202">
        <f>Input!A19202</f>
        <v/>
      </c>
      <c r="B19202">
        <f>IF(ISNUMBER(Input!B19202),IF(AND(Input!B19202&gt;=20,Input!B19202&lt;=700),Input!B19202,""),"")</f>
        <v/>
      </c>
      <c r="C19202">
        <f>IF(B19202="","",INT(A19202))</f>
        <v/>
      </c>
      <c r="D19202">
        <f>IF(B19202="","",HOUR(A19202))</f>
        <v/>
      </c>
    </row>
    <row r="19203">
      <c r="A19203">
        <f>Input!A19203</f>
        <v/>
      </c>
      <c r="B19203">
        <f>IF(ISNUMBER(Input!B19203),IF(AND(Input!B19203&gt;=20,Input!B19203&lt;=700),Input!B19203,""),"")</f>
        <v/>
      </c>
      <c r="C19203">
        <f>IF(B19203="","",INT(A19203))</f>
        <v/>
      </c>
      <c r="D19203">
        <f>IF(B19203="","",HOUR(A19203))</f>
        <v/>
      </c>
    </row>
    <row r="19204">
      <c r="A19204">
        <f>Input!A19204</f>
        <v/>
      </c>
      <c r="B19204">
        <f>IF(ISNUMBER(Input!B19204),IF(AND(Input!B19204&gt;=20,Input!B19204&lt;=700),Input!B19204,""),"")</f>
        <v/>
      </c>
      <c r="C19204">
        <f>IF(B19204="","",INT(A19204))</f>
        <v/>
      </c>
      <c r="D19204">
        <f>IF(B19204="","",HOUR(A19204))</f>
        <v/>
      </c>
    </row>
    <row r="19205">
      <c r="A19205">
        <f>Input!A19205</f>
        <v/>
      </c>
      <c r="B19205">
        <f>IF(ISNUMBER(Input!B19205),IF(AND(Input!B19205&gt;=20,Input!B19205&lt;=700),Input!B19205,""),"")</f>
        <v/>
      </c>
      <c r="C19205">
        <f>IF(B19205="","",INT(A19205))</f>
        <v/>
      </c>
      <c r="D19205">
        <f>IF(B19205="","",HOUR(A19205))</f>
        <v/>
      </c>
    </row>
    <row r="19206">
      <c r="A19206">
        <f>Input!A19206</f>
        <v/>
      </c>
      <c r="B19206">
        <f>IF(ISNUMBER(Input!B19206),IF(AND(Input!B19206&gt;=20,Input!B19206&lt;=700),Input!B19206,""),"")</f>
        <v/>
      </c>
      <c r="C19206">
        <f>IF(B19206="","",INT(A19206))</f>
        <v/>
      </c>
      <c r="D19206">
        <f>IF(B19206="","",HOUR(A19206))</f>
        <v/>
      </c>
    </row>
    <row r="19207">
      <c r="A19207">
        <f>Input!A19207</f>
        <v/>
      </c>
      <c r="B19207">
        <f>IF(ISNUMBER(Input!B19207),IF(AND(Input!B19207&gt;=20,Input!B19207&lt;=700),Input!B19207,""),"")</f>
        <v/>
      </c>
      <c r="C19207">
        <f>IF(B19207="","",INT(A19207))</f>
        <v/>
      </c>
      <c r="D19207">
        <f>IF(B19207="","",HOUR(A19207))</f>
        <v/>
      </c>
    </row>
    <row r="19208">
      <c r="A19208">
        <f>Input!A19208</f>
        <v/>
      </c>
      <c r="B19208">
        <f>IF(ISNUMBER(Input!B19208),IF(AND(Input!B19208&gt;=20,Input!B19208&lt;=700),Input!B19208,""),"")</f>
        <v/>
      </c>
      <c r="C19208">
        <f>IF(B19208="","",INT(A19208))</f>
        <v/>
      </c>
      <c r="D19208">
        <f>IF(B19208="","",HOUR(A19208))</f>
        <v/>
      </c>
    </row>
    <row r="19209">
      <c r="A19209">
        <f>Input!A19209</f>
        <v/>
      </c>
      <c r="B19209">
        <f>IF(ISNUMBER(Input!B19209),IF(AND(Input!B19209&gt;=20,Input!B19209&lt;=700),Input!B19209,""),"")</f>
        <v/>
      </c>
      <c r="C19209">
        <f>IF(B19209="","",INT(A19209))</f>
        <v/>
      </c>
      <c r="D19209">
        <f>IF(B19209="","",HOUR(A19209))</f>
        <v/>
      </c>
    </row>
    <row r="19210">
      <c r="A19210">
        <f>Input!A19210</f>
        <v/>
      </c>
      <c r="B19210">
        <f>IF(ISNUMBER(Input!B19210),IF(AND(Input!B19210&gt;=20,Input!B19210&lt;=700),Input!B19210,""),"")</f>
        <v/>
      </c>
      <c r="C19210">
        <f>IF(B19210="","",INT(A19210))</f>
        <v/>
      </c>
      <c r="D19210">
        <f>IF(B19210="","",HOUR(A19210))</f>
        <v/>
      </c>
    </row>
    <row r="19211">
      <c r="A19211">
        <f>Input!A19211</f>
        <v/>
      </c>
      <c r="B19211">
        <f>IF(ISNUMBER(Input!B19211),IF(AND(Input!B19211&gt;=20,Input!B19211&lt;=700),Input!B19211,""),"")</f>
        <v/>
      </c>
      <c r="C19211">
        <f>IF(B19211="","",INT(A19211))</f>
        <v/>
      </c>
      <c r="D19211">
        <f>IF(B19211="","",HOUR(A19211))</f>
        <v/>
      </c>
    </row>
    <row r="19212">
      <c r="A19212">
        <f>Input!A19212</f>
        <v/>
      </c>
      <c r="B19212">
        <f>IF(ISNUMBER(Input!B19212),IF(AND(Input!B19212&gt;=20,Input!B19212&lt;=700),Input!B19212,""),"")</f>
        <v/>
      </c>
      <c r="C19212">
        <f>IF(B19212="","",INT(A19212))</f>
        <v/>
      </c>
      <c r="D19212">
        <f>IF(B19212="","",HOUR(A19212))</f>
        <v/>
      </c>
    </row>
    <row r="19213">
      <c r="A19213">
        <f>Input!A19213</f>
        <v/>
      </c>
      <c r="B19213">
        <f>IF(ISNUMBER(Input!B19213),IF(AND(Input!B19213&gt;=20,Input!B19213&lt;=700),Input!B19213,""),"")</f>
        <v/>
      </c>
      <c r="C19213">
        <f>IF(B19213="","",INT(A19213))</f>
        <v/>
      </c>
      <c r="D19213">
        <f>IF(B19213="","",HOUR(A19213))</f>
        <v/>
      </c>
    </row>
    <row r="19214">
      <c r="A19214">
        <f>Input!A19214</f>
        <v/>
      </c>
      <c r="B19214">
        <f>IF(ISNUMBER(Input!B19214),IF(AND(Input!B19214&gt;=20,Input!B19214&lt;=700),Input!B19214,""),"")</f>
        <v/>
      </c>
      <c r="C19214">
        <f>IF(B19214="","",INT(A19214))</f>
        <v/>
      </c>
      <c r="D19214">
        <f>IF(B19214="","",HOUR(A19214))</f>
        <v/>
      </c>
    </row>
    <row r="19215">
      <c r="A19215">
        <f>Input!A19215</f>
        <v/>
      </c>
      <c r="B19215">
        <f>IF(ISNUMBER(Input!B19215),IF(AND(Input!B19215&gt;=20,Input!B19215&lt;=700),Input!B19215,""),"")</f>
        <v/>
      </c>
      <c r="C19215">
        <f>IF(B19215="","",INT(A19215))</f>
        <v/>
      </c>
      <c r="D19215">
        <f>IF(B19215="","",HOUR(A19215))</f>
        <v/>
      </c>
    </row>
    <row r="19216">
      <c r="A19216">
        <f>Input!A19216</f>
        <v/>
      </c>
      <c r="B19216">
        <f>IF(ISNUMBER(Input!B19216),IF(AND(Input!B19216&gt;=20,Input!B19216&lt;=700),Input!B19216,""),"")</f>
        <v/>
      </c>
      <c r="C19216">
        <f>IF(B19216="","",INT(A19216))</f>
        <v/>
      </c>
      <c r="D19216">
        <f>IF(B19216="","",HOUR(A19216))</f>
        <v/>
      </c>
    </row>
    <row r="19217">
      <c r="A19217">
        <f>Input!A19217</f>
        <v/>
      </c>
      <c r="B19217">
        <f>IF(ISNUMBER(Input!B19217),IF(AND(Input!B19217&gt;=20,Input!B19217&lt;=700),Input!B19217,""),"")</f>
        <v/>
      </c>
      <c r="C19217">
        <f>IF(B19217="","",INT(A19217))</f>
        <v/>
      </c>
      <c r="D19217">
        <f>IF(B19217="","",HOUR(A19217))</f>
        <v/>
      </c>
    </row>
    <row r="19218">
      <c r="A19218">
        <f>Input!A19218</f>
        <v/>
      </c>
      <c r="B19218">
        <f>IF(ISNUMBER(Input!B19218),IF(AND(Input!B19218&gt;=20,Input!B19218&lt;=700),Input!B19218,""),"")</f>
        <v/>
      </c>
      <c r="C19218">
        <f>IF(B19218="","",INT(A19218))</f>
        <v/>
      </c>
      <c r="D19218">
        <f>IF(B19218="","",HOUR(A19218))</f>
        <v/>
      </c>
    </row>
    <row r="19219">
      <c r="A19219">
        <f>Input!A19219</f>
        <v/>
      </c>
      <c r="B19219">
        <f>IF(ISNUMBER(Input!B19219),IF(AND(Input!B19219&gt;=20,Input!B19219&lt;=700),Input!B19219,""),"")</f>
        <v/>
      </c>
      <c r="C19219">
        <f>IF(B19219="","",INT(A19219))</f>
        <v/>
      </c>
      <c r="D19219">
        <f>IF(B19219="","",HOUR(A19219))</f>
        <v/>
      </c>
    </row>
    <row r="19220">
      <c r="A19220">
        <f>Input!A19220</f>
        <v/>
      </c>
      <c r="B19220">
        <f>IF(ISNUMBER(Input!B19220),IF(AND(Input!B19220&gt;=20,Input!B19220&lt;=700),Input!B19220,""),"")</f>
        <v/>
      </c>
      <c r="C19220">
        <f>IF(B19220="","",INT(A19220))</f>
        <v/>
      </c>
      <c r="D19220">
        <f>IF(B19220="","",HOUR(A19220))</f>
        <v/>
      </c>
    </row>
    <row r="19221">
      <c r="A19221">
        <f>Input!A19221</f>
        <v/>
      </c>
      <c r="B19221">
        <f>IF(ISNUMBER(Input!B19221),IF(AND(Input!B19221&gt;=20,Input!B19221&lt;=700),Input!B19221,""),"")</f>
        <v/>
      </c>
      <c r="C19221">
        <f>IF(B19221="","",INT(A19221))</f>
        <v/>
      </c>
      <c r="D19221">
        <f>IF(B19221="","",HOUR(A19221))</f>
        <v/>
      </c>
    </row>
    <row r="19222">
      <c r="A19222">
        <f>Input!A19222</f>
        <v/>
      </c>
      <c r="B19222">
        <f>IF(ISNUMBER(Input!B19222),IF(AND(Input!B19222&gt;=20,Input!B19222&lt;=700),Input!B19222,""),"")</f>
        <v/>
      </c>
      <c r="C19222">
        <f>IF(B19222="","",INT(A19222))</f>
        <v/>
      </c>
      <c r="D19222">
        <f>IF(B19222="","",HOUR(A19222))</f>
        <v/>
      </c>
    </row>
    <row r="19223">
      <c r="A19223">
        <f>Input!A19223</f>
        <v/>
      </c>
      <c r="B19223">
        <f>IF(ISNUMBER(Input!B19223),IF(AND(Input!B19223&gt;=20,Input!B19223&lt;=700),Input!B19223,""),"")</f>
        <v/>
      </c>
      <c r="C19223">
        <f>IF(B19223="","",INT(A19223))</f>
        <v/>
      </c>
      <c r="D19223">
        <f>IF(B19223="","",HOUR(A19223))</f>
        <v/>
      </c>
    </row>
    <row r="19224">
      <c r="A19224">
        <f>Input!A19224</f>
        <v/>
      </c>
      <c r="B19224">
        <f>IF(ISNUMBER(Input!B19224),IF(AND(Input!B19224&gt;=20,Input!B19224&lt;=700),Input!B19224,""),"")</f>
        <v/>
      </c>
      <c r="C19224">
        <f>IF(B19224="","",INT(A19224))</f>
        <v/>
      </c>
      <c r="D19224">
        <f>IF(B19224="","",HOUR(A19224))</f>
        <v/>
      </c>
    </row>
    <row r="19225">
      <c r="A19225">
        <f>Input!A19225</f>
        <v/>
      </c>
      <c r="B19225">
        <f>IF(ISNUMBER(Input!B19225),IF(AND(Input!B19225&gt;=20,Input!B19225&lt;=700),Input!B19225,""),"")</f>
        <v/>
      </c>
      <c r="C19225">
        <f>IF(B19225="","",INT(A19225))</f>
        <v/>
      </c>
      <c r="D19225">
        <f>IF(B19225="","",HOUR(A19225))</f>
        <v/>
      </c>
    </row>
    <row r="19226">
      <c r="A19226">
        <f>Input!A19226</f>
        <v/>
      </c>
      <c r="B19226">
        <f>IF(ISNUMBER(Input!B19226),IF(AND(Input!B19226&gt;=20,Input!B19226&lt;=700),Input!B19226,""),"")</f>
        <v/>
      </c>
      <c r="C19226">
        <f>IF(B19226="","",INT(A19226))</f>
        <v/>
      </c>
      <c r="D19226">
        <f>IF(B19226="","",HOUR(A19226))</f>
        <v/>
      </c>
    </row>
    <row r="19227">
      <c r="A19227">
        <f>Input!A19227</f>
        <v/>
      </c>
      <c r="B19227">
        <f>IF(ISNUMBER(Input!B19227),IF(AND(Input!B19227&gt;=20,Input!B19227&lt;=700),Input!B19227,""),"")</f>
        <v/>
      </c>
      <c r="C19227">
        <f>IF(B19227="","",INT(A19227))</f>
        <v/>
      </c>
      <c r="D19227">
        <f>IF(B19227="","",HOUR(A19227))</f>
        <v/>
      </c>
    </row>
    <row r="19228">
      <c r="A19228">
        <f>Input!A19228</f>
        <v/>
      </c>
      <c r="B19228">
        <f>IF(ISNUMBER(Input!B19228),IF(AND(Input!B19228&gt;=20,Input!B19228&lt;=700),Input!B19228,""),"")</f>
        <v/>
      </c>
      <c r="C19228">
        <f>IF(B19228="","",INT(A19228))</f>
        <v/>
      </c>
      <c r="D19228">
        <f>IF(B19228="","",HOUR(A19228))</f>
        <v/>
      </c>
    </row>
    <row r="19229">
      <c r="A19229">
        <f>Input!A19229</f>
        <v/>
      </c>
      <c r="B19229">
        <f>IF(ISNUMBER(Input!B19229),IF(AND(Input!B19229&gt;=20,Input!B19229&lt;=700),Input!B19229,""),"")</f>
        <v/>
      </c>
      <c r="C19229">
        <f>IF(B19229="","",INT(A19229))</f>
        <v/>
      </c>
      <c r="D19229">
        <f>IF(B19229="","",HOUR(A19229))</f>
        <v/>
      </c>
    </row>
    <row r="19230">
      <c r="A19230">
        <f>Input!A19230</f>
        <v/>
      </c>
      <c r="B19230">
        <f>IF(ISNUMBER(Input!B19230),IF(AND(Input!B19230&gt;=20,Input!B19230&lt;=700),Input!B19230,""),"")</f>
        <v/>
      </c>
      <c r="C19230">
        <f>IF(B19230="","",INT(A19230))</f>
        <v/>
      </c>
      <c r="D19230">
        <f>IF(B19230="","",HOUR(A19230))</f>
        <v/>
      </c>
    </row>
    <row r="19231">
      <c r="A19231">
        <f>Input!A19231</f>
        <v/>
      </c>
      <c r="B19231">
        <f>IF(ISNUMBER(Input!B19231),IF(AND(Input!B19231&gt;=20,Input!B19231&lt;=700),Input!B19231,""),"")</f>
        <v/>
      </c>
      <c r="C19231">
        <f>IF(B19231="","",INT(A19231))</f>
        <v/>
      </c>
      <c r="D19231">
        <f>IF(B19231="","",HOUR(A19231))</f>
        <v/>
      </c>
    </row>
    <row r="19232">
      <c r="A19232">
        <f>Input!A19232</f>
        <v/>
      </c>
      <c r="B19232">
        <f>IF(ISNUMBER(Input!B19232),IF(AND(Input!B19232&gt;=20,Input!B19232&lt;=700),Input!B19232,""),"")</f>
        <v/>
      </c>
      <c r="C19232">
        <f>IF(B19232="","",INT(A19232))</f>
        <v/>
      </c>
      <c r="D19232">
        <f>IF(B19232="","",HOUR(A19232))</f>
        <v/>
      </c>
    </row>
    <row r="19233">
      <c r="A19233">
        <f>Input!A19233</f>
        <v/>
      </c>
      <c r="B19233">
        <f>IF(ISNUMBER(Input!B19233),IF(AND(Input!B19233&gt;=20,Input!B19233&lt;=700),Input!B19233,""),"")</f>
        <v/>
      </c>
      <c r="C19233">
        <f>IF(B19233="","",INT(A19233))</f>
        <v/>
      </c>
      <c r="D19233">
        <f>IF(B19233="","",HOUR(A19233))</f>
        <v/>
      </c>
    </row>
    <row r="19234">
      <c r="A19234">
        <f>Input!A19234</f>
        <v/>
      </c>
      <c r="B19234">
        <f>IF(ISNUMBER(Input!B19234),IF(AND(Input!B19234&gt;=20,Input!B19234&lt;=700),Input!B19234,""),"")</f>
        <v/>
      </c>
      <c r="C19234">
        <f>IF(B19234="","",INT(A19234))</f>
        <v/>
      </c>
      <c r="D19234">
        <f>IF(B19234="","",HOUR(A19234))</f>
        <v/>
      </c>
    </row>
    <row r="19235">
      <c r="A19235">
        <f>Input!A19235</f>
        <v/>
      </c>
      <c r="B19235">
        <f>IF(ISNUMBER(Input!B19235),IF(AND(Input!B19235&gt;=20,Input!B19235&lt;=700),Input!B19235,""),"")</f>
        <v/>
      </c>
      <c r="C19235">
        <f>IF(B19235="","",INT(A19235))</f>
        <v/>
      </c>
      <c r="D19235">
        <f>IF(B19235="","",HOUR(A19235))</f>
        <v/>
      </c>
    </row>
    <row r="19236">
      <c r="A19236">
        <f>Input!A19236</f>
        <v/>
      </c>
      <c r="B19236">
        <f>IF(ISNUMBER(Input!B19236),IF(AND(Input!B19236&gt;=20,Input!B19236&lt;=700),Input!B19236,""),"")</f>
        <v/>
      </c>
      <c r="C19236">
        <f>IF(B19236="","",INT(A19236))</f>
        <v/>
      </c>
      <c r="D19236">
        <f>IF(B19236="","",HOUR(A19236))</f>
        <v/>
      </c>
    </row>
    <row r="19237">
      <c r="A19237">
        <f>Input!A19237</f>
        <v/>
      </c>
      <c r="B19237">
        <f>IF(ISNUMBER(Input!B19237),IF(AND(Input!B19237&gt;=20,Input!B19237&lt;=700),Input!B19237,""),"")</f>
        <v/>
      </c>
      <c r="C19237">
        <f>IF(B19237="","",INT(A19237))</f>
        <v/>
      </c>
      <c r="D19237">
        <f>IF(B19237="","",HOUR(A19237))</f>
        <v/>
      </c>
    </row>
    <row r="19238">
      <c r="A19238">
        <f>Input!A19238</f>
        <v/>
      </c>
      <c r="B19238">
        <f>IF(ISNUMBER(Input!B19238),IF(AND(Input!B19238&gt;=20,Input!B19238&lt;=700),Input!B19238,""),"")</f>
        <v/>
      </c>
      <c r="C19238">
        <f>IF(B19238="","",INT(A19238))</f>
        <v/>
      </c>
      <c r="D19238">
        <f>IF(B19238="","",HOUR(A19238))</f>
        <v/>
      </c>
    </row>
    <row r="19239">
      <c r="A19239">
        <f>Input!A19239</f>
        <v/>
      </c>
      <c r="B19239">
        <f>IF(ISNUMBER(Input!B19239),IF(AND(Input!B19239&gt;=20,Input!B19239&lt;=700),Input!B19239,""),"")</f>
        <v/>
      </c>
      <c r="C19239">
        <f>IF(B19239="","",INT(A19239))</f>
        <v/>
      </c>
      <c r="D19239">
        <f>IF(B19239="","",HOUR(A19239))</f>
        <v/>
      </c>
    </row>
    <row r="19240">
      <c r="A19240">
        <f>Input!A19240</f>
        <v/>
      </c>
      <c r="B19240">
        <f>IF(ISNUMBER(Input!B19240),IF(AND(Input!B19240&gt;=20,Input!B19240&lt;=700),Input!B19240,""),"")</f>
        <v/>
      </c>
      <c r="C19240">
        <f>IF(B19240="","",INT(A19240))</f>
        <v/>
      </c>
      <c r="D19240">
        <f>IF(B19240="","",HOUR(A19240))</f>
        <v/>
      </c>
    </row>
    <row r="19241">
      <c r="A19241">
        <f>Input!A19241</f>
        <v/>
      </c>
      <c r="B19241">
        <f>IF(ISNUMBER(Input!B19241),IF(AND(Input!B19241&gt;=20,Input!B19241&lt;=700),Input!B19241,""),"")</f>
        <v/>
      </c>
      <c r="C19241">
        <f>IF(B19241="","",INT(A19241))</f>
        <v/>
      </c>
      <c r="D19241">
        <f>IF(B19241="","",HOUR(A19241))</f>
        <v/>
      </c>
    </row>
    <row r="19242">
      <c r="A19242">
        <f>Input!A19242</f>
        <v/>
      </c>
      <c r="B19242">
        <f>IF(ISNUMBER(Input!B19242),IF(AND(Input!B19242&gt;=20,Input!B19242&lt;=700),Input!B19242,""),"")</f>
        <v/>
      </c>
      <c r="C19242">
        <f>IF(B19242="","",INT(A19242))</f>
        <v/>
      </c>
      <c r="D19242">
        <f>IF(B19242="","",HOUR(A19242))</f>
        <v/>
      </c>
    </row>
    <row r="19243">
      <c r="A19243">
        <f>Input!A19243</f>
        <v/>
      </c>
      <c r="B19243">
        <f>IF(ISNUMBER(Input!B19243),IF(AND(Input!B19243&gt;=20,Input!B19243&lt;=700),Input!B19243,""),"")</f>
        <v/>
      </c>
      <c r="C19243">
        <f>IF(B19243="","",INT(A19243))</f>
        <v/>
      </c>
      <c r="D19243">
        <f>IF(B19243="","",HOUR(A19243))</f>
        <v/>
      </c>
    </row>
    <row r="19244">
      <c r="A19244">
        <f>Input!A19244</f>
        <v/>
      </c>
      <c r="B19244">
        <f>IF(ISNUMBER(Input!B19244),IF(AND(Input!B19244&gt;=20,Input!B19244&lt;=700),Input!B19244,""),"")</f>
        <v/>
      </c>
      <c r="C19244">
        <f>IF(B19244="","",INT(A19244))</f>
        <v/>
      </c>
      <c r="D19244">
        <f>IF(B19244="","",HOUR(A19244))</f>
        <v/>
      </c>
    </row>
    <row r="19245">
      <c r="A19245">
        <f>Input!A19245</f>
        <v/>
      </c>
      <c r="B19245">
        <f>IF(ISNUMBER(Input!B19245),IF(AND(Input!B19245&gt;=20,Input!B19245&lt;=700),Input!B19245,""),"")</f>
        <v/>
      </c>
      <c r="C19245">
        <f>IF(B19245="","",INT(A19245))</f>
        <v/>
      </c>
      <c r="D19245">
        <f>IF(B19245="","",HOUR(A19245))</f>
        <v/>
      </c>
    </row>
    <row r="19246">
      <c r="A19246">
        <f>Input!A19246</f>
        <v/>
      </c>
      <c r="B19246">
        <f>IF(ISNUMBER(Input!B19246),IF(AND(Input!B19246&gt;=20,Input!B19246&lt;=700),Input!B19246,""),"")</f>
        <v/>
      </c>
      <c r="C19246">
        <f>IF(B19246="","",INT(A19246))</f>
        <v/>
      </c>
      <c r="D19246">
        <f>IF(B19246="","",HOUR(A19246))</f>
        <v/>
      </c>
    </row>
    <row r="19247">
      <c r="A19247">
        <f>Input!A19247</f>
        <v/>
      </c>
      <c r="B19247">
        <f>IF(ISNUMBER(Input!B19247),IF(AND(Input!B19247&gt;=20,Input!B19247&lt;=700),Input!B19247,""),"")</f>
        <v/>
      </c>
      <c r="C19247">
        <f>IF(B19247="","",INT(A19247))</f>
        <v/>
      </c>
      <c r="D19247">
        <f>IF(B19247="","",HOUR(A19247))</f>
        <v/>
      </c>
    </row>
    <row r="19248">
      <c r="A19248">
        <f>Input!A19248</f>
        <v/>
      </c>
      <c r="B19248">
        <f>IF(ISNUMBER(Input!B19248),IF(AND(Input!B19248&gt;=20,Input!B19248&lt;=700),Input!B19248,""),"")</f>
        <v/>
      </c>
      <c r="C19248">
        <f>IF(B19248="","",INT(A19248))</f>
        <v/>
      </c>
      <c r="D19248">
        <f>IF(B19248="","",HOUR(A19248))</f>
        <v/>
      </c>
    </row>
    <row r="19249">
      <c r="A19249">
        <f>Input!A19249</f>
        <v/>
      </c>
      <c r="B19249">
        <f>IF(ISNUMBER(Input!B19249),IF(AND(Input!B19249&gt;=20,Input!B19249&lt;=700),Input!B19249,""),"")</f>
        <v/>
      </c>
      <c r="C19249">
        <f>IF(B19249="","",INT(A19249))</f>
        <v/>
      </c>
      <c r="D19249">
        <f>IF(B19249="","",HOUR(A19249))</f>
        <v/>
      </c>
    </row>
    <row r="19250">
      <c r="A19250">
        <f>Input!A19250</f>
        <v/>
      </c>
      <c r="B19250">
        <f>IF(ISNUMBER(Input!B19250),IF(AND(Input!B19250&gt;=20,Input!B19250&lt;=700),Input!B19250,""),"")</f>
        <v/>
      </c>
      <c r="C19250">
        <f>IF(B19250="","",INT(A19250))</f>
        <v/>
      </c>
      <c r="D19250">
        <f>IF(B19250="","",HOUR(A19250))</f>
        <v/>
      </c>
    </row>
    <row r="19251">
      <c r="A19251">
        <f>Input!A19251</f>
        <v/>
      </c>
      <c r="B19251">
        <f>IF(ISNUMBER(Input!B19251),IF(AND(Input!B19251&gt;=20,Input!B19251&lt;=700),Input!B19251,""),"")</f>
        <v/>
      </c>
      <c r="C19251">
        <f>IF(B19251="","",INT(A19251))</f>
        <v/>
      </c>
      <c r="D19251">
        <f>IF(B19251="","",HOUR(A19251))</f>
        <v/>
      </c>
    </row>
    <row r="19252">
      <c r="A19252">
        <f>Input!A19252</f>
        <v/>
      </c>
      <c r="B19252">
        <f>IF(ISNUMBER(Input!B19252),IF(AND(Input!B19252&gt;=20,Input!B19252&lt;=700),Input!B19252,""),"")</f>
        <v/>
      </c>
      <c r="C19252">
        <f>IF(B19252="","",INT(A19252))</f>
        <v/>
      </c>
      <c r="D19252">
        <f>IF(B19252="","",HOUR(A19252))</f>
        <v/>
      </c>
    </row>
    <row r="19253">
      <c r="A19253">
        <f>Input!A19253</f>
        <v/>
      </c>
      <c r="B19253">
        <f>IF(ISNUMBER(Input!B19253),IF(AND(Input!B19253&gt;=20,Input!B19253&lt;=700),Input!B19253,""),"")</f>
        <v/>
      </c>
      <c r="C19253">
        <f>IF(B19253="","",INT(A19253))</f>
        <v/>
      </c>
      <c r="D19253">
        <f>IF(B19253="","",HOUR(A19253))</f>
        <v/>
      </c>
    </row>
    <row r="19254">
      <c r="A19254">
        <f>Input!A19254</f>
        <v/>
      </c>
      <c r="B19254">
        <f>IF(ISNUMBER(Input!B19254),IF(AND(Input!B19254&gt;=20,Input!B19254&lt;=700),Input!B19254,""),"")</f>
        <v/>
      </c>
      <c r="C19254">
        <f>IF(B19254="","",INT(A19254))</f>
        <v/>
      </c>
      <c r="D19254">
        <f>IF(B19254="","",HOUR(A19254))</f>
        <v/>
      </c>
    </row>
    <row r="19255">
      <c r="A19255">
        <f>Input!A19255</f>
        <v/>
      </c>
      <c r="B19255">
        <f>IF(ISNUMBER(Input!B19255),IF(AND(Input!B19255&gt;=20,Input!B19255&lt;=700),Input!B19255,""),"")</f>
        <v/>
      </c>
      <c r="C19255">
        <f>IF(B19255="","",INT(A19255))</f>
        <v/>
      </c>
      <c r="D19255">
        <f>IF(B19255="","",HOUR(A19255))</f>
        <v/>
      </c>
    </row>
    <row r="19256">
      <c r="A19256">
        <f>Input!A19256</f>
        <v/>
      </c>
      <c r="B19256">
        <f>IF(ISNUMBER(Input!B19256),IF(AND(Input!B19256&gt;=20,Input!B19256&lt;=700),Input!B19256,""),"")</f>
        <v/>
      </c>
      <c r="C19256">
        <f>IF(B19256="","",INT(A19256))</f>
        <v/>
      </c>
      <c r="D19256">
        <f>IF(B19256="","",HOUR(A19256))</f>
        <v/>
      </c>
    </row>
    <row r="19257">
      <c r="A19257">
        <f>Input!A19257</f>
        <v/>
      </c>
      <c r="B19257">
        <f>IF(ISNUMBER(Input!B19257),IF(AND(Input!B19257&gt;=20,Input!B19257&lt;=700),Input!B19257,""),"")</f>
        <v/>
      </c>
      <c r="C19257">
        <f>IF(B19257="","",INT(A19257))</f>
        <v/>
      </c>
      <c r="D19257">
        <f>IF(B19257="","",HOUR(A19257))</f>
        <v/>
      </c>
    </row>
    <row r="19258">
      <c r="A19258">
        <f>Input!A19258</f>
        <v/>
      </c>
      <c r="B19258">
        <f>IF(ISNUMBER(Input!B19258),IF(AND(Input!B19258&gt;=20,Input!B19258&lt;=700),Input!B19258,""),"")</f>
        <v/>
      </c>
      <c r="C19258">
        <f>IF(B19258="","",INT(A19258))</f>
        <v/>
      </c>
      <c r="D19258">
        <f>IF(B19258="","",HOUR(A19258))</f>
        <v/>
      </c>
    </row>
    <row r="19259">
      <c r="A19259">
        <f>Input!A19259</f>
        <v/>
      </c>
      <c r="B19259">
        <f>IF(ISNUMBER(Input!B19259),IF(AND(Input!B19259&gt;=20,Input!B19259&lt;=700),Input!B19259,""),"")</f>
        <v/>
      </c>
      <c r="C19259">
        <f>IF(B19259="","",INT(A19259))</f>
        <v/>
      </c>
      <c r="D19259">
        <f>IF(B19259="","",HOUR(A19259))</f>
        <v/>
      </c>
    </row>
    <row r="19260">
      <c r="A19260">
        <f>Input!A19260</f>
        <v/>
      </c>
      <c r="B19260">
        <f>IF(ISNUMBER(Input!B19260),IF(AND(Input!B19260&gt;=20,Input!B19260&lt;=700),Input!B19260,""),"")</f>
        <v/>
      </c>
      <c r="C19260">
        <f>IF(B19260="","",INT(A19260))</f>
        <v/>
      </c>
      <c r="D19260">
        <f>IF(B19260="","",HOUR(A19260))</f>
        <v/>
      </c>
    </row>
    <row r="19261">
      <c r="A19261">
        <f>Input!A19261</f>
        <v/>
      </c>
      <c r="B19261">
        <f>IF(ISNUMBER(Input!B19261),IF(AND(Input!B19261&gt;=20,Input!B19261&lt;=700),Input!B19261,""),"")</f>
        <v/>
      </c>
      <c r="C19261">
        <f>IF(B19261="","",INT(A19261))</f>
        <v/>
      </c>
      <c r="D19261">
        <f>IF(B19261="","",HOUR(A19261))</f>
        <v/>
      </c>
    </row>
    <row r="19262">
      <c r="A19262">
        <f>Input!A19262</f>
        <v/>
      </c>
      <c r="B19262">
        <f>IF(ISNUMBER(Input!B19262),IF(AND(Input!B19262&gt;=20,Input!B19262&lt;=700),Input!B19262,""),"")</f>
        <v/>
      </c>
      <c r="C19262">
        <f>IF(B19262="","",INT(A19262))</f>
        <v/>
      </c>
      <c r="D19262">
        <f>IF(B19262="","",HOUR(A19262))</f>
        <v/>
      </c>
    </row>
    <row r="19263">
      <c r="A19263">
        <f>Input!A19263</f>
        <v/>
      </c>
      <c r="B19263">
        <f>IF(ISNUMBER(Input!B19263),IF(AND(Input!B19263&gt;=20,Input!B19263&lt;=700),Input!B19263,""),"")</f>
        <v/>
      </c>
      <c r="C19263">
        <f>IF(B19263="","",INT(A19263))</f>
        <v/>
      </c>
      <c r="D19263">
        <f>IF(B19263="","",HOUR(A19263))</f>
        <v/>
      </c>
    </row>
    <row r="19264">
      <c r="A19264">
        <f>Input!A19264</f>
        <v/>
      </c>
      <c r="B19264">
        <f>IF(ISNUMBER(Input!B19264),IF(AND(Input!B19264&gt;=20,Input!B19264&lt;=700),Input!B19264,""),"")</f>
        <v/>
      </c>
      <c r="C19264">
        <f>IF(B19264="","",INT(A19264))</f>
        <v/>
      </c>
      <c r="D19264">
        <f>IF(B19264="","",HOUR(A19264))</f>
        <v/>
      </c>
    </row>
    <row r="19265">
      <c r="A19265">
        <f>Input!A19265</f>
        <v/>
      </c>
      <c r="B19265">
        <f>IF(ISNUMBER(Input!B19265),IF(AND(Input!B19265&gt;=20,Input!B19265&lt;=700),Input!B19265,""),"")</f>
        <v/>
      </c>
      <c r="C19265">
        <f>IF(B19265="","",INT(A19265))</f>
        <v/>
      </c>
      <c r="D19265">
        <f>IF(B19265="","",HOUR(A19265))</f>
        <v/>
      </c>
    </row>
    <row r="19266">
      <c r="A19266">
        <f>Input!A19266</f>
        <v/>
      </c>
      <c r="B19266">
        <f>IF(ISNUMBER(Input!B19266),IF(AND(Input!B19266&gt;=20,Input!B19266&lt;=700),Input!B19266,""),"")</f>
        <v/>
      </c>
      <c r="C19266">
        <f>IF(B19266="","",INT(A19266))</f>
        <v/>
      </c>
      <c r="D19266">
        <f>IF(B19266="","",HOUR(A19266))</f>
        <v/>
      </c>
    </row>
    <row r="19267">
      <c r="A19267">
        <f>Input!A19267</f>
        <v/>
      </c>
      <c r="B19267">
        <f>IF(ISNUMBER(Input!B19267),IF(AND(Input!B19267&gt;=20,Input!B19267&lt;=700),Input!B19267,""),"")</f>
        <v/>
      </c>
      <c r="C19267">
        <f>IF(B19267="","",INT(A19267))</f>
        <v/>
      </c>
      <c r="D19267">
        <f>IF(B19267="","",HOUR(A19267))</f>
        <v/>
      </c>
    </row>
    <row r="19268">
      <c r="A19268">
        <f>Input!A19268</f>
        <v/>
      </c>
      <c r="B19268">
        <f>IF(ISNUMBER(Input!B19268),IF(AND(Input!B19268&gt;=20,Input!B19268&lt;=700),Input!B19268,""),"")</f>
        <v/>
      </c>
      <c r="C19268">
        <f>IF(B19268="","",INT(A19268))</f>
        <v/>
      </c>
      <c r="D19268">
        <f>IF(B19268="","",HOUR(A19268))</f>
        <v/>
      </c>
    </row>
    <row r="19269">
      <c r="A19269">
        <f>Input!A19269</f>
        <v/>
      </c>
      <c r="B19269">
        <f>IF(ISNUMBER(Input!B19269),IF(AND(Input!B19269&gt;=20,Input!B19269&lt;=700),Input!B19269,""),"")</f>
        <v/>
      </c>
      <c r="C19269">
        <f>IF(B19269="","",INT(A19269))</f>
        <v/>
      </c>
      <c r="D19269">
        <f>IF(B19269="","",HOUR(A19269))</f>
        <v/>
      </c>
    </row>
    <row r="19270">
      <c r="A19270">
        <f>Input!A19270</f>
        <v/>
      </c>
      <c r="B19270">
        <f>IF(ISNUMBER(Input!B19270),IF(AND(Input!B19270&gt;=20,Input!B19270&lt;=700),Input!B19270,""),"")</f>
        <v/>
      </c>
      <c r="C19270">
        <f>IF(B19270="","",INT(A19270))</f>
        <v/>
      </c>
      <c r="D19270">
        <f>IF(B19270="","",HOUR(A19270))</f>
        <v/>
      </c>
    </row>
    <row r="19271">
      <c r="A19271">
        <f>Input!A19271</f>
        <v/>
      </c>
      <c r="B19271">
        <f>IF(ISNUMBER(Input!B19271),IF(AND(Input!B19271&gt;=20,Input!B19271&lt;=700),Input!B19271,""),"")</f>
        <v/>
      </c>
      <c r="C19271">
        <f>IF(B19271="","",INT(A19271))</f>
        <v/>
      </c>
      <c r="D19271">
        <f>IF(B19271="","",HOUR(A19271))</f>
        <v/>
      </c>
    </row>
    <row r="19272">
      <c r="A19272">
        <f>Input!A19272</f>
        <v/>
      </c>
      <c r="B19272">
        <f>IF(ISNUMBER(Input!B19272),IF(AND(Input!B19272&gt;=20,Input!B19272&lt;=700),Input!B19272,""),"")</f>
        <v/>
      </c>
      <c r="C19272">
        <f>IF(B19272="","",INT(A19272))</f>
        <v/>
      </c>
      <c r="D19272">
        <f>IF(B19272="","",HOUR(A19272))</f>
        <v/>
      </c>
    </row>
    <row r="19273">
      <c r="A19273">
        <f>Input!A19273</f>
        <v/>
      </c>
      <c r="B19273">
        <f>IF(ISNUMBER(Input!B19273),IF(AND(Input!B19273&gt;=20,Input!B19273&lt;=700),Input!B19273,""),"")</f>
        <v/>
      </c>
      <c r="C19273">
        <f>IF(B19273="","",INT(A19273))</f>
        <v/>
      </c>
      <c r="D19273">
        <f>IF(B19273="","",HOUR(A19273))</f>
        <v/>
      </c>
    </row>
    <row r="19274">
      <c r="A19274">
        <f>Input!A19274</f>
        <v/>
      </c>
      <c r="B19274">
        <f>IF(ISNUMBER(Input!B19274),IF(AND(Input!B19274&gt;=20,Input!B19274&lt;=700),Input!B19274,""),"")</f>
        <v/>
      </c>
      <c r="C19274">
        <f>IF(B19274="","",INT(A19274))</f>
        <v/>
      </c>
      <c r="D19274">
        <f>IF(B19274="","",HOUR(A19274))</f>
        <v/>
      </c>
    </row>
    <row r="19275">
      <c r="A19275">
        <f>Input!A19275</f>
        <v/>
      </c>
      <c r="B19275">
        <f>IF(ISNUMBER(Input!B19275),IF(AND(Input!B19275&gt;=20,Input!B19275&lt;=700),Input!B19275,""),"")</f>
        <v/>
      </c>
      <c r="C19275">
        <f>IF(B19275="","",INT(A19275))</f>
        <v/>
      </c>
      <c r="D19275">
        <f>IF(B19275="","",HOUR(A19275))</f>
        <v/>
      </c>
    </row>
    <row r="19276">
      <c r="A19276">
        <f>Input!A19276</f>
        <v/>
      </c>
      <c r="B19276">
        <f>IF(ISNUMBER(Input!B19276),IF(AND(Input!B19276&gt;=20,Input!B19276&lt;=700),Input!B19276,""),"")</f>
        <v/>
      </c>
      <c r="C19276">
        <f>IF(B19276="","",INT(A19276))</f>
        <v/>
      </c>
      <c r="D19276">
        <f>IF(B19276="","",HOUR(A19276))</f>
        <v/>
      </c>
    </row>
    <row r="19277">
      <c r="A19277">
        <f>Input!A19277</f>
        <v/>
      </c>
      <c r="B19277">
        <f>IF(ISNUMBER(Input!B19277),IF(AND(Input!B19277&gt;=20,Input!B19277&lt;=700),Input!B19277,""),"")</f>
        <v/>
      </c>
      <c r="C19277">
        <f>IF(B19277="","",INT(A19277))</f>
        <v/>
      </c>
      <c r="D19277">
        <f>IF(B19277="","",HOUR(A19277))</f>
        <v/>
      </c>
    </row>
    <row r="19278">
      <c r="A19278">
        <f>Input!A19278</f>
        <v/>
      </c>
      <c r="B19278">
        <f>IF(ISNUMBER(Input!B19278),IF(AND(Input!B19278&gt;=20,Input!B19278&lt;=700),Input!B19278,""),"")</f>
        <v/>
      </c>
      <c r="C19278">
        <f>IF(B19278="","",INT(A19278))</f>
        <v/>
      </c>
      <c r="D19278">
        <f>IF(B19278="","",HOUR(A19278))</f>
        <v/>
      </c>
    </row>
    <row r="19279">
      <c r="A19279">
        <f>Input!A19279</f>
        <v/>
      </c>
      <c r="B19279">
        <f>IF(ISNUMBER(Input!B19279),IF(AND(Input!B19279&gt;=20,Input!B19279&lt;=700),Input!B19279,""),"")</f>
        <v/>
      </c>
      <c r="C19279">
        <f>IF(B19279="","",INT(A19279))</f>
        <v/>
      </c>
      <c r="D19279">
        <f>IF(B19279="","",HOUR(A19279))</f>
        <v/>
      </c>
    </row>
    <row r="19280">
      <c r="A19280">
        <f>Input!A19280</f>
        <v/>
      </c>
      <c r="B19280">
        <f>IF(ISNUMBER(Input!B19280),IF(AND(Input!B19280&gt;=20,Input!B19280&lt;=700),Input!B19280,""),"")</f>
        <v/>
      </c>
      <c r="C19280">
        <f>IF(B19280="","",INT(A19280))</f>
        <v/>
      </c>
      <c r="D19280">
        <f>IF(B19280="","",HOUR(A19280))</f>
        <v/>
      </c>
    </row>
    <row r="19281">
      <c r="A19281">
        <f>Input!A19281</f>
        <v/>
      </c>
      <c r="B19281">
        <f>IF(ISNUMBER(Input!B19281),IF(AND(Input!B19281&gt;=20,Input!B19281&lt;=700),Input!B19281,""),"")</f>
        <v/>
      </c>
      <c r="C19281">
        <f>IF(B19281="","",INT(A19281))</f>
        <v/>
      </c>
      <c r="D19281">
        <f>IF(B19281="","",HOUR(A19281))</f>
        <v/>
      </c>
    </row>
    <row r="19282">
      <c r="A19282">
        <f>Input!A19282</f>
        <v/>
      </c>
      <c r="B19282">
        <f>IF(ISNUMBER(Input!B19282),IF(AND(Input!B19282&gt;=20,Input!B19282&lt;=700),Input!B19282,""),"")</f>
        <v/>
      </c>
      <c r="C19282">
        <f>IF(B19282="","",INT(A19282))</f>
        <v/>
      </c>
      <c r="D19282">
        <f>IF(B19282="","",HOUR(A19282))</f>
        <v/>
      </c>
    </row>
    <row r="19283">
      <c r="A19283">
        <f>Input!A19283</f>
        <v/>
      </c>
      <c r="B19283">
        <f>IF(ISNUMBER(Input!B19283),IF(AND(Input!B19283&gt;=20,Input!B19283&lt;=700),Input!B19283,""),"")</f>
        <v/>
      </c>
      <c r="C19283">
        <f>IF(B19283="","",INT(A19283))</f>
        <v/>
      </c>
      <c r="D19283">
        <f>IF(B19283="","",HOUR(A19283))</f>
        <v/>
      </c>
    </row>
    <row r="19284">
      <c r="A19284">
        <f>Input!A19284</f>
        <v/>
      </c>
      <c r="B19284">
        <f>IF(ISNUMBER(Input!B19284),IF(AND(Input!B19284&gt;=20,Input!B19284&lt;=700),Input!B19284,""),"")</f>
        <v/>
      </c>
      <c r="C19284">
        <f>IF(B19284="","",INT(A19284))</f>
        <v/>
      </c>
      <c r="D19284">
        <f>IF(B19284="","",HOUR(A19284))</f>
        <v/>
      </c>
    </row>
    <row r="19285">
      <c r="A19285">
        <f>Input!A19285</f>
        <v/>
      </c>
      <c r="B19285">
        <f>IF(ISNUMBER(Input!B19285),IF(AND(Input!B19285&gt;=20,Input!B19285&lt;=700),Input!B19285,""),"")</f>
        <v/>
      </c>
      <c r="C19285">
        <f>IF(B19285="","",INT(A19285))</f>
        <v/>
      </c>
      <c r="D19285">
        <f>IF(B19285="","",HOUR(A19285))</f>
        <v/>
      </c>
    </row>
    <row r="19286">
      <c r="A19286">
        <f>Input!A19286</f>
        <v/>
      </c>
      <c r="B19286">
        <f>IF(ISNUMBER(Input!B19286),IF(AND(Input!B19286&gt;=20,Input!B19286&lt;=700),Input!B19286,""),"")</f>
        <v/>
      </c>
      <c r="C19286">
        <f>IF(B19286="","",INT(A19286))</f>
        <v/>
      </c>
      <c r="D19286">
        <f>IF(B19286="","",HOUR(A19286))</f>
        <v/>
      </c>
    </row>
    <row r="19287">
      <c r="A19287">
        <f>Input!A19287</f>
        <v/>
      </c>
      <c r="B19287">
        <f>IF(ISNUMBER(Input!B19287),IF(AND(Input!B19287&gt;=20,Input!B19287&lt;=700),Input!B19287,""),"")</f>
        <v/>
      </c>
      <c r="C19287">
        <f>IF(B19287="","",INT(A19287))</f>
        <v/>
      </c>
      <c r="D19287">
        <f>IF(B19287="","",HOUR(A19287))</f>
        <v/>
      </c>
    </row>
    <row r="19288">
      <c r="A19288">
        <f>Input!A19288</f>
        <v/>
      </c>
      <c r="B19288">
        <f>IF(ISNUMBER(Input!B19288),IF(AND(Input!B19288&gt;=20,Input!B19288&lt;=700),Input!B19288,""),"")</f>
        <v/>
      </c>
      <c r="C19288">
        <f>IF(B19288="","",INT(A19288))</f>
        <v/>
      </c>
      <c r="D19288">
        <f>IF(B19288="","",HOUR(A19288))</f>
        <v/>
      </c>
    </row>
    <row r="19289">
      <c r="A19289">
        <f>Input!A19289</f>
        <v/>
      </c>
      <c r="B19289">
        <f>IF(ISNUMBER(Input!B19289),IF(AND(Input!B19289&gt;=20,Input!B19289&lt;=700),Input!B19289,""),"")</f>
        <v/>
      </c>
      <c r="C19289">
        <f>IF(B19289="","",INT(A19289))</f>
        <v/>
      </c>
      <c r="D19289">
        <f>IF(B19289="","",HOUR(A19289))</f>
        <v/>
      </c>
    </row>
    <row r="19290">
      <c r="A19290">
        <f>Input!A19290</f>
        <v/>
      </c>
      <c r="B19290">
        <f>IF(ISNUMBER(Input!B19290),IF(AND(Input!B19290&gt;=20,Input!B19290&lt;=700),Input!B19290,""),"")</f>
        <v/>
      </c>
      <c r="C19290">
        <f>IF(B19290="","",INT(A19290))</f>
        <v/>
      </c>
      <c r="D19290">
        <f>IF(B19290="","",HOUR(A19290))</f>
        <v/>
      </c>
    </row>
    <row r="19291">
      <c r="A19291">
        <f>Input!A19291</f>
        <v/>
      </c>
      <c r="B19291">
        <f>IF(ISNUMBER(Input!B19291),IF(AND(Input!B19291&gt;=20,Input!B19291&lt;=700),Input!B19291,""),"")</f>
        <v/>
      </c>
      <c r="C19291">
        <f>IF(B19291="","",INT(A19291))</f>
        <v/>
      </c>
      <c r="D19291">
        <f>IF(B19291="","",HOUR(A19291))</f>
        <v/>
      </c>
    </row>
    <row r="19292">
      <c r="A19292">
        <f>Input!A19292</f>
        <v/>
      </c>
      <c r="B19292">
        <f>IF(ISNUMBER(Input!B19292),IF(AND(Input!B19292&gt;=20,Input!B19292&lt;=700),Input!B19292,""),"")</f>
        <v/>
      </c>
      <c r="C19292">
        <f>IF(B19292="","",INT(A19292))</f>
        <v/>
      </c>
      <c r="D19292">
        <f>IF(B19292="","",HOUR(A19292))</f>
        <v/>
      </c>
    </row>
    <row r="19293">
      <c r="A19293">
        <f>Input!A19293</f>
        <v/>
      </c>
      <c r="B19293">
        <f>IF(ISNUMBER(Input!B19293),IF(AND(Input!B19293&gt;=20,Input!B19293&lt;=700),Input!B19293,""),"")</f>
        <v/>
      </c>
      <c r="C19293">
        <f>IF(B19293="","",INT(A19293))</f>
        <v/>
      </c>
      <c r="D19293">
        <f>IF(B19293="","",HOUR(A19293))</f>
        <v/>
      </c>
    </row>
    <row r="19294">
      <c r="A19294">
        <f>Input!A19294</f>
        <v/>
      </c>
      <c r="B19294">
        <f>IF(ISNUMBER(Input!B19294),IF(AND(Input!B19294&gt;=20,Input!B19294&lt;=700),Input!B19294,""),"")</f>
        <v/>
      </c>
      <c r="C19294">
        <f>IF(B19294="","",INT(A19294))</f>
        <v/>
      </c>
      <c r="D19294">
        <f>IF(B19294="","",HOUR(A19294))</f>
        <v/>
      </c>
    </row>
    <row r="19295">
      <c r="A19295">
        <f>Input!A19295</f>
        <v/>
      </c>
      <c r="B19295">
        <f>IF(ISNUMBER(Input!B19295),IF(AND(Input!B19295&gt;=20,Input!B19295&lt;=700),Input!B19295,""),"")</f>
        <v/>
      </c>
      <c r="C19295">
        <f>IF(B19295="","",INT(A19295))</f>
        <v/>
      </c>
      <c r="D19295">
        <f>IF(B19295="","",HOUR(A19295))</f>
        <v/>
      </c>
    </row>
    <row r="19296">
      <c r="A19296">
        <f>Input!A19296</f>
        <v/>
      </c>
      <c r="B19296">
        <f>IF(ISNUMBER(Input!B19296),IF(AND(Input!B19296&gt;=20,Input!B19296&lt;=700),Input!B19296,""),"")</f>
        <v/>
      </c>
      <c r="C19296">
        <f>IF(B19296="","",INT(A19296))</f>
        <v/>
      </c>
      <c r="D19296">
        <f>IF(B19296="","",HOUR(A19296))</f>
        <v/>
      </c>
    </row>
    <row r="19297">
      <c r="A19297">
        <f>Input!A19297</f>
        <v/>
      </c>
      <c r="B19297">
        <f>IF(ISNUMBER(Input!B19297),IF(AND(Input!B19297&gt;=20,Input!B19297&lt;=700),Input!B19297,""),"")</f>
        <v/>
      </c>
      <c r="C19297">
        <f>IF(B19297="","",INT(A19297))</f>
        <v/>
      </c>
      <c r="D19297">
        <f>IF(B19297="","",HOUR(A19297))</f>
        <v/>
      </c>
    </row>
    <row r="19298">
      <c r="A19298">
        <f>Input!A19298</f>
        <v/>
      </c>
      <c r="B19298">
        <f>IF(ISNUMBER(Input!B19298),IF(AND(Input!B19298&gt;=20,Input!B19298&lt;=700),Input!B19298,""),"")</f>
        <v/>
      </c>
      <c r="C19298">
        <f>IF(B19298="","",INT(A19298))</f>
        <v/>
      </c>
      <c r="D19298">
        <f>IF(B19298="","",HOUR(A19298))</f>
        <v/>
      </c>
    </row>
    <row r="19299">
      <c r="A19299">
        <f>Input!A19299</f>
        <v/>
      </c>
      <c r="B19299">
        <f>IF(ISNUMBER(Input!B19299),IF(AND(Input!B19299&gt;=20,Input!B19299&lt;=700),Input!B19299,""),"")</f>
        <v/>
      </c>
      <c r="C19299">
        <f>IF(B19299="","",INT(A19299))</f>
        <v/>
      </c>
      <c r="D19299">
        <f>IF(B19299="","",HOUR(A19299))</f>
        <v/>
      </c>
    </row>
    <row r="19300">
      <c r="A19300">
        <f>Input!A19300</f>
        <v/>
      </c>
      <c r="B19300">
        <f>IF(ISNUMBER(Input!B19300),IF(AND(Input!B19300&gt;=20,Input!B19300&lt;=700),Input!B19300,""),"")</f>
        <v/>
      </c>
      <c r="C19300">
        <f>IF(B19300="","",INT(A19300))</f>
        <v/>
      </c>
      <c r="D19300">
        <f>IF(B19300="","",HOUR(A19300))</f>
        <v/>
      </c>
    </row>
    <row r="19301">
      <c r="A19301">
        <f>Input!A19301</f>
        <v/>
      </c>
      <c r="B19301">
        <f>IF(ISNUMBER(Input!B19301),IF(AND(Input!B19301&gt;=20,Input!B19301&lt;=700),Input!B19301,""),"")</f>
        <v/>
      </c>
      <c r="C19301">
        <f>IF(B19301="","",INT(A19301))</f>
        <v/>
      </c>
      <c r="D19301">
        <f>IF(B19301="","",HOUR(A19301))</f>
        <v/>
      </c>
    </row>
    <row r="19302">
      <c r="A19302">
        <f>Input!A19302</f>
        <v/>
      </c>
      <c r="B19302">
        <f>IF(ISNUMBER(Input!B19302),IF(AND(Input!B19302&gt;=20,Input!B19302&lt;=700),Input!B19302,""),"")</f>
        <v/>
      </c>
      <c r="C19302">
        <f>IF(B19302="","",INT(A19302))</f>
        <v/>
      </c>
      <c r="D19302">
        <f>IF(B19302="","",HOUR(A19302))</f>
        <v/>
      </c>
    </row>
    <row r="19303">
      <c r="A19303">
        <f>Input!A19303</f>
        <v/>
      </c>
      <c r="B19303">
        <f>IF(ISNUMBER(Input!B19303),IF(AND(Input!B19303&gt;=20,Input!B19303&lt;=700),Input!B19303,""),"")</f>
        <v/>
      </c>
      <c r="C19303">
        <f>IF(B19303="","",INT(A19303))</f>
        <v/>
      </c>
      <c r="D19303">
        <f>IF(B19303="","",HOUR(A19303))</f>
        <v/>
      </c>
    </row>
    <row r="19304">
      <c r="A19304">
        <f>Input!A19304</f>
        <v/>
      </c>
      <c r="B19304">
        <f>IF(ISNUMBER(Input!B19304),IF(AND(Input!B19304&gt;=20,Input!B19304&lt;=700),Input!B19304,""),"")</f>
        <v/>
      </c>
      <c r="C19304">
        <f>IF(B19304="","",INT(A19304))</f>
        <v/>
      </c>
      <c r="D19304">
        <f>IF(B19304="","",HOUR(A19304))</f>
        <v/>
      </c>
    </row>
    <row r="19305">
      <c r="A19305">
        <f>Input!A19305</f>
        <v/>
      </c>
      <c r="B19305">
        <f>IF(ISNUMBER(Input!B19305),IF(AND(Input!B19305&gt;=20,Input!B19305&lt;=700),Input!B19305,""),"")</f>
        <v/>
      </c>
      <c r="C19305">
        <f>IF(B19305="","",INT(A19305))</f>
        <v/>
      </c>
      <c r="D19305">
        <f>IF(B19305="","",HOUR(A19305))</f>
        <v/>
      </c>
    </row>
    <row r="19306">
      <c r="A19306">
        <f>Input!A19306</f>
        <v/>
      </c>
      <c r="B19306">
        <f>IF(ISNUMBER(Input!B19306),IF(AND(Input!B19306&gt;=20,Input!B19306&lt;=700),Input!B19306,""),"")</f>
        <v/>
      </c>
      <c r="C19306">
        <f>IF(B19306="","",INT(A19306))</f>
        <v/>
      </c>
      <c r="D19306">
        <f>IF(B19306="","",HOUR(A19306))</f>
        <v/>
      </c>
    </row>
    <row r="19307">
      <c r="A19307">
        <f>Input!A19307</f>
        <v/>
      </c>
      <c r="B19307">
        <f>IF(ISNUMBER(Input!B19307),IF(AND(Input!B19307&gt;=20,Input!B19307&lt;=700),Input!B19307,""),"")</f>
        <v/>
      </c>
      <c r="C19307">
        <f>IF(B19307="","",INT(A19307))</f>
        <v/>
      </c>
      <c r="D19307">
        <f>IF(B19307="","",HOUR(A19307))</f>
        <v/>
      </c>
    </row>
    <row r="19308">
      <c r="A19308">
        <f>Input!A19308</f>
        <v/>
      </c>
      <c r="B19308">
        <f>IF(ISNUMBER(Input!B19308),IF(AND(Input!B19308&gt;=20,Input!B19308&lt;=700),Input!B19308,""),"")</f>
        <v/>
      </c>
      <c r="C19308">
        <f>IF(B19308="","",INT(A19308))</f>
        <v/>
      </c>
      <c r="D19308">
        <f>IF(B19308="","",HOUR(A19308))</f>
        <v/>
      </c>
    </row>
    <row r="19309">
      <c r="A19309">
        <f>Input!A19309</f>
        <v/>
      </c>
      <c r="B19309">
        <f>IF(ISNUMBER(Input!B19309),IF(AND(Input!B19309&gt;=20,Input!B19309&lt;=700),Input!B19309,""),"")</f>
        <v/>
      </c>
      <c r="C19309">
        <f>IF(B19309="","",INT(A19309))</f>
        <v/>
      </c>
      <c r="D19309">
        <f>IF(B19309="","",HOUR(A19309))</f>
        <v/>
      </c>
    </row>
    <row r="19310">
      <c r="A19310">
        <f>Input!A19310</f>
        <v/>
      </c>
      <c r="B19310">
        <f>IF(ISNUMBER(Input!B19310),IF(AND(Input!B19310&gt;=20,Input!B19310&lt;=700),Input!B19310,""),"")</f>
        <v/>
      </c>
      <c r="C19310">
        <f>IF(B19310="","",INT(A19310))</f>
        <v/>
      </c>
      <c r="D19310">
        <f>IF(B19310="","",HOUR(A19310))</f>
        <v/>
      </c>
    </row>
    <row r="19311">
      <c r="A19311">
        <f>Input!A19311</f>
        <v/>
      </c>
      <c r="B19311">
        <f>IF(ISNUMBER(Input!B19311),IF(AND(Input!B19311&gt;=20,Input!B19311&lt;=700),Input!B19311,""),"")</f>
        <v/>
      </c>
      <c r="C19311">
        <f>IF(B19311="","",INT(A19311))</f>
        <v/>
      </c>
      <c r="D19311">
        <f>IF(B19311="","",HOUR(A19311))</f>
        <v/>
      </c>
    </row>
    <row r="19312">
      <c r="A19312">
        <f>Input!A19312</f>
        <v/>
      </c>
      <c r="B19312">
        <f>IF(ISNUMBER(Input!B19312),IF(AND(Input!B19312&gt;=20,Input!B19312&lt;=700),Input!B19312,""),"")</f>
        <v/>
      </c>
      <c r="C19312">
        <f>IF(B19312="","",INT(A19312))</f>
        <v/>
      </c>
      <c r="D19312">
        <f>IF(B19312="","",HOUR(A19312))</f>
        <v/>
      </c>
    </row>
    <row r="19313">
      <c r="A19313">
        <f>Input!A19313</f>
        <v/>
      </c>
      <c r="B19313">
        <f>IF(ISNUMBER(Input!B19313),IF(AND(Input!B19313&gt;=20,Input!B19313&lt;=700),Input!B19313,""),"")</f>
        <v/>
      </c>
      <c r="C19313">
        <f>IF(B19313="","",INT(A19313))</f>
        <v/>
      </c>
      <c r="D19313">
        <f>IF(B19313="","",HOUR(A19313))</f>
        <v/>
      </c>
    </row>
    <row r="19314">
      <c r="A19314">
        <f>Input!A19314</f>
        <v/>
      </c>
      <c r="B19314">
        <f>IF(ISNUMBER(Input!B19314),IF(AND(Input!B19314&gt;=20,Input!B19314&lt;=700),Input!B19314,""),"")</f>
        <v/>
      </c>
      <c r="C19314">
        <f>IF(B19314="","",INT(A19314))</f>
        <v/>
      </c>
      <c r="D19314">
        <f>IF(B19314="","",HOUR(A19314))</f>
        <v/>
      </c>
    </row>
    <row r="19315">
      <c r="A19315">
        <f>Input!A19315</f>
        <v/>
      </c>
      <c r="B19315">
        <f>IF(ISNUMBER(Input!B19315),IF(AND(Input!B19315&gt;=20,Input!B19315&lt;=700),Input!B19315,""),"")</f>
        <v/>
      </c>
      <c r="C19315">
        <f>IF(B19315="","",INT(A19315))</f>
        <v/>
      </c>
      <c r="D19315">
        <f>IF(B19315="","",HOUR(A19315))</f>
        <v/>
      </c>
    </row>
    <row r="19316">
      <c r="A19316">
        <f>Input!A19316</f>
        <v/>
      </c>
      <c r="B19316">
        <f>IF(ISNUMBER(Input!B19316),IF(AND(Input!B19316&gt;=20,Input!B19316&lt;=700),Input!B19316,""),"")</f>
        <v/>
      </c>
      <c r="C19316">
        <f>IF(B19316="","",INT(A19316))</f>
        <v/>
      </c>
      <c r="D19316">
        <f>IF(B19316="","",HOUR(A19316))</f>
        <v/>
      </c>
    </row>
    <row r="19317">
      <c r="A19317">
        <f>Input!A19317</f>
        <v/>
      </c>
      <c r="B19317">
        <f>IF(ISNUMBER(Input!B19317),IF(AND(Input!B19317&gt;=20,Input!B19317&lt;=700),Input!B19317,""),"")</f>
        <v/>
      </c>
      <c r="C19317">
        <f>IF(B19317="","",INT(A19317))</f>
        <v/>
      </c>
      <c r="D19317">
        <f>IF(B19317="","",HOUR(A19317))</f>
        <v/>
      </c>
    </row>
    <row r="19318">
      <c r="A19318">
        <f>Input!A19318</f>
        <v/>
      </c>
      <c r="B19318">
        <f>IF(ISNUMBER(Input!B19318),IF(AND(Input!B19318&gt;=20,Input!B19318&lt;=700),Input!B19318,""),"")</f>
        <v/>
      </c>
      <c r="C19318">
        <f>IF(B19318="","",INT(A19318))</f>
        <v/>
      </c>
      <c r="D19318">
        <f>IF(B19318="","",HOUR(A19318))</f>
        <v/>
      </c>
    </row>
    <row r="19319">
      <c r="A19319">
        <f>Input!A19319</f>
        <v/>
      </c>
      <c r="B19319">
        <f>IF(ISNUMBER(Input!B19319),IF(AND(Input!B19319&gt;=20,Input!B19319&lt;=700),Input!B19319,""),"")</f>
        <v/>
      </c>
      <c r="C19319">
        <f>IF(B19319="","",INT(A19319))</f>
        <v/>
      </c>
      <c r="D19319">
        <f>IF(B19319="","",HOUR(A19319))</f>
        <v/>
      </c>
    </row>
    <row r="19320">
      <c r="A19320">
        <f>Input!A19320</f>
        <v/>
      </c>
      <c r="B19320">
        <f>IF(ISNUMBER(Input!B19320),IF(AND(Input!B19320&gt;=20,Input!B19320&lt;=700),Input!B19320,""),"")</f>
        <v/>
      </c>
      <c r="C19320">
        <f>IF(B19320="","",INT(A19320))</f>
        <v/>
      </c>
      <c r="D19320">
        <f>IF(B19320="","",HOUR(A19320))</f>
        <v/>
      </c>
    </row>
    <row r="19321">
      <c r="A19321">
        <f>Input!A19321</f>
        <v/>
      </c>
      <c r="B19321">
        <f>IF(ISNUMBER(Input!B19321),IF(AND(Input!B19321&gt;=20,Input!B19321&lt;=700),Input!B19321,""),"")</f>
        <v/>
      </c>
      <c r="C19321">
        <f>IF(B19321="","",INT(A19321))</f>
        <v/>
      </c>
      <c r="D19321">
        <f>IF(B19321="","",HOUR(A19321))</f>
        <v/>
      </c>
    </row>
    <row r="19322">
      <c r="A19322">
        <f>Input!A19322</f>
        <v/>
      </c>
      <c r="B19322">
        <f>IF(ISNUMBER(Input!B19322),IF(AND(Input!B19322&gt;=20,Input!B19322&lt;=700),Input!B19322,""),"")</f>
        <v/>
      </c>
      <c r="C19322">
        <f>IF(B19322="","",INT(A19322))</f>
        <v/>
      </c>
      <c r="D19322">
        <f>IF(B19322="","",HOUR(A19322))</f>
        <v/>
      </c>
    </row>
    <row r="19323">
      <c r="A19323">
        <f>Input!A19323</f>
        <v/>
      </c>
      <c r="B19323">
        <f>IF(ISNUMBER(Input!B19323),IF(AND(Input!B19323&gt;=20,Input!B19323&lt;=700),Input!B19323,""),"")</f>
        <v/>
      </c>
      <c r="C19323">
        <f>IF(B19323="","",INT(A19323))</f>
        <v/>
      </c>
      <c r="D19323">
        <f>IF(B19323="","",HOUR(A19323))</f>
        <v/>
      </c>
    </row>
    <row r="19324">
      <c r="A19324">
        <f>Input!A19324</f>
        <v/>
      </c>
      <c r="B19324">
        <f>IF(ISNUMBER(Input!B19324),IF(AND(Input!B19324&gt;=20,Input!B19324&lt;=700),Input!B19324,""),"")</f>
        <v/>
      </c>
      <c r="C19324">
        <f>IF(B19324="","",INT(A19324))</f>
        <v/>
      </c>
      <c r="D19324">
        <f>IF(B19324="","",HOUR(A19324))</f>
        <v/>
      </c>
    </row>
    <row r="19325">
      <c r="A19325">
        <f>Input!A19325</f>
        <v/>
      </c>
      <c r="B19325">
        <f>IF(ISNUMBER(Input!B19325),IF(AND(Input!B19325&gt;=20,Input!B19325&lt;=700),Input!B19325,""),"")</f>
        <v/>
      </c>
      <c r="C19325">
        <f>IF(B19325="","",INT(A19325))</f>
        <v/>
      </c>
      <c r="D19325">
        <f>IF(B19325="","",HOUR(A19325))</f>
        <v/>
      </c>
    </row>
    <row r="19326">
      <c r="A19326">
        <f>Input!A19326</f>
        <v/>
      </c>
      <c r="B19326">
        <f>IF(ISNUMBER(Input!B19326),IF(AND(Input!B19326&gt;=20,Input!B19326&lt;=700),Input!B19326,""),"")</f>
        <v/>
      </c>
      <c r="C19326">
        <f>IF(B19326="","",INT(A19326))</f>
        <v/>
      </c>
      <c r="D19326">
        <f>IF(B19326="","",HOUR(A19326))</f>
        <v/>
      </c>
    </row>
    <row r="19327">
      <c r="A19327">
        <f>Input!A19327</f>
        <v/>
      </c>
      <c r="B19327">
        <f>IF(ISNUMBER(Input!B19327),IF(AND(Input!B19327&gt;=20,Input!B19327&lt;=700),Input!B19327,""),"")</f>
        <v/>
      </c>
      <c r="C19327">
        <f>IF(B19327="","",INT(A19327))</f>
        <v/>
      </c>
      <c r="D19327">
        <f>IF(B19327="","",HOUR(A19327))</f>
        <v/>
      </c>
    </row>
    <row r="19328">
      <c r="A19328">
        <f>Input!A19328</f>
        <v/>
      </c>
      <c r="B19328">
        <f>IF(ISNUMBER(Input!B19328),IF(AND(Input!B19328&gt;=20,Input!B19328&lt;=700),Input!B19328,""),"")</f>
        <v/>
      </c>
      <c r="C19328">
        <f>IF(B19328="","",INT(A19328))</f>
        <v/>
      </c>
      <c r="D19328">
        <f>IF(B19328="","",HOUR(A19328))</f>
        <v/>
      </c>
    </row>
    <row r="19329">
      <c r="A19329">
        <f>Input!A19329</f>
        <v/>
      </c>
      <c r="B19329">
        <f>IF(ISNUMBER(Input!B19329),IF(AND(Input!B19329&gt;=20,Input!B19329&lt;=700),Input!B19329,""),"")</f>
        <v/>
      </c>
      <c r="C19329">
        <f>IF(B19329="","",INT(A19329))</f>
        <v/>
      </c>
      <c r="D19329">
        <f>IF(B19329="","",HOUR(A19329))</f>
        <v/>
      </c>
    </row>
    <row r="19330">
      <c r="A19330">
        <f>Input!A19330</f>
        <v/>
      </c>
      <c r="B19330">
        <f>IF(ISNUMBER(Input!B19330),IF(AND(Input!B19330&gt;=20,Input!B19330&lt;=700),Input!B19330,""),"")</f>
        <v/>
      </c>
      <c r="C19330">
        <f>IF(B19330="","",INT(A19330))</f>
        <v/>
      </c>
      <c r="D19330">
        <f>IF(B19330="","",HOUR(A19330))</f>
        <v/>
      </c>
    </row>
    <row r="19331">
      <c r="A19331">
        <f>Input!A19331</f>
        <v/>
      </c>
      <c r="B19331">
        <f>IF(ISNUMBER(Input!B19331),IF(AND(Input!B19331&gt;=20,Input!B19331&lt;=700),Input!B19331,""),"")</f>
        <v/>
      </c>
      <c r="C19331">
        <f>IF(B19331="","",INT(A19331))</f>
        <v/>
      </c>
      <c r="D19331">
        <f>IF(B19331="","",HOUR(A19331))</f>
        <v/>
      </c>
    </row>
    <row r="19332">
      <c r="A19332">
        <f>Input!A19332</f>
        <v/>
      </c>
      <c r="B19332">
        <f>IF(ISNUMBER(Input!B19332),IF(AND(Input!B19332&gt;=20,Input!B19332&lt;=700),Input!B19332,""),"")</f>
        <v/>
      </c>
      <c r="C19332">
        <f>IF(B19332="","",INT(A19332))</f>
        <v/>
      </c>
      <c r="D19332">
        <f>IF(B19332="","",HOUR(A19332))</f>
        <v/>
      </c>
    </row>
    <row r="19333">
      <c r="A19333">
        <f>Input!A19333</f>
        <v/>
      </c>
      <c r="B19333">
        <f>IF(ISNUMBER(Input!B19333),IF(AND(Input!B19333&gt;=20,Input!B19333&lt;=700),Input!B19333,""),"")</f>
        <v/>
      </c>
      <c r="C19333">
        <f>IF(B19333="","",INT(A19333))</f>
        <v/>
      </c>
      <c r="D19333">
        <f>IF(B19333="","",HOUR(A19333))</f>
        <v/>
      </c>
    </row>
    <row r="19334">
      <c r="A19334">
        <f>Input!A19334</f>
        <v/>
      </c>
      <c r="B19334">
        <f>IF(ISNUMBER(Input!B19334),IF(AND(Input!B19334&gt;=20,Input!B19334&lt;=700),Input!B19334,""),"")</f>
        <v/>
      </c>
      <c r="C19334">
        <f>IF(B19334="","",INT(A19334))</f>
        <v/>
      </c>
      <c r="D19334">
        <f>IF(B19334="","",HOUR(A19334))</f>
        <v/>
      </c>
    </row>
    <row r="19335">
      <c r="A19335">
        <f>Input!A19335</f>
        <v/>
      </c>
      <c r="B19335">
        <f>IF(ISNUMBER(Input!B19335),IF(AND(Input!B19335&gt;=20,Input!B19335&lt;=700),Input!B19335,""),"")</f>
        <v/>
      </c>
      <c r="C19335">
        <f>IF(B19335="","",INT(A19335))</f>
        <v/>
      </c>
      <c r="D19335">
        <f>IF(B19335="","",HOUR(A19335))</f>
        <v/>
      </c>
    </row>
    <row r="19336">
      <c r="A19336">
        <f>Input!A19336</f>
        <v/>
      </c>
      <c r="B19336">
        <f>IF(ISNUMBER(Input!B19336),IF(AND(Input!B19336&gt;=20,Input!B19336&lt;=700),Input!B19336,""),"")</f>
        <v/>
      </c>
      <c r="C19336">
        <f>IF(B19336="","",INT(A19336))</f>
        <v/>
      </c>
      <c r="D19336">
        <f>IF(B19336="","",HOUR(A19336))</f>
        <v/>
      </c>
    </row>
    <row r="19337">
      <c r="A19337">
        <f>Input!A19337</f>
        <v/>
      </c>
      <c r="B19337">
        <f>IF(ISNUMBER(Input!B19337),IF(AND(Input!B19337&gt;=20,Input!B19337&lt;=700),Input!B19337,""),"")</f>
        <v/>
      </c>
      <c r="C19337">
        <f>IF(B19337="","",INT(A19337))</f>
        <v/>
      </c>
      <c r="D19337">
        <f>IF(B19337="","",HOUR(A19337))</f>
        <v/>
      </c>
    </row>
    <row r="19338">
      <c r="A19338">
        <f>Input!A19338</f>
        <v/>
      </c>
      <c r="B19338">
        <f>IF(ISNUMBER(Input!B19338),IF(AND(Input!B19338&gt;=20,Input!B19338&lt;=700),Input!B19338,""),"")</f>
        <v/>
      </c>
      <c r="C19338">
        <f>IF(B19338="","",INT(A19338))</f>
        <v/>
      </c>
      <c r="D19338">
        <f>IF(B19338="","",HOUR(A19338))</f>
        <v/>
      </c>
    </row>
    <row r="19339">
      <c r="A19339">
        <f>Input!A19339</f>
        <v/>
      </c>
      <c r="B19339">
        <f>IF(ISNUMBER(Input!B19339),IF(AND(Input!B19339&gt;=20,Input!B19339&lt;=700),Input!B19339,""),"")</f>
        <v/>
      </c>
      <c r="C19339">
        <f>IF(B19339="","",INT(A19339))</f>
        <v/>
      </c>
      <c r="D19339">
        <f>IF(B19339="","",HOUR(A19339))</f>
        <v/>
      </c>
    </row>
    <row r="19340">
      <c r="A19340">
        <f>Input!A19340</f>
        <v/>
      </c>
      <c r="B19340">
        <f>IF(ISNUMBER(Input!B19340),IF(AND(Input!B19340&gt;=20,Input!B19340&lt;=700),Input!B19340,""),"")</f>
        <v/>
      </c>
      <c r="C19340">
        <f>IF(B19340="","",INT(A19340))</f>
        <v/>
      </c>
      <c r="D19340">
        <f>IF(B19340="","",HOUR(A19340))</f>
        <v/>
      </c>
    </row>
    <row r="19341">
      <c r="A19341">
        <f>Input!A19341</f>
        <v/>
      </c>
      <c r="B19341">
        <f>IF(ISNUMBER(Input!B19341),IF(AND(Input!B19341&gt;=20,Input!B19341&lt;=700),Input!B19341,""),"")</f>
        <v/>
      </c>
      <c r="C19341">
        <f>IF(B19341="","",INT(A19341))</f>
        <v/>
      </c>
      <c r="D19341">
        <f>IF(B19341="","",HOUR(A19341))</f>
        <v/>
      </c>
    </row>
    <row r="19342">
      <c r="A19342">
        <f>Input!A19342</f>
        <v/>
      </c>
      <c r="B19342">
        <f>IF(ISNUMBER(Input!B19342),IF(AND(Input!B19342&gt;=20,Input!B19342&lt;=700),Input!B19342,""),"")</f>
        <v/>
      </c>
      <c r="C19342">
        <f>IF(B19342="","",INT(A19342))</f>
        <v/>
      </c>
      <c r="D19342">
        <f>IF(B19342="","",HOUR(A19342))</f>
        <v/>
      </c>
    </row>
    <row r="19343">
      <c r="A19343">
        <f>Input!A19343</f>
        <v/>
      </c>
      <c r="B19343">
        <f>IF(ISNUMBER(Input!B19343),IF(AND(Input!B19343&gt;=20,Input!B19343&lt;=700),Input!B19343,""),"")</f>
        <v/>
      </c>
      <c r="C19343">
        <f>IF(B19343="","",INT(A19343))</f>
        <v/>
      </c>
      <c r="D19343">
        <f>IF(B19343="","",HOUR(A19343))</f>
        <v/>
      </c>
    </row>
    <row r="19344">
      <c r="A19344">
        <f>Input!A19344</f>
        <v/>
      </c>
      <c r="B19344">
        <f>IF(ISNUMBER(Input!B19344),IF(AND(Input!B19344&gt;=20,Input!B19344&lt;=700),Input!B19344,""),"")</f>
        <v/>
      </c>
      <c r="C19344">
        <f>IF(B19344="","",INT(A19344))</f>
        <v/>
      </c>
      <c r="D19344">
        <f>IF(B19344="","",HOUR(A19344))</f>
        <v/>
      </c>
    </row>
    <row r="19345">
      <c r="A19345">
        <f>Input!A19345</f>
        <v/>
      </c>
      <c r="B19345">
        <f>IF(ISNUMBER(Input!B19345),IF(AND(Input!B19345&gt;=20,Input!B19345&lt;=700),Input!B19345,""),"")</f>
        <v/>
      </c>
      <c r="C19345">
        <f>IF(B19345="","",INT(A19345))</f>
        <v/>
      </c>
      <c r="D19345">
        <f>IF(B19345="","",HOUR(A19345))</f>
        <v/>
      </c>
    </row>
    <row r="19346">
      <c r="A19346">
        <f>Input!A19346</f>
        <v/>
      </c>
      <c r="B19346">
        <f>IF(ISNUMBER(Input!B19346),IF(AND(Input!B19346&gt;=20,Input!B19346&lt;=700),Input!B19346,""),"")</f>
        <v/>
      </c>
      <c r="C19346">
        <f>IF(B19346="","",INT(A19346))</f>
        <v/>
      </c>
      <c r="D19346">
        <f>IF(B19346="","",HOUR(A19346))</f>
        <v/>
      </c>
    </row>
    <row r="19347">
      <c r="A19347">
        <f>Input!A19347</f>
        <v/>
      </c>
      <c r="B19347">
        <f>IF(ISNUMBER(Input!B19347),IF(AND(Input!B19347&gt;=20,Input!B19347&lt;=700),Input!B19347,""),"")</f>
        <v/>
      </c>
      <c r="C19347">
        <f>IF(B19347="","",INT(A19347))</f>
        <v/>
      </c>
      <c r="D19347">
        <f>IF(B19347="","",HOUR(A19347))</f>
        <v/>
      </c>
    </row>
    <row r="19348">
      <c r="A19348">
        <f>Input!A19348</f>
        <v/>
      </c>
      <c r="B19348">
        <f>IF(ISNUMBER(Input!B19348),IF(AND(Input!B19348&gt;=20,Input!B19348&lt;=700),Input!B19348,""),"")</f>
        <v/>
      </c>
      <c r="C19348">
        <f>IF(B19348="","",INT(A19348))</f>
        <v/>
      </c>
      <c r="D19348">
        <f>IF(B19348="","",HOUR(A19348))</f>
        <v/>
      </c>
    </row>
    <row r="19349">
      <c r="A19349">
        <f>Input!A19349</f>
        <v/>
      </c>
      <c r="B19349">
        <f>IF(ISNUMBER(Input!B19349),IF(AND(Input!B19349&gt;=20,Input!B19349&lt;=700),Input!B19349,""),"")</f>
        <v/>
      </c>
      <c r="C19349">
        <f>IF(B19349="","",INT(A19349))</f>
        <v/>
      </c>
      <c r="D19349">
        <f>IF(B19349="","",HOUR(A19349))</f>
        <v/>
      </c>
    </row>
    <row r="19350">
      <c r="A19350">
        <f>Input!A19350</f>
        <v/>
      </c>
      <c r="B19350">
        <f>IF(ISNUMBER(Input!B19350),IF(AND(Input!B19350&gt;=20,Input!B19350&lt;=700),Input!B19350,""),"")</f>
        <v/>
      </c>
      <c r="C19350">
        <f>IF(B19350="","",INT(A19350))</f>
        <v/>
      </c>
      <c r="D19350">
        <f>IF(B19350="","",HOUR(A19350))</f>
        <v/>
      </c>
    </row>
    <row r="19351">
      <c r="A19351">
        <f>Input!A19351</f>
        <v/>
      </c>
      <c r="B19351">
        <f>IF(ISNUMBER(Input!B19351),IF(AND(Input!B19351&gt;=20,Input!B19351&lt;=700),Input!B19351,""),"")</f>
        <v/>
      </c>
      <c r="C19351">
        <f>IF(B19351="","",INT(A19351))</f>
        <v/>
      </c>
      <c r="D19351">
        <f>IF(B19351="","",HOUR(A19351))</f>
        <v/>
      </c>
    </row>
    <row r="19352">
      <c r="A19352">
        <f>Input!A19352</f>
        <v/>
      </c>
      <c r="B19352">
        <f>IF(ISNUMBER(Input!B19352),IF(AND(Input!B19352&gt;=20,Input!B19352&lt;=700),Input!B19352,""),"")</f>
        <v/>
      </c>
      <c r="C19352">
        <f>IF(B19352="","",INT(A19352))</f>
        <v/>
      </c>
      <c r="D19352">
        <f>IF(B19352="","",HOUR(A19352))</f>
        <v/>
      </c>
    </row>
    <row r="19353">
      <c r="A19353">
        <f>Input!A19353</f>
        <v/>
      </c>
      <c r="B19353">
        <f>IF(ISNUMBER(Input!B19353),IF(AND(Input!B19353&gt;=20,Input!B19353&lt;=700),Input!B19353,""),"")</f>
        <v/>
      </c>
      <c r="C19353">
        <f>IF(B19353="","",INT(A19353))</f>
        <v/>
      </c>
      <c r="D19353">
        <f>IF(B19353="","",HOUR(A19353))</f>
        <v/>
      </c>
    </row>
    <row r="19354">
      <c r="A19354">
        <f>Input!A19354</f>
        <v/>
      </c>
      <c r="B19354">
        <f>IF(ISNUMBER(Input!B19354),IF(AND(Input!B19354&gt;=20,Input!B19354&lt;=700),Input!B19354,""),"")</f>
        <v/>
      </c>
      <c r="C19354">
        <f>IF(B19354="","",INT(A19354))</f>
        <v/>
      </c>
      <c r="D19354">
        <f>IF(B19354="","",HOUR(A19354))</f>
        <v/>
      </c>
    </row>
    <row r="19355">
      <c r="A19355">
        <f>Input!A19355</f>
        <v/>
      </c>
      <c r="B19355">
        <f>IF(ISNUMBER(Input!B19355),IF(AND(Input!B19355&gt;=20,Input!B19355&lt;=700),Input!B19355,""),"")</f>
        <v/>
      </c>
      <c r="C19355">
        <f>IF(B19355="","",INT(A19355))</f>
        <v/>
      </c>
      <c r="D19355">
        <f>IF(B19355="","",HOUR(A19355))</f>
        <v/>
      </c>
    </row>
    <row r="19356">
      <c r="A19356">
        <f>Input!A19356</f>
        <v/>
      </c>
      <c r="B19356">
        <f>IF(ISNUMBER(Input!B19356),IF(AND(Input!B19356&gt;=20,Input!B19356&lt;=700),Input!B19356,""),"")</f>
        <v/>
      </c>
      <c r="C19356">
        <f>IF(B19356="","",INT(A19356))</f>
        <v/>
      </c>
      <c r="D19356">
        <f>IF(B19356="","",HOUR(A19356))</f>
        <v/>
      </c>
    </row>
    <row r="19357">
      <c r="A19357">
        <f>Input!A19357</f>
        <v/>
      </c>
      <c r="B19357">
        <f>IF(ISNUMBER(Input!B19357),IF(AND(Input!B19357&gt;=20,Input!B19357&lt;=700),Input!B19357,""),"")</f>
        <v/>
      </c>
      <c r="C19357">
        <f>IF(B19357="","",INT(A19357))</f>
        <v/>
      </c>
      <c r="D19357">
        <f>IF(B19357="","",HOUR(A19357))</f>
        <v/>
      </c>
    </row>
    <row r="19358">
      <c r="A19358">
        <f>Input!A19358</f>
        <v/>
      </c>
      <c r="B19358">
        <f>IF(ISNUMBER(Input!B19358),IF(AND(Input!B19358&gt;=20,Input!B19358&lt;=700),Input!B19358,""),"")</f>
        <v/>
      </c>
      <c r="C19358">
        <f>IF(B19358="","",INT(A19358))</f>
        <v/>
      </c>
      <c r="D19358">
        <f>IF(B19358="","",HOUR(A19358))</f>
        <v/>
      </c>
    </row>
    <row r="19359">
      <c r="A19359">
        <f>Input!A19359</f>
        <v/>
      </c>
      <c r="B19359">
        <f>IF(ISNUMBER(Input!B19359),IF(AND(Input!B19359&gt;=20,Input!B19359&lt;=700),Input!B19359,""),"")</f>
        <v/>
      </c>
      <c r="C19359">
        <f>IF(B19359="","",INT(A19359))</f>
        <v/>
      </c>
      <c r="D19359">
        <f>IF(B19359="","",HOUR(A19359))</f>
        <v/>
      </c>
    </row>
    <row r="19360">
      <c r="A19360">
        <f>Input!A19360</f>
        <v/>
      </c>
      <c r="B19360">
        <f>IF(ISNUMBER(Input!B19360),IF(AND(Input!B19360&gt;=20,Input!B19360&lt;=700),Input!B19360,""),"")</f>
        <v/>
      </c>
      <c r="C19360">
        <f>IF(B19360="","",INT(A19360))</f>
        <v/>
      </c>
      <c r="D19360">
        <f>IF(B19360="","",HOUR(A19360))</f>
        <v/>
      </c>
    </row>
    <row r="19361">
      <c r="A19361">
        <f>Input!A19361</f>
        <v/>
      </c>
      <c r="B19361">
        <f>IF(ISNUMBER(Input!B19361),IF(AND(Input!B19361&gt;=20,Input!B19361&lt;=700),Input!B19361,""),"")</f>
        <v/>
      </c>
      <c r="C19361">
        <f>IF(B19361="","",INT(A19361))</f>
        <v/>
      </c>
      <c r="D19361">
        <f>IF(B19361="","",HOUR(A19361))</f>
        <v/>
      </c>
    </row>
    <row r="19362">
      <c r="A19362">
        <f>Input!A19362</f>
        <v/>
      </c>
      <c r="B19362">
        <f>IF(ISNUMBER(Input!B19362),IF(AND(Input!B19362&gt;=20,Input!B19362&lt;=700),Input!B19362,""),"")</f>
        <v/>
      </c>
      <c r="C19362">
        <f>IF(B19362="","",INT(A19362))</f>
        <v/>
      </c>
      <c r="D19362">
        <f>IF(B19362="","",HOUR(A19362))</f>
        <v/>
      </c>
    </row>
    <row r="19363">
      <c r="A19363">
        <f>Input!A19363</f>
        <v/>
      </c>
      <c r="B19363">
        <f>IF(ISNUMBER(Input!B19363),IF(AND(Input!B19363&gt;=20,Input!B19363&lt;=700),Input!B19363,""),"")</f>
        <v/>
      </c>
      <c r="C19363">
        <f>IF(B19363="","",INT(A19363))</f>
        <v/>
      </c>
      <c r="D19363">
        <f>IF(B19363="","",HOUR(A19363))</f>
        <v/>
      </c>
    </row>
    <row r="19364">
      <c r="A19364">
        <f>Input!A19364</f>
        <v/>
      </c>
      <c r="B19364">
        <f>IF(ISNUMBER(Input!B19364),IF(AND(Input!B19364&gt;=20,Input!B19364&lt;=700),Input!B19364,""),"")</f>
        <v/>
      </c>
      <c r="C19364">
        <f>IF(B19364="","",INT(A19364))</f>
        <v/>
      </c>
      <c r="D19364">
        <f>IF(B19364="","",HOUR(A19364))</f>
        <v/>
      </c>
    </row>
    <row r="19365">
      <c r="A19365">
        <f>Input!A19365</f>
        <v/>
      </c>
      <c r="B19365">
        <f>IF(ISNUMBER(Input!B19365),IF(AND(Input!B19365&gt;=20,Input!B19365&lt;=700),Input!B19365,""),"")</f>
        <v/>
      </c>
      <c r="C19365">
        <f>IF(B19365="","",INT(A19365))</f>
        <v/>
      </c>
      <c r="D19365">
        <f>IF(B19365="","",HOUR(A19365))</f>
        <v/>
      </c>
    </row>
    <row r="19366">
      <c r="A19366">
        <f>Input!A19366</f>
        <v/>
      </c>
      <c r="B19366">
        <f>IF(ISNUMBER(Input!B19366),IF(AND(Input!B19366&gt;=20,Input!B19366&lt;=700),Input!B19366,""),"")</f>
        <v/>
      </c>
      <c r="C19366">
        <f>IF(B19366="","",INT(A19366))</f>
        <v/>
      </c>
      <c r="D19366">
        <f>IF(B19366="","",HOUR(A19366))</f>
        <v/>
      </c>
    </row>
    <row r="19367">
      <c r="A19367">
        <f>Input!A19367</f>
        <v/>
      </c>
      <c r="B19367">
        <f>IF(ISNUMBER(Input!B19367),IF(AND(Input!B19367&gt;=20,Input!B19367&lt;=700),Input!B19367,""),"")</f>
        <v/>
      </c>
      <c r="C19367">
        <f>IF(B19367="","",INT(A19367))</f>
        <v/>
      </c>
      <c r="D19367">
        <f>IF(B19367="","",HOUR(A19367))</f>
        <v/>
      </c>
    </row>
    <row r="19368">
      <c r="A19368">
        <f>Input!A19368</f>
        <v/>
      </c>
      <c r="B19368">
        <f>IF(ISNUMBER(Input!B19368),IF(AND(Input!B19368&gt;=20,Input!B19368&lt;=700),Input!B19368,""),"")</f>
        <v/>
      </c>
      <c r="C19368">
        <f>IF(B19368="","",INT(A19368))</f>
        <v/>
      </c>
      <c r="D19368">
        <f>IF(B19368="","",HOUR(A19368))</f>
        <v/>
      </c>
    </row>
    <row r="19369">
      <c r="A19369">
        <f>Input!A19369</f>
        <v/>
      </c>
      <c r="B19369">
        <f>IF(ISNUMBER(Input!B19369),IF(AND(Input!B19369&gt;=20,Input!B19369&lt;=700),Input!B19369,""),"")</f>
        <v/>
      </c>
      <c r="C19369">
        <f>IF(B19369="","",INT(A19369))</f>
        <v/>
      </c>
      <c r="D19369">
        <f>IF(B19369="","",HOUR(A19369))</f>
        <v/>
      </c>
    </row>
    <row r="19370">
      <c r="A19370">
        <f>Input!A19370</f>
        <v/>
      </c>
      <c r="B19370">
        <f>IF(ISNUMBER(Input!B19370),IF(AND(Input!B19370&gt;=20,Input!B19370&lt;=700),Input!B19370,""),"")</f>
        <v/>
      </c>
      <c r="C19370">
        <f>IF(B19370="","",INT(A19370))</f>
        <v/>
      </c>
      <c r="D19370">
        <f>IF(B19370="","",HOUR(A19370))</f>
        <v/>
      </c>
    </row>
    <row r="19371">
      <c r="A19371">
        <f>Input!A19371</f>
        <v/>
      </c>
      <c r="B19371">
        <f>IF(ISNUMBER(Input!B19371),IF(AND(Input!B19371&gt;=20,Input!B19371&lt;=700),Input!B19371,""),"")</f>
        <v/>
      </c>
      <c r="C19371">
        <f>IF(B19371="","",INT(A19371))</f>
        <v/>
      </c>
      <c r="D19371">
        <f>IF(B19371="","",HOUR(A19371))</f>
        <v/>
      </c>
    </row>
    <row r="19372">
      <c r="A19372">
        <f>Input!A19372</f>
        <v/>
      </c>
      <c r="B19372">
        <f>IF(ISNUMBER(Input!B19372),IF(AND(Input!B19372&gt;=20,Input!B19372&lt;=700),Input!B19372,""),"")</f>
        <v/>
      </c>
      <c r="C19372">
        <f>IF(B19372="","",INT(A19372))</f>
        <v/>
      </c>
      <c r="D19372">
        <f>IF(B19372="","",HOUR(A19372))</f>
        <v/>
      </c>
    </row>
    <row r="19373">
      <c r="A19373">
        <f>Input!A19373</f>
        <v/>
      </c>
      <c r="B19373">
        <f>IF(ISNUMBER(Input!B19373),IF(AND(Input!B19373&gt;=20,Input!B19373&lt;=700),Input!B19373,""),"")</f>
        <v/>
      </c>
      <c r="C19373">
        <f>IF(B19373="","",INT(A19373))</f>
        <v/>
      </c>
      <c r="D19373">
        <f>IF(B19373="","",HOUR(A19373))</f>
        <v/>
      </c>
    </row>
    <row r="19374">
      <c r="A19374">
        <f>Input!A19374</f>
        <v/>
      </c>
      <c r="B19374">
        <f>IF(ISNUMBER(Input!B19374),IF(AND(Input!B19374&gt;=20,Input!B19374&lt;=700),Input!B19374,""),"")</f>
        <v/>
      </c>
      <c r="C19374">
        <f>IF(B19374="","",INT(A19374))</f>
        <v/>
      </c>
      <c r="D19374">
        <f>IF(B19374="","",HOUR(A19374))</f>
        <v/>
      </c>
    </row>
    <row r="19375">
      <c r="A19375">
        <f>Input!A19375</f>
        <v/>
      </c>
      <c r="B19375">
        <f>IF(ISNUMBER(Input!B19375),IF(AND(Input!B19375&gt;=20,Input!B19375&lt;=700),Input!B19375,""),"")</f>
        <v/>
      </c>
      <c r="C19375">
        <f>IF(B19375="","",INT(A19375))</f>
        <v/>
      </c>
      <c r="D19375">
        <f>IF(B19375="","",HOUR(A19375))</f>
        <v/>
      </c>
    </row>
    <row r="19376">
      <c r="A19376">
        <f>Input!A19376</f>
        <v/>
      </c>
      <c r="B19376">
        <f>IF(ISNUMBER(Input!B19376),IF(AND(Input!B19376&gt;=20,Input!B19376&lt;=700),Input!B19376,""),"")</f>
        <v/>
      </c>
      <c r="C19376">
        <f>IF(B19376="","",INT(A19376))</f>
        <v/>
      </c>
      <c r="D19376">
        <f>IF(B19376="","",HOUR(A19376))</f>
        <v/>
      </c>
    </row>
    <row r="19377">
      <c r="A19377">
        <f>Input!A19377</f>
        <v/>
      </c>
      <c r="B19377">
        <f>IF(ISNUMBER(Input!B19377),IF(AND(Input!B19377&gt;=20,Input!B19377&lt;=700),Input!B19377,""),"")</f>
        <v/>
      </c>
      <c r="C19377">
        <f>IF(B19377="","",INT(A19377))</f>
        <v/>
      </c>
      <c r="D19377">
        <f>IF(B19377="","",HOUR(A19377))</f>
        <v/>
      </c>
    </row>
    <row r="19378">
      <c r="A19378">
        <f>Input!A19378</f>
        <v/>
      </c>
      <c r="B19378">
        <f>IF(ISNUMBER(Input!B19378),IF(AND(Input!B19378&gt;=20,Input!B19378&lt;=700),Input!B19378,""),"")</f>
        <v/>
      </c>
      <c r="C19378">
        <f>IF(B19378="","",INT(A19378))</f>
        <v/>
      </c>
      <c r="D19378">
        <f>IF(B19378="","",HOUR(A19378))</f>
        <v/>
      </c>
    </row>
    <row r="19379">
      <c r="A19379">
        <f>Input!A19379</f>
        <v/>
      </c>
      <c r="B19379">
        <f>IF(ISNUMBER(Input!B19379),IF(AND(Input!B19379&gt;=20,Input!B19379&lt;=700),Input!B19379,""),"")</f>
        <v/>
      </c>
      <c r="C19379">
        <f>IF(B19379="","",INT(A19379))</f>
        <v/>
      </c>
      <c r="D19379">
        <f>IF(B19379="","",HOUR(A19379))</f>
        <v/>
      </c>
    </row>
    <row r="19380">
      <c r="A19380">
        <f>Input!A19380</f>
        <v/>
      </c>
      <c r="B19380">
        <f>IF(ISNUMBER(Input!B19380),IF(AND(Input!B19380&gt;=20,Input!B19380&lt;=700),Input!B19380,""),"")</f>
        <v/>
      </c>
      <c r="C19380">
        <f>IF(B19380="","",INT(A19380))</f>
        <v/>
      </c>
      <c r="D19380">
        <f>IF(B19380="","",HOUR(A19380))</f>
        <v/>
      </c>
    </row>
    <row r="19381">
      <c r="A19381">
        <f>Input!A19381</f>
        <v/>
      </c>
      <c r="B19381">
        <f>IF(ISNUMBER(Input!B19381),IF(AND(Input!B19381&gt;=20,Input!B19381&lt;=700),Input!B19381,""),"")</f>
        <v/>
      </c>
      <c r="C19381">
        <f>IF(B19381="","",INT(A19381))</f>
        <v/>
      </c>
      <c r="D19381">
        <f>IF(B19381="","",HOUR(A19381))</f>
        <v/>
      </c>
    </row>
    <row r="19382">
      <c r="A19382">
        <f>Input!A19382</f>
        <v/>
      </c>
      <c r="B19382">
        <f>IF(ISNUMBER(Input!B19382),IF(AND(Input!B19382&gt;=20,Input!B19382&lt;=700),Input!B19382,""),"")</f>
        <v/>
      </c>
      <c r="C19382">
        <f>IF(B19382="","",INT(A19382))</f>
        <v/>
      </c>
      <c r="D19382">
        <f>IF(B19382="","",HOUR(A19382))</f>
        <v/>
      </c>
    </row>
    <row r="19383">
      <c r="A19383">
        <f>Input!A19383</f>
        <v/>
      </c>
      <c r="B19383">
        <f>IF(ISNUMBER(Input!B19383),IF(AND(Input!B19383&gt;=20,Input!B19383&lt;=700),Input!B19383,""),"")</f>
        <v/>
      </c>
      <c r="C19383">
        <f>IF(B19383="","",INT(A19383))</f>
        <v/>
      </c>
      <c r="D19383">
        <f>IF(B19383="","",HOUR(A19383))</f>
        <v/>
      </c>
    </row>
    <row r="19384">
      <c r="A19384">
        <f>Input!A19384</f>
        <v/>
      </c>
      <c r="B19384">
        <f>IF(ISNUMBER(Input!B19384),IF(AND(Input!B19384&gt;=20,Input!B19384&lt;=700),Input!B19384,""),"")</f>
        <v/>
      </c>
      <c r="C19384">
        <f>IF(B19384="","",INT(A19384))</f>
        <v/>
      </c>
      <c r="D19384">
        <f>IF(B19384="","",HOUR(A19384))</f>
        <v/>
      </c>
    </row>
    <row r="19385">
      <c r="A19385">
        <f>Input!A19385</f>
        <v/>
      </c>
      <c r="B19385">
        <f>IF(ISNUMBER(Input!B19385),IF(AND(Input!B19385&gt;=20,Input!B19385&lt;=700),Input!B19385,""),"")</f>
        <v/>
      </c>
      <c r="C19385">
        <f>IF(B19385="","",INT(A19385))</f>
        <v/>
      </c>
      <c r="D19385">
        <f>IF(B19385="","",HOUR(A19385))</f>
        <v/>
      </c>
    </row>
    <row r="19386">
      <c r="A19386">
        <f>Input!A19386</f>
        <v/>
      </c>
      <c r="B19386">
        <f>IF(ISNUMBER(Input!B19386),IF(AND(Input!B19386&gt;=20,Input!B19386&lt;=700),Input!B19386,""),"")</f>
        <v/>
      </c>
      <c r="C19386">
        <f>IF(B19386="","",INT(A19386))</f>
        <v/>
      </c>
      <c r="D19386">
        <f>IF(B19386="","",HOUR(A19386))</f>
        <v/>
      </c>
    </row>
    <row r="19387">
      <c r="A19387">
        <f>Input!A19387</f>
        <v/>
      </c>
      <c r="B19387">
        <f>IF(ISNUMBER(Input!B19387),IF(AND(Input!B19387&gt;=20,Input!B19387&lt;=700),Input!B19387,""),"")</f>
        <v/>
      </c>
      <c r="C19387">
        <f>IF(B19387="","",INT(A19387))</f>
        <v/>
      </c>
      <c r="D19387">
        <f>IF(B19387="","",HOUR(A19387))</f>
        <v/>
      </c>
    </row>
    <row r="19388">
      <c r="A19388">
        <f>Input!A19388</f>
        <v/>
      </c>
      <c r="B19388">
        <f>IF(ISNUMBER(Input!B19388),IF(AND(Input!B19388&gt;=20,Input!B19388&lt;=700),Input!B19388,""),"")</f>
        <v/>
      </c>
      <c r="C19388">
        <f>IF(B19388="","",INT(A19388))</f>
        <v/>
      </c>
      <c r="D19388">
        <f>IF(B19388="","",HOUR(A19388))</f>
        <v/>
      </c>
    </row>
    <row r="19389">
      <c r="A19389">
        <f>Input!A19389</f>
        <v/>
      </c>
      <c r="B19389">
        <f>IF(ISNUMBER(Input!B19389),IF(AND(Input!B19389&gt;=20,Input!B19389&lt;=700),Input!B19389,""),"")</f>
        <v/>
      </c>
      <c r="C19389">
        <f>IF(B19389="","",INT(A19389))</f>
        <v/>
      </c>
      <c r="D19389">
        <f>IF(B19389="","",HOUR(A19389))</f>
        <v/>
      </c>
    </row>
    <row r="19390">
      <c r="A19390">
        <f>Input!A19390</f>
        <v/>
      </c>
      <c r="B19390">
        <f>IF(ISNUMBER(Input!B19390),IF(AND(Input!B19390&gt;=20,Input!B19390&lt;=700),Input!B19390,""),"")</f>
        <v/>
      </c>
      <c r="C19390">
        <f>IF(B19390="","",INT(A19390))</f>
        <v/>
      </c>
      <c r="D19390">
        <f>IF(B19390="","",HOUR(A19390))</f>
        <v/>
      </c>
    </row>
    <row r="19391">
      <c r="A19391">
        <f>Input!A19391</f>
        <v/>
      </c>
      <c r="B19391">
        <f>IF(ISNUMBER(Input!B19391),IF(AND(Input!B19391&gt;=20,Input!B19391&lt;=700),Input!B19391,""),"")</f>
        <v/>
      </c>
      <c r="C19391">
        <f>IF(B19391="","",INT(A19391))</f>
        <v/>
      </c>
      <c r="D19391">
        <f>IF(B19391="","",HOUR(A19391))</f>
        <v/>
      </c>
    </row>
    <row r="19392">
      <c r="A19392">
        <f>Input!A19392</f>
        <v/>
      </c>
      <c r="B19392">
        <f>IF(ISNUMBER(Input!B19392),IF(AND(Input!B19392&gt;=20,Input!B19392&lt;=700),Input!B19392,""),"")</f>
        <v/>
      </c>
      <c r="C19392">
        <f>IF(B19392="","",INT(A19392))</f>
        <v/>
      </c>
      <c r="D19392">
        <f>IF(B19392="","",HOUR(A19392))</f>
        <v/>
      </c>
    </row>
    <row r="19393">
      <c r="A19393">
        <f>Input!A19393</f>
        <v/>
      </c>
      <c r="B19393">
        <f>IF(ISNUMBER(Input!B19393),IF(AND(Input!B19393&gt;=20,Input!B19393&lt;=700),Input!B19393,""),"")</f>
        <v/>
      </c>
      <c r="C19393">
        <f>IF(B19393="","",INT(A19393))</f>
        <v/>
      </c>
      <c r="D19393">
        <f>IF(B19393="","",HOUR(A19393))</f>
        <v/>
      </c>
    </row>
    <row r="19394">
      <c r="A19394">
        <f>Input!A19394</f>
        <v/>
      </c>
      <c r="B19394">
        <f>IF(ISNUMBER(Input!B19394),IF(AND(Input!B19394&gt;=20,Input!B19394&lt;=700),Input!B19394,""),"")</f>
        <v/>
      </c>
      <c r="C19394">
        <f>IF(B19394="","",INT(A19394))</f>
        <v/>
      </c>
      <c r="D19394">
        <f>IF(B19394="","",HOUR(A19394))</f>
        <v/>
      </c>
    </row>
    <row r="19395">
      <c r="A19395">
        <f>Input!A19395</f>
        <v/>
      </c>
      <c r="B19395">
        <f>IF(ISNUMBER(Input!B19395),IF(AND(Input!B19395&gt;=20,Input!B19395&lt;=700),Input!B19395,""),"")</f>
        <v/>
      </c>
      <c r="C19395">
        <f>IF(B19395="","",INT(A19395))</f>
        <v/>
      </c>
      <c r="D19395">
        <f>IF(B19395="","",HOUR(A19395))</f>
        <v/>
      </c>
    </row>
    <row r="19396">
      <c r="A19396">
        <f>Input!A19396</f>
        <v/>
      </c>
      <c r="B19396">
        <f>IF(ISNUMBER(Input!B19396),IF(AND(Input!B19396&gt;=20,Input!B19396&lt;=700),Input!B19396,""),"")</f>
        <v/>
      </c>
      <c r="C19396">
        <f>IF(B19396="","",INT(A19396))</f>
        <v/>
      </c>
      <c r="D19396">
        <f>IF(B19396="","",HOUR(A19396))</f>
        <v/>
      </c>
    </row>
    <row r="19397">
      <c r="A19397">
        <f>Input!A19397</f>
        <v/>
      </c>
      <c r="B19397">
        <f>IF(ISNUMBER(Input!B19397),IF(AND(Input!B19397&gt;=20,Input!B19397&lt;=700),Input!B19397,""),"")</f>
        <v/>
      </c>
      <c r="C19397">
        <f>IF(B19397="","",INT(A19397))</f>
        <v/>
      </c>
      <c r="D19397">
        <f>IF(B19397="","",HOUR(A19397))</f>
        <v/>
      </c>
    </row>
    <row r="19398">
      <c r="A19398">
        <f>Input!A19398</f>
        <v/>
      </c>
      <c r="B19398">
        <f>IF(ISNUMBER(Input!B19398),IF(AND(Input!B19398&gt;=20,Input!B19398&lt;=700),Input!B19398,""),"")</f>
        <v/>
      </c>
      <c r="C19398">
        <f>IF(B19398="","",INT(A19398))</f>
        <v/>
      </c>
      <c r="D19398">
        <f>IF(B19398="","",HOUR(A19398))</f>
        <v/>
      </c>
    </row>
    <row r="19399">
      <c r="A19399">
        <f>Input!A19399</f>
        <v/>
      </c>
      <c r="B19399">
        <f>IF(ISNUMBER(Input!B19399),IF(AND(Input!B19399&gt;=20,Input!B19399&lt;=700),Input!B19399,""),"")</f>
        <v/>
      </c>
      <c r="C19399">
        <f>IF(B19399="","",INT(A19399))</f>
        <v/>
      </c>
      <c r="D19399">
        <f>IF(B19399="","",HOUR(A19399))</f>
        <v/>
      </c>
    </row>
    <row r="19400">
      <c r="A19400">
        <f>Input!A19400</f>
        <v/>
      </c>
      <c r="B19400">
        <f>IF(ISNUMBER(Input!B19400),IF(AND(Input!B19400&gt;=20,Input!B19400&lt;=700),Input!B19400,""),"")</f>
        <v/>
      </c>
      <c r="C19400">
        <f>IF(B19400="","",INT(A19400))</f>
        <v/>
      </c>
      <c r="D19400">
        <f>IF(B19400="","",HOUR(A19400))</f>
        <v/>
      </c>
    </row>
    <row r="19401">
      <c r="A19401">
        <f>Input!A19401</f>
        <v/>
      </c>
      <c r="B19401">
        <f>IF(ISNUMBER(Input!B19401),IF(AND(Input!B19401&gt;=20,Input!B19401&lt;=700),Input!B19401,""),"")</f>
        <v/>
      </c>
      <c r="C19401">
        <f>IF(B19401="","",INT(A19401))</f>
        <v/>
      </c>
      <c r="D19401">
        <f>IF(B19401="","",HOUR(A19401))</f>
        <v/>
      </c>
    </row>
    <row r="19402">
      <c r="A19402">
        <f>Input!A19402</f>
        <v/>
      </c>
      <c r="B19402">
        <f>IF(ISNUMBER(Input!B19402),IF(AND(Input!B19402&gt;=20,Input!B19402&lt;=700),Input!B19402,""),"")</f>
        <v/>
      </c>
      <c r="C19402">
        <f>IF(B19402="","",INT(A19402))</f>
        <v/>
      </c>
      <c r="D19402">
        <f>IF(B19402="","",HOUR(A19402))</f>
        <v/>
      </c>
    </row>
    <row r="19403">
      <c r="A19403">
        <f>Input!A19403</f>
        <v/>
      </c>
      <c r="B19403">
        <f>IF(ISNUMBER(Input!B19403),IF(AND(Input!B19403&gt;=20,Input!B19403&lt;=700),Input!B19403,""),"")</f>
        <v/>
      </c>
      <c r="C19403">
        <f>IF(B19403="","",INT(A19403))</f>
        <v/>
      </c>
      <c r="D19403">
        <f>IF(B19403="","",HOUR(A19403))</f>
        <v/>
      </c>
    </row>
    <row r="19404">
      <c r="A19404">
        <f>Input!A19404</f>
        <v/>
      </c>
      <c r="B19404">
        <f>IF(ISNUMBER(Input!B19404),IF(AND(Input!B19404&gt;=20,Input!B19404&lt;=700),Input!B19404,""),"")</f>
        <v/>
      </c>
      <c r="C19404">
        <f>IF(B19404="","",INT(A19404))</f>
        <v/>
      </c>
      <c r="D19404">
        <f>IF(B19404="","",HOUR(A19404))</f>
        <v/>
      </c>
    </row>
    <row r="19405">
      <c r="A19405">
        <f>Input!A19405</f>
        <v/>
      </c>
      <c r="B19405">
        <f>IF(ISNUMBER(Input!B19405),IF(AND(Input!B19405&gt;=20,Input!B19405&lt;=700),Input!B19405,""),"")</f>
        <v/>
      </c>
      <c r="C19405">
        <f>IF(B19405="","",INT(A19405))</f>
        <v/>
      </c>
      <c r="D19405">
        <f>IF(B19405="","",HOUR(A19405))</f>
        <v/>
      </c>
    </row>
    <row r="19406">
      <c r="A19406">
        <f>Input!A19406</f>
        <v/>
      </c>
      <c r="B19406">
        <f>IF(ISNUMBER(Input!B19406),IF(AND(Input!B19406&gt;=20,Input!B19406&lt;=700),Input!B19406,""),"")</f>
        <v/>
      </c>
      <c r="C19406">
        <f>IF(B19406="","",INT(A19406))</f>
        <v/>
      </c>
      <c r="D19406">
        <f>IF(B19406="","",HOUR(A19406))</f>
        <v/>
      </c>
    </row>
    <row r="19407">
      <c r="A19407">
        <f>Input!A19407</f>
        <v/>
      </c>
      <c r="B19407">
        <f>IF(ISNUMBER(Input!B19407),IF(AND(Input!B19407&gt;=20,Input!B19407&lt;=700),Input!B19407,""),"")</f>
        <v/>
      </c>
      <c r="C19407">
        <f>IF(B19407="","",INT(A19407))</f>
        <v/>
      </c>
      <c r="D19407">
        <f>IF(B19407="","",HOUR(A19407))</f>
        <v/>
      </c>
    </row>
    <row r="19408">
      <c r="A19408">
        <f>Input!A19408</f>
        <v/>
      </c>
      <c r="B19408">
        <f>IF(ISNUMBER(Input!B19408),IF(AND(Input!B19408&gt;=20,Input!B19408&lt;=700),Input!B19408,""),"")</f>
        <v/>
      </c>
      <c r="C19408">
        <f>IF(B19408="","",INT(A19408))</f>
        <v/>
      </c>
      <c r="D19408">
        <f>IF(B19408="","",HOUR(A19408))</f>
        <v/>
      </c>
    </row>
    <row r="19409">
      <c r="A19409">
        <f>Input!A19409</f>
        <v/>
      </c>
      <c r="B19409">
        <f>IF(ISNUMBER(Input!B19409),IF(AND(Input!B19409&gt;=20,Input!B19409&lt;=700),Input!B19409,""),"")</f>
        <v/>
      </c>
      <c r="C19409">
        <f>IF(B19409="","",INT(A19409))</f>
        <v/>
      </c>
      <c r="D19409">
        <f>IF(B19409="","",HOUR(A19409))</f>
        <v/>
      </c>
    </row>
    <row r="19410">
      <c r="A19410">
        <f>Input!A19410</f>
        <v/>
      </c>
      <c r="B19410">
        <f>IF(ISNUMBER(Input!B19410),IF(AND(Input!B19410&gt;=20,Input!B19410&lt;=700),Input!B19410,""),"")</f>
        <v/>
      </c>
      <c r="C19410">
        <f>IF(B19410="","",INT(A19410))</f>
        <v/>
      </c>
      <c r="D19410">
        <f>IF(B19410="","",HOUR(A19410))</f>
        <v/>
      </c>
    </row>
    <row r="19411">
      <c r="A19411">
        <f>Input!A19411</f>
        <v/>
      </c>
      <c r="B19411">
        <f>IF(ISNUMBER(Input!B19411),IF(AND(Input!B19411&gt;=20,Input!B19411&lt;=700),Input!B19411,""),"")</f>
        <v/>
      </c>
      <c r="C19411">
        <f>IF(B19411="","",INT(A19411))</f>
        <v/>
      </c>
      <c r="D19411">
        <f>IF(B19411="","",HOUR(A19411))</f>
        <v/>
      </c>
    </row>
    <row r="19412">
      <c r="A19412">
        <f>Input!A19412</f>
        <v/>
      </c>
      <c r="B19412">
        <f>IF(ISNUMBER(Input!B19412),IF(AND(Input!B19412&gt;=20,Input!B19412&lt;=700),Input!B19412,""),"")</f>
        <v/>
      </c>
      <c r="C19412">
        <f>IF(B19412="","",INT(A19412))</f>
        <v/>
      </c>
      <c r="D19412">
        <f>IF(B19412="","",HOUR(A19412))</f>
        <v/>
      </c>
    </row>
    <row r="19413">
      <c r="A19413">
        <f>Input!A19413</f>
        <v/>
      </c>
      <c r="B19413">
        <f>IF(ISNUMBER(Input!B19413),IF(AND(Input!B19413&gt;=20,Input!B19413&lt;=700),Input!B19413,""),"")</f>
        <v/>
      </c>
      <c r="C19413">
        <f>IF(B19413="","",INT(A19413))</f>
        <v/>
      </c>
      <c r="D19413">
        <f>IF(B19413="","",HOUR(A19413))</f>
        <v/>
      </c>
    </row>
    <row r="19414">
      <c r="A19414">
        <f>Input!A19414</f>
        <v/>
      </c>
      <c r="B19414">
        <f>IF(ISNUMBER(Input!B19414),IF(AND(Input!B19414&gt;=20,Input!B19414&lt;=700),Input!B19414,""),"")</f>
        <v/>
      </c>
      <c r="C19414">
        <f>IF(B19414="","",INT(A19414))</f>
        <v/>
      </c>
      <c r="D19414">
        <f>IF(B19414="","",HOUR(A19414))</f>
        <v/>
      </c>
    </row>
    <row r="19415">
      <c r="A19415">
        <f>Input!A19415</f>
        <v/>
      </c>
      <c r="B19415">
        <f>IF(ISNUMBER(Input!B19415),IF(AND(Input!B19415&gt;=20,Input!B19415&lt;=700),Input!B19415,""),"")</f>
        <v/>
      </c>
      <c r="C19415">
        <f>IF(B19415="","",INT(A19415))</f>
        <v/>
      </c>
      <c r="D19415">
        <f>IF(B19415="","",HOUR(A19415))</f>
        <v/>
      </c>
    </row>
    <row r="19416">
      <c r="A19416">
        <f>Input!A19416</f>
        <v/>
      </c>
      <c r="B19416">
        <f>IF(ISNUMBER(Input!B19416),IF(AND(Input!B19416&gt;=20,Input!B19416&lt;=700),Input!B19416,""),"")</f>
        <v/>
      </c>
      <c r="C19416">
        <f>IF(B19416="","",INT(A19416))</f>
        <v/>
      </c>
      <c r="D19416">
        <f>IF(B19416="","",HOUR(A19416))</f>
        <v/>
      </c>
    </row>
    <row r="19417">
      <c r="A19417">
        <f>Input!A19417</f>
        <v/>
      </c>
      <c r="B19417">
        <f>IF(ISNUMBER(Input!B19417),IF(AND(Input!B19417&gt;=20,Input!B19417&lt;=700),Input!B19417,""),"")</f>
        <v/>
      </c>
      <c r="C19417">
        <f>IF(B19417="","",INT(A19417))</f>
        <v/>
      </c>
      <c r="D19417">
        <f>IF(B19417="","",HOUR(A19417))</f>
        <v/>
      </c>
    </row>
    <row r="19418">
      <c r="A19418">
        <f>Input!A19418</f>
        <v/>
      </c>
      <c r="B19418">
        <f>IF(ISNUMBER(Input!B19418),IF(AND(Input!B19418&gt;=20,Input!B19418&lt;=700),Input!B19418,""),"")</f>
        <v/>
      </c>
      <c r="C19418">
        <f>IF(B19418="","",INT(A19418))</f>
        <v/>
      </c>
      <c r="D19418">
        <f>IF(B19418="","",HOUR(A19418))</f>
        <v/>
      </c>
    </row>
    <row r="19419">
      <c r="A19419">
        <f>Input!A19419</f>
        <v/>
      </c>
      <c r="B19419">
        <f>IF(ISNUMBER(Input!B19419),IF(AND(Input!B19419&gt;=20,Input!B19419&lt;=700),Input!B19419,""),"")</f>
        <v/>
      </c>
      <c r="C19419">
        <f>IF(B19419="","",INT(A19419))</f>
        <v/>
      </c>
      <c r="D19419">
        <f>IF(B19419="","",HOUR(A19419))</f>
        <v/>
      </c>
    </row>
    <row r="19420">
      <c r="A19420">
        <f>Input!A19420</f>
        <v/>
      </c>
      <c r="B19420">
        <f>IF(ISNUMBER(Input!B19420),IF(AND(Input!B19420&gt;=20,Input!B19420&lt;=700),Input!B19420,""),"")</f>
        <v/>
      </c>
      <c r="C19420">
        <f>IF(B19420="","",INT(A19420))</f>
        <v/>
      </c>
      <c r="D19420">
        <f>IF(B19420="","",HOUR(A19420))</f>
        <v/>
      </c>
    </row>
    <row r="19421">
      <c r="A19421">
        <f>Input!A19421</f>
        <v/>
      </c>
      <c r="B19421">
        <f>IF(ISNUMBER(Input!B19421),IF(AND(Input!B19421&gt;=20,Input!B19421&lt;=700),Input!B19421,""),"")</f>
        <v/>
      </c>
      <c r="C19421">
        <f>IF(B19421="","",INT(A19421))</f>
        <v/>
      </c>
      <c r="D19421">
        <f>IF(B19421="","",HOUR(A19421))</f>
        <v/>
      </c>
    </row>
    <row r="19422">
      <c r="A19422">
        <f>Input!A19422</f>
        <v/>
      </c>
      <c r="B19422">
        <f>IF(ISNUMBER(Input!B19422),IF(AND(Input!B19422&gt;=20,Input!B19422&lt;=700),Input!B19422,""),"")</f>
        <v/>
      </c>
      <c r="C19422">
        <f>IF(B19422="","",INT(A19422))</f>
        <v/>
      </c>
      <c r="D19422">
        <f>IF(B19422="","",HOUR(A19422))</f>
        <v/>
      </c>
    </row>
    <row r="19423">
      <c r="A19423">
        <f>Input!A19423</f>
        <v/>
      </c>
      <c r="B19423">
        <f>IF(ISNUMBER(Input!B19423),IF(AND(Input!B19423&gt;=20,Input!B19423&lt;=700),Input!B19423,""),"")</f>
        <v/>
      </c>
      <c r="C19423">
        <f>IF(B19423="","",INT(A19423))</f>
        <v/>
      </c>
      <c r="D19423">
        <f>IF(B19423="","",HOUR(A19423))</f>
        <v/>
      </c>
    </row>
    <row r="19424">
      <c r="A19424">
        <f>Input!A19424</f>
        <v/>
      </c>
      <c r="B19424">
        <f>IF(ISNUMBER(Input!B19424),IF(AND(Input!B19424&gt;=20,Input!B19424&lt;=700),Input!B19424,""),"")</f>
        <v/>
      </c>
      <c r="C19424">
        <f>IF(B19424="","",INT(A19424))</f>
        <v/>
      </c>
      <c r="D19424">
        <f>IF(B19424="","",HOUR(A19424))</f>
        <v/>
      </c>
    </row>
    <row r="19425">
      <c r="A19425">
        <f>Input!A19425</f>
        <v/>
      </c>
      <c r="B19425">
        <f>IF(ISNUMBER(Input!B19425),IF(AND(Input!B19425&gt;=20,Input!B19425&lt;=700),Input!B19425,""),"")</f>
        <v/>
      </c>
      <c r="C19425">
        <f>IF(B19425="","",INT(A19425))</f>
        <v/>
      </c>
      <c r="D19425">
        <f>IF(B19425="","",HOUR(A19425))</f>
        <v/>
      </c>
    </row>
    <row r="19426">
      <c r="A19426">
        <f>Input!A19426</f>
        <v/>
      </c>
      <c r="B19426">
        <f>IF(ISNUMBER(Input!B19426),IF(AND(Input!B19426&gt;=20,Input!B19426&lt;=700),Input!B19426,""),"")</f>
        <v/>
      </c>
      <c r="C19426">
        <f>IF(B19426="","",INT(A19426))</f>
        <v/>
      </c>
      <c r="D19426">
        <f>IF(B19426="","",HOUR(A19426))</f>
        <v/>
      </c>
    </row>
    <row r="19427">
      <c r="A19427">
        <f>Input!A19427</f>
        <v/>
      </c>
      <c r="B19427">
        <f>IF(ISNUMBER(Input!B19427),IF(AND(Input!B19427&gt;=20,Input!B19427&lt;=700),Input!B19427,""),"")</f>
        <v/>
      </c>
      <c r="C19427">
        <f>IF(B19427="","",INT(A19427))</f>
        <v/>
      </c>
      <c r="D19427">
        <f>IF(B19427="","",HOUR(A19427))</f>
        <v/>
      </c>
    </row>
    <row r="19428">
      <c r="A19428">
        <f>Input!A19428</f>
        <v/>
      </c>
      <c r="B19428">
        <f>IF(ISNUMBER(Input!B19428),IF(AND(Input!B19428&gt;=20,Input!B19428&lt;=700),Input!B19428,""),"")</f>
        <v/>
      </c>
      <c r="C19428">
        <f>IF(B19428="","",INT(A19428))</f>
        <v/>
      </c>
      <c r="D19428">
        <f>IF(B19428="","",HOUR(A19428))</f>
        <v/>
      </c>
    </row>
    <row r="19429">
      <c r="A19429">
        <f>Input!A19429</f>
        <v/>
      </c>
      <c r="B19429">
        <f>IF(ISNUMBER(Input!B19429),IF(AND(Input!B19429&gt;=20,Input!B19429&lt;=700),Input!B19429,""),"")</f>
        <v/>
      </c>
      <c r="C19429">
        <f>IF(B19429="","",INT(A19429))</f>
        <v/>
      </c>
      <c r="D19429">
        <f>IF(B19429="","",HOUR(A19429))</f>
        <v/>
      </c>
    </row>
    <row r="19430">
      <c r="A19430">
        <f>Input!A19430</f>
        <v/>
      </c>
      <c r="B19430">
        <f>IF(ISNUMBER(Input!B19430),IF(AND(Input!B19430&gt;=20,Input!B19430&lt;=700),Input!B19430,""),"")</f>
        <v/>
      </c>
      <c r="C19430">
        <f>IF(B19430="","",INT(A19430))</f>
        <v/>
      </c>
      <c r="D19430">
        <f>IF(B19430="","",HOUR(A19430))</f>
        <v/>
      </c>
    </row>
    <row r="19431">
      <c r="A19431">
        <f>Input!A19431</f>
        <v/>
      </c>
      <c r="B19431">
        <f>IF(ISNUMBER(Input!B19431),IF(AND(Input!B19431&gt;=20,Input!B19431&lt;=700),Input!B19431,""),"")</f>
        <v/>
      </c>
      <c r="C19431">
        <f>IF(B19431="","",INT(A19431))</f>
        <v/>
      </c>
      <c r="D19431">
        <f>IF(B19431="","",HOUR(A19431))</f>
        <v/>
      </c>
    </row>
    <row r="19432">
      <c r="A19432">
        <f>Input!A19432</f>
        <v/>
      </c>
      <c r="B19432">
        <f>IF(ISNUMBER(Input!B19432),IF(AND(Input!B19432&gt;=20,Input!B19432&lt;=700),Input!B19432,""),"")</f>
        <v/>
      </c>
      <c r="C19432">
        <f>IF(B19432="","",INT(A19432))</f>
        <v/>
      </c>
      <c r="D19432">
        <f>IF(B19432="","",HOUR(A19432))</f>
        <v/>
      </c>
    </row>
    <row r="19433">
      <c r="A19433">
        <f>Input!A19433</f>
        <v/>
      </c>
      <c r="B19433">
        <f>IF(ISNUMBER(Input!B19433),IF(AND(Input!B19433&gt;=20,Input!B19433&lt;=700),Input!B19433,""),"")</f>
        <v/>
      </c>
      <c r="C19433">
        <f>IF(B19433="","",INT(A19433))</f>
        <v/>
      </c>
      <c r="D19433">
        <f>IF(B19433="","",HOUR(A19433))</f>
        <v/>
      </c>
    </row>
    <row r="19434">
      <c r="A19434">
        <f>Input!A19434</f>
        <v/>
      </c>
      <c r="B19434">
        <f>IF(ISNUMBER(Input!B19434),IF(AND(Input!B19434&gt;=20,Input!B19434&lt;=700),Input!B19434,""),"")</f>
        <v/>
      </c>
      <c r="C19434">
        <f>IF(B19434="","",INT(A19434))</f>
        <v/>
      </c>
      <c r="D19434">
        <f>IF(B19434="","",HOUR(A19434))</f>
        <v/>
      </c>
    </row>
    <row r="19435">
      <c r="A19435">
        <f>Input!A19435</f>
        <v/>
      </c>
      <c r="B19435">
        <f>IF(ISNUMBER(Input!B19435),IF(AND(Input!B19435&gt;=20,Input!B19435&lt;=700),Input!B19435,""),"")</f>
        <v/>
      </c>
      <c r="C19435">
        <f>IF(B19435="","",INT(A19435))</f>
        <v/>
      </c>
      <c r="D19435">
        <f>IF(B19435="","",HOUR(A19435))</f>
        <v/>
      </c>
    </row>
    <row r="19436">
      <c r="A19436">
        <f>Input!A19436</f>
        <v/>
      </c>
      <c r="B19436">
        <f>IF(ISNUMBER(Input!B19436),IF(AND(Input!B19436&gt;=20,Input!B19436&lt;=700),Input!B19436,""),"")</f>
        <v/>
      </c>
      <c r="C19436">
        <f>IF(B19436="","",INT(A19436))</f>
        <v/>
      </c>
      <c r="D19436">
        <f>IF(B19436="","",HOUR(A19436))</f>
        <v/>
      </c>
    </row>
    <row r="19437">
      <c r="A19437">
        <f>Input!A19437</f>
        <v/>
      </c>
      <c r="B19437">
        <f>IF(ISNUMBER(Input!B19437),IF(AND(Input!B19437&gt;=20,Input!B19437&lt;=700),Input!B19437,""),"")</f>
        <v/>
      </c>
      <c r="C19437">
        <f>IF(B19437="","",INT(A19437))</f>
        <v/>
      </c>
      <c r="D19437">
        <f>IF(B19437="","",HOUR(A19437))</f>
        <v/>
      </c>
    </row>
    <row r="19438">
      <c r="A19438">
        <f>Input!A19438</f>
        <v/>
      </c>
      <c r="B19438">
        <f>IF(ISNUMBER(Input!B19438),IF(AND(Input!B19438&gt;=20,Input!B19438&lt;=700),Input!B19438,""),"")</f>
        <v/>
      </c>
      <c r="C19438">
        <f>IF(B19438="","",INT(A19438))</f>
        <v/>
      </c>
      <c r="D19438">
        <f>IF(B19438="","",HOUR(A19438))</f>
        <v/>
      </c>
    </row>
    <row r="19439">
      <c r="A19439">
        <f>Input!A19439</f>
        <v/>
      </c>
      <c r="B19439">
        <f>IF(ISNUMBER(Input!B19439),IF(AND(Input!B19439&gt;=20,Input!B19439&lt;=700),Input!B19439,""),"")</f>
        <v/>
      </c>
      <c r="C19439">
        <f>IF(B19439="","",INT(A19439))</f>
        <v/>
      </c>
      <c r="D19439">
        <f>IF(B19439="","",HOUR(A19439))</f>
        <v/>
      </c>
    </row>
    <row r="19440">
      <c r="A19440">
        <f>Input!A19440</f>
        <v/>
      </c>
      <c r="B19440">
        <f>IF(ISNUMBER(Input!B19440),IF(AND(Input!B19440&gt;=20,Input!B19440&lt;=700),Input!B19440,""),"")</f>
        <v/>
      </c>
      <c r="C19440">
        <f>IF(B19440="","",INT(A19440))</f>
        <v/>
      </c>
      <c r="D19440">
        <f>IF(B19440="","",HOUR(A19440))</f>
        <v/>
      </c>
    </row>
    <row r="19441">
      <c r="A19441">
        <f>Input!A19441</f>
        <v/>
      </c>
      <c r="B19441">
        <f>IF(ISNUMBER(Input!B19441),IF(AND(Input!B19441&gt;=20,Input!B19441&lt;=700),Input!B19441,""),"")</f>
        <v/>
      </c>
      <c r="C19441">
        <f>IF(B19441="","",INT(A19441))</f>
        <v/>
      </c>
      <c r="D19441">
        <f>IF(B19441="","",HOUR(A19441))</f>
        <v/>
      </c>
    </row>
    <row r="19442">
      <c r="A19442">
        <f>Input!A19442</f>
        <v/>
      </c>
      <c r="B19442">
        <f>IF(ISNUMBER(Input!B19442),IF(AND(Input!B19442&gt;=20,Input!B19442&lt;=700),Input!B19442,""),"")</f>
        <v/>
      </c>
      <c r="C19442">
        <f>IF(B19442="","",INT(A19442))</f>
        <v/>
      </c>
      <c r="D19442">
        <f>IF(B19442="","",HOUR(A19442))</f>
        <v/>
      </c>
    </row>
    <row r="19443">
      <c r="A19443">
        <f>Input!A19443</f>
        <v/>
      </c>
      <c r="B19443">
        <f>IF(ISNUMBER(Input!B19443),IF(AND(Input!B19443&gt;=20,Input!B19443&lt;=700),Input!B19443,""),"")</f>
        <v/>
      </c>
      <c r="C19443">
        <f>IF(B19443="","",INT(A19443))</f>
        <v/>
      </c>
      <c r="D19443">
        <f>IF(B19443="","",HOUR(A19443))</f>
        <v/>
      </c>
    </row>
    <row r="19444">
      <c r="A19444">
        <f>Input!A19444</f>
        <v/>
      </c>
      <c r="B19444">
        <f>IF(ISNUMBER(Input!B19444),IF(AND(Input!B19444&gt;=20,Input!B19444&lt;=700),Input!B19444,""),"")</f>
        <v/>
      </c>
      <c r="C19444">
        <f>IF(B19444="","",INT(A19444))</f>
        <v/>
      </c>
      <c r="D19444">
        <f>IF(B19444="","",HOUR(A19444))</f>
        <v/>
      </c>
    </row>
    <row r="19445">
      <c r="A19445">
        <f>Input!A19445</f>
        <v/>
      </c>
      <c r="B19445">
        <f>IF(ISNUMBER(Input!B19445),IF(AND(Input!B19445&gt;=20,Input!B19445&lt;=700),Input!B19445,""),"")</f>
        <v/>
      </c>
      <c r="C19445">
        <f>IF(B19445="","",INT(A19445))</f>
        <v/>
      </c>
      <c r="D19445">
        <f>IF(B19445="","",HOUR(A19445))</f>
        <v/>
      </c>
    </row>
    <row r="19446">
      <c r="A19446">
        <f>Input!A19446</f>
        <v/>
      </c>
      <c r="B19446">
        <f>IF(ISNUMBER(Input!B19446),IF(AND(Input!B19446&gt;=20,Input!B19446&lt;=700),Input!B19446,""),"")</f>
        <v/>
      </c>
      <c r="C19446">
        <f>IF(B19446="","",INT(A19446))</f>
        <v/>
      </c>
      <c r="D19446">
        <f>IF(B19446="","",HOUR(A19446))</f>
        <v/>
      </c>
    </row>
    <row r="19447">
      <c r="A19447">
        <f>Input!A19447</f>
        <v/>
      </c>
      <c r="B19447">
        <f>IF(ISNUMBER(Input!B19447),IF(AND(Input!B19447&gt;=20,Input!B19447&lt;=700),Input!B19447,""),"")</f>
        <v/>
      </c>
      <c r="C19447">
        <f>IF(B19447="","",INT(A19447))</f>
        <v/>
      </c>
      <c r="D19447">
        <f>IF(B19447="","",HOUR(A19447))</f>
        <v/>
      </c>
    </row>
    <row r="19448">
      <c r="A19448">
        <f>Input!A19448</f>
        <v/>
      </c>
      <c r="B19448">
        <f>IF(ISNUMBER(Input!B19448),IF(AND(Input!B19448&gt;=20,Input!B19448&lt;=700),Input!B19448,""),"")</f>
        <v/>
      </c>
      <c r="C19448">
        <f>IF(B19448="","",INT(A19448))</f>
        <v/>
      </c>
      <c r="D19448">
        <f>IF(B19448="","",HOUR(A19448))</f>
        <v/>
      </c>
    </row>
    <row r="19449">
      <c r="A19449">
        <f>Input!A19449</f>
        <v/>
      </c>
      <c r="B19449">
        <f>IF(ISNUMBER(Input!B19449),IF(AND(Input!B19449&gt;=20,Input!B19449&lt;=700),Input!B19449,""),"")</f>
        <v/>
      </c>
      <c r="C19449">
        <f>IF(B19449="","",INT(A19449))</f>
        <v/>
      </c>
      <c r="D19449">
        <f>IF(B19449="","",HOUR(A19449))</f>
        <v/>
      </c>
    </row>
    <row r="19450">
      <c r="A19450">
        <f>Input!A19450</f>
        <v/>
      </c>
      <c r="B19450">
        <f>IF(ISNUMBER(Input!B19450),IF(AND(Input!B19450&gt;=20,Input!B19450&lt;=700),Input!B19450,""),"")</f>
        <v/>
      </c>
      <c r="C19450">
        <f>IF(B19450="","",INT(A19450))</f>
        <v/>
      </c>
      <c r="D19450">
        <f>IF(B19450="","",HOUR(A19450))</f>
        <v/>
      </c>
    </row>
    <row r="19451">
      <c r="A19451">
        <f>Input!A19451</f>
        <v/>
      </c>
      <c r="B19451">
        <f>IF(ISNUMBER(Input!B19451),IF(AND(Input!B19451&gt;=20,Input!B19451&lt;=700),Input!B19451,""),"")</f>
        <v/>
      </c>
      <c r="C19451">
        <f>IF(B19451="","",INT(A19451))</f>
        <v/>
      </c>
      <c r="D19451">
        <f>IF(B19451="","",HOUR(A19451))</f>
        <v/>
      </c>
    </row>
    <row r="19452">
      <c r="A19452">
        <f>Input!A19452</f>
        <v/>
      </c>
      <c r="B19452">
        <f>IF(ISNUMBER(Input!B19452),IF(AND(Input!B19452&gt;=20,Input!B19452&lt;=700),Input!B19452,""),"")</f>
        <v/>
      </c>
      <c r="C19452">
        <f>IF(B19452="","",INT(A19452))</f>
        <v/>
      </c>
      <c r="D19452">
        <f>IF(B19452="","",HOUR(A19452))</f>
        <v/>
      </c>
    </row>
    <row r="19453">
      <c r="A19453">
        <f>Input!A19453</f>
        <v/>
      </c>
      <c r="B19453">
        <f>IF(ISNUMBER(Input!B19453),IF(AND(Input!B19453&gt;=20,Input!B19453&lt;=700),Input!B19453,""),"")</f>
        <v/>
      </c>
      <c r="C19453">
        <f>IF(B19453="","",INT(A19453))</f>
        <v/>
      </c>
      <c r="D19453">
        <f>IF(B19453="","",HOUR(A19453))</f>
        <v/>
      </c>
    </row>
    <row r="19454">
      <c r="A19454">
        <f>Input!A19454</f>
        <v/>
      </c>
      <c r="B19454">
        <f>IF(ISNUMBER(Input!B19454),IF(AND(Input!B19454&gt;=20,Input!B19454&lt;=700),Input!B19454,""),"")</f>
        <v/>
      </c>
      <c r="C19454">
        <f>IF(B19454="","",INT(A19454))</f>
        <v/>
      </c>
      <c r="D19454">
        <f>IF(B19454="","",HOUR(A19454))</f>
        <v/>
      </c>
    </row>
    <row r="19455">
      <c r="A19455">
        <f>Input!A19455</f>
        <v/>
      </c>
      <c r="B19455">
        <f>IF(ISNUMBER(Input!B19455),IF(AND(Input!B19455&gt;=20,Input!B19455&lt;=700),Input!B19455,""),"")</f>
        <v/>
      </c>
      <c r="C19455">
        <f>IF(B19455="","",INT(A19455))</f>
        <v/>
      </c>
      <c r="D19455">
        <f>IF(B19455="","",HOUR(A19455))</f>
        <v/>
      </c>
    </row>
    <row r="19456">
      <c r="A19456">
        <f>Input!A19456</f>
        <v/>
      </c>
      <c r="B19456">
        <f>IF(ISNUMBER(Input!B19456),IF(AND(Input!B19456&gt;=20,Input!B19456&lt;=700),Input!B19456,""),"")</f>
        <v/>
      </c>
      <c r="C19456">
        <f>IF(B19456="","",INT(A19456))</f>
        <v/>
      </c>
      <c r="D19456">
        <f>IF(B19456="","",HOUR(A19456))</f>
        <v/>
      </c>
    </row>
    <row r="19457">
      <c r="A19457">
        <f>Input!A19457</f>
        <v/>
      </c>
      <c r="B19457">
        <f>IF(ISNUMBER(Input!B19457),IF(AND(Input!B19457&gt;=20,Input!B19457&lt;=700),Input!B19457,""),"")</f>
        <v/>
      </c>
      <c r="C19457">
        <f>IF(B19457="","",INT(A19457))</f>
        <v/>
      </c>
      <c r="D19457">
        <f>IF(B19457="","",HOUR(A19457))</f>
        <v/>
      </c>
    </row>
    <row r="19458">
      <c r="A19458">
        <f>Input!A19458</f>
        <v/>
      </c>
      <c r="B19458">
        <f>IF(ISNUMBER(Input!B19458),IF(AND(Input!B19458&gt;=20,Input!B19458&lt;=700),Input!B19458,""),"")</f>
        <v/>
      </c>
      <c r="C19458">
        <f>IF(B19458="","",INT(A19458))</f>
        <v/>
      </c>
      <c r="D19458">
        <f>IF(B19458="","",HOUR(A19458))</f>
        <v/>
      </c>
    </row>
    <row r="19459">
      <c r="A19459">
        <f>Input!A19459</f>
        <v/>
      </c>
      <c r="B19459">
        <f>IF(ISNUMBER(Input!B19459),IF(AND(Input!B19459&gt;=20,Input!B19459&lt;=700),Input!B19459,""),"")</f>
        <v/>
      </c>
      <c r="C19459">
        <f>IF(B19459="","",INT(A19459))</f>
        <v/>
      </c>
      <c r="D19459">
        <f>IF(B19459="","",HOUR(A19459))</f>
        <v/>
      </c>
    </row>
    <row r="19460">
      <c r="A19460">
        <f>Input!A19460</f>
        <v/>
      </c>
      <c r="B19460">
        <f>IF(ISNUMBER(Input!B19460),IF(AND(Input!B19460&gt;=20,Input!B19460&lt;=700),Input!B19460,""),"")</f>
        <v/>
      </c>
      <c r="C19460">
        <f>IF(B19460="","",INT(A19460))</f>
        <v/>
      </c>
      <c r="D19460">
        <f>IF(B19460="","",HOUR(A19460))</f>
        <v/>
      </c>
    </row>
    <row r="19461">
      <c r="A19461">
        <f>Input!A19461</f>
        <v/>
      </c>
      <c r="B19461">
        <f>IF(ISNUMBER(Input!B19461),IF(AND(Input!B19461&gt;=20,Input!B19461&lt;=700),Input!B19461,""),"")</f>
        <v/>
      </c>
      <c r="C19461">
        <f>IF(B19461="","",INT(A19461))</f>
        <v/>
      </c>
      <c r="D19461">
        <f>IF(B19461="","",HOUR(A19461))</f>
        <v/>
      </c>
    </row>
    <row r="19462">
      <c r="A19462">
        <f>Input!A19462</f>
        <v/>
      </c>
      <c r="B19462">
        <f>IF(ISNUMBER(Input!B19462),IF(AND(Input!B19462&gt;=20,Input!B19462&lt;=700),Input!B19462,""),"")</f>
        <v/>
      </c>
      <c r="C19462">
        <f>IF(B19462="","",INT(A19462))</f>
        <v/>
      </c>
      <c r="D19462">
        <f>IF(B19462="","",HOUR(A19462))</f>
        <v/>
      </c>
    </row>
    <row r="19463">
      <c r="A19463">
        <f>Input!A19463</f>
        <v/>
      </c>
      <c r="B19463">
        <f>IF(ISNUMBER(Input!B19463),IF(AND(Input!B19463&gt;=20,Input!B19463&lt;=700),Input!B19463,""),"")</f>
        <v/>
      </c>
      <c r="C19463">
        <f>IF(B19463="","",INT(A19463))</f>
        <v/>
      </c>
      <c r="D19463">
        <f>IF(B19463="","",HOUR(A19463))</f>
        <v/>
      </c>
    </row>
    <row r="19464">
      <c r="A19464">
        <f>Input!A19464</f>
        <v/>
      </c>
      <c r="B19464">
        <f>IF(ISNUMBER(Input!B19464),IF(AND(Input!B19464&gt;=20,Input!B19464&lt;=700),Input!B19464,""),"")</f>
        <v/>
      </c>
      <c r="C19464">
        <f>IF(B19464="","",INT(A19464))</f>
        <v/>
      </c>
      <c r="D19464">
        <f>IF(B19464="","",HOUR(A19464))</f>
        <v/>
      </c>
    </row>
    <row r="19465">
      <c r="A19465">
        <f>Input!A19465</f>
        <v/>
      </c>
      <c r="B19465">
        <f>IF(ISNUMBER(Input!B19465),IF(AND(Input!B19465&gt;=20,Input!B19465&lt;=700),Input!B19465,""),"")</f>
        <v/>
      </c>
      <c r="C19465">
        <f>IF(B19465="","",INT(A19465))</f>
        <v/>
      </c>
      <c r="D19465">
        <f>IF(B19465="","",HOUR(A19465))</f>
        <v/>
      </c>
    </row>
    <row r="19466">
      <c r="A19466">
        <f>Input!A19466</f>
        <v/>
      </c>
      <c r="B19466">
        <f>IF(ISNUMBER(Input!B19466),IF(AND(Input!B19466&gt;=20,Input!B19466&lt;=700),Input!B19466,""),"")</f>
        <v/>
      </c>
      <c r="C19466">
        <f>IF(B19466="","",INT(A19466))</f>
        <v/>
      </c>
      <c r="D19466">
        <f>IF(B19466="","",HOUR(A19466))</f>
        <v/>
      </c>
    </row>
    <row r="19467">
      <c r="A19467">
        <f>Input!A19467</f>
        <v/>
      </c>
      <c r="B19467">
        <f>IF(ISNUMBER(Input!B19467),IF(AND(Input!B19467&gt;=20,Input!B19467&lt;=700),Input!B19467,""),"")</f>
        <v/>
      </c>
      <c r="C19467">
        <f>IF(B19467="","",INT(A19467))</f>
        <v/>
      </c>
      <c r="D19467">
        <f>IF(B19467="","",HOUR(A19467))</f>
        <v/>
      </c>
    </row>
    <row r="19468">
      <c r="A19468">
        <f>Input!A19468</f>
        <v/>
      </c>
      <c r="B19468">
        <f>IF(ISNUMBER(Input!B19468),IF(AND(Input!B19468&gt;=20,Input!B19468&lt;=700),Input!B19468,""),"")</f>
        <v/>
      </c>
      <c r="C19468">
        <f>IF(B19468="","",INT(A19468))</f>
        <v/>
      </c>
      <c r="D19468">
        <f>IF(B19468="","",HOUR(A19468))</f>
        <v/>
      </c>
    </row>
    <row r="19469">
      <c r="A19469">
        <f>Input!A19469</f>
        <v/>
      </c>
      <c r="B19469">
        <f>IF(ISNUMBER(Input!B19469),IF(AND(Input!B19469&gt;=20,Input!B19469&lt;=700),Input!B19469,""),"")</f>
        <v/>
      </c>
      <c r="C19469">
        <f>IF(B19469="","",INT(A19469))</f>
        <v/>
      </c>
      <c r="D19469">
        <f>IF(B19469="","",HOUR(A19469))</f>
        <v/>
      </c>
    </row>
    <row r="19470">
      <c r="A19470">
        <f>Input!A19470</f>
        <v/>
      </c>
      <c r="B19470">
        <f>IF(ISNUMBER(Input!B19470),IF(AND(Input!B19470&gt;=20,Input!B19470&lt;=700),Input!B19470,""),"")</f>
        <v/>
      </c>
      <c r="C19470">
        <f>IF(B19470="","",INT(A19470))</f>
        <v/>
      </c>
      <c r="D19470">
        <f>IF(B19470="","",HOUR(A19470))</f>
        <v/>
      </c>
    </row>
    <row r="19471">
      <c r="A19471">
        <f>Input!A19471</f>
        <v/>
      </c>
      <c r="B19471">
        <f>IF(ISNUMBER(Input!B19471),IF(AND(Input!B19471&gt;=20,Input!B19471&lt;=700),Input!B19471,""),"")</f>
        <v/>
      </c>
      <c r="C19471">
        <f>IF(B19471="","",INT(A19471))</f>
        <v/>
      </c>
      <c r="D19471">
        <f>IF(B19471="","",HOUR(A19471))</f>
        <v/>
      </c>
    </row>
    <row r="19472">
      <c r="A19472">
        <f>Input!A19472</f>
        <v/>
      </c>
      <c r="B19472">
        <f>IF(ISNUMBER(Input!B19472),IF(AND(Input!B19472&gt;=20,Input!B19472&lt;=700),Input!B19472,""),"")</f>
        <v/>
      </c>
      <c r="C19472">
        <f>IF(B19472="","",INT(A19472))</f>
        <v/>
      </c>
      <c r="D19472">
        <f>IF(B19472="","",HOUR(A19472))</f>
        <v/>
      </c>
    </row>
    <row r="19473">
      <c r="A19473">
        <f>Input!A19473</f>
        <v/>
      </c>
      <c r="B19473">
        <f>IF(ISNUMBER(Input!B19473),IF(AND(Input!B19473&gt;=20,Input!B19473&lt;=700),Input!B19473,""),"")</f>
        <v/>
      </c>
      <c r="C19473">
        <f>IF(B19473="","",INT(A19473))</f>
        <v/>
      </c>
      <c r="D19473">
        <f>IF(B19473="","",HOUR(A19473))</f>
        <v/>
      </c>
    </row>
    <row r="19474">
      <c r="A19474">
        <f>Input!A19474</f>
        <v/>
      </c>
      <c r="B19474">
        <f>IF(ISNUMBER(Input!B19474),IF(AND(Input!B19474&gt;=20,Input!B19474&lt;=700),Input!B19474,""),"")</f>
        <v/>
      </c>
      <c r="C19474">
        <f>IF(B19474="","",INT(A19474))</f>
        <v/>
      </c>
      <c r="D19474">
        <f>IF(B19474="","",HOUR(A19474))</f>
        <v/>
      </c>
    </row>
    <row r="19475">
      <c r="A19475">
        <f>Input!A19475</f>
        <v/>
      </c>
      <c r="B19475">
        <f>IF(ISNUMBER(Input!B19475),IF(AND(Input!B19475&gt;=20,Input!B19475&lt;=700),Input!B19475,""),"")</f>
        <v/>
      </c>
      <c r="C19475">
        <f>IF(B19475="","",INT(A19475))</f>
        <v/>
      </c>
      <c r="D19475">
        <f>IF(B19475="","",HOUR(A19475))</f>
        <v/>
      </c>
    </row>
    <row r="19476">
      <c r="A19476">
        <f>Input!A19476</f>
        <v/>
      </c>
      <c r="B19476">
        <f>IF(ISNUMBER(Input!B19476),IF(AND(Input!B19476&gt;=20,Input!B19476&lt;=700),Input!B19476,""),"")</f>
        <v/>
      </c>
      <c r="C19476">
        <f>IF(B19476="","",INT(A19476))</f>
        <v/>
      </c>
      <c r="D19476">
        <f>IF(B19476="","",HOUR(A19476))</f>
        <v/>
      </c>
    </row>
    <row r="19477">
      <c r="A19477">
        <f>Input!A19477</f>
        <v/>
      </c>
      <c r="B19477">
        <f>IF(ISNUMBER(Input!B19477),IF(AND(Input!B19477&gt;=20,Input!B19477&lt;=700),Input!B19477,""),"")</f>
        <v/>
      </c>
      <c r="C19477">
        <f>IF(B19477="","",INT(A19477))</f>
        <v/>
      </c>
      <c r="D19477">
        <f>IF(B19477="","",HOUR(A19477))</f>
        <v/>
      </c>
    </row>
    <row r="19478">
      <c r="A19478">
        <f>Input!A19478</f>
        <v/>
      </c>
      <c r="B19478">
        <f>IF(ISNUMBER(Input!B19478),IF(AND(Input!B19478&gt;=20,Input!B19478&lt;=700),Input!B19478,""),"")</f>
        <v/>
      </c>
      <c r="C19478">
        <f>IF(B19478="","",INT(A19478))</f>
        <v/>
      </c>
      <c r="D19478">
        <f>IF(B19478="","",HOUR(A19478))</f>
        <v/>
      </c>
    </row>
    <row r="19479">
      <c r="A19479">
        <f>Input!A19479</f>
        <v/>
      </c>
      <c r="B19479">
        <f>IF(ISNUMBER(Input!B19479),IF(AND(Input!B19479&gt;=20,Input!B19479&lt;=700),Input!B19479,""),"")</f>
        <v/>
      </c>
      <c r="C19479">
        <f>IF(B19479="","",INT(A19479))</f>
        <v/>
      </c>
      <c r="D19479">
        <f>IF(B19479="","",HOUR(A19479))</f>
        <v/>
      </c>
    </row>
    <row r="19480">
      <c r="A19480">
        <f>Input!A19480</f>
        <v/>
      </c>
      <c r="B19480">
        <f>IF(ISNUMBER(Input!B19480),IF(AND(Input!B19480&gt;=20,Input!B19480&lt;=700),Input!B19480,""),"")</f>
        <v/>
      </c>
      <c r="C19480">
        <f>IF(B19480="","",INT(A19480))</f>
        <v/>
      </c>
      <c r="D19480">
        <f>IF(B19480="","",HOUR(A19480))</f>
        <v/>
      </c>
    </row>
    <row r="19481">
      <c r="A19481">
        <f>Input!A19481</f>
        <v/>
      </c>
      <c r="B19481">
        <f>IF(ISNUMBER(Input!B19481),IF(AND(Input!B19481&gt;=20,Input!B19481&lt;=700),Input!B19481,""),"")</f>
        <v/>
      </c>
      <c r="C19481">
        <f>IF(B19481="","",INT(A19481))</f>
        <v/>
      </c>
      <c r="D19481">
        <f>IF(B19481="","",HOUR(A19481))</f>
        <v/>
      </c>
    </row>
    <row r="19482">
      <c r="A19482">
        <f>Input!A19482</f>
        <v/>
      </c>
      <c r="B19482">
        <f>IF(ISNUMBER(Input!B19482),IF(AND(Input!B19482&gt;=20,Input!B19482&lt;=700),Input!B19482,""),"")</f>
        <v/>
      </c>
      <c r="C19482">
        <f>IF(B19482="","",INT(A19482))</f>
        <v/>
      </c>
      <c r="D19482">
        <f>IF(B19482="","",HOUR(A19482))</f>
        <v/>
      </c>
    </row>
    <row r="19483">
      <c r="A19483">
        <f>Input!A19483</f>
        <v/>
      </c>
      <c r="B19483">
        <f>IF(ISNUMBER(Input!B19483),IF(AND(Input!B19483&gt;=20,Input!B19483&lt;=700),Input!B19483,""),"")</f>
        <v/>
      </c>
      <c r="C19483">
        <f>IF(B19483="","",INT(A19483))</f>
        <v/>
      </c>
      <c r="D19483">
        <f>IF(B19483="","",HOUR(A19483))</f>
        <v/>
      </c>
    </row>
    <row r="19484">
      <c r="A19484">
        <f>Input!A19484</f>
        <v/>
      </c>
      <c r="B19484">
        <f>IF(ISNUMBER(Input!B19484),IF(AND(Input!B19484&gt;=20,Input!B19484&lt;=700),Input!B19484,""),"")</f>
        <v/>
      </c>
      <c r="C19484">
        <f>IF(B19484="","",INT(A19484))</f>
        <v/>
      </c>
      <c r="D19484">
        <f>IF(B19484="","",HOUR(A19484))</f>
        <v/>
      </c>
    </row>
    <row r="19485">
      <c r="A19485">
        <f>Input!A19485</f>
        <v/>
      </c>
      <c r="B19485">
        <f>IF(ISNUMBER(Input!B19485),IF(AND(Input!B19485&gt;=20,Input!B19485&lt;=700),Input!B19485,""),"")</f>
        <v/>
      </c>
      <c r="C19485">
        <f>IF(B19485="","",INT(A19485))</f>
        <v/>
      </c>
      <c r="D19485">
        <f>IF(B19485="","",HOUR(A19485))</f>
        <v/>
      </c>
    </row>
    <row r="19486">
      <c r="A19486">
        <f>Input!A19486</f>
        <v/>
      </c>
      <c r="B19486">
        <f>IF(ISNUMBER(Input!B19486),IF(AND(Input!B19486&gt;=20,Input!B19486&lt;=700),Input!B19486,""),"")</f>
        <v/>
      </c>
      <c r="C19486">
        <f>IF(B19486="","",INT(A19486))</f>
        <v/>
      </c>
      <c r="D19486">
        <f>IF(B19486="","",HOUR(A19486))</f>
        <v/>
      </c>
    </row>
    <row r="19487">
      <c r="A19487">
        <f>Input!A19487</f>
        <v/>
      </c>
      <c r="B19487">
        <f>IF(ISNUMBER(Input!B19487),IF(AND(Input!B19487&gt;=20,Input!B19487&lt;=700),Input!B19487,""),"")</f>
        <v/>
      </c>
      <c r="C19487">
        <f>IF(B19487="","",INT(A19487))</f>
        <v/>
      </c>
      <c r="D19487">
        <f>IF(B19487="","",HOUR(A19487))</f>
        <v/>
      </c>
    </row>
    <row r="19488">
      <c r="A19488">
        <f>Input!A19488</f>
        <v/>
      </c>
      <c r="B19488">
        <f>IF(ISNUMBER(Input!B19488),IF(AND(Input!B19488&gt;=20,Input!B19488&lt;=700),Input!B19488,""),"")</f>
        <v/>
      </c>
      <c r="C19488">
        <f>IF(B19488="","",INT(A19488))</f>
        <v/>
      </c>
      <c r="D19488">
        <f>IF(B19488="","",HOUR(A19488))</f>
        <v/>
      </c>
    </row>
    <row r="19489">
      <c r="A19489">
        <f>Input!A19489</f>
        <v/>
      </c>
      <c r="B19489">
        <f>IF(ISNUMBER(Input!B19489),IF(AND(Input!B19489&gt;=20,Input!B19489&lt;=700),Input!B19489,""),"")</f>
        <v/>
      </c>
      <c r="C19489">
        <f>IF(B19489="","",INT(A19489))</f>
        <v/>
      </c>
      <c r="D19489">
        <f>IF(B19489="","",HOUR(A19489))</f>
        <v/>
      </c>
    </row>
    <row r="19490">
      <c r="A19490">
        <f>Input!A19490</f>
        <v/>
      </c>
      <c r="B19490">
        <f>IF(ISNUMBER(Input!B19490),IF(AND(Input!B19490&gt;=20,Input!B19490&lt;=700),Input!B19490,""),"")</f>
        <v/>
      </c>
      <c r="C19490">
        <f>IF(B19490="","",INT(A19490))</f>
        <v/>
      </c>
      <c r="D19490">
        <f>IF(B19490="","",HOUR(A19490))</f>
        <v/>
      </c>
    </row>
    <row r="19491">
      <c r="A19491">
        <f>Input!A19491</f>
        <v/>
      </c>
      <c r="B19491">
        <f>IF(ISNUMBER(Input!B19491),IF(AND(Input!B19491&gt;=20,Input!B19491&lt;=700),Input!B19491,""),"")</f>
        <v/>
      </c>
      <c r="C19491">
        <f>IF(B19491="","",INT(A19491))</f>
        <v/>
      </c>
      <c r="D19491">
        <f>IF(B19491="","",HOUR(A19491))</f>
        <v/>
      </c>
    </row>
    <row r="19492">
      <c r="A19492">
        <f>Input!A19492</f>
        <v/>
      </c>
      <c r="B19492">
        <f>IF(ISNUMBER(Input!B19492),IF(AND(Input!B19492&gt;=20,Input!B19492&lt;=700),Input!B19492,""),"")</f>
        <v/>
      </c>
      <c r="C19492">
        <f>IF(B19492="","",INT(A19492))</f>
        <v/>
      </c>
      <c r="D19492">
        <f>IF(B19492="","",HOUR(A19492))</f>
        <v/>
      </c>
    </row>
    <row r="19493">
      <c r="A19493">
        <f>Input!A19493</f>
        <v/>
      </c>
      <c r="B19493">
        <f>IF(ISNUMBER(Input!B19493),IF(AND(Input!B19493&gt;=20,Input!B19493&lt;=700),Input!B19493,""),"")</f>
        <v/>
      </c>
      <c r="C19493">
        <f>IF(B19493="","",INT(A19493))</f>
        <v/>
      </c>
      <c r="D19493">
        <f>IF(B19493="","",HOUR(A19493))</f>
        <v/>
      </c>
    </row>
    <row r="19494">
      <c r="A19494">
        <f>Input!A19494</f>
        <v/>
      </c>
      <c r="B19494">
        <f>IF(ISNUMBER(Input!B19494),IF(AND(Input!B19494&gt;=20,Input!B19494&lt;=700),Input!B19494,""),"")</f>
        <v/>
      </c>
      <c r="C19494">
        <f>IF(B19494="","",INT(A19494))</f>
        <v/>
      </c>
      <c r="D19494">
        <f>IF(B19494="","",HOUR(A19494))</f>
        <v/>
      </c>
    </row>
    <row r="19495">
      <c r="A19495">
        <f>Input!A19495</f>
        <v/>
      </c>
      <c r="B19495">
        <f>IF(ISNUMBER(Input!B19495),IF(AND(Input!B19495&gt;=20,Input!B19495&lt;=700),Input!B19495,""),"")</f>
        <v/>
      </c>
      <c r="C19495">
        <f>IF(B19495="","",INT(A19495))</f>
        <v/>
      </c>
      <c r="D19495">
        <f>IF(B19495="","",HOUR(A19495))</f>
        <v/>
      </c>
    </row>
    <row r="19496">
      <c r="A19496">
        <f>Input!A19496</f>
        <v/>
      </c>
      <c r="B19496">
        <f>IF(ISNUMBER(Input!B19496),IF(AND(Input!B19496&gt;=20,Input!B19496&lt;=700),Input!B19496,""),"")</f>
        <v/>
      </c>
      <c r="C19496">
        <f>IF(B19496="","",INT(A19496))</f>
        <v/>
      </c>
      <c r="D19496">
        <f>IF(B19496="","",HOUR(A19496))</f>
        <v/>
      </c>
    </row>
    <row r="19497">
      <c r="A19497">
        <f>Input!A19497</f>
        <v/>
      </c>
      <c r="B19497">
        <f>IF(ISNUMBER(Input!B19497),IF(AND(Input!B19497&gt;=20,Input!B19497&lt;=700),Input!B19497,""),"")</f>
        <v/>
      </c>
      <c r="C19497">
        <f>IF(B19497="","",INT(A19497))</f>
        <v/>
      </c>
      <c r="D19497">
        <f>IF(B19497="","",HOUR(A19497))</f>
        <v/>
      </c>
    </row>
    <row r="19498">
      <c r="A19498">
        <f>Input!A19498</f>
        <v/>
      </c>
      <c r="B19498">
        <f>IF(ISNUMBER(Input!B19498),IF(AND(Input!B19498&gt;=20,Input!B19498&lt;=700),Input!B19498,""),"")</f>
        <v/>
      </c>
      <c r="C19498">
        <f>IF(B19498="","",INT(A19498))</f>
        <v/>
      </c>
      <c r="D19498">
        <f>IF(B19498="","",HOUR(A19498))</f>
        <v/>
      </c>
    </row>
    <row r="19499">
      <c r="A19499">
        <f>Input!A19499</f>
        <v/>
      </c>
      <c r="B19499">
        <f>IF(ISNUMBER(Input!B19499),IF(AND(Input!B19499&gt;=20,Input!B19499&lt;=700),Input!B19499,""),"")</f>
        <v/>
      </c>
      <c r="C19499">
        <f>IF(B19499="","",INT(A19499))</f>
        <v/>
      </c>
      <c r="D19499">
        <f>IF(B19499="","",HOUR(A19499))</f>
        <v/>
      </c>
    </row>
    <row r="19500">
      <c r="A19500">
        <f>Input!A19500</f>
        <v/>
      </c>
      <c r="B19500">
        <f>IF(ISNUMBER(Input!B19500),IF(AND(Input!B19500&gt;=20,Input!B19500&lt;=700),Input!B19500,""),"")</f>
        <v/>
      </c>
      <c r="C19500">
        <f>IF(B19500="","",INT(A19500))</f>
        <v/>
      </c>
      <c r="D19500">
        <f>IF(B19500="","",HOUR(A19500))</f>
        <v/>
      </c>
    </row>
    <row r="19501">
      <c r="A19501">
        <f>Input!A19501</f>
        <v/>
      </c>
      <c r="B19501">
        <f>IF(ISNUMBER(Input!B19501),IF(AND(Input!B19501&gt;=20,Input!B19501&lt;=700),Input!B19501,""),"")</f>
        <v/>
      </c>
      <c r="C19501">
        <f>IF(B19501="","",INT(A19501))</f>
        <v/>
      </c>
      <c r="D19501">
        <f>IF(B19501="","",HOUR(A19501))</f>
        <v/>
      </c>
    </row>
    <row r="19502">
      <c r="A19502">
        <f>Input!A19502</f>
        <v/>
      </c>
      <c r="B19502">
        <f>IF(ISNUMBER(Input!B19502),IF(AND(Input!B19502&gt;=20,Input!B19502&lt;=700),Input!B19502,""),"")</f>
        <v/>
      </c>
      <c r="C19502">
        <f>IF(B19502="","",INT(A19502))</f>
        <v/>
      </c>
      <c r="D19502">
        <f>IF(B19502="","",HOUR(A19502))</f>
        <v/>
      </c>
    </row>
    <row r="19503">
      <c r="A19503">
        <f>Input!A19503</f>
        <v/>
      </c>
      <c r="B19503">
        <f>IF(ISNUMBER(Input!B19503),IF(AND(Input!B19503&gt;=20,Input!B19503&lt;=700),Input!B19503,""),"")</f>
        <v/>
      </c>
      <c r="C19503">
        <f>IF(B19503="","",INT(A19503))</f>
        <v/>
      </c>
      <c r="D19503">
        <f>IF(B19503="","",HOUR(A19503))</f>
        <v/>
      </c>
    </row>
    <row r="19504">
      <c r="A19504">
        <f>Input!A19504</f>
        <v/>
      </c>
      <c r="B19504">
        <f>IF(ISNUMBER(Input!B19504),IF(AND(Input!B19504&gt;=20,Input!B19504&lt;=700),Input!B19504,""),"")</f>
        <v/>
      </c>
      <c r="C19504">
        <f>IF(B19504="","",INT(A19504))</f>
        <v/>
      </c>
      <c r="D19504">
        <f>IF(B19504="","",HOUR(A19504))</f>
        <v/>
      </c>
    </row>
    <row r="19505">
      <c r="A19505">
        <f>Input!A19505</f>
        <v/>
      </c>
      <c r="B19505">
        <f>IF(ISNUMBER(Input!B19505),IF(AND(Input!B19505&gt;=20,Input!B19505&lt;=700),Input!B19505,""),"")</f>
        <v/>
      </c>
      <c r="C19505">
        <f>IF(B19505="","",INT(A19505))</f>
        <v/>
      </c>
      <c r="D19505">
        <f>IF(B19505="","",HOUR(A19505))</f>
        <v/>
      </c>
    </row>
    <row r="19506">
      <c r="A19506">
        <f>Input!A19506</f>
        <v/>
      </c>
      <c r="B19506">
        <f>IF(ISNUMBER(Input!B19506),IF(AND(Input!B19506&gt;=20,Input!B19506&lt;=700),Input!B19506,""),"")</f>
        <v/>
      </c>
      <c r="C19506">
        <f>IF(B19506="","",INT(A19506))</f>
        <v/>
      </c>
      <c r="D19506">
        <f>IF(B19506="","",HOUR(A19506))</f>
        <v/>
      </c>
    </row>
    <row r="19507">
      <c r="A19507">
        <f>Input!A19507</f>
        <v/>
      </c>
      <c r="B19507">
        <f>IF(ISNUMBER(Input!B19507),IF(AND(Input!B19507&gt;=20,Input!B19507&lt;=700),Input!B19507,""),"")</f>
        <v/>
      </c>
      <c r="C19507">
        <f>IF(B19507="","",INT(A19507))</f>
        <v/>
      </c>
      <c r="D19507">
        <f>IF(B19507="","",HOUR(A19507))</f>
        <v/>
      </c>
    </row>
    <row r="19508">
      <c r="A19508">
        <f>Input!A19508</f>
        <v/>
      </c>
      <c r="B19508">
        <f>IF(ISNUMBER(Input!B19508),IF(AND(Input!B19508&gt;=20,Input!B19508&lt;=700),Input!B19508,""),"")</f>
        <v/>
      </c>
      <c r="C19508">
        <f>IF(B19508="","",INT(A19508))</f>
        <v/>
      </c>
      <c r="D19508">
        <f>IF(B19508="","",HOUR(A19508))</f>
        <v/>
      </c>
    </row>
    <row r="19509">
      <c r="A19509">
        <f>Input!A19509</f>
        <v/>
      </c>
      <c r="B19509">
        <f>IF(ISNUMBER(Input!B19509),IF(AND(Input!B19509&gt;=20,Input!B19509&lt;=700),Input!B19509,""),"")</f>
        <v/>
      </c>
      <c r="C19509">
        <f>IF(B19509="","",INT(A19509))</f>
        <v/>
      </c>
      <c r="D19509">
        <f>IF(B19509="","",HOUR(A19509))</f>
        <v/>
      </c>
    </row>
    <row r="19510">
      <c r="A19510">
        <f>Input!A19510</f>
        <v/>
      </c>
      <c r="B19510">
        <f>IF(ISNUMBER(Input!B19510),IF(AND(Input!B19510&gt;=20,Input!B19510&lt;=700),Input!B19510,""),"")</f>
        <v/>
      </c>
      <c r="C19510">
        <f>IF(B19510="","",INT(A19510))</f>
        <v/>
      </c>
      <c r="D19510">
        <f>IF(B19510="","",HOUR(A19510))</f>
        <v/>
      </c>
    </row>
    <row r="19511">
      <c r="A19511">
        <f>Input!A19511</f>
        <v/>
      </c>
      <c r="B19511">
        <f>IF(ISNUMBER(Input!B19511),IF(AND(Input!B19511&gt;=20,Input!B19511&lt;=700),Input!B19511,""),"")</f>
        <v/>
      </c>
      <c r="C19511">
        <f>IF(B19511="","",INT(A19511))</f>
        <v/>
      </c>
      <c r="D19511">
        <f>IF(B19511="","",HOUR(A19511))</f>
        <v/>
      </c>
    </row>
    <row r="19512">
      <c r="A19512">
        <f>Input!A19512</f>
        <v/>
      </c>
      <c r="B19512">
        <f>IF(ISNUMBER(Input!B19512),IF(AND(Input!B19512&gt;=20,Input!B19512&lt;=700),Input!B19512,""),"")</f>
        <v/>
      </c>
      <c r="C19512">
        <f>IF(B19512="","",INT(A19512))</f>
        <v/>
      </c>
      <c r="D19512">
        <f>IF(B19512="","",HOUR(A19512))</f>
        <v/>
      </c>
    </row>
    <row r="19513">
      <c r="A19513">
        <f>Input!A19513</f>
        <v/>
      </c>
      <c r="B19513">
        <f>IF(ISNUMBER(Input!B19513),IF(AND(Input!B19513&gt;=20,Input!B19513&lt;=700),Input!B19513,""),"")</f>
        <v/>
      </c>
      <c r="C19513">
        <f>IF(B19513="","",INT(A19513))</f>
        <v/>
      </c>
      <c r="D19513">
        <f>IF(B19513="","",HOUR(A19513))</f>
        <v/>
      </c>
    </row>
    <row r="19514">
      <c r="A19514">
        <f>Input!A19514</f>
        <v/>
      </c>
      <c r="B19514">
        <f>IF(ISNUMBER(Input!B19514),IF(AND(Input!B19514&gt;=20,Input!B19514&lt;=700),Input!B19514,""),"")</f>
        <v/>
      </c>
      <c r="C19514">
        <f>IF(B19514="","",INT(A19514))</f>
        <v/>
      </c>
      <c r="D19514">
        <f>IF(B19514="","",HOUR(A19514))</f>
        <v/>
      </c>
    </row>
    <row r="19515">
      <c r="A19515">
        <f>Input!A19515</f>
        <v/>
      </c>
      <c r="B19515">
        <f>IF(ISNUMBER(Input!B19515),IF(AND(Input!B19515&gt;=20,Input!B19515&lt;=700),Input!B19515,""),"")</f>
        <v/>
      </c>
      <c r="C19515">
        <f>IF(B19515="","",INT(A19515))</f>
        <v/>
      </c>
      <c r="D19515">
        <f>IF(B19515="","",HOUR(A19515))</f>
        <v/>
      </c>
    </row>
    <row r="19516">
      <c r="A19516">
        <f>Input!A19516</f>
        <v/>
      </c>
      <c r="B19516">
        <f>IF(ISNUMBER(Input!B19516),IF(AND(Input!B19516&gt;=20,Input!B19516&lt;=700),Input!B19516,""),"")</f>
        <v/>
      </c>
      <c r="C19516">
        <f>IF(B19516="","",INT(A19516))</f>
        <v/>
      </c>
      <c r="D19516">
        <f>IF(B19516="","",HOUR(A19516))</f>
        <v/>
      </c>
    </row>
    <row r="19517">
      <c r="A19517">
        <f>Input!A19517</f>
        <v/>
      </c>
      <c r="B19517">
        <f>IF(ISNUMBER(Input!B19517),IF(AND(Input!B19517&gt;=20,Input!B19517&lt;=700),Input!B19517,""),"")</f>
        <v/>
      </c>
      <c r="C19517">
        <f>IF(B19517="","",INT(A19517))</f>
        <v/>
      </c>
      <c r="D19517">
        <f>IF(B19517="","",HOUR(A19517))</f>
        <v/>
      </c>
    </row>
    <row r="19518">
      <c r="A19518">
        <f>Input!A19518</f>
        <v/>
      </c>
      <c r="B19518">
        <f>IF(ISNUMBER(Input!B19518),IF(AND(Input!B19518&gt;=20,Input!B19518&lt;=700),Input!B19518,""),"")</f>
        <v/>
      </c>
      <c r="C19518">
        <f>IF(B19518="","",INT(A19518))</f>
        <v/>
      </c>
      <c r="D19518">
        <f>IF(B19518="","",HOUR(A19518))</f>
        <v/>
      </c>
    </row>
    <row r="19519">
      <c r="A19519">
        <f>Input!A19519</f>
        <v/>
      </c>
      <c r="B19519">
        <f>IF(ISNUMBER(Input!B19519),IF(AND(Input!B19519&gt;=20,Input!B19519&lt;=700),Input!B19519,""),"")</f>
        <v/>
      </c>
      <c r="C19519">
        <f>IF(B19519="","",INT(A19519))</f>
        <v/>
      </c>
      <c r="D19519">
        <f>IF(B19519="","",HOUR(A19519))</f>
        <v/>
      </c>
    </row>
    <row r="19520">
      <c r="A19520">
        <f>Input!A19520</f>
        <v/>
      </c>
      <c r="B19520">
        <f>IF(ISNUMBER(Input!B19520),IF(AND(Input!B19520&gt;=20,Input!B19520&lt;=700),Input!B19520,""),"")</f>
        <v/>
      </c>
      <c r="C19520">
        <f>IF(B19520="","",INT(A19520))</f>
        <v/>
      </c>
      <c r="D19520">
        <f>IF(B19520="","",HOUR(A19520))</f>
        <v/>
      </c>
    </row>
    <row r="19521">
      <c r="A19521">
        <f>Input!A19521</f>
        <v/>
      </c>
      <c r="B19521">
        <f>IF(ISNUMBER(Input!B19521),IF(AND(Input!B19521&gt;=20,Input!B19521&lt;=700),Input!B19521,""),"")</f>
        <v/>
      </c>
      <c r="C19521">
        <f>IF(B19521="","",INT(A19521))</f>
        <v/>
      </c>
      <c r="D19521">
        <f>IF(B19521="","",HOUR(A19521))</f>
        <v/>
      </c>
    </row>
    <row r="19522">
      <c r="A19522">
        <f>Input!A19522</f>
        <v/>
      </c>
      <c r="B19522">
        <f>IF(ISNUMBER(Input!B19522),IF(AND(Input!B19522&gt;=20,Input!B19522&lt;=700),Input!B19522,""),"")</f>
        <v/>
      </c>
      <c r="C19522">
        <f>IF(B19522="","",INT(A19522))</f>
        <v/>
      </c>
      <c r="D19522">
        <f>IF(B19522="","",HOUR(A19522))</f>
        <v/>
      </c>
    </row>
    <row r="19523">
      <c r="A19523">
        <f>Input!A19523</f>
        <v/>
      </c>
      <c r="B19523">
        <f>IF(ISNUMBER(Input!B19523),IF(AND(Input!B19523&gt;=20,Input!B19523&lt;=700),Input!B19523,""),"")</f>
        <v/>
      </c>
      <c r="C19523">
        <f>IF(B19523="","",INT(A19523))</f>
        <v/>
      </c>
      <c r="D19523">
        <f>IF(B19523="","",HOUR(A19523))</f>
        <v/>
      </c>
    </row>
    <row r="19524">
      <c r="A19524">
        <f>Input!A19524</f>
        <v/>
      </c>
      <c r="B19524">
        <f>IF(ISNUMBER(Input!B19524),IF(AND(Input!B19524&gt;=20,Input!B19524&lt;=700),Input!B19524,""),"")</f>
        <v/>
      </c>
      <c r="C19524">
        <f>IF(B19524="","",INT(A19524))</f>
        <v/>
      </c>
      <c r="D19524">
        <f>IF(B19524="","",HOUR(A19524))</f>
        <v/>
      </c>
    </row>
    <row r="19525">
      <c r="A19525">
        <f>Input!A19525</f>
        <v/>
      </c>
      <c r="B19525">
        <f>IF(ISNUMBER(Input!B19525),IF(AND(Input!B19525&gt;=20,Input!B19525&lt;=700),Input!B19525,""),"")</f>
        <v/>
      </c>
      <c r="C19525">
        <f>IF(B19525="","",INT(A19525))</f>
        <v/>
      </c>
      <c r="D19525">
        <f>IF(B19525="","",HOUR(A19525))</f>
        <v/>
      </c>
    </row>
    <row r="19526">
      <c r="A19526">
        <f>Input!A19526</f>
        <v/>
      </c>
      <c r="B19526">
        <f>IF(ISNUMBER(Input!B19526),IF(AND(Input!B19526&gt;=20,Input!B19526&lt;=700),Input!B19526,""),"")</f>
        <v/>
      </c>
      <c r="C19526">
        <f>IF(B19526="","",INT(A19526))</f>
        <v/>
      </c>
      <c r="D19526">
        <f>IF(B19526="","",HOUR(A19526))</f>
        <v/>
      </c>
    </row>
    <row r="19527">
      <c r="A19527">
        <f>Input!A19527</f>
        <v/>
      </c>
      <c r="B19527">
        <f>IF(ISNUMBER(Input!B19527),IF(AND(Input!B19527&gt;=20,Input!B19527&lt;=700),Input!B19527,""),"")</f>
        <v/>
      </c>
      <c r="C19527">
        <f>IF(B19527="","",INT(A19527))</f>
        <v/>
      </c>
      <c r="D19527">
        <f>IF(B19527="","",HOUR(A19527))</f>
        <v/>
      </c>
    </row>
    <row r="19528">
      <c r="A19528">
        <f>Input!A19528</f>
        <v/>
      </c>
      <c r="B19528">
        <f>IF(ISNUMBER(Input!B19528),IF(AND(Input!B19528&gt;=20,Input!B19528&lt;=700),Input!B19528,""),"")</f>
        <v/>
      </c>
      <c r="C19528">
        <f>IF(B19528="","",INT(A19528))</f>
        <v/>
      </c>
      <c r="D19528">
        <f>IF(B19528="","",HOUR(A19528))</f>
        <v/>
      </c>
    </row>
    <row r="19529">
      <c r="A19529">
        <f>Input!A19529</f>
        <v/>
      </c>
      <c r="B19529">
        <f>IF(ISNUMBER(Input!B19529),IF(AND(Input!B19529&gt;=20,Input!B19529&lt;=700),Input!B19529,""),"")</f>
        <v/>
      </c>
      <c r="C19529">
        <f>IF(B19529="","",INT(A19529))</f>
        <v/>
      </c>
      <c r="D19529">
        <f>IF(B19529="","",HOUR(A19529))</f>
        <v/>
      </c>
    </row>
    <row r="19530">
      <c r="A19530">
        <f>Input!A19530</f>
        <v/>
      </c>
      <c r="B19530">
        <f>IF(ISNUMBER(Input!B19530),IF(AND(Input!B19530&gt;=20,Input!B19530&lt;=700),Input!B19530,""),"")</f>
        <v/>
      </c>
      <c r="C19530">
        <f>IF(B19530="","",INT(A19530))</f>
        <v/>
      </c>
      <c r="D19530">
        <f>IF(B19530="","",HOUR(A19530))</f>
        <v/>
      </c>
    </row>
    <row r="19531">
      <c r="A19531">
        <f>Input!A19531</f>
        <v/>
      </c>
      <c r="B19531">
        <f>IF(ISNUMBER(Input!B19531),IF(AND(Input!B19531&gt;=20,Input!B19531&lt;=700),Input!B19531,""),"")</f>
        <v/>
      </c>
      <c r="C19531">
        <f>IF(B19531="","",INT(A19531))</f>
        <v/>
      </c>
      <c r="D19531">
        <f>IF(B19531="","",HOUR(A19531))</f>
        <v/>
      </c>
    </row>
    <row r="19532">
      <c r="A19532">
        <f>Input!A19532</f>
        <v/>
      </c>
      <c r="B19532">
        <f>IF(ISNUMBER(Input!B19532),IF(AND(Input!B19532&gt;=20,Input!B19532&lt;=700),Input!B19532,""),"")</f>
        <v/>
      </c>
      <c r="C19532">
        <f>IF(B19532="","",INT(A19532))</f>
        <v/>
      </c>
      <c r="D19532">
        <f>IF(B19532="","",HOUR(A19532))</f>
        <v/>
      </c>
    </row>
    <row r="19533">
      <c r="A19533">
        <f>Input!A19533</f>
        <v/>
      </c>
      <c r="B19533">
        <f>IF(ISNUMBER(Input!B19533),IF(AND(Input!B19533&gt;=20,Input!B19533&lt;=700),Input!B19533,""),"")</f>
        <v/>
      </c>
      <c r="C19533">
        <f>IF(B19533="","",INT(A19533))</f>
        <v/>
      </c>
      <c r="D19533">
        <f>IF(B19533="","",HOUR(A19533))</f>
        <v/>
      </c>
    </row>
    <row r="19534">
      <c r="A19534">
        <f>Input!A19534</f>
        <v/>
      </c>
      <c r="B19534">
        <f>IF(ISNUMBER(Input!B19534),IF(AND(Input!B19534&gt;=20,Input!B19534&lt;=700),Input!B19534,""),"")</f>
        <v/>
      </c>
      <c r="C19534">
        <f>IF(B19534="","",INT(A19534))</f>
        <v/>
      </c>
      <c r="D19534">
        <f>IF(B19534="","",HOUR(A19534))</f>
        <v/>
      </c>
    </row>
    <row r="19535">
      <c r="A19535">
        <f>Input!A19535</f>
        <v/>
      </c>
      <c r="B19535">
        <f>IF(ISNUMBER(Input!B19535),IF(AND(Input!B19535&gt;=20,Input!B19535&lt;=700),Input!B19535,""),"")</f>
        <v/>
      </c>
      <c r="C19535">
        <f>IF(B19535="","",INT(A19535))</f>
        <v/>
      </c>
      <c r="D19535">
        <f>IF(B19535="","",HOUR(A19535))</f>
        <v/>
      </c>
    </row>
    <row r="19536">
      <c r="A19536">
        <f>Input!A19536</f>
        <v/>
      </c>
      <c r="B19536">
        <f>IF(ISNUMBER(Input!B19536),IF(AND(Input!B19536&gt;=20,Input!B19536&lt;=700),Input!B19536,""),"")</f>
        <v/>
      </c>
      <c r="C19536">
        <f>IF(B19536="","",INT(A19536))</f>
        <v/>
      </c>
      <c r="D19536">
        <f>IF(B19536="","",HOUR(A19536))</f>
        <v/>
      </c>
    </row>
    <row r="19537">
      <c r="A19537">
        <f>Input!A19537</f>
        <v/>
      </c>
      <c r="B19537">
        <f>IF(ISNUMBER(Input!B19537),IF(AND(Input!B19537&gt;=20,Input!B19537&lt;=700),Input!B19537,""),"")</f>
        <v/>
      </c>
      <c r="C19537">
        <f>IF(B19537="","",INT(A19537))</f>
        <v/>
      </c>
      <c r="D19537">
        <f>IF(B19537="","",HOUR(A19537))</f>
        <v/>
      </c>
    </row>
    <row r="19538">
      <c r="A19538">
        <f>Input!A19538</f>
        <v/>
      </c>
      <c r="B19538">
        <f>IF(ISNUMBER(Input!B19538),IF(AND(Input!B19538&gt;=20,Input!B19538&lt;=700),Input!B19538,""),"")</f>
        <v/>
      </c>
      <c r="C19538">
        <f>IF(B19538="","",INT(A19538))</f>
        <v/>
      </c>
      <c r="D19538">
        <f>IF(B19538="","",HOUR(A19538))</f>
        <v/>
      </c>
    </row>
    <row r="19539">
      <c r="A19539">
        <f>Input!A19539</f>
        <v/>
      </c>
      <c r="B19539">
        <f>IF(ISNUMBER(Input!B19539),IF(AND(Input!B19539&gt;=20,Input!B19539&lt;=700),Input!B19539,""),"")</f>
        <v/>
      </c>
      <c r="C19539">
        <f>IF(B19539="","",INT(A19539))</f>
        <v/>
      </c>
      <c r="D19539">
        <f>IF(B19539="","",HOUR(A19539))</f>
        <v/>
      </c>
    </row>
    <row r="19540">
      <c r="A19540">
        <f>Input!A19540</f>
        <v/>
      </c>
      <c r="B19540">
        <f>IF(ISNUMBER(Input!B19540),IF(AND(Input!B19540&gt;=20,Input!B19540&lt;=700),Input!B19540,""),"")</f>
        <v/>
      </c>
      <c r="C19540">
        <f>IF(B19540="","",INT(A19540))</f>
        <v/>
      </c>
      <c r="D19540">
        <f>IF(B19540="","",HOUR(A19540))</f>
        <v/>
      </c>
    </row>
    <row r="19541">
      <c r="A19541">
        <f>Input!A19541</f>
        <v/>
      </c>
      <c r="B19541">
        <f>IF(ISNUMBER(Input!B19541),IF(AND(Input!B19541&gt;=20,Input!B19541&lt;=700),Input!B19541,""),"")</f>
        <v/>
      </c>
      <c r="C19541">
        <f>IF(B19541="","",INT(A19541))</f>
        <v/>
      </c>
      <c r="D19541">
        <f>IF(B19541="","",HOUR(A19541))</f>
        <v/>
      </c>
    </row>
    <row r="19542">
      <c r="A19542">
        <f>Input!A19542</f>
        <v/>
      </c>
      <c r="B19542">
        <f>IF(ISNUMBER(Input!B19542),IF(AND(Input!B19542&gt;=20,Input!B19542&lt;=700),Input!B19542,""),"")</f>
        <v/>
      </c>
      <c r="C19542">
        <f>IF(B19542="","",INT(A19542))</f>
        <v/>
      </c>
      <c r="D19542">
        <f>IF(B19542="","",HOUR(A19542))</f>
        <v/>
      </c>
    </row>
    <row r="19543">
      <c r="A19543">
        <f>Input!A19543</f>
        <v/>
      </c>
      <c r="B19543">
        <f>IF(ISNUMBER(Input!B19543),IF(AND(Input!B19543&gt;=20,Input!B19543&lt;=700),Input!B19543,""),"")</f>
        <v/>
      </c>
      <c r="C19543">
        <f>IF(B19543="","",INT(A19543))</f>
        <v/>
      </c>
      <c r="D19543">
        <f>IF(B19543="","",HOUR(A19543))</f>
        <v/>
      </c>
    </row>
    <row r="19544">
      <c r="A19544">
        <f>Input!A19544</f>
        <v/>
      </c>
      <c r="B19544">
        <f>IF(ISNUMBER(Input!B19544),IF(AND(Input!B19544&gt;=20,Input!B19544&lt;=700),Input!B19544,""),"")</f>
        <v/>
      </c>
      <c r="C19544">
        <f>IF(B19544="","",INT(A19544))</f>
        <v/>
      </c>
      <c r="D19544">
        <f>IF(B19544="","",HOUR(A19544))</f>
        <v/>
      </c>
    </row>
    <row r="19545">
      <c r="A19545">
        <f>Input!A19545</f>
        <v/>
      </c>
      <c r="B19545">
        <f>IF(ISNUMBER(Input!B19545),IF(AND(Input!B19545&gt;=20,Input!B19545&lt;=700),Input!B19545,""),"")</f>
        <v/>
      </c>
      <c r="C19545">
        <f>IF(B19545="","",INT(A19545))</f>
        <v/>
      </c>
      <c r="D19545">
        <f>IF(B19545="","",HOUR(A19545))</f>
        <v/>
      </c>
    </row>
    <row r="19546">
      <c r="A19546">
        <f>Input!A19546</f>
        <v/>
      </c>
      <c r="B19546">
        <f>IF(ISNUMBER(Input!B19546),IF(AND(Input!B19546&gt;=20,Input!B19546&lt;=700),Input!B19546,""),"")</f>
        <v/>
      </c>
      <c r="C19546">
        <f>IF(B19546="","",INT(A19546))</f>
        <v/>
      </c>
      <c r="D19546">
        <f>IF(B19546="","",HOUR(A19546))</f>
        <v/>
      </c>
    </row>
    <row r="19547">
      <c r="A19547">
        <f>Input!A19547</f>
        <v/>
      </c>
      <c r="B19547">
        <f>IF(ISNUMBER(Input!B19547),IF(AND(Input!B19547&gt;=20,Input!B19547&lt;=700),Input!B19547,""),"")</f>
        <v/>
      </c>
      <c r="C19547">
        <f>IF(B19547="","",INT(A19547))</f>
        <v/>
      </c>
      <c r="D19547">
        <f>IF(B19547="","",HOUR(A19547))</f>
        <v/>
      </c>
    </row>
    <row r="19548">
      <c r="A19548">
        <f>Input!A19548</f>
        <v/>
      </c>
      <c r="B19548">
        <f>IF(ISNUMBER(Input!B19548),IF(AND(Input!B19548&gt;=20,Input!B19548&lt;=700),Input!B19548,""),"")</f>
        <v/>
      </c>
      <c r="C19548">
        <f>IF(B19548="","",INT(A19548))</f>
        <v/>
      </c>
      <c r="D19548">
        <f>IF(B19548="","",HOUR(A19548))</f>
        <v/>
      </c>
    </row>
    <row r="19549">
      <c r="A19549">
        <f>Input!A19549</f>
        <v/>
      </c>
      <c r="B19549">
        <f>IF(ISNUMBER(Input!B19549),IF(AND(Input!B19549&gt;=20,Input!B19549&lt;=700),Input!B19549,""),"")</f>
        <v/>
      </c>
      <c r="C19549">
        <f>IF(B19549="","",INT(A19549))</f>
        <v/>
      </c>
      <c r="D19549">
        <f>IF(B19549="","",HOUR(A19549))</f>
        <v/>
      </c>
    </row>
    <row r="19550">
      <c r="A19550">
        <f>Input!A19550</f>
        <v/>
      </c>
      <c r="B19550">
        <f>IF(ISNUMBER(Input!B19550),IF(AND(Input!B19550&gt;=20,Input!B19550&lt;=700),Input!B19550,""),"")</f>
        <v/>
      </c>
      <c r="C19550">
        <f>IF(B19550="","",INT(A19550))</f>
        <v/>
      </c>
      <c r="D19550">
        <f>IF(B19550="","",HOUR(A19550))</f>
        <v/>
      </c>
    </row>
    <row r="19551">
      <c r="A19551">
        <f>Input!A19551</f>
        <v/>
      </c>
      <c r="B19551">
        <f>IF(ISNUMBER(Input!B19551),IF(AND(Input!B19551&gt;=20,Input!B19551&lt;=700),Input!B19551,""),"")</f>
        <v/>
      </c>
      <c r="C19551">
        <f>IF(B19551="","",INT(A19551))</f>
        <v/>
      </c>
      <c r="D19551">
        <f>IF(B19551="","",HOUR(A19551))</f>
        <v/>
      </c>
    </row>
    <row r="19552">
      <c r="A19552">
        <f>Input!A19552</f>
        <v/>
      </c>
      <c r="B19552">
        <f>IF(ISNUMBER(Input!B19552),IF(AND(Input!B19552&gt;=20,Input!B19552&lt;=700),Input!B19552,""),"")</f>
        <v/>
      </c>
      <c r="C19552">
        <f>IF(B19552="","",INT(A19552))</f>
        <v/>
      </c>
      <c r="D19552">
        <f>IF(B19552="","",HOUR(A19552))</f>
        <v/>
      </c>
    </row>
    <row r="19553">
      <c r="A19553">
        <f>Input!A19553</f>
        <v/>
      </c>
      <c r="B19553">
        <f>IF(ISNUMBER(Input!B19553),IF(AND(Input!B19553&gt;=20,Input!B19553&lt;=700),Input!B19553,""),"")</f>
        <v/>
      </c>
      <c r="C19553">
        <f>IF(B19553="","",INT(A19553))</f>
        <v/>
      </c>
      <c r="D19553">
        <f>IF(B19553="","",HOUR(A19553))</f>
        <v/>
      </c>
    </row>
    <row r="19554">
      <c r="A19554">
        <f>Input!A19554</f>
        <v/>
      </c>
      <c r="B19554">
        <f>IF(ISNUMBER(Input!B19554),IF(AND(Input!B19554&gt;=20,Input!B19554&lt;=700),Input!B19554,""),"")</f>
        <v/>
      </c>
      <c r="C19554">
        <f>IF(B19554="","",INT(A19554))</f>
        <v/>
      </c>
      <c r="D19554">
        <f>IF(B19554="","",HOUR(A19554))</f>
        <v/>
      </c>
    </row>
    <row r="19555">
      <c r="A19555">
        <f>Input!A19555</f>
        <v/>
      </c>
      <c r="B19555">
        <f>IF(ISNUMBER(Input!B19555),IF(AND(Input!B19555&gt;=20,Input!B19555&lt;=700),Input!B19555,""),"")</f>
        <v/>
      </c>
      <c r="C19555">
        <f>IF(B19555="","",INT(A19555))</f>
        <v/>
      </c>
      <c r="D19555">
        <f>IF(B19555="","",HOUR(A19555))</f>
        <v/>
      </c>
    </row>
    <row r="19556">
      <c r="A19556">
        <f>Input!A19556</f>
        <v/>
      </c>
      <c r="B19556">
        <f>IF(ISNUMBER(Input!B19556),IF(AND(Input!B19556&gt;=20,Input!B19556&lt;=700),Input!B19556,""),"")</f>
        <v/>
      </c>
      <c r="C19556">
        <f>IF(B19556="","",INT(A19556))</f>
        <v/>
      </c>
      <c r="D19556">
        <f>IF(B19556="","",HOUR(A19556))</f>
        <v/>
      </c>
    </row>
    <row r="19557">
      <c r="A19557">
        <f>Input!A19557</f>
        <v/>
      </c>
      <c r="B19557">
        <f>IF(ISNUMBER(Input!B19557),IF(AND(Input!B19557&gt;=20,Input!B19557&lt;=700),Input!B19557,""),"")</f>
        <v/>
      </c>
      <c r="C19557">
        <f>IF(B19557="","",INT(A19557))</f>
        <v/>
      </c>
      <c r="D19557">
        <f>IF(B19557="","",HOUR(A19557))</f>
        <v/>
      </c>
    </row>
    <row r="19558">
      <c r="A19558">
        <f>Input!A19558</f>
        <v/>
      </c>
      <c r="B19558">
        <f>IF(ISNUMBER(Input!B19558),IF(AND(Input!B19558&gt;=20,Input!B19558&lt;=700),Input!B19558,""),"")</f>
        <v/>
      </c>
      <c r="C19558">
        <f>IF(B19558="","",INT(A19558))</f>
        <v/>
      </c>
      <c r="D19558">
        <f>IF(B19558="","",HOUR(A19558))</f>
        <v/>
      </c>
    </row>
    <row r="19559">
      <c r="A19559">
        <f>Input!A19559</f>
        <v/>
      </c>
      <c r="B19559">
        <f>IF(ISNUMBER(Input!B19559),IF(AND(Input!B19559&gt;=20,Input!B19559&lt;=700),Input!B19559,""),"")</f>
        <v/>
      </c>
      <c r="C19559">
        <f>IF(B19559="","",INT(A19559))</f>
        <v/>
      </c>
      <c r="D19559">
        <f>IF(B19559="","",HOUR(A19559))</f>
        <v/>
      </c>
    </row>
    <row r="19560">
      <c r="A19560">
        <f>Input!A19560</f>
        <v/>
      </c>
      <c r="B19560">
        <f>IF(ISNUMBER(Input!B19560),IF(AND(Input!B19560&gt;=20,Input!B19560&lt;=700),Input!B19560,""),"")</f>
        <v/>
      </c>
      <c r="C19560">
        <f>IF(B19560="","",INT(A19560))</f>
        <v/>
      </c>
      <c r="D19560">
        <f>IF(B19560="","",HOUR(A19560))</f>
        <v/>
      </c>
    </row>
    <row r="19561">
      <c r="A19561">
        <f>Input!A19561</f>
        <v/>
      </c>
      <c r="B19561">
        <f>IF(ISNUMBER(Input!B19561),IF(AND(Input!B19561&gt;=20,Input!B19561&lt;=700),Input!B19561,""),"")</f>
        <v/>
      </c>
      <c r="C19561">
        <f>IF(B19561="","",INT(A19561))</f>
        <v/>
      </c>
      <c r="D19561">
        <f>IF(B19561="","",HOUR(A19561))</f>
        <v/>
      </c>
    </row>
    <row r="19562">
      <c r="A19562">
        <f>Input!A19562</f>
        <v/>
      </c>
      <c r="B19562">
        <f>IF(ISNUMBER(Input!B19562),IF(AND(Input!B19562&gt;=20,Input!B19562&lt;=700),Input!B19562,""),"")</f>
        <v/>
      </c>
      <c r="C19562">
        <f>IF(B19562="","",INT(A19562))</f>
        <v/>
      </c>
      <c r="D19562">
        <f>IF(B19562="","",HOUR(A19562))</f>
        <v/>
      </c>
    </row>
    <row r="19563">
      <c r="A19563">
        <f>Input!A19563</f>
        <v/>
      </c>
      <c r="B19563">
        <f>IF(ISNUMBER(Input!B19563),IF(AND(Input!B19563&gt;=20,Input!B19563&lt;=700),Input!B19563,""),"")</f>
        <v/>
      </c>
      <c r="C19563">
        <f>IF(B19563="","",INT(A19563))</f>
        <v/>
      </c>
      <c r="D19563">
        <f>IF(B19563="","",HOUR(A19563))</f>
        <v/>
      </c>
    </row>
    <row r="19564">
      <c r="A19564">
        <f>Input!A19564</f>
        <v/>
      </c>
      <c r="B19564">
        <f>IF(ISNUMBER(Input!B19564),IF(AND(Input!B19564&gt;=20,Input!B19564&lt;=700),Input!B19564,""),"")</f>
        <v/>
      </c>
      <c r="C19564">
        <f>IF(B19564="","",INT(A19564))</f>
        <v/>
      </c>
      <c r="D19564">
        <f>IF(B19564="","",HOUR(A19564))</f>
        <v/>
      </c>
    </row>
    <row r="19565">
      <c r="A19565">
        <f>Input!A19565</f>
        <v/>
      </c>
      <c r="B19565">
        <f>IF(ISNUMBER(Input!B19565),IF(AND(Input!B19565&gt;=20,Input!B19565&lt;=700),Input!B19565,""),"")</f>
        <v/>
      </c>
      <c r="C19565">
        <f>IF(B19565="","",INT(A19565))</f>
        <v/>
      </c>
      <c r="D19565">
        <f>IF(B19565="","",HOUR(A19565))</f>
        <v/>
      </c>
    </row>
    <row r="19566">
      <c r="A19566">
        <f>Input!A19566</f>
        <v/>
      </c>
      <c r="B19566">
        <f>IF(ISNUMBER(Input!B19566),IF(AND(Input!B19566&gt;=20,Input!B19566&lt;=700),Input!B19566,""),"")</f>
        <v/>
      </c>
      <c r="C19566">
        <f>IF(B19566="","",INT(A19566))</f>
        <v/>
      </c>
      <c r="D19566">
        <f>IF(B19566="","",HOUR(A19566))</f>
        <v/>
      </c>
    </row>
    <row r="19567">
      <c r="A19567">
        <f>Input!A19567</f>
        <v/>
      </c>
      <c r="B19567">
        <f>IF(ISNUMBER(Input!B19567),IF(AND(Input!B19567&gt;=20,Input!B19567&lt;=700),Input!B19567,""),"")</f>
        <v/>
      </c>
      <c r="C19567">
        <f>IF(B19567="","",INT(A19567))</f>
        <v/>
      </c>
      <c r="D19567">
        <f>IF(B19567="","",HOUR(A19567))</f>
        <v/>
      </c>
    </row>
    <row r="19568">
      <c r="A19568">
        <f>Input!A19568</f>
        <v/>
      </c>
      <c r="B19568">
        <f>IF(ISNUMBER(Input!B19568),IF(AND(Input!B19568&gt;=20,Input!B19568&lt;=700),Input!B19568,""),"")</f>
        <v/>
      </c>
      <c r="C19568">
        <f>IF(B19568="","",INT(A19568))</f>
        <v/>
      </c>
      <c r="D19568">
        <f>IF(B19568="","",HOUR(A19568))</f>
        <v/>
      </c>
    </row>
    <row r="19569">
      <c r="A19569">
        <f>Input!A19569</f>
        <v/>
      </c>
      <c r="B19569">
        <f>IF(ISNUMBER(Input!B19569),IF(AND(Input!B19569&gt;=20,Input!B19569&lt;=700),Input!B19569,""),"")</f>
        <v/>
      </c>
      <c r="C19569">
        <f>IF(B19569="","",INT(A19569))</f>
        <v/>
      </c>
      <c r="D19569">
        <f>IF(B19569="","",HOUR(A19569))</f>
        <v/>
      </c>
    </row>
    <row r="19570">
      <c r="A19570">
        <f>Input!A19570</f>
        <v/>
      </c>
      <c r="B19570">
        <f>IF(ISNUMBER(Input!B19570),IF(AND(Input!B19570&gt;=20,Input!B19570&lt;=700),Input!B19570,""),"")</f>
        <v/>
      </c>
      <c r="C19570">
        <f>IF(B19570="","",INT(A19570))</f>
        <v/>
      </c>
      <c r="D19570">
        <f>IF(B19570="","",HOUR(A19570))</f>
        <v/>
      </c>
    </row>
    <row r="19571">
      <c r="A19571">
        <f>Input!A19571</f>
        <v/>
      </c>
      <c r="B19571">
        <f>IF(ISNUMBER(Input!B19571),IF(AND(Input!B19571&gt;=20,Input!B19571&lt;=700),Input!B19571,""),"")</f>
        <v/>
      </c>
      <c r="C19571">
        <f>IF(B19571="","",INT(A19571))</f>
        <v/>
      </c>
      <c r="D19571">
        <f>IF(B19571="","",HOUR(A19571))</f>
        <v/>
      </c>
    </row>
    <row r="19572">
      <c r="A19572">
        <f>Input!A19572</f>
        <v/>
      </c>
      <c r="B19572">
        <f>IF(ISNUMBER(Input!B19572),IF(AND(Input!B19572&gt;=20,Input!B19572&lt;=700),Input!B19572,""),"")</f>
        <v/>
      </c>
      <c r="C19572">
        <f>IF(B19572="","",INT(A19572))</f>
        <v/>
      </c>
      <c r="D19572">
        <f>IF(B19572="","",HOUR(A19572))</f>
        <v/>
      </c>
    </row>
    <row r="19573">
      <c r="A19573">
        <f>Input!A19573</f>
        <v/>
      </c>
      <c r="B19573">
        <f>IF(ISNUMBER(Input!B19573),IF(AND(Input!B19573&gt;=20,Input!B19573&lt;=700),Input!B19573,""),"")</f>
        <v/>
      </c>
      <c r="C19573">
        <f>IF(B19573="","",INT(A19573))</f>
        <v/>
      </c>
      <c r="D19573">
        <f>IF(B19573="","",HOUR(A19573))</f>
        <v/>
      </c>
    </row>
    <row r="19574">
      <c r="A19574">
        <f>Input!A19574</f>
        <v/>
      </c>
      <c r="B19574">
        <f>IF(ISNUMBER(Input!B19574),IF(AND(Input!B19574&gt;=20,Input!B19574&lt;=700),Input!B19574,""),"")</f>
        <v/>
      </c>
      <c r="C19574">
        <f>IF(B19574="","",INT(A19574))</f>
        <v/>
      </c>
      <c r="D19574">
        <f>IF(B19574="","",HOUR(A19574))</f>
        <v/>
      </c>
    </row>
    <row r="19575">
      <c r="A19575">
        <f>Input!A19575</f>
        <v/>
      </c>
      <c r="B19575">
        <f>IF(ISNUMBER(Input!B19575),IF(AND(Input!B19575&gt;=20,Input!B19575&lt;=700),Input!B19575,""),"")</f>
        <v/>
      </c>
      <c r="C19575">
        <f>IF(B19575="","",INT(A19575))</f>
        <v/>
      </c>
      <c r="D19575">
        <f>IF(B19575="","",HOUR(A19575))</f>
        <v/>
      </c>
    </row>
    <row r="19576">
      <c r="A19576">
        <f>Input!A19576</f>
        <v/>
      </c>
      <c r="B19576">
        <f>IF(ISNUMBER(Input!B19576),IF(AND(Input!B19576&gt;=20,Input!B19576&lt;=700),Input!B19576,""),"")</f>
        <v/>
      </c>
      <c r="C19576">
        <f>IF(B19576="","",INT(A19576))</f>
        <v/>
      </c>
      <c r="D19576">
        <f>IF(B19576="","",HOUR(A19576))</f>
        <v/>
      </c>
    </row>
    <row r="19577">
      <c r="A19577">
        <f>Input!A19577</f>
        <v/>
      </c>
      <c r="B19577">
        <f>IF(ISNUMBER(Input!B19577),IF(AND(Input!B19577&gt;=20,Input!B19577&lt;=700),Input!B19577,""),"")</f>
        <v/>
      </c>
      <c r="C19577">
        <f>IF(B19577="","",INT(A19577))</f>
        <v/>
      </c>
      <c r="D19577">
        <f>IF(B19577="","",HOUR(A19577))</f>
        <v/>
      </c>
    </row>
    <row r="19578">
      <c r="A19578">
        <f>Input!A19578</f>
        <v/>
      </c>
      <c r="B19578">
        <f>IF(ISNUMBER(Input!B19578),IF(AND(Input!B19578&gt;=20,Input!B19578&lt;=700),Input!B19578,""),"")</f>
        <v/>
      </c>
      <c r="C19578">
        <f>IF(B19578="","",INT(A19578))</f>
        <v/>
      </c>
      <c r="D19578">
        <f>IF(B19578="","",HOUR(A19578))</f>
        <v/>
      </c>
    </row>
    <row r="19579">
      <c r="A19579">
        <f>Input!A19579</f>
        <v/>
      </c>
      <c r="B19579">
        <f>IF(ISNUMBER(Input!B19579),IF(AND(Input!B19579&gt;=20,Input!B19579&lt;=700),Input!B19579,""),"")</f>
        <v/>
      </c>
      <c r="C19579">
        <f>IF(B19579="","",INT(A19579))</f>
        <v/>
      </c>
      <c r="D19579">
        <f>IF(B19579="","",HOUR(A19579))</f>
        <v/>
      </c>
    </row>
    <row r="19580">
      <c r="A19580">
        <f>Input!A19580</f>
        <v/>
      </c>
      <c r="B19580">
        <f>IF(ISNUMBER(Input!B19580),IF(AND(Input!B19580&gt;=20,Input!B19580&lt;=700),Input!B19580,""),"")</f>
        <v/>
      </c>
      <c r="C19580">
        <f>IF(B19580="","",INT(A19580))</f>
        <v/>
      </c>
      <c r="D19580">
        <f>IF(B19580="","",HOUR(A19580))</f>
        <v/>
      </c>
    </row>
    <row r="19581">
      <c r="A19581">
        <f>Input!A19581</f>
        <v/>
      </c>
      <c r="B19581">
        <f>IF(ISNUMBER(Input!B19581),IF(AND(Input!B19581&gt;=20,Input!B19581&lt;=700),Input!B19581,""),"")</f>
        <v/>
      </c>
      <c r="C19581">
        <f>IF(B19581="","",INT(A19581))</f>
        <v/>
      </c>
      <c r="D19581">
        <f>IF(B19581="","",HOUR(A19581))</f>
        <v/>
      </c>
    </row>
    <row r="19582">
      <c r="A19582">
        <f>Input!A19582</f>
        <v/>
      </c>
      <c r="B19582">
        <f>IF(ISNUMBER(Input!B19582),IF(AND(Input!B19582&gt;=20,Input!B19582&lt;=700),Input!B19582,""),"")</f>
        <v/>
      </c>
      <c r="C19582">
        <f>IF(B19582="","",INT(A19582))</f>
        <v/>
      </c>
      <c r="D19582">
        <f>IF(B19582="","",HOUR(A19582))</f>
        <v/>
      </c>
    </row>
    <row r="19583">
      <c r="A19583">
        <f>Input!A19583</f>
        <v/>
      </c>
      <c r="B19583">
        <f>IF(ISNUMBER(Input!B19583),IF(AND(Input!B19583&gt;=20,Input!B19583&lt;=700),Input!B19583,""),"")</f>
        <v/>
      </c>
      <c r="C19583">
        <f>IF(B19583="","",INT(A19583))</f>
        <v/>
      </c>
      <c r="D19583">
        <f>IF(B19583="","",HOUR(A19583))</f>
        <v/>
      </c>
    </row>
    <row r="19584">
      <c r="A19584">
        <f>Input!A19584</f>
        <v/>
      </c>
      <c r="B19584">
        <f>IF(ISNUMBER(Input!B19584),IF(AND(Input!B19584&gt;=20,Input!B19584&lt;=700),Input!B19584,""),"")</f>
        <v/>
      </c>
      <c r="C19584">
        <f>IF(B19584="","",INT(A19584))</f>
        <v/>
      </c>
      <c r="D19584">
        <f>IF(B19584="","",HOUR(A19584))</f>
        <v/>
      </c>
    </row>
    <row r="19585">
      <c r="A19585">
        <f>Input!A19585</f>
        <v/>
      </c>
      <c r="B19585">
        <f>IF(ISNUMBER(Input!B19585),IF(AND(Input!B19585&gt;=20,Input!B19585&lt;=700),Input!B19585,""),"")</f>
        <v/>
      </c>
      <c r="C19585">
        <f>IF(B19585="","",INT(A19585))</f>
        <v/>
      </c>
      <c r="D19585">
        <f>IF(B19585="","",HOUR(A19585))</f>
        <v/>
      </c>
    </row>
    <row r="19586">
      <c r="A19586">
        <f>Input!A19586</f>
        <v/>
      </c>
      <c r="B19586">
        <f>IF(ISNUMBER(Input!B19586),IF(AND(Input!B19586&gt;=20,Input!B19586&lt;=700),Input!B19586,""),"")</f>
        <v/>
      </c>
      <c r="C19586">
        <f>IF(B19586="","",INT(A19586))</f>
        <v/>
      </c>
      <c r="D19586">
        <f>IF(B19586="","",HOUR(A19586))</f>
        <v/>
      </c>
    </row>
    <row r="19587">
      <c r="A19587">
        <f>Input!A19587</f>
        <v/>
      </c>
      <c r="B19587">
        <f>IF(ISNUMBER(Input!B19587),IF(AND(Input!B19587&gt;=20,Input!B19587&lt;=700),Input!B19587,""),"")</f>
        <v/>
      </c>
      <c r="C19587">
        <f>IF(B19587="","",INT(A19587))</f>
        <v/>
      </c>
      <c r="D19587">
        <f>IF(B19587="","",HOUR(A19587))</f>
        <v/>
      </c>
    </row>
    <row r="19588">
      <c r="A19588">
        <f>Input!A19588</f>
        <v/>
      </c>
      <c r="B19588">
        <f>IF(ISNUMBER(Input!B19588),IF(AND(Input!B19588&gt;=20,Input!B19588&lt;=700),Input!B19588,""),"")</f>
        <v/>
      </c>
      <c r="C19588">
        <f>IF(B19588="","",INT(A19588))</f>
        <v/>
      </c>
      <c r="D19588">
        <f>IF(B19588="","",HOUR(A19588))</f>
        <v/>
      </c>
    </row>
    <row r="19589">
      <c r="A19589">
        <f>Input!A19589</f>
        <v/>
      </c>
      <c r="B19589">
        <f>IF(ISNUMBER(Input!B19589),IF(AND(Input!B19589&gt;=20,Input!B19589&lt;=700),Input!B19589,""),"")</f>
        <v/>
      </c>
      <c r="C19589">
        <f>IF(B19589="","",INT(A19589))</f>
        <v/>
      </c>
      <c r="D19589">
        <f>IF(B19589="","",HOUR(A19589))</f>
        <v/>
      </c>
    </row>
    <row r="19590">
      <c r="A19590">
        <f>Input!A19590</f>
        <v/>
      </c>
      <c r="B19590">
        <f>IF(ISNUMBER(Input!B19590),IF(AND(Input!B19590&gt;=20,Input!B19590&lt;=700),Input!B19590,""),"")</f>
        <v/>
      </c>
      <c r="C19590">
        <f>IF(B19590="","",INT(A19590))</f>
        <v/>
      </c>
      <c r="D19590">
        <f>IF(B19590="","",HOUR(A19590))</f>
        <v/>
      </c>
    </row>
    <row r="19591">
      <c r="A19591">
        <f>Input!A19591</f>
        <v/>
      </c>
      <c r="B19591">
        <f>IF(ISNUMBER(Input!B19591),IF(AND(Input!B19591&gt;=20,Input!B19591&lt;=700),Input!B19591,""),"")</f>
        <v/>
      </c>
      <c r="C19591">
        <f>IF(B19591="","",INT(A19591))</f>
        <v/>
      </c>
      <c r="D19591">
        <f>IF(B19591="","",HOUR(A19591))</f>
        <v/>
      </c>
    </row>
    <row r="19592">
      <c r="A19592">
        <f>Input!A19592</f>
        <v/>
      </c>
      <c r="B19592">
        <f>IF(ISNUMBER(Input!B19592),IF(AND(Input!B19592&gt;=20,Input!B19592&lt;=700),Input!B19592,""),"")</f>
        <v/>
      </c>
      <c r="C19592">
        <f>IF(B19592="","",INT(A19592))</f>
        <v/>
      </c>
      <c r="D19592">
        <f>IF(B19592="","",HOUR(A19592))</f>
        <v/>
      </c>
    </row>
    <row r="19593">
      <c r="A19593">
        <f>Input!A19593</f>
        <v/>
      </c>
      <c r="B19593">
        <f>IF(ISNUMBER(Input!B19593),IF(AND(Input!B19593&gt;=20,Input!B19593&lt;=700),Input!B19593,""),"")</f>
        <v/>
      </c>
      <c r="C19593">
        <f>IF(B19593="","",INT(A19593))</f>
        <v/>
      </c>
      <c r="D19593">
        <f>IF(B19593="","",HOUR(A19593))</f>
        <v/>
      </c>
    </row>
    <row r="19594">
      <c r="A19594">
        <f>Input!A19594</f>
        <v/>
      </c>
      <c r="B19594">
        <f>IF(ISNUMBER(Input!B19594),IF(AND(Input!B19594&gt;=20,Input!B19594&lt;=700),Input!B19594,""),"")</f>
        <v/>
      </c>
      <c r="C19594">
        <f>IF(B19594="","",INT(A19594))</f>
        <v/>
      </c>
      <c r="D19594">
        <f>IF(B19594="","",HOUR(A19594))</f>
        <v/>
      </c>
    </row>
    <row r="19595">
      <c r="A19595">
        <f>Input!A19595</f>
        <v/>
      </c>
      <c r="B19595">
        <f>IF(ISNUMBER(Input!B19595),IF(AND(Input!B19595&gt;=20,Input!B19595&lt;=700),Input!B19595,""),"")</f>
        <v/>
      </c>
      <c r="C19595">
        <f>IF(B19595="","",INT(A19595))</f>
        <v/>
      </c>
      <c r="D19595">
        <f>IF(B19595="","",HOUR(A19595))</f>
        <v/>
      </c>
    </row>
    <row r="19596">
      <c r="A19596">
        <f>Input!A19596</f>
        <v/>
      </c>
      <c r="B19596">
        <f>IF(ISNUMBER(Input!B19596),IF(AND(Input!B19596&gt;=20,Input!B19596&lt;=700),Input!B19596,""),"")</f>
        <v/>
      </c>
      <c r="C19596">
        <f>IF(B19596="","",INT(A19596))</f>
        <v/>
      </c>
      <c r="D19596">
        <f>IF(B19596="","",HOUR(A19596))</f>
        <v/>
      </c>
    </row>
    <row r="19597">
      <c r="A19597">
        <f>Input!A19597</f>
        <v/>
      </c>
      <c r="B19597">
        <f>IF(ISNUMBER(Input!B19597),IF(AND(Input!B19597&gt;=20,Input!B19597&lt;=700),Input!B19597,""),"")</f>
        <v/>
      </c>
      <c r="C19597">
        <f>IF(B19597="","",INT(A19597))</f>
        <v/>
      </c>
      <c r="D19597">
        <f>IF(B19597="","",HOUR(A19597))</f>
        <v/>
      </c>
    </row>
    <row r="19598">
      <c r="A19598">
        <f>Input!A19598</f>
        <v/>
      </c>
      <c r="B19598">
        <f>IF(ISNUMBER(Input!B19598),IF(AND(Input!B19598&gt;=20,Input!B19598&lt;=700),Input!B19598,""),"")</f>
        <v/>
      </c>
      <c r="C19598">
        <f>IF(B19598="","",INT(A19598))</f>
        <v/>
      </c>
      <c r="D19598">
        <f>IF(B19598="","",HOUR(A19598))</f>
        <v/>
      </c>
    </row>
    <row r="19599">
      <c r="A19599">
        <f>Input!A19599</f>
        <v/>
      </c>
      <c r="B19599">
        <f>IF(ISNUMBER(Input!B19599),IF(AND(Input!B19599&gt;=20,Input!B19599&lt;=700),Input!B19599,""),"")</f>
        <v/>
      </c>
      <c r="C19599">
        <f>IF(B19599="","",INT(A19599))</f>
        <v/>
      </c>
      <c r="D19599">
        <f>IF(B19599="","",HOUR(A19599))</f>
        <v/>
      </c>
    </row>
    <row r="19600">
      <c r="A19600">
        <f>Input!A19600</f>
        <v/>
      </c>
      <c r="B19600">
        <f>IF(ISNUMBER(Input!B19600),IF(AND(Input!B19600&gt;=20,Input!B19600&lt;=700),Input!B19600,""),"")</f>
        <v/>
      </c>
      <c r="C19600">
        <f>IF(B19600="","",INT(A19600))</f>
        <v/>
      </c>
      <c r="D19600">
        <f>IF(B19600="","",HOUR(A19600))</f>
        <v/>
      </c>
    </row>
    <row r="19601">
      <c r="A19601">
        <f>Input!A19601</f>
        <v/>
      </c>
      <c r="B19601">
        <f>IF(ISNUMBER(Input!B19601),IF(AND(Input!B19601&gt;=20,Input!B19601&lt;=700),Input!B19601,""),"")</f>
        <v/>
      </c>
      <c r="C19601">
        <f>IF(B19601="","",INT(A19601))</f>
        <v/>
      </c>
      <c r="D19601">
        <f>IF(B19601="","",HOUR(A19601))</f>
        <v/>
      </c>
    </row>
    <row r="19602">
      <c r="A19602">
        <f>Input!A19602</f>
        <v/>
      </c>
      <c r="B19602">
        <f>IF(ISNUMBER(Input!B19602),IF(AND(Input!B19602&gt;=20,Input!B19602&lt;=700),Input!B19602,""),"")</f>
        <v/>
      </c>
      <c r="C19602">
        <f>IF(B19602="","",INT(A19602))</f>
        <v/>
      </c>
      <c r="D19602">
        <f>IF(B19602="","",HOUR(A19602))</f>
        <v/>
      </c>
    </row>
    <row r="19603">
      <c r="A19603">
        <f>Input!A19603</f>
        <v/>
      </c>
      <c r="B19603">
        <f>IF(ISNUMBER(Input!B19603),IF(AND(Input!B19603&gt;=20,Input!B19603&lt;=700),Input!B19603,""),"")</f>
        <v/>
      </c>
      <c r="C19603">
        <f>IF(B19603="","",INT(A19603))</f>
        <v/>
      </c>
      <c r="D19603">
        <f>IF(B19603="","",HOUR(A19603))</f>
        <v/>
      </c>
    </row>
    <row r="19604">
      <c r="A19604">
        <f>Input!A19604</f>
        <v/>
      </c>
      <c r="B19604">
        <f>IF(ISNUMBER(Input!B19604),IF(AND(Input!B19604&gt;=20,Input!B19604&lt;=700),Input!B19604,""),"")</f>
        <v/>
      </c>
      <c r="C19604">
        <f>IF(B19604="","",INT(A19604))</f>
        <v/>
      </c>
      <c r="D19604">
        <f>IF(B19604="","",HOUR(A19604))</f>
        <v/>
      </c>
    </row>
    <row r="19605">
      <c r="A19605">
        <f>Input!A19605</f>
        <v/>
      </c>
      <c r="B19605">
        <f>IF(ISNUMBER(Input!B19605),IF(AND(Input!B19605&gt;=20,Input!B19605&lt;=700),Input!B19605,""),"")</f>
        <v/>
      </c>
      <c r="C19605">
        <f>IF(B19605="","",INT(A19605))</f>
        <v/>
      </c>
      <c r="D19605">
        <f>IF(B19605="","",HOUR(A19605))</f>
        <v/>
      </c>
    </row>
    <row r="19606">
      <c r="A19606">
        <f>Input!A19606</f>
        <v/>
      </c>
      <c r="B19606">
        <f>IF(ISNUMBER(Input!B19606),IF(AND(Input!B19606&gt;=20,Input!B19606&lt;=700),Input!B19606,""),"")</f>
        <v/>
      </c>
      <c r="C19606">
        <f>IF(B19606="","",INT(A19606))</f>
        <v/>
      </c>
      <c r="D19606">
        <f>IF(B19606="","",HOUR(A19606))</f>
        <v/>
      </c>
    </row>
    <row r="19607">
      <c r="A19607">
        <f>Input!A19607</f>
        <v/>
      </c>
      <c r="B19607">
        <f>IF(ISNUMBER(Input!B19607),IF(AND(Input!B19607&gt;=20,Input!B19607&lt;=700),Input!B19607,""),"")</f>
        <v/>
      </c>
      <c r="C19607">
        <f>IF(B19607="","",INT(A19607))</f>
        <v/>
      </c>
      <c r="D19607">
        <f>IF(B19607="","",HOUR(A19607))</f>
        <v/>
      </c>
    </row>
    <row r="19608">
      <c r="A19608">
        <f>Input!A19608</f>
        <v/>
      </c>
      <c r="B19608">
        <f>IF(ISNUMBER(Input!B19608),IF(AND(Input!B19608&gt;=20,Input!B19608&lt;=700),Input!B19608,""),"")</f>
        <v/>
      </c>
      <c r="C19608">
        <f>IF(B19608="","",INT(A19608))</f>
        <v/>
      </c>
      <c r="D19608">
        <f>IF(B19608="","",HOUR(A19608))</f>
        <v/>
      </c>
    </row>
    <row r="19609">
      <c r="A19609">
        <f>Input!A19609</f>
        <v/>
      </c>
      <c r="B19609">
        <f>IF(ISNUMBER(Input!B19609),IF(AND(Input!B19609&gt;=20,Input!B19609&lt;=700),Input!B19609,""),"")</f>
        <v/>
      </c>
      <c r="C19609">
        <f>IF(B19609="","",INT(A19609))</f>
        <v/>
      </c>
      <c r="D19609">
        <f>IF(B19609="","",HOUR(A19609))</f>
        <v/>
      </c>
    </row>
    <row r="19610">
      <c r="A19610">
        <f>Input!A19610</f>
        <v/>
      </c>
      <c r="B19610">
        <f>IF(ISNUMBER(Input!B19610),IF(AND(Input!B19610&gt;=20,Input!B19610&lt;=700),Input!B19610,""),"")</f>
        <v/>
      </c>
      <c r="C19610">
        <f>IF(B19610="","",INT(A19610))</f>
        <v/>
      </c>
      <c r="D19610">
        <f>IF(B19610="","",HOUR(A19610))</f>
        <v/>
      </c>
    </row>
    <row r="19611">
      <c r="A19611">
        <f>Input!A19611</f>
        <v/>
      </c>
      <c r="B19611">
        <f>IF(ISNUMBER(Input!B19611),IF(AND(Input!B19611&gt;=20,Input!B19611&lt;=700),Input!B19611,""),"")</f>
        <v/>
      </c>
      <c r="C19611">
        <f>IF(B19611="","",INT(A19611))</f>
        <v/>
      </c>
      <c r="D19611">
        <f>IF(B19611="","",HOUR(A19611))</f>
        <v/>
      </c>
    </row>
    <row r="19612">
      <c r="A19612">
        <f>Input!A19612</f>
        <v/>
      </c>
      <c r="B19612">
        <f>IF(ISNUMBER(Input!B19612),IF(AND(Input!B19612&gt;=20,Input!B19612&lt;=700),Input!B19612,""),"")</f>
        <v/>
      </c>
      <c r="C19612">
        <f>IF(B19612="","",INT(A19612))</f>
        <v/>
      </c>
      <c r="D19612">
        <f>IF(B19612="","",HOUR(A19612))</f>
        <v/>
      </c>
    </row>
    <row r="19613">
      <c r="A19613">
        <f>Input!A19613</f>
        <v/>
      </c>
      <c r="B19613">
        <f>IF(ISNUMBER(Input!B19613),IF(AND(Input!B19613&gt;=20,Input!B19613&lt;=700),Input!B19613,""),"")</f>
        <v/>
      </c>
      <c r="C19613">
        <f>IF(B19613="","",INT(A19613))</f>
        <v/>
      </c>
      <c r="D19613">
        <f>IF(B19613="","",HOUR(A19613))</f>
        <v/>
      </c>
    </row>
    <row r="19614">
      <c r="A19614">
        <f>Input!A19614</f>
        <v/>
      </c>
      <c r="B19614">
        <f>IF(ISNUMBER(Input!B19614),IF(AND(Input!B19614&gt;=20,Input!B19614&lt;=700),Input!B19614,""),"")</f>
        <v/>
      </c>
      <c r="C19614">
        <f>IF(B19614="","",INT(A19614))</f>
        <v/>
      </c>
      <c r="D19614">
        <f>IF(B19614="","",HOUR(A19614))</f>
        <v/>
      </c>
    </row>
    <row r="19615">
      <c r="A19615">
        <f>Input!A19615</f>
        <v/>
      </c>
      <c r="B19615">
        <f>IF(ISNUMBER(Input!B19615),IF(AND(Input!B19615&gt;=20,Input!B19615&lt;=700),Input!B19615,""),"")</f>
        <v/>
      </c>
      <c r="C19615">
        <f>IF(B19615="","",INT(A19615))</f>
        <v/>
      </c>
      <c r="D19615">
        <f>IF(B19615="","",HOUR(A19615))</f>
        <v/>
      </c>
    </row>
    <row r="19616">
      <c r="A19616">
        <f>Input!A19616</f>
        <v/>
      </c>
      <c r="B19616">
        <f>IF(ISNUMBER(Input!B19616),IF(AND(Input!B19616&gt;=20,Input!B19616&lt;=700),Input!B19616,""),"")</f>
        <v/>
      </c>
      <c r="C19616">
        <f>IF(B19616="","",INT(A19616))</f>
        <v/>
      </c>
      <c r="D19616">
        <f>IF(B19616="","",HOUR(A19616))</f>
        <v/>
      </c>
    </row>
    <row r="19617">
      <c r="A19617">
        <f>Input!A19617</f>
        <v/>
      </c>
      <c r="B19617">
        <f>IF(ISNUMBER(Input!B19617),IF(AND(Input!B19617&gt;=20,Input!B19617&lt;=700),Input!B19617,""),"")</f>
        <v/>
      </c>
      <c r="C19617">
        <f>IF(B19617="","",INT(A19617))</f>
        <v/>
      </c>
      <c r="D19617">
        <f>IF(B19617="","",HOUR(A19617))</f>
        <v/>
      </c>
    </row>
    <row r="19618">
      <c r="A19618">
        <f>Input!A19618</f>
        <v/>
      </c>
      <c r="B19618">
        <f>IF(ISNUMBER(Input!B19618),IF(AND(Input!B19618&gt;=20,Input!B19618&lt;=700),Input!B19618,""),"")</f>
        <v/>
      </c>
      <c r="C19618">
        <f>IF(B19618="","",INT(A19618))</f>
        <v/>
      </c>
      <c r="D19618">
        <f>IF(B19618="","",HOUR(A19618))</f>
        <v/>
      </c>
    </row>
    <row r="19619">
      <c r="A19619">
        <f>Input!A19619</f>
        <v/>
      </c>
      <c r="B19619">
        <f>IF(ISNUMBER(Input!B19619),IF(AND(Input!B19619&gt;=20,Input!B19619&lt;=700),Input!B19619,""),"")</f>
        <v/>
      </c>
      <c r="C19619">
        <f>IF(B19619="","",INT(A19619))</f>
        <v/>
      </c>
      <c r="D19619">
        <f>IF(B19619="","",HOUR(A19619))</f>
        <v/>
      </c>
    </row>
    <row r="19620">
      <c r="A19620">
        <f>Input!A19620</f>
        <v/>
      </c>
      <c r="B19620">
        <f>IF(ISNUMBER(Input!B19620),IF(AND(Input!B19620&gt;=20,Input!B19620&lt;=700),Input!B19620,""),"")</f>
        <v/>
      </c>
      <c r="C19620">
        <f>IF(B19620="","",INT(A19620))</f>
        <v/>
      </c>
      <c r="D19620">
        <f>IF(B19620="","",HOUR(A19620))</f>
        <v/>
      </c>
    </row>
    <row r="19621">
      <c r="A19621">
        <f>Input!A19621</f>
        <v/>
      </c>
      <c r="B19621">
        <f>IF(ISNUMBER(Input!B19621),IF(AND(Input!B19621&gt;=20,Input!B19621&lt;=700),Input!B19621,""),"")</f>
        <v/>
      </c>
      <c r="C19621">
        <f>IF(B19621="","",INT(A19621))</f>
        <v/>
      </c>
      <c r="D19621">
        <f>IF(B19621="","",HOUR(A19621))</f>
        <v/>
      </c>
    </row>
    <row r="19622">
      <c r="A19622">
        <f>Input!A19622</f>
        <v/>
      </c>
      <c r="B19622">
        <f>IF(ISNUMBER(Input!B19622),IF(AND(Input!B19622&gt;=20,Input!B19622&lt;=700),Input!B19622,""),"")</f>
        <v/>
      </c>
      <c r="C19622">
        <f>IF(B19622="","",INT(A19622))</f>
        <v/>
      </c>
      <c r="D19622">
        <f>IF(B19622="","",HOUR(A19622))</f>
        <v/>
      </c>
    </row>
    <row r="19623">
      <c r="A19623">
        <f>Input!A19623</f>
        <v/>
      </c>
      <c r="B19623">
        <f>IF(ISNUMBER(Input!B19623),IF(AND(Input!B19623&gt;=20,Input!B19623&lt;=700),Input!B19623,""),"")</f>
        <v/>
      </c>
      <c r="C19623">
        <f>IF(B19623="","",INT(A19623))</f>
        <v/>
      </c>
      <c r="D19623">
        <f>IF(B19623="","",HOUR(A19623))</f>
        <v/>
      </c>
    </row>
    <row r="19624">
      <c r="A19624">
        <f>Input!A19624</f>
        <v/>
      </c>
      <c r="B19624">
        <f>IF(ISNUMBER(Input!B19624),IF(AND(Input!B19624&gt;=20,Input!B19624&lt;=700),Input!B19624,""),"")</f>
        <v/>
      </c>
      <c r="C19624">
        <f>IF(B19624="","",INT(A19624))</f>
        <v/>
      </c>
      <c r="D19624">
        <f>IF(B19624="","",HOUR(A19624))</f>
        <v/>
      </c>
    </row>
    <row r="19625">
      <c r="A19625">
        <f>Input!A19625</f>
        <v/>
      </c>
      <c r="B19625">
        <f>IF(ISNUMBER(Input!B19625),IF(AND(Input!B19625&gt;=20,Input!B19625&lt;=700),Input!B19625,""),"")</f>
        <v/>
      </c>
      <c r="C19625">
        <f>IF(B19625="","",INT(A19625))</f>
        <v/>
      </c>
      <c r="D19625">
        <f>IF(B19625="","",HOUR(A19625))</f>
        <v/>
      </c>
    </row>
    <row r="19626">
      <c r="A19626">
        <f>Input!A19626</f>
        <v/>
      </c>
      <c r="B19626">
        <f>IF(ISNUMBER(Input!B19626),IF(AND(Input!B19626&gt;=20,Input!B19626&lt;=700),Input!B19626,""),"")</f>
        <v/>
      </c>
      <c r="C19626">
        <f>IF(B19626="","",INT(A19626))</f>
        <v/>
      </c>
      <c r="D19626">
        <f>IF(B19626="","",HOUR(A19626))</f>
        <v/>
      </c>
    </row>
    <row r="19627">
      <c r="A19627">
        <f>Input!A19627</f>
        <v/>
      </c>
      <c r="B19627">
        <f>IF(ISNUMBER(Input!B19627),IF(AND(Input!B19627&gt;=20,Input!B19627&lt;=700),Input!B19627,""),"")</f>
        <v/>
      </c>
      <c r="C19627">
        <f>IF(B19627="","",INT(A19627))</f>
        <v/>
      </c>
      <c r="D19627">
        <f>IF(B19627="","",HOUR(A19627))</f>
        <v/>
      </c>
    </row>
    <row r="19628">
      <c r="A19628">
        <f>Input!A19628</f>
        <v/>
      </c>
      <c r="B19628">
        <f>IF(ISNUMBER(Input!B19628),IF(AND(Input!B19628&gt;=20,Input!B19628&lt;=700),Input!B19628,""),"")</f>
        <v/>
      </c>
      <c r="C19628">
        <f>IF(B19628="","",INT(A19628))</f>
        <v/>
      </c>
      <c r="D19628">
        <f>IF(B19628="","",HOUR(A19628))</f>
        <v/>
      </c>
    </row>
    <row r="19629">
      <c r="A19629">
        <f>Input!A19629</f>
        <v/>
      </c>
      <c r="B19629">
        <f>IF(ISNUMBER(Input!B19629),IF(AND(Input!B19629&gt;=20,Input!B19629&lt;=700),Input!B19629,""),"")</f>
        <v/>
      </c>
      <c r="C19629">
        <f>IF(B19629="","",INT(A19629))</f>
        <v/>
      </c>
      <c r="D19629">
        <f>IF(B19629="","",HOUR(A19629))</f>
        <v/>
      </c>
    </row>
    <row r="19630">
      <c r="A19630">
        <f>Input!A19630</f>
        <v/>
      </c>
      <c r="B19630">
        <f>IF(ISNUMBER(Input!B19630),IF(AND(Input!B19630&gt;=20,Input!B19630&lt;=700),Input!B19630,""),"")</f>
        <v/>
      </c>
      <c r="C19630">
        <f>IF(B19630="","",INT(A19630))</f>
        <v/>
      </c>
      <c r="D19630">
        <f>IF(B19630="","",HOUR(A19630))</f>
        <v/>
      </c>
    </row>
    <row r="19631">
      <c r="A19631">
        <f>Input!A19631</f>
        <v/>
      </c>
      <c r="B19631">
        <f>IF(ISNUMBER(Input!B19631),IF(AND(Input!B19631&gt;=20,Input!B19631&lt;=700),Input!B19631,""),"")</f>
        <v/>
      </c>
      <c r="C19631">
        <f>IF(B19631="","",INT(A19631))</f>
        <v/>
      </c>
      <c r="D19631">
        <f>IF(B19631="","",HOUR(A19631))</f>
        <v/>
      </c>
    </row>
    <row r="19632">
      <c r="A19632">
        <f>Input!A19632</f>
        <v/>
      </c>
      <c r="B19632">
        <f>IF(ISNUMBER(Input!B19632),IF(AND(Input!B19632&gt;=20,Input!B19632&lt;=700),Input!B19632,""),"")</f>
        <v/>
      </c>
      <c r="C19632">
        <f>IF(B19632="","",INT(A19632))</f>
        <v/>
      </c>
      <c r="D19632">
        <f>IF(B19632="","",HOUR(A19632))</f>
        <v/>
      </c>
    </row>
    <row r="19633">
      <c r="A19633">
        <f>Input!A19633</f>
        <v/>
      </c>
      <c r="B19633">
        <f>IF(ISNUMBER(Input!B19633),IF(AND(Input!B19633&gt;=20,Input!B19633&lt;=700),Input!B19633,""),"")</f>
        <v/>
      </c>
      <c r="C19633">
        <f>IF(B19633="","",INT(A19633))</f>
        <v/>
      </c>
      <c r="D19633">
        <f>IF(B19633="","",HOUR(A19633))</f>
        <v/>
      </c>
    </row>
    <row r="19634">
      <c r="A19634">
        <f>Input!A19634</f>
        <v/>
      </c>
      <c r="B19634">
        <f>IF(ISNUMBER(Input!B19634),IF(AND(Input!B19634&gt;=20,Input!B19634&lt;=700),Input!B19634,""),"")</f>
        <v/>
      </c>
      <c r="C19634">
        <f>IF(B19634="","",INT(A19634))</f>
        <v/>
      </c>
      <c r="D19634">
        <f>IF(B19634="","",HOUR(A19634))</f>
        <v/>
      </c>
    </row>
    <row r="19635">
      <c r="A19635">
        <f>Input!A19635</f>
        <v/>
      </c>
      <c r="B19635">
        <f>IF(ISNUMBER(Input!B19635),IF(AND(Input!B19635&gt;=20,Input!B19635&lt;=700),Input!B19635,""),"")</f>
        <v/>
      </c>
      <c r="C19635">
        <f>IF(B19635="","",INT(A19635))</f>
        <v/>
      </c>
      <c r="D19635">
        <f>IF(B19635="","",HOUR(A19635))</f>
        <v/>
      </c>
    </row>
    <row r="19636">
      <c r="A19636">
        <f>Input!A19636</f>
        <v/>
      </c>
      <c r="B19636">
        <f>IF(ISNUMBER(Input!B19636),IF(AND(Input!B19636&gt;=20,Input!B19636&lt;=700),Input!B19636,""),"")</f>
        <v/>
      </c>
      <c r="C19636">
        <f>IF(B19636="","",INT(A19636))</f>
        <v/>
      </c>
      <c r="D19636">
        <f>IF(B19636="","",HOUR(A19636))</f>
        <v/>
      </c>
    </row>
    <row r="19637">
      <c r="A19637">
        <f>Input!A19637</f>
        <v/>
      </c>
      <c r="B19637">
        <f>IF(ISNUMBER(Input!B19637),IF(AND(Input!B19637&gt;=20,Input!B19637&lt;=700),Input!B19637,""),"")</f>
        <v/>
      </c>
      <c r="C19637">
        <f>IF(B19637="","",INT(A19637))</f>
        <v/>
      </c>
      <c r="D19637">
        <f>IF(B19637="","",HOUR(A19637))</f>
        <v/>
      </c>
    </row>
    <row r="19638">
      <c r="A19638">
        <f>Input!A19638</f>
        <v/>
      </c>
      <c r="B19638">
        <f>IF(ISNUMBER(Input!B19638),IF(AND(Input!B19638&gt;=20,Input!B19638&lt;=700),Input!B19638,""),"")</f>
        <v/>
      </c>
      <c r="C19638">
        <f>IF(B19638="","",INT(A19638))</f>
        <v/>
      </c>
      <c r="D19638">
        <f>IF(B19638="","",HOUR(A19638))</f>
        <v/>
      </c>
    </row>
    <row r="19639">
      <c r="A19639">
        <f>Input!A19639</f>
        <v/>
      </c>
      <c r="B19639">
        <f>IF(ISNUMBER(Input!B19639),IF(AND(Input!B19639&gt;=20,Input!B19639&lt;=700),Input!B19639,""),"")</f>
        <v/>
      </c>
      <c r="C19639">
        <f>IF(B19639="","",INT(A19639))</f>
        <v/>
      </c>
      <c r="D19639">
        <f>IF(B19639="","",HOUR(A19639))</f>
        <v/>
      </c>
    </row>
    <row r="19640">
      <c r="A19640">
        <f>Input!A19640</f>
        <v/>
      </c>
      <c r="B19640">
        <f>IF(ISNUMBER(Input!B19640),IF(AND(Input!B19640&gt;=20,Input!B19640&lt;=700),Input!B19640,""),"")</f>
        <v/>
      </c>
      <c r="C19640">
        <f>IF(B19640="","",INT(A19640))</f>
        <v/>
      </c>
      <c r="D19640">
        <f>IF(B19640="","",HOUR(A19640))</f>
        <v/>
      </c>
    </row>
    <row r="19641">
      <c r="A19641">
        <f>Input!A19641</f>
        <v/>
      </c>
      <c r="B19641">
        <f>IF(ISNUMBER(Input!B19641),IF(AND(Input!B19641&gt;=20,Input!B19641&lt;=700),Input!B19641,""),"")</f>
        <v/>
      </c>
      <c r="C19641">
        <f>IF(B19641="","",INT(A19641))</f>
        <v/>
      </c>
      <c r="D19641">
        <f>IF(B19641="","",HOUR(A19641))</f>
        <v/>
      </c>
    </row>
    <row r="19642">
      <c r="A19642">
        <f>Input!A19642</f>
        <v/>
      </c>
      <c r="B19642">
        <f>IF(ISNUMBER(Input!B19642),IF(AND(Input!B19642&gt;=20,Input!B19642&lt;=700),Input!B19642,""),"")</f>
        <v/>
      </c>
      <c r="C19642">
        <f>IF(B19642="","",INT(A19642))</f>
        <v/>
      </c>
      <c r="D19642">
        <f>IF(B19642="","",HOUR(A19642))</f>
        <v/>
      </c>
    </row>
    <row r="19643">
      <c r="A19643">
        <f>Input!A19643</f>
        <v/>
      </c>
      <c r="B19643">
        <f>IF(ISNUMBER(Input!B19643),IF(AND(Input!B19643&gt;=20,Input!B19643&lt;=700),Input!B19643,""),"")</f>
        <v/>
      </c>
      <c r="C19643">
        <f>IF(B19643="","",INT(A19643))</f>
        <v/>
      </c>
      <c r="D19643">
        <f>IF(B19643="","",HOUR(A19643))</f>
        <v/>
      </c>
    </row>
    <row r="19644">
      <c r="A19644">
        <f>Input!A19644</f>
        <v/>
      </c>
      <c r="B19644">
        <f>IF(ISNUMBER(Input!B19644),IF(AND(Input!B19644&gt;=20,Input!B19644&lt;=700),Input!B19644,""),"")</f>
        <v/>
      </c>
      <c r="C19644">
        <f>IF(B19644="","",INT(A19644))</f>
        <v/>
      </c>
      <c r="D19644">
        <f>IF(B19644="","",HOUR(A19644))</f>
        <v/>
      </c>
    </row>
    <row r="19645">
      <c r="A19645">
        <f>Input!A19645</f>
        <v/>
      </c>
      <c r="B19645">
        <f>IF(ISNUMBER(Input!B19645),IF(AND(Input!B19645&gt;=20,Input!B19645&lt;=700),Input!B19645,""),"")</f>
        <v/>
      </c>
      <c r="C19645">
        <f>IF(B19645="","",INT(A19645))</f>
        <v/>
      </c>
      <c r="D19645">
        <f>IF(B19645="","",HOUR(A19645))</f>
        <v/>
      </c>
    </row>
    <row r="19646">
      <c r="A19646">
        <f>Input!A19646</f>
        <v/>
      </c>
      <c r="B19646">
        <f>IF(ISNUMBER(Input!B19646),IF(AND(Input!B19646&gt;=20,Input!B19646&lt;=700),Input!B19646,""),"")</f>
        <v/>
      </c>
      <c r="C19646">
        <f>IF(B19646="","",INT(A19646))</f>
        <v/>
      </c>
      <c r="D19646">
        <f>IF(B19646="","",HOUR(A19646))</f>
        <v/>
      </c>
    </row>
    <row r="19647">
      <c r="A19647">
        <f>Input!A19647</f>
        <v/>
      </c>
      <c r="B19647">
        <f>IF(ISNUMBER(Input!B19647),IF(AND(Input!B19647&gt;=20,Input!B19647&lt;=700),Input!B19647,""),"")</f>
        <v/>
      </c>
      <c r="C19647">
        <f>IF(B19647="","",INT(A19647))</f>
        <v/>
      </c>
      <c r="D19647">
        <f>IF(B19647="","",HOUR(A19647))</f>
        <v/>
      </c>
    </row>
    <row r="19648">
      <c r="A19648">
        <f>Input!A19648</f>
        <v/>
      </c>
      <c r="B19648">
        <f>IF(ISNUMBER(Input!B19648),IF(AND(Input!B19648&gt;=20,Input!B19648&lt;=700),Input!B19648,""),"")</f>
        <v/>
      </c>
      <c r="C19648">
        <f>IF(B19648="","",INT(A19648))</f>
        <v/>
      </c>
      <c r="D19648">
        <f>IF(B19648="","",HOUR(A19648))</f>
        <v/>
      </c>
    </row>
    <row r="19649">
      <c r="A19649">
        <f>Input!A19649</f>
        <v/>
      </c>
      <c r="B19649">
        <f>IF(ISNUMBER(Input!B19649),IF(AND(Input!B19649&gt;=20,Input!B19649&lt;=700),Input!B19649,""),"")</f>
        <v/>
      </c>
      <c r="C19649">
        <f>IF(B19649="","",INT(A19649))</f>
        <v/>
      </c>
      <c r="D19649">
        <f>IF(B19649="","",HOUR(A19649))</f>
        <v/>
      </c>
    </row>
    <row r="19650">
      <c r="A19650">
        <f>Input!A19650</f>
        <v/>
      </c>
      <c r="B19650">
        <f>IF(ISNUMBER(Input!B19650),IF(AND(Input!B19650&gt;=20,Input!B19650&lt;=700),Input!B19650,""),"")</f>
        <v/>
      </c>
      <c r="C19650">
        <f>IF(B19650="","",INT(A19650))</f>
        <v/>
      </c>
      <c r="D19650">
        <f>IF(B19650="","",HOUR(A19650))</f>
        <v/>
      </c>
    </row>
    <row r="19651">
      <c r="A19651">
        <f>Input!A19651</f>
        <v/>
      </c>
      <c r="B19651">
        <f>IF(ISNUMBER(Input!B19651),IF(AND(Input!B19651&gt;=20,Input!B19651&lt;=700),Input!B19651,""),"")</f>
        <v/>
      </c>
      <c r="C19651">
        <f>IF(B19651="","",INT(A19651))</f>
        <v/>
      </c>
      <c r="D19651">
        <f>IF(B19651="","",HOUR(A19651))</f>
        <v/>
      </c>
    </row>
    <row r="19652">
      <c r="A19652">
        <f>Input!A19652</f>
        <v/>
      </c>
      <c r="B19652">
        <f>IF(ISNUMBER(Input!B19652),IF(AND(Input!B19652&gt;=20,Input!B19652&lt;=700),Input!B19652,""),"")</f>
        <v/>
      </c>
      <c r="C19652">
        <f>IF(B19652="","",INT(A19652))</f>
        <v/>
      </c>
      <c r="D19652">
        <f>IF(B19652="","",HOUR(A19652))</f>
        <v/>
      </c>
    </row>
    <row r="19653">
      <c r="A19653">
        <f>Input!A19653</f>
        <v/>
      </c>
      <c r="B19653">
        <f>IF(ISNUMBER(Input!B19653),IF(AND(Input!B19653&gt;=20,Input!B19653&lt;=700),Input!B19653,""),"")</f>
        <v/>
      </c>
      <c r="C19653">
        <f>IF(B19653="","",INT(A19653))</f>
        <v/>
      </c>
      <c r="D19653">
        <f>IF(B19653="","",HOUR(A19653))</f>
        <v/>
      </c>
    </row>
    <row r="19654">
      <c r="A19654">
        <f>Input!A19654</f>
        <v/>
      </c>
      <c r="B19654">
        <f>IF(ISNUMBER(Input!B19654),IF(AND(Input!B19654&gt;=20,Input!B19654&lt;=700),Input!B19654,""),"")</f>
        <v/>
      </c>
      <c r="C19654">
        <f>IF(B19654="","",INT(A19654))</f>
        <v/>
      </c>
      <c r="D19654">
        <f>IF(B19654="","",HOUR(A19654))</f>
        <v/>
      </c>
    </row>
    <row r="19655">
      <c r="A19655">
        <f>Input!A19655</f>
        <v/>
      </c>
      <c r="B19655">
        <f>IF(ISNUMBER(Input!B19655),IF(AND(Input!B19655&gt;=20,Input!B19655&lt;=700),Input!B19655,""),"")</f>
        <v/>
      </c>
      <c r="C19655">
        <f>IF(B19655="","",INT(A19655))</f>
        <v/>
      </c>
      <c r="D19655">
        <f>IF(B19655="","",HOUR(A19655))</f>
        <v/>
      </c>
    </row>
    <row r="19656">
      <c r="A19656">
        <f>Input!A19656</f>
        <v/>
      </c>
      <c r="B19656">
        <f>IF(ISNUMBER(Input!B19656),IF(AND(Input!B19656&gt;=20,Input!B19656&lt;=700),Input!B19656,""),"")</f>
        <v/>
      </c>
      <c r="C19656">
        <f>IF(B19656="","",INT(A19656))</f>
        <v/>
      </c>
      <c r="D19656">
        <f>IF(B19656="","",HOUR(A19656))</f>
        <v/>
      </c>
    </row>
    <row r="19657">
      <c r="A19657">
        <f>Input!A19657</f>
        <v/>
      </c>
      <c r="B19657">
        <f>IF(ISNUMBER(Input!B19657),IF(AND(Input!B19657&gt;=20,Input!B19657&lt;=700),Input!B19657,""),"")</f>
        <v/>
      </c>
      <c r="C19657">
        <f>IF(B19657="","",INT(A19657))</f>
        <v/>
      </c>
      <c r="D19657">
        <f>IF(B19657="","",HOUR(A19657))</f>
        <v/>
      </c>
    </row>
    <row r="19658">
      <c r="A19658">
        <f>Input!A19658</f>
        <v/>
      </c>
      <c r="B19658">
        <f>IF(ISNUMBER(Input!B19658),IF(AND(Input!B19658&gt;=20,Input!B19658&lt;=700),Input!B19658,""),"")</f>
        <v/>
      </c>
      <c r="C19658">
        <f>IF(B19658="","",INT(A19658))</f>
        <v/>
      </c>
      <c r="D19658">
        <f>IF(B19658="","",HOUR(A19658))</f>
        <v/>
      </c>
    </row>
    <row r="19659">
      <c r="A19659">
        <f>Input!A19659</f>
        <v/>
      </c>
      <c r="B19659">
        <f>IF(ISNUMBER(Input!B19659),IF(AND(Input!B19659&gt;=20,Input!B19659&lt;=700),Input!B19659,""),"")</f>
        <v/>
      </c>
      <c r="C19659">
        <f>IF(B19659="","",INT(A19659))</f>
        <v/>
      </c>
      <c r="D19659">
        <f>IF(B19659="","",HOUR(A19659))</f>
        <v/>
      </c>
    </row>
    <row r="19660">
      <c r="A19660">
        <f>Input!A19660</f>
        <v/>
      </c>
      <c r="B19660">
        <f>IF(ISNUMBER(Input!B19660),IF(AND(Input!B19660&gt;=20,Input!B19660&lt;=700),Input!B19660,""),"")</f>
        <v/>
      </c>
      <c r="C19660">
        <f>IF(B19660="","",INT(A19660))</f>
        <v/>
      </c>
      <c r="D19660">
        <f>IF(B19660="","",HOUR(A19660))</f>
        <v/>
      </c>
    </row>
    <row r="19661">
      <c r="A19661">
        <f>Input!A19661</f>
        <v/>
      </c>
      <c r="B19661">
        <f>IF(ISNUMBER(Input!B19661),IF(AND(Input!B19661&gt;=20,Input!B19661&lt;=700),Input!B19661,""),"")</f>
        <v/>
      </c>
      <c r="C19661">
        <f>IF(B19661="","",INT(A19661))</f>
        <v/>
      </c>
      <c r="D19661">
        <f>IF(B19661="","",HOUR(A19661))</f>
        <v/>
      </c>
    </row>
    <row r="19662">
      <c r="A19662">
        <f>Input!A19662</f>
        <v/>
      </c>
      <c r="B19662">
        <f>IF(ISNUMBER(Input!B19662),IF(AND(Input!B19662&gt;=20,Input!B19662&lt;=700),Input!B19662,""),"")</f>
        <v/>
      </c>
      <c r="C19662">
        <f>IF(B19662="","",INT(A19662))</f>
        <v/>
      </c>
      <c r="D19662">
        <f>IF(B19662="","",HOUR(A19662))</f>
        <v/>
      </c>
    </row>
    <row r="19663">
      <c r="A19663">
        <f>Input!A19663</f>
        <v/>
      </c>
      <c r="B19663">
        <f>IF(ISNUMBER(Input!B19663),IF(AND(Input!B19663&gt;=20,Input!B19663&lt;=700),Input!B19663,""),"")</f>
        <v/>
      </c>
      <c r="C19663">
        <f>IF(B19663="","",INT(A19663))</f>
        <v/>
      </c>
      <c r="D19663">
        <f>IF(B19663="","",HOUR(A19663))</f>
        <v/>
      </c>
    </row>
    <row r="19664">
      <c r="A19664">
        <f>Input!A19664</f>
        <v/>
      </c>
      <c r="B19664">
        <f>IF(ISNUMBER(Input!B19664),IF(AND(Input!B19664&gt;=20,Input!B19664&lt;=700),Input!B19664,""),"")</f>
        <v/>
      </c>
      <c r="C19664">
        <f>IF(B19664="","",INT(A19664))</f>
        <v/>
      </c>
      <c r="D19664">
        <f>IF(B19664="","",HOUR(A19664))</f>
        <v/>
      </c>
    </row>
    <row r="19665">
      <c r="A19665">
        <f>Input!A19665</f>
        <v/>
      </c>
      <c r="B19665">
        <f>IF(ISNUMBER(Input!B19665),IF(AND(Input!B19665&gt;=20,Input!B19665&lt;=700),Input!B19665,""),"")</f>
        <v/>
      </c>
      <c r="C19665">
        <f>IF(B19665="","",INT(A19665))</f>
        <v/>
      </c>
      <c r="D19665">
        <f>IF(B19665="","",HOUR(A19665))</f>
        <v/>
      </c>
    </row>
    <row r="19666">
      <c r="A19666">
        <f>Input!A19666</f>
        <v/>
      </c>
      <c r="B19666">
        <f>IF(ISNUMBER(Input!B19666),IF(AND(Input!B19666&gt;=20,Input!B19666&lt;=700),Input!B19666,""),"")</f>
        <v/>
      </c>
      <c r="C19666">
        <f>IF(B19666="","",INT(A19666))</f>
        <v/>
      </c>
      <c r="D19666">
        <f>IF(B19666="","",HOUR(A19666))</f>
        <v/>
      </c>
    </row>
    <row r="19667">
      <c r="A19667">
        <f>Input!A19667</f>
        <v/>
      </c>
      <c r="B19667">
        <f>IF(ISNUMBER(Input!B19667),IF(AND(Input!B19667&gt;=20,Input!B19667&lt;=700),Input!B19667,""),"")</f>
        <v/>
      </c>
      <c r="C19667">
        <f>IF(B19667="","",INT(A19667))</f>
        <v/>
      </c>
      <c r="D19667">
        <f>IF(B19667="","",HOUR(A19667))</f>
        <v/>
      </c>
    </row>
    <row r="19668">
      <c r="A19668">
        <f>Input!A19668</f>
        <v/>
      </c>
      <c r="B19668">
        <f>IF(ISNUMBER(Input!B19668),IF(AND(Input!B19668&gt;=20,Input!B19668&lt;=700),Input!B19668,""),"")</f>
        <v/>
      </c>
      <c r="C19668">
        <f>IF(B19668="","",INT(A19668))</f>
        <v/>
      </c>
      <c r="D19668">
        <f>IF(B19668="","",HOUR(A19668))</f>
        <v/>
      </c>
    </row>
    <row r="19669">
      <c r="A19669">
        <f>Input!A19669</f>
        <v/>
      </c>
      <c r="B19669">
        <f>IF(ISNUMBER(Input!B19669),IF(AND(Input!B19669&gt;=20,Input!B19669&lt;=700),Input!B19669,""),"")</f>
        <v/>
      </c>
      <c r="C19669">
        <f>IF(B19669="","",INT(A19669))</f>
        <v/>
      </c>
      <c r="D19669">
        <f>IF(B19669="","",HOUR(A19669))</f>
        <v/>
      </c>
    </row>
    <row r="19670">
      <c r="A19670">
        <f>Input!A19670</f>
        <v/>
      </c>
      <c r="B19670">
        <f>IF(ISNUMBER(Input!B19670),IF(AND(Input!B19670&gt;=20,Input!B19670&lt;=700),Input!B19670,""),"")</f>
        <v/>
      </c>
      <c r="C19670">
        <f>IF(B19670="","",INT(A19670))</f>
        <v/>
      </c>
      <c r="D19670">
        <f>IF(B19670="","",HOUR(A19670))</f>
        <v/>
      </c>
    </row>
    <row r="19671">
      <c r="A19671">
        <f>Input!A19671</f>
        <v/>
      </c>
      <c r="B19671">
        <f>IF(ISNUMBER(Input!B19671),IF(AND(Input!B19671&gt;=20,Input!B19671&lt;=700),Input!B19671,""),"")</f>
        <v/>
      </c>
      <c r="C19671">
        <f>IF(B19671="","",INT(A19671))</f>
        <v/>
      </c>
      <c r="D19671">
        <f>IF(B19671="","",HOUR(A19671))</f>
        <v/>
      </c>
    </row>
    <row r="19672">
      <c r="A19672">
        <f>Input!A19672</f>
        <v/>
      </c>
      <c r="B19672">
        <f>IF(ISNUMBER(Input!B19672),IF(AND(Input!B19672&gt;=20,Input!B19672&lt;=700),Input!B19672,""),"")</f>
        <v/>
      </c>
      <c r="C19672">
        <f>IF(B19672="","",INT(A19672))</f>
        <v/>
      </c>
      <c r="D19672">
        <f>IF(B19672="","",HOUR(A19672))</f>
        <v/>
      </c>
    </row>
    <row r="19673">
      <c r="A19673">
        <f>Input!A19673</f>
        <v/>
      </c>
      <c r="B19673">
        <f>IF(ISNUMBER(Input!B19673),IF(AND(Input!B19673&gt;=20,Input!B19673&lt;=700),Input!B19673,""),"")</f>
        <v/>
      </c>
      <c r="C19673">
        <f>IF(B19673="","",INT(A19673))</f>
        <v/>
      </c>
      <c r="D19673">
        <f>IF(B19673="","",HOUR(A19673))</f>
        <v/>
      </c>
    </row>
    <row r="19674">
      <c r="A19674">
        <f>Input!A19674</f>
        <v/>
      </c>
      <c r="B19674">
        <f>IF(ISNUMBER(Input!B19674),IF(AND(Input!B19674&gt;=20,Input!B19674&lt;=700),Input!B19674,""),"")</f>
        <v/>
      </c>
      <c r="C19674">
        <f>IF(B19674="","",INT(A19674))</f>
        <v/>
      </c>
      <c r="D19674">
        <f>IF(B19674="","",HOUR(A19674))</f>
        <v/>
      </c>
    </row>
    <row r="19675">
      <c r="A19675">
        <f>Input!A19675</f>
        <v/>
      </c>
      <c r="B19675">
        <f>IF(ISNUMBER(Input!B19675),IF(AND(Input!B19675&gt;=20,Input!B19675&lt;=700),Input!B19675,""),"")</f>
        <v/>
      </c>
      <c r="C19675">
        <f>IF(B19675="","",INT(A19675))</f>
        <v/>
      </c>
      <c r="D19675">
        <f>IF(B19675="","",HOUR(A19675))</f>
        <v/>
      </c>
    </row>
    <row r="19676">
      <c r="A19676">
        <f>Input!A19676</f>
        <v/>
      </c>
      <c r="B19676">
        <f>IF(ISNUMBER(Input!B19676),IF(AND(Input!B19676&gt;=20,Input!B19676&lt;=700),Input!B19676,""),"")</f>
        <v/>
      </c>
      <c r="C19676">
        <f>IF(B19676="","",INT(A19676))</f>
        <v/>
      </c>
      <c r="D19676">
        <f>IF(B19676="","",HOUR(A19676))</f>
        <v/>
      </c>
    </row>
    <row r="19677">
      <c r="A19677">
        <f>Input!A19677</f>
        <v/>
      </c>
      <c r="B19677">
        <f>IF(ISNUMBER(Input!B19677),IF(AND(Input!B19677&gt;=20,Input!B19677&lt;=700),Input!B19677,""),"")</f>
        <v/>
      </c>
      <c r="C19677">
        <f>IF(B19677="","",INT(A19677))</f>
        <v/>
      </c>
      <c r="D19677">
        <f>IF(B19677="","",HOUR(A19677))</f>
        <v/>
      </c>
    </row>
    <row r="19678">
      <c r="A19678">
        <f>Input!A19678</f>
        <v/>
      </c>
      <c r="B19678">
        <f>IF(ISNUMBER(Input!B19678),IF(AND(Input!B19678&gt;=20,Input!B19678&lt;=700),Input!B19678,""),"")</f>
        <v/>
      </c>
      <c r="C19678">
        <f>IF(B19678="","",INT(A19678))</f>
        <v/>
      </c>
      <c r="D19678">
        <f>IF(B19678="","",HOUR(A19678))</f>
        <v/>
      </c>
    </row>
    <row r="19679">
      <c r="A19679">
        <f>Input!A19679</f>
        <v/>
      </c>
      <c r="B19679">
        <f>IF(ISNUMBER(Input!B19679),IF(AND(Input!B19679&gt;=20,Input!B19679&lt;=700),Input!B19679,""),"")</f>
        <v/>
      </c>
      <c r="C19679">
        <f>IF(B19679="","",INT(A19679))</f>
        <v/>
      </c>
      <c r="D19679">
        <f>IF(B19679="","",HOUR(A19679))</f>
        <v/>
      </c>
    </row>
    <row r="19680">
      <c r="A19680">
        <f>Input!A19680</f>
        <v/>
      </c>
      <c r="B19680">
        <f>IF(ISNUMBER(Input!B19680),IF(AND(Input!B19680&gt;=20,Input!B19680&lt;=700),Input!B19680,""),"")</f>
        <v/>
      </c>
      <c r="C19680">
        <f>IF(B19680="","",INT(A19680))</f>
        <v/>
      </c>
      <c r="D19680">
        <f>IF(B19680="","",HOUR(A19680))</f>
        <v/>
      </c>
    </row>
    <row r="19681">
      <c r="A19681">
        <f>Input!A19681</f>
        <v/>
      </c>
      <c r="B19681">
        <f>IF(ISNUMBER(Input!B19681),IF(AND(Input!B19681&gt;=20,Input!B19681&lt;=700),Input!B19681,""),"")</f>
        <v/>
      </c>
      <c r="C19681">
        <f>IF(B19681="","",INT(A19681))</f>
        <v/>
      </c>
      <c r="D19681">
        <f>IF(B19681="","",HOUR(A19681))</f>
        <v/>
      </c>
    </row>
    <row r="19682">
      <c r="A19682">
        <f>Input!A19682</f>
        <v/>
      </c>
      <c r="B19682">
        <f>IF(ISNUMBER(Input!B19682),IF(AND(Input!B19682&gt;=20,Input!B19682&lt;=700),Input!B19682,""),"")</f>
        <v/>
      </c>
      <c r="C19682">
        <f>IF(B19682="","",INT(A19682))</f>
        <v/>
      </c>
      <c r="D19682">
        <f>IF(B19682="","",HOUR(A19682))</f>
        <v/>
      </c>
    </row>
    <row r="19683">
      <c r="A19683">
        <f>Input!A19683</f>
        <v/>
      </c>
      <c r="B19683">
        <f>IF(ISNUMBER(Input!B19683),IF(AND(Input!B19683&gt;=20,Input!B19683&lt;=700),Input!B19683,""),"")</f>
        <v/>
      </c>
      <c r="C19683">
        <f>IF(B19683="","",INT(A19683))</f>
        <v/>
      </c>
      <c r="D19683">
        <f>IF(B19683="","",HOUR(A19683))</f>
        <v/>
      </c>
    </row>
    <row r="19684">
      <c r="A19684">
        <f>Input!A19684</f>
        <v/>
      </c>
      <c r="B19684">
        <f>IF(ISNUMBER(Input!B19684),IF(AND(Input!B19684&gt;=20,Input!B19684&lt;=700),Input!B19684,""),"")</f>
        <v/>
      </c>
      <c r="C19684">
        <f>IF(B19684="","",INT(A19684))</f>
        <v/>
      </c>
      <c r="D19684">
        <f>IF(B19684="","",HOUR(A19684))</f>
        <v/>
      </c>
    </row>
    <row r="19685">
      <c r="A19685">
        <f>Input!A19685</f>
        <v/>
      </c>
      <c r="B19685">
        <f>IF(ISNUMBER(Input!B19685),IF(AND(Input!B19685&gt;=20,Input!B19685&lt;=700),Input!B19685,""),"")</f>
        <v/>
      </c>
      <c r="C19685">
        <f>IF(B19685="","",INT(A19685))</f>
        <v/>
      </c>
      <c r="D19685">
        <f>IF(B19685="","",HOUR(A19685))</f>
        <v/>
      </c>
    </row>
    <row r="19686">
      <c r="A19686">
        <f>Input!A19686</f>
        <v/>
      </c>
      <c r="B19686">
        <f>IF(ISNUMBER(Input!B19686),IF(AND(Input!B19686&gt;=20,Input!B19686&lt;=700),Input!B19686,""),"")</f>
        <v/>
      </c>
      <c r="C19686">
        <f>IF(B19686="","",INT(A19686))</f>
        <v/>
      </c>
      <c r="D19686">
        <f>IF(B19686="","",HOUR(A19686))</f>
        <v/>
      </c>
    </row>
    <row r="19687">
      <c r="A19687">
        <f>Input!A19687</f>
        <v/>
      </c>
      <c r="B19687">
        <f>IF(ISNUMBER(Input!B19687),IF(AND(Input!B19687&gt;=20,Input!B19687&lt;=700),Input!B19687,""),"")</f>
        <v/>
      </c>
      <c r="C19687">
        <f>IF(B19687="","",INT(A19687))</f>
        <v/>
      </c>
      <c r="D19687">
        <f>IF(B19687="","",HOUR(A19687))</f>
        <v/>
      </c>
    </row>
    <row r="19688">
      <c r="A19688">
        <f>Input!A19688</f>
        <v/>
      </c>
      <c r="B19688">
        <f>IF(ISNUMBER(Input!B19688),IF(AND(Input!B19688&gt;=20,Input!B19688&lt;=700),Input!B19688,""),"")</f>
        <v/>
      </c>
      <c r="C19688">
        <f>IF(B19688="","",INT(A19688))</f>
        <v/>
      </c>
      <c r="D19688">
        <f>IF(B19688="","",HOUR(A19688))</f>
        <v/>
      </c>
    </row>
    <row r="19689">
      <c r="A19689">
        <f>Input!A19689</f>
        <v/>
      </c>
      <c r="B19689">
        <f>IF(ISNUMBER(Input!B19689),IF(AND(Input!B19689&gt;=20,Input!B19689&lt;=700),Input!B19689,""),"")</f>
        <v/>
      </c>
      <c r="C19689">
        <f>IF(B19689="","",INT(A19689))</f>
        <v/>
      </c>
      <c r="D19689">
        <f>IF(B19689="","",HOUR(A19689))</f>
        <v/>
      </c>
    </row>
    <row r="19690">
      <c r="A19690">
        <f>Input!A19690</f>
        <v/>
      </c>
      <c r="B19690">
        <f>IF(ISNUMBER(Input!B19690),IF(AND(Input!B19690&gt;=20,Input!B19690&lt;=700),Input!B19690,""),"")</f>
        <v/>
      </c>
      <c r="C19690">
        <f>IF(B19690="","",INT(A19690))</f>
        <v/>
      </c>
      <c r="D19690">
        <f>IF(B19690="","",HOUR(A19690))</f>
        <v/>
      </c>
    </row>
    <row r="19691">
      <c r="A19691">
        <f>Input!A19691</f>
        <v/>
      </c>
      <c r="B19691">
        <f>IF(ISNUMBER(Input!B19691),IF(AND(Input!B19691&gt;=20,Input!B19691&lt;=700),Input!B19691,""),"")</f>
        <v/>
      </c>
      <c r="C19691">
        <f>IF(B19691="","",INT(A19691))</f>
        <v/>
      </c>
      <c r="D19691">
        <f>IF(B19691="","",HOUR(A19691))</f>
        <v/>
      </c>
    </row>
    <row r="19692">
      <c r="A19692">
        <f>Input!A19692</f>
        <v/>
      </c>
      <c r="B19692">
        <f>IF(ISNUMBER(Input!B19692),IF(AND(Input!B19692&gt;=20,Input!B19692&lt;=700),Input!B19692,""),"")</f>
        <v/>
      </c>
      <c r="C19692">
        <f>IF(B19692="","",INT(A19692))</f>
        <v/>
      </c>
      <c r="D19692">
        <f>IF(B19692="","",HOUR(A19692))</f>
        <v/>
      </c>
    </row>
    <row r="19693">
      <c r="A19693">
        <f>Input!A19693</f>
        <v/>
      </c>
      <c r="B19693">
        <f>IF(ISNUMBER(Input!B19693),IF(AND(Input!B19693&gt;=20,Input!B19693&lt;=700),Input!B19693,""),"")</f>
        <v/>
      </c>
      <c r="C19693">
        <f>IF(B19693="","",INT(A19693))</f>
        <v/>
      </c>
      <c r="D19693">
        <f>IF(B19693="","",HOUR(A19693))</f>
        <v/>
      </c>
    </row>
    <row r="19694">
      <c r="A19694">
        <f>Input!A19694</f>
        <v/>
      </c>
      <c r="B19694">
        <f>IF(ISNUMBER(Input!B19694),IF(AND(Input!B19694&gt;=20,Input!B19694&lt;=700),Input!B19694,""),"")</f>
        <v/>
      </c>
      <c r="C19694">
        <f>IF(B19694="","",INT(A19694))</f>
        <v/>
      </c>
      <c r="D19694">
        <f>IF(B19694="","",HOUR(A19694))</f>
        <v/>
      </c>
    </row>
    <row r="19695">
      <c r="A19695">
        <f>Input!A19695</f>
        <v/>
      </c>
      <c r="B19695">
        <f>IF(ISNUMBER(Input!B19695),IF(AND(Input!B19695&gt;=20,Input!B19695&lt;=700),Input!B19695,""),"")</f>
        <v/>
      </c>
      <c r="C19695">
        <f>IF(B19695="","",INT(A19695))</f>
        <v/>
      </c>
      <c r="D19695">
        <f>IF(B19695="","",HOUR(A19695))</f>
        <v/>
      </c>
    </row>
    <row r="19696">
      <c r="A19696">
        <f>Input!A19696</f>
        <v/>
      </c>
      <c r="B19696">
        <f>IF(ISNUMBER(Input!B19696),IF(AND(Input!B19696&gt;=20,Input!B19696&lt;=700),Input!B19696,""),"")</f>
        <v/>
      </c>
      <c r="C19696">
        <f>IF(B19696="","",INT(A19696))</f>
        <v/>
      </c>
      <c r="D19696">
        <f>IF(B19696="","",HOUR(A19696))</f>
        <v/>
      </c>
    </row>
    <row r="19697">
      <c r="A19697">
        <f>Input!A19697</f>
        <v/>
      </c>
      <c r="B19697">
        <f>IF(ISNUMBER(Input!B19697),IF(AND(Input!B19697&gt;=20,Input!B19697&lt;=700),Input!B19697,""),"")</f>
        <v/>
      </c>
      <c r="C19697">
        <f>IF(B19697="","",INT(A19697))</f>
        <v/>
      </c>
      <c r="D19697">
        <f>IF(B19697="","",HOUR(A19697))</f>
        <v/>
      </c>
    </row>
    <row r="19698">
      <c r="A19698">
        <f>Input!A19698</f>
        <v/>
      </c>
      <c r="B19698">
        <f>IF(ISNUMBER(Input!B19698),IF(AND(Input!B19698&gt;=20,Input!B19698&lt;=700),Input!B19698,""),"")</f>
        <v/>
      </c>
      <c r="C19698">
        <f>IF(B19698="","",INT(A19698))</f>
        <v/>
      </c>
      <c r="D19698">
        <f>IF(B19698="","",HOUR(A19698))</f>
        <v/>
      </c>
    </row>
    <row r="19699">
      <c r="A19699">
        <f>Input!A19699</f>
        <v/>
      </c>
      <c r="B19699">
        <f>IF(ISNUMBER(Input!B19699),IF(AND(Input!B19699&gt;=20,Input!B19699&lt;=700),Input!B19699,""),"")</f>
        <v/>
      </c>
      <c r="C19699">
        <f>IF(B19699="","",INT(A19699))</f>
        <v/>
      </c>
      <c r="D19699">
        <f>IF(B19699="","",HOUR(A19699))</f>
        <v/>
      </c>
    </row>
    <row r="19700">
      <c r="A19700">
        <f>Input!A19700</f>
        <v/>
      </c>
      <c r="B19700">
        <f>IF(ISNUMBER(Input!B19700),IF(AND(Input!B19700&gt;=20,Input!B19700&lt;=700),Input!B19700,""),"")</f>
        <v/>
      </c>
      <c r="C19700">
        <f>IF(B19700="","",INT(A19700))</f>
        <v/>
      </c>
      <c r="D19700">
        <f>IF(B19700="","",HOUR(A19700))</f>
        <v/>
      </c>
    </row>
    <row r="19701">
      <c r="A19701">
        <f>Input!A19701</f>
        <v/>
      </c>
      <c r="B19701">
        <f>IF(ISNUMBER(Input!B19701),IF(AND(Input!B19701&gt;=20,Input!B19701&lt;=700),Input!B19701,""),"")</f>
        <v/>
      </c>
      <c r="C19701">
        <f>IF(B19701="","",INT(A19701))</f>
        <v/>
      </c>
      <c r="D19701">
        <f>IF(B19701="","",HOUR(A19701))</f>
        <v/>
      </c>
    </row>
    <row r="19702">
      <c r="A19702">
        <f>Input!A19702</f>
        <v/>
      </c>
      <c r="B19702">
        <f>IF(ISNUMBER(Input!B19702),IF(AND(Input!B19702&gt;=20,Input!B19702&lt;=700),Input!B19702,""),"")</f>
        <v/>
      </c>
      <c r="C19702">
        <f>IF(B19702="","",INT(A19702))</f>
        <v/>
      </c>
      <c r="D19702">
        <f>IF(B19702="","",HOUR(A19702))</f>
        <v/>
      </c>
    </row>
    <row r="19703">
      <c r="A19703">
        <f>Input!A19703</f>
        <v/>
      </c>
      <c r="B19703">
        <f>IF(ISNUMBER(Input!B19703),IF(AND(Input!B19703&gt;=20,Input!B19703&lt;=700),Input!B19703,""),"")</f>
        <v/>
      </c>
      <c r="C19703">
        <f>IF(B19703="","",INT(A19703))</f>
        <v/>
      </c>
      <c r="D19703">
        <f>IF(B19703="","",HOUR(A19703))</f>
        <v/>
      </c>
    </row>
    <row r="19704">
      <c r="A19704">
        <f>Input!A19704</f>
        <v/>
      </c>
      <c r="B19704">
        <f>IF(ISNUMBER(Input!B19704),IF(AND(Input!B19704&gt;=20,Input!B19704&lt;=700),Input!B19704,""),"")</f>
        <v/>
      </c>
      <c r="C19704">
        <f>IF(B19704="","",INT(A19704))</f>
        <v/>
      </c>
      <c r="D19704">
        <f>IF(B19704="","",HOUR(A19704))</f>
        <v/>
      </c>
    </row>
    <row r="19705">
      <c r="A19705">
        <f>Input!A19705</f>
        <v/>
      </c>
      <c r="B19705">
        <f>IF(ISNUMBER(Input!B19705),IF(AND(Input!B19705&gt;=20,Input!B19705&lt;=700),Input!B19705,""),"")</f>
        <v/>
      </c>
      <c r="C19705">
        <f>IF(B19705="","",INT(A19705))</f>
        <v/>
      </c>
      <c r="D19705">
        <f>IF(B19705="","",HOUR(A19705))</f>
        <v/>
      </c>
    </row>
    <row r="19706">
      <c r="A19706">
        <f>Input!A19706</f>
        <v/>
      </c>
      <c r="B19706">
        <f>IF(ISNUMBER(Input!B19706),IF(AND(Input!B19706&gt;=20,Input!B19706&lt;=700),Input!B19706,""),"")</f>
        <v/>
      </c>
      <c r="C19706">
        <f>IF(B19706="","",INT(A19706))</f>
        <v/>
      </c>
      <c r="D19706">
        <f>IF(B19706="","",HOUR(A19706))</f>
        <v/>
      </c>
    </row>
    <row r="19707">
      <c r="A19707">
        <f>Input!A19707</f>
        <v/>
      </c>
      <c r="B19707">
        <f>IF(ISNUMBER(Input!B19707),IF(AND(Input!B19707&gt;=20,Input!B19707&lt;=700),Input!B19707,""),"")</f>
        <v/>
      </c>
      <c r="C19707">
        <f>IF(B19707="","",INT(A19707))</f>
        <v/>
      </c>
      <c r="D19707">
        <f>IF(B19707="","",HOUR(A19707))</f>
        <v/>
      </c>
    </row>
    <row r="19708">
      <c r="A19708">
        <f>Input!A19708</f>
        <v/>
      </c>
      <c r="B19708">
        <f>IF(ISNUMBER(Input!B19708),IF(AND(Input!B19708&gt;=20,Input!B19708&lt;=700),Input!B19708,""),"")</f>
        <v/>
      </c>
      <c r="C19708">
        <f>IF(B19708="","",INT(A19708))</f>
        <v/>
      </c>
      <c r="D19708">
        <f>IF(B19708="","",HOUR(A19708))</f>
        <v/>
      </c>
    </row>
    <row r="19709">
      <c r="A19709">
        <f>Input!A19709</f>
        <v/>
      </c>
      <c r="B19709">
        <f>IF(ISNUMBER(Input!B19709),IF(AND(Input!B19709&gt;=20,Input!B19709&lt;=700),Input!B19709,""),"")</f>
        <v/>
      </c>
      <c r="C19709">
        <f>IF(B19709="","",INT(A19709))</f>
        <v/>
      </c>
      <c r="D19709">
        <f>IF(B19709="","",HOUR(A19709))</f>
        <v/>
      </c>
    </row>
    <row r="19710">
      <c r="A19710">
        <f>Input!A19710</f>
        <v/>
      </c>
      <c r="B19710">
        <f>IF(ISNUMBER(Input!B19710),IF(AND(Input!B19710&gt;=20,Input!B19710&lt;=700),Input!B19710,""),"")</f>
        <v/>
      </c>
      <c r="C19710">
        <f>IF(B19710="","",INT(A19710))</f>
        <v/>
      </c>
      <c r="D19710">
        <f>IF(B19710="","",HOUR(A19710))</f>
        <v/>
      </c>
    </row>
    <row r="19711">
      <c r="A19711">
        <f>Input!A19711</f>
        <v/>
      </c>
      <c r="B19711">
        <f>IF(ISNUMBER(Input!B19711),IF(AND(Input!B19711&gt;=20,Input!B19711&lt;=700),Input!B19711,""),"")</f>
        <v/>
      </c>
      <c r="C19711">
        <f>IF(B19711="","",INT(A19711))</f>
        <v/>
      </c>
      <c r="D19711">
        <f>IF(B19711="","",HOUR(A19711))</f>
        <v/>
      </c>
    </row>
    <row r="19712">
      <c r="A19712">
        <f>Input!A19712</f>
        <v/>
      </c>
      <c r="B19712">
        <f>IF(ISNUMBER(Input!B19712),IF(AND(Input!B19712&gt;=20,Input!B19712&lt;=700),Input!B19712,""),"")</f>
        <v/>
      </c>
      <c r="C19712">
        <f>IF(B19712="","",INT(A19712))</f>
        <v/>
      </c>
      <c r="D19712">
        <f>IF(B19712="","",HOUR(A19712))</f>
        <v/>
      </c>
    </row>
    <row r="19713">
      <c r="A19713">
        <f>Input!A19713</f>
        <v/>
      </c>
      <c r="B19713">
        <f>IF(ISNUMBER(Input!B19713),IF(AND(Input!B19713&gt;=20,Input!B19713&lt;=700),Input!B19713,""),"")</f>
        <v/>
      </c>
      <c r="C19713">
        <f>IF(B19713="","",INT(A19713))</f>
        <v/>
      </c>
      <c r="D19713">
        <f>IF(B19713="","",HOUR(A19713))</f>
        <v/>
      </c>
    </row>
    <row r="19714">
      <c r="A19714">
        <f>Input!A19714</f>
        <v/>
      </c>
      <c r="B19714">
        <f>IF(ISNUMBER(Input!B19714),IF(AND(Input!B19714&gt;=20,Input!B19714&lt;=700),Input!B19714,""),"")</f>
        <v/>
      </c>
      <c r="C19714">
        <f>IF(B19714="","",INT(A19714))</f>
        <v/>
      </c>
      <c r="D19714">
        <f>IF(B19714="","",HOUR(A19714))</f>
        <v/>
      </c>
    </row>
    <row r="19715">
      <c r="A19715">
        <f>Input!A19715</f>
        <v/>
      </c>
      <c r="B19715">
        <f>IF(ISNUMBER(Input!B19715),IF(AND(Input!B19715&gt;=20,Input!B19715&lt;=700),Input!B19715,""),"")</f>
        <v/>
      </c>
      <c r="C19715">
        <f>IF(B19715="","",INT(A19715))</f>
        <v/>
      </c>
      <c r="D19715">
        <f>IF(B19715="","",HOUR(A19715))</f>
        <v/>
      </c>
    </row>
    <row r="19716">
      <c r="A19716">
        <f>Input!A19716</f>
        <v/>
      </c>
      <c r="B19716">
        <f>IF(ISNUMBER(Input!B19716),IF(AND(Input!B19716&gt;=20,Input!B19716&lt;=700),Input!B19716,""),"")</f>
        <v/>
      </c>
      <c r="C19716">
        <f>IF(B19716="","",INT(A19716))</f>
        <v/>
      </c>
      <c r="D19716">
        <f>IF(B19716="","",HOUR(A19716))</f>
        <v/>
      </c>
    </row>
    <row r="19717">
      <c r="A19717">
        <f>Input!A19717</f>
        <v/>
      </c>
      <c r="B19717">
        <f>IF(ISNUMBER(Input!B19717),IF(AND(Input!B19717&gt;=20,Input!B19717&lt;=700),Input!B19717,""),"")</f>
        <v/>
      </c>
      <c r="C19717">
        <f>IF(B19717="","",INT(A19717))</f>
        <v/>
      </c>
      <c r="D19717">
        <f>IF(B19717="","",HOUR(A19717))</f>
        <v/>
      </c>
    </row>
    <row r="19718">
      <c r="A19718">
        <f>Input!A19718</f>
        <v/>
      </c>
      <c r="B19718">
        <f>IF(ISNUMBER(Input!B19718),IF(AND(Input!B19718&gt;=20,Input!B19718&lt;=700),Input!B19718,""),"")</f>
        <v/>
      </c>
      <c r="C19718">
        <f>IF(B19718="","",INT(A19718))</f>
        <v/>
      </c>
      <c r="D19718">
        <f>IF(B19718="","",HOUR(A19718))</f>
        <v/>
      </c>
    </row>
    <row r="19719">
      <c r="A19719">
        <f>Input!A19719</f>
        <v/>
      </c>
      <c r="B19719">
        <f>IF(ISNUMBER(Input!B19719),IF(AND(Input!B19719&gt;=20,Input!B19719&lt;=700),Input!B19719,""),"")</f>
        <v/>
      </c>
      <c r="C19719">
        <f>IF(B19719="","",INT(A19719))</f>
        <v/>
      </c>
      <c r="D19719">
        <f>IF(B19719="","",HOUR(A19719))</f>
        <v/>
      </c>
    </row>
    <row r="19720">
      <c r="A19720">
        <f>Input!A19720</f>
        <v/>
      </c>
      <c r="B19720">
        <f>IF(ISNUMBER(Input!B19720),IF(AND(Input!B19720&gt;=20,Input!B19720&lt;=700),Input!B19720,""),"")</f>
        <v/>
      </c>
      <c r="C19720">
        <f>IF(B19720="","",INT(A19720))</f>
        <v/>
      </c>
      <c r="D19720">
        <f>IF(B19720="","",HOUR(A19720))</f>
        <v/>
      </c>
    </row>
    <row r="19721">
      <c r="A19721">
        <f>Input!A19721</f>
        <v/>
      </c>
      <c r="B19721">
        <f>IF(ISNUMBER(Input!B19721),IF(AND(Input!B19721&gt;=20,Input!B19721&lt;=700),Input!B19721,""),"")</f>
        <v/>
      </c>
      <c r="C19721">
        <f>IF(B19721="","",INT(A19721))</f>
        <v/>
      </c>
      <c r="D19721">
        <f>IF(B19721="","",HOUR(A19721))</f>
        <v/>
      </c>
    </row>
    <row r="19722">
      <c r="A19722">
        <f>Input!A19722</f>
        <v/>
      </c>
      <c r="B19722">
        <f>IF(ISNUMBER(Input!B19722),IF(AND(Input!B19722&gt;=20,Input!B19722&lt;=700),Input!B19722,""),"")</f>
        <v/>
      </c>
      <c r="C19722">
        <f>IF(B19722="","",INT(A19722))</f>
        <v/>
      </c>
      <c r="D19722">
        <f>IF(B19722="","",HOUR(A19722))</f>
        <v/>
      </c>
    </row>
    <row r="19723">
      <c r="A19723">
        <f>Input!A19723</f>
        <v/>
      </c>
      <c r="B19723">
        <f>IF(ISNUMBER(Input!B19723),IF(AND(Input!B19723&gt;=20,Input!B19723&lt;=700),Input!B19723,""),"")</f>
        <v/>
      </c>
      <c r="C19723">
        <f>IF(B19723="","",INT(A19723))</f>
        <v/>
      </c>
      <c r="D19723">
        <f>IF(B19723="","",HOUR(A19723))</f>
        <v/>
      </c>
    </row>
    <row r="19724">
      <c r="A19724">
        <f>Input!A19724</f>
        <v/>
      </c>
      <c r="B19724">
        <f>IF(ISNUMBER(Input!B19724),IF(AND(Input!B19724&gt;=20,Input!B19724&lt;=700),Input!B19724,""),"")</f>
        <v/>
      </c>
      <c r="C19724">
        <f>IF(B19724="","",INT(A19724))</f>
        <v/>
      </c>
      <c r="D19724">
        <f>IF(B19724="","",HOUR(A19724))</f>
        <v/>
      </c>
    </row>
    <row r="19725">
      <c r="A19725">
        <f>Input!A19725</f>
        <v/>
      </c>
      <c r="B19725">
        <f>IF(ISNUMBER(Input!B19725),IF(AND(Input!B19725&gt;=20,Input!B19725&lt;=700),Input!B19725,""),"")</f>
        <v/>
      </c>
      <c r="C19725">
        <f>IF(B19725="","",INT(A19725))</f>
        <v/>
      </c>
      <c r="D19725">
        <f>IF(B19725="","",HOUR(A19725))</f>
        <v/>
      </c>
    </row>
    <row r="19726">
      <c r="A19726">
        <f>Input!A19726</f>
        <v/>
      </c>
      <c r="B19726">
        <f>IF(ISNUMBER(Input!B19726),IF(AND(Input!B19726&gt;=20,Input!B19726&lt;=700),Input!B19726,""),"")</f>
        <v/>
      </c>
      <c r="C19726">
        <f>IF(B19726="","",INT(A19726))</f>
        <v/>
      </c>
      <c r="D19726">
        <f>IF(B19726="","",HOUR(A19726))</f>
        <v/>
      </c>
    </row>
    <row r="19727">
      <c r="A19727">
        <f>Input!A19727</f>
        <v/>
      </c>
      <c r="B19727">
        <f>IF(ISNUMBER(Input!B19727),IF(AND(Input!B19727&gt;=20,Input!B19727&lt;=700),Input!B19727,""),"")</f>
        <v/>
      </c>
      <c r="C19727">
        <f>IF(B19727="","",INT(A19727))</f>
        <v/>
      </c>
      <c r="D19727">
        <f>IF(B19727="","",HOUR(A19727))</f>
        <v/>
      </c>
    </row>
    <row r="19728">
      <c r="A19728">
        <f>Input!A19728</f>
        <v/>
      </c>
      <c r="B19728">
        <f>IF(ISNUMBER(Input!B19728),IF(AND(Input!B19728&gt;=20,Input!B19728&lt;=700),Input!B19728,""),"")</f>
        <v/>
      </c>
      <c r="C19728">
        <f>IF(B19728="","",INT(A19728))</f>
        <v/>
      </c>
      <c r="D19728">
        <f>IF(B19728="","",HOUR(A19728))</f>
        <v/>
      </c>
    </row>
    <row r="19729">
      <c r="A19729">
        <f>Input!A19729</f>
        <v/>
      </c>
      <c r="B19729">
        <f>IF(ISNUMBER(Input!B19729),IF(AND(Input!B19729&gt;=20,Input!B19729&lt;=700),Input!B19729,""),"")</f>
        <v/>
      </c>
      <c r="C19729">
        <f>IF(B19729="","",INT(A19729))</f>
        <v/>
      </c>
      <c r="D19729">
        <f>IF(B19729="","",HOUR(A19729))</f>
        <v/>
      </c>
    </row>
    <row r="19730">
      <c r="A19730">
        <f>Input!A19730</f>
        <v/>
      </c>
      <c r="B19730">
        <f>IF(ISNUMBER(Input!B19730),IF(AND(Input!B19730&gt;=20,Input!B19730&lt;=700),Input!B19730,""),"")</f>
        <v/>
      </c>
      <c r="C19730">
        <f>IF(B19730="","",INT(A19730))</f>
        <v/>
      </c>
      <c r="D19730">
        <f>IF(B19730="","",HOUR(A19730))</f>
        <v/>
      </c>
    </row>
    <row r="19731">
      <c r="A19731">
        <f>Input!A19731</f>
        <v/>
      </c>
      <c r="B19731">
        <f>IF(ISNUMBER(Input!B19731),IF(AND(Input!B19731&gt;=20,Input!B19731&lt;=700),Input!B19731,""),"")</f>
        <v/>
      </c>
      <c r="C19731">
        <f>IF(B19731="","",INT(A19731))</f>
        <v/>
      </c>
      <c r="D19731">
        <f>IF(B19731="","",HOUR(A19731))</f>
        <v/>
      </c>
    </row>
    <row r="19732">
      <c r="A19732">
        <f>Input!A19732</f>
        <v/>
      </c>
      <c r="B19732">
        <f>IF(ISNUMBER(Input!B19732),IF(AND(Input!B19732&gt;=20,Input!B19732&lt;=700),Input!B19732,""),"")</f>
        <v/>
      </c>
      <c r="C19732">
        <f>IF(B19732="","",INT(A19732))</f>
        <v/>
      </c>
      <c r="D19732">
        <f>IF(B19732="","",HOUR(A19732))</f>
        <v/>
      </c>
    </row>
    <row r="19733">
      <c r="A19733">
        <f>Input!A19733</f>
        <v/>
      </c>
      <c r="B19733">
        <f>IF(ISNUMBER(Input!B19733),IF(AND(Input!B19733&gt;=20,Input!B19733&lt;=700),Input!B19733,""),"")</f>
        <v/>
      </c>
      <c r="C19733">
        <f>IF(B19733="","",INT(A19733))</f>
        <v/>
      </c>
      <c r="D19733">
        <f>IF(B19733="","",HOUR(A19733))</f>
        <v/>
      </c>
    </row>
    <row r="19734">
      <c r="A19734">
        <f>Input!A19734</f>
        <v/>
      </c>
      <c r="B19734">
        <f>IF(ISNUMBER(Input!B19734),IF(AND(Input!B19734&gt;=20,Input!B19734&lt;=700),Input!B19734,""),"")</f>
        <v/>
      </c>
      <c r="C19734">
        <f>IF(B19734="","",INT(A19734))</f>
        <v/>
      </c>
      <c r="D19734">
        <f>IF(B19734="","",HOUR(A19734))</f>
        <v/>
      </c>
    </row>
    <row r="19735">
      <c r="A19735">
        <f>Input!A19735</f>
        <v/>
      </c>
      <c r="B19735">
        <f>IF(ISNUMBER(Input!B19735),IF(AND(Input!B19735&gt;=20,Input!B19735&lt;=700),Input!B19735,""),"")</f>
        <v/>
      </c>
      <c r="C19735">
        <f>IF(B19735="","",INT(A19735))</f>
        <v/>
      </c>
      <c r="D19735">
        <f>IF(B19735="","",HOUR(A19735))</f>
        <v/>
      </c>
    </row>
    <row r="19736">
      <c r="A19736">
        <f>Input!A19736</f>
        <v/>
      </c>
      <c r="B19736">
        <f>IF(ISNUMBER(Input!B19736),IF(AND(Input!B19736&gt;=20,Input!B19736&lt;=700),Input!B19736,""),"")</f>
        <v/>
      </c>
      <c r="C19736">
        <f>IF(B19736="","",INT(A19736))</f>
        <v/>
      </c>
      <c r="D19736">
        <f>IF(B19736="","",HOUR(A19736))</f>
        <v/>
      </c>
    </row>
    <row r="19737">
      <c r="A19737">
        <f>Input!A19737</f>
        <v/>
      </c>
      <c r="B19737">
        <f>IF(ISNUMBER(Input!B19737),IF(AND(Input!B19737&gt;=20,Input!B19737&lt;=700),Input!B19737,""),"")</f>
        <v/>
      </c>
      <c r="C19737">
        <f>IF(B19737="","",INT(A19737))</f>
        <v/>
      </c>
      <c r="D19737">
        <f>IF(B19737="","",HOUR(A19737))</f>
        <v/>
      </c>
    </row>
    <row r="19738">
      <c r="A19738">
        <f>Input!A19738</f>
        <v/>
      </c>
      <c r="B19738">
        <f>IF(ISNUMBER(Input!B19738),IF(AND(Input!B19738&gt;=20,Input!B19738&lt;=700),Input!B19738,""),"")</f>
        <v/>
      </c>
      <c r="C19738">
        <f>IF(B19738="","",INT(A19738))</f>
        <v/>
      </c>
      <c r="D19738">
        <f>IF(B19738="","",HOUR(A19738))</f>
        <v/>
      </c>
    </row>
    <row r="19739">
      <c r="A19739">
        <f>Input!A19739</f>
        <v/>
      </c>
      <c r="B19739">
        <f>IF(ISNUMBER(Input!B19739),IF(AND(Input!B19739&gt;=20,Input!B19739&lt;=700),Input!B19739,""),"")</f>
        <v/>
      </c>
      <c r="C19739">
        <f>IF(B19739="","",INT(A19739))</f>
        <v/>
      </c>
      <c r="D19739">
        <f>IF(B19739="","",HOUR(A19739))</f>
        <v/>
      </c>
    </row>
    <row r="19740">
      <c r="A19740">
        <f>Input!A19740</f>
        <v/>
      </c>
      <c r="B19740">
        <f>IF(ISNUMBER(Input!B19740),IF(AND(Input!B19740&gt;=20,Input!B19740&lt;=700),Input!B19740,""),"")</f>
        <v/>
      </c>
      <c r="C19740">
        <f>IF(B19740="","",INT(A19740))</f>
        <v/>
      </c>
      <c r="D19740">
        <f>IF(B19740="","",HOUR(A19740))</f>
        <v/>
      </c>
    </row>
    <row r="19741">
      <c r="A19741">
        <f>Input!A19741</f>
        <v/>
      </c>
      <c r="B19741">
        <f>IF(ISNUMBER(Input!B19741),IF(AND(Input!B19741&gt;=20,Input!B19741&lt;=700),Input!B19741,""),"")</f>
        <v/>
      </c>
      <c r="C19741">
        <f>IF(B19741="","",INT(A19741))</f>
        <v/>
      </c>
      <c r="D19741">
        <f>IF(B19741="","",HOUR(A19741))</f>
        <v/>
      </c>
    </row>
    <row r="19742">
      <c r="A19742">
        <f>Input!A19742</f>
        <v/>
      </c>
      <c r="B19742">
        <f>IF(ISNUMBER(Input!B19742),IF(AND(Input!B19742&gt;=20,Input!B19742&lt;=700),Input!B19742,""),"")</f>
        <v/>
      </c>
      <c r="C19742">
        <f>IF(B19742="","",INT(A19742))</f>
        <v/>
      </c>
      <c r="D19742">
        <f>IF(B19742="","",HOUR(A19742))</f>
        <v/>
      </c>
    </row>
    <row r="19743">
      <c r="A19743">
        <f>Input!A19743</f>
        <v/>
      </c>
      <c r="B19743">
        <f>IF(ISNUMBER(Input!B19743),IF(AND(Input!B19743&gt;=20,Input!B19743&lt;=700),Input!B19743,""),"")</f>
        <v/>
      </c>
      <c r="C19743">
        <f>IF(B19743="","",INT(A19743))</f>
        <v/>
      </c>
      <c r="D19743">
        <f>IF(B19743="","",HOUR(A19743))</f>
        <v/>
      </c>
    </row>
    <row r="19744">
      <c r="A19744">
        <f>Input!A19744</f>
        <v/>
      </c>
      <c r="B19744">
        <f>IF(ISNUMBER(Input!B19744),IF(AND(Input!B19744&gt;=20,Input!B19744&lt;=700),Input!B19744,""),"")</f>
        <v/>
      </c>
      <c r="C19744">
        <f>IF(B19744="","",INT(A19744))</f>
        <v/>
      </c>
      <c r="D19744">
        <f>IF(B19744="","",HOUR(A19744))</f>
        <v/>
      </c>
    </row>
    <row r="19745">
      <c r="A19745">
        <f>Input!A19745</f>
        <v/>
      </c>
      <c r="B19745">
        <f>IF(ISNUMBER(Input!B19745),IF(AND(Input!B19745&gt;=20,Input!B19745&lt;=700),Input!B19745,""),"")</f>
        <v/>
      </c>
      <c r="C19745">
        <f>IF(B19745="","",INT(A19745))</f>
        <v/>
      </c>
      <c r="D19745">
        <f>IF(B19745="","",HOUR(A19745))</f>
        <v/>
      </c>
    </row>
    <row r="19746">
      <c r="A19746">
        <f>Input!A19746</f>
        <v/>
      </c>
      <c r="B19746">
        <f>IF(ISNUMBER(Input!B19746),IF(AND(Input!B19746&gt;=20,Input!B19746&lt;=700),Input!B19746,""),"")</f>
        <v/>
      </c>
      <c r="C19746">
        <f>IF(B19746="","",INT(A19746))</f>
        <v/>
      </c>
      <c r="D19746">
        <f>IF(B19746="","",HOUR(A19746))</f>
        <v/>
      </c>
    </row>
    <row r="19747">
      <c r="A19747">
        <f>Input!A19747</f>
        <v/>
      </c>
      <c r="B19747">
        <f>IF(ISNUMBER(Input!B19747),IF(AND(Input!B19747&gt;=20,Input!B19747&lt;=700),Input!B19747,""),"")</f>
        <v/>
      </c>
      <c r="C19747">
        <f>IF(B19747="","",INT(A19747))</f>
        <v/>
      </c>
      <c r="D19747">
        <f>IF(B19747="","",HOUR(A19747))</f>
        <v/>
      </c>
    </row>
    <row r="19748">
      <c r="A19748">
        <f>Input!A19748</f>
        <v/>
      </c>
      <c r="B19748">
        <f>IF(ISNUMBER(Input!B19748),IF(AND(Input!B19748&gt;=20,Input!B19748&lt;=700),Input!B19748,""),"")</f>
        <v/>
      </c>
      <c r="C19748">
        <f>IF(B19748="","",INT(A19748))</f>
        <v/>
      </c>
      <c r="D19748">
        <f>IF(B19748="","",HOUR(A19748))</f>
        <v/>
      </c>
    </row>
    <row r="19749">
      <c r="A19749">
        <f>Input!A19749</f>
        <v/>
      </c>
      <c r="B19749">
        <f>IF(ISNUMBER(Input!B19749),IF(AND(Input!B19749&gt;=20,Input!B19749&lt;=700),Input!B19749,""),"")</f>
        <v/>
      </c>
      <c r="C19749">
        <f>IF(B19749="","",INT(A19749))</f>
        <v/>
      </c>
      <c r="D19749">
        <f>IF(B19749="","",HOUR(A19749))</f>
        <v/>
      </c>
    </row>
    <row r="19750">
      <c r="A19750">
        <f>Input!A19750</f>
        <v/>
      </c>
      <c r="B19750">
        <f>IF(ISNUMBER(Input!B19750),IF(AND(Input!B19750&gt;=20,Input!B19750&lt;=700),Input!B19750,""),"")</f>
        <v/>
      </c>
      <c r="C19750">
        <f>IF(B19750="","",INT(A19750))</f>
        <v/>
      </c>
      <c r="D19750">
        <f>IF(B19750="","",HOUR(A19750))</f>
        <v/>
      </c>
    </row>
    <row r="19751">
      <c r="A19751">
        <f>Input!A19751</f>
        <v/>
      </c>
      <c r="B19751">
        <f>IF(ISNUMBER(Input!B19751),IF(AND(Input!B19751&gt;=20,Input!B19751&lt;=700),Input!B19751,""),"")</f>
        <v/>
      </c>
      <c r="C19751">
        <f>IF(B19751="","",INT(A19751))</f>
        <v/>
      </c>
      <c r="D19751">
        <f>IF(B19751="","",HOUR(A19751))</f>
        <v/>
      </c>
    </row>
    <row r="19752">
      <c r="A19752">
        <f>Input!A19752</f>
        <v/>
      </c>
      <c r="B19752">
        <f>IF(ISNUMBER(Input!B19752),IF(AND(Input!B19752&gt;=20,Input!B19752&lt;=700),Input!B19752,""),"")</f>
        <v/>
      </c>
      <c r="C19752">
        <f>IF(B19752="","",INT(A19752))</f>
        <v/>
      </c>
      <c r="D19752">
        <f>IF(B19752="","",HOUR(A19752))</f>
        <v/>
      </c>
    </row>
    <row r="19753">
      <c r="A19753">
        <f>Input!A19753</f>
        <v/>
      </c>
      <c r="B19753">
        <f>IF(ISNUMBER(Input!B19753),IF(AND(Input!B19753&gt;=20,Input!B19753&lt;=700),Input!B19753,""),"")</f>
        <v/>
      </c>
      <c r="C19753">
        <f>IF(B19753="","",INT(A19753))</f>
        <v/>
      </c>
      <c r="D19753">
        <f>IF(B19753="","",HOUR(A19753))</f>
        <v/>
      </c>
    </row>
    <row r="19754">
      <c r="A19754">
        <f>Input!A19754</f>
        <v/>
      </c>
      <c r="B19754">
        <f>IF(ISNUMBER(Input!B19754),IF(AND(Input!B19754&gt;=20,Input!B19754&lt;=700),Input!B19754,""),"")</f>
        <v/>
      </c>
      <c r="C19754">
        <f>IF(B19754="","",INT(A19754))</f>
        <v/>
      </c>
      <c r="D19754">
        <f>IF(B19754="","",HOUR(A19754))</f>
        <v/>
      </c>
    </row>
    <row r="19755">
      <c r="A19755">
        <f>Input!A19755</f>
        <v/>
      </c>
      <c r="B19755">
        <f>IF(ISNUMBER(Input!B19755),IF(AND(Input!B19755&gt;=20,Input!B19755&lt;=700),Input!B19755,""),"")</f>
        <v/>
      </c>
      <c r="C19755">
        <f>IF(B19755="","",INT(A19755))</f>
        <v/>
      </c>
      <c r="D19755">
        <f>IF(B19755="","",HOUR(A19755))</f>
        <v/>
      </c>
    </row>
    <row r="19756">
      <c r="A19756">
        <f>Input!A19756</f>
        <v/>
      </c>
      <c r="B19756">
        <f>IF(ISNUMBER(Input!B19756),IF(AND(Input!B19756&gt;=20,Input!B19756&lt;=700),Input!B19756,""),"")</f>
        <v/>
      </c>
      <c r="C19756">
        <f>IF(B19756="","",INT(A19756))</f>
        <v/>
      </c>
      <c r="D19756">
        <f>IF(B19756="","",HOUR(A19756))</f>
        <v/>
      </c>
    </row>
    <row r="19757">
      <c r="A19757">
        <f>Input!A19757</f>
        <v/>
      </c>
      <c r="B19757">
        <f>IF(ISNUMBER(Input!B19757),IF(AND(Input!B19757&gt;=20,Input!B19757&lt;=700),Input!B19757,""),"")</f>
        <v/>
      </c>
      <c r="C19757">
        <f>IF(B19757="","",INT(A19757))</f>
        <v/>
      </c>
      <c r="D19757">
        <f>IF(B19757="","",HOUR(A19757))</f>
        <v/>
      </c>
    </row>
    <row r="19758">
      <c r="A19758">
        <f>Input!A19758</f>
        <v/>
      </c>
      <c r="B19758">
        <f>IF(ISNUMBER(Input!B19758),IF(AND(Input!B19758&gt;=20,Input!B19758&lt;=700),Input!B19758,""),"")</f>
        <v/>
      </c>
      <c r="C19758">
        <f>IF(B19758="","",INT(A19758))</f>
        <v/>
      </c>
      <c r="D19758">
        <f>IF(B19758="","",HOUR(A19758))</f>
        <v/>
      </c>
    </row>
    <row r="19759">
      <c r="A19759">
        <f>Input!A19759</f>
        <v/>
      </c>
      <c r="B19759">
        <f>IF(ISNUMBER(Input!B19759),IF(AND(Input!B19759&gt;=20,Input!B19759&lt;=700),Input!B19759,""),"")</f>
        <v/>
      </c>
      <c r="C19759">
        <f>IF(B19759="","",INT(A19759))</f>
        <v/>
      </c>
      <c r="D19759">
        <f>IF(B19759="","",HOUR(A19759))</f>
        <v/>
      </c>
    </row>
    <row r="19760">
      <c r="A19760">
        <f>Input!A19760</f>
        <v/>
      </c>
      <c r="B19760">
        <f>IF(ISNUMBER(Input!B19760),IF(AND(Input!B19760&gt;=20,Input!B19760&lt;=700),Input!B19760,""),"")</f>
        <v/>
      </c>
      <c r="C19760">
        <f>IF(B19760="","",INT(A19760))</f>
        <v/>
      </c>
      <c r="D19760">
        <f>IF(B19760="","",HOUR(A19760))</f>
        <v/>
      </c>
    </row>
    <row r="19761">
      <c r="A19761">
        <f>Input!A19761</f>
        <v/>
      </c>
      <c r="B19761">
        <f>IF(ISNUMBER(Input!B19761),IF(AND(Input!B19761&gt;=20,Input!B19761&lt;=700),Input!B19761,""),"")</f>
        <v/>
      </c>
      <c r="C19761">
        <f>IF(B19761="","",INT(A19761))</f>
        <v/>
      </c>
      <c r="D19761">
        <f>IF(B19761="","",HOUR(A19761))</f>
        <v/>
      </c>
    </row>
    <row r="19762">
      <c r="A19762">
        <f>Input!A19762</f>
        <v/>
      </c>
      <c r="B19762">
        <f>IF(ISNUMBER(Input!B19762),IF(AND(Input!B19762&gt;=20,Input!B19762&lt;=700),Input!B19762,""),"")</f>
        <v/>
      </c>
      <c r="C19762">
        <f>IF(B19762="","",INT(A19762))</f>
        <v/>
      </c>
      <c r="D19762">
        <f>IF(B19762="","",HOUR(A19762))</f>
        <v/>
      </c>
    </row>
    <row r="19763">
      <c r="A19763">
        <f>Input!A19763</f>
        <v/>
      </c>
      <c r="B19763">
        <f>IF(ISNUMBER(Input!B19763),IF(AND(Input!B19763&gt;=20,Input!B19763&lt;=700),Input!B19763,""),"")</f>
        <v/>
      </c>
      <c r="C19763">
        <f>IF(B19763="","",INT(A19763))</f>
        <v/>
      </c>
      <c r="D19763">
        <f>IF(B19763="","",HOUR(A19763))</f>
        <v/>
      </c>
    </row>
    <row r="19764">
      <c r="A19764">
        <f>Input!A19764</f>
        <v/>
      </c>
      <c r="B19764">
        <f>IF(ISNUMBER(Input!B19764),IF(AND(Input!B19764&gt;=20,Input!B19764&lt;=700),Input!B19764,""),"")</f>
        <v/>
      </c>
      <c r="C19764">
        <f>IF(B19764="","",INT(A19764))</f>
        <v/>
      </c>
      <c r="D19764">
        <f>IF(B19764="","",HOUR(A19764))</f>
        <v/>
      </c>
    </row>
    <row r="19765">
      <c r="A19765">
        <f>Input!A19765</f>
        <v/>
      </c>
      <c r="B19765">
        <f>IF(ISNUMBER(Input!B19765),IF(AND(Input!B19765&gt;=20,Input!B19765&lt;=700),Input!B19765,""),"")</f>
        <v/>
      </c>
      <c r="C19765">
        <f>IF(B19765="","",INT(A19765))</f>
        <v/>
      </c>
      <c r="D19765">
        <f>IF(B19765="","",HOUR(A19765))</f>
        <v/>
      </c>
    </row>
    <row r="19766">
      <c r="A19766">
        <f>Input!A19766</f>
        <v/>
      </c>
      <c r="B19766">
        <f>IF(ISNUMBER(Input!B19766),IF(AND(Input!B19766&gt;=20,Input!B19766&lt;=700),Input!B19766,""),"")</f>
        <v/>
      </c>
      <c r="C19766">
        <f>IF(B19766="","",INT(A19766))</f>
        <v/>
      </c>
      <c r="D19766">
        <f>IF(B19766="","",HOUR(A19766))</f>
        <v/>
      </c>
    </row>
    <row r="19767">
      <c r="A19767">
        <f>Input!A19767</f>
        <v/>
      </c>
      <c r="B19767">
        <f>IF(ISNUMBER(Input!B19767),IF(AND(Input!B19767&gt;=20,Input!B19767&lt;=700),Input!B19767,""),"")</f>
        <v/>
      </c>
      <c r="C19767">
        <f>IF(B19767="","",INT(A19767))</f>
        <v/>
      </c>
      <c r="D19767">
        <f>IF(B19767="","",HOUR(A19767))</f>
        <v/>
      </c>
    </row>
    <row r="19768">
      <c r="A19768">
        <f>Input!A19768</f>
        <v/>
      </c>
      <c r="B19768">
        <f>IF(ISNUMBER(Input!B19768),IF(AND(Input!B19768&gt;=20,Input!B19768&lt;=700),Input!B19768,""),"")</f>
        <v/>
      </c>
      <c r="C19768">
        <f>IF(B19768="","",INT(A19768))</f>
        <v/>
      </c>
      <c r="D19768">
        <f>IF(B19768="","",HOUR(A19768))</f>
        <v/>
      </c>
    </row>
    <row r="19769">
      <c r="A19769">
        <f>Input!A19769</f>
        <v/>
      </c>
      <c r="B19769">
        <f>IF(ISNUMBER(Input!B19769),IF(AND(Input!B19769&gt;=20,Input!B19769&lt;=700),Input!B19769,""),"")</f>
        <v/>
      </c>
      <c r="C19769">
        <f>IF(B19769="","",INT(A19769))</f>
        <v/>
      </c>
      <c r="D19769">
        <f>IF(B19769="","",HOUR(A19769))</f>
        <v/>
      </c>
    </row>
    <row r="19770">
      <c r="A19770">
        <f>Input!A19770</f>
        <v/>
      </c>
      <c r="B19770">
        <f>IF(ISNUMBER(Input!B19770),IF(AND(Input!B19770&gt;=20,Input!B19770&lt;=700),Input!B19770,""),"")</f>
        <v/>
      </c>
      <c r="C19770">
        <f>IF(B19770="","",INT(A19770))</f>
        <v/>
      </c>
      <c r="D19770">
        <f>IF(B19770="","",HOUR(A19770))</f>
        <v/>
      </c>
    </row>
    <row r="19771">
      <c r="A19771">
        <f>Input!A19771</f>
        <v/>
      </c>
      <c r="B19771">
        <f>IF(ISNUMBER(Input!B19771),IF(AND(Input!B19771&gt;=20,Input!B19771&lt;=700),Input!B19771,""),"")</f>
        <v/>
      </c>
      <c r="C19771">
        <f>IF(B19771="","",INT(A19771))</f>
        <v/>
      </c>
      <c r="D19771">
        <f>IF(B19771="","",HOUR(A19771))</f>
        <v/>
      </c>
    </row>
    <row r="19772">
      <c r="A19772">
        <f>Input!A19772</f>
        <v/>
      </c>
      <c r="B19772">
        <f>IF(ISNUMBER(Input!B19772),IF(AND(Input!B19772&gt;=20,Input!B19772&lt;=700),Input!B19772,""),"")</f>
        <v/>
      </c>
      <c r="C19772">
        <f>IF(B19772="","",INT(A19772))</f>
        <v/>
      </c>
      <c r="D19772">
        <f>IF(B19772="","",HOUR(A19772))</f>
        <v/>
      </c>
    </row>
    <row r="19773">
      <c r="A19773">
        <f>Input!A19773</f>
        <v/>
      </c>
      <c r="B19773">
        <f>IF(ISNUMBER(Input!B19773),IF(AND(Input!B19773&gt;=20,Input!B19773&lt;=700),Input!B19773,""),"")</f>
        <v/>
      </c>
      <c r="C19773">
        <f>IF(B19773="","",INT(A19773))</f>
        <v/>
      </c>
      <c r="D19773">
        <f>IF(B19773="","",HOUR(A19773))</f>
        <v/>
      </c>
    </row>
    <row r="19774">
      <c r="A19774">
        <f>Input!A19774</f>
        <v/>
      </c>
      <c r="B19774">
        <f>IF(ISNUMBER(Input!B19774),IF(AND(Input!B19774&gt;=20,Input!B19774&lt;=700),Input!B19774,""),"")</f>
        <v/>
      </c>
      <c r="C19774">
        <f>IF(B19774="","",INT(A19774))</f>
        <v/>
      </c>
      <c r="D19774">
        <f>IF(B19774="","",HOUR(A19774))</f>
        <v/>
      </c>
    </row>
    <row r="19775">
      <c r="A19775">
        <f>Input!A19775</f>
        <v/>
      </c>
      <c r="B19775">
        <f>IF(ISNUMBER(Input!B19775),IF(AND(Input!B19775&gt;=20,Input!B19775&lt;=700),Input!B19775,""),"")</f>
        <v/>
      </c>
      <c r="C19775">
        <f>IF(B19775="","",INT(A19775))</f>
        <v/>
      </c>
      <c r="D19775">
        <f>IF(B19775="","",HOUR(A19775))</f>
        <v/>
      </c>
    </row>
    <row r="19776">
      <c r="A19776">
        <f>Input!A19776</f>
        <v/>
      </c>
      <c r="B19776">
        <f>IF(ISNUMBER(Input!B19776),IF(AND(Input!B19776&gt;=20,Input!B19776&lt;=700),Input!B19776,""),"")</f>
        <v/>
      </c>
      <c r="C19776">
        <f>IF(B19776="","",INT(A19776))</f>
        <v/>
      </c>
      <c r="D19776">
        <f>IF(B19776="","",HOUR(A19776))</f>
        <v/>
      </c>
    </row>
    <row r="19777">
      <c r="A19777">
        <f>Input!A19777</f>
        <v/>
      </c>
      <c r="B19777">
        <f>IF(ISNUMBER(Input!B19777),IF(AND(Input!B19777&gt;=20,Input!B19777&lt;=700),Input!B19777,""),"")</f>
        <v/>
      </c>
      <c r="C19777">
        <f>IF(B19777="","",INT(A19777))</f>
        <v/>
      </c>
      <c r="D19777">
        <f>IF(B19777="","",HOUR(A19777))</f>
        <v/>
      </c>
    </row>
    <row r="19778">
      <c r="A19778">
        <f>Input!A19778</f>
        <v/>
      </c>
      <c r="B19778">
        <f>IF(ISNUMBER(Input!B19778),IF(AND(Input!B19778&gt;=20,Input!B19778&lt;=700),Input!B19778,""),"")</f>
        <v/>
      </c>
      <c r="C19778">
        <f>IF(B19778="","",INT(A19778))</f>
        <v/>
      </c>
      <c r="D19778">
        <f>IF(B19778="","",HOUR(A19778))</f>
        <v/>
      </c>
    </row>
    <row r="19779">
      <c r="A19779">
        <f>Input!A19779</f>
        <v/>
      </c>
      <c r="B19779">
        <f>IF(ISNUMBER(Input!B19779),IF(AND(Input!B19779&gt;=20,Input!B19779&lt;=700),Input!B19779,""),"")</f>
        <v/>
      </c>
      <c r="C19779">
        <f>IF(B19779="","",INT(A19779))</f>
        <v/>
      </c>
      <c r="D19779">
        <f>IF(B19779="","",HOUR(A19779))</f>
        <v/>
      </c>
    </row>
    <row r="19780">
      <c r="A19780">
        <f>Input!A19780</f>
        <v/>
      </c>
      <c r="B19780">
        <f>IF(ISNUMBER(Input!B19780),IF(AND(Input!B19780&gt;=20,Input!B19780&lt;=700),Input!B19780,""),"")</f>
        <v/>
      </c>
      <c r="C19780">
        <f>IF(B19780="","",INT(A19780))</f>
        <v/>
      </c>
      <c r="D19780">
        <f>IF(B19780="","",HOUR(A19780))</f>
        <v/>
      </c>
    </row>
    <row r="19781">
      <c r="A19781">
        <f>Input!A19781</f>
        <v/>
      </c>
      <c r="B19781">
        <f>IF(ISNUMBER(Input!B19781),IF(AND(Input!B19781&gt;=20,Input!B19781&lt;=700),Input!B19781,""),"")</f>
        <v/>
      </c>
      <c r="C19781">
        <f>IF(B19781="","",INT(A19781))</f>
        <v/>
      </c>
      <c r="D19781">
        <f>IF(B19781="","",HOUR(A19781))</f>
        <v/>
      </c>
    </row>
    <row r="19782">
      <c r="A19782">
        <f>Input!A19782</f>
        <v/>
      </c>
      <c r="B19782">
        <f>IF(ISNUMBER(Input!B19782),IF(AND(Input!B19782&gt;=20,Input!B19782&lt;=700),Input!B19782,""),"")</f>
        <v/>
      </c>
      <c r="C19782">
        <f>IF(B19782="","",INT(A19782))</f>
        <v/>
      </c>
      <c r="D19782">
        <f>IF(B19782="","",HOUR(A19782))</f>
        <v/>
      </c>
    </row>
    <row r="19783">
      <c r="A19783">
        <f>Input!A19783</f>
        <v/>
      </c>
      <c r="B19783">
        <f>IF(ISNUMBER(Input!B19783),IF(AND(Input!B19783&gt;=20,Input!B19783&lt;=700),Input!B19783,""),"")</f>
        <v/>
      </c>
      <c r="C19783">
        <f>IF(B19783="","",INT(A19783))</f>
        <v/>
      </c>
      <c r="D19783">
        <f>IF(B19783="","",HOUR(A19783))</f>
        <v/>
      </c>
    </row>
    <row r="19784">
      <c r="A19784">
        <f>Input!A19784</f>
        <v/>
      </c>
      <c r="B19784">
        <f>IF(ISNUMBER(Input!B19784),IF(AND(Input!B19784&gt;=20,Input!B19784&lt;=700),Input!B19784,""),"")</f>
        <v/>
      </c>
      <c r="C19784">
        <f>IF(B19784="","",INT(A19784))</f>
        <v/>
      </c>
      <c r="D19784">
        <f>IF(B19784="","",HOUR(A19784))</f>
        <v/>
      </c>
    </row>
    <row r="19785">
      <c r="A19785">
        <f>Input!A19785</f>
        <v/>
      </c>
      <c r="B19785">
        <f>IF(ISNUMBER(Input!B19785),IF(AND(Input!B19785&gt;=20,Input!B19785&lt;=700),Input!B19785,""),"")</f>
        <v/>
      </c>
      <c r="C19785">
        <f>IF(B19785="","",INT(A19785))</f>
        <v/>
      </c>
      <c r="D19785">
        <f>IF(B19785="","",HOUR(A19785))</f>
        <v/>
      </c>
    </row>
    <row r="19786">
      <c r="A19786">
        <f>Input!A19786</f>
        <v/>
      </c>
      <c r="B19786">
        <f>IF(ISNUMBER(Input!B19786),IF(AND(Input!B19786&gt;=20,Input!B19786&lt;=700),Input!B19786,""),"")</f>
        <v/>
      </c>
      <c r="C19786">
        <f>IF(B19786="","",INT(A19786))</f>
        <v/>
      </c>
      <c r="D19786">
        <f>IF(B19786="","",HOUR(A19786))</f>
        <v/>
      </c>
    </row>
    <row r="19787">
      <c r="A19787">
        <f>Input!A19787</f>
        <v/>
      </c>
      <c r="B19787">
        <f>IF(ISNUMBER(Input!B19787),IF(AND(Input!B19787&gt;=20,Input!B19787&lt;=700),Input!B19787,""),"")</f>
        <v/>
      </c>
      <c r="C19787">
        <f>IF(B19787="","",INT(A19787))</f>
        <v/>
      </c>
      <c r="D19787">
        <f>IF(B19787="","",HOUR(A19787))</f>
        <v/>
      </c>
    </row>
    <row r="19788">
      <c r="A19788">
        <f>Input!A19788</f>
        <v/>
      </c>
      <c r="B19788">
        <f>IF(ISNUMBER(Input!B19788),IF(AND(Input!B19788&gt;=20,Input!B19788&lt;=700),Input!B19788,""),"")</f>
        <v/>
      </c>
      <c r="C19788">
        <f>IF(B19788="","",INT(A19788))</f>
        <v/>
      </c>
      <c r="D19788">
        <f>IF(B19788="","",HOUR(A19788))</f>
        <v/>
      </c>
    </row>
    <row r="19789">
      <c r="A19789">
        <f>Input!A19789</f>
        <v/>
      </c>
      <c r="B19789">
        <f>IF(ISNUMBER(Input!B19789),IF(AND(Input!B19789&gt;=20,Input!B19789&lt;=700),Input!B19789,""),"")</f>
        <v/>
      </c>
      <c r="C19789">
        <f>IF(B19789="","",INT(A19789))</f>
        <v/>
      </c>
      <c r="D19789">
        <f>IF(B19789="","",HOUR(A19789))</f>
        <v/>
      </c>
    </row>
    <row r="19790">
      <c r="A19790">
        <f>Input!A19790</f>
        <v/>
      </c>
      <c r="B19790">
        <f>IF(ISNUMBER(Input!B19790),IF(AND(Input!B19790&gt;=20,Input!B19790&lt;=700),Input!B19790,""),"")</f>
        <v/>
      </c>
      <c r="C19790">
        <f>IF(B19790="","",INT(A19790))</f>
        <v/>
      </c>
      <c r="D19790">
        <f>IF(B19790="","",HOUR(A19790))</f>
        <v/>
      </c>
    </row>
    <row r="19791">
      <c r="A19791">
        <f>Input!A19791</f>
        <v/>
      </c>
      <c r="B19791">
        <f>IF(ISNUMBER(Input!B19791),IF(AND(Input!B19791&gt;=20,Input!B19791&lt;=700),Input!B19791,""),"")</f>
        <v/>
      </c>
      <c r="C19791">
        <f>IF(B19791="","",INT(A19791))</f>
        <v/>
      </c>
      <c r="D19791">
        <f>IF(B19791="","",HOUR(A19791))</f>
        <v/>
      </c>
    </row>
    <row r="19792">
      <c r="A19792">
        <f>Input!A19792</f>
        <v/>
      </c>
      <c r="B19792">
        <f>IF(ISNUMBER(Input!B19792),IF(AND(Input!B19792&gt;=20,Input!B19792&lt;=700),Input!B19792,""),"")</f>
        <v/>
      </c>
      <c r="C19792">
        <f>IF(B19792="","",INT(A19792))</f>
        <v/>
      </c>
      <c r="D19792">
        <f>IF(B19792="","",HOUR(A19792))</f>
        <v/>
      </c>
    </row>
    <row r="19793">
      <c r="A19793">
        <f>Input!A19793</f>
        <v/>
      </c>
      <c r="B19793">
        <f>IF(ISNUMBER(Input!B19793),IF(AND(Input!B19793&gt;=20,Input!B19793&lt;=700),Input!B19793,""),"")</f>
        <v/>
      </c>
      <c r="C19793">
        <f>IF(B19793="","",INT(A19793))</f>
        <v/>
      </c>
      <c r="D19793">
        <f>IF(B19793="","",HOUR(A19793))</f>
        <v/>
      </c>
    </row>
    <row r="19794">
      <c r="A19794">
        <f>Input!A19794</f>
        <v/>
      </c>
      <c r="B19794">
        <f>IF(ISNUMBER(Input!B19794),IF(AND(Input!B19794&gt;=20,Input!B19794&lt;=700),Input!B19794,""),"")</f>
        <v/>
      </c>
      <c r="C19794">
        <f>IF(B19794="","",INT(A19794))</f>
        <v/>
      </c>
      <c r="D19794">
        <f>IF(B19794="","",HOUR(A19794))</f>
        <v/>
      </c>
    </row>
    <row r="19795">
      <c r="A19795">
        <f>Input!A19795</f>
        <v/>
      </c>
      <c r="B19795">
        <f>IF(ISNUMBER(Input!B19795),IF(AND(Input!B19795&gt;=20,Input!B19795&lt;=700),Input!B19795,""),"")</f>
        <v/>
      </c>
      <c r="C19795">
        <f>IF(B19795="","",INT(A19795))</f>
        <v/>
      </c>
      <c r="D19795">
        <f>IF(B19795="","",HOUR(A19795))</f>
        <v/>
      </c>
    </row>
    <row r="19796">
      <c r="A19796">
        <f>Input!A19796</f>
        <v/>
      </c>
      <c r="B19796">
        <f>IF(ISNUMBER(Input!B19796),IF(AND(Input!B19796&gt;=20,Input!B19796&lt;=700),Input!B19796,""),"")</f>
        <v/>
      </c>
      <c r="C19796">
        <f>IF(B19796="","",INT(A19796))</f>
        <v/>
      </c>
      <c r="D19796">
        <f>IF(B19796="","",HOUR(A19796))</f>
        <v/>
      </c>
    </row>
    <row r="19797">
      <c r="A19797">
        <f>Input!A19797</f>
        <v/>
      </c>
      <c r="B19797">
        <f>IF(ISNUMBER(Input!B19797),IF(AND(Input!B19797&gt;=20,Input!B19797&lt;=700),Input!B19797,""),"")</f>
        <v/>
      </c>
      <c r="C19797">
        <f>IF(B19797="","",INT(A19797))</f>
        <v/>
      </c>
      <c r="D19797">
        <f>IF(B19797="","",HOUR(A19797))</f>
        <v/>
      </c>
    </row>
    <row r="19798">
      <c r="A19798">
        <f>Input!A19798</f>
        <v/>
      </c>
      <c r="B19798">
        <f>IF(ISNUMBER(Input!B19798),IF(AND(Input!B19798&gt;=20,Input!B19798&lt;=700),Input!B19798,""),"")</f>
        <v/>
      </c>
      <c r="C19798">
        <f>IF(B19798="","",INT(A19798))</f>
        <v/>
      </c>
      <c r="D19798">
        <f>IF(B19798="","",HOUR(A19798))</f>
        <v/>
      </c>
    </row>
    <row r="19799">
      <c r="A19799">
        <f>Input!A19799</f>
        <v/>
      </c>
      <c r="B19799">
        <f>IF(ISNUMBER(Input!B19799),IF(AND(Input!B19799&gt;=20,Input!B19799&lt;=700),Input!B19799,""),"")</f>
        <v/>
      </c>
      <c r="C19799">
        <f>IF(B19799="","",INT(A19799))</f>
        <v/>
      </c>
      <c r="D19799">
        <f>IF(B19799="","",HOUR(A19799))</f>
        <v/>
      </c>
    </row>
    <row r="19800">
      <c r="A19800">
        <f>Input!A19800</f>
        <v/>
      </c>
      <c r="B19800">
        <f>IF(ISNUMBER(Input!B19800),IF(AND(Input!B19800&gt;=20,Input!B19800&lt;=700),Input!B19800,""),"")</f>
        <v/>
      </c>
      <c r="C19800">
        <f>IF(B19800="","",INT(A19800))</f>
        <v/>
      </c>
      <c r="D19800">
        <f>IF(B19800="","",HOUR(A19800))</f>
        <v/>
      </c>
    </row>
    <row r="19801">
      <c r="A19801">
        <f>Input!A19801</f>
        <v/>
      </c>
      <c r="B19801">
        <f>IF(ISNUMBER(Input!B19801),IF(AND(Input!B19801&gt;=20,Input!B19801&lt;=700),Input!B19801,""),"")</f>
        <v/>
      </c>
      <c r="C19801">
        <f>IF(B19801="","",INT(A19801))</f>
        <v/>
      </c>
      <c r="D19801">
        <f>IF(B19801="","",HOUR(A19801))</f>
        <v/>
      </c>
    </row>
    <row r="19802">
      <c r="A19802">
        <f>Input!A19802</f>
        <v/>
      </c>
      <c r="B19802">
        <f>IF(ISNUMBER(Input!B19802),IF(AND(Input!B19802&gt;=20,Input!B19802&lt;=700),Input!B19802,""),"")</f>
        <v/>
      </c>
      <c r="C19802">
        <f>IF(B19802="","",INT(A19802))</f>
        <v/>
      </c>
      <c r="D19802">
        <f>IF(B19802="","",HOUR(A19802))</f>
        <v/>
      </c>
    </row>
    <row r="19803">
      <c r="A19803">
        <f>Input!A19803</f>
        <v/>
      </c>
      <c r="B19803">
        <f>IF(ISNUMBER(Input!B19803),IF(AND(Input!B19803&gt;=20,Input!B19803&lt;=700),Input!B19803,""),"")</f>
        <v/>
      </c>
      <c r="C19803">
        <f>IF(B19803="","",INT(A19803))</f>
        <v/>
      </c>
      <c r="D19803">
        <f>IF(B19803="","",HOUR(A19803))</f>
        <v/>
      </c>
    </row>
    <row r="19804">
      <c r="A19804">
        <f>Input!A19804</f>
        <v/>
      </c>
      <c r="B19804">
        <f>IF(ISNUMBER(Input!B19804),IF(AND(Input!B19804&gt;=20,Input!B19804&lt;=700),Input!B19804,""),"")</f>
        <v/>
      </c>
      <c r="C19804">
        <f>IF(B19804="","",INT(A19804))</f>
        <v/>
      </c>
      <c r="D19804">
        <f>IF(B19804="","",HOUR(A19804))</f>
        <v/>
      </c>
    </row>
    <row r="19805">
      <c r="A19805">
        <f>Input!A19805</f>
        <v/>
      </c>
      <c r="B19805">
        <f>IF(ISNUMBER(Input!B19805),IF(AND(Input!B19805&gt;=20,Input!B19805&lt;=700),Input!B19805,""),"")</f>
        <v/>
      </c>
      <c r="C19805">
        <f>IF(B19805="","",INT(A19805))</f>
        <v/>
      </c>
      <c r="D19805">
        <f>IF(B19805="","",HOUR(A19805))</f>
        <v/>
      </c>
    </row>
    <row r="19806">
      <c r="A19806">
        <f>Input!A19806</f>
        <v/>
      </c>
      <c r="B19806">
        <f>IF(ISNUMBER(Input!B19806),IF(AND(Input!B19806&gt;=20,Input!B19806&lt;=700),Input!B19806,""),"")</f>
        <v/>
      </c>
      <c r="C19806">
        <f>IF(B19806="","",INT(A19806))</f>
        <v/>
      </c>
      <c r="D19806">
        <f>IF(B19806="","",HOUR(A19806))</f>
        <v/>
      </c>
    </row>
    <row r="19807">
      <c r="A19807">
        <f>Input!A19807</f>
        <v/>
      </c>
      <c r="B19807">
        <f>IF(ISNUMBER(Input!B19807),IF(AND(Input!B19807&gt;=20,Input!B19807&lt;=700),Input!B19807,""),"")</f>
        <v/>
      </c>
      <c r="C19807">
        <f>IF(B19807="","",INT(A19807))</f>
        <v/>
      </c>
      <c r="D19807">
        <f>IF(B19807="","",HOUR(A19807))</f>
        <v/>
      </c>
    </row>
    <row r="19808">
      <c r="A19808">
        <f>Input!A19808</f>
        <v/>
      </c>
      <c r="B19808">
        <f>IF(ISNUMBER(Input!B19808),IF(AND(Input!B19808&gt;=20,Input!B19808&lt;=700),Input!B19808,""),"")</f>
        <v/>
      </c>
      <c r="C19808">
        <f>IF(B19808="","",INT(A19808))</f>
        <v/>
      </c>
      <c r="D19808">
        <f>IF(B19808="","",HOUR(A19808))</f>
        <v/>
      </c>
    </row>
    <row r="19809">
      <c r="A19809">
        <f>Input!A19809</f>
        <v/>
      </c>
      <c r="B19809">
        <f>IF(ISNUMBER(Input!B19809),IF(AND(Input!B19809&gt;=20,Input!B19809&lt;=700),Input!B19809,""),"")</f>
        <v/>
      </c>
      <c r="C19809">
        <f>IF(B19809="","",INT(A19809))</f>
        <v/>
      </c>
      <c r="D19809">
        <f>IF(B19809="","",HOUR(A19809))</f>
        <v/>
      </c>
    </row>
    <row r="19810">
      <c r="A19810">
        <f>Input!A19810</f>
        <v/>
      </c>
      <c r="B19810">
        <f>IF(ISNUMBER(Input!B19810),IF(AND(Input!B19810&gt;=20,Input!B19810&lt;=700),Input!B19810,""),"")</f>
        <v/>
      </c>
      <c r="C19810">
        <f>IF(B19810="","",INT(A19810))</f>
        <v/>
      </c>
      <c r="D19810">
        <f>IF(B19810="","",HOUR(A19810))</f>
        <v/>
      </c>
    </row>
    <row r="19811">
      <c r="A19811">
        <f>Input!A19811</f>
        <v/>
      </c>
      <c r="B19811">
        <f>IF(ISNUMBER(Input!B19811),IF(AND(Input!B19811&gt;=20,Input!B19811&lt;=700),Input!B19811,""),"")</f>
        <v/>
      </c>
      <c r="C19811">
        <f>IF(B19811="","",INT(A19811))</f>
        <v/>
      </c>
      <c r="D19811">
        <f>IF(B19811="","",HOUR(A19811))</f>
        <v/>
      </c>
    </row>
    <row r="19812">
      <c r="A19812">
        <f>Input!A19812</f>
        <v/>
      </c>
      <c r="B19812">
        <f>IF(ISNUMBER(Input!B19812),IF(AND(Input!B19812&gt;=20,Input!B19812&lt;=700),Input!B19812,""),"")</f>
        <v/>
      </c>
      <c r="C19812">
        <f>IF(B19812="","",INT(A19812))</f>
        <v/>
      </c>
      <c r="D19812">
        <f>IF(B19812="","",HOUR(A19812))</f>
        <v/>
      </c>
    </row>
    <row r="19813">
      <c r="A19813">
        <f>Input!A19813</f>
        <v/>
      </c>
      <c r="B19813">
        <f>IF(ISNUMBER(Input!B19813),IF(AND(Input!B19813&gt;=20,Input!B19813&lt;=700),Input!B19813,""),"")</f>
        <v/>
      </c>
      <c r="C19813">
        <f>IF(B19813="","",INT(A19813))</f>
        <v/>
      </c>
      <c r="D19813">
        <f>IF(B19813="","",HOUR(A19813))</f>
        <v/>
      </c>
    </row>
    <row r="19814">
      <c r="A19814">
        <f>Input!A19814</f>
        <v/>
      </c>
      <c r="B19814">
        <f>IF(ISNUMBER(Input!B19814),IF(AND(Input!B19814&gt;=20,Input!B19814&lt;=700),Input!B19814,""),"")</f>
        <v/>
      </c>
      <c r="C19814">
        <f>IF(B19814="","",INT(A19814))</f>
        <v/>
      </c>
      <c r="D19814">
        <f>IF(B19814="","",HOUR(A19814))</f>
        <v/>
      </c>
    </row>
    <row r="19815">
      <c r="A19815">
        <f>Input!A19815</f>
        <v/>
      </c>
      <c r="B19815">
        <f>IF(ISNUMBER(Input!B19815),IF(AND(Input!B19815&gt;=20,Input!B19815&lt;=700),Input!B19815,""),"")</f>
        <v/>
      </c>
      <c r="C19815">
        <f>IF(B19815="","",INT(A19815))</f>
        <v/>
      </c>
      <c r="D19815">
        <f>IF(B19815="","",HOUR(A19815))</f>
        <v/>
      </c>
    </row>
    <row r="19816">
      <c r="A19816">
        <f>Input!A19816</f>
        <v/>
      </c>
      <c r="B19816">
        <f>IF(ISNUMBER(Input!B19816),IF(AND(Input!B19816&gt;=20,Input!B19816&lt;=700),Input!B19816,""),"")</f>
        <v/>
      </c>
      <c r="C19816">
        <f>IF(B19816="","",INT(A19816))</f>
        <v/>
      </c>
      <c r="D19816">
        <f>IF(B19816="","",HOUR(A19816))</f>
        <v/>
      </c>
    </row>
    <row r="19817">
      <c r="A19817">
        <f>Input!A19817</f>
        <v/>
      </c>
      <c r="B19817">
        <f>IF(ISNUMBER(Input!B19817),IF(AND(Input!B19817&gt;=20,Input!B19817&lt;=700),Input!B19817,""),"")</f>
        <v/>
      </c>
      <c r="C19817">
        <f>IF(B19817="","",INT(A19817))</f>
        <v/>
      </c>
      <c r="D19817">
        <f>IF(B19817="","",HOUR(A19817))</f>
        <v/>
      </c>
    </row>
    <row r="19818">
      <c r="A19818">
        <f>Input!A19818</f>
        <v/>
      </c>
      <c r="B19818">
        <f>IF(ISNUMBER(Input!B19818),IF(AND(Input!B19818&gt;=20,Input!B19818&lt;=700),Input!B19818,""),"")</f>
        <v/>
      </c>
      <c r="C19818">
        <f>IF(B19818="","",INT(A19818))</f>
        <v/>
      </c>
      <c r="D19818">
        <f>IF(B19818="","",HOUR(A19818))</f>
        <v/>
      </c>
    </row>
    <row r="19819">
      <c r="A19819">
        <f>Input!A19819</f>
        <v/>
      </c>
      <c r="B19819">
        <f>IF(ISNUMBER(Input!B19819),IF(AND(Input!B19819&gt;=20,Input!B19819&lt;=700),Input!B19819,""),"")</f>
        <v/>
      </c>
      <c r="C19819">
        <f>IF(B19819="","",INT(A19819))</f>
        <v/>
      </c>
      <c r="D19819">
        <f>IF(B19819="","",HOUR(A19819))</f>
        <v/>
      </c>
    </row>
    <row r="19820">
      <c r="A19820">
        <f>Input!A19820</f>
        <v/>
      </c>
      <c r="B19820">
        <f>IF(ISNUMBER(Input!B19820),IF(AND(Input!B19820&gt;=20,Input!B19820&lt;=700),Input!B19820,""),"")</f>
        <v/>
      </c>
      <c r="C19820">
        <f>IF(B19820="","",INT(A19820))</f>
        <v/>
      </c>
      <c r="D19820">
        <f>IF(B19820="","",HOUR(A19820))</f>
        <v/>
      </c>
    </row>
    <row r="19821">
      <c r="A19821">
        <f>Input!A19821</f>
        <v/>
      </c>
      <c r="B19821">
        <f>IF(ISNUMBER(Input!B19821),IF(AND(Input!B19821&gt;=20,Input!B19821&lt;=700),Input!B19821,""),"")</f>
        <v/>
      </c>
      <c r="C19821">
        <f>IF(B19821="","",INT(A19821))</f>
        <v/>
      </c>
      <c r="D19821">
        <f>IF(B19821="","",HOUR(A19821))</f>
        <v/>
      </c>
    </row>
    <row r="19822">
      <c r="A19822">
        <f>Input!A19822</f>
        <v/>
      </c>
      <c r="B19822">
        <f>IF(ISNUMBER(Input!B19822),IF(AND(Input!B19822&gt;=20,Input!B19822&lt;=700),Input!B19822,""),"")</f>
        <v/>
      </c>
      <c r="C19822">
        <f>IF(B19822="","",INT(A19822))</f>
        <v/>
      </c>
      <c r="D19822">
        <f>IF(B19822="","",HOUR(A19822))</f>
        <v/>
      </c>
    </row>
    <row r="19823">
      <c r="A19823">
        <f>Input!A19823</f>
        <v/>
      </c>
      <c r="B19823">
        <f>IF(ISNUMBER(Input!B19823),IF(AND(Input!B19823&gt;=20,Input!B19823&lt;=700),Input!B19823,""),"")</f>
        <v/>
      </c>
      <c r="C19823">
        <f>IF(B19823="","",INT(A19823))</f>
        <v/>
      </c>
      <c r="D19823">
        <f>IF(B19823="","",HOUR(A19823))</f>
        <v/>
      </c>
    </row>
    <row r="19824">
      <c r="A19824">
        <f>Input!A19824</f>
        <v/>
      </c>
      <c r="B19824">
        <f>IF(ISNUMBER(Input!B19824),IF(AND(Input!B19824&gt;=20,Input!B19824&lt;=700),Input!B19824,""),"")</f>
        <v/>
      </c>
      <c r="C19824">
        <f>IF(B19824="","",INT(A19824))</f>
        <v/>
      </c>
      <c r="D19824">
        <f>IF(B19824="","",HOUR(A19824))</f>
        <v/>
      </c>
    </row>
    <row r="19825">
      <c r="A19825">
        <f>Input!A19825</f>
        <v/>
      </c>
      <c r="B19825">
        <f>IF(ISNUMBER(Input!B19825),IF(AND(Input!B19825&gt;=20,Input!B19825&lt;=700),Input!B19825,""),"")</f>
        <v/>
      </c>
      <c r="C19825">
        <f>IF(B19825="","",INT(A19825))</f>
        <v/>
      </c>
      <c r="D19825">
        <f>IF(B19825="","",HOUR(A19825))</f>
        <v/>
      </c>
    </row>
    <row r="19826">
      <c r="A19826">
        <f>Input!A19826</f>
        <v/>
      </c>
      <c r="B19826">
        <f>IF(ISNUMBER(Input!B19826),IF(AND(Input!B19826&gt;=20,Input!B19826&lt;=700),Input!B19826,""),"")</f>
        <v/>
      </c>
      <c r="C19826">
        <f>IF(B19826="","",INT(A19826))</f>
        <v/>
      </c>
      <c r="D19826">
        <f>IF(B19826="","",HOUR(A19826))</f>
        <v/>
      </c>
    </row>
    <row r="19827">
      <c r="A19827">
        <f>Input!A19827</f>
        <v/>
      </c>
      <c r="B19827">
        <f>IF(ISNUMBER(Input!B19827),IF(AND(Input!B19827&gt;=20,Input!B19827&lt;=700),Input!B19827,""),"")</f>
        <v/>
      </c>
      <c r="C19827">
        <f>IF(B19827="","",INT(A19827))</f>
        <v/>
      </c>
      <c r="D19827">
        <f>IF(B19827="","",HOUR(A19827))</f>
        <v/>
      </c>
    </row>
    <row r="19828">
      <c r="A19828">
        <f>Input!A19828</f>
        <v/>
      </c>
      <c r="B19828">
        <f>IF(ISNUMBER(Input!B19828),IF(AND(Input!B19828&gt;=20,Input!B19828&lt;=700),Input!B19828,""),"")</f>
        <v/>
      </c>
      <c r="C19828">
        <f>IF(B19828="","",INT(A19828))</f>
        <v/>
      </c>
      <c r="D19828">
        <f>IF(B19828="","",HOUR(A19828))</f>
        <v/>
      </c>
    </row>
    <row r="19829">
      <c r="A19829">
        <f>Input!A19829</f>
        <v/>
      </c>
      <c r="B19829">
        <f>IF(ISNUMBER(Input!B19829),IF(AND(Input!B19829&gt;=20,Input!B19829&lt;=700),Input!B19829,""),"")</f>
        <v/>
      </c>
      <c r="C19829">
        <f>IF(B19829="","",INT(A19829))</f>
        <v/>
      </c>
      <c r="D19829">
        <f>IF(B19829="","",HOUR(A19829))</f>
        <v/>
      </c>
    </row>
    <row r="19830">
      <c r="A19830">
        <f>Input!A19830</f>
        <v/>
      </c>
      <c r="B19830">
        <f>IF(ISNUMBER(Input!B19830),IF(AND(Input!B19830&gt;=20,Input!B19830&lt;=700),Input!B19830,""),"")</f>
        <v/>
      </c>
      <c r="C19830">
        <f>IF(B19830="","",INT(A19830))</f>
        <v/>
      </c>
      <c r="D19830">
        <f>IF(B19830="","",HOUR(A19830))</f>
        <v/>
      </c>
    </row>
    <row r="19831">
      <c r="A19831">
        <f>Input!A19831</f>
        <v/>
      </c>
      <c r="B19831">
        <f>IF(ISNUMBER(Input!B19831),IF(AND(Input!B19831&gt;=20,Input!B19831&lt;=700),Input!B19831,""),"")</f>
        <v/>
      </c>
      <c r="C19831">
        <f>IF(B19831="","",INT(A19831))</f>
        <v/>
      </c>
      <c r="D19831">
        <f>IF(B19831="","",HOUR(A19831))</f>
        <v/>
      </c>
    </row>
    <row r="19832">
      <c r="A19832">
        <f>Input!A19832</f>
        <v/>
      </c>
      <c r="B19832">
        <f>IF(ISNUMBER(Input!B19832),IF(AND(Input!B19832&gt;=20,Input!B19832&lt;=700),Input!B19832,""),"")</f>
        <v/>
      </c>
      <c r="C19832">
        <f>IF(B19832="","",INT(A19832))</f>
        <v/>
      </c>
      <c r="D19832">
        <f>IF(B19832="","",HOUR(A19832))</f>
        <v/>
      </c>
    </row>
    <row r="19833">
      <c r="A19833">
        <f>Input!A19833</f>
        <v/>
      </c>
      <c r="B19833">
        <f>IF(ISNUMBER(Input!B19833),IF(AND(Input!B19833&gt;=20,Input!B19833&lt;=700),Input!B19833,""),"")</f>
        <v/>
      </c>
      <c r="C19833">
        <f>IF(B19833="","",INT(A19833))</f>
        <v/>
      </c>
      <c r="D19833">
        <f>IF(B19833="","",HOUR(A19833))</f>
        <v/>
      </c>
    </row>
    <row r="19834">
      <c r="A19834">
        <f>Input!A19834</f>
        <v/>
      </c>
      <c r="B19834">
        <f>IF(ISNUMBER(Input!B19834),IF(AND(Input!B19834&gt;=20,Input!B19834&lt;=700),Input!B19834,""),"")</f>
        <v/>
      </c>
      <c r="C19834">
        <f>IF(B19834="","",INT(A19834))</f>
        <v/>
      </c>
      <c r="D19834">
        <f>IF(B19834="","",HOUR(A19834))</f>
        <v/>
      </c>
    </row>
    <row r="19835">
      <c r="A19835">
        <f>Input!A19835</f>
        <v/>
      </c>
      <c r="B19835">
        <f>IF(ISNUMBER(Input!B19835),IF(AND(Input!B19835&gt;=20,Input!B19835&lt;=700),Input!B19835,""),"")</f>
        <v/>
      </c>
      <c r="C19835">
        <f>IF(B19835="","",INT(A19835))</f>
        <v/>
      </c>
      <c r="D19835">
        <f>IF(B19835="","",HOUR(A19835))</f>
        <v/>
      </c>
    </row>
    <row r="19836">
      <c r="A19836">
        <f>Input!A19836</f>
        <v/>
      </c>
      <c r="B19836">
        <f>IF(ISNUMBER(Input!B19836),IF(AND(Input!B19836&gt;=20,Input!B19836&lt;=700),Input!B19836,""),"")</f>
        <v/>
      </c>
      <c r="C19836">
        <f>IF(B19836="","",INT(A19836))</f>
        <v/>
      </c>
      <c r="D19836">
        <f>IF(B19836="","",HOUR(A19836))</f>
        <v/>
      </c>
    </row>
    <row r="19837">
      <c r="A19837">
        <f>Input!A19837</f>
        <v/>
      </c>
      <c r="B19837">
        <f>IF(ISNUMBER(Input!B19837),IF(AND(Input!B19837&gt;=20,Input!B19837&lt;=700),Input!B19837,""),"")</f>
        <v/>
      </c>
      <c r="C19837">
        <f>IF(B19837="","",INT(A19837))</f>
        <v/>
      </c>
      <c r="D19837">
        <f>IF(B19837="","",HOUR(A19837))</f>
        <v/>
      </c>
    </row>
    <row r="19838">
      <c r="A19838">
        <f>Input!A19838</f>
        <v/>
      </c>
      <c r="B19838">
        <f>IF(ISNUMBER(Input!B19838),IF(AND(Input!B19838&gt;=20,Input!B19838&lt;=700),Input!B19838,""),"")</f>
        <v/>
      </c>
      <c r="C19838">
        <f>IF(B19838="","",INT(A19838))</f>
        <v/>
      </c>
      <c r="D19838">
        <f>IF(B19838="","",HOUR(A19838))</f>
        <v/>
      </c>
    </row>
    <row r="19839">
      <c r="A19839">
        <f>Input!A19839</f>
        <v/>
      </c>
      <c r="B19839">
        <f>IF(ISNUMBER(Input!B19839),IF(AND(Input!B19839&gt;=20,Input!B19839&lt;=700),Input!B19839,""),"")</f>
        <v/>
      </c>
      <c r="C19839">
        <f>IF(B19839="","",INT(A19839))</f>
        <v/>
      </c>
      <c r="D19839">
        <f>IF(B19839="","",HOUR(A19839))</f>
        <v/>
      </c>
    </row>
    <row r="19840">
      <c r="A19840">
        <f>Input!A19840</f>
        <v/>
      </c>
      <c r="B19840">
        <f>IF(ISNUMBER(Input!B19840),IF(AND(Input!B19840&gt;=20,Input!B19840&lt;=700),Input!B19840,""),"")</f>
        <v/>
      </c>
      <c r="C19840">
        <f>IF(B19840="","",INT(A19840))</f>
        <v/>
      </c>
      <c r="D19840">
        <f>IF(B19840="","",HOUR(A19840))</f>
        <v/>
      </c>
    </row>
    <row r="19841">
      <c r="A19841">
        <f>Input!A19841</f>
        <v/>
      </c>
      <c r="B19841">
        <f>IF(ISNUMBER(Input!B19841),IF(AND(Input!B19841&gt;=20,Input!B19841&lt;=700),Input!B19841,""),"")</f>
        <v/>
      </c>
      <c r="C19841">
        <f>IF(B19841="","",INT(A19841))</f>
        <v/>
      </c>
      <c r="D19841">
        <f>IF(B19841="","",HOUR(A19841))</f>
        <v/>
      </c>
    </row>
    <row r="19842">
      <c r="A19842">
        <f>Input!A19842</f>
        <v/>
      </c>
      <c r="B19842">
        <f>IF(ISNUMBER(Input!B19842),IF(AND(Input!B19842&gt;=20,Input!B19842&lt;=700),Input!B19842,""),"")</f>
        <v/>
      </c>
      <c r="C19842">
        <f>IF(B19842="","",INT(A19842))</f>
        <v/>
      </c>
      <c r="D19842">
        <f>IF(B19842="","",HOUR(A19842))</f>
        <v/>
      </c>
    </row>
    <row r="19843">
      <c r="A19843">
        <f>Input!A19843</f>
        <v/>
      </c>
      <c r="B19843">
        <f>IF(ISNUMBER(Input!B19843),IF(AND(Input!B19843&gt;=20,Input!B19843&lt;=700),Input!B19843,""),"")</f>
        <v/>
      </c>
      <c r="C19843">
        <f>IF(B19843="","",INT(A19843))</f>
        <v/>
      </c>
      <c r="D19843">
        <f>IF(B19843="","",HOUR(A19843))</f>
        <v/>
      </c>
    </row>
    <row r="19844">
      <c r="A19844">
        <f>Input!A19844</f>
        <v/>
      </c>
      <c r="B19844">
        <f>IF(ISNUMBER(Input!B19844),IF(AND(Input!B19844&gt;=20,Input!B19844&lt;=700),Input!B19844,""),"")</f>
        <v/>
      </c>
      <c r="C19844">
        <f>IF(B19844="","",INT(A19844))</f>
        <v/>
      </c>
      <c r="D19844">
        <f>IF(B19844="","",HOUR(A19844))</f>
        <v/>
      </c>
    </row>
    <row r="19845">
      <c r="A19845">
        <f>Input!A19845</f>
        <v/>
      </c>
      <c r="B19845">
        <f>IF(ISNUMBER(Input!B19845),IF(AND(Input!B19845&gt;=20,Input!B19845&lt;=700),Input!B19845,""),"")</f>
        <v/>
      </c>
      <c r="C19845">
        <f>IF(B19845="","",INT(A19845))</f>
        <v/>
      </c>
      <c r="D19845">
        <f>IF(B19845="","",HOUR(A19845))</f>
        <v/>
      </c>
    </row>
    <row r="19846">
      <c r="A19846">
        <f>Input!A19846</f>
        <v/>
      </c>
      <c r="B19846">
        <f>IF(ISNUMBER(Input!B19846),IF(AND(Input!B19846&gt;=20,Input!B19846&lt;=700),Input!B19846,""),"")</f>
        <v/>
      </c>
      <c r="C19846">
        <f>IF(B19846="","",INT(A19846))</f>
        <v/>
      </c>
      <c r="D19846">
        <f>IF(B19846="","",HOUR(A19846))</f>
        <v/>
      </c>
    </row>
    <row r="19847">
      <c r="A19847">
        <f>Input!A19847</f>
        <v/>
      </c>
      <c r="B19847">
        <f>IF(ISNUMBER(Input!B19847),IF(AND(Input!B19847&gt;=20,Input!B19847&lt;=700),Input!B19847,""),"")</f>
        <v/>
      </c>
      <c r="C19847">
        <f>IF(B19847="","",INT(A19847))</f>
        <v/>
      </c>
      <c r="D19847">
        <f>IF(B19847="","",HOUR(A19847))</f>
        <v/>
      </c>
    </row>
    <row r="19848">
      <c r="A19848">
        <f>Input!A19848</f>
        <v/>
      </c>
      <c r="B19848">
        <f>IF(ISNUMBER(Input!B19848),IF(AND(Input!B19848&gt;=20,Input!B19848&lt;=700),Input!B19848,""),"")</f>
        <v/>
      </c>
      <c r="C19848">
        <f>IF(B19848="","",INT(A19848))</f>
        <v/>
      </c>
      <c r="D19848">
        <f>IF(B19848="","",HOUR(A19848))</f>
        <v/>
      </c>
    </row>
    <row r="19849">
      <c r="A19849">
        <f>Input!A19849</f>
        <v/>
      </c>
      <c r="B19849">
        <f>IF(ISNUMBER(Input!B19849),IF(AND(Input!B19849&gt;=20,Input!B19849&lt;=700),Input!B19849,""),"")</f>
        <v/>
      </c>
      <c r="C19849">
        <f>IF(B19849="","",INT(A19849))</f>
        <v/>
      </c>
      <c r="D19849">
        <f>IF(B19849="","",HOUR(A19849))</f>
        <v/>
      </c>
    </row>
    <row r="19850">
      <c r="A19850">
        <f>Input!A19850</f>
        <v/>
      </c>
      <c r="B19850">
        <f>IF(ISNUMBER(Input!B19850),IF(AND(Input!B19850&gt;=20,Input!B19850&lt;=700),Input!B19850,""),"")</f>
        <v/>
      </c>
      <c r="C19850">
        <f>IF(B19850="","",INT(A19850))</f>
        <v/>
      </c>
      <c r="D19850">
        <f>IF(B19850="","",HOUR(A19850))</f>
        <v/>
      </c>
    </row>
    <row r="19851">
      <c r="A19851">
        <f>Input!A19851</f>
        <v/>
      </c>
      <c r="B19851">
        <f>IF(ISNUMBER(Input!B19851),IF(AND(Input!B19851&gt;=20,Input!B19851&lt;=700),Input!B19851,""),"")</f>
        <v/>
      </c>
      <c r="C19851">
        <f>IF(B19851="","",INT(A19851))</f>
        <v/>
      </c>
      <c r="D19851">
        <f>IF(B19851="","",HOUR(A19851))</f>
        <v/>
      </c>
    </row>
    <row r="19852">
      <c r="A19852">
        <f>Input!A19852</f>
        <v/>
      </c>
      <c r="B19852">
        <f>IF(ISNUMBER(Input!B19852),IF(AND(Input!B19852&gt;=20,Input!B19852&lt;=700),Input!B19852,""),"")</f>
        <v/>
      </c>
      <c r="C19852">
        <f>IF(B19852="","",INT(A19852))</f>
        <v/>
      </c>
      <c r="D19852">
        <f>IF(B19852="","",HOUR(A19852))</f>
        <v/>
      </c>
    </row>
    <row r="19853">
      <c r="A19853">
        <f>Input!A19853</f>
        <v/>
      </c>
      <c r="B19853">
        <f>IF(ISNUMBER(Input!B19853),IF(AND(Input!B19853&gt;=20,Input!B19853&lt;=700),Input!B19853,""),"")</f>
        <v/>
      </c>
      <c r="C19853">
        <f>IF(B19853="","",INT(A19853))</f>
        <v/>
      </c>
      <c r="D19853">
        <f>IF(B19853="","",HOUR(A19853))</f>
        <v/>
      </c>
    </row>
    <row r="19854">
      <c r="A19854">
        <f>Input!A19854</f>
        <v/>
      </c>
      <c r="B19854">
        <f>IF(ISNUMBER(Input!B19854),IF(AND(Input!B19854&gt;=20,Input!B19854&lt;=700),Input!B19854,""),"")</f>
        <v/>
      </c>
      <c r="C19854">
        <f>IF(B19854="","",INT(A19854))</f>
        <v/>
      </c>
      <c r="D19854">
        <f>IF(B19854="","",HOUR(A19854))</f>
        <v/>
      </c>
    </row>
    <row r="19855">
      <c r="A19855">
        <f>Input!A19855</f>
        <v/>
      </c>
      <c r="B19855">
        <f>IF(ISNUMBER(Input!B19855),IF(AND(Input!B19855&gt;=20,Input!B19855&lt;=700),Input!B19855,""),"")</f>
        <v/>
      </c>
      <c r="C19855">
        <f>IF(B19855="","",INT(A19855))</f>
        <v/>
      </c>
      <c r="D19855">
        <f>IF(B19855="","",HOUR(A19855))</f>
        <v/>
      </c>
    </row>
    <row r="19856">
      <c r="A19856">
        <f>Input!A19856</f>
        <v/>
      </c>
      <c r="B19856">
        <f>IF(ISNUMBER(Input!B19856),IF(AND(Input!B19856&gt;=20,Input!B19856&lt;=700),Input!B19856,""),"")</f>
        <v/>
      </c>
      <c r="C19856">
        <f>IF(B19856="","",INT(A19856))</f>
        <v/>
      </c>
      <c r="D19856">
        <f>IF(B19856="","",HOUR(A19856))</f>
        <v/>
      </c>
    </row>
    <row r="19857">
      <c r="A19857">
        <f>Input!A19857</f>
        <v/>
      </c>
      <c r="B19857">
        <f>IF(ISNUMBER(Input!B19857),IF(AND(Input!B19857&gt;=20,Input!B19857&lt;=700),Input!B19857,""),"")</f>
        <v/>
      </c>
      <c r="C19857">
        <f>IF(B19857="","",INT(A19857))</f>
        <v/>
      </c>
      <c r="D19857">
        <f>IF(B19857="","",HOUR(A19857))</f>
        <v/>
      </c>
    </row>
    <row r="19858">
      <c r="A19858">
        <f>Input!A19858</f>
        <v/>
      </c>
      <c r="B19858">
        <f>IF(ISNUMBER(Input!B19858),IF(AND(Input!B19858&gt;=20,Input!B19858&lt;=700),Input!B19858,""),"")</f>
        <v/>
      </c>
      <c r="C19858">
        <f>IF(B19858="","",INT(A19858))</f>
        <v/>
      </c>
      <c r="D19858">
        <f>IF(B19858="","",HOUR(A19858))</f>
        <v/>
      </c>
    </row>
    <row r="19859">
      <c r="A19859">
        <f>Input!A19859</f>
        <v/>
      </c>
      <c r="B19859">
        <f>IF(ISNUMBER(Input!B19859),IF(AND(Input!B19859&gt;=20,Input!B19859&lt;=700),Input!B19859,""),"")</f>
        <v/>
      </c>
      <c r="C19859">
        <f>IF(B19859="","",INT(A19859))</f>
        <v/>
      </c>
      <c r="D19859">
        <f>IF(B19859="","",HOUR(A19859))</f>
        <v/>
      </c>
    </row>
    <row r="19860">
      <c r="A19860">
        <f>Input!A19860</f>
        <v/>
      </c>
      <c r="B19860">
        <f>IF(ISNUMBER(Input!B19860),IF(AND(Input!B19860&gt;=20,Input!B19860&lt;=700),Input!B19860,""),"")</f>
        <v/>
      </c>
      <c r="C19860">
        <f>IF(B19860="","",INT(A19860))</f>
        <v/>
      </c>
      <c r="D19860">
        <f>IF(B19860="","",HOUR(A19860))</f>
        <v/>
      </c>
    </row>
    <row r="19861">
      <c r="A19861">
        <f>Input!A19861</f>
        <v/>
      </c>
      <c r="B19861">
        <f>IF(ISNUMBER(Input!B19861),IF(AND(Input!B19861&gt;=20,Input!B19861&lt;=700),Input!B19861,""),"")</f>
        <v/>
      </c>
      <c r="C19861">
        <f>IF(B19861="","",INT(A19861))</f>
        <v/>
      </c>
      <c r="D19861">
        <f>IF(B19861="","",HOUR(A19861))</f>
        <v/>
      </c>
    </row>
    <row r="19862">
      <c r="A19862">
        <f>Input!A19862</f>
        <v/>
      </c>
      <c r="B19862">
        <f>IF(ISNUMBER(Input!B19862),IF(AND(Input!B19862&gt;=20,Input!B19862&lt;=700),Input!B19862,""),"")</f>
        <v/>
      </c>
      <c r="C19862">
        <f>IF(B19862="","",INT(A19862))</f>
        <v/>
      </c>
      <c r="D19862">
        <f>IF(B19862="","",HOUR(A19862))</f>
        <v/>
      </c>
    </row>
    <row r="19863">
      <c r="A19863">
        <f>Input!A19863</f>
        <v/>
      </c>
      <c r="B19863">
        <f>IF(ISNUMBER(Input!B19863),IF(AND(Input!B19863&gt;=20,Input!B19863&lt;=700),Input!B19863,""),"")</f>
        <v/>
      </c>
      <c r="C19863">
        <f>IF(B19863="","",INT(A19863))</f>
        <v/>
      </c>
      <c r="D19863">
        <f>IF(B19863="","",HOUR(A19863))</f>
        <v/>
      </c>
    </row>
    <row r="19864">
      <c r="A19864">
        <f>Input!A19864</f>
        <v/>
      </c>
      <c r="B19864">
        <f>IF(ISNUMBER(Input!B19864),IF(AND(Input!B19864&gt;=20,Input!B19864&lt;=700),Input!B19864,""),"")</f>
        <v/>
      </c>
      <c r="C19864">
        <f>IF(B19864="","",INT(A19864))</f>
        <v/>
      </c>
      <c r="D19864">
        <f>IF(B19864="","",HOUR(A19864))</f>
        <v/>
      </c>
    </row>
    <row r="19865">
      <c r="A19865">
        <f>Input!A19865</f>
        <v/>
      </c>
      <c r="B19865">
        <f>IF(ISNUMBER(Input!B19865),IF(AND(Input!B19865&gt;=20,Input!B19865&lt;=700),Input!B19865,""),"")</f>
        <v/>
      </c>
      <c r="C19865">
        <f>IF(B19865="","",INT(A19865))</f>
        <v/>
      </c>
      <c r="D19865">
        <f>IF(B19865="","",HOUR(A19865))</f>
        <v/>
      </c>
    </row>
    <row r="19866">
      <c r="A19866">
        <f>Input!A19866</f>
        <v/>
      </c>
      <c r="B19866">
        <f>IF(ISNUMBER(Input!B19866),IF(AND(Input!B19866&gt;=20,Input!B19866&lt;=700),Input!B19866,""),"")</f>
        <v/>
      </c>
      <c r="C19866">
        <f>IF(B19866="","",INT(A19866))</f>
        <v/>
      </c>
      <c r="D19866">
        <f>IF(B19866="","",HOUR(A19866))</f>
        <v/>
      </c>
    </row>
    <row r="19867">
      <c r="A19867">
        <f>Input!A19867</f>
        <v/>
      </c>
      <c r="B19867">
        <f>IF(ISNUMBER(Input!B19867),IF(AND(Input!B19867&gt;=20,Input!B19867&lt;=700),Input!B19867,""),"")</f>
        <v/>
      </c>
      <c r="C19867">
        <f>IF(B19867="","",INT(A19867))</f>
        <v/>
      </c>
      <c r="D19867">
        <f>IF(B19867="","",HOUR(A19867))</f>
        <v/>
      </c>
    </row>
    <row r="19868">
      <c r="A19868">
        <f>Input!A19868</f>
        <v/>
      </c>
      <c r="B19868">
        <f>IF(ISNUMBER(Input!B19868),IF(AND(Input!B19868&gt;=20,Input!B19868&lt;=700),Input!B19868,""),"")</f>
        <v/>
      </c>
      <c r="C19868">
        <f>IF(B19868="","",INT(A19868))</f>
        <v/>
      </c>
      <c r="D19868">
        <f>IF(B19868="","",HOUR(A19868))</f>
        <v/>
      </c>
    </row>
    <row r="19869">
      <c r="A19869">
        <f>Input!A19869</f>
        <v/>
      </c>
      <c r="B19869">
        <f>IF(ISNUMBER(Input!B19869),IF(AND(Input!B19869&gt;=20,Input!B19869&lt;=700),Input!B19869,""),"")</f>
        <v/>
      </c>
      <c r="C19869">
        <f>IF(B19869="","",INT(A19869))</f>
        <v/>
      </c>
      <c r="D19869">
        <f>IF(B19869="","",HOUR(A19869))</f>
        <v/>
      </c>
    </row>
    <row r="19870">
      <c r="A19870">
        <f>Input!A19870</f>
        <v/>
      </c>
      <c r="B19870">
        <f>IF(ISNUMBER(Input!B19870),IF(AND(Input!B19870&gt;=20,Input!B19870&lt;=700),Input!B19870,""),"")</f>
        <v/>
      </c>
      <c r="C19870">
        <f>IF(B19870="","",INT(A19870))</f>
        <v/>
      </c>
      <c r="D19870">
        <f>IF(B19870="","",HOUR(A19870))</f>
        <v/>
      </c>
    </row>
    <row r="19871">
      <c r="A19871">
        <f>Input!A19871</f>
        <v/>
      </c>
      <c r="B19871">
        <f>IF(ISNUMBER(Input!B19871),IF(AND(Input!B19871&gt;=20,Input!B19871&lt;=700),Input!B19871,""),"")</f>
        <v/>
      </c>
      <c r="C19871">
        <f>IF(B19871="","",INT(A19871))</f>
        <v/>
      </c>
      <c r="D19871">
        <f>IF(B19871="","",HOUR(A19871))</f>
        <v/>
      </c>
    </row>
    <row r="19872">
      <c r="A19872">
        <f>Input!A19872</f>
        <v/>
      </c>
      <c r="B19872">
        <f>IF(ISNUMBER(Input!B19872),IF(AND(Input!B19872&gt;=20,Input!B19872&lt;=700),Input!B19872,""),"")</f>
        <v/>
      </c>
      <c r="C19872">
        <f>IF(B19872="","",INT(A19872))</f>
        <v/>
      </c>
      <c r="D19872">
        <f>IF(B19872="","",HOUR(A19872))</f>
        <v/>
      </c>
    </row>
    <row r="19873">
      <c r="A19873">
        <f>Input!A19873</f>
        <v/>
      </c>
      <c r="B19873">
        <f>IF(ISNUMBER(Input!B19873),IF(AND(Input!B19873&gt;=20,Input!B19873&lt;=700),Input!B19873,""),"")</f>
        <v/>
      </c>
      <c r="C19873">
        <f>IF(B19873="","",INT(A19873))</f>
        <v/>
      </c>
      <c r="D19873">
        <f>IF(B19873="","",HOUR(A19873))</f>
        <v/>
      </c>
    </row>
    <row r="19874">
      <c r="A19874">
        <f>Input!A19874</f>
        <v/>
      </c>
      <c r="B19874">
        <f>IF(ISNUMBER(Input!B19874),IF(AND(Input!B19874&gt;=20,Input!B19874&lt;=700),Input!B19874,""),"")</f>
        <v/>
      </c>
      <c r="C19874">
        <f>IF(B19874="","",INT(A19874))</f>
        <v/>
      </c>
      <c r="D19874">
        <f>IF(B19874="","",HOUR(A19874))</f>
        <v/>
      </c>
    </row>
    <row r="19875">
      <c r="A19875">
        <f>Input!A19875</f>
        <v/>
      </c>
      <c r="B19875">
        <f>IF(ISNUMBER(Input!B19875),IF(AND(Input!B19875&gt;=20,Input!B19875&lt;=700),Input!B19875,""),"")</f>
        <v/>
      </c>
      <c r="C19875">
        <f>IF(B19875="","",INT(A19875))</f>
        <v/>
      </c>
      <c r="D19875">
        <f>IF(B19875="","",HOUR(A19875))</f>
        <v/>
      </c>
    </row>
    <row r="19876">
      <c r="A19876">
        <f>Input!A19876</f>
        <v/>
      </c>
      <c r="B19876">
        <f>IF(ISNUMBER(Input!B19876),IF(AND(Input!B19876&gt;=20,Input!B19876&lt;=700),Input!B19876,""),"")</f>
        <v/>
      </c>
      <c r="C19876">
        <f>IF(B19876="","",INT(A19876))</f>
        <v/>
      </c>
      <c r="D19876">
        <f>IF(B19876="","",HOUR(A19876))</f>
        <v/>
      </c>
    </row>
    <row r="19877">
      <c r="A19877">
        <f>Input!A19877</f>
        <v/>
      </c>
      <c r="B19877">
        <f>IF(ISNUMBER(Input!B19877),IF(AND(Input!B19877&gt;=20,Input!B19877&lt;=700),Input!B19877,""),"")</f>
        <v/>
      </c>
      <c r="C19877">
        <f>IF(B19877="","",INT(A19877))</f>
        <v/>
      </c>
      <c r="D19877">
        <f>IF(B19877="","",HOUR(A19877))</f>
        <v/>
      </c>
    </row>
    <row r="19878">
      <c r="A19878">
        <f>Input!A19878</f>
        <v/>
      </c>
      <c r="B19878">
        <f>IF(ISNUMBER(Input!B19878),IF(AND(Input!B19878&gt;=20,Input!B19878&lt;=700),Input!B19878,""),"")</f>
        <v/>
      </c>
      <c r="C19878">
        <f>IF(B19878="","",INT(A19878))</f>
        <v/>
      </c>
      <c r="D19878">
        <f>IF(B19878="","",HOUR(A19878))</f>
        <v/>
      </c>
    </row>
    <row r="19879">
      <c r="A19879">
        <f>Input!A19879</f>
        <v/>
      </c>
      <c r="B19879">
        <f>IF(ISNUMBER(Input!B19879),IF(AND(Input!B19879&gt;=20,Input!B19879&lt;=700),Input!B19879,""),"")</f>
        <v/>
      </c>
      <c r="C19879">
        <f>IF(B19879="","",INT(A19879))</f>
        <v/>
      </c>
      <c r="D19879">
        <f>IF(B19879="","",HOUR(A19879))</f>
        <v/>
      </c>
    </row>
    <row r="19880">
      <c r="A19880">
        <f>Input!A19880</f>
        <v/>
      </c>
      <c r="B19880">
        <f>IF(ISNUMBER(Input!B19880),IF(AND(Input!B19880&gt;=20,Input!B19880&lt;=700),Input!B19880,""),"")</f>
        <v/>
      </c>
      <c r="C19880">
        <f>IF(B19880="","",INT(A19880))</f>
        <v/>
      </c>
      <c r="D19880">
        <f>IF(B19880="","",HOUR(A19880))</f>
        <v/>
      </c>
    </row>
    <row r="19881">
      <c r="A19881">
        <f>Input!A19881</f>
        <v/>
      </c>
      <c r="B19881">
        <f>IF(ISNUMBER(Input!B19881),IF(AND(Input!B19881&gt;=20,Input!B19881&lt;=700),Input!B19881,""),"")</f>
        <v/>
      </c>
      <c r="C19881">
        <f>IF(B19881="","",INT(A19881))</f>
        <v/>
      </c>
      <c r="D19881">
        <f>IF(B19881="","",HOUR(A19881))</f>
        <v/>
      </c>
    </row>
    <row r="19882">
      <c r="A19882">
        <f>Input!A19882</f>
        <v/>
      </c>
      <c r="B19882">
        <f>IF(ISNUMBER(Input!B19882),IF(AND(Input!B19882&gt;=20,Input!B19882&lt;=700),Input!B19882,""),"")</f>
        <v/>
      </c>
      <c r="C19882">
        <f>IF(B19882="","",INT(A19882))</f>
        <v/>
      </c>
      <c r="D19882">
        <f>IF(B19882="","",HOUR(A19882))</f>
        <v/>
      </c>
    </row>
    <row r="19883">
      <c r="A19883">
        <f>Input!A19883</f>
        <v/>
      </c>
      <c r="B19883">
        <f>IF(ISNUMBER(Input!B19883),IF(AND(Input!B19883&gt;=20,Input!B19883&lt;=700),Input!B19883,""),"")</f>
        <v/>
      </c>
      <c r="C19883">
        <f>IF(B19883="","",INT(A19883))</f>
        <v/>
      </c>
      <c r="D19883">
        <f>IF(B19883="","",HOUR(A19883))</f>
        <v/>
      </c>
    </row>
    <row r="19884">
      <c r="A19884">
        <f>Input!A19884</f>
        <v/>
      </c>
      <c r="B19884">
        <f>IF(ISNUMBER(Input!B19884),IF(AND(Input!B19884&gt;=20,Input!B19884&lt;=700),Input!B19884,""),"")</f>
        <v/>
      </c>
      <c r="C19884">
        <f>IF(B19884="","",INT(A19884))</f>
        <v/>
      </c>
      <c r="D19884">
        <f>IF(B19884="","",HOUR(A19884))</f>
        <v/>
      </c>
    </row>
    <row r="19885">
      <c r="A19885">
        <f>Input!A19885</f>
        <v/>
      </c>
      <c r="B19885">
        <f>IF(ISNUMBER(Input!B19885),IF(AND(Input!B19885&gt;=20,Input!B19885&lt;=700),Input!B19885,""),"")</f>
        <v/>
      </c>
      <c r="C19885">
        <f>IF(B19885="","",INT(A19885))</f>
        <v/>
      </c>
      <c r="D19885">
        <f>IF(B19885="","",HOUR(A19885))</f>
        <v/>
      </c>
    </row>
    <row r="19886">
      <c r="A19886">
        <f>Input!A19886</f>
        <v/>
      </c>
      <c r="B19886">
        <f>IF(ISNUMBER(Input!B19886),IF(AND(Input!B19886&gt;=20,Input!B19886&lt;=700),Input!B19886,""),"")</f>
        <v/>
      </c>
      <c r="C19886">
        <f>IF(B19886="","",INT(A19886))</f>
        <v/>
      </c>
      <c r="D19886">
        <f>IF(B19886="","",HOUR(A19886))</f>
        <v/>
      </c>
    </row>
    <row r="19887">
      <c r="A19887">
        <f>Input!A19887</f>
        <v/>
      </c>
      <c r="B19887">
        <f>IF(ISNUMBER(Input!B19887),IF(AND(Input!B19887&gt;=20,Input!B19887&lt;=700),Input!B19887,""),"")</f>
        <v/>
      </c>
      <c r="C19887">
        <f>IF(B19887="","",INT(A19887))</f>
        <v/>
      </c>
      <c r="D19887">
        <f>IF(B19887="","",HOUR(A19887))</f>
        <v/>
      </c>
    </row>
    <row r="19888">
      <c r="A19888">
        <f>Input!A19888</f>
        <v/>
      </c>
      <c r="B19888">
        <f>IF(ISNUMBER(Input!B19888),IF(AND(Input!B19888&gt;=20,Input!B19888&lt;=700),Input!B19888,""),"")</f>
        <v/>
      </c>
      <c r="C19888">
        <f>IF(B19888="","",INT(A19888))</f>
        <v/>
      </c>
      <c r="D19888">
        <f>IF(B19888="","",HOUR(A19888))</f>
        <v/>
      </c>
    </row>
    <row r="19889">
      <c r="A19889">
        <f>Input!A19889</f>
        <v/>
      </c>
      <c r="B19889">
        <f>IF(ISNUMBER(Input!B19889),IF(AND(Input!B19889&gt;=20,Input!B19889&lt;=700),Input!B19889,""),"")</f>
        <v/>
      </c>
      <c r="C19889">
        <f>IF(B19889="","",INT(A19889))</f>
        <v/>
      </c>
      <c r="D19889">
        <f>IF(B19889="","",HOUR(A19889))</f>
        <v/>
      </c>
    </row>
    <row r="19890">
      <c r="A19890">
        <f>Input!A19890</f>
        <v/>
      </c>
      <c r="B19890">
        <f>IF(ISNUMBER(Input!B19890),IF(AND(Input!B19890&gt;=20,Input!B19890&lt;=700),Input!B19890,""),"")</f>
        <v/>
      </c>
      <c r="C19890">
        <f>IF(B19890="","",INT(A19890))</f>
        <v/>
      </c>
      <c r="D19890">
        <f>IF(B19890="","",HOUR(A19890))</f>
        <v/>
      </c>
    </row>
    <row r="19891">
      <c r="A19891">
        <f>Input!A19891</f>
        <v/>
      </c>
      <c r="B19891">
        <f>IF(ISNUMBER(Input!B19891),IF(AND(Input!B19891&gt;=20,Input!B19891&lt;=700),Input!B19891,""),"")</f>
        <v/>
      </c>
      <c r="C19891">
        <f>IF(B19891="","",INT(A19891))</f>
        <v/>
      </c>
      <c r="D19891">
        <f>IF(B19891="","",HOUR(A19891))</f>
        <v/>
      </c>
    </row>
    <row r="19892">
      <c r="A19892">
        <f>Input!A19892</f>
        <v/>
      </c>
      <c r="B19892">
        <f>IF(ISNUMBER(Input!B19892),IF(AND(Input!B19892&gt;=20,Input!B19892&lt;=700),Input!B19892,""),"")</f>
        <v/>
      </c>
      <c r="C19892">
        <f>IF(B19892="","",INT(A19892))</f>
        <v/>
      </c>
      <c r="D19892">
        <f>IF(B19892="","",HOUR(A19892))</f>
        <v/>
      </c>
    </row>
    <row r="19893">
      <c r="A19893">
        <f>Input!A19893</f>
        <v/>
      </c>
      <c r="B19893">
        <f>IF(ISNUMBER(Input!B19893),IF(AND(Input!B19893&gt;=20,Input!B19893&lt;=700),Input!B19893,""),"")</f>
        <v/>
      </c>
      <c r="C19893">
        <f>IF(B19893="","",INT(A19893))</f>
        <v/>
      </c>
      <c r="D19893">
        <f>IF(B19893="","",HOUR(A19893))</f>
        <v/>
      </c>
    </row>
    <row r="19894">
      <c r="A19894">
        <f>Input!A19894</f>
        <v/>
      </c>
      <c r="B19894">
        <f>IF(ISNUMBER(Input!B19894),IF(AND(Input!B19894&gt;=20,Input!B19894&lt;=700),Input!B19894,""),"")</f>
        <v/>
      </c>
      <c r="C19894">
        <f>IF(B19894="","",INT(A19894))</f>
        <v/>
      </c>
      <c r="D19894">
        <f>IF(B19894="","",HOUR(A19894))</f>
        <v/>
      </c>
    </row>
    <row r="19895">
      <c r="A19895">
        <f>Input!A19895</f>
        <v/>
      </c>
      <c r="B19895">
        <f>IF(ISNUMBER(Input!B19895),IF(AND(Input!B19895&gt;=20,Input!B19895&lt;=700),Input!B19895,""),"")</f>
        <v/>
      </c>
      <c r="C19895">
        <f>IF(B19895="","",INT(A19895))</f>
        <v/>
      </c>
      <c r="D19895">
        <f>IF(B19895="","",HOUR(A19895))</f>
        <v/>
      </c>
    </row>
    <row r="19896">
      <c r="A19896">
        <f>Input!A19896</f>
        <v/>
      </c>
      <c r="B19896">
        <f>IF(ISNUMBER(Input!B19896),IF(AND(Input!B19896&gt;=20,Input!B19896&lt;=700),Input!B19896,""),"")</f>
        <v/>
      </c>
      <c r="C19896">
        <f>IF(B19896="","",INT(A19896))</f>
        <v/>
      </c>
      <c r="D19896">
        <f>IF(B19896="","",HOUR(A19896))</f>
        <v/>
      </c>
    </row>
    <row r="19897">
      <c r="A19897">
        <f>Input!A19897</f>
        <v/>
      </c>
      <c r="B19897">
        <f>IF(ISNUMBER(Input!B19897),IF(AND(Input!B19897&gt;=20,Input!B19897&lt;=700),Input!B19897,""),"")</f>
        <v/>
      </c>
      <c r="C19897">
        <f>IF(B19897="","",INT(A19897))</f>
        <v/>
      </c>
      <c r="D19897">
        <f>IF(B19897="","",HOUR(A19897))</f>
        <v/>
      </c>
    </row>
    <row r="19898">
      <c r="A19898">
        <f>Input!A19898</f>
        <v/>
      </c>
      <c r="B19898">
        <f>IF(ISNUMBER(Input!B19898),IF(AND(Input!B19898&gt;=20,Input!B19898&lt;=700),Input!B19898,""),"")</f>
        <v/>
      </c>
      <c r="C19898">
        <f>IF(B19898="","",INT(A19898))</f>
        <v/>
      </c>
      <c r="D19898">
        <f>IF(B19898="","",HOUR(A19898))</f>
        <v/>
      </c>
    </row>
    <row r="19899">
      <c r="A19899">
        <f>Input!A19899</f>
        <v/>
      </c>
      <c r="B19899">
        <f>IF(ISNUMBER(Input!B19899),IF(AND(Input!B19899&gt;=20,Input!B19899&lt;=700),Input!B19899,""),"")</f>
        <v/>
      </c>
      <c r="C19899">
        <f>IF(B19899="","",INT(A19899))</f>
        <v/>
      </c>
      <c r="D19899">
        <f>IF(B19899="","",HOUR(A19899))</f>
        <v/>
      </c>
    </row>
    <row r="19900">
      <c r="A19900">
        <f>Input!A19900</f>
        <v/>
      </c>
      <c r="B19900">
        <f>IF(ISNUMBER(Input!B19900),IF(AND(Input!B19900&gt;=20,Input!B19900&lt;=700),Input!B19900,""),"")</f>
        <v/>
      </c>
      <c r="C19900">
        <f>IF(B19900="","",INT(A19900))</f>
        <v/>
      </c>
      <c r="D19900">
        <f>IF(B19900="","",HOUR(A19900))</f>
        <v/>
      </c>
    </row>
    <row r="19901">
      <c r="A19901">
        <f>Input!A19901</f>
        <v/>
      </c>
      <c r="B19901">
        <f>IF(ISNUMBER(Input!B19901),IF(AND(Input!B19901&gt;=20,Input!B19901&lt;=700),Input!B19901,""),"")</f>
        <v/>
      </c>
      <c r="C19901">
        <f>IF(B19901="","",INT(A19901))</f>
        <v/>
      </c>
      <c r="D19901">
        <f>IF(B19901="","",HOUR(A19901))</f>
        <v/>
      </c>
    </row>
    <row r="19902">
      <c r="A19902">
        <f>Input!A19902</f>
        <v/>
      </c>
      <c r="B19902">
        <f>IF(ISNUMBER(Input!B19902),IF(AND(Input!B19902&gt;=20,Input!B19902&lt;=700),Input!B19902,""),"")</f>
        <v/>
      </c>
      <c r="C19902">
        <f>IF(B19902="","",INT(A19902))</f>
        <v/>
      </c>
      <c r="D19902">
        <f>IF(B19902="","",HOUR(A19902))</f>
        <v/>
      </c>
    </row>
    <row r="19903">
      <c r="A19903">
        <f>Input!A19903</f>
        <v/>
      </c>
      <c r="B19903">
        <f>IF(ISNUMBER(Input!B19903),IF(AND(Input!B19903&gt;=20,Input!B19903&lt;=700),Input!B19903,""),"")</f>
        <v/>
      </c>
      <c r="C19903">
        <f>IF(B19903="","",INT(A19903))</f>
        <v/>
      </c>
      <c r="D19903">
        <f>IF(B19903="","",HOUR(A19903))</f>
        <v/>
      </c>
    </row>
    <row r="19904">
      <c r="A19904">
        <f>Input!A19904</f>
        <v/>
      </c>
      <c r="B19904">
        <f>IF(ISNUMBER(Input!B19904),IF(AND(Input!B19904&gt;=20,Input!B19904&lt;=700),Input!B19904,""),"")</f>
        <v/>
      </c>
      <c r="C19904">
        <f>IF(B19904="","",INT(A19904))</f>
        <v/>
      </c>
      <c r="D19904">
        <f>IF(B19904="","",HOUR(A19904))</f>
        <v/>
      </c>
    </row>
    <row r="19905">
      <c r="A19905">
        <f>Input!A19905</f>
        <v/>
      </c>
      <c r="B19905">
        <f>IF(ISNUMBER(Input!B19905),IF(AND(Input!B19905&gt;=20,Input!B19905&lt;=700),Input!B19905,""),"")</f>
        <v/>
      </c>
      <c r="C19905">
        <f>IF(B19905="","",INT(A19905))</f>
        <v/>
      </c>
      <c r="D19905">
        <f>IF(B19905="","",HOUR(A19905))</f>
        <v/>
      </c>
    </row>
    <row r="19906">
      <c r="A19906">
        <f>Input!A19906</f>
        <v/>
      </c>
      <c r="B19906">
        <f>IF(ISNUMBER(Input!B19906),IF(AND(Input!B19906&gt;=20,Input!B19906&lt;=700),Input!B19906,""),"")</f>
        <v/>
      </c>
      <c r="C19906">
        <f>IF(B19906="","",INT(A19906))</f>
        <v/>
      </c>
      <c r="D19906">
        <f>IF(B19906="","",HOUR(A19906))</f>
        <v/>
      </c>
    </row>
    <row r="19907">
      <c r="A19907">
        <f>Input!A19907</f>
        <v/>
      </c>
      <c r="B19907">
        <f>IF(ISNUMBER(Input!B19907),IF(AND(Input!B19907&gt;=20,Input!B19907&lt;=700),Input!B19907,""),"")</f>
        <v/>
      </c>
      <c r="C19907">
        <f>IF(B19907="","",INT(A19907))</f>
        <v/>
      </c>
      <c r="D19907">
        <f>IF(B19907="","",HOUR(A19907))</f>
        <v/>
      </c>
    </row>
    <row r="19908">
      <c r="A19908">
        <f>Input!A19908</f>
        <v/>
      </c>
      <c r="B19908">
        <f>IF(ISNUMBER(Input!B19908),IF(AND(Input!B19908&gt;=20,Input!B19908&lt;=700),Input!B19908,""),"")</f>
        <v/>
      </c>
      <c r="C19908">
        <f>IF(B19908="","",INT(A19908))</f>
        <v/>
      </c>
      <c r="D19908">
        <f>IF(B19908="","",HOUR(A19908))</f>
        <v/>
      </c>
    </row>
    <row r="19909">
      <c r="A19909">
        <f>Input!A19909</f>
        <v/>
      </c>
      <c r="B19909">
        <f>IF(ISNUMBER(Input!B19909),IF(AND(Input!B19909&gt;=20,Input!B19909&lt;=700),Input!B19909,""),"")</f>
        <v/>
      </c>
      <c r="C19909">
        <f>IF(B19909="","",INT(A19909))</f>
        <v/>
      </c>
      <c r="D19909">
        <f>IF(B19909="","",HOUR(A19909))</f>
        <v/>
      </c>
    </row>
    <row r="19910">
      <c r="A19910">
        <f>Input!A19910</f>
        <v/>
      </c>
      <c r="B19910">
        <f>IF(ISNUMBER(Input!B19910),IF(AND(Input!B19910&gt;=20,Input!B19910&lt;=700),Input!B19910,""),"")</f>
        <v/>
      </c>
      <c r="C19910">
        <f>IF(B19910="","",INT(A19910))</f>
        <v/>
      </c>
      <c r="D19910">
        <f>IF(B19910="","",HOUR(A19910))</f>
        <v/>
      </c>
    </row>
    <row r="19911">
      <c r="A19911">
        <f>Input!A19911</f>
        <v/>
      </c>
      <c r="B19911">
        <f>IF(ISNUMBER(Input!B19911),IF(AND(Input!B19911&gt;=20,Input!B19911&lt;=700),Input!B19911,""),"")</f>
        <v/>
      </c>
      <c r="C19911">
        <f>IF(B19911="","",INT(A19911))</f>
        <v/>
      </c>
      <c r="D19911">
        <f>IF(B19911="","",HOUR(A19911))</f>
        <v/>
      </c>
    </row>
    <row r="19912">
      <c r="A19912">
        <f>Input!A19912</f>
        <v/>
      </c>
      <c r="B19912">
        <f>IF(ISNUMBER(Input!B19912),IF(AND(Input!B19912&gt;=20,Input!B19912&lt;=700),Input!B19912,""),"")</f>
        <v/>
      </c>
      <c r="C19912">
        <f>IF(B19912="","",INT(A19912))</f>
        <v/>
      </c>
      <c r="D19912">
        <f>IF(B19912="","",HOUR(A19912))</f>
        <v/>
      </c>
    </row>
    <row r="19913">
      <c r="A19913">
        <f>Input!A19913</f>
        <v/>
      </c>
      <c r="B19913">
        <f>IF(ISNUMBER(Input!B19913),IF(AND(Input!B19913&gt;=20,Input!B19913&lt;=700),Input!B19913,""),"")</f>
        <v/>
      </c>
      <c r="C19913">
        <f>IF(B19913="","",INT(A19913))</f>
        <v/>
      </c>
      <c r="D19913">
        <f>IF(B19913="","",HOUR(A19913))</f>
        <v/>
      </c>
    </row>
    <row r="19914">
      <c r="A19914">
        <f>Input!A19914</f>
        <v/>
      </c>
      <c r="B19914">
        <f>IF(ISNUMBER(Input!B19914),IF(AND(Input!B19914&gt;=20,Input!B19914&lt;=700),Input!B19914,""),"")</f>
        <v/>
      </c>
      <c r="C19914">
        <f>IF(B19914="","",INT(A19914))</f>
        <v/>
      </c>
      <c r="D19914">
        <f>IF(B19914="","",HOUR(A19914))</f>
        <v/>
      </c>
    </row>
    <row r="19915">
      <c r="A19915">
        <f>Input!A19915</f>
        <v/>
      </c>
      <c r="B19915">
        <f>IF(ISNUMBER(Input!B19915),IF(AND(Input!B19915&gt;=20,Input!B19915&lt;=700),Input!B19915,""),"")</f>
        <v/>
      </c>
      <c r="C19915">
        <f>IF(B19915="","",INT(A19915))</f>
        <v/>
      </c>
      <c r="D19915">
        <f>IF(B19915="","",HOUR(A19915))</f>
        <v/>
      </c>
    </row>
    <row r="19916">
      <c r="A19916">
        <f>Input!A19916</f>
        <v/>
      </c>
      <c r="B19916">
        <f>IF(ISNUMBER(Input!B19916),IF(AND(Input!B19916&gt;=20,Input!B19916&lt;=700),Input!B19916,""),"")</f>
        <v/>
      </c>
      <c r="C19916">
        <f>IF(B19916="","",INT(A19916))</f>
        <v/>
      </c>
      <c r="D19916">
        <f>IF(B19916="","",HOUR(A19916))</f>
        <v/>
      </c>
    </row>
    <row r="19917">
      <c r="A19917">
        <f>Input!A19917</f>
        <v/>
      </c>
      <c r="B19917">
        <f>IF(ISNUMBER(Input!B19917),IF(AND(Input!B19917&gt;=20,Input!B19917&lt;=700),Input!B19917,""),"")</f>
        <v/>
      </c>
      <c r="C19917">
        <f>IF(B19917="","",INT(A19917))</f>
        <v/>
      </c>
      <c r="D19917">
        <f>IF(B19917="","",HOUR(A19917))</f>
        <v/>
      </c>
    </row>
    <row r="19918">
      <c r="A19918">
        <f>Input!A19918</f>
        <v/>
      </c>
      <c r="B19918">
        <f>IF(ISNUMBER(Input!B19918),IF(AND(Input!B19918&gt;=20,Input!B19918&lt;=700),Input!B19918,""),"")</f>
        <v/>
      </c>
      <c r="C19918">
        <f>IF(B19918="","",INT(A19918))</f>
        <v/>
      </c>
      <c r="D19918">
        <f>IF(B19918="","",HOUR(A19918))</f>
        <v/>
      </c>
    </row>
    <row r="19919">
      <c r="A19919">
        <f>Input!A19919</f>
        <v/>
      </c>
      <c r="B19919">
        <f>IF(ISNUMBER(Input!B19919),IF(AND(Input!B19919&gt;=20,Input!B19919&lt;=700),Input!B19919,""),"")</f>
        <v/>
      </c>
      <c r="C19919">
        <f>IF(B19919="","",INT(A19919))</f>
        <v/>
      </c>
      <c r="D19919">
        <f>IF(B19919="","",HOUR(A19919))</f>
        <v/>
      </c>
    </row>
    <row r="19920">
      <c r="A19920">
        <f>Input!A19920</f>
        <v/>
      </c>
      <c r="B19920">
        <f>IF(ISNUMBER(Input!B19920),IF(AND(Input!B19920&gt;=20,Input!B19920&lt;=700),Input!B19920,""),"")</f>
        <v/>
      </c>
      <c r="C19920">
        <f>IF(B19920="","",INT(A19920))</f>
        <v/>
      </c>
      <c r="D19920">
        <f>IF(B19920="","",HOUR(A19920))</f>
        <v/>
      </c>
    </row>
    <row r="19921">
      <c r="A19921">
        <f>Input!A19921</f>
        <v/>
      </c>
      <c r="B19921">
        <f>IF(ISNUMBER(Input!B19921),IF(AND(Input!B19921&gt;=20,Input!B19921&lt;=700),Input!B19921,""),"")</f>
        <v/>
      </c>
      <c r="C19921">
        <f>IF(B19921="","",INT(A19921))</f>
        <v/>
      </c>
      <c r="D19921">
        <f>IF(B19921="","",HOUR(A19921))</f>
        <v/>
      </c>
    </row>
    <row r="19922">
      <c r="A19922">
        <f>Input!A19922</f>
        <v/>
      </c>
      <c r="B19922">
        <f>IF(ISNUMBER(Input!B19922),IF(AND(Input!B19922&gt;=20,Input!B19922&lt;=700),Input!B19922,""),"")</f>
        <v/>
      </c>
      <c r="C19922">
        <f>IF(B19922="","",INT(A19922))</f>
        <v/>
      </c>
      <c r="D19922">
        <f>IF(B19922="","",HOUR(A19922))</f>
        <v/>
      </c>
    </row>
    <row r="19923">
      <c r="A19923">
        <f>Input!A19923</f>
        <v/>
      </c>
      <c r="B19923">
        <f>IF(ISNUMBER(Input!B19923),IF(AND(Input!B19923&gt;=20,Input!B19923&lt;=700),Input!B19923,""),"")</f>
        <v/>
      </c>
      <c r="C19923">
        <f>IF(B19923="","",INT(A19923))</f>
        <v/>
      </c>
      <c r="D19923">
        <f>IF(B19923="","",HOUR(A19923))</f>
        <v/>
      </c>
    </row>
    <row r="19924">
      <c r="A19924">
        <f>Input!A19924</f>
        <v/>
      </c>
      <c r="B19924">
        <f>IF(ISNUMBER(Input!B19924),IF(AND(Input!B19924&gt;=20,Input!B19924&lt;=700),Input!B19924,""),"")</f>
        <v/>
      </c>
      <c r="C19924">
        <f>IF(B19924="","",INT(A19924))</f>
        <v/>
      </c>
      <c r="D19924">
        <f>IF(B19924="","",HOUR(A19924))</f>
        <v/>
      </c>
    </row>
    <row r="19925">
      <c r="A19925">
        <f>Input!A19925</f>
        <v/>
      </c>
      <c r="B19925">
        <f>IF(ISNUMBER(Input!B19925),IF(AND(Input!B19925&gt;=20,Input!B19925&lt;=700),Input!B19925,""),"")</f>
        <v/>
      </c>
      <c r="C19925">
        <f>IF(B19925="","",INT(A19925))</f>
        <v/>
      </c>
      <c r="D19925">
        <f>IF(B19925="","",HOUR(A19925))</f>
        <v/>
      </c>
    </row>
    <row r="19926">
      <c r="A19926">
        <f>Input!A19926</f>
        <v/>
      </c>
      <c r="B19926">
        <f>IF(ISNUMBER(Input!B19926),IF(AND(Input!B19926&gt;=20,Input!B19926&lt;=700),Input!B19926,""),"")</f>
        <v/>
      </c>
      <c r="C19926">
        <f>IF(B19926="","",INT(A19926))</f>
        <v/>
      </c>
      <c r="D19926">
        <f>IF(B19926="","",HOUR(A19926))</f>
        <v/>
      </c>
    </row>
    <row r="19927">
      <c r="A19927">
        <f>Input!A19927</f>
        <v/>
      </c>
      <c r="B19927">
        <f>IF(ISNUMBER(Input!B19927),IF(AND(Input!B19927&gt;=20,Input!B19927&lt;=700),Input!B19927,""),"")</f>
        <v/>
      </c>
      <c r="C19927">
        <f>IF(B19927="","",INT(A19927))</f>
        <v/>
      </c>
      <c r="D19927">
        <f>IF(B19927="","",HOUR(A19927))</f>
        <v/>
      </c>
    </row>
    <row r="19928">
      <c r="A19928">
        <f>Input!A19928</f>
        <v/>
      </c>
      <c r="B19928">
        <f>IF(ISNUMBER(Input!B19928),IF(AND(Input!B19928&gt;=20,Input!B19928&lt;=700),Input!B19928,""),"")</f>
        <v/>
      </c>
      <c r="C19928">
        <f>IF(B19928="","",INT(A19928))</f>
        <v/>
      </c>
      <c r="D19928">
        <f>IF(B19928="","",HOUR(A19928))</f>
        <v/>
      </c>
    </row>
    <row r="19929">
      <c r="A19929">
        <f>Input!A19929</f>
        <v/>
      </c>
      <c r="B19929">
        <f>IF(ISNUMBER(Input!B19929),IF(AND(Input!B19929&gt;=20,Input!B19929&lt;=700),Input!B19929,""),"")</f>
        <v/>
      </c>
      <c r="C19929">
        <f>IF(B19929="","",INT(A19929))</f>
        <v/>
      </c>
      <c r="D19929">
        <f>IF(B19929="","",HOUR(A19929))</f>
        <v/>
      </c>
    </row>
    <row r="19930">
      <c r="A19930">
        <f>Input!A19930</f>
        <v/>
      </c>
      <c r="B19930">
        <f>IF(ISNUMBER(Input!B19930),IF(AND(Input!B19930&gt;=20,Input!B19930&lt;=700),Input!B19930,""),"")</f>
        <v/>
      </c>
      <c r="C19930">
        <f>IF(B19930="","",INT(A19930))</f>
        <v/>
      </c>
      <c r="D19930">
        <f>IF(B19930="","",HOUR(A19930))</f>
        <v/>
      </c>
    </row>
    <row r="19931">
      <c r="A19931">
        <f>Input!A19931</f>
        <v/>
      </c>
      <c r="B19931">
        <f>IF(ISNUMBER(Input!B19931),IF(AND(Input!B19931&gt;=20,Input!B19931&lt;=700),Input!B19931,""),"")</f>
        <v/>
      </c>
      <c r="C19931">
        <f>IF(B19931="","",INT(A19931))</f>
        <v/>
      </c>
      <c r="D19931">
        <f>IF(B19931="","",HOUR(A19931))</f>
        <v/>
      </c>
    </row>
    <row r="19932">
      <c r="A19932">
        <f>Input!A19932</f>
        <v/>
      </c>
      <c r="B19932">
        <f>IF(ISNUMBER(Input!B19932),IF(AND(Input!B19932&gt;=20,Input!B19932&lt;=700),Input!B19932,""),"")</f>
        <v/>
      </c>
      <c r="C19932">
        <f>IF(B19932="","",INT(A19932))</f>
        <v/>
      </c>
      <c r="D19932">
        <f>IF(B19932="","",HOUR(A19932))</f>
        <v/>
      </c>
    </row>
    <row r="19933">
      <c r="A19933">
        <f>Input!A19933</f>
        <v/>
      </c>
      <c r="B19933">
        <f>IF(ISNUMBER(Input!B19933),IF(AND(Input!B19933&gt;=20,Input!B19933&lt;=700),Input!B19933,""),"")</f>
        <v/>
      </c>
      <c r="C19933">
        <f>IF(B19933="","",INT(A19933))</f>
        <v/>
      </c>
      <c r="D19933">
        <f>IF(B19933="","",HOUR(A19933))</f>
        <v/>
      </c>
    </row>
    <row r="19934">
      <c r="A19934">
        <f>Input!A19934</f>
        <v/>
      </c>
      <c r="B19934">
        <f>IF(ISNUMBER(Input!B19934),IF(AND(Input!B19934&gt;=20,Input!B19934&lt;=700),Input!B19934,""),"")</f>
        <v/>
      </c>
      <c r="C19934">
        <f>IF(B19934="","",INT(A19934))</f>
        <v/>
      </c>
      <c r="D19934">
        <f>IF(B19934="","",HOUR(A19934))</f>
        <v/>
      </c>
    </row>
    <row r="19935">
      <c r="A19935">
        <f>Input!A19935</f>
        <v/>
      </c>
      <c r="B19935">
        <f>IF(ISNUMBER(Input!B19935),IF(AND(Input!B19935&gt;=20,Input!B19935&lt;=700),Input!B19935,""),"")</f>
        <v/>
      </c>
      <c r="C19935">
        <f>IF(B19935="","",INT(A19935))</f>
        <v/>
      </c>
      <c r="D19935">
        <f>IF(B19935="","",HOUR(A19935))</f>
        <v/>
      </c>
    </row>
    <row r="19936">
      <c r="A19936">
        <f>Input!A19936</f>
        <v/>
      </c>
      <c r="B19936">
        <f>IF(ISNUMBER(Input!B19936),IF(AND(Input!B19936&gt;=20,Input!B19936&lt;=700),Input!B19936,""),"")</f>
        <v/>
      </c>
      <c r="C19936">
        <f>IF(B19936="","",INT(A19936))</f>
        <v/>
      </c>
      <c r="D19936">
        <f>IF(B19936="","",HOUR(A19936))</f>
        <v/>
      </c>
    </row>
    <row r="19937">
      <c r="A19937">
        <f>Input!A19937</f>
        <v/>
      </c>
      <c r="B19937">
        <f>IF(ISNUMBER(Input!B19937),IF(AND(Input!B19937&gt;=20,Input!B19937&lt;=700),Input!B19937,""),"")</f>
        <v/>
      </c>
      <c r="C19937">
        <f>IF(B19937="","",INT(A19937))</f>
        <v/>
      </c>
      <c r="D19937">
        <f>IF(B19937="","",HOUR(A19937))</f>
        <v/>
      </c>
    </row>
    <row r="19938">
      <c r="A19938">
        <f>Input!A19938</f>
        <v/>
      </c>
      <c r="B19938">
        <f>IF(ISNUMBER(Input!B19938),IF(AND(Input!B19938&gt;=20,Input!B19938&lt;=700),Input!B19938,""),"")</f>
        <v/>
      </c>
      <c r="C19938">
        <f>IF(B19938="","",INT(A19938))</f>
        <v/>
      </c>
      <c r="D19938">
        <f>IF(B19938="","",HOUR(A19938))</f>
        <v/>
      </c>
    </row>
    <row r="19939">
      <c r="A19939">
        <f>Input!A19939</f>
        <v/>
      </c>
      <c r="B19939">
        <f>IF(ISNUMBER(Input!B19939),IF(AND(Input!B19939&gt;=20,Input!B19939&lt;=700),Input!B19939,""),"")</f>
        <v/>
      </c>
      <c r="C19939">
        <f>IF(B19939="","",INT(A19939))</f>
        <v/>
      </c>
      <c r="D19939">
        <f>IF(B19939="","",HOUR(A19939))</f>
        <v/>
      </c>
    </row>
    <row r="19940">
      <c r="A19940">
        <f>Input!A19940</f>
        <v/>
      </c>
      <c r="B19940">
        <f>IF(ISNUMBER(Input!B19940),IF(AND(Input!B19940&gt;=20,Input!B19940&lt;=700),Input!B19940,""),"")</f>
        <v/>
      </c>
      <c r="C19940">
        <f>IF(B19940="","",INT(A19940))</f>
        <v/>
      </c>
      <c r="D19940">
        <f>IF(B19940="","",HOUR(A19940))</f>
        <v/>
      </c>
    </row>
    <row r="19941">
      <c r="A19941">
        <f>Input!A19941</f>
        <v/>
      </c>
      <c r="B19941">
        <f>IF(ISNUMBER(Input!B19941),IF(AND(Input!B19941&gt;=20,Input!B19941&lt;=700),Input!B19941,""),"")</f>
        <v/>
      </c>
      <c r="C19941">
        <f>IF(B19941="","",INT(A19941))</f>
        <v/>
      </c>
      <c r="D19941">
        <f>IF(B19941="","",HOUR(A19941))</f>
        <v/>
      </c>
    </row>
    <row r="19942">
      <c r="A19942">
        <f>Input!A19942</f>
        <v/>
      </c>
      <c r="B19942">
        <f>IF(ISNUMBER(Input!B19942),IF(AND(Input!B19942&gt;=20,Input!B19942&lt;=700),Input!B19942,""),"")</f>
        <v/>
      </c>
      <c r="C19942">
        <f>IF(B19942="","",INT(A19942))</f>
        <v/>
      </c>
      <c r="D19942">
        <f>IF(B19942="","",HOUR(A19942))</f>
        <v/>
      </c>
    </row>
    <row r="19943">
      <c r="A19943">
        <f>Input!A19943</f>
        <v/>
      </c>
      <c r="B19943">
        <f>IF(ISNUMBER(Input!B19943),IF(AND(Input!B19943&gt;=20,Input!B19943&lt;=700),Input!B19943,""),"")</f>
        <v/>
      </c>
      <c r="C19943">
        <f>IF(B19943="","",INT(A19943))</f>
        <v/>
      </c>
      <c r="D19943">
        <f>IF(B19943="","",HOUR(A19943))</f>
        <v/>
      </c>
    </row>
    <row r="19944">
      <c r="A19944">
        <f>Input!A19944</f>
        <v/>
      </c>
      <c r="B19944">
        <f>IF(ISNUMBER(Input!B19944),IF(AND(Input!B19944&gt;=20,Input!B19944&lt;=700),Input!B19944,""),"")</f>
        <v/>
      </c>
      <c r="C19944">
        <f>IF(B19944="","",INT(A19944))</f>
        <v/>
      </c>
      <c r="D19944">
        <f>IF(B19944="","",HOUR(A19944))</f>
        <v/>
      </c>
    </row>
    <row r="19945">
      <c r="A19945">
        <f>Input!A19945</f>
        <v/>
      </c>
      <c r="B19945">
        <f>IF(ISNUMBER(Input!B19945),IF(AND(Input!B19945&gt;=20,Input!B19945&lt;=700),Input!B19945,""),"")</f>
        <v/>
      </c>
      <c r="C19945">
        <f>IF(B19945="","",INT(A19945))</f>
        <v/>
      </c>
      <c r="D19945">
        <f>IF(B19945="","",HOUR(A19945))</f>
        <v/>
      </c>
    </row>
    <row r="19946">
      <c r="A19946">
        <f>Input!A19946</f>
        <v/>
      </c>
      <c r="B19946">
        <f>IF(ISNUMBER(Input!B19946),IF(AND(Input!B19946&gt;=20,Input!B19946&lt;=700),Input!B19946,""),"")</f>
        <v/>
      </c>
      <c r="C19946">
        <f>IF(B19946="","",INT(A19946))</f>
        <v/>
      </c>
      <c r="D19946">
        <f>IF(B19946="","",HOUR(A19946))</f>
        <v/>
      </c>
    </row>
    <row r="19947">
      <c r="A19947">
        <f>Input!A19947</f>
        <v/>
      </c>
      <c r="B19947">
        <f>IF(ISNUMBER(Input!B19947),IF(AND(Input!B19947&gt;=20,Input!B19947&lt;=700),Input!B19947,""),"")</f>
        <v/>
      </c>
      <c r="C19947">
        <f>IF(B19947="","",INT(A19947))</f>
        <v/>
      </c>
      <c r="D19947">
        <f>IF(B19947="","",HOUR(A19947))</f>
        <v/>
      </c>
    </row>
    <row r="19948">
      <c r="A19948">
        <f>Input!A19948</f>
        <v/>
      </c>
      <c r="B19948">
        <f>IF(ISNUMBER(Input!B19948),IF(AND(Input!B19948&gt;=20,Input!B19948&lt;=700),Input!B19948,""),"")</f>
        <v/>
      </c>
      <c r="C19948">
        <f>IF(B19948="","",INT(A19948))</f>
        <v/>
      </c>
      <c r="D19948">
        <f>IF(B19948="","",HOUR(A19948))</f>
        <v/>
      </c>
    </row>
    <row r="19949">
      <c r="A19949">
        <f>Input!A19949</f>
        <v/>
      </c>
      <c r="B19949">
        <f>IF(ISNUMBER(Input!B19949),IF(AND(Input!B19949&gt;=20,Input!B19949&lt;=700),Input!B19949,""),"")</f>
        <v/>
      </c>
      <c r="C19949">
        <f>IF(B19949="","",INT(A19949))</f>
        <v/>
      </c>
      <c r="D19949">
        <f>IF(B19949="","",HOUR(A19949))</f>
        <v/>
      </c>
    </row>
    <row r="19950">
      <c r="A19950">
        <f>Input!A19950</f>
        <v/>
      </c>
      <c r="B19950">
        <f>IF(ISNUMBER(Input!B19950),IF(AND(Input!B19950&gt;=20,Input!B19950&lt;=700),Input!B19950,""),"")</f>
        <v/>
      </c>
      <c r="C19950">
        <f>IF(B19950="","",INT(A19950))</f>
        <v/>
      </c>
      <c r="D19950">
        <f>IF(B19950="","",HOUR(A19950))</f>
        <v/>
      </c>
    </row>
    <row r="19951">
      <c r="A19951">
        <f>Input!A19951</f>
        <v/>
      </c>
      <c r="B19951">
        <f>IF(ISNUMBER(Input!B19951),IF(AND(Input!B19951&gt;=20,Input!B19951&lt;=700),Input!B19951,""),"")</f>
        <v/>
      </c>
      <c r="C19951">
        <f>IF(B19951="","",INT(A19951))</f>
        <v/>
      </c>
      <c r="D19951">
        <f>IF(B19951="","",HOUR(A19951))</f>
        <v/>
      </c>
    </row>
    <row r="19952">
      <c r="A19952">
        <f>Input!A19952</f>
        <v/>
      </c>
      <c r="B19952">
        <f>IF(ISNUMBER(Input!B19952),IF(AND(Input!B19952&gt;=20,Input!B19952&lt;=700),Input!B19952,""),"")</f>
        <v/>
      </c>
      <c r="C19952">
        <f>IF(B19952="","",INT(A19952))</f>
        <v/>
      </c>
      <c r="D19952">
        <f>IF(B19952="","",HOUR(A19952))</f>
        <v/>
      </c>
    </row>
    <row r="19953">
      <c r="A19953">
        <f>Input!A19953</f>
        <v/>
      </c>
      <c r="B19953">
        <f>IF(ISNUMBER(Input!B19953),IF(AND(Input!B19953&gt;=20,Input!B19953&lt;=700),Input!B19953,""),"")</f>
        <v/>
      </c>
      <c r="C19953">
        <f>IF(B19953="","",INT(A19953))</f>
        <v/>
      </c>
      <c r="D19953">
        <f>IF(B19953="","",HOUR(A19953))</f>
        <v/>
      </c>
    </row>
    <row r="19954">
      <c r="A19954">
        <f>Input!A19954</f>
        <v/>
      </c>
      <c r="B19954">
        <f>IF(ISNUMBER(Input!B19954),IF(AND(Input!B19954&gt;=20,Input!B19954&lt;=700),Input!B19954,""),"")</f>
        <v/>
      </c>
      <c r="C19954">
        <f>IF(B19954="","",INT(A19954))</f>
        <v/>
      </c>
      <c r="D19954">
        <f>IF(B19954="","",HOUR(A19954))</f>
        <v/>
      </c>
    </row>
    <row r="19955">
      <c r="A19955">
        <f>Input!A19955</f>
        <v/>
      </c>
      <c r="B19955">
        <f>IF(ISNUMBER(Input!B19955),IF(AND(Input!B19955&gt;=20,Input!B19955&lt;=700),Input!B19955,""),"")</f>
        <v/>
      </c>
      <c r="C19955">
        <f>IF(B19955="","",INT(A19955))</f>
        <v/>
      </c>
      <c r="D19955">
        <f>IF(B19955="","",HOUR(A19955))</f>
        <v/>
      </c>
    </row>
    <row r="19956">
      <c r="A19956">
        <f>Input!A19956</f>
        <v/>
      </c>
      <c r="B19956">
        <f>IF(ISNUMBER(Input!B19956),IF(AND(Input!B19956&gt;=20,Input!B19956&lt;=700),Input!B19956,""),"")</f>
        <v/>
      </c>
      <c r="C19956">
        <f>IF(B19956="","",INT(A19956))</f>
        <v/>
      </c>
      <c r="D19956">
        <f>IF(B19956="","",HOUR(A19956))</f>
        <v/>
      </c>
    </row>
    <row r="19957">
      <c r="A19957">
        <f>Input!A19957</f>
        <v/>
      </c>
      <c r="B19957">
        <f>IF(ISNUMBER(Input!B19957),IF(AND(Input!B19957&gt;=20,Input!B19957&lt;=700),Input!B19957,""),"")</f>
        <v/>
      </c>
      <c r="C19957">
        <f>IF(B19957="","",INT(A19957))</f>
        <v/>
      </c>
      <c r="D19957">
        <f>IF(B19957="","",HOUR(A19957))</f>
        <v/>
      </c>
    </row>
    <row r="19958">
      <c r="A19958">
        <f>Input!A19958</f>
        <v/>
      </c>
      <c r="B19958">
        <f>IF(ISNUMBER(Input!B19958),IF(AND(Input!B19958&gt;=20,Input!B19958&lt;=700),Input!B19958,""),"")</f>
        <v/>
      </c>
      <c r="C19958">
        <f>IF(B19958="","",INT(A19958))</f>
        <v/>
      </c>
      <c r="D19958">
        <f>IF(B19958="","",HOUR(A19958))</f>
        <v/>
      </c>
    </row>
    <row r="19959">
      <c r="A19959">
        <f>Input!A19959</f>
        <v/>
      </c>
      <c r="B19959">
        <f>IF(ISNUMBER(Input!B19959),IF(AND(Input!B19959&gt;=20,Input!B19959&lt;=700),Input!B19959,""),"")</f>
        <v/>
      </c>
      <c r="C19959">
        <f>IF(B19959="","",INT(A19959))</f>
        <v/>
      </c>
      <c r="D19959">
        <f>IF(B19959="","",HOUR(A19959))</f>
        <v/>
      </c>
    </row>
    <row r="19960">
      <c r="A19960">
        <f>Input!A19960</f>
        <v/>
      </c>
      <c r="B19960">
        <f>IF(ISNUMBER(Input!B19960),IF(AND(Input!B19960&gt;=20,Input!B19960&lt;=700),Input!B19960,""),"")</f>
        <v/>
      </c>
      <c r="C19960">
        <f>IF(B19960="","",INT(A19960))</f>
        <v/>
      </c>
      <c r="D19960">
        <f>IF(B19960="","",HOUR(A19960))</f>
        <v/>
      </c>
    </row>
    <row r="19961">
      <c r="A19961">
        <f>Input!A19961</f>
        <v/>
      </c>
      <c r="B19961">
        <f>IF(ISNUMBER(Input!B19961),IF(AND(Input!B19961&gt;=20,Input!B19961&lt;=700),Input!B19961,""),"")</f>
        <v/>
      </c>
      <c r="C19961">
        <f>IF(B19961="","",INT(A19961))</f>
        <v/>
      </c>
      <c r="D19961">
        <f>IF(B19961="","",HOUR(A19961))</f>
        <v/>
      </c>
    </row>
    <row r="19962">
      <c r="A19962">
        <f>Input!A19962</f>
        <v/>
      </c>
      <c r="B19962">
        <f>IF(ISNUMBER(Input!B19962),IF(AND(Input!B19962&gt;=20,Input!B19962&lt;=700),Input!B19962,""),"")</f>
        <v/>
      </c>
      <c r="C19962">
        <f>IF(B19962="","",INT(A19962))</f>
        <v/>
      </c>
      <c r="D19962">
        <f>IF(B19962="","",HOUR(A19962))</f>
        <v/>
      </c>
    </row>
    <row r="19963">
      <c r="A19963">
        <f>Input!A19963</f>
        <v/>
      </c>
      <c r="B19963">
        <f>IF(ISNUMBER(Input!B19963),IF(AND(Input!B19963&gt;=20,Input!B19963&lt;=700),Input!B19963,""),"")</f>
        <v/>
      </c>
      <c r="C19963">
        <f>IF(B19963="","",INT(A19963))</f>
        <v/>
      </c>
      <c r="D19963">
        <f>IF(B19963="","",HOUR(A19963))</f>
        <v/>
      </c>
    </row>
    <row r="19964">
      <c r="A19964">
        <f>Input!A19964</f>
        <v/>
      </c>
      <c r="B19964">
        <f>IF(ISNUMBER(Input!B19964),IF(AND(Input!B19964&gt;=20,Input!B19964&lt;=700),Input!B19964,""),"")</f>
        <v/>
      </c>
      <c r="C19964">
        <f>IF(B19964="","",INT(A19964))</f>
        <v/>
      </c>
      <c r="D19964">
        <f>IF(B19964="","",HOUR(A19964))</f>
        <v/>
      </c>
    </row>
    <row r="19965">
      <c r="A19965">
        <f>Input!A19965</f>
        <v/>
      </c>
      <c r="B19965">
        <f>IF(ISNUMBER(Input!B19965),IF(AND(Input!B19965&gt;=20,Input!B19965&lt;=700),Input!B19965,""),"")</f>
        <v/>
      </c>
      <c r="C19965">
        <f>IF(B19965="","",INT(A19965))</f>
        <v/>
      </c>
      <c r="D19965">
        <f>IF(B19965="","",HOUR(A19965))</f>
        <v/>
      </c>
    </row>
    <row r="19966">
      <c r="A19966">
        <f>Input!A19966</f>
        <v/>
      </c>
      <c r="B19966">
        <f>IF(ISNUMBER(Input!B19966),IF(AND(Input!B19966&gt;=20,Input!B19966&lt;=700),Input!B19966,""),"")</f>
        <v/>
      </c>
      <c r="C19966">
        <f>IF(B19966="","",INT(A19966))</f>
        <v/>
      </c>
      <c r="D19966">
        <f>IF(B19966="","",HOUR(A19966))</f>
        <v/>
      </c>
    </row>
    <row r="19967">
      <c r="A19967">
        <f>Input!A19967</f>
        <v/>
      </c>
      <c r="B19967">
        <f>IF(ISNUMBER(Input!B19967),IF(AND(Input!B19967&gt;=20,Input!B19967&lt;=700),Input!B19967,""),"")</f>
        <v/>
      </c>
      <c r="C19967">
        <f>IF(B19967="","",INT(A19967))</f>
        <v/>
      </c>
      <c r="D19967">
        <f>IF(B19967="","",HOUR(A19967))</f>
        <v/>
      </c>
    </row>
    <row r="19968">
      <c r="A19968">
        <f>Input!A19968</f>
        <v/>
      </c>
      <c r="B19968">
        <f>IF(ISNUMBER(Input!B19968),IF(AND(Input!B19968&gt;=20,Input!B19968&lt;=700),Input!B19968,""),"")</f>
        <v/>
      </c>
      <c r="C19968">
        <f>IF(B19968="","",INT(A19968))</f>
        <v/>
      </c>
      <c r="D19968">
        <f>IF(B19968="","",HOUR(A19968))</f>
        <v/>
      </c>
    </row>
    <row r="19969">
      <c r="A19969">
        <f>Input!A19969</f>
        <v/>
      </c>
      <c r="B19969">
        <f>IF(ISNUMBER(Input!B19969),IF(AND(Input!B19969&gt;=20,Input!B19969&lt;=700),Input!B19969,""),"")</f>
        <v/>
      </c>
      <c r="C19969">
        <f>IF(B19969="","",INT(A19969))</f>
        <v/>
      </c>
      <c r="D19969">
        <f>IF(B19969="","",HOUR(A19969))</f>
        <v/>
      </c>
    </row>
    <row r="19970">
      <c r="A19970">
        <f>Input!A19970</f>
        <v/>
      </c>
      <c r="B19970">
        <f>IF(ISNUMBER(Input!B19970),IF(AND(Input!B19970&gt;=20,Input!B19970&lt;=700),Input!B19970,""),"")</f>
        <v/>
      </c>
      <c r="C19970">
        <f>IF(B19970="","",INT(A19970))</f>
        <v/>
      </c>
      <c r="D19970">
        <f>IF(B19970="","",HOUR(A19970))</f>
        <v/>
      </c>
    </row>
    <row r="19971">
      <c r="A19971">
        <f>Input!A19971</f>
        <v/>
      </c>
      <c r="B19971">
        <f>IF(ISNUMBER(Input!B19971),IF(AND(Input!B19971&gt;=20,Input!B19971&lt;=700),Input!B19971,""),"")</f>
        <v/>
      </c>
      <c r="C19971">
        <f>IF(B19971="","",INT(A19971))</f>
        <v/>
      </c>
      <c r="D19971">
        <f>IF(B19971="","",HOUR(A19971))</f>
        <v/>
      </c>
    </row>
    <row r="19972">
      <c r="A19972">
        <f>Input!A19972</f>
        <v/>
      </c>
      <c r="B19972">
        <f>IF(ISNUMBER(Input!B19972),IF(AND(Input!B19972&gt;=20,Input!B19972&lt;=700),Input!B19972,""),"")</f>
        <v/>
      </c>
      <c r="C19972">
        <f>IF(B19972="","",INT(A19972))</f>
        <v/>
      </c>
      <c r="D19972">
        <f>IF(B19972="","",HOUR(A19972))</f>
        <v/>
      </c>
    </row>
    <row r="19973">
      <c r="A19973">
        <f>Input!A19973</f>
        <v/>
      </c>
      <c r="B19973">
        <f>IF(ISNUMBER(Input!B19973),IF(AND(Input!B19973&gt;=20,Input!B19973&lt;=700),Input!B19973,""),"")</f>
        <v/>
      </c>
      <c r="C19973">
        <f>IF(B19973="","",INT(A19973))</f>
        <v/>
      </c>
      <c r="D19973">
        <f>IF(B19973="","",HOUR(A19973))</f>
        <v/>
      </c>
    </row>
    <row r="19974">
      <c r="A19974">
        <f>Input!A19974</f>
        <v/>
      </c>
      <c r="B19974">
        <f>IF(ISNUMBER(Input!B19974),IF(AND(Input!B19974&gt;=20,Input!B19974&lt;=700),Input!B19974,""),"")</f>
        <v/>
      </c>
      <c r="C19974">
        <f>IF(B19974="","",INT(A19974))</f>
        <v/>
      </c>
      <c r="D19974">
        <f>IF(B19974="","",HOUR(A19974))</f>
        <v/>
      </c>
    </row>
    <row r="19975">
      <c r="A19975">
        <f>Input!A19975</f>
        <v/>
      </c>
      <c r="B19975">
        <f>IF(ISNUMBER(Input!B19975),IF(AND(Input!B19975&gt;=20,Input!B19975&lt;=700),Input!B19975,""),"")</f>
        <v/>
      </c>
      <c r="C19975">
        <f>IF(B19975="","",INT(A19975))</f>
        <v/>
      </c>
      <c r="D19975">
        <f>IF(B19975="","",HOUR(A19975))</f>
        <v/>
      </c>
    </row>
    <row r="19976">
      <c r="A19976">
        <f>Input!A19976</f>
        <v/>
      </c>
      <c r="B19976">
        <f>IF(ISNUMBER(Input!B19976),IF(AND(Input!B19976&gt;=20,Input!B19976&lt;=700),Input!B19976,""),"")</f>
        <v/>
      </c>
      <c r="C19976">
        <f>IF(B19976="","",INT(A19976))</f>
        <v/>
      </c>
      <c r="D19976">
        <f>IF(B19976="","",HOUR(A19976))</f>
        <v/>
      </c>
    </row>
    <row r="19977">
      <c r="A19977">
        <f>Input!A19977</f>
        <v/>
      </c>
      <c r="B19977">
        <f>IF(ISNUMBER(Input!B19977),IF(AND(Input!B19977&gt;=20,Input!B19977&lt;=700),Input!B19977,""),"")</f>
        <v/>
      </c>
      <c r="C19977">
        <f>IF(B19977="","",INT(A19977))</f>
        <v/>
      </c>
      <c r="D19977">
        <f>IF(B19977="","",HOUR(A19977))</f>
        <v/>
      </c>
    </row>
    <row r="19978">
      <c r="A19978">
        <f>Input!A19978</f>
        <v/>
      </c>
      <c r="B19978">
        <f>IF(ISNUMBER(Input!B19978),IF(AND(Input!B19978&gt;=20,Input!B19978&lt;=700),Input!B19978,""),"")</f>
        <v/>
      </c>
      <c r="C19978">
        <f>IF(B19978="","",INT(A19978))</f>
        <v/>
      </c>
      <c r="D19978">
        <f>IF(B19978="","",HOUR(A19978))</f>
        <v/>
      </c>
    </row>
    <row r="19979">
      <c r="A19979">
        <f>Input!A19979</f>
        <v/>
      </c>
      <c r="B19979">
        <f>IF(ISNUMBER(Input!B19979),IF(AND(Input!B19979&gt;=20,Input!B19979&lt;=700),Input!B19979,""),"")</f>
        <v/>
      </c>
      <c r="C19979">
        <f>IF(B19979="","",INT(A19979))</f>
        <v/>
      </c>
      <c r="D19979">
        <f>IF(B19979="","",HOUR(A19979))</f>
        <v/>
      </c>
    </row>
    <row r="19980">
      <c r="A19980">
        <f>Input!A19980</f>
        <v/>
      </c>
      <c r="B19980">
        <f>IF(ISNUMBER(Input!B19980),IF(AND(Input!B19980&gt;=20,Input!B19980&lt;=700),Input!B19980,""),"")</f>
        <v/>
      </c>
      <c r="C19980">
        <f>IF(B19980="","",INT(A19980))</f>
        <v/>
      </c>
      <c r="D19980">
        <f>IF(B19980="","",HOUR(A19980))</f>
        <v/>
      </c>
    </row>
    <row r="19981">
      <c r="A19981">
        <f>Input!A19981</f>
        <v/>
      </c>
      <c r="B19981">
        <f>IF(ISNUMBER(Input!B19981),IF(AND(Input!B19981&gt;=20,Input!B19981&lt;=700),Input!B19981,""),"")</f>
        <v/>
      </c>
      <c r="C19981">
        <f>IF(B19981="","",INT(A19981))</f>
        <v/>
      </c>
      <c r="D19981">
        <f>IF(B19981="","",HOUR(A19981))</f>
        <v/>
      </c>
    </row>
    <row r="19982">
      <c r="A19982">
        <f>Input!A19982</f>
        <v/>
      </c>
      <c r="B19982">
        <f>IF(ISNUMBER(Input!B19982),IF(AND(Input!B19982&gt;=20,Input!B19982&lt;=700),Input!B19982,""),"")</f>
        <v/>
      </c>
      <c r="C19982">
        <f>IF(B19982="","",INT(A19982))</f>
        <v/>
      </c>
      <c r="D19982">
        <f>IF(B19982="","",HOUR(A19982))</f>
        <v/>
      </c>
    </row>
    <row r="19983">
      <c r="A19983">
        <f>Input!A19983</f>
        <v/>
      </c>
      <c r="B19983">
        <f>IF(ISNUMBER(Input!B19983),IF(AND(Input!B19983&gt;=20,Input!B19983&lt;=700),Input!B19983,""),"")</f>
        <v/>
      </c>
      <c r="C19983">
        <f>IF(B19983="","",INT(A19983))</f>
        <v/>
      </c>
      <c r="D19983">
        <f>IF(B19983="","",HOUR(A19983))</f>
        <v/>
      </c>
    </row>
    <row r="19984">
      <c r="A19984">
        <f>Input!A19984</f>
        <v/>
      </c>
      <c r="B19984">
        <f>IF(ISNUMBER(Input!B19984),IF(AND(Input!B19984&gt;=20,Input!B19984&lt;=700),Input!B19984,""),"")</f>
        <v/>
      </c>
      <c r="C19984">
        <f>IF(B19984="","",INT(A19984))</f>
        <v/>
      </c>
      <c r="D19984">
        <f>IF(B19984="","",HOUR(A19984))</f>
        <v/>
      </c>
    </row>
    <row r="19985">
      <c r="A19985">
        <f>Input!A19985</f>
        <v/>
      </c>
      <c r="B19985">
        <f>IF(ISNUMBER(Input!B19985),IF(AND(Input!B19985&gt;=20,Input!B19985&lt;=700),Input!B19985,""),"")</f>
        <v/>
      </c>
      <c r="C19985">
        <f>IF(B19985="","",INT(A19985))</f>
        <v/>
      </c>
      <c r="D19985">
        <f>IF(B19985="","",HOUR(A19985))</f>
        <v/>
      </c>
    </row>
    <row r="19986">
      <c r="A19986">
        <f>Input!A19986</f>
        <v/>
      </c>
      <c r="B19986">
        <f>IF(ISNUMBER(Input!B19986),IF(AND(Input!B19986&gt;=20,Input!B19986&lt;=700),Input!B19986,""),"")</f>
        <v/>
      </c>
      <c r="C19986">
        <f>IF(B19986="","",INT(A19986))</f>
        <v/>
      </c>
      <c r="D19986">
        <f>IF(B19986="","",HOUR(A19986))</f>
        <v/>
      </c>
    </row>
    <row r="19987">
      <c r="A19987">
        <f>Input!A19987</f>
        <v/>
      </c>
      <c r="B19987">
        <f>IF(ISNUMBER(Input!B19987),IF(AND(Input!B19987&gt;=20,Input!B19987&lt;=700),Input!B19987,""),"")</f>
        <v/>
      </c>
      <c r="C19987">
        <f>IF(B19987="","",INT(A19987))</f>
        <v/>
      </c>
      <c r="D19987">
        <f>IF(B19987="","",HOUR(A19987))</f>
        <v/>
      </c>
    </row>
    <row r="19988">
      <c r="A19988">
        <f>Input!A19988</f>
        <v/>
      </c>
      <c r="B19988">
        <f>IF(ISNUMBER(Input!B19988),IF(AND(Input!B19988&gt;=20,Input!B19988&lt;=700),Input!B19988,""),"")</f>
        <v/>
      </c>
      <c r="C19988">
        <f>IF(B19988="","",INT(A19988))</f>
        <v/>
      </c>
      <c r="D19988">
        <f>IF(B19988="","",HOUR(A19988))</f>
        <v/>
      </c>
    </row>
    <row r="19989">
      <c r="A19989">
        <f>Input!A19989</f>
        <v/>
      </c>
      <c r="B19989">
        <f>IF(ISNUMBER(Input!B19989),IF(AND(Input!B19989&gt;=20,Input!B19989&lt;=700),Input!B19989,""),"")</f>
        <v/>
      </c>
      <c r="C19989">
        <f>IF(B19989="","",INT(A19989))</f>
        <v/>
      </c>
      <c r="D19989">
        <f>IF(B19989="","",HOUR(A19989))</f>
        <v/>
      </c>
    </row>
    <row r="19990">
      <c r="A19990">
        <f>Input!A19990</f>
        <v/>
      </c>
      <c r="B19990">
        <f>IF(ISNUMBER(Input!B19990),IF(AND(Input!B19990&gt;=20,Input!B19990&lt;=700),Input!B19990,""),"")</f>
        <v/>
      </c>
      <c r="C19990">
        <f>IF(B19990="","",INT(A19990))</f>
        <v/>
      </c>
      <c r="D19990">
        <f>IF(B19990="","",HOUR(A19990))</f>
        <v/>
      </c>
    </row>
    <row r="19991">
      <c r="A19991">
        <f>Input!A19991</f>
        <v/>
      </c>
      <c r="B19991">
        <f>IF(ISNUMBER(Input!B19991),IF(AND(Input!B19991&gt;=20,Input!B19991&lt;=700),Input!B19991,""),"")</f>
        <v/>
      </c>
      <c r="C19991">
        <f>IF(B19991="","",INT(A19991))</f>
        <v/>
      </c>
      <c r="D19991">
        <f>IF(B19991="","",HOUR(A19991))</f>
        <v/>
      </c>
    </row>
    <row r="19992">
      <c r="A19992">
        <f>Input!A19992</f>
        <v/>
      </c>
      <c r="B19992">
        <f>IF(ISNUMBER(Input!B19992),IF(AND(Input!B19992&gt;=20,Input!B19992&lt;=700),Input!B19992,""),"")</f>
        <v/>
      </c>
      <c r="C19992">
        <f>IF(B19992="","",INT(A19992))</f>
        <v/>
      </c>
      <c r="D19992">
        <f>IF(B19992="","",HOUR(A19992))</f>
        <v/>
      </c>
    </row>
    <row r="19993">
      <c r="A19993">
        <f>Input!A19993</f>
        <v/>
      </c>
      <c r="B19993">
        <f>IF(ISNUMBER(Input!B19993),IF(AND(Input!B19993&gt;=20,Input!B19993&lt;=700),Input!B19993,""),"")</f>
        <v/>
      </c>
      <c r="C19993">
        <f>IF(B19993="","",INT(A19993))</f>
        <v/>
      </c>
      <c r="D19993">
        <f>IF(B19993="","",HOUR(A19993))</f>
        <v/>
      </c>
    </row>
    <row r="19994">
      <c r="A19994">
        <f>Input!A19994</f>
        <v/>
      </c>
      <c r="B19994">
        <f>IF(ISNUMBER(Input!B19994),IF(AND(Input!B19994&gt;=20,Input!B19994&lt;=700),Input!B19994,""),"")</f>
        <v/>
      </c>
      <c r="C19994">
        <f>IF(B19994="","",INT(A19994))</f>
        <v/>
      </c>
      <c r="D19994">
        <f>IF(B19994="","",HOUR(A19994))</f>
        <v/>
      </c>
    </row>
    <row r="19995">
      <c r="A19995">
        <f>Input!A19995</f>
        <v/>
      </c>
      <c r="B19995">
        <f>IF(ISNUMBER(Input!B19995),IF(AND(Input!B19995&gt;=20,Input!B19995&lt;=700),Input!B19995,""),"")</f>
        <v/>
      </c>
      <c r="C19995">
        <f>IF(B19995="","",INT(A19995))</f>
        <v/>
      </c>
      <c r="D19995">
        <f>IF(B19995="","",HOUR(A19995))</f>
        <v/>
      </c>
    </row>
    <row r="19996">
      <c r="A19996">
        <f>Input!A19996</f>
        <v/>
      </c>
      <c r="B19996">
        <f>IF(ISNUMBER(Input!B19996),IF(AND(Input!B19996&gt;=20,Input!B19996&lt;=700),Input!B19996,""),"")</f>
        <v/>
      </c>
      <c r="C19996">
        <f>IF(B19996="","",INT(A19996))</f>
        <v/>
      </c>
      <c r="D19996">
        <f>IF(B19996="","",HOUR(A19996))</f>
        <v/>
      </c>
    </row>
    <row r="19997">
      <c r="A19997">
        <f>Input!A19997</f>
        <v/>
      </c>
      <c r="B19997">
        <f>IF(ISNUMBER(Input!B19997),IF(AND(Input!B19997&gt;=20,Input!B19997&lt;=700),Input!B19997,""),"")</f>
        <v/>
      </c>
      <c r="C19997">
        <f>IF(B19997="","",INT(A19997))</f>
        <v/>
      </c>
      <c r="D19997">
        <f>IF(B19997="","",HOUR(A19997))</f>
        <v/>
      </c>
    </row>
    <row r="19998">
      <c r="A19998">
        <f>Input!A19998</f>
        <v/>
      </c>
      <c r="B19998">
        <f>IF(ISNUMBER(Input!B19998),IF(AND(Input!B19998&gt;=20,Input!B19998&lt;=700),Input!B19998,""),"")</f>
        <v/>
      </c>
      <c r="C19998">
        <f>IF(B19998="","",INT(A19998))</f>
        <v/>
      </c>
      <c r="D19998">
        <f>IF(B19998="","",HOUR(A19998))</f>
        <v/>
      </c>
    </row>
    <row r="19999">
      <c r="A19999">
        <f>Input!A19999</f>
        <v/>
      </c>
      <c r="B19999">
        <f>IF(ISNUMBER(Input!B19999),IF(AND(Input!B19999&gt;=20,Input!B19999&lt;=700),Input!B19999,""),"")</f>
        <v/>
      </c>
      <c r="C19999">
        <f>IF(B19999="","",INT(A19999))</f>
        <v/>
      </c>
      <c r="D19999">
        <f>IF(B19999="","",HOUR(A19999))</f>
        <v/>
      </c>
    </row>
    <row r="20000">
      <c r="A20000">
        <f>Input!A20000</f>
        <v/>
      </c>
      <c r="B20000">
        <f>IF(ISNUMBER(Input!B20000),IF(AND(Input!B20000&gt;=20,Input!B20000&lt;=700),Input!B20000,""),"")</f>
        <v/>
      </c>
      <c r="C20000">
        <f>IF(B20000="","",INT(A20000))</f>
        <v/>
      </c>
      <c r="D20000">
        <f>IF(B20000="","",HOUR(A20000))</f>
        <v/>
      </c>
    </row>
    <row r="20001">
      <c r="A20001">
        <f>Input!A20001</f>
        <v/>
      </c>
      <c r="B20001">
        <f>IF(ISNUMBER(Input!B20001),IF(AND(Input!B20001&gt;=20,Input!B20001&lt;=700),Input!B20001,""),"")</f>
        <v/>
      </c>
      <c r="C20001">
        <f>IF(B20001="","",INT(A20001))</f>
        <v/>
      </c>
      <c r="D20001">
        <f>IF(B20001="","",HOUR(A20001))</f>
        <v/>
      </c>
    </row>
    <row r="20002">
      <c r="A20002">
        <f>Input!A20002</f>
        <v/>
      </c>
      <c r="B20002">
        <f>IF(ISNUMBER(Input!B20002),IF(AND(Input!B20002&gt;=20,Input!B20002&lt;=700),Input!B20002,""),"")</f>
        <v/>
      </c>
      <c r="C20002">
        <f>IF(B20002="","",INT(A20002))</f>
        <v/>
      </c>
      <c r="D20002">
        <f>IF(B20002="","",HOUR(A20002))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2026-05-08T00:13:52Z</dcterms:created>
  <dcterms:modified xsi:type="dcterms:W3CDTF">2026-05-08T00:13:58Z</dcterms:modified>
</cp:coreProperties>
</file>